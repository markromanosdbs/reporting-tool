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bookViews>
    <workbookView xWindow="65428" yWindow="65428" windowWidth="23256" windowHeight="12576" tabRatio="863" firstSheet="15" activeTab="0"/>
  </bookViews>
  <sheets>
    <sheet name="Data" sheetId="8" r:id="rId1"/>
    <sheet name="Job Sheet" sheetId="21" r:id="rId2"/>
    <sheet name="Installation" sheetId="26" r:id="rId3"/>
    <sheet name="Curtain Manufacturing Worksheet" sheetId="22" r:id="rId4"/>
    <sheet name="Marking Off Form" sheetId="38" r:id="rId5"/>
    <sheet name="Tapes" sheetId="30" r:id="rId6"/>
    <sheet name="Tube Cutting" sheetId="14" r:id="rId7"/>
    <sheet name="Assembly" sheetId="15" r:id="rId8"/>
    <sheet name="Bagging" sheetId="20" r:id="rId9"/>
    <sheet name="DBS or HM Decor Order Form" sheetId="36" r:id="rId10"/>
    <sheet name="TBS Order Form" sheetId="24" r:id="rId11"/>
    <sheet name="Vanda Order Form" sheetId="35" r:id="rId12"/>
    <sheet name=" Unique Screens Order Form" sheetId="37" r:id="rId13"/>
    <sheet name="Pelmet Order Form" sheetId="25" r:id="rId14"/>
    <sheet name="Electrical Form" sheetId="33" r:id="rId15"/>
    <sheet name="Components" sheetId="31" r:id="rId16"/>
    <sheet name="Fabrics" sheetId="23" r:id="rId17"/>
    <sheet name="Lining" sheetId="32" r:id="rId18"/>
    <sheet name="Deductions" sheetId="10" r:id="rId19"/>
    <sheet name="Tape Look Up" sheetId="29" r:id="rId20"/>
    <sheet name="Labels" sheetId="9" r:id="rId21"/>
  </sheets>
  <definedNames>
    <definedName name="_xlnm._FilterDatabase" localSheetId="18" hidden="1">Deductions!$J$2:$R$3523</definedName>
    <definedName name="_xleta.AND" hidden="1">#NAME?</definedName>
    <definedName name="_xleta.LEFT" hidden="1">#NAME?</definedName>
    <definedName name="_xleta.N" hidden="1">#NAME?</definedName>
    <definedName name="_xleta.OFFSET" hidden="1">#NAME?</definedName>
    <definedName name="_xleta.RIGHT" hidden="1">#NAME?</definedName>
    <definedName name="_xleta.SHEET" hidden="1">#NAME?</definedName>
    <definedName name="_xleta.SINGLE" hidden="1">#NAME?</definedName>
    <definedName name="_xleta.SUM" hidden="1">#NAME?</definedName>
    <definedName name="_xleta.T" hidden="1">#NAME?</definedName>
    <definedName name="_xleta.TRIM" hidden="1">#NAME?</definedName>
    <definedName name="_xlpm.adj" hidden="1">#NAME?</definedName>
    <definedName name="_xlpm.angle" hidden="1">#NAME?</definedName>
    <definedName name="_xlpm.base" hidden="1">#NAME?</definedName>
    <definedName name="_xlpm.bends" hidden="1">#NAME?</definedName>
    <definedName name="_xlpm.eff" hidden="1">#NAME?</definedName>
    <definedName name="_xlpm.k" hidden="1">#NAME?</definedName>
    <definedName name="_xlpm.pBase" hidden="1">#NAME?</definedName>
    <definedName name="_xlpm.proj" hidden="1">#NAME?</definedName>
    <definedName name="_xlpm.radius" hidden="1">#NAME?</definedName>
    <definedName name="_xlpm.sign" hidden="1">#NAME?</definedName>
    <definedName name="BracketProj">Deductions!$AE$2:$AF$142</definedName>
    <definedName name="Brackets">Deductions!$A$22:$B$38</definedName>
    <definedName name="COPEN100">'Tape Look Up'!$U$3:$X$56</definedName>
    <definedName name="COPEN120">'Tape Look Up'!$AE$3:$AH$56</definedName>
    <definedName name="COPEN80">'Tape Look Up'!$K$3:$N$52</definedName>
    <definedName name="CustName" localSheetId="12">' Unique Screens Order Form'!$H$4</definedName>
    <definedName name="CustName" localSheetId="7">Assembly!$E$2</definedName>
    <definedName name="CustName" localSheetId="8">Bagging!$H$2</definedName>
    <definedName name="CustName" localSheetId="3">'Curtain Manufacturing Worksheet'!$J$5</definedName>
    <definedName name="CustName" localSheetId="9">'DBS or HM Decor Order Form'!$H$4</definedName>
    <definedName name="CustName" localSheetId="2">Installation!$J$2</definedName>
    <definedName name="CustName" localSheetId="1">'Job Sheet'!$L$2</definedName>
    <definedName name="CustName" localSheetId="10">'TBS Order Form'!$H$4</definedName>
    <definedName name="CustName" localSheetId="11">'Vanda Order Form'!$H$4</definedName>
    <definedName name="CustOrdOpt" localSheetId="7">Data!$CE$10:$CK$43</definedName>
    <definedName name="CustOrdOpt" localSheetId="8">Data!$CE$10:$CK$43</definedName>
    <definedName name="CustOrdOpt" localSheetId="3">Data!$CE$10:$CK$43</definedName>
    <definedName name="CustOrdOpt">Data!$CE$10:$CK$671</definedName>
    <definedName name="DataSettings">Data!$A$5:$F$32</definedName>
    <definedName name="Fabrics">Fabrics!$A:$F</definedName>
    <definedName name="FitDeduct" localSheetId="7">Deductions!$A$1:$B$5</definedName>
    <definedName name="FitDeduct" localSheetId="8">Deductions!$A$1:$B$5</definedName>
    <definedName name="FitDeduct" localSheetId="3">Deductions!$A$1:$B$5</definedName>
    <definedName name="FitDeduct">Deductions!$A$1:$B$5</definedName>
    <definedName name="Flicksticks">Deductions!$CP$2:$CQ$209</definedName>
    <definedName name="Flooring">Deductions!$G$2:$H$7</definedName>
    <definedName name="Fullness">Deductions!$AY$2:$BA$358</definedName>
    <definedName name="Heightofffloor">Deductions!$T$2:$U$25</definedName>
    <definedName name="Holdbacks">Deductions!$AT$2:$AU$34</definedName>
    <definedName name="Hook">Deductions!$N$2:$R$3860</definedName>
    <definedName name="InventoryGroup">Data!$BA$1</definedName>
    <definedName name="JobPickLastRow">Data!$BA$2</definedName>
    <definedName name="Lining">Lining!$C$2:$H$501</definedName>
    <definedName name="OneWay100">'Tape Look Up'!$P$3:$S$127</definedName>
    <definedName name="OneWay120">'Tape Look Up'!$Z$3:$AC$111</definedName>
    <definedName name="OneWay80">'Tape Look Up'!$F$3:$I$135</definedName>
    <definedName name="Operation">Deductions!$Y$2:$AA$89</definedName>
    <definedName name="Overlap">Deductions!$CE$2:$CF$10</definedName>
    <definedName name="Pelmetadd">Deductions!$AQ$2:$AR$12</definedName>
    <definedName name="_xlnm.Print_Area" localSheetId="12">' Unique Screens Order Form'!$A$1:$W$21</definedName>
    <definedName name="_xlnm.Print_Area" localSheetId="7">Assembly!$A$1:$N$22</definedName>
    <definedName name="_xlnm.Print_Area" localSheetId="8">Bagging!$A$1:$N$22</definedName>
    <definedName name="_xlnm.Print_Area" localSheetId="3">'Curtain Manufacturing Worksheet'!$A$1:$AA$24</definedName>
    <definedName name="_xlnm.Print_Area" localSheetId="9">'DBS or HM Decor Order Form'!$A$1:$W$21</definedName>
    <definedName name="_xlnm.Print_Area" localSheetId="14">'Electrical Form'!$A$1:$M$22</definedName>
    <definedName name="_xlnm.Print_Area" localSheetId="2">Installation!$A$1:$V$22</definedName>
    <definedName name="_xlnm.Print_Area" localSheetId="1">'Job Sheet'!$A$1:$BN$22</definedName>
    <definedName name="_xlnm.Print_Area" localSheetId="13">'Pelmet Order Form'!$A$1:$M$20</definedName>
    <definedName name="_xlnm.Print_Area" localSheetId="5">Tapes!$A$1:$H$22</definedName>
    <definedName name="_xlnm.Print_Area" localSheetId="10">'TBS Order Form'!$A$1:$X$21</definedName>
    <definedName name="_xlnm.Print_Area" localSheetId="6">'Tube Cutting'!$A$1:$G$22</definedName>
    <definedName name="_xlnm.Print_Area" localSheetId="11">'Vanda Order Form'!$A$1:$X$21</definedName>
    <definedName name="_xlnm.Print_Titles" localSheetId="12">' Unique Screens Order Form'!$1:$9</definedName>
    <definedName name="_xlnm.Print_Titles" localSheetId="7">Assembly!$1:$10</definedName>
    <definedName name="_xlnm.Print_Titles" localSheetId="8">Bagging!$1:$10</definedName>
    <definedName name="_xlnm.Print_Titles" localSheetId="3">'Curtain Manufacturing Worksheet'!$2:$12</definedName>
    <definedName name="_xlnm.Print_Titles" localSheetId="9">'DBS or HM Decor Order Form'!$1:$9</definedName>
    <definedName name="_xlnm.Print_Titles" localSheetId="2">Installation!$1:$10</definedName>
    <definedName name="_xlnm.Print_Titles" localSheetId="1">'Job Sheet'!$1:$10</definedName>
    <definedName name="_xlnm.Print_Titles" localSheetId="10">'TBS Order Form'!$1:$9</definedName>
    <definedName name="_xlnm.Print_Titles" localSheetId="11">'Vanda Order Form'!$1:$9</definedName>
    <definedName name="PulleysEndCaps">Deductions!$BV$2:$CC$44</definedName>
    <definedName name="ReturnLookUp">'Tape Look Up'!$A$52:$C$58</definedName>
    <definedName name="Returns">Deductions!$CH$2:$CL$10</definedName>
    <definedName name="RightColumn">Data!$BA$3</definedName>
    <definedName name="RodBrackets">Deductions!$E$2:$F$18</definedName>
    <definedName name="SaberTracks">Deductions!$BE$2:$BG$91</definedName>
    <definedName name="SideDeduct" localSheetId="7">Deductions!$C$2:$D$94</definedName>
    <definedName name="SideDeduct" localSheetId="8">Deductions!$C$2:$D$94</definedName>
    <definedName name="SideDeduct" localSheetId="3">Deductions!$C$2:$D$94</definedName>
    <definedName name="SideDeduct">Deductions!$C$2:$D$94</definedName>
    <definedName name="TBSTracks">Deductions!$AK$2:$AO$926</definedName>
    <definedName name="TrackManufacturing">Deductions!$BQ$2:$BR$26</definedName>
    <definedName name="UserPkId">Data!$AV$3</definedName>
    <definedName name="WavefoldLookUp">'Tape Look Up'!$C$2:$D$49</definedName>
    <definedName name="WavefoldReturns">Deductions!$BL$2:$BM$53</definedName>
  </definedNames>
  <calcPr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<sst xmlns="http://schemas.openxmlformats.org/spreadsheetml/2006/main" count="61853" uniqueCount="13110">
  <si>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</si>
  <si>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</si>
  <si>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</si>
  <si>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</si>
  <si>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</si>
  <si>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</si>
  <si>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</si>
  <si>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</si>
  <si>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</si>
  <si>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ORDER REC'D:</t>
  </si>
  <si>
    <t>This should be in column BG</t>
  </si>
  <si>
    <t>Fit</t>
  </si>
  <si>
    <t>Delivery Address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</si>
  <si>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</si>
  <si>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</si>
  <si>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</si>
  <si>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</si>
  <si>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</si>
  <si>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</si>
  <si>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</si>
  <si>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AcceptedDate</t>
  </si>
  <si>
    <t>CURT</t>
  </si>
  <si>
    <t>LastPwkCopyNo</t>
  </si>
  <si>
    <t>b64c1b45-c18e-4895-b2a0-91897d2591d2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</si>
  <si>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</si>
  <si>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</si>
  <si>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</si>
  <si>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</si>
  <si>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</si>
  <si>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</si>
  <si>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</si>
  <si>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</si>
  <si>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</si>
  <si>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</si>
  <si>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</si>
  <si>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</si>
  <si>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</si>
  <si>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</si>
  <si>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</si>
  <si>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</si>
  <si>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</si>
  <si>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</si>
  <si>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</si>
  <si>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</si>
  <si>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</si>
  <si>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</si>
  <si>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</si>
  <si>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</si>
  <si>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</si>
  <si>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</si>
  <si>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</si>
  <si>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</si>
  <si>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</si>
  <si>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</si>
  <si>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</si>
  <si>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</si>
  <si>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</si>
  <si>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</si>
  <si>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</si>
  <si>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</si>
  <si>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</si>
  <si>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</si>
  <si>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</si>
  <si>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</si>
  <si>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</si>
  <si>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</si>
  <si>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</si>
  <si>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</si>
  <si>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</si>
  <si>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</si>
  <si>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</si>
  <si>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</si>
  <si>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</si>
  <si>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</si>
  <si>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</si>
  <si>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</si>
  <si>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</si>
  <si>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</si>
  <si>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</si>
  <si>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</si>
  <si>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</si>
  <si>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</si>
  <si>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</si>
  <si>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</si>
  <si>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</si>
  <si>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</si>
  <si>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</si>
  <si>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</si>
  <si>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</si>
  <si>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</si>
  <si>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</si>
  <si>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</si>
  <si>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</si>
  <si>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</si>
  <si>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</si>
  <si>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</si>
  <si>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</si>
  <si>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</si>
  <si>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</si>
  <si>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</si>
  <si>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</si>
  <si>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</si>
  <si>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</si>
  <si>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</si>
  <si>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</si>
  <si>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</si>
  <si>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</si>
  <si>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Labels</t>
  </si>
  <si>
    <t>K</t>
  </si>
  <si>
    <t>Label 1</t>
  </si>
  <si>
    <t>Order Ref</t>
  </si>
  <si>
    <t>Side by Side</t>
  </si>
  <si>
    <t>Job required</t>
  </si>
  <si>
    <t>Flag</t>
  </si>
  <si>
    <t>Fabric Width</t>
  </si>
  <si>
    <t>Control Side</t>
  </si>
  <si>
    <t>Sticker No.</t>
  </si>
  <si>
    <t>Order #</t>
  </si>
  <si>
    <t>Deduction</t>
  </si>
  <si>
    <t>Face</t>
  </si>
  <si>
    <t>No</t>
  </si>
  <si>
    <t>Reveal</t>
  </si>
  <si>
    <t>Tube Cutting</t>
  </si>
  <si>
    <t>Thru</t>
  </si>
  <si>
    <t>Butt</t>
  </si>
  <si>
    <t>Installation Deliver or Supply Only</t>
  </si>
  <si>
    <t>Is Rework / Remake</t>
  </si>
  <si>
    <t>Recess Fit (No Deduction)</t>
  </si>
  <si>
    <t>Entered Width</t>
  </si>
  <si>
    <t>Additional Deductions</t>
  </si>
  <si>
    <t>Deductions</t>
  </si>
  <si>
    <t>A</t>
  </si>
  <si>
    <t>Streamline Cord Operation</t>
  </si>
  <si>
    <t>Face Fit (5mm Deduction)</t>
  </si>
  <si>
    <t>Face Fit (10mm Deduction)</t>
  </si>
  <si>
    <t>Flick Stick Qty</t>
  </si>
  <si>
    <t>Number of Bends</t>
  </si>
  <si>
    <t>Track Cut Length</t>
  </si>
  <si>
    <t>Centre Opening</t>
  </si>
  <si>
    <t>Operation</t>
  </si>
  <si>
    <t>Lookup</t>
  </si>
  <si>
    <t>Single Panel - Left Stacking</t>
  </si>
  <si>
    <t>Single Panel - Right Stacking</t>
  </si>
  <si>
    <t>Single Panel - Free Flowing</t>
  </si>
  <si>
    <t>Streamline Hand Operation</t>
  </si>
  <si>
    <t>Conduit</t>
  </si>
  <si>
    <t>29mm Rod</t>
  </si>
  <si>
    <t>Track Type</t>
  </si>
  <si>
    <t xml:space="preserve">CURTAIN TRACK/ROD Cutting </t>
  </si>
  <si>
    <t>Brackets</t>
  </si>
  <si>
    <t>Flick Sticks Qty</t>
  </si>
  <si>
    <t>Ceiling</t>
  </si>
  <si>
    <t>Brackets Type</t>
  </si>
  <si>
    <t>Flick Sticks or Cord Length</t>
  </si>
  <si>
    <t>No Movement</t>
  </si>
  <si>
    <t>Track Shape</t>
  </si>
  <si>
    <t>Track/Rod Type</t>
  </si>
  <si>
    <t>Track/Rod Colour</t>
  </si>
  <si>
    <t>Opening</t>
  </si>
  <si>
    <t>Single Face Fix Brackets</t>
  </si>
  <si>
    <t>Straight</t>
  </si>
  <si>
    <t>Top Fix Brackets</t>
  </si>
  <si>
    <t>Double Face Fix Brackets</t>
  </si>
  <si>
    <t>Muslin Brackets</t>
  </si>
  <si>
    <t>Muslin Brackets with Wire Support Bracket</t>
  </si>
  <si>
    <t>25mm Brackets with Acorns</t>
  </si>
  <si>
    <t>100mm Unstayed Brackets with Acorns</t>
  </si>
  <si>
    <t>Track</t>
  </si>
  <si>
    <t>Fabric</t>
  </si>
  <si>
    <t>No - Carpet</t>
  </si>
  <si>
    <t>Normal 2074</t>
  </si>
  <si>
    <t>No - Timber or Tile</t>
  </si>
  <si>
    <t>Entered Drop</t>
  </si>
  <si>
    <t>Measured As</t>
  </si>
  <si>
    <t>Flooring</t>
  </si>
  <si>
    <t>Lining</t>
  </si>
  <si>
    <t>Returns</t>
  </si>
  <si>
    <t>Heading Style</t>
  </si>
  <si>
    <t>Tape</t>
  </si>
  <si>
    <t>Return Size</t>
  </si>
  <si>
    <t>Hook</t>
  </si>
  <si>
    <t>Yes</t>
  </si>
  <si>
    <t>Between Level and Normal 2073</t>
  </si>
  <si>
    <t>Below Normal 2075</t>
  </si>
  <si>
    <t>Decorator 2071</t>
  </si>
  <si>
    <t>No Hooks</t>
  </si>
  <si>
    <t>Curtain Manufacturing Worksheet</t>
  </si>
  <si>
    <t>Lining Colour</t>
  </si>
  <si>
    <t>No. Widths</t>
  </si>
  <si>
    <t>No. Drops</t>
  </si>
  <si>
    <t>Ivory</t>
  </si>
  <si>
    <t>White</t>
  </si>
  <si>
    <t>Fabric Composition</t>
  </si>
  <si>
    <t>Black</t>
  </si>
  <si>
    <t>Colour</t>
  </si>
  <si>
    <t>Care Label</t>
  </si>
  <si>
    <t>55% Polyester 45% Cotton</t>
  </si>
  <si>
    <t>Fabrics</t>
  </si>
  <si>
    <t>Pattern Repeat</t>
  </si>
  <si>
    <t>No. of Pattern Repeats</t>
  </si>
  <si>
    <t>1400</t>
  </si>
  <si>
    <t>3200</t>
  </si>
  <si>
    <t>1450</t>
  </si>
  <si>
    <t>3100</t>
  </si>
  <si>
    <t>3000</t>
  </si>
  <si>
    <t>1380</t>
  </si>
  <si>
    <t>1420</t>
  </si>
  <si>
    <t>1500</t>
  </si>
  <si>
    <t>2700</t>
  </si>
  <si>
    <t>2870</t>
  </si>
  <si>
    <t>1410</t>
  </si>
  <si>
    <t>1460</t>
  </si>
  <si>
    <t>Polyester</t>
  </si>
  <si>
    <t>67% Polyester 33% Cotton</t>
  </si>
  <si>
    <t>51% Cotton 49% Polyester</t>
  </si>
  <si>
    <t>87% Polyester 13% Viscose</t>
  </si>
  <si>
    <t>95% Polyester 5% Linen</t>
  </si>
  <si>
    <t>Fabric Required</t>
  </si>
  <si>
    <t>Height off Floor</t>
  </si>
  <si>
    <t>10</t>
  </si>
  <si>
    <t>30</t>
  </si>
  <si>
    <t>40</t>
  </si>
  <si>
    <t>-100</t>
  </si>
  <si>
    <t>-150</t>
  </si>
  <si>
    <t>Fullness</t>
  </si>
  <si>
    <t>Gold</t>
  </si>
  <si>
    <t>Width Sizes</t>
  </si>
  <si>
    <t>Drop Sizes</t>
  </si>
  <si>
    <t>Gather Hook Normal</t>
  </si>
  <si>
    <t>Gather Hook Level</t>
  </si>
  <si>
    <t>Continuous</t>
  </si>
  <si>
    <t>Polyester/Cotton</t>
  </si>
  <si>
    <t>Polyester/Linen</t>
  </si>
  <si>
    <t xml:space="preserve">Polyester </t>
  </si>
  <si>
    <t>Triple Pinch Pleat (Standard Fullness x 2.1)</t>
  </si>
  <si>
    <t>Triple Pinch Pleat (Extra Fullness x 2.3)</t>
  </si>
  <si>
    <t>Triple Pinch Pleat (Less Fullness x 2)</t>
  </si>
  <si>
    <t>Pencil Pleat (Standard Fullness x 2)</t>
  </si>
  <si>
    <t>Pencil Pleat (Extra Fullness x 2.2)</t>
  </si>
  <si>
    <t>Pencil Pleat (Less Fullness x 1.8)</t>
  </si>
  <si>
    <t>Pencil Pleat for Sheers (Standard Fullness x 2.5)</t>
  </si>
  <si>
    <t>Pencil Pleat for Sheers (Extra Fullness x 2.8)</t>
  </si>
  <si>
    <t>S-Fold (Standard Fullness x 2)</t>
  </si>
  <si>
    <t>S-Fold (Extra Fullness x 2.2)</t>
  </si>
  <si>
    <t>S-Fold (Less Fullness x 1.8)</t>
  </si>
  <si>
    <t>Reverse Pleat (Standard Fullness x 2.1)</t>
  </si>
  <si>
    <t>Reverse Pleat (Extra Fullness x 2.3)</t>
  </si>
  <si>
    <t>Reverse Pleat (Less Fullness x 2)</t>
  </si>
  <si>
    <t>Bed Sheets (Standard Fullness x 1.5)</t>
  </si>
  <si>
    <t>Rod Pocket (Standard Fullness x 2.5)</t>
  </si>
  <si>
    <t>Rod Pocket (Less Fullness x 2)</t>
  </si>
  <si>
    <t>Wall to Wall</t>
  </si>
  <si>
    <t xml:space="preserve">54% Polyester 46% Cotton </t>
  </si>
  <si>
    <t xml:space="preserve">50% Linen 50% Polyester </t>
  </si>
  <si>
    <t xml:space="preserve">50% Polyester 50% Polyacrylic </t>
  </si>
  <si>
    <t>6D</t>
  </si>
  <si>
    <t>100% Polyester</t>
  </si>
  <si>
    <t xml:space="preserve">100% Polyester </t>
  </si>
  <si>
    <t>54% Linen, 32% Cotton, 14% Polyester</t>
  </si>
  <si>
    <t>Track Width</t>
  </si>
  <si>
    <t>Butt Muslin Brackets</t>
  </si>
  <si>
    <t>Butt 25mm Brackets</t>
  </si>
  <si>
    <t>Butt 170mm Brackets</t>
  </si>
  <si>
    <t>2 Wall Sockets</t>
  </si>
  <si>
    <t>1 Wall Socket &amp; 1 L Bracket</t>
  </si>
  <si>
    <t>2 x L Bracket</t>
  </si>
  <si>
    <t>Top Fix</t>
  </si>
  <si>
    <t>Susp. Tube</t>
  </si>
  <si>
    <t>Matt Silver</t>
  </si>
  <si>
    <t>Chrome</t>
  </si>
  <si>
    <t>Butt Double Track</t>
  </si>
  <si>
    <t>Designer 25 Hand Drawn</t>
  </si>
  <si>
    <t>Look Up</t>
  </si>
  <si>
    <t>Anwser</t>
  </si>
  <si>
    <t>Track from TBS</t>
  </si>
  <si>
    <t>Birch White</t>
  </si>
  <si>
    <t>DBS to Make</t>
  </si>
  <si>
    <t>S-Fold Cord Operation</t>
  </si>
  <si>
    <t>S-Fold Hand Operation</t>
  </si>
  <si>
    <t>29mm Brackets</t>
  </si>
  <si>
    <t>6W</t>
  </si>
  <si>
    <t>-40</t>
  </si>
  <si>
    <t>Level 2072</t>
  </si>
  <si>
    <t>Designer 25 Cord Drawn</t>
  </si>
  <si>
    <t>300mm</t>
  </si>
  <si>
    <t>100mm Puddling on the floor</t>
  </si>
  <si>
    <t>150mm Puddling on the floor</t>
  </si>
  <si>
    <t>System 30 Heavy Duty Commercial Track Cord Drawn</t>
  </si>
  <si>
    <t>To Sill</t>
  </si>
  <si>
    <t>Renaissance Decorator Rod</t>
  </si>
  <si>
    <t>Finials</t>
  </si>
  <si>
    <t>N</t>
  </si>
  <si>
    <t>2800</t>
  </si>
  <si>
    <t>Y</t>
  </si>
  <si>
    <t>2900</t>
  </si>
  <si>
    <t>1370</t>
  </si>
  <si>
    <t>1480</t>
  </si>
  <si>
    <t>y</t>
  </si>
  <si>
    <t>1440</t>
  </si>
  <si>
    <t>1430</t>
  </si>
  <si>
    <t>Gummerson Microsoft 2nd Edition Coated Biscotti</t>
  </si>
  <si>
    <t>Gummerson Microsoft 2nd Edition Coated Black</t>
  </si>
  <si>
    <t>Gummerson Microsoft 2nd Edition Coated Buffalo</t>
  </si>
  <si>
    <t>Gummerson Microsoft 2nd Edition Coated Eggshell</t>
  </si>
  <si>
    <t>Gummerson Microsoft 2nd Edition Coated Graphite</t>
  </si>
  <si>
    <t>Gummerson Microsoft 2nd Edition Coated Midnight</t>
  </si>
  <si>
    <t>Gummerson Microsoft 2nd Edition Coated Mocha</t>
  </si>
  <si>
    <t>Gummerson Microsoft 2nd Edition Coated Natural</t>
  </si>
  <si>
    <t>Gummerson Microsoft 2nd Edition Coated Onyx</t>
  </si>
  <si>
    <t>Gummerson Microsoft 2nd Edition Coated Rope</t>
  </si>
  <si>
    <t>Gummerson Microsoft 2nd Edition Coated Snow</t>
  </si>
  <si>
    <t>Gummerson Microsoft 2nd Edition Coated TBA</t>
  </si>
  <si>
    <t>Maurice Kain Carnival Coated Alabaster</t>
  </si>
  <si>
    <t>Maurice Kain Carnival Coated Bronco</t>
  </si>
  <si>
    <t>Maurice Kain Carnival Coated Cascade</t>
  </si>
  <si>
    <t>Maurice Kain Carnival Coated Concord</t>
  </si>
  <si>
    <t>Maurice Kain Carnival Coated Ivory</t>
  </si>
  <si>
    <t>Maurice Kain Carnival Coated Limestone</t>
  </si>
  <si>
    <t>Maurice Kain Carnival Coated Mist</t>
  </si>
  <si>
    <t>Maurice Kain Carnival Coated Pumice</t>
  </si>
  <si>
    <t>Maurice Kain Carnival Coated Putty</t>
  </si>
  <si>
    <t>Maurice Kain Carnival Coated Shadow</t>
  </si>
  <si>
    <t>Maurice Kain Carnival Coated Slate</t>
  </si>
  <si>
    <t>Maurice Kain Carnival Coated Stone</t>
  </si>
  <si>
    <t>Maurice Kain Carnival Coated TBA</t>
  </si>
  <si>
    <t>Maurice Kain Carnival Coated Tempting</t>
  </si>
  <si>
    <t>Maurice Kain Carnival Coated Tussock</t>
  </si>
  <si>
    <t>Zepel Solar Eclipse Coated Aubergine</t>
  </si>
  <si>
    <t>Zepel Solar Eclipse Coated Bark</t>
  </si>
  <si>
    <t>Zepel Solar Eclipse Coated Caramel</t>
  </si>
  <si>
    <t>Zepel Solar Eclipse Coated Elephant</t>
  </si>
  <si>
    <t>Zepel Solar Eclipse Coated Honey</t>
  </si>
  <si>
    <t>Zepel Solar Eclipse Coated Indigo</t>
  </si>
  <si>
    <t>Zepel Solar Eclipse Coated Ivory</t>
  </si>
  <si>
    <t>Zepel Solar Eclipse Coated Jade</t>
  </si>
  <si>
    <t>Zepel Solar Eclipse Coated Linden</t>
  </si>
  <si>
    <t>Zepel Solar Eclipse Coated Liquorice</t>
  </si>
  <si>
    <t>Zepel Solar Eclipse Coated Marine</t>
  </si>
  <si>
    <t>Zepel Solar Eclipse Coated Marzipan</t>
  </si>
  <si>
    <t>Zepel Solar Eclipse Coated Sage</t>
  </si>
  <si>
    <t>Zepel Solar Eclipse Coated Sand</t>
  </si>
  <si>
    <t>Zepel Solar Eclipse Coated Shale</t>
  </si>
  <si>
    <t>Zepel Solar Eclipse Coated Shiraz</t>
  </si>
  <si>
    <t>Zepel Solar Eclipse Coated Silver</t>
  </si>
  <si>
    <t>Zepel Solar Eclipse Coated Snow</t>
  </si>
  <si>
    <t>Zepel Solar Eclipse Coated Steel</t>
  </si>
  <si>
    <t>Zepel Solar Eclipse Coated Stone</t>
  </si>
  <si>
    <t>Zepel Solar Eclipse Coated TBA</t>
  </si>
  <si>
    <t>Zepel Solar Eclipse Coated Zinc</t>
  </si>
  <si>
    <t>3300</t>
  </si>
  <si>
    <t>3050</t>
  </si>
  <si>
    <t>4200</t>
  </si>
  <si>
    <t>3160</t>
  </si>
  <si>
    <t>3070</t>
  </si>
  <si>
    <t>Railroad/Continous</t>
  </si>
  <si>
    <t>Fabric Compostion</t>
  </si>
  <si>
    <t>53% Acrylic 42% Polyester 5% Viscose</t>
  </si>
  <si>
    <t>Matt Satin</t>
  </si>
  <si>
    <t>72% Polyester 28% Cotton</t>
  </si>
  <si>
    <t>50% Cotton 50% Polyester</t>
  </si>
  <si>
    <t>Maurice Kain Berkshire TBA</t>
  </si>
  <si>
    <t>100% Polyester weighted hem</t>
  </si>
  <si>
    <t>58% Polyester 42% Cotton</t>
  </si>
  <si>
    <t>60% Polyester 40% Cotton</t>
  </si>
  <si>
    <t>100% Linen</t>
  </si>
  <si>
    <t>Hospital</t>
  </si>
  <si>
    <t>Anodised Silver</t>
  </si>
  <si>
    <t>Designer 25 S-Fold Cord Drawn</t>
  </si>
  <si>
    <t>Designer 25 S-Fold Hand Drawn</t>
  </si>
  <si>
    <t>TBA</t>
  </si>
  <si>
    <t>System 30 Heavy Duty Commercial Track Hand Drawn</t>
  </si>
  <si>
    <t>System 20 Light Commercial Track Cord Drawn</t>
  </si>
  <si>
    <t>System 20 Light Commercial Track Hand Drawn</t>
  </si>
  <si>
    <t>Pelmet</t>
  </si>
  <si>
    <t>Pelmet Shape</t>
  </si>
  <si>
    <t>Pelmet Face Size</t>
  </si>
  <si>
    <t>Pelmet Returns</t>
  </si>
  <si>
    <t>Pelmet Return Size</t>
  </si>
  <si>
    <t>Tiebacks</t>
  </si>
  <si>
    <t>Tieback Hooks</t>
  </si>
  <si>
    <t>Pelmet Add to Width</t>
  </si>
  <si>
    <t>Pelmet Piping</t>
  </si>
  <si>
    <t>Pelmet Order Form</t>
  </si>
  <si>
    <t>Pelmet/Valnce Type</t>
  </si>
  <si>
    <t>Piping</t>
  </si>
  <si>
    <t>Pelmet add</t>
  </si>
  <si>
    <t>Add</t>
  </si>
  <si>
    <t>20mm to Each Side</t>
  </si>
  <si>
    <t>20mm to 1 Side Only</t>
  </si>
  <si>
    <t>50mm to Each Side</t>
  </si>
  <si>
    <t>50mm to 1 Side Only</t>
  </si>
  <si>
    <t>None</t>
  </si>
  <si>
    <t>Conduit x 2</t>
  </si>
  <si>
    <t>Pencil Pleat for Sheers (Less Fullness x 2.2)</t>
  </si>
  <si>
    <t>Rod Pocket Top &amp; Bottom (Standard Fullness x 2.5)</t>
  </si>
  <si>
    <t>Rod Pocket Top &amp; Bottom (Extra Fullness x 3))</t>
  </si>
  <si>
    <t>Rod Pocket Top &amp; Bottom (Less Fullness x 2)</t>
  </si>
  <si>
    <t>CURTAINS, SHEERS &amp; TRACKS Job Sheet</t>
  </si>
  <si>
    <t>Antique Brass</t>
  </si>
  <si>
    <t>Muslin Brackets Top &amp; Bottom</t>
  </si>
  <si>
    <t>Rod Brackets</t>
  </si>
  <si>
    <t>No.</t>
  </si>
  <si>
    <t>Muslin Brackets Top and Bottom</t>
  </si>
  <si>
    <t>N/A</t>
  </si>
  <si>
    <t>Curtain Width (cm)</t>
  </si>
  <si>
    <t>Curtain Drop (cm)</t>
  </si>
  <si>
    <t>Fabric Cut Length (cm)</t>
  </si>
  <si>
    <t>Fabric Width (cm)</t>
  </si>
  <si>
    <t>Velcro Top Flat Fabric</t>
  </si>
  <si>
    <t>No Hooks Velcro</t>
  </si>
  <si>
    <t>Hooks Eyelot Colour</t>
  </si>
  <si>
    <t>100% Polyester with Teflon</t>
  </si>
  <si>
    <t>100% Acrylic with Weighted Base</t>
  </si>
  <si>
    <t>100% Polyester with Weighted Base</t>
  </si>
  <si>
    <t>50% Polyester 50% Cotton</t>
  </si>
  <si>
    <t>S-Fold Heavy Duty Hand Operation</t>
  </si>
  <si>
    <t>S-Fold Heavy Duty Cord Operation</t>
  </si>
  <si>
    <t>50% Polyester 50% Viscose</t>
  </si>
  <si>
    <t>90% Cotton 10% Linen</t>
  </si>
  <si>
    <t>Hospital with Cassette</t>
  </si>
  <si>
    <t>Wavefold (Standard Fullness x 2)</t>
  </si>
  <si>
    <t>Wavefold Hooks</t>
  </si>
  <si>
    <t>Vanda Boldtrak 35 Wavefold</t>
  </si>
  <si>
    <t>Boldtrak Standard 60mm Bracket</t>
  </si>
  <si>
    <t>Tiebacks &amp; Holdbacks</t>
  </si>
  <si>
    <t>Vanda Versatrak 25 Rod with Glides</t>
  </si>
  <si>
    <t>Riverstone</t>
  </si>
  <si>
    <t>Classic White</t>
  </si>
  <si>
    <t>Bronze</t>
  </si>
  <si>
    <t>Pewter</t>
  </si>
  <si>
    <t>Silver Pearl</t>
  </si>
  <si>
    <t>Vanda Boldtrak 25 with Glides</t>
  </si>
  <si>
    <t>Vanda Boldtrak 35 with Glides</t>
  </si>
  <si>
    <t>Vanda Boldtrak 25 S-Fold</t>
  </si>
  <si>
    <t>Vanda Boldtrak 35 S-Fold</t>
  </si>
  <si>
    <t>Track from Vanda</t>
  </si>
  <si>
    <t>Boldtrak Premo 100mm Bracket</t>
  </si>
  <si>
    <t>Boldtrak Premo 140mm Bracket</t>
  </si>
  <si>
    <t>Boldtrak Top Fix Bracket</t>
  </si>
  <si>
    <t>Vanda Boldtrak 25 Wavefold</t>
  </si>
  <si>
    <t>Wavefold (Less Fullness x 1.8)</t>
  </si>
  <si>
    <t>Holdbacks</t>
  </si>
  <si>
    <t>Tie Backs with Piping(Pair)</t>
  </si>
  <si>
    <t>Tie Backs with Piping(Single)</t>
  </si>
  <si>
    <t>Tie Backs with No Piping(Pair)</t>
  </si>
  <si>
    <t>Tie Backs with No Piping(Single)</t>
  </si>
  <si>
    <t>Vanda Holdback Ball End Left</t>
  </si>
  <si>
    <t>Vanda Holdback Ball End Pair</t>
  </si>
  <si>
    <t>Vanda Holdback Ball End Right</t>
  </si>
  <si>
    <t>Vanda Holdback Basket Left</t>
  </si>
  <si>
    <t>Vanda Holdback Basket Pair</t>
  </si>
  <si>
    <t>Vanda Holdback Basket Right</t>
  </si>
  <si>
    <t>Vanda Holdback French Hook Left</t>
  </si>
  <si>
    <t>Vanda Holdback French Hook Pair</t>
  </si>
  <si>
    <t>Vanda Holdback French Hook Right</t>
  </si>
  <si>
    <t>Vanda Holdback Mushroom Left</t>
  </si>
  <si>
    <t>Vanda Holdback Mushroom Pair</t>
  </si>
  <si>
    <t>Vanda Holdback Mushroom Right</t>
  </si>
  <si>
    <t>Vanda Holdback Mushroom Stem Left</t>
  </si>
  <si>
    <t>Vanda Holdback Mushroom Stem Pair</t>
  </si>
  <si>
    <t>Vanda Holdback Mushroom Stem Right</t>
  </si>
  <si>
    <t>Vanda Holdback Rosette Stem Left</t>
  </si>
  <si>
    <t>Vanda Holdback Rosette Stem Pair</t>
  </si>
  <si>
    <t>Vanda Holdback Rosette Stem Right</t>
  </si>
  <si>
    <t>No Track or Rod Required</t>
  </si>
  <si>
    <t>Maurice Kain Synergy Coated Caraway</t>
  </si>
  <si>
    <t>Maurice Kain Synergy Coated Carmen</t>
  </si>
  <si>
    <t>Maurice Kain Synergy Coated Clay</t>
  </si>
  <si>
    <t>Maurice Kain Synergy Coated Colonial</t>
  </si>
  <si>
    <t>Maurice Kain Synergy Coated Enigma</t>
  </si>
  <si>
    <t>Maurice Kain Synergy Coated Fossil</t>
  </si>
  <si>
    <t>Maurice Kain Synergy Coated Marble</t>
  </si>
  <si>
    <t>Maurice Kain Synergy Coated Muse</t>
  </si>
  <si>
    <t>Maurice Kain Synergy Coated Sandcastle</t>
  </si>
  <si>
    <t>Maurice Kain Synergy Coated Solitaire</t>
  </si>
  <si>
    <t>Maurice Kain Synergy Coated Strata</t>
  </si>
  <si>
    <t>Maurice Kain Synergy Coated Urban</t>
  </si>
  <si>
    <t>Maurice Kain Synergy Coated Vanilla</t>
  </si>
  <si>
    <t>Maurice Kain Synergy Coated Vitra</t>
  </si>
  <si>
    <t>Sonata Showercube White</t>
  </si>
  <si>
    <t>69% Polyester 31% Linen</t>
  </si>
  <si>
    <t>Designer 38 S-Fold Cord Drawn</t>
  </si>
  <si>
    <t>Designer 38 S-Fold Hand Drawn</t>
  </si>
  <si>
    <t>Designer 25 Wavefold Cord Drawn</t>
  </si>
  <si>
    <t>Designer 25 Wavefold Hand Drawn</t>
  </si>
  <si>
    <t>Designer 38 Wavefold Cord Drawn</t>
  </si>
  <si>
    <t>Designer 38 Wavefold Hand Drawn</t>
  </si>
  <si>
    <t>Wavefold Cord Operation</t>
  </si>
  <si>
    <t>Wavefold Hand Operation</t>
  </si>
  <si>
    <t>Maurice Kain Linz Coated Breeze</t>
  </si>
  <si>
    <t>Maurice Kain Linz Coated Cocoa</t>
  </si>
  <si>
    <t>Maurice Kain Linz Coated Coven</t>
  </si>
  <si>
    <t>Maurice Kain Linz Coated Mercury</t>
  </si>
  <si>
    <t>Maurice Kain Linz Coated Moon</t>
  </si>
  <si>
    <t>Maurice Kain Linz Coated Moss</t>
  </si>
  <si>
    <t>Maurice Kain Linz Coated Mushroom</t>
  </si>
  <si>
    <t>Maurice Kain Linz Coated Pearl</t>
  </si>
  <si>
    <t>Maurice Kain Linz Coated Sand</t>
  </si>
  <si>
    <t>Maurice Kain Linz Coated Vellum</t>
  </si>
  <si>
    <t>Maurice Kain Linz Coated TBA</t>
  </si>
  <si>
    <t>Filigree Cologne Coated Alabaster</t>
  </si>
  <si>
    <t>Filigree Cologne Coated Pebble</t>
  </si>
  <si>
    <t>Filigree Cologne Coated Stone</t>
  </si>
  <si>
    <t>Filigree Cologne Coated Tasman</t>
  </si>
  <si>
    <t>Filigree Cologne Coated navy</t>
  </si>
  <si>
    <t>Filigree Cologne Coated Ruby</t>
  </si>
  <si>
    <t>Filigree Cologne Coated Mist</t>
  </si>
  <si>
    <t>Filigree Cologne Coated Silver</t>
  </si>
  <si>
    <t>Filigree Cologne Coated Gravel</t>
  </si>
  <si>
    <t>Filigree Cologne Coated Ebony</t>
  </si>
  <si>
    <t>Filigree Cologne Coated TBA</t>
  </si>
  <si>
    <t>Polyester/ Viscose</t>
  </si>
  <si>
    <t>Polyester/ Cotton</t>
  </si>
  <si>
    <t>Hooks or Eyelot Colour</t>
  </si>
  <si>
    <t>Customer.Warning</t>
  </si>
  <si>
    <t>Customer.WarningColour</t>
  </si>
  <si>
    <t>Tape with Track</t>
  </si>
  <si>
    <t>Renaissance Decorator Rod Cord Drawn</t>
  </si>
  <si>
    <t>Renaissance Decorator Rod Hand Drawn</t>
  </si>
  <si>
    <t>Wavefold Heavy Duty Hand Operation</t>
  </si>
  <si>
    <t>Wavefold Heavy Duty Cord Operation</t>
  </si>
  <si>
    <t>Polyster</t>
  </si>
  <si>
    <t>Cotton</t>
  </si>
  <si>
    <t>Curtain Workroom</t>
  </si>
  <si>
    <t>F3A</t>
  </si>
  <si>
    <t>Pelmet Width (mm)</t>
  </si>
  <si>
    <t>Face Size (mm)</t>
  </si>
  <si>
    <t>Return Size (mm)</t>
  </si>
  <si>
    <t>100mm Brackets</t>
  </si>
  <si>
    <t>170mm Brackets</t>
  </si>
  <si>
    <t>Eyelots (Standard Fullness x 2.5)</t>
  </si>
  <si>
    <t>Eyelots (Extra Fullness x 2.8)</t>
  </si>
  <si>
    <t>F4</t>
  </si>
  <si>
    <t>C4W</t>
  </si>
  <si>
    <t>CURTAIN TRACK/ROD Bagging</t>
  </si>
  <si>
    <t>Bagging</t>
  </si>
  <si>
    <t>Maurice Kain Stratford Coated Camellia</t>
  </si>
  <si>
    <t>Maurice Kain Stratford Coated Serene</t>
  </si>
  <si>
    <t>Maurice Kain Stratford Coated Antique</t>
  </si>
  <si>
    <t>Maurice Kain Stratford Coated Mushroom</t>
  </si>
  <si>
    <t>Maurice Kain Stratford Coated Ceramic</t>
  </si>
  <si>
    <t>Maurice Kain Stratford Coated Feather</t>
  </si>
  <si>
    <t>Maurice Kain Stratford Coated Lemongrass</t>
  </si>
  <si>
    <t>Maurice Kain Stratford Coated Mineral</t>
  </si>
  <si>
    <t>Maurice Kain Stratford Coated Delta</t>
  </si>
  <si>
    <t>Maurice Kain Stratford Coated Heather</t>
  </si>
  <si>
    <t>Maurice Kain Stratford Coated Dusk</t>
  </si>
  <si>
    <t>Maurice Kain Stratford Coated Fog</t>
  </si>
  <si>
    <t>Maurice Kain Stratford Coated Peppercorn</t>
  </si>
  <si>
    <t>Maurice Kain Stratford Coated Stirling</t>
  </si>
  <si>
    <t>Maurice Kain Stratford Coated TBA</t>
  </si>
  <si>
    <t>63% Polyester 21% Viscose 16% Cotton</t>
  </si>
  <si>
    <t>52% Ployester 48% Cotton</t>
  </si>
  <si>
    <t>Triple Face Fix Brackets</t>
  </si>
  <si>
    <t>None Required</t>
  </si>
  <si>
    <t>80% Polyester, 20% Linen</t>
  </si>
  <si>
    <t>Hem</t>
  </si>
  <si>
    <t>Metal Top Fix Brackets</t>
  </si>
  <si>
    <t>Vanda Flushfit Recessed Track Wavefold</t>
  </si>
  <si>
    <t>Maurice Kain Innsbruck Coated Breeze</t>
  </si>
  <si>
    <t>Maurice Kain Innsbruck Coated Cocoa</t>
  </si>
  <si>
    <t>Maurice Kain Innsbruck Coated Coven</t>
  </si>
  <si>
    <t>Maurice Kain Innsbruck Coated Mercury</t>
  </si>
  <si>
    <t>Maurice Kain Innsbruck Coated Moon</t>
  </si>
  <si>
    <t>Maurice Kain Innsbruck Coated Moss</t>
  </si>
  <si>
    <t>Maurice Kain Innsbruck Coated Mushroom</t>
  </si>
  <si>
    <t>Maurice Kain Innsbruck Coated Pearl</t>
  </si>
  <si>
    <t>Maurice Kain Innsbruck Coated Sand</t>
  </si>
  <si>
    <t>Maurice Kain Innsbruck Coated Vellum</t>
  </si>
  <si>
    <t>Maurice Kain Innsbruck Coated TBA</t>
  </si>
  <si>
    <t>61% Polyester 39% Cotton</t>
  </si>
  <si>
    <t>56% Polyester 44% Cotton</t>
  </si>
  <si>
    <t>20mm Break (20mm on Floor)</t>
  </si>
  <si>
    <t>40mm Break (40mm on Floor)</t>
  </si>
  <si>
    <t>83% Polyester 17% Cotton</t>
  </si>
  <si>
    <t>51% Linen 49% Polyester</t>
  </si>
  <si>
    <t>60% Cotton 40% Polyester</t>
  </si>
  <si>
    <t>100% Cotton</t>
  </si>
  <si>
    <t>50mm Puddling on the floor</t>
  </si>
  <si>
    <t>43%VIcose22% Cotton 35% Linen</t>
  </si>
  <si>
    <t>Thru Double Track (Front)</t>
  </si>
  <si>
    <t>Butt Double Track (Front)</t>
  </si>
  <si>
    <t>Clarke &amp; Clarke Ophelia Charcoal/Ochre</t>
  </si>
  <si>
    <t>10% Linen 90% Cotton</t>
  </si>
  <si>
    <t>Clarke &amp; Clarke Ophelia Denim</t>
  </si>
  <si>
    <t>Clarke &amp; Clarke Ophelia Mineral</t>
  </si>
  <si>
    <t>Clarke &amp; Clarke Ophelia Multi</t>
  </si>
  <si>
    <t>Clarke &amp; Clarke Ophelia Teal/Spice</t>
  </si>
  <si>
    <t>Clarke &amp; Clarke Ophelia TBA</t>
  </si>
  <si>
    <t>Clarke &amp; Clarke Passiflora Charcoal</t>
  </si>
  <si>
    <t>Clarke &amp; Clarke Passiflora Kingfisher</t>
  </si>
  <si>
    <t>Clarke &amp; Clarke Passiflora Midnight/ Spice</t>
  </si>
  <si>
    <t>Clarke &amp; Clarke Passiflora Mineral/ Blush</t>
  </si>
  <si>
    <t>Clarke &amp; Clarke Passiflora Slate/Amethyst</t>
  </si>
  <si>
    <t>Clarke &amp; Clarke Passiflora TBA</t>
  </si>
  <si>
    <t>Clarke &amp; Clarke Hortus Blush</t>
  </si>
  <si>
    <t>Clarke &amp; Clarke Hortus Charocal/Ochre</t>
  </si>
  <si>
    <t>Clarke &amp; Clarke Hortus Chartreuse</t>
  </si>
  <si>
    <t>Clarke &amp; Clarke Hortus Linen</t>
  </si>
  <si>
    <t>Clarke &amp; Clarke Hortus Mineral</t>
  </si>
  <si>
    <t>Clarke &amp; Clarke Hortus TBA</t>
  </si>
  <si>
    <t>Track Rod Colour</t>
  </si>
  <si>
    <t>Track Rod Type</t>
  </si>
  <si>
    <t>Rod Pocket (Extra Fullness x 3)</t>
  </si>
  <si>
    <t>Vanda Boldtrak 32 with Glides</t>
  </si>
  <si>
    <t>Existing Normal Track</t>
  </si>
  <si>
    <t>Existing Eyelot Rod</t>
  </si>
  <si>
    <t>Existing Conduit or Wire</t>
  </si>
  <si>
    <t>Existing Hospital Track</t>
  </si>
  <si>
    <t>Existing Normal S-Fold Track</t>
  </si>
  <si>
    <t>Existing Normal Wavefold Track</t>
  </si>
  <si>
    <t>Existing Vanda Flushfit Recessed Track Wavefold</t>
  </si>
  <si>
    <t xml:space="preserve">Please Deliver Tapes to </t>
  </si>
  <si>
    <t>Existing Decorator Track</t>
  </si>
  <si>
    <t>Headboard Size(mm)</t>
  </si>
  <si>
    <t>M</t>
  </si>
  <si>
    <t>Thru Double Track (Back)</t>
  </si>
  <si>
    <t>Butt Double Track (Back)</t>
  </si>
  <si>
    <t>100% Polyester, Silicone Coated</t>
  </si>
  <si>
    <t>C11</t>
  </si>
  <si>
    <t>Thru &amp; Wall to Wall</t>
  </si>
  <si>
    <t>Butt &amp; Wall to Wall</t>
  </si>
  <si>
    <t>3A</t>
  </si>
  <si>
    <t>45 Degree Bay 2 Bends</t>
  </si>
  <si>
    <t>90 Degree Corner Window 1 Bends</t>
  </si>
  <si>
    <t>Double 45 Degree Bay 2 Bends Front Track</t>
  </si>
  <si>
    <t>Double 45 Degree Bay 2 Bends Back Track</t>
  </si>
  <si>
    <t>Double 90 Degree Corner Window 1  Bends Front Track</t>
  </si>
  <si>
    <t>Double 90 Degree Corner Window 1  Bends Back Track</t>
  </si>
  <si>
    <t>55% Belgian Linen, 45% Cotton</t>
  </si>
  <si>
    <t>50% Polyester/50% Cotton</t>
  </si>
  <si>
    <t>Maurice Kain Carousel Coated Alabaster</t>
  </si>
  <si>
    <t>Maurice Kain Carousel Coated Bronco</t>
  </si>
  <si>
    <t>Maurice Kain Carousel Coated Cascade</t>
  </si>
  <si>
    <t>Maurice Kain Carousel Coated Concord</t>
  </si>
  <si>
    <t>Maurice Kain Carousel Coated Ivory</t>
  </si>
  <si>
    <t>Maurice Kain Carousel Coated Limestone</t>
  </si>
  <si>
    <t>Maurice Kain Carousel Coated Mist</t>
  </si>
  <si>
    <t>Maurice Kain Carousel Coated Pumice</t>
  </si>
  <si>
    <t>Maurice Kain Carousel Coated Putty</t>
  </si>
  <si>
    <t>Maurice Kain Carousel Coated Shadow</t>
  </si>
  <si>
    <t>Maurice Kain Carousel Coated Slate</t>
  </si>
  <si>
    <t>Maurice Kain Carousel Coated Stone</t>
  </si>
  <si>
    <t>Maurice Kain Carousel Coated TBA</t>
  </si>
  <si>
    <t>Maurice Kain Carousel Coated Tempting</t>
  </si>
  <si>
    <t>Maurice Kain Carousel Coated Tussock</t>
  </si>
  <si>
    <t>Clarke &amp; Clarke Black and White Black and White</t>
  </si>
  <si>
    <t>62% Cotton 38% Polyester</t>
  </si>
  <si>
    <t>Clarke &amp; Clarke Palampore Chartreuse</t>
  </si>
  <si>
    <t>Clarke &amp; Clarke Palampore Taupe</t>
  </si>
  <si>
    <t>Clarke &amp; Clarke Palampore Denim</t>
  </si>
  <si>
    <t>Clarke &amp; Clarke Palampore TBA</t>
  </si>
  <si>
    <t>Maurice Kain Forest Friends Natural</t>
  </si>
  <si>
    <t>100% Recycled Polyester</t>
  </si>
  <si>
    <t>78% Polyester / 22% Cotton</t>
  </si>
  <si>
    <t>30% Linen 70% Viscose</t>
  </si>
  <si>
    <t>46% Polyester 31% Cotton 23% Viscose</t>
  </si>
  <si>
    <t>85% Polyester 15% Cotton</t>
  </si>
  <si>
    <t>100% Polyester, Acrylic Coated</t>
  </si>
  <si>
    <t>Gummerson Magnetic 2nd Edition Blockout Onyx</t>
  </si>
  <si>
    <t>Gummerson Magnetic 2nd Edition Blockout Charcoal</t>
  </si>
  <si>
    <t>Gummerson Magnetic 2nd Edition Blockout Gunmetal</t>
  </si>
  <si>
    <t>Gummerson Magnetic 2nd Edition Blockout Storm</t>
  </si>
  <si>
    <t>Gummerson Magnetic 2nd Edition Blockout Vapour</t>
  </si>
  <si>
    <t>Gummerson Magnetic 2nd Edition Blockout Quartz</t>
  </si>
  <si>
    <t>Gummerson Magnetic 2nd Edition Blockout Mist</t>
  </si>
  <si>
    <t>Gummerson Magnetic 2nd Edition Blockout Eggshell</t>
  </si>
  <si>
    <t>Gummerson Magnetic 2nd Edition Blockout Sand</t>
  </si>
  <si>
    <t>Gummerson Magnetic 2nd Edition Blockout Linen</t>
  </si>
  <si>
    <t>Gummerson Magnetic 2nd Edition Blockout Driftwood</t>
  </si>
  <si>
    <t>Gummerson Magnetic 2nd Edition Blockout Lichen</t>
  </si>
  <si>
    <t>Gummerson Magnetic 2nd Edition Blockout Sage</t>
  </si>
  <si>
    <t>Gummerson Magnetic 2nd Edition Blockout Haze</t>
  </si>
  <si>
    <t>Gummerson Magnetic 2nd Edition Blockout Merlot</t>
  </si>
  <si>
    <t>Gummerson Magnetic 2nd Edition Blockout Mignight</t>
  </si>
  <si>
    <t>Gummerson Magnetic 2nd Edition Blockout Navy</t>
  </si>
  <si>
    <t>Gummerson Magnetic 2nd Edition Blockout Electric</t>
  </si>
  <si>
    <t>Gummerson Magnetic 2nd Edition Blockout Bluestone</t>
  </si>
  <si>
    <t>Gummerson Magnetic 2nd Edition Blockout Denim</t>
  </si>
  <si>
    <t>Gummerson Magnetic 2nd Edition Blockout Silver</t>
  </si>
  <si>
    <t>Gummerson Magnetic 2nd Edition Blockout Lunar</t>
  </si>
  <si>
    <t>Gummerson Magnetic 2nd Edition Blockout Snow</t>
  </si>
  <si>
    <t>Gummerson Magnetic 2nd Edition Blockout TBA</t>
  </si>
  <si>
    <t>Swaffer Bracken Linen 25</t>
  </si>
  <si>
    <t>Swaffer Bracken Cotton 73</t>
  </si>
  <si>
    <t>Swaffer Bracken Cotton 23</t>
  </si>
  <si>
    <t>Swaffer Bracken Cotton 53</t>
  </si>
  <si>
    <t>Swaffer Bracken Cotton 43</t>
  </si>
  <si>
    <t>Swaffer Bracken Cotton TBA</t>
  </si>
  <si>
    <t>Hospital Track No Hooks</t>
  </si>
  <si>
    <t>Overlap</t>
  </si>
  <si>
    <t>O/Lap Size</t>
  </si>
  <si>
    <t>Matt Black Ink</t>
  </si>
  <si>
    <t>70% Recycled Wool 25% Polyamide 5% Acrylic</t>
  </si>
  <si>
    <t>86% Polyester 8% Cotton 6% Linen</t>
  </si>
  <si>
    <t>74% Polyster 26% Cotton</t>
  </si>
  <si>
    <t>66% cotton 17% Viscose 17% Linen</t>
  </si>
  <si>
    <t>Linen/Polyester</t>
  </si>
  <si>
    <t xml:space="preserve">40% Linen 60% Polyester </t>
  </si>
  <si>
    <t>80% Linen 20% Polyester</t>
  </si>
  <si>
    <t>Hoad Meteor Coated Beige</t>
  </si>
  <si>
    <t>Hoad Meteor Coated Buff</t>
  </si>
  <si>
    <t>Hoad Meteor Coated Dove</t>
  </si>
  <si>
    <t>Hoad Meteor Coated Granite</t>
  </si>
  <si>
    <t>Hoad Meteor Coated Latte</t>
  </si>
  <si>
    <t>Hoad Meteor Coated Onyx</t>
  </si>
  <si>
    <t>Hoad Meteor Coated Platinum</t>
  </si>
  <si>
    <t>Hoad Meteor Coated Rope</t>
  </si>
  <si>
    <t>Hoad Meteor Coated Sand</t>
  </si>
  <si>
    <t>Hoad Meteor Coated TBA</t>
  </si>
  <si>
    <t>54% Polyester 36% Viscose 10% Linen</t>
  </si>
  <si>
    <t>50 % Cotton 50% Polyester</t>
  </si>
  <si>
    <t>40% Cotton 60% Polyester</t>
  </si>
  <si>
    <t>100 % Polyester</t>
  </si>
  <si>
    <t>59% Tencel 25% Wool 16% Polyester</t>
  </si>
  <si>
    <t>Heading</t>
  </si>
  <si>
    <t>Continuous Width Allowance</t>
  </si>
  <si>
    <t>Centre Opening - Free Flowing</t>
  </si>
  <si>
    <t>86% Polyester 14% Cotton</t>
  </si>
  <si>
    <t>70% Polyester 30% Acrylic</t>
  </si>
  <si>
    <t>66% Polyester 17% Cotton 17% Acrylic</t>
  </si>
  <si>
    <t>70% Cotton, 30% Linen</t>
  </si>
  <si>
    <t>52% Polyester 48% Cotton</t>
  </si>
  <si>
    <t>G</t>
  </si>
  <si>
    <t>Boldtrak Premo Double Bracket Suit 16mm on Back</t>
  </si>
  <si>
    <t>Single</t>
  </si>
  <si>
    <t>Versatrak Glide Bracket 40mm</t>
  </si>
  <si>
    <t>Versatrak Glide Bracket 100mm</t>
  </si>
  <si>
    <t>Versatrak Glide Bracket 140mm</t>
  </si>
  <si>
    <t>Versatrak Glide Bracket 60mm</t>
  </si>
  <si>
    <t>Versatrak Ultra Top Fix Glide Bracket</t>
  </si>
  <si>
    <t>Versatrak Top Fix Ring Bracket</t>
  </si>
  <si>
    <t>Versatrak 16mm Front and 25mm Back Combo Glide Bracket</t>
  </si>
  <si>
    <t>Versatrak 25mm Front and Back Combo Glide Bracket</t>
  </si>
  <si>
    <t>Versatrak 25mm Ring Front and 25mm Glide Back Combo Bracket</t>
  </si>
  <si>
    <t>Versatrak 25mm Glide Front and 16mm Glide Back Combo Bracket</t>
  </si>
  <si>
    <t>Versatrak 25mm Ring Front and 16mm Glide Back Combo Bracket</t>
  </si>
  <si>
    <t>Versatrak 16mm Front and Back Combo Glide Bracket</t>
  </si>
  <si>
    <t>Vanda Versatrak 25 Rod with Rings</t>
  </si>
  <si>
    <t>Versatrak Ring Bracket 60mm</t>
  </si>
  <si>
    <t>Versatrak Ring Bracket 100mm</t>
  </si>
  <si>
    <t>Versatrak Ring Bracket 140mm</t>
  </si>
  <si>
    <t>Drop Deduction</t>
  </si>
  <si>
    <t>Width Deduction</t>
  </si>
  <si>
    <t>Bracket Deduction</t>
  </si>
  <si>
    <t>Single/Double Track</t>
  </si>
  <si>
    <t>Double Front</t>
  </si>
  <si>
    <t>Double Rear</t>
  </si>
  <si>
    <t>Single or Double</t>
  </si>
  <si>
    <t>52% Polyester 48% Cotton with Viscose Embroidery</t>
  </si>
  <si>
    <t>65% Polyester 35% Cotton</t>
  </si>
  <si>
    <t>Hoad Lynx (Continuous) Sheer Charcoal</t>
  </si>
  <si>
    <t>Hoad Lynx (Continuous) Sheer Ivory</t>
  </si>
  <si>
    <t>Hoad Lynx (Continuous) Sheer Linen</t>
  </si>
  <si>
    <t>Hoad Lynx (Continuous) Sheer Moonlight</t>
  </si>
  <si>
    <t>Hoad Lynx (Continuous) Sheer Nimbus</t>
  </si>
  <si>
    <t>Hoad Lynx (Continuous) Sheer Pewter</t>
  </si>
  <si>
    <t>Hoad Lynx (Continuous) Sheer Quartz</t>
  </si>
  <si>
    <t>Hoad Lynx (Continuous) Sheer Sand</t>
  </si>
  <si>
    <t>Hoad Lynx (Continuous) Sheer TBA</t>
  </si>
  <si>
    <t>Hoad Lynx (Continuous) Sheer Vapour</t>
  </si>
  <si>
    <t>Hoad Lynx (Continuous) Sheer White</t>
  </si>
  <si>
    <t>Maurice Kain Pilbara (Continuous) Sheer Linen</t>
  </si>
  <si>
    <t>Maurice Kain Pilbara (Continuous) Sheer Marble</t>
  </si>
  <si>
    <t>Maurice Kain Pilbara (Continuous) Sheer Quartz</t>
  </si>
  <si>
    <t>Maurice Kain Pilbara (Continuous) Sheer Stone</t>
  </si>
  <si>
    <t>Maurice Kain Pilbara (Continuous) Sheer Taupe</t>
  </si>
  <si>
    <t>Maurice Kain Pilbara (Continuous) Sheer TBA</t>
  </si>
  <si>
    <t>Filigree Supremo (Continuous) Sheer White</t>
  </si>
  <si>
    <t>Filigree Supremo (Continuous) Sheer Champagne</t>
  </si>
  <si>
    <t>Filigree Supremo (Continuous) Sheer Merino</t>
  </si>
  <si>
    <t>Filigree Supremo (Continuous) Sheer Ash</t>
  </si>
  <si>
    <t>Filigree Supremo (Continuous) Sheer Seal</t>
  </si>
  <si>
    <t>Filigree Supremo (Continuous) Sheer Steel</t>
  </si>
  <si>
    <t>Filigree Supremo (Continuous) Sheer Dusk</t>
  </si>
  <si>
    <t>Filigree Supremo (Continuous) Sheer Iron</t>
  </si>
  <si>
    <t>Filigree Supremo (Continuous) Sheer Baltic Sea</t>
  </si>
  <si>
    <t>Filigree Supremo (Continuous) Sheer Black</t>
  </si>
  <si>
    <t>Filigree Supremo (Continuous) Sheer TBA</t>
  </si>
  <si>
    <t>Maurice Kain Pilbara (Continuous) Sheer Granite</t>
  </si>
  <si>
    <t>Maurice Kain Pilbara (Continuous) Sheer Parchment</t>
  </si>
  <si>
    <t>Maurice Kain Pilbara (Continuous) Sheer Bronze</t>
  </si>
  <si>
    <t>Maurice Kain Pilbara (Continuous) Sheer Volcanic</t>
  </si>
  <si>
    <t>Maurice Kain Pilbara (Continuous) Sheer Flint</t>
  </si>
  <si>
    <t>Maurice Kain Pilbara (Continuous) Sheer Ice</t>
  </si>
  <si>
    <t>Warwick Paros (Continuous) Sheer Linen</t>
  </si>
  <si>
    <t>Warwick Paros (Continuous) Sheer Sepia</t>
  </si>
  <si>
    <t>Warwick Paros (Continuous) Sheer Snow</t>
  </si>
  <si>
    <t>Warwick Paros (Continuous) Sheer Taupe</t>
  </si>
  <si>
    <t>Zepel Flo (Continuous) Sheer Almond</t>
  </si>
  <si>
    <t>Zepel Flo (Continuous) Sheer Azalea</t>
  </si>
  <si>
    <t>Zepel Flo (Continuous) Sheer Berry</t>
  </si>
  <si>
    <t>Zepel Flo (Continuous) Sheer Bordeaux</t>
  </si>
  <si>
    <t>Zepel Flo (Continuous) Sheer Brick</t>
  </si>
  <si>
    <t>Zepel Flo (Continuous) Sheer Bronze</t>
  </si>
  <si>
    <t>Zepel Flo (Continuous) Sheer Chestnut</t>
  </si>
  <si>
    <t>Zepel Flo (Continuous) Sheer Chinchila</t>
  </si>
  <si>
    <t>Zepel Flo (Continuous) Sheer Cream</t>
  </si>
  <si>
    <t>Zepel Flo (Continuous) Sheer Curacao</t>
  </si>
  <si>
    <t>Zepel Flo (Continuous) Sheer Feather</t>
  </si>
  <si>
    <t>Zepel Flo (Continuous) Sheer Frost</t>
  </si>
  <si>
    <t>Zepel Flo (Continuous) Sheer Greige</t>
  </si>
  <si>
    <t>Zepel Flo (Continuous) Sheer Horizon</t>
  </si>
  <si>
    <t>Zepel Flo (Continuous) Sheer Ice</t>
  </si>
  <si>
    <t>Zepel Flo (Continuous) Sheer Lime</t>
  </si>
  <si>
    <t>Zepel Flo (Continuous) Sheer Mandarin</t>
  </si>
  <si>
    <t>Zepel Flo (Continuous) Sheer Marble</t>
  </si>
  <si>
    <t>Zepel Flo (Continuous) Sheer Marzipan</t>
  </si>
  <si>
    <t>Zepel Flo (Continuous) Sheer Mineral</t>
  </si>
  <si>
    <t>Zepel Flo (Continuous) Sheer Moss</t>
  </si>
  <si>
    <t>Zepel Flo (Continuous) Sheer Onyx</t>
  </si>
  <si>
    <t>Zepel Flo (Continuous) Sheer Papyrus</t>
  </si>
  <si>
    <t>Zepel Flo (Continuous) Sheer Parma</t>
  </si>
  <si>
    <t>Zepel Flo (Continuous) Sheer Pear</t>
  </si>
  <si>
    <t>Zepel Flo (Continuous) Sheer Pelican</t>
  </si>
  <si>
    <t>Zepel Flo (Continuous) Sheer Pesto</t>
  </si>
  <si>
    <t>Zepel Flo (Continuous) Sheer Petal</t>
  </si>
  <si>
    <t>Zepel Flo (Continuous) Sheer Plaza</t>
  </si>
  <si>
    <t>Zepel Flo (Continuous) Sheer Plum</t>
  </si>
  <si>
    <t>Zepel Flo (Continuous) Sheer Pudding</t>
  </si>
  <si>
    <t>Zepel Flo (Continuous) Sheer Putty</t>
  </si>
  <si>
    <t>Zepel Flo (Continuous) Sheer Sesame</t>
  </si>
  <si>
    <t>Zepel Flo (Continuous) Sheer Shark</t>
  </si>
  <si>
    <t>Zepel Flo (Continuous) Sheer Silver</t>
  </si>
  <si>
    <t>Zepel Flo (Continuous) Sheer Snow</t>
  </si>
  <si>
    <t>Zepel Flo (Continuous) Sheer Straw</t>
  </si>
  <si>
    <t>Zepel Flo (Continuous) Sheer Stucco</t>
  </si>
  <si>
    <t>Zepel Flo (Continuous) Sheer TBA</t>
  </si>
  <si>
    <t>Zepel Flo (Continuous) Sheer Vanilla</t>
  </si>
  <si>
    <t>Zepel Flo (Continuous) Sheer Wool</t>
  </si>
  <si>
    <t>Charles Parsons La Palma (Continuous) Sheer Pearl</t>
  </si>
  <si>
    <t>Charles Parsons La Palma (Continuous) Sheer Ash</t>
  </si>
  <si>
    <t>Charles Parsons La Palma (Continuous) Sheer Charcoal</t>
  </si>
  <si>
    <t>Charles Parsons La Palma (Continuous) Sheer Silver</t>
  </si>
  <si>
    <t>Charles Parsons La Palma (Continuous) Sheer TBA</t>
  </si>
  <si>
    <t>Zepel Cirrus (Continuous) Sheer Taupe</t>
  </si>
  <si>
    <t>Zepel Cirrus (Continuous) Sheer Smoke</t>
  </si>
  <si>
    <t>Zepel Cirrus (Continuous) Sheer Slate</t>
  </si>
  <si>
    <t>Zepel Cirrus (Continuous) Sheer Silver</t>
  </si>
  <si>
    <t>Zepel Cirrus (Continuous) Sheer Hay</t>
  </si>
  <si>
    <t>Zepel Cirrus (Continuous) Sheer Farrow</t>
  </si>
  <si>
    <t>Zepel Cirrus (Continuous) Sheer Dove</t>
  </si>
  <si>
    <t>Zepel Cirrus (Continuous) Sheer Charcoal</t>
  </si>
  <si>
    <t>Zepel Cirrus (Continuous) Sheer Chalk</t>
  </si>
  <si>
    <t>Zepel Cirrus (Continuous) Sheer Bone</t>
  </si>
  <si>
    <t>Zepel Cirrus (Continuous) Sheer TBA</t>
  </si>
  <si>
    <t>Hoad Lynx (Drop) Sheer Charcoal</t>
  </si>
  <si>
    <t>Hoad Lynx (Drop) Sheer Ivory</t>
  </si>
  <si>
    <t>Hoad Lynx (Drop) Sheer Linen</t>
  </si>
  <si>
    <t>Hoad Lynx (Drop) Sheer Moonlight</t>
  </si>
  <si>
    <t>Hoad Lynx (Drop) Sheer Nimbus</t>
  </si>
  <si>
    <t>Hoad Lynx (Drop) Sheer Pewter</t>
  </si>
  <si>
    <t>Hoad Lynx (Drop) Sheer Quartz</t>
  </si>
  <si>
    <t>Hoad Lynx (Drop) Sheer Sand</t>
  </si>
  <si>
    <t>Hoad Lynx (Drop) Sheer TBA</t>
  </si>
  <si>
    <t>Hoad Lynx (Drop) Sheer Vapour</t>
  </si>
  <si>
    <t>Hoad Lynx (Drop) Sheer White</t>
  </si>
  <si>
    <t>Sonata Showerguard (Drop) Sheer Pearl</t>
  </si>
  <si>
    <t>Sonata Showerguard (Drop) Sheer TBA</t>
  </si>
  <si>
    <t>Sonata Showerguard (Drop) Sheer White</t>
  </si>
  <si>
    <t>Maurice Kain Pilbara (Drop) Sheer Linen</t>
  </si>
  <si>
    <t>Maurice Kain Pilbara (Drop) Sheer Marble</t>
  </si>
  <si>
    <t>Maurice Kain Pilbara (Drop) Sheer Quartz</t>
  </si>
  <si>
    <t>Maurice Kain Pilbara (Drop) Sheer Stone</t>
  </si>
  <si>
    <t>Maurice Kain Pilbara (Drop) Sheer Taupe</t>
  </si>
  <si>
    <t>Maurice Kain Pilbara (Drop) Sheer TBA</t>
  </si>
  <si>
    <t>Filigree Supremo (Drop) Sheer White</t>
  </si>
  <si>
    <t>Filigree Supremo (Drop) Sheer Champagne</t>
  </si>
  <si>
    <t>Filigree Supremo (Drop) Sheer Merino</t>
  </si>
  <si>
    <t>Filigree Supremo (Drop) Sheer Ash</t>
  </si>
  <si>
    <t>Filigree Supremo (Drop) Sheer Seal</t>
  </si>
  <si>
    <t>Filigree Supremo (Drop) Sheer Steel</t>
  </si>
  <si>
    <t>Filigree Supremo (Drop) Sheer Dusk</t>
  </si>
  <si>
    <t>Filigree Supremo (Drop) Sheer Iron</t>
  </si>
  <si>
    <t>Filigree Supremo (Drop) Sheer Baltic Sea</t>
  </si>
  <si>
    <t>Filigree Supremo (Drop) Sheer Black</t>
  </si>
  <si>
    <t>Filigree Supremo (Drop) Sheer TBA</t>
  </si>
  <si>
    <t>Maurice Kain Pilbara (Drop) Sheer Granite</t>
  </si>
  <si>
    <t>Maurice Kain Pilbara (Drop) Sheer Parchment</t>
  </si>
  <si>
    <t>Maurice Kain Pilbara (Drop) Sheer Bronze</t>
  </si>
  <si>
    <t>Maurice Kain Pilbara (Drop) Sheer Volcanic</t>
  </si>
  <si>
    <t>Maurice Kain Pilbara (Drop) Sheer Flint</t>
  </si>
  <si>
    <t>Maurice Kain Pilbara (Drop) Sheer Ice</t>
  </si>
  <si>
    <t>Warwick Paros (Drop) Sheer Linen</t>
  </si>
  <si>
    <t>Warwick Paros (Drop) Sheer Sepia</t>
  </si>
  <si>
    <t>Warwick Paros (Drop) Sheer Snow</t>
  </si>
  <si>
    <t>Warwick Paros (Drop) Sheer Taupe</t>
  </si>
  <si>
    <t>Zepel Flo (Drop) Sheer Almond</t>
  </si>
  <si>
    <t>Zepel Flo (Drop) Sheer Azalea</t>
  </si>
  <si>
    <t>Zepel Flo (Drop) Sheer Berry</t>
  </si>
  <si>
    <t>Zepel Flo (Drop) Sheer Bordeaux</t>
  </si>
  <si>
    <t>Zepel Flo (Drop) Sheer Brick</t>
  </si>
  <si>
    <t>Zepel Flo (Drop) Sheer Bronze</t>
  </si>
  <si>
    <t>Zepel Flo (Drop) Sheer Chestnut</t>
  </si>
  <si>
    <t>Zepel Flo (Drop) Sheer Chinchila</t>
  </si>
  <si>
    <t>Zepel Flo (Drop) Sheer Cream</t>
  </si>
  <si>
    <t>Zepel Flo (Drop) Sheer Curacao</t>
  </si>
  <si>
    <t>Zepel Flo (Drop) Sheer Feather</t>
  </si>
  <si>
    <t>Zepel Flo (Drop) Sheer Frost</t>
  </si>
  <si>
    <t>Zepel Flo (Drop) Sheer Greige</t>
  </si>
  <si>
    <t>Zepel Flo (Drop) Sheer Horizon</t>
  </si>
  <si>
    <t>Zepel Flo (Drop) Sheer Ice</t>
  </si>
  <si>
    <t>Zepel Flo (Drop) Sheer Lime</t>
  </si>
  <si>
    <t>Zepel Flo (Drop) Sheer Mandarin</t>
  </si>
  <si>
    <t>Zepel Flo (Drop) Sheer Marble</t>
  </si>
  <si>
    <t>Zepel Flo (Drop) Sheer Marzipan</t>
  </si>
  <si>
    <t>Zepel Flo (Drop) Sheer Mineral</t>
  </si>
  <si>
    <t>Zepel Flo (Drop) Sheer Moss</t>
  </si>
  <si>
    <t>Zepel Flo (Drop) Sheer Onyx</t>
  </si>
  <si>
    <t>Zepel Flo (Drop) Sheer Papyrus</t>
  </si>
  <si>
    <t>Zepel Flo (Drop) Sheer Parma</t>
  </si>
  <si>
    <t>Zepel Flo (Drop) Sheer Pear</t>
  </si>
  <si>
    <t>Zepel Flo (Drop) Sheer Pelican</t>
  </si>
  <si>
    <t>Zepel Flo (Drop) Sheer Pesto</t>
  </si>
  <si>
    <t>Zepel Flo (Drop) Sheer Petal</t>
  </si>
  <si>
    <t>Zepel Flo (Drop) Sheer Plaza</t>
  </si>
  <si>
    <t>Zepel Flo (Drop) Sheer Plum</t>
  </si>
  <si>
    <t>Zepel Flo (Drop) Sheer Pudding</t>
  </si>
  <si>
    <t>Zepel Flo (Drop) Sheer Putty</t>
  </si>
  <si>
    <t>Zepel Flo (Drop) Sheer Sesame</t>
  </si>
  <si>
    <t>Zepel Flo (Drop) Sheer Shark</t>
  </si>
  <si>
    <t>Zepel Flo (Drop) Sheer Silver</t>
  </si>
  <si>
    <t>Zepel Flo (Drop) Sheer Snow</t>
  </si>
  <si>
    <t>Zepel Flo (Drop) Sheer Straw</t>
  </si>
  <si>
    <t>Zepel Flo (Drop) Sheer Stucco</t>
  </si>
  <si>
    <t>Zepel Flo (Drop) Sheer TBA</t>
  </si>
  <si>
    <t>Zepel Flo (Drop) Sheer Vanilla</t>
  </si>
  <si>
    <t>Zepel Flo (Drop) Sheer Wool</t>
  </si>
  <si>
    <t>Charles Parsons La Palma (Drop) Sheer Pearl</t>
  </si>
  <si>
    <t>Charles Parsons La Palma (Drop) Sheer Ash</t>
  </si>
  <si>
    <t>Charles Parsons La Palma (Drop) Sheer Charcoal</t>
  </si>
  <si>
    <t>Charles Parsons La Palma (Drop) Sheer Silver</t>
  </si>
  <si>
    <t>Charles Parsons La Palma (Drop) Sheer TBA</t>
  </si>
  <si>
    <t>Zepel Savona (Drop) Sheer Dune</t>
  </si>
  <si>
    <t>Zepel Savona (Drop) Sheer Pure</t>
  </si>
  <si>
    <t>Zepel Savona (Drop) Sheer Raffia</t>
  </si>
  <si>
    <t>Zepel Savona (Drop) Sheer Shadow</t>
  </si>
  <si>
    <t>Zepel Savona (Drop) Sheer TBA</t>
  </si>
  <si>
    <t>Zepel Cirrus (Drop) Sheer Taupe</t>
  </si>
  <si>
    <t>Zepel Cirrus (Drop) Sheer Smoke</t>
  </si>
  <si>
    <t>Zepel Cirrus (Drop) Sheer Slate</t>
  </si>
  <si>
    <t>Zepel Cirrus (Drop) Sheer Silver</t>
  </si>
  <si>
    <t>Zepel Cirrus (Drop) Sheer Hay</t>
  </si>
  <si>
    <t>Zepel Cirrus (Drop) Sheer Farrow</t>
  </si>
  <si>
    <t>Zepel Cirrus (Drop) Sheer Dove</t>
  </si>
  <si>
    <t>Zepel Cirrus (Drop) Sheer Charcoal</t>
  </si>
  <si>
    <t>Zepel Cirrus (Drop) Sheer Chalk</t>
  </si>
  <si>
    <t>Zepel Cirrus (Drop) Sheer Bone</t>
  </si>
  <si>
    <t>Zepel Cirrus (Drop) Sheer TBA</t>
  </si>
  <si>
    <t>Zepel Elegance (Drop) Sheer Dune</t>
  </si>
  <si>
    <t>Zepel Elegance (Drop) Sheer Fog</t>
  </si>
  <si>
    <t>Zepel Elegance (Drop) Sheer Gargoyle</t>
  </si>
  <si>
    <t>Zepel Elegance (Drop) Sheer Pearl</t>
  </si>
  <si>
    <t>Zepel Elegance (Drop) Sheer Sesame</t>
  </si>
  <si>
    <t>Zepel Elegance (Drop) Sheer Snow</t>
  </si>
  <si>
    <t>Zepel Elegance (Drop) Sheer TBA</t>
  </si>
  <si>
    <t>Boyac Dimity (Continuous) Sheer Blanc</t>
  </si>
  <si>
    <t>Boyac Dimity (Continuous) Sheer Ecru</t>
  </si>
  <si>
    <t>Boyac Dimity (Continuous) Sheer Noir</t>
  </si>
  <si>
    <t>Boyac Dimity (Continuous) Sheer TBA</t>
  </si>
  <si>
    <t>Charles Parsons Caracas (Continuous) Sheer Alabaster</t>
  </si>
  <si>
    <t>Charles Parsons Caracas (Continuous) Sheer Feather</t>
  </si>
  <si>
    <t>Charles Parsons Caracas (Continuous) Sheer Ivory</t>
  </si>
  <si>
    <t>Charles Parsons Caracas (Continuous) Sheer Peanut</t>
  </si>
  <si>
    <t>Charles Parsons Caracas (Continuous) Sheer Platinum</t>
  </si>
  <si>
    <t>Charles Parsons Caracas (Continuous) Sheer Pumice</t>
  </si>
  <si>
    <t>Charles Parsons Caracas (Continuous) Sheer Putty</t>
  </si>
  <si>
    <t>Charles Parsons Caracas (Continuous) Sheer Silver</t>
  </si>
  <si>
    <t>Charles Parsons Caracas (Continuous) Sheer Smoke</t>
  </si>
  <si>
    <t>Charles Parsons Caracas (Continuous) Sheer Straw</t>
  </si>
  <si>
    <t>Charles Parsons Caracas (Continuous) Sheer Taupe</t>
  </si>
  <si>
    <t>Charles Parsons Caracas (Continuous) Sheer TBA</t>
  </si>
  <si>
    <t>Charles Parsons Hargrave (Continuous) Sheer Frost</t>
  </si>
  <si>
    <t>Charles Parsons Hargrave (Continuous) Sheer Lead</t>
  </si>
  <si>
    <t>Charles Parsons Hargrave (Continuous) Sheer Optical White</t>
  </si>
  <si>
    <t>Charles Parsons Hargrave (Continuous) Sheer Oyster</t>
  </si>
  <si>
    <t>Charles Parsons Hargrave (Continuous) Sheer Sable</t>
  </si>
  <si>
    <t>Charles Parsons Hargrave (Continuous) Sheer Silver</t>
  </si>
  <si>
    <t>Charles Parsons Hargrave (Continuous) Sheer TBA</t>
  </si>
  <si>
    <t>Charles Parsons Karratha (Continuous) Sheer Black</t>
  </si>
  <si>
    <t>Charles Parsons Karratha (Continuous) Sheer Pearl</t>
  </si>
  <si>
    <t>Charles Parsons Karratha (Continuous) Sheer Silver</t>
  </si>
  <si>
    <t>Charles Parsons Karratha (Continuous) Sheer TBA</t>
  </si>
  <si>
    <t>Charles Parsons Karratha (Continuous) Sheer White</t>
  </si>
  <si>
    <t>Charles Parsons Roebourne (Continuous) Sheer Silver</t>
  </si>
  <si>
    <t>Charles Parsons Roebourne (Continuous) Sheer TBA</t>
  </si>
  <si>
    <t>Filigree Crystal II (Continuous) Sheer Bone</t>
  </si>
  <si>
    <t>Filigree Crystal II (Continuous) Sheer Ivory</t>
  </si>
  <si>
    <t>Filigree Crystal II (Continuous) Sheer TBA</t>
  </si>
  <si>
    <t>Filigree Crystal II (Continuous) Sheer White</t>
  </si>
  <si>
    <t>Filigree Galway (Continuous) Sheer Ivory</t>
  </si>
  <si>
    <t>Filigree Galway (Continuous) Sheer White</t>
  </si>
  <si>
    <t>Filigree Posey (Continuous) Sheer Ivory</t>
  </si>
  <si>
    <t>Filigree Posey (Continuous) Sheer TBA</t>
  </si>
  <si>
    <t>Filigree Posey (Continuous) Sheer White</t>
  </si>
  <si>
    <t>Filigree Rio (Continuous) Sheer Dusk</t>
  </si>
  <si>
    <t>Filigree Rio (Continuous) Sheer Frost</t>
  </si>
  <si>
    <t>Filigree Rio (Continuous) Sheer Gravel</t>
  </si>
  <si>
    <t>Filigree Rio (Continuous) Sheer Midnight</t>
  </si>
  <si>
    <t>Filigree Rio (Continuous) Sheer Oatmeal</t>
  </si>
  <si>
    <t>Filigree Rio (Continuous) Sheer Pumice</t>
  </si>
  <si>
    <t>Filigree Rio (Continuous) Sheer Shadow</t>
  </si>
  <si>
    <t>Filigree Rio (Continuous) Sheer Silver</t>
  </si>
  <si>
    <t>Filigree Rio (Continuous) Sheer Steel</t>
  </si>
  <si>
    <t>Filigree Rio (Continuous) Sheer TBA</t>
  </si>
  <si>
    <t>Filigree Roma II (Continuous) Sheer Bone</t>
  </si>
  <si>
    <t>Filigree Roma II (Continuous) Sheer Ivory</t>
  </si>
  <si>
    <t>Filigree Roma II (Continuous) Sheer TBA</t>
  </si>
  <si>
    <t>Filigree Roma II (Continuous) Sheer White</t>
  </si>
  <si>
    <t>Filigree Trinidad II (Continuous) Sheer Birch</t>
  </si>
  <si>
    <t>Filigree Trinidad II (Continuous) Sheer Champagne</t>
  </si>
  <si>
    <t>Filigree Trinidad II (Continuous) Sheer Ivory</t>
  </si>
  <si>
    <t>Filigree Trinidad II (Continuous) Sheer Marble</t>
  </si>
  <si>
    <t>Filigree Trinidad II (Continuous) Sheer Steel</t>
  </si>
  <si>
    <t>Filigree Trinidad II (Continuous) Sheer TBA</t>
  </si>
  <si>
    <t>Filigree Trinidad II (Continuous) Sheer White</t>
  </si>
  <si>
    <t>Hoad Avoca (Continuous) Sheer Charcoal</t>
  </si>
  <si>
    <t>Hoad Avoca (Continuous) Sheer Cotton</t>
  </si>
  <si>
    <t>Hoad Avoca (Continuous) Sheer Ivory</t>
  </si>
  <si>
    <t>Hoad Avoca (Continuous) Sheer Linen</t>
  </si>
  <si>
    <t>Hoad Avoca (Continuous) Sheer Moonlight</t>
  </si>
  <si>
    <t>Hoad Avoca (Continuous) Sheer Onyx</t>
  </si>
  <si>
    <t>Hoad Avoca (Continuous) Sheer Rope</t>
  </si>
  <si>
    <t>Hoad Avoca (Continuous) Sheer Stone</t>
  </si>
  <si>
    <t>Hoad Avoca (Continuous) Sheer TBA</t>
  </si>
  <si>
    <t>Hoad Avoca (Continuous) Sheer Titanium</t>
  </si>
  <si>
    <t>Hoad Avoca (Continuous) Sheer White</t>
  </si>
  <si>
    <t>Hoad Cloud (Continuous) Sheer Angora</t>
  </si>
  <si>
    <t>Hoad Cloud (Continuous) Sheer Cinder</t>
  </si>
  <si>
    <t>Hoad Cloud (Continuous) Sheer Cobblestone</t>
  </si>
  <si>
    <t>Hoad Cloud (Continuous) Sheer Dove</t>
  </si>
  <si>
    <t>Hoad Cloud (Continuous) Sheer Driftwood</t>
  </si>
  <si>
    <t>Hoad Cloud (Continuous) Sheer Fog</t>
  </si>
  <si>
    <t>Hoad Cloud (Continuous) Sheer Glacier</t>
  </si>
  <si>
    <t>Hoad Cloud (Continuous) Sheer Graphite</t>
  </si>
  <si>
    <t>Hoad Cloud (Continuous) Sheer Gravel</t>
  </si>
  <si>
    <t>Hoad Cloud (Continuous) Sheer Gunmetal</t>
  </si>
  <si>
    <t>Hoad Cloud (Continuous) Sheer Mineral</t>
  </si>
  <si>
    <t>Hoad Cloud (Continuous) Sheer Natural</t>
  </si>
  <si>
    <t>Hoad Cloud (Continuous) Sheer Ocean</t>
  </si>
  <si>
    <t>Hoad Cloud (Continuous) Sheer Onyx</t>
  </si>
  <si>
    <t>Hoad Cloud (Continuous) Sheer Pepper</t>
  </si>
  <si>
    <t>Hoad Cloud (Continuous) Sheer Ridge</t>
  </si>
  <si>
    <t>Hoad Cloud (Continuous) Sheer Rope</t>
  </si>
  <si>
    <t>Hoad Cloud (Continuous) Sheer Sage</t>
  </si>
  <si>
    <t>Hoad Cloud (Continuous) Sheer Sand</t>
  </si>
  <si>
    <t>Hoad Cloud (Continuous) Sheer Sandshell</t>
  </si>
  <si>
    <t>Hoad Cloud (Continuous) Sheer Snow</t>
  </si>
  <si>
    <t>Hoad Cloud (Continuous) Sheer Stone</t>
  </si>
  <si>
    <t>Hoad Cloud (Continuous) Sheer String</t>
  </si>
  <si>
    <t>Hoad Cloud (Continuous) Sheer TBA</t>
  </si>
  <si>
    <t>Hoad Cloud (Continuous) Sheer Vapour</t>
  </si>
  <si>
    <t>Hoad Cloud (Continuous) Sheer Whsper</t>
  </si>
  <si>
    <t>Hoad Dream (Continuous) Sheer Birch</t>
  </si>
  <si>
    <t>Hoad Dream (Continuous) Sheer Clay</t>
  </si>
  <si>
    <t>Hoad Dream (Continuous) Sheer Haze</t>
  </si>
  <si>
    <t>Hoad Dream (Continuous) Sheer Ivory</t>
  </si>
  <si>
    <t>Hoad Dream (Continuous) Sheer Moonlight</t>
  </si>
  <si>
    <t>Hoad Dream (Continuous) Sheer TBA</t>
  </si>
  <si>
    <t>Hoad Dream (Continuous) Sheer Titanim</t>
  </si>
  <si>
    <t>Hoad Dream (Continuous) Sheer White</t>
  </si>
  <si>
    <t>Hoad Linea (Continuous) Sheer Ivory</t>
  </si>
  <si>
    <t>Hoad Linea (Continuous) Sheer Linen</t>
  </si>
  <si>
    <t>Hoad Linea (Continuous) Sheer Moonlight</t>
  </si>
  <si>
    <t>Hoad Linea (Continuous) Sheer Nimbus</t>
  </si>
  <si>
    <t>Hoad Linea (Continuous) Sheer TBA</t>
  </si>
  <si>
    <t>Hoad Linea (Continuous) Sheer Titanium</t>
  </si>
  <si>
    <t>Hoad Linea (Continuous) Sheer Whisper</t>
  </si>
  <si>
    <t>Hoad Linea (Continuous) Sheer White</t>
  </si>
  <si>
    <t>Hoad Nova (Continuous) Sheer Ivory</t>
  </si>
  <si>
    <t>Hoad Nova (Continuous) Sheer Natural</t>
  </si>
  <si>
    <t>Hoad Nova (Continuous) Sheer Quartz</t>
  </si>
  <si>
    <t>Hoad Nova (Continuous) Sheer Rope</t>
  </si>
  <si>
    <t>Hoad Nova (Continuous) Sheer Sand</t>
  </si>
  <si>
    <t>Hoad Nova (Continuous) Sheer TBA</t>
  </si>
  <si>
    <t>Hoad Nova (Continuous) Sheer White</t>
  </si>
  <si>
    <t>Hoad Renzo (Continuous) Sheer Dove</t>
  </si>
  <si>
    <t>Hoad Renzo (Continuous) Sheer Iron</t>
  </si>
  <si>
    <t>Hoad Renzo (Continuous) Sheer Ivory</t>
  </si>
  <si>
    <t>Hoad Renzo (Continuous) Sheer Lunar</t>
  </si>
  <si>
    <t>Hoad Renzo (Continuous) Sheer Mineral</t>
  </si>
  <si>
    <t>Hoad Renzo (Continuous) Sheer Mist</t>
  </si>
  <si>
    <t>Hoad Renzo (Continuous) Sheer Moonlight</t>
  </si>
  <si>
    <t>Hoad Renzo (Continuous) Sheer Natural</t>
  </si>
  <si>
    <t>Hoad Renzo (Continuous) Sheer Sage</t>
  </si>
  <si>
    <t>Hoad Renzo (Continuous) Sheer Stirling</t>
  </si>
  <si>
    <t>Hoad Renzo (Continuous) Sheer TBA</t>
  </si>
  <si>
    <t>Hoad Renzo (Continuous) Sheer Titanium</t>
  </si>
  <si>
    <t>Hoad Renzo (Continuous) Sheer White</t>
  </si>
  <si>
    <t>Hoad Spring (Continuous) Sheer Clay</t>
  </si>
  <si>
    <t>Hoad Spring (Continuous) Sheer Dove</t>
  </si>
  <si>
    <t>Hoad Spring (Continuous) Sheer Ecru</t>
  </si>
  <si>
    <t>Hoad Spring (Continuous) Sheer Natural</t>
  </si>
  <si>
    <t>Hoad Spring (Continuous) Sheer Pewter</t>
  </si>
  <si>
    <t>Hoad Spring (Continuous) Sheer Rope</t>
  </si>
  <si>
    <t>Hoad Spring (Continuous) Sheer Silver</t>
  </si>
  <si>
    <t>Hoad Spring (Continuous) Sheer TBA</t>
  </si>
  <si>
    <t>Hoad Spring (Continuous) Sheer Titanium</t>
  </si>
  <si>
    <t>Hoad Spring (Continuous) Sheer White</t>
  </si>
  <si>
    <t>Hoad Summer (Continuous) Sheer Cloud</t>
  </si>
  <si>
    <t>Hoad Summer (Continuous) Sheer Hemp</t>
  </si>
  <si>
    <t>Hoad Summer (Continuous) Sheer Ink</t>
  </si>
  <si>
    <t>Hoad Summer (Continuous) Sheer Lichen</t>
  </si>
  <si>
    <t>Hoad Summer (Continuous) Sheer Linen</t>
  </si>
  <si>
    <t>Hoad Summer (Continuous) Sheer Moonlight</t>
  </si>
  <si>
    <t>Hoad Summer (Continuous) Sheer Natural</t>
  </si>
  <si>
    <t>Hoad Summer (Continuous) Sheer Onyx</t>
  </si>
  <si>
    <t>Hoad Summer (Continuous) Sheer Ore</t>
  </si>
  <si>
    <t>Hoad Summer (Continuous) Sheer Rope</t>
  </si>
  <si>
    <t>Hoad Summer (Continuous) Sheer Sky</t>
  </si>
  <si>
    <t>Hoad Summer (Continuous) Sheer Snow</t>
  </si>
  <si>
    <t>Hoad Summer (Continuous) Sheer TBA</t>
  </si>
  <si>
    <t>Marco Flinders (Continuous) Sheer Dove</t>
  </si>
  <si>
    <t>Maurice Kain Allington (Continuous) Sheer Aqua</t>
  </si>
  <si>
    <t>Maurice Kain Allington (Continuous) Sheer Ash</t>
  </si>
  <si>
    <t>Maurice Kain Allington (Continuous) Sheer Charcoal</t>
  </si>
  <si>
    <t>Maurice Kain Allington (Continuous) Sheer Coastal</t>
  </si>
  <si>
    <t>Maurice Kain Allington (Continuous) Sheer Plum</t>
  </si>
  <si>
    <t>Maurice Kain Allington (Continuous) Sheer Splash</t>
  </si>
  <si>
    <t>Maurice Kain Allington (Continuous) Sheer TBA</t>
  </si>
  <si>
    <t>Maurice Kain Allington (Continuous) Sheer Umber</t>
  </si>
  <si>
    <t>Maurice Kain Altair (Continuous) Sheer Dove</t>
  </si>
  <si>
    <t>Maurice Kain Altair (Continuous) Sheer Ivory</t>
  </si>
  <si>
    <t>Maurice Kain Altair (Continuous) Sheer Marble</t>
  </si>
  <si>
    <t>Maurice Kain Altair (Continuous) Sheer Mineral</t>
  </si>
  <si>
    <t>Maurice Kain Altair (Continuous) Sheer Pearl</t>
  </si>
  <si>
    <t>Maurice Kain Altair (Continuous) Sheer Pewter</t>
  </si>
  <si>
    <t>Maurice Kain Altair (Continuous) Sheer Silver</t>
  </si>
  <si>
    <t>Maurice Kain Altair (Continuous) Sheer Sky</t>
  </si>
  <si>
    <t>Maurice Kain Altair (Continuous) Sheer Slate</t>
  </si>
  <si>
    <t>Maurice Kain Altair (Continuous) Sheer Smoke</t>
  </si>
  <si>
    <t>Maurice Kain Altair (Continuous) Sheer TBA</t>
  </si>
  <si>
    <t>Maurice Kain Ballard (Continuous) Sheer Antique White</t>
  </si>
  <si>
    <t>Maurice Kain Ballard (Continuous) Sheer Driftwood</t>
  </si>
  <si>
    <t>Maurice Kain Ballard (Continuous) Sheer Flax</t>
  </si>
  <si>
    <t>Maurice Kain Ballard (Continuous) Sheer Flint</t>
  </si>
  <si>
    <t>Maurice Kain Ballard (Continuous) Sheer Java</t>
  </si>
  <si>
    <t>Maurice Kain Ballard (Continuous) Sheer Shadow</t>
  </si>
  <si>
    <t>Maurice Kain Dorset (Continuous) Sheer Acid</t>
  </si>
  <si>
    <t>Maurice Kain Dorset (Continuous) Sheer Alabaster</t>
  </si>
  <si>
    <t>Maurice Kain Dorset (Continuous) Sheer Ash</t>
  </si>
  <si>
    <t>Maurice Kain Dorset (Continuous) Sheer Charcoal</t>
  </si>
  <si>
    <t>Maurice Kain Dorset (Continuous) Sheer Ivory</t>
  </si>
  <si>
    <t>Maurice Kain Dorset (Continuous) Sheer Sky</t>
  </si>
  <si>
    <t>Maurice Kain Dorset (Continuous) Sheer TBA</t>
  </si>
  <si>
    <t>Maurice Kain Edgeworth (Continuous) Sheer Ivory</t>
  </si>
  <si>
    <t>Maurice Kain Edgeworth (Continuous) Sheer TBA</t>
  </si>
  <si>
    <t>Maurice Kain Edgeworth (Continuous) Sheer White</t>
  </si>
  <si>
    <t>Maurice Kain Ingrid (Continuous) Sheer Ivory</t>
  </si>
  <si>
    <t>Maurice Kain Ingrid (Continuous) Sheer TBA</t>
  </si>
  <si>
    <t>Maurice Kain Ingrid (Continuous) Sheer White</t>
  </si>
  <si>
    <t>Maurice Kain Mawson (Continuous) Sheer Ivory</t>
  </si>
  <si>
    <t>Maurice Kain Mawson (Continuous) Sheer TBA</t>
  </si>
  <si>
    <t>Maurice Kain Mawson (Continuous) Sheer White</t>
  </si>
  <si>
    <t>Maurice Kain Odin (Continuous) Sheer Alabaster</t>
  </si>
  <si>
    <t>Maurice Kain Odin (Continuous) Sheer Ash</t>
  </si>
  <si>
    <t>Maurice Kain Odin (Continuous) Sheer Birch</t>
  </si>
  <si>
    <t>Maurice Kain Odin (Continuous) Sheer Ebony</t>
  </si>
  <si>
    <t>Maurice Kain Odin (Continuous) Sheer Granite</t>
  </si>
  <si>
    <t>Maurice Kain Odin (Continuous) Sheer Linen</t>
  </si>
  <si>
    <t>Maurice Kain Odin (Continuous) Sheer Marble</t>
  </si>
  <si>
    <t>Maurice Kain Odin (Continuous) Sheer Mink</t>
  </si>
  <si>
    <t>Maurice Kain Odin (Continuous) Sheer Natural</t>
  </si>
  <si>
    <t>Maurice Kain Odin (Continuous) Sheer Parchment</t>
  </si>
  <si>
    <t>Maurice Kain Odin (Continuous) Sheer Porcelain</t>
  </si>
  <si>
    <t>Maurice Kain Odin (Continuous) Sheer Quarry</t>
  </si>
  <si>
    <t>Maurice Kain Odin (Continuous) Sheer Shadow</t>
  </si>
  <si>
    <t>Maurice Kain Odin (Continuous) Sheer Storm</t>
  </si>
  <si>
    <t>Maurice Kain Odin (Continuous) Sheer TBA</t>
  </si>
  <si>
    <t>Maurice Kain Odin (Continuous) Sheer White</t>
  </si>
  <si>
    <t>Maurice Kain Omaha Bay (Continuous) Sheer Silver</t>
  </si>
  <si>
    <t>Maurice Kain Omaha Bay (Continuous) Sheer TBA</t>
  </si>
  <si>
    <t>Maurice Kain Omaha Bay (Continuous) Sheer White</t>
  </si>
  <si>
    <t>Maurice Kain Pilbara (Continuous) Sheer Pebble</t>
  </si>
  <si>
    <t>Maurice Kain San Marino (Continuous) Sheer Charcoal</t>
  </si>
  <si>
    <t>Maurice Kain San Marino (Continuous) Sheer Concrete</t>
  </si>
  <si>
    <t>Maurice Kain San Marino (Continuous) Sheer Ebony</t>
  </si>
  <si>
    <t>Maurice Kain San Marino (Continuous) Sheer Fog</t>
  </si>
  <si>
    <t>Maurice Kain San Marino (Continuous) Sheer Parchment</t>
  </si>
  <si>
    <t>Maurice Kain San Marino (Continuous) Sheer Porcelain</t>
  </si>
  <si>
    <t>Maurice Kain San Marino (Continuous) Sheer Snow</t>
  </si>
  <si>
    <t>Maurice Kain San Marino (Continuous) Sheer TBA</t>
  </si>
  <si>
    <t>Maurice Kain Shackleton (Continuous) Sheer Ivory</t>
  </si>
  <si>
    <t>Maurice Kain Shackleton (Continuous) Sheer TBA</t>
  </si>
  <si>
    <t>Maurice Kain Shackleton (Continuous) Sheer White</t>
  </si>
  <si>
    <t>Maurice Kain Southport (Continuous) Sheer Arctic</t>
  </si>
  <si>
    <t>Maurice Kain Southport (Continuous) Sheer Ash</t>
  </si>
  <si>
    <t>Maurice Kain Southport (Continuous) Sheer Baltic Sea</t>
  </si>
  <si>
    <t>Maurice Kain Southport (Continuous) Sheer Blackjack</t>
  </si>
  <si>
    <t>Maurice Kain Southport (Continuous) Sheer Bounty</t>
  </si>
  <si>
    <t>Maurice Kain Southport (Continuous) Sheer Cream</t>
  </si>
  <si>
    <t>Maurice Kain Southport (Continuous) Sheer Cumulus</t>
  </si>
  <si>
    <t>Maurice Kain Southport (Continuous) Sheer Dusk</t>
  </si>
  <si>
    <t>Maurice Kain Southport (Continuous) Sheer Fog</t>
  </si>
  <si>
    <t>Maurice Kain Southport (Continuous) Sheer Ice</t>
  </si>
  <si>
    <t>Maurice Kain Southport (Continuous) Sheer Iron</t>
  </si>
  <si>
    <t>Maurice Kain Southport (Continuous) Sheer Linen</t>
  </si>
  <si>
    <t>Maurice Kain Southport (Continuous) Sheer Merino</t>
  </si>
  <si>
    <t>Maurice Kain Southport (Continuous) Sheer Porcelain</t>
  </si>
  <si>
    <t>Maurice Kain Southport (Continuous) Sheer Putty</t>
  </si>
  <si>
    <t>Maurice Kain Southport (Continuous) Sheer Seal</t>
  </si>
  <si>
    <t>Maurice Kain Southport (Continuous) Sheer Spray</t>
  </si>
  <si>
    <t>Maurice Kain Southport (Continuous) Sheer Stone</t>
  </si>
  <si>
    <t>Maurice Kain Southport (Continuous) Sheer Storm</t>
  </si>
  <si>
    <t>Maurice Kain Southport (Continuous) Sheer TBA</t>
  </si>
  <si>
    <t>Maurice Kain Southport (Continuous) Sheer Tea</t>
  </si>
  <si>
    <t>Maurice Kain Vienna (Continuous) Sheer Brass</t>
  </si>
  <si>
    <t>Maurice Kain Vienna (Continuous) Sheer Buff</t>
  </si>
  <si>
    <t>Maurice Kain Vienna (Continuous) Sheer Chalk</t>
  </si>
  <si>
    <t>Maurice Kain Vienna (Continuous) Sheer Clay</t>
  </si>
  <si>
    <t>Maurice Kain Vienna (Continuous) Sheer Cocoa</t>
  </si>
  <si>
    <t>Maurice Kain Vienna (Continuous) Sheer Cocoamocha</t>
  </si>
  <si>
    <t>Maurice Kain Vienna (Continuous) Sheer Ecru</t>
  </si>
  <si>
    <t>Maurice Kain Vienna (Continuous) Sheer Ice</t>
  </si>
  <si>
    <t>Maurice Kain Vienna (Continuous) Sheer Ivory</t>
  </si>
  <si>
    <t>Maurice Kain Vienna (Continuous) Sheer Latte</t>
  </si>
  <si>
    <t>Maurice Kain Vienna (Continuous) Sheer Licorice</t>
  </si>
  <si>
    <t>Maurice Kain Vienna (Continuous) Sheer Macadamia</t>
  </si>
  <si>
    <t>Maurice Kain Vienna (Continuous) Sheer Mocha</t>
  </si>
  <si>
    <t>Maurice Kain Vienna (Continuous) Sheer Pewter</t>
  </si>
  <si>
    <t>Maurice Kain Vienna (Continuous) Sheer Sea Change</t>
  </si>
  <si>
    <t>Maurice Kain Vienna (Continuous) Sheer Shell</t>
  </si>
  <si>
    <t>Maurice Kain Vienna (Continuous) Sheer Silver</t>
  </si>
  <si>
    <t>Maurice Kain Vienna (Continuous) Sheer Steel</t>
  </si>
  <si>
    <t>Maurice Kain Vienna (Continuous) Sheer TBA</t>
  </si>
  <si>
    <t>Maurice Kain Vienna (Continuous) Sheer Truffle</t>
  </si>
  <si>
    <t>Maurice Kain Vienna (Continuous) Sheer White</t>
  </si>
  <si>
    <t>Mokum Laconia Air (Continuous) Sheer Ash</t>
  </si>
  <si>
    <t>Mokum Laconia Air (Continuous) Sheer Atlantic</t>
  </si>
  <si>
    <t>Mokum Laconia Air (Continuous) Sheer Ballet</t>
  </si>
  <si>
    <t>Mokum Laconia Air (Continuous) Sheer Brick</t>
  </si>
  <si>
    <t>Mokum Laconia Air (Continuous) Sheer Charcoal</t>
  </si>
  <si>
    <t>Mokum Laconia Air (Continuous) Sheer Cloud</t>
  </si>
  <si>
    <t>Mokum Laconia Air (Continuous) Sheer Dijon</t>
  </si>
  <si>
    <t>Mokum Laconia Air (Continuous) Sheer Dust</t>
  </si>
  <si>
    <t>Mokum Laconia Air (Continuous) Sheer Frost</t>
  </si>
  <si>
    <t>Mokum Laconia Air (Continuous) Sheer Granite</t>
  </si>
  <si>
    <t>Mokum Laconia Air (Continuous) Sheer Haze</t>
  </si>
  <si>
    <t>Mokum Laconia Air (Continuous) Sheer Hemp</t>
  </si>
  <si>
    <t>Mokum Laconia Air (Continuous) Sheer Lichen</t>
  </si>
  <si>
    <t>Mokum Laconia Air (Continuous) Sheer Linen</t>
  </si>
  <si>
    <t>Mokum Laconia Air (Continuous) Sheer Metal</t>
  </si>
  <si>
    <t>Mokum Laconia Air (Continuous) Sheer River</t>
  </si>
  <si>
    <t>Mokum Laconia Air (Continuous) Sheer Rust</t>
  </si>
  <si>
    <t>Mokum Laconia Air (Continuous) Sheer Silver</t>
  </si>
  <si>
    <t>Mokum Laconia Air (Continuous) Sheer Swan</t>
  </si>
  <si>
    <t>Mokum Laconia Air (Continuous) Sheer TBA</t>
  </si>
  <si>
    <t>Sekers Juno (Continuous) Sheer Flax</t>
  </si>
  <si>
    <t>Sekers Juno (Continuous) Sheer Fog</t>
  </si>
  <si>
    <t>Sekers Juno (Continuous) Sheer Parchment</t>
  </si>
  <si>
    <t>Sekers Juno (Continuous) Sheer Snow</t>
  </si>
  <si>
    <t>Sekers Juno (Continuous) Sheer Storm</t>
  </si>
  <si>
    <t>Sekers Juno (Continuous) Sheer TBA</t>
  </si>
  <si>
    <t>Sonata Mirage (Continuous) Sheer Ash</t>
  </si>
  <si>
    <t>Sonata Mirage (Continuous) Sheer Ecru</t>
  </si>
  <si>
    <t>Sonata Mirage (Continuous) Sheer Fawn</t>
  </si>
  <si>
    <t>Sonata Mirage (Continuous) Sheer Mercury</t>
  </si>
  <si>
    <t>Sonata Mirage (Continuous) Sheer Mocha</t>
  </si>
  <si>
    <t>Sonata Mirage (Continuous) Sheer TBA</t>
  </si>
  <si>
    <t>Sonata Mirage (Continuous) Sheer White Haven</t>
  </si>
  <si>
    <t>Sonata Mystique (Continuous) Sheer Ash</t>
  </si>
  <si>
    <t>Sonata Mystique (Continuous) Sheer Cloud</t>
  </si>
  <si>
    <t>Sonata Mystique (Continuous) Sheer Duckegg</t>
  </si>
  <si>
    <t>Sonata Mystique (Continuous) Sheer Ecru</t>
  </si>
  <si>
    <t>Sonata Mystique (Continuous) Sheer Ivory</t>
  </si>
  <si>
    <t>Sonata Mystique (Continuous) Sheer Licorice</t>
  </si>
  <si>
    <t>Sonata Mystique (Continuous) Sheer Linen</t>
  </si>
  <si>
    <t>Sonata Mystique (Continuous) Sheer Slate</t>
  </si>
  <si>
    <t>Sonata Mystique (Continuous) Sheer TBA</t>
  </si>
  <si>
    <t>Warwick Aesop (Continuous) Sheer Atlantic</t>
  </si>
  <si>
    <t>Warwick Aesop (Continuous) Sheer TBA</t>
  </si>
  <si>
    <t>Warwick Chios (Continuous) Sheer Asphalt</t>
  </si>
  <si>
    <t>Warwick Chios (Continuous) Sheer Flax</t>
  </si>
  <si>
    <t>Warwick Chios (Continuous) Sheer Moonlight</t>
  </si>
  <si>
    <t>Warwick Chios (Continuous) Sheer Mushroom</t>
  </si>
  <si>
    <t>Warwick Chios (Continuous) Sheer Quartz</t>
  </si>
  <si>
    <t>Warwick Chios (Continuous) Sheer Sable</t>
  </si>
  <si>
    <t>Warwick Chios (Continuous) Sheer Smoke</t>
  </si>
  <si>
    <t>Warwick Chios (Continuous) Sheer TBA</t>
  </si>
  <si>
    <t>Warwick Coast (Continuous) Sheer Pumice</t>
  </si>
  <si>
    <t>Wilson Hugo (Continuous) Sheer Dove</t>
  </si>
  <si>
    <t>Wilson Hugo (Continuous) Sheer Granite</t>
  </si>
  <si>
    <t>Wilson Hugo (Continuous) Sheer Ivory</t>
  </si>
  <si>
    <t>Wilson Hugo (Continuous) Sheer Pebble</t>
  </si>
  <si>
    <t>Wilson Hugo (Continuous) Sheer Platinum</t>
  </si>
  <si>
    <t>Wilson Hugo (Continuous) Sheer Silver</t>
  </si>
  <si>
    <t>Wilson Hugo (Continuous) Sheer Stone</t>
  </si>
  <si>
    <t>Wilson Hugo (Continuous) Sheer TBA</t>
  </si>
  <si>
    <t>Wilson Hugo (Continuous) Sheer White</t>
  </si>
  <si>
    <t>Wilson Sabre (Continuous) Sheer Brass</t>
  </si>
  <si>
    <t>Wilson Sabre (Continuous) Sheer Charcoal</t>
  </si>
  <si>
    <t>Wilson Sabre (Continuous) Sheer Granite</t>
  </si>
  <si>
    <t>Wilson Sabre (Continuous) Sheer Ivory</t>
  </si>
  <si>
    <t>Wilson Sabre (Continuous) Sheer Latte</t>
  </si>
  <si>
    <t>Wilson Sabre (Continuous) Sheer Monument</t>
  </si>
  <si>
    <t>Wilson Sabre (Continuous) Sheer Pearl</t>
  </si>
  <si>
    <t>Wilson Sabre (Continuous) Sheer Putty</t>
  </si>
  <si>
    <t>Wilson Sabre (Continuous) Sheer Silver</t>
  </si>
  <si>
    <t>Wilson Sabre (Continuous) Sheer Silver Grass</t>
  </si>
  <si>
    <t>Wilson Sabre (Continuous) Sheer Slate</t>
  </si>
  <si>
    <t>Wilson Sabre (Continuous) Sheer Snow</t>
  </si>
  <si>
    <t>Wilson Sabre (Continuous) Sheer TBA</t>
  </si>
  <si>
    <t>Wilson Sabre (Continuous) Sheer Teal</t>
  </si>
  <si>
    <t>Wilson Sabre (Continuous) Sheer Truffle</t>
  </si>
  <si>
    <t>Wortley Group Aria (Continuous) Sheer Charcoal</t>
  </si>
  <si>
    <t>Wortley Group Aria (Continuous) Sheer Ecru</t>
  </si>
  <si>
    <t>Wortley Group Aria (Continuous) Sheer Granite</t>
  </si>
  <si>
    <t>Wortley Group Aria (Continuous) Sheer Ice</t>
  </si>
  <si>
    <t>Wortley Group Aria (Continuous) Sheer Onyx</t>
  </si>
  <si>
    <t>Wortley Group Aria (Continuous) Sheer Pearl</t>
  </si>
  <si>
    <t>Wortley Group Aria (Continuous) Sheer Sand</t>
  </si>
  <si>
    <t>Wortley Group Aria (Continuous) Sheer Shale</t>
  </si>
  <si>
    <t>Wortley Group Aria (Continuous) Sheer TBA</t>
  </si>
  <si>
    <t>Wortley Group Aria (Continuous) Sheer Wenge</t>
  </si>
  <si>
    <t>Zepel Allusion (Continuous) Sheer Aqua</t>
  </si>
  <si>
    <t>Zepel Allusion (Continuous) Sheer Bonbon</t>
  </si>
  <si>
    <t>Zepel Allusion (Continuous) Sheer Buff</t>
  </si>
  <si>
    <t>Zepel Allusion (Continuous) Sheer Café</t>
  </si>
  <si>
    <t>Zepel Allusion (Continuous) Sheer Casade</t>
  </si>
  <si>
    <t>Zepel Allusion (Continuous) Sheer Cookie</t>
  </si>
  <si>
    <t>Zepel Allusion (Continuous) Sheer Cream</t>
  </si>
  <si>
    <t>Zepel Allusion (Continuous) Sheer Fern</t>
  </si>
  <si>
    <t>Zepel Allusion (Continuous) Sheer Limestone</t>
  </si>
  <si>
    <t>Zepel Allusion (Continuous) Sheer Linen</t>
  </si>
  <si>
    <t>Zepel Allusion (Continuous) Sheer Liquorice</t>
  </si>
  <si>
    <t>Zepel Allusion (Continuous) Sheer Nut</t>
  </si>
  <si>
    <t>Zepel Allusion (Continuous) Sheer Papyrus</t>
  </si>
  <si>
    <t>Zepel Allusion (Continuous) Sheer Parma</t>
  </si>
  <si>
    <t>Zepel Allusion (Continuous) Sheer Pearl</t>
  </si>
  <si>
    <t>Zepel Allusion (Continuous) Sheer Putty</t>
  </si>
  <si>
    <t>Zepel Allusion (Continuous) Sheer Rattan</t>
  </si>
  <si>
    <t>Zepel Allusion (Continuous) Sheer Seagrass</t>
  </si>
  <si>
    <t>Zepel Allusion (Continuous) Sheer Silver</t>
  </si>
  <si>
    <t>Zepel Allusion (Continuous) Sheer Sky</t>
  </si>
  <si>
    <t>Zepel Allusion (Continuous) Sheer Stucco</t>
  </si>
  <si>
    <t>Zepel Allusion (Continuous) Sheer Sunflower</t>
  </si>
  <si>
    <t>Zepel Draper (Continuous) Sheer Ash</t>
  </si>
  <si>
    <t>Zepel Draper (Continuous) Sheer Blossom</t>
  </si>
  <si>
    <t>Zepel Draper (Continuous) Sheer Charcoal</t>
  </si>
  <si>
    <t>Zepel Draper (Continuous) Sheer Chinchilla</t>
  </si>
  <si>
    <t>Zepel Draper (Continuous) Sheer Dove</t>
  </si>
  <si>
    <t>Zepel Draper (Continuous) Sheer Earth</t>
  </si>
  <si>
    <t>Zepel Draper (Continuous) Sheer Lagoon</t>
  </si>
  <si>
    <t>Zepel Draper (Continuous) Sheer Marine</t>
  </si>
  <si>
    <t>Zepel Draper (Continuous) Sheer Mineral</t>
  </si>
  <si>
    <t>Zepel Draper (Continuous) Sheer Mist</t>
  </si>
  <si>
    <t>Zepel Draper (Continuous) Sheer Pure</t>
  </si>
  <si>
    <t>Zepel Draper (Continuous) Sheer Sand</t>
  </si>
  <si>
    <t>Zepel Draper (Continuous) Sheer Smoke</t>
  </si>
  <si>
    <t>Zepel Draper (Continuous) Sheer Snow</t>
  </si>
  <si>
    <t>Zepel Draper (Continuous) Sheer Spa</t>
  </si>
  <si>
    <t>Zepel Draper (Continuous) Sheer Swan</t>
  </si>
  <si>
    <t>Zepel Draper (Continuous) Sheer TBA</t>
  </si>
  <si>
    <t>Zepel Draper (Continuous) Sheer Teal</t>
  </si>
  <si>
    <t>Zepel Draper (Continuous) Sheer Wool</t>
  </si>
  <si>
    <t>Zepel Pure Linen (Continuous) Sheer Beetle</t>
  </si>
  <si>
    <t>Zepel Pure Linen (Continuous) Sheer Brick</t>
  </si>
  <si>
    <t>Zepel Pure Linen (Continuous) Sheer Cameo</t>
  </si>
  <si>
    <t>Zepel Pure Linen (Continuous) Sheer Chess</t>
  </si>
  <si>
    <t>Zepel Pure Linen (Continuous) Sheer Chinchilla</t>
  </si>
  <si>
    <t>Zepel Pure Linen (Continuous) Sheer Cloud</t>
  </si>
  <si>
    <t>Zepel Pure Linen (Continuous) Sheer Cream</t>
  </si>
  <si>
    <t>Zepel Pure Linen (Continuous) Sheer Denim</t>
  </si>
  <si>
    <t>Zepel Pure Linen (Continuous) Sheer Falcon</t>
  </si>
  <si>
    <t>Zepel Pure Linen (Continuous) Sheer Feather</t>
  </si>
  <si>
    <t>Zepel Pure Linen (Continuous) Sheer Fossil</t>
  </si>
  <si>
    <t>Zepel Pure Linen (Continuous) Sheer Jute</t>
  </si>
  <si>
    <t>Zepel Pure Linen (Continuous) Sheer Langoustino</t>
  </si>
  <si>
    <t>Zepel Pure Linen (Continuous) Sheer Linen</t>
  </si>
  <si>
    <t>Zepel Pure Linen (Continuous) Sheer Liquorice</t>
  </si>
  <si>
    <t>Zepel Pure Linen (Continuous) Sheer Mushroom</t>
  </si>
  <si>
    <t>Zepel Pure Linen (Continuous) Sheer Petal</t>
  </si>
  <si>
    <t>Zepel Pure Linen (Continuous) Sheer Pewter</t>
  </si>
  <si>
    <t>Zepel Pure Linen (Continuous) Sheer Putty</t>
  </si>
  <si>
    <t>Zepel Pure Linen (Continuous) Sheer Sand</t>
  </si>
  <si>
    <t>Zepel Pure Linen (Continuous) Sheer Sesame</t>
  </si>
  <si>
    <t>Zepel Pure Linen (Continuous) Sheer Smoke</t>
  </si>
  <si>
    <t>Zepel Pure Linen (Continuous) Sheer TBA</t>
  </si>
  <si>
    <t>Zepel Pure Linen (Continuous) Sheer Wool</t>
  </si>
  <si>
    <t>Zepel Silken (Continuous) Sheer Aluminium</t>
  </si>
  <si>
    <t>Zepel Silken (Continuous) Sheer Antelope</t>
  </si>
  <si>
    <t>Zepel Silken (Continuous) Sheer Bay</t>
  </si>
  <si>
    <t>Zepel Silken (Continuous) Sheer Caramel</t>
  </si>
  <si>
    <t>Zepel Silken (Continuous) Sheer Cream</t>
  </si>
  <si>
    <t>Zepel Silken (Continuous) Sheer Garnet</t>
  </si>
  <si>
    <t>Zepel Silken (Continuous) Sheer Granite</t>
  </si>
  <si>
    <t>Zepel Silken (Continuous) Sheer Greige</t>
  </si>
  <si>
    <t>Zepel Silken (Continuous) Sheer Horizon</t>
  </si>
  <si>
    <t>Zepel Silken (Continuous) Sheer Ice</t>
  </si>
  <si>
    <t>Zepel Silken (Continuous) Sheer Ivory</t>
  </si>
  <si>
    <t>Zepel Silken (Continuous) Sheer Lilac</t>
  </si>
  <si>
    <t>Zepel Silken (Continuous) Sheer Marzipan</t>
  </si>
  <si>
    <t>Zepel Silken (Continuous) Sheer Moss</t>
  </si>
  <si>
    <t>Zepel Silken (Continuous) Sheer Onyx</t>
  </si>
  <si>
    <t>Zepel Silken (Continuous) Sheer Otter</t>
  </si>
  <si>
    <t>Zepel Silken (Continuous) Sheer Oyster</t>
  </si>
  <si>
    <t>Zepel Silken (Continuous) Sheer Pewter</t>
  </si>
  <si>
    <t>Zepel Silken (Continuous) Sheer Plaza</t>
  </si>
  <si>
    <t>Zepel Silken (Continuous) Sheer Rattan</t>
  </si>
  <si>
    <t>Zepel Silken (Continuous) Sheer Rust</t>
  </si>
  <si>
    <t>Zepel Silken (Continuous) Sheer Sesame</t>
  </si>
  <si>
    <t>Zepel Silken (Continuous) Sheer Sienna</t>
  </si>
  <si>
    <t>Zepel Silken (Continuous) Sheer Sponge</t>
  </si>
  <si>
    <t>Zepel Silken (Continuous) Sheer Zinc</t>
  </si>
  <si>
    <t>Zepel Silkra (Continuous) Sheer Beige</t>
  </si>
  <si>
    <t>Zepel Silkra (Continuous) Sheer Camel</t>
  </si>
  <si>
    <t>Zepel Silkra (Continuous) Sheer Champaigne</t>
  </si>
  <si>
    <t>Zepel Silkra (Continuous) Sheer Charcoal</t>
  </si>
  <si>
    <t>Zepel Silkra (Continuous) Sheer Cloud</t>
  </si>
  <si>
    <t>Zepel Silkra (Continuous) Sheer Cream</t>
  </si>
  <si>
    <t>Zepel Silkra (Continuous) Sheer Dune</t>
  </si>
  <si>
    <t>Zepel Silkra (Continuous) Sheer Linen</t>
  </si>
  <si>
    <t>Zepel Silkra (Continuous) Sheer Mineral</t>
  </si>
  <si>
    <t>Zepel Silkra (Continuous) Sheer Mint</t>
  </si>
  <si>
    <t>Zepel Silkra (Continuous) Sheer Moss</t>
  </si>
  <si>
    <t>Zepel Silkra (Continuous) Sheer Pearl</t>
  </si>
  <si>
    <t>Zepel Silkra (Continuous) Sheer Putty</t>
  </si>
  <si>
    <t>Zepel Silkra (Continuous) Sheer Quartz</t>
  </si>
  <si>
    <t>Zepel Silkra (Continuous) Sheer Rain</t>
  </si>
  <si>
    <t>Zepel Silkra (Continuous) Sheer Seagrass</t>
  </si>
  <si>
    <t>Zepel Silkra (Continuous) Sheer Sepia</t>
  </si>
  <si>
    <t>Zepel Silkra (Continuous) Sheer Shark</t>
  </si>
  <si>
    <t>Zepel Silkra (Continuous) Sheer Silver</t>
  </si>
  <si>
    <t>Zepel Silkra (Continuous) Sheer Snow</t>
  </si>
  <si>
    <t>Zepel Silkra (Continuous) Sheer TBA</t>
  </si>
  <si>
    <t>Zepel Silkra (Continuous) Sheer Teal</t>
  </si>
  <si>
    <t>Zepel Stratus (Continuous) Sheer Bone</t>
  </si>
  <si>
    <t>Zepel Stratus (Continuous) Sheer Chalk</t>
  </si>
  <si>
    <t>Zepel Stratus (Continuous) Sheer Charcoal</t>
  </si>
  <si>
    <t>Zepel Stratus (Continuous) Sheer Dove</t>
  </si>
  <si>
    <t>Zepel Stratus (Continuous) Sheer Farrow</t>
  </si>
  <si>
    <t>Zepel Stratus (Continuous) Sheer Hay</t>
  </si>
  <si>
    <t>Zepel Stratus (Continuous) Sheer Silver</t>
  </si>
  <si>
    <t>Zepel Stratus (Continuous) Sheer Slate</t>
  </si>
  <si>
    <t>Zepel Stratus (Continuous) Sheer Smoke</t>
  </si>
  <si>
    <t>Zepel Stratus (Continuous) Sheer Taupe</t>
  </si>
  <si>
    <t>Zepel Stratus (Continuous) Sheer TBA</t>
  </si>
  <si>
    <t>Charles Parsons Hargrave (Continuous) Sheer Snow</t>
  </si>
  <si>
    <t>Maurice Kain Stella (Continuous) Sheer Diamond</t>
  </si>
  <si>
    <t>Maurice Kain Stella (Continuous) Sheer Quartz</t>
  </si>
  <si>
    <t>Maurice Kain Stella (Continuous) Sheer Pearl</t>
  </si>
  <si>
    <t>Maurice Kain Stella (Continuous) Sheer Bonze</t>
  </si>
  <si>
    <t>Maurice Kain Stella (Continuous) Sheer Pewter</t>
  </si>
  <si>
    <t>Maurice Kain Stella (Continuous) Sheer Marble</t>
  </si>
  <si>
    <t>Maurice Kain Stella (Continuous) Sheer TBA</t>
  </si>
  <si>
    <t>Charles Parsons Karo (Continuous) Sheer Storm</t>
  </si>
  <si>
    <t>Charles Parsons Karo (Continuous) Sheer Snow</t>
  </si>
  <si>
    <t>Charles Parsons Karo (Continuous) Sheer Midnight</t>
  </si>
  <si>
    <t>Charles Parsons Karo (Continuous) Sheer Punch</t>
  </si>
  <si>
    <t>Charles Parsons Karo (Continuous) Sheer Icicle</t>
  </si>
  <si>
    <t>Charles Parsons Karo (Continuous) Sheer Alloy</t>
  </si>
  <si>
    <t>Charles Parsons Karo (Continuous) Sheer Lino</t>
  </si>
  <si>
    <t>Charles Parsons Karo (Continuous) Sheer Haze</t>
  </si>
  <si>
    <t>Charles Parsons Karo (Continuous) Sheer TBA</t>
  </si>
  <si>
    <t>Hoad Mirage (Continuous) Sheer Silver</t>
  </si>
  <si>
    <t>Hoad Mirage (Continuous) Sheer Quartz</t>
  </si>
  <si>
    <t>Hoad Mirage (Continuous) Sheer Charcoal</t>
  </si>
  <si>
    <t>Hoad Mirage (Continuous) Sheer Black</t>
  </si>
  <si>
    <t>Hoad Mirage (Continuous) Sheer White</t>
  </si>
  <si>
    <t>Hoad Mirage (Continuous) Sheer Ivory</t>
  </si>
  <si>
    <t>Hoad Mirage (Continuous) Sheer Linen</t>
  </si>
  <si>
    <t>Hoad Mirage (Continuous) Sheer Stone</t>
  </si>
  <si>
    <t>Hoad Mirage (Continuous) Sheer TBA</t>
  </si>
  <si>
    <t>Filigree Odin (Continuous) Sheer Porcelain</t>
  </si>
  <si>
    <t>Filigree Odin (Continuous) Sheer Alabaster</t>
  </si>
  <si>
    <t>Filigree Odin (Continuous) Sheer Natural</t>
  </si>
  <si>
    <t>Filigree Odin (Continuous) Sheer Woodland</t>
  </si>
  <si>
    <t>Filigree Odin (Continuous) Sheer Birch</t>
  </si>
  <si>
    <t>Filigree Odin (Continuous) Sheer Marble</t>
  </si>
  <si>
    <t>Filigree Odin (Continuous) Sheer Mink</t>
  </si>
  <si>
    <t>Filigree Odin (Continuous) Sheer granite</t>
  </si>
  <si>
    <t>Filigree Odin (Continuous) Sheer Ebony</t>
  </si>
  <si>
    <t>Filigree Odin (Continuous) Sheer TBA</t>
  </si>
  <si>
    <t>Filigree Como (Continuous) Sheer Champagne</t>
  </si>
  <si>
    <t>Filigree Como (Continuous) Sheer Ivory</t>
  </si>
  <si>
    <t>Filigree Como (Continuous) Sheer White</t>
  </si>
  <si>
    <t>Filigree Como (Continuous) Sheer TBA</t>
  </si>
  <si>
    <t>Zepel Selene (Continuous) Sheer String</t>
  </si>
  <si>
    <t>Zepel Selene (Continuous) Sheer Slate</t>
  </si>
  <si>
    <t>Zepel Selene (Continuous) Sheer Ebony</t>
  </si>
  <si>
    <t>Zepel Selene (Continuous) Sheer Wool</t>
  </si>
  <si>
    <t>Zepel Selene (Continuous) Sheer Flax</t>
  </si>
  <si>
    <t>Zepel Selene (Continuous) Sheer Linen</t>
  </si>
  <si>
    <t>Zepel Selene (Continuous) Sheer Calico</t>
  </si>
  <si>
    <t>Zepel Selene (Continuous) Sheer Cotton</t>
  </si>
  <si>
    <t>Zepel Selene (Continuous) Sheer TBA</t>
  </si>
  <si>
    <t>Hoad Astra (Continuous) Sheer Stone</t>
  </si>
  <si>
    <t>Hoad Astra (Continuous) Sheer Linen</t>
  </si>
  <si>
    <t>Hoad Astra (Continuous) Sheer Bone</t>
  </si>
  <si>
    <t>Hoad Astra (Continuous) Sheer Cotton</t>
  </si>
  <si>
    <t>Hoad Astra (Continuous) Sheer Ivory</t>
  </si>
  <si>
    <t>Hoad Astra (Continuous) Sheer White</t>
  </si>
  <si>
    <t>Hoad Astra (Continuous) Sheer Onyx</t>
  </si>
  <si>
    <t>Hoad Astra (Continuous) Sheer Charcoal</t>
  </si>
  <si>
    <t>Hoad Astra (Continuous) Sheer Titanium</t>
  </si>
  <si>
    <t>Hoad Astra (Continuous) Sheer Smoke</t>
  </si>
  <si>
    <t>Hoad Astra (Continuous) Sheer Quartz</t>
  </si>
  <si>
    <t>Hoad Astra (Continuous) Sheer TBA</t>
  </si>
  <si>
    <t>Hoad Astra (Continuous) Sheer Moonlight</t>
  </si>
  <si>
    <t>Warwick Sicily (Continuous) Sheer Admiral</t>
  </si>
  <si>
    <t>Warwick Sicily (Continuous) Sheer Birch</t>
  </si>
  <si>
    <t>Warwick Sicily (Continuous) Sheer Blossom</t>
  </si>
  <si>
    <t>Warwick Sicily (Continuous) Sheer Buff</t>
  </si>
  <si>
    <t>Warwick Sicily (Continuous) Sheer Chalk</t>
  </si>
  <si>
    <t>Warwick Sicily (Continuous) Sheer Cloud</t>
  </si>
  <si>
    <t>Warwick Sicily (Continuous) Sheer Denim</t>
  </si>
  <si>
    <t>Warwick Sicily (Continuous) Sheer Dove</t>
  </si>
  <si>
    <t>Warwick Sicily (Continuous) Sheer Ebony</t>
  </si>
  <si>
    <t>Warwick Sicily (Continuous) Sheer Feather</t>
  </si>
  <si>
    <t>Warwick Sicily (Continuous) Sheer Flint</t>
  </si>
  <si>
    <t>Warwick Sicily (Continuous) Sheer Glacier</t>
  </si>
  <si>
    <t>Warwick Sicily (Continuous) Sheer Gravel</t>
  </si>
  <si>
    <t>Warwick Sicily (Continuous) Sheer Ink</t>
  </si>
  <si>
    <t>Warwick Sicily (Continuous) Sheer Lagoon</t>
  </si>
  <si>
    <t>Warwick Sicily (Continuous) Sheer Lead</t>
  </si>
  <si>
    <t>Warwick Sicily (Continuous) Sheer Porcelain</t>
  </si>
  <si>
    <t>Warwick Sicily (Continuous) Sheer Slate</t>
  </si>
  <si>
    <t>Warwick Sicily (Continuous) Sheer Smoke</t>
  </si>
  <si>
    <t>Warwick Sicily (Continuous) Sheer Snow</t>
  </si>
  <si>
    <t>Warwick Sicily (Continuous) Sheer Vapour</t>
  </si>
  <si>
    <t>Warwick Sicily (Continuous) Sheer TBA</t>
  </si>
  <si>
    <t>Warwick Tahiti (Continuous) Sheer Ash</t>
  </si>
  <si>
    <t>Warwick Tahiti (Continuous) Sheer Charcoal</t>
  </si>
  <si>
    <t>Warwick Tahiti (Continuous) Sheer Flint</t>
  </si>
  <si>
    <t>Warwick Tahiti (Continuous) Sheer Quartz</t>
  </si>
  <si>
    <t>Warwick Tahiti (Continuous) Sheer Smoke</t>
  </si>
  <si>
    <t>Warwick Tahiti (Continuous) Sheer Snow</t>
  </si>
  <si>
    <t>Warwick Tahiti (Continuous) Sheer TBA</t>
  </si>
  <si>
    <t>Warwick Hymn (Continuous) Sheer Charcoal</t>
  </si>
  <si>
    <t>Warwick Hymn (Continuous) Sheer Fog</t>
  </si>
  <si>
    <t>Warwick Hymn (Continuous) Sheer Ice</t>
  </si>
  <si>
    <t>Warwick Hymn (Continuous) Sheer Ivory</t>
  </si>
  <si>
    <t>Warwick Hymn (Continuous) Sheer Mink</t>
  </si>
  <si>
    <t>Warwick Hymn (Continuous) Sheer Sable</t>
  </si>
  <si>
    <t>Warwick Hymn (Continuous) Sheer Slate</t>
  </si>
  <si>
    <t>Warwick Hymn (Continuous) Sheer Snow</t>
  </si>
  <si>
    <t>Warwick Hymn (Continuous) Sheer TBA</t>
  </si>
  <si>
    <t>Maurice Kain Rejuvenate (Continuous) Sheer Jet</t>
  </si>
  <si>
    <t>Maurice Kain Rejuvenate (Continuous) Sheer Granite</t>
  </si>
  <si>
    <t>Maurice Kain Rejuvenate (Continuous) Sheer Storm</t>
  </si>
  <si>
    <t>Maurice Kain Rejuvenate (Continuous) Sheer Marble</t>
  </si>
  <si>
    <t>Maurice Kain Rejuvenate (Continuous) Sheer Cloud</t>
  </si>
  <si>
    <t>Maurice Kain Rejuvenate (Continuous) Sheer Whisper</t>
  </si>
  <si>
    <t>Maurice Kain Rejuvenate (Continuous) Sheer Linen</t>
  </si>
  <si>
    <t>Maurice Kain Rejuvenate (Continuous) Sheer Parperbark</t>
  </si>
  <si>
    <t>Maurice Kain Rejuvenate (Continuous) Sheer Stone</t>
  </si>
  <si>
    <t>Maurice Kain Rejuvenate (Continuous) Sheer Shadow</t>
  </si>
  <si>
    <t>Maurice Kain Rejuvenate (Continuous) Sheer TBA</t>
  </si>
  <si>
    <t>Maurice Kain Woolamai (Continuous) Sheer Cloud</t>
  </si>
  <si>
    <t>Maurice Kain Woolamai (Continuous) Sheer Sand</t>
  </si>
  <si>
    <t>Maurice Kain Woolamai (Continuous) Sheer Driftwood</t>
  </si>
  <si>
    <t>Maurice Kain Woolamai (Continuous) Sheer Stone</t>
  </si>
  <si>
    <t>Maurice Kain Woolamai (Continuous) Sheer Silver</t>
  </si>
  <si>
    <t>Maurice Kain Woolamai (Continuous) Sheer Storm</t>
  </si>
  <si>
    <t>Maurice Kain Woolamai (Continuous) Sheer Basalt</t>
  </si>
  <si>
    <t>Maurice Kain Woolamai (Continuous) Sheer Onyx</t>
  </si>
  <si>
    <t>Maurice Kain Woolamai (Continuous) Sheer TBA</t>
  </si>
  <si>
    <t>Sekers Dunraven (Continuous) Sheer Slate</t>
  </si>
  <si>
    <t>Sekers Dunraven (Continuous) Sheer Balance</t>
  </si>
  <si>
    <t>Sekers Dunraven (Continuous) Sheer Dove</t>
  </si>
  <si>
    <t>Sekers Dunraven (Continuous) Sheer Flint</t>
  </si>
  <si>
    <t>Sekers Dunraven (Continuous) Sheer Basalt</t>
  </si>
  <si>
    <t>Sekers Dunraven (Continuous) Sheer Stonewash</t>
  </si>
  <si>
    <t>Sekers Dunraven (Continuous) Sheer Parchment</t>
  </si>
  <si>
    <t>Sekers Dunraven (Continuous) Sheer Bleached</t>
  </si>
  <si>
    <t>Sekers Dunraven (Continuous) Sheer Milk</t>
  </si>
  <si>
    <t>Sekers Dunraven (Continuous) Sheer Jute</t>
  </si>
  <si>
    <t>Sekers Dunraven (Continuous) Sheer Clay</t>
  </si>
  <si>
    <t>Sekers Dunraven (Continuous) Sheer Peony</t>
  </si>
  <si>
    <t>Sekers Dunraven (Continuous) Sheer Duck Egg</t>
  </si>
  <si>
    <t>Sekers Dunraven (Continuous) Sheer TBA</t>
  </si>
  <si>
    <t>Hoad Horizon (Continuous) Sheer Charcoal</t>
  </si>
  <si>
    <t>Hoad Horizon (Continuous) Sheer Flax</t>
  </si>
  <si>
    <t>Hoad Horizon (Continuous) Sheer Linen</t>
  </si>
  <si>
    <t>Hoad Horizon (Continuous) Sheer Mist</t>
  </si>
  <si>
    <t>Hoad Horizon (Continuous) Sheer Natural</t>
  </si>
  <si>
    <t>Hoad Horizon (Continuous) Sheer Navy</t>
  </si>
  <si>
    <t>Hoad Horizon (Continuous) Sheer Silver</t>
  </si>
  <si>
    <t>Hoad Horizon (Continuous) Sheer Stone</t>
  </si>
  <si>
    <t>Hoad Horizon (Continuous) Sheer White</t>
  </si>
  <si>
    <t>Hoad Horizon (Continuous) Sheer TBA</t>
  </si>
  <si>
    <t>Warwick Aesop (Continuous) Sheer Charcoal</t>
  </si>
  <si>
    <t>Warwick Aesop (Continuous) Sheer Cocoa</t>
  </si>
  <si>
    <t>Warwick Aesop (Continuous) Sheer Ecru</t>
  </si>
  <si>
    <t>Warwick Aesop (Continuous) Sheer Flax</t>
  </si>
  <si>
    <t>Warwick Aesop (Continuous) Sheer Flint</t>
  </si>
  <si>
    <t>Warwick Aesop (Continuous) Sheer Husk</t>
  </si>
  <si>
    <t>Warwick Aesop (Continuous) Sheer Mist</t>
  </si>
  <si>
    <t>Warwick Aesop (Continuous) Sheer Parchment</t>
  </si>
  <si>
    <t>Warwick Aesop (Continuous) Sheer Quartz</t>
  </si>
  <si>
    <t>Warwick Aesop (Continuous) Sheer Sepia</t>
  </si>
  <si>
    <t>Warwick Aesop (Continuous) Sheer Smoke</t>
  </si>
  <si>
    <t>Warwick Chios (Continuous) Sheer Mist</t>
  </si>
  <si>
    <t>Warwick Coast (Continuous) Sheer Anthracite</t>
  </si>
  <si>
    <t>Warwick Coast (Continuous) Sheer Pacific</t>
  </si>
  <si>
    <t>Warwick Coast (Continuous) Sheer Seaglass</t>
  </si>
  <si>
    <t>Warwick Coast (Continuous) Sheer TBA</t>
  </si>
  <si>
    <t>Maurice Kain Lithgow (Continuous) Sheer Stone</t>
  </si>
  <si>
    <t>Maurice Kain Lithgow (Continuous) Sheer Suilver Gull</t>
  </si>
  <si>
    <t>Maurice Kain Lithgow (Continuous) Sheer Overcast</t>
  </si>
  <si>
    <t>Maurice Kain Lithgow (Continuous) Sheer Shadow</t>
  </si>
  <si>
    <t>Maurice Kain Lithgow (Continuous) Sheer Navy</t>
  </si>
  <si>
    <t>Maurice Kain Lithgow (Continuous) Sheer Storm</t>
  </si>
  <si>
    <t>Maurice Kain Lithgow (Continuous) Sheer Smoke</t>
  </si>
  <si>
    <t>Maurice Kain Lithgow (Continuous) Sheer Duck Egg</t>
  </si>
  <si>
    <t>Maurice Kain Lithgow (Continuous) Sheer Forest</t>
  </si>
  <si>
    <t>Maurice Kain Lithgow (Continuous) Sheer Clay</t>
  </si>
  <si>
    <t>Maurice Kain Lithgow (Continuous) Sheer Bluff</t>
  </si>
  <si>
    <t>Maurice Kain Lithgow (Continuous) Sheer Linen</t>
  </si>
  <si>
    <t>Maurice Kain Lithgow (Continuous) Sheer Flax</t>
  </si>
  <si>
    <t>Maurice Kain Lithgow (Continuous) Sheer Paper</t>
  </si>
  <si>
    <t>Maurice Kain Lithgow (Continuous) Sheer Snow</t>
  </si>
  <si>
    <t>Maurice Kain Lithgow (Continuous) Sheer TBA</t>
  </si>
  <si>
    <t>Marco Bedarra (Continuous) Sheer White</t>
  </si>
  <si>
    <t>Marco Bedarra (Continuous) Sheer Alabaster</t>
  </si>
  <si>
    <t>Marco Bedarra (Continuous) Sheer Chalk</t>
  </si>
  <si>
    <t>Marco Bedarra (Continuous) Sheer Linen</t>
  </si>
  <si>
    <t>Marco Bedarra (Continuous) Sheer Sand</t>
  </si>
  <si>
    <t>Marco Bedarra (Continuous) Sheer Coral</t>
  </si>
  <si>
    <t>Marco Bedarra (Continuous) Sheer Fog</t>
  </si>
  <si>
    <t>Marco Bedarra (Continuous) Sheer Aqua</t>
  </si>
  <si>
    <t>Marco Bedarra (Continuous) Sheer Silver</t>
  </si>
  <si>
    <t>Marco Bedarra (Continuous) Sheer Grey</t>
  </si>
  <si>
    <t>Marco Bedarra (Continuous) Sheer TBA</t>
  </si>
  <si>
    <t>Marco Bruny (Continuous) Sheer White</t>
  </si>
  <si>
    <t>Marco Bruny (Continuous) Sheer Champagne</t>
  </si>
  <si>
    <t>Marco Bruny (Continuous) Sheer Silver</t>
  </si>
  <si>
    <t>Marco Bruny (Continuous) Sheer Tungsten</t>
  </si>
  <si>
    <t>Marco Bruny (Continuous) Sheer Meteorite</t>
  </si>
  <si>
    <t>Marco Bruny (Continuous) Sheer Onyx</t>
  </si>
  <si>
    <t>Marco Bruny (Continuous) Sheer Zinc</t>
  </si>
  <si>
    <t>Marco Bruny (Continuous) Sheer Platinum</t>
  </si>
  <si>
    <t>Marco Bruny (Continuous) Sheer Pearl</t>
  </si>
  <si>
    <t>Marco Bruny (Continuous) Sheer Ebony</t>
  </si>
  <si>
    <t>Marco Bruny (Continuous) Sheer TBA</t>
  </si>
  <si>
    <t>Marco Flinders (Continuous) Sheer White</t>
  </si>
  <si>
    <t>Marco Flinders (Continuous) Sheer Ivory</t>
  </si>
  <si>
    <t>Marco Flinders (Continuous) Sheer Taupe</t>
  </si>
  <si>
    <t>Marco Flinders (Continuous) Sheer Oatmeal</t>
  </si>
  <si>
    <t>Marco Flinders (Continuous) Sheer Platinum</t>
  </si>
  <si>
    <t>Marco Flinders (Continuous) Sheer TBA</t>
  </si>
  <si>
    <t>Marco Moreton (Continuous) Sheer Pebble</t>
  </si>
  <si>
    <t>Marco Moreton (Continuous) Sheer Denim</t>
  </si>
  <si>
    <t>Marco Moreton (Continuous) Sheer Silver</t>
  </si>
  <si>
    <t>Marco Moreton (Continuous) Sheer Granite</t>
  </si>
  <si>
    <t>Marco Moreton (Continuous) Sheer Greywacke</t>
  </si>
  <si>
    <t>Marco Moreton (Continuous) Sheer Oatmeal</t>
  </si>
  <si>
    <t>Marco Moreton (Continuous) Sheer Stone</t>
  </si>
  <si>
    <t>Marco Moreton (Continuous) Sheer TBA</t>
  </si>
  <si>
    <t>Warwick Corfu (Continuous) Sheer Asphalt</t>
  </si>
  <si>
    <t>Warwick Corfu (Continuous) Sheer Flax</t>
  </si>
  <si>
    <t>Warwick Corfu (Continuous) Sheer Flint</t>
  </si>
  <si>
    <t>Warwick Corfu (Continuous) Sheer Mist</t>
  </si>
  <si>
    <t>Warwick Corfu (Continuous) Sheer Moonlight</t>
  </si>
  <si>
    <t>Warwick Corfu (Continuous) Sheer Mushroom</t>
  </si>
  <si>
    <t>Warwick Corfu (Continuous) Sheer Pebble</t>
  </si>
  <si>
    <t>Warwick Corfu (Continuous) Sheer Quartz</t>
  </si>
  <si>
    <t>Warwick Corfu (Continuous) Sheer Sable</t>
  </si>
  <si>
    <t>Warwick Corfu (Continuous) Sheer Sepia</t>
  </si>
  <si>
    <t>Warwick Corfu (Continuous) Sheer Smoke</t>
  </si>
  <si>
    <t>Warwick Corfu (Continuous) Sheer Snow</t>
  </si>
  <si>
    <t>Warwick Corfu (Continuous) Sheer TBA</t>
  </si>
  <si>
    <t>Slender Morris Provence (Continuous) Sheer Grey</t>
  </si>
  <si>
    <t>Slender Morris Provence (Continuous) Sheer Linen</t>
  </si>
  <si>
    <t>Slender Morris Provence (Continuous) Sheer Ivory</t>
  </si>
  <si>
    <t>Slender Morris Provence (Continuous) Sheer White</t>
  </si>
  <si>
    <t>Slender Morris Provence (Continuous) Sheer TBA</t>
  </si>
  <si>
    <t>Charles Parsons Carter (Continuous) Sheer Chalk</t>
  </si>
  <si>
    <t>Charles Parsons Carter (Continuous) Sheer Pearl</t>
  </si>
  <si>
    <t>Charles Parsons Carter (Continuous) Sheer Stone</t>
  </si>
  <si>
    <t>Charles Parsons Carter (Continuous) Sheer Moss</t>
  </si>
  <si>
    <t>Charles Parsons Carter (Continuous) Sheer Blush</t>
  </si>
  <si>
    <t>Charles Parsons Carter (Continuous) Sheer Dawn</t>
  </si>
  <si>
    <t>Charles Parsons Carter (Continuous) Sheer Moon</t>
  </si>
  <si>
    <t>Charles Parsons Carter (Continuous) Sheer Sky</t>
  </si>
  <si>
    <t>Charles Parsons Carter (Continuous) Sheer Cadet</t>
  </si>
  <si>
    <t>Charles Parsons Carter (Continuous) Sheer Carbon</t>
  </si>
  <si>
    <t>Charles Parsons Carter (Continuous) Sheer Onyx</t>
  </si>
  <si>
    <t>Charles Parsons Carter (Continuous) Sheer TBA</t>
  </si>
  <si>
    <t>Hoad Astra (Continuous) Sheer Pewter</t>
  </si>
  <si>
    <t>Hoad Astra (Continuous) Sheer Lunar</t>
  </si>
  <si>
    <t>Hoad Astra (Continuous) Sheer Rope</t>
  </si>
  <si>
    <t>Slender Morris Montpellier (Continuous) Sheer Pink Cream</t>
  </si>
  <si>
    <t>Zepel Rhyme (Continuous) Sheer Aluminium</t>
  </si>
  <si>
    <t>Zepel Rhyme (Continuous) Sheer Blush</t>
  </si>
  <si>
    <t>Zepel Rhyme (Continuous) Sheer Ecru</t>
  </si>
  <si>
    <t>Zepel Rhyme (Continuous) Sheer Fog</t>
  </si>
  <si>
    <t>Zepel Rhyme (Continuous) Sheer Leaf</t>
  </si>
  <si>
    <t>Zepel Rhyme (Continuous) Sheer Onyx</t>
  </si>
  <si>
    <t>Zepel Rhyme (Continuous) Sheer Oyster</t>
  </si>
  <si>
    <t>Zepel Rhyme (Continuous) Sheer Pearl</t>
  </si>
  <si>
    <t>Zepel Rhyme (Continuous) Sheer Pool</t>
  </si>
  <si>
    <t>Zepel Rhyme (Continuous) Sheer Pure</t>
  </si>
  <si>
    <t>Zepel Rhyme (Continuous) Sheer Raven</t>
  </si>
  <si>
    <t>Zepel Rhyme (Continuous) Sheer Scuba</t>
  </si>
  <si>
    <t>Zepel Rhyme (Continuous) Sheer Silver</t>
  </si>
  <si>
    <t>Zepel Rhyme (Continuous) Sheer Sky</t>
  </si>
  <si>
    <t>Zepel Rhyme (Continuous) Sheer Slate</t>
  </si>
  <si>
    <t>Zepel Rhyme (Continuous) Sheer Spring</t>
  </si>
  <si>
    <t>Zepel Rhyme (Continuous) Sheer Sterling</t>
  </si>
  <si>
    <t>Zepel Rhyme (Continuous) Sheer Teal</t>
  </si>
  <si>
    <t>Zepel Rhyme (Continuous) Sheer TBA</t>
  </si>
  <si>
    <t>Zepel Elegance (Continuous) Sheer Dune</t>
  </si>
  <si>
    <t>Zepel Elegance (Continuous) Sheer Fog</t>
  </si>
  <si>
    <t>Zepel Elegance (Continuous) Sheer Gargoyle</t>
  </si>
  <si>
    <t>Zepel Elegance (Continuous) Sheer Pearl</t>
  </si>
  <si>
    <t>Zepel Elegance (Continuous) Sheer Sesame</t>
  </si>
  <si>
    <t>Zepel Elegance (Continuous) Sheer Snow</t>
  </si>
  <si>
    <t>Zepel Elegance (Continuous) Sheer TBA</t>
  </si>
  <si>
    <t>Maurice Kain Arcade (Continuous) Uncoated Natural</t>
  </si>
  <si>
    <t>Maurice Kain Palace (Continuous) Uncoated Natural</t>
  </si>
  <si>
    <t>Maurice Kain Tayalla (Continuous) Uncoated Cinder</t>
  </si>
  <si>
    <t>Maurice Kain Tayalla (Continuous) Uncoated Slate</t>
  </si>
  <si>
    <t>Maurice Kain Tayalla (Continuous) Uncoated Charcoal</t>
  </si>
  <si>
    <t>Maurice Kain Tayalla (Continuous) Uncoated Marble</t>
  </si>
  <si>
    <t>Maurice Kain Tayalla (Continuous) Uncoated Snow</t>
  </si>
  <si>
    <t>Maurice Kain Tayalla (Continuous) Uncoated Mink</t>
  </si>
  <si>
    <t>Maurice Kain Tayalla (Continuous) Uncoated Pebble</t>
  </si>
  <si>
    <t>Maurice Kain Tayalla (Continuous) Uncoated Stone</t>
  </si>
  <si>
    <t>Maurice Kain Tayalla (Continuous) Uncoated Sand</t>
  </si>
  <si>
    <t>Maurice Kain Tayalla (Continuous) Uncoated Parchtment</t>
  </si>
  <si>
    <t>Maurice Kain Tayalla (Continuous) Uncoated Birch</t>
  </si>
  <si>
    <t>Maurice Kain Tayalla (Continuous) Uncoated Alabaster</t>
  </si>
  <si>
    <t>Maurice Kain Tayalla (Continuous) Uncoated Duck Egg</t>
  </si>
  <si>
    <t>Maurice Kain Tayalla (Continuous) Uncoated Powder</t>
  </si>
  <si>
    <t>Maurice Kain Tayalla (Continuous) Uncoated Peacock</t>
  </si>
  <si>
    <t>Maurice Kain Tayalla (Continuous) Uncoated Navy</t>
  </si>
  <si>
    <t>Maurice Kain Tayalla (Continuous) Uncoated Ruby</t>
  </si>
  <si>
    <t>Maurice Kain Tayalla (Continuous) Uncoated TBA</t>
  </si>
  <si>
    <t>Westbury Textiles Brugge Linen (Continuous) Uncoated Natural</t>
  </si>
  <si>
    <t>Westbury Textiles Brugge Linen (Continuous) Uncoated Flax</t>
  </si>
  <si>
    <t>Westbury Textiles Brugge Linen (Continuous) Uncoated TBA</t>
  </si>
  <si>
    <t>Zepel Motion (Continuous) Uncoated Swan</t>
  </si>
  <si>
    <t>Zepel Motion (Continuous) Uncoated Pearl</t>
  </si>
  <si>
    <t>Zepel Motion (Continuous) Uncoated Sesame</t>
  </si>
  <si>
    <t>Zepel Motion (Continuous) Uncoated Dune</t>
  </si>
  <si>
    <t>Zepel Motion (Continuous) Uncoated Raffia</t>
  </si>
  <si>
    <t>Zepel Motion (Continuous) Uncoated Wheat</t>
  </si>
  <si>
    <t>Zepel Motion (Continuous) Uncoated Fossil</t>
  </si>
  <si>
    <t>Zepel Motion (Continuous) Uncoated Mushroom</t>
  </si>
  <si>
    <t>Zepel Motion (Continuous) Uncoated Wood</t>
  </si>
  <si>
    <t>Zepel Motion (Continuous) Uncoated Aluminium</t>
  </si>
  <si>
    <t>Zepel Motion (Continuous) Uncoated Shark</t>
  </si>
  <si>
    <t>Zepel Motion (Continuous) Uncoated Mist</t>
  </si>
  <si>
    <t>Zepel Motion (Continuous) Uncoated Sand</t>
  </si>
  <si>
    <t>Zepel Motion (Continuous) Uncoated Limestone</t>
  </si>
  <si>
    <t>Zepel Motion (Continuous) Uncoated Pool</t>
  </si>
  <si>
    <t>Zepel Motion (Continuous) Uncoated Ocean</t>
  </si>
  <si>
    <t>Zepel Motion (Continuous) Uncoated Marine</t>
  </si>
  <si>
    <t>Zepel Motion (Continuous) Uncoated Surf</t>
  </si>
  <si>
    <t>Zepel Motion (Continuous) Uncoated Forest</t>
  </si>
  <si>
    <t>Zepel Motion (Continuous) Uncoated Kiwi</t>
  </si>
  <si>
    <t>Zepel Motion (Continuous) Uncoated Moss</t>
  </si>
  <si>
    <t>Zepel Motion (Continuous) Uncoated Sierra</t>
  </si>
  <si>
    <t>Zepel Motion (Continuous) Uncoated Boudoir</t>
  </si>
  <si>
    <t>Zepel Motion (Continuous) Uncoated TBA</t>
  </si>
  <si>
    <t>Zepel Jupiter (Continuous) Uncoated Shark</t>
  </si>
  <si>
    <t>Zepel Jupiter (Continuous) Uncoated Cloud</t>
  </si>
  <si>
    <t>Zepel Jupiter (Continuous) Uncoated Dune</t>
  </si>
  <si>
    <t>Zepel Jupiter (Continuous) Uncoated Pool</t>
  </si>
  <si>
    <t>Zepel Jupiter (Continuous) Uncoated Ribbon</t>
  </si>
  <si>
    <t>Zepel Jupiter (Continuous) Uncoated Snow</t>
  </si>
  <si>
    <t>Zepel Jupiter (Continuous) Uncoated Forest</t>
  </si>
  <si>
    <t>Zepel Jupiter (Continuous) Uncoated Grass</t>
  </si>
  <si>
    <t>Zepel Jupiter (Continuous) Uncoated Sand</t>
  </si>
  <si>
    <t>Zepel Jupiter (Continuous) Uncoated Sierra</t>
  </si>
  <si>
    <t>Zepel Jupiter (Continuous) Uncoated Sky</t>
  </si>
  <si>
    <t>Zepel Jupiter (Continuous) Uncoated Sesame</t>
  </si>
  <si>
    <t>Zepel Jupiter (Continuous) Uncoated Smoke</t>
  </si>
  <si>
    <t>Zepel Jupiter (Continuous) Uncoated Wool</t>
  </si>
  <si>
    <t>Zepel Jupiter (Continuous) Uncoated TBA</t>
  </si>
  <si>
    <t>Maurice Kain Arielle (Continuous) Uncoated Shadow</t>
  </si>
  <si>
    <t>Maurice Kain Arielle (Continuous) Uncoated Natural</t>
  </si>
  <si>
    <t>Maurice Kain Arielle (Continuous) Uncoated TBA</t>
  </si>
  <si>
    <t>Warwick Calais (Continuous) Uncoated Angora</t>
  </si>
  <si>
    <t>Warwick Calais (Continuous) Uncoated Blanc</t>
  </si>
  <si>
    <t>Warwick Calais (Continuous) Uncoated Blossom</t>
  </si>
  <si>
    <t>Warwick Calais (Continuous) Uncoated Flint</t>
  </si>
  <si>
    <t>Warwick Calais (Continuous) Uncoated Frost</t>
  </si>
  <si>
    <t>Warwick Calais (Continuous) Uncoated Mist</t>
  </si>
  <si>
    <t>Warwick Calais (Continuous) Uncoated Musk</t>
  </si>
  <si>
    <t>Warwick Calais (Continuous) Uncoated Oatmeal</t>
  </si>
  <si>
    <t>Warwick Calais (Continuous) Uncoated Pewter</t>
  </si>
  <si>
    <t>Warwick Calais (Continuous) Uncoated Rain</t>
  </si>
  <si>
    <t>Warwick Calais (Continuous) Uncoated Snow</t>
  </si>
  <si>
    <t>Warwick Calais (Continuous) Uncoated Taupe</t>
  </si>
  <si>
    <t>Warwick Calais (Continuous) Uncoated TBA</t>
  </si>
  <si>
    <t>Warwick Linesta (Continuous) Uncoated Alabaster</t>
  </si>
  <si>
    <t>Warwick Linesta (Continuous) Uncoated Blush</t>
  </si>
  <si>
    <t>Warwick Linesta (Continuous) Uncoated Coral</t>
  </si>
  <si>
    <t>Warwick Linesta (Continuous) Uncoated Denim</t>
  </si>
  <si>
    <t>Warwick Linesta (Continuous) Uncoated Duckegg</t>
  </si>
  <si>
    <t>Warwick Linesta (Continuous) Uncoated Fog</t>
  </si>
  <si>
    <t>Warwick Linesta (Continuous) Uncoated Honey</t>
  </si>
  <si>
    <t>Warwick Linesta (Continuous) Uncoated Laurel</t>
  </si>
  <si>
    <t>Warwick Linesta (Continuous) Uncoated Linen</t>
  </si>
  <si>
    <t>Warwick Linesta (Continuous) Uncoated Mist</t>
  </si>
  <si>
    <t>Warwick Linesta (Continuous) Uncoated Navy</t>
  </si>
  <si>
    <t>Warwick Linesta (Continuous) Uncoated Oyster</t>
  </si>
  <si>
    <t>Warwick Linesta (Continuous) Uncoated Pearl</t>
  </si>
  <si>
    <t>Warwick Linesta (Continuous) Uncoated Quartz</t>
  </si>
  <si>
    <t>Warwick Linesta (Continuous) Uncoated Rose</t>
  </si>
  <si>
    <t>Warwick Linesta (Continuous) Uncoated Shadow</t>
  </si>
  <si>
    <t>Warwick Linesta (Continuous) Uncoated Snow</t>
  </si>
  <si>
    <t>Warwick Linesta (Continuous) Uncoated Steel</t>
  </si>
  <si>
    <t>Warwick Linesta (Continuous) Uncoated Stone</t>
  </si>
  <si>
    <t>Warwick Linesta (Continuous) Uncoated Terracotta</t>
  </si>
  <si>
    <t>Warwick Linesta (Continuous) Uncoated White</t>
  </si>
  <si>
    <t>Warwick Linesta (Continuous) Uncoated TBA</t>
  </si>
  <si>
    <t>Zepel Bavaria (Continuous) Uncoated Aluminium</t>
  </si>
  <si>
    <t>Zepel Bavaria (Continuous) Uncoated Aqua</t>
  </si>
  <si>
    <t>Zepel Bavaria (Continuous) Uncoated Blossom</t>
  </si>
  <si>
    <t>Zepel Bavaria (Continuous) Uncoated Cadet</t>
  </si>
  <si>
    <t>Zepel Bavaria (Continuous) Uncoated Cloud</t>
  </si>
  <si>
    <t>Zepel Bavaria (Continuous) Uncoated Dove</t>
  </si>
  <si>
    <t>Zepel Bavaria (Continuous) Uncoated Dune</t>
  </si>
  <si>
    <t>Zepel Bavaria (Continuous) Uncoated Earth</t>
  </si>
  <si>
    <t>Zepel Bavaria (Continuous) Uncoated Fossil</t>
  </si>
  <si>
    <t>Zepel Bavaria (Continuous) Uncoated Ivory</t>
  </si>
  <si>
    <t>Zepel Bavaria (Continuous) Uncoated Leaf</t>
  </si>
  <si>
    <t>Zepel Bavaria (Continuous) Uncoated Marine</t>
  </si>
  <si>
    <t>Zepel Bavaria (Continuous) Uncoated Mist</t>
  </si>
  <si>
    <t>Zepel Bavaria (Continuous) Uncoated Nougat</t>
  </si>
  <si>
    <t>Zepel Bavaria (Continuous) Uncoated Otter</t>
  </si>
  <si>
    <t>Zepel Bavaria (Continuous) Uncoated Plum</t>
  </si>
  <si>
    <t>Zepel Bavaria (Continuous) Uncoated Sand</t>
  </si>
  <si>
    <t>Zepel Bavaria (Continuous) Uncoated Scuba</t>
  </si>
  <si>
    <t>Zepel Bavaria (Continuous) Uncoated Seagrass</t>
  </si>
  <si>
    <t>Zepel Bavaria (Continuous) Uncoated Sesame</t>
  </si>
  <si>
    <t>Zepel Bavaria (Continuous) Uncoated Steel</t>
  </si>
  <si>
    <t>Zepel Bavaria (Continuous) Uncoated Swan</t>
  </si>
  <si>
    <t>Zepel Bavaria (Continuous) Uncoated Teal</t>
  </si>
  <si>
    <t>Zepel Bavaria (Continuous) Uncoated Winter</t>
  </si>
  <si>
    <t>Zepel Bavaria (Continuous) Uncoated TBA</t>
  </si>
  <si>
    <t>Hoad Plain (Continuous) Uncoated Opal</t>
  </si>
  <si>
    <t>Hoad Plain (Continuous) Uncoated Flax</t>
  </si>
  <si>
    <t>Hoad Plain (Continuous) Uncoated Silver</t>
  </si>
  <si>
    <t>Hoad Plain (Continuous) Uncoated Stone</t>
  </si>
  <si>
    <t>Hoad Plain (Continuous) Uncoated Charcoal</t>
  </si>
  <si>
    <t>Hoad Plain (Continuous) Uncoated Black</t>
  </si>
  <si>
    <t>Hoad Plain (Continuous) Uncoated Ocean</t>
  </si>
  <si>
    <t>Hoad Plain (Continuous) Uncoated Navy</t>
  </si>
  <si>
    <t>Hoad Plain (Continuous) Uncoated Red</t>
  </si>
  <si>
    <t>Hoad Plain (Continuous) Uncoated TBA</t>
  </si>
  <si>
    <t>Hoad Rhapsody (Continuous) Uncoated Charcoal</t>
  </si>
  <si>
    <t>Hoad Rhapsody (Continuous) Uncoated Cloud</t>
  </si>
  <si>
    <t>Hoad Rhapsody (Continuous) Uncoated Domino</t>
  </si>
  <si>
    <t>Hoad Rhapsody (Continuous) Uncoated Linen</t>
  </si>
  <si>
    <t>Hoad Rhapsody (Continuous) Uncoated Moonlight</t>
  </si>
  <si>
    <t>Hoad Rhapsody (Continuous) Uncoated Natural</t>
  </si>
  <si>
    <t>Hoad Rhapsody (Continuous) Uncoated Steel</t>
  </si>
  <si>
    <t>Hoad Rhapsody (Continuous) Uncoated TBA</t>
  </si>
  <si>
    <t>Hoad Rhapsody (Continuous) Coated Charcoal</t>
  </si>
  <si>
    <t>Hoad Rhapsody (Continuous) Coated Domino</t>
  </si>
  <si>
    <t>Hoad Rhapsody (Continuous) Coated Linen</t>
  </si>
  <si>
    <t>Hoad Rhapsody (Continuous) Coated Moonlight</t>
  </si>
  <si>
    <t>Hoad Rhapsody (Continuous) Coated Natural</t>
  </si>
  <si>
    <t>Hoad Rhapsody (Continuous) Coated Steel</t>
  </si>
  <si>
    <t>Hoad Rhapsody (Continuous) Coated TBA</t>
  </si>
  <si>
    <t>Hoad Rhapsody (Continuous) Coated Cloud</t>
  </si>
  <si>
    <t>Maurice Kain Abaca (Continuous) Uncoated Ash</t>
  </si>
  <si>
    <t>Maurice Kain Abaca (Continuous) Uncoated Chalk</t>
  </si>
  <si>
    <t>Maurice Kain Abaca (Continuous) Uncoated Charcoal</t>
  </si>
  <si>
    <t>Maurice Kain Abaca (Continuous) Uncoated Cinder</t>
  </si>
  <si>
    <t>Maurice Kain Abaca (Continuous) Uncoated Dove</t>
  </si>
  <si>
    <t>Maurice Kain Abaca (Continuous) Uncoated Duck Egg</t>
  </si>
  <si>
    <t>Maurice Kain Abaca (Continuous) Uncoated Flax</t>
  </si>
  <si>
    <t>Maurice Kain Abaca (Continuous) Uncoated Fog</t>
  </si>
  <si>
    <t>Maurice Kain Abaca (Continuous) Uncoated Frost</t>
  </si>
  <si>
    <t>Maurice Kain Abaca (Continuous) Uncoated Ink</t>
  </si>
  <si>
    <t>Maurice Kain Abaca (Continuous) Uncoated Natural</t>
  </si>
  <si>
    <t>Maurice Kain Abaca (Continuous) Uncoated Pepper</t>
  </si>
  <si>
    <t>Maurice Kain Abaca (Continuous) Uncoated Shadow</t>
  </si>
  <si>
    <t>Maurice Kain Abaca (Continuous) Uncoated Silver</t>
  </si>
  <si>
    <t>Maurice Kain Abaca (Continuous) Uncoated Taupe</t>
  </si>
  <si>
    <t>Maurice Kain Abaca (Continuous) Uncoated TBA</t>
  </si>
  <si>
    <t>Maurice Kain Abaca (Continuous) Uncoated Concrete</t>
  </si>
  <si>
    <t>Maurice Kain Abaca (Continuous) Uncoated Mist</t>
  </si>
  <si>
    <t>Maurice Kain Abaca (Continuous) Uncoated Whisper</t>
  </si>
  <si>
    <t>Maurice Kain Abaca (Continuous) Uncoated Parchment</t>
  </si>
  <si>
    <t>Maurice Kain Abaca (Continuous) Uncoated Dew</t>
  </si>
  <si>
    <t>Maurice Kain Abaca (Continuous) Uncoated Angora</t>
  </si>
  <si>
    <t>Maurice Kain Abaca (Continuous) Uncoated Almond</t>
  </si>
  <si>
    <t>Maurice Kain Abaca (Continuous) Uncoated Oyster</t>
  </si>
  <si>
    <t>Maurice Kain Abaca (Continuous) Uncoated Sable</t>
  </si>
  <si>
    <t>Filigree Simplicity 300cm (Drop) Lining Ash</t>
  </si>
  <si>
    <t>Filigree Simplicity 300cm (Drop) Lining Black</t>
  </si>
  <si>
    <t>Filigree Simplicity 300cm (Drop) Lining Cargo</t>
  </si>
  <si>
    <t>Filigree Simplicity 300cm (Drop) Lining Cinder</t>
  </si>
  <si>
    <t>Filigree Simplicity 300cm (Drop) Lining Fog</t>
  </si>
  <si>
    <t>Filigree Simplicity 300cm (Drop) Lining Ivory</t>
  </si>
  <si>
    <t>Filigree Simplicity 300cm (Drop) Lining Off White</t>
  </si>
  <si>
    <t>Filigree Simplicity 300cm (Drop) Lining Raw</t>
  </si>
  <si>
    <t>Filigree Simplicity 300cm (Drop) Lining Silver</t>
  </si>
  <si>
    <t>Filigree Simplicity 300cm (Drop) Lining Stone</t>
  </si>
  <si>
    <t>Filigree Simplicity 300cm (Drop) Lining TBA</t>
  </si>
  <si>
    <t>Filigree Simplicity 300cm (Drop) Lining White</t>
  </si>
  <si>
    <t>Filigree Simplicity 300cm (Continuous) Lining Ash</t>
  </si>
  <si>
    <t>Filigree Simplicity 300cm (Continuous) Lining Black</t>
  </si>
  <si>
    <t>Filigree Simplicity 300cm (Continuous) Lining Cargo</t>
  </si>
  <si>
    <t>Filigree Simplicity 300cm (Continuous) Lining Cinder</t>
  </si>
  <si>
    <t>Filigree Simplicity 300cm (Continuous) Lining Fog</t>
  </si>
  <si>
    <t>Filigree Simplicity 300cm (Continuous) Lining Ivory</t>
  </si>
  <si>
    <t>Filigree Simplicity 300cm (Continuous) Lining Off White</t>
  </si>
  <si>
    <t>Filigree Simplicity 300cm (Continuous) Lining Raw</t>
  </si>
  <si>
    <t>Filigree Simplicity 300cm (Continuous) Lining Silver</t>
  </si>
  <si>
    <t>Filigree Simplicity 300cm (Continuous) Lining Stone</t>
  </si>
  <si>
    <t>Filigree Simplicity 300cm (Continuous) Lining TBA</t>
  </si>
  <si>
    <t>Filigree Simplicity 300cm (Continuous) Lining White</t>
  </si>
  <si>
    <t>Hoad Avena (Continuous) Coated TBA</t>
  </si>
  <si>
    <t>Hoad CMB-320 (Continuous) Coated Camel</t>
  </si>
  <si>
    <t>Hoad CMB-320 (Continuous) Coated Domino</t>
  </si>
  <si>
    <t>Hoad CMB-320 (Continuous) Coated Earth</t>
  </si>
  <si>
    <t>Hoad CMB-320 (Continuous) Coated Feather</t>
  </si>
  <si>
    <t>Hoad CMB-320 (Continuous) Coated Iron</t>
  </si>
  <si>
    <t>Hoad CMB-320 (Continuous) Coated Ivory</t>
  </si>
  <si>
    <t>Hoad CMB-320 (Continuous) Coated Latte</t>
  </si>
  <si>
    <t>Hoad CMB-320 (Continuous) Coated Lava</t>
  </si>
  <si>
    <t>Hoad CMB-320 (Continuous) Coated PFP</t>
  </si>
  <si>
    <t>Hoad CMB-320 (Continuous) Coated Steel</t>
  </si>
  <si>
    <t>Hoad CMB-320 (Continuous) Coated Stone</t>
  </si>
  <si>
    <t>Hoad CMB-320 (Continuous) Coated TBA</t>
  </si>
  <si>
    <t>Hoad CMB-320 (Continuous) Coated Timber</t>
  </si>
  <si>
    <t>Hoad CMB-320 (Continuous) Coated White</t>
  </si>
  <si>
    <t>Maurice Kain Harris (Continuous) Coated Antique</t>
  </si>
  <si>
    <t>Maurice Kain Harris (Continuous) Coated Ash</t>
  </si>
  <si>
    <t>Maurice Kain Harris (Continuous) Coated Charcoal</t>
  </si>
  <si>
    <t>Maurice Kain Harris (Continuous) Coated Delta</t>
  </si>
  <si>
    <t>Maurice Kain Harris (Continuous) Coated Fog</t>
  </si>
  <si>
    <t>Maurice Kain Harris (Continuous) Coated Marine</t>
  </si>
  <si>
    <t>Maurice Kain Harris (Continuous) Coated Natural</t>
  </si>
  <si>
    <t>Maurice Kain Harris (Continuous) Coated Pebble</t>
  </si>
  <si>
    <t>Maurice Kain Harris (Continuous) Coated Slate</t>
  </si>
  <si>
    <t>Maurice Kain Weylands (Continuous) Coated Birch</t>
  </si>
  <si>
    <t>Maurice Kain Weylands (Continuous) Coated Carbon</t>
  </si>
  <si>
    <t>Maurice Kain Weylands (Continuous) Coated Feather</t>
  </si>
  <si>
    <t>Maurice Kain Weylands (Continuous) Coated Granite</t>
  </si>
  <si>
    <t>Maurice Kain Weylands (Continuous) Coated Linen</t>
  </si>
  <si>
    <t>Maurice Kain Weylands (Continuous) Coated Seafoam</t>
  </si>
  <si>
    <t>Maurice Kain Weylands (Continuous) Coated Shell</t>
  </si>
  <si>
    <t>Maurice Kain Weylands (Continuous) Coated Snow</t>
  </si>
  <si>
    <t>Maurice Kain Weylands (Continuous) Coated Steel</t>
  </si>
  <si>
    <t>Maurice Kain Weylands (Continuous) Coated Stone</t>
  </si>
  <si>
    <t>Maurice Kain Weylands (Continuous) Coated TBA</t>
  </si>
  <si>
    <t>Maurice Kain Weylands (Continuous) Coated Tranquil</t>
  </si>
  <si>
    <t>Zepel Mavro (Continuous) Coated Ivory</t>
  </si>
  <si>
    <t>Zepel Mavro (Continuous) Coated Pearl</t>
  </si>
  <si>
    <t>Zepel Mavro (Continuous) Coated Lint</t>
  </si>
  <si>
    <t>Zepel Mavro (Continuous) Coated Silver</t>
  </si>
  <si>
    <t>Zepel Mavro (Continuous) Coated Charcoal</t>
  </si>
  <si>
    <t>Zepel Mavro (Continuous) Coated Ebony</t>
  </si>
  <si>
    <t>Zepel Mavro (Continuous) Coated Bronze</t>
  </si>
  <si>
    <t>Zepel Mavro (Continuous) Coated TBA</t>
  </si>
  <si>
    <t>Zepel Retreat (Continuous) Coated Cotton</t>
  </si>
  <si>
    <t>Zepel Retreat (Continuous) Coated Linen</t>
  </si>
  <si>
    <t>Zepel Retreat (Continuous) Coated Shell</t>
  </si>
  <si>
    <t>Zepel Retreat (Continuous) Coated Husk</t>
  </si>
  <si>
    <t>Zepel Retreat (Continuous) Coated Sand</t>
  </si>
  <si>
    <t>Zepel Retreat (Continuous) Coated Beach</t>
  </si>
  <si>
    <t>Zepel Retreat (Continuous) Coated Driftwood</t>
  </si>
  <si>
    <t>Zepel Retreat (Continuous) Coated Cloud</t>
  </si>
  <si>
    <t>Zepel Retreat (Continuous) Coated Pebble</t>
  </si>
  <si>
    <t>Zepel Retreat (Continuous) Coated Stone</t>
  </si>
  <si>
    <t>Zepel Retreat (Continuous) Coated Charcoal</t>
  </si>
  <si>
    <t>Zepel Retreat (Continuous) Coated Midnight</t>
  </si>
  <si>
    <t>Zepel Retreat (Continuous) Coated Lagoon</t>
  </si>
  <si>
    <t>Zepel Retreat (Continuous) Coated Palm</t>
  </si>
  <si>
    <t>Zepel Retreat (Continuous) Coated Dusk</t>
  </si>
  <si>
    <t>Zepel Retreat (Continuous) Coated Sunset</t>
  </si>
  <si>
    <t>Zepel Retreat (Continuous) Coated TBA</t>
  </si>
  <si>
    <t>Zepel Aphelion (Continuous) Dim Out Ice</t>
  </si>
  <si>
    <t>Zepel Aphelion (Continuous) Dim Out Sterling</t>
  </si>
  <si>
    <t>Zepel Aphelion (Continuous) Dim Out Slate</t>
  </si>
  <si>
    <t>Zepel Aphelion (Continuous) Dim Out Mouse</t>
  </si>
  <si>
    <t>Zepel Aphelion (Continuous) Dim Out Ink</t>
  </si>
  <si>
    <t>Zepel Aphelion (Continuous) Dim Out TBA</t>
  </si>
  <si>
    <t>Zepel Celestial (Continuous) Dim Out Snow</t>
  </si>
  <si>
    <t>Zepel Celestial (Continuous) Dim Out Cloud</t>
  </si>
  <si>
    <t>Zepel Celestial (Continuous) Dim Out Iron</t>
  </si>
  <si>
    <t>Zepel Celestial (Continuous) Dim Out Ebony</t>
  </si>
  <si>
    <t>Zepel Celestial (Continuous) Dim Out Mushroom</t>
  </si>
  <si>
    <t>Zepel Celestial (Continuous) Dim Out Reef</t>
  </si>
  <si>
    <t>Zepel Celestial (Continuous) Dim Out River</t>
  </si>
  <si>
    <t>Zepel Celestial (Continuous) Dim Out TBA</t>
  </si>
  <si>
    <t>Zepel Corona (Continuous) Dim Out Dune</t>
  </si>
  <si>
    <t>Zepel Corona (Continuous) Dim Out Nougat</t>
  </si>
  <si>
    <t>Zepel Corona (Continuous) Dim Out Cement</t>
  </si>
  <si>
    <t>Zepel Corona (Continuous) Dim Out TBA</t>
  </si>
  <si>
    <t>Zepel Umbra (Continuous) Dim Out Ecru</t>
  </si>
  <si>
    <t>Zepel Umbra (Continuous) Dim Out Sesame</t>
  </si>
  <si>
    <t>Zepel Umbra (Continuous) Dim Out Fossil</t>
  </si>
  <si>
    <t>Zepel Umbra (Continuous) Dim Out Duckegg</t>
  </si>
  <si>
    <t>Zepel Umbra (Continuous) Dim Out Denim</t>
  </si>
  <si>
    <t>Zepel Umbra (Continuous) Dim Out TBA</t>
  </si>
  <si>
    <t>Zepel Equator (Continuous) Dim Out Charcoal</t>
  </si>
  <si>
    <t>Zepel Equator (Continuous) Dim Out Otter</t>
  </si>
  <si>
    <t>Zepel Equator (Continuous) Dim Out TBA</t>
  </si>
  <si>
    <t>Charles Parsons Padddington (Continuous) Sheer Chalk</t>
  </si>
  <si>
    <t>Charles Parsons Padddington (Continuous) Sheer Linen</t>
  </si>
  <si>
    <t>Charles Parsons Padddington (Continuous) Sheer Midnight</t>
  </si>
  <si>
    <t>Charles Parsons Padddington (Continuous) Sheer Nougat</t>
  </si>
  <si>
    <t>Charles Parsons Padddington (Continuous) Sheer Platinum</t>
  </si>
  <si>
    <t>Charles Parsons Padddington (Continuous) Sheer Slate</t>
  </si>
  <si>
    <t>Charles Parsons Padddington (Continuous) Sheer TBA</t>
  </si>
  <si>
    <t>Charles Parsons Verdure (Continuous) Aquamarine</t>
  </si>
  <si>
    <t>Charles Parsons Verdure (Continuous) Café</t>
  </si>
  <si>
    <t>Charles Parsons Verdure (Continuous) Ocean</t>
  </si>
  <si>
    <t>Charles Parsons Verdure (Continuous) Olive</t>
  </si>
  <si>
    <t>Charles Parsons Verdure (Continuous) Silver</t>
  </si>
  <si>
    <t>Charles Parsons Verdure (Continuous) Smoke</t>
  </si>
  <si>
    <t>Charles Parsons Verdure (Continuous) TBA</t>
  </si>
  <si>
    <t>Zepel Henriette (Continuous) Sheer Pure</t>
  </si>
  <si>
    <t>Zepel Henriette (Continuous) Sheer Raffia</t>
  </si>
  <si>
    <t>Zepel Henriette (Continuous) Sheer TBA</t>
  </si>
  <si>
    <t>Zepel Henriette (Continuous) Sheer Whisper</t>
  </si>
  <si>
    <t>Zepel Lilian (Continuous) Sheer Pure</t>
  </si>
  <si>
    <t>Zepel Lilian (Continuous) Sheer Raffia</t>
  </si>
  <si>
    <t>Zepel Lilian (Continuous) Sheer TBA</t>
  </si>
  <si>
    <t>Zepel Lilian (Continuous) Sheer Whisper</t>
  </si>
  <si>
    <t>Zepel Fabiola (Continuous) Sheer Champagne</t>
  </si>
  <si>
    <t>81% Polyester 19% Viscose</t>
  </si>
  <si>
    <t>Zepel Fabiola (Continuous) Sheer Dune</t>
  </si>
  <si>
    <t>Zepel Fabiola (Continuous) Sheer Ivory</t>
  </si>
  <si>
    <t>Zepel Fabiola (Continuous) Sheer Swan</t>
  </si>
  <si>
    <t>Zepel Fabiola (Continuous) Sheer TBA</t>
  </si>
  <si>
    <t>Zepel Henriette (Continuous) Sheer Mist</t>
  </si>
  <si>
    <t>36% Polyester 32% Cotton 32% Linen</t>
  </si>
  <si>
    <t>Zepel Lilian (Continuous) Sheer Mist</t>
  </si>
  <si>
    <t>3 Pass (Drop) Lining Ivory</t>
  </si>
  <si>
    <t>Zepel Draper (Drop) Sheer Snow</t>
  </si>
  <si>
    <t>Zepel Draper (Drop) Sheer Swan</t>
  </si>
  <si>
    <t>Zepel Draper (Drop) Sheer Wool</t>
  </si>
  <si>
    <t>Zepel Draper (Drop) Sheer Earth</t>
  </si>
  <si>
    <t>Zepel Draper (Drop) Sheer Chinchilla</t>
  </si>
  <si>
    <t>Zepel Draper (Drop) Sheer Sand</t>
  </si>
  <si>
    <t>Zepel Draper (Drop) Sheer Smoke</t>
  </si>
  <si>
    <t>Zepel Draper (Drop) Sheer Pure</t>
  </si>
  <si>
    <t>Zepel Draper (Drop) Sheer Mist</t>
  </si>
  <si>
    <t>Zepel Draper (Drop) Sheer Dove</t>
  </si>
  <si>
    <t>Zepel Draper (Drop) Sheer Ash</t>
  </si>
  <si>
    <t>Zepel Draper (Drop) Sheer Charcoal</t>
  </si>
  <si>
    <t>Zepel Draper (Drop) Sheer Marine</t>
  </si>
  <si>
    <t>Zepel Draper (Drop) Sheer Spa</t>
  </si>
  <si>
    <t>Zepel Draper (Drop) Sheer Mineral</t>
  </si>
  <si>
    <t>Zepel Draper (Drop) Sheer Lagoon</t>
  </si>
  <si>
    <t>Zepel Draper (Drop) Sheer Teal</t>
  </si>
  <si>
    <t>Zepel Draper (Drop) Sheer Blossom</t>
  </si>
  <si>
    <t>Zepel Draper (Drop) Sheer TBA</t>
  </si>
  <si>
    <t>Viscose/Linen</t>
  </si>
  <si>
    <t>Filigree Positano (Continuous) Sheer Ash</t>
  </si>
  <si>
    <t>Filigree Positano (Continuous) Sheer Blackjack</t>
  </si>
  <si>
    <t>Filigree Positano (Continuous) Sheer Breeze</t>
  </si>
  <si>
    <t>Filigree Positano (Continuous) Sheer Cloud</t>
  </si>
  <si>
    <t>Filigree Positano (Continuous) Sheer Cream</t>
  </si>
  <si>
    <t>Filigree Positano (Continuous) Sheer Cumulus</t>
  </si>
  <si>
    <t>Filigree Positano (Continuous) Sheer Fog</t>
  </si>
  <si>
    <t>Filigree Positano (Continuous) Sheer Graphite</t>
  </si>
  <si>
    <t>Filigree Positano (Continuous) Sheer Iron</t>
  </si>
  <si>
    <t>Filigree Positano (Continuous) Sheer Linen</t>
  </si>
  <si>
    <t>Filigree Positano (Continuous) Sheer Merino</t>
  </si>
  <si>
    <t>Filigree Positano (Continuous) Sheer Nutmeg</t>
  </si>
  <si>
    <t>Filigree Positano (Continuous) Sheer Putty</t>
  </si>
  <si>
    <t>Filigree Positano (Continuous) Sheer Silver</t>
  </si>
  <si>
    <t>Filigree Positano (Continuous) Sheer Snow</t>
  </si>
  <si>
    <t>Filigree Positano (Continuous) Sheer Teal</t>
  </si>
  <si>
    <t>Filigree Positano (Continuous) Sheer White</t>
  </si>
  <si>
    <t>Filigree Positano (Continuous) Sheer TBA</t>
  </si>
  <si>
    <t>Charles Parsons Hertfordshire (Drop) Uncoated Cameo</t>
  </si>
  <si>
    <t>Charles Parsons Hertfordshire (Drop) Uncoated Celadon</t>
  </si>
  <si>
    <t>Charles Parsons Hertfordshire (Drop) Uncoated Denim</t>
  </si>
  <si>
    <t>Charles Parsons Hertfordshire (Drop) Uncoated Dove</t>
  </si>
  <si>
    <t>Charles Parsons Hertfordshire (Drop) Uncoated Latte</t>
  </si>
  <si>
    <t>Charles Parsons Hertfordshire (Drop) Uncoated Macadamia</t>
  </si>
  <si>
    <t>Charles Parsons Hertfordshire (Drop) Uncoated Mocha</t>
  </si>
  <si>
    <t>Charles Parsons Hertfordshire (Drop) Uncoated Shadow</t>
  </si>
  <si>
    <t>Charles Parsons Hertfordshire (Drop) Uncoated TBA</t>
  </si>
  <si>
    <t>Clarke &amp; Clarke Abeja (Drop) Uncoated Blush</t>
  </si>
  <si>
    <t>Clarke &amp; Clarke Abeja (Drop) Uncoated Ivory</t>
  </si>
  <si>
    <t>Clarke &amp; Clarke Abeja (Drop) Uncoated Linen</t>
  </si>
  <si>
    <t>Clarke &amp; Clarke Abeja (Drop) Uncoated Mineral</t>
  </si>
  <si>
    <t>Clarke &amp; Clarke Abeja (Drop) Uncoated TBA</t>
  </si>
  <si>
    <t>Clarke &amp; Clarke Abeja (Drop) Uncoated Teal</t>
  </si>
  <si>
    <t>Clarke &amp; Clarke Folium (Drop) Uncoated Chartreuse</t>
  </si>
  <si>
    <t>Clarke &amp; Clarke Folium (Drop) Uncoated Denim</t>
  </si>
  <si>
    <t>Clarke &amp; Clarke Folium (Drop) Uncoated Forest</t>
  </si>
  <si>
    <t>Clarke &amp; Clarke Folium (Drop) Uncoated Linen</t>
  </si>
  <si>
    <t>Clarke &amp; Clarke Folium (Drop) Uncoated Mineral</t>
  </si>
  <si>
    <t>Clarke &amp; Clarke Folium (Drop) Uncoated TBA</t>
  </si>
  <si>
    <t>Clarke &amp; Clarke Lemur (Drop) Uncoated Navy Velvet</t>
  </si>
  <si>
    <t>Clarke &amp; Clarke Palma (Drop) Uncoated Charcoal</t>
  </si>
  <si>
    <t>Clarke &amp; Clarke Palma (Drop) Uncoated Citron</t>
  </si>
  <si>
    <t>Clarke &amp; Clarke Palma (Drop) Uncoated Denim/Midnight</t>
  </si>
  <si>
    <t>Clarke &amp; Clarke Palma (Drop) Uncoated Kingfisher</t>
  </si>
  <si>
    <t>Clarke &amp; Clarke Palma (Drop) Uncoated Linen</t>
  </si>
  <si>
    <t>Clarke &amp; Clarke Palma (Drop) Uncoated TBA</t>
  </si>
  <si>
    <t>Clarke &amp; Clarke Tropicale (Drop) Uncoated Charcoal</t>
  </si>
  <si>
    <t>Clarke &amp; Clarke Tropicale (Drop) Uncoated Citron</t>
  </si>
  <si>
    <t>Clarke &amp; Clarke Tropicale (Drop) Uncoated Kingfisher</t>
  </si>
  <si>
    <t>Clarke &amp; Clarke Tropicale (Drop) Uncoated Midnight</t>
  </si>
  <si>
    <t>Clarke &amp; Clarke Tropicale (Drop) Uncoated Mocha</t>
  </si>
  <si>
    <t>Clarke &amp; Clarke Tropicale (Drop) Uncoated TBA</t>
  </si>
  <si>
    <t>Gummerson Lexington (Drop) Uncoated Ashwood</t>
  </si>
  <si>
    <t>Gummerson Lexington (Drop) Uncoated Charcoal</t>
  </si>
  <si>
    <t>Gummerson Lexington (Drop) Uncoated Duckegg</t>
  </si>
  <si>
    <t>Gummerson Lexington (Drop) Uncoated Garlic</t>
  </si>
  <si>
    <t>Gummerson Lexington (Drop) Uncoated Linen</t>
  </si>
  <si>
    <t>Gummerson Lexington (Drop) Uncoated Mushroom</t>
  </si>
  <si>
    <t>Gummerson Lexington (Drop) Uncoated Sand</t>
  </si>
  <si>
    <t>Gummerson Lexington (Drop) Uncoated Stone</t>
  </si>
  <si>
    <t>Gummerson Lexington (Drop) Uncoated TBA</t>
  </si>
  <si>
    <t>Gummerson Lexington (Drop) Uncoated White</t>
  </si>
  <si>
    <t>Hoad Maine (Drop) Uncoated Charcoal</t>
  </si>
  <si>
    <t>Hoad Maine (Drop) Uncoated Latte</t>
  </si>
  <si>
    <t>Hoad Maine (Drop) Uncoated Lime Wash</t>
  </si>
  <si>
    <t>Hoad Maine (Drop) Uncoated Linen</t>
  </si>
  <si>
    <t>Hoad Maine (Drop) Uncoated Mocha</t>
  </si>
  <si>
    <t>Hoad Maine (Drop) Uncoated Off White</t>
  </si>
  <si>
    <t>Hoad Maine (Drop) Uncoated Silver</t>
  </si>
  <si>
    <t>Hoad Maine (Drop) Uncoated Stone</t>
  </si>
  <si>
    <t>Hoad Maine (Drop) Uncoated TBA</t>
  </si>
  <si>
    <t>Maurice Kain Arizona (Drop) Uncoated Ash</t>
  </si>
  <si>
    <t>Maurice Kain Arizona (Drop) Uncoated Charcoal</t>
  </si>
  <si>
    <t>Maurice Kain Arizona (Drop) Uncoated Cotton</t>
  </si>
  <si>
    <t>Maurice Kain Arizona (Drop) Uncoated Delta</t>
  </si>
  <si>
    <t>Maurice Kain Arizona (Drop) Uncoated Earth</t>
  </si>
  <si>
    <t>Maurice Kain Arizona (Drop) Uncoated Ivory</t>
  </si>
  <si>
    <t>Maurice Kain Arizona (Drop) Uncoated Kohl</t>
  </si>
  <si>
    <t>Maurice Kain Arizona (Drop) Uncoated Lead</t>
  </si>
  <si>
    <t>Maurice Kain Arizona (Drop) Uncoated Malt</t>
  </si>
  <si>
    <t>Maurice Kain Arizona (Drop) Uncoated Mint</t>
  </si>
  <si>
    <t>Maurice Kain Arizona (Drop) Uncoated Sand</t>
  </si>
  <si>
    <t>Maurice Kain Arizona (Drop) Uncoated Sky</t>
  </si>
  <si>
    <t>Maurice Kain Arizona (Drop) Uncoated TBA</t>
  </si>
  <si>
    <t>Maurice Kain Arizona (Drop) Uncoated Zest</t>
  </si>
  <si>
    <t>Maurice Kain Baroda (Drop) Uncoated Ash</t>
  </si>
  <si>
    <t>Maurice Kain Baroda (Drop) Uncoated Autumn</t>
  </si>
  <si>
    <t>Maurice Kain Baroda (Drop) Uncoated Ebony</t>
  </si>
  <si>
    <t>Maurice Kain Baroda (Drop) Uncoated Jasper</t>
  </si>
  <si>
    <t>Maurice Kain Baroda (Drop) Uncoated Kingfisher</t>
  </si>
  <si>
    <t>Maurice Kain Baroda (Drop) Uncoated Spring</t>
  </si>
  <si>
    <t>Maurice Kain Baroda (Drop) Uncoated TBA</t>
  </si>
  <si>
    <t>Maurice Kain Baroda (Drop) Uncoated Winter</t>
  </si>
  <si>
    <t>Maurice Kain Besana (Drop) Uncoated Cashmere</t>
  </si>
  <si>
    <t>Maurice Kain Besana (Drop) Uncoated Celadon</t>
  </si>
  <si>
    <t>Maurice Kain Besana (Drop) Uncoated Doeskin</t>
  </si>
  <si>
    <t>Maurice Kain Besana (Drop) Uncoated Garnet</t>
  </si>
  <si>
    <t>Maurice Kain Besana (Drop) Uncoated Kingfisher</t>
  </si>
  <si>
    <t>Maurice Kain Besana (Drop) Uncoated Moonstone</t>
  </si>
  <si>
    <t>Maurice Kain Besana (Drop) Uncoated Parchment</t>
  </si>
  <si>
    <t>Maurice Kain Besana (Drop) Uncoated Pewter</t>
  </si>
  <si>
    <t>Maurice Kain Besana (Drop) Uncoated TBA</t>
  </si>
  <si>
    <t>Maurice Kain Bliss (Drop) Uncoated Admiral</t>
  </si>
  <si>
    <t>Maurice Kain Bliss (Drop) Uncoated Beluga</t>
  </si>
  <si>
    <t>Maurice Kain Bliss (Drop) Uncoated Berry</t>
  </si>
  <si>
    <t>Maurice Kain Bliss (Drop) Uncoated Camellia</t>
  </si>
  <si>
    <t>Maurice Kain Bliss (Drop) Uncoated Carmine</t>
  </si>
  <si>
    <t>Maurice Kain Bliss (Drop) Uncoated Citron</t>
  </si>
  <si>
    <t>Maurice Kain Bliss (Drop) Uncoated Ecru</t>
  </si>
  <si>
    <t>Maurice Kain Bliss (Drop) Uncoated fossil</t>
  </si>
  <si>
    <t>Maurice Kain Bliss (Drop) Uncoated Infinity</t>
  </si>
  <si>
    <t>Maurice Kain Bliss (Drop) Uncoated Lilac</t>
  </si>
  <si>
    <t>Maurice Kain Bliss (Drop) Uncoated Moonstone</t>
  </si>
  <si>
    <t>Maurice Kain Bliss (Drop) Uncoated Neptune</t>
  </si>
  <si>
    <t>Maurice Kain Bliss (Drop) Uncoated Orchid</t>
  </si>
  <si>
    <t>Maurice Kain Bliss (Drop) Uncoated Oyster</t>
  </si>
  <si>
    <t>Maurice Kain Bliss (Drop) Uncoated Peacock</t>
  </si>
  <si>
    <t>Maurice Kain Bliss (Drop) Uncoated Petal</t>
  </si>
  <si>
    <t>Maurice Kain Bliss (Drop) Uncoated Sable</t>
  </si>
  <si>
    <t>Maurice Kain Bliss (Drop) Uncoated Silver Birch</t>
  </si>
  <si>
    <t>Maurice Kain Bliss (Drop) Uncoated Stormy</t>
  </si>
  <si>
    <t>Maurice Kain Bliss (Drop) Uncoated TBA</t>
  </si>
  <si>
    <t>Maurice Kain Bliss (Drop) Uncoated Teal</t>
  </si>
  <si>
    <t>Maurice Kain Bliss (Drop) Uncoated Timber</t>
  </si>
  <si>
    <t>Maurice Kain Bliss (Drop) Uncoated Winsome</t>
  </si>
  <si>
    <t>Maurice Kain Brooklyn (Drop) Uncoated Drift</t>
  </si>
  <si>
    <t>Maurice Kain Brooklyn (Drop) Uncoated Enigma</t>
  </si>
  <si>
    <t>Maurice Kain Brooklyn (Drop) Uncoated Glacier</t>
  </si>
  <si>
    <t>Maurice Kain Brooklyn (Drop) Uncoated Gravel</t>
  </si>
  <si>
    <t>Maurice Kain Brooklyn (Drop) Uncoated Ink</t>
  </si>
  <si>
    <t>Maurice Kain Brooklyn (Drop) Uncoated Ivory</t>
  </si>
  <si>
    <t>Maurice Kain Brooklyn (Drop) Uncoated Latte</t>
  </si>
  <si>
    <t>Maurice Kain Brooklyn (Drop) Uncoated Malt</t>
  </si>
  <si>
    <t>Maurice Kain Brooklyn (Drop) Uncoated Marina</t>
  </si>
  <si>
    <t>Maurice Kain Brooklyn (Drop) Uncoated Moccachino</t>
  </si>
  <si>
    <t>Maurice Kain Brooklyn (Drop) Uncoated Moss Grey</t>
  </si>
  <si>
    <t>Maurice Kain Brooklyn (Drop) Uncoated Oyster</t>
  </si>
  <si>
    <t>Maurice Kain Brooklyn (Drop) Uncoated Phantom</t>
  </si>
  <si>
    <t>Maurice Kain Brooklyn (Drop) Uncoated Porpoise</t>
  </si>
  <si>
    <t>Maurice Kain Brooklyn (Drop) Uncoated Sage</t>
  </si>
  <si>
    <t>Maurice Kain Brooklyn (Drop) Uncoated Secret</t>
  </si>
  <si>
    <t>Maurice Kain Brooklyn (Drop) Uncoated Serene</t>
  </si>
  <si>
    <t>Maurice Kain Brooklyn (Drop) Uncoated Soho</t>
  </si>
  <si>
    <t>Maurice Kain Brooklyn (Drop) Uncoated Spice</t>
  </si>
  <si>
    <t>Maurice Kain Brooklyn (Drop) Uncoated Spray</t>
  </si>
  <si>
    <t>Maurice Kain Brooklyn (Drop) Uncoated Taupe</t>
  </si>
  <si>
    <t>Maurice Kain Brooklyn (Drop) Uncoated TBA</t>
  </si>
  <si>
    <t>Maurice Kain Brooklyn (Drop) Uncoated Umber</t>
  </si>
  <si>
    <t>Maurice Kain Brooklyn (Drop) Uncoated Walnut</t>
  </si>
  <si>
    <t>Maurice Kain Brooklyn (Drop) Uncoated Wholemeal</t>
  </si>
  <si>
    <t>Maurice Kain Carnival (Drop) Uncoated Alabaster</t>
  </si>
  <si>
    <t>Maurice Kain Carnival (Drop) Uncoated Bronco</t>
  </si>
  <si>
    <t>Maurice Kain Carnival (Drop) Uncoated Cascade</t>
  </si>
  <si>
    <t>Maurice Kain Carnival (Drop) Uncoated Concord</t>
  </si>
  <si>
    <t>Maurice Kain Carnival (Drop) Uncoated Ivory</t>
  </si>
  <si>
    <t>Maurice Kain Carnival (Drop) Uncoated Limestone</t>
  </si>
  <si>
    <t>Maurice Kain Carnival (Drop) Uncoated Mist</t>
  </si>
  <si>
    <t>Maurice Kain Carnival (Drop) Uncoated Pumice</t>
  </si>
  <si>
    <t>Maurice Kain Carnival (Drop) Uncoated Putty</t>
  </si>
  <si>
    <t>Maurice Kain Carnival (Drop) Uncoated Shadow</t>
  </si>
  <si>
    <t>Maurice Kain Carnival (Drop) Uncoated Slate</t>
  </si>
  <si>
    <t>Maurice Kain Carnival (Drop) Uncoated Stone</t>
  </si>
  <si>
    <t>Maurice Kain Carnival (Drop) Uncoated TBA</t>
  </si>
  <si>
    <t>Maurice Kain Carnival (Drop) Uncoated Tempting</t>
  </si>
  <si>
    <t>Maurice Kain Carnival (Drop) Uncoated Tussock</t>
  </si>
  <si>
    <t>Maurice Kain Carousel (Drop) Uncoated Alabaster</t>
  </si>
  <si>
    <t>Maurice Kain Carousel (Drop) Uncoated Bronco</t>
  </si>
  <si>
    <t>Maurice Kain Carousel (Drop) Uncoated Cascade</t>
  </si>
  <si>
    <t>Maurice Kain Carousel (Drop) Uncoated Concord</t>
  </si>
  <si>
    <t>Maurice Kain Carousel (Drop) Uncoated Ivory</t>
  </si>
  <si>
    <t>Maurice Kain Carousel (Drop) Uncoated Limestone</t>
  </si>
  <si>
    <t>Maurice Kain Carousel (Drop) Uncoated Mist</t>
  </si>
  <si>
    <t>Maurice Kain Carousel (Drop) Uncoated Pumice</t>
  </si>
  <si>
    <t>Maurice Kain Carousel (Drop) Uncoated Putty</t>
  </si>
  <si>
    <t>Maurice Kain Carousel (Drop) Uncoated Shadow</t>
  </si>
  <si>
    <t>Maurice Kain Carousel (Drop) Uncoated Slate</t>
  </si>
  <si>
    <t>Maurice Kain Carousel (Drop) Uncoated Stone</t>
  </si>
  <si>
    <t>Maurice Kain Carousel (Drop) Uncoated TBA</t>
  </si>
  <si>
    <t>Maurice Kain Carousel (Drop) Uncoated Tempting</t>
  </si>
  <si>
    <t>Maurice Kain Carousel (Drop) Uncoated Tussock</t>
  </si>
  <si>
    <t>Maurice Kain Dream (Drop) Uncoated Ash</t>
  </si>
  <si>
    <t>Maurice Kain Dream (Drop) Uncoated Charcoal</t>
  </si>
  <si>
    <t>Maurice Kain Dream (Drop) Uncoated Coal</t>
  </si>
  <si>
    <t>Maurice Kain Dream (Drop) Uncoated Granite</t>
  </si>
  <si>
    <t>Maurice Kain Dream (Drop) Uncoated Natural</t>
  </si>
  <si>
    <t>Maurice Kain Dream (Drop) Uncoated Silver</t>
  </si>
  <si>
    <t>Maurice Kain Dream (Drop) Uncoated Sky</t>
  </si>
  <si>
    <t>Maurice Kain Dream (Drop) Uncoated Slate</t>
  </si>
  <si>
    <t>Maurice Kain Dream (Drop) Uncoated TBA</t>
  </si>
  <si>
    <t>Maurice Kain Dream (Drop) Uncoated Woodland</t>
  </si>
  <si>
    <t>Maurice Kain Hazel (Drop) Uncoated Breeze</t>
  </si>
  <si>
    <t>Maurice Kain Hazel (Drop) Uncoated Cocoa</t>
  </si>
  <si>
    <t>Maurice Kain Hazel (Drop) Uncoated Coven</t>
  </si>
  <si>
    <t>Maurice Kain Hazel (Drop) Uncoated Mercury</t>
  </si>
  <si>
    <t>Maurice Kain Hazel (Drop) Uncoated Moon</t>
  </si>
  <si>
    <t>Maurice Kain Hazel (Drop) Uncoated Moss</t>
  </si>
  <si>
    <t>Maurice Kain Hazel (Drop) Uncoated Mushroom</t>
  </si>
  <si>
    <t>Maurice Kain Hazel (Drop) Uncoated Pearl</t>
  </si>
  <si>
    <t>Maurice Kain Hazel (Drop) Uncoated Sand</t>
  </si>
  <si>
    <t>Maurice Kain Hazel (Drop) Uncoated Vellum</t>
  </si>
  <si>
    <t>Maurice Kain Lavish (Drop) Uncoated Alabaster</t>
  </si>
  <si>
    <t>Maurice Kain Lavish (Drop) Uncoated Antique</t>
  </si>
  <si>
    <t>Maurice Kain Lavish (Drop) Uncoated Blush</t>
  </si>
  <si>
    <t>Maurice Kain Lavish (Drop) Uncoated Capri</t>
  </si>
  <si>
    <t>Maurice Kain Lavish (Drop) Uncoated Dove</t>
  </si>
  <si>
    <t>Maurice Kain Lavish (Drop) Uncoated Glacier</t>
  </si>
  <si>
    <t>Maurice Kain Lavish (Drop) Uncoated Henna</t>
  </si>
  <si>
    <t>Maurice Kain Lavish (Drop) Uncoated Marble</t>
  </si>
  <si>
    <t>Maurice Kain Lavish (Drop) Uncoated Moss</t>
  </si>
  <si>
    <t>Maurice Kain Lavish (Drop) Uncoated Nougat</t>
  </si>
  <si>
    <t>Maurice Kain Lavish (Drop) Uncoated Olive</t>
  </si>
  <si>
    <t>Maurice Kain Lavish (Drop) Uncoated Onyx</t>
  </si>
  <si>
    <t>Maurice Kain Lavish (Drop) Uncoated Oyster</t>
  </si>
  <si>
    <t>Maurice Kain Lavish (Drop) Uncoated Pebble</t>
  </si>
  <si>
    <t>Maurice Kain Lavish (Drop) Uncoated Slate</t>
  </si>
  <si>
    <t>Maurice Kain Lavish (Drop) Uncoated Smoke</t>
  </si>
  <si>
    <t>Maurice Kain Lavish (Drop) Uncoated Steel</t>
  </si>
  <si>
    <t>Maurice Kain Lavish (Drop) Uncoated Taupe</t>
  </si>
  <si>
    <t>Maurice Kain Lavish (Drop) Uncoated TBA</t>
  </si>
  <si>
    <t>Maurice Kain Lavish (Drop) Uncoated Wolf</t>
  </si>
  <si>
    <t>Maurice Kain Nightshade (Drop) Uncoated Alabaster</t>
  </si>
  <si>
    <t>Maurice Kain Nightshade (Drop) Uncoated Ash</t>
  </si>
  <si>
    <t>Maurice Kain Nightshade (Drop) Uncoated Black</t>
  </si>
  <si>
    <t>Maurice Kain Nightshade (Drop) Uncoated Fawn</t>
  </si>
  <si>
    <t>Maurice Kain Nightshade (Drop) Uncoated Granite</t>
  </si>
  <si>
    <t>Maurice Kain Nightshade (Drop) Uncoated Ivory</t>
  </si>
  <si>
    <t>Maurice Kain Nightshade (Drop) Uncoated Navy</t>
  </si>
  <si>
    <t>Maurice Kain Nightshade (Drop) Uncoated Pebble</t>
  </si>
  <si>
    <t>Maurice Kain Nightshade (Drop) Uncoated Platinum</t>
  </si>
  <si>
    <t>Maurice Kain Nightshade (Drop) Uncoated Putty</t>
  </si>
  <si>
    <t>Maurice Kain Nightshade (Drop) Uncoated Rock</t>
  </si>
  <si>
    <t>Maurice Kain Nightshade (Drop) Uncoated Sisal</t>
  </si>
  <si>
    <t>Maurice Kain Nightshade (Drop) Uncoated Steel</t>
  </si>
  <si>
    <t>Maurice Kain Nightshade (Drop) Uncoated TBA</t>
  </si>
  <si>
    <t>Maurice Kain Nightshade (Drop) Uncoated Thyme</t>
  </si>
  <si>
    <t>Maurice Kain Nightshade (Drop) Uncoated Truffle</t>
  </si>
  <si>
    <t>Maurice Kain Nightshade (Drop) Uncoated White</t>
  </si>
  <si>
    <t>Maurice Kain Oak (Drop) Uncoated Breeze</t>
  </si>
  <si>
    <t>Maurice Kain Oak (Drop) Uncoated Cocoa</t>
  </si>
  <si>
    <t>Maurice Kain Oak (Drop) Uncoated Coven</t>
  </si>
  <si>
    <t>Maurice Kain Oak (Drop) Uncoated Mercury</t>
  </si>
  <si>
    <t>Maurice Kain Oak (Drop) Uncoated Moon</t>
  </si>
  <si>
    <t>Maurice Kain Oak (Drop) Uncoated Moss</t>
  </si>
  <si>
    <t>Maurice Kain Oak (Drop) Uncoated Mushroom</t>
  </si>
  <si>
    <t>Maurice Kain Oak (Drop) Uncoated Pearl</t>
  </si>
  <si>
    <t>Maurice Kain Oak (Drop) Uncoated Sand</t>
  </si>
  <si>
    <t>Maurice Kain Oak (Drop) Uncoated Vellum</t>
  </si>
  <si>
    <t>Maurice Kain Orlando (Drop) Uncoated Charcoal</t>
  </si>
  <si>
    <t>Maurice Kain Orlando (Drop) Uncoated Flint</t>
  </si>
  <si>
    <t>Maurice Kain Orlando (Drop) Uncoated Marble</t>
  </si>
  <si>
    <t>Maurice Kain Orlando (Drop) Uncoated Pacific</t>
  </si>
  <si>
    <t>Maurice Kain Orlando (Drop) Uncoated Sky</t>
  </si>
  <si>
    <t>Maurice Kain Orlando (Drop) Uncoated TBA</t>
  </si>
  <si>
    <t>Maurice Kain Paluma (Drop) Uncoated Fern</t>
  </si>
  <si>
    <t>Maurice Kain Paluma (Drop) Uncoated Midnight</t>
  </si>
  <si>
    <t>Maurice Kain Paluma (Drop) Uncoated TBA</t>
  </si>
  <si>
    <t>Maurice Kain Stratford (Drop) Uncoated Antique</t>
  </si>
  <si>
    <t>Maurice Kain Stratford (Drop) Uncoated Camellia</t>
  </si>
  <si>
    <t>Maurice Kain Stratford (Drop) Uncoated Ceramic</t>
  </si>
  <si>
    <t>Maurice Kain Stratford (Drop) Uncoated Delta</t>
  </si>
  <si>
    <t>Maurice Kain Stratford (Drop) Uncoated Dusk</t>
  </si>
  <si>
    <t>Maurice Kain Stratford (Drop) Uncoated Feather</t>
  </si>
  <si>
    <t>Maurice Kain Stratford (Drop) Uncoated Fog</t>
  </si>
  <si>
    <t>Maurice Kain Stratford (Drop) Uncoated Heather</t>
  </si>
  <si>
    <t>Maurice Kain Stratford (Drop) Uncoated Lemongrass</t>
  </si>
  <si>
    <t>Maurice Kain Stratford (Drop) Uncoated Mineral</t>
  </si>
  <si>
    <t>Maurice Kain Stratford (Drop) Uncoated Mushroom</t>
  </si>
  <si>
    <t>Maurice Kain Stratford (Drop) Uncoated Peppercorn</t>
  </si>
  <si>
    <t>Maurice Kain Stratford (Drop) Uncoated Serene</t>
  </si>
  <si>
    <t>Maurice Kain Stratford (Drop) Uncoated Stirling</t>
  </si>
  <si>
    <t>Maurice Kain Stratford (Drop) Uncoated TBA</t>
  </si>
  <si>
    <t>Maurice Kain Willow (Drop) Uncoated Breeze</t>
  </si>
  <si>
    <t>Maurice Kain Willow (Drop) Uncoated Cocoa</t>
  </si>
  <si>
    <t>Maurice Kain Willow (Drop) Uncoated Coven</t>
  </si>
  <si>
    <t>Maurice Kain Willow (Drop) Uncoated Mercury</t>
  </si>
  <si>
    <t>Maurice Kain Willow (Drop) Uncoated Moon</t>
  </si>
  <si>
    <t>Maurice Kain Willow (Drop) Uncoated Moss</t>
  </si>
  <si>
    <t>Maurice Kain Willow (Drop) Uncoated Mushroom</t>
  </si>
  <si>
    <t>Maurice Kain Willow (Drop) Uncoated Pearl</t>
  </si>
  <si>
    <t>Maurice Kain Willow (Drop) Uncoated Sand</t>
  </si>
  <si>
    <t>Maurice Kain Willow (Drop) Uncoated Vellum</t>
  </si>
  <si>
    <t>Maurice Kain Windermere (Drop) Uncoated Charcoal</t>
  </si>
  <si>
    <t>Maurice Kain Windermere (Drop) Uncoated Flint</t>
  </si>
  <si>
    <t>Maurice Kain Windermere (Drop) Uncoated Marble</t>
  </si>
  <si>
    <t>Maurice Kain Windermere (Drop) Uncoated Pacific</t>
  </si>
  <si>
    <t>Maurice Kain Windermere (Drop) Uncoated Sky</t>
  </si>
  <si>
    <t>Maurice Kain Windermere (Drop) Uncoated TBA</t>
  </si>
  <si>
    <t>Pegasus Tasman (Drop) Uncoated Birch</t>
  </si>
  <si>
    <t>Pegasus Tasman (Drop) Uncoated Cloud</t>
  </si>
  <si>
    <t>Pegasus Tasman (Drop) Uncoated Cypress</t>
  </si>
  <si>
    <t>Pegasus Tasman (Drop) Uncoated Denim</t>
  </si>
  <si>
    <t>Pegasus Tasman (Drop) Uncoated Graphite</t>
  </si>
  <si>
    <t>Pegasus Tasman (Drop) Uncoated Lemongrass</t>
  </si>
  <si>
    <t>Pegasus Tasman (Drop) Uncoated Linen</t>
  </si>
  <si>
    <t>Pegasus Tasman (Drop) Uncoated Mondo</t>
  </si>
  <si>
    <t>Pegasus Tasman (Drop) Uncoated Pacific</t>
  </si>
  <si>
    <t>Pegasus Tasman (Drop) Uncoated Paper</t>
  </si>
  <si>
    <t>Pegasus Tasman (Drop) Uncoated Sand</t>
  </si>
  <si>
    <t>Pegasus Tasman (Drop) Uncoated Tallow</t>
  </si>
  <si>
    <t>Pegasus Tasman (Drop) Uncoated Tapa</t>
  </si>
  <si>
    <t>Pegasus Tasman (Drop) Uncoated TBA</t>
  </si>
  <si>
    <t>Pegasus Tasman (Drop) Uncoated Wheat</t>
  </si>
  <si>
    <t>Warwick Chambray (Drop) Uncoated Ash</t>
  </si>
  <si>
    <t>Warwick Chambray (Drop) Uncoated Charcoal</t>
  </si>
  <si>
    <t>Warwick Chambray (Drop) Uncoated Dusk</t>
  </si>
  <si>
    <t>Warwick Chambray (Drop) Uncoated Dusty Blue</t>
  </si>
  <si>
    <t>Warwick Chambray (Drop) Uncoated Elephant</t>
  </si>
  <si>
    <t>Warwick Chambray (Drop) Uncoated Flint</t>
  </si>
  <si>
    <t>Warwick Chambray (Drop) Uncoated Ink</t>
  </si>
  <si>
    <t>Warwick Chambray (Drop) Uncoated Ivory</t>
  </si>
  <si>
    <t>Warwick Chambray (Drop) Uncoated Lake</t>
  </si>
  <si>
    <t>Warwick Chambray (Drop) Uncoated Mandarin</t>
  </si>
  <si>
    <t>Warwick Chambray (Drop) Uncoated Mist</t>
  </si>
  <si>
    <t>Warwick Chambray (Drop) Uncoated Mocha</t>
  </si>
  <si>
    <t>Warwick Chambray (Drop) Uncoated Mushroom</t>
  </si>
  <si>
    <t>Warwick Chambray (Drop) Uncoated Mustard</t>
  </si>
  <si>
    <t>Warwick Chambray (Drop) Uncoated Oatmeal</t>
  </si>
  <si>
    <t>Warwick Chambray (Drop) Uncoated Oyster</t>
  </si>
  <si>
    <t>Warwick Chambray (Drop) Uncoated Seaglass</t>
  </si>
  <si>
    <t>Warwick Chambray (Drop) Uncoated Steel</t>
  </si>
  <si>
    <t>Warwick Chambray (Drop) Uncoated Storm</t>
  </si>
  <si>
    <t>Warwick Chambray (Drop) Uncoated TBA</t>
  </si>
  <si>
    <t>Warwick Chambray (Drop) Uncoated Tussock</t>
  </si>
  <si>
    <t>Warwick Chambray (Drop) Uncoated Twine</t>
  </si>
  <si>
    <t>Warwick Chambray (Drop) Uncoated Zinc</t>
  </si>
  <si>
    <t>Warwick Cleo (Drop) Uncoated Armour</t>
  </si>
  <si>
    <t>Warwick Cleo (Drop) Uncoated Army</t>
  </si>
  <si>
    <t>Warwick Cleo (Drop) Uncoated Barley</t>
  </si>
  <si>
    <t>Warwick Cleo (Drop) Uncoated Beetroot</t>
  </si>
  <si>
    <t>Warwick Cleo (Drop) Uncoated Blush</t>
  </si>
  <si>
    <t>Warwick Cleo (Drop) Uncoated Brass</t>
  </si>
  <si>
    <t>Warwick Cleo (Drop) Uncoated Cloud</t>
  </si>
  <si>
    <t>Warwick Cleo (Drop) Uncoated Cobalt</t>
  </si>
  <si>
    <t>Warwick Cleo (Drop) Uncoated Cocoa</t>
  </si>
  <si>
    <t>Warwick Cleo (Drop) Uncoated Copper</t>
  </si>
  <si>
    <t>Warwick Cleo (Drop) Uncoated Ebony</t>
  </si>
  <si>
    <t>Warwick Cleo (Drop) Uncoated Eucalyptus</t>
  </si>
  <si>
    <t>Warwick Cleo (Drop) Uncoated Fern</t>
  </si>
  <si>
    <t>Warwick Cleo (Drop) Uncoated Flint</t>
  </si>
  <si>
    <t>Warwick Cleo (Drop) Uncoated Forest</t>
  </si>
  <si>
    <t>Warwick Cleo (Drop) Uncoated Granite</t>
  </si>
  <si>
    <t>Warwick Cleo (Drop) Uncoated Gull</t>
  </si>
  <si>
    <t>Warwick Cleo (Drop) Uncoated Ink</t>
  </si>
  <si>
    <t>Warwick Cleo (Drop) Uncoated Jade</t>
  </si>
  <si>
    <t>Warwick Cleo (Drop) Uncoated Mallard</t>
  </si>
  <si>
    <t>Warwick Cleo (Drop) Uncoated Mist</t>
  </si>
  <si>
    <t>Warwick Cleo (Drop) Uncoated Moss</t>
  </si>
  <si>
    <t>Warwick Cleo (Drop) Uncoated Oyster</t>
  </si>
  <si>
    <t>Warwick Cleo (Drop) Uncoated Poppy</t>
  </si>
  <si>
    <t>Warwick Cleo (Drop) Uncoated Porcelain</t>
  </si>
  <si>
    <t>Warwick Cleo (Drop) Uncoated Rosewater</t>
  </si>
  <si>
    <t>Warwick Cleo (Drop) Uncoated Rouge</t>
  </si>
  <si>
    <t>Warwick Cleo (Drop) Uncoated Shale</t>
  </si>
  <si>
    <t>Warwick Cleo (Drop) Uncoated TBA</t>
  </si>
  <si>
    <t>Warwick Cleo (Drop) Uncoated Truffle</t>
  </si>
  <si>
    <t>Warwick Davina (Drop) Uncoated Berry</t>
  </si>
  <si>
    <t>Warwick Davina (Drop) Uncoated Birch</t>
  </si>
  <si>
    <t>Warwick Davina (Drop) Uncoated Bluestone</t>
  </si>
  <si>
    <t>Warwick Davina (Drop) Uncoated Camel</t>
  </si>
  <si>
    <t>Warwick Davina (Drop) Uncoated Cerulean</t>
  </si>
  <si>
    <t>Warwick Davina (Drop) Uncoated Cotton</t>
  </si>
  <si>
    <t>Warwick Davina (Drop) Uncoated Espresso</t>
  </si>
  <si>
    <t>Warwick Davina (Drop) Uncoated Eucalyptus</t>
  </si>
  <si>
    <t>Warwick Davina (Drop) Uncoated Fog</t>
  </si>
  <si>
    <t>Warwick Davina (Drop) Uncoated Forest</t>
  </si>
  <si>
    <t>Warwick Davina (Drop) Uncoated Ink</t>
  </si>
  <si>
    <t>Warwick Davina (Drop) Uncoated Jade</t>
  </si>
  <si>
    <t>Warwick Davina (Drop) Uncoated Mink</t>
  </si>
  <si>
    <t>Warwick Davina (Drop) Uncoated Mocha</t>
  </si>
  <si>
    <t>Warwick Davina (Drop) Uncoated Nectar</t>
  </si>
  <si>
    <t>Warwick Davina (Drop) Uncoated Night</t>
  </si>
  <si>
    <t>Warwick Davina (Drop) Uncoated Paprika</t>
  </si>
  <si>
    <t>Warwick Davina (Drop) Uncoated Rosewater</t>
  </si>
  <si>
    <t>Warwick Davina (Drop) Uncoated Sesame</t>
  </si>
  <si>
    <t>Warwick Davina (Drop) Uncoated Slate</t>
  </si>
  <si>
    <t>Warwick Davina (Drop) Uncoated TBA</t>
  </si>
  <si>
    <t>Warwick Davina (Drop) Uncoated Tussock</t>
  </si>
  <si>
    <t>Warwick Davina (Drop) Uncoated Wheat</t>
  </si>
  <si>
    <t>Warwick Davina (Drop) Uncoated Zinc</t>
  </si>
  <si>
    <t>Zepel Bolshoi Velvet (Drop) Uncoated Aubergine</t>
  </si>
  <si>
    <t>Zepel Bolshoi Velvet (Drop) Uncoated Balsam</t>
  </si>
  <si>
    <t>Zepel Bolshoi Velvet (Drop) Uncoated Beetle</t>
  </si>
  <si>
    <t>Zepel Bolshoi Velvet (Drop) Uncoated Boa</t>
  </si>
  <si>
    <t>Zepel Bolshoi Velvet (Drop) Uncoated Bordeaux</t>
  </si>
  <si>
    <t>Zepel Bolshoi Velvet (Drop) Uncoated Boudoir</t>
  </si>
  <si>
    <t>Zepel Bolshoi Velvet (Drop) Uncoated Bronze</t>
  </si>
  <si>
    <t>Zepel Bolshoi Velvet (Drop) Uncoated Brownie</t>
  </si>
  <si>
    <t>Zepel Bolshoi Velvet (Drop) Uncoated Camel</t>
  </si>
  <si>
    <t>Zepel Bolshoi Velvet (Drop) Uncoated Cameo</t>
  </si>
  <si>
    <t>Zepel Bolshoi Velvet (Drop) Uncoated Camoflage</t>
  </si>
  <si>
    <t>Zepel Bolshoi Velvet (Drop) Uncoated Canal</t>
  </si>
  <si>
    <t>Zepel Bolshoi Velvet (Drop) Uncoated Cardinal</t>
  </si>
  <si>
    <t>Zepel Bolshoi Velvet (Drop) Uncoated Charcoal</t>
  </si>
  <si>
    <t>Zepel Bolshoi Velvet (Drop) Uncoated Chinchilla</t>
  </si>
  <si>
    <t>Zepel Bolshoi Velvet (Drop) Uncoated Cloud</t>
  </si>
  <si>
    <t>Zepel Bolshoi Velvet (Drop) Uncoated Cobalt</t>
  </si>
  <si>
    <t>Zepel Bolshoi Velvet (Drop) Uncoated Cocoon</t>
  </si>
  <si>
    <t>Zepel Bolshoi Velvet (Drop) Uncoated Cream</t>
  </si>
  <si>
    <t>Zepel Bolshoi Velvet (Drop) Uncoated Ebony</t>
  </si>
  <si>
    <t>Zepel Bolshoi Velvet (Drop) Uncoated Flint</t>
  </si>
  <si>
    <t>Zepel Bolshoi Velvet (Drop) Uncoated Fossil</t>
  </si>
  <si>
    <t>Zepel Bolshoi Velvet (Drop) Uncoated Frog</t>
  </si>
  <si>
    <t>Zepel Bolshoi Velvet (Drop) Uncoated Hunter</t>
  </si>
  <si>
    <t>Zepel Bolshoi Velvet (Drop) Uncoated Khaki</t>
  </si>
  <si>
    <t>Zepel Bolshoi Velvet (Drop) Uncoated Lichen</t>
  </si>
  <si>
    <t>Zepel Bolshoi Velvet (Drop) Uncoated Linen</t>
  </si>
  <si>
    <t>Zepel Bolshoi Velvet (Drop) Uncoated Lion</t>
  </si>
  <si>
    <t>Zepel Bolshoi Velvet (Drop) Uncoated Lotus</t>
  </si>
  <si>
    <t>Zepel Bolshoi Velvet (Drop) Uncoated Magenta</t>
  </si>
  <si>
    <t>Zepel Bolshoi Velvet (Drop) Uncoated Marine</t>
  </si>
  <si>
    <t>Zepel Bolshoi Velvet (Drop) Uncoated Mineral</t>
  </si>
  <si>
    <t>Zepel Bolshoi Velvet (Drop) Uncoated Night</t>
  </si>
  <si>
    <t>Zepel Bolshoi Velvet (Drop) Uncoated Oasis</t>
  </si>
  <si>
    <t>Zepel Bolshoi Velvet (Drop) Uncoated Olive</t>
  </si>
  <si>
    <t>Zepel Bolshoi Velvet (Drop) Uncoated Oyster</t>
  </si>
  <si>
    <t>Zepel Bolshoi Velvet (Drop) Uncoated Palm</t>
  </si>
  <si>
    <t>Zepel Bolshoi Velvet (Drop) Uncoated Pearl</t>
  </si>
  <si>
    <t>Zepel Bolshoi Velvet (Drop) Uncoated Persimmon</t>
  </si>
  <si>
    <t>Zepel Bolshoi Velvet (Drop) Uncoated Pesto</t>
  </si>
  <si>
    <t>Zepel Bolshoi Velvet (Drop) Uncoated Pineapple</t>
  </si>
  <si>
    <t>Zepel Bolshoi Velvet (Drop) Uncoated Pinecone</t>
  </si>
  <si>
    <t>Zepel Bolshoi Velvet (Drop) Uncoated Plum</t>
  </si>
  <si>
    <t>Zepel Bolshoi Velvet (Drop) Uncoated Putty</t>
  </si>
  <si>
    <t>Zepel Bolshoi Velvet (Drop) Uncoated Raspberry</t>
  </si>
  <si>
    <t>Zepel Bolshoi Velvet (Drop) Uncoated Scarlet</t>
  </si>
  <si>
    <t>Zepel Bolshoi Velvet (Drop) Uncoated Seagrass</t>
  </si>
  <si>
    <t>Zepel Bolshoi Velvet (Drop) Uncoated Sesame</t>
  </si>
  <si>
    <t>Zepel Bolshoi Velvet (Drop) Uncoated Sienna</t>
  </si>
  <si>
    <t>Zepel Bolshoi Velvet (Drop) Uncoated Snow</t>
  </si>
  <si>
    <t>Zepel Bolshoi Velvet (Drop) Uncoated Sterling</t>
  </si>
  <si>
    <t>Zepel Bolshoi Velvet (Drop) Uncoated Stone</t>
  </si>
  <si>
    <t>Zepel Bolshoi Velvet (Drop) Uncoated Storm</t>
  </si>
  <si>
    <t>Zepel Bolshoi Velvet (Drop) Uncoated Sunflower</t>
  </si>
  <si>
    <t>Zepel Bolshoi Velvet (Drop) Uncoated TBA</t>
  </si>
  <si>
    <t>Zepel Bolshoi Velvet (Drop) Uncoated Titanium</t>
  </si>
  <si>
    <t>Zepel Bolshoi Velvet (Drop) Uncoated Tulip</t>
  </si>
  <si>
    <t>Zepel Bolshoi Velvet (Drop) Uncoated Turtle</t>
  </si>
  <si>
    <t>Zepel Bolshoi Velvet (Drop) Uncoated Vino</t>
  </si>
  <si>
    <t>Zepel Bolshoi Velvet (Drop) Uncoated Walnut</t>
  </si>
  <si>
    <t>Zepel Brugge (Drop) Uncoated Bengal</t>
  </si>
  <si>
    <t>Zepel Brugge (Drop) Uncoated Butterscotch</t>
  </si>
  <si>
    <t>Zepel Brugge (Drop) Uncoated Camel</t>
  </si>
  <si>
    <t>Zepel Brugge (Drop) Uncoated Cream</t>
  </si>
  <si>
    <t>Zepel Brugge (Drop) Uncoated Denim</t>
  </si>
  <si>
    <t>Zepel Brugge (Drop) Uncoated Dragee</t>
  </si>
  <si>
    <t>Zepel Brugge (Drop) Uncoated Dune</t>
  </si>
  <si>
    <t>Zepel Brugge (Drop) Uncoated Emulsion</t>
  </si>
  <si>
    <t>Zepel Brugge (Drop) Uncoated Feather</t>
  </si>
  <si>
    <t>Zepel Brugge (Drop) Uncoated Griffin</t>
  </si>
  <si>
    <t>Zepel Brugge (Drop) Uncoated Ivory</t>
  </si>
  <si>
    <t>Zepel Brugge (Drop) Uncoated Laurel</t>
  </si>
  <si>
    <t>Zepel Brugge (Drop) Uncoated Metal</t>
  </si>
  <si>
    <t>Zepel Brugge (Drop) Uncoated Midnight</t>
  </si>
  <si>
    <t>Zepel Brugge (Drop) Uncoated Mint</t>
  </si>
  <si>
    <t>Zepel Brugge (Drop) Uncoated Mushroom</t>
  </si>
  <si>
    <t>Zepel Brugge (Drop) Uncoated Putty</t>
  </si>
  <si>
    <t>Zepel Brugge (Drop) Uncoated Sesame</t>
  </si>
  <si>
    <t>Zepel Brugge (Drop) Uncoated Taupe</t>
  </si>
  <si>
    <t>Zepel Brugge (Drop) Uncoated TBA</t>
  </si>
  <si>
    <t>Zepel Brugge (Drop) Uncoated Terra</t>
  </si>
  <si>
    <t>Zepel Brugge (Drop) Uncoated Wool</t>
  </si>
  <si>
    <t>Zepel Cushy (Drop) Uncoated Aluminium</t>
  </si>
  <si>
    <t>Zepel Cushy (Drop) Uncoated Apple</t>
  </si>
  <si>
    <t>Zepel Cushy (Drop) Uncoated Aqua</t>
  </si>
  <si>
    <t>Zepel Cushy (Drop) Uncoated Bamboo</t>
  </si>
  <si>
    <t>Zepel Cushy (Drop) Uncoated Beetle</t>
  </si>
  <si>
    <t>Zepel Cushy (Drop) Uncoated Camel</t>
  </si>
  <si>
    <t>Zepel Cushy (Drop) Uncoated Captain</t>
  </si>
  <si>
    <t>Zepel Cushy (Drop) Uncoated Cerise</t>
  </si>
  <si>
    <t>Zepel Cushy (Drop) Uncoated Chestnut</t>
  </si>
  <si>
    <t>Zepel Cushy (Drop) Uncoated Crystal</t>
  </si>
  <si>
    <t>Zepel Cushy (Drop) Uncoated Denim</t>
  </si>
  <si>
    <t>Zepel Cushy (Drop) Uncoated Dune</t>
  </si>
  <si>
    <t>Zepel Cushy (Drop) Uncoated Emerald</t>
  </si>
  <si>
    <t>Zepel Cushy (Drop) Uncoated Feather</t>
  </si>
  <si>
    <t>Zepel Cushy (Drop) Uncoated Fuchsia</t>
  </si>
  <si>
    <t>Zepel Cushy (Drop) Uncoated Ginger</t>
  </si>
  <si>
    <t>Zepel Cushy (Drop) Uncoated Honey</t>
  </si>
  <si>
    <t>Zepel Cushy (Drop) Uncoated Kangaroo</t>
  </si>
  <si>
    <t>Zepel Cushy (Drop) Uncoated Lime</t>
  </si>
  <si>
    <t>Zepel Cushy (Drop) Uncoated Limestone</t>
  </si>
  <si>
    <t>Zepel Cushy (Drop) Uncoated Linen</t>
  </si>
  <si>
    <t>Zepel Cushy (Drop) Uncoated Marzipan</t>
  </si>
  <si>
    <t>Zepel Cushy (Drop) Uncoated Niagara</t>
  </si>
  <si>
    <t>Zepel Cushy (Drop) Uncoated Orchid</t>
  </si>
  <si>
    <t>Zepel Cushy (Drop) Uncoated Pear</t>
  </si>
  <si>
    <t>Zepel Cushy (Drop) Uncoated Pearl</t>
  </si>
  <si>
    <t>Zepel Cushy (Drop) Uncoated Pebble</t>
  </si>
  <si>
    <t>Zepel Cushy (Drop) Uncoated Peony</t>
  </si>
  <si>
    <t>Zepel Cushy (Drop) Uncoated Pewter</t>
  </si>
  <si>
    <t>Zepel Cushy (Drop) Uncoated Putty</t>
  </si>
  <si>
    <t>Zepel Cushy (Drop) Uncoated Raven</t>
  </si>
  <si>
    <t>Zepel Cushy (Drop) Uncoated Sand</t>
  </si>
  <si>
    <t>Zepel Cushy (Drop) Uncoated Seagrass</t>
  </si>
  <si>
    <t>Zepel Cushy (Drop) Uncoated Sesame</t>
  </si>
  <si>
    <t>Zepel Cushy (Drop) Uncoated Silver</t>
  </si>
  <si>
    <t>Zepel Cushy (Drop) Uncoated Sky</t>
  </si>
  <si>
    <t>Zepel Cushy (Drop) Uncoated Slate</t>
  </si>
  <si>
    <t>Zepel Cushy (Drop) Uncoated Snow</t>
  </si>
  <si>
    <t>Zepel Cushy (Drop) Uncoated Surf</t>
  </si>
  <si>
    <t>Zepel Cushy (Drop) Uncoated Teal</t>
  </si>
  <si>
    <t>Zepel Cushy (Drop) Uncoated Wool</t>
  </si>
  <si>
    <t>Zepel Don II (Drop) Uncoated Almond</t>
  </si>
  <si>
    <t>Zepel Don II (Drop) Uncoated Aluminium</t>
  </si>
  <si>
    <t>Zepel Don II (Drop) Uncoated Aqua</t>
  </si>
  <si>
    <t>Zepel Don II (Drop) Uncoated Bamboo</t>
  </si>
  <si>
    <t>Zepel Don II (Drop) Uncoated Beetle</t>
  </si>
  <si>
    <t>Zepel Don II (Drop) Uncoated Beige</t>
  </si>
  <si>
    <t>Zepel Don II (Drop) Uncoated Birch</t>
  </si>
  <si>
    <t>Zepel Don II (Drop) Uncoated Brick</t>
  </si>
  <si>
    <t>Zepel Don II (Drop) Uncoated Chardonnay</t>
  </si>
  <si>
    <t>Zepel Don II (Drop) Uncoated Cinnamon</t>
  </si>
  <si>
    <t>Zepel Don II (Drop) Uncoated Cocoon</t>
  </si>
  <si>
    <t>Zepel Don II (Drop) Uncoated Copper</t>
  </si>
  <si>
    <t>Zepel Don II (Drop) Uncoated Crocus</t>
  </si>
  <si>
    <t>Zepel Don II (Drop) Uncoated Denim</t>
  </si>
  <si>
    <t>Zepel Don II (Drop) Uncoated Dune</t>
  </si>
  <si>
    <t>Zepel Don II (Drop) Uncoated Granite</t>
  </si>
  <si>
    <t>Zepel Don II (Drop) Uncoated Jade</t>
  </si>
  <si>
    <t>Zepel Don II (Drop) Uncoated Ladybird</t>
  </si>
  <si>
    <t>Zepel Don II (Drop) Uncoated Lake</t>
  </si>
  <si>
    <t>Zepel Don II (Drop) Uncoated Linden</t>
  </si>
  <si>
    <t>Zepel Don II (Drop) Uncoated Linen</t>
  </si>
  <si>
    <t>Zepel Don II (Drop) Uncoated Lizard</t>
  </si>
  <si>
    <t>Zepel Don II (Drop) Uncoated Macaroon</t>
  </si>
  <si>
    <t>Zepel Don II (Drop) Uncoated Mineral</t>
  </si>
  <si>
    <t>Zepel Don II (Drop) Uncoated Mushroom</t>
  </si>
  <si>
    <t>Zepel Don II (Drop) Uncoated Nougat</t>
  </si>
  <si>
    <t>Zepel Don II (Drop) Uncoated Onyx</t>
  </si>
  <si>
    <t>Zepel Don II (Drop) Uncoated Orchid</t>
  </si>
  <si>
    <t>Zepel Don II (Drop) Uncoated Otter</t>
  </si>
  <si>
    <t>Zepel Don II (Drop) Uncoated Parchment</t>
  </si>
  <si>
    <t>Zepel Don II (Drop) Uncoated Pear</t>
  </si>
  <si>
    <t>Zepel Don II (Drop) Uncoated Pewter</t>
  </si>
  <si>
    <t>Zepel Don II (Drop) Uncoated Pumpkin</t>
  </si>
  <si>
    <t>Zepel Don II (Drop) Uncoated Raffia</t>
  </si>
  <si>
    <t>Zepel Don II (Drop) Uncoated Russet</t>
  </si>
  <si>
    <t>Zepel Don II (Drop) Uncoated Sand</t>
  </si>
  <si>
    <t>Zepel Don II (Drop) Uncoated Sauterine</t>
  </si>
  <si>
    <t>Zepel Don II (Drop) Uncoated Seagrass</t>
  </si>
  <si>
    <t>Zepel Don II (Drop) Uncoated Sesame</t>
  </si>
  <si>
    <t>Zepel Don II (Drop) Uncoated Sienne</t>
  </si>
  <si>
    <t>Zepel Don II (Drop) Uncoated Stirling</t>
  </si>
  <si>
    <t>Zepel Don II (Drop) Uncoated Storm</t>
  </si>
  <si>
    <t>Zepel Don II (Drop) Uncoated Sun</t>
  </si>
  <si>
    <t>Zepel Don II (Drop) Uncoated Swan</t>
  </si>
  <si>
    <t>Zepel Don II (Drop) Uncoated TBA</t>
  </si>
  <si>
    <t>Zepel Don II (Drop) Uncoated Tea</t>
  </si>
  <si>
    <t>Zepel Don II (Drop) Uncoated Willow</t>
  </si>
  <si>
    <t>Zepel Goa (Drop) Uncoated TBA</t>
  </si>
  <si>
    <t>Zepel Hometown (Drop) Uncoated Apple</t>
  </si>
  <si>
    <t>Zepel Hometown (Drop) Uncoated Aqua</t>
  </si>
  <si>
    <t>Zepel Hometown (Drop) Uncoated Beige</t>
  </si>
  <si>
    <t>Zepel Hometown (Drop) Uncoated Cookie</t>
  </si>
  <si>
    <t>Zepel Hometown (Drop) Uncoated Cream</t>
  </si>
  <si>
    <t>Zepel Hometown (Drop) Uncoated Curacao</t>
  </si>
  <si>
    <t>Zepel Hometown (Drop) Uncoated Denim</t>
  </si>
  <si>
    <t>Zepel Hometown (Drop) Uncoated Emerald</t>
  </si>
  <si>
    <t>Zepel Hometown (Drop) Uncoated Enamel</t>
  </si>
  <si>
    <t>Zepel Hometown (Drop) Uncoated Flax</t>
  </si>
  <si>
    <t>Zepel Hometown (Drop) Uncoated Fossil</t>
  </si>
  <si>
    <t>Zepel Hometown (Drop) Uncoated Fuchsia</t>
  </si>
  <si>
    <t>Zepel Hometown (Drop) Uncoated Gargoyle</t>
  </si>
  <si>
    <t>Zepel Hometown (Drop) Uncoated Hemp</t>
  </si>
  <si>
    <t>Zepel Hometown (Drop) Uncoated Ice</t>
  </si>
  <si>
    <t>Zepel Hometown (Drop) Uncoated Linen</t>
  </si>
  <si>
    <t>Zepel Hometown (Drop) Uncoated Pear</t>
  </si>
  <si>
    <t>Zepel Hometown (Drop) Uncoated Petal</t>
  </si>
  <si>
    <t>Zepel Hometown (Drop) Uncoated Pumpkin</t>
  </si>
  <si>
    <t>Zepel Hometown (Drop) Uncoated Purple</t>
  </si>
  <si>
    <t>Zepel Hometown (Drop) Uncoated Putty</t>
  </si>
  <si>
    <t>Zepel Hometown (Drop) Uncoated Quartz</t>
  </si>
  <si>
    <t>Zepel Hometown (Drop) Uncoated Shark</t>
  </si>
  <si>
    <t>Zepel Hometown (Drop) Uncoated Sky</t>
  </si>
  <si>
    <t>Zepel Hometown (Drop) Uncoated Sterling</t>
  </si>
  <si>
    <t>Zepel Hometown (Drop) Uncoated Strawberry</t>
  </si>
  <si>
    <t>Zepel Hometown (Drop) Uncoated Sun</t>
  </si>
  <si>
    <t>Zepel Hometown (Drop) Uncoated Tarrragon</t>
  </si>
  <si>
    <t>Zepel Hometown (Drop) Uncoated Zinc</t>
  </si>
  <si>
    <t>Zepel Monterey (Drop) Uncoated Angora</t>
  </si>
  <si>
    <t>Zepel Monterey (Drop) Uncoated Antique</t>
  </si>
  <si>
    <t>Zepel Monterey (Drop) Uncoated Cloud</t>
  </si>
  <si>
    <t>Zepel Monterey (Drop) Uncoated Drizzle</t>
  </si>
  <si>
    <t>Zepel Monterey (Drop) Uncoated Flan</t>
  </si>
  <si>
    <t>Zepel Monterey (Drop) Uncoated Flint</t>
  </si>
  <si>
    <t>Zepel Monterey (Drop) Uncoated Fog</t>
  </si>
  <si>
    <t>Zepel Monterey (Drop) Uncoated Glacier</t>
  </si>
  <si>
    <t>Zepel Monterey (Drop) Uncoated Gravel</t>
  </si>
  <si>
    <t>Zepel Monterey (Drop) Uncoated Java</t>
  </si>
  <si>
    <t>Zepel Monterey (Drop) Uncoated Marshmallow</t>
  </si>
  <si>
    <t>Zepel Monterey (Drop) Uncoated Navajo</t>
  </si>
  <si>
    <t>Zepel Monterey (Drop) Uncoated Orchid</t>
  </si>
  <si>
    <t>Zepel Monterey (Drop) Uncoated Paloma</t>
  </si>
  <si>
    <t>Zepel Monterey (Drop) Uncoated Peyote</t>
  </si>
  <si>
    <t>Zepel Monterey (Drop) Uncoated Smoke</t>
  </si>
  <si>
    <t>Zepel Monterey (Drop) Uncoated Snow</t>
  </si>
  <si>
    <t>Zepel Monterey (Drop) Uncoated String</t>
  </si>
  <si>
    <t>Zepel Monterey (Drop) Uncoated Surf</t>
  </si>
  <si>
    <t>Zepel Monterey (Drop) Uncoated Whisper</t>
  </si>
  <si>
    <t>Zepel Salian (Drop) Uncoated Angora</t>
  </si>
  <si>
    <t>Zepel Salian (Drop) Uncoated Cloud</t>
  </si>
  <si>
    <t>Zepel Salian (Drop) Uncoated Hedge</t>
  </si>
  <si>
    <t>Zepel Salian (Drop) Uncoated Limestone</t>
  </si>
  <si>
    <t>Zepel Salian (Drop) Uncoated Surf</t>
  </si>
  <si>
    <t>Zepel Salic (Drop) Uncoated Albin</t>
  </si>
  <si>
    <t>Zepel Salic (Drop) Uncoated Angora</t>
  </si>
  <si>
    <t>Zepel Salic (Drop) Uncoated Biscotti</t>
  </si>
  <si>
    <t>Zepel Salic (Drop) Uncoated Cloud</t>
  </si>
  <si>
    <t>Zepel Salic (Drop) Uncoated Hedge</t>
  </si>
  <si>
    <t>Zepel Salic (Drop) Uncoated Limestone</t>
  </si>
  <si>
    <t>Zepel Salic (Drop) Uncoated Mars</t>
  </si>
  <si>
    <t>Zepel Salic (Drop) Uncoated Steel</t>
  </si>
  <si>
    <t>Zepel Salic (Drop) Uncoated Stellar</t>
  </si>
  <si>
    <t>Zepel Salic (Drop) Uncoated Surf</t>
  </si>
  <si>
    <t>Zepel Salic (Drop) Uncoated Whisper</t>
  </si>
  <si>
    <t>Zepel Unlimited (Drop) Uncoated Asparagus</t>
  </si>
  <si>
    <t>Zepel Unlimited (Drop) Uncoated Biscuit</t>
  </si>
  <si>
    <t>Zepel Unlimited (Drop) Uncoated Blossom</t>
  </si>
  <si>
    <t>Zepel Unlimited (Drop) Uncoated Colbalt</t>
  </si>
  <si>
    <t>Zepel Unlimited (Drop) Uncoated Cream</t>
  </si>
  <si>
    <t>Zepel Unlimited (Drop) Uncoated Crystal</t>
  </si>
  <si>
    <t>Zepel Unlimited (Drop) Uncoated Denim</t>
  </si>
  <si>
    <t>Zepel Unlimited (Drop) Uncoated Duckegg</t>
  </si>
  <si>
    <t>Zepel Unlimited (Drop) Uncoated Grape</t>
  </si>
  <si>
    <t>Zepel Unlimited (Drop) Uncoated Grass</t>
  </si>
  <si>
    <t>Zepel Unlimited (Drop) Uncoated Ice</t>
  </si>
  <si>
    <t>Zepel Unlimited (Drop) Uncoated Jute</t>
  </si>
  <si>
    <t>Zepel Unlimited (Drop) Uncoated Limestone</t>
  </si>
  <si>
    <t>Zepel Unlimited (Drop) Uncoated Liquorice</t>
  </si>
  <si>
    <t>Zepel Unlimited (Drop) Uncoated Magenta</t>
  </si>
  <si>
    <t>Zepel Unlimited (Drop) Uncoated Mineral</t>
  </si>
  <si>
    <t>Zepel Unlimited (Drop) Uncoated Olive</t>
  </si>
  <si>
    <t>Zepel Unlimited (Drop) Uncoated Otter</t>
  </si>
  <si>
    <t>Zepel Unlimited (Drop) Uncoated Persimmon</t>
  </si>
  <si>
    <t>Zepel Unlimited (Drop) Uncoated Petal</t>
  </si>
  <si>
    <t>Zepel Unlimited (Drop) Uncoated Pewter</t>
  </si>
  <si>
    <t>Zepel Unlimited (Drop) Uncoated Pistachio</t>
  </si>
  <si>
    <t>Zepel Unlimited (Drop) Uncoated Poppy</t>
  </si>
  <si>
    <t>Zepel Unlimited (Drop) Uncoated Sand</t>
  </si>
  <si>
    <t>Zepel Unlimited (Drop) Uncoated Sesame</t>
  </si>
  <si>
    <t>Zepel Unlimited (Drop) Uncoated Shark</t>
  </si>
  <si>
    <t>Zepel Unlimited (Drop) Uncoated Sienna</t>
  </si>
  <si>
    <t>Zepel Unlimited (Drop) Uncoated Silver</t>
  </si>
  <si>
    <t>Zepel Unlimited (Drop) Uncoated Taupe</t>
  </si>
  <si>
    <t>Zepel Unlimited (Drop) Uncoated TBA</t>
  </si>
  <si>
    <t>Zepel Unlimited (Drop) Uncoated Teal</t>
  </si>
  <si>
    <t>Zepel Venus (Drop) Uncoated Almond</t>
  </si>
  <si>
    <t>Zepel Venus (Drop) Uncoated Angora</t>
  </si>
  <si>
    <t>Zepel Venus (Drop) Uncoated Autumn</t>
  </si>
  <si>
    <t>Zepel Venus (Drop) Uncoated Baltic</t>
  </si>
  <si>
    <t>Zepel Venus (Drop) Uncoated Berry</t>
  </si>
  <si>
    <t>Zepel Venus (Drop) Uncoated Cactus</t>
  </si>
  <si>
    <t>Zepel Venus (Drop) Uncoated Carbon</t>
  </si>
  <si>
    <t>Zepel Venus (Drop) Uncoated Cardinal</t>
  </si>
  <si>
    <t>Zepel Venus (Drop) Uncoated Champagne</t>
  </si>
  <si>
    <t>Zepel Venus (Drop) Uncoated Cypress</t>
  </si>
  <si>
    <t>Zepel Venus (Drop) Uncoated Denim</t>
  </si>
  <si>
    <t>Zepel Venus (Drop) Uncoated Dijon</t>
  </si>
  <si>
    <t>Zepel Venus (Drop) Uncoated Dragonfly</t>
  </si>
  <si>
    <t>Zepel Venus (Drop) Uncoated Duckegg</t>
  </si>
  <si>
    <t>Zepel Venus (Drop) Uncoated Dune</t>
  </si>
  <si>
    <t>Zepel Venus (Drop) Uncoated Fountain</t>
  </si>
  <si>
    <t>Zepel Venus (Drop) Uncoated Ivory</t>
  </si>
  <si>
    <t>Zepel Venus (Drop) Uncoated Lichen</t>
  </si>
  <si>
    <t>Zepel Venus (Drop) Uncoated Liquorice</t>
  </si>
  <si>
    <t>Zepel Venus (Drop) Uncoated Lotus</t>
  </si>
  <si>
    <t>Zepel Venus (Drop) Uncoated Mineral</t>
  </si>
  <si>
    <t>Zepel Venus (Drop) Uncoated Mist</t>
  </si>
  <si>
    <t>Zepel Venus (Drop) Uncoated Paprika</t>
  </si>
  <si>
    <t>Zepel Venus (Drop) Uncoated Pewter</t>
  </si>
  <si>
    <t>Zepel Venus (Drop) Uncoated Praline</t>
  </si>
  <si>
    <t>Zepel Venus (Drop) Uncoated Quartz</t>
  </si>
  <si>
    <t>Zepel Venus (Drop) Uncoated Sangria</t>
  </si>
  <si>
    <t>Zepel Venus (Drop) Uncoated Sterling</t>
  </si>
  <si>
    <t>Zepel Venus (Drop) Uncoated Straw</t>
  </si>
  <si>
    <t>Zepel Venus (Drop) Uncoated Surf</t>
  </si>
  <si>
    <t>Zepel Venus (Drop) Uncoated TBA</t>
  </si>
  <si>
    <t>Zepel Venus (Drop) Uncoated Tea</t>
  </si>
  <si>
    <t>Zepel Warlock Velvet (Drop) Uncoated Aluminium</t>
  </si>
  <si>
    <t>Zepel Warlock Velvet (Drop) Uncoated Aqua</t>
  </si>
  <si>
    <t>Zepel Warlock Velvet (Drop) Uncoated Aubergine</t>
  </si>
  <si>
    <t>Zepel Warlock Velvet (Drop) Uncoated Azure</t>
  </si>
  <si>
    <t>Zepel Warlock Velvet (Drop) Uncoated Beige</t>
  </si>
  <si>
    <t>Zepel Warlock Velvet (Drop) Uncoated Chartreuse</t>
  </si>
  <si>
    <t>Zepel Warlock Velvet (Drop) Uncoated Chili</t>
  </si>
  <si>
    <t>Zepel Warlock Velvet (Drop) Uncoated Cocoa</t>
  </si>
  <si>
    <t>Zepel Warlock Velvet (Drop) Uncoated Crystal</t>
  </si>
  <si>
    <t>Zepel Warlock Velvet (Drop) Uncoated Delft</t>
  </si>
  <si>
    <t>Zepel Warlock Velvet (Drop) Uncoated Ecru</t>
  </si>
  <si>
    <t>Zepel Warlock Velvet (Drop) Uncoated Emerald</t>
  </si>
  <si>
    <t>Zepel Warlock Velvet (Drop) Uncoated Gold</t>
  </si>
  <si>
    <t>Zepel Warlock Velvet (Drop) Uncoated Jade</t>
  </si>
  <si>
    <t>Zepel Warlock Velvet (Drop) Uncoated Java</t>
  </si>
  <si>
    <t>Zepel Warlock Velvet (Drop) Uncoated Latte</t>
  </si>
  <si>
    <t>Zepel Warlock Velvet (Drop) Uncoated Linen</t>
  </si>
  <si>
    <t>Zepel Warlock Velvet (Drop) Uncoated Lipstick</t>
  </si>
  <si>
    <t>Zepel Warlock Velvet (Drop) Uncoated Lollipop</t>
  </si>
  <si>
    <t>Zepel Warlock Velvet (Drop) Uncoated Marine</t>
  </si>
  <si>
    <t>Zepel Warlock Velvet (Drop) Uncoated Mauve</t>
  </si>
  <si>
    <t>Zepel Warlock Velvet (Drop) Uncoated Metal</t>
  </si>
  <si>
    <t>Zepel Warlock Velvet (Drop) Uncoated Mink</t>
  </si>
  <si>
    <t>Zepel Warlock Velvet (Drop) Uncoated Navy</t>
  </si>
  <si>
    <t>Zepel Warlock Velvet (Drop) Uncoated Noir</t>
  </si>
  <si>
    <t>Zepel Warlock Velvet (Drop) Uncoated Olive</t>
  </si>
  <si>
    <t>Zepel Warlock Velvet (Drop) Uncoated Passion</t>
  </si>
  <si>
    <t>Zepel Warlock Velvet (Drop) Uncoated Powder</t>
  </si>
  <si>
    <t>Zepel Warlock Velvet (Drop) Uncoated Putty</t>
  </si>
  <si>
    <t>Zepel Warlock Velvet (Drop) Uncoated Raspberry</t>
  </si>
  <si>
    <t>Zepel Warlock Velvet (Drop) Uncoated Seal</t>
  </si>
  <si>
    <t>Zepel Warlock Velvet (Drop) Uncoated Sesame</t>
  </si>
  <si>
    <t>Zepel Warlock Velvet (Drop) Uncoated Silver</t>
  </si>
  <si>
    <t>Zepel Warlock Velvet (Drop) Uncoated Sky</t>
  </si>
  <si>
    <t>Zepel Warlock Velvet (Drop) Uncoated Slate</t>
  </si>
  <si>
    <t>Zepel Warlock Velvet (Drop) Uncoated Stone</t>
  </si>
  <si>
    <t>Zepel Warlock Velvet (Drop) Uncoated Tan</t>
  </si>
  <si>
    <t>Zepel Warlock Velvet (Drop) Uncoated Taupe</t>
  </si>
  <si>
    <t>Zepel Warlock Velvet (Drop) Uncoated TBA</t>
  </si>
  <si>
    <t>Zepel Warlock Velvet (Drop) Uncoated Teal</t>
  </si>
  <si>
    <t>Zepel Warlock Velvet (Drop) Uncoated Toffee</t>
  </si>
  <si>
    <t>Maurice Kain Berkshire (Drop) Uncoated TBA</t>
  </si>
  <si>
    <t>Maurice Kain Berkshire (Drop) Uncoated Dove</t>
  </si>
  <si>
    <t>Maurice Kain Berkshire (Drop) Uncoated Graphite</t>
  </si>
  <si>
    <t>Maurice Kain Berkshire (Drop) Uncoated Slate</t>
  </si>
  <si>
    <t>Maurice Kain Berkshire (Drop) Uncoated Marble</t>
  </si>
  <si>
    <t>Maurice Kain Berkshire (Drop) Uncoated Feather</t>
  </si>
  <si>
    <t>Maurice Kain Berkshire (Drop) Uncoated Storm</t>
  </si>
  <si>
    <t>Maurice Kain Berkshire (Drop) Uncoated Moonstone</t>
  </si>
  <si>
    <t>Maurice Kain Berkshire (Drop) Uncoated Lichen</t>
  </si>
  <si>
    <t>Maurice Kain Berkshire (Drop) Uncoated Seafoam</t>
  </si>
  <si>
    <t>Maurice Kain Berkshire (Drop) Uncoated Lemongrass</t>
  </si>
  <si>
    <t>Maurice Kain Berkshire (Drop) Uncoated Ecru</t>
  </si>
  <si>
    <t>Maurice Kain Berkshire (Drop) Uncoated Artic</t>
  </si>
  <si>
    <t>Maurice Kain Santa Cruz (Drop) Uncoated Nero</t>
  </si>
  <si>
    <t>Maurice Kain Santa Cruz (Drop) Uncoated Ember</t>
  </si>
  <si>
    <t>Maurice Kain Santa Cruz (Drop) Uncoated Charcoal</t>
  </si>
  <si>
    <t>Maurice Kain Santa Cruz (Drop) Uncoated Oyster</t>
  </si>
  <si>
    <t>Maurice Kain Santa Cruz (Drop) Uncoated Marble</t>
  </si>
  <si>
    <t>Maurice Kain Santa Cruz (Drop) Uncoated Silver</t>
  </si>
  <si>
    <t>Maurice Kain Santa Cruz (Drop) Uncoated Seafoam</t>
  </si>
  <si>
    <t>Maurice Kain Santa Cruz (Drop) Uncoated Turmeric</t>
  </si>
  <si>
    <t>Maurice Kain Santa Cruz (Drop) Uncoated TBA</t>
  </si>
  <si>
    <t>Maurice Kain Evolution (Drop) Uncoated Oyster</t>
  </si>
  <si>
    <t>Maurice Kain Evolution (Drop) Uncoated Marble</t>
  </si>
  <si>
    <t>Maurice Kain Evolution (Drop) Uncoated Seafoam</t>
  </si>
  <si>
    <t>Maurice Kain Evolution (Drop) Uncoated Turmeric</t>
  </si>
  <si>
    <t>Maurice Kain Evolution (Drop) Uncoated Silver</t>
  </si>
  <si>
    <t>Maurice Kain Evolution (Drop) Uncoated Charcoal</t>
  </si>
  <si>
    <t>Maurice Kain Evolution (Drop) Uncoated Ember</t>
  </si>
  <si>
    <t>Maurice Kain Evolution (Drop) Uncoated Nero</t>
  </si>
  <si>
    <t>Maurice Kain Evolution (Drop) Uncoated TBA</t>
  </si>
  <si>
    <t>Hoad Baccarat (Drop) Uncoated Doeskin</t>
  </si>
  <si>
    <t>Hoad Baccarat (Drop) Uncoated Ivory</t>
  </si>
  <si>
    <t>Hoad Baccarat (Drop) Uncoated Moonlight</t>
  </si>
  <si>
    <t>Hoad Baccarat (Drop) Uncoated Shell</t>
  </si>
  <si>
    <t>Hoad Baccarat (Drop) Uncoated White</t>
  </si>
  <si>
    <t>Hoad Baccarat (Drop) Uncoated TBA</t>
  </si>
  <si>
    <t>Zepel Raider (Drop) Uncoated Aluminium</t>
  </si>
  <si>
    <t>Zepel Raider (Drop) Uncoated Balsam</t>
  </si>
  <si>
    <t>Zepel Raider (Drop) Uncoated Banana</t>
  </si>
  <si>
    <t>Zepel Raider (Drop) Uncoated Biscuit</t>
  </si>
  <si>
    <t>Zepel Raider (Drop) Uncoated Chartreuse</t>
  </si>
  <si>
    <t>Zepel Raider (Drop) Uncoated Chinchilla</t>
  </si>
  <si>
    <t>Zepel Raider (Drop) Uncoated Chocolate</t>
  </si>
  <si>
    <t>Zepel Raider (Drop) Uncoated Chrome</t>
  </si>
  <si>
    <t>Zepel Raider (Drop) Uncoated Cream</t>
  </si>
  <si>
    <t>Zepel Raider (Drop) Uncoated Crocus</t>
  </si>
  <si>
    <t>Zepel Raider (Drop) Uncoated Denim</t>
  </si>
  <si>
    <t>Zepel Raider (Drop) Uncoated Flint</t>
  </si>
  <si>
    <t>Zepel Raider (Drop) Uncoated Gold</t>
  </si>
  <si>
    <t>Zepel Raider (Drop) Uncoated Granite</t>
  </si>
  <si>
    <t>Zepel Raider (Drop) Uncoated Iro/Myosotis</t>
  </si>
  <si>
    <t>Zepel Raider (Drop) Uncoated Jade</t>
  </si>
  <si>
    <t>Zepel Raider (Drop) Uncoated Jute</t>
  </si>
  <si>
    <t>Zepel Raider (Drop) Uncoated Lagoon</t>
  </si>
  <si>
    <t>Zepel Raider (Drop) Uncoated Laurel</t>
  </si>
  <si>
    <t>Zepel Raider (Drop) Uncoated Lavender</t>
  </si>
  <si>
    <t>Zepel Raider (Drop) Uncoated Lead</t>
  </si>
  <si>
    <t>Zepel Raider (Drop) Uncoated Lemon</t>
  </si>
  <si>
    <t>Zepel Raider (Drop) Uncoated Lettuce</t>
  </si>
  <si>
    <t>Zepel Raider (Drop) Uncoated Linen</t>
  </si>
  <si>
    <t>Zepel Raider (Drop) Uncoated Navy</t>
  </si>
  <si>
    <t>Zepel Raider (Drop) Uncoated Nocturne</t>
  </si>
  <si>
    <t>Zepel Raider (Drop) Uncoated Nut</t>
  </si>
  <si>
    <t>Zepel Raider (Drop) Uncoated Olive</t>
  </si>
  <si>
    <t>Zepel Raider (Drop) Uncoated Onyx</t>
  </si>
  <si>
    <t>Zepel Raider (Drop) Uncoated Pansy</t>
  </si>
  <si>
    <t>Zepel Raider (Drop) Uncoated Peacock</t>
  </si>
  <si>
    <t>Zepel Raider (Drop) Uncoated Pearl</t>
  </si>
  <si>
    <t>Zepel Raider (Drop) Uncoated Peony</t>
  </si>
  <si>
    <t>Zepel Raider (Drop) Uncoated Pewter</t>
  </si>
  <si>
    <t>Zepel Raider (Drop) Uncoated Pinecone</t>
  </si>
  <si>
    <t>Zepel Raider (Drop) Uncoated Plaza</t>
  </si>
  <si>
    <t>Zepel Raider (Drop) Uncoated Prussian</t>
  </si>
  <si>
    <t>Zepel Raider (Drop) Uncoated Putty</t>
  </si>
  <si>
    <t>Zepel Raider (Drop) Uncoated Quartz</t>
  </si>
  <si>
    <t>Zepel Raider (Drop) Uncoated Ribbon</t>
  </si>
  <si>
    <t>Zepel Raider (Drop) Uncoated Rust</t>
  </si>
  <si>
    <t>Zepel Raider (Drop) Uncoated Sand</t>
  </si>
  <si>
    <t>Zepel Raider (Drop) Uncoated Sauvignon</t>
  </si>
  <si>
    <t>Zepel Raider (Drop) Uncoated Sesame</t>
  </si>
  <si>
    <t>Zepel Raider (Drop) Uncoated Silver</t>
  </si>
  <si>
    <t>Zepel Raider (Drop) Uncoated Snow</t>
  </si>
  <si>
    <t>Zepel Raider (Drop) Uncoated Straw</t>
  </si>
  <si>
    <t>Zepel Raider (Drop) Uncoated String</t>
  </si>
  <si>
    <t>Zepel Raider (Drop) Uncoated Taupe</t>
  </si>
  <si>
    <t>Zepel Raider (Drop) Uncoated Tomato</t>
  </si>
  <si>
    <t>Zepel Raider (Drop) Uncoated TBA</t>
  </si>
  <si>
    <t>Swaffer Floren (Drop) Uncoated Col. 53</t>
  </si>
  <si>
    <t>Swaffer Floren (Drop) Uncoated Col. 23</t>
  </si>
  <si>
    <t>Swaffer Floren (Drop) Uncoated Col. 83</t>
  </si>
  <si>
    <t>Swaffer Floren (Drop) Uncoated Col. 73</t>
  </si>
  <si>
    <t>Swaffer Floren (Drop) Uncoated TBA</t>
  </si>
  <si>
    <t>Zepel Basal (Drop) Uncoated Flax</t>
  </si>
  <si>
    <t>Zepel Basal (Drop) Uncoated Linen</t>
  </si>
  <si>
    <t>Zepel Basal (Drop) Uncoated Natural</t>
  </si>
  <si>
    <t>Zepel Basal (Drop) Uncoated TBA</t>
  </si>
  <si>
    <t>Warwick Husk (Drop) Uncoated Abyss</t>
  </si>
  <si>
    <t>Warwick Husk (Drop) Uncoated Agave</t>
  </si>
  <si>
    <t>Warwick Husk (Drop) Uncoated Amalfi</t>
  </si>
  <si>
    <t>Warwick Husk (Drop) Uncoated Amazon</t>
  </si>
  <si>
    <t>Warwick Husk (Drop) Uncoated Apple</t>
  </si>
  <si>
    <t>Warwick Husk (Drop) Uncoated Army</t>
  </si>
  <si>
    <t>Warwick Husk (Drop) Uncoated Atoll</t>
  </si>
  <si>
    <t>Warwick Husk (Drop) Uncoated Barley</t>
  </si>
  <si>
    <t>Warwick Husk (Drop) Uncoated Celadon</t>
  </si>
  <si>
    <t>Warwick Husk (Drop) Uncoated Cement</t>
  </si>
  <si>
    <t>Warwick Husk (Drop) Uncoated Cloud</t>
  </si>
  <si>
    <t>Warwick Husk (Drop) Uncoated Clove</t>
  </si>
  <si>
    <t>Warwick Husk (Drop) Uncoated Driftwood</t>
  </si>
  <si>
    <t>Warwick Husk (Drop) Uncoated Dust</t>
  </si>
  <si>
    <t>Warwick Husk (Drop) Uncoated Graphite</t>
  </si>
  <si>
    <t>Warwick Husk (Drop) Uncoated Ice</t>
  </si>
  <si>
    <t>Warwick Husk (Drop) Uncoated Kingfisher</t>
  </si>
  <si>
    <t>Warwick Husk (Drop) Uncoated Lemon</t>
  </si>
  <si>
    <t>Warwick Husk (Drop) Uncoated Lilac</t>
  </si>
  <si>
    <t>Warwick Husk (Drop) Uncoated Limestone</t>
  </si>
  <si>
    <t>Warwick Husk (Drop) Uncoated Linen</t>
  </si>
  <si>
    <t>Warwick Husk (Drop) Uncoated Malt</t>
  </si>
  <si>
    <t>Warwick Husk (Drop) Uncoated Marble</t>
  </si>
  <si>
    <t>Warwick Husk (Drop) Uncoated Molasses</t>
  </si>
  <si>
    <t>Warwick Husk (Drop) Uncoated Musk</t>
  </si>
  <si>
    <t>Warwick Husk (Drop) Uncoated Oasis</t>
  </si>
  <si>
    <t>Warwick Husk (Drop) Uncoated Ocean</t>
  </si>
  <si>
    <t>Warwick Husk (Drop) Uncoated Olive</t>
  </si>
  <si>
    <t>Warwick Husk (Drop) Uncoated Onyx</t>
  </si>
  <si>
    <t>Warwick Husk (Drop) Uncoated Peach</t>
  </si>
  <si>
    <t>Warwick Husk (Drop) Uncoated Peat</t>
  </si>
  <si>
    <t>Warwick Husk (Drop) Uncoated Pewter</t>
  </si>
  <si>
    <t>Warwick Husk (Drop) Uncoated Polo</t>
  </si>
  <si>
    <t>Warwick Husk (Drop) Uncoated Powder</t>
  </si>
  <si>
    <t>Warwick Husk (Drop) Uncoated Regal</t>
  </si>
  <si>
    <t>Warwick Husk (Drop) Uncoated Ruby</t>
  </si>
  <si>
    <t>Warwick Husk (Drop) Uncoated Saffron</t>
  </si>
  <si>
    <t>Warwick Husk (Drop) Uncoated Smoke</t>
  </si>
  <si>
    <t>Warwick Husk (Drop) Uncoated Steel</t>
  </si>
  <si>
    <t>Warwick Husk (Drop) Uncoated Toffee</t>
  </si>
  <si>
    <t>Warwick Husk (Drop) Uncoated Wattle</t>
  </si>
  <si>
    <t>Warwick Husk (Drop) Uncoated TBA</t>
  </si>
  <si>
    <t>Nettex Habitat (Drop) Uncoated Snow</t>
  </si>
  <si>
    <t>Nettex Habitat (Drop) Uncoated Talc</t>
  </si>
  <si>
    <t>Nettex Habitat (Drop) Uncoated Buff</t>
  </si>
  <si>
    <t>Nettex Habitat (Drop) Uncoated Pebble</t>
  </si>
  <si>
    <t>Nettex Habitat (Drop) Uncoated Stone</t>
  </si>
  <si>
    <t>Nettex Habitat (Drop) Uncoated Driftwood</t>
  </si>
  <si>
    <t>Nettex Habitat (Drop) Uncoated Hemp</t>
  </si>
  <si>
    <t>Nettex Habitat (Drop) Uncoated Pewter</t>
  </si>
  <si>
    <t>Nettex Habitat (Drop) Uncoated Ash</t>
  </si>
  <si>
    <t>Nettex Habitat (Drop) Uncoated Thunder</t>
  </si>
  <si>
    <t>Nettex Habitat (Drop) Uncoated Pitch</t>
  </si>
  <si>
    <t>Nettex Habitat (Drop) Uncoated Sable</t>
  </si>
  <si>
    <t>Nettex Habitat (Drop) Uncoated Sandalwood</t>
  </si>
  <si>
    <t>Nettex Habitat (Drop) Uncoated Canvas</t>
  </si>
  <si>
    <t>Nettex Habitat (Drop) Uncoated Broadwalk</t>
  </si>
  <si>
    <t>Nettex Habitat (Drop) Uncoated Sage</t>
  </si>
  <si>
    <t>Nettex Habitat (Drop) Uncoated Duckegg</t>
  </si>
  <si>
    <t>Nettex Habitat (Drop) Uncoated Mushroom</t>
  </si>
  <si>
    <t>Nettex Habitat (Drop) Uncoated Eggplant</t>
  </si>
  <si>
    <t>Nettex Habitat (Drop) Uncoated Warrior</t>
  </si>
  <si>
    <t>Nettex Habitat (Drop) Uncoated Denim</t>
  </si>
  <si>
    <t>Nettex Habitat (Drop) Uncoated Navy</t>
  </si>
  <si>
    <t>Nettex Habitat (Drop) Uncoated TBA</t>
  </si>
  <si>
    <t>Warwick Ovolo (Drop) Uncoated Blossom</t>
  </si>
  <si>
    <t>Warwick Ovolo (Drop) Uncoated Chai</t>
  </si>
  <si>
    <t>Warwick Ovolo (Drop) Uncoated Chalk</t>
  </si>
  <si>
    <t>Warwick Ovolo (Drop) Uncoated Coral</t>
  </si>
  <si>
    <t>Warwick Ovolo (Drop) Uncoated Denim</t>
  </si>
  <si>
    <t>Warwick Ovolo (Drop) Uncoated Ecru</t>
  </si>
  <si>
    <t>Warwick Ovolo (Drop) Uncoated Eucalyptus</t>
  </si>
  <si>
    <t>Warwick Ovolo (Drop) Uncoated Fog</t>
  </si>
  <si>
    <t>Warwick Ovolo (Drop) Uncoated Gunmetal</t>
  </si>
  <si>
    <t>Warwick Ovolo (Drop) Uncoated Ink</t>
  </si>
  <si>
    <t>Warwick Ovolo (Drop) Uncoated Lagoon</t>
  </si>
  <si>
    <t>Warwick Ovolo (Drop) Uncoated Manuka</t>
  </si>
  <si>
    <t>Warwick Ovolo (Drop) Uncoated Olive</t>
  </si>
  <si>
    <t>Warwick Ovolo (Drop) Uncoated Steel</t>
  </si>
  <si>
    <t>Warwick Ovolo (Drop) Uncoated Stone</t>
  </si>
  <si>
    <t>Warwick Ovolo (Drop) Uncoated Tahini</t>
  </si>
  <si>
    <t>Warwick Ovolo (Drop) Uncoated TBA</t>
  </si>
  <si>
    <t>Westbury Textiles Sonoma (Drop) Uncoated Birch</t>
  </si>
  <si>
    <t>Westbury Textiles Sonoma (Drop) Uncoated White</t>
  </si>
  <si>
    <t>Westbury Textiles Sonoma (Drop) Uncoated Parchment</t>
  </si>
  <si>
    <t>Westbury Textiles Sonoma (Drop) Uncoated Ivory</t>
  </si>
  <si>
    <t>Westbury Textiles Sonoma (Drop) Uncoated Driftwood</t>
  </si>
  <si>
    <t>Westbury Textiles Sonoma (Drop) Uncoated Putty</t>
  </si>
  <si>
    <t>Westbury Textiles Sonoma (Drop) Uncoated Pewter</t>
  </si>
  <si>
    <t>Westbury Textiles Sonoma (Drop) Uncoated Ash</t>
  </si>
  <si>
    <t>Westbury Textiles Sonoma (Drop) Uncoated Alloy</t>
  </si>
  <si>
    <t>Westbury Textiles Sonoma (Drop) Uncoated Haze Blue</t>
  </si>
  <si>
    <t>Westbury Textiles Sonoma (Drop) Uncoated Marine</t>
  </si>
  <si>
    <t>Westbury Textiles Sonoma (Drop) Uncoated Metal</t>
  </si>
  <si>
    <t>Westbury Textiles Sonoma (Drop) Uncoated Lapis</t>
  </si>
  <si>
    <t>Westbury Textiles Sonoma (Drop) Uncoated Navy</t>
  </si>
  <si>
    <t>Westbury Textiles Sonoma (Drop) Uncoated Ebony</t>
  </si>
  <si>
    <t>Westbury Textiles Sonoma (Drop) Uncoated Anthracite</t>
  </si>
  <si>
    <t>Westbury Textiles Sonoma (Drop) Uncoated Steel</t>
  </si>
  <si>
    <t>Westbury Textiles Sonoma (Drop) Uncoated Slate</t>
  </si>
  <si>
    <t>Westbury Textiles Sonoma (Drop) Uncoated Silver Grey</t>
  </si>
  <si>
    <t>Westbury Textiles Sonoma (Drop) Uncoated Deladon</t>
  </si>
  <si>
    <t>Westbury Textiles Sonoma (Drop) Uncoated Seafoam</t>
  </si>
  <si>
    <t>Westbury Textiles Sonoma (Drop) Uncoated Argent</t>
  </si>
  <si>
    <t>Westbury Textiles Sonoma (Drop) Uncoated Teal/Spice</t>
  </si>
  <si>
    <t>Westbury Textiles Sonoma (Drop) Uncoated TBA</t>
  </si>
  <si>
    <t>Maurice Kain Conway (Drop) Uncoated Alabaster</t>
  </si>
  <si>
    <t>Maurice Kain Conway (Drop) Uncoated Cocoa</t>
  </si>
  <si>
    <t>Maurice Kain Conway (Drop) Uncoated Coven</t>
  </si>
  <si>
    <t>Maurice Kain Conway (Drop) Uncoated Mushroom</t>
  </si>
  <si>
    <t>Maurice Kain Conway (Drop) Uncoated Pearl</t>
  </si>
  <si>
    <t>Maurice Kain Conway (Drop) Uncoated Sand</t>
  </si>
  <si>
    <t>Maurice Kain Conway (Drop) Uncoated Silver</t>
  </si>
  <si>
    <t>Maurice Kain Conway (Drop) Uncoated Vellum</t>
  </si>
  <si>
    <t>Maurice Kain Conway (Drop) Uncoated TBA</t>
  </si>
  <si>
    <t>Maurice Kain Rochester (Drop) Uncoated Alabaster</t>
  </si>
  <si>
    <t>Maurice Kain Rochester (Drop) Uncoated Cocoa</t>
  </si>
  <si>
    <t>Maurice Kain Rochester (Drop) Uncoated Coven</t>
  </si>
  <si>
    <t>Maurice Kain Rochester (Drop) Uncoated Mushroom</t>
  </si>
  <si>
    <t>Maurice Kain Rochester (Drop) Uncoated Pearl</t>
  </si>
  <si>
    <t>Maurice Kain Rochester (Drop) Uncoated Sand</t>
  </si>
  <si>
    <t>Maurice Kain Rochester (Drop) Uncoated Silver</t>
  </si>
  <si>
    <t>Maurice Kain Rochester (Drop) Uncoated Vellum</t>
  </si>
  <si>
    <t>Maurice Kain Rochester (Drop) Uncoated TBA</t>
  </si>
  <si>
    <t>Maurice Kain Lewes (Drop) Uncoated Alabaster</t>
  </si>
  <si>
    <t>Maurice Kain Lewes (Drop) Uncoated Cocoa</t>
  </si>
  <si>
    <t>Maurice Kain Lewes (Drop) Uncoated Coven</t>
  </si>
  <si>
    <t>Maurice Kain Lewes (Drop) Uncoated Mushroom</t>
  </si>
  <si>
    <t>Maurice Kain Lewes (Drop) Uncoated Pearl</t>
  </si>
  <si>
    <t>Maurice Kain Lewes (Drop) Uncoated Sand</t>
  </si>
  <si>
    <t>Maurice Kain Lewes (Drop) Uncoated Silver</t>
  </si>
  <si>
    <t>Maurice Kain Lewes (Drop) Uncoated Vellum</t>
  </si>
  <si>
    <t>Maurice Kain Lewes (Drop) Uncoated TBA</t>
  </si>
  <si>
    <t>Maurice Kain Durham (Drop) Uncoated Pearl</t>
  </si>
  <si>
    <t>Maurice Kain Durham (Drop) Uncoated Alabaster</t>
  </si>
  <si>
    <t>Maurice Kain Durham (Drop) Uncoated Sand</t>
  </si>
  <si>
    <t>Maurice Kain Durham (Drop) Uncoated Vellum</t>
  </si>
  <si>
    <t>Maurice Kain Durham (Drop) Uncoated Mushroom</t>
  </si>
  <si>
    <t>Maurice Kain Durham (Drop) Uncoated Cocoa</t>
  </si>
  <si>
    <t>Maurice Kain Durham (Drop) Uncoated Coven</t>
  </si>
  <si>
    <t>Maurice Kain Durham (Drop) Uncoated Silver</t>
  </si>
  <si>
    <t>Maurice Kain Durham (Drop) Uncoated TBA</t>
  </si>
  <si>
    <t>Charles Parsons Lansdowne (Drop) Uncoated Bayleaf</t>
  </si>
  <si>
    <t>Charles Parsons Lansdowne (Drop) Uncoated Biscotti</t>
  </si>
  <si>
    <t>Charles Parsons Lansdowne (Drop) Uncoated Duckegg</t>
  </si>
  <si>
    <t>Charles Parsons Lansdowne (Drop) Uncoated Mocha</t>
  </si>
  <si>
    <t>Charles Parsons Lansdowne (Drop) Uncoated Putty</t>
  </si>
  <si>
    <t>Charles Parsons Lansdowne (Drop) Uncoated Red Lantern</t>
  </si>
  <si>
    <t>Charles Parsons Lansdowne (Drop) Uncoated Safari</t>
  </si>
  <si>
    <t>Charles Parsons Lansdowne (Drop) Uncoated White Pepper</t>
  </si>
  <si>
    <t>Charles Parsons Lansdowne (Drop) Uncoated Zest</t>
  </si>
  <si>
    <t>Charles Parsons Lansdowne (Drop) Uncoated TBA</t>
  </si>
  <si>
    <t>Charles Parsons Regents Park (Drop) Uncoated Bayleaf</t>
  </si>
  <si>
    <t>Charles Parsons Regents Park (Drop) Uncoated Biscotti</t>
  </si>
  <si>
    <t>Charles Parsons Regents Park (Drop) Uncoated Duckegg</t>
  </si>
  <si>
    <t>Charles Parsons Regents Park (Drop) Uncoated Mocha</t>
  </si>
  <si>
    <t>Charles Parsons Regents Park (Drop) Uncoated Putty</t>
  </si>
  <si>
    <t>Charles Parsons Regents Park (Drop) Uncoated Red Lantern</t>
  </si>
  <si>
    <t>Charles Parsons Regents Park (Drop) Uncoated Safari</t>
  </si>
  <si>
    <t>Charles Parsons Regents Park (Drop) Uncoated White Pepper</t>
  </si>
  <si>
    <t>Charles Parsons Regents Park (Drop) Uncoated Zest</t>
  </si>
  <si>
    <t>Charles Parsons Regents Park (Drop) Uncoated TBA</t>
  </si>
  <si>
    <t>Westbury Textiles Westchester (Drop) Uncoated Silver Grey</t>
  </si>
  <si>
    <t>Westbury Textiles Southampton (Drop) Uncoated Charcoal</t>
  </si>
  <si>
    <t>Westbury Textiles Southampton (Drop) Uncoated Granite</t>
  </si>
  <si>
    <t>Westbury Textiles Southampton (Drop) Uncoated Silver Grey</t>
  </si>
  <si>
    <t>Westbury Textiles Southampton (Drop) Uncoated Sky</t>
  </si>
  <si>
    <t>Westbury Textiles Southampton (Drop) Uncoated TBA</t>
  </si>
  <si>
    <t>Westbury Textiles Luxembourg (Drop) Uncoated Snow</t>
  </si>
  <si>
    <t>Westbury Textiles Luxembourg (Drop) Uncoated Sandstone</t>
  </si>
  <si>
    <t>Westbury Textiles Luxembourg (Drop) Uncoated Argent</t>
  </si>
  <si>
    <t>Westbury Textiles Luxembourg (Drop) Uncoated Grahpite</t>
  </si>
  <si>
    <t>Westbury Textiles Luxembourg (Drop) Uncoated Driftwood</t>
  </si>
  <si>
    <t>Westbury Textiles Luxembourg (Drop) Uncoated Alloy</t>
  </si>
  <si>
    <t>Westbury Textiles Luxembourg (Drop) Uncoated Shadow</t>
  </si>
  <si>
    <t>Westbury Textiles Luxembourg (Drop) Uncoated French Navy</t>
  </si>
  <si>
    <t>Westbury Textiles Luxembourg (Drop) Uncoated Midnight</t>
  </si>
  <si>
    <t>Westbury Textiles Luxembourg (Drop) Uncoated Duck Egg Blue</t>
  </si>
  <si>
    <t>Westbury Textiles Luxembourg (Drop) Uncoated Limestone</t>
  </si>
  <si>
    <t>Westbury Textiles Luxembourg (Drop) Uncoated Pebble</t>
  </si>
  <si>
    <t>Westbury Textiles Luxembourg (Drop) Uncoated TBA</t>
  </si>
  <si>
    <t>Zepel Protea (Drop) Uncoated Natural</t>
  </si>
  <si>
    <t>Zepel Protea (Drop) Uncoated Azure</t>
  </si>
  <si>
    <t>Zepel Protea (Drop) Uncoated TBA</t>
  </si>
  <si>
    <t>Zepel Casual (Drop) Uncoated Desert</t>
  </si>
  <si>
    <t>Zepel Casual (Drop) Uncoated Pool</t>
  </si>
  <si>
    <t>Zepel Casual (Drop) Uncoated TBA</t>
  </si>
  <si>
    <t>Westbury Textiles Geneva (Drop) Uncoated Linen</t>
  </si>
  <si>
    <t>Westbury Textiles Geneva (Drop) Uncoated Silver Grey</t>
  </si>
  <si>
    <t>Westbury Textiles Geneva (Drop) Uncoated TBA</t>
  </si>
  <si>
    <t>Zepel Fenton (Drop) Uncoated Natural</t>
  </si>
  <si>
    <t>Zepel Fenton (Drop) Uncoated Graphite</t>
  </si>
  <si>
    <t>Zepel Fenton (Drop) Uncoated Fuchsia</t>
  </si>
  <si>
    <t>Zepel Fenton (Drop) Uncoated Pool</t>
  </si>
  <si>
    <t>Zepel Fenton (Drop) Uncoated Leaf</t>
  </si>
  <si>
    <t>Zepel Fenton (Drop) Uncoated TBA</t>
  </si>
  <si>
    <t>Zepel Vault (Drop) Uncoated Fawn</t>
  </si>
  <si>
    <t>Zepel Vault (Drop) Uncoated Greige</t>
  </si>
  <si>
    <t>Zepel Vault (Drop) Uncoated Lilac</t>
  </si>
  <si>
    <t>Zepel Vault (Drop) Uncoated Horizon</t>
  </si>
  <si>
    <t>Zepel Vault (Drop) Uncoated Mist</t>
  </si>
  <si>
    <t>Zepel Vault (Drop) Uncoated Chartreuse</t>
  </si>
  <si>
    <t>Zepel Vault (Drop) Uncoated TBA</t>
  </si>
  <si>
    <t>Zepel Semantic (Drop) Uncoated Almond</t>
  </si>
  <si>
    <t>Zepel Semantic (Drop) Uncoated Oyster</t>
  </si>
  <si>
    <t>Zepel Semantic (Drop) Uncoated Jade</t>
  </si>
  <si>
    <t>Zepel Semantic (Drop) Uncoated Gold</t>
  </si>
  <si>
    <t>Zepel Semantic (Drop) Uncoated TBA</t>
  </si>
  <si>
    <t>Zepel Zonta (Drop) Uncoated Linen</t>
  </si>
  <si>
    <t>Zepel Zonta (Drop) Uncoated Aluminium</t>
  </si>
  <si>
    <t>Zepel Zonta (Drop) Uncoated Ink</t>
  </si>
  <si>
    <t>Zepel Zonta (Drop) Uncoated Rose</t>
  </si>
  <si>
    <t>Zepel Zonta (Drop) Uncoated TBA</t>
  </si>
  <si>
    <t>Zepel Vitality (Drop) Uncoated Pearl</t>
  </si>
  <si>
    <t>Zepel Vitality (Drop) Uncoated Quartz</t>
  </si>
  <si>
    <t>Zepel Vitality (Drop) Uncoated Delft</t>
  </si>
  <si>
    <t>Zepel Vitality (Drop) Uncoated Sage</t>
  </si>
  <si>
    <t>Zepel Vitality (Drop) Uncoated TBA</t>
  </si>
  <si>
    <t>Zepel Prologue (Drop) Uncoated Mocha</t>
  </si>
  <si>
    <t>Zepel Prologue (Drop) Uncoated Amethyst</t>
  </si>
  <si>
    <t>Zepel Prologue (Drop) Uncoated Denim</t>
  </si>
  <si>
    <t>Zepel Prologue (Drop) Uncoated Metal</t>
  </si>
  <si>
    <t>Zepel Prologue (Drop) Uncoated Seafoam</t>
  </si>
  <si>
    <t>Zepel Prologue (Drop) Uncoated Hay</t>
  </si>
  <si>
    <t>Zepel Prologue (Drop) Uncoated Oat</t>
  </si>
  <si>
    <t>Zepel Prologue (Drop) Uncoated TBA</t>
  </si>
  <si>
    <t>Zepel Monterey (Drop) Uncoated TBA</t>
  </si>
  <si>
    <t>Gummerson Magnetic 2nd Edition (Drop) Uncoated Onyx</t>
  </si>
  <si>
    <t>Gummerson Magnetic 2nd Edition (Drop) Uncoated Charcoal</t>
  </si>
  <si>
    <t>Gummerson Magnetic 2nd Edition (Drop) Uncoated Gunmetal</t>
  </si>
  <si>
    <t>Gummerson Magnetic 2nd Edition (Drop) Uncoated Storm</t>
  </si>
  <si>
    <t>Gummerson Magnetic 2nd Edition (Drop) Uncoated Vapour</t>
  </si>
  <si>
    <t>Gummerson Magnetic 2nd Edition (Drop) Uncoated Quartz</t>
  </si>
  <si>
    <t>Gummerson Magnetic 2nd Edition (Drop) Uncoated Mist</t>
  </si>
  <si>
    <t>Gummerson Magnetic 2nd Edition (Drop) Uncoated Eggshell</t>
  </si>
  <si>
    <t>Gummerson Magnetic 2nd Edition (Drop) Uncoated Sand</t>
  </si>
  <si>
    <t>Gummerson Magnetic 2nd Edition (Drop) Uncoated Linen</t>
  </si>
  <si>
    <t>Gummerson Magnetic 2nd Edition (Drop) Uncoated Driftwood</t>
  </si>
  <si>
    <t>Gummerson Magnetic 2nd Edition (Drop) Uncoated Lichen</t>
  </si>
  <si>
    <t>Gummerson Magnetic 2nd Edition (Drop) Uncoated Sage</t>
  </si>
  <si>
    <t>Gummerson Magnetic 2nd Edition (Drop) Uncoated Haze</t>
  </si>
  <si>
    <t>Gummerson Magnetic 2nd Edition (Drop) Uncoated Merlot</t>
  </si>
  <si>
    <t>Gummerson Magnetic 2nd Edition (Drop) Uncoated Mignight</t>
  </si>
  <si>
    <t>Gummerson Magnetic 2nd Edition (Drop) Uncoated Navy</t>
  </si>
  <si>
    <t>Gummerson Magnetic 2nd Edition (Drop) Uncoated Electric</t>
  </si>
  <si>
    <t>Gummerson Magnetic 2nd Edition (Drop) Uncoated Bluestone</t>
  </si>
  <si>
    <t>Gummerson Magnetic 2nd Edition (Drop) Uncoated Denim</t>
  </si>
  <si>
    <t>Gummerson Magnetic 2nd Edition (Drop) Uncoated Silver</t>
  </si>
  <si>
    <t>Gummerson Magnetic 2nd Edition (Drop) Uncoated Lunar</t>
  </si>
  <si>
    <t>Gummerson Magnetic 2nd Edition (Drop) Uncoated Snow</t>
  </si>
  <si>
    <t>Gummerson Magnetic 2nd Edition (Drop) Uncoated TBA</t>
  </si>
  <si>
    <t>Charles Parsons Federation (Drop) Uncoated Macadamia</t>
  </si>
  <si>
    <t>Charles Parsons Federation (Drop) Uncoated Mocha</t>
  </si>
  <si>
    <t>Charles Parsons Federation (Drop) Uncoated Latte</t>
  </si>
  <si>
    <t>Charles Parsons Federation (Drop) Uncoated Dove</t>
  </si>
  <si>
    <t>Charles Parsons Federation (Drop) Uncoated TBA</t>
  </si>
  <si>
    <t>Charles Parsons Totteridge (Drop) Uncoated Macadamia</t>
  </si>
  <si>
    <t>Charles Parsons Totteridge (Drop) Uncoated Mocha</t>
  </si>
  <si>
    <t>Charles Parsons Totteridge (Drop) Uncoated Latte</t>
  </si>
  <si>
    <t>Charles Parsons Totteridge (Drop) Uncoated Dove</t>
  </si>
  <si>
    <t>Charles Parsons Totteridge (Drop) Uncoated Shadow</t>
  </si>
  <si>
    <t>Charles Parsons Totteridge (Drop) Uncoated TBA</t>
  </si>
  <si>
    <t>Charles Parsons Tumbridge Wells (Drop) Uncoated Macadamia</t>
  </si>
  <si>
    <t>Charles Parsons Tumbridge Wells (Drop) Uncoated Mocha</t>
  </si>
  <si>
    <t>Charles Parsons Tumbridge Wells (Drop) Uncoated Latte</t>
  </si>
  <si>
    <t>Charles Parsons Tumbridge Wells (Drop) Uncoated Dove</t>
  </si>
  <si>
    <t>Charles Parsons Tumbridge Wells (Drop) Uncoated Celadon</t>
  </si>
  <si>
    <t>Charles Parsons Tumbridge Wells (Drop) Uncoated Cameo</t>
  </si>
  <si>
    <t>Charles Parsons Tumbridge Wells (Drop) Uncoated Denim</t>
  </si>
  <si>
    <t>Charles Parsons Tumbridge Wells (Drop) Uncoated Shadow</t>
  </si>
  <si>
    <t>Charles Parsons Tumbridge Wells (Drop) Uncoated TBA</t>
  </si>
  <si>
    <t>Charles Parsons Ashridge (Drop) Uncoated Macadamia</t>
  </si>
  <si>
    <t>Charles Parsons Ashridge (Drop) Uncoated Mocha</t>
  </si>
  <si>
    <t>Charles Parsons Ashridge (Drop) Uncoated Latte</t>
  </si>
  <si>
    <t>Charles Parsons Ashridge (Drop) Uncoated Dove</t>
  </si>
  <si>
    <t>Charles Parsons Ashridge (Drop) Uncoated Celadon</t>
  </si>
  <si>
    <t>Charles Parsons Ashridge (Drop) Uncoated Cameo</t>
  </si>
  <si>
    <t>Charles Parsons Ashridge (Drop) Uncoated Denim</t>
  </si>
  <si>
    <t>Charles Parsons Ashridge (Drop) Uncoated Shadow</t>
  </si>
  <si>
    <t>Charles Parsons Ashridge (Drop) Uncoated TBA</t>
  </si>
  <si>
    <t>Warwick Augustus (Drop) Uncoated Aegean</t>
  </si>
  <si>
    <t>Warwick Augustus (Drop) Uncoated Amazon</t>
  </si>
  <si>
    <t>Warwick Augustus (Drop) Uncoated Armour</t>
  </si>
  <si>
    <t>Warwick Augustus (Drop) Uncoated Birch</t>
  </si>
  <si>
    <t>Warwick Augustus (Drop) Uncoated Blush</t>
  </si>
  <si>
    <t>Warwick Augustus (Drop) Uncoated Candy</t>
  </si>
  <si>
    <t>Warwick Augustus (Drop) Uncoated Chili</t>
  </si>
  <si>
    <t>Warwick Augustus (Drop) Uncoated Copper</t>
  </si>
  <si>
    <t>Warwick Augustus (Drop) Uncoated Dew</t>
  </si>
  <si>
    <t>Warwick Augustus (Drop) Uncoated Earth</t>
  </si>
  <si>
    <t>Warwick Augustus (Drop) Uncoated Ebony</t>
  </si>
  <si>
    <t>Warwick Augustus (Drop) Uncoated Ecru</t>
  </si>
  <si>
    <t>Warwick Augustus (Drop) Uncoated Eggplant</t>
  </si>
  <si>
    <t>Warwick Augustus (Drop) Uncoated Flint</t>
  </si>
  <si>
    <t>Warwick Augustus (Drop) Uncoated Fuchsia</t>
  </si>
  <si>
    <t>Warwick Augustus (Drop) Uncoated Fudge</t>
  </si>
  <si>
    <t>Warwick Augustus (Drop) Uncoated Glacier</t>
  </si>
  <si>
    <t>Warwick Augustus (Drop) Uncoated Gunmetal</t>
  </si>
  <si>
    <t>Warwick Augustus (Drop) Uncoated Ink</t>
  </si>
  <si>
    <t>Warwick Augustus (Drop) Uncoated Ladybird</t>
  </si>
  <si>
    <t>Warwick Augustus (Drop) Uncoated Lagoon</t>
  </si>
  <si>
    <t>Warwick Augustus (Drop) Uncoated Lime</t>
  </si>
  <si>
    <t>Warwick Augustus (Drop) Uncoated Linen</t>
  </si>
  <si>
    <t>Warwick Augustus (Drop) Uncoated Madder</t>
  </si>
  <si>
    <t>Warwick Augustus (Drop) Uncoated Marmalade</t>
  </si>
  <si>
    <t>Warwick Augustus (Drop) Uncoated Marshmallow</t>
  </si>
  <si>
    <t>Warwick Augustus (Drop) Uncoated Meadow</t>
  </si>
  <si>
    <t>Warwick Augustus (Drop) Uncoated Midnight</t>
  </si>
  <si>
    <t>Warwick Augustus (Drop) Uncoated Mustard</t>
  </si>
  <si>
    <t>Warwick Augustus (Drop) Uncoated Ocean</t>
  </si>
  <si>
    <t>Warwick Augustus (Drop) Uncoated Olive</t>
  </si>
  <si>
    <t>Warwick Augustus (Drop) Uncoated Pacific</t>
  </si>
  <si>
    <t>Warwick Augustus (Drop) Uncoated Pimpernel</t>
  </si>
  <si>
    <t>Warwick Augustus (Drop) Uncoated Plum</t>
  </si>
  <si>
    <t>Warwick Augustus (Drop) Uncoated Porcelain</t>
  </si>
  <si>
    <t>Warwick Augustus (Drop) Uncoated Pumice</t>
  </si>
  <si>
    <t>Warwick Augustus (Drop) Uncoated Reef</t>
  </si>
  <si>
    <t>Warwick Augustus (Drop) Uncoated Russet</t>
  </si>
  <si>
    <t>Warwick Augustus (Drop) Uncoated Seaglass</t>
  </si>
  <si>
    <t>Warwick Augustus (Drop) Uncoated Sunshine</t>
  </si>
  <si>
    <t>Warwick Augustus (Drop) Uncoated Thistle</t>
  </si>
  <si>
    <t>Warwick Augustus (Drop) Uncoated Turmeric</t>
  </si>
  <si>
    <t>Warwick Augustus (Drop) Uncoated Tuscany</t>
  </si>
  <si>
    <t>Warwick Augustus (Drop) Uncoated Willow</t>
  </si>
  <si>
    <t>Warwick Augustus (Drop) Uncoated Wolf</t>
  </si>
  <si>
    <t>Warwick Augustus (Drop) Uncoated Zinc</t>
  </si>
  <si>
    <t>Warwick Augustus (Drop) Uncoated TBA</t>
  </si>
  <si>
    <t xml:space="preserve">Slender Morris Laurie (Drop) Uncoated Wedgewood </t>
  </si>
  <si>
    <t>Slender Morris Laurie (Drop) Uncoated Linen</t>
  </si>
  <si>
    <t>Slender Morris Laurie (Drop) Uncoated Wildrose</t>
  </si>
  <si>
    <t>Slender Morris Laurie (Drop) Uncoated Eau De Nil</t>
  </si>
  <si>
    <t>Slender Morris Laurie (Drop) Uncoated Fern</t>
  </si>
  <si>
    <t>Slender Morris Laurie (Drop) Uncoated Feather</t>
  </si>
  <si>
    <t>Slender Morris Laurie (Drop) Uncoated TBA</t>
  </si>
  <si>
    <t>Slender Morris Harper (Drop) Uncoated Linen</t>
  </si>
  <si>
    <t xml:space="preserve">Slender Morris Harper (Drop) Uncoated Wedgewood </t>
  </si>
  <si>
    <t>Slender Morris Harper (Drop) Uncoated Feather</t>
  </si>
  <si>
    <t>Slender Morris Harper (Drop) Uncoated Wildrose</t>
  </si>
  <si>
    <t>Slender Morris Harper (Drop) Uncoated Eau De Nil</t>
  </si>
  <si>
    <t>Slender Morris Harper (Drop) Uncoated Sandstone</t>
  </si>
  <si>
    <t>Slender Morris Harper (Drop) Uncoated Fern</t>
  </si>
  <si>
    <t>Slender Morris Harper (Drop) Uncoated TBA</t>
  </si>
  <si>
    <t xml:space="preserve">Slender Morris Sketchbook (Drop) Uncoated Wedgewood </t>
  </si>
  <si>
    <t>Slender Morris Sketchbook (Drop) Uncoated Feather</t>
  </si>
  <si>
    <t>Slender Morris Sketchbook (Drop) Uncoated Wildrose</t>
  </si>
  <si>
    <t>Slender Morris Sketchbook (Drop) Uncoated Eau De Nil</t>
  </si>
  <si>
    <t>Slender Morris Sketchbook (Drop) Uncoated Sandstone</t>
  </si>
  <si>
    <t>Slender Morris Sketchbook (Drop) Uncoated TBA</t>
  </si>
  <si>
    <t xml:space="preserve">Slender Morris Etched Vine (Drop) Uncoated Wedgewood </t>
  </si>
  <si>
    <t>Slender Morris Etched Vine (Drop) Uncoated Linen</t>
  </si>
  <si>
    <t>Slender Morris Etched Vine (Drop) Uncoated Feather</t>
  </si>
  <si>
    <t>Slender Morris Etched Vine (Drop) Uncoated Wildrose</t>
  </si>
  <si>
    <t>Slender Morris Etched Vine (Drop) Uncoated Eau De Nil</t>
  </si>
  <si>
    <t>Slender Morris Etched Vine (Drop) Uncoated Sandstone</t>
  </si>
  <si>
    <t>Slender Morris Etched Vine (Drop) Uncoated TBA</t>
  </si>
  <si>
    <t xml:space="preserve">Slender Morris Parchment (Drop) Uncoated Wedgewood </t>
  </si>
  <si>
    <t>Slender Morris Parchment (Drop) Uncoated Feather</t>
  </si>
  <si>
    <t>Slender Morris Parchment (Drop) Uncoated Eau De Nil</t>
  </si>
  <si>
    <t>Slender Morris Parchment (Drop) Uncoated Fern</t>
  </si>
  <si>
    <t>Slender Morris Parchment (Drop) Uncoated TBA</t>
  </si>
  <si>
    <t xml:space="preserve">Slender Morris Shaker Check (Drop) Uncoated Wedgewood </t>
  </si>
  <si>
    <t>Slender Morris Shaker Check (Drop) Uncoated Feather</t>
  </si>
  <si>
    <t>Slender Morris Shaker Check (Drop) Uncoated Wildrose</t>
  </si>
  <si>
    <t>Slender Morris Shaker Check (Drop) Uncoated Eau De Nil</t>
  </si>
  <si>
    <t>Slender Morris Shaker Check (Drop) Uncoated Fern</t>
  </si>
  <si>
    <t>Slender Morris Shaker Check (Drop) Uncoated TBA</t>
  </si>
  <si>
    <t>Zepel Silo (Drop) Uncoated Whisper</t>
  </si>
  <si>
    <t>Maurice Kain Bark (Drop) Uncoated Bubblegum</t>
  </si>
  <si>
    <t>Maurice Kain Bark (Drop) Uncoated Charcoal</t>
  </si>
  <si>
    <t>Maurice Kain Bark (Drop) Uncoated Khaki</t>
  </si>
  <si>
    <t>Maurice Kain Bark (Drop) Uncoated Light Warm Grey</t>
  </si>
  <si>
    <t>Maurice Kain Bark (Drop) Uncoated Orange</t>
  </si>
  <si>
    <t>Maurice Kain Bark (Drop) Uncoated TBA</t>
  </si>
  <si>
    <t>Maurice Kain Acorn Cup (Drop) Uncoated Saffron</t>
  </si>
  <si>
    <t>Maurice Kain Acorn Cup (Drop) Uncoated Dark Marine</t>
  </si>
  <si>
    <t>Maurice Kain Acorn Cup (Drop) Uncoated TBA</t>
  </si>
  <si>
    <t>Warwick Amalfi (Drop) Uncoated Bilberry</t>
  </si>
  <si>
    <t>Warwick Amalfi (Drop) Uncoated Black</t>
  </si>
  <si>
    <t>Warwick Amalfi (Drop) Uncoated Carbon</t>
  </si>
  <si>
    <t>Warwick Amalfi (Drop) Uncoated Carnation</t>
  </si>
  <si>
    <t>Warwick Amalfi (Drop) Uncoated Cocoa</t>
  </si>
  <si>
    <t>Warwick Amalfi (Drop) Uncoated Cumin</t>
  </si>
  <si>
    <t>Warwick Amalfi (Drop) Uncoated Dove</t>
  </si>
  <si>
    <t>Warwick Amalfi (Drop) Uncoated Feather</t>
  </si>
  <si>
    <t>Warwick Amalfi (Drop) Uncoated Flint</t>
  </si>
  <si>
    <t>Warwick Amalfi (Drop) Uncoated Fog</t>
  </si>
  <si>
    <t>Warwick Amalfi (Drop) Uncoated Forest</t>
  </si>
  <si>
    <t>Warwick Amalfi (Drop) Uncoated French</t>
  </si>
  <si>
    <t>Warwick Amalfi (Drop) Uncoated Geranium</t>
  </si>
  <si>
    <t>Warwick Amalfi (Drop) Uncoated Ivory</t>
  </si>
  <si>
    <t>Warwick Amalfi (Drop) Uncoated Linen</t>
  </si>
  <si>
    <t>Warwick Amalfi (Drop) Uncoated Marine</t>
  </si>
  <si>
    <t>Warwick Amalfi (Drop) Uncoated Mercury</t>
  </si>
  <si>
    <t>Warwick Amalfi (Drop) Uncoated Pearl</t>
  </si>
  <si>
    <t>Warwick Amalfi (Drop) Uncoated Pebble</t>
  </si>
  <si>
    <t>Warwick Amalfi (Drop) Uncoated Plum</t>
  </si>
  <si>
    <t>Warwick Amalfi (Drop) Uncoated Pumice</t>
  </si>
  <si>
    <t>Warwick Amalfi (Drop) Uncoated Rosewater</t>
  </si>
  <si>
    <t>Warwick Amalfi (Drop) Uncoated Salt</t>
  </si>
  <si>
    <t>Warwick Amalfi (Drop) Uncoated Sand</t>
  </si>
  <si>
    <t>Warwick Amalfi (Drop) Uncoated Shell</t>
  </si>
  <si>
    <t>Warwick Amalfi (Drop) Uncoated Slate</t>
  </si>
  <si>
    <t>Warwick Amalfi (Drop) Uncoated Smoke</t>
  </si>
  <si>
    <t>Warwick Amalfi (Drop) Uncoated Teal</t>
  </si>
  <si>
    <t>Warwick Amalfi (Drop) Uncoated TBA</t>
  </si>
  <si>
    <t>Morris and Co Mary Isobel (Drop) Uncoated Rose Slate</t>
  </si>
  <si>
    <t>Morris and Co Mary Isobel (Drop) Uncoated TBA</t>
  </si>
  <si>
    <t>Warwick Haven (Drop) Uncoated Agean Blue</t>
  </si>
  <si>
    <t>Warwick Haven (Drop) Uncoated Antelope</t>
  </si>
  <si>
    <t>Warwick Haven (Drop) Uncoated Ash</t>
  </si>
  <si>
    <t>Warwick Haven (Drop) Uncoated Ashphalt</t>
  </si>
  <si>
    <t>Warwick Haven (Drop) Uncoated Aubergine</t>
  </si>
  <si>
    <t>Warwick Haven (Drop) Uncoated Bamboo</t>
  </si>
  <si>
    <t>Warwick Haven (Drop) Uncoated Bark</t>
  </si>
  <si>
    <t>Warwick Haven (Drop) Uncoated black</t>
  </si>
  <si>
    <t>Warwick Haven (Drop) Uncoated Bluestone</t>
  </si>
  <si>
    <t>Warwick Haven (Drop) Uncoated Bone</t>
  </si>
  <si>
    <t>Warwick Haven (Drop) Uncoated Butter</t>
  </si>
  <si>
    <t>Warwick Haven (Drop) Uncoated Café</t>
  </si>
  <si>
    <t>Warwick Haven (Drop) Uncoated Celadon</t>
  </si>
  <si>
    <t>Warwick Haven (Drop) Uncoated Cement</t>
  </si>
  <si>
    <t>Warwick Haven (Drop) Uncoated Chino</t>
  </si>
  <si>
    <t>Warwick Haven (Drop) Uncoated Cocoa</t>
  </si>
  <si>
    <t>Warwick Haven (Drop) Uncoated Cornsilk</t>
  </si>
  <si>
    <t>Warwick Haven (Drop) Uncoated Dark Grey</t>
  </si>
  <si>
    <t>Warwick Haven (Drop) Uncoated Elephant</t>
  </si>
  <si>
    <t>Warwick Haven (Drop) Uncoated Flax</t>
  </si>
  <si>
    <t>Warwick Haven (Drop) Uncoated Flint</t>
  </si>
  <si>
    <t>Warwick Haven (Drop) Uncoated Indigo</t>
  </si>
  <si>
    <t>Warwick Haven (Drop) Uncoated Khaki</t>
  </si>
  <si>
    <t>Warwick Haven (Drop) Uncoated Lilac</t>
  </si>
  <si>
    <t>Warwick Haven (Drop) Uncoated Mushroom</t>
  </si>
  <si>
    <t>Warwick Haven (Drop) Uncoated Natural</t>
  </si>
  <si>
    <t>Warwick Haven (Drop) Uncoated Oatmeal</t>
  </si>
  <si>
    <t>Warwick Haven (Drop) Uncoated Old Rose</t>
  </si>
  <si>
    <t>Warwick Haven (Drop) Uncoated Oyster</t>
  </si>
  <si>
    <t>Warwick Haven (Drop) Uncoated Paprika</t>
  </si>
  <si>
    <t>Warwick Haven (Drop) Uncoated Pewter</t>
  </si>
  <si>
    <t>Warwick Haven (Drop) Uncoated Pomgeranate</t>
  </si>
  <si>
    <t>Warwick Haven (Drop) Uncoated Pumice</t>
  </si>
  <si>
    <t>Warwick Haven (Drop) Uncoated Sage</t>
  </si>
  <si>
    <t>Warwick Haven (Drop) Uncoated Shell Pink</t>
  </si>
  <si>
    <t>Warwick Haven (Drop) Uncoated Slate</t>
  </si>
  <si>
    <t>Warwick Haven (Drop) Uncoated Taupe</t>
  </si>
  <si>
    <t>Warwick Haven (Drop) Uncoated Vintage Red</t>
  </si>
  <si>
    <t>Warwick Haven (Drop) Uncoated Walnut</t>
  </si>
  <si>
    <t>Warwick Solo (Drop) Uncoated Redwood</t>
  </si>
  <si>
    <t>Warwick Solo (Drop) Uncoated Aqua</t>
  </si>
  <si>
    <t>Warwick Solo (Drop) Uncoated Bark</t>
  </si>
  <si>
    <t>Warwick Solo (Drop) Uncoated Birch</t>
  </si>
  <si>
    <t>Warwick Solo (Drop) Uncoated Calico</t>
  </si>
  <si>
    <t>Warwick Solo (Drop) Uncoated Cascade</t>
  </si>
  <si>
    <t>Warwick Solo (Drop) Uncoated Cashmere</t>
  </si>
  <si>
    <t>Warwick Solo (Drop) Uncoated Coral</t>
  </si>
  <si>
    <t>Warwick Solo (Drop) Uncoated Cornsilk</t>
  </si>
  <si>
    <t>Warwick Solo (Drop) Uncoated Denim</t>
  </si>
  <si>
    <t>Warwick Solo (Drop) Uncoated Dusty</t>
  </si>
  <si>
    <t>Warwick Solo (Drop) Uncoated Rose</t>
  </si>
  <si>
    <t>Warwick Solo (Drop) Uncoated Hemp</t>
  </si>
  <si>
    <t>Warwick Solo (Drop) Uncoated Herb</t>
  </si>
  <si>
    <t>Warwick Solo (Drop) Uncoated Honey</t>
  </si>
  <si>
    <t>Warwick Solo (Drop) Uncoated Latte</t>
  </si>
  <si>
    <t>Warwick Solo (Drop) Uncoated Leaf</t>
  </si>
  <si>
    <t>Warwick Solo (Drop) Uncoated Linen</t>
  </si>
  <si>
    <t>Warwick Solo (Drop) Uncoated Montana</t>
  </si>
  <si>
    <t>Warwick Solo (Drop) Uncoated Nile</t>
  </si>
  <si>
    <t>Warwick Solo (Drop) Uncoated Nova</t>
  </si>
  <si>
    <t>Warwick Solo (Drop) Uncoated Olive</t>
  </si>
  <si>
    <t>Warwick Solo (Drop) Uncoated Portage</t>
  </si>
  <si>
    <t>Warwick Solo (Drop) Uncoated Riviera</t>
  </si>
  <si>
    <t>Warwick Solo (Drop) Uncoated Sand</t>
  </si>
  <si>
    <t>Warwick Solo (Drop) Uncoated Sepia</t>
  </si>
  <si>
    <t>Warwick Solo (Drop) Uncoated Shell Pink</t>
  </si>
  <si>
    <t>Warwick Solo (Drop) Uncoated Vanilla</t>
  </si>
  <si>
    <t>Warwick Solo (Drop) Uncoated TBA</t>
  </si>
  <si>
    <t>Maurice Kain Cleo (Drop) Uncoated Natural</t>
  </si>
  <si>
    <t>Maurice Kain Cleo (Drop) Uncoated Shadow</t>
  </si>
  <si>
    <t>Maurice Kain Cleo (Drop) Uncoated Moonlit</t>
  </si>
  <si>
    <t>Maurice Kain Cleo (Drop) Uncoated TBA</t>
  </si>
  <si>
    <t>Maurice Kain Hairy Maclary (Drop) Uncoated Multi</t>
  </si>
  <si>
    <t>Morris and Co Mary Isobel (Drop) Uncoated Pink Ivory</t>
  </si>
  <si>
    <t>Swaffer Cley (Drop) Uncoated 45</t>
  </si>
  <si>
    <t>Swaffer Cley (Drop) Uncoated 85</t>
  </si>
  <si>
    <t>Swaffer Cley (Drop) Uncoated 15</t>
  </si>
  <si>
    <t>Swaffer Cley (Drop) Uncoated 25</t>
  </si>
  <si>
    <t>Swaffer Cley (Drop) Uncoated 65</t>
  </si>
  <si>
    <t>Swaffer Cley (Drop) Uncoated TBA</t>
  </si>
  <si>
    <t>Warwick Lexus (Drop) Uncoated Armour</t>
  </si>
  <si>
    <t>Warwick Lexus (Drop) Uncoated Cement</t>
  </si>
  <si>
    <t>Warwick Lexus (Drop) Uncoated Chai</t>
  </si>
  <si>
    <t>Warwick Lexus (Drop) Uncoated Cocoa</t>
  </si>
  <si>
    <t>Warwick Lexus (Drop) Uncoated Cornflower</t>
  </si>
  <si>
    <t>Warwick Lexus (Drop) Uncoated Cranberry</t>
  </si>
  <si>
    <t>Warwick Lexus (Drop) Uncoated Dijon</t>
  </si>
  <si>
    <t>Warwick Lexus (Drop) Uncoated Duckegg</t>
  </si>
  <si>
    <t>Warwick Lexus (Drop) Uncoated Ecru</t>
  </si>
  <si>
    <t>Warwick Lexus (Drop) Uncoated Feather</t>
  </si>
  <si>
    <t>Warwick Lexus (Drop) Uncoated Gingerbread</t>
  </si>
  <si>
    <t>Warwick Lexus (Drop) Uncoated Gull</t>
  </si>
  <si>
    <t>Warwick Lexus (Drop) Uncoated Gunmetal</t>
  </si>
  <si>
    <t>Warwick Lexus (Drop) Uncoated Haze</t>
  </si>
  <si>
    <t>Warwick Lexus (Drop) Uncoated Kale</t>
  </si>
  <si>
    <t>Warwick Lexus (Drop) Uncoated Lagoon</t>
  </si>
  <si>
    <t>Warwick Lexus (Drop) Uncoated Lilac</t>
  </si>
  <si>
    <t>Warwick Lexus (Drop) Uncoated Manuka</t>
  </si>
  <si>
    <t>Warwick Lexus (Drop) Uncoated Marine</t>
  </si>
  <si>
    <t>Warwick Lexus (Drop) Uncoated Musk</t>
  </si>
  <si>
    <t>Warwick Lexus (Drop) Uncoated Natural</t>
  </si>
  <si>
    <t>Warwick Lexus (Drop) Uncoated Nectar</t>
  </si>
  <si>
    <t>Warwick Lexus (Drop) Uncoated Night</t>
  </si>
  <si>
    <t>Warwick Lexus (Drop) Uncoated Oatmeal</t>
  </si>
  <si>
    <t>Warwick Lexus (Drop) Uncoated Petal</t>
  </si>
  <si>
    <t>Warwick Lexus (Drop) Uncoated Poppy</t>
  </si>
  <si>
    <t>Warwick Lexus (Drop) Uncoated Rosewater</t>
  </si>
  <si>
    <t>Warwick Lexus (Drop) Uncoated Rust</t>
  </si>
  <si>
    <t>Warwick Lexus (Drop) Uncoated Seaglass</t>
  </si>
  <si>
    <t>Warwick Lexus (Drop) Uncoated Snow</t>
  </si>
  <si>
    <t>Warwick Lexus (Drop) Uncoated Tahini</t>
  </si>
  <si>
    <t>Warwick Lexus (Drop) Uncoated TBA</t>
  </si>
  <si>
    <t>Zepel Goa (Drop) Uncoated Feather</t>
  </si>
  <si>
    <t>Zepel Goa (Drop) Uncoated Antique</t>
  </si>
  <si>
    <t>Zepel Goa (Drop) Uncoated Charcoal</t>
  </si>
  <si>
    <t>Zepel Goa (Drop) Uncoated Egret</t>
  </si>
  <si>
    <t>Zepel Goa (Drop) Uncoated Fresco</t>
  </si>
  <si>
    <t>Zepel Goa (Drop) Uncoated Funghi</t>
  </si>
  <si>
    <t>Zepel Goa (Drop) Uncoated Ice</t>
  </si>
  <si>
    <t>Zepel Goa (Drop) Uncoated Linen</t>
  </si>
  <si>
    <t>Zepel Goa (Drop) Uncoated Marshmallow</t>
  </si>
  <si>
    <t>Zepel Goa (Drop) Uncoated Oasis</t>
  </si>
  <si>
    <t>Zepel Goa (Drop) Uncoated Ocean</t>
  </si>
  <si>
    <t>Zepel Goa (Drop) Uncoated Plaza</t>
  </si>
  <si>
    <t>Zepel Goa (Drop) Uncoated Plum</t>
  </si>
  <si>
    <t>Zepel Goa (Drop) Uncoated Rabbit</t>
  </si>
  <si>
    <t>Zepel Goa (Drop) Uncoated Seagrass</t>
  </si>
  <si>
    <t>Zepel Goa (Drop) Uncoated Shadow</t>
  </si>
  <si>
    <t>Zepel Goa (Drop) Uncoated Silver</t>
  </si>
  <si>
    <t>Zepel Goa (Drop) Uncoated Spa</t>
  </si>
  <si>
    <t>Zepel Goa (Drop) Uncoated Sparrow</t>
  </si>
  <si>
    <t>Zepel Goa (Drop) Uncoated Stellar</t>
  </si>
  <si>
    <t>Zepel Goa (Drop) Uncoated Surf</t>
  </si>
  <si>
    <t>Zepel Goa (Drop) Uncoated Whisper</t>
  </si>
  <si>
    <t>Hoad Avalon Stripe (Drop) Uncoated Moonlight</t>
  </si>
  <si>
    <t>Hoad Avalon Stripe (Drop) Uncoated Stone</t>
  </si>
  <si>
    <t>Hoad Avalon Stripe (Drop) Uncoated Navy</t>
  </si>
  <si>
    <t>Hoad Avalon Stripe (Drop) Uncoated Black</t>
  </si>
  <si>
    <t>Hoad Avalon Stripe (Drop) Uncoated TBA</t>
  </si>
  <si>
    <t>Hoad Plain (Drop) Uncoated Opal</t>
  </si>
  <si>
    <t>Hoad Plain (Drop) Uncoated Flax</t>
  </si>
  <si>
    <t>Hoad Plain (Drop) Uncoated Silver</t>
  </si>
  <si>
    <t>Hoad Plain (Drop) Uncoated Stone</t>
  </si>
  <si>
    <t>Hoad Plain (Drop) Uncoated Charcoal</t>
  </si>
  <si>
    <t>Hoad Plain (Drop) Uncoated Black</t>
  </si>
  <si>
    <t>Hoad Plain (Drop) Uncoated Ocean</t>
  </si>
  <si>
    <t>Hoad Plain (Drop) Uncoated Navy</t>
  </si>
  <si>
    <t>Hoad Plain (Drop) Uncoated Red</t>
  </si>
  <si>
    <t>Hoad Plain (Drop) Uncoated TBA</t>
  </si>
  <si>
    <t>Hoad Ticking Stripe (Drop) Uncoated Moonlight</t>
  </si>
  <si>
    <t>Hoad Ticking Stripe (Drop) Uncoated Flax</t>
  </si>
  <si>
    <t>Hoad Ticking Stripe (Drop) Uncoated Silver</t>
  </si>
  <si>
    <t>Hoad Ticking Stripe (Drop) Uncoated Stone</t>
  </si>
  <si>
    <t>Hoad Ticking Stripe (Drop) Uncoated Ocean</t>
  </si>
  <si>
    <t>Hoad Ticking Stripe (Drop) Uncoated Navy</t>
  </si>
  <si>
    <t>Hoad Ticking Stripe (Drop) Uncoated Black</t>
  </si>
  <si>
    <t>Hoad Ticking Stripe (Drop) Uncoated Sunshine</t>
  </si>
  <si>
    <t>Hoad Ticking Stripe (Drop) Uncoated Dusty Pink</t>
  </si>
  <si>
    <t>Hoad Ticking Stripe (Drop) Uncoated TBA</t>
  </si>
  <si>
    <t>Hoad Beach Check (Drop) Uncoated Moonlight</t>
  </si>
  <si>
    <t>Hoad Beach Check (Drop) Uncoated Stone</t>
  </si>
  <si>
    <t>Hoad Beach Check (Drop) Uncoated Navy</t>
  </si>
  <si>
    <t>Hoad Beach Check (Drop) Uncoated Black</t>
  </si>
  <si>
    <t>Hoad Beach Check (Drop) Uncoated TBA</t>
  </si>
  <si>
    <t>Warwick Glyndebourne (Drop) Uncoated Document</t>
  </si>
  <si>
    <t>Warwick Glyndebourne (Drop) Uncoated Emperor</t>
  </si>
  <si>
    <t>Warwick Glyndebourne (Drop) Uncoated Forest</t>
  </si>
  <si>
    <t>Warwick Glyndebourne (Drop) Uncoated Ink</t>
  </si>
  <si>
    <t>Warwick Glyndebourne (Drop) Uncoated TBA</t>
  </si>
  <si>
    <t>Warwick Jindabyne (Drop) Uncoated Ebony</t>
  </si>
  <si>
    <t>Warwick Jindabyne (Drop) Uncoated Fern</t>
  </si>
  <si>
    <t>Warwick Jindabyne (Drop) Uncoated Surf</t>
  </si>
  <si>
    <t>Warwick Jindabyne (Drop) Uncoated Terracotta</t>
  </si>
  <si>
    <t>Warwick Jindabyne (Drop) Uncoated TBA</t>
  </si>
  <si>
    <t>Warwick Omni (Drop) Uncoated Armour</t>
  </si>
  <si>
    <t>Warwick Omni (Drop) Uncoated Atoll</t>
  </si>
  <si>
    <t>Warwick Omni (Drop) Uncoated Brass</t>
  </si>
  <si>
    <t>Warwick Omni (Drop) Uncoated Chai</t>
  </si>
  <si>
    <t>Warwick Omni (Drop) Uncoated Copper</t>
  </si>
  <si>
    <t>Warwick Omni (Drop) Uncoated Frost</t>
  </si>
  <si>
    <t>Warwick Omni (Drop) Uncoated Graphite</t>
  </si>
  <si>
    <t>Warwick Omni (Drop) Uncoated Linen</t>
  </si>
  <si>
    <t>Warwick Omni (Drop) Uncoated Mallard</t>
  </si>
  <si>
    <t>Warwick Omni (Drop) Uncoated Mocha</t>
  </si>
  <si>
    <t>Warwick Omni (Drop) Uncoated Navy</t>
  </si>
  <si>
    <t>Warwick Omni (Drop) Uncoated Onyx</t>
  </si>
  <si>
    <t>Warwick Omni (Drop) Uncoated Pearl</t>
  </si>
  <si>
    <t>Warwick Omni (Drop) Uncoated Petal</t>
  </si>
  <si>
    <t>Warwick Omni (Drop) Uncoated Stone</t>
  </si>
  <si>
    <t>Warwick Omni (Drop) Uncoated Storm</t>
  </si>
  <si>
    <t>Warwick Omni (Drop) Uncoated TBA</t>
  </si>
  <si>
    <t>Warwick Watford (Drop) Uncoated Citrus</t>
  </si>
  <si>
    <t>Warwick Watford (Drop) Uncoated Coral</t>
  </si>
  <si>
    <t>Warwick Watford (Drop) Uncoated Ebony</t>
  </si>
  <si>
    <t>Warwick Watford (Drop) Uncoated Sky</t>
  </si>
  <si>
    <t>Warwick Watford (Drop) Uncoated Slate</t>
  </si>
  <si>
    <t>Warwick Watford (Drop) Uncoated Sparrow</t>
  </si>
  <si>
    <t>Warwick Watford (Drop) Uncoated TBA</t>
  </si>
  <si>
    <t>Warwick Hepburn (Drop) Uncoated Desert</t>
  </si>
  <si>
    <t>Warwick Hepburn (Drop) Uncoated Dusk</t>
  </si>
  <si>
    <t>Warwick Hepburn (Drop) Uncoated Electirc</t>
  </si>
  <si>
    <t>Warwick Hepburn (Drop) Uncoated Eucalyptus</t>
  </si>
  <si>
    <t>Warwick Hepburn (Drop) Uncoated Teal</t>
  </si>
  <si>
    <t>Warwick Hepburn (Drop) Uncoated TBA</t>
  </si>
  <si>
    <t>Clarke &amp; Clarke Sicilian (Drop) Uncoated Lemon</t>
  </si>
  <si>
    <t>Clarke &amp; Clarke Sicilian (Drop) Uncoated Orange</t>
  </si>
  <si>
    <t>Clarke &amp; Clarke Sicilian (Drop) Uncoated TBA</t>
  </si>
  <si>
    <t>Morris and Co Morris Seaweed (Drop) Uncoated Ink/Woad</t>
  </si>
  <si>
    <t>Morris and Co Morris Seaweed (Drop) Uncoated Ebony/Poppy</t>
  </si>
  <si>
    <t>Morris and Co Morris Seaweed (Drop) Uncoated Cobalt/Thyme</t>
  </si>
  <si>
    <t>Morris and Co Morris Seaweed (Drop) Uncoated Aub/Bayleaf</t>
  </si>
  <si>
    <t>Morris and Co Morris Seaweed (Drop) Uncoated TBA</t>
  </si>
  <si>
    <t>Clarke &amp; Clarke Tigris Velvet (Drop) Uncoated Flame</t>
  </si>
  <si>
    <t>Boyac Cordeaux &amp; Co Normandy (Drop) Uncoated Acier</t>
  </si>
  <si>
    <t>Boyac Cordeaux &amp; Co Normandy (Drop) Uncoated Ardoise</t>
  </si>
  <si>
    <t>Boyac Cordeaux &amp; Co Normandy (Drop) Uncoated Blanc</t>
  </si>
  <si>
    <t>Boyac Cordeaux &amp; Co Normandy (Drop) Uncoated Celadon</t>
  </si>
  <si>
    <t>Boyac Cordeaux &amp; Co Normandy (Drop) Uncoated Charbon</t>
  </si>
  <si>
    <t>Boyac Cordeaux &amp; Co Normandy (Drop) Uncoated Ecru</t>
  </si>
  <si>
    <t>Boyac Cordeaux &amp; Co Normandy (Drop) Uncoated Elephant</t>
  </si>
  <si>
    <t>Boyac Cordeaux &amp; Co Normandy (Drop) Uncoated Forest</t>
  </si>
  <si>
    <t>Boyac Cordeaux &amp; Co Normandy (Drop) Uncoated Framboise</t>
  </si>
  <si>
    <t>Boyac Cordeaux &amp; Co Normandy (Drop) Uncoated Gazon</t>
  </si>
  <si>
    <t>Boyac Cordeaux &amp; Co Normandy (Drop) Uncoated Gris</t>
  </si>
  <si>
    <t>Boyac Cordeaux &amp; Co Normandy (Drop) Uncoated Jaune</t>
  </si>
  <si>
    <t>Boyac Cordeaux &amp; Co Normandy (Drop) Uncoated Lilas</t>
  </si>
  <si>
    <t>Boyac Cordeaux &amp; Co Normandy (Drop) Uncoated Lin</t>
  </si>
  <si>
    <t>Boyac Cordeaux &amp; Co Normandy (Drop) Uncoated Moutard</t>
  </si>
  <si>
    <t>Boyac Cordeaux &amp; Co Normandy (Drop) Uncoated Ocean</t>
  </si>
  <si>
    <t>Boyac Cordeaux &amp; Co Normandy (Drop) Uncoated Olive</t>
  </si>
  <si>
    <t>Boyac Cordeaux &amp; Co Normandy (Drop) Uncoated Or</t>
  </si>
  <si>
    <t>Boyac Cordeaux &amp; Co Normandy (Drop) Uncoated Orage</t>
  </si>
  <si>
    <t>Boyac Cordeaux &amp; Co Normandy (Drop) Uncoated Orange</t>
  </si>
  <si>
    <t>Boyac Cordeaux &amp; Co Normandy (Drop) Uncoated Rose</t>
  </si>
  <si>
    <t>Boyac Cordeaux &amp; Co Normandy (Drop) Uncoated Rouille 24</t>
  </si>
  <si>
    <t>Boyac Cordeaux &amp; Co Normandy (Drop) Uncoated Rouille 38</t>
  </si>
  <si>
    <t>Boyac Cordeaux &amp; Co Normandy (Drop) Uncoated Sorbet</t>
  </si>
  <si>
    <t>Boyac Cordeaux &amp; Co Normandy (Drop) Uncoated Souris</t>
  </si>
  <si>
    <t>Boyac Cordeaux &amp; Co Normandy (Drop) Uncoated Terre</t>
  </si>
  <si>
    <t>Boyac Cordeaux &amp; Co Normandy (Drop) Uncoated Tres Blanc</t>
  </si>
  <si>
    <t>Boyac Cordeaux &amp; Co Normandy (Drop) Uncoated Vieux Rose</t>
  </si>
  <si>
    <t>Boyac Cordeaux &amp; Co Normandy (Drop) Uncoated Wasabi</t>
  </si>
  <si>
    <t>Boyac Cordeaux &amp; Co Normandy (Drop) Uncoated Bleu</t>
  </si>
  <si>
    <t>Boyac Cordeaux &amp; Co Normandy (Drop) Uncoated TBA</t>
  </si>
  <si>
    <t>Slender Morris Samarkand (Drop) Uncoated Sapphire</t>
  </si>
  <si>
    <t>Slender Morris Samarkand (Drop) Uncoated Cloud</t>
  </si>
  <si>
    <t>Slender Morris Samarkand (Drop) Uncoated TBA</t>
  </si>
  <si>
    <t>Clarke &amp; Clarke Hidcote (Drop) Uncoated Duckegg</t>
  </si>
  <si>
    <t>Clarke &amp; Clarke Hidcote (Drop) Uncoated Apple</t>
  </si>
  <si>
    <t>Clarke &amp; Clarke Hidcote (Drop) Uncoated Damson</t>
  </si>
  <si>
    <t>Clarke &amp; Clarke Hidcote (Drop) Uncoated Denim</t>
  </si>
  <si>
    <t>Clarke &amp; Clarke Hidcote (Drop) Uncoated Natural</t>
  </si>
  <si>
    <t>Clarke &amp; Clarke Hidcote (Drop) Uncoated Spice</t>
  </si>
  <si>
    <t>Clarke &amp; Clarke Hidcote (Drop) Uncoated TBA</t>
  </si>
  <si>
    <t>Anna Spiro Tattie Tart (Drop) (Drop) Uncoated Multi</t>
  </si>
  <si>
    <t>Double Both Sides</t>
  </si>
  <si>
    <t>Both Sides</t>
  </si>
  <si>
    <t>2 x 112</t>
  </si>
  <si>
    <t>2 x 110</t>
  </si>
  <si>
    <t>2 x 108</t>
  </si>
  <si>
    <t>2 x 106</t>
  </si>
  <si>
    <t>2 x 104</t>
  </si>
  <si>
    <t>2 x 102</t>
  </si>
  <si>
    <t>2 x 100</t>
  </si>
  <si>
    <t>2 x 98</t>
  </si>
  <si>
    <t>2 x 96</t>
  </si>
  <si>
    <t>2 x 94</t>
  </si>
  <si>
    <t>2 x 92</t>
  </si>
  <si>
    <t>2 x 90</t>
  </si>
  <si>
    <t>2 x 88</t>
  </si>
  <si>
    <t>2 x 86</t>
  </si>
  <si>
    <t>2 x 84</t>
  </si>
  <si>
    <t>2 x 82</t>
  </si>
  <si>
    <t>2 x 80</t>
  </si>
  <si>
    <t>2 x 78</t>
  </si>
  <si>
    <t>2 x 76</t>
  </si>
  <si>
    <t>2 x 74</t>
  </si>
  <si>
    <t>2 x 72</t>
  </si>
  <si>
    <t>2 x 70</t>
  </si>
  <si>
    <t>2 x 68</t>
  </si>
  <si>
    <t>2 x 66</t>
  </si>
  <si>
    <t>2 x 64</t>
  </si>
  <si>
    <t>2 x 62</t>
  </si>
  <si>
    <t>2 x 60</t>
  </si>
  <si>
    <t>2 x 58</t>
  </si>
  <si>
    <t>2 x 56</t>
  </si>
  <si>
    <t>2 x 54</t>
  </si>
  <si>
    <t>2 x 52</t>
  </si>
  <si>
    <t>2 x 50</t>
  </si>
  <si>
    <t>2 x 48</t>
  </si>
  <si>
    <t>2 x 46</t>
  </si>
  <si>
    <t>2 x 44</t>
  </si>
  <si>
    <t>2 x 42</t>
  </si>
  <si>
    <t>2 x 40</t>
  </si>
  <si>
    <t>2 x 38</t>
  </si>
  <si>
    <t>2 x 36</t>
  </si>
  <si>
    <t>2 x 34</t>
  </si>
  <si>
    <t>2 x 32</t>
  </si>
  <si>
    <t>2 x 30</t>
  </si>
  <si>
    <t>2 x 28</t>
  </si>
  <si>
    <t>2 x 26</t>
  </si>
  <si>
    <t>2 x 24</t>
  </si>
  <si>
    <t>2 x 22</t>
  </si>
  <si>
    <t>2 x 20</t>
  </si>
  <si>
    <t>2 x 18</t>
  </si>
  <si>
    <t>2 x 16</t>
  </si>
  <si>
    <t>2 x 14</t>
  </si>
  <si>
    <t>2 x 12</t>
  </si>
  <si>
    <t>2 x 10</t>
  </si>
  <si>
    <t>2 x 8</t>
  </si>
  <si>
    <t>Hooks</t>
  </si>
  <si>
    <t>Track Length</t>
  </si>
  <si>
    <t>Centre Opening 100%</t>
  </si>
  <si>
    <t>Centre Opening 80%</t>
  </si>
  <si>
    <t>80% One Way</t>
  </si>
  <si>
    <t>Wavefold (Extra Fullness x 2.2)</t>
  </si>
  <si>
    <t>100% One Way</t>
  </si>
  <si>
    <t>Centre Opening 120%</t>
  </si>
  <si>
    <t>120% One Way</t>
  </si>
  <si>
    <t>Table</t>
  </si>
  <si>
    <r>
      <rPr>
        <b/>
        <u val="single"/>
        <sz val="11"/>
        <color rgb="FFFF0000"/>
        <rFont val="Arial"/>
        <family val="2"/>
      </rPr>
      <t>IT IS THE RESPONSIBILITY OF RETAILERS TO COMMUNICATE WITH WORKROOMS IN REGARDS TO</t>
    </r>
    <r>
      <rPr>
        <b/>
        <sz val="11"/>
        <color rgb="FFFF0000"/>
        <rFont val="Arial"/>
        <family val="2"/>
      </rPr>
      <t xml:space="preserve"> </t>
    </r>
    <r>
      <rPr>
        <b/>
        <u val="single"/>
        <sz val="11"/>
        <color rgb="FFFF0000"/>
        <rFont val="Arial"/>
        <family val="2"/>
      </rPr>
      <t>DISTANCES ON RETURNS TO THE WALL. TBS WILL SUPPLY 1 EXTRA 'HOOK SPACE' FOR SINGLE</t>
    </r>
    <r>
      <rPr>
        <b/>
        <sz val="11"/>
        <color rgb="FFFF0000"/>
        <rFont val="Arial"/>
        <family val="2"/>
      </rPr>
      <t xml:space="preserve"> </t>
    </r>
    <r>
      <rPr>
        <b/>
        <u val="single"/>
        <sz val="11"/>
        <color rgb="FFFF0000"/>
        <rFont val="Arial"/>
        <family val="2"/>
      </rPr>
      <t xml:space="preserve">RETURNS AND 2 EXTRA 'HOOK SPACINGS' FOR DOUBLE RETURNS
</t>
    </r>
    <r>
      <rPr>
        <b/>
        <sz val="11"/>
        <color rgb="FFFF0000"/>
        <rFont val="Arial"/>
        <family val="2"/>
      </rPr>
      <t>TBS WILL NOT BE RESPOSNIBLE FOR MANUFACTURING ERRORS WHICH OCCUR DUE TO INCORRECT TAPE SIZES. PLEASE TAKE CARE TO DOUBLE CHECK ALL TAPE LENGTHS BEFORE
MANUFACTURING.</t>
    </r>
  </si>
  <si>
    <t>Left Only</t>
  </si>
  <si>
    <t>Right Only</t>
  </si>
  <si>
    <t>Double Left</t>
  </si>
  <si>
    <t>Double Right</t>
  </si>
  <si>
    <t>Plus 2 Hook Spacings</t>
  </si>
  <si>
    <t>Plus 1 Hook Spacing</t>
  </si>
  <si>
    <t>Wavefold Look Up</t>
  </si>
  <si>
    <t>Wavefold Returns</t>
  </si>
  <si>
    <t>Wavefold Tapes &amp; Hooks</t>
  </si>
  <si>
    <t>Tapes</t>
  </si>
  <si>
    <t>Tape Look Up</t>
  </si>
  <si>
    <t>Zepel Charanga (Continuous) Sheer Ash</t>
  </si>
  <si>
    <t>Zepel Charanga (Continuous) Sheer Dove</t>
  </si>
  <si>
    <t>Zepel Charanga (Continuous) Sheer Dune</t>
  </si>
  <si>
    <t>Zepel Charanga (Continuous) Sheer Ivory</t>
  </si>
  <si>
    <t>Zepel Charanga (Continuous) Sheer Linen</t>
  </si>
  <si>
    <t>Zepel Charanga (Continuous) Sheer Nougat</t>
  </si>
  <si>
    <t>Zepel Charanga (Continuous) Sheer Pepper</t>
  </si>
  <si>
    <t>Zepel Charanga (Continuous) Sheer Raven</t>
  </si>
  <si>
    <t>Zepel Charanga (Continuous) Sheer Shadow</t>
  </si>
  <si>
    <t>Zepel Charanga (Continuous) Sheer Shark</t>
  </si>
  <si>
    <t>Zepel Charanga (Continuous) Sheer Sky</t>
  </si>
  <si>
    <t>Zepel Charanga (Continuous) Sheer Winter</t>
  </si>
  <si>
    <t>Zepel Charanga (Continuous) Sheer TBA</t>
  </si>
  <si>
    <t>Warwick Juno (Continuous) Sheer Chalk</t>
  </si>
  <si>
    <t>Warwick Juno (Continuous) Sheer Driftwood</t>
  </si>
  <si>
    <t>Warwick Juno (Continuous) Sheer Flint</t>
  </si>
  <si>
    <t>Warwick Juno (Continuous) Sheer Frost</t>
  </si>
  <si>
    <t>Warwick Juno (Continuous) Sheer Java</t>
  </si>
  <si>
    <t>Warwick Juno (Continuous) Sheer Lead</t>
  </si>
  <si>
    <t>Warwick Juno (Continuous) Sheer Linen</t>
  </si>
  <si>
    <t>Warwick Juno (Continuous) Sheer Meteorite</t>
  </si>
  <si>
    <t>Warwick Juno (Continuous) Sheer Raffia</t>
  </si>
  <si>
    <t>Warwick Juno (Continuous) Sheer TBA</t>
  </si>
  <si>
    <t>Warwick Juno (Drop) Sheer Chalk</t>
  </si>
  <si>
    <t>Warwick Juno (Drop) Sheer Driftwood</t>
  </si>
  <si>
    <t>Warwick Juno (Drop) Sheer Flint</t>
  </si>
  <si>
    <t>Warwick Juno (Drop) Sheer Frost</t>
  </si>
  <si>
    <t>Warwick Juno (Drop) Sheer Java</t>
  </si>
  <si>
    <t>Warwick Juno (Drop) Sheer Lead</t>
  </si>
  <si>
    <t>Warwick Juno (Drop) Sheer Linen</t>
  </si>
  <si>
    <t>Warwick Juno (Drop) Sheer Meteorite</t>
  </si>
  <si>
    <t>Warwick Juno (Drop) Sheer Raffia</t>
  </si>
  <si>
    <t>Warwick Juno (Drop) Sheer TBA</t>
  </si>
  <si>
    <t>Maurice Kain Marsden (Continuous) Sheer Black</t>
  </si>
  <si>
    <t>Maurice Kain Marsden (Continuous) Sheer Charcoal</t>
  </si>
  <si>
    <t>Maurice Kain Marsden (Continuous) Sheer Natural</t>
  </si>
  <si>
    <t>Maurice Kain Marsden (Continuous) Sheer Silver</t>
  </si>
  <si>
    <t>Maurice Kain Marsden (Continuous) Sheer TBA</t>
  </si>
  <si>
    <t>Sonata Mallorca (Drop) Uncoated Ecru</t>
  </si>
  <si>
    <t>Sonata Mallorca (Drop) Uncoated Silver</t>
  </si>
  <si>
    <t>Sonata Mallorca (Drop) Uncoated Natural</t>
  </si>
  <si>
    <t>Sonata Mallorca (Drop) Uncoated TBA</t>
  </si>
  <si>
    <t>Plus 2 Hook Spacings Each Side</t>
  </si>
  <si>
    <t>Thru Double Bracket Projection (Front)</t>
  </si>
  <si>
    <t>Thru Double Bracket Projection (Back)</t>
  </si>
  <si>
    <t>Thru Double Bracket Projection (Front) &amp; Wall to Wall</t>
  </si>
  <si>
    <t>Thru Double Bracket Projection (Back) &amp; Wall to Wall</t>
  </si>
  <si>
    <t>Thru Triple Bracket Projection (Front)</t>
  </si>
  <si>
    <t>Thru Triple Bracket Projection (Back)</t>
  </si>
  <si>
    <t>Thru Triple Bracket Projection (Front) &amp; Wall to Wall</t>
  </si>
  <si>
    <t>Thru Triple Bracket Projection (Back) &amp; Wall to Wall</t>
  </si>
  <si>
    <t>Thru on Both Ends</t>
  </si>
  <si>
    <t>Thru on Both Ends Double Bracket Projection (Front)</t>
  </si>
  <si>
    <t>Thru on Both Ends Double Bracket Projection (Back)</t>
  </si>
  <si>
    <t>Thru on Both Ends Triple Bracket Projection (Front)</t>
  </si>
  <si>
    <t>Thru on Both Ends Triple Bracket Projection (Back)</t>
  </si>
  <si>
    <t>Butt Double Bracket Projection (Front)</t>
  </si>
  <si>
    <t>Butt Double Bracket Projection (Back)</t>
  </si>
  <si>
    <t>Butt Double Bracket Projection (Front) &amp; Wall to Wall</t>
  </si>
  <si>
    <t>Butt Double Bracket Projection (Back) &amp; Wall to Wall</t>
  </si>
  <si>
    <t>Butt Triple Bracket Projection (Front)</t>
  </si>
  <si>
    <t>Butt Triple Bracket Projection (Back)</t>
  </si>
  <si>
    <t>Butt Triple Bracket Projection (Back) &amp; Wall to Wall</t>
  </si>
  <si>
    <t>Butt on Both Ends Double Bracket Projection (Front)</t>
  </si>
  <si>
    <t>Butt on Both Ends Double Bracket Projection (Back)</t>
  </si>
  <si>
    <t>Butt Triple Bracket Projection (Front) &amp; Wall to Wall</t>
  </si>
  <si>
    <t>Butt on Both Ends</t>
  </si>
  <si>
    <t>Butt on Both Ends Triple Bracket Projection (Back)</t>
  </si>
  <si>
    <t>Butt on Both Ends Triple Bracket Projection (Front)</t>
  </si>
  <si>
    <t>Butt Double Track (Back) Triple Bracket</t>
  </si>
  <si>
    <t>Butt Double Track (Front) Triple Bracket</t>
  </si>
  <si>
    <t>Thru Double Track (Back) Triple Bracket</t>
  </si>
  <si>
    <t>Thru Double Track (Front) Triple Bracket</t>
  </si>
  <si>
    <t>Thru Double Track (Back) Triple Bracket Wall to Wall</t>
  </si>
  <si>
    <t>Butt on Both Ends Double Track Triple Bracket</t>
  </si>
  <si>
    <t>Butt Double Track (Back) Wall to Wall</t>
  </si>
  <si>
    <t>Butt Double Track (Front) Wall to Wall</t>
  </si>
  <si>
    <t>Butt on Both Ends Double Track (Back)</t>
  </si>
  <si>
    <t>Butt on Both Ends Double Track (Front)</t>
  </si>
  <si>
    <t>Thru Double Track (Back) Wall to Wall</t>
  </si>
  <si>
    <t>Thru Double Track (Front) Wall to Wall</t>
  </si>
  <si>
    <t>Thru on Both Ends Double Track (Back)</t>
  </si>
  <si>
    <t>Thru on Both Ends Double Track (Front)</t>
  </si>
  <si>
    <t>Butt Double Track (Back) Triple Bracket Wall to Wall</t>
  </si>
  <si>
    <t>Butt Double Track (Front) Triple Bracket Wall to Wall</t>
  </si>
  <si>
    <t>Butt on Both Ends Double Track Triple Bracket (Back)</t>
  </si>
  <si>
    <t>Butt on Both Ends Double Track Triple Bracket (Front)</t>
  </si>
  <si>
    <t>Thru Double Track (Front) Triple Bracket Wall to Wall</t>
  </si>
  <si>
    <t>Thru on Both Ends Double Track Triple Bracket (Back)</t>
  </si>
  <si>
    <t>Thru on Both Ends Double Track Triple Bracket (Front)</t>
  </si>
  <si>
    <t>Customer</t>
  </si>
  <si>
    <t>Plus 1 Hook Spacing Each Side</t>
  </si>
  <si>
    <t>Filigree Simplicity 300cm (Continuous) Lining Fable</t>
  </si>
  <si>
    <t>Filigree Simplicity 300cm (Continuous) Lining Vapour</t>
  </si>
  <si>
    <t>Filigree Simplicity 300cm (Continuous) Lining Cashmere</t>
  </si>
  <si>
    <t>Filigree Simplicity 300cm (Continuous) Lining Dusty</t>
  </si>
  <si>
    <t>Filigree Simplicity 300cm (Continuous) Lining Eggshell</t>
  </si>
  <si>
    <t>Filigree Simplicity 300cm (Continuous) Lining Fossil</t>
  </si>
  <si>
    <t>Filigree Simplicity 300cm (Continuous) Lining Pewter</t>
  </si>
  <si>
    <t>Filigree Simplicity 300cm (Continuous) Lining Atmosphere</t>
  </si>
  <si>
    <t>Filigree Simplicity 300cm (Continuous) Lining Moonshine</t>
  </si>
  <si>
    <t>Filigree Simplicity 300cm (Continuous) Lining Steel</t>
  </si>
  <si>
    <t>Filigree Simplicity 300cm (Continuous) Lining Storm</t>
  </si>
  <si>
    <t>Filigree Simplicity 300cm (Continuous) Lining Ebony</t>
  </si>
  <si>
    <t>Filigree Simplicity 300cm (Drop) Lining Fable</t>
  </si>
  <si>
    <t>Filigree Simplicity 300cm (Drop) Lining Vapour</t>
  </si>
  <si>
    <t>Filigree Simplicity 300cm (Drop) Lining Cashmere</t>
  </si>
  <si>
    <t>Filigree Simplicity 300cm (Drop) Lining Dusty</t>
  </si>
  <si>
    <t>Filigree Simplicity 300cm (Drop) Lining Eggshell</t>
  </si>
  <si>
    <t>Filigree Simplicity 300cm (Drop) Lining Fossil</t>
  </si>
  <si>
    <t>Filigree Simplicity 300cm (Drop) Lining Pewter</t>
  </si>
  <si>
    <t>Filigree Simplicity 300cm (Drop) Lining Atmosphere</t>
  </si>
  <si>
    <t>Filigree Simplicity 300cm (Drop) Lining Moonshine</t>
  </si>
  <si>
    <t>Filigree Simplicity 300cm (Drop) Lining Steel</t>
  </si>
  <si>
    <t>Filigree Simplicity 300cm (Drop) Lining Storm</t>
  </si>
  <si>
    <t>Filigree Simplicity 300cm (Drop) Lining Ebony</t>
  </si>
  <si>
    <t>Filigree Simplicity 320cm (Continuous) Lining White</t>
  </si>
  <si>
    <t>Filigree Simplicity 320cm (Continuous) Lining Off White</t>
  </si>
  <si>
    <t>Filigree Simplicity 320cm (Continuous) Lining Ivory</t>
  </si>
  <si>
    <t>Filigree Simplicity 320cm (Continuous) Lining TBA</t>
  </si>
  <si>
    <t>Filigree Simplicity 320cm (Drop) Lining White</t>
  </si>
  <si>
    <t>Filigree Simplicity 320cm (Drop) Lining Off White</t>
  </si>
  <si>
    <t>Filigree Simplicity 320cm (Drop) Lining Ivory</t>
  </si>
  <si>
    <t>Filigree Simplicity 320cm (Drop) Lining TBA</t>
  </si>
  <si>
    <t>Filigree Simplicity 150cm (Drop) Lining White</t>
  </si>
  <si>
    <t>Filigree Simplicity 150cm (Drop) Lining Off White</t>
  </si>
  <si>
    <t>Filigree Simplicity 150cm (Drop) Lining Ivory</t>
  </si>
  <si>
    <t>Filigree Simplicity 150cm (Drop) Lining TBA</t>
  </si>
  <si>
    <t>Maurice Kain Precision 300cm (Continuous) Lining White</t>
  </si>
  <si>
    <t>Maurice Kain Precision 300cm (Continuous) Lining Off White</t>
  </si>
  <si>
    <t>Maurice Kain Precision 300cm (Continuous) Lining Ivory</t>
  </si>
  <si>
    <t>Maurice Kain Precision 300cm (Continuous) Lining Raw</t>
  </si>
  <si>
    <t>Maurice Kain Precision 300cm (Continuous) Lining Cargo</t>
  </si>
  <si>
    <t>Maurice Kain Precision 300cm (Continuous) Lining Fog</t>
  </si>
  <si>
    <t>Maurice Kain Precision 300cm (Continuous) Lining Fable</t>
  </si>
  <si>
    <t>Maurice Kain Precision 300cm (Continuous) Lining Vapour</t>
  </si>
  <si>
    <t>Maurice Kain Precision 300cm (Continuous) Lining Cashmere</t>
  </si>
  <si>
    <t>Maurice Kain Precision 300cm (Continuous) Lining Dusty</t>
  </si>
  <si>
    <t>Maurice Kain Precision 300cm (Continuous) Lining Eggshell</t>
  </si>
  <si>
    <t>Maurice Kain Precision 300cm (Continuous) Lining Ash</t>
  </si>
  <si>
    <t>Maurice Kain Precision 300cm (Continuous) Lining Silver</t>
  </si>
  <si>
    <t>Maurice Kain Precision 300cm (Continuous) Lining Fossil</t>
  </si>
  <si>
    <t>Maurice Kain Precision 300cm (Continuous) Lining Pewter</t>
  </si>
  <si>
    <t>Maurice Kain Precision 300cm (Continuous) Lining Atmosphere</t>
  </si>
  <si>
    <t>Maurice Kain Precision 300cm (Continuous) Lining Moonshine</t>
  </si>
  <si>
    <t>Maurice Kain Precision 300cm (Continuous) Lining Stone</t>
  </si>
  <si>
    <t>Maurice Kain Precision 300cm (Continuous) Lining Steel</t>
  </si>
  <si>
    <t>Maurice Kain Precision 300cm (Continuous) Lining Storm</t>
  </si>
  <si>
    <t>Maurice Kain Precision 300cm (Continuous) Lining Cinder</t>
  </si>
  <si>
    <t>Maurice Kain Precision 300cm (Continuous) Lining Black</t>
  </si>
  <si>
    <t>Maurice Kain Precision 300cm (Continuous) Lining Ebony</t>
  </si>
  <si>
    <t>Maurice Kain Precision 300cm (Continuous) Lining TBA</t>
  </si>
  <si>
    <t>Maurice Kain Precision 300cm (Drop) Lining White</t>
  </si>
  <si>
    <t>Maurice Kain Precision 300cm (Drop) Lining Off White</t>
  </si>
  <si>
    <t>Maurice Kain Precision 300cm (Drop) Lining Ivory</t>
  </si>
  <si>
    <t>Maurice Kain Precision 300cm (Drop) Lining Raw</t>
  </si>
  <si>
    <t>Maurice Kain Precision 300cm (Drop) Lining Cargo</t>
  </si>
  <si>
    <t>Maurice Kain Precision 300cm (Drop) Lining Fog</t>
  </si>
  <si>
    <t>Maurice Kain Precision 300cm (Drop) Lining Fable</t>
  </si>
  <si>
    <t>Maurice Kain Precision 300cm (Drop) Lining Vapour</t>
  </si>
  <si>
    <t>Maurice Kain Precision 300cm (Drop) Lining Cashmere</t>
  </si>
  <si>
    <t>Maurice Kain Precision 300cm (Drop) Lining Dusty</t>
  </si>
  <si>
    <t>Maurice Kain Precision 300cm (Drop) Lining Eggshell</t>
  </si>
  <si>
    <t>Maurice Kain Precision 300cm (Drop) Lining Ash</t>
  </si>
  <si>
    <t>Maurice Kain Precision 300cm (Drop) Lining Silver</t>
  </si>
  <si>
    <t>Maurice Kain Precision 300cm (Drop) Lining Fossil</t>
  </si>
  <si>
    <t>Maurice Kain Precision 300cm (Drop) Lining Pewter</t>
  </si>
  <si>
    <t>Maurice Kain Precision 300cm (Drop) Lining Atmosphere</t>
  </si>
  <si>
    <t>Maurice Kain Precision 300cm (Drop) Lining Moonshine</t>
  </si>
  <si>
    <t>Maurice Kain Precision 300cm (Drop) Lining Stone</t>
  </si>
  <si>
    <t>Maurice Kain Precision 300cm (Drop) Lining Steel</t>
  </si>
  <si>
    <t>Maurice Kain Precision 300cm (Drop) Lining Storm</t>
  </si>
  <si>
    <t>Maurice Kain Precision 300cm (Drop) Lining Cinder</t>
  </si>
  <si>
    <t>Maurice Kain Precision 300cm (Drop) Lining Black</t>
  </si>
  <si>
    <t>Maurice Kain Precision 300cm (Drop) Lining Ebony</t>
  </si>
  <si>
    <t>Maurice Kain Precision 300cm (Drop) Lining TBA</t>
  </si>
  <si>
    <t>Maurice Kain Precision 320cm (Continuous) Lining White</t>
  </si>
  <si>
    <t>Maurice Kain Precision 320cm (Continuous) Lining Off White</t>
  </si>
  <si>
    <t>Maurice Kain Precision 320cm (Continuous) Lining Ivory</t>
  </si>
  <si>
    <t>Maurice Kain Precision 320cm (Continuous) Lining TBA</t>
  </si>
  <si>
    <t>Maurice Kain Precision 320cm (Drop) Lining White</t>
  </si>
  <si>
    <t>Maurice Kain Precision 320cm (Drop) Lining Off White</t>
  </si>
  <si>
    <t>Maurice Kain Precision 320cm (Drop) Lining Ivory</t>
  </si>
  <si>
    <t>Maurice Kain Precision 320cm (Drop) Lining TBA</t>
  </si>
  <si>
    <t>Maurice Kain Precision 150cm (Drop) Lining White</t>
  </si>
  <si>
    <t>Maurice Kain Precision 150cm (Drop) Lining Off White</t>
  </si>
  <si>
    <t>Maurice Kain Precision 150cm (Drop) Lining Ivory</t>
  </si>
  <si>
    <t>Maurice Kain Precision 150cm (Drop) Lining TBA</t>
  </si>
  <si>
    <t>Clarke &amp; Clarke Lazio (Drop) Uncoated TBA</t>
  </si>
  <si>
    <t>Clarke &amp; Clarke Lazio (Drop) Uncoated Forest</t>
  </si>
  <si>
    <t>Clarke &amp; Clarke Lazio (Drop) Uncoated Herb</t>
  </si>
  <si>
    <t>Clarke &amp; Clarke Lazio (Drop) Uncoated Bay</t>
  </si>
  <si>
    <t>Clarke &amp; Clarke Lazio (Drop) Uncoated Cranberry</t>
  </si>
  <si>
    <t>Clarke &amp; Clarke Lazio (Drop) Uncoated Spice</t>
  </si>
  <si>
    <t>Clarke &amp; Clarke Lazio (Drop) Uncoated Antique</t>
  </si>
  <si>
    <t>Clarke &amp; Clarke Lazio (Drop) Uncoated Blush</t>
  </si>
  <si>
    <t>Clarke &amp; Clarke Lazio (Drop) Uncoated Buff</t>
  </si>
  <si>
    <t>Clarke &amp; Clarke Lazio (Drop) Uncoated Feather</t>
  </si>
  <si>
    <t>Clarke &amp; Clarke Lazio (Drop) Uncoated Birch</t>
  </si>
  <si>
    <t>Clarke &amp; Clarke Lazio (Drop) Uncoated Linen</t>
  </si>
  <si>
    <t>Clarke &amp; Clarke Lazio (Drop) Uncoated Putty</t>
  </si>
  <si>
    <t>Clarke &amp; Clarke Lazio (Drop) Uncoated Ivory</t>
  </si>
  <si>
    <t>Clarke &amp; Clarke Lazio (Drop) Uncoated Polar</t>
  </si>
  <si>
    <t>Clarke &amp; Clarke Lazio (Drop) Uncoated Charcoal</t>
  </si>
  <si>
    <t>Clarke &amp; Clarke Lazio (Drop) Uncoated Gunmetal</t>
  </si>
  <si>
    <t>Clarke &amp; Clarke Lazio (Drop) Uncoated Graphite</t>
  </si>
  <si>
    <t>Clarke &amp; Clarke Lazio (Drop) Uncoated Steel</t>
  </si>
  <si>
    <t>Clarke &amp; Clarke Lazio (Drop) Uncoated Dove</t>
  </si>
  <si>
    <t>Clarke &amp; Clarke Lazio (Drop) Uncoated Ash</t>
  </si>
  <si>
    <t>Clarke &amp; Clarke Lazio (Drop) Uncoated Shale</t>
  </si>
  <si>
    <t>Clarke &amp; Clarke Lazio (Drop) Uncoated Silver</t>
  </si>
  <si>
    <t>Clarke &amp; Clarke Lazio (Drop) Uncoated Kingfisher</t>
  </si>
  <si>
    <t>Clarke &amp; Clarke Lazio (Drop) Uncoated Eau De nil</t>
  </si>
  <si>
    <t>Clarke &amp; Clarke Lazio (Drop) Uncoated Cloud</t>
  </si>
  <si>
    <t>Clarke &amp; Clarke Lazio (Drop) Uncoated Delft</t>
  </si>
  <si>
    <t>Clarke &amp; Clarke Lazio (Drop) Uncoated Denim</t>
  </si>
  <si>
    <t>Clarke &amp; Clarke Lazio (Drop) Uncoated Midnight</t>
  </si>
  <si>
    <t>Clarke &amp; Clarke Lazio (Drop) Uncoated Nordic</t>
  </si>
  <si>
    <t>Clarke &amp; Clarke Lazio (Drop) Uncoated Storm</t>
  </si>
  <si>
    <t>Hoad Damascus (Continuous) Sheer Platinum</t>
  </si>
  <si>
    <t>C4</t>
  </si>
  <si>
    <t>Hoad Damascus (Continuous) Sheer White</t>
  </si>
  <si>
    <t>Hoad Damascus (Continuous) Sheer Silver</t>
  </si>
  <si>
    <t>Hoad Damascus (Continuous) Sheer Natural</t>
  </si>
  <si>
    <t>Hoad Damascus (Continuous) Sheer Moonlight</t>
  </si>
  <si>
    <t>Hoad Damascus (Continuous) Sheer Linen</t>
  </si>
  <si>
    <t>Hoad Damascus (Continuous) Sheer TBA</t>
  </si>
  <si>
    <t>Hoad Echo (Continuous) Sheer Moonlight</t>
  </si>
  <si>
    <t>Hoad Echo (Continuous) Sheer Silver</t>
  </si>
  <si>
    <t>Hoad Echo (Continuous) Sheer Sky</t>
  </si>
  <si>
    <t>Hoad Echo (Continuous) Sheer Snow</t>
  </si>
  <si>
    <t>Hoad Echo (Continuous) Sheer Titanium</t>
  </si>
  <si>
    <t>Hoad Echo (Continuous) Sheer Stone</t>
  </si>
  <si>
    <t>Hoad Echo (Continuous) Sheer TBA</t>
  </si>
  <si>
    <t>Hoad Flaxen (Continuous) Sheer Alabaster</t>
  </si>
  <si>
    <t>Hoad Flaxen (Continuous) Sheer Dimity</t>
  </si>
  <si>
    <t>Hoad Flaxen (Continuous) Sheer Oyster</t>
  </si>
  <si>
    <t>Hoad Flaxen (Continuous) Sheer Lunar</t>
  </si>
  <si>
    <t>Hoad Flaxen (Continuous) Sheer PFP</t>
  </si>
  <si>
    <t>Hoad Flaxen (Continuous) Sheer TBA</t>
  </si>
  <si>
    <t>Hoad Magnolia (Continuous) Sheer Pearl</t>
  </si>
  <si>
    <t>Hoad Magnolia (Continuous) Sheer Ivory</t>
  </si>
  <si>
    <t>Hoad Magnolia (Continuous) Sheer Lunar</t>
  </si>
  <si>
    <t>Hoad Magnolia (Continuous) Sheer Cloud</t>
  </si>
  <si>
    <t>Hoad Magnolia (Continuous) Sheer Celeste</t>
  </si>
  <si>
    <t>Hoad Magnolia (Continuous) Sheer Charcoal</t>
  </si>
  <si>
    <t>Hoad Magnolia (Continuous) Sheer TBA</t>
  </si>
  <si>
    <t>Charles Parsons Cornelli Milano (Continuous) Sheer White</t>
  </si>
  <si>
    <t>Charles Parsons Cornelli Milano (Continuous) Sheer Champagne</t>
  </si>
  <si>
    <t>Charles Parsons Cornelli Milano (Continuous) Sheer TBA</t>
  </si>
  <si>
    <t>Charles Parsons Roebourne (Continuous) Sheer Pearl</t>
  </si>
  <si>
    <t>Charles Parsons Roebourne (Continuous) Sheer Black</t>
  </si>
  <si>
    <t>Charles Parsons Roebourne (Continuous) Sheer White</t>
  </si>
  <si>
    <t>Mokum Laconia Air (Drop) Sheer Ash</t>
  </si>
  <si>
    <t>Mokum Laconia Air (Drop) Sheer Atlantic</t>
  </si>
  <si>
    <t>Mokum Laconia Air (Drop) Sheer Ballet</t>
  </si>
  <si>
    <t>Mokum Laconia Air (Drop) Sheer Brick</t>
  </si>
  <si>
    <t>Mokum Laconia Air (Drop) Sheer Charcoal</t>
  </si>
  <si>
    <t>Mokum Laconia Air (Drop) Sheer Cloud</t>
  </si>
  <si>
    <t>Mokum Laconia Air (Drop) Sheer Dijon</t>
  </si>
  <si>
    <t>Mokum Laconia Air (Drop) Sheer Dust</t>
  </si>
  <si>
    <t>Mokum Laconia Air (Drop) Sheer Frost</t>
  </si>
  <si>
    <t>Mokum Laconia Air (Drop) Sheer Granite</t>
  </si>
  <si>
    <t>Mokum Laconia Air (Drop) Sheer Haze</t>
  </si>
  <si>
    <t>Mokum Laconia Air (Drop) Sheer Hemp</t>
  </si>
  <si>
    <t>Mokum Laconia Air (Drop) Sheer Lichen</t>
  </si>
  <si>
    <t>Mokum Laconia Air (Drop) Sheer Linen</t>
  </si>
  <si>
    <t>Mokum Laconia Air (Drop) Sheer Metal</t>
  </si>
  <si>
    <t>Mokum Laconia Air (Drop) Sheer River</t>
  </si>
  <si>
    <t>Mokum Laconia Air (Drop) Sheer Rust</t>
  </si>
  <si>
    <t>Mokum Laconia Air (Drop) Sheer Silver</t>
  </si>
  <si>
    <t>Mokum Laconia Air (Drop) Sheer Swan</t>
  </si>
  <si>
    <t>Mokum Laconia Air (Drop) Sheer TBA</t>
  </si>
  <si>
    <t>Zepel Allusion (Drop) Sheer Snow</t>
  </si>
  <si>
    <t>Warwick Wells (Drop) Uncoated Abyss</t>
  </si>
  <si>
    <t>37% Viscose 24% Polyester 20% Cotton 19% Linen</t>
  </si>
  <si>
    <t>Warwick Wells (Drop) Uncoated Amalfi</t>
  </si>
  <si>
    <t>Warwick Wells (Drop) Uncoated Atoll</t>
  </si>
  <si>
    <t>Warwick Wells (Drop) Uncoated Driftwood</t>
  </si>
  <si>
    <t>Warwick Wells (Drop) Uncoated Ice</t>
  </si>
  <si>
    <t>Warwick Wells (Drop) Uncoated Lemon</t>
  </si>
  <si>
    <t>Warwick Wells (Drop) Uncoated Linen</t>
  </si>
  <si>
    <t>Warwick Wells (Drop) Uncoated Marble</t>
  </si>
  <si>
    <t>Warwick Wells (Drop) Uncoated Musk</t>
  </si>
  <si>
    <t>Warwick Wells (Drop) Uncoated Onyx</t>
  </si>
  <si>
    <t>Warwick Wells (Drop) Uncoated Peach</t>
  </si>
  <si>
    <t>Warwick Wells (Drop) Uncoated Steel</t>
  </si>
  <si>
    <t>Warwick Wells (Drop) Uncoated TBA</t>
  </si>
  <si>
    <t>Zepel Allusion (Continuous) Sheer Snow</t>
  </si>
  <si>
    <t>Charles Parsons Beverly Hills (Continuous) Sheer Frost</t>
  </si>
  <si>
    <t>Charles Parsons Beverly Hills (Continuous) Sheer Liquorice</t>
  </si>
  <si>
    <t>Charles Parsons Beverly Hills (Continuous) Sheer Macadamia</t>
  </si>
  <si>
    <t>Charles Parsons Beverly Hills (Continuous) Sheer Pewter</t>
  </si>
  <si>
    <t>Charles Parsons Beverly Hills (Continuous) Sheer Sable</t>
  </si>
  <si>
    <t>Charles Parsons Beverly Hills (Continuous) Sheer Silver</t>
  </si>
  <si>
    <t>Charles Parsons Beverly Hills (Continuous) Sheer Slate</t>
  </si>
  <si>
    <t>Charles Parsons Beverly Hills (Continuous) Sheer White</t>
  </si>
  <si>
    <t>Charles Parsons Beverly Hills (Continuous) Sheer TBA</t>
  </si>
  <si>
    <t>Slender Morris Country Journal (Drop) Uncoated Blue Mist</t>
  </si>
  <si>
    <t>84% Cotton 16% Polyester</t>
  </si>
  <si>
    <t>Slender Morris Country Journal (Drop) Uncoated Denim</t>
  </si>
  <si>
    <t>Slender Morris Country Journal (Drop) Uncoated Dove</t>
  </si>
  <si>
    <t>Slender Morris Country Journal (Drop) Uncoated Rosa</t>
  </si>
  <si>
    <t>Slender Morris Country Journal (Drop) Uncoated Fern</t>
  </si>
  <si>
    <t>Slender Morris Country Journal (Drop) Uncoated TBA</t>
  </si>
  <si>
    <t>Hoad Mondo 320 (Continuous) Sheer Black</t>
  </si>
  <si>
    <t>Hoad Mondo 320 (Continuous) Sheer Chalk</t>
  </si>
  <si>
    <t>Hoad Mondo 320 (Continuous) Sheer Linen</t>
  </si>
  <si>
    <t>Hoad Mondo 320 (Continuous) Sheer Moonlight</t>
  </si>
  <si>
    <t>Hoad Mondo 320 (Continuous) Sheer Natural</t>
  </si>
  <si>
    <t>Hoad Mondo 320 (Continuous) Sheer Oyster</t>
  </si>
  <si>
    <t>Hoad Mondo 320 (Continuous) Sheer Platinum</t>
  </si>
  <si>
    <t>Hoad Mondo 320 (Continuous) Sheer Rope</t>
  </si>
  <si>
    <t>Hoad Mondo 320 (Continuous) Sheer Titanium</t>
  </si>
  <si>
    <t>Hoad Mondo 320 (Continuous) Sheer White</t>
  </si>
  <si>
    <t>Hoad Mondo 320 (Continuous) Sheer Twine</t>
  </si>
  <si>
    <t>Hoad Mondo 320 (Continuous) Sheer Svelt</t>
  </si>
  <si>
    <t>Hoad Mondo 320 (Continuous) Sheer Sea</t>
  </si>
  <si>
    <t>Hoad Mondo 320 (Continuous) Sheer Lichen</t>
  </si>
  <si>
    <t>Hoad Mondo 320 (Continuous) Sheer Dove</t>
  </si>
  <si>
    <t>Hoad Mondo 320 (Continuous) Sheer Charcoal</t>
  </si>
  <si>
    <t>Hoad Mondo 320 (Continuous) Sheer Almond</t>
  </si>
  <si>
    <t>Hoad Mondo 320 (Continuous) Sheer TBA</t>
  </si>
  <si>
    <t>Warwick Panay (Continuous) Sheer White</t>
  </si>
  <si>
    <t>Warwick Panay (Continuous) Sheer Ivory</t>
  </si>
  <si>
    <t>Warwick Panay (Continuous) Sheer Linen</t>
  </si>
  <si>
    <t>Warwick Panay (Continuous) Sheer Mink</t>
  </si>
  <si>
    <t>Warwick Panay (Continuous) Sheer Rose</t>
  </si>
  <si>
    <t>Warwick Panay (Continuous) Sheer Shell</t>
  </si>
  <si>
    <t>Warwick Panay (Continuous) Sheer Pear</t>
  </si>
  <si>
    <t>Warwick Panay (Continuous) Sheer Sage</t>
  </si>
  <si>
    <t>Warwick Panay (Continuous) Sheer Mint</t>
  </si>
  <si>
    <t>Warwick Panay (Continuous) Sheer Flint</t>
  </si>
  <si>
    <t>Warwick Panay (Continuous) Sheer Denim</t>
  </si>
  <si>
    <t>Warwick Panay (Continuous) Sheer Navy</t>
  </si>
  <si>
    <t>Warwick Panay (Continuous) Sheer Charcoal</t>
  </si>
  <si>
    <t>Warwick Panay (Continuous) Sheer Slate</t>
  </si>
  <si>
    <t>Warwick Panay (Continuous) Sheer Gunmetal</t>
  </si>
  <si>
    <t>Warwick Panay (Continuous) Sheer Fossil</t>
  </si>
  <si>
    <t>Warwick Panay (Continuous) Sheer Silver</t>
  </si>
  <si>
    <t>Warwick Panay (Continuous) Sheer Cloud</t>
  </si>
  <si>
    <t>Warwick Panay (Continuous) Sheer TBA</t>
  </si>
  <si>
    <t>Hoad Breeze (Continuous) Sheer Ash</t>
  </si>
  <si>
    <t>Hoad Breeze (Continuous) Sheer Charcoal</t>
  </si>
  <si>
    <t>Hoad Breeze (Continuous) Sheer Flax</t>
  </si>
  <si>
    <t>Hoad Breeze (Continuous) Sheer Graphite</t>
  </si>
  <si>
    <t>Hoad Breeze (Continuous) Sheer Lichen</t>
  </si>
  <si>
    <t>Hoad Breeze (Continuous) Sheer Linen</t>
  </si>
  <si>
    <t>Hoad Breeze (Continuous) Sheer Natural</t>
  </si>
  <si>
    <t>Hoad Breeze (Continuous) Sheer Rope</t>
  </si>
  <si>
    <t>Hoad Breeze (Continuous) Sheer TBA</t>
  </si>
  <si>
    <t>Hoad Breeze (Continuous) Sheer White</t>
  </si>
  <si>
    <t>Maurice Kain Mayflower (Continuous) Sheer Ash</t>
  </si>
  <si>
    <t>Maurice Kain Mayflower (Continuous) Sheer Domino</t>
  </si>
  <si>
    <t>Maurice Kain Mayflower (Continuous) Sheer Marble</t>
  </si>
  <si>
    <t>Maurice Kain Mayflower (Continuous) Sheer Shadow</t>
  </si>
  <si>
    <t>Maurice Kain Mayflower (Continuous) Sheer Snow</t>
  </si>
  <si>
    <t>Maurice Kain Mayflower (Continuous) Sheer TBA</t>
  </si>
  <si>
    <t>Warwick Orleans (Drop) Uncoated Asphalt</t>
  </si>
  <si>
    <t>64% Polyester 36% Cotton</t>
  </si>
  <si>
    <t>Warwick Orleans (Drop) Uncoated Bone</t>
  </si>
  <si>
    <t>Warwick Orleans (Drop) Uncoated Capri</t>
  </si>
  <si>
    <t>Warwick Orleans (Drop) Uncoated Chili</t>
  </si>
  <si>
    <t>Warwick Orleans (Drop) Uncoated Clover</t>
  </si>
  <si>
    <t>Warwick Orleans (Drop) Uncoated Cocoa</t>
  </si>
  <si>
    <t>Warwick Orleans (Drop) Uncoated Driftwood</t>
  </si>
  <si>
    <t>Warwick Orleans (Drop) Uncoated Evergreen</t>
  </si>
  <si>
    <t>Warwick Orleans (Drop) Uncoated Fawn</t>
  </si>
  <si>
    <t>Warwick Orleans (Drop) Uncoated Fog</t>
  </si>
  <si>
    <t>Warwick Orleans (Drop) Uncoated Ginger</t>
  </si>
  <si>
    <t>Warwick Orleans (Drop) Uncoated Grape</t>
  </si>
  <si>
    <t>Warwick Orleans (Drop) Uncoated Hibiscus</t>
  </si>
  <si>
    <t>Warwick Orleans (Drop) Uncoated Honey</t>
  </si>
  <si>
    <t>Warwick Orleans (Drop) Uncoated Jet</t>
  </si>
  <si>
    <t>Warwick Orleans (Drop) Uncoated Laveneder</t>
  </si>
  <si>
    <t>Warwick Orleans (Drop) Uncoated Lichen</t>
  </si>
  <si>
    <t>Warwick Orleans (Drop) Uncoated Marine</t>
  </si>
  <si>
    <t>Warwick Orleans (Drop) Uncoated Moss</t>
  </si>
  <si>
    <t>Warwick Orleans (Drop) Uncoated Navy</t>
  </si>
  <si>
    <t>Warwick Orleans (Drop) Uncoated Orchid</t>
  </si>
  <si>
    <t>Warwick Orleans (Drop) Uncoated Oyster</t>
  </si>
  <si>
    <t>Warwick Orleans (Drop) Uncoated Pinecone</t>
  </si>
  <si>
    <t>Warwick Orleans (Drop) Uncoated Pumice</t>
  </si>
  <si>
    <t>Warwick Orleans (Drop) Uncoated Rhubarb</t>
  </si>
  <si>
    <t>Warwick Orleans (Drop) Uncoated Scuba</t>
  </si>
  <si>
    <t>Warwick Orleans (Drop) Uncoated Seafoam</t>
  </si>
  <si>
    <t>Warwick Orleans (Drop) Uncoated Sky</t>
  </si>
  <si>
    <t>Warwick Orleans (Drop) Uncoated Snow</t>
  </si>
  <si>
    <t>Warwick Orleans (Drop) Uncoated Storm</t>
  </si>
  <si>
    <t>Warwick Orleans (Drop) Uncoated Surf</t>
  </si>
  <si>
    <t>Warwick Orleans (Drop) Uncoated Tapioca</t>
  </si>
  <si>
    <t>Warwick Orleans (Drop) Uncoated Walnut</t>
  </si>
  <si>
    <t>Warwick Orleans (Drop) Uncoated TBA</t>
  </si>
  <si>
    <t>Maurice Kain Phonic (Drop) Uncoated Carbon</t>
  </si>
  <si>
    <t>Maurice Kain Phonic (Drop) Uncoated Charcoal</t>
  </si>
  <si>
    <t>Maurice Kain Phonic (Drop) Uncoated Slate</t>
  </si>
  <si>
    <t>Maurice Kain Phonic (Drop) Uncoated Ash</t>
  </si>
  <si>
    <t>Maurice Kain Phonic (Drop) Uncoated Shell</t>
  </si>
  <si>
    <t>Maurice Kain Phonic (Drop) Uncoated Natural</t>
  </si>
  <si>
    <t>Maurice Kain Phonic (Drop) Uncoated Linen</t>
  </si>
  <si>
    <t>Maurice Kain Phonic (Drop) Uncoated Nutmeg</t>
  </si>
  <si>
    <t>Maurice Kain Phonic (Drop) Uncoated Stone</t>
  </si>
  <si>
    <t>Maurice Kain Phonic (Drop) Uncoated Woodlands</t>
  </si>
  <si>
    <t>Maurice Kain Phonic (Drop) Uncoated TBA</t>
  </si>
  <si>
    <t>Marco Norfolk (Drop) Uncoated White</t>
  </si>
  <si>
    <t>Marco Norfolk (Drop) Uncoated Silver</t>
  </si>
  <si>
    <t>Marco Norfolk (Drop) Uncoated Graphite</t>
  </si>
  <si>
    <t>Marco Norfolk (Drop) Uncoated Ebony</t>
  </si>
  <si>
    <t>Marco Norfolk (Drop) Uncoated Ivory</t>
  </si>
  <si>
    <t>Marco Norfolk (Drop) Uncoated Mink</t>
  </si>
  <si>
    <t>Marco Norfolk (Drop) Uncoated Flint</t>
  </si>
  <si>
    <t>Marco Norfolk (Drop) Uncoated Tungsten</t>
  </si>
  <si>
    <t>Marco Norfolk (Drop) Uncoated Chocolate</t>
  </si>
  <si>
    <t>Marco Norfolk (Drop) Uncoated Camel</t>
  </si>
  <si>
    <t>Marco Norfolk (Drop) Uncoated Dinkey</t>
  </si>
  <si>
    <t>Marco Norfolk (Drop) Uncoated Aegean</t>
  </si>
  <si>
    <t>Marco Norfolk (Drop) Uncoated Milk</t>
  </si>
  <si>
    <t>Marco Norfolk (Drop) Uncoated Pearl</t>
  </si>
  <si>
    <t>Marco Norfolk (Drop) Uncoated Latte</t>
  </si>
  <si>
    <t>Marco Norfolk (Drop) Uncoated Bronze</t>
  </si>
  <si>
    <t>Marco Norfolk (Drop) Uncoated Currant</t>
  </si>
  <si>
    <t>Marco Norfolk (Drop) Uncoated Orchid</t>
  </si>
  <si>
    <t>Marco Norfolk (Drop) Uncoated Pansy</t>
  </si>
  <si>
    <t>Marco Norfolk (Drop) Uncoated Rose</t>
  </si>
  <si>
    <t>Marco Norfolk (Drop) Uncoated Claret</t>
  </si>
  <si>
    <t>Marco Norfolk (Drop) Uncoated Pomelo</t>
  </si>
  <si>
    <t>Marco Norfolk (Drop) Uncoated Sorbet</t>
  </si>
  <si>
    <t>Marco Norfolk (Drop) Uncoated Pina</t>
  </si>
  <si>
    <t>Marco Norfolk (Drop) Uncoated Lime</t>
  </si>
  <si>
    <t>Marco Norfolk (Drop) Uncoated Olive</t>
  </si>
  <si>
    <t>Marco Norfolk (Drop) Uncoated Forest</t>
  </si>
  <si>
    <t>Marco Norfolk (Drop) Uncoated Ocean</t>
  </si>
  <si>
    <t>Marco Norfolk (Drop) Uncoated Lake</t>
  </si>
  <si>
    <t>Marco Norfolk (Drop) Uncoated Water</t>
  </si>
  <si>
    <t>Marco Norfolk (Drop) Uncoated Royale</t>
  </si>
  <si>
    <t>Marco Norfolk (Drop) Uncoated Navy</t>
  </si>
  <si>
    <t>Marco Norfolk (Drop) Uncoated TBA</t>
  </si>
  <si>
    <t>Marco Norfolk (Continuous) Uncoated White</t>
  </si>
  <si>
    <t>Marco Norfolk (Continuous) Uncoated Silver</t>
  </si>
  <si>
    <t>Marco Norfolk (Continuous) Uncoated Graphite</t>
  </si>
  <si>
    <t>Marco Norfolk (Continuous) Uncoated Ebony</t>
  </si>
  <si>
    <t>Marco Norfolk (Continuous) Uncoated Ivory</t>
  </si>
  <si>
    <t>Marco Norfolk (Continuous) Uncoated Mink</t>
  </si>
  <si>
    <t>Marco Norfolk (Continuous) Uncoated Flint</t>
  </si>
  <si>
    <t>Marco Norfolk (Continuous) Uncoated Tungsten</t>
  </si>
  <si>
    <t>Marco Norfolk (Continuous) Uncoated Chocolate</t>
  </si>
  <si>
    <t>Marco Norfolk (Continuous) Uncoated Camel</t>
  </si>
  <si>
    <t>Marco Norfolk (Continuous) Uncoated Dinkey</t>
  </si>
  <si>
    <t>Marco Norfolk (Continuous) Uncoated Aegean</t>
  </si>
  <si>
    <t>Marco Norfolk (Continuous) Uncoated Milk</t>
  </si>
  <si>
    <t>Marco Norfolk (Continuous) Uncoated Pearl</t>
  </si>
  <si>
    <t>Marco Norfolk (Continuous) Uncoated Latte</t>
  </si>
  <si>
    <t>Marco Norfolk (Continuous) Uncoated Bronze</t>
  </si>
  <si>
    <t>Marco Norfolk (Continuous) Uncoated Currant</t>
  </si>
  <si>
    <t>Marco Norfolk (Continuous) Uncoated Orchid</t>
  </si>
  <si>
    <t>Marco Norfolk (Continuous) Uncoated Pansy</t>
  </si>
  <si>
    <t>Marco Norfolk (Continuous) Uncoated Rose</t>
  </si>
  <si>
    <t>Marco Norfolk (Continuous) Uncoated Claret</t>
  </si>
  <si>
    <t>Marco Norfolk (Continuous) Uncoated Pomelo</t>
  </si>
  <si>
    <t>Marco Norfolk (Continuous) Uncoated Sorbet</t>
  </si>
  <si>
    <t>Marco Norfolk (Continuous) Uncoated Pina</t>
  </si>
  <si>
    <t>Marco Norfolk (Continuous) Uncoated Lime</t>
  </si>
  <si>
    <t>Marco Norfolk (Continuous) Uncoated Olive</t>
  </si>
  <si>
    <t>Marco Norfolk (Continuous) Uncoated Forest</t>
  </si>
  <si>
    <t>Marco Norfolk (Continuous) Uncoated Ocean</t>
  </si>
  <si>
    <t>Marco Norfolk (Continuous) Uncoated Lake</t>
  </si>
  <si>
    <t>Marco Norfolk (Continuous) Uncoated Water</t>
  </si>
  <si>
    <t>Marco Norfolk (Continuous) Uncoated Royale</t>
  </si>
  <si>
    <t>Marco Norfolk (Continuous) Uncoated Navy</t>
  </si>
  <si>
    <t>Marco Norfolk (Continuous) Uncoated TBA</t>
  </si>
  <si>
    <t>Warwick Aylesbury (Drop) Uncoated Bordeaux</t>
  </si>
  <si>
    <t>66% Polyester 34% Cotton</t>
  </si>
  <si>
    <t>Warwick Aylesbury (Drop) Uncoated Duck Egg</t>
  </si>
  <si>
    <t>Warwick Aylesbury (Drop) Uncoated Ivory</t>
  </si>
  <si>
    <t>Warwick Aylesbury (Drop) Uncoated Onyx</t>
  </si>
  <si>
    <t>Warwick Aylesbury (Drop) Uncoated Parchment</t>
  </si>
  <si>
    <t>Warwick Aylesbury (Drop) Uncoated Pewter</t>
  </si>
  <si>
    <t>Warwick Aylesbury (Drop) Uncoated Sage</t>
  </si>
  <si>
    <t>Warwick Aylesbury (Drop) Uncoated TBA</t>
  </si>
  <si>
    <t>Warwick Eastbourne (Drop) Uncoated Bordeaux</t>
  </si>
  <si>
    <t>Warwick Eastbourne (Drop) Uncoated Duck Egg</t>
  </si>
  <si>
    <t>Warwick Eastbourne (Drop) Uncoated Ivory</t>
  </si>
  <si>
    <t>Warwick Eastbourne (Drop) Uncoated Onyx</t>
  </si>
  <si>
    <t>Warwick Eastbourne (Drop) Uncoated Parchment</t>
  </si>
  <si>
    <t>Warwick Eastbourne (Drop) Uncoated Pewter</t>
  </si>
  <si>
    <t>Warwick Eastbourne (Drop) Uncoated Sage</t>
  </si>
  <si>
    <t>Warwick Eastbourne (Drop) Uncoated TBA</t>
  </si>
  <si>
    <t>Warwick Burano (Continuous) Sheer Ash</t>
  </si>
  <si>
    <t>3150</t>
  </si>
  <si>
    <t>Warwick Burano (Continuous) Sheer Bark</t>
  </si>
  <si>
    <t>Warwick Burano (Continuous) Sheer Denim</t>
  </si>
  <si>
    <t>Warwick Burano (Continuous) Sheer Dune</t>
  </si>
  <si>
    <t>Warwick Burano (Continuous) Sheer Eggshell</t>
  </si>
  <si>
    <t>Warwick Burano (Continuous) Sheer Ecucalyptus</t>
  </si>
  <si>
    <t>Warwick Burano (Continuous) Sheer Frost</t>
  </si>
  <si>
    <t>Warwick Burano (Continuous) Sheer Ivory</t>
  </si>
  <si>
    <t>Warwick Burano (Continuous) Sheer Mignight</t>
  </si>
  <si>
    <t>Warwick Burano (Continuous) Sheer Rose</t>
  </si>
  <si>
    <t>Warwick Burano (Continuous) Sheer Sand</t>
  </si>
  <si>
    <t>Warwick Burano (Continuous) Sheer Seaspray</t>
  </si>
  <si>
    <t>Warwick Burano (Continuous) Sheer Slate</t>
  </si>
  <si>
    <t>Warwick Burano (Continuous) Sheer Storm</t>
  </si>
  <si>
    <t>Warwick Burano (Continuous) Sheer Straw</t>
  </si>
  <si>
    <t>Warwick Burano (Continuous) Sheer Talc</t>
  </si>
  <si>
    <t>Warwick Burano (Continuous) Sheer Vanilla</t>
  </si>
  <si>
    <t>Warwick Burano (Continuous) Sheer TBA</t>
  </si>
  <si>
    <t>Charles Parsons Eco Line (Continuous) Lining Frost</t>
  </si>
  <si>
    <t>Charles Parsons Eco Line (Continuous) Lining Ice</t>
  </si>
  <si>
    <t>Charles Parsons Eco Line (Continuous) Lining Ivory</t>
  </si>
  <si>
    <t>Charles Parsons Eco Line (Continuous) Lining Licorice</t>
  </si>
  <si>
    <t>Charles Parsons Eco Line (Continuous) Lining Macadamia</t>
  </si>
  <si>
    <t>Charles Parsons Eco Line (Continuous) Lining Off White</t>
  </si>
  <si>
    <t>Charles Parsons Eco Line (Continuous) Lining White</t>
  </si>
  <si>
    <t>Charles Parsons Eco Line (Continuous) Lining Pewter</t>
  </si>
  <si>
    <t>Charles Parsons Eco Line (Continuous) Lining Putty</t>
  </si>
  <si>
    <t>Charles Parsons Eco Line (Continuous) Lining Shell</t>
  </si>
  <si>
    <t>Charles Parsons Eco Line (Continuous) Lining Silver</t>
  </si>
  <si>
    <t>Charles Parsons Eco Line (Continuous) Lining Sterling</t>
  </si>
  <si>
    <t>Charles Parsons Eco Line (Continuous) Lining TBA</t>
  </si>
  <si>
    <t>Charles Parsons Eco Line (Drop) Lining Frost</t>
  </si>
  <si>
    <t>Charles Parsons Eco Line (Drop) Lining Ice</t>
  </si>
  <si>
    <t>Charles Parsons Eco Line (Drop) Lining Ivory</t>
  </si>
  <si>
    <t>Charles Parsons Eco Line (Drop) Lining Licorice</t>
  </si>
  <si>
    <t>Charles Parsons Eco Line (Drop) Lining Macadamia</t>
  </si>
  <si>
    <t>Charles Parsons Eco Line (Drop) Lining Off White</t>
  </si>
  <si>
    <t>Charles Parsons Eco Line (Drop) Lining White</t>
  </si>
  <si>
    <t>Charles Parsons Eco Line (Drop) Lining Pewter</t>
  </si>
  <si>
    <t>Charles Parsons Eco Line (Drop) Lining Putty</t>
  </si>
  <si>
    <t>Charles Parsons Eco Line (Drop) Lining Shell</t>
  </si>
  <si>
    <t>Charles Parsons Eco Line (Drop) Lining Silver</t>
  </si>
  <si>
    <t>Charles Parsons Eco Line (Drop) Lining Sterling</t>
  </si>
  <si>
    <t>Charles Parsons Eco Line (Drop) Lining TBA</t>
  </si>
  <si>
    <t>Charles Parsons Hargrave (Drop) Sheer Frost</t>
  </si>
  <si>
    <t>Charles Parsons Hargrave (Drop) Sheer Lead</t>
  </si>
  <si>
    <t>Charles Parsons Hargrave (Drop) Sheer Snow</t>
  </si>
  <si>
    <t>Charles Parsons Hargrave (Drop) Sheer Optical White</t>
  </si>
  <si>
    <t>Charles Parsons Hargrave (Drop) Sheer Oyster</t>
  </si>
  <si>
    <t>Charles Parsons Hargrave (Drop) Sheer Sable</t>
  </si>
  <si>
    <t>Charles Parsons Hargrave (Drop) Sheer Silver</t>
  </si>
  <si>
    <t>Charles Parsons Hargrave (Drop) Sheer TBA</t>
  </si>
  <si>
    <t>Slender Morris Oak Leaf (Drop) Uncoated Ancanthus</t>
  </si>
  <si>
    <t>Slender Morris Oak Leaf (Drop) Uncoated Dove</t>
  </si>
  <si>
    <t>Slender Morris Oak Leaf (Drop) Uncoated Duckegg</t>
  </si>
  <si>
    <t>Slender Morris Oak Leaf (Drop) Uncoated Ebony</t>
  </si>
  <si>
    <t>Slender Morris Oak Leaf (Drop) Uncoated Flint</t>
  </si>
  <si>
    <t>Slender Morris Oak Leaf (Drop) Uncoated Gingersnap</t>
  </si>
  <si>
    <t>Slender Morris Oak Leaf (Drop) Uncoated Lemongrass</t>
  </si>
  <si>
    <t>Slender Morris Oak Leaf (Drop) Uncoated Lichen</t>
  </si>
  <si>
    <t>Slender Morris Oak Leaf (Drop) Uncoated Messai</t>
  </si>
  <si>
    <t>Slender Morris Oak Leaf (Drop) Uncoated Midnight</t>
  </si>
  <si>
    <t>Slender Morris Oak Leaf (Drop) Uncoated Nougat</t>
  </si>
  <si>
    <t>Slender Morris Oak Leaf (Drop) Uncoated Oatmeal</t>
  </si>
  <si>
    <t>Slender Morris Oak Leaf (Drop) Uncoated Ochre</t>
  </si>
  <si>
    <t>Slender Morris Oak Leaf (Drop) Uncoated Paprika</t>
  </si>
  <si>
    <t>Slender Morris Oak Leaf (Drop) Uncoated Pebble</t>
  </si>
  <si>
    <t>Slender Morris Oak Leaf (Drop) Uncoated Pewter</t>
  </si>
  <si>
    <t>Slender Morris Oak Leaf (Drop) Uncoated Pistachio</t>
  </si>
  <si>
    <t>Slender Morris Oak Leaf (Drop) Uncoated Rose</t>
  </si>
  <si>
    <t>Slender Morris Oak Leaf (Drop) Uncoated Sand</t>
  </si>
  <si>
    <t>Slender Morris Oak Leaf (Drop) Uncoated Willow</t>
  </si>
  <si>
    <t>Slender Morris Oak Leaf (Drop) Uncoated TBA</t>
  </si>
  <si>
    <t>Maurice Kain Pilbara (Drop) Sheer Pebble</t>
  </si>
  <si>
    <t>Maurice Kain Salzburg (Drop) Coated Breeze</t>
  </si>
  <si>
    <t>Maurice Kain Salzburg (Drop) Coated Cocoa</t>
  </si>
  <si>
    <t>Maurice Kain Salzburg (Drop) Coated Coven</t>
  </si>
  <si>
    <t>Maurice Kain Salzburg (Drop) Coated Mercury</t>
  </si>
  <si>
    <t>Maurice Kain Salzburg (Drop) Coated Moon</t>
  </si>
  <si>
    <t>Maurice Kain Salzburg (Drop) Coated Moss</t>
  </si>
  <si>
    <t>Maurice Kain Salzburg (Drop) Coated Mushroom</t>
  </si>
  <si>
    <t>Maurice Kain Salzburg (Drop) Coated Pearl</t>
  </si>
  <si>
    <t>Maurice Kain Salzburg (Drop) Coated Sand</t>
  </si>
  <si>
    <t>Maurice Kain Salzburg (Drop) Coated TBA</t>
  </si>
  <si>
    <t>Maurice Kain Salzburg (Drop) Coated Vellum</t>
  </si>
  <si>
    <t>Maurice Kain Mojave (Continuous) Sheer Cloud</t>
  </si>
  <si>
    <t>Maurice Kain Mojave (Continuous) Sheer Slate</t>
  </si>
  <si>
    <t>Maurice Kain Mojave (Continuous) Sheer Charcoal</t>
  </si>
  <si>
    <t>Maurice Kain Mojave (Continuous) Sheer Chalk</t>
  </si>
  <si>
    <t>Maurice Kain Mojave (Continuous) Sheer Natural</t>
  </si>
  <si>
    <t>Maurice Kain Mojave (Continuous) Sheer TBA</t>
  </si>
  <si>
    <t>Maurice Kain Tanami (Continuous) Sheer Cloud</t>
  </si>
  <si>
    <t>Maurice Kain Tanami (Continuous) Sheer Slate</t>
  </si>
  <si>
    <t>Maurice Kain Tanami (Continuous) Sheer Charcoal</t>
  </si>
  <si>
    <t>Maurice Kain Tanami (Continuous) Sheer Chalk</t>
  </si>
  <si>
    <t>Maurice Kain Tanami (Continuous) Sheer Natural</t>
  </si>
  <si>
    <t>Maurice Kain Tanami (Continuous) Sheer TBA</t>
  </si>
  <si>
    <t>Maurice Kain Kalahari (Continuous) Sheer Cloud</t>
  </si>
  <si>
    <t>Maurice Kain Kalahari (Continuous) Sheer Slate</t>
  </si>
  <si>
    <t>Maurice Kain Kalahari (Continuous) Sheer Charcoal</t>
  </si>
  <si>
    <t>Maurice Kain Kalahari (Continuous) Sheer Chalk</t>
  </si>
  <si>
    <t>Maurice Kain Kalahari (Continuous) Sheer Natural</t>
  </si>
  <si>
    <t>Maurice Kain Kalahari (Continuous) Sheer TBA</t>
  </si>
  <si>
    <t>Maurice Kain Sequoia (Continuous) Sheer Natural</t>
  </si>
  <si>
    <t>Maurice Kain Sequoia (Continuous) Sheer Chalk</t>
  </si>
  <si>
    <t>Maurice Kain Sequoia (Continuous) Sheer Cloud</t>
  </si>
  <si>
    <t>Maurice Kain Sequoia (Continuous) Sheer Slate</t>
  </si>
  <si>
    <t>Maurice Kain Sequoia (Continuous) Sheer Charcoal</t>
  </si>
  <si>
    <t>Maurice Kain Sequoia (Continuous) Sheer TBA</t>
  </si>
  <si>
    <t>Maurice Kain Sumatra (Continuous) Sheer Natural</t>
  </si>
  <si>
    <t>Maurice Kain Sumatra (Continuous) Sheer Chalk</t>
  </si>
  <si>
    <t>Maurice Kain Sumatra (Continuous) Sheer Cloud</t>
  </si>
  <si>
    <t>Maurice Kain Sumatra (Continuous) Sheer Slate</t>
  </si>
  <si>
    <t>Maurice Kain Sumatra (Continuous) Sheer Charcoal</t>
  </si>
  <si>
    <t>Maurice Kain Sumatra (Continuous) Sheer TBA</t>
  </si>
  <si>
    <t>Maurice Kain Daintree (Continuous) Sheer Natural</t>
  </si>
  <si>
    <t>Maurice Kain Daintree (Continuous) Sheer Chalk</t>
  </si>
  <si>
    <t>Maurice Kain Daintree (Continuous) Sheer Cloud</t>
  </si>
  <si>
    <t>Maurice Kain Daintree (Continuous) Sheer Slate</t>
  </si>
  <si>
    <t>Maurice Kain Daintree (Continuous) Sheer Charcoal</t>
  </si>
  <si>
    <t>Maurice Kain Daintree (Continuous) Sheer TBA</t>
  </si>
  <si>
    <t>Maurice Kain Celeste (Continuous) Sheer Charcoal</t>
  </si>
  <si>
    <t>Maurice Kain Celeste (Continuous) Sheer Silver</t>
  </si>
  <si>
    <t>Maurice Kain Celeste (Continuous) Sheer Stone</t>
  </si>
  <si>
    <t>Maurice Kain Celeste (Continuous) Sheer Ivory</t>
  </si>
  <si>
    <t>Maurice Kain Celeste (Continuous) Sheer White</t>
  </si>
  <si>
    <t>Maurice Kain Celeste (Continuous) Sheer TBA</t>
  </si>
  <si>
    <t>Maurice Kain Jupiter (Continuous) Sheer Charcoal</t>
  </si>
  <si>
    <t>Maurice Kain Jupiter (Continuous) Sheer Ivory</t>
  </si>
  <si>
    <t>Maurice Kain Jupiter (Continuous) Sheer Linen</t>
  </si>
  <si>
    <t>Maurice Kain Jupiter (Continuous) Sheer Shadow</t>
  </si>
  <si>
    <t>Maurice Kain Jupiter (Continuous) Sheer Silver</t>
  </si>
  <si>
    <t xml:space="preserve">Maurice Kain Jupiter (Continuous) Sheer Smoke </t>
  </si>
  <si>
    <t>Maurice Kain Jupiter (Continuous) Sheer Stone</t>
  </si>
  <si>
    <t>Maurice Kain Jupiter (Continuous) Sheer White</t>
  </si>
  <si>
    <t>Maurice Kain Jupiter (Continuous) Sheer TBA</t>
  </si>
  <si>
    <t>Maurice Kain Infinity (Continuous) Sheer Naturalle</t>
  </si>
  <si>
    <t>Maurice Kain Infinity (Continuous) Sheer Stone</t>
  </si>
  <si>
    <t>Maurice Kain Infinity (Continuous) Sheer TBA</t>
  </si>
  <si>
    <t>Maurice Kain Leilani (Continuous) Sheer Ash</t>
  </si>
  <si>
    <t>95% Polyester 5% Viscose</t>
  </si>
  <si>
    <t>Maurice Kain Leilani (Continuous) Sheer Ivory</t>
  </si>
  <si>
    <t>Maurice Kain Leilani (Continuous) Sheer TBA</t>
  </si>
  <si>
    <t>120mm Puddling on the floor</t>
  </si>
  <si>
    <t>Maurice Kain Meadowbank (Continuous) Sheer Blonde</t>
  </si>
  <si>
    <t>Maurice Kain Meadowbank (Continuous) Sheer Charcoal</t>
  </si>
  <si>
    <t>Maurice Kain Meadowbank (Continuous) Sheer Latte</t>
  </si>
  <si>
    <t>Maurice Kain Meadowbank (Continuous) Sheer Silver</t>
  </si>
  <si>
    <t>Maurice Kain Meadowbank (Continuous) Sheer Stone</t>
  </si>
  <si>
    <t>Maurice Kain Meadowbank (Continuous) Sheer TBA</t>
  </si>
  <si>
    <t>Maurice Kain Walk Out (Continuous) Sheer Multi</t>
  </si>
  <si>
    <t>Maurice Kain Walk Out (Continuous) Sheer TBA</t>
  </si>
  <si>
    <t>Maurice Kain Harrington (Continuous) Sheer Blonde</t>
  </si>
  <si>
    <t>Maurice Kain Harrington (Continuous) Sheer Naturalle</t>
  </si>
  <si>
    <t>Maurice Kain Harrington (Continuous) Sheer Pumice</t>
  </si>
  <si>
    <t>Maurice Kain Harrington (Continuous) Sheer TBA</t>
  </si>
  <si>
    <t>Maurice Kain Louisiana (Continuous) Sheer Aqua</t>
  </si>
  <si>
    <t>Maurice Kain Louisiana (Continuous) Sheer Ash</t>
  </si>
  <si>
    <t>Maurice Kain Louisiana (Continuous) Sheer Glow</t>
  </si>
  <si>
    <t>Maurice Kain Louisiana (Continuous) Sheer TBA</t>
  </si>
  <si>
    <t>Maurice Kain Chisholm (Continuous) Sheer Blonde</t>
  </si>
  <si>
    <t>Maurice Kain Chisholm (Continuous) Sheer Latte</t>
  </si>
  <si>
    <t>Maurice Kain Chisholm (Continuous) Sheer Slate</t>
  </si>
  <si>
    <t>Maurice Kain Chisholm (Continuous) Sheer Stone</t>
  </si>
  <si>
    <t>Maurice Kain Chisholm (Continuous) Sheer TBA</t>
  </si>
  <si>
    <t>Maurice Kain Sequence (Continuous) Sheer Fossil</t>
  </si>
  <si>
    <t>Maurice Kain Sequence (Continuous) Sheer Ocean</t>
  </si>
  <si>
    <t>Maurice Kain Sequence (Continuous) Sheer Storm</t>
  </si>
  <si>
    <t>Maurice Kain Sequence (Continuous) Sheer TBA</t>
  </si>
  <si>
    <t>3 Pass (Drop) Lining White</t>
  </si>
  <si>
    <t>Hoad Horizon (Drop) Sheer Charcoal</t>
  </si>
  <si>
    <t>Hoad Horizon (Drop) Sheer Flax</t>
  </si>
  <si>
    <t>Hoad Horizon (Drop) Sheer Linen</t>
  </si>
  <si>
    <t>Hoad Horizon (Drop) Sheer Mist</t>
  </si>
  <si>
    <t>Hoad Horizon (Drop) Sheer Natural</t>
  </si>
  <si>
    <t>Hoad Horizon (Drop) Sheer Navy</t>
  </si>
  <si>
    <t>Hoad Horizon (Drop) Sheer Silver</t>
  </si>
  <si>
    <t>Hoad Horizon (Drop) Sheer Stone</t>
  </si>
  <si>
    <t>Hoad Horizon (Drop) Sheer White</t>
  </si>
  <si>
    <t>Hoad Horizon (Drop) Sheer TBA</t>
  </si>
  <si>
    <t>Slender Morris Aztec (Continuous) Sheer Beige</t>
  </si>
  <si>
    <t>Slender Morris Aztec (Continuous) Sheer Silver</t>
  </si>
  <si>
    <t>Slender Morris Aztec (Continuous) Sheer TBA</t>
  </si>
  <si>
    <t>Slender Morris Aztec (Continuous) Sheer White</t>
  </si>
  <si>
    <t>Slender Morris Bruges (Continuous) Sheer Beige</t>
  </si>
  <si>
    <t>Slender Morris Bruges (Continuous) Sheer Cement</t>
  </si>
  <si>
    <t>Slender Morris Bruges (Continuous) Sheer Grey</t>
  </si>
  <si>
    <t>Slender Morris Bruges (Continuous) Sheer Ivory</t>
  </si>
  <si>
    <t>Slender Morris Bruges (Continuous) Sheer Mist</t>
  </si>
  <si>
    <t>Slender Morris Bruges (Continuous) Sheer Rose</t>
  </si>
  <si>
    <t>Slender Morris Bruges (Continuous) Sheer Stone</t>
  </si>
  <si>
    <t>Slender Morris Bruges (Continuous) Sheer TBA</t>
  </si>
  <si>
    <t>Slender Morris Bruges (Continuous) Sheer White</t>
  </si>
  <si>
    <t>Slender Morris Capri (Continuous) Sheer Air Force</t>
  </si>
  <si>
    <t>Slender Morris Capri (Continuous) Sheer Aqua</t>
  </si>
  <si>
    <t>Slender Morris Capri (Continuous) Sheer Beige/Dusky Pink</t>
  </si>
  <si>
    <t>Slender Morris Capri (Continuous) Sheer Black</t>
  </si>
  <si>
    <t>Slender Morris Capri (Continuous) Sheer Brass</t>
  </si>
  <si>
    <t>Slender Morris Capri (Continuous) Sheer Charcoal</t>
  </si>
  <si>
    <t>Slender Morris Capri (Continuous) Sheer Chrome</t>
  </si>
  <si>
    <t>Slender Morris Capri (Continuous) Sheer Ice Mint</t>
  </si>
  <si>
    <t>Slender Morris Capri (Continuous) Sheer Ivory</t>
  </si>
  <si>
    <t>Slender Morris Capri (Continuous) Sheer Linen</t>
  </si>
  <si>
    <t>Slender Morris Capri (Continuous) Sheer Mist Col</t>
  </si>
  <si>
    <t>Slender Morris Capri (Continuous) Sheer Muslin</t>
  </si>
  <si>
    <t>Slender Morris Capri (Continuous) Sheer Ocean</t>
  </si>
  <si>
    <t>Slender Morris Capri (Continuous) Sheer Pearl</t>
  </si>
  <si>
    <t>Slender Morris Capri (Continuous) Sheer Platinum</t>
  </si>
  <si>
    <t>Slender Morris Capri (Continuous) Sheer Putty</t>
  </si>
  <si>
    <t>Slender Morris Capri (Continuous) Sheer Silver</t>
  </si>
  <si>
    <t>Slender Morris Capri (Continuous) Sheer Steel</t>
  </si>
  <si>
    <t>Slender Morris Capri (Continuous) Sheer TBA</t>
  </si>
  <si>
    <t>Slender Morris Capri (Continuous) Sheer Tussah</t>
  </si>
  <si>
    <t>Slender Morris Capri (Continuous) Sheer White</t>
  </si>
  <si>
    <t>Slender Morris Monte Carlo (Continuous) Sheer Ash</t>
  </si>
  <si>
    <t>Slender Morris Monte Carlo (Continuous) Sheer Creme</t>
  </si>
  <si>
    <t>Slender Morris Monte Carlo (Continuous) Sheer Crystal</t>
  </si>
  <si>
    <t>Slender Morris Monte Carlo (Continuous) Sheer Dew</t>
  </si>
  <si>
    <t>Slender Morris Monte Carlo (Continuous) Sheer Dove</t>
  </si>
  <si>
    <t>Slender Morris Monte Carlo (Continuous) Sheer Egyptian Sand</t>
  </si>
  <si>
    <t>Slender Morris Monte Carlo (Continuous) Sheer Feathery</t>
  </si>
  <si>
    <t>Slender Morris Monte Carlo (Continuous) Sheer Frost</t>
  </si>
  <si>
    <t>Slender Morris Monte Carlo (Continuous) Sheer Grey</t>
  </si>
  <si>
    <t>Slender Morris Monte Carlo (Continuous) Sheer Greystone</t>
  </si>
  <si>
    <t>Slender Morris Monte Carlo (Continuous) Sheer Iceberg</t>
  </si>
  <si>
    <t>Slender Morris Monte Carlo (Continuous) Sheer Mineral</t>
  </si>
  <si>
    <t>Slender Morris Monte Carlo (Continuous) Sheer Mist</t>
  </si>
  <si>
    <t>Slender Morris Monte Carlo (Continuous) Sheer Nougat</t>
  </si>
  <si>
    <t>Slender Morris Monte Carlo (Continuous) Sheer Oat</t>
  </si>
  <si>
    <t>Slender Morris Monte Carlo (Continuous) Sheer Oyster</t>
  </si>
  <si>
    <t>Slender Morris Monte Carlo (Continuous) Sheer Snow</t>
  </si>
  <si>
    <t>Slender Morris Monte Carlo (Continuous) Sheer Storm</t>
  </si>
  <si>
    <t>Slender Morris Monte Carlo (Continuous) Sheer TBA</t>
  </si>
  <si>
    <t>Slender Morris Monte Carlo (Continuous) Sheer Wheat</t>
  </si>
  <si>
    <t>Fabric Allowance 300cm wide $50 per metre (Continuous) TBA</t>
  </si>
  <si>
    <t>Fabric Allowance 300cm wide $50 per metre (Drop) TBA</t>
  </si>
  <si>
    <t>Fabric Allowance 300cm wide $60 per meter (Drop) TBA</t>
  </si>
  <si>
    <t>Fabric Allowance 300cm wide $60 per metre (Continuous) TBA</t>
  </si>
  <si>
    <t>Fabric Allowance 300cm wide $80 per meter (Drop) TBA</t>
  </si>
  <si>
    <t>Fabric Allowance 300cm wide $80 per metre (Continuous) TBA</t>
  </si>
  <si>
    <t>Fabric Allowance 300cm wide $100 per metre (Drop) TBA</t>
  </si>
  <si>
    <t>Fabric Allowance 300cm wide $100 per metre (Continuous) TBA</t>
  </si>
  <si>
    <t>Fabric Allowance 140cm wide $100 per metre (Drop) TBA</t>
  </si>
  <si>
    <t>Fabric Allowance 140cm wide $60 per meter (Drop) TBA</t>
  </si>
  <si>
    <t>Fabric Allowance 140cm wide $80 per meter (Drop) TBA</t>
  </si>
  <si>
    <t>Hoad Spectrum (Continuous) Sheer Clay</t>
  </si>
  <si>
    <t>Hoad Spectrum (Continuous) Sheer Ivory</t>
  </si>
  <si>
    <t>Hoad Spectrum (Continuous) Sheer Moonlight</t>
  </si>
  <si>
    <t>Hoad Spectrum (Continuous) Sheer Natuarl</t>
  </si>
  <si>
    <t>Hoad Spectrum (Continuous) Sheer Quartz</t>
  </si>
  <si>
    <t>Hoad Spectrum (Continuous) Sheer Rope</t>
  </si>
  <si>
    <t>Hoad Spectrum (Continuous) Sheer TBA</t>
  </si>
  <si>
    <t>Hoad Spectrum (Continuous) Sheer White</t>
  </si>
  <si>
    <t>Warwick Utopia (Drop) Uncoated Coal</t>
  </si>
  <si>
    <t>Warwick Utopia (Drop) Uncoated Delft</t>
  </si>
  <si>
    <t>Warwick Utopia (Drop) Uncoated Divine</t>
  </si>
  <si>
    <t>Warwick Utopia (Drop) Uncoated Dove</t>
  </si>
  <si>
    <t>Warwick Utopia (Drop) Uncoated Ebony</t>
  </si>
  <si>
    <t>Warwick Utopia (Drop) Uncoated Espresso</t>
  </si>
  <si>
    <t>Warwick Utopia (Drop) Uncoated gold</t>
  </si>
  <si>
    <t>Warwick Utopia (Drop) Uncoated Heritage</t>
  </si>
  <si>
    <t>Warwick Utopia (Drop) Uncoated Honey</t>
  </si>
  <si>
    <t>Warwick Utopia (Drop) Uncoated Lavender</t>
  </si>
  <si>
    <t>Warwick Utopia (Drop) Uncoated Mink</t>
  </si>
  <si>
    <t>Warwick Utopia (Drop) Uncoated Moss</t>
  </si>
  <si>
    <t>Warwick Utopia (Drop) Uncoated Mushroom</t>
  </si>
  <si>
    <t>Warwick Utopia (Drop) Uncoated Ocean</t>
  </si>
  <si>
    <t>Warwick Utopia (Drop) Uncoated Peacock</t>
  </si>
  <si>
    <t>Warwick Utopia (Drop) Uncoated Red</t>
  </si>
  <si>
    <t>Warwick Utopia (Drop) Uncoated Royal</t>
  </si>
  <si>
    <t>Warwick Utopia (Drop) Uncoated Seaspray</t>
  </si>
  <si>
    <t>Warwick Utopia (Drop) Uncoated Slate</t>
  </si>
  <si>
    <t>Warwick Utopia (Drop) Uncoated Snow</t>
  </si>
  <si>
    <t>Warwick Utopia (Drop) Uncoated Spruce</t>
  </si>
  <si>
    <t>Warwick Utopia (Drop) Uncoated TBA</t>
  </si>
  <si>
    <t>Studio G Riverside Linen (Drop) Uncoated F1171/01</t>
  </si>
  <si>
    <t>80% Cotton 20% Polyester</t>
  </si>
  <si>
    <t>Studio G Droplet Cream (Drop) Uncoated F1151/01</t>
  </si>
  <si>
    <t>Studio G Walkies Linen (Drop) Uncoated F1176/01</t>
  </si>
  <si>
    <t>Studio G Fall Cream (Drop) Uncoated F1152/01</t>
  </si>
  <si>
    <t>Sekers Juno (Drop) Sheer Storm</t>
  </si>
  <si>
    <t>80% Polyester 20% Linen</t>
  </si>
  <si>
    <t>Sekers Juno (Drop) Sheer Flax</t>
  </si>
  <si>
    <t>Sekers Juno (Drop) Sheer Parchment</t>
  </si>
  <si>
    <t>Sekers Juno (Drop) Sheer Snow</t>
  </si>
  <si>
    <t>Sekers Juno (Drop) Sheer Fog</t>
  </si>
  <si>
    <t>Sekers Juno (Drop) Sheer TBA</t>
  </si>
  <si>
    <t>Charles Parsons Softdrape Plus 300cm (Continuous) Triple Weave Iceberg</t>
  </si>
  <si>
    <t>Charles Parsons Softdrape Plus 300cm (Continuous) Triple Weave Avalanche</t>
  </si>
  <si>
    <t>Charles Parsons Softdrape Plus 300cm (Continuous) Triple Weave Chalk</t>
  </si>
  <si>
    <t>Charles Parsons Softdrape Plus 300cm (Continuous) Triple Weave Pumice</t>
  </si>
  <si>
    <t>Charles Parsons Softdrape Plus 300cm (Continuous) Triple Weave Shell</t>
  </si>
  <si>
    <t>Charles Parsons Softdrape Plus 300cm (Continuous) Triple Weave Oyster</t>
  </si>
  <si>
    <t>Charles Parsons Softdrape Plus 300cm (Continuous) Triple Weave Sand</t>
  </si>
  <si>
    <t>Charles Parsons Softdrape Plus 300cm (Continuous) Triple Weave Flint</t>
  </si>
  <si>
    <t>Charles Parsons Softdrape Plus 300cm (Continuous) Triple Weave Riverstone</t>
  </si>
  <si>
    <t>Charles Parsons Softdrape Plus 300cm (Continuous) Triple Weave Smoke</t>
  </si>
  <si>
    <t>Charles Parsons Softdrape Plus 300cm (Continuous) Triple Weave Lead</t>
  </si>
  <si>
    <t>Charles Parsons Softdrape Plus 300cm (Continuous) Triple Weave Carbon</t>
  </si>
  <si>
    <t>Charles Parsons Softdrape Plus 300cm (Continuous) Triple Weave Cinnaon</t>
  </si>
  <si>
    <t>Charles Parsons Softdrape Plus 300cm (Continuous) Triple Weave Noir</t>
  </si>
  <si>
    <t>Charles Parsons Softdrape Plus 300cm (Continuous) Triple Weave Midnight</t>
  </si>
  <si>
    <t>Charles Parsons Softdrape Plus 300cm (Continuous) Triple Weave TBA</t>
  </si>
  <si>
    <t>Maurice Kain Emery (Drop) Triple Weave Ash</t>
  </si>
  <si>
    <t>Maurice Kain Emery (Drop) Triple Weave Carbon</t>
  </si>
  <si>
    <t>Maurice Kain Emery (Drop) Triple Weave Charcoal</t>
  </si>
  <si>
    <t>Maurice Kain Emery (Drop) Triple Weave Linen</t>
  </si>
  <si>
    <t>Maurice Kain Emery (Drop) Triple Weave Natural</t>
  </si>
  <si>
    <t>Maurice Kain Emery (Drop) Triple Weave Nutmeg</t>
  </si>
  <si>
    <t>Maurice Kain Emery (Drop) Triple Weave Pebble</t>
  </si>
  <si>
    <t>Maurice Kain Emery (Drop) Triple Weave Seafoam</t>
  </si>
  <si>
    <t>Maurice Kain Emery (Drop) Triple Weave Shell</t>
  </si>
  <si>
    <t>Maurice Kain Emery (Drop) Triple Weave Slate</t>
  </si>
  <si>
    <t>Maurice Kain Emery (Drop) Triple Weave Stone</t>
  </si>
  <si>
    <t>Maurice Kain Emery (Drop) Triple Weave Stormy</t>
  </si>
  <si>
    <t>Maurice Kain Emery (Drop) Triple Weave Woodland</t>
  </si>
  <si>
    <t>Maurice Kain Emery (Drop) Triple Weave TBA</t>
  </si>
  <si>
    <t>Maurice Kain Altitude (Drop) Triple Weave Carbon</t>
  </si>
  <si>
    <t>Maurice Kain Altitude (Drop) Triple Weave Charcoal</t>
  </si>
  <si>
    <t>Maurice Kain Altitude (Drop) Triple Weave Slate</t>
  </si>
  <si>
    <t>Maurice Kain Altitude (Drop) Triple Weave Ash</t>
  </si>
  <si>
    <t>Maurice Kain Altitude (Drop) Triple Weave Stormy</t>
  </si>
  <si>
    <t>Filigree Night Shade (Drop) Triple Weave Ecru</t>
  </si>
  <si>
    <t>Filigree Night Shade (Drop) Triple Weave Feather</t>
  </si>
  <si>
    <t>Filigree Night Shade (Drop) Triple Weave Stone</t>
  </si>
  <si>
    <t>Filigree Night Shade (Drop) Triple Weave Atmosphere</t>
  </si>
  <si>
    <t>Filigree Night Shade (Drop) Triple Weave Charcoal</t>
  </si>
  <si>
    <t>Filigree Night Shade (Drop) Triple Weave White</t>
  </si>
  <si>
    <t>Filigree Night Shade (Drop) Triple Weave Smoke</t>
  </si>
  <si>
    <t>Filigree Night Shade (Drop) Triple Weave Moonshine</t>
  </si>
  <si>
    <t>Filigree Night Shade (Drop) Triple Weave Porcelain</t>
  </si>
  <si>
    <t>Filigree Night Shade (Drop) Triple Weave Raw</t>
  </si>
  <si>
    <t>Filigree Night Shade (Drop) Triple Weave Eggshell</t>
  </si>
  <si>
    <t>Filigree Night Shade (Drop) Triple Weave Cashmere</t>
  </si>
  <si>
    <t>Filigree Night Shade (Drop) Triple Weave Fog</t>
  </si>
  <si>
    <t>Filigree Night Shade (Drop) Triple Weave Steel</t>
  </si>
  <si>
    <t>Filigree Night Shade (Drop) Triple Weave Black</t>
  </si>
  <si>
    <t>Filigree Twilight 300cm (Continuous) Triple Weave Ecru</t>
  </si>
  <si>
    <t>Filigree Twilight 300cm (Continuous) Triple Weave Black</t>
  </si>
  <si>
    <t>Filigree Twilight 300cm (Continuous) Triple Weave Charcoal</t>
  </si>
  <si>
    <t>Filigree Twilight 300cm (Continuous) Triple Weave Eggshell</t>
  </si>
  <si>
    <t>Filigree Twilight 300cm (Continuous) Triple Weave Feather</t>
  </si>
  <si>
    <t>Filigree Twilight 300cm (Continuous) Triple Weave Stone</t>
  </si>
  <si>
    <t>Filigree Twilight 300cm (Continuous) Triple Weave Atmosphere</t>
  </si>
  <si>
    <t>Filigree Twilight 300cm (Continuous) Triple Weave Smoke</t>
  </si>
  <si>
    <t>Filigree Twilight 300cm (Continuous) Triple Weave Steel</t>
  </si>
  <si>
    <t>Filigree Twilight 300cm (Continuous) Triple Weave TBA</t>
  </si>
  <si>
    <t>Filigree Twilight 300cm (Continuous) Triple Weave Moonshine</t>
  </si>
  <si>
    <t>Filigree Twilight 300cm (Continuous) Triple Weave White</t>
  </si>
  <si>
    <t>Filigree Twilight 300cm (Continuous) Triple Weave Porcelain</t>
  </si>
  <si>
    <t>Filigree Twilight 300cm (Continuous) Triple Weave Raw</t>
  </si>
  <si>
    <t>Filigree Twilight 300cm (Continuous) Triple Weave Cashmere</t>
  </si>
  <si>
    <t>Filigree Twilight 300cm (Continuous) Triple Weave Fog</t>
  </si>
  <si>
    <t>Filigree Night Shade (Drop) Triple Weave TBA</t>
  </si>
  <si>
    <t>Zepel Robot (Drop) Triple Weave Lead</t>
  </si>
  <si>
    <t>Zepel Robot (Drop) Triple Weave Pewter</t>
  </si>
  <si>
    <t>Zepel Robot (Drop) Triple Weave River</t>
  </si>
  <si>
    <t>Zepel Robot (Drop) Triple Weave Jewel</t>
  </si>
  <si>
    <t>Zepel Robot (Drop) Triple Weave Rust</t>
  </si>
  <si>
    <t>Zepel Robot (Drop) Triple Weave Viola</t>
  </si>
  <si>
    <t>Zepel Robot (Drop) Triple Weave Raffia</t>
  </si>
  <si>
    <t>Zepel Robot (Drop) Triple Weave String</t>
  </si>
  <si>
    <t>Zepel Robot (Drop) Triple Weave Liquorice</t>
  </si>
  <si>
    <t>Zepel Robot (Drop) Triple Weave TBA</t>
  </si>
  <si>
    <t>Zepel Robot (Drop) Triple Weave Whisper</t>
  </si>
  <si>
    <t>Zepel Science (Drop) Dim out Brick</t>
  </si>
  <si>
    <t>Zepel Science (Drop) Dim out Coffee</t>
  </si>
  <si>
    <t>Zepel Science (Drop) Dim out Fossil</t>
  </si>
  <si>
    <t>Zepel Science (Drop) Dim out Fjord</t>
  </si>
  <si>
    <t>Zepel Science (Drop) Dim out Lunar</t>
  </si>
  <si>
    <t>Zepel Science (Drop) Dim out Military</t>
  </si>
  <si>
    <t>Zepel Science (Drop) Dim out Mineral</t>
  </si>
  <si>
    <t>Zepel Science (Drop) Dim out Oyester</t>
  </si>
  <si>
    <t>Zepel Science (Drop) Dim out Pheasant</t>
  </si>
  <si>
    <t>Zepel Science (Drop) Dim out Rock</t>
  </si>
  <si>
    <t>Zepel Science (Drop) Dim out TBA</t>
  </si>
  <si>
    <t>Zepel Sinuous (Drop) Dim Out Chrome</t>
  </si>
  <si>
    <t>Zepel Sinuous (Drop) Dim Out Dice</t>
  </si>
  <si>
    <t>Zepel Sinuous (Drop) Dim Out Goat</t>
  </si>
  <si>
    <t>Zepel Sinuous (Drop) Dim Out Mist</t>
  </si>
  <si>
    <t>Zepel Sinuous (Drop) Dim Out Slate</t>
  </si>
  <si>
    <t>Zepel Sinuous (Drop) Dim Out TBA</t>
  </si>
  <si>
    <t>Zepel Sinuous (Drop) Dim Out Tin</t>
  </si>
  <si>
    <t>Zepel Summit (Drop) Dim Out Aluminium</t>
  </si>
  <si>
    <t>Zepel Summit (Drop) Dim Out Beetle</t>
  </si>
  <si>
    <t>Zepel Summit (Drop) Dim Out Brick</t>
  </si>
  <si>
    <t>Zepel Summit (Drop) Dim Out Bamboo</t>
  </si>
  <si>
    <t>Zepel Summit (Drop) Dim Out Charcoal</t>
  </si>
  <si>
    <t>Zepel Summit (Drop) Dim Out Cloud</t>
  </si>
  <si>
    <t>Zepel Summit (Drop) Dim Out Crystal</t>
  </si>
  <si>
    <t>Zepel Summit (Drop) Dim Out Chinchilla</t>
  </si>
  <si>
    <t>Zepel Summit (Drop) Dim Out Delft</t>
  </si>
  <si>
    <t>Zepel Summit (Drop) Dim Out Denim</t>
  </si>
  <si>
    <t>Zepel Summit (Drop) Dim Out Fern</t>
  </si>
  <si>
    <t>Zepel Summit (Drop) Dim Out Gargoyle</t>
  </si>
  <si>
    <t>Zepel Summit (Drop) Dim Out Grenadine</t>
  </si>
  <si>
    <t>Zepel Summit (Drop) Dim Out Harvest</t>
  </si>
  <si>
    <t>Zepel Summit (Drop) Dim Out Jute</t>
  </si>
  <si>
    <t>Zepel Summit (Drop) Dim Out Kiwi</t>
  </si>
  <si>
    <t>Zepel Summit (Drop) Dim Out Linen</t>
  </si>
  <si>
    <t>Zepel Summit (Drop) Dim Out Mandarin</t>
  </si>
  <si>
    <t>Zepel Summit (Drop) Dim Out Magenta</t>
  </si>
  <si>
    <t>Zepel Summit (Drop) Dim Out Nut</t>
  </si>
  <si>
    <t>Zepel Summit (Drop) Dim Out Pesto</t>
  </si>
  <si>
    <t>Zepel Summit (Drop) Dim Out Petal</t>
  </si>
  <si>
    <t>Zepel Summit (Drop) Dim Out Pinecone</t>
  </si>
  <si>
    <t>Zepel Summit (Drop) Dim Out Pewter</t>
  </si>
  <si>
    <t>Zepel Summit (Drop) Dim Out Pelican</t>
  </si>
  <si>
    <t>Zepel Summit (Drop) Dim Out Silver</t>
  </si>
  <si>
    <t>Zepel Summit (Drop) Dim Out Sparrow</t>
  </si>
  <si>
    <t>Zepel Summit (Drop) Dim Out Spa</t>
  </si>
  <si>
    <t>Zepel Summit (Drop) Dim Out Tangerine</t>
  </si>
  <si>
    <t>Zepel Summit (Drop) Dim Out TBA</t>
  </si>
  <si>
    <t>Maurice Kain Congo (Drop) Uncoated Natural</t>
  </si>
  <si>
    <t>Maurice Kain Congo (Drop) Uncoated Chalk</t>
  </si>
  <si>
    <t>Maurice Kain Congo (Drop) Uncoated Cloud</t>
  </si>
  <si>
    <t>Maurice Kain Congo (Drop) Uncoated Slate</t>
  </si>
  <si>
    <t>Maurice Kain Congo (Drop) Uncoated Charcoal</t>
  </si>
  <si>
    <t>Maurice Kain Congo (Drop) Uncoated TBA</t>
  </si>
  <si>
    <t>Maurice Kain Gobi (Drop) Uncoated Cloud</t>
  </si>
  <si>
    <t>Maurice Kain Gobi (Drop) Uncoated Slate</t>
  </si>
  <si>
    <t>Maurice Kain Gobi (Drop) Uncoated Charcoal</t>
  </si>
  <si>
    <t>Maurice Kain Gobi (Drop) Uncoated Chalk</t>
  </si>
  <si>
    <t>Maurice Kain Gobi (Drop) Uncoated Natural</t>
  </si>
  <si>
    <t>Maurice Kain Gobi (Drop) Uncoated TBA</t>
  </si>
  <si>
    <t>Warwick Emporium (Drop) Uncoated Blossom</t>
  </si>
  <si>
    <t>Warwick Emporium (Drop) Uncoated Brie</t>
  </si>
  <si>
    <t>Warwick Emporium (Drop) Uncoated Champagne</t>
  </si>
  <si>
    <t>Warwick Emporium (Drop) Uncoated Clay</t>
  </si>
  <si>
    <t>Warwick Emporium (Drop) Uncoated Coral</t>
  </si>
  <si>
    <t>Warwick Emporium (Drop) Uncoated Cornsilk</t>
  </si>
  <si>
    <t>Warwick Emporium (Drop) Uncoated Dew</t>
  </si>
  <si>
    <t>Warwick Emporium (Drop) Uncoated Flame</t>
  </si>
  <si>
    <t>Warwick Emporium (Drop) Uncoated Gold</t>
  </si>
  <si>
    <t>Warwick Emporium (Drop) Uncoated Granite</t>
  </si>
  <si>
    <t>Warwick Emporium (Drop) Uncoated Ink</t>
  </si>
  <si>
    <t>Warwick Emporium (Drop) Uncoated Mandarin</t>
  </si>
  <si>
    <t>Warwick Emporium (Drop) Uncoated Marine</t>
  </si>
  <si>
    <t>Warwick Emporium (Drop) Uncoated Menthol</t>
  </si>
  <si>
    <t>Warwick Emporium (Drop) Uncoated Merlot</t>
  </si>
  <si>
    <t>Warwick Emporium (Drop) Uncoated Mink</t>
  </si>
  <si>
    <t>Warwick Emporium (Drop) Uncoated Nectar</t>
  </si>
  <si>
    <t>Warwick Emporium (Drop) Uncoated Ocean</t>
  </si>
  <si>
    <t>Warwick Emporium (Drop) Uncoated Ochre</t>
  </si>
  <si>
    <t>Warwick Emporium (Drop) Uncoated Olive</t>
  </si>
  <si>
    <t>Warwick Emporium (Drop) Uncoated Orchid</t>
  </si>
  <si>
    <t>Warwick Emporium (Drop) Uncoated Oyster</t>
  </si>
  <si>
    <t>Warwick Emporium (Drop) Uncoated Peacock</t>
  </si>
  <si>
    <t>Warwick Emporium (Drop) Uncoated Pearl</t>
  </si>
  <si>
    <t>Warwick Emporium (Drop) Uncoated Poppy</t>
  </si>
  <si>
    <t>Warwick Emporium (Drop) Uncoated Reef</t>
  </si>
  <si>
    <t>Warwick Emporium (Drop) Uncoated Rust</t>
  </si>
  <si>
    <t>Warwick Emporium (Drop) Uncoated Sage</t>
  </si>
  <si>
    <t>Warwick Emporium (Drop) Uncoated Storm</t>
  </si>
  <si>
    <t>Warwick Emporium (Drop) Uncoated Tussock</t>
  </si>
  <si>
    <t xml:space="preserve">Warwick Emporium (Drop) Uncoated Vanilla </t>
  </si>
  <si>
    <t>Warwick Emporium (Drop) Uncoated Zinc</t>
  </si>
  <si>
    <t>Warwick Emporium (Drop) Uncoated TBA</t>
  </si>
  <si>
    <t>Warwick Eames (Drop) Uncoated Alabaster</t>
  </si>
  <si>
    <t>54% Polyester 25% Rayon 10% Linen 10% Cotton 1% Nylon</t>
  </si>
  <si>
    <t>Warwick Eames (Drop) Uncoated Blush</t>
  </si>
  <si>
    <t>Warwick Eames (Drop) Uncoated Charcoal</t>
  </si>
  <si>
    <t>Warwick Eames (Drop) Uncoated Denim</t>
  </si>
  <si>
    <t>Warwick Eames (Drop) Uncoated Forest</t>
  </si>
  <si>
    <t>Warwick Eames (Drop) Uncoated Fossil</t>
  </si>
  <si>
    <t>Warwick Eames (Drop) Uncoated Honey</t>
  </si>
  <si>
    <t>Warwick Eames (Drop) Uncoated Ivory</t>
  </si>
  <si>
    <t>Warwick Eames (Drop) Uncoated Java</t>
  </si>
  <si>
    <t>Warwick Eames (Drop) Uncoated Linen</t>
  </si>
  <si>
    <t>Warwick Eames (Drop) Uncoated Mint</t>
  </si>
  <si>
    <t>Warwick Eames (Drop) Uncoated Mist</t>
  </si>
  <si>
    <t>Warwick Eames (Drop) Uncoated Ochre</t>
  </si>
  <si>
    <t>Warwick Eames (Drop) Uncoated Olive</t>
  </si>
  <si>
    <t>Warwick Eames (Drop) Uncoated Parchment</t>
  </si>
  <si>
    <t>Warwick Eames (Drop) Uncoated Rose</t>
  </si>
  <si>
    <t>Warwick Eames (Drop) Uncoated Silver</t>
  </si>
  <si>
    <t>Warwick Eames (Drop) Uncoated Sky</t>
  </si>
  <si>
    <t>Warwick Eames (Drop) Uncoated Snow</t>
  </si>
  <si>
    <t>Warwick Eames (Drop) Uncoated Steel</t>
  </si>
  <si>
    <t>Warwick Eames (Drop) Uncoated TBA</t>
  </si>
  <si>
    <t>24% Polyester 37% Viscose 21% Cotton 18% Linen</t>
  </si>
  <si>
    <t>Warwick Salford (Drop) Uncoated Abyss</t>
  </si>
  <si>
    <t>24% Polyester 37% Viscose 20% Cotton 19% Linen</t>
  </si>
  <si>
    <t>Warwick Salford (Drop) Uncoated Amalfi</t>
  </si>
  <si>
    <t>Warwick Salford (Drop) Uncoated Atoll</t>
  </si>
  <si>
    <t>Warwick Salford (Drop) Uncoated Driftwood</t>
  </si>
  <si>
    <t>Warwick Salford (Drop) Uncoated Ice</t>
  </si>
  <si>
    <t>Warwick Salford (Drop) Uncoated Lemon</t>
  </si>
  <si>
    <t>Warwick Salford (Drop) Uncoated Linen</t>
  </si>
  <si>
    <t>Warwick Salford (Drop) Uncoated Marble</t>
  </si>
  <si>
    <t>Warwick Salford (Drop) Uncoated Musk</t>
  </si>
  <si>
    <t>Warwick Salford (Drop) Uncoated Onyx</t>
  </si>
  <si>
    <t>Warwick Salford (Drop) Uncoated Peach</t>
  </si>
  <si>
    <t>Warwick Salford (Drop) Uncoated Steel</t>
  </si>
  <si>
    <t>Warwick Salford (Drop) Uncoated TBA</t>
  </si>
  <si>
    <t>Warwick Plymouth (Drop) Uncoated Abyss</t>
  </si>
  <si>
    <t>Warwick Plymouth (Drop) Uncoated Amalfi</t>
  </si>
  <si>
    <t>Warwick Plymouth (Drop) Uncoated Atoll</t>
  </si>
  <si>
    <t>Warwick Plymouth (Drop) Uncoated Driftwood</t>
  </si>
  <si>
    <t>Warwick Plymouth (Drop) Uncoated Ice</t>
  </si>
  <si>
    <t>Warwick Plymouth (Drop) Uncoated Lemon</t>
  </si>
  <si>
    <t>Warwick Plymouth (Drop) Uncoated Linen</t>
  </si>
  <si>
    <t>Warwick Plymouth (Drop) Uncoated Marble</t>
  </si>
  <si>
    <t>Warwick Plymouth (Drop) Uncoated Musk</t>
  </si>
  <si>
    <t>Warwick Plymouth (Drop) Uncoated Onyx</t>
  </si>
  <si>
    <t>Warwick Plymouth (Drop) Uncoated Peach</t>
  </si>
  <si>
    <t>Warwick Plymouth (Drop) Uncoated Steel</t>
  </si>
  <si>
    <t>Warwick Plymouth (Drop) Uncoated TBA</t>
  </si>
  <si>
    <t xml:space="preserve">Slender Morris Maestro (Drop) Uncoated Lunar </t>
  </si>
  <si>
    <t>82% Polyester 18% Viscose</t>
  </si>
  <si>
    <t>Slender Morris Maestro (Drop) Uncoated Zinc</t>
  </si>
  <si>
    <t>Slender Morris Maestro (Drop) Uncoated TBA</t>
  </si>
  <si>
    <t>Slender Morris Banda (Drop) Uncoated Bamboo</t>
  </si>
  <si>
    <t>Slender Morris Banda (Drop) Uncoated Chalk</t>
  </si>
  <si>
    <t>Slender Morris Banda (Drop) Uncoated Clay</t>
  </si>
  <si>
    <t>Slender Morris Banda (Drop) Uncoated Lunar</t>
  </si>
  <si>
    <t>Slender Morris Banda (Drop) Uncoated Menta</t>
  </si>
  <si>
    <t>Slender Morris Banda (Drop) Uncoated Quartz</t>
  </si>
  <si>
    <t>Slender Morris Banda (Drop) Uncoated Zinc</t>
  </si>
  <si>
    <t>Slender Morris Banda (Drop) Uncoated TBA</t>
  </si>
  <si>
    <t>Slender Morris Tutti (Drop) Uncoated Bamboo</t>
  </si>
  <si>
    <t>Slender Morris Tutti (Drop) Uncoated Chalk</t>
  </si>
  <si>
    <t>Slender Morris Tutti (Drop) Uncoated Glacier</t>
  </si>
  <si>
    <t>Slender Morris Tutti (Drop) Uncoated Lunar</t>
  </si>
  <si>
    <t xml:space="preserve">Slender Morris Tutti (Drop) Uncoated Mauve </t>
  </si>
  <si>
    <t>Slender Morris Tutti (Drop) Uncoated Menta</t>
  </si>
  <si>
    <t>Slender Morris Tutti (Drop) Uncoated Mercury</t>
  </si>
  <si>
    <t xml:space="preserve">Slender Morris Tutti (Drop) Uncoated Mint </t>
  </si>
  <si>
    <t>Slender Morris Tutti (Drop) Uncoated Porcelain</t>
  </si>
  <si>
    <t>Slender Morris Tutti (Drop) Uncoated Quartz</t>
  </si>
  <si>
    <t>Slender Morris Tutti (Drop) Uncoated Rosequartz</t>
  </si>
  <si>
    <t xml:space="preserve">Slender Morris Tutti (Drop) Uncoated Wisteria </t>
  </si>
  <si>
    <t>Slender Morris Tutti (Drop) Uncoated Zinc</t>
  </si>
  <si>
    <t>Slender Morris Tutti (Drop) Uncoated TBA</t>
  </si>
  <si>
    <t>Maurice Kain Edgewater (Continuous) Uncoated Ash</t>
  </si>
  <si>
    <t>Maurice Kain Edgewater (Continuous) Uncoated Feather</t>
  </si>
  <si>
    <t>Maurice Kain Edgewater (Continuous) Uncoated Ink</t>
  </si>
  <si>
    <t>Maurice Kain Edgewater (Continuous) Uncoated Ivory</t>
  </si>
  <si>
    <t>Maurice Kain Edgewater (Continuous) Uncoated Linen</t>
  </si>
  <si>
    <t>Maurice Kain Edgewater (Continuous) Uncoated Mist</t>
  </si>
  <si>
    <t>Maurice Kain Edgewater (Continuous) Uncoated Natural</t>
  </si>
  <si>
    <t>Maurice Kain Edgewater (Continuous) Uncoated Shell</t>
  </si>
  <si>
    <t>Maurice Kain Edgewater (Continuous) Uncoated Slate</t>
  </si>
  <si>
    <t>Maurice Kain Edgewater (Continuous) Uncoated Smoke</t>
  </si>
  <si>
    <t>Maurice Kain Edgewater (Continuous) Uncoated Stone</t>
  </si>
  <si>
    <t>Maurice Kain Edgewater (Continuous) Uncoated White</t>
  </si>
  <si>
    <t>Maurice Kain Edgewater (Continuous) Uncoated TBA</t>
  </si>
  <si>
    <t>Sekers Dunraven (Drop) Sheer Slate</t>
  </si>
  <si>
    <t>Linen</t>
  </si>
  <si>
    <t>Sekers Dunraven (Drop) Sheer Balance</t>
  </si>
  <si>
    <t>Sekers Dunraven (Drop) Sheer Dove</t>
  </si>
  <si>
    <t>Sekers Dunraven (Drop) Sheer Flint</t>
  </si>
  <si>
    <t>Sekers Dunraven (Drop) Sheer Basalt</t>
  </si>
  <si>
    <t>Sekers Dunraven (Drop) Sheer Stonewash</t>
  </si>
  <si>
    <t>Sekers Dunraven (Drop) Sheer Parchment</t>
  </si>
  <si>
    <t>Sekers Dunraven (Drop) Sheer Bleached</t>
  </si>
  <si>
    <t>Sekers Dunraven (Drop) Sheer Milk</t>
  </si>
  <si>
    <t>Sekers Dunraven (Drop) Sheer Jute</t>
  </si>
  <si>
    <t>Sekers Dunraven (Drop) Sheer Clay</t>
  </si>
  <si>
    <t>Sekers Dunraven (Drop) Sheer Peony</t>
  </si>
  <si>
    <t>Sekers Dunraven (Drop) Sheer Duck Egg</t>
  </si>
  <si>
    <t>Sekers Dunraven (Drop) Sheer TBA</t>
  </si>
  <si>
    <t>Boldtrak Premo Double Bracket Suit 25mm on Back</t>
  </si>
  <si>
    <t>Maurice Kain Abaca (Drop) Uncoated Ash</t>
  </si>
  <si>
    <t>Maurice Kain Abaca (Drop) Uncoated Chalk</t>
  </si>
  <si>
    <t>Maurice Kain Abaca (Drop) Uncoated Charcoal</t>
  </si>
  <si>
    <t>Maurice Kain Abaca (Drop) Uncoated Cinder</t>
  </si>
  <si>
    <t>Maurice Kain Abaca (Drop) Uncoated Dove</t>
  </si>
  <si>
    <t>Maurice Kain Abaca (Drop) Uncoated Duck Egg</t>
  </si>
  <si>
    <t>Maurice Kain Abaca (Drop) Uncoated Flax</t>
  </si>
  <si>
    <t>Maurice Kain Abaca (Drop) Uncoated Fog</t>
  </si>
  <si>
    <t>Maurice Kain Abaca (Drop) Uncoated Frost</t>
  </si>
  <si>
    <t>Maurice Kain Abaca (Drop) Uncoated Ink</t>
  </si>
  <si>
    <t>Maurice Kain Abaca (Drop) Uncoated Natural</t>
  </si>
  <si>
    <t>Maurice Kain Abaca (Drop) Uncoated Pepper</t>
  </si>
  <si>
    <t>Maurice Kain Abaca (Drop) Uncoated Shadow</t>
  </si>
  <si>
    <t>Maurice Kain Abaca (Drop) Uncoated Silver</t>
  </si>
  <si>
    <t>Maurice Kain Abaca (Drop) Uncoated Taupe</t>
  </si>
  <si>
    <t>Maurice Kain Abaca (Drop) Uncoated TBA</t>
  </si>
  <si>
    <t>Maurice Kain Abaca (Drop) Uncoated Concrete</t>
  </si>
  <si>
    <t>Maurice Kain Abaca (Drop) Uncoated Mist</t>
  </si>
  <si>
    <t>Maurice Kain Abaca (Drop) Uncoated Whisper</t>
  </si>
  <si>
    <t>Maurice Kain Abaca (Drop) Uncoated Parchment</t>
  </si>
  <si>
    <t>Maurice Kain Abaca (Drop) Uncoated Dew</t>
  </si>
  <si>
    <t>Maurice Kain Abaca (Drop) Uncoated Angora</t>
  </si>
  <si>
    <t>Maurice Kain Abaca (Drop) Uncoated Almond</t>
  </si>
  <si>
    <t>Maurice Kain Abaca (Drop) Uncoated Oyster</t>
  </si>
  <si>
    <t>Maurice Kain Abaca (Drop) Uncoated Sable</t>
  </si>
  <si>
    <t>Maurice Kain Sicily (Drop) Uncoated Ash</t>
  </si>
  <si>
    <t>72% Polyester 21% Cotton</t>
  </si>
  <si>
    <t>Maurice Kain Sicily (Drop) Uncoated Mist</t>
  </si>
  <si>
    <t>Maurice Kain Sicily (Drop) Uncoated Buff</t>
  </si>
  <si>
    <t>Maurice Kain Sicily (Drop) Uncoated Charcoal</t>
  </si>
  <si>
    <t>Maurice Kain Sicily (Drop) Uncoated TBA</t>
  </si>
  <si>
    <t>Slender Morris Country Journal (Drop) Uncoated Haze</t>
  </si>
  <si>
    <t>Warwick Juliet (Drop) Uncoated Daffodil</t>
  </si>
  <si>
    <t>Warwick Juliet (Drop) Uncoated Oatmeal</t>
  </si>
  <si>
    <t>Warwick Juliet (Drop) Uncoated Onyx</t>
  </si>
  <si>
    <t>Warwick Juliet (Drop) Uncoated Pacific</t>
  </si>
  <si>
    <t>Warwick Juliet (Drop) Uncoated Rose</t>
  </si>
  <si>
    <t>Warwick Juliet (Drop) Uncoated Teal</t>
  </si>
  <si>
    <t>Warwick Juliet (Drop) Uncoated TBA</t>
  </si>
  <si>
    <t>Zepel Lux Velvet (Drop) Uncoated Aluminium</t>
  </si>
  <si>
    <t>Zepel Lux Velvet (Drop) Uncoated Antelope</t>
  </si>
  <si>
    <t>Zepel Lux Velvet (Drop) Uncoated Aqua</t>
  </si>
  <si>
    <t>Zepel Lux Velvet (Drop) Uncoated Aubergine</t>
  </si>
  <si>
    <t>Zepel Lux Velvet (Drop) Uncoated Avocado</t>
  </si>
  <si>
    <t>Zepel Lux Velvet (Drop) Uncoated Azure</t>
  </si>
  <si>
    <t>Zepel Lux Velvet (Drop) Uncoated Blue</t>
  </si>
  <si>
    <t>Zepel Lux Velvet (Drop) Uncoated Bordeaux</t>
  </si>
  <si>
    <t>Zepel Lux Velvet (Drop) Uncoated Bottle</t>
  </si>
  <si>
    <t>Zepel Lux Velvet (Drop) Uncoated Burgundy</t>
  </si>
  <si>
    <t>Zepel Lux Velvet (Drop) Uncoated Camel</t>
  </si>
  <si>
    <t>Zepel Lux Velvet (Drop) Uncoated Candy</t>
  </si>
  <si>
    <t>Zepel Lux Velvet (Drop) Uncoated Caramel</t>
  </si>
  <si>
    <t>Zepel Lux Velvet (Drop) Uncoated Carmine</t>
  </si>
  <si>
    <t>Zepel Lux Velvet (Drop) Uncoated Cerise</t>
  </si>
  <si>
    <t>Zepel Lux Velvet (Drop) Uncoated Clover</t>
  </si>
  <si>
    <t>Zepel Lux Velvet (Drop) Uncoated Cocoa</t>
  </si>
  <si>
    <t>Zepel Lux Velvet (Drop) Uncoated Coffee</t>
  </si>
  <si>
    <t>Zepel Lux Velvet (Drop) Uncoated Cranberry</t>
  </si>
  <si>
    <t>Zepel Lux Velvet (Drop) Uncoated Crimson</t>
  </si>
  <si>
    <t>Zepel Lux Velvet (Drop) Uncoated Damson</t>
  </si>
  <si>
    <t>Zepel Lux Velvet (Drop) Uncoated Duckegg</t>
  </si>
  <si>
    <t>Zepel Lux Velvet (Drop) Uncoated Dusk</t>
  </si>
  <si>
    <t>Zepel Lux Velvet (Drop) Uncoated Ebony</t>
  </si>
  <si>
    <t>Zepel Lux Velvet (Drop) Uncoated Forest</t>
  </si>
  <si>
    <t>Zepel Lux Velvet (Drop) Uncoated Gold</t>
  </si>
  <si>
    <t>Zepel Lux Velvet (Drop) Uncoated Grey</t>
  </si>
  <si>
    <t>Zepel Lux Velvet (Drop) Uncoated Honey</t>
  </si>
  <si>
    <t>Zepel Lux Velvet (Drop) Uncoated Ivory</t>
  </si>
  <si>
    <t>Zepel Lux Velvet (Drop) Uncoated Linen</t>
  </si>
  <si>
    <t>Zepel Lux Velvet (Drop) Uncoated Midnight</t>
  </si>
  <si>
    <t>Zepel Lux Velvet (Drop) Uncoated Mint</t>
  </si>
  <si>
    <t>Zepel Lux Velvet (Drop) Uncoated Mocha</t>
  </si>
  <si>
    <t>Zepel Lux Velvet (Drop) Uncoated Moss</t>
  </si>
  <si>
    <t>Zepel Lux Velvet (Drop) Uncoated Nut</t>
  </si>
  <si>
    <t>Zepel Lux Velvet (Drop) Uncoated Olive</t>
  </si>
  <si>
    <t>Zepel Lux Velvet (Drop) Uncoated Orange</t>
  </si>
  <si>
    <t>Zepel Lux Velvet (Drop) Uncoated Orchid</t>
  </si>
  <si>
    <t>Zepel Lux Velvet (Drop) Uncoated Pea Green</t>
  </si>
  <si>
    <t>Zepel Lux Velvet (Drop) Uncoated Pink</t>
  </si>
  <si>
    <t>Zepel Lux Velvet (Drop) Uncoated Poppy</t>
  </si>
  <si>
    <t>Zepel Lux Velvet (Drop) Uncoated Port</t>
  </si>
  <si>
    <t>Zepel Lux Velvet (Drop) Uncoated Saffron</t>
  </si>
  <si>
    <t>Zepel Lux Velvet (Drop) Uncoated Sky</t>
  </si>
  <si>
    <t>Zepel Lux Velvet (Drop) Uncoated Smoke</t>
  </si>
  <si>
    <t>Zepel Lux Velvet (Drop) Uncoated Strawberry</t>
  </si>
  <si>
    <t>Zepel Lux Velvet (Drop) Uncoated Teal</t>
  </si>
  <si>
    <t>Zepel Lux Velvet (Drop) Uncoated Terracotta</t>
  </si>
  <si>
    <t>Zepel Lux Velvet (Drop) Uncoated Wine</t>
  </si>
  <si>
    <t>Zepel Lux Velvet (Drop) Uncoated TBA</t>
  </si>
  <si>
    <t>Charles Parsons Hargrave (Continuous) Sheer Pearl</t>
  </si>
  <si>
    <t>Wilson Broome II (Drop) Coated Aluminium</t>
  </si>
  <si>
    <t>Wilson Broome II (Drop) Coated Bluewash</t>
  </si>
  <si>
    <t>Wilson Broome II (Drop) Coated Cream</t>
  </si>
  <si>
    <t>Wilson Broome II (Drop) Coated Mink</t>
  </si>
  <si>
    <t>Wilson Broome II (Drop) Coated Monument</t>
  </si>
  <si>
    <t>Wilson Broome II (Drop) Coated Nomad</t>
  </si>
  <si>
    <t>Wilson Broome II (Drop) Coated Off White</t>
  </si>
  <si>
    <t>Wilson Broome II (Drop) Coated Parchment</t>
  </si>
  <si>
    <t>Wilson Broome II (Drop) Coated Pewter</t>
  </si>
  <si>
    <t>Wilson Broome II (Drop) Coated Platinum</t>
  </si>
  <si>
    <t>Wilson Broome II (Drop) Coated Sand</t>
  </si>
  <si>
    <t>Wilson Broome II (Drop) Coated Snow</t>
  </si>
  <si>
    <t>Wilson Broome II (Drop) Coated Stone</t>
  </si>
  <si>
    <t>Wilson Broome II (Drop) Coated TBA</t>
  </si>
  <si>
    <t>Slender Morris Milan (Continuous) Sheer Almond</t>
  </si>
  <si>
    <t>Slender Morris Milan (Continuous) Sheer Baby Pink</t>
  </si>
  <si>
    <t>Slender Morris Milan (Continuous) Sheer Black</t>
  </si>
  <si>
    <t>Slender Morris Milan (Continuous) Sheer Charcoal</t>
  </si>
  <si>
    <t>Slender Morris Milan (Continuous) Sheer Dune</t>
  </si>
  <si>
    <t>Slender Morris Milan (Continuous) Sheer Feather</t>
  </si>
  <si>
    <t>Slender Morris Milan (Continuous) Sheer Flax</t>
  </si>
  <si>
    <t>Slender Morris Milan (Continuous) Sheer Grey Stoke</t>
  </si>
  <si>
    <t>Slender Morris Milan (Continuous) Sheer Iceberg</t>
  </si>
  <si>
    <t>Slender Morris Milan (Continuous) Sheer Ivory</t>
  </si>
  <si>
    <t>Slender Morris Milan (Continuous) Sheer Lino</t>
  </si>
  <si>
    <t>Slender Morris Milan (Continuous) Sheer Marble</t>
  </si>
  <si>
    <t>Slender Morris Milan (Continuous) Sheer Milky</t>
  </si>
  <si>
    <t>Slender Morris Milan (Continuous) Sheer Misty</t>
  </si>
  <si>
    <t>Slender Morris Milan (Continuous) Sheer Navy</t>
  </si>
  <si>
    <t>Slender Morris Milan (Continuous) Sheer Nougat</t>
  </si>
  <si>
    <t>Slender Morris Milan (Continuous) Sheer Oyster</t>
  </si>
  <si>
    <t>Slender Morris Milan (Continuous) Sheer Sea Grass</t>
  </si>
  <si>
    <t>Slender Morris Milan (Continuous) Sheer Seamist</t>
  </si>
  <si>
    <t>Slender Morris Milan (Continuous) Sheer Smoke</t>
  </si>
  <si>
    <t>Slender Morris Milan (Continuous) Sheer Storm</t>
  </si>
  <si>
    <t>Slender Morris Milan (Continuous) Sheer TBA</t>
  </si>
  <si>
    <t>Slender Morris Portofino (Continuous) Sheer Charcoal</t>
  </si>
  <si>
    <t>Slender Morris Portofino (Continuous) Sheer Grey</t>
  </si>
  <si>
    <t>Slender Morris Portofino (Continuous) Sheer Pewter</t>
  </si>
  <si>
    <t>Slender Morris Portofino (Continuous) Sheer White</t>
  </si>
  <si>
    <t>Slender Morris Portofino (Continuous) Sheer TBA</t>
  </si>
  <si>
    <t>Slender Morris Porto Rico (Continuous) Sheer Feather</t>
  </si>
  <si>
    <t>Slender Morris Porto Rico (Continuous) Sheer Natural</t>
  </si>
  <si>
    <t>Slender Morris Porto Rico (Continuous) Sheer Sand</t>
  </si>
  <si>
    <t>Slender Morris Porto Rico (Continuous) Sheer Seamist</t>
  </si>
  <si>
    <t>Slender Morris Porto Rico (Continuous) Sheer TBA</t>
  </si>
  <si>
    <t>Slender Morris Pigalle (Continuous) Sheer Charcoal</t>
  </si>
  <si>
    <t>Slender Morris Pigalle (Continuous) Sheer Grey</t>
  </si>
  <si>
    <t>Slender Morris Pigalle (Continuous) Sheer Linen</t>
  </si>
  <si>
    <t>Slender Morris Pigalle (Continuous) Sheer White</t>
  </si>
  <si>
    <t>Slender Morris Pigalle (Continuous) Sheer TBA</t>
  </si>
  <si>
    <t>Warwick Panay (Drop) Sheer White</t>
  </si>
  <si>
    <t>Warwick Panay (Drop) Sheer Ivory</t>
  </si>
  <si>
    <t>Warwick Panay (Drop) Sheer Linen</t>
  </si>
  <si>
    <t>Warwick Panay (Drop) Sheer Mink</t>
  </si>
  <si>
    <t>Warwick Panay (Drop) Sheer Rose</t>
  </si>
  <si>
    <t>Warwick Panay (Drop) Sheer Shell</t>
  </si>
  <si>
    <t>Warwick Panay (Drop) Sheer Pear</t>
  </si>
  <si>
    <t>Warwick Panay (Drop) Sheer Sage</t>
  </si>
  <si>
    <t>Warwick Panay (Drop) Sheer Mint</t>
  </si>
  <si>
    <t>Warwick Panay (Drop) Sheer Flint</t>
  </si>
  <si>
    <t>Warwick Panay (Drop) Sheer Denim</t>
  </si>
  <si>
    <t>Warwick Panay (Drop) Sheer Navy</t>
  </si>
  <si>
    <t>Warwick Panay (Drop) Sheer Charcoal</t>
  </si>
  <si>
    <t>Warwick Panay (Drop) Sheer Slate</t>
  </si>
  <si>
    <t>Warwick Panay (Drop) Sheer Gunmetal</t>
  </si>
  <si>
    <t>Warwick Panay (Drop) Sheer Fossil</t>
  </si>
  <si>
    <t>Warwick Panay (Drop) Sheer Silver</t>
  </si>
  <si>
    <t>Warwick Panay (Drop) Sheer TBA</t>
  </si>
  <si>
    <t>97% Polyester 3% Linen</t>
  </si>
  <si>
    <t>Studio G Paradise (Drop) Uncoated Autumn</t>
  </si>
  <si>
    <t>Slender Morris Atrium (Drop) Uncoated Flint</t>
  </si>
  <si>
    <t>Slender Morris Atrium (Drop) Uncoated Lapis</t>
  </si>
  <si>
    <t>Slender Morris Atrium (Drop) Uncoated Ochre</t>
  </si>
  <si>
    <t>Slender Morris Atrium (Drop) Uncoated Pine</t>
  </si>
  <si>
    <t>Slender Morris Atrium (Drop) Uncoated Woodrose</t>
  </si>
  <si>
    <t>Slender Morris Atrium (Drop) Uncoated TBA</t>
  </si>
  <si>
    <t>Slender Morris Rowing Stripe (Drop) Uncoated Duckegg</t>
  </si>
  <si>
    <t>Slender Morris Rowing Stripe (Drop) Uncoated Flint</t>
  </si>
  <si>
    <t>Slender Morris Rowing Stripe (Drop) Uncoated Messai</t>
  </si>
  <si>
    <t>Slender Morris Rowing Stripe (Drop) Uncoated Midnight</t>
  </si>
  <si>
    <t>Slender Morris Rowing Stripe (Drop) Uncoated Oatmeal</t>
  </si>
  <si>
    <t>Slender Morris Rowing Stripe (Drop) Uncoated Paprika</t>
  </si>
  <si>
    <t>Slender Morris Rowing Stripe (Drop) Uncoated Pebble</t>
  </si>
  <si>
    <t>Slender Morris Rowing Stripe (Drop) Uncoated Pewter</t>
  </si>
  <si>
    <t>Slender Morris Rowing Stripe (Drop) Uncoated Sand</t>
  </si>
  <si>
    <t>Slender Morris Rowing Stripe (Drop) Uncoated Willow</t>
  </si>
  <si>
    <t>Slender Morris Rowing Stripe (Drop) Uncoated TBA</t>
  </si>
  <si>
    <t>Maurice Kain Sheer Climbing Daisy (Continuous) Sheer White</t>
  </si>
  <si>
    <t>60% Polyester / 40% Viscose</t>
  </si>
  <si>
    <t>Maurice Kain Sheer Climbing Daisy (Continuous) Sheer TBA</t>
  </si>
  <si>
    <t>Hoad Galaxy (Continuous) Sheer Ivory</t>
  </si>
  <si>
    <t>Hoad Galaxy (Continuous) Sheer White</t>
  </si>
  <si>
    <t>Hoad Galaxy (Continuous) Sheer Linen</t>
  </si>
  <si>
    <t>Hoad Galaxy (Continuous) Sheer Silver</t>
  </si>
  <si>
    <t>Hoad Galaxy (Continuous) Sheer Almond</t>
  </si>
  <si>
    <t>Hoad Galaxy (Continuous) Sheer Natural</t>
  </si>
  <si>
    <t>Hoad Galaxy (Continuous) Sheer TBA</t>
  </si>
  <si>
    <t>Zepel Sunlight (Continuous) Sheer Blush</t>
  </si>
  <si>
    <t>100% RPL</t>
  </si>
  <si>
    <t>Zepel Sunlight (Continuous) Sheer Cloud</t>
  </si>
  <si>
    <t>Zepel Sunlight (Continuous) Sheer Cream</t>
  </si>
  <si>
    <t>Zepel Sunlight (Continuous) Sheer Flint</t>
  </si>
  <si>
    <t>Zepel Sunlight (Continuous) Sheer Fossil</t>
  </si>
  <si>
    <t>Zepel Sunlight (Continuous) Sheer Frost</t>
  </si>
  <si>
    <t>Zepel Sunlight (Continuous) Sheer Graphite</t>
  </si>
  <si>
    <t>Zepel Sunlight (Continuous) Sheer Koala</t>
  </si>
  <si>
    <t>Zepel Sunlight (Continuous) Sheer Lead</t>
  </si>
  <si>
    <t>Zepel Sunlight (Continuous) Sheer Linen</t>
  </si>
  <si>
    <t>Zepel Sunlight (Continuous) Sheer Marble</t>
  </si>
  <si>
    <t>Zepel Sunlight (Continuous) Sheer Mist</t>
  </si>
  <si>
    <t>Zepel Sunlight (Continuous) Sheer Onyx</t>
  </si>
  <si>
    <t>Zepel Sunlight (Continuous) Sheer Oyster</t>
  </si>
  <si>
    <t>Zepel Sunlight (Continuous) Sheer Petal</t>
  </si>
  <si>
    <t>Zepel Sunlight (Continuous) Sheer Pristine</t>
  </si>
  <si>
    <t>Zepel Sunlight (Continuous) Sheer Rattan</t>
  </si>
  <si>
    <t>Zepel Sunlight (Continuous) Sheer Silver</t>
  </si>
  <si>
    <t>Zepel Sunlight (Continuous) Sheer Smoke</t>
  </si>
  <si>
    <t>Zepel Sunlight (Continuous) Sheer Swan</t>
  </si>
  <si>
    <t>Zepel Sunlight (Continuous) Sheer TBA</t>
  </si>
  <si>
    <t>Filigree Supremo (Continuous) Sheer Alabaster</t>
  </si>
  <si>
    <t>Filigree Supremo (Continuous) Sheer Graphite</t>
  </si>
  <si>
    <t>Filigree Supremo (Continuous) Sheer Linen</t>
  </si>
  <si>
    <t>Filigree Supremo (Continuous) Sheer Putty</t>
  </si>
  <si>
    <t>Filigree Supremo (Continuous) Sheer Sisal</t>
  </si>
  <si>
    <t>Filigree Supremo (Drop) Sheer Alabaster</t>
  </si>
  <si>
    <t xml:space="preserve">Filigree Supremo (Drop) Sheer Fog </t>
  </si>
  <si>
    <t>Filigree Supremo (Drop) Sheer Graphite</t>
  </si>
  <si>
    <t xml:space="preserve">Filigree Supremo (Drop) Sheer Ivory </t>
  </si>
  <si>
    <t>Filigree Supremo (Drop) Sheer Linen</t>
  </si>
  <si>
    <t>Filigree Supremo (Drop) Sheer Putty</t>
  </si>
  <si>
    <t>Filigree Supremo (Drop) Sheer Sisal</t>
  </si>
  <si>
    <t>Zepel Rewind (Drop) Uncoated Bronze</t>
  </si>
  <si>
    <t>77% RPL 23% OCO</t>
  </si>
  <si>
    <t>Zepel Rewind (Drop) Uncoated Canyon</t>
  </si>
  <si>
    <t>Zepel Rewind (Drop) Uncoated Cardinal</t>
  </si>
  <si>
    <t>Zepel Rewind (Drop) Uncoated Chinchilla</t>
  </si>
  <si>
    <t>Zepel Rewind (Drop) Uncoated Cloud</t>
  </si>
  <si>
    <t>Zepel Rewind (Drop) Uncoated Cream</t>
  </si>
  <si>
    <t>Zepel Rewind (Drop) Uncoated Dove</t>
  </si>
  <si>
    <t>Zepel Rewind (Drop) Uncoated Duckegg</t>
  </si>
  <si>
    <t>Zepel Rewind (Drop) Uncoated Fossil</t>
  </si>
  <si>
    <t>Zepel Rewind (Drop) Uncoated Fox</t>
  </si>
  <si>
    <t>Zepel Rewind (Drop) Uncoated Gull</t>
  </si>
  <si>
    <t>Zepel Rewind (Drop) Uncoated Hunter</t>
  </si>
  <si>
    <t>Zepel Rewind (Drop) Uncoated Hydro</t>
  </si>
  <si>
    <t>Zepel Rewind (Drop) Uncoated Iceberg</t>
  </si>
  <si>
    <t>Zepel Rewind (Drop) Uncoated Linen</t>
  </si>
  <si>
    <t>Zepel Rewind (Drop) Uncoated Liquorice</t>
  </si>
  <si>
    <t>Zepel Rewind (Drop) Uncoated Marble</t>
  </si>
  <si>
    <t>Zepel Rewind (Drop) Uncoated Mint</t>
  </si>
  <si>
    <t>Zepel Rewind (Drop) Uncoated Natural</t>
  </si>
  <si>
    <t>Zepel Rewind (Drop) Uncoated Niagara</t>
  </si>
  <si>
    <t>Zepel Rewind (Drop) Uncoated Otter</t>
  </si>
  <si>
    <t>Zepel Rewind (Drop) Uncoated Pine</t>
  </si>
  <si>
    <t>Zepel Rewind (Drop) Uncoated Pineapple</t>
  </si>
  <si>
    <t>Zepel Rewind (Drop) Uncoated Sesame</t>
  </si>
  <si>
    <t>Zepel Rewind (Drop) Uncoated Shark</t>
  </si>
  <si>
    <t>Zepel Rewind (Drop) Uncoated TBA</t>
  </si>
  <si>
    <t>Clarke &amp; Clarke Azure (Drop) Uncoated Teal</t>
  </si>
  <si>
    <t>100% B.C.I. Cotton</t>
  </si>
  <si>
    <t>Clarke &amp; Clarke Azure (Drop) Uncoated Mineral</t>
  </si>
  <si>
    <t>Clarke &amp; Clarke Azure (Drop) Uncoated Ochre</t>
  </si>
  <si>
    <t>Clarke &amp; Clarke Azure (Drop) Uncoated Linen</t>
  </si>
  <si>
    <t>Clarke &amp; Clarke Azure (Drop) Uncoated Aqua</t>
  </si>
  <si>
    <t>Clarke &amp; Clarke Azure (Drop) Uncoated TBA</t>
  </si>
  <si>
    <t>Charles Parsons Moroso Ultimate 280cm (Continuous) Lining Cocoa</t>
  </si>
  <si>
    <t>Charles Parsons Moroso Ultimate 280cm (Continuous) Lining Ice</t>
  </si>
  <si>
    <t>Charles Parsons Moroso Ultimate 280cm (Continuous) Lining Ivory</t>
  </si>
  <si>
    <t>Charles Parsons Moroso Ultimate 280cm (Continuous) Lining Latte</t>
  </si>
  <si>
    <t>Charles Parsons Moroso Ultimate 280cm (Continuous) Lining Licorice</t>
  </si>
  <si>
    <t>Charles Parsons Moroso Ultimate 280cm (Continuous) Lining Macadamia</t>
  </si>
  <si>
    <t>Charles Parsons Moroso Ultimate 280cm (Continuous) Lining Mocha</t>
  </si>
  <si>
    <t>Charles Parsons Moroso Ultimate 280cm (Continuous) Lining Pewter</t>
  </si>
  <si>
    <t>Charles Parsons Moroso Ultimate 280cm (Continuous) Lining Putty</t>
  </si>
  <si>
    <t>Charles Parsons Moroso Ultimate 280cm (Continuous) Lining Shell</t>
  </si>
  <si>
    <t>Charles Parsons Moroso Ultimate 280cm (Continuous) Lining Silver</t>
  </si>
  <si>
    <t>Charles Parsons Moroso Ultimate 280cm (Continuous) Lining Slate</t>
  </si>
  <si>
    <t>Charles Parsons Moroso Ultimate 280cm (Continuous) Lining White</t>
  </si>
  <si>
    <t>Charles Parsons Moroso Ultimate 280cm (Continuous) Lining TBA</t>
  </si>
  <si>
    <t>Vanda Versatrak 16 Rod with Rings</t>
  </si>
  <si>
    <t>Charles Parsons Moroso Ultimate 280cm (Drop) Lining Cocoa</t>
  </si>
  <si>
    <t>Charles Parsons Moroso Ultimate 280cm (Drop) Lining Ice</t>
  </si>
  <si>
    <t>Charles Parsons Moroso Ultimate 280cm (Drop) Lining Ivory</t>
  </si>
  <si>
    <t>Charles Parsons Moroso Ultimate 280cm (Drop) Lining Latte</t>
  </si>
  <si>
    <t>Charles Parsons Moroso Ultimate 280cm (Drop) Lining Licorice</t>
  </si>
  <si>
    <t>Charles Parsons Moroso Ultimate 280cm (Drop) Lining Macadamia</t>
  </si>
  <si>
    <t>Charles Parsons Moroso Ultimate 280cm (Drop) Lining Mocha</t>
  </si>
  <si>
    <t>Charles Parsons Moroso Ultimate 280cm (Drop) Lining Pewter</t>
  </si>
  <si>
    <t>Charles Parsons Moroso Ultimate 280cm (Drop) Lining Putty</t>
  </si>
  <si>
    <t>Charles Parsons Moroso Ultimate 280cm (Drop) Lining Shell</t>
  </si>
  <si>
    <t>Charles Parsons Moroso Ultimate 280cm (Drop) Lining Silver</t>
  </si>
  <si>
    <t>Charles Parsons Moroso Ultimate 280cm (Drop) Lining Slate</t>
  </si>
  <si>
    <t>Charles Parsons Moroso Ultimate 280cm (Drop) Lining White</t>
  </si>
  <si>
    <t>Charles Parsons Moroso Ultimate 280cm (Drop) Lining TBA</t>
  </si>
  <si>
    <t>Charles Parsons Guardian Sheerline 300cm (Continuous) Uncoated Ivory/Off White</t>
  </si>
  <si>
    <t>Zepel Allusion (Continuous) Sheer Blossom</t>
  </si>
  <si>
    <t>Zepel Allusion (Continuous) Sheer Feather</t>
  </si>
  <si>
    <t>Zepel Allusion (Continuous) Sheer Fossil</t>
  </si>
  <si>
    <t>Zepel Allusion (Continuous) Sheer Gargoyle</t>
  </si>
  <si>
    <t>Zepel Allusion (Continuous) Sheer Marzipan</t>
  </si>
  <si>
    <t>Zepel Allusion (Continuous) Sheer Mushroom</t>
  </si>
  <si>
    <t>Zepel Allusion (Continuous) Sheer Nougat</t>
  </si>
  <si>
    <t>Zepel Allusion (Continuous) Sheer Sesame</t>
  </si>
  <si>
    <t>Zepel Allusion (Drop) Sheer Blossom</t>
  </si>
  <si>
    <t>Zepel Allusion (Drop) Sheer Feather</t>
  </si>
  <si>
    <t>Zepel Allusion (Drop) Sheer Fossil</t>
  </si>
  <si>
    <t>Zepel Allusion (Drop) Sheer Gargoyle</t>
  </si>
  <si>
    <t>Zepel Allusion (Drop) Sheer Marzipan</t>
  </si>
  <si>
    <t>Zepel Allusion (Drop) Sheer Mushroom</t>
  </si>
  <si>
    <t>Zepel Allusion (Drop) Sheer Nougat</t>
  </si>
  <si>
    <t>Zepel Allusion (Drop) Sheer Sesame</t>
  </si>
  <si>
    <t>Maurice Kain Emerson (Continuous) Uncoated Frost</t>
  </si>
  <si>
    <t>Maurice Kain Emerson (Continuous) Uncoated Smoke</t>
  </si>
  <si>
    <t>Maurice Kain Emerson (Continuous) Uncoated Charcoal</t>
  </si>
  <si>
    <t>Maurice Kain Emerson (Continuous) Uncoated Cinder</t>
  </si>
  <si>
    <t>Maurice Kain Emerson (Continuous) Uncoated Ink</t>
  </si>
  <si>
    <t>Maurice Kain Emerson (Continuous) Uncoated Duck Egg</t>
  </si>
  <si>
    <t>Maurice Kain Emerson (Continuous) Uncoated Stone</t>
  </si>
  <si>
    <t>Maurice Kain Emerson (Continuous) Uncoated Parchment</t>
  </si>
  <si>
    <t>Maurice Kain Emerson (Continuous) Uncoated Oyster</t>
  </si>
  <si>
    <t>Maurice Kain Emerson (Continuous) Uncoated Chalk</t>
  </si>
  <si>
    <t>Maurice Kain Emerson (Continuous) Uncoated Whisper</t>
  </si>
  <si>
    <t>Maurice Kain Emerson (Continuous) Uncoated Angora</t>
  </si>
  <si>
    <t>Maurice Kain Emerson (Continuous) Uncoated TBA</t>
  </si>
  <si>
    <t>Maurice Kain Haiku (Continuous) Sheer Diamond</t>
  </si>
  <si>
    <t>67% ACR/27% POLY/6% LIN</t>
  </si>
  <si>
    <t>Maurice Kain Haiku (Continuous) Sheer Marble</t>
  </si>
  <si>
    <t>Maurice Kain Haiku (Continuous) Sheer Pearl</t>
  </si>
  <si>
    <t>Maurice Kain Haiku (Continuous) Sheer Pewter</t>
  </si>
  <si>
    <t>Maurice Kain Haiku (Continuous) Sheer Quartz</t>
  </si>
  <si>
    <t>Maurice Kain Haiku (Continuous) Sheer Silver</t>
  </si>
  <si>
    <t>Maurice Kain Haiku (Continuous) Sheer Tourmaline</t>
  </si>
  <si>
    <t>Maurice Kain Haiku (Continuous) Sheer TBA</t>
  </si>
  <si>
    <t>Zepel Audiance (Continuous) Sheer Dice</t>
  </si>
  <si>
    <t>Zepel Audiance (Continuous) Sheer Dove</t>
  </si>
  <si>
    <t>Zepel Audiance (Continuous) Sheer Gargoyle</t>
  </si>
  <si>
    <t>Zepel Audiance (Continuous) Sheer Hemp</t>
  </si>
  <si>
    <t>Zepel Audiance (Continuous) Sheer Limestone</t>
  </si>
  <si>
    <t>Zepel Audiance (Continuous) Sheer Natural</t>
  </si>
  <si>
    <t>Zepel Audiance (Continuous) Sheer Pewter</t>
  </si>
  <si>
    <t>Zepel Audiance (Continuous) Sheer Putty</t>
  </si>
  <si>
    <t>Zepel Audiance (Continuous) Sheer Shell</t>
  </si>
  <si>
    <t>Zepel Audiance (Continuous) Sheer Silver</t>
  </si>
  <si>
    <t>Zepel Audiance (Continuous) Sheer Swan</t>
  </si>
  <si>
    <t>Zepel Audiance (Continuous) Sheer TBA</t>
  </si>
  <si>
    <t>Clarke &amp; Clarke Ombra (Drop) Uncoated Charcoal</t>
  </si>
  <si>
    <t>57% Polyester 43% Viscose</t>
  </si>
  <si>
    <t>Clarke &amp; Clarke Ombra (Drop) Uncoated Aqua</t>
  </si>
  <si>
    <t>Clarke &amp; Clarke Ombra (Drop) Uncoated Cardinal</t>
  </si>
  <si>
    <t>Clarke &amp; Clarke Ombra (Drop) Uncoated Orchid</t>
  </si>
  <si>
    <t>Clarke &amp; Clarke Ombra (Drop) Uncoated Olive</t>
  </si>
  <si>
    <t>Clarke &amp; Clarke Ombra (Drop) Uncoated Natural</t>
  </si>
  <si>
    <t>Clarke &amp; Clarke Ombra (Drop) Uncoated TBA</t>
  </si>
  <si>
    <t>Hoad Strata (Continuous) Sheer Domino</t>
  </si>
  <si>
    <t>Hoad Strata (Continuous) Sheer Linen</t>
  </si>
  <si>
    <t>Hoad Strata (Continuous) Sheer Moonlight</t>
  </si>
  <si>
    <t>Hoad Strata (Continuous) Sheer Natural</t>
  </si>
  <si>
    <t>Hoad Strata (Continuous) Sheer Ore</t>
  </si>
  <si>
    <t>Hoad Strata (Continuous) Sheer White</t>
  </si>
  <si>
    <t>Hoad Strata (Continuous) Sheer TBA</t>
  </si>
  <si>
    <t>Zepel Excellence (Continuous) Sheer Natural</t>
  </si>
  <si>
    <t>Zepel Excellence (Continuous) Sheer Linen</t>
  </si>
  <si>
    <t>Zepel Excellence (Continuous) Sheer Shadow</t>
  </si>
  <si>
    <t>Zepel Excellence (Continuous) Sheer TBA</t>
  </si>
  <si>
    <t>75% Polyester 25% Linen</t>
  </si>
  <si>
    <t>Maurice Kain Audible (Continuous) Uncoated Ash</t>
  </si>
  <si>
    <t>Maurice Kain Audible (Continuous) Uncoated Carbon</t>
  </si>
  <si>
    <t>Maurice Kain Audible (Continuous) Uncoated Charcoal</t>
  </si>
  <si>
    <t>Maurice Kain Audible (Continuous) Uncoated Linen</t>
  </si>
  <si>
    <t>Maurice Kain Audible (Continuous) Uncoated Natural</t>
  </si>
  <si>
    <t>Maurice Kain Audible (Continuous) Uncoated Nutmeg</t>
  </si>
  <si>
    <t>Maurice Kain Audible (Continuous) Uncoated Shell</t>
  </si>
  <si>
    <t>Maurice Kain Audible (Continuous) Uncoated Slate</t>
  </si>
  <si>
    <t>Maurice Kain Audible (Continuous) Uncoated Stone</t>
  </si>
  <si>
    <t>Maurice Kain Audible (Continuous) Uncoated Woodland</t>
  </si>
  <si>
    <t>Maurice Kain Audible (Continuous) Uncoated TBA</t>
  </si>
  <si>
    <t>Maurice Kain Frey (Drop) Uncoated Ash</t>
  </si>
  <si>
    <t>Maurice Kain Frey (Drop) Uncoated Frost</t>
  </si>
  <si>
    <t>Maurice Kain Frey (Drop) Uncoated Ice</t>
  </si>
  <si>
    <t>Maurice Kain Frey (Drop) Uncoated Mist</t>
  </si>
  <si>
    <t>Maurice Kain Frey (Drop) Uncoated Mink</t>
  </si>
  <si>
    <t>Maurice Kain Frey (Drop) Uncoated Oyster</t>
  </si>
  <si>
    <t>Maurice Kain Frey (Drop) Uncoated Pebble</t>
  </si>
  <si>
    <t>Maurice Kain Frey (Drop) Uncoated Petrel</t>
  </si>
  <si>
    <t>Maurice Kain Frey (Drop) Uncoated Ruby</t>
  </si>
  <si>
    <t>Maurice Kain Frey (Drop) Uncoated Silver</t>
  </si>
  <si>
    <t>Maurice Kain Frey (Drop) Uncoated Snow</t>
  </si>
  <si>
    <t>Maurice Kain Frey (Drop) Uncoated Steel</t>
  </si>
  <si>
    <t>Maurice Kain Frey (Drop) Uncoated Temple</t>
  </si>
  <si>
    <t>Maurice Kain Frey (Drop) Uncoated Winter</t>
  </si>
  <si>
    <t>Maurice Kain Frey (Drop) Uncoated TBA</t>
  </si>
  <si>
    <t>100% PL</t>
  </si>
  <si>
    <t>Warwick Amelia (Drop) Uncoated Kingfisher</t>
  </si>
  <si>
    <t>Warwick Amelia (Drop) Uncoated Pebbles</t>
  </si>
  <si>
    <t>Warwick Amelia (Drop) Uncoated Wedgewood</t>
  </si>
  <si>
    <t>Warwick Amelia (Drop) Uncoated TBA</t>
  </si>
  <si>
    <t>Maurice Kain Botanical (Drop) Uncoated Dove</t>
  </si>
  <si>
    <t>Maurice Kain Botanical (Drop) Uncoated Coral</t>
  </si>
  <si>
    <t>Maurice Kain Botanical (Drop) Uncoated Teal</t>
  </si>
  <si>
    <t>Maurice Kain Botanical (Drop) Uncoated TBA</t>
  </si>
  <si>
    <t>Slender Morris Peony (Jacquard) (Drop) Uncoated Blue</t>
  </si>
  <si>
    <t>70% Cotton 30% Polyester</t>
  </si>
  <si>
    <t>Slender Morris Peony (Jacquard) (Drop) Uncoated Grey</t>
  </si>
  <si>
    <t>Slender Morris Peony (Jacquard) (Drop) Uncoated Purple</t>
  </si>
  <si>
    <t>Slender Morris Peony (Jacquard) (Drop) Uncoated Stone</t>
  </si>
  <si>
    <t>Slender Morris Peony (Jacquard) (Drop) Uncoated TBA</t>
  </si>
  <si>
    <t>Slender Morris Vein (Jacquard) (Drop) Uncoated Blue</t>
  </si>
  <si>
    <t>Slender Morris Vein (Jacquard) (Drop) Uncoated Grey</t>
  </si>
  <si>
    <t>Slender Morris Vein (Jacquard) (Drop) Uncoated Purple-White</t>
  </si>
  <si>
    <t>Slender Morris Vein (Jacquard) (Drop) Uncoated White</t>
  </si>
  <si>
    <t>Slender Morris Vein (Jacquard) (Drop) Uncoated TBA</t>
  </si>
  <si>
    <t>Slender Morris Stencil (Jacquard) (Drop) Uncoated Blue</t>
  </si>
  <si>
    <t>Slender Morris Stencil (Jacquard) (Drop) Uncoated Grey</t>
  </si>
  <si>
    <t>Slender Morris Stencil (Jacquard) (Drop) Uncoated Purple-White</t>
  </si>
  <si>
    <t>Slender Morris Stencil (Jacquard) (Drop) Uncoated Stone</t>
  </si>
  <si>
    <t>Slender Morris Stencil (Jacquard) (Drop) Uncoated TBA</t>
  </si>
  <si>
    <t>Maurice Kain Re-New (Drop) Uncoated Snow</t>
  </si>
  <si>
    <t>85% Recycled Polyester 15% Polyester</t>
  </si>
  <si>
    <t>Maurice Kain Re-New (Drop) Uncoated Stone</t>
  </si>
  <si>
    <t>Maurice Kain Re-New (Drop) Uncoated Cloud</t>
  </si>
  <si>
    <t>Maurice Kain Re-New (Drop) Uncoated Charcoal</t>
  </si>
  <si>
    <t>Maurice Kain Re-New (Drop) Uncoated TBA</t>
  </si>
  <si>
    <t>Maurice Kain Re-Fresh (Drop) Uncoated Charcoal</t>
  </si>
  <si>
    <t>65% Recycled Polyester 35% Polyester</t>
  </si>
  <si>
    <t>Maurice Kain Re-Fresh (Drop) Uncoated Cloud</t>
  </si>
  <si>
    <t>Maurice Kain Re-Fresh (Drop) Uncoated Snow</t>
  </si>
  <si>
    <t>Maurice Kain Re-Fresh (Drop) Uncoated Stone</t>
  </si>
  <si>
    <t>Maurice Kain Re-Fresh (Drop) Uncoated TBA</t>
  </si>
  <si>
    <t>Maurice Kain Interstellar (Continuous) Uncoated Marble</t>
  </si>
  <si>
    <t>Maurice Kain Interstellar (Continuous) Uncoated Snow</t>
  </si>
  <si>
    <t>Maurice Kain Interstellar (Continuous) Uncoated Domino</t>
  </si>
  <si>
    <t>Maurice Kain Interstellar (Continuous) Uncoated Shadow</t>
  </si>
  <si>
    <t>Maurice Kain Interstellar (Continuous) Uncoated Ash</t>
  </si>
  <si>
    <t>Maurice Kain Interstellar (Continuous) Uncoated Sky</t>
  </si>
  <si>
    <t>Maurice Kain Interstellar (Continuous) Uncoated TBA</t>
  </si>
  <si>
    <t>Maurice Kain Zala (Continuous) Uncoated Ash</t>
  </si>
  <si>
    <t>Maurice Kain Zala (Continuous) Uncoated Marble</t>
  </si>
  <si>
    <t>Maurice Kain Zala (Continuous) Uncoated Snow</t>
  </si>
  <si>
    <t>Maurice Kain Zala (Continuous) Uncoated TBA</t>
  </si>
  <si>
    <t>Maurice Kain Cato (Continuous) Dim Out Cloud</t>
  </si>
  <si>
    <t>Maurice Kain Cato (Continuous) Dim Out Lily</t>
  </si>
  <si>
    <t>Maurice Kain Cato (Continuous) Dim Out Linen</t>
  </si>
  <si>
    <t>Maurice Kain Cato (Continuous) Dim Out Stone</t>
  </si>
  <si>
    <t>Maurice Kain Cato (Continuous) Dim Out Ash</t>
  </si>
  <si>
    <t>Maurice Kain Cato (Continuous) Dim Out Silver</t>
  </si>
  <si>
    <t>Maurice Kain Cato (Continuous) Dim Out Smoke</t>
  </si>
  <si>
    <t>Maurice Kain Cato (Continuous) Dim Out Charcoal</t>
  </si>
  <si>
    <t>Maurice Kain Cato (Continuous) Dim Out Ocean</t>
  </si>
  <si>
    <t>Maurice Kain Cato (Continuous) Dim Out Aqua</t>
  </si>
  <si>
    <t>Maurice Kain Cato (Continuous) Dim Out Sky</t>
  </si>
  <si>
    <t>Maurice Kain Cato (Continuous) Dim Out Coral</t>
  </si>
  <si>
    <t>Maurice Kain Cato (Continuous) Dim Out Ochre</t>
  </si>
  <si>
    <t>Maurice Kain Cato (Continuous) Dim Out TBA</t>
  </si>
  <si>
    <t>Maurice Kain Libretto (Continuous) Sheer Ice</t>
  </si>
  <si>
    <t>Maurice Kain Libretto (Continuous) Sheer Chalk</t>
  </si>
  <si>
    <t>Maurice Kain Libretto (Continuous) Sheer Sand</t>
  </si>
  <si>
    <t>Maurice Kain Libretto (Continuous) Sheer Linen</t>
  </si>
  <si>
    <t>Maurice Kain Libretto (Continuous) Sheer Natural</t>
  </si>
  <si>
    <t>Maurice Kain Libretto (Continuous) Sheer Stone</t>
  </si>
  <si>
    <t>Maurice Kain Libretto (Continuous) Sheer Ash</t>
  </si>
  <si>
    <t>Maurice Kain Libretto (Continuous) Sheer Silver</t>
  </si>
  <si>
    <t>Maurice Kain Libretto (Continuous) Sheer Slate</t>
  </si>
  <si>
    <t>Maurice Kain Libretto (Continuous) Sheer Charcoal</t>
  </si>
  <si>
    <t>Maurice Kain Libretto (Continuous) Sheer Black</t>
  </si>
  <si>
    <t>Maurice Kain Libretto (Continuous) Sheer Navy</t>
  </si>
  <si>
    <t>Maurice Kain Libretto (Continuous) Sheer Teal</t>
  </si>
  <si>
    <t>Maurice Kain Libretto (Continuous) Sheer Celadon</t>
  </si>
  <si>
    <t>Maurice Kain Libretto (Continuous) Sheer Breeze</t>
  </si>
  <si>
    <t>Maurice Kain Libretto (Continuous) Sheer Blush</t>
  </si>
  <si>
    <t>Maurice Kain Libretto (Continuous) Sheer TBA</t>
  </si>
  <si>
    <t>55% RPL 45% OCO</t>
  </si>
  <si>
    <t>Warwick Duke (Drop) Uncoated Alloy</t>
  </si>
  <si>
    <t>Warwick Duke (Drop) Uncoated Amber</t>
  </si>
  <si>
    <t>Warwick Duke (Drop) Uncoated Armour</t>
  </si>
  <si>
    <t>Warwick Duke (Drop) Uncoated Azure</t>
  </si>
  <si>
    <t>Warwick Duke (Drop) Uncoated Berry</t>
  </si>
  <si>
    <t>Warwick Duke (Drop) Uncoated Blush</t>
  </si>
  <si>
    <t>Warwick Duke (Drop) Uncoated Brass</t>
  </si>
  <si>
    <t>Warwick Duke (Drop) Uncoated Camel</t>
  </si>
  <si>
    <t>Warwick Duke (Drop) Uncoated Caviar</t>
  </si>
  <si>
    <t>Warwick Duke (Drop) Uncoated Chai</t>
  </si>
  <si>
    <t>Warwick Duke (Drop) Uncoated Cocoa</t>
  </si>
  <si>
    <t>Warwick Duke (Drop) Uncoated Cornflower</t>
  </si>
  <si>
    <t>Warwick Duke (Drop) Uncoated Denim</t>
  </si>
  <si>
    <t>Warwick Duke (Drop) Uncoated Driftwood</t>
  </si>
  <si>
    <t>Warwick Duke (Drop) Uncoated Ecru</t>
  </si>
  <si>
    <t>Warwick Duke (Drop) Uncoated Emerald</t>
  </si>
  <si>
    <t>Warwick Duke (Drop) Uncoated Eucalyptus</t>
  </si>
  <si>
    <t>Warwick Duke (Drop) Uncoated Gold</t>
  </si>
  <si>
    <t>Warwick Duke (Drop) Uncoated Graphite</t>
  </si>
  <si>
    <t>Warwick Duke (Drop) Uncoated Hazel</t>
  </si>
  <si>
    <t>Warwick Duke (Drop) Uncoated Kale</t>
  </si>
  <si>
    <t>Warwick Duke (Drop) Uncoated Ladybird</t>
  </si>
  <si>
    <t>Warwick Duke (Drop) Uncoated Lagoon</t>
  </si>
  <si>
    <t>Warwick Duke (Drop) Uncoated Mallard</t>
  </si>
  <si>
    <t>Warwick Duke (Drop) Uncoated Menthol</t>
  </si>
  <si>
    <t>Warwick Duke (Drop) Uncoated Midnight</t>
  </si>
  <si>
    <t>Warwick Duke (Drop) Uncoated Mink</t>
  </si>
  <si>
    <t>Warwick Duke (Drop) Uncoated Mist</t>
  </si>
  <si>
    <t>Warwick Duke (Drop) Uncoated Nickel</t>
  </si>
  <si>
    <t>Warwick Duke (Drop) Uncoated Olive</t>
  </si>
  <si>
    <t>Warwick Duke (Drop) Uncoated Orchid</t>
  </si>
  <si>
    <t>Warwick Duke (Drop) Uncoated Peacock</t>
  </si>
  <si>
    <t>Warwick Duke (Drop) Uncoated Peat</t>
  </si>
  <si>
    <t>Warwick Duke (Drop) Uncoated Pebble</t>
  </si>
  <si>
    <t>Warwick Duke (Drop) Uncoated Petal</t>
  </si>
  <si>
    <t>Warwick Duke (Drop) Uncoated Pine</t>
  </si>
  <si>
    <t>Warwick Duke (Drop) Uncoated Polar</t>
  </si>
  <si>
    <t>Warwick Duke (Drop) Uncoated Sapphire</t>
  </si>
  <si>
    <t>Warwick Duke (Drop) Uncoated Sesame</t>
  </si>
  <si>
    <t>Warwick Duke (Drop) Uncoated Shadow</t>
  </si>
  <si>
    <t>Warwick Duke (Drop) Uncoated Sky</t>
  </si>
  <si>
    <t>Warwick Duke (Drop) Uncoated Vanilla</t>
  </si>
  <si>
    <t>Warwick Duke (Drop) Uncoated TBA</t>
  </si>
  <si>
    <t>Hoad Cloud (Continuous) Sheer Whisper</t>
  </si>
  <si>
    <t>Hoad Cloud (Continuous) Sheer Charcoal</t>
  </si>
  <si>
    <t>Hoad Cloud (Continuous) Sheer Cloud</t>
  </si>
  <si>
    <t>Hoad Mondo (Continuous) Sheer Sea</t>
  </si>
  <si>
    <t>Hoad Mondo (Continuous) Sheer Rope</t>
  </si>
  <si>
    <t>Hoad Mondo (Continuous) Sheer Dove</t>
  </si>
  <si>
    <t>Hoad Mondo (Continuous) Sheer Chalk</t>
  </si>
  <si>
    <t>Hoad Mondo (Continuous) Sheer Svelt</t>
  </si>
  <si>
    <t>Hoad Mondo (Continuous) Sheer Black</t>
  </si>
  <si>
    <t>Hoad Mondo (Continuous) Sheer White</t>
  </si>
  <si>
    <t>Hoad Mondo (Continuous) Sheer Twine</t>
  </si>
  <si>
    <t>Hoad Mondo (Continuous) Sheer Lichen</t>
  </si>
  <si>
    <t>Hoad Mondo (Continuous) Sheer Almond</t>
  </si>
  <si>
    <t>Hoad Mondo (Continuous) Sheer Oyster</t>
  </si>
  <si>
    <t>Hoad Mondo (Continuous) Sheer Natural</t>
  </si>
  <si>
    <t>Hoad Mondo (Continuous) Sheer Charcoal</t>
  </si>
  <si>
    <t>Hoad Mondo (Continuous) Sheer Titanium</t>
  </si>
  <si>
    <t>Hoad Mondo (Continuous) Sheer Moonlight</t>
  </si>
  <si>
    <t>Hoad Mondo (Continuous) Sheer Platinum</t>
  </si>
  <si>
    <t>Hoad Mondo (Continuous) Sheer Stone</t>
  </si>
  <si>
    <t>Hoad Mondo (Continuous) Sheer Quartz</t>
  </si>
  <si>
    <t>Hoad Mondo (Continuous) Sheer TBA</t>
  </si>
  <si>
    <t>Polyester/ Silicon Coated</t>
  </si>
  <si>
    <t>65% PL 35% LI</t>
  </si>
  <si>
    <t>Zepel Motion (Drop) Uncoated Aluminium</t>
  </si>
  <si>
    <t>Zepel Motion (Drop) Uncoated Boudoir</t>
  </si>
  <si>
    <t>Zepel Motion (Drop) Uncoated Dune</t>
  </si>
  <si>
    <t>Zepel Motion (Drop) Uncoated Forest</t>
  </si>
  <si>
    <t>Zepel Motion (Drop) Uncoated Fossil</t>
  </si>
  <si>
    <t>Zepel Motion (Drop) Uncoated Kiwi</t>
  </si>
  <si>
    <t>Zepel Motion (Drop) Uncoated Limestone</t>
  </si>
  <si>
    <t>Zepel Motion (Drop) Uncoated Marine</t>
  </si>
  <si>
    <t>Zepel Motion (Drop) Uncoated Mist</t>
  </si>
  <si>
    <t>Zepel Motion (Drop) Uncoated Moss</t>
  </si>
  <si>
    <t>Zepel Motion (Drop) Uncoated Mushroom</t>
  </si>
  <si>
    <t>Zepel Motion (Drop) Uncoated Ocean</t>
  </si>
  <si>
    <t>Zepel Motion (Drop) Uncoated Pearl</t>
  </si>
  <si>
    <t>Zepel Motion (Drop) Uncoated Pool</t>
  </si>
  <si>
    <t>Zepel Motion (Drop) Uncoated Raffia</t>
  </si>
  <si>
    <t>Zepel Motion (Drop) Uncoated Sand</t>
  </si>
  <si>
    <t>Zepel Motion (Drop) Uncoated Sesame</t>
  </si>
  <si>
    <t>Zepel Motion (Drop) Uncoated Shark</t>
  </si>
  <si>
    <t>Zepel Motion (Drop) Uncoated Sierra</t>
  </si>
  <si>
    <t>Zepel Motion (Drop) Uncoated Surf</t>
  </si>
  <si>
    <t>Zepel Motion (Drop) Uncoated Swan</t>
  </si>
  <si>
    <t>Zepel Motion (Drop) Uncoated TBA</t>
  </si>
  <si>
    <t>Zepel Motion (Drop) Uncoated Wheat</t>
  </si>
  <si>
    <t>Zepel Motion (Drop) Uncoated Wood</t>
  </si>
  <si>
    <t>56% PL 44% CO</t>
  </si>
  <si>
    <t>Maurice Kain Glasshouse (Drop) Uncoated Blush</t>
  </si>
  <si>
    <t>70% Viscose 30% Linen</t>
  </si>
  <si>
    <t>Maurice Kain Glasshouse (Drop) Uncoated Charcoal</t>
  </si>
  <si>
    <t>Maurice Kain Glasshouse (Drop) Uncoated Ink</t>
  </si>
  <si>
    <t>Maurice Kain Glasshouse (Drop) Uncoated Midnight</t>
  </si>
  <si>
    <t>Maurice Kain Glasshouse (Drop) Uncoated Spring</t>
  </si>
  <si>
    <t>Maurice Kain Glasshouse (Drop) Uncoated TBA</t>
  </si>
  <si>
    <t>Zepel Chopin (Drop) Uncoated Flint</t>
  </si>
  <si>
    <t>Zepel Chopin (Drop) Uncoated Liquorice</t>
  </si>
  <si>
    <t>Zepel Chopin (Drop) Uncoated Sesame</t>
  </si>
  <si>
    <t>Zepel Chopin (Drop) Uncoated Silver</t>
  </si>
  <si>
    <t>Zepel Chopin (Drop) Uncoated Tinsel</t>
  </si>
  <si>
    <t>Zepel Chopin (Drop) Uncoated TBA</t>
  </si>
  <si>
    <t>Maurice Kain Southport (Continuous) Sheer Ivory</t>
  </si>
  <si>
    <t>Maurice Kain Southport (Continuous) Sheer Natural</t>
  </si>
  <si>
    <t>Maurice Kain Southport (Continuous) Sheer Husk</t>
  </si>
  <si>
    <t>Maurice Kain Southport (Continuous) Sheer Birch</t>
  </si>
  <si>
    <t>Maurice Kain Southport (Continuous) Sheer Sienna</t>
  </si>
  <si>
    <t>Maurice Kain Southport (Continuous) Sheer Petal</t>
  </si>
  <si>
    <t>Maurice Kain Southport (Continuous) Sheer Blush</t>
  </si>
  <si>
    <t>Maurice Kain Southport (Continuous) Sheer Duck Egg</t>
  </si>
  <si>
    <t>Maurice Kain Southport (Continuous) Sheer Adriatic</t>
  </si>
  <si>
    <t>Maurice Kain Southport (Continuous) Sheer Teal</t>
  </si>
  <si>
    <t>Maurice Kain Southport (Continuous) Sheer Forest</t>
  </si>
  <si>
    <t>Maurice Kain Southport (Continuous) Sheer Navy</t>
  </si>
  <si>
    <t>Hoad Vermont 2nd Edition (Continuous) Uncoated Off White</t>
  </si>
  <si>
    <t>Hoad Vermont 2nd Edition (Continuous) Uncoated Natural</t>
  </si>
  <si>
    <t>Hoad Vermont 2nd Edition (Continuous) Uncoated Flax</t>
  </si>
  <si>
    <t>Hoad Vermont 2nd Edition (Continuous) Uncoated Ore</t>
  </si>
  <si>
    <t>Hoad Vermont 2nd Edition (Continuous) Uncoated TBA</t>
  </si>
  <si>
    <t>Hoad Mossman (Continuous) Sheer Blue</t>
  </si>
  <si>
    <t>100% Polyester with weighted base</t>
  </si>
  <si>
    <t>Hoad Mossman (Continuous) Sheer Green</t>
  </si>
  <si>
    <t>Hoad Mossman (Continuous) Sheer Burgundy</t>
  </si>
  <si>
    <t>Hoad Mossman (Continuous) Sheer Charcoal</t>
  </si>
  <si>
    <t>Hoad Mossman (Continuous) Sheer TBA</t>
  </si>
  <si>
    <t>Zepel Occurrence (Continuous) Sheer Aqua</t>
  </si>
  <si>
    <t>Zepel Occurrence (Continuous) Sheer Beaver</t>
  </si>
  <si>
    <t>Zepel Occurrence (Continuous) Sheer Biscuit</t>
  </si>
  <si>
    <t>Zepel Occurrence (Continuous) Sheer Caramel</t>
  </si>
  <si>
    <t>Zepel Occurrence (Continuous) Sheer Duckegg</t>
  </si>
  <si>
    <t>Zepel Occurrence (Continuous) Sheer Fossil</t>
  </si>
  <si>
    <t>Zepel Occurrence (Continuous) Sheer Funghi</t>
  </si>
  <si>
    <t>Zepel Occurrence (Continuous) Sheer Greige</t>
  </si>
  <si>
    <t>Zepel Occurrence (Continuous) Sheer Griffin</t>
  </si>
  <si>
    <t>Zepel Occurrence (Continuous) Sheer Hydro</t>
  </si>
  <si>
    <t>Zepel Occurrence (Continuous) Sheer Linen</t>
  </si>
  <si>
    <t>Zepel Occurrence (Continuous) Sheer Macaroon</t>
  </si>
  <si>
    <t>Zepel Occurrence (Continuous) Sheer Natural</t>
  </si>
  <si>
    <t>Zepel Occurrence (Continuous) Sheer Pesto</t>
  </si>
  <si>
    <t>Zepel Occurrence (Continuous) Sheer TBA</t>
  </si>
  <si>
    <t>Zepel Descartes (Continuous) Sheer Flax</t>
  </si>
  <si>
    <t>52% Linen 32% Recycled Polyester 16% Organic Cotton</t>
  </si>
  <si>
    <t>Zepel Descartes (Continuous) Sheer Fossil</t>
  </si>
  <si>
    <t>Zepel Descartes (Continuous) Sheer Ivory</t>
  </si>
  <si>
    <t>Zepel Descartes (Continuous) Sheer Oyster</t>
  </si>
  <si>
    <t>Zepel Descartes (Continuous) Sheer Stone</t>
  </si>
  <si>
    <t>Zepel Descartes (Continuous) Sheer Stucco</t>
  </si>
  <si>
    <t>Zepel Descartes (Continuous) Sheer Swan</t>
  </si>
  <si>
    <t>Zepel Descartes (Continuous) Sheer TBA</t>
  </si>
  <si>
    <t>Zepel Focus (Continuous) Sheer Blush</t>
  </si>
  <si>
    <t>63% Recycled Polyester 37% Polyester</t>
  </si>
  <si>
    <t>Zepel Focus (Continuous) Sheer Boudoir</t>
  </si>
  <si>
    <t>Zepel Focus (Continuous) Sheer Charcoal</t>
  </si>
  <si>
    <t>Zepel Focus (Continuous) Sheer Denim</t>
  </si>
  <si>
    <t>Zepel Focus (Continuous) Sheer Duckegg</t>
  </si>
  <si>
    <t>Zepel Focus (Continuous) Sheer Elephant</t>
  </si>
  <si>
    <t>Zepel Focus (Continuous) Sheer Forest</t>
  </si>
  <si>
    <t>Zepel Focus (Continuous) Sheer Ice</t>
  </si>
  <si>
    <t>Zepel Focus (Continuous) Sheer Linen</t>
  </si>
  <si>
    <t>Zepel Focus (Continuous) Sheer Navy</t>
  </si>
  <si>
    <t>Zepel Focus (Continuous) Sheer Parma</t>
  </si>
  <si>
    <t>Zepel Focus (Continuous) Sheer Pearl</t>
  </si>
  <si>
    <t>Zepel Focus (Continuous) Sheer Pewter</t>
  </si>
  <si>
    <t>Zepel Focus (Continuous) Sheer Putty</t>
  </si>
  <si>
    <t>Zepel Focus (Continuous) Sheer Quartz</t>
  </si>
  <si>
    <t>Zepel Focus (Continuous) Sheer Silver</t>
  </si>
  <si>
    <t>Zepel Focus (Continuous) Sheer Sky</t>
  </si>
  <si>
    <t>Zepel Focus (Continuous) Sheer Snow</t>
  </si>
  <si>
    <t>Zepel Focus (Continuous) Sheer Storm</t>
  </si>
  <si>
    <t>Zepel Focus (Continuous) Sheer Terra</t>
  </si>
  <si>
    <t>Zepel Focus (Continuous) Sheer TBA</t>
  </si>
  <si>
    <t>Warwick Grove (Continuous) Uncoated Aegean</t>
  </si>
  <si>
    <t>Warwick Grove (Continuous) Uncoated Almond</t>
  </si>
  <si>
    <t>Warwick Grove (Continuous) Uncoated Ash</t>
  </si>
  <si>
    <t>Warwick Grove (Continuous) Uncoated Asphalt</t>
  </si>
  <si>
    <t>Warwick Grove (Continuous) Uncoated Bark</t>
  </si>
  <si>
    <t>Warwick Grove (Continuous) Uncoated Celadon</t>
  </si>
  <si>
    <t>Warwick Grove (Continuous) Uncoated Charcoal</t>
  </si>
  <si>
    <t>Warwick Grove (Continuous) Uncoated Dew</t>
  </si>
  <si>
    <t>Warwick Grove (Continuous) Uncoated Driftwood</t>
  </si>
  <si>
    <t>Warwick Grove (Continuous) Uncoated Frost</t>
  </si>
  <si>
    <t>Warwick Grove (Continuous) Uncoated Ivory</t>
  </si>
  <si>
    <t>Warwick Grove (Continuous) Uncoated Mushroom</t>
  </si>
  <si>
    <t>Warwick Grove (Continuous) Uncoated Musk</t>
  </si>
  <si>
    <t>Warwick Grove (Continuous) Uncoated Nougat</t>
  </si>
  <si>
    <t>Warwick Grove (Continuous) Uncoated Ocean</t>
  </si>
  <si>
    <t>Warwick Grove (Continuous) Uncoated Oyster</t>
  </si>
  <si>
    <t>Warwick Grove (Continuous) Uncoated Pine</t>
  </si>
  <si>
    <t>Warwick Grove (Continuous) Uncoated Rosewood</t>
  </si>
  <si>
    <t>Warwick Grove (Continuous) Uncoated Steel</t>
  </si>
  <si>
    <t>Warwick Grove (Continuous) Uncoated Storm</t>
  </si>
  <si>
    <t>Warwick Grove (Continuous) Uncoated Straw</t>
  </si>
  <si>
    <t>Warwick Grove (Continuous) Uncoated Taupe</t>
  </si>
  <si>
    <t>Warwick Grove (Continuous) Uncoated Walnut</t>
  </si>
  <si>
    <t>Warwick Grove (Continuous) Uncoated TBA</t>
  </si>
  <si>
    <t>Filigree Halifax (Continuous) Coated Marble</t>
  </si>
  <si>
    <t>Filigree Halifax (Continuous) Coated Slate</t>
  </si>
  <si>
    <t>Filigree Halifax (Continuous) Coated Fossil</t>
  </si>
  <si>
    <t>Filigree Halifax (Continuous) Coated Stone</t>
  </si>
  <si>
    <t>Filigree Halifax (Continuous) Coated Linen</t>
  </si>
  <si>
    <t>Filigree Halifax (Continuous) Coated Ash</t>
  </si>
  <si>
    <t>Filigree Halifax (Continuous) Coated Cloud</t>
  </si>
  <si>
    <t>Filigree Halifax (Continuous) Coated Chalk</t>
  </si>
  <si>
    <t>Filigree Halifax (Continuous) Coated TBA</t>
  </si>
  <si>
    <t>Maurice Kain Mornington (Drop) Uncoated Pacific</t>
  </si>
  <si>
    <t>Maurice Kain Mornington (Drop) Uncoated Silver Gull</t>
  </si>
  <si>
    <t>Maurice Kain Mornington (Drop) Uncoated Coastal</t>
  </si>
  <si>
    <t>Maurice Kain Mornington (Drop) Uncoated TBA</t>
  </si>
  <si>
    <t>Maurice Kain Lorne (Drop) Uncoated Pacific</t>
  </si>
  <si>
    <t>Maurice Kain Lorne (Drop) Uncoated Silver Gull</t>
  </si>
  <si>
    <t>Maurice Kain Lorne (Drop) Uncoated Coastal</t>
  </si>
  <si>
    <t>Maurice Kain Lorne (Drop) Uncoated TBA</t>
  </si>
  <si>
    <t>Maurice Kain Hastings (Drop) Uncoated Pacific</t>
  </si>
  <si>
    <t>Maurice Kain Hastings (Drop) Uncoated Silver Gull</t>
  </si>
  <si>
    <t>Maurice Kain Hastings (Drop) Uncoated Coastal</t>
  </si>
  <si>
    <t>Maurice Kain Hastings (Drop) Uncoated TBA</t>
  </si>
  <si>
    <t>Maurice Kain Bellarine (Drop) Uncoated Pacific</t>
  </si>
  <si>
    <t>Maurice Kain Bellarine (Drop) Uncoated Silver Gull</t>
  </si>
  <si>
    <t>Maurice Kain Bellarine (Drop) Uncoated Coastal</t>
  </si>
  <si>
    <t>Maurice Kain Bellarine (Drop) Uncoated TBA</t>
  </si>
  <si>
    <t>Hoad Orbit 2nd Edition (Continuous) Coated Feather</t>
  </si>
  <si>
    <t>Hoad Orbit 2nd Edition (Continuous) Coated Moonlight</t>
  </si>
  <si>
    <t xml:space="preserve">Hoad Orbit 2nd Edition (Continuous) Coated Opal </t>
  </si>
  <si>
    <t>Hoad Orbit 2nd Edition (Continuous) Coated Linen</t>
  </si>
  <si>
    <t>Hoad Orbit 2nd Edition (Continuous) Coated Pepper</t>
  </si>
  <si>
    <t>Hoad Orbit 2nd Edition (Continuous) Coated Graphite</t>
  </si>
  <si>
    <t>Hoad Orbit 2nd Edition (Continuous) Coated TBA</t>
  </si>
  <si>
    <t>Hoad Everest Softweave (Continuous) Dim Out Silver</t>
  </si>
  <si>
    <t>Hoad Everest Softweave (Continuous) Dim Out Linen</t>
  </si>
  <si>
    <t>Hoad Everest Softweave (Continuous) Dim Out Stone</t>
  </si>
  <si>
    <t>Hoad Everest Softweave (Continuous) Dim Out Denim</t>
  </si>
  <si>
    <t>Hoad Everest Softweave (Continuous) Dim Out Graphite</t>
  </si>
  <si>
    <t>Hoad Everest Softweave (Continuous) Dim Out TBA</t>
  </si>
  <si>
    <t>Hook Colour</t>
  </si>
  <si>
    <t>Motorised Saber 240v Remote Track</t>
  </si>
  <si>
    <t>Remote Control</t>
  </si>
  <si>
    <t>Motorised Saber 240v Switch Track</t>
  </si>
  <si>
    <t>Motorised Saber 12v Remote Track</t>
  </si>
  <si>
    <t>S-Fold Motorised Saber 240v Remote Track</t>
  </si>
  <si>
    <t>S-Fold Motorised Saber 12v Remote Track</t>
  </si>
  <si>
    <t>S-Fold Motorised Saber 240v Switch Track</t>
  </si>
  <si>
    <t>Wavefold Motorised Saber 240v Remote Track</t>
  </si>
  <si>
    <t>Wavefold Motorised Saber 240v Switch Track</t>
  </si>
  <si>
    <t>Wavefold Motorised Saber 12v Remote Track</t>
  </si>
  <si>
    <t>Saber 100 Runners</t>
  </si>
  <si>
    <t>Saber 75 Runners</t>
  </si>
  <si>
    <t>DBS Saber Tracks</t>
  </si>
  <si>
    <t>TBS Saber Tracks</t>
  </si>
  <si>
    <t>Slender Morris Casablanca (Panama) (Drop) Uncoated Badriya 1013</t>
  </si>
  <si>
    <t>Slender Morris Casablanca (Panama) (Drop) Uncoated Badriya 1018</t>
  </si>
  <si>
    <t>Slender Morris Casablanca (Panama) (Drop) Uncoated Badriya 1019</t>
  </si>
  <si>
    <t>Slender Morris Casablanca (Panama) (Drop) Uncoated Badriya 1020</t>
  </si>
  <si>
    <t>Slender Morris Casablanca (Panama) (Drop) Uncoated Badriya TBA</t>
  </si>
  <si>
    <t>Slender Morris Casablanca (Velvet) (Drop) Uncoated Badriya 1013</t>
  </si>
  <si>
    <t>Slender Morris Casablanca (Velvet) (Drop) Uncoated Badriya 1018</t>
  </si>
  <si>
    <t>Slender Morris Casablanca (Velvet) (Drop) Uncoated Badriya 1019</t>
  </si>
  <si>
    <t>Slender Morris Casablanca (Velvet) (Drop) Uncoated Badriya 1020</t>
  </si>
  <si>
    <t>Slender Morris Casablanca (Velvet) (Drop) Uncoated Badriya TBA</t>
  </si>
  <si>
    <t>Slender Morris Casablanca (Panama) (Drop) Uncoated Belgian Rose 1007</t>
  </si>
  <si>
    <t>Slender Morris Casablanca (Panama) (Drop) Uncoated Belgian Rose 1008</t>
  </si>
  <si>
    <t>Slender Morris Casablanca (Panama) (Drop) Uncoated Belgian Rose 1014</t>
  </si>
  <si>
    <t>Slender Morris Casablanca (Panama) (Drop) Uncoated Belgian Rose 1029</t>
  </si>
  <si>
    <t>Slender Morris Casablanca (Panama) (Drop) Uncoated Belgian Rose TBA</t>
  </si>
  <si>
    <t>Slender Morris Casablanca (Velvet) (Drop) Uncoated Belgian Rose 1007</t>
  </si>
  <si>
    <t>Slender Morris Casablanca (Velvet) (Drop) Uncoated Belgian Rose 1008</t>
  </si>
  <si>
    <t>Slender Morris Casablanca (Velvet) (Drop) Uncoated Belgian Rose 1014</t>
  </si>
  <si>
    <t>Slender Morris Casablanca (Velvet) (Drop) Uncoated Belgian Rose 1029</t>
  </si>
  <si>
    <t>Slender Morris Casablanca (Velvet) (Drop) Uncoated Belgian Rose TBA</t>
  </si>
  <si>
    <t>Slender Morris Casablanca (Panama) (Drop) Uncoated Agnes 1001</t>
  </si>
  <si>
    <t>Slender Morris Casablanca (Panama) (Drop) Uncoated Agnes 1003</t>
  </si>
  <si>
    <t>Slender Morris Casablanca (Panama) (Drop) Uncoated Agnes 1005</t>
  </si>
  <si>
    <t>Slender Morris Casablanca (Panama) (Drop) Uncoated Agnes 1010</t>
  </si>
  <si>
    <t>Slender Morris Casablanca (Panama) (Drop) Uncoated Agnes 1014</t>
  </si>
  <si>
    <t>Slender Morris Casablanca (Panama) (Drop) Uncoated Agnes 1019</t>
  </si>
  <si>
    <t>Slender Morris Casablanca (Panama) (Drop) Uncoated Agnes TBA</t>
  </si>
  <si>
    <t>Slender Morris Casablanca (Velvet) (Drop) Uncoated Agnes 1001</t>
  </si>
  <si>
    <t>Slender Morris Casablanca (Velvet) (Drop) Uncoated Agnes 1003</t>
  </si>
  <si>
    <t>Slender Morris Casablanca (Velvet) (Drop) Uncoated Agnes 1005</t>
  </si>
  <si>
    <t>Slender Morris Casablanca (Velvet) (Drop) Uncoated Agnes 1010</t>
  </si>
  <si>
    <t>Slender Morris Casablanca (Velvet) (Drop) Uncoated Agnes 1014</t>
  </si>
  <si>
    <t>Slender Morris Casablanca (Velvet) (Drop) Uncoated Agnes 1019</t>
  </si>
  <si>
    <t>Slender Morris Casablanca (Velvet) (Drop) Uncoated Agnes TBA</t>
  </si>
  <si>
    <t>Slender Morris Casablanca (Panama) (Drop) Uncoated Leaf Art 1001</t>
  </si>
  <si>
    <t>Slender Morris Casablanca (Panama) (Drop) Uncoated Leaf Art 1003</t>
  </si>
  <si>
    <t>Slender Morris Casablanca (Panama) (Drop) Uncoated Leaf Art 1028</t>
  </si>
  <si>
    <t>Slender Morris Casablanca (Panama) (Drop) Uncoated Leaf Art 1029</t>
  </si>
  <si>
    <t>Slender Morris Casablanca (Panama) (Drop) Uncoated Leaf Art 1038</t>
  </si>
  <si>
    <t>Slender Morris Casablanca (Panama) (Drop) Uncoated Leaf Art TBA</t>
  </si>
  <si>
    <t>Slender Morris Casablanca (Velvet) (Drop) Uncoated Leaf Art 1001</t>
  </si>
  <si>
    <t>Slender Morris Casablanca (Velvet) (Drop) Uncoated Leaf Art 1003</t>
  </si>
  <si>
    <t>Slender Morris Casablanca (Velvet) (Drop) Uncoated Leaf Art 1028</t>
  </si>
  <si>
    <t>Slender Morris Casablanca (Velvet) (Drop) Uncoated Leaf Art 1029</t>
  </si>
  <si>
    <t>Slender Morris Casablanca (Velvet) (Drop) Uncoated Leaf Art 1038</t>
  </si>
  <si>
    <t>Slender Morris Casablanca (Velvet) (Drop) Uncoated Leaf Art TBA</t>
  </si>
  <si>
    <t>FixedLine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</si>
  <si>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</si>
  <si>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</si>
  <si>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</si>
  <si>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</si>
  <si>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</si>
  <si>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</si>
  <si>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</si>
  <si>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</si>
  <si>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</si>
  <si>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</si>
  <si>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</si>
  <si>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</si>
  <si>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</si>
  <si>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</si>
  <si>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</si>
  <si>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</si>
  <si>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</si>
  <si>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</si>
  <si>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</si>
  <si>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CustVar1 (PackSize)</t>
  </si>
  <si>
    <t>CustVar2 (PackOpt)</t>
  </si>
  <si>
    <t>CustVar3 (PackType)</t>
  </si>
  <si>
    <t>OrderItemPkId | Descn</t>
  </si>
  <si>
    <t>OrderItemPkId</t>
  </si>
  <si>
    <t>StrValue</t>
  </si>
  <si>
    <t>Motorised Acmeda 12v Remote Curtain Track</t>
  </si>
  <si>
    <t>Motorised Acmeda 240v Remote Curtain Track</t>
  </si>
  <si>
    <t>Motorised Somfy 12v Remote Curtain Track</t>
  </si>
  <si>
    <t>Motorised Somfy 240v Remote Curtain Track</t>
  </si>
  <si>
    <t>Motorised Somfy 240v Switch Curtain Track</t>
  </si>
  <si>
    <t>S-Fold Motorised Acmeda 12v Remote Curtain Track</t>
  </si>
  <si>
    <t>S-Fold Motorised Acmeda 240v Remote Curtain Track</t>
  </si>
  <si>
    <t>S-Fold Motorised Somfy 12v Remote Curtain Track</t>
  </si>
  <si>
    <t>S-Fold Motorised Somfy 240v Switch Curtain Track</t>
  </si>
  <si>
    <t>S-Fold Motorised Somfy 240v Remote Curtain Track</t>
  </si>
  <si>
    <t>Wavefold Motorised Acmeda 12v Remote Curtain Track</t>
  </si>
  <si>
    <t>Wavefold Motorised Acmeda 240v Remote Curtain Track</t>
  </si>
  <si>
    <t>Wavefold Motorised Somfy 240v Remote Curtain Track</t>
  </si>
  <si>
    <t>Wavefold Motorised Somfy 12v Remote Curtain Track</t>
  </si>
  <si>
    <t>Wavefold Motorised Somfy 240v Switch Curtain Track</t>
  </si>
  <si>
    <t>Double Pinch Pleat (Standard Fullness x 2.1)</t>
  </si>
  <si>
    <t>Double Pinch Pleat (Extra Fullness x 2.3)</t>
  </si>
  <si>
    <t>Double Pinch Pleat (Less Fullness x 2)</t>
  </si>
  <si>
    <t>Maurice Kain Pampas (Drop) Uncoated Silver</t>
  </si>
  <si>
    <t>Polyester / Cotton / Linen</t>
  </si>
  <si>
    <t>Maurice Kain Pampas (Drop) Uncoated Linen</t>
  </si>
  <si>
    <t>Maurice Kain Pampas (Drop) Uncoated Zest</t>
  </si>
  <si>
    <t>Maurice Kain Pampas (Drop) Uncoated Celadon</t>
  </si>
  <si>
    <t>Maurice Kain Pampas (Drop) Uncoated Duck Egg</t>
  </si>
  <si>
    <t>Maurice Kain Pampas (Drop) Uncoated Ash</t>
  </si>
  <si>
    <t>Maurice Kain Pampas (Drop) Uncoated Shadow</t>
  </si>
  <si>
    <t>Maurice Kain Pampas (Drop) Uncoated TBA</t>
  </si>
  <si>
    <t>Maurice Kain Sage (Drop) Uncoated Silver</t>
  </si>
  <si>
    <t>Maurice Kain Sage (Drop) Uncoated Linen</t>
  </si>
  <si>
    <t>Maurice Kain Sage (Drop) Uncoated Zest</t>
  </si>
  <si>
    <t>Maurice Kain Sage (Drop) Uncoated Celadon</t>
  </si>
  <si>
    <t>Maurice Kain Sage (Drop) Uncoated Duck Egg</t>
  </si>
  <si>
    <t>Maurice Kain Sage (Drop) Uncoated Ash</t>
  </si>
  <si>
    <t>Maurice Kain Sage (Drop) Uncoated Shadow</t>
  </si>
  <si>
    <t>Maurice Kain Sage (Drop) Uncoated TBA</t>
  </si>
  <si>
    <t>Maurice Kain Aster (Continuous) Sheer White</t>
  </si>
  <si>
    <t>100% Polyester Weighted Base</t>
  </si>
  <si>
    <t>Maurice Kain Aster (Continuous) Sheer Blue</t>
  </si>
  <si>
    <t>Maurice Kain Aster (Continuous) Sheer Grey</t>
  </si>
  <si>
    <t>Maurice Kain Aster (Continuous) Sheer TBA</t>
  </si>
  <si>
    <t>Tapes Coming From</t>
  </si>
  <si>
    <t>Maurice Kain Brooklyn (Drop) Coated Drift</t>
  </si>
  <si>
    <t>Maurice Kain Brooklyn (Drop) Coated Enigma</t>
  </si>
  <si>
    <t>Maurice Kain Brooklyn (Drop) Coated Glacier</t>
  </si>
  <si>
    <t>Maurice Kain Brooklyn (Drop) Coated Gravel</t>
  </si>
  <si>
    <t>Maurice Kain Brooklyn (Drop) Coated Ink</t>
  </si>
  <si>
    <t>Maurice Kain Brooklyn (Drop) Coated Ivory</t>
  </si>
  <si>
    <t>Maurice Kain Brooklyn (Drop) Coated Latte</t>
  </si>
  <si>
    <t>Maurice Kain Brooklyn (Drop) Coated Malt</t>
  </si>
  <si>
    <t>Maurice Kain Brooklyn (Drop) Coated Marina</t>
  </si>
  <si>
    <t>Maurice Kain Brooklyn (Drop) Coated Moccachino</t>
  </si>
  <si>
    <t>Maurice Kain Brooklyn (Drop) Coated Moss Grey</t>
  </si>
  <si>
    <t>Maurice Kain Brooklyn (Drop) Coated Oyster</t>
  </si>
  <si>
    <t>Maurice Kain Brooklyn (Drop) Coated Phantom</t>
  </si>
  <si>
    <t>Maurice Kain Brooklyn (Drop) Coated Porpoise</t>
  </si>
  <si>
    <t>Maurice Kain Brooklyn (Drop) Coated Sage</t>
  </si>
  <si>
    <t>Maurice Kain Brooklyn (Drop) Coated Secret</t>
  </si>
  <si>
    <t>Maurice Kain Brooklyn (Drop) Coated Serene</t>
  </si>
  <si>
    <t>Maurice Kain Brooklyn (Drop) Coated Soho</t>
  </si>
  <si>
    <t>Maurice Kain Brooklyn (Drop) Coated Spice</t>
  </si>
  <si>
    <t>Maurice Kain Brooklyn (Drop) Coated Spray</t>
  </si>
  <si>
    <t>Maurice Kain Brooklyn (Drop) Coated Taupe</t>
  </si>
  <si>
    <t>Maurice Kain Brooklyn (Drop) Coated TBA</t>
  </si>
  <si>
    <t>Maurice Kain Brooklyn (Drop) Coated Umber</t>
  </si>
  <si>
    <t>Maurice Kain Brooklyn (Drop) Coated Walnut</t>
  </si>
  <si>
    <t>Maurice Kain Brooklyn (Drop) Coated Wholemeal</t>
  </si>
  <si>
    <t>Top of Curtain to Top Hook</t>
  </si>
  <si>
    <t>Clarke &amp; Clarke Honesty (Drop) Uncoated Blush</t>
  </si>
  <si>
    <t>Clarke &amp; Clarke Honesty (Drop) Uncoated Linen</t>
  </si>
  <si>
    <t>Clarke &amp; Clarke Honesty (Drop) Uncoated Natural</t>
  </si>
  <si>
    <t>Clarke &amp; Clarke Honesty (Drop) Uncoated Natural/Gilver</t>
  </si>
  <si>
    <t>Clarke &amp; Clarke Honesty (Drop) Uncoated TBA</t>
  </si>
  <si>
    <t>Hoad Breeze (Drop) Sheer Ash</t>
  </si>
  <si>
    <t>Hoad Breeze (Drop) Sheer Charcoal</t>
  </si>
  <si>
    <t>Hoad Breeze (Drop) Sheer Flax</t>
  </si>
  <si>
    <t>Hoad Breeze (Drop) Sheer Graphite</t>
  </si>
  <si>
    <t>Hoad Breeze (Drop) Sheer Lichen</t>
  </si>
  <si>
    <t>Hoad Breeze (Drop) Sheer Linen</t>
  </si>
  <si>
    <t>Hoad Breeze (Drop) Sheer Natural</t>
  </si>
  <si>
    <t>Hoad Breeze (Drop) Sheer White</t>
  </si>
  <si>
    <t>Hoad Breeze (Drop) Sheer Rope</t>
  </si>
  <si>
    <t>Hoad Breeze (Drop) Sheer TBA</t>
  </si>
  <si>
    <t>Inside Pelmet</t>
  </si>
  <si>
    <t>Villa Textiles Champs Elysees (Drop) Uncoated TBA</t>
  </si>
  <si>
    <t>82% Polyester 18% Cotton</t>
  </si>
  <si>
    <t>Villa Textiles Eiffel Tower (Drop) Uncoated TBA</t>
  </si>
  <si>
    <t>Villa Textiles Notre Dame (Drop) Uncoated TBA</t>
  </si>
  <si>
    <t>Slender Morris Hartford (Drop) Uncoated Aqua</t>
  </si>
  <si>
    <t>100% BCI Cotton</t>
  </si>
  <si>
    <t>Slender Morris Hartford (Drop) Uncoated Mineral</t>
  </si>
  <si>
    <t>Slender Morris Hartford (Drop) Uncoated Raspberry</t>
  </si>
  <si>
    <t>Slender Morris Hartford (Drop) Uncoated Riviera</t>
  </si>
  <si>
    <t>Slender Morris Hartford (Drop) Uncoated Stone</t>
  </si>
  <si>
    <t>Slender Morris Hartford (Drop) Uncoated Taupe</t>
  </si>
  <si>
    <t>Slender Morris Hartford (Drop) Uncoated Willow</t>
  </si>
  <si>
    <t>Slender Morris Hartford (Drop) Uncoated TBA</t>
  </si>
  <si>
    <t>Slender Morris Keene (Drop) Uncoated Aqua</t>
  </si>
  <si>
    <t>Slender Morris Keene (Drop) Uncoated Grape</t>
  </si>
  <si>
    <t>Slender Morris Keene (Drop) Uncoated Nautical</t>
  </si>
  <si>
    <t>Slender Morris Keene (Drop) Uncoated Olive</t>
  </si>
  <si>
    <t>Slender Morris Keene (Drop) Uncoated Riviera</t>
  </si>
  <si>
    <t>Slender Morris Keene (Drop) Uncoated Stone</t>
  </si>
  <si>
    <t>Slender Morris Keene (Drop) Uncoated TBA</t>
  </si>
  <si>
    <t>Slender Morris Lowell (Drop) Uncoated Aqua</t>
  </si>
  <si>
    <t>Slender Morris Lowell (Drop) Uncoated Citrus</t>
  </si>
  <si>
    <t>Slender Morris Lowell (Drop) Uncoated Grape</t>
  </si>
  <si>
    <t>Slender Morris Lowell (Drop) Uncoated Linen</t>
  </si>
  <si>
    <t>Slender Morris Lowell (Drop) Uncoated Nautical</t>
  </si>
  <si>
    <t>Slender Morris Lowell (Drop) Uncoated Olive</t>
  </si>
  <si>
    <t>Slender Morris Lowell (Drop) Uncoated Raspberry</t>
  </si>
  <si>
    <t>Slender Morris Lowell (Drop) Uncoated Riviera</t>
  </si>
  <si>
    <t>Slender Morris Lowell (Drop) Uncoated Rose</t>
  </si>
  <si>
    <t>Slender Morris Lowell (Drop) Uncoated TBA</t>
  </si>
  <si>
    <t>Slender Morris Maine (Drop) Uncoated Aqua</t>
  </si>
  <si>
    <t>Slender Morris Maine (Drop) Uncoated Grape</t>
  </si>
  <si>
    <t>Slender Morris Maine (Drop) Uncoated Kingfisher</t>
  </si>
  <si>
    <t>Slender Morris Maine (Drop) Uncoated Linen</t>
  </si>
  <si>
    <t>Slender Morris Maine (Drop) Uncoated Mineral</t>
  </si>
  <si>
    <t>Slender Morris Maine (Drop) Uncoated Nautical</t>
  </si>
  <si>
    <t>Slender Morris Maine (Drop) Uncoated Olive</t>
  </si>
  <si>
    <t>Slender Morris Maine (Drop) Uncoated Raspberry</t>
  </si>
  <si>
    <t>Slender Morris Maine (Drop) Uncoated Rose</t>
  </si>
  <si>
    <t>Slender Morris Maine (Drop) Uncoated TBA</t>
  </si>
  <si>
    <t>Slender Morris Newport (Drop) Uncoated Aqua</t>
  </si>
  <si>
    <t>Slender Morris Newport (Drop) Uncoated Citrus</t>
  </si>
  <si>
    <t>Slender Morris Newport (Drop) Uncoated Flint</t>
  </si>
  <si>
    <t>Slender Morris Newport (Drop) Uncoated Grape</t>
  </si>
  <si>
    <t>Slender Morris Newport (Drop) Uncoated Kingfisher</t>
  </si>
  <si>
    <t>Slender Morris Newport (Drop) Uncoated Linen</t>
  </si>
  <si>
    <t>Slender Morris Newport (Drop) Uncoated Mineral</t>
  </si>
  <si>
    <t>Slender Morris Newport (Drop) Uncoated Olive</t>
  </si>
  <si>
    <t>Slender Morris Newport (Drop) Uncoated Raspberry</t>
  </si>
  <si>
    <t>Slender Morris Newport (Drop) Uncoated Riviera</t>
  </si>
  <si>
    <t>Slender Morris Newport (Drop) Uncoated Rose</t>
  </si>
  <si>
    <t>Slender Morris Newport (Drop) Uncoated Rouge</t>
  </si>
  <si>
    <t>Slender Morris Newport (Drop) Uncoated Willow</t>
  </si>
  <si>
    <t>Slender Morris Newport (Drop) Uncoated TBA</t>
  </si>
  <si>
    <t>Slender Morris Portland (Drop) Uncoated Aqua</t>
  </si>
  <si>
    <t>Slender Morris Portland (Drop) Uncoated Citrus</t>
  </si>
  <si>
    <t>Slender Morris Portland (Drop) Uncoated Grape</t>
  </si>
  <si>
    <t>Slender Morris Portland (Drop) Uncoated Linen</t>
  </si>
  <si>
    <t>Slender Morris Portland (Drop) Uncoated Mineral</t>
  </si>
  <si>
    <t>Slender Morris Portland (Drop) Uncoated Raspberry</t>
  </si>
  <si>
    <t>Slender Morris Portland (Drop) Uncoated Riviera</t>
  </si>
  <si>
    <t>Slender Morris Portland (Drop) Uncoated Rose</t>
  </si>
  <si>
    <t>Slender Morris Portland (Drop) Uncoated TBA</t>
  </si>
  <si>
    <t>Slender Morris Somerville (Drop) Uncoated Aqua</t>
  </si>
  <si>
    <t>Slender Morris Somerville (Drop) Uncoated Citrus</t>
  </si>
  <si>
    <t>Slender Morris Somerville (Drop) Uncoated Grape</t>
  </si>
  <si>
    <t>Slender Morris Somerville (Drop) Uncoated Linen</t>
  </si>
  <si>
    <t>Slender Morris Somerville (Drop) Uncoated Mineral</t>
  </si>
  <si>
    <t>Slender Morris Somerville (Drop) Uncoated Nautical</t>
  </si>
  <si>
    <t>Slender Morris Somerville (Drop) Uncoated Olive</t>
  </si>
  <si>
    <t>Slender Morris Somerville (Drop) Uncoated Raspberry</t>
  </si>
  <si>
    <t>Slender Morris Somerville (Drop) Uncoated Riviera</t>
  </si>
  <si>
    <t>Slender Morris Somerville (Drop) Uncoated Rose</t>
  </si>
  <si>
    <t>Slender Morris Somerville (Drop) Uncoated TBA</t>
  </si>
  <si>
    <t>Slender Morris Stamford (Drop) Uncoated Kingfisher</t>
  </si>
  <si>
    <t>Slender Morris Stamford (Drop) Uncoated Mineral</t>
  </si>
  <si>
    <t>Slender Morris Stamford (Drop) Uncoated Riviera</t>
  </si>
  <si>
    <t>Slender Morris Stamford (Drop) Uncoated TBA</t>
  </si>
  <si>
    <t>Slender Morris Vermont (Drop) Uncoated Aqua</t>
  </si>
  <si>
    <t>Slender Morris Vermont (Drop) Uncoated Citrus</t>
  </si>
  <si>
    <t>Slender Morris Vermont (Drop) Uncoated Glacier</t>
  </si>
  <si>
    <t>Slender Morris Vermont (Drop) Uncoated Grape</t>
  </si>
  <si>
    <t>Slender Morris Vermont (Drop) Uncoated Kingfisher</t>
  </si>
  <si>
    <t>Slender Morris Vermont (Drop) Uncoated Linen</t>
  </si>
  <si>
    <t>Slender Morris Vermont (Drop) Uncoated Mineral</t>
  </si>
  <si>
    <t>Slender Morris Vermont (Drop) Uncoated Mulberry</t>
  </si>
  <si>
    <t>Slender Morris Vermont (Drop) Uncoated Olive</t>
  </si>
  <si>
    <t>Slender Morris Vermont (Drop) Uncoated Raspberry</t>
  </si>
  <si>
    <t>Slender Morris Vermont (Drop) Uncoated Riviera</t>
  </si>
  <si>
    <t>Slender Morris Vermont (Drop) Uncoated Rose</t>
  </si>
  <si>
    <t>Slender Morris Vermont (Drop) Uncoated Rouge</t>
  </si>
  <si>
    <t>Slender Morris Vermont (Drop) Uncoated Slate</t>
  </si>
  <si>
    <t>Slender Morris Vermont (Drop) Uncoated Stone</t>
  </si>
  <si>
    <t>Slender Morris Vermont (Drop) Uncoated Willow</t>
  </si>
  <si>
    <t>Slender Morris Vermont (Drop) Uncoated TBA</t>
  </si>
  <si>
    <t>Slender Morris Waterbury (Drop) Uncoated Aqua</t>
  </si>
  <si>
    <t>Slender Morris Waterbury (Drop) Uncoated Citrus</t>
  </si>
  <si>
    <t>Slender Morris Waterbury (Drop) Uncoated Clay</t>
  </si>
  <si>
    <t>Slender Morris Waterbury (Drop) Uncoated Flint</t>
  </si>
  <si>
    <t>Slender Morris Waterbury (Drop) Uncoated Grape</t>
  </si>
  <si>
    <t>Slender Morris Waterbury (Drop) Uncoated Kingfisher</t>
  </si>
  <si>
    <t>Slender Morris Waterbury (Drop) Uncoated Linen</t>
  </si>
  <si>
    <t>Slender Morris Waterbury (Drop) Uncoated MIneral</t>
  </si>
  <si>
    <t>Slender Morris Waterbury (Drop) Uncoated Olive</t>
  </si>
  <si>
    <t>Slender Morris Waterbury (Drop) Uncoated Raspberry</t>
  </si>
  <si>
    <t>Slender Morris Waterbury (Drop) Uncoated Riviera</t>
  </si>
  <si>
    <t>Slender Morris Waterbury (Drop) Uncoated Rose</t>
  </si>
  <si>
    <t>Slender Morris Waterbury (Drop) Uncoated Rouge</t>
  </si>
  <si>
    <t>Slender Morris Waterbury (Drop) Uncoated Slate</t>
  </si>
  <si>
    <t>Slender Morris Waterbury (Drop) Uncoated Stone</t>
  </si>
  <si>
    <t>Slender Morris Waterbury (Drop) Uncoated Taupe</t>
  </si>
  <si>
    <t>Slender Morris Waterbury (Drop) Uncoated Willow</t>
  </si>
  <si>
    <t>Slender Morris Waterbury (Drop) Uncoated TBA</t>
  </si>
  <si>
    <t>Slender Morris Cameron Col (Continuous) Uncoated Linen</t>
  </si>
  <si>
    <t>Slender Morris Cameron Col (Continuous) Uncoated White/Beige</t>
  </si>
  <si>
    <t>Slender Morris Cameron Col (Continuous) Uncoated TBA</t>
  </si>
  <si>
    <t>Slender Morris Emma Col (Continuous) Uncoated Linen</t>
  </si>
  <si>
    <t>Slender Morris Emma Col (Continuous) Uncoated White</t>
  </si>
  <si>
    <t>Slender Morris Emma Col (Continuous) Uncoated TBA</t>
  </si>
  <si>
    <t>Slender Morris Jessica Col (Continuous) Uncoated Linen</t>
  </si>
  <si>
    <t>Slender Morris Jessica Col (Continuous) Uncoated White</t>
  </si>
  <si>
    <t>Slender Morris Jessica Col (Continuous) Uncoated TBA</t>
  </si>
  <si>
    <t>Slender Morris Julia Col (Continuous) Uncoated Linen</t>
  </si>
  <si>
    <t>Slender Morris Julia Col (Continuous) Uncoated White</t>
  </si>
  <si>
    <t>Slender Morris Julia Col (Continuous) Uncoated TBA</t>
  </si>
  <si>
    <t>Slender Morris Katherine Col (Continuous) Uncoated Linen</t>
  </si>
  <si>
    <t>Slender Morris Katherine Col (Continuous) Uncoated White</t>
  </si>
  <si>
    <t>Slender Morris Katherine Col (Continuous) Uncoated TBA</t>
  </si>
  <si>
    <t>Slender Morris Natalie Col (Continuous) Uncoated Linen</t>
  </si>
  <si>
    <t>Slender Morris Natalie Col (Continuous) Uncoated TBA</t>
  </si>
  <si>
    <t>Slender Morris Nicole (Continuous) Uncoated Linen</t>
  </si>
  <si>
    <t>Slender Morris Nicole (Continuous) Uncoated TBA</t>
  </si>
  <si>
    <t>Slender Morris Scarlet Col (Continuous) Uncoated Ivory</t>
  </si>
  <si>
    <t>Slender Morris Scarlet Col (Continuous) Uncoated TBA</t>
  </si>
  <si>
    <t>Zepel Occurence (Continuous) Sheer Aqua</t>
  </si>
  <si>
    <t>100% PL (PES)</t>
  </si>
  <si>
    <t>Zepel Occurence (Continuous) Sheer Beaver</t>
  </si>
  <si>
    <t>Zepel Occurence (Continuous) Sheer Biscuit</t>
  </si>
  <si>
    <t>Zepel Occurence (Continuous) Sheer Caramel</t>
  </si>
  <si>
    <t>Zepel Occurence (Continuous) Sheer Duckegg</t>
  </si>
  <si>
    <t>Zepel Occurence (Continuous) Sheer Fossil</t>
  </si>
  <si>
    <t>Zepel Occurence (Continuous) Sheer Funghi</t>
  </si>
  <si>
    <t>Zepel Occurence (Continuous) Sheer HGreige</t>
  </si>
  <si>
    <t>Zepel Occurence (Continuous) Sheer Griffin</t>
  </si>
  <si>
    <t>Zepel Occurence (Continuous) Sheer Hydro</t>
  </si>
  <si>
    <t>Zepel Occurence (Continuous) Sheer Linen</t>
  </si>
  <si>
    <t>Zepel Occurence (Continuous) Sheer Macaroon</t>
  </si>
  <si>
    <t xml:space="preserve">Zepel Occurence (Continuous) Sheer Natural </t>
  </si>
  <si>
    <t>Zepel Occurence (Continuous) Sheer Pesto</t>
  </si>
  <si>
    <t>Zepel Occurence (Continuous) Sheer TBA</t>
  </si>
  <si>
    <t>5mm to 15mm</t>
  </si>
  <si>
    <t>15mm to 25mm (Standard)</t>
  </si>
  <si>
    <t>25mm to 35mm</t>
  </si>
  <si>
    <t>35mm to 45mm</t>
  </si>
  <si>
    <t>45mm to 55mm</t>
  </si>
  <si>
    <t>Just off the Floor</t>
  </si>
  <si>
    <t>Just on the Floor</t>
  </si>
  <si>
    <t>Single Left</t>
  </si>
  <si>
    <t>Wavefold Track</t>
  </si>
  <si>
    <t>Single Left &amp; Right</t>
  </si>
  <si>
    <t>Single Right</t>
  </si>
  <si>
    <t>Double Left &amp; Right</t>
  </si>
  <si>
    <t>Wafefold Return</t>
  </si>
  <si>
    <t>White Aluminium Flick Sticks 125cm</t>
  </si>
  <si>
    <t>White Aluminium Flick Sticks 150cm</t>
  </si>
  <si>
    <t>Quote No.</t>
  </si>
  <si>
    <t>Business Name</t>
  </si>
  <si>
    <t>Quote Ref</t>
  </si>
  <si>
    <t>Wavefold Hooks White</t>
  </si>
  <si>
    <t>Wavefold Hooks Black</t>
  </si>
  <si>
    <t>Wavefold White</t>
  </si>
  <si>
    <t>Wavefold Black</t>
  </si>
  <si>
    <t>Streamline White</t>
  </si>
  <si>
    <t>Streamline Matt Black Ink</t>
  </si>
  <si>
    <t>Track Manufacturing</t>
  </si>
  <si>
    <t>Streamline Gliders</t>
  </si>
  <si>
    <t>Wavefold Track White Metres</t>
  </si>
  <si>
    <t>Wavefold Track Black Metres</t>
  </si>
  <si>
    <t>Streamline Track White Metres</t>
  </si>
  <si>
    <t>Streamline Matt Black Ink Metres</t>
  </si>
  <si>
    <t>Streamline Birch White Metres</t>
  </si>
  <si>
    <t>White Aluminium Flick Sticks 100cm</t>
  </si>
  <si>
    <t>Black Aluminium Flick Sticks 100cm</t>
  </si>
  <si>
    <t>Black Aluminium Flick Sticks 125cm</t>
  </si>
  <si>
    <t>Black Aluminium Flick Sticks 150cm</t>
  </si>
  <si>
    <t>Matt Satin Aluminium Flick Sticks 100cm</t>
  </si>
  <si>
    <t>Matt Satin Aluminium Flick Sticks 125cm</t>
  </si>
  <si>
    <t>Matt Satin Aluminium Flick Sticks 150cm</t>
  </si>
  <si>
    <t>Standard Clear Flick Sticks 100cm</t>
  </si>
  <si>
    <t>Standard Clear Flick Sticks 75cm</t>
  </si>
  <si>
    <t>Standard Clear Flick Sticks 125cm</t>
  </si>
  <si>
    <t>Standard Clear Flick Sticks 150cm</t>
  </si>
  <si>
    <t>White Fibreglass 200cm</t>
  </si>
  <si>
    <t>Streamline Single Face Fix Brackets White</t>
  </si>
  <si>
    <t>Streamline Double Face Fix Brackets White</t>
  </si>
  <si>
    <t>Streamline Triple Face Fix Brackets White</t>
  </si>
  <si>
    <t>Wavefold Top Fix Brackets White</t>
  </si>
  <si>
    <t>Wavefold Single Face Fix Brackets White</t>
  </si>
  <si>
    <t>Wavefold Double Face Fix Brackets White</t>
  </si>
  <si>
    <t>Wavefold Triple Face Fix Brackets White</t>
  </si>
  <si>
    <t>Wavefold Top Fix Brackets Black</t>
  </si>
  <si>
    <t>Wavefold Single Face Fix Brackets Black</t>
  </si>
  <si>
    <t>Wavefold Double Face Fix Brackets Black</t>
  </si>
  <si>
    <t>Wavefold Triple Face Fix Brackets Black</t>
  </si>
  <si>
    <t>Streamline Single Face Fix Brackets Birch White</t>
  </si>
  <si>
    <t>Streamline Double Face Fix Brackets Birch White</t>
  </si>
  <si>
    <t>Streamline Triple Face Fix Brackets Birch White</t>
  </si>
  <si>
    <t>Streamline Underlap Arm White</t>
  </si>
  <si>
    <t>Streamline Overlap Arm White</t>
  </si>
  <si>
    <t>Streamline Single Face Fix Brackets Matt Black Ink</t>
  </si>
  <si>
    <t>Streamline Double Face Fix Brackets Matt Black Ink</t>
  </si>
  <si>
    <t>Streamline Triple Face Fix Brackets Matt Black Ink</t>
  </si>
  <si>
    <t>Streamline Underlap Arm Matt Black Ink</t>
  </si>
  <si>
    <t>Streamline Overlap Arm Matt Black Ink</t>
  </si>
  <si>
    <t>Streamline Underlap Arm Birch White</t>
  </si>
  <si>
    <t>Streamline Overlap Arm Birch White</t>
  </si>
  <si>
    <t>Wavefold Tape Metres</t>
  </si>
  <si>
    <t>Wavefold Single Cord Pulley White</t>
  </si>
  <si>
    <t>Wavefold Single Cord Pulley Black</t>
  </si>
  <si>
    <t>Wavefold Double Cord Pulley Black</t>
  </si>
  <si>
    <t>Wavefold Double Cord Pulley White</t>
  </si>
  <si>
    <t>Streamline Cord Pulley White</t>
  </si>
  <si>
    <t>Streamline Cord Pulley Matt Black Ink</t>
  </si>
  <si>
    <t>Streamline Cord Pulley Birch White</t>
  </si>
  <si>
    <t>Wavefold Insert Pulley</t>
  </si>
  <si>
    <t>Streamline Insert Pulley</t>
  </si>
  <si>
    <t>Wavefold Single Return Brackets Left White</t>
  </si>
  <si>
    <t>Wavefold Single Return Brackets Right White</t>
  </si>
  <si>
    <t>Wavefold Single Return Brackets Left Black</t>
  </si>
  <si>
    <t>Wavefold Single Return Brackets Right Black</t>
  </si>
  <si>
    <t>Wavefold Double Return Brackets Left White</t>
  </si>
  <si>
    <t>Wavefold Double Return Brackets Left Black</t>
  </si>
  <si>
    <t>Wavefold Double Return Brackets Right White</t>
  </si>
  <si>
    <t>Wavefold Double Return Brackets Right Black</t>
  </si>
  <si>
    <t>Bracket Covers</t>
  </si>
  <si>
    <t>Wavefold Track Joiner</t>
  </si>
  <si>
    <t>Streamline Track Joiner</t>
  </si>
  <si>
    <t>Wavefold End Cap White</t>
  </si>
  <si>
    <t>Wavefold End Cap Black</t>
  </si>
  <si>
    <t>Streamline End Cap Matt Black Ink</t>
  </si>
  <si>
    <t>Streamline End Cap White</t>
  </si>
  <si>
    <t>Streamline End Cap Birch White</t>
  </si>
  <si>
    <t>Wavefold Cord Drawn Block White</t>
  </si>
  <si>
    <t>Wavefold Cord Drawn Block Black</t>
  </si>
  <si>
    <t>Wavefold Flick Stick Carrier Black</t>
  </si>
  <si>
    <t>Wavefold Flick Stick Carrier White</t>
  </si>
  <si>
    <t>Streamline Bent Track Corner Blocks</t>
  </si>
  <si>
    <t>Components</t>
  </si>
  <si>
    <t>Wavefold Single Pulley</t>
  </si>
  <si>
    <t>Wavefold Double Pulley</t>
  </si>
  <si>
    <t>Wavefold End Cap</t>
  </si>
  <si>
    <t>Streamline Cord Pulley</t>
  </si>
  <si>
    <t>Streamline End Caps</t>
  </si>
  <si>
    <t>Order Item Code</t>
  </si>
  <si>
    <t>Line No</t>
  </si>
  <si>
    <t>Cord Tensioning Pulley</t>
  </si>
  <si>
    <t>Streamline Birch White</t>
  </si>
  <si>
    <t>Wavefold Runners Black</t>
  </si>
  <si>
    <t>Wavefold Runners White</t>
  </si>
  <si>
    <t>Maurice Kain Precision 300cm (Continuous) Lining</t>
  </si>
  <si>
    <t>Fossil</t>
  </si>
  <si>
    <t>1 Pass (Drop) Lining</t>
  </si>
  <si>
    <t>3 Pass (Drop) Lining with Bumph</t>
  </si>
  <si>
    <t>Mokum Nitefall 280cm (Continuous) Lining</t>
  </si>
  <si>
    <t>3 Pass (Drop) Lining with European Bumph Interlining</t>
  </si>
  <si>
    <t>3 Pass (Drop) Lining</t>
  </si>
  <si>
    <t>Charles Parsons Guardian Sheerline 300cm (Continuous) Uncoated</t>
  </si>
  <si>
    <t>Charles Parsons Moroso Ultimate 280cm (Continuous) Lining</t>
  </si>
  <si>
    <t>Charles Parsons Moroso Ultimate 280cm (Drop) Lining</t>
  </si>
  <si>
    <t>Filigree Simplicity 300cm (Continuous) Lining</t>
  </si>
  <si>
    <t>Filigree Simplicity 300cm (Drop) Lining</t>
  </si>
  <si>
    <t>Maurice Kain Precision 300cm (Drop) Lining</t>
  </si>
  <si>
    <t>Maurice Kain Twilight 300cm (Continuous) Triple Weave</t>
  </si>
  <si>
    <t>Mokum Insulation (Drop) Dim Out</t>
  </si>
  <si>
    <t>Mokum Nitefall FR 300cm (Continuous) Lining with European Bumph Interlining</t>
  </si>
  <si>
    <t>Railroad or Continous</t>
  </si>
  <si>
    <t>Ivory/Off White</t>
  </si>
  <si>
    <t>Cocoa</t>
  </si>
  <si>
    <t>Ice</t>
  </si>
  <si>
    <t>Latte</t>
  </si>
  <si>
    <t>Licorice</t>
  </si>
  <si>
    <t>Macadamia</t>
  </si>
  <si>
    <t>Mocha</t>
  </si>
  <si>
    <t>Putty</t>
  </si>
  <si>
    <t>Shell</t>
  </si>
  <si>
    <t>Silver</t>
  </si>
  <si>
    <t>Slate</t>
  </si>
  <si>
    <t>Ash</t>
  </si>
  <si>
    <t>Atmosphere</t>
  </si>
  <si>
    <t>Cargo</t>
  </si>
  <si>
    <t>Cashmere</t>
  </si>
  <si>
    <t>Cinder</t>
  </si>
  <si>
    <t>Dusty</t>
  </si>
  <si>
    <t>Ebony</t>
  </si>
  <si>
    <t>Eggshell</t>
  </si>
  <si>
    <t>Fable</t>
  </si>
  <si>
    <t>Fog</t>
  </si>
  <si>
    <t>Moonshine</t>
  </si>
  <si>
    <t>Off White</t>
  </si>
  <si>
    <t>Raw</t>
  </si>
  <si>
    <t>Steel</t>
  </si>
  <si>
    <t>Stone</t>
  </si>
  <si>
    <t>Storm</t>
  </si>
  <si>
    <t>Vapour</t>
  </si>
  <si>
    <t>Alabaster</t>
  </si>
  <si>
    <t>Charcoal</t>
  </si>
  <si>
    <t>Rock</t>
  </si>
  <si>
    <t>Smoke</t>
  </si>
  <si>
    <t>Truffle</t>
  </si>
  <si>
    <t>Aluminium</t>
  </si>
  <si>
    <t>Aqua</t>
  </si>
  <si>
    <t>Artic</t>
  </si>
  <si>
    <t>Bark</t>
  </si>
  <si>
    <t>Boudoir</t>
  </si>
  <si>
    <t>Brick</t>
  </si>
  <si>
    <t>Burgundy</t>
  </si>
  <si>
    <t>Cloud</t>
  </si>
  <si>
    <t>Denim</t>
  </si>
  <si>
    <t>Dove</t>
  </si>
  <si>
    <t>Drangonfly</t>
  </si>
  <si>
    <t>Ecru</t>
  </si>
  <si>
    <t>Flame</t>
  </si>
  <si>
    <t>Gargoyle</t>
  </si>
  <si>
    <t>Indigo</t>
  </si>
  <si>
    <t>Limestone</t>
  </si>
  <si>
    <t>Linden</t>
  </si>
  <si>
    <t>Metal</t>
  </si>
  <si>
    <t>Mushroom</t>
  </si>
  <si>
    <t>Orchid</t>
  </si>
  <si>
    <t>Palm</t>
  </si>
  <si>
    <t>Quartz</t>
  </si>
  <si>
    <t>Sesame</t>
  </si>
  <si>
    <t>Snow</t>
  </si>
  <si>
    <t>Taupe</t>
  </si>
  <si>
    <t>Thyme</t>
  </si>
  <si>
    <t>Gravel</t>
  </si>
  <si>
    <t>Onyx</t>
  </si>
  <si>
    <t>Parchment</t>
  </si>
  <si>
    <t>Lining if Required</t>
  </si>
  <si>
    <t>Total Fabric Required</t>
  </si>
  <si>
    <t>Total Lining if Required</t>
  </si>
  <si>
    <t>Streamline Nylon Top Fix Brackets White</t>
  </si>
  <si>
    <t>Streamline Nylon Top Fix Brackets Matt Black Ink</t>
  </si>
  <si>
    <t>Streamline Nylon Top Fix Brackets Birch White</t>
  </si>
  <si>
    <t>Streamline Metal Top Fix Brackets White</t>
  </si>
  <si>
    <t>Streamline Metal Top Fix Brackets Matt Black Ink</t>
  </si>
  <si>
    <t>Streamline Metal Top Fix Brackets Birch White</t>
  </si>
  <si>
    <t>Top Fix Brackets Cover White</t>
  </si>
  <si>
    <t>Single Face Fix Brackets Cover White</t>
  </si>
  <si>
    <t>Double Face Fix Brackets Cover White</t>
  </si>
  <si>
    <t>Triple Face Fix Brackets Cover White</t>
  </si>
  <si>
    <t>Top Fix Brackets Cover Black</t>
  </si>
  <si>
    <t>Single Face Fix Brackets Cover Black</t>
  </si>
  <si>
    <t>Double Face Fix Brackets Cover Black</t>
  </si>
  <si>
    <t>Triple Face Fix Brackets Cover Black</t>
  </si>
  <si>
    <t>Butt (to Single Face Fix Bracket)</t>
  </si>
  <si>
    <t>Existing Designer 25 Track</t>
  </si>
  <si>
    <t>Double Corner 90 Degree Front Track Offset</t>
  </si>
  <si>
    <t>Double Corner 90 Degree Back Track Offset</t>
  </si>
  <si>
    <t>Nettex Cove (Continuous) Sheer Alpaca</t>
  </si>
  <si>
    <t>Polyester/Cotton/Linen</t>
  </si>
  <si>
    <t>Nettex Cove (Continuous) Sheer Azure</t>
  </si>
  <si>
    <t>Nettex Cove (Continuous) Sheer Bark</t>
  </si>
  <si>
    <t>Nettex Cove (Continuous) Sheer Birch</t>
  </si>
  <si>
    <t>Nettex Cove (Continuous) Sheer Buffalo</t>
  </si>
  <si>
    <t>Nettex Cove (Continuous) Sheer Cobblestone</t>
  </si>
  <si>
    <t>Nettex Cove (Continuous) Sheer Coconut</t>
  </si>
  <si>
    <t>Nettex Cove (Continuous) Sheer Driftwood</t>
  </si>
  <si>
    <t>Nettex Cove (Continuous) Sheer Duckegg</t>
  </si>
  <si>
    <t>Nettex Cove (Continuous) Sheer Fawn</t>
  </si>
  <si>
    <t>Nettex Cove (Continuous) Sheer Flint</t>
  </si>
  <si>
    <t>Nettex Cove (Continuous) Sheer Husk</t>
  </si>
  <si>
    <t>Nettex Cove (Continuous) Sheer Pepper</t>
  </si>
  <si>
    <t>Nettex Cove (Continuous) Sheer Port</t>
  </si>
  <si>
    <t>Nettex Cove (Continuous) Sheer Putty</t>
  </si>
  <si>
    <t>Nettex Cove (Continuous) Sheer Shale</t>
  </si>
  <si>
    <t>Nettex Cove (Continuous) Sheer Storm</t>
  </si>
  <si>
    <t>Nettex Cove (Continuous) Sheer String</t>
  </si>
  <si>
    <t>Nettex Cove (Continuous) Sheer TBA</t>
  </si>
  <si>
    <t>Centre Opening (Offset Split)</t>
  </si>
  <si>
    <t>Centre Opening - Free Flowing (Offset Split)</t>
  </si>
  <si>
    <t>Sekers Sirocco (Continuous) Uncoated Alabaster</t>
  </si>
  <si>
    <t>Sekers Sirocco (Continuous) Uncoated Damson</t>
  </si>
  <si>
    <t>Sekers Sirocco (Continuous) Uncoated Flint</t>
  </si>
  <si>
    <t>Sekers Sirocco (Continuous) Uncoated Hibiscus</t>
  </si>
  <si>
    <t>Sekers Sirocco (Continuous) Uncoated Jute</t>
  </si>
  <si>
    <t>Sekers Sirocco (Continuous) Uncoated Marscapone</t>
  </si>
  <si>
    <t>Sekers Sirocco (Continuous) Uncoated Mist</t>
  </si>
  <si>
    <t>Sekers Sirocco (Continuous) Uncoated Natural</t>
  </si>
  <si>
    <t>Sekers Sirocco (Continuous) Uncoated Nauticus</t>
  </si>
  <si>
    <t>Sekers Sirocco (Continuous) Uncoated Pebble</t>
  </si>
  <si>
    <t>Sekers Sirocco (Continuous) Uncoated Petrel</t>
  </si>
  <si>
    <t>Sekers Sirocco (Continuous) Uncoated Sandstone</t>
  </si>
  <si>
    <t>Sekers Sirocco (Continuous) Uncoated Shale</t>
  </si>
  <si>
    <t>Sekers Sirocco (Continuous) Uncoated Storm</t>
  </si>
  <si>
    <t>Sekers Sirocco (Continuous) Uncoated Tamarind</t>
  </si>
  <si>
    <t>Sekers Sirocco (Continuous) Uncoated Wasabi</t>
  </si>
  <si>
    <t>Sekers Sirocco (Continuous) Uncoated TBA</t>
  </si>
  <si>
    <t>Slender Morris Alsace (Continuous) Sheer White</t>
  </si>
  <si>
    <t>Slender Morris Autumn Leaves (Drop) Uncoated Camel</t>
  </si>
  <si>
    <t>Slender Morris Autumn Leaves (Drop) Uncoated Cream/Blue</t>
  </si>
  <si>
    <t>Marco Bribie (Continuous) Sheer Alabaster</t>
  </si>
  <si>
    <t>Marco Bribie (Continuous) Sheer Breeze</t>
  </si>
  <si>
    <t>Marco Bribie (Continuous) Sheer Fox</t>
  </si>
  <si>
    <t>Marco Bribie (Continuous) Sheer Greige</t>
  </si>
  <si>
    <t>Marco Bribie (Continuous) Sheer Grey</t>
  </si>
  <si>
    <t>Marco Bribie (Continuous) Sheer TBA</t>
  </si>
  <si>
    <t>Maurice Kain Hamlyn (Continuous) Uncoated Ash</t>
  </si>
  <si>
    <t>Maurice Kain Hamlyn (Continuous) Uncoated Charcoal</t>
  </si>
  <si>
    <t>Maurice Kain Hamlyn (Continuous) Uncoated Onyx</t>
  </si>
  <si>
    <t>Maurice Kain Hamlyn (Continuous) Uncoated Pebble</t>
  </si>
  <si>
    <t>Maurice Kain Hamlyn (Continuous) Uncoated Silver</t>
  </si>
  <si>
    <t>Maurice Kain Hamlyn (Continuous) Uncoated Snow</t>
  </si>
  <si>
    <t>Maurice Kain Hamlyn (Continuous) Uncoated TBA</t>
  </si>
  <si>
    <t>Maurice Kain Odin (Drop) Sheer Alabaster</t>
  </si>
  <si>
    <t>Maurice Kain Odin (Drop) Sheer Ash</t>
  </si>
  <si>
    <t>Maurice Kain Odin (Drop) Sheer Birch</t>
  </si>
  <si>
    <t>Maurice Kain Odin (Drop) Sheer Ebony</t>
  </si>
  <si>
    <t>Maurice Kain Odin (Drop) Sheer Granite</t>
  </si>
  <si>
    <t>Maurice Kain Odin (Drop) Sheer Linen</t>
  </si>
  <si>
    <t>Maurice Kain Odin (Drop) Sheer Marble</t>
  </si>
  <si>
    <t>Maurice Kain Odin (Drop) Sheer Mink</t>
  </si>
  <si>
    <t>Maurice Kain Odin (Drop) Sheer Natural</t>
  </si>
  <si>
    <t>Maurice Kain Odin (Drop) Sheer Parchment</t>
  </si>
  <si>
    <t>Maurice Kain Odin (Drop) Sheer Porcelain</t>
  </si>
  <si>
    <t>Maurice Kain Odin (Drop) Sheer Quarry</t>
  </si>
  <si>
    <t>Maurice Kain Odin (Drop) Sheer Shadow</t>
  </si>
  <si>
    <t>Maurice Kain Odin (Drop) Sheer Storm</t>
  </si>
  <si>
    <t>Maurice Kain Odin (Drop) Sheer TBA</t>
  </si>
  <si>
    <t>Maurice Kain Odin (Drop) Sheer White</t>
  </si>
  <si>
    <t>Pegasus Axis FR (Continuous) Sheer Chalk</t>
  </si>
  <si>
    <t>Pegasus Axis FR (Continuous) Sheer Ice</t>
  </si>
  <si>
    <t>Pegasus Axis FR (Continuous) Sheer Linen</t>
  </si>
  <si>
    <t>Pegasus Axis FR (Continuous) Sheer TBA</t>
  </si>
  <si>
    <t>Slender Morris Autumn Leaves (Drop) Uncoated Cream/Coral</t>
  </si>
  <si>
    <t>Slender Morris Autumn Leaves (Drop) Uncoated Cream/Rose</t>
  </si>
  <si>
    <t>Slender Morris Autumn Leaves (Drop) Uncoated Cream/Tan</t>
  </si>
  <si>
    <t>Slender Morris Autumn Leaves (Drop) Uncoated Ivory/Pink</t>
  </si>
  <si>
    <t>Slender Morris Autumn Leaves (Drop) Uncoated TBA</t>
  </si>
  <si>
    <t>Slender Morris Lasha (Drop) Uncoated 102</t>
  </si>
  <si>
    <t>Slender Morris Lasha (Drop) Uncoated 103</t>
  </si>
  <si>
    <t>Slender Morris Lasha (Drop) Uncoated 104</t>
  </si>
  <si>
    <t>Slender Morris Lasha (Drop) Uncoated 105</t>
  </si>
  <si>
    <t>Slender Morris Lasha (Drop) Uncoated 106</t>
  </si>
  <si>
    <t>Slender Morris Lasha (Drop) Uncoated 108</t>
  </si>
  <si>
    <t>Slender Morris Lasha (Drop) Uncoated 109</t>
  </si>
  <si>
    <t>Slender Morris Lasha (Drop) Uncoated 110</t>
  </si>
  <si>
    <t>Slender Morris Lasha (Drop) Uncoated 111</t>
  </si>
  <si>
    <t>Slender Morris Lasha (Drop) Uncoated 112</t>
  </si>
  <si>
    <t>Slender Morris Lasha (Drop) Uncoated TBA</t>
  </si>
  <si>
    <t>Slender Morris Palm Beach (Drop) Uncoated Autumn</t>
  </si>
  <si>
    <t>Slender Morris Palm Beach (Drop) Uncoated Charcoal</t>
  </si>
  <si>
    <t>Slender Morris Palm Beach (Drop) Uncoated Fern</t>
  </si>
  <si>
    <t>Slender Morris Palm Beach (Drop) Uncoated Marine</t>
  </si>
  <si>
    <t>Slender Morris Palm Beach (Drop) Uncoated TBA</t>
  </si>
  <si>
    <t>Slender Morris Valentino (Continuous) Uncoated Aegean</t>
  </si>
  <si>
    <t>Slender Morris Valentino (Continuous) Uncoated Aqua</t>
  </si>
  <si>
    <t>Slender Morris Valentino (Continuous) Uncoated Arctic</t>
  </si>
  <si>
    <t>Slender Morris Valentino (Continuous) Uncoated Azure</t>
  </si>
  <si>
    <t>Slender Morris Valentino (Continuous) Uncoated Black</t>
  </si>
  <si>
    <t>Slender Morris Valentino (Continuous) Uncoated Blush</t>
  </si>
  <si>
    <t>Slender Morris Valentino (Continuous) Uncoated Brown</t>
  </si>
  <si>
    <t>Slender Morris Valentino (Continuous) Uncoated Cappuccino</t>
  </si>
  <si>
    <t>Slender Morris Valentino (Continuous) Uncoated Celery</t>
  </si>
  <si>
    <t xml:space="preserve">Slender Morris Valentino (Continuous) Uncoated Flaxen </t>
  </si>
  <si>
    <t>Slender Morris Valentino (Continuous) Uncoated Glacier</t>
  </si>
  <si>
    <t>Slender Morris Valentino (Continuous) Uncoated Glass</t>
  </si>
  <si>
    <t>Slender Morris Valentino (Continuous) Uncoated Gold</t>
  </si>
  <si>
    <t>Slender Morris Valentino (Continuous) Uncoated Goldfish</t>
  </si>
  <si>
    <t>Slender Morris Valentino (Continuous) Uncoated Harbour Grey</t>
  </si>
  <si>
    <t>Slender Morris Valentino (Continuous) Uncoated Honey</t>
  </si>
  <si>
    <t>Slender Morris Valentino (Continuous) Uncoated Ivory</t>
  </si>
  <si>
    <t>Slender Morris Valentino (Continuous) Uncoated Jade</t>
  </si>
  <si>
    <t>Slender Morris Valentino (Continuous) Uncoated Lagoon</t>
  </si>
  <si>
    <t>Slender Morris Valentino (Continuous) Uncoated Latte</t>
  </si>
  <si>
    <t>Slender Morris Valentino (Continuous) Uncoated Lime</t>
  </si>
  <si>
    <t>Slender Morris Valentino (Continuous) Uncoated Mauve</t>
  </si>
  <si>
    <t>Slender Morris Valentino (Continuous) Uncoated Merlot</t>
  </si>
  <si>
    <t>Slender Morris Valentino (Continuous) Uncoated Mermaid</t>
  </si>
  <si>
    <t>Slender Morris Valentino (Continuous) Uncoated Mineral</t>
  </si>
  <si>
    <t>Slender Morris Valentino (Continuous) Uncoated Mist</t>
  </si>
  <si>
    <t>Slender Morris Valentino (Continuous) Uncoated Navy</t>
  </si>
  <si>
    <t>Slender Morris Valentino (Continuous) Uncoated Neutral</t>
  </si>
  <si>
    <t>Slender Morris Valentino (Continuous) Uncoated Ocean</t>
  </si>
  <si>
    <t>Slender Morris Valentino (Continuous) Uncoated Oyster</t>
  </si>
  <si>
    <t>Slender Morris Valentino (Continuous) Uncoated Peacock</t>
  </si>
  <si>
    <t>Slender Morris Valentino (Continuous) Uncoated Pearl River</t>
  </si>
  <si>
    <t>Slender Morris Valentino (Continuous) Uncoated Prussian</t>
  </si>
  <si>
    <t>Slender Morris Valentino (Continuous) Uncoated Red</t>
  </si>
  <si>
    <t>Slender Morris Valentino (Continuous) Uncoated Riverstone</t>
  </si>
  <si>
    <t>Slender Morris Valentino (Continuous) Uncoated Rose</t>
  </si>
  <si>
    <t>Slender Morris Valentino (Continuous) Uncoated Rosewood</t>
  </si>
  <si>
    <t>Slender Morris Valentino (Continuous) Uncoated Royal</t>
  </si>
  <si>
    <t>Slender Morris Valentino (Continuous) Uncoated Salmon</t>
  </si>
  <si>
    <t>Slender Morris Valentino (Continuous) Uncoated Sand</t>
  </si>
  <si>
    <t>Slender Morris Valentino (Continuous) Uncoated Sapphire</t>
  </si>
  <si>
    <t>Slender Morris Valentino (Continuous) Uncoated Seafoam</t>
  </si>
  <si>
    <t>Slender Morris Valentino (Continuous) Uncoated Sky</t>
  </si>
  <si>
    <t>Slender Morris Valentino (Continuous) Uncoated Slate</t>
  </si>
  <si>
    <t>Slender Morris Valentino (Continuous) Uncoated Smoke</t>
  </si>
  <si>
    <t>Slender Morris Valentino (Continuous) Uncoated Spring Green</t>
  </si>
  <si>
    <t>Slender Morris Valentino (Continuous) Uncoated Steel</t>
  </si>
  <si>
    <t>Slender Morris Valentino (Continuous) Uncoated Storm</t>
  </si>
  <si>
    <t>Slender Morris Valentino (Continuous) Uncoated Sunflower</t>
  </si>
  <si>
    <t>Slender Morris Valentino (Continuous) Uncoated Surf</t>
  </si>
  <si>
    <t>Slender Morris Valentino (Continuous) Uncoated TBA</t>
  </si>
  <si>
    <t>Slender Morris Valentino (Continuous) Uncoated Teal</t>
  </si>
  <si>
    <t>Slender Morris Valentino (Continuous) Uncoated Turquoise</t>
  </si>
  <si>
    <t>Slender Morris Valentino (Continuous) Uncoated Wheat</t>
  </si>
  <si>
    <t>Warwick Haven (Drop) Uncoated Navy</t>
  </si>
  <si>
    <t>Warwick Haven (Drop) Uncoated TBA</t>
  </si>
  <si>
    <t>Warwick Paros (Continuous) Sheer Asphalt</t>
  </si>
  <si>
    <t>Warwick Paros (Continuous) Sheer Charcoal</t>
  </si>
  <si>
    <t>Warwick Paros (Continuous) Sheer Mist</t>
  </si>
  <si>
    <t>Warwick Paros (Continuous) Sheer Moonbeam</t>
  </si>
  <si>
    <t>Warwick Paros (Continuous) Sheer Pewter</t>
  </si>
  <si>
    <t>Warwick Paros (Continuous) Sheer TBA</t>
  </si>
  <si>
    <t>Warwick Paros (Drop) Sheer Asphalt</t>
  </si>
  <si>
    <t>Warwick Paros (Drop) Sheer Charcoal</t>
  </si>
  <si>
    <t>Warwick Paros (Drop) Sheer Mist</t>
  </si>
  <si>
    <t>Warwick Paros (Drop) Sheer Moonbeam</t>
  </si>
  <si>
    <t>Warwick Paros (Drop) Sheer Pewter</t>
  </si>
  <si>
    <t>Warwick Paros (Drop) Sheer TBA</t>
  </si>
  <si>
    <t>Westbury Textiles Newport (Drop) Uncoated Grey Charcoal</t>
  </si>
  <si>
    <t>Wilson Sabre (Drop) Sheer Charcoal</t>
  </si>
  <si>
    <t>Wilson Sabre (Drop) Sheer Granite</t>
  </si>
  <si>
    <t>Wilson Sabre (Drop) Sheer Ivory</t>
  </si>
  <si>
    <t>Wilson Sabre (Drop) Sheer Latte</t>
  </si>
  <si>
    <t>Wilson Sabre (Drop) Sheer Monument</t>
  </si>
  <si>
    <t>Wilson Sabre (Drop) Sheer Pearl</t>
  </si>
  <si>
    <t>Wilson Sabre (Drop) Sheer Putty</t>
  </si>
  <si>
    <t>Wilson Sabre (Drop) Sheer Silver</t>
  </si>
  <si>
    <t>Wilson Sabre (Drop) Sheer Silver Grass</t>
  </si>
  <si>
    <t>Wilson Sabre (Drop) Sheer Slate</t>
  </si>
  <si>
    <t>Wilson Sabre (Drop) Sheer Snow</t>
  </si>
  <si>
    <t>Wilson Sabre (Drop) Sheer TBA</t>
  </si>
  <si>
    <t>Wilson Sabre (Drop) Sheer Teal</t>
  </si>
  <si>
    <t>Wilson Sabre (Drop) Sheer Truffle</t>
  </si>
  <si>
    <t>Zepel Allusion (Drop) Sheer Aqua</t>
  </si>
  <si>
    <t>Zepel Allusion (Drop) Sheer Bonbon</t>
  </si>
  <si>
    <t>Zepel Allusion (Drop) Sheer Buff</t>
  </si>
  <si>
    <t>Zepel Allusion (Drop) Sheer Café</t>
  </si>
  <si>
    <t>Zepel Allusion (Drop) Sheer Casade</t>
  </si>
  <si>
    <t>Zepel Allusion (Drop) Sheer Cookie</t>
  </si>
  <si>
    <t>Zepel Allusion (Drop) Sheer Cream</t>
  </si>
  <si>
    <t>Zepel Allusion (Drop) Sheer Fern</t>
  </si>
  <si>
    <t>Zepel Allusion (Drop) Sheer Limestone</t>
  </si>
  <si>
    <t>Zepel Allusion (Drop) Sheer Linen</t>
  </si>
  <si>
    <t>Zepel Allusion (Drop) Sheer Liquorice</t>
  </si>
  <si>
    <t>Zepel Allusion (Drop) Sheer Nut</t>
  </si>
  <si>
    <t>Zepel Allusion (Drop) Sheer Papyrus</t>
  </si>
  <si>
    <t>Zepel Allusion (Drop) Sheer Parma</t>
  </si>
  <si>
    <t>Zepel Allusion (Drop) Sheer Pearl</t>
  </si>
  <si>
    <t>Zepel Allusion (Drop) Sheer Putty</t>
  </si>
  <si>
    <t>Zepel Allusion (Drop) Sheer Rattan</t>
  </si>
  <si>
    <t>Zepel Allusion (Drop) Sheer Seagrass</t>
  </si>
  <si>
    <t>Zepel Allusion (Drop) Sheer Silver</t>
  </si>
  <si>
    <t>Zepel Allusion (Drop) Sheer Sky</t>
  </si>
  <si>
    <t>Zepel Allusion (Drop) Sheer Stucco</t>
  </si>
  <si>
    <t>Zepel Allusion (Drop) Sheer Sunflower</t>
  </si>
  <si>
    <t>Zepel Nova (Drop) Uncoated Azure</t>
  </si>
  <si>
    <t>Zepel Nova (Drop) Uncoated Cameo</t>
  </si>
  <si>
    <t>Zepel Nova (Drop) Uncoated Canyon</t>
  </si>
  <si>
    <t>Zepel Nova (Drop) Uncoated Cerise</t>
  </si>
  <si>
    <t>Zepel Nova (Drop) Uncoated Charcoal</t>
  </si>
  <si>
    <t>Zepel Nova (Drop) Uncoated Chinchilla</t>
  </si>
  <si>
    <t>Zepel Nova (Drop) Uncoated Coal</t>
  </si>
  <si>
    <t>Zepel Nova (Drop) Uncoated Cocoa</t>
  </si>
  <si>
    <t>Zepel Nova (Drop) Uncoated Earth</t>
  </si>
  <si>
    <t>Zepel Nova (Drop) Uncoated Feather</t>
  </si>
  <si>
    <t>Zepel Nova (Drop) Uncoated Fern</t>
  </si>
  <si>
    <t>Zepel Nova (Drop) Uncoated Flax</t>
  </si>
  <si>
    <t>Zepel Nova (Drop) Uncoated Gold</t>
  </si>
  <si>
    <t>Zepel Nova (Drop) Uncoated Indigo</t>
  </si>
  <si>
    <t>Zepel Nova (Drop) Uncoated Lavender</t>
  </si>
  <si>
    <t>Zepel Nova (Drop) Uncoated Lilac</t>
  </si>
  <si>
    <t>Zepel Nova (Drop) Uncoated Linen</t>
  </si>
  <si>
    <t>Zepel Nova (Drop) Uncoated Lotus</t>
  </si>
  <si>
    <t>Zepel Nova (Drop) Uncoated Marine</t>
  </si>
  <si>
    <t>Zepel Nova (Drop) Uncoated Metal</t>
  </si>
  <si>
    <t>Zepel Nova (Drop) Uncoated Natural</t>
  </si>
  <si>
    <t>Zepel Nova (Drop) Uncoated Onyx</t>
  </si>
  <si>
    <t>Zepel Nova (Drop) Uncoated Paprika</t>
  </si>
  <si>
    <t>Zepel Nova (Drop) Uncoated Pearl</t>
  </si>
  <si>
    <t>Zepel Nova (Drop) Uncoated Pesto</t>
  </si>
  <si>
    <t>Zepel Nova (Drop) Uncoated Plain</t>
  </si>
  <si>
    <t>Zepel Nova (Drop) Uncoated Plum</t>
  </si>
  <si>
    <t>Zepel Nova (Drop) Uncoated Quartz</t>
  </si>
  <si>
    <t>Zepel Nova (Drop) Uncoated Raffia</t>
  </si>
  <si>
    <t>Zepel Nova (Drop) Uncoated Sand</t>
  </si>
  <si>
    <t>Zepel Nova (Drop) Uncoated Silver</t>
  </si>
  <si>
    <t>Zepel Nova (Drop) Uncoated Sorbet</t>
  </si>
  <si>
    <t>Zepel Nova (Drop) Uncoated TBA</t>
  </si>
  <si>
    <t>Zepel Nova (Drop) Uncoated Thyme</t>
  </si>
  <si>
    <t>Maurice Kain Stella (Drop) Sheer Diamond</t>
  </si>
  <si>
    <t>Maurice Kain Stella (Drop) Sheer Quartz</t>
  </si>
  <si>
    <t>Maurice Kain Stella (Drop) Sheer Pearl</t>
  </si>
  <si>
    <t>Maurice Kain Stella (Drop) Sheer Bonze</t>
  </si>
  <si>
    <t>Maurice Kain Stella (Drop) Sheer Pewter</t>
  </si>
  <si>
    <t>Maurice Kain Stella (Drop) Sheer Marble</t>
  </si>
  <si>
    <t>Maurice Kain Stella (Drop) Sheer TBA</t>
  </si>
  <si>
    <t>Zepel Happiness (Continuous) Sheer Biscuit</t>
  </si>
  <si>
    <t>51% Acrylic, 18% PL, 17% CO, 7% VI, 7% LI</t>
  </si>
  <si>
    <t>Zepel Happiness (Continuous) Sheer Mouse</t>
  </si>
  <si>
    <t>Zepel Happiness (Continuous) Sheer Onyx</t>
  </si>
  <si>
    <t>Zepel Happiness (Continuous) Sheer Winter</t>
  </si>
  <si>
    <t>Zepel Happiness (Continuous) Sheer TBA</t>
  </si>
  <si>
    <t>Sekers Rosetta (Drop) Uncoated Aloe</t>
  </si>
  <si>
    <t>Sekers Rosetta (Drop) Uncoated Clove</t>
  </si>
  <si>
    <t>Sekers Rosetta (Drop) Uncoated Daffodil</t>
  </si>
  <si>
    <t>Sekers Rosetta (Drop) Uncoated Iris</t>
  </si>
  <si>
    <t>Sekers Rosetta (Drop) Uncoated Lavender</t>
  </si>
  <si>
    <t>Sekers Rosetta (Drop) Uncoated Peppercorn</t>
  </si>
  <si>
    <t>Sekers Rosetta (Drop) Uncoated TBA</t>
  </si>
  <si>
    <t>10mm</t>
  </si>
  <si>
    <t>20mm (Standard)</t>
  </si>
  <si>
    <t>Clarke &amp; Clarke Persia (Drop) Uncoated Denim/Raspberry</t>
  </si>
  <si>
    <t>1st Bend Measured from LHS</t>
  </si>
  <si>
    <t>2nd Bend Measured from LHS</t>
  </si>
  <si>
    <t>3rd Bend Measured from LHS</t>
  </si>
  <si>
    <t>4th Bend Measured from LHS</t>
  </si>
  <si>
    <t>Warwick Phoebe (Drop) Uncoated Autumn</t>
  </si>
  <si>
    <t>Warwick Phoebe (Drop) Uncoated Lagoon</t>
  </si>
  <si>
    <t>Warwick Phoebe (Drop) Uncoated Orchid</t>
  </si>
  <si>
    <t>Warwick Phoebe (Drop) Uncoated Rose</t>
  </si>
  <si>
    <t>Warwick Phoebe (Drop) Uncoated TBA</t>
  </si>
  <si>
    <t>Warwick Lottie (Drop) Uncoated Chintz</t>
  </si>
  <si>
    <t>70% Cotton 30% Linen</t>
  </si>
  <si>
    <t>Warwick Lottie (Drop) Uncoated Jungle</t>
  </si>
  <si>
    <t>Warwick Lottie (Drop) Uncoated Ocean</t>
  </si>
  <si>
    <t>Warwick Lottie (Drop) Uncoated Spice</t>
  </si>
  <si>
    <t>Warwick Lottie (Drop) Uncoated TBA</t>
  </si>
  <si>
    <t>Warwick Parks (Drop) Uncoated Atlantic</t>
  </si>
  <si>
    <t>Warwick Parks (Drop) Uncoated Atoll</t>
  </si>
  <si>
    <t>Warwick Parks (Drop) Uncoated Cornflower</t>
  </si>
  <si>
    <t>Warwick Parks (Drop) Uncoated Geranium</t>
  </si>
  <si>
    <t>Warwick Parks (Drop) Uncoated Ivy</t>
  </si>
  <si>
    <t>Warwick Parks (Drop) Uncoated Marsala</t>
  </si>
  <si>
    <t>Warwick Parks (Drop) Uncoated Moss</t>
  </si>
  <si>
    <t>Warwick Parks (Drop) Uncoated Tandoori</t>
  </si>
  <si>
    <t>Warwick Parks (Drop) Uncoated TBA</t>
  </si>
  <si>
    <t>Warwick Regis (Drop) Uncoated Birch</t>
  </si>
  <si>
    <t>Warwick Regis (Drop) Uncoated Bone</t>
  </si>
  <si>
    <t>Warwick Regis (Drop) Uncoated Cascade</t>
  </si>
  <si>
    <t>Warwick Regis (Drop) Uncoated Celery</t>
  </si>
  <si>
    <t>Warwick Regis (Drop) Uncoated Charcoal</t>
  </si>
  <si>
    <t>Warwick Regis (Drop) Uncoated Chocolate</t>
  </si>
  <si>
    <t>Warwick Regis (Drop) Uncoated Cobblestone</t>
  </si>
  <si>
    <t>Warwick Regis (Drop) Uncoated Driftwood</t>
  </si>
  <si>
    <t>Warwick Regis (Drop) Uncoated Evergreen</t>
  </si>
  <si>
    <t>Warwick Regis (Drop) Uncoated Ginger</t>
  </si>
  <si>
    <t>Warwick Regis (Drop) Uncoated Glacier</t>
  </si>
  <si>
    <t>Warwick Regis (Drop) Uncoated Gold</t>
  </si>
  <si>
    <t>Warwick Regis (Drop) Uncoated Lagoon</t>
  </si>
  <si>
    <t>Warwick Regis (Drop) Uncoated Lemongrass</t>
  </si>
  <si>
    <t>Warwick Regis (Drop) Uncoated Navy</t>
  </si>
  <si>
    <t>Warwick Regis (Drop) Uncoated Oatmeal</t>
  </si>
  <si>
    <t>Warwick Regis (Drop) Uncoated Ocean</t>
  </si>
  <si>
    <t>Warwick Regis (Drop) Uncoated Olive</t>
  </si>
  <si>
    <t>Warwick Regis (Drop) Uncoated Pumice</t>
  </si>
  <si>
    <t>Warwick Regis (Drop) Uncoated Rosewater</t>
  </si>
  <si>
    <t>Warwick Regis (Drop) Uncoated Rust</t>
  </si>
  <si>
    <t>Warwick Regis (Drop) Uncoated Scarlet</t>
  </si>
  <si>
    <t>Warwick Regis (Drop) Uncoated Shadow</t>
  </si>
  <si>
    <t>Warwick Regis (Drop) Uncoated Smoke</t>
  </si>
  <si>
    <t>Warwick Regis (Drop) Uncoated Storm</t>
  </si>
  <si>
    <t>Warwick Regis (Drop) Uncoated Sunshine</t>
  </si>
  <si>
    <t>Warwick Regis (Drop) Uncoated Taupe</t>
  </si>
  <si>
    <t>Warwick Regis (Drop) Uncoated TBA</t>
  </si>
  <si>
    <t>Maurice Kain Isabella (Drop) Uncoated Aqua</t>
  </si>
  <si>
    <t>Maurice Kain Isabella (Drop) Uncoated Peony</t>
  </si>
  <si>
    <t>Maurice Kain Isabella (Drop) Uncoated Shadow</t>
  </si>
  <si>
    <t>Maurice Kain Isabella (Drop) Uncoated TBA</t>
  </si>
  <si>
    <t>Warwick Holland (Continuous) Coated Champagne</t>
  </si>
  <si>
    <t>85% Polyester 15% Hemp</t>
  </si>
  <si>
    <t>Warwick Holland (Continuous) Coated Charcoal</t>
  </si>
  <si>
    <t>Warwick Holland (Continuous) Coated Flint</t>
  </si>
  <si>
    <t>Warwick Holland (Continuous) Coated Fossil</t>
  </si>
  <si>
    <t>Warwick Holland (Continuous) Coated Frost</t>
  </si>
  <si>
    <t>Warwick Holland (Continuous) Coated Ice</t>
  </si>
  <si>
    <t>Warwick Holland (Continuous) Coated Nougat</t>
  </si>
  <si>
    <t>Warwick Holland (Continuous) Coated Sand</t>
  </si>
  <si>
    <t>Warwick Holland (Continuous) Coated Thunder</t>
  </si>
  <si>
    <t>Warwick Holland (Continuous) Coated TBA</t>
  </si>
  <si>
    <t>Maurice Kain Evergreen (Drop) Uncoated Lily</t>
  </si>
  <si>
    <t>Maurice Kain Evergreen (Drop) Uncoated Sand</t>
  </si>
  <si>
    <t>Maurice Kain Evergreen (Drop) Uncoated Tea</t>
  </si>
  <si>
    <t>Maurice Kain Evergreen (Drop) Uncoated Earth</t>
  </si>
  <si>
    <t>Maurice Kain Evergreen (Drop) Uncoated Pewter</t>
  </si>
  <si>
    <t>Maurice Kain Evergreen (Drop) Uncoated Mist</t>
  </si>
  <si>
    <t>Maurice Kain Evergreen (Drop) Uncoated Slate</t>
  </si>
  <si>
    <t>Maurice Kain Evergreen (Drop) Uncoated Onyx</t>
  </si>
  <si>
    <t>Maurice Kain Evergreen (Drop) Uncoated Dew</t>
  </si>
  <si>
    <t>Maurice Kain Evergreen (Drop) Uncoated Cobalt</t>
  </si>
  <si>
    <t>Maurice Kain Evergreen (Drop) Uncoated Midnight</t>
  </si>
  <si>
    <t>Maurice Kain Evergreen (Drop) Uncoated TBA</t>
  </si>
  <si>
    <t>Maurice Kain Evergreen (Drop) Coated Lily</t>
  </si>
  <si>
    <t>Maurice Kain Evergreen (Drop) Coated Sand</t>
  </si>
  <si>
    <t>Maurice Kain Evergreen (Drop) Coated Tea</t>
  </si>
  <si>
    <t>Maurice Kain Evergreen (Drop) Coated Earth</t>
  </si>
  <si>
    <t>Maurice Kain Evergreen (Drop) Coated Pewter</t>
  </si>
  <si>
    <t>Maurice Kain Evergreen (Drop) Coated Mist</t>
  </si>
  <si>
    <t>Maurice Kain Evergreen (Drop) Coated Slate</t>
  </si>
  <si>
    <t>Maurice Kain Evergreen (Drop) Coated Onyx</t>
  </si>
  <si>
    <t>Maurice Kain Evergreen (Drop) Coated Dew</t>
  </si>
  <si>
    <t>Maurice Kain Evergreen (Drop) Coated Cobalt</t>
  </si>
  <si>
    <t>Maurice Kain Evergreen (Drop) Coated Midnight</t>
  </si>
  <si>
    <t>Maurice Kain Evergreen (Drop) Coated TBA</t>
  </si>
  <si>
    <t>Hoad Icon (Continuous) Sheer Ivory</t>
  </si>
  <si>
    <t>Hoad Icon (Continuous) Sheer Linen</t>
  </si>
  <si>
    <t>Hoad Icon (Continuous) Sheer Stone</t>
  </si>
  <si>
    <t>Hoad Icon (Continuous) Sheer White</t>
  </si>
  <si>
    <t>Hoad Icon (Continuous) Sheer Silver</t>
  </si>
  <si>
    <t>Hoad Icon (Continuous) Sheer Moonlight</t>
  </si>
  <si>
    <t>Hoad Icon (Continuous) Sheer TBA</t>
  </si>
  <si>
    <t>Warwick Taree (Continuous) Sheer Chalk</t>
  </si>
  <si>
    <t>86% Polyester 14% Viscose</t>
  </si>
  <si>
    <t>Warwick Taree (Continuous) Sheer Champagne</t>
  </si>
  <si>
    <t>Warwick Taree (Continuous) Sheer Flint</t>
  </si>
  <si>
    <t>Warwick Taree (Continuous) Sheer Frost</t>
  </si>
  <si>
    <t>Warwick Taree (Continuous) Sheer Ice</t>
  </si>
  <si>
    <t>Warwick Taree (Continuous) Sheer Latte</t>
  </si>
  <si>
    <t>Warwick Taree (Continuous) Sheer Nougat</t>
  </si>
  <si>
    <t>Warwick Taree (Continuous) Sheer Sand</t>
  </si>
  <si>
    <t>Warwick Taree (Continuous) Sheer Thunder</t>
  </si>
  <si>
    <t>Warwick Taree (Continuous) Sheer TBA</t>
  </si>
  <si>
    <t>Warwick Frances (Drop) Uncoated Graphite</t>
  </si>
  <si>
    <t>57% Cotton 43% Polyester</t>
  </si>
  <si>
    <t>Warwick Frances (Drop) Uncoated Indigo</t>
  </si>
  <si>
    <t>Warwick Frances (Drop) Uncoated Ivory</t>
  </si>
  <si>
    <t>Warwick Frances (Drop) Uncoated Taupe</t>
  </si>
  <si>
    <t>Warwick Frances (Drop) Uncoated TBA</t>
  </si>
  <si>
    <t>Nettex Skye (Continuous) Sheer TBA</t>
  </si>
  <si>
    <t>3250</t>
  </si>
  <si>
    <t>Nettex Skye (Continuous) Sheer Hops</t>
  </si>
  <si>
    <t>Nettex Skye (Continuous) Sheer Malt</t>
  </si>
  <si>
    <t>Nettex Skye (Continuous) Sheer Hemp</t>
  </si>
  <si>
    <t>Nettex Skye (Continuous) Sheer Linen</t>
  </si>
  <si>
    <t>Nettex Skye (Continuous) Sheer Snow</t>
  </si>
  <si>
    <t>Nettex Skye (Continuous) Sheer Tweed</t>
  </si>
  <si>
    <t>Nettex Skye (Drop) Sheer TBA</t>
  </si>
  <si>
    <t>Nettex Skye (Drop) Sheer Hops</t>
  </si>
  <si>
    <t>Nettex Skye (Drop) Sheer Malt</t>
  </si>
  <si>
    <t>Nettex Skye (Drop) Sheer Hemp</t>
  </si>
  <si>
    <t>Nettex Skye (Drop) Sheer Linen</t>
  </si>
  <si>
    <t>Nettex Skye (Drop) Sheer Snow</t>
  </si>
  <si>
    <t>Nettex Skye (Drop) Sheer Tweed</t>
  </si>
  <si>
    <t>Nettex Cannes (Continuous) Sheer TBA</t>
  </si>
  <si>
    <t>Nettex Cannes (Continuous) Sheer Spray</t>
  </si>
  <si>
    <t>Nettex Cannes (Continuous) Sheer Pearl</t>
  </si>
  <si>
    <t>Nettex Cannes (Continuous) Sheer Parchment</t>
  </si>
  <si>
    <t>Nettex Cannes (Continuous) Sheer Sand</t>
  </si>
  <si>
    <t>Nettex Cannes (Continuous) Sheer Balsa</t>
  </si>
  <si>
    <t>Nettex Cannes (Continuous) Sheer Donkey</t>
  </si>
  <si>
    <t>Nettex Cannes (Continuous) Sheer Driftwood</t>
  </si>
  <si>
    <t>Nettex Cannes (Continuous) Sheer Lien</t>
  </si>
  <si>
    <t>Nettex Cannes (Continuous) Sheer Fawn</t>
  </si>
  <si>
    <t>Nettex Cannes (Continuous) Sheer Charcoal</t>
  </si>
  <si>
    <t>Nettex Cannes (Continuous) Sheer Ash</t>
  </si>
  <si>
    <t>Nettex Cannes (Continuous) Sheer Pewter</t>
  </si>
  <si>
    <t>Nettex Cannes (Continuous) Sheer Gravel</t>
  </si>
  <si>
    <t>Nettex Cannes (Continuous) Sheer Cloud</t>
  </si>
  <si>
    <t>Nettex Cannes (Drop) Sheer TBA</t>
  </si>
  <si>
    <t>Nettex Cannes (Drop) Sheer Spray</t>
  </si>
  <si>
    <t>Nettex Cannes (Drop) Sheer Pearl</t>
  </si>
  <si>
    <t>Nettex Cannes (Drop) Sheer Parchment</t>
  </si>
  <si>
    <t>Nettex Cannes (Drop) Sheer Sand</t>
  </si>
  <si>
    <t>Nettex Cannes (Drop) Sheer Balsa</t>
  </si>
  <si>
    <t>Nettex Cannes (Drop) Sheer Donkey</t>
  </si>
  <si>
    <t>Nettex Cannes (Drop) Sheer Driftwood</t>
  </si>
  <si>
    <t>Nettex Cannes (Drop) Sheer Lien</t>
  </si>
  <si>
    <t>Nettex Cannes (Drop) Sheer Fawn</t>
  </si>
  <si>
    <t>Nettex Cannes (Drop) Sheer Charcoal</t>
  </si>
  <si>
    <t>Nettex Cannes (Drop) Sheer Ash</t>
  </si>
  <si>
    <t>Nettex Cannes (Drop) Sheer Pewter</t>
  </si>
  <si>
    <t>Nettex Cannes (Drop) Sheer Gravel</t>
  </si>
  <si>
    <t>Nettex Cannes (Drop) Sheer Cloud</t>
  </si>
  <si>
    <t>Filigree Easton (Continuous) Sheer Ice</t>
  </si>
  <si>
    <t>Filigree Easton (Continuous) Sheer Chalk</t>
  </si>
  <si>
    <t>Filigree Easton (Continuous) Sheer Ivory</t>
  </si>
  <si>
    <t>Filigree Easton (Continuous) Sheer Natural</t>
  </si>
  <si>
    <t>Filigree Easton (Continuous) Sheer Raw</t>
  </si>
  <si>
    <t>Filigree Easton (Continuous) Sheer Linen</t>
  </si>
  <si>
    <t>Filigree Easton (Continuous) Sheer Shell</t>
  </si>
  <si>
    <t>Filigree Easton (Continuous) Sheer Silver</t>
  </si>
  <si>
    <t>Filigree Easton (Continuous) Sheer Ash</t>
  </si>
  <si>
    <t>Filigree Easton (Continuous) Sheer Slate</t>
  </si>
  <si>
    <t>Filigree Easton (Continuous) Sheer TBA</t>
  </si>
  <si>
    <t>Maurice Kain SB - Southport (Continuous) Sheer Arctic</t>
  </si>
  <si>
    <t>Maurice Kain SB - Southport (Continuous) Sheer Ash</t>
  </si>
  <si>
    <t>Maurice Kain SB - Southport (Continuous) Sheer Blackjack</t>
  </si>
  <si>
    <t>Maurice Kain SB - Southport (Continuous) Sheer Cream</t>
  </si>
  <si>
    <t xml:space="preserve">Maurice Kain SB - Southport (Continuous) Sheer Cumulus </t>
  </si>
  <si>
    <t>Maurice Kain SB - Southport (Continuous) Sheer Dusk</t>
  </si>
  <si>
    <t>Maurice Kain SB - Southport (Continuous) Sheer Iron</t>
  </si>
  <si>
    <t xml:space="preserve">Maurice Kain SB - Southport (Continuous) Sheer Linen </t>
  </si>
  <si>
    <t>Maurice Kain SB - Southport (Continuous) Sheer Porcelain</t>
  </si>
  <si>
    <t>Maurice Kain SB - Southport (Continuous) Sheer Putty</t>
  </si>
  <si>
    <t>Maurice Kain SB - Southport (Continuous) Sheer Seal</t>
  </si>
  <si>
    <t>Maurice Kain SB - Southport (Continuous) Sheer Spray</t>
  </si>
  <si>
    <t>Maurice Kain SB - Southport (Continuous) Sheer Storm</t>
  </si>
  <si>
    <t>Maurice Kain SB - Southport (Continuous) Sheer TBA</t>
  </si>
  <si>
    <t>Sonata Airlie (Drop) Uncoated No Colour</t>
  </si>
  <si>
    <t>Cotton 59.6% Linen 40.4%</t>
  </si>
  <si>
    <t>Sonata Beachport (Drop) Uncoated No Colour</t>
  </si>
  <si>
    <t>Cotton 22.7% Polyester 42.1% Linen 35.2%</t>
  </si>
  <si>
    <t>Sonata Bondi (Drop) Uncoated No Colour</t>
  </si>
  <si>
    <t>Cotton 23.6% Polyester 43.7% Linen 32.7%</t>
  </si>
  <si>
    <t>Sonata Byron (Drop) Uncoated No Colour</t>
  </si>
  <si>
    <t>Cotton 23.1% Polyester 42.9% Linen 34%</t>
  </si>
  <si>
    <t>Sonata Coolangatta (Drop) Uncoated No Colour</t>
  </si>
  <si>
    <t>Sonata Devonport (Drop) Uncoated No Colour</t>
  </si>
  <si>
    <t>Sonata Eden (Drop) Uncoated No Colour</t>
  </si>
  <si>
    <t>Sonata Elwood (Drop) Uncoated No Colour</t>
  </si>
  <si>
    <t>Sonata Esperance (Drop) Uncoated No Colour</t>
  </si>
  <si>
    <t>Cotton 38.6% Polyester 38.5% Linen 22.9%</t>
  </si>
  <si>
    <t>Sonata Flinders (Drop) Uncoated No Colour</t>
  </si>
  <si>
    <t>Sonata Glenelg (Drop) Uncoated No Colour</t>
  </si>
  <si>
    <t>Sonata Hastings (Drop) Uncoated No Colour</t>
  </si>
  <si>
    <t>Sonata Kiama (Drop) Uncoated No Colour</t>
  </si>
  <si>
    <t>Sonata Manly (Drop) Uncoated No Colour</t>
  </si>
  <si>
    <t>Sonata Noosa (Drop) Uncoated No Colour</t>
  </si>
  <si>
    <t>Sonata Portland (Drop) Uncoated No Colour</t>
  </si>
  <si>
    <t>Sonata Portsea (Drop) Uncoated No Colour</t>
  </si>
  <si>
    <t>Cotton 21.9% Polyester 340.6% Linen 37.5%</t>
  </si>
  <si>
    <t>Sonata San Remo (Drop) Uncoated No Colour</t>
  </si>
  <si>
    <t>Sonata Sorrento (Drop) Uncoated No Colour</t>
  </si>
  <si>
    <t>Sonata Southport (Drop) Uncoated No Colour</t>
  </si>
  <si>
    <t>Sonata Torquay (Drop) Uncoated No Colour</t>
  </si>
  <si>
    <t>Sonata Townsville (Drop) Uncoated No Colour</t>
  </si>
  <si>
    <t>Charles Parsons Athina 276cm (Continuous) Uncoated Admiral</t>
  </si>
  <si>
    <t>F1</t>
  </si>
  <si>
    <t>Charles Parsons Athina 276cm (Continuous) Uncoated Airforce</t>
  </si>
  <si>
    <t>Charles Parsons Athina 276cm (Continuous) Uncoated Bluestone</t>
  </si>
  <si>
    <t>Charles Parsons Athina 276cm (Continuous) Uncoated Bone</t>
  </si>
  <si>
    <t>Charles Parsons Athina 276cm (Continuous) Uncoated Burgundy</t>
  </si>
  <si>
    <t>Charles Parsons Athina 276cm (Continuous) Uncoated Charcoal</t>
  </si>
  <si>
    <t>Charles Parsons Athina 276cm (Continuous) Uncoated Chocolate</t>
  </si>
  <si>
    <t>Charles Parsons Athina 276cm (Continuous) Uncoated Confier</t>
  </si>
  <si>
    <t>Charles Parsons Athina 276cm (Continuous) Uncoated Forest</t>
  </si>
  <si>
    <t>Charles Parsons Athina 276cm (Continuous) Uncoated Marlin</t>
  </si>
  <si>
    <t>Charles Parsons Athina 276cm (Continuous) Uncoated Merlot</t>
  </si>
  <si>
    <t>Charles Parsons Athina 276cm (Continuous) Uncoated Moleskin</t>
  </si>
  <si>
    <t>Charles Parsons Athina 276cm (Continuous) Uncoated Panther</t>
  </si>
  <si>
    <t>Charles Parsons Athina 276cm (Continuous) Uncoated Peacock</t>
  </si>
  <si>
    <t>Charles Parsons Athina 276cm (Continuous) Uncoated Platinum</t>
  </si>
  <si>
    <t>Charles Parsons Athina 276cm (Continuous) Uncoated Scarlet</t>
  </si>
  <si>
    <t>Charles Parsons Athina 276cm (Continuous) Uncoated Silver</t>
  </si>
  <si>
    <t>Charles Parsons Athina 276cm (Continuous) Uncoated Slate</t>
  </si>
  <si>
    <t>Charles Parsons Athina 276cm (Continuous) Uncoated Snow</t>
  </si>
  <si>
    <t>Charles Parsons Athina 276cm (Continuous) Uncoated Spruce</t>
  </si>
  <si>
    <t>Charles Parsons Athina 276cm (Continuous) Uncoated Surf</t>
  </si>
  <si>
    <t>Charles Parsons Athina 276cm (Continuous) Uncoated Taupe</t>
  </si>
  <si>
    <t>Charles Parsons Athina 276cm (Continuous) Uncoated Terracotta</t>
  </si>
  <si>
    <t>Charles Parsons Athina 276cm (Continuous) Uncoated TBA</t>
  </si>
  <si>
    <t>Charles Parsons Athina 276cm (Drop) Uncoated Admiral</t>
  </si>
  <si>
    <t>Charles Parsons Athina 276cm (Drop) Uncoated Airforce</t>
  </si>
  <si>
    <t>Charles Parsons Athina 276cm (Drop) Uncoated Bluestone</t>
  </si>
  <si>
    <t>Charles Parsons Athina 276cm (Drop) Uncoated Bone</t>
  </si>
  <si>
    <t>Charles Parsons Athina 276cm (Drop) Uncoated Burgundy</t>
  </si>
  <si>
    <t>Charles Parsons Athina 276cm (Drop) Uncoated Charcoal</t>
  </si>
  <si>
    <t>Charles Parsons Athina 276cm (Drop) Uncoated Chocolate</t>
  </si>
  <si>
    <t>Charles Parsons Athina 276cm (Drop) Uncoated Confier</t>
  </si>
  <si>
    <t>Charles Parsons Athina 276cm (Drop) Uncoated Forest</t>
  </si>
  <si>
    <t>Charles Parsons Athina 276cm (Drop) Uncoated Marlin</t>
  </si>
  <si>
    <t>Charles Parsons Athina 276cm (Drop) Uncoated Merlot</t>
  </si>
  <si>
    <t>Charles Parsons Athina 276cm (Drop) Uncoated Moleskin</t>
  </si>
  <si>
    <t>Charles Parsons Athina 276cm (Drop) Uncoated Panther</t>
  </si>
  <si>
    <t>Charles Parsons Athina 276cm (Drop) Uncoated Peacock</t>
  </si>
  <si>
    <t>Charles Parsons Athina 276cm (Drop) Uncoated Platinum</t>
  </si>
  <si>
    <t>Charles Parsons Athina 276cm (Drop) Uncoated Scarlet</t>
  </si>
  <si>
    <t>Charles Parsons Athina 276cm (Drop) Uncoated Silver</t>
  </si>
  <si>
    <t>Charles Parsons Athina 276cm (Drop) Uncoated Slate</t>
  </si>
  <si>
    <t>Charles Parsons Athina 276cm (Drop) Uncoated Snow</t>
  </si>
  <si>
    <t>Charles Parsons Athina 276cm (Drop) Uncoated Spruce</t>
  </si>
  <si>
    <t>Charles Parsons Athina 276cm (Drop) Uncoated Surf</t>
  </si>
  <si>
    <t>Charles Parsons Athina 276cm (Drop) Uncoated Taupe</t>
  </si>
  <si>
    <t>Charles Parsons Athina 276cm (Drop) Uncoated Terracotta</t>
  </si>
  <si>
    <t>Charles Parsons Athina 276cm (Drop) Uncoated TBA</t>
  </si>
  <si>
    <t>Charles Parsons Drake (Continuous) Sheer Arctic</t>
  </si>
  <si>
    <t>Charles Parsons Drake (Continuous) Sheer Ash</t>
  </si>
  <si>
    <t>Charles Parsons Drake (Continuous) Sheer Black</t>
  </si>
  <si>
    <t>Charles Parsons Drake (Continuous) Sheer Dune</t>
  </si>
  <si>
    <t>Charles Parsons Drake (Continuous) Sheer Eggshell</t>
  </si>
  <si>
    <t>Charles Parsons Drake (Continuous) Sheer Feather</t>
  </si>
  <si>
    <t>Charles Parsons Drake (Continuous) Sheer Flint</t>
  </si>
  <si>
    <t>Charles Parsons Drake (Continuous) Sheer Monument</t>
  </si>
  <si>
    <t>Charles Parsons Drake (Continuous) Sheer Pebble</t>
  </si>
  <si>
    <t>Charles Parsons Drake (Continuous) Sheer Sage</t>
  </si>
  <si>
    <t>Charles Parsons Drake (Continuous) Sheer Sterling</t>
  </si>
  <si>
    <t>Charles Parsons Drake (Continuous) Sheer Topaz</t>
  </si>
  <si>
    <t>Charles Parsons Drake (Continuous) Sheer Vanilla</t>
  </si>
  <si>
    <t>Charles Parsons Drake (Continuous) Sheer TBA</t>
  </si>
  <si>
    <t>47% Polyester 36% Cotton 9% Viscose 8% Linen</t>
  </si>
  <si>
    <t>Hoad Seasons (Drop) Uncoated TBA</t>
  </si>
  <si>
    <t>23% Cotton/43% Polyester/34% Linen</t>
  </si>
  <si>
    <t>Hoad Seasons (Drop) Uncoated Linen</t>
  </si>
  <si>
    <t>Hoad Seasons (Drop) Uncoated Natural</t>
  </si>
  <si>
    <t>22% Cotton/78% Polyester</t>
  </si>
  <si>
    <t>Nettex Havana (Continuous) Uncoated TBA</t>
  </si>
  <si>
    <t>Nettex Havana (Continuous) Uncoated Ecru</t>
  </si>
  <si>
    <t>Nettex Havana (Continuous) Uncoated Silver</t>
  </si>
  <si>
    <t>Nettex Havana (Continuous) Uncoated Cashew</t>
  </si>
  <si>
    <t>Nettex Havana (Continuous) Uncoated Biscuit</t>
  </si>
  <si>
    <t>Nettex Havana (Continuous) Uncoated Nutmeg</t>
  </si>
  <si>
    <t>Nettex Havana (Continuous) Uncoated Buffalo</t>
  </si>
  <si>
    <t>Nettex Havana (Continuous) Uncoated Charcoal</t>
  </si>
  <si>
    <t>Nettex Havana (Continuous) Uncoated Metal</t>
  </si>
  <si>
    <t>Nettex Havana (Continuous) Uncoated Seafoam</t>
  </si>
  <si>
    <t>Nettex Havana (Continuous) Uncoated Salmon</t>
  </si>
  <si>
    <t>Nettex Havana (Continuous) Uncoated Sangria</t>
  </si>
  <si>
    <t>Nettex Havana (Continuous) Uncoated Ink</t>
  </si>
  <si>
    <t>Nettex Havana (Continuous) Uncoated Onyx</t>
  </si>
  <si>
    <t>Nettex Havana (Continuous) Uncoated Donkey</t>
  </si>
  <si>
    <t>Nettex Havana (Continuous) Uncoated Smoke</t>
  </si>
  <si>
    <t>5mm to 15mm (Standard)</t>
  </si>
  <si>
    <t>Maurice Kain Evoke (Drop) Uncoated Blush</t>
  </si>
  <si>
    <t>Maurice Kain Evoke (Drop) Uncoated Duck Egg</t>
  </si>
  <si>
    <t>Maurice Kain Evoke (Drop) Uncoated Indigo</t>
  </si>
  <si>
    <t>Maurice Kain Evoke (Drop) Uncoated Ochre</t>
  </si>
  <si>
    <t>Maurice Kain Evoke (Drop) Uncoated Storm</t>
  </si>
  <si>
    <t>Maurice Kain Evoke (Drop) Uncoated TBA</t>
  </si>
  <si>
    <t>Charles Parsons Parisi (Continuous) Sheer Bloom</t>
  </si>
  <si>
    <t>F2</t>
  </si>
  <si>
    <t>Charles Parsons Parisi (Continuous) Sheer Cashmere</t>
  </si>
  <si>
    <t>Charles Parsons Parisi (Continuous) Sheer Driftwood</t>
  </si>
  <si>
    <t>Charles Parsons Parisi (Continuous) Sheer Frost</t>
  </si>
  <si>
    <t>Charles Parsons Parisi (Continuous) Sheer Linen</t>
  </si>
  <si>
    <t>Charles Parsons Parisi (Continuous) Sheer Royal</t>
  </si>
  <si>
    <t>Charles Parsons Parisi (Continuous) Sheer Silver</t>
  </si>
  <si>
    <t>Charles Parsons Parisi (Continuous) Sheer Slate</t>
  </si>
  <si>
    <t>Charles Parsons Parisi (Continuous) Sheer Tarmac</t>
  </si>
  <si>
    <t>Charles Parsons Parisi (Continuous) Sheer White</t>
  </si>
  <si>
    <t>Charles Parsons Parisi (Continuous) Sheer TBA</t>
  </si>
  <si>
    <t>Charles Parsons Parisi (Drop) Sheer Bloom</t>
  </si>
  <si>
    <t>Charles Parsons Parisi (Drop) Sheer Cashmere</t>
  </si>
  <si>
    <t>Charles Parsons Parisi (Drop) Sheer Driftwood</t>
  </si>
  <si>
    <t>Charles Parsons Parisi (Drop) Sheer Frost</t>
  </si>
  <si>
    <t>Charles Parsons Parisi (Drop) Sheer Linen</t>
  </si>
  <si>
    <t>Charles Parsons Parisi (Drop) Sheer Royal</t>
  </si>
  <si>
    <t>Charles Parsons Parisi (Drop) Sheer Silver</t>
  </si>
  <si>
    <t>Charles Parsons Parisi (Drop) Sheer Slate</t>
  </si>
  <si>
    <t>Charles Parsons Parisi (Drop) Sheer Tarmac</t>
  </si>
  <si>
    <t>Charles Parsons Parisi (Drop) Sheer White</t>
  </si>
  <si>
    <t>Charles Parsons Parisi (Drop) Sheer TBA</t>
  </si>
  <si>
    <t>Gather Hook Bottom Pocket</t>
  </si>
  <si>
    <t>Sekers Striped Petal (Drop) Uncoated Orange</t>
  </si>
  <si>
    <t>Nettex Bali (Continuous) Sheer TBA</t>
  </si>
  <si>
    <t>Nettex Bali (Continuous) Sheer Cloud</t>
  </si>
  <si>
    <t>Nettex Bali (Continuous) Sheer Pink</t>
  </si>
  <si>
    <t>Nettex Bali (Continuous) Sheer Ash</t>
  </si>
  <si>
    <t>Nettex Bali (Continuous) Sheer Thunder</t>
  </si>
  <si>
    <t>Nettex Bali (Continuous) Sheer Storm</t>
  </si>
  <si>
    <t>Nettex Bali (Continuous) Sheer Onyx</t>
  </si>
  <si>
    <t>Nettex Bali (Continuous) Sheer Black</t>
  </si>
  <si>
    <t>Nettex Bali (Continuous) Sheer Indigo</t>
  </si>
  <si>
    <t>Nettex Bali (Continuous) Sheer Heather</t>
  </si>
  <si>
    <t>Nettex Bali (Continuous) Sheer Duckegg</t>
  </si>
  <si>
    <t>Nettex Bali (Continuous) Sheer Cobblestone</t>
  </si>
  <si>
    <t>Nettex Bali (Continuous) Sheer Taupe</t>
  </si>
  <si>
    <t>Nettex Bali (Continuous) Sheer Donkey</t>
  </si>
  <si>
    <t>Nettex Bali (Continuous) Sheer Flax</t>
  </si>
  <si>
    <t>Nettex Bali (Continuous) Sheer Blush</t>
  </si>
  <si>
    <t>Nettex Bali (Continuous) Sheer Gardenia</t>
  </si>
  <si>
    <t>Nettex Bali (Continuous) Sheer Pearl</t>
  </si>
  <si>
    <t>Nettex Bali (Continuous) Sheer Snow</t>
  </si>
  <si>
    <t>Nettex Bali (Continuous) Sheer Chalk</t>
  </si>
  <si>
    <t>Nettex Bali (Continuous) Sheer Driftwood</t>
  </si>
  <si>
    <t>Fabric is being sent directly to Workroom and we will be supplying our own tracks.
All allowances have been made</t>
  </si>
  <si>
    <t>Thru External Corner</t>
  </si>
  <si>
    <t>Butt External Corner</t>
  </si>
  <si>
    <t>Zepel Broad Stripe (Drop) Uncoated TBA</t>
  </si>
  <si>
    <t>Zepel Broad Stripe (Drop) Uncoated Charcoal</t>
  </si>
  <si>
    <t>Zepel Broad Stripe (Drop) Uncoated Dove</t>
  </si>
  <si>
    <t>Zepel Broad Stripe (Drop) Uncoated Marine</t>
  </si>
  <si>
    <t>Zepel Broad Stripe (Drop) Uncoated Taupe</t>
  </si>
  <si>
    <t>Warwick Eleanor (Drop) Uncoated TBA</t>
  </si>
  <si>
    <t>Warwick Eleanor (Drop) Uncoated Bone</t>
  </si>
  <si>
    <t>Warwick Eleanor (Drop) Uncoated Mercury</t>
  </si>
  <si>
    <t>Warwick Eleanor (Drop) Uncoated Mink</t>
  </si>
  <si>
    <t>Warwick Eleanor (Drop) Uncoated Nougat</t>
  </si>
  <si>
    <t>Warwick Eleanor (Drop) Uncoated Pewter</t>
  </si>
  <si>
    <t>Warwick Eleanor (Drop) Uncoated Sandstone</t>
  </si>
  <si>
    <t>Warwick Chambray (Drop) Uncoated Clay</t>
  </si>
  <si>
    <t>Warwick Chambray (Drop) Uncoated Denim</t>
  </si>
  <si>
    <t>Warwick Chambray (Drop) Uncoated Ecru</t>
  </si>
  <si>
    <t>Warwick Chambray (Drop) Uncoated Graphite</t>
  </si>
  <si>
    <t>Warwick Chambray (Drop) Uncoated Maize</t>
  </si>
  <si>
    <t>Warwick Chambray (Drop) Uncoated Menthol</t>
  </si>
  <si>
    <t>Warwick Chambray (Drop) Uncoated Nectar</t>
  </si>
  <si>
    <t>Warwick Chambray (Drop) Uncoated Onyx</t>
  </si>
  <si>
    <t>Warwick Chambray (Drop) Uncoated Opal</t>
  </si>
  <si>
    <t>Warwick Chambray (Drop) Uncoated Pine</t>
  </si>
  <si>
    <t>Warwick Chambray (Drop) Uncoated Raspberry</t>
  </si>
  <si>
    <t>Warwick Chambray (Drop) Uncoated Rosewater</t>
  </si>
  <si>
    <t>Warwick Chambray (Drop) Uncoated Silver</t>
  </si>
  <si>
    <t>Warwick Chambray (Drop) Uncoated Snow</t>
  </si>
  <si>
    <t>Warwick Chambray (Drop) Uncoated Stone</t>
  </si>
  <si>
    <t>Warwick Chambray (Drop) Uncoated Vanilla</t>
  </si>
  <si>
    <t>Warwick Chambray (Drop) Uncoated Vapour</t>
  </si>
  <si>
    <t>Charles Parsons Athina (Continuous) Uncoated TBA</t>
  </si>
  <si>
    <t>Charles Parsons Athina (Continuous) Uncoated Admiral</t>
  </si>
  <si>
    <t>Charles Parsons Athina (Continuous) Uncoated Airforce</t>
  </si>
  <si>
    <t>Charles Parsons Athina (Continuous) Uncoated Bluestone 57</t>
  </si>
  <si>
    <t>Charles Parsons Athina (Continuous) Uncoated Bone</t>
  </si>
  <si>
    <t>Charles Parsons Athina (Continuous) Uncoated Burgundy</t>
  </si>
  <si>
    <t>Charles Parsons Athina (Continuous) Uncoated Charcoal</t>
  </si>
  <si>
    <t>Charles Parsons Athina (Continuous) Uncoated Chocolate</t>
  </si>
  <si>
    <t>Charles Parsons Athina (Continuous) Uncoated Conifer</t>
  </si>
  <si>
    <t>Charles Parsons Athina (Continuous) Uncoated Forest</t>
  </si>
  <si>
    <t>Charles Parsons Athina (Continuous) Uncoated Marlin</t>
  </si>
  <si>
    <t>Charles Parsons Athina (Continuous) Uncoated Merlot</t>
  </si>
  <si>
    <t>Charles Parsons Athina (Continuous) Uncoated Moleskin</t>
  </si>
  <si>
    <t>Charles Parsons Athina (Continuous) Uncoated Panther</t>
  </si>
  <si>
    <t>Charles Parsons Athina (Continuous) Uncoated Peacock</t>
  </si>
  <si>
    <t>Charles Parsons Athina (Continuous) Uncoated Platinum</t>
  </si>
  <si>
    <t>Charles Parsons Athina (Continuous) Uncoated Scarlet</t>
  </si>
  <si>
    <t>Charles Parsons Athina (Continuous) Uncoated Silver</t>
  </si>
  <si>
    <t>Charles Parsons Athina (Continuous) Uncoated Slate</t>
  </si>
  <si>
    <t>Charles Parsons Athina (Continuous) Uncoated Snow</t>
  </si>
  <si>
    <t>Charles Parsons Athina (Continuous) Uncoated Spruce</t>
  </si>
  <si>
    <t>Charles Parsons Athina (Continuous) Uncoated Surf</t>
  </si>
  <si>
    <t>Charles Parsons Athina (Continuous) Uncoated Taupe</t>
  </si>
  <si>
    <t>Charles Parsons Athina (Continuous) Uncoated Terracotta</t>
  </si>
  <si>
    <t>Vanda Vantage 25mm Eyelot Rod</t>
  </si>
  <si>
    <t>Maurice Kain Repose (Drop) Uncoated TBA</t>
  </si>
  <si>
    <t>61% Cotton/39% Poly</t>
  </si>
  <si>
    <t>Maurice Kain Repose (Drop) Uncoated Ceylon</t>
  </si>
  <si>
    <t>Maurice Kain Repose (Drop) Uncoated Chai</t>
  </si>
  <si>
    <t>Maurice Kain Repose (Drop) Uncoated Earl Grey</t>
  </si>
  <si>
    <t>Maurice Kain Repose (Drop) Uncoated Milk</t>
  </si>
  <si>
    <t>Maurice Kain Repose (Drop) Uncoated Oolong</t>
  </si>
  <si>
    <t>Maurice Kain Repose (Drop) Uncoated Peppermint</t>
  </si>
  <si>
    <t>Maurice Kain Repose (Drop) Uncoated Vanilla</t>
  </si>
  <si>
    <t>Existing Versatrak 25 Track with Glides and 100mm Bracket</t>
  </si>
  <si>
    <t>Sekers Abacus Flower (Drop) Uncoated Olive</t>
  </si>
  <si>
    <t>Nettex Performer 137cm (Drop) Lining TBA</t>
  </si>
  <si>
    <t>Nettex Performer 137cm (Drop) Lining White</t>
  </si>
  <si>
    <t>Nettex Performer 137cm (Drop) Lining Ecru</t>
  </si>
  <si>
    <t>Nettex Performer 150cm (Drop) Lining TBA</t>
  </si>
  <si>
    <t>Nettex Performer 150cm (Drop) Lining White</t>
  </si>
  <si>
    <t>Nettex Performer 150cm (Drop) Lining Ecru</t>
  </si>
  <si>
    <t>Nettex Performer 300cm (Drop) Lining TBA</t>
  </si>
  <si>
    <t>Nettex Performer 300cm (Drop) Lining White</t>
  </si>
  <si>
    <t>Nettex Performer 300cm (Drop) Lining Ecru</t>
  </si>
  <si>
    <t>Nettex Performer 300cm (Continuous) Lining TBA</t>
  </si>
  <si>
    <t>Nettex Performer 300cm (Continuous) Lining White</t>
  </si>
  <si>
    <t>Nettex Performer 300cm (Continuous) Lining Ecru</t>
  </si>
  <si>
    <t>Charles Parsons Amanda (Continuous) Sheer Cocoa</t>
  </si>
  <si>
    <t>Charles Parsons Amanda (Continuous) Sheer Ecru</t>
  </si>
  <si>
    <t>Charles Parsons Amanda (Continuous) Sheer Glacier Grey</t>
  </si>
  <si>
    <t>Charles Parsons Amanda (Continuous) Sheer Mercury</t>
  </si>
  <si>
    <t>Charles Parsons Amanda (Continuous) Sheer Parchment</t>
  </si>
  <si>
    <t>Charles Parsons Amanda (Continuous) Sheer Sand</t>
  </si>
  <si>
    <t>Charles Parsons Amanda (Continuous) Sheer White</t>
  </si>
  <si>
    <t>Charles Parsons Amanda (Continuous) Sheer TBA</t>
  </si>
  <si>
    <t>Warwick Somerville (Drop) Uncoated Chintz</t>
  </si>
  <si>
    <t>Warwick Somerville (Drop) Uncoated Jungle</t>
  </si>
  <si>
    <t>Warwick Somerville (Drop) Uncoated Ocean</t>
  </si>
  <si>
    <t>Warwick Somerville (Drop) Uncoated Spice</t>
  </si>
  <si>
    <t>Warwick Somerville (Drop) Uncoated TBA</t>
  </si>
  <si>
    <t>Renaissance Decorator Rod with Rings Cord Drawn</t>
  </si>
  <si>
    <t>Renaissance Decorator Rod with Rings Hand Drawn</t>
  </si>
  <si>
    <t>Fabric Customer's Own 300cm wide Continuous TBA</t>
  </si>
  <si>
    <t>Headed Widths LHS (cm)</t>
  </si>
  <si>
    <t>Headed Widths RHS (cm)</t>
  </si>
  <si>
    <t>Left</t>
  </si>
  <si>
    <t>Right</t>
  </si>
  <si>
    <t>System 20 White</t>
  </si>
  <si>
    <t>System 20 Black</t>
  </si>
  <si>
    <t>System 20 Overlap Arm White</t>
  </si>
  <si>
    <t>System 20 Overlap Arm Black</t>
  </si>
  <si>
    <t>System 20 Underlap Arm White</t>
  </si>
  <si>
    <t>System 20 Underlap Arm Black</t>
  </si>
  <si>
    <t>System 20 Runners</t>
  </si>
  <si>
    <t>Electrical Form</t>
  </si>
  <si>
    <t>Email</t>
  </si>
  <si>
    <t>Phone Number</t>
  </si>
  <si>
    <t>Electrician Required</t>
  </si>
  <si>
    <t>Control Type</t>
  </si>
  <si>
    <t>Controller</t>
  </si>
  <si>
    <t>Receiver</t>
  </si>
  <si>
    <t>House Construction</t>
  </si>
  <si>
    <t>Roof Style</t>
  </si>
  <si>
    <t>Switchboard Upgrade</t>
  </si>
  <si>
    <t>Number of Storeys</t>
  </si>
  <si>
    <t>Maurice Kain Altair (Drop) Sheer Dove</t>
  </si>
  <si>
    <t>Maurice Kain Altair (Drop) Sheer Ivory</t>
  </si>
  <si>
    <t>Maurice Kain Altair (Drop) Sheer Marble</t>
  </si>
  <si>
    <t>Maurice Kain Altair (Drop) Sheer Mineral</t>
  </si>
  <si>
    <t>Maurice Kain Altair (Drop) Sheer Pearl</t>
  </si>
  <si>
    <t>Maurice Kain Altair (Drop) Sheer Pewter</t>
  </si>
  <si>
    <t>Maurice Kain Altair (Drop) Sheer Silver</t>
  </si>
  <si>
    <t>Maurice Kain Altair (Drop) Sheer Sky</t>
  </si>
  <si>
    <t>Maurice Kain Altair (Drop) Sheer Slate</t>
  </si>
  <si>
    <t>Maurice Kain Altair (Drop) Sheer Smoke</t>
  </si>
  <si>
    <t>Maurice Kain Altair (Drop) Sheer TBA</t>
  </si>
  <si>
    <t>Marco Macquarie (Continuous) Sheer White</t>
  </si>
  <si>
    <t>46% Recycled Polyester 54% Polyester with weighted base</t>
  </si>
  <si>
    <t>Marco Macquarie (Continuous) Sheer Snow</t>
  </si>
  <si>
    <t>Marco Macquarie (Continuous) Sheer Silver</t>
  </si>
  <si>
    <t>Marco Macquarie (Continuous) Sheer Graphite</t>
  </si>
  <si>
    <t>Marco Macquarie (Continuous) Sheer Ebony</t>
  </si>
  <si>
    <t>Marco Macquarie (Continuous) Sheer Mink</t>
  </si>
  <si>
    <t>Marco Macquarie (Continuous) Sheer Pearl</t>
  </si>
  <si>
    <t>Marco Macquarie (Continuous) Sheer Ivory</t>
  </si>
  <si>
    <t>Marco Macquarie (Continuous) Sheer Champagne</t>
  </si>
  <si>
    <t>Marco Macquarie (Continuous) Sheer Camel</t>
  </si>
  <si>
    <t>Marco Macquarie (Continuous) Sheer Tungsten</t>
  </si>
  <si>
    <t>Marco Macquarie (Continuous) Sheer Chocolate</t>
  </si>
  <si>
    <t>Marco Macquarie (Continuous) Sheer Oxide</t>
  </si>
  <si>
    <t>Marco Macquarie (Continuous) Sheer Burnish</t>
  </si>
  <si>
    <t>Marco Macquarie (Continuous) Sheer Flint</t>
  </si>
  <si>
    <t>Marco Macquarie (Continuous) Sheer Violet</t>
  </si>
  <si>
    <t>Marco Macquarie (Continuous) Sheer Mauve</t>
  </si>
  <si>
    <t>Marco Macquarie (Continuous) Sheer Lilac</t>
  </si>
  <si>
    <t>Marco Macquarie (Continuous) Sheer Ocean</t>
  </si>
  <si>
    <t>Marco Macquarie (Continuous) Sheer Navy</t>
  </si>
  <si>
    <t>Marco Macquarie (Continuous) Sheer Royale</t>
  </si>
  <si>
    <t>Marco Macquarie (Continuous) Sheer Water</t>
  </si>
  <si>
    <t>Marco Macquarie (Continuous) Sheer Frost</t>
  </si>
  <si>
    <t>Marco Macquarie (Continuous) Sheer Aegean</t>
  </si>
  <si>
    <t>Marco Macquarie (Continuous) Sheer Forest</t>
  </si>
  <si>
    <t>Marco Macquarie (Continuous) Sheer Magnesium</t>
  </si>
  <si>
    <t>Marco Macquarie (Continuous) Sheer Bronze</t>
  </si>
  <si>
    <t>Marco Macquarie (Continuous) Sheer Olive</t>
  </si>
  <si>
    <t>Marco Macquarie (Continuous) Sheer Pansy</t>
  </si>
  <si>
    <t>Marco Macquarie (Continuous) Sheer Fog</t>
  </si>
  <si>
    <t>Marco Macquarie (Continuous) Sheer Nectar</t>
  </si>
  <si>
    <t>Marco Macquarie (Continuous) Sheer Nude</t>
  </si>
  <si>
    <t>Marco Macquarie (Continuous) Sheer Ginger</t>
  </si>
  <si>
    <t>Marco Macquarie (Continuous) Sheer Currant</t>
  </si>
  <si>
    <t>Marco Macquarie (Continuous) Sheer Orchid</t>
  </si>
  <si>
    <t>Marco Macquarie (Continuous) Sheer Rose</t>
  </si>
  <si>
    <t>Marco Macquarie (Continuous) Sheer Sorbet</t>
  </si>
  <si>
    <t>Marco Macquarie (Continuous) Sheer Claret</t>
  </si>
  <si>
    <t>Marco Macquarie (Continuous) Sheer Bloom</t>
  </si>
  <si>
    <t>Marco Macquarie (Continuous) Sheer Pomelo</t>
  </si>
  <si>
    <t>Marco Macquarie (Continuous) Sheer Shiraz</t>
  </si>
  <si>
    <t>Marco Macquarie (Continuous) Sheer Magenta</t>
  </si>
  <si>
    <t>Marco Macquarie (Continuous) Sheer TBA</t>
  </si>
  <si>
    <t>Warwick Sardinia (Continuous) Uncoated Almond</t>
  </si>
  <si>
    <t>Warwick Sardinia (Continuous) Uncoated Aqua</t>
  </si>
  <si>
    <t>Warwick Sardinia (Continuous) Uncoated Birch</t>
  </si>
  <si>
    <t xml:space="preserve">Warwick Sardinia (Continuous) Uncoated Chalk </t>
  </si>
  <si>
    <t>Warwick Sardinia (Continuous) Uncoated Coal</t>
  </si>
  <si>
    <t>Warwick Sardinia (Continuous) Uncoated Denim</t>
  </si>
  <si>
    <t>Warwick Sardinia (Continuous) Uncoated Elephant</t>
  </si>
  <si>
    <t>Warwick Sardinia (Continuous) Uncoated Fog</t>
  </si>
  <si>
    <t>Warwick Sardinia (Continuous) Uncoated Mineral</t>
  </si>
  <si>
    <t>Warwick Sardinia (Continuous) Uncoated Mink</t>
  </si>
  <si>
    <t>Warwick Sardinia (Continuous) Uncoated Petal</t>
  </si>
  <si>
    <t>Warwick Sardinia (Continuous) Uncoated Platinum</t>
  </si>
  <si>
    <t>Warwick Sardinia (Continuous) Uncoated Slate</t>
  </si>
  <si>
    <t>Warwick Sardinia (Continuous) Uncoated Smoke</t>
  </si>
  <si>
    <t>Warwick Sardinia (Continuous) Uncoated Snow</t>
  </si>
  <si>
    <t>Warwick Sardinia (Continuous) Uncoated Taupe</t>
  </si>
  <si>
    <t>Warwick Sardinia (Continuous) Uncoated Vapour</t>
  </si>
  <si>
    <t>Warwick Sardinia (Continuous) Uncoated TBA</t>
  </si>
  <si>
    <t>Euro Pleat (Standard Fullness x 2.1)</t>
  </si>
  <si>
    <t>Euro Pleat (Extra Fullness x 2.3)</t>
  </si>
  <si>
    <t>Euro Pleat (Less Fullness x 2)</t>
  </si>
  <si>
    <t>Warwick Kimika (Continuous) Uncoated Charcoal</t>
  </si>
  <si>
    <t>68% Polyester 32% Linen</t>
  </si>
  <si>
    <t>Warwick Kimika (Continuous) Uncoated Ice</t>
  </si>
  <si>
    <t>Warwick Kimika (Continuous) Uncoated Ivory</t>
  </si>
  <si>
    <t>Warwick Kimika (Continuous) Uncoated Mink</t>
  </si>
  <si>
    <t>Warwick Kimika (Continuous) Uncoated Natural</t>
  </si>
  <si>
    <t>Warwick Kimika (Continuous) Uncoated Nectar</t>
  </si>
  <si>
    <t>Warwick Kimika (Continuous) Uncoated Sand</t>
  </si>
  <si>
    <t>Warwick Kimika (Continuous) Uncoated Shark</t>
  </si>
  <si>
    <t>Warwick Kimika (Continuous) Uncoated Snow</t>
  </si>
  <si>
    <t>Warwick Kimika (Continuous) Uncoated Stone</t>
  </si>
  <si>
    <t>Warwick Kimika (Continuous) Uncoated TBA</t>
  </si>
  <si>
    <t>Zepel  Topic (Continuous) Sheer Biscuit</t>
  </si>
  <si>
    <t>Zepel  Topic (Continuous) Sheer Celadon</t>
  </si>
  <si>
    <t>Zepel  Topic (Continuous) Sheer Denim</t>
  </si>
  <si>
    <t>Zepel  Topic (Continuous) Sheer Espresso</t>
  </si>
  <si>
    <t>Zepel  Topic (Continuous) Sheer Flax</t>
  </si>
  <si>
    <t>Zepel  Topic (Continuous) Sheer Jute</t>
  </si>
  <si>
    <t>Zepel  Topic (Continuous) Sheer Limestone</t>
  </si>
  <si>
    <t>Zepel  Topic (Continuous) Sheer Linen</t>
  </si>
  <si>
    <t>Zepel  Topic (Continuous) Sheer Midnight</t>
  </si>
  <si>
    <t>Zepel  Topic (Continuous) Sheer Quartz</t>
  </si>
  <si>
    <t>Zepel  Topic (Continuous) Sheer Silver</t>
  </si>
  <si>
    <t>Zepel  Topic (Continuous) Sheer Waterfall</t>
  </si>
  <si>
    <t>Zepel  Topic (Continuous) Sheer TBA</t>
  </si>
  <si>
    <t>35%Cotton/65%Polyester</t>
  </si>
  <si>
    <t>23%Cotton/44%Polyester/33%Linen</t>
  </si>
  <si>
    <t>Hoad Otway Natural (Drop) Uncoated Natural</t>
  </si>
  <si>
    <t>Hoad Otway Linen (Drop) Uncoated Linen</t>
  </si>
  <si>
    <t>92% PL, 8% CO</t>
  </si>
  <si>
    <t>100% CO</t>
  </si>
  <si>
    <t>Charles Parsons Kendrick (Continuous) Coated Alabaster</t>
  </si>
  <si>
    <t>F6W</t>
  </si>
  <si>
    <t>Charles Parsons Kendrick (Continuous) Coated Carbon</t>
  </si>
  <si>
    <t>Charles Parsons Kendrick (Continuous) Coated Cement</t>
  </si>
  <si>
    <t>Charles Parsons Kendrick (Continuous) Coated Fog</t>
  </si>
  <si>
    <t>Charles Parsons Kendrick (Continuous) Coated Lake</t>
  </si>
  <si>
    <t>Charles Parsons Kendrick (Continuous) Coated Oyster</t>
  </si>
  <si>
    <t>Charles Parsons Kendrick (Continuous) Coated Pebble</t>
  </si>
  <si>
    <t>Charles Parsons Kendrick (Continuous) Coated Pewter</t>
  </si>
  <si>
    <t>Charles Parsons Kendrick (Continuous) Coated Stone</t>
  </si>
  <si>
    <t>Charles Parsons Kendrick (Continuous) Coated TBA</t>
  </si>
  <si>
    <t>Clarke &amp; Clarke Damsel (Drop) Coated Blush</t>
  </si>
  <si>
    <t>52% Polyester 48% Cotton (Emb 100% Cotton)</t>
  </si>
  <si>
    <t>Clarke &amp; Clarke Damsel (Drop) Coated Citron</t>
  </si>
  <si>
    <t>Clarke &amp; Clarke Damsel (Drop) Coated Mineral</t>
  </si>
  <si>
    <t>Clarke &amp; Clarke Damsel (Drop) Coated Teal</t>
  </si>
  <si>
    <t>Clarke &amp; Clarke Damsel (Drop) Coated TBA</t>
  </si>
  <si>
    <t>75% PL (PES), 25% LI</t>
  </si>
  <si>
    <t>Maurice Kain Sardinia (Continuous) Uncoated Ivory</t>
  </si>
  <si>
    <t>45% LIN 30% VIS 25%POLY</t>
  </si>
  <si>
    <t>Maurice Kain Sardinia (Continuous) Uncoated Bisque</t>
  </si>
  <si>
    <t>Maurice Kain Sardinia (Continuous) Uncoated Oyster</t>
  </si>
  <si>
    <t>Maurice Kain Sardinia (Continuous) Uncoated Storm</t>
  </si>
  <si>
    <t>Maurice Kain Sardinia (Continuous) Uncoated Slate</t>
  </si>
  <si>
    <t>Maurice Kain Sardinia (Continuous) Uncoated TBA</t>
  </si>
  <si>
    <t>Maurice Kain Castella (Drop) Sheer Diamond</t>
  </si>
  <si>
    <t>97% POLY 3% COTTON</t>
  </si>
  <si>
    <t>Maurice Kain Castella (Drop) Sheer Quartz</t>
  </si>
  <si>
    <t>Maurice Kain Castella (Drop) Sheer Silver</t>
  </si>
  <si>
    <t>Maurice Kain Castella (Drop) Sheer Marble</t>
  </si>
  <si>
    <t>Maurice Kain Castella (Drop) Sheer TBA</t>
  </si>
  <si>
    <t>Maurice Kain Castella (Continuous) Sheer Diamond</t>
  </si>
  <si>
    <t>Maurice Kain Castella (Continuous) Sheer Quartz</t>
  </si>
  <si>
    <t>Maurice Kain Castella (Continuous) Sheer Silver</t>
  </si>
  <si>
    <t>Maurice Kain Castella (Continuous) Sheer Marble</t>
  </si>
  <si>
    <t>Maurice Kain Castella (Continuous) Sheer TBA</t>
  </si>
  <si>
    <t>Zepel  Topic (Drop) Sheer Biscuit</t>
  </si>
  <si>
    <t>Zepel  Topic (Drop) Sheer Celadon</t>
  </si>
  <si>
    <t>Zepel  Topic (Drop) Sheer Denim</t>
  </si>
  <si>
    <t>Zepel  Topic (Drop) Sheer Espresso</t>
  </si>
  <si>
    <t>Zepel  Topic (Drop) Sheer Flax</t>
  </si>
  <si>
    <t>Zepel  Topic (Drop) Sheer Jute</t>
  </si>
  <si>
    <t>Zepel  Topic (Drop) Sheer Limestone</t>
  </si>
  <si>
    <t>Zepel  Topic (Drop) Sheer Linen</t>
  </si>
  <si>
    <t>Zepel  Topic (Drop) Sheer Midnight</t>
  </si>
  <si>
    <t>Zepel  Topic (Drop) Sheer Quartz</t>
  </si>
  <si>
    <t>Zepel  Topic (Drop) Sheer Silver</t>
  </si>
  <si>
    <t>Zepel  Topic (Drop) Sheer Waterfall</t>
  </si>
  <si>
    <t>Zepel  Topic (Drop) Sheer TBA</t>
  </si>
  <si>
    <t>Marco Heron (Drop) Uncoated Ash</t>
  </si>
  <si>
    <t>49% CO 51% LI</t>
  </si>
  <si>
    <t>Marco Heron (Drop) Uncoated Jute</t>
  </si>
  <si>
    <t>Marco Heron (Drop) Uncoated Natural</t>
  </si>
  <si>
    <t>Marco Heron (Drop) Uncoated Ricepaper</t>
  </si>
  <si>
    <t>Marco Heron (Drop) Uncoated Riverstone</t>
  </si>
  <si>
    <t>Marco Heron (Drop) Uncoated Sepia</t>
  </si>
  <si>
    <t>Marco Heron (Drop) Uncoated Snow</t>
  </si>
  <si>
    <t>Marco Heron (Drop) Uncoated Storm</t>
  </si>
  <si>
    <t>Marco Heron (Drop) Uncoated TBA</t>
  </si>
  <si>
    <t>Marco Bedarra (Drop) Sheer White</t>
  </si>
  <si>
    <t>Marco Bedarra (Drop) Sheer Alabaster</t>
  </si>
  <si>
    <t>Marco Bedarra (Drop) Sheer Chalk</t>
  </si>
  <si>
    <t>Marco Bedarra (Drop) Sheer Linen</t>
  </si>
  <si>
    <t>Marco Bedarra (Drop) Sheer Sand</t>
  </si>
  <si>
    <t>Marco Bedarra (Drop) Sheer Coral</t>
  </si>
  <si>
    <t>Marco Bedarra (Drop) Sheer Fog</t>
  </si>
  <si>
    <t>Marco Bedarra (Drop) Sheer Aqua</t>
  </si>
  <si>
    <t>Marco Bedarra (Drop) Sheer Silver</t>
  </si>
  <si>
    <t>Marco Bedarra (Drop) Sheer Grey</t>
  </si>
  <si>
    <t>Marco Bedarra (Drop) Sheer TBA</t>
  </si>
  <si>
    <t>Charles Parsons Southampton (Drop) Uncoated Linen</t>
  </si>
  <si>
    <t>Charles Parsons Southampton (Drop) Uncoated Navy</t>
  </si>
  <si>
    <t>Charles Parsons Southampton (Drop) Uncoated Silver</t>
  </si>
  <si>
    <t>Charles Parsons Southampton (Drop) Uncoated Wedgewood</t>
  </si>
  <si>
    <t>Charles Parsons Southampton (Drop) Uncoated TBA</t>
  </si>
  <si>
    <t>Charles Parsons Southampton Stripe (Drop) Uncoated Linen</t>
  </si>
  <si>
    <t>Charles Parsons Southampton Stripe (Drop) Uncoated Navy</t>
  </si>
  <si>
    <t>Charles Parsons Southampton Stripe (Drop) Uncoated Silver</t>
  </si>
  <si>
    <t>Charles Parsons Southampton Stripe (Drop) Uncoated Wedgewood</t>
  </si>
  <si>
    <t>Charles Parsons Southampton Stripe (Drop) Uncoated TBA</t>
  </si>
  <si>
    <t>Romo Chiya (Drop) Uncoated Dragonfly</t>
  </si>
  <si>
    <t>70% VI 30% LI</t>
  </si>
  <si>
    <t>Romo Chiya (Drop) Uncoated Indigo</t>
  </si>
  <si>
    <t>Romo Chiya (Drop) Uncoated Lotus</t>
  </si>
  <si>
    <t>Romo Chiya (Drop) Uncoated Quince</t>
  </si>
  <si>
    <t>Romo Chiya (Drop) Uncoated TBA</t>
  </si>
  <si>
    <t>Clarke &amp; Clarke Ashmore (Drop) Uncoated Blush</t>
  </si>
  <si>
    <t>45% Cotton 44% Viscose 11% Linen</t>
  </si>
  <si>
    <t>Clarke &amp; Clarke Ashmore (Drop) Uncoated Citron</t>
  </si>
  <si>
    <t>Clarke &amp; Clarke Ashmore (Drop) Uncoated Denim</t>
  </si>
  <si>
    <t>Clarke &amp; Clarke Ashmore (Drop) Uncoated Dove</t>
  </si>
  <si>
    <t>Clarke &amp; Clarke Ashmore (Drop) Uncoated Duckegg</t>
  </si>
  <si>
    <t>Clarke &amp; Clarke Ashmore (Drop) Uncoated Linen</t>
  </si>
  <si>
    <t>Clarke &amp; Clarke Ashmore (Drop) Uncoated Natural</t>
  </si>
  <si>
    <t xml:space="preserve">Clarke &amp; Clarke Ashmore (Drop) Uncoated Sage </t>
  </si>
  <si>
    <t>Clarke &amp; Clarke Ashmore (Drop) Uncoated Teal</t>
  </si>
  <si>
    <t>Clarke &amp; Clarke Ashmore (Drop) Uncoated TBA</t>
  </si>
  <si>
    <t>Clarke &amp; Clarke Woodsford (Drop) Uncoated Blush</t>
  </si>
  <si>
    <t>Clarke &amp; Clarke Woodsford (Drop) Uncoated Charcoal</t>
  </si>
  <si>
    <t>Clarke &amp; Clarke Woodsford (Drop) Uncoated Citron</t>
  </si>
  <si>
    <t>Clarke &amp; Clarke Woodsford (Drop) Uncoated Denim</t>
  </si>
  <si>
    <t>Clarke &amp; Clarke Woodsford (Drop) Uncoated Duckegg</t>
  </si>
  <si>
    <t>Clarke &amp; Clarke Woodsford (Drop) Uncoated Linen</t>
  </si>
  <si>
    <t>Clarke &amp; Clarke Woodsford (Drop) Uncoated Natural</t>
  </si>
  <si>
    <t xml:space="preserve">Clarke &amp; Clarke Woodsford (Drop) Uncoated Sage </t>
  </si>
  <si>
    <t>Clarke &amp; Clarke Woodsford (Drop) Uncoated Teal</t>
  </si>
  <si>
    <t>Clarke &amp; Clarke Woodsford (Drop) Uncoated TBA</t>
  </si>
  <si>
    <t>Instyle Tatami Plus (Drop) Uncoated Winter</t>
  </si>
  <si>
    <t>75% Polyester, 25% Acrylic</t>
  </si>
  <si>
    <t>Instyle Tatami Plus (Drop) Uncoated Yukata</t>
  </si>
  <si>
    <t>Instyle Tatami Plus (Drop) Uncoated Origami</t>
  </si>
  <si>
    <t>Instyle Tatami Plus (Drop) Uncoated Bonsai</t>
  </si>
  <si>
    <t>Instyle Tatami Plus (Drop) Uncoated Edo</t>
  </si>
  <si>
    <t>Instyle Tatami Plus (Drop) Uncoated Lotus</t>
  </si>
  <si>
    <t>Instyle Tatami Plus (Drop) Uncoated Straw</t>
  </si>
  <si>
    <t>Instyle Tatami Plus (Drop) Uncoated Nara</t>
  </si>
  <si>
    <t>Instyle Tatami Plus (Drop) Uncoated Pearl</t>
  </si>
  <si>
    <t>Instyle Tatami Plus (Drop) Uncoated Sakuro</t>
  </si>
  <si>
    <t>Instyle Tatami Plus (Drop) Uncoated Obi</t>
  </si>
  <si>
    <t>Instyle Tatami Plus (Drop) Uncoated Djo</t>
  </si>
  <si>
    <t>Instyle Tatami Plus (Drop) Uncoated Enka</t>
  </si>
  <si>
    <t>Instyle Tatami Plus (Drop) Uncoated Rotoro</t>
  </si>
  <si>
    <t>Instyle Tatami Plus (Drop) Uncoated Mat</t>
  </si>
  <si>
    <t>Instyle Tatami Plus (Drop) Uncoated Zen</t>
  </si>
  <si>
    <t>Instyle Tatami Plus (Drop) Uncoated Fibre</t>
  </si>
  <si>
    <t>Instyle Tatami Plus (Drop) Uncoated TBA</t>
  </si>
  <si>
    <t>Romo Chiya (Drop) Uncoated Silver</t>
  </si>
  <si>
    <t>Warwick Malta (Continuous) Uncoated Celery</t>
  </si>
  <si>
    <t>Warwick Malta (Continuous) Uncoated Charcoal</t>
  </si>
  <si>
    <t>Warwick Malta (Continuous) Uncoated Denim</t>
  </si>
  <si>
    <t>Warwick Malta (Continuous) Uncoated Mist</t>
  </si>
  <si>
    <t>Warwick Malta (Continuous) Uncoated Mocha</t>
  </si>
  <si>
    <t>Warwick Malta (Continuous) Uncoated Mushroom</t>
  </si>
  <si>
    <t>Warwick Malta (Continuous) Uncoated Nougat</t>
  </si>
  <si>
    <t>Warwick Malta (Continuous) Uncoated Oatmeal</t>
  </si>
  <si>
    <t>Warwick Malta (Continuous) Uncoated Rosewater</t>
  </si>
  <si>
    <t>Warwick Malta (Continuous) Uncoated Sky</t>
  </si>
  <si>
    <t>Warwick Malta (Continuous) Uncoated Snow</t>
  </si>
  <si>
    <t>Warwick Malta (Continuous) Uncoated Stone</t>
  </si>
  <si>
    <t>Warwick Malta (Continuous) Uncoated Straw</t>
  </si>
  <si>
    <t>Warwick Malta (Continuous) Uncoated Taupe</t>
  </si>
  <si>
    <t>Warwick Malta (Continuous) Uncoated TBA</t>
  </si>
  <si>
    <t>Warwick Malta (Drop) Uncoated Celery</t>
  </si>
  <si>
    <t>Warwick Malta (Drop) Uncoated Charcoal</t>
  </si>
  <si>
    <t>Warwick Malta (Drop) Uncoated Denim</t>
  </si>
  <si>
    <t>Warwick Malta (Drop) Uncoated Mist</t>
  </si>
  <si>
    <t>Warwick Malta (Drop) Uncoated Mocha</t>
  </si>
  <si>
    <t>Warwick Malta (Drop) Uncoated Mushroom</t>
  </si>
  <si>
    <t>Warwick Malta (Drop) Uncoated Nougat</t>
  </si>
  <si>
    <t>Warwick Malta (Drop) Uncoated Oatmeal</t>
  </si>
  <si>
    <t>Warwick Malta (Drop) Uncoated Rosewater</t>
  </si>
  <si>
    <t>Warwick Malta (Drop) Uncoated Sky</t>
  </si>
  <si>
    <t>Warwick Malta (Drop) Uncoated Snow</t>
  </si>
  <si>
    <t>Warwick Malta (Drop) Uncoated Stone</t>
  </si>
  <si>
    <t>Warwick Malta (Drop) Uncoated Straw</t>
  </si>
  <si>
    <t>Warwick Malta (Drop) Uncoated Taupe</t>
  </si>
  <si>
    <t>Warwick Malta (Drop) Uncoated TBA</t>
  </si>
  <si>
    <t>Hoad CMB-320 (Continuous) Lining Camel</t>
  </si>
  <si>
    <t>Hoad CMB-320 (Continuous) Lining Domino</t>
  </si>
  <si>
    <t>Hoad CMB-320 (Continuous) Lining Earth</t>
  </si>
  <si>
    <t>Hoad CMB-320 (Continuous) Lining Feather</t>
  </si>
  <si>
    <t>Hoad CMB-320 (Continuous) Lining Iron</t>
  </si>
  <si>
    <t>Hoad CMB-320 (Continuous) Lining Ivory</t>
  </si>
  <si>
    <t>Hoad CMB-320 (Continuous) Lining Latte</t>
  </si>
  <si>
    <t>Hoad CMB-320 (Continuous) Lining Lava</t>
  </si>
  <si>
    <t>Hoad CMB-320 (Continuous) Lining PFP</t>
  </si>
  <si>
    <t>Hoad CMB-320 (Continuous) Lining Steel</t>
  </si>
  <si>
    <t>Hoad CMB-320 (Continuous) Lining Stone</t>
  </si>
  <si>
    <t>Hoad CMB-320 (Continuous) Lining TBA</t>
  </si>
  <si>
    <t>Hoad CMB-320 (Continuous) Lining Timber</t>
  </si>
  <si>
    <t>Hoad CMB-320 (Continuous) Lining White</t>
  </si>
  <si>
    <t>Maurice Kain Emery (Continuous) Uncoated Ash</t>
  </si>
  <si>
    <t>Maurice Kain Emery (Continuous) Uncoated Carbon</t>
  </si>
  <si>
    <t>Maurice Kain Emery (Continuous) Uncoated Charcoal</t>
  </si>
  <si>
    <t>Maurice Kain Emery (Continuous) Uncoated Linen</t>
  </si>
  <si>
    <t>Maurice Kain Emery (Continuous) Uncoated Natural</t>
  </si>
  <si>
    <t>Maurice Kain Emery (Continuous) Uncoated Nutmeg</t>
  </si>
  <si>
    <t>Maurice Kain Emery (Continuous) Uncoated Pebble</t>
  </si>
  <si>
    <t>Maurice Kain Emery (Continuous) Uncoated Seafoam</t>
  </si>
  <si>
    <t>Maurice Kain Emery (Continuous) Uncoated Shell</t>
  </si>
  <si>
    <t>Maurice Kain Emery (Continuous) Uncoated Slate</t>
  </si>
  <si>
    <t>Maurice Kain Emery (Continuous) Uncoated Stone</t>
  </si>
  <si>
    <t>Maurice Kain Emery (Continuous) Uncoated Stormy</t>
  </si>
  <si>
    <t>Maurice Kain Emery (Continuous) Uncoated Woodland</t>
  </si>
  <si>
    <t>Maurice Kain Emery (Continuous) Uncoated TBA</t>
  </si>
  <si>
    <t>Nettex Lancaster (Drop) Uncoated Ash</t>
  </si>
  <si>
    <t>Nettex Lancaster (Drop) Uncoated Burgundy</t>
  </si>
  <si>
    <t>Nettex Lancaster (Drop) Uncoated Canvas</t>
  </si>
  <si>
    <t>Nettex Lancaster (Drop) Uncoated Cashew</t>
  </si>
  <si>
    <t>Nettex Lancaster (Drop) Uncoated Chardonnay</t>
  </si>
  <si>
    <t>Nettex Lancaster (Drop) Uncoated Coal</t>
  </si>
  <si>
    <t>Nettex Lancaster (Drop) Uncoated Cobblestone</t>
  </si>
  <si>
    <t>Nettex Lancaster (Drop) Uncoated Donkey</t>
  </si>
  <si>
    <t>Nettex Lancaster (Drop) Uncoated Driftwood</t>
  </si>
  <si>
    <t xml:space="preserve">Nettex Lancaster (Drop) Uncoated Duck </t>
  </si>
  <si>
    <t>Nettex Lancaster (Drop) Uncoated Dune</t>
  </si>
  <si>
    <t>Nettex Lancaster (Drop) Uncoated Flax</t>
  </si>
  <si>
    <t>Nettex Lancaster (Drop) Uncoated Graphite</t>
  </si>
  <si>
    <t>Nettex Lancaster (Drop) Uncoated Gum</t>
  </si>
  <si>
    <t>Nettex Lancaster (Drop) Uncoated Hemp</t>
  </si>
  <si>
    <t>Nettex Lancaster (Drop) Uncoated Mist</t>
  </si>
  <si>
    <t>Nettex Lancaster (Drop) Uncoated Navy</t>
  </si>
  <si>
    <t>Nettex Lancaster (Drop) Uncoated Pacific</t>
  </si>
  <si>
    <t>Nettex Lancaster (Drop) Uncoated Pebble</t>
  </si>
  <si>
    <t>Nettex Lancaster (Drop) Uncoated Petrol</t>
  </si>
  <si>
    <t>Nettex Lancaster (Drop) Uncoated Pewter</t>
  </si>
  <si>
    <t>Nettex Lancaster (Drop) Uncoated Pink</t>
  </si>
  <si>
    <t>Nettex Lancaster (Drop) Uncoated Pumice</t>
  </si>
  <si>
    <t>Nettex Lancaster (Drop) Uncoated Sand</t>
  </si>
  <si>
    <t>Nettex Lancaster (Drop) Uncoated Silver</t>
  </si>
  <si>
    <t>Nettex Lancaster (Drop) Uncoated Smoke</t>
  </si>
  <si>
    <t>Nettex Lancaster (Drop) Uncoated Steel</t>
  </si>
  <si>
    <t>Nettex Lancaster (Drop) Uncoated Storn</t>
  </si>
  <si>
    <t>Nettex Lancaster (Drop) Uncoated Tabasco</t>
  </si>
  <si>
    <t>Nettex Lancaster (Drop) Uncoated Walnut</t>
  </si>
  <si>
    <t>Nettex Lancaster (Drop) Uncoated TBA</t>
  </si>
  <si>
    <t>Existing Conduit or Wire x 2</t>
  </si>
  <si>
    <t>Charles Parsons Monza (Drop) Uncoated Cloud</t>
  </si>
  <si>
    <t>50% POL 24% COT 12% VIS 14% LI</t>
  </si>
  <si>
    <t>Charles Parsons Monza (Drop) Uncoated Charcoal</t>
  </si>
  <si>
    <t>Charles Parsons Monza (Drop) Uncoated Denim</t>
  </si>
  <si>
    <t>Charles Parsons Monza (Drop) Uncoated Dove</t>
  </si>
  <si>
    <t>Charles Parsons Monza (Drop) Uncoated Duck Egg</t>
  </si>
  <si>
    <t>Charles Parsons Monza (Drop) Uncoated Elephant</t>
  </si>
  <si>
    <t>Charles Parsons Monza (Drop) Uncoated Grape</t>
  </si>
  <si>
    <t>Charles Parsons Monza (Drop) Uncoated Heather</t>
  </si>
  <si>
    <t>Charles Parsons Monza (Drop) Uncoated Jade</t>
  </si>
  <si>
    <t>Charles Parsons Monza (Drop) Uncoated Natural</t>
  </si>
  <si>
    <t>Charles Parsons Monza (Drop) Uncoated Oatmeal</t>
  </si>
  <si>
    <t>Charles Parsons Monza (Drop) Uncoated Ochre</t>
  </si>
  <si>
    <t>Charles Parsons Monza (Drop) Uncoated Pampas</t>
  </si>
  <si>
    <t>Charles Parsons Monza (Drop) Uncoated Pebble</t>
  </si>
  <si>
    <t>Charles Parsons Monza (Drop) Uncoated Praline</t>
  </si>
  <si>
    <t>Charles Parsons Monza (Drop) Uncoated Raspberry</t>
  </si>
  <si>
    <t>Charles Parsons Monza (Drop) Uncoated Rust</t>
  </si>
  <si>
    <t>Charles Parsons Monza (Drop) Uncoated Seafoam</t>
  </si>
  <si>
    <t>Charles Parsons Monza (Drop) Uncoated Soft Grey</t>
  </si>
  <si>
    <t>Charles Parsons Monza (Drop) Uncoated Spice</t>
  </si>
  <si>
    <t>Charles Parsons Monza (Drop) Uncoated Teal</t>
  </si>
  <si>
    <t>Charles Parsons Monza (Drop) Uncoated Blush</t>
  </si>
  <si>
    <t>Charles Parsons Monza (Drop) Uncoated TBA</t>
  </si>
  <si>
    <t>Clarke &amp; Clarke Kelmscott (Drop) Uncoated Denim</t>
  </si>
  <si>
    <t>75% Viscose 25% Linen</t>
  </si>
  <si>
    <t>Clarke &amp; Clarke Kelmscott (Drop) Uncoated Heather</t>
  </si>
  <si>
    <t>Clarke &amp; Clarke Kelmscott (Drop) Uncoated Mineral</t>
  </si>
  <si>
    <t>Clarke &amp; Clarke Kelmscott (Drop) Uncoated Natural</t>
  </si>
  <si>
    <t>Clarke &amp; Clarke Kelmscott (Drop) Uncoated Olive</t>
  </si>
  <si>
    <t>Clarke &amp; Clarke Kelmscott (Drop) Uncoated Raspberry/Linen</t>
  </si>
  <si>
    <t>Clarke &amp; Clarke Kelmscott (Drop) Uncoated TBA</t>
  </si>
  <si>
    <t>Maurice Kain Malia (Continuous) Sheer Jade</t>
  </si>
  <si>
    <t>Maurice Kain Malia (Continuous) Sheer Midnight</t>
  </si>
  <si>
    <t>Maurice Kain Malia (Continuous) Sheer TBA</t>
  </si>
  <si>
    <t>Maurice Kain Malia (Drop) Sheer Jade</t>
  </si>
  <si>
    <t>Maurice Kain Malia (Drop) Sheer Midnight</t>
  </si>
  <si>
    <t>Maurice Kain Malia (Drop) Sheer TBA</t>
  </si>
  <si>
    <t>Maurice Kain Kalani (Drop) Uncoated Blush</t>
  </si>
  <si>
    <t>70% VISC / 30% LINEN</t>
  </si>
  <si>
    <t>Maurice Kain Kalani (Drop) Uncoated Eggshell</t>
  </si>
  <si>
    <t>Maurice Kain Kalani (Drop) Uncoated Linen</t>
  </si>
  <si>
    <t>Maurice Kain Kalani (Drop) Uncoated Midnight</t>
  </si>
  <si>
    <t>Maurice Kain Kalani (Drop) Uncoated Tropical</t>
  </si>
  <si>
    <t>Maurice Kain Kalani (Drop) Uncoated TBA</t>
  </si>
  <si>
    <t>Maurice Kain Sayville (Drop) Uncoated Ash</t>
  </si>
  <si>
    <t>Maurice Kain Sayville (Drop) Uncoated Blush</t>
  </si>
  <si>
    <t>Maurice Kain Sayville (Drop) Uncoated Chalk</t>
  </si>
  <si>
    <t>Maurice Kain Sayville (Drop) Uncoated Clay</t>
  </si>
  <si>
    <t>Maurice Kain Sayville (Drop) Uncoated Eggshell</t>
  </si>
  <si>
    <t>Maurice Kain Sayville (Drop) Uncoated Flax</t>
  </si>
  <si>
    <t>Maurice Kain Sayville (Drop) Uncoated Grey</t>
  </si>
  <si>
    <t>Maurice Kain Sayville (Drop) Uncoated Linen</t>
  </si>
  <si>
    <t>Maurice Kain Sayville (Drop) Uncoated Midnight</t>
  </si>
  <si>
    <t>Maurice Kain Sayville (Drop) Uncoated Mystic</t>
  </si>
  <si>
    <t>Maurice Kain Sayville (Drop) Uncoated Oasis</t>
  </si>
  <si>
    <t>Maurice Kain Sayville (Drop) Uncoated Ochre</t>
  </si>
  <si>
    <t>Maurice Kain Sayville (Drop) Uncoated Pewter</t>
  </si>
  <si>
    <t>Maurice Kain Sayville (Drop) Uncoated Rose</t>
  </si>
  <si>
    <t>Maurice Kain Sayville (Drop) Uncoated Slate</t>
  </si>
  <si>
    <t>Maurice Kain Sayville (Drop) Uncoated Snow</t>
  </si>
  <si>
    <t>Maurice Kain Sayville (Drop) Uncoated Spruce</t>
  </si>
  <si>
    <t>Maurice Kain Sayville (Drop) Uncoated Tranquil</t>
  </si>
  <si>
    <t>Maurice Kain Sayville (Drop) Uncoated Whisper</t>
  </si>
  <si>
    <t>Maurice Kain Sayville (Drop) Uncoated TBA</t>
  </si>
  <si>
    <t>Viscose / Linen</t>
  </si>
  <si>
    <t>Zepel Chambray Multi (Drop) Uncoated Black</t>
  </si>
  <si>
    <t>86% PL (PES), 14% CO</t>
  </si>
  <si>
    <t>Zepel Chambray Multi (Drop) Uncoated Clay</t>
  </si>
  <si>
    <t>Zepel Chambray Multi (Drop) Uncoated Denim</t>
  </si>
  <si>
    <t>Zepel Chambray Multi (Drop) Uncoated Sepia</t>
  </si>
  <si>
    <t>Zepel Chambray Multi (Drop) Uncoated Sky Blue</t>
  </si>
  <si>
    <t>Zepel Chambray Multi (Drop) Uncoated Thistle</t>
  </si>
  <si>
    <t>Zepel Chambray Multi (Drop) Uncoated TBA</t>
  </si>
  <si>
    <t>Zepel Chambray Bold (Drop) Uncoated Black</t>
  </si>
  <si>
    <t>Zepel Chambray Bold (Drop) Uncoated Clay</t>
  </si>
  <si>
    <t>Zepel Chambray Bold (Drop) Uncoated Denim</t>
  </si>
  <si>
    <t>Zepel Chambray Bold (Drop) Uncoated Sepia</t>
  </si>
  <si>
    <t>Zepel Chambray Bold (Drop) Uncoated Sky Blue</t>
  </si>
  <si>
    <t>Zepel Chambray Bold (Drop) Uncoated Thistle</t>
  </si>
  <si>
    <t>Zepel Chambray Bold (Drop) Uncoated TBA</t>
  </si>
  <si>
    <t>Zepel Chambray Ticking (Drop) Uncoated Black</t>
  </si>
  <si>
    <t>Zepel Chambray Ticking (Drop) Uncoated Clay</t>
  </si>
  <si>
    <t>Zepel Chambray Ticking (Drop) Uncoated Denim</t>
  </si>
  <si>
    <t>Zepel Chambray Ticking (Drop) Uncoated Sepia</t>
  </si>
  <si>
    <t>Zepel Chambray Ticking (Drop) Uncoated Sky Blue</t>
  </si>
  <si>
    <t>Zepel Chambray Ticking (Drop) Uncoated Thistle</t>
  </si>
  <si>
    <t>Zepel Chambray Ticking (Drop) Uncoated TBA</t>
  </si>
  <si>
    <t>Zepel Hastings (Drop) Uncoated Black</t>
  </si>
  <si>
    <t>Zepel Hastings (Drop) Uncoated Clay</t>
  </si>
  <si>
    <t>Zepel Hastings (Drop) Uncoated Denim</t>
  </si>
  <si>
    <t>Zepel Hastings (Drop) Uncoated Sand</t>
  </si>
  <si>
    <t>Zepel Hastings (Drop) Uncoated Sepia</t>
  </si>
  <si>
    <t>Zepel Hastings (Drop) Uncoated Silver</t>
  </si>
  <si>
    <t>Zepel Hastings (Drop) Uncoated Sky Blue</t>
  </si>
  <si>
    <t>Zepel Hastings (Drop) Uncoated Thistle</t>
  </si>
  <si>
    <t>Zepel Hastings (Drop) Uncoated White</t>
  </si>
  <si>
    <t>Zepel Hastings (Drop) Uncoated TBA</t>
  </si>
  <si>
    <t>Zepel Southport (Drop) Uncoated Black</t>
  </si>
  <si>
    <t>Zepel Southport (Drop) Uncoated Clay</t>
  </si>
  <si>
    <t>Zepel Southport (Drop) Uncoated Denim</t>
  </si>
  <si>
    <t>Zepel Southport (Drop) Uncoated Sepia</t>
  </si>
  <si>
    <t>Zepel Southport (Drop) Uncoated Sky Blue</t>
  </si>
  <si>
    <t>Zepel Southport (Drop) Uncoated Thistle</t>
  </si>
  <si>
    <t>Zepel Southport (Drop) Uncoated TBA</t>
  </si>
  <si>
    <t>Hoad Encore Velvet (Continuous) Uncoated Dove</t>
  </si>
  <si>
    <t>Hoad Encore Velvet (Continuous) Uncoated Mist</t>
  </si>
  <si>
    <t>Hoad Encore Velvet (Continuous) Uncoated Mink</t>
  </si>
  <si>
    <t>Hoad Encore Velvet (Continuous) Uncoated Navy</t>
  </si>
  <si>
    <t>Hoad Encore Velvet (Continuous) Uncoated Camel</t>
  </si>
  <si>
    <t>Hoad Encore Velvet (Continuous) Uncoated Ebony</t>
  </si>
  <si>
    <t>Hoad Encore Velvet (Continuous) Uncoated Twill</t>
  </si>
  <si>
    <t>Hoad Encore Velvet (Continuous) Uncoated Forest</t>
  </si>
  <si>
    <t>Hoad Encore Velvet (Continuous) Uncoated Granite</t>
  </si>
  <si>
    <t>Hoad Encore Velvet (Continuous) Uncoated Bordeaux</t>
  </si>
  <si>
    <t>Hoad Encore Velvet (Continuous) Uncoated TBA</t>
  </si>
  <si>
    <t>Hoad Magnetic 2nd Edition (Drop) Coated Eggshell</t>
  </si>
  <si>
    <t>100% Polyester with Acrylic Coating</t>
  </si>
  <si>
    <t>Hoad Magnetic 2nd Edition (Drop) Coated Charcoal</t>
  </si>
  <si>
    <t>Hoad Magnetic 2nd Edition (Drop) Coated Midnight</t>
  </si>
  <si>
    <t>Hoad Magnetic 2nd Edition (Drop) Coated Electric</t>
  </si>
  <si>
    <t>Hoad Magnetic 2nd Edition (Drop) Coated Bluestone</t>
  </si>
  <si>
    <t>Hoad Magnetic 2nd Edition (Drop) Coated Driftwood</t>
  </si>
  <si>
    <t>Hoad Magnetic 2nd Edition (Drop) Coated Mist</t>
  </si>
  <si>
    <t>Hoad Magnetic 2nd Edition (Drop) Coated Haze</t>
  </si>
  <si>
    <t>Hoad Magnetic 2nd Edition (Drop) Coated Sasge</t>
  </si>
  <si>
    <t>Hoad Magnetic 2nd Edition (Drop) Coated Snow</t>
  </si>
  <si>
    <t>Hoad Magnetic 2nd Edition (Drop) Coated Sand</t>
  </si>
  <si>
    <t>Hoad Magnetic 2nd Edition (Drop) Coated Navy</t>
  </si>
  <si>
    <t>Hoad Magnetic 2nd Edition (Drop) Coated Onyx</t>
  </si>
  <si>
    <t>Hoad Magnetic 2nd Edition (Drop) Coated Lunar</t>
  </si>
  <si>
    <t>Hoad Magnetic 2nd Edition (Drop) Coated Linen</t>
  </si>
  <si>
    <t>Hoad Magnetic 2nd Edition (Drop) Coated Storm</t>
  </si>
  <si>
    <t>Hoad Magnetic 2nd Edition (Drop) Coated Denim</t>
  </si>
  <si>
    <t>Hoad Magnetic 2nd Edition (Drop) Coated Merlot</t>
  </si>
  <si>
    <t>Hoad Magnetic 2nd Edition (Drop) Coated Quartz</t>
  </si>
  <si>
    <t>Hoad Magnetic 2nd Edition (Drop) Coated Vapour</t>
  </si>
  <si>
    <t>Hoad Magnetic 2nd Edition (Drop) Coated Lichen</t>
  </si>
  <si>
    <t>Hoad Magnetic 2nd Edition (Drop) Coated Silver</t>
  </si>
  <si>
    <t>Hoad Magnetic 2nd Edition (Drop) Coated Gunmetal</t>
  </si>
  <si>
    <t>Hoad Magnetic 2nd Edition (Drop) Coated TBA</t>
  </si>
  <si>
    <t>Hoad Magnetic 2nd Edition (Drop) Uncoated Mist</t>
  </si>
  <si>
    <t>Hoad Magnetic 2nd Edition (Drop) Uncoated Sand</t>
  </si>
  <si>
    <t>Hoad Magnetic 2nd Edition (Drop) Uncoated Sage</t>
  </si>
  <si>
    <t>Hoad Magnetic 2nd Edition (Drop) Uncoated Onyx</t>
  </si>
  <si>
    <t>Hoad Magnetic 2nd Edition (Drop) Uncoated Navy</t>
  </si>
  <si>
    <t>Hoad Magnetic 2nd Edition (Drop) Uncoated Haze</t>
  </si>
  <si>
    <t>Hoad Magnetic 2nd Edition (Drop) Uncoated Snow</t>
  </si>
  <si>
    <t>Hoad Magnetic 2nd Edition (Drop) Uncoated Lunar</t>
  </si>
  <si>
    <t>Hoad Magnetic 2nd Edition (Drop) Uncoated Storm</t>
  </si>
  <si>
    <t>Hoad Magnetic 2nd Edition (Drop) Uncoated Denim</t>
  </si>
  <si>
    <t>Hoad Magnetic 2nd Edition (Drop) Uncoated Linen</t>
  </si>
  <si>
    <t>Hoad Magnetic 2nd Edition (Drop) Uncoated Lichen</t>
  </si>
  <si>
    <t>Hoad Magnetic 2nd Edition (Drop) Uncoated Vapour</t>
  </si>
  <si>
    <t>Hoad Magnetic 2nd Edition (Drop) Uncoated Quartz</t>
  </si>
  <si>
    <t>Hoad Magnetic 2nd Edition (Drop) Uncoated Silver</t>
  </si>
  <si>
    <t>Hoad Magnetic 2nd Edition (Drop) Uncoated Merlot</t>
  </si>
  <si>
    <t>Hoad Magnetic 2nd Edition (Drop) Uncoated Gunmetal</t>
  </si>
  <si>
    <t>Hoad Magnetic 2nd Edition (Drop) Uncoated Eggshell</t>
  </si>
  <si>
    <t>Hoad Magnetic 2nd Edition (Drop) Uncoated Electric</t>
  </si>
  <si>
    <t>Hoad Magnetic 2nd Edition (Drop) Uncoated Charcoal</t>
  </si>
  <si>
    <t>Hoad Magnetic 2nd Edition (Drop) Uncoated Midnight</t>
  </si>
  <si>
    <t>Hoad Magnetic 2nd Edition (Drop) Uncoated Bluestone</t>
  </si>
  <si>
    <t>Hoad Magnetic 2nd Edition (Drop) Uncoated Driftwood</t>
  </si>
  <si>
    <t>Hoad Magnetic 2nd Edition (Drop) Uncoated TBA</t>
  </si>
  <si>
    <t>Designer 15 Wavefold Hand Drawn</t>
  </si>
  <si>
    <t>Designer 15 Wavefold Cord Drawn</t>
  </si>
  <si>
    <t>Designer 15 Cord Drawn</t>
  </si>
  <si>
    <t>Designer 15 Hand Drawn</t>
  </si>
  <si>
    <t>Designer 15 S-Fold Cord Drawn</t>
  </si>
  <si>
    <t>Designer 15 S-Fold Hand Drawn</t>
  </si>
  <si>
    <t>55% RPL, 45% OCO</t>
  </si>
  <si>
    <t>Filigree Thermoguard 320cm (Continuous) Coated Ivory</t>
  </si>
  <si>
    <t>Filigree Thermoguard 320cm (Continuous) Coated Off White</t>
  </si>
  <si>
    <t>Filigree Thermoguard 320cm (Continuous) Coated White</t>
  </si>
  <si>
    <t>Filigree Thermoguard 320cm (Continuous) Coated TBA</t>
  </si>
  <si>
    <t>Zepel Nicoya (Continuous) Sheer Arena</t>
  </si>
  <si>
    <t>10% LI, 90% PL</t>
  </si>
  <si>
    <t>Zepel Nicoya (Continuous) Sheer Blanco</t>
  </si>
  <si>
    <t>Zepel Nicoya (Continuous) Sheer Gris</t>
  </si>
  <si>
    <t>Zepel Nicoya (Continuous) Sheer Platino</t>
  </si>
  <si>
    <t>Zepel Nicoya (Continuous) Sheer TBA</t>
  </si>
  <si>
    <t>58% CO, 42% PL</t>
  </si>
  <si>
    <t>Filigree Thermoguard 150cm (Drop) Coated Off White</t>
  </si>
  <si>
    <t>Filigree Thermoguard 150cm (Drop) Coated White</t>
  </si>
  <si>
    <t>Filigree Thermoguard 150cm (Drop) Coated TBA</t>
  </si>
  <si>
    <t>Filigree Thermoguard 280cm (Continuous) Coated Off White</t>
  </si>
  <si>
    <t>Filigree Thermoguard 280cm (Continuous) Coated White</t>
  </si>
  <si>
    <t>Filigree Thermoguard 280cm (Continuous) Coated TBA</t>
  </si>
  <si>
    <t>Filigree Thermoguard 280cm (Drop) Coated Off White</t>
  </si>
  <si>
    <t>Filigree Thermoguard 280cm (Drop) Coated White</t>
  </si>
  <si>
    <t>Filigree Thermoguard 280cm (Drop) Coated TBA</t>
  </si>
  <si>
    <t>Maurice Kain Grampians (Drop) Uncoated Lagoon</t>
  </si>
  <si>
    <t>Maurice Kain Grampians (Drop) Uncoated Ochre</t>
  </si>
  <si>
    <t>Maurice Kain Grampians (Drop) Uncoated Petal</t>
  </si>
  <si>
    <t>Maurice Kain Grampians (Drop) Uncoated TBA</t>
  </si>
  <si>
    <t>Filigree Thermoguard 320cm (Continuous) Lining Off White</t>
  </si>
  <si>
    <t>Filigree Thermoguard 320cm (Continuous) Lining White</t>
  </si>
  <si>
    <t>Filigree Thermoguard 320cm (Continuous) Lining TBA</t>
  </si>
  <si>
    <t>Filigree Thermoguard 150cm (Drop) Lining Off White</t>
  </si>
  <si>
    <t>Filigree Thermoguard 150cm (Drop) Lining White</t>
  </si>
  <si>
    <t>Filigree Thermoguard 150cm (Drop) Lining TBA</t>
  </si>
  <si>
    <t>Filigree Thermoguard 280cm (Continuous) Lining Off White</t>
  </si>
  <si>
    <t>Filigree Thermoguard 280cm (Continuous) Lining White</t>
  </si>
  <si>
    <t>Filigree Thermoguard 280cm (Continuous) Lining TBA</t>
  </si>
  <si>
    <t>Filigree Thermoguard 280cm (Drop) Lining Off White</t>
  </si>
  <si>
    <t>Filigree Thermoguard 280cm (Drop) Lining White</t>
  </si>
  <si>
    <t>Filigree Thermoguard 280cm (Drop) Lining TBA</t>
  </si>
  <si>
    <t>Filigree Libretto (Continuous) Sheer Ice</t>
  </si>
  <si>
    <t>Filigree Libretto (Continuous) Sheer Chalk</t>
  </si>
  <si>
    <t>Filigree Libretto (Continuous) Sheer Sand</t>
  </si>
  <si>
    <t>Filigree Libretto (Continuous) Sheer Linen</t>
  </si>
  <si>
    <t>Filigree Libretto (Continuous) Sheer Natural</t>
  </si>
  <si>
    <t>Filigree Libretto (Continuous) Sheer Stone</t>
  </si>
  <si>
    <t>Filigree Libretto (Continuous) Sheer Ash</t>
  </si>
  <si>
    <t>Filigree Libretto (Continuous) Sheer Silver</t>
  </si>
  <si>
    <t>Filigree Libretto (Continuous) Sheer Slate</t>
  </si>
  <si>
    <t>Filigree Libretto (Continuous) Sheer Charcoal</t>
  </si>
  <si>
    <t>Filigree Libretto (Continuous) Sheer Black</t>
  </si>
  <si>
    <t>Filigree Libretto (Continuous) Sheer Navy</t>
  </si>
  <si>
    <t>Filigree Libretto (Continuous) Sheer Teal</t>
  </si>
  <si>
    <t>Filigree Libretto (Continuous) Sheer Celadon</t>
  </si>
  <si>
    <t>Filigree Libretto (Continuous) Sheer Breeze</t>
  </si>
  <si>
    <t>Filigree Libretto (Continuous) Sheer Blush</t>
  </si>
  <si>
    <t>Filigree Libretto (Continuous) Sheer TBA</t>
  </si>
  <si>
    <t>Charles Parsons Canaria (Continuous) Sheer Ash</t>
  </si>
  <si>
    <t>60% Tencel 26% Linen 14% Wool</t>
  </si>
  <si>
    <t>Charles Parsons Canaria (Continuous) Sheer Linen</t>
  </si>
  <si>
    <t>Charles Parsons Canaria (Continuous) Sheer Slate</t>
  </si>
  <si>
    <t>Charles Parsons Canaria (Continuous) Sheer Stone</t>
  </si>
  <si>
    <t>Charles Parsons Canaria (Continuous) Sheer TBA</t>
  </si>
  <si>
    <t>Zepel  Hampton Home (Drop) Uncoated Charcoal</t>
  </si>
  <si>
    <t>Zepel  Hampton Home (Drop) Uncoated Dove</t>
  </si>
  <si>
    <t>Zepel  Hampton Home (Drop) Uncoated Marine</t>
  </si>
  <si>
    <t>Zepel  Hampton Home (Drop) Uncoated Taupe</t>
  </si>
  <si>
    <t>Zepel  Hampton Home (Drop) Uncoated TBA</t>
  </si>
  <si>
    <t>Zepel Naturama (Drop) Uncoated Agathe</t>
  </si>
  <si>
    <t>Zepel Naturama (Drop) Uncoated Aluminium</t>
  </si>
  <si>
    <t>Zepel Naturama (Drop) Uncoated Cadet</t>
  </si>
  <si>
    <t>Zepel Naturama (Drop) Uncoated Camel</t>
  </si>
  <si>
    <t>Zepel Naturama (Drop) Uncoated Charcoal</t>
  </si>
  <si>
    <t>Zepel Naturama (Drop) Uncoated Chinchilla</t>
  </si>
  <si>
    <t>Zepel Naturama (Drop) Uncoated Cigar</t>
  </si>
  <si>
    <t>Zepel Naturama (Drop) Uncoated Cream</t>
  </si>
  <si>
    <t>Zepel Naturama (Drop) Uncoated Denim</t>
  </si>
  <si>
    <t>Zepel Naturama (Drop) Uncoated Flax</t>
  </si>
  <si>
    <t>Zepel Naturama (Drop) Uncoated Fountain</t>
  </si>
  <si>
    <t>Zepel Naturama (Drop) Uncoated Griffin</t>
  </si>
  <si>
    <t>Zepel Naturama (Drop) Uncoated Gull</t>
  </si>
  <si>
    <t>Zepel Naturama (Drop) Uncoated Ice</t>
  </si>
  <si>
    <t>Zepel Naturama (Drop) Uncoated Limestone</t>
  </si>
  <si>
    <t>Zepel Naturama (Drop) Uncoated Moss</t>
  </si>
  <si>
    <t>Zepel Naturama (Drop) Uncoated Oyster</t>
  </si>
  <si>
    <t>Zepel Naturama (Drop) Uncoated Papyrus</t>
  </si>
  <si>
    <t>Zepel Naturama (Drop) Uncoated Pigeon</t>
  </si>
  <si>
    <t>Zepel Naturama (Drop) Uncoated Pinecone</t>
  </si>
  <si>
    <t>Zepel Naturama (Drop) Uncoated Pristine</t>
  </si>
  <si>
    <t>Zepel Naturama (Drop) Uncoated Putty</t>
  </si>
  <si>
    <t>Zepel Naturama (Drop) Uncoated Raffia</t>
  </si>
  <si>
    <t>Zepel Naturama (Drop) Uncoated River</t>
  </si>
  <si>
    <t>Zepel Naturama (Drop) Uncoated Sand</t>
  </si>
  <si>
    <t>Zepel Naturama (Drop) Uncoated Shark</t>
  </si>
  <si>
    <t>Zepel Naturama (Drop) Uncoated Sky</t>
  </si>
  <si>
    <t>Zepel Naturama (Drop) Uncoated Snow</t>
  </si>
  <si>
    <t>Zepel Naturama (Drop) Uncoated Spa</t>
  </si>
  <si>
    <t>Zepel Naturama (Drop) Uncoated Surf</t>
  </si>
  <si>
    <t>Zepel Naturama (Drop) Uncoated Taupe</t>
  </si>
  <si>
    <t>Zepel Naturama (Drop) Uncoated TBA</t>
  </si>
  <si>
    <t>Existing Motorised S-Fold Track</t>
  </si>
  <si>
    <t>Existing Motorised Track</t>
  </si>
  <si>
    <t>Existing Motorised Wavefold Track</t>
  </si>
  <si>
    <t>Curtain Making Width</t>
  </si>
  <si>
    <t>Curtain Making Drop</t>
  </si>
  <si>
    <t>32mm Face Fix Brackets</t>
  </si>
  <si>
    <t>Streamline 32mm Face Fix Brackets White</t>
  </si>
  <si>
    <t>Streamline 32mm Face Fix Brackets Matt Black Ink</t>
  </si>
  <si>
    <t>Streamline 32mm Face Fix Brackets Birch White</t>
  </si>
  <si>
    <t>Wavefold Track Matt Satin Metres</t>
  </si>
  <si>
    <t>Wavefold Matt Satin</t>
  </si>
  <si>
    <t>Wavefold Top Fix Brackets Matt Satin</t>
  </si>
  <si>
    <t>Wavefold Single Face Fix Brackets Matt Satin</t>
  </si>
  <si>
    <t>Wavefold Double Face Fix Brackets Matt Satin</t>
  </si>
  <si>
    <t>Wavefold Triple Face Fix Brackets Matt Satin</t>
  </si>
  <si>
    <t>Top Fix Brackets Cover Matt Satin</t>
  </si>
  <si>
    <t>Single Face Fix Brackets Cover Matt Satin</t>
  </si>
  <si>
    <t>Double Face Fix Brackets Cover Matt Satin</t>
  </si>
  <si>
    <t>Triple Face Fix Brackets Cover Matt Satin</t>
  </si>
  <si>
    <t>Wavefold Single Return Brackets Left Matt Satin</t>
  </si>
  <si>
    <t>Wavefold Single Return Brackets Right Matt Satin</t>
  </si>
  <si>
    <t>Wavefold Double Return Brackets Left Matt Satin</t>
  </si>
  <si>
    <t>Wavefold Double Return Brackets Right Matt Satin</t>
  </si>
  <si>
    <t>Wavefold Single Cord Pulley Matt Satin</t>
  </si>
  <si>
    <t>Wavefold Double Cord Pulley Matt Satin</t>
  </si>
  <si>
    <t>Wavefold End Cap Matt Satin</t>
  </si>
  <si>
    <t>Clarke &amp; Clarke Rousseau Velvet (Drop) Uncoated Lime</t>
  </si>
  <si>
    <t>Clarke &amp; Clarke Rousseau Velvet (Drop) Uncoated TBA</t>
  </si>
  <si>
    <t>Warwick Adler (Continuous) Sheer Carbon</t>
  </si>
  <si>
    <t>63% Polyester 22% Bamboo 15% Cotton</t>
  </si>
  <si>
    <t>Warwick Adler (Continuous) Sheer Cloud</t>
  </si>
  <si>
    <t>Warwick Adler (Continuous) Sheer Graphite</t>
  </si>
  <si>
    <t>Warwick Adler (Continuous) Sheer Mushroom</t>
  </si>
  <si>
    <t>Warwick Adler (Continuous) Sheer Nougat</t>
  </si>
  <si>
    <t>Warwick Adler (Continuous) Sheer Pewter</t>
  </si>
  <si>
    <t>Warwick Adler (Continuous) Sheer Polar</t>
  </si>
  <si>
    <t>Warwick Adler (Continuous) Sheer Quartz</t>
  </si>
  <si>
    <t>Warwick Adler (Continuous) Sheer Seafoam</t>
  </si>
  <si>
    <t>Warwick Adler (Continuous) Sheer Shell</t>
  </si>
  <si>
    <t>Warwick Adler (Continuous) Sheer Stone</t>
  </si>
  <si>
    <t>Warwick Adler (Continuous) Sheer Walnut</t>
  </si>
  <si>
    <t>Warwick Adler (Continuous) Sheer TBA</t>
  </si>
  <si>
    <t>Warwick Adler (Drop) Sheer Carbon</t>
  </si>
  <si>
    <t>Warwick Adler (Drop) Sheer Cloud</t>
  </si>
  <si>
    <t>Warwick Adler (Drop) Sheer Graphite</t>
  </si>
  <si>
    <t>Warwick Adler (Drop) Sheer Mushroom</t>
  </si>
  <si>
    <t>Warwick Adler (Drop) Sheer Nougat</t>
  </si>
  <si>
    <t>Warwick Adler (Drop) Sheer Pewter</t>
  </si>
  <si>
    <t>Warwick Adler (Drop) Sheer Polar</t>
  </si>
  <si>
    <t>Warwick Adler (Drop) Sheer Quartz</t>
  </si>
  <si>
    <t>Warwick Adler (Drop) Sheer Seafoam</t>
  </si>
  <si>
    <t>Warwick Adler (Drop) Sheer Shell</t>
  </si>
  <si>
    <t>Warwick Adler (Drop) Sheer Stone</t>
  </si>
  <si>
    <t>Warwick Adler (Drop) Sheer Walnut</t>
  </si>
  <si>
    <t>Warwick Adler (Drop) Sheer TBA</t>
  </si>
  <si>
    <t>Maurice Kain Adorn (Drop) Uncoated Blush</t>
  </si>
  <si>
    <t>Maurice Kain Adorn (Drop) Uncoated Duckegg</t>
  </si>
  <si>
    <t>Maurice Kain Adorn (Drop) Uncoated Indigo</t>
  </si>
  <si>
    <t>Maurice Kain Adorn (Drop) Uncoated Ochre</t>
  </si>
  <si>
    <t>Maurice Kain Adorn (Drop) Uncoated Storm</t>
  </si>
  <si>
    <t>Maurice Kain Adorn (Drop) Uncoated TBA</t>
  </si>
  <si>
    <t>Nettex Infinity (Continuous) Sheer White</t>
  </si>
  <si>
    <t>Polyester + Weighted Hem</t>
  </si>
  <si>
    <t>Nettex Infinity (Continuous) Sheer Ash</t>
  </si>
  <si>
    <t>Nettex Infinity (Continuous) Sheer Smoke</t>
  </si>
  <si>
    <t>Nettex Infinity (Continuous) Sheer Pewter</t>
  </si>
  <si>
    <t>Nettex Infinity (Continuous) Sheer Thunder</t>
  </si>
  <si>
    <t>Nettex Infinity (Continuous) Sheer Pitch</t>
  </si>
  <si>
    <t>Nettex Infinity (Continuous) Sheer Fawn</t>
  </si>
  <si>
    <t>Nettex Infinity (Continuous) Sheer Driftwood</t>
  </si>
  <si>
    <t>Nettex Infinity (Continuous) Sheer Pearl</t>
  </si>
  <si>
    <t>Nettex Infinity (Continuous) Sheer Oyster</t>
  </si>
  <si>
    <t>Nettex Infinity (Continuous) Sheer TBA</t>
  </si>
  <si>
    <t>Nettex Infinity (Drop) Sheer White</t>
  </si>
  <si>
    <t>Nettex Infinity (Drop) Sheer Ash</t>
  </si>
  <si>
    <t>Nettex Infinity (Drop) Sheer Smoke</t>
  </si>
  <si>
    <t>Nettex Infinity (Drop) Sheer Pewter</t>
  </si>
  <si>
    <t>Nettex Infinity (Drop) Sheer Thunder</t>
  </si>
  <si>
    <t>Nettex Infinity (Drop) Sheer Pitch</t>
  </si>
  <si>
    <t>Nettex Infinity (Drop) Sheer Fawn</t>
  </si>
  <si>
    <t>Nettex Infinity (Drop) Sheer Driftwood</t>
  </si>
  <si>
    <t>Nettex Infinity (Drop) Sheer Pearl</t>
  </si>
  <si>
    <t>Nettex Infinity (Drop) Sheer Oyster</t>
  </si>
  <si>
    <t>Nettex Infinity (Drop) Sheer TBA</t>
  </si>
  <si>
    <t>Clarke &amp; Clarke Audubon (Drop) Uncoated Blue</t>
  </si>
  <si>
    <t>Clarke &amp; Clarke Audubon (Drop) Uncoated Gold</t>
  </si>
  <si>
    <t>Clarke &amp; Clarke Audubon (Drop) Uncoated Jungle</t>
  </si>
  <si>
    <t>Clarke &amp; Clarke Audubon (Drop) Uncoated Pink</t>
  </si>
  <si>
    <t>Clarke &amp; Clarke Audubon (Drop) Uncoated TBA</t>
  </si>
  <si>
    <t>Clarke &amp; Clarke Rousseau (Drop) Uncoated Lime</t>
  </si>
  <si>
    <t>Clarke &amp; Clarke Rousseau (Drop) Uncoated TBA</t>
  </si>
  <si>
    <t>Offset Split LHS</t>
  </si>
  <si>
    <t>Offset Split RHS</t>
  </si>
  <si>
    <t>Offset on Bent Tracks</t>
  </si>
  <si>
    <t>LHS Return Size (cm)</t>
  </si>
  <si>
    <t>RHS Return Size (cm)</t>
  </si>
  <si>
    <t>Marco Heron (Continuous) Sheer Navy</t>
  </si>
  <si>
    <t>Marco Heron (Continuous) Sheer Classic Blue</t>
  </si>
  <si>
    <t>Marco Heron (Continuous) Sheer Ebony</t>
  </si>
  <si>
    <t>Marco Heron (Continuous) Sheer Silver Birch</t>
  </si>
  <si>
    <t>Marco Heron (Continuous) Sheer Smoke</t>
  </si>
  <si>
    <t>Marco Heron (Continuous) Sheer Sandpiper</t>
  </si>
  <si>
    <t>Marco Heron (Continuous) Sheer Mineral</t>
  </si>
  <si>
    <t>Marco Heron (Continuous) Sheer Quartz</t>
  </si>
  <si>
    <t>Marco Heron (Continuous) Sheer Porcelain</t>
  </si>
  <si>
    <t>Marco Heron (Continuous) Sheer Stone</t>
  </si>
  <si>
    <t>Marco Heron (Continuous) Sheer Pebble</t>
  </si>
  <si>
    <t>Marco Heron (Continuous) Sheer Coconut</t>
  </si>
  <si>
    <t>Marco Heron (Continuous) Sheer Chalk</t>
  </si>
  <si>
    <t>Marco Heron (Continuous) Sheer TBA</t>
  </si>
  <si>
    <t>Zepel Tonto (Drop) Uncoated Blossom</t>
  </si>
  <si>
    <t>Zepel Tonto (Drop) Uncoated Celadon</t>
  </si>
  <si>
    <t>Zepel Tonto (Drop) Uncoated Cement</t>
  </si>
  <si>
    <t>Zepel Tonto (Drop) Uncoated Charcoal</t>
  </si>
  <si>
    <t>Zepel Tonto (Drop) Uncoated Denim</t>
  </si>
  <si>
    <t>Zepel Tonto (Drop) Uncoated Desert</t>
  </si>
  <si>
    <t>Zepel Tonto (Drop) Uncoated Fossil</t>
  </si>
  <si>
    <t>Zepel Tonto (Drop) Uncoated Horizon</t>
  </si>
  <si>
    <t>Zepel Tonto (Drop) Uncoated Limestone</t>
  </si>
  <si>
    <t>Zepel Tonto (Drop) Uncoated Melon</t>
  </si>
  <si>
    <t>Zepel Tonto (Drop) Uncoated Mist</t>
  </si>
  <si>
    <t>Zepel Tonto (Drop) Uncoated Pool</t>
  </si>
  <si>
    <t>Zepel Tonto (Drop) Uncoated Pure</t>
  </si>
  <si>
    <t>Zepel Tonto (Drop) Uncoated Sand</t>
  </si>
  <si>
    <t>Zepel Tonto (Drop) Uncoated Scuba</t>
  </si>
  <si>
    <t>Zepel Tonto (Drop) Uncoated Seagrass</t>
  </si>
  <si>
    <t>Zepel Tonto (Drop) Uncoated Shark</t>
  </si>
  <si>
    <t>Zepel Tonto (Drop) Uncoated Slate</t>
  </si>
  <si>
    <t>Zepel Tonto (Drop) Uncoated Snow</t>
  </si>
  <si>
    <t>Zepel Tonto (Drop) Uncoated Spa</t>
  </si>
  <si>
    <t>Zepel Tonto (Drop) Uncoated Spice</t>
  </si>
  <si>
    <t>Zepel Tonto (Drop) Uncoated Tea</t>
  </si>
  <si>
    <t>Zepel Tonto (Drop) Uncoated Teal</t>
  </si>
  <si>
    <t>Zepel Tonto (Drop) Uncoated Wool</t>
  </si>
  <si>
    <t>Zepel Tonto (Drop) Uncoated TBA</t>
  </si>
  <si>
    <t>Maurice Kain Re-Vive (Drop) Uncoated Charcoal</t>
  </si>
  <si>
    <t>38% Recycled Polyester 62% Polyester</t>
  </si>
  <si>
    <t>Maurice Kain Re-Vive (Drop) Uncoated Cloud</t>
  </si>
  <si>
    <t>Maurice Kain Re-Vive (Drop) Uncoated Snow</t>
  </si>
  <si>
    <t>Maurice Kain Re-Vive (Drop) Uncoated Stone</t>
  </si>
  <si>
    <t>Maurice Kain Re-Vive (Drop) Uncoated TBA</t>
  </si>
  <si>
    <t>Wilson Boston II (Drop) Coated Charcoal</t>
  </si>
  <si>
    <t>Wilson Boston II (Drop) Coated Chinchilla</t>
  </si>
  <si>
    <t>Wilson Boston II (Drop) Coated Dawn</t>
  </si>
  <si>
    <t>Wilson Boston II (Drop) Coated Grey</t>
  </si>
  <si>
    <t>Wilson Boston II (Drop) Coated Linen</t>
  </si>
  <si>
    <t>Wilson Boston II (Drop) Coated Marshmellow</t>
  </si>
  <si>
    <t>Wilson Boston II (Drop) Coated Monument</t>
  </si>
  <si>
    <t>Wilson Boston II (Drop) Coated Oyster</t>
  </si>
  <si>
    <t>Wilson Boston II (Drop) Coated Pewter</t>
  </si>
  <si>
    <t>Wilson Boston II (Drop) Coated Shark</t>
  </si>
  <si>
    <t>Wilson Boston II (Drop) Coated Stone</t>
  </si>
  <si>
    <t>Wilson Boston II (Drop) Coated TBA</t>
  </si>
  <si>
    <t>Hoad Beach-Check (Drop) Uncoated Navy</t>
  </si>
  <si>
    <t>Hoad Beach-Check (Drop) Uncoated Stone</t>
  </si>
  <si>
    <t>Hoad Beach-Check (Drop) Uncoated Black</t>
  </si>
  <si>
    <t>Hoad Beach-Check (Drop) Uncoated Moonlight</t>
  </si>
  <si>
    <t>Hoad Beach-Check (Drop) Uncoated TBA</t>
  </si>
  <si>
    <t>Warwick Lida (Drop) Uncoated Daffodil</t>
  </si>
  <si>
    <t>Warwick Lida (Drop) Uncoated Dew</t>
  </si>
  <si>
    <t>Warwick Lida (Drop) Uncoated Rouge</t>
  </si>
  <si>
    <t>Warwick Lida (Drop) Uncoated Sorbet</t>
  </si>
  <si>
    <t>Warwick Lida (Drop) Uncoated TBA</t>
  </si>
  <si>
    <t>Clarke &amp; Clarke Delamere (Drop) Uncoated Chartreuse</t>
  </si>
  <si>
    <t>52% Polyester 48% Cotton (Emb: 100% Viscose)</t>
  </si>
  <si>
    <t>Clarke &amp; Clarke Delamere (Drop) Uncoated Duckegg</t>
  </si>
  <si>
    <t>Clarke &amp; Clarke Delamere (Drop) Uncoated Heather</t>
  </si>
  <si>
    <t>Clarke &amp; Clarke Delamere (Drop) Uncoated Natural</t>
  </si>
  <si>
    <t>Clarke &amp; Clarke Delamere (Drop) Uncoated Raspberry</t>
  </si>
  <si>
    <t>Clarke &amp; Clarke Delamere (Drop) Uncoated TBA</t>
  </si>
  <si>
    <t>Warwick Rathlin (Drop) Uncoated Chai</t>
  </si>
  <si>
    <t>Warwick Rathlin (Drop) Uncoated Cornflower</t>
  </si>
  <si>
    <t>Warwick Rathlin (Drop) Uncoated Dove</t>
  </si>
  <si>
    <t>Warwick Rathlin (Drop) Uncoated Duckegg</t>
  </si>
  <si>
    <t>Warwick Rathlin (Drop) Uncoated Indigo</t>
  </si>
  <si>
    <t>Warwick Rathlin (Drop) Uncoated Onyx</t>
  </si>
  <si>
    <t>Warwick Rathlin (Drop) Uncoated Paprika</t>
  </si>
  <si>
    <t>Warwick Rathlin (Drop) Uncoated TBA</t>
  </si>
  <si>
    <t>Warwick Montenegro (Continuous) Sheer Birch</t>
  </si>
  <si>
    <t>Warwick Montenegro (Continuous) Sheer Cloud</t>
  </si>
  <si>
    <t>Warwick Montenegro (Continuous) Sheer Gunmetal</t>
  </si>
  <si>
    <t>Warwick Montenegro (Continuous) Sheer Iceberg</t>
  </si>
  <si>
    <t>Warwick Montenegro (Continuous) Sheer Latte</t>
  </si>
  <si>
    <t>Warwick Montenegro (Continuous) Sheer Lunar</t>
  </si>
  <si>
    <t>Warwick Montenegro (Continuous) Sheer Mist</t>
  </si>
  <si>
    <t>Warwick Montenegro (Continuous) Sheer Optic</t>
  </si>
  <si>
    <t>Warwick Montenegro (Continuous) Sheer Pewter</t>
  </si>
  <si>
    <t>Warwick Montenegro (Continuous) Sheer Rosewater</t>
  </si>
  <si>
    <t>Warwick Montenegro (Continuous) Sheer Sage</t>
  </si>
  <si>
    <t>Warwick Montenegro (Continuous) Sheer Straw</t>
  </si>
  <si>
    <t>Warwick Montenegro (Continuous) Sheer Taupe</t>
  </si>
  <si>
    <t>Warwick Montenegro (Continuous) Sheer Vanilla</t>
  </si>
  <si>
    <t>Warwick Montenegro (Continuous) Sheer Walnut</t>
  </si>
  <si>
    <t>Warwick Montenegro (Continuous) Sheer TBA</t>
  </si>
  <si>
    <t>Warwick Montenegro (Drop) Sheer Birch</t>
  </si>
  <si>
    <t>Warwick Montenegro (Drop) Sheer Cloud</t>
  </si>
  <si>
    <t>Warwick Montenegro (Drop) Sheer Gunmetal</t>
  </si>
  <si>
    <t>Warwick Montenegro (Drop) Sheer Iceberg</t>
  </si>
  <si>
    <t>Warwick Montenegro (Drop) Sheer Latte</t>
  </si>
  <si>
    <t>Warwick Montenegro (Drop) Sheer Lunar</t>
  </si>
  <si>
    <t>Warwick Montenegro (Drop) Sheer Mist</t>
  </si>
  <si>
    <t>Warwick Montenegro (Drop) Sheer Optic</t>
  </si>
  <si>
    <t>Warwick Montenegro (Drop) Sheer Pewter</t>
  </si>
  <si>
    <t>Warwick Montenegro (Drop) Sheer Rosewater</t>
  </si>
  <si>
    <t>Warwick Montenegro (Drop) Sheer Sage</t>
  </si>
  <si>
    <t>Warwick Montenegro (Drop) Sheer Straw</t>
  </si>
  <si>
    <t>Warwick Montenegro (Drop) Sheer Taupe</t>
  </si>
  <si>
    <t>Warwick Montenegro (Drop) Sheer Vanilla</t>
  </si>
  <si>
    <t>Warwick Montenegro (Drop) Sheer Walnut</t>
  </si>
  <si>
    <t>Warwick Montenegro (Drop) Sheer TBA</t>
  </si>
  <si>
    <t>Marco Hayman (Continuous) Sheer White</t>
  </si>
  <si>
    <t>61% Polyester 39% Linen</t>
  </si>
  <si>
    <t>Marco Hayman (Drop) Sheer White</t>
  </si>
  <si>
    <t>Warwick Caden (Drop) Uncoated Graphite</t>
  </si>
  <si>
    <t>Warwick Caden (Drop) Uncoated Indigo</t>
  </si>
  <si>
    <t>Warwick Caden (Drop) Uncoated Ivory</t>
  </si>
  <si>
    <t>Warwick Caden (Drop) Uncoated Taupe</t>
  </si>
  <si>
    <t>Warwick Caden (Drop) Uncoated TBA</t>
  </si>
  <si>
    <t>Maurice Kain Weylands (Drop) Coated Birch</t>
  </si>
  <si>
    <t>Maurice Kain Weylands (Drop) Coated Carbon</t>
  </si>
  <si>
    <t>Maurice Kain Weylands (Drop) Coated Feather</t>
  </si>
  <si>
    <t>Maurice Kain Weylands (Drop) Coated Granite</t>
  </si>
  <si>
    <t>Maurice Kain Weylands (Drop) Coated Linen</t>
  </si>
  <si>
    <t>Maurice Kain Weylands (Drop) Coated Seafoam</t>
  </si>
  <si>
    <t>Maurice Kain Weylands (Drop) Coated Shell</t>
  </si>
  <si>
    <t>Maurice Kain Weylands (Drop) Coated Steel</t>
  </si>
  <si>
    <t>Maurice Kain Weylands (Drop) Coated Snow</t>
  </si>
  <si>
    <t>Maurice Kain Weylands (Drop) Coated Stone</t>
  </si>
  <si>
    <t>Maurice Kain Weylands (Drop) Coated Tranquil</t>
  </si>
  <si>
    <t>Maurice Kain Weylands (Drop) Coated TBA</t>
  </si>
  <si>
    <t>Track from Unique Screens</t>
  </si>
  <si>
    <t>Zepel Graceful (Continuous) Sheer Blush</t>
  </si>
  <si>
    <t>Zepel Graceful (Continuous) Sheer Boudoir</t>
  </si>
  <si>
    <t>Zepel Graceful (Continuous) Sheer Charcoal</t>
  </si>
  <si>
    <t>Zepel Graceful (Continuous) Sheer Cloud</t>
  </si>
  <si>
    <t>Zepel Graceful (Continuous) Sheer Denim</t>
  </si>
  <si>
    <t>Zepel Graceful (Continuous) Sheer Duckegg</t>
  </si>
  <si>
    <t>Zepel Graceful (Continuous) Sheer Elephant</t>
  </si>
  <si>
    <t>Zepel Graceful (Continuous) Sheer Ice</t>
  </si>
  <si>
    <t>Zepel Graceful (Continuous) Sheer Linen</t>
  </si>
  <si>
    <t>Zepel Graceful (Continuous) Sheer Navy</t>
  </si>
  <si>
    <t>Zepel Graceful (Continuous) Sheer Silver</t>
  </si>
  <si>
    <t>Zepel Graceful (Continuous) Sheer Snow</t>
  </si>
  <si>
    <t>Zepel Graceful (Continuous) Sheer Storm</t>
  </si>
  <si>
    <t>Zepel Graceful (Continuous) Sheer TBA</t>
  </si>
  <si>
    <t>Zepel Graceful (Continuous) Sheer Zinc</t>
  </si>
  <si>
    <t>Resene Context (Drop) Uncoated Blonde</t>
  </si>
  <si>
    <t>78% POLY / 14% COT / 8% LIN</t>
  </si>
  <si>
    <t>Resene Context (Drop) Uncoated Ebony</t>
  </si>
  <si>
    <t>Resene Context (Drop) Uncoated Steel</t>
  </si>
  <si>
    <t>Resene Context (Drop) Uncoated Hydra</t>
  </si>
  <si>
    <t>Resene Context (Drop) Uncoated Bud</t>
  </si>
  <si>
    <t>Resene Context (Drop) Uncoated TBA</t>
  </si>
  <si>
    <t>Hoad Belgravia (Drop) Uncoated Moonlight</t>
  </si>
  <si>
    <t>Marco Neptune (Continuous) Uncoated Ice Blue</t>
  </si>
  <si>
    <t>Marco Neptune (Continuous) Uncoated Latte</t>
  </si>
  <si>
    <t>Marco Neptune (Continuous) Uncoated Aloe</t>
  </si>
  <si>
    <t>Marco Neptune (Continuous) Uncoated Seal Grey</t>
  </si>
  <si>
    <t>Marco Neptune (Continuous) Uncoated Mocha</t>
  </si>
  <si>
    <t>Marco Neptune (Continuous) Uncoated Charcoal</t>
  </si>
  <si>
    <t>Marco Neptune (Continuous) Uncoated Sea Pearl</t>
  </si>
  <si>
    <t>Marco Neptune (Continuous) Uncoated Turtle Dove</t>
  </si>
  <si>
    <t>Marco Neptune (Continuous) Uncoated Sand</t>
  </si>
  <si>
    <t>Marco Neptune (Continuous) Uncoated Shale</t>
  </si>
  <si>
    <t>Marco Neptune (Continuous) Uncoated Linen</t>
  </si>
  <si>
    <t>Marco Neptune (Continuous) Uncoated Oyster</t>
  </si>
  <si>
    <t>Marco Neptune (Continuous) Uncoated Natural</t>
  </si>
  <si>
    <t>Marco Neptune (Continuous) Uncoated TBA</t>
  </si>
  <si>
    <t>3 Pass 300cm (Continuous) Lining</t>
  </si>
  <si>
    <t>Track from</t>
  </si>
  <si>
    <t>Standard Clear 75cm</t>
  </si>
  <si>
    <t>Standard Clear 100cm</t>
  </si>
  <si>
    <t>Standard Clear 125cm</t>
  </si>
  <si>
    <t>Standard Clear 150cm</t>
  </si>
  <si>
    <t>Vanda Solid Aluminium Flick Stick 75cm Ivory</t>
  </si>
  <si>
    <t>Vanda Solid Aluminium Flick Stick 120cm Ivory</t>
  </si>
  <si>
    <t>150cm Cord Length</t>
  </si>
  <si>
    <t>240cm Cord Length</t>
  </si>
  <si>
    <t>100cm Cord Length</t>
  </si>
  <si>
    <t>120cm Cord Length</t>
  </si>
  <si>
    <t>180cm Cord Length</t>
  </si>
  <si>
    <t>210cm Cord Length</t>
  </si>
  <si>
    <t>270cm Cord Length</t>
  </si>
  <si>
    <t>Vanda Solid Aluminium Flick Stick 75cm Silver Pearl</t>
  </si>
  <si>
    <t>Vanda Solid Aluminium Flick Stick 120cm Silver Pearl</t>
  </si>
  <si>
    <t>Flick Stick</t>
  </si>
  <si>
    <t>Display on Order Form</t>
  </si>
  <si>
    <t>Vanda Order Form</t>
  </si>
  <si>
    <t>TBS Order Form</t>
  </si>
  <si>
    <t>Filigree Como (Drop) Sheer Champagne</t>
  </si>
  <si>
    <t>Filigree Como (Drop) Sheer Ivory</t>
  </si>
  <si>
    <t>Filigree Como (Drop) Sheer White</t>
  </si>
  <si>
    <t>Filigree Como (Drop) Sheer TBA</t>
  </si>
  <si>
    <t>^XZ</t>
  </si>
  <si>
    <t>Charles Parsons Drake (Drop) Sheer Arctic</t>
  </si>
  <si>
    <t>Charles Parsons Drake (Drop) Sheer Ash</t>
  </si>
  <si>
    <t>Charles Parsons Drake (Drop) Sheer Black</t>
  </si>
  <si>
    <t>Charles Parsons Drake (Drop) Sheer Dune</t>
  </si>
  <si>
    <t>Charles Parsons Drake (Drop) Sheer Eggshell</t>
  </si>
  <si>
    <t>Charles Parsons Drake (Drop) Sheer Feather</t>
  </si>
  <si>
    <t>Charles Parsons Drake (Drop) Sheer Flint</t>
  </si>
  <si>
    <t>Charles Parsons Drake (Drop) Sheer Monument</t>
  </si>
  <si>
    <t>Charles Parsons Drake (Drop) Sheer Pebble</t>
  </si>
  <si>
    <t>Charles Parsons Drake (Drop) Sheer Sage</t>
  </si>
  <si>
    <t>Charles Parsons Drake (Drop) Sheer Sterling</t>
  </si>
  <si>
    <t>Charles Parsons Drake (Drop) Sheer Topaz</t>
  </si>
  <si>
    <t>Charles Parsons Drake (Drop) Sheer Vanilla</t>
  </si>
  <si>
    <t>Charles Parsons Drake (Drop) Sheer TBA</t>
  </si>
  <si>
    <t>Charles Parsons Heapstead (Drop) Uncoated TBA</t>
  </si>
  <si>
    <t>Charles Parsons Heapstead (Drop) Uncoated Linen</t>
  </si>
  <si>
    <t>Charles Parsons Heapstead (Drop) Uncoated Wedgewood</t>
  </si>
  <si>
    <t>Charles Parsons Heapstead (Drop) Uncoated Silver</t>
  </si>
  <si>
    <t>Charles Parsons Heapstead (Drop) Uncoated Navy</t>
  </si>
  <si>
    <t>DBS or HM Decor Order Form</t>
  </si>
  <si>
    <t>Unique Screens Order Form</t>
  </si>
  <si>
    <t>One way 100%</t>
  </si>
  <si>
    <t>One Way 120%</t>
  </si>
  <si>
    <t>Tape Length</t>
  </si>
  <si>
    <t>Wavefold Fabric Required</t>
  </si>
  <si>
    <t>Slender Morris Toile (Continuous) Uncoated TBA</t>
  </si>
  <si>
    <t>15% Linen, 85% Cotton</t>
  </si>
  <si>
    <t>Slender Morris Toile (Continuous) Uncoated Blue</t>
  </si>
  <si>
    <t>Slender Morris Toile (Continuous) Uncoated Red</t>
  </si>
  <si>
    <t>Vantage Single Bracket 100mm</t>
  </si>
  <si>
    <t>Vantage Top Fix Bracket</t>
  </si>
  <si>
    <t>Vantage Single Bracket 140mm</t>
  </si>
  <si>
    <t>Designers Guild Maple Tree (Drop) Uncoated TBA</t>
  </si>
  <si>
    <t>Designers Guild Maple Tree (Drop) Uncoated Sepia</t>
  </si>
  <si>
    <t>Designers Guild Maple Tree (Drop) Uncoated Celadon</t>
  </si>
  <si>
    <t>Sekers Eger (Drop) Uncoated TBA</t>
  </si>
  <si>
    <t>98% POLY/2% LINEN</t>
  </si>
  <si>
    <t>Sekers Eger (Drop) Uncoated Dove</t>
  </si>
  <si>
    <t>Sekers Eger (Drop) Uncoated Chateau Grey</t>
  </si>
  <si>
    <t>Sekers Eger (Drop) Uncoated French Blue</t>
  </si>
  <si>
    <t>Sekers Eger (Drop) Uncoated Natural</t>
  </si>
  <si>
    <t>Sekers Eger (Drop) Uncoated Linen</t>
  </si>
  <si>
    <t>Sekers Eger (Drop) Uncoated Pebble</t>
  </si>
  <si>
    <t>Sekers Eger (Drop) Uncoated Taupe</t>
  </si>
  <si>
    <t>Sekers Eger (Drop) Uncoated Citrine</t>
  </si>
  <si>
    <t>1st Bend (mm) from LHS</t>
  </si>
  <si>
    <t>2nd Bend (mm) from LHS</t>
  </si>
  <si>
    <t>3rd Bend (mm) from LHS</t>
  </si>
  <si>
    <t>4th Bend (mm) from LHS</t>
  </si>
  <si>
    <t>Charles Parsons Amara (Drop) Uncoated TBA</t>
  </si>
  <si>
    <t>Charles Parsons Amara (Drop) Uncoated Pebble</t>
  </si>
  <si>
    <t>Charles Parsons Amara (Drop) Uncoated Coconut</t>
  </si>
  <si>
    <t>Charles Parsons Amara (Drop) Uncoated Nougat</t>
  </si>
  <si>
    <t>Charles Parsons Amara (Drop) Uncoated Birch</t>
  </si>
  <si>
    <t>Charles Parsons Amara (Drop) Uncoated Flax</t>
  </si>
  <si>
    <t>Charles Parsons Amara (Drop) Uncoated Jute</t>
  </si>
  <si>
    <t>Charles Parsons Amara (Drop) Uncoated Straw</t>
  </si>
  <si>
    <t>Charles Parsons Amara (Drop) Uncoated Saffron</t>
  </si>
  <si>
    <t>Charles Parsons Amara (Drop) Uncoated Canyon</t>
  </si>
  <si>
    <t>Charles Parsons Amara (Drop) Uncoated Spruce</t>
  </si>
  <si>
    <t>Charles Parsons Amara (Drop) Uncoated Tusk</t>
  </si>
  <si>
    <t>Charles Parsons Amara (Drop) Uncoated Mule</t>
  </si>
  <si>
    <t>Charles Parsons Amara (Drop) Uncoated Ash</t>
  </si>
  <si>
    <t>Charles Parsons Amara (Drop) Uncoated Lake</t>
  </si>
  <si>
    <t>Charles Parsons Amara (Drop) Uncoated Pewter</t>
  </si>
  <si>
    <t>Charles Parsons Amara (Drop) Uncoated Carbon</t>
  </si>
  <si>
    <t>Charles Parsons Sarasota (Drop) Uncoated TBA</t>
  </si>
  <si>
    <t>69% POLY 16% VIS 9% COTT 6% LINEN</t>
  </si>
  <si>
    <t>F5A</t>
  </si>
  <si>
    <t>Charles Parsons Sarasota (Drop) Uncoated Cloud</t>
  </si>
  <si>
    <t>Charles Parsons Sarasota (Drop) Uncoated Granite</t>
  </si>
  <si>
    <t>Charles Parsons Sarasota (Drop) Uncoated Lagoon</t>
  </si>
  <si>
    <t>Charles Parsons Sarasota (Drop) Uncoated Marine</t>
  </si>
  <si>
    <t>Charles Parsons Delray (Drop) Uncoated TBA</t>
  </si>
  <si>
    <t>Charles Parsons Delray (Drop) Uncoated Cloud</t>
  </si>
  <si>
    <t>Charles Parsons Delray (Drop) Uncoated Granite</t>
  </si>
  <si>
    <t>Charles Parsons Delray (Drop) Uncoated Lagoon</t>
  </si>
  <si>
    <t>Charles Parsons Delray (Drop) Uncoated Marine</t>
  </si>
  <si>
    <t>Charles Parsons Florida (Drop) Uncoated TBA</t>
  </si>
  <si>
    <t>Charles Parsons Florida (Drop) Uncoated Cloud</t>
  </si>
  <si>
    <t>Charles Parsons Florida (Drop) Uncoated Granite</t>
  </si>
  <si>
    <t>Charles Parsons Florida (Drop) Uncoated Lagoon</t>
  </si>
  <si>
    <t>Charles Parsons Florida (Drop) Uncoated Marine</t>
  </si>
  <si>
    <t>Bracket Colour</t>
  </si>
  <si>
    <t>Bracket Qty</t>
  </si>
  <si>
    <t>No - Extra Thick Carpet</t>
  </si>
  <si>
    <t>Double Pinch Pleat for Sheers (Extra Fullness x 2.5)</t>
  </si>
  <si>
    <t>Triple Pinch Pleat for Sheers (Extra Fullness x 2.5)</t>
  </si>
  <si>
    <t>Conduit x 3</t>
  </si>
  <si>
    <t>S-Fold Saber 100</t>
  </si>
  <si>
    <t>S-Fold Saber 75</t>
  </si>
  <si>
    <t>Wavefold Saber 100</t>
  </si>
  <si>
    <t>Wavefold Saber 75</t>
  </si>
  <si>
    <t>S-Fold Saber 50 LQ</t>
  </si>
  <si>
    <t>Wavefold Saber 50 LQ</t>
  </si>
  <si>
    <t>Saber 50 LQ Runners</t>
  </si>
  <si>
    <t>Zepel Admiral (Drop) Uncoated Agathe</t>
  </si>
  <si>
    <t>Zepel Admiral (Drop) Uncoated Beetle</t>
  </si>
  <si>
    <t>Zepel Admiral (Drop) Uncoated Beige</t>
  </si>
  <si>
    <t>Zepel Admiral (Drop) Uncoated Beluga</t>
  </si>
  <si>
    <t>Zepel Admiral (Drop) Uncoated Bordeaux</t>
  </si>
  <si>
    <t>Zepel Admiral (Drop) Uncoated Cream</t>
  </si>
  <si>
    <t>Zepel Admiral (Drop) Uncoated Fire</t>
  </si>
  <si>
    <t>Zepel Admiral (Drop) Uncoated Gargoyle</t>
  </si>
  <si>
    <t>Zepel Admiral (Drop) Uncoated Hedgehog</t>
  </si>
  <si>
    <t>Zepel Admiral (Drop) Uncoated Liquorice</t>
  </si>
  <si>
    <t>Zepel Admiral (Drop) Uncoated Marine</t>
  </si>
  <si>
    <t>Zepel Admiral (Drop) Uncoated Marzipan</t>
  </si>
  <si>
    <t>Zepel Admiral (Drop) Uncoated Moss</t>
  </si>
  <si>
    <t>Zepel Admiral (Drop) Uncoated Night</t>
  </si>
  <si>
    <t>Zepel Admiral (Drop) Uncoated Nut</t>
  </si>
  <si>
    <t>Zepel Admiral (Drop) Uncoated Otter</t>
  </si>
  <si>
    <t>Zepel Admiral (Drop) Uncoated Passion</t>
  </si>
  <si>
    <t>Zepel Admiral (Drop) Uncoated Pebble</t>
  </si>
  <si>
    <t>Zepel Admiral (Drop) Uncoated Pesto</t>
  </si>
  <si>
    <t>Zepel Admiral (Drop) Uncoated Pewter</t>
  </si>
  <si>
    <t>Zepel Admiral (Drop) Uncoated Plaza</t>
  </si>
  <si>
    <t>Zepel Admiral (Drop) Uncoated Plum</t>
  </si>
  <si>
    <t>Zepel Admiral (Drop) Uncoated Sauvignon</t>
  </si>
  <si>
    <t>Zepel Admiral (Drop) Uncoated Sesame</t>
  </si>
  <si>
    <t>Zepel Admiral (Drop) Uncoated Silver</t>
  </si>
  <si>
    <t>Zepel Admiral (Drop) Uncoated Terra</t>
  </si>
  <si>
    <t>Zepel Admiral (Drop) Uncoated TBA</t>
  </si>
  <si>
    <t>Zepel Lux Velvet (Drop) Uncoated Carise</t>
  </si>
  <si>
    <t>Zepel Lux Velvet (Drop) Uncoated White</t>
  </si>
  <si>
    <t>Zepel Luxo (Continuous) Uncoated Gull</t>
  </si>
  <si>
    <t>Zepel Luxo (Continuous) Uncoated Hunter</t>
  </si>
  <si>
    <t>Zepel Luxo (Continuous) Uncoated Ink</t>
  </si>
  <si>
    <t>Zepel Luxo (Continuous) Uncoated Mist</t>
  </si>
  <si>
    <t>Zepel Luxo (Continuous) Uncoated Moss</t>
  </si>
  <si>
    <t>Zepel Luxo (Continuous) Uncoated Natural</t>
  </si>
  <si>
    <t>Zepel Luxo (Continuous) Uncoated Nougat</t>
  </si>
  <si>
    <t>Zepel Luxo (Continuous) Uncoated Olive</t>
  </si>
  <si>
    <t>Zepel Luxo (Continuous) Uncoated Onyx</t>
  </si>
  <si>
    <t>Zepel Luxo (Continuous) Uncoated Petrol</t>
  </si>
  <si>
    <t>Zepel Luxo (Continuous) Uncoated Plaza</t>
  </si>
  <si>
    <t>Zepel Luxo (Continuous) Uncoated Pool</t>
  </si>
  <si>
    <t>Zepel Luxo (Continuous) Uncoated Poppy</t>
  </si>
  <si>
    <t>Zepel Luxo (Continuous) Uncoated Sand</t>
  </si>
  <si>
    <t>Zepel Luxo (Continuous) Uncoated Shark</t>
  </si>
  <si>
    <t>Zepel Luxo (Continuous) Uncoated Slate</t>
  </si>
  <si>
    <t>Zepel Luxo (Continuous) Uncoated Spice</t>
  </si>
  <si>
    <t>Zepel Luxo (Continuous) Uncoated Swan</t>
  </si>
  <si>
    <t>Zepel Luxo (Continuous) Uncoated Teal</t>
  </si>
  <si>
    <t>Zepel Luxo (Continuous) Uncoated Vino</t>
  </si>
  <si>
    <t>Zepel Luxo (Continuous) Uncoated TBA</t>
  </si>
  <si>
    <t>Zepel Luxo (Drop) Uncoated Gull</t>
  </si>
  <si>
    <t>Zepel Luxo (Drop) Uncoated Hunter</t>
  </si>
  <si>
    <t>Zepel Luxo (Drop) Uncoated Ink</t>
  </si>
  <si>
    <t>Zepel Luxo (Drop) Uncoated Mist</t>
  </si>
  <si>
    <t>Zepel Luxo (Drop) Uncoated Moss</t>
  </si>
  <si>
    <t>Zepel Luxo (Drop) Uncoated Natural</t>
  </si>
  <si>
    <t>Zepel Luxo (Drop) Uncoated Nougat</t>
  </si>
  <si>
    <t>Zepel Luxo (Drop) Uncoated Olive</t>
  </si>
  <si>
    <t>Zepel Luxo (Drop) Uncoated Onyx</t>
  </si>
  <si>
    <t>Zepel Luxo (Drop) Uncoated Petrol</t>
  </si>
  <si>
    <t>Zepel Luxo (Drop) Uncoated Plaza</t>
  </si>
  <si>
    <t>Zepel Luxo (Drop) Uncoated Pool</t>
  </si>
  <si>
    <t>Zepel Luxo (Drop) Uncoated Poppy</t>
  </si>
  <si>
    <t>Zepel Luxo (Drop) Uncoated Sand</t>
  </si>
  <si>
    <t>Zepel Luxo (Drop) Uncoated Shark</t>
  </si>
  <si>
    <t>Zepel Luxo (Drop) Uncoated Slate</t>
  </si>
  <si>
    <t>Zepel Luxo (Drop) Uncoated Spice</t>
  </si>
  <si>
    <t>Zepel Luxo (Drop) Uncoated Swan</t>
  </si>
  <si>
    <t>Zepel Luxo (Drop) Uncoated Teal</t>
  </si>
  <si>
    <t>Zepel Luxo (Drop) Uncoated Vino</t>
  </si>
  <si>
    <t>Zepel Luxo (Drop) Uncoated TBA</t>
  </si>
  <si>
    <t>Charles Parsons Beaumonde (Continuous) Uncoated TBA</t>
  </si>
  <si>
    <t>68% POLYESTER / 32% VISCOSE</t>
  </si>
  <si>
    <t>Charles Parsons Beaumonde (Continuous) Uncoated Amber</t>
  </si>
  <si>
    <t>Charles Parsons Beaumonde (Continuous) Uncoated Bone</t>
  </si>
  <si>
    <t>Charles Parsons Beaumonde (Continuous) Uncoated Mineral</t>
  </si>
  <si>
    <t>Charles Parsons Beaumonde (Continuous) Uncoated Mist</t>
  </si>
  <si>
    <t>Charles Parsons Beaumonde (Continuous) Uncoated Oat</t>
  </si>
  <si>
    <t>Charles Parsons Beaumonde (Continuous) Uncoated Pigeon</t>
  </si>
  <si>
    <t>Charles Parsons Beaumonde (Continuous) Uncoated Rubble</t>
  </si>
  <si>
    <t>Charles Parsons Beaumonde (Continuous) Uncoated Safari</t>
  </si>
  <si>
    <t>Charles Parsons Beaumonde (Continuous) Uncoated Sand</t>
  </si>
  <si>
    <t>Charles Parsons Beaumonde (Continuous) Uncoated Silver</t>
  </si>
  <si>
    <t>100% POLYESTER</t>
  </si>
  <si>
    <t>Maurice Kain Destiny (Drop) Sheer TBA</t>
  </si>
  <si>
    <t>Maurice Kain Destiny (Drop) Sheer Birch</t>
  </si>
  <si>
    <t>Maurice Kain Destiny (Drop) Sheer Chalk</t>
  </si>
  <si>
    <t>Maurice Kain Destiny (Drop) Sheer Cloudy</t>
  </si>
  <si>
    <t>Maurice Kain Destiny (Drop) Sheer Ice</t>
  </si>
  <si>
    <t>Maurice Kain Destiny (Drop) Sheer Ivory</t>
  </si>
  <si>
    <t>Maurice Kain Destiny (Drop) Sheer Limewash</t>
  </si>
  <si>
    <t>Maurice Kain Destiny (Drop) Sheer Linen</t>
  </si>
  <si>
    <t>Maurice Kain Destiny (Drop) Sheer Marble</t>
  </si>
  <si>
    <t>Maurice Kain Destiny (Drop) Sheer Mist</t>
  </si>
  <si>
    <t>Maurice Kain Destiny (Drop) Sheer Stone</t>
  </si>
  <si>
    <t>Maurice Kain Destiny (Continuous) Sheer TBA</t>
  </si>
  <si>
    <t>Maurice Kain Destiny (Continuous) Sheer Birch</t>
  </si>
  <si>
    <t>Maurice Kain Destiny (Continuous) Sheer Chalk</t>
  </si>
  <si>
    <t>Maurice Kain Destiny (Continuous) Sheer Cloudy</t>
  </si>
  <si>
    <t>Maurice Kain Destiny (Continuous) Sheer Ice</t>
  </si>
  <si>
    <t>Maurice Kain Destiny (Continuous) Sheer Ivory</t>
  </si>
  <si>
    <t>Maurice Kain Destiny (Continuous) Sheer Limewash</t>
  </si>
  <si>
    <t>Maurice Kain Destiny (Continuous) Sheer Linen</t>
  </si>
  <si>
    <t>Maurice Kain Destiny (Continuous) Sheer Marble</t>
  </si>
  <si>
    <t>Maurice Kain Destiny (Continuous) Sheer Mist</t>
  </si>
  <si>
    <t>Maurice Kain Destiny (Continuous) Sheer Stone</t>
  </si>
  <si>
    <t>Charles Parsons Carter (Drop) Sheer TBA</t>
  </si>
  <si>
    <t>Charles Parsons Carter (Drop) Sheer Blush</t>
  </si>
  <si>
    <t>Charles Parsons Carter (Drop) Sheer Cadet</t>
  </si>
  <si>
    <t>Charles Parsons Carter (Drop) Sheer Carbon</t>
  </si>
  <si>
    <t>Charles Parsons Carter (Drop) Sheer Chalk</t>
  </si>
  <si>
    <t>Charles Parsons Carter (Drop) Sheer Dawn</t>
  </si>
  <si>
    <t>Charles Parsons Carter (Drop) Sheer Moon</t>
  </si>
  <si>
    <t>Charles Parsons Carter (Drop) Sheer Moss</t>
  </si>
  <si>
    <t>Charles Parsons Carter (Drop) Sheer Onyx</t>
  </si>
  <si>
    <t>Charles Parsons Carter (Drop) Sheer Pearl</t>
  </si>
  <si>
    <t>Charles Parsons Carter (Drop) Sheer Sky</t>
  </si>
  <si>
    <t>Charles Parsons Carter (Drop) Sheer Stone</t>
  </si>
  <si>
    <t>Charles Parsons Karo (Drop) Sheer Storm</t>
  </si>
  <si>
    <t>Charles Parsons Karo (Drop) Sheer Snow</t>
  </si>
  <si>
    <t>Charles Parsons Karo (Drop) Sheer Midnight</t>
  </si>
  <si>
    <t>Charles Parsons Karo (Drop) Sheer Punch</t>
  </si>
  <si>
    <t>Charles Parsons Karo (Drop) Sheer Icicle</t>
  </si>
  <si>
    <t>Charles Parsons Karo (Drop) Sheer Alloy</t>
  </si>
  <si>
    <t>Charles Parsons Karo (Drop) Sheer Lino</t>
  </si>
  <si>
    <t>Charles Parsons Karo (Drop) Sheer Haze</t>
  </si>
  <si>
    <t>Charles Parsons Karo (Drop) Sheer TBA</t>
  </si>
  <si>
    <t>Slender Morris Maharishi (Drop) Uncoated TBA</t>
  </si>
  <si>
    <t>Slender Morris Maharishi (Drop) Uncoated Midnight</t>
  </si>
  <si>
    <t>Slender Morris Maharishi (Drop) Uncoated Tapestry</t>
  </si>
  <si>
    <t>Clarke &amp; Clarke Madagascar (Drop) Uncoated TBA</t>
  </si>
  <si>
    <t>Clarke &amp; Clarke Madagascar (Drop) Uncoated Mineral/Citron</t>
  </si>
  <si>
    <t>Clarke &amp; Clarke Madagascar (Drop) Uncoated Forest</t>
  </si>
  <si>
    <t>Clarke &amp; Clarke Madagascar (Drop) Uncoated Charcoal/Charteuse</t>
  </si>
  <si>
    <t>Clarke &amp; Clarke Ornella (Drop) Uncoated TBA</t>
  </si>
  <si>
    <t>100% Cotton Panama</t>
  </si>
  <si>
    <t>Clarke &amp; Clarke Ornella (Drop) Uncoated Denim</t>
  </si>
  <si>
    <t>Clarke &amp; Clarke Ornella (Drop) Uncoated Charcoal/Charteuse</t>
  </si>
  <si>
    <t>Clarke &amp; Clarke Ornella (Drop) Uncoated Mineral/Blush</t>
  </si>
  <si>
    <t>Clarke &amp; Clarke Ornella (Drop) Uncoated Summer</t>
  </si>
  <si>
    <t>Filigree Cato (Continuous) Dim Out TBA</t>
  </si>
  <si>
    <t>Filigree Cato (Continuous) Dim Out Cloud</t>
  </si>
  <si>
    <t>Filigree Cato (Continuous) Dim Out Lily</t>
  </si>
  <si>
    <t>Filigree Cato (Continuous) Dim Out Linen</t>
  </si>
  <si>
    <t>Filigree Cato (Continuous) Dim Out Stone</t>
  </si>
  <si>
    <t>Filigree Cato (Continuous) Dim Out Ash</t>
  </si>
  <si>
    <t>Filigree Cato (Continuous) Dim Out Silver</t>
  </si>
  <si>
    <t>Filigree Cato (Continuous) Dim Out Smoke</t>
  </si>
  <si>
    <t>Filigree Cato (Continuous) Dim Out Charcoal</t>
  </si>
  <si>
    <t>Filigree Cato (Continuous) Dim Out Ocean</t>
  </si>
  <si>
    <t>Filigree Cato (Continuous) Dim Out Aqua</t>
  </si>
  <si>
    <t>Filigree Cato (Continuous) Dim Out Sky</t>
  </si>
  <si>
    <t>Filigree Cato (Continuous) Dim Out Coral</t>
  </si>
  <si>
    <t>Filigree Cato (Continuous) Dim Out Ochre</t>
  </si>
  <si>
    <t>Filigree Cato (Drop) Dim Out TBA</t>
  </si>
  <si>
    <t>Filigree Cato (Drop) Dim Out Cloud</t>
  </si>
  <si>
    <t>Filigree Cato (Drop) Dim Out Lily</t>
  </si>
  <si>
    <t>Filigree Cato (Drop) Dim Out Linen</t>
  </si>
  <si>
    <t>Filigree Cato (Drop) Dim Out Stone</t>
  </si>
  <si>
    <t>Filigree Cato (Drop) Dim Out Ash</t>
  </si>
  <si>
    <t>Filigree Cato (Drop) Dim Out Silver</t>
  </si>
  <si>
    <t>Filigree Cato (Drop) Dim Out Smoke</t>
  </si>
  <si>
    <t>Filigree Cato (Drop) Dim Out Charcoal</t>
  </si>
  <si>
    <t>Filigree Cato (Drop) Dim Out Ocean</t>
  </si>
  <si>
    <t>Filigree Cato (Drop) Dim Out Aqua</t>
  </si>
  <si>
    <t>Filigree Cato (Drop) Dim Out Sky</t>
  </si>
  <si>
    <t>Filigree Cato (Drop) Dim Out Coral</t>
  </si>
  <si>
    <t>Filigree Cato (Drop) Dim Out Ochre</t>
  </si>
  <si>
    <t>Poly/Cotton</t>
  </si>
  <si>
    <t>Slender Morris Biarritz (Drop) Uncoated TBA</t>
  </si>
  <si>
    <t>Slender Morris Biarritz (Drop) Uncoated Cream</t>
  </si>
  <si>
    <t>Slender Morris Biarritz (Drop) Uncoated Champagne</t>
  </si>
  <si>
    <t>Slender Morris Biarritz (Drop) Uncoated Camel</t>
  </si>
  <si>
    <t>Slender Morris Biarritz (Drop) Uncoated Indigo</t>
  </si>
  <si>
    <t>Slender Morris Biarritz (Drop) Uncoated Rouge</t>
  </si>
  <si>
    <t>Slender Morris Biarritz (Drop) Uncoated Sage</t>
  </si>
  <si>
    <t>Slender Morris Biarritz (Drop) Uncoated Wedgewood</t>
  </si>
  <si>
    <t>Slender Morris Biarritz (Drop) Uncoated Linen</t>
  </si>
  <si>
    <t>Slender Morris Calais (Drop) Uncoated TBA</t>
  </si>
  <si>
    <t>Slender Morris Calais (Drop) Uncoated Cream</t>
  </si>
  <si>
    <t>Slender Morris Calais (Drop) Uncoated Champagne</t>
  </si>
  <si>
    <t>Slender Morris Calais (Drop) Uncoated Camel</t>
  </si>
  <si>
    <t>Slender Morris Calais (Drop) Uncoated Indigo</t>
  </si>
  <si>
    <t>Slender Morris Calais (Drop) Uncoated Rouge</t>
  </si>
  <si>
    <t>Slender Morris Calais (Drop) Uncoated Sage</t>
  </si>
  <si>
    <t>Slender Morris Calais (Drop) Uncoated Wedgewood</t>
  </si>
  <si>
    <t>Slender Morris Calais (Drop) Uncoated Linen</t>
  </si>
  <si>
    <t>Slender Morris Lyon (Drop) Uncoated TBA</t>
  </si>
  <si>
    <t>Slender Morris Lyon (Drop) Uncoated Cream</t>
  </si>
  <si>
    <t>Slender Morris Lyon (Drop) Uncoated Champagne</t>
  </si>
  <si>
    <t>Slender Morris Lyon (Drop) Uncoated Camel</t>
  </si>
  <si>
    <t>Slender Morris Lyon (Drop) Uncoated Indigo</t>
  </si>
  <si>
    <t>Slender Morris Lyon (Drop) Uncoated Rouge</t>
  </si>
  <si>
    <t>Slender Morris Lyon (Drop) Uncoated Sage</t>
  </si>
  <si>
    <t>Slender Morris Lyon (Drop) Uncoated Wedgewood</t>
  </si>
  <si>
    <t>Slender Morris Lyon (Drop) Uncoated Linen</t>
  </si>
  <si>
    <t>Slender Morris Toulouse (Drop) Uncoated TBA</t>
  </si>
  <si>
    <t>Slender Morris Toulouse (Drop) Uncoated Cream</t>
  </si>
  <si>
    <t>Slender Morris Toulouse (Drop) Uncoated Champagne</t>
  </si>
  <si>
    <t>Slender Morris Toulouse (Drop) Uncoated Camel</t>
  </si>
  <si>
    <t>Slender Morris Toulouse (Drop) Uncoated Indigo</t>
  </si>
  <si>
    <t>Slender Morris Toulouse (Drop) Uncoated Rouge</t>
  </si>
  <si>
    <t>Slender Morris Toulouse (Drop) Uncoated Sage</t>
  </si>
  <si>
    <t>Slender Morris Toulouse (Drop) Uncoated Wedgewood</t>
  </si>
  <si>
    <t>Slender Morris Toulouse (Drop) Uncoated Linen</t>
  </si>
  <si>
    <t>Existing Designer 15 Track</t>
  </si>
  <si>
    <t>Existing Designer 15 Wavefold Track</t>
  </si>
  <si>
    <t>Existing Designer 25 Wavefold Track</t>
  </si>
  <si>
    <t>Hoad Damascus (Drop) Sheer TBA</t>
  </si>
  <si>
    <t>Hoad Damascus (Drop) Sheer White</t>
  </si>
  <si>
    <t>Hoad Damascus (Drop) Sheer Linen</t>
  </si>
  <si>
    <t>Hoad Damascus (Drop) Sheer Silver</t>
  </si>
  <si>
    <t>Hoad Damascus (Drop) Sheer Natural</t>
  </si>
  <si>
    <t>Hoad Damascus (Drop) Sheer Platinum</t>
  </si>
  <si>
    <t>Hoad Damascus (Drop) Sheer Moonlight</t>
  </si>
  <si>
    <t>Hoad Columbia (Continuous) Sheer TBA</t>
  </si>
  <si>
    <t>Hoad Columbia (Continuous) Sheer Ash</t>
  </si>
  <si>
    <t>Hoad Columbia (Continuous) Sheer Dove</t>
  </si>
  <si>
    <t>Hoad Columbia (Continuous) Sheer Foam</t>
  </si>
  <si>
    <t>Hoad Columbia (Continuous) Sheer Pearl</t>
  </si>
  <si>
    <t>Hoad Columbia (Continuous) Sheer Ocean</t>
  </si>
  <si>
    <t>Hoad Columbia (Continuous) Sheer Vapour</t>
  </si>
  <si>
    <t>Hoad Columbia (Continuous) Sheer Granite</t>
  </si>
  <si>
    <t>Hoad Columbia (Drop) Sheer TBA</t>
  </si>
  <si>
    <t>Hoad Columbia (Drop) Sheer Ash</t>
  </si>
  <si>
    <t>Hoad Columbia (Drop) Sheer Dove</t>
  </si>
  <si>
    <t>Hoad Columbia (Drop) Sheer Foam</t>
  </si>
  <si>
    <t>Hoad Columbia (Drop) Sheer Pearl</t>
  </si>
  <si>
    <t>Hoad Columbia (Drop) Sheer Ocean</t>
  </si>
  <si>
    <t>Hoad Columbia (Drop) Sheer Vapour</t>
  </si>
  <si>
    <t>Hoad Columbia (Drop) Sheer Granite</t>
  </si>
  <si>
    <t>Filigree Thermoguard 280cm (Continuous) Lining</t>
  </si>
  <si>
    <t>OFF WHITE</t>
  </si>
  <si>
    <t>Hoad CMB-320 (Continuous) Lining</t>
  </si>
  <si>
    <t>Camel</t>
  </si>
  <si>
    <t>Domino</t>
  </si>
  <si>
    <t>Earth</t>
  </si>
  <si>
    <t>Feather</t>
  </si>
  <si>
    <t>Iron</t>
  </si>
  <si>
    <t>Lava</t>
  </si>
  <si>
    <t>PFP</t>
  </si>
  <si>
    <t>Timber</t>
  </si>
  <si>
    <t>Filigree Thermoguard 320cm (Continuous) Lining</t>
  </si>
  <si>
    <t>Filigree Thermoguard 150cm (Drop) Lining</t>
  </si>
  <si>
    <t>Filigree Thermoguard 280cm (Drop) Lining</t>
  </si>
  <si>
    <t>Laura Ashley Toile (Drop) Uncoated TBA</t>
  </si>
  <si>
    <t>Laura Ashley Toile (Drop) Uncoated Denim</t>
  </si>
  <si>
    <t>Laura Ashley Toile (Drop) Uncoated Blush</t>
  </si>
  <si>
    <t>Laura Ashley Toile (Drop) Uncoated Charcoal</t>
  </si>
  <si>
    <t>Laura Ashley Toile (Drop) Uncoated Ebony</t>
  </si>
  <si>
    <t>Laura Ashley Mathilde Mural (Continuous) Sheer Spring</t>
  </si>
  <si>
    <t>Laura Ashley Mathilde Mural (Continuous) Sheer Shadow</t>
  </si>
  <si>
    <t>Laura Ashley Mathilde Mural (Continuous) Sheer TBA</t>
  </si>
  <si>
    <t>Laura Ashley Pussy Willow (Continuous) Sheer Duck Egg</t>
  </si>
  <si>
    <t>Laura Ashley Pussy Willow (Continuous) Sheer Linen</t>
  </si>
  <si>
    <t>Laura Ashley Pussy Willow (Continuous) Sheer TBA</t>
  </si>
  <si>
    <t>Hoad Astra (Drop) Sheer Stone</t>
  </si>
  <si>
    <t>Hoad Astra (Drop) Sheer Lines</t>
  </si>
  <si>
    <t>Hoad Astra (Drop) Sheer Bone</t>
  </si>
  <si>
    <t>Hoad Astra (Drop) Sheer Cotton</t>
  </si>
  <si>
    <t>Hoad Astra (Drop) Sheer Ivory</t>
  </si>
  <si>
    <t>Hoad Astra (Drop) Sheer White</t>
  </si>
  <si>
    <t>Hoad Astra (Drop) Sheer Onyx</t>
  </si>
  <si>
    <t>Hoad Astra (Drop) Sheer Charcoal</t>
  </si>
  <si>
    <t>Hoad Astra (Drop) Sheer Titanium</t>
  </si>
  <si>
    <t>Hoad Astra (Drop) Sheer Smoke</t>
  </si>
  <si>
    <t>Hoad Astra (Drop) Sheer Quartz</t>
  </si>
  <si>
    <t>Hoad Astra (Drop) Sheer Pewter</t>
  </si>
  <si>
    <t>Hoad Astra (Drop) Sheer TBA</t>
  </si>
  <si>
    <t>Hoad Astra (Drop) Sheer Moonlight</t>
  </si>
  <si>
    <t>Hoad Astra (Drop) Sheer Lunar</t>
  </si>
  <si>
    <t>Hoad Astra (Drop) Sheer Rope</t>
  </si>
  <si>
    <t>Hoad Ayre (Continuous) Sheer Flax</t>
  </si>
  <si>
    <t>Hoad Ayre (Continuous) Sheer Hemp</t>
  </si>
  <si>
    <t>Hoad Ayre (Continuous) Sheer Mist</t>
  </si>
  <si>
    <t>Hoad Ayre (Continuous) Sheer Lunar</t>
  </si>
  <si>
    <t>Hoad Ayre (Continuous) Sheer Twill</t>
  </si>
  <si>
    <t>Hoad Ayre (Continuous) Sheer White</t>
  </si>
  <si>
    <t>Hoad Ayre (Continuous) Sheer Linen</t>
  </si>
  <si>
    <t>Hoad Ayre (Continuous) Sheer Natural</t>
  </si>
  <si>
    <t>Hoad Ayre (Continuous) Sheer Moonlight</t>
  </si>
  <si>
    <t>Hoad Ayre (Continuous) Sheer TBA</t>
  </si>
  <si>
    <t>Slender Morris Picot (Drop) Uncoated Batik</t>
  </si>
  <si>
    <t>Slender Morris Picot (Drop) Uncoated Henna</t>
  </si>
  <si>
    <t>Slender Morris Picot (Drop) Uncoated Sage</t>
  </si>
  <si>
    <t>Slender Morris Picot (Drop) Uncoated Wildrose</t>
  </si>
  <si>
    <t>Slender Morris Picot (Drop) Uncoated TBA</t>
  </si>
  <si>
    <t>Slender Morris Pushkar (Drop) Uncoated Batik</t>
  </si>
  <si>
    <t>Slender Morris Pushkar (Drop) Uncoated Forest</t>
  </si>
  <si>
    <t>Slender Morris Pushkar (Drop) Uncoated Henna</t>
  </si>
  <si>
    <t>Slender Morris Pushkar (Drop) Uncoated Pimento</t>
  </si>
  <si>
    <t>Slender Morris Pushkar (Drop) Uncoated Pistachio</t>
  </si>
  <si>
    <t>Slender Morris Pushkar (Drop) Uncoated Topaz</t>
  </si>
  <si>
    <t>Slender Morris Pushkar (Drop) Uncoated Wildrose</t>
  </si>
  <si>
    <t>Slender Morris Pushkar (Drop) Uncoated TBA</t>
  </si>
  <si>
    <t>Warwick Shiloh (Continuous) Sheer Baltic</t>
  </si>
  <si>
    <t>Warwick Shiloh (Continuous) Sheer Blossom</t>
  </si>
  <si>
    <t>Warwick Shiloh (Continuous) Sheer Butterscotch</t>
  </si>
  <si>
    <t>Warwick Shiloh (Continuous) Sheer Charcoal</t>
  </si>
  <si>
    <t>Warwick Shiloh (Continuous) Sheer Fawn</t>
  </si>
  <si>
    <t>Warwick Shiloh (Continuous) Sheer Grey</t>
  </si>
  <si>
    <t>Warwick Shiloh (Continuous) Sheer Ivory</t>
  </si>
  <si>
    <t>Warwick Shiloh (Continuous) Sheer Lake</t>
  </si>
  <si>
    <t>Warwick Shiloh (Continuous) Sheer Lychee</t>
  </si>
  <si>
    <t>Warwick Shiloh (Continuous) Sheer Mandarin</t>
  </si>
  <si>
    <t>Warwick Shiloh (Continuous) Sheer Mist</t>
  </si>
  <si>
    <t>Warwick Shiloh (Continuous) Sheer Nectar</t>
  </si>
  <si>
    <t>Warwick Shiloh (Continuous) Sheer Onyx</t>
  </si>
  <si>
    <t>Warwick Shiloh (Continuous) Sheer Opal</t>
  </si>
  <si>
    <t>Warwick Shiloh (Continuous) Sheer Pewter</t>
  </si>
  <si>
    <t>Warwick Shiloh (Continuous) Sheer Pistachio</t>
  </si>
  <si>
    <t>Warwick Shiloh (Continuous) Sheer Porcelain</t>
  </si>
  <si>
    <t>Warwick Shiloh (Continuous) Sheer Rosewood</t>
  </si>
  <si>
    <t>Warwick Shiloh (Continuous) Sheer Sage</t>
  </si>
  <si>
    <t>Warwick Shiloh (Continuous) Sheer Snow</t>
  </si>
  <si>
    <t>Warwick Shiloh (Continuous) Sheer Storm</t>
  </si>
  <si>
    <t>Warwick Shiloh (Continuous) Sheer Toffee</t>
  </si>
  <si>
    <t>Warwick Shiloh (Continuous) Sheer TBA</t>
  </si>
  <si>
    <t>Slender Maurice Kain Adorn (Drop) Uncoated Blush</t>
  </si>
  <si>
    <t>Slender Maurice Kain Adorn (Drop) Uncoated Duck Egg</t>
  </si>
  <si>
    <t>Slender Maurice Kain Adorn (Drop) Uncoated Indigo</t>
  </si>
  <si>
    <t>Slender Maurice Kain Adorn (Drop) Uncoated Ochre</t>
  </si>
  <si>
    <t>Slender Maurice Kain Adorn (Drop) Uncoated Storm</t>
  </si>
  <si>
    <t>Slender Maurice Kain Adorn (Drop) Uncoated TBA</t>
  </si>
  <si>
    <t>Slender Morris Fernia (Drop) Uncoated Blue Mist</t>
  </si>
  <si>
    <t>Slender Morris Fernia (Drop) Uncoated Denim</t>
  </si>
  <si>
    <t>Slender Morris Fernia (Drop) Uncoated Dove</t>
  </si>
  <si>
    <t>Slender Morris Fernia (Drop) Uncoated Dusty Pink</t>
  </si>
  <si>
    <t>Slender Morris Fernia (Drop) Uncoated Fern</t>
  </si>
  <si>
    <t>Slender Morris Fernia (Drop) Uncoated Mushroom</t>
  </si>
  <si>
    <t>Slender Morris Fernia (Drop) Uncoated Mustard</t>
  </si>
  <si>
    <t>Slender Morris Fernia (Drop) Uncoated Rosa</t>
  </si>
  <si>
    <t>Slender Morris Fernia (Drop) Uncoated TBA</t>
  </si>
  <si>
    <t xml:space="preserve"> 768</t>
  </si>
  <si>
    <t xml:space="preserve"> 960</t>
  </si>
  <si>
    <t xml:space="preserve"> 1152</t>
  </si>
  <si>
    <t xml:space="preserve"> 1344</t>
  </si>
  <si>
    <t xml:space="preserve"> 1536</t>
  </si>
  <si>
    <t xml:space="preserve"> 1728</t>
  </si>
  <si>
    <t xml:space="preserve"> 1920</t>
  </si>
  <si>
    <t xml:space="preserve"> 2112</t>
  </si>
  <si>
    <t xml:space="preserve"> 2304</t>
  </si>
  <si>
    <t xml:space="preserve"> 2496</t>
  </si>
  <si>
    <t xml:space="preserve"> 2688</t>
  </si>
  <si>
    <t xml:space="preserve"> 2880</t>
  </si>
  <si>
    <t xml:space="preserve"> 3072</t>
  </si>
  <si>
    <t xml:space="preserve"> 3264</t>
  </si>
  <si>
    <t xml:space="preserve"> 3456</t>
  </si>
  <si>
    <t xml:space="preserve"> 3648</t>
  </si>
  <si>
    <t xml:space="preserve"> 3840</t>
  </si>
  <si>
    <t xml:space="preserve"> 4032</t>
  </si>
  <si>
    <t xml:space="preserve"> 4224</t>
  </si>
  <si>
    <t xml:space="preserve"> 4416</t>
  </si>
  <si>
    <t xml:space="preserve"> 4608</t>
  </si>
  <si>
    <t xml:space="preserve"> 4800</t>
  </si>
  <si>
    <t xml:space="preserve"> 4992</t>
  </si>
  <si>
    <t xml:space="preserve"> 5184</t>
  </si>
  <si>
    <t xml:space="preserve"> 5376</t>
  </si>
  <si>
    <t xml:space="preserve"> 5568</t>
  </si>
  <si>
    <t xml:space="preserve"> 5760</t>
  </si>
  <si>
    <t xml:space="preserve"> 864</t>
  </si>
  <si>
    <t xml:space="preserve"> 1080</t>
  </si>
  <si>
    <t xml:space="preserve"> 1296</t>
  </si>
  <si>
    <t xml:space="preserve"> 1512</t>
  </si>
  <si>
    <t xml:space="preserve"> 1944</t>
  </si>
  <si>
    <t xml:space="preserve"> 2160</t>
  </si>
  <si>
    <t xml:space="preserve"> 2376</t>
  </si>
  <si>
    <t xml:space="preserve"> 2592</t>
  </si>
  <si>
    <t xml:space="preserve"> 2808</t>
  </si>
  <si>
    <t xml:space="preserve"> 3024</t>
  </si>
  <si>
    <t xml:space="preserve"> 3240</t>
  </si>
  <si>
    <t xml:space="preserve"> 3672</t>
  </si>
  <si>
    <t xml:space="preserve"> 3888</t>
  </si>
  <si>
    <t xml:space="preserve"> 4104</t>
  </si>
  <si>
    <t xml:space="preserve"> 4320</t>
  </si>
  <si>
    <t xml:space="preserve"> 4536</t>
  </si>
  <si>
    <t xml:space="preserve"> 4752</t>
  </si>
  <si>
    <t xml:space="preserve"> 4968</t>
  </si>
  <si>
    <t xml:space="preserve"> 5400</t>
  </si>
  <si>
    <t xml:space="preserve"> 5616</t>
  </si>
  <si>
    <t xml:space="preserve"> 5832</t>
  </si>
  <si>
    <t xml:space="preserve"> 6048</t>
  </si>
  <si>
    <t xml:space="preserve"> 6264</t>
  </si>
  <si>
    <t xml:space="preserve"> 6480</t>
  </si>
  <si>
    <t xml:space="preserve"> 6696</t>
  </si>
  <si>
    <t xml:space="preserve"> 6912</t>
  </si>
  <si>
    <t xml:space="preserve"> 7128</t>
  </si>
  <si>
    <t xml:space="preserve"> 7344</t>
  </si>
  <si>
    <t xml:space="preserve"> 7560</t>
  </si>
  <si>
    <t xml:space="preserve"> 7776</t>
  </si>
  <si>
    <t xml:space="preserve"> 7992</t>
  </si>
  <si>
    <t xml:space="preserve"> 8208</t>
  </si>
  <si>
    <t xml:space="preserve"> 8424</t>
  </si>
  <si>
    <t xml:space="preserve"> 8640</t>
  </si>
  <si>
    <t xml:space="preserve"> 8856</t>
  </si>
  <si>
    <t xml:space="preserve"> 9072</t>
  </si>
  <si>
    <t xml:space="preserve"> 9288</t>
  </si>
  <si>
    <t xml:space="preserve"> 9504</t>
  </si>
  <si>
    <t xml:space="preserve"> 9720</t>
  </si>
  <si>
    <t xml:space="preserve"> 9936</t>
  </si>
  <si>
    <t xml:space="preserve"> 10152</t>
  </si>
  <si>
    <t xml:space="preserve"> 10368</t>
  </si>
  <si>
    <t xml:space="preserve"> 10584</t>
  </si>
  <si>
    <t xml:space="preserve"> 10800</t>
  </si>
  <si>
    <t xml:space="preserve"> 11016</t>
  </si>
  <si>
    <t xml:space="preserve"> 11232</t>
  </si>
  <si>
    <t xml:space="preserve"> 11448</t>
  </si>
  <si>
    <t xml:space="preserve"> 11880</t>
  </si>
  <si>
    <t>2 x 768</t>
  </si>
  <si>
    <t>2 x 960</t>
  </si>
  <si>
    <t>2 x 1152</t>
  </si>
  <si>
    <t>2 x 1344</t>
  </si>
  <si>
    <t>2 x 1536</t>
  </si>
  <si>
    <t>2 x 1728</t>
  </si>
  <si>
    <t>2 x 1920</t>
  </si>
  <si>
    <t>2 x 2112</t>
  </si>
  <si>
    <t>2 x 2304</t>
  </si>
  <si>
    <t>2 x 2496</t>
  </si>
  <si>
    <t>2 x 2688</t>
  </si>
  <si>
    <t>2 x 2880</t>
  </si>
  <si>
    <t>2 x 3072</t>
  </si>
  <si>
    <t>2 x 3264</t>
  </si>
  <si>
    <t>2 x 3456</t>
  </si>
  <si>
    <t>2 x 3648</t>
  </si>
  <si>
    <t>2 x 3840</t>
  </si>
  <si>
    <t>2 x 4032</t>
  </si>
  <si>
    <t>2 x 4224</t>
  </si>
  <si>
    <t>2 x 4416</t>
  </si>
  <si>
    <t>2 x 4608</t>
  </si>
  <si>
    <t>2 x 4800</t>
  </si>
  <si>
    <t>2 x 4992</t>
  </si>
  <si>
    <t>2 x 5184</t>
  </si>
  <si>
    <t>2 x 5376</t>
  </si>
  <si>
    <t>2 x 5568</t>
  </si>
  <si>
    <t>2 x 5760</t>
  </si>
  <si>
    <t>2 x 5952</t>
  </si>
  <si>
    <t>2 x 6144</t>
  </si>
  <si>
    <t>2 x 6336</t>
  </si>
  <si>
    <t>2 x 6528</t>
  </si>
  <si>
    <t>2 x 6720</t>
  </si>
  <si>
    <t>2 x 6912</t>
  </si>
  <si>
    <t>2 x 7104</t>
  </si>
  <si>
    <t>2 x 7296</t>
  </si>
  <si>
    <t>2 x 7488</t>
  </si>
  <si>
    <t>2 x 7680</t>
  </si>
  <si>
    <t>2 x 7872</t>
  </si>
  <si>
    <t>2 x 8064</t>
  </si>
  <si>
    <t>2 x 8256</t>
  </si>
  <si>
    <t>2 x 8448</t>
  </si>
  <si>
    <t>2 x 8640</t>
  </si>
  <si>
    <t>2 x 8832</t>
  </si>
  <si>
    <t>2 x 9024</t>
  </si>
  <si>
    <t>2 x 9216</t>
  </si>
  <si>
    <t>2 x 9408</t>
  </si>
  <si>
    <t>2 x 9600</t>
  </si>
  <si>
    <t>2 x 9792</t>
  </si>
  <si>
    <t>2 x 9984</t>
  </si>
  <si>
    <t>2 x 10176</t>
  </si>
  <si>
    <t>2 x 10368</t>
  </si>
  <si>
    <t>2 x 10560</t>
  </si>
  <si>
    <t>2 x 10752</t>
  </si>
  <si>
    <t>2 x 864</t>
  </si>
  <si>
    <t>2 x 1080</t>
  </si>
  <si>
    <t>2 x 1296</t>
  </si>
  <si>
    <t>2 x 1512</t>
  </si>
  <si>
    <t>2 x 1944</t>
  </si>
  <si>
    <t>2 x 2160</t>
  </si>
  <si>
    <t>2 x 2376</t>
  </si>
  <si>
    <t>2 x 2592</t>
  </si>
  <si>
    <t>2 x 2808</t>
  </si>
  <si>
    <t>2 x 3024</t>
  </si>
  <si>
    <t>2 x 3240</t>
  </si>
  <si>
    <t>2 x 3672</t>
  </si>
  <si>
    <t>2 x 3888</t>
  </si>
  <si>
    <t>2 x 4104</t>
  </si>
  <si>
    <t>2 x 4320</t>
  </si>
  <si>
    <t>2 x 4536</t>
  </si>
  <si>
    <t>2 x 4752</t>
  </si>
  <si>
    <t>2 x 4968</t>
  </si>
  <si>
    <t>2 x 5400</t>
  </si>
  <si>
    <t>2 x 5616</t>
  </si>
  <si>
    <t>2 x 5832</t>
  </si>
  <si>
    <t>2 x 6048</t>
  </si>
  <si>
    <t>2 x 6264</t>
  </si>
  <si>
    <t>2 x 6480</t>
  </si>
  <si>
    <t xml:space="preserve"> 1350</t>
  </si>
  <si>
    <t xml:space="preserve"> 1620</t>
  </si>
  <si>
    <t xml:space="preserve"> 1890</t>
  </si>
  <si>
    <t xml:space="preserve"> 2430</t>
  </si>
  <si>
    <t xml:space="preserve"> 2700</t>
  </si>
  <si>
    <t xml:space="preserve"> 2970</t>
  </si>
  <si>
    <t xml:space="preserve"> 3510</t>
  </si>
  <si>
    <t xml:space="preserve"> 3780</t>
  </si>
  <si>
    <t xml:space="preserve"> 4050</t>
  </si>
  <si>
    <t xml:space="preserve"> 4590</t>
  </si>
  <si>
    <t xml:space="preserve"> 4860</t>
  </si>
  <si>
    <t xml:space="preserve"> 5130</t>
  </si>
  <si>
    <t xml:space="preserve"> 5670</t>
  </si>
  <si>
    <t xml:space="preserve"> 5940</t>
  </si>
  <si>
    <t xml:space="preserve"> 6210</t>
  </si>
  <si>
    <t xml:space="preserve"> 6750</t>
  </si>
  <si>
    <t xml:space="preserve"> 7020</t>
  </si>
  <si>
    <t xml:space="preserve"> 7290</t>
  </si>
  <si>
    <t xml:space="preserve"> 7830</t>
  </si>
  <si>
    <t xml:space="preserve"> 8100</t>
  </si>
  <si>
    <t xml:space="preserve"> 8370</t>
  </si>
  <si>
    <t xml:space="preserve"> 8910</t>
  </si>
  <si>
    <t xml:space="preserve"> 9180</t>
  </si>
  <si>
    <t xml:space="preserve"> 9450</t>
  </si>
  <si>
    <t xml:space="preserve"> 9990</t>
  </si>
  <si>
    <t xml:space="preserve"> 10260</t>
  </si>
  <si>
    <t xml:space="preserve"> 10530</t>
  </si>
  <si>
    <t xml:space="preserve"> 11070</t>
  </si>
  <si>
    <t xml:space="preserve"> 11340</t>
  </si>
  <si>
    <t xml:space="preserve"> 11610</t>
  </si>
  <si>
    <t xml:space="preserve"> 12150</t>
  </si>
  <si>
    <t xml:space="preserve"> 12420</t>
  </si>
  <si>
    <t xml:space="preserve"> 12690</t>
  </si>
  <si>
    <t xml:space="preserve"> 12960</t>
  </si>
  <si>
    <t xml:space="preserve"> 13230</t>
  </si>
  <si>
    <t xml:space="preserve"> 13500</t>
  </si>
  <si>
    <t xml:space="preserve"> 13770</t>
  </si>
  <si>
    <t xml:space="preserve"> 14040</t>
  </si>
  <si>
    <t xml:space="preserve"> 14310</t>
  </si>
  <si>
    <t xml:space="preserve"> 14580</t>
  </si>
  <si>
    <t xml:space="preserve"> 14850</t>
  </si>
  <si>
    <t xml:space="preserve"> 15120</t>
  </si>
  <si>
    <t>2 x 1350</t>
  </si>
  <si>
    <t>2 x 1620</t>
  </si>
  <si>
    <t>2 x 1890</t>
  </si>
  <si>
    <t>2 x 2430</t>
  </si>
  <si>
    <t>2 x 2700</t>
  </si>
  <si>
    <t>2 x 2970</t>
  </si>
  <si>
    <t>2 x 3510</t>
  </si>
  <si>
    <t>2 x 3780</t>
  </si>
  <si>
    <t>2 x 4050</t>
  </si>
  <si>
    <t>2 x 4590</t>
  </si>
  <si>
    <t>2 x 4860</t>
  </si>
  <si>
    <t>2 x 5130</t>
  </si>
  <si>
    <t>2 x 5670</t>
  </si>
  <si>
    <t>2 x 5940</t>
  </si>
  <si>
    <t>2 x 6210</t>
  </si>
  <si>
    <t>2 x 6750</t>
  </si>
  <si>
    <t>2 x 7020</t>
  </si>
  <si>
    <t>2 x 7290</t>
  </si>
  <si>
    <t>2 x 7560</t>
  </si>
  <si>
    <t>2 x 7830</t>
  </si>
  <si>
    <t>2 x 8100</t>
  </si>
  <si>
    <t>2 x 8370</t>
  </si>
  <si>
    <t>2 x 8910</t>
  </si>
  <si>
    <t>2 x 9180</t>
  </si>
  <si>
    <t>2 x 9450</t>
  </si>
  <si>
    <t>2 x 9720</t>
  </si>
  <si>
    <t>2 x 9990</t>
  </si>
  <si>
    <t>2 x 10260</t>
  </si>
  <si>
    <t>2 x 10530</t>
  </si>
  <si>
    <t>2 x 10800</t>
  </si>
  <si>
    <t>2 x 11070</t>
  </si>
  <si>
    <t>2 x 11340</t>
  </si>
  <si>
    <t>2 x 11610</t>
  </si>
  <si>
    <t>2 x 11880</t>
  </si>
  <si>
    <t>2 x 12150</t>
  </si>
  <si>
    <t>2 x 12420</t>
  </si>
  <si>
    <t>2 x 12690</t>
  </si>
  <si>
    <t>2 x 12960</t>
  </si>
  <si>
    <t>2 x 13230</t>
  </si>
  <si>
    <t>2 x 13500</t>
  </si>
  <si>
    <t>2 x 13770</t>
  </si>
  <si>
    <t>2 x 14040</t>
  </si>
  <si>
    <t>2 x 14310</t>
  </si>
  <si>
    <t>2 x 14580</t>
  </si>
  <si>
    <t>2 x 14850</t>
  </si>
  <si>
    <t>2 x 15120</t>
  </si>
  <si>
    <t>No Lining</t>
  </si>
  <si>
    <t>Charles Parsons Karo (Continuous) Uncoated Alloy</t>
  </si>
  <si>
    <t>Charles Parsons Karo (Continuous) Uncoated Haze</t>
  </si>
  <si>
    <t>Charles Parsons Karo (Continuous) Uncoated Icicle</t>
  </si>
  <si>
    <t>Charles Parsons Karo (Continuous) Uncoated Lino</t>
  </si>
  <si>
    <t>Charles Parsons Karo (Continuous) Uncoated Midnight</t>
  </si>
  <si>
    <t>Charles Parsons Karo (Continuous) Uncoated Punch</t>
  </si>
  <si>
    <t>Charles Parsons Karo (Continuous) Uncoated Snow</t>
  </si>
  <si>
    <t>Charles Parsons Karo (Continuous) Uncoated Storm</t>
  </si>
  <si>
    <t>Charles Parsons Karo (Continuous) Uncoated TBA</t>
  </si>
  <si>
    <t>Hoad Botanical (Drop) Uncoated Linen</t>
  </si>
  <si>
    <t>23% Cotton/43% Polyester/34%Linen</t>
  </si>
  <si>
    <t>Hoad Botanical (Drop) Uncoated TBA</t>
  </si>
  <si>
    <t>Warwick Valentina (Drop) Uncoated Bone</t>
  </si>
  <si>
    <t>53% Polyester 47% Cotton</t>
  </si>
  <si>
    <t>Warwick Valentina (Drop) Uncoated Mercury</t>
  </si>
  <si>
    <t>Warwick Valentina (Drop) Uncoated Mink</t>
  </si>
  <si>
    <t>Warwick Valentina (Drop) Uncoated Nougat</t>
  </si>
  <si>
    <t>Warwick Valentina (Drop) Uncoated Pewter</t>
  </si>
  <si>
    <t>Warwick Valentina (Drop) Uncoated Sandstone</t>
  </si>
  <si>
    <t>Warwick Valentina (Drop) Uncoated TBA</t>
  </si>
  <si>
    <t>Laura Ashley Pointon Fields (Drop) Sheer Multi</t>
  </si>
  <si>
    <t>Laura Ashley Pointon Fields (Drop) Sheer TBA</t>
  </si>
  <si>
    <t>Existing Versatrak 25 Rod with Rings</t>
  </si>
  <si>
    <t>Hoad Zenith (Continuous) Sheer Pearl</t>
  </si>
  <si>
    <t>Hoad Zenith (Continuous) Sheer Linen</t>
  </si>
  <si>
    <t>Hoad Zenith (Continuous) Sheer Latte</t>
  </si>
  <si>
    <t>Hoad Zenith (Continuous) Sheer Stucco</t>
  </si>
  <si>
    <t>Hoad Zenith (Continuous) Sheer Pepper</t>
  </si>
  <si>
    <t>Hoad Zenith (Continuous) Sheer Natural</t>
  </si>
  <si>
    <t>Hoad Zenith (Continuous) Sheer Feather</t>
  </si>
  <si>
    <t>Hoad Zenith (Continuous) Sheer TBA</t>
  </si>
  <si>
    <t>Charles Parsons Hempstead (Drop) Uncoated Linen</t>
  </si>
  <si>
    <t>Charles Parsons Hempstead (Drop) Uncoated Navy</t>
  </si>
  <si>
    <t>Charles Parsons Hempstead (Drop) Uncoated Silver</t>
  </si>
  <si>
    <t>Charles Parsons Hempstead (Drop) Uncoated Wedgewood</t>
  </si>
  <si>
    <t>Charles Parsons Hempstead (Drop) Uncoated TBA</t>
  </si>
  <si>
    <t>Warwick Inverloch (Continuous) Uncoated Albaster</t>
  </si>
  <si>
    <t>82% Recycled Polyester 18 Polyester</t>
  </si>
  <si>
    <t>Warwick Inverloch (Continuous) Uncoated Angora</t>
  </si>
  <si>
    <t>Warwick Inverloch (Continuous) Uncoated Blossom</t>
  </si>
  <si>
    <t>Warwick Inverloch (Continuous) Uncoated Dune</t>
  </si>
  <si>
    <t>Warwick Inverloch (Continuous) Uncoated Fossil</t>
  </si>
  <si>
    <t>Warwick Inverloch (Continuous) Uncoated Gunmetal</t>
  </si>
  <si>
    <t>Warwick Inverloch (Continuous) Uncoated Ink</t>
  </si>
  <si>
    <t>Warwick Inverloch (Continuous) Uncoated Laurel</t>
  </si>
  <si>
    <t>Warwick Inverloch (Continuous) Uncoated Linen</t>
  </si>
  <si>
    <t>Warwick Inverloch (Continuous) Uncoated Mist</t>
  </si>
  <si>
    <t>Warwick Inverloch (Continuous) Uncoated Sand</t>
  </si>
  <si>
    <t>Warwick Inverloch (Continuous) Uncoated Silver</t>
  </si>
  <si>
    <t>Warwick Inverloch (Continuous) Uncoated Snow</t>
  </si>
  <si>
    <t>Warwick Inverloch (Continuous) Uncoated Steel</t>
  </si>
  <si>
    <t>Warwick Inverloch (Continuous) Uncoated Terracotta</t>
  </si>
  <si>
    <t>Warwick Inverloch (Continuous) Uncoated TBA</t>
  </si>
  <si>
    <t>Charles Parsons Athina (Drop) Uncoated Admiral</t>
  </si>
  <si>
    <t>Charles Parsons Athina (Drop) Uncoated Airforce</t>
  </si>
  <si>
    <t>Charles Parsons Athina (Drop) Uncoated Bluestone 57</t>
  </si>
  <si>
    <t>Charles Parsons Athina (Drop) Uncoated Bone</t>
  </si>
  <si>
    <t>Charles Parsons Athina (Drop) Uncoated Burgundy</t>
  </si>
  <si>
    <t>Charles Parsons Athina (Drop) Uncoated Charcoal</t>
  </si>
  <si>
    <t>Charles Parsons Athina (Drop) Uncoated Chocolate</t>
  </si>
  <si>
    <t>Charles Parsons Athina (Drop) Uncoated Conifer</t>
  </si>
  <si>
    <t>Charles Parsons Athina (Drop) Uncoated Forest</t>
  </si>
  <si>
    <t>Charles Parsons Athina (Drop) Uncoated Marlin</t>
  </si>
  <si>
    <t>Charles Parsons Athina (Drop) Uncoated Merlot</t>
  </si>
  <si>
    <t>Charles Parsons Athina (Drop) Uncoated Moleskin</t>
  </si>
  <si>
    <t>Charles Parsons Athina (Drop) Uncoated Panther</t>
  </si>
  <si>
    <t>Charles Parsons Athina (Drop) Uncoated Peacock</t>
  </si>
  <si>
    <t>Charles Parsons Athina (Drop) Uncoated Platinum</t>
  </si>
  <si>
    <t>Charles Parsons Athina (Drop) Uncoated Scarlet</t>
  </si>
  <si>
    <t>Charles Parsons Athina (Drop) Uncoated Silver</t>
  </si>
  <si>
    <t>Charles Parsons Athina (Drop) Uncoated Slate</t>
  </si>
  <si>
    <t>Charles Parsons Athina (Drop) Uncoated Snow</t>
  </si>
  <si>
    <t>Charles Parsons Athina (Drop) Uncoated Spruce</t>
  </si>
  <si>
    <t>Charles Parsons Athina (Drop) Uncoated Surf</t>
  </si>
  <si>
    <t>Charles Parsons Athina (Drop) Uncoated Taupe</t>
  </si>
  <si>
    <t>Charles Parsons Athina (Drop) Uncoated Terracotta</t>
  </si>
  <si>
    <t>Charles Parsons Athina (Drop) Uncoated TBA</t>
  </si>
  <si>
    <t>Hoad Stokes (Drop) Uncoated Linen</t>
  </si>
  <si>
    <t xml:space="preserve"> 23%Cotton/ 44%Polyester/ 33%Linen</t>
  </si>
  <si>
    <t>Hoad Stokes (Drop) Uncoated TBA</t>
  </si>
  <si>
    <t>Zepel Allusion (Continuous) Uncoated Aqua</t>
  </si>
  <si>
    <t>Zepel Allusion (Continuous) Uncoated Blossom</t>
  </si>
  <si>
    <t>Zepel Allusion (Continuous) Uncoated Café</t>
  </si>
  <si>
    <t>Zepel Allusion (Continuous) Uncoated Cascade</t>
  </si>
  <si>
    <t>Zepel Allusion (Continuous) Uncoated Cookie</t>
  </si>
  <si>
    <t>Zepel Allusion (Continuous) Uncoated Cream</t>
  </si>
  <si>
    <t>Zepel Allusion (Continuous) Uncoated Feather</t>
  </si>
  <si>
    <t>Zepel Allusion (Continuous) Uncoated Fern</t>
  </si>
  <si>
    <t>Zepel Allusion (Continuous) Uncoated Fossil</t>
  </si>
  <si>
    <t>Zepel Allusion (Continuous) Uncoated Gargoyle</t>
  </si>
  <si>
    <t>Zepel Allusion (Continuous) Uncoated Limestone</t>
  </si>
  <si>
    <t>Zepel Allusion (Continuous) Uncoated Linen</t>
  </si>
  <si>
    <t>Zepel Allusion (Continuous) Uncoated Liquorice</t>
  </si>
  <si>
    <t>Zepel Allusion (Continuous) Uncoated Marzipan</t>
  </si>
  <si>
    <t>Zepel Allusion (Continuous) Uncoated Mushroom</t>
  </si>
  <si>
    <t>Zepel Allusion (Continuous) Uncoated Nougat</t>
  </si>
  <si>
    <t>Zepel Allusion (Continuous) Uncoated Nut</t>
  </si>
  <si>
    <t>Zepel Allusion (Continuous) Uncoated Papyrus</t>
  </si>
  <si>
    <t>Zepel Allusion (Continuous) Uncoated Parma</t>
  </si>
  <si>
    <t>Zepel Allusion (Continuous) Uncoated Pistachio</t>
  </si>
  <si>
    <t>Zepel Allusion (Continuous) Uncoated Putty</t>
  </si>
  <si>
    <t>Zepel Allusion (Continuous) Uncoated Rattan</t>
  </si>
  <si>
    <t>Zepel Allusion (Continuous) Uncoated Seagrass</t>
  </si>
  <si>
    <t>Zepel Allusion (Continuous) Uncoated Sesame</t>
  </si>
  <si>
    <t>Zepel Allusion (Continuous) Uncoated Silver</t>
  </si>
  <si>
    <t>Zepel Allusion (Continuous) Uncoated Sky</t>
  </si>
  <si>
    <t>Zepel Allusion (Continuous) Uncoated Stucco</t>
  </si>
  <si>
    <t>Zepel Allusion (Continuous) Uncoated Sunflower</t>
  </si>
  <si>
    <t>Zepel Allusion (Continuous) Uncoated TBA</t>
  </si>
  <si>
    <t>Maurice Kain Williamsburg (Drop) Sheer Snow</t>
  </si>
  <si>
    <t>Maurice Kain Williamsburg (Drop) Sheer Chalk</t>
  </si>
  <si>
    <t>Maurice Kain Williamsburg (Drop) Sheer Birch</t>
  </si>
  <si>
    <t>Maurice Kain Williamsburg (Drop) Sheer Sand</t>
  </si>
  <si>
    <t>Maurice Kain Williamsburg (Drop) Sheer Stone</t>
  </si>
  <si>
    <t>Maurice Kain Williamsburg (Drop) Sheer Woodland</t>
  </si>
  <si>
    <t>Maurice Kain Williamsburg (Drop) Sheer Cloud</t>
  </si>
  <si>
    <t>Maurice Kain Williamsburg (Drop) Sheer Concrete</t>
  </si>
  <si>
    <t>Maurice Kain Williamsburg (Drop) Sheer Smoke</t>
  </si>
  <si>
    <t>Maurice Kain Williamsburg (Drop) Sheer Granite</t>
  </si>
  <si>
    <t>Maurice Kain Williamsburg (Drop) Sheer Ash</t>
  </si>
  <si>
    <t>Maurice Kain Williamsburg (Drop) Sheer TBA</t>
  </si>
  <si>
    <t>Warwick Taree (Continuous) Sheer Optic</t>
  </si>
  <si>
    <t>Zepel Twirler (Continuous) Sheer Angora</t>
  </si>
  <si>
    <t>3080</t>
  </si>
  <si>
    <t>74% Recycled Polyester 26% Linen</t>
  </si>
  <si>
    <t>Zepel Twirler (Continuous) Sheer Blossom</t>
  </si>
  <si>
    <t>Zepel Twirler (Continuous) Sheer Charcoal</t>
  </si>
  <si>
    <t>Zepel Twirler (Continuous) Sheer Chinchilla</t>
  </si>
  <si>
    <t>Zepel Twirler (Continuous) Sheer Denim</t>
  </si>
  <si>
    <t>Zepel Twirler (Continuous) Sheer Dice</t>
  </si>
  <si>
    <t>Zepel Twirler (Continuous) Sheer Dune</t>
  </si>
  <si>
    <t>Zepel Twirler (Continuous) Sheer Funghi</t>
  </si>
  <si>
    <t>Zepel Twirler (Continuous) Sheer Limestone</t>
  </si>
  <si>
    <t>Zepel Twirler (Continuous) Sheer Linen</t>
  </si>
  <si>
    <t>Zepel Twirler (Continuous) Sheer Metal</t>
  </si>
  <si>
    <t>Zepel Twirler (Continuous) Sheer Mink</t>
  </si>
  <si>
    <t>Zepel Twirler (Continuous) Sheer Pear</t>
  </si>
  <si>
    <t>Zepel Twirler (Continuous) Sheer Plaza</t>
  </si>
  <si>
    <t>Zepel Twirler (Continuous) Sheer Shark</t>
  </si>
  <si>
    <t>Zepel Twirler (Continuous) Sheer Silver</t>
  </si>
  <si>
    <t>Zepel Twirler (Continuous) Sheer Sky</t>
  </si>
  <si>
    <t>Zepel Twirler (Continuous) Sheer Snow</t>
  </si>
  <si>
    <t>Zepel Twirler (Continuous) Sheer Whisper</t>
  </si>
  <si>
    <t>Zepel Twirler (Continuous) Sheer TBA</t>
  </si>
  <si>
    <t>Raffles Sirocco (Continuous) Sheer Ivory</t>
  </si>
  <si>
    <t>77% Linen 23% Polyester</t>
  </si>
  <si>
    <t>Raffles Sirocco (Continuous) Sheer Natural</t>
  </si>
  <si>
    <t>Raffles Sirocco (Continuous) Sheer TBA</t>
  </si>
  <si>
    <t>Warwick Marbella (Drop) Uncoated Eucalyptus</t>
  </si>
  <si>
    <t>85% cotton, 15% linen</t>
  </si>
  <si>
    <t>Warwick Marbella (Drop) Uncoated Grey</t>
  </si>
  <si>
    <t>Warwick Marbella (Drop) Uncoated Ink</t>
  </si>
  <si>
    <t>Warwick Marbella (Drop) Uncoated Natural</t>
  </si>
  <si>
    <t>Warwick Marbella (Drop) Uncoated Ochre</t>
  </si>
  <si>
    <t>Warwick Marbella (Drop) Uncoated Sky</t>
  </si>
  <si>
    <t>Warwick Marbella (Drop) Uncoated Terracotta</t>
  </si>
  <si>
    <t>Warwick Marbella (Drop) Uncoated TBA</t>
  </si>
  <si>
    <t>Maurice Kain Frontier (Drop) Uncoated Charcoal</t>
  </si>
  <si>
    <t>Poly / Cotton / Linen</t>
  </si>
  <si>
    <t xml:space="preserve">Maurice Kain Frontier (Drop) Uncoated Silver </t>
  </si>
  <si>
    <t>Maurice Kain Frontier (Drop) Uncoated Earth</t>
  </si>
  <si>
    <t>Maurice Kain Frontier (Drop) Uncoated Ivory</t>
  </si>
  <si>
    <t>Maurice Kain Frontier (Drop) Uncoated Linen</t>
  </si>
  <si>
    <t>Maurice Kain Frontier (Drop) Uncoated TBA</t>
  </si>
  <si>
    <t>Maurice Kain Hinterland (Drop) Uncoated Charcoal</t>
  </si>
  <si>
    <t>Maurice Kain Hinterland (Drop) Uncoated Silver</t>
  </si>
  <si>
    <t>Maurice Kain Hinterland (Drop) Uncoated Earth</t>
  </si>
  <si>
    <t>Maurice Kain Hinterland (Drop) Uncoated Ivory</t>
  </si>
  <si>
    <t>Maurice Kain Hinterland (Drop) Uncoated Linen</t>
  </si>
  <si>
    <t>Maurice Kain Hinterland (Drop) Uncoated TBA</t>
  </si>
  <si>
    <t>Hoad Capri (Continuous) Sheer Alabaster</t>
  </si>
  <si>
    <t>Hoad Capri (Continuous) Sheer Latte</t>
  </si>
  <si>
    <t>Hoad Capri (Continuous) Sheer Birch</t>
  </si>
  <si>
    <t xml:space="preserve">Hoad Capri (Continuous) Sheer Chalk </t>
  </si>
  <si>
    <t>Hoad Capri (Continuous) Sheer Cloud</t>
  </si>
  <si>
    <t>Hoad Capri (Continuous) Sheer Gravel</t>
  </si>
  <si>
    <t>Hoad Capri (Continuous) Sheer Mineral</t>
  </si>
  <si>
    <t>Hoad Capri (Continuous) Sheer Sand</t>
  </si>
  <si>
    <t>Hoad Capri (Continuous) Sheer Oatmeal</t>
  </si>
  <si>
    <t>Hoad Capri (Continuous) Sheer Putty</t>
  </si>
  <si>
    <t>Hoad Capri (Continuous) Sheer Stucco</t>
  </si>
  <si>
    <t>Fabric Allowance 140cm wide $50 per metre (Drop) TBA</t>
  </si>
  <si>
    <t>Fabric Allowance 300cm wide $38 per metre (Continuous) TBA</t>
  </si>
  <si>
    <t>Fabric Allowance 300cm wide $38 per metre (Drop) TBA</t>
  </si>
  <si>
    <t>Maurice Kain Odin (Continuous) Sheer Milk</t>
  </si>
  <si>
    <t>Maurice Kain Odin (Continuous) Sheer Ecru</t>
  </si>
  <si>
    <t>Maurice Kain Odin (Continuous) Sheer Stone</t>
  </si>
  <si>
    <t>Maurice Kain Odin (Continuous) Sheer Bisque</t>
  </si>
  <si>
    <t>Maurice Kain Odin (Continuous) Sheer Fossil</t>
  </si>
  <si>
    <t>Maurice Kain Odin (Continuous) Sheer Earth</t>
  </si>
  <si>
    <t>Maurice Kain Odin (Continuous) Sheer Silver</t>
  </si>
  <si>
    <t>Maurice Kain Odin (Continuous) Sheer Midnight</t>
  </si>
  <si>
    <t>Maurice Kain Odin (Continuous) Sheer Charcoal</t>
  </si>
  <si>
    <t>Maurice Kain Formation (Continuous) Sheer Ice</t>
  </si>
  <si>
    <t>Maurice Kain Formation (Continuous) Sheer Chalk</t>
  </si>
  <si>
    <t>Maurice Kain Formation (Continuous) Sheer Nougat</t>
  </si>
  <si>
    <t>Maurice Kain Formation (Continuous) Sheer Stone</t>
  </si>
  <si>
    <t>Maurice Kain Formation (Continuous) Sheer Cloud</t>
  </si>
  <si>
    <t>Maurice Kain Formation (Continuous) Sheer Dove</t>
  </si>
  <si>
    <t>Maurice Kain Formation (Continuous) Sheer Slate</t>
  </si>
  <si>
    <t>Maurice Kain Formation (Continuous) Sheer Black</t>
  </si>
  <si>
    <t>Maurice Kain Formation (Continuous) Sheer TBA</t>
  </si>
  <si>
    <t>Zepel Zeal (Continuous) Sheer Buff</t>
  </si>
  <si>
    <t>3040</t>
  </si>
  <si>
    <t>75% Recycled Polyester 25% Polyester</t>
  </si>
  <si>
    <t>Zepel Zeal (Continuous) Sheer Cream</t>
  </si>
  <si>
    <t>Zepel Zeal (Continuous) Sheer Jungle</t>
  </si>
  <si>
    <t>Zepel Zeal (Continuous) Sheer Limestone</t>
  </si>
  <si>
    <t>Zepel Zeal (Continuous) Sheer Linen</t>
  </si>
  <si>
    <t>Zepel Zeal (Continuous) Sheer Marble</t>
  </si>
  <si>
    <t>Zepel Zeal (Continuous) Sheer Navy</t>
  </si>
  <si>
    <t>Zepel Zeal (Continuous) Sheer Petal</t>
  </si>
  <si>
    <t>Zepel Zeal (Continuous) Sheer Raven</t>
  </si>
  <si>
    <t>Zepel Zeal (Continuous) Sheer Sand</t>
  </si>
  <si>
    <t>Zepel Zeal (Continuous) Sheer Silver</t>
  </si>
  <si>
    <t>Zepel Zeal (Continuous) Sheer Sky</t>
  </si>
  <si>
    <t>Zepel Zeal (Continuous) Sheer Snow</t>
  </si>
  <si>
    <t>Zepel Zeal (Continuous) Sheer Terrazzo</t>
  </si>
  <si>
    <t>Zepel Zeal (Continuous) Sheer TBA</t>
  </si>
  <si>
    <t>Raffles Carlisle (Drop) Uncoated Oatmeal</t>
  </si>
  <si>
    <t>Raffles Carlisle (Drop) Uncoated TBA</t>
  </si>
  <si>
    <t>Raffles Bally Gally (Drop) Uncoated Natural</t>
  </si>
  <si>
    <t>Raffles Bally Gally (Drop) Uncoated TBA</t>
  </si>
  <si>
    <t>Raffles Port Magee (Drop) Uncoated Natural</t>
  </si>
  <si>
    <t>Raffles Port Magee (Drop) Uncoated TBA</t>
  </si>
  <si>
    <t>Raffles Magee (Drop) Uncoated Oatmeal</t>
  </si>
  <si>
    <t>Raffles Magee (Drop) Uncoated TBA</t>
  </si>
  <si>
    <t>Raffles Aberdeen (Drop) Uncoated Ivory</t>
  </si>
  <si>
    <t>Raffles Aberdeen (Drop) Uncoated Natural</t>
  </si>
  <si>
    <t>Raffles Aberdeen (Drop) Uncoated TBA</t>
  </si>
  <si>
    <t>Raffles Montrose (Drop) Uncoated Oatmeal</t>
  </si>
  <si>
    <t>Raffles Montrose (Drop) Uncoated TBA</t>
  </si>
  <si>
    <t>Raffles Rathlin (Drop) Uncoated Natural</t>
  </si>
  <si>
    <t>Raffles Rathlin (Drop) Uncoated TBA</t>
  </si>
  <si>
    <t>Raffles Inverness (Drop) Uncoated Ivory</t>
  </si>
  <si>
    <t>Raffles Inverness (Drop) Uncoated Natural</t>
  </si>
  <si>
    <t>Raffles Inverness (Drop) Uncoated TBA</t>
  </si>
  <si>
    <t>Clarke &amp; Clarke Paradiso (Drop) Uncoated Mineral</t>
  </si>
  <si>
    <t>67% Poly, 26% Cotton, 7% Linen</t>
  </si>
  <si>
    <t>Clarke &amp; Clarke Paradiso (Drop) Uncoated Seaglass</t>
  </si>
  <si>
    <t>Clarke &amp; Clarke Paradiso (Drop) Uncoated Midnight</t>
  </si>
  <si>
    <t>Clarke &amp; Clarke Paradiso (Drop) Uncoated Pebble</t>
  </si>
  <si>
    <t>Clarke &amp; Clarke Paradiso (Drop) Uncoated Natural</t>
  </si>
  <si>
    <t>Clarke &amp; Clarke Paradiso (Drop) Uncoated Oatmeal</t>
  </si>
  <si>
    <t>Clarke &amp; Clarke Paradiso (Drop) Uncoated Sesame</t>
  </si>
  <si>
    <t>Clarke &amp; Clarke Paradiso (Drop) Uncoated Olive</t>
  </si>
  <si>
    <t>Clarke &amp; Clarke Paradiso (Drop) Uncoated Palm</t>
  </si>
  <si>
    <t>Clarke &amp; Clarke Paradiso (Drop) Uncoated TBA</t>
  </si>
  <si>
    <t>Charles Parsons Butler V2 (Drop) Uncoated Alabaster</t>
  </si>
  <si>
    <t>Charles Parsons Butler V2 (Drop) Uncoated Charcoal</t>
  </si>
  <si>
    <t>Charles Parsons Butler V2 (Drop) Uncoated Chestnut</t>
  </si>
  <si>
    <t>Charles Parsons Butler V2 (Drop) Uncoated Doeskin</t>
  </si>
  <si>
    <t>Charles Parsons Butler V2 (Drop) Uncoated Dustty Blue</t>
  </si>
  <si>
    <t>Charles Parsons Butler V2 (Drop) Uncoated Fern</t>
  </si>
  <si>
    <t>Charles Parsons Butler V2 (Drop) Uncoated Frost</t>
  </si>
  <si>
    <t>Charles Parsons Butler V2 (Drop) Uncoated Granite</t>
  </si>
  <si>
    <t>Charles Parsons Butler V2 (Drop) Uncoated Metal</t>
  </si>
  <si>
    <t>Charles Parsons Butler V2 (Drop) Uncoated Pewter</t>
  </si>
  <si>
    <t>Charles Parsons Butler V2 (Drop) Uncoated Sable</t>
  </si>
  <si>
    <t>Charles Parsons Butler V2 (Drop) Uncoated Silver</t>
  </si>
  <si>
    <t>Charles Parsons Butler V2 (Drop) Uncoated Spearmint</t>
  </si>
  <si>
    <t>Charles Parsons Butler V2 (Drop) Uncoated Taupe</t>
  </si>
  <si>
    <t>Charles Parsons Butler V2 (Drop) Uncoated TBA</t>
  </si>
  <si>
    <t>Maurice Kain Emerson (Drop) Uncoated Frost</t>
  </si>
  <si>
    <t>Maurice Kain Emerson (Drop) Uncoated Smoke</t>
  </si>
  <si>
    <t>Maurice Kain Emerson (Drop) Uncoated Charcoal</t>
  </si>
  <si>
    <t>Maurice Kain Emerson (Drop) Uncoated Cinder</t>
  </si>
  <si>
    <t>Maurice Kain Emerson (Drop) Uncoated Ink</t>
  </si>
  <si>
    <t>Maurice Kain Emerson (Drop) Uncoated Duck Egg</t>
  </si>
  <si>
    <t>Maurice Kain Emerson (Drop) Uncoated Stone</t>
  </si>
  <si>
    <t>Maurice Kain Emerson (Drop) Uncoated Parchment</t>
  </si>
  <si>
    <t>Maurice Kain Emerson (Drop) Uncoated Oyster</t>
  </si>
  <si>
    <t>Maurice Kain Emerson (Drop) Uncoated Chalk</t>
  </si>
  <si>
    <t>Maurice Kain Emerson (Drop) Uncoated Whisper</t>
  </si>
  <si>
    <t>Maurice Kain Emerson (Drop) Uncoated Angora</t>
  </si>
  <si>
    <t>Maurice Kain Emerson (Drop) Uncoated TBA</t>
  </si>
  <si>
    <t>Charles Parsons Cosmo (Continuous) Uncoated Haze</t>
  </si>
  <si>
    <t>Charles Parsons Cosmo (Continuous) Uncoated Ivory</t>
  </si>
  <si>
    <t>Charles Parsons Cosmo (Continuous) Uncoated Moss</t>
  </si>
  <si>
    <t>Charles Parsons Cosmo (Continuous) Uncoated Pebble</t>
  </si>
  <si>
    <t>Charles Parsons Cosmo (Continuous) Uncoated Pewter</t>
  </si>
  <si>
    <t>Charles Parsons Cosmo (Continuous) Uncoated Rice</t>
  </si>
  <si>
    <t>Charles Parsons Cosmo (Continuous) Uncoated Silver</t>
  </si>
  <si>
    <t>Charles Parsons Cosmo (Continuous) Uncoated Spice</t>
  </si>
  <si>
    <t>Charles Parsons Cosmo (Continuous) Uncoated Storm</t>
  </si>
  <si>
    <t>Charles Parsons Cosmo (Continuous) Uncoated Twine</t>
  </si>
  <si>
    <t>Charles Parsons Cosmo (Continuous) Uncoated TBA</t>
  </si>
  <si>
    <t>Charles Parsons Montego (Continuous) Uncoated Abalone</t>
  </si>
  <si>
    <t>Charles Parsons Montego (Continuous) Uncoated Alabaster</t>
  </si>
  <si>
    <t>Charles Parsons Montego (Continuous) Uncoated Leaf</t>
  </si>
  <si>
    <t>Charles Parsons Montego (Continuous) Uncoated Shale</t>
  </si>
  <si>
    <t>Charles Parsons Montego (Continuous) Uncoated Silver</t>
  </si>
  <si>
    <t>Charles Parsons Montego (Continuous) Uncoated Wedgewood</t>
  </si>
  <si>
    <t>Charles Parsons Montego (Continuous) Uncoated White</t>
  </si>
  <si>
    <t>Charles Parsons Montego (Continuous) Uncoated TBA</t>
  </si>
  <si>
    <t>Charles Parsons Jacobean (Drop) Uncoated Navy</t>
  </si>
  <si>
    <t>Charles Parsons Jacobean (Drop) Uncoated TBA</t>
  </si>
  <si>
    <t>Charles Parsons Brussels V2 (Drop) Uncoated Ash</t>
  </si>
  <si>
    <t>Charles Parsons Brussels V2 (Drop) Uncoated Atlantic</t>
  </si>
  <si>
    <t>Charles Parsons Brussels V2 (Drop) Uncoated Bisque</t>
  </si>
  <si>
    <t>Charles Parsons Brussels V2 (Drop) Uncoated Denim</t>
  </si>
  <si>
    <t>Charles Parsons Brussels V2 (Drop) Uncoated Grey</t>
  </si>
  <si>
    <t>Charles Parsons Brussels V2 (Drop) Uncoated Ice</t>
  </si>
  <si>
    <t>Charles Parsons Brussels V2 (Drop) Uncoated Kelp</t>
  </si>
  <si>
    <t>Charles Parsons Brussels V2 (Drop) Uncoated Macadamia</t>
  </si>
  <si>
    <t xml:space="preserve">Charles Parsons Brussels V2 (Drop) Uncoated Pearl </t>
  </si>
  <si>
    <t>Charles Parsons Brussels V2 (Drop) Uncoated Pebble</t>
  </si>
  <si>
    <t>Charles Parsons Brussels V2 (Drop) Uncoated Porcelain</t>
  </si>
  <si>
    <t>Charles Parsons Brussels V2 (Drop) Uncoated Putty</t>
  </si>
  <si>
    <t>Charles Parsons Brussels V2 (Drop) Uncoated Sand</t>
  </si>
  <si>
    <t>Charles Parsons Brussels V2 (Drop) Uncoated Shell</t>
  </si>
  <si>
    <t>Charles Parsons Brussels V2 (Drop) Uncoated Silver</t>
  </si>
  <si>
    <t>Charles Parsons Brussels V2 (Drop) Uncoated Stone</t>
  </si>
  <si>
    <t>Charles Parsons Brussels V2 (Drop) Uncoated TBA</t>
  </si>
  <si>
    <t>Charles Parsons Federation V2 (Drop) Uncoated Mocha</t>
  </si>
  <si>
    <t>Charles Parsons Federation V2 (Drop) Uncoated TBA</t>
  </si>
  <si>
    <t>Maurice Kain Williamsburg (Continuous) Sheer Snow</t>
  </si>
  <si>
    <t>Maurice Kain Williamsburg (Continuous) Sheer Chalk</t>
  </si>
  <si>
    <t>Maurice Kain Williamsburg (Continuous) Sheer Birch</t>
  </si>
  <si>
    <t>Maurice Kain Williamsburg (Continuous) Sheer Sand</t>
  </si>
  <si>
    <t>Maurice Kain Williamsburg (Continuous) Sheer Stone</t>
  </si>
  <si>
    <t>Maurice Kain Williamsburg (Continuous) Sheer Woodland</t>
  </si>
  <si>
    <t>Maurice Kain Williamsburg (Continuous) Sheer Cloud</t>
  </si>
  <si>
    <t>Maurice Kain Williamsburg (Continuous) Sheer Concrete</t>
  </si>
  <si>
    <t>Maurice Kain Williamsburg (Continuous) Sheer Smoke</t>
  </si>
  <si>
    <t>Maurice Kain Williamsburg (Continuous) Sheer Granite</t>
  </si>
  <si>
    <t>Maurice Kain Williamsburg (Continuous) Sheer Ash</t>
  </si>
  <si>
    <t>Maurice Kain Williamsburg (Continuous) Sheer TBA</t>
  </si>
  <si>
    <t>Slender Morris Marseille (Drop) Uncoated Champagne</t>
  </si>
  <si>
    <t>Slender Morris Marseille (Drop) Uncoated TBA</t>
  </si>
  <si>
    <t>Hoad Capri (Continuous) Sheer Pigeon</t>
  </si>
  <si>
    <t>Charles Parsons Cooper (Continuous) Sheer Biscuit</t>
  </si>
  <si>
    <t>3450</t>
  </si>
  <si>
    <t>Charles Parsons Cooper (Continuous) Sheer Flax</t>
  </si>
  <si>
    <t>Charles Parsons Cooper (Continuous) Sheer Ivory</t>
  </si>
  <si>
    <t>Charles Parsons Cooper (Continuous) Sheer Jet</t>
  </si>
  <si>
    <t>Charles Parsons Cooper (Continuous) Sheer Macadamia</t>
  </si>
  <si>
    <t>Charles Parsons Cooper (Continuous) Sheer Oyster</t>
  </si>
  <si>
    <t>Charles Parsons Cooper (Continuous) Sheer Silver</t>
  </si>
  <si>
    <t>Charles Parsons Cooper (Continuous) Sheer Sky</t>
  </si>
  <si>
    <t>Charles Parsons Cooper (Continuous) Sheer Smoke</t>
  </si>
  <si>
    <t>Charles Parsons Cooper (Continuous) Sheer Stone</t>
  </si>
  <si>
    <t>Charles Parsons Cooper (Continuous) Sheer White</t>
  </si>
  <si>
    <t xml:space="preserve">Zepel Zeal (Drop) Uncoated Buff </t>
  </si>
  <si>
    <t>75% Recycled polyester, 25% Polyesster</t>
  </si>
  <si>
    <t>Zepel Zeal (Drop) Uncoated Cream</t>
  </si>
  <si>
    <t>Zepel Zeal (Drop) Uncoated Jungle</t>
  </si>
  <si>
    <t>Zepel Zeal (Drop) Uncoated Limestone</t>
  </si>
  <si>
    <t>Zepel Zeal (Drop) Uncoated Linen</t>
  </si>
  <si>
    <t>Zepel Zeal (Drop) Uncoated Marble</t>
  </si>
  <si>
    <t>Zepel Zeal (Drop) Uncoated Navy</t>
  </si>
  <si>
    <t>Zepel Zeal (Drop) Uncoated Petal</t>
  </si>
  <si>
    <t>Zepel Zeal (Drop) Uncoated Raven</t>
  </si>
  <si>
    <t>Zepel Zeal (Drop) Uncoated Sand</t>
  </si>
  <si>
    <t>Zepel Zeal (Drop) Uncoated Silver</t>
  </si>
  <si>
    <t>Zepel Zeal (Drop) Uncoated Sky</t>
  </si>
  <si>
    <t>Zepel Zeal (Drop) Uncoated Snow</t>
  </si>
  <si>
    <t>Zepel Zeal (Drop) Uncoated Terrazzo</t>
  </si>
  <si>
    <t>Zepel Zeal (Drop) Uncoated TBA</t>
  </si>
  <si>
    <t xml:space="preserve">Zepel Zeal (Continous) Uncoated Buff </t>
  </si>
  <si>
    <t>Zepel Zeal (Continous) Uncoated Cream</t>
  </si>
  <si>
    <t>Zepel Zeal (Continous) Uncoated Jungle</t>
  </si>
  <si>
    <t>Zepel Zeal (Continous) Uncoated Limestone</t>
  </si>
  <si>
    <t>Zepel Zeal (Continous) Uncoated Linen</t>
  </si>
  <si>
    <t>Zepel Zeal (Continous) Uncoated Marble</t>
  </si>
  <si>
    <t>Zepel Zeal (Continous) Uncoated Navy</t>
  </si>
  <si>
    <t>Zepel Zeal (Continous) Uncoated Petal</t>
  </si>
  <si>
    <t>Zepel Zeal (Continous) Uncoated Raven</t>
  </si>
  <si>
    <t>Zepel Zeal (Continous) Uncoated Sand</t>
  </si>
  <si>
    <t>Zepel Zeal (Continous) Uncoated Silver</t>
  </si>
  <si>
    <t>Zepel Zeal (Continous) Uncoated Sky</t>
  </si>
  <si>
    <t>Zepel Zeal (Continous) Uncoated Snow</t>
  </si>
  <si>
    <t>Zepel Zeal (Continous) Uncoated Terrazzo</t>
  </si>
  <si>
    <t>Zepel Zeal (Continous) Uncoated TBA</t>
  </si>
  <si>
    <t xml:space="preserve">Maurice Kain Utopia (Drop) Uncoated Black </t>
  </si>
  <si>
    <t>Maurice Kain Utopia (Drop) Uncoated Blush</t>
  </si>
  <si>
    <t>Maurice Kain Utopia (Drop) Uncoated Midnight</t>
  </si>
  <si>
    <t>Maurice Kain Utopia (Drop) Uncoated Tropical</t>
  </si>
  <si>
    <t>Maurice Kain Utopia (Drop) Uncoated TBA</t>
  </si>
  <si>
    <t>Maurice Kain Juniper (Continuous) Dim Out Chalk</t>
  </si>
  <si>
    <t>Maurice Kain Juniper (Continuous) Dim Out Dove</t>
  </si>
  <si>
    <t>Maurice Kain Juniper (Continuous) Dim Out Husk</t>
  </si>
  <si>
    <t>Maurice Kain Juniper (Continuous) Dim Out Slate</t>
  </si>
  <si>
    <t>Maurice Kain Juniper (Continuous) Dim Out Pepper</t>
  </si>
  <si>
    <t>Maurice Kain Juniper (Continuous) Dim Out Seafoam</t>
  </si>
  <si>
    <t>Maurice Kain Juniper (Continuous) Dim Out Pebble</t>
  </si>
  <si>
    <t>Maurice Kain Juniper (Continuous) Dim Out Tempest</t>
  </si>
  <si>
    <t>Maurice Kain Juniper (Continuous) Dim Out TBA</t>
  </si>
  <si>
    <t>15mm to 25mm</t>
  </si>
  <si>
    <t>53% Linen 47% Polyester</t>
  </si>
  <si>
    <t>Laura Ashley Newbury Stonewash (Continuous) Sheer Chalk</t>
  </si>
  <si>
    <t>Laura Ashley Newbury Stonewash (Continuous) Sheer Linen</t>
  </si>
  <si>
    <t>Laura Ashley Newbury Stonewash (Continuous) Sheer Shale</t>
  </si>
  <si>
    <t>Laura Ashley Newbury Stonewash (Continuous) Sheer Woodland</t>
  </si>
  <si>
    <t>Laura Ashley Newbury Stonewash (Continuous) Sheer Indigo</t>
  </si>
  <si>
    <t>Laura Ashley Newbury Stonewash (Continuous) Sheer Storm</t>
  </si>
  <si>
    <t>Laura Ashley Newbury Stonewash (Continuous) Sheer Shadow</t>
  </si>
  <si>
    <t>Laura Ashley Newbury Stonewash (Continuous) Sheer Basalt</t>
  </si>
  <si>
    <t>Laura Ashley Newbury Stonewash (Continuous) Sheer TBA</t>
  </si>
  <si>
    <t>Hoad Aspen (Drop) Uncoated Charcoal</t>
  </si>
  <si>
    <t>100%Polyester</t>
  </si>
  <si>
    <t>Hoad Aspen (Drop) Uncoated Cloud</t>
  </si>
  <si>
    <t>Hoad Aspen (Drop) Uncoated Natural</t>
  </si>
  <si>
    <t>Hoad Aspen (Drop) Uncoated Ore</t>
  </si>
  <si>
    <t>Hoad Aspen (Drop) Uncoated PFP</t>
  </si>
  <si>
    <t>Hoad Aspen (Drop) Uncoated White</t>
  </si>
  <si>
    <t>Hoad Aspen (Drop) Uncoated TBA</t>
  </si>
  <si>
    <t>Slender Morris Spruce (Continous) Uncoated Victorian Glasshouse</t>
  </si>
  <si>
    <t>Slender Morris Spruce (Continous) Uncoated TBA</t>
  </si>
  <si>
    <t>Warwick Yamba (Continous) Uncoated Indigo</t>
  </si>
  <si>
    <t>65% Polyester 35% Acrylic</t>
  </si>
  <si>
    <t>Warwick Yamba (Continous) Uncoated Mineral</t>
  </si>
  <si>
    <t>Warwick Yamba (Continous) Uncoated TBA</t>
  </si>
  <si>
    <t>Linen/Polyesyer</t>
  </si>
  <si>
    <t>Slender Morris Palram (Continous) Uncoated Flint</t>
  </si>
  <si>
    <t>46% Polyester 33% Cotton 21% Viscose</t>
  </si>
  <si>
    <t>Slender Morris Palram (Continous) Uncoated Mist</t>
  </si>
  <si>
    <t>Slender Morris Palram (Continous) Uncoated Moonlight</t>
  </si>
  <si>
    <t>Slender Morris Palram (Continous) Uncoated Pewter</t>
  </si>
  <si>
    <t>Slender Morris Palram (Continous) Uncoated Putty</t>
  </si>
  <si>
    <t>Slender Morris Palram (Continous) Uncoated Spruce</t>
  </si>
  <si>
    <t>Slender Morris Palram (Continous) Uncoated TBA</t>
  </si>
  <si>
    <t>Laura Ashley Wisley (Drop) Uncoated Spring</t>
  </si>
  <si>
    <t>52% cotton, 48% lyocell</t>
  </si>
  <si>
    <t>Laura Ashley Wisley (Drop) Uncoated Summer</t>
  </si>
  <si>
    <t>Laura Ashley Wisley (Drop) Uncoated Antique</t>
  </si>
  <si>
    <t>Laura Ashley Wisley (Drop) Uncoated TBA</t>
  </si>
  <si>
    <t>Hoad Capri (Continuous) Sheer Gooseberry</t>
  </si>
  <si>
    <t>Warwick Yamba (Drop) Uncoated Indigo</t>
  </si>
  <si>
    <t>Warwick Yamba (Drop) Uncoated Mineral</t>
  </si>
  <si>
    <t>Warwick Yamba (Drop) Uncoated TBA</t>
  </si>
  <si>
    <t>Zepel Allusion (Continuous) Uncoated Buff</t>
  </si>
  <si>
    <t>Zepel Allusion (Continuous) Uncoated Pearl</t>
  </si>
  <si>
    <t>Zepel Allusion (Continuous) Uncoated Snow</t>
  </si>
  <si>
    <t>Hoad Zephyr (Continuous) Sheer Ash</t>
  </si>
  <si>
    <t>Hoad Zephyr (Continuous) Sheer Flax</t>
  </si>
  <si>
    <t>Hoad Zephyr (Continuous) Sheer Rope</t>
  </si>
  <si>
    <t>Hoad Zephyr (Continuous) Sheer White</t>
  </si>
  <si>
    <t>Hoad Zephyr (Continuous) Sheer Linen</t>
  </si>
  <si>
    <t>Hoad Zephyr (Continuous) Sheer Lichen</t>
  </si>
  <si>
    <t>Hoad Zephyr (Continuous) Sheer Natural</t>
  </si>
  <si>
    <t>Hoad Zephyr (Continuous) Sheer Graphite</t>
  </si>
  <si>
    <t>Hoad Zephyr (Continuous) Sheer Charcoal</t>
  </si>
  <si>
    <t>Hoad Zephyr (Continuous) Sheer TBA</t>
  </si>
  <si>
    <t xml:space="preserve">51% Linen, 49% Polyester </t>
  </si>
  <si>
    <t>Warwick Finley (Drop) Uncoated Chai</t>
  </si>
  <si>
    <t>62% Polyester 21% Viscose 17% Linen</t>
  </si>
  <si>
    <t>Warwick Finley (Drop) Uncoated Ecru</t>
  </si>
  <si>
    <t>Warwick Finley (Drop) Uncoated Graphite</t>
  </si>
  <si>
    <t>Warwick Finley (Drop) Uncoated Ivory</t>
  </si>
  <si>
    <t>Warwick Finley (Drop) Uncoated Mink</t>
  </si>
  <si>
    <t>Warwick Finley (Drop) Uncoated Mist</t>
  </si>
  <si>
    <t xml:space="preserve">Warwick Finley (Drop) Uncoated Pearl </t>
  </si>
  <si>
    <t>Warwick Finley (Drop) Uncoated Pebble</t>
  </si>
  <si>
    <t>Warwick Finley (Drop) Uncoated Sesame</t>
  </si>
  <si>
    <t>Warwick Finley (Drop) Uncoated TBA</t>
  </si>
  <si>
    <t>Warwick Finley (Continous) Uncoated Chai</t>
  </si>
  <si>
    <t>Warwick Finley (Continous) Uncoated Ecru</t>
  </si>
  <si>
    <t>Warwick Finley (Continous) Uncoated Graphite</t>
  </si>
  <si>
    <t>Warwick Finley (Continous) Uncoated Ivory</t>
  </si>
  <si>
    <t>Warwick Finley (Continous) Uncoated Mink</t>
  </si>
  <si>
    <t>Warwick Finley (Continous) Uncoated Mist</t>
  </si>
  <si>
    <t xml:space="preserve">Warwick Finley (Continous) Uncoated Pearl </t>
  </si>
  <si>
    <t>Warwick Finley (Continous) Uncoated Pebble</t>
  </si>
  <si>
    <t>Warwick Finley (Continous) Uncoated Sesame</t>
  </si>
  <si>
    <t>Warwick Finley (Continous) Uncoated TBA</t>
  </si>
  <si>
    <t>Laura Ashley Dandelion Embroidery (Drop) Uncoated Indigo</t>
  </si>
  <si>
    <t>50% Cotton 35% Viscose 15% Linen</t>
  </si>
  <si>
    <t xml:space="preserve">Laura Ashley Dandelion Embroidery (Drop) Uncoated Clay </t>
  </si>
  <si>
    <t>Laura Ashley Dandelion Embroidery (Drop) Uncoated Duckegg</t>
  </si>
  <si>
    <t>Laura Ashley Dandelion Embroidery (Drop) Uncoated TBA</t>
  </si>
  <si>
    <t>Sekers Kingslea (Drop) Uncoated Awash</t>
  </si>
  <si>
    <t>Sekers Kingslea (Drop) Uncoated Balance</t>
  </si>
  <si>
    <t>Sekers Kingslea (Drop) Uncoated Basalt</t>
  </si>
  <si>
    <t>Sekers Kingslea (Drop) Uncoated Bleached</t>
  </si>
  <si>
    <t xml:space="preserve">Sekers Kingslea (Drop) Uncoated Clay </t>
  </si>
  <si>
    <t>Sekers Kingslea (Drop) Uncoated Denim</t>
  </si>
  <si>
    <t>Sekers Kingslea (Drop) Uncoated Dove</t>
  </si>
  <si>
    <t>Sekers Kingslea (Drop) Uncoated Duckegg</t>
  </si>
  <si>
    <t>Sekers Kingslea (Drop) Uncoated Flint</t>
  </si>
  <si>
    <t>Sekers Kingslea (Drop) Uncoated Jute</t>
  </si>
  <si>
    <t>Sekers Kingslea (Drop) Uncoated Milk</t>
  </si>
  <si>
    <t>Sekers Kingslea (Drop) Uncoated Parchment</t>
  </si>
  <si>
    <t>Sekers Kingslea (Drop) Uncoated Peony</t>
  </si>
  <si>
    <t>Sekers Kingslea (Drop) Uncoated Red Earth</t>
  </si>
  <si>
    <t>Sekers Kingslea (Drop) Uncoated Saffron</t>
  </si>
  <si>
    <t>Sekers Kingslea (Drop) Uncoated Scoria</t>
  </si>
  <si>
    <t>Sekers Kingslea (Drop) Uncoated Slate</t>
  </si>
  <si>
    <t>Sekers Kingslea (Drop) Uncoated Sorbet</t>
  </si>
  <si>
    <t>Sekers Kingslea (Drop) Uncoated Stonewash</t>
  </si>
  <si>
    <t>Sekers Kingslea (Drop) Uncoated Storm</t>
  </si>
  <si>
    <t>Sekers Kingslea (Drop) Uncoated TBA</t>
  </si>
  <si>
    <t>Sekers Kingslea (Continous) Uncoated Awash</t>
  </si>
  <si>
    <t>Sekers Kingslea (Continous) Uncoated Balance</t>
  </si>
  <si>
    <t>Sekers Kingslea (Continous) Uncoated Basalt</t>
  </si>
  <si>
    <t>Sekers Kingslea (Continous) Uncoated Bleached</t>
  </si>
  <si>
    <t xml:space="preserve">Sekers Kingslea (Continous) Uncoated Clay </t>
  </si>
  <si>
    <t>Sekers Kingslea (Continous) Uncoated Denim</t>
  </si>
  <si>
    <t>Sekers Kingslea (Continous) Uncoated Dove</t>
  </si>
  <si>
    <t>Sekers Kingslea (Continous) Uncoated Duckegg</t>
  </si>
  <si>
    <t>Sekers Kingslea (Continous) Uncoated Flint</t>
  </si>
  <si>
    <t>Sekers Kingslea (Continous) Uncoated Jute</t>
  </si>
  <si>
    <t>Sekers Kingslea (Continous) Uncoated Milk</t>
  </si>
  <si>
    <t>Sekers Kingslea (Continous) Uncoated Parchment</t>
  </si>
  <si>
    <t>Sekers Kingslea (Continous) Uncoated Peony</t>
  </si>
  <si>
    <t>Sekers Kingslea (Continous) Uncoated Red Earth</t>
  </si>
  <si>
    <t>Sekers Kingslea (Continous) Uncoated Saffron</t>
  </si>
  <si>
    <t>Sekers Kingslea (Continous) Uncoated Scoria</t>
  </si>
  <si>
    <t>Sekers Kingslea (Continous) Uncoated Slate</t>
  </si>
  <si>
    <t>Sekers Kingslea (Continous) Uncoated Sorbet</t>
  </si>
  <si>
    <t>Sekers Kingslea (Continous) Uncoated Stonewash</t>
  </si>
  <si>
    <t>Sekers Kingslea (Continous) Uncoated Storm</t>
  </si>
  <si>
    <t>Sekers Kingslea (Continous) Uncoated TBA</t>
  </si>
  <si>
    <t>Nettex Lucern (Continuous) Sheer Phnatom</t>
  </si>
  <si>
    <t>Nettex Lucern (Continuous) Sheer Platinum</t>
  </si>
  <si>
    <t>Nettex Lucern (Continuous) Sheer Pewter</t>
  </si>
  <si>
    <t>Nettex Lucern (Continuous) Sheer Cloud</t>
  </si>
  <si>
    <t>Nettex Lucern (Continuous) Sheer Silver</t>
  </si>
  <si>
    <t xml:space="preserve">Nettex Lucern (Continuous) Sheer Smoke </t>
  </si>
  <si>
    <t>Nettex Lucern (Continuous) Sheer White</t>
  </si>
  <si>
    <t>Nettex Lucern (Continuous) Sheer Pearl</t>
  </si>
  <si>
    <t>Nettex Lucern (Continuous) Sheer Blonde</t>
  </si>
  <si>
    <t>Nettex Lucern (Continuous) Sheer Ecru</t>
  </si>
  <si>
    <t>Nettex Lucern (Continuous) Sheer Gardenia</t>
  </si>
  <si>
    <t>Nettex Lucern (Continuous) Sheer Oyster</t>
  </si>
  <si>
    <t>Nettex Lucern (Continuous) Sheer Balsa</t>
  </si>
  <si>
    <t>Nettex Lucern (Continuous) Sheer Latte</t>
  </si>
  <si>
    <t>Nettex Lucern (Continuous) Sheer Clay</t>
  </si>
  <si>
    <t>Nettex Lucern (Continuous) Sheer Fudge</t>
  </si>
  <si>
    <t>Nettex Lucern (Continuous) Sheer Natural</t>
  </si>
  <si>
    <t>Nettex Lucern (Continuous) Sheer Cobblestone</t>
  </si>
  <si>
    <t>Nettex Lucern (Continuous) Sheer Taupe</t>
  </si>
  <si>
    <t>Nettex Lucern (Continuous) Sheer Mocha</t>
  </si>
  <si>
    <t>Nettex Lucern (Continuous) Sheer Midnight</t>
  </si>
  <si>
    <t>Nettex Lucern (Continuous) Sheer Harbour</t>
  </si>
  <si>
    <t>Nettex Lucern (Continuous) Sheer Spark</t>
  </si>
  <si>
    <t>Nettex Lucern (Continuous) Sheer Splice</t>
  </si>
  <si>
    <t>Nettex Lucern (Continuous) Sheer Spring</t>
  </si>
  <si>
    <t>Nettex Lucern (Continuous) Sheer Mist</t>
  </si>
  <si>
    <t>Nettex Lucern (Continuous) Sheer Ice</t>
  </si>
  <si>
    <t>Nettex Lucern (Continuous) Sheer Orchid</t>
  </si>
  <si>
    <t>Nettex Lucern (Continuous) Sheer Rose</t>
  </si>
  <si>
    <t>Nettex Lucern (Continuous) Sheer Pixie</t>
  </si>
  <si>
    <t>Nettex Lucern (Continuous) Sheer Black</t>
  </si>
  <si>
    <t>Nettex Lucern (Continuous) Sheer TBA</t>
  </si>
  <si>
    <t>Warwick Finley (Drop) Uncoated Snow</t>
  </si>
  <si>
    <t>Warwick Finley (Continous) Uncoated Snow</t>
  </si>
  <si>
    <t>Existing Vanda Flushfit Recessed Track with Runners</t>
  </si>
  <si>
    <t>Vanda Flushfit Recessed Track with Runners</t>
  </si>
  <si>
    <t>Hoad Baltic (Continous) Uncoated White</t>
  </si>
  <si>
    <t>Hoad Baltic (Continous) Uncoated Ivory</t>
  </si>
  <si>
    <t>Hoad Baltic (Continous) Uncoated Stone</t>
  </si>
  <si>
    <t>Hoad Baltic (Continous) Uncoated Linen</t>
  </si>
  <si>
    <t>Hoad Baltic (Continous) Uncoated Moonlight</t>
  </si>
  <si>
    <t>Hoad Baltic (Continous) Uncoated TBA</t>
  </si>
  <si>
    <t>Hoad Baltic (Drop) Uncoated White</t>
  </si>
  <si>
    <t>Hoad Baltic (Drop) Uncoated Ivory</t>
  </si>
  <si>
    <t>Hoad Baltic (Drop) Uncoated Stone</t>
  </si>
  <si>
    <t>Hoad Baltic (Drop) Uncoated Linen</t>
  </si>
  <si>
    <t>Hoad Baltic (Drop) Uncoated Moonlight</t>
  </si>
  <si>
    <t>Hoad Baltic (Drop) Uncoated TBA</t>
  </si>
  <si>
    <t>Warwick Icon (Drop) Uncoated Admiral</t>
  </si>
  <si>
    <t>Warwick Icon (Drop) Uncoated Aqua</t>
  </si>
  <si>
    <t>Warwick Icon (Drop) Uncoated Ash</t>
  </si>
  <si>
    <t>Warwick Icon (Drop) Uncoated Birch</t>
  </si>
  <si>
    <t>Warwick Icon (Drop) Uncoated Brindle</t>
  </si>
  <si>
    <t>Warwick Icon (Drop) Uncoated Buttercup</t>
  </si>
  <si>
    <t>Warwick Icon (Drop) Uncoated Dove</t>
  </si>
  <si>
    <t>Warwick Icon (Drop) Uncoated Driftwood</t>
  </si>
  <si>
    <t>Warwick Icon (Drop) Uncoated Duckegg</t>
  </si>
  <si>
    <t>Warwick Icon (Drop) Uncoated Ecru</t>
  </si>
  <si>
    <t>Warwick Icon (Drop) Uncoated Jasper</t>
  </si>
  <si>
    <t>Warwick Icon (Drop) Uncoated Linen</t>
  </si>
  <si>
    <t>Warwick Icon (Drop) Uncoated Midnight</t>
  </si>
  <si>
    <t>Warwick Icon (Drop) Uncoated Navy</t>
  </si>
  <si>
    <t xml:space="preserve">Warwick Icon (Drop) Uncoated Pearl </t>
  </si>
  <si>
    <t>Warwick Icon (Drop) Uncoated Petal</t>
  </si>
  <si>
    <t>Warwick Icon (Drop) Uncoated Pewter</t>
  </si>
  <si>
    <t>Warwick Icon (Drop) Uncoated Pigeon</t>
  </si>
  <si>
    <t>Warwick Icon (Drop) Uncoated Platinum</t>
  </si>
  <si>
    <t>Warwick Icon (Drop) Uncoated Rice</t>
  </si>
  <si>
    <t>Warwick Icon (Drop) Uncoated Seafoam</t>
  </si>
  <si>
    <t>Warwick Icon (Drop) Uncoated Shell</t>
  </si>
  <si>
    <t>Warwick Icon (Drop) Uncoated Silver</t>
  </si>
  <si>
    <t>Warwick Icon (Drop) Uncoated Snow</t>
  </si>
  <si>
    <t>Warwick Icon (Drop) Uncoated Steel</t>
  </si>
  <si>
    <t>Warwick Icon (Drop) Uncoated Vanilla</t>
  </si>
  <si>
    <t>Warwick Icon (Drop) Uncoated TBA</t>
  </si>
  <si>
    <t>Hoad Pacific (Drop) Uncoated Chalk</t>
  </si>
  <si>
    <t>Hoad Pacific (Drop) Uncoated Charcoal</t>
  </si>
  <si>
    <t>Hoad Pacific (Drop) Uncoated Linen</t>
  </si>
  <si>
    <t>Hoad Pacific (Drop) Uncoated Mist</t>
  </si>
  <si>
    <t>Hoad Pacific (Drop) Uncoated Stone</t>
  </si>
  <si>
    <t>Hoad Pacific (Drop) Uncoated Stucco</t>
  </si>
  <si>
    <t>Hoad Pacific (Drop) Uncoated TBA</t>
  </si>
  <si>
    <t>Hoad Encore Velvet (Drop) Uncoated Dove</t>
  </si>
  <si>
    <t>Hoad Encore Velvet (Drop) Uncoated Mist</t>
  </si>
  <si>
    <t>Hoad Encore Velvet (Drop) Uncoated Mink</t>
  </si>
  <si>
    <t>Hoad Encore Velvet (Drop) Uncoated Navy</t>
  </si>
  <si>
    <t>Hoad Encore Velvet (Drop) Uncoated Camel</t>
  </si>
  <si>
    <t>Hoad Encore Velvet (Drop) Uncoated Ebony</t>
  </si>
  <si>
    <t>Hoad Encore Velvet (Drop) Uncoated Twill</t>
  </si>
  <si>
    <t>Hoad Encore Velvet (Drop) Uncoated Forest</t>
  </si>
  <si>
    <t>Hoad Encore Velvet (Drop) Uncoated Granite</t>
  </si>
  <si>
    <t>Hoad Encore Velvet (Drop) Uncoated Bordeaux</t>
  </si>
  <si>
    <t>Hoad Encore Velvet (Drop) Uncoated TBA</t>
  </si>
  <si>
    <t>Pencil Pleat (Less Fullness x 1.5)</t>
  </si>
  <si>
    <t>Clarke &amp; Clarke Delilah (Drop) Uncoated Spice/Linen</t>
  </si>
  <si>
    <t>80% Cotton 20% Polyester</t>
  </si>
  <si>
    <t>Clarke &amp; Clarke Delilah (Drop) Uncoated Winterberry/Linen</t>
  </si>
  <si>
    <t>Clarke &amp; Clarke Delilah (Drop) Uncoated Summer/Cream</t>
  </si>
  <si>
    <t>Clarke &amp; Clarke Delilah (Drop) Uncoated TBA</t>
  </si>
  <si>
    <t>Hoad Kyoto (Drop) Uncoated Slate</t>
  </si>
  <si>
    <t xml:space="preserve"> 39% Cotton, 36% Polyester, 25% Viscose</t>
  </si>
  <si>
    <t>Hoad Kyoto (Drop) Uncoated Silver</t>
  </si>
  <si>
    <t>Hoad Kyoto (Drop) Uncoated Natural</t>
  </si>
  <si>
    <t>Hoad Kyoto (Drop) Uncoated TBA</t>
  </si>
  <si>
    <t>Hoad Osaka (Drop) Uncoated Slate</t>
  </si>
  <si>
    <t>Hoad Osaka (Drop) Uncoated Silver</t>
  </si>
  <si>
    <t>Hoad Osaka (Drop) Uncoated Natural</t>
  </si>
  <si>
    <t>Hoad Osaka (Drop) Uncoated TBA</t>
  </si>
  <si>
    <t>Maurice Kain Orix (Continous) Uncoated Chalk</t>
  </si>
  <si>
    <t>Maurice Kain Orix (Continous) Uncoated Parchment</t>
  </si>
  <si>
    <t>Maurice Kain Orix (Continous) Uncoated Marble</t>
  </si>
  <si>
    <t>Maurice Kain Orix (Continous) Uncoated Oyster</t>
  </si>
  <si>
    <t>Maurice Kain Orix (Continous) Uncoated Fossil</t>
  </si>
  <si>
    <t>Maurice Kain Orix (Continous) Uncoated Sand</t>
  </si>
  <si>
    <t>Maurice Kain Orix (Continous) Uncoated Pebble</t>
  </si>
  <si>
    <t>Maurice Kain Orix (Continous) Uncoated Woodland</t>
  </si>
  <si>
    <t>Maurice Kain Orix (Continous) Uncoated Granite</t>
  </si>
  <si>
    <t>Maurice Kain Orix (Continous) Uncoated Silver TBA</t>
  </si>
  <si>
    <t>Suspension Hanger Qty</t>
  </si>
  <si>
    <t>Suspension Hanger Length</t>
  </si>
  <si>
    <t>Slender Morris Marrakech (Drop) Uncoated Anthracite</t>
  </si>
  <si>
    <t>Slender Morris Marrakech (Drop) Uncoated Begonia</t>
  </si>
  <si>
    <t>Slender Morris Marrakech (Drop) Uncoated Canvas</t>
  </si>
  <si>
    <t>Slender Morris Marrakech (Drop) Uncoated Emerald</t>
  </si>
  <si>
    <t>Slender Morris Marrakech (Drop) Uncoated Ink</t>
  </si>
  <si>
    <t>Slender Morris Marrakech (Drop) Uncoated TBA</t>
  </si>
  <si>
    <t>Laura Ashley Mathilde Velvet (Drop) Uncoated Spring</t>
  </si>
  <si>
    <t>100% Poly Velvet</t>
  </si>
  <si>
    <t>Laura Ashley Mathilde Velvet (Drop) Uncoated Shadow</t>
  </si>
  <si>
    <t>Laura Ashley Mathilde Velvet (Drop) Uncoated TBA</t>
  </si>
  <si>
    <t>Filigree Cystal II (Continuous) Uncoated Bone</t>
  </si>
  <si>
    <t>Filigree Cystal II (Continuous) Uncoated Ivory</t>
  </si>
  <si>
    <t>Filigree Cystal II (Continuous) Uncoated White</t>
  </si>
  <si>
    <t>Filigree Cystal II (Continuous) Uncoated TBA</t>
  </si>
  <si>
    <t>Filigree Milan II (Continuous) Uncoated Bone</t>
  </si>
  <si>
    <t>Filigree Milan II (Continuous) Uncoated Ivory</t>
  </si>
  <si>
    <t>Filigree Milan II (Continuous) Uncoated White</t>
  </si>
  <si>
    <t>Filigree Milan II (Continuous) Uncoated TBA</t>
  </si>
  <si>
    <t>Filigree Roma II (Continuous) Uncoated Bone</t>
  </si>
  <si>
    <t>Filigree Roma II (Continuous) Uncoated Ivory</t>
  </si>
  <si>
    <t>Filigree Roma II (Continuous) Uncoated White</t>
  </si>
  <si>
    <t>Filigree Roma II (Continuous) Uncoated TBA</t>
  </si>
  <si>
    <t>Warwick Aurelius (Drop) Uncoated Bluestone</t>
  </si>
  <si>
    <t>86% polyester/14% cotton</t>
  </si>
  <si>
    <t>Warwick Aurelius (Drop) Uncoated Blush</t>
  </si>
  <si>
    <t>Warwick Aurelius (Drop) Uncoated Ecru</t>
  </si>
  <si>
    <t>Warwick Aurelius (Drop) Uncoated Feather</t>
  </si>
  <si>
    <t>Warwick Aurelius (Drop) Uncoated Fog</t>
  </si>
  <si>
    <t>Warwick Aurelius (Drop) Uncoated Nougat</t>
  </si>
  <si>
    <t>Warwick Aurelius (Drop) Uncoated Parchment</t>
  </si>
  <si>
    <t>Warwick Aurelius (Drop) Uncoated Pebble</t>
  </si>
  <si>
    <t>Warwick Aurelius (Drop) Uncoated Pumice</t>
  </si>
  <si>
    <t>Warwick Aurelius (Drop) Uncoated Sage</t>
  </si>
  <si>
    <t>Warwick Aurelius (Drop) Uncoated Sandstone</t>
  </si>
  <si>
    <t>Warwick Aurelius (Drop) Uncoated Shadow</t>
  </si>
  <si>
    <t>Warwick Aurelius (Drop) Uncoated Shale</t>
  </si>
  <si>
    <t>Warwick Aurelius (Drop) Uncoated Sky</t>
  </si>
  <si>
    <t>Warwick Aurelius (Drop) Uncoated Snow</t>
  </si>
  <si>
    <t>Warwick Aurelius (Drop) Uncoated Vanilla</t>
  </si>
  <si>
    <t>Warwick Aurelius (Drop) Uncoated TBA</t>
  </si>
  <si>
    <t>Warwick Aurelius (Continous) Uncoated Bluestone</t>
  </si>
  <si>
    <t>Warwick Aurelius (Continous) Uncoated Blush</t>
  </si>
  <si>
    <t>Warwick Aurelius (Continous) Uncoated Ecru</t>
  </si>
  <si>
    <t>Warwick Aurelius (Continous) Uncoated Feather</t>
  </si>
  <si>
    <t>Warwick Aurelius (Continous) Uncoated Fog</t>
  </si>
  <si>
    <t>Warwick Aurelius (Continous) Uncoated Nougat</t>
  </si>
  <si>
    <t>Warwick Aurelius (Continous) Uncoated Parchment</t>
  </si>
  <si>
    <t>Warwick Aurelius (Continous) Uncoated Pebble</t>
  </si>
  <si>
    <t>Warwick Aurelius (Continous) Uncoated Pumice</t>
  </si>
  <si>
    <t>Warwick Aurelius (Continous) Uncoated Sage</t>
  </si>
  <si>
    <t>Warwick Aurelius (Continous) Uncoated Sandstone</t>
  </si>
  <si>
    <t>Warwick Aurelius (Continous) Uncoated Shadow</t>
  </si>
  <si>
    <t>Warwick Aurelius (Continous) Uncoated Shale</t>
  </si>
  <si>
    <t>Warwick Aurelius (Continous) Uncoated Sky</t>
  </si>
  <si>
    <t>Warwick Aurelius (Continous) Uncoated Snow</t>
  </si>
  <si>
    <t>Warwick Aurelius (Continous) Uncoated Vanilla</t>
  </si>
  <si>
    <t>Warwick Aurelius (Continous) Uncoated TBA</t>
  </si>
  <si>
    <t>Warwick Wilde (Drop) Uncoated Driftwood</t>
  </si>
  <si>
    <t>Warwick Wilde (Drop) Uncoated Frost</t>
  </si>
  <si>
    <t>Warwick Wilde (Drop) Uncoated Linen</t>
  </si>
  <si>
    <t>Warwick Wilde (Drop) Uncoated Nero</t>
  </si>
  <si>
    <t>Warwick Wilde (Drop) Uncoated Pewter</t>
  </si>
  <si>
    <t>Warwick Wilde (Drop) Uncoated Rafiia</t>
  </si>
  <si>
    <t>Warwick Wilde (Drop) Uncoated Rice</t>
  </si>
  <si>
    <t>Warwick Wilde (Drop) Uncoated Sand</t>
  </si>
  <si>
    <t>Warwick Wilde (Drop) Uncoated Slate</t>
  </si>
  <si>
    <t>Warwick Wilde (Drop) Uncoated TBA</t>
  </si>
  <si>
    <t>Filigree Sunliner (Continuous) Lining Ivory</t>
  </si>
  <si>
    <t>Filigree Sunliner (Continuous) Lining White</t>
  </si>
  <si>
    <t>Filigree Sunliner (Continuous) Lining TBA</t>
  </si>
  <si>
    <t>Filigree Sunliner (Drop) Lining Ivory</t>
  </si>
  <si>
    <t>Filigree Sunliner (Drop) Lining White</t>
  </si>
  <si>
    <t>Filigree Sunliner (Drop) Lining TBA</t>
  </si>
  <si>
    <t>50% Acrylic (Polyacrylic), 40% Polyester, 10% Linen</t>
  </si>
  <si>
    <t>92% Recycled Polyester, 8% Polyester</t>
  </si>
  <si>
    <t>White Fibreglass 250cm</t>
  </si>
  <si>
    <t>Warwick Calverton (Drop) Uncoated Basalt</t>
  </si>
  <si>
    <t>Warwick Calverton (Drop) Uncoated Burgundy</t>
  </si>
  <si>
    <t>Warwick Calverton (Drop) Uncoated Dune</t>
  </si>
  <si>
    <t>Warwick Calverton (Drop) Uncoated Evergreen</t>
  </si>
  <si>
    <t>Warwick Calverton (Drop) Uncoated Gold</t>
  </si>
  <si>
    <t>Warwick Calverton (Drop) Uncoated Marine</t>
  </si>
  <si>
    <t>Warwick Calverton (Drop) Uncoated Natural</t>
  </si>
  <si>
    <t>Warwick Calverton (Drop) Uncoated Orchid</t>
  </si>
  <si>
    <t>Warwick Calverton (Drop) Uncoated Pewter</t>
  </si>
  <si>
    <t>Warwick Calverton (Drop) Uncoated Rouge</t>
  </si>
  <si>
    <t>Warwick Calverton (Drop) Uncoated Seaglass</t>
  </si>
  <si>
    <t>Warwick Calverton (Drop) Uncoated Sky</t>
  </si>
  <si>
    <t>Warwick Calverton (Drop) Uncoated Steel</t>
  </si>
  <si>
    <t>Warwick Calverton (Drop) Uncoated Taupe</t>
  </si>
  <si>
    <t>Warwick Calverton (Drop) Uncoated TBA</t>
  </si>
  <si>
    <t>Filigree Chesterfield (Continous) Coated Chalk</t>
  </si>
  <si>
    <t>Ployester/Viscose</t>
  </si>
  <si>
    <t>Filigree Chesterfield (Continous) Coated Charcoal</t>
  </si>
  <si>
    <t>Filigree Chesterfield (Continous) Coated Cloud</t>
  </si>
  <si>
    <t>Filigree Chesterfield (Continous) Coated Denim</t>
  </si>
  <si>
    <t>Filigree Chesterfield (Continous) Coated Dew</t>
  </si>
  <si>
    <t>Filigree Chesterfield (Continous) Coated Duck Egg</t>
  </si>
  <si>
    <t>Filigree Chesterfield (Continous) Coated Flax</t>
  </si>
  <si>
    <t>Filigree Chesterfield (Continous) Coated Fog</t>
  </si>
  <si>
    <t>Filigree Chesterfield (Continous) Coated Granite</t>
  </si>
  <si>
    <t>Filigree Chesterfield (Continous) Coated Ice</t>
  </si>
  <si>
    <t xml:space="preserve">Filigree Chesterfield (Continous) Coated Linen </t>
  </si>
  <si>
    <t>Filigree Chesterfield (Continous) Coated Milk</t>
  </si>
  <si>
    <t>Filigree Chesterfield (Continous) Coated Slate</t>
  </si>
  <si>
    <t>Filigree Chesterfield (Continous) Coated Smoke</t>
  </si>
  <si>
    <t>Filigree Chesterfield (Continous) Coated Stone</t>
  </si>
  <si>
    <t>Filigree Chesterfield (Continous) Coated Wine</t>
  </si>
  <si>
    <t>Filigree Chesterfield (Continous) Coated TBA</t>
  </si>
  <si>
    <t>Maurice Kain Mauritius (Continuous) Uncoated Chalk</t>
  </si>
  <si>
    <t>Maurice Kain Mauritius (Continuous) Uncoated Linen</t>
  </si>
  <si>
    <t>Maurice Kain Mauritius (Continuous) Uncoated Flint</t>
  </si>
  <si>
    <t>Maurice Kain Mauritius (Continuous) Uncoated Silver</t>
  </si>
  <si>
    <t>Maurice Kain Mauritius (Continuous) Uncoated Stone</t>
  </si>
  <si>
    <t>Maurice Kain Mauritius (Continuous) Uncoated Pebble</t>
  </si>
  <si>
    <t>Maurice Kain Mauritius (Continuous) Uncoated Marble</t>
  </si>
  <si>
    <t>Maurice Kain Mauritius (Continuous) Uncoated Granite</t>
  </si>
  <si>
    <t>Zepel Silketti (Drop) Uncoated Cyan</t>
  </si>
  <si>
    <t>87% Polyester, 13% Viscose</t>
  </si>
  <si>
    <t>Zepel Silketti (Drop) Uncoated Marzipan</t>
  </si>
  <si>
    <t>Zepel Silketti (Drop) Uncoated Copper</t>
  </si>
  <si>
    <t>Zepel Silketti (Drop) Uncoated Shark</t>
  </si>
  <si>
    <t>Zepel Silketti (Drop) Uncoated Marble</t>
  </si>
  <si>
    <t>Zepel Silketti (Drop) Uncoated Adriatic</t>
  </si>
  <si>
    <t>Zepel Silketti (Cotinous) Uncoated Cyan</t>
  </si>
  <si>
    <t>Zepel Silketti (Cotinous) Uncoated Marzipan</t>
  </si>
  <si>
    <t>Zepel Silketti (Cotinous) Uncoated Copper</t>
  </si>
  <si>
    <t>Zepel Silketti (Cotinous) Uncoated Shark</t>
  </si>
  <si>
    <t>Zepel Silketti (Cotinous) Uncoated Marble</t>
  </si>
  <si>
    <t>Zepel Silketti (Cotinous) Uncoated Adriatic</t>
  </si>
  <si>
    <t>Zepel Silketti (Cotinous) Uncoated TBA</t>
  </si>
  <si>
    <t>Maurice Kain Tyrell (Drop) Uncoated Ash</t>
  </si>
  <si>
    <t>56% COTTON/ 44%POLY</t>
  </si>
  <si>
    <t>Maurice Kain Tyrell (Drop) Uncoated Frost</t>
  </si>
  <si>
    <t>Maurice Kain Tyrell (Drop) Uncoated Ice</t>
  </si>
  <si>
    <t>Maurice Kain Tyrell (Drop) Uncoated Mist</t>
  </si>
  <si>
    <t>Maurice Kain Tyrell (Drop) Uncoated Mink</t>
  </si>
  <si>
    <t>Maurice Kain Tyrell (Drop) Uncoated Oyster</t>
  </si>
  <si>
    <t>Maurice Kain Tyrell (Drop) Uncoated Pebble</t>
  </si>
  <si>
    <t>Maurice Kain Tyrell (Drop) Uncoated Petrel</t>
  </si>
  <si>
    <t>Maurice Kain Tyrell (Drop) Uncoated Ruby</t>
  </si>
  <si>
    <t>Maurice Kain Tyrell (Drop) Uncoated Silver</t>
  </si>
  <si>
    <t xml:space="preserve">Maurice Kain Tyrell (Drop) Uncoated Snow </t>
  </si>
  <si>
    <t>Maurice Kain Tyrell (Drop) Uncoated Steel</t>
  </si>
  <si>
    <t>Maurice Kain Tyrell (Drop) Uncoated Temple</t>
  </si>
  <si>
    <t>Maurice Kain Tyrell (Drop) Uncoated Winter</t>
  </si>
  <si>
    <t>Maurice Kain Tyrell (Drop) Uncoated TBA</t>
  </si>
  <si>
    <t>Raffles Aphrodite (Continuous) Uncoated Bright White</t>
  </si>
  <si>
    <t>53% Linen, 47% Cotton</t>
  </si>
  <si>
    <t>Raffles Aphrodite (Continuous) Uncoated Dove Grey</t>
  </si>
  <si>
    <t>Raffles Aphrodite (Continuous) Uncoated Mist</t>
  </si>
  <si>
    <t>Raffles Aphrodite (Continuous) Uncoated Pebble</t>
  </si>
  <si>
    <t>Raffles Aphrodite (Continuous) Uncoated Pelican</t>
  </si>
  <si>
    <t>Raffles Aphrodite (Continuous) Uncoated Petal</t>
  </si>
  <si>
    <t>Raffles Aphrodite (Continuous) Uncoated Pristine</t>
  </si>
  <si>
    <t>Raffles Aphrodite (Continuous) Uncoated Quartz</t>
  </si>
  <si>
    <t>Raffles Aphrodite (Continuous) Uncoated Safari</t>
  </si>
  <si>
    <t>Raffles Aphrodite (Continuous) Uncoated Sage</t>
  </si>
  <si>
    <t>Raffles Aphrodite (Continuous) Uncoated Snow</t>
  </si>
  <si>
    <t>Raffles Aphrodite (Continuous) Uncoated String</t>
  </si>
  <si>
    <t>Raffles Aphrodite (Continuous) Uncoated TBA</t>
  </si>
  <si>
    <t>Charles Parsons Brompton (Drop) Uncoated Biscotti</t>
  </si>
  <si>
    <t>58% POLYESTER, 42% COTTON</t>
  </si>
  <si>
    <t>Charles Parsons Brompton (Drop) Uncoated Duck Egg</t>
  </si>
  <si>
    <t>Charles Parsons Brompton (Drop) Uncoated Mocha</t>
  </si>
  <si>
    <t>Charles Parsons Brompton (Drop) Uncoated Putty</t>
  </si>
  <si>
    <t>Charles Parsons Brompton (Drop) Uncoated Red Lantern</t>
  </si>
  <si>
    <t>Charles Parsons Brompton (Drop) Uncoated Safari</t>
  </si>
  <si>
    <t>Charles Parsons Brompton (Drop) Uncoated White Pepper</t>
  </si>
  <si>
    <t>Charles Parsons Brompton (Drop) Uncoated Zest</t>
  </si>
  <si>
    <t>Charles Parsons Brompton (Drop) Uncoated TBA</t>
  </si>
  <si>
    <t>Charles Parsons Brompton (Continuous) Uncoated Bayleaf</t>
  </si>
  <si>
    <t>Charles Parsons Brompton (Continuous) Uncoated Biscotti</t>
  </si>
  <si>
    <t>Charles Parsons Brompton (Continuous) Uncoated Duck Egg</t>
  </si>
  <si>
    <t>Charles Parsons Brompton (Continuous) Uncoated Mocha</t>
  </si>
  <si>
    <t>Charles Parsons Brompton (Continuous) Uncoated Putty</t>
  </si>
  <si>
    <t>Charles Parsons Brompton (Continuous) Uncoated Red Lantern</t>
  </si>
  <si>
    <t>Charles Parsons Brompton (Continuous) Uncoated Safari</t>
  </si>
  <si>
    <t>Charles Parsons Brompton (Continuous) Uncoated White Pepper</t>
  </si>
  <si>
    <t>Charles Parsons Brompton (Continuous) Uncoated Zest</t>
  </si>
  <si>
    <t>Charles Parsons Brompton (Continuous) Uncoated TBA</t>
  </si>
  <si>
    <t>Charles Parsons Ashridge V2 (Continuous) Uncoated Limestone</t>
  </si>
  <si>
    <t>67% POLYESTER, 33% COTTON</t>
  </si>
  <si>
    <t>Charles Parsons Ashridge V2 (Continuous) Uncoated Cameo</t>
  </si>
  <si>
    <t>Charles Parsons Ashridge V2 (Continuous) Uncoated Celadon</t>
  </si>
  <si>
    <t>Charles Parsons Ashridge V2 (Continuous) Uncoated Heather</t>
  </si>
  <si>
    <t>Charles Parsons Ashridge V2 (Continuous) Uncoated Lake</t>
  </si>
  <si>
    <t>Charles Parsons Ashridge V2 (Continuous) Uncoated Macadamia</t>
  </si>
  <si>
    <t>Charles Parsons Ashridge V2 (Continuous) Uncoated Mirage</t>
  </si>
  <si>
    <t>Charles Parsons Ashridge V2 (Continuous) Uncoated Mocha</t>
  </si>
  <si>
    <t>Charles Parsons Ashridge V2 (Continuous) Uncoated Shell</t>
  </si>
  <si>
    <t>Charles Parsons Ashridge V2 (Continuous) Uncoated Zinc</t>
  </si>
  <si>
    <t>Charles Parsons Ashridge V2 (Continuous) Uncoated TBA</t>
  </si>
  <si>
    <t>Charles Parsons Ashridge V2 (Drop) Uncoated Limestone</t>
  </si>
  <si>
    <t>Charles Parsons Ashridge V2 (Drop) Uncoated Cameo</t>
  </si>
  <si>
    <t>Charles Parsons Ashridge V2 (Drop) Uncoated Celadon</t>
  </si>
  <si>
    <t>Charles Parsons Ashridge V2 (Drop) Uncoated Heather</t>
  </si>
  <si>
    <t>Charles Parsons Ashridge V2 (Drop) Uncoated Lake</t>
  </si>
  <si>
    <t>Charles Parsons Ashridge V2 (Drop) Uncoated Macadamia</t>
  </si>
  <si>
    <t>Charles Parsons Ashridge V2 (Drop) Uncoated Mirage</t>
  </si>
  <si>
    <t>Charles Parsons Ashridge V2 (Drop) Uncoated Mocha</t>
  </si>
  <si>
    <t>Charles Parsons Ashridge V2 (Drop) Uncoated Shell</t>
  </si>
  <si>
    <t>Charles Parsons Ashridge V2 (Drop) Uncoated Zinc</t>
  </si>
  <si>
    <t>Charles Parsons Ashridge V2 (Drop) Uncoated TBA</t>
  </si>
  <si>
    <t>Zepel Elevate (Continuous) Sheer Cement</t>
  </si>
  <si>
    <t>3440</t>
  </si>
  <si>
    <t>Zepel Elevate (Continuous) Sheer Deep Sea</t>
  </si>
  <si>
    <t>Zepel Elevate (Continuous) Sheer Flax</t>
  </si>
  <si>
    <t>Zepel Elevate (Continuous) Sheer Frost</t>
  </si>
  <si>
    <t>Zepel Elevate (Continuous) Sheer Mid Grey</t>
  </si>
  <si>
    <t>Zepel Elevate (Continuous) Sheer Oat</t>
  </si>
  <si>
    <t>Zepel Elevate (Continuous) Sheer Paper</t>
  </si>
  <si>
    <t>Zepel Elevate (Continuous) Sheer Pearl</t>
  </si>
  <si>
    <t>Zepel Elevate (Continuous) Sheer Petal</t>
  </si>
  <si>
    <t>Zepel Elevate (Continuous) Sheer Sage</t>
  </si>
  <si>
    <t>Zepel Elevate (Continuous) Sheer Shibori</t>
  </si>
  <si>
    <t>Zepel Elevate (Continuous) Sheer Sky</t>
  </si>
  <si>
    <t>Zepel Elevate (Continuous) Sheer Slate</t>
  </si>
  <si>
    <t>Zepel Elevate (Continuous) Sheer Winter</t>
  </si>
  <si>
    <t>Zepel Elevate (Continuous) Sheer Zinc</t>
  </si>
  <si>
    <t>Zepel Elevate (Continuous) Sheer TBA</t>
  </si>
  <si>
    <t>30% Cotton, 70% Polyester</t>
  </si>
  <si>
    <t>Zepel Rhyme (Drop) Sheer Aluminium</t>
  </si>
  <si>
    <t>3020</t>
  </si>
  <si>
    <t>Zepel Rhyme (Drop) Sheer Blush</t>
  </si>
  <si>
    <t>Zepel Rhyme (Drop) Sheer Ecru</t>
  </si>
  <si>
    <t>Zepel Rhyme (Drop) Sheer Fog</t>
  </si>
  <si>
    <t>Zepel Rhyme (Drop) Sheer Leaf</t>
  </si>
  <si>
    <t>Zepel Rhyme (Drop) Sheer Onyx</t>
  </si>
  <si>
    <t>Zepel Rhyme (Drop) Sheer Oyster</t>
  </si>
  <si>
    <t>Zepel Rhyme (Drop) Sheer Pearl</t>
  </si>
  <si>
    <t>Zepel Rhyme (Drop) Sheer Pool</t>
  </si>
  <si>
    <t>Zepel Rhyme (Drop) Sheer Pure</t>
  </si>
  <si>
    <t>Zepel Rhyme (Drop) Sheer Raven</t>
  </si>
  <si>
    <t>Zepel Rhyme (Drop) Sheer Scuba</t>
  </si>
  <si>
    <t>Zepel Rhyme (Drop) Sheer Silver</t>
  </si>
  <si>
    <t>Zepel Rhyme (Drop) Sheer Sky</t>
  </si>
  <si>
    <t>Zepel Rhyme (Drop) Sheer Slate</t>
  </si>
  <si>
    <t>Zepel Rhyme (Drop) Sheer Spring</t>
  </si>
  <si>
    <t>Zepel Rhyme (Drop) Sheer Sterling</t>
  </si>
  <si>
    <t>Zepel Rhyme (Drop) Sheer Teal</t>
  </si>
  <si>
    <t>Zepel Rhyme (Drop) Sheer TBA</t>
  </si>
  <si>
    <t>Zepel Casamance Kanso 3970 (Drop) Sheer 3970 01 84</t>
  </si>
  <si>
    <t>50% Polyester, 40% Linen, 10% Viscose (Rayon)</t>
  </si>
  <si>
    <t>Zepel Casamance Kanso 3970 (Drop) Sheer 3970 02 82</t>
  </si>
  <si>
    <t>Zepel Casamance Kanso 3970 (Drop) Sheer 3970 03 80</t>
  </si>
  <si>
    <t>Zepel Casamance Kanso 3970 (Drop) Sheer 3970 04 78</t>
  </si>
  <si>
    <t>Zepel Casamance Kanso 3970 (Drop) Sheer 3970 05 76</t>
  </si>
  <si>
    <t>Zepel Casamance Kanso 3970 (Drop) Sheer 3970 06 74</t>
  </si>
  <si>
    <t>Zepel Casamance Kanso 3970 (Drop) Sheer 3970 07 72</t>
  </si>
  <si>
    <t>Zepel Casamance Kanso 3970 (Drop) Sheer 3970 08 70</t>
  </si>
  <si>
    <t>Zepel Casamance Kanso 3970 (Drop) Sheer 3970 09 68</t>
  </si>
  <si>
    <t>Zepel Casamance Kanso 3970 (Drop) Sheer 3970 10 66</t>
  </si>
  <si>
    <t>Zepel Casamance Kanso 3970 (Drop) Sheer 3970 11 64</t>
  </si>
  <si>
    <t>Zepel Casamance Kanso 3970 (Drop) Sheer 3970 13 60</t>
  </si>
  <si>
    <t>Zepel Casamance Kanso 3970 (Drop) Sheer 3970 14 58</t>
  </si>
  <si>
    <t>Zepel Casamance Kanso 3970 (Drop) Sheer 3970 15 56</t>
  </si>
  <si>
    <t>Zepel Casamance Kanso 3970 (Drop) Sheer 3970 16 54</t>
  </si>
  <si>
    <t>Zepel Casamance Kanso 3970 (Drop) Sheer 3970 17 52</t>
  </si>
  <si>
    <t>Zepel Casamance Kanso 3970 (Drop) Sheer 3970 18 50</t>
  </si>
  <si>
    <t>Zepel Casamance Kanso 3970 (Drop) Sheer 3970 19 48</t>
  </si>
  <si>
    <t>Zepel Casamance Kanso 3970 (Drop) Sheer 3970 20 46</t>
  </si>
  <si>
    <t>Zepel Casamance Kanso 3970 (Drop) Sheer 3970 21 44</t>
  </si>
  <si>
    <t>Zepel Casamance Kanso 3970 (Drop) Sheer 3970 22 42</t>
  </si>
  <si>
    <t>Zepel Casamance Kanso 3970 (Drop) Sheer 3970 23 40</t>
  </si>
  <si>
    <t>Zepel Casamance Kanso 3970 (Drop) Sheer 3970 24 38</t>
  </si>
  <si>
    <t>Zepel Casamance Kanso 3970 (Drop) Sheer 3970 25 36</t>
  </si>
  <si>
    <t>Zepel Casamance Kanso 3970 (Drop) Sheer 3970 26 34</t>
  </si>
  <si>
    <t>Zepel Casamance Kanso 3970 (Drop) Sheer 3970 27 32</t>
  </si>
  <si>
    <t>Zepel Casamance Kanso 3970 (Drop) Sheer 3970 28 30</t>
  </si>
  <si>
    <t>Zepel Casamance Kanso 3970 (Drop) Sheer 3970 30 26</t>
  </si>
  <si>
    <t>Zepel Casamance Kanso 3970 (Drop) Sheer 3970 31 24</t>
  </si>
  <si>
    <t>Zepel Casamance Kanso 3970 (Drop) Sheer 3970 32 22</t>
  </si>
  <si>
    <t>Zepel Casamance Kanso 3970 (Drop) Sheer 3970 33 20</t>
  </si>
  <si>
    <t>Zepel Casamance Kanso 3970 (Drop) Sheer 3970 34 18</t>
  </si>
  <si>
    <t>Zepel Casamance Kanso 3970 (Drop) Sheer 3970 35 16</t>
  </si>
  <si>
    <t>Zepel Casamance Kanso 3970 (Drop) Sheer 3970 36 14</t>
  </si>
  <si>
    <t>Zepel Casamance Kanso 3970 (Drop) Sheer 3970 37 12</t>
  </si>
  <si>
    <t>Zepel Casamance Kanso 3970 (Drop) Sheer 3970 38 10</t>
  </si>
  <si>
    <t>Zepel Casamance Kanso 3970 (Drop) Sheer 3970 39 08</t>
  </si>
  <si>
    <t>Zepel Casamance Kanso 3970 (Drop) Sheer TBA</t>
  </si>
  <si>
    <t>Zepel Casamance Kanso 3970 (Continuous) Sheer 3970 01 84</t>
  </si>
  <si>
    <t>Zepel Casamance Kanso 3970 (Continuous) Sheer 3970 02 82</t>
  </si>
  <si>
    <t>Zepel Casamance Kanso 3970 (Continuous) Sheer 3970 03 80</t>
  </si>
  <si>
    <t>Zepel Casamance Kanso 3970 (Continuous) Sheer 3970 04 78</t>
  </si>
  <si>
    <t>Zepel Casamance Kanso 3970 (Continuous) Sheer 3970 05 76</t>
  </si>
  <si>
    <t>Zepel Casamance Kanso 3970 (Continuous) Sheer 3970 06 74</t>
  </si>
  <si>
    <t>Zepel Casamance Kanso 3970 (Continuous) Sheer 3970 07 72</t>
  </si>
  <si>
    <t>Zepel Casamance Kanso 3970 (Continuous) Sheer 3970 08 70</t>
  </si>
  <si>
    <t>Zepel Casamance Kanso 3970 (Continuous) Sheer 3970 09 68</t>
  </si>
  <si>
    <t>Zepel Casamance Kanso 3970 (Continuous) Sheer 3970 10 66</t>
  </si>
  <si>
    <t>Zepel Casamance Kanso 3970 (Continuous) Sheer 3970 11 64</t>
  </si>
  <si>
    <t>Zepel Casamance Kanso 3970 (Continuous) Sheer 3970 13 60</t>
  </si>
  <si>
    <t>Zepel Casamance Kanso 3970 (Continuous) Sheer 3970 14 58</t>
  </si>
  <si>
    <t>Zepel Casamance Kanso 3970 (Continuous) Sheer 3970 15 56</t>
  </si>
  <si>
    <t>Zepel Casamance Kanso 3970 (Continuous) Sheer 3970 16 54</t>
  </si>
  <si>
    <t>Zepel Casamance Kanso 3970 (Continuous) Sheer 3970 17 52</t>
  </si>
  <si>
    <t>Zepel Casamance Kanso 3970 (Continuous) Sheer 3970 18 50</t>
  </si>
  <si>
    <t>Zepel Casamance Kanso 3970 (Continuous) Sheer 3970 19 48</t>
  </si>
  <si>
    <t>Zepel Casamance Kanso 3970 (Continuous) Sheer 3970 20 46</t>
  </si>
  <si>
    <t>Zepel Casamance Kanso 3970 (Continuous) Sheer 3970 21 44</t>
  </si>
  <si>
    <t>Zepel Casamance Kanso 3970 (Continuous) Sheer 3970 22 42</t>
  </si>
  <si>
    <t>Zepel Casamance Kanso 3970 (Continuous) Sheer 3970 23 40</t>
  </si>
  <si>
    <t>Zepel Casamance Kanso 3970 (Continuous) Sheer 3970 24 38</t>
  </si>
  <si>
    <t>Zepel Casamance Kanso 3970 (Continuous) Sheer 3970 25 36</t>
  </si>
  <si>
    <t>Zepel Casamance Kanso 3970 (Continuous) Sheer 3970 26 34</t>
  </si>
  <si>
    <t>Zepel Casamance Kanso 3970 (Continuous) Sheer 3970 27 32</t>
  </si>
  <si>
    <t>Zepel Casamance Kanso 3970 (Continuous) Sheer 3970 28 30</t>
  </si>
  <si>
    <t>Zepel Casamance Kanso 3970 (Continuous) Sheer 3970 30 26</t>
  </si>
  <si>
    <t>Zepel Casamance Kanso 3970 (Continuous) Sheer 3970 31 24</t>
  </si>
  <si>
    <t>Zepel Casamance Kanso 3970 (Continuous) Sheer 3970 32 22</t>
  </si>
  <si>
    <t>Zepel Casamance Kanso 3970 (Continuous) Sheer 3970 33 20</t>
  </si>
  <si>
    <t>Zepel Casamance Kanso 3970 (Continuous) Sheer 3970 34 18</t>
  </si>
  <si>
    <t>Zepel Casamance Kanso 3970 (Continuous) Sheer 3970 35 16</t>
  </si>
  <si>
    <t>Zepel Casamance Kanso 3970 (Continuous) Sheer 3970 36 14</t>
  </si>
  <si>
    <t>Zepel Casamance Kanso 3970 (Continuous) Sheer 3970 37 12</t>
  </si>
  <si>
    <t>Zepel Casamance Kanso 3970 (Continuous) Sheer 3970 38 10</t>
  </si>
  <si>
    <t>Zepel Casamance Kanso 3970 (Continuous) Sheer 3970 39 08</t>
  </si>
  <si>
    <t>Zepel Casamance Kanso 3970 (Continuous) Sheer TBA</t>
  </si>
  <si>
    <t>HW</t>
  </si>
  <si>
    <t>Raffles Sirocco (Continuous) Sheer White</t>
  </si>
  <si>
    <t>100% Polyester, Acrylic Coated With Flocked Finish</t>
  </si>
  <si>
    <t>C6W</t>
  </si>
  <si>
    <t>Hoad Seville (Continuous) Sheer Ore</t>
  </si>
  <si>
    <t>Hoad Seville (Continuous) Sheer Moss</t>
  </si>
  <si>
    <t>Hoad Seville (Continuous) Sheer Dove</t>
  </si>
  <si>
    <t>Hoad Seville (Continuous) Sheer Pearl</t>
  </si>
  <si>
    <t>Hoad Seville (Continuous) Sheer Ocean</t>
  </si>
  <si>
    <t>Hoad Seville (Continuous) Sheer Linen</t>
  </si>
  <si>
    <t>Hoad Seville (Continuous) Sheer Pebble</t>
  </si>
  <si>
    <t>Hoad Seville (Continuous) Sheer Natural</t>
  </si>
  <si>
    <t>Hoad Seville (Continuous) Sheer TBA</t>
  </si>
  <si>
    <t>Hoad Bayview (Continuous) Sheer Sage</t>
  </si>
  <si>
    <t>Hoad Bayview (Continuous) Sheer Rope</t>
  </si>
  <si>
    <t>Hoad Bayview (Continuous) Sheer Ivory</t>
  </si>
  <si>
    <t>Hoad Bayview (Continuous) Sheer Linen</t>
  </si>
  <si>
    <t>Hoad Bayview (Continuous) Sheer White</t>
  </si>
  <si>
    <t>Hoad Bayview (Continuous) Sheer Silver</t>
  </si>
  <si>
    <t>Hoad Bayview (Continuous) Sheer Cotton</t>
  </si>
  <si>
    <t>Hoad Bayview (Continuous) Sheer Pacific</t>
  </si>
  <si>
    <t>Hoad Bayview (Continuous) Sheer Seafoam</t>
  </si>
  <si>
    <t>Hoad Bayview (Continuous) Sheer Eggshell</t>
  </si>
  <si>
    <t>Hoad Bayview (Continuous) Sheer Moonlight</t>
  </si>
  <si>
    <t>Hoad Bayview (Continuous) Sheer TBA</t>
  </si>
  <si>
    <t>Warwick Bonita (Drop) Uncoated Eucalyptus</t>
  </si>
  <si>
    <t>Warwick Bonita (Drop) Uncoated Grey</t>
  </si>
  <si>
    <t>Warwick Bonita (Drop) Uncoated Ink</t>
  </si>
  <si>
    <t>Warwick Bonita (Drop) Uncoated Natural</t>
  </si>
  <si>
    <t>Warwick Bonita (Drop) Uncoated Ochre</t>
  </si>
  <si>
    <t>Warwick Bonita (Drop) Uncoated Sky</t>
  </si>
  <si>
    <t>Warwick Bonita (Drop) Uncoated Terracotta</t>
  </si>
  <si>
    <t>Warwick Bonita (Drop) Uncoated TBA</t>
  </si>
  <si>
    <t>Warwick Hinterland (Drop) Uncoated Charcoal</t>
  </si>
  <si>
    <t>Warwick Hinterland (Drop) Uncoated Cobalt</t>
  </si>
  <si>
    <t>Warwick Hinterland (Drop) Uncoated Natural</t>
  </si>
  <si>
    <t>Warwick Hinterland (Drop) Uncoated Spring</t>
  </si>
  <si>
    <t>Warwick Hinterland (Drop) Uncoated TBA</t>
  </si>
  <si>
    <t>Warwick Barshi (Drop) Uncoated Mineral</t>
  </si>
  <si>
    <t>Warwick Barshi (Drop) Uncoated TBA</t>
  </si>
  <si>
    <t>69% Linen, 31% Viscose (Rayon)</t>
  </si>
  <si>
    <t>Warwick Icon (Continuous) Uncoated Admiral</t>
  </si>
  <si>
    <t>Warwick Icon (Continuous) Uncoated Aqua</t>
  </si>
  <si>
    <t>Warwick Icon (Continuous) Uncoated Ash</t>
  </si>
  <si>
    <t>Warwick Icon (Continuous) Uncoated Birch</t>
  </si>
  <si>
    <t>Warwick Icon (Continuous) Uncoated Brindle</t>
  </si>
  <si>
    <t>Warwick Icon (Continuous) Uncoated Buttercup</t>
  </si>
  <si>
    <t>Warwick Icon (Continuous) Uncoated Dove</t>
  </si>
  <si>
    <t>Warwick Icon (Continuous) Uncoated Driftwood</t>
  </si>
  <si>
    <t>Warwick Icon (Continuous) Uncoated Duckegg</t>
  </si>
  <si>
    <t>Warwick Icon (Continuous) Uncoated Ecru</t>
  </si>
  <si>
    <t>Warwick Icon (Continuous) Uncoated Jasper</t>
  </si>
  <si>
    <t>Warwick Icon (Continuous) Uncoated Linen</t>
  </si>
  <si>
    <t>Warwick Icon (Continuous) Uncoated Midnight</t>
  </si>
  <si>
    <t>Warwick Icon (Continuous) Uncoated Navy</t>
  </si>
  <si>
    <t>Warwick Icon (Continuous) Uncoated Pearl</t>
  </si>
  <si>
    <t>Warwick Icon (Continuous) Uncoated Petal</t>
  </si>
  <si>
    <t>Warwick Icon (Continuous) Uncoated Pewter</t>
  </si>
  <si>
    <t>Warwick Icon (Continuous) Uncoated Pigeon</t>
  </si>
  <si>
    <t>Warwick Icon (Continuous) Uncoated Platinum</t>
  </si>
  <si>
    <t>Warwick Icon (Continuous) Uncoated Rice</t>
  </si>
  <si>
    <t>Warwick Icon (Continuous) Uncoated Seafoam</t>
  </si>
  <si>
    <t>Warwick Icon (Continuous) Uncoated Shell</t>
  </si>
  <si>
    <t>Warwick Icon (Continuous) Uncoated Silver</t>
  </si>
  <si>
    <t>Warwick Icon (Continuous) Uncoated Snow</t>
  </si>
  <si>
    <t>Warwick Icon (Continuous) Uncoated Steel</t>
  </si>
  <si>
    <t>Warwick Icon (Continuous) Uncoated Vanilla</t>
  </si>
  <si>
    <t>Warwick Icon (Continuous) Uncoated TBA</t>
  </si>
  <si>
    <t>18% RCY, 79% PES, 2% LIN</t>
  </si>
  <si>
    <t>Maurice Kain Mauritius (Continuous) Uncoated Driftwood</t>
  </si>
  <si>
    <t>Maurice Kain Mauritius (Continuous) Uncoated Ice</t>
  </si>
  <si>
    <t>Filigree Supremo (Continuous) Sheer Ivory</t>
  </si>
  <si>
    <t>Filigree Supremo (Continuous) Sheer Fog</t>
  </si>
  <si>
    <t>60% Polyester 40% Linen</t>
  </si>
  <si>
    <t>Raffles Zoe (Continuous) Sheer Ivory</t>
  </si>
  <si>
    <t>Raffles Zoe (Continuous) Sheer Oatmeal</t>
  </si>
  <si>
    <t>Raffles Zoe (Continuous) Sheer Sage</t>
  </si>
  <si>
    <t>Raffles Zoe (Continuous) Sheer Shadow</t>
  </si>
  <si>
    <t>Raffles Zoe (Continuous) Sheer White</t>
  </si>
  <si>
    <t>Raffles Zoe (Continuous) Sheer TBA</t>
  </si>
  <si>
    <t>Zepel Grove (Drop) Uncoated Aluminium</t>
  </si>
  <si>
    <t>Zepel Grove (Drop) Uncoated Beaver</t>
  </si>
  <si>
    <t>Zepel Grove (Drop) Uncoated Champagne</t>
  </si>
  <si>
    <t>Zepel Grove (Drop) Uncoated Charcoal</t>
  </si>
  <si>
    <t>Zepel Grove (Drop) Uncoated Denim</t>
  </si>
  <si>
    <t>Zepel Grove (Drop) Uncoated Dove</t>
  </si>
  <si>
    <t>Zepel Grove (Drop) Uncoated Dragonfly</t>
  </si>
  <si>
    <t>Zepel Grove (Drop) Uncoated Fog</t>
  </si>
  <si>
    <t>Zepel Grove (Drop) Uncoated Funghi</t>
  </si>
  <si>
    <t>Zepel Grove (Drop) Uncoated Horizon</t>
  </si>
  <si>
    <t>Zepel Grove (Drop) Uncoated Hunter</t>
  </si>
  <si>
    <t>Zepel Grove (Drop) Uncoated Jade</t>
  </si>
  <si>
    <t>Zepel Grove (Drop) Uncoated Limestone</t>
  </si>
  <si>
    <t>Zepel Grove (Drop) Uncoated Linen</t>
  </si>
  <si>
    <t>Zepel Grove (Drop) Uncoated Lollipop</t>
  </si>
  <si>
    <t>Zepel Grove (Drop) Uncoated Lotus</t>
  </si>
  <si>
    <t>Zepel Grove (Drop) Uncoated Mimosa</t>
  </si>
  <si>
    <t>Zepel Grove (Drop) Uncoated Mineral</t>
  </si>
  <si>
    <t>Zepel Grove (Drop) Uncoated Night</t>
  </si>
  <si>
    <t>Zepel Grove (Drop) Uncoated Nougat</t>
  </si>
  <si>
    <t>Zepel Grove (Drop) Uncoated Papyrus</t>
  </si>
  <si>
    <t>Zepel Grove (Drop) Uncoated Pewter</t>
  </si>
  <si>
    <t>Zepel Grove (Drop) Uncoated Pool</t>
  </si>
  <si>
    <t>Zepel Grove (Drop) Uncoated Rabbit</t>
  </si>
  <si>
    <t>Zepel Grove (Drop) Uncoated Rattan</t>
  </si>
  <si>
    <t>Zepel Grove (Drop) Uncoated Reef</t>
  </si>
  <si>
    <t>Zepel Grove (Drop) Uncoated Sand</t>
  </si>
  <si>
    <t>Zepel Grove (Drop) Uncoated Seagrass</t>
  </si>
  <si>
    <t>Zepel Grove (Drop) Uncoated Sesame</t>
  </si>
  <si>
    <t>Zepel Grove (Drop) Uncoated Sienna</t>
  </si>
  <si>
    <t>Zepel Grove (Drop) Uncoated Silver</t>
  </si>
  <si>
    <t>Zepel Grove (Drop) Uncoated Snow</t>
  </si>
  <si>
    <t>Zepel Grove (Drop) Uncoated Spa</t>
  </si>
  <si>
    <t>Zepel Grove (Drop) Uncoated Steel</t>
  </si>
  <si>
    <t>Zepel Grove (Drop) Uncoated Stellar</t>
  </si>
  <si>
    <t>Zepel Grove (Drop) Uncoated TBA</t>
  </si>
  <si>
    <t>Zepel Grove (Continuous) Uncoated Aluminium</t>
  </si>
  <si>
    <t>Zepel Grove (Continuous) Uncoated Beaver</t>
  </si>
  <si>
    <t>Zepel Grove (Continuous) Uncoated Champagne</t>
  </si>
  <si>
    <t>Zepel Grove (Continuous) Uncoated Charcoal</t>
  </si>
  <si>
    <t>Zepel Grove (Continuous) Uncoated Denim</t>
  </si>
  <si>
    <t>Zepel Grove (Continuous) Uncoated Dove</t>
  </si>
  <si>
    <t>Zepel Grove (Continuous) Uncoated Dragonfly</t>
  </si>
  <si>
    <t>Zepel Grove (Continuous) Uncoated Fog</t>
  </si>
  <si>
    <t>Zepel Grove (Continuous) Uncoated Funghi</t>
  </si>
  <si>
    <t>Zepel Grove (Continuous) Uncoated Horizon</t>
  </si>
  <si>
    <t>Zepel Grove (Continuous) Uncoated Hunter</t>
  </si>
  <si>
    <t>Zepel Grove (Continuous) Uncoated Jade</t>
  </si>
  <si>
    <t>Zepel Grove (Continuous) Uncoated Limestone</t>
  </si>
  <si>
    <t>Zepel Grove (Continuous) Uncoated Linen</t>
  </si>
  <si>
    <t>Zepel Grove (Continuous) Uncoated Lollipop</t>
  </si>
  <si>
    <t>Zepel Grove (Continuous) Uncoated Lotus</t>
  </si>
  <si>
    <t>Zepel Grove (Continuous) Uncoated Mimosa</t>
  </si>
  <si>
    <t>Zepel Grove (Continuous) Uncoated Mineral</t>
  </si>
  <si>
    <t>Zepel Grove (Continuous) Uncoated Night</t>
  </si>
  <si>
    <t>Zepel Grove (Continuous) Uncoated Nougat</t>
  </si>
  <si>
    <t>Zepel Grove (Continuous) Uncoated Papyrus</t>
  </si>
  <si>
    <t>Zepel Grove (Continuous) Uncoated Pewter</t>
  </si>
  <si>
    <t>Zepel Grove (Continuous) Uncoated Pool</t>
  </si>
  <si>
    <t>Zepel Grove (Continuous) Uncoated Rabbit</t>
  </si>
  <si>
    <t>Zepel Grove (Continuous) Uncoated Rattan</t>
  </si>
  <si>
    <t>Zepel Grove (Continuous) Uncoated Reef</t>
  </si>
  <si>
    <t>Zepel Grove (Continuous) Uncoated Sand</t>
  </si>
  <si>
    <t>Zepel Grove (Continuous) Uncoated Seagrass</t>
  </si>
  <si>
    <t>Zepel Grove (Continuous) Uncoated Sesame</t>
  </si>
  <si>
    <t>Zepel Grove (Continuous) Uncoated Sienna</t>
  </si>
  <si>
    <t>Zepel Grove (Continuous) Uncoated Silver</t>
  </si>
  <si>
    <t>Zepel Grove (Continuous) Uncoated Snow</t>
  </si>
  <si>
    <t>Zepel Grove (Continuous) Uncoated Spa</t>
  </si>
  <si>
    <t>Zepel Grove (Continuous) Uncoated Steel</t>
  </si>
  <si>
    <t>Zepel Grove (Continuous) Uncoated Stellar</t>
  </si>
  <si>
    <t>Zepel Grove (Continuous) Uncoated TBA</t>
  </si>
  <si>
    <t>Slender Morris Betony (Drop) Uncoated Clementine</t>
  </si>
  <si>
    <t>Slender Morris Betony (Drop) Uncoated Cobalt</t>
  </si>
  <si>
    <t>Slender Morris Betony (Drop) Uncoated Cornflower</t>
  </si>
  <si>
    <t>Slender Morris Betony (Drop) Uncoated Eucalyptus</t>
  </si>
  <si>
    <t>Slender Morris Betony (Drop) Uncoated Lavender</t>
  </si>
  <si>
    <t>Slender Morris Betony (Drop) Uncoated Rosewood</t>
  </si>
  <si>
    <t>Slender Morris Betony (Drop) Uncoated TBA</t>
  </si>
  <si>
    <t>Zepel Iconic (Continuous) Uncoated Birch</t>
  </si>
  <si>
    <t>62% Recycled Polyester 38% Polyester</t>
  </si>
  <si>
    <t>Zepel Iconic (Continuous) Uncoated Bonbon</t>
  </si>
  <si>
    <t>Zepel Iconic (Continuous) Uncoated Chinchilla</t>
  </si>
  <si>
    <t>Zepel Iconic (Continuous) Uncoated Dune</t>
  </si>
  <si>
    <t>Zepel Iconic (Continuous) Uncoated Fountain</t>
  </si>
  <si>
    <t>Zepel Iconic (Continuous) Uncoated Ivory</t>
  </si>
  <si>
    <t>Zepel Iconic (Continuous) Uncoated Lichen</t>
  </si>
  <si>
    <t>Zepel Iconic (Continuous) Uncoated Limestone</t>
  </si>
  <si>
    <t>Zepel Iconic (Continuous) Uncoated Night</t>
  </si>
  <si>
    <t>Zepel Iconic (Continuous) Uncoated Putty</t>
  </si>
  <si>
    <t>Zepel Iconic (Continuous) Uncoated Sand</t>
  </si>
  <si>
    <t>Zepel Iconic (Continuous) Uncoated Silver</t>
  </si>
  <si>
    <t>Zepel Iconic (Continuous) Uncoated Straw</t>
  </si>
  <si>
    <t>Zepel Iconic (Continuous) Uncoated Tea</t>
  </si>
  <si>
    <t>Zepel Iconic (Continuous) Uncoated TBA</t>
  </si>
  <si>
    <t>Charles Parsons Kintyre (Drop) Uncoated Alloy</t>
  </si>
  <si>
    <t>Charles Parsons Kintyre (Drop) Uncoated Charcoal</t>
  </si>
  <si>
    <t>Charles Parsons Kintyre (Drop) Uncoated Delft</t>
  </si>
  <si>
    <t>Charles Parsons Kintyre (Drop) Uncoated Navy</t>
  </si>
  <si>
    <t>Charles Parsons Kintyre (Drop) Uncoated Parsley</t>
  </si>
  <si>
    <t>Charles Parsons Kintyre (Drop) Uncoated Sandstone</t>
  </si>
  <si>
    <t>Charles Parsons Kintyre (Drop) Uncoated TBA</t>
  </si>
  <si>
    <t>Boldtrak Premo 115mm Bracket</t>
  </si>
  <si>
    <t>Boldtrak Premo 155mm Bracket</t>
  </si>
  <si>
    <t>Boldtrak Standard Double Bracket Suit 35mm on Front</t>
  </si>
  <si>
    <t>Boldtrak Standard Double Bracket Suit 25mm on Back</t>
  </si>
  <si>
    <t>Boldtrak Standard Double Bracket Suit 32mm on Back</t>
  </si>
  <si>
    <t>Boldtrak Standard Double Bracket Suit 35mm on Back</t>
  </si>
  <si>
    <t>Boldtrak Standard Double Bracket Suit 32mm on Front</t>
  </si>
  <si>
    <t>Boldtrak Standard Double Bracket Suit 25mm on Front</t>
  </si>
  <si>
    <t>53% Cotton 47% Polyester</t>
  </si>
  <si>
    <t>Zepel Silken (Drop) Sheer Aluminium</t>
  </si>
  <si>
    <t>Zepel Silken (Drop) Sheer Antelope</t>
  </si>
  <si>
    <t>Zepel Silken (Drop) Sheer Banana</t>
  </si>
  <si>
    <t>Zepel Silken (Drop) Sheer Bay</t>
  </si>
  <si>
    <t>Zepel Silken (Drop) Sheer Beige</t>
  </si>
  <si>
    <t>Zepel Silken (Drop) Sheer Blossom</t>
  </si>
  <si>
    <t>Zepel Silken (Drop) Sheer Blush</t>
  </si>
  <si>
    <t>Zepel Silken (Drop) Sheer Canyon</t>
  </si>
  <si>
    <t>Zepel Silken (Drop) Sheer Caramel</t>
  </si>
  <si>
    <t>Zepel Silken (Drop) Sheer Cloud</t>
  </si>
  <si>
    <t>Zepel Silken (Drop) Sheer Cream</t>
  </si>
  <si>
    <t>Zepel Silken (Drop) Sheer Crystal</t>
  </si>
  <si>
    <t>Zepel Silken (Drop) Sheer Fountain</t>
  </si>
  <si>
    <t>Zepel Silken (Drop) Sheer Gargoyle</t>
  </si>
  <si>
    <t>Zepel Silken (Drop) Sheer Garnet</t>
  </si>
  <si>
    <t>Zepel Silken (Drop) Sheer Granite</t>
  </si>
  <si>
    <t>Zepel Silken (Drop) Sheer Greige</t>
  </si>
  <si>
    <t>Zepel Silken (Drop) Sheer Horizon</t>
  </si>
  <si>
    <t xml:space="preserve">Zepel Silken (Drop) Sheer Ice </t>
  </si>
  <si>
    <t>Zepel Silken (Drop) Sheer Ivory</t>
  </si>
  <si>
    <t>Zepel Silken (Drop) Sheer Ivy</t>
  </si>
  <si>
    <t>Zepel Silken (Drop) Sheer Lilac</t>
  </si>
  <si>
    <t>Zepel Silken (Drop) Sheer Limestone</t>
  </si>
  <si>
    <t>Zepel Silken (Drop) Sheer Marzipan</t>
  </si>
  <si>
    <t>Zepel Silken (Drop) Sheer Moss</t>
  </si>
  <si>
    <t>Zepel Silken (Drop) Sheer Navy</t>
  </si>
  <si>
    <t>Zepel Silken (Drop) Sheer Olive</t>
  </si>
  <si>
    <t>Zepel Silken (Drop) Sheer Onyx</t>
  </si>
  <si>
    <t>Zepel Silken (Drop) Sheer Otter</t>
  </si>
  <si>
    <t>Zepel Silken (Drop) Sheer Oyster</t>
  </si>
  <si>
    <t>Zepel Silken (Drop) Sheer Parma</t>
  </si>
  <si>
    <t>Zepel Silken (Drop) Sheer Pelican</t>
  </si>
  <si>
    <t>Zepel Silken (Drop) Sheer Petal</t>
  </si>
  <si>
    <t>Zepel Silken (Drop) Sheer Pewter</t>
  </si>
  <si>
    <t>Zepel Silken (Drop) Sheer Plaza</t>
  </si>
  <si>
    <t>Zepel Silken (Drop) Sheer Plum</t>
  </si>
  <si>
    <t>Zepel Silken (Drop) Sheer Pool</t>
  </si>
  <si>
    <t>Zepel Silken (Drop) Sheer Rattan</t>
  </si>
  <si>
    <t>Zepel Silken (Drop) Sheer Rust</t>
  </si>
  <si>
    <t>Zepel Silken (Drop) Sheer Sesame</t>
  </si>
  <si>
    <t>Zepel Silken (Drop) Sheer Sienna</t>
  </si>
  <si>
    <t>Zepel Silken (Drop) Sheer Silver</t>
  </si>
  <si>
    <t>Zepel Silken (Drop) Sheer Sponge</t>
  </si>
  <si>
    <t>Zepel Silken (Drop) Sheer Spring</t>
  </si>
  <si>
    <t>Zepel Silken (Drop) Sheer Straw</t>
  </si>
  <si>
    <t>Zepel Silken (Drop) Sheer Sun</t>
  </si>
  <si>
    <t>Zepel Silken (Drop) Sheer Terrazzo</t>
  </si>
  <si>
    <t>Zepel Silken (Drop) Sheer Zinc</t>
  </si>
  <si>
    <t>Zepel Silken (Drop) Sheer TBA</t>
  </si>
  <si>
    <t>Warwick Lore (Drop) Uncoated Alpine</t>
  </si>
  <si>
    <t>59% Linen 41% Cotton</t>
  </si>
  <si>
    <t>Warwick Lore (Drop) Uncoated Birch</t>
  </si>
  <si>
    <t>Warwick Lore (Drop) Uncoated Chai</t>
  </si>
  <si>
    <t>Warwick Lore (Drop) Uncoated Chalk</t>
  </si>
  <si>
    <t>Warwick Lore (Drop) Uncoated Coin</t>
  </si>
  <si>
    <t>Warwick Lore (Drop) Uncoated Ecru</t>
  </si>
  <si>
    <t>Warwick Lore (Drop) Uncoated Eucalyptus</t>
  </si>
  <si>
    <t>Warwick Lore (Drop) Uncoated Flint</t>
  </si>
  <si>
    <t>Warwick Lore (Drop) Uncoated Honeycomb</t>
  </si>
  <si>
    <t>Warwick Lore (Drop) Uncoated Indigo</t>
  </si>
  <si>
    <t>Warwick Lore (Drop) Uncoated Ink</t>
  </si>
  <si>
    <t>Warwick Lore (Drop) Uncoated Lagoon</t>
  </si>
  <si>
    <t>Warwick Lore (Drop) Uncoated Mineral</t>
  </si>
  <si>
    <t>Warwick Lore (Drop) Uncoated Mist</t>
  </si>
  <si>
    <t>Warwick Lore (Drop) Uncoated Nectar</t>
  </si>
  <si>
    <t>Warwick Lore (Drop) Uncoated Onyx</t>
  </si>
  <si>
    <t>Warwick Lore (Drop) Uncoated Porcelain</t>
  </si>
  <si>
    <t>Warwick Lore (Drop) Uncoated Seaglass</t>
  </si>
  <si>
    <t>Warwick Lore (Drop) Uncoated Shadow</t>
  </si>
  <si>
    <t>Warwick Lore (Drop) Uncoated Slate</t>
  </si>
  <si>
    <t>Warwick Lore (Drop) Uncoated TBA</t>
  </si>
  <si>
    <t>Raffles Biblos (Continuous) Sheer Ivory</t>
  </si>
  <si>
    <t>HN</t>
  </si>
  <si>
    <t>Raffles Biblos (Continuous) Sheer Taue</t>
  </si>
  <si>
    <t>Raffles Biblos (Continuous) Sheer White</t>
  </si>
  <si>
    <t>Raffles Biblos (Continuous) Sheer TBA</t>
  </si>
  <si>
    <t>Maurice Kain Bergamo (Continuous) Sheer White</t>
  </si>
  <si>
    <t xml:space="preserve">Maurice Kain Bergamo (Continuous) Sheer Chalk </t>
  </si>
  <si>
    <t>Maurice Kain Bergamo (Continuous) Sheer Linen</t>
  </si>
  <si>
    <t>Maurice Kain Bergamo (Continuous) Sheer Natural</t>
  </si>
  <si>
    <t xml:space="preserve">Maurice Kain Bergamo (Continuous) Sheer Ash </t>
  </si>
  <si>
    <t>Maurice Kain Bergamo (Continuous) Sheer Parchment</t>
  </si>
  <si>
    <t>Maurice Kain Bergamo (Continuous) Sheer Stone</t>
  </si>
  <si>
    <t>Maurice Kain Bergamo (Continuous) Sheer Sabble</t>
  </si>
  <si>
    <t>Maurice Kain Bergamo (Continuous) Sheer Woodland</t>
  </si>
  <si>
    <t>Maurice Kain Bergamo (Continuous) Sheer Sky</t>
  </si>
  <si>
    <t>Maurice Kain Bergamo (Continuous) Sheer Mist</t>
  </si>
  <si>
    <t>Maurice Kain Bergamo (Continuous) Sheer Birch</t>
  </si>
  <si>
    <t>Maurice Kain Bergamo (Continuous) Sheer Granite</t>
  </si>
  <si>
    <t>Maurice Kain Bergamo (Continuous) Sheer Charcoal</t>
  </si>
  <si>
    <t>Maurice Kain Bergamo (Continuous) Sheer Ink</t>
  </si>
  <si>
    <t>Maurice Kain Bergamo (Continuous) Sheer TBA</t>
  </si>
  <si>
    <t xml:space="preserve">Maurice Kain Verona (Continuous) Sheer Ice </t>
  </si>
  <si>
    <t>Maurice Kain Verona (Continuous) Sheer Off White</t>
  </si>
  <si>
    <t>Maurice Kain Verona (Continuous) Sheer Ecru</t>
  </si>
  <si>
    <t>Maurice Kain Verona (Continuous) Sheer Vanilla</t>
  </si>
  <si>
    <t>Maurice Kain Verona (Continuous) Sheer Feather</t>
  </si>
  <si>
    <t>Maurice Kain Verona (Continuous) Sheer Almond</t>
  </si>
  <si>
    <t>Maurice Kain Verona (Continuous) Sheer Pebble</t>
  </si>
  <si>
    <t>Maurice Kain Verona (Continuous) Sheer Mink</t>
  </si>
  <si>
    <t>Maurice Kain Verona (Continuous) Sheer Timber</t>
  </si>
  <si>
    <t>Maurice Kain Verona (Continuous) Sheer Ocean</t>
  </si>
  <si>
    <t>Maurice Kain Verona (Continuous) Sheer Haze</t>
  </si>
  <si>
    <t>Maurice Kain Verona (Continuous) Sheer Frost</t>
  </si>
  <si>
    <t>Maurice Kain Verona (Continuous) Sheer Graphite</t>
  </si>
  <si>
    <t>Maurice Kain Verona (Continuous) Sheer Slate</t>
  </si>
  <si>
    <t>Maurice Kain Verona (Continuous) Sheer Indigo</t>
  </si>
  <si>
    <t>Maurice Kain Verona (Continuous) Sheer TBA</t>
  </si>
  <si>
    <t>Warwick Chirala (Drop) Uncoated Indigo</t>
  </si>
  <si>
    <t>Warwick Chirala (Drop) Uncoated Mineral</t>
  </si>
  <si>
    <t>Warwick Chirala (Drop) Uncoated TBA</t>
  </si>
  <si>
    <t>Warwick Kashid (Drop) Uncoated Indigo</t>
  </si>
  <si>
    <t>Warwick Kashid (Drop) Uncoated Mineral</t>
  </si>
  <si>
    <t>Warwick Kashid (Drop) Uncoated TBA</t>
  </si>
  <si>
    <t>Warwick Amboli (Drop) Uncoated Indigo</t>
  </si>
  <si>
    <t>Warwick Amboli (Drop) Uncoated Mineral</t>
  </si>
  <si>
    <t>Warwick Amboli (Drop) Uncoated TBA</t>
  </si>
  <si>
    <t>Filigree Cornelli - Roma (Drop) Sheer Ivory</t>
  </si>
  <si>
    <t>Filigree Cornelli - Roma (Drop) Sheer White</t>
  </si>
  <si>
    <t>Filigree Cornelli - Roma (Drop) Sheer TBA</t>
  </si>
  <si>
    <t>Filigree Cornelli - Crystal (Drop) Sheer Ivory</t>
  </si>
  <si>
    <t>Filigree Cornelli - Crystal (Drop) Sheer White</t>
  </si>
  <si>
    <t>Filigree Cornelli - Crystal (Drop) Sheer TBA</t>
  </si>
  <si>
    <t>Filigree Cornelli - Milan (Drop) Sheer Ivory</t>
  </si>
  <si>
    <t>Filigree Cornelli - Milan (Drop) Sheer White</t>
  </si>
  <si>
    <t>Filigree Cornelli - Milan (Drop) Sheer TBA</t>
  </si>
  <si>
    <t>Zepel Verbier (Continuous) Uncoated Amber</t>
  </si>
  <si>
    <t>Zepel Verbier (Continuous) Uncoated Aqua</t>
  </si>
  <si>
    <t>Zepel Verbier (Continuous) Uncoated Bark</t>
  </si>
  <si>
    <t>Zepel Verbier (Continuous) Uncoated Beaver</t>
  </si>
  <si>
    <t>Zepel Verbier (Continuous) Uncoated Berry</t>
  </si>
  <si>
    <t>Zepel Verbier (Continuous) Uncoated Cabernet</t>
  </si>
  <si>
    <t>Zepel Verbier (Continuous) Uncoated Camel</t>
  </si>
  <si>
    <t>Zepel Verbier (Continuous) Uncoated Camouflage</t>
  </si>
  <si>
    <t>Zepel Verbier (Continuous) Uncoated Captain</t>
  </si>
  <si>
    <t>Zepel Verbier (Continuous) Uncoated Chili</t>
  </si>
  <si>
    <t>Zepel Verbier (Continuous) Uncoated Dice</t>
  </si>
  <si>
    <t>Zepel Verbier (Continuous) Uncoated Dune</t>
  </si>
  <si>
    <t>Zepel Verbier (Continuous) Uncoated Elephant</t>
  </si>
  <si>
    <t>Zepel Verbier (Continuous) Uncoated Forest</t>
  </si>
  <si>
    <t>Zepel Verbier (Continuous) Uncoated Fossil</t>
  </si>
  <si>
    <t>Zepel Verbier (Continuous) Uncoated Funghi</t>
  </si>
  <si>
    <t>Zepel Verbier (Continuous) Uncoated Hay</t>
  </si>
  <si>
    <t>Zepel Verbier (Continuous) Uncoated Marble</t>
  </si>
  <si>
    <t>Zepel Verbier (Continuous) Uncoated Marshmallow</t>
  </si>
  <si>
    <t>Zepel Verbier (Continuous) Uncoated Moss</t>
  </si>
  <si>
    <t>Zepel Verbier (Continuous) Uncoated Navy</t>
  </si>
  <si>
    <t>Zepel Verbier (Continuous) Uncoated Oasis</t>
  </si>
  <si>
    <t>Zepel Verbier (Continuous) Uncoated Ocean</t>
  </si>
  <si>
    <t>Zepel Verbier (Continuous) Uncoated Otter</t>
  </si>
  <si>
    <t>Zepel Verbier (Continuous) Uncoated Peacock</t>
  </si>
  <si>
    <t>Zepel Verbier (Continuous) Uncoated Pebble</t>
  </si>
  <si>
    <t>Zepel Verbier (Continuous) Uncoated Petal</t>
  </si>
  <si>
    <t>Zepel Verbier (Continuous) Uncoated Pinecone</t>
  </si>
  <si>
    <t>Zepel Verbier (Continuous) Uncoated Plum</t>
  </si>
  <si>
    <t>Zepel Verbier (Continuous) Uncoated Porto</t>
  </si>
  <si>
    <t>Zepel Verbier (Continuous) Uncoated Rabbit</t>
  </si>
  <si>
    <t>Zepel Verbier (Continuous) Uncoated Sand</t>
  </si>
  <si>
    <t>Zepel Verbier (Continuous) Uncoated Scarlet</t>
  </si>
  <si>
    <t>Zepel Verbier (Continuous) Uncoated Scuba</t>
  </si>
  <si>
    <t>Zepel Verbier (Continuous) Uncoated Sesame</t>
  </si>
  <si>
    <t>Zepel Verbier (Continuous) Uncoated Shark</t>
  </si>
  <si>
    <t>Zepel Verbier (Continuous) Uncoated Sienna</t>
  </si>
  <si>
    <t>Zepel Verbier (Continuous) Uncoated Snowflake</t>
  </si>
  <si>
    <t>Zepel Verbier (Continuous) Uncoated Spice</t>
  </si>
  <si>
    <t>Zepel Verbier (Continuous) Uncoated Terra</t>
  </si>
  <si>
    <t>Zepel Verbier (Continuous) Uncoated Wool</t>
  </si>
  <si>
    <t>Zepel Verbier (Continuous) Uncoated TBA</t>
  </si>
  <si>
    <t>Raffles Vanity (Continuous) Sheer Chai</t>
  </si>
  <si>
    <t>HG</t>
  </si>
  <si>
    <t>Raffles Vanity (Continuous) Sheer Ghost</t>
  </si>
  <si>
    <t>Raffles Vanity (Continuous) Sheer Haze</t>
  </si>
  <si>
    <t>Raffles Vanity (Continuous) Sheer Verdi</t>
  </si>
  <si>
    <t>Raffles Vanity (Continuous) Sheer Walnut</t>
  </si>
  <si>
    <t>Raffles Vanity (Continuous) Sheer TBA</t>
  </si>
  <si>
    <t>Charles Parsons Marlowe (Drop) Uncoated Sesame</t>
  </si>
  <si>
    <t>83% Polyester, 11% Cotton, 6% Linen</t>
  </si>
  <si>
    <t>Charles Parsons Marlowe (Drop) Uncoated Sesame Stripe</t>
  </si>
  <si>
    <t>Charles Parsons Marlowe (Drop) Uncoated Lagoon</t>
  </si>
  <si>
    <t>Charles Parsons Marlowe (Drop) Uncoated Lagoon Stripe</t>
  </si>
  <si>
    <t>Charles Parsons Marlowe (Drop) Uncoated Leaf</t>
  </si>
  <si>
    <t>Charles Parsons Marlowe (Drop) Uncoated Leaf Stripe</t>
  </si>
  <si>
    <t>Charles Parsons Marlowe (Drop) Uncoated Zinc</t>
  </si>
  <si>
    <t>Charles Parsons Marlowe (Drop) Uncoated Zinc Stripe</t>
  </si>
  <si>
    <t>Charles Parsons Marlowe (Drop) Uncoated Pepper</t>
  </si>
  <si>
    <t>Charles Parsons Marlowe (Drop) Uncoated Pepper Stripe</t>
  </si>
  <si>
    <t>Charles Parsons Marlowe (Drop) Uncoated TBA</t>
  </si>
  <si>
    <t>Charles Parsons Marlowe (Continuous) Uncoated Sesame</t>
  </si>
  <si>
    <t>Charles Parsons Marlowe (Continuous) Uncoated Sesame Stripe</t>
  </si>
  <si>
    <t>Charles Parsons Marlowe (Continuous) Uncoated Lagoon</t>
  </si>
  <si>
    <t>Charles Parsons Marlowe (Continuous) Uncoated Lagoon Stripe</t>
  </si>
  <si>
    <t>Charles Parsons Marlowe (Continuous) Uncoated Leaf</t>
  </si>
  <si>
    <t>Charles Parsons Marlowe (Continuous) Uncoated Leaf Stripe</t>
  </si>
  <si>
    <t>Charles Parsons Marlowe (Continuous) Uncoated Zinc</t>
  </si>
  <si>
    <t>Charles Parsons Marlowe (Continuous) Uncoated Zinc Stripe</t>
  </si>
  <si>
    <t>Charles Parsons Marlowe (Continuous) Uncoated Pepper</t>
  </si>
  <si>
    <t>Charles Parsons Marlowe (Continuous) Uncoated Pepper Stripe</t>
  </si>
  <si>
    <t>Charles Parsons Marlowe (Continuous) Uncoated TBA</t>
  </si>
  <si>
    <t>Warwick Chambray (Drop) Uncoated Eucalyptus</t>
  </si>
  <si>
    <t>Nettex Homestead (Continuous) Sheer Sesame</t>
  </si>
  <si>
    <t>3600</t>
  </si>
  <si>
    <t>Nettex Homestead (Continuous) Sheer Shadow</t>
  </si>
  <si>
    <t>Nettex Homestead (Continuous) Sheer Talc</t>
  </si>
  <si>
    <t>Nettex Homestead (Continuous) Sheer White</t>
  </si>
  <si>
    <t>Nettex Homestead (Continuous) Sheer Sandalwood</t>
  </si>
  <si>
    <t>Nettex Homestead (Continuous) Sheer Concrete</t>
  </si>
  <si>
    <t>Nettex Homestead (Continuous) Sheer Thunder</t>
  </si>
  <si>
    <t>Nettex Homestead (Continuous) Sheer TBA</t>
  </si>
  <si>
    <t>Filigree Enviro (Continuous) Lining White</t>
  </si>
  <si>
    <t>Filigree Enviro (Continuous) Lining Off White</t>
  </si>
  <si>
    <t>Filigree Enviro (Continuous) Lining Ivory</t>
  </si>
  <si>
    <t>Filigree Enviro (Continuous) Lining Ash</t>
  </si>
  <si>
    <t>Filigree Enviro (Continuous) Lining Silver</t>
  </si>
  <si>
    <t>Filigree Enviro (Continuous) Lining Cinder</t>
  </si>
  <si>
    <t>Filigree Enviro (Continuous) Lining Eggshell</t>
  </si>
  <si>
    <t>Filigree Enviro (Continuous) Lining Raw</t>
  </si>
  <si>
    <t>Filigree Enviro (Continuous) Lining Pewter</t>
  </si>
  <si>
    <t>Filigree Enviro (Continuous) Lining Storm</t>
  </si>
  <si>
    <t>Filigree Enviro (Continuous) Lining Fossil</t>
  </si>
  <si>
    <t>Filigree Enviro (Continuous) Lining TBA</t>
  </si>
  <si>
    <t>Filigree Luxury Line Deluxe (Continuous) Lining Off White</t>
  </si>
  <si>
    <t>Cotton / Polyester</t>
  </si>
  <si>
    <t>Filigree Luxury Line Deluxe (Drop) Lining Off White</t>
  </si>
  <si>
    <t>Slender Morris Agnes Panama (Drop) Uncoated 55761-1001 (S6685)</t>
  </si>
  <si>
    <t>Slender Morris Agnes Panama (Drop) Uncoated 55761-1003 (S6687)</t>
  </si>
  <si>
    <t>Slender Morris Agnes Panama (Drop) Uncoated 55761-1005 (S6689)</t>
  </si>
  <si>
    <t>Slender Morris Agnes Panama (Drop) Uncoated 55761-1010 (S6691)</t>
  </si>
  <si>
    <t>Slender Morris Agnes Panama (Drop) Uncoated 55761-1014 (S6693)</t>
  </si>
  <si>
    <t>Slender Morris Agnes Panama (Drop) Uncoated 55761-1019 (S6695)</t>
  </si>
  <si>
    <t>Slender Morris Agnes Panama (Drop) Uncoated TBA</t>
  </si>
  <si>
    <t>Hoad Venus (Continuous) Coated Sand</t>
  </si>
  <si>
    <t>Hoad Venus (Continuous) Coated Birch</t>
  </si>
  <si>
    <t>Hoad Venus (Continuous) Coated Silver</t>
  </si>
  <si>
    <t>Hoad Venus (Continuous) Coated Stone</t>
  </si>
  <si>
    <t>Hoad Venus (Continuous) Coated Steel</t>
  </si>
  <si>
    <t>Hoad Venus (Continuous) Coated White</t>
  </si>
  <si>
    <t>Hoad Venus (Continuous) Coated Ivory</t>
  </si>
  <si>
    <t>Hoad Venus (Continuous) Coated Natural</t>
  </si>
  <si>
    <t>Hoad Venus (Continuous) Coated Linen</t>
  </si>
  <si>
    <t>Hoad Venus (Continuous) Coated TBA</t>
  </si>
  <si>
    <t>Hoad Blaze (Drop) Uncoated Birch</t>
  </si>
  <si>
    <t>55% Cotton 42% Polyester 3% Linen</t>
  </si>
  <si>
    <t>Hoad Blaze (Drop) Uncoated Ocean</t>
  </si>
  <si>
    <t>Hoad Blaze (Drop) Uncoated Pearl</t>
  </si>
  <si>
    <t>Hoad Blaze (Drop) Uncoated Silver</t>
  </si>
  <si>
    <t>Hoad Blaze (Drop) Uncoated Natural</t>
  </si>
  <si>
    <t>Hoad Blaze (Drop) Uncoated Seamist</t>
  </si>
  <si>
    <t>Hoad Blaze (Drop) Uncoated TBA</t>
  </si>
  <si>
    <t>Hoad Trellis (Drop) Uncoated Ocean</t>
  </si>
  <si>
    <t>Hoad Trellis (Drop) Uncoated Birch</t>
  </si>
  <si>
    <t>Hoad Trellis (Drop) Uncoated Pearl</t>
  </si>
  <si>
    <t>Hoad Trellis (Drop) Uncoated Silver</t>
  </si>
  <si>
    <t>Hoad Trellis (Drop) Uncoated Natural</t>
  </si>
  <si>
    <t>Hoad Trellis (Drop) Uncoated Seamist</t>
  </si>
  <si>
    <t>Hoad Trellis (Drop) Uncoated TBA</t>
  </si>
  <si>
    <t>Hoad Patonga (Drop) Uncoated Ocean</t>
  </si>
  <si>
    <t>Hoad Patonga (Drop) Uncoated Birch</t>
  </si>
  <si>
    <t>Hoad Patonga (Drop) Uncoated Pearl</t>
  </si>
  <si>
    <t>Hoad Patonga (Drop) Uncoated Silver</t>
  </si>
  <si>
    <t>Hoad Patonga (Drop) Uncoated Natural</t>
  </si>
  <si>
    <t>Hoad Patonga (Drop) Uncoated Seamist</t>
  </si>
  <si>
    <t>Hoad Patonga (Drop) Uncoated TBA</t>
  </si>
  <si>
    <t>Hoad Daintree (Continuous) Coated Sky</t>
  </si>
  <si>
    <t>Hoad Daintree (Continuous) Coated Dove</t>
  </si>
  <si>
    <t>Hoad Daintree (Continuous) Coated Rope</t>
  </si>
  <si>
    <t>Hoad Daintree (Continuous) Coated Birch</t>
  </si>
  <si>
    <t>Hoad Daintree (Continuous) Coated Almond</t>
  </si>
  <si>
    <t>Hoad Daintree (Continuous) Coated Seafoam</t>
  </si>
  <si>
    <t>Hoad Daintree (Continuous) Coated Alabaster</t>
  </si>
  <si>
    <t>Hoad Daintree (Continuous) Coated Gooseberry</t>
  </si>
  <si>
    <t>Hoad Daintree (Continuous) Coated TBA</t>
  </si>
  <si>
    <t>Hoad Lexington (Continuous) Coated Sky</t>
  </si>
  <si>
    <t>Hoad Lexington (Continuous) Coated Sage</t>
  </si>
  <si>
    <t>Hoad Lexington (Continuous) Coated Rope</t>
  </si>
  <si>
    <t>Hoad Lexington (Continuous) Coated Steel</t>
  </si>
  <si>
    <t>Hoad Lexington (Continuous) Coated Silver</t>
  </si>
  <si>
    <t>Hoad Lexington (Continuous) Coated Natural</t>
  </si>
  <si>
    <t>Hoad Lexington (Continuous) Coated Alabaster</t>
  </si>
  <si>
    <t>Hoad Lexington (Continuous) Coated Limestone</t>
  </si>
  <si>
    <t>Hoad Lexington (Continuous) Coated Gooseberry</t>
  </si>
  <si>
    <t>Hoad Lexington (Continuous) Coated TBA</t>
  </si>
  <si>
    <t>Hoad Utah (Continuous) Coated Sky</t>
  </si>
  <si>
    <t>Hoad Utah (Continuous) Coated Dune</t>
  </si>
  <si>
    <t>Hoad Utah (Continuous) Coated Clay</t>
  </si>
  <si>
    <t>Hoad Utah (Continuous) Coated Sage</t>
  </si>
  <si>
    <t>Hoad Utah (Continuous) Coated Ivory</t>
  </si>
  <si>
    <t>Hoad Utah (Continuous) Coated Pearl</t>
  </si>
  <si>
    <t>Hoad Utah (Continuous) Coated Stone</t>
  </si>
  <si>
    <t>Hoad Utah (Continuous) Coated Silver</t>
  </si>
  <si>
    <t>Hoad Utah (Continuous) Coated Midnight</t>
  </si>
  <si>
    <t>Hoad Utah (Continuous) Coated Moonlight</t>
  </si>
  <si>
    <t>Hoad Utah (Continuous) Coated TBA</t>
  </si>
  <si>
    <t>Hoad Montana (Drop) Coated Sky</t>
  </si>
  <si>
    <t>Hoad Montana (Drop) Coated Flax</t>
  </si>
  <si>
    <t>Hoad Montana (Drop) Coated Chalk</t>
  </si>
  <si>
    <t>Hoad Montana (Drop) Coated Linen</t>
  </si>
  <si>
    <t>Hoad Montana (Drop) Coated Natural</t>
  </si>
  <si>
    <t>Hoad Montana (Drop) Coated Granite</t>
  </si>
  <si>
    <t>Hoad Montana (Drop) Coated Sandstone</t>
  </si>
  <si>
    <t>Hoad Montana (Drop) Coated TBA</t>
  </si>
  <si>
    <t>Hoad Madagascar (Continuous) Triple Weave Multi</t>
  </si>
  <si>
    <t>Hoad Madagascar (Continuous) Triple Weave TBA</t>
  </si>
  <si>
    <t>Hoad Pacific (Continuous) Sheer Mist</t>
  </si>
  <si>
    <t>Hoad Pacific (Continuous) Sheer Chalk</t>
  </si>
  <si>
    <t>Hoad Pacific (Continuous) Sheer Linen</t>
  </si>
  <si>
    <t>Hoad Pacific (Continuous) Sheer Stone</t>
  </si>
  <si>
    <t>Hoad Pacific (Continuous) Sheer Stucco</t>
  </si>
  <si>
    <t>Hoad Pacific (Continuous) Sheer Charcoal</t>
  </si>
  <si>
    <t>Hoad Pacific (Continuous) Sheer TBA</t>
  </si>
  <si>
    <t>Hoad Pacific (Drop) Sheer Mist</t>
  </si>
  <si>
    <t>Hoad Pacific (Drop) Sheer Chalk</t>
  </si>
  <si>
    <t>Hoad Pacific (Drop) Sheer Linen</t>
  </si>
  <si>
    <t>Hoad Pacific (Drop) Sheer Stone</t>
  </si>
  <si>
    <t>Hoad Pacific (Drop) Sheer Stucco</t>
  </si>
  <si>
    <t>Hoad Pacific (Drop) Sheer Charcoal</t>
  </si>
  <si>
    <t>Hoad Pacific (Drop) Sheer TBA</t>
  </si>
  <si>
    <t>Hoad Belmont (Continuous) Sheer Ore</t>
  </si>
  <si>
    <t>Hoad Belmont (Continuous) Sheer Sand</t>
  </si>
  <si>
    <t>Hoad Belmont (Continuous) Sheer Chalk</t>
  </si>
  <si>
    <t>Hoad Belmont (Continuous) Sheer Lunar</t>
  </si>
  <si>
    <t>Hoad Belmont (Continuous) Sheer Cotton</t>
  </si>
  <si>
    <t>Hoad Belmont (Continuous) Sheer Macadamia</t>
  </si>
  <si>
    <t>Hoad Belmont (Continuous) Sheer TBA</t>
  </si>
  <si>
    <t>Hoad Horizon 2nd Edition (Continuous) Sheer Navy</t>
  </si>
  <si>
    <t>Hoad Horizon 2nd Edition (Continuous) Sheer Flax</t>
  </si>
  <si>
    <t>Hoad Horizon 2nd Edition (Continuous) Sheer Mist</t>
  </si>
  <si>
    <t>Hoad Horizon 2nd Edition (Continuous) Sheer White</t>
  </si>
  <si>
    <t>Hoad Horizon 2nd Edition (Continuous) Sheer Stone</t>
  </si>
  <si>
    <t>Hoad Horizon 2nd Edition (Continuous) Sheer Linen</t>
  </si>
  <si>
    <t>Hoad Horizon 2nd Edition (Continuous) Sheer Silver</t>
  </si>
  <si>
    <t>Hoad Horizon 2nd Edition (Continuous) Sheer Natural</t>
  </si>
  <si>
    <t>Hoad Horizon 2nd Edition (Continuous) Sheer Charcoal</t>
  </si>
  <si>
    <t>Hoad Horizon 2nd Edition (Continuous) Sheer Sage</t>
  </si>
  <si>
    <t>Hoad Horizon 2nd Edition (Continuous) Sheer Dune</t>
  </si>
  <si>
    <t>Hoad Horizon 2nd Edition (Continuous) Sheer Straw</t>
  </si>
  <si>
    <t>Hoad Horizon 2nd Edition (Continuous) Sheer Bronze</t>
  </si>
  <si>
    <t>Hoad Horizon 2nd Edition (Continuous) Sheer Pebble</t>
  </si>
  <si>
    <t>Hoad Horizon 2nd Edition (Continuous) Sheer Seafoam</t>
  </si>
  <si>
    <t>Hoad Horizon 2nd Edition (Continuous) Sheer TBA</t>
  </si>
  <si>
    <t>Hoad Naples (Continuous) Sheer Fog</t>
  </si>
  <si>
    <t>2950</t>
  </si>
  <si>
    <t>Hoad Naples (Continuous) Sheer Sky</t>
  </si>
  <si>
    <t xml:space="preserve">Hoad Naples (Continuous) Sheer Ash </t>
  </si>
  <si>
    <t>Hoad Naples (Continuous) Sheer Ecru</t>
  </si>
  <si>
    <t>Hoad Naples (Continuous) Sheer Moss</t>
  </si>
  <si>
    <t>Hoad Naples (Continuous) Sheer Coral</t>
  </si>
  <si>
    <t>Hoad Naples (Continuous) Sheer Honey</t>
  </si>
  <si>
    <t>Hoad Naples (Continuous) Sheer Cream</t>
  </si>
  <si>
    <t>Hoad Naples (Continuous) Sheer Wheat</t>
  </si>
  <si>
    <t>Hoad Naples (Continuous) Sheer Cloud</t>
  </si>
  <si>
    <t>Hoad Naples (Continuous) Sheer Auburn</t>
  </si>
  <si>
    <t>Hoad Naples (Continuous) Sheer Walnut</t>
  </si>
  <si>
    <t>Hoad Naples (Continuous) Sheer Oyster</t>
  </si>
  <si>
    <t>Hoad Naples (Continuous) Sheer Mustard</t>
  </si>
  <si>
    <t>Hoad Naples (Continuous) Sheer Charcoal</t>
  </si>
  <si>
    <t>Hoad Naples (Continuous) Sheer Atlantic</t>
  </si>
  <si>
    <t>Hoad Naples (Continuous) Sheer Champagne</t>
  </si>
  <si>
    <t>Hoad Naples (Continuous) Sheer TBA</t>
  </si>
  <si>
    <t>Hoad Everglades (Continuous) Sheer Sage</t>
  </si>
  <si>
    <t>Hoad Everglades (Continuous) Sheer Linen</t>
  </si>
  <si>
    <t>Hoad Everglades (Continuous) Sheer Silver</t>
  </si>
  <si>
    <t>Hoad Everglades (Continuous) Sheer Pacific</t>
  </si>
  <si>
    <t>Hoad Everglades (Continuous) Sheer Natural</t>
  </si>
  <si>
    <t>Hoad Everglades (Continuous) Sheer TBA</t>
  </si>
  <si>
    <t>Hoad Madagascar Textured (Continuous) Sheer Multi</t>
  </si>
  <si>
    <t>Hoad Madagascar Textured (Continuous) Sheer TBA</t>
  </si>
  <si>
    <t>Hoad Madagascar Plain (Continuous) Sheer Multi</t>
  </si>
  <si>
    <t>Hoad Madagascar Plain (Continuous) Sheer TBA</t>
  </si>
  <si>
    <t>Hoad Lilies (Continuous) Sheer Sky</t>
  </si>
  <si>
    <t>Hoad Lilies (Continuous) Sheer Mint</t>
  </si>
  <si>
    <t>Hoad Lilies (Continuous) Sheer Pond</t>
  </si>
  <si>
    <t>Hoad Lilies (Continuous) Sheer Flax</t>
  </si>
  <si>
    <t>Hoad Lilies (Continuous) Sheer Stone</t>
  </si>
  <si>
    <t>Hoad Lilies (Continuous) Sheer Linen</t>
  </si>
  <si>
    <t>Hoad Lilies (Continuous) Sheer Natural</t>
  </si>
  <si>
    <t>Hoad Lilies (Continuous) Sheer Charcoal</t>
  </si>
  <si>
    <t>Hoad Lilies (Continuous) Sheer TBA</t>
  </si>
  <si>
    <t>Warwick Inverloch (Drop) Uncoated Albaster</t>
  </si>
  <si>
    <t>Warwick Inverloch (Drop) Uncoated Angora</t>
  </si>
  <si>
    <t>Warwick Inverloch (Drop) Uncoated Blossom</t>
  </si>
  <si>
    <t>Warwick Inverloch (Drop) Uncoated Dune</t>
  </si>
  <si>
    <t>Warwick Inverloch (Drop) Uncoated Fossil</t>
  </si>
  <si>
    <t>Warwick Inverloch (Drop) Uncoated Gunmetal</t>
  </si>
  <si>
    <t>Warwick Inverloch (Drop) Uncoated Ink</t>
  </si>
  <si>
    <t>Warwick Inverloch (Drop) Uncoated Laurel</t>
  </si>
  <si>
    <t>Warwick Inverloch (Drop) Uncoated Linen</t>
  </si>
  <si>
    <t>Warwick Inverloch (Drop) Uncoated Mist</t>
  </si>
  <si>
    <t>Warwick Inverloch (Drop) Uncoated Sand</t>
  </si>
  <si>
    <t>Warwick Inverloch (Drop) Uncoated Silver</t>
  </si>
  <si>
    <t>Warwick Inverloch (Drop) Uncoated Snow</t>
  </si>
  <si>
    <t>Warwick Inverloch (Drop) Uncoated Steel</t>
  </si>
  <si>
    <t>Warwick Inverloch (Drop) Uncoated Terracotta</t>
  </si>
  <si>
    <t>Warwick Inverloch (Drop) Uncoated TBA</t>
  </si>
  <si>
    <t>Champagne</t>
  </si>
  <si>
    <t>Matt Black</t>
  </si>
  <si>
    <t>80% Polyester 20% Cotton</t>
  </si>
  <si>
    <t>17% Linen 75% Polyester 8% Viscose</t>
  </si>
  <si>
    <t>Charles Parsons Omni (Continuous) Sheer Snow</t>
  </si>
  <si>
    <t>3400</t>
  </si>
  <si>
    <t>Charles Parsons Omni (Continuous) Sheer Vanilla</t>
  </si>
  <si>
    <t>Charles Parsons Omni (Continuous) Sheer Stone</t>
  </si>
  <si>
    <t>Charles Parsons Omni (Continuous) Sheer Mist</t>
  </si>
  <si>
    <t>Charles Parsons Omni (Continuous) Sheer Zinc</t>
  </si>
  <si>
    <t>Charles Parsons Omni (Continuous) Sheer TBA</t>
  </si>
  <si>
    <t>46% Cotton 27% Viscose 15% Polyester 12% Linen</t>
  </si>
  <si>
    <t>44% Viscose 37% Polyester 19% Linen</t>
  </si>
  <si>
    <t>Hoad Audible (Drop) Triple Weave Ash</t>
  </si>
  <si>
    <t>Hoad Audible (Drop) Triple Weave Carbon</t>
  </si>
  <si>
    <t>Hoad Audible (Drop) Triple Weave Charcoal</t>
  </si>
  <si>
    <t>Hoad Audible (Drop) Triple Weave Linen</t>
  </si>
  <si>
    <t>Hoad Audible (Drop) Triple Weave Natural</t>
  </si>
  <si>
    <t>Hoad Audible (Drop) Triple Weave Nutmeg</t>
  </si>
  <si>
    <t>Hoad Audible (Drop) Triple Weave Shell</t>
  </si>
  <si>
    <t xml:space="preserve">Hoad Audible (Drop) Triple Weave Slate </t>
  </si>
  <si>
    <t>Hoad Audible (Drop) Triple Weave Stone</t>
  </si>
  <si>
    <t>Hoad Audible (Drop) Triple Weave Woodland</t>
  </si>
  <si>
    <t>Hoad Audible (Drop) Triple Weave TBA</t>
  </si>
  <si>
    <t>Zepel Angelic (Continuous) Uncoated Chess</t>
  </si>
  <si>
    <t>77% Recycled Polyester, 16% Linen, 7% Polyester</t>
  </si>
  <si>
    <t>Zepel Angelic (Continuous) Uncoated Denim</t>
  </si>
  <si>
    <t>Zepel Angelic (Continuous) Uncoated Duckegg</t>
  </si>
  <si>
    <t>Zepel Angelic (Continuous) Uncoated Fern</t>
  </si>
  <si>
    <t>Zepel Angelic (Continuous) Uncoated Ivory</t>
  </si>
  <si>
    <t>Zepel Angelic (Continuous) Uncoated Linen</t>
  </si>
  <si>
    <t>Zepel Angelic (Continuous) Uncoated Melon</t>
  </si>
  <si>
    <t>Zepel Angelic (Continuous) Uncoated Oasis</t>
  </si>
  <si>
    <t>Zepel Angelic (Continuous) Uncoated Oyster</t>
  </si>
  <si>
    <t>Zepel Angelic (Continuous) Uncoated Pear</t>
  </si>
  <si>
    <t>Zepel Angelic (Continuous) Uncoated Pelican</t>
  </si>
  <si>
    <t>Zepel Angelic (Continuous) Uncoated Pirate</t>
  </si>
  <si>
    <t>Zepel Angelic (Continuous) Uncoated Plaza</t>
  </si>
  <si>
    <t>Zepel Angelic (Continuous) Uncoated Putty</t>
  </si>
  <si>
    <t>Zepel Angelic (Continuous) Uncoated Raffia</t>
  </si>
  <si>
    <t>Zepel Angelic (Continuous) Uncoated Rock</t>
  </si>
  <si>
    <t>Zepel Angelic (Continuous) Uncoated Silver</t>
  </si>
  <si>
    <t>Zepel Angelic (Continuous) Uncoated Snow</t>
  </si>
  <si>
    <t>Zepel Angelic (Continuous) Uncoated Sun</t>
  </si>
  <si>
    <t>Zepel Angelic (Continuous) Uncoated Tarragon</t>
  </si>
  <si>
    <t>Zepel Angelic (Continuous) Uncoated Tea</t>
  </si>
  <si>
    <t>Zepel Angelic (Continuous) Uncoated Whisper</t>
  </si>
  <si>
    <t>Zepel Angelic (Continuous) Uncoated TBA</t>
  </si>
  <si>
    <t>Hoad Capri (Continuous) Sheer Chalk</t>
  </si>
  <si>
    <t>Hoad Capri (Continuous) Sheer TBA</t>
  </si>
  <si>
    <t>Maurice Kain Audible (Drop) Triple Weave Ash</t>
  </si>
  <si>
    <t>Maurice Kain Audible (Drop) Triple Weave Carbon</t>
  </si>
  <si>
    <t>Maurice Kain Audible (Drop) Triple Weave Charcoal</t>
  </si>
  <si>
    <t>Maurice Kain Audible (Drop) Triple Weave Linen</t>
  </si>
  <si>
    <t>Maurice Kain Audible (Drop) Triple Weave Natural</t>
  </si>
  <si>
    <t>Maurice Kain Audible (Drop) Triple Weave Nutmeg</t>
  </si>
  <si>
    <t>Maurice Kain Audible (Drop) Triple Weave Shell</t>
  </si>
  <si>
    <t xml:space="preserve">Maurice Kain Audible (Drop) Triple Weave Slate </t>
  </si>
  <si>
    <t>Maurice Kain Audible (Drop) Triple Weave Stone</t>
  </si>
  <si>
    <t>Maurice Kain Audible (Drop) Triple Weave Woodland</t>
  </si>
  <si>
    <t>Maurice Kain Audible (Drop) Triple Weave TBA</t>
  </si>
  <si>
    <t>50% Linen 50% Cotton</t>
  </si>
  <si>
    <t>Sekers (Laura Ashley) Gosford (Drop) Uncoated Antique</t>
  </si>
  <si>
    <t>Sekers (Laura Ashley) Gosford (Drop) Uncoated Stone</t>
  </si>
  <si>
    <t>Sekers (Laura Ashley) Gosford (Drop) Uncoated Indigo</t>
  </si>
  <si>
    <t>Sekers (Laura Ashley) Gosford (Drop) Uncoated Placid</t>
  </si>
  <si>
    <t>Sekers (Laura Ashley) Gosford (Drop) Uncoated TBA</t>
  </si>
  <si>
    <t>Track Making</t>
  </si>
  <si>
    <t>100mm Unstayed Brackets</t>
  </si>
  <si>
    <t>25mm Brackets</t>
  </si>
  <si>
    <t>Acorns</t>
  </si>
  <si>
    <t>Clarke &amp; Clarke Roseraie F1738 (Drop) Uncoated Blush</t>
  </si>
  <si>
    <t>Clarke &amp; Clarke Roseraie F1738 (Drop) Uncoated Charcoal</t>
  </si>
  <si>
    <t>Clarke &amp; Clarke Roseraie F1738 (Drop) Uncoated Denim</t>
  </si>
  <si>
    <t>Clarke &amp; Clarke Roseraie F1738 (Drop) Uncoated Midnight</t>
  </si>
  <si>
    <t>Clarke &amp; Clarke Roseraie F1738 (Drop) Uncoated Sage</t>
  </si>
  <si>
    <t>Clarke &amp; Clarke Roseraie F1738 (Drop) Uncoated Summer</t>
  </si>
  <si>
    <t>Clarke &amp; Clarke Roseraie F1738 (Drop) Uncoated TBA</t>
  </si>
  <si>
    <t>Zepel Drama (Drop) Uncoated Bottle</t>
  </si>
  <si>
    <t>50% Acrylic 45% Polyester 5% Viscose</t>
  </si>
  <si>
    <t>Zepel Drama (Drop) Uncoated Boudoir</t>
  </si>
  <si>
    <t>Zepel Drama (Drop) Uncoated Brick</t>
  </si>
  <si>
    <t>Zepel Drama (Drop) Uncoated Camouflage</t>
  </si>
  <si>
    <t>Zepel Drama (Drop) Uncoated Cherry</t>
  </si>
  <si>
    <t>Zepel Drama (Drop) Uncoated Chutney</t>
  </si>
  <si>
    <t>Zepel Drama (Drop) Uncoated Denim</t>
  </si>
  <si>
    <t>Zepel Drama (Drop) Uncoated Dune</t>
  </si>
  <si>
    <t>Zepel Drama (Drop) Uncoated Excalibur</t>
  </si>
  <si>
    <t>Zepel Drama (Drop) Uncoated Fjord</t>
  </si>
  <si>
    <t>Zepel Drama (Drop) Uncoated Flint</t>
  </si>
  <si>
    <t>Zepel Drama (Drop) Uncoated Fuchsia</t>
  </si>
  <si>
    <t>Zepel Drama (Drop) Uncoated Gold</t>
  </si>
  <si>
    <t>Zepel Drama (Drop) Uncoated Imperial</t>
  </si>
  <si>
    <t>Zepel Drama (Drop) Uncoated Ink</t>
  </si>
  <si>
    <t>Zepel Drama (Drop) Uncoated Iron</t>
  </si>
  <si>
    <t>Zepel Drama (Drop) Uncoated Ivy</t>
  </si>
  <si>
    <t>Zepel Drama (Drop) Uncoated Lake</t>
  </si>
  <si>
    <t>Zepel Drama (Drop) Uncoated Limestone</t>
  </si>
  <si>
    <t>Zepel Drama (Drop) Uncoated Linen</t>
  </si>
  <si>
    <t>Zepel Drama (Drop) Uncoated Magenta</t>
  </si>
  <si>
    <t>Zepel Drama (Drop) Uncoated Marble</t>
  </si>
  <si>
    <t>Zepel Drama (Drop) Uncoated Marine</t>
  </si>
  <si>
    <t>Zepel Drama (Drop) Uncoated Marzipan</t>
  </si>
  <si>
    <t>Zepel Drama (Drop) Uncoated Mosaic</t>
  </si>
  <si>
    <t>Zepel Drama (Drop) Uncoated Moss</t>
  </si>
  <si>
    <t>Zepel Drama (Drop) Uncoated Oasis</t>
  </si>
  <si>
    <t>Zepel Drama (Drop) Uncoated Onyx</t>
  </si>
  <si>
    <t>Zepel Drama (Drop) Uncoated Orchid</t>
  </si>
  <si>
    <t>Zepel Drama (Drop) Uncoated Pagoda</t>
  </si>
  <si>
    <t>Zepel Drama (Drop) Uncoated Peacock</t>
  </si>
  <si>
    <t>Zepel Drama (Drop) Uncoated Peony</t>
  </si>
  <si>
    <t>Zepel Drama (Drop) Uncoated Pesto</t>
  </si>
  <si>
    <t>Zepel Drama (Drop) Uncoated Pewter</t>
  </si>
  <si>
    <t>Zepel Drama (Drop) Uncoated Pigeon</t>
  </si>
  <si>
    <t>Zepel Drama (Drop) Uncoated Pinecone</t>
  </si>
  <si>
    <t>Zepel Drama (Drop) Uncoated Plum</t>
  </si>
  <si>
    <t>Zepel Drama (Drop) Uncoated Pompeian</t>
  </si>
  <si>
    <t>Zepel Drama (Drop) Uncoated Poppy</t>
  </si>
  <si>
    <t>Zepel Drama (Drop) Uncoated Praline</t>
  </si>
  <si>
    <t>Zepel Drama (Drop) Uncoated Purple</t>
  </si>
  <si>
    <t>Zepel Drama (Drop) Uncoated Pussywillow</t>
  </si>
  <si>
    <t>Zepel Drama (Drop) Uncoated Putty</t>
  </si>
  <si>
    <t>Zepel Drama (Drop) Uncoated Sage</t>
  </si>
  <si>
    <t>Zepel Drama (Drop) Uncoated Scuba</t>
  </si>
  <si>
    <t>Zepel Drama (Drop) Uncoated Silver</t>
  </si>
  <si>
    <t>Zepel Drama (Drop) Uncoated Snow</t>
  </si>
  <si>
    <t>Zepel Drama (Drop) Uncoated Spa</t>
  </si>
  <si>
    <t>Zepel Drama (Drop) Uncoated Storm</t>
  </si>
  <si>
    <t>Zepel Drama (Drop) Uncoated Teal</t>
  </si>
  <si>
    <t>Zepel Drama (Drop) Uncoated Wool</t>
  </si>
  <si>
    <t>Zepel Drama (Drop) Uncoated TBA</t>
  </si>
  <si>
    <t>3500</t>
  </si>
  <si>
    <t>Zepel Radiant (Continuous) Sheer Aluminium</t>
  </si>
  <si>
    <t>3130</t>
  </si>
  <si>
    <t>Zepel Radiant (Continuous) Sheer Canyon</t>
  </si>
  <si>
    <t>Zepel Radiant (Continuous) Sheer Charcoal</t>
  </si>
  <si>
    <t>Zepel Radiant (Continuous) Sheer Coral</t>
  </si>
  <si>
    <t>Zepel Radiant (Continuous) Sheer Crystal</t>
  </si>
  <si>
    <t>Zepel Radiant (Continuous) Sheer Dice</t>
  </si>
  <si>
    <t>Zepel Radiant (Continuous) Sheer Funghi</t>
  </si>
  <si>
    <t>Zepel Radiant (Continuous) Sheer Linen</t>
  </si>
  <si>
    <t>Zepel Radiant (Continuous) Sheer Melon</t>
  </si>
  <si>
    <t>Zepel Radiant (Continuous) Sheer Metal</t>
  </si>
  <si>
    <t>Zepel Radiant (Continuous) Sheer Mineral</t>
  </si>
  <si>
    <t>Zepel Radiant (Continuous) Sheer Mist</t>
  </si>
  <si>
    <t>Zepel Radiant (Continuous) Sheer Pebble</t>
  </si>
  <si>
    <t>Zepel Radiant (Continuous) Sheer Petrol</t>
  </si>
  <si>
    <t>Zepel Radiant (Continuous) Sheer Plaza</t>
  </si>
  <si>
    <t>Zepel Radiant (Continuous) Sheer Rattan</t>
  </si>
  <si>
    <t>Zepel Radiant (Continuous) Sheer Sand</t>
  </si>
  <si>
    <t>Zepel Radiant (Continuous) Sheer Sky</t>
  </si>
  <si>
    <t>Zepel Radiant (Continuous) Sheer Smoke</t>
  </si>
  <si>
    <t>Zepel Radiant (Continuous) Sheer Snow</t>
  </si>
  <si>
    <t>Zepel Radiant (Continuous) Sheer TBA</t>
  </si>
  <si>
    <t>Zepel Alcova (Continuous) Sheer Chess</t>
  </si>
  <si>
    <t>3120</t>
  </si>
  <si>
    <t>68% Recycled Polyester, 11% Polyester, 11% Organic Cotton, 10% Linen</t>
  </si>
  <si>
    <t>Zepel Alcova (Continuous) Sheer Chinchilla</t>
  </si>
  <si>
    <t>Zepel Alcova (Continuous) Sheer Chrystal</t>
  </si>
  <si>
    <t>Zepel Alcova (Continuous) Sheer Cloud</t>
  </si>
  <si>
    <t>Zepel Alcova (Continuous) Sheer Cream</t>
  </si>
  <si>
    <t>Zepel Alcova (Continuous) Sheer Denim</t>
  </si>
  <si>
    <t>Zepel Alcova (Continuous) Sheer Desert</t>
  </si>
  <si>
    <t>Zepel Alcova (Continuous) Sheer Dust</t>
  </si>
  <si>
    <t>Zepel Alcova (Continuous) Sheer Flax</t>
  </si>
  <si>
    <t>Zepel Alcova (Continuous) Sheer Fountain</t>
  </si>
  <si>
    <t>Zepel Alcova (Continuous) Sheer Greige</t>
  </si>
  <si>
    <t>Zepel Alcova (Continuous) Sheer Haze</t>
  </si>
  <si>
    <t>Zepel Alcova (Continuous) Sheer Iceberg</t>
  </si>
  <si>
    <t>Zepel Alcova (Continuous) Sheer Iron</t>
  </si>
  <si>
    <t>Zepel Alcova (Continuous) Sheer Jade</t>
  </si>
  <si>
    <t>Zepel Alcova (Continuous) Sheer Koi</t>
  </si>
  <si>
    <t>Zepel Alcova (Continuous) Sheer Linen</t>
  </si>
  <si>
    <t>Zepel Alcova (Continuous) Sheer Marble</t>
  </si>
  <si>
    <t>Zepel Alcova (Continuous) Sheer Mineral</t>
  </si>
  <si>
    <t>Zepel Alcova (Continuous) Sheer Mushroom</t>
  </si>
  <si>
    <t>Zepel Alcova (Continuous) Sheer Oyster</t>
  </si>
  <si>
    <t>Zepel Alcova (Continuous) Sheer Parchment</t>
  </si>
  <si>
    <t>Zepel Alcova (Continuous) Sheer Peach</t>
  </si>
  <si>
    <t>Zepel Alcova (Continuous) Sheer Pistachio</t>
  </si>
  <si>
    <t>Zepel Alcova (Continuous) Sheer River</t>
  </si>
  <si>
    <t>Zepel Alcova (Continuous) Sheer Sky</t>
  </si>
  <si>
    <t>Zepel Alcova (Continuous) Sheer Snow</t>
  </si>
  <si>
    <t>Zepel Alcova (Continuous) Sheer Sun</t>
  </si>
  <si>
    <t>Zepel Alcova (Continuous) Sheer TBA</t>
  </si>
  <si>
    <t>Zepel Angelic (Continuous) Sheer Chess</t>
  </si>
  <si>
    <t>Zepel Angelic (Continuous) Sheer Denim</t>
  </si>
  <si>
    <t>Zepel Angelic (Continuous) Sheer Duckegg</t>
  </si>
  <si>
    <t>Zepel Angelic (Continuous) Sheer Fern</t>
  </si>
  <si>
    <t>Zepel Angelic (Continuous) Sheer Ivory</t>
  </si>
  <si>
    <t>Zepel Angelic (Continuous) Sheer Linen</t>
  </si>
  <si>
    <t>Zepel Angelic (Continuous) Sheer Melon</t>
  </si>
  <si>
    <t>Zepel Angelic (Continuous) Sheer Oasis</t>
  </si>
  <si>
    <t>Zepel Angelic (Continuous) Sheer Oyster</t>
  </si>
  <si>
    <t>Zepel Angelic (Continuous) Sheer Pear</t>
  </si>
  <si>
    <t>Zepel Angelic (Continuous) Sheer Pelican</t>
  </si>
  <si>
    <t>Zepel Angelic (Continuous) Sheer Pirate</t>
  </si>
  <si>
    <t>Zepel Angelic (Continuous) Sheer Plaza</t>
  </si>
  <si>
    <t>Zepel Angelic (Continuous) Sheer Putty</t>
  </si>
  <si>
    <t>Zepel Angelic (Continuous) Sheer Raffia</t>
  </si>
  <si>
    <t>Zepel Angelic (Continuous) Sheer Rock</t>
  </si>
  <si>
    <t>Zepel Angelic (Continuous) Sheer Silver</t>
  </si>
  <si>
    <t>Zepel Angelic (Continuous) Sheer Snow</t>
  </si>
  <si>
    <t>Zepel Angelic (Continuous) Sheer Sun</t>
  </si>
  <si>
    <t>Zepel Angelic (Continuous) Sheer Tarragon</t>
  </si>
  <si>
    <t>Zepel Angelic (Continuous) Sheer Tea</t>
  </si>
  <si>
    <t>Zepel Angelic (Continuous) Sheer Whisper</t>
  </si>
  <si>
    <t>Zepel Angelic (Continuous) Sheer TBA</t>
  </si>
  <si>
    <t>Zepel Locomotion (Continuous) Sheer Aqua</t>
  </si>
  <si>
    <t>67% Recycled Polyester, 33% Polyester</t>
  </si>
  <si>
    <t>Zepel Locomotion (Continuous) Sheer Blush</t>
  </si>
  <si>
    <t>Zepel Locomotion (Continuous) Sheer Camel</t>
  </si>
  <si>
    <t>Zepel Locomotion (Continuous) Sheer Cloud</t>
  </si>
  <si>
    <t>Zepel Locomotion (Continuous) Sheer Dice</t>
  </si>
  <si>
    <t>Zepel Locomotion (Continuous) Sheer Duckegg</t>
  </si>
  <si>
    <t>Zepel Locomotion (Continuous) Sheer Flax</t>
  </si>
  <si>
    <t>Zepel Locomotion (Continuous) Sheer Frost</t>
  </si>
  <si>
    <t>Zepel Locomotion (Continuous) Sheer Gold</t>
  </si>
  <si>
    <t>Zepel Locomotion (Continuous) Sheer Greige</t>
  </si>
  <si>
    <t>Zepel Locomotion (Continuous) Sheer Horizon</t>
  </si>
  <si>
    <t>Zepel Locomotion (Continuous) Sheer Linden</t>
  </si>
  <si>
    <t>Zepel Locomotion (Continuous) Sheer Linen</t>
  </si>
  <si>
    <t>Zepel Locomotion (Continuous) Sheer Liquorice</t>
  </si>
  <si>
    <t>Zepel Locomotion (Continuous) Sheer Mineral</t>
  </si>
  <si>
    <t>Zepel Locomotion (Continuous) Sheer Mouse</t>
  </si>
  <si>
    <t>Zepel Locomotion (Continuous) Sheer Papyrus</t>
  </si>
  <si>
    <t>Zepel Locomotion (Continuous) Sheer Pearl</t>
  </si>
  <si>
    <t>Zepel Locomotion (Continuous) Sheer Petal</t>
  </si>
  <si>
    <t>Zepel Locomotion (Continuous) Sheer Pure</t>
  </si>
  <si>
    <t>Zepel Locomotion (Continuous) Sheer Putty</t>
  </si>
  <si>
    <t>Zepel Locomotion (Continuous) Sheer Sand</t>
  </si>
  <si>
    <t>Zepel Locomotion (Continuous) Sheer Sky</t>
  </si>
  <si>
    <t>Zepel Locomotion (Continuous) Sheer Snow</t>
  </si>
  <si>
    <t>Zepel Locomotion (Continuous) Sheer Vanilla</t>
  </si>
  <si>
    <t>Zepel Locomotion (Continuous) Sheer TBA</t>
  </si>
  <si>
    <t>Zepel Excel (Continuous) Uncoated Army</t>
  </si>
  <si>
    <t>51% Recycled Polyester, 49% Polyester</t>
  </si>
  <si>
    <t>Zepel Excel (Continuous) Uncoated Bluebell</t>
  </si>
  <si>
    <t>Zepel Excel (Continuous) Uncoated Camel</t>
  </si>
  <si>
    <t>Zepel Excel (Continuous) Uncoated Champagne</t>
  </si>
  <si>
    <t>Zepel Excel (Continuous) Uncoated Chinchilla</t>
  </si>
  <si>
    <t>Zepel Excel (Continuous) Uncoated Coral</t>
  </si>
  <si>
    <t>Zepel Excel (Continuous) Uncoated Dove</t>
  </si>
  <si>
    <t>Zepel Excel (Continuous) Uncoated Elephant</t>
  </si>
  <si>
    <t>Zepel Excel (Continuous) Uncoated Flax</t>
  </si>
  <si>
    <t>Zepel Excel (Continuous) Uncoated Fog</t>
  </si>
  <si>
    <t>Zepel Excel (Continuous) Uncoated Forest</t>
  </si>
  <si>
    <t>Zepel Excel (Continuous) Uncoated Gargoyle</t>
  </si>
  <si>
    <t>Zepel Excel (Continuous) Uncoated Greige</t>
  </si>
  <si>
    <t>Zepel Excel (Continuous) Uncoated Hay</t>
  </si>
  <si>
    <t>Zepel Excel (Continuous) Uncoated Horizon</t>
  </si>
  <si>
    <t>Zepel Excel (Continuous) Uncoated Ivory</t>
  </si>
  <si>
    <t>Zepel Excel (Continuous) Uncoated Khaki</t>
  </si>
  <si>
    <t>Zepel Excel (Continuous) Uncoated Limestone</t>
  </si>
  <si>
    <t>Zepel Excel (Continuous) Uncoated Linen</t>
  </si>
  <si>
    <t>Zepel Excel (Continuous) Uncoated Mimosa</t>
  </si>
  <si>
    <t>Zepel Excel (Continuous) Uncoated Mineral</t>
  </si>
  <si>
    <t>Zepel Excel (Continuous) Uncoated Navy</t>
  </si>
  <si>
    <t>Zepel Excel (Continuous) Uncoated Night</t>
  </si>
  <si>
    <t>Zepel Excel (Continuous) Uncoated Nugget</t>
  </si>
  <si>
    <t>Zepel Excel (Continuous) Uncoated Orchid</t>
  </si>
  <si>
    <t>Zepel Excel (Continuous) Uncoated Oyster</t>
  </si>
  <si>
    <t>Zepel Excel (Continuous) Uncoated Pear</t>
  </si>
  <si>
    <t>Zepel Excel (Continuous) Uncoated Plaza</t>
  </si>
  <si>
    <t>Zepel Excel (Continuous) Uncoated Rustic</t>
  </si>
  <si>
    <t>Zepel Excel (Continuous) Uncoated Sage</t>
  </si>
  <si>
    <t>Zepel Excel (Continuous) Uncoated Sand</t>
  </si>
  <si>
    <t>Zepel Excel (Continuous) Uncoated Sienna</t>
  </si>
  <si>
    <t>Zepel Excel (Continuous) Uncoated Silver</t>
  </si>
  <si>
    <t>Zepel Excel (Continuous) Uncoated Snow</t>
  </si>
  <si>
    <t>Zepel Excel (Continuous) Uncoated Spruce</t>
  </si>
  <si>
    <t>Zepel Excel (Continuous) Uncoated Terra</t>
  </si>
  <si>
    <t>Zepel Excel (Continuous) Uncoated Zinc</t>
  </si>
  <si>
    <t>Zepel Excel (Continuous) Uncoated TBA</t>
  </si>
  <si>
    <t>Zepel Geneva (Drop) Uncoated Aluminium</t>
  </si>
  <si>
    <t>59% Recycled Polyester, 41% Polyester</t>
  </si>
  <si>
    <t>Zepel Geneva (Drop) Uncoated Bison</t>
  </si>
  <si>
    <t>Zepel Geneva (Drop) Uncoated Cardinal</t>
  </si>
  <si>
    <t>Zepel Geneva (Drop) Uncoated Caviar</t>
  </si>
  <si>
    <t>Zepel Geneva (Drop) Uncoated Charcoal</t>
  </si>
  <si>
    <t>Zepel Geneva (Drop) Uncoated Cobalt</t>
  </si>
  <si>
    <t>Zepel Geneva (Drop) Uncoated Crocus</t>
  </si>
  <si>
    <t>Zepel Geneva (Drop) Uncoated Dove</t>
  </si>
  <si>
    <t>Zepel Geneva (Drop) Uncoated DUne</t>
  </si>
  <si>
    <t>Zepel Geneva (Drop) Uncoated Feather</t>
  </si>
  <si>
    <t>Zepel Geneva (Drop) Uncoated Forest</t>
  </si>
  <si>
    <t>Zepel Geneva (Drop) Uncoated Funghi</t>
  </si>
  <si>
    <t>Zepel Geneva (Drop) Uncoated Gold</t>
  </si>
  <si>
    <t>Zepel Geneva (Drop) Uncoated Horizon</t>
  </si>
  <si>
    <t>Zepel Geneva (Drop) Uncoated Ink</t>
  </si>
  <si>
    <t>Zepel Geneva (Drop) Uncoated Ivory</t>
  </si>
  <si>
    <t>Zepel Geneva (Drop) Uncoated Ivy</t>
  </si>
  <si>
    <t>Zepel Geneva (Drop) Uncoated Limestone</t>
  </si>
  <si>
    <t>Zepel Geneva (Drop) Uncoated Linen</t>
  </si>
  <si>
    <t>Zepel Geneva (Drop) Uncoated Mineral</t>
  </si>
  <si>
    <t>Zepel Geneva (Drop) Uncoated Orchid</t>
  </si>
  <si>
    <t>Zepel Geneva (Drop) Uncoated Petal</t>
  </si>
  <si>
    <t>Zepel Geneva (Drop) Uncoated Petrol</t>
  </si>
  <si>
    <t>Zepel Geneva (Drop) Uncoated Pewter</t>
  </si>
  <si>
    <t>Zepel Geneva (Drop) Uncoated Pumpkin</t>
  </si>
  <si>
    <t>Zepel Geneva (Drop) Uncoated Strawberry</t>
  </si>
  <si>
    <t>Zepel Geneva (Drop) Uncoated Swan</t>
  </si>
  <si>
    <t>Zepel Geneva (Drop) Uncoated Taupe</t>
  </si>
  <si>
    <t>Zepel Geneva (Drop) Uncoated Thyme</t>
  </si>
  <si>
    <t>Zepel Geneva (Drop) Uncoated TBA</t>
  </si>
  <si>
    <t>Zepel Darkness (Drop) Coated Aluminium</t>
  </si>
  <si>
    <t>57% Recycled Polyester, 43% Polyacrylic</t>
  </si>
  <si>
    <t>Zepel Darkness (Drop) Coated Aqua</t>
  </si>
  <si>
    <t>Zepel Darkness (Drop) Coated Balsam</t>
  </si>
  <si>
    <t>Zepel Darkness (Drop) Coated Beaver</t>
  </si>
  <si>
    <t>Zepel Darkness (Drop) Coated Boudoir</t>
  </si>
  <si>
    <t>Zepel Darkness (Drop) Coated Caviar</t>
  </si>
  <si>
    <t>Zepel Darkness (Drop) Coated Charcoal</t>
  </si>
  <si>
    <t>Zepel Darkness (Drop) Coated Cherry</t>
  </si>
  <si>
    <t>Zepel Darkness (Drop) Coated Chinchilla</t>
  </si>
  <si>
    <t>Zepel Darkness (Drop) Coated Copen</t>
  </si>
  <si>
    <t>Zepel Darkness (Drop) Coated Earth</t>
  </si>
  <si>
    <t>Zepel Darkness (Drop) Coated Flax</t>
  </si>
  <si>
    <t>Zepel Darkness (Drop) Coated Forest</t>
  </si>
  <si>
    <t>Zepel Darkness (Drop) Coated Fossil</t>
  </si>
  <si>
    <t>Zepel Darkness (Drop) Coated Grass</t>
  </si>
  <si>
    <t>Zepel Darkness (Drop) Coated Hay</t>
  </si>
  <si>
    <t>Zepel Darkness (Drop) Coated Hydro</t>
  </si>
  <si>
    <t>Zepel Darkness (Drop) Coated Mandarine</t>
  </si>
  <si>
    <t>Zepel Darkness (Drop) Coated Mimosa</t>
  </si>
  <si>
    <t>Zepel Darkness (Drop) Coated Mineral</t>
  </si>
  <si>
    <t>Zepel Darkness (Drop) Coated Ocean</t>
  </si>
  <si>
    <t>Zepel Darkness (Drop) Coated Pearl</t>
  </si>
  <si>
    <t>Zepel Darkness (Drop) Coated Rabbit</t>
  </si>
  <si>
    <t>Zepel Darkness (Drop) Coated Raffia</t>
  </si>
  <si>
    <t>Zepel Darkness (Drop) Coated Silver</t>
  </si>
  <si>
    <t>Zepel Darkness (Drop) Coated Snow</t>
  </si>
  <si>
    <t>Zepel Darkness (Drop) Coated Stellar</t>
  </si>
  <si>
    <t>Zepel Darkness (Drop) Coated TBA</t>
  </si>
  <si>
    <t>Zepel Duede (Continuous) Triple Weave Almond</t>
  </si>
  <si>
    <t>100% RECYCLED POLYESTER</t>
  </si>
  <si>
    <t>Zepel Duede (Continuous) Triple Weave Bark</t>
  </si>
  <si>
    <t>Zepel Duede (Continuous) Triple Weave Charcoal</t>
  </si>
  <si>
    <t>Zepel Duede (Continuous) Triple Weave Chinchilla</t>
  </si>
  <si>
    <t>Zepel Duede (Continuous) Triple Weave Cream</t>
  </si>
  <si>
    <t>Zepel Duede (Continuous) Triple Weave Denim</t>
  </si>
  <si>
    <t>Zepel Duede (Continuous) Triple Weave Dune</t>
  </si>
  <si>
    <t>Zepel Duede (Continuous) Triple Weave Fox</t>
  </si>
  <si>
    <t>Zepel Duede (Continuous) Triple Weave Grass</t>
  </si>
  <si>
    <t>Zepel Duede (Continuous) Triple Weave Indigo</t>
  </si>
  <si>
    <t>Zepel Duede (Continuous) Triple Weave Marble</t>
  </si>
  <si>
    <t>Zepel Duede (Continuous) Triple Weave Mineral</t>
  </si>
  <si>
    <t>Zepel Duede (Continuous) Triple Weave Night</t>
  </si>
  <si>
    <t>Zepel Duede (Continuous) Triple Weave Onyx</t>
  </si>
  <si>
    <t>Zepel Duede (Continuous) Triple Weave Pebble</t>
  </si>
  <si>
    <t>Zepel Duede (Continuous) Triple Weave Pinecone</t>
  </si>
  <si>
    <t>Zepel Duede (Continuous) Triple Weave Putty</t>
  </si>
  <si>
    <t>Zepel Duede (Continuous) Triple Weave Shadow</t>
  </si>
  <si>
    <t>Zepel Duede (Continuous) Triple Weave Shark</t>
  </si>
  <si>
    <t>Zepel Duede (Continuous) Triple Weave Smoke</t>
  </si>
  <si>
    <t>Zepel Duede (Continuous) Triple Weave Snow</t>
  </si>
  <si>
    <t>Zepel Duede (Continuous) Triple Weave Straw</t>
  </si>
  <si>
    <t>Zepel Duede (Continuous) Triple Weave Sun</t>
  </si>
  <si>
    <t>Zepel Duede (Continuous) Triple Weave Truffle</t>
  </si>
  <si>
    <t>Zepel Duede (Continuous) Triple Weave TBA</t>
  </si>
  <si>
    <t>Zepel Kidglove (Drop) Uncoated Antique</t>
  </si>
  <si>
    <t>60% Recycled Polyester, 40% Polyester</t>
  </si>
  <si>
    <t>Zepel Kidglove (Drop) Uncoated Beaver</t>
  </si>
  <si>
    <t>Zepel Kidglove (Drop) Uncoated Boudoir</t>
  </si>
  <si>
    <t>Zepel Kidglove (Drop) Uncoated Brick</t>
  </si>
  <si>
    <t>Zepel Kidglove (Drop) Uncoated Brownie</t>
  </si>
  <si>
    <t>Zepel Kidglove (Drop) Uncoated Charcoal</t>
  </si>
  <si>
    <t>Zepel Kidglove (Drop) Uncoated Chinchilla</t>
  </si>
  <si>
    <t>Zepel Kidglove (Drop) Uncoated Cream</t>
  </si>
  <si>
    <t>Zepel Kidglove (Drop) Uncoated Denim</t>
  </si>
  <si>
    <t>Zepel Kidglove (Drop) Uncoated Duckegg</t>
  </si>
  <si>
    <t>Zepel Kidglove (Drop) Uncoated Dune</t>
  </si>
  <si>
    <t>Zepel Kidglove (Drop) Uncoated Emerald</t>
  </si>
  <si>
    <t>Zepel Kidglove (Drop) Uncoated Fontaine</t>
  </si>
  <si>
    <t>Zepel Kidglove (Drop) Uncoated Gold</t>
  </si>
  <si>
    <t>Zepel Kidglove (Drop) Uncoated Hay</t>
  </si>
  <si>
    <t>Zepel Kidglove (Drop) Uncoated Indigo</t>
  </si>
  <si>
    <t>Zepel Kidglove (Drop) Uncoated Ivory</t>
  </si>
  <si>
    <t>Zepel Kidglove (Drop) Uncoated Jade</t>
  </si>
  <si>
    <t>Zepel Kidglove (Drop) Uncoated Limestone</t>
  </si>
  <si>
    <t>Zepel Kidglove (Drop) Uncoated Oasis</t>
  </si>
  <si>
    <t>Zepel Kidglove (Drop) Uncoated Onyx</t>
  </si>
  <si>
    <t>Zepel Kidglove (Drop) Uncoated Oyster</t>
  </si>
  <si>
    <t>Zepel Kidglove (Drop) Uncoated Papyrus</t>
  </si>
  <si>
    <t>Zepel Kidglove (Drop) Uncoated Peacock</t>
  </si>
  <si>
    <t>Zepel Kidglove (Drop) Uncoated Petal</t>
  </si>
  <si>
    <t>Zepel Kidglove (Drop) Uncoated Plaza</t>
  </si>
  <si>
    <t>Zepel Kidglove (Drop) Uncoated Quartz</t>
  </si>
  <si>
    <t>Zepel Kidglove (Drop) Uncoated Rattan</t>
  </si>
  <si>
    <t>Zepel Kidglove (Drop) Uncoated River</t>
  </si>
  <si>
    <t>Zepel Kidglove (Drop) Uncoated Seagrass</t>
  </si>
  <si>
    <t>Zepel Kidglove (Drop) Uncoated Sienna</t>
  </si>
  <si>
    <t>Zepel Kidglove (Drop) Uncoated Sky</t>
  </si>
  <si>
    <t>Zepel Kidglove (Drop) Uncoated Snow</t>
  </si>
  <si>
    <t>Zepel Kidglove (Drop) Uncoated TBA</t>
  </si>
  <si>
    <t>Charles Parsons Boyd (Continuous) Sheer Almond</t>
  </si>
  <si>
    <t>77% Polyester, 23% Linen</t>
  </si>
  <si>
    <t>Charles Parsons Boyd (Continuous) Sheer Blush</t>
  </si>
  <si>
    <t>Charles Parsons Boyd (Continuous) Sheer Cashmere</t>
  </si>
  <si>
    <t>Charles Parsons Boyd (Continuous) Sheer Dove</t>
  </si>
  <si>
    <t>Charles Parsons Boyd (Continuous) Sheer Flannel</t>
  </si>
  <si>
    <t>Charles Parsons Boyd (Continuous) Sheer Ivory</t>
  </si>
  <si>
    <t>Charles Parsons Boyd (Continuous) Sheer Onyx</t>
  </si>
  <si>
    <t>Charles Parsons Boyd (Continuous) Sheer Oyster</t>
  </si>
  <si>
    <t>Charles Parsons Boyd (Continuous) Sheer Pearl</t>
  </si>
  <si>
    <t>Charles Parsons Boyd (Continuous) Sheer Platinum</t>
  </si>
  <si>
    <t>Charles Parsons Boyd (Continuous) Sheer Snow White</t>
  </si>
  <si>
    <t>Charles Parsons Boyd (Continuous) Sheer Sterling</t>
  </si>
  <si>
    <t>Charles Parsons Boyd (Continuous) Sheer TBA</t>
  </si>
  <si>
    <t>Slender Morris Orange Grove (Drop) Uncoated Lapis</t>
  </si>
  <si>
    <t>82% Polyester,11% Cotton,7% Linen</t>
  </si>
  <si>
    <t>Slender Morris Orange Grove (Drop) Uncoated Mist</t>
  </si>
  <si>
    <t>Slender Morris Orange Grove (Drop) Uncoated Ochre</t>
  </si>
  <si>
    <t>Slender Morris Orange Grove (Drop) Uncoated Pine</t>
  </si>
  <si>
    <t>Slender Morris Orange Grove (Drop) Uncoated Spruce</t>
  </si>
  <si>
    <t>Slender Morris Orange Grove (Drop) Uncoated TBA</t>
  </si>
  <si>
    <t>33% Polyester, 44% Cotton, 23% Nylon (Polyacrylic)</t>
  </si>
  <si>
    <t>Warwick Taormina (Continuous) Sheer Chalk</t>
  </si>
  <si>
    <t>Warwick Taormina (Continuous) Sheer Cloud</t>
  </si>
  <si>
    <t>Warwick Taormina (Continuous) Sheer Denim</t>
  </si>
  <si>
    <t>Warwick Taormina (Continuous) Sheer Graphite</t>
  </si>
  <si>
    <t>Warwick Taormina (Continuous) Sheer Ivory</t>
  </si>
  <si>
    <t>Warwick Taormina (Continuous) Sheer Linen</t>
  </si>
  <si>
    <t>Warwick Taormina (Continuous) Sheer Onyx</t>
  </si>
  <si>
    <t>Warwick Taormina (Continuous) Sheer Powder</t>
  </si>
  <si>
    <t>Warwick Taormina (Continuous) Sheer Quartz</t>
  </si>
  <si>
    <t>Warwick Taormina (Continuous) Sheer Silver</t>
  </si>
  <si>
    <t>Warwick Taormina (Continuous) Sheer Slate</t>
  </si>
  <si>
    <t>Warwick Taormina (Continuous) Sheer Smoke</t>
  </si>
  <si>
    <t>Warwick Taormina (Continuous) Sheer Snow</t>
  </si>
  <si>
    <t>Warwick Taormina (Continuous) Sheer Vanilla</t>
  </si>
  <si>
    <t>Warwick Taormina (Continuous) Sheer TBA</t>
  </si>
  <si>
    <t>Warwick Taree (Continuous) Sheer Iceberg</t>
  </si>
  <si>
    <t>50% Linen 50% Polyester</t>
  </si>
  <si>
    <t>C3</t>
  </si>
  <si>
    <t>Warwick Burano (Continuous) Sheer Eucalyptus</t>
  </si>
  <si>
    <t>Warwick Burano (Continuous) Sheer Midnight</t>
  </si>
  <si>
    <t>Warwick Kanji (Continuous) Sheer Basalt</t>
  </si>
  <si>
    <t>100% LINEN</t>
  </si>
  <si>
    <t>Warwick Kanji (Continuous) Sheer Blush</t>
  </si>
  <si>
    <t>Warwick Kanji (Continuous) Sheer Bone</t>
  </si>
  <si>
    <t>Warwick Kanji (Continuous) Sheer Cloud</t>
  </si>
  <si>
    <t>Warwick Kanji (Continuous) Sheer Dove Grey</t>
  </si>
  <si>
    <t>Warwick Kanji (Continuous) Sheer Ecru</t>
  </si>
  <si>
    <t>Warwick Kanji (Continuous) Sheer Ink</t>
  </si>
  <si>
    <t>Warwick Kanji (Continuous) Sheer Khaki</t>
  </si>
  <si>
    <t>Warwick Kanji (Continuous) Sheer Linen</t>
  </si>
  <si>
    <t>Warwick Kanji (Continuous) Sheer Moss</t>
  </si>
  <si>
    <t>Warwick Kanji (Continuous) Sheer Oyster</t>
  </si>
  <si>
    <t>Warwick Kanji (Continuous) Sheer Russett</t>
  </si>
  <si>
    <t>Warwick Kanji (Continuous) Sheer Salt</t>
  </si>
  <si>
    <t>Warwick Kanji (Continuous) Sheer Shell</t>
  </si>
  <si>
    <t>Warwick Kanji (Continuous) Sheer Stone</t>
  </si>
  <si>
    <t>Warwick Kanji (Continuous) Sheer Teal</t>
  </si>
  <si>
    <t>Warwick Kanji (Continuous) Sheer Willow</t>
  </si>
  <si>
    <t>Warwick Kanji (Continuous) Sheer Wisteria</t>
  </si>
  <si>
    <t>Warwick Kanji (Continuous) Sheer TBA</t>
  </si>
  <si>
    <t>Warwick Statement (Continuous) Sheer Brownie</t>
  </si>
  <si>
    <t>Warwick Statement (Continuous) Sheer Charcoal</t>
  </si>
  <si>
    <t>Warwick Statement (Continuous) Sheer Cream</t>
  </si>
  <si>
    <t>Warwick Statement (Continuous) Sheer Dove</t>
  </si>
  <si>
    <t>Warwick Statement (Continuous) Sheer Flax</t>
  </si>
  <si>
    <t>Warwick Statement (Continuous) Sheer Frost</t>
  </si>
  <si>
    <t>Warwick Statement (Continuous) Sheer Iceberg</t>
  </si>
  <si>
    <t>Warwick Statement (Continuous) Sheer Limestone</t>
  </si>
  <si>
    <t>Warwick Statement (Continuous) Sheer Linen</t>
  </si>
  <si>
    <t>Warwick Statement (Continuous) Sheer Marble</t>
  </si>
  <si>
    <t>Warwick Statement (Continuous) Sheer Mouse</t>
  </si>
  <si>
    <t>Warwick Statement (Continuous) Sheer Pinecone</t>
  </si>
  <si>
    <t>Warwick Statement (Continuous) Sheer Sand</t>
  </si>
  <si>
    <t>Warwick Statement (Continuous) Sheer Silver</t>
  </si>
  <si>
    <t>Warwick Statement (Continuous) Sheer Snow</t>
  </si>
  <si>
    <t>Warwick Statement (Continuous) Sheer Wool</t>
  </si>
  <si>
    <t>Warwick Statement (Continuous) Sheer TBA</t>
  </si>
  <si>
    <t>Warwick Harrington (Drop) Uncoated Ash</t>
  </si>
  <si>
    <t>FHA06SAGE</t>
  </si>
  <si>
    <t>Warwick Harrington (Drop) Uncoated Clay</t>
  </si>
  <si>
    <t>Warwick Harrington (Drop) Uncoated Natural</t>
  </si>
  <si>
    <t>Warwick Harrington (Drop) Uncoated Sage</t>
  </si>
  <si>
    <t>Warwick Harrington (Drop) Uncoated Slate</t>
  </si>
  <si>
    <t>Warwick Harrington (Drop) Uncoated Smoke</t>
  </si>
  <si>
    <t>Warwick Harrington (Drop) Uncoated TBA</t>
  </si>
  <si>
    <t>Warwick Cunningham (Drop) Uncoated Ash</t>
  </si>
  <si>
    <t>FCU03ASHH</t>
  </si>
  <si>
    <t>Warwick Cunningham (Drop) Uncoated Clay</t>
  </si>
  <si>
    <t>Warwick Cunningham (Drop) Uncoated Natural</t>
  </si>
  <si>
    <t>Warwick Cunningham (Drop) Uncoated Sage</t>
  </si>
  <si>
    <t>Warwick Cunningham (Drop) Uncoated Slate</t>
  </si>
  <si>
    <t>Warwick Cunningham (Drop) Uncoated Smoke</t>
  </si>
  <si>
    <t>Warwick Cunningham (Drop) Uncoated TBA</t>
  </si>
  <si>
    <t>Warwick Derby (Drop) Uncoated Ash</t>
  </si>
  <si>
    <t>69% Cotton 31% Polyester</t>
  </si>
  <si>
    <t>FDE03SLAT</t>
  </si>
  <si>
    <t>Warwick Derby (Drop) Uncoated Clay</t>
  </si>
  <si>
    <t>Warwick Derby (Drop) Uncoated Natural</t>
  </si>
  <si>
    <t>Warwick Derby (Drop) Uncoated Sage</t>
  </si>
  <si>
    <t>Warwick Derby (Drop) Uncoated Slate</t>
  </si>
  <si>
    <t>Warwick Derby (Drop) Uncoated Smoke</t>
  </si>
  <si>
    <t>Warwick Derby (Drop) Uncoated TBA</t>
  </si>
  <si>
    <t>Warwick Evandale (Drop) Uncoated Ash</t>
  </si>
  <si>
    <t>57% Polyester 43% Cotton</t>
  </si>
  <si>
    <t>Warwick Evandale (Drop) Uncoated Clay</t>
  </si>
  <si>
    <t>Warwick Evandale (Drop) Uncoated Natural</t>
  </si>
  <si>
    <t>Warwick Evandale (Drop) Uncoated Sage</t>
  </si>
  <si>
    <t>Warwick Evandale (Drop) Uncoated Slate</t>
  </si>
  <si>
    <t>Warwick Evandale (Drop) Uncoated Smoke</t>
  </si>
  <si>
    <t>Warwick Evandale (Drop) Uncoated TBA</t>
  </si>
  <si>
    <t>Warwick Hardwick (Drop) Uncoated Ash</t>
  </si>
  <si>
    <t>68% Cotton 32% Polyester</t>
  </si>
  <si>
    <t>Warwick Hardwick (Drop) Uncoated Clay</t>
  </si>
  <si>
    <t>Warwick Hardwick (Drop) Uncoated Natural</t>
  </si>
  <si>
    <t>Warwick Hardwick (Drop) Uncoated Sage</t>
  </si>
  <si>
    <t>Warwick Hardwick (Drop) Uncoated Slate</t>
  </si>
  <si>
    <t>Warwick Hardwick (Drop) Uncoated Smoke</t>
  </si>
  <si>
    <t>Warwick Hardwick (Drop) Uncoated TBA</t>
  </si>
  <si>
    <t>Warwick Pirro (Drop) Uncoated Canvas</t>
  </si>
  <si>
    <t>57% Linen 31% Wool 8% Cotton 4% Nylon</t>
  </si>
  <si>
    <t>Warwick Pirro (Drop) Uncoated Fawn</t>
  </si>
  <si>
    <t>Warwick Pirro (Drop) Uncoated Fossil</t>
  </si>
  <si>
    <t>Warwick Pirro (Drop) Uncoated Linen</t>
  </si>
  <si>
    <t>Warwick Pirro (Drop) Uncoated Linseed</t>
  </si>
  <si>
    <t>Warwick Pirro (Drop) Uncoated Mahogany</t>
  </si>
  <si>
    <t>Warwick Pirro (Drop) Uncoated Mineral</t>
  </si>
  <si>
    <t>Warwick Pirro (Drop) Uncoated Ochre</t>
  </si>
  <si>
    <t>Warwick Pirro (Drop) Uncoated Sage</t>
  </si>
  <si>
    <t>Warwick Pirro (Drop) Uncoated Slate</t>
  </si>
  <si>
    <t>Warwick Pirro (Drop) Uncoated TBA</t>
  </si>
  <si>
    <t>Warwick Boyd (Continuous) Uncoated Ash</t>
  </si>
  <si>
    <t>Warwick Boyd (Continuous) Uncoated Bilby</t>
  </si>
  <si>
    <t>Warwick Boyd (Continuous) Uncoated Charcoal</t>
  </si>
  <si>
    <t>Warwick Boyd (Continuous) Uncoated Curd</t>
  </si>
  <si>
    <t>Warwick Boyd (Continuous) Uncoated Denim</t>
  </si>
  <si>
    <t>Warwick Boyd (Continuous) Uncoated Dune</t>
  </si>
  <si>
    <t>Warwick Boyd (Continuous) Uncoated Ecru</t>
  </si>
  <si>
    <t>Warwick Boyd (Continuous) Uncoated Ice</t>
  </si>
  <si>
    <t>Warwick Boyd (Continuous) Uncoated Optic</t>
  </si>
  <si>
    <t>Warwick Boyd (Continuous) Uncoated Parchment</t>
  </si>
  <si>
    <t>Warwick Boyd (Continuous) Uncoated Sand</t>
  </si>
  <si>
    <t>Warwick Boyd (Continuous) Uncoated Silver</t>
  </si>
  <si>
    <t>Warwick Boyd (Continuous) Uncoated Steel</t>
  </si>
  <si>
    <t>Warwick Boyd (Continuous) Uncoated Taupe</t>
  </si>
  <si>
    <t>Warwick Boyd (Continuous) Uncoated Wheat</t>
  </si>
  <si>
    <t>Warwick Boyd (Continuous) Uncoated TBA</t>
  </si>
  <si>
    <t>Warwick Handblock (Continuous) Uncoated Basalt</t>
  </si>
  <si>
    <t>40% Cotton, 60% Linen</t>
  </si>
  <si>
    <t>Warwick Handblock (Continuous) Uncoated TBA</t>
  </si>
  <si>
    <t>Slender Morris Chervil (Drop) Uncoated Blue Mist</t>
  </si>
  <si>
    <t>Slender Morris Chervil (Drop) Uncoated Clay</t>
  </si>
  <si>
    <t>Slender Morris Chervil (Drop) Uncoated Denim</t>
  </si>
  <si>
    <t>Slender Morris Chervil (Drop) Uncoated Dove</t>
  </si>
  <si>
    <t>Slender Morris Chervil (Drop) Uncoated Fern</t>
  </si>
  <si>
    <t>Slender Morris Chervil (Drop) Uncoated Mist</t>
  </si>
  <si>
    <t>Slender Morris Chervil (Drop) Uncoated Mustard</t>
  </si>
  <si>
    <t>Slender Morris Chervil (Drop) Uncoated TBA</t>
  </si>
  <si>
    <t>Sign</t>
  </si>
  <si>
    <t>Glider Qty</t>
  </si>
  <si>
    <t>Zepel Renaissance (Drop) Uncoated Boudoir</t>
  </si>
  <si>
    <t>55% Polyester/ 45% Cotton</t>
  </si>
  <si>
    <t>Zepel Renaissance (Drop) Uncoated Cream</t>
  </si>
  <si>
    <t>Zepel Renaissance (Drop) Uncoated Fossil</t>
  </si>
  <si>
    <t>Zepel Renaissance (Drop) Uncoated Mineral</t>
  </si>
  <si>
    <t>Zepel Renaissance (Drop) Uncoated Ocean</t>
  </si>
  <si>
    <t>Zepel Renaissance (Drop) Uncoated Sand</t>
  </si>
  <si>
    <t>Zepel Renaissance (Drop) Uncoated Silver</t>
  </si>
  <si>
    <t>Zepel Renaissance (Drop) Uncoated TBA</t>
  </si>
  <si>
    <t>50% Polyester/ 50% Cotton</t>
  </si>
  <si>
    <t>Maurice Kain Hazel (Drop) Uncoated TBA</t>
  </si>
  <si>
    <t>Warwick Caspian (Continuous) Uncoated Biscuit</t>
  </si>
  <si>
    <t>Warwick Caspian (Continuous) Uncoated Caviar</t>
  </si>
  <si>
    <t>Warwick Caspian (Continuous) Uncoated Chocolate</t>
  </si>
  <si>
    <t>Warwick Caspian (Continuous) Uncoated Copper</t>
  </si>
  <si>
    <t>Warwick Caspian (Continuous) Uncoated Eggshell</t>
  </si>
  <si>
    <t>Warwick Caspian (Continuous) Uncoated Gold</t>
  </si>
  <si>
    <t>Warwick Caspian (Continuous) Uncoated Ink</t>
  </si>
  <si>
    <t>Warwick Caspian (Continuous) Uncoated Ivory</t>
  </si>
  <si>
    <t>Warwick Caspian (Continuous) Uncoated Nomad</t>
  </si>
  <si>
    <t>Warwick Caspian (Continuous) Uncoated Nutmeg</t>
  </si>
  <si>
    <t>Warwick Caspian (Continuous) Uncoated Olive</t>
  </si>
  <si>
    <t>Warwick Caspian (Continuous) Uncoated Ruby</t>
  </si>
  <si>
    <t>Warwick Caspian (Continuous) Uncoated Silver</t>
  </si>
  <si>
    <t>Warwick Caspian (Continuous) Uncoated Turquoise</t>
  </si>
  <si>
    <t>Warwick Caspian (Continuous) Uncoated TBA</t>
  </si>
  <si>
    <t>Slender Morris Milan (Drop) Sheer Almond</t>
  </si>
  <si>
    <t>Slender Morris Milan (Drop) Sheer Baby Pink</t>
  </si>
  <si>
    <t>Slender Morris Milan (Drop) Sheer Black</t>
  </si>
  <si>
    <t>Slender Morris Milan (Drop) Sheer Charcoal</t>
  </si>
  <si>
    <t>Slender Morris Milan (Drop) Sheer Dune</t>
  </si>
  <si>
    <t>Slender Morris Milan (Drop) Sheer Feather</t>
  </si>
  <si>
    <t>Slender Morris Milan (Drop) Sheer Flax</t>
  </si>
  <si>
    <t>Hoad Capri (Drop) Sheer Alabaster</t>
  </si>
  <si>
    <t>Hoad Capri (Drop) Sheer Birch</t>
  </si>
  <si>
    <t>Hoad Capri (Drop) Sheer Chalk</t>
  </si>
  <si>
    <t>Hoad Capri (Drop) Sheer Cloud</t>
  </si>
  <si>
    <t>Hoad Capri (Drop) Sheer Gooseberry</t>
  </si>
  <si>
    <t>Hoad Capri (Drop) Sheer Gravel</t>
  </si>
  <si>
    <t>Hoad Capri (Drop) Sheer Latte</t>
  </si>
  <si>
    <t>Hoad Capri (Drop) Sheer Mineral</t>
  </si>
  <si>
    <t>Hoad Capri (Drop) Sheer Oatmeal</t>
  </si>
  <si>
    <t>Hoad Capri (Drop) Sheer Pigeon</t>
  </si>
  <si>
    <t>Hoad Capri (Drop) Sheer Putty</t>
  </si>
  <si>
    <t>Hoad Capri (Drop) Sheer Sand</t>
  </si>
  <si>
    <t>Hoad Capri (Drop) Sheer Stucco</t>
  </si>
  <si>
    <t>Hoad Capri (Drop) Sheer TBA</t>
  </si>
  <si>
    <t>Slender Morris Milan (Drop) Sheer Grey Stoke</t>
  </si>
  <si>
    <t>Slender Morris Milan (Drop) Sheer Iceberg</t>
  </si>
  <si>
    <t>Slender Morris Milan (Drop) Sheer Ivory</t>
  </si>
  <si>
    <t>Slender Morris Milan (Drop) Sheer Lino</t>
  </si>
  <si>
    <t>Slender Morris Milan (Drop) Sheer Marble</t>
  </si>
  <si>
    <t>Slender Morris Milan (Drop) Sheer Milky</t>
  </si>
  <si>
    <t>Slender Morris Milan (Drop) Sheer Misty</t>
  </si>
  <si>
    <t>Slender Morris Milan (Drop) Sheer Navy</t>
  </si>
  <si>
    <t>Slender Morris Milan (Drop) Sheer Nougat</t>
  </si>
  <si>
    <t>Slender Morris Milan (Drop) Sheer Oyster</t>
  </si>
  <si>
    <t>Slender Morris Milan (Drop) Sheer Sea Grass</t>
  </si>
  <si>
    <t>Slender Morris Milan (Drop) Sheer Seamist</t>
  </si>
  <si>
    <t>Slender Morris Milan (Drop) Sheer Smoke</t>
  </si>
  <si>
    <t>Slender Morris Milan (Drop) Sheer Storm</t>
  </si>
  <si>
    <t>Slender Morris Milan (Drop) Sheer TBA</t>
  </si>
  <si>
    <t>Dune</t>
  </si>
  <si>
    <t>Granite</t>
  </si>
  <si>
    <t>Oyster</t>
  </si>
  <si>
    <t>Pristine</t>
  </si>
  <si>
    <t>Quarry</t>
  </si>
  <si>
    <t>Raven</t>
  </si>
  <si>
    <t>Sand</t>
  </si>
  <si>
    <t>Surf</t>
  </si>
  <si>
    <t>James Dunlop Solarline (Drop) Lining</t>
  </si>
  <si>
    <t>James Dunlop Solarline (Continuous) Lining</t>
  </si>
  <si>
    <t>Silicone</t>
  </si>
  <si>
    <t>Raffles Exquisite (Continuous) Sheer Ivory</t>
  </si>
  <si>
    <t>Raffles Exquisite (Continuous) Sheer Mink</t>
  </si>
  <si>
    <t>Raffles Exquisite (Continuous) Sheer Natural</t>
  </si>
  <si>
    <t>Raffles Exquisite (Continuous) Sheer White</t>
  </si>
  <si>
    <t>Raffles Exquisite (Continuous) Sheer TBA</t>
  </si>
  <si>
    <t>Raffles Exquisite (Drop) Sheer Ivory</t>
  </si>
  <si>
    <t>Raffles Exquisite (Drop) Sheer Mink</t>
  </si>
  <si>
    <t>Raffles Exquisite (Drop) Sheer Natural</t>
  </si>
  <si>
    <t>Raffles Exquisite (Drop) Sheer White</t>
  </si>
  <si>
    <t>Raffles Exquisite (Drop) Sheer TBA</t>
  </si>
  <si>
    <t>Dragonfly</t>
  </si>
  <si>
    <t>Clarke &amp; Clarke Droplet (Drop) Uncoated Cream F1151/01</t>
  </si>
  <si>
    <t>Clarke &amp; Clarke Droplet (Drop) Uncoated TBA</t>
  </si>
  <si>
    <t>Maurice Kain Blythe (Continuous) Sheer Chalk</t>
  </si>
  <si>
    <t>90% Polyester, 10% Linen</t>
  </si>
  <si>
    <t>Maurice Kain Blythe (Continuous) Sheer Milk</t>
  </si>
  <si>
    <t>Maurice Kain Blythe (Continuous) Sheer Alabaster</t>
  </si>
  <si>
    <t xml:space="preserve">Maurice Kain Blythe (Continuous) Sheer Natural </t>
  </si>
  <si>
    <t>Maurice Kain Blythe (Continuous) Sheer Linen</t>
  </si>
  <si>
    <t>Maurice Kain Blythe (Continuous) Sheer Marble</t>
  </si>
  <si>
    <t>Maurice Kain Blythe (Continuous) Sheer Stone</t>
  </si>
  <si>
    <t>Maurice Kain Blythe (Continuous) Sheer Silver</t>
  </si>
  <si>
    <t>Maurice Kain Blythe (Continuous) Sheer Dusk</t>
  </si>
  <si>
    <t>Maurice Kain Blythe (Continuous) Sheer Granite</t>
  </si>
  <si>
    <t>Maurice Kain Blythe (Continuous) Sheer TBA</t>
  </si>
  <si>
    <t>Maurice Kain Everest (Continuous) Sheer Iceberg</t>
  </si>
  <si>
    <t>75% Polyester, 25% Linen</t>
  </si>
  <si>
    <t>Maurice Kain Everest (Continuous) Sheer Quartz</t>
  </si>
  <si>
    <t>Maurice Kain Everest (Continuous) Sheer Parchment</t>
  </si>
  <si>
    <t>Maurice Kain Everest (Continuous) Sheer Lien</t>
  </si>
  <si>
    <t>Maurice Kain Everest (Continuous) Sheer Marble</t>
  </si>
  <si>
    <t>Maurice Kain Everest (Continuous) Sheer Taupe</t>
  </si>
  <si>
    <t>Maurice Kain Everest (Continuous) Sheer TBA</t>
  </si>
  <si>
    <t>Maurice Kain Cecilia (Continuous) Sheer Off White</t>
  </si>
  <si>
    <t>Maurice Kain Cecilia (Continuous) Sheer TBA</t>
  </si>
  <si>
    <t>Maurice Kain Antonia (Continuous) Sheer Off White</t>
  </si>
  <si>
    <t>Maurice Kain Antonia (Continuous) Sheer TBA</t>
  </si>
  <si>
    <t>Maurice Kain Gabrielle (Continuous) Sheer Off White</t>
  </si>
  <si>
    <t>Maurice Kain Gabrielle (Continuous) Sheer TBA</t>
  </si>
  <si>
    <t>Maurice Kain Beatrice (Continuous) Sheer Off White</t>
  </si>
  <si>
    <t>Maurice Kain Beatrice (Continuous) Sheer TBA</t>
  </si>
  <si>
    <t>Maurice Kain Abigail (Continuous) Sheer Off White</t>
  </si>
  <si>
    <t>Maurice Kain Abigail (Continuous) Sheer TBA</t>
  </si>
  <si>
    <t>Warwick Palisade (Continuous) Sheer Ecru</t>
  </si>
  <si>
    <t>Warwick Palisade (Continuous) Sheer Flint</t>
  </si>
  <si>
    <t>Warwick Palisade (Continuous) Sheer Ivory</t>
  </si>
  <si>
    <t>Warwick Palisade (Continuous) Sheer Polar</t>
  </si>
  <si>
    <t>Warwick Palisade (Continuous) Sheer Shadow</t>
  </si>
  <si>
    <t>Warwick Palisade (Continuous) Sheer Smoke</t>
  </si>
  <si>
    <t>Warwick Palisade (Continuous) Sheer TBA</t>
  </si>
  <si>
    <t>Mokum Nikau (Continuous) Sheer Driftwood</t>
  </si>
  <si>
    <t>40% Recycled Polyester/ 38% Linen/ 22% Organic Cotton</t>
  </si>
  <si>
    <t>Mokum Nikau (Continuous) Sheer Salt</t>
  </si>
  <si>
    <t>Mokum Nikau (Continuous) Sheer Sand</t>
  </si>
  <si>
    <t>Mokum Nikau (Continuous) Sheer Stone</t>
  </si>
  <si>
    <t>Mokum Nikau (Continuous) Sheer TBA</t>
  </si>
  <si>
    <t>Mokum Eucalypt (Continuous) Sheer Natural</t>
  </si>
  <si>
    <t>Mokum Eucalypt (Continuous) Sheer Silver Gum</t>
  </si>
  <si>
    <t>Mokum Eucalypt (Continuous) Sheer Sundried</t>
  </si>
  <si>
    <t>Mokum Eucalypt (Continuous) Sheer TBA</t>
  </si>
  <si>
    <t>Mokum Laconia Air (Continuous) Sheer Ecru</t>
  </si>
  <si>
    <t>Mokum Laconia Air (Continuous) Sheer Mist</t>
  </si>
  <si>
    <t>Mokum Laconia Air (Continuous) Sheer Moss</t>
  </si>
  <si>
    <t>Mokum Laconia Air (Continuous) Sheer Obsidian</t>
  </si>
  <si>
    <t>Mokum Laconia Air (Continuous) Sheer Ocean</t>
  </si>
  <si>
    <t>Mokum Laconia Air (Continuous) Sheer Ochre</t>
  </si>
  <si>
    <t>Mokum Laconia Air (Continuous) Sheer Pepper</t>
  </si>
  <si>
    <t>Mokum Laconia Air (Continuous) Sheer Ricepaper</t>
  </si>
  <si>
    <t>Mokum Laconia Air (Continuous) Sheer Salt</t>
  </si>
  <si>
    <t>Mokum Laconia Air (Continuous) Sheer Terracotta</t>
  </si>
  <si>
    <t>Mokum Laconia Air (Continuous) Sheer Willow</t>
  </si>
  <si>
    <t>Mokum Laconia Air (Continuous) Sheer Dridtwood</t>
  </si>
  <si>
    <t>Mokum Laconia Air (Continuous) Sheer Duckegg</t>
  </si>
  <si>
    <t>Mokum Laconia Air (Drop) Sheer Ecru</t>
  </si>
  <si>
    <t>Mokum Laconia Air (Drop) Sheer Mist</t>
  </si>
  <si>
    <t>Mokum Laconia Air (Drop) Sheer Moss</t>
  </si>
  <si>
    <t>Mokum Laconia Air (Drop) Sheer Obsidian</t>
  </si>
  <si>
    <t>Mokum Laconia Air (Drop) Sheer Ocean</t>
  </si>
  <si>
    <t>Mokum Laconia Air (Drop) Sheer Ochre</t>
  </si>
  <si>
    <t>Mokum Laconia Air (Drop) Sheer Pepper</t>
  </si>
  <si>
    <t>Mokum Laconia Air (Drop) Sheer Ricepaper</t>
  </si>
  <si>
    <t>Mokum Laconia Air (Drop) Sheer Salt</t>
  </si>
  <si>
    <t>Mokum Laconia Air (Drop) Sheer Terracotta</t>
  </si>
  <si>
    <t>Mokum Laconia Air (Drop) Sheer Willow</t>
  </si>
  <si>
    <t>Mokum Laconia Air (Drop) Sheer Dridtwood</t>
  </si>
  <si>
    <t>Mokum Laconia Air (Drop) Sheer Duckegg</t>
  </si>
  <si>
    <t>Mokum Kyoto Stripe (Drop) Sheer Chambray</t>
  </si>
  <si>
    <t>Mokum Kyoto Stripe (Drop) Sheer Feather</t>
  </si>
  <si>
    <t>Mokum Kyoto Stripe (Drop) Sheer Linen</t>
  </si>
  <si>
    <t>Mokum Kyoto Stripe (Drop) Sheer Powder</t>
  </si>
  <si>
    <t>Mokum Kyoto Stripe (Drop) Sheer Sage</t>
  </si>
  <si>
    <t>Mokum Kyoto Stripe (Drop) Sheer TBA</t>
  </si>
  <si>
    <t>Mokum Kyoto Stripe (Continuous) Sheer Chambray</t>
  </si>
  <si>
    <t>Mokum Kyoto Stripe (Continuous) Sheer Feather</t>
  </si>
  <si>
    <t>Mokum Kyoto Stripe (Continuous) Sheer Linen</t>
  </si>
  <si>
    <t>Mokum Kyoto Stripe (Continuous) Sheer Powder</t>
  </si>
  <si>
    <t>Mokum Kyoto Stripe (Continuous) Sheer Sage</t>
  </si>
  <si>
    <t>Mokum Kyoto Stripe (Continuous) Sheer TBA</t>
  </si>
  <si>
    <t xml:space="preserve">Mokum (Continous) Uncoated Basalt </t>
  </si>
  <si>
    <t xml:space="preserve">Mokum (Continous) Uncoated Blush </t>
  </si>
  <si>
    <t xml:space="preserve">Mokum (Continous) Uncoated Celadon </t>
  </si>
  <si>
    <t xml:space="preserve">Mokum (Continous) Uncoated Chalk </t>
  </si>
  <si>
    <t xml:space="preserve">Mokum (Continous) Uncoated Duckegg </t>
  </si>
  <si>
    <t xml:space="preserve">Mokum (Continous) Uncoated Lake </t>
  </si>
  <si>
    <t xml:space="preserve">Mokum (Continous) Uncoated Linen </t>
  </si>
  <si>
    <t xml:space="preserve">Mokum (Continous) Uncoated Moss </t>
  </si>
  <si>
    <t xml:space="preserve">Mokum (Continous) Uncoated Navy </t>
  </si>
  <si>
    <t xml:space="preserve">Mokum (Continous) Uncoated Ochre </t>
  </si>
  <si>
    <t xml:space="preserve">Mokum (Continous) Uncoated Parchment </t>
  </si>
  <si>
    <t xml:space="preserve">Mokum (Continous) Uncoated Ricepaper </t>
  </si>
  <si>
    <t xml:space="preserve">Mokum (Continous) Uncoated Rust </t>
  </si>
  <si>
    <t xml:space="preserve">Mokum (Continous) Uncoated Sage </t>
  </si>
  <si>
    <t xml:space="preserve">Mokum (Continous) Uncoated Snow </t>
  </si>
  <si>
    <t xml:space="preserve">Mokum (Continous) Uncoated TBA </t>
  </si>
  <si>
    <t xml:space="preserve">Mokum (Drop) Uncoated Alabaster </t>
  </si>
  <si>
    <t xml:space="preserve">Mokum (Drop) Uncoated Anthracite </t>
  </si>
  <si>
    <t xml:space="preserve">Mokum (Drop) Uncoated Beige </t>
  </si>
  <si>
    <t xml:space="preserve">Mokum (Drop) Uncoated Bison </t>
  </si>
  <si>
    <t xml:space="preserve">Mokum (Drop) Uncoated Boudoir </t>
  </si>
  <si>
    <t xml:space="preserve">Mokum (Drop) Uncoated Cream </t>
  </si>
  <si>
    <t xml:space="preserve">Mokum (Drop) Uncoated Denim </t>
  </si>
  <si>
    <t xml:space="preserve">Mokum (Drop) Uncoated Duckegg </t>
  </si>
  <si>
    <t xml:space="preserve">Mokum (Drop) Uncoated Falcon </t>
  </si>
  <si>
    <t xml:space="preserve">Mokum (Drop) Uncoated Flint </t>
  </si>
  <si>
    <t xml:space="preserve">Mokum (Drop) Uncoated Fossil </t>
  </si>
  <si>
    <t xml:space="preserve">Mokum (Drop) Uncoated Gargoyle </t>
  </si>
  <si>
    <t xml:space="preserve">Mokum (Drop) Uncoated Hydro </t>
  </si>
  <si>
    <t xml:space="preserve">Mokum (Drop) Uncoated Ivy </t>
  </si>
  <si>
    <t xml:space="preserve">Mokum (Drop) Uncoated Limestone </t>
  </si>
  <si>
    <t xml:space="preserve">Mokum (Drop) Uncoated Linden </t>
  </si>
  <si>
    <t xml:space="preserve">Mokum (Drop) Uncoated Linen </t>
  </si>
  <si>
    <t xml:space="preserve">Mokum (Drop) Uncoated Moss </t>
  </si>
  <si>
    <t xml:space="preserve">Mokum (Drop) Uncoated Myosotis </t>
  </si>
  <si>
    <t xml:space="preserve">Mokum (Drop) Uncoated Navy </t>
  </si>
  <si>
    <t xml:space="preserve">Mokum (Drop) Uncoated Orchid </t>
  </si>
  <si>
    <t xml:space="preserve">Mokum (Drop) Uncoated Pearl </t>
  </si>
  <si>
    <t xml:space="preserve">Mokum (Drop) Uncoated Pewter </t>
  </si>
  <si>
    <t xml:space="preserve">Mokum (Drop) Uncoated Plum </t>
  </si>
  <si>
    <t xml:space="preserve">Mokum (Drop) Uncoated Porcelain </t>
  </si>
  <si>
    <t xml:space="preserve">Mokum (Drop) Uncoated Sand </t>
  </si>
  <si>
    <t xml:space="preserve">Mokum (Drop) Uncoated Seagrass </t>
  </si>
  <si>
    <t xml:space="preserve">Mokum (Drop) Uncoated Sesame </t>
  </si>
  <si>
    <t xml:space="preserve">Mokum (Drop) Uncoated Silver </t>
  </si>
  <si>
    <t xml:space="preserve">Mokum (Drop) Uncoated Spice </t>
  </si>
  <si>
    <t xml:space="preserve">Mokum (Drop) Uncoated Tawny </t>
  </si>
  <si>
    <t xml:space="preserve">Mokum (Drop) Uncoated TBA </t>
  </si>
  <si>
    <t>Mokum Antipodes (Continuous) Uncoated Blush</t>
  </si>
  <si>
    <t>Mokum Antipodes (Continuous) Uncoated Driftwood</t>
  </si>
  <si>
    <t>Mokum Antipodes (Continuous) Uncoated Oyster</t>
  </si>
  <si>
    <t>Mokum Antipodes (Continuous) Uncoated Peppercorn</t>
  </si>
  <si>
    <t>Mokum Antipodes (Continuous) Uncoated Sage</t>
  </si>
  <si>
    <t>Mokum Antipodes (Continuous) Uncoated Seafoam</t>
  </si>
  <si>
    <t>Mokum Antipodes (Continuous) Uncoated Whitewash</t>
  </si>
  <si>
    <t>Mokum Antipodes (Continuous) Uncoated Aqua</t>
  </si>
  <si>
    <t>Mokum Antipodes (Continuous) Uncoated Cloud</t>
  </si>
  <si>
    <t>Mokum Antipodes (Continuous) Uncoated Flax</t>
  </si>
  <si>
    <t>Mokum Antipodes (Continuous) Uncoated Granite</t>
  </si>
  <si>
    <t>Mokum Antipodes (Continuous) Uncoated Mineral</t>
  </si>
  <si>
    <t>Mokum Antipodes (Continuous) Uncoated Pacific</t>
  </si>
  <si>
    <t>Mokum Antipodes (Continuous) Uncoated Pebble</t>
  </si>
  <si>
    <t>Mokum Antipodes (Continuous) Uncoated Petal</t>
  </si>
  <si>
    <t>Mokum Antipodes (Continuous) Uncoated Sand</t>
  </si>
  <si>
    <t>Mokum Antipodes (Continuous) Uncoated Schist</t>
  </si>
  <si>
    <t>Mokum Antipodes (Continuous) Uncoated TBA</t>
  </si>
  <si>
    <t>Mokum Kumo Recycled (Continuous) Uncoated Riverstone</t>
  </si>
  <si>
    <t>Mokum Kumo Recycled (Continuous) Uncoated Salt</t>
  </si>
  <si>
    <t>Mokum Kumo Recycled (Continuous) Uncoated Silver Birch</t>
  </si>
  <si>
    <t>Mokum Kumo Recycled (Continuous) Uncoated Snow</t>
  </si>
  <si>
    <t>Mokum Kumo Recycled (Continuous) Uncoated Stone</t>
  </si>
  <si>
    <t>Mokum Kumo Recycled (Continuous) Uncoated Artichoke</t>
  </si>
  <si>
    <t>Mokum Kumo Recycled (Continuous) Uncoated Blush</t>
  </si>
  <si>
    <t>Mokum Kumo Recycled (Continuous) Uncoated Charcoal</t>
  </si>
  <si>
    <t>Mokum Kumo Recycled (Continuous) Uncoated Duckegg</t>
  </si>
  <si>
    <t>Mokum Kumo Recycled (Continuous) Uncoated Lake</t>
  </si>
  <si>
    <t>Mokum Kumo Recycled (Continuous) Uncoated Linen</t>
  </si>
  <si>
    <t>Mokum Kumo Recycled (Continuous) Uncoated Midnight</t>
  </si>
  <si>
    <t>Mokum Kumo Recycled (Continuous) Uncoated Moss</t>
  </si>
  <si>
    <t>Mokum Kumo Recycled (Continuous) Uncoated Ochre</t>
  </si>
  <si>
    <t>Mokum Kumo Recycled (Continuous) Uncoated Parchment</t>
  </si>
  <si>
    <t>Mokum Kumo Recycled (Continuous) Uncoated TBA</t>
  </si>
  <si>
    <t xml:space="preserve">Mokum (Drop) Uncoated Angora </t>
  </si>
  <si>
    <t xml:space="preserve">Mokum (Drop) Uncoated Artisan </t>
  </si>
  <si>
    <t xml:space="preserve">Mokum (Drop) Uncoated Blush </t>
  </si>
  <si>
    <t xml:space="preserve">Mokum (Drop) Uncoated Cardinal </t>
  </si>
  <si>
    <t xml:space="preserve">Mokum (Drop) Uncoated Charcoal </t>
  </si>
  <si>
    <t xml:space="preserve">Mokum (Drop) Uncoated Chinchilla </t>
  </si>
  <si>
    <t xml:space="preserve">Mokum (Drop) Uncoated Cobalt </t>
  </si>
  <si>
    <t xml:space="preserve">Mokum (Drop) Uncoated Damson </t>
  </si>
  <si>
    <t xml:space="preserve">Mokum (Drop) Uncoated Emerald </t>
  </si>
  <si>
    <t xml:space="preserve">Mokum (Drop) Uncoated Flax </t>
  </si>
  <si>
    <t xml:space="preserve">Mokum (Drop) Uncoated Gold </t>
  </si>
  <si>
    <t xml:space="preserve">Mokum (Drop) Uncoated Griffin </t>
  </si>
  <si>
    <t xml:space="preserve">Mokum (Drop) Uncoated Hyacinth </t>
  </si>
  <si>
    <t xml:space="preserve">Mokum (Drop) Uncoated Lavender </t>
  </si>
  <si>
    <t xml:space="preserve">Mokum (Drop) Uncoated Lemon </t>
  </si>
  <si>
    <t xml:space="preserve">Mokum (Drop) Uncoated Lichen </t>
  </si>
  <si>
    <t xml:space="preserve">Mokum (Drop) Uncoated Mineral </t>
  </si>
  <si>
    <t xml:space="preserve">Mokum (Drop) Uncoated Onyx </t>
  </si>
  <si>
    <t xml:space="preserve">Mokum (Drop) Uncoated Peony </t>
  </si>
  <si>
    <t xml:space="preserve">Mokum (Drop) Uncoated Pigeon </t>
  </si>
  <si>
    <t xml:space="preserve">Mokum (Drop) Uncoated Pinecone </t>
  </si>
  <si>
    <t xml:space="preserve">Mokum (Drop) Uncoated Pistacio </t>
  </si>
  <si>
    <t xml:space="preserve">Mokum (Drop) Uncoated Rock </t>
  </si>
  <si>
    <t xml:space="preserve">Mokum (Drop) Uncoated Shadow </t>
  </si>
  <si>
    <t xml:space="preserve">Mokum (Drop) Uncoated Snow </t>
  </si>
  <si>
    <t xml:space="preserve">Mokum (Drop) Uncoated Spa </t>
  </si>
  <si>
    <t xml:space="preserve">Mokum (Drop) Uncoated Spruce </t>
  </si>
  <si>
    <t xml:space="preserve">Mokum (Drop) Uncoated Strawberry </t>
  </si>
  <si>
    <t xml:space="preserve">Mokum (Drop) Uncoated Sunset </t>
  </si>
  <si>
    <t xml:space="preserve">Mokum (Drop) Uncoated Teal </t>
  </si>
  <si>
    <t xml:space="preserve">Mokum (Drop) Uncoated Terra </t>
  </si>
  <si>
    <t>Mokum Miesian (Continuous) Sheer Bamboo</t>
  </si>
  <si>
    <t>Mokum Miesian (Continuous) Sheer Basalt</t>
  </si>
  <si>
    <t>Mokum Miesian (Continuous) Sheer Blush</t>
  </si>
  <si>
    <t>Mokum Miesian (Continuous) Sheer Bone</t>
  </si>
  <si>
    <t>Mokum Miesian (Continuous) Sheer Chalk</t>
  </si>
  <si>
    <t>Mokum Miesian (Continuous) Sheer Cloud</t>
  </si>
  <si>
    <t>Mokum Miesian (Continuous) Sheer Hemp</t>
  </si>
  <si>
    <t>Mokum Miesian (Continuous) Sheer Salt</t>
  </si>
  <si>
    <t>Mokum Miesian (Continuous) Sheer Schist</t>
  </si>
  <si>
    <t>Mokum Miesian (Continuous) Sheer Stone</t>
  </si>
  <si>
    <t>Mokum Miesian (Continuous) Sheer TBA</t>
  </si>
  <si>
    <t xml:space="preserve">Mokum (Drop) Uncoated Basalt </t>
  </si>
  <si>
    <t xml:space="preserve">Mokum (Drop) Uncoated Bleached </t>
  </si>
  <si>
    <t xml:space="preserve">Mokum (Drop) Uncoated Canvas </t>
  </si>
  <si>
    <t xml:space="preserve">Mokum (Drop) Uncoated Dune </t>
  </si>
  <si>
    <t xml:space="preserve">Mokum (Drop) Uncoated Jute </t>
  </si>
  <si>
    <t xml:space="preserve">Mokum (Drop) Uncoated Lagoon </t>
  </si>
  <si>
    <t xml:space="preserve">Mokum (Drop) Uncoated Mimosa </t>
  </si>
  <si>
    <t xml:space="preserve">Mokum (Drop) Uncoated Mist </t>
  </si>
  <si>
    <t xml:space="preserve">Mokum (Drop) Uncoated Mojito </t>
  </si>
  <si>
    <t xml:space="preserve">Mokum (Drop) Uncoated Nautical </t>
  </si>
  <si>
    <t xml:space="preserve">Mokum (Drop) Uncoated Opal </t>
  </si>
  <si>
    <t>Mokum (Drop) Uncoated Palm Leaf</t>
  </si>
  <si>
    <t xml:space="preserve">Mokum (Drop) Uncoated Passionfruit </t>
  </si>
  <si>
    <t xml:space="preserve">Mokum (Drop) Uncoated Pebble </t>
  </si>
  <si>
    <t xml:space="preserve">Mokum (Drop) Uncoated Reed </t>
  </si>
  <si>
    <t xml:space="preserve">Mokum (Drop) Uncoated Seafoam </t>
  </si>
  <si>
    <t xml:space="preserve">Mokum (Drop) Uncoated Tide </t>
  </si>
  <si>
    <t xml:space="preserve">Mokum (Drop) Uncoated Vine </t>
  </si>
  <si>
    <t xml:space="preserve">Mokum (Drop) Uncoated Volcanic </t>
  </si>
  <si>
    <t>Mokum Mf (Continuous) Uncoated Alabaster</t>
  </si>
  <si>
    <t>Mokum Mf (Continuous) Uncoated Etain Blue</t>
  </si>
  <si>
    <t>Mokum Mf (Continuous) Uncoated Fog</t>
  </si>
  <si>
    <t>Mokum Mf (Continuous) Uncoated Graphite</t>
  </si>
  <si>
    <t>Mokum Mf (Continuous) Uncoated Metal</t>
  </si>
  <si>
    <t>Mokum Mf (Continuous) Uncoated Rice</t>
  </si>
  <si>
    <t>Mokum Mf (Continuous) Uncoated Silver</t>
  </si>
  <si>
    <t>Mokum Mf (Continuous) Uncoated Slate</t>
  </si>
  <si>
    <t>Mokum Mf (Continuous) Uncoated White</t>
  </si>
  <si>
    <t>Mokum Mf (Continuous) Uncoated TBA</t>
  </si>
  <si>
    <t>Mokum Mf (Continuous) Sheer Alabaster</t>
  </si>
  <si>
    <t>Mokum Mf (Continuous) Sheer Etain Blue</t>
  </si>
  <si>
    <t>Mokum Mf (Continuous) Sheer Fog</t>
  </si>
  <si>
    <t>Mokum Mf (Continuous) Sheer Graphite</t>
  </si>
  <si>
    <t>Mokum Mf (Continuous) Sheer Metal</t>
  </si>
  <si>
    <t>Mokum Mf (Continuous) Sheer Rice</t>
  </si>
  <si>
    <t>Mokum Mf (Continuous) Sheer Silver</t>
  </si>
  <si>
    <t>Mokum Mf (Continuous) Sheer Slate</t>
  </si>
  <si>
    <t>Mokum Mf (Continuous) Sheer White</t>
  </si>
  <si>
    <t>Mokum Mf (Continuous) Sheer TBA</t>
  </si>
  <si>
    <t xml:space="preserve">Mokum 2 Blackout (Drop) Coated Ash </t>
  </si>
  <si>
    <t>Mokum 2 Blackout (Drop) Coated Blue Night</t>
  </si>
  <si>
    <t xml:space="preserve">Mokum 2 Blackout (Drop) Coated Bordeaux </t>
  </si>
  <si>
    <t xml:space="preserve">Mokum 2 Blackout (Drop) Coated Captain </t>
  </si>
  <si>
    <t xml:space="preserve">Mokum 2 Blackout (Drop) Coated Chalk </t>
  </si>
  <si>
    <t xml:space="preserve">Mokum 2 Blackout (Drop) Coated Delft </t>
  </si>
  <si>
    <t xml:space="preserve">Mokum 2 Blackout (Drop) Coated Dew </t>
  </si>
  <si>
    <t xml:space="preserve">Mokum 2 Blackout (Drop) Coated Driftwood </t>
  </si>
  <si>
    <t xml:space="preserve">Mokum 2 Blackout (Drop) Coated Fawn </t>
  </si>
  <si>
    <t xml:space="preserve">Mokum 2 Blackout (Drop) Coated Flint </t>
  </si>
  <si>
    <t xml:space="preserve">Mokum 2 Blackout (Drop) Coated Forged </t>
  </si>
  <si>
    <t xml:space="preserve">Mokum 2 Blackout (Drop) Coated Fossil </t>
  </si>
  <si>
    <t xml:space="preserve">Mokum 2 Blackout (Drop) Coated Limestone </t>
  </si>
  <si>
    <t xml:space="preserve">Mokum 2 Blackout (Drop) Coated Linen </t>
  </si>
  <si>
    <t xml:space="preserve">Mokum 2 Blackout (Drop) Coated Marzipan </t>
  </si>
  <si>
    <t xml:space="preserve">Mokum 2 Blackout (Drop) Coated Mineral </t>
  </si>
  <si>
    <t xml:space="preserve">Mokum 2 Blackout (Drop) Coated Moonstone </t>
  </si>
  <si>
    <t xml:space="preserve">Mokum 2 Blackout (Drop) Coated Nimbus </t>
  </si>
  <si>
    <t xml:space="preserve">Mokum 2 Blackout (Drop) Coated Parchment </t>
  </si>
  <si>
    <t xml:space="preserve">Mokum 2 Blackout (Drop) Coated Pumice </t>
  </si>
  <si>
    <t xml:space="preserve">Mokum 2 Blackout (Drop) Coated Sand </t>
  </si>
  <si>
    <t xml:space="preserve">Mokum 2 Blackout (Drop) Coated Shadow </t>
  </si>
  <si>
    <t xml:space="preserve">Mokum 2 Blackout (Drop) Coated Statue </t>
  </si>
  <si>
    <t xml:space="preserve">Mokum 2 Blackout (Drop) Coated Stonewall </t>
  </si>
  <si>
    <t xml:space="preserve">Mokum 2 Blackout (Drop) Coated Storm </t>
  </si>
  <si>
    <t xml:space="preserve">Mokum 2 Blackout (Drop) Coated String </t>
  </si>
  <si>
    <t xml:space="preserve">Mokum 2 Blackout (Drop) Coated Vapour </t>
  </si>
  <si>
    <t xml:space="preserve">Mokum 2 Blackout (Drop) Coated Vino </t>
  </si>
  <si>
    <t xml:space="preserve">Mokum 2 Blackout (Drop) Coated White </t>
  </si>
  <si>
    <t xml:space="preserve">Mokum 2 Blackout (Drop) Coated TBA </t>
  </si>
  <si>
    <t>Mokum De Jouy (Continuous) Uncoated Antique Green</t>
  </si>
  <si>
    <t xml:space="preserve">Mokum De Jouy (Continuous) Uncoated Blush </t>
  </si>
  <si>
    <t xml:space="preserve">Mokum De Jouy (Continuous) Uncoated Duckegg </t>
  </si>
  <si>
    <t xml:space="preserve">Mokum De Jouy (Continuous) Uncoated Parchment </t>
  </si>
  <si>
    <t>Mokum De Jouy (Continuous) Uncoated Porcelain Blue</t>
  </si>
  <si>
    <t xml:space="preserve">Mokum De Jouy (Continuous) Uncoated TBA </t>
  </si>
  <si>
    <t xml:space="preserve">Mokum (Drop) Uncoated Pebble   </t>
  </si>
  <si>
    <t xml:space="preserve">Mokum (Drop) Uncoated Rose Quartz  </t>
  </si>
  <si>
    <t xml:space="preserve">Mokum (Drop) Uncoated Stream   </t>
  </si>
  <si>
    <t xml:space="preserve">Mokum (Drop) Uncoated TBA   </t>
  </si>
  <si>
    <t xml:space="preserve">Mokum (Continuous) Uncoated Angora   </t>
  </si>
  <si>
    <t xml:space="preserve">Mokum (Continuous) Uncoated Bone   </t>
  </si>
  <si>
    <t xml:space="preserve">Mokum (Continuous) Uncoated Cloud   </t>
  </si>
  <si>
    <t xml:space="preserve">Mokum (Continuous) Uncoated Falcon   </t>
  </si>
  <si>
    <t xml:space="preserve">Mokum (Continuous) Uncoated Fossil   </t>
  </si>
  <si>
    <t xml:space="preserve">Mokum (Continuous) Uncoated Griffin   </t>
  </si>
  <si>
    <t xml:space="preserve">Mokum (Continuous) Uncoated Iron   </t>
  </si>
  <si>
    <t xml:space="preserve">Mokum (Continuous) Uncoated Limestone   </t>
  </si>
  <si>
    <t xml:space="preserve">Mokum (Continuous) Uncoated Linden   </t>
  </si>
  <si>
    <t xml:space="preserve">Mokum (Continuous) Uncoated Liquorice   </t>
  </si>
  <si>
    <t xml:space="preserve">Mokum (Continuous) Uncoated Mushroom   </t>
  </si>
  <si>
    <t xml:space="preserve">Mokum (Continuous) Uncoated Oyster   </t>
  </si>
  <si>
    <t xml:space="preserve">Mokum (Continuous) Uncoated Petal   </t>
  </si>
  <si>
    <t xml:space="preserve">Mokum (Continuous) Uncoated Plaza   </t>
  </si>
  <si>
    <t xml:space="preserve">Mokum (Continuous) Uncoated Putty   </t>
  </si>
  <si>
    <t xml:space="preserve">Mokum (Continuous) Uncoated Raven   </t>
  </si>
  <si>
    <t xml:space="preserve">Mokum (Continuous) Uncoated Sesame   </t>
  </si>
  <si>
    <t xml:space="preserve">Mokum (Continuous) Uncoated Sky   </t>
  </si>
  <si>
    <t xml:space="preserve">Mokum (Continuous) Uncoated Steel   </t>
  </si>
  <si>
    <t xml:space="preserve">Mokum (Continuous) Uncoated Taupe   </t>
  </si>
  <si>
    <t xml:space="preserve">Mokum (Continuous) Uncoated Wool   </t>
  </si>
  <si>
    <t xml:space="preserve">Mokum (Continuous) Uncoated Zinc   </t>
  </si>
  <si>
    <t xml:space="preserve">Mokum (Continuous) Uncoated TBA   </t>
  </si>
  <si>
    <t xml:space="preserve">Mokum (Continuous) Uncoated Aluminium   </t>
  </si>
  <si>
    <t xml:space="preserve">Mokum (Continuous) Uncoated Aqua   </t>
  </si>
  <si>
    <t xml:space="preserve">Mokum (Continuous) Uncoated Camouflage   </t>
  </si>
  <si>
    <t xml:space="preserve">Mokum (Continuous) Uncoated Carbon   </t>
  </si>
  <si>
    <t xml:space="preserve">Mokum (Continuous) Uncoated Dune   </t>
  </si>
  <si>
    <t xml:space="preserve">Mokum (Continuous) Uncoated Feather   </t>
  </si>
  <si>
    <t xml:space="preserve">Mokum (Continuous) Uncoated Flax   </t>
  </si>
  <si>
    <t xml:space="preserve">Mokum (Continuous) Uncoated Gravel   </t>
  </si>
  <si>
    <t xml:space="preserve">Mokum (Continuous) Uncoated Harbour   </t>
  </si>
  <si>
    <t xml:space="preserve">Mokum (Continuous) Uncoated Ice   </t>
  </si>
  <si>
    <t xml:space="preserve">Mokum (Continuous) Uncoated Iris   </t>
  </si>
  <si>
    <t xml:space="preserve">Mokum (Continuous) Uncoated Ivory   </t>
  </si>
  <si>
    <t xml:space="preserve">Mokum (Continuous) Uncoated Pure   </t>
  </si>
  <si>
    <t xml:space="preserve">Mokum (Continuous) Uncoated Silver   </t>
  </si>
  <si>
    <t xml:space="preserve">Mokum (Continuous) Uncoated Stucco   </t>
  </si>
  <si>
    <t xml:space="preserve">Mokum (Continuous) Uncoated Swan   </t>
  </si>
  <si>
    <t xml:space="preserve">Mokum (Continuous) Uncoated Whisper   </t>
  </si>
  <si>
    <t xml:space="preserve">Mokum (Continuous) Sheer Linen   </t>
  </si>
  <si>
    <t xml:space="preserve">Mokum (Continuous) Sheer Ricepaper   </t>
  </si>
  <si>
    <t xml:space="preserve">Mokum (Continuous) Sheer Whitewash   </t>
  </si>
  <si>
    <t xml:space="preserve">Mokum (Continuous) Sheer TBA   </t>
  </si>
  <si>
    <t xml:space="preserve">Mokum (Drop) Uncoated Alpine Ash  </t>
  </si>
  <si>
    <t xml:space="preserve">Mokum (Drop) Uncoated Cedar   </t>
  </si>
  <si>
    <t xml:space="preserve">Mokum (Drop) Uncoated Eucalyptus   </t>
  </si>
  <si>
    <t xml:space="preserve">Mokum (Drop) Uncoated Nougat   </t>
  </si>
  <si>
    <t xml:space="preserve">Mokum (Drop) Uncoated Peat   </t>
  </si>
  <si>
    <t xml:space="preserve">Mokum (Drop) Uncoated River   </t>
  </si>
  <si>
    <t xml:space="preserve">Mokum (Drop) Uncoated Snowgum   </t>
  </si>
  <si>
    <t xml:space="preserve">Mokum (Drop) Uncoated Natural   </t>
  </si>
  <si>
    <t xml:space="preserve">Mokum (Continuous) Sheer Blush   </t>
  </si>
  <si>
    <t xml:space="preserve">Mokum (Continuous) Sheer Clay   </t>
  </si>
  <si>
    <t xml:space="preserve">Mokum (Continuous) Sheer Cloud   </t>
  </si>
  <si>
    <t xml:space="preserve">Mokum (Continuous) Sheer Olive   </t>
  </si>
  <si>
    <t xml:space="preserve">Mokum (Continuous) Sheer Oyster   </t>
  </si>
  <si>
    <t xml:space="preserve">Mokum (Continuous) Sheer Pepper   </t>
  </si>
  <si>
    <t xml:space="preserve">Mokum (Continuous) Sheer Sand   </t>
  </si>
  <si>
    <t xml:space="preserve">Mokum (Continuous) Sheer Sky   </t>
  </si>
  <si>
    <t xml:space="preserve">Mokum (Continuous) Sheer Stone   </t>
  </si>
  <si>
    <t xml:space="preserve">Mokum (Continuous) Sheer Tobacco   </t>
  </si>
  <si>
    <t xml:space="preserve">Mokum (Continuous) Sheer Alabaster   </t>
  </si>
  <si>
    <t xml:space="preserve">Mokum (Continuous) Sheer Black Sand  </t>
  </si>
  <si>
    <t xml:space="preserve">Mokum (Continuous) Sheer Driftwood   </t>
  </si>
  <si>
    <t xml:space="preserve">Mokum (Continuous) Sheer Fog   </t>
  </si>
  <si>
    <t xml:space="preserve">Mokum (Continuous) Sheer Shell   </t>
  </si>
  <si>
    <t xml:space="preserve">Mokum (Continuous) Sheer Silver Birch  </t>
  </si>
  <si>
    <t xml:space="preserve">Mokum (Continuous) Sheer Willow   </t>
  </si>
  <si>
    <t xml:space="preserve">Mokum Blossom (Drop) Uncoated Amber  </t>
  </si>
  <si>
    <t xml:space="preserve">Mokum Blossom (Drop) Uncoated Blue Stone </t>
  </si>
  <si>
    <t xml:space="preserve">Mokum Blossom (Drop) Uncoated Diamond  </t>
  </si>
  <si>
    <t xml:space="preserve">Mokum Blossom (Drop) Uncoated Jasper  </t>
  </si>
  <si>
    <t xml:space="preserve">Mokum Blossom (Drop) Uncoated Opal  </t>
  </si>
  <si>
    <t xml:space="preserve">Mokum Blossom (Drop) Uncoated TBA  </t>
  </si>
  <si>
    <t xml:space="preserve">Mokum (Continuous) Sheer Basalt   </t>
  </si>
  <si>
    <t xml:space="preserve">Mokum (Continuous) Sheer Bone   </t>
  </si>
  <si>
    <t xml:space="preserve">Mokum (Continuous) Sheer Dove Grey  </t>
  </si>
  <si>
    <t xml:space="preserve">Mokum (Continuous) Sheer Ecru   </t>
  </si>
  <si>
    <t xml:space="preserve">Mokum (Continuous) Sheer Ink   </t>
  </si>
  <si>
    <t xml:space="preserve">Mokum (Continuous) Sheer Khaki   </t>
  </si>
  <si>
    <t xml:space="preserve">Mokum (Continuous) Sheer Moss   </t>
  </si>
  <si>
    <t xml:space="preserve">Mokum (Continuous) Sheer Russett   </t>
  </si>
  <si>
    <t xml:space="preserve">Mokum (Continuous) Sheer Salt   </t>
  </si>
  <si>
    <t xml:space="preserve">Mokum (Continuous) Sheer Teal   </t>
  </si>
  <si>
    <t xml:space="preserve">Mokum (Continuous) Sheer Wisteria   </t>
  </si>
  <si>
    <t xml:space="preserve">Mokum (Drop) Sheer Basalt   </t>
  </si>
  <si>
    <t xml:space="preserve">Mokum (Drop) Sheer Blush   </t>
  </si>
  <si>
    <t xml:space="preserve">Mokum (Drop) Sheer Bone   </t>
  </si>
  <si>
    <t xml:space="preserve">Mokum (Drop) Sheer Cloud   </t>
  </si>
  <si>
    <t xml:space="preserve">Mokum (Drop) Sheer Dove Grey  </t>
  </si>
  <si>
    <t xml:space="preserve">Mokum (Drop) Sheer Ecru   </t>
  </si>
  <si>
    <t xml:space="preserve">Mokum (Drop) Sheer Ink   </t>
  </si>
  <si>
    <t xml:space="preserve">Mokum (Drop) Sheer Khaki   </t>
  </si>
  <si>
    <t xml:space="preserve">Mokum (Drop) Sheer Linen   </t>
  </si>
  <si>
    <t xml:space="preserve">Mokum (Drop) Sheer Moss   </t>
  </si>
  <si>
    <t xml:space="preserve">Mokum (Drop) Sheer Oyster   </t>
  </si>
  <si>
    <t xml:space="preserve">Mokum (Drop) Sheer Russett   </t>
  </si>
  <si>
    <t xml:space="preserve">Mokum (Drop) Sheer Salt   </t>
  </si>
  <si>
    <t xml:space="preserve">Mokum (Drop) Sheer Shell   </t>
  </si>
  <si>
    <t xml:space="preserve">Mokum (Drop) Sheer Stone   </t>
  </si>
  <si>
    <t xml:space="preserve">Mokum (Drop) Sheer Teal   </t>
  </si>
  <si>
    <t xml:space="preserve">Mokum (Drop) Sheer Willow   </t>
  </si>
  <si>
    <t xml:space="preserve">Mokum (Drop) Sheer Wisteria   </t>
  </si>
  <si>
    <t xml:space="preserve">Mokum (Drop) Sheer TBA   </t>
  </si>
  <si>
    <t>Mokum De Jouy (Drop) Uncoated Antique Green</t>
  </si>
  <si>
    <t xml:space="preserve">Mokum De Jouy (Drop) Uncoated Blush </t>
  </si>
  <si>
    <t xml:space="preserve">Mokum De Jouy (Drop) Uncoated Duckegg </t>
  </si>
  <si>
    <t xml:space="preserve">Mokum De Jouy (Drop) Uncoated Parchment </t>
  </si>
  <si>
    <t>Mokum De Jouy (Drop) Uncoated Porcelain Blue</t>
  </si>
  <si>
    <t xml:space="preserve">Mokum De Jouy (Drop) Uncoated TBA </t>
  </si>
  <si>
    <t xml:space="preserve">Mokum Alchemy (Drop) Uncoated Black </t>
  </si>
  <si>
    <t>Mokum Alchemy (Drop) Uncoated Blue</t>
  </si>
  <si>
    <t>Mokum Alchemy (Drop) Uncoated Bronze</t>
  </si>
  <si>
    <t>Mokum Alchemy (Drop) Uncoated Brown</t>
  </si>
  <si>
    <t>Mokum Alchemy (Drop) Uncoated Burgundy</t>
  </si>
  <si>
    <t>Mokum Alchemy (Drop) Uncoated Charcoal</t>
  </si>
  <si>
    <t>Mokum Alchemy (Drop) Uncoated Cream</t>
  </si>
  <si>
    <t>Mokum Alchemy (Drop) Uncoated Gold</t>
  </si>
  <si>
    <t>Mokum Alchemy (Drop) Uncoated Green</t>
  </si>
  <si>
    <t>Mokum Alchemy (Drop) Uncoated Grey</t>
  </si>
  <si>
    <t>Mokum Alchemy (Drop) Uncoated Metallic</t>
  </si>
  <si>
    <t>Mokum Alchemy (Drop) Uncoated Multi</t>
  </si>
  <si>
    <t>Mokum Alchemy (Drop) Uncoated Natural</t>
  </si>
  <si>
    <t>Mokum Alchemy (Drop) Uncoated Orange</t>
  </si>
  <si>
    <t>Mokum Alchemy (Drop) Uncoated Pink</t>
  </si>
  <si>
    <t>Mokum Alchemy (Drop) Uncoated Purple</t>
  </si>
  <si>
    <t>Mokum Alchemy (Drop) Uncoated Red</t>
  </si>
  <si>
    <t>Mokum Alchemy (Drop) Uncoated Silver</t>
  </si>
  <si>
    <t>Mokum Alchemy (Drop) Uncoated Taupe</t>
  </si>
  <si>
    <t>Mokum Alchemy (Drop) Uncoated Turqouise</t>
  </si>
  <si>
    <t>Mokum Alchemy (Drop) Uncoated White</t>
  </si>
  <si>
    <t>Mokum Alchemy (Drop) Uncoated Yellow</t>
  </si>
  <si>
    <t>Mokum Alchemy (Drop) Uncoated TBA</t>
  </si>
  <si>
    <t xml:space="preserve">Mokum Alchemy (Continuous) Uncoated Black </t>
  </si>
  <si>
    <t>Mokum Alchemy (Continuous) Uncoated Blue</t>
  </si>
  <si>
    <t>Mokum Alchemy (Continuous) Uncoated Bronze</t>
  </si>
  <si>
    <t>Mokum Alchemy (Continuous) Uncoated Brown</t>
  </si>
  <si>
    <t>Mokum Alchemy (Continuous) Uncoated Burgundy</t>
  </si>
  <si>
    <t>Mokum Alchemy (Continuous) Uncoated Charcoal</t>
  </si>
  <si>
    <t>Mokum Alchemy (Continuous) Uncoated Cream</t>
  </si>
  <si>
    <t>Mokum Alchemy (Continuous) Uncoated Gold</t>
  </si>
  <si>
    <t>Mokum Alchemy (Continuous) Uncoated Green</t>
  </si>
  <si>
    <t>Mokum Alchemy (Continuous) Uncoated Grey</t>
  </si>
  <si>
    <t>Mokum Alchemy (Continuous) Uncoated Metallic</t>
  </si>
  <si>
    <t>Mokum Alchemy (Continuous) Uncoated Multi</t>
  </si>
  <si>
    <t>Mokum Alchemy (Continuous) Uncoated Natural</t>
  </si>
  <si>
    <t>Mokum Alchemy (Continuous) Uncoated Orange</t>
  </si>
  <si>
    <t>Mokum Alchemy (Continuous) Uncoated Pink</t>
  </si>
  <si>
    <t>Mokum Alchemy (Continuous) Uncoated Purple</t>
  </si>
  <si>
    <t>Mokum Alchemy (Continuous) Uncoated Red</t>
  </si>
  <si>
    <t>Mokum Alchemy (Continuous) Uncoated Silver</t>
  </si>
  <si>
    <t>Mokum Alchemy (Continuous) Uncoated Taupe</t>
  </si>
  <si>
    <t>Mokum Alchemy (Continuous) Uncoated Turqouise</t>
  </si>
  <si>
    <t>Mokum Alchemy (Continuous) Uncoated White</t>
  </si>
  <si>
    <t>Mokum Alchemy (Continuous) Uncoated Yellow</t>
  </si>
  <si>
    <t>Mokum Alchemy (Continuous) Uncoated TBA</t>
  </si>
  <si>
    <t>Mokum Alchemy (Continuous) Uncoated Clay</t>
  </si>
  <si>
    <t>Mokum Alchemy (Continuous) Uncoated Ricepaper</t>
  </si>
  <si>
    <t>Mokum Insulation (Drop) Lining</t>
  </si>
  <si>
    <t>Raffles Ceylan (Drop) Uncoated Bleu</t>
  </si>
  <si>
    <t>DG</t>
  </si>
  <si>
    <t>Raffles Ceylan (Drop) Uncoated Dove</t>
  </si>
  <si>
    <t>Raffles Ceylan (Drop) Uncoated Jade</t>
  </si>
  <si>
    <t>Raffles Ceylan (Drop) Uncoated Multi</t>
  </si>
  <si>
    <t>Raffles Ceylan (Drop) Uncoated TBA</t>
  </si>
  <si>
    <t>Mokum Reverie (Continous) Uncoated Basalt</t>
  </si>
  <si>
    <t>Mokum Reverie (Continous) Uncoated Blush</t>
  </si>
  <si>
    <t>Mokum Reverie (Continous) Uncoated Celadon</t>
  </si>
  <si>
    <t>Mokum Reverie (Continous) Uncoated Chalk</t>
  </si>
  <si>
    <t>Mokum Reverie (Continous) Uncoated Duckegg</t>
  </si>
  <si>
    <t>Mokum Reverie (Continous) Uncoated Lake</t>
  </si>
  <si>
    <t>Mokum Reverie (Continous) Uncoated Linen</t>
  </si>
  <si>
    <t>Mokum Reverie (Continous) Uncoated Moss</t>
  </si>
  <si>
    <t>Mokum Reverie (Continous) Uncoated Navy</t>
  </si>
  <si>
    <t>Mokum Reverie (Continous) Uncoated Ochre</t>
  </si>
  <si>
    <t>Mokum Reverie (Continous) Uncoated Parchment</t>
  </si>
  <si>
    <t>Mokum Reverie (Continous) Uncoated Ricepaper</t>
  </si>
  <si>
    <t>Mokum Reverie (Continous) Uncoated Rust</t>
  </si>
  <si>
    <t>Mokum Reverie (Continous) Uncoated Sage</t>
  </si>
  <si>
    <t>Mokum Reverie (Continous) Uncoated Snow</t>
  </si>
  <si>
    <t>Mokum Reverie (Continous) Uncoated TBA</t>
  </si>
  <si>
    <t>Mokum Frisco (Drop) Uncoated Alabaster</t>
  </si>
  <si>
    <t>Mokum Frisco (Drop) Uncoated Anthracite</t>
  </si>
  <si>
    <t>Mokum Frisco (Drop) Uncoated Beige</t>
  </si>
  <si>
    <t>Mokum Frisco (Drop) Uncoated Bison</t>
  </si>
  <si>
    <t>Mokum Frisco (Drop) Uncoated Boudoir</t>
  </si>
  <si>
    <t>Mokum Frisco (Drop) Uncoated Cream</t>
  </si>
  <si>
    <t>Mokum Frisco (Drop) Uncoated Denim</t>
  </si>
  <si>
    <t>Mokum Frisco (Drop) Uncoated Duckegg</t>
  </si>
  <si>
    <t>Mokum Frisco (Drop) Uncoated Falcon</t>
  </si>
  <si>
    <t>Mokum Frisco (Drop) Uncoated Flint</t>
  </si>
  <si>
    <t>Mokum Frisco (Drop) Uncoated Fossil</t>
  </si>
  <si>
    <t>Mokum Frisco (Drop) Uncoated Gargoyle</t>
  </si>
  <si>
    <t>Mokum Frisco (Drop) Uncoated Hydro</t>
  </si>
  <si>
    <t>Mokum Frisco (Drop) Uncoated Ivy</t>
  </si>
  <si>
    <t>Mokum Frisco (Drop) Uncoated Limestone</t>
  </si>
  <si>
    <t>Mokum Frisco (Drop) Uncoated Linden</t>
  </si>
  <si>
    <t>Mokum Frisco (Drop) Uncoated Linen</t>
  </si>
  <si>
    <t>Mokum Frisco (Drop) Uncoated Moss</t>
  </si>
  <si>
    <t>Mokum Frisco (Drop) Uncoated Myosotis</t>
  </si>
  <si>
    <t>Mokum Frisco (Drop) Uncoated Navy</t>
  </si>
  <si>
    <t>Mokum Frisco (Drop) Uncoated Orchid</t>
  </si>
  <si>
    <t>Mokum Frisco (Drop) Uncoated Pearl</t>
  </si>
  <si>
    <t>Mokum Frisco (Drop) Uncoated Pewter</t>
  </si>
  <si>
    <t>Mokum Frisco (Drop) Uncoated Plum</t>
  </si>
  <si>
    <t>Mokum Frisco (Drop) Uncoated Porcelain</t>
  </si>
  <si>
    <t>Mokum Frisco (Drop) Uncoated Sand</t>
  </si>
  <si>
    <t>Mokum Frisco (Drop) Uncoated Seagrass</t>
  </si>
  <si>
    <t>Mokum Frisco (Drop) Uncoated Sesame</t>
  </si>
  <si>
    <t>Mokum Frisco (Drop) Uncoated Silver</t>
  </si>
  <si>
    <t>Mokum Frisco (Drop) Uncoated Spice</t>
  </si>
  <si>
    <t>Mokum Frisco (Drop) Uncoated Tawny</t>
  </si>
  <si>
    <t>Mokum Frisco (Drop) Uncoated TBA</t>
  </si>
  <si>
    <t>Mokum Braveheart (Drop) Uncoated Angora</t>
  </si>
  <si>
    <t>Mokum Braveheart (Drop) Uncoated Artisan</t>
  </si>
  <si>
    <t>Mokum Braveheart (Drop) Uncoated Blush</t>
  </si>
  <si>
    <t>Mokum Braveheart (Drop) Uncoated Cardinal</t>
  </si>
  <si>
    <t>Mokum Braveheart (Drop) Uncoated Charcoal</t>
  </si>
  <si>
    <t>Mokum Braveheart (Drop) Uncoated Chinchilla</t>
  </si>
  <si>
    <t>Mokum Braveheart (Drop) Uncoated Cobalt</t>
  </si>
  <si>
    <t>Mokum Braveheart (Drop) Uncoated Damson</t>
  </si>
  <si>
    <t>Mokum Braveheart (Drop) Uncoated Emerald</t>
  </si>
  <si>
    <t>Mokum Braveheart (Drop) Uncoated Flax</t>
  </si>
  <si>
    <t>Mokum Braveheart (Drop) Uncoated Gold</t>
  </si>
  <si>
    <t>Mokum Braveheart (Drop) Uncoated Griffin</t>
  </si>
  <si>
    <t>Mokum Braveheart (Drop) Uncoated Hyacinth</t>
  </si>
  <si>
    <t>Mokum Braveheart (Drop) Uncoated Lavender</t>
  </si>
  <si>
    <t>Mokum Braveheart (Drop) Uncoated Lemon</t>
  </si>
  <si>
    <t>Mokum Braveheart (Drop) Uncoated Lichen</t>
  </si>
  <si>
    <t>Mokum Braveheart (Drop) Uncoated Limestone</t>
  </si>
  <si>
    <t>Mokum Braveheart (Drop) Uncoated Mineral</t>
  </si>
  <si>
    <t>Mokum Braveheart (Drop) Uncoated Navy</t>
  </si>
  <si>
    <t>Mokum Braveheart (Drop) Uncoated Onyx</t>
  </si>
  <si>
    <t>Mokum Braveheart (Drop) Uncoated Peony</t>
  </si>
  <si>
    <t>Mokum Braveheart (Drop) Uncoated Pigeon</t>
  </si>
  <si>
    <t>Mokum Braveheart (Drop) Uncoated Pinecone</t>
  </si>
  <si>
    <t>Mokum Braveheart (Drop) Uncoated Pistacio</t>
  </si>
  <si>
    <t>Mokum Braveheart (Drop) Uncoated Rock</t>
  </si>
  <si>
    <t>Mokum Braveheart (Drop) Uncoated Shadow</t>
  </si>
  <si>
    <t>Mokum Braveheart (Drop) Uncoated Silver</t>
  </si>
  <si>
    <t>Mokum Braveheart (Drop) Uncoated Snow</t>
  </si>
  <si>
    <t>Mokum Braveheart (Drop) Uncoated Spa</t>
  </si>
  <si>
    <t>Mokum Braveheart (Drop) Uncoated Spruce</t>
  </si>
  <si>
    <t>Mokum Braveheart (Drop) Uncoated Strawberry</t>
  </si>
  <si>
    <t>Mokum Braveheart (Drop) Uncoated Sunset</t>
  </si>
  <si>
    <t>Mokum Braveheart (Drop) Uncoated Teal</t>
  </si>
  <si>
    <t>Mokum Braveheart (Drop) Uncoated Terra</t>
  </si>
  <si>
    <t>Mokum Braveheart (Drop) Uncoated TBA</t>
  </si>
  <si>
    <t>Mokum Palo (Drop) Uncoated Basalt</t>
  </si>
  <si>
    <t>Mokum Palo (Drop) Uncoated Bleached</t>
  </si>
  <si>
    <t>Mokum Palo (Drop) Uncoated Canvas</t>
  </si>
  <si>
    <t>Mokum Palo (Drop) Uncoated Denim</t>
  </si>
  <si>
    <t>Mokum Palo (Drop) Uncoated Dune</t>
  </si>
  <si>
    <t>Mokum Palo (Drop) Uncoated Jute</t>
  </si>
  <si>
    <t>Mokum Palo (Drop) Uncoated Lagoon</t>
  </si>
  <si>
    <t>Mokum Palo (Drop) Uncoated Mimosa</t>
  </si>
  <si>
    <t>Mokum Palo (Drop) Uncoated Mist</t>
  </si>
  <si>
    <t>Mokum Palo (Drop) Uncoated Mojito</t>
  </si>
  <si>
    <t>Mokum Palo (Drop) Uncoated Nautical</t>
  </si>
  <si>
    <t>Mokum Palo (Drop) Uncoated Opal</t>
  </si>
  <si>
    <t>Mokum Palo (Drop) Uncoated Palm Leaf</t>
  </si>
  <si>
    <t>Mokum Palo (Drop) Uncoated Passionfruit</t>
  </si>
  <si>
    <t>Mokum Palo (Drop) Uncoated Pebble</t>
  </si>
  <si>
    <t>Mokum Palo (Drop) Uncoated Reed</t>
  </si>
  <si>
    <t>Mokum Palo (Drop) Uncoated Sand</t>
  </si>
  <si>
    <t>Mokum Palo (Drop) Uncoated Seafoam</t>
  </si>
  <si>
    <t>Mokum Palo (Drop) Uncoated Tide</t>
  </si>
  <si>
    <t>Mokum Palo (Drop) Uncoated Vine</t>
  </si>
  <si>
    <t>Mokum Palo (Drop) Uncoated Volcanic</t>
  </si>
  <si>
    <t>Mokum Palo (Drop) Uncoated TBA</t>
  </si>
  <si>
    <t>Mokum Bathurst Mf (Continuous) Uncoated Alabaster</t>
  </si>
  <si>
    <t>Mokum Bathurst Mf (Continuous) Uncoated Etain Blue</t>
  </si>
  <si>
    <t>Mokum Bathurst Mf (Continuous) Uncoated Fog</t>
  </si>
  <si>
    <t>Mokum Bathurst Mf (Continuous) Uncoated Graphite</t>
  </si>
  <si>
    <t>Mokum Bathurst Mf (Continuous) Uncoated Metal</t>
  </si>
  <si>
    <t>Mokum Bathurst Mf (Continuous) Uncoated Rice</t>
  </si>
  <si>
    <t>Mokum Bathurst Mf (Continuous) Uncoated Silver</t>
  </si>
  <si>
    <t>Mokum Bathurst Mf (Continuous) Uncoated Slate</t>
  </si>
  <si>
    <t>Mokum Bathurst Mf (Continuous) Uncoated White</t>
  </si>
  <si>
    <t>Mokum Bathurst Mf (Continuous) Uncoated TBA</t>
  </si>
  <si>
    <t>Mokum Bathurst Mf (Continuous) Sheer Alabaster</t>
  </si>
  <si>
    <t>Mokum Bathurst Mf (Continuous) Sheer Etain Blue</t>
  </si>
  <si>
    <t>Mokum Bathurst Mf (Continuous) Sheer Fog</t>
  </si>
  <si>
    <t>Mokum Bathurst Mf (Continuous) Sheer Graphite</t>
  </si>
  <si>
    <t>Mokum Bathurst Mf (Continuous) Sheer Metal</t>
  </si>
  <si>
    <t>Mokum Bathurst Mf (Continuous) Sheer Rice</t>
  </si>
  <si>
    <t>Mokum Bathurst Mf (Continuous) Sheer Silver</t>
  </si>
  <si>
    <t>Mokum Bathurst Mf (Continuous) Sheer Slate</t>
  </si>
  <si>
    <t>Mokum Bathurst Mf (Continuous) Sheer White</t>
  </si>
  <si>
    <t>Mokum Bathurst Mf (Continuous) Sheer TBA</t>
  </si>
  <si>
    <t>Mokum Stallion 2 Blackout (Drop) Coated Ash</t>
  </si>
  <si>
    <t>Mokum Stallion 2 Blackout (Drop) Coated Blue</t>
  </si>
  <si>
    <t>Mokum Stallion 2 Blackout (Drop) Coated Bordeaux</t>
  </si>
  <si>
    <t>Mokum Stallion 2 Blackout (Drop) Coated Captain</t>
  </si>
  <si>
    <t>Mokum Stallion 2 Blackout (Drop) Coated Chalk</t>
  </si>
  <si>
    <t>Mokum Stallion 2 Blackout (Drop) Coated Delft</t>
  </si>
  <si>
    <t>Mokum Stallion 2 Blackout (Drop) Coated Dew</t>
  </si>
  <si>
    <t>Mokum Stallion 2 Blackout (Drop) Coated Driftwood</t>
  </si>
  <si>
    <t>Mokum Stallion 2 Blackout (Drop) Coated Fawn</t>
  </si>
  <si>
    <t>Mokum Stallion 2 Blackout (Drop) Coated Flint</t>
  </si>
  <si>
    <t>Mokum Stallion 2 Blackout (Drop) Coated Forged</t>
  </si>
  <si>
    <t>Mokum Stallion 2 Blackout (Drop) Coated Fossil</t>
  </si>
  <si>
    <t>Mokum Stallion 2 Blackout (Drop) Coated Limestone</t>
  </si>
  <si>
    <t>Mokum Stallion 2 Blackout (Drop) Coated Linen</t>
  </si>
  <si>
    <t>Mokum Stallion 2 Blackout (Drop) Coated Marzipan</t>
  </si>
  <si>
    <t>Mokum Stallion 2 Blackout (Drop) Coated Mineral</t>
  </si>
  <si>
    <t>Mokum Stallion 2 Blackout (Drop) Coated Moonstone</t>
  </si>
  <si>
    <t>Mokum Stallion 2 Blackout (Drop) Coated Nimbus</t>
  </si>
  <si>
    <t>Mokum Stallion 2 Blackout (Drop) Coated Parchment</t>
  </si>
  <si>
    <t>Mokum Stallion 2 Blackout (Drop) Coated Pumice</t>
  </si>
  <si>
    <t>Mokum Stallion 2 Blackout (Drop) Coated Sand</t>
  </si>
  <si>
    <t>Mokum Stallion 2 Blackout (Drop) Coated Shadow</t>
  </si>
  <si>
    <t>Mokum Stallion 2 Blackout (Drop) Coated Statue</t>
  </si>
  <si>
    <t>Mokum Stallion 2 Blackout (Drop) Coated Stonewall</t>
  </si>
  <si>
    <t>Mokum Stallion 2 Blackout (Drop) Coated Storm</t>
  </si>
  <si>
    <t>Mokum Stallion 2 Blackout (Drop) Coated String</t>
  </si>
  <si>
    <t>Mokum Stallion 2 Blackout (Drop) Coated Vapour</t>
  </si>
  <si>
    <t>Mokum Stallion 2 Blackout (Drop) Coated Vino</t>
  </si>
  <si>
    <t>Mokum Stallion 2 Blackout (Drop) Coated White</t>
  </si>
  <si>
    <t>Mokum Stallion 2 Blackout (Drop) Coated TBA</t>
  </si>
  <si>
    <t>Mokum Toile De Jouy (Continuous) Uncoated Antique Green</t>
  </si>
  <si>
    <t>Mokum Toile De Jouy (Continuous) Uncoated Blush</t>
  </si>
  <si>
    <t>Mokum Toile De Jouy (Continuous) Uncoated Duckegg</t>
  </si>
  <si>
    <t>Mokum Toile De Jouy (Continuous) Uncoated Parchment</t>
  </si>
  <si>
    <t>Mokum Toile De Jouy (Continuous) Uncoated Porcelain Blue</t>
  </si>
  <si>
    <t>Mokum Toile De Jouy (Continuous) Uncoated TBA</t>
  </si>
  <si>
    <t>Mokum Agatha (Drop) Uncoated Pebble</t>
  </si>
  <si>
    <t>Mokum Agatha (Drop) Uncoated Rose Quartz</t>
  </si>
  <si>
    <t>Mokum Agatha (Drop) Uncoated Stream</t>
  </si>
  <si>
    <t>Mokum Agatha (Drop) Uncoated TBA</t>
  </si>
  <si>
    <t>Mokum Glamour (Continuous) Uncoated Angora</t>
  </si>
  <si>
    <t>Mokum Glamour (Continuous) Uncoated Bone</t>
  </si>
  <si>
    <t>Mokum Glamour (Continuous) Uncoated Cloud</t>
  </si>
  <si>
    <t>Mokum Glamour (Continuous) Uncoated Falcon</t>
  </si>
  <si>
    <t>Mokum Glamour (Continuous) Uncoated Fossil</t>
  </si>
  <si>
    <t>Mokum Glamour (Continuous) Uncoated Griffin</t>
  </si>
  <si>
    <t>Mokum Glamour (Continuous) Uncoated Iron</t>
  </si>
  <si>
    <t>Mokum Glamour (Continuous) Uncoated Limestone</t>
  </si>
  <si>
    <t>Mokum Glamour (Continuous) Uncoated Linden</t>
  </si>
  <si>
    <t>Mokum Glamour (Continuous) Uncoated Liquorice</t>
  </si>
  <si>
    <t>Mokum Glamour (Continuous) Uncoated Mushroom</t>
  </si>
  <si>
    <t>Mokum Glamour (Continuous) Uncoated Oyster</t>
  </si>
  <si>
    <t>Mokum Glamour (Continuous) Uncoated Petal</t>
  </si>
  <si>
    <t>Mokum Glamour (Continuous) Uncoated Plaza</t>
  </si>
  <si>
    <t>Mokum Glamour (Continuous) Uncoated Putty</t>
  </si>
  <si>
    <t>Mokum Glamour (Continuous) Uncoated Raven</t>
  </si>
  <si>
    <t>Mokum Glamour (Continuous) Uncoated Sesame</t>
  </si>
  <si>
    <t>Mokum Glamour (Continuous) Uncoated Sky</t>
  </si>
  <si>
    <t>Mokum Glamour (Continuous) Uncoated Steel</t>
  </si>
  <si>
    <t>Mokum Glamour (Continuous) Uncoated Taupe</t>
  </si>
  <si>
    <t>Mokum Glamour (Continuous) Uncoated Wool</t>
  </si>
  <si>
    <t>Mokum Glamour (Continuous) Uncoated Zinc</t>
  </si>
  <si>
    <t>Mokum Glamour (Continuous) Uncoated TBA</t>
  </si>
  <si>
    <t>Mokum Release (Continuous) Uncoated Aluminium</t>
  </si>
  <si>
    <t>Mokum Release (Continuous) Uncoated Aqua</t>
  </si>
  <si>
    <t>Mokum Release (Continuous) Uncoated Camouflage</t>
  </si>
  <si>
    <t>Mokum Release (Continuous) Uncoated Carbon</t>
  </si>
  <si>
    <t>Mokum Release (Continuous) Uncoated Cloud</t>
  </si>
  <si>
    <t>Mokum Release (Continuous) Uncoated Dune</t>
  </si>
  <si>
    <t>Mokum Release (Continuous) Uncoated Feather</t>
  </si>
  <si>
    <t>Mokum Release (Continuous) Uncoated Flax</t>
  </si>
  <si>
    <t>Mokum Release (Continuous) Uncoated Gravel</t>
  </si>
  <si>
    <t>Mokum Release (Continuous) Uncoated Harbour</t>
  </si>
  <si>
    <t>Mokum Release (Continuous) Uncoated Ice</t>
  </si>
  <si>
    <t>Mokum Release (Continuous) Uncoated Iris</t>
  </si>
  <si>
    <t>Mokum Release (Continuous) Uncoated Ivory</t>
  </si>
  <si>
    <t>Mokum Release (Continuous) Uncoated Pure</t>
  </si>
  <si>
    <t>Mokum Release (Continuous) Uncoated Silver</t>
  </si>
  <si>
    <t>Mokum Release (Continuous) Uncoated Steel</t>
  </si>
  <si>
    <t>Mokum Release (Continuous) Uncoated Stucco</t>
  </si>
  <si>
    <t>Mokum Release (Continuous) Uncoated Swan</t>
  </si>
  <si>
    <t>Mokum Release (Continuous) Uncoated Whisper</t>
  </si>
  <si>
    <t>Mokum Release (Continuous) Uncoated TBA</t>
  </si>
  <si>
    <t>Mokum Scandi (Continuous) Sheer Linen</t>
  </si>
  <si>
    <t>Mokum Scandi (Continuous) Sheer Ricepaper</t>
  </si>
  <si>
    <t>Mokum Scandi (Continuous) Sheer Whitewash</t>
  </si>
  <si>
    <t>Mokum Scandi (Continuous) Sheer TBA</t>
  </si>
  <si>
    <t>Mokum Alluvial (Drop) Uncoated Alpine Ash</t>
  </si>
  <si>
    <t>Mokum Alluvial (Drop) Uncoated Cedar</t>
  </si>
  <si>
    <t>Mokum Alluvial (Drop) Uncoated Eucalyptus</t>
  </si>
  <si>
    <t>Mokum Alluvial (Drop) Uncoated Nougat</t>
  </si>
  <si>
    <t>Mokum Alluvial (Drop) Uncoated Peat</t>
  </si>
  <si>
    <t>Mokum Alluvial (Drop) Uncoated River</t>
  </si>
  <si>
    <t>Mokum Alluvial (Drop) Uncoated TBA</t>
  </si>
  <si>
    <t>Mokum Delta (Drop) Uncoated Alpine Ash</t>
  </si>
  <si>
    <t>Mokum Delta (Drop) Uncoated Cedar</t>
  </si>
  <si>
    <t>Mokum Delta (Drop) Uncoated Eucalyptus</t>
  </si>
  <si>
    <t>Mokum Delta (Drop) Uncoated Nougat</t>
  </si>
  <si>
    <t>Mokum Delta (Drop) Uncoated Peat</t>
  </si>
  <si>
    <t>Mokum Delta (Drop) Uncoated River</t>
  </si>
  <si>
    <t>Mokum Delta (Drop) Uncoated Snowgum</t>
  </si>
  <si>
    <t>Mokum Delta (Drop) Uncoated TBA</t>
  </si>
  <si>
    <t>Mokum Jinda (Drop) Uncoated Alpine Ash</t>
  </si>
  <si>
    <t>Mokum Jinda (Drop) Uncoated Eucalyptus</t>
  </si>
  <si>
    <t>Mokum Jinda (Drop) Uncoated Natural</t>
  </si>
  <si>
    <t>Mokum Jinda (Drop) Uncoated River</t>
  </si>
  <si>
    <t>Mokum Jinda (Drop) Uncoated TBA</t>
  </si>
  <si>
    <t>Mokum Scandinese (Continuous) Sheer Blush</t>
  </si>
  <si>
    <t>Mokum Scandinese (Continuous) Sheer Clay</t>
  </si>
  <si>
    <t>Mokum Scandinese (Continuous) Sheer Cloud</t>
  </si>
  <si>
    <t>Mokum Scandinese (Continuous) Sheer Linen</t>
  </si>
  <si>
    <t>Mokum Scandinese (Continuous) Sheer Olive</t>
  </si>
  <si>
    <t>Mokum Scandinese (Continuous) Sheer Oyster</t>
  </si>
  <si>
    <t>Mokum Scandinese (Continuous) Sheer Pepper</t>
  </si>
  <si>
    <t>Mokum Scandinese (Continuous) Sheer Ricepaper</t>
  </si>
  <si>
    <t>Mokum Scandinese (Continuous) Sheer Sand</t>
  </si>
  <si>
    <t>Mokum Scandinese (Continuous) Sheer Sky</t>
  </si>
  <si>
    <t>Mokum Scandinese (Continuous) Sheer Stone</t>
  </si>
  <si>
    <t>Mokum Scandinese (Continuous) Sheer Tobacco</t>
  </si>
  <si>
    <t>Mokum Scandinese (Continuous) Sheer Whitewash</t>
  </si>
  <si>
    <t>Mokum Scandinese (Continuous) Sheer TBA</t>
  </si>
  <si>
    <t>Mokum Seaview (Continuous) Sheer Alabaster</t>
  </si>
  <si>
    <t>Mokum Seaview (Continuous) Sheer Black Sand</t>
  </si>
  <si>
    <t>Mokum Seaview (Continuous) Sheer Blush</t>
  </si>
  <si>
    <t>Mokum Seaview (Continuous) Sheer Driftwood</t>
  </si>
  <si>
    <t>Mokum Seaview (Continuous) Sheer Fog</t>
  </si>
  <si>
    <t>Mokum Seaview (Continuous) Sheer Linen</t>
  </si>
  <si>
    <t>Mokum Seaview (Continuous) Sheer Oyster</t>
  </si>
  <si>
    <t>Mokum Seaview (Continuous) Sheer Shell</t>
  </si>
  <si>
    <t>Mokum Seaview (Continuous) Sheer Silver Birch</t>
  </si>
  <si>
    <t>Mokum Seaview (Continuous) Sheer Sky</t>
  </si>
  <si>
    <t>Mokum Seaview (Continuous) Sheer Stone</t>
  </si>
  <si>
    <t>Mokum Seaview (Continuous) Sheer Willow</t>
  </si>
  <si>
    <t>Mokum Seaview (Continuous) Sheer TBA</t>
  </si>
  <si>
    <t>Mokum Cherry Blossom (Drop) Uncoated Amber</t>
  </si>
  <si>
    <t>Mokum Cherry Blossom (Drop) Uncoated Blue Stone</t>
  </si>
  <si>
    <t>Mokum Cherry Blossom (Drop) Uncoated Diamond</t>
  </si>
  <si>
    <t>Mokum Cherry Blossom (Drop) Uncoated Jasper</t>
  </si>
  <si>
    <t>Mokum Cherry Blossom (Drop) Uncoated Opal</t>
  </si>
  <si>
    <t>Mokum Cherry Blossom (Drop) Uncoated TBA</t>
  </si>
  <si>
    <t>Mokum Kanji (Continuous) Sheer Basalt</t>
  </si>
  <si>
    <t>Mokum Kanji (Continuous) Sheer Blush</t>
  </si>
  <si>
    <t>Mokum Kanji (Continuous) Sheer Bone</t>
  </si>
  <si>
    <t>Mokum Kanji (Continuous) Sheer Cloud</t>
  </si>
  <si>
    <t>Mokum Kanji (Continuous) Sheer Dove Grey</t>
  </si>
  <si>
    <t>Mokum Kanji (Continuous) Sheer Ecru</t>
  </si>
  <si>
    <t>Mokum Kanji (Continuous) Sheer Ink</t>
  </si>
  <si>
    <t>Mokum Kanji (Continuous) Sheer Khaki</t>
  </si>
  <si>
    <t>Mokum Kanji (Continuous) Sheer Linen</t>
  </si>
  <si>
    <t>Mokum Kanji (Continuous) Sheer Moss</t>
  </si>
  <si>
    <t>Mokum Kanji (Continuous) Sheer Oyster</t>
  </si>
  <si>
    <t>Mokum Kanji (Continuous) Sheer Russett</t>
  </si>
  <si>
    <t>Mokum Kanji (Continuous) Sheer Salt</t>
  </si>
  <si>
    <t>Mokum Kanji (Continuous) Sheer Shell</t>
  </si>
  <si>
    <t>Mokum Kanji (Continuous) Sheer Stone</t>
  </si>
  <si>
    <t>Mokum Kanji (Continuous) Sheer Teal</t>
  </si>
  <si>
    <t>Mokum Kanji (Continuous) Sheer Willow</t>
  </si>
  <si>
    <t>Mokum Kanji (Continuous) Sheer Wisteria</t>
  </si>
  <si>
    <t>Mokum Kanji (Continuous) Sheer TBA</t>
  </si>
  <si>
    <t>Mokum Kanji (Drop) Sheer Basalt</t>
  </si>
  <si>
    <t>Mokum Kanji (Drop) Sheer Blush</t>
  </si>
  <si>
    <t>Mokum Kanji (Drop) Sheer Bone</t>
  </si>
  <si>
    <t>Mokum Kanji (Drop) Sheer Cloud</t>
  </si>
  <si>
    <t>Mokum Kanji (Drop) Sheer Dove Grey</t>
  </si>
  <si>
    <t>Mokum Kanji (Drop) Sheer Ecru</t>
  </si>
  <si>
    <t>Mokum Kanji (Drop) Sheer Ink</t>
  </si>
  <si>
    <t>Mokum Kanji (Drop) Sheer Khaki</t>
  </si>
  <si>
    <t>Mokum Kanji (Drop) Sheer Linen</t>
  </si>
  <si>
    <t>Mokum Kanji (Drop) Sheer Moss</t>
  </si>
  <si>
    <t>Mokum Kanji (Drop) Sheer Oyster</t>
  </si>
  <si>
    <t>Mokum Kanji (Drop) Sheer Russett</t>
  </si>
  <si>
    <t>Mokum Kanji (Drop) Sheer Salt</t>
  </si>
  <si>
    <t>Mokum Kanji (Drop) Sheer Shell</t>
  </si>
  <si>
    <t>Mokum Kanji (Drop) Sheer Stone</t>
  </si>
  <si>
    <t>Mokum Kanji (Drop) Sheer Teal</t>
  </si>
  <si>
    <t>Mokum Kanji (Drop) Sheer Willow</t>
  </si>
  <si>
    <t>Mokum Kanji (Drop) Sheer Wisteria</t>
  </si>
  <si>
    <t>Mokum Kanji (Drop) Sheer TBA</t>
  </si>
  <si>
    <t>Mokum Toile De Jouy (Drop) Uncoated Antique Green</t>
  </si>
  <si>
    <t>Mokum Toile De Jouy (Drop) Uncoated Blush</t>
  </si>
  <si>
    <t>Mokum Toile De Jouy (Drop) Uncoated Duckegg</t>
  </si>
  <si>
    <t>Mokum Toile De Jouy (Drop) Uncoated Parchment</t>
  </si>
  <si>
    <t>Mokum Toile De Jouy (Drop) Uncoated Porcelain Blue</t>
  </si>
  <si>
    <t>Mokum Toile De Jouy (Drop) Uncoated TBA</t>
  </si>
  <si>
    <t>Mokum Insulation (Drop) Dim Out Aluminium</t>
  </si>
  <si>
    <t>Mokum Insulation (Drop) Dim Out Aqua</t>
  </si>
  <si>
    <t>Mokum Insulation (Drop) Dim Out Artic</t>
  </si>
  <si>
    <t>Mokum Insulation (Drop) Dim Out Bark</t>
  </si>
  <si>
    <t>Mokum Insulation (Drop) Dim Out Black</t>
  </si>
  <si>
    <t>Mokum Insulation (Drop) Dim Out Boudoir</t>
  </si>
  <si>
    <t>Mokum Insulation (Drop) Dim Out Brick</t>
  </si>
  <si>
    <t>Mokum Insulation (Drop) Dim Out Burgundy</t>
  </si>
  <si>
    <t>Mokum Insulation (Drop) Dim Out Charcoal</t>
  </si>
  <si>
    <t>Mokum Insulation (Drop) Dim Out Chrome</t>
  </si>
  <si>
    <t>Mokum Insulation (Drop) Dim Out Cloud</t>
  </si>
  <si>
    <t>Mokum Insulation (Drop) Dim Out Denim</t>
  </si>
  <si>
    <t>Mokum Insulation (Drop) Dim Out Dove</t>
  </si>
  <si>
    <t>Mokum Insulation (Drop) Dim Out Dragonfly</t>
  </si>
  <si>
    <t>Mokum Insulation (Drop) Dim Out Ecru</t>
  </si>
  <si>
    <t>Mokum Insulation (Drop) Dim Out Flame</t>
  </si>
  <si>
    <t>Mokum Insulation (Drop) Dim Out Fossil</t>
  </si>
  <si>
    <t>Mokum Insulation (Drop) Dim Out Gargoyle</t>
  </si>
  <si>
    <t>Mokum Insulation (Drop) Dim Out Indigo</t>
  </si>
  <si>
    <t>Mokum Insulation (Drop) Dim Out Limestone</t>
  </si>
  <si>
    <t>Mokum Insulation (Drop) Dim Out Linden</t>
  </si>
  <si>
    <t>Mokum Insulation (Drop) Dim Out Metal</t>
  </si>
  <si>
    <t>Mokum Insulation (Drop) Dim Out Mushroom</t>
  </si>
  <si>
    <t>Mokum Insulation (Drop) Dim Out Orchid</t>
  </si>
  <si>
    <t>Mokum Insulation (Drop) Dim Out Palm</t>
  </si>
  <si>
    <t>Mokum Insulation (Drop) Dim Out Pewter</t>
  </si>
  <si>
    <t>Mokum Insulation (Drop) Dim Out Quartz</t>
  </si>
  <si>
    <t>Mokum Insulation (Drop) Dim Out Sesame</t>
  </si>
  <si>
    <t>Mokum Insulation (Drop) Dim Out Silver</t>
  </si>
  <si>
    <t>Mokum Insulation (Drop) Dim Out Snow</t>
  </si>
  <si>
    <t>Mokum Insulation (Drop) Dim Out Taupe</t>
  </si>
  <si>
    <t>Mokum Insulation (Drop) Dim Out Thyme</t>
  </si>
  <si>
    <t>Mokum Insulation (Drop) Dim Out TBA</t>
  </si>
  <si>
    <t>Cut Length</t>
  </si>
  <si>
    <t>Drops</t>
  </si>
  <si>
    <t>Maurice Kain Pampus (Drop) Uncoated Silver</t>
  </si>
  <si>
    <t>78%POLY/14%COT/8%LIN</t>
  </si>
  <si>
    <t>Maurice Kain Pampus (Drop) Uncoated Linen</t>
  </si>
  <si>
    <t>Maurice Kain Pampus (Drop) Uncoated Ash</t>
  </si>
  <si>
    <t>Maurice Kain Pampus (Drop) Uncoated Shadow</t>
  </si>
  <si>
    <t>Maurice Kain Pampus (Drop) Uncoated Zest</t>
  </si>
  <si>
    <t>Maurice Kain Pampus (Drop) Uncoated Celadon</t>
  </si>
  <si>
    <t>Maurice Kain Pampus (Drop) Uncoated Duck Egg</t>
  </si>
  <si>
    <t>Maurice Kain Pampus (Drop) Uncoated TBA</t>
  </si>
  <si>
    <t>This should be in column AX</t>
  </si>
  <si>
    <t>Mokum Alchemy (Continuous) Uncoated Sand</t>
  </si>
  <si>
    <t>Filigree Luxury Line Deluxe (Continuous) Lining</t>
  </si>
  <si>
    <t>50% POLY/50% COTTON</t>
  </si>
  <si>
    <t>Warwick Chambray (Drop) Uncoated Feather</t>
  </si>
  <si>
    <t>Filigree Breakaway (Continuous) Coated Snow</t>
  </si>
  <si>
    <t>Filigree Breakaway (Continuous) Coated Parchment</t>
  </si>
  <si>
    <t>Filigree Breakaway (Continuous) Coated Ecru</t>
  </si>
  <si>
    <t>Filigree Breakaway (Continuous) Coated Mist</t>
  </si>
  <si>
    <t>Filigree Breakaway (Continuous) Coated Stone</t>
  </si>
  <si>
    <t>Filigree Breakaway (Continuous) Coated Pebble</t>
  </si>
  <si>
    <t>Filigree Breakaway (Continuous) Coated Clay</t>
  </si>
  <si>
    <t>Filigree Breakaway (Continuous) Coated Linen</t>
  </si>
  <si>
    <t>Filigree Breakaway (Continuous) Coated Duckegg</t>
  </si>
  <si>
    <t>Filigree Breakaway (Continuous) Coated Sky</t>
  </si>
  <si>
    <t xml:space="preserve">Filigree Breakaway (Continuous) Coated Marble </t>
  </si>
  <si>
    <t>Filigree Breakaway (Continuous) Coated Ash</t>
  </si>
  <si>
    <t>Filigree Breakaway (Continuous) Coated Slate</t>
  </si>
  <si>
    <t>Filigree Breakaway (Continuous) Coated Charcoal</t>
  </si>
  <si>
    <t>Filigree Breakaway (Continuous) Coated Carbon</t>
  </si>
  <si>
    <t>Filigree Breakaway (Continuous) Coated Cinder</t>
  </si>
  <si>
    <t xml:space="preserve">Filigree Breakaway (Continuous) Coated Ink </t>
  </si>
  <si>
    <t>Filigree Breakaway (Continuous) Coated TBA</t>
  </si>
  <si>
    <t>Filigree Breakaway (Drop) Coated Snow</t>
  </si>
  <si>
    <t>Filigree Breakaway (Drop) Coated Parchment</t>
  </si>
  <si>
    <t>Filigree Breakaway (Drop) Coated Ecru</t>
  </si>
  <si>
    <t>Filigree Breakaway (Drop) Coated Mist</t>
  </si>
  <si>
    <t>Filigree Breakaway (Drop) Coated Stone</t>
  </si>
  <si>
    <t>Filigree Breakaway (Drop) Coated Pebble</t>
  </si>
  <si>
    <t>Filigree Breakaway (Drop) Coated Clay</t>
  </si>
  <si>
    <t>Filigree Breakaway (Drop) Coated Linen</t>
  </si>
  <si>
    <t>Filigree Breakaway (Drop) Coated Duckegg</t>
  </si>
  <si>
    <t>Filigree Breakaway (Drop) Coated Sky</t>
  </si>
  <si>
    <t xml:space="preserve">Filigree Breakaway (Drop) Coated Marble </t>
  </si>
  <si>
    <t>Filigree Breakaway (Drop) Coated Ash</t>
  </si>
  <si>
    <t>Filigree Breakaway (Drop) Coated Slate</t>
  </si>
  <si>
    <t>Filigree Breakaway (Drop) Coated Charcoal</t>
  </si>
  <si>
    <t>Filigree Breakaway (Drop) Coated Carbon</t>
  </si>
  <si>
    <t>Filigree Breakaway (Drop) Coated Cinder</t>
  </si>
  <si>
    <t xml:space="preserve">Filigree Breakaway (Drop) Coated Ink </t>
  </si>
  <si>
    <t>Filigree Breakaway (Drop) Coated TBA</t>
  </si>
  <si>
    <t>Mokum Antipodes (Continuous) Sheer Aqua</t>
  </si>
  <si>
    <t>50% Polycotton 40% Polyester 10% Linen</t>
  </si>
  <si>
    <t>Mokum Antipodes (Continuous) Sheer Cloud</t>
  </si>
  <si>
    <t>Mokum Antipodes (Continuous) Sheer Flax</t>
  </si>
  <si>
    <t>Mokum Antipodes (Continuous) Sheer Petal</t>
  </si>
  <si>
    <t>Mokum Antipodes (Continuous) Sheer Pacific</t>
  </si>
  <si>
    <t>Mokum Antipodes (Continuous) Sheer Pebble</t>
  </si>
  <si>
    <t>Mokum Antipodes (Continuous) Sheer Sand</t>
  </si>
  <si>
    <t>Mokum Antipodes (Continuous) Sheer Schist</t>
  </si>
  <si>
    <t>Mokum Antipodes (Continuous) Sheer Shale</t>
  </si>
  <si>
    <t>Mokum Antipodes (Continuous) Sheer TBA</t>
  </si>
  <si>
    <t>Mokum Antipodes (Continuous) Sheer Mineral</t>
  </si>
  <si>
    <t>Mokum Antipodes (Continuous) Sheer Granite</t>
  </si>
  <si>
    <t>Mokum Antipodes  (Drop) Sheer Aqua</t>
  </si>
  <si>
    <t>Mokum Antipodes  (Drop) Sheer Cloud</t>
  </si>
  <si>
    <t>Mokum Antipodes  (Drop) Sheer Flax</t>
  </si>
  <si>
    <t>Mokum Antipodes  (Drop) Sheer Petal</t>
  </si>
  <si>
    <t>Mokum Antipodes  (Drop) Sheer Pacific</t>
  </si>
  <si>
    <t>Mokum Antipodes  (Drop) Sheer Pebble</t>
  </si>
  <si>
    <t>Mokum Antipodes  (Drop) Sheer Sand</t>
  </si>
  <si>
    <t>Mokum Antipodes  (Drop) Sheer Schist</t>
  </si>
  <si>
    <t>Mokum Antipodes  (Drop) Sheer Shale</t>
  </si>
  <si>
    <t>Mokum Antipodes  (Drop) Sheer TBA</t>
  </si>
  <si>
    <t>Mokum Antipodes  (Drop) Sheer Mineral</t>
  </si>
  <si>
    <t>Mokum Antipodes  (Drop) Sheer Granite</t>
  </si>
  <si>
    <t>Mokum Kanso (Continuous) Sheer Basalt</t>
  </si>
  <si>
    <t>Mokum Kanso (Continuous) Sheer Blush</t>
  </si>
  <si>
    <t>Mokum Kanso (Continuous) Sheer Bone</t>
  </si>
  <si>
    <t>Mokum Kanso (Continuous) Sheer Chartreuse</t>
  </si>
  <si>
    <t>Mokum Kanso (Continuous) Sheer Dove Grey</t>
  </si>
  <si>
    <t>Mokum Kanso (Continuous) Sheer Eucalyptus</t>
  </si>
  <si>
    <t>Mokum Kanso (Continuous) Sheer Green Tea</t>
  </si>
  <si>
    <t>Mokum Kanso (Continuous) Sheer Linen</t>
  </si>
  <si>
    <t>Mokum Kanso (Continuous) Sheer Lychee</t>
  </si>
  <si>
    <t>Mokum Kanso (Continuous) Sheer Mineral</t>
  </si>
  <si>
    <t>Mokum Kanso (Continuous) Sheer Moss</t>
  </si>
  <si>
    <t>Mokum Kanso (Continuous) Sheer Sable</t>
  </si>
  <si>
    <t>Mokum Kanso (Continuous) Sheer Salt</t>
  </si>
  <si>
    <t>Mokum Kanso (Continuous) Sheer Silver</t>
  </si>
  <si>
    <t>Mokum Kanso (Continuous) Sheer Sky</t>
  </si>
  <si>
    <t>Mokum Kanso (Continuous) Sheer Slate</t>
  </si>
  <si>
    <t>Mokum Kanso (Continuous) Sheer Stone</t>
  </si>
  <si>
    <t>Mokum Kanso (Continuous) Sheer Willow</t>
  </si>
  <si>
    <t>Mokum Kanso (Continuous) Sheer TBA</t>
  </si>
  <si>
    <t>Mokum Kanso (Drop) Sheer Basalt</t>
  </si>
  <si>
    <t>Mokum Kanso (Drop) Sheer Blush</t>
  </si>
  <si>
    <t>Mokum Kanso (Drop) Sheer Bone</t>
  </si>
  <si>
    <t>Mokum Kanso (Drop) Sheer Chartreuse</t>
  </si>
  <si>
    <t>Mokum Kanso (Drop) Sheer Dove Grey</t>
  </si>
  <si>
    <t>Mokum Kanso (Drop) Sheer Eucalyptus</t>
  </si>
  <si>
    <t>Mokum Kanso (Drop) Sheer Green Tea</t>
  </si>
  <si>
    <t>Mokum Kanso (Drop) Sheer Linen</t>
  </si>
  <si>
    <t>Mokum Kanso (Drop) Sheer Lychee</t>
  </si>
  <si>
    <t>Mokum Kanso (Drop) Sheer Mineral</t>
  </si>
  <si>
    <t>Mokum Kanso (Drop) Sheer Moss</t>
  </si>
  <si>
    <t>Mokum Kanso (Drop) Sheer Sable</t>
  </si>
  <si>
    <t>Mokum Kanso (Drop) Sheer Salt</t>
  </si>
  <si>
    <t>Mokum Kanso (Drop) Sheer Silver</t>
  </si>
  <si>
    <t>Mokum Kanso (Drop) Sheer Sky</t>
  </si>
  <si>
    <t>Mokum Kanso (Drop) Sheer Slate</t>
  </si>
  <si>
    <t>Mokum Kanso (Drop) Sheer Stone</t>
  </si>
  <si>
    <t>Mokum Kanso (Drop) Sheer Willow</t>
  </si>
  <si>
    <t>Mokum Kanso (Drop) Sheer TBA</t>
  </si>
  <si>
    <t>Warwick Lovely (Drop) Uncoated Almond</t>
  </si>
  <si>
    <t>100% Polyester (Velvet)</t>
  </si>
  <si>
    <t>Warwick Lovely (Drop) Uncoated Aqua</t>
  </si>
  <si>
    <t>Warwick Lovely (Drop) Uncoated Asphalt</t>
  </si>
  <si>
    <t>Warwick Lovely (Drop) Uncoated Atlantic</t>
  </si>
  <si>
    <t>Warwick Lovely (Drop) Uncoated Blossom</t>
  </si>
  <si>
    <t>Warwick Lovely (Drop) Uncoated Burnish</t>
  </si>
  <si>
    <t>Warwick Lovely (Drop) Uncoated Cement</t>
  </si>
  <si>
    <t>Warwick Lovely (Drop) Uncoated Chartreuse</t>
  </si>
  <si>
    <t>Warwick Lovely (Drop) Uncoated Cinamon</t>
  </si>
  <si>
    <t>Warwick Lovely (Drop) Uncoated Coal</t>
  </si>
  <si>
    <t>Warwick Lovely (Drop) Uncoated Dusk</t>
  </si>
  <si>
    <t>Warwick Lovely (Drop) Uncoated Ecru</t>
  </si>
  <si>
    <t>Warwick Lovely (Drop) Uncoated Espresso</t>
  </si>
  <si>
    <t>Warwick Lovely (Drop) Uncoated Flint</t>
  </si>
  <si>
    <t>Warwick Lovely (Drop) Uncoated Jade</t>
  </si>
  <si>
    <t>Warwick Lovely (Drop) Uncoated Latte</t>
  </si>
  <si>
    <t>Warwick Lovely (Drop) Uncoated Madder</t>
  </si>
  <si>
    <t>Warwick Lovely (Drop) Uncoated Marble</t>
  </si>
  <si>
    <t>Warwick Lovely (Drop) Uncoated Mocha</t>
  </si>
  <si>
    <t>Warwick Lovely (Drop) Uncoated Moss</t>
  </si>
  <si>
    <t>Warwick Lovely (Drop) Uncoated Nougat</t>
  </si>
  <si>
    <t>Warwick Lovely (Drop) Uncoated Ochre</t>
  </si>
  <si>
    <t>Warwick Lovely (Drop) Uncoated Oxblood</t>
  </si>
  <si>
    <t>Warwick Lovely (Drop) Uncoated Powder</t>
  </si>
  <si>
    <t>Warwick Lovely (Drop) Uncoated Seaglass</t>
  </si>
  <si>
    <t>Warwick Lovely (Drop) Uncoated Steel</t>
  </si>
  <si>
    <t>Warwick Lovely (Drop) Uncoated TBA</t>
  </si>
  <si>
    <t>Warwick Borchelli (Drop) Uncoated Garnet</t>
  </si>
  <si>
    <t>Warwick Borchelli (Drop) Uncoated Peacock</t>
  </si>
  <si>
    <t>Warwick Borchelli (Drop) Uncoated Pyrite</t>
  </si>
  <si>
    <t>Warwick Borchelli (Drop) Uncoated Spice</t>
  </si>
  <si>
    <t>Warwick Borchelli (Drop) Uncoated TBA</t>
  </si>
  <si>
    <t>Zepel Warlock (Drop) Uncoated Aluminum</t>
  </si>
  <si>
    <t>Zepel Warlock (Drop) Uncoated Aqua</t>
  </si>
  <si>
    <t>Zepel Warlock (Drop) Uncoated Aubergine</t>
  </si>
  <si>
    <t>Zepel Warlock (Drop) Uncoated Azure</t>
  </si>
  <si>
    <t>Zepel Warlock (Drop) Uncoated Beige</t>
  </si>
  <si>
    <t>Zepel Warlock (Drop) Uncoated Chartreuse</t>
  </si>
  <si>
    <t>Zepel Warlock (Drop) Uncoated Chili</t>
  </si>
  <si>
    <t>Zepel Warlock (Drop) Uncoated Cocoa</t>
  </si>
  <si>
    <t>Zepel Warlock (Drop) Uncoated Crystal</t>
  </si>
  <si>
    <t>Zepel Warlock (Drop) Uncoated Delft</t>
  </si>
  <si>
    <t>Zepel Warlock (Drop) Uncoated Ecru</t>
  </si>
  <si>
    <t>Zepel Warlock (Drop) Uncoated Emerald</t>
  </si>
  <si>
    <t>Zepel Warlock (Drop) Uncoated Gold</t>
  </si>
  <si>
    <t>Zepel Warlock (Drop) Uncoated Jade</t>
  </si>
  <si>
    <t>Zepel Warlock (Drop) Uncoated Java</t>
  </si>
  <si>
    <t>Zepel Warlock (Drop) Uncoated Latte</t>
  </si>
  <si>
    <t>Zepel Warlock (Drop) Uncoated Linen</t>
  </si>
  <si>
    <t>Zepel Warlock (Drop) Uncoated Lipstick</t>
  </si>
  <si>
    <t>Zepel Warlock (Drop) Uncoated Lollipop</t>
  </si>
  <si>
    <t>Zepel Warlock (Drop) Uncoated Marine</t>
  </si>
  <si>
    <t>Zepel Warlock (Drop) Uncoated Mauve</t>
  </si>
  <si>
    <t>Zepel Warlock (Drop) Uncoated Metal</t>
  </si>
  <si>
    <t>Zepel Warlock (Drop) Uncoated Mink</t>
  </si>
  <si>
    <t>Zepel Warlock (Drop) Uncoated Navy</t>
  </si>
  <si>
    <t>Zepel Warlock (Drop) Uncoated Noir</t>
  </si>
  <si>
    <t>Zepel Warlock (Drop) Uncoated Olive</t>
  </si>
  <si>
    <t>Zepel Warlock (Drop) Uncoated Passion</t>
  </si>
  <si>
    <t>Zepel Warlock (Drop) Uncoated Powder</t>
  </si>
  <si>
    <t>Zepel Warlock (Drop) Uncoated Putty</t>
  </si>
  <si>
    <t>Zepel Warlock (Drop) Uncoated Quartz</t>
  </si>
  <si>
    <t>Zepel Warlock (Drop) Uncoated Raspberry</t>
  </si>
  <si>
    <t>Zepel Warlock (Drop) Uncoated Seal</t>
  </si>
  <si>
    <t>Zepel Warlock (Drop) Uncoated Sesame</t>
  </si>
  <si>
    <t>Zepel Warlock (Drop) Uncoated Silver</t>
  </si>
  <si>
    <t>Zepel Warlock (Drop) Uncoated Sky</t>
  </si>
  <si>
    <t>Zepel Warlock (Drop) Uncoated Slate</t>
  </si>
  <si>
    <t>Zepel Warlock (Drop) Uncoated Stone</t>
  </si>
  <si>
    <t>Zepel Warlock (Drop) Uncoated Tan</t>
  </si>
  <si>
    <t>Zepel Warlock (Drop) Uncoated Taupe</t>
  </si>
  <si>
    <t>Zepel Warlock (Drop) Uncoated Teal</t>
  </si>
  <si>
    <t>Zepel Warlock (Drop) Uncoated Toffee</t>
  </si>
  <si>
    <t>Zepel Warlock (Drop) Uncoated TBA</t>
  </si>
  <si>
    <t>Zepel Delphine (Drop) Uncoated Rose Water</t>
  </si>
  <si>
    <t>100% COTTON</t>
  </si>
  <si>
    <t>Zepel Delphine (Drop) Uncoated Sepia</t>
  </si>
  <si>
    <t>Zepel Delphine (Drop) Uncoated Sky</t>
  </si>
  <si>
    <t>Zepel Delphine (Drop) Uncoated Stone</t>
  </si>
  <si>
    <t>Zepel Delphine (Drop) Uncoated Willow</t>
  </si>
  <si>
    <t>Zepel Delphine (Drop) Uncoated TBA</t>
  </si>
  <si>
    <t>Cord Length</t>
  </si>
  <si>
    <t>Mokum Longitude FR (Continuous) Sheer Chalk</t>
  </si>
  <si>
    <t xml:space="preserve">100% PL </t>
  </si>
  <si>
    <t>Mokum Longitude FR (Continuous) Sheer Ice</t>
  </si>
  <si>
    <t>Mokum Longitude FR (Continuous) Sheer Linen</t>
  </si>
  <si>
    <t>Mokum Longitude FR (Continuous) Sheer TBA</t>
  </si>
  <si>
    <t>Laura Ashley Peonies (Drop) Uncoated Fuchsia</t>
  </si>
  <si>
    <t>52% COT 48% LYOCELL</t>
  </si>
  <si>
    <t>Laura Ashley Peonies (Drop) Uncoated TBA</t>
  </si>
  <si>
    <t>Mokum Antipodes (Continuous) Sheer Oyster</t>
  </si>
  <si>
    <t>Mokum Antipodes (Continuous) Sheer Whitewash</t>
  </si>
  <si>
    <t>S-Fold  (Standard Fullness x 2)</t>
  </si>
  <si>
    <t>S-Fold  (Less Fullness x 1.8)</t>
  </si>
  <si>
    <t>S-Fold  (Extra Fullness x 2.2)</t>
  </si>
  <si>
    <t xml:space="preserve"> 15390</t>
  </si>
  <si>
    <t xml:space="preserve"> 15660</t>
  </si>
  <si>
    <t xml:space="preserve"> 15930</t>
  </si>
  <si>
    <t xml:space="preserve"> 16200</t>
  </si>
  <si>
    <t xml:space="preserve"> 16470</t>
  </si>
  <si>
    <t xml:space="preserve"> 16740</t>
  </si>
  <si>
    <t xml:space="preserve"> 17010</t>
  </si>
  <si>
    <t xml:space="preserve"> 17280</t>
  </si>
  <si>
    <t xml:space="preserve"> 17550</t>
  </si>
  <si>
    <t xml:space="preserve"> 17820</t>
  </si>
  <si>
    <t xml:space="preserve"> 18090</t>
  </si>
  <si>
    <t xml:space="preserve"> 18360</t>
  </si>
  <si>
    <t xml:space="preserve"> 18630</t>
  </si>
  <si>
    <t xml:space="preserve"> 18900</t>
  </si>
  <si>
    <t xml:space="preserve"> 19170</t>
  </si>
  <si>
    <t xml:space="preserve"> 19440</t>
  </si>
  <si>
    <t xml:space="preserve"> 19710</t>
  </si>
  <si>
    <t xml:space="preserve"> 19980</t>
  </si>
  <si>
    <t xml:space="preserve"> 20250</t>
  </si>
  <si>
    <t xml:space="preserve"> 20520</t>
  </si>
  <si>
    <t xml:space="preserve"> 20790</t>
  </si>
  <si>
    <t xml:space="preserve"> 21060</t>
  </si>
  <si>
    <t xml:space="preserve"> 21330</t>
  </si>
  <si>
    <t xml:space="preserve"> 21600</t>
  </si>
  <si>
    <t xml:space="preserve"> 21870</t>
  </si>
  <si>
    <t xml:space="preserve"> 22140</t>
  </si>
  <si>
    <t xml:space="preserve"> 22410</t>
  </si>
  <si>
    <t xml:space="preserve"> 22680</t>
  </si>
  <si>
    <t xml:space="preserve"> 22950</t>
  </si>
  <si>
    <t xml:space="preserve"> 23220</t>
  </si>
  <si>
    <t xml:space="preserve"> 23490</t>
  </si>
  <si>
    <t xml:space="preserve"> 23760</t>
  </si>
  <si>
    <t xml:space="preserve"> 24030</t>
  </si>
  <si>
    <t xml:space="preserve"> 24300</t>
  </si>
  <si>
    <t xml:space="preserve"> 24570</t>
  </si>
  <si>
    <t xml:space="preserve"> 24840</t>
  </si>
  <si>
    <t xml:space="preserve"> 25110</t>
  </si>
  <si>
    <t xml:space="preserve"> 25380</t>
  </si>
  <si>
    <t xml:space="preserve"> 25650</t>
  </si>
  <si>
    <t xml:space="preserve"> 25920</t>
  </si>
  <si>
    <t xml:space="preserve"> 26190</t>
  </si>
  <si>
    <t>Mokum Beauvoir (Continuous) Sheer Blush</t>
  </si>
  <si>
    <t>48% RPL, 29% LI, 23% OCO</t>
  </si>
  <si>
    <t>Mokum Beauvoir (Continuous) Sheer Cloud</t>
  </si>
  <si>
    <t>Mokum Beauvoir (Continuous) Sheer Duckegg</t>
  </si>
  <si>
    <t>Mokum Beauvoir (Continuous) Sheer Flax</t>
  </si>
  <si>
    <t>Mokum Beauvoir (Continuous) Sheer Ivory</t>
  </si>
  <si>
    <t>Mokum Beauvoir (Continuous) Sheer Oyster</t>
  </si>
  <si>
    <t>Mokum Beauvoir (Continuous) Sheer Silver</t>
  </si>
  <si>
    <t>Mokum Beauvoir (Continuous) Sheer Stone</t>
  </si>
  <si>
    <t>Mokum Beauvoir (Continuous) Sheer TBA</t>
  </si>
  <si>
    <t>Mokum Solarline (Drop) Lining Ash</t>
  </si>
  <si>
    <t>Mokum Solarline (Drop) Lining Charcoal</t>
  </si>
  <si>
    <t>Mokum Solarline (Drop) Lining Cloud</t>
  </si>
  <si>
    <t>Mokum Solarline (Drop) Lining Dune</t>
  </si>
  <si>
    <t>Mokum Solarline (Drop) Lining Fossil</t>
  </si>
  <si>
    <t>Mokum Solarline (Drop) Lining Granite</t>
  </si>
  <si>
    <t>Mokum Solarline (Drop) Lining Oyster</t>
  </si>
  <si>
    <t>Mokum Solarline (Drop) Lining Pristine</t>
  </si>
  <si>
    <t>Mokum Solarline (Drop) Lining Quarry</t>
  </si>
  <si>
    <t>Mokum Solarline (Drop) Lining Raven</t>
  </si>
  <si>
    <t>Mokum Solarline (Drop) Lining Sand</t>
  </si>
  <si>
    <t>Mokum Solarline (Drop) Lining Steel</t>
  </si>
  <si>
    <t>Mokum Solarline (Drop) Lining Surf</t>
  </si>
  <si>
    <t>Mokum Solarline (Drop) Lining White</t>
  </si>
  <si>
    <t>Mokum Solarline (Drop) Lining TBA</t>
  </si>
  <si>
    <t>Mokum Solarline (Continuous) Lining Ash</t>
  </si>
  <si>
    <t>Mokum Solarline (Continuous) Lining Charcoal</t>
  </si>
  <si>
    <t>Mokum Solarline (Continuous) Lining Cloud</t>
  </si>
  <si>
    <t>Mokum Solarline (Continuous) Lining Dune</t>
  </si>
  <si>
    <t>Mokum Solarline (Continuous) Lining Fossil</t>
  </si>
  <si>
    <t>Mokum Solarline (Continuous) Lining Granite</t>
  </si>
  <si>
    <t>Mokum Solarline (Continuous) Lining Oyster</t>
  </si>
  <si>
    <t>Mokum Solarline (Continuous) Lining Pristine</t>
  </si>
  <si>
    <t>Mokum Solarline (Continuous) Lining Quarry</t>
  </si>
  <si>
    <t>Mokum Solarline (Continuous) Lining Raven</t>
  </si>
  <si>
    <t>Mokum Solarline (Continuous) Lining Sand</t>
  </si>
  <si>
    <t>Mokum Solarline (Continuous) Lining Steel</t>
  </si>
  <si>
    <t>Mokum Solarline (Continuous) Lining Surf</t>
  </si>
  <si>
    <t>Mokum Solarline (Continuous) Lining White</t>
  </si>
  <si>
    <t>Mokum Mindful (Continuous) Sheer Blanc</t>
  </si>
  <si>
    <t>Mokum Mindful (Continuous) Sheer Crystal</t>
  </si>
  <si>
    <t>Mokum Mindful (Continuous) Sheer Dew</t>
  </si>
  <si>
    <t>Mokum Mindful (Continuous) Sheer Mineral</t>
  </si>
  <si>
    <t>Mokum Mindful (Continuous) Sheer Natural</t>
  </si>
  <si>
    <t>Mokum Mindful (Continuous) Sheer Powder</t>
  </si>
  <si>
    <t>Mokum Mindful (Continuous) Sheer TBA</t>
  </si>
  <si>
    <t>Mokum Mindful (Drop) Sheer Blanc</t>
  </si>
  <si>
    <t>Mokum Mindful (Drop) Sheer Crystal</t>
  </si>
  <si>
    <t>Mokum Mindful (Drop) Sheer Dew</t>
  </si>
  <si>
    <t>Mokum Mindful (Drop) Sheer Mineral</t>
  </si>
  <si>
    <t>Mokum Mindful (Drop) Sheer Natural</t>
  </si>
  <si>
    <t>Mokum Mindful (Drop) Sheer Powder</t>
  </si>
  <si>
    <t>Mokum Mindful (Drop) Sheer TBA</t>
  </si>
  <si>
    <t>Clarke &amp; Clarke Breton (Drop) Uncoated Blush</t>
  </si>
  <si>
    <t>Clarke &amp; Clarke Breton (Drop) Uncoated Chambray</t>
  </si>
  <si>
    <t>Clarke &amp; Clarke Breton (Drop) Uncoated Charcoal</t>
  </si>
  <si>
    <t>Clarke &amp; Clarke Breton (Drop) Uncoated Dove</t>
  </si>
  <si>
    <t>Clarke &amp; Clarke Breton (Drop) Uncoated Linen</t>
  </si>
  <si>
    <t>Clarke &amp; Clarke Breton (Drop) Uncoated Ochre</t>
  </si>
  <si>
    <t>Clarke &amp; Clarke Breton (Drop) Uncoated Racing Green</t>
  </si>
  <si>
    <t>Clarke &amp; Clarke Breton (Drop) Uncoated Sage</t>
  </si>
  <si>
    <t>Clarke &amp; Clarke Breton (Drop) Uncoated TBA</t>
  </si>
  <si>
    <t>Clarke &amp; Clarke Maryland (Drop) Uncoated Ochre/Charcoal</t>
  </si>
  <si>
    <t>Clarke &amp; Clarke Maryland (Drop) Uncoated Denim</t>
  </si>
  <si>
    <t>Clarke &amp; Clarke Maryland (Drop) Uncoated Charcoal/Natural</t>
  </si>
  <si>
    <t>Clarke &amp; Clarke Maryland (Drop) Uncoated TBA</t>
  </si>
  <si>
    <t>Hoad Naples (Drop) Sheer Fog</t>
  </si>
  <si>
    <t>Hoad Naples (Drop) Sheer Sky</t>
  </si>
  <si>
    <t xml:space="preserve">Hoad Naples (Drop) Sheer Ash </t>
  </si>
  <si>
    <t>Hoad Naples (Drop) Sheer Ecru</t>
  </si>
  <si>
    <t>Hoad Naples (Drop) Sheer Moss</t>
  </si>
  <si>
    <t>Hoad Naples (Drop) Sheer Coral</t>
  </si>
  <si>
    <t>Hoad Naples (Drop) Sheer Honey</t>
  </si>
  <si>
    <t>Hoad Naples (Drop) Sheer Cream</t>
  </si>
  <si>
    <t>Hoad Naples (Drop) Sheer Wheat</t>
  </si>
  <si>
    <t>Hoad Naples (Drop) Sheer Cloud</t>
  </si>
  <si>
    <t>Hoad Naples (Drop) Sheer Auburn</t>
  </si>
  <si>
    <t>Hoad Naples (Drop) Sheer Walnut</t>
  </si>
  <si>
    <t>Hoad Naples (Drop) Sheer Oyster</t>
  </si>
  <si>
    <t>Hoad Naples (Drop) Sheer Mustard</t>
  </si>
  <si>
    <t>Hoad Naples (Drop) Sheer Charcoal</t>
  </si>
  <si>
    <t>Hoad Naples (Drop) Sheer Atlantic</t>
  </si>
  <si>
    <t>Hoad Naples (Drop) Sheer Champagne</t>
  </si>
  <si>
    <t>Hoad Naples (Drop) Sheer TBA</t>
  </si>
  <si>
    <t>Slender Morris Great Oak (Drop) Uncoated Acanthus</t>
  </si>
  <si>
    <t>Slender Morris Great Oak (Drop) Uncoated Coal</t>
  </si>
  <si>
    <t>Slender Morris Great Oak (Drop) Uncoated Coral</t>
  </si>
  <si>
    <t>Slender Morris Great Oak (Drop) Uncoated Duckegg</t>
  </si>
  <si>
    <t>Slender Morris Great Oak (Drop) Uncoated Ebony</t>
  </si>
  <si>
    <t>Slender Morris Great Oak (Drop) Uncoated Flint</t>
  </si>
  <si>
    <t>Slender Morris Great Oak (Drop) Uncoated Gingersnap</t>
  </si>
  <si>
    <t>Slender Morris Great Oak (Drop) Uncoated Gull</t>
  </si>
  <si>
    <t>Slender Morris Great Oak (Drop) Uncoated Messai</t>
  </si>
  <si>
    <t>Slender Morris Great Oak (Drop) Uncoated Midnight</t>
  </si>
  <si>
    <t>Slender Morris Great Oak (Drop) Uncoated Nougat</t>
  </si>
  <si>
    <t>Slender Morris Great Oak (Drop) Uncoated Oatmeal</t>
  </si>
  <si>
    <t>Slender Morris Great Oak (Drop) Uncoated Ochre</t>
  </si>
  <si>
    <t>Slender Morris Great Oak (Drop) Uncoated Paprika</t>
  </si>
  <si>
    <t>Slender Morris Great Oak (Drop) Uncoated Pear</t>
  </si>
  <si>
    <t>Slender Morris Great Oak (Drop) Uncoated Pebble</t>
  </si>
  <si>
    <t>Slender Morris Great Oak (Drop) Uncoated Pewter</t>
  </si>
  <si>
    <t>Slender Morris Great Oak (Drop) Uncoated Pistachio</t>
  </si>
  <si>
    <t>Slender Morris Great Oak (Drop) Uncoated Sand</t>
  </si>
  <si>
    <t>Slender Morris Great Oak (Drop) Uncoated Sun</t>
  </si>
  <si>
    <t>Slender Morris Great Oak (Drop) Uncoated Taupe</t>
  </si>
  <si>
    <t>Slender Morris Great Oak (Drop) Uncoated Willow</t>
  </si>
  <si>
    <t>Slender Morris Great Oak (Drop) Uncoated Dove</t>
  </si>
  <si>
    <t>Slender Morris Great Oak (Drop) Uncoated TBA</t>
  </si>
  <si>
    <t>Slender Morris Great Oak (Drop) Uncoated Lichen</t>
  </si>
  <si>
    <t>Warwick Arlington (Drop) Uncoated Chai</t>
  </si>
  <si>
    <t>Warwick Arlington (Drop) Uncoated Cornflower</t>
  </si>
  <si>
    <t>Warwick Arlington (Drop) Uncoated Dove</t>
  </si>
  <si>
    <t>Warwick Arlington (Drop) Uncoated Duckegg</t>
  </si>
  <si>
    <t>Warwick Arlington (Drop) Uncoated Indigo</t>
  </si>
  <si>
    <t>Warwick Arlington (Drop) Uncoated Onyx</t>
  </si>
  <si>
    <t>Warwick Arlington (Drop) Uncoated Paprika</t>
  </si>
  <si>
    <t>Warwick Arlington (Drop) Uncoated TBA</t>
  </si>
  <si>
    <t>Slender Morris Spotty (Drop) Uncoated Acanthus</t>
  </si>
  <si>
    <t>Slender Morris Spotty (Drop) Uncoated Bloom</t>
  </si>
  <si>
    <t>Slender Morris Spotty (Drop) Uncoated Coral</t>
  </si>
  <si>
    <t>Slender Morris Spotty (Drop) Uncoated Dove</t>
  </si>
  <si>
    <t>Slender Morris Spotty (Drop) Uncoated Duckegg</t>
  </si>
  <si>
    <t>Slender Morris Spotty (Drop) Uncoated Ebony</t>
  </si>
  <si>
    <t>Slender Morris Spotty (Drop) Uncoated Flint</t>
  </si>
  <si>
    <t>Slender Morris Spotty (Drop) Uncoated Gingersnap</t>
  </si>
  <si>
    <t>Slender Morris Spotty (Drop) Uncoated Lemongrass</t>
  </si>
  <si>
    <t>Slender Morris Spotty (Drop) Uncoated Lichen</t>
  </si>
  <si>
    <t>Slender Morris Spotty (Drop) Uncoated Messai</t>
  </si>
  <si>
    <t>Slender Morris Spotty (Drop) Uncoated Midnight</t>
  </si>
  <si>
    <t>Slender Morris Spotty (Drop) Uncoated Nougat</t>
  </si>
  <si>
    <t>Slender Morris Spotty (Drop) Uncoated Oatmeal</t>
  </si>
  <si>
    <t>Slender Morris Spotty (Drop) Uncoated Ocean</t>
  </si>
  <si>
    <t>Slender Morris Spotty (Drop) Uncoated Ochre</t>
  </si>
  <si>
    <t>Slender Morris Spotty (Drop) Uncoated Paprika</t>
  </si>
  <si>
    <t>Slender Morris Spotty (Drop) Uncoated Pebble</t>
  </si>
  <si>
    <t>Slender Morris Spotty (Drop) Uncoated Pewter</t>
  </si>
  <si>
    <t>Slender Morris Spotty (Drop) Uncoated Pistachio</t>
  </si>
  <si>
    <t>Slender Morris Spotty (Drop) Uncoated Poppy</t>
  </si>
  <si>
    <t>Slender Morris Spotty (Drop) Uncoated Rose</t>
  </si>
  <si>
    <t>Slender Morris Spotty (Drop) Uncoated Sand</t>
  </si>
  <si>
    <t>Slender Morris Spotty (Drop) Uncoated Willow</t>
  </si>
  <si>
    <t>Slender Morris Spotty (Drop) Uncoated TBA</t>
  </si>
  <si>
    <t>Basford Brands Copacabana (Drop) Uncoated Ocean</t>
  </si>
  <si>
    <t>Basford Brands Copacabana (Drop) Uncoated Rainforest</t>
  </si>
  <si>
    <t>Basford Brands Copacabana (Drop) Uncoated Woodland</t>
  </si>
  <si>
    <t>Basford Brands Copacabana (Drop) Uncoated TBA</t>
  </si>
  <si>
    <t>Warwick Iuta (Continuous) Sheer Frost</t>
  </si>
  <si>
    <t>35% Polyester 35% Cotton 15% Linen 15% Viscose</t>
  </si>
  <si>
    <t>Warwick Iuta (Continuous) Sheer Ivory</t>
  </si>
  <si>
    <t>Warwick Iuta (Continuous) Sheer Mineral</t>
  </si>
  <si>
    <t>Warwick Iuta (Continuous) Sheer Nectar</t>
  </si>
  <si>
    <t>Warwick Iuta (Continuous) Sheer Pearl</t>
  </si>
  <si>
    <t>Warwick Iuta (Continuous) Sheer Pepper</t>
  </si>
  <si>
    <t>Warwick Iuta (Continuous) Sheer TBA</t>
  </si>
  <si>
    <t>Warwick Iuta (Drop) Sheer Eggshell</t>
  </si>
  <si>
    <t>Warwick Iuta (Drop) Sheer Frost</t>
  </si>
  <si>
    <t>Warwick Iuta (Drop) Sheer Ivory</t>
  </si>
  <si>
    <t>Warwick Iuta (Drop) Sheer Mineral</t>
  </si>
  <si>
    <t>Warwick Iuta (Drop) Sheer Nectar</t>
  </si>
  <si>
    <t>Warwick Iuta (Drop) Sheer Pearl</t>
  </si>
  <si>
    <t>Warwick Iuta (Drop) Sheer Pepper</t>
  </si>
  <si>
    <t>Warwick Iuta (Drop) Sheer TBA</t>
  </si>
  <si>
    <t>Mokum Kyoto (Continuous) Sheer Moss</t>
  </si>
  <si>
    <t>Mokum Kyoto (Continuous) Sheer Ricepaper</t>
  </si>
  <si>
    <t>Hoad Vermont 2nd Edition (Continuous) Uncoated Silver</t>
  </si>
  <si>
    <t>Bent</t>
  </si>
  <si>
    <t>1st Bend Internal or External</t>
  </si>
  <si>
    <t>1st Bend Angle</t>
  </si>
  <si>
    <t>2nd Bend Internal or External</t>
  </si>
  <si>
    <t>2nd Bend Angle</t>
  </si>
  <si>
    <t>3rd Bend Internal or External</t>
  </si>
  <si>
    <t>3rd Bend Angle</t>
  </si>
  <si>
    <t>4th Bend Internal or External</t>
  </si>
  <si>
    <t>4th Bend Angle</t>
  </si>
  <si>
    <t>Installation Height off Ground</t>
  </si>
  <si>
    <t>Installation Difficulty Grading</t>
  </si>
  <si>
    <t>Take Downs</t>
  </si>
  <si>
    <t>Product Requires Check Measure</t>
  </si>
  <si>
    <t>Susp. Hanger Qty</t>
  </si>
  <si>
    <t>Susp. Hanger Length</t>
  </si>
  <si>
    <t>No. of Bends</t>
  </si>
  <si>
    <t>Coloured Lining Facing</t>
  </si>
  <si>
    <t>Installation</t>
  </si>
  <si>
    <t>Measured Width</t>
  </si>
  <si>
    <t>Measured Drop</t>
  </si>
  <si>
    <t>Measured Size</t>
  </si>
  <si>
    <t>Blind Making Width</t>
  </si>
  <si>
    <t>Blind Making Drop</t>
  </si>
  <si>
    <t>Fabric Type &amp; Colour</t>
  </si>
  <si>
    <t>Dual</t>
  </si>
  <si>
    <t>Fixing</t>
  </si>
  <si>
    <t>Control</t>
  </si>
  <si>
    <t>Fabric Direction</t>
  </si>
  <si>
    <t>Bracket</t>
  </si>
  <si>
    <t>Pelmet or Cassette Type</t>
  </si>
  <si>
    <t>Installers</t>
  </si>
  <si>
    <t xml:space="preserve"> Minutes Allowed</t>
  </si>
  <si>
    <t>Curtain Installation Jobsheet</t>
  </si>
  <si>
    <t>V</t>
  </si>
  <si>
    <t>Job Sheet</t>
  </si>
  <si>
    <t>X</t>
  </si>
  <si>
    <t>Mokum Foreshore (Continuous) Sheer Ivory</t>
  </si>
  <si>
    <t>Mokum Foreshore (Continuous) Sheer Shell</t>
  </si>
  <si>
    <t>Mokum Foreshore (Continuous) Sheer Whitewash</t>
  </si>
  <si>
    <t>Mokum Foreshore (Continuous) Sheer TBA</t>
  </si>
  <si>
    <t>Versatrak 25mm Top Fix 100mm Suspension Bracket</t>
  </si>
  <si>
    <t>2 x L Brackets</t>
  </si>
  <si>
    <t>Boldtrak Standard 145mm Bracket</t>
  </si>
  <si>
    <t>Boldtrak Top Fix Suspension Bracket</t>
  </si>
  <si>
    <t>Versatrak Top Fix Suspension Bracket with 1 Wall Bracket</t>
  </si>
  <si>
    <t>Versatrak Top Fix Suspension Bracket with 2 Wall Brackets</t>
  </si>
  <si>
    <t>Versatrak Top Fix Suspension Bracket</t>
  </si>
  <si>
    <t>Versatrak 16mm Top Fix 100mm Suspension Bracket</t>
  </si>
  <si>
    <t>Projection</t>
  </si>
  <si>
    <t>Bent Track Length Allowance</t>
  </si>
  <si>
    <t>Track Bend Radius</t>
  </si>
  <si>
    <t>1st Bend Track Length Allowance</t>
  </si>
  <si>
    <t>2nd Bend Track Length Allowance</t>
  </si>
  <si>
    <t>3rd Bend Track Length Allowance</t>
  </si>
  <si>
    <t>4th Bend Track Length Allowance</t>
  </si>
  <si>
    <t>Hoad Avena (Continuous) Coated Linen</t>
  </si>
  <si>
    <t>1st Bend from LHS</t>
  </si>
  <si>
    <t>2nd Bend from LHS</t>
  </si>
  <si>
    <t>3rd Bend from LHS</t>
  </si>
  <si>
    <t>4th Bend from LHS</t>
  </si>
  <si>
    <t>Hoad Avena (Continuous) Uncoated Linen</t>
  </si>
  <si>
    <t>Mokum Lilium (Drop) Uncoated Saffron</t>
  </si>
  <si>
    <t>55% LI, 45% VI (CV)</t>
  </si>
  <si>
    <t>Mokum Lilium (Drop) Uncoated Sky</t>
  </si>
  <si>
    <t>Mokum Lilium (Drop) Uncoated Thyme</t>
  </si>
  <si>
    <t>Mokum Lilium (Drop) Uncoated TBA</t>
  </si>
  <si>
    <t>Mokum Envoy 2 (Continuous) Uncoated Whisper</t>
  </si>
  <si>
    <t>Mokum Satnin (Continuous) Uncoated Biscotti</t>
  </si>
  <si>
    <t>Linen 100%</t>
  </si>
  <si>
    <t>Mokum Satnin (Continuous) Uncoated Blanc</t>
  </si>
  <si>
    <t>Mokum Satnin (Continuous) Uncoated Brandy</t>
  </si>
  <si>
    <t>Mokum Satnin (Continuous) Uncoated Bronze</t>
  </si>
  <si>
    <t>Mokum Satnin (Continuous) Uncoated Celadon</t>
  </si>
  <si>
    <t>Mokum Satnin (Continuous) Uncoated Champagne</t>
  </si>
  <si>
    <t>Mokum Satnin (Continuous) Uncoated Chocolate</t>
  </si>
  <si>
    <t>Mokum Satnin (Continuous) Uncoated Citrine</t>
  </si>
  <si>
    <t>Mokum Satnin (Continuous) Uncoated Ink</t>
  </si>
  <si>
    <t>Mokum Satnin (Continuous) Uncoated Jungle</t>
  </si>
  <si>
    <t>Mokum Satnin (Continuous) Uncoated Lychee</t>
  </si>
  <si>
    <t>Mokum Satnin (Continuous) Uncoated Marble</t>
  </si>
  <si>
    <t>Mokum Satnin (Continuous) Uncoated Martini</t>
  </si>
  <si>
    <t>Mokum Satnin (Continuous) Uncoated Molasses</t>
  </si>
  <si>
    <t>Mokum Satnin (Continuous) Uncoated Oyster</t>
  </si>
  <si>
    <t>Mokum Satnin (Continuous) Uncoated Palm Leaf</t>
  </si>
  <si>
    <t>Mokum Satnin (Continuous) Uncoated Peacock</t>
  </si>
  <si>
    <t>Mokum Satnin (Continuous) Uncoated Pimento</t>
  </si>
  <si>
    <t>Mokum Satnin (Continuous) Uncoated Pumice</t>
  </si>
  <si>
    <t>Mokum Satnin (Continuous) Uncoated Riverstone</t>
  </si>
  <si>
    <t>Mokum Satnin (Continuous) Uncoated Rogue</t>
  </si>
  <si>
    <t>Mokum Satnin (Continuous) Uncoated Silver</t>
  </si>
  <si>
    <t>Mokum Satnin (Continuous) Uncoated Slate</t>
  </si>
  <si>
    <t>Mokum Satnin (Continuous) Uncoated Willow</t>
  </si>
  <si>
    <t>Mokum Satnin (Continuous) Uncoated TBA</t>
  </si>
  <si>
    <t>Streamline Matt Satin</t>
  </si>
  <si>
    <t>Streamline Matt Satin Metres</t>
  </si>
  <si>
    <t>Streamline Nylon Top Fix Brackets Matt Satin</t>
  </si>
  <si>
    <t>Streamline Metal Top Fix Brackets Matt Satin</t>
  </si>
  <si>
    <t>Streamline Single Face Fix Brackets Matt Satin</t>
  </si>
  <si>
    <t>Streamline Double Face Fix Brackets Matt Satin</t>
  </si>
  <si>
    <t>Streamline Triple Face Fix Brackets Matt Satin</t>
  </si>
  <si>
    <t>Streamline 32mm Face Fix Brackets Matt Satin</t>
  </si>
  <si>
    <t>Streamline Underlap Arm Matt Satin</t>
  </si>
  <si>
    <t>Streamline Overlap Arm Matt Satin</t>
  </si>
  <si>
    <t>Streamline Cord Pulley Matt Satin</t>
  </si>
  <si>
    <t>Streamline End Cap Matt Satin</t>
  </si>
  <si>
    <t>Warwick Inverloch (Continuous) Uncoated Alabaster</t>
  </si>
  <si>
    <t>82% RECYCLED POLYESTER/ 18% POLYESTER</t>
  </si>
  <si>
    <t>Mokum Antipodes (Continuous) Sheer Peppercorn</t>
  </si>
  <si>
    <t>Mokum Envoy 2 (Continuous) Uncoated Oatmeal</t>
  </si>
  <si>
    <t>Mokum Alliance FR (Continuous) Sheer Carbon</t>
  </si>
  <si>
    <t>100% PLF TCS</t>
  </si>
  <si>
    <t>Mokum Alliance FR (Continuous) Sheer Diamond</t>
  </si>
  <si>
    <t>Mokum Alliance FR (Continuous) Sheer Frost</t>
  </si>
  <si>
    <t>Mokum Alliance FR (Continuous) Sheer Mineral</t>
  </si>
  <si>
    <t>Mokum Alliance FR (Continuous) Sheer Nomad</t>
  </si>
  <si>
    <t>Mokum Alliance FR (Continuous) Sheer Pearl</t>
  </si>
  <si>
    <t>Mokum Alliance FR (Continuous) Sheer Pewter</t>
  </si>
  <si>
    <t>Mokum Alliance FR (Continuous) Sheer Peyote</t>
  </si>
  <si>
    <t>Mokum Alliance FR (Continuous) Sheer Vapour</t>
  </si>
  <si>
    <t>Mokum Alliance FR (Continuous) Sheer TBA</t>
  </si>
  <si>
    <t>AN</t>
  </si>
  <si>
    <t>Warwick Burano (Drop) Sheer Eggshell</t>
  </si>
  <si>
    <t>Mokum Antipodes (Continuous) Sheer Driftwood</t>
  </si>
  <si>
    <t>Mokum Glamour (Drop) Uncoated Angora</t>
  </si>
  <si>
    <t>Mokum Glamour (Drop) Uncoated Bone</t>
  </si>
  <si>
    <t>Mokum Glamour (Drop) Uncoated Cloud</t>
  </si>
  <si>
    <t>Mokum Glamour (Drop) Uncoated Falcon</t>
  </si>
  <si>
    <t>Mokum Glamour (Drop) Uncoated Fossil</t>
  </si>
  <si>
    <t>Mokum Glamour (Drop) Uncoated Griffin</t>
  </si>
  <si>
    <t>Mokum Glamour (Drop) Uncoated Iron</t>
  </si>
  <si>
    <t>Mokum Glamour (Drop) Uncoated Limestone</t>
  </si>
  <si>
    <t>Mokum Glamour (Drop) Uncoated Linden</t>
  </si>
  <si>
    <t>Mokum Glamour (Drop) Uncoated Liquorice</t>
  </si>
  <si>
    <t>Mokum Glamour (Drop) Uncoated Mushroom</t>
  </si>
  <si>
    <t>Mokum Glamour (Drop) Uncoated Oyster</t>
  </si>
  <si>
    <t>Mokum Glamour (Drop) Uncoated Petal</t>
  </si>
  <si>
    <t>Mokum Glamour (Drop) Uncoated Plaza</t>
  </si>
  <si>
    <t>Mokum Glamour (Drop) Uncoated Putty</t>
  </si>
  <si>
    <t>Mokum Glamour (Drop) Uncoated Raven</t>
  </si>
  <si>
    <t>Mokum Glamour (Drop) Uncoated Sesame</t>
  </si>
  <si>
    <t>Mokum Glamour (Drop) Uncoated Sky</t>
  </si>
  <si>
    <t>Mokum Glamour (Drop) Uncoated Steel</t>
  </si>
  <si>
    <t>Mokum Glamour (Drop) Uncoated Taupe</t>
  </si>
  <si>
    <t>Mokum Glamour (Drop) Uncoated Wool</t>
  </si>
  <si>
    <t>Mokum Glamour (Drop) Uncoated Zinc</t>
  </si>
  <si>
    <t>Mokum Glamour (Drop) Uncoated TBA</t>
  </si>
  <si>
    <t>Maurice Kain Tobias (Continuous) Coated Snow</t>
  </si>
  <si>
    <t>Maurice Kain Tobias (Continuous) Coated Pearl</t>
  </si>
  <si>
    <t>Maurice Kain Tobias (Continuous) Coated Ivory</t>
  </si>
  <si>
    <t>Maurice Kain Tobias (Continuous) Coated Camellia</t>
  </si>
  <si>
    <t>Maurice Kain Tobias (Continuous) Coated Antique</t>
  </si>
  <si>
    <t>Maurice Kain Tobias (Continuous) Coated Mushroon</t>
  </si>
  <si>
    <t>Maurice Kain Tobias (Continuous) Coated Stone</t>
  </si>
  <si>
    <t>Maurice Kain Tobias (Continuous) Coated Silver</t>
  </si>
  <si>
    <t>Maurice Kain Tobias (Continuous) Coated Pewter</t>
  </si>
  <si>
    <t>Maurice Kain Tobias (Continuous) Coated Charcoal</t>
  </si>
  <si>
    <t>Maurice Kain Tobias (Continuous) Coated Spray</t>
  </si>
  <si>
    <t>Maurice Kain Tobias (Continuous) Coated Celadon</t>
  </si>
  <si>
    <t>Maurice Kain Tobias (Continuous) Coated TBA</t>
  </si>
  <si>
    <t>Warwick Aesop (Continuous) Sheer Feather</t>
  </si>
  <si>
    <t>Hoad Ski (Continuous) Sheer Almond</t>
  </si>
  <si>
    <t>Hoad Ski (Continuous) Sheer Natural</t>
  </si>
  <si>
    <t>Hoad Ski (Continuous) Sheer Pearl</t>
  </si>
  <si>
    <t>Hoad Ski (Continuous) Sheer Silver</t>
  </si>
  <si>
    <t>Hoad Ski (Continuous) Sheer Svelt</t>
  </si>
  <si>
    <t>Hoad Ski (Continuous) Sheer White</t>
  </si>
  <si>
    <t>Hoad Ski (Continuous) Sheer TBA</t>
  </si>
  <si>
    <t>Maurice Kain Bergamo (Drop) Uncoated White</t>
  </si>
  <si>
    <t>Maurice Kain Bergamo (Drop) Uncoated Chalk</t>
  </si>
  <si>
    <t>Maurice Kain Bergamo (Drop) Uncoated Linen</t>
  </si>
  <si>
    <t>Maurice Kain Bergamo (Drop) Uncoated Natural</t>
  </si>
  <si>
    <t>Maurice Kain Bergamo (Drop) Uncoated Ash</t>
  </si>
  <si>
    <t>Maurice Kain Bergamo (Drop) Uncoated Parchment</t>
  </si>
  <si>
    <t>Maurice Kain Bergamo (Drop) Uncoated Stone</t>
  </si>
  <si>
    <t>Maurice Kain Bergamo (Drop) Uncoated Sable</t>
  </si>
  <si>
    <t>Maurice Kain Bergamo (Drop) Uncoated Woodland</t>
  </si>
  <si>
    <t>Maurice Kain Bergamo (Drop) Uncoated Sky</t>
  </si>
  <si>
    <t>Maurice Kain Bergamo (Drop) Uncoated Mist</t>
  </si>
  <si>
    <t>Maurice Kain Bergamo (Drop) Uncoated Birch</t>
  </si>
  <si>
    <t>Maurice Kain Bergamo (Drop) Uncoated Granite</t>
  </si>
  <si>
    <t>Maurice Kain Bergamo (Drop) Uncoated Charcoal</t>
  </si>
  <si>
    <t>Maurice Kain Bergamo (Drop) Uncoated Ink</t>
  </si>
  <si>
    <t>Maurice Kain Bergamo (Drop) Uncoated TBA</t>
  </si>
  <si>
    <t>Maurice Kain Bergamo (Continuous) Uncoated White</t>
  </si>
  <si>
    <t>Maurice Kain Bergamo (Continuous) Uncoated Chalk</t>
  </si>
  <si>
    <t>Maurice Kain Bergamo (Continuous) Uncoated Linen</t>
  </si>
  <si>
    <t>Maurice Kain Bergamo (Continuous) Uncoated Natural</t>
  </si>
  <si>
    <t>Maurice Kain Bergamo (Continuous) Uncoated Ash</t>
  </si>
  <si>
    <t>Maurice Kain Bergamo (Continuous) Uncoated Parchment</t>
  </si>
  <si>
    <t>Maurice Kain Bergamo (Continuous) Uncoated Stone</t>
  </si>
  <si>
    <t>Maurice Kain Bergamo (Continuous) Uncoated Sable</t>
  </si>
  <si>
    <t>Maurice Kain Bergamo (Continuous) Uncoated Woodland</t>
  </si>
  <si>
    <t>Maurice Kain Bergamo (Continuous) Uncoated Sky</t>
  </si>
  <si>
    <t>Maurice Kain Bergamo (Continuous) Uncoated Mist</t>
  </si>
  <si>
    <t>Maurice Kain Bergamo (Continuous) Uncoated Birch</t>
  </si>
  <si>
    <t>Maurice Kain Bergamo (Continuous) Uncoated Granite</t>
  </si>
  <si>
    <t>Maurice Kain Bergamo (Continuous) Uncoated Charcoal</t>
  </si>
  <si>
    <t>Maurice Kain Bergamo (Continuous) Uncoated Ink</t>
  </si>
  <si>
    <t>Maurice Kain Bergamo (Continuous) Uncoated TBA</t>
  </si>
  <si>
    <t>Nettex Brunswick (Continuous) Uncoated Cloud</t>
  </si>
  <si>
    <t>100% linen</t>
  </si>
  <si>
    <t>Nettex Brunswick (Continuous) Uncoated Snow</t>
  </si>
  <si>
    <t>Nettex Brunswick (Continuous) Uncoated Ash</t>
  </si>
  <si>
    <t>Nettex Brunswick (Continuous) Uncoated Driftwood</t>
  </si>
  <si>
    <t>Nettex Brunswick (Continuous) Uncoated Talc</t>
  </si>
  <si>
    <t>Nettex Brunswick (Continuous) Uncoated Smoke</t>
  </si>
  <si>
    <t>Nettex Brunswick (Continuous) Uncoated TBA</t>
  </si>
  <si>
    <t>Job Tracking Action</t>
  </si>
  <si>
    <t>Dispatch Action</t>
  </si>
  <si>
    <t>Dispatch Date</t>
  </si>
  <si>
    <t xml:space="preserve">Mokum Kyoto (Continuous) Sheer Ash </t>
  </si>
  <si>
    <t>100% LI</t>
  </si>
  <si>
    <t>Mokum Kyoto (Continuous) Sheer Blush</t>
  </si>
  <si>
    <t>Mokum Kyoto (Continuous) Sheer Chalk</t>
  </si>
  <si>
    <t>Mokum Kyoto (Continuous) Sheer Duckegg</t>
  </si>
  <si>
    <t>Mokum Kyoto (Continuous) Sheer Ginger</t>
  </si>
  <si>
    <t>Mokum Kyoto (Continuous) Sheer Grain</t>
  </si>
  <si>
    <t>Mokum Kyoto (Continuous) Sheer Harvest</t>
  </si>
  <si>
    <t>Mokum Kyoto (Continuous) Sheer Hemp</t>
  </si>
  <si>
    <t>Mokum Kyoto (Continuous) Sheer Indigo</t>
  </si>
  <si>
    <t>Mokum Kyoto (Continuous) Sheer Ink</t>
  </si>
  <si>
    <t>Mokum Kyoto (Continuous) Sheer Linen</t>
  </si>
  <si>
    <t>Mokum Kyoto (Continuous) Sheer Mist</t>
  </si>
  <si>
    <t>Mokum Kyoto (Continuous) Sheer Oxide</t>
  </si>
  <si>
    <t>Mokum Kyoto (Continuous) Sheer Pebble</t>
  </si>
  <si>
    <t>Mokum Kyoto (Continuous) Sheer Pistachio</t>
  </si>
  <si>
    <t>Mokum Kyoto (Continuous) Sheer Pumice</t>
  </si>
  <si>
    <t>Mokum Kyoto (Continuous) Sheer Riverstone</t>
  </si>
  <si>
    <t>Mokum Kyoto (Continuous) Sheer Rust</t>
  </si>
  <si>
    <t>Mokum Kyoto (Continuous) Sheer Salt</t>
  </si>
  <si>
    <t>Mokum Kyoto (Continuous) Sheer Shadow</t>
  </si>
  <si>
    <t>Mokum Kyoto (Continuous) Sheer Snow</t>
  </si>
  <si>
    <t>Mokum Kyoto (Continuous) Sheer Soapstone</t>
  </si>
  <si>
    <t>Mokum Kyoto (Continuous) Sheer Truffle</t>
  </si>
  <si>
    <t>Mokum Kyoto (Continuous) Sheer Vine</t>
  </si>
  <si>
    <t>Mokum Kyoto (Continuous) Sheer Walnut</t>
  </si>
  <si>
    <t>Mokum Kyoto (Continuous) Sheer Willow</t>
  </si>
  <si>
    <t>Mokum Kyoto (Continuous) Sheer TBA</t>
  </si>
  <si>
    <t xml:space="preserve">Mokum Kyoto (Drop) Sheer Ash </t>
  </si>
  <si>
    <t>Mokum Kyoto (Drop) Sheer Blush</t>
  </si>
  <si>
    <t>Mokum Kyoto (Drop) Sheer Chalk</t>
  </si>
  <si>
    <t>Mokum Kyoto (Drop) Sheer Duckegg</t>
  </si>
  <si>
    <t>Mokum Kyoto (Drop) Sheer Ginger</t>
  </si>
  <si>
    <t>Mokum Kyoto (Drop) Sheer Grain</t>
  </si>
  <si>
    <t>Mokum Kyoto (Drop) Sheer Harvest</t>
  </si>
  <si>
    <t>Mokum Kyoto (Drop) Sheer Hemp</t>
  </si>
  <si>
    <t>Mokum Kyoto (Drop) Sheer Indigo</t>
  </si>
  <si>
    <t>Mokum Kyoto (Drop) Sheer Ink</t>
  </si>
  <si>
    <t>Mokum Kyoto (Drop) Sheer Linen</t>
  </si>
  <si>
    <t>Mokum Kyoto (Drop) Sheer Mist</t>
  </si>
  <si>
    <t>Mokum Kyoto (Drop) Sheer Moss</t>
  </si>
  <si>
    <t>Mokum Kyoto (Drop) Sheer Oxide</t>
  </si>
  <si>
    <t>Mokum Kyoto (Drop) Sheer Pebble</t>
  </si>
  <si>
    <t>Mokum Kyoto (Drop) Sheer Pistachio</t>
  </si>
  <si>
    <t>Mokum Kyoto (Drop) Sheer Pumice</t>
  </si>
  <si>
    <t>Mokum Kyoto (Drop) Sheer Ricepaper</t>
  </si>
  <si>
    <t>Mokum Kyoto (Drop) Sheer Riverstone</t>
  </si>
  <si>
    <t>Mokum Kyoto (Drop) Sheer Rust</t>
  </si>
  <si>
    <t>Mokum Kyoto (Drop) Sheer Salt</t>
  </si>
  <si>
    <t>Mokum Kyoto (Drop) Sheer Shadow</t>
  </si>
  <si>
    <t>Mokum Kyoto (Drop) Sheer Snow</t>
  </si>
  <si>
    <t>Mokum Kyoto (Drop) Sheer Soapstone</t>
  </si>
  <si>
    <t>Mokum Kyoto (Drop) Sheer Truffle</t>
  </si>
  <si>
    <t>Mokum Kyoto (Drop) Sheer Vine</t>
  </si>
  <si>
    <t>Mokum Kyoto (Drop) Sheer Walnut</t>
  </si>
  <si>
    <t>Mokum Kyoto (Drop) Sheer Willow</t>
  </si>
  <si>
    <t>70% Viscose/ 30% Linen</t>
  </si>
  <si>
    <t>Charles Parsons Aviary (Drop) Uncoated Cloud</t>
  </si>
  <si>
    <t>Charles Parsons Aviary (Drop) Uncoated Sable</t>
  </si>
  <si>
    <t>Charles Parsons Aviary (Drop) Uncoated Sage</t>
  </si>
  <si>
    <t>Charles Parsons Aviary (Drop) Uncoated Sapphire</t>
  </si>
  <si>
    <t>Charles Parsons Aviary (Drop) Uncoated Silver</t>
  </si>
  <si>
    <t>Charles Parsons Aviary (Drop) Uncoated Topaz</t>
  </si>
  <si>
    <t>Charles Parsons Aviary (Drop) Uncoated TBA</t>
  </si>
  <si>
    <t>Boldtrak Standard 110mm Bracket</t>
  </si>
  <si>
    <t>Maurice Kain Riverhead (Drop) Uncoated Taupe</t>
  </si>
  <si>
    <t>Maurice Kain Riverhead (Drop) Uncoated Midnight</t>
  </si>
  <si>
    <t>Maurice Kain Riverhead (Drop) Uncoated Coastal</t>
  </si>
  <si>
    <t>Maurice Kain Riverhead (Drop) Uncoated TBA</t>
  </si>
  <si>
    <t>Mokum Gouache (Continuous) Uncoated Blanc</t>
  </si>
  <si>
    <t>Mokum Gouache (Continuous) Uncoated Bone</t>
  </si>
  <si>
    <t>Mokum Gouache (Continuous) Uncoated Buff</t>
  </si>
  <si>
    <t>Mokum Gouache (Continuous) Uncoated Burnt Umber</t>
  </si>
  <si>
    <t>Mokum Gouache (Continuous) Uncoated Calico</t>
  </si>
  <si>
    <t>Mokum Gouache (Continuous) Uncoated Eggshell</t>
  </si>
  <si>
    <t>Mokum Gouache (Continuous) Uncoated Ink</t>
  </si>
  <si>
    <t>Mokum Gouache (Continuous) Uncoated Limestone</t>
  </si>
  <si>
    <t>Mokum Gouache (Continuous) Uncoated Linen</t>
  </si>
  <si>
    <t>Mokum Gouache (Continuous) Uncoated Moss</t>
  </si>
  <si>
    <t>Mokum Gouache (Continuous) Uncoated Nude</t>
  </si>
  <si>
    <t>Mokum Gouache (Continuous) Uncoated Oxide</t>
  </si>
  <si>
    <t>Mokum Gouache (Continuous) Uncoated Parchment</t>
  </si>
  <si>
    <t>Mokum Gouache (Continuous) Uncoated Powder Blue</t>
  </si>
  <si>
    <t>Mokum Gouache (Continuous) Uncoated Pumice</t>
  </si>
  <si>
    <t>Mokum Gouache (Continuous) Uncoated Raw Sienna</t>
  </si>
  <si>
    <t>Mokum Gouache (Continuous) Uncoated Sepia</t>
  </si>
  <si>
    <t>Mokum Gouache (Continuous) Uncoated Silver</t>
  </si>
  <si>
    <t>Mokum Gouache (Continuous) Uncoated Verdigris</t>
  </si>
  <si>
    <t>Mokum Gouache (Continuous) Uncoated Willow</t>
  </si>
  <si>
    <t>Mokum Gouache (Continuous) Uncoated TBA</t>
  </si>
  <si>
    <t>Mokum Gouache (Drop) Uncoated Blanc</t>
  </si>
  <si>
    <t>Mokum Gouache (Drop) Uncoated Bone</t>
  </si>
  <si>
    <t>Mokum Gouache (Drop) Uncoated Buff</t>
  </si>
  <si>
    <t>Mokum Gouache (Drop) Uncoated Burnt Umber</t>
  </si>
  <si>
    <t>Mokum Gouache (Drop) Uncoated Calico</t>
  </si>
  <si>
    <t>Mokum Gouache (Drop) Uncoated Eggshell</t>
  </si>
  <si>
    <t>Mokum Gouache (Drop) Uncoated Ink</t>
  </si>
  <si>
    <t>Mokum Gouache (Drop) Uncoated Limestone</t>
  </si>
  <si>
    <t>Mokum Gouache (Drop) Uncoated Linen</t>
  </si>
  <si>
    <t>Mokum Gouache (Drop) Uncoated Moss</t>
  </si>
  <si>
    <t>Mokum Gouache (Drop) Uncoated Nude</t>
  </si>
  <si>
    <t>Mokum Gouache (Drop) Uncoated Oxide</t>
  </si>
  <si>
    <t>Mokum Gouache (Drop) Uncoated Parchment</t>
  </si>
  <si>
    <t>Mokum Gouache (Drop) Uncoated Powder Blue</t>
  </si>
  <si>
    <t>Mokum Gouache (Drop) Uncoated Pumice</t>
  </si>
  <si>
    <t>Mokum Gouache (Drop) Uncoated Raw Sienna</t>
  </si>
  <si>
    <t>Mokum Gouache (Drop) Uncoated Sepia</t>
  </si>
  <si>
    <t>Mokum Gouache (Drop) Uncoated Silver</t>
  </si>
  <si>
    <t>Mokum Gouache (Drop) Uncoated Verdigris</t>
  </si>
  <si>
    <t>Mokum Gouache (Drop) Uncoated Willow</t>
  </si>
  <si>
    <t>Mokum Gouache (Drop) Uncoated TBA</t>
  </si>
  <si>
    <t>Assembly</t>
  </si>
  <si>
    <t>Curtain Track / Rod Assembly</t>
  </si>
  <si>
    <t>Warwick Cyprus (Continuous) Sheer Bronze</t>
  </si>
  <si>
    <t>Warwick Cyprus (Continuous) Sheer Diamond</t>
  </si>
  <si>
    <t>Warwick Cyprus (Continuous) Sheer Gold</t>
  </si>
  <si>
    <t>Warwick Cyprus (Continuous) Sheer Metal</t>
  </si>
  <si>
    <t>Warwick Cyprus (Continuous) Sheer Silver</t>
  </si>
  <si>
    <t>Warwick Cyprus (Continuous) Sheer Zinc</t>
  </si>
  <si>
    <t>Warwick Cyprus (Continuous) Sheer TBA</t>
  </si>
  <si>
    <t>Raffles Mesange (Drop) Uncoated Natural/Black</t>
  </si>
  <si>
    <t>Raffles Mesange (Drop) Uncoated Natural/Bleu</t>
  </si>
  <si>
    <t>Raffles Mesange (Drop) Uncoated Natural/Rouge</t>
  </si>
  <si>
    <t>Raffles Mesange (Drop) Uncoated Natural/White</t>
  </si>
  <si>
    <t>Raffles Mesange (Drop) Uncoated TBA</t>
  </si>
  <si>
    <t>Charles Parsons Lima (Continuous) Sheer Chalk</t>
  </si>
  <si>
    <t>Charles Parsons Lima (Continuous) Sheer Hickory</t>
  </si>
  <si>
    <t>Charles Parsons Lima (Continuous) Sheer Maple</t>
  </si>
  <si>
    <t>Charles Parsons Lima (Continuous) Sheer Parchment</t>
  </si>
  <si>
    <t>Charles Parsons Lima (Continuous) Sheer Shale</t>
  </si>
  <si>
    <t>Charles Parsons Lima (Continuous) Sheer TBA</t>
  </si>
  <si>
    <t>Maurice Kain Linesse (Continuous) Sheer Ice</t>
  </si>
  <si>
    <t>Maurice Kain Linesse (Continuous) Sheer Milk</t>
  </si>
  <si>
    <t>Maurice Kain Linesse (Continuous) Sheer Ecru</t>
  </si>
  <si>
    <t>Maurice Kain Linesse (Continuous) Sheer Linen</t>
  </si>
  <si>
    <t>Maurice Kain Linesse (Continuous) Sheer Clay</t>
  </si>
  <si>
    <t>Maurice Kain Linesse (Continuous) Sheer Glacier</t>
  </si>
  <si>
    <t>Maurice Kain Linesse (Continuous) Sheer Shell</t>
  </si>
  <si>
    <t>Maurice Kain Linesse (Continuous) Sheer Parchment</t>
  </si>
  <si>
    <t>Maurice Kain Linesse (Continuous) Sheer Stone</t>
  </si>
  <si>
    <t>Maurice Kain Linesse (Continuous) Sheer Ash</t>
  </si>
  <si>
    <t>Maurice Kain Linesse (Continuous) Sheer Cloud</t>
  </si>
  <si>
    <t>Maurice Kain Linesse (Continuous) Sheer Slate</t>
  </si>
  <si>
    <t>Maurice Kain Linesse (Continuous) Sheer TBA</t>
  </si>
  <si>
    <t>CURTAIN Marking Off Form</t>
  </si>
  <si>
    <t>No. of Curtain Panels</t>
  </si>
  <si>
    <t>Curtain Heading</t>
  </si>
  <si>
    <t>Curtain Bottom Hem</t>
  </si>
  <si>
    <t>Pelmet Required?</t>
  </si>
  <si>
    <t>Tie Back Required?</t>
  </si>
  <si>
    <t>Marking Off Form</t>
  </si>
  <si>
    <t>J</t>
  </si>
  <si>
    <t>Track/Rod Required?</t>
  </si>
  <si>
    <t/>
  </si>
  <si>
    <t>Nettex Osaka (Continuous) Dim Out Parchment</t>
  </si>
  <si>
    <t>Nettex Osaka (Continuous) Dim Out Driftwood</t>
  </si>
  <si>
    <t>Nettex Osaka (Continuous) Dim Out Biscuit</t>
  </si>
  <si>
    <t>Nettex Osaka (Continuous) Dim Out Latte</t>
  </si>
  <si>
    <t>Nettex Osaka (Continuous) Dim Out Taupe</t>
  </si>
  <si>
    <t>Nettex Osaka (Continuous) Dim Out Cement</t>
  </si>
  <si>
    <t>Nettex Osaka (Continuous) Dim Out Natural</t>
  </si>
  <si>
    <t>Nettex Osaka (Continuous) Dim Out Cloud</t>
  </si>
  <si>
    <t>Nettex Osaka (Continuous) Dim Out Ash</t>
  </si>
  <si>
    <t>Nettex Osaka (Continuous) Dim Out Smoke</t>
  </si>
  <si>
    <t>Nettex Osaka (Continuous) Dim Out Storm</t>
  </si>
  <si>
    <t>Nettex Osaka (Continuous) Dim Out Black</t>
  </si>
  <si>
    <t>Nettex Osaka (Continuous) Dim Out Petal</t>
  </si>
  <si>
    <t>Nettex Osaka (Continuous) Dim Out Blue</t>
  </si>
  <si>
    <t>Nettex Osaka (Continuous) Dim Out Pine</t>
  </si>
  <si>
    <t>Nettex Osaka (Continuous) Dim Out Shiraz</t>
  </si>
  <si>
    <t>Nettex Osaka (Continuous) Dim Out Navy</t>
  </si>
  <si>
    <t>Nettex Osaka (Continuous) Dim Out TBA</t>
  </si>
  <si>
    <t>Nettex Osaka (Drop) Dim Out Parchment</t>
  </si>
  <si>
    <t>Nettex Osaka (Drop) Dim Out Driftwood</t>
  </si>
  <si>
    <t>Nettex Osaka (Drop) Dim Out Biscuit</t>
  </si>
  <si>
    <t>Nettex Osaka (Drop) Dim Out Latte</t>
  </si>
  <si>
    <t>Nettex Osaka (Drop) Dim Out Taupe</t>
  </si>
  <si>
    <t>Nettex Osaka (Drop) Dim Out Cement</t>
  </si>
  <si>
    <t>Nettex Osaka (Drop) Dim Out Natural</t>
  </si>
  <si>
    <t>Nettex Osaka (Drop) Dim Out Cloud</t>
  </si>
  <si>
    <t>Nettex Osaka (Drop) Dim Out Ash</t>
  </si>
  <si>
    <t>Nettex Osaka (Drop) Dim Out Smoke</t>
  </si>
  <si>
    <t>Nettex Osaka (Drop) Dim Out Storm</t>
  </si>
  <si>
    <t>Nettex Osaka (Drop) Dim Out Black</t>
  </si>
  <si>
    <t>Nettex Osaka (Drop) Dim Out Petal</t>
  </si>
  <si>
    <t>Nettex Osaka (Drop) Dim Out Blue</t>
  </si>
  <si>
    <t>Nettex Osaka (Drop) Dim Out Pine</t>
  </si>
  <si>
    <t>Nettex Osaka (Drop) Dim Out Shiraz</t>
  </si>
  <si>
    <t>Nettex Osaka (Drop) Dim Out Navy</t>
  </si>
  <si>
    <t>Nettex Osaka (Drop) Dim Out TBA</t>
  </si>
  <si>
    <t>Maurice Kain Fleur (Drop) Uncoated Driftwood</t>
  </si>
  <si>
    <t>Maurice Kain Fleur (Drop) Uncoated Duck Egg</t>
  </si>
  <si>
    <t>Maurice Kain Fleur (Drop) Uncoated Early Grey</t>
  </si>
  <si>
    <t>Maurice Kain Fleur (Drop) Uncoated Pistchio</t>
  </si>
  <si>
    <t>Maurice Kain Fleur (Drop) Uncoated TBA</t>
  </si>
  <si>
    <t>Maurice Kain Finley Stripe (Drop) Coated Snow</t>
  </si>
  <si>
    <t>Maurice Kain Finley Stripe (Drop) Coated Pearl</t>
  </si>
  <si>
    <t>Maurice Kain Finley Stripe (Drop) Coated Ivory</t>
  </si>
  <si>
    <t>Maurice Kain Finley Stripe (Drop) Coated Camellia</t>
  </si>
  <si>
    <t>Maurice Kain Finley Stripe (Drop) Coated Antique</t>
  </si>
  <si>
    <t>Maurice Kain Finley Stripe (Drop) Coated Mushroom</t>
  </si>
  <si>
    <t>Maurice Kain Finley Stripe (Drop) Coated Stone</t>
  </si>
  <si>
    <t>Maurice Kain Finley Stripe (Drop) Coated Silver</t>
  </si>
  <si>
    <t>Maurice Kain Finley Stripe (Drop) Coated Pewter</t>
  </si>
  <si>
    <t>Maurice Kain Finley Stripe (Drop) Coated Charcoal</t>
  </si>
  <si>
    <t>Maurice Kain Finley Stripe (Drop) Coated Spray</t>
  </si>
  <si>
    <t>Maurice Kain Finley Stripe (Drop) Coated Celadon</t>
  </si>
  <si>
    <t>Maurice Kain Finley Stripe (Drop) Coated TBA</t>
  </si>
  <si>
    <t>Mokum Alchemy (Continuous) Uncoated Basalt</t>
  </si>
  <si>
    <t>Hoad Mondo (Drop) Sheer Sea</t>
  </si>
  <si>
    <t>Hoad Mondo (Drop) Sheer Rope</t>
  </si>
  <si>
    <t>Hoad Mondo (Drop) Sheer Dove</t>
  </si>
  <si>
    <t>Hoad Mondo (Drop) Sheer Chalk</t>
  </si>
  <si>
    <t>Hoad Mondo (Drop) Sheer Svelt</t>
  </si>
  <si>
    <t>Hoad Mondo (Drop) Sheer Black</t>
  </si>
  <si>
    <t>Hoad Mondo (Drop) Sheer White</t>
  </si>
  <si>
    <t>Hoad Mondo (Drop) Sheer Twine</t>
  </si>
  <si>
    <t>Hoad Mondo (Drop) Sheer Lichen</t>
  </si>
  <si>
    <t>Hoad Mondo (Drop) Sheer Almond</t>
  </si>
  <si>
    <t>Hoad Mondo (Drop) Sheer Oyster</t>
  </si>
  <si>
    <t>Hoad Mondo (Drop) Sheer Natural</t>
  </si>
  <si>
    <t>Hoad Mondo (Drop) Sheer Charcoal</t>
  </si>
  <si>
    <t>Hoad Mondo (Drop) Sheer Titanium</t>
  </si>
  <si>
    <t>Hoad Mondo (Drop) Sheer Moonlight</t>
  </si>
  <si>
    <t>Hoad Mondo (Drop) Sheer Platinum</t>
  </si>
  <si>
    <t>Hoad Mondo (Drop) Sheer Stone</t>
  </si>
  <si>
    <t>Hoad Mondo (Drop) Sheer Quartz</t>
  </si>
  <si>
    <t>Hoad Mondo (Drop) Sheer TBA</t>
  </si>
  <si>
    <t>Mokum Alchemy (Continuous) Uncoated Moss</t>
  </si>
  <si>
    <t>Warwick Malmsbury (Drop) Uncoated Sapphire</t>
  </si>
  <si>
    <t>55% linen 45% rayon</t>
  </si>
  <si>
    <t>Warwick Malmsbury (Drop) Uncoated Sunshine</t>
  </si>
  <si>
    <t>Warwick Malmsbury (Drop) Uncoated Willow</t>
  </si>
  <si>
    <t>Warwick Malmsbury (Drop) Uncoated TBA</t>
  </si>
  <si>
    <t>Hoad Horizon (Continuous) Sheer Bronze</t>
  </si>
  <si>
    <t>Hoad Horizon (Continuous) Sheer Dune</t>
  </si>
  <si>
    <t>Hoad Horizon (Continuous) Sheer Pebble</t>
  </si>
  <si>
    <t>Hoad Horizon (Continuous) Sheer Sage</t>
  </si>
  <si>
    <t>Hoad Horizon (Continuous) Sheer Seafoam</t>
  </si>
  <si>
    <t>Hoad Horizon (Continuous) Sheer Straw</t>
  </si>
  <si>
    <t>Hoad Verona (Continuous) Coated Latte</t>
  </si>
  <si>
    <t>Hoad Verona (Continuous) Coated Pearl</t>
  </si>
  <si>
    <t>Hoad Verona (Continuous) Coated Linen</t>
  </si>
  <si>
    <t>Hoad Verona (Continuous) Coated Pepper</t>
  </si>
  <si>
    <t>Hoad Verona (Continuous) Coated Natural</t>
  </si>
  <si>
    <t>Hoad Verona (Continuous) Coated Feather</t>
  </si>
  <si>
    <t>Hoad Verona (Continuous) Coated TBA</t>
  </si>
  <si>
    <t>Mokum Kanso Stonewash (Drop) Sheer Basalt</t>
  </si>
  <si>
    <t>Mokum Kanso Stonewash (Drop) Sheer Blush</t>
  </si>
  <si>
    <t>Mokum Kanso Stonewash (Drop) Sheer Bone</t>
  </si>
  <si>
    <t>Mokum Kanso Stonewash (Drop) Sheer Chartreuse</t>
  </si>
  <si>
    <t>Mokum Kanso Stonewash (Drop) Sheer Dove Grey</t>
  </si>
  <si>
    <t>Mokum Kanso Stonewash (Drop) Sheer Eucalyptus</t>
  </si>
  <si>
    <t>Mokum Kanso Stonewash (Drop) Sheer Green Tea</t>
  </si>
  <si>
    <t>Mokum Kanso Stonewash (Drop) Sheer Linen</t>
  </si>
  <si>
    <t>Mokum Kanso Stonewash (Drop) Sheer Lychee</t>
  </si>
  <si>
    <t>Mokum Kanso Stonewash (Drop) Sheer Mineral</t>
  </si>
  <si>
    <t>Mokum Kanso Stonewash (Drop) Sheer Moss</t>
  </si>
  <si>
    <t>Mokum Kanso Stonewash (Drop) Sheer Sable</t>
  </si>
  <si>
    <t>Mokum Kanso Stonewash (Drop) Sheer Salt</t>
  </si>
  <si>
    <t>Mokum Kanso Stonewash (Drop) Sheer Silver</t>
  </si>
  <si>
    <t>Mokum Kanso Stonewash (Drop) Sheer Sky</t>
  </si>
  <si>
    <t>Mokum Kanso Stonewash (Drop) Sheer Slate</t>
  </si>
  <si>
    <t>Mokum Kanso Stonewash (Drop) Sheer Stone</t>
  </si>
  <si>
    <t>Mokum Kanso Stonewash (Drop) Sheer Willow</t>
  </si>
  <si>
    <t>Mokum Kanso Stonewash (Drop) Sheer TBA</t>
  </si>
  <si>
    <t>Mokum Envoy 2 (Continuous) Uncoated Chino</t>
  </si>
  <si>
    <t>Mokum Envoy 2 (Continuous) Uncoated Oyster</t>
  </si>
  <si>
    <t>Mokum Envoy 2 (Continuous) Uncoated Moon</t>
  </si>
  <si>
    <t>Mokum Envoy 2 (Continuous) Uncoated Pear</t>
  </si>
  <si>
    <t>Mokum Envoy 2 (Continuous) Uncoated Sesame</t>
  </si>
  <si>
    <t>Mokum Envoy 2 (Continuous) Uncoated Feather</t>
  </si>
  <si>
    <t>Mokum Envoy 2 (Continuous) Uncoated Parchment</t>
  </si>
  <si>
    <t>Mokum Envoy 2 (Continuous) Uncoated Angora</t>
  </si>
  <si>
    <t>Mokum Envoy 2 (Continuous) Uncoated Almond</t>
  </si>
  <si>
    <t>Mokum Envoy 2 (Continuous) Uncoated Doeskin</t>
  </si>
  <si>
    <t>Mokum Envoy 2 (Continuous) Uncoated Terra</t>
  </si>
  <si>
    <t>Mokum Envoy 2 (Continuous) Uncoated Cameo</t>
  </si>
  <si>
    <t>Mokum Envoy 2 (Continuous) Uncoated Cloud</t>
  </si>
  <si>
    <t>Mokum Envoy 2 (Continuous) Uncoated Haze</t>
  </si>
  <si>
    <t>Mokum Envoy 2 (Continuous) Uncoated Vapour</t>
  </si>
  <si>
    <t>Mokum Envoy 2 (Continuous) Uncoated Dew</t>
  </si>
  <si>
    <t>Mokum Envoy 2 (Continuous) Uncoated Cement</t>
  </si>
  <si>
    <t>Mokum Envoy 2 (Continuous) Uncoated Mist</t>
  </si>
  <si>
    <t>Mokum Envoy 2 (Continuous) Uncoated Surf</t>
  </si>
  <si>
    <t>Mokum Envoy 2 (Continuous) Uncoated Coast</t>
  </si>
  <si>
    <t>Mokum Envoy 2 (Continuous) Uncoated Pacific</t>
  </si>
  <si>
    <t>Mokum Envoy 2 (Continuous) Uncoated Oasis</t>
  </si>
  <si>
    <t>Mokum Envoy 2 (Continuous) Uncoated Delft</t>
  </si>
  <si>
    <t>Mokum Envoy 2 (Continuous) Uncoated Ink</t>
  </si>
  <si>
    <t>Mokum Envoy 2 (Continuous) Uncoated Shadow</t>
  </si>
  <si>
    <t>Mokum Envoy 2 (Continuous) Uncoated Storm</t>
  </si>
  <si>
    <t>Mokum Envoy 2 (Continuous) Uncoated Coffee</t>
  </si>
  <si>
    <t>Mokum Envoy 2 (Continuous) Uncoated Cinder</t>
  </si>
  <si>
    <t>Mokum Envoy 2 (Continuous) Uncoated Quarry</t>
  </si>
  <si>
    <t>Mokum Envoy 2 (Continuous) Uncoated Flint</t>
  </si>
  <si>
    <t>Mokum Envoy 2 (Continuous) Uncoated Mineral</t>
  </si>
  <si>
    <t>Mokum Envoy 2 (Continuous) Uncoated Winter</t>
  </si>
  <si>
    <t>Mokum Envoy 2 (Continuous) Uncoated TBA</t>
  </si>
  <si>
    <t>Hoad Magnetic 2nd Edition (Drop) Blockout Sage</t>
  </si>
  <si>
    <t>Track Status</t>
  </si>
  <si>
    <t>Bent (Conduit)</t>
  </si>
  <si>
    <t>Elbow Joiner</t>
  </si>
  <si>
    <t>EM</t>
  </si>
  <si>
    <t>Bend Radius + Bracket Allow.</t>
  </si>
  <si>
    <t>Clarke and Clarke Bloom (Drop) Uncoated Amethyst</t>
  </si>
  <si>
    <t>75% Viscose/25 Linen</t>
  </si>
  <si>
    <t>Clarke and Clarke Bloom (Drop) Uncoated Antique</t>
  </si>
  <si>
    <t>Clarke and Clarke Bloom (Drop) Uncoated Fuchsia</t>
  </si>
  <si>
    <t>Clarke and Clarke Bloom (Drop) Uncoated Multi</t>
  </si>
  <si>
    <t>Clarke and Clarke Bloom (Drop) Uncoated TBA</t>
  </si>
  <si>
    <t>Mokum Revel (Continuous) Sheer Swan</t>
  </si>
  <si>
    <t>79% Recycled Polyester, 21% Polyester</t>
  </si>
  <si>
    <t>Mokum Revel (Continuous) Sheer Pearl</t>
  </si>
  <si>
    <t>Mokum Revel (Continuous) Sheer Nougat</t>
  </si>
  <si>
    <t>Mokum Revel (Continuous) Sheer Linen</t>
  </si>
  <si>
    <t>Mokum Revel (Continuous) Sheer Fog</t>
  </si>
  <si>
    <t>Mokum Revel (Continuous) Sheer Flax</t>
  </si>
  <si>
    <t>Mokum Revel (Continuous) Sheer Gravel</t>
  </si>
  <si>
    <t>Mokum Revel (Continuous) Sheer Feather</t>
  </si>
  <si>
    <t>Mokum Revel (Continuous) Sheer Nile</t>
  </si>
  <si>
    <t>Mokum Revel (Continuous) Sheer Clay</t>
  </si>
  <si>
    <t>Mokum Revel (Continuous) Sheer Caramel</t>
  </si>
  <si>
    <t>Mokum Revel (Continuous) Sheer Monument</t>
  </si>
  <si>
    <t>Mokum Revel (Continuous) Sheer TBA</t>
  </si>
  <si>
    <t>Offset split sum</t>
  </si>
  <si>
    <t>Curtain deduction for offset split tape formula</t>
  </si>
  <si>
    <t>CI</t>
  </si>
  <si>
    <t>Left Return</t>
  </si>
  <si>
    <t>Right Return</t>
  </si>
  <si>
    <t>Mokum Obi Stonewash (Continuous) Uncoated Cloud</t>
  </si>
  <si>
    <t>Mokum Obi Stonewash (Continuous) Uncoated Driftwood</t>
  </si>
  <si>
    <t>Mokum Obi Stonewash (Continuous) Uncoated Duckegg</t>
  </si>
  <si>
    <t>Mokum Obi Stonewash (Continuous) Uncoated Eggshell</t>
  </si>
  <si>
    <t>Mokum Obi Stonewash (Continuous) Uncoated Lilac</t>
  </si>
  <si>
    <t>Mokum Obi Stonewash (Continuous) Uncoated Linen</t>
  </si>
  <si>
    <t>Mokum Obi Stonewash (Continuous) Uncoated Peach</t>
  </si>
  <si>
    <t>Mokum Obi Stonewash (Continuous) Uncoated Peony</t>
  </si>
  <si>
    <t>Mokum Obi Stonewash (Continuous) Uncoated Ricepaper</t>
  </si>
  <si>
    <t>Mokum Obi Stonewash (Continuous) Uncoated Sage</t>
  </si>
  <si>
    <t>Mokum Obi Stonewash (Continuous) Uncoated Silver Birch</t>
  </si>
  <si>
    <t>Mokum Obi Stonewash (Continuous) Uncoated Stone</t>
  </si>
  <si>
    <t>Mokum Obi Stonewash (Continuous) Uncoated TBA</t>
  </si>
  <si>
    <t>Mokum Obi Stonewash (Continuous) Uncoated Willow</t>
  </si>
  <si>
    <t>Zepel Kidglove (Drop) Uncoated Linen</t>
  </si>
  <si>
    <t>Zepel Kidglove (Drop) Uncoated Moss</t>
  </si>
  <si>
    <t>Hoad Aspen (Continuous) Uncoated Charcoal</t>
  </si>
  <si>
    <t>Hoad Aspen (Continuous) Uncoated Cloud</t>
  </si>
  <si>
    <t>Hoad Aspen (Continuous) Uncoated Natural</t>
  </si>
  <si>
    <t>Hoad Aspen (Continuous) Uncoated Ore</t>
  </si>
  <si>
    <t>Hoad Aspen (Continuous) Uncoated PFP</t>
  </si>
  <si>
    <t>Hoad Aspen (Continuous) Uncoated White</t>
  </si>
  <si>
    <t>Hoad Aspen (Continuous) Uncoated TBA</t>
  </si>
  <si>
    <t>Mokum Reverie (Continuous) Sheer Chalk</t>
  </si>
  <si>
    <t>60% Linen, 40% Polyester</t>
  </si>
  <si>
    <t>Hoad Flaxen (Continuous) Sheer Linen</t>
  </si>
  <si>
    <t>b34fa3b3-4eab-4f02-b2f7-eff852375a6e</t>
  </si>
  <si>
    <t>e80b94b3-975f-4736-bac1-138caadfe50e</t>
  </si>
  <si>
    <t>Whole House</t>
  </si>
  <si>
    <t>12/08/2026 12:00:00 AM</t>
  </si>
  <si>
    <t>12/08/2026 2:01:40 PM</t>
  </si>
  <si>
    <t>13/10/2026 12:00:00 AM</t>
  </si>
  <si>
    <t>39776</t>
  </si>
  <si>
    <t>F</t>
  </si>
  <si>
    <t>HARE3350.32</t>
  </si>
  <si>
    <t>Hare, Kaitlin</t>
  </si>
  <si>
    <t>219</t>
  </si>
  <si>
    <t xml:space="preserve">Wendouree Parade </t>
  </si>
  <si>
    <t>Lake Wendouree</t>
  </si>
  <si>
    <t>VIC</t>
  </si>
  <si>
    <t>3350</t>
  </si>
  <si>
    <t>Australia</t>
  </si>
  <si>
    <t>0457006696</t>
  </si>
  <si>
    <t>Head Office</t>
  </si>
  <si>
    <t>Kate Coffey</t>
  </si>
  <si>
    <t>kate@davidsonsblinds.com.au</t>
  </si>
  <si>
    <t>Wendouree</t>
  </si>
  <si>
    <t>Kaitlin</t>
  </si>
  <si>
    <t>Hare</t>
  </si>
  <si>
    <t>Retail Customer</t>
  </si>
  <si>
    <t>mark@davidsonsblinds.com.au</t>
  </si>
  <si>
    <t>Unassigned installer 1</t>
  </si>
  <si>
    <t>U</t>
  </si>
  <si>
    <t>True</t>
  </si>
  <si>
    <t>39776.D - Rework - Kaitlin confirmed via email to book in with rest of order when it arrives - 25/5 Crystal</t>
  </si>
  <si>
    <t>f2071652-5067-4b28-90d9-29574d319fef</t>
  </si>
  <si>
    <t>Curtains</t>
  </si>
  <si>
    <t>Study ALTERATION</t>
  </si>
  <si>
    <t>Alteration to curtain drop</t>
  </si>
  <si>
    <t>CURT-M460-T3176-T4</t>
  </si>
  <si>
    <t>CURT Nettex Brunswick (Continuous) Uncoated Talc</t>
  </si>
  <si>
    <t>Orders - Curtains</t>
  </si>
  <si>
    <t>Nettex</t>
  </si>
  <si>
    <t>Brunswick (Continuous) Uncoated</t>
  </si>
  <si>
    <t>Talc</t>
  </si>
  <si>
    <t>0</t>
  </si>
  <si>
    <t>f2071652-5067-4b28-90d9-29574d319fef|DESCN</t>
  </si>
  <si>
    <t>36ecdfdb-a33f-4a58-81a9-51501b24c5e3</t>
  </si>
  <si>
    <t>DESCN</t>
  </si>
  <si>
    <t>f2071652-5067-4b28-90d9-29574d319fef|SINGLE</t>
  </si>
  <si>
    <t>5aa177b6-b981-4681-b658-12cab47ee5ca</t>
  </si>
  <si>
    <t>SINGLE</t>
  </si>
  <si>
    <t>f2071652-5067-4b28-90d9-29574d319fef|ITEMWIDTH</t>
  </si>
  <si>
    <t>6b4341fc-cac8-4cb3-8d49-5098fc4de0f8</t>
  </si>
  <si>
    <t>ITEMWIDTH</t>
  </si>
  <si>
    <t>3640</t>
  </si>
  <si>
    <t>f2071652-5067-4b28-90d9-29574d319fef|ITEMHEIGHT</t>
  </si>
  <si>
    <t>fee5097a-3163-4b0b-bd2e-ad649b27fc52</t>
  </si>
  <si>
    <t>ITEMHEIGHT</t>
  </si>
  <si>
    <t>2655</t>
  </si>
  <si>
    <t>f2071652-5067-4b28-90d9-29574d319fef|SIZE</t>
  </si>
  <si>
    <t>d870dbe6-d1d0-4211-ab8d-185367b6bd28</t>
  </si>
  <si>
    <t>SIZE</t>
  </si>
  <si>
    <t>f2071652-5067-4b28-90d9-29574d319fef|DROPSIZE</t>
  </si>
  <si>
    <t>0e0b6ae2-85e0-4a6f-a16e-0c1ab7f1d53a</t>
  </si>
  <si>
    <t>DROPSIZE</t>
  </si>
  <si>
    <t>f2071652-5067-4b28-90d9-29574d319fef|FIT</t>
  </si>
  <si>
    <t>b8fc80bc-7642-441d-8d00-7a831aa13abd</t>
  </si>
  <si>
    <t>FIT</t>
  </si>
  <si>
    <t>f2071652-5067-4b28-90d9-29574d319fef|FIXING</t>
  </si>
  <si>
    <t>d1d0de7f-34a7-47ff-b25e-da3da557be9f</t>
  </si>
  <si>
    <t>FIXING</t>
  </si>
  <si>
    <t>Plaster</t>
  </si>
  <si>
    <t>f2071652-5067-4b28-90d9-29574d319fef|MEASUREDAS</t>
  </si>
  <si>
    <t>0f3f961d-df63-419c-887b-a2eff8859e74</t>
  </si>
  <si>
    <t>MEASUREDAS</t>
  </si>
  <si>
    <t>Cornice to Floor</t>
  </si>
  <si>
    <t>f2071652-5067-4b28-90d9-29574d319fef|FLOORING</t>
  </si>
  <si>
    <t>afa711f0-c894-4ff4-8ef0-2f9756561c47</t>
  </si>
  <si>
    <t>FLOORING</t>
  </si>
  <si>
    <t>f2071652-5067-4b28-90d9-29574d319fef|HEIGHTOFFFLOOR</t>
  </si>
  <si>
    <t>c0add992-3f88-4954-9f7b-5df743a6c0f5</t>
  </si>
  <si>
    <t>HEIGHTOFFFLOOR</t>
  </si>
  <si>
    <t>f2071652-5067-4b28-90d9-29574d319fef|CURTAIN</t>
  </si>
  <si>
    <t>787537a4-111b-486a-b107-694dfb2d7b55</t>
  </si>
  <si>
    <t>CURTAIN</t>
  </si>
  <si>
    <t>f2071652-5067-4b28-90d9-29574d319fef|HEADINGSTYLE</t>
  </si>
  <si>
    <t>b48f9aa4-c1f2-4fef-be89-cc893accde05</t>
  </si>
  <si>
    <t>HEADINGSTYLE</t>
  </si>
  <si>
    <t>f2071652-5067-4b28-90d9-29574d319fef|TAPE</t>
  </si>
  <si>
    <t>741165bf-31ad-45ec-b476-0f37ffa3197a</t>
  </si>
  <si>
    <t>TAPE</t>
  </si>
  <si>
    <t>75mm Clear Tape</t>
  </si>
  <si>
    <t>f2071652-5067-4b28-90d9-29574d319fef|HOOK</t>
  </si>
  <si>
    <t>77da040a-a19a-4f47-ac9f-7e7c9fab2bd0</t>
  </si>
  <si>
    <t>HOOK</t>
  </si>
  <si>
    <t>f2071652-5067-4b28-90d9-29574d319fef|HEM</t>
  </si>
  <si>
    <t>270a7435-38b2-41ea-8b26-dccb8aafcca5</t>
  </si>
  <si>
    <t>HEM</t>
  </si>
  <si>
    <t>Standard 75mm</t>
  </si>
  <si>
    <t>f2071652-5067-4b28-90d9-29574d319fef|RETURNS</t>
  </si>
  <si>
    <t>2730d9e5-d5d4-4427-ad17-5aa593f699d4</t>
  </si>
  <si>
    <t>RETURNS</t>
  </si>
  <si>
    <t>f2071652-5067-4b28-90d9-29574d319fef|TRACKTYPE</t>
  </si>
  <si>
    <t>499ec2c1-a624-4c9f-97f6-e18a6fa3df80</t>
  </si>
  <si>
    <t>TRACKTYPE</t>
  </si>
  <si>
    <t>f2071652-5067-4b28-90d9-29574d319fef|TRACKCOLOUR</t>
  </si>
  <si>
    <t>bd5578d8-05ee-4f91-a0b9-b79c1358e1af</t>
  </si>
  <si>
    <t>TRACKCOLOUR</t>
  </si>
  <si>
    <t>f2071652-5067-4b28-90d9-29574d319fef|CORDOP</t>
  </si>
  <si>
    <t>8834cf85-2c41-47ff-8f5c-8646982102ec</t>
  </si>
  <si>
    <t>CORDOP</t>
  </si>
  <si>
    <t>Hand Operation</t>
  </si>
  <si>
    <t>f2071652-5067-4b28-90d9-29574d319fef|OPENING</t>
  </si>
  <si>
    <t>c34968ff-aca2-479a-92cd-e1ec26478a19</t>
  </si>
  <si>
    <t>OPENING</t>
  </si>
  <si>
    <t>f2071652-5067-4b28-90d9-29574d319fef|BRACKETS</t>
  </si>
  <si>
    <t>f9d5739a-f88e-4231-8bbd-560cdf2fd1f0</t>
  </si>
  <si>
    <t>BRACKETS</t>
  </si>
  <si>
    <t>f2071652-5067-4b28-90d9-29574d319fef|FLICKSTICKS</t>
  </si>
  <si>
    <t>f2c934eb-9963-457d-b9da-19bc0747b255</t>
  </si>
  <si>
    <t>FLICKSTICKS</t>
  </si>
  <si>
    <t>f2071652-5067-4b28-90d9-29574d319fef|TRACKSHAPE</t>
  </si>
  <si>
    <t>5dd3d79d-04e1-4e8c-8284-4b2c51ed44b8</t>
  </si>
  <si>
    <t>TRACKSHAPE</t>
  </si>
  <si>
    <t>f2071652-5067-4b28-90d9-29574d319fef|BENDS</t>
  </si>
  <si>
    <t>fefa869d-d254-4bd7-b3d4-d3801e7e0c30</t>
  </si>
  <si>
    <t>BENDS</t>
  </si>
  <si>
    <t>1</t>
  </si>
  <si>
    <t>f2071652-5067-4b28-90d9-29574d319fef|1STBENDSH</t>
  </si>
  <si>
    <t>c7dc115e-4c87-4774-a078-70f29897f5fd</t>
  </si>
  <si>
    <t>1STBENDSH</t>
  </si>
  <si>
    <t>Internal</t>
  </si>
  <si>
    <t>f2071652-5067-4b28-90d9-29574d319fef|1STBEND</t>
  </si>
  <si>
    <t>e9258d43-3d5e-49dd-b5de-d9b8c667bd26</t>
  </si>
  <si>
    <t>1STBEND</t>
  </si>
  <si>
    <t>1810</t>
  </si>
  <si>
    <t>f2071652-5067-4b28-90d9-29574d319fef|1STBENDA</t>
  </si>
  <si>
    <t>5f9f3dcb-e45c-497b-a006-292934515f4d</t>
  </si>
  <si>
    <t>1STBENDA</t>
  </si>
  <si>
    <t>90</t>
  </si>
  <si>
    <t>f2071652-5067-4b28-90d9-29574d319fef|SIDEBYSIDE</t>
  </si>
  <si>
    <t>02af1172-d8fa-4df6-87d0-ce9f0545db3f</t>
  </si>
  <si>
    <t>SIDEBYSIDE</t>
  </si>
  <si>
    <t>f2071652-5067-4b28-90d9-29574d319fef|PELTYPE</t>
  </si>
  <si>
    <t>0c383c22-9da6-4a93-bc1b-3d8096428d23</t>
  </si>
  <si>
    <t>PELTYPE</t>
  </si>
  <si>
    <t>f2071652-5067-4b28-90d9-29574d319fef|TIEBACKS</t>
  </si>
  <si>
    <t>7c159ce2-96cc-4124-9bb1-e4ec98b39b17</t>
  </si>
  <si>
    <t>TIEBACKS</t>
  </si>
  <si>
    <t>f2071652-5067-4b28-90d9-29574d319fef|INSTALLATION</t>
  </si>
  <si>
    <t>e54d3e3c-c319-4526-bb45-d98fbc8f7cb2</t>
  </si>
  <si>
    <t>INSTALLATION</t>
  </si>
  <si>
    <t>Curtain &amp; Track Installation</t>
  </si>
  <si>
    <t>f2071652-5067-4b28-90d9-29574d319fef|HANGHEIGHT</t>
  </si>
  <si>
    <t>d2eb4f30-dd13-4b14-9674-97156099ed6f</t>
  </si>
  <si>
    <t>HANGHEIGHT</t>
  </si>
  <si>
    <t>2.4m-2.7m</t>
  </si>
  <si>
    <t>f2071652-5067-4b28-90d9-29574d319fef|INSTALLG</t>
  </si>
  <si>
    <t>d2f0de92-b921-413e-8ce6-e848ed1a6828</t>
  </si>
  <si>
    <t>INSTALLG</t>
  </si>
  <si>
    <t>Occupied Home</t>
  </si>
  <si>
    <t>f2071652-5067-4b28-90d9-29574d319fef|TAKEDOWN</t>
  </si>
  <si>
    <t>e6801273-d5cb-4caa-84da-22437232fffb</t>
  </si>
  <si>
    <t>TAKEDOWN</t>
  </si>
  <si>
    <t>f2071652-5067-4b28-90d9-29574d319fef|CHECKM</t>
  </si>
  <si>
    <t>8d566746-5be5-4649-8846-b609b8cbb8d0</t>
  </si>
  <si>
    <t>CHECKM</t>
  </si>
  <si>
    <t>f2071652-5067-4b28-90d9-29574d319fef|EXTRACOSTS</t>
  </si>
  <si>
    <t>ab786405-befa-4b20-8493-42dde15f06c3</t>
  </si>
  <si>
    <t>EXTRACOSTS</t>
  </si>
  <si>
    <t>$40</t>
  </si>
  <si>
    <t>f2071652-5067-4b28-90d9-29574d319fef|NOTES</t>
  </si>
  <si>
    <t>7863cfbd-a9b6-4772-a039-64becde33c38</t>
  </si>
  <si>
    <t>NOTES</t>
  </si>
  <si>
    <t>f2071652-5067-4b28-90d9-29574d319fef|LABOUR</t>
  </si>
  <si>
    <t>14a83496-a43b-4696-8941-b4ba78c67746</t>
  </si>
  <si>
    <t>LABOUR</t>
  </si>
  <si>
    <t>S-Fold Unlined</t>
  </si>
  <si>
    <t>d2fbfc67-028f-4332-b9c9-8055b225ee6b</t>
  </si>
  <si>
    <t>Hallway Door (IN) ALTERATION</t>
  </si>
  <si>
    <t>d2fbfc67-028f-4332-b9c9-8055b225ee6b|DESCN</t>
  </si>
  <si>
    <t>470373ae-42f1-4081-942f-1c3aae906114</t>
  </si>
  <si>
    <t>d2fbfc67-028f-4332-b9c9-8055b225ee6b|SINGLE</t>
  </si>
  <si>
    <t>34e9f516-97f3-470d-be90-58a049a576d6</t>
  </si>
  <si>
    <t>d2fbfc67-028f-4332-b9c9-8055b225ee6b|ITEMWIDTH</t>
  </si>
  <si>
    <t>4cd677d9-47cc-4dc8-ab15-4a92a4921941</t>
  </si>
  <si>
    <t>2600</t>
  </si>
  <si>
    <t>d2fbfc67-028f-4332-b9c9-8055b225ee6b|ITEMHEIGHT</t>
  </si>
  <si>
    <t>0adc7b8a-eed2-4ca7-b9e1-90ec3bafc119</t>
  </si>
  <si>
    <t>2455</t>
  </si>
  <si>
    <t>d2fbfc67-028f-4332-b9c9-8055b225ee6b|SIZE</t>
  </si>
  <si>
    <t>f0f3686b-3b9a-439b-8afa-ecc915ac27c9</t>
  </si>
  <si>
    <t>d2fbfc67-028f-4332-b9c9-8055b225ee6b|DROPSIZE</t>
  </si>
  <si>
    <t>bcf7ead1-63d2-4f46-a4a4-9024e0644ff7</t>
  </si>
  <si>
    <t>d2fbfc67-028f-4332-b9c9-8055b225ee6b|FIT</t>
  </si>
  <si>
    <t>50fb7cf0-e3df-4510-881a-d8d4de8b734d</t>
  </si>
  <si>
    <t>d2fbfc67-028f-4332-b9c9-8055b225ee6b|FIXING</t>
  </si>
  <si>
    <t>77f74043-1a40-430c-ad03-c99e7c9d68bf</t>
  </si>
  <si>
    <t>d2fbfc67-028f-4332-b9c9-8055b225ee6b|MEASUREDAS</t>
  </si>
  <si>
    <t>982e7500-eac2-478b-a752-9ed25853e542</t>
  </si>
  <si>
    <t>Top of Arc to Floor</t>
  </si>
  <si>
    <t>d2fbfc67-028f-4332-b9c9-8055b225ee6b|FLOORING</t>
  </si>
  <si>
    <t>e0f88b3c-b3d9-4edd-9c4d-7ef40c6ccc06</t>
  </si>
  <si>
    <t>d2fbfc67-028f-4332-b9c9-8055b225ee6b|HEIGHTOFFFLOOR</t>
  </si>
  <si>
    <t>a03e2f7b-1f33-4e8e-9f73-27de1233b804</t>
  </si>
  <si>
    <t>d2fbfc67-028f-4332-b9c9-8055b225ee6b|CURTAIN</t>
  </si>
  <si>
    <t>c47f12f2-621f-49f6-967c-479252701856</t>
  </si>
  <si>
    <t>d2fbfc67-028f-4332-b9c9-8055b225ee6b|HEADINGSTYLE</t>
  </si>
  <si>
    <t>316f46f0-bfd0-4ba0-84c8-606fd5d27305</t>
  </si>
  <si>
    <t>d2fbfc67-028f-4332-b9c9-8055b225ee6b|TAPE</t>
  </si>
  <si>
    <t>86caa1e1-f943-4e7c-a799-367d6fb1d75f</t>
  </si>
  <si>
    <t>d2fbfc67-028f-4332-b9c9-8055b225ee6b|HOOK</t>
  </si>
  <si>
    <t>987632f1-1920-49a0-a049-c4c11b2239b9</t>
  </si>
  <si>
    <t>d2fbfc67-028f-4332-b9c9-8055b225ee6b|HEM</t>
  </si>
  <si>
    <t>8ad59c30-91ce-4870-b00e-141c11d36ecd</t>
  </si>
  <si>
    <t>d2fbfc67-028f-4332-b9c9-8055b225ee6b|RETURNS</t>
  </si>
  <si>
    <t>7c0a5f25-8ddd-4073-9cf7-aef9709ee7ab</t>
  </si>
  <si>
    <t>d2fbfc67-028f-4332-b9c9-8055b225ee6b|TRACKTYPE</t>
  </si>
  <si>
    <t>d5e1c3de-17fc-4209-8a91-4ff281a618ed</t>
  </si>
  <si>
    <t>d2fbfc67-028f-4332-b9c9-8055b225ee6b|TRACKCOLOUR</t>
  </si>
  <si>
    <t>0ba4cc40-d700-4802-8a18-5d74fba7b3a7</t>
  </si>
  <si>
    <t>d2fbfc67-028f-4332-b9c9-8055b225ee6b|CORDOP</t>
  </si>
  <si>
    <t>8234ced1-78a2-4904-b82e-1b0b6a5d7143</t>
  </si>
  <si>
    <t>d2fbfc67-028f-4332-b9c9-8055b225ee6b|OPENING</t>
  </si>
  <si>
    <t>2f698789-83b5-49d2-a76c-ff04a848a054</t>
  </si>
  <si>
    <t>d2fbfc67-028f-4332-b9c9-8055b225ee6b|BRACKETS</t>
  </si>
  <si>
    <t>8e757e89-de32-46d5-9822-b641d5b15d43</t>
  </si>
  <si>
    <t>d2fbfc67-028f-4332-b9c9-8055b225ee6b|FLICKSTICKS</t>
  </si>
  <si>
    <t>63238805-7678-4889-a151-897392d7ae28</t>
  </si>
  <si>
    <t>d2fbfc67-028f-4332-b9c9-8055b225ee6b|TRACKSHAPE</t>
  </si>
  <si>
    <t>37c9b522-e112-4387-9518-0d4675114db7</t>
  </si>
  <si>
    <t>d2fbfc67-028f-4332-b9c9-8055b225ee6b|SIDEBYSIDE</t>
  </si>
  <si>
    <t>a50c03bc-9326-4ba6-8466-252bae034aae</t>
  </si>
  <si>
    <t>d2fbfc67-028f-4332-b9c9-8055b225ee6b|PELTYPE</t>
  </si>
  <si>
    <t>b6312afe-ec79-44bc-aaaf-a80d204536e7</t>
  </si>
  <si>
    <t>d2fbfc67-028f-4332-b9c9-8055b225ee6b|TIEBACKS</t>
  </si>
  <si>
    <t>40701982-13cc-4827-85a9-4ab65b6dd0f9</t>
  </si>
  <si>
    <t>d2fbfc67-028f-4332-b9c9-8055b225ee6b|INSTALLATION</t>
  </si>
  <si>
    <t>5c639c9a-1bb7-4d68-9a52-77612c9905cb</t>
  </si>
  <si>
    <t>d2fbfc67-028f-4332-b9c9-8055b225ee6b|HANGHEIGHT</t>
  </si>
  <si>
    <t>389760f5-6460-4157-b2ea-59eebee4829b</t>
  </si>
  <si>
    <t>2.1m-2.4m</t>
  </si>
  <si>
    <t>d2fbfc67-028f-4332-b9c9-8055b225ee6b|INSTALLG</t>
  </si>
  <si>
    <t>5d9e14c5-c788-4df0-925e-44d98fe0a85a</t>
  </si>
  <si>
    <t>d2fbfc67-028f-4332-b9c9-8055b225ee6b|TAKEDOWN</t>
  </si>
  <si>
    <t>a2ad05f7-89d5-4329-bc2f-0e7a628a962a</t>
  </si>
  <si>
    <t>d2fbfc67-028f-4332-b9c9-8055b225ee6b|CHECKM</t>
  </si>
  <si>
    <t>9fa3649d-6f2a-4dde-8935-06e22a1154b3</t>
  </si>
  <si>
    <t>d2fbfc67-028f-4332-b9c9-8055b225ee6b|EXTRACOSTS</t>
  </si>
  <si>
    <t>c1a94c65-69ee-4fca-83f9-bb806b67cee7</t>
  </si>
  <si>
    <t>d2fbfc67-028f-4332-b9c9-8055b225ee6b|NOTES</t>
  </si>
  <si>
    <t>25b98c12-bf9b-4615-867a-a2479005056b</t>
  </si>
  <si>
    <t>d2fbfc67-028f-4332-b9c9-8055b225ee6b|LABOUR</t>
  </si>
  <si>
    <t>dcc188f0-bf0f-48e0-8e82-a24ea521846f</t>
  </si>
  <si>
    <t>fc7f01fe-453e-4c7f-beab-557b21684306</t>
  </si>
  <si>
    <t>Master Door ALTERATION</t>
  </si>
  <si>
    <t>fc7f01fe-453e-4c7f-beab-557b21684306|DESCN</t>
  </si>
  <si>
    <t>2d743cf7-42b8-48b1-a785-9779387bcc20</t>
  </si>
  <si>
    <t>fc7f01fe-453e-4c7f-beab-557b21684306|SINGLE</t>
  </si>
  <si>
    <t>f44e2314-2e25-4215-82ab-b3de02938d26</t>
  </si>
  <si>
    <t>fc7f01fe-453e-4c7f-beab-557b21684306|ITEMWIDTH</t>
  </si>
  <si>
    <t>ec49aa3e-d66e-4cfa-8333-f62a5cfc0ac4</t>
  </si>
  <si>
    <t>3502</t>
  </si>
  <si>
    <t>fc7f01fe-453e-4c7f-beab-557b21684306|ITEMHEIGHT</t>
  </si>
  <si>
    <t>7b714c63-383c-45cf-a058-dcb436c71783</t>
  </si>
  <si>
    <t>2660</t>
  </si>
  <si>
    <t>fc7f01fe-453e-4c7f-beab-557b21684306|SIZE</t>
  </si>
  <si>
    <t>377cdf47-5890-4a4e-b461-375804a768c0</t>
  </si>
  <si>
    <t>fc7f01fe-453e-4c7f-beab-557b21684306|DROPSIZE</t>
  </si>
  <si>
    <t>8a5e02fc-1ee8-4f15-970f-73c8a789a907</t>
  </si>
  <si>
    <t>fc7f01fe-453e-4c7f-beab-557b21684306|FIT</t>
  </si>
  <si>
    <t>297e05d5-cadf-47db-a907-d5bad9056b8c</t>
  </si>
  <si>
    <t>fc7f01fe-453e-4c7f-beab-557b21684306|FIXING</t>
  </si>
  <si>
    <t>bd5593d6-118b-4e99-9e15-1030f09f9b70</t>
  </si>
  <si>
    <t>fc7f01fe-453e-4c7f-beab-557b21684306|MEASUREDAS</t>
  </si>
  <si>
    <t>88358676-1c2e-44f8-8662-a10070dee2ef</t>
  </si>
  <si>
    <t>fc7f01fe-453e-4c7f-beab-557b21684306|FLOORING</t>
  </si>
  <si>
    <t>e5010325-81ae-4535-8acf-b83420924fcd</t>
  </si>
  <si>
    <t>fc7f01fe-453e-4c7f-beab-557b21684306|HEIGHTOFFFLOOR</t>
  </si>
  <si>
    <t>56dea49b-98f2-43b9-b1a3-b13402571da4</t>
  </si>
  <si>
    <t>fc7f01fe-453e-4c7f-beab-557b21684306|CURTAIN</t>
  </si>
  <si>
    <t>36c14048-27f5-446f-bec4-3243c0d96957</t>
  </si>
  <si>
    <t>fc7f01fe-453e-4c7f-beab-557b21684306|HEADINGSTYLE</t>
  </si>
  <si>
    <t>b360e9cc-a2b2-4b38-a15a-12abab6897f6</t>
  </si>
  <si>
    <t>fc7f01fe-453e-4c7f-beab-557b21684306|TAPE</t>
  </si>
  <si>
    <t>df3e898b-38e4-4390-9e94-f37e84c22db5</t>
  </si>
  <si>
    <t>fc7f01fe-453e-4c7f-beab-557b21684306|HOOK</t>
  </si>
  <si>
    <t>4f9d4ed0-d27b-4750-aa5d-a003931ef9dc</t>
  </si>
  <si>
    <t>fc7f01fe-453e-4c7f-beab-557b21684306|HEM</t>
  </si>
  <si>
    <t>a4728a13-2476-4319-9055-426a5c80d42d</t>
  </si>
  <si>
    <t>fc7f01fe-453e-4c7f-beab-557b21684306|RETURNS</t>
  </si>
  <si>
    <t>3b6843e0-8aef-4d51-9eb9-cb669746316f</t>
  </si>
  <si>
    <t>fc7f01fe-453e-4c7f-beab-557b21684306|TRACKTYPE</t>
  </si>
  <si>
    <t>407a13dd-a917-4ef4-9fd7-098d7050748c</t>
  </si>
  <si>
    <t>fc7f01fe-453e-4c7f-beab-557b21684306|TRACKCOLOUR</t>
  </si>
  <si>
    <t>d6baebc5-1944-403a-8c70-0a67b91228e9</t>
  </si>
  <si>
    <t>fc7f01fe-453e-4c7f-beab-557b21684306|CORDOP</t>
  </si>
  <si>
    <t>8f7f04e5-a9dc-4f33-8182-a42b91713d9d</t>
  </si>
  <si>
    <t>fc7f01fe-453e-4c7f-beab-557b21684306|OPENING</t>
  </si>
  <si>
    <t>f21a9502-33ca-4244-95f7-5cf630023104</t>
  </si>
  <si>
    <t>fc7f01fe-453e-4c7f-beab-557b21684306|BRACKETS</t>
  </si>
  <si>
    <t>c14274cc-1a54-4fc8-b356-2ad1ce251b09</t>
  </si>
  <si>
    <t>fc7f01fe-453e-4c7f-beab-557b21684306|FLICKSTICKS</t>
  </si>
  <si>
    <t>dc177224-ad41-4267-926c-06df1021ceda</t>
  </si>
  <si>
    <t>fc7f01fe-453e-4c7f-beab-557b21684306|TRACKSHAPE</t>
  </si>
  <si>
    <t>7c032625-792c-4fa5-b509-2ee293c814d1</t>
  </si>
  <si>
    <t>fc7f01fe-453e-4c7f-beab-557b21684306|SIDEBYSIDE</t>
  </si>
  <si>
    <t>54f491e4-3f03-414b-a5f0-7c71be819ce1</t>
  </si>
  <si>
    <t>fc7f01fe-453e-4c7f-beab-557b21684306|PELTYPE</t>
  </si>
  <si>
    <t>f3c02e15-9194-46ca-909e-44234b80b5ac</t>
  </si>
  <si>
    <t>fc7f01fe-453e-4c7f-beab-557b21684306|TIEBACKS</t>
  </si>
  <si>
    <t>518d45ef-1acb-4223-8697-e8e654201706</t>
  </si>
  <si>
    <t>fc7f01fe-453e-4c7f-beab-557b21684306|INSTALLATION</t>
  </si>
  <si>
    <t>1096f578-94c3-4c27-a151-00d11ad04e83</t>
  </si>
  <si>
    <t>fc7f01fe-453e-4c7f-beab-557b21684306|HANGHEIGHT</t>
  </si>
  <si>
    <t>6a08ba56-42e8-4430-a476-5186417988e1</t>
  </si>
  <si>
    <t>fc7f01fe-453e-4c7f-beab-557b21684306|INSTALLG</t>
  </si>
  <si>
    <t>b34f3f56-081f-45bf-8d3e-af411ead0e0f</t>
  </si>
  <si>
    <t>fc7f01fe-453e-4c7f-beab-557b21684306|TAKEDOWN</t>
  </si>
  <si>
    <t>1697c846-f977-4ca6-89b3-fa5f4e10a7f4</t>
  </si>
  <si>
    <t>fc7f01fe-453e-4c7f-beab-557b21684306|CHECKM</t>
  </si>
  <si>
    <t>f7316d3a-0d2b-4ceb-8224-9b54e2a49112</t>
  </si>
  <si>
    <t>fc7f01fe-453e-4c7f-beab-557b21684306|EXTRACOSTS</t>
  </si>
  <si>
    <t>0b0ef4dd-6898-4ac1-a582-9462618849d5</t>
  </si>
  <si>
    <t>fc7f01fe-453e-4c7f-beab-557b21684306|NOTES</t>
  </si>
  <si>
    <t>5f569abe-9bcc-48d7-9c93-39e968f3cf01</t>
  </si>
  <si>
    <t>fc7f01fe-453e-4c7f-beab-557b21684306|LABOUR</t>
  </si>
  <si>
    <t>51588b7f-68df-427f-80c6-4942d4c2d3b3</t>
  </si>
  <si>
    <t>12e55ad0-8967-4c2d-b1b7-af4ebcc705a5</t>
  </si>
  <si>
    <t>Bed 2 ALTERATION</t>
  </si>
  <si>
    <t>12e55ad0-8967-4c2d-b1b7-af4ebcc705a5|DESCN</t>
  </si>
  <si>
    <t>70c8d8db-6cc2-4c45-a8e2-dd9633b73c71</t>
  </si>
  <si>
    <t>12e55ad0-8967-4c2d-b1b7-af4ebcc705a5|SINGLE</t>
  </si>
  <si>
    <t>44213cba-a4c8-4230-af56-ebc92b09b07b</t>
  </si>
  <si>
    <t>12e55ad0-8967-4c2d-b1b7-af4ebcc705a5|ITEMWIDTH</t>
  </si>
  <si>
    <t>33a2d020-966b-4083-a71c-6810dc9ea081</t>
  </si>
  <si>
    <t>3380</t>
  </si>
  <si>
    <t>12e55ad0-8967-4c2d-b1b7-af4ebcc705a5|ITEMHEIGHT</t>
  </si>
  <si>
    <t>1975acf6-f582-4fd9-a1e2-3abb999b8183</t>
  </si>
  <si>
    <t>12e55ad0-8967-4c2d-b1b7-af4ebcc705a5|SIZE</t>
  </si>
  <si>
    <t>7f04e928-fcec-43bb-8b04-737a10d69a02</t>
  </si>
  <si>
    <t>12e55ad0-8967-4c2d-b1b7-af4ebcc705a5|DROPSIZE</t>
  </si>
  <si>
    <t>2c361609-13a8-45ed-8b6f-ea42f95771bf</t>
  </si>
  <si>
    <t>12e55ad0-8967-4c2d-b1b7-af4ebcc705a5|FIT</t>
  </si>
  <si>
    <t>db083512-10c2-4f15-9da4-4daefe15456f</t>
  </si>
  <si>
    <t>12e55ad0-8967-4c2d-b1b7-af4ebcc705a5|FIXING</t>
  </si>
  <si>
    <t>adf3a1ff-9022-4540-af54-65243142ce4a</t>
  </si>
  <si>
    <t>12e55ad0-8967-4c2d-b1b7-af4ebcc705a5|MEASUREDAS</t>
  </si>
  <si>
    <t>b5b33b09-1300-489c-849d-5bb9ddd3bfb8</t>
  </si>
  <si>
    <t>12e55ad0-8967-4c2d-b1b7-af4ebcc705a5|FLOORING</t>
  </si>
  <si>
    <t>5f430d49-8bf0-435a-b0d6-1b52ec1fe538</t>
  </si>
  <si>
    <t>12e55ad0-8967-4c2d-b1b7-af4ebcc705a5|HEIGHTOFFFLOOR</t>
  </si>
  <si>
    <t>a5ea2cc5-0dfc-43b6-87d3-4b396602d672</t>
  </si>
  <si>
    <t>12e55ad0-8967-4c2d-b1b7-af4ebcc705a5|CURTAIN</t>
  </si>
  <si>
    <t>5e4725ad-287a-498d-8e5c-b7a9c58f490d</t>
  </si>
  <si>
    <t>12e55ad0-8967-4c2d-b1b7-af4ebcc705a5|HEADINGSTYLE</t>
  </si>
  <si>
    <t>bfae3dbe-321b-4be6-bd50-57060bc66ee8</t>
  </si>
  <si>
    <t>12e55ad0-8967-4c2d-b1b7-af4ebcc705a5|TAPE</t>
  </si>
  <si>
    <t>95759743-22a8-4087-919f-ce5a31c80dc1</t>
  </si>
  <si>
    <t>12e55ad0-8967-4c2d-b1b7-af4ebcc705a5|HOOK</t>
  </si>
  <si>
    <t>aebde709-36a5-4d02-94b6-08997a1eb7b8</t>
  </si>
  <si>
    <t>12e55ad0-8967-4c2d-b1b7-af4ebcc705a5|HEM</t>
  </si>
  <si>
    <t>29643518-5b55-4b75-ab77-b3976c12e585</t>
  </si>
  <si>
    <t>12e55ad0-8967-4c2d-b1b7-af4ebcc705a5|RETURNS</t>
  </si>
  <si>
    <t>5b298bff-6bac-44a6-bba2-acc611bebb61</t>
  </si>
  <si>
    <t>12e55ad0-8967-4c2d-b1b7-af4ebcc705a5|TRACKTYPE</t>
  </si>
  <si>
    <t>7251b816-6539-4f8e-aea0-f1e8c1f93eff</t>
  </si>
  <si>
    <t>12e55ad0-8967-4c2d-b1b7-af4ebcc705a5|TRACKCOLOUR</t>
  </si>
  <si>
    <t>a2999975-c463-42ec-b5c5-5f35f2062f29</t>
  </si>
  <si>
    <t>12e55ad0-8967-4c2d-b1b7-af4ebcc705a5|CORDOP</t>
  </si>
  <si>
    <t>69ac18f5-9d6f-4ece-9413-ebbe0788273b</t>
  </si>
  <si>
    <t>12e55ad0-8967-4c2d-b1b7-af4ebcc705a5|OPENING</t>
  </si>
  <si>
    <t>f89daf1e-877b-44cf-b448-2c5bcf58ef6e</t>
  </si>
  <si>
    <t>12e55ad0-8967-4c2d-b1b7-af4ebcc705a5|BRACKETS</t>
  </si>
  <si>
    <t>60498bd7-f028-4d0e-984f-aa40fdf7a0b4</t>
  </si>
  <si>
    <t>12e55ad0-8967-4c2d-b1b7-af4ebcc705a5|FLICKSTICKS</t>
  </si>
  <si>
    <t>1ad46763-16fd-4a8b-926a-4fc1a9361513</t>
  </si>
  <si>
    <t>12e55ad0-8967-4c2d-b1b7-af4ebcc705a5|TRACKSHAPE</t>
  </si>
  <si>
    <t>c3f29d70-a006-4ae4-bdf0-06be88301f4b</t>
  </si>
  <si>
    <t>12e55ad0-8967-4c2d-b1b7-af4ebcc705a5|SIDEBYSIDE</t>
  </si>
  <si>
    <t>e3376899-c6f5-461c-8f58-2f688e85b6ec</t>
  </si>
  <si>
    <t>12e55ad0-8967-4c2d-b1b7-af4ebcc705a5|PELTYPE</t>
  </si>
  <si>
    <t>73c2ec2a-d062-4427-b7c8-a94643ded250</t>
  </si>
  <si>
    <t>12e55ad0-8967-4c2d-b1b7-af4ebcc705a5|TIEBACKS</t>
  </si>
  <si>
    <t>b9a63e79-2023-473c-a8d7-dfc2c2ca9b73</t>
  </si>
  <si>
    <t>12e55ad0-8967-4c2d-b1b7-af4ebcc705a5|INSTALLATION</t>
  </si>
  <si>
    <t>da2657ff-a4bf-4b4f-9fe2-dcbc77d5fec0</t>
  </si>
  <si>
    <t>12e55ad0-8967-4c2d-b1b7-af4ebcc705a5|HANGHEIGHT</t>
  </si>
  <si>
    <t>574d7099-7811-4aca-bfc3-f5766d7f5281</t>
  </si>
  <si>
    <t>12e55ad0-8967-4c2d-b1b7-af4ebcc705a5|INSTALLG</t>
  </si>
  <si>
    <t>0a18e3ea-f28b-49d9-8744-2fb0a77dbf13</t>
  </si>
  <si>
    <t>12e55ad0-8967-4c2d-b1b7-af4ebcc705a5|TAKEDOWN</t>
  </si>
  <si>
    <t>02a95e65-495f-460a-b018-229f9752e644</t>
  </si>
  <si>
    <t>12e55ad0-8967-4c2d-b1b7-af4ebcc705a5|CHECKM</t>
  </si>
  <si>
    <t>ebcc69da-f9c9-4a8f-be0f-8018ca18ca87</t>
  </si>
  <si>
    <t>12e55ad0-8967-4c2d-b1b7-af4ebcc705a5|EXTRACOSTS</t>
  </si>
  <si>
    <t>62bc8af1-f7f0-4cff-bccf-67894fef30f5</t>
  </si>
  <si>
    <t>12e55ad0-8967-4c2d-b1b7-af4ebcc705a5|NOTES</t>
  </si>
  <si>
    <t>754f3283-a4dd-48d3-87f6-efb67886381e</t>
  </si>
  <si>
    <t>12e55ad0-8967-4c2d-b1b7-af4ebcc705a5|LABOUR</t>
  </si>
  <si>
    <t>49ad3c44-3b1c-4f1f-84e6-e17648f110ba</t>
  </si>
  <si>
    <t>48332b17-2ffe-4aa6-81a0-7ae78d2cbdd5</t>
  </si>
  <si>
    <t>Bed 3 ALTERATION</t>
  </si>
  <si>
    <t>48332b17-2ffe-4aa6-81a0-7ae78d2cbdd5|DESCN</t>
  </si>
  <si>
    <t>33cf35b2-a620-411b-a583-dd53be816db0</t>
  </si>
  <si>
    <t>48332b17-2ffe-4aa6-81a0-7ae78d2cbdd5|SINGLE</t>
  </si>
  <si>
    <t>624a9a09-89c9-4ecc-9a8b-2d8f1f709d49</t>
  </si>
  <si>
    <t>48332b17-2ffe-4aa6-81a0-7ae78d2cbdd5|ITEMWIDTH</t>
  </si>
  <si>
    <t>68fa93a4-37aa-4bae-b66f-33cec6b57620</t>
  </si>
  <si>
    <t>3282</t>
  </si>
  <si>
    <t>48332b17-2ffe-4aa6-81a0-7ae78d2cbdd5|ITEMHEIGHT</t>
  </si>
  <si>
    <t>adf945c2-b625-4f80-b185-23113cc79823</t>
  </si>
  <si>
    <t>48332b17-2ffe-4aa6-81a0-7ae78d2cbdd5|SIZE</t>
  </si>
  <si>
    <t>bc8ded6b-0d81-4b06-becc-addbca6929e5</t>
  </si>
  <si>
    <t>48332b17-2ffe-4aa6-81a0-7ae78d2cbdd5|DROPSIZE</t>
  </si>
  <si>
    <t>dd8fb950-9fb1-4754-8163-cc638333476b</t>
  </si>
  <si>
    <t>48332b17-2ffe-4aa6-81a0-7ae78d2cbdd5|FIT</t>
  </si>
  <si>
    <t>1405d334-7199-46a8-819f-d7dd0e9fba8e</t>
  </si>
  <si>
    <t>48332b17-2ffe-4aa6-81a0-7ae78d2cbdd5|FIXING</t>
  </si>
  <si>
    <t>f6d34fcb-1fb8-4ecb-9f67-34872996f62b</t>
  </si>
  <si>
    <t>48332b17-2ffe-4aa6-81a0-7ae78d2cbdd5|MEASUREDAS</t>
  </si>
  <si>
    <t>cd61eee1-49da-4112-b6aa-1d5ef4fa2973</t>
  </si>
  <si>
    <t>48332b17-2ffe-4aa6-81a0-7ae78d2cbdd5|FLOORING</t>
  </si>
  <si>
    <t>8ddd44db-fb63-4cb7-9b1a-94b70f2b6a6a</t>
  </si>
  <si>
    <t>48332b17-2ffe-4aa6-81a0-7ae78d2cbdd5|HEIGHTOFFFLOOR</t>
  </si>
  <si>
    <t>7a8e968b-cbf9-4a86-8bff-307a1889ac80</t>
  </si>
  <si>
    <t>48332b17-2ffe-4aa6-81a0-7ae78d2cbdd5|CURTAIN</t>
  </si>
  <si>
    <t>9c835a6d-8810-4622-bda0-6dc9a82403ed</t>
  </si>
  <si>
    <t>48332b17-2ffe-4aa6-81a0-7ae78d2cbdd5|HEADINGSTYLE</t>
  </si>
  <si>
    <t>802c3bde-6d62-48b2-a393-d9853b17aec5</t>
  </si>
  <si>
    <t>48332b17-2ffe-4aa6-81a0-7ae78d2cbdd5|TAPE</t>
  </si>
  <si>
    <t>9dc7220e-2614-4455-9275-b2dab1b80776</t>
  </si>
  <si>
    <t>48332b17-2ffe-4aa6-81a0-7ae78d2cbdd5|HOOK</t>
  </si>
  <si>
    <t>cde962e3-9f3a-47e9-a3c1-f7897fa8f7d4</t>
  </si>
  <si>
    <t>48332b17-2ffe-4aa6-81a0-7ae78d2cbdd5|HEM</t>
  </si>
  <si>
    <t>bde82363-b6d0-4b6b-b645-c6367a39ac92</t>
  </si>
  <si>
    <t>48332b17-2ffe-4aa6-81a0-7ae78d2cbdd5|RETURNS</t>
  </si>
  <si>
    <t>2b7afd49-a82d-4137-b605-0c8e1dbacc5c</t>
  </si>
  <si>
    <t>48332b17-2ffe-4aa6-81a0-7ae78d2cbdd5|TRACKTYPE</t>
  </si>
  <si>
    <t>6a282806-5f93-44b2-b4ec-266527aad250</t>
  </si>
  <si>
    <t>48332b17-2ffe-4aa6-81a0-7ae78d2cbdd5|TRACKCOLOUR</t>
  </si>
  <si>
    <t>2c61ece7-56c9-4217-a457-46837cfc2ba5</t>
  </si>
  <si>
    <t>48332b17-2ffe-4aa6-81a0-7ae78d2cbdd5|CORDOP</t>
  </si>
  <si>
    <t>5d21046b-1c91-4622-b13d-901afd4d599f</t>
  </si>
  <si>
    <t>48332b17-2ffe-4aa6-81a0-7ae78d2cbdd5|OPENING</t>
  </si>
  <si>
    <t>6abe1bfe-8b9b-444e-8804-880afbe418c4</t>
  </si>
  <si>
    <t>48332b17-2ffe-4aa6-81a0-7ae78d2cbdd5|BRACKETS</t>
  </si>
  <si>
    <t>f062d764-bbe6-4186-a4af-3d03635b3cd0</t>
  </si>
  <si>
    <t>48332b17-2ffe-4aa6-81a0-7ae78d2cbdd5|FLICKSTICKS</t>
  </si>
  <si>
    <t>4c4e917d-6366-4395-9753-be7fc8ebf02f</t>
  </si>
  <si>
    <t>48332b17-2ffe-4aa6-81a0-7ae78d2cbdd5|TRACKSHAPE</t>
  </si>
  <si>
    <t>9f20a4b7-9c1e-4943-a92f-e82ccc3189c3</t>
  </si>
  <si>
    <t>48332b17-2ffe-4aa6-81a0-7ae78d2cbdd5|SIDEBYSIDE</t>
  </si>
  <si>
    <t>5bebc344-4820-4d2c-a797-bbc76af44d2d</t>
  </si>
  <si>
    <t>48332b17-2ffe-4aa6-81a0-7ae78d2cbdd5|PELTYPE</t>
  </si>
  <si>
    <t>172b1e41-ec42-4fce-9eac-10bf5595a991</t>
  </si>
  <si>
    <t>48332b17-2ffe-4aa6-81a0-7ae78d2cbdd5|TIEBACKS</t>
  </si>
  <si>
    <t>1cb1fce5-c778-412e-9b56-3c3791431864</t>
  </si>
  <si>
    <t>48332b17-2ffe-4aa6-81a0-7ae78d2cbdd5|INSTALLATION</t>
  </si>
  <si>
    <t>c15da589-f1e0-4b82-8127-eee19143bb3c</t>
  </si>
  <si>
    <t>48332b17-2ffe-4aa6-81a0-7ae78d2cbdd5|HANGHEIGHT</t>
  </si>
  <si>
    <t>403604c1-ec32-4f9d-9286-f556b8c1ae76</t>
  </si>
  <si>
    <t>48332b17-2ffe-4aa6-81a0-7ae78d2cbdd5|INSTALLG</t>
  </si>
  <si>
    <t>2b8d68cf-e33a-45d1-82c6-8d8df0692a74</t>
  </si>
  <si>
    <t>48332b17-2ffe-4aa6-81a0-7ae78d2cbdd5|TAKEDOWN</t>
  </si>
  <si>
    <t>f07d9f49-f9fe-4b65-a49c-c5e86d28a024</t>
  </si>
  <si>
    <t>48332b17-2ffe-4aa6-81a0-7ae78d2cbdd5|CHECKM</t>
  </si>
  <si>
    <t>e5bac788-b960-4dd7-aee8-3017009b5db1</t>
  </si>
  <si>
    <t>48332b17-2ffe-4aa6-81a0-7ae78d2cbdd5|EXTRACOSTS</t>
  </si>
  <si>
    <t>4bba6e9a-7d86-4a62-9bb0-138226fb1f89</t>
  </si>
  <si>
    <t>48332b17-2ffe-4aa6-81a0-7ae78d2cbdd5|NOTES</t>
  </si>
  <si>
    <t>b7ec0597-809f-4400-92bb-4bb282c17f2b</t>
  </si>
  <si>
    <t>48332b17-2ffe-4aa6-81a0-7ae78d2cbdd5|LABOUR</t>
  </si>
  <si>
    <t>ee338cf1-bc52-4705-bbd4-2b074b23f0db</t>
  </si>
  <si>
    <t>1fab5818-04b8-45eb-a5e2-e847d5e2efac</t>
  </si>
  <si>
    <t>Back Hallway (IN) ALTERATION</t>
  </si>
  <si>
    <t>1fab5818-04b8-45eb-a5e2-e847d5e2efac|DESCN</t>
  </si>
  <si>
    <t>62d56da1-9c03-45d2-813b-2c697ef1f413</t>
  </si>
  <si>
    <t>1fab5818-04b8-45eb-a5e2-e847d5e2efac|SINGLE</t>
  </si>
  <si>
    <t>012ffd3f-23e2-460a-a7e3-7675923b42c5</t>
  </si>
  <si>
    <t>1fab5818-04b8-45eb-a5e2-e847d5e2efac|ITEMWIDTH</t>
  </si>
  <si>
    <t>20715b91-4386-464b-a9ae-8652621914b9</t>
  </si>
  <si>
    <t>2670</t>
  </si>
  <si>
    <t>1fab5818-04b8-45eb-a5e2-e847d5e2efac|ITEMHEIGHT</t>
  </si>
  <si>
    <t>5debeb1f-7dbf-4c9f-8d63-2e4a747ba026</t>
  </si>
  <si>
    <t>2445</t>
  </si>
  <si>
    <t>1fab5818-04b8-45eb-a5e2-e847d5e2efac|SIZE</t>
  </si>
  <si>
    <t>26a99667-3a39-4f32-8f3f-438644a6878e</t>
  </si>
  <si>
    <t>1fab5818-04b8-45eb-a5e2-e847d5e2efac|DROPSIZE</t>
  </si>
  <si>
    <t>9e6861a5-86c9-48ab-a8ed-950f642e2001</t>
  </si>
  <si>
    <t>1fab5818-04b8-45eb-a5e2-e847d5e2efac|FIT</t>
  </si>
  <si>
    <t>5c621d71-84dd-445a-ae6a-8c3cf64d793f</t>
  </si>
  <si>
    <t>1fab5818-04b8-45eb-a5e2-e847d5e2efac|FIXING</t>
  </si>
  <si>
    <t>e7d0ad30-ccb4-44bb-ab88-68608ea86929</t>
  </si>
  <si>
    <t>1fab5818-04b8-45eb-a5e2-e847d5e2efac|MEASUREDAS</t>
  </si>
  <si>
    <t>26ea246e-2653-4bf4-9411-1f1dba3ffa96</t>
  </si>
  <si>
    <t>1fab5818-04b8-45eb-a5e2-e847d5e2efac|FLOORING</t>
  </si>
  <si>
    <t>f8b8e554-4648-4bf5-92a0-84c6b532a042</t>
  </si>
  <si>
    <t>1fab5818-04b8-45eb-a5e2-e847d5e2efac|HEIGHTOFFFLOOR</t>
  </si>
  <si>
    <t>d24e3ef1-06e7-45a9-ae32-3eaefc29d936</t>
  </si>
  <si>
    <t>1fab5818-04b8-45eb-a5e2-e847d5e2efac|CURTAIN</t>
  </si>
  <si>
    <t>09822cbe-9e4c-4a14-93f8-eb2d86df9df7</t>
  </si>
  <si>
    <t>1fab5818-04b8-45eb-a5e2-e847d5e2efac|HEADINGSTYLE</t>
  </si>
  <si>
    <t>8cbe2719-a6cf-47a0-b732-e45ef5b596ea</t>
  </si>
  <si>
    <t>1fab5818-04b8-45eb-a5e2-e847d5e2efac|TAPE</t>
  </si>
  <si>
    <t>65c0efa1-c58f-4fb1-a5e0-9bd58c0ac6de</t>
  </si>
  <si>
    <t>1fab5818-04b8-45eb-a5e2-e847d5e2efac|HOOK</t>
  </si>
  <si>
    <t>dfb7355f-384c-40a1-9fcd-361963ff3bb9</t>
  </si>
  <si>
    <t>1fab5818-04b8-45eb-a5e2-e847d5e2efac|HEM</t>
  </si>
  <si>
    <t>70bc78dc-7f19-4df0-a1e1-57db4a9145c1</t>
  </si>
  <si>
    <t>1fab5818-04b8-45eb-a5e2-e847d5e2efac|RETURNS</t>
  </si>
  <si>
    <t>d2d120bc-36d9-40e9-b409-cd706a601c14</t>
  </si>
  <si>
    <t>1fab5818-04b8-45eb-a5e2-e847d5e2efac|TRACKTYPE</t>
  </si>
  <si>
    <t>ac77ceb9-aefe-4fde-a72b-bd6ab14d1765</t>
  </si>
  <si>
    <t>1fab5818-04b8-45eb-a5e2-e847d5e2efac|TRACKCOLOUR</t>
  </si>
  <si>
    <t>23a328f5-c2ed-440f-ae20-0e6e5347cc96</t>
  </si>
  <si>
    <t>1fab5818-04b8-45eb-a5e2-e847d5e2efac|CORDOP</t>
  </si>
  <si>
    <t>bbd0a083-7f6c-4b80-b95d-7b802d4637c0</t>
  </si>
  <si>
    <t>1fab5818-04b8-45eb-a5e2-e847d5e2efac|OPENING</t>
  </si>
  <si>
    <t>d134cb74-d347-44b7-b233-85a295591f93</t>
  </si>
  <si>
    <t>1fab5818-04b8-45eb-a5e2-e847d5e2efac|BRACKETS</t>
  </si>
  <si>
    <t>4fe0ba47-99f2-4e08-a491-f1f872164a14</t>
  </si>
  <si>
    <t>1fab5818-04b8-45eb-a5e2-e847d5e2efac|FLICKSTICKS</t>
  </si>
  <si>
    <t>12fdf2ea-51e9-46c9-91c8-23ce2a5038b5</t>
  </si>
  <si>
    <t>1fab5818-04b8-45eb-a5e2-e847d5e2efac|TRACKSHAPE</t>
  </si>
  <si>
    <t>f41c7ae6-34d9-4b0b-b009-ce52801e2354</t>
  </si>
  <si>
    <t>1fab5818-04b8-45eb-a5e2-e847d5e2efac|SIDEBYSIDE</t>
  </si>
  <si>
    <t>8aa62e37-19bc-495f-a6bc-92f8d579fa38</t>
  </si>
  <si>
    <t>1fab5818-04b8-45eb-a5e2-e847d5e2efac|PELTYPE</t>
  </si>
  <si>
    <t>3fc33885-4051-4954-916a-1138899de12d</t>
  </si>
  <si>
    <t>1fab5818-04b8-45eb-a5e2-e847d5e2efac|TIEBACKS</t>
  </si>
  <si>
    <t>ee39d170-2e08-4cb9-b689-fe35532ef69e</t>
  </si>
  <si>
    <t>1fab5818-04b8-45eb-a5e2-e847d5e2efac|INSTALLATION</t>
  </si>
  <si>
    <t>e3fb55de-2fe5-4716-9277-288440525ca5</t>
  </si>
  <si>
    <t>1fab5818-04b8-45eb-a5e2-e847d5e2efac|HANGHEIGHT</t>
  </si>
  <si>
    <t>3d225ac1-6c19-497c-93cb-c7af7b91eced</t>
  </si>
  <si>
    <t>1fab5818-04b8-45eb-a5e2-e847d5e2efac|INSTALLG</t>
  </si>
  <si>
    <t>987fbaf3-87f7-4abc-9061-970793c56f49</t>
  </si>
  <si>
    <t>1fab5818-04b8-45eb-a5e2-e847d5e2efac|TAKEDOWN</t>
  </si>
  <si>
    <t>5ce01a55-17d6-4bfc-9dba-744108bb0011</t>
  </si>
  <si>
    <t>1fab5818-04b8-45eb-a5e2-e847d5e2efac|CHECKM</t>
  </si>
  <si>
    <t>f35f5f48-262b-420e-b8ac-2ef3e5141951</t>
  </si>
  <si>
    <t>1fab5818-04b8-45eb-a5e2-e847d5e2efac|EXTRACOSTS</t>
  </si>
  <si>
    <t>3470dcc0-ec89-4298-9dbe-e05f5abc8746</t>
  </si>
  <si>
    <t>1fab5818-04b8-45eb-a5e2-e847d5e2efac|NOTES</t>
  </si>
  <si>
    <t>3104f999-ffd8-4ae5-b88b-468065bb2564</t>
  </si>
  <si>
    <t>1fab5818-04b8-45eb-a5e2-e847d5e2efac|LABOUR</t>
  </si>
  <si>
    <t>7b62824f-8d7b-402d-add0-dc757697fbde</t>
  </si>
  <si>
    <t>b512d187-d68e-432b-8081-409af85abbbe</t>
  </si>
  <si>
    <t>Back Hallway (OUT) ALTERATION</t>
  </si>
  <si>
    <t>b512d187-d68e-432b-8081-409af85abbbe|DESCN</t>
  </si>
  <si>
    <t>5f19cd5e-15ba-4e16-9802-2d241bea4185</t>
  </si>
  <si>
    <t>b512d187-d68e-432b-8081-409af85abbbe|SINGLE</t>
  </si>
  <si>
    <t>bff3508a-56f4-417b-8a37-eebad119d812</t>
  </si>
  <si>
    <t>b512d187-d68e-432b-8081-409af85abbbe|ITEMWIDTH</t>
  </si>
  <si>
    <t>b188fe25-6e77-4fb6-ada6-286afd06a15b</t>
  </si>
  <si>
    <t>2090</t>
  </si>
  <si>
    <t>b512d187-d68e-432b-8081-409af85abbbe|ITEMHEIGHT</t>
  </si>
  <si>
    <t>800f9461-4b8d-47c7-a7e2-1d9f3899c0ed</t>
  </si>
  <si>
    <t>b512d187-d68e-432b-8081-409af85abbbe|SIZE</t>
  </si>
  <si>
    <t>bd9661fa-dbae-4c71-a5d8-c220b0399630</t>
  </si>
  <si>
    <t>b512d187-d68e-432b-8081-409af85abbbe|DROPSIZE</t>
  </si>
  <si>
    <t>b6ea73f4-c366-479f-895c-ed88487851b4</t>
  </si>
  <si>
    <t>b512d187-d68e-432b-8081-409af85abbbe|FIT</t>
  </si>
  <si>
    <t>94014698-f653-49f4-b1fa-84f9f1d06609</t>
  </si>
  <si>
    <t>b512d187-d68e-432b-8081-409af85abbbe|FIXING</t>
  </si>
  <si>
    <t>4c8c5da4-a002-4aaa-90c0-00677ef01774</t>
  </si>
  <si>
    <t>b512d187-d68e-432b-8081-409af85abbbe|MEASUREDAS</t>
  </si>
  <si>
    <t>f9286d0b-336e-4508-8621-bafc3510872a</t>
  </si>
  <si>
    <t>b512d187-d68e-432b-8081-409af85abbbe|FLOORING</t>
  </si>
  <si>
    <t>15f9dc74-dee9-47e0-a1c2-8cff98dabec9</t>
  </si>
  <si>
    <t>b512d187-d68e-432b-8081-409af85abbbe|HEIGHTOFFFLOOR</t>
  </si>
  <si>
    <t>191dfa9a-c2ae-4c31-ad56-54292a43f09d</t>
  </si>
  <si>
    <t>b512d187-d68e-432b-8081-409af85abbbe|CURTAIN</t>
  </si>
  <si>
    <t>936c1799-8c66-4d71-944f-356b32f8b0fe</t>
  </si>
  <si>
    <t>b512d187-d68e-432b-8081-409af85abbbe|HEADINGSTYLE</t>
  </si>
  <si>
    <t>3f4dc394-9ed3-4e97-a4c2-f9223420cb5b</t>
  </si>
  <si>
    <t>b512d187-d68e-432b-8081-409af85abbbe|TAPE</t>
  </si>
  <si>
    <t>84b67003-a179-4f67-9e40-ecbf06a8d37c</t>
  </si>
  <si>
    <t>b512d187-d68e-432b-8081-409af85abbbe|HOOK</t>
  </si>
  <si>
    <t>7972ae4c-a717-4d68-b0fc-24b3dc0df3be</t>
  </si>
  <si>
    <t>b512d187-d68e-432b-8081-409af85abbbe|HEM</t>
  </si>
  <si>
    <t>99ea9581-c946-4cb4-8db3-7b99283e7469</t>
  </si>
  <si>
    <t>b512d187-d68e-432b-8081-409af85abbbe|RETURNS</t>
  </si>
  <si>
    <t>fb1dc417-4147-4615-918b-ddb8e71a2b5a</t>
  </si>
  <si>
    <t>b512d187-d68e-432b-8081-409af85abbbe|TRACKTYPE</t>
  </si>
  <si>
    <t>cf4eb186-63fc-4cb3-a80d-70bbe70db799</t>
  </si>
  <si>
    <t>b512d187-d68e-432b-8081-409af85abbbe|TRACKCOLOUR</t>
  </si>
  <si>
    <t>88e20968-558d-49f8-9d98-18063b1bbc97</t>
  </si>
  <si>
    <t>b512d187-d68e-432b-8081-409af85abbbe|CORDOP</t>
  </si>
  <si>
    <t>538ff4d0-0fea-40bb-a925-28732327065f</t>
  </si>
  <si>
    <t>b512d187-d68e-432b-8081-409af85abbbe|OPENING</t>
  </si>
  <si>
    <t>d51fd6de-88d9-4d26-8025-6d6ff07d7d99</t>
  </si>
  <si>
    <t>b512d187-d68e-432b-8081-409af85abbbe|BRACKETS</t>
  </si>
  <si>
    <t>2b5eced4-3f69-455c-8f3f-cfa3dc492e97</t>
  </si>
  <si>
    <t>b512d187-d68e-432b-8081-409af85abbbe|FLICKSTICKS</t>
  </si>
  <si>
    <t>c6b30d57-d75c-436d-b0dc-67cf338a452a</t>
  </si>
  <si>
    <t>b512d187-d68e-432b-8081-409af85abbbe|TRACKSHAPE</t>
  </si>
  <si>
    <t>c42bef46-edb2-4bea-9d0f-e344bd644289</t>
  </si>
  <si>
    <t>b512d187-d68e-432b-8081-409af85abbbe|SIDEBYSIDE</t>
  </si>
  <si>
    <t>677d3960-d299-4fba-b060-d32cb1660621</t>
  </si>
  <si>
    <t>b512d187-d68e-432b-8081-409af85abbbe|PELTYPE</t>
  </si>
  <si>
    <t>9c4d869c-cece-47c0-b0ef-0760d68c9dba</t>
  </si>
  <si>
    <t>b512d187-d68e-432b-8081-409af85abbbe|TIEBACKS</t>
  </si>
  <si>
    <t>633f0788-7047-4f1a-9484-26c1da5e9377</t>
  </si>
  <si>
    <t>b512d187-d68e-432b-8081-409af85abbbe|INSTALLATION</t>
  </si>
  <si>
    <t>d3961e10-4f10-4642-b669-610cfcfe7e9c</t>
  </si>
  <si>
    <t>b512d187-d68e-432b-8081-409af85abbbe|HANGHEIGHT</t>
  </si>
  <si>
    <t>39e5bce2-03b4-4f5f-a1fc-19b253da4b2b</t>
  </si>
  <si>
    <t>b512d187-d68e-432b-8081-409af85abbbe|INSTALLG</t>
  </si>
  <si>
    <t>18200fd4-83ba-479c-9f44-83b83342b5aa</t>
  </si>
  <si>
    <t>b512d187-d68e-432b-8081-409af85abbbe|TAKEDOWN</t>
  </si>
  <si>
    <t>c91e01b9-f0b6-49ae-8c19-e0907c47f4cb</t>
  </si>
  <si>
    <t>b512d187-d68e-432b-8081-409af85abbbe|CHECKM</t>
  </si>
  <si>
    <t>5fa0de3d-423d-4afe-a3f1-0d3b561af8ea</t>
  </si>
  <si>
    <t>b512d187-d68e-432b-8081-409af85abbbe|EXTRACOSTS</t>
  </si>
  <si>
    <t>9a72e66f-5890-446c-beec-dfa2fa5f5a6b</t>
  </si>
  <si>
    <t>b512d187-d68e-432b-8081-409af85abbbe|NOTES</t>
  </si>
  <si>
    <t>ddcc4b63-1be0-4550-b795-6395ba202d19</t>
  </si>
  <si>
    <t>b512d187-d68e-432b-8081-409af85abbbe|LABOUR</t>
  </si>
  <si>
    <t>5170ef3b-1d6e-477c-b462-f8513b14194a</t>
  </si>
  <si>
    <t>f27043c9-278b-4452-a37f-ce0e2927879b</t>
  </si>
  <si>
    <t>Kitchen Door (IN) REMAKE</t>
  </si>
  <si>
    <t>f27043c9-278b-4452-a37f-ce0e2927879b|DESCN</t>
  </si>
  <si>
    <t>ee5ebbc8-b3c9-490d-a7c2-8ad88fddeb56</t>
  </si>
  <si>
    <t>f27043c9-278b-4452-a37f-ce0e2927879b|SINGLE</t>
  </si>
  <si>
    <t>f7e05435-bb0d-4fcc-b4be-74b746c8590c</t>
  </si>
  <si>
    <t>f27043c9-278b-4452-a37f-ce0e2927879b|ITEMWIDTH</t>
  </si>
  <si>
    <t>51db10c7-da63-42eb-b0de-799ab46806ac</t>
  </si>
  <si>
    <t>4580</t>
  </si>
  <si>
    <t>f27043c9-278b-4452-a37f-ce0e2927879b|ITEMHEIGHT</t>
  </si>
  <si>
    <t>6cf9add9-f999-4935-932d-b5aa9aa4b664</t>
  </si>
  <si>
    <t>2405</t>
  </si>
  <si>
    <t>f27043c9-278b-4452-a37f-ce0e2927879b|SIZE</t>
  </si>
  <si>
    <t>7f767782-e8da-4e12-b649-7a2d96bc9011</t>
  </si>
  <si>
    <t>f27043c9-278b-4452-a37f-ce0e2927879b|DROPSIZE</t>
  </si>
  <si>
    <t>fda06c3d-493c-4ee3-b9b9-e0e6cb1938c3</t>
  </si>
  <si>
    <t>f27043c9-278b-4452-a37f-ce0e2927879b|FIT</t>
  </si>
  <si>
    <t>d5b3662c-8bf0-48d8-bad3-f90dd29885ee</t>
  </si>
  <si>
    <t>f27043c9-278b-4452-a37f-ce0e2927879b|FIXING</t>
  </si>
  <si>
    <t>752646b0-7976-4ff7-85e4-07ba90c030c5</t>
  </si>
  <si>
    <t>f27043c9-278b-4452-a37f-ce0e2927879b|MEASUREDAS</t>
  </si>
  <si>
    <t>a8148a2e-8881-4bcd-9fe0-5489d951965b</t>
  </si>
  <si>
    <t>f27043c9-278b-4452-a37f-ce0e2927879b|FLOORING</t>
  </si>
  <si>
    <t>1b543638-ccf6-44a4-a3db-a1d7ca09e0cd</t>
  </si>
  <si>
    <t>f27043c9-278b-4452-a37f-ce0e2927879b|HEIGHTOFFFLOOR</t>
  </si>
  <si>
    <t>84e9c29f-4025-4135-b664-a7b5c9e64386</t>
  </si>
  <si>
    <t>f27043c9-278b-4452-a37f-ce0e2927879b|CURTAIN</t>
  </si>
  <si>
    <t>c15efcdc-adff-4f73-a9b1-4662ddd66f30</t>
  </si>
  <si>
    <t>f27043c9-278b-4452-a37f-ce0e2927879b|HEADINGSTYLE</t>
  </si>
  <si>
    <t>1d98e5cc-bc90-4e77-91a9-389674f71f9a</t>
  </si>
  <si>
    <t>f27043c9-278b-4452-a37f-ce0e2927879b|TAPE</t>
  </si>
  <si>
    <t>e915223e-12ab-4708-9551-826c12032e4b</t>
  </si>
  <si>
    <t>f27043c9-278b-4452-a37f-ce0e2927879b|HOOK</t>
  </si>
  <si>
    <t>2d62ed64-080e-47f0-8330-515ee5e9a176</t>
  </si>
  <si>
    <t>f27043c9-278b-4452-a37f-ce0e2927879b|HEM</t>
  </si>
  <si>
    <t>d4548c69-8756-4ba9-9730-a6ac90a20b98</t>
  </si>
  <si>
    <t>f27043c9-278b-4452-a37f-ce0e2927879b|RETURNS</t>
  </si>
  <si>
    <t>e5844c5e-02bf-407a-8044-50f878bf11a6</t>
  </si>
  <si>
    <t>f27043c9-278b-4452-a37f-ce0e2927879b|TRACKTYPE</t>
  </si>
  <si>
    <t>56eebc22-07fe-42cb-8c48-80a893087e2a</t>
  </si>
  <si>
    <t>f27043c9-278b-4452-a37f-ce0e2927879b|TRACKCOLOUR</t>
  </si>
  <si>
    <t>5f2fd687-c3ab-4db3-8824-bf34f57bdc2b</t>
  </si>
  <si>
    <t>f27043c9-278b-4452-a37f-ce0e2927879b|CORDOP</t>
  </si>
  <si>
    <t>fd26233a-f2ba-44ff-be4b-9fba5f27b42f</t>
  </si>
  <si>
    <t>f27043c9-278b-4452-a37f-ce0e2927879b|OPENING</t>
  </si>
  <si>
    <t>a2bb18e4-3b4a-47c8-9850-d0f6d88f1f58</t>
  </si>
  <si>
    <t>f27043c9-278b-4452-a37f-ce0e2927879b|BRACKETS</t>
  </si>
  <si>
    <t>9a026cc9-40ff-4098-8865-e2ae49b2e420</t>
  </si>
  <si>
    <t>f27043c9-278b-4452-a37f-ce0e2927879b|FLICKSTICKS</t>
  </si>
  <si>
    <t>4cd91e20-816b-45d4-a87c-2b8f97106b72</t>
  </si>
  <si>
    <t>f27043c9-278b-4452-a37f-ce0e2927879b|TRACKSHAPE</t>
  </si>
  <si>
    <t>696c3c53-a5ad-4c2c-8401-174541171e40</t>
  </si>
  <si>
    <t>f27043c9-278b-4452-a37f-ce0e2927879b|SIDEBYSIDE</t>
  </si>
  <si>
    <t>911859f2-64f2-4eb4-9d74-36593feb6587</t>
  </si>
  <si>
    <t>f27043c9-278b-4452-a37f-ce0e2927879b|PELTYPE</t>
  </si>
  <si>
    <t>cc4e62a3-dc27-4bac-858d-96ada34ec0d8</t>
  </si>
  <si>
    <t>f27043c9-278b-4452-a37f-ce0e2927879b|TIEBACKS</t>
  </si>
  <si>
    <t>0ce2ff86-3d82-45b9-8c05-dfe513715201</t>
  </si>
  <si>
    <t>f27043c9-278b-4452-a37f-ce0e2927879b|INSTALLATION</t>
  </si>
  <si>
    <t>cd738f94-9577-46a3-8f1e-9d206b2d1312</t>
  </si>
  <si>
    <t>f27043c9-278b-4452-a37f-ce0e2927879b|HANGHEIGHT</t>
  </si>
  <si>
    <t>47c2f05a-b3e9-42af-a09e-9fa4d1605764</t>
  </si>
  <si>
    <t>f27043c9-278b-4452-a37f-ce0e2927879b|INSTALLG</t>
  </si>
  <si>
    <t>f1327de8-92d6-4228-84e8-12038a86614f</t>
  </si>
  <si>
    <t>f27043c9-278b-4452-a37f-ce0e2927879b|TAKEDOWN</t>
  </si>
  <si>
    <t>d335c00e-4dca-4ff8-a698-f7595823f986</t>
  </si>
  <si>
    <t>f27043c9-278b-4452-a37f-ce0e2927879b|CHECKM</t>
  </si>
  <si>
    <t>8b82e2da-6b1d-4b4d-8594-e11c6ebc1b88</t>
  </si>
  <si>
    <t>f27043c9-278b-4452-a37f-ce0e2927879b|EXTRACOSTS</t>
  </si>
  <si>
    <t>31bbcfac-1f91-4cb6-a5c5-d282e74a3543</t>
  </si>
  <si>
    <t>f27043c9-278b-4452-a37f-ce0e2927879b|LABOUR</t>
  </si>
  <si>
    <t>4dc70c4f-8c8c-46bc-a936-ca912c57fc48</t>
  </si>
  <si>
    <t>b9decf4d-bb07-4d0b-9d4a-99e7fcc53924</t>
  </si>
  <si>
    <t>Second Lounge ALTERATION</t>
  </si>
  <si>
    <t>b9decf4d-bb07-4d0b-9d4a-99e7fcc53924|DESCN</t>
  </si>
  <si>
    <t>5395b09e-3f47-4d06-a8c0-59a6f048e91a</t>
  </si>
  <si>
    <t>b9decf4d-bb07-4d0b-9d4a-99e7fcc53924|SINGLE</t>
  </si>
  <si>
    <t>496d66a8-606a-49c8-aff1-91232327fe23</t>
  </si>
  <si>
    <t>b9decf4d-bb07-4d0b-9d4a-99e7fcc53924|ITEMWIDTH</t>
  </si>
  <si>
    <t>b97cddb0-dc50-4b08-9e4f-8150dab1eafa</t>
  </si>
  <si>
    <t>3980</t>
  </si>
  <si>
    <t>b9decf4d-bb07-4d0b-9d4a-99e7fcc53924|ITEMHEIGHT</t>
  </si>
  <si>
    <t>cad693fe-3318-4d68-847f-3c8b84167bf2</t>
  </si>
  <si>
    <t>2210</t>
  </si>
  <si>
    <t>b9decf4d-bb07-4d0b-9d4a-99e7fcc53924|SIZE</t>
  </si>
  <si>
    <t>945b7c7f-fe57-48b2-8806-b62468d0b7a8</t>
  </si>
  <si>
    <t>b9decf4d-bb07-4d0b-9d4a-99e7fcc53924|DROPSIZE</t>
  </si>
  <si>
    <t>20f9c77a-5ac3-46f1-82ed-7e44f2a5cde0</t>
  </si>
  <si>
    <t>b9decf4d-bb07-4d0b-9d4a-99e7fcc53924|FIT</t>
  </si>
  <si>
    <t>006797c3-03cd-4d38-9b69-0264b3f572d8</t>
  </si>
  <si>
    <t>b9decf4d-bb07-4d0b-9d4a-99e7fcc53924|FIXING</t>
  </si>
  <si>
    <t>b7736726-37c4-4d88-a581-f0278ad5fc1a</t>
  </si>
  <si>
    <t>b9decf4d-bb07-4d0b-9d4a-99e7fcc53924|MEASUREDAS</t>
  </si>
  <si>
    <t>5a7de2b5-b7ce-4bad-920f-2cda621143b0</t>
  </si>
  <si>
    <t>b9decf4d-bb07-4d0b-9d4a-99e7fcc53924|FLOORING</t>
  </si>
  <si>
    <t>9aca96b1-c643-446a-abad-6824861e0396</t>
  </si>
  <si>
    <t>b9decf4d-bb07-4d0b-9d4a-99e7fcc53924|HEIGHTOFFFLOOR</t>
  </si>
  <si>
    <t>75cbb037-95f0-4f3c-869c-63bc65ed7f8d</t>
  </si>
  <si>
    <t>b9decf4d-bb07-4d0b-9d4a-99e7fcc53924|CURTAIN</t>
  </si>
  <si>
    <t>593f377f-e4be-48c3-9ed6-f858a05ccdb9</t>
  </si>
  <si>
    <t>b9decf4d-bb07-4d0b-9d4a-99e7fcc53924|HEADINGSTYLE</t>
  </si>
  <si>
    <t>21a12f8a-aa29-4c5f-b606-a78fe3732724</t>
  </si>
  <si>
    <t>b9decf4d-bb07-4d0b-9d4a-99e7fcc53924|TAPE</t>
  </si>
  <si>
    <t>36b0568e-ca2c-481f-8fcb-e09de3ae55b4</t>
  </si>
  <si>
    <t>b9decf4d-bb07-4d0b-9d4a-99e7fcc53924|HOOK</t>
  </si>
  <si>
    <t>db937e28-13fd-4e42-9ce0-60d5f9bede15</t>
  </si>
  <si>
    <t>b9decf4d-bb07-4d0b-9d4a-99e7fcc53924|HEM</t>
  </si>
  <si>
    <t>e1706299-0353-4ca2-8471-56bb03bf218a</t>
  </si>
  <si>
    <t>b9decf4d-bb07-4d0b-9d4a-99e7fcc53924|RETURNS</t>
  </si>
  <si>
    <t>0dd0aec8-a3a2-463c-b02d-9fa77cbe6673</t>
  </si>
  <si>
    <t>b9decf4d-bb07-4d0b-9d4a-99e7fcc53924|TRACKTYPE</t>
  </si>
  <si>
    <t>bc3460ac-6a75-45f0-84e2-f814c80975f4</t>
  </si>
  <si>
    <t>b9decf4d-bb07-4d0b-9d4a-99e7fcc53924|TRACKCOLOUR</t>
  </si>
  <si>
    <t>c40a5202-08b9-499d-84e8-b53eecb307f7</t>
  </si>
  <si>
    <t>b9decf4d-bb07-4d0b-9d4a-99e7fcc53924|CORDOP</t>
  </si>
  <si>
    <t>51405a2b-1657-451f-9ae6-26cef51799af</t>
  </si>
  <si>
    <t>b9decf4d-bb07-4d0b-9d4a-99e7fcc53924|OPENING</t>
  </si>
  <si>
    <t>884f0cec-6baa-4828-956a-d47175f6dc75</t>
  </si>
  <si>
    <t>b9decf4d-bb07-4d0b-9d4a-99e7fcc53924|BRACKETS</t>
  </si>
  <si>
    <t>c15155cd-31ca-4eea-ae91-fac78a35046f</t>
  </si>
  <si>
    <t>b9decf4d-bb07-4d0b-9d4a-99e7fcc53924|FLICKSTICKS</t>
  </si>
  <si>
    <t>0f99af98-b84b-41d6-aad6-7116f648e7ac</t>
  </si>
  <si>
    <t>b9decf4d-bb07-4d0b-9d4a-99e7fcc53924|TRACKSHAPE</t>
  </si>
  <si>
    <t>269dfeed-d5d3-4b65-b874-18e16bec2daf</t>
  </si>
  <si>
    <t>b9decf4d-bb07-4d0b-9d4a-99e7fcc53924|SIDEBYSIDE</t>
  </si>
  <si>
    <t>7360385a-efbd-48f0-b425-2f946509757d</t>
  </si>
  <si>
    <t>b9decf4d-bb07-4d0b-9d4a-99e7fcc53924|PELTYPE</t>
  </si>
  <si>
    <t>c0f296f6-31ae-4031-afc9-36b4749ccf35</t>
  </si>
  <si>
    <t>b9decf4d-bb07-4d0b-9d4a-99e7fcc53924|TIEBACKS</t>
  </si>
  <si>
    <t>375c7618-9b75-4195-8697-a98dfb6ff595</t>
  </si>
  <si>
    <t>b9decf4d-bb07-4d0b-9d4a-99e7fcc53924|INSTALLATION</t>
  </si>
  <si>
    <t>b37dc5b9-baed-4775-8fdd-42bbb894cd05</t>
  </si>
  <si>
    <t>b9decf4d-bb07-4d0b-9d4a-99e7fcc53924|HANGHEIGHT</t>
  </si>
  <si>
    <t>de86b494-945a-4a90-ac6a-9d7990002fe3</t>
  </si>
  <si>
    <t>b9decf4d-bb07-4d0b-9d4a-99e7fcc53924|INSTALLG</t>
  </si>
  <si>
    <t>e5bc4b4d-16d4-43d9-9ed9-0539e6452ca0</t>
  </si>
  <si>
    <t>b9decf4d-bb07-4d0b-9d4a-99e7fcc53924|TAKEDOWN</t>
  </si>
  <si>
    <t>afa63f0c-8aab-4299-831d-91c0f8061b74</t>
  </si>
  <si>
    <t>b9decf4d-bb07-4d0b-9d4a-99e7fcc53924|CHECKM</t>
  </si>
  <si>
    <t>b0762256-e9e6-45a5-bbbc-1504a77acff3</t>
  </si>
  <si>
    <t>b9decf4d-bb07-4d0b-9d4a-99e7fcc53924|EXTRACOSTS</t>
  </si>
  <si>
    <t>c198ca5e-af51-4030-ac59-9ba189a6baa9</t>
  </si>
  <si>
    <t>b9decf4d-bb07-4d0b-9d4a-99e7fcc53924|NOTES</t>
  </si>
  <si>
    <t>30aa814f-34ff-414f-ab8d-c9591a7d0d2d</t>
  </si>
  <si>
    <t>b9decf4d-bb07-4d0b-9d4a-99e7fcc53924|LABOUR</t>
  </si>
  <si>
    <t>d7e00d9b-e70e-41ba-b11b-467bd7805357</t>
  </si>
  <si>
    <t>7626bdec-9c3f-4abf-bf11-47ad3d6f6b2f</t>
  </si>
  <si>
    <t>Front Lounge 1 ALTERATION</t>
  </si>
  <si>
    <t>Alteration to curtain drop and change curtain and track to CCO</t>
  </si>
  <si>
    <t>7626bdec-9c3f-4abf-bf11-47ad3d6f6b2f|DESCN</t>
  </si>
  <si>
    <t>5905491c-7157-4a2a-beab-9e9f70129b4c</t>
  </si>
  <si>
    <t>7626bdec-9c3f-4abf-bf11-47ad3d6f6b2f|SINGLE</t>
  </si>
  <si>
    <t>715660fd-fcb0-4b46-bda3-b5e7a65bee04</t>
  </si>
  <si>
    <t>7626bdec-9c3f-4abf-bf11-47ad3d6f6b2f|ITEMWIDTH</t>
  </si>
  <si>
    <t>fefe8689-41fd-49bc-bc43-2097fb220320</t>
  </si>
  <si>
    <t>5000</t>
  </si>
  <si>
    <t>7626bdec-9c3f-4abf-bf11-47ad3d6f6b2f|ITEMHEIGHT</t>
  </si>
  <si>
    <t>da95cec1-bc7a-49f3-b0a2-726e4fb9a232</t>
  </si>
  <si>
    <t>2245</t>
  </si>
  <si>
    <t>7626bdec-9c3f-4abf-bf11-47ad3d6f6b2f|SIZE</t>
  </si>
  <si>
    <t>fb165795-9449-4c44-bae7-942d92ae1293</t>
  </si>
  <si>
    <t>7626bdec-9c3f-4abf-bf11-47ad3d6f6b2f|DROPSIZE</t>
  </si>
  <si>
    <t>c0b9c0d3-0139-486f-8684-7595d2ef6d32</t>
  </si>
  <si>
    <t>7626bdec-9c3f-4abf-bf11-47ad3d6f6b2f|FIT</t>
  </si>
  <si>
    <t>83f19797-06da-4240-8269-a83585952e36</t>
  </si>
  <si>
    <t>7626bdec-9c3f-4abf-bf11-47ad3d6f6b2f|FIXING</t>
  </si>
  <si>
    <t>66a13fa8-6e4e-463f-842a-1d35ae119290</t>
  </si>
  <si>
    <t>7626bdec-9c3f-4abf-bf11-47ad3d6f6b2f|MEASUREDAS</t>
  </si>
  <si>
    <t>139561b8-6e50-4e31-a36f-909488a0fbfa</t>
  </si>
  <si>
    <t>7626bdec-9c3f-4abf-bf11-47ad3d6f6b2f|FLOORING</t>
  </si>
  <si>
    <t>2bc25ba6-a4f5-4fea-b2df-f6515fab1f32</t>
  </si>
  <si>
    <t>7626bdec-9c3f-4abf-bf11-47ad3d6f6b2f|HEIGHTOFFFLOOR</t>
  </si>
  <si>
    <t>a28cb3bc-b1fd-4ca9-9692-8cfb2982d971</t>
  </si>
  <si>
    <t>7626bdec-9c3f-4abf-bf11-47ad3d6f6b2f|CURTAIN</t>
  </si>
  <si>
    <t>019500db-4343-48f0-90bc-bd37ad2881a0</t>
  </si>
  <si>
    <t>7626bdec-9c3f-4abf-bf11-47ad3d6f6b2f|HEADINGSTYLE</t>
  </si>
  <si>
    <t>27ebcae8-f9d5-4d8f-bf17-b048ba1470db</t>
  </si>
  <si>
    <t>7626bdec-9c3f-4abf-bf11-47ad3d6f6b2f|TAPE</t>
  </si>
  <si>
    <t>a554a199-048c-44b3-8d07-19ba5f10becd</t>
  </si>
  <si>
    <t>7626bdec-9c3f-4abf-bf11-47ad3d6f6b2f|HOOK</t>
  </si>
  <si>
    <t>3e24a82f-22c1-4920-8f97-5427e0a78e9c</t>
  </si>
  <si>
    <t>7626bdec-9c3f-4abf-bf11-47ad3d6f6b2f|HEM</t>
  </si>
  <si>
    <t>96a49f8b-0369-4d4c-b1e2-05015391f1ee</t>
  </si>
  <si>
    <t>7626bdec-9c3f-4abf-bf11-47ad3d6f6b2f|RETURNS</t>
  </si>
  <si>
    <t>ec155d44-0ff6-4a5d-9f79-b32fb73d0d72</t>
  </si>
  <si>
    <t>7626bdec-9c3f-4abf-bf11-47ad3d6f6b2f|TRACKTYPE</t>
  </si>
  <si>
    <t>7966b261-6a78-407f-bdd1-bc6153c3555f</t>
  </si>
  <si>
    <t>7626bdec-9c3f-4abf-bf11-47ad3d6f6b2f|TRACKCOLOUR</t>
  </si>
  <si>
    <t>69b39504-0de6-4b7a-939b-c3b2924776b3</t>
  </si>
  <si>
    <t>7626bdec-9c3f-4abf-bf11-47ad3d6f6b2f|CORDOP</t>
  </si>
  <si>
    <t>a5b7bdc1-48bb-46ae-afc1-73eeef3f5b6f</t>
  </si>
  <si>
    <t>7626bdec-9c3f-4abf-bf11-47ad3d6f6b2f|OPENING</t>
  </si>
  <si>
    <t>99598a22-96b0-4666-a21e-76c2238c3107</t>
  </si>
  <si>
    <t>7626bdec-9c3f-4abf-bf11-47ad3d6f6b2f|BRACKETS</t>
  </si>
  <si>
    <t>76d7405b-8ff1-42ca-81c7-e627ab987273</t>
  </si>
  <si>
    <t>7626bdec-9c3f-4abf-bf11-47ad3d6f6b2f|FLICKSTICKS</t>
  </si>
  <si>
    <t>ac40a726-2984-4028-ae28-175bf4fb3c57</t>
  </si>
  <si>
    <t>7626bdec-9c3f-4abf-bf11-47ad3d6f6b2f|TRACKSHAPE</t>
  </si>
  <si>
    <t>cc71b7f8-8693-4e41-a571-abd8e939916e</t>
  </si>
  <si>
    <t>7626bdec-9c3f-4abf-bf11-47ad3d6f6b2f|SIDEBYSIDE</t>
  </si>
  <si>
    <t>0e95319a-4f9a-41e8-83c2-b720e231256a</t>
  </si>
  <si>
    <t>7626bdec-9c3f-4abf-bf11-47ad3d6f6b2f|PELTYPE</t>
  </si>
  <si>
    <t>12cec726-d2f8-484b-a789-5bd2864e71f1</t>
  </si>
  <si>
    <t>7626bdec-9c3f-4abf-bf11-47ad3d6f6b2f|TIEBACKS</t>
  </si>
  <si>
    <t>213ccea3-faa6-4d2c-947e-bd4452f8ef4a</t>
  </si>
  <si>
    <t>7626bdec-9c3f-4abf-bf11-47ad3d6f6b2f|INSTALLATION</t>
  </si>
  <si>
    <t>da191ae6-349c-4c0a-97c3-9935b378deb5</t>
  </si>
  <si>
    <t>7626bdec-9c3f-4abf-bf11-47ad3d6f6b2f|HANGHEIGHT</t>
  </si>
  <si>
    <t>92059631-2fd6-45e9-b95b-2b3c825cc4b2</t>
  </si>
  <si>
    <t>7626bdec-9c3f-4abf-bf11-47ad3d6f6b2f|INSTALLG</t>
  </si>
  <si>
    <t>9542503b-8e1b-4b91-856f-7a5041d87bd4</t>
  </si>
  <si>
    <t>7626bdec-9c3f-4abf-bf11-47ad3d6f6b2f|TAKEDOWN</t>
  </si>
  <si>
    <t>77c5d7e8-fec1-432b-94c5-a8ea14435135</t>
  </si>
  <si>
    <t>7626bdec-9c3f-4abf-bf11-47ad3d6f6b2f|CHECKM</t>
  </si>
  <si>
    <t>948e8402-d02a-4ad1-b359-f2c300f5fe82</t>
  </si>
  <si>
    <t>7626bdec-9c3f-4abf-bf11-47ad3d6f6b2f|NOTES</t>
  </si>
  <si>
    <t>2a267fb9-d380-4d52-bc06-0207ef9858c7</t>
  </si>
  <si>
    <t>7626bdec-9c3f-4abf-bf11-47ad3d6f6b2f|LABOUR</t>
  </si>
  <si>
    <t>e122bb11-3cf5-432e-a6f4-4aabfe6d4c39</t>
  </si>
  <si>
    <t>b508ddc4-e210-4d7b-b671-9ef37df0edd1</t>
  </si>
  <si>
    <t>Front Lounge 2 ALTERATION</t>
  </si>
  <si>
    <t>b508ddc4-e210-4d7b-b671-9ef37df0edd1|DESCN</t>
  </si>
  <si>
    <t>bb31cfcd-aa5e-4aba-9d6e-8079bb524123</t>
  </si>
  <si>
    <t>b508ddc4-e210-4d7b-b671-9ef37df0edd1|SINGLE</t>
  </si>
  <si>
    <t>2bcdc94e-94b3-4cee-9550-1af6cd6fa52d</t>
  </si>
  <si>
    <t>b508ddc4-e210-4d7b-b671-9ef37df0edd1|ITEMWIDTH</t>
  </si>
  <si>
    <t>b82f5a80-daaa-43d5-ac4d-55339bb0b064</t>
  </si>
  <si>
    <t>b508ddc4-e210-4d7b-b671-9ef37df0edd1|ITEMHEIGHT</t>
  </si>
  <si>
    <t>98ab4f17-c9c8-4e1a-9a44-08680f45faaa</t>
  </si>
  <si>
    <t>b508ddc4-e210-4d7b-b671-9ef37df0edd1|SIZE</t>
  </si>
  <si>
    <t>7be81cec-205d-4b54-a20c-43eb4b965a9a</t>
  </si>
  <si>
    <t>b508ddc4-e210-4d7b-b671-9ef37df0edd1|DROPSIZE</t>
  </si>
  <si>
    <t>4752528d-d399-427e-900d-0d30fe6936c4</t>
  </si>
  <si>
    <t>b508ddc4-e210-4d7b-b671-9ef37df0edd1|FIT</t>
  </si>
  <si>
    <t>861ac68f-59ea-42b9-bf99-a05204c829e8</t>
  </si>
  <si>
    <t>b508ddc4-e210-4d7b-b671-9ef37df0edd1|FIXING</t>
  </si>
  <si>
    <t>a8f6f094-1dd8-4a3e-a49c-a4705259b310</t>
  </si>
  <si>
    <t>b508ddc4-e210-4d7b-b671-9ef37df0edd1|MEASUREDAS</t>
  </si>
  <si>
    <t>4c05b657-8f87-4d1c-b1c1-50f8acc953bf</t>
  </si>
  <si>
    <t>b508ddc4-e210-4d7b-b671-9ef37df0edd1|FLOORING</t>
  </si>
  <si>
    <t>25b75c05-c307-4fbe-a9f2-3ce81ecd37af</t>
  </si>
  <si>
    <t>b508ddc4-e210-4d7b-b671-9ef37df0edd1|HEIGHTOFFFLOOR</t>
  </si>
  <si>
    <t>8f1e7dda-621f-449c-89dc-8d573972a1cc</t>
  </si>
  <si>
    <t>b508ddc4-e210-4d7b-b671-9ef37df0edd1|CURTAIN</t>
  </si>
  <si>
    <t>e046b9d7-d0e6-4ff9-994e-a7ed3a748815</t>
  </si>
  <si>
    <t>b508ddc4-e210-4d7b-b671-9ef37df0edd1|HEADINGSTYLE</t>
  </si>
  <si>
    <t>1dbc5267-fc1e-4511-a593-06941780e90a</t>
  </si>
  <si>
    <t>b508ddc4-e210-4d7b-b671-9ef37df0edd1|TAPE</t>
  </si>
  <si>
    <t>6fc250fd-d630-42a2-95b2-accd9904ca0b</t>
  </si>
  <si>
    <t>b508ddc4-e210-4d7b-b671-9ef37df0edd1|HOOK</t>
  </si>
  <si>
    <t>bd73f522-3d38-4d10-ade9-cfdf88f335ba</t>
  </si>
  <si>
    <t>b508ddc4-e210-4d7b-b671-9ef37df0edd1|HEM</t>
  </si>
  <si>
    <t>c6f62234-2c7c-473d-8f24-9c7fa88810fe</t>
  </si>
  <si>
    <t>b508ddc4-e210-4d7b-b671-9ef37df0edd1|RETURNS</t>
  </si>
  <si>
    <t>74069abf-d568-4304-aa51-6a5c9b081429</t>
  </si>
  <si>
    <t>b508ddc4-e210-4d7b-b671-9ef37df0edd1|TRACKTYPE</t>
  </si>
  <si>
    <t>c24063ff-747c-42c5-b8e7-8eab80abc7ae</t>
  </si>
  <si>
    <t>b508ddc4-e210-4d7b-b671-9ef37df0edd1|TRACKCOLOUR</t>
  </si>
  <si>
    <t>96d6b322-4c89-4daa-86be-c428fd6a8cb9</t>
  </si>
  <si>
    <t>b508ddc4-e210-4d7b-b671-9ef37df0edd1|CORDOP</t>
  </si>
  <si>
    <t>6c5dbbaf-6a21-46de-97bb-2439bfe3c604</t>
  </si>
  <si>
    <t>b508ddc4-e210-4d7b-b671-9ef37df0edd1|OPENING</t>
  </si>
  <si>
    <t>4dbaed8b-070e-432a-912a-2d86de1da7dc</t>
  </si>
  <si>
    <t>b508ddc4-e210-4d7b-b671-9ef37df0edd1|BRACKETS</t>
  </si>
  <si>
    <t>623c7c2c-7bc9-4f6c-9eb6-8cf118590e4b</t>
  </si>
  <si>
    <t>b508ddc4-e210-4d7b-b671-9ef37df0edd1|FLICKSTICKS</t>
  </si>
  <si>
    <t>3c4af88b-a167-418e-abf7-ade9b7291f0c</t>
  </si>
  <si>
    <t>b508ddc4-e210-4d7b-b671-9ef37df0edd1|TRACKSHAPE</t>
  </si>
  <si>
    <t>059226bf-36b5-44cd-8804-d64d5b05b9a9</t>
  </si>
  <si>
    <t>b508ddc4-e210-4d7b-b671-9ef37df0edd1|SIDEBYSIDE</t>
  </si>
  <si>
    <t>df2c917a-1236-449e-a24f-c7959978fcd0</t>
  </si>
  <si>
    <t>b508ddc4-e210-4d7b-b671-9ef37df0edd1|PELTYPE</t>
  </si>
  <si>
    <t>1ab83fc3-3a1e-4825-9a41-07eb0ee72c39</t>
  </si>
  <si>
    <t>b508ddc4-e210-4d7b-b671-9ef37df0edd1|TIEBACKS</t>
  </si>
  <si>
    <t>8bcab0dc-eceb-4fdb-ba97-ff9758c6dc24</t>
  </si>
  <si>
    <t>b508ddc4-e210-4d7b-b671-9ef37df0edd1|INSTALLATION</t>
  </si>
  <si>
    <t>0a038ad3-8368-4083-9a7c-00396a924609</t>
  </si>
  <si>
    <t>b508ddc4-e210-4d7b-b671-9ef37df0edd1|HANGHEIGHT</t>
  </si>
  <si>
    <t>0842cc1b-991a-4d7c-ae5e-e6196528c237</t>
  </si>
  <si>
    <t>b508ddc4-e210-4d7b-b671-9ef37df0edd1|INSTALLG</t>
  </si>
  <si>
    <t>6a6f4bad-17f6-4876-8680-3cfdcd09a402</t>
  </si>
  <si>
    <t>b508ddc4-e210-4d7b-b671-9ef37df0edd1|TAKEDOWN</t>
  </si>
  <si>
    <t>45fb9894-62bc-4ece-b89d-4c1cd8e56149</t>
  </si>
  <si>
    <t>b508ddc4-e210-4d7b-b671-9ef37df0edd1|CHECKM</t>
  </si>
  <si>
    <t>8c48f190-690b-4aff-b988-15b5faac2057</t>
  </si>
  <si>
    <t>b508ddc4-e210-4d7b-b671-9ef37df0edd1|NOTES</t>
  </si>
  <si>
    <t>c5c6712b-44de-42ec-b470-6bf4568cbb34</t>
  </si>
  <si>
    <t>b508ddc4-e210-4d7b-b671-9ef37df0edd1|LABOUR</t>
  </si>
  <si>
    <t>2ae32840-c6c1-4fe1-b6d2-fc73f6ed1d08</t>
  </si>
  <si>
    <t>5a69598e-d0e5-4bcc-9473-4f0e40de301b</t>
  </si>
  <si>
    <t>CURTM450T589O8</t>
  </si>
  <si>
    <t>CURT Filigree Simplicity 300cm (Continuous) Lining Off White</t>
  </si>
  <si>
    <t>Filigree</t>
  </si>
  <si>
    <t>Simplicity 300cm (Continuous) Lining</t>
  </si>
  <si>
    <t>5a69598e-d0e5-4bcc-9473-4f0e40de301b|DESCN</t>
  </si>
  <si>
    <t>ee3ca6e6-246a-46b4-b430-39d3a5b4f4d5</t>
  </si>
  <si>
    <t>5a69598e-d0e5-4bcc-9473-4f0e40de301b|SINGLE</t>
  </si>
  <si>
    <t>0f12012c-7fa3-4989-8626-622458fe783c</t>
  </si>
  <si>
    <t>5a69598e-d0e5-4bcc-9473-4f0e40de301b|ITEMWIDTH</t>
  </si>
  <si>
    <t>1eb42ab6-addd-4a74-b6ab-bcc5e0ff4065</t>
  </si>
  <si>
    <t>5a69598e-d0e5-4bcc-9473-4f0e40de301b|ITEMHEIGHT</t>
  </si>
  <si>
    <t>b6b2d1c7-3160-4be4-b63f-002f632e6a53</t>
  </si>
  <si>
    <t>5a69598e-d0e5-4bcc-9473-4f0e40de301b|SIZE</t>
  </si>
  <si>
    <t>ac151bd4-b07c-423a-bfa6-2b6381c3af9e</t>
  </si>
  <si>
    <t>5a69598e-d0e5-4bcc-9473-4f0e40de301b|DROPSIZE</t>
  </si>
  <si>
    <t>ad66e73d-5230-4074-a91e-d2d31478df13</t>
  </si>
  <si>
    <t>5a69598e-d0e5-4bcc-9473-4f0e40de301b|FIT</t>
  </si>
  <si>
    <t>a58932bc-a59c-42dc-b5a6-a69e59d8ab4c</t>
  </si>
  <si>
    <t>5a69598e-d0e5-4bcc-9473-4f0e40de301b|FIXING</t>
  </si>
  <si>
    <t>94179f66-f49c-4c8d-8c6b-83269d073ded</t>
  </si>
  <si>
    <t>5a69598e-d0e5-4bcc-9473-4f0e40de301b|MEASUREDAS</t>
  </si>
  <si>
    <t>098a52a1-b3ce-477f-9dfc-841b2f5ca2de</t>
  </si>
  <si>
    <t>5a69598e-d0e5-4bcc-9473-4f0e40de301b|FLOORING</t>
  </si>
  <si>
    <t>3d54bc4d-154d-4ccd-8b0f-f9daadea82eb</t>
  </si>
  <si>
    <t>5a69598e-d0e5-4bcc-9473-4f0e40de301b|HEIGHTOFFFLOOR</t>
  </si>
  <si>
    <t>13dd5418-f0b4-4084-b2f2-dd882cd811be</t>
  </si>
  <si>
    <t>5a69598e-d0e5-4bcc-9473-4f0e40de301b|CURTAIN</t>
  </si>
  <si>
    <t>b4f49d51-f2a5-4a6c-8074-e65619efac1f</t>
  </si>
  <si>
    <t>5a69598e-d0e5-4bcc-9473-4f0e40de301b|HEADINGSTYLE</t>
  </si>
  <si>
    <t>ad6c2804-6cec-4e4e-82cc-5d5449cba1d3</t>
  </si>
  <si>
    <t>5a69598e-d0e5-4bcc-9473-4f0e40de301b|TAPE</t>
  </si>
  <si>
    <t>77e628f4-68cb-492f-bbda-dcffb27547ac</t>
  </si>
  <si>
    <t>50mm Tape mounted 10mm from Top</t>
  </si>
  <si>
    <t>5a69598e-d0e5-4bcc-9473-4f0e40de301b|HOOK</t>
  </si>
  <si>
    <t>276bd350-dfcb-45ce-8a67-7a641763d274</t>
  </si>
  <si>
    <t>5a69598e-d0e5-4bcc-9473-4f0e40de301b|HEM</t>
  </si>
  <si>
    <t>c55bdeb3-1e72-43d9-8a37-86b88a37cbe0</t>
  </si>
  <si>
    <t>5a69598e-d0e5-4bcc-9473-4f0e40de301b|RETURNS</t>
  </si>
  <si>
    <t>13932c13-0ba9-45f5-afa9-fbc084c70f0c</t>
  </si>
  <si>
    <t>5a69598e-d0e5-4bcc-9473-4f0e40de301b|TRACKTYPE</t>
  </si>
  <si>
    <t>242d3c83-b0cb-4cb6-990e-d2c5fdf32b86</t>
  </si>
  <si>
    <t>5a69598e-d0e5-4bcc-9473-4f0e40de301b|TRACKCOLOUR</t>
  </si>
  <si>
    <t>df5d1b52-8ffa-489c-8b5e-65455a453098</t>
  </si>
  <si>
    <t>5a69598e-d0e5-4bcc-9473-4f0e40de301b|CORDOP</t>
  </si>
  <si>
    <t>efaa19d7-2d61-4f5a-ae19-423fec607c59</t>
  </si>
  <si>
    <t>5a69598e-d0e5-4bcc-9473-4f0e40de301b|OPENING</t>
  </si>
  <si>
    <t>b39aaf8d-26c7-4ac4-a9ba-10a0edb3da0c</t>
  </si>
  <si>
    <t>5a69598e-d0e5-4bcc-9473-4f0e40de301b|BRACKETS</t>
  </si>
  <si>
    <t>31d10b6b-24a2-4d3c-afbc-cb0894846f6b</t>
  </si>
  <si>
    <t>5a69598e-d0e5-4bcc-9473-4f0e40de301b|FLICKSTICKS</t>
  </si>
  <si>
    <t>83aa89fd-d6ba-4cc8-b4e6-bd71ff415fe7</t>
  </si>
  <si>
    <t>5a69598e-d0e5-4bcc-9473-4f0e40de301b|TRACKSHAPE</t>
  </si>
  <si>
    <t>91ec0c09-cbbc-4208-85dd-40ef72f96a7c</t>
  </si>
  <si>
    <t>5a69598e-d0e5-4bcc-9473-4f0e40de301b|SIDEBYSIDE</t>
  </si>
  <si>
    <t>4396a37c-39ef-4587-b468-e9621491144c</t>
  </si>
  <si>
    <t>5a69598e-d0e5-4bcc-9473-4f0e40de301b|PELTYPE</t>
  </si>
  <si>
    <t>329eeea1-48e2-4ac9-a97e-63fe81512b7a</t>
  </si>
  <si>
    <t>5a69598e-d0e5-4bcc-9473-4f0e40de301b|TIEBACKS</t>
  </si>
  <si>
    <t>11357824-593f-4294-bbcd-9e1417a0709d</t>
  </si>
  <si>
    <t>5a69598e-d0e5-4bcc-9473-4f0e40de301b|INSTALLATION</t>
  </si>
  <si>
    <t>39f13633-2c75-4227-a0fe-dae75e615efc</t>
  </si>
  <si>
    <t>5a69598e-d0e5-4bcc-9473-4f0e40de301b|HANGHEIGHT</t>
  </si>
  <si>
    <t>d8cb0520-a864-417b-92d6-3d73bf526f99</t>
  </si>
  <si>
    <t>5a69598e-d0e5-4bcc-9473-4f0e40de301b|INSTALLG</t>
  </si>
  <si>
    <t>03eda054-b3e1-4c66-82de-beedbeef5e45</t>
  </si>
  <si>
    <t>5a69598e-d0e5-4bcc-9473-4f0e40de301b|TAKEDOWN</t>
  </si>
  <si>
    <t>aa1db3d7-abe6-4069-8626-73e67a96c56f</t>
  </si>
  <si>
    <t>5a69598e-d0e5-4bcc-9473-4f0e40de301b|CHECKM</t>
  </si>
  <si>
    <t>e229d7f1-732d-426e-94d1-6f299715b935</t>
  </si>
  <si>
    <t>5a69598e-d0e5-4bcc-9473-4f0e40de301b|NOTES</t>
  </si>
  <si>
    <t>4fbf8f9c-804c-4509-ade9-a67f70744a56</t>
  </si>
  <si>
    <t>5a69598e-d0e5-4bcc-9473-4f0e40de301b|LABOUR</t>
  </si>
  <si>
    <t>6ed5817a-1970-4dd7-8642-08d40264f1b7</t>
  </si>
  <si>
    <t>Pencil Pleat Unlined</t>
  </si>
  <si>
    <t>|CHECKMEAS</t>
  </si>
  <si>
    <t>94267d04-51a2-411f-8395-5d362abeb20c</t>
  </si>
  <si>
    <t>Extras</t>
  </si>
  <si>
    <t>CHECKMEAS</t>
  </si>
  <si>
    <t>|CURTMAKING</t>
  </si>
  <si>
    <t>15124c36-ad5e-4387-be6b-c2c2f2bb7fb2</t>
  </si>
  <si>
    <t>CURTMAKING</t>
  </si>
  <si>
    <t>Jenny's Curtains - 9 Whitehills Rd, Creswick, Vic, 3363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</si>
</sst>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* #,##0_-;\-* #,##0_-;_-* &quot;-&quot;_-;_-@_-"/>
    <numFmt numFmtId="165" formatCode="_-* #,##0.00_-;\-* #,##0.00_-;_-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dd/mm/yyyy"/>
    <numFmt numFmtId="169" formatCode="0.0"/>
    <numFmt numFmtId="170" formatCode="0.0;\-0.0;&quot;0.0&quot;"/>
    <numFmt numFmtId="171" formatCode="0;\-0;&quot;0&quot;"/>
  </numFmts>
  <fonts count="69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 val="single"/>
      <sz val="7.5"/>
      <color indexed="12"/>
      <name val="Arial"/>
      <family val="2"/>
    </font>
    <font>
      <sz val="11"/>
      <color indexed="20"/>
      <name val="Calibri"/>
      <family val="2"/>
    </font>
    <font>
      <u val="single"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8"/>
      <name val="Arial"/>
      <family val="2"/>
    </font>
    <font>
      <sz val="18"/>
      <name val="Arial"/>
      <family val="2"/>
    </font>
    <font>
      <b/>
      <sz val="24"/>
      <name val="Arial"/>
      <family val="2"/>
    </font>
    <font>
      <b/>
      <sz val="26"/>
      <name val="Arial"/>
      <family val="2"/>
    </font>
    <font>
      <b/>
      <sz val="48"/>
      <name val="Arial"/>
      <family val="2"/>
    </font>
    <font>
      <b/>
      <sz val="22"/>
      <name val="Arial"/>
      <family val="2"/>
    </font>
    <font>
      <sz val="24"/>
      <name val="Arial"/>
      <family val="2"/>
    </font>
    <font>
      <sz val="22"/>
      <name val="Arial"/>
      <family val="2"/>
    </font>
    <font>
      <b/>
      <sz val="72"/>
      <name val="Arial"/>
      <family val="2"/>
    </font>
    <font>
      <sz val="26"/>
      <name val="Arial"/>
      <family val="2"/>
    </font>
    <font>
      <b/>
      <u val="single"/>
      <sz val="26"/>
      <name val="Arial"/>
      <family val="2"/>
    </font>
    <font>
      <b/>
      <sz val="32"/>
      <name val="Arial"/>
      <family val="2"/>
    </font>
    <font>
      <sz val="32"/>
      <name val="Arial"/>
      <family val="2"/>
    </font>
    <font>
      <b/>
      <u val="single"/>
      <sz val="32"/>
      <name val="Arial"/>
      <family val="2"/>
    </font>
    <font>
      <b/>
      <u val="single"/>
      <sz val="24"/>
      <name val="Arial"/>
      <family val="2"/>
    </font>
    <font>
      <b/>
      <sz val="48"/>
      <color theme="0"/>
      <name val="Arial"/>
      <family val="2"/>
    </font>
    <font>
      <sz val="10"/>
      <color rgb="FF1D1D1B"/>
      <name val="Arial"/>
      <family val="2"/>
    </font>
    <font>
      <b/>
      <sz val="36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36"/>
      <name val="Arial"/>
      <family val="2"/>
    </font>
    <font>
      <b/>
      <sz val="72"/>
      <color theme="0"/>
      <name val="Arial"/>
      <family val="2"/>
    </font>
    <font>
      <i/>
      <sz val="24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u val="single"/>
      <sz val="11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i/>
      <sz val="48"/>
      <name val="Arial"/>
      <family val="2"/>
    </font>
    <font>
      <sz val="48"/>
      <name val="Arial"/>
      <family val="2"/>
    </font>
    <font>
      <b/>
      <i/>
      <sz val="48"/>
      <name val="Arial"/>
      <family val="2"/>
    </font>
    <font>
      <sz val="36"/>
      <name val="Arial"/>
      <family val="2"/>
    </font>
    <font>
      <b/>
      <sz val="26"/>
      <color rgb="FFFF0000"/>
      <name val="Arial"/>
      <family val="2"/>
    </font>
    <font>
      <sz val="26"/>
      <color rgb="FFFF0000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i/>
      <sz val="28"/>
      <name val="Arial"/>
      <family val="2"/>
    </font>
    <font>
      <sz val="28"/>
      <name val="Arial"/>
      <family val="2"/>
    </font>
    <font>
      <b/>
      <u val="single"/>
      <sz val="36"/>
      <name val="Arial"/>
      <family val="2"/>
    </font>
  </fonts>
  <fills count="44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5590007305145"/>
        <bgColor indexed="64"/>
      </patternFill>
    </fill>
    <fill>
      <patternFill patternType="solid">
        <fgColor theme="0" tint="-0.141440004110336"/>
        <bgColor indexed="64"/>
      </patternFill>
    </fill>
    <fill>
      <patternFill patternType="solid">
        <fgColor theme="0" tint="-0.141749992966652"/>
        <bgColor indexed="64"/>
      </patternFill>
    </fill>
    <fill>
      <patternFill patternType="solid">
        <fgColor theme="0" tint="-0.141719996929169"/>
        <bgColor indexed="64"/>
      </patternFill>
    </fill>
    <fill>
      <patternFill patternType="solid">
        <fgColor theme="0" tint="-0.144830003380775"/>
        <bgColor indexed="64"/>
      </patternFill>
    </fill>
    <fill>
      <patternFill patternType="solid">
        <fgColor theme="2" tint="-0.0950900018215179"/>
        <bgColor indexed="64"/>
      </patternFill>
    </fill>
    <fill>
      <patternFill patternType="solid">
        <fgColor theme="2" tint="-0.092459999024868"/>
        <bgColor indexed="64"/>
      </patternFill>
    </fill>
    <fill>
      <patternFill patternType="solid">
        <fgColor theme="0" tint="-0.147389993071556"/>
        <bgColor indexed="64"/>
      </patternFill>
    </fill>
    <fill>
      <patternFill patternType="solid">
        <fgColor theme="9" tint="0.599749982357025"/>
        <bgColor indexed="64"/>
      </patternFill>
    </fill>
    <fill>
      <patternFill patternType="solid">
        <fgColor theme="5" tint="0.799860000610352"/>
        <bgColor indexed="64"/>
      </patternFill>
    </fill>
    <fill>
      <patternFill patternType="solid">
        <fgColor theme="4" tint="0.59974998235702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5400011539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3479990959167"/>
        <bgColor indexed="64"/>
      </patternFill>
    </fill>
    <fill>
      <patternFill patternType="solid">
        <fgColor theme="0" tint="-0.244020000100136"/>
        <bgColor indexed="64"/>
      </patternFill>
    </fill>
    <fill>
      <patternFill patternType="solid">
        <fgColor theme="0" tint="-0.245450004935265"/>
        <bgColor indexed="64"/>
      </patternFill>
    </fill>
    <fill>
      <patternFill patternType="solid">
        <fgColor theme="0" tint="-0.141839995980263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/>
      <right/>
      <top/>
      <bottom style="thick">
        <color indexed="54"/>
      </bottom>
    </border>
    <border>
      <left/>
      <right/>
      <top/>
      <bottom style="thick">
        <color indexed="22"/>
      </bottom>
    </border>
    <border>
      <left/>
      <right/>
      <top/>
      <bottom style="medium">
        <color indexed="44"/>
      </bottom>
    </border>
    <border>
      <left/>
      <right/>
      <top/>
      <bottom style="double">
        <color indexed="5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/>
      <right/>
      <top style="thin">
        <color indexed="54"/>
      </top>
      <bottom style="double">
        <color indexed="54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/>
      <right style="thin"/>
      <top style="thin"/>
      <bottom style="thin"/>
    </border>
    <border>
      <left style="thin"/>
      <right style="thin"/>
      <top/>
      <bottom style="thin"/>
    </border>
    <border>
      <left style="medium"/>
      <right/>
      <top style="medium"/>
      <bottom style="medium"/>
    </border>
    <border>
      <left style="medium"/>
      <right style="medium"/>
      <top style="medium"/>
      <bottom style="medium"/>
    </border>
    <border>
      <left/>
      <right/>
      <top style="medium"/>
      <bottom style="medium"/>
    </border>
    <border>
      <left/>
      <right style="medium"/>
      <top style="medium"/>
      <bottom style="medium"/>
    </border>
    <border>
      <left style="thin"/>
      <right/>
      <top style="thin"/>
      <bottom style="thin"/>
    </border>
    <border>
      <left/>
      <right style="thin"/>
      <top style="thin"/>
      <bottom style="thin"/>
    </border>
    <border>
      <left/>
      <right/>
      <top/>
      <bottom style="thin"/>
    </border>
    <border>
      <left/>
      <right/>
      <top style="thin"/>
      <bottom style="thin"/>
    </border>
    <border>
      <left style="thin"/>
      <right style="thin"/>
      <top/>
      <bottom/>
    </border>
    <border>
      <left style="thin"/>
      <right style="thin"/>
      <top style="thin"/>
      <bottom/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thin"/>
      <right/>
      <top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/>
      <top/>
      <bottom/>
    </border>
    <border>
      <left style="medium"/>
      <right/>
      <top style="medium"/>
      <bottom/>
    </border>
    <border>
      <left/>
      <right/>
      <top style="medium"/>
      <bottom/>
    </border>
    <border>
      <left/>
      <right style="medium"/>
      <top style="medium"/>
      <bottom/>
    </border>
  </borders>
  <cellStyleXfs count="105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167" fontId="0" fillId="0" borderId="0" applyFont="0" applyFill="0" applyBorder="0" applyAlignment="0" applyProtection="0"/>
    <xf numFmtId="166" fontId="0" fillId="0" borderId="0" applyFont="0" applyFill="0" applyBorder="0" applyAlignment="0" applyProtection="0"/>
    <xf numFmtId="165" fontId="0" fillId="0" borderId="0" applyFont="0" applyFill="0" applyBorder="0" applyAlignment="0" applyProtection="0"/>
    <xf numFmtId="164" fontId="0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164" fontId="0" fillId="0" borderId="0" applyFont="0" applyFill="0" applyBorder="0" applyAlignment="0" applyProtection="0"/>
    <xf numFmtId="165" fontId="0" fillId="0" borderId="0" applyFont="0" applyFill="0" applyBorder="0" applyAlignment="0" applyProtection="0"/>
    <xf numFmtId="165" fontId="0" fillId="0" borderId="0" applyFont="0" applyFill="0" applyBorder="0" applyAlignment="0" applyProtection="0"/>
    <xf numFmtId="166" fontId="0" fillId="0" borderId="0" applyFont="0" applyFill="0" applyBorder="0" applyAlignment="0" applyProtection="0"/>
    <xf numFmtId="167" fontId="0" fillId="0" borderId="0" applyFont="0" applyFill="0" applyBorder="0" applyAlignment="0" applyProtection="0"/>
    <xf numFmtId="167" fontId="0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>
      <alignment/>
      <protection/>
    </xf>
    <xf numFmtId="0" fontId="1" fillId="0" borderId="0">
      <alignment/>
      <protection/>
    </xf>
    <xf numFmtId="0" fontId="0" fillId="6" borderId="7" applyNumberFormat="0" applyFont="0" applyAlignment="0" applyProtection="0"/>
    <xf numFmtId="0" fontId="19" fillId="15" borderId="8" applyNumberFormat="0" applyAlignment="0" applyProtection="0"/>
    <xf numFmtId="9" fontId="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14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20" borderId="10" applyNumberFormat="0" applyAlignment="0" applyProtection="0"/>
    <xf numFmtId="0" fontId="0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49" fillId="0" borderId="0">
      <alignment/>
      <protection/>
    </xf>
    <xf numFmtId="0" fontId="1" fillId="0" borderId="0">
      <alignment/>
      <protection/>
    </xf>
  </cellStyleXfs>
  <cellXfs count="372">
    <xf numFmtId="0" fontId="0" fillId="0" borderId="0" xfId="0"/>
    <xf numFmtId="0" fontId="61" fillId="0" borderId="11" xfId="0" applyFont="1" applyBorder="1" applyAlignment="1" applyProtection="1">
      <alignment horizontal="center" vertical="center" wrapText="1"/>
      <protection locked="0"/>
    </xf>
    <xf numFmtId="0" fontId="36" fillId="0" borderId="11" xfId="0" applyFont="1" applyBorder="1" applyAlignment="1">
      <alignment horizontal="center" vertical="center" wrapText="1"/>
    </xf>
    <xf numFmtId="14" fontId="30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0" fillId="15" borderId="11" xfId="0" applyFont="1" applyFill="1" applyBorder="1" applyAlignment="1" applyProtection="1">
      <alignment horizontal="center" vertical="center" wrapText="1"/>
      <protection locked="0"/>
    </xf>
    <xf numFmtId="0" fontId="30" fillId="15" borderId="11" xfId="0" applyFont="1" applyFill="1" applyBorder="1" applyAlignment="1">
      <alignment horizontal="center" vertical="center" wrapText="1"/>
    </xf>
    <xf numFmtId="0" fontId="30" fillId="0" borderId="11" xfId="0" applyFont="1" applyBorder="1" applyAlignment="1" applyProtection="1">
      <alignment horizontal="center" vertical="center" wrapText="1"/>
      <protection locked="0"/>
    </xf>
    <xf numFmtId="0" fontId="36" fillId="0" borderId="11" xfId="0" applyFont="1" applyBorder="1" applyAlignment="1" applyProtection="1">
      <alignment horizontal="center" vertical="center" wrapText="1"/>
      <protection locked="0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2" fillId="0" borderId="0" xfId="72"/>
    <xf numFmtId="0" fontId="4" fillId="0" borderId="11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1" fillId="0" borderId="0" xfId="85">
      <alignment/>
      <protection/>
    </xf>
    <xf numFmtId="0" fontId="0" fillId="0" borderId="11" xfId="0" applyBorder="1"/>
    <xf numFmtId="0" fontId="36" fillId="0" borderId="11" xfId="0" applyFont="1" applyBorder="1" applyAlignment="1" applyProtection="1">
      <alignment horizontal="center" vertical="center" wrapText="1"/>
      <protection hidden="1" locked="0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36" fillId="0" borderId="0" xfId="0" applyFont="1" applyAlignment="1">
      <alignment vertical="center"/>
    </xf>
    <xf numFmtId="0" fontId="36" fillId="0" borderId="0" xfId="0" applyFont="1"/>
    <xf numFmtId="2" fontId="0" fillId="0" borderId="0" xfId="0" applyNumberForma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/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2" fontId="0" fillId="0" borderId="0" xfId="0" applyNumberFormat="1"/>
    <xf numFmtId="0" fontId="28" fillId="0" borderId="0" xfId="0" applyFont="1"/>
    <xf numFmtId="0" fontId="28" fillId="0" borderId="0" xfId="0" applyFont="1" applyAlignment="1">
      <alignment horizontal="center"/>
    </xf>
    <xf numFmtId="168" fontId="0" fillId="0" borderId="0" xfId="0" applyNumberFormat="1"/>
    <xf numFmtId="0" fontId="34" fillId="0" borderId="0" xfId="0" applyFont="1" applyAlignment="1">
      <alignment wrapText="1"/>
    </xf>
    <xf numFmtId="0" fontId="34" fillId="0" borderId="0" xfId="0" applyFont="1" applyAlignment="1">
      <alignment horizontal="center" wrapText="1"/>
    </xf>
    <xf numFmtId="1" fontId="0" fillId="0" borderId="0" xfId="0" applyNumberFormat="1"/>
    <xf numFmtId="0" fontId="43" fillId="0" borderId="0" xfId="0" applyFont="1"/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21" borderId="0" xfId="0" applyFill="1"/>
    <xf numFmtId="0" fontId="45" fillId="21" borderId="0" xfId="0" applyFont="1" applyFill="1"/>
    <xf numFmtId="0" fontId="45" fillId="0" borderId="0" xfId="85" applyFont="1">
      <alignment/>
      <protection/>
    </xf>
    <xf numFmtId="0" fontId="29" fillId="0" borderId="11" xfId="0" applyFont="1" applyBorder="1" applyAlignment="1" applyProtection="1">
      <alignment horizontal="center" vertical="center" wrapText="1"/>
      <protection hidden="1" locked="0"/>
    </xf>
    <xf numFmtId="0" fontId="48" fillId="0" borderId="11" xfId="0" applyFont="1" applyBorder="1" applyAlignment="1" applyProtection="1">
      <alignment horizontal="center" vertical="center" wrapText="1"/>
      <protection hidden="1" locked="0"/>
    </xf>
    <xf numFmtId="0" fontId="33" fillId="0" borderId="0" xfId="0" applyFont="1" applyAlignment="1">
      <alignment horizontal="left"/>
    </xf>
    <xf numFmtId="0" fontId="33" fillId="0" borderId="0" xfId="0" applyFont="1"/>
    <xf numFmtId="0" fontId="33" fillId="0" borderId="0" xfId="0" applyFont="1" applyAlignment="1">
      <alignment horizontal="center" wrapText="1"/>
    </xf>
    <xf numFmtId="0" fontId="33" fillId="15" borderId="0" xfId="0" applyFont="1" applyFill="1" applyAlignment="1">
      <alignment horizontal="center" wrapText="1"/>
    </xf>
    <xf numFmtId="0" fontId="33" fillId="0" borderId="11" xfId="0" applyFont="1" applyBorder="1" applyAlignment="1">
      <alignment horizontal="right" vertical="center" wrapText="1"/>
    </xf>
    <xf numFmtId="0" fontId="33" fillId="0" borderId="11" xfId="0" applyFont="1" applyBorder="1" applyAlignment="1" applyProtection="1">
      <alignment horizontal="center" vertical="center" wrapText="1"/>
      <protection locked="0"/>
    </xf>
    <xf numFmtId="0" fontId="33" fillId="0" borderId="11" xfId="0" applyFont="1" applyBorder="1" applyAlignment="1" applyProtection="1">
      <alignment horizontal="center" vertical="center" wrapText="1"/>
      <protection hidden="1" locked="0"/>
    </xf>
    <xf numFmtId="0" fontId="33" fillId="0" borderId="0" xfId="0" applyFont="1" applyAlignment="1">
      <alignment wrapText="1"/>
    </xf>
    <xf numFmtId="0" fontId="36" fillId="0" borderId="0" xfId="0" applyFont="1" applyAlignment="1">
      <alignment horizontal="left"/>
    </xf>
    <xf numFmtId="0" fontId="36" fillId="0" borderId="0" xfId="0" applyFont="1" applyAlignment="1">
      <alignment wrapText="1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center" wrapText="1"/>
    </xf>
    <xf numFmtId="0" fontId="36" fillId="15" borderId="0" xfId="0" applyFont="1" applyFill="1" applyAlignment="1">
      <alignment horizontal="center" wrapText="1"/>
    </xf>
    <xf numFmtId="0" fontId="0" fillId="22" borderId="0" xfId="0" applyFill="1"/>
    <xf numFmtId="1" fontId="0" fillId="22" borderId="0" xfId="0" applyNumberFormat="1" applyFill="1"/>
    <xf numFmtId="0" fontId="43" fillId="22" borderId="0" xfId="0" applyFont="1" applyFill="1"/>
    <xf numFmtId="0" fontId="49" fillId="0" borderId="0" xfId="103" applyAlignment="1">
      <alignment horizontal="left" vertical="top"/>
      <protection/>
    </xf>
    <xf numFmtId="0" fontId="49" fillId="0" borderId="0" xfId="103" applyAlignment="1">
      <alignment horizontal="center" vertical="center"/>
      <protection/>
    </xf>
    <xf numFmtId="0" fontId="50" fillId="0" borderId="0" xfId="103" applyFont="1" applyAlignment="1">
      <alignment horizontal="center" vertical="center"/>
      <protection/>
    </xf>
    <xf numFmtId="0" fontId="51" fillId="0" borderId="0" xfId="103" applyFont="1" applyAlignment="1">
      <alignment horizontal="left" vertical="top"/>
      <protection/>
    </xf>
    <xf numFmtId="0" fontId="51" fillId="0" borderId="0" xfId="103" applyFont="1" applyAlignment="1">
      <alignment horizontal="left" wrapText="1"/>
      <protection/>
    </xf>
    <xf numFmtId="0" fontId="52" fillId="0" borderId="0" xfId="103" applyFont="1" applyAlignment="1">
      <alignment horizontal="center" vertical="center"/>
      <protection/>
    </xf>
    <xf numFmtId="0" fontId="52" fillId="0" borderId="0" xfId="103" applyFont="1" applyAlignment="1">
      <alignment horizontal="center" vertical="center" wrapText="1"/>
      <protection/>
    </xf>
    <xf numFmtId="0" fontId="0" fillId="0" borderId="12" xfId="0" applyBorder="1"/>
    <xf numFmtId="0" fontId="51" fillId="0" borderId="0" xfId="103" applyFont="1" applyAlignment="1">
      <alignment horizontal="center" vertical="center"/>
      <protection/>
    </xf>
    <xf numFmtId="0" fontId="51" fillId="0" borderId="0" xfId="103" applyFont="1" applyAlignment="1">
      <alignment horizontal="center" vertical="center" wrapText="1"/>
      <protection/>
    </xf>
    <xf numFmtId="0" fontId="51" fillId="0" borderId="0" xfId="103" applyFont="1" applyAlignment="1">
      <alignment horizontal="center" vertical="top" wrapText="1"/>
      <protection/>
    </xf>
    <xf numFmtId="0" fontId="56" fillId="0" borderId="0" xfId="85" applyFont="1">
      <alignment/>
      <protection/>
    </xf>
    <xf numFmtId="0" fontId="57" fillId="21" borderId="0" xfId="85" applyFont="1" applyFill="1">
      <alignment/>
      <protection/>
    </xf>
    <xf numFmtId="0" fontId="57" fillId="21" borderId="0" xfId="85" applyFont="1" applyFill="1" applyAlignment="1">
      <alignment wrapText="1"/>
      <protection/>
    </xf>
    <xf numFmtId="0" fontId="57" fillId="21" borderId="0" xfId="85" applyFont="1" applyFill="1" applyAlignment="1">
      <alignment horizontal="center" wrapText="1"/>
      <protection/>
    </xf>
    <xf numFmtId="0" fontId="57" fillId="0" borderId="0" xfId="85" applyFont="1">
      <alignment/>
      <protection/>
    </xf>
    <xf numFmtId="0" fontId="57" fillId="23" borderId="0" xfId="85" applyFont="1" applyFill="1">
      <alignment/>
      <protection/>
    </xf>
    <xf numFmtId="0" fontId="56" fillId="0" borderId="0" xfId="85" applyFont="1" applyAlignment="1">
      <alignment horizontal="left"/>
      <protection/>
    </xf>
    <xf numFmtId="0" fontId="0" fillId="0" borderId="0" xfId="0" applyAlignment="1" applyProtection="1">
      <alignment horizontal="left" vertical="center" wrapText="1"/>
      <protection hidden="1" locked="0"/>
    </xf>
    <xf numFmtId="0" fontId="56" fillId="0" borderId="11" xfId="85" applyFont="1" applyBorder="1">
      <alignment/>
      <protection/>
    </xf>
    <xf numFmtId="0" fontId="56" fillId="22" borderId="0" xfId="85" applyFont="1" applyFill="1">
      <alignment/>
      <protection/>
    </xf>
    <xf numFmtId="0" fontId="58" fillId="0" borderId="11" xfId="0" applyFont="1" applyBorder="1" applyAlignment="1" applyProtection="1">
      <alignment horizontal="center" vertical="center" wrapText="1"/>
      <protection hidden="1" locked="0"/>
    </xf>
    <xf numFmtId="0" fontId="59" fillId="0" borderId="11" xfId="0" applyFont="1" applyBorder="1" applyAlignment="1">
      <alignment horizontal="right" vertical="center" wrapText="1"/>
    </xf>
    <xf numFmtId="0" fontId="59" fillId="0" borderId="11" xfId="0" applyFont="1" applyBorder="1" applyAlignment="1" applyProtection="1">
      <alignment horizontal="center" vertical="center" wrapText="1"/>
      <protection locked="0"/>
    </xf>
    <xf numFmtId="0" fontId="59" fillId="0" borderId="11" xfId="0" applyFont="1" applyBorder="1" applyAlignment="1" applyProtection="1">
      <alignment horizontal="center" vertical="center" wrapText="1"/>
      <protection hidden="1" locked="0"/>
    </xf>
    <xf numFmtId="0" fontId="59" fillId="0" borderId="0" xfId="0" applyFont="1" applyAlignment="1">
      <alignment wrapText="1"/>
    </xf>
    <xf numFmtId="0" fontId="59" fillId="0" borderId="0" xfId="0" applyFont="1"/>
    <xf numFmtId="0" fontId="51" fillId="0" borderId="11" xfId="103" applyFont="1" applyBorder="1" applyAlignment="1">
      <alignment horizontal="left" vertical="top"/>
      <protection/>
    </xf>
    <xf numFmtId="0" fontId="57" fillId="23" borderId="13" xfId="85" applyFont="1" applyFill="1" applyBorder="1" applyAlignment="1">
      <alignment horizontal="center" vertical="center"/>
      <protection/>
    </xf>
    <xf numFmtId="0" fontId="57" fillId="23" borderId="14" xfId="85" applyFont="1" applyFill="1" applyBorder="1" applyAlignment="1">
      <alignment horizontal="center" vertical="center"/>
      <protection/>
    </xf>
    <xf numFmtId="0" fontId="57" fillId="23" borderId="15" xfId="85" applyFont="1" applyFill="1" applyBorder="1" applyAlignment="1">
      <alignment horizontal="center" vertical="center"/>
      <protection/>
    </xf>
    <xf numFmtId="0" fontId="57" fillId="23" borderId="16" xfId="85" applyFont="1" applyFill="1" applyBorder="1" applyAlignment="1">
      <alignment horizontal="center" vertical="center" wrapText="1"/>
      <protection/>
    </xf>
    <xf numFmtId="0" fontId="57" fillId="0" borderId="0" xfId="85" applyFont="1" applyAlignment="1">
      <alignment horizontal="center" vertical="center"/>
      <protection/>
    </xf>
    <xf numFmtId="0" fontId="57" fillId="23" borderId="0" xfId="85" applyFont="1" applyFill="1" applyAlignment="1">
      <alignment horizontal="center" vertical="center" wrapText="1"/>
      <protection/>
    </xf>
    <xf numFmtId="0" fontId="0" fillId="0" borderId="11" xfId="103" applyFont="1" applyBorder="1" applyAlignment="1">
      <alignment horizontal="center" vertical="center" wrapText="1"/>
      <protection/>
    </xf>
    <xf numFmtId="0" fontId="0" fillId="0" borderId="11" xfId="0" applyBorder="1" applyAlignment="1">
      <alignment horizontal="center" vertical="center"/>
    </xf>
    <xf numFmtId="0" fontId="33" fillId="0" borderId="11" xfId="0" applyFont="1" applyBorder="1" applyAlignment="1">
      <alignment horizontal="center" vertical="center" wrapText="1"/>
    </xf>
    <xf numFmtId="0" fontId="33" fillId="24" borderId="11" xfId="0" applyFont="1" applyFill="1" applyBorder="1" applyAlignment="1" applyProtection="1">
      <alignment horizontal="center" vertical="center" wrapText="1"/>
      <protection locked="0"/>
    </xf>
    <xf numFmtId="0" fontId="29" fillId="25" borderId="11" xfId="0" applyFont="1" applyFill="1" applyBorder="1" applyAlignment="1" applyProtection="1">
      <alignment horizontal="center" vertical="center" wrapText="1"/>
      <protection locked="0"/>
    </xf>
    <xf numFmtId="0" fontId="33" fillId="26" borderId="11" xfId="0" applyFont="1" applyFill="1" applyBorder="1" applyAlignment="1" applyProtection="1">
      <alignment horizontal="center" vertical="center" wrapText="1"/>
      <protection hidden="1" locked="0"/>
    </xf>
    <xf numFmtId="0" fontId="33" fillId="27" borderId="11" xfId="0" applyFont="1" applyFill="1" applyBorder="1" applyAlignment="1" applyProtection="1">
      <alignment horizontal="center" vertical="center" wrapText="1"/>
      <protection hidden="1" locked="0"/>
    </xf>
    <xf numFmtId="1" fontId="33" fillId="0" borderId="11" xfId="0" applyNumberFormat="1" applyFont="1" applyBorder="1" applyAlignment="1" applyProtection="1">
      <alignment horizontal="center" vertical="center" wrapText="1"/>
      <protection hidden="1" locked="0"/>
    </xf>
    <xf numFmtId="0" fontId="33" fillId="28" borderId="11" xfId="0" applyFont="1" applyFill="1" applyBorder="1" applyAlignment="1" applyProtection="1">
      <alignment horizontal="center" vertical="center" wrapText="1"/>
      <protection hidden="1" locked="0"/>
    </xf>
    <xf numFmtId="1" fontId="39" fillId="0" borderId="11" xfId="0" applyNumberFormat="1" applyFont="1" applyBorder="1" applyAlignment="1" applyProtection="1">
      <alignment horizontal="center" vertical="center" wrapText="1"/>
      <protection hidden="1" locked="0"/>
    </xf>
    <xf numFmtId="1" fontId="36" fillId="0" borderId="11" xfId="0" applyNumberFormat="1" applyFont="1" applyBorder="1" applyAlignment="1" applyProtection="1">
      <alignment horizontal="center" vertical="center" wrapText="1"/>
      <protection hidden="1" locked="0"/>
    </xf>
    <xf numFmtId="0" fontId="29" fillId="15" borderId="11" xfId="0" applyFont="1" applyFill="1" applyBorder="1" applyAlignment="1">
      <alignment vertical="center" wrapText="1"/>
    </xf>
    <xf numFmtId="0" fontId="29" fillId="15" borderId="11" xfId="0" applyFont="1" applyFill="1" applyBorder="1" applyAlignment="1">
      <alignment horizontal="center" vertical="center" wrapText="1"/>
    </xf>
    <xf numFmtId="0" fontId="29" fillId="0" borderId="11" xfId="0" applyFont="1" applyBorder="1" applyAlignment="1" applyProtection="1">
      <alignment horizontal="center" vertical="center" wrapText="1"/>
      <protection locked="0"/>
    </xf>
    <xf numFmtId="14" fontId="29" fillId="15" borderId="11" xfId="0" applyNumberFormat="1" applyFont="1" applyFill="1" applyBorder="1" applyAlignment="1" applyProtection="1">
      <alignment vertical="center" wrapText="1"/>
      <protection locked="0"/>
    </xf>
    <xf numFmtId="0" fontId="29" fillId="15" borderId="11" xfId="0" applyFont="1" applyFill="1" applyBorder="1" applyAlignment="1" applyProtection="1">
      <alignment horizontal="center" vertical="center" wrapText="1"/>
      <protection locked="0"/>
    </xf>
    <xf numFmtId="14" fontId="29" fillId="0" borderId="11" xfId="0" applyNumberFormat="1" applyFont="1" applyBorder="1" applyAlignment="1" applyProtection="1">
      <alignment horizontal="center" vertical="center" wrapText="1"/>
      <protection locked="0"/>
    </xf>
    <xf numFmtId="14" fontId="29" fillId="15" borderId="11" xfId="0" applyNumberFormat="1" applyFont="1" applyFill="1" applyBorder="1" applyAlignment="1" applyProtection="1">
      <alignment wrapText="1"/>
      <protection locked="0"/>
    </xf>
    <xf numFmtId="0" fontId="57" fillId="23" borderId="0" xfId="85" applyFont="1" applyFill="1" applyAlignment="1">
      <alignment horizontal="center" vertical="center"/>
      <protection/>
    </xf>
    <xf numFmtId="0" fontId="2" fillId="0" borderId="0" xfId="0" applyFont="1" applyAlignment="1">
      <alignment horizontal="center" textRotation="90" wrapText="1"/>
    </xf>
    <xf numFmtId="0" fontId="2" fillId="0" borderId="0" xfId="0" applyFont="1" applyAlignment="1">
      <alignment horizontal="center" vertical="center" wrapText="1"/>
    </xf>
    <xf numFmtId="1" fontId="2" fillId="0" borderId="0" xfId="0" applyNumberFormat="1" applyFont="1" applyAlignment="1">
      <alignment horizontal="center" textRotation="90" wrapText="1"/>
    </xf>
    <xf numFmtId="1" fontId="2" fillId="0" borderId="0" xfId="0" applyNumberFormat="1" applyFont="1"/>
    <xf numFmtId="169" fontId="2" fillId="0" borderId="0" xfId="0" applyNumberFormat="1" applyFont="1"/>
    <xf numFmtId="0" fontId="36" fillId="0" borderId="11" xfId="0" applyFont="1" applyBorder="1" applyAlignment="1">
      <alignment horizontal="right" vertical="center" wrapText="1"/>
    </xf>
    <xf numFmtId="0" fontId="30" fillId="15" borderId="11" xfId="0" applyFont="1" applyFill="1" applyBorder="1" applyAlignment="1">
      <alignment vertical="center" wrapText="1"/>
    </xf>
    <xf numFmtId="0" fontId="45" fillId="21" borderId="0" xfId="0" applyFont="1" applyFill="1" applyAlignment="1">
      <alignment horizontal="center" vertical="center" wrapText="1"/>
    </xf>
    <xf numFmtId="0" fontId="45" fillId="23" borderId="0" xfId="85" applyFont="1" applyFill="1">
      <alignment/>
      <protection/>
    </xf>
    <xf numFmtId="0" fontId="60" fillId="0" borderId="11" xfId="0" applyFont="1" applyBorder="1" applyAlignment="1" applyProtection="1">
      <alignment horizontal="center" vertical="center" wrapText="1"/>
      <protection hidden="1" locked="0"/>
    </xf>
    <xf numFmtId="1" fontId="31" fillId="29" borderId="11" xfId="0" applyNumberFormat="1" applyFont="1" applyFill="1" applyBorder="1" applyAlignment="1" applyProtection="1">
      <alignment horizontal="center" vertical="center" wrapText="1"/>
      <protection hidden="1" locked="0"/>
    </xf>
    <xf numFmtId="1" fontId="59" fillId="0" borderId="11" xfId="0" applyNumberFormat="1" applyFont="1" applyBorder="1" applyAlignment="1" applyProtection="1">
      <alignment horizontal="center" vertical="center" wrapText="1"/>
      <protection hidden="1" locked="0"/>
    </xf>
    <xf numFmtId="1" fontId="31" fillId="30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61" fillId="0" borderId="11" xfId="0" applyFont="1" applyBorder="1" applyAlignment="1">
      <alignment horizontal="right" vertical="center" wrapText="1"/>
    </xf>
    <xf numFmtId="0" fontId="61" fillId="0" borderId="11" xfId="0" applyFont="1" applyBorder="1" applyAlignment="1" applyProtection="1">
      <alignment horizontal="center" vertical="center" wrapText="1"/>
      <protection hidden="1" locked="0"/>
    </xf>
    <xf numFmtId="0" fontId="46" fillId="30" borderId="11" xfId="0" applyFont="1" applyFill="1" applyBorder="1" applyAlignment="1" applyProtection="1">
      <alignment horizontal="center" vertical="center" wrapText="1"/>
      <protection hidden="1" locked="0"/>
    </xf>
    <xf numFmtId="1" fontId="61" fillId="0" borderId="11" xfId="0" applyNumberFormat="1" applyFont="1" applyBorder="1" applyAlignment="1" applyProtection="1">
      <alignment horizontal="center" vertical="center" wrapText="1"/>
      <protection hidden="1" locked="0"/>
    </xf>
    <xf numFmtId="1" fontId="46" fillId="30" borderId="11" xfId="0" applyNumberFormat="1" applyFont="1" applyFill="1" applyBorder="1" applyAlignment="1" applyProtection="1">
      <alignment horizontal="center" vertical="center" wrapText="1"/>
      <protection hidden="1" locked="0"/>
    </xf>
    <xf numFmtId="169" fontId="61" fillId="0" borderId="11" xfId="0" applyNumberFormat="1" applyFont="1" applyBorder="1" applyAlignment="1" applyProtection="1">
      <alignment horizontal="center" vertical="center" wrapText="1"/>
      <protection hidden="1" locked="0"/>
    </xf>
    <xf numFmtId="169" fontId="46" fillId="21" borderId="11" xfId="0" applyNumberFormat="1" applyFont="1" applyFill="1" applyBorder="1" applyAlignment="1" applyProtection="1">
      <alignment horizontal="center" vertical="center" wrapText="1"/>
      <protection locked="0"/>
    </xf>
    <xf numFmtId="0" fontId="57" fillId="0" borderId="0" xfId="85" applyFont="1" applyAlignment="1">
      <alignment horizontal="center" wrapText="1"/>
      <protection/>
    </xf>
    <xf numFmtId="169" fontId="31" fillId="0" borderId="11" xfId="0" applyNumberFormat="1" applyFont="1" applyBorder="1" applyAlignment="1" applyProtection="1">
      <alignment horizontal="center" vertical="center" wrapText="1"/>
      <protection locked="0"/>
    </xf>
    <xf numFmtId="0" fontId="28" fillId="0" borderId="11" xfId="0" applyFont="1" applyBorder="1" applyAlignment="1">
      <alignment horizontal="center" vertical="center" wrapText="1"/>
    </xf>
    <xf numFmtId="0" fontId="28" fillId="0" borderId="11" xfId="0" applyFont="1" applyBorder="1" applyAlignment="1" applyProtection="1">
      <alignment horizontal="center" vertical="center" wrapText="1"/>
      <protection locked="0"/>
    </xf>
    <xf numFmtId="0" fontId="28" fillId="0" borderId="11" xfId="0" applyFont="1" applyBorder="1" applyAlignment="1" applyProtection="1">
      <alignment horizontal="center" vertical="center" wrapText="1"/>
      <protection hidden="1" locked="0"/>
    </xf>
    <xf numFmtId="1" fontId="28" fillId="0" borderId="11" xfId="0" applyNumberFormat="1" applyFont="1" applyBorder="1" applyAlignment="1" applyProtection="1">
      <alignment horizontal="center" vertical="center" wrapText="1"/>
      <protection hidden="1" locked="0"/>
    </xf>
    <xf numFmtId="169" fontId="2" fillId="0" borderId="0" xfId="0" applyNumberFormat="1" applyFont="1" applyAlignment="1">
      <alignment horizontal="center" textRotation="90" wrapText="1"/>
    </xf>
    <xf numFmtId="0" fontId="31" fillId="30" borderId="11" xfId="0" applyFont="1" applyFill="1" applyBorder="1" applyAlignment="1" applyProtection="1">
      <alignment horizontal="center" vertical="center" wrapText="1"/>
      <protection hidden="1" locked="0"/>
    </xf>
    <xf numFmtId="0" fontId="4" fillId="0" borderId="11" xfId="103" applyFont="1" applyBorder="1" applyAlignment="1">
      <alignment horizontal="center" vertical="center" wrapText="1"/>
      <protection/>
    </xf>
    <xf numFmtId="1" fontId="51" fillId="0" borderId="11" xfId="103" applyNumberFormat="1" applyFont="1" applyBorder="1" applyAlignment="1">
      <alignment horizontal="center" vertical="center" shrinkToFit="1"/>
      <protection/>
    </xf>
    <xf numFmtId="0" fontId="51" fillId="0" borderId="11" xfId="103" applyFont="1" applyBorder="1" applyAlignment="1">
      <alignment horizontal="center" vertical="center"/>
      <protection/>
    </xf>
    <xf numFmtId="0" fontId="51" fillId="0" borderId="0" xfId="103" applyFont="1" applyAlignment="1">
      <alignment wrapText="1"/>
      <protection/>
    </xf>
    <xf numFmtId="0" fontId="51" fillId="0" borderId="0" xfId="103" applyFont="1" applyAlignment="1">
      <alignment vertical="top"/>
      <protection/>
    </xf>
    <xf numFmtId="0" fontId="39" fillId="0" borderId="11" xfId="0" applyFont="1" applyBorder="1" applyAlignment="1">
      <alignment horizontal="center" vertical="center"/>
    </xf>
    <xf numFmtId="0" fontId="52" fillId="21" borderId="17" xfId="103" applyFont="1" applyFill="1" applyBorder="1" applyAlignment="1">
      <alignment horizontal="center" vertical="center"/>
      <protection/>
    </xf>
    <xf numFmtId="0" fontId="52" fillId="21" borderId="18" xfId="103" applyFont="1" applyFill="1" applyBorder="1" applyAlignment="1">
      <alignment horizontal="center" vertical="center"/>
      <protection/>
    </xf>
    <xf numFmtId="0" fontId="52" fillId="21" borderId="11" xfId="103" applyFont="1" applyFill="1" applyBorder="1" applyAlignment="1">
      <alignment horizontal="center" vertical="center"/>
      <protection/>
    </xf>
    <xf numFmtId="169" fontId="0" fillId="0" borderId="11" xfId="0" applyNumberFormat="1" applyBorder="1" applyAlignment="1">
      <alignment horizontal="center" vertical="center"/>
    </xf>
    <xf numFmtId="169" fontId="51" fillId="0" borderId="11" xfId="103" applyNumberFormat="1" applyFont="1" applyBorder="1" applyAlignment="1">
      <alignment horizontal="center" vertical="center"/>
      <protection/>
    </xf>
    <xf numFmtId="1" fontId="51" fillId="0" borderId="0" xfId="103" applyNumberFormat="1" applyFont="1" applyAlignment="1">
      <alignment horizontal="left" vertical="top"/>
      <protection/>
    </xf>
    <xf numFmtId="1" fontId="0" fillId="0" borderId="11" xfId="0" applyNumberFormat="1" applyBorder="1" applyAlignment="1">
      <alignment horizontal="center" vertical="center"/>
    </xf>
    <xf numFmtId="0" fontId="36" fillId="0" borderId="0" xfId="0" applyFont="1" applyAlignment="1">
      <alignment horizontal="left" wrapText="1"/>
    </xf>
    <xf numFmtId="0" fontId="63" fillId="0" borderId="11" xfId="0" applyFont="1" applyBorder="1" applyAlignment="1" applyProtection="1">
      <alignment horizontal="center" vertical="center" wrapText="1"/>
      <protection locked="0"/>
    </xf>
    <xf numFmtId="0" fontId="63" fillId="0" borderId="11" xfId="0" applyFont="1" applyBorder="1" applyAlignment="1" applyProtection="1">
      <alignment horizontal="center" vertical="center" wrapText="1"/>
      <protection hidden="1" locked="0"/>
    </xf>
    <xf numFmtId="0" fontId="2" fillId="0" borderId="19" xfId="0" applyFont="1" applyBorder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30" fillId="31" borderId="11" xfId="0" applyFont="1" applyFill="1" applyBorder="1" applyAlignment="1" applyProtection="1">
      <alignment horizontal="center" vertical="center" wrapText="1"/>
      <protection locked="0"/>
    </xf>
    <xf numFmtId="0" fontId="30" fillId="31" borderId="11" xfId="0" applyFont="1" applyFill="1" applyBorder="1" applyAlignment="1" applyProtection="1">
      <alignment horizontal="center" vertical="center" wrapText="1"/>
      <protection hidden="1" locked="0"/>
    </xf>
    <xf numFmtId="0" fontId="57" fillId="23" borderId="0" xfId="85" applyFont="1" applyFill="1" applyAlignment="1">
      <alignment wrapText="1"/>
      <protection/>
    </xf>
    <xf numFmtId="0" fontId="33" fillId="0" borderId="11" xfId="0" applyFont="1" applyBorder="1" applyAlignment="1">
      <alignment horizontal="right" vertical="top"/>
    </xf>
    <xf numFmtId="0" fontId="33" fillId="0" borderId="11" xfId="0" applyFont="1" applyBorder="1" applyAlignment="1" applyProtection="1">
      <alignment horizontal="right" vertical="top"/>
      <protection hidden="1" locked="0"/>
    </xf>
    <xf numFmtId="0" fontId="33" fillId="0" borderId="11" xfId="0" applyFont="1" applyBorder="1" applyAlignment="1" applyProtection="1">
      <alignment horizontal="right" vertical="top" wrapText="1"/>
      <protection hidden="1" locked="0"/>
    </xf>
    <xf numFmtId="14" fontId="30" fillId="0" borderId="11" xfId="0" applyNumberFormat="1" applyFont="1" applyBorder="1" applyAlignment="1" applyProtection="1">
      <alignment horizontal="center" vertical="center" wrapText="1"/>
      <protection locked="0"/>
    </xf>
    <xf numFmtId="14" fontId="30" fillId="15" borderId="11" xfId="0" applyNumberFormat="1" applyFont="1" applyFill="1" applyBorder="1" applyAlignment="1" applyProtection="1">
      <alignment wrapText="1"/>
      <protection locked="0"/>
    </xf>
    <xf numFmtId="0" fontId="46" fillId="0" borderId="20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38" fillId="0" borderId="12" xfId="0" applyFont="1" applyBorder="1" applyAlignment="1">
      <alignment horizontal="center" vertical="center" wrapText="1"/>
    </xf>
    <xf numFmtId="169" fontId="46" fillId="21" borderId="17" xfId="0" applyNumberFormat="1" applyFont="1" applyFill="1" applyBorder="1" applyAlignment="1" applyProtection="1">
      <alignment horizontal="center" vertical="center" wrapText="1"/>
      <protection locked="0"/>
    </xf>
    <xf numFmtId="169" fontId="46" fillId="21" borderId="0" xfId="0" applyNumberFormat="1" applyFont="1" applyFill="1" applyAlignment="1" applyProtection="1">
      <alignment horizontal="center" vertical="center" wrapText="1"/>
      <protection locked="0"/>
    </xf>
    <xf numFmtId="0" fontId="65" fillId="0" borderId="0" xfId="0" applyFont="1" applyAlignment="1">
      <alignment horizontal="left"/>
    </xf>
    <xf numFmtId="0" fontId="65" fillId="0" borderId="0" xfId="0" applyFont="1"/>
    <xf numFmtId="0" fontId="65" fillId="0" borderId="0" xfId="0" applyFont="1" applyAlignment="1">
      <alignment horizontal="center"/>
    </xf>
    <xf numFmtId="0" fontId="66" fillId="0" borderId="11" xfId="0" applyFont="1" applyBorder="1" applyAlignment="1" applyProtection="1">
      <alignment horizontal="center" vertical="center" wrapText="1"/>
      <protection hidden="1" locked="0"/>
    </xf>
    <xf numFmtId="0" fontId="33" fillId="0" borderId="21" xfId="0" applyFont="1" applyBorder="1" applyAlignment="1">
      <alignment horizontal="left"/>
    </xf>
    <xf numFmtId="0" fontId="28" fillId="0" borderId="21" xfId="0" applyFont="1" applyBorder="1" applyAlignment="1">
      <alignment horizontal="left"/>
    </xf>
    <xf numFmtId="1" fontId="2" fillId="0" borderId="19" xfId="0" applyNumberFormat="1" applyFont="1" applyBorder="1"/>
    <xf numFmtId="169" fontId="2" fillId="0" borderId="19" xfId="0" applyNumberFormat="1" applyFont="1" applyBorder="1"/>
    <xf numFmtId="0" fontId="67" fillId="0" borderId="11" xfId="0" applyFont="1" applyBorder="1" applyAlignment="1" applyProtection="1">
      <alignment horizontal="center" vertical="center" wrapText="1"/>
      <protection hidden="1" locked="0"/>
    </xf>
    <xf numFmtId="171" fontId="33" fillId="0" borderId="11" xfId="0" applyNumberFormat="1" applyFont="1" applyBorder="1" applyAlignment="1" applyProtection="1">
      <alignment horizontal="center" vertical="center" wrapText="1"/>
      <protection hidden="1" locked="0"/>
    </xf>
    <xf numFmtId="170" fontId="33" fillId="0" borderId="11" xfId="0" applyNumberFormat="1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61" fillId="0" borderId="11" xfId="0" applyFont="1" applyBorder="1" applyAlignment="1">
      <alignment horizontal="center" vertical="center"/>
    </xf>
    <xf numFmtId="0" fontId="61" fillId="0" borderId="11" xfId="0" applyFont="1" applyBorder="1" applyAlignment="1">
      <alignment horizontal="center" vertical="center" wrapText="1"/>
    </xf>
    <xf numFmtId="0" fontId="61" fillId="0" borderId="0" xfId="0" applyFont="1" applyAlignment="1">
      <alignment vertical="center"/>
    </xf>
    <xf numFmtId="0" fontId="61" fillId="0" borderId="0" xfId="0" applyFont="1"/>
    <xf numFmtId="0" fontId="5" fillId="0" borderId="19" xfId="0" applyFont="1" applyBorder="1" applyAlignment="1">
      <alignment horizontal="center" vertical="center"/>
    </xf>
    <xf numFmtId="0" fontId="64" fillId="0" borderId="11" xfId="0" applyFont="1" applyBorder="1" applyAlignment="1">
      <alignment horizontal="center" vertical="center" wrapText="1"/>
    </xf>
    <xf numFmtId="0" fontId="64" fillId="15" borderId="11" xfId="0" applyFont="1" applyFill="1" applyBorder="1" applyAlignment="1" applyProtection="1">
      <alignment horizontal="center" vertical="center" wrapText="1"/>
      <protection hidden="1"/>
    </xf>
    <xf numFmtId="0" fontId="64" fillId="0" borderId="11" xfId="0" applyFont="1" applyBorder="1" applyAlignment="1" applyProtection="1">
      <alignment horizontal="center" vertical="center" wrapText="1"/>
      <protection hidden="1"/>
    </xf>
    <xf numFmtId="0" fontId="64" fillId="27" borderId="11" xfId="0" applyFont="1" applyFill="1" applyBorder="1" applyAlignment="1">
      <alignment horizontal="center" vertical="center" wrapText="1"/>
    </xf>
    <xf numFmtId="14" fontId="46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64" fillId="15" borderId="11" xfId="0" applyFont="1" applyFill="1" applyBorder="1" applyAlignment="1" applyProtection="1">
      <alignment horizontal="center" vertical="center" textRotation="90" wrapText="1"/>
      <protection hidden="1"/>
    </xf>
    <xf numFmtId="0" fontId="64" fillId="26" borderId="11" xfId="0" applyFont="1" applyFill="1" applyBorder="1" applyAlignment="1">
      <alignment horizontal="center" vertical="center" wrapText="1"/>
    </xf>
    <xf numFmtId="0" fontId="64" fillId="25" borderId="11" xfId="0" applyFont="1" applyFill="1" applyBorder="1" applyAlignment="1" applyProtection="1">
      <alignment horizontal="center" vertical="center" wrapText="1"/>
      <protection hidden="1"/>
    </xf>
    <xf numFmtId="0" fontId="61" fillId="0" borderId="11" xfId="0" applyFont="1" applyBorder="1" applyAlignment="1" applyProtection="1">
      <alignment horizontal="center" vertical="center" wrapText="1"/>
      <protection locked="0"/>
    </xf>
    <xf numFmtId="0" fontId="68" fillId="0" borderId="11" xfId="0" applyFont="1" applyBorder="1" applyAlignment="1">
      <alignment horizontal="center" vertical="center" wrapText="1"/>
    </xf>
    <xf numFmtId="0" fontId="46" fillId="15" borderId="11" xfId="0" applyFont="1" applyFill="1" applyBorder="1" applyAlignment="1" applyProtection="1">
      <alignment horizontal="center" vertical="center" wrapText="1"/>
      <protection locked="0"/>
    </xf>
    <xf numFmtId="0" fontId="46" fillId="0" borderId="11" xfId="0" applyFont="1" applyBorder="1" applyAlignment="1">
      <alignment horizontal="center" vertical="center"/>
    </xf>
    <xf numFmtId="0" fontId="46" fillId="0" borderId="11" xfId="0" applyFont="1" applyBorder="1" applyAlignment="1" applyProtection="1">
      <alignment horizontal="center" vertical="center" wrapText="1"/>
      <protection locked="0"/>
    </xf>
    <xf numFmtId="0" fontId="31" fillId="0" borderId="11" xfId="0" applyFont="1" applyBorder="1" applyAlignment="1" applyProtection="1">
      <alignment horizontal="center" vertical="center" wrapText="1"/>
      <protection hidden="1" locked="0"/>
    </xf>
    <xf numFmtId="0" fontId="46" fillId="0" borderId="11" xfId="0" applyFont="1" applyBorder="1" applyAlignment="1" applyProtection="1">
      <alignment horizontal="center" vertical="center" wrapText="1"/>
      <protection hidden="1"/>
    </xf>
    <xf numFmtId="0" fontId="46" fillId="0" borderId="11" xfId="0" applyFont="1" applyBorder="1" applyAlignment="1">
      <alignment horizontal="center" vertical="center" wrapText="1"/>
    </xf>
    <xf numFmtId="0" fontId="46" fillId="15" borderId="11" xfId="0" applyFont="1" applyFill="1" applyBorder="1" applyAlignment="1">
      <alignment horizontal="center" vertical="center" wrapText="1"/>
    </xf>
    <xf numFmtId="0" fontId="46" fillId="32" borderId="11" xfId="0" applyFont="1" applyFill="1" applyBorder="1" applyAlignment="1" applyProtection="1">
      <alignment horizontal="center" vertical="center" wrapText="1"/>
      <protection hidden="1"/>
    </xf>
    <xf numFmtId="0" fontId="61" fillId="0" borderId="11" xfId="0" applyFont="1" applyBorder="1" applyAlignment="1" applyProtection="1">
      <alignment horizontal="center" wrapText="1"/>
      <protection hidden="1"/>
    </xf>
    <xf numFmtId="14" fontId="46" fillId="15" borderId="11" xfId="0" applyNumberFormat="1" applyFont="1" applyFill="1" applyBorder="1" applyAlignment="1" applyProtection="1">
      <alignment horizontal="center" wrapText="1"/>
      <protection locked="0"/>
    </xf>
    <xf numFmtId="0" fontId="61" fillId="0" borderId="11" xfId="0" applyFont="1" applyBorder="1" applyAlignment="1">
      <alignment horizontal="center" vertical="center" wrapText="1"/>
    </xf>
    <xf numFmtId="0" fontId="27" fillId="0" borderId="22" xfId="0" applyFont="1" applyBorder="1" applyAlignment="1" applyProtection="1">
      <alignment horizontal="center" vertical="center" wrapText="1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27" fillId="0" borderId="12" xfId="0" applyFont="1" applyBorder="1" applyAlignment="1" applyProtection="1">
      <alignment horizontal="center" vertical="center" wrapText="1"/>
      <protection hidden="1"/>
    </xf>
    <xf numFmtId="0" fontId="27" fillId="0" borderId="11" xfId="0" applyFont="1" applyBorder="1" applyAlignment="1" applyProtection="1">
      <alignment horizontal="center" vertical="center" wrapText="1"/>
      <protection hidden="1"/>
    </xf>
    <xf numFmtId="0" fontId="27" fillId="15" borderId="11" xfId="0" applyFont="1" applyFill="1" applyBorder="1" applyAlignment="1" applyProtection="1">
      <alignment horizontal="center" vertical="center" wrapText="1"/>
      <protection hidden="1"/>
    </xf>
    <xf numFmtId="0" fontId="36" fillId="0" borderId="11" xfId="0" applyFont="1" applyBorder="1" applyAlignment="1">
      <alignment horizontal="center" vertical="center" wrapText="1"/>
    </xf>
    <xf numFmtId="14" fontId="30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27" fillId="31" borderId="11" xfId="0" applyFont="1" applyFill="1" applyBorder="1" applyAlignment="1" applyProtection="1">
      <alignment horizontal="center" vertical="center" wrapText="1"/>
      <protection hidden="1"/>
    </xf>
    <xf numFmtId="0" fontId="27" fillId="0" borderId="11" xfId="0" applyFont="1" applyBorder="1" applyAlignment="1">
      <alignment horizontal="center" vertical="center" wrapText="1"/>
    </xf>
    <xf numFmtId="0" fontId="36" fillId="0" borderId="11" xfId="0" applyFont="1" applyBorder="1" applyAlignment="1" applyProtection="1">
      <alignment horizontal="center" wrapText="1"/>
      <protection hidden="1"/>
    </xf>
    <xf numFmtId="14" fontId="30" fillId="15" borderId="11" xfId="0" applyNumberFormat="1" applyFont="1" applyFill="1" applyBorder="1" applyAlignment="1" applyProtection="1">
      <alignment horizontal="center" wrapText="1"/>
      <protection locked="0"/>
    </xf>
    <xf numFmtId="0" fontId="30" fillId="32" borderId="11" xfId="0" applyFont="1" applyFill="1" applyBorder="1" applyAlignment="1" applyProtection="1">
      <alignment horizontal="center" vertical="center" wrapText="1"/>
      <protection hidden="1"/>
    </xf>
    <xf numFmtId="0" fontId="27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0" fillId="0" borderId="11" xfId="0" applyFont="1" applyBorder="1" applyAlignment="1" applyProtection="1">
      <alignment horizontal="center" vertical="center" wrapText="1"/>
      <protection locked="0"/>
    </xf>
    <xf numFmtId="0" fontId="30" fillId="0" borderId="11" xfId="0" applyFont="1" applyBorder="1" applyAlignment="1" applyProtection="1">
      <alignment horizontal="center" vertical="center" wrapText="1"/>
      <protection hidden="1"/>
    </xf>
    <xf numFmtId="0" fontId="36" fillId="0" borderId="11" xfId="0" applyFont="1" applyBorder="1" applyAlignment="1" applyProtection="1">
      <alignment horizontal="center" vertical="center" wrapText="1"/>
      <protection locked="0"/>
    </xf>
    <xf numFmtId="0" fontId="30" fillId="15" borderId="11" xfId="0" applyFont="1" applyFill="1" applyBorder="1" applyAlignment="1">
      <alignment horizontal="center" vertical="center" wrapText="1"/>
    </xf>
    <xf numFmtId="0" fontId="30" fillId="15" borderId="11" xfId="0" applyFont="1" applyFill="1" applyBorder="1" applyAlignment="1" applyProtection="1">
      <alignment horizontal="center" vertical="center" wrapText="1"/>
      <protection locked="0"/>
    </xf>
    <xf numFmtId="0" fontId="30" fillId="0" borderId="11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8" fillId="0" borderId="11" xfId="0" applyFont="1" applyBorder="1" applyAlignment="1" applyProtection="1">
      <alignment horizontal="center" vertical="center" wrapText="1"/>
      <protection hidden="1"/>
    </xf>
    <xf numFmtId="0" fontId="46" fillId="0" borderId="17" xfId="0" applyFont="1" applyBorder="1" applyAlignment="1">
      <alignment horizontal="center" vertical="center"/>
    </xf>
    <xf numFmtId="0" fontId="46" fillId="0" borderId="20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 wrapText="1"/>
    </xf>
    <xf numFmtId="0" fontId="40" fillId="0" borderId="11" xfId="0" applyFont="1" applyBorder="1" applyAlignment="1">
      <alignment horizontal="center" vertical="center" wrapText="1"/>
    </xf>
    <xf numFmtId="0" fontId="38" fillId="0" borderId="11" xfId="0" applyFont="1" applyBorder="1" applyAlignment="1" applyProtection="1">
      <alignment horizontal="center" vertical="center" wrapText="1"/>
      <protection locked="0"/>
    </xf>
    <xf numFmtId="0" fontId="38" fillId="15" borderId="11" xfId="0" applyFont="1" applyFill="1" applyBorder="1" applyAlignment="1" applyProtection="1">
      <alignment horizontal="center" vertical="center" wrapText="1"/>
      <protection locked="0"/>
    </xf>
    <xf numFmtId="14" fontId="38" fillId="0" borderId="11" xfId="0" applyNumberFormat="1" applyFont="1" applyBorder="1" applyAlignment="1" applyProtection="1">
      <alignment horizontal="center" vertical="center" wrapText="1"/>
      <protection locked="0"/>
    </xf>
    <xf numFmtId="0" fontId="38" fillId="32" borderId="11" xfId="0" applyFont="1" applyFill="1" applyBorder="1" applyAlignment="1" applyProtection="1">
      <alignment horizontal="center" vertical="center" wrapText="1"/>
      <protection hidden="1"/>
    </xf>
    <xf numFmtId="0" fontId="38" fillId="0" borderId="11" xfId="0" applyFont="1" applyBorder="1" applyAlignment="1">
      <alignment horizontal="center" vertical="center" wrapText="1"/>
    </xf>
    <xf numFmtId="14" fontId="38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29" fillId="0" borderId="11" xfId="0" applyFont="1" applyBorder="1" applyAlignment="1" applyProtection="1">
      <alignment horizontal="center" vertical="center" wrapText="1"/>
      <protection hidden="1"/>
    </xf>
    <xf numFmtId="0" fontId="29" fillId="21" borderId="11" xfId="0" applyFont="1" applyFill="1" applyBorder="1" applyAlignment="1" applyProtection="1">
      <alignment horizontal="center" vertical="center" wrapText="1"/>
      <protection locked="0"/>
    </xf>
    <xf numFmtId="0" fontId="38" fillId="30" borderId="11" xfId="0" applyFont="1" applyFill="1" applyBorder="1" applyAlignment="1" applyProtection="1">
      <alignment horizontal="center" vertical="center" wrapText="1"/>
      <protection hidden="1"/>
    </xf>
    <xf numFmtId="0" fontId="38" fillId="0" borderId="11" xfId="0" applyFont="1" applyBorder="1" applyAlignment="1" applyProtection="1">
      <alignment horizontal="center" wrapText="1"/>
      <protection hidden="1"/>
    </xf>
    <xf numFmtId="0" fontId="38" fillId="0" borderId="22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center" vertical="center" wrapText="1"/>
    </xf>
    <xf numFmtId="0" fontId="35" fillId="33" borderId="11" xfId="0" applyFont="1" applyFill="1" applyBorder="1" applyAlignment="1" applyProtection="1">
      <alignment horizontal="center" vertical="center" wrapText="1"/>
      <protection hidden="1" locked="0"/>
    </xf>
    <xf numFmtId="0" fontId="35" fillId="34" borderId="11" xfId="0" applyFont="1" applyFill="1" applyBorder="1" applyAlignment="1" applyProtection="1">
      <alignment horizontal="center" vertical="center" wrapText="1"/>
      <protection hidden="1" locked="0"/>
    </xf>
    <xf numFmtId="0" fontId="31" fillId="35" borderId="11" xfId="0" applyFont="1" applyFill="1" applyBorder="1" applyAlignment="1" applyProtection="1">
      <alignment horizontal="center" vertical="center" wrapText="1"/>
      <protection hidden="1" locked="0"/>
    </xf>
    <xf numFmtId="0" fontId="31" fillId="33" borderId="11" xfId="0" applyFont="1" applyFill="1" applyBorder="1" applyAlignment="1" applyProtection="1">
      <alignment horizontal="center" vertical="center" wrapText="1"/>
      <protection hidden="1" locked="0"/>
    </xf>
    <xf numFmtId="0" fontId="39" fillId="0" borderId="11" xfId="0" applyFont="1" applyBorder="1" applyAlignment="1" applyProtection="1">
      <alignment horizontal="center" vertical="center" wrapText="1"/>
      <protection locked="0"/>
    </xf>
    <xf numFmtId="0" fontId="38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8" fillId="15" borderId="11" xfId="0" applyFont="1" applyFill="1" applyBorder="1" applyAlignment="1" applyProtection="1">
      <alignment horizontal="center" vertical="center" wrapText="1"/>
      <protection hidden="1"/>
    </xf>
    <xf numFmtId="14" fontId="38" fillId="15" borderId="11" xfId="0" applyNumberFormat="1" applyFont="1" applyFill="1" applyBorder="1" applyAlignment="1" applyProtection="1">
      <alignment horizontal="center" wrapText="1"/>
      <protection locked="0"/>
    </xf>
    <xf numFmtId="0" fontId="30" fillId="15" borderId="11" xfId="0" applyFont="1" applyFill="1" applyBorder="1" applyAlignment="1" applyProtection="1">
      <alignment horizontal="center" vertical="center" wrapText="1"/>
      <protection hidden="1"/>
    </xf>
    <xf numFmtId="0" fontId="30" fillId="32" borderId="23" xfId="0" applyFont="1" applyFill="1" applyBorder="1" applyAlignment="1" applyProtection="1">
      <alignment horizontal="center" vertical="center" wrapText="1"/>
      <protection hidden="1"/>
    </xf>
    <xf numFmtId="0" fontId="30" fillId="32" borderId="24" xfId="0" applyFont="1" applyFill="1" applyBorder="1" applyAlignment="1" applyProtection="1">
      <alignment horizontal="center" vertical="center" wrapText="1"/>
      <protection hidden="1"/>
    </xf>
    <xf numFmtId="0" fontId="30" fillId="32" borderId="25" xfId="0" applyFont="1" applyFill="1" applyBorder="1" applyAlignment="1" applyProtection="1">
      <alignment horizontal="center" vertical="center" wrapText="1"/>
      <protection hidden="1"/>
    </xf>
    <xf numFmtId="0" fontId="30" fillId="32" borderId="26" xfId="0" applyFont="1" applyFill="1" applyBorder="1" applyAlignment="1" applyProtection="1">
      <alignment horizontal="center" vertical="center" wrapText="1"/>
      <protection hidden="1"/>
    </xf>
    <xf numFmtId="0" fontId="30" fillId="32" borderId="19" xfId="0" applyFont="1" applyFill="1" applyBorder="1" applyAlignment="1" applyProtection="1">
      <alignment horizontal="center" vertical="center" wrapText="1"/>
      <protection hidden="1"/>
    </xf>
    <xf numFmtId="0" fontId="30" fillId="32" borderId="27" xfId="0" applyFont="1" applyFill="1" applyBorder="1" applyAlignment="1" applyProtection="1">
      <alignment horizontal="center" vertical="center" wrapText="1"/>
      <protection hidden="1"/>
    </xf>
    <xf numFmtId="14" fontId="30" fillId="15" borderId="17" xfId="0" applyNumberFormat="1" applyFont="1" applyFill="1" applyBorder="1" applyAlignment="1" applyProtection="1">
      <alignment horizontal="center" wrapText="1"/>
      <protection locked="0"/>
    </xf>
    <xf numFmtId="14" fontId="30" fillId="15" borderId="18" xfId="0" applyNumberFormat="1" applyFont="1" applyFill="1" applyBorder="1" applyAlignment="1" applyProtection="1">
      <alignment horizontal="center" wrapText="1"/>
      <protection locked="0"/>
    </xf>
    <xf numFmtId="14" fontId="30" fillId="15" borderId="17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18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17" xfId="0" applyFont="1" applyBorder="1" applyAlignment="1" applyProtection="1">
      <alignment horizontal="center" vertical="center" wrapText="1"/>
      <protection locked="0"/>
    </xf>
    <xf numFmtId="0" fontId="30" fillId="0" borderId="20" xfId="0" applyFont="1" applyBorder="1" applyAlignment="1" applyProtection="1">
      <alignment horizontal="center" vertical="center" wrapText="1"/>
      <protection locked="0"/>
    </xf>
    <xf numFmtId="0" fontId="30" fillId="0" borderId="18" xfId="0" applyFont="1" applyBorder="1" applyAlignment="1" applyProtection="1">
      <alignment horizontal="center" vertical="center" wrapText="1"/>
      <protection locked="0"/>
    </xf>
    <xf numFmtId="0" fontId="30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1" fillId="36" borderId="11" xfId="0" applyFont="1" applyFill="1" applyBorder="1" applyAlignment="1" applyProtection="1">
      <alignment horizontal="center" vertical="center" wrapText="1"/>
      <protection hidden="1" locked="0"/>
    </xf>
    <xf numFmtId="0" fontId="30" fillId="15" borderId="17" xfId="0" applyFont="1" applyFill="1" applyBorder="1" applyAlignment="1">
      <alignment horizontal="center" vertical="center" wrapText="1"/>
    </xf>
    <xf numFmtId="0" fontId="30" fillId="15" borderId="18" xfId="0" applyFont="1" applyFill="1" applyBorder="1" applyAlignment="1">
      <alignment horizontal="center" vertical="center" wrapText="1"/>
    </xf>
    <xf numFmtId="14" fontId="30" fillId="0" borderId="17" xfId="0" applyNumberFormat="1" applyFont="1" applyBorder="1" applyAlignment="1" applyProtection="1">
      <alignment horizontal="center" vertical="center" wrapText="1"/>
      <protection locked="0"/>
    </xf>
    <xf numFmtId="14" fontId="30" fillId="0" borderId="20" xfId="0" applyNumberFormat="1" applyFont="1" applyBorder="1" applyAlignment="1" applyProtection="1">
      <alignment horizontal="center" vertical="center" wrapText="1"/>
      <protection locked="0"/>
    </xf>
    <xf numFmtId="14" fontId="30" fillId="0" borderId="18" xfId="0" applyNumberFormat="1" applyFont="1" applyBorder="1" applyAlignment="1" applyProtection="1">
      <alignment horizontal="center" vertical="center" wrapText="1"/>
      <protection locked="0"/>
    </xf>
    <xf numFmtId="0" fontId="31" fillId="36" borderId="17" xfId="0" applyFont="1" applyFill="1" applyBorder="1" applyAlignment="1" applyProtection="1">
      <alignment horizontal="center" vertical="center" wrapText="1"/>
      <protection hidden="1" locked="0"/>
    </xf>
    <xf numFmtId="0" fontId="31" fillId="36" borderId="20" xfId="0" applyFont="1" applyFill="1" applyBorder="1" applyAlignment="1" applyProtection="1">
      <alignment horizontal="center" vertical="center" wrapText="1"/>
      <protection hidden="1" locked="0"/>
    </xf>
    <xf numFmtId="0" fontId="31" fillId="36" borderId="18" xfId="0" applyFont="1" applyFill="1" applyBorder="1" applyAlignment="1" applyProtection="1">
      <alignment horizontal="center" vertical="center" wrapText="1"/>
      <protection hidden="1" locked="0"/>
    </xf>
    <xf numFmtId="0" fontId="29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9" fillId="15" borderId="11" xfId="0" applyFont="1" applyFill="1" applyBorder="1" applyAlignment="1" applyProtection="1">
      <alignment horizontal="center" vertical="center" wrapText="1"/>
      <protection hidden="1"/>
    </xf>
    <xf numFmtId="14" fontId="29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29" fillId="32" borderId="11" xfId="0" applyFont="1" applyFill="1" applyBorder="1" applyAlignment="1" applyProtection="1">
      <alignment horizontal="center" vertical="center" wrapText="1"/>
      <protection hidden="1"/>
    </xf>
    <xf numFmtId="0" fontId="31" fillId="37" borderId="11" xfId="0" applyFont="1" applyFill="1" applyBorder="1" applyAlignment="1" applyProtection="1">
      <alignment horizontal="center" vertical="center" wrapText="1"/>
      <protection hidden="1" locked="0"/>
    </xf>
    <xf numFmtId="0" fontId="46" fillId="37" borderId="11" xfId="0" applyFont="1" applyFill="1" applyBorder="1" applyAlignment="1" applyProtection="1">
      <alignment horizontal="center" vertical="center" wrapText="1"/>
      <protection hidden="1" locked="0"/>
    </xf>
    <xf numFmtId="0" fontId="33" fillId="0" borderId="11" xfId="0" applyFont="1" applyBorder="1" applyAlignment="1" applyProtection="1">
      <alignment horizontal="center" vertical="center" wrapText="1"/>
      <protection locked="0"/>
    </xf>
    <xf numFmtId="0" fontId="29" fillId="0" borderId="11" xfId="0" applyFont="1" applyBorder="1" applyAlignment="1">
      <alignment horizontal="center" vertical="center" wrapText="1"/>
    </xf>
    <xf numFmtId="0" fontId="41" fillId="0" borderId="11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11" xfId="0" applyFont="1" applyBorder="1" applyAlignment="1" applyProtection="1">
      <alignment horizontal="center" wrapText="1"/>
      <protection hidden="1"/>
    </xf>
    <xf numFmtId="0" fontId="61" fillId="0" borderId="17" xfId="0" applyFont="1" applyBorder="1" applyAlignment="1">
      <alignment horizontal="center" vertical="center" wrapText="1"/>
    </xf>
    <xf numFmtId="0" fontId="61" fillId="0" borderId="18" xfId="0" applyFont="1" applyBorder="1" applyAlignment="1">
      <alignment horizontal="center" vertical="center" wrapText="1"/>
    </xf>
    <xf numFmtId="0" fontId="31" fillId="23" borderId="11" xfId="0" applyFont="1" applyFill="1" applyBorder="1" applyAlignment="1" applyProtection="1">
      <alignment horizontal="center" wrapText="1"/>
      <protection hidden="1" locked="0"/>
    </xf>
    <xf numFmtId="0" fontId="30" fillId="0" borderId="17" xfId="0" applyFont="1" applyBorder="1" applyAlignment="1" applyProtection="1">
      <alignment horizontal="center" vertical="center" wrapText="1"/>
      <protection hidden="1"/>
    </xf>
    <xf numFmtId="0" fontId="30" fillId="0" borderId="20" xfId="0" applyFont="1" applyBorder="1" applyAlignment="1" applyProtection="1">
      <alignment horizontal="center" vertical="center" wrapText="1"/>
      <protection hidden="1"/>
    </xf>
    <xf numFmtId="0" fontId="30" fillId="0" borderId="18" xfId="0" applyFont="1" applyBorder="1" applyAlignment="1" applyProtection="1">
      <alignment horizontal="center" vertical="center" wrapText="1"/>
      <protection hidden="1"/>
    </xf>
    <xf numFmtId="0" fontId="62" fillId="0" borderId="11" xfId="0" applyFont="1" applyBorder="1" applyAlignment="1" applyProtection="1">
      <alignment horizontal="center" vertical="center" wrapText="1"/>
      <protection hidden="1"/>
    </xf>
    <xf numFmtId="0" fontId="36" fillId="0" borderId="23" xfId="0" applyFont="1" applyBorder="1" applyAlignment="1" applyProtection="1">
      <alignment horizontal="center" vertical="center" wrapText="1"/>
      <protection locked="0"/>
    </xf>
    <xf numFmtId="0" fontId="36" fillId="0" borderId="24" xfId="0" applyFont="1" applyBorder="1" applyAlignment="1" applyProtection="1">
      <alignment horizontal="center" vertical="center" wrapText="1"/>
      <protection locked="0"/>
    </xf>
    <xf numFmtId="0" fontId="36" fillId="0" borderId="25" xfId="0" applyFont="1" applyBorder="1" applyAlignment="1" applyProtection="1">
      <alignment horizontal="center" vertical="center" wrapText="1"/>
      <protection locked="0"/>
    </xf>
    <xf numFmtId="0" fontId="36" fillId="0" borderId="28" xfId="0" applyFont="1" applyBorder="1" applyAlignment="1" applyProtection="1">
      <alignment horizontal="center" vertical="center" wrapText="1"/>
      <protection locked="0"/>
    </xf>
    <xf numFmtId="0" fontId="36" fillId="0" borderId="0" xfId="0" applyFont="1" applyAlignment="1" applyProtection="1">
      <alignment horizontal="center" vertical="center" wrapText="1"/>
      <protection locked="0"/>
    </xf>
    <xf numFmtId="0" fontId="36" fillId="0" borderId="29" xfId="0" applyFont="1" applyBorder="1" applyAlignment="1" applyProtection="1">
      <alignment horizontal="center" vertical="center" wrapText="1"/>
      <protection locked="0"/>
    </xf>
    <xf numFmtId="0" fontId="36" fillId="0" borderId="26" xfId="0" applyFont="1" applyBorder="1" applyAlignment="1" applyProtection="1">
      <alignment horizontal="center" vertical="center" wrapText="1"/>
      <protection locked="0"/>
    </xf>
    <xf numFmtId="0" fontId="36" fillId="0" borderId="19" xfId="0" applyFont="1" applyBorder="1" applyAlignment="1" applyProtection="1">
      <alignment horizontal="center" vertical="center" wrapText="1"/>
      <protection locked="0"/>
    </xf>
    <xf numFmtId="0" fontId="36" fillId="0" borderId="27" xfId="0" applyFont="1" applyBorder="1" applyAlignment="1" applyProtection="1">
      <alignment horizontal="center" vertical="center" wrapText="1"/>
      <protection locked="0"/>
    </xf>
    <xf numFmtId="14" fontId="30" fillId="15" borderId="11" xfId="0" applyNumberFormat="1" applyFont="1" applyFill="1" applyBorder="1" applyAlignment="1" applyProtection="1">
      <alignment horizontal="left" wrapText="1"/>
      <protection locked="0"/>
    </xf>
    <xf numFmtId="0" fontId="47" fillId="38" borderId="11" xfId="0" applyFont="1" applyFill="1" applyBorder="1" applyAlignment="1" applyProtection="1">
      <alignment horizontal="center" vertical="center" wrapText="1"/>
      <protection hidden="1" locked="0"/>
    </xf>
    <xf numFmtId="0" fontId="32" fillId="15" borderId="11" xfId="0" applyFont="1" applyFill="1" applyBorder="1" applyAlignment="1" applyProtection="1">
      <alignment horizontal="center" vertical="center" wrapText="1"/>
      <protection hidden="1"/>
    </xf>
    <xf numFmtId="0" fontId="32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2" fillId="0" borderId="22" xfId="0" applyFont="1" applyBorder="1" applyAlignment="1" applyProtection="1">
      <alignment horizontal="center" vertical="center" wrapText="1"/>
      <protection hidden="1"/>
    </xf>
    <xf numFmtId="0" fontId="32" fillId="0" borderId="21" xfId="0" applyFont="1" applyBorder="1" applyAlignment="1" applyProtection="1">
      <alignment horizontal="center" vertical="center" wrapText="1"/>
      <protection hidden="1"/>
    </xf>
    <xf numFmtId="0" fontId="32" fillId="0" borderId="12" xfId="0" applyFont="1" applyBorder="1" applyAlignment="1" applyProtection="1">
      <alignment horizontal="center" vertical="center" wrapText="1"/>
      <protection hidden="1"/>
    </xf>
    <xf numFmtId="0" fontId="32" fillId="0" borderId="11" xfId="0" applyFont="1" applyBorder="1" applyAlignment="1" applyProtection="1">
      <alignment horizontal="center" vertical="center" wrapText="1"/>
      <protection hidden="1"/>
    </xf>
    <xf numFmtId="0" fontId="47" fillId="39" borderId="17" xfId="0" applyFont="1" applyFill="1" applyBorder="1" applyAlignment="1" applyProtection="1">
      <alignment horizontal="center" vertical="center" wrapText="1"/>
      <protection hidden="1" locked="0"/>
    </xf>
    <xf numFmtId="0" fontId="47" fillId="39" borderId="20" xfId="0" applyFont="1" applyFill="1" applyBorder="1" applyAlignment="1" applyProtection="1">
      <alignment horizontal="center" vertical="center" wrapText="1"/>
      <protection hidden="1" locked="0"/>
    </xf>
    <xf numFmtId="0" fontId="47" fillId="39" borderId="18" xfId="0" applyFont="1" applyFill="1" applyBorder="1" applyAlignment="1" applyProtection="1">
      <alignment horizontal="center" vertical="center" wrapText="1"/>
      <protection hidden="1" locked="0"/>
    </xf>
    <xf numFmtId="0" fontId="30" fillId="15" borderId="20" xfId="0" applyFont="1" applyFill="1" applyBorder="1" applyAlignment="1">
      <alignment horizontal="center" vertical="center" wrapText="1"/>
    </xf>
    <xf numFmtId="0" fontId="32" fillId="15" borderId="22" xfId="0" applyFont="1" applyFill="1" applyBorder="1" applyAlignment="1" applyProtection="1">
      <alignment horizontal="center" vertical="center" wrapText="1"/>
      <protection hidden="1"/>
    </xf>
    <xf numFmtId="0" fontId="32" fillId="15" borderId="21" xfId="0" applyFont="1" applyFill="1" applyBorder="1" applyAlignment="1" applyProtection="1">
      <alignment horizontal="center" vertical="center" wrapText="1"/>
      <protection hidden="1"/>
    </xf>
    <xf numFmtId="0" fontId="32" fillId="15" borderId="12" xfId="0" applyFont="1" applyFill="1" applyBorder="1" applyAlignment="1" applyProtection="1">
      <alignment horizontal="center" vertical="center" wrapText="1"/>
      <protection hidden="1"/>
    </xf>
    <xf numFmtId="14" fontId="30" fillId="15" borderId="23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24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25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28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0" xfId="0" applyNumberFormat="1" applyFont="1" applyFill="1" applyAlignment="1" applyProtection="1">
      <alignment horizontal="center" vertical="center" wrapText="1"/>
      <protection locked="0"/>
    </xf>
    <xf numFmtId="14" fontId="30" fillId="15" borderId="29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26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19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27" xfId="0" applyNumberFormat="1" applyFont="1" applyFill="1" applyBorder="1" applyAlignment="1" applyProtection="1">
      <alignment horizontal="center" vertical="center" wrapText="1"/>
      <protection locked="0"/>
    </xf>
    <xf numFmtId="0" fontId="30" fillId="15" borderId="17" xfId="0" applyFont="1" applyFill="1" applyBorder="1" applyAlignment="1" applyProtection="1">
      <alignment horizontal="center" vertical="center" wrapText="1"/>
      <protection locked="0"/>
    </xf>
    <xf numFmtId="0" fontId="30" fillId="15" borderId="20" xfId="0" applyFont="1" applyFill="1" applyBorder="1" applyAlignment="1" applyProtection="1">
      <alignment horizontal="center" vertical="center" wrapText="1"/>
      <protection locked="0"/>
    </xf>
    <xf numFmtId="0" fontId="30" fillId="15" borderId="18" xfId="0" applyFont="1" applyFill="1" applyBorder="1" applyAlignment="1" applyProtection="1">
      <alignment horizontal="center" vertical="center" wrapText="1"/>
      <protection locked="0"/>
    </xf>
    <xf numFmtId="0" fontId="42" fillId="40" borderId="17" xfId="0" applyFont="1" applyFill="1" applyBorder="1" applyAlignment="1" applyProtection="1">
      <alignment horizontal="center" vertical="center" wrapText="1"/>
      <protection hidden="1" locked="0"/>
    </xf>
    <xf numFmtId="0" fontId="42" fillId="40" borderId="20" xfId="0" applyFont="1" applyFill="1" applyBorder="1" applyAlignment="1" applyProtection="1">
      <alignment horizontal="center" vertical="center" wrapText="1"/>
      <protection hidden="1" locked="0"/>
    </xf>
    <xf numFmtId="0" fontId="42" fillId="40" borderId="18" xfId="0" applyFont="1" applyFill="1" applyBorder="1" applyAlignment="1" applyProtection="1">
      <alignment horizontal="center" vertical="center" wrapText="1"/>
      <protection hidden="1" locked="0"/>
    </xf>
    <xf numFmtId="0" fontId="44" fillId="40" borderId="17" xfId="0" applyFont="1" applyFill="1" applyBorder="1" applyAlignment="1">
      <alignment horizontal="center" vertical="center" wrapText="1"/>
    </xf>
    <xf numFmtId="0" fontId="44" fillId="40" borderId="20" xfId="0" applyFont="1" applyFill="1" applyBorder="1" applyAlignment="1">
      <alignment horizontal="center" vertical="center" wrapText="1"/>
    </xf>
    <xf numFmtId="0" fontId="44" fillId="40" borderId="18" xfId="0" applyFont="1" applyFill="1" applyBorder="1" applyAlignment="1">
      <alignment horizontal="center" vertical="center" wrapText="1"/>
    </xf>
    <xf numFmtId="0" fontId="44" fillId="40" borderId="11" xfId="0" applyFont="1" applyFill="1" applyBorder="1" applyAlignment="1">
      <alignment horizontal="right" vertical="center" wrapText="1"/>
    </xf>
    <xf numFmtId="0" fontId="42" fillId="40" borderId="26" xfId="0" applyFont="1" applyFill="1" applyBorder="1" applyAlignment="1" applyProtection="1">
      <alignment horizontal="center" vertical="center" wrapText="1"/>
      <protection hidden="1" locked="0"/>
    </xf>
    <xf numFmtId="0" fontId="42" fillId="40" borderId="19" xfId="0" applyFont="1" applyFill="1" applyBorder="1" applyAlignment="1" applyProtection="1">
      <alignment horizontal="center" vertical="center" wrapText="1"/>
      <protection hidden="1" locked="0"/>
    </xf>
    <xf numFmtId="0" fontId="31" fillId="41" borderId="30" xfId="0" applyFont="1" applyFill="1" applyBorder="1" applyAlignment="1" applyProtection="1">
      <alignment horizontal="center" vertical="center" wrapText="1"/>
      <protection hidden="1" locked="0"/>
    </xf>
    <xf numFmtId="0" fontId="31" fillId="41" borderId="31" xfId="0" applyFont="1" applyFill="1" applyBorder="1" applyAlignment="1" applyProtection="1">
      <alignment horizontal="center" vertical="center" wrapText="1"/>
      <protection hidden="1" locked="0"/>
    </xf>
    <xf numFmtId="0" fontId="31" fillId="41" borderId="32" xfId="0" applyFont="1" applyFill="1" applyBorder="1" applyAlignment="1" applyProtection="1">
      <alignment horizontal="center" vertical="center" wrapText="1"/>
      <protection hidden="1" locked="0"/>
    </xf>
    <xf numFmtId="0" fontId="46" fillId="41" borderId="11" xfId="0" applyFont="1" applyFill="1" applyBorder="1" applyAlignment="1">
      <alignment horizontal="center" vertical="center" wrapText="1"/>
    </xf>
    <xf numFmtId="22" fontId="34" fillId="0" borderId="17" xfId="0" applyNumberFormat="1" applyFont="1" applyBorder="1" applyAlignment="1" applyProtection="1">
      <alignment horizontal="center" vertical="center" wrapText="1"/>
      <protection locked="0"/>
    </xf>
    <xf numFmtId="0" fontId="34" fillId="0" borderId="18" xfId="0" applyFont="1" applyBorder="1" applyAlignment="1" applyProtection="1">
      <alignment horizontal="center" vertical="center" wrapText="1"/>
      <protection locked="0"/>
    </xf>
    <xf numFmtId="0" fontId="31" fillId="42" borderId="11" xfId="0" applyFont="1" applyFill="1" applyBorder="1" applyAlignment="1" applyProtection="1">
      <alignment horizontal="center" vertical="center" wrapText="1"/>
      <protection hidden="1" locked="0"/>
    </xf>
    <xf numFmtId="0" fontId="56" fillId="43" borderId="11" xfId="85" applyFont="1" applyFill="1" applyBorder="1" applyAlignment="1">
      <alignment horizontal="center"/>
      <protection/>
    </xf>
    <xf numFmtId="0" fontId="51" fillId="21" borderId="17" xfId="103" applyFont="1" applyFill="1" applyBorder="1" applyAlignment="1">
      <alignment horizontal="center" vertical="top"/>
      <protection/>
    </xf>
    <xf numFmtId="0" fontId="51" fillId="21" borderId="20" xfId="103" applyFont="1" applyFill="1" applyBorder="1" applyAlignment="1">
      <alignment horizontal="center" vertical="top"/>
      <protection/>
    </xf>
    <xf numFmtId="0" fontId="51" fillId="21" borderId="18" xfId="103" applyFont="1" applyFill="1" applyBorder="1" applyAlignment="1">
      <alignment horizontal="center" vertical="top"/>
      <protection/>
    </xf>
    <xf numFmtId="1" fontId="53" fillId="21" borderId="17" xfId="103" applyNumberFormat="1" applyFont="1" applyFill="1" applyBorder="1" applyAlignment="1">
      <alignment horizontal="center" vertical="center" wrapText="1" shrinkToFit="1"/>
      <protection/>
    </xf>
    <xf numFmtId="1" fontId="53" fillId="21" borderId="20" xfId="103" applyNumberFormat="1" applyFont="1" applyFill="1" applyBorder="1" applyAlignment="1">
      <alignment horizontal="center" vertical="center" wrapText="1" shrinkToFit="1"/>
      <protection/>
    </xf>
    <xf numFmtId="1" fontId="53" fillId="21" borderId="18" xfId="103" applyNumberFormat="1" applyFont="1" applyFill="1" applyBorder="1" applyAlignment="1">
      <alignment horizontal="center" vertical="center" wrapText="1" shrinkToFit="1"/>
      <protection/>
    </xf>
    <xf numFmtId="0" fontId="52" fillId="21" borderId="17" xfId="103" applyFont="1" applyFill="1" applyBorder="1" applyAlignment="1">
      <alignment horizontal="center" vertical="center"/>
      <protection/>
    </xf>
    <xf numFmtId="0" fontId="52" fillId="21" borderId="20" xfId="103" applyFont="1" applyFill="1" applyBorder="1" applyAlignment="1">
      <alignment horizontal="center" vertical="center"/>
      <protection/>
    </xf>
    <xf numFmtId="0" fontId="52" fillId="21" borderId="18" xfId="103" applyFont="1" applyFill="1" applyBorder="1" applyAlignment="1">
      <alignment horizontal="center" vertical="center"/>
      <protection/>
    </xf>
    <xf numFmtId="0" fontId="33" fillId="0" borderId="21" xfId="0" applyFont="1" applyBorder="1"/>
  </cellXfs>
  <cellStyles count="91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Accent1" xfId="20"/>
    <cellStyle name="Accent1 - 20%" xfId="21"/>
    <cellStyle name="Accent1 - 40%" xfId="22"/>
    <cellStyle name="Accent1 - 60%" xfId="23"/>
    <cellStyle name="Accent2" xfId="24"/>
    <cellStyle name="Accent2 - 20%" xfId="25"/>
    <cellStyle name="Accent2 - 40%" xfId="26"/>
    <cellStyle name="Accent2 - 60%" xfId="27"/>
    <cellStyle name="Accent3" xfId="28"/>
    <cellStyle name="Accent3 - 20%" xfId="29"/>
    <cellStyle name="Accent3 - 40%" xfId="30"/>
    <cellStyle name="Accent3 - 60%" xfId="31"/>
    <cellStyle name="Accent4" xfId="32"/>
    <cellStyle name="Accent4 - 20%" xfId="33"/>
    <cellStyle name="Accent4 - 40%" xfId="34"/>
    <cellStyle name="Accent4 - 60%" xfId="35"/>
    <cellStyle name="Accent5" xfId="36"/>
    <cellStyle name="Accent5 - 20%" xfId="37"/>
    <cellStyle name="Accent5 - 40%" xfId="38"/>
    <cellStyle name="Accent5 - 60%" xfId="39"/>
    <cellStyle name="Accent6" xfId="40"/>
    <cellStyle name="Accent6 - 20%" xfId="41"/>
    <cellStyle name="Accent6 - 40%" xfId="42"/>
    <cellStyle name="Accent6 - 60%" xfId="43"/>
    <cellStyle name="Bad" xfId="44"/>
    <cellStyle name="Calculation" xfId="45"/>
    <cellStyle name="Check Cell" xfId="46"/>
    <cellStyle name="Comma [0] 2" xfId="47"/>
    <cellStyle name="Comma 2" xfId="48"/>
    <cellStyle name="Comma 3" xfId="49"/>
    <cellStyle name="Currency [0] 2" xfId="50"/>
    <cellStyle name="Currency 2" xfId="51"/>
    <cellStyle name="Currency 3" xfId="52"/>
    <cellStyle name="Emphasis 1" xfId="53"/>
    <cellStyle name="Emphasis 2" xfId="54"/>
    <cellStyle name="Emphasis 3" xfId="55"/>
    <cellStyle name="Good" xfId="56"/>
    <cellStyle name="Heading 1" xfId="57"/>
    <cellStyle name="Heading 2" xfId="58"/>
    <cellStyle name="Heading 3" xfId="59"/>
    <cellStyle name="Heading 4" xfId="60"/>
    <cellStyle name="Input" xfId="61"/>
    <cellStyle name="Linked Cell" xfId="62"/>
    <cellStyle name="Neutral" xfId="63"/>
    <cellStyle name="Normal 2" xfId="64"/>
    <cellStyle name="Normal 3" xfId="65"/>
    <cellStyle name="Note" xfId="66"/>
    <cellStyle name="Output" xfId="67"/>
    <cellStyle name="Percent 2" xfId="68"/>
    <cellStyle name="Sheet Title" xfId="69"/>
    <cellStyle name="Total" xfId="70"/>
    <cellStyle name="Warning Text" xfId="71"/>
    <cellStyle name="Hyperlink 2" xfId="72"/>
    <cellStyle name="Bad 2" xfId="73"/>
    <cellStyle name="Followed Hyperlink" xfId="74"/>
    <cellStyle name="Input 2" xfId="75"/>
    <cellStyle name="Normal 2 2" xfId="76"/>
    <cellStyle name="Normal 2 3" xfId="77"/>
    <cellStyle name="Normal 2_Components" xfId="78"/>
    <cellStyle name="Normal 3 2" xfId="79"/>
    <cellStyle name="Normal 3_Components" xfId="80"/>
    <cellStyle name="Normal 4" xfId="81"/>
    <cellStyle name="Normal 5" xfId="82"/>
    <cellStyle name="Normal 6" xfId="83"/>
    <cellStyle name="Normal 7" xfId="84"/>
    <cellStyle name="Normal 8" xfId="85"/>
    <cellStyle name="Normal 3 3" xfId="86"/>
    <cellStyle name="Normal 3 4" xfId="87"/>
    <cellStyle name="Normal 2 3 2" xfId="88"/>
    <cellStyle name="Normal 8 2" xfId="89"/>
    <cellStyle name="Normal 3 3 2" xfId="90"/>
    <cellStyle name="Normal 3 6" xfId="91"/>
    <cellStyle name="Normal 2 3 4" xfId="92"/>
    <cellStyle name="Normal 8 4" xfId="93"/>
    <cellStyle name="Normal 3 3 4" xfId="94"/>
    <cellStyle name="Normal 3 5" xfId="95"/>
    <cellStyle name="Normal 2 3 3" xfId="96"/>
    <cellStyle name="Normal 8 3" xfId="97"/>
    <cellStyle name="Normal 3 3 3" xfId="98"/>
    <cellStyle name="Normal 3 4 2" xfId="99"/>
    <cellStyle name="Normal 2 3 2 2" xfId="100"/>
    <cellStyle name="Normal 8 2 2" xfId="101"/>
    <cellStyle name="Normal 3 3 2 2" xfId="102"/>
    <cellStyle name="Normal 9" xfId="103"/>
    <cellStyle name="Normal 10" xfId="104"/>
  </cellStyles>
  <dxfs count="2"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1" defaultTableStyle="TableStyleMedium2" defaultPivotStyle="PivotStyleLight16">
    <tableStyle name="Invisible" pivot="0" table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worksheet" Target="worksheets/sheet5.xml" /><Relationship Id="rId6" Type="http://schemas.openxmlformats.org/officeDocument/2006/relationships/worksheet" Target="worksheets/sheet6.xml" /><Relationship Id="rId7" Type="http://schemas.openxmlformats.org/officeDocument/2006/relationships/worksheet" Target="worksheets/sheet7.xml" /><Relationship Id="rId8" Type="http://schemas.openxmlformats.org/officeDocument/2006/relationships/worksheet" Target="worksheets/sheet8.xml" /><Relationship Id="rId9" Type="http://schemas.openxmlformats.org/officeDocument/2006/relationships/worksheet" Target="worksheets/sheet9.xml" /><Relationship Id="rId10" Type="http://schemas.openxmlformats.org/officeDocument/2006/relationships/worksheet" Target="worksheets/sheet10.xml" /><Relationship Id="rId11" Type="http://schemas.openxmlformats.org/officeDocument/2006/relationships/worksheet" Target="worksheets/sheet11.xml" /><Relationship Id="rId12" Type="http://schemas.openxmlformats.org/officeDocument/2006/relationships/worksheet" Target="worksheets/sheet12.xml" /><Relationship Id="rId13" Type="http://schemas.openxmlformats.org/officeDocument/2006/relationships/worksheet" Target="worksheets/sheet13.xml" /><Relationship Id="rId14" Type="http://schemas.openxmlformats.org/officeDocument/2006/relationships/worksheet" Target="worksheets/sheet14.xml" /><Relationship Id="rId15" Type="http://schemas.openxmlformats.org/officeDocument/2006/relationships/worksheet" Target="worksheets/sheet15.xml" /><Relationship Id="rId16" Type="http://schemas.openxmlformats.org/officeDocument/2006/relationships/worksheet" Target="worksheets/sheet16.xml" /><Relationship Id="rId17" Type="http://schemas.openxmlformats.org/officeDocument/2006/relationships/worksheet" Target="worksheets/sheet17.xml" /><Relationship Id="rId18" Type="http://schemas.openxmlformats.org/officeDocument/2006/relationships/worksheet" Target="worksheets/sheet18.xml" /><Relationship Id="rId19" Type="http://schemas.openxmlformats.org/officeDocument/2006/relationships/worksheet" Target="worksheets/sheet19.xml" /><Relationship Id="rId20" Type="http://schemas.openxmlformats.org/officeDocument/2006/relationships/worksheet" Target="worksheets/sheet20.xml" /><Relationship Id="rId21" Type="http://schemas.openxmlformats.org/officeDocument/2006/relationships/worksheet" Target="worksheets/sheet21.xml" /><Relationship Id="rId22" Type="http://schemas.microsoft.com/office/2006/relationships/vbaProject" Target="vbaProject.bin" /><Relationship Id="rId23" Type="http://schemas.openxmlformats.org/officeDocument/2006/relationships/styles" Target="styles.xml" /><Relationship Id="rId24" Type="http://schemas.openxmlformats.org/officeDocument/2006/relationships/sharedStrings" Target="sharedStrings.xml" /><Relationship Id="rId25" Type="http://schemas.openxmlformats.org/officeDocument/2006/relationships/theme" Target="theme/theme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3.bin" 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4.bin" 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5.bin" 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6.bin" 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7.bin" 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8.bin" 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9.bin" 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0.bin" 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432"/>
  <sheetViews>
    <sheetView tabSelected="1" workbookViewId="0" topLeftCell="A1">
      <selection pane="topLeft" activeCell="AV5" sqref="AV5:XFD5"/>
    </sheetView>
  </sheetViews>
  <sheetFormatPr defaultColWidth="9.44140625" defaultRowHeight="13.5"/>
  <cols>
    <col min="1" max="1" width="29.4285714285714" bestFit="1" customWidth="1"/>
    <col min="4" max="4" width="13.5714285714286" customWidth="1"/>
    <col min="5" max="5" width="14.4285714285714" bestFit="1" customWidth="1"/>
    <col min="6" max="6" width="17.5714285714286" bestFit="1" customWidth="1"/>
    <col min="8" max="47" width="9.42857142857143" hidden="1" customWidth="1"/>
    <col min="48" max="49" width="11" customWidth="1"/>
    <col min="50" max="50" width="18.4285714285714" customWidth="1"/>
    <col min="51" max="51" width="15.4285714285714" customWidth="1"/>
    <col min="52" max="52" width="14.4285714285714" customWidth="1"/>
    <col min="53" max="53" width="10.4285714285714" bestFit="1" customWidth="1"/>
    <col min="54" max="54" width="11.5714285714286" bestFit="1" customWidth="1"/>
    <col min="55" max="55" width="20.5714285714286" customWidth="1"/>
    <col min="56" max="56" width="47.4285714285714" customWidth="1"/>
    <col min="57" max="57" width="8.42857142857143" bestFit="1" customWidth="1"/>
    <col min="58" max="58" width="16.5714285714286" customWidth="1"/>
    <col min="59" max="59" width="61" bestFit="1" customWidth="1"/>
    <col min="60" max="60" width="11.4285714285714" customWidth="1"/>
    <col min="61" max="61" width="9" customWidth="1"/>
    <col min="62" max="62" width="42.5714285714286" bestFit="1" customWidth="1"/>
    <col min="63" max="63" width="23.5714285714286" customWidth="1"/>
    <col min="64" max="64" width="29.4285714285714" customWidth="1"/>
    <col min="65" max="65" width="16.5714285714286" bestFit="1" customWidth="1"/>
    <col min="66" max="66" width="20.4285714285714" bestFit="1" customWidth="1"/>
    <col min="67" max="67" width="22.4285714285714" bestFit="1" customWidth="1"/>
    <col min="68" max="68" width="17" bestFit="1" customWidth="1"/>
    <col min="69" max="69" width="14.5714285714286" customWidth="1"/>
    <col min="71" max="71" width="16.5714285714286" customWidth="1"/>
    <col min="72" max="72" width="21" customWidth="1"/>
    <col min="74" max="74" width="9.42857142857143" customWidth="1"/>
    <col min="75" max="75" width="12.5714285714286" customWidth="1"/>
    <col min="76" max="76" width="14.4285714285714" customWidth="1"/>
    <col min="77" max="77" width="15.5714285714286" customWidth="1"/>
    <col min="78" max="78" width="7.57142857142857" customWidth="1"/>
    <col min="79" max="79" width="10" bestFit="1" customWidth="1"/>
    <col min="80" max="80" width="6.57142857142857" customWidth="1"/>
    <col min="81" max="81" width="13.4285714285714" customWidth="1"/>
    <col min="82" max="83" width="12.5714285714286" customWidth="1"/>
    <col min="84" max="84" width="17.4285714285714" customWidth="1"/>
    <col min="85" max="85" width="11.4285714285714" customWidth="1"/>
    <col min="86" max="86" width="13.5714285714286" customWidth="1"/>
    <col min="87" max="87" width="16.4285714285714" customWidth="1"/>
    <col min="88" max="88" width="47.5714285714286" bestFit="1" customWidth="1"/>
    <col min="89" max="89" width="13.5714285714286" style="38" bestFit="1" customWidth="1"/>
    <col min="90" max="90" width="12.5714285714286" customWidth="1"/>
    <col min="91" max="91" width="17.5714285714286" customWidth="1"/>
    <col min="92" max="92" width="16.4285714285714" bestFit="1" customWidth="1"/>
    <col min="93" max="93" width="7.57142857142857" customWidth="1"/>
    <col min="94" max="94" width="15" customWidth="1"/>
    <col min="95" max="95" width="12" customWidth="1"/>
    <col min="96" max="97" width="11.4285714285714" customWidth="1"/>
    <col min="98" max="98" width="9.57142857142857" bestFit="1" customWidth="1"/>
    <col min="99" max="99" width="12.5714285714286" customWidth="1"/>
    <col min="100" max="100" width="13.4285714285714" customWidth="1"/>
    <col min="101" max="101" width="11.4285714285714" customWidth="1"/>
    <col min="102" max="102" width="13" customWidth="1"/>
    <col min="103" max="103" width="13.5714285714286" customWidth="1"/>
    <col min="104" max="104" width="7.42857142857143" customWidth="1"/>
    <col min="105" max="105" width="12.5714285714286" customWidth="1"/>
    <col min="106" max="106" width="12.4285714285714" customWidth="1"/>
    <col min="107" max="107" width="9.57142857142857" bestFit="1" customWidth="1"/>
    <col min="108" max="108" width="11.4285714285714" customWidth="1"/>
    <col min="109" max="110" width="12.4285714285714" customWidth="1"/>
    <col min="111" max="111" width="7.42857142857143" customWidth="1"/>
    <col min="112" max="112" width="8.42857142857143" customWidth="1"/>
    <col min="113" max="113" width="13.5714285714286" customWidth="1"/>
  </cols>
  <sheetData>
    <row r="1" spans="48:123" ht="26.4">
      <c r="AV1" s="16"/>
      <c r="AW1" s="16"/>
      <c r="AX1" s="20" t="s">
        <v>11150</v>
      </c>
      <c r="AY1" s="17"/>
      <c r="AZ1" s="17" t="s">
        <v>15</v>
      </c>
      <c r="BA1" s="19" t="s">
        <v>21</v>
      </c>
      <c r="BB1" s="17"/>
      <c r="BC1" s="17"/>
      <c r="BD1" s="17"/>
      <c r="BE1" s="17"/>
      <c r="BF1" s="17"/>
      <c r="BG1" s="17" t="s">
        <v>10</v>
      </c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33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  <c r="DK1" s="17"/>
      <c r="DL1" s="17"/>
      <c r="DM1" s="17"/>
      <c r="DN1" s="17"/>
      <c r="DO1" s="17"/>
      <c r="DP1" s="17"/>
      <c r="DQ1" s="17"/>
      <c r="DR1" s="17"/>
      <c r="DS1" s="17"/>
    </row>
    <row r="2" spans="48:123" ht="13.2">
      <c r="AV2" s="18"/>
      <c r="AW2" s="18"/>
      <c r="AX2" s="18"/>
      <c r="AY2" s="19"/>
      <c r="AZ2" s="17" t="s">
        <v>13</v>
      </c>
      <c r="BA2" s="21">
        <v>20</v>
      </c>
      <c r="BB2" s="17"/>
      <c r="BC2" s="17"/>
      <c r="BD2" s="17"/>
      <c r="BE2" s="17"/>
      <c r="BF2" s="17"/>
      <c r="BG2" s="17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34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  <c r="CZ2" s="19"/>
      <c r="DA2" s="19"/>
      <c r="DB2" s="19"/>
      <c r="DC2" s="19"/>
      <c r="DD2" s="19"/>
      <c r="DE2" s="19"/>
      <c r="DF2" s="19"/>
      <c r="DG2" s="19"/>
      <c r="DH2" s="19"/>
      <c r="DI2" s="19"/>
      <c r="DJ2" s="19"/>
      <c r="DK2" s="19"/>
      <c r="DL2" s="19"/>
      <c r="DM2" s="19"/>
      <c r="DN2" s="19"/>
      <c r="DO2" s="19"/>
      <c r="DP2" s="19"/>
      <c r="DQ2" s="19"/>
      <c r="DR2" s="19"/>
      <c r="DS2" s="19"/>
    </row>
    <row r="3" spans="48:123" ht="13.2">
      <c r="AV3" s="18" t="s">
        <v>23</v>
      </c>
      <c r="AW3" s="18"/>
      <c r="AX3" s="18"/>
      <c r="AY3" s="19"/>
      <c r="AZ3" s="19" t="s">
        <v>16</v>
      </c>
      <c r="BA3" s="19" t="s">
        <v>17</v>
      </c>
      <c r="BB3" s="19"/>
      <c r="BC3" s="19"/>
      <c r="BD3" s="17"/>
      <c r="BE3" s="17"/>
      <c r="BF3" s="17"/>
      <c r="BG3" s="17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34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</row>
    <row r="4" spans="48:127" ht="13.2">
      <c r="AV4" s="13" t="s">
        <v>0</v>
      </c>
      <c r="AW4" s="13" t="s">
        <v>18</v>
      </c>
      <c r="AX4" s="13" t="s">
        <v>1</v>
      </c>
      <c r="AY4" s="13" t="s">
        <v>2</v>
      </c>
      <c r="AZ4" s="13" t="s">
        <v>20</v>
      </c>
      <c r="BA4" s="13" t="s">
        <v>19</v>
      </c>
      <c r="BB4" s="10" t="s">
        <v>24</v>
      </c>
      <c r="BC4" s="10" t="s">
        <v>3</v>
      </c>
      <c r="BD4" s="10" t="s">
        <v>25</v>
      </c>
      <c r="BE4" s="10" t="s">
        <v>26</v>
      </c>
      <c r="BF4" s="10" t="s">
        <v>27</v>
      </c>
      <c r="BG4" s="10" t="s">
        <v>6</v>
      </c>
      <c r="BH4" s="10" t="s">
        <v>28</v>
      </c>
      <c r="BI4" s="10" t="s">
        <v>29</v>
      </c>
      <c r="BJ4" s="10" t="s">
        <v>30</v>
      </c>
      <c r="BK4" s="10" t="s">
        <v>31</v>
      </c>
      <c r="BL4" s="10" t="s">
        <v>32</v>
      </c>
      <c r="BM4" s="10" t="s">
        <v>33</v>
      </c>
      <c r="BN4" s="10" t="s">
        <v>34</v>
      </c>
      <c r="BO4" s="13" t="s">
        <v>35</v>
      </c>
      <c r="BP4" s="13" t="s">
        <v>36</v>
      </c>
      <c r="BQ4" s="13" t="s">
        <v>22</v>
      </c>
      <c r="BR4" s="13" t="s">
        <v>37</v>
      </c>
      <c r="BS4" s="8" t="s">
        <v>38</v>
      </c>
      <c r="BT4" s="8" t="s">
        <v>39</v>
      </c>
      <c r="BU4" s="8" t="s">
        <v>40</v>
      </c>
      <c r="BV4" s="8" t="s">
        <v>41</v>
      </c>
      <c r="BW4" s="8" t="s">
        <v>42</v>
      </c>
      <c r="BX4" s="8" t="s">
        <v>43</v>
      </c>
      <c r="BY4" s="8" t="s">
        <v>44</v>
      </c>
      <c r="BZ4" s="8" t="s">
        <v>45</v>
      </c>
      <c r="CA4" s="8" t="s">
        <v>46</v>
      </c>
      <c r="CB4" s="8" t="s">
        <v>47</v>
      </c>
      <c r="CC4" s="8" t="s">
        <v>48</v>
      </c>
      <c r="CD4" s="8" t="s">
        <v>49</v>
      </c>
      <c r="CE4" s="8" t="s">
        <v>50</v>
      </c>
      <c r="CF4" s="8" t="s">
        <v>51</v>
      </c>
      <c r="CG4" s="8"/>
      <c r="CH4" s="8" t="s">
        <v>52</v>
      </c>
      <c r="CI4" s="8" t="s">
        <v>53</v>
      </c>
      <c r="CJ4" s="8" t="s">
        <v>54</v>
      </c>
      <c r="CK4" s="35" t="s">
        <v>55</v>
      </c>
      <c r="CL4" s="8" t="s">
        <v>56</v>
      </c>
      <c r="CM4" s="8" t="s">
        <v>57</v>
      </c>
      <c r="CN4" s="8" t="s">
        <v>58</v>
      </c>
      <c r="CO4" s="8" t="s">
        <v>59</v>
      </c>
      <c r="CP4" s="8" t="s">
        <v>60</v>
      </c>
      <c r="CQ4" s="8" t="s">
        <v>61</v>
      </c>
      <c r="CR4" s="8" t="s">
        <v>62</v>
      </c>
      <c r="CS4" s="8" t="s">
        <v>63</v>
      </c>
      <c r="CT4" s="8" t="s">
        <v>64</v>
      </c>
      <c r="CU4" s="8" t="s">
        <v>65</v>
      </c>
      <c r="CV4" s="8" t="s">
        <v>66</v>
      </c>
      <c r="CW4" s="8" t="s">
        <v>67</v>
      </c>
      <c r="CX4" s="8" t="s">
        <v>68</v>
      </c>
      <c r="CY4" s="8" t="s">
        <v>69</v>
      </c>
      <c r="CZ4" s="8" t="s">
        <v>70</v>
      </c>
      <c r="DA4" s="8" t="s">
        <v>71</v>
      </c>
      <c r="DB4" s="8" t="s">
        <v>72</v>
      </c>
      <c r="DC4" s="8" t="s">
        <v>73</v>
      </c>
      <c r="DD4" s="8" t="s">
        <v>74</v>
      </c>
      <c r="DE4" s="8" t="s">
        <v>75</v>
      </c>
      <c r="DF4" s="8" t="s">
        <v>76</v>
      </c>
      <c r="DG4" s="8" t="s">
        <v>77</v>
      </c>
      <c r="DH4" s="8" t="s">
        <v>78</v>
      </c>
      <c r="DI4" s="8" t="s">
        <v>79</v>
      </c>
      <c r="DJ4" s="8" t="s">
        <v>80</v>
      </c>
      <c r="DK4" s="8" t="s">
        <v>81</v>
      </c>
      <c r="DL4" s="8" t="s">
        <v>82</v>
      </c>
      <c r="DM4" s="8" t="s">
        <v>83</v>
      </c>
      <c r="DN4" s="8" t="s">
        <v>84</v>
      </c>
      <c r="DO4" s="8" t="s">
        <v>85</v>
      </c>
      <c r="DP4" s="8" t="s">
        <v>86</v>
      </c>
      <c r="DQ4" s="8" t="s">
        <v>87</v>
      </c>
      <c r="DR4" s="8" t="s">
        <v>88</v>
      </c>
      <c r="DS4" s="8" t="s">
        <v>89</v>
      </c>
      <c r="DT4" t="s">
        <v>113</v>
      </c>
      <c r="DU4" t="s">
        <v>126</v>
      </c>
      <c r="DV4" t="s">
        <v>514</v>
      </c>
      <c r="DW4" t="s">
        <v>515</v>
      </c>
    </row>
    <row r="5" spans="1:127" ht="17.4">
      <c r="A5" s="199" t="s">
        <v>100</v>
      </c>
      <c r="B5" s="199"/>
      <c r="C5" s="199"/>
      <c r="D5" s="199"/>
      <c r="E5" s="199"/>
      <c r="F5" s="199"/>
      <c r="AV5" t="s">
        <v>12122</v>
      </c>
      <c r="AW5" s="14" t="s">
        <v>12123</v>
      </c>
      <c r="AX5" s="14" t="s">
        <v>12124</v>
      </c>
      <c r="AY5" s="14" t="s">
        <v>12125</v>
      </c>
      <c r="AZ5" s="14" t="s">
        <v>12126</v>
      </c>
      <c r="BA5" s="14" t="s">
        <v>12127</v>
      </c>
      <c r="BC5" s="14" t="s">
        <v>12128</v>
      </c>
      <c r="BD5" s="14" t="s">
        <v>12129</v>
      </c>
      <c r="BE5" t="s">
        <v>12130</v>
      </c>
      <c r="BF5" t="s">
        <v>12131</v>
      </c>
      <c r="BH5" t="s">
        <v>11919</v>
      </c>
      <c r="BI5" t="s">
        <v>12132</v>
      </c>
      <c r="BJ5" t="s">
        <v>11919</v>
      </c>
      <c r="BK5" t="s">
        <v>12133</v>
      </c>
      <c r="BM5" t="s">
        <v>12134</v>
      </c>
      <c r="BN5" t="s">
        <v>12135</v>
      </c>
      <c r="BO5" s="8" t="s">
        <v>12136</v>
      </c>
      <c r="BP5" s="12" t="s">
        <v>12137</v>
      </c>
      <c r="BQ5" s="12"/>
      <c r="BR5" s="12" t="s">
        <v>11919</v>
      </c>
      <c r="BS5" s="8" t="s">
        <v>11919</v>
      </c>
      <c r="BT5" s="8" t="s">
        <v>12138</v>
      </c>
      <c r="BU5" s="8" t="s">
        <v>11919</v>
      </c>
      <c r="BV5" s="8" t="s">
        <v>11919</v>
      </c>
      <c r="BW5" s="8" t="s">
        <v>11919</v>
      </c>
      <c r="BX5" s="8" t="s">
        <v>11919</v>
      </c>
      <c r="BY5" s="8" t="s">
        <v>12139</v>
      </c>
      <c r="BZ5" s="8" t="s">
        <v>11919</v>
      </c>
      <c r="CA5" s="8" t="s">
        <v>11919</v>
      </c>
      <c r="CB5" s="8" t="s">
        <v>11919</v>
      </c>
      <c r="CC5" s="8" t="s">
        <v>11919</v>
      </c>
      <c r="CD5" s="8" t="s">
        <v>11919</v>
      </c>
      <c r="CE5" s="8" t="s">
        <v>12140</v>
      </c>
      <c r="CF5" s="8" t="s">
        <v>11919</v>
      </c>
      <c r="CG5" s="8"/>
      <c r="CH5" s="8"/>
      <c r="CI5" s="8" t="s">
        <v>11919</v>
      </c>
      <c r="CJ5" s="8" t="s">
        <v>12132</v>
      </c>
      <c r="CK5" s="35" t="s">
        <v>11919</v>
      </c>
      <c r="CL5" s="8" t="s">
        <v>12142</v>
      </c>
      <c r="CM5" s="8"/>
      <c r="CN5" s="8" t="s">
        <v>12134</v>
      </c>
      <c r="CO5" s="8" t="s">
        <v>12135</v>
      </c>
      <c r="CP5" s="8" t="s">
        <v>12136</v>
      </c>
      <c r="CQ5" s="8" t="s">
        <v>12137</v>
      </c>
      <c r="CR5" s="8">
        <v>0</v>
      </c>
      <c r="CS5" s="8">
        <v>0</v>
      </c>
      <c r="CT5" s="8" t="s">
        <v>11919</v>
      </c>
      <c r="CU5" s="8" t="s">
        <v>12143</v>
      </c>
      <c r="CV5" s="8" t="s">
        <v>12144</v>
      </c>
      <c r="CW5" s="8" t="s">
        <v>11919</v>
      </c>
      <c r="CX5" s="8" t="s">
        <v>12143</v>
      </c>
      <c r="CY5" s="8" t="s">
        <v>12144</v>
      </c>
      <c r="CZ5" s="8" t="s">
        <v>12145</v>
      </c>
      <c r="DA5" s="8" t="s">
        <v>11919</v>
      </c>
      <c r="DB5" s="8" t="s">
        <v>12138</v>
      </c>
      <c r="DC5" s="8"/>
      <c r="DD5" s="8"/>
      <c r="DE5" s="8"/>
      <c r="DF5" s="8"/>
      <c r="DG5" s="8" t="s">
        <v>12146</v>
      </c>
      <c r="DH5" s="8">
        <v>0</v>
      </c>
      <c r="DI5" s="8">
        <v>0.0016</v>
      </c>
      <c r="DJ5" s="8" t="s">
        <v>12141</v>
      </c>
      <c r="DK5" s="8" t="s">
        <v>11919</v>
      </c>
      <c r="DL5" s="8" t="s">
        <v>11919</v>
      </c>
      <c r="DM5" s="8">
        <v>0</v>
      </c>
      <c r="DN5" s="8">
        <v>0</v>
      </c>
      <c r="DO5" s="8">
        <v>0</v>
      </c>
      <c r="DP5" s="8">
        <v>0</v>
      </c>
      <c r="DQ5" s="8">
        <v>0.0018</v>
      </c>
      <c r="DR5" s="8" t="s">
        <v>12146</v>
      </c>
      <c r="DS5" s="8" t="s">
        <v>12147</v>
      </c>
      <c r="DT5" t="s">
        <v>12148</v>
      </c>
      <c r="DU5" t="s">
        <v>12149</v>
      </c>
      <c r="DV5" t="s">
        <v>12150</v>
      </c>
      <c r="DW5">
        <v>-198429</v>
      </c>
    </row>
    <row r="6" spans="1:123" ht="13.2">
      <c r="A6" s="23" t="s">
        <v>101</v>
      </c>
      <c r="B6" s="23" t="s">
        <v>102</v>
      </c>
      <c r="C6" s="23" t="s">
        <v>103</v>
      </c>
      <c r="D6" s="23" t="s">
        <v>104</v>
      </c>
      <c r="E6" s="23" t="s">
        <v>105</v>
      </c>
      <c r="F6" s="23" t="s">
        <v>106</v>
      </c>
      <c r="AV6" s="8"/>
      <c r="AW6" s="8"/>
      <c r="AX6" s="8"/>
      <c r="AY6" s="12"/>
      <c r="AZ6" s="12"/>
      <c r="BA6" s="8"/>
      <c r="BO6" s="8"/>
      <c r="BP6" s="8"/>
      <c r="BQ6" s="8"/>
      <c r="BR6" s="8"/>
      <c r="BS6" s="8"/>
      <c r="BT6" s="12"/>
      <c r="BU6" s="12"/>
      <c r="BV6" s="12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35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</row>
    <row r="7" spans="1:123" ht="13.2">
      <c r="A7" s="26" t="s">
        <v>11590</v>
      </c>
      <c r="B7" s="26">
        <v>11</v>
      </c>
      <c r="C7" s="26">
        <v>20</v>
      </c>
      <c r="D7" s="26" t="s">
        <v>12093</v>
      </c>
      <c r="E7" s="26" t="b">
        <v>1</v>
      </c>
      <c r="F7" s="26">
        <v>1</v>
      </c>
      <c r="AV7" s="8"/>
      <c r="AW7" s="8"/>
      <c r="AX7" s="8"/>
      <c r="AY7" s="8"/>
      <c r="AZ7" s="8"/>
      <c r="BA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35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</row>
    <row r="8" spans="1:123" ht="13.2">
      <c r="A8" s="26" t="s">
        <v>11573</v>
      </c>
      <c r="B8" s="26">
        <v>11</v>
      </c>
      <c r="C8" s="26">
        <v>20</v>
      </c>
      <c r="D8" s="26" t="s">
        <v>11589</v>
      </c>
      <c r="E8" s="26" t="b">
        <v>1</v>
      </c>
      <c r="F8" s="26">
        <v>1</v>
      </c>
      <c r="AV8" s="8"/>
      <c r="AW8" s="8"/>
      <c r="AX8" s="8"/>
      <c r="AY8" s="8"/>
      <c r="AZ8" s="8"/>
      <c r="BA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35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</row>
    <row r="9" spans="1:123" ht="13.2">
      <c r="A9" s="26" t="s">
        <v>186</v>
      </c>
      <c r="B9" s="26">
        <v>13</v>
      </c>
      <c r="C9" s="26">
        <v>22</v>
      </c>
      <c r="D9" s="26" t="s">
        <v>11676</v>
      </c>
      <c r="E9" s="26" t="b">
        <v>1</v>
      </c>
      <c r="F9" s="26">
        <v>1</v>
      </c>
      <c r="AV9" s="8"/>
      <c r="AW9" s="8"/>
      <c r="AX9" s="8"/>
      <c r="AY9" s="8"/>
      <c r="AZ9" s="8"/>
      <c r="BA9" s="8"/>
      <c r="BP9" s="8"/>
      <c r="BQ9" s="8"/>
      <c r="BR9" s="8"/>
      <c r="BS9" s="8"/>
      <c r="BT9" s="8"/>
      <c r="BU9" s="8"/>
      <c r="BV9" s="8"/>
      <c r="BW9" s="8"/>
      <c r="BX9" s="9"/>
      <c r="BY9" s="9"/>
      <c r="BZ9" s="9"/>
      <c r="CA9" s="9"/>
      <c r="CB9" s="8"/>
      <c r="CC9" s="8"/>
      <c r="CD9" s="8"/>
      <c r="CE9" s="8"/>
      <c r="CF9" s="8"/>
      <c r="CG9" s="8"/>
      <c r="CH9" s="8"/>
      <c r="CI9" s="8"/>
      <c r="CJ9" s="8"/>
      <c r="CK9" s="35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</row>
    <row r="10" spans="1:123" ht="13.2">
      <c r="A10" s="26" t="s">
        <v>11916</v>
      </c>
      <c r="B10" s="26">
        <v>11</v>
      </c>
      <c r="C10" s="26">
        <v>20</v>
      </c>
      <c r="D10" s="26" t="s">
        <v>11917</v>
      </c>
      <c r="E10" s="26" t="b">
        <v>1</v>
      </c>
      <c r="F10" s="26">
        <v>1</v>
      </c>
      <c r="AV10" s="10" t="s">
        <v>0</v>
      </c>
      <c r="AW10" s="10" t="s">
        <v>5414</v>
      </c>
      <c r="AX10" s="10" t="s">
        <v>5415</v>
      </c>
      <c r="AY10" s="10" t="s">
        <v>1</v>
      </c>
      <c r="AZ10" s="10" t="s">
        <v>5416</v>
      </c>
      <c r="BA10" s="10" t="s">
        <v>5417</v>
      </c>
      <c r="BB10" s="10" t="s">
        <v>5418</v>
      </c>
      <c r="BC10" s="10" t="s">
        <v>6</v>
      </c>
      <c r="BD10" s="10" t="s">
        <v>5419</v>
      </c>
      <c r="BE10" s="10" t="s">
        <v>5420</v>
      </c>
      <c r="BF10" s="10" t="s">
        <v>5421</v>
      </c>
      <c r="BG10" s="10" t="s">
        <v>79</v>
      </c>
      <c r="BH10" s="10" t="s">
        <v>5422</v>
      </c>
      <c r="BI10" s="10" t="s">
        <v>5423</v>
      </c>
      <c r="BJ10" s="10" t="s">
        <v>5424</v>
      </c>
      <c r="BK10" s="10" t="s">
        <v>5425</v>
      </c>
      <c r="BL10" s="10" t="s">
        <v>5426</v>
      </c>
      <c r="BM10" s="10" t="s">
        <v>5427</v>
      </c>
      <c r="BN10" t="s">
        <v>5428</v>
      </c>
      <c r="BO10" s="10" t="s">
        <v>5429</v>
      </c>
      <c r="BP10" s="10" t="s">
        <v>5430</v>
      </c>
      <c r="BQ10" s="10" t="s">
        <v>5431</v>
      </c>
      <c r="BR10" s="10" t="s">
        <v>5432</v>
      </c>
      <c r="BS10" s="10" t="s">
        <v>5433</v>
      </c>
      <c r="BT10" s="9" t="s">
        <v>114</v>
      </c>
      <c r="BU10" s="9" t="s">
        <v>5434</v>
      </c>
      <c r="BV10" s="9" t="s">
        <v>5435</v>
      </c>
      <c r="BW10" s="9" t="s">
        <v>5436</v>
      </c>
      <c r="BX10" s="9"/>
      <c r="BY10" s="9"/>
      <c r="BZ10" s="9"/>
      <c r="CA10" s="9"/>
      <c r="CB10" s="9"/>
      <c r="CC10" s="9"/>
      <c r="CD10" s="9"/>
      <c r="CE10" s="9" t="s">
        <v>5437</v>
      </c>
      <c r="CF10" s="9" t="s">
        <v>0</v>
      </c>
      <c r="CG10" s="9" t="s">
        <v>0</v>
      </c>
      <c r="CH10" s="9" t="s">
        <v>5438</v>
      </c>
      <c r="CI10" s="9" t="s">
        <v>1</v>
      </c>
      <c r="CJ10" s="9" t="s">
        <v>5439</v>
      </c>
      <c r="CK10" s="36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</row>
    <row r="11" spans="1:123" ht="13.2">
      <c r="A11" s="26" t="s">
        <v>3602</v>
      </c>
      <c r="B11" s="26">
        <v>11</v>
      </c>
      <c r="C11" s="26">
        <v>20</v>
      </c>
      <c r="D11" s="26" t="s">
        <v>615</v>
      </c>
      <c r="E11" s="26" t="b">
        <v>1</v>
      </c>
      <c r="F11" s="26">
        <v>1</v>
      </c>
      <c r="AV11" t="s">
        <v>12151</v>
      </c>
      <c r="AW11">
        <v>28</v>
      </c>
      <c r="AX11" t="s">
        <v>12152</v>
      </c>
      <c r="AY11" t="s">
        <v>12153</v>
      </c>
      <c r="AZ11">
        <v>1</v>
      </c>
      <c r="BA11">
        <v>3640</v>
      </c>
      <c r="BB11">
        <v>2655</v>
      </c>
      <c r="BC11" t="s">
        <v>12154</v>
      </c>
      <c r="BD11" t="s">
        <v>12155</v>
      </c>
      <c r="BE11" t="s">
        <v>12156</v>
      </c>
      <c r="BF11" s="41">
        <v>46253</v>
      </c>
      <c r="BG11">
        <v>0</v>
      </c>
      <c r="BH11">
        <v>0</v>
      </c>
      <c r="BI11">
        <v>0</v>
      </c>
      <c r="BJ11">
        <v>2232.366</v>
      </c>
      <c r="BK11">
        <v>-2232.366</v>
      </c>
      <c r="BL11">
        <v>954.23</v>
      </c>
      <c r="BM11" t="s">
        <v>12157</v>
      </c>
      <c r="BN11" t="s">
        <v>12158</v>
      </c>
      <c r="BO11" t="s">
        <v>12159</v>
      </c>
      <c r="BP11" t="s">
        <v>12160</v>
      </c>
      <c r="BR11" s="14" t="s">
        <v>11919</v>
      </c>
      <c r="BS11" s="11" t="s">
        <v>11919</v>
      </c>
      <c r="BT11" s="11" t="s">
        <v>12161</v>
      </c>
      <c r="BU11" s="11">
        <v>0</v>
      </c>
      <c r="BV11" s="11" t="s">
        <v>201</v>
      </c>
      <c r="BW11" s="11" t="s">
        <v>293</v>
      </c>
      <c r="BX11" s="11"/>
      <c r="BY11" s="11"/>
      <c r="BZ11" s="11"/>
      <c r="CA11" s="11"/>
      <c r="CB11" s="11"/>
      <c r="CC11" s="11"/>
      <c r="CD11" s="11"/>
      <c r="CE11" s="11" t="s">
        <v>12162</v>
      </c>
      <c r="CF11" s="11" t="s">
        <v>12163</v>
      </c>
      <c r="CG11" s="11" t="s">
        <v>12163</v>
      </c>
      <c r="CH11" s="11" t="s">
        <v>12151</v>
      </c>
      <c r="CI11" s="11" t="s">
        <v>12164</v>
      </c>
      <c r="CJ11" s="11" t="s">
        <v>12153</v>
      </c>
      <c r="CK11" s="37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</row>
    <row r="12" spans="1:123" ht="13.2">
      <c r="A12" s="26" t="s">
        <v>122</v>
      </c>
      <c r="B12" s="26">
        <v>11</v>
      </c>
      <c r="C12" s="26">
        <v>20</v>
      </c>
      <c r="D12" s="26" t="s">
        <v>723</v>
      </c>
      <c r="E12" s="26" t="b">
        <v>1</v>
      </c>
      <c r="F12" s="26">
        <v>1</v>
      </c>
      <c r="AV12" t="s">
        <v>12295</v>
      </c>
      <c r="AW12">
        <v>29</v>
      </c>
      <c r="AX12" t="s">
        <v>12152</v>
      </c>
      <c r="AY12" t="s">
        <v>12296</v>
      </c>
      <c r="AZ12">
        <v>1</v>
      </c>
      <c r="BA12">
        <v>2600</v>
      </c>
      <c r="BB12">
        <v>2455</v>
      </c>
      <c r="BC12" t="s">
        <v>12154</v>
      </c>
      <c r="BD12" t="s">
        <v>12155</v>
      </c>
      <c r="BE12" t="s">
        <v>12156</v>
      </c>
      <c r="BF12" s="41">
        <v>46253</v>
      </c>
      <c r="BG12">
        <v>0</v>
      </c>
      <c r="BH12">
        <v>0</v>
      </c>
      <c r="BI12">
        <v>0</v>
      </c>
      <c r="BJ12">
        <v>1601.51</v>
      </c>
      <c r="BK12">
        <v>-1601.51</v>
      </c>
      <c r="BL12">
        <v>689.35</v>
      </c>
      <c r="BM12" t="s">
        <v>12157</v>
      </c>
      <c r="BN12" t="s">
        <v>12158</v>
      </c>
      <c r="BO12" t="s">
        <v>12159</v>
      </c>
      <c r="BP12" t="s">
        <v>12160</v>
      </c>
      <c r="BR12" s="14" t="s">
        <v>11919</v>
      </c>
      <c r="BS12" s="11" t="s">
        <v>11919</v>
      </c>
      <c r="BT12" s="11" t="s">
        <v>12161</v>
      </c>
      <c r="BU12" s="11">
        <v>0</v>
      </c>
      <c r="BV12" s="11" t="s">
        <v>201</v>
      </c>
      <c r="BW12" s="11" t="s">
        <v>293</v>
      </c>
      <c r="BX12" s="11"/>
      <c r="BY12" s="11"/>
      <c r="BZ12" s="11"/>
      <c r="CA12" s="11"/>
      <c r="CB12" s="11"/>
      <c r="CC12" s="11"/>
      <c r="CD12" s="11"/>
      <c r="CE12" s="11" t="s">
        <v>12165</v>
      </c>
      <c r="CF12" s="11" t="s">
        <v>12166</v>
      </c>
      <c r="CG12" s="11" t="s">
        <v>12166</v>
      </c>
      <c r="CH12" s="15" t="s">
        <v>12151</v>
      </c>
      <c r="CI12" s="11" t="s">
        <v>12167</v>
      </c>
      <c r="CJ12" s="15" t="s">
        <v>725</v>
      </c>
      <c r="CK12" s="37"/>
      <c r="CL12" s="15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</row>
    <row r="13" spans="1:123" ht="13.2">
      <c r="A13" s="26" t="s">
        <v>11877</v>
      </c>
      <c r="B13" s="26">
        <v>11</v>
      </c>
      <c r="C13" s="26">
        <v>20</v>
      </c>
      <c r="D13" s="26" t="s">
        <v>291</v>
      </c>
      <c r="E13" s="26" t="b">
        <v>1</v>
      </c>
      <c r="F13" s="26">
        <v>1</v>
      </c>
      <c r="AV13" t="s">
        <v>12371</v>
      </c>
      <c r="AW13">
        <v>30</v>
      </c>
      <c r="AX13" t="s">
        <v>12152</v>
      </c>
      <c r="AY13" t="s">
        <v>12372</v>
      </c>
      <c r="AZ13">
        <v>1</v>
      </c>
      <c r="BA13">
        <v>3502</v>
      </c>
      <c r="BB13">
        <v>2660</v>
      </c>
      <c r="BC13" t="s">
        <v>12154</v>
      </c>
      <c r="BD13" t="s">
        <v>12155</v>
      </c>
      <c r="BE13" t="s">
        <v>12156</v>
      </c>
      <c r="BF13" s="41">
        <v>46253</v>
      </c>
      <c r="BG13">
        <v>0</v>
      </c>
      <c r="BH13">
        <v>0</v>
      </c>
      <c r="BI13">
        <v>0</v>
      </c>
      <c r="BJ13">
        <v>2110.022</v>
      </c>
      <c r="BK13">
        <v>-2110.022</v>
      </c>
      <c r="BL13">
        <v>902.11</v>
      </c>
      <c r="BM13" t="s">
        <v>12157</v>
      </c>
      <c r="BN13" t="s">
        <v>12158</v>
      </c>
      <c r="BO13" t="s">
        <v>12159</v>
      </c>
      <c r="BP13" t="s">
        <v>12160</v>
      </c>
      <c r="BR13" s="14" t="s">
        <v>11919</v>
      </c>
      <c r="BS13" s="11" t="s">
        <v>11919</v>
      </c>
      <c r="BT13" s="11" t="s">
        <v>12161</v>
      </c>
      <c r="BU13" s="11">
        <v>0</v>
      </c>
      <c r="BV13" s="11" t="s">
        <v>201</v>
      </c>
      <c r="BW13" s="11" t="s">
        <v>293</v>
      </c>
      <c r="BX13" s="11"/>
      <c r="BY13" s="11"/>
      <c r="BZ13" s="11"/>
      <c r="CA13" s="11"/>
      <c r="CB13" s="11"/>
      <c r="CC13" s="11"/>
      <c r="CD13" s="11"/>
      <c r="CE13" s="11" t="s">
        <v>12168</v>
      </c>
      <c r="CF13" s="11" t="s">
        <v>12169</v>
      </c>
      <c r="CG13" s="11" t="s">
        <v>12169</v>
      </c>
      <c r="CH13" s="15" t="s">
        <v>12151</v>
      </c>
      <c r="CI13" s="11" t="s">
        <v>12170</v>
      </c>
      <c r="CJ13" s="15" t="s">
        <v>12171</v>
      </c>
      <c r="CK13" s="37"/>
      <c r="CL13" s="15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</row>
    <row r="14" spans="1:123" ht="13.2">
      <c r="A14" s="26" t="s">
        <v>535</v>
      </c>
      <c r="B14" s="26">
        <v>11</v>
      </c>
      <c r="C14" s="26">
        <v>20</v>
      </c>
      <c r="D14" s="26" t="s">
        <v>291</v>
      </c>
      <c r="E14" s="26" t="b">
        <v>1</v>
      </c>
      <c r="F14" s="26">
        <v>1</v>
      </c>
      <c r="AV14" t="s">
        <v>12445</v>
      </c>
      <c r="AW14">
        <v>31</v>
      </c>
      <c r="AX14" t="s">
        <v>12152</v>
      </c>
      <c r="AY14" t="s">
        <v>12446</v>
      </c>
      <c r="AZ14">
        <v>1</v>
      </c>
      <c r="BA14">
        <v>3380</v>
      </c>
      <c r="BB14">
        <v>2655</v>
      </c>
      <c r="BC14" t="s">
        <v>12154</v>
      </c>
      <c r="BD14" t="s">
        <v>12155</v>
      </c>
      <c r="BE14" t="s">
        <v>12156</v>
      </c>
      <c r="BF14" s="41">
        <v>46253</v>
      </c>
      <c r="BG14">
        <v>0</v>
      </c>
      <c r="BH14">
        <v>0</v>
      </c>
      <c r="BI14">
        <v>0</v>
      </c>
      <c r="BJ14">
        <v>2015.678</v>
      </c>
      <c r="BK14">
        <v>-2015.678</v>
      </c>
      <c r="BL14">
        <v>861.99</v>
      </c>
      <c r="BM14" t="s">
        <v>12157</v>
      </c>
      <c r="BN14" t="s">
        <v>12158</v>
      </c>
      <c r="BO14" t="s">
        <v>12159</v>
      </c>
      <c r="BP14" t="s">
        <v>12160</v>
      </c>
      <c r="BR14" s="14" t="s">
        <v>11919</v>
      </c>
      <c r="BS14" s="11" t="s">
        <v>11919</v>
      </c>
      <c r="BT14" s="11" t="s">
        <v>12161</v>
      </c>
      <c r="BU14" s="11">
        <v>0</v>
      </c>
      <c r="BV14" s="11" t="s">
        <v>201</v>
      </c>
      <c r="BW14" s="11" t="s">
        <v>293</v>
      </c>
      <c r="BX14" s="11"/>
      <c r="BY14" s="11"/>
      <c r="BZ14" s="11"/>
      <c r="CA14" s="11"/>
      <c r="CB14" s="11"/>
      <c r="CC14" s="11"/>
      <c r="CD14" s="11"/>
      <c r="CE14" s="11" t="s">
        <v>12172</v>
      </c>
      <c r="CF14" s="11" t="s">
        <v>12173</v>
      </c>
      <c r="CG14" s="11" t="s">
        <v>12173</v>
      </c>
      <c r="CH14" s="15" t="s">
        <v>12151</v>
      </c>
      <c r="CI14" s="11" t="s">
        <v>12174</v>
      </c>
      <c r="CJ14" s="15" t="s">
        <v>12175</v>
      </c>
      <c r="CK14" s="37"/>
      <c r="CL14" s="15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</row>
    <row r="15" spans="1:123" ht="13.2">
      <c r="A15" s="26" t="s">
        <v>7514</v>
      </c>
      <c r="B15" s="26">
        <v>10</v>
      </c>
      <c r="C15" s="26">
        <v>19</v>
      </c>
      <c r="D15" s="26" t="s">
        <v>17</v>
      </c>
      <c r="E15" s="26" t="b">
        <v>1</v>
      </c>
      <c r="F15" s="26">
        <v>1</v>
      </c>
      <c r="AV15" t="s">
        <v>12518</v>
      </c>
      <c r="AW15">
        <v>32</v>
      </c>
      <c r="AX15" t="s">
        <v>12152</v>
      </c>
      <c r="AY15" t="s">
        <v>12519</v>
      </c>
      <c r="AZ15">
        <v>1</v>
      </c>
      <c r="BA15">
        <v>3282</v>
      </c>
      <c r="BB15">
        <v>2660</v>
      </c>
      <c r="BC15" t="s">
        <v>12154</v>
      </c>
      <c r="BD15" t="s">
        <v>12155</v>
      </c>
      <c r="BE15" t="s">
        <v>12156</v>
      </c>
      <c r="BF15" s="41">
        <v>46253</v>
      </c>
      <c r="BG15">
        <v>0</v>
      </c>
      <c r="BH15">
        <v>0</v>
      </c>
      <c r="BI15">
        <v>0</v>
      </c>
      <c r="BJ15">
        <v>1970.782</v>
      </c>
      <c r="BK15">
        <v>-1970.782</v>
      </c>
      <c r="BL15">
        <v>843.91</v>
      </c>
      <c r="BM15" t="s">
        <v>12157</v>
      </c>
      <c r="BN15" t="s">
        <v>12158</v>
      </c>
      <c r="BO15" t="s">
        <v>12159</v>
      </c>
      <c r="BP15" t="s">
        <v>12160</v>
      </c>
      <c r="BR15" s="14" t="s">
        <v>11919</v>
      </c>
      <c r="BS15" s="11" t="s">
        <v>11919</v>
      </c>
      <c r="BT15" s="15" t="s">
        <v>12161</v>
      </c>
      <c r="BU15" s="15">
        <v>0</v>
      </c>
      <c r="BV15" s="11" t="s">
        <v>201</v>
      </c>
      <c r="BW15" s="11" t="s">
        <v>293</v>
      </c>
      <c r="BX15" s="11"/>
      <c r="BY15" s="11"/>
      <c r="BZ15" s="11"/>
      <c r="CA15" s="11"/>
      <c r="CB15" s="11"/>
      <c r="CC15" s="11"/>
      <c r="CD15" s="11"/>
      <c r="CE15" s="11" t="s">
        <v>12176</v>
      </c>
      <c r="CF15" s="11" t="s">
        <v>12177</v>
      </c>
      <c r="CG15" s="11" t="s">
        <v>12177</v>
      </c>
      <c r="CH15" s="11" t="s">
        <v>12151</v>
      </c>
      <c r="CI15" s="11" t="s">
        <v>12178</v>
      </c>
      <c r="CJ15" s="11" t="s">
        <v>158</v>
      </c>
      <c r="CK15" s="37"/>
      <c r="CL15" s="11"/>
      <c r="CM15" s="15"/>
      <c r="CN15" s="15"/>
      <c r="CO15" s="15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</row>
    <row r="16" spans="1:123" ht="13.2">
      <c r="A16" s="26" t="s">
        <v>7489</v>
      </c>
      <c r="B16" s="26">
        <v>10</v>
      </c>
      <c r="C16" s="26">
        <v>19</v>
      </c>
      <c r="D16" s="26" t="s">
        <v>11591</v>
      </c>
      <c r="E16" s="26" t="b">
        <v>1</v>
      </c>
      <c r="F16" s="26">
        <v>1</v>
      </c>
      <c r="AV16" t="s">
        <v>12591</v>
      </c>
      <c r="AW16">
        <v>33</v>
      </c>
      <c r="AX16" t="s">
        <v>12152</v>
      </c>
      <c r="AY16" t="s">
        <v>12592</v>
      </c>
      <c r="AZ16">
        <v>1</v>
      </c>
      <c r="BA16">
        <v>2670</v>
      </c>
      <c r="BB16">
        <v>2445</v>
      </c>
      <c r="BC16" t="s">
        <v>12154</v>
      </c>
      <c r="BD16" t="s">
        <v>12155</v>
      </c>
      <c r="BE16" t="s">
        <v>12156</v>
      </c>
      <c r="BF16" s="41">
        <v>46253</v>
      </c>
      <c r="BG16">
        <v>0</v>
      </c>
      <c r="BH16">
        <v>0</v>
      </c>
      <c r="BI16">
        <v>0</v>
      </c>
      <c r="BJ16">
        <v>1646.406</v>
      </c>
      <c r="BK16">
        <v>-1646.406</v>
      </c>
      <c r="BL16">
        <v>707.43</v>
      </c>
      <c r="BM16" t="s">
        <v>12157</v>
      </c>
      <c r="BN16" t="s">
        <v>12158</v>
      </c>
      <c r="BO16" t="s">
        <v>12159</v>
      </c>
      <c r="BP16" t="s">
        <v>12160</v>
      </c>
      <c r="BR16" s="14" t="s">
        <v>11919</v>
      </c>
      <c r="BS16" s="11" t="s">
        <v>11919</v>
      </c>
      <c r="BT16" s="15" t="s">
        <v>12161</v>
      </c>
      <c r="BU16" s="15">
        <v>0</v>
      </c>
      <c r="BV16" s="11" t="s">
        <v>201</v>
      </c>
      <c r="BW16" s="11" t="s">
        <v>293</v>
      </c>
      <c r="BX16" s="11"/>
      <c r="BY16" s="11"/>
      <c r="BZ16" s="11"/>
      <c r="CA16" s="11"/>
      <c r="CB16" s="11"/>
      <c r="CC16" s="11"/>
      <c r="CD16" s="11"/>
      <c r="CE16" s="11" t="s">
        <v>12179</v>
      </c>
      <c r="CF16" s="11" t="s">
        <v>12180</v>
      </c>
      <c r="CG16" s="11" t="s">
        <v>12180</v>
      </c>
      <c r="CH16" s="11" t="s">
        <v>12151</v>
      </c>
      <c r="CI16" s="11" t="s">
        <v>12181</v>
      </c>
      <c r="CJ16" s="11" t="s">
        <v>158</v>
      </c>
      <c r="CK16" s="37"/>
      <c r="CL16" s="11"/>
      <c r="CM16" s="15"/>
      <c r="CN16" s="15"/>
      <c r="CO16" s="15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</row>
    <row r="17" spans="1:123" ht="13.2">
      <c r="A17" s="26" t="s">
        <v>7488</v>
      </c>
      <c r="B17" s="26">
        <v>10</v>
      </c>
      <c r="C17" s="26">
        <v>19</v>
      </c>
      <c r="D17" s="26" t="s">
        <v>11591</v>
      </c>
      <c r="E17" s="26" t="b">
        <v>1</v>
      </c>
      <c r="F17" s="26">
        <v>1</v>
      </c>
      <c r="AV17" t="s">
        <v>12665</v>
      </c>
      <c r="AW17">
        <v>34</v>
      </c>
      <c r="AX17" t="s">
        <v>12152</v>
      </c>
      <c r="AY17" t="s">
        <v>12666</v>
      </c>
      <c r="AZ17">
        <v>1</v>
      </c>
      <c r="BA17">
        <v>2090</v>
      </c>
      <c r="BB17">
        <v>2445</v>
      </c>
      <c r="BC17" t="s">
        <v>12154</v>
      </c>
      <c r="BD17" t="s">
        <v>12155</v>
      </c>
      <c r="BE17" t="s">
        <v>12156</v>
      </c>
      <c r="BF17" s="41">
        <v>46253</v>
      </c>
      <c r="BG17">
        <v>0</v>
      </c>
      <c r="BH17">
        <v>0</v>
      </c>
      <c r="BI17">
        <v>0</v>
      </c>
      <c r="BJ17">
        <v>1326.582</v>
      </c>
      <c r="BK17">
        <v>-1326.582</v>
      </c>
      <c r="BL17">
        <v>575.91</v>
      </c>
      <c r="BM17" t="s">
        <v>12157</v>
      </c>
      <c r="BN17" t="s">
        <v>12158</v>
      </c>
      <c r="BO17" t="s">
        <v>12159</v>
      </c>
      <c r="BP17" t="s">
        <v>12160</v>
      </c>
      <c r="BR17" s="14" t="s">
        <v>11919</v>
      </c>
      <c r="BS17" s="11" t="s">
        <v>11919</v>
      </c>
      <c r="BT17" s="11" t="s">
        <v>12161</v>
      </c>
      <c r="BU17" s="11">
        <v>0</v>
      </c>
      <c r="BV17" s="11" t="s">
        <v>201</v>
      </c>
      <c r="BW17" s="11" t="s">
        <v>293</v>
      </c>
      <c r="BX17" s="11"/>
      <c r="BY17" s="11"/>
      <c r="BZ17" s="11"/>
      <c r="CA17" s="11"/>
      <c r="CB17" s="11"/>
      <c r="CC17" s="11"/>
      <c r="CD17" s="11"/>
      <c r="CE17" s="11" t="s">
        <v>12182</v>
      </c>
      <c r="CF17" s="11" t="s">
        <v>12183</v>
      </c>
      <c r="CG17" s="11" t="s">
        <v>12183</v>
      </c>
      <c r="CH17" s="11" t="s">
        <v>12151</v>
      </c>
      <c r="CI17" s="11" t="s">
        <v>12184</v>
      </c>
      <c r="CJ17" s="11" t="s">
        <v>119</v>
      </c>
      <c r="CK17" s="37"/>
      <c r="CL17" s="11"/>
      <c r="CM17" s="15"/>
      <c r="CN17" s="15"/>
      <c r="CO17" s="15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</row>
    <row r="18" spans="1:123" ht="13.2">
      <c r="A18" s="26" t="s">
        <v>7515</v>
      </c>
      <c r="B18" s="26">
        <v>10</v>
      </c>
      <c r="C18" s="26">
        <v>19</v>
      </c>
      <c r="D18" s="26" t="s">
        <v>17</v>
      </c>
      <c r="E18" s="26" t="b">
        <v>1</v>
      </c>
      <c r="F18" s="26">
        <v>1</v>
      </c>
      <c r="AV18" t="s">
        <v>12738</v>
      </c>
      <c r="AW18">
        <v>35</v>
      </c>
      <c r="AX18" t="s">
        <v>12152</v>
      </c>
      <c r="AY18" t="s">
        <v>12739</v>
      </c>
      <c r="AZ18">
        <v>1</v>
      </c>
      <c r="BA18">
        <v>4580</v>
      </c>
      <c r="BB18">
        <v>2405</v>
      </c>
      <c r="BC18" t="s">
        <v>11919</v>
      </c>
      <c r="BD18" t="s">
        <v>12155</v>
      </c>
      <c r="BE18" t="s">
        <v>12156</v>
      </c>
      <c r="BF18" s="41">
        <v>46253</v>
      </c>
      <c r="BG18">
        <v>0</v>
      </c>
      <c r="BH18">
        <v>0</v>
      </c>
      <c r="BI18">
        <v>0</v>
      </c>
      <c r="BJ18">
        <v>2685.326</v>
      </c>
      <c r="BK18">
        <v>-2685.3261</v>
      </c>
      <c r="BL18">
        <v>1139.03</v>
      </c>
      <c r="BM18" t="s">
        <v>12157</v>
      </c>
      <c r="BN18" t="s">
        <v>12158</v>
      </c>
      <c r="BO18" t="s">
        <v>12159</v>
      </c>
      <c r="BP18" t="s">
        <v>12160</v>
      </c>
      <c r="BR18" s="14" t="s">
        <v>11919</v>
      </c>
      <c r="BS18" s="11" t="s">
        <v>11919</v>
      </c>
      <c r="BT18" s="11" t="s">
        <v>12161</v>
      </c>
      <c r="BU18" s="11">
        <v>0</v>
      </c>
      <c r="BV18" s="11" t="s">
        <v>201</v>
      </c>
      <c r="BW18" s="11" t="s">
        <v>293</v>
      </c>
      <c r="BX18" s="11"/>
      <c r="BY18" s="11"/>
      <c r="BZ18" s="11"/>
      <c r="CA18" s="11"/>
      <c r="CB18" s="11"/>
      <c r="CC18" s="11"/>
      <c r="CD18" s="11"/>
      <c r="CE18" s="11" t="s">
        <v>12185</v>
      </c>
      <c r="CF18" s="11" t="s">
        <v>12186</v>
      </c>
      <c r="CG18" s="11" t="s">
        <v>12186</v>
      </c>
      <c r="CH18" s="11" t="s">
        <v>12151</v>
      </c>
      <c r="CI18" s="11" t="s">
        <v>12187</v>
      </c>
      <c r="CJ18" s="11" t="s">
        <v>12188</v>
      </c>
      <c r="CK18" s="37">
        <v>0</v>
      </c>
      <c r="CL18" s="11"/>
      <c r="CM18" s="15"/>
      <c r="CN18" s="15"/>
      <c r="CO18" s="15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</row>
    <row r="19" spans="1:123" ht="13.2">
      <c r="A19" s="26" t="s">
        <v>382</v>
      </c>
      <c r="B19" s="26">
        <v>9</v>
      </c>
      <c r="C19" s="26">
        <v>18</v>
      </c>
      <c r="D19" s="26" t="s">
        <v>615</v>
      </c>
      <c r="E19" s="26" t="b">
        <v>1</v>
      </c>
      <c r="F19" s="26">
        <v>1</v>
      </c>
      <c r="AV19" t="s">
        <v>12810</v>
      </c>
      <c r="AW19">
        <v>36</v>
      </c>
      <c r="AX19" t="s">
        <v>12152</v>
      </c>
      <c r="AY19" t="s">
        <v>12811</v>
      </c>
      <c r="AZ19">
        <v>1</v>
      </c>
      <c r="BA19">
        <v>3980</v>
      </c>
      <c r="BB19">
        <v>2210</v>
      </c>
      <c r="BC19" t="s">
        <v>12154</v>
      </c>
      <c r="BD19" t="s">
        <v>12155</v>
      </c>
      <c r="BE19" t="s">
        <v>12156</v>
      </c>
      <c r="BF19" s="41">
        <v>46253</v>
      </c>
      <c r="BG19">
        <v>0</v>
      </c>
      <c r="BH19">
        <v>0</v>
      </c>
      <c r="BI19">
        <v>0</v>
      </c>
      <c r="BJ19">
        <v>2373.502</v>
      </c>
      <c r="BK19">
        <v>-2373.502</v>
      </c>
      <c r="BL19">
        <v>1011.51</v>
      </c>
      <c r="BM19" t="s">
        <v>12157</v>
      </c>
      <c r="BN19" t="s">
        <v>12158</v>
      </c>
      <c r="BO19" t="s">
        <v>12159</v>
      </c>
      <c r="BP19" t="s">
        <v>12160</v>
      </c>
      <c r="BR19" s="14" t="s">
        <v>11919</v>
      </c>
      <c r="BS19" s="11" t="s">
        <v>11919</v>
      </c>
      <c r="BT19" s="11" t="s">
        <v>12161</v>
      </c>
      <c r="BU19" s="11">
        <v>0</v>
      </c>
      <c r="BV19" s="11" t="s">
        <v>201</v>
      </c>
      <c r="BW19" s="11" t="s">
        <v>293</v>
      </c>
      <c r="BX19" s="11"/>
      <c r="BY19" s="11"/>
      <c r="BZ19" s="11"/>
      <c r="CA19" s="11"/>
      <c r="CB19" s="11"/>
      <c r="CC19" s="11"/>
      <c r="CD19" s="11"/>
      <c r="CE19" s="11" t="s">
        <v>12189</v>
      </c>
      <c r="CF19" s="11" t="s">
        <v>12190</v>
      </c>
      <c r="CG19" s="11" t="s">
        <v>12190</v>
      </c>
      <c r="CH19" s="11" t="s">
        <v>12151</v>
      </c>
      <c r="CI19" s="11" t="s">
        <v>12191</v>
      </c>
      <c r="CJ19" s="11" t="s">
        <v>12192</v>
      </c>
      <c r="CK19" s="37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</row>
    <row r="20" spans="1:123" ht="13.2">
      <c r="A20" s="26" t="s">
        <v>6598</v>
      </c>
      <c r="B20" s="26">
        <v>11</v>
      </c>
      <c r="C20" s="26">
        <v>20</v>
      </c>
      <c r="D20" s="26" t="s">
        <v>615</v>
      </c>
      <c r="E20" s="26" t="b">
        <v>1</v>
      </c>
      <c r="F20" s="26">
        <v>1</v>
      </c>
      <c r="AV20" t="s">
        <v>12884</v>
      </c>
      <c r="AW20">
        <v>37</v>
      </c>
      <c r="AX20" t="s">
        <v>12152</v>
      </c>
      <c r="AY20" t="s">
        <v>12885</v>
      </c>
      <c r="AZ20">
        <v>1</v>
      </c>
      <c r="BA20">
        <v>5000</v>
      </c>
      <c r="BB20">
        <v>2245</v>
      </c>
      <c r="BC20" t="s">
        <v>12886</v>
      </c>
      <c r="BD20" t="s">
        <v>12155</v>
      </c>
      <c r="BE20" t="s">
        <v>12156</v>
      </c>
      <c r="BF20" s="41">
        <v>46253</v>
      </c>
      <c r="BG20">
        <v>0.0016</v>
      </c>
      <c r="BH20">
        <v>0</v>
      </c>
      <c r="BI20">
        <v>0.0002</v>
      </c>
      <c r="BJ20">
        <v>2863.358</v>
      </c>
      <c r="BK20">
        <v>-2863.3564</v>
      </c>
      <c r="BL20">
        <v>1209.39</v>
      </c>
      <c r="BM20" t="s">
        <v>12157</v>
      </c>
      <c r="BN20" t="s">
        <v>12158</v>
      </c>
      <c r="BO20" t="s">
        <v>12159</v>
      </c>
      <c r="BP20" t="s">
        <v>12160</v>
      </c>
      <c r="BR20" s="14" t="s">
        <v>11919</v>
      </c>
      <c r="BS20" s="11" t="s">
        <v>11919</v>
      </c>
      <c r="BT20" s="11" t="s">
        <v>12161</v>
      </c>
      <c r="BU20" s="11">
        <v>0</v>
      </c>
      <c r="BV20" s="11" t="s">
        <v>201</v>
      </c>
      <c r="BW20" s="11" t="s">
        <v>293</v>
      </c>
      <c r="BX20" s="11"/>
      <c r="BY20" s="11"/>
      <c r="BZ20" s="11"/>
      <c r="CA20" s="11"/>
      <c r="CB20" s="11"/>
      <c r="CC20" s="11"/>
      <c r="CD20" s="11"/>
      <c r="CE20" s="11" t="s">
        <v>12193</v>
      </c>
      <c r="CF20" s="11" t="s">
        <v>12194</v>
      </c>
      <c r="CG20" s="11" t="s">
        <v>12194</v>
      </c>
      <c r="CH20" s="11" t="s">
        <v>12151</v>
      </c>
      <c r="CI20" s="11" t="s">
        <v>12195</v>
      </c>
      <c r="CJ20" s="11" t="s">
        <v>181</v>
      </c>
      <c r="CK20" s="37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</row>
    <row r="21" spans="1:123" ht="13.2">
      <c r="A21" s="26" t="s">
        <v>5770</v>
      </c>
      <c r="B21" s="26">
        <v>3</v>
      </c>
      <c r="C21" s="26">
        <v>12</v>
      </c>
      <c r="D21" s="26" t="s">
        <v>12069</v>
      </c>
      <c r="E21" s="26" t="b">
        <v>0</v>
      </c>
      <c r="F21" s="26">
        <v>0</v>
      </c>
      <c r="AV21" t="s">
        <v>12957</v>
      </c>
      <c r="AW21">
        <v>38</v>
      </c>
      <c r="AX21" t="s">
        <v>12152</v>
      </c>
      <c r="AY21" t="s">
        <v>12958</v>
      </c>
      <c r="AZ21">
        <v>1</v>
      </c>
      <c r="BA21">
        <v>3050</v>
      </c>
      <c r="BB21">
        <v>2245</v>
      </c>
      <c r="BC21" t="s">
        <v>12154</v>
      </c>
      <c r="BD21" t="s">
        <v>12155</v>
      </c>
      <c r="BE21" t="s">
        <v>12156</v>
      </c>
      <c r="BF21" s="41">
        <v>46253</v>
      </c>
      <c r="BG21">
        <v>0</v>
      </c>
      <c r="BH21">
        <v>0</v>
      </c>
      <c r="BI21">
        <v>0</v>
      </c>
      <c r="BJ21">
        <v>1824.99</v>
      </c>
      <c r="BK21">
        <v>-1824.99</v>
      </c>
      <c r="BL21">
        <v>778.75</v>
      </c>
      <c r="BM21" t="s">
        <v>12157</v>
      </c>
      <c r="BN21" t="s">
        <v>12158</v>
      </c>
      <c r="BO21" t="s">
        <v>12159</v>
      </c>
      <c r="BP21" t="s">
        <v>12160</v>
      </c>
      <c r="BR21" s="14" t="s">
        <v>11919</v>
      </c>
      <c r="BS21" s="11" t="s">
        <v>11919</v>
      </c>
      <c r="BT21" s="11" t="s">
        <v>12161</v>
      </c>
      <c r="BU21" s="11">
        <v>0</v>
      </c>
      <c r="BV21" s="11" t="s">
        <v>201</v>
      </c>
      <c r="BW21" s="11" t="s">
        <v>293</v>
      </c>
      <c r="BX21" s="11"/>
      <c r="BY21" s="11"/>
      <c r="BZ21" s="11"/>
      <c r="CA21" s="11"/>
      <c r="CB21" s="11"/>
      <c r="CC21" s="11"/>
      <c r="CD21" s="11"/>
      <c r="CE21" s="11" t="s">
        <v>12196</v>
      </c>
      <c r="CF21" s="11" t="s">
        <v>12197</v>
      </c>
      <c r="CG21" s="11" t="s">
        <v>12197</v>
      </c>
      <c r="CH21" s="11" t="s">
        <v>12151</v>
      </c>
      <c r="CI21" s="11" t="s">
        <v>12198</v>
      </c>
      <c r="CJ21" s="11" t="s">
        <v>5678</v>
      </c>
      <c r="CK21" s="37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</row>
    <row r="22" spans="1:88" ht="13.2">
      <c r="A22" s="26" t="s">
        <v>107</v>
      </c>
      <c r="B22" s="26">
        <v>11</v>
      </c>
      <c r="C22" s="26">
        <v>20</v>
      </c>
      <c r="D22" s="26" t="s">
        <v>108</v>
      </c>
      <c r="E22" s="26" t="b">
        <v>0</v>
      </c>
      <c r="F22" s="26">
        <v>2</v>
      </c>
      <c r="AV22" t="s">
        <v>13027</v>
      </c>
      <c r="AW22">
        <v>39</v>
      </c>
      <c r="AX22" t="s">
        <v>12152</v>
      </c>
      <c r="AY22" t="s">
        <v>12372</v>
      </c>
      <c r="AZ22">
        <v>1</v>
      </c>
      <c r="BA22">
        <v>3502</v>
      </c>
      <c r="BB22">
        <v>2660</v>
      </c>
      <c r="BC22" t="s">
        <v>12154</v>
      </c>
      <c r="BD22" t="s">
        <v>13028</v>
      </c>
      <c r="BE22" t="s">
        <v>13029</v>
      </c>
      <c r="BF22" s="41">
        <v>46253</v>
      </c>
      <c r="BG22">
        <v>0</v>
      </c>
      <c r="BH22">
        <v>0</v>
      </c>
      <c r="BI22">
        <v>0</v>
      </c>
      <c r="BJ22">
        <v>1204.34</v>
      </c>
      <c r="BK22">
        <v>-1204.34</v>
      </c>
      <c r="BL22">
        <v>488.4</v>
      </c>
      <c r="BM22" t="s">
        <v>12157</v>
      </c>
      <c r="BN22" t="s">
        <v>13030</v>
      </c>
      <c r="BO22" t="s">
        <v>13031</v>
      </c>
      <c r="BP22" t="s">
        <v>5821</v>
      </c>
      <c r="BR22" s="14" t="s">
        <v>11919</v>
      </c>
      <c r="BS22" t="s">
        <v>11919</v>
      </c>
      <c r="BT22" t="s">
        <v>12161</v>
      </c>
      <c r="BU22">
        <v>0</v>
      </c>
      <c r="BV22" t="s">
        <v>204</v>
      </c>
      <c r="BW22" t="s">
        <v>293</v>
      </c>
      <c r="CE22" t="s">
        <v>12199</v>
      </c>
      <c r="CF22" t="s">
        <v>12200</v>
      </c>
      <c r="CG22" t="s">
        <v>12200</v>
      </c>
      <c r="CH22" t="s">
        <v>12151</v>
      </c>
      <c r="CI22" t="s">
        <v>12201</v>
      </c>
      <c r="CJ22" t="s">
        <v>8164</v>
      </c>
    </row>
    <row r="23" spans="1:89" ht="13.2">
      <c r="A23" s="26" t="s">
        <v>130</v>
      </c>
      <c r="B23" s="26">
        <v>0</v>
      </c>
      <c r="C23" s="26">
        <v>0</v>
      </c>
      <c r="D23" s="26" t="s">
        <v>131</v>
      </c>
      <c r="E23" s="26" t="b">
        <v>0</v>
      </c>
      <c r="F23" s="26">
        <v>0</v>
      </c>
      <c r="BF23" s="41"/>
      <c r="CE23" t="s">
        <v>12202</v>
      </c>
      <c r="CF23" t="s">
        <v>12203</v>
      </c>
      <c r="CG23" t="s">
        <v>12203</v>
      </c>
      <c r="CH23" t="s">
        <v>12151</v>
      </c>
      <c r="CI23" t="s">
        <v>12204</v>
      </c>
      <c r="CJ23" t="s">
        <v>420</v>
      </c>
      <c r="CK23" s="38">
        <v>0</v>
      </c>
    </row>
    <row r="24" spans="1:88" ht="13.2">
      <c r="A24" s="26" t="s">
        <v>197</v>
      </c>
      <c r="B24" s="26">
        <v>0</v>
      </c>
      <c r="C24" s="26">
        <v>0</v>
      </c>
      <c r="D24" s="26" t="s">
        <v>131</v>
      </c>
      <c r="E24" s="26" t="b">
        <v>0</v>
      </c>
      <c r="F24" s="26">
        <v>0</v>
      </c>
      <c r="BF24" s="41"/>
      <c r="CE24" t="s">
        <v>12205</v>
      </c>
      <c r="CF24" t="s">
        <v>12206</v>
      </c>
      <c r="CG24" t="s">
        <v>12206</v>
      </c>
      <c r="CH24" t="s">
        <v>12151</v>
      </c>
      <c r="CI24" t="s">
        <v>12207</v>
      </c>
      <c r="CJ24" t="s">
        <v>12208</v>
      </c>
    </row>
    <row r="25" spans="1:88" ht="13.2">
      <c r="A25" s="26" t="s">
        <v>175</v>
      </c>
      <c r="B25" s="26">
        <v>0</v>
      </c>
      <c r="C25" s="26">
        <v>0</v>
      </c>
      <c r="D25" s="26" t="s">
        <v>131</v>
      </c>
      <c r="E25" s="26" t="b">
        <v>0</v>
      </c>
      <c r="F25" s="26">
        <v>0</v>
      </c>
      <c r="BF25" s="41"/>
      <c r="CE25" t="s">
        <v>12209</v>
      </c>
      <c r="CF25" t="s">
        <v>12210</v>
      </c>
      <c r="CG25" t="s">
        <v>12210</v>
      </c>
      <c r="CH25" t="s">
        <v>12151</v>
      </c>
      <c r="CI25" t="s">
        <v>12211</v>
      </c>
      <c r="CJ25" t="s">
        <v>421</v>
      </c>
    </row>
    <row r="26" spans="1:88" ht="13.2">
      <c r="A26" s="26" t="s">
        <v>3603</v>
      </c>
      <c r="B26" s="26">
        <v>0</v>
      </c>
      <c r="C26" s="26">
        <v>0</v>
      </c>
      <c r="D26" s="26" t="s">
        <v>131</v>
      </c>
      <c r="E26" s="26" t="b">
        <v>0</v>
      </c>
      <c r="F26" s="26">
        <v>0</v>
      </c>
      <c r="BF26" s="41"/>
      <c r="CE26" t="s">
        <v>12212</v>
      </c>
      <c r="CF26" t="s">
        <v>12213</v>
      </c>
      <c r="CG26" t="s">
        <v>12213</v>
      </c>
      <c r="CH26" t="s">
        <v>12151</v>
      </c>
      <c r="CI26" t="s">
        <v>12214</v>
      </c>
      <c r="CJ26" t="s">
        <v>12215</v>
      </c>
    </row>
    <row r="27" spans="1:88" ht="13.2">
      <c r="A27" s="26"/>
      <c r="B27" s="26"/>
      <c r="C27" s="26"/>
      <c r="D27" s="26"/>
      <c r="E27" s="26"/>
      <c r="F27" s="26"/>
      <c r="AX27" s="11"/>
      <c r="AY27" s="11"/>
      <c r="BA27" s="11"/>
      <c r="BF27" s="41"/>
      <c r="CE27" t="s">
        <v>12216</v>
      </c>
      <c r="CF27" t="s">
        <v>12217</v>
      </c>
      <c r="CG27" t="s">
        <v>12217</v>
      </c>
      <c r="CH27" t="s">
        <v>12151</v>
      </c>
      <c r="CI27" t="s">
        <v>12218</v>
      </c>
      <c r="CJ27" t="s">
        <v>391</v>
      </c>
    </row>
    <row r="28" spans="1:89" ht="13.2">
      <c r="A28" s="26"/>
      <c r="B28" s="26"/>
      <c r="C28" s="26"/>
      <c r="D28" s="26"/>
      <c r="E28" s="26"/>
      <c r="F28" s="26"/>
      <c r="AX28" s="11"/>
      <c r="AY28" s="11"/>
      <c r="BF28" s="41"/>
      <c r="CE28" t="s">
        <v>12219</v>
      </c>
      <c r="CF28" t="s">
        <v>12220</v>
      </c>
      <c r="CG28" t="s">
        <v>12220</v>
      </c>
      <c r="CH28" t="s">
        <v>12151</v>
      </c>
      <c r="CI28" t="s">
        <v>12221</v>
      </c>
      <c r="CJ28" t="s">
        <v>488</v>
      </c>
      <c r="CK28" s="38">
        <v>0</v>
      </c>
    </row>
    <row r="29" spans="1:88" ht="13.2">
      <c r="A29" s="26"/>
      <c r="B29" s="26"/>
      <c r="C29" s="26"/>
      <c r="D29" s="26"/>
      <c r="E29" s="26"/>
      <c r="F29" s="26"/>
      <c r="BF29" s="41"/>
      <c r="CE29" t="s">
        <v>12222</v>
      </c>
      <c r="CF29" t="s">
        <v>12223</v>
      </c>
      <c r="CG29" t="s">
        <v>12223</v>
      </c>
      <c r="CH29" t="s">
        <v>12151</v>
      </c>
      <c r="CI29" t="s">
        <v>12224</v>
      </c>
      <c r="CJ29" t="s">
        <v>191</v>
      </c>
    </row>
    <row r="30" spans="48:88" ht="13.2">
      <c r="BF30" s="41"/>
      <c r="CE30" t="s">
        <v>12225</v>
      </c>
      <c r="CF30" t="s">
        <v>12226</v>
      </c>
      <c r="CG30" t="s">
        <v>12226</v>
      </c>
      <c r="CH30" t="s">
        <v>12151</v>
      </c>
      <c r="CI30" t="s">
        <v>12227</v>
      </c>
      <c r="CJ30" t="s">
        <v>12228</v>
      </c>
    </row>
    <row r="31" spans="48:88" ht="13.2">
      <c r="BF31" s="41"/>
      <c r="CE31" t="s">
        <v>12229</v>
      </c>
      <c r="CF31" t="s">
        <v>12230</v>
      </c>
      <c r="CG31" t="s">
        <v>12230</v>
      </c>
      <c r="CH31" t="s">
        <v>12151</v>
      </c>
      <c r="CI31" t="s">
        <v>12231</v>
      </c>
      <c r="CJ31" t="s">
        <v>138</v>
      </c>
    </row>
    <row r="32" spans="48:88" ht="13.2">
      <c r="BF32" s="41"/>
      <c r="CE32" t="s">
        <v>12232</v>
      </c>
      <c r="CF32" t="s">
        <v>12233</v>
      </c>
      <c r="CG32" t="s">
        <v>12233</v>
      </c>
      <c r="CH32" t="s">
        <v>12151</v>
      </c>
      <c r="CI32" t="s">
        <v>12234</v>
      </c>
      <c r="CJ32" t="s">
        <v>159</v>
      </c>
    </row>
    <row r="33" spans="48:89" ht="13.2">
      <c r="BF33" s="41"/>
      <c r="CE33" t="s">
        <v>12235</v>
      </c>
      <c r="CF33" t="s">
        <v>12236</v>
      </c>
      <c r="CG33" t="s">
        <v>12236</v>
      </c>
      <c r="CH33" t="s">
        <v>12151</v>
      </c>
      <c r="CI33" t="s">
        <v>12237</v>
      </c>
      <c r="CJ33" t="s">
        <v>5686</v>
      </c>
      <c r="CK33" s="38">
        <v>0</v>
      </c>
    </row>
    <row r="34" spans="48:88" ht="13.2">
      <c r="BF34" s="41"/>
      <c r="CE34" t="s">
        <v>12238</v>
      </c>
      <c r="CF34" t="s">
        <v>12239</v>
      </c>
      <c r="CG34" t="s">
        <v>12239</v>
      </c>
      <c r="CH34" t="s">
        <v>12151</v>
      </c>
      <c r="CI34" t="s">
        <v>12240</v>
      </c>
      <c r="CJ34" t="s">
        <v>11556</v>
      </c>
    </row>
    <row r="35" spans="48:89" ht="13.2">
      <c r="BF35" s="41"/>
      <c r="CE35" t="s">
        <v>12241</v>
      </c>
      <c r="CF35" t="s">
        <v>12242</v>
      </c>
      <c r="CG35" t="s">
        <v>12242</v>
      </c>
      <c r="CH35" t="s">
        <v>12151</v>
      </c>
      <c r="CI35" t="s">
        <v>12243</v>
      </c>
      <c r="CJ35" t="s">
        <v>12244</v>
      </c>
      <c r="CK35" s="38">
        <v>0</v>
      </c>
    </row>
    <row r="36" spans="48:88" ht="13.2">
      <c r="BF36" s="41"/>
      <c r="CE36" t="s">
        <v>12245</v>
      </c>
      <c r="CF36" t="s">
        <v>12246</v>
      </c>
      <c r="CG36" t="s">
        <v>12246</v>
      </c>
      <c r="CH36" t="s">
        <v>12151</v>
      </c>
      <c r="CI36" t="s">
        <v>12247</v>
      </c>
      <c r="CJ36" t="s">
        <v>12248</v>
      </c>
    </row>
    <row r="37" spans="48:88" ht="13.2">
      <c r="BF37" s="41"/>
      <c r="CE37" t="s">
        <v>12249</v>
      </c>
      <c r="CF37" t="s">
        <v>12250</v>
      </c>
      <c r="CG37" t="s">
        <v>12250</v>
      </c>
      <c r="CH37" t="s">
        <v>12151</v>
      </c>
      <c r="CI37" t="s">
        <v>12251</v>
      </c>
      <c r="CJ37" t="s">
        <v>12252</v>
      </c>
    </row>
    <row r="38" spans="48:88" ht="13.2">
      <c r="BF38" s="41"/>
      <c r="CE38" t="s">
        <v>12253</v>
      </c>
      <c r="CF38" t="s">
        <v>12254</v>
      </c>
      <c r="CG38" t="s">
        <v>12254</v>
      </c>
      <c r="CH38" t="s">
        <v>12151</v>
      </c>
      <c r="CI38" t="s">
        <v>12255</v>
      </c>
      <c r="CJ38" t="s">
        <v>12256</v>
      </c>
    </row>
    <row r="39" spans="48:88" ht="13.2">
      <c r="BF39" s="41"/>
      <c r="CE39" t="s">
        <v>12257</v>
      </c>
      <c r="CF39" t="s">
        <v>12258</v>
      </c>
      <c r="CG39" t="s">
        <v>12258</v>
      </c>
      <c r="CH39" t="s">
        <v>12151</v>
      </c>
      <c r="CI39" t="s">
        <v>12259</v>
      </c>
      <c r="CJ39" t="s">
        <v>120</v>
      </c>
    </row>
    <row r="40" spans="48:88" ht="13.2">
      <c r="CE40" t="s">
        <v>12260</v>
      </c>
      <c r="CF40" t="s">
        <v>12261</v>
      </c>
      <c r="CG40" t="s">
        <v>12261</v>
      </c>
      <c r="CH40" t="s">
        <v>12151</v>
      </c>
      <c r="CI40" t="s">
        <v>12262</v>
      </c>
      <c r="CJ40" t="s">
        <v>391</v>
      </c>
    </row>
    <row r="41" spans="48:88" ht="13.2">
      <c r="CE41" t="s">
        <v>12263</v>
      </c>
      <c r="CF41" t="s">
        <v>12264</v>
      </c>
      <c r="CG41" t="s">
        <v>12264</v>
      </c>
      <c r="CH41" t="s">
        <v>12151</v>
      </c>
      <c r="CI41" t="s">
        <v>12265</v>
      </c>
      <c r="CJ41" t="s">
        <v>391</v>
      </c>
    </row>
    <row r="42" spans="48:89" ht="13.2">
      <c r="CE42" t="s">
        <v>12266</v>
      </c>
      <c r="CF42" t="s">
        <v>12267</v>
      </c>
      <c r="CG42" t="s">
        <v>12267</v>
      </c>
      <c r="CH42" t="s">
        <v>12151</v>
      </c>
      <c r="CI42" t="s">
        <v>12268</v>
      </c>
      <c r="CJ42" t="s">
        <v>12269</v>
      </c>
      <c r="CK42" s="38">
        <v>0</v>
      </c>
    </row>
    <row r="43" spans="48:88" ht="13.2">
      <c r="CE43" t="s">
        <v>12270</v>
      </c>
      <c r="CF43" t="s">
        <v>12271</v>
      </c>
      <c r="CG43" t="s">
        <v>12271</v>
      </c>
      <c r="CH43" t="s">
        <v>12151</v>
      </c>
      <c r="CI43" t="s">
        <v>12272</v>
      </c>
      <c r="CJ43" t="s">
        <v>12273</v>
      </c>
    </row>
    <row r="44" spans="48:88" ht="13.2">
      <c r="CE44" t="s">
        <v>12274</v>
      </c>
      <c r="CF44" t="s">
        <v>12275</v>
      </c>
      <c r="CG44" t="s">
        <v>12275</v>
      </c>
      <c r="CH44" t="s">
        <v>12151</v>
      </c>
      <c r="CI44" t="s">
        <v>12276</v>
      </c>
      <c r="CJ44" t="s">
        <v>12277</v>
      </c>
    </row>
    <row r="45" spans="48:88" ht="13.2">
      <c r="CE45" t="s">
        <v>12278</v>
      </c>
      <c r="CF45" t="s">
        <v>12279</v>
      </c>
      <c r="CG45" t="s">
        <v>12279</v>
      </c>
      <c r="CH45" t="s">
        <v>12151</v>
      </c>
      <c r="CI45" t="s">
        <v>12280</v>
      </c>
      <c r="CJ45" t="s">
        <v>120</v>
      </c>
    </row>
    <row r="46" spans="48:88" ht="13.2">
      <c r="CE46" t="s">
        <v>12281</v>
      </c>
      <c r="CF46" t="s">
        <v>12282</v>
      </c>
      <c r="CG46" t="s">
        <v>12282</v>
      </c>
      <c r="CH46" t="s">
        <v>12151</v>
      </c>
      <c r="CI46" t="s">
        <v>12283</v>
      </c>
      <c r="CJ46" t="s">
        <v>120</v>
      </c>
    </row>
    <row r="47" spans="48:89" ht="13.2">
      <c r="CE47" t="s">
        <v>12284</v>
      </c>
      <c r="CF47" t="s">
        <v>12285</v>
      </c>
      <c r="CG47" t="s">
        <v>12285</v>
      </c>
      <c r="CH47" t="s">
        <v>12151</v>
      </c>
      <c r="CI47" t="s">
        <v>12286</v>
      </c>
      <c r="CJ47" t="s">
        <v>12287</v>
      </c>
      <c r="CK47" s="38">
        <v>0</v>
      </c>
    </row>
    <row r="48" spans="48:88" ht="13.2">
      <c r="CE48" t="s">
        <v>12288</v>
      </c>
      <c r="CF48" t="s">
        <v>12289</v>
      </c>
      <c r="CG48" t="s">
        <v>12289</v>
      </c>
      <c r="CH48" t="s">
        <v>12151</v>
      </c>
      <c r="CI48" t="s">
        <v>12290</v>
      </c>
      <c r="CJ48" t="s">
        <v>12154</v>
      </c>
    </row>
    <row r="49" spans="48:89" ht="13.2">
      <c r="CE49" t="s">
        <v>12291</v>
      </c>
      <c r="CF49" t="s">
        <v>12292</v>
      </c>
      <c r="CG49" t="s">
        <v>12292</v>
      </c>
      <c r="CH49" t="s">
        <v>12151</v>
      </c>
      <c r="CI49" t="s">
        <v>12293</v>
      </c>
      <c r="CJ49" t="s">
        <v>12294</v>
      </c>
      <c r="CK49" s="38">
        <v>0</v>
      </c>
    </row>
    <row r="50" spans="48:88" ht="13.2">
      <c r="CE50" t="s">
        <v>12297</v>
      </c>
      <c r="CF50" t="s">
        <v>12298</v>
      </c>
      <c r="CG50" t="s">
        <v>12298</v>
      </c>
      <c r="CH50" t="s">
        <v>12295</v>
      </c>
      <c r="CI50" t="s">
        <v>12164</v>
      </c>
      <c r="CJ50" t="s">
        <v>12296</v>
      </c>
    </row>
    <row r="51" spans="48:88" ht="13.2">
      <c r="CE51" t="s">
        <v>12299</v>
      </c>
      <c r="CF51" t="s">
        <v>12300</v>
      </c>
      <c r="CG51" t="s">
        <v>12300</v>
      </c>
      <c r="CH51" t="s">
        <v>12295</v>
      </c>
      <c r="CI51" t="s">
        <v>12167</v>
      </c>
      <c r="CJ51" t="s">
        <v>725</v>
      </c>
    </row>
    <row r="52" spans="48:88" ht="13.2">
      <c r="CE52" t="s">
        <v>12301</v>
      </c>
      <c r="CF52" t="s">
        <v>12302</v>
      </c>
      <c r="CG52" t="s">
        <v>12302</v>
      </c>
      <c r="CH52" t="s">
        <v>12295</v>
      </c>
      <c r="CI52" t="s">
        <v>12170</v>
      </c>
      <c r="CJ52" t="s">
        <v>12303</v>
      </c>
    </row>
    <row r="53" spans="48:88" ht="13.2">
      <c r="CE53" t="s">
        <v>12304</v>
      </c>
      <c r="CF53" t="s">
        <v>12305</v>
      </c>
      <c r="CG53" t="s">
        <v>12305</v>
      </c>
      <c r="CH53" t="s">
        <v>12295</v>
      </c>
      <c r="CI53" t="s">
        <v>12174</v>
      </c>
      <c r="CJ53" t="s">
        <v>12306</v>
      </c>
    </row>
    <row r="54" spans="48:88" ht="13.2">
      <c r="CE54" t="s">
        <v>12307</v>
      </c>
      <c r="CF54" t="s">
        <v>12308</v>
      </c>
      <c r="CG54" t="s">
        <v>12308</v>
      </c>
      <c r="CH54" t="s">
        <v>12295</v>
      </c>
      <c r="CI54" t="s">
        <v>12178</v>
      </c>
      <c r="CJ54" t="s">
        <v>158</v>
      </c>
    </row>
    <row r="55" spans="48:88" ht="13.2">
      <c r="CE55" t="s">
        <v>12309</v>
      </c>
      <c r="CF55" t="s">
        <v>12310</v>
      </c>
      <c r="CG55" t="s">
        <v>12310</v>
      </c>
      <c r="CH55" t="s">
        <v>12295</v>
      </c>
      <c r="CI55" t="s">
        <v>12181</v>
      </c>
      <c r="CJ55" t="s">
        <v>158</v>
      </c>
    </row>
    <row r="56" spans="48:88" ht="13.2">
      <c r="CE56" t="s">
        <v>12311</v>
      </c>
      <c r="CF56" t="s">
        <v>12312</v>
      </c>
      <c r="CG56" t="s">
        <v>12312</v>
      </c>
      <c r="CH56" t="s">
        <v>12295</v>
      </c>
      <c r="CI56" t="s">
        <v>12184</v>
      </c>
      <c r="CJ56" t="s">
        <v>119</v>
      </c>
    </row>
    <row r="57" spans="48:88" ht="13.2">
      <c r="CE57" t="s">
        <v>12313</v>
      </c>
      <c r="CF57" t="s">
        <v>12314</v>
      </c>
      <c r="CG57" t="s">
        <v>12314</v>
      </c>
      <c r="CH57" t="s">
        <v>12295</v>
      </c>
      <c r="CI57" t="s">
        <v>12187</v>
      </c>
      <c r="CJ57" t="s">
        <v>7832</v>
      </c>
    </row>
    <row r="58" spans="48:88" ht="13.2">
      <c r="CE58" t="s">
        <v>12315</v>
      </c>
      <c r="CF58" t="s">
        <v>12316</v>
      </c>
      <c r="CG58" t="s">
        <v>12316</v>
      </c>
      <c r="CH58" t="s">
        <v>12295</v>
      </c>
      <c r="CI58" t="s">
        <v>12191</v>
      </c>
      <c r="CJ58" t="s">
        <v>12317</v>
      </c>
    </row>
    <row r="59" spans="48:88" ht="13.2">
      <c r="CE59" t="s">
        <v>12318</v>
      </c>
      <c r="CF59" t="s">
        <v>12319</v>
      </c>
      <c r="CG59" t="s">
        <v>12319</v>
      </c>
      <c r="CH59" t="s">
        <v>12295</v>
      </c>
      <c r="CI59" t="s">
        <v>12195</v>
      </c>
      <c r="CJ59" t="s">
        <v>181</v>
      </c>
    </row>
    <row r="60" spans="48:88" ht="13.2">
      <c r="CE60" t="s">
        <v>12320</v>
      </c>
      <c r="CF60" t="s">
        <v>12321</v>
      </c>
      <c r="CG60" t="s">
        <v>12321</v>
      </c>
      <c r="CH60" t="s">
        <v>12295</v>
      </c>
      <c r="CI60" t="s">
        <v>12198</v>
      </c>
      <c r="CJ60" t="s">
        <v>5678</v>
      </c>
    </row>
    <row r="61" spans="48:88" ht="13.2">
      <c r="CE61" t="s">
        <v>12322</v>
      </c>
      <c r="CF61" t="s">
        <v>12323</v>
      </c>
      <c r="CG61" t="s">
        <v>12323</v>
      </c>
      <c r="CH61" t="s">
        <v>12295</v>
      </c>
      <c r="CI61" t="s">
        <v>12201</v>
      </c>
      <c r="CJ61" t="s">
        <v>8164</v>
      </c>
    </row>
    <row r="62" spans="48:89" ht="13.2">
      <c r="CE62" t="s">
        <v>12324</v>
      </c>
      <c r="CF62" t="s">
        <v>12325</v>
      </c>
      <c r="CG62" t="s">
        <v>12325</v>
      </c>
      <c r="CH62" t="s">
        <v>12295</v>
      </c>
      <c r="CI62" t="s">
        <v>12204</v>
      </c>
      <c r="CJ62" t="s">
        <v>420</v>
      </c>
      <c r="CK62" s="38">
        <v>0</v>
      </c>
    </row>
    <row r="63" spans="48:88" ht="13.2">
      <c r="CE63" t="s">
        <v>12326</v>
      </c>
      <c r="CF63" t="s">
        <v>12327</v>
      </c>
      <c r="CG63" t="s">
        <v>12327</v>
      </c>
      <c r="CH63" t="s">
        <v>12295</v>
      </c>
      <c r="CI63" t="s">
        <v>12207</v>
      </c>
      <c r="CJ63" t="s">
        <v>12208</v>
      </c>
    </row>
    <row r="64" spans="48:88" ht="13.2">
      <c r="CE64" t="s">
        <v>12328</v>
      </c>
      <c r="CF64" t="s">
        <v>12329</v>
      </c>
      <c r="CG64" t="s">
        <v>12329</v>
      </c>
      <c r="CH64" t="s">
        <v>12295</v>
      </c>
      <c r="CI64" t="s">
        <v>12211</v>
      </c>
      <c r="CJ64" t="s">
        <v>421</v>
      </c>
    </row>
    <row r="65" spans="48:88" ht="13.2">
      <c r="CE65" t="s">
        <v>12330</v>
      </c>
      <c r="CF65" t="s">
        <v>12331</v>
      </c>
      <c r="CG65" t="s">
        <v>12331</v>
      </c>
      <c r="CH65" t="s">
        <v>12295</v>
      </c>
      <c r="CI65" t="s">
        <v>12214</v>
      </c>
      <c r="CJ65" t="s">
        <v>12215</v>
      </c>
    </row>
    <row r="66" spans="48:88" ht="13.2">
      <c r="CE66" t="s">
        <v>12332</v>
      </c>
      <c r="CF66" t="s">
        <v>12333</v>
      </c>
      <c r="CG66" t="s">
        <v>12333</v>
      </c>
      <c r="CH66" t="s">
        <v>12295</v>
      </c>
      <c r="CI66" t="s">
        <v>12218</v>
      </c>
      <c r="CJ66" t="s">
        <v>391</v>
      </c>
    </row>
    <row r="67" spans="48:89" ht="13.2">
      <c r="CE67" t="s">
        <v>12334</v>
      </c>
      <c r="CF67" t="s">
        <v>12335</v>
      </c>
      <c r="CG67" t="s">
        <v>12335</v>
      </c>
      <c r="CH67" t="s">
        <v>12295</v>
      </c>
      <c r="CI67" t="s">
        <v>12221</v>
      </c>
      <c r="CJ67" t="s">
        <v>488</v>
      </c>
      <c r="CK67" s="38">
        <v>0</v>
      </c>
    </row>
    <row r="68" spans="48:88" ht="13.2">
      <c r="CE68" t="s">
        <v>12336</v>
      </c>
      <c r="CF68" t="s">
        <v>12337</v>
      </c>
      <c r="CG68" t="s">
        <v>12337</v>
      </c>
      <c r="CH68" t="s">
        <v>12295</v>
      </c>
      <c r="CI68" t="s">
        <v>12224</v>
      </c>
      <c r="CJ68" t="s">
        <v>191</v>
      </c>
    </row>
    <row r="69" spans="48:88" ht="13.2">
      <c r="CE69" t="s">
        <v>12338</v>
      </c>
      <c r="CF69" t="s">
        <v>12339</v>
      </c>
      <c r="CG69" t="s">
        <v>12339</v>
      </c>
      <c r="CH69" t="s">
        <v>12295</v>
      </c>
      <c r="CI69" t="s">
        <v>12227</v>
      </c>
      <c r="CJ69" t="s">
        <v>12228</v>
      </c>
    </row>
    <row r="70" spans="48:88" ht="13.2">
      <c r="CE70" t="s">
        <v>12340</v>
      </c>
      <c r="CF70" t="s">
        <v>12341</v>
      </c>
      <c r="CG70" t="s">
        <v>12341</v>
      </c>
      <c r="CH70" t="s">
        <v>12295</v>
      </c>
      <c r="CI70" t="s">
        <v>12231</v>
      </c>
      <c r="CJ70" t="s">
        <v>138</v>
      </c>
    </row>
    <row r="71" spans="48:88" ht="13.2">
      <c r="CE71" t="s">
        <v>12342</v>
      </c>
      <c r="CF71" t="s">
        <v>12343</v>
      </c>
      <c r="CG71" t="s">
        <v>12343</v>
      </c>
      <c r="CH71" t="s">
        <v>12295</v>
      </c>
      <c r="CI71" t="s">
        <v>12234</v>
      </c>
      <c r="CJ71" t="s">
        <v>159</v>
      </c>
    </row>
    <row r="72" spans="48:89" ht="13.2">
      <c r="CE72" t="s">
        <v>12344</v>
      </c>
      <c r="CF72" t="s">
        <v>12345</v>
      </c>
      <c r="CG72" t="s">
        <v>12345</v>
      </c>
      <c r="CH72" t="s">
        <v>12295</v>
      </c>
      <c r="CI72" t="s">
        <v>12237</v>
      </c>
      <c r="CJ72" t="s">
        <v>5686</v>
      </c>
      <c r="CK72" s="38">
        <v>0</v>
      </c>
    </row>
    <row r="73" spans="48:88" ht="13.2">
      <c r="CE73" t="s">
        <v>12346</v>
      </c>
      <c r="CF73" t="s">
        <v>12347</v>
      </c>
      <c r="CG73" t="s">
        <v>12347</v>
      </c>
      <c r="CH73" t="s">
        <v>12295</v>
      </c>
      <c r="CI73" t="s">
        <v>12240</v>
      </c>
      <c r="CJ73" t="s">
        <v>160</v>
      </c>
    </row>
    <row r="74" spans="48:88" ht="13.2">
      <c r="CE74" t="s">
        <v>12348</v>
      </c>
      <c r="CF74" t="s">
        <v>12349</v>
      </c>
      <c r="CG74" t="s">
        <v>12349</v>
      </c>
      <c r="CH74" t="s">
        <v>12295</v>
      </c>
      <c r="CI74" t="s">
        <v>12259</v>
      </c>
      <c r="CJ74" t="s">
        <v>120</v>
      </c>
    </row>
    <row r="75" spans="48:88" ht="13.2">
      <c r="CE75" t="s">
        <v>12350</v>
      </c>
      <c r="CF75" t="s">
        <v>12351</v>
      </c>
      <c r="CG75" t="s">
        <v>12351</v>
      </c>
      <c r="CH75" t="s">
        <v>12295</v>
      </c>
      <c r="CI75" t="s">
        <v>12262</v>
      </c>
      <c r="CJ75" t="s">
        <v>391</v>
      </c>
    </row>
    <row r="76" spans="48:88" ht="13.2">
      <c r="CE76" t="s">
        <v>12352</v>
      </c>
      <c r="CF76" t="s">
        <v>12353</v>
      </c>
      <c r="CG76" t="s">
        <v>12353</v>
      </c>
      <c r="CH76" t="s">
        <v>12295</v>
      </c>
      <c r="CI76" t="s">
        <v>12265</v>
      </c>
      <c r="CJ76" t="s">
        <v>391</v>
      </c>
    </row>
    <row r="77" spans="48:89" ht="13.2">
      <c r="CE77" t="s">
        <v>12354</v>
      </c>
      <c r="CF77" t="s">
        <v>12355</v>
      </c>
      <c r="CG77" t="s">
        <v>12355</v>
      </c>
      <c r="CH77" t="s">
        <v>12295</v>
      </c>
      <c r="CI77" t="s">
        <v>12268</v>
      </c>
      <c r="CJ77" t="s">
        <v>12269</v>
      </c>
      <c r="CK77" s="38">
        <v>0</v>
      </c>
    </row>
    <row r="78" spans="48:88" ht="13.2">
      <c r="CE78" t="s">
        <v>12356</v>
      </c>
      <c r="CF78" t="s">
        <v>12357</v>
      </c>
      <c r="CG78" t="s">
        <v>12357</v>
      </c>
      <c r="CH78" t="s">
        <v>12295</v>
      </c>
      <c r="CI78" t="s">
        <v>12272</v>
      </c>
      <c r="CJ78" t="s">
        <v>12358</v>
      </c>
    </row>
    <row r="79" spans="48:88" ht="13.2">
      <c r="CE79" t="s">
        <v>12359</v>
      </c>
      <c r="CF79" t="s">
        <v>12360</v>
      </c>
      <c r="CG79" t="s">
        <v>12360</v>
      </c>
      <c r="CH79" t="s">
        <v>12295</v>
      </c>
      <c r="CI79" t="s">
        <v>12276</v>
      </c>
      <c r="CJ79" t="s">
        <v>12277</v>
      </c>
    </row>
    <row r="80" spans="48:88" ht="13.2">
      <c r="CE80" t="s">
        <v>12361</v>
      </c>
      <c r="CF80" t="s">
        <v>12362</v>
      </c>
      <c r="CG80" t="s">
        <v>12362</v>
      </c>
      <c r="CH80" t="s">
        <v>12295</v>
      </c>
      <c r="CI80" t="s">
        <v>12280</v>
      </c>
      <c r="CJ80" t="s">
        <v>120</v>
      </c>
    </row>
    <row r="81" spans="48:88" ht="13.2">
      <c r="CE81" t="s">
        <v>12363</v>
      </c>
      <c r="CF81" t="s">
        <v>12364</v>
      </c>
      <c r="CG81" t="s">
        <v>12364</v>
      </c>
      <c r="CH81" t="s">
        <v>12295</v>
      </c>
      <c r="CI81" t="s">
        <v>12283</v>
      </c>
      <c r="CJ81" t="s">
        <v>120</v>
      </c>
    </row>
    <row r="82" spans="48:89" ht="13.2">
      <c r="CE82" t="s">
        <v>12365</v>
      </c>
      <c r="CF82" t="s">
        <v>12366</v>
      </c>
      <c r="CG82" t="s">
        <v>12366</v>
      </c>
      <c r="CH82" t="s">
        <v>12295</v>
      </c>
      <c r="CI82" t="s">
        <v>12286</v>
      </c>
      <c r="CJ82" t="s">
        <v>12287</v>
      </c>
      <c r="CK82" s="38">
        <v>0</v>
      </c>
    </row>
    <row r="83" spans="48:88" ht="13.2">
      <c r="CE83" t="s">
        <v>12367</v>
      </c>
      <c r="CF83" t="s">
        <v>12368</v>
      </c>
      <c r="CG83" t="s">
        <v>12368</v>
      </c>
      <c r="CH83" t="s">
        <v>12295</v>
      </c>
      <c r="CI83" t="s">
        <v>12290</v>
      </c>
      <c r="CJ83" t="s">
        <v>12154</v>
      </c>
    </row>
    <row r="84" spans="48:89" ht="13.2">
      <c r="CE84" t="s">
        <v>12369</v>
      </c>
      <c r="CF84" t="s">
        <v>12370</v>
      </c>
      <c r="CG84" t="s">
        <v>12370</v>
      </c>
      <c r="CH84" t="s">
        <v>12295</v>
      </c>
      <c r="CI84" t="s">
        <v>12293</v>
      </c>
      <c r="CJ84" t="s">
        <v>12294</v>
      </c>
      <c r="CK84" s="38">
        <v>0</v>
      </c>
    </row>
    <row r="85" spans="48:88" ht="13.2">
      <c r="CE85" t="s">
        <v>12373</v>
      </c>
      <c r="CF85" t="s">
        <v>12374</v>
      </c>
      <c r="CG85" t="s">
        <v>12374</v>
      </c>
      <c r="CH85" t="s">
        <v>12371</v>
      </c>
      <c r="CI85" t="s">
        <v>12164</v>
      </c>
      <c r="CJ85" t="s">
        <v>12372</v>
      </c>
    </row>
    <row r="86" spans="48:88" ht="13.2">
      <c r="CE86" t="s">
        <v>12375</v>
      </c>
      <c r="CF86" t="s">
        <v>12376</v>
      </c>
      <c r="CG86" t="s">
        <v>12376</v>
      </c>
      <c r="CH86" t="s">
        <v>12371</v>
      </c>
      <c r="CI86" t="s">
        <v>12167</v>
      </c>
      <c r="CJ86" t="s">
        <v>746</v>
      </c>
    </row>
    <row r="87" spans="48:88" ht="13.2">
      <c r="CE87" t="s">
        <v>12377</v>
      </c>
      <c r="CF87" t="s">
        <v>12378</v>
      </c>
      <c r="CG87" t="s">
        <v>12378</v>
      </c>
      <c r="CH87" t="s">
        <v>12371</v>
      </c>
      <c r="CI87" t="s">
        <v>12170</v>
      </c>
      <c r="CJ87" t="s">
        <v>12379</v>
      </c>
    </row>
    <row r="88" spans="48:88" ht="13.2">
      <c r="CE88" t="s">
        <v>12380</v>
      </c>
      <c r="CF88" t="s">
        <v>12381</v>
      </c>
      <c r="CG88" t="s">
        <v>12381</v>
      </c>
      <c r="CH88" t="s">
        <v>12371</v>
      </c>
      <c r="CI88" t="s">
        <v>12174</v>
      </c>
      <c r="CJ88" t="s">
        <v>12382</v>
      </c>
    </row>
    <row r="89" spans="48:88" ht="13.2">
      <c r="CE89" t="s">
        <v>12383</v>
      </c>
      <c r="CF89" t="s">
        <v>12384</v>
      </c>
      <c r="CG89" t="s">
        <v>12384</v>
      </c>
      <c r="CH89" t="s">
        <v>12371</v>
      </c>
      <c r="CI89" t="s">
        <v>12178</v>
      </c>
      <c r="CJ89" t="s">
        <v>158</v>
      </c>
    </row>
    <row r="90" spans="48:88" ht="13.2">
      <c r="CE90" t="s">
        <v>12385</v>
      </c>
      <c r="CF90" t="s">
        <v>12386</v>
      </c>
      <c r="CG90" t="s">
        <v>12386</v>
      </c>
      <c r="CH90" t="s">
        <v>12371</v>
      </c>
      <c r="CI90" t="s">
        <v>12181</v>
      </c>
      <c r="CJ90" t="s">
        <v>158</v>
      </c>
    </row>
    <row r="91" spans="48:88" ht="13.2">
      <c r="CE91" t="s">
        <v>12387</v>
      </c>
      <c r="CF91" t="s">
        <v>12388</v>
      </c>
      <c r="CG91" t="s">
        <v>12388</v>
      </c>
      <c r="CH91" t="s">
        <v>12371</v>
      </c>
      <c r="CI91" t="s">
        <v>12184</v>
      </c>
      <c r="CJ91" t="s">
        <v>119</v>
      </c>
    </row>
    <row r="92" spans="48:88" ht="13.2">
      <c r="CE92" t="s">
        <v>12389</v>
      </c>
      <c r="CF92" t="s">
        <v>12390</v>
      </c>
      <c r="CG92" t="s">
        <v>12390</v>
      </c>
      <c r="CH92" t="s">
        <v>12371</v>
      </c>
      <c r="CI92" t="s">
        <v>12187</v>
      </c>
      <c r="CJ92" t="s">
        <v>7832</v>
      </c>
    </row>
    <row r="93" spans="48:88" ht="13.2">
      <c r="CE93" t="s">
        <v>12391</v>
      </c>
      <c r="CF93" t="s">
        <v>12392</v>
      </c>
      <c r="CG93" t="s">
        <v>12392</v>
      </c>
      <c r="CH93" t="s">
        <v>12371</v>
      </c>
      <c r="CI93" t="s">
        <v>12191</v>
      </c>
      <c r="CJ93" t="s">
        <v>12192</v>
      </c>
    </row>
    <row r="94" spans="48:88" ht="13.2">
      <c r="CE94" t="s">
        <v>12393</v>
      </c>
      <c r="CF94" t="s">
        <v>12394</v>
      </c>
      <c r="CG94" t="s">
        <v>12394</v>
      </c>
      <c r="CH94" t="s">
        <v>12371</v>
      </c>
      <c r="CI94" t="s">
        <v>12195</v>
      </c>
      <c r="CJ94" t="s">
        <v>181</v>
      </c>
    </row>
    <row r="95" spans="48:88" ht="13.2">
      <c r="CE95" t="s">
        <v>12395</v>
      </c>
      <c r="CF95" t="s">
        <v>12396</v>
      </c>
      <c r="CG95" t="s">
        <v>12396</v>
      </c>
      <c r="CH95" t="s">
        <v>12371</v>
      </c>
      <c r="CI95" t="s">
        <v>12198</v>
      </c>
      <c r="CJ95" t="s">
        <v>5678</v>
      </c>
    </row>
    <row r="96" spans="48:88" ht="13.2">
      <c r="CE96" t="s">
        <v>12397</v>
      </c>
      <c r="CF96" t="s">
        <v>12398</v>
      </c>
      <c r="CG96" t="s">
        <v>12398</v>
      </c>
      <c r="CH96" t="s">
        <v>12371</v>
      </c>
      <c r="CI96" t="s">
        <v>12201</v>
      </c>
      <c r="CJ96" t="s">
        <v>8164</v>
      </c>
    </row>
    <row r="97" spans="48:89" ht="13.2">
      <c r="CE97" t="s">
        <v>12399</v>
      </c>
      <c r="CF97" t="s">
        <v>12400</v>
      </c>
      <c r="CG97" t="s">
        <v>12400</v>
      </c>
      <c r="CH97" t="s">
        <v>12371</v>
      </c>
      <c r="CI97" t="s">
        <v>12204</v>
      </c>
      <c r="CJ97" t="s">
        <v>420</v>
      </c>
      <c r="CK97" s="38">
        <v>0</v>
      </c>
    </row>
    <row r="98" spans="48:88" ht="13.2">
      <c r="CE98" t="s">
        <v>12401</v>
      </c>
      <c r="CF98" t="s">
        <v>12402</v>
      </c>
      <c r="CG98" t="s">
        <v>12402</v>
      </c>
      <c r="CH98" t="s">
        <v>12371</v>
      </c>
      <c r="CI98" t="s">
        <v>12207</v>
      </c>
      <c r="CJ98" t="s">
        <v>12208</v>
      </c>
    </row>
    <row r="99" spans="48:88" ht="13.2">
      <c r="CE99" t="s">
        <v>12403</v>
      </c>
      <c r="CF99" t="s">
        <v>12404</v>
      </c>
      <c r="CG99" t="s">
        <v>12404</v>
      </c>
      <c r="CH99" t="s">
        <v>12371</v>
      </c>
      <c r="CI99" t="s">
        <v>12211</v>
      </c>
      <c r="CJ99" t="s">
        <v>421</v>
      </c>
    </row>
    <row r="100" spans="48:88" ht="13.2">
      <c r="CE100" t="s">
        <v>12405</v>
      </c>
      <c r="CF100" t="s">
        <v>12406</v>
      </c>
      <c r="CG100" t="s">
        <v>12406</v>
      </c>
      <c r="CH100" t="s">
        <v>12371</v>
      </c>
      <c r="CI100" t="s">
        <v>12214</v>
      </c>
      <c r="CJ100" t="s">
        <v>12215</v>
      </c>
    </row>
    <row r="101" spans="83:88" ht="13.2">
      <c r="CE101" t="s">
        <v>12407</v>
      </c>
      <c r="CF101" t="s">
        <v>12408</v>
      </c>
      <c r="CG101" t="s">
        <v>12408</v>
      </c>
      <c r="CH101" t="s">
        <v>12371</v>
      </c>
      <c r="CI101" t="s">
        <v>12218</v>
      </c>
      <c r="CJ101" t="s">
        <v>391</v>
      </c>
    </row>
    <row r="102" spans="83:89" ht="13.2">
      <c r="CE102" t="s">
        <v>12409</v>
      </c>
      <c r="CF102" t="s">
        <v>12410</v>
      </c>
      <c r="CG102" t="s">
        <v>12410</v>
      </c>
      <c r="CH102" t="s">
        <v>12371</v>
      </c>
      <c r="CI102" t="s">
        <v>12221</v>
      </c>
      <c r="CJ102" t="s">
        <v>488</v>
      </c>
      <c r="CK102" s="38">
        <v>0</v>
      </c>
    </row>
    <row r="103" spans="83:88" ht="13.2">
      <c r="CE103" t="s">
        <v>12411</v>
      </c>
      <c r="CF103" t="s">
        <v>12412</v>
      </c>
      <c r="CG103" t="s">
        <v>12412</v>
      </c>
      <c r="CH103" t="s">
        <v>12371</v>
      </c>
      <c r="CI103" t="s">
        <v>12224</v>
      </c>
      <c r="CJ103" t="s">
        <v>191</v>
      </c>
    </row>
    <row r="104" spans="83:88" ht="13.2">
      <c r="CE104" t="s">
        <v>12413</v>
      </c>
      <c r="CF104" t="s">
        <v>12414</v>
      </c>
      <c r="CG104" t="s">
        <v>12414</v>
      </c>
      <c r="CH104" t="s">
        <v>12371</v>
      </c>
      <c r="CI104" t="s">
        <v>12227</v>
      </c>
      <c r="CJ104" t="s">
        <v>12228</v>
      </c>
    </row>
    <row r="105" spans="83:88" ht="13.2">
      <c r="CE105" t="s">
        <v>12415</v>
      </c>
      <c r="CF105" t="s">
        <v>12416</v>
      </c>
      <c r="CG105" t="s">
        <v>12416</v>
      </c>
      <c r="CH105" t="s">
        <v>12371</v>
      </c>
      <c r="CI105" t="s">
        <v>12231</v>
      </c>
      <c r="CJ105" t="s">
        <v>138</v>
      </c>
    </row>
    <row r="106" spans="83:88" ht="13.2">
      <c r="CE106" t="s">
        <v>12417</v>
      </c>
      <c r="CF106" t="s">
        <v>12418</v>
      </c>
      <c r="CG106" t="s">
        <v>12418</v>
      </c>
      <c r="CH106" t="s">
        <v>12371</v>
      </c>
      <c r="CI106" t="s">
        <v>12234</v>
      </c>
      <c r="CJ106" t="s">
        <v>553</v>
      </c>
    </row>
    <row r="107" spans="83:89" ht="13.2">
      <c r="CE107" t="s">
        <v>12419</v>
      </c>
      <c r="CF107" t="s">
        <v>12420</v>
      </c>
      <c r="CG107" t="s">
        <v>12420</v>
      </c>
      <c r="CH107" t="s">
        <v>12371</v>
      </c>
      <c r="CI107" t="s">
        <v>12237</v>
      </c>
      <c r="CJ107" t="s">
        <v>5686</v>
      </c>
      <c r="CK107" s="38">
        <v>0</v>
      </c>
    </row>
    <row r="108" spans="83:88" ht="13.2">
      <c r="CE108" t="s">
        <v>12421</v>
      </c>
      <c r="CF108" t="s">
        <v>12422</v>
      </c>
      <c r="CG108" t="s">
        <v>12422</v>
      </c>
      <c r="CH108" t="s">
        <v>12371</v>
      </c>
      <c r="CI108" t="s">
        <v>12240</v>
      </c>
      <c r="CJ108" t="s">
        <v>160</v>
      </c>
    </row>
    <row r="109" spans="83:88" ht="13.2">
      <c r="CE109" t="s">
        <v>12423</v>
      </c>
      <c r="CF109" t="s">
        <v>12424</v>
      </c>
      <c r="CG109" t="s">
        <v>12424</v>
      </c>
      <c r="CH109" t="s">
        <v>12371</v>
      </c>
      <c r="CI109" t="s">
        <v>12259</v>
      </c>
      <c r="CJ109" t="s">
        <v>251</v>
      </c>
    </row>
    <row r="110" spans="83:88" ht="13.2">
      <c r="CE110" t="s">
        <v>12425</v>
      </c>
      <c r="CF110" t="s">
        <v>12426</v>
      </c>
      <c r="CG110" t="s">
        <v>12426</v>
      </c>
      <c r="CH110" t="s">
        <v>12371</v>
      </c>
      <c r="CI110" t="s">
        <v>12262</v>
      </c>
      <c r="CJ110" t="s">
        <v>391</v>
      </c>
    </row>
    <row r="111" spans="83:88" ht="13.2">
      <c r="CE111" t="s">
        <v>12427</v>
      </c>
      <c r="CF111" t="s">
        <v>12428</v>
      </c>
      <c r="CG111" t="s">
        <v>12428</v>
      </c>
      <c r="CH111" t="s">
        <v>12371</v>
      </c>
      <c r="CI111" t="s">
        <v>12265</v>
      </c>
      <c r="CJ111" t="s">
        <v>391</v>
      </c>
    </row>
    <row r="112" spans="83:89" ht="13.2">
      <c r="CE112" t="s">
        <v>12429</v>
      </c>
      <c r="CF112" t="s">
        <v>12430</v>
      </c>
      <c r="CG112" t="s">
        <v>12430</v>
      </c>
      <c r="CH112" t="s">
        <v>12371</v>
      </c>
      <c r="CI112" t="s">
        <v>12268</v>
      </c>
      <c r="CJ112" t="s">
        <v>12269</v>
      </c>
      <c r="CK112" s="38">
        <v>0</v>
      </c>
    </row>
    <row r="113" spans="83:88" ht="13.2">
      <c r="CE113" t="s">
        <v>12431</v>
      </c>
      <c r="CF113" t="s">
        <v>12432</v>
      </c>
      <c r="CG113" t="s">
        <v>12432</v>
      </c>
      <c r="CH113" t="s">
        <v>12371</v>
      </c>
      <c r="CI113" t="s">
        <v>12272</v>
      </c>
      <c r="CJ113" t="s">
        <v>12358</v>
      </c>
    </row>
    <row r="114" spans="83:88" ht="13.2">
      <c r="CE114" t="s">
        <v>12433</v>
      </c>
      <c r="CF114" t="s">
        <v>12434</v>
      </c>
      <c r="CG114" t="s">
        <v>12434</v>
      </c>
      <c r="CH114" t="s">
        <v>12371</v>
      </c>
      <c r="CI114" t="s">
        <v>12276</v>
      </c>
      <c r="CJ114" t="s">
        <v>12277</v>
      </c>
    </row>
    <row r="115" spans="83:88" ht="13.2">
      <c r="CE115" t="s">
        <v>12435</v>
      </c>
      <c r="CF115" t="s">
        <v>12436</v>
      </c>
      <c r="CG115" t="s">
        <v>12436</v>
      </c>
      <c r="CH115" t="s">
        <v>12371</v>
      </c>
      <c r="CI115" t="s">
        <v>12280</v>
      </c>
      <c r="CJ115" t="s">
        <v>120</v>
      </c>
    </row>
    <row r="116" spans="83:88" ht="13.2">
      <c r="CE116" t="s">
        <v>12437</v>
      </c>
      <c r="CF116" t="s">
        <v>12438</v>
      </c>
      <c r="CG116" t="s">
        <v>12438</v>
      </c>
      <c r="CH116" t="s">
        <v>12371</v>
      </c>
      <c r="CI116" t="s">
        <v>12283</v>
      </c>
      <c r="CJ116" t="s">
        <v>120</v>
      </c>
    </row>
    <row r="117" spans="83:89" ht="13.2">
      <c r="CE117" t="s">
        <v>12439</v>
      </c>
      <c r="CF117" t="s">
        <v>12440</v>
      </c>
      <c r="CG117" t="s">
        <v>12440</v>
      </c>
      <c r="CH117" t="s">
        <v>12371</v>
      </c>
      <c r="CI117" t="s">
        <v>12286</v>
      </c>
      <c r="CJ117" t="s">
        <v>12287</v>
      </c>
      <c r="CK117" s="38">
        <v>0</v>
      </c>
    </row>
    <row r="118" spans="83:88" ht="13.2">
      <c r="CE118" t="s">
        <v>12441</v>
      </c>
      <c r="CF118" t="s">
        <v>12442</v>
      </c>
      <c r="CG118" t="s">
        <v>12442</v>
      </c>
      <c r="CH118" t="s">
        <v>12371</v>
      </c>
      <c r="CI118" t="s">
        <v>12290</v>
      </c>
      <c r="CJ118" t="s">
        <v>12154</v>
      </c>
    </row>
    <row r="119" spans="83:89" ht="13.2">
      <c r="CE119" t="s">
        <v>12443</v>
      </c>
      <c r="CF119" t="s">
        <v>12444</v>
      </c>
      <c r="CG119" t="s">
        <v>12444</v>
      </c>
      <c r="CH119" t="s">
        <v>12371</v>
      </c>
      <c r="CI119" t="s">
        <v>12293</v>
      </c>
      <c r="CJ119" t="s">
        <v>12294</v>
      </c>
      <c r="CK119" s="38">
        <v>0</v>
      </c>
    </row>
    <row r="120" spans="83:88" ht="13.2">
      <c r="CE120" t="s">
        <v>12447</v>
      </c>
      <c r="CF120" t="s">
        <v>12448</v>
      </c>
      <c r="CG120" t="s">
        <v>12448</v>
      </c>
      <c r="CH120" t="s">
        <v>12445</v>
      </c>
      <c r="CI120" t="s">
        <v>12164</v>
      </c>
      <c r="CJ120" t="s">
        <v>12446</v>
      </c>
    </row>
    <row r="121" spans="83:88" ht="13.2">
      <c r="CE121" t="s">
        <v>12449</v>
      </c>
      <c r="CF121" t="s">
        <v>12450</v>
      </c>
      <c r="CG121" t="s">
        <v>12450</v>
      </c>
      <c r="CH121" t="s">
        <v>12445</v>
      </c>
      <c r="CI121" t="s">
        <v>12167</v>
      </c>
      <c r="CJ121" t="s">
        <v>725</v>
      </c>
    </row>
    <row r="122" spans="83:88" ht="13.2">
      <c r="CE122" t="s">
        <v>12451</v>
      </c>
      <c r="CF122" t="s">
        <v>12452</v>
      </c>
      <c r="CG122" t="s">
        <v>12452</v>
      </c>
      <c r="CH122" t="s">
        <v>12445</v>
      </c>
      <c r="CI122" t="s">
        <v>12170</v>
      </c>
      <c r="CJ122" t="s">
        <v>12453</v>
      </c>
    </row>
    <row r="123" spans="83:88" ht="13.2">
      <c r="CE123" t="s">
        <v>12454</v>
      </c>
      <c r="CF123" t="s">
        <v>12455</v>
      </c>
      <c r="CG123" t="s">
        <v>12455</v>
      </c>
      <c r="CH123" t="s">
        <v>12445</v>
      </c>
      <c r="CI123" t="s">
        <v>12174</v>
      </c>
      <c r="CJ123" t="s">
        <v>12175</v>
      </c>
    </row>
    <row r="124" spans="83:88" ht="13.2">
      <c r="CE124" t="s">
        <v>12456</v>
      </c>
      <c r="CF124" t="s">
        <v>12457</v>
      </c>
      <c r="CG124" t="s">
        <v>12457</v>
      </c>
      <c r="CH124" t="s">
        <v>12445</v>
      </c>
      <c r="CI124" t="s">
        <v>12178</v>
      </c>
      <c r="CJ124" t="s">
        <v>158</v>
      </c>
    </row>
    <row r="125" spans="83:88" ht="13.2">
      <c r="CE125" t="s">
        <v>12458</v>
      </c>
      <c r="CF125" t="s">
        <v>12459</v>
      </c>
      <c r="CG125" t="s">
        <v>12459</v>
      </c>
      <c r="CH125" t="s">
        <v>12445</v>
      </c>
      <c r="CI125" t="s">
        <v>12181</v>
      </c>
      <c r="CJ125" t="s">
        <v>158</v>
      </c>
    </row>
    <row r="126" spans="83:88" ht="13.2">
      <c r="CE126" t="s">
        <v>12460</v>
      </c>
      <c r="CF126" t="s">
        <v>12461</v>
      </c>
      <c r="CG126" t="s">
        <v>12461</v>
      </c>
      <c r="CH126" t="s">
        <v>12445</v>
      </c>
      <c r="CI126" t="s">
        <v>12184</v>
      </c>
      <c r="CJ126" t="s">
        <v>119</v>
      </c>
    </row>
    <row r="127" spans="83:88" ht="13.2">
      <c r="CE127" t="s">
        <v>12462</v>
      </c>
      <c r="CF127" t="s">
        <v>12463</v>
      </c>
      <c r="CG127" t="s">
        <v>12463</v>
      </c>
      <c r="CH127" t="s">
        <v>12445</v>
      </c>
      <c r="CI127" t="s">
        <v>12187</v>
      </c>
      <c r="CJ127" t="s">
        <v>7832</v>
      </c>
    </row>
    <row r="128" spans="83:88" ht="13.2">
      <c r="CE128" t="s">
        <v>12464</v>
      </c>
      <c r="CF128" t="s">
        <v>12465</v>
      </c>
      <c r="CG128" t="s">
        <v>12465</v>
      </c>
      <c r="CH128" t="s">
        <v>12445</v>
      </c>
      <c r="CI128" t="s">
        <v>12191</v>
      </c>
      <c r="CJ128" t="s">
        <v>12192</v>
      </c>
    </row>
    <row r="129" spans="83:88" ht="13.2">
      <c r="CE129" t="s">
        <v>12466</v>
      </c>
      <c r="CF129" t="s">
        <v>12467</v>
      </c>
      <c r="CG129" t="s">
        <v>12467</v>
      </c>
      <c r="CH129" t="s">
        <v>12445</v>
      </c>
      <c r="CI129" t="s">
        <v>12195</v>
      </c>
      <c r="CJ129" t="s">
        <v>181</v>
      </c>
    </row>
    <row r="130" spans="83:88" ht="13.2">
      <c r="CE130" t="s">
        <v>12468</v>
      </c>
      <c r="CF130" t="s">
        <v>12469</v>
      </c>
      <c r="CG130" t="s">
        <v>12469</v>
      </c>
      <c r="CH130" t="s">
        <v>12445</v>
      </c>
      <c r="CI130" t="s">
        <v>12198</v>
      </c>
      <c r="CJ130" t="s">
        <v>5678</v>
      </c>
    </row>
    <row r="131" spans="83:88" ht="13.2">
      <c r="CE131" t="s">
        <v>12470</v>
      </c>
      <c r="CF131" t="s">
        <v>12471</v>
      </c>
      <c r="CG131" t="s">
        <v>12471</v>
      </c>
      <c r="CH131" t="s">
        <v>12445</v>
      </c>
      <c r="CI131" t="s">
        <v>12201</v>
      </c>
      <c r="CJ131" t="s">
        <v>8164</v>
      </c>
    </row>
    <row r="132" spans="83:89" ht="13.2">
      <c r="CE132" t="s">
        <v>12472</v>
      </c>
      <c r="CF132" t="s">
        <v>12473</v>
      </c>
      <c r="CG132" t="s">
        <v>12473</v>
      </c>
      <c r="CH132" t="s">
        <v>12445</v>
      </c>
      <c r="CI132" t="s">
        <v>12204</v>
      </c>
      <c r="CJ132" t="s">
        <v>420</v>
      </c>
      <c r="CK132" s="38">
        <v>0</v>
      </c>
    </row>
    <row r="133" spans="83:88" ht="13.2">
      <c r="CE133" t="s">
        <v>12474</v>
      </c>
      <c r="CF133" t="s">
        <v>12475</v>
      </c>
      <c r="CG133" t="s">
        <v>12475</v>
      </c>
      <c r="CH133" t="s">
        <v>12445</v>
      </c>
      <c r="CI133" t="s">
        <v>12207</v>
      </c>
      <c r="CJ133" t="s">
        <v>12208</v>
      </c>
    </row>
    <row r="134" spans="83:88" ht="13.2">
      <c r="CE134" t="s">
        <v>12476</v>
      </c>
      <c r="CF134" t="s">
        <v>12477</v>
      </c>
      <c r="CG134" t="s">
        <v>12477</v>
      </c>
      <c r="CH134" t="s">
        <v>12445</v>
      </c>
      <c r="CI134" t="s">
        <v>12211</v>
      </c>
      <c r="CJ134" t="s">
        <v>421</v>
      </c>
    </row>
    <row r="135" spans="83:88" ht="13.2">
      <c r="CE135" t="s">
        <v>12478</v>
      </c>
      <c r="CF135" t="s">
        <v>12479</v>
      </c>
      <c r="CG135" t="s">
        <v>12479</v>
      </c>
      <c r="CH135" t="s">
        <v>12445</v>
      </c>
      <c r="CI135" t="s">
        <v>12214</v>
      </c>
      <c r="CJ135" t="s">
        <v>12215</v>
      </c>
    </row>
    <row r="136" spans="83:88" ht="13.2">
      <c r="CE136" t="s">
        <v>12480</v>
      </c>
      <c r="CF136" t="s">
        <v>12481</v>
      </c>
      <c r="CG136" t="s">
        <v>12481</v>
      </c>
      <c r="CH136" t="s">
        <v>12445</v>
      </c>
      <c r="CI136" t="s">
        <v>12218</v>
      </c>
      <c r="CJ136" t="s">
        <v>391</v>
      </c>
    </row>
    <row r="137" spans="83:89" ht="13.2">
      <c r="CE137" t="s">
        <v>12482</v>
      </c>
      <c r="CF137" t="s">
        <v>12483</v>
      </c>
      <c r="CG137" t="s">
        <v>12483</v>
      </c>
      <c r="CH137" t="s">
        <v>12445</v>
      </c>
      <c r="CI137" t="s">
        <v>12221</v>
      </c>
      <c r="CJ137" t="s">
        <v>488</v>
      </c>
      <c r="CK137" s="38">
        <v>0</v>
      </c>
    </row>
    <row r="138" spans="83:88" ht="13.2">
      <c r="CE138" t="s">
        <v>12484</v>
      </c>
      <c r="CF138" t="s">
        <v>12485</v>
      </c>
      <c r="CG138" t="s">
        <v>12485</v>
      </c>
      <c r="CH138" t="s">
        <v>12445</v>
      </c>
      <c r="CI138" t="s">
        <v>12224</v>
      </c>
      <c r="CJ138" t="s">
        <v>191</v>
      </c>
    </row>
    <row r="139" spans="83:88" ht="13.2">
      <c r="CE139" t="s">
        <v>12486</v>
      </c>
      <c r="CF139" t="s">
        <v>12487</v>
      </c>
      <c r="CG139" t="s">
        <v>12487</v>
      </c>
      <c r="CH139" t="s">
        <v>12445</v>
      </c>
      <c r="CI139" t="s">
        <v>12227</v>
      </c>
      <c r="CJ139" t="s">
        <v>12228</v>
      </c>
    </row>
    <row r="140" spans="83:88" ht="13.2">
      <c r="CE140" t="s">
        <v>12488</v>
      </c>
      <c r="CF140" t="s">
        <v>12489</v>
      </c>
      <c r="CG140" t="s">
        <v>12489</v>
      </c>
      <c r="CH140" t="s">
        <v>12445</v>
      </c>
      <c r="CI140" t="s">
        <v>12231</v>
      </c>
      <c r="CJ140" t="s">
        <v>141</v>
      </c>
    </row>
    <row r="141" spans="83:88" ht="13.2">
      <c r="CE141" t="s">
        <v>12490</v>
      </c>
      <c r="CF141" t="s">
        <v>12491</v>
      </c>
      <c r="CG141" t="s">
        <v>12491</v>
      </c>
      <c r="CH141" t="s">
        <v>12445</v>
      </c>
      <c r="CI141" t="s">
        <v>12234</v>
      </c>
      <c r="CJ141" t="s">
        <v>159</v>
      </c>
    </row>
    <row r="142" spans="83:89" ht="13.2">
      <c r="CE142" t="s">
        <v>12492</v>
      </c>
      <c r="CF142" t="s">
        <v>12493</v>
      </c>
      <c r="CG142" t="s">
        <v>12493</v>
      </c>
      <c r="CH142" t="s">
        <v>12445</v>
      </c>
      <c r="CI142" t="s">
        <v>12237</v>
      </c>
      <c r="CJ142" t="s">
        <v>5686</v>
      </c>
      <c r="CK142" s="38">
        <v>0</v>
      </c>
    </row>
    <row r="143" spans="83:88" ht="13.2">
      <c r="CE143" t="s">
        <v>12494</v>
      </c>
      <c r="CF143" t="s">
        <v>12495</v>
      </c>
      <c r="CG143" t="s">
        <v>12495</v>
      </c>
      <c r="CH143" t="s">
        <v>12445</v>
      </c>
      <c r="CI143" t="s">
        <v>12240</v>
      </c>
      <c r="CJ143" t="s">
        <v>160</v>
      </c>
    </row>
    <row r="144" spans="83:88" ht="13.2">
      <c r="CE144" t="s">
        <v>12496</v>
      </c>
      <c r="CF144" t="s">
        <v>12497</v>
      </c>
      <c r="CG144" t="s">
        <v>12497</v>
      </c>
      <c r="CH144" t="s">
        <v>12445</v>
      </c>
      <c r="CI144" t="s">
        <v>12259</v>
      </c>
      <c r="CJ144" t="s">
        <v>251</v>
      </c>
    </row>
    <row r="145" spans="83:88" ht="13.2">
      <c r="CE145" t="s">
        <v>12498</v>
      </c>
      <c r="CF145" t="s">
        <v>12499</v>
      </c>
      <c r="CG145" t="s">
        <v>12499</v>
      </c>
      <c r="CH145" t="s">
        <v>12445</v>
      </c>
      <c r="CI145" t="s">
        <v>12262</v>
      </c>
      <c r="CJ145" t="s">
        <v>391</v>
      </c>
    </row>
    <row r="146" spans="83:88" ht="13.2">
      <c r="CE146" t="s">
        <v>12500</v>
      </c>
      <c r="CF146" t="s">
        <v>12501</v>
      </c>
      <c r="CG146" t="s">
        <v>12501</v>
      </c>
      <c r="CH146" t="s">
        <v>12445</v>
      </c>
      <c r="CI146" t="s">
        <v>12265</v>
      </c>
      <c r="CJ146" t="s">
        <v>391</v>
      </c>
    </row>
    <row r="147" spans="83:89" ht="13.2">
      <c r="CE147" t="s">
        <v>12502</v>
      </c>
      <c r="CF147" t="s">
        <v>12503</v>
      </c>
      <c r="CG147" t="s">
        <v>12503</v>
      </c>
      <c r="CH147" t="s">
        <v>12445</v>
      </c>
      <c r="CI147" t="s">
        <v>12268</v>
      </c>
      <c r="CJ147" t="s">
        <v>12269</v>
      </c>
      <c r="CK147" s="38">
        <v>0</v>
      </c>
    </row>
    <row r="148" spans="83:88" ht="13.2">
      <c r="CE148" t="s">
        <v>12504</v>
      </c>
      <c r="CF148" t="s">
        <v>12505</v>
      </c>
      <c r="CG148" t="s">
        <v>12505</v>
      </c>
      <c r="CH148" t="s">
        <v>12445</v>
      </c>
      <c r="CI148" t="s">
        <v>12272</v>
      </c>
      <c r="CJ148" t="s">
        <v>12358</v>
      </c>
    </row>
    <row r="149" spans="83:88" ht="13.2">
      <c r="CE149" t="s">
        <v>12506</v>
      </c>
      <c r="CF149" t="s">
        <v>12507</v>
      </c>
      <c r="CG149" t="s">
        <v>12507</v>
      </c>
      <c r="CH149" t="s">
        <v>12445</v>
      </c>
      <c r="CI149" t="s">
        <v>12276</v>
      </c>
      <c r="CJ149" t="s">
        <v>12277</v>
      </c>
    </row>
    <row r="150" spans="83:88" ht="13.2">
      <c r="CE150" t="s">
        <v>12508</v>
      </c>
      <c r="CF150" t="s">
        <v>12509</v>
      </c>
      <c r="CG150" t="s">
        <v>12509</v>
      </c>
      <c r="CH150" t="s">
        <v>12445</v>
      </c>
      <c r="CI150" t="s">
        <v>12280</v>
      </c>
      <c r="CJ150" t="s">
        <v>120</v>
      </c>
    </row>
    <row r="151" spans="83:88" ht="13.2">
      <c r="CE151" t="s">
        <v>12510</v>
      </c>
      <c r="CF151" t="s">
        <v>12511</v>
      </c>
      <c r="CG151" t="s">
        <v>12511</v>
      </c>
      <c r="CH151" t="s">
        <v>12445</v>
      </c>
      <c r="CI151" t="s">
        <v>12283</v>
      </c>
      <c r="CJ151" t="s">
        <v>120</v>
      </c>
    </row>
    <row r="152" spans="83:89" ht="13.2">
      <c r="CE152" t="s">
        <v>12512</v>
      </c>
      <c r="CF152" t="s">
        <v>12513</v>
      </c>
      <c r="CG152" t="s">
        <v>12513</v>
      </c>
      <c r="CH152" t="s">
        <v>12445</v>
      </c>
      <c r="CI152" t="s">
        <v>12286</v>
      </c>
      <c r="CJ152" t="s">
        <v>12287</v>
      </c>
      <c r="CK152" s="38">
        <v>0</v>
      </c>
    </row>
    <row r="153" spans="83:88" ht="13.2">
      <c r="CE153" t="s">
        <v>12514</v>
      </c>
      <c r="CF153" t="s">
        <v>12515</v>
      </c>
      <c r="CG153" t="s">
        <v>12515</v>
      </c>
      <c r="CH153" t="s">
        <v>12445</v>
      </c>
      <c r="CI153" t="s">
        <v>12290</v>
      </c>
      <c r="CJ153" t="s">
        <v>12154</v>
      </c>
    </row>
    <row r="154" spans="83:89" ht="13.2">
      <c r="CE154" t="s">
        <v>12516</v>
      </c>
      <c r="CF154" t="s">
        <v>12517</v>
      </c>
      <c r="CG154" t="s">
        <v>12517</v>
      </c>
      <c r="CH154" t="s">
        <v>12445</v>
      </c>
      <c r="CI154" t="s">
        <v>12293</v>
      </c>
      <c r="CJ154" t="s">
        <v>12294</v>
      </c>
      <c r="CK154" s="38">
        <v>0</v>
      </c>
    </row>
    <row r="155" spans="83:88" ht="13.2">
      <c r="CE155" t="s">
        <v>12520</v>
      </c>
      <c r="CF155" t="s">
        <v>12521</v>
      </c>
      <c r="CG155" t="s">
        <v>12521</v>
      </c>
      <c r="CH155" t="s">
        <v>12518</v>
      </c>
      <c r="CI155" t="s">
        <v>12164</v>
      </c>
      <c r="CJ155" t="s">
        <v>12519</v>
      </c>
    </row>
    <row r="156" spans="83:88" ht="13.2">
      <c r="CE156" t="s">
        <v>12522</v>
      </c>
      <c r="CF156" t="s">
        <v>12523</v>
      </c>
      <c r="CG156" t="s">
        <v>12523</v>
      </c>
      <c r="CH156" t="s">
        <v>12518</v>
      </c>
      <c r="CI156" t="s">
        <v>12167</v>
      </c>
      <c r="CJ156" t="s">
        <v>725</v>
      </c>
    </row>
    <row r="157" spans="83:88" ht="13.2">
      <c r="CE157" t="s">
        <v>12524</v>
      </c>
      <c r="CF157" t="s">
        <v>12525</v>
      </c>
      <c r="CG157" t="s">
        <v>12525</v>
      </c>
      <c r="CH157" t="s">
        <v>12518</v>
      </c>
      <c r="CI157" t="s">
        <v>12170</v>
      </c>
      <c r="CJ157" t="s">
        <v>12526</v>
      </c>
    </row>
    <row r="158" spans="83:88" ht="13.2">
      <c r="CE158" t="s">
        <v>12527</v>
      </c>
      <c r="CF158" t="s">
        <v>12528</v>
      </c>
      <c r="CG158" t="s">
        <v>12528</v>
      </c>
      <c r="CH158" t="s">
        <v>12518</v>
      </c>
      <c r="CI158" t="s">
        <v>12174</v>
      </c>
      <c r="CJ158" t="s">
        <v>12382</v>
      </c>
    </row>
    <row r="159" spans="83:88" ht="13.2">
      <c r="CE159" t="s">
        <v>12529</v>
      </c>
      <c r="CF159" t="s">
        <v>12530</v>
      </c>
      <c r="CG159" t="s">
        <v>12530</v>
      </c>
      <c r="CH159" t="s">
        <v>12518</v>
      </c>
      <c r="CI159" t="s">
        <v>12178</v>
      </c>
      <c r="CJ159" t="s">
        <v>158</v>
      </c>
    </row>
    <row r="160" spans="83:88" ht="13.2">
      <c r="CE160" t="s">
        <v>12531</v>
      </c>
      <c r="CF160" t="s">
        <v>12532</v>
      </c>
      <c r="CG160" t="s">
        <v>12532</v>
      </c>
      <c r="CH160" t="s">
        <v>12518</v>
      </c>
      <c r="CI160" t="s">
        <v>12181</v>
      </c>
      <c r="CJ160" t="s">
        <v>158</v>
      </c>
    </row>
    <row r="161" spans="83:88" ht="13.2">
      <c r="CE161" t="s">
        <v>12533</v>
      </c>
      <c r="CF161" t="s">
        <v>12534</v>
      </c>
      <c r="CG161" t="s">
        <v>12534</v>
      </c>
      <c r="CH161" t="s">
        <v>12518</v>
      </c>
      <c r="CI161" t="s">
        <v>12184</v>
      </c>
      <c r="CJ161" t="s">
        <v>119</v>
      </c>
    </row>
    <row r="162" spans="83:88" ht="13.2">
      <c r="CE162" t="s">
        <v>12535</v>
      </c>
      <c r="CF162" t="s">
        <v>12536</v>
      </c>
      <c r="CG162" t="s">
        <v>12536</v>
      </c>
      <c r="CH162" t="s">
        <v>12518</v>
      </c>
      <c r="CI162" t="s">
        <v>12187</v>
      </c>
      <c r="CJ162" t="s">
        <v>7832</v>
      </c>
    </row>
    <row r="163" spans="83:88" ht="13.2">
      <c r="CE163" t="s">
        <v>12537</v>
      </c>
      <c r="CF163" t="s">
        <v>12538</v>
      </c>
      <c r="CG163" t="s">
        <v>12538</v>
      </c>
      <c r="CH163" t="s">
        <v>12518</v>
      </c>
      <c r="CI163" t="s">
        <v>12191</v>
      </c>
      <c r="CJ163" t="s">
        <v>12192</v>
      </c>
    </row>
    <row r="164" spans="83:88" ht="13.2">
      <c r="CE164" t="s">
        <v>12539</v>
      </c>
      <c r="CF164" t="s">
        <v>12540</v>
      </c>
      <c r="CG164" t="s">
        <v>12540</v>
      </c>
      <c r="CH164" t="s">
        <v>12518</v>
      </c>
      <c r="CI164" t="s">
        <v>12195</v>
      </c>
      <c r="CJ164" t="s">
        <v>181</v>
      </c>
    </row>
    <row r="165" spans="83:88" ht="13.2">
      <c r="CE165" t="s">
        <v>12541</v>
      </c>
      <c r="CF165" t="s">
        <v>12542</v>
      </c>
      <c r="CG165" t="s">
        <v>12542</v>
      </c>
      <c r="CH165" t="s">
        <v>12518</v>
      </c>
      <c r="CI165" t="s">
        <v>12198</v>
      </c>
      <c r="CJ165" t="s">
        <v>5678</v>
      </c>
    </row>
    <row r="166" spans="83:88" ht="13.2">
      <c r="CE166" t="s">
        <v>12543</v>
      </c>
      <c r="CF166" t="s">
        <v>12544</v>
      </c>
      <c r="CG166" t="s">
        <v>12544</v>
      </c>
      <c r="CH166" t="s">
        <v>12518</v>
      </c>
      <c r="CI166" t="s">
        <v>12201</v>
      </c>
      <c r="CJ166" t="s">
        <v>8164</v>
      </c>
    </row>
    <row r="167" spans="83:89" ht="13.2">
      <c r="CE167" t="s">
        <v>12545</v>
      </c>
      <c r="CF167" t="s">
        <v>12546</v>
      </c>
      <c r="CG167" t="s">
        <v>12546</v>
      </c>
      <c r="CH167" t="s">
        <v>12518</v>
      </c>
      <c r="CI167" t="s">
        <v>12204</v>
      </c>
      <c r="CJ167" t="s">
        <v>420</v>
      </c>
      <c r="CK167" s="38">
        <v>0</v>
      </c>
    </row>
    <row r="168" spans="83:88" ht="13.2">
      <c r="CE168" t="s">
        <v>12547</v>
      </c>
      <c r="CF168" t="s">
        <v>12548</v>
      </c>
      <c r="CG168" t="s">
        <v>12548</v>
      </c>
      <c r="CH168" t="s">
        <v>12518</v>
      </c>
      <c r="CI168" t="s">
        <v>12207</v>
      </c>
      <c r="CJ168" t="s">
        <v>12208</v>
      </c>
    </row>
    <row r="169" spans="83:88" ht="13.2">
      <c r="CE169" t="s">
        <v>12549</v>
      </c>
      <c r="CF169" t="s">
        <v>12550</v>
      </c>
      <c r="CG169" t="s">
        <v>12550</v>
      </c>
      <c r="CH169" t="s">
        <v>12518</v>
      </c>
      <c r="CI169" t="s">
        <v>12211</v>
      </c>
      <c r="CJ169" t="s">
        <v>421</v>
      </c>
    </row>
    <row r="170" spans="83:88" ht="13.2">
      <c r="CE170" t="s">
        <v>12551</v>
      </c>
      <c r="CF170" t="s">
        <v>12552</v>
      </c>
      <c r="CG170" t="s">
        <v>12552</v>
      </c>
      <c r="CH170" t="s">
        <v>12518</v>
      </c>
      <c r="CI170" t="s">
        <v>12214</v>
      </c>
      <c r="CJ170" t="s">
        <v>12215</v>
      </c>
    </row>
    <row r="171" spans="83:88" ht="13.2">
      <c r="CE171" t="s">
        <v>12553</v>
      </c>
      <c r="CF171" t="s">
        <v>12554</v>
      </c>
      <c r="CG171" t="s">
        <v>12554</v>
      </c>
      <c r="CH171" t="s">
        <v>12518</v>
      </c>
      <c r="CI171" t="s">
        <v>12218</v>
      </c>
      <c r="CJ171" t="s">
        <v>391</v>
      </c>
    </row>
    <row r="172" spans="83:89" ht="13.2">
      <c r="CE172" t="s">
        <v>12555</v>
      </c>
      <c r="CF172" t="s">
        <v>12556</v>
      </c>
      <c r="CG172" t="s">
        <v>12556</v>
      </c>
      <c r="CH172" t="s">
        <v>12518</v>
      </c>
      <c r="CI172" t="s">
        <v>12221</v>
      </c>
      <c r="CJ172" t="s">
        <v>488</v>
      </c>
      <c r="CK172" s="38">
        <v>0</v>
      </c>
    </row>
    <row r="173" spans="83:88" ht="13.2">
      <c r="CE173" t="s">
        <v>12557</v>
      </c>
      <c r="CF173" t="s">
        <v>12558</v>
      </c>
      <c r="CG173" t="s">
        <v>12558</v>
      </c>
      <c r="CH173" t="s">
        <v>12518</v>
      </c>
      <c r="CI173" t="s">
        <v>12224</v>
      </c>
      <c r="CJ173" t="s">
        <v>191</v>
      </c>
    </row>
    <row r="174" spans="83:88" ht="13.2">
      <c r="CE174" t="s">
        <v>12559</v>
      </c>
      <c r="CF174" t="s">
        <v>12560</v>
      </c>
      <c r="CG174" t="s">
        <v>12560</v>
      </c>
      <c r="CH174" t="s">
        <v>12518</v>
      </c>
      <c r="CI174" t="s">
        <v>12227</v>
      </c>
      <c r="CJ174" t="s">
        <v>12228</v>
      </c>
    </row>
    <row r="175" spans="83:88" ht="13.2">
      <c r="CE175" t="s">
        <v>12561</v>
      </c>
      <c r="CF175" t="s">
        <v>12562</v>
      </c>
      <c r="CG175" t="s">
        <v>12562</v>
      </c>
      <c r="CH175" t="s">
        <v>12518</v>
      </c>
      <c r="CI175" t="s">
        <v>12231</v>
      </c>
      <c r="CJ175" t="s">
        <v>141</v>
      </c>
    </row>
    <row r="176" spans="83:88" ht="13.2">
      <c r="CE176" t="s">
        <v>12563</v>
      </c>
      <c r="CF176" t="s">
        <v>12564</v>
      </c>
      <c r="CG176" t="s">
        <v>12564</v>
      </c>
      <c r="CH176" t="s">
        <v>12518</v>
      </c>
      <c r="CI176" t="s">
        <v>12234</v>
      </c>
      <c r="CJ176" t="s">
        <v>159</v>
      </c>
    </row>
    <row r="177" spans="83:89" ht="13.2">
      <c r="CE177" t="s">
        <v>12565</v>
      </c>
      <c r="CF177" t="s">
        <v>12566</v>
      </c>
      <c r="CG177" t="s">
        <v>12566</v>
      </c>
      <c r="CH177" t="s">
        <v>12518</v>
      </c>
      <c r="CI177" t="s">
        <v>12237</v>
      </c>
      <c r="CJ177" t="s">
        <v>5686</v>
      </c>
      <c r="CK177" s="38">
        <v>0</v>
      </c>
    </row>
    <row r="178" spans="83:88" ht="13.2">
      <c r="CE178" t="s">
        <v>12567</v>
      </c>
      <c r="CF178" t="s">
        <v>12568</v>
      </c>
      <c r="CG178" t="s">
        <v>12568</v>
      </c>
      <c r="CH178" t="s">
        <v>12518</v>
      </c>
      <c r="CI178" t="s">
        <v>12240</v>
      </c>
      <c r="CJ178" t="s">
        <v>160</v>
      </c>
    </row>
    <row r="179" spans="83:88" ht="13.2">
      <c r="CE179" t="s">
        <v>12569</v>
      </c>
      <c r="CF179" t="s">
        <v>12570</v>
      </c>
      <c r="CG179" t="s">
        <v>12570</v>
      </c>
      <c r="CH179" t="s">
        <v>12518</v>
      </c>
      <c r="CI179" t="s">
        <v>12259</v>
      </c>
      <c r="CJ179" t="s">
        <v>251</v>
      </c>
    </row>
    <row r="180" spans="83:88" ht="13.2">
      <c r="CE180" t="s">
        <v>12571</v>
      </c>
      <c r="CF180" t="s">
        <v>12572</v>
      </c>
      <c r="CG180" t="s">
        <v>12572</v>
      </c>
      <c r="CH180" t="s">
        <v>12518</v>
      </c>
      <c r="CI180" t="s">
        <v>12262</v>
      </c>
      <c r="CJ180" t="s">
        <v>391</v>
      </c>
    </row>
    <row r="181" spans="83:88" ht="13.2">
      <c r="CE181" t="s">
        <v>12573</v>
      </c>
      <c r="CF181" t="s">
        <v>12574</v>
      </c>
      <c r="CG181" t="s">
        <v>12574</v>
      </c>
      <c r="CH181" t="s">
        <v>12518</v>
      </c>
      <c r="CI181" t="s">
        <v>12265</v>
      </c>
      <c r="CJ181" t="s">
        <v>391</v>
      </c>
    </row>
    <row r="182" spans="83:89" ht="13.2">
      <c r="CE182" t="s">
        <v>12575</v>
      </c>
      <c r="CF182" t="s">
        <v>12576</v>
      </c>
      <c r="CG182" t="s">
        <v>12576</v>
      </c>
      <c r="CH182" t="s">
        <v>12518</v>
      </c>
      <c r="CI182" t="s">
        <v>12268</v>
      </c>
      <c r="CJ182" t="s">
        <v>12269</v>
      </c>
      <c r="CK182" s="38">
        <v>0</v>
      </c>
    </row>
    <row r="183" spans="83:88" ht="13.2">
      <c r="CE183" t="s">
        <v>12577</v>
      </c>
      <c r="CF183" t="s">
        <v>12578</v>
      </c>
      <c r="CG183" t="s">
        <v>12578</v>
      </c>
      <c r="CH183" t="s">
        <v>12518</v>
      </c>
      <c r="CI183" t="s">
        <v>12272</v>
      </c>
      <c r="CJ183" t="s">
        <v>12358</v>
      </c>
    </row>
    <row r="184" spans="83:88" ht="13.2">
      <c r="CE184" t="s">
        <v>12579</v>
      </c>
      <c r="CF184" t="s">
        <v>12580</v>
      </c>
      <c r="CG184" t="s">
        <v>12580</v>
      </c>
      <c r="CH184" t="s">
        <v>12518</v>
      </c>
      <c r="CI184" t="s">
        <v>12276</v>
      </c>
      <c r="CJ184" t="s">
        <v>12277</v>
      </c>
    </row>
    <row r="185" spans="83:88" ht="13.2">
      <c r="CE185" t="s">
        <v>12581</v>
      </c>
      <c r="CF185" t="s">
        <v>12582</v>
      </c>
      <c r="CG185" t="s">
        <v>12582</v>
      </c>
      <c r="CH185" t="s">
        <v>12518</v>
      </c>
      <c r="CI185" t="s">
        <v>12280</v>
      </c>
      <c r="CJ185" t="s">
        <v>120</v>
      </c>
    </row>
    <row r="186" spans="83:88" ht="13.2">
      <c r="CE186" t="s">
        <v>12583</v>
      </c>
      <c r="CF186" t="s">
        <v>12584</v>
      </c>
      <c r="CG186" t="s">
        <v>12584</v>
      </c>
      <c r="CH186" t="s">
        <v>12518</v>
      </c>
      <c r="CI186" t="s">
        <v>12283</v>
      </c>
      <c r="CJ186" t="s">
        <v>120</v>
      </c>
    </row>
    <row r="187" spans="83:89" ht="13.2">
      <c r="CE187" t="s">
        <v>12585</v>
      </c>
      <c r="CF187" t="s">
        <v>12586</v>
      </c>
      <c r="CG187" t="s">
        <v>12586</v>
      </c>
      <c r="CH187" t="s">
        <v>12518</v>
      </c>
      <c r="CI187" t="s">
        <v>12286</v>
      </c>
      <c r="CJ187" t="s">
        <v>12287</v>
      </c>
      <c r="CK187" s="38">
        <v>0</v>
      </c>
    </row>
    <row r="188" spans="83:88" ht="13.2">
      <c r="CE188" t="s">
        <v>12587</v>
      </c>
      <c r="CF188" t="s">
        <v>12588</v>
      </c>
      <c r="CG188" t="s">
        <v>12588</v>
      </c>
      <c r="CH188" t="s">
        <v>12518</v>
      </c>
      <c r="CI188" t="s">
        <v>12290</v>
      </c>
      <c r="CJ188" t="s">
        <v>12154</v>
      </c>
    </row>
    <row r="189" spans="83:89" ht="13.2">
      <c r="CE189" t="s">
        <v>12589</v>
      </c>
      <c r="CF189" t="s">
        <v>12590</v>
      </c>
      <c r="CG189" t="s">
        <v>12590</v>
      </c>
      <c r="CH189" t="s">
        <v>12518</v>
      </c>
      <c r="CI189" t="s">
        <v>12293</v>
      </c>
      <c r="CJ189" t="s">
        <v>12294</v>
      </c>
      <c r="CK189" s="38">
        <v>0</v>
      </c>
    </row>
    <row r="190" spans="83:88" ht="13.2">
      <c r="CE190" t="s">
        <v>12593</v>
      </c>
      <c r="CF190" t="s">
        <v>12594</v>
      </c>
      <c r="CG190" t="s">
        <v>12594</v>
      </c>
      <c r="CH190" t="s">
        <v>12591</v>
      </c>
      <c r="CI190" t="s">
        <v>12164</v>
      </c>
      <c r="CJ190" t="s">
        <v>12592</v>
      </c>
    </row>
    <row r="191" spans="83:88" ht="13.2">
      <c r="CE191" t="s">
        <v>12595</v>
      </c>
      <c r="CF191" t="s">
        <v>12596</v>
      </c>
      <c r="CG191" t="s">
        <v>12596</v>
      </c>
      <c r="CH191" t="s">
        <v>12591</v>
      </c>
      <c r="CI191" t="s">
        <v>12167</v>
      </c>
      <c r="CJ191" t="s">
        <v>725</v>
      </c>
    </row>
    <row r="192" spans="83:88" ht="13.2">
      <c r="CE192" t="s">
        <v>12597</v>
      </c>
      <c r="CF192" t="s">
        <v>12598</v>
      </c>
      <c r="CG192" t="s">
        <v>12598</v>
      </c>
      <c r="CH192" t="s">
        <v>12591</v>
      </c>
      <c r="CI192" t="s">
        <v>12170</v>
      </c>
      <c r="CJ192" t="s">
        <v>12599</v>
      </c>
    </row>
    <row r="193" spans="83:88" ht="13.2">
      <c r="CE193" t="s">
        <v>12600</v>
      </c>
      <c r="CF193" t="s">
        <v>12601</v>
      </c>
      <c r="CG193" t="s">
        <v>12601</v>
      </c>
      <c r="CH193" t="s">
        <v>12591</v>
      </c>
      <c r="CI193" t="s">
        <v>12174</v>
      </c>
      <c r="CJ193" t="s">
        <v>12602</v>
      </c>
    </row>
    <row r="194" spans="83:88" ht="13.2">
      <c r="CE194" t="s">
        <v>12603</v>
      </c>
      <c r="CF194" t="s">
        <v>12604</v>
      </c>
      <c r="CG194" t="s">
        <v>12604</v>
      </c>
      <c r="CH194" t="s">
        <v>12591</v>
      </c>
      <c r="CI194" t="s">
        <v>12178</v>
      </c>
      <c r="CJ194" t="s">
        <v>158</v>
      </c>
    </row>
    <row r="195" spans="83:88" ht="13.2">
      <c r="CE195" t="s">
        <v>12605</v>
      </c>
      <c r="CF195" t="s">
        <v>12606</v>
      </c>
      <c r="CG195" t="s">
        <v>12606</v>
      </c>
      <c r="CH195" t="s">
        <v>12591</v>
      </c>
      <c r="CI195" t="s">
        <v>12181</v>
      </c>
      <c r="CJ195" t="s">
        <v>158</v>
      </c>
    </row>
    <row r="196" spans="83:88" ht="13.2">
      <c r="CE196" t="s">
        <v>12607</v>
      </c>
      <c r="CF196" t="s">
        <v>12608</v>
      </c>
      <c r="CG196" t="s">
        <v>12608</v>
      </c>
      <c r="CH196" t="s">
        <v>12591</v>
      </c>
      <c r="CI196" t="s">
        <v>12184</v>
      </c>
      <c r="CJ196" t="s">
        <v>119</v>
      </c>
    </row>
    <row r="197" spans="83:88" ht="13.2">
      <c r="CE197" t="s">
        <v>12609</v>
      </c>
      <c r="CF197" t="s">
        <v>12610</v>
      </c>
      <c r="CG197" t="s">
        <v>12610</v>
      </c>
      <c r="CH197" t="s">
        <v>12591</v>
      </c>
      <c r="CI197" t="s">
        <v>12187</v>
      </c>
      <c r="CJ197" t="s">
        <v>7832</v>
      </c>
    </row>
    <row r="198" spans="83:88" ht="13.2">
      <c r="CE198" t="s">
        <v>12611</v>
      </c>
      <c r="CF198" t="s">
        <v>12612</v>
      </c>
      <c r="CG198" t="s">
        <v>12612</v>
      </c>
      <c r="CH198" t="s">
        <v>12591</v>
      </c>
      <c r="CI198" t="s">
        <v>12191</v>
      </c>
      <c r="CJ198" t="s">
        <v>12317</v>
      </c>
    </row>
    <row r="199" spans="83:88" ht="13.2">
      <c r="CE199" t="s">
        <v>12613</v>
      </c>
      <c r="CF199" t="s">
        <v>12614</v>
      </c>
      <c r="CG199" t="s">
        <v>12614</v>
      </c>
      <c r="CH199" t="s">
        <v>12591</v>
      </c>
      <c r="CI199" t="s">
        <v>12195</v>
      </c>
      <c r="CJ199" t="s">
        <v>181</v>
      </c>
    </row>
    <row r="200" spans="83:88" ht="13.2">
      <c r="CE200" t="s">
        <v>12615</v>
      </c>
      <c r="CF200" t="s">
        <v>12616</v>
      </c>
      <c r="CG200" t="s">
        <v>12616</v>
      </c>
      <c r="CH200" t="s">
        <v>12591</v>
      </c>
      <c r="CI200" t="s">
        <v>12198</v>
      </c>
      <c r="CJ200" t="s">
        <v>5678</v>
      </c>
    </row>
    <row r="201" spans="83:88" ht="13.2">
      <c r="CE201" t="s">
        <v>12617</v>
      </c>
      <c r="CF201" t="s">
        <v>12618</v>
      </c>
      <c r="CG201" t="s">
        <v>12618</v>
      </c>
      <c r="CH201" t="s">
        <v>12591</v>
      </c>
      <c r="CI201" t="s">
        <v>12201</v>
      </c>
      <c r="CJ201" t="s">
        <v>8164</v>
      </c>
    </row>
    <row r="202" spans="83:89" ht="13.2">
      <c r="CE202" t="s">
        <v>12619</v>
      </c>
      <c r="CF202" t="s">
        <v>12620</v>
      </c>
      <c r="CG202" t="s">
        <v>12620</v>
      </c>
      <c r="CH202" t="s">
        <v>12591</v>
      </c>
      <c r="CI202" t="s">
        <v>12204</v>
      </c>
      <c r="CJ202" t="s">
        <v>420</v>
      </c>
      <c r="CK202" s="38">
        <v>0</v>
      </c>
    </row>
    <row r="203" spans="83:88" ht="13.2">
      <c r="CE203" t="s">
        <v>12621</v>
      </c>
      <c r="CF203" t="s">
        <v>12622</v>
      </c>
      <c r="CG203" t="s">
        <v>12622</v>
      </c>
      <c r="CH203" t="s">
        <v>12591</v>
      </c>
      <c r="CI203" t="s">
        <v>12207</v>
      </c>
      <c r="CJ203" t="s">
        <v>12208</v>
      </c>
    </row>
    <row r="204" spans="83:88" ht="13.2">
      <c r="CE204" t="s">
        <v>12623</v>
      </c>
      <c r="CF204" t="s">
        <v>12624</v>
      </c>
      <c r="CG204" t="s">
        <v>12624</v>
      </c>
      <c r="CH204" t="s">
        <v>12591</v>
      </c>
      <c r="CI204" t="s">
        <v>12211</v>
      </c>
      <c r="CJ204" t="s">
        <v>421</v>
      </c>
    </row>
    <row r="205" spans="83:88" ht="13.2">
      <c r="CE205" t="s">
        <v>12625</v>
      </c>
      <c r="CF205" t="s">
        <v>12626</v>
      </c>
      <c r="CG205" t="s">
        <v>12626</v>
      </c>
      <c r="CH205" t="s">
        <v>12591</v>
      </c>
      <c r="CI205" t="s">
        <v>12214</v>
      </c>
      <c r="CJ205" t="s">
        <v>12215</v>
      </c>
    </row>
    <row r="206" spans="83:88" ht="13.2">
      <c r="CE206" t="s">
        <v>12627</v>
      </c>
      <c r="CF206" t="s">
        <v>12628</v>
      </c>
      <c r="CG206" t="s">
        <v>12628</v>
      </c>
      <c r="CH206" t="s">
        <v>12591</v>
      </c>
      <c r="CI206" t="s">
        <v>12218</v>
      </c>
      <c r="CJ206" t="s">
        <v>391</v>
      </c>
    </row>
    <row r="207" spans="83:89" ht="13.2">
      <c r="CE207" t="s">
        <v>12629</v>
      </c>
      <c r="CF207" t="s">
        <v>12630</v>
      </c>
      <c r="CG207" t="s">
        <v>12630</v>
      </c>
      <c r="CH207" t="s">
        <v>12591</v>
      </c>
      <c r="CI207" t="s">
        <v>12221</v>
      </c>
      <c r="CJ207" t="s">
        <v>488</v>
      </c>
      <c r="CK207" s="38">
        <v>0</v>
      </c>
    </row>
    <row r="208" spans="83:88" ht="13.2">
      <c r="CE208" t="s">
        <v>12631</v>
      </c>
      <c r="CF208" t="s">
        <v>12632</v>
      </c>
      <c r="CG208" t="s">
        <v>12632</v>
      </c>
      <c r="CH208" t="s">
        <v>12591</v>
      </c>
      <c r="CI208" t="s">
        <v>12224</v>
      </c>
      <c r="CJ208" t="s">
        <v>191</v>
      </c>
    </row>
    <row r="209" spans="83:88" ht="13.2">
      <c r="CE209" t="s">
        <v>12633</v>
      </c>
      <c r="CF209" t="s">
        <v>12634</v>
      </c>
      <c r="CG209" t="s">
        <v>12634</v>
      </c>
      <c r="CH209" t="s">
        <v>12591</v>
      </c>
      <c r="CI209" t="s">
        <v>12227</v>
      </c>
      <c r="CJ209" t="s">
        <v>12228</v>
      </c>
    </row>
    <row r="210" spans="83:88" ht="13.2">
      <c r="CE210" t="s">
        <v>12635</v>
      </c>
      <c r="CF210" t="s">
        <v>12636</v>
      </c>
      <c r="CG210" t="s">
        <v>12636</v>
      </c>
      <c r="CH210" t="s">
        <v>12591</v>
      </c>
      <c r="CI210" t="s">
        <v>12231</v>
      </c>
      <c r="CJ210" t="s">
        <v>138</v>
      </c>
    </row>
    <row r="211" spans="83:88" ht="13.2">
      <c r="CE211" t="s">
        <v>12637</v>
      </c>
      <c r="CF211" t="s">
        <v>12638</v>
      </c>
      <c r="CG211" t="s">
        <v>12638</v>
      </c>
      <c r="CH211" t="s">
        <v>12591</v>
      </c>
      <c r="CI211" t="s">
        <v>12234</v>
      </c>
      <c r="CJ211" t="s">
        <v>159</v>
      </c>
    </row>
    <row r="212" spans="83:89" ht="13.2">
      <c r="CE212" t="s">
        <v>12639</v>
      </c>
      <c r="CF212" t="s">
        <v>12640</v>
      </c>
      <c r="CG212" t="s">
        <v>12640</v>
      </c>
      <c r="CH212" t="s">
        <v>12591</v>
      </c>
      <c r="CI212" t="s">
        <v>12237</v>
      </c>
      <c r="CJ212" t="s">
        <v>5686</v>
      </c>
      <c r="CK212" s="38">
        <v>0</v>
      </c>
    </row>
    <row r="213" spans="83:88" ht="13.2">
      <c r="CE213" t="s">
        <v>12641</v>
      </c>
      <c r="CF213" t="s">
        <v>12642</v>
      </c>
      <c r="CG213" t="s">
        <v>12642</v>
      </c>
      <c r="CH213" t="s">
        <v>12591</v>
      </c>
      <c r="CI213" t="s">
        <v>12240</v>
      </c>
      <c r="CJ213" t="s">
        <v>160</v>
      </c>
    </row>
    <row r="214" spans="83:88" ht="13.2">
      <c r="CE214" t="s">
        <v>12643</v>
      </c>
      <c r="CF214" t="s">
        <v>12644</v>
      </c>
      <c r="CG214" t="s">
        <v>12644</v>
      </c>
      <c r="CH214" t="s">
        <v>12591</v>
      </c>
      <c r="CI214" t="s">
        <v>12259</v>
      </c>
      <c r="CJ214" t="s">
        <v>120</v>
      </c>
    </row>
    <row r="215" spans="83:88" ht="13.2">
      <c r="CE215" t="s">
        <v>12645</v>
      </c>
      <c r="CF215" t="s">
        <v>12646</v>
      </c>
      <c r="CG215" t="s">
        <v>12646</v>
      </c>
      <c r="CH215" t="s">
        <v>12591</v>
      </c>
      <c r="CI215" t="s">
        <v>12262</v>
      </c>
      <c r="CJ215" t="s">
        <v>391</v>
      </c>
    </row>
    <row r="216" spans="83:88" ht="13.2">
      <c r="CE216" t="s">
        <v>12647</v>
      </c>
      <c r="CF216" t="s">
        <v>12648</v>
      </c>
      <c r="CG216" t="s">
        <v>12648</v>
      </c>
      <c r="CH216" t="s">
        <v>12591</v>
      </c>
      <c r="CI216" t="s">
        <v>12265</v>
      </c>
      <c r="CJ216" t="s">
        <v>391</v>
      </c>
    </row>
    <row r="217" spans="83:89" ht="13.2">
      <c r="CE217" t="s">
        <v>12649</v>
      </c>
      <c r="CF217" t="s">
        <v>12650</v>
      </c>
      <c r="CG217" t="s">
        <v>12650</v>
      </c>
      <c r="CH217" t="s">
        <v>12591</v>
      </c>
      <c r="CI217" t="s">
        <v>12268</v>
      </c>
      <c r="CJ217" t="s">
        <v>12269</v>
      </c>
      <c r="CK217" s="38">
        <v>0</v>
      </c>
    </row>
    <row r="218" spans="83:88" ht="13.2">
      <c r="CE218" t="s">
        <v>12651</v>
      </c>
      <c r="CF218" t="s">
        <v>12652</v>
      </c>
      <c r="CG218" t="s">
        <v>12652</v>
      </c>
      <c r="CH218" t="s">
        <v>12591</v>
      </c>
      <c r="CI218" t="s">
        <v>12272</v>
      </c>
      <c r="CJ218" t="s">
        <v>12358</v>
      </c>
    </row>
    <row r="219" spans="83:88" ht="13.2">
      <c r="CE219" t="s">
        <v>12653</v>
      </c>
      <c r="CF219" t="s">
        <v>12654</v>
      </c>
      <c r="CG219" t="s">
        <v>12654</v>
      </c>
      <c r="CH219" t="s">
        <v>12591</v>
      </c>
      <c r="CI219" t="s">
        <v>12276</v>
      </c>
      <c r="CJ219" t="s">
        <v>12277</v>
      </c>
    </row>
    <row r="220" spans="83:88" ht="13.2">
      <c r="CE220" t="s">
        <v>12655</v>
      </c>
      <c r="CF220" t="s">
        <v>12656</v>
      </c>
      <c r="CG220" t="s">
        <v>12656</v>
      </c>
      <c r="CH220" t="s">
        <v>12591</v>
      </c>
      <c r="CI220" t="s">
        <v>12280</v>
      </c>
      <c r="CJ220" t="s">
        <v>181</v>
      </c>
    </row>
    <row r="221" spans="83:88" ht="13.2">
      <c r="CE221" t="s">
        <v>12657</v>
      </c>
      <c r="CF221" t="s">
        <v>12658</v>
      </c>
      <c r="CG221" t="s">
        <v>12658</v>
      </c>
      <c r="CH221" t="s">
        <v>12591</v>
      </c>
      <c r="CI221" t="s">
        <v>12283</v>
      </c>
      <c r="CJ221" t="s">
        <v>120</v>
      </c>
    </row>
    <row r="222" spans="83:89" ht="13.2">
      <c r="CE222" t="s">
        <v>12659</v>
      </c>
      <c r="CF222" t="s">
        <v>12660</v>
      </c>
      <c r="CG222" t="s">
        <v>12660</v>
      </c>
      <c r="CH222" t="s">
        <v>12591</v>
      </c>
      <c r="CI222" t="s">
        <v>12286</v>
      </c>
      <c r="CJ222" t="s">
        <v>12287</v>
      </c>
      <c r="CK222" s="38">
        <v>0</v>
      </c>
    </row>
    <row r="223" spans="83:88" ht="13.2">
      <c r="CE223" t="s">
        <v>12661</v>
      </c>
      <c r="CF223" t="s">
        <v>12662</v>
      </c>
      <c r="CG223" t="s">
        <v>12662</v>
      </c>
      <c r="CH223" t="s">
        <v>12591</v>
      </c>
      <c r="CI223" t="s">
        <v>12290</v>
      </c>
      <c r="CJ223" t="s">
        <v>12154</v>
      </c>
    </row>
    <row r="224" spans="83:89" ht="13.2">
      <c r="CE224" t="s">
        <v>12663</v>
      </c>
      <c r="CF224" t="s">
        <v>12664</v>
      </c>
      <c r="CG224" t="s">
        <v>12664</v>
      </c>
      <c r="CH224" t="s">
        <v>12591</v>
      </c>
      <c r="CI224" t="s">
        <v>12293</v>
      </c>
      <c r="CJ224" t="s">
        <v>12294</v>
      </c>
      <c r="CK224" s="38">
        <v>0</v>
      </c>
    </row>
    <row r="225" spans="83:88" ht="13.2">
      <c r="CE225" t="s">
        <v>12667</v>
      </c>
      <c r="CF225" t="s">
        <v>12668</v>
      </c>
      <c r="CG225" t="s">
        <v>12668</v>
      </c>
      <c r="CH225" t="s">
        <v>12665</v>
      </c>
      <c r="CI225" t="s">
        <v>12164</v>
      </c>
      <c r="CJ225" t="s">
        <v>12666</v>
      </c>
    </row>
    <row r="226" spans="83:88" ht="13.2">
      <c r="CE226" t="s">
        <v>12669</v>
      </c>
      <c r="CF226" t="s">
        <v>12670</v>
      </c>
      <c r="CG226" t="s">
        <v>12670</v>
      </c>
      <c r="CH226" t="s">
        <v>12665</v>
      </c>
      <c r="CI226" t="s">
        <v>12167</v>
      </c>
      <c r="CJ226" t="s">
        <v>725</v>
      </c>
    </row>
    <row r="227" spans="83:88" ht="13.2">
      <c r="CE227" t="s">
        <v>12671</v>
      </c>
      <c r="CF227" t="s">
        <v>12672</v>
      </c>
      <c r="CG227" t="s">
        <v>12672</v>
      </c>
      <c r="CH227" t="s">
        <v>12665</v>
      </c>
      <c r="CI227" t="s">
        <v>12170</v>
      </c>
      <c r="CJ227" t="s">
        <v>12673</v>
      </c>
    </row>
    <row r="228" spans="83:88" ht="13.2">
      <c r="CE228" t="s">
        <v>12674</v>
      </c>
      <c r="CF228" t="s">
        <v>12675</v>
      </c>
      <c r="CG228" t="s">
        <v>12675</v>
      </c>
      <c r="CH228" t="s">
        <v>12665</v>
      </c>
      <c r="CI228" t="s">
        <v>12174</v>
      </c>
      <c r="CJ228" t="s">
        <v>12602</v>
      </c>
    </row>
    <row r="229" spans="83:88" ht="13.2">
      <c r="CE229" t="s">
        <v>12676</v>
      </c>
      <c r="CF229" t="s">
        <v>12677</v>
      </c>
      <c r="CG229" t="s">
        <v>12677</v>
      </c>
      <c r="CH229" t="s">
        <v>12665</v>
      </c>
      <c r="CI229" t="s">
        <v>12178</v>
      </c>
      <c r="CJ229" t="s">
        <v>158</v>
      </c>
    </row>
    <row r="230" spans="83:88" ht="13.2">
      <c r="CE230" t="s">
        <v>12678</v>
      </c>
      <c r="CF230" t="s">
        <v>12679</v>
      </c>
      <c r="CG230" t="s">
        <v>12679</v>
      </c>
      <c r="CH230" t="s">
        <v>12665</v>
      </c>
      <c r="CI230" t="s">
        <v>12181</v>
      </c>
      <c r="CJ230" t="s">
        <v>158</v>
      </c>
    </row>
    <row r="231" spans="83:88" ht="13.2">
      <c r="CE231" t="s">
        <v>12680</v>
      </c>
      <c r="CF231" t="s">
        <v>12681</v>
      </c>
      <c r="CG231" t="s">
        <v>12681</v>
      </c>
      <c r="CH231" t="s">
        <v>12665</v>
      </c>
      <c r="CI231" t="s">
        <v>12184</v>
      </c>
      <c r="CJ231" t="s">
        <v>119</v>
      </c>
    </row>
    <row r="232" spans="83:88" ht="13.2">
      <c r="CE232" t="s">
        <v>12682</v>
      </c>
      <c r="CF232" t="s">
        <v>12683</v>
      </c>
      <c r="CG232" t="s">
        <v>12683</v>
      </c>
      <c r="CH232" t="s">
        <v>12665</v>
      </c>
      <c r="CI232" t="s">
        <v>12187</v>
      </c>
      <c r="CJ232" t="s">
        <v>7832</v>
      </c>
    </row>
    <row r="233" spans="83:88" ht="13.2">
      <c r="CE233" t="s">
        <v>12684</v>
      </c>
      <c r="CF233" t="s">
        <v>12685</v>
      </c>
      <c r="CG233" t="s">
        <v>12685</v>
      </c>
      <c r="CH233" t="s">
        <v>12665</v>
      </c>
      <c r="CI233" t="s">
        <v>12191</v>
      </c>
      <c r="CJ233" t="s">
        <v>12317</v>
      </c>
    </row>
    <row r="234" spans="83:88" ht="13.2">
      <c r="CE234" t="s">
        <v>12686</v>
      </c>
      <c r="CF234" t="s">
        <v>12687</v>
      </c>
      <c r="CG234" t="s">
        <v>12687</v>
      </c>
      <c r="CH234" t="s">
        <v>12665</v>
      </c>
      <c r="CI234" t="s">
        <v>12195</v>
      </c>
      <c r="CJ234" t="s">
        <v>181</v>
      </c>
    </row>
    <row r="235" spans="83:88" ht="13.2">
      <c r="CE235" t="s">
        <v>12688</v>
      </c>
      <c r="CF235" t="s">
        <v>12689</v>
      </c>
      <c r="CG235" t="s">
        <v>12689</v>
      </c>
      <c r="CH235" t="s">
        <v>12665</v>
      </c>
      <c r="CI235" t="s">
        <v>12198</v>
      </c>
      <c r="CJ235" t="s">
        <v>5678</v>
      </c>
    </row>
    <row r="236" spans="83:88" ht="13.2">
      <c r="CE236" t="s">
        <v>12690</v>
      </c>
      <c r="CF236" t="s">
        <v>12691</v>
      </c>
      <c r="CG236" t="s">
        <v>12691</v>
      </c>
      <c r="CH236" t="s">
        <v>12665</v>
      </c>
      <c r="CI236" t="s">
        <v>12201</v>
      </c>
      <c r="CJ236" t="s">
        <v>8164</v>
      </c>
    </row>
    <row r="237" spans="83:89" ht="13.2">
      <c r="CE237" t="s">
        <v>12692</v>
      </c>
      <c r="CF237" t="s">
        <v>12693</v>
      </c>
      <c r="CG237" t="s">
        <v>12693</v>
      </c>
      <c r="CH237" t="s">
        <v>12665</v>
      </c>
      <c r="CI237" t="s">
        <v>12204</v>
      </c>
      <c r="CJ237" t="s">
        <v>420</v>
      </c>
      <c r="CK237" s="38">
        <v>0</v>
      </c>
    </row>
    <row r="238" spans="83:88" ht="13.2">
      <c r="CE238" t="s">
        <v>12694</v>
      </c>
      <c r="CF238" t="s">
        <v>12695</v>
      </c>
      <c r="CG238" t="s">
        <v>12695</v>
      </c>
      <c r="CH238" t="s">
        <v>12665</v>
      </c>
      <c r="CI238" t="s">
        <v>12207</v>
      </c>
      <c r="CJ238" t="s">
        <v>12208</v>
      </c>
    </row>
    <row r="239" spans="83:88" ht="13.2">
      <c r="CE239" t="s">
        <v>12696</v>
      </c>
      <c r="CF239" t="s">
        <v>12697</v>
      </c>
      <c r="CG239" t="s">
        <v>12697</v>
      </c>
      <c r="CH239" t="s">
        <v>12665</v>
      </c>
      <c r="CI239" t="s">
        <v>12211</v>
      </c>
      <c r="CJ239" t="s">
        <v>421</v>
      </c>
    </row>
    <row r="240" spans="83:88" ht="13.2">
      <c r="CE240" t="s">
        <v>12698</v>
      </c>
      <c r="CF240" t="s">
        <v>12699</v>
      </c>
      <c r="CG240" t="s">
        <v>12699</v>
      </c>
      <c r="CH240" t="s">
        <v>12665</v>
      </c>
      <c r="CI240" t="s">
        <v>12214</v>
      </c>
      <c r="CJ240" t="s">
        <v>12215</v>
      </c>
    </row>
    <row r="241" spans="83:88" ht="13.2">
      <c r="CE241" t="s">
        <v>12700</v>
      </c>
      <c r="CF241" t="s">
        <v>12701</v>
      </c>
      <c r="CG241" t="s">
        <v>12701</v>
      </c>
      <c r="CH241" t="s">
        <v>12665</v>
      </c>
      <c r="CI241" t="s">
        <v>12218</v>
      </c>
      <c r="CJ241" t="s">
        <v>391</v>
      </c>
    </row>
    <row r="242" spans="83:89" ht="13.2">
      <c r="CE242" t="s">
        <v>12702</v>
      </c>
      <c r="CF242" t="s">
        <v>12703</v>
      </c>
      <c r="CG242" t="s">
        <v>12703</v>
      </c>
      <c r="CH242" t="s">
        <v>12665</v>
      </c>
      <c r="CI242" t="s">
        <v>12221</v>
      </c>
      <c r="CJ242" t="s">
        <v>488</v>
      </c>
      <c r="CK242" s="38">
        <v>0</v>
      </c>
    </row>
    <row r="243" spans="83:88" ht="13.2">
      <c r="CE243" t="s">
        <v>12704</v>
      </c>
      <c r="CF243" t="s">
        <v>12705</v>
      </c>
      <c r="CG243" t="s">
        <v>12705</v>
      </c>
      <c r="CH243" t="s">
        <v>12665</v>
      </c>
      <c r="CI243" t="s">
        <v>12224</v>
      </c>
      <c r="CJ243" t="s">
        <v>191</v>
      </c>
    </row>
    <row r="244" spans="83:88" ht="13.2">
      <c r="CE244" t="s">
        <v>12706</v>
      </c>
      <c r="CF244" t="s">
        <v>12707</v>
      </c>
      <c r="CG244" t="s">
        <v>12707</v>
      </c>
      <c r="CH244" t="s">
        <v>12665</v>
      </c>
      <c r="CI244" t="s">
        <v>12227</v>
      </c>
      <c r="CJ244" t="s">
        <v>12228</v>
      </c>
    </row>
    <row r="245" spans="83:88" ht="13.2">
      <c r="CE245" t="s">
        <v>12708</v>
      </c>
      <c r="CF245" t="s">
        <v>12709</v>
      </c>
      <c r="CG245" t="s">
        <v>12709</v>
      </c>
      <c r="CH245" t="s">
        <v>12665</v>
      </c>
      <c r="CI245" t="s">
        <v>12231</v>
      </c>
      <c r="CJ245" t="s">
        <v>142</v>
      </c>
    </row>
    <row r="246" spans="83:88" ht="13.2">
      <c r="CE246" t="s">
        <v>12710</v>
      </c>
      <c r="CF246" t="s">
        <v>12711</v>
      </c>
      <c r="CG246" t="s">
        <v>12711</v>
      </c>
      <c r="CH246" t="s">
        <v>12665</v>
      </c>
      <c r="CI246" t="s">
        <v>12234</v>
      </c>
      <c r="CJ246" t="s">
        <v>159</v>
      </c>
    </row>
    <row r="247" spans="83:89" ht="13.2">
      <c r="CE247" t="s">
        <v>12712</v>
      </c>
      <c r="CF247" t="s">
        <v>12713</v>
      </c>
      <c r="CG247" t="s">
        <v>12713</v>
      </c>
      <c r="CH247" t="s">
        <v>12665</v>
      </c>
      <c r="CI247" t="s">
        <v>12237</v>
      </c>
      <c r="CJ247" t="s">
        <v>5686</v>
      </c>
      <c r="CK247" s="38">
        <v>0</v>
      </c>
    </row>
    <row r="248" spans="83:88" ht="13.2">
      <c r="CE248" t="s">
        <v>12714</v>
      </c>
      <c r="CF248" t="s">
        <v>12715</v>
      </c>
      <c r="CG248" t="s">
        <v>12715</v>
      </c>
      <c r="CH248" t="s">
        <v>12665</v>
      </c>
      <c r="CI248" t="s">
        <v>12240</v>
      </c>
      <c r="CJ248" t="s">
        <v>160</v>
      </c>
    </row>
    <row r="249" spans="83:88" ht="13.2">
      <c r="CE249" t="s">
        <v>12716</v>
      </c>
      <c r="CF249" t="s">
        <v>12717</v>
      </c>
      <c r="CG249" t="s">
        <v>12717</v>
      </c>
      <c r="CH249" t="s">
        <v>12665</v>
      </c>
      <c r="CI249" t="s">
        <v>12259</v>
      </c>
      <c r="CJ249" t="s">
        <v>120</v>
      </c>
    </row>
    <row r="250" spans="83:88" ht="13.2">
      <c r="CE250" t="s">
        <v>12718</v>
      </c>
      <c r="CF250" t="s">
        <v>12719</v>
      </c>
      <c r="CG250" t="s">
        <v>12719</v>
      </c>
      <c r="CH250" t="s">
        <v>12665</v>
      </c>
      <c r="CI250" t="s">
        <v>12262</v>
      </c>
      <c r="CJ250" t="s">
        <v>391</v>
      </c>
    </row>
    <row r="251" spans="83:88" ht="13.2">
      <c r="CE251" t="s">
        <v>12720</v>
      </c>
      <c r="CF251" t="s">
        <v>12721</v>
      </c>
      <c r="CG251" t="s">
        <v>12721</v>
      </c>
      <c r="CH251" t="s">
        <v>12665</v>
      </c>
      <c r="CI251" t="s">
        <v>12265</v>
      </c>
      <c r="CJ251" t="s">
        <v>391</v>
      </c>
    </row>
    <row r="252" spans="83:89" ht="13.2">
      <c r="CE252" t="s">
        <v>12722</v>
      </c>
      <c r="CF252" t="s">
        <v>12723</v>
      </c>
      <c r="CG252" t="s">
        <v>12723</v>
      </c>
      <c r="CH252" t="s">
        <v>12665</v>
      </c>
      <c r="CI252" t="s">
        <v>12268</v>
      </c>
      <c r="CJ252" t="s">
        <v>12269</v>
      </c>
      <c r="CK252" s="38">
        <v>0</v>
      </c>
    </row>
    <row r="253" spans="83:88" ht="13.2">
      <c r="CE253" t="s">
        <v>12724</v>
      </c>
      <c r="CF253" t="s">
        <v>12725</v>
      </c>
      <c r="CG253" t="s">
        <v>12725</v>
      </c>
      <c r="CH253" t="s">
        <v>12665</v>
      </c>
      <c r="CI253" t="s">
        <v>12272</v>
      </c>
      <c r="CJ253" t="s">
        <v>12358</v>
      </c>
    </row>
    <row r="254" spans="83:88" ht="13.2">
      <c r="CE254" t="s">
        <v>12726</v>
      </c>
      <c r="CF254" t="s">
        <v>12727</v>
      </c>
      <c r="CG254" t="s">
        <v>12727</v>
      </c>
      <c r="CH254" t="s">
        <v>12665</v>
      </c>
      <c r="CI254" t="s">
        <v>12276</v>
      </c>
      <c r="CJ254" t="s">
        <v>12277</v>
      </c>
    </row>
    <row r="255" spans="83:88" ht="13.2">
      <c r="CE255" t="s">
        <v>12728</v>
      </c>
      <c r="CF255" t="s">
        <v>12729</v>
      </c>
      <c r="CG255" t="s">
        <v>12729</v>
      </c>
      <c r="CH255" t="s">
        <v>12665</v>
      </c>
      <c r="CI255" t="s">
        <v>12280</v>
      </c>
      <c r="CJ255" t="s">
        <v>120</v>
      </c>
    </row>
    <row r="256" spans="83:88" ht="13.2">
      <c r="CE256" t="s">
        <v>12730</v>
      </c>
      <c r="CF256" t="s">
        <v>12731</v>
      </c>
      <c r="CG256" t="s">
        <v>12731</v>
      </c>
      <c r="CH256" t="s">
        <v>12665</v>
      </c>
      <c r="CI256" t="s">
        <v>12283</v>
      </c>
      <c r="CJ256" t="s">
        <v>120</v>
      </c>
    </row>
    <row r="257" spans="83:89" ht="13.2">
      <c r="CE257" t="s">
        <v>12732</v>
      </c>
      <c r="CF257" t="s">
        <v>12733</v>
      </c>
      <c r="CG257" t="s">
        <v>12733</v>
      </c>
      <c r="CH257" t="s">
        <v>12665</v>
      </c>
      <c r="CI257" t="s">
        <v>12286</v>
      </c>
      <c r="CJ257" t="s">
        <v>12287</v>
      </c>
      <c r="CK257" s="38">
        <v>0</v>
      </c>
    </row>
    <row r="258" spans="83:88" ht="13.2">
      <c r="CE258" t="s">
        <v>12734</v>
      </c>
      <c r="CF258" t="s">
        <v>12735</v>
      </c>
      <c r="CG258" t="s">
        <v>12735</v>
      </c>
      <c r="CH258" t="s">
        <v>12665</v>
      </c>
      <c r="CI258" t="s">
        <v>12290</v>
      </c>
      <c r="CJ258" t="s">
        <v>12154</v>
      </c>
    </row>
    <row r="259" spans="83:89" ht="13.2">
      <c r="CE259" t="s">
        <v>12736</v>
      </c>
      <c r="CF259" t="s">
        <v>12737</v>
      </c>
      <c r="CG259" t="s">
        <v>12737</v>
      </c>
      <c r="CH259" t="s">
        <v>12665</v>
      </c>
      <c r="CI259" t="s">
        <v>12293</v>
      </c>
      <c r="CJ259" t="s">
        <v>12294</v>
      </c>
      <c r="CK259" s="38">
        <v>0</v>
      </c>
    </row>
    <row r="260" spans="83:88" ht="13.2">
      <c r="CE260" t="s">
        <v>12740</v>
      </c>
      <c r="CF260" t="s">
        <v>12741</v>
      </c>
      <c r="CG260" t="s">
        <v>12741</v>
      </c>
      <c r="CH260" t="s">
        <v>12738</v>
      </c>
      <c r="CI260" t="s">
        <v>12164</v>
      </c>
      <c r="CJ260" t="s">
        <v>12739</v>
      </c>
    </row>
    <row r="261" spans="83:88" ht="13.2">
      <c r="CE261" t="s">
        <v>12742</v>
      </c>
      <c r="CF261" t="s">
        <v>12743</v>
      </c>
      <c r="CG261" t="s">
        <v>12743</v>
      </c>
      <c r="CH261" t="s">
        <v>12738</v>
      </c>
      <c r="CI261" t="s">
        <v>12167</v>
      </c>
      <c r="CJ261" t="s">
        <v>725</v>
      </c>
    </row>
    <row r="262" spans="83:88" ht="13.2">
      <c r="CE262" t="s">
        <v>12744</v>
      </c>
      <c r="CF262" t="s">
        <v>12745</v>
      </c>
      <c r="CG262" t="s">
        <v>12745</v>
      </c>
      <c r="CH262" t="s">
        <v>12738</v>
      </c>
      <c r="CI262" t="s">
        <v>12170</v>
      </c>
      <c r="CJ262" t="s">
        <v>12746</v>
      </c>
    </row>
    <row r="263" spans="83:88" ht="13.2">
      <c r="CE263" t="s">
        <v>12747</v>
      </c>
      <c r="CF263" t="s">
        <v>12748</v>
      </c>
      <c r="CG263" t="s">
        <v>12748</v>
      </c>
      <c r="CH263" t="s">
        <v>12738</v>
      </c>
      <c r="CI263" t="s">
        <v>12174</v>
      </c>
      <c r="CJ263" t="s">
        <v>12749</v>
      </c>
    </row>
    <row r="264" spans="83:88" ht="13.2">
      <c r="CE264" t="s">
        <v>12750</v>
      </c>
      <c r="CF264" t="s">
        <v>12751</v>
      </c>
      <c r="CG264" t="s">
        <v>12751</v>
      </c>
      <c r="CH264" t="s">
        <v>12738</v>
      </c>
      <c r="CI264" t="s">
        <v>12178</v>
      </c>
      <c r="CJ264" t="s">
        <v>158</v>
      </c>
    </row>
    <row r="265" spans="83:88" ht="13.2">
      <c r="CE265" t="s">
        <v>12752</v>
      </c>
      <c r="CF265" t="s">
        <v>12753</v>
      </c>
      <c r="CG265" t="s">
        <v>12753</v>
      </c>
      <c r="CH265" t="s">
        <v>12738</v>
      </c>
      <c r="CI265" t="s">
        <v>12181</v>
      </c>
      <c r="CJ265" t="s">
        <v>158</v>
      </c>
    </row>
    <row r="266" spans="83:88" ht="13.2">
      <c r="CE266" t="s">
        <v>12754</v>
      </c>
      <c r="CF266" t="s">
        <v>12755</v>
      </c>
      <c r="CG266" t="s">
        <v>12755</v>
      </c>
      <c r="CH266" t="s">
        <v>12738</v>
      </c>
      <c r="CI266" t="s">
        <v>12184</v>
      </c>
      <c r="CJ266" t="s">
        <v>119</v>
      </c>
    </row>
    <row r="267" spans="83:88" ht="13.2">
      <c r="CE267" t="s">
        <v>12756</v>
      </c>
      <c r="CF267" t="s">
        <v>12757</v>
      </c>
      <c r="CG267" t="s">
        <v>12757</v>
      </c>
      <c r="CH267" t="s">
        <v>12738</v>
      </c>
      <c r="CI267" t="s">
        <v>12187</v>
      </c>
      <c r="CJ267" t="s">
        <v>7832</v>
      </c>
    </row>
    <row r="268" spans="83:88" ht="13.2">
      <c r="CE268" t="s">
        <v>12758</v>
      </c>
      <c r="CF268" t="s">
        <v>12759</v>
      </c>
      <c r="CG268" t="s">
        <v>12759</v>
      </c>
      <c r="CH268" t="s">
        <v>12738</v>
      </c>
      <c r="CI268" t="s">
        <v>12191</v>
      </c>
      <c r="CJ268" t="s">
        <v>12317</v>
      </c>
    </row>
    <row r="269" spans="83:88" ht="13.2">
      <c r="CE269" t="s">
        <v>12760</v>
      </c>
      <c r="CF269" t="s">
        <v>12761</v>
      </c>
      <c r="CG269" t="s">
        <v>12761</v>
      </c>
      <c r="CH269" t="s">
        <v>12738</v>
      </c>
      <c r="CI269" t="s">
        <v>12195</v>
      </c>
      <c r="CJ269" t="s">
        <v>181</v>
      </c>
    </row>
    <row r="270" spans="83:88" ht="13.2">
      <c r="CE270" t="s">
        <v>12762</v>
      </c>
      <c r="CF270" t="s">
        <v>12763</v>
      </c>
      <c r="CG270" t="s">
        <v>12763</v>
      </c>
      <c r="CH270" t="s">
        <v>12738</v>
      </c>
      <c r="CI270" t="s">
        <v>12198</v>
      </c>
      <c r="CJ270" t="s">
        <v>5674</v>
      </c>
    </row>
    <row r="271" spans="83:88" ht="13.2">
      <c r="CE271" t="s">
        <v>12764</v>
      </c>
      <c r="CF271" t="s">
        <v>12765</v>
      </c>
      <c r="CG271" t="s">
        <v>12765</v>
      </c>
      <c r="CH271" t="s">
        <v>12738</v>
      </c>
      <c r="CI271" t="s">
        <v>12201</v>
      </c>
      <c r="CJ271" t="s">
        <v>8164</v>
      </c>
    </row>
    <row r="272" spans="83:89" ht="13.2">
      <c r="CE272" t="s">
        <v>12766</v>
      </c>
      <c r="CF272" t="s">
        <v>12767</v>
      </c>
      <c r="CG272" t="s">
        <v>12767</v>
      </c>
      <c r="CH272" t="s">
        <v>12738</v>
      </c>
      <c r="CI272" t="s">
        <v>12204</v>
      </c>
      <c r="CJ272" t="s">
        <v>420</v>
      </c>
      <c r="CK272" s="38">
        <v>0</v>
      </c>
    </row>
    <row r="273" spans="83:88" ht="13.2">
      <c r="CE273" t="s">
        <v>12768</v>
      </c>
      <c r="CF273" t="s">
        <v>12769</v>
      </c>
      <c r="CG273" t="s">
        <v>12769</v>
      </c>
      <c r="CH273" t="s">
        <v>12738</v>
      </c>
      <c r="CI273" t="s">
        <v>12207</v>
      </c>
      <c r="CJ273" t="s">
        <v>12208</v>
      </c>
    </row>
    <row r="274" spans="83:88" ht="13.2">
      <c r="CE274" t="s">
        <v>12770</v>
      </c>
      <c r="CF274" t="s">
        <v>12771</v>
      </c>
      <c r="CG274" t="s">
        <v>12771</v>
      </c>
      <c r="CH274" t="s">
        <v>12738</v>
      </c>
      <c r="CI274" t="s">
        <v>12211</v>
      </c>
      <c r="CJ274" t="s">
        <v>421</v>
      </c>
    </row>
    <row r="275" spans="83:88" ht="13.2">
      <c r="CE275" t="s">
        <v>12772</v>
      </c>
      <c r="CF275" t="s">
        <v>12773</v>
      </c>
      <c r="CG275" t="s">
        <v>12773</v>
      </c>
      <c r="CH275" t="s">
        <v>12738</v>
      </c>
      <c r="CI275" t="s">
        <v>12214</v>
      </c>
      <c r="CJ275" t="s">
        <v>12215</v>
      </c>
    </row>
    <row r="276" spans="83:88" ht="13.2">
      <c r="CE276" t="s">
        <v>12774</v>
      </c>
      <c r="CF276" t="s">
        <v>12775</v>
      </c>
      <c r="CG276" t="s">
        <v>12775</v>
      </c>
      <c r="CH276" t="s">
        <v>12738</v>
      </c>
      <c r="CI276" t="s">
        <v>12218</v>
      </c>
      <c r="CJ276" t="s">
        <v>391</v>
      </c>
    </row>
    <row r="277" spans="83:89" ht="13.2">
      <c r="CE277" t="s">
        <v>12776</v>
      </c>
      <c r="CF277" t="s">
        <v>12777</v>
      </c>
      <c r="CG277" t="s">
        <v>12777</v>
      </c>
      <c r="CH277" t="s">
        <v>12738</v>
      </c>
      <c r="CI277" t="s">
        <v>12221</v>
      </c>
      <c r="CJ277" t="s">
        <v>488</v>
      </c>
      <c r="CK277" s="38">
        <v>0</v>
      </c>
    </row>
    <row r="278" spans="83:88" ht="13.2">
      <c r="CE278" t="s">
        <v>12778</v>
      </c>
      <c r="CF278" t="s">
        <v>12779</v>
      </c>
      <c r="CG278" t="s">
        <v>12779</v>
      </c>
      <c r="CH278" t="s">
        <v>12738</v>
      </c>
      <c r="CI278" t="s">
        <v>12224</v>
      </c>
      <c r="CJ278" t="s">
        <v>191</v>
      </c>
    </row>
    <row r="279" spans="83:88" ht="13.2">
      <c r="CE279" t="s">
        <v>12780</v>
      </c>
      <c r="CF279" t="s">
        <v>12781</v>
      </c>
      <c r="CG279" t="s">
        <v>12781</v>
      </c>
      <c r="CH279" t="s">
        <v>12738</v>
      </c>
      <c r="CI279" t="s">
        <v>12227</v>
      </c>
      <c r="CJ279" t="s">
        <v>12228</v>
      </c>
    </row>
    <row r="280" spans="83:88" ht="13.2">
      <c r="CE280" t="s">
        <v>12782</v>
      </c>
      <c r="CF280" t="s">
        <v>12783</v>
      </c>
      <c r="CG280" t="s">
        <v>12783</v>
      </c>
      <c r="CH280" t="s">
        <v>12738</v>
      </c>
      <c r="CI280" t="s">
        <v>12231</v>
      </c>
      <c r="CJ280" t="s">
        <v>138</v>
      </c>
    </row>
    <row r="281" spans="83:88" ht="13.2">
      <c r="CE281" t="s">
        <v>12784</v>
      </c>
      <c r="CF281" t="s">
        <v>12785</v>
      </c>
      <c r="CG281" t="s">
        <v>12785</v>
      </c>
      <c r="CH281" t="s">
        <v>12738</v>
      </c>
      <c r="CI281" t="s">
        <v>12234</v>
      </c>
      <c r="CJ281" t="s">
        <v>159</v>
      </c>
    </row>
    <row r="282" spans="83:89" ht="13.2">
      <c r="CE282" t="s">
        <v>12786</v>
      </c>
      <c r="CF282" t="s">
        <v>12787</v>
      </c>
      <c r="CG282" t="s">
        <v>12787</v>
      </c>
      <c r="CH282" t="s">
        <v>12738</v>
      </c>
      <c r="CI282" t="s">
        <v>12237</v>
      </c>
      <c r="CJ282" t="s">
        <v>5686</v>
      </c>
      <c r="CK282" s="38">
        <v>0</v>
      </c>
    </row>
    <row r="283" spans="83:88" ht="13.2">
      <c r="CE283" t="s">
        <v>12788</v>
      </c>
      <c r="CF283" t="s">
        <v>12789</v>
      </c>
      <c r="CG283" t="s">
        <v>12789</v>
      </c>
      <c r="CH283" t="s">
        <v>12738</v>
      </c>
      <c r="CI283" t="s">
        <v>12240</v>
      </c>
      <c r="CJ283" t="s">
        <v>160</v>
      </c>
    </row>
    <row r="284" spans="83:88" ht="13.2">
      <c r="CE284" t="s">
        <v>12790</v>
      </c>
      <c r="CF284" t="s">
        <v>12791</v>
      </c>
      <c r="CG284" t="s">
        <v>12791</v>
      </c>
      <c r="CH284" t="s">
        <v>12738</v>
      </c>
      <c r="CI284" t="s">
        <v>12259</v>
      </c>
      <c r="CJ284" t="s">
        <v>120</v>
      </c>
    </row>
    <row r="285" spans="83:88" ht="13.2">
      <c r="CE285" t="s">
        <v>12792</v>
      </c>
      <c r="CF285" t="s">
        <v>12793</v>
      </c>
      <c r="CG285" t="s">
        <v>12793</v>
      </c>
      <c r="CH285" t="s">
        <v>12738</v>
      </c>
      <c r="CI285" t="s">
        <v>12262</v>
      </c>
      <c r="CJ285" t="s">
        <v>391</v>
      </c>
    </row>
    <row r="286" spans="83:88" ht="13.2">
      <c r="CE286" t="s">
        <v>12794</v>
      </c>
      <c r="CF286" t="s">
        <v>12795</v>
      </c>
      <c r="CG286" t="s">
        <v>12795</v>
      </c>
      <c r="CH286" t="s">
        <v>12738</v>
      </c>
      <c r="CI286" t="s">
        <v>12265</v>
      </c>
      <c r="CJ286" t="s">
        <v>391</v>
      </c>
    </row>
    <row r="287" spans="83:89" ht="13.2">
      <c r="CE287" t="s">
        <v>12796</v>
      </c>
      <c r="CF287" t="s">
        <v>12797</v>
      </c>
      <c r="CG287" t="s">
        <v>12797</v>
      </c>
      <c r="CH287" t="s">
        <v>12738</v>
      </c>
      <c r="CI287" t="s">
        <v>12268</v>
      </c>
      <c r="CJ287" t="s">
        <v>12269</v>
      </c>
      <c r="CK287" s="38">
        <v>0</v>
      </c>
    </row>
    <row r="288" spans="83:88" ht="13.2">
      <c r="CE288" t="s">
        <v>12798</v>
      </c>
      <c r="CF288" t="s">
        <v>12799</v>
      </c>
      <c r="CG288" t="s">
        <v>12799</v>
      </c>
      <c r="CH288" t="s">
        <v>12738</v>
      </c>
      <c r="CI288" t="s">
        <v>12272</v>
      </c>
      <c r="CJ288" t="s">
        <v>12358</v>
      </c>
    </row>
    <row r="289" spans="83:88" ht="13.2">
      <c r="CE289" t="s">
        <v>12800</v>
      </c>
      <c r="CF289" t="s">
        <v>12801</v>
      </c>
      <c r="CG289" t="s">
        <v>12801</v>
      </c>
      <c r="CH289" t="s">
        <v>12738</v>
      </c>
      <c r="CI289" t="s">
        <v>12276</v>
      </c>
      <c r="CJ289" t="s">
        <v>12277</v>
      </c>
    </row>
    <row r="290" spans="83:88" ht="13.2">
      <c r="CE290" t="s">
        <v>12802</v>
      </c>
      <c r="CF290" t="s">
        <v>12803</v>
      </c>
      <c r="CG290" t="s">
        <v>12803</v>
      </c>
      <c r="CH290" t="s">
        <v>12738</v>
      </c>
      <c r="CI290" t="s">
        <v>12280</v>
      </c>
      <c r="CJ290" t="s">
        <v>120</v>
      </c>
    </row>
    <row r="291" spans="83:88" ht="13.2">
      <c r="CE291" t="s">
        <v>12804</v>
      </c>
      <c r="CF291" t="s">
        <v>12805</v>
      </c>
      <c r="CG291" t="s">
        <v>12805</v>
      </c>
      <c r="CH291" t="s">
        <v>12738</v>
      </c>
      <c r="CI291" t="s">
        <v>12283</v>
      </c>
      <c r="CJ291" t="s">
        <v>120</v>
      </c>
    </row>
    <row r="292" spans="83:89" ht="13.2">
      <c r="CE292" t="s">
        <v>12806</v>
      </c>
      <c r="CF292" t="s">
        <v>12807</v>
      </c>
      <c r="CG292" t="s">
        <v>12807</v>
      </c>
      <c r="CH292" t="s">
        <v>12738</v>
      </c>
      <c r="CI292" t="s">
        <v>12286</v>
      </c>
      <c r="CJ292" t="s">
        <v>12287</v>
      </c>
      <c r="CK292" s="38">
        <v>0</v>
      </c>
    </row>
    <row r="293" spans="83:89" ht="13.2">
      <c r="CE293" t="s">
        <v>12808</v>
      </c>
      <c r="CF293" t="s">
        <v>12809</v>
      </c>
      <c r="CG293" t="s">
        <v>12809</v>
      </c>
      <c r="CH293" t="s">
        <v>12738</v>
      </c>
      <c r="CI293" t="s">
        <v>12293</v>
      </c>
      <c r="CJ293" t="s">
        <v>12294</v>
      </c>
      <c r="CK293" s="38">
        <v>0</v>
      </c>
    </row>
    <row r="294" spans="83:88" ht="13.2">
      <c r="CE294" t="s">
        <v>12812</v>
      </c>
      <c r="CF294" t="s">
        <v>12813</v>
      </c>
      <c r="CG294" t="s">
        <v>12813</v>
      </c>
      <c r="CH294" t="s">
        <v>12810</v>
      </c>
      <c r="CI294" t="s">
        <v>12164</v>
      </c>
      <c r="CJ294" t="s">
        <v>12811</v>
      </c>
    </row>
    <row r="295" spans="83:88" ht="13.2">
      <c r="CE295" t="s">
        <v>12814</v>
      </c>
      <c r="CF295" t="s">
        <v>12815</v>
      </c>
      <c r="CG295" t="s">
        <v>12815</v>
      </c>
      <c r="CH295" t="s">
        <v>12810</v>
      </c>
      <c r="CI295" t="s">
        <v>12167</v>
      </c>
      <c r="CJ295" t="s">
        <v>725</v>
      </c>
    </row>
    <row r="296" spans="83:88" ht="13.2">
      <c r="CE296" t="s">
        <v>12816</v>
      </c>
      <c r="CF296" t="s">
        <v>12817</v>
      </c>
      <c r="CG296" t="s">
        <v>12817</v>
      </c>
      <c r="CH296" t="s">
        <v>12810</v>
      </c>
      <c r="CI296" t="s">
        <v>12170</v>
      </c>
      <c r="CJ296" t="s">
        <v>12818</v>
      </c>
    </row>
    <row r="297" spans="83:88" ht="13.2">
      <c r="CE297" t="s">
        <v>12819</v>
      </c>
      <c r="CF297" t="s">
        <v>12820</v>
      </c>
      <c r="CG297" t="s">
        <v>12820</v>
      </c>
      <c r="CH297" t="s">
        <v>12810</v>
      </c>
      <c r="CI297" t="s">
        <v>12174</v>
      </c>
      <c r="CJ297" t="s">
        <v>12821</v>
      </c>
    </row>
    <row r="298" spans="83:88" ht="13.2">
      <c r="CE298" t="s">
        <v>12822</v>
      </c>
      <c r="CF298" t="s">
        <v>12823</v>
      </c>
      <c r="CG298" t="s">
        <v>12823</v>
      </c>
      <c r="CH298" t="s">
        <v>12810</v>
      </c>
      <c r="CI298" t="s">
        <v>12178</v>
      </c>
      <c r="CJ298" t="s">
        <v>158</v>
      </c>
    </row>
    <row r="299" spans="83:88" ht="13.2">
      <c r="CE299" t="s">
        <v>12824</v>
      </c>
      <c r="CF299" t="s">
        <v>12825</v>
      </c>
      <c r="CG299" t="s">
        <v>12825</v>
      </c>
      <c r="CH299" t="s">
        <v>12810</v>
      </c>
      <c r="CI299" t="s">
        <v>12181</v>
      </c>
      <c r="CJ299" t="s">
        <v>158</v>
      </c>
    </row>
    <row r="300" spans="83:88" ht="13.2">
      <c r="CE300" t="s">
        <v>12826</v>
      </c>
      <c r="CF300" t="s">
        <v>12827</v>
      </c>
      <c r="CG300" t="s">
        <v>12827</v>
      </c>
      <c r="CH300" t="s">
        <v>12810</v>
      </c>
      <c r="CI300" t="s">
        <v>12184</v>
      </c>
      <c r="CJ300" t="s">
        <v>119</v>
      </c>
    </row>
    <row r="301" spans="83:89" ht="13.2">
      <c r="CE301" t="s">
        <v>12828</v>
      </c>
      <c r="CF301" t="s">
        <v>12829</v>
      </c>
      <c r="CG301" t="s">
        <v>12829</v>
      </c>
      <c r="CH301" t="s">
        <v>12810</v>
      </c>
      <c r="CI301" t="s">
        <v>12187</v>
      </c>
      <c r="CJ301" t="s">
        <v>12188</v>
      </c>
      <c r="CK301" s="38">
        <v>0</v>
      </c>
    </row>
    <row r="302" spans="83:88" ht="13.2">
      <c r="CE302" t="s">
        <v>12830</v>
      </c>
      <c r="CF302" t="s">
        <v>12831</v>
      </c>
      <c r="CG302" t="s">
        <v>12831</v>
      </c>
      <c r="CH302" t="s">
        <v>12810</v>
      </c>
      <c r="CI302" t="s">
        <v>12191</v>
      </c>
      <c r="CJ302" t="s">
        <v>12192</v>
      </c>
    </row>
    <row r="303" spans="83:88" ht="13.2">
      <c r="CE303" t="s">
        <v>12832</v>
      </c>
      <c r="CF303" t="s">
        <v>12833</v>
      </c>
      <c r="CG303" t="s">
        <v>12833</v>
      </c>
      <c r="CH303" t="s">
        <v>12810</v>
      </c>
      <c r="CI303" t="s">
        <v>12195</v>
      </c>
      <c r="CJ303" t="s">
        <v>181</v>
      </c>
    </row>
    <row r="304" spans="83:88" ht="13.2">
      <c r="CE304" t="s">
        <v>12834</v>
      </c>
      <c r="CF304" t="s">
        <v>12835</v>
      </c>
      <c r="CG304" t="s">
        <v>12835</v>
      </c>
      <c r="CH304" t="s">
        <v>12810</v>
      </c>
      <c r="CI304" t="s">
        <v>12198</v>
      </c>
      <c r="CJ304" t="s">
        <v>5678</v>
      </c>
    </row>
    <row r="305" spans="83:88" ht="13.2">
      <c r="CE305" t="s">
        <v>12836</v>
      </c>
      <c r="CF305" t="s">
        <v>12837</v>
      </c>
      <c r="CG305" t="s">
        <v>12837</v>
      </c>
      <c r="CH305" t="s">
        <v>12810</v>
      </c>
      <c r="CI305" t="s">
        <v>12201</v>
      </c>
      <c r="CJ305" t="s">
        <v>8164</v>
      </c>
    </row>
    <row r="306" spans="83:89" ht="13.2">
      <c r="CE306" t="s">
        <v>12838</v>
      </c>
      <c r="CF306" t="s">
        <v>12839</v>
      </c>
      <c r="CG306" t="s">
        <v>12839</v>
      </c>
      <c r="CH306" t="s">
        <v>12810</v>
      </c>
      <c r="CI306" t="s">
        <v>12204</v>
      </c>
      <c r="CJ306" t="s">
        <v>420</v>
      </c>
      <c r="CK306" s="38">
        <v>0</v>
      </c>
    </row>
    <row r="307" spans="83:88" ht="13.2">
      <c r="CE307" t="s">
        <v>12840</v>
      </c>
      <c r="CF307" t="s">
        <v>12841</v>
      </c>
      <c r="CG307" t="s">
        <v>12841</v>
      </c>
      <c r="CH307" t="s">
        <v>12810</v>
      </c>
      <c r="CI307" t="s">
        <v>12207</v>
      </c>
      <c r="CJ307" t="s">
        <v>12208</v>
      </c>
    </row>
    <row r="308" spans="83:88" ht="13.2">
      <c r="CE308" t="s">
        <v>12842</v>
      </c>
      <c r="CF308" t="s">
        <v>12843</v>
      </c>
      <c r="CG308" t="s">
        <v>12843</v>
      </c>
      <c r="CH308" t="s">
        <v>12810</v>
      </c>
      <c r="CI308" t="s">
        <v>12211</v>
      </c>
      <c r="CJ308" t="s">
        <v>421</v>
      </c>
    </row>
    <row r="309" spans="83:88" ht="13.2">
      <c r="CE309" t="s">
        <v>12844</v>
      </c>
      <c r="CF309" t="s">
        <v>12845</v>
      </c>
      <c r="CG309" t="s">
        <v>12845</v>
      </c>
      <c r="CH309" t="s">
        <v>12810</v>
      </c>
      <c r="CI309" t="s">
        <v>12214</v>
      </c>
      <c r="CJ309" t="s">
        <v>12215</v>
      </c>
    </row>
    <row r="310" spans="83:88" ht="13.2">
      <c r="CE310" t="s">
        <v>12846</v>
      </c>
      <c r="CF310" t="s">
        <v>12847</v>
      </c>
      <c r="CG310" t="s">
        <v>12847</v>
      </c>
      <c r="CH310" t="s">
        <v>12810</v>
      </c>
      <c r="CI310" t="s">
        <v>12218</v>
      </c>
      <c r="CJ310" t="s">
        <v>391</v>
      </c>
    </row>
    <row r="311" spans="83:89" ht="13.2">
      <c r="CE311" t="s">
        <v>12848</v>
      </c>
      <c r="CF311" t="s">
        <v>12849</v>
      </c>
      <c r="CG311" t="s">
        <v>12849</v>
      </c>
      <c r="CH311" t="s">
        <v>12810</v>
      </c>
      <c r="CI311" t="s">
        <v>12221</v>
      </c>
      <c r="CJ311" t="s">
        <v>488</v>
      </c>
      <c r="CK311" s="38">
        <v>0</v>
      </c>
    </row>
    <row r="312" spans="83:88" ht="13.2">
      <c r="CE312" t="s">
        <v>12850</v>
      </c>
      <c r="CF312" t="s">
        <v>12851</v>
      </c>
      <c r="CG312" t="s">
        <v>12851</v>
      </c>
      <c r="CH312" t="s">
        <v>12810</v>
      </c>
      <c r="CI312" t="s">
        <v>12224</v>
      </c>
      <c r="CJ312" t="s">
        <v>191</v>
      </c>
    </row>
    <row r="313" spans="83:88" ht="13.2">
      <c r="CE313" t="s">
        <v>12852</v>
      </c>
      <c r="CF313" t="s">
        <v>12853</v>
      </c>
      <c r="CG313" t="s">
        <v>12853</v>
      </c>
      <c r="CH313" t="s">
        <v>12810</v>
      </c>
      <c r="CI313" t="s">
        <v>12227</v>
      </c>
      <c r="CJ313" t="s">
        <v>12228</v>
      </c>
    </row>
    <row r="314" spans="83:88" ht="13.2">
      <c r="CE314" t="s">
        <v>12854</v>
      </c>
      <c r="CF314" t="s">
        <v>12855</v>
      </c>
      <c r="CG314" t="s">
        <v>12855</v>
      </c>
      <c r="CH314" t="s">
        <v>12810</v>
      </c>
      <c r="CI314" t="s">
        <v>12231</v>
      </c>
      <c r="CJ314" t="s">
        <v>138</v>
      </c>
    </row>
    <row r="315" spans="83:88" ht="13.2">
      <c r="CE315" t="s">
        <v>12856</v>
      </c>
      <c r="CF315" t="s">
        <v>12857</v>
      </c>
      <c r="CG315" t="s">
        <v>12857</v>
      </c>
      <c r="CH315" t="s">
        <v>12810</v>
      </c>
      <c r="CI315" t="s">
        <v>12234</v>
      </c>
      <c r="CJ315" t="s">
        <v>159</v>
      </c>
    </row>
    <row r="316" spans="83:89" ht="13.2">
      <c r="CE316" t="s">
        <v>12858</v>
      </c>
      <c r="CF316" t="s">
        <v>12859</v>
      </c>
      <c r="CG316" t="s">
        <v>12859</v>
      </c>
      <c r="CH316" t="s">
        <v>12810</v>
      </c>
      <c r="CI316" t="s">
        <v>12237</v>
      </c>
      <c r="CJ316" t="s">
        <v>5686</v>
      </c>
      <c r="CK316" s="38">
        <v>0</v>
      </c>
    </row>
    <row r="317" spans="83:88" ht="13.2">
      <c r="CE317" t="s">
        <v>12860</v>
      </c>
      <c r="CF317" t="s">
        <v>12861</v>
      </c>
      <c r="CG317" t="s">
        <v>12861</v>
      </c>
      <c r="CH317" t="s">
        <v>12810</v>
      </c>
      <c r="CI317" t="s">
        <v>12240</v>
      </c>
      <c r="CJ317" t="s">
        <v>160</v>
      </c>
    </row>
    <row r="318" spans="83:88" ht="13.2">
      <c r="CE318" t="s">
        <v>12862</v>
      </c>
      <c r="CF318" t="s">
        <v>12863</v>
      </c>
      <c r="CG318" t="s">
        <v>12863</v>
      </c>
      <c r="CH318" t="s">
        <v>12810</v>
      </c>
      <c r="CI318" t="s">
        <v>12259</v>
      </c>
      <c r="CJ318" t="s">
        <v>251</v>
      </c>
    </row>
    <row r="319" spans="83:88" ht="13.2">
      <c r="CE319" t="s">
        <v>12864</v>
      </c>
      <c r="CF319" t="s">
        <v>12865</v>
      </c>
      <c r="CG319" t="s">
        <v>12865</v>
      </c>
      <c r="CH319" t="s">
        <v>12810</v>
      </c>
      <c r="CI319" t="s">
        <v>12262</v>
      </c>
      <c r="CJ319" t="s">
        <v>391</v>
      </c>
    </row>
    <row r="320" spans="83:88" ht="13.2">
      <c r="CE320" t="s">
        <v>12866</v>
      </c>
      <c r="CF320" t="s">
        <v>12867</v>
      </c>
      <c r="CG320" t="s">
        <v>12867</v>
      </c>
      <c r="CH320" t="s">
        <v>12810</v>
      </c>
      <c r="CI320" t="s">
        <v>12265</v>
      </c>
      <c r="CJ320" t="s">
        <v>391</v>
      </c>
    </row>
    <row r="321" spans="83:89" ht="13.2">
      <c r="CE321" t="s">
        <v>12868</v>
      </c>
      <c r="CF321" t="s">
        <v>12869</v>
      </c>
      <c r="CG321" t="s">
        <v>12869</v>
      </c>
      <c r="CH321" t="s">
        <v>12810</v>
      </c>
      <c r="CI321" t="s">
        <v>12268</v>
      </c>
      <c r="CJ321" t="s">
        <v>12269</v>
      </c>
      <c r="CK321" s="38">
        <v>0</v>
      </c>
    </row>
    <row r="322" spans="83:88" ht="13.2">
      <c r="CE322" t="s">
        <v>12870</v>
      </c>
      <c r="CF322" t="s">
        <v>12871</v>
      </c>
      <c r="CG322" t="s">
        <v>12871</v>
      </c>
      <c r="CH322" t="s">
        <v>12810</v>
      </c>
      <c r="CI322" t="s">
        <v>12272</v>
      </c>
      <c r="CJ322" t="s">
        <v>12358</v>
      </c>
    </row>
    <row r="323" spans="83:88" ht="13.2">
      <c r="CE323" t="s">
        <v>12872</v>
      </c>
      <c r="CF323" t="s">
        <v>12873</v>
      </c>
      <c r="CG323" t="s">
        <v>12873</v>
      </c>
      <c r="CH323" t="s">
        <v>12810</v>
      </c>
      <c r="CI323" t="s">
        <v>12276</v>
      </c>
      <c r="CJ323" t="s">
        <v>12277</v>
      </c>
    </row>
    <row r="324" spans="83:88" ht="13.2">
      <c r="CE324" t="s">
        <v>12874</v>
      </c>
      <c r="CF324" t="s">
        <v>12875</v>
      </c>
      <c r="CG324" t="s">
        <v>12875</v>
      </c>
      <c r="CH324" t="s">
        <v>12810</v>
      </c>
      <c r="CI324" t="s">
        <v>12280</v>
      </c>
      <c r="CJ324" t="s">
        <v>120</v>
      </c>
    </row>
    <row r="325" spans="83:88" ht="13.2">
      <c r="CE325" t="s">
        <v>12876</v>
      </c>
      <c r="CF325" t="s">
        <v>12877</v>
      </c>
      <c r="CG325" t="s">
        <v>12877</v>
      </c>
      <c r="CH325" t="s">
        <v>12810</v>
      </c>
      <c r="CI325" t="s">
        <v>12283</v>
      </c>
      <c r="CJ325" t="s">
        <v>120</v>
      </c>
    </row>
    <row r="326" spans="83:89" ht="13.2">
      <c r="CE326" t="s">
        <v>12878</v>
      </c>
      <c r="CF326" t="s">
        <v>12879</v>
      </c>
      <c r="CG326" t="s">
        <v>12879</v>
      </c>
      <c r="CH326" t="s">
        <v>12810</v>
      </c>
      <c r="CI326" t="s">
        <v>12286</v>
      </c>
      <c r="CJ326" t="s">
        <v>12287</v>
      </c>
      <c r="CK326" s="38">
        <v>0</v>
      </c>
    </row>
    <row r="327" spans="83:88" ht="13.2">
      <c r="CE327" t="s">
        <v>12880</v>
      </c>
      <c r="CF327" t="s">
        <v>12881</v>
      </c>
      <c r="CG327" t="s">
        <v>12881</v>
      </c>
      <c r="CH327" t="s">
        <v>12810</v>
      </c>
      <c r="CI327" t="s">
        <v>12290</v>
      </c>
      <c r="CJ327" t="s">
        <v>12154</v>
      </c>
    </row>
    <row r="328" spans="83:89" ht="13.2">
      <c r="CE328" t="s">
        <v>12882</v>
      </c>
      <c r="CF328" t="s">
        <v>12883</v>
      </c>
      <c r="CG328" t="s">
        <v>12883</v>
      </c>
      <c r="CH328" t="s">
        <v>12810</v>
      </c>
      <c r="CI328" t="s">
        <v>12293</v>
      </c>
      <c r="CJ328" t="s">
        <v>12294</v>
      </c>
      <c r="CK328" s="38">
        <v>0</v>
      </c>
    </row>
    <row r="329" spans="83:88" ht="13.2">
      <c r="CE329" t="s">
        <v>12887</v>
      </c>
      <c r="CF329" t="s">
        <v>12888</v>
      </c>
      <c r="CG329" t="s">
        <v>12888</v>
      </c>
      <c r="CH329" t="s">
        <v>12884</v>
      </c>
      <c r="CI329" t="s">
        <v>12164</v>
      </c>
      <c r="CJ329" t="s">
        <v>12885</v>
      </c>
    </row>
    <row r="330" spans="83:88" ht="13.2">
      <c r="CE330" t="s">
        <v>12889</v>
      </c>
      <c r="CF330" t="s">
        <v>12890</v>
      </c>
      <c r="CG330" t="s">
        <v>12890</v>
      </c>
      <c r="CH330" t="s">
        <v>12884</v>
      </c>
      <c r="CI330" t="s">
        <v>12167</v>
      </c>
      <c r="CJ330" t="s">
        <v>725</v>
      </c>
    </row>
    <row r="331" spans="83:88" ht="13.2">
      <c r="CE331" t="s">
        <v>12891</v>
      </c>
      <c r="CF331" t="s">
        <v>12892</v>
      </c>
      <c r="CG331" t="s">
        <v>12892</v>
      </c>
      <c r="CH331" t="s">
        <v>12884</v>
      </c>
      <c r="CI331" t="s">
        <v>12170</v>
      </c>
      <c r="CJ331" t="s">
        <v>12893</v>
      </c>
    </row>
    <row r="332" spans="83:88" ht="13.2">
      <c r="CE332" t="s">
        <v>12894</v>
      </c>
      <c r="CF332" t="s">
        <v>12895</v>
      </c>
      <c r="CG332" t="s">
        <v>12895</v>
      </c>
      <c r="CH332" t="s">
        <v>12884</v>
      </c>
      <c r="CI332" t="s">
        <v>12174</v>
      </c>
      <c r="CJ332" t="s">
        <v>12896</v>
      </c>
    </row>
    <row r="333" spans="83:88" ht="13.2">
      <c r="CE333" t="s">
        <v>12897</v>
      </c>
      <c r="CF333" t="s">
        <v>12898</v>
      </c>
      <c r="CG333" t="s">
        <v>12898</v>
      </c>
      <c r="CH333" t="s">
        <v>12884</v>
      </c>
      <c r="CI333" t="s">
        <v>12178</v>
      </c>
      <c r="CJ333" t="s">
        <v>158</v>
      </c>
    </row>
    <row r="334" spans="83:88" ht="13.2">
      <c r="CE334" t="s">
        <v>12899</v>
      </c>
      <c r="CF334" t="s">
        <v>12900</v>
      </c>
      <c r="CG334" t="s">
        <v>12900</v>
      </c>
      <c r="CH334" t="s">
        <v>12884</v>
      </c>
      <c r="CI334" t="s">
        <v>12181</v>
      </c>
      <c r="CJ334" t="s">
        <v>158</v>
      </c>
    </row>
    <row r="335" spans="83:88" ht="13.2">
      <c r="CE335" t="s">
        <v>12901</v>
      </c>
      <c r="CF335" t="s">
        <v>12902</v>
      </c>
      <c r="CG335" t="s">
        <v>12902</v>
      </c>
      <c r="CH335" t="s">
        <v>12884</v>
      </c>
      <c r="CI335" t="s">
        <v>12184</v>
      </c>
      <c r="CJ335" t="s">
        <v>119</v>
      </c>
    </row>
    <row r="336" spans="83:88" ht="13.2">
      <c r="CE336" t="s">
        <v>12903</v>
      </c>
      <c r="CF336" t="s">
        <v>12904</v>
      </c>
      <c r="CG336" t="s">
        <v>12904</v>
      </c>
      <c r="CH336" t="s">
        <v>12884</v>
      </c>
      <c r="CI336" t="s">
        <v>12187</v>
      </c>
      <c r="CJ336" t="s">
        <v>7832</v>
      </c>
    </row>
    <row r="337" spans="83:88" ht="13.2">
      <c r="CE337" t="s">
        <v>12905</v>
      </c>
      <c r="CF337" t="s">
        <v>12906</v>
      </c>
      <c r="CG337" t="s">
        <v>12906</v>
      </c>
      <c r="CH337" t="s">
        <v>12884</v>
      </c>
      <c r="CI337" t="s">
        <v>12191</v>
      </c>
      <c r="CJ337" t="s">
        <v>12317</v>
      </c>
    </row>
    <row r="338" spans="83:88" ht="13.2">
      <c r="CE338" t="s">
        <v>12907</v>
      </c>
      <c r="CF338" t="s">
        <v>12908</v>
      </c>
      <c r="CG338" t="s">
        <v>12908</v>
      </c>
      <c r="CH338" t="s">
        <v>12884</v>
      </c>
      <c r="CI338" t="s">
        <v>12195</v>
      </c>
      <c r="CJ338" t="s">
        <v>181</v>
      </c>
    </row>
    <row r="339" spans="83:88" ht="13.2">
      <c r="CE339" t="s">
        <v>12909</v>
      </c>
      <c r="CF339" t="s">
        <v>12910</v>
      </c>
      <c r="CG339" t="s">
        <v>12910</v>
      </c>
      <c r="CH339" t="s">
        <v>12884</v>
      </c>
      <c r="CI339" t="s">
        <v>12198</v>
      </c>
      <c r="CJ339" t="s">
        <v>5678</v>
      </c>
    </row>
    <row r="340" spans="83:88" ht="13.2">
      <c r="CE340" t="s">
        <v>12911</v>
      </c>
      <c r="CF340" t="s">
        <v>12912</v>
      </c>
      <c r="CG340" t="s">
        <v>12912</v>
      </c>
      <c r="CH340" t="s">
        <v>12884</v>
      </c>
      <c r="CI340" t="s">
        <v>12201</v>
      </c>
      <c r="CJ340" t="s">
        <v>8164</v>
      </c>
    </row>
    <row r="341" spans="83:89" ht="13.2">
      <c r="CE341" t="s">
        <v>12913</v>
      </c>
      <c r="CF341" t="s">
        <v>12914</v>
      </c>
      <c r="CG341" t="s">
        <v>12914</v>
      </c>
      <c r="CH341" t="s">
        <v>12884</v>
      </c>
      <c r="CI341" t="s">
        <v>12204</v>
      </c>
      <c r="CJ341" t="s">
        <v>420</v>
      </c>
      <c r="CK341" s="38">
        <v>0</v>
      </c>
    </row>
    <row r="342" spans="83:88" ht="13.2">
      <c r="CE342" t="s">
        <v>12915</v>
      </c>
      <c r="CF342" t="s">
        <v>12916</v>
      </c>
      <c r="CG342" t="s">
        <v>12916</v>
      </c>
      <c r="CH342" t="s">
        <v>12884</v>
      </c>
      <c r="CI342" t="s">
        <v>12207</v>
      </c>
      <c r="CJ342" t="s">
        <v>12208</v>
      </c>
    </row>
    <row r="343" spans="83:88" ht="13.2">
      <c r="CE343" t="s">
        <v>12917</v>
      </c>
      <c r="CF343" t="s">
        <v>12918</v>
      </c>
      <c r="CG343" t="s">
        <v>12918</v>
      </c>
      <c r="CH343" t="s">
        <v>12884</v>
      </c>
      <c r="CI343" t="s">
        <v>12211</v>
      </c>
      <c r="CJ343" t="s">
        <v>421</v>
      </c>
    </row>
    <row r="344" spans="83:88" ht="13.2">
      <c r="CE344" t="s">
        <v>12919</v>
      </c>
      <c r="CF344" t="s">
        <v>12920</v>
      </c>
      <c r="CG344" t="s">
        <v>12920</v>
      </c>
      <c r="CH344" t="s">
        <v>12884</v>
      </c>
      <c r="CI344" t="s">
        <v>12214</v>
      </c>
      <c r="CJ344" t="s">
        <v>12215</v>
      </c>
    </row>
    <row r="345" spans="83:88" ht="13.2">
      <c r="CE345" t="s">
        <v>12921</v>
      </c>
      <c r="CF345" t="s">
        <v>12922</v>
      </c>
      <c r="CG345" t="s">
        <v>12922</v>
      </c>
      <c r="CH345" t="s">
        <v>12884</v>
      </c>
      <c r="CI345" t="s">
        <v>12218</v>
      </c>
      <c r="CJ345" t="s">
        <v>391</v>
      </c>
    </row>
    <row r="346" spans="83:89" ht="13.2">
      <c r="CE346" t="s">
        <v>12923</v>
      </c>
      <c r="CF346" t="s">
        <v>12924</v>
      </c>
      <c r="CG346" t="s">
        <v>12924</v>
      </c>
      <c r="CH346" t="s">
        <v>12884</v>
      </c>
      <c r="CI346" t="s">
        <v>12221</v>
      </c>
      <c r="CJ346" t="s">
        <v>488</v>
      </c>
      <c r="CK346" s="38">
        <v>0</v>
      </c>
    </row>
    <row r="347" spans="83:88" ht="13.2">
      <c r="CE347" t="s">
        <v>12925</v>
      </c>
      <c r="CF347" t="s">
        <v>12926</v>
      </c>
      <c r="CG347" t="s">
        <v>12926</v>
      </c>
      <c r="CH347" t="s">
        <v>12884</v>
      </c>
      <c r="CI347" t="s">
        <v>12224</v>
      </c>
      <c r="CJ347" t="s">
        <v>191</v>
      </c>
    </row>
    <row r="348" spans="83:88" ht="13.2">
      <c r="CE348" t="s">
        <v>12927</v>
      </c>
      <c r="CF348" t="s">
        <v>12928</v>
      </c>
      <c r="CG348" t="s">
        <v>12928</v>
      </c>
      <c r="CH348" t="s">
        <v>12884</v>
      </c>
      <c r="CI348" t="s">
        <v>12227</v>
      </c>
      <c r="CJ348" t="s">
        <v>12228</v>
      </c>
    </row>
    <row r="349" spans="83:88" ht="13.2">
      <c r="CE349" t="s">
        <v>12929</v>
      </c>
      <c r="CF349" t="s">
        <v>12930</v>
      </c>
      <c r="CG349" t="s">
        <v>12930</v>
      </c>
      <c r="CH349" t="s">
        <v>12884</v>
      </c>
      <c r="CI349" t="s">
        <v>12231</v>
      </c>
      <c r="CJ349" t="s">
        <v>138</v>
      </c>
    </row>
    <row r="350" spans="83:88" ht="13.2">
      <c r="CE350" t="s">
        <v>12931</v>
      </c>
      <c r="CF350" t="s">
        <v>12932</v>
      </c>
      <c r="CG350" t="s">
        <v>12932</v>
      </c>
      <c r="CH350" t="s">
        <v>12884</v>
      </c>
      <c r="CI350" t="s">
        <v>12234</v>
      </c>
      <c r="CJ350" t="s">
        <v>159</v>
      </c>
    </row>
    <row r="351" spans="83:89" ht="13.2">
      <c r="CE351" t="s">
        <v>12933</v>
      </c>
      <c r="CF351" t="s">
        <v>12934</v>
      </c>
      <c r="CG351" t="s">
        <v>12934</v>
      </c>
      <c r="CH351" t="s">
        <v>12884</v>
      </c>
      <c r="CI351" t="s">
        <v>12237</v>
      </c>
      <c r="CJ351" t="s">
        <v>5686</v>
      </c>
      <c r="CK351" s="38">
        <v>0</v>
      </c>
    </row>
    <row r="352" spans="83:88" ht="13.2">
      <c r="CE352" t="s">
        <v>12935</v>
      </c>
      <c r="CF352" t="s">
        <v>12936</v>
      </c>
      <c r="CG352" t="s">
        <v>12936</v>
      </c>
      <c r="CH352" t="s">
        <v>12884</v>
      </c>
      <c r="CI352" t="s">
        <v>12240</v>
      </c>
      <c r="CJ352" t="s">
        <v>160</v>
      </c>
    </row>
    <row r="353" spans="83:88" ht="13.2">
      <c r="CE353" t="s">
        <v>12937</v>
      </c>
      <c r="CF353" t="s">
        <v>12938</v>
      </c>
      <c r="CG353" t="s">
        <v>12938</v>
      </c>
      <c r="CH353" t="s">
        <v>12884</v>
      </c>
      <c r="CI353" t="s">
        <v>12259</v>
      </c>
      <c r="CJ353" t="s">
        <v>123</v>
      </c>
    </row>
    <row r="354" spans="83:88" ht="13.2">
      <c r="CE354" t="s">
        <v>12939</v>
      </c>
      <c r="CF354" t="s">
        <v>12940</v>
      </c>
      <c r="CG354" t="s">
        <v>12940</v>
      </c>
      <c r="CH354" t="s">
        <v>12884</v>
      </c>
      <c r="CI354" t="s">
        <v>12262</v>
      </c>
      <c r="CJ354" t="s">
        <v>391</v>
      </c>
    </row>
    <row r="355" spans="83:88" ht="13.2">
      <c r="CE355" t="s">
        <v>12941</v>
      </c>
      <c r="CF355" t="s">
        <v>12942</v>
      </c>
      <c r="CG355" t="s">
        <v>12942</v>
      </c>
      <c r="CH355" t="s">
        <v>12884</v>
      </c>
      <c r="CI355" t="s">
        <v>12265</v>
      </c>
      <c r="CJ355" t="s">
        <v>391</v>
      </c>
    </row>
    <row r="356" spans="83:89" ht="13.2">
      <c r="CE356" t="s">
        <v>12943</v>
      </c>
      <c r="CF356" t="s">
        <v>12944</v>
      </c>
      <c r="CG356" t="s">
        <v>12944</v>
      </c>
      <c r="CH356" t="s">
        <v>12884</v>
      </c>
      <c r="CI356" t="s">
        <v>12268</v>
      </c>
      <c r="CJ356" t="s">
        <v>12269</v>
      </c>
      <c r="CK356" s="38">
        <v>0</v>
      </c>
    </row>
    <row r="357" spans="83:88" ht="13.2">
      <c r="CE357" t="s">
        <v>12945</v>
      </c>
      <c r="CF357" t="s">
        <v>12946</v>
      </c>
      <c r="CG357" t="s">
        <v>12946</v>
      </c>
      <c r="CH357" t="s">
        <v>12884</v>
      </c>
      <c r="CI357" t="s">
        <v>12272</v>
      </c>
      <c r="CJ357" t="s">
        <v>12273</v>
      </c>
    </row>
    <row r="358" spans="83:88" ht="13.2">
      <c r="CE358" t="s">
        <v>12947</v>
      </c>
      <c r="CF358" t="s">
        <v>12948</v>
      </c>
      <c r="CG358" t="s">
        <v>12948</v>
      </c>
      <c r="CH358" t="s">
        <v>12884</v>
      </c>
      <c r="CI358" t="s">
        <v>12276</v>
      </c>
      <c r="CJ358" t="s">
        <v>12277</v>
      </c>
    </row>
    <row r="359" spans="83:88" ht="13.2">
      <c r="CE359" t="s">
        <v>12949</v>
      </c>
      <c r="CF359" t="s">
        <v>12950</v>
      </c>
      <c r="CG359" t="s">
        <v>12950</v>
      </c>
      <c r="CH359" t="s">
        <v>12884</v>
      </c>
      <c r="CI359" t="s">
        <v>12280</v>
      </c>
      <c r="CJ359" t="s">
        <v>120</v>
      </c>
    </row>
    <row r="360" spans="83:88" ht="13.2">
      <c r="CE360" t="s">
        <v>12951</v>
      </c>
      <c r="CF360" t="s">
        <v>12952</v>
      </c>
      <c r="CG360" t="s">
        <v>12952</v>
      </c>
      <c r="CH360" t="s">
        <v>12884</v>
      </c>
      <c r="CI360" t="s">
        <v>12283</v>
      </c>
      <c r="CJ360" t="s">
        <v>120</v>
      </c>
    </row>
    <row r="361" spans="83:88" ht="13.2">
      <c r="CE361" t="s">
        <v>12953</v>
      </c>
      <c r="CF361" t="s">
        <v>12954</v>
      </c>
      <c r="CG361" t="s">
        <v>12954</v>
      </c>
      <c r="CH361" t="s">
        <v>12884</v>
      </c>
      <c r="CI361" t="s">
        <v>12290</v>
      </c>
      <c r="CJ361" t="s">
        <v>12886</v>
      </c>
    </row>
    <row r="362" spans="83:89" ht="13.2">
      <c r="CE362" t="s">
        <v>12955</v>
      </c>
      <c r="CF362" t="s">
        <v>12956</v>
      </c>
      <c r="CG362" t="s">
        <v>12956</v>
      </c>
      <c r="CH362" t="s">
        <v>12884</v>
      </c>
      <c r="CI362" t="s">
        <v>12293</v>
      </c>
      <c r="CJ362" t="s">
        <v>12294</v>
      </c>
      <c r="CK362" s="38">
        <v>0</v>
      </c>
    </row>
    <row r="363" spans="83:88" ht="13.2">
      <c r="CE363" t="s">
        <v>12959</v>
      </c>
      <c r="CF363" t="s">
        <v>12960</v>
      </c>
      <c r="CG363" t="s">
        <v>12960</v>
      </c>
      <c r="CH363" t="s">
        <v>12957</v>
      </c>
      <c r="CI363" t="s">
        <v>12164</v>
      </c>
      <c r="CJ363" t="s">
        <v>12958</v>
      </c>
    </row>
    <row r="364" spans="83:88" ht="13.2">
      <c r="CE364" t="s">
        <v>12961</v>
      </c>
      <c r="CF364" t="s">
        <v>12962</v>
      </c>
      <c r="CG364" t="s">
        <v>12962</v>
      </c>
      <c r="CH364" t="s">
        <v>12957</v>
      </c>
      <c r="CI364" t="s">
        <v>12167</v>
      </c>
      <c r="CJ364" t="s">
        <v>725</v>
      </c>
    </row>
    <row r="365" spans="83:88" ht="13.2">
      <c r="CE365" t="s">
        <v>12963</v>
      </c>
      <c r="CF365" t="s">
        <v>12964</v>
      </c>
      <c r="CG365" t="s">
        <v>12964</v>
      </c>
      <c r="CH365" t="s">
        <v>12957</v>
      </c>
      <c r="CI365" t="s">
        <v>12170</v>
      </c>
      <c r="CJ365" t="s">
        <v>350</v>
      </c>
    </row>
    <row r="366" spans="83:88" ht="13.2">
      <c r="CE366" t="s">
        <v>12965</v>
      </c>
      <c r="CF366" t="s">
        <v>12966</v>
      </c>
      <c r="CG366" t="s">
        <v>12966</v>
      </c>
      <c r="CH366" t="s">
        <v>12957</v>
      </c>
      <c r="CI366" t="s">
        <v>12174</v>
      </c>
      <c r="CJ366" t="s">
        <v>12896</v>
      </c>
    </row>
    <row r="367" spans="83:88" ht="13.2">
      <c r="CE367" t="s">
        <v>12967</v>
      </c>
      <c r="CF367" t="s">
        <v>12968</v>
      </c>
      <c r="CG367" t="s">
        <v>12968</v>
      </c>
      <c r="CH367" t="s">
        <v>12957</v>
      </c>
      <c r="CI367" t="s">
        <v>12178</v>
      </c>
      <c r="CJ367" t="s">
        <v>158</v>
      </c>
    </row>
    <row r="368" spans="83:88" ht="13.2">
      <c r="CE368" t="s">
        <v>12969</v>
      </c>
      <c r="CF368" t="s">
        <v>12970</v>
      </c>
      <c r="CG368" t="s">
        <v>12970</v>
      </c>
      <c r="CH368" t="s">
        <v>12957</v>
      </c>
      <c r="CI368" t="s">
        <v>12181</v>
      </c>
      <c r="CJ368" t="s">
        <v>158</v>
      </c>
    </row>
    <row r="369" spans="83:88" ht="13.2">
      <c r="CE369" t="s">
        <v>12971</v>
      </c>
      <c r="CF369" t="s">
        <v>12972</v>
      </c>
      <c r="CG369" t="s">
        <v>12972</v>
      </c>
      <c r="CH369" t="s">
        <v>12957</v>
      </c>
      <c r="CI369" t="s">
        <v>12184</v>
      </c>
      <c r="CJ369" t="s">
        <v>119</v>
      </c>
    </row>
    <row r="370" spans="83:88" ht="13.2">
      <c r="CE370" t="s">
        <v>12973</v>
      </c>
      <c r="CF370" t="s">
        <v>12974</v>
      </c>
      <c r="CG370" t="s">
        <v>12974</v>
      </c>
      <c r="CH370" t="s">
        <v>12957</v>
      </c>
      <c r="CI370" t="s">
        <v>12187</v>
      </c>
      <c r="CJ370" t="s">
        <v>7832</v>
      </c>
    </row>
    <row r="371" spans="83:88" ht="13.2">
      <c r="CE371" t="s">
        <v>12975</v>
      </c>
      <c r="CF371" t="s">
        <v>12976</v>
      </c>
      <c r="CG371" t="s">
        <v>12976</v>
      </c>
      <c r="CH371" t="s">
        <v>12957</v>
      </c>
      <c r="CI371" t="s">
        <v>12191</v>
      </c>
      <c r="CJ371" t="s">
        <v>12317</v>
      </c>
    </row>
    <row r="372" spans="83:88" ht="13.2">
      <c r="CE372" t="s">
        <v>12977</v>
      </c>
      <c r="CF372" t="s">
        <v>12978</v>
      </c>
      <c r="CG372" t="s">
        <v>12978</v>
      </c>
      <c r="CH372" t="s">
        <v>12957</v>
      </c>
      <c r="CI372" t="s">
        <v>12195</v>
      </c>
      <c r="CJ372" t="s">
        <v>181</v>
      </c>
    </row>
    <row r="373" spans="83:88" ht="13.2">
      <c r="CE373" t="s">
        <v>12979</v>
      </c>
      <c r="CF373" t="s">
        <v>12980</v>
      </c>
      <c r="CG373" t="s">
        <v>12980</v>
      </c>
      <c r="CH373" t="s">
        <v>12957</v>
      </c>
      <c r="CI373" t="s">
        <v>12198</v>
      </c>
      <c r="CJ373" t="s">
        <v>5678</v>
      </c>
    </row>
    <row r="374" spans="83:88" ht="13.2">
      <c r="CE374" t="s">
        <v>12981</v>
      </c>
      <c r="CF374" t="s">
        <v>12982</v>
      </c>
      <c r="CG374" t="s">
        <v>12982</v>
      </c>
      <c r="CH374" t="s">
        <v>12957</v>
      </c>
      <c r="CI374" t="s">
        <v>12201</v>
      </c>
      <c r="CJ374" t="s">
        <v>8164</v>
      </c>
    </row>
    <row r="375" spans="83:89" ht="13.2">
      <c r="CE375" t="s">
        <v>12983</v>
      </c>
      <c r="CF375" t="s">
        <v>12984</v>
      </c>
      <c r="CG375" t="s">
        <v>12984</v>
      </c>
      <c r="CH375" t="s">
        <v>12957</v>
      </c>
      <c r="CI375" t="s">
        <v>12204</v>
      </c>
      <c r="CJ375" t="s">
        <v>420</v>
      </c>
      <c r="CK375" s="38">
        <v>0</v>
      </c>
    </row>
    <row r="376" spans="83:88" ht="13.2">
      <c r="CE376" t="s">
        <v>12985</v>
      </c>
      <c r="CF376" t="s">
        <v>12986</v>
      </c>
      <c r="CG376" t="s">
        <v>12986</v>
      </c>
      <c r="CH376" t="s">
        <v>12957</v>
      </c>
      <c r="CI376" t="s">
        <v>12207</v>
      </c>
      <c r="CJ376" t="s">
        <v>12208</v>
      </c>
    </row>
    <row r="377" spans="83:88" ht="13.2">
      <c r="CE377" t="s">
        <v>12987</v>
      </c>
      <c r="CF377" t="s">
        <v>12988</v>
      </c>
      <c r="CG377" t="s">
        <v>12988</v>
      </c>
      <c r="CH377" t="s">
        <v>12957</v>
      </c>
      <c r="CI377" t="s">
        <v>12211</v>
      </c>
      <c r="CJ377" t="s">
        <v>421</v>
      </c>
    </row>
    <row r="378" spans="83:88" ht="13.2">
      <c r="CE378" t="s">
        <v>12989</v>
      </c>
      <c r="CF378" t="s">
        <v>12990</v>
      </c>
      <c r="CG378" t="s">
        <v>12990</v>
      </c>
      <c r="CH378" t="s">
        <v>12957</v>
      </c>
      <c r="CI378" t="s">
        <v>12214</v>
      </c>
      <c r="CJ378" t="s">
        <v>12215</v>
      </c>
    </row>
    <row r="379" spans="83:88" ht="13.2">
      <c r="CE379" t="s">
        <v>12991</v>
      </c>
      <c r="CF379" t="s">
        <v>12992</v>
      </c>
      <c r="CG379" t="s">
        <v>12992</v>
      </c>
      <c r="CH379" t="s">
        <v>12957</v>
      </c>
      <c r="CI379" t="s">
        <v>12218</v>
      </c>
      <c r="CJ379" t="s">
        <v>391</v>
      </c>
    </row>
    <row r="380" spans="83:89" ht="13.2">
      <c r="CE380" t="s">
        <v>12993</v>
      </c>
      <c r="CF380" t="s">
        <v>12994</v>
      </c>
      <c r="CG380" t="s">
        <v>12994</v>
      </c>
      <c r="CH380" t="s">
        <v>12957</v>
      </c>
      <c r="CI380" t="s">
        <v>12221</v>
      </c>
      <c r="CJ380" t="s">
        <v>488</v>
      </c>
      <c r="CK380" s="38">
        <v>0</v>
      </c>
    </row>
    <row r="381" spans="83:88" ht="13.2">
      <c r="CE381" t="s">
        <v>12995</v>
      </c>
      <c r="CF381" t="s">
        <v>12996</v>
      </c>
      <c r="CG381" t="s">
        <v>12996</v>
      </c>
      <c r="CH381" t="s">
        <v>12957</v>
      </c>
      <c r="CI381" t="s">
        <v>12224</v>
      </c>
      <c r="CJ381" t="s">
        <v>191</v>
      </c>
    </row>
    <row r="382" spans="83:88" ht="13.2">
      <c r="CE382" t="s">
        <v>12997</v>
      </c>
      <c r="CF382" t="s">
        <v>12998</v>
      </c>
      <c r="CG382" t="s">
        <v>12998</v>
      </c>
      <c r="CH382" t="s">
        <v>12957</v>
      </c>
      <c r="CI382" t="s">
        <v>12227</v>
      </c>
      <c r="CJ382" t="s">
        <v>12228</v>
      </c>
    </row>
    <row r="383" spans="83:88" ht="13.2">
      <c r="CE383" t="s">
        <v>12999</v>
      </c>
      <c r="CF383" t="s">
        <v>13000</v>
      </c>
      <c r="CG383" t="s">
        <v>13000</v>
      </c>
      <c r="CH383" t="s">
        <v>12957</v>
      </c>
      <c r="CI383" t="s">
        <v>12231</v>
      </c>
      <c r="CJ383" t="s">
        <v>142</v>
      </c>
    </row>
    <row r="384" spans="83:88" ht="13.2">
      <c r="CE384" t="s">
        <v>13001</v>
      </c>
      <c r="CF384" t="s">
        <v>13002</v>
      </c>
      <c r="CG384" t="s">
        <v>13002</v>
      </c>
      <c r="CH384" t="s">
        <v>12957</v>
      </c>
      <c r="CI384" t="s">
        <v>12234</v>
      </c>
      <c r="CJ384" t="s">
        <v>159</v>
      </c>
    </row>
    <row r="385" spans="83:89" ht="13.2">
      <c r="CE385" t="s">
        <v>13003</v>
      </c>
      <c r="CF385" t="s">
        <v>13004</v>
      </c>
      <c r="CG385" t="s">
        <v>13004</v>
      </c>
      <c r="CH385" t="s">
        <v>12957</v>
      </c>
      <c r="CI385" t="s">
        <v>12237</v>
      </c>
      <c r="CJ385" t="s">
        <v>5686</v>
      </c>
      <c r="CK385" s="38">
        <v>0</v>
      </c>
    </row>
    <row r="386" spans="83:88" ht="13.2">
      <c r="CE386" t="s">
        <v>13005</v>
      </c>
      <c r="CF386" t="s">
        <v>13006</v>
      </c>
      <c r="CG386" t="s">
        <v>13006</v>
      </c>
      <c r="CH386" t="s">
        <v>12957</v>
      </c>
      <c r="CI386" t="s">
        <v>12240</v>
      </c>
      <c r="CJ386" t="s">
        <v>160</v>
      </c>
    </row>
    <row r="387" spans="83:88" ht="13.2">
      <c r="CE387" t="s">
        <v>13007</v>
      </c>
      <c r="CF387" t="s">
        <v>13008</v>
      </c>
      <c r="CG387" t="s">
        <v>13008</v>
      </c>
      <c r="CH387" t="s">
        <v>12957</v>
      </c>
      <c r="CI387" t="s">
        <v>12259</v>
      </c>
      <c r="CJ387" t="s">
        <v>124</v>
      </c>
    </row>
    <row r="388" spans="83:88" ht="13.2">
      <c r="CE388" t="s">
        <v>13009</v>
      </c>
      <c r="CF388" t="s">
        <v>13010</v>
      </c>
      <c r="CG388" t="s">
        <v>13010</v>
      </c>
      <c r="CH388" t="s">
        <v>12957</v>
      </c>
      <c r="CI388" t="s">
        <v>12262</v>
      </c>
      <c r="CJ388" t="s">
        <v>391</v>
      </c>
    </row>
    <row r="389" spans="83:88" ht="13.2">
      <c r="CE389" t="s">
        <v>13011</v>
      </c>
      <c r="CF389" t="s">
        <v>13012</v>
      </c>
      <c r="CG389" t="s">
        <v>13012</v>
      </c>
      <c r="CH389" t="s">
        <v>12957</v>
      </c>
      <c r="CI389" t="s">
        <v>12265</v>
      </c>
      <c r="CJ389" t="s">
        <v>391</v>
      </c>
    </row>
    <row r="390" spans="83:89" ht="13.2">
      <c r="CE390" t="s">
        <v>13013</v>
      </c>
      <c r="CF390" t="s">
        <v>13014</v>
      </c>
      <c r="CG390" t="s">
        <v>13014</v>
      </c>
      <c r="CH390" t="s">
        <v>12957</v>
      </c>
      <c r="CI390" t="s">
        <v>12268</v>
      </c>
      <c r="CJ390" t="s">
        <v>12269</v>
      </c>
      <c r="CK390" s="38">
        <v>0</v>
      </c>
    </row>
    <row r="391" spans="83:88" ht="13.2">
      <c r="CE391" t="s">
        <v>13015</v>
      </c>
      <c r="CF391" t="s">
        <v>13016</v>
      </c>
      <c r="CG391" t="s">
        <v>13016</v>
      </c>
      <c r="CH391" t="s">
        <v>12957</v>
      </c>
      <c r="CI391" t="s">
        <v>12272</v>
      </c>
      <c r="CJ391" t="s">
        <v>12273</v>
      </c>
    </row>
    <row r="392" spans="83:88" ht="13.2">
      <c r="CE392" t="s">
        <v>13017</v>
      </c>
      <c r="CF392" t="s">
        <v>13018</v>
      </c>
      <c r="CG392" t="s">
        <v>13018</v>
      </c>
      <c r="CH392" t="s">
        <v>12957</v>
      </c>
      <c r="CI392" t="s">
        <v>12276</v>
      </c>
      <c r="CJ392" t="s">
        <v>12277</v>
      </c>
    </row>
    <row r="393" spans="83:88" ht="13.2">
      <c r="CE393" t="s">
        <v>13019</v>
      </c>
      <c r="CF393" t="s">
        <v>13020</v>
      </c>
      <c r="CG393" t="s">
        <v>13020</v>
      </c>
      <c r="CH393" t="s">
        <v>12957</v>
      </c>
      <c r="CI393" t="s">
        <v>12280</v>
      </c>
      <c r="CJ393" t="s">
        <v>120</v>
      </c>
    </row>
    <row r="394" spans="83:88" ht="13.2">
      <c r="CE394" t="s">
        <v>13021</v>
      </c>
      <c r="CF394" t="s">
        <v>13022</v>
      </c>
      <c r="CG394" t="s">
        <v>13022</v>
      </c>
      <c r="CH394" t="s">
        <v>12957</v>
      </c>
      <c r="CI394" t="s">
        <v>12283</v>
      </c>
      <c r="CJ394" t="s">
        <v>120</v>
      </c>
    </row>
    <row r="395" spans="83:88" ht="13.2">
      <c r="CE395" t="s">
        <v>13023</v>
      </c>
      <c r="CF395" t="s">
        <v>13024</v>
      </c>
      <c r="CG395" t="s">
        <v>13024</v>
      </c>
      <c r="CH395" t="s">
        <v>12957</v>
      </c>
      <c r="CI395" t="s">
        <v>12290</v>
      </c>
      <c r="CJ395" t="s">
        <v>12154</v>
      </c>
    </row>
    <row r="396" spans="83:89" ht="13.2">
      <c r="CE396" t="s">
        <v>13025</v>
      </c>
      <c r="CF396" t="s">
        <v>13026</v>
      </c>
      <c r="CG396" t="s">
        <v>13026</v>
      </c>
      <c r="CH396" t="s">
        <v>12957</v>
      </c>
      <c r="CI396" t="s">
        <v>12293</v>
      </c>
      <c r="CJ396" t="s">
        <v>12294</v>
      </c>
      <c r="CK396" s="38">
        <v>0</v>
      </c>
    </row>
    <row r="397" spans="83:88" ht="13.2">
      <c r="CE397" t="s">
        <v>13032</v>
      </c>
      <c r="CF397" t="s">
        <v>13033</v>
      </c>
      <c r="CG397" t="s">
        <v>13033</v>
      </c>
      <c r="CH397" t="s">
        <v>13027</v>
      </c>
      <c r="CI397" t="s">
        <v>12164</v>
      </c>
      <c r="CJ397" t="s">
        <v>12372</v>
      </c>
    </row>
    <row r="398" spans="83:88" ht="13.2">
      <c r="CE398" t="s">
        <v>13034</v>
      </c>
      <c r="CF398" t="s">
        <v>13035</v>
      </c>
      <c r="CG398" t="s">
        <v>13035</v>
      </c>
      <c r="CH398" t="s">
        <v>13027</v>
      </c>
      <c r="CI398" t="s">
        <v>12167</v>
      </c>
      <c r="CJ398" t="s">
        <v>747</v>
      </c>
    </row>
    <row r="399" spans="83:88" ht="13.2">
      <c r="CE399" t="s">
        <v>13036</v>
      </c>
      <c r="CF399" t="s">
        <v>13037</v>
      </c>
      <c r="CG399" t="s">
        <v>13037</v>
      </c>
      <c r="CH399" t="s">
        <v>13027</v>
      </c>
      <c r="CI399" t="s">
        <v>12170</v>
      </c>
      <c r="CJ399" t="s">
        <v>12379</v>
      </c>
    </row>
    <row r="400" spans="83:88" ht="13.2">
      <c r="CE400" t="s">
        <v>13038</v>
      </c>
      <c r="CF400" t="s">
        <v>13039</v>
      </c>
      <c r="CG400" t="s">
        <v>13039</v>
      </c>
      <c r="CH400" t="s">
        <v>13027</v>
      </c>
      <c r="CI400" t="s">
        <v>12174</v>
      </c>
      <c r="CJ400" t="s">
        <v>12382</v>
      </c>
    </row>
    <row r="401" spans="83:88" ht="13.2">
      <c r="CE401" t="s">
        <v>13040</v>
      </c>
      <c r="CF401" t="s">
        <v>13041</v>
      </c>
      <c r="CG401" t="s">
        <v>13041</v>
      </c>
      <c r="CH401" t="s">
        <v>13027</v>
      </c>
      <c r="CI401" t="s">
        <v>12178</v>
      </c>
      <c r="CJ401" t="s">
        <v>158</v>
      </c>
    </row>
    <row r="402" spans="83:88" ht="13.2">
      <c r="CE402" t="s">
        <v>13042</v>
      </c>
      <c r="CF402" t="s">
        <v>13043</v>
      </c>
      <c r="CG402" t="s">
        <v>13043</v>
      </c>
      <c r="CH402" t="s">
        <v>13027</v>
      </c>
      <c r="CI402" t="s">
        <v>12181</v>
      </c>
      <c r="CJ402" t="s">
        <v>158</v>
      </c>
    </row>
    <row r="403" spans="83:88" ht="13.2">
      <c r="CE403" t="s">
        <v>13044</v>
      </c>
      <c r="CF403" t="s">
        <v>13045</v>
      </c>
      <c r="CG403" t="s">
        <v>13045</v>
      </c>
      <c r="CH403" t="s">
        <v>13027</v>
      </c>
      <c r="CI403" t="s">
        <v>12184</v>
      </c>
      <c r="CJ403" t="s">
        <v>119</v>
      </c>
    </row>
    <row r="404" spans="83:88" ht="13.2">
      <c r="CE404" t="s">
        <v>13046</v>
      </c>
      <c r="CF404" t="s">
        <v>13047</v>
      </c>
      <c r="CG404" t="s">
        <v>13047</v>
      </c>
      <c r="CH404" t="s">
        <v>13027</v>
      </c>
      <c r="CI404" t="s">
        <v>12187</v>
      </c>
      <c r="CJ404" t="s">
        <v>7832</v>
      </c>
    </row>
    <row r="405" spans="83:88" ht="13.2">
      <c r="CE405" t="s">
        <v>13048</v>
      </c>
      <c r="CF405" t="s">
        <v>13049</v>
      </c>
      <c r="CG405" t="s">
        <v>13049</v>
      </c>
      <c r="CH405" t="s">
        <v>13027</v>
      </c>
      <c r="CI405" t="s">
        <v>12191</v>
      </c>
      <c r="CJ405" t="s">
        <v>12192</v>
      </c>
    </row>
    <row r="406" spans="83:88" ht="13.2">
      <c r="CE406" t="s">
        <v>13050</v>
      </c>
      <c r="CF406" t="s">
        <v>13051</v>
      </c>
      <c r="CG406" t="s">
        <v>13051</v>
      </c>
      <c r="CH406" t="s">
        <v>13027</v>
      </c>
      <c r="CI406" t="s">
        <v>12195</v>
      </c>
      <c r="CJ406" t="s">
        <v>181</v>
      </c>
    </row>
    <row r="407" spans="83:88" ht="13.2">
      <c r="CE407" t="s">
        <v>13052</v>
      </c>
      <c r="CF407" t="s">
        <v>13053</v>
      </c>
      <c r="CG407" t="s">
        <v>13053</v>
      </c>
      <c r="CH407" t="s">
        <v>13027</v>
      </c>
      <c r="CI407" t="s">
        <v>12198</v>
      </c>
      <c r="CJ407" t="s">
        <v>5678</v>
      </c>
    </row>
    <row r="408" spans="83:88" ht="13.2">
      <c r="CE408" t="s">
        <v>13054</v>
      </c>
      <c r="CF408" t="s">
        <v>13055</v>
      </c>
      <c r="CG408" t="s">
        <v>13055</v>
      </c>
      <c r="CH408" t="s">
        <v>13027</v>
      </c>
      <c r="CI408" t="s">
        <v>12201</v>
      </c>
      <c r="CJ408" t="s">
        <v>8164</v>
      </c>
    </row>
    <row r="409" spans="83:89" ht="13.2">
      <c r="CE409" t="s">
        <v>13056</v>
      </c>
      <c r="CF409" t="s">
        <v>13057</v>
      </c>
      <c r="CG409" t="s">
        <v>13057</v>
      </c>
      <c r="CH409" t="s">
        <v>13027</v>
      </c>
      <c r="CI409" t="s">
        <v>12204</v>
      </c>
      <c r="CJ409" t="s">
        <v>237</v>
      </c>
      <c r="CK409" s="38">
        <v>0</v>
      </c>
    </row>
    <row r="410" spans="83:88" ht="13.2">
      <c r="CE410" t="s">
        <v>13058</v>
      </c>
      <c r="CF410" t="s">
        <v>13059</v>
      </c>
      <c r="CG410" t="s">
        <v>13059</v>
      </c>
      <c r="CH410" t="s">
        <v>13027</v>
      </c>
      <c r="CI410" t="s">
        <v>12207</v>
      </c>
      <c r="CJ410" t="s">
        <v>13060</v>
      </c>
    </row>
    <row r="411" spans="83:88" ht="13.2">
      <c r="CE411" t="s">
        <v>13061</v>
      </c>
      <c r="CF411" t="s">
        <v>13062</v>
      </c>
      <c r="CG411" t="s">
        <v>13062</v>
      </c>
      <c r="CH411" t="s">
        <v>13027</v>
      </c>
      <c r="CI411" t="s">
        <v>12211</v>
      </c>
      <c r="CJ411" t="s">
        <v>229</v>
      </c>
    </row>
    <row r="412" spans="83:88" ht="13.2">
      <c r="CE412" t="s">
        <v>13063</v>
      </c>
      <c r="CF412" t="s">
        <v>13064</v>
      </c>
      <c r="CG412" t="s">
        <v>13064</v>
      </c>
      <c r="CH412" t="s">
        <v>13027</v>
      </c>
      <c r="CI412" t="s">
        <v>12214</v>
      </c>
      <c r="CJ412" t="s">
        <v>12215</v>
      </c>
    </row>
    <row r="413" spans="83:88" ht="13.2">
      <c r="CE413" t="s">
        <v>13065</v>
      </c>
      <c r="CF413" t="s">
        <v>13066</v>
      </c>
      <c r="CG413" t="s">
        <v>13066</v>
      </c>
      <c r="CH413" t="s">
        <v>13027</v>
      </c>
      <c r="CI413" t="s">
        <v>12218</v>
      </c>
      <c r="CJ413" t="s">
        <v>391</v>
      </c>
    </row>
    <row r="414" spans="83:89" ht="13.2">
      <c r="CE414" t="s">
        <v>13067</v>
      </c>
      <c r="CF414" t="s">
        <v>13068</v>
      </c>
      <c r="CG414" t="s">
        <v>13068</v>
      </c>
      <c r="CH414" t="s">
        <v>13027</v>
      </c>
      <c r="CI414" t="s">
        <v>12221</v>
      </c>
      <c r="CJ414" t="s">
        <v>144</v>
      </c>
      <c r="CK414" s="38">
        <v>0</v>
      </c>
    </row>
    <row r="415" spans="83:88" ht="13.2">
      <c r="CE415" t="s">
        <v>13069</v>
      </c>
      <c r="CF415" t="s">
        <v>13070</v>
      </c>
      <c r="CG415" t="s">
        <v>13070</v>
      </c>
      <c r="CH415" t="s">
        <v>13027</v>
      </c>
      <c r="CI415" t="s">
        <v>12224</v>
      </c>
      <c r="CJ415" t="s">
        <v>191</v>
      </c>
    </row>
    <row r="416" spans="83:88" ht="13.2">
      <c r="CE416" t="s">
        <v>13071</v>
      </c>
      <c r="CF416" t="s">
        <v>13072</v>
      </c>
      <c r="CG416" t="s">
        <v>13072</v>
      </c>
      <c r="CH416" t="s">
        <v>13027</v>
      </c>
      <c r="CI416" t="s">
        <v>12227</v>
      </c>
      <c r="CJ416" t="s">
        <v>12228</v>
      </c>
    </row>
    <row r="417" spans="83:88" ht="13.2">
      <c r="CE417" t="s">
        <v>13073</v>
      </c>
      <c r="CF417" t="s">
        <v>13074</v>
      </c>
      <c r="CG417" t="s">
        <v>13074</v>
      </c>
      <c r="CH417" t="s">
        <v>13027</v>
      </c>
      <c r="CI417" t="s">
        <v>12231</v>
      </c>
      <c r="CJ417" t="s">
        <v>138</v>
      </c>
    </row>
    <row r="418" spans="83:88" ht="13.2">
      <c r="CE418" t="s">
        <v>13075</v>
      </c>
      <c r="CF418" t="s">
        <v>13076</v>
      </c>
      <c r="CG418" t="s">
        <v>13076</v>
      </c>
      <c r="CH418" t="s">
        <v>13027</v>
      </c>
      <c r="CI418" t="s">
        <v>12234</v>
      </c>
      <c r="CJ418" t="s">
        <v>553</v>
      </c>
    </row>
    <row r="419" spans="83:89" ht="13.2">
      <c r="CE419" t="s">
        <v>13077</v>
      </c>
      <c r="CF419" t="s">
        <v>13078</v>
      </c>
      <c r="CG419" t="s">
        <v>13078</v>
      </c>
      <c r="CH419" t="s">
        <v>13027</v>
      </c>
      <c r="CI419" t="s">
        <v>12237</v>
      </c>
      <c r="CJ419" t="s">
        <v>5686</v>
      </c>
      <c r="CK419" s="38">
        <v>0</v>
      </c>
    </row>
    <row r="420" spans="83:88" ht="13.2">
      <c r="CE420" t="s">
        <v>13079</v>
      </c>
      <c r="CF420" t="s">
        <v>13080</v>
      </c>
      <c r="CG420" t="s">
        <v>13080</v>
      </c>
      <c r="CH420" t="s">
        <v>13027</v>
      </c>
      <c r="CI420" t="s">
        <v>12240</v>
      </c>
      <c r="CJ420" t="s">
        <v>160</v>
      </c>
    </row>
    <row r="421" spans="83:88" ht="13.2">
      <c r="CE421" t="s">
        <v>13081</v>
      </c>
      <c r="CF421" t="s">
        <v>13082</v>
      </c>
      <c r="CG421" t="s">
        <v>13082</v>
      </c>
      <c r="CH421" t="s">
        <v>13027</v>
      </c>
      <c r="CI421" t="s">
        <v>12259</v>
      </c>
      <c r="CJ421" t="s">
        <v>251</v>
      </c>
    </row>
    <row r="422" spans="83:88" ht="13.2">
      <c r="CE422" t="s">
        <v>13083</v>
      </c>
      <c r="CF422" t="s">
        <v>13084</v>
      </c>
      <c r="CG422" t="s">
        <v>13084</v>
      </c>
      <c r="CH422" t="s">
        <v>13027</v>
      </c>
      <c r="CI422" t="s">
        <v>12262</v>
      </c>
      <c r="CJ422" t="s">
        <v>391</v>
      </c>
    </row>
    <row r="423" spans="83:88" ht="13.2">
      <c r="CE423" t="s">
        <v>13085</v>
      </c>
      <c r="CF423" t="s">
        <v>13086</v>
      </c>
      <c r="CG423" t="s">
        <v>13086</v>
      </c>
      <c r="CH423" t="s">
        <v>13027</v>
      </c>
      <c r="CI423" t="s">
        <v>12265</v>
      </c>
      <c r="CJ423" t="s">
        <v>391</v>
      </c>
    </row>
    <row r="424" spans="83:89" ht="13.2">
      <c r="CE424" t="s">
        <v>13087</v>
      </c>
      <c r="CF424" t="s">
        <v>13088</v>
      </c>
      <c r="CG424" t="s">
        <v>13088</v>
      </c>
      <c r="CH424" t="s">
        <v>13027</v>
      </c>
      <c r="CI424" t="s">
        <v>12268</v>
      </c>
      <c r="CJ424" t="s">
        <v>12269</v>
      </c>
      <c r="CK424" s="38">
        <v>0</v>
      </c>
    </row>
    <row r="425" spans="83:88" ht="13.2">
      <c r="CE425" t="s">
        <v>13089</v>
      </c>
      <c r="CF425" t="s">
        <v>13090</v>
      </c>
      <c r="CG425" t="s">
        <v>13090</v>
      </c>
      <c r="CH425" t="s">
        <v>13027</v>
      </c>
      <c r="CI425" t="s">
        <v>12272</v>
      </c>
      <c r="CJ425" t="s">
        <v>12273</v>
      </c>
    </row>
    <row r="426" spans="83:88" ht="13.2">
      <c r="CE426" t="s">
        <v>13091</v>
      </c>
      <c r="CF426" t="s">
        <v>13092</v>
      </c>
      <c r="CG426" t="s">
        <v>13092</v>
      </c>
      <c r="CH426" t="s">
        <v>13027</v>
      </c>
      <c r="CI426" t="s">
        <v>12276</v>
      </c>
      <c r="CJ426" t="s">
        <v>12277</v>
      </c>
    </row>
    <row r="427" spans="83:88" ht="13.2">
      <c r="CE427" t="s">
        <v>13093</v>
      </c>
      <c r="CF427" t="s">
        <v>13094</v>
      </c>
      <c r="CG427" t="s">
        <v>13094</v>
      </c>
      <c r="CH427" t="s">
        <v>13027</v>
      </c>
      <c r="CI427" t="s">
        <v>12280</v>
      </c>
      <c r="CJ427" t="s">
        <v>120</v>
      </c>
    </row>
    <row r="428" spans="83:88" ht="13.2">
      <c r="CE428" t="s">
        <v>13095</v>
      </c>
      <c r="CF428" t="s">
        <v>13096</v>
      </c>
      <c r="CG428" t="s">
        <v>13096</v>
      </c>
      <c r="CH428" t="s">
        <v>13027</v>
      </c>
      <c r="CI428" t="s">
        <v>12283</v>
      </c>
      <c r="CJ428" t="s">
        <v>120</v>
      </c>
    </row>
    <row r="429" spans="83:88" ht="13.2">
      <c r="CE429" t="s">
        <v>13097</v>
      </c>
      <c r="CF429" t="s">
        <v>13098</v>
      </c>
      <c r="CG429" t="s">
        <v>13098</v>
      </c>
      <c r="CH429" t="s">
        <v>13027</v>
      </c>
      <c r="CI429" t="s">
        <v>12290</v>
      </c>
      <c r="CJ429" t="s">
        <v>12154</v>
      </c>
    </row>
    <row r="430" spans="83:89" ht="13.2">
      <c r="CE430" t="s">
        <v>13099</v>
      </c>
      <c r="CF430" t="s">
        <v>13100</v>
      </c>
      <c r="CG430" t="s">
        <v>13100</v>
      </c>
      <c r="CH430" t="s">
        <v>13027</v>
      </c>
      <c r="CI430" t="s">
        <v>12293</v>
      </c>
      <c r="CJ430" t="s">
        <v>13101</v>
      </c>
      <c r="CK430" s="38">
        <v>0</v>
      </c>
    </row>
    <row r="431" spans="83:88" ht="13.2">
      <c r="CE431" t="s">
        <v>13102</v>
      </c>
      <c r="CF431" t="s">
        <v>13103</v>
      </c>
      <c r="CG431" t="s">
        <v>13103</v>
      </c>
      <c r="CH431" t="s">
        <v>13104</v>
      </c>
      <c r="CI431" t="s">
        <v>13105</v>
      </c>
      <c r="CJ431" t="s">
        <v>120</v>
      </c>
    </row>
    <row r="432" spans="83:88" ht="13.2">
      <c r="CE432" t="s">
        <v>13106</v>
      </c>
      <c r="CF432" t="s">
        <v>13107</v>
      </c>
      <c r="CG432" t="s">
        <v>13107</v>
      </c>
      <c r="CH432" t="s">
        <v>13104</v>
      </c>
      <c r="CI432" t="s">
        <v>13108</v>
      </c>
      <c r="CJ432" t="s">
        <v>13109</v>
      </c>
    </row>
  </sheetData>
  <mergeCells count="1">
    <mergeCell ref="A5:F5"/>
  </mergeCells>
  <pageMargins left="0.7" right="0.7" top="0.75" bottom="0.75" header="0.3" footer="0.3"/>
  <pageSetup horizontalDpi="300" verticalDpi="30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C894-A946-45CD-B51B-661B67AE39A9}">
  <sheetPr codeName="JobSheet1"/>
  <dimension ref="A1:CI86"/>
  <sheetViews>
    <sheetView showZeros="0" view="pageBreakPreview" zoomScale="30" zoomScaleNormal="25" zoomScaleSheetLayoutView="30" zoomScalePageLayoutView="25" workbookViewId="0" topLeftCell="A2">
      <selection pane="topLeft" activeCell="A11" sqref="A11:XFD20"/>
    </sheetView>
  </sheetViews>
  <sheetFormatPr defaultColWidth="9.44140625" defaultRowHeight="60" customHeight="1"/>
  <cols>
    <col min="1" max="1" width="10.4285714285714" style="46" customWidth="1"/>
    <col min="2" max="2" width="37.4285714285714" style="46" customWidth="1"/>
    <col min="3" max="3" width="27.5714285714286" style="46" customWidth="1"/>
    <col min="4" max="4" width="17" style="46" customWidth="1"/>
    <col min="5" max="5" width="16.5714285714286" style="46" customWidth="1"/>
    <col min="6" max="6" width="22.7142857142857" style="46" customWidth="1"/>
    <col min="7" max="7" width="19" style="46" customWidth="1"/>
    <col min="8" max="8" width="22.2857142857143" style="46" customWidth="1"/>
    <col min="9" max="9" width="17.4285714285714" style="46" customWidth="1"/>
    <col min="10" max="10" width="23.5714285714286" style="47" customWidth="1"/>
    <col min="11" max="11" width="19" style="47" customWidth="1"/>
    <col min="12" max="12" width="25.7142857142857" style="46" customWidth="1"/>
    <col min="13" max="13" width="28.5714285714286" style="46" customWidth="1"/>
    <col min="14" max="14" width="19.4285714285714" style="46" customWidth="1"/>
    <col min="15" max="15" width="21" style="46" customWidth="1"/>
    <col min="16" max="16" width="29.4285714285714" style="46" customWidth="1"/>
    <col min="17" max="17" width="21" style="46" customWidth="1"/>
    <col min="18" max="18" width="21.5714285714286" style="46" customWidth="1"/>
    <col min="19" max="19" width="22.5714285714286" style="46" customWidth="1"/>
    <col min="20" max="21" width="14.5714285714286" style="46" customWidth="1"/>
    <col min="22" max="22" width="20.5714285714286" style="46" customWidth="1"/>
    <col min="23" max="23" width="22.7142857142857" style="46" customWidth="1"/>
    <col min="24" max="24" width="17.4285714285714" style="46" customWidth="1"/>
    <col min="25" max="25" width="15.4285714285714" style="46" customWidth="1"/>
    <col min="26" max="26" width="27.4285714285714" style="46" customWidth="1"/>
    <col min="27" max="27" width="21.5714285714286" style="46" customWidth="1"/>
    <col min="28" max="28" width="24.7142857142857" style="46" customWidth="1"/>
    <col min="29" max="29" width="23.4285714285714" style="46" customWidth="1"/>
    <col min="30" max="30" width="27.4285714285714" style="46" customWidth="1"/>
    <col min="31" max="31" width="17.4285714285714" style="46" customWidth="1"/>
    <col min="32" max="32" width="16.5714285714286" style="46" customWidth="1"/>
    <col min="33" max="33" width="16.4285714285714" style="46" customWidth="1"/>
    <col min="34" max="34" width="27.2857142857143" style="46" customWidth="1"/>
    <col min="35" max="35" width="20.7142857142857" style="46" customWidth="1"/>
    <col min="36" max="36" width="15.7142857142857" style="46" customWidth="1"/>
    <col min="37" max="38" width="20.4285714285714" style="46" customWidth="1"/>
    <col min="39" max="39" width="13.5714285714286" customWidth="1"/>
    <col min="40" max="40" width="21.5714285714286" customWidth="1"/>
    <col min="41" max="41" width="20.5714285714286" customWidth="1"/>
    <col min="42" max="42" width="13.5714285714286" customWidth="1"/>
    <col min="43" max="43" width="20.4285714285714" customWidth="1"/>
    <col min="44" max="44" width="20.5714285714286" customWidth="1"/>
    <col min="45" max="45" width="13.5714285714286" customWidth="1"/>
    <col min="46" max="46" width="20.4285714285714" customWidth="1"/>
    <col min="47" max="47" width="20.5714285714286" customWidth="1"/>
    <col min="48" max="48" width="14" customWidth="1"/>
    <col min="49" max="49" width="26.4285714285714" customWidth="1"/>
    <col min="50" max="50" width="23.4285714285714" customWidth="1"/>
    <col min="51" max="51" width="20.4285714285714" customWidth="1"/>
    <col min="52" max="53" width="18.4285714285714" customWidth="1"/>
    <col min="54" max="54" width="19.4285714285714" customWidth="1"/>
    <col min="55" max="55" width="26.4285714285714" customWidth="1"/>
    <col min="56" max="56" width="26.5714285714286" customWidth="1"/>
    <col min="57" max="57" width="19.5714285714286" customWidth="1"/>
    <col min="58" max="58" width="24.4285714285714" customWidth="1"/>
    <col min="59" max="59" width="19.5714285714286" customWidth="1"/>
    <col min="60" max="60" width="16.4285714285714" customWidth="1"/>
    <col min="61" max="61" width="28.2857142857143" customWidth="1"/>
    <col min="62" max="62" width="22.4285714285714" customWidth="1"/>
    <col min="63" max="63" width="24" customWidth="1"/>
    <col min="64" max="64" width="16.2857142857143" customWidth="1"/>
    <col min="65" max="65" width="20.4285714285714" customWidth="1"/>
    <col min="66" max="66" width="34.5714285714286" customWidth="1"/>
    <col min="67" max="67" width="18" customWidth="1"/>
    <col min="68" max="68" width="19" customWidth="1"/>
    <col min="69" max="69" width="16.5714285714286" customWidth="1"/>
    <col min="70" max="70" width="19.5714285714286" customWidth="1"/>
    <col min="71" max="71" width="17.4285714285714" customWidth="1"/>
    <col min="72" max="72" width="23.4285714285714" customWidth="1"/>
    <col min="73" max="74" width="22.5714285714286" customWidth="1"/>
    <col min="75" max="75" width="22.4285714285714" customWidth="1"/>
    <col min="76" max="76" width="22.5714285714286" customWidth="1"/>
    <col min="77" max="78" width="22.4285714285714" customWidth="1"/>
    <col min="79" max="79" width="22" customWidth="1"/>
    <col min="80" max="80" width="19.5714285714286" customWidth="1"/>
    <col min="81" max="81" width="24.4285714285714" customWidth="1"/>
    <col min="82" max="85" width="24.5714285714286" customWidth="1"/>
    <col min="86" max="86" width="21.7142857142857" customWidth="1"/>
    <col min="87" max="87" width="26.5714285714286" customWidth="1"/>
  </cols>
  <sheetData>
    <row r="1" spans="1:66" s="17" customFormat="1" ht="219.45" customHeight="1">
      <c r="A1" s="213" t="s">
        <v>397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3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L1" s="213"/>
      <c r="BM1" s="213"/>
      <c r="BN1" s="213"/>
    </row>
    <row r="2" spans="1:66" s="197" customFormat="1" ht="70.2" customHeight="1">
      <c r="A2" s="215" t="s">
        <v>7</v>
      </c>
      <c r="B2" s="215"/>
      <c r="C2" s="216"/>
      <c r="D2" s="216"/>
      <c r="E2" s="216"/>
      <c r="F2" s="216"/>
      <c r="G2" s="216" t="s">
        <v>94</v>
      </c>
      <c r="H2" s="216"/>
      <c r="I2" s="216"/>
      <c r="J2" s="216"/>
      <c r="K2" s="216"/>
      <c r="L2" s="212" t="str">
        <f>Data!BF5</f>
        <v>Hare, Kaitlin</v>
      </c>
      <c r="M2" s="212"/>
      <c r="N2" s="212"/>
      <c r="O2" s="212"/>
      <c r="P2" s="212"/>
      <c r="Q2" s="212"/>
      <c r="R2" s="212"/>
      <c r="S2" s="211" t="s">
        <v>523</v>
      </c>
      <c r="T2" s="211"/>
      <c r="U2" s="211"/>
      <c r="V2" s="211"/>
      <c r="W2" s="211"/>
      <c r="X2" s="211"/>
      <c r="Y2" s="214" t="s">
        <v>4</v>
      </c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  <c r="BJ2" s="214"/>
      <c r="BK2" s="214"/>
      <c r="BL2" s="214"/>
      <c r="BM2" s="214"/>
      <c r="BN2" s="214"/>
    </row>
    <row r="3" spans="1:66" s="197" customFormat="1" ht="70.2" customHeight="1">
      <c r="A3" s="209" t="s">
        <v>117</v>
      </c>
      <c r="B3" s="209"/>
      <c r="C3" s="204" t="str">
        <f>Data!BC5</f>
        <v>39776</v>
      </c>
      <c r="D3" s="204"/>
      <c r="E3" s="204"/>
      <c r="F3" s="204"/>
      <c r="G3" s="210" t="s">
        <v>8</v>
      </c>
      <c r="H3" s="210"/>
      <c r="I3" s="210"/>
      <c r="J3" s="210"/>
      <c r="K3" s="210"/>
      <c r="L3" s="212" t="str">
        <f>TRIM(Data!AX5)</f>
        <v>Whole House</v>
      </c>
      <c r="M3" s="212"/>
      <c r="N3" s="212"/>
      <c r="O3" s="212"/>
      <c r="P3" s="212"/>
      <c r="Q3" s="212"/>
      <c r="R3" s="212"/>
      <c r="S3" s="212" t="str">
        <f>IF(Data!AW11="","",VLOOKUP("CURTMAKING",Data!CI:CJ,2,FALSE))</f>
        <v>Jenny's Curtains - 9 Whitehills Rd, Creswick, Vic, 3363</v>
      </c>
      <c r="T3" s="212"/>
      <c r="U3" s="212"/>
      <c r="V3" s="212"/>
      <c r="W3" s="212"/>
      <c r="X3" s="212"/>
      <c r="Y3" s="208" t="str">
        <f>TRIM(Data!BG5)</f>
        <v/>
      </c>
      <c r="Z3" s="208"/>
      <c r="AA3" s="208"/>
      <c r="AB3" s="208"/>
      <c r="AC3" s="208"/>
      <c r="AD3" s="208"/>
      <c r="AE3" s="208"/>
      <c r="AF3" s="208"/>
      <c r="AG3" s="208"/>
      <c r="AH3" s="208"/>
      <c r="AI3" s="208"/>
      <c r="AJ3" s="208"/>
      <c r="AK3" s="208"/>
      <c r="AL3" s="208"/>
      <c r="AM3" s="208"/>
      <c r="AN3" s="208"/>
      <c r="AO3" s="208"/>
      <c r="AP3" s="208"/>
      <c r="AQ3" s="208"/>
      <c r="AR3" s="208"/>
      <c r="AS3" s="208"/>
      <c r="AT3" s="208"/>
      <c r="AU3" s="208"/>
      <c r="AV3" s="208"/>
      <c r="AW3" s="208"/>
      <c r="AX3" s="208"/>
      <c r="AY3" s="208"/>
      <c r="AZ3" s="208"/>
      <c r="BA3" s="208"/>
      <c r="BB3" s="208"/>
      <c r="BC3" s="208"/>
      <c r="BD3" s="208"/>
      <c r="BE3" s="208"/>
      <c r="BF3" s="208"/>
      <c r="BG3" s="208"/>
      <c r="BH3" s="208"/>
      <c r="BI3" s="208"/>
      <c r="BJ3" s="208"/>
      <c r="BK3" s="208"/>
      <c r="BL3" s="208"/>
      <c r="BM3" s="208"/>
      <c r="BN3" s="208"/>
    </row>
    <row r="4" spans="1:66" s="198" customFormat="1" ht="70.2" customHeight="1">
      <c r="A4" s="220" t="s">
        <v>14</v>
      </c>
      <c r="B4" s="220"/>
      <c r="C4" s="204" t="str">
        <f>Data!BD5</f>
        <v>F</v>
      </c>
      <c r="D4" s="204"/>
      <c r="E4" s="204"/>
      <c r="F4" s="204"/>
      <c r="G4" s="210" t="s">
        <v>112</v>
      </c>
      <c r="H4" s="210"/>
      <c r="I4" s="210"/>
      <c r="J4" s="210"/>
      <c r="K4" s="210"/>
      <c r="L4" s="212" t="str">
        <f>LEFT(Data!BA5,10)</f>
        <v>13/10/2026</v>
      </c>
      <c r="M4" s="212"/>
      <c r="N4" s="212"/>
      <c r="O4" s="212"/>
      <c r="P4" s="212"/>
      <c r="Q4" s="212"/>
      <c r="R4" s="212"/>
      <c r="S4" s="212"/>
      <c r="T4" s="212"/>
      <c r="U4" s="212"/>
      <c r="V4" s="212"/>
      <c r="W4" s="212"/>
      <c r="X4" s="212"/>
      <c r="Y4" s="208"/>
      <c r="Z4" s="208"/>
      <c r="AA4" s="208"/>
      <c r="AB4" s="208"/>
      <c r="AC4" s="208"/>
      <c r="AD4" s="208"/>
      <c r="AE4" s="208"/>
      <c r="AF4" s="208"/>
      <c r="AG4" s="208"/>
      <c r="AH4" s="208"/>
      <c r="AI4" s="208"/>
      <c r="AJ4" s="208"/>
      <c r="AK4" s="208"/>
      <c r="AL4" s="208"/>
      <c r="AM4" s="208"/>
      <c r="AN4" s="208"/>
      <c r="AO4" s="208"/>
      <c r="AP4" s="208"/>
      <c r="AQ4" s="208"/>
      <c r="AR4" s="208"/>
      <c r="AS4" s="208"/>
      <c r="AT4" s="208"/>
      <c r="AU4" s="208"/>
      <c r="AV4" s="208"/>
      <c r="AW4" s="208"/>
      <c r="AX4" s="208"/>
      <c r="AY4" s="208"/>
      <c r="AZ4" s="208"/>
      <c r="BA4" s="208"/>
      <c r="BB4" s="208"/>
      <c r="BC4" s="208"/>
      <c r="BD4" s="208"/>
      <c r="BE4" s="208"/>
      <c r="BF4" s="208"/>
      <c r="BG4" s="208"/>
      <c r="BH4" s="208"/>
      <c r="BI4" s="208"/>
      <c r="BJ4" s="208"/>
      <c r="BK4" s="208"/>
      <c r="BL4" s="208"/>
      <c r="BM4" s="208"/>
      <c r="BN4" s="208"/>
    </row>
    <row r="5" spans="1:66" s="198" customFormat="1" ht="70.2" customHeight="1">
      <c r="A5" s="218" t="s">
        <v>9</v>
      </c>
      <c r="B5" s="218"/>
      <c r="C5" s="219" t="str">
        <f>Data!AY5</f>
        <v>12/08/2026 12:00:00 AM</v>
      </c>
      <c r="D5" s="219"/>
      <c r="E5" s="219"/>
      <c r="F5" s="219"/>
      <c r="G5" s="204" t="s">
        <v>12</v>
      </c>
      <c r="H5" s="204"/>
      <c r="I5" s="204"/>
      <c r="J5" s="204"/>
      <c r="K5" s="204"/>
      <c r="L5" s="212" t="str">
        <f>TRIM(Data!BF5)</f>
        <v>Hare, Kaitlin</v>
      </c>
      <c r="M5" s="212"/>
      <c r="N5" s="212"/>
      <c r="O5" s="212"/>
      <c r="P5" s="212"/>
      <c r="Q5" s="212"/>
      <c r="R5" s="212"/>
      <c r="S5" s="212"/>
      <c r="T5" s="212"/>
      <c r="U5" s="212"/>
      <c r="V5" s="212"/>
      <c r="W5" s="212"/>
      <c r="X5" s="212"/>
      <c r="Y5" s="208"/>
      <c r="Z5" s="208"/>
      <c r="AA5" s="208"/>
      <c r="AB5" s="208"/>
      <c r="AC5" s="208"/>
      <c r="AD5" s="208"/>
      <c r="AE5" s="208"/>
      <c r="AF5" s="208"/>
      <c r="AG5" s="208"/>
      <c r="AH5" s="208"/>
      <c r="AI5" s="208"/>
      <c r="AJ5" s="208"/>
      <c r="AK5" s="208"/>
      <c r="AL5" s="208"/>
      <c r="AM5" s="208"/>
      <c r="AN5" s="208"/>
      <c r="AO5" s="208"/>
      <c r="AP5" s="208"/>
      <c r="AQ5" s="208"/>
      <c r="AR5" s="208"/>
      <c r="AS5" s="208"/>
      <c r="AT5" s="208"/>
      <c r="AU5" s="208"/>
      <c r="AV5" s="208"/>
      <c r="AW5" s="208"/>
      <c r="AX5" s="208"/>
      <c r="AY5" s="208"/>
      <c r="AZ5" s="208"/>
      <c r="BA5" s="208"/>
      <c r="BB5" s="208"/>
      <c r="BC5" s="208"/>
      <c r="BD5" s="208"/>
      <c r="BE5" s="208"/>
      <c r="BF5" s="208"/>
      <c r="BG5" s="208"/>
      <c r="BH5" s="208"/>
      <c r="BI5" s="208"/>
      <c r="BJ5" s="208"/>
      <c r="BK5" s="208"/>
      <c r="BL5" s="208"/>
      <c r="BM5" s="208"/>
      <c r="BN5" s="208"/>
    </row>
    <row r="6" spans="1:66" s="198" customFormat="1" ht="70.2" customHeight="1">
      <c r="A6" s="217" t="str">
        <f>Data!CZ5</f>
        <v>Retail Customer</v>
      </c>
      <c r="B6" s="217"/>
      <c r="C6" s="217"/>
      <c r="D6" s="217"/>
      <c r="E6" s="217"/>
      <c r="F6" s="217"/>
      <c r="G6" s="204"/>
      <c r="H6" s="204"/>
      <c r="I6" s="204"/>
      <c r="J6" s="204"/>
      <c r="K6" s="204"/>
      <c r="L6" s="212" t="str">
        <f>CONCATENATE(Data!BH5," ",Data!BI5," ",Data!BJ5," ",Data!BK5," ",Data!BL5)</f>
        <v xml:space="preserve"> 219  Wendouree Parade  </v>
      </c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  <c r="AM6" s="208"/>
      <c r="AN6" s="208"/>
      <c r="AO6" s="208"/>
      <c r="AP6" s="208"/>
      <c r="AQ6" s="208"/>
      <c r="AR6" s="208"/>
      <c r="AS6" s="208"/>
      <c r="AT6" s="208"/>
      <c r="AU6" s="208"/>
      <c r="AV6" s="208"/>
      <c r="AW6" s="208"/>
      <c r="AX6" s="208"/>
      <c r="AY6" s="208"/>
      <c r="AZ6" s="208"/>
      <c r="BA6" s="208"/>
      <c r="BB6" s="208"/>
      <c r="BC6" s="208"/>
      <c r="BD6" s="208"/>
      <c r="BE6" s="208"/>
      <c r="BF6" s="208"/>
      <c r="BG6" s="208"/>
      <c r="BH6" s="208"/>
      <c r="BI6" s="208"/>
      <c r="BJ6" s="208"/>
      <c r="BK6" s="208"/>
      <c r="BL6" s="208"/>
      <c r="BM6" s="208"/>
      <c r="BN6" s="208"/>
    </row>
    <row r="7" spans="1:66" s="198" customFormat="1" ht="70.2" customHeight="1">
      <c r="A7" s="217"/>
      <c r="B7" s="217"/>
      <c r="C7" s="217"/>
      <c r="D7" s="217"/>
      <c r="E7" s="217"/>
      <c r="F7" s="217"/>
      <c r="G7" s="204"/>
      <c r="H7" s="204"/>
      <c r="I7" s="204"/>
      <c r="J7" s="204"/>
      <c r="K7" s="204"/>
      <c r="L7" s="212" t="str">
        <f>CONCATENATE(Data!BM5," ",Data!BN5," ",Data!BO5," ",Data!BP5)</f>
        <v>Lake Wendouree VIC 3350 Australia</v>
      </c>
      <c r="M7" s="212"/>
      <c r="N7" s="212"/>
      <c r="O7" s="212"/>
      <c r="P7" s="212"/>
      <c r="Q7" s="212"/>
      <c r="R7" s="212"/>
      <c r="S7" s="212"/>
      <c r="T7" s="212"/>
      <c r="U7" s="212"/>
      <c r="V7" s="212"/>
      <c r="W7" s="212"/>
      <c r="X7" s="212"/>
      <c r="Y7" s="208"/>
      <c r="Z7" s="208"/>
      <c r="AA7" s="208"/>
      <c r="AB7" s="208"/>
      <c r="AC7" s="208"/>
      <c r="AD7" s="208"/>
      <c r="AE7" s="208"/>
      <c r="AF7" s="208"/>
      <c r="AG7" s="208"/>
      <c r="AH7" s="208"/>
      <c r="AI7" s="208"/>
      <c r="AJ7" s="208"/>
      <c r="AK7" s="208"/>
      <c r="AL7" s="208"/>
      <c r="AM7" s="208"/>
      <c r="AN7" s="208"/>
      <c r="AO7" s="208"/>
      <c r="AP7" s="208"/>
      <c r="AQ7" s="208"/>
      <c r="AR7" s="208"/>
      <c r="AS7" s="208"/>
      <c r="AT7" s="208"/>
      <c r="AU7" s="208"/>
      <c r="AV7" s="208"/>
      <c r="AW7" s="208"/>
      <c r="AX7" s="208"/>
      <c r="AY7" s="208"/>
      <c r="AZ7" s="208"/>
      <c r="BA7" s="208"/>
      <c r="BB7" s="208"/>
      <c r="BC7" s="208"/>
      <c r="BD7" s="208"/>
      <c r="BE7" s="208"/>
      <c r="BF7" s="208"/>
      <c r="BG7" s="208"/>
      <c r="BH7" s="208"/>
      <c r="BI7" s="208"/>
      <c r="BJ7" s="208"/>
      <c r="BK7" s="208"/>
      <c r="BL7" s="208"/>
      <c r="BM7" s="208"/>
      <c r="BN7" s="208"/>
    </row>
    <row r="8" spans="1:87" s="184" customFormat="1" ht="50.1" customHeight="1">
      <c r="A8" s="205" t="s">
        <v>116</v>
      </c>
      <c r="B8" s="202" t="s">
        <v>168</v>
      </c>
      <c r="C8" s="201" t="s">
        <v>96</v>
      </c>
      <c r="D8" s="207" t="s">
        <v>748</v>
      </c>
      <c r="E8" s="207" t="s">
        <v>128</v>
      </c>
      <c r="F8" s="206" t="s">
        <v>226</v>
      </c>
      <c r="G8" s="207" t="s">
        <v>172</v>
      </c>
      <c r="H8" s="206" t="s">
        <v>227</v>
      </c>
      <c r="I8" s="203" t="s">
        <v>11</v>
      </c>
      <c r="J8" s="203" t="s">
        <v>173</v>
      </c>
      <c r="K8" s="203" t="s">
        <v>174</v>
      </c>
      <c r="L8" s="203" t="s">
        <v>218</v>
      </c>
      <c r="M8" s="202" t="s">
        <v>175</v>
      </c>
      <c r="N8" s="202" t="s">
        <v>187</v>
      </c>
      <c r="O8" s="202" t="s">
        <v>11572</v>
      </c>
      <c r="P8" s="202" t="s">
        <v>177</v>
      </c>
      <c r="Q8" s="202" t="s">
        <v>178</v>
      </c>
      <c r="R8" s="202" t="s">
        <v>513</v>
      </c>
      <c r="S8" s="202" t="s">
        <v>139</v>
      </c>
      <c r="T8" s="202" t="s">
        <v>7292</v>
      </c>
      <c r="U8" s="202" t="s">
        <v>7293</v>
      </c>
      <c r="V8" s="202" t="s">
        <v>7294</v>
      </c>
      <c r="W8" s="202" t="s">
        <v>556</v>
      </c>
      <c r="X8" s="202" t="s">
        <v>176</v>
      </c>
      <c r="Y8" s="202" t="s">
        <v>179</v>
      </c>
      <c r="Z8" s="202" t="s">
        <v>602</v>
      </c>
      <c r="AA8" s="202" t="s">
        <v>601</v>
      </c>
      <c r="AB8" s="202" t="s">
        <v>139</v>
      </c>
      <c r="AC8" s="202" t="s">
        <v>5355</v>
      </c>
      <c r="AD8" s="201" t="s">
        <v>149</v>
      </c>
      <c r="AE8" s="202" t="s">
        <v>290</v>
      </c>
      <c r="AF8" s="201" t="s">
        <v>11569</v>
      </c>
      <c r="AG8" s="201" t="s">
        <v>11570</v>
      </c>
      <c r="AH8" s="201" t="s">
        <v>153</v>
      </c>
      <c r="AI8" s="201" t="s">
        <v>155</v>
      </c>
      <c r="AJ8" s="201" t="s">
        <v>11571</v>
      </c>
      <c r="AK8" s="202" t="s">
        <v>11557</v>
      </c>
      <c r="AL8" s="202" t="s">
        <v>7540</v>
      </c>
      <c r="AM8" s="202" t="s">
        <v>11558</v>
      </c>
      <c r="AN8" s="202" t="s">
        <v>11559</v>
      </c>
      <c r="AO8" s="202" t="s">
        <v>7541</v>
      </c>
      <c r="AP8" s="202" t="s">
        <v>11560</v>
      </c>
      <c r="AQ8" s="202" t="s">
        <v>11561</v>
      </c>
      <c r="AR8" s="202" t="s">
        <v>7542</v>
      </c>
      <c r="AS8" s="202" t="s">
        <v>11562</v>
      </c>
      <c r="AT8" s="202" t="s">
        <v>11563</v>
      </c>
      <c r="AU8" s="202" t="s">
        <v>7543</v>
      </c>
      <c r="AV8" s="202" t="s">
        <v>11564</v>
      </c>
      <c r="AW8" s="200" t="s">
        <v>129</v>
      </c>
      <c r="AX8" s="202" t="s">
        <v>373</v>
      </c>
      <c r="AY8" s="202" t="s">
        <v>380</v>
      </c>
      <c r="AZ8" s="202" t="s">
        <v>374</v>
      </c>
      <c r="BA8" s="202" t="s">
        <v>375</v>
      </c>
      <c r="BB8" s="202" t="s">
        <v>376</v>
      </c>
      <c r="BC8" s="202" t="s">
        <v>377</v>
      </c>
      <c r="BD8" s="202" t="s">
        <v>614</v>
      </c>
      <c r="BE8" s="202" t="s">
        <v>381</v>
      </c>
      <c r="BF8" s="202" t="s">
        <v>424</v>
      </c>
      <c r="BG8" s="202" t="s">
        <v>379</v>
      </c>
      <c r="BH8" s="201" t="s">
        <v>9768</v>
      </c>
      <c r="BI8" s="202" t="s">
        <v>125</v>
      </c>
      <c r="BJ8" s="202" t="s">
        <v>11565</v>
      </c>
      <c r="BK8" s="202" t="s">
        <v>11566</v>
      </c>
      <c r="BL8" s="202" t="s">
        <v>11567</v>
      </c>
      <c r="BM8" s="202" t="s">
        <v>11568</v>
      </c>
      <c r="BN8" s="202" t="s">
        <v>5</v>
      </c>
      <c r="BO8" s="183"/>
      <c r="BP8" s="202" t="s">
        <v>7204</v>
      </c>
      <c r="BQ8" s="202" t="s">
        <v>7205</v>
      </c>
      <c r="BR8" s="201" t="s">
        <v>189</v>
      </c>
      <c r="BS8" s="202" t="s">
        <v>114</v>
      </c>
      <c r="BT8" s="202" t="s">
        <v>6140</v>
      </c>
      <c r="BU8" s="202" t="s">
        <v>6141</v>
      </c>
      <c r="BV8" s="202" t="s">
        <v>6142</v>
      </c>
      <c r="BW8" s="202" t="s">
        <v>6143</v>
      </c>
      <c r="BX8" s="202" t="s">
        <v>690</v>
      </c>
      <c r="BY8" s="200" t="s">
        <v>3599</v>
      </c>
      <c r="BZ8" s="200" t="s">
        <v>421</v>
      </c>
      <c r="CA8" s="200" t="s">
        <v>3600</v>
      </c>
      <c r="CB8" s="201" t="s">
        <v>137</v>
      </c>
      <c r="CC8" s="201" t="s">
        <v>11605</v>
      </c>
      <c r="CD8" s="201" t="s">
        <v>11607</v>
      </c>
      <c r="CE8" s="201" t="s">
        <v>11608</v>
      </c>
      <c r="CF8" s="201" t="s">
        <v>11609</v>
      </c>
      <c r="CG8" s="201" t="s">
        <v>11610</v>
      </c>
      <c r="CH8" s="200" t="s">
        <v>12070</v>
      </c>
      <c r="CI8" s="200" t="s">
        <v>12092</v>
      </c>
    </row>
    <row r="9" spans="1:87" s="184" customFormat="1" ht="14.25" customHeight="1" hidden="1">
      <c r="A9" s="205"/>
      <c r="B9" s="202"/>
      <c r="C9" s="201"/>
      <c r="D9" s="207"/>
      <c r="E9" s="207"/>
      <c r="F9" s="206"/>
      <c r="G9" s="207"/>
      <c r="H9" s="206"/>
      <c r="I9" s="203"/>
      <c r="J9" s="203"/>
      <c r="K9" s="203"/>
      <c r="L9" s="203"/>
      <c r="M9" s="202"/>
      <c r="N9" s="202"/>
      <c r="O9" s="202"/>
      <c r="P9" s="202"/>
      <c r="Q9" s="202"/>
      <c r="R9" s="202"/>
      <c r="S9" s="202"/>
      <c r="T9" s="202"/>
      <c r="U9" s="202"/>
      <c r="V9" s="202"/>
      <c r="W9" s="202"/>
      <c r="X9" s="202"/>
      <c r="Y9" s="202"/>
      <c r="Z9" s="202"/>
      <c r="AA9" s="202"/>
      <c r="AB9" s="202"/>
      <c r="AC9" s="202"/>
      <c r="AD9" s="201"/>
      <c r="AE9" s="202"/>
      <c r="AF9" s="201"/>
      <c r="AG9" s="201"/>
      <c r="AH9" s="201"/>
      <c r="AI9" s="201"/>
      <c r="AJ9" s="201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2"/>
      <c r="AW9" s="200"/>
      <c r="AX9" s="202"/>
      <c r="AY9" s="202"/>
      <c r="AZ9" s="202"/>
      <c r="BA9" s="202"/>
      <c r="BB9" s="202"/>
      <c r="BC9" s="202"/>
      <c r="BD9" s="202"/>
      <c r="BE9" s="202"/>
      <c r="BF9" s="202"/>
      <c r="BG9" s="202"/>
      <c r="BH9" s="201"/>
      <c r="BI9" s="202"/>
      <c r="BJ9" s="202"/>
      <c r="BK9" s="202"/>
      <c r="BL9" s="202"/>
      <c r="BM9" s="202"/>
      <c r="BN9" s="202"/>
      <c r="BO9" s="183"/>
      <c r="BP9" s="202"/>
      <c r="BQ9" s="202"/>
      <c r="BR9" s="201"/>
      <c r="BS9" s="202"/>
      <c r="BT9" s="202"/>
      <c r="BU9" s="202"/>
      <c r="BV9" s="202"/>
      <c r="BW9" s="202"/>
      <c r="BX9" s="202"/>
      <c r="BY9" s="200"/>
      <c r="BZ9" s="200"/>
      <c r="CA9" s="200"/>
      <c r="CB9" s="201"/>
      <c r="CC9" s="201"/>
      <c r="CD9" s="201"/>
      <c r="CE9" s="201"/>
      <c r="CF9" s="201"/>
      <c r="CG9" s="201"/>
      <c r="CH9" s="200"/>
      <c r="CI9" s="200"/>
    </row>
    <row r="10" spans="1:87" s="185" customFormat="1" ht="76.5" customHeight="1">
      <c r="A10" s="205"/>
      <c r="B10" s="202"/>
      <c r="C10" s="201"/>
      <c r="D10" s="207"/>
      <c r="E10" s="207"/>
      <c r="F10" s="206"/>
      <c r="G10" s="207"/>
      <c r="H10" s="206"/>
      <c r="I10" s="203"/>
      <c r="J10" s="203"/>
      <c r="K10" s="203"/>
      <c r="L10" s="203"/>
      <c r="M10" s="202"/>
      <c r="N10" s="202"/>
      <c r="O10" s="202"/>
      <c r="P10" s="202"/>
      <c r="Q10" s="202"/>
      <c r="R10" s="202"/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1"/>
      <c r="AE10" s="202"/>
      <c r="AF10" s="201"/>
      <c r="AG10" s="201"/>
      <c r="AH10" s="201"/>
      <c r="AI10" s="201"/>
      <c r="AJ10" s="201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2"/>
      <c r="AW10" s="200"/>
      <c r="AX10" s="202"/>
      <c r="AY10" s="202"/>
      <c r="AZ10" s="202"/>
      <c r="BA10" s="202"/>
      <c r="BB10" s="202"/>
      <c r="BC10" s="202"/>
      <c r="BD10" s="202"/>
      <c r="BE10" s="202"/>
      <c r="BF10" s="202"/>
      <c r="BG10" s="202"/>
      <c r="BH10" s="201"/>
      <c r="BI10" s="202"/>
      <c r="BJ10" s="202"/>
      <c r="BK10" s="202"/>
      <c r="BL10" s="202"/>
      <c r="BM10" s="202"/>
      <c r="BN10" s="202"/>
      <c r="BO10" s="183"/>
      <c r="BP10" s="202"/>
      <c r="BQ10" s="202"/>
      <c r="BR10" s="201"/>
      <c r="BS10" s="202"/>
      <c r="BT10" s="202"/>
      <c r="BU10" s="202"/>
      <c r="BV10" s="202"/>
      <c r="BW10" s="202"/>
      <c r="BX10" s="202"/>
      <c r="BY10" s="200"/>
      <c r="BZ10" s="200"/>
      <c r="CA10" s="200"/>
      <c r="CB10" s="201"/>
      <c r="CC10" s="201"/>
      <c r="CD10" s="201"/>
      <c r="CE10" s="201"/>
      <c r="CF10" s="201"/>
      <c r="CG10" s="201"/>
      <c r="CH10" s="200"/>
      <c r="CI10" s="200"/>
    </row>
    <row r="11" spans="1:87" s="53" customFormat="1" ht="120">
      <c r="A11" s="105">
        <f>Data!AW11</f>
        <v>28</v>
      </c>
      <c r="B11" s="58" t="str">
        <f>IF(Data!BE11="","",MID(Data!BE11,6,80))</f>
        <v>Nettex Brunswick (Continuous) Uncoated Talc</v>
      </c>
      <c r="C11" s="58" t="str">
        <f>Data!AY11</f>
        <v>Study ALTERATION</v>
      </c>
      <c r="D11" s="106" t="str">
        <f t="array" ref="D11">bpLOOKUP(Data!$AV11,"SINGLE",CustOrdOpt,6,FALSE)</f>
        <v>Single</v>
      </c>
      <c r="E11" s="107">
        <f>SUM(Data!BA11)</f>
        <v>3640</v>
      </c>
      <c r="F11" s="108" t="str">
        <f t="array" ref="F11">bpLOOKUP(Data!$AV11,"Size",CustOrdOpt,6,FALSE)</f>
        <v>Opening</v>
      </c>
      <c r="G11" s="107">
        <f>SUM(Data!BB11)</f>
        <v>2655</v>
      </c>
      <c r="H11" s="108" t="str">
        <f t="array" ref="H11">bpLOOKUP(Data!$AV11,"DROPSIZE",CustOrdOpt,6,FALSE)</f>
        <v>Opening</v>
      </c>
      <c r="I11" s="109" t="str">
        <f t="array" ref="I11">bpLOOKUP(Data!$AV11,"FIT",CustOrdOpt,6,FALSE)</f>
        <v>Face</v>
      </c>
      <c r="J11" s="109" t="str">
        <f t="array" ref="J11">bpLOOKUP(Data!$AV11,"MEASUREDAS",CustOrdOpt,6,FALSE)</f>
        <v>Cornice to Floor</v>
      </c>
      <c r="K11" s="109" t="str">
        <f t="array" ref="K11">bpLOOKUP(Data!$AV11,"FLOORING",CustOrdOpt,6,FALSE)</f>
        <v>Yes</v>
      </c>
      <c r="L11" s="109" t="str">
        <f t="array" ref="L11">bpLOOKUP(Data!$AV11,"HEIGHTOFFFLOOR",CustOrdOpt,6,FALSE)</f>
        <v>Just off the Floor</v>
      </c>
      <c r="M11" s="59" t="str">
        <f t="array" ref="M11">bpLOOKUP(Data!$AV11,"CURTAIN",CustOrdOpt,6,FALSE)</f>
        <v>No Lining</v>
      </c>
      <c r="N11" s="59" t="str">
        <f t="array" ref="N11">bpLOOKUP(Data!$AV11,"LININGCOLOUR",CustOrdOpt,6,FALSE)</f>
        <v/>
      </c>
      <c r="O11" s="59" t="str">
        <f t="array" ref="O11">bpLOOKUP(Data!$AV11,"COLLININGF",CustOrdOpt,6,FALSE)</f>
        <v/>
      </c>
      <c r="P11" s="59" t="str">
        <f t="array" ref="P11">bpLOOKUP(Data!$AV11,"HEADINGSTYLE",CustOrdOpt,6,FALSE)</f>
        <v>Wavefold (Standard Fullness x 2)</v>
      </c>
      <c r="Q11" s="59" t="str">
        <f t="array" ref="Q11">bpLOOKUP(Data!$AV11,"TAPE",CustOrdOpt,6,FALSE)</f>
        <v>75mm Clear Tape</v>
      </c>
      <c r="R11" s="59" t="str">
        <f t="array" ref="R11">bpLOOKUP(Data!$AV11,"HOOK",CustOrdOpt,6,FALSE)</f>
        <v>Wavefold Hooks</v>
      </c>
      <c r="S11" s="59" t="str">
        <f t="array" ref="S11">bpLOOKUP(Data!$AV11,"OPENING",CustOrdOpt,6,FALSE)</f>
        <v>Centre Opening</v>
      </c>
      <c r="T11" s="59" t="str">
        <f t="array" ref="T11">bpLOOKUP(Data!$AV11,"OFFSETL",CustOrdOpt,6,FALSE)</f>
        <v/>
      </c>
      <c r="U11" s="59" t="str">
        <f t="array" ref="U11">bpLOOKUP(Data!$AV11,"OFFSETR",CustOrdOpt,6,FALSE)</f>
        <v/>
      </c>
      <c r="V11" s="59" t="str">
        <f t="array" ref="V11">bpLOOKUP(Data!$AV11,"OFFSET",CustOrdOpt,6,FALSE)</f>
        <v/>
      </c>
      <c r="W11" s="59" t="str">
        <f t="array" ref="W11">bpLOOKUP(Data!$AV11,"HEM",CustOrdOpt,6,FALSE)</f>
        <v>Standard 75mm</v>
      </c>
      <c r="X11" s="59" t="str">
        <f t="array" ref="X11">bpLOOKUP(Data!$AV11,"RETURNS",CustOrdOpt,6,FALSE)</f>
        <v>None</v>
      </c>
      <c r="Y11" s="59" t="str">
        <f t="array" ref="Y11">IF(Data!AX11="","",IF(bpLOOKUP(Data!$AV11,"RETURNSIZE",CustOrdOpt,6,FALSE)="","0",bpLOOKUP(Data!$AV11,"RETURNSIZE",CustOrdOpt,6,FALSE)))</f>
        <v>0</v>
      </c>
      <c r="Z11" s="59" t="str">
        <f t="array" ref="Z11">bpLOOKUP(Data!$AV11,"TRACKTYPE",CustOrdOpt,6,FALSE)</f>
        <v>Wavefold Hand Operation</v>
      </c>
      <c r="AA11" s="59" t="str">
        <f t="array" ref="AA11">bpLOOKUP(Data!$AV11,"TRACKCOLOUR",CustOrdOpt,6,FALSE)</f>
        <v>White</v>
      </c>
      <c r="AB11" s="59" t="str">
        <f t="array" ref="AB11">bpLOOKUP(Data!$AV11,"CORDOP",CustOrdOpt,6,FALSE)</f>
        <v>Hand Operation</v>
      </c>
      <c r="AC11" s="59" t="str">
        <f t="array" ref="AC11">bpLOOKUP(Data!$AV11,"CONTROL",CustOrdOpt,6,FALSE)</f>
        <v/>
      </c>
      <c r="AD11" s="59" t="str">
        <f t="array" ref="AD11">bpLOOKUP(Data!$AV11,"BRACKETS",CustOrdOpt,6,FALSE)</f>
        <v>Single Face Fix Brackets</v>
      </c>
      <c r="AE11" s="59" t="str">
        <f t="array" ref="AE11">bpLOOKUP(Data!$AV11,"FINIALS",CustOrdOpt,6,FALSE)</f>
        <v/>
      </c>
      <c r="AF11" s="59" t="str">
        <f t="array" ref="AF11">bpLOOKUP(Data!$AV11,"HANGERQTY",CustOrdOpt,6,FALSE)</f>
        <v/>
      </c>
      <c r="AG11" s="59" t="str">
        <f t="array" ref="AG11">bpLOOKUP(Data!$AV11,"HANGERL",CustOrdOpt,6,FALSE)</f>
        <v/>
      </c>
      <c r="AH11" s="59" t="str">
        <f t="array" ref="AH11">bpLOOKUP(Data!$AV11,"FLICKSTICKS",CustOrdOpt,6,FALSE)</f>
        <v>White Aluminium Flick Sticks 125cm</v>
      </c>
      <c r="AI11" s="59" t="str">
        <f t="array" ref="AI11">bpLOOKUP(Data!$AV11,"TRACKSHAPE",CustOrdOpt,6,FALSE)</f>
        <v>Bent</v>
      </c>
      <c r="AJ11" s="59" t="str">
        <f t="array" ref="AJ11">bpLOOKUP(Data!$AV11,"BENDS",CustOrdOpt,6,FALSE)</f>
        <v>1</v>
      </c>
      <c r="AK11" s="59" t="str">
        <f t="array" ref="AK11">bpLOOKUP(Data!$AV11,"1STBENDSH",CustOrdOpt,6,FALSE)</f>
        <v>Internal</v>
      </c>
      <c r="AL11" s="59" t="str">
        <f t="array" ref="AL11">bpLOOKUP(Data!$AV11,"1STBEND",CustOrdOpt,6,FALSE)</f>
        <v>1810</v>
      </c>
      <c r="AM11" s="59" t="str">
        <f t="array" ref="AM11">bpLOOKUP(Data!$AV11,"1STBENDA",CustOrdOpt,6,FALSE)</f>
        <v>90</v>
      </c>
      <c r="AN11" s="59" t="str">
        <f t="array" ref="AN11">bpLOOKUP(Data!$AV11,"2NDBENDSH",CustOrdOpt,6,FALSE)</f>
        <v/>
      </c>
      <c r="AO11" s="59" t="str">
        <f t="array" ref="AO11">bpLOOKUP(Data!$AV11,"2NDBEND",CustOrdOpt,6,FALSE)</f>
        <v/>
      </c>
      <c r="AP11" s="59" t="str">
        <f t="array" ref="AP11">bpLOOKUP(Data!$AV11,"2NDBENDA",CustOrdOpt,6,FALSE)</f>
        <v/>
      </c>
      <c r="AQ11" s="59" t="str">
        <f t="array" ref="AQ11">bpLOOKUP(Data!$AV11,"3RDBENDSH",CustOrdOpt,6,FALSE)</f>
        <v/>
      </c>
      <c r="AR11" s="59" t="str">
        <f t="array" ref="AR11">bpLOOKUP(Data!$AV11,"3RDBEND",CustOrdOpt,6,FALSE)</f>
        <v/>
      </c>
      <c r="AS11" s="59" t="str">
        <f t="array" ref="AS11">bpLOOKUP(Data!$AV11,"3RDBENDA",CustOrdOpt,6,FALSE)</f>
        <v/>
      </c>
      <c r="AT11" s="59" t="str">
        <f t="array" ref="AT11">bpLOOKUP(Data!$AV11,"4THBENDSH",CustOrdOpt,6,FALSE)</f>
        <v/>
      </c>
      <c r="AU11" s="59" t="str">
        <f t="array" ref="AU11">bpLOOKUP(Data!$AV11,"4THBEND",CustOrdOpt,6,FALSE)</f>
        <v/>
      </c>
      <c r="AV11" s="59" t="str">
        <f t="array" ref="AV11">bpLOOKUP(Data!$AV11,"4THBENDA",CustOrdOpt,6,FALSE)</f>
        <v/>
      </c>
      <c r="AW11" s="59" t="str">
        <f t="array" ref="AW11">bpLOOKUP(Data!$AV11,"SIDEBYSIDE",CustOrdOpt,6,FALSE)</f>
        <v>No</v>
      </c>
      <c r="AX11" s="59" t="str">
        <f t="array" ref="AX11">IF(bpLOOKUP(Data!$AV11,"PELTYPE",CustOrdOpt,6,FALSE)="None","",bpLOOKUP(Data!$AV11,"PELTYPE",CustOrdOpt,6,FALSE))</f>
        <v/>
      </c>
      <c r="AY11" s="111" t="str">
        <f t="array" ref="AY11">bpLOOKUP(Data!$AV11,"ADDWIDTH",CustOrdOpt,6,FALSE)</f>
        <v/>
      </c>
      <c r="AZ11" s="59" t="str">
        <f t="array" ref="AZ11">bpLOOKUP(Data!$AV11,"PELSHAPE",CustOrdOpt,6,FALSE)</f>
        <v/>
      </c>
      <c r="BA11" s="59" t="str">
        <f t="array" ref="BA11">bpLOOKUP(Data!$AV11,"PELFACE",CustOrdOpt,6,FALSE)</f>
        <v/>
      </c>
      <c r="BB11" s="59" t="str">
        <f t="array" ref="BB11">bpLOOKUP(Data!$AV11,"PELRETURN",CustOrdOpt,6,FALSE)</f>
        <v/>
      </c>
      <c r="BC11" s="59" t="str">
        <f t="array" ref="BC11">bpLOOKUP(Data!$AV11,"PELRETURNSIZE",CustOrdOpt,6,FALSE)</f>
        <v/>
      </c>
      <c r="BD11" s="59" t="str">
        <f t="array" ref="BD11">bpLOOKUP(Data!$AV11,"HBSIZE",CustOrdOpt,6,FALSE)</f>
        <v/>
      </c>
      <c r="BE11" s="59" t="str">
        <f t="array" ref="BE11">bpLOOKUP(Data!$AV11,"PIPING",CustOrdOpt,6,FALSE)</f>
        <v/>
      </c>
      <c r="BF11" s="59" t="str">
        <f t="array" ref="BF11">IF(Data!AW11="","",IF(bpLOOKUP(Data!$AV11,"TIEBACKS",CustOrdOpt,6,FALSE)="None","",bpLOOKUP(Data!$AV11,"TIEBACKS",CustOrdOpt,6,FALSE)))</f>
        <v/>
      </c>
      <c r="BG11" s="59" t="str">
        <f t="array" ref="BG11">bpLOOKUP(Data!$AV11,"TIEBACKHOOK",CustOrdOpt,6,FALSE)</f>
        <v/>
      </c>
      <c r="BH11" s="52" t="str">
        <f>IF(Data!BA11="","",VLOOKUP(CONCATENATE(Z11,AA11,AI11),TBSTracks,2,FALSE))</f>
        <v>Track from TBS</v>
      </c>
      <c r="BI11" s="59" t="str">
        <f t="array" ref="BI11">bpLOOKUP(Data!$AV11,"INSTALLATION",CustOrdOpt,6,FALSE)</f>
        <v>Curtain &amp; Track Installation</v>
      </c>
      <c r="BJ11" s="59" t="str">
        <f t="array" ref="BJ11">bpLOOKUP(Data!$AV11,"HANGHEIGHT",CustOrdOpt,6,FALSE)</f>
        <v>2.4m-2.7m</v>
      </c>
      <c r="BK11" s="59" t="str">
        <f t="array" ref="BK11">bpLOOKUP(Data!$AV11,"INSTALLG",CustOrdOpt,6,FALSE)</f>
        <v>Occupied Home</v>
      </c>
      <c r="BL11" s="59" t="str">
        <f t="array" ref="BL11">bpLOOKUP(Data!$AV11,"TAKEDOWN",CustOrdOpt,6,FALSE)</f>
        <v>No</v>
      </c>
      <c r="BM11" s="59" t="str">
        <f t="array" ref="BM11">bpLOOKUP(Data!$AV11,"CHECKM",CustOrdOpt,6,FALSE)</f>
        <v>No</v>
      </c>
      <c r="BN11" s="59" t="str">
        <f t="array" ref="BN11">bpLOOKUP(Data!$AV11,"NOTES",CustOrdOpt,6,FALSE)</f>
        <v>Alteration to curtain drop</v>
      </c>
      <c r="BP11" s="51">
        <f>IF(Data!BA11="","",IF(AND(F11="Opening",AI11="Bent"),Data!BA11-VLOOKUP(I11,FitDeduct,2,FALSE)-VLOOKUP(AW11,SideDeduct,2,FALSE)-CC11+55,IF(F11="Opening",Data!BA11-VLOOKUP(I11,FitDeduct,2,FALSE)-VLOOKUP(AW11,SideDeduct,2,FALSE)+55,IF(F11="Curtin Making Size",Data!BA11,IF(F11="Track Making Size",Data!BA11)+55))))</f>
        <v>3491</v>
      </c>
      <c r="BQ11" s="51">
        <f>IF(Data!BB11="","",IF(J11="Finished Drop",G11,IF(H11="Opening",Data!BB11-VLOOKUP(CONCATENATE(D11,Z11,R11,AD11),Hook,5,FALSE)-VLOOKUP(K11,Flooring,2,FALSE)-VLOOKUP(L11,Heightofffloor,2,FALSE)+IF(Q11="75mm Tape mounted 20mm from Top",10)+IF(Q11="75mm Tape mounted 25mm from Top",15)+IF(Q11="50mm Tape mounted 20mm from Top",10),IF(H11="Making",Data!BB11,""))))</f>
        <v>2625</v>
      </c>
      <c r="BR11" s="110" t="str">
        <f t="array" ref="BR11">bpLOOKUP(Data!$AV11,"NOTEDROPS",CustOrdOpt,6,FALSE)</f>
        <v/>
      </c>
      <c r="BS11" s="59">
        <f>IF(Data!AV11="","",IFERROR(VLOOKUP(B11,Fabrics,3,FALSE),0)/10)</f>
        <v>320</v>
      </c>
      <c r="BT11" s="59">
        <f>IF(F11="Track Making Size",AL11,IF(AND(F11="Opening",AI11="Bent",IFERROR(VALUE(AJ11),0)&gt;=1),ROUND(IFERROR(VALUE(AL11),0)-CD11/2,0),""))</f>
        <v>1708</v>
      </c>
      <c r="BU11" s="59" t="str">
        <f>IF(F11="Track Making Size",AO11,IF(AND(F11="Opening",AI11="Bent",IFERROR(VALUE(AJ11),0)&gt;=2),ROUND(IFERROR(VALUE(AO11),0)-(CD11+CE11/2),0),""))</f>
        <v/>
      </c>
      <c r="BV11" s="59" t="str">
        <f>IF(F11="Track Making Size",AR11,IF(AND(F11="Opening",AI11="Bent",IFERROR(VALUE(AJ11),0)&gt;=3),ROUND(IFERROR(VALUE(AR11),0)-(CD11+CE11+CF11/2),0),""))</f>
        <v/>
      </c>
      <c r="BW11" s="59" t="str">
        <f>IF(F11="Track Making Size",AU11,IF(AND(F11="Opening",AI11="Bent",IFERROR(VALUE(AJ11),0)&gt;=4),ROUND(IFERROR(VALUE(AU11),0)-(CD11+CE11+CF11+CG11/2),0),""))</f>
        <v/>
      </c>
      <c r="BX11" s="59">
        <f>IF(Data!AV11="","",IF(VLOOKUP(CONCATENATE(Z11,AA11,AI11),TBSTracks,4,FALSE)="0","0",IF(OR(S11="Centre Opening",S11="Centre Opening - Free Flowing",S11="Centre Opening (Offset Split)",S11="Centre Opening - Free Flowing (Offset Split)"),VLOOKUP(CONCATENATE(Z11,AA11,AI11),TBSTracks,4,FALSE),"0")))</f>
        <v>0</v>
      </c>
      <c r="BY11" s="59" t="str">
        <f>IF(OR(BH11="Track from TBS",BH11="Track from Vanda"),"",IF(OR(Z11="Existing Normal S-Fold Track",P11="Wavefold (Standard Fullness x 2)",P11="Wavefold (Less Fullness x 1.8)",P11="Wavefold (Extra Fullness x 2.2)"),VLOOKUP(CONCATENATE(P11,S11),WavefoldLookUp,2,FALSE),""))</f>
        <v/>
      </c>
      <c r="BZ11" s="59" t="str">
        <f>IF(OR(BY11="Centre Opening 100%",BY11="Centre Opening 120%",BY11="Centre Opening 80%"),VLOOKUP(BP11,COPEN100,2,TRUE),IF(OR(BY11="100% One Way",BY11="120% One Way",BY11="80% One Way"),VLOOKUP(BP11,OneWay100,2,TRUE),""))</f>
        <v/>
      </c>
      <c r="CA11" s="59" t="str">
        <f>IF(BY11="","",VLOOKUP(X11,ReturnLookUp,2,FALSE))</f>
        <v/>
      </c>
      <c r="CB11" s="59" t="str">
        <f>IF(Data!AV11="","",IF(VLOOKUP(CONCATENATE(Z11,AA11,AI11),TBSTracks,2,FALSE)="DBS to Make",BP11-VLOOKUP(CONCATENATE(Z11,S11),Operation,2,FALSE)-VLOOKUP(CONCATENATE(D11,Z11,R11,AD11),Hook,4,FALSE)-55,""))</f>
        <v/>
      </c>
      <c r="CC11" s="192">
        <f>IF(Data!AV11="","",IF($AI11&lt;&gt;"Bent",0,ROUND(SUM(CD11:CG11),0)))</f>
        <v>204</v>
      </c>
      <c r="CD11" s="192">
        <f>IF($AI11&lt;&gt;"Bent","",ROUND($CH11*IF(IFERROR(VALUE($AJ11),0)&gt;=1,RADIANS(ABS(180-IFERROR(VALUE($AM11),0)))*IF(LEFT(UPPER(TRIM($AK11)),8)="INTERNAL",1,IF(LEFT(UPPER(TRIM($AK11)),8)="EXTERNAL",-1,0)),0),0))</f>
        <v>204</v>
      </c>
      <c r="CE11" s="192">
        <f>IF($AI11&lt;&gt;"Bent","",ROUND($CH11*IF(IFERROR(VALUE($AJ11),0)&gt;=2,RADIANS(ABS(180-IFERROR(VALUE($AP11),0)))*IF(LEFT(UPPER(TRIM($AN11)),8)="INTERNAL",1,IF(LEFT(UPPER(TRIM($AN11)),8)="EXTERNAL",-1,0)),0),0))</f>
        <v>0</v>
      </c>
      <c r="CF11" s="192">
        <f>IF($AI11&lt;&gt;"Bent","",ROUND($CH11*IF(IFERROR(VALUE($AJ11),0)&gt;=3,RADIANS(ABS(180-IFERROR(VALUE($AS11),0)))*IF(LEFT(UPPER(TRIM($AQ11)),8)="INTERNAL",1,IF(LEFT(UPPER(TRIM($AQ11)),8)="EXTERNAL",-1,0)),0),0))</f>
        <v>0</v>
      </c>
      <c r="CG11" s="192">
        <f>IF($AI11&lt;&gt;"Bent","",ROUND($CH11*IF(IFERROR(VALUE($AJ11),0)&gt;=4,RADIANS(ABS(180-IFERROR(VALUE($AV11),0)))*IF(LEFT(UPPER(TRIM($AT11)),8)="INTERNAL",1,IF(LEFT(UPPER(TRIM($AT11)),8)="EXTERNAL",-1,0)),0),0))</f>
        <v>0</v>
      </c>
      <c r="CH11" s="193">
        <f>IF($AI11&lt;&gt;"Bent",0,IFERROR(VLOOKUP($Z11,SaberTracks,3,FALSE),0)+MAX(IFERROR(VLOOKUP($D11&amp;$AD11,BracketProj,2,FALSE),0)-75,0)*1.25)</f>
        <v>130</v>
      </c>
      <c r="CI11" s="194">
        <f>IF(Data!BA11="","",IF(AND(F11="Opening",AI11="Bent"),VLOOKUP(I11,FitDeduct,2,FALSE)-VLOOKUP(AW11,SideDeduct,2,FALSE)-CC11+55,IF(F11="Opening",VLOOKUP(I11,FitDeduct,2,FALSE)-VLOOKUP(AW11,SideDeduct,2,FALSE)+55,IF(F11="Curtin Making Size",Data!BA11,IF(F11="Track Making Size",55)))))</f>
        <v>-149</v>
      </c>
    </row>
    <row r="12" spans="1:87" s="53" customFormat="1" ht="120">
      <c r="A12" s="105">
        <f>Data!AW12</f>
        <v>29</v>
      </c>
      <c r="B12" s="58" t="str">
        <f>IF(Data!BE12="","",MID(Data!BE12,6,80))</f>
        <v>Nettex Brunswick (Continuous) Uncoated Talc</v>
      </c>
      <c r="C12" s="58" t="str">
        <f>Data!AY12</f>
        <v>Hallway Door (IN) ALTERATION</v>
      </c>
      <c r="D12" s="106" t="str">
        <f t="array" ref="D12">bpLOOKUP(Data!$AV12,"SINGLE",CustOrdOpt,6,FALSE)</f>
        <v>Single</v>
      </c>
      <c r="E12" s="107">
        <f>SUM(Data!BA12)</f>
        <v>2600</v>
      </c>
      <c r="F12" s="108" t="str">
        <f t="array" ref="F12">bpLOOKUP(Data!$AV12,"Size",CustOrdOpt,6,FALSE)</f>
        <v>Opening</v>
      </c>
      <c r="G12" s="107">
        <f>SUM(Data!BB12)</f>
        <v>2455</v>
      </c>
      <c r="H12" s="108" t="str">
        <f t="array" ref="H12">bpLOOKUP(Data!$AV12,"DROPSIZE",CustOrdOpt,6,FALSE)</f>
        <v>Opening</v>
      </c>
      <c r="I12" s="109" t="str">
        <f t="array" ref="I12">bpLOOKUP(Data!$AV12,"FIT",CustOrdOpt,6,FALSE)</f>
        <v>Face</v>
      </c>
      <c r="J12" s="109" t="str">
        <f t="array" ref="J12">bpLOOKUP(Data!$AV12,"MEASUREDAS",CustOrdOpt,6,FALSE)</f>
        <v>Top of Arc to Floor</v>
      </c>
      <c r="K12" s="109" t="str">
        <f t="array" ref="K12">bpLOOKUP(Data!$AV12,"FLOORING",CustOrdOpt,6,FALSE)</f>
        <v>Yes</v>
      </c>
      <c r="L12" s="109" t="str">
        <f t="array" ref="L12">bpLOOKUP(Data!$AV12,"HEIGHTOFFFLOOR",CustOrdOpt,6,FALSE)</f>
        <v>Just off the Floor</v>
      </c>
      <c r="M12" s="59" t="str">
        <f t="array" ref="M12">bpLOOKUP(Data!$AV12,"CURTAIN",CustOrdOpt,6,FALSE)</f>
        <v>No Lining</v>
      </c>
      <c r="N12" s="59" t="str">
        <f t="array" ref="N12">bpLOOKUP(Data!$AV12,"LININGCOLOUR",CustOrdOpt,6,FALSE)</f>
        <v/>
      </c>
      <c r="O12" s="59" t="str">
        <f t="array" ref="O12">bpLOOKUP(Data!$AV12,"COLLININGF",CustOrdOpt,6,FALSE)</f>
        <v/>
      </c>
      <c r="P12" s="59" t="str">
        <f t="array" ref="P12">bpLOOKUP(Data!$AV12,"HEADINGSTYLE",CustOrdOpt,6,FALSE)</f>
        <v>Wavefold (Standard Fullness x 2)</v>
      </c>
      <c r="Q12" s="59" t="str">
        <f t="array" ref="Q12">bpLOOKUP(Data!$AV12,"TAPE",CustOrdOpt,6,FALSE)</f>
        <v>75mm Clear Tape</v>
      </c>
      <c r="R12" s="59" t="str">
        <f t="array" ref="R12">bpLOOKUP(Data!$AV12,"HOOK",CustOrdOpt,6,FALSE)</f>
        <v>Wavefold Hooks</v>
      </c>
      <c r="S12" s="59" t="str">
        <f t="array" ref="S12">bpLOOKUP(Data!$AV12,"OPENING",CustOrdOpt,6,FALSE)</f>
        <v>Centre Opening</v>
      </c>
      <c r="T12" s="59" t="str">
        <f t="array" ref="T12">bpLOOKUP(Data!$AV12,"OFFSETL",CustOrdOpt,6,FALSE)</f>
        <v/>
      </c>
      <c r="U12" s="59" t="str">
        <f t="array" ref="U12">bpLOOKUP(Data!$AV12,"OFFSETR",CustOrdOpt,6,FALSE)</f>
        <v/>
      </c>
      <c r="V12" s="59" t="str">
        <f t="array" ref="V12">bpLOOKUP(Data!$AV12,"OFFSET",CustOrdOpt,6,FALSE)</f>
        <v/>
      </c>
      <c r="W12" s="59" t="str">
        <f t="array" ref="W12">bpLOOKUP(Data!$AV12,"HEM",CustOrdOpt,6,FALSE)</f>
        <v>Standard 75mm</v>
      </c>
      <c r="X12" s="59" t="str">
        <f t="array" ref="X12">bpLOOKUP(Data!$AV12,"RETURNS",CustOrdOpt,6,FALSE)</f>
        <v>None</v>
      </c>
      <c r="Y12" s="59" t="str">
        <f t="array" ref="Y12">IF(Data!AX12="","",IF(bpLOOKUP(Data!$AV12,"RETURNSIZE",CustOrdOpt,6,FALSE)="","0",bpLOOKUP(Data!$AV12,"RETURNSIZE",CustOrdOpt,6,FALSE)))</f>
        <v>0</v>
      </c>
      <c r="Z12" s="59" t="str">
        <f t="array" ref="Z12">bpLOOKUP(Data!$AV12,"TRACKTYPE",CustOrdOpt,6,FALSE)</f>
        <v>Wavefold Hand Operation</v>
      </c>
      <c r="AA12" s="59" t="str">
        <f t="array" ref="AA12">bpLOOKUP(Data!$AV12,"TRACKCOLOUR",CustOrdOpt,6,FALSE)</f>
        <v>White</v>
      </c>
      <c r="AB12" s="59" t="str">
        <f t="array" ref="AB12">bpLOOKUP(Data!$AV12,"CORDOP",CustOrdOpt,6,FALSE)</f>
        <v>Hand Operation</v>
      </c>
      <c r="AC12" s="59" t="str">
        <f t="array" ref="AC12">bpLOOKUP(Data!$AV12,"CONTROL",CustOrdOpt,6,FALSE)</f>
        <v/>
      </c>
      <c r="AD12" s="59" t="str">
        <f t="array" ref="AD12">bpLOOKUP(Data!$AV12,"BRACKETS",CustOrdOpt,6,FALSE)</f>
        <v>Single Face Fix Brackets</v>
      </c>
      <c r="AE12" s="59" t="str">
        <f t="array" ref="AE12">bpLOOKUP(Data!$AV12,"FINIALS",CustOrdOpt,6,FALSE)</f>
        <v/>
      </c>
      <c r="AF12" s="59" t="str">
        <f t="array" ref="AF12">bpLOOKUP(Data!$AV12,"HANGERQTY",CustOrdOpt,6,FALSE)</f>
        <v/>
      </c>
      <c r="AG12" s="59" t="str">
        <f t="array" ref="AG12">bpLOOKUP(Data!$AV12,"HANGERL",CustOrdOpt,6,FALSE)</f>
        <v/>
      </c>
      <c r="AH12" s="59" t="str">
        <f t="array" ref="AH12">bpLOOKUP(Data!$AV12,"FLICKSTICKS",CustOrdOpt,6,FALSE)</f>
        <v>White Aluminium Flick Sticks 125cm</v>
      </c>
      <c r="AI12" s="59" t="str">
        <f t="array" ref="AI12">bpLOOKUP(Data!$AV12,"TRACKSHAPE",CustOrdOpt,6,FALSE)</f>
        <v>Straight</v>
      </c>
      <c r="AJ12" s="59" t="str">
        <f t="array" ref="AJ12">bpLOOKUP(Data!$AV12,"BENDS",CustOrdOpt,6,FALSE)</f>
        <v/>
      </c>
      <c r="AK12" s="59" t="str">
        <f t="array" ref="AK12">bpLOOKUP(Data!$AV12,"1STBENDSH",CustOrdOpt,6,FALSE)</f>
        <v/>
      </c>
      <c r="AL12" s="59" t="str">
        <f t="array" ref="AL12">bpLOOKUP(Data!$AV12,"1STBEND",CustOrdOpt,6,FALSE)</f>
        <v/>
      </c>
      <c r="AM12" s="59" t="str">
        <f t="array" ref="AM12">bpLOOKUP(Data!$AV12,"1STBENDA",CustOrdOpt,6,FALSE)</f>
        <v/>
      </c>
      <c r="AN12" s="59" t="str">
        <f t="array" ref="AN12">bpLOOKUP(Data!$AV12,"2NDBENDSH",CustOrdOpt,6,FALSE)</f>
        <v/>
      </c>
      <c r="AO12" s="59" t="str">
        <f t="array" ref="AO12">bpLOOKUP(Data!$AV12,"2NDBEND",CustOrdOpt,6,FALSE)</f>
        <v/>
      </c>
      <c r="AP12" s="59" t="str">
        <f t="array" ref="AP12">bpLOOKUP(Data!$AV12,"2NDBENDA",CustOrdOpt,6,FALSE)</f>
        <v/>
      </c>
      <c r="AQ12" s="59" t="str">
        <f t="array" ref="AQ12">bpLOOKUP(Data!$AV12,"3RDBENDSH",CustOrdOpt,6,FALSE)</f>
        <v/>
      </c>
      <c r="AR12" s="59" t="str">
        <f t="array" ref="AR12">bpLOOKUP(Data!$AV12,"3RDBEND",CustOrdOpt,6,FALSE)</f>
        <v/>
      </c>
      <c r="AS12" s="59" t="str">
        <f t="array" ref="AS12">bpLOOKUP(Data!$AV12,"3RDBENDA",CustOrdOpt,6,FALSE)</f>
        <v/>
      </c>
      <c r="AT12" s="59" t="str">
        <f t="array" ref="AT12">bpLOOKUP(Data!$AV12,"4THBENDSH",CustOrdOpt,6,FALSE)</f>
        <v/>
      </c>
      <c r="AU12" s="59" t="str">
        <f t="array" ref="AU12">bpLOOKUP(Data!$AV12,"4THBEND",CustOrdOpt,6,FALSE)</f>
        <v/>
      </c>
      <c r="AV12" s="59" t="str">
        <f t="array" ref="AV12">bpLOOKUP(Data!$AV12,"4THBENDA",CustOrdOpt,6,FALSE)</f>
        <v/>
      </c>
      <c r="AW12" s="59" t="str">
        <f t="array" ref="AW12">bpLOOKUP(Data!$AV12,"SIDEBYSIDE",CustOrdOpt,6,FALSE)</f>
        <v>No</v>
      </c>
      <c r="AX12" s="59" t="str">
        <f t="array" ref="AX12">IF(bpLOOKUP(Data!$AV12,"PELTYPE",CustOrdOpt,6,FALSE)="None","",bpLOOKUP(Data!$AV12,"PELTYPE",CustOrdOpt,6,FALSE))</f>
        <v/>
      </c>
      <c r="AY12" s="111" t="str">
        <f t="array" ref="AY12">bpLOOKUP(Data!$AV12,"ADDWIDTH",CustOrdOpt,6,FALSE)</f>
        <v/>
      </c>
      <c r="AZ12" s="59" t="str">
        <f t="array" ref="AZ12">bpLOOKUP(Data!$AV12,"PELSHAPE",CustOrdOpt,6,FALSE)</f>
        <v/>
      </c>
      <c r="BA12" s="59" t="str">
        <f t="array" ref="BA12">bpLOOKUP(Data!$AV12,"PELFACE",CustOrdOpt,6,FALSE)</f>
        <v/>
      </c>
      <c r="BB12" s="59" t="str">
        <f t="array" ref="BB12">bpLOOKUP(Data!$AV12,"PELRETURN",CustOrdOpt,6,FALSE)</f>
        <v/>
      </c>
      <c r="BC12" s="59" t="str">
        <f t="array" ref="BC12">bpLOOKUP(Data!$AV12,"PELRETURNSIZE",CustOrdOpt,6,FALSE)</f>
        <v/>
      </c>
      <c r="BD12" s="59" t="str">
        <f t="array" ref="BD12">bpLOOKUP(Data!$AV12,"HBSIZE",CustOrdOpt,6,FALSE)</f>
        <v/>
      </c>
      <c r="BE12" s="59" t="str">
        <f t="array" ref="BE12">bpLOOKUP(Data!$AV12,"PIPING",CustOrdOpt,6,FALSE)</f>
        <v/>
      </c>
      <c r="BF12" s="59" t="str">
        <f t="array" ref="BF12">IF(Data!AW12="","",IF(bpLOOKUP(Data!$AV12,"TIEBACKS",CustOrdOpt,6,FALSE)="None","",bpLOOKUP(Data!$AV12,"TIEBACKS",CustOrdOpt,6,FALSE)))</f>
        <v/>
      </c>
      <c r="BG12" s="59" t="str">
        <f t="array" ref="BG12">bpLOOKUP(Data!$AV12,"TIEBACKHOOK",CustOrdOpt,6,FALSE)</f>
        <v/>
      </c>
      <c r="BH12" s="52" t="str">
        <f>IF(Data!BA12="","",VLOOKUP(CONCATENATE(Z12,AA12,AI12),TBSTracks,2,FALSE))</f>
        <v>DBS to Make</v>
      </c>
      <c r="BI12" s="59" t="str">
        <f t="array" ref="BI12">bpLOOKUP(Data!$AV12,"INSTALLATION",CustOrdOpt,6,FALSE)</f>
        <v>Curtain &amp; Track Installation</v>
      </c>
      <c r="BJ12" s="59" t="str">
        <f t="array" ref="BJ12">bpLOOKUP(Data!$AV12,"HANGHEIGHT",CustOrdOpt,6,FALSE)</f>
        <v>2.1m-2.4m</v>
      </c>
      <c r="BK12" s="59" t="str">
        <f t="array" ref="BK12">bpLOOKUP(Data!$AV12,"INSTALLG",CustOrdOpt,6,FALSE)</f>
        <v>Occupied Home</v>
      </c>
      <c r="BL12" s="59" t="str">
        <f t="array" ref="BL12">bpLOOKUP(Data!$AV12,"TAKEDOWN",CustOrdOpt,6,FALSE)</f>
        <v>No</v>
      </c>
      <c r="BM12" s="59" t="str">
        <f t="array" ref="BM12">bpLOOKUP(Data!$AV12,"CHECKM",CustOrdOpt,6,FALSE)</f>
        <v>No</v>
      </c>
      <c r="BN12" s="59" t="str">
        <f t="array" ref="BN12">bpLOOKUP(Data!$AV12,"NOTES",CustOrdOpt,6,FALSE)</f>
        <v>Alteration to curtain drop</v>
      </c>
      <c r="BP12" s="51">
        <f>IF(Data!BA12="","",IF(AND(F12="Opening",AI12="Bent"),Data!BA12-VLOOKUP(I12,FitDeduct,2,FALSE)-VLOOKUP(AW12,SideDeduct,2,FALSE)-CC12+55,IF(F12="Opening",Data!BA12-VLOOKUP(I12,FitDeduct,2,FALSE)-VLOOKUP(AW12,SideDeduct,2,FALSE)+55,IF(F12="Curtin Making Size",Data!BA12,IF(F12="Track Making Size",Data!BA12)+55))))</f>
        <v>2655</v>
      </c>
      <c r="BQ12" s="51">
        <f>IF(Data!BB12="","",IF(J12="Finished Drop",G12,IF(H12="Opening",Data!BB12-VLOOKUP(CONCATENATE(D12,Z12,R12,AD12),Hook,5,FALSE)-VLOOKUP(K12,Flooring,2,FALSE)-VLOOKUP(L12,Heightofffloor,2,FALSE)+IF(Q12="75mm Tape mounted 20mm from Top",10)+IF(Q12="75mm Tape mounted 25mm from Top",15)+IF(Q12="50mm Tape mounted 20mm from Top",10),IF(H12="Making",Data!BB12,""))))</f>
        <v>2425</v>
      </c>
      <c r="BR12" s="110" t="str">
        <f t="array" ref="BR12">bpLOOKUP(Data!$AV12,"NOTEDROPS",CustOrdOpt,6,FALSE)</f>
        <v/>
      </c>
      <c r="BS12" s="59">
        <f>IF(Data!AV12="","",IFERROR(VLOOKUP(B12,Fabrics,3,FALSE),0)/10)</f>
        <v>320</v>
      </c>
      <c r="BT12" s="59" t="str">
        <f>IF(F12="Track Making Size",AL12,IF(AND(F12="Opening",AI12="Bent",IFERROR(VALUE(AJ12),0)&gt;=1),ROUND(IFERROR(VALUE(AL12),0)-CD12/2,0),""))</f>
        <v/>
      </c>
      <c r="BU12" s="59" t="str">
        <f>IF(F12="Track Making Size",AO12,IF(AND(F12="Opening",AI12="Bent",IFERROR(VALUE(AJ12),0)&gt;=2),ROUND(IFERROR(VALUE(AO12),0)-(CD12+CE12/2),0),""))</f>
        <v/>
      </c>
      <c r="BV12" s="59" t="str">
        <f>IF(F12="Track Making Size",AR12,IF(AND(F12="Opening",AI12="Bent",IFERROR(VALUE(AJ12),0)&gt;=3),ROUND(IFERROR(VALUE(AR12),0)-(CD12+CE12+CF12/2),0),""))</f>
        <v/>
      </c>
      <c r="BW12" s="59" t="str">
        <f>IF(F12="Track Making Size",AU12,IF(AND(F12="Opening",AI12="Bent",IFERROR(VALUE(AJ12),0)&gt;=4),ROUND(IFERROR(VALUE(AU12),0)-(CD12+CE12+CF12+CG12/2),0),""))</f>
        <v/>
      </c>
      <c r="BX12" s="59">
        <f>IF(Data!AV12="","",IF(VLOOKUP(CONCATENATE(Z12,AA12,AI12),TBSTracks,4,FALSE)="0","0",IF(OR(S12="Centre Opening",S12="Centre Opening - Free Flowing",S12="Centre Opening (Offset Split)",S12="Centre Opening - Free Flowing (Offset Split)"),VLOOKUP(CONCATENATE(Z12,AA12,AI12),TBSTracks,4,FALSE),"0")))</f>
        <v>0</v>
      </c>
      <c r="BY12" s="59" t="str">
        <f>IF(OR(BH12="Track from TBS",BH12="Track from Vanda"),"",IF(OR(Z12="Existing Normal S-Fold Track",P12="Wavefold (Standard Fullness x 2)",P12="Wavefold (Less Fullness x 1.8)",P12="Wavefold (Extra Fullness x 2.2)"),VLOOKUP(CONCATENATE(P12,S12),WavefoldLookUp,2,FALSE),""))</f>
        <v>Centre Opening 100%</v>
      </c>
      <c r="BZ12" s="59" t="str">
        <f>IF(OR(BY12="Centre Opening 100%",BY12="Centre Opening 120%",BY12="Centre Opening 80%"),VLOOKUP(BP12,COPEN100,2,TRUE),IF(OR(BY12="100% One Way",BY12="120% One Way",BY12="80% One Way"),VLOOKUP(BP12,OneWay100,2,TRUE),""))</f>
        <v>2 x 28</v>
      </c>
      <c r="CA12" s="59" t="str">
        <f>IF(BY12="","",VLOOKUP(X12,ReturnLookUp,2,FALSE))</f>
        <v>None</v>
      </c>
      <c r="CB12" s="59">
        <f>IF(Data!AV12="","",IF(VLOOKUP(CONCATENATE(Z12,AA12,AI12),TBSTracks,2,FALSE)="DBS to Make",BP12-VLOOKUP(CONCATENATE(Z12,S12),Operation,2,FALSE)-VLOOKUP(CONCATENATE(D12,Z12,R12,AD12),Hook,4,FALSE)-55,""))</f>
        <v>2594</v>
      </c>
      <c r="CC12" s="192">
        <f>IF(Data!AV12="","",IF($AI12&lt;&gt;"Bent",0,ROUND(SUM(CD12:CG12),0)))</f>
        <v>0</v>
      </c>
      <c r="CD12" s="192" t="str">
        <f>IF($AI12&lt;&gt;"Bent","",ROUND($CH12*IF(IFERROR(VALUE($AJ12),0)&gt;=1,RADIANS(ABS(180-IFERROR(VALUE($AM12),0)))*IF(LEFT(UPPER(TRIM($AK12)),8)="INTERNAL",1,IF(LEFT(UPPER(TRIM($AK12)),8)="EXTERNAL",-1,0)),0),0))</f>
        <v/>
      </c>
      <c r="CE12" s="192" t="str">
        <f>IF($AI12&lt;&gt;"Bent","",ROUND($CH12*IF(IFERROR(VALUE($AJ12),0)&gt;=2,RADIANS(ABS(180-IFERROR(VALUE($AP12),0)))*IF(LEFT(UPPER(TRIM($AN12)),8)="INTERNAL",1,IF(LEFT(UPPER(TRIM($AN12)),8)="EXTERNAL",-1,0)),0),0))</f>
        <v/>
      </c>
      <c r="CF12" s="192" t="str">
        <f>IF($AI12&lt;&gt;"Bent","",ROUND($CH12*IF(IFERROR(VALUE($AJ12),0)&gt;=3,RADIANS(ABS(180-IFERROR(VALUE($AS12),0)))*IF(LEFT(UPPER(TRIM($AQ12)),8)="INTERNAL",1,IF(LEFT(UPPER(TRIM($AQ12)),8)="EXTERNAL",-1,0)),0),0))</f>
        <v/>
      </c>
      <c r="CG12" s="192" t="str">
        <f>IF($AI12&lt;&gt;"Bent","",ROUND($CH12*IF(IFERROR(VALUE($AJ12),0)&gt;=4,RADIANS(ABS(180-IFERROR(VALUE($AV12),0)))*IF(LEFT(UPPER(TRIM($AT12)),8)="INTERNAL",1,IF(LEFT(UPPER(TRIM($AT12)),8)="EXTERNAL",-1,0)),0),0))</f>
        <v/>
      </c>
      <c r="CH12" s="193">
        <f>IF($AI12&lt;&gt;"Bent",0,IFERROR(VLOOKUP($Z12,SaberTracks,3,FALSE),0)+MAX(IFERROR(VLOOKUP($D12&amp;$AD12,BracketProj,2,FALSE),0)-75,0)*1.25)</f>
        <v>0</v>
      </c>
      <c r="CI12" s="194">
        <f>IF(Data!BA12="","",IF(AND(F12="Opening",AI12="Bent"),VLOOKUP(I12,FitDeduct,2,FALSE)-VLOOKUP(AW12,SideDeduct,2,FALSE)-CC12+55,IF(F12="Opening",VLOOKUP(I12,FitDeduct,2,FALSE)-VLOOKUP(AW12,SideDeduct,2,FALSE)+55,IF(F12="Curtin Making Size",Data!BA12,IF(F12="Track Making Size",55)))))</f>
        <v>55</v>
      </c>
    </row>
    <row r="13" spans="1:87" s="53" customFormat="1" ht="120">
      <c r="A13" s="105">
        <f>Data!AW13</f>
        <v>30</v>
      </c>
      <c r="B13" s="58" t="str">
        <f>IF(Data!BE13="","",MID(Data!BE13,6,80))</f>
        <v>Nettex Brunswick (Continuous) Uncoated Talc</v>
      </c>
      <c r="C13" s="58" t="str">
        <f>Data!AY13</f>
        <v>Master Door ALTERATION</v>
      </c>
      <c r="D13" s="106" t="str">
        <f t="array" ref="D13">bpLOOKUP(Data!$AV13,"SINGLE",CustOrdOpt,6,FALSE)</f>
        <v>Double Front</v>
      </c>
      <c r="E13" s="107">
        <f>SUM(Data!BA13)</f>
        <v>3502</v>
      </c>
      <c r="F13" s="108" t="str">
        <f t="array" ref="F13">bpLOOKUP(Data!$AV13,"Size",CustOrdOpt,6,FALSE)</f>
        <v>Opening</v>
      </c>
      <c r="G13" s="107">
        <f>SUM(Data!BB13)</f>
        <v>2660</v>
      </c>
      <c r="H13" s="108" t="str">
        <f t="array" ref="H13">bpLOOKUP(Data!$AV13,"DROPSIZE",CustOrdOpt,6,FALSE)</f>
        <v>Opening</v>
      </c>
      <c r="I13" s="109" t="str">
        <f t="array" ref="I13">bpLOOKUP(Data!$AV13,"FIT",CustOrdOpt,6,FALSE)</f>
        <v>Face</v>
      </c>
      <c r="J13" s="109" t="str">
        <f t="array" ref="J13">bpLOOKUP(Data!$AV13,"MEASUREDAS",CustOrdOpt,6,FALSE)</f>
        <v>Cornice to Floor</v>
      </c>
      <c r="K13" s="109" t="str">
        <f t="array" ref="K13">bpLOOKUP(Data!$AV13,"FLOORING",CustOrdOpt,6,FALSE)</f>
        <v>Yes</v>
      </c>
      <c r="L13" s="109" t="str">
        <f t="array" ref="L13">bpLOOKUP(Data!$AV13,"HEIGHTOFFFLOOR",CustOrdOpt,6,FALSE)</f>
        <v>Just off the Floor</v>
      </c>
      <c r="M13" s="59" t="str">
        <f t="array" ref="M13">bpLOOKUP(Data!$AV13,"CURTAIN",CustOrdOpt,6,FALSE)</f>
        <v>No Lining</v>
      </c>
      <c r="N13" s="59" t="str">
        <f t="array" ref="N13">bpLOOKUP(Data!$AV13,"LININGCOLOUR",CustOrdOpt,6,FALSE)</f>
        <v/>
      </c>
      <c r="O13" s="59" t="str">
        <f t="array" ref="O13">bpLOOKUP(Data!$AV13,"COLLININGF",CustOrdOpt,6,FALSE)</f>
        <v/>
      </c>
      <c r="P13" s="59" t="str">
        <f t="array" ref="P13">bpLOOKUP(Data!$AV13,"HEADINGSTYLE",CustOrdOpt,6,FALSE)</f>
        <v>Wavefold (Standard Fullness x 2)</v>
      </c>
      <c r="Q13" s="59" t="str">
        <f t="array" ref="Q13">bpLOOKUP(Data!$AV13,"TAPE",CustOrdOpt,6,FALSE)</f>
        <v>75mm Clear Tape</v>
      </c>
      <c r="R13" s="59" t="str">
        <f t="array" ref="R13">bpLOOKUP(Data!$AV13,"HOOK",CustOrdOpt,6,FALSE)</f>
        <v>Wavefold Hooks</v>
      </c>
      <c r="S13" s="59" t="str">
        <f t="array" ref="S13">bpLOOKUP(Data!$AV13,"OPENING",CustOrdOpt,6,FALSE)</f>
        <v>Centre Opening</v>
      </c>
      <c r="T13" s="59" t="str">
        <f t="array" ref="T13">bpLOOKUP(Data!$AV13,"OFFSETL",CustOrdOpt,6,FALSE)</f>
        <v/>
      </c>
      <c r="U13" s="59" t="str">
        <f t="array" ref="U13">bpLOOKUP(Data!$AV13,"OFFSETR",CustOrdOpt,6,FALSE)</f>
        <v/>
      </c>
      <c r="V13" s="59" t="str">
        <f t="array" ref="V13">bpLOOKUP(Data!$AV13,"OFFSET",CustOrdOpt,6,FALSE)</f>
        <v/>
      </c>
      <c r="W13" s="59" t="str">
        <f t="array" ref="W13">bpLOOKUP(Data!$AV13,"HEM",CustOrdOpt,6,FALSE)</f>
        <v>Standard 75mm</v>
      </c>
      <c r="X13" s="59" t="str">
        <f t="array" ref="X13">bpLOOKUP(Data!$AV13,"RETURNS",CustOrdOpt,6,FALSE)</f>
        <v>None</v>
      </c>
      <c r="Y13" s="59" t="str">
        <f t="array" ref="Y13">IF(Data!AX13="","",IF(bpLOOKUP(Data!$AV13,"RETURNSIZE",CustOrdOpt,6,FALSE)="","0",bpLOOKUP(Data!$AV13,"RETURNSIZE",CustOrdOpt,6,FALSE)))</f>
        <v>0</v>
      </c>
      <c r="Z13" s="59" t="str">
        <f t="array" ref="Z13">bpLOOKUP(Data!$AV13,"TRACKTYPE",CustOrdOpt,6,FALSE)</f>
        <v>Wavefold Hand Operation</v>
      </c>
      <c r="AA13" s="59" t="str">
        <f t="array" ref="AA13">bpLOOKUP(Data!$AV13,"TRACKCOLOUR",CustOrdOpt,6,FALSE)</f>
        <v>White</v>
      </c>
      <c r="AB13" s="59" t="str">
        <f t="array" ref="AB13">bpLOOKUP(Data!$AV13,"CORDOP",CustOrdOpt,6,FALSE)</f>
        <v>Hand Operation</v>
      </c>
      <c r="AC13" s="59" t="str">
        <f t="array" ref="AC13">bpLOOKUP(Data!$AV13,"CONTROL",CustOrdOpt,6,FALSE)</f>
        <v/>
      </c>
      <c r="AD13" s="59" t="str">
        <f t="array" ref="AD13">bpLOOKUP(Data!$AV13,"BRACKETS",CustOrdOpt,6,FALSE)</f>
        <v>Triple Face Fix Brackets</v>
      </c>
      <c r="AE13" s="59" t="str">
        <f t="array" ref="AE13">bpLOOKUP(Data!$AV13,"FINIALS",CustOrdOpt,6,FALSE)</f>
        <v/>
      </c>
      <c r="AF13" s="59" t="str">
        <f t="array" ref="AF13">bpLOOKUP(Data!$AV13,"HANGERQTY",CustOrdOpt,6,FALSE)</f>
        <v/>
      </c>
      <c r="AG13" s="59" t="str">
        <f t="array" ref="AG13">bpLOOKUP(Data!$AV13,"HANGERL",CustOrdOpt,6,FALSE)</f>
        <v/>
      </c>
      <c r="AH13" s="59" t="str">
        <f t="array" ref="AH13">bpLOOKUP(Data!$AV13,"FLICKSTICKS",CustOrdOpt,6,FALSE)</f>
        <v>White Aluminium Flick Sticks 125cm</v>
      </c>
      <c r="AI13" s="59" t="str">
        <f t="array" ref="AI13">bpLOOKUP(Data!$AV13,"TRACKSHAPE",CustOrdOpt,6,FALSE)</f>
        <v>Straight</v>
      </c>
      <c r="AJ13" s="59" t="str">
        <f t="array" ref="AJ13">bpLOOKUP(Data!$AV13,"BENDS",CustOrdOpt,6,FALSE)</f>
        <v/>
      </c>
      <c r="AK13" s="59" t="str">
        <f t="array" ref="AK13">bpLOOKUP(Data!$AV13,"1STBENDSH",CustOrdOpt,6,FALSE)</f>
        <v/>
      </c>
      <c r="AL13" s="59" t="str">
        <f t="array" ref="AL13">bpLOOKUP(Data!$AV13,"1STBEND",CustOrdOpt,6,FALSE)</f>
        <v/>
      </c>
      <c r="AM13" s="59" t="str">
        <f t="array" ref="AM13">bpLOOKUP(Data!$AV13,"1STBENDA",CustOrdOpt,6,FALSE)</f>
        <v/>
      </c>
      <c r="AN13" s="59" t="str">
        <f t="array" ref="AN13">bpLOOKUP(Data!$AV13,"2NDBENDSH",CustOrdOpt,6,FALSE)</f>
        <v/>
      </c>
      <c r="AO13" s="59" t="str">
        <f t="array" ref="AO13">bpLOOKUP(Data!$AV13,"2NDBEND",CustOrdOpt,6,FALSE)</f>
        <v/>
      </c>
      <c r="AP13" s="59" t="str">
        <f t="array" ref="AP13">bpLOOKUP(Data!$AV13,"2NDBENDA",CustOrdOpt,6,FALSE)</f>
        <v/>
      </c>
      <c r="AQ13" s="59" t="str">
        <f t="array" ref="AQ13">bpLOOKUP(Data!$AV13,"3RDBENDSH",CustOrdOpt,6,FALSE)</f>
        <v/>
      </c>
      <c r="AR13" s="59" t="str">
        <f t="array" ref="AR13">bpLOOKUP(Data!$AV13,"3RDBEND",CustOrdOpt,6,FALSE)</f>
        <v/>
      </c>
      <c r="AS13" s="59" t="str">
        <f t="array" ref="AS13">bpLOOKUP(Data!$AV13,"3RDBENDA",CustOrdOpt,6,FALSE)</f>
        <v/>
      </c>
      <c r="AT13" s="59" t="str">
        <f t="array" ref="AT13">bpLOOKUP(Data!$AV13,"4THBENDSH",CustOrdOpt,6,FALSE)</f>
        <v/>
      </c>
      <c r="AU13" s="59" t="str">
        <f t="array" ref="AU13">bpLOOKUP(Data!$AV13,"4THBEND",CustOrdOpt,6,FALSE)</f>
        <v/>
      </c>
      <c r="AV13" s="59" t="str">
        <f t="array" ref="AV13">bpLOOKUP(Data!$AV13,"4THBENDA",CustOrdOpt,6,FALSE)</f>
        <v/>
      </c>
      <c r="AW13" s="59" t="str">
        <f t="array" ref="AW13">bpLOOKUP(Data!$AV13,"SIDEBYSIDE",CustOrdOpt,6,FALSE)</f>
        <v>Wall to Wall</v>
      </c>
      <c r="AX13" s="59" t="str">
        <f t="array" ref="AX13">IF(bpLOOKUP(Data!$AV13,"PELTYPE",CustOrdOpt,6,FALSE)="None","",bpLOOKUP(Data!$AV13,"PELTYPE",CustOrdOpt,6,FALSE))</f>
        <v/>
      </c>
      <c r="AY13" s="111" t="str">
        <f t="array" ref="AY13">bpLOOKUP(Data!$AV13,"ADDWIDTH",CustOrdOpt,6,FALSE)</f>
        <v/>
      </c>
      <c r="AZ13" s="59" t="str">
        <f t="array" ref="AZ13">bpLOOKUP(Data!$AV13,"PELSHAPE",CustOrdOpt,6,FALSE)</f>
        <v/>
      </c>
      <c r="BA13" s="59" t="str">
        <f t="array" ref="BA13">bpLOOKUP(Data!$AV13,"PELFACE",CustOrdOpt,6,FALSE)</f>
        <v/>
      </c>
      <c r="BB13" s="59" t="str">
        <f t="array" ref="BB13">bpLOOKUP(Data!$AV13,"PELRETURN",CustOrdOpt,6,FALSE)</f>
        <v/>
      </c>
      <c r="BC13" s="59" t="str">
        <f t="array" ref="BC13">bpLOOKUP(Data!$AV13,"PELRETURNSIZE",CustOrdOpt,6,FALSE)</f>
        <v/>
      </c>
      <c r="BD13" s="59" t="str">
        <f t="array" ref="BD13">bpLOOKUP(Data!$AV13,"HBSIZE",CustOrdOpt,6,FALSE)</f>
        <v/>
      </c>
      <c r="BE13" s="59" t="str">
        <f t="array" ref="BE13">bpLOOKUP(Data!$AV13,"PIPING",CustOrdOpt,6,FALSE)</f>
        <v/>
      </c>
      <c r="BF13" s="59" t="str">
        <f t="array" ref="BF13">IF(Data!AW13="","",IF(bpLOOKUP(Data!$AV13,"TIEBACKS",CustOrdOpt,6,FALSE)="None","",bpLOOKUP(Data!$AV13,"TIEBACKS",CustOrdOpt,6,FALSE)))</f>
        <v/>
      </c>
      <c r="BG13" s="59" t="str">
        <f t="array" ref="BG13">bpLOOKUP(Data!$AV13,"TIEBACKHOOK",CustOrdOpt,6,FALSE)</f>
        <v/>
      </c>
      <c r="BH13" s="52" t="str">
        <f>IF(Data!BA13="","",VLOOKUP(CONCATENATE(Z13,AA13,AI13),TBSTracks,2,FALSE))</f>
        <v>DBS to Make</v>
      </c>
      <c r="BI13" s="59" t="str">
        <f t="array" ref="BI13">bpLOOKUP(Data!$AV13,"INSTALLATION",CustOrdOpt,6,FALSE)</f>
        <v>Curtain &amp; Track Installation</v>
      </c>
      <c r="BJ13" s="59" t="str">
        <f t="array" ref="BJ13">bpLOOKUP(Data!$AV13,"HANGHEIGHT",CustOrdOpt,6,FALSE)</f>
        <v>2.1m-2.4m</v>
      </c>
      <c r="BK13" s="59" t="str">
        <f t="array" ref="BK13">bpLOOKUP(Data!$AV13,"INSTALLG",CustOrdOpt,6,FALSE)</f>
        <v>Occupied Home</v>
      </c>
      <c r="BL13" s="59" t="str">
        <f t="array" ref="BL13">bpLOOKUP(Data!$AV13,"TAKEDOWN",CustOrdOpt,6,FALSE)</f>
        <v>No</v>
      </c>
      <c r="BM13" s="59" t="str">
        <f t="array" ref="BM13">bpLOOKUP(Data!$AV13,"CHECKM",CustOrdOpt,6,FALSE)</f>
        <v>No</v>
      </c>
      <c r="BN13" s="59" t="str">
        <f t="array" ref="BN13">bpLOOKUP(Data!$AV13,"NOTES",CustOrdOpt,6,FALSE)</f>
        <v>Alteration to curtain drop</v>
      </c>
      <c r="BP13" s="51">
        <f>IF(Data!BA13="","",IF(AND(F13="Opening",AI13="Bent"),Data!BA13-VLOOKUP(I13,FitDeduct,2,FALSE)-VLOOKUP(AW13,SideDeduct,2,FALSE)-CC13+55,IF(F13="Opening",Data!BA13-VLOOKUP(I13,FitDeduct,2,FALSE)-VLOOKUP(AW13,SideDeduct,2,FALSE)+55,IF(F13="Curtin Making Size",Data!BA13,IF(F13="Track Making Size",Data!BA13)+55))))</f>
        <v>3537</v>
      </c>
      <c r="BQ13" s="51">
        <f>IF(Data!BB13="","",IF(J13="Finished Drop",G13,IF(H13="Opening",Data!BB13-VLOOKUP(CONCATENATE(D13,Z13,R13,AD13),Hook,5,FALSE)-VLOOKUP(K13,Flooring,2,FALSE)-VLOOKUP(L13,Heightofffloor,2,FALSE)+IF(Q13="75mm Tape mounted 20mm from Top",10)+IF(Q13="75mm Tape mounted 25mm from Top",15)+IF(Q13="50mm Tape mounted 20mm from Top",10),IF(H13="Making",Data!BB13,""))))</f>
        <v>2630</v>
      </c>
      <c r="BR13" s="110" t="str">
        <f t="array" ref="BR13">bpLOOKUP(Data!$AV13,"NOTEDROPS",CustOrdOpt,6,FALSE)</f>
        <v/>
      </c>
      <c r="BS13" s="59">
        <f>IF(Data!AV13="","",IFERROR(VLOOKUP(B13,Fabrics,3,FALSE),0)/10)</f>
        <v>320</v>
      </c>
      <c r="BT13" s="59" t="str">
        <f>IF(F13="Track Making Size",AL13,IF(AND(F13="Opening",AI13="Bent",IFERROR(VALUE(AJ13),0)&gt;=1),ROUND(IFERROR(VALUE(AL13),0)-CD13/2,0),""))</f>
        <v/>
      </c>
      <c r="BU13" s="59" t="str">
        <f>IF(F13="Track Making Size",AO13,IF(AND(F13="Opening",AI13="Bent",IFERROR(VALUE(AJ13),0)&gt;=2),ROUND(IFERROR(VALUE(AO13),0)-(CD13+CE13/2),0),""))</f>
        <v/>
      </c>
      <c r="BV13" s="59" t="str">
        <f>IF(F13="Track Making Size",AR13,IF(AND(F13="Opening",AI13="Bent",IFERROR(VALUE(AJ13),0)&gt;=3),ROUND(IFERROR(VALUE(AR13),0)-(CD13+CE13+CF13/2),0),""))</f>
        <v/>
      </c>
      <c r="BW13" s="59" t="str">
        <f>IF(F13="Track Making Size",AU13,IF(AND(F13="Opening",AI13="Bent",IFERROR(VALUE(AJ13),0)&gt;=4),ROUND(IFERROR(VALUE(AU13),0)-(CD13+CE13+CF13+CG13/2),0),""))</f>
        <v/>
      </c>
      <c r="BX13" s="59">
        <f>IF(Data!AV13="","",IF(VLOOKUP(CONCATENATE(Z13,AA13,AI13),TBSTracks,4,FALSE)="0","0",IF(OR(S13="Centre Opening",S13="Centre Opening - Free Flowing",S13="Centre Opening (Offset Split)",S13="Centre Opening - Free Flowing (Offset Split)"),VLOOKUP(CONCATENATE(Z13,AA13,AI13),TBSTracks,4,FALSE),"0")))</f>
        <v>0</v>
      </c>
      <c r="BY13" s="59" t="str">
        <f>IF(OR(BH13="Track from TBS",BH13="Track from Vanda"),"",IF(OR(Z13="Existing Normal S-Fold Track",P13="Wavefold (Standard Fullness x 2)",P13="Wavefold (Less Fullness x 1.8)",P13="Wavefold (Extra Fullness x 2.2)"),VLOOKUP(CONCATENATE(P13,S13),WavefoldLookUp,2,FALSE),""))</f>
        <v>Centre Opening 100%</v>
      </c>
      <c r="BZ13" s="59" t="str">
        <f>IF(OR(BY13="Centre Opening 100%",BY13="Centre Opening 120%",BY13="Centre Opening 80%"),VLOOKUP(BP13,COPEN100,2,TRUE),IF(OR(BY13="100% One Way",BY13="120% One Way",BY13="80% One Way"),VLOOKUP(BP13,OneWay100,2,TRUE),""))</f>
        <v>2 x 36</v>
      </c>
      <c r="CA13" s="59" t="str">
        <f>IF(BY13="","",VLOOKUP(X13,ReturnLookUp,2,FALSE))</f>
        <v>None</v>
      </c>
      <c r="CB13" s="59">
        <f>IF(Data!AV13="","",IF(VLOOKUP(CONCATENATE(Z13,AA13,AI13),TBSTracks,2,FALSE)="DBS to Make",BP13-VLOOKUP(CONCATENATE(Z13,S13),Operation,2,FALSE)-VLOOKUP(CONCATENATE(D13,Z13,R13,AD13),Hook,4,FALSE)-55,""))</f>
        <v>3476</v>
      </c>
      <c r="CC13" s="192">
        <f>IF(Data!AV13="","",IF($AI13&lt;&gt;"Bent",0,ROUND(SUM(CD13:CG13),0)))</f>
        <v>0</v>
      </c>
      <c r="CD13" s="192" t="str">
        <f>IF($AI13&lt;&gt;"Bent","",ROUND($CH13*IF(IFERROR(VALUE($AJ13),0)&gt;=1,RADIANS(ABS(180-IFERROR(VALUE($AM13),0)))*IF(LEFT(UPPER(TRIM($AK13)),8)="INTERNAL",1,IF(LEFT(UPPER(TRIM($AK13)),8)="EXTERNAL",-1,0)),0),0))</f>
        <v/>
      </c>
      <c r="CE13" s="192" t="str">
        <f>IF($AI13&lt;&gt;"Bent","",ROUND($CH13*IF(IFERROR(VALUE($AJ13),0)&gt;=2,RADIANS(ABS(180-IFERROR(VALUE($AP13),0)))*IF(LEFT(UPPER(TRIM($AN13)),8)="INTERNAL",1,IF(LEFT(UPPER(TRIM($AN13)),8)="EXTERNAL",-1,0)),0),0))</f>
        <v/>
      </c>
      <c r="CF13" s="192" t="str">
        <f>IF($AI13&lt;&gt;"Bent","",ROUND($CH13*IF(IFERROR(VALUE($AJ13),0)&gt;=3,RADIANS(ABS(180-IFERROR(VALUE($AS13),0)))*IF(LEFT(UPPER(TRIM($AQ13)),8)="INTERNAL",1,IF(LEFT(UPPER(TRIM($AQ13)),8)="EXTERNAL",-1,0)),0),0))</f>
        <v/>
      </c>
      <c r="CG13" s="192" t="str">
        <f>IF($AI13&lt;&gt;"Bent","",ROUND($CH13*IF(IFERROR(VALUE($AJ13),0)&gt;=4,RADIANS(ABS(180-IFERROR(VALUE($AV13),0)))*IF(LEFT(UPPER(TRIM($AT13)),8)="INTERNAL",1,IF(LEFT(UPPER(TRIM($AT13)),8)="EXTERNAL",-1,0)),0),0))</f>
        <v/>
      </c>
      <c r="CH13" s="193">
        <f>IF($AI13&lt;&gt;"Bent",0,IFERROR(VLOOKUP($Z13,SaberTracks,3,FALSE),0)+MAX(IFERROR(VLOOKUP($D13&amp;$AD13,BracketProj,2,FALSE),0)-75,0)*1.25)</f>
        <v>0</v>
      </c>
      <c r="CI13" s="194">
        <f>IF(Data!BA13="","",IF(AND(F13="Opening",AI13="Bent"),VLOOKUP(I13,FitDeduct,2,FALSE)-VLOOKUP(AW13,SideDeduct,2,FALSE)-CC13+55,IF(F13="Opening",VLOOKUP(I13,FitDeduct,2,FALSE)-VLOOKUP(AW13,SideDeduct,2,FALSE)+55,IF(F13="Curtin Making Size",Data!BA13,IF(F13="Track Making Size",55)))))</f>
        <v>35</v>
      </c>
    </row>
    <row r="14" spans="1:87" s="53" customFormat="1" ht="120">
      <c r="A14" s="105">
        <f>Data!AW14</f>
        <v>31</v>
      </c>
      <c r="B14" s="58" t="str">
        <f>IF(Data!BE14="","",MID(Data!BE14,6,80))</f>
        <v>Nettex Brunswick (Continuous) Uncoated Talc</v>
      </c>
      <c r="C14" s="58" t="str">
        <f>Data!AY14</f>
        <v>Bed 2 ALTERATION</v>
      </c>
      <c r="D14" s="106" t="str">
        <f t="array" ref="D14">bpLOOKUP(Data!$AV14,"SINGLE",CustOrdOpt,6,FALSE)</f>
        <v>Single</v>
      </c>
      <c r="E14" s="107">
        <f>SUM(Data!BA14)</f>
        <v>3380</v>
      </c>
      <c r="F14" s="108" t="str">
        <f t="array" ref="F14">bpLOOKUP(Data!$AV14,"Size",CustOrdOpt,6,FALSE)</f>
        <v>Opening</v>
      </c>
      <c r="G14" s="107">
        <f>SUM(Data!BB14)</f>
        <v>2655</v>
      </c>
      <c r="H14" s="108" t="str">
        <f t="array" ref="H14">bpLOOKUP(Data!$AV14,"DROPSIZE",CustOrdOpt,6,FALSE)</f>
        <v>Opening</v>
      </c>
      <c r="I14" s="109" t="str">
        <f t="array" ref="I14">bpLOOKUP(Data!$AV14,"FIT",CustOrdOpt,6,FALSE)</f>
        <v>Face</v>
      </c>
      <c r="J14" s="109" t="str">
        <f t="array" ref="J14">bpLOOKUP(Data!$AV14,"MEASUREDAS",CustOrdOpt,6,FALSE)</f>
        <v>Cornice to Floor</v>
      </c>
      <c r="K14" s="109" t="str">
        <f t="array" ref="K14">bpLOOKUP(Data!$AV14,"FLOORING",CustOrdOpt,6,FALSE)</f>
        <v>Yes</v>
      </c>
      <c r="L14" s="109" t="str">
        <f t="array" ref="L14">bpLOOKUP(Data!$AV14,"HEIGHTOFFFLOOR",CustOrdOpt,6,FALSE)</f>
        <v>Just off the Floor</v>
      </c>
      <c r="M14" s="59" t="str">
        <f t="array" ref="M14">bpLOOKUP(Data!$AV14,"CURTAIN",CustOrdOpt,6,FALSE)</f>
        <v>No Lining</v>
      </c>
      <c r="N14" s="59" t="str">
        <f t="array" ref="N14">bpLOOKUP(Data!$AV14,"LININGCOLOUR",CustOrdOpt,6,FALSE)</f>
        <v/>
      </c>
      <c r="O14" s="59" t="str">
        <f t="array" ref="O14">bpLOOKUP(Data!$AV14,"COLLININGF",CustOrdOpt,6,FALSE)</f>
        <v/>
      </c>
      <c r="P14" s="59" t="str">
        <f t="array" ref="P14">bpLOOKUP(Data!$AV14,"HEADINGSTYLE",CustOrdOpt,6,FALSE)</f>
        <v>Wavefold (Standard Fullness x 2)</v>
      </c>
      <c r="Q14" s="59" t="str">
        <f t="array" ref="Q14">bpLOOKUP(Data!$AV14,"TAPE",CustOrdOpt,6,FALSE)</f>
        <v>75mm Clear Tape</v>
      </c>
      <c r="R14" s="59" t="str">
        <f t="array" ref="R14">bpLOOKUP(Data!$AV14,"HOOK",CustOrdOpt,6,FALSE)</f>
        <v>Wavefold Hooks</v>
      </c>
      <c r="S14" s="59" t="str">
        <f t="array" ref="S14">bpLOOKUP(Data!$AV14,"OPENING",CustOrdOpt,6,FALSE)</f>
        <v>Single Panel - Left Stacking</v>
      </c>
      <c r="T14" s="59" t="str">
        <f t="array" ref="T14">bpLOOKUP(Data!$AV14,"OFFSETL",CustOrdOpt,6,FALSE)</f>
        <v/>
      </c>
      <c r="U14" s="59" t="str">
        <f t="array" ref="U14">bpLOOKUP(Data!$AV14,"OFFSETR",CustOrdOpt,6,FALSE)</f>
        <v/>
      </c>
      <c r="V14" s="59" t="str">
        <f t="array" ref="V14">bpLOOKUP(Data!$AV14,"OFFSET",CustOrdOpt,6,FALSE)</f>
        <v/>
      </c>
      <c r="W14" s="59" t="str">
        <f t="array" ref="W14">bpLOOKUP(Data!$AV14,"HEM",CustOrdOpt,6,FALSE)</f>
        <v>Standard 75mm</v>
      </c>
      <c r="X14" s="59" t="str">
        <f t="array" ref="X14">bpLOOKUP(Data!$AV14,"RETURNS",CustOrdOpt,6,FALSE)</f>
        <v>None</v>
      </c>
      <c r="Y14" s="59" t="str">
        <f t="array" ref="Y14">IF(Data!AX14="","",IF(bpLOOKUP(Data!$AV14,"RETURNSIZE",CustOrdOpt,6,FALSE)="","0",bpLOOKUP(Data!$AV14,"RETURNSIZE",CustOrdOpt,6,FALSE)))</f>
        <v>0</v>
      </c>
      <c r="Z14" s="59" t="str">
        <f t="array" ref="Z14">bpLOOKUP(Data!$AV14,"TRACKTYPE",CustOrdOpt,6,FALSE)</f>
        <v>Wavefold Hand Operation</v>
      </c>
      <c r="AA14" s="59" t="str">
        <f t="array" ref="AA14">bpLOOKUP(Data!$AV14,"TRACKCOLOUR",CustOrdOpt,6,FALSE)</f>
        <v>White</v>
      </c>
      <c r="AB14" s="59" t="str">
        <f t="array" ref="AB14">bpLOOKUP(Data!$AV14,"CORDOP",CustOrdOpt,6,FALSE)</f>
        <v>Hand Operation</v>
      </c>
      <c r="AC14" s="59" t="str">
        <f t="array" ref="AC14">bpLOOKUP(Data!$AV14,"CONTROL",CustOrdOpt,6,FALSE)</f>
        <v/>
      </c>
      <c r="AD14" s="59" t="str">
        <f t="array" ref="AD14">bpLOOKUP(Data!$AV14,"BRACKETS",CustOrdOpt,6,FALSE)</f>
        <v>Single Face Fix Brackets</v>
      </c>
      <c r="AE14" s="59" t="str">
        <f t="array" ref="AE14">bpLOOKUP(Data!$AV14,"FINIALS",CustOrdOpt,6,FALSE)</f>
        <v/>
      </c>
      <c r="AF14" s="59" t="str">
        <f t="array" ref="AF14">bpLOOKUP(Data!$AV14,"HANGERQTY",CustOrdOpt,6,FALSE)</f>
        <v/>
      </c>
      <c r="AG14" s="59" t="str">
        <f t="array" ref="AG14">bpLOOKUP(Data!$AV14,"HANGERL",CustOrdOpt,6,FALSE)</f>
        <v/>
      </c>
      <c r="AH14" s="59" t="str">
        <f t="array" ref="AH14">bpLOOKUP(Data!$AV14,"FLICKSTICKS",CustOrdOpt,6,FALSE)</f>
        <v>White Aluminium Flick Sticks 125cm</v>
      </c>
      <c r="AI14" s="59" t="str">
        <f t="array" ref="AI14">bpLOOKUP(Data!$AV14,"TRACKSHAPE",CustOrdOpt,6,FALSE)</f>
        <v>Straight</v>
      </c>
      <c r="AJ14" s="59" t="str">
        <f t="array" ref="AJ14">bpLOOKUP(Data!$AV14,"BENDS",CustOrdOpt,6,FALSE)</f>
        <v/>
      </c>
      <c r="AK14" s="59" t="str">
        <f t="array" ref="AK14">bpLOOKUP(Data!$AV14,"1STBENDSH",CustOrdOpt,6,FALSE)</f>
        <v/>
      </c>
      <c r="AL14" s="59" t="str">
        <f t="array" ref="AL14">bpLOOKUP(Data!$AV14,"1STBEND",CustOrdOpt,6,FALSE)</f>
        <v/>
      </c>
      <c r="AM14" s="59" t="str">
        <f t="array" ref="AM14">bpLOOKUP(Data!$AV14,"1STBENDA",CustOrdOpt,6,FALSE)</f>
        <v/>
      </c>
      <c r="AN14" s="59" t="str">
        <f t="array" ref="AN14">bpLOOKUP(Data!$AV14,"2NDBENDSH",CustOrdOpt,6,FALSE)</f>
        <v/>
      </c>
      <c r="AO14" s="59" t="str">
        <f t="array" ref="AO14">bpLOOKUP(Data!$AV14,"2NDBEND",CustOrdOpt,6,FALSE)</f>
        <v/>
      </c>
      <c r="AP14" s="59" t="str">
        <f t="array" ref="AP14">bpLOOKUP(Data!$AV14,"2NDBENDA",CustOrdOpt,6,FALSE)</f>
        <v/>
      </c>
      <c r="AQ14" s="59" t="str">
        <f t="array" ref="AQ14">bpLOOKUP(Data!$AV14,"3RDBENDSH",CustOrdOpt,6,FALSE)</f>
        <v/>
      </c>
      <c r="AR14" s="59" t="str">
        <f t="array" ref="AR14">bpLOOKUP(Data!$AV14,"3RDBEND",CustOrdOpt,6,FALSE)</f>
        <v/>
      </c>
      <c r="AS14" s="59" t="str">
        <f t="array" ref="AS14">bpLOOKUP(Data!$AV14,"3RDBENDA",CustOrdOpt,6,FALSE)</f>
        <v/>
      </c>
      <c r="AT14" s="59" t="str">
        <f t="array" ref="AT14">bpLOOKUP(Data!$AV14,"4THBENDSH",CustOrdOpt,6,FALSE)</f>
        <v/>
      </c>
      <c r="AU14" s="59" t="str">
        <f t="array" ref="AU14">bpLOOKUP(Data!$AV14,"4THBEND",CustOrdOpt,6,FALSE)</f>
        <v/>
      </c>
      <c r="AV14" s="59" t="str">
        <f t="array" ref="AV14">bpLOOKUP(Data!$AV14,"4THBENDA",CustOrdOpt,6,FALSE)</f>
        <v/>
      </c>
      <c r="AW14" s="59" t="str">
        <f t="array" ref="AW14">bpLOOKUP(Data!$AV14,"SIDEBYSIDE",CustOrdOpt,6,FALSE)</f>
        <v>Wall to Wall</v>
      </c>
      <c r="AX14" s="59" t="str">
        <f t="array" ref="AX14">IF(bpLOOKUP(Data!$AV14,"PELTYPE",CustOrdOpt,6,FALSE)="None","",bpLOOKUP(Data!$AV14,"PELTYPE",CustOrdOpt,6,FALSE))</f>
        <v/>
      </c>
      <c r="AY14" s="111" t="str">
        <f t="array" ref="AY14">bpLOOKUP(Data!$AV14,"ADDWIDTH",CustOrdOpt,6,FALSE)</f>
        <v/>
      </c>
      <c r="AZ14" s="59" t="str">
        <f t="array" ref="AZ14">bpLOOKUP(Data!$AV14,"PELSHAPE",CustOrdOpt,6,FALSE)</f>
        <v/>
      </c>
      <c r="BA14" s="59" t="str">
        <f t="array" ref="BA14">bpLOOKUP(Data!$AV14,"PELFACE",CustOrdOpt,6,FALSE)</f>
        <v/>
      </c>
      <c r="BB14" s="59" t="str">
        <f t="array" ref="BB14">bpLOOKUP(Data!$AV14,"PELRETURN",CustOrdOpt,6,FALSE)</f>
        <v/>
      </c>
      <c r="BC14" s="59" t="str">
        <f t="array" ref="BC14">bpLOOKUP(Data!$AV14,"PELRETURNSIZE",CustOrdOpt,6,FALSE)</f>
        <v/>
      </c>
      <c r="BD14" s="59" t="str">
        <f t="array" ref="BD14">bpLOOKUP(Data!$AV14,"HBSIZE",CustOrdOpt,6,FALSE)</f>
        <v/>
      </c>
      <c r="BE14" s="59" t="str">
        <f t="array" ref="BE14">bpLOOKUP(Data!$AV14,"PIPING",CustOrdOpt,6,FALSE)</f>
        <v/>
      </c>
      <c r="BF14" s="59" t="str">
        <f t="array" ref="BF14">IF(Data!AW14="","",IF(bpLOOKUP(Data!$AV14,"TIEBACKS",CustOrdOpt,6,FALSE)="None","",bpLOOKUP(Data!$AV14,"TIEBACKS",CustOrdOpt,6,FALSE)))</f>
        <v/>
      </c>
      <c r="BG14" s="59" t="str">
        <f t="array" ref="BG14">bpLOOKUP(Data!$AV14,"TIEBACKHOOK",CustOrdOpt,6,FALSE)</f>
        <v/>
      </c>
      <c r="BH14" s="52" t="str">
        <f>IF(Data!BA14="","",VLOOKUP(CONCATENATE(Z14,AA14,AI14),TBSTracks,2,FALSE))</f>
        <v>DBS to Make</v>
      </c>
      <c r="BI14" s="59" t="str">
        <f t="array" ref="BI14">bpLOOKUP(Data!$AV14,"INSTALLATION",CustOrdOpt,6,FALSE)</f>
        <v>Curtain &amp; Track Installation</v>
      </c>
      <c r="BJ14" s="59" t="str">
        <f t="array" ref="BJ14">bpLOOKUP(Data!$AV14,"HANGHEIGHT",CustOrdOpt,6,FALSE)</f>
        <v>2.1m-2.4m</v>
      </c>
      <c r="BK14" s="59" t="str">
        <f t="array" ref="BK14">bpLOOKUP(Data!$AV14,"INSTALLG",CustOrdOpt,6,FALSE)</f>
        <v>Occupied Home</v>
      </c>
      <c r="BL14" s="59" t="str">
        <f t="array" ref="BL14">bpLOOKUP(Data!$AV14,"TAKEDOWN",CustOrdOpt,6,FALSE)</f>
        <v>No</v>
      </c>
      <c r="BM14" s="59" t="str">
        <f t="array" ref="BM14">bpLOOKUP(Data!$AV14,"CHECKM",CustOrdOpt,6,FALSE)</f>
        <v>No</v>
      </c>
      <c r="BN14" s="59" t="str">
        <f t="array" ref="BN14">bpLOOKUP(Data!$AV14,"NOTES",CustOrdOpt,6,FALSE)</f>
        <v>Alteration to curtain drop</v>
      </c>
      <c r="BP14" s="51">
        <f>IF(Data!BA14="","",IF(AND(F14="Opening",AI14="Bent"),Data!BA14-VLOOKUP(I14,FitDeduct,2,FALSE)-VLOOKUP(AW14,SideDeduct,2,FALSE)-CC14+55,IF(F14="Opening",Data!BA14-VLOOKUP(I14,FitDeduct,2,FALSE)-VLOOKUP(AW14,SideDeduct,2,FALSE)+55,IF(F14="Curtin Making Size",Data!BA14,IF(F14="Track Making Size",Data!BA14)+55))))</f>
        <v>3415</v>
      </c>
      <c r="BQ14" s="51">
        <f>IF(Data!BB14="","",IF(J14="Finished Drop",G14,IF(H14="Opening",Data!BB14-VLOOKUP(CONCATENATE(D14,Z14,R14,AD14),Hook,5,FALSE)-VLOOKUP(K14,Flooring,2,FALSE)-VLOOKUP(L14,Heightofffloor,2,FALSE)+IF(Q14="75mm Tape mounted 20mm from Top",10)+IF(Q14="75mm Tape mounted 25mm from Top",15)+IF(Q14="50mm Tape mounted 20mm from Top",10),IF(H14="Making",Data!BB14,""))))</f>
        <v>2625</v>
      </c>
      <c r="BR14" s="110" t="str">
        <f t="array" ref="BR14">bpLOOKUP(Data!$AV14,"NOTEDROPS",CustOrdOpt,6,FALSE)</f>
        <v/>
      </c>
      <c r="BS14" s="59">
        <f>IF(Data!AV14="","",IFERROR(VLOOKUP(B14,Fabrics,3,FALSE),0)/10)</f>
        <v>320</v>
      </c>
      <c r="BT14" s="59" t="str">
        <f>IF(F14="Track Making Size",AL14,IF(AND(F14="Opening",AI14="Bent",IFERROR(VALUE(AJ14),0)&gt;=1),ROUND(IFERROR(VALUE(AL14),0)-CD14/2,0),""))</f>
        <v/>
      </c>
      <c r="BU14" s="59" t="str">
        <f>IF(F14="Track Making Size",AO14,IF(AND(F14="Opening",AI14="Bent",IFERROR(VALUE(AJ14),0)&gt;=2),ROUND(IFERROR(VALUE(AO14),0)-(CD14+CE14/2),0),""))</f>
        <v/>
      </c>
      <c r="BV14" s="59" t="str">
        <f>IF(F14="Track Making Size",AR14,IF(AND(F14="Opening",AI14="Bent",IFERROR(VALUE(AJ14),0)&gt;=3),ROUND(IFERROR(VALUE(AR14),0)-(CD14+CE14+CF14/2),0),""))</f>
        <v/>
      </c>
      <c r="BW14" s="59" t="str">
        <f>IF(F14="Track Making Size",AU14,IF(AND(F14="Opening",AI14="Bent",IFERROR(VALUE(AJ14),0)&gt;=4),ROUND(IFERROR(VALUE(AU14),0)-(CD14+CE14+CF14+CG14/2),0),""))</f>
        <v/>
      </c>
      <c r="BX14" s="59" t="str">
        <f>IF(Data!AV14="","",IF(VLOOKUP(CONCATENATE(Z14,AA14,AI14),TBSTracks,4,FALSE)="0","0",IF(OR(S14="Centre Opening",S14="Centre Opening - Free Flowing",S14="Centre Opening (Offset Split)",S14="Centre Opening - Free Flowing (Offset Split)"),VLOOKUP(CONCATENATE(Z14,AA14,AI14),TBSTracks,4,FALSE),"0")))</f>
        <v>0</v>
      </c>
      <c r="BY14" s="59" t="str">
        <f>IF(OR(BH14="Track from TBS",BH14="Track from Vanda"),"",IF(OR(Z14="Existing Normal S-Fold Track",P14="Wavefold (Standard Fullness x 2)",P14="Wavefold (Less Fullness x 1.8)",P14="Wavefold (Extra Fullness x 2.2)"),VLOOKUP(CONCATENATE(P14,S14),WavefoldLookUp,2,FALSE),""))</f>
        <v>100% One Way</v>
      </c>
      <c r="BZ14" s="59">
        <f>IF(OR(BY14="Centre Opening 100%",BY14="Centre Opening 120%",BY14="Centre Opening 80%"),VLOOKUP(BP14,COPEN100,2,TRUE),IF(OR(BY14="100% One Way",BY14="120% One Way",BY14="80% One Way"),VLOOKUP(BP14,OneWay100,2,TRUE),""))</f>
        <v>66</v>
      </c>
      <c r="CA14" s="59" t="str">
        <f>IF(BY14="","",VLOOKUP(X14,ReturnLookUp,2,FALSE))</f>
        <v>None</v>
      </c>
      <c r="CB14" s="59">
        <f>IF(Data!AV14="","",IF(VLOOKUP(CONCATENATE(Z14,AA14,AI14),TBSTracks,2,FALSE)="DBS to Make",BP14-VLOOKUP(CONCATENATE(Z14,S14),Operation,2,FALSE)-VLOOKUP(CONCATENATE(D14,Z14,R14,AD14),Hook,4,FALSE)-55,""))</f>
        <v>3354</v>
      </c>
      <c r="CC14" s="192">
        <f>IF(Data!AV14="","",IF($AI14&lt;&gt;"Bent",0,ROUND(SUM(CD14:CG14),0)))</f>
        <v>0</v>
      </c>
      <c r="CD14" s="192" t="str">
        <f>IF($AI14&lt;&gt;"Bent","",ROUND($CH14*IF(IFERROR(VALUE($AJ14),0)&gt;=1,RADIANS(ABS(180-IFERROR(VALUE($AM14),0)))*IF(LEFT(UPPER(TRIM($AK14)),8)="INTERNAL",1,IF(LEFT(UPPER(TRIM($AK14)),8)="EXTERNAL",-1,0)),0),0))</f>
        <v/>
      </c>
      <c r="CE14" s="192" t="str">
        <f>IF($AI14&lt;&gt;"Bent","",ROUND($CH14*IF(IFERROR(VALUE($AJ14),0)&gt;=2,RADIANS(ABS(180-IFERROR(VALUE($AP14),0)))*IF(LEFT(UPPER(TRIM($AN14)),8)="INTERNAL",1,IF(LEFT(UPPER(TRIM($AN14)),8)="EXTERNAL",-1,0)),0),0))</f>
        <v/>
      </c>
      <c r="CF14" s="192" t="str">
        <f>IF($AI14&lt;&gt;"Bent","",ROUND($CH14*IF(IFERROR(VALUE($AJ14),0)&gt;=3,RADIANS(ABS(180-IFERROR(VALUE($AS14),0)))*IF(LEFT(UPPER(TRIM($AQ14)),8)="INTERNAL",1,IF(LEFT(UPPER(TRIM($AQ14)),8)="EXTERNAL",-1,0)),0),0))</f>
        <v/>
      </c>
      <c r="CG14" s="192" t="str">
        <f>IF($AI14&lt;&gt;"Bent","",ROUND($CH14*IF(IFERROR(VALUE($AJ14),0)&gt;=4,RADIANS(ABS(180-IFERROR(VALUE($AV14),0)))*IF(LEFT(UPPER(TRIM($AT14)),8)="INTERNAL",1,IF(LEFT(UPPER(TRIM($AT14)),8)="EXTERNAL",-1,0)),0),0))</f>
        <v/>
      </c>
      <c r="CH14" s="193">
        <f>IF($AI14&lt;&gt;"Bent",0,IFERROR(VLOOKUP($Z14,SaberTracks,3,FALSE),0)+MAX(IFERROR(VLOOKUP($D14&amp;$AD14,BracketProj,2,FALSE),0)-75,0)*1.25)</f>
        <v>0</v>
      </c>
      <c r="CI14" s="194">
        <f>IF(Data!BA14="","",IF(AND(F14="Opening",AI14="Bent"),VLOOKUP(I14,FitDeduct,2,FALSE)-VLOOKUP(AW14,SideDeduct,2,FALSE)-CC14+55,IF(F14="Opening",VLOOKUP(I14,FitDeduct,2,FALSE)-VLOOKUP(AW14,SideDeduct,2,FALSE)+55,IF(F14="Curtin Making Size",Data!BA14,IF(F14="Track Making Size",55)))))</f>
        <v>35</v>
      </c>
    </row>
    <row r="15" spans="1:87" s="53" customFormat="1" ht="120">
      <c r="A15" s="105">
        <f>Data!AW15</f>
        <v>32</v>
      </c>
      <c r="B15" s="58" t="str">
        <f>IF(Data!BE15="","",MID(Data!BE15,6,80))</f>
        <v>Nettex Brunswick (Continuous) Uncoated Talc</v>
      </c>
      <c r="C15" s="58" t="str">
        <f>Data!AY15</f>
        <v>Bed 3 ALTERATION</v>
      </c>
      <c r="D15" s="106" t="str">
        <f t="array" ref="D15">bpLOOKUP(Data!$AV15,"SINGLE",CustOrdOpt,6,FALSE)</f>
        <v>Single</v>
      </c>
      <c r="E15" s="107">
        <f>SUM(Data!BA15)</f>
        <v>3282</v>
      </c>
      <c r="F15" s="108" t="str">
        <f t="array" ref="F15">bpLOOKUP(Data!$AV15,"Size",CustOrdOpt,6,FALSE)</f>
        <v>Opening</v>
      </c>
      <c r="G15" s="107">
        <f>SUM(Data!BB15)</f>
        <v>2660</v>
      </c>
      <c r="H15" s="108" t="str">
        <f t="array" ref="H15">bpLOOKUP(Data!$AV15,"DROPSIZE",CustOrdOpt,6,FALSE)</f>
        <v>Opening</v>
      </c>
      <c r="I15" s="109" t="str">
        <f t="array" ref="I15">bpLOOKUP(Data!$AV15,"FIT",CustOrdOpt,6,FALSE)</f>
        <v>Face</v>
      </c>
      <c r="J15" s="109" t="str">
        <f t="array" ref="J15">bpLOOKUP(Data!$AV15,"MEASUREDAS",CustOrdOpt,6,FALSE)</f>
        <v>Cornice to Floor</v>
      </c>
      <c r="K15" s="109" t="str">
        <f t="array" ref="K15">bpLOOKUP(Data!$AV15,"FLOORING",CustOrdOpt,6,FALSE)</f>
        <v>Yes</v>
      </c>
      <c r="L15" s="109" t="str">
        <f t="array" ref="L15">bpLOOKUP(Data!$AV15,"HEIGHTOFFFLOOR",CustOrdOpt,6,FALSE)</f>
        <v>Just off the Floor</v>
      </c>
      <c r="M15" s="59" t="str">
        <f t="array" ref="M15">bpLOOKUP(Data!$AV15,"CURTAIN",CustOrdOpt,6,FALSE)</f>
        <v>No Lining</v>
      </c>
      <c r="N15" s="59" t="str">
        <f t="array" ref="N15">bpLOOKUP(Data!$AV15,"LININGCOLOUR",CustOrdOpt,6,FALSE)</f>
        <v/>
      </c>
      <c r="O15" s="59" t="str">
        <f t="array" ref="O15">bpLOOKUP(Data!$AV15,"COLLININGF",CustOrdOpt,6,FALSE)</f>
        <v/>
      </c>
      <c r="P15" s="59" t="str">
        <f t="array" ref="P15">bpLOOKUP(Data!$AV15,"HEADINGSTYLE",CustOrdOpt,6,FALSE)</f>
        <v>Wavefold (Standard Fullness x 2)</v>
      </c>
      <c r="Q15" s="59" t="str">
        <f t="array" ref="Q15">bpLOOKUP(Data!$AV15,"TAPE",CustOrdOpt,6,FALSE)</f>
        <v>75mm Clear Tape</v>
      </c>
      <c r="R15" s="59" t="str">
        <f t="array" ref="R15">bpLOOKUP(Data!$AV15,"HOOK",CustOrdOpt,6,FALSE)</f>
        <v>Wavefold Hooks</v>
      </c>
      <c r="S15" s="59" t="str">
        <f t="array" ref="S15">bpLOOKUP(Data!$AV15,"OPENING",CustOrdOpt,6,FALSE)</f>
        <v>Single Panel - Left Stacking</v>
      </c>
      <c r="T15" s="59" t="str">
        <f t="array" ref="T15">bpLOOKUP(Data!$AV15,"OFFSETL",CustOrdOpt,6,FALSE)</f>
        <v/>
      </c>
      <c r="U15" s="59" t="str">
        <f t="array" ref="U15">bpLOOKUP(Data!$AV15,"OFFSETR",CustOrdOpt,6,FALSE)</f>
        <v/>
      </c>
      <c r="V15" s="59" t="str">
        <f t="array" ref="V15">bpLOOKUP(Data!$AV15,"OFFSET",CustOrdOpt,6,FALSE)</f>
        <v/>
      </c>
      <c r="W15" s="59" t="str">
        <f t="array" ref="W15">bpLOOKUP(Data!$AV15,"HEM",CustOrdOpt,6,FALSE)</f>
        <v>Standard 75mm</v>
      </c>
      <c r="X15" s="59" t="str">
        <f t="array" ref="X15">bpLOOKUP(Data!$AV15,"RETURNS",CustOrdOpt,6,FALSE)</f>
        <v>None</v>
      </c>
      <c r="Y15" s="59" t="str">
        <f t="array" ref="Y15">IF(Data!AX15="","",IF(bpLOOKUP(Data!$AV15,"RETURNSIZE",CustOrdOpt,6,FALSE)="","0",bpLOOKUP(Data!$AV15,"RETURNSIZE",CustOrdOpt,6,FALSE)))</f>
        <v>0</v>
      </c>
      <c r="Z15" s="59" t="str">
        <f t="array" ref="Z15">bpLOOKUP(Data!$AV15,"TRACKTYPE",CustOrdOpt,6,FALSE)</f>
        <v>Wavefold Hand Operation</v>
      </c>
      <c r="AA15" s="59" t="str">
        <f t="array" ref="AA15">bpLOOKUP(Data!$AV15,"TRACKCOLOUR",CustOrdOpt,6,FALSE)</f>
        <v>White</v>
      </c>
      <c r="AB15" s="59" t="str">
        <f t="array" ref="AB15">bpLOOKUP(Data!$AV15,"CORDOP",CustOrdOpt,6,FALSE)</f>
        <v>Hand Operation</v>
      </c>
      <c r="AC15" s="59" t="str">
        <f t="array" ref="AC15">bpLOOKUP(Data!$AV15,"CONTROL",CustOrdOpt,6,FALSE)</f>
        <v/>
      </c>
      <c r="AD15" s="59" t="str">
        <f t="array" ref="AD15">bpLOOKUP(Data!$AV15,"BRACKETS",CustOrdOpt,6,FALSE)</f>
        <v>Single Face Fix Brackets</v>
      </c>
      <c r="AE15" s="59" t="str">
        <f t="array" ref="AE15">bpLOOKUP(Data!$AV15,"FINIALS",CustOrdOpt,6,FALSE)</f>
        <v/>
      </c>
      <c r="AF15" s="59" t="str">
        <f t="array" ref="AF15">bpLOOKUP(Data!$AV15,"HANGERQTY",CustOrdOpt,6,FALSE)</f>
        <v/>
      </c>
      <c r="AG15" s="59" t="str">
        <f t="array" ref="AG15">bpLOOKUP(Data!$AV15,"HANGERL",CustOrdOpt,6,FALSE)</f>
        <v/>
      </c>
      <c r="AH15" s="59" t="str">
        <f t="array" ref="AH15">bpLOOKUP(Data!$AV15,"FLICKSTICKS",CustOrdOpt,6,FALSE)</f>
        <v>White Aluminium Flick Sticks 125cm</v>
      </c>
      <c r="AI15" s="59" t="str">
        <f t="array" ref="AI15">bpLOOKUP(Data!$AV15,"TRACKSHAPE",CustOrdOpt,6,FALSE)</f>
        <v>Straight</v>
      </c>
      <c r="AJ15" s="59" t="str">
        <f t="array" ref="AJ15">bpLOOKUP(Data!$AV15,"BENDS",CustOrdOpt,6,FALSE)</f>
        <v/>
      </c>
      <c r="AK15" s="59" t="str">
        <f t="array" ref="AK15">bpLOOKUP(Data!$AV15,"1STBENDSH",CustOrdOpt,6,FALSE)</f>
        <v/>
      </c>
      <c r="AL15" s="59" t="str">
        <f t="array" ref="AL15">bpLOOKUP(Data!$AV15,"1STBEND",CustOrdOpt,6,FALSE)</f>
        <v/>
      </c>
      <c r="AM15" s="59" t="str">
        <f t="array" ref="AM15">bpLOOKUP(Data!$AV15,"1STBENDA",CustOrdOpt,6,FALSE)</f>
        <v/>
      </c>
      <c r="AN15" s="59" t="str">
        <f t="array" ref="AN15">bpLOOKUP(Data!$AV15,"2NDBENDSH",CustOrdOpt,6,FALSE)</f>
        <v/>
      </c>
      <c r="AO15" s="59" t="str">
        <f t="array" ref="AO15">bpLOOKUP(Data!$AV15,"2NDBEND",CustOrdOpt,6,FALSE)</f>
        <v/>
      </c>
      <c r="AP15" s="59" t="str">
        <f t="array" ref="AP15">bpLOOKUP(Data!$AV15,"2NDBENDA",CustOrdOpt,6,FALSE)</f>
        <v/>
      </c>
      <c r="AQ15" s="59" t="str">
        <f t="array" ref="AQ15">bpLOOKUP(Data!$AV15,"3RDBENDSH",CustOrdOpt,6,FALSE)</f>
        <v/>
      </c>
      <c r="AR15" s="59" t="str">
        <f t="array" ref="AR15">bpLOOKUP(Data!$AV15,"3RDBEND",CustOrdOpt,6,FALSE)</f>
        <v/>
      </c>
      <c r="AS15" s="59" t="str">
        <f t="array" ref="AS15">bpLOOKUP(Data!$AV15,"3RDBENDA",CustOrdOpt,6,FALSE)</f>
        <v/>
      </c>
      <c r="AT15" s="59" t="str">
        <f t="array" ref="AT15">bpLOOKUP(Data!$AV15,"4THBENDSH",CustOrdOpt,6,FALSE)</f>
        <v/>
      </c>
      <c r="AU15" s="59" t="str">
        <f t="array" ref="AU15">bpLOOKUP(Data!$AV15,"4THBEND",CustOrdOpt,6,FALSE)</f>
        <v/>
      </c>
      <c r="AV15" s="59" t="str">
        <f t="array" ref="AV15">bpLOOKUP(Data!$AV15,"4THBENDA",CustOrdOpt,6,FALSE)</f>
        <v/>
      </c>
      <c r="AW15" s="59" t="str">
        <f t="array" ref="AW15">bpLOOKUP(Data!$AV15,"SIDEBYSIDE",CustOrdOpt,6,FALSE)</f>
        <v>Wall to Wall</v>
      </c>
      <c r="AX15" s="59" t="str">
        <f t="array" ref="AX15">IF(bpLOOKUP(Data!$AV15,"PELTYPE",CustOrdOpt,6,FALSE)="None","",bpLOOKUP(Data!$AV15,"PELTYPE",CustOrdOpt,6,FALSE))</f>
        <v/>
      </c>
      <c r="AY15" s="111" t="str">
        <f t="array" ref="AY15">bpLOOKUP(Data!$AV15,"ADDWIDTH",CustOrdOpt,6,FALSE)</f>
        <v/>
      </c>
      <c r="AZ15" s="59" t="str">
        <f t="array" ref="AZ15">bpLOOKUP(Data!$AV15,"PELSHAPE",CustOrdOpt,6,FALSE)</f>
        <v/>
      </c>
      <c r="BA15" s="59" t="str">
        <f t="array" ref="BA15">bpLOOKUP(Data!$AV15,"PELFACE",CustOrdOpt,6,FALSE)</f>
        <v/>
      </c>
      <c r="BB15" s="59" t="str">
        <f t="array" ref="BB15">bpLOOKUP(Data!$AV15,"PELRETURN",CustOrdOpt,6,FALSE)</f>
        <v/>
      </c>
      <c r="BC15" s="59" t="str">
        <f t="array" ref="BC15">bpLOOKUP(Data!$AV15,"PELRETURNSIZE",CustOrdOpt,6,FALSE)</f>
        <v/>
      </c>
      <c r="BD15" s="59" t="str">
        <f t="array" ref="BD15">bpLOOKUP(Data!$AV15,"HBSIZE",CustOrdOpt,6,FALSE)</f>
        <v/>
      </c>
      <c r="BE15" s="59" t="str">
        <f t="array" ref="BE15">bpLOOKUP(Data!$AV15,"PIPING",CustOrdOpt,6,FALSE)</f>
        <v/>
      </c>
      <c r="BF15" s="59" t="str">
        <f t="array" ref="BF15">IF(Data!AW15="","",IF(bpLOOKUP(Data!$AV15,"TIEBACKS",CustOrdOpt,6,FALSE)="None","",bpLOOKUP(Data!$AV15,"TIEBACKS",CustOrdOpt,6,FALSE)))</f>
        <v/>
      </c>
      <c r="BG15" s="59" t="str">
        <f t="array" ref="BG15">bpLOOKUP(Data!$AV15,"TIEBACKHOOK",CustOrdOpt,6,FALSE)</f>
        <v/>
      </c>
      <c r="BH15" s="52" t="str">
        <f>IF(Data!BA15="","",VLOOKUP(CONCATENATE(Z15,AA15,AI15),TBSTracks,2,FALSE))</f>
        <v>DBS to Make</v>
      </c>
      <c r="BI15" s="59" t="str">
        <f t="array" ref="BI15">bpLOOKUP(Data!$AV15,"INSTALLATION",CustOrdOpt,6,FALSE)</f>
        <v>Curtain &amp; Track Installation</v>
      </c>
      <c r="BJ15" s="59" t="str">
        <f t="array" ref="BJ15">bpLOOKUP(Data!$AV15,"HANGHEIGHT",CustOrdOpt,6,FALSE)</f>
        <v>2.1m-2.4m</v>
      </c>
      <c r="BK15" s="59" t="str">
        <f t="array" ref="BK15">bpLOOKUP(Data!$AV15,"INSTALLG",CustOrdOpt,6,FALSE)</f>
        <v>Occupied Home</v>
      </c>
      <c r="BL15" s="59" t="str">
        <f t="array" ref="BL15">bpLOOKUP(Data!$AV15,"TAKEDOWN",CustOrdOpt,6,FALSE)</f>
        <v>No</v>
      </c>
      <c r="BM15" s="59" t="str">
        <f t="array" ref="BM15">bpLOOKUP(Data!$AV15,"CHECKM",CustOrdOpt,6,FALSE)</f>
        <v>No</v>
      </c>
      <c r="BN15" s="59" t="str">
        <f t="array" ref="BN15">bpLOOKUP(Data!$AV15,"NOTES",CustOrdOpt,6,FALSE)</f>
        <v>Alteration to curtain drop</v>
      </c>
      <c r="BP15" s="51">
        <f>IF(Data!BA15="","",IF(AND(F15="Opening",AI15="Bent"),Data!BA15-VLOOKUP(I15,FitDeduct,2,FALSE)-VLOOKUP(AW15,SideDeduct,2,FALSE)-CC15+55,IF(F15="Opening",Data!BA15-VLOOKUP(I15,FitDeduct,2,FALSE)-VLOOKUP(AW15,SideDeduct,2,FALSE)+55,IF(F15="Curtin Making Size",Data!BA15,IF(F15="Track Making Size",Data!BA15)+55))))</f>
        <v>3317</v>
      </c>
      <c r="BQ15" s="51">
        <f>IF(Data!BB15="","",IF(J15="Finished Drop",G15,IF(H15="Opening",Data!BB15-VLOOKUP(CONCATENATE(D15,Z15,R15,AD15),Hook,5,FALSE)-VLOOKUP(K15,Flooring,2,FALSE)-VLOOKUP(L15,Heightofffloor,2,FALSE)+IF(Q15="75mm Tape mounted 20mm from Top",10)+IF(Q15="75mm Tape mounted 25mm from Top",15)+IF(Q15="50mm Tape mounted 20mm from Top",10),IF(H15="Making",Data!BB15,""))))</f>
        <v>2630</v>
      </c>
      <c r="BR15" s="110" t="str">
        <f t="array" ref="BR15">bpLOOKUP(Data!$AV15,"NOTEDROPS",CustOrdOpt,6,FALSE)</f>
        <v/>
      </c>
      <c r="BS15" s="59">
        <f>IF(Data!AV15="","",IFERROR(VLOOKUP(B15,Fabrics,3,FALSE),0)/10)</f>
        <v>320</v>
      </c>
      <c r="BT15" s="59" t="str">
        <f>IF(F15="Track Making Size",AL15,IF(AND(F15="Opening",AI15="Bent",IFERROR(VALUE(AJ15),0)&gt;=1),ROUND(IFERROR(VALUE(AL15),0)-CD15/2,0),""))</f>
        <v/>
      </c>
      <c r="BU15" s="59" t="str">
        <f>IF(F15="Track Making Size",AO15,IF(AND(F15="Opening",AI15="Bent",IFERROR(VALUE(AJ15),0)&gt;=2),ROUND(IFERROR(VALUE(AO15),0)-(CD15+CE15/2),0),""))</f>
        <v/>
      </c>
      <c r="BV15" s="59" t="str">
        <f>IF(F15="Track Making Size",AR15,IF(AND(F15="Opening",AI15="Bent",IFERROR(VALUE(AJ15),0)&gt;=3),ROUND(IFERROR(VALUE(AR15),0)-(CD15+CE15+CF15/2),0),""))</f>
        <v/>
      </c>
      <c r="BW15" s="59" t="str">
        <f>IF(F15="Track Making Size",AU15,IF(AND(F15="Opening",AI15="Bent",IFERROR(VALUE(AJ15),0)&gt;=4),ROUND(IFERROR(VALUE(AU15),0)-(CD15+CE15+CF15+CG15/2),0),""))</f>
        <v/>
      </c>
      <c r="BX15" s="59" t="str">
        <f>IF(Data!AV15="","",IF(VLOOKUP(CONCATENATE(Z15,AA15,AI15),TBSTracks,4,FALSE)="0","0",IF(OR(S15="Centre Opening",S15="Centre Opening - Free Flowing",S15="Centre Opening (Offset Split)",S15="Centre Opening - Free Flowing (Offset Split)"),VLOOKUP(CONCATENATE(Z15,AA15,AI15),TBSTracks,4,FALSE),"0")))</f>
        <v>0</v>
      </c>
      <c r="BY15" s="59" t="str">
        <f>IF(OR(BH15="Track from TBS",BH15="Track from Vanda"),"",IF(OR(Z15="Existing Normal S-Fold Track",P15="Wavefold (Standard Fullness x 2)",P15="Wavefold (Less Fullness x 1.8)",P15="Wavefold (Extra Fullness x 2.2)"),VLOOKUP(CONCATENATE(P15,S15),WavefoldLookUp,2,FALSE),""))</f>
        <v>100% One Way</v>
      </c>
      <c r="BZ15" s="59">
        <f>IF(OR(BY15="Centre Opening 100%",BY15="Centre Opening 120%",BY15="Centre Opening 80%"),VLOOKUP(BP15,COPEN100,2,TRUE),IF(OR(BY15="100% One Way",BY15="120% One Way",BY15="80% One Way"),VLOOKUP(BP15,OneWay100,2,TRUE),""))</f>
        <v>64</v>
      </c>
      <c r="CA15" s="59" t="str">
        <f>IF(BY15="","",VLOOKUP(X15,ReturnLookUp,2,FALSE))</f>
        <v>None</v>
      </c>
      <c r="CB15" s="59">
        <f>IF(Data!AV15="","",IF(VLOOKUP(CONCATENATE(Z15,AA15,AI15),TBSTracks,2,FALSE)="DBS to Make",BP15-VLOOKUP(CONCATENATE(Z15,S15),Operation,2,FALSE)-VLOOKUP(CONCATENATE(D15,Z15,R15,AD15),Hook,4,FALSE)-55,""))</f>
        <v>3256</v>
      </c>
      <c r="CC15" s="192">
        <f>IF(Data!AV15="","",IF($AI15&lt;&gt;"Bent",0,ROUND(SUM(CD15:CG15),0)))</f>
        <v>0</v>
      </c>
      <c r="CD15" s="192" t="str">
        <f>IF($AI15&lt;&gt;"Bent","",ROUND($CH15*IF(IFERROR(VALUE($AJ15),0)&gt;=1,RADIANS(ABS(180-IFERROR(VALUE($AM15),0)))*IF(LEFT(UPPER(TRIM($AK15)),8)="INTERNAL",1,IF(LEFT(UPPER(TRIM($AK15)),8)="EXTERNAL",-1,0)),0),0))</f>
        <v/>
      </c>
      <c r="CE15" s="192" t="str">
        <f>IF($AI15&lt;&gt;"Bent","",ROUND($CH15*IF(IFERROR(VALUE($AJ15),0)&gt;=2,RADIANS(ABS(180-IFERROR(VALUE($AP15),0)))*IF(LEFT(UPPER(TRIM($AN15)),8)="INTERNAL",1,IF(LEFT(UPPER(TRIM($AN15)),8)="EXTERNAL",-1,0)),0),0))</f>
        <v/>
      </c>
      <c r="CF15" s="192" t="str">
        <f>IF($AI15&lt;&gt;"Bent","",ROUND($CH15*IF(IFERROR(VALUE($AJ15),0)&gt;=3,RADIANS(ABS(180-IFERROR(VALUE($AS15),0)))*IF(LEFT(UPPER(TRIM($AQ15)),8)="INTERNAL",1,IF(LEFT(UPPER(TRIM($AQ15)),8)="EXTERNAL",-1,0)),0),0))</f>
        <v/>
      </c>
      <c r="CG15" s="192" t="str">
        <f>IF($AI15&lt;&gt;"Bent","",ROUND($CH15*IF(IFERROR(VALUE($AJ15),0)&gt;=4,RADIANS(ABS(180-IFERROR(VALUE($AV15),0)))*IF(LEFT(UPPER(TRIM($AT15)),8)="INTERNAL",1,IF(LEFT(UPPER(TRIM($AT15)),8)="EXTERNAL",-1,0)),0),0))</f>
        <v/>
      </c>
      <c r="CH15" s="193">
        <f>IF($AI15&lt;&gt;"Bent",0,IFERROR(VLOOKUP($Z15,SaberTracks,3,FALSE),0)+MAX(IFERROR(VLOOKUP($D15&amp;$AD15,BracketProj,2,FALSE),0)-75,0)*1.25)</f>
        <v>0</v>
      </c>
      <c r="CI15" s="194">
        <f>IF(Data!BA15="","",IF(AND(F15="Opening",AI15="Bent"),VLOOKUP(I15,FitDeduct,2,FALSE)-VLOOKUP(AW15,SideDeduct,2,FALSE)-CC15+55,IF(F15="Opening",VLOOKUP(I15,FitDeduct,2,FALSE)-VLOOKUP(AW15,SideDeduct,2,FALSE)+55,IF(F15="Curtin Making Size",Data!BA15,IF(F15="Track Making Size",55)))))</f>
        <v>35</v>
      </c>
    </row>
    <row r="16" spans="1:87" s="53" customFormat="1" ht="120">
      <c r="A16" s="105">
        <f>Data!AW16</f>
        <v>33</v>
      </c>
      <c r="B16" s="58" t="str">
        <f>IF(Data!BE16="","",MID(Data!BE16,6,80))</f>
        <v>Nettex Brunswick (Continuous) Uncoated Talc</v>
      </c>
      <c r="C16" s="58" t="str">
        <f>Data!AY16</f>
        <v>Back Hallway (IN) ALTERATION</v>
      </c>
      <c r="D16" s="106" t="str">
        <f t="array" ref="D16">bpLOOKUP(Data!$AV16,"SINGLE",CustOrdOpt,6,FALSE)</f>
        <v>Single</v>
      </c>
      <c r="E16" s="107">
        <f>SUM(Data!BA16)</f>
        <v>2670</v>
      </c>
      <c r="F16" s="108" t="str">
        <f t="array" ref="F16">bpLOOKUP(Data!$AV16,"Size",CustOrdOpt,6,FALSE)</f>
        <v>Opening</v>
      </c>
      <c r="G16" s="107">
        <f>SUM(Data!BB16)</f>
        <v>2445</v>
      </c>
      <c r="H16" s="108" t="str">
        <f t="array" ref="H16">bpLOOKUP(Data!$AV16,"DROPSIZE",CustOrdOpt,6,FALSE)</f>
        <v>Opening</v>
      </c>
      <c r="I16" s="109" t="str">
        <f t="array" ref="I16">bpLOOKUP(Data!$AV16,"FIT",CustOrdOpt,6,FALSE)</f>
        <v>Face</v>
      </c>
      <c r="J16" s="109" t="str">
        <f t="array" ref="J16">bpLOOKUP(Data!$AV16,"MEASUREDAS",CustOrdOpt,6,FALSE)</f>
        <v>Top of Arc to Floor</v>
      </c>
      <c r="K16" s="109" t="str">
        <f t="array" ref="K16">bpLOOKUP(Data!$AV16,"FLOORING",CustOrdOpt,6,FALSE)</f>
        <v>Yes</v>
      </c>
      <c r="L16" s="109" t="str">
        <f t="array" ref="L16">bpLOOKUP(Data!$AV16,"HEIGHTOFFFLOOR",CustOrdOpt,6,FALSE)</f>
        <v>Just off the Floor</v>
      </c>
      <c r="M16" s="59" t="str">
        <f t="array" ref="M16">bpLOOKUP(Data!$AV16,"CURTAIN",CustOrdOpt,6,FALSE)</f>
        <v>No Lining</v>
      </c>
      <c r="N16" s="59" t="str">
        <f t="array" ref="N16">bpLOOKUP(Data!$AV16,"LININGCOLOUR",CustOrdOpt,6,FALSE)</f>
        <v/>
      </c>
      <c r="O16" s="59" t="str">
        <f t="array" ref="O16">bpLOOKUP(Data!$AV16,"COLLININGF",CustOrdOpt,6,FALSE)</f>
        <v/>
      </c>
      <c r="P16" s="59" t="str">
        <f t="array" ref="P16">bpLOOKUP(Data!$AV16,"HEADINGSTYLE",CustOrdOpt,6,FALSE)</f>
        <v>Wavefold (Standard Fullness x 2)</v>
      </c>
      <c r="Q16" s="59" t="str">
        <f t="array" ref="Q16">bpLOOKUP(Data!$AV16,"TAPE",CustOrdOpt,6,FALSE)</f>
        <v>75mm Clear Tape</v>
      </c>
      <c r="R16" s="59" t="str">
        <f t="array" ref="R16">bpLOOKUP(Data!$AV16,"HOOK",CustOrdOpt,6,FALSE)</f>
        <v>Wavefold Hooks</v>
      </c>
      <c r="S16" s="59" t="str">
        <f t="array" ref="S16">bpLOOKUP(Data!$AV16,"OPENING",CustOrdOpt,6,FALSE)</f>
        <v>Centre Opening</v>
      </c>
      <c r="T16" s="59" t="str">
        <f t="array" ref="T16">bpLOOKUP(Data!$AV16,"OFFSETL",CustOrdOpt,6,FALSE)</f>
        <v/>
      </c>
      <c r="U16" s="59" t="str">
        <f t="array" ref="U16">bpLOOKUP(Data!$AV16,"OFFSETR",CustOrdOpt,6,FALSE)</f>
        <v/>
      </c>
      <c r="V16" s="59" t="str">
        <f t="array" ref="V16">bpLOOKUP(Data!$AV16,"OFFSET",CustOrdOpt,6,FALSE)</f>
        <v/>
      </c>
      <c r="W16" s="59" t="str">
        <f t="array" ref="W16">bpLOOKUP(Data!$AV16,"HEM",CustOrdOpt,6,FALSE)</f>
        <v>Standard 75mm</v>
      </c>
      <c r="X16" s="59" t="str">
        <f t="array" ref="X16">bpLOOKUP(Data!$AV16,"RETURNS",CustOrdOpt,6,FALSE)</f>
        <v>None</v>
      </c>
      <c r="Y16" s="59" t="str">
        <f t="array" ref="Y16">IF(Data!AX16="","",IF(bpLOOKUP(Data!$AV16,"RETURNSIZE",CustOrdOpt,6,FALSE)="","0",bpLOOKUP(Data!$AV16,"RETURNSIZE",CustOrdOpt,6,FALSE)))</f>
        <v>0</v>
      </c>
      <c r="Z16" s="59" t="str">
        <f t="array" ref="Z16">bpLOOKUP(Data!$AV16,"TRACKTYPE",CustOrdOpt,6,FALSE)</f>
        <v>Wavefold Hand Operation</v>
      </c>
      <c r="AA16" s="59" t="str">
        <f t="array" ref="AA16">bpLOOKUP(Data!$AV16,"TRACKCOLOUR",CustOrdOpt,6,FALSE)</f>
        <v>White</v>
      </c>
      <c r="AB16" s="59" t="str">
        <f t="array" ref="AB16">bpLOOKUP(Data!$AV16,"CORDOP",CustOrdOpt,6,FALSE)</f>
        <v>Hand Operation</v>
      </c>
      <c r="AC16" s="59" t="str">
        <f t="array" ref="AC16">bpLOOKUP(Data!$AV16,"CONTROL",CustOrdOpt,6,FALSE)</f>
        <v/>
      </c>
      <c r="AD16" s="59" t="str">
        <f t="array" ref="AD16">bpLOOKUP(Data!$AV16,"BRACKETS",CustOrdOpt,6,FALSE)</f>
        <v>Single Face Fix Brackets</v>
      </c>
      <c r="AE16" s="59" t="str">
        <f t="array" ref="AE16">bpLOOKUP(Data!$AV16,"FINIALS",CustOrdOpt,6,FALSE)</f>
        <v/>
      </c>
      <c r="AF16" s="59" t="str">
        <f t="array" ref="AF16">bpLOOKUP(Data!$AV16,"HANGERQTY",CustOrdOpt,6,FALSE)</f>
        <v/>
      </c>
      <c r="AG16" s="59" t="str">
        <f t="array" ref="AG16">bpLOOKUP(Data!$AV16,"HANGERL",CustOrdOpt,6,FALSE)</f>
        <v/>
      </c>
      <c r="AH16" s="59" t="str">
        <f t="array" ref="AH16">bpLOOKUP(Data!$AV16,"FLICKSTICKS",CustOrdOpt,6,FALSE)</f>
        <v>White Aluminium Flick Sticks 125cm</v>
      </c>
      <c r="AI16" s="59" t="str">
        <f t="array" ref="AI16">bpLOOKUP(Data!$AV16,"TRACKSHAPE",CustOrdOpt,6,FALSE)</f>
        <v>Straight</v>
      </c>
      <c r="AJ16" s="59" t="str">
        <f t="array" ref="AJ16">bpLOOKUP(Data!$AV16,"BENDS",CustOrdOpt,6,FALSE)</f>
        <v/>
      </c>
      <c r="AK16" s="59" t="str">
        <f t="array" ref="AK16">bpLOOKUP(Data!$AV16,"1STBENDSH",CustOrdOpt,6,FALSE)</f>
        <v/>
      </c>
      <c r="AL16" s="59" t="str">
        <f t="array" ref="AL16">bpLOOKUP(Data!$AV16,"1STBEND",CustOrdOpt,6,FALSE)</f>
        <v/>
      </c>
      <c r="AM16" s="59" t="str">
        <f t="array" ref="AM16">bpLOOKUP(Data!$AV16,"1STBENDA",CustOrdOpt,6,FALSE)</f>
        <v/>
      </c>
      <c r="AN16" s="59" t="str">
        <f t="array" ref="AN16">bpLOOKUP(Data!$AV16,"2NDBENDSH",CustOrdOpt,6,FALSE)</f>
        <v/>
      </c>
      <c r="AO16" s="59" t="str">
        <f t="array" ref="AO16">bpLOOKUP(Data!$AV16,"2NDBEND",CustOrdOpt,6,FALSE)</f>
        <v/>
      </c>
      <c r="AP16" s="59" t="str">
        <f t="array" ref="AP16">bpLOOKUP(Data!$AV16,"2NDBENDA",CustOrdOpt,6,FALSE)</f>
        <v/>
      </c>
      <c r="AQ16" s="59" t="str">
        <f t="array" ref="AQ16">bpLOOKUP(Data!$AV16,"3RDBENDSH",CustOrdOpt,6,FALSE)</f>
        <v/>
      </c>
      <c r="AR16" s="59" t="str">
        <f t="array" ref="AR16">bpLOOKUP(Data!$AV16,"3RDBEND",CustOrdOpt,6,FALSE)</f>
        <v/>
      </c>
      <c r="AS16" s="59" t="str">
        <f t="array" ref="AS16">bpLOOKUP(Data!$AV16,"3RDBENDA",CustOrdOpt,6,FALSE)</f>
        <v/>
      </c>
      <c r="AT16" s="59" t="str">
        <f t="array" ref="AT16">bpLOOKUP(Data!$AV16,"4THBENDSH",CustOrdOpt,6,FALSE)</f>
        <v/>
      </c>
      <c r="AU16" s="59" t="str">
        <f t="array" ref="AU16">bpLOOKUP(Data!$AV16,"4THBEND",CustOrdOpt,6,FALSE)</f>
        <v/>
      </c>
      <c r="AV16" s="59" t="str">
        <f t="array" ref="AV16">bpLOOKUP(Data!$AV16,"4THBENDA",CustOrdOpt,6,FALSE)</f>
        <v/>
      </c>
      <c r="AW16" s="59" t="str">
        <f t="array" ref="AW16">bpLOOKUP(Data!$AV16,"SIDEBYSIDE",CustOrdOpt,6,FALSE)</f>
        <v>No</v>
      </c>
      <c r="AX16" s="59" t="str">
        <f t="array" ref="AX16">IF(bpLOOKUP(Data!$AV16,"PELTYPE",CustOrdOpt,6,FALSE)="None","",bpLOOKUP(Data!$AV16,"PELTYPE",CustOrdOpt,6,FALSE))</f>
        <v/>
      </c>
      <c r="AY16" s="111" t="str">
        <f t="array" ref="AY16">bpLOOKUP(Data!$AV16,"ADDWIDTH",CustOrdOpt,6,FALSE)</f>
        <v/>
      </c>
      <c r="AZ16" s="59" t="str">
        <f t="array" ref="AZ16">bpLOOKUP(Data!$AV16,"PELSHAPE",CustOrdOpt,6,FALSE)</f>
        <v/>
      </c>
      <c r="BA16" s="59" t="str">
        <f t="array" ref="BA16">bpLOOKUP(Data!$AV16,"PELFACE",CustOrdOpt,6,FALSE)</f>
        <v/>
      </c>
      <c r="BB16" s="59" t="str">
        <f t="array" ref="BB16">bpLOOKUP(Data!$AV16,"PELRETURN",CustOrdOpt,6,FALSE)</f>
        <v/>
      </c>
      <c r="BC16" s="59" t="str">
        <f t="array" ref="BC16">bpLOOKUP(Data!$AV16,"PELRETURNSIZE",CustOrdOpt,6,FALSE)</f>
        <v/>
      </c>
      <c r="BD16" s="59" t="str">
        <f t="array" ref="BD16">bpLOOKUP(Data!$AV16,"HBSIZE",CustOrdOpt,6,FALSE)</f>
        <v/>
      </c>
      <c r="BE16" s="59" t="str">
        <f t="array" ref="BE16">bpLOOKUP(Data!$AV16,"PIPING",CustOrdOpt,6,FALSE)</f>
        <v/>
      </c>
      <c r="BF16" s="59" t="str">
        <f t="array" ref="BF16">IF(Data!AW16="","",IF(bpLOOKUP(Data!$AV16,"TIEBACKS",CustOrdOpt,6,FALSE)="None","",bpLOOKUP(Data!$AV16,"TIEBACKS",CustOrdOpt,6,FALSE)))</f>
        <v/>
      </c>
      <c r="BG16" s="59" t="str">
        <f t="array" ref="BG16">bpLOOKUP(Data!$AV16,"TIEBACKHOOK",CustOrdOpt,6,FALSE)</f>
        <v/>
      </c>
      <c r="BH16" s="52" t="str">
        <f>IF(Data!BA16="","",VLOOKUP(CONCATENATE(Z16,AA16,AI16),TBSTracks,2,FALSE))</f>
        <v>DBS to Make</v>
      </c>
      <c r="BI16" s="59" t="str">
        <f t="array" ref="BI16">bpLOOKUP(Data!$AV16,"INSTALLATION",CustOrdOpt,6,FALSE)</f>
        <v>Curtain &amp; Track Installation</v>
      </c>
      <c r="BJ16" s="59" t="str">
        <f t="array" ref="BJ16">bpLOOKUP(Data!$AV16,"HANGHEIGHT",CustOrdOpt,6,FALSE)</f>
        <v>2.1m-2.4m</v>
      </c>
      <c r="BK16" s="59" t="str">
        <f t="array" ref="BK16">bpLOOKUP(Data!$AV16,"INSTALLG",CustOrdOpt,6,FALSE)</f>
        <v>Occupied Home</v>
      </c>
      <c r="BL16" s="59" t="str">
        <f t="array" ref="BL16">bpLOOKUP(Data!$AV16,"TAKEDOWN",CustOrdOpt,6,FALSE)</f>
        <v>Yes</v>
      </c>
      <c r="BM16" s="59" t="str">
        <f t="array" ref="BM16">bpLOOKUP(Data!$AV16,"CHECKM",CustOrdOpt,6,FALSE)</f>
        <v>No</v>
      </c>
      <c r="BN16" s="59" t="str">
        <f t="array" ref="BN16">bpLOOKUP(Data!$AV16,"NOTES",CustOrdOpt,6,FALSE)</f>
        <v>Alteration to curtain drop</v>
      </c>
      <c r="BP16" s="51">
        <f>IF(Data!BA16="","",IF(AND(F16="Opening",AI16="Bent"),Data!BA16-VLOOKUP(I16,FitDeduct,2,FALSE)-VLOOKUP(AW16,SideDeduct,2,FALSE)-CC16+55,IF(F16="Opening",Data!BA16-VLOOKUP(I16,FitDeduct,2,FALSE)-VLOOKUP(AW16,SideDeduct,2,FALSE)+55,IF(F16="Curtin Making Size",Data!BA16,IF(F16="Track Making Size",Data!BA16)+55))))</f>
        <v>2725</v>
      </c>
      <c r="BQ16" s="51">
        <f>IF(Data!BB16="","",IF(J16="Finished Drop",G16,IF(H16="Opening",Data!BB16-VLOOKUP(CONCATENATE(D16,Z16,R16,AD16),Hook,5,FALSE)-VLOOKUP(K16,Flooring,2,FALSE)-VLOOKUP(L16,Heightofffloor,2,FALSE)+IF(Q16="75mm Tape mounted 20mm from Top",10)+IF(Q16="75mm Tape mounted 25mm from Top",15)+IF(Q16="50mm Tape mounted 20mm from Top",10),IF(H16="Making",Data!BB16,""))))</f>
        <v>2415</v>
      </c>
      <c r="BR16" s="110" t="str">
        <f t="array" ref="BR16">bpLOOKUP(Data!$AV16,"NOTEDROPS",CustOrdOpt,6,FALSE)</f>
        <v/>
      </c>
      <c r="BS16" s="59">
        <f>IF(Data!AV16="","",IFERROR(VLOOKUP(B16,Fabrics,3,FALSE),0)/10)</f>
        <v>320</v>
      </c>
      <c r="BT16" s="59" t="str">
        <f>IF(F16="Track Making Size",AL16,IF(AND(F16="Opening",AI16="Bent",IFERROR(VALUE(AJ16),0)&gt;=1),ROUND(IFERROR(VALUE(AL16),0)-CD16/2,0),""))</f>
        <v/>
      </c>
      <c r="BU16" s="59" t="str">
        <f>IF(F16="Track Making Size",AO16,IF(AND(F16="Opening",AI16="Bent",IFERROR(VALUE(AJ16),0)&gt;=2),ROUND(IFERROR(VALUE(AO16),0)-(CD16+CE16/2),0),""))</f>
        <v/>
      </c>
      <c r="BV16" s="59" t="str">
        <f>IF(F16="Track Making Size",AR16,IF(AND(F16="Opening",AI16="Bent",IFERROR(VALUE(AJ16),0)&gt;=3),ROUND(IFERROR(VALUE(AR16),0)-(CD16+CE16+CF16/2),0),""))</f>
        <v/>
      </c>
      <c r="BW16" s="59" t="str">
        <f>IF(F16="Track Making Size",AU16,IF(AND(F16="Opening",AI16="Bent",IFERROR(VALUE(AJ16),0)&gt;=4),ROUND(IFERROR(VALUE(AU16),0)-(CD16+CE16+CF16+CG16/2),0),""))</f>
        <v/>
      </c>
      <c r="BX16" s="59">
        <f>IF(Data!AV16="","",IF(VLOOKUP(CONCATENATE(Z16,AA16,AI16),TBSTracks,4,FALSE)="0","0",IF(OR(S16="Centre Opening",S16="Centre Opening - Free Flowing",S16="Centre Opening (Offset Split)",S16="Centre Opening - Free Flowing (Offset Split)"),VLOOKUP(CONCATENATE(Z16,AA16,AI16),TBSTracks,4,FALSE),"0")))</f>
        <v>0</v>
      </c>
      <c r="BY16" s="59" t="str">
        <f>IF(OR(BH16="Track from TBS",BH16="Track from Vanda"),"",IF(OR(Z16="Existing Normal S-Fold Track",P16="Wavefold (Standard Fullness x 2)",P16="Wavefold (Less Fullness x 1.8)",P16="Wavefold (Extra Fullness x 2.2)"),VLOOKUP(CONCATENATE(P16,S16),WavefoldLookUp,2,FALSE),""))</f>
        <v>Centre Opening 100%</v>
      </c>
      <c r="BZ16" s="59" t="str">
        <f>IF(OR(BY16="Centre Opening 100%",BY16="Centre Opening 120%",BY16="Centre Opening 80%"),VLOOKUP(BP16,COPEN100,2,TRUE),IF(OR(BY16="100% One Way",BY16="120% One Way",BY16="80% One Way"),VLOOKUP(BP16,OneWay100,2,TRUE),""))</f>
        <v>2 x 28</v>
      </c>
      <c r="CA16" s="59" t="str">
        <f>IF(BY16="","",VLOOKUP(X16,ReturnLookUp,2,FALSE))</f>
        <v>None</v>
      </c>
      <c r="CB16" s="59">
        <f>IF(Data!AV16="","",IF(VLOOKUP(CONCATENATE(Z16,AA16,AI16),TBSTracks,2,FALSE)="DBS to Make",BP16-VLOOKUP(CONCATENATE(Z16,S16),Operation,2,FALSE)-VLOOKUP(CONCATENATE(D16,Z16,R16,AD16),Hook,4,FALSE)-55,""))</f>
        <v>2664</v>
      </c>
      <c r="CC16" s="192">
        <f>IF(Data!AV16="","",IF($AI16&lt;&gt;"Bent",0,ROUND(SUM(CD16:CG16),0)))</f>
        <v>0</v>
      </c>
      <c r="CD16" s="192" t="str">
        <f>IF($AI16&lt;&gt;"Bent","",ROUND($CH16*IF(IFERROR(VALUE($AJ16),0)&gt;=1,RADIANS(ABS(180-IFERROR(VALUE($AM16),0)))*IF(LEFT(UPPER(TRIM($AK16)),8)="INTERNAL",1,IF(LEFT(UPPER(TRIM($AK16)),8)="EXTERNAL",-1,0)),0),0))</f>
        <v/>
      </c>
      <c r="CE16" s="192" t="str">
        <f>IF($AI16&lt;&gt;"Bent","",ROUND($CH16*IF(IFERROR(VALUE($AJ16),0)&gt;=2,RADIANS(ABS(180-IFERROR(VALUE($AP16),0)))*IF(LEFT(UPPER(TRIM($AN16)),8)="INTERNAL",1,IF(LEFT(UPPER(TRIM($AN16)),8)="EXTERNAL",-1,0)),0),0))</f>
        <v/>
      </c>
      <c r="CF16" s="192" t="str">
        <f>IF($AI16&lt;&gt;"Bent","",ROUND($CH16*IF(IFERROR(VALUE($AJ16),0)&gt;=3,RADIANS(ABS(180-IFERROR(VALUE($AS16),0)))*IF(LEFT(UPPER(TRIM($AQ16)),8)="INTERNAL",1,IF(LEFT(UPPER(TRIM($AQ16)),8)="EXTERNAL",-1,0)),0),0))</f>
        <v/>
      </c>
      <c r="CG16" s="192" t="str">
        <f>IF($AI16&lt;&gt;"Bent","",ROUND($CH16*IF(IFERROR(VALUE($AJ16),0)&gt;=4,RADIANS(ABS(180-IFERROR(VALUE($AV16),0)))*IF(LEFT(UPPER(TRIM($AT16)),8)="INTERNAL",1,IF(LEFT(UPPER(TRIM($AT16)),8)="EXTERNAL",-1,0)),0),0))</f>
        <v/>
      </c>
      <c r="CH16" s="193">
        <f>IF($AI16&lt;&gt;"Bent",0,IFERROR(VLOOKUP($Z16,SaberTracks,3,FALSE),0)+MAX(IFERROR(VLOOKUP($D16&amp;$AD16,BracketProj,2,FALSE),0)-75,0)*1.25)</f>
        <v>0</v>
      </c>
      <c r="CI16" s="194">
        <f>IF(Data!BA16="","",IF(AND(F16="Opening",AI16="Bent"),VLOOKUP(I16,FitDeduct,2,FALSE)-VLOOKUP(AW16,SideDeduct,2,FALSE)-CC16+55,IF(F16="Opening",VLOOKUP(I16,FitDeduct,2,FALSE)-VLOOKUP(AW16,SideDeduct,2,FALSE)+55,IF(F16="Curtin Making Size",Data!BA16,IF(F16="Track Making Size",55)))))</f>
        <v>55</v>
      </c>
    </row>
    <row r="17" spans="1:87" s="53" customFormat="1" ht="150">
      <c r="A17" s="105">
        <f>Data!AW17</f>
        <v>34</v>
      </c>
      <c r="B17" s="58" t="str">
        <f>IF(Data!BE17="","",MID(Data!BE17,6,80))</f>
        <v>Nettex Brunswick (Continuous) Uncoated Talc</v>
      </c>
      <c r="C17" s="58" t="str">
        <f>Data!AY17</f>
        <v>Back Hallway (OUT) ALTERATION</v>
      </c>
      <c r="D17" s="106" t="str">
        <f t="array" ref="D17">bpLOOKUP(Data!$AV17,"SINGLE",CustOrdOpt,6,FALSE)</f>
        <v>Single</v>
      </c>
      <c r="E17" s="107">
        <f>SUM(Data!BA17)</f>
        <v>2090</v>
      </c>
      <c r="F17" s="108" t="str">
        <f t="array" ref="F17">bpLOOKUP(Data!$AV17,"Size",CustOrdOpt,6,FALSE)</f>
        <v>Opening</v>
      </c>
      <c r="G17" s="107">
        <f>SUM(Data!BB17)</f>
        <v>2445</v>
      </c>
      <c r="H17" s="108" t="str">
        <f t="array" ref="H17">bpLOOKUP(Data!$AV17,"DROPSIZE",CustOrdOpt,6,FALSE)</f>
        <v>Opening</v>
      </c>
      <c r="I17" s="109" t="str">
        <f t="array" ref="I17">bpLOOKUP(Data!$AV17,"FIT",CustOrdOpt,6,FALSE)</f>
        <v>Face</v>
      </c>
      <c r="J17" s="109" t="str">
        <f t="array" ref="J17">bpLOOKUP(Data!$AV17,"MEASUREDAS",CustOrdOpt,6,FALSE)</f>
        <v>Top of Arc to Floor</v>
      </c>
      <c r="K17" s="109" t="str">
        <f t="array" ref="K17">bpLOOKUP(Data!$AV17,"FLOORING",CustOrdOpt,6,FALSE)</f>
        <v>Yes</v>
      </c>
      <c r="L17" s="109" t="str">
        <f t="array" ref="L17">bpLOOKUP(Data!$AV17,"HEIGHTOFFFLOOR",CustOrdOpt,6,FALSE)</f>
        <v>Just off the Floor</v>
      </c>
      <c r="M17" s="59" t="str">
        <f t="array" ref="M17">bpLOOKUP(Data!$AV17,"CURTAIN",CustOrdOpt,6,FALSE)</f>
        <v>No Lining</v>
      </c>
      <c r="N17" s="59" t="str">
        <f t="array" ref="N17">bpLOOKUP(Data!$AV17,"LININGCOLOUR",CustOrdOpt,6,FALSE)</f>
        <v/>
      </c>
      <c r="O17" s="59" t="str">
        <f t="array" ref="O17">bpLOOKUP(Data!$AV17,"COLLININGF",CustOrdOpt,6,FALSE)</f>
        <v/>
      </c>
      <c r="P17" s="59" t="str">
        <f t="array" ref="P17">bpLOOKUP(Data!$AV17,"HEADINGSTYLE",CustOrdOpt,6,FALSE)</f>
        <v>Wavefold (Standard Fullness x 2)</v>
      </c>
      <c r="Q17" s="59" t="str">
        <f t="array" ref="Q17">bpLOOKUP(Data!$AV17,"TAPE",CustOrdOpt,6,FALSE)</f>
        <v>75mm Clear Tape</v>
      </c>
      <c r="R17" s="59" t="str">
        <f t="array" ref="R17">bpLOOKUP(Data!$AV17,"HOOK",CustOrdOpt,6,FALSE)</f>
        <v>Wavefold Hooks</v>
      </c>
      <c r="S17" s="59" t="str">
        <f t="array" ref="S17">bpLOOKUP(Data!$AV17,"OPENING",CustOrdOpt,6,FALSE)</f>
        <v>Single Panel - Right Stacking</v>
      </c>
      <c r="T17" s="59" t="str">
        <f t="array" ref="T17">bpLOOKUP(Data!$AV17,"OFFSETL",CustOrdOpt,6,FALSE)</f>
        <v/>
      </c>
      <c r="U17" s="59" t="str">
        <f t="array" ref="U17">bpLOOKUP(Data!$AV17,"OFFSETR",CustOrdOpt,6,FALSE)</f>
        <v/>
      </c>
      <c r="V17" s="59" t="str">
        <f t="array" ref="V17">bpLOOKUP(Data!$AV17,"OFFSET",CustOrdOpt,6,FALSE)</f>
        <v/>
      </c>
      <c r="W17" s="59" t="str">
        <f t="array" ref="W17">bpLOOKUP(Data!$AV17,"HEM",CustOrdOpt,6,FALSE)</f>
        <v>Standard 75mm</v>
      </c>
      <c r="X17" s="59" t="str">
        <f t="array" ref="X17">bpLOOKUP(Data!$AV17,"RETURNS",CustOrdOpt,6,FALSE)</f>
        <v>None</v>
      </c>
      <c r="Y17" s="59" t="str">
        <f t="array" ref="Y17">IF(Data!AX17="","",IF(bpLOOKUP(Data!$AV17,"RETURNSIZE",CustOrdOpt,6,FALSE)="","0",bpLOOKUP(Data!$AV17,"RETURNSIZE",CustOrdOpt,6,FALSE)))</f>
        <v>0</v>
      </c>
      <c r="Z17" s="59" t="str">
        <f t="array" ref="Z17">bpLOOKUP(Data!$AV17,"TRACKTYPE",CustOrdOpt,6,FALSE)</f>
        <v>Wavefold Hand Operation</v>
      </c>
      <c r="AA17" s="59" t="str">
        <f t="array" ref="AA17">bpLOOKUP(Data!$AV17,"TRACKCOLOUR",CustOrdOpt,6,FALSE)</f>
        <v>White</v>
      </c>
      <c r="AB17" s="59" t="str">
        <f t="array" ref="AB17">bpLOOKUP(Data!$AV17,"CORDOP",CustOrdOpt,6,FALSE)</f>
        <v>Hand Operation</v>
      </c>
      <c r="AC17" s="59" t="str">
        <f t="array" ref="AC17">bpLOOKUP(Data!$AV17,"CONTROL",CustOrdOpt,6,FALSE)</f>
        <v/>
      </c>
      <c r="AD17" s="59" t="str">
        <f t="array" ref="AD17">bpLOOKUP(Data!$AV17,"BRACKETS",CustOrdOpt,6,FALSE)</f>
        <v>Single Face Fix Brackets</v>
      </c>
      <c r="AE17" s="59" t="str">
        <f t="array" ref="AE17">bpLOOKUP(Data!$AV17,"FINIALS",CustOrdOpt,6,FALSE)</f>
        <v/>
      </c>
      <c r="AF17" s="59" t="str">
        <f t="array" ref="AF17">bpLOOKUP(Data!$AV17,"HANGERQTY",CustOrdOpt,6,FALSE)</f>
        <v/>
      </c>
      <c r="AG17" s="59" t="str">
        <f t="array" ref="AG17">bpLOOKUP(Data!$AV17,"HANGERL",CustOrdOpt,6,FALSE)</f>
        <v/>
      </c>
      <c r="AH17" s="59" t="str">
        <f t="array" ref="AH17">bpLOOKUP(Data!$AV17,"FLICKSTICKS",CustOrdOpt,6,FALSE)</f>
        <v>White Aluminium Flick Sticks 125cm</v>
      </c>
      <c r="AI17" s="59" t="str">
        <f t="array" ref="AI17">bpLOOKUP(Data!$AV17,"TRACKSHAPE",CustOrdOpt,6,FALSE)</f>
        <v>Straight</v>
      </c>
      <c r="AJ17" s="59" t="str">
        <f t="array" ref="AJ17">bpLOOKUP(Data!$AV17,"BENDS",CustOrdOpt,6,FALSE)</f>
        <v/>
      </c>
      <c r="AK17" s="59" t="str">
        <f t="array" ref="AK17">bpLOOKUP(Data!$AV17,"1STBENDSH",CustOrdOpt,6,FALSE)</f>
        <v/>
      </c>
      <c r="AL17" s="59" t="str">
        <f t="array" ref="AL17">bpLOOKUP(Data!$AV17,"1STBEND",CustOrdOpt,6,FALSE)</f>
        <v/>
      </c>
      <c r="AM17" s="59" t="str">
        <f t="array" ref="AM17">bpLOOKUP(Data!$AV17,"1STBENDA",CustOrdOpt,6,FALSE)</f>
        <v/>
      </c>
      <c r="AN17" s="59" t="str">
        <f t="array" ref="AN17">bpLOOKUP(Data!$AV17,"2NDBENDSH",CustOrdOpt,6,FALSE)</f>
        <v/>
      </c>
      <c r="AO17" s="59" t="str">
        <f t="array" ref="AO17">bpLOOKUP(Data!$AV17,"2NDBEND",CustOrdOpt,6,FALSE)</f>
        <v/>
      </c>
      <c r="AP17" s="59" t="str">
        <f t="array" ref="AP17">bpLOOKUP(Data!$AV17,"2NDBENDA",CustOrdOpt,6,FALSE)</f>
        <v/>
      </c>
      <c r="AQ17" s="59" t="str">
        <f t="array" ref="AQ17">bpLOOKUP(Data!$AV17,"3RDBENDSH",CustOrdOpt,6,FALSE)</f>
        <v/>
      </c>
      <c r="AR17" s="59" t="str">
        <f t="array" ref="AR17">bpLOOKUP(Data!$AV17,"3RDBEND",CustOrdOpt,6,FALSE)</f>
        <v/>
      </c>
      <c r="AS17" s="59" t="str">
        <f t="array" ref="AS17">bpLOOKUP(Data!$AV17,"3RDBENDA",CustOrdOpt,6,FALSE)</f>
        <v/>
      </c>
      <c r="AT17" s="59" t="str">
        <f t="array" ref="AT17">bpLOOKUP(Data!$AV17,"4THBENDSH",CustOrdOpt,6,FALSE)</f>
        <v/>
      </c>
      <c r="AU17" s="59" t="str">
        <f t="array" ref="AU17">bpLOOKUP(Data!$AV17,"4THBEND",CustOrdOpt,6,FALSE)</f>
        <v/>
      </c>
      <c r="AV17" s="59" t="str">
        <f t="array" ref="AV17">bpLOOKUP(Data!$AV17,"4THBENDA",CustOrdOpt,6,FALSE)</f>
        <v/>
      </c>
      <c r="AW17" s="59" t="str">
        <f t="array" ref="AW17">bpLOOKUP(Data!$AV17,"SIDEBYSIDE",CustOrdOpt,6,FALSE)</f>
        <v>No</v>
      </c>
      <c r="AX17" s="59" t="str">
        <f t="array" ref="AX17">IF(bpLOOKUP(Data!$AV17,"PELTYPE",CustOrdOpt,6,FALSE)="None","",bpLOOKUP(Data!$AV17,"PELTYPE",CustOrdOpt,6,FALSE))</f>
        <v/>
      </c>
      <c r="AY17" s="111" t="str">
        <f t="array" ref="AY17">bpLOOKUP(Data!$AV17,"ADDWIDTH",CustOrdOpt,6,FALSE)</f>
        <v/>
      </c>
      <c r="AZ17" s="59" t="str">
        <f t="array" ref="AZ17">bpLOOKUP(Data!$AV17,"PELSHAPE",CustOrdOpt,6,FALSE)</f>
        <v/>
      </c>
      <c r="BA17" s="59" t="str">
        <f t="array" ref="BA17">bpLOOKUP(Data!$AV17,"PELFACE",CustOrdOpt,6,FALSE)</f>
        <v/>
      </c>
      <c r="BB17" s="59" t="str">
        <f t="array" ref="BB17">bpLOOKUP(Data!$AV17,"PELRETURN",CustOrdOpt,6,FALSE)</f>
        <v/>
      </c>
      <c r="BC17" s="59" t="str">
        <f t="array" ref="BC17">bpLOOKUP(Data!$AV17,"PELRETURNSIZE",CustOrdOpt,6,FALSE)</f>
        <v/>
      </c>
      <c r="BD17" s="59" t="str">
        <f t="array" ref="BD17">bpLOOKUP(Data!$AV17,"HBSIZE",CustOrdOpt,6,FALSE)</f>
        <v/>
      </c>
      <c r="BE17" s="59" t="str">
        <f t="array" ref="BE17">bpLOOKUP(Data!$AV17,"PIPING",CustOrdOpt,6,FALSE)</f>
        <v/>
      </c>
      <c r="BF17" s="59" t="str">
        <f t="array" ref="BF17">IF(Data!AW17="","",IF(bpLOOKUP(Data!$AV17,"TIEBACKS",CustOrdOpt,6,FALSE)="None","",bpLOOKUP(Data!$AV17,"TIEBACKS",CustOrdOpt,6,FALSE)))</f>
        <v/>
      </c>
      <c r="BG17" s="59" t="str">
        <f t="array" ref="BG17">bpLOOKUP(Data!$AV17,"TIEBACKHOOK",CustOrdOpt,6,FALSE)</f>
        <v/>
      </c>
      <c r="BH17" s="52" t="str">
        <f>IF(Data!BA17="","",VLOOKUP(CONCATENATE(Z17,AA17,AI17),TBSTracks,2,FALSE))</f>
        <v>DBS to Make</v>
      </c>
      <c r="BI17" s="59" t="str">
        <f t="array" ref="BI17">bpLOOKUP(Data!$AV17,"INSTALLATION",CustOrdOpt,6,FALSE)</f>
        <v>Curtain &amp; Track Installation</v>
      </c>
      <c r="BJ17" s="59" t="str">
        <f t="array" ref="BJ17">bpLOOKUP(Data!$AV17,"HANGHEIGHT",CustOrdOpt,6,FALSE)</f>
        <v>2.1m-2.4m</v>
      </c>
      <c r="BK17" s="59" t="str">
        <f t="array" ref="BK17">bpLOOKUP(Data!$AV17,"INSTALLG",CustOrdOpt,6,FALSE)</f>
        <v>Occupied Home</v>
      </c>
      <c r="BL17" s="59" t="str">
        <f t="array" ref="BL17">bpLOOKUP(Data!$AV17,"TAKEDOWN",CustOrdOpt,6,FALSE)</f>
        <v>No</v>
      </c>
      <c r="BM17" s="59" t="str">
        <f t="array" ref="BM17">bpLOOKUP(Data!$AV17,"CHECKM",CustOrdOpt,6,FALSE)</f>
        <v>No</v>
      </c>
      <c r="BN17" s="59" t="str">
        <f t="array" ref="BN17">bpLOOKUP(Data!$AV17,"NOTES",CustOrdOpt,6,FALSE)</f>
        <v>Alteration to curtain drop</v>
      </c>
      <c r="BP17" s="51">
        <f>IF(Data!BA17="","",IF(AND(F17="Opening",AI17="Bent"),Data!BA17-VLOOKUP(I17,FitDeduct,2,FALSE)-VLOOKUP(AW17,SideDeduct,2,FALSE)-CC17+55,IF(F17="Opening",Data!BA17-VLOOKUP(I17,FitDeduct,2,FALSE)-VLOOKUP(AW17,SideDeduct,2,FALSE)+55,IF(F17="Curtin Making Size",Data!BA17,IF(F17="Track Making Size",Data!BA17)+55))))</f>
        <v>2145</v>
      </c>
      <c r="BQ17" s="51">
        <f>IF(Data!BB17="","",IF(J17="Finished Drop",G17,IF(H17="Opening",Data!BB17-VLOOKUP(CONCATENATE(D17,Z17,R17,AD17),Hook,5,FALSE)-VLOOKUP(K17,Flooring,2,FALSE)-VLOOKUP(L17,Heightofffloor,2,FALSE)+IF(Q17="75mm Tape mounted 20mm from Top",10)+IF(Q17="75mm Tape mounted 25mm from Top",15)+IF(Q17="50mm Tape mounted 20mm from Top",10),IF(H17="Making",Data!BB17,""))))</f>
        <v>2415</v>
      </c>
      <c r="BR17" s="110" t="str">
        <f t="array" ref="BR17">bpLOOKUP(Data!$AV17,"NOTEDROPS",CustOrdOpt,6,FALSE)</f>
        <v/>
      </c>
      <c r="BS17" s="59">
        <f>IF(Data!AV17="","",IFERROR(VLOOKUP(B17,Fabrics,3,FALSE),0)/10)</f>
        <v>320</v>
      </c>
      <c r="BT17" s="59" t="str">
        <f>IF(F17="Track Making Size",AL17,IF(AND(F17="Opening",AI17="Bent",IFERROR(VALUE(AJ17),0)&gt;=1),ROUND(IFERROR(VALUE(AL17),0)-CD17/2,0),""))</f>
        <v/>
      </c>
      <c r="BU17" s="59" t="str">
        <f>IF(F17="Track Making Size",AO17,IF(AND(F17="Opening",AI17="Bent",IFERROR(VALUE(AJ17),0)&gt;=2),ROUND(IFERROR(VALUE(AO17),0)-(CD17+CE17/2),0),""))</f>
        <v/>
      </c>
      <c r="BV17" s="59" t="str">
        <f>IF(F17="Track Making Size",AR17,IF(AND(F17="Opening",AI17="Bent",IFERROR(VALUE(AJ17),0)&gt;=3),ROUND(IFERROR(VALUE(AR17),0)-(CD17+CE17+CF17/2),0),""))</f>
        <v/>
      </c>
      <c r="BW17" s="59" t="str">
        <f>IF(F17="Track Making Size",AU17,IF(AND(F17="Opening",AI17="Bent",IFERROR(VALUE(AJ17),0)&gt;=4),ROUND(IFERROR(VALUE(AU17),0)-(CD17+CE17+CF17+CG17/2),0),""))</f>
        <v/>
      </c>
      <c r="BX17" s="59" t="str">
        <f>IF(Data!AV17="","",IF(VLOOKUP(CONCATENATE(Z17,AA17,AI17),TBSTracks,4,FALSE)="0","0",IF(OR(S17="Centre Opening",S17="Centre Opening - Free Flowing",S17="Centre Opening (Offset Split)",S17="Centre Opening - Free Flowing (Offset Split)"),VLOOKUP(CONCATENATE(Z17,AA17,AI17),TBSTracks,4,FALSE),"0")))</f>
        <v>0</v>
      </c>
      <c r="BY17" s="59" t="str">
        <f>IF(OR(BH17="Track from TBS",BH17="Track from Vanda"),"",IF(OR(Z17="Existing Normal S-Fold Track",P17="Wavefold (Standard Fullness x 2)",P17="Wavefold (Less Fullness x 1.8)",P17="Wavefold (Extra Fullness x 2.2)"),VLOOKUP(CONCATENATE(P17,S17),WavefoldLookUp,2,FALSE),""))</f>
        <v>100% One Way</v>
      </c>
      <c r="BZ17" s="59">
        <f>IF(OR(BY17="Centre Opening 100%",BY17="Centre Opening 120%",BY17="Centre Opening 80%"),VLOOKUP(BP17,COPEN100,2,TRUE),IF(OR(BY17="100% One Way",BY17="120% One Way",BY17="80% One Way"),VLOOKUP(BP17,OneWay100,2,TRUE),""))</f>
        <v>42</v>
      </c>
      <c r="CA17" s="59" t="str">
        <f>IF(BY17="","",VLOOKUP(X17,ReturnLookUp,2,FALSE))</f>
        <v>None</v>
      </c>
      <c r="CB17" s="59">
        <f>IF(Data!AV17="","",IF(VLOOKUP(CONCATENATE(Z17,AA17,AI17),TBSTracks,2,FALSE)="DBS to Make",BP17-VLOOKUP(CONCATENATE(Z17,S17),Operation,2,FALSE)-VLOOKUP(CONCATENATE(D17,Z17,R17,AD17),Hook,4,FALSE)-55,""))</f>
        <v>2084</v>
      </c>
      <c r="CC17" s="192">
        <f>IF(Data!AV17="","",IF($AI17&lt;&gt;"Bent",0,ROUND(SUM(CD17:CG17),0)))</f>
        <v>0</v>
      </c>
      <c r="CD17" s="192" t="str">
        <f>IF($AI17&lt;&gt;"Bent","",ROUND($CH17*IF(IFERROR(VALUE($AJ17),0)&gt;=1,RADIANS(ABS(180-IFERROR(VALUE($AM17),0)))*IF(LEFT(UPPER(TRIM($AK17)),8)="INTERNAL",1,IF(LEFT(UPPER(TRIM($AK17)),8)="EXTERNAL",-1,0)),0),0))</f>
        <v/>
      </c>
      <c r="CE17" s="192" t="str">
        <f>IF($AI17&lt;&gt;"Bent","",ROUND($CH17*IF(IFERROR(VALUE($AJ17),0)&gt;=2,RADIANS(ABS(180-IFERROR(VALUE($AP17),0)))*IF(LEFT(UPPER(TRIM($AN17)),8)="INTERNAL",1,IF(LEFT(UPPER(TRIM($AN17)),8)="EXTERNAL",-1,0)),0),0))</f>
        <v/>
      </c>
      <c r="CF17" s="192" t="str">
        <f>IF($AI17&lt;&gt;"Bent","",ROUND($CH17*IF(IFERROR(VALUE($AJ17),0)&gt;=3,RADIANS(ABS(180-IFERROR(VALUE($AS17),0)))*IF(LEFT(UPPER(TRIM($AQ17)),8)="INTERNAL",1,IF(LEFT(UPPER(TRIM($AQ17)),8)="EXTERNAL",-1,0)),0),0))</f>
        <v/>
      </c>
      <c r="CG17" s="192" t="str">
        <f>IF($AI17&lt;&gt;"Bent","",ROUND($CH17*IF(IFERROR(VALUE($AJ17),0)&gt;=4,RADIANS(ABS(180-IFERROR(VALUE($AV17),0)))*IF(LEFT(UPPER(TRIM($AT17)),8)="INTERNAL",1,IF(LEFT(UPPER(TRIM($AT17)),8)="EXTERNAL",-1,0)),0),0))</f>
        <v/>
      </c>
      <c r="CH17" s="193">
        <f>IF($AI17&lt;&gt;"Bent",0,IFERROR(VLOOKUP($Z17,SaberTracks,3,FALSE),0)+MAX(IFERROR(VLOOKUP($D17&amp;$AD17,BracketProj,2,FALSE),0)-75,0)*1.25)</f>
        <v>0</v>
      </c>
      <c r="CI17" s="194">
        <f>IF(Data!BA17="","",IF(AND(F17="Opening",AI17="Bent"),VLOOKUP(I17,FitDeduct,2,FALSE)-VLOOKUP(AW17,SideDeduct,2,FALSE)-CC17+55,IF(F17="Opening",VLOOKUP(I17,FitDeduct,2,FALSE)-VLOOKUP(AW17,SideDeduct,2,FALSE)+55,IF(F17="Curtin Making Size",Data!BA17,IF(F17="Track Making Size",55)))))</f>
        <v>55</v>
      </c>
    </row>
    <row r="18" spans="1:87" s="53" customFormat="1" ht="120">
      <c r="A18" s="105">
        <f>Data!AW18</f>
        <v>35</v>
      </c>
      <c r="B18" s="58" t="str">
        <f>IF(Data!BE18="","",MID(Data!BE18,6,80))</f>
        <v>Nettex Brunswick (Continuous) Uncoated Talc</v>
      </c>
      <c r="C18" s="58" t="str">
        <f>Data!AY18</f>
        <v>Kitchen Door (IN) REMAKE</v>
      </c>
      <c r="D18" s="106" t="str">
        <f t="array" ref="D18">bpLOOKUP(Data!$AV18,"SINGLE",CustOrdOpt,6,FALSE)</f>
        <v>Single</v>
      </c>
      <c r="E18" s="107">
        <f>SUM(Data!BA18)</f>
        <v>4580</v>
      </c>
      <c r="F18" s="108" t="str">
        <f t="array" ref="F18">bpLOOKUP(Data!$AV18,"Size",CustOrdOpt,6,FALSE)</f>
        <v>Opening</v>
      </c>
      <c r="G18" s="107">
        <f>SUM(Data!BB18)</f>
        <v>2405</v>
      </c>
      <c r="H18" s="108" t="str">
        <f t="array" ref="H18">bpLOOKUP(Data!$AV18,"DROPSIZE",CustOrdOpt,6,FALSE)</f>
        <v>Opening</v>
      </c>
      <c r="I18" s="109" t="str">
        <f t="array" ref="I18">bpLOOKUP(Data!$AV18,"FIT",CustOrdOpt,6,FALSE)</f>
        <v>Face</v>
      </c>
      <c r="J18" s="109" t="str">
        <f t="array" ref="J18">bpLOOKUP(Data!$AV18,"MEASUREDAS",CustOrdOpt,6,FALSE)</f>
        <v>Top of Arc to Floor</v>
      </c>
      <c r="K18" s="109" t="str">
        <f t="array" ref="K18">bpLOOKUP(Data!$AV18,"FLOORING",CustOrdOpt,6,FALSE)</f>
        <v>Yes</v>
      </c>
      <c r="L18" s="109" t="str">
        <f t="array" ref="L18">bpLOOKUP(Data!$AV18,"HEIGHTOFFFLOOR",CustOrdOpt,6,FALSE)</f>
        <v>15mm to 25mm (Standard)</v>
      </c>
      <c r="M18" s="59" t="str">
        <f t="array" ref="M18">bpLOOKUP(Data!$AV18,"CURTAIN",CustOrdOpt,6,FALSE)</f>
        <v>No Lining</v>
      </c>
      <c r="N18" s="59" t="str">
        <f t="array" ref="N18">bpLOOKUP(Data!$AV18,"LININGCOLOUR",CustOrdOpt,6,FALSE)</f>
        <v/>
      </c>
      <c r="O18" s="59" t="str">
        <f t="array" ref="O18">bpLOOKUP(Data!$AV18,"COLLININGF",CustOrdOpt,6,FALSE)</f>
        <v/>
      </c>
      <c r="P18" s="59" t="str">
        <f t="array" ref="P18">bpLOOKUP(Data!$AV18,"HEADINGSTYLE",CustOrdOpt,6,FALSE)</f>
        <v>Wavefold (Standard Fullness x 2)</v>
      </c>
      <c r="Q18" s="59" t="str">
        <f t="array" ref="Q18">bpLOOKUP(Data!$AV18,"TAPE",CustOrdOpt,6,FALSE)</f>
        <v>75mm Clear Tape</v>
      </c>
      <c r="R18" s="59" t="str">
        <f t="array" ref="R18">bpLOOKUP(Data!$AV18,"HOOK",CustOrdOpt,6,FALSE)</f>
        <v>Wavefold Hooks</v>
      </c>
      <c r="S18" s="59" t="str">
        <f t="array" ref="S18">bpLOOKUP(Data!$AV18,"OPENING",CustOrdOpt,6,FALSE)</f>
        <v>Centre Opening</v>
      </c>
      <c r="T18" s="59" t="str">
        <f t="array" ref="T18">bpLOOKUP(Data!$AV18,"OFFSETL",CustOrdOpt,6,FALSE)</f>
        <v/>
      </c>
      <c r="U18" s="59" t="str">
        <f t="array" ref="U18">bpLOOKUP(Data!$AV18,"OFFSETR",CustOrdOpt,6,FALSE)</f>
        <v/>
      </c>
      <c r="V18" s="59" t="str">
        <f t="array" ref="V18">bpLOOKUP(Data!$AV18,"OFFSET",CustOrdOpt,6,FALSE)</f>
        <v/>
      </c>
      <c r="W18" s="59" t="str">
        <f t="array" ref="W18">bpLOOKUP(Data!$AV18,"HEM",CustOrdOpt,6,FALSE)</f>
        <v>Standard 75mm</v>
      </c>
      <c r="X18" s="59" t="str">
        <f t="array" ref="X18">bpLOOKUP(Data!$AV18,"RETURNS",CustOrdOpt,6,FALSE)</f>
        <v>None</v>
      </c>
      <c r="Y18" s="59" t="str">
        <f t="array" ref="Y18">IF(Data!AX18="","",IF(bpLOOKUP(Data!$AV18,"RETURNSIZE",CustOrdOpt,6,FALSE)="","0",bpLOOKUP(Data!$AV18,"RETURNSIZE",CustOrdOpt,6,FALSE)))</f>
        <v>0</v>
      </c>
      <c r="Z18" s="59" t="str">
        <f t="array" ref="Z18">bpLOOKUP(Data!$AV18,"TRACKTYPE",CustOrdOpt,6,FALSE)</f>
        <v>Wavefold Hand Operation</v>
      </c>
      <c r="AA18" s="59" t="str">
        <f t="array" ref="AA18">bpLOOKUP(Data!$AV18,"TRACKCOLOUR",CustOrdOpt,6,FALSE)</f>
        <v>White</v>
      </c>
      <c r="AB18" s="59" t="str">
        <f t="array" ref="AB18">bpLOOKUP(Data!$AV18,"CORDOP",CustOrdOpt,6,FALSE)</f>
        <v>Hand Operation</v>
      </c>
      <c r="AC18" s="59" t="str">
        <f t="array" ref="AC18">bpLOOKUP(Data!$AV18,"CONTROL",CustOrdOpt,6,FALSE)</f>
        <v/>
      </c>
      <c r="AD18" s="59" t="str">
        <f t="array" ref="AD18">bpLOOKUP(Data!$AV18,"BRACKETS",CustOrdOpt,6,FALSE)</f>
        <v>Single Face Fix Brackets</v>
      </c>
      <c r="AE18" s="59" t="str">
        <f t="array" ref="AE18">bpLOOKUP(Data!$AV18,"FINIALS",CustOrdOpt,6,FALSE)</f>
        <v/>
      </c>
      <c r="AF18" s="59" t="str">
        <f t="array" ref="AF18">bpLOOKUP(Data!$AV18,"HANGERQTY",CustOrdOpt,6,FALSE)</f>
        <v/>
      </c>
      <c r="AG18" s="59" t="str">
        <f t="array" ref="AG18">bpLOOKUP(Data!$AV18,"HANGERL",CustOrdOpt,6,FALSE)</f>
        <v/>
      </c>
      <c r="AH18" s="59" t="str">
        <f t="array" ref="AH18">bpLOOKUP(Data!$AV18,"FLICKSTICKS",CustOrdOpt,6,FALSE)</f>
        <v>White Aluminium Flick Sticks 125cm</v>
      </c>
      <c r="AI18" s="59" t="str">
        <f t="array" ref="AI18">bpLOOKUP(Data!$AV18,"TRACKSHAPE",CustOrdOpt,6,FALSE)</f>
        <v>Straight</v>
      </c>
      <c r="AJ18" s="59" t="str">
        <f t="array" ref="AJ18">bpLOOKUP(Data!$AV18,"BENDS",CustOrdOpt,6,FALSE)</f>
        <v/>
      </c>
      <c r="AK18" s="59" t="str">
        <f t="array" ref="AK18">bpLOOKUP(Data!$AV18,"1STBENDSH",CustOrdOpt,6,FALSE)</f>
        <v/>
      </c>
      <c r="AL18" s="59" t="str">
        <f t="array" ref="AL18">bpLOOKUP(Data!$AV18,"1STBEND",CustOrdOpt,6,FALSE)</f>
        <v/>
      </c>
      <c r="AM18" s="59" t="str">
        <f t="array" ref="AM18">bpLOOKUP(Data!$AV18,"1STBENDA",CustOrdOpt,6,FALSE)</f>
        <v/>
      </c>
      <c r="AN18" s="59" t="str">
        <f t="array" ref="AN18">bpLOOKUP(Data!$AV18,"2NDBENDSH",CustOrdOpt,6,FALSE)</f>
        <v/>
      </c>
      <c r="AO18" s="59" t="str">
        <f t="array" ref="AO18">bpLOOKUP(Data!$AV18,"2NDBEND",CustOrdOpt,6,FALSE)</f>
        <v/>
      </c>
      <c r="AP18" s="59" t="str">
        <f t="array" ref="AP18">bpLOOKUP(Data!$AV18,"2NDBENDA",CustOrdOpt,6,FALSE)</f>
        <v/>
      </c>
      <c r="AQ18" s="59" t="str">
        <f t="array" ref="AQ18">bpLOOKUP(Data!$AV18,"3RDBENDSH",CustOrdOpt,6,FALSE)</f>
        <v/>
      </c>
      <c r="AR18" s="59" t="str">
        <f t="array" ref="AR18">bpLOOKUP(Data!$AV18,"3RDBEND",CustOrdOpt,6,FALSE)</f>
        <v/>
      </c>
      <c r="AS18" s="59" t="str">
        <f t="array" ref="AS18">bpLOOKUP(Data!$AV18,"3RDBENDA",CustOrdOpt,6,FALSE)</f>
        <v/>
      </c>
      <c r="AT18" s="59" t="str">
        <f t="array" ref="AT18">bpLOOKUP(Data!$AV18,"4THBENDSH",CustOrdOpt,6,FALSE)</f>
        <v/>
      </c>
      <c r="AU18" s="59" t="str">
        <f t="array" ref="AU18">bpLOOKUP(Data!$AV18,"4THBEND",CustOrdOpt,6,FALSE)</f>
        <v/>
      </c>
      <c r="AV18" s="59" t="str">
        <f t="array" ref="AV18">bpLOOKUP(Data!$AV18,"4THBENDA",CustOrdOpt,6,FALSE)</f>
        <v/>
      </c>
      <c r="AW18" s="59" t="str">
        <f t="array" ref="AW18">bpLOOKUP(Data!$AV18,"SIDEBYSIDE",CustOrdOpt,6,FALSE)</f>
        <v>No</v>
      </c>
      <c r="AX18" s="59" t="str">
        <f t="array" ref="AX18">IF(bpLOOKUP(Data!$AV18,"PELTYPE",CustOrdOpt,6,FALSE)="None","",bpLOOKUP(Data!$AV18,"PELTYPE",CustOrdOpt,6,FALSE))</f>
        <v/>
      </c>
      <c r="AY18" s="111" t="str">
        <f t="array" ref="AY18">bpLOOKUP(Data!$AV18,"ADDWIDTH",CustOrdOpt,6,FALSE)</f>
        <v/>
      </c>
      <c r="AZ18" s="59" t="str">
        <f t="array" ref="AZ18">bpLOOKUP(Data!$AV18,"PELSHAPE",CustOrdOpt,6,FALSE)</f>
        <v/>
      </c>
      <c r="BA18" s="59" t="str">
        <f t="array" ref="BA18">bpLOOKUP(Data!$AV18,"PELFACE",CustOrdOpt,6,FALSE)</f>
        <v/>
      </c>
      <c r="BB18" s="59" t="str">
        <f t="array" ref="BB18">bpLOOKUP(Data!$AV18,"PELRETURN",CustOrdOpt,6,FALSE)</f>
        <v/>
      </c>
      <c r="BC18" s="59" t="str">
        <f t="array" ref="BC18">bpLOOKUP(Data!$AV18,"PELRETURNSIZE",CustOrdOpt,6,FALSE)</f>
        <v/>
      </c>
      <c r="BD18" s="59" t="str">
        <f t="array" ref="BD18">bpLOOKUP(Data!$AV18,"HBSIZE",CustOrdOpt,6,FALSE)</f>
        <v/>
      </c>
      <c r="BE18" s="59" t="str">
        <f t="array" ref="BE18">bpLOOKUP(Data!$AV18,"PIPING",CustOrdOpt,6,FALSE)</f>
        <v/>
      </c>
      <c r="BF18" s="59" t="str">
        <f t="array" ref="BF18">IF(Data!AW18="","",IF(bpLOOKUP(Data!$AV18,"TIEBACKS",CustOrdOpt,6,FALSE)="None","",bpLOOKUP(Data!$AV18,"TIEBACKS",CustOrdOpt,6,FALSE)))</f>
        <v/>
      </c>
      <c r="BG18" s="59" t="str">
        <f t="array" ref="BG18">bpLOOKUP(Data!$AV18,"TIEBACKHOOK",CustOrdOpt,6,FALSE)</f>
        <v/>
      </c>
      <c r="BH18" s="52" t="str">
        <f>IF(Data!BA18="","",VLOOKUP(CONCATENATE(Z18,AA18,AI18),TBSTracks,2,FALSE))</f>
        <v>DBS to Make</v>
      </c>
      <c r="BI18" s="59" t="str">
        <f t="array" ref="BI18">bpLOOKUP(Data!$AV18,"INSTALLATION",CustOrdOpt,6,FALSE)</f>
        <v>Curtain &amp; Track Installation</v>
      </c>
      <c r="BJ18" s="59" t="str">
        <f t="array" ref="BJ18">bpLOOKUP(Data!$AV18,"HANGHEIGHT",CustOrdOpt,6,FALSE)</f>
        <v>2.1m-2.4m</v>
      </c>
      <c r="BK18" s="59" t="str">
        <f t="array" ref="BK18">bpLOOKUP(Data!$AV18,"INSTALLG",CustOrdOpt,6,FALSE)</f>
        <v>Occupied Home</v>
      </c>
      <c r="BL18" s="59" t="str">
        <f t="array" ref="BL18">bpLOOKUP(Data!$AV18,"TAKEDOWN",CustOrdOpt,6,FALSE)</f>
        <v>No</v>
      </c>
      <c r="BM18" s="59" t="str">
        <f t="array" ref="BM18">bpLOOKUP(Data!$AV18,"CHECKM",CustOrdOpt,6,FALSE)</f>
        <v>No</v>
      </c>
      <c r="BN18" s="59" t="str">
        <f t="array" ref="BN18">bpLOOKUP(Data!$AV18,"NOTES",CustOrdOpt,6,FALSE)</f>
        <v/>
      </c>
      <c r="BP18" s="51">
        <f>IF(Data!BA18="","",IF(AND(F18="Opening",AI18="Bent"),Data!BA18-VLOOKUP(I18,FitDeduct,2,FALSE)-VLOOKUP(AW18,SideDeduct,2,FALSE)-CC18+55,IF(F18="Opening",Data!BA18-VLOOKUP(I18,FitDeduct,2,FALSE)-VLOOKUP(AW18,SideDeduct,2,FALSE)+55,IF(F18="Curtin Making Size",Data!BA18,IF(F18="Track Making Size",Data!BA18)+55))))</f>
        <v>4635</v>
      </c>
      <c r="BQ18" s="51">
        <f>IF(Data!BB18="","",IF(J18="Finished Drop",G18,IF(H18="Opening",Data!BB18-VLOOKUP(CONCATENATE(D18,Z18,R18,AD18),Hook,5,FALSE)-VLOOKUP(K18,Flooring,2,FALSE)-VLOOKUP(L18,Heightofffloor,2,FALSE)+IF(Q18="75mm Tape mounted 20mm from Top",10)+IF(Q18="75mm Tape mounted 25mm from Top",15)+IF(Q18="50mm Tape mounted 20mm from Top",10),IF(H18="Making",Data!BB18,""))))</f>
        <v>2360</v>
      </c>
      <c r="BR18" s="110" t="str">
        <f t="array" ref="BR18">bpLOOKUP(Data!$AV18,"NOTEDROPS",CustOrdOpt,6,FALSE)</f>
        <v/>
      </c>
      <c r="BS18" s="59">
        <f>IF(Data!AV18="","",IFERROR(VLOOKUP(B18,Fabrics,3,FALSE),0)/10)</f>
        <v>320</v>
      </c>
      <c r="BT18" s="59" t="str">
        <f>IF(F18="Track Making Size",AL18,IF(AND(F18="Opening",AI18="Bent",IFERROR(VALUE(AJ18),0)&gt;=1),ROUND(IFERROR(VALUE(AL18),0)-CD18/2,0),""))</f>
        <v/>
      </c>
      <c r="BU18" s="59" t="str">
        <f>IF(F18="Track Making Size",AO18,IF(AND(F18="Opening",AI18="Bent",IFERROR(VALUE(AJ18),0)&gt;=2),ROUND(IFERROR(VALUE(AO18),0)-(CD18+CE18/2),0),""))</f>
        <v/>
      </c>
      <c r="BV18" s="59" t="str">
        <f>IF(F18="Track Making Size",AR18,IF(AND(F18="Opening",AI18="Bent",IFERROR(VALUE(AJ18),0)&gt;=3),ROUND(IFERROR(VALUE(AR18),0)-(CD18+CE18+CF18/2),0),""))</f>
        <v/>
      </c>
      <c r="BW18" s="59" t="str">
        <f>IF(F18="Track Making Size",AU18,IF(AND(F18="Opening",AI18="Bent",IFERROR(VALUE(AJ18),0)&gt;=4),ROUND(IFERROR(VALUE(AU18),0)-(CD18+CE18+CF18+CG18/2),0),""))</f>
        <v/>
      </c>
      <c r="BX18" s="59">
        <f>IF(Data!AV18="","",IF(VLOOKUP(CONCATENATE(Z18,AA18,AI18),TBSTracks,4,FALSE)="0","0",IF(OR(S18="Centre Opening",S18="Centre Opening - Free Flowing",S18="Centre Opening (Offset Split)",S18="Centre Opening - Free Flowing (Offset Split)"),VLOOKUP(CONCATENATE(Z18,AA18,AI18),TBSTracks,4,FALSE),"0")))</f>
        <v>0</v>
      </c>
      <c r="BY18" s="59" t="str">
        <f>IF(OR(BH18="Track from TBS",BH18="Track from Vanda"),"",IF(OR(Z18="Existing Normal S-Fold Track",P18="Wavefold (Standard Fullness x 2)",P18="Wavefold (Less Fullness x 1.8)",P18="Wavefold (Extra Fullness x 2.2)"),VLOOKUP(CONCATENATE(P18,S18),WavefoldLookUp,2,FALSE),""))</f>
        <v>Centre Opening 100%</v>
      </c>
      <c r="BZ18" s="59" t="str">
        <f>IF(OR(BY18="Centre Opening 100%",BY18="Centre Opening 120%",BY18="Centre Opening 80%"),VLOOKUP(BP18,COPEN100,2,TRUE),IF(OR(BY18="100% One Way",BY18="120% One Way",BY18="80% One Way"),VLOOKUP(BP18,OneWay100,2,TRUE),""))</f>
        <v>2 x 46</v>
      </c>
      <c r="CA18" s="59" t="str">
        <f>IF(BY18="","",VLOOKUP(X18,ReturnLookUp,2,FALSE))</f>
        <v>None</v>
      </c>
      <c r="CB18" s="59">
        <f>IF(Data!AV18="","",IF(VLOOKUP(CONCATENATE(Z18,AA18,AI18),TBSTracks,2,FALSE)="DBS to Make",BP18-VLOOKUP(CONCATENATE(Z18,S18),Operation,2,FALSE)-VLOOKUP(CONCATENATE(D18,Z18,R18,AD18),Hook,4,FALSE)-55,""))</f>
        <v>4574</v>
      </c>
      <c r="CC18" s="192">
        <f>IF(Data!AV18="","",IF($AI18&lt;&gt;"Bent",0,ROUND(SUM(CD18:CG18),0)))</f>
        <v>0</v>
      </c>
      <c r="CD18" s="192" t="str">
        <f>IF($AI18&lt;&gt;"Bent","",ROUND($CH18*IF(IFERROR(VALUE($AJ18),0)&gt;=1,RADIANS(ABS(180-IFERROR(VALUE($AM18),0)))*IF(LEFT(UPPER(TRIM($AK18)),8)="INTERNAL",1,IF(LEFT(UPPER(TRIM($AK18)),8)="EXTERNAL",-1,0)),0),0))</f>
        <v/>
      </c>
      <c r="CE18" s="192" t="str">
        <f>IF($AI18&lt;&gt;"Bent","",ROUND($CH18*IF(IFERROR(VALUE($AJ18),0)&gt;=2,RADIANS(ABS(180-IFERROR(VALUE($AP18),0)))*IF(LEFT(UPPER(TRIM($AN18)),8)="INTERNAL",1,IF(LEFT(UPPER(TRIM($AN18)),8)="EXTERNAL",-1,0)),0),0))</f>
        <v/>
      </c>
      <c r="CF18" s="192" t="str">
        <f>IF($AI18&lt;&gt;"Bent","",ROUND($CH18*IF(IFERROR(VALUE($AJ18),0)&gt;=3,RADIANS(ABS(180-IFERROR(VALUE($AS18),0)))*IF(LEFT(UPPER(TRIM($AQ18)),8)="INTERNAL",1,IF(LEFT(UPPER(TRIM($AQ18)),8)="EXTERNAL",-1,0)),0),0))</f>
        <v/>
      </c>
      <c r="CG18" s="192" t="str">
        <f>IF($AI18&lt;&gt;"Bent","",ROUND($CH18*IF(IFERROR(VALUE($AJ18),0)&gt;=4,RADIANS(ABS(180-IFERROR(VALUE($AV18),0)))*IF(LEFT(UPPER(TRIM($AT18)),8)="INTERNAL",1,IF(LEFT(UPPER(TRIM($AT18)),8)="EXTERNAL",-1,0)),0),0))</f>
        <v/>
      </c>
      <c r="CH18" s="193">
        <f>IF($AI18&lt;&gt;"Bent",0,IFERROR(VLOOKUP($Z18,SaberTracks,3,FALSE),0)+MAX(IFERROR(VLOOKUP($D18&amp;$AD18,BracketProj,2,FALSE),0)-75,0)*1.25)</f>
        <v>0</v>
      </c>
      <c r="CI18" s="194">
        <f>IF(Data!BA18="","",IF(AND(F18="Opening",AI18="Bent"),VLOOKUP(I18,FitDeduct,2,FALSE)-VLOOKUP(AW18,SideDeduct,2,FALSE)-CC18+55,IF(F18="Opening",VLOOKUP(I18,FitDeduct,2,FALSE)-VLOOKUP(AW18,SideDeduct,2,FALSE)+55,IF(F18="Curtin Making Size",Data!BA18,IF(F18="Track Making Size",55)))))</f>
        <v>55</v>
      </c>
    </row>
    <row r="19" spans="1:87" s="53" customFormat="1" ht="120">
      <c r="A19" s="105">
        <f>Data!AW19</f>
        <v>36</v>
      </c>
      <c r="B19" s="58" t="str">
        <f>IF(Data!BE19="","",MID(Data!BE19,6,80))</f>
        <v>Nettex Brunswick (Continuous) Uncoated Talc</v>
      </c>
      <c r="C19" s="58" t="str">
        <f>Data!AY19</f>
        <v>Second Lounge ALTERATION</v>
      </c>
      <c r="D19" s="106" t="str">
        <f t="array" ref="D19">bpLOOKUP(Data!$AV19,"SINGLE",CustOrdOpt,6,FALSE)</f>
        <v>Single</v>
      </c>
      <c r="E19" s="107">
        <f>SUM(Data!BA19)</f>
        <v>3980</v>
      </c>
      <c r="F19" s="108" t="str">
        <f t="array" ref="F19">bpLOOKUP(Data!$AV19,"Size",CustOrdOpt,6,FALSE)</f>
        <v>Opening</v>
      </c>
      <c r="G19" s="107">
        <f>SUM(Data!BB19)</f>
        <v>2210</v>
      </c>
      <c r="H19" s="108" t="str">
        <f t="array" ref="H19">bpLOOKUP(Data!$AV19,"DROPSIZE",CustOrdOpt,6,FALSE)</f>
        <v>Opening</v>
      </c>
      <c r="I19" s="109" t="str">
        <f t="array" ref="I19">bpLOOKUP(Data!$AV19,"FIT",CustOrdOpt,6,FALSE)</f>
        <v>Face</v>
      </c>
      <c r="J19" s="109" t="str">
        <f t="array" ref="J19">bpLOOKUP(Data!$AV19,"MEASUREDAS",CustOrdOpt,6,FALSE)</f>
        <v>Cornice to Floor</v>
      </c>
      <c r="K19" s="109" t="str">
        <f t="array" ref="K19">bpLOOKUP(Data!$AV19,"FLOORING",CustOrdOpt,6,FALSE)</f>
        <v>Yes</v>
      </c>
      <c r="L19" s="109" t="str">
        <f t="array" ref="L19">bpLOOKUP(Data!$AV19,"HEIGHTOFFFLOOR",CustOrdOpt,6,FALSE)</f>
        <v>Just off the Floor</v>
      </c>
      <c r="M19" s="59" t="str">
        <f t="array" ref="M19">bpLOOKUP(Data!$AV19,"CURTAIN",CustOrdOpt,6,FALSE)</f>
        <v>No Lining</v>
      </c>
      <c r="N19" s="59" t="str">
        <f t="array" ref="N19">bpLOOKUP(Data!$AV19,"LININGCOLOUR",CustOrdOpt,6,FALSE)</f>
        <v/>
      </c>
      <c r="O19" s="59" t="str">
        <f t="array" ref="O19">bpLOOKUP(Data!$AV19,"COLLININGF",CustOrdOpt,6,FALSE)</f>
        <v/>
      </c>
      <c r="P19" s="59" t="str">
        <f t="array" ref="P19">bpLOOKUP(Data!$AV19,"HEADINGSTYLE",CustOrdOpt,6,FALSE)</f>
        <v>Wavefold (Standard Fullness x 2)</v>
      </c>
      <c r="Q19" s="59" t="str">
        <f t="array" ref="Q19">bpLOOKUP(Data!$AV19,"TAPE",CustOrdOpt,6,FALSE)</f>
        <v>75mm Clear Tape</v>
      </c>
      <c r="R19" s="59" t="str">
        <f t="array" ref="R19">bpLOOKUP(Data!$AV19,"HOOK",CustOrdOpt,6,FALSE)</f>
        <v>Wavefold Hooks</v>
      </c>
      <c r="S19" s="59" t="str">
        <f t="array" ref="S19">bpLOOKUP(Data!$AV19,"OPENING",CustOrdOpt,6,FALSE)</f>
        <v>Centre Opening</v>
      </c>
      <c r="T19" s="59" t="str">
        <f t="array" ref="T19">bpLOOKUP(Data!$AV19,"OFFSETL",CustOrdOpt,6,FALSE)</f>
        <v/>
      </c>
      <c r="U19" s="59" t="str">
        <f t="array" ref="U19">bpLOOKUP(Data!$AV19,"OFFSETR",CustOrdOpt,6,FALSE)</f>
        <v/>
      </c>
      <c r="V19" s="59" t="str">
        <f t="array" ref="V19">bpLOOKUP(Data!$AV19,"OFFSET",CustOrdOpt,6,FALSE)</f>
        <v/>
      </c>
      <c r="W19" s="59" t="str">
        <f t="array" ref="W19">bpLOOKUP(Data!$AV19,"HEM",CustOrdOpt,6,FALSE)</f>
        <v>Standard 75mm</v>
      </c>
      <c r="X19" s="59" t="str">
        <f t="array" ref="X19">bpLOOKUP(Data!$AV19,"RETURNS",CustOrdOpt,6,FALSE)</f>
        <v>None</v>
      </c>
      <c r="Y19" s="59" t="str">
        <f t="array" ref="Y19">IF(Data!AX19="","",IF(bpLOOKUP(Data!$AV19,"RETURNSIZE",CustOrdOpt,6,FALSE)="","0",bpLOOKUP(Data!$AV19,"RETURNSIZE",CustOrdOpt,6,FALSE)))</f>
        <v>0</v>
      </c>
      <c r="Z19" s="59" t="str">
        <f t="array" ref="Z19">bpLOOKUP(Data!$AV19,"TRACKTYPE",CustOrdOpt,6,FALSE)</f>
        <v>Wavefold Hand Operation</v>
      </c>
      <c r="AA19" s="59" t="str">
        <f t="array" ref="AA19">bpLOOKUP(Data!$AV19,"TRACKCOLOUR",CustOrdOpt,6,FALSE)</f>
        <v>White</v>
      </c>
      <c r="AB19" s="59" t="str">
        <f t="array" ref="AB19">bpLOOKUP(Data!$AV19,"CORDOP",CustOrdOpt,6,FALSE)</f>
        <v>Hand Operation</v>
      </c>
      <c r="AC19" s="59" t="str">
        <f t="array" ref="AC19">bpLOOKUP(Data!$AV19,"CONTROL",CustOrdOpt,6,FALSE)</f>
        <v/>
      </c>
      <c r="AD19" s="59" t="str">
        <f t="array" ref="AD19">bpLOOKUP(Data!$AV19,"BRACKETS",CustOrdOpt,6,FALSE)</f>
        <v>Single Face Fix Brackets</v>
      </c>
      <c r="AE19" s="59" t="str">
        <f t="array" ref="AE19">bpLOOKUP(Data!$AV19,"FINIALS",CustOrdOpt,6,FALSE)</f>
        <v/>
      </c>
      <c r="AF19" s="59" t="str">
        <f t="array" ref="AF19">bpLOOKUP(Data!$AV19,"HANGERQTY",CustOrdOpt,6,FALSE)</f>
        <v/>
      </c>
      <c r="AG19" s="59" t="str">
        <f t="array" ref="AG19">bpLOOKUP(Data!$AV19,"HANGERL",CustOrdOpt,6,FALSE)</f>
        <v/>
      </c>
      <c r="AH19" s="59" t="str">
        <f t="array" ref="AH19">bpLOOKUP(Data!$AV19,"FLICKSTICKS",CustOrdOpt,6,FALSE)</f>
        <v>White Aluminium Flick Sticks 125cm</v>
      </c>
      <c r="AI19" s="59" t="str">
        <f t="array" ref="AI19">bpLOOKUP(Data!$AV19,"TRACKSHAPE",CustOrdOpt,6,FALSE)</f>
        <v>Straight</v>
      </c>
      <c r="AJ19" s="59" t="str">
        <f t="array" ref="AJ19">bpLOOKUP(Data!$AV19,"BENDS",CustOrdOpt,6,FALSE)</f>
        <v/>
      </c>
      <c r="AK19" s="59" t="str">
        <f t="array" ref="AK19">bpLOOKUP(Data!$AV19,"1STBENDSH",CustOrdOpt,6,FALSE)</f>
        <v/>
      </c>
      <c r="AL19" s="59" t="str">
        <f t="array" ref="AL19">bpLOOKUP(Data!$AV19,"1STBEND",CustOrdOpt,6,FALSE)</f>
        <v/>
      </c>
      <c r="AM19" s="59" t="str">
        <f t="array" ref="AM19">bpLOOKUP(Data!$AV19,"1STBENDA",CustOrdOpt,6,FALSE)</f>
        <v/>
      </c>
      <c r="AN19" s="59" t="str">
        <f t="array" ref="AN19">bpLOOKUP(Data!$AV19,"2NDBENDSH",CustOrdOpt,6,FALSE)</f>
        <v/>
      </c>
      <c r="AO19" s="59" t="str">
        <f t="array" ref="AO19">bpLOOKUP(Data!$AV19,"2NDBEND",CustOrdOpt,6,FALSE)</f>
        <v/>
      </c>
      <c r="AP19" s="59" t="str">
        <f t="array" ref="AP19">bpLOOKUP(Data!$AV19,"2NDBENDA",CustOrdOpt,6,FALSE)</f>
        <v/>
      </c>
      <c r="AQ19" s="59" t="str">
        <f t="array" ref="AQ19">bpLOOKUP(Data!$AV19,"3RDBENDSH",CustOrdOpt,6,FALSE)</f>
        <v/>
      </c>
      <c r="AR19" s="59" t="str">
        <f t="array" ref="AR19">bpLOOKUP(Data!$AV19,"3RDBEND",CustOrdOpt,6,FALSE)</f>
        <v/>
      </c>
      <c r="AS19" s="59" t="str">
        <f t="array" ref="AS19">bpLOOKUP(Data!$AV19,"3RDBENDA",CustOrdOpt,6,FALSE)</f>
        <v/>
      </c>
      <c r="AT19" s="59" t="str">
        <f t="array" ref="AT19">bpLOOKUP(Data!$AV19,"4THBENDSH",CustOrdOpt,6,FALSE)</f>
        <v/>
      </c>
      <c r="AU19" s="59" t="str">
        <f t="array" ref="AU19">bpLOOKUP(Data!$AV19,"4THBEND",CustOrdOpt,6,FALSE)</f>
        <v/>
      </c>
      <c r="AV19" s="59" t="str">
        <f t="array" ref="AV19">bpLOOKUP(Data!$AV19,"4THBENDA",CustOrdOpt,6,FALSE)</f>
        <v/>
      </c>
      <c r="AW19" s="59" t="str">
        <f t="array" ref="AW19">bpLOOKUP(Data!$AV19,"SIDEBYSIDE",CustOrdOpt,6,FALSE)</f>
        <v>Wall to Wall</v>
      </c>
      <c r="AX19" s="59" t="str">
        <f t="array" ref="AX19">IF(bpLOOKUP(Data!$AV19,"PELTYPE",CustOrdOpt,6,FALSE)="None","",bpLOOKUP(Data!$AV19,"PELTYPE",CustOrdOpt,6,FALSE))</f>
        <v/>
      </c>
      <c r="AY19" s="111" t="str">
        <f t="array" ref="AY19">bpLOOKUP(Data!$AV19,"ADDWIDTH",CustOrdOpt,6,FALSE)</f>
        <v/>
      </c>
      <c r="AZ19" s="59" t="str">
        <f t="array" ref="AZ19">bpLOOKUP(Data!$AV19,"PELSHAPE",CustOrdOpt,6,FALSE)</f>
        <v/>
      </c>
      <c r="BA19" s="59" t="str">
        <f t="array" ref="BA19">bpLOOKUP(Data!$AV19,"PELFACE",CustOrdOpt,6,FALSE)</f>
        <v/>
      </c>
      <c r="BB19" s="59" t="str">
        <f t="array" ref="BB19">bpLOOKUP(Data!$AV19,"PELRETURN",CustOrdOpt,6,FALSE)</f>
        <v/>
      </c>
      <c r="BC19" s="59" t="str">
        <f t="array" ref="BC19">bpLOOKUP(Data!$AV19,"PELRETURNSIZE",CustOrdOpt,6,FALSE)</f>
        <v/>
      </c>
      <c r="BD19" s="59" t="str">
        <f t="array" ref="BD19">bpLOOKUP(Data!$AV19,"HBSIZE",CustOrdOpt,6,FALSE)</f>
        <v/>
      </c>
      <c r="BE19" s="59" t="str">
        <f t="array" ref="BE19">bpLOOKUP(Data!$AV19,"PIPING",CustOrdOpt,6,FALSE)</f>
        <v/>
      </c>
      <c r="BF19" s="59" t="str">
        <f t="array" ref="BF19">IF(Data!AW19="","",IF(bpLOOKUP(Data!$AV19,"TIEBACKS",CustOrdOpt,6,FALSE)="None","",bpLOOKUP(Data!$AV19,"TIEBACKS",CustOrdOpt,6,FALSE)))</f>
        <v/>
      </c>
      <c r="BG19" s="59" t="str">
        <f t="array" ref="BG19">bpLOOKUP(Data!$AV19,"TIEBACKHOOK",CustOrdOpt,6,FALSE)</f>
        <v/>
      </c>
      <c r="BH19" s="52" t="str">
        <f>IF(Data!BA19="","",VLOOKUP(CONCATENATE(Z19,AA19,AI19),TBSTracks,2,FALSE))</f>
        <v>DBS to Make</v>
      </c>
      <c r="BI19" s="59" t="str">
        <f t="array" ref="BI19">bpLOOKUP(Data!$AV19,"INSTALLATION",CustOrdOpt,6,FALSE)</f>
        <v>Curtain &amp; Track Installation</v>
      </c>
      <c r="BJ19" s="59" t="str">
        <f t="array" ref="BJ19">bpLOOKUP(Data!$AV19,"HANGHEIGHT",CustOrdOpt,6,FALSE)</f>
        <v>2.1m-2.4m</v>
      </c>
      <c r="BK19" s="59" t="str">
        <f t="array" ref="BK19">bpLOOKUP(Data!$AV19,"INSTALLG",CustOrdOpt,6,FALSE)</f>
        <v>Occupied Home</v>
      </c>
      <c r="BL19" s="59" t="str">
        <f t="array" ref="BL19">bpLOOKUP(Data!$AV19,"TAKEDOWN",CustOrdOpt,6,FALSE)</f>
        <v>No</v>
      </c>
      <c r="BM19" s="59" t="str">
        <f t="array" ref="BM19">bpLOOKUP(Data!$AV19,"CHECKM",CustOrdOpt,6,FALSE)</f>
        <v>No</v>
      </c>
      <c r="BN19" s="59" t="str">
        <f t="array" ref="BN19">bpLOOKUP(Data!$AV19,"NOTES",CustOrdOpt,6,FALSE)</f>
        <v>Alteration to curtain drop</v>
      </c>
      <c r="BO19" s="53"/>
      <c r="BP19" s="51">
        <f>IF(Data!BA19="","",IF(AND(F19="Opening",AI19="Bent"),Data!BA19-VLOOKUP(I19,FitDeduct,2,FALSE)-VLOOKUP(AW19,SideDeduct,2,FALSE)-CC19+55,IF(F19="Opening",Data!BA19-VLOOKUP(I19,FitDeduct,2,FALSE)-VLOOKUP(AW19,SideDeduct,2,FALSE)+55,IF(F19="Curtin Making Size",Data!BA19,IF(F19="Track Making Size",Data!BA19)+55))))</f>
        <v>4015</v>
      </c>
      <c r="BQ19" s="51">
        <f>IF(Data!BB19="","",IF(J19="Finished Drop",G19,IF(H19="Opening",Data!BB19-VLOOKUP(CONCATENATE(D19,Z19,R19,AD19),Hook,5,FALSE)-VLOOKUP(K19,Flooring,2,FALSE)-VLOOKUP(L19,Heightofffloor,2,FALSE)+IF(Q19="75mm Tape mounted 20mm from Top",10)+IF(Q19="75mm Tape mounted 25mm from Top",15)+IF(Q19="50mm Tape mounted 20mm from Top",10),IF(H19="Making",Data!BB19,""))))</f>
        <v>2180</v>
      </c>
      <c r="BR19" s="110" t="str">
        <f t="array" ref="BR19">bpLOOKUP(Data!$AV19,"NOTEDROPS",CustOrdOpt,6,FALSE)</f>
        <v/>
      </c>
      <c r="BS19" s="59">
        <f>IF(Data!AV19="","",IFERROR(VLOOKUP(B19,Fabrics,3,FALSE),0)/10)</f>
        <v>320</v>
      </c>
      <c r="BT19" s="59" t="str">
        <f>IF(F19="Track Making Size",AL19,IF(AND(F19="Opening",AI19="Bent",IFERROR(VALUE(AJ19),0)&gt;=1),ROUND(IFERROR(VALUE(AL19),0)-CD19/2,0),""))</f>
        <v/>
      </c>
      <c r="BU19" s="59" t="str">
        <f>IF(F19="Track Making Size",AO19,IF(AND(F19="Opening",AI19="Bent",IFERROR(VALUE(AJ19),0)&gt;=2),ROUND(IFERROR(VALUE(AO19),0)-(CD19+CE19/2),0),""))</f>
        <v/>
      </c>
      <c r="BV19" s="59" t="str">
        <f>IF(F19="Track Making Size",AR19,IF(AND(F19="Opening",AI19="Bent",IFERROR(VALUE(AJ19),0)&gt;=3),ROUND(IFERROR(VALUE(AR19),0)-(CD19+CE19+CF19/2),0),""))</f>
        <v/>
      </c>
      <c r="BW19" s="59" t="str">
        <f>IF(F19="Track Making Size",AU19,IF(AND(F19="Opening",AI19="Bent",IFERROR(VALUE(AJ19),0)&gt;=4),ROUND(IFERROR(VALUE(AU19),0)-(CD19+CE19+CF19+CG19/2),0),""))</f>
        <v/>
      </c>
      <c r="BX19" s="59">
        <f>IF(Data!AV19="","",IF(VLOOKUP(CONCATENATE(Z19,AA19,AI19),TBSTracks,4,FALSE)="0","0",IF(OR(S19="Centre Opening",S19="Centre Opening - Free Flowing",S19="Centre Opening (Offset Split)",S19="Centre Opening - Free Flowing (Offset Split)"),VLOOKUP(CONCATENATE(Z19,AA19,AI19),TBSTracks,4,FALSE),"0")))</f>
        <v>0</v>
      </c>
      <c r="BY19" s="59" t="str">
        <f>IF(OR(BH19="Track from TBS",BH19="Track from Vanda"),"",IF(OR(Z19="Existing Normal S-Fold Track",P19="Wavefold (Standard Fullness x 2)",P19="Wavefold (Less Fullness x 1.8)",P19="Wavefold (Extra Fullness x 2.2)"),VLOOKUP(CONCATENATE(P19,S19),WavefoldLookUp,2,FALSE),""))</f>
        <v>Centre Opening 100%</v>
      </c>
      <c r="BZ19" s="59" t="str">
        <f>IF(OR(BY19="Centre Opening 100%",BY19="Centre Opening 120%",BY19="Centre Opening 80%"),VLOOKUP(BP19,COPEN100,2,TRUE),IF(OR(BY19="100% One Way",BY19="120% One Way",BY19="80% One Way"),VLOOKUP(BP19,OneWay100,2,TRUE),""))</f>
        <v>2 x 40</v>
      </c>
      <c r="CA19" s="59" t="str">
        <f>IF(BY19="","",VLOOKUP(X19,ReturnLookUp,2,FALSE))</f>
        <v>None</v>
      </c>
      <c r="CB19" s="59">
        <f>IF(Data!AV19="","",IF(VLOOKUP(CONCATENATE(Z19,AA19,AI19),TBSTracks,2,FALSE)="DBS to Make",BP19-VLOOKUP(CONCATENATE(Z19,S19),Operation,2,FALSE)-VLOOKUP(CONCATENATE(D19,Z19,R19,AD19),Hook,4,FALSE)-55,""))</f>
        <v>3954</v>
      </c>
      <c r="CC19" s="192">
        <f>IF(Data!AV19="","",IF($AI19&lt;&gt;"Bent",0,ROUND(SUM(CD19:CG19),0)))</f>
        <v>0</v>
      </c>
      <c r="CD19" s="192" t="str">
        <f>IF($AI19&lt;&gt;"Bent","",ROUND($CH19*IF(IFERROR(VALUE($AJ19),0)&gt;=1,RADIANS(ABS(180-IFERROR(VALUE($AM19),0)))*IF(LEFT(UPPER(TRIM($AK19)),8)="INTERNAL",1,IF(LEFT(UPPER(TRIM($AK19)),8)="EXTERNAL",-1,0)),0),0))</f>
        <v/>
      </c>
      <c r="CE19" s="192" t="str">
        <f>IF($AI19&lt;&gt;"Bent","",ROUND($CH19*IF(IFERROR(VALUE($AJ19),0)&gt;=2,RADIANS(ABS(180-IFERROR(VALUE($AP19),0)))*IF(LEFT(UPPER(TRIM($AN19)),8)="INTERNAL",1,IF(LEFT(UPPER(TRIM($AN19)),8)="EXTERNAL",-1,0)),0),0))</f>
        <v/>
      </c>
      <c r="CF19" s="192" t="str">
        <f>IF($AI19&lt;&gt;"Bent","",ROUND($CH19*IF(IFERROR(VALUE($AJ19),0)&gt;=3,RADIANS(ABS(180-IFERROR(VALUE($AS19),0)))*IF(LEFT(UPPER(TRIM($AQ19)),8)="INTERNAL",1,IF(LEFT(UPPER(TRIM($AQ19)),8)="EXTERNAL",-1,0)),0),0))</f>
        <v/>
      </c>
      <c r="CG19" s="192" t="str">
        <f>IF($AI19&lt;&gt;"Bent","",ROUND($CH19*IF(IFERROR(VALUE($AJ19),0)&gt;=4,RADIANS(ABS(180-IFERROR(VALUE($AV19),0)))*IF(LEFT(UPPER(TRIM($AT19)),8)="INTERNAL",1,IF(LEFT(UPPER(TRIM($AT19)),8)="EXTERNAL",-1,0)),0),0))</f>
        <v/>
      </c>
      <c r="CH19" s="193">
        <f>IF($AI19&lt;&gt;"Bent",0,IFERROR(VLOOKUP($Z19,SaberTracks,3,FALSE),0)+MAX(IFERROR(VLOOKUP($D19&amp;$AD19,BracketProj,2,FALSE),0)-75,0)*1.25)</f>
        <v>0</v>
      </c>
      <c r="CI19" s="194">
        <f>IF(Data!BA19="","",IF(AND(F19="Opening",AI19="Bent"),VLOOKUP(I19,FitDeduct,2,FALSE)-VLOOKUP(AW19,SideDeduct,2,FALSE)-CC19+55,IF(F19="Opening",VLOOKUP(I19,FitDeduct,2,FALSE)-VLOOKUP(AW19,SideDeduct,2,FALSE)+55,IF(F19="Curtin Making Size",Data!BA19,IF(F19="Track Making Size",55)))))</f>
        <v>35</v>
      </c>
    </row>
    <row r="20" spans="1:87" s="53" customFormat="1" ht="150">
      <c r="A20" s="300">
        <f>Data!AW20</f>
        <v>37</v>
      </c>
      <c r="B20" s="297" t="str">
        <f>IF(Data!BE20="","",MID(Data!BE20,6,80))</f>
        <v>Nettex Brunswick (Continuous) Uncoated Talc</v>
      </c>
      <c r="C20" s="297" t="str">
        <f>Data!AY20</f>
        <v>Front Lounge 1 ALTERATION</v>
      </c>
      <c r="D20" s="106" t="str">
        <f t="array" ref="D20">bpLOOKUP(Data!$AV20,"SINGLE",CustOrdOpt,6,FALSE)</f>
        <v>Single</v>
      </c>
      <c r="E20" s="107">
        <f>SUM(Data!BA20)</f>
        <v>5000</v>
      </c>
      <c r="F20" s="108" t="str">
        <f t="array" ref="F20">bpLOOKUP(Data!$AV20,"Size",CustOrdOpt,6,FALSE)</f>
        <v>Opening</v>
      </c>
      <c r="G20" s="107">
        <f>SUM(Data!BB20)</f>
        <v>2245</v>
      </c>
      <c r="H20" s="108" t="str">
        <f t="array" ref="H20">bpLOOKUP(Data!$AV20,"DROPSIZE",CustOrdOpt,6,FALSE)</f>
        <v>Opening</v>
      </c>
      <c r="I20" s="109" t="str">
        <f t="array" ref="I20">bpLOOKUP(Data!$AV20,"FIT",CustOrdOpt,6,FALSE)</f>
        <v>Face</v>
      </c>
      <c r="J20" s="109" t="str">
        <f t="array" ref="J20">bpLOOKUP(Data!$AV20,"MEASUREDAS",CustOrdOpt,6,FALSE)</f>
        <v>Top of Arc to Floor</v>
      </c>
      <c r="K20" s="109" t="str">
        <f t="array" ref="K20">bpLOOKUP(Data!$AV20,"FLOORING",CustOrdOpt,6,FALSE)</f>
        <v>Yes</v>
      </c>
      <c r="L20" s="109" t="str">
        <f t="array" ref="L20">bpLOOKUP(Data!$AV20,"HEIGHTOFFFLOOR",CustOrdOpt,6,FALSE)</f>
        <v>Just off the Floor</v>
      </c>
      <c r="M20" s="59" t="str">
        <f t="array" ref="M20">bpLOOKUP(Data!$AV20,"CURTAIN",CustOrdOpt,6,FALSE)</f>
        <v>No Lining</v>
      </c>
      <c r="N20" s="59" t="str">
        <f t="array" ref="N20">bpLOOKUP(Data!$AV20,"LININGCOLOUR",CustOrdOpt,6,FALSE)</f>
        <v/>
      </c>
      <c r="O20" s="59" t="str">
        <f t="array" ref="O20">bpLOOKUP(Data!$AV20,"COLLININGF",CustOrdOpt,6,FALSE)</f>
        <v/>
      </c>
      <c r="P20" s="59" t="str">
        <f t="array" ref="P20">bpLOOKUP(Data!$AV20,"HEADINGSTYLE",CustOrdOpt,6,FALSE)</f>
        <v>Wavefold (Standard Fullness x 2)</v>
      </c>
      <c r="Q20" s="59" t="str">
        <f t="array" ref="Q20">bpLOOKUP(Data!$AV20,"TAPE",CustOrdOpt,6,FALSE)</f>
        <v>75mm Clear Tape</v>
      </c>
      <c r="R20" s="59" t="str">
        <f t="array" ref="R20">bpLOOKUP(Data!$AV20,"HOOK",CustOrdOpt,6,FALSE)</f>
        <v>Wavefold Hooks</v>
      </c>
      <c r="S20" s="59" t="str">
        <f t="array" ref="S20">bpLOOKUP(Data!$AV20,"OPENING",CustOrdOpt,6,FALSE)</f>
        <v>Centre Opening</v>
      </c>
      <c r="T20" s="59" t="str">
        <f t="array" ref="T20">bpLOOKUP(Data!$AV20,"OFFSETL",CustOrdOpt,6,FALSE)</f>
        <v/>
      </c>
      <c r="U20" s="59" t="str">
        <f t="array" ref="U20">bpLOOKUP(Data!$AV20,"OFFSETR",CustOrdOpt,6,FALSE)</f>
        <v/>
      </c>
      <c r="V20" s="59" t="str">
        <f t="array" ref="V20">bpLOOKUP(Data!$AV20,"OFFSET",CustOrdOpt,6,FALSE)</f>
        <v/>
      </c>
      <c r="W20" s="59" t="str">
        <f t="array" ref="W20">bpLOOKUP(Data!$AV20,"HEM",CustOrdOpt,6,FALSE)</f>
        <v>Standard 75mm</v>
      </c>
      <c r="X20" s="59" t="str">
        <f t="array" ref="X20">bpLOOKUP(Data!$AV20,"RETURNS",CustOrdOpt,6,FALSE)</f>
        <v>None</v>
      </c>
      <c r="Y20" s="59" t="str">
        <f t="array" ref="Y20">IF(Data!AX20="","",IF(bpLOOKUP(Data!$AV20,"RETURNSIZE",CustOrdOpt,6,FALSE)="","0",bpLOOKUP(Data!$AV20,"RETURNSIZE",CustOrdOpt,6,FALSE)))</f>
        <v>0</v>
      </c>
      <c r="Z20" s="59" t="str">
        <f t="array" ref="Z20">bpLOOKUP(Data!$AV20,"TRACKTYPE",CustOrdOpt,6,FALSE)</f>
        <v>Wavefold Hand Operation</v>
      </c>
      <c r="AA20" s="59" t="str">
        <f t="array" ref="AA20">bpLOOKUP(Data!$AV20,"TRACKCOLOUR",CustOrdOpt,6,FALSE)</f>
        <v>White</v>
      </c>
      <c r="AB20" s="59" t="str">
        <f t="array" ref="AB20">bpLOOKUP(Data!$AV20,"CORDOP",CustOrdOpt,6,FALSE)</f>
        <v>Hand Operation</v>
      </c>
      <c r="AC20" s="59" t="str">
        <f t="array" ref="AC20">bpLOOKUP(Data!$AV20,"CONTROL",CustOrdOpt,6,FALSE)</f>
        <v/>
      </c>
      <c r="AD20" s="59" t="str">
        <f t="array" ref="AD20">bpLOOKUP(Data!$AV20,"BRACKETS",CustOrdOpt,6,FALSE)</f>
        <v>Single Face Fix Brackets</v>
      </c>
      <c r="AE20" s="59" t="str">
        <f t="array" ref="AE20">bpLOOKUP(Data!$AV20,"FINIALS",CustOrdOpt,6,FALSE)</f>
        <v/>
      </c>
      <c r="AF20" s="59" t="str">
        <f t="array" ref="AF20">bpLOOKUP(Data!$AV20,"HANGERQTY",CustOrdOpt,6,FALSE)</f>
        <v/>
      </c>
      <c r="AG20" s="59" t="str">
        <f t="array" ref="AG20">bpLOOKUP(Data!$AV20,"HANGERL",CustOrdOpt,6,FALSE)</f>
        <v/>
      </c>
      <c r="AH20" s="59" t="str">
        <f t="array" ref="AH20">bpLOOKUP(Data!$AV20,"FLICKSTICKS",CustOrdOpt,6,FALSE)</f>
        <v>White Aluminium Flick Sticks 125cm</v>
      </c>
      <c r="AI20" s="59" t="str">
        <f t="array" ref="AI20">bpLOOKUP(Data!$AV20,"TRACKSHAPE",CustOrdOpt,6,FALSE)</f>
        <v>Straight</v>
      </c>
      <c r="AJ20" s="59" t="str">
        <f t="array" ref="AJ20">bpLOOKUP(Data!$AV20,"BENDS",CustOrdOpt,6,FALSE)</f>
        <v/>
      </c>
      <c r="AK20" s="59" t="str">
        <f t="array" ref="AK20">bpLOOKUP(Data!$AV20,"1STBENDSH",CustOrdOpt,6,FALSE)</f>
        <v/>
      </c>
      <c r="AL20" s="59" t="str">
        <f t="array" ref="AL20">bpLOOKUP(Data!$AV20,"1STBEND",CustOrdOpt,6,FALSE)</f>
        <v/>
      </c>
      <c r="AM20" s="59" t="str">
        <f t="array" ref="AM20">bpLOOKUP(Data!$AV20,"1STBENDA",CustOrdOpt,6,FALSE)</f>
        <v/>
      </c>
      <c r="AN20" s="59" t="str">
        <f t="array" ref="AN20">bpLOOKUP(Data!$AV20,"2NDBENDSH",CustOrdOpt,6,FALSE)</f>
        <v/>
      </c>
      <c r="AO20" s="59" t="str">
        <f t="array" ref="AO20">bpLOOKUP(Data!$AV20,"2NDBEND",CustOrdOpt,6,FALSE)</f>
        <v/>
      </c>
      <c r="AP20" s="59" t="str">
        <f t="array" ref="AP20">bpLOOKUP(Data!$AV20,"2NDBENDA",CustOrdOpt,6,FALSE)</f>
        <v/>
      </c>
      <c r="AQ20" s="59" t="str">
        <f t="array" ref="AQ20">bpLOOKUP(Data!$AV20,"3RDBENDSH",CustOrdOpt,6,FALSE)</f>
        <v/>
      </c>
      <c r="AR20" s="59" t="str">
        <f t="array" ref="AR20">bpLOOKUP(Data!$AV20,"3RDBEND",CustOrdOpt,6,FALSE)</f>
        <v/>
      </c>
      <c r="AS20" s="59" t="str">
        <f t="array" ref="AS20">bpLOOKUP(Data!$AV20,"3RDBENDA",CustOrdOpt,6,FALSE)</f>
        <v/>
      </c>
      <c r="AT20" s="59" t="str">
        <f t="array" ref="AT20">bpLOOKUP(Data!$AV20,"4THBENDSH",CustOrdOpt,6,FALSE)</f>
        <v/>
      </c>
      <c r="AU20" s="59" t="str">
        <f t="array" ref="AU20">bpLOOKUP(Data!$AV20,"4THBEND",CustOrdOpt,6,FALSE)</f>
        <v/>
      </c>
      <c r="AV20" s="59" t="str">
        <f t="array" ref="AV20">bpLOOKUP(Data!$AV20,"4THBENDA",CustOrdOpt,6,FALSE)</f>
        <v/>
      </c>
      <c r="AW20" s="59" t="str">
        <f t="array" ref="AW20">bpLOOKUP(Data!$AV20,"SIDEBYSIDE",CustOrdOpt,6,FALSE)</f>
        <v>Thru</v>
      </c>
      <c r="AX20" s="59" t="str">
        <f t="array" ref="AX20">IF(bpLOOKUP(Data!$AV20,"PELTYPE",CustOrdOpt,6,FALSE)="None","",bpLOOKUP(Data!$AV20,"PELTYPE",CustOrdOpt,6,FALSE))</f>
        <v/>
      </c>
      <c r="AY20" s="111" t="str">
        <f t="array" ref="AY20">bpLOOKUP(Data!$AV20,"ADDWIDTH",CustOrdOpt,6,FALSE)</f>
        <v/>
      </c>
      <c r="AZ20" s="59" t="str">
        <f t="array" ref="AZ20">bpLOOKUP(Data!$AV20,"PELSHAPE",CustOrdOpt,6,FALSE)</f>
        <v/>
      </c>
      <c r="BA20" s="59" t="str">
        <f t="array" ref="BA20">bpLOOKUP(Data!$AV20,"PELFACE",CustOrdOpt,6,FALSE)</f>
        <v/>
      </c>
      <c r="BB20" s="59" t="str">
        <f t="array" ref="BB20">bpLOOKUP(Data!$AV20,"PELRETURN",CustOrdOpt,6,FALSE)</f>
        <v/>
      </c>
      <c r="BC20" s="59" t="str">
        <f t="array" ref="BC20">bpLOOKUP(Data!$AV20,"PELRETURNSIZE",CustOrdOpt,6,FALSE)</f>
        <v/>
      </c>
      <c r="BD20" s="59" t="str">
        <f t="array" ref="BD20">bpLOOKUP(Data!$AV20,"HBSIZE",CustOrdOpt,6,FALSE)</f>
        <v/>
      </c>
      <c r="BE20" s="59" t="str">
        <f t="array" ref="BE20">bpLOOKUP(Data!$AV20,"PIPING",CustOrdOpt,6,FALSE)</f>
        <v/>
      </c>
      <c r="BF20" s="59" t="str">
        <f t="array" ref="BF20">IF(Data!AW20="","",IF(bpLOOKUP(Data!$AV20,"TIEBACKS",CustOrdOpt,6,FALSE)="None","",bpLOOKUP(Data!$AV20,"TIEBACKS",CustOrdOpt,6,FALSE)))</f>
        <v/>
      </c>
      <c r="BG20" s="59" t="str">
        <f t="array" ref="BG20">bpLOOKUP(Data!$AV20,"TIEBACKHOOK",CustOrdOpt,6,FALSE)</f>
        <v/>
      </c>
      <c r="BH20" s="52" t="str">
        <f>IF(Data!BA20="","",VLOOKUP(CONCATENATE(Z20,AA20,AI20),TBSTracks,2,FALSE))</f>
        <v>DBS to Make</v>
      </c>
      <c r="BI20" s="59" t="str">
        <f t="array" ref="BI20">bpLOOKUP(Data!$AV20,"INSTALLATION",CustOrdOpt,6,FALSE)</f>
        <v>Curtain &amp; Track Installation</v>
      </c>
      <c r="BJ20" s="59" t="str">
        <f t="array" ref="BJ20">bpLOOKUP(Data!$AV20,"HANGHEIGHT",CustOrdOpt,6,FALSE)</f>
        <v>2.4m-2.7m</v>
      </c>
      <c r="BK20" s="59" t="str">
        <f t="array" ref="BK20">bpLOOKUP(Data!$AV20,"INSTALLG",CustOrdOpt,6,FALSE)</f>
        <v>Occupied Home</v>
      </c>
      <c r="BL20" s="59" t="str">
        <f t="array" ref="BL20">bpLOOKUP(Data!$AV20,"TAKEDOWN",CustOrdOpt,6,FALSE)</f>
        <v>No</v>
      </c>
      <c r="BM20" s="59" t="str">
        <f t="array" ref="BM20">bpLOOKUP(Data!$AV20,"CHECKM",CustOrdOpt,6,FALSE)</f>
        <v>No</v>
      </c>
      <c r="BN20" s="59" t="str">
        <f t="array" ref="BN20">bpLOOKUP(Data!$AV20,"NOTES",CustOrdOpt,6,FALSE)</f>
        <v>Alteration to curtain drop and change curtain and track to CCO</v>
      </c>
      <c r="BO20" s="187"/>
      <c r="BP20" s="51">
        <f>IF(Data!BA20="","",IF(AND(F20="Opening",AI20="Bent"),Data!BA20-VLOOKUP(I20,FitDeduct,2,FALSE)-VLOOKUP(AW20,SideDeduct,2,FALSE)-CC20+55,IF(F20="Opening",Data!BA20-VLOOKUP(I20,FitDeduct,2,FALSE)-VLOOKUP(AW20,SideDeduct,2,FALSE)+55,IF(F20="Curtin Making Size",Data!BA20,IF(F20="Track Making Size",Data!BA20)+55))))</f>
        <v>5055</v>
      </c>
      <c r="BQ20" s="51">
        <f>IF(Data!BB20="","",IF(J20="Finished Drop",G20,IF(H20="Opening",Data!BB20-VLOOKUP(CONCATENATE(D20,Z20,R20,AD20),Hook,5,FALSE)-VLOOKUP(K20,Flooring,2,FALSE)-VLOOKUP(L20,Heightofffloor,2,FALSE)+IF(Q20="75mm Tape mounted 20mm from Top",10)+IF(Q20="75mm Tape mounted 25mm from Top",15)+IF(Q20="50mm Tape mounted 20mm from Top",10),IF(H20="Making",Data!BB20,""))))</f>
        <v>2215</v>
      </c>
      <c r="BR20" s="110" t="str">
        <f t="array" ref="BR20">bpLOOKUP(Data!$AV20,"NOTEDROPS",CustOrdOpt,6,FALSE)</f>
        <v/>
      </c>
      <c r="BS20" s="59">
        <f>IF(Data!AV20="","",IFERROR(VLOOKUP(B20,Fabrics,3,FALSE),0)/10)</f>
        <v>320</v>
      </c>
      <c r="BT20" s="59" t="str">
        <f>IF(F20="Track Making Size",AL20,IF(AND(F20="Opening",AI20="Bent",IFERROR(VALUE(AJ20),0)&gt;=1),ROUND(IFERROR(VALUE(AL20),0)-CD20/2,0),""))</f>
        <v/>
      </c>
      <c r="BU20" s="59" t="str">
        <f>IF(F20="Track Making Size",AO20,IF(AND(F20="Opening",AI20="Bent",IFERROR(VALUE(AJ20),0)&gt;=2),ROUND(IFERROR(VALUE(AO20),0)-(CD20+CE20/2),0),""))</f>
        <v/>
      </c>
      <c r="BV20" s="59" t="str">
        <f>IF(F20="Track Making Size",AR20,IF(AND(F20="Opening",AI20="Bent",IFERROR(VALUE(AJ20),0)&gt;=3),ROUND(IFERROR(VALUE(AR20),0)-(CD20+CE20+CF20/2),0),""))</f>
        <v/>
      </c>
      <c r="BW20" s="59" t="str">
        <f>IF(F20="Track Making Size",AU20,IF(AND(F20="Opening",AI20="Bent",IFERROR(VALUE(AJ20),0)&gt;=4),ROUND(IFERROR(VALUE(AU20),0)-(CD20+CE20+CF20+CG20/2),0),""))</f>
        <v/>
      </c>
      <c r="BX20" s="59">
        <f>IF(Data!AV20="","",IF(VLOOKUP(CONCATENATE(Z20,AA20,AI20),TBSTracks,4,FALSE)="0","0",IF(OR(S20="Centre Opening",S20="Centre Opening - Free Flowing",S20="Centre Opening (Offset Split)",S20="Centre Opening - Free Flowing (Offset Split)"),VLOOKUP(CONCATENATE(Z20,AA20,AI20),TBSTracks,4,FALSE),"0")))</f>
        <v>0</v>
      </c>
      <c r="BY20" s="59" t="str">
        <f>IF(OR(BH20="Track from TBS",BH20="Track from Vanda"),"",IF(OR(Z20="Existing Normal S-Fold Track",P20="Wavefold (Standard Fullness x 2)",P20="Wavefold (Less Fullness x 1.8)",P20="Wavefold (Extra Fullness x 2.2)"),VLOOKUP(CONCATENATE(P20,S20),WavefoldLookUp,2,FALSE),""))</f>
        <v>Centre Opening 100%</v>
      </c>
      <c r="BZ20" s="59" t="str">
        <f>IF(OR(BY20="Centre Opening 100%",BY20="Centre Opening 120%",BY20="Centre Opening 80%"),VLOOKUP(BP20,COPEN100,2,TRUE),IF(OR(BY20="100% One Way",BY20="120% One Way",BY20="80% One Way"),VLOOKUP(BP20,OneWay100,2,TRUE),""))</f>
        <v>2 x 50</v>
      </c>
      <c r="CA20" s="59" t="str">
        <f>IF(BY20="","",VLOOKUP(X20,ReturnLookUp,2,FALSE))</f>
        <v>None</v>
      </c>
      <c r="CB20" s="59">
        <f>IF(Data!AV20="","",IF(VLOOKUP(CONCATENATE(Z20,AA20,AI20),TBSTracks,2,FALSE)="DBS to Make",BP20-VLOOKUP(CONCATENATE(Z20,S20),Operation,2,FALSE)-VLOOKUP(CONCATENATE(D20,Z20,R20,AD20),Hook,4,FALSE)-55,""))</f>
        <v>4994</v>
      </c>
      <c r="CC20" s="192">
        <f>IF(Data!AV20="","",IF($AI20&lt;&gt;"Bent",0,ROUND(SUM(CD20:CG20),0)))</f>
        <v>0</v>
      </c>
      <c r="CD20" s="192" t="str">
        <f>IF($AI20&lt;&gt;"Bent","",ROUND($CH20*IF(IFERROR(VALUE($AJ20),0)&gt;=1,RADIANS(ABS(180-IFERROR(VALUE($AM20),0)))*IF(LEFT(UPPER(TRIM($AK20)),8)="INTERNAL",1,IF(LEFT(UPPER(TRIM($AK20)),8)="EXTERNAL",-1,0)),0),0))</f>
        <v/>
      </c>
      <c r="CE20" s="192" t="str">
        <f>IF($AI20&lt;&gt;"Bent","",ROUND($CH20*IF(IFERROR(VALUE($AJ20),0)&gt;=2,RADIANS(ABS(180-IFERROR(VALUE($AP20),0)))*IF(LEFT(UPPER(TRIM($AN20)),8)="INTERNAL",1,IF(LEFT(UPPER(TRIM($AN20)),8)="EXTERNAL",-1,0)),0),0))</f>
        <v/>
      </c>
      <c r="CF20" s="192" t="str">
        <f>IF($AI20&lt;&gt;"Bent","",ROUND($CH20*IF(IFERROR(VALUE($AJ20),0)&gt;=3,RADIANS(ABS(180-IFERROR(VALUE($AS20),0)))*IF(LEFT(UPPER(TRIM($AQ20)),8)="INTERNAL",1,IF(LEFT(UPPER(TRIM($AQ20)),8)="EXTERNAL",-1,0)),0),0))</f>
        <v/>
      </c>
      <c r="CG20" s="192" t="str">
        <f>IF($AI20&lt;&gt;"Bent","",ROUND($CH20*IF(IFERROR(VALUE($AJ20),0)&gt;=4,RADIANS(ABS(180-IFERROR(VALUE($AV20),0)))*IF(LEFT(UPPER(TRIM($AT20)),8)="INTERNAL",1,IF(LEFT(UPPER(TRIM($AT20)),8)="EXTERNAL",-1,0)),0),0))</f>
        <v/>
      </c>
      <c r="CH20" s="193">
        <f>IF($AI20&lt;&gt;"Bent",0,IFERROR(VLOOKUP($Z20,SaberTracks,3,FALSE),0)+MAX(IFERROR(VLOOKUP($D20&amp;$AD20,BracketProj,2,FALSE),0)-75,0)*1.25)</f>
        <v>0</v>
      </c>
      <c r="CI20" s="194">
        <f>IF(Data!BA20="","",IF(AND(F20="Opening",AI20="Bent"),VLOOKUP(I20,FitDeduct,2,FALSE)-VLOOKUP(AW20,SideDeduct,2,FALSE)-CC20+55,IF(F20="Opening",VLOOKUP(I20,FitDeduct,2,FALSE)-VLOOKUP(AW20,SideDeduct,2,FALSE)+55,IF(F20="Curtin Making Size",Data!BA20,IF(F20="Track Making Size",55)))))</f>
        <v>55</v>
      </c>
    </row>
    <row r="21" spans="1:87" s="54" customFormat="1" ht="120">
      <c r="A21" s="300">
        <f>Data!AW21</f>
        <v>38</v>
      </c>
      <c r="B21" s="297" t="str">
        <f>IF(Data!BE21="","",MID(Data!BE21,6,80))</f>
        <v>Nettex Brunswick (Continuous) Uncoated Talc</v>
      </c>
      <c r="C21" s="297" t="str">
        <f>Data!AY21</f>
        <v>Front Lounge 2 ALTERATION</v>
      </c>
      <c r="D21" s="106" t="str">
        <f t="array" ref="D21">bpLOOKUP(Data!$AV21,"SINGLE",CustOrdOpt,6,FALSE)</f>
        <v>Single</v>
      </c>
      <c r="E21" s="107">
        <f>SUM(Data!BA21)</f>
        <v>3050</v>
      </c>
      <c r="F21" s="108" t="str">
        <f t="array" ref="F21">bpLOOKUP(Data!$AV21,"Size",CustOrdOpt,6,FALSE)</f>
        <v>Opening</v>
      </c>
      <c r="G21" s="107">
        <f>SUM(Data!BB21)</f>
        <v>2245</v>
      </c>
      <c r="H21" s="108" t="str">
        <f t="array" ref="H21">bpLOOKUP(Data!$AV21,"DROPSIZE",CustOrdOpt,6,FALSE)</f>
        <v>Opening</v>
      </c>
      <c r="I21" s="109" t="str">
        <f t="array" ref="I21">bpLOOKUP(Data!$AV21,"FIT",CustOrdOpt,6,FALSE)</f>
        <v>Face</v>
      </c>
      <c r="J21" s="109" t="str">
        <f t="array" ref="J21">bpLOOKUP(Data!$AV21,"MEASUREDAS",CustOrdOpt,6,FALSE)</f>
        <v>Top of Arc to Floor</v>
      </c>
      <c r="K21" s="109" t="str">
        <f t="array" ref="K21">bpLOOKUP(Data!$AV21,"FLOORING",CustOrdOpt,6,FALSE)</f>
        <v>Yes</v>
      </c>
      <c r="L21" s="109" t="str">
        <f t="array" ref="L21">bpLOOKUP(Data!$AV21,"HEIGHTOFFFLOOR",CustOrdOpt,6,FALSE)</f>
        <v>Just off the Floor</v>
      </c>
      <c r="M21" s="59" t="str">
        <f t="array" ref="M21">bpLOOKUP(Data!$AV21,"CURTAIN",CustOrdOpt,6,FALSE)</f>
        <v>No Lining</v>
      </c>
      <c r="N21" s="59" t="str">
        <f t="array" ref="N21">bpLOOKUP(Data!$AV21,"LININGCOLOUR",CustOrdOpt,6,FALSE)</f>
        <v/>
      </c>
      <c r="O21" s="59" t="str">
        <f t="array" ref="O21">bpLOOKUP(Data!$AV21,"COLLININGF",CustOrdOpt,6,FALSE)</f>
        <v/>
      </c>
      <c r="P21" s="59" t="str">
        <f t="array" ref="P21">bpLOOKUP(Data!$AV21,"HEADINGSTYLE",CustOrdOpt,6,FALSE)</f>
        <v>Wavefold (Standard Fullness x 2)</v>
      </c>
      <c r="Q21" s="59" t="str">
        <f t="array" ref="Q21">bpLOOKUP(Data!$AV21,"TAPE",CustOrdOpt,6,FALSE)</f>
        <v>75mm Clear Tape</v>
      </c>
      <c r="R21" s="59" t="str">
        <f t="array" ref="R21">bpLOOKUP(Data!$AV21,"HOOK",CustOrdOpt,6,FALSE)</f>
        <v>Wavefold Hooks</v>
      </c>
      <c r="S21" s="59" t="str">
        <f t="array" ref="S21">bpLOOKUP(Data!$AV21,"OPENING",CustOrdOpt,6,FALSE)</f>
        <v>Single Panel - Right Stacking</v>
      </c>
      <c r="T21" s="59" t="str">
        <f t="array" ref="T21">bpLOOKUP(Data!$AV21,"OFFSETL",CustOrdOpt,6,FALSE)</f>
        <v/>
      </c>
      <c r="U21" s="59" t="str">
        <f t="array" ref="U21">bpLOOKUP(Data!$AV21,"OFFSETR",CustOrdOpt,6,FALSE)</f>
        <v/>
      </c>
      <c r="V21" s="59" t="str">
        <f t="array" ref="V21">bpLOOKUP(Data!$AV21,"OFFSET",CustOrdOpt,6,FALSE)</f>
        <v/>
      </c>
      <c r="W21" s="59" t="str">
        <f t="array" ref="W21">bpLOOKUP(Data!$AV21,"HEM",CustOrdOpt,6,FALSE)</f>
        <v>Standard 75mm</v>
      </c>
      <c r="X21" s="59" t="str">
        <f t="array" ref="X21">bpLOOKUP(Data!$AV21,"RETURNS",CustOrdOpt,6,FALSE)</f>
        <v>None</v>
      </c>
      <c r="Y21" s="59" t="str">
        <f t="array" ref="Y21">IF(Data!AX21="","",IF(bpLOOKUP(Data!$AV21,"RETURNSIZE",CustOrdOpt,6,FALSE)="","0",bpLOOKUP(Data!$AV21,"RETURNSIZE",CustOrdOpt,6,FALSE)))</f>
        <v>0</v>
      </c>
      <c r="Z21" s="59" t="str">
        <f t="array" ref="Z21">bpLOOKUP(Data!$AV21,"TRACKTYPE",CustOrdOpt,6,FALSE)</f>
        <v>Wavefold Hand Operation</v>
      </c>
      <c r="AA21" s="59" t="str">
        <f t="array" ref="AA21">bpLOOKUP(Data!$AV21,"TRACKCOLOUR",CustOrdOpt,6,FALSE)</f>
        <v>White</v>
      </c>
      <c r="AB21" s="59" t="str">
        <f t="array" ref="AB21">bpLOOKUP(Data!$AV21,"CORDOP",CustOrdOpt,6,FALSE)</f>
        <v>Hand Operation</v>
      </c>
      <c r="AC21" s="59" t="str">
        <f t="array" ref="AC21">bpLOOKUP(Data!$AV21,"CONTROL",CustOrdOpt,6,FALSE)</f>
        <v/>
      </c>
      <c r="AD21" s="59" t="str">
        <f t="array" ref="AD21">bpLOOKUP(Data!$AV21,"BRACKETS",CustOrdOpt,6,FALSE)</f>
        <v>Single Face Fix Brackets</v>
      </c>
      <c r="AE21" s="59" t="str">
        <f t="array" ref="AE21">bpLOOKUP(Data!$AV21,"FINIALS",CustOrdOpt,6,FALSE)</f>
        <v/>
      </c>
      <c r="AF21" s="59" t="str">
        <f t="array" ref="AF21">bpLOOKUP(Data!$AV21,"HANGERQTY",CustOrdOpt,6,FALSE)</f>
        <v/>
      </c>
      <c r="AG21" s="59" t="str">
        <f t="array" ref="AG21">bpLOOKUP(Data!$AV21,"HANGERL",CustOrdOpt,6,FALSE)</f>
        <v/>
      </c>
      <c r="AH21" s="59" t="str">
        <f t="array" ref="AH21">bpLOOKUP(Data!$AV21,"FLICKSTICKS",CustOrdOpt,6,FALSE)</f>
        <v>White Aluminium Flick Sticks 125cm</v>
      </c>
      <c r="AI21" s="59" t="str">
        <f t="array" ref="AI21">bpLOOKUP(Data!$AV21,"TRACKSHAPE",CustOrdOpt,6,FALSE)</f>
        <v>Straight</v>
      </c>
      <c r="AJ21" s="59" t="str">
        <f t="array" ref="AJ21">bpLOOKUP(Data!$AV21,"BENDS",CustOrdOpt,6,FALSE)</f>
        <v/>
      </c>
      <c r="AK21" s="59" t="str">
        <f t="array" ref="AK21">bpLOOKUP(Data!$AV21,"1STBENDSH",CustOrdOpt,6,FALSE)</f>
        <v/>
      </c>
      <c r="AL21" s="59" t="str">
        <f t="array" ref="AL21">bpLOOKUP(Data!$AV21,"1STBEND",CustOrdOpt,6,FALSE)</f>
        <v/>
      </c>
      <c r="AM21" s="59" t="str">
        <f t="array" ref="AM21">bpLOOKUP(Data!$AV21,"1STBENDA",CustOrdOpt,6,FALSE)</f>
        <v/>
      </c>
      <c r="AN21" s="59" t="str">
        <f t="array" ref="AN21">bpLOOKUP(Data!$AV21,"2NDBENDSH",CustOrdOpt,6,FALSE)</f>
        <v/>
      </c>
      <c r="AO21" s="59" t="str">
        <f t="array" ref="AO21">bpLOOKUP(Data!$AV21,"2NDBEND",CustOrdOpt,6,FALSE)</f>
        <v/>
      </c>
      <c r="AP21" s="59" t="str">
        <f t="array" ref="AP21">bpLOOKUP(Data!$AV21,"2NDBENDA",CustOrdOpt,6,FALSE)</f>
        <v/>
      </c>
      <c r="AQ21" s="59" t="str">
        <f t="array" ref="AQ21">bpLOOKUP(Data!$AV21,"3RDBENDSH",CustOrdOpt,6,FALSE)</f>
        <v/>
      </c>
      <c r="AR21" s="59" t="str">
        <f t="array" ref="AR21">bpLOOKUP(Data!$AV21,"3RDBEND",CustOrdOpt,6,FALSE)</f>
        <v/>
      </c>
      <c r="AS21" s="59" t="str">
        <f t="array" ref="AS21">bpLOOKUP(Data!$AV21,"3RDBENDA",CustOrdOpt,6,FALSE)</f>
        <v/>
      </c>
      <c r="AT21" s="59" t="str">
        <f t="array" ref="AT21">bpLOOKUP(Data!$AV21,"4THBENDSH",CustOrdOpt,6,FALSE)</f>
        <v/>
      </c>
      <c r="AU21" s="59" t="str">
        <f t="array" ref="AU21">bpLOOKUP(Data!$AV21,"4THBEND",CustOrdOpt,6,FALSE)</f>
        <v/>
      </c>
      <c r="AV21" s="59" t="str">
        <f t="array" ref="AV21">bpLOOKUP(Data!$AV21,"4THBENDA",CustOrdOpt,6,FALSE)</f>
        <v/>
      </c>
      <c r="AW21" s="59" t="str">
        <f t="array" ref="AW21">bpLOOKUP(Data!$AV21,"SIDEBYSIDE",CustOrdOpt,6,FALSE)</f>
        <v>Butt</v>
      </c>
      <c r="AX21" s="59" t="str">
        <f t="array" ref="AX21">IF(bpLOOKUP(Data!$AV21,"PELTYPE",CustOrdOpt,6,FALSE)="None","",bpLOOKUP(Data!$AV21,"PELTYPE",CustOrdOpt,6,FALSE))</f>
        <v/>
      </c>
      <c r="AY21" s="111" t="str">
        <f t="array" ref="AY21">bpLOOKUP(Data!$AV21,"ADDWIDTH",CustOrdOpt,6,FALSE)</f>
        <v/>
      </c>
      <c r="AZ21" s="59" t="str">
        <f t="array" ref="AZ21">bpLOOKUP(Data!$AV21,"PELSHAPE",CustOrdOpt,6,FALSE)</f>
        <v/>
      </c>
      <c r="BA21" s="59" t="str">
        <f t="array" ref="BA21">bpLOOKUP(Data!$AV21,"PELFACE",CustOrdOpt,6,FALSE)</f>
        <v/>
      </c>
      <c r="BB21" s="59" t="str">
        <f t="array" ref="BB21">bpLOOKUP(Data!$AV21,"PELRETURN",CustOrdOpt,6,FALSE)</f>
        <v/>
      </c>
      <c r="BC21" s="59" t="str">
        <f t="array" ref="BC21">bpLOOKUP(Data!$AV21,"PELRETURNSIZE",CustOrdOpt,6,FALSE)</f>
        <v/>
      </c>
      <c r="BD21" s="59" t="str">
        <f t="array" ref="BD21">bpLOOKUP(Data!$AV21,"HBSIZE",CustOrdOpt,6,FALSE)</f>
        <v/>
      </c>
      <c r="BE21" s="59" t="str">
        <f t="array" ref="BE21">bpLOOKUP(Data!$AV21,"PIPING",CustOrdOpt,6,FALSE)</f>
        <v/>
      </c>
      <c r="BF21" s="59" t="str">
        <f t="array" ref="BF21">IF(Data!AW21="","",IF(bpLOOKUP(Data!$AV21,"TIEBACKS",CustOrdOpt,6,FALSE)="None","",bpLOOKUP(Data!$AV21,"TIEBACKS",CustOrdOpt,6,FALSE)))</f>
        <v/>
      </c>
      <c r="BG21" s="59" t="str">
        <f t="array" ref="BG21">bpLOOKUP(Data!$AV21,"TIEBACKHOOK",CustOrdOpt,6,FALSE)</f>
        <v/>
      </c>
      <c r="BH21" s="52" t="str">
        <f>IF(Data!BA21="","",VLOOKUP(CONCATENATE(Z21,AA21,AI21),TBSTracks,2,FALSE))</f>
        <v>DBS to Make</v>
      </c>
      <c r="BI21" s="59" t="str">
        <f t="array" ref="BI21">bpLOOKUP(Data!$AV21,"INSTALLATION",CustOrdOpt,6,FALSE)</f>
        <v>Curtain &amp; Track Installation</v>
      </c>
      <c r="BJ21" s="59" t="str">
        <f t="array" ref="BJ21">bpLOOKUP(Data!$AV21,"HANGHEIGHT",CustOrdOpt,6,FALSE)</f>
        <v>2.4m-2.7m</v>
      </c>
      <c r="BK21" s="59" t="str">
        <f t="array" ref="BK21">bpLOOKUP(Data!$AV21,"INSTALLG",CustOrdOpt,6,FALSE)</f>
        <v>Occupied Home</v>
      </c>
      <c r="BL21" s="59" t="str">
        <f t="array" ref="BL21">bpLOOKUP(Data!$AV21,"TAKEDOWN",CustOrdOpt,6,FALSE)</f>
        <v>No</v>
      </c>
      <c r="BM21" s="59" t="str">
        <f t="array" ref="BM21">bpLOOKUP(Data!$AV21,"CHECKM",CustOrdOpt,6,FALSE)</f>
        <v>No</v>
      </c>
      <c r="BN21" s="59" t="str">
        <f t="array" ref="BN21">bpLOOKUP(Data!$AV21,"NOTES",CustOrdOpt,6,FALSE)</f>
        <v>Alteration to curtain drop</v>
      </c>
      <c r="BO21" s="187"/>
      <c r="BP21" s="51">
        <f>IF(Data!BA21="","",IF(AND(F21="Opening",AI21="Bent"),Data!BA21-VLOOKUP(I21,FitDeduct,2,FALSE)-VLOOKUP(AW21,SideDeduct,2,FALSE)-CC21+55,IF(F21="Opening",Data!BA21-VLOOKUP(I21,FitDeduct,2,FALSE)-VLOOKUP(AW21,SideDeduct,2,FALSE)+55,IF(F21="Curtin Making Size",Data!BA21,IF(F21="Track Making Size",Data!BA21)+55))))</f>
        <v>3005</v>
      </c>
      <c r="BQ21" s="51">
        <f>IF(Data!BB21="","",IF(J21="Finished Drop",G21,IF(H21="Opening",Data!BB21-VLOOKUP(CONCATENATE(D21,Z21,R21,AD21),Hook,5,FALSE)-VLOOKUP(K21,Flooring,2,FALSE)-VLOOKUP(L21,Heightofffloor,2,FALSE)+IF(Q21="75mm Tape mounted 20mm from Top",10)+IF(Q21="75mm Tape mounted 25mm from Top",15)+IF(Q21="50mm Tape mounted 20mm from Top",10),IF(H21="Making",Data!BB21,""))))</f>
        <v>2215</v>
      </c>
      <c r="BR21" s="110" t="str">
        <f t="array" ref="BR21">bpLOOKUP(Data!$AV21,"NOTEDROPS",CustOrdOpt,6,FALSE)</f>
        <v/>
      </c>
      <c r="BS21" s="59">
        <f>IF(Data!AV21="","",IFERROR(VLOOKUP(B21,Fabrics,3,FALSE),0)/10)</f>
        <v>320</v>
      </c>
      <c r="BT21" s="59" t="str">
        <f>IF(F21="Track Making Size",AL21,IF(AND(F21="Opening",AI21="Bent",IFERROR(VALUE(AJ21),0)&gt;=1),ROUND(IFERROR(VALUE(AL21),0)-CD21/2,0),""))</f>
        <v/>
      </c>
      <c r="BU21" s="59" t="str">
        <f>IF(F21="Track Making Size",AO21,IF(AND(F21="Opening",AI21="Bent",IFERROR(VALUE(AJ21),0)&gt;=2),ROUND(IFERROR(VALUE(AO21),0)-(CD21+CE21/2),0),""))</f>
        <v/>
      </c>
      <c r="BV21" s="59" t="str">
        <f>IF(F21="Track Making Size",AR21,IF(AND(F21="Opening",AI21="Bent",IFERROR(VALUE(AJ21),0)&gt;=3),ROUND(IFERROR(VALUE(AR21),0)-(CD21+CE21+CF21/2),0),""))</f>
        <v/>
      </c>
      <c r="BW21" s="59" t="str">
        <f>IF(F21="Track Making Size",AU21,IF(AND(F21="Opening",AI21="Bent",IFERROR(VALUE(AJ21),0)&gt;=4),ROUND(IFERROR(VALUE(AU21),0)-(CD21+CE21+CF21+CG21/2),0),""))</f>
        <v/>
      </c>
      <c r="BX21" s="59" t="str">
        <f>IF(Data!AV21="","",IF(VLOOKUP(CONCATENATE(Z21,AA21,AI21),TBSTracks,4,FALSE)="0","0",IF(OR(S21="Centre Opening",S21="Centre Opening - Free Flowing",S21="Centre Opening (Offset Split)",S21="Centre Opening - Free Flowing (Offset Split)"),VLOOKUP(CONCATENATE(Z21,AA21,AI21),TBSTracks,4,FALSE),"0")))</f>
        <v>0</v>
      </c>
      <c r="BY21" s="59" t="str">
        <f>IF(OR(BH21="Track from TBS",BH21="Track from Vanda"),"",IF(OR(Z21="Existing Normal S-Fold Track",P21="Wavefold (Standard Fullness x 2)",P21="Wavefold (Less Fullness x 1.8)",P21="Wavefold (Extra Fullness x 2.2)"),VLOOKUP(CONCATENATE(P21,S21),WavefoldLookUp,2,FALSE),""))</f>
        <v>100% One Way</v>
      </c>
      <c r="BZ21" s="59">
        <f>IF(OR(BY21="Centre Opening 100%",BY21="Centre Opening 120%",BY21="Centre Opening 80%"),VLOOKUP(BP21,COPEN100,2,TRUE),IF(OR(BY21="100% One Way",BY21="120% One Way",BY21="80% One Way"),VLOOKUP(BP21,OneWay100,2,TRUE),""))</f>
        <v>58</v>
      </c>
      <c r="CA21" s="59" t="str">
        <f>IF(BY21="","",VLOOKUP(X21,ReturnLookUp,2,FALSE))</f>
        <v>None</v>
      </c>
      <c r="CB21" s="59">
        <f>IF(Data!AV21="","",IF(VLOOKUP(CONCATENATE(Z21,AA21,AI21),TBSTracks,2,FALSE)="DBS to Make",BP21-VLOOKUP(CONCATENATE(Z21,S21),Operation,2,FALSE)-VLOOKUP(CONCATENATE(D21,Z21,R21,AD21),Hook,4,FALSE)-55,""))</f>
        <v>2944</v>
      </c>
      <c r="CC21" s="192">
        <f>IF(Data!AV21="","",IF($AI21&lt;&gt;"Bent",0,ROUND(SUM(CD21:CG21),0)))</f>
        <v>0</v>
      </c>
      <c r="CD21" s="192" t="str">
        <f>IF($AI21&lt;&gt;"Bent","",ROUND($CH21*IF(IFERROR(VALUE($AJ21),0)&gt;=1,RADIANS(ABS(180-IFERROR(VALUE($AM21),0)))*IF(LEFT(UPPER(TRIM($AK21)),8)="INTERNAL",1,IF(LEFT(UPPER(TRIM($AK21)),8)="EXTERNAL",-1,0)),0),0))</f>
        <v/>
      </c>
      <c r="CE21" s="192" t="str">
        <f>IF($AI21&lt;&gt;"Bent","",ROUND($CH21*IF(IFERROR(VALUE($AJ21),0)&gt;=2,RADIANS(ABS(180-IFERROR(VALUE($AP21),0)))*IF(LEFT(UPPER(TRIM($AN21)),8)="INTERNAL",1,IF(LEFT(UPPER(TRIM($AN21)),8)="EXTERNAL",-1,0)),0),0))</f>
        <v/>
      </c>
      <c r="CF21" s="192" t="str">
        <f>IF($AI21&lt;&gt;"Bent","",ROUND($CH21*IF(IFERROR(VALUE($AJ21),0)&gt;=3,RADIANS(ABS(180-IFERROR(VALUE($AS21),0)))*IF(LEFT(UPPER(TRIM($AQ21)),8)="INTERNAL",1,IF(LEFT(UPPER(TRIM($AQ21)),8)="EXTERNAL",-1,0)),0),0))</f>
        <v/>
      </c>
      <c r="CG21" s="192" t="str">
        <f>IF($AI21&lt;&gt;"Bent","",ROUND($CH21*IF(IFERROR(VALUE($AJ21),0)&gt;=4,RADIANS(ABS(180-IFERROR(VALUE($AV21),0)))*IF(LEFT(UPPER(TRIM($AT21)),8)="INTERNAL",1,IF(LEFT(UPPER(TRIM($AT21)),8)="EXTERNAL",-1,0)),0),0))</f>
        <v/>
      </c>
      <c r="CH21" s="193">
        <f>IF($AI21&lt;&gt;"Bent",0,IFERROR(VLOOKUP($Z21,SaberTracks,3,FALSE),0)+MAX(IFERROR(VLOOKUP($D21&amp;$AD21,BracketProj,2,FALSE),0)-75,0)*1.25)</f>
        <v>0</v>
      </c>
      <c r="CI21" s="194">
        <f>IF(Data!BA21="","",IF(AND(F21="Opening",AI21="Bent"),VLOOKUP(I21,FitDeduct,2,FALSE)-VLOOKUP(AW21,SideDeduct,2,FALSE)-CC21+55,IF(F21="Opening",VLOOKUP(I21,FitDeduct,2,FALSE)-VLOOKUP(AW21,SideDeduct,2,FALSE)+55,IF(F21="Curtin Making Size",Data!BA21,IF(F21="Track Making Size",55)))))</f>
        <v>-45</v>
      </c>
    </row>
    <row r="22" spans="1:87" s="54" customFormat="1" ht="150">
      <c r="A22" s="300">
        <f>Data!AW22</f>
        <v>39</v>
      </c>
      <c r="B22" s="297" t="str">
        <f>IF(Data!BE22="","",MID(Data!BE22,6,80))</f>
        <v>Filigree Simplicity 300cm (Continuous) Lining Off White</v>
      </c>
      <c r="C22" s="297" t="str">
        <f>Data!AY22</f>
        <v>Master Door ALTERATION</v>
      </c>
      <c r="D22" s="106" t="str">
        <f t="array" ref="D22">bpLOOKUP(Data!$AV22,"SINGLE",CustOrdOpt,6,FALSE)</f>
        <v>Double Rear</v>
      </c>
      <c r="E22" s="107">
        <f>SUM(Data!BA22)</f>
        <v>3502</v>
      </c>
      <c r="F22" s="108" t="str">
        <f t="array" ref="F22">bpLOOKUP(Data!$AV22,"Size",CustOrdOpt,6,FALSE)</f>
        <v>Opening</v>
      </c>
      <c r="G22" s="107">
        <f>SUM(Data!BB22)</f>
        <v>2660</v>
      </c>
      <c r="H22" s="108" t="str">
        <f t="array" ref="H22">bpLOOKUP(Data!$AV22,"DROPSIZE",CustOrdOpt,6,FALSE)</f>
        <v>Opening</v>
      </c>
      <c r="I22" s="109" t="str">
        <f t="array" ref="I22">bpLOOKUP(Data!$AV22,"FIT",CustOrdOpt,6,FALSE)</f>
        <v>Face</v>
      </c>
      <c r="J22" s="109" t="str">
        <f t="array" ref="J22">bpLOOKUP(Data!$AV22,"MEASUREDAS",CustOrdOpt,6,FALSE)</f>
        <v>Cornice to Floor</v>
      </c>
      <c r="K22" s="109" t="str">
        <f t="array" ref="K22">bpLOOKUP(Data!$AV22,"FLOORING",CustOrdOpt,6,FALSE)</f>
        <v>Yes</v>
      </c>
      <c r="L22" s="109" t="str">
        <f t="array" ref="L22">bpLOOKUP(Data!$AV22,"HEIGHTOFFFLOOR",CustOrdOpt,6,FALSE)</f>
        <v>Just off the Floor</v>
      </c>
      <c r="M22" s="59" t="str">
        <f t="array" ref="M22">bpLOOKUP(Data!$AV22,"CURTAIN",CustOrdOpt,6,FALSE)</f>
        <v>No Lining</v>
      </c>
      <c r="N22" s="59" t="str">
        <f t="array" ref="N22">bpLOOKUP(Data!$AV22,"LININGCOLOUR",CustOrdOpt,6,FALSE)</f>
        <v/>
      </c>
      <c r="O22" s="59" t="str">
        <f t="array" ref="O22">bpLOOKUP(Data!$AV22,"COLLININGF",CustOrdOpt,6,FALSE)</f>
        <v/>
      </c>
      <c r="P22" s="59" t="str">
        <f t="array" ref="P22">bpLOOKUP(Data!$AV22,"HEADINGSTYLE",CustOrdOpt,6,FALSE)</f>
        <v>Pencil Pleat (Standard Fullness x 2)</v>
      </c>
      <c r="Q22" s="59" t="str">
        <f t="array" ref="Q22">bpLOOKUP(Data!$AV22,"TAPE",CustOrdOpt,6,FALSE)</f>
        <v>50mm Tape mounted 10mm from Top</v>
      </c>
      <c r="R22" s="59" t="str">
        <f t="array" ref="R22">bpLOOKUP(Data!$AV22,"HOOK",CustOrdOpt,6,FALSE)</f>
        <v>Gather Hook Level</v>
      </c>
      <c r="S22" s="59" t="str">
        <f t="array" ref="S22">bpLOOKUP(Data!$AV22,"OPENING",CustOrdOpt,6,FALSE)</f>
        <v>Centre Opening</v>
      </c>
      <c r="T22" s="59" t="str">
        <f t="array" ref="T22">bpLOOKUP(Data!$AV22,"OFFSETL",CustOrdOpt,6,FALSE)</f>
        <v/>
      </c>
      <c r="U22" s="59" t="str">
        <f t="array" ref="U22">bpLOOKUP(Data!$AV22,"OFFSETR",CustOrdOpt,6,FALSE)</f>
        <v/>
      </c>
      <c r="V22" s="59" t="str">
        <f t="array" ref="V22">bpLOOKUP(Data!$AV22,"OFFSET",CustOrdOpt,6,FALSE)</f>
        <v/>
      </c>
      <c r="W22" s="59" t="str">
        <f t="array" ref="W22">bpLOOKUP(Data!$AV22,"HEM",CustOrdOpt,6,FALSE)</f>
        <v>Standard 75mm</v>
      </c>
      <c r="X22" s="59" t="str">
        <f t="array" ref="X22">bpLOOKUP(Data!$AV22,"RETURNS",CustOrdOpt,6,FALSE)</f>
        <v>None</v>
      </c>
      <c r="Y22" s="59" t="str">
        <f t="array" ref="Y22">IF(Data!AX22="","",IF(bpLOOKUP(Data!$AV22,"RETURNSIZE",CustOrdOpt,6,FALSE)="","0",bpLOOKUP(Data!$AV22,"RETURNSIZE",CustOrdOpt,6,FALSE)))</f>
        <v>0</v>
      </c>
      <c r="Z22" s="59" t="str">
        <f t="array" ref="Z22">bpLOOKUP(Data!$AV22,"TRACKTYPE",CustOrdOpt,6,FALSE)</f>
        <v>Streamline Hand Operation</v>
      </c>
      <c r="AA22" s="59" t="str">
        <f t="array" ref="AA22">bpLOOKUP(Data!$AV22,"TRACKCOLOUR",CustOrdOpt,6,FALSE)</f>
        <v>White</v>
      </c>
      <c r="AB22" s="59" t="str">
        <f t="array" ref="AB22">bpLOOKUP(Data!$AV22,"CORDOP",CustOrdOpt,6,FALSE)</f>
        <v>Hand Operation</v>
      </c>
      <c r="AC22" s="59" t="str">
        <f t="array" ref="AC22">bpLOOKUP(Data!$AV22,"CONTROL",CustOrdOpt,6,FALSE)</f>
        <v/>
      </c>
      <c r="AD22" s="59" t="str">
        <f t="array" ref="AD22">bpLOOKUP(Data!$AV22,"BRACKETS",CustOrdOpt,6,FALSE)</f>
        <v>Triple Face Fix Brackets</v>
      </c>
      <c r="AE22" s="59" t="str">
        <f t="array" ref="AE22">bpLOOKUP(Data!$AV22,"FINIALS",CustOrdOpt,6,FALSE)</f>
        <v/>
      </c>
      <c r="AF22" s="59" t="str">
        <f t="array" ref="AF22">bpLOOKUP(Data!$AV22,"HANGERQTY",CustOrdOpt,6,FALSE)</f>
        <v/>
      </c>
      <c r="AG22" s="59" t="str">
        <f t="array" ref="AG22">bpLOOKUP(Data!$AV22,"HANGERL",CustOrdOpt,6,FALSE)</f>
        <v/>
      </c>
      <c r="AH22" s="59" t="str">
        <f t="array" ref="AH22">bpLOOKUP(Data!$AV22,"FLICKSTICKS",CustOrdOpt,6,FALSE)</f>
        <v>White Aluminium Flick Sticks 125cm</v>
      </c>
      <c r="AI22" s="59" t="str">
        <f t="array" ref="AI22">bpLOOKUP(Data!$AV22,"TRACKSHAPE",CustOrdOpt,6,FALSE)</f>
        <v>Straight</v>
      </c>
      <c r="AJ22" s="59" t="str">
        <f t="array" ref="AJ22">bpLOOKUP(Data!$AV22,"BENDS",CustOrdOpt,6,FALSE)</f>
        <v/>
      </c>
      <c r="AK22" s="59" t="str">
        <f t="array" ref="AK22">bpLOOKUP(Data!$AV22,"1STBENDSH",CustOrdOpt,6,FALSE)</f>
        <v/>
      </c>
      <c r="AL22" s="59" t="str">
        <f t="array" ref="AL22">bpLOOKUP(Data!$AV22,"1STBEND",CustOrdOpt,6,FALSE)</f>
        <v/>
      </c>
      <c r="AM22" s="59" t="str">
        <f t="array" ref="AM22">bpLOOKUP(Data!$AV22,"1STBENDA",CustOrdOpt,6,FALSE)</f>
        <v/>
      </c>
      <c r="AN22" s="59" t="str">
        <f t="array" ref="AN22">bpLOOKUP(Data!$AV22,"2NDBENDSH",CustOrdOpt,6,FALSE)</f>
        <v/>
      </c>
      <c r="AO22" s="59" t="str">
        <f t="array" ref="AO22">bpLOOKUP(Data!$AV22,"2NDBEND",CustOrdOpt,6,FALSE)</f>
        <v/>
      </c>
      <c r="AP22" s="59" t="str">
        <f t="array" ref="AP22">bpLOOKUP(Data!$AV22,"2NDBENDA",CustOrdOpt,6,FALSE)</f>
        <v/>
      </c>
      <c r="AQ22" s="59" t="str">
        <f t="array" ref="AQ22">bpLOOKUP(Data!$AV22,"3RDBENDSH",CustOrdOpt,6,FALSE)</f>
        <v/>
      </c>
      <c r="AR22" s="59" t="str">
        <f t="array" ref="AR22">bpLOOKUP(Data!$AV22,"3RDBEND",CustOrdOpt,6,FALSE)</f>
        <v/>
      </c>
      <c r="AS22" s="59" t="str">
        <f t="array" ref="AS22">bpLOOKUP(Data!$AV22,"3RDBENDA",CustOrdOpt,6,FALSE)</f>
        <v/>
      </c>
      <c r="AT22" s="59" t="str">
        <f t="array" ref="AT22">bpLOOKUP(Data!$AV22,"4THBENDSH",CustOrdOpt,6,FALSE)</f>
        <v/>
      </c>
      <c r="AU22" s="59" t="str">
        <f t="array" ref="AU22">bpLOOKUP(Data!$AV22,"4THBEND",CustOrdOpt,6,FALSE)</f>
        <v/>
      </c>
      <c r="AV22" s="59" t="str">
        <f t="array" ref="AV22">bpLOOKUP(Data!$AV22,"4THBENDA",CustOrdOpt,6,FALSE)</f>
        <v/>
      </c>
      <c r="AW22" s="59" t="str">
        <f t="array" ref="AW22">bpLOOKUP(Data!$AV22,"SIDEBYSIDE",CustOrdOpt,6,FALSE)</f>
        <v>Wall to Wall</v>
      </c>
      <c r="AX22" s="59" t="str">
        <f t="array" ref="AX22">IF(bpLOOKUP(Data!$AV22,"PELTYPE",CustOrdOpt,6,FALSE)="None","",bpLOOKUP(Data!$AV22,"PELTYPE",CustOrdOpt,6,FALSE))</f>
        <v/>
      </c>
      <c r="AY22" s="111" t="str">
        <f t="array" ref="AY22">bpLOOKUP(Data!$AV22,"ADDWIDTH",CustOrdOpt,6,FALSE)</f>
        <v/>
      </c>
      <c r="AZ22" s="59" t="str">
        <f t="array" ref="AZ22">bpLOOKUP(Data!$AV22,"PELSHAPE",CustOrdOpt,6,FALSE)</f>
        <v/>
      </c>
      <c r="BA22" s="59" t="str">
        <f t="array" ref="BA22">bpLOOKUP(Data!$AV22,"PELFACE",CustOrdOpt,6,FALSE)</f>
        <v/>
      </c>
      <c r="BB22" s="59" t="str">
        <f t="array" ref="BB22">bpLOOKUP(Data!$AV22,"PELRETURN",CustOrdOpt,6,FALSE)</f>
        <v/>
      </c>
      <c r="BC22" s="59" t="str">
        <f t="array" ref="BC22">bpLOOKUP(Data!$AV22,"PELRETURNSIZE",CustOrdOpt,6,FALSE)</f>
        <v/>
      </c>
      <c r="BD22" s="59" t="str">
        <f t="array" ref="BD22">bpLOOKUP(Data!$AV22,"HBSIZE",CustOrdOpt,6,FALSE)</f>
        <v/>
      </c>
      <c r="BE22" s="59" t="str">
        <f t="array" ref="BE22">bpLOOKUP(Data!$AV22,"PIPING",CustOrdOpt,6,FALSE)</f>
        <v/>
      </c>
      <c r="BF22" s="59" t="str">
        <f t="array" ref="BF22">IF(Data!AW22="","",IF(bpLOOKUP(Data!$AV22,"TIEBACKS",CustOrdOpt,6,FALSE)="None","",bpLOOKUP(Data!$AV22,"TIEBACKS",CustOrdOpt,6,FALSE)))</f>
        <v/>
      </c>
      <c r="BG22" s="59" t="str">
        <f t="array" ref="BG22">bpLOOKUP(Data!$AV22,"TIEBACKHOOK",CustOrdOpt,6,FALSE)</f>
        <v/>
      </c>
      <c r="BH22" s="52" t="str">
        <f>IF(Data!BA22="","",VLOOKUP(CONCATENATE(Z22,AA22,AI22),TBSTracks,2,FALSE))</f>
        <v>DBS to Make</v>
      </c>
      <c r="BI22" s="59" t="str">
        <f t="array" ref="BI22">bpLOOKUP(Data!$AV22,"INSTALLATION",CustOrdOpt,6,FALSE)</f>
        <v>Curtain &amp; Track Installation</v>
      </c>
      <c r="BJ22" s="59" t="str">
        <f t="array" ref="BJ22">bpLOOKUP(Data!$AV22,"HANGHEIGHT",CustOrdOpt,6,FALSE)</f>
        <v>2.4m-2.7m</v>
      </c>
      <c r="BK22" s="59" t="str">
        <f t="array" ref="BK22">bpLOOKUP(Data!$AV22,"INSTALLG",CustOrdOpt,6,FALSE)</f>
        <v>Occupied Home</v>
      </c>
      <c r="BL22" s="59" t="str">
        <f t="array" ref="BL22">bpLOOKUP(Data!$AV22,"TAKEDOWN",CustOrdOpt,6,FALSE)</f>
        <v>No</v>
      </c>
      <c r="BM22" s="59" t="str">
        <f t="array" ref="BM22">bpLOOKUP(Data!$AV22,"CHECKM",CustOrdOpt,6,FALSE)</f>
        <v>No</v>
      </c>
      <c r="BN22" s="59" t="str">
        <f t="array" ref="BN22">bpLOOKUP(Data!$AV22,"NOTES",CustOrdOpt,6,FALSE)</f>
        <v>Alteration to curtain drop</v>
      </c>
      <c r="BO22" s="187"/>
      <c r="BP22" s="51">
        <f>IF(Data!BA22="","",IF(AND(F22="Opening",AI22="Bent"),Data!BA22-VLOOKUP(I22,FitDeduct,2,FALSE)-VLOOKUP(AW22,SideDeduct,2,FALSE)-CC22+55,IF(F22="Opening",Data!BA22-VLOOKUP(I22,FitDeduct,2,FALSE)-VLOOKUP(AW22,SideDeduct,2,FALSE)+55,IF(F22="Curtin Making Size",Data!BA22,IF(F22="Track Making Size",Data!BA22)+55))))</f>
        <v>3537</v>
      </c>
      <c r="BQ22" s="51">
        <f>IF(Data!BB22="","",IF(J22="Finished Drop",G22,IF(H22="Opening",Data!BB22-VLOOKUP(CONCATENATE(D22,Z22,R22,AD22),Hook,5,FALSE)-VLOOKUP(K22,Flooring,2,FALSE)-VLOOKUP(L22,Heightofffloor,2,FALSE)+IF(Q22="75mm Tape mounted 20mm from Top",10)+IF(Q22="75mm Tape mounted 25mm from Top",15)+IF(Q22="50mm Tape mounted 20mm from Top",10),IF(H22="Making",Data!BB22,""))))</f>
        <v>2630</v>
      </c>
      <c r="BR22" s="110" t="str">
        <f t="array" ref="BR22">bpLOOKUP(Data!$AV22,"NOTEDROPS",CustOrdOpt,6,FALSE)</f>
        <v/>
      </c>
      <c r="BS22" s="59">
        <f>IF(Data!AV22="","",IFERROR(VLOOKUP(B22,Fabrics,3,FALSE),0)/10)</f>
        <v>300</v>
      </c>
      <c r="BT22" s="59" t="str">
        <f>IF(F22="Track Making Size",AL22,IF(AND(F22="Opening",AI22="Bent",IFERROR(VALUE(AJ22),0)&gt;=1),ROUND(IFERROR(VALUE(AL22),0)-CD22/2,0),""))</f>
        <v/>
      </c>
      <c r="BU22" s="59" t="str">
        <f>IF(F22="Track Making Size",AO22,IF(AND(F22="Opening",AI22="Bent",IFERROR(VALUE(AJ22),0)&gt;=2),ROUND(IFERROR(VALUE(AO22),0)-(CD22+CE22/2),0),""))</f>
        <v/>
      </c>
      <c r="BV22" s="59" t="str">
        <f>IF(F22="Track Making Size",AR22,IF(AND(F22="Opening",AI22="Bent",IFERROR(VALUE(AJ22),0)&gt;=3),ROUND(IFERROR(VALUE(AR22),0)-(CD22+CE22+CF22/2),0),""))</f>
        <v/>
      </c>
      <c r="BW22" s="59" t="str">
        <f>IF(F22="Track Making Size",AU22,IF(AND(F22="Opening",AI22="Bent",IFERROR(VALUE(AJ22),0)&gt;=4),ROUND(IFERROR(VALUE(AU22),0)-(CD22+CE22+CF22+CG22/2),0),""))</f>
        <v/>
      </c>
      <c r="BX22" s="59">
        <f>IF(Data!AV22="","",IF(VLOOKUP(CONCATENATE(Z22,AA22,AI22),TBSTracks,4,FALSE)="0","0",IF(OR(S22="Centre Opening",S22="Centre Opening - Free Flowing",S22="Centre Opening (Offset Split)",S22="Centre Opening - Free Flowing (Offset Split)"),VLOOKUP(CONCATENATE(Z22,AA22,AI22),TBSTracks,4,FALSE),"0")))</f>
        <v>200</v>
      </c>
      <c r="BY22" s="59" t="str">
        <f>IF(OR(BH22="Track from TBS",BH22="Track from Vanda"),"",IF(OR(Z22="Existing Normal S-Fold Track",P22="Wavefold (Standard Fullness x 2)",P22="Wavefold (Less Fullness x 1.8)",P22="Wavefold (Extra Fullness x 2.2)"),VLOOKUP(CONCATENATE(P22,S22),WavefoldLookUp,2,FALSE),""))</f>
        <v/>
      </c>
      <c r="BZ22" s="59" t="str">
        <f>IF(OR(BY22="Centre Opening 100%",BY22="Centre Opening 120%",BY22="Centre Opening 80%"),VLOOKUP(BP22,COPEN100,2,TRUE),IF(OR(BY22="100% One Way",BY22="120% One Way",BY22="80% One Way"),VLOOKUP(BP22,OneWay100,2,TRUE),""))</f>
        <v/>
      </c>
      <c r="CA22" s="59" t="str">
        <f>IF(BY22="","",VLOOKUP(X22,ReturnLookUp,2,FALSE))</f>
        <v/>
      </c>
      <c r="CB22" s="59">
        <f>IF(Data!AV22="","",IF(VLOOKUP(CONCATENATE(Z22,AA22,AI22),TBSTracks,2,FALSE)="DBS to Make",BP22-VLOOKUP(CONCATENATE(Z22,S22),Operation,2,FALSE)-VLOOKUP(CONCATENATE(D22,Z22,R22,AD22),Hook,4,FALSE)-55,""))</f>
        <v>3476</v>
      </c>
      <c r="CC22" s="192">
        <f>IF(Data!AV22="","",IF($AI22&lt;&gt;"Bent",0,ROUND(SUM(CD22:CG22),0)))</f>
        <v>0</v>
      </c>
      <c r="CD22" s="192" t="str">
        <f>IF($AI22&lt;&gt;"Bent","",ROUND($CH22*IF(IFERROR(VALUE($AJ22),0)&gt;=1,RADIANS(ABS(180-IFERROR(VALUE($AM22),0)))*IF(LEFT(UPPER(TRIM($AK22)),8)="INTERNAL",1,IF(LEFT(UPPER(TRIM($AK22)),8)="EXTERNAL",-1,0)),0),0))</f>
        <v/>
      </c>
      <c r="CE22" s="192" t="str">
        <f>IF($AI22&lt;&gt;"Bent","",ROUND($CH22*IF(IFERROR(VALUE($AJ22),0)&gt;=2,RADIANS(ABS(180-IFERROR(VALUE($AP22),0)))*IF(LEFT(UPPER(TRIM($AN22)),8)="INTERNAL",1,IF(LEFT(UPPER(TRIM($AN22)),8)="EXTERNAL",-1,0)),0),0))</f>
        <v/>
      </c>
      <c r="CF22" s="192" t="str">
        <f>IF($AI22&lt;&gt;"Bent","",ROUND($CH22*IF(IFERROR(VALUE($AJ22),0)&gt;=3,RADIANS(ABS(180-IFERROR(VALUE($AS22),0)))*IF(LEFT(UPPER(TRIM($AQ22)),8)="INTERNAL",1,IF(LEFT(UPPER(TRIM($AQ22)),8)="EXTERNAL",-1,0)),0),0))</f>
        <v/>
      </c>
      <c r="CG22" s="192" t="str">
        <f>IF($AI22&lt;&gt;"Bent","",ROUND($CH22*IF(IFERROR(VALUE($AJ22),0)&gt;=4,RADIANS(ABS(180-IFERROR(VALUE($AV22),0)))*IF(LEFT(UPPER(TRIM($AT22)),8)="INTERNAL",1,IF(LEFT(UPPER(TRIM($AT22)),8)="EXTERNAL",-1,0)),0),0))</f>
        <v/>
      </c>
      <c r="CH22" s="193">
        <f>IF($AI22&lt;&gt;"Bent",0,IFERROR(VLOOKUP($Z22,SaberTracks,3,FALSE),0)+MAX(IFERROR(VLOOKUP($D22&amp;$AD22,BracketProj,2,FALSE),0)-75,0)*1.25)</f>
        <v>0</v>
      </c>
      <c r="CI22" s="194">
        <f>IF(Data!BA22="","",IF(AND(F22="Opening",AI22="Bent"),VLOOKUP(I22,FitDeduct,2,FALSE)-VLOOKUP(AW22,SideDeduct,2,FALSE)-CC22+55,IF(F22="Opening",VLOOKUP(I22,FitDeduct,2,FALSE)-VLOOKUP(AW22,SideDeduct,2,FALSE)+55,IF(F22="Curtin Making Size",Data!BA22,IF(F22="Track Making Size",55)))))</f>
        <v>35</v>
      </c>
    </row>
    <row r="23" spans="1:38" s="54" customFormat="1" ht="60" customHeight="1">
      <c r="A23" s="55"/>
      <c r="B23" s="55"/>
      <c r="C23" s="55"/>
      <c r="D23" s="55"/>
      <c r="E23" s="55"/>
      <c r="F23" s="55"/>
      <c r="G23" s="55"/>
      <c r="H23" s="55"/>
      <c r="I23" s="55"/>
      <c r="J23" s="56"/>
      <c r="K23" s="56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</row>
    <row r="24" spans="1:38" s="54" customFormat="1" ht="60" customHeight="1">
      <c r="A24" s="55"/>
      <c r="B24" s="55"/>
      <c r="C24" s="55"/>
      <c r="D24" s="55"/>
      <c r="E24" s="55"/>
      <c r="F24" s="55"/>
      <c r="G24" s="55"/>
      <c r="H24" s="55"/>
      <c r="I24" s="55"/>
      <c r="J24" s="56"/>
      <c r="K24" s="56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</row>
    <row r="25" spans="1:38" s="54" customFormat="1" ht="60" customHeight="1">
      <c r="A25" s="55"/>
      <c r="B25" s="55"/>
      <c r="C25" s="55"/>
      <c r="D25" s="55"/>
      <c r="E25" s="55"/>
      <c r="F25" s="55"/>
      <c r="G25" s="55"/>
      <c r="H25" s="55"/>
      <c r="I25" s="55"/>
      <c r="J25" s="56"/>
      <c r="K25" s="56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</row>
    <row r="26" spans="1:38" s="54" customFormat="1" ht="60" customHeight="1">
      <c r="A26" s="55"/>
      <c r="B26" s="55"/>
      <c r="C26" s="55"/>
      <c r="D26" s="55"/>
      <c r="E26" s="55"/>
      <c r="F26" s="55"/>
      <c r="G26" s="55"/>
      <c r="H26" s="55"/>
      <c r="I26" s="55"/>
      <c r="J26" s="56"/>
      <c r="K26" s="56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</row>
    <row r="27" spans="1:38" s="54" customFormat="1" ht="60" customHeight="1">
      <c r="A27" s="55"/>
      <c r="B27" s="55"/>
      <c r="C27" s="55"/>
      <c r="D27" s="55"/>
      <c r="E27" s="55"/>
      <c r="F27" s="55"/>
      <c r="G27" s="55"/>
      <c r="H27" s="55"/>
      <c r="I27" s="55"/>
      <c r="J27" s="56"/>
      <c r="K27" s="56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</row>
    <row r="28" spans="1:38" s="54" customFormat="1" ht="60" customHeight="1">
      <c r="A28" s="55"/>
      <c r="B28" s="55"/>
      <c r="C28" s="55"/>
      <c r="D28" s="55"/>
      <c r="E28" s="55"/>
      <c r="F28" s="55"/>
      <c r="G28" s="55"/>
      <c r="H28" s="55"/>
      <c r="I28" s="55"/>
      <c r="J28" s="56"/>
      <c r="K28" s="56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</row>
    <row r="29" spans="1:38" s="54" customFormat="1" ht="60" customHeight="1">
      <c r="A29" s="55"/>
      <c r="B29" s="55"/>
      <c r="C29" s="55"/>
      <c r="D29" s="55"/>
      <c r="E29" s="55"/>
      <c r="F29" s="55"/>
      <c r="G29" s="55"/>
      <c r="H29" s="55"/>
      <c r="I29" s="55"/>
      <c r="J29" s="56"/>
      <c r="K29" s="56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</row>
    <row r="30" spans="1:38" s="54" customFormat="1" ht="60" customHeight="1">
      <c r="A30" s="55"/>
      <c r="B30" s="55"/>
      <c r="C30" s="55"/>
      <c r="D30" s="55"/>
      <c r="E30" s="55"/>
      <c r="F30" s="55"/>
      <c r="G30" s="55"/>
      <c r="H30" s="55"/>
      <c r="I30" s="55"/>
      <c r="J30" s="56"/>
      <c r="K30" s="56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</row>
    <row r="31" spans="1:38" s="54" customFormat="1" ht="60" customHeight="1">
      <c r="A31" s="55"/>
      <c r="B31" s="55"/>
      <c r="C31" s="55"/>
      <c r="D31" s="55"/>
      <c r="E31" s="55"/>
      <c r="F31" s="55"/>
      <c r="G31" s="55"/>
      <c r="H31" s="55"/>
      <c r="I31" s="55"/>
      <c r="J31" s="56"/>
      <c r="K31" s="56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</row>
    <row r="32" spans="1:38" s="54" customFormat="1" ht="60" customHeight="1">
      <c r="A32" s="55"/>
      <c r="B32" s="55"/>
      <c r="C32" s="55"/>
      <c r="D32" s="55"/>
      <c r="E32" s="55"/>
      <c r="F32" s="55"/>
      <c r="G32" s="55"/>
      <c r="H32" s="55"/>
      <c r="I32" s="55"/>
      <c r="J32" s="56"/>
      <c r="K32" s="56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</row>
    <row r="33" spans="1:38" s="54" customFormat="1" ht="60" customHeight="1">
      <c r="A33" s="55"/>
      <c r="B33" s="55"/>
      <c r="C33" s="55"/>
      <c r="D33" s="55"/>
      <c r="E33" s="55"/>
      <c r="F33" s="55"/>
      <c r="G33" s="55"/>
      <c r="H33" s="55"/>
      <c r="I33" s="55"/>
      <c r="J33" s="56"/>
      <c r="K33" s="56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</row>
    <row r="34" spans="1:38" s="54" customFormat="1" ht="60" customHeight="1">
      <c r="A34" s="55"/>
      <c r="B34" s="55"/>
      <c r="C34" s="55"/>
      <c r="D34" s="55"/>
      <c r="E34" s="55"/>
      <c r="F34" s="55"/>
      <c r="G34" s="55"/>
      <c r="H34" s="55"/>
      <c r="I34" s="55"/>
      <c r="J34" s="56"/>
      <c r="K34" s="56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</row>
    <row r="35" spans="1:38" s="54" customFormat="1" ht="60" customHeight="1">
      <c r="A35" s="55"/>
      <c r="B35" s="55"/>
      <c r="C35" s="55"/>
      <c r="D35" s="55"/>
      <c r="E35" s="55"/>
      <c r="F35" s="55"/>
      <c r="G35" s="55"/>
      <c r="H35" s="55"/>
      <c r="I35" s="55"/>
      <c r="J35" s="56"/>
      <c r="K35" s="56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</row>
    <row r="36" spans="1:38" s="54" customFormat="1" ht="60" customHeight="1">
      <c r="A36" s="55"/>
      <c r="B36" s="55"/>
      <c r="C36" s="55"/>
      <c r="D36" s="55"/>
      <c r="E36" s="55"/>
      <c r="F36" s="55"/>
      <c r="G36" s="55"/>
      <c r="H36" s="55"/>
      <c r="I36" s="55"/>
      <c r="J36" s="56"/>
      <c r="K36" s="56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</row>
    <row r="37" spans="1:38" s="54" customFormat="1" ht="60" customHeight="1">
      <c r="A37" s="55"/>
      <c r="B37" s="55"/>
      <c r="C37" s="55"/>
      <c r="D37" s="55"/>
      <c r="E37" s="55"/>
      <c r="F37" s="55"/>
      <c r="G37" s="55"/>
      <c r="H37" s="55"/>
      <c r="I37" s="55"/>
      <c r="J37" s="56"/>
      <c r="K37" s="56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</row>
    <row r="38" spans="1:38" s="54" customFormat="1" ht="60" customHeight="1">
      <c r="A38" s="55"/>
      <c r="B38" s="55"/>
      <c r="C38" s="55"/>
      <c r="D38" s="55"/>
      <c r="E38" s="55"/>
      <c r="F38" s="55"/>
      <c r="G38" s="55"/>
      <c r="H38" s="55"/>
      <c r="I38" s="55"/>
      <c r="J38" s="56"/>
      <c r="K38" s="56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</row>
    <row r="39" spans="1:38" s="54" customFormat="1" ht="60" customHeight="1">
      <c r="A39" s="55"/>
      <c r="B39" s="55"/>
      <c r="C39" s="55"/>
      <c r="D39" s="55"/>
      <c r="E39" s="55"/>
      <c r="F39" s="55"/>
      <c r="G39" s="55"/>
      <c r="H39" s="55"/>
      <c r="I39" s="55"/>
      <c r="J39" s="56"/>
      <c r="K39" s="56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</row>
    <row r="40" spans="1:38" s="54" customFormat="1" ht="60" customHeight="1">
      <c r="A40" s="55"/>
      <c r="B40" s="55"/>
      <c r="C40" s="55"/>
      <c r="D40" s="55"/>
      <c r="E40" s="55"/>
      <c r="F40" s="55"/>
      <c r="G40" s="55"/>
      <c r="H40" s="55"/>
      <c r="I40" s="55"/>
      <c r="J40" s="56"/>
      <c r="K40" s="56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</row>
    <row r="41" spans="1:38" s="54" customFormat="1" ht="60" customHeight="1">
      <c r="A41" s="55"/>
      <c r="B41" s="55"/>
      <c r="C41" s="55"/>
      <c r="D41" s="55"/>
      <c r="E41" s="55"/>
      <c r="F41" s="55"/>
      <c r="G41" s="55"/>
      <c r="H41" s="55"/>
      <c r="I41" s="55"/>
      <c r="J41" s="56"/>
      <c r="K41" s="56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</row>
    <row r="42" spans="1:86" s="54" customFormat="1" ht="60" customHeigh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</row>
    <row r="43" spans="1:38" s="54" customFormat="1" ht="60" customHeight="1">
      <c r="A43" s="55"/>
      <c r="B43" s="55"/>
      <c r="C43" s="55"/>
      <c r="D43" s="55"/>
      <c r="E43" s="55"/>
      <c r="F43" s="55"/>
      <c r="G43" s="55"/>
      <c r="H43" s="55"/>
      <c r="I43" s="55"/>
      <c r="J43" s="56"/>
      <c r="K43" s="56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</row>
    <row r="44" spans="1:38" s="54" customFormat="1" ht="60" customHeight="1">
      <c r="A44" s="55"/>
      <c r="B44" s="55"/>
      <c r="C44" s="55"/>
      <c r="D44" s="55"/>
      <c r="E44" s="55"/>
      <c r="F44" s="55"/>
      <c r="G44" s="55"/>
      <c r="H44" s="55"/>
      <c r="I44" s="55"/>
      <c r="J44" s="56"/>
      <c r="K44" s="56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</row>
    <row r="45" spans="1:38" s="54" customFormat="1" ht="60" customHeight="1">
      <c r="A45" s="55"/>
      <c r="B45" s="55"/>
      <c r="C45" s="55"/>
      <c r="D45" s="55"/>
      <c r="E45" s="55"/>
      <c r="F45" s="55"/>
      <c r="G45" s="55"/>
      <c r="H45" s="55"/>
      <c r="I45" s="55"/>
      <c r="J45" s="56"/>
      <c r="K45" s="56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</row>
    <row r="46" spans="1:38" s="54" customFormat="1" ht="60" customHeight="1">
      <c r="A46" s="55"/>
      <c r="B46" s="55"/>
      <c r="C46" s="55"/>
      <c r="D46" s="55"/>
      <c r="E46" s="55"/>
      <c r="F46" s="55"/>
      <c r="G46" s="55"/>
      <c r="H46" s="55"/>
      <c r="I46" s="55"/>
      <c r="J46" s="56"/>
      <c r="K46" s="56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</row>
    <row r="47" spans="1:38" s="54" customFormat="1" ht="60" customHeight="1">
      <c r="A47" s="55"/>
      <c r="B47" s="55"/>
      <c r="C47" s="55"/>
      <c r="D47" s="55"/>
      <c r="E47" s="55"/>
      <c r="F47" s="55"/>
      <c r="G47" s="55"/>
      <c r="H47" s="55"/>
      <c r="I47" s="55"/>
      <c r="J47" s="56"/>
      <c r="K47" s="56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</row>
    <row r="48" spans="1:43" s="54" customFormat="1" ht="60" customHeight="1">
      <c r="A48" s="55"/>
      <c r="B48" s="55"/>
      <c r="C48" s="55"/>
      <c r="D48" s="55"/>
      <c r="E48" s="55"/>
      <c r="F48" s="55"/>
      <c r="G48" s="55"/>
      <c r="H48" s="55"/>
      <c r="I48" s="55"/>
      <c r="J48" s="56"/>
      <c r="K48" s="56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O48"/>
      <c r="AP48"/>
      <c r="AQ48"/>
    </row>
    <row r="49" spans="1:87" ht="60" customHeight="1">
      <c r="A49" s="55"/>
      <c r="B49" s="55"/>
      <c r="C49" s="55"/>
      <c r="D49" s="55"/>
      <c r="E49" s="55"/>
      <c r="F49" s="55"/>
      <c r="G49" s="55"/>
      <c r="H49" s="55"/>
      <c r="I49" s="55"/>
      <c r="J49" s="56"/>
      <c r="K49" s="56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4"/>
      <c r="AN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54"/>
    </row>
    <row r="50" spans="1:87" ht="60" customHeight="1">
      <c r="A50" s="55"/>
      <c r="B50" s="55"/>
      <c r="C50" s="55"/>
      <c r="D50" s="55"/>
      <c r="E50" s="55"/>
      <c r="F50" s="55"/>
      <c r="G50" s="55"/>
      <c r="H50" s="55"/>
      <c r="I50" s="55"/>
      <c r="J50" s="56"/>
      <c r="K50" s="56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4"/>
      <c r="AN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54"/>
    </row>
    <row r="51" spans="1:85" ht="60" customHeight="1">
      <c r="A51" s="55"/>
      <c r="B51" s="55"/>
      <c r="C51" s="55"/>
      <c r="D51" s="55"/>
      <c r="E51" s="55"/>
      <c r="F51" s="55"/>
      <c r="G51" s="55"/>
      <c r="H51" s="55"/>
      <c r="I51" s="55"/>
      <c r="J51" s="56"/>
      <c r="K51" s="56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4"/>
      <c r="AN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54"/>
      <c r="CE51" s="54"/>
      <c r="CF51" s="54"/>
      <c r="CG51" s="54"/>
    </row>
    <row r="52" spans="1:85" ht="60" customHeight="1">
      <c r="A52" s="55"/>
      <c r="B52" s="55"/>
      <c r="C52" s="55"/>
      <c r="D52" s="55"/>
      <c r="E52" s="55"/>
      <c r="F52" s="55"/>
      <c r="G52" s="55"/>
      <c r="H52" s="55"/>
      <c r="I52" s="55"/>
      <c r="J52" s="56"/>
      <c r="K52" s="56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4"/>
      <c r="AN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54"/>
      <c r="CC52" s="54"/>
      <c r="CD52" s="54"/>
      <c r="CE52" s="54"/>
      <c r="CF52" s="54"/>
      <c r="CG52" s="54"/>
    </row>
    <row r="53" spans="1:56" ht="60" customHeight="1">
      <c r="A53" s="55"/>
      <c r="B53" s="55"/>
      <c r="C53" s="55"/>
      <c r="D53" s="55"/>
      <c r="E53" s="55"/>
      <c r="F53" s="55"/>
      <c r="G53" s="55"/>
      <c r="H53" s="55"/>
      <c r="I53" s="55"/>
      <c r="J53" s="56"/>
      <c r="K53" s="56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4"/>
      <c r="AN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</row>
    <row r="54" spans="1:56" ht="60" customHeight="1">
      <c r="A54" s="55"/>
      <c r="B54" s="55"/>
      <c r="C54" s="55"/>
      <c r="D54" s="55"/>
      <c r="E54" s="55"/>
      <c r="F54" s="55"/>
      <c r="G54" s="55"/>
      <c r="H54" s="55"/>
      <c r="I54" s="55"/>
      <c r="J54" s="56"/>
      <c r="K54" s="56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4"/>
      <c r="AN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</row>
    <row r="55" spans="1:56" ht="60" customHeight="1">
      <c r="A55" s="55"/>
      <c r="B55" s="55"/>
      <c r="C55" s="55"/>
      <c r="D55" s="55"/>
      <c r="E55" s="55"/>
      <c r="F55" s="55"/>
      <c r="G55" s="55"/>
      <c r="H55" s="55"/>
      <c r="I55" s="55"/>
      <c r="J55" s="56"/>
      <c r="K55" s="56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4"/>
      <c r="AN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</row>
    <row r="56" spans="1:56" ht="60" customHeight="1">
      <c r="A56" s="55"/>
      <c r="B56" s="55"/>
      <c r="C56" s="55"/>
      <c r="D56" s="55"/>
      <c r="E56" s="55"/>
      <c r="F56" s="55"/>
      <c r="G56" s="55"/>
      <c r="H56" s="55"/>
      <c r="I56" s="55"/>
      <c r="J56" s="56"/>
      <c r="K56" s="56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4"/>
      <c r="AN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</row>
    <row r="57" spans="1:56" ht="60" customHeight="1">
      <c r="A57" s="55"/>
      <c r="B57" s="55"/>
      <c r="C57" s="55"/>
      <c r="D57" s="55"/>
      <c r="E57" s="55"/>
      <c r="F57" s="55"/>
      <c r="G57" s="55"/>
      <c r="H57" s="55"/>
      <c r="I57" s="55"/>
      <c r="J57" s="56"/>
      <c r="K57" s="56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4"/>
      <c r="AN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</row>
    <row r="58" spans="1:56" ht="60" customHeight="1">
      <c r="A58" s="55"/>
      <c r="B58" s="55"/>
      <c r="C58" s="55"/>
      <c r="D58" s="55"/>
      <c r="E58" s="55"/>
      <c r="F58" s="55"/>
      <c r="G58" s="55"/>
      <c r="H58" s="55"/>
      <c r="I58" s="55"/>
      <c r="J58" s="56"/>
      <c r="K58" s="56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4"/>
      <c r="AN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</row>
    <row r="59" spans="1:56" ht="60" customHeight="1">
      <c r="A59" s="55"/>
      <c r="B59" s="55"/>
      <c r="C59" s="55"/>
      <c r="D59" s="55"/>
      <c r="E59" s="55"/>
      <c r="F59" s="55"/>
      <c r="G59" s="55"/>
      <c r="H59" s="55"/>
      <c r="I59" s="55"/>
      <c r="J59" s="56"/>
      <c r="K59" s="56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4"/>
      <c r="AN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</row>
    <row r="60" spans="1:56" ht="60" customHeight="1">
      <c r="A60" s="55"/>
      <c r="B60" s="55"/>
      <c r="C60" s="55"/>
      <c r="D60" s="55"/>
      <c r="E60" s="55"/>
      <c r="F60" s="55"/>
      <c r="G60" s="55"/>
      <c r="H60" s="55"/>
      <c r="I60" s="55"/>
      <c r="J60" s="56"/>
      <c r="K60" s="56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4"/>
      <c r="AN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</row>
    <row r="61" spans="1:56" ht="60" customHeight="1">
      <c r="A61" s="55"/>
      <c r="B61" s="55"/>
      <c r="C61" s="55"/>
      <c r="D61" s="55"/>
      <c r="E61" s="55"/>
      <c r="F61" s="55"/>
      <c r="G61" s="55"/>
      <c r="H61" s="55"/>
      <c r="I61" s="55"/>
      <c r="J61" s="56"/>
      <c r="K61" s="56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4"/>
      <c r="AN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</row>
    <row r="62" spans="1:56" ht="60" customHeight="1">
      <c r="A62" s="55"/>
      <c r="B62" s="55"/>
      <c r="C62" s="55"/>
      <c r="D62" s="55"/>
      <c r="E62" s="55"/>
      <c r="F62" s="55"/>
      <c r="G62" s="55"/>
      <c r="H62" s="55"/>
      <c r="I62" s="55"/>
      <c r="J62" s="56"/>
      <c r="K62" s="56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4"/>
      <c r="AN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</row>
    <row r="63" spans="1:56" ht="60" customHeight="1">
      <c r="A63" s="55"/>
      <c r="B63" s="55"/>
      <c r="C63" s="55"/>
      <c r="D63" s="55"/>
      <c r="E63" s="55"/>
      <c r="F63" s="55"/>
      <c r="G63" s="55"/>
      <c r="H63" s="55"/>
      <c r="I63" s="55"/>
      <c r="J63" s="56"/>
      <c r="K63" s="56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4"/>
      <c r="AN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</row>
    <row r="64" spans="1:56" ht="60" customHeight="1">
      <c r="A64" s="55"/>
      <c r="B64" s="55"/>
      <c r="C64" s="55"/>
      <c r="D64" s="55"/>
      <c r="E64" s="55"/>
      <c r="F64" s="55"/>
      <c r="G64" s="55"/>
      <c r="H64" s="55"/>
      <c r="I64" s="55"/>
      <c r="J64" s="56"/>
      <c r="K64" s="56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4"/>
      <c r="AN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</row>
    <row r="65" spans="1:56" ht="60" customHeight="1">
      <c r="A65" s="55"/>
      <c r="B65" s="55"/>
      <c r="C65" s="55"/>
      <c r="D65" s="55"/>
      <c r="E65" s="55"/>
      <c r="F65" s="55"/>
      <c r="G65" s="55"/>
      <c r="H65" s="55"/>
      <c r="I65" s="55"/>
      <c r="J65" s="56"/>
      <c r="K65" s="56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4"/>
      <c r="AN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</row>
    <row r="66" spans="1:56" ht="60" customHeight="1">
      <c r="A66" s="55"/>
      <c r="B66" s="55"/>
      <c r="C66" s="55"/>
      <c r="D66" s="55"/>
      <c r="E66" s="55"/>
      <c r="F66" s="55"/>
      <c r="G66" s="55"/>
      <c r="H66" s="55"/>
      <c r="I66" s="55"/>
      <c r="J66" s="56"/>
      <c r="K66" s="56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4"/>
      <c r="AN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</row>
    <row r="67" spans="1:56" ht="60" customHeight="1">
      <c r="A67" s="55"/>
      <c r="B67" s="55"/>
      <c r="C67" s="55"/>
      <c r="D67" s="55"/>
      <c r="E67" s="55"/>
      <c r="F67" s="55"/>
      <c r="G67" s="55"/>
      <c r="H67" s="55"/>
      <c r="I67" s="55"/>
      <c r="J67" s="56"/>
      <c r="K67" s="56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4"/>
      <c r="AN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</row>
    <row r="68" spans="1:56" ht="60" customHeight="1">
      <c r="A68" s="55"/>
      <c r="B68" s="55"/>
      <c r="C68" s="55"/>
      <c r="D68" s="55"/>
      <c r="E68" s="55"/>
      <c r="F68" s="55"/>
      <c r="G68" s="55"/>
      <c r="H68" s="55"/>
      <c r="I68" s="55"/>
      <c r="J68" s="56"/>
      <c r="K68" s="56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4"/>
      <c r="AN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</row>
    <row r="69" spans="1:56" ht="60" customHeight="1">
      <c r="A69" s="55"/>
      <c r="B69" s="55"/>
      <c r="C69" s="55"/>
      <c r="D69" s="55"/>
      <c r="E69" s="55"/>
      <c r="F69" s="55"/>
      <c r="G69" s="55"/>
      <c r="H69" s="55"/>
      <c r="I69" s="55"/>
      <c r="J69" s="56"/>
      <c r="K69" s="56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4"/>
      <c r="AN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</row>
    <row r="70" spans="1:56" ht="60" customHeight="1">
      <c r="A70" s="55"/>
      <c r="B70" s="55"/>
      <c r="C70" s="55"/>
      <c r="D70" s="55"/>
      <c r="E70" s="55"/>
      <c r="F70" s="55"/>
      <c r="G70" s="55"/>
      <c r="H70" s="55"/>
      <c r="I70" s="55"/>
      <c r="J70" s="56"/>
      <c r="K70" s="56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4"/>
      <c r="AN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</row>
    <row r="71" spans="1:56" ht="60" customHeight="1">
      <c r="A71" s="55"/>
      <c r="B71" s="55"/>
      <c r="C71" s="55"/>
      <c r="D71" s="55"/>
      <c r="E71" s="55"/>
      <c r="F71" s="55"/>
      <c r="G71" s="55"/>
      <c r="H71" s="55"/>
      <c r="I71" s="55"/>
      <c r="J71" s="56"/>
      <c r="K71" s="56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4"/>
      <c r="AN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</row>
    <row r="72" spans="1:55" ht="60" customHeight="1">
      <c r="A72" s="55"/>
      <c r="B72" s="55"/>
      <c r="C72" s="55"/>
      <c r="D72" s="55"/>
      <c r="E72" s="55"/>
      <c r="F72" s="55"/>
      <c r="G72" s="55"/>
      <c r="H72" s="55"/>
      <c r="I72" s="55"/>
      <c r="J72" s="56"/>
      <c r="K72" s="56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4"/>
      <c r="AN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</row>
    <row r="73" spans="1:55" ht="60" customHeight="1">
      <c r="A73" s="55"/>
      <c r="B73" s="55"/>
      <c r="C73" s="55"/>
      <c r="D73" s="55"/>
      <c r="E73" s="55"/>
      <c r="F73" s="55"/>
      <c r="G73" s="55"/>
      <c r="H73" s="55"/>
      <c r="I73" s="55"/>
      <c r="J73" s="56"/>
      <c r="K73" s="56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4"/>
      <c r="AN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</row>
    <row r="74" spans="1:55" ht="60" customHeight="1">
      <c r="A74" s="55"/>
      <c r="B74" s="55"/>
      <c r="C74" s="55"/>
      <c r="D74" s="55"/>
      <c r="E74" s="55"/>
      <c r="F74" s="55"/>
      <c r="G74" s="55"/>
      <c r="H74" s="55"/>
      <c r="I74" s="55"/>
      <c r="J74" s="56"/>
      <c r="K74" s="56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4"/>
      <c r="AN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</row>
    <row r="75" spans="1:55" ht="60" customHeight="1">
      <c r="A75" s="55"/>
      <c r="B75" s="55"/>
      <c r="C75" s="55"/>
      <c r="D75" s="55"/>
      <c r="E75" s="55"/>
      <c r="F75" s="55"/>
      <c r="G75" s="55"/>
      <c r="H75" s="55"/>
      <c r="I75" s="55"/>
      <c r="J75" s="56"/>
      <c r="K75" s="56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4"/>
      <c r="AN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</row>
    <row r="76" spans="1:55" ht="60" customHeight="1">
      <c r="A76" s="55"/>
      <c r="B76" s="55"/>
      <c r="C76" s="55"/>
      <c r="D76" s="55"/>
      <c r="E76" s="55"/>
      <c r="F76" s="55"/>
      <c r="G76" s="55"/>
      <c r="H76" s="55"/>
      <c r="I76" s="55"/>
      <c r="J76" s="56"/>
      <c r="K76" s="56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4"/>
      <c r="AN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</row>
    <row r="77" spans="1:55" ht="60" customHeight="1">
      <c r="A77" s="55"/>
      <c r="B77" s="55"/>
      <c r="C77" s="55"/>
      <c r="D77" s="55"/>
      <c r="E77" s="55"/>
      <c r="F77" s="55"/>
      <c r="G77" s="55"/>
      <c r="H77" s="55"/>
      <c r="I77" s="55"/>
      <c r="J77" s="56"/>
      <c r="K77" s="56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4"/>
      <c r="AN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</row>
    <row r="78" spans="1:55" ht="60" customHeight="1">
      <c r="A78" s="55"/>
      <c r="B78" s="55"/>
      <c r="C78" s="55"/>
      <c r="D78" s="55"/>
      <c r="E78" s="55"/>
      <c r="F78" s="55"/>
      <c r="G78" s="55"/>
      <c r="H78" s="55"/>
      <c r="I78" s="55"/>
      <c r="J78" s="56"/>
      <c r="K78" s="56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4"/>
      <c r="AN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</row>
    <row r="79" spans="1:55" ht="60" customHeight="1">
      <c r="A79" s="55"/>
      <c r="B79" s="55"/>
      <c r="C79" s="55"/>
      <c r="D79" s="55"/>
      <c r="E79" s="55"/>
      <c r="F79" s="55"/>
      <c r="G79" s="55"/>
      <c r="H79" s="55"/>
      <c r="I79" s="55"/>
      <c r="J79" s="56"/>
      <c r="K79" s="56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4"/>
      <c r="AN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</row>
    <row r="80" spans="1:55" ht="60" customHeight="1">
      <c r="A80" s="55"/>
      <c r="B80" s="55"/>
      <c r="C80" s="55"/>
      <c r="D80" s="55"/>
      <c r="E80" s="55"/>
      <c r="F80" s="55"/>
      <c r="G80" s="55"/>
      <c r="H80" s="55"/>
      <c r="I80" s="55"/>
      <c r="J80" s="56"/>
      <c r="K80" s="56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4"/>
      <c r="AN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</row>
    <row r="81" spans="1:55" ht="60" customHeight="1">
      <c r="A81" s="55"/>
      <c r="B81" s="55"/>
      <c r="C81" s="55"/>
      <c r="D81" s="55"/>
      <c r="E81" s="55"/>
      <c r="F81" s="55"/>
      <c r="G81" s="55"/>
      <c r="H81" s="55"/>
      <c r="I81" s="55"/>
      <c r="J81" s="56"/>
      <c r="K81" s="56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4"/>
      <c r="AN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</row>
    <row r="82" spans="1:55" ht="60" customHeight="1">
      <c r="A82" s="55"/>
      <c r="B82" s="55"/>
      <c r="C82" s="55"/>
      <c r="D82" s="55"/>
      <c r="E82" s="55"/>
      <c r="F82" s="55"/>
      <c r="G82" s="55"/>
      <c r="H82" s="55"/>
      <c r="I82" s="55"/>
      <c r="J82" s="56"/>
      <c r="K82" s="56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4"/>
      <c r="AN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</row>
    <row r="83" spans="1:55" ht="60" customHeight="1">
      <c r="A83" s="55"/>
      <c r="B83" s="55"/>
      <c r="C83" s="55"/>
      <c r="D83" s="55"/>
      <c r="E83" s="55"/>
      <c r="F83" s="55"/>
      <c r="G83" s="55"/>
      <c r="H83" s="55"/>
      <c r="I83" s="55"/>
      <c r="J83" s="56"/>
      <c r="K83" s="56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4"/>
      <c r="AN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</row>
    <row r="84" spans="1:51" ht="60" customHeight="1">
      <c r="A84" s="55"/>
      <c r="B84" s="55"/>
      <c r="C84" s="55"/>
      <c r="D84" s="55"/>
      <c r="E84" s="55"/>
      <c r="F84" s="55"/>
      <c r="G84" s="55"/>
      <c r="H84" s="55"/>
      <c r="I84" s="55"/>
      <c r="J84" s="56"/>
      <c r="K84" s="56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4"/>
      <c r="AN84" s="54"/>
      <c r="AR84" s="54"/>
      <c r="AS84" s="54"/>
      <c r="AT84" s="54"/>
      <c r="AU84" s="54"/>
      <c r="AV84" s="54"/>
      <c r="AW84" s="54"/>
      <c r="AX84" s="54"/>
      <c r="AY84" s="54"/>
    </row>
    <row r="85" spans="1:51" ht="60" customHeight="1">
      <c r="A85" s="55"/>
      <c r="B85" s="55"/>
      <c r="C85" s="55"/>
      <c r="D85" s="55"/>
      <c r="E85" s="55"/>
      <c r="F85" s="55"/>
      <c r="G85" s="55"/>
      <c r="H85" s="55"/>
      <c r="I85" s="55"/>
      <c r="J85" s="56"/>
      <c r="K85" s="56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4"/>
      <c r="AN85" s="54"/>
      <c r="AR85" s="54"/>
      <c r="AS85" s="54"/>
      <c r="AT85" s="54"/>
      <c r="AU85" s="54"/>
      <c r="AV85" s="54"/>
      <c r="AW85" s="54"/>
      <c r="AX85" s="54"/>
      <c r="AY85" s="54"/>
    </row>
    <row r="86" spans="1:50" ht="60" customHeight="1">
      <c r="A86" s="55"/>
      <c r="B86" s="55"/>
      <c r="C86" s="55"/>
      <c r="D86" s="55"/>
      <c r="E86" s="55"/>
      <c r="F86" s="55"/>
      <c r="G86" s="55"/>
      <c r="H86" s="55"/>
      <c r="I86" s="55"/>
      <c r="J86" s="56"/>
      <c r="K86" s="56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4"/>
      <c r="AN86" s="54"/>
      <c r="AR86" s="54"/>
      <c r="AS86" s="54"/>
      <c r="AT86" s="54"/>
      <c r="AU86" s="54"/>
      <c r="AV86" s="54"/>
      <c r="AW86" s="54"/>
      <c r="AX86" s="54"/>
    </row>
  </sheetData>
  <sheetProtection formatCells="0" formatRows="0" insertColumns="0" insertRows="0"/>
  <mergeCells count="110">
    <mergeCell ref="A1:BN1"/>
    <mergeCell ref="Y2:BN2"/>
    <mergeCell ref="A2:B2"/>
    <mergeCell ref="L3:R3"/>
    <mergeCell ref="L4:R4"/>
    <mergeCell ref="L2:R2"/>
    <mergeCell ref="C2:F2"/>
    <mergeCell ref="L6:R6"/>
    <mergeCell ref="A6:F7"/>
    <mergeCell ref="A5:B5"/>
    <mergeCell ref="G2:K2"/>
    <mergeCell ref="G3:K3"/>
    <mergeCell ref="C4:F4"/>
    <mergeCell ref="C5:F5"/>
    <mergeCell ref="C3:F3"/>
    <mergeCell ref="A4:B4"/>
    <mergeCell ref="CA8:CA10"/>
    <mergeCell ref="S2:X2"/>
    <mergeCell ref="S3:X7"/>
    <mergeCell ref="L7:R7"/>
    <mergeCell ref="Y8:Y10"/>
    <mergeCell ref="X8:X10"/>
    <mergeCell ref="BX8:BX10"/>
    <mergeCell ref="BW8:BW10"/>
    <mergeCell ref="AH8:AH10"/>
    <mergeCell ref="AJ8:AJ10"/>
    <mergeCell ref="AL8:AL10"/>
    <mergeCell ref="BN8:BN10"/>
    <mergeCell ref="BT8:BT10"/>
    <mergeCell ref="BU8:BU10"/>
    <mergeCell ref="AG8:AG10"/>
    <mergeCell ref="BV8:BV10"/>
    <mergeCell ref="BS8:BS10"/>
    <mergeCell ref="Z8:Z10"/>
    <mergeCell ref="BP8:BP10"/>
    <mergeCell ref="AA8:AA10"/>
    <mergeCell ref="L5:R5"/>
    <mergeCell ref="AW8:AW10"/>
    <mergeCell ref="AN8:AN10"/>
    <mergeCell ref="AP8:AP10"/>
    <mergeCell ref="BL8:BL10"/>
    <mergeCell ref="BB8:BB10"/>
    <mergeCell ref="BC8:BC10"/>
    <mergeCell ref="BE8:BE10"/>
    <mergeCell ref="BF8:BF10"/>
    <mergeCell ref="BQ8:BQ10"/>
    <mergeCell ref="BM8:BM10"/>
    <mergeCell ref="BG8:BG10"/>
    <mergeCell ref="BD8:BD10"/>
    <mergeCell ref="AV8:AV10"/>
    <mergeCell ref="AX8:AX10"/>
    <mergeCell ref="AY8:AY10"/>
    <mergeCell ref="AB8:AB10"/>
    <mergeCell ref="AF8:AF10"/>
    <mergeCell ref="AZ8:AZ10"/>
    <mergeCell ref="BA8:BA10"/>
    <mergeCell ref="BJ8:BJ10"/>
    <mergeCell ref="BK8:BK10"/>
    <mergeCell ref="AQ8:AQ10"/>
    <mergeCell ref="AI8:AI10"/>
    <mergeCell ref="AE8:AE10"/>
    <mergeCell ref="AD8:AD10"/>
    <mergeCell ref="BZ8:BZ10"/>
    <mergeCell ref="BH8:BH10"/>
    <mergeCell ref="AS8:AS10"/>
    <mergeCell ref="G5:K7"/>
    <mergeCell ref="A8:A10"/>
    <mergeCell ref="H8:H10"/>
    <mergeCell ref="D8:D10"/>
    <mergeCell ref="J8:J10"/>
    <mergeCell ref="G8:G10"/>
    <mergeCell ref="K8:K10"/>
    <mergeCell ref="I8:I10"/>
    <mergeCell ref="C8:C10"/>
    <mergeCell ref="E8:E10"/>
    <mergeCell ref="F8:F10"/>
    <mergeCell ref="U8:U10"/>
    <mergeCell ref="T8:T10"/>
    <mergeCell ref="N8:N10"/>
    <mergeCell ref="P8:P10"/>
    <mergeCell ref="O8:O10"/>
    <mergeCell ref="Y3:BN7"/>
    <mergeCell ref="A3:B3"/>
    <mergeCell ref="G4:K4"/>
    <mergeCell ref="BY8:BY10"/>
    <mergeCell ref="AT8:AT10"/>
    <mergeCell ref="CH8:CH10"/>
    <mergeCell ref="CI8:CI10"/>
    <mergeCell ref="CD8:CD10"/>
    <mergeCell ref="CE8:CE10"/>
    <mergeCell ref="CF8:CF10"/>
    <mergeCell ref="CG8:CG10"/>
    <mergeCell ref="CC8:CC10"/>
    <mergeCell ref="CB8:CB10"/>
    <mergeCell ref="B8:B10"/>
    <mergeCell ref="BR8:BR10"/>
    <mergeCell ref="M8:M10"/>
    <mergeCell ref="AO8:AO10"/>
    <mergeCell ref="AR8:AR10"/>
    <mergeCell ref="AU8:AU10"/>
    <mergeCell ref="BI8:BI10"/>
    <mergeCell ref="AC8:AC10"/>
    <mergeCell ref="L8:L10"/>
    <mergeCell ref="AK8:AK10"/>
    <mergeCell ref="AM8:AM10"/>
    <mergeCell ref="S8:S10"/>
    <mergeCell ref="W8:W10"/>
    <mergeCell ref="Q8:Q10"/>
    <mergeCell ref="R8:R10"/>
    <mergeCell ref="V8:V10"/>
  </mergeCells>
  <conditionalFormatting sqref="AD11:AD22">
    <cfRule type="expression" priority="1" dxfId="1">
      <formula>AND(OR(D11="Double Front",D11="Double Rear"),BH11="DBS to Make",OR(AD11="Double Face Fix Brackets",AD11="Triple Face Fix Brackets"))</formula>
    </cfRule>
  </conditionalFormatting>
  <printOptions horizontalCentered="1"/>
  <pageMargins left="0.531496062992145" right="0.531496062992145" top="0.31496062992126" bottom="0.31496062992126" header="0.118110236220472" footer="0.118110236220472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C18F0-C0DA-42A4-8B5D-E3F6314A6E62}">
  <sheetPr codeName="JobSheet3">
    <pageSetUpPr fitToPage="1"/>
  </sheetPr>
  <dimension ref="A1:V77"/>
  <sheetViews>
    <sheetView showZeros="0" view="pageBreakPreview" zoomScale="50" zoomScaleNormal="25" zoomScaleSheetLayoutView="50" zoomScalePageLayoutView="25" workbookViewId="0" topLeftCell="A4">
      <selection pane="topLeft" activeCell="A11" sqref="A11:XFD20"/>
    </sheetView>
  </sheetViews>
  <sheetFormatPr defaultColWidth="9.44140625" defaultRowHeight="60" customHeight="1"/>
  <cols>
    <col min="1" max="1" width="10.4285714285714" style="46" customWidth="1"/>
    <col min="2" max="2" width="30.5714285714286" style="46" customWidth="1"/>
    <col min="3" max="3" width="17.5714285714286" style="46" customWidth="1"/>
    <col min="4" max="4" width="20.5714285714286" style="46" customWidth="1"/>
    <col min="5" max="5" width="19.5714285714286" style="46" customWidth="1"/>
    <col min="6" max="6" width="25.4285714285714" style="46" customWidth="1"/>
    <col min="7" max="7" width="21.5714285714286" style="46" customWidth="1"/>
    <col min="8" max="8" width="37.4285714285714" style="46" customWidth="1"/>
    <col min="9" max="9" width="29.5714285714286" style="46" customWidth="1"/>
    <col min="10" max="10" width="25.5714285714286" style="47" customWidth="1"/>
    <col min="11" max="11" width="19.5714285714286" style="47" customWidth="1"/>
    <col min="12" max="12" width="20.5714285714286" style="46" customWidth="1"/>
    <col min="13" max="13" width="24.4285714285714" style="46" customWidth="1"/>
    <col min="14" max="14" width="23.4285714285714" style="46" customWidth="1"/>
    <col min="15" max="15" width="22.5714285714286" style="46" customWidth="1"/>
    <col min="16" max="16" width="18.4285714285714" style="46" customWidth="1"/>
    <col min="17" max="17" width="72.4285714285714" customWidth="1"/>
    <col min="18" max="18" width="29.4285714285714" customWidth="1"/>
    <col min="19" max="19" width="15.5714285714286" customWidth="1"/>
    <col min="20" max="20" width="17.5714285714286" customWidth="1"/>
    <col min="21" max="21" width="15.4285714285714" bestFit="1" customWidth="1"/>
    <col min="22" max="22" width="65.4285714285714" customWidth="1"/>
  </cols>
  <sheetData>
    <row r="1" spans="1:22" s="17" customFormat="1" ht="219.45" customHeight="1">
      <c r="A1" s="213" t="s">
        <v>11588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</row>
    <row r="2" spans="1:22" s="31" customFormat="1" ht="50.1" customHeight="1">
      <c r="A2" s="239" t="s">
        <v>7</v>
      </c>
      <c r="B2" s="239"/>
      <c r="C2" s="237"/>
      <c r="D2" s="237"/>
      <c r="E2" s="237"/>
      <c r="F2" s="237" t="s">
        <v>94</v>
      </c>
      <c r="G2" s="237"/>
      <c r="H2" s="237"/>
      <c r="I2" s="237"/>
      <c r="J2" s="234" t="str">
        <f>Data!BF5</f>
        <v>Hare, Kaitlin</v>
      </c>
      <c r="K2" s="234"/>
      <c r="L2" s="234"/>
      <c r="M2" s="234"/>
      <c r="N2" s="234"/>
      <c r="O2" s="235" t="s">
        <v>4</v>
      </c>
      <c r="P2" s="235"/>
      <c r="Q2" s="235"/>
      <c r="R2" s="235"/>
      <c r="S2" s="235"/>
      <c r="T2" s="235"/>
      <c r="U2" s="235"/>
      <c r="V2" s="235"/>
    </row>
    <row r="3" spans="1:22" s="31" customFormat="1" ht="50.1" customHeight="1">
      <c r="A3" s="240" t="s">
        <v>117</v>
      </c>
      <c r="B3" s="240"/>
      <c r="C3" s="227" t="str">
        <f>Data!BC5</f>
        <v>39776</v>
      </c>
      <c r="D3" s="227"/>
      <c r="E3" s="227"/>
      <c r="F3" s="238" t="s">
        <v>8</v>
      </c>
      <c r="G3" s="238"/>
      <c r="H3" s="238"/>
      <c r="I3" s="238"/>
      <c r="J3" s="234" t="str">
        <f>TRIM(Data!AX5)</f>
        <v>Whole House</v>
      </c>
      <c r="K3" s="234"/>
      <c r="L3" s="234"/>
      <c r="M3" s="234"/>
      <c r="N3" s="234"/>
      <c r="O3" s="236" t="str">
        <f>TRIM(Data!BG5)</f>
        <v/>
      </c>
      <c r="P3" s="236"/>
      <c r="Q3" s="236"/>
      <c r="R3" s="236"/>
      <c r="S3" s="236"/>
      <c r="T3" s="236"/>
      <c r="U3" s="236"/>
      <c r="V3" s="236"/>
    </row>
    <row r="4" spans="1:22" s="32" customFormat="1" ht="50.1" customHeight="1">
      <c r="A4" s="226" t="s">
        <v>14</v>
      </c>
      <c r="B4" s="226"/>
      <c r="C4" s="227" t="str">
        <f>Data!BD5</f>
        <v>F</v>
      </c>
      <c r="D4" s="227"/>
      <c r="E4" s="227"/>
      <c r="F4" s="238" t="s">
        <v>112</v>
      </c>
      <c r="G4" s="238"/>
      <c r="H4" s="238"/>
      <c r="I4" s="238"/>
      <c r="J4" s="234" t="str">
        <f>LEFT(Data!BA5,10)</f>
        <v>13/10/2026</v>
      </c>
      <c r="K4" s="234"/>
      <c r="L4" s="234"/>
      <c r="M4" s="234"/>
      <c r="N4" s="234"/>
      <c r="O4" s="236"/>
      <c r="P4" s="236"/>
      <c r="Q4" s="236"/>
      <c r="R4" s="236"/>
      <c r="S4" s="236"/>
      <c r="T4" s="236"/>
      <c r="U4" s="236"/>
      <c r="V4" s="236"/>
    </row>
    <row r="5" spans="1:22" s="32" customFormat="1" ht="50.1" customHeight="1">
      <c r="A5" s="230" t="s">
        <v>9</v>
      </c>
      <c r="B5" s="230"/>
      <c r="C5" s="231" t="str">
        <f>Data!AY5</f>
        <v>12/08/2026 12:00:00 AM</v>
      </c>
      <c r="D5" s="231"/>
      <c r="E5" s="231"/>
      <c r="F5" s="227" t="s">
        <v>12</v>
      </c>
      <c r="G5" s="227"/>
      <c r="H5" s="227"/>
      <c r="I5" s="227"/>
      <c r="J5" s="234" t="str">
        <f>TRIM(Data!BF5)</f>
        <v>Hare, Kaitlin</v>
      </c>
      <c r="K5" s="234"/>
      <c r="L5" s="234"/>
      <c r="M5" s="234"/>
      <c r="N5" s="234"/>
      <c r="O5" s="236"/>
      <c r="P5" s="236"/>
      <c r="Q5" s="236"/>
      <c r="R5" s="236"/>
      <c r="S5" s="236"/>
      <c r="T5" s="236"/>
      <c r="U5" s="236"/>
      <c r="V5" s="236"/>
    </row>
    <row r="6" spans="1:22" s="32" customFormat="1" ht="50.1" customHeight="1">
      <c r="A6" s="232" t="str">
        <f>Data!CZ5</f>
        <v>Retail Customer</v>
      </c>
      <c r="B6" s="232"/>
      <c r="C6" s="232"/>
      <c r="D6" s="232"/>
      <c r="E6" s="232"/>
      <c r="F6" s="227"/>
      <c r="G6" s="227"/>
      <c r="H6" s="227"/>
      <c r="I6" s="227"/>
      <c r="J6" s="234" t="str">
        <f>CONCATENATE(Data!BH5," ",Data!BI5," ",Data!BJ5," ",Data!BK5," ",Data!BL5)</f>
        <v xml:space="preserve"> 219  Wendouree Parade  </v>
      </c>
      <c r="K6" s="234"/>
      <c r="L6" s="234"/>
      <c r="M6" s="234"/>
      <c r="N6" s="234"/>
      <c r="O6" s="236"/>
      <c r="P6" s="236"/>
      <c r="Q6" s="236"/>
      <c r="R6" s="236"/>
      <c r="S6" s="236"/>
      <c r="T6" s="236"/>
      <c r="U6" s="236"/>
      <c r="V6" s="236"/>
    </row>
    <row r="7" spans="1:22" s="32" customFormat="1" ht="50.1" customHeight="1">
      <c r="A7" s="232"/>
      <c r="B7" s="232"/>
      <c r="C7" s="232"/>
      <c r="D7" s="232"/>
      <c r="E7" s="232"/>
      <c r="F7" s="227"/>
      <c r="G7" s="227"/>
      <c r="H7" s="227"/>
      <c r="I7" s="227"/>
      <c r="J7" s="234" t="str">
        <f>CONCATENATE(Data!BM5," ",Data!BN5," ",Data!BO5," ",Data!BP5)</f>
        <v>Lake Wendouree VIC 3350 Australia</v>
      </c>
      <c r="K7" s="234"/>
      <c r="L7" s="234"/>
      <c r="M7" s="234"/>
      <c r="N7" s="234"/>
      <c r="O7" s="236"/>
      <c r="P7" s="236"/>
      <c r="Q7" s="236"/>
      <c r="R7" s="236"/>
      <c r="S7" s="236"/>
      <c r="T7" s="236"/>
      <c r="U7" s="236"/>
      <c r="V7" s="236"/>
    </row>
    <row r="8" spans="1:22" s="39" customFormat="1" ht="50.1" customHeight="1">
      <c r="A8" s="233" t="s">
        <v>116</v>
      </c>
      <c r="B8" s="225" t="s">
        <v>96</v>
      </c>
      <c r="C8" s="228" t="s">
        <v>11574</v>
      </c>
      <c r="D8" s="228" t="s">
        <v>11575</v>
      </c>
      <c r="E8" s="229" t="s">
        <v>11576</v>
      </c>
      <c r="F8" s="229" t="s">
        <v>129</v>
      </c>
      <c r="G8" s="228" t="s">
        <v>11577</v>
      </c>
      <c r="H8" s="228" t="s">
        <v>11578</v>
      </c>
      <c r="I8" s="224" t="s">
        <v>11579</v>
      </c>
      <c r="J8" s="224" t="s">
        <v>11580</v>
      </c>
      <c r="K8" s="224" t="s">
        <v>11</v>
      </c>
      <c r="L8" s="224" t="s">
        <v>11581</v>
      </c>
      <c r="M8" s="224" t="s">
        <v>11582</v>
      </c>
      <c r="N8" s="225" t="s">
        <v>11583</v>
      </c>
      <c r="O8" s="224" t="s">
        <v>11584</v>
      </c>
      <c r="P8" s="224" t="s">
        <v>11585</v>
      </c>
      <c r="Q8" s="221" t="s">
        <v>11565</v>
      </c>
      <c r="R8" s="221" t="s">
        <v>11566</v>
      </c>
      <c r="S8" s="221" t="s">
        <v>11567</v>
      </c>
      <c r="T8" s="221" t="s">
        <v>11586</v>
      </c>
      <c r="U8" s="221" t="s">
        <v>11587</v>
      </c>
      <c r="V8" s="221" t="s">
        <v>5</v>
      </c>
    </row>
    <row r="9" spans="1:22" s="39" customFormat="1" ht="14.25" customHeight="1" hidden="1">
      <c r="A9" s="233"/>
      <c r="B9" s="225"/>
      <c r="C9" s="228"/>
      <c r="D9" s="228"/>
      <c r="E9" s="229"/>
      <c r="F9" s="229"/>
      <c r="G9" s="228"/>
      <c r="H9" s="228"/>
      <c r="I9" s="224"/>
      <c r="J9" s="224"/>
      <c r="K9" s="224"/>
      <c r="L9" s="224"/>
      <c r="M9" s="224"/>
      <c r="N9" s="225"/>
      <c r="O9" s="224"/>
      <c r="P9" s="224"/>
      <c r="Q9" s="222"/>
      <c r="R9" s="222"/>
      <c r="S9" s="222"/>
      <c r="T9" s="222"/>
      <c r="U9" s="222"/>
      <c r="V9" s="222"/>
    </row>
    <row r="10" spans="1:22" s="40" customFormat="1" ht="70.5" customHeight="1">
      <c r="A10" s="233"/>
      <c r="B10" s="225"/>
      <c r="C10" s="228"/>
      <c r="D10" s="228"/>
      <c r="E10" s="229"/>
      <c r="F10" s="229"/>
      <c r="G10" s="228"/>
      <c r="H10" s="228"/>
      <c r="I10" s="224"/>
      <c r="J10" s="224"/>
      <c r="K10" s="224"/>
      <c r="L10" s="224"/>
      <c r="M10" s="224"/>
      <c r="N10" s="225"/>
      <c r="O10" s="224"/>
      <c r="P10" s="224"/>
      <c r="Q10" s="223"/>
      <c r="R10" s="223"/>
      <c r="S10" s="223"/>
      <c r="T10" s="223"/>
      <c r="U10" s="223"/>
      <c r="V10" s="223"/>
    </row>
    <row r="11" spans="1:22" s="53" customFormat="1" ht="135">
      <c r="A11" s="144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Sheet'!A11,"")</f>
        <v>28</v>
      </c>
      <c r="B11" s="144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Sheet'!B11,"")</f>
        <v>Nettex Brunswick (Continuous) Uncoated Talc</v>
      </c>
      <c r="C11" s="170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Sheet'!C11,"")</f>
        <v>Study ALTERATION</v>
      </c>
      <c r="D11" s="171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Installation"),Data!BB11,"")</f>
        <v>2655</v>
      </c>
      <c r="E11" s="146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Sheet'!E11,"")</f>
        <v>3640</v>
      </c>
      <c r="F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Sheet'!F11,"")</f>
        <v>Opening</v>
      </c>
      <c r="G11" s="171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Sheet'!E11,"")</f>
        <v>3640</v>
      </c>
      <c r="H11" s="171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Installation"),Data!BB11,"")</f>
        <v>2655</v>
      </c>
      <c r="I11" s="145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Installation"),CONCATENATE(Data!BO11," ",Data!BP11),"")</f>
        <v>Brunswick (Continuous) Uncoated Talc</v>
      </c>
      <c r="J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Sheet'!D11,"")</f>
        <v>Single</v>
      </c>
      <c r="K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Sheet'!J11,"")</f>
        <v>Cornice to Floor</v>
      </c>
      <c r="L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Sheet'!K11,"")</f>
        <v>Yes</v>
      </c>
      <c r="M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Installation"),CONCATENATE('Job Sheet'!L11," ",'Job Sheet'!M11),"")</f>
        <v>Just off the Floor No Lining</v>
      </c>
      <c r="N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Sheet'!O11,"")</f>
        <v/>
      </c>
      <c r="O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Sheet'!U11,"")</f>
        <v/>
      </c>
      <c r="P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Sheet'!AA11,"")</f>
        <v>White</v>
      </c>
      <c r="Q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Sheet'!AL11,"")</f>
        <v>1810</v>
      </c>
      <c r="R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Sheet'!AM11,"")</f>
        <v>90</v>
      </c>
      <c r="S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Sheet'!AN11,"")</f>
        <v/>
      </c>
      <c r="T11" s="146"/>
      <c r="U11" s="146" t="e">
        <f>IF(Data!AV11="","",IF('Job Sheet'!AM11="Extreme - Consult Installer","Consult Installer",(5+IFERROR(VLOOKUP(Q11,FHEIGHT,2,FALSE),0)+IFERROR(VLOOKUP(R11,FGRADING,2,FALSE),0)+IFERROR(VLOOKUP(S11,FTAKEDOWN,2,FALSE),0)+IFERROR(VLOOKUP(L11,FSURFACE,2,FALSE),0)+IFERROR(VLOOKUP(K11,FFITTING,2,FALSE),0)+IFERROR(VLOOKUP(P11,FPELMET,2,FALSE),0)+IFERROR(VLOOKUP(F11,FDEDUCT,2,FALSE),0)+IFERROR(VLOOKUP(M11,FCONTROL,2,FALSE),0))*IF(VLOOKUP(O11,FDBRACKET,2,FALSE)="Yes",0.75,1)))</f>
        <v>#NAME?</v>
      </c>
      <c r="V11" s="146" t="str">
        <f>IF(OR('Job Sheet'!BI11="Curtain Installation",'Job Sheet'!BI11="Curtain &amp; Track Installation",'Job Sheet'!BI11="Curtain &amp; Pelmet Installation",'Job Sheet'!BI11="Curtain, Track &amp; Pelmet Installation",'Job Sheet'!BI11="Curtain &amp; Tieback Installation",'Job Sheet'!BI11="Curtain, Track &amp; Tieback Installation",'Job Sheet'!BI11="Curtain, Track, Tieback &amp; Pelmet Installation"),'Job Sheet'!AP11,"")</f>
        <v/>
      </c>
    </row>
    <row r="12" spans="1:22" s="53" customFormat="1" ht="202.5">
      <c r="A12" s="144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Sheet'!A12,"")</f>
        <v>29</v>
      </c>
      <c r="B12" s="144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Sheet'!B12,"")</f>
        <v>Nettex Brunswick (Continuous) Uncoated Talc</v>
      </c>
      <c r="C12" s="170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Sheet'!C12,"")</f>
        <v>Hallway Door (IN) ALTERATION</v>
      </c>
      <c r="D12" s="171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Installation"),Data!BB12,"")</f>
        <v>2455</v>
      </c>
      <c r="E12" s="146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Sheet'!E12,"")</f>
        <v>2600</v>
      </c>
      <c r="F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Sheet'!F12,"")</f>
        <v>Opening</v>
      </c>
      <c r="G12" s="171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Sheet'!E12,"")</f>
        <v>2600</v>
      </c>
      <c r="H12" s="171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Installation"),Data!BB12,"")</f>
        <v>2455</v>
      </c>
      <c r="I12" s="145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Installation"),CONCATENATE(Data!BO12," ",Data!BP12),"")</f>
        <v>Brunswick (Continuous) Uncoated Talc</v>
      </c>
      <c r="J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Sheet'!D12,"")</f>
        <v>Single</v>
      </c>
      <c r="K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Sheet'!J12,"")</f>
        <v>Top of Arc to Floor</v>
      </c>
      <c r="L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Sheet'!K12,"")</f>
        <v>Yes</v>
      </c>
      <c r="M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Installation"),CONCATENATE('Job Sheet'!L12," ",'Job Sheet'!M12),"")</f>
        <v>Just off the Floor No Lining</v>
      </c>
      <c r="N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Sheet'!O12,"")</f>
        <v/>
      </c>
      <c r="O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Sheet'!U12,"")</f>
        <v/>
      </c>
      <c r="P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Sheet'!AA12,"")</f>
        <v>White</v>
      </c>
      <c r="Q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Sheet'!AL12,"")</f>
        <v/>
      </c>
      <c r="R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Sheet'!AM12,"")</f>
        <v/>
      </c>
      <c r="S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Sheet'!AN12,"")</f>
        <v/>
      </c>
      <c r="T12" s="146"/>
      <c r="U12" s="146" t="e">
        <f>IF(Data!AV12="","",IF('Job Sheet'!AM12="Extreme - Consult Installer","Consult Installer",(5+IFERROR(VLOOKUP(Q12,FHEIGHT,2,FALSE),0)+IFERROR(VLOOKUP(R12,FGRADING,2,FALSE),0)+IFERROR(VLOOKUP(S12,FTAKEDOWN,2,FALSE),0)+IFERROR(VLOOKUP(L12,FSURFACE,2,FALSE),0)+IFERROR(VLOOKUP(K12,FFITTING,2,FALSE),0)+IFERROR(VLOOKUP(P12,FPELMET,2,FALSE),0)+IFERROR(VLOOKUP(F12,FDEDUCT,2,FALSE),0)+IFERROR(VLOOKUP(M12,FCONTROL,2,FALSE),0))*IF(VLOOKUP(O12,FDBRACKET,2,FALSE)="Yes",0.75,1)))</f>
        <v>#NAME?</v>
      </c>
      <c r="V12" s="146" t="str">
        <f>IF(OR('Job Sheet'!BI12="Curtain Installation",'Job Sheet'!BI12="Curtain &amp; Track Installation",'Job Sheet'!BI12="Curtain &amp; Pelmet Installation",'Job Sheet'!BI12="Curtain, Track &amp; Pelmet Installation",'Job Sheet'!BI12="Curtain &amp; Tieback Installation",'Job Sheet'!BI12="Curtain, Track &amp; Tieback Installation",'Job Sheet'!BI12="Curtain, Track, Tieback &amp; Pelmet Installation"),'Job Sheet'!AP12,"")</f>
        <v/>
      </c>
    </row>
    <row r="13" spans="1:22" s="53" customFormat="1" ht="168.75">
      <c r="A13" s="144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Sheet'!A13,"")</f>
        <v>30</v>
      </c>
      <c r="B13" s="144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Sheet'!B13,"")</f>
        <v>Nettex Brunswick (Continuous) Uncoated Talc</v>
      </c>
      <c r="C13" s="170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Sheet'!C13,"")</f>
        <v>Master Door ALTERATION</v>
      </c>
      <c r="D13" s="171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Installation"),Data!BB13,"")</f>
        <v>2660</v>
      </c>
      <c r="E13" s="146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Sheet'!E13,"")</f>
        <v>3502</v>
      </c>
      <c r="F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Sheet'!F13,"")</f>
        <v>Opening</v>
      </c>
      <c r="G13" s="171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Sheet'!E13,"")</f>
        <v>3502</v>
      </c>
      <c r="H13" s="171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Installation"),Data!BB13,"")</f>
        <v>2660</v>
      </c>
      <c r="I13" s="145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Installation"),CONCATENATE(Data!BO13," ",Data!BP13),"")</f>
        <v>Brunswick (Continuous) Uncoated Talc</v>
      </c>
      <c r="J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Sheet'!D13,"")</f>
        <v>Double Front</v>
      </c>
      <c r="K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Sheet'!J13,"")</f>
        <v>Cornice to Floor</v>
      </c>
      <c r="L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Sheet'!K13,"")</f>
        <v>Yes</v>
      </c>
      <c r="M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Installation"),CONCATENATE('Job Sheet'!L13," ",'Job Sheet'!M13),"")</f>
        <v>Just off the Floor No Lining</v>
      </c>
      <c r="N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Sheet'!O13,"")</f>
        <v/>
      </c>
      <c r="O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Sheet'!U13,"")</f>
        <v/>
      </c>
      <c r="P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Sheet'!AA13,"")</f>
        <v>White</v>
      </c>
      <c r="Q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Sheet'!AL13,"")</f>
        <v/>
      </c>
      <c r="R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Sheet'!AM13,"")</f>
        <v/>
      </c>
      <c r="S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Sheet'!AN13,"")</f>
        <v/>
      </c>
      <c r="T13" s="146"/>
      <c r="U13" s="146" t="e">
        <f>IF(Data!AV13="","",IF('Job Sheet'!AM13="Extreme - Consult Installer","Consult Installer",(5+IFERROR(VLOOKUP(Q13,FHEIGHT,2,FALSE),0)+IFERROR(VLOOKUP(R13,FGRADING,2,FALSE),0)+IFERROR(VLOOKUP(S13,FTAKEDOWN,2,FALSE),0)+IFERROR(VLOOKUP(L13,FSURFACE,2,FALSE),0)+IFERROR(VLOOKUP(K13,FFITTING,2,FALSE),0)+IFERROR(VLOOKUP(P13,FPELMET,2,FALSE),0)+IFERROR(VLOOKUP(F13,FDEDUCT,2,FALSE),0)+IFERROR(VLOOKUP(M13,FCONTROL,2,FALSE),0))*IF(VLOOKUP(O13,FDBRACKET,2,FALSE)="Yes",0.75,1)))</f>
        <v>#NAME?</v>
      </c>
      <c r="V13" s="146" t="str">
        <f>IF(OR('Job Sheet'!BI13="Curtain Installation",'Job Sheet'!BI13="Curtain &amp; Track Installation",'Job Sheet'!BI13="Curtain &amp; Pelmet Installation",'Job Sheet'!BI13="Curtain, Track &amp; Pelmet Installation",'Job Sheet'!BI13="Curtain &amp; Tieback Installation",'Job Sheet'!BI13="Curtain, Track &amp; Tieback Installation",'Job Sheet'!BI13="Curtain, Track, Tieback &amp; Pelmet Installation"),'Job Sheet'!AP13,"")</f>
        <v/>
      </c>
    </row>
    <row r="14" spans="1:22" s="53" customFormat="1" ht="135">
      <c r="A14" s="144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Sheet'!A14,"")</f>
        <v>31</v>
      </c>
      <c r="B14" s="144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Sheet'!B14,"")</f>
        <v>Nettex Brunswick (Continuous) Uncoated Talc</v>
      </c>
      <c r="C14" s="170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Sheet'!C14,"")</f>
        <v>Bed 2 ALTERATION</v>
      </c>
      <c r="D14" s="171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Installation"),Data!BB14,"")</f>
        <v>2655</v>
      </c>
      <c r="E14" s="146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Sheet'!E14,"")</f>
        <v>3380</v>
      </c>
      <c r="F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Sheet'!F14,"")</f>
        <v>Opening</v>
      </c>
      <c r="G14" s="171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Sheet'!E14,"")</f>
        <v>3380</v>
      </c>
      <c r="H14" s="171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Installation"),Data!BB14,"")</f>
        <v>2655</v>
      </c>
      <c r="I14" s="145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Installation"),CONCATENATE(Data!BO14," ",Data!BP14),"")</f>
        <v>Brunswick (Continuous) Uncoated Talc</v>
      </c>
      <c r="J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Sheet'!D14,"")</f>
        <v>Single</v>
      </c>
      <c r="K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Sheet'!J14,"")</f>
        <v>Cornice to Floor</v>
      </c>
      <c r="L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Sheet'!K14,"")</f>
        <v>Yes</v>
      </c>
      <c r="M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Installation"),CONCATENATE('Job Sheet'!L14," ",'Job Sheet'!M14),"")</f>
        <v>Just off the Floor No Lining</v>
      </c>
      <c r="N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Sheet'!O14,"")</f>
        <v/>
      </c>
      <c r="O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Sheet'!U14,"")</f>
        <v/>
      </c>
      <c r="P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Sheet'!AA14,"")</f>
        <v>White</v>
      </c>
      <c r="Q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Sheet'!AL14,"")</f>
        <v/>
      </c>
      <c r="R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Sheet'!AM14,"")</f>
        <v/>
      </c>
      <c r="S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Sheet'!AN14,"")</f>
        <v/>
      </c>
      <c r="T14" s="146"/>
      <c r="U14" s="146" t="e">
        <f>IF(Data!AV14="","",IF('Job Sheet'!AM14="Extreme - Consult Installer","Consult Installer",(5+IFERROR(VLOOKUP(Q14,FHEIGHT,2,FALSE),0)+IFERROR(VLOOKUP(R14,FGRADING,2,FALSE),0)+IFERROR(VLOOKUP(S14,FTAKEDOWN,2,FALSE),0)+IFERROR(VLOOKUP(L14,FSURFACE,2,FALSE),0)+IFERROR(VLOOKUP(K14,FFITTING,2,FALSE),0)+IFERROR(VLOOKUP(P14,FPELMET,2,FALSE),0)+IFERROR(VLOOKUP(F14,FDEDUCT,2,FALSE),0)+IFERROR(VLOOKUP(M14,FCONTROL,2,FALSE),0))*IF(VLOOKUP(O14,FDBRACKET,2,FALSE)="Yes",0.75,1)))</f>
        <v>#NAME?</v>
      </c>
      <c r="V14" s="146" t="str">
        <f>IF(OR('Job Sheet'!BI14="Curtain Installation",'Job Sheet'!BI14="Curtain &amp; Track Installation",'Job Sheet'!BI14="Curtain &amp; Pelmet Installation",'Job Sheet'!BI14="Curtain, Track &amp; Pelmet Installation",'Job Sheet'!BI14="Curtain &amp; Tieback Installation",'Job Sheet'!BI14="Curtain, Track &amp; Tieback Installation",'Job Sheet'!BI14="Curtain, Track, Tieback &amp; Pelmet Installation"),'Job Sheet'!AP14,"")</f>
        <v/>
      </c>
    </row>
    <row r="15" spans="1:22" s="53" customFormat="1" ht="135">
      <c r="A15" s="144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Sheet'!A15,"")</f>
        <v>32</v>
      </c>
      <c r="B15" s="144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Sheet'!B15,"")</f>
        <v>Nettex Brunswick (Continuous) Uncoated Talc</v>
      </c>
      <c r="C15" s="170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Sheet'!C15,"")</f>
        <v>Bed 3 ALTERATION</v>
      </c>
      <c r="D15" s="171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Installation"),Data!BB15,"")</f>
        <v>2660</v>
      </c>
      <c r="E15" s="146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Sheet'!E15,"")</f>
        <v>3282</v>
      </c>
      <c r="F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Sheet'!F15,"")</f>
        <v>Opening</v>
      </c>
      <c r="G15" s="171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Sheet'!E15,"")</f>
        <v>3282</v>
      </c>
      <c r="H15" s="171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Installation"),Data!BB15,"")</f>
        <v>2660</v>
      </c>
      <c r="I15" s="145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Installation"),CONCATENATE(Data!BO15," ",Data!BP15),"")</f>
        <v>Brunswick (Continuous) Uncoated Talc</v>
      </c>
      <c r="J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Sheet'!D15,"")</f>
        <v>Single</v>
      </c>
      <c r="K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Sheet'!J15,"")</f>
        <v>Cornice to Floor</v>
      </c>
      <c r="L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Sheet'!K15,"")</f>
        <v>Yes</v>
      </c>
      <c r="M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Installation"),CONCATENATE('Job Sheet'!L15," ",'Job Sheet'!M15),"")</f>
        <v>Just off the Floor No Lining</v>
      </c>
      <c r="N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Sheet'!O15,"")</f>
        <v/>
      </c>
      <c r="O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Sheet'!U15,"")</f>
        <v/>
      </c>
      <c r="P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Sheet'!AA15,"")</f>
        <v>White</v>
      </c>
      <c r="Q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Sheet'!AL15,"")</f>
        <v/>
      </c>
      <c r="R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Sheet'!AM15,"")</f>
        <v/>
      </c>
      <c r="S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Sheet'!AN15,"")</f>
        <v/>
      </c>
      <c r="T15" s="146"/>
      <c r="U15" s="146" t="e">
        <f>IF(Data!AV15="","",IF('Job Sheet'!AM15="Extreme - Consult Installer","Consult Installer",(5+IFERROR(VLOOKUP(Q15,FHEIGHT,2,FALSE),0)+IFERROR(VLOOKUP(R15,FGRADING,2,FALSE),0)+IFERROR(VLOOKUP(S15,FTAKEDOWN,2,FALSE),0)+IFERROR(VLOOKUP(L15,FSURFACE,2,FALSE),0)+IFERROR(VLOOKUP(K15,FFITTING,2,FALSE),0)+IFERROR(VLOOKUP(P15,FPELMET,2,FALSE),0)+IFERROR(VLOOKUP(F15,FDEDUCT,2,FALSE),0)+IFERROR(VLOOKUP(M15,FCONTROL,2,FALSE),0))*IF(VLOOKUP(O15,FDBRACKET,2,FALSE)="Yes",0.75,1)))</f>
        <v>#NAME?</v>
      </c>
      <c r="V15" s="146" t="str">
        <f>IF(OR('Job Sheet'!BI15="Curtain Installation",'Job Sheet'!BI15="Curtain &amp; Track Installation",'Job Sheet'!BI15="Curtain &amp; Pelmet Installation",'Job Sheet'!BI15="Curtain, Track &amp; Pelmet Installation",'Job Sheet'!BI15="Curtain &amp; Tieback Installation",'Job Sheet'!BI15="Curtain, Track &amp; Tieback Installation",'Job Sheet'!BI15="Curtain, Track, Tieback &amp; Pelmet Installation"),'Job Sheet'!AP15,"")</f>
        <v/>
      </c>
    </row>
    <row r="16" spans="1:22" s="53" customFormat="1" ht="202.5">
      <c r="A16" s="144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Sheet'!A16,"")</f>
        <v>33</v>
      </c>
      <c r="B16" s="144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Sheet'!B16,"")</f>
        <v>Nettex Brunswick (Continuous) Uncoated Talc</v>
      </c>
      <c r="C16" s="170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Sheet'!C16,"")</f>
        <v>Back Hallway (IN) ALTERATION</v>
      </c>
      <c r="D16" s="171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Installation"),Data!BB16,"")</f>
        <v>2445</v>
      </c>
      <c r="E16" s="146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Sheet'!E16,"")</f>
        <v>2670</v>
      </c>
      <c r="F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Sheet'!F16,"")</f>
        <v>Opening</v>
      </c>
      <c r="G16" s="171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Sheet'!E16,"")</f>
        <v>2670</v>
      </c>
      <c r="H16" s="171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Installation"),Data!BB16,"")</f>
        <v>2445</v>
      </c>
      <c r="I16" s="145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Installation"),CONCATENATE(Data!BO16," ",Data!BP16),"")</f>
        <v>Brunswick (Continuous) Uncoated Talc</v>
      </c>
      <c r="J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Sheet'!D16,"")</f>
        <v>Single</v>
      </c>
      <c r="K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Sheet'!J16,"")</f>
        <v>Top of Arc to Floor</v>
      </c>
      <c r="L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Sheet'!K16,"")</f>
        <v>Yes</v>
      </c>
      <c r="M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Installation"),CONCATENATE('Job Sheet'!L16," ",'Job Sheet'!M16),"")</f>
        <v>Just off the Floor No Lining</v>
      </c>
      <c r="N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Sheet'!O16,"")</f>
        <v/>
      </c>
      <c r="O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Sheet'!U16,"")</f>
        <v/>
      </c>
      <c r="P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Sheet'!AA16,"")</f>
        <v>White</v>
      </c>
      <c r="Q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Sheet'!AL16,"")</f>
        <v/>
      </c>
      <c r="R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Sheet'!AM16,"")</f>
        <v/>
      </c>
      <c r="S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Sheet'!AN16,"")</f>
        <v/>
      </c>
      <c r="T16" s="146"/>
      <c r="U16" s="146" t="e">
        <f>IF(Data!AV16="","",IF('Job Sheet'!AM16="Extreme - Consult Installer","Consult Installer",(5+IFERROR(VLOOKUP(Q16,FHEIGHT,2,FALSE),0)+IFERROR(VLOOKUP(R16,FGRADING,2,FALSE),0)+IFERROR(VLOOKUP(S16,FTAKEDOWN,2,FALSE),0)+IFERROR(VLOOKUP(L16,FSURFACE,2,FALSE),0)+IFERROR(VLOOKUP(K16,FFITTING,2,FALSE),0)+IFERROR(VLOOKUP(P16,FPELMET,2,FALSE),0)+IFERROR(VLOOKUP(F16,FDEDUCT,2,FALSE),0)+IFERROR(VLOOKUP(M16,FCONTROL,2,FALSE),0))*IF(VLOOKUP(O16,FDBRACKET,2,FALSE)="Yes",0.75,1)))</f>
        <v>#NAME?</v>
      </c>
      <c r="V16" s="146" t="str">
        <f>IF(OR('Job Sheet'!BI16="Curtain Installation",'Job Sheet'!BI16="Curtain &amp; Track Installation",'Job Sheet'!BI16="Curtain &amp; Pelmet Installation",'Job Sheet'!BI16="Curtain, Track &amp; Pelmet Installation",'Job Sheet'!BI16="Curtain &amp; Tieback Installation",'Job Sheet'!BI16="Curtain, Track &amp; Tieback Installation",'Job Sheet'!BI16="Curtain, Track, Tieback &amp; Pelmet Installation"),'Job Sheet'!AP16,"")</f>
        <v/>
      </c>
    </row>
    <row r="17" spans="1:22" s="53" customFormat="1" ht="236.25">
      <c r="A17" s="144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Sheet'!A17,"")</f>
        <v>34</v>
      </c>
      <c r="B17" s="144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Sheet'!B17,"")</f>
        <v>Nettex Brunswick (Continuous) Uncoated Talc</v>
      </c>
      <c r="C17" s="170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Sheet'!C17,"")</f>
        <v>Back Hallway (OUT) ALTERATION</v>
      </c>
      <c r="D17" s="171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Installation"),Data!BB17,"")</f>
        <v>2445</v>
      </c>
      <c r="E17" s="146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Sheet'!E17,"")</f>
        <v>2090</v>
      </c>
      <c r="F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Sheet'!F17,"")</f>
        <v>Opening</v>
      </c>
      <c r="G17" s="171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Sheet'!E17,"")</f>
        <v>2090</v>
      </c>
      <c r="H17" s="171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Installation"),Data!BB17,"")</f>
        <v>2445</v>
      </c>
      <c r="I17" s="145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Installation"),CONCATENATE(Data!BO17," ",Data!BP17),"")</f>
        <v>Brunswick (Continuous) Uncoated Talc</v>
      </c>
      <c r="J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Sheet'!D17,"")</f>
        <v>Single</v>
      </c>
      <c r="K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Sheet'!J17,"")</f>
        <v>Top of Arc to Floor</v>
      </c>
      <c r="L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Sheet'!K17,"")</f>
        <v>Yes</v>
      </c>
      <c r="M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Installation"),CONCATENATE('Job Sheet'!L17," ",'Job Sheet'!M17),"")</f>
        <v>Just off the Floor No Lining</v>
      </c>
      <c r="N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Sheet'!O17,"")</f>
        <v/>
      </c>
      <c r="O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Sheet'!U17,"")</f>
        <v/>
      </c>
      <c r="P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Sheet'!AA17,"")</f>
        <v>White</v>
      </c>
      <c r="Q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Sheet'!AL17,"")</f>
        <v/>
      </c>
      <c r="R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Sheet'!AM17,"")</f>
        <v/>
      </c>
      <c r="S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Sheet'!AN17,"")</f>
        <v/>
      </c>
      <c r="T17" s="146"/>
      <c r="U17" s="146" t="e">
        <f>IF(Data!AV17="","",IF('Job Sheet'!AM17="Extreme - Consult Installer","Consult Installer",(5+IFERROR(VLOOKUP(Q17,FHEIGHT,2,FALSE),0)+IFERROR(VLOOKUP(R17,FGRADING,2,FALSE),0)+IFERROR(VLOOKUP(S17,FTAKEDOWN,2,FALSE),0)+IFERROR(VLOOKUP(L17,FSURFACE,2,FALSE),0)+IFERROR(VLOOKUP(K17,FFITTING,2,FALSE),0)+IFERROR(VLOOKUP(P17,FPELMET,2,FALSE),0)+IFERROR(VLOOKUP(F17,FDEDUCT,2,FALSE),0)+IFERROR(VLOOKUP(M17,FCONTROL,2,FALSE),0))*IF(VLOOKUP(O17,FDBRACKET,2,FALSE)="Yes",0.75,1)))</f>
        <v>#NAME?</v>
      </c>
      <c r="V17" s="146" t="str">
        <f>IF(OR('Job Sheet'!BI17="Curtain Installation",'Job Sheet'!BI17="Curtain &amp; Track Installation",'Job Sheet'!BI17="Curtain &amp; Pelmet Installation",'Job Sheet'!BI17="Curtain, Track &amp; Pelmet Installation",'Job Sheet'!BI17="Curtain &amp; Tieback Installation",'Job Sheet'!BI17="Curtain, Track &amp; Tieback Installation",'Job Sheet'!BI17="Curtain, Track, Tieback &amp; Pelmet Installation"),'Job Sheet'!AP17,"")</f>
        <v/>
      </c>
    </row>
    <row r="18" spans="1:22" s="53" customFormat="1" ht="168.75">
      <c r="A18" s="144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Sheet'!A18,"")</f>
        <v>35</v>
      </c>
      <c r="B18" s="144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Sheet'!B18,"")</f>
        <v>Nettex Brunswick (Continuous) Uncoated Talc</v>
      </c>
      <c r="C18" s="170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Sheet'!C18,"")</f>
        <v>Kitchen Door (IN) REMAKE</v>
      </c>
      <c r="D18" s="171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Installation"),Data!BB18,"")</f>
        <v>2405</v>
      </c>
      <c r="E18" s="146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Sheet'!E18,"")</f>
        <v>4580</v>
      </c>
      <c r="F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Sheet'!F18,"")</f>
        <v>Opening</v>
      </c>
      <c r="G18" s="171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Sheet'!E18,"")</f>
        <v>4580</v>
      </c>
      <c r="H18" s="171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Installation"),Data!BB18,"")</f>
        <v>2405</v>
      </c>
      <c r="I18" s="145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Installation"),CONCATENATE(Data!BO18," ",Data!BP18),"")</f>
        <v>Brunswick (Continuous) Uncoated Talc</v>
      </c>
      <c r="J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Sheet'!D18,"")</f>
        <v>Single</v>
      </c>
      <c r="K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Sheet'!J18,"")</f>
        <v>Top of Arc to Floor</v>
      </c>
      <c r="L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Sheet'!K18,"")</f>
        <v>Yes</v>
      </c>
      <c r="M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Installation"),CONCATENATE('Job Sheet'!L18," ",'Job Sheet'!M18),"")</f>
        <v>15mm to 25mm (Standard) No Lining</v>
      </c>
      <c r="N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Sheet'!O18,"")</f>
        <v/>
      </c>
      <c r="O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Sheet'!U18,"")</f>
        <v/>
      </c>
      <c r="P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Sheet'!AA18,"")</f>
        <v>White</v>
      </c>
      <c r="Q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Sheet'!AL18,"")</f>
        <v/>
      </c>
      <c r="R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Sheet'!AM18,"")</f>
        <v/>
      </c>
      <c r="S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Sheet'!AN18,"")</f>
        <v/>
      </c>
      <c r="T18" s="146"/>
      <c r="U18" s="146" t="e">
        <f>IF(Data!AV18="","",IF('Job Sheet'!AM18="Extreme - Consult Installer","Consult Installer",(5+IFERROR(VLOOKUP(Q18,FHEIGHT,2,FALSE),0)+IFERROR(VLOOKUP(R18,FGRADING,2,FALSE),0)+IFERROR(VLOOKUP(S18,FTAKEDOWN,2,FALSE),0)+IFERROR(VLOOKUP(L18,FSURFACE,2,FALSE),0)+IFERROR(VLOOKUP(K18,FFITTING,2,FALSE),0)+IFERROR(VLOOKUP(P18,FPELMET,2,FALSE),0)+IFERROR(VLOOKUP(F18,FDEDUCT,2,FALSE),0)+IFERROR(VLOOKUP(M18,FCONTROL,2,FALSE),0))*IF(VLOOKUP(O18,FDBRACKET,2,FALSE)="Yes",0.75,1)))</f>
        <v>#NAME?</v>
      </c>
      <c r="V18" s="146" t="str">
        <f>IF(OR('Job Sheet'!BI18="Curtain Installation",'Job Sheet'!BI18="Curtain &amp; Track Installation",'Job Sheet'!BI18="Curtain &amp; Pelmet Installation",'Job Sheet'!BI18="Curtain, Track &amp; Pelmet Installation",'Job Sheet'!BI18="Curtain &amp; Tieback Installation",'Job Sheet'!BI18="Curtain, Track &amp; Tieback Installation",'Job Sheet'!BI18="Curtain, Track, Tieback &amp; Pelmet Installation"),'Job Sheet'!AP18,"")</f>
        <v/>
      </c>
    </row>
    <row r="19" spans="1:22" s="53" customFormat="1" ht="236.25">
      <c r="A19" s="144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Sheet'!A19,"")</f>
        <v>36</v>
      </c>
      <c r="B19" s="144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Sheet'!B19,"")</f>
        <v>Nettex Brunswick (Continuous) Uncoated Talc</v>
      </c>
      <c r="C19" s="170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Sheet'!C19,"")</f>
        <v>Second Lounge ALTERATION</v>
      </c>
      <c r="D19" s="171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Installation"),Data!BB19,"")</f>
        <v>2210</v>
      </c>
      <c r="E19" s="146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Sheet'!E19,"")</f>
        <v>3980</v>
      </c>
      <c r="F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Sheet'!F19,"")</f>
        <v>Opening</v>
      </c>
      <c r="G19" s="171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Sheet'!E19,"")</f>
        <v>3980</v>
      </c>
      <c r="H19" s="171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Installation"),Data!BB19,"")</f>
        <v>2210</v>
      </c>
      <c r="I19" s="145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Installation"),CONCATENATE(Data!BO19," ",Data!BP19),"")</f>
        <v>Brunswick (Continuous) Uncoated Talc</v>
      </c>
      <c r="J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Sheet'!D19,"")</f>
        <v>Single</v>
      </c>
      <c r="K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Sheet'!J19,"")</f>
        <v>Cornice to Floor</v>
      </c>
      <c r="L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Sheet'!K19,"")</f>
        <v>Yes</v>
      </c>
      <c r="M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Installation"),CONCATENATE('Job Sheet'!L19," ",'Job Sheet'!M19),"")</f>
        <v>Just off the Floor No Lining</v>
      </c>
      <c r="N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Sheet'!O19,"")</f>
        <v/>
      </c>
      <c r="O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Sheet'!U19,"")</f>
        <v/>
      </c>
      <c r="P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Sheet'!AA19,"")</f>
        <v>White</v>
      </c>
      <c r="Q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Sheet'!AL19,"")</f>
        <v/>
      </c>
      <c r="R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Sheet'!AM19,"")</f>
        <v/>
      </c>
      <c r="S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Sheet'!AN19,"")</f>
        <v/>
      </c>
      <c r="T19" s="146"/>
      <c r="U19" s="146" t="e">
        <f>IF(Data!AV19="","",IF('Job Sheet'!AM19="Extreme - Consult Installer","Consult Installer",(5+IFERROR(VLOOKUP(Q19,FHEIGHT,2,FALSE),0)+IFERROR(VLOOKUP(R19,FGRADING,2,FALSE),0)+IFERROR(VLOOKUP(S19,FTAKEDOWN,2,FALSE),0)+IFERROR(VLOOKUP(L19,FSURFACE,2,FALSE),0)+IFERROR(VLOOKUP(K19,FFITTING,2,FALSE),0)+IFERROR(VLOOKUP(P19,FPELMET,2,FALSE),0)+IFERROR(VLOOKUP(F19,FDEDUCT,2,FALSE),0)+IFERROR(VLOOKUP(M19,FCONTROL,2,FALSE),0))*IF(VLOOKUP(O19,FDBRACKET,2,FALSE)="Yes",0.75,1)))</f>
        <v>#NAME?</v>
      </c>
      <c r="V19" s="146" t="str">
        <f>IF(OR('Job Sheet'!BI19="Curtain Installation",'Job Sheet'!BI19="Curtain &amp; Track Installation",'Job Sheet'!BI19="Curtain &amp; Pelmet Installation",'Job Sheet'!BI19="Curtain, Track &amp; Pelmet Installation",'Job Sheet'!BI19="Curtain &amp; Tieback Installation",'Job Sheet'!BI19="Curtain, Track &amp; Tieback Installation",'Job Sheet'!BI19="Curtain, Track, Tieback &amp; Pelmet Installation"),'Job Sheet'!AP19,"")</f>
        <v/>
      </c>
    </row>
    <row r="20" spans="1:22" s="53" customFormat="1" ht="202.5">
      <c r="A20" s="144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Sheet'!A20,"")</f>
        <v>37</v>
      </c>
      <c r="B20" s="144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Sheet'!B20,"")</f>
        <v>Nettex Brunswick (Continuous) Uncoated Talc</v>
      </c>
      <c r="C20" s="170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Sheet'!C20,"")</f>
        <v>Front Lounge 1 ALTERATION</v>
      </c>
      <c r="D20" s="171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Installation"),Data!BB20,"")</f>
        <v>2245</v>
      </c>
      <c r="E20" s="146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Sheet'!E20,"")</f>
        <v>5000</v>
      </c>
      <c r="F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Sheet'!F20,"")</f>
        <v>Opening</v>
      </c>
      <c r="G20" s="171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Sheet'!E20,"")</f>
        <v>5000</v>
      </c>
      <c r="H20" s="171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Installation"),Data!BB20,"")</f>
        <v>2245</v>
      </c>
      <c r="I20" s="145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Installation"),CONCATENATE(Data!BO20," ",Data!BP20),"")</f>
        <v>Brunswick (Continuous) Uncoated Talc</v>
      </c>
      <c r="J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Sheet'!D20,"")</f>
        <v>Single</v>
      </c>
      <c r="K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Sheet'!J20,"")</f>
        <v>Top of Arc to Floor</v>
      </c>
      <c r="L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Sheet'!K20,"")</f>
        <v>Yes</v>
      </c>
      <c r="M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Installation"),CONCATENATE('Job Sheet'!L20," ",'Job Sheet'!M20),"")</f>
        <v>Just off the Floor No Lining</v>
      </c>
      <c r="N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Sheet'!O20,"")</f>
        <v/>
      </c>
      <c r="O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Sheet'!U20,"")</f>
        <v/>
      </c>
      <c r="P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Sheet'!AA20,"")</f>
        <v>White</v>
      </c>
      <c r="Q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Sheet'!AL20,"")</f>
        <v/>
      </c>
      <c r="R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Sheet'!AM20,"")</f>
        <v/>
      </c>
      <c r="S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Sheet'!AN20,"")</f>
        <v/>
      </c>
      <c r="T20" s="146"/>
      <c r="U20" s="146" t="e">
        <f>IF(Data!AV20="","",IF('Job Sheet'!AM20="Extreme - Consult Installer","Consult Installer",(5+IFERROR(VLOOKUP(Q20,FHEIGHT,2,FALSE),0)+IFERROR(VLOOKUP(R20,FGRADING,2,FALSE),0)+IFERROR(VLOOKUP(S20,FTAKEDOWN,2,FALSE),0)+IFERROR(VLOOKUP(L20,FSURFACE,2,FALSE),0)+IFERROR(VLOOKUP(K20,FFITTING,2,FALSE),0)+IFERROR(VLOOKUP(P20,FPELMET,2,FALSE),0)+IFERROR(VLOOKUP(F20,FDEDUCT,2,FALSE),0)+IFERROR(VLOOKUP(M20,FCONTROL,2,FALSE),0))*IF(VLOOKUP(O20,FDBRACKET,2,FALSE)="Yes",0.75,1)))</f>
        <v>#NAME?</v>
      </c>
      <c r="V20" s="146" t="str">
        <f>IF(OR('Job Sheet'!BI20="Curtain Installation",'Job Sheet'!BI20="Curtain &amp; Track Installation",'Job Sheet'!BI20="Curtain &amp; Pelmet Installation",'Job Sheet'!BI20="Curtain, Track &amp; Pelmet Installation",'Job Sheet'!BI20="Curtain &amp; Tieback Installation",'Job Sheet'!BI20="Curtain, Track &amp; Tieback Installation",'Job Sheet'!BI20="Curtain, Track, Tieback &amp; Pelmet Installation"),'Job Sheet'!AP20,"")</f>
        <v/>
      </c>
    </row>
    <row r="21" spans="1:22" s="54" customFormat="1" ht="202.5">
      <c r="A21" s="144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Sheet'!A21,"")</f>
        <v>38</v>
      </c>
      <c r="B21" s="144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Sheet'!B21,"")</f>
        <v>Nettex Brunswick (Continuous) Uncoated Talc</v>
      </c>
      <c r="C21" s="170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Sheet'!C21,"")</f>
        <v>Front Lounge 2 ALTERATION</v>
      </c>
      <c r="D21" s="171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Installation"),Data!BB21,"")</f>
        <v>2245</v>
      </c>
      <c r="E21" s="146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Sheet'!E21,"")</f>
        <v>3050</v>
      </c>
      <c r="F21" s="146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Sheet'!F21,"")</f>
        <v>Opening</v>
      </c>
      <c r="G21" s="171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Sheet'!E21,"")</f>
        <v>3050</v>
      </c>
      <c r="H21" s="171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Installation"),Data!BB21,"")</f>
        <v>2245</v>
      </c>
      <c r="I21" s="145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Installation"),CONCATENATE(Data!BO21," ",Data!BP21),"")</f>
        <v>Brunswick (Continuous) Uncoated Talc</v>
      </c>
      <c r="J21" s="146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Sheet'!D21,"")</f>
        <v>Single</v>
      </c>
      <c r="K21" s="146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Sheet'!J21,"")</f>
        <v>Top of Arc to Floor</v>
      </c>
      <c r="L21" s="146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Sheet'!K21,"")</f>
        <v>Yes</v>
      </c>
      <c r="M21" s="146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Installation"),CONCATENATE('Job Sheet'!L21," ",'Job Sheet'!M21),"")</f>
        <v>Just off the Floor No Lining</v>
      </c>
      <c r="N21" s="146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Sheet'!O21,"")</f>
        <v/>
      </c>
      <c r="O21" s="146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Sheet'!U21,"")</f>
        <v/>
      </c>
      <c r="P21" s="146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Sheet'!AA21,"")</f>
        <v>White</v>
      </c>
      <c r="Q21" s="146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Sheet'!AL21,"")</f>
        <v/>
      </c>
      <c r="R21" s="146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Sheet'!AM21,"")</f>
        <v/>
      </c>
      <c r="S21" s="146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Sheet'!AN21,"")</f>
        <v/>
      </c>
      <c r="T21" s="146"/>
      <c r="U21" s="146" t="e">
        <f>IF(Data!AV21="","",IF('Job Sheet'!AM21="Extreme - Consult Installer","Consult Installer",(5+IFERROR(VLOOKUP(Q21,FHEIGHT,2,FALSE),0)+IFERROR(VLOOKUP(R21,FGRADING,2,FALSE),0)+IFERROR(VLOOKUP(S21,FTAKEDOWN,2,FALSE),0)+IFERROR(VLOOKUP(L21,FSURFACE,2,FALSE),0)+IFERROR(VLOOKUP(K21,FFITTING,2,FALSE),0)+IFERROR(VLOOKUP(P21,FPELMET,2,FALSE),0)+IFERROR(VLOOKUP(F21,FDEDUCT,2,FALSE),0)+IFERROR(VLOOKUP(M21,FCONTROL,2,FALSE),0))*IF(VLOOKUP(O21,FDBRACKET,2,FALSE)="Yes",0.75,1)))</f>
        <v>#NAME?</v>
      </c>
      <c r="V21" s="146" t="str">
        <f>IF(OR('Job Sheet'!BI21="Curtain Installation",'Job Sheet'!BI21="Curtain &amp; Track Installation",'Job Sheet'!BI21="Curtain &amp; Pelmet Installation",'Job Sheet'!BI21="Curtain, Track &amp; Pelmet Installation",'Job Sheet'!BI21="Curtain &amp; Tieback Installation",'Job Sheet'!BI21="Curtain, Track &amp; Tieback Installation",'Job Sheet'!BI21="Curtain, Track, Tieback &amp; Pelmet Installation"),'Job Sheet'!AP21,"")</f>
        <v/>
      </c>
    </row>
    <row r="22" spans="1:22" s="54" customFormat="1" ht="168.75">
      <c r="A22" s="144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Sheet'!A22,"")</f>
        <v>39</v>
      </c>
      <c r="B22" s="144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Sheet'!B22,"")</f>
        <v>Filigree Simplicity 300cm (Continuous) Lining Off White</v>
      </c>
      <c r="C22" s="170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Sheet'!C22,"")</f>
        <v>Master Door ALTERATION</v>
      </c>
      <c r="D22" s="171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Installation"),Data!BB22,"")</f>
        <v>2660</v>
      </c>
      <c r="E22" s="146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Sheet'!E22,"")</f>
        <v>3502</v>
      </c>
      <c r="F22" s="146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Sheet'!F22,"")</f>
        <v>Opening</v>
      </c>
      <c r="G22" s="171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Sheet'!E22,"")</f>
        <v>3502</v>
      </c>
      <c r="H22" s="171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Installation"),Data!BB22,"")</f>
        <v>2660</v>
      </c>
      <c r="I22" s="145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Installation"),CONCATENATE(Data!BO22," ",Data!BP22),"")</f>
        <v>Simplicity 300cm (Continuous) Lining Off White</v>
      </c>
      <c r="J22" s="146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Sheet'!D22,"")</f>
        <v>Double Rear</v>
      </c>
      <c r="K22" s="146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Sheet'!J22,"")</f>
        <v>Cornice to Floor</v>
      </c>
      <c r="L22" s="146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Sheet'!K22,"")</f>
        <v>Yes</v>
      </c>
      <c r="M22" s="146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Installation"),CONCATENATE('Job Sheet'!L22," ",'Job Sheet'!M22),"")</f>
        <v>Just off the Floor No Lining</v>
      </c>
      <c r="N22" s="146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Sheet'!O22,"")</f>
        <v/>
      </c>
      <c r="O22" s="146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Sheet'!U22,"")</f>
        <v/>
      </c>
      <c r="P22" s="146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Sheet'!AA22,"")</f>
        <v>White</v>
      </c>
      <c r="Q22" s="146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Sheet'!AL22,"")</f>
        <v/>
      </c>
      <c r="R22" s="146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Sheet'!AM22,"")</f>
        <v/>
      </c>
      <c r="S22" s="146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Sheet'!AN22,"")</f>
        <v/>
      </c>
      <c r="T22" s="146"/>
      <c r="U22" s="146" t="e">
        <f>IF(Data!AV22="","",IF('Job Sheet'!AM22="Extreme - Consult Installer","Consult Installer",(5+IFERROR(VLOOKUP(Q22,FHEIGHT,2,FALSE),0)+IFERROR(VLOOKUP(R22,FGRADING,2,FALSE),0)+IFERROR(VLOOKUP(S22,FTAKEDOWN,2,FALSE),0)+IFERROR(VLOOKUP(L22,FSURFACE,2,FALSE),0)+IFERROR(VLOOKUP(K22,FFITTING,2,FALSE),0)+IFERROR(VLOOKUP(P22,FPELMET,2,FALSE),0)+IFERROR(VLOOKUP(F22,FDEDUCT,2,FALSE),0)+IFERROR(VLOOKUP(M22,FCONTROL,2,FALSE),0))*IF(VLOOKUP(O22,FDBRACKET,2,FALSE)="Yes",0.75,1)))</f>
        <v>#NAME?</v>
      </c>
      <c r="V22" s="146" t="str">
        <f>IF(OR('Job Sheet'!BI22="Curtain Installation",'Job Sheet'!BI22="Curtain &amp; Track Installation",'Job Sheet'!BI22="Curtain &amp; Pelmet Installation",'Job Sheet'!BI22="Curtain, Track &amp; Pelmet Installation",'Job Sheet'!BI22="Curtain &amp; Tieback Installation",'Job Sheet'!BI22="Curtain, Track &amp; Tieback Installation",'Job Sheet'!BI22="Curtain, Track, Tieback &amp; Pelmet Installation"),'Job Sheet'!AP22,"")</f>
        <v/>
      </c>
    </row>
    <row r="23" spans="1:16" s="54" customFormat="1" ht="60" customHeight="1">
      <c r="A23" s="55"/>
      <c r="B23" s="55"/>
      <c r="C23" s="55"/>
      <c r="D23" s="55"/>
      <c r="E23" s="55"/>
      <c r="F23" s="55"/>
      <c r="G23" s="55"/>
      <c r="H23" s="55"/>
      <c r="I23" s="55"/>
      <c r="J23" s="56"/>
      <c r="K23" s="56"/>
      <c r="L23" s="55"/>
      <c r="M23" s="55"/>
      <c r="N23" s="55"/>
      <c r="O23" s="55"/>
      <c r="P23" s="55"/>
    </row>
    <row r="24" spans="1:16" s="54" customFormat="1" ht="60" customHeight="1">
      <c r="A24" s="55"/>
      <c r="B24" s="55"/>
      <c r="C24" s="55"/>
      <c r="D24" s="55"/>
      <c r="E24" s="55"/>
      <c r="F24" s="55"/>
      <c r="G24" s="55"/>
      <c r="H24" s="55"/>
      <c r="I24" s="55"/>
      <c r="J24" s="56"/>
      <c r="K24" s="56"/>
      <c r="L24" s="55"/>
      <c r="M24" s="55"/>
      <c r="N24" s="55"/>
      <c r="O24" s="55"/>
      <c r="P24" s="55"/>
    </row>
    <row r="25" spans="1:16" s="54" customFormat="1" ht="60" customHeight="1">
      <c r="A25" s="55"/>
      <c r="B25" s="55"/>
      <c r="C25" s="55"/>
      <c r="D25" s="55"/>
      <c r="E25" s="55"/>
      <c r="F25" s="55"/>
      <c r="G25" s="55"/>
      <c r="H25" s="55"/>
      <c r="I25" s="55"/>
      <c r="J25" s="56"/>
      <c r="K25" s="56"/>
      <c r="L25" s="55"/>
      <c r="M25" s="55"/>
      <c r="N25" s="55"/>
      <c r="O25" s="55"/>
      <c r="P25" s="55"/>
    </row>
    <row r="26" spans="1:16" s="54" customFormat="1" ht="60" customHeight="1">
      <c r="A26" s="55"/>
      <c r="B26" s="55"/>
      <c r="C26" s="55"/>
      <c r="D26" s="55"/>
      <c r="E26" s="55"/>
      <c r="F26" s="55"/>
      <c r="G26" s="55"/>
      <c r="H26" s="55"/>
      <c r="I26" s="55"/>
      <c r="J26" s="56"/>
      <c r="K26" s="56"/>
      <c r="L26" s="55"/>
      <c r="M26" s="55"/>
      <c r="N26" s="55"/>
      <c r="O26" s="55"/>
      <c r="P26" s="55"/>
    </row>
    <row r="27" spans="1:16" s="54" customFormat="1" ht="60" customHeight="1">
      <c r="A27" s="55"/>
      <c r="B27" s="55"/>
      <c r="C27" s="55"/>
      <c r="D27" s="55"/>
      <c r="E27" s="55"/>
      <c r="F27" s="55"/>
      <c r="G27" s="55"/>
      <c r="H27" s="55"/>
      <c r="I27" s="55"/>
      <c r="J27" s="56"/>
      <c r="K27" s="56"/>
      <c r="L27" s="55"/>
      <c r="M27" s="55"/>
      <c r="N27" s="55"/>
      <c r="O27" s="55"/>
      <c r="P27" s="55"/>
    </row>
    <row r="28" spans="1:16" s="54" customFormat="1" ht="60" customHeight="1">
      <c r="A28" s="55"/>
      <c r="B28" s="55"/>
      <c r="C28" s="55"/>
      <c r="D28" s="55"/>
      <c r="E28" s="55"/>
      <c r="F28" s="55"/>
      <c r="G28" s="55"/>
      <c r="H28" s="55"/>
      <c r="I28" s="55"/>
      <c r="J28" s="56"/>
      <c r="K28" s="56"/>
      <c r="L28" s="55"/>
      <c r="M28" s="55"/>
      <c r="N28" s="55"/>
      <c r="O28" s="55"/>
      <c r="P28" s="55"/>
    </row>
    <row r="29" spans="1:16" s="54" customFormat="1" ht="60" customHeight="1">
      <c r="A29" s="55"/>
      <c r="B29" s="55"/>
      <c r="C29" s="55"/>
      <c r="D29" s="55"/>
      <c r="E29" s="55"/>
      <c r="F29" s="55"/>
      <c r="G29" s="55"/>
      <c r="H29" s="55"/>
      <c r="I29" s="55"/>
      <c r="J29" s="56"/>
      <c r="K29" s="56"/>
      <c r="L29" s="55"/>
      <c r="M29" s="55"/>
      <c r="N29" s="55"/>
      <c r="O29" s="55"/>
      <c r="P29" s="55"/>
    </row>
    <row r="30" spans="1:16" s="54" customFormat="1" ht="60" customHeight="1">
      <c r="A30" s="55"/>
      <c r="B30" s="55"/>
      <c r="C30" s="55"/>
      <c r="D30" s="55"/>
      <c r="E30" s="55"/>
      <c r="F30" s="55"/>
      <c r="G30" s="55"/>
      <c r="H30" s="55"/>
      <c r="I30" s="55"/>
      <c r="J30" s="56"/>
      <c r="K30" s="56"/>
      <c r="L30" s="55"/>
      <c r="M30" s="55"/>
      <c r="N30" s="55"/>
      <c r="O30" s="55"/>
      <c r="P30" s="55"/>
    </row>
    <row r="31" spans="1:16" s="54" customFormat="1" ht="60" customHeight="1">
      <c r="A31" s="55"/>
      <c r="B31" s="55"/>
      <c r="C31" s="55"/>
      <c r="D31" s="55"/>
      <c r="E31" s="55"/>
      <c r="F31" s="55"/>
      <c r="G31" s="55"/>
      <c r="H31" s="55"/>
      <c r="I31" s="55"/>
      <c r="J31" s="56"/>
      <c r="K31" s="56"/>
      <c r="L31" s="55"/>
      <c r="M31" s="55"/>
      <c r="N31" s="55"/>
      <c r="O31" s="55"/>
      <c r="P31" s="55"/>
    </row>
    <row r="32" spans="1:16" s="54" customFormat="1" ht="60" customHeight="1">
      <c r="A32" s="55"/>
      <c r="B32" s="55"/>
      <c r="C32" s="55"/>
      <c r="D32" s="55"/>
      <c r="E32" s="55"/>
      <c r="F32" s="55"/>
      <c r="G32" s="55"/>
      <c r="H32" s="55"/>
      <c r="I32" s="55"/>
      <c r="J32" s="56"/>
      <c r="K32" s="56"/>
      <c r="L32" s="55"/>
      <c r="M32" s="55"/>
      <c r="N32" s="55"/>
      <c r="O32" s="55"/>
      <c r="P32" s="55"/>
    </row>
    <row r="33" spans="1:16" s="54" customFormat="1" ht="60" customHeight="1">
      <c r="A33" s="55"/>
      <c r="B33" s="55"/>
      <c r="C33" s="55"/>
      <c r="D33" s="55"/>
      <c r="E33" s="55"/>
      <c r="F33" s="55"/>
      <c r="G33" s="55"/>
      <c r="H33" s="55"/>
      <c r="I33" s="55"/>
      <c r="J33" s="56"/>
      <c r="K33" s="56"/>
      <c r="L33" s="55"/>
      <c r="M33" s="55"/>
      <c r="N33" s="55"/>
      <c r="O33" s="55"/>
      <c r="P33" s="55"/>
    </row>
    <row r="34" spans="1:16" s="54" customFormat="1" ht="60" customHeight="1">
      <c r="A34" s="55"/>
      <c r="B34" s="55"/>
      <c r="C34" s="55"/>
      <c r="D34" s="55"/>
      <c r="E34" s="55"/>
      <c r="F34" s="55"/>
      <c r="G34" s="55"/>
      <c r="H34" s="55"/>
      <c r="I34" s="55"/>
      <c r="J34" s="56"/>
      <c r="K34" s="56"/>
      <c r="L34" s="55"/>
      <c r="M34" s="55"/>
      <c r="N34" s="55"/>
      <c r="O34" s="55"/>
      <c r="P34" s="55"/>
    </row>
    <row r="35" spans="1:16" s="54" customFormat="1" ht="60" customHeight="1">
      <c r="A35" s="55"/>
      <c r="B35" s="55"/>
      <c r="C35" s="55"/>
      <c r="D35" s="55"/>
      <c r="E35" s="55"/>
      <c r="F35" s="55"/>
      <c r="G35" s="55"/>
      <c r="H35" s="55"/>
      <c r="I35" s="55"/>
      <c r="J35" s="56"/>
      <c r="K35" s="56"/>
      <c r="L35" s="55"/>
      <c r="M35" s="55"/>
      <c r="N35" s="55"/>
      <c r="O35" s="55"/>
      <c r="P35" s="55"/>
    </row>
    <row r="36" spans="1:16" s="54" customFormat="1" ht="60" customHeight="1">
      <c r="A36" s="55"/>
      <c r="B36" s="55"/>
      <c r="C36" s="55"/>
      <c r="D36" s="55"/>
      <c r="E36" s="55"/>
      <c r="F36" s="55"/>
      <c r="G36" s="55"/>
      <c r="H36" s="55"/>
      <c r="I36" s="55"/>
      <c r="J36" s="56"/>
      <c r="K36" s="56"/>
      <c r="L36" s="55"/>
      <c r="M36" s="55"/>
      <c r="N36" s="55"/>
      <c r="O36" s="55"/>
      <c r="P36" s="55"/>
    </row>
    <row r="37" spans="1:16" s="54" customFormat="1" ht="60" customHeight="1">
      <c r="A37" s="55"/>
      <c r="B37" s="55"/>
      <c r="C37" s="55"/>
      <c r="D37" s="55"/>
      <c r="E37" s="55"/>
      <c r="F37" s="55"/>
      <c r="G37" s="55"/>
      <c r="H37" s="55"/>
      <c r="I37" s="55"/>
      <c r="J37" s="56"/>
      <c r="K37" s="56"/>
      <c r="L37" s="55"/>
      <c r="M37" s="55"/>
      <c r="N37" s="55"/>
      <c r="O37" s="55"/>
      <c r="P37" s="55"/>
    </row>
    <row r="38" spans="1:16" s="54" customFormat="1" ht="60" customHeight="1">
      <c r="A38" s="55"/>
      <c r="B38" s="55"/>
      <c r="C38" s="55"/>
      <c r="D38" s="55"/>
      <c r="E38" s="55"/>
      <c r="F38" s="55"/>
      <c r="G38" s="55"/>
      <c r="H38" s="55"/>
      <c r="I38" s="55"/>
      <c r="J38" s="56"/>
      <c r="K38" s="56"/>
      <c r="L38" s="55"/>
      <c r="M38" s="55"/>
      <c r="N38" s="55"/>
      <c r="O38" s="55"/>
      <c r="P38" s="55"/>
    </row>
    <row r="39" spans="1:16" s="54" customFormat="1" ht="60" customHeight="1">
      <c r="A39" s="55"/>
      <c r="B39" s="55"/>
      <c r="C39" s="55"/>
      <c r="D39" s="55"/>
      <c r="E39" s="55"/>
      <c r="F39" s="55"/>
      <c r="G39" s="55"/>
      <c r="H39" s="55"/>
      <c r="I39" s="55"/>
      <c r="J39" s="56"/>
      <c r="K39" s="56"/>
      <c r="L39" s="55"/>
      <c r="M39" s="55"/>
      <c r="N39" s="55"/>
      <c r="O39" s="55"/>
      <c r="P39" s="55"/>
    </row>
    <row r="40" spans="1:22" ht="60" customHeight="1">
      <c r="A40" s="55"/>
      <c r="B40" s="55"/>
      <c r="C40" s="55"/>
      <c r="D40" s="55"/>
      <c r="E40" s="55"/>
      <c r="F40" s="55"/>
      <c r="G40" s="55"/>
      <c r="H40" s="55"/>
      <c r="I40" s="55"/>
      <c r="J40" s="56"/>
      <c r="K40" s="56"/>
      <c r="L40" s="55"/>
      <c r="M40" s="55"/>
      <c r="N40" s="55"/>
      <c r="O40" s="55"/>
      <c r="P40" s="55"/>
      <c r="Q40" s="54"/>
      <c r="R40" s="54"/>
      <c r="S40" s="54"/>
      <c r="T40" s="54"/>
      <c r="U40" s="54"/>
      <c r="V40" s="54"/>
    </row>
    <row r="41" spans="1:22" ht="60" customHeight="1">
      <c r="A41" s="55"/>
      <c r="B41" s="55"/>
      <c r="C41" s="55"/>
      <c r="D41" s="55"/>
      <c r="E41" s="55"/>
      <c r="F41" s="55"/>
      <c r="G41" s="55"/>
      <c r="H41" s="55"/>
      <c r="I41" s="55"/>
      <c r="J41" s="56"/>
      <c r="K41" s="56"/>
      <c r="L41" s="55"/>
      <c r="M41" s="55"/>
      <c r="N41" s="55"/>
      <c r="O41" s="55"/>
      <c r="P41" s="55"/>
      <c r="Q41" s="54"/>
      <c r="R41" s="54"/>
      <c r="S41" s="54"/>
      <c r="T41" s="54"/>
      <c r="U41" s="54"/>
      <c r="V41" s="54"/>
    </row>
    <row r="42" spans="1:22" ht="60" customHeight="1">
      <c r="A42" s="55"/>
      <c r="B42" s="55"/>
      <c r="C42" s="55"/>
      <c r="D42" s="55"/>
      <c r="E42" s="55"/>
      <c r="F42" s="55"/>
      <c r="G42" s="55"/>
      <c r="H42" s="55"/>
      <c r="I42" s="55"/>
      <c r="J42" s="56"/>
      <c r="K42" s="56"/>
      <c r="L42" s="55"/>
      <c r="M42" s="55"/>
      <c r="N42" s="55"/>
      <c r="O42" s="55"/>
      <c r="P42" s="55"/>
      <c r="Q42" s="54"/>
      <c r="R42" s="54"/>
      <c r="S42" s="54"/>
      <c r="T42" s="54"/>
      <c r="U42" s="54"/>
      <c r="V42" s="54"/>
    </row>
    <row r="43" spans="1:22" ht="60" customHeight="1">
      <c r="A43" s="55"/>
      <c r="B43" s="55"/>
      <c r="C43" s="55"/>
      <c r="D43" s="55"/>
      <c r="E43" s="55"/>
      <c r="F43" s="55"/>
      <c r="G43" s="55"/>
      <c r="H43" s="55"/>
      <c r="I43" s="55"/>
      <c r="J43" s="56"/>
      <c r="K43" s="56"/>
      <c r="L43" s="55"/>
      <c r="M43" s="55"/>
      <c r="N43" s="55"/>
      <c r="O43" s="55"/>
      <c r="P43" s="55"/>
      <c r="Q43" s="54"/>
      <c r="R43" s="54"/>
      <c r="S43" s="54"/>
      <c r="T43" s="54"/>
      <c r="U43" s="54"/>
      <c r="V43" s="54"/>
    </row>
    <row r="44" spans="1:17" ht="60" customHeight="1">
      <c r="A44" s="55"/>
      <c r="B44" s="55"/>
      <c r="C44" s="55"/>
      <c r="D44" s="55"/>
      <c r="E44" s="55"/>
      <c r="F44" s="55"/>
      <c r="G44" s="55"/>
      <c r="H44" s="55"/>
      <c r="I44" s="55"/>
      <c r="J44" s="56"/>
      <c r="K44" s="56"/>
      <c r="L44" s="55"/>
      <c r="M44" s="55"/>
      <c r="N44" s="55"/>
      <c r="O44" s="55"/>
      <c r="P44" s="55"/>
      <c r="Q44" s="54"/>
    </row>
    <row r="45" spans="1:17" ht="60" customHeight="1">
      <c r="A45" s="55"/>
      <c r="B45" s="55"/>
      <c r="C45" s="55"/>
      <c r="D45" s="55"/>
      <c r="E45" s="55"/>
      <c r="F45" s="55"/>
      <c r="G45" s="55"/>
      <c r="H45" s="55"/>
      <c r="I45" s="55"/>
      <c r="J45" s="56"/>
      <c r="K45" s="56"/>
      <c r="L45" s="55"/>
      <c r="M45" s="55"/>
      <c r="N45" s="55"/>
      <c r="O45" s="55"/>
      <c r="P45" s="55"/>
      <c r="Q45" s="54"/>
    </row>
    <row r="46" spans="1:17" ht="60" customHeight="1">
      <c r="A46" s="55"/>
      <c r="B46" s="55"/>
      <c r="C46" s="55"/>
      <c r="D46" s="55"/>
      <c r="E46" s="55"/>
      <c r="F46" s="55"/>
      <c r="G46" s="55"/>
      <c r="H46" s="55"/>
      <c r="I46" s="55"/>
      <c r="J46" s="56"/>
      <c r="K46" s="56"/>
      <c r="L46" s="55"/>
      <c r="M46" s="55"/>
      <c r="N46" s="55"/>
      <c r="O46" s="55"/>
      <c r="P46" s="55"/>
      <c r="Q46" s="54"/>
    </row>
    <row r="47" spans="1:17" ht="60" customHeight="1">
      <c r="A47" s="55"/>
      <c r="B47" s="55"/>
      <c r="C47" s="55"/>
      <c r="D47" s="55"/>
      <c r="E47" s="55"/>
      <c r="F47" s="55"/>
      <c r="G47" s="55"/>
      <c r="H47" s="55"/>
      <c r="I47" s="55"/>
      <c r="J47" s="56"/>
      <c r="K47" s="56"/>
      <c r="L47" s="55"/>
      <c r="M47" s="55"/>
      <c r="N47" s="55"/>
      <c r="O47" s="55"/>
      <c r="P47" s="55"/>
      <c r="Q47" s="54"/>
    </row>
    <row r="48" spans="1:17" ht="60" customHeight="1">
      <c r="A48" s="55"/>
      <c r="B48" s="55"/>
      <c r="C48" s="55"/>
      <c r="D48" s="55"/>
      <c r="E48" s="55"/>
      <c r="F48" s="55"/>
      <c r="G48" s="55"/>
      <c r="H48" s="55"/>
      <c r="I48" s="55"/>
      <c r="J48" s="56"/>
      <c r="K48" s="56"/>
      <c r="L48" s="55"/>
      <c r="M48" s="55"/>
      <c r="N48" s="55"/>
      <c r="O48" s="55"/>
      <c r="P48" s="55"/>
      <c r="Q48" s="54"/>
    </row>
    <row r="49" spans="1:17" ht="60" customHeight="1">
      <c r="A49" s="55"/>
      <c r="B49" s="55"/>
      <c r="C49" s="55"/>
      <c r="D49" s="55"/>
      <c r="E49" s="55"/>
      <c r="F49" s="55"/>
      <c r="G49" s="55"/>
      <c r="H49" s="55"/>
      <c r="I49" s="55"/>
      <c r="J49" s="56"/>
      <c r="K49" s="56"/>
      <c r="L49" s="55"/>
      <c r="M49" s="55"/>
      <c r="N49" s="55"/>
      <c r="O49" s="55"/>
      <c r="P49" s="55"/>
      <c r="Q49" s="54"/>
    </row>
    <row r="50" spans="1:17" ht="60" customHeight="1">
      <c r="A50" s="55"/>
      <c r="B50" s="55"/>
      <c r="C50" s="55"/>
      <c r="D50" s="55"/>
      <c r="E50" s="55"/>
      <c r="F50" s="55"/>
      <c r="G50" s="55"/>
      <c r="H50" s="55"/>
      <c r="I50" s="55"/>
      <c r="J50" s="56"/>
      <c r="K50" s="56"/>
      <c r="L50" s="55"/>
      <c r="M50" s="55"/>
      <c r="N50" s="55"/>
      <c r="O50" s="55"/>
      <c r="P50" s="55"/>
      <c r="Q50" s="54"/>
    </row>
    <row r="51" spans="1:17" ht="60" customHeight="1">
      <c r="A51" s="55"/>
      <c r="B51" s="55"/>
      <c r="C51" s="55"/>
      <c r="D51" s="55"/>
      <c r="E51" s="55"/>
      <c r="F51" s="55"/>
      <c r="G51" s="55"/>
      <c r="H51" s="55"/>
      <c r="I51" s="55"/>
      <c r="J51" s="56"/>
      <c r="K51" s="56"/>
      <c r="L51" s="55"/>
      <c r="M51" s="55"/>
      <c r="N51" s="55"/>
      <c r="O51" s="55"/>
      <c r="P51" s="55"/>
      <c r="Q51" s="54"/>
    </row>
    <row r="52" spans="1:17" ht="60" customHeight="1">
      <c r="A52" s="55"/>
      <c r="B52" s="55"/>
      <c r="C52" s="55"/>
      <c r="D52" s="55"/>
      <c r="E52" s="55"/>
      <c r="F52" s="55"/>
      <c r="G52" s="55"/>
      <c r="H52" s="55"/>
      <c r="I52" s="55"/>
      <c r="J52" s="56"/>
      <c r="K52" s="56"/>
      <c r="L52" s="55"/>
      <c r="M52" s="55"/>
      <c r="N52" s="55"/>
      <c r="O52" s="55"/>
      <c r="P52" s="55"/>
      <c r="Q52" s="54"/>
    </row>
    <row r="53" spans="1:17" ht="60" customHeight="1">
      <c r="A53" s="55"/>
      <c r="B53" s="55"/>
      <c r="C53" s="55"/>
      <c r="D53" s="55"/>
      <c r="E53" s="55"/>
      <c r="F53" s="55"/>
      <c r="G53" s="55"/>
      <c r="H53" s="55"/>
      <c r="I53" s="55"/>
      <c r="J53" s="56"/>
      <c r="K53" s="56"/>
      <c r="L53" s="55"/>
      <c r="M53" s="55"/>
      <c r="N53" s="55"/>
      <c r="O53" s="55"/>
      <c r="P53" s="55"/>
      <c r="Q53" s="54"/>
    </row>
    <row r="54" spans="1:17" ht="60" customHeight="1">
      <c r="A54" s="55"/>
      <c r="B54" s="55"/>
      <c r="C54" s="55"/>
      <c r="D54" s="55"/>
      <c r="E54" s="55"/>
      <c r="F54" s="55"/>
      <c r="G54" s="55"/>
      <c r="H54" s="55"/>
      <c r="I54" s="55"/>
      <c r="J54" s="56"/>
      <c r="K54" s="56"/>
      <c r="L54" s="55"/>
      <c r="M54" s="55"/>
      <c r="N54" s="55"/>
      <c r="O54" s="55"/>
      <c r="P54" s="55"/>
      <c r="Q54" s="54"/>
    </row>
    <row r="55" spans="1:17" ht="60" customHeight="1">
      <c r="A55" s="55"/>
      <c r="B55" s="55"/>
      <c r="C55" s="55"/>
      <c r="D55" s="55"/>
      <c r="E55" s="55"/>
      <c r="F55" s="55"/>
      <c r="G55" s="55"/>
      <c r="H55" s="55"/>
      <c r="I55" s="55"/>
      <c r="J55" s="56"/>
      <c r="K55" s="56"/>
      <c r="L55" s="55"/>
      <c r="M55" s="55"/>
      <c r="N55" s="55"/>
      <c r="O55" s="55"/>
      <c r="P55" s="55"/>
      <c r="Q55" s="54"/>
    </row>
    <row r="56" spans="1:17" ht="60" customHeight="1">
      <c r="A56" s="55"/>
      <c r="B56" s="55"/>
      <c r="C56" s="55"/>
      <c r="D56" s="55"/>
      <c r="E56" s="55"/>
      <c r="F56" s="55"/>
      <c r="G56" s="55"/>
      <c r="H56" s="55"/>
      <c r="I56" s="55"/>
      <c r="J56" s="56"/>
      <c r="K56" s="56"/>
      <c r="L56" s="55"/>
      <c r="M56" s="55"/>
      <c r="N56" s="55"/>
      <c r="O56" s="55"/>
      <c r="P56" s="55"/>
      <c r="Q56" s="54"/>
    </row>
    <row r="57" spans="1:17" ht="60" customHeight="1">
      <c r="A57" s="55"/>
      <c r="B57" s="55"/>
      <c r="C57" s="55"/>
      <c r="D57" s="55"/>
      <c r="E57" s="55"/>
      <c r="F57" s="55"/>
      <c r="G57" s="55"/>
      <c r="H57" s="55"/>
      <c r="I57" s="55"/>
      <c r="J57" s="56"/>
      <c r="K57" s="56"/>
      <c r="L57" s="55"/>
      <c r="M57" s="55"/>
      <c r="N57" s="55"/>
      <c r="O57" s="55"/>
      <c r="P57" s="55"/>
      <c r="Q57" s="54"/>
    </row>
    <row r="58" spans="1:17" ht="60" customHeight="1">
      <c r="A58" s="55"/>
      <c r="B58" s="55"/>
      <c r="C58" s="55"/>
      <c r="D58" s="55"/>
      <c r="E58" s="55"/>
      <c r="F58" s="55"/>
      <c r="G58" s="55"/>
      <c r="H58" s="55"/>
      <c r="I58" s="55"/>
      <c r="J58" s="56"/>
      <c r="K58" s="56"/>
      <c r="L58" s="55"/>
      <c r="M58" s="55"/>
      <c r="N58" s="55"/>
      <c r="O58" s="55"/>
      <c r="P58" s="55"/>
      <c r="Q58" s="54"/>
    </row>
    <row r="59" spans="1:17" ht="60" customHeight="1">
      <c r="A59" s="55"/>
      <c r="B59" s="55"/>
      <c r="C59" s="55"/>
      <c r="D59" s="55"/>
      <c r="E59" s="55"/>
      <c r="F59" s="55"/>
      <c r="G59" s="55"/>
      <c r="H59" s="55"/>
      <c r="I59" s="55"/>
      <c r="J59" s="56"/>
      <c r="K59" s="56"/>
      <c r="L59" s="55"/>
      <c r="M59" s="55"/>
      <c r="N59" s="55"/>
      <c r="O59" s="55"/>
      <c r="P59" s="55"/>
      <c r="Q59" s="54"/>
    </row>
    <row r="60" spans="1:17" ht="60" customHeight="1">
      <c r="A60" s="55"/>
      <c r="B60" s="55"/>
      <c r="C60" s="55"/>
      <c r="D60" s="55"/>
      <c r="E60" s="55"/>
      <c r="F60" s="55"/>
      <c r="G60" s="55"/>
      <c r="H60" s="55"/>
      <c r="I60" s="55"/>
      <c r="J60" s="56"/>
      <c r="K60" s="56"/>
      <c r="L60" s="55"/>
      <c r="M60" s="55"/>
      <c r="N60" s="55"/>
      <c r="O60" s="55"/>
      <c r="P60" s="55"/>
      <c r="Q60" s="54"/>
    </row>
    <row r="61" spans="1:17" ht="60" customHeight="1">
      <c r="A61" s="55"/>
      <c r="B61" s="55"/>
      <c r="C61" s="55"/>
      <c r="D61" s="55"/>
      <c r="E61" s="55"/>
      <c r="F61" s="55"/>
      <c r="G61" s="55"/>
      <c r="H61" s="55"/>
      <c r="I61" s="55"/>
      <c r="J61" s="56"/>
      <c r="K61" s="56"/>
      <c r="L61" s="55"/>
      <c r="M61" s="55"/>
      <c r="N61" s="55"/>
      <c r="O61" s="55"/>
      <c r="P61" s="55"/>
      <c r="Q61" s="54"/>
    </row>
    <row r="62" spans="1:17" ht="60" customHeight="1">
      <c r="A62" s="55"/>
      <c r="B62" s="55"/>
      <c r="C62" s="55"/>
      <c r="D62" s="55"/>
      <c r="E62" s="55"/>
      <c r="F62" s="55"/>
      <c r="G62" s="55"/>
      <c r="H62" s="55"/>
      <c r="I62" s="55"/>
      <c r="J62" s="56"/>
      <c r="K62" s="56"/>
      <c r="L62" s="55"/>
      <c r="M62" s="55"/>
      <c r="N62" s="55"/>
      <c r="O62" s="55"/>
      <c r="P62" s="55"/>
      <c r="Q62" s="54"/>
    </row>
    <row r="63" spans="1:17" ht="60" customHeight="1">
      <c r="A63" s="55"/>
      <c r="B63" s="55"/>
      <c r="C63" s="55"/>
      <c r="D63" s="55"/>
      <c r="E63" s="55"/>
      <c r="F63" s="55"/>
      <c r="G63" s="55"/>
      <c r="H63" s="55"/>
      <c r="I63" s="55"/>
      <c r="J63" s="56"/>
      <c r="K63" s="56"/>
      <c r="L63" s="55"/>
      <c r="M63" s="55"/>
      <c r="N63" s="55"/>
      <c r="O63" s="55"/>
      <c r="P63" s="55"/>
      <c r="Q63" s="54"/>
    </row>
    <row r="64" spans="1:17" ht="60" customHeight="1">
      <c r="A64" s="55"/>
      <c r="B64" s="55"/>
      <c r="C64" s="55"/>
      <c r="D64" s="55"/>
      <c r="E64" s="55"/>
      <c r="F64" s="55"/>
      <c r="G64" s="55"/>
      <c r="H64" s="55"/>
      <c r="I64" s="55"/>
      <c r="J64" s="56"/>
      <c r="K64" s="56"/>
      <c r="L64" s="55"/>
      <c r="M64" s="55"/>
      <c r="N64" s="55"/>
      <c r="O64" s="55"/>
      <c r="P64" s="55"/>
      <c r="Q64" s="54"/>
    </row>
    <row r="65" spans="1:17" ht="60" customHeight="1">
      <c r="A65" s="55"/>
      <c r="B65" s="55"/>
      <c r="C65" s="55"/>
      <c r="D65" s="55"/>
      <c r="E65" s="55"/>
      <c r="F65" s="55"/>
      <c r="G65" s="55"/>
      <c r="H65" s="55"/>
      <c r="I65" s="55"/>
      <c r="J65" s="56"/>
      <c r="K65" s="56"/>
      <c r="L65" s="55"/>
      <c r="M65" s="55"/>
      <c r="N65" s="55"/>
      <c r="O65" s="55"/>
      <c r="P65" s="55"/>
      <c r="Q65" s="54"/>
    </row>
    <row r="66" spans="1:17" ht="60" customHeight="1">
      <c r="A66" s="55"/>
      <c r="B66" s="55"/>
      <c r="C66" s="55"/>
      <c r="D66" s="55"/>
      <c r="E66" s="55"/>
      <c r="F66" s="55"/>
      <c r="G66" s="55"/>
      <c r="H66" s="55"/>
      <c r="I66" s="55"/>
      <c r="J66" s="56"/>
      <c r="K66" s="56"/>
      <c r="L66" s="55"/>
      <c r="M66" s="55"/>
      <c r="N66" s="55"/>
      <c r="O66" s="55"/>
      <c r="P66" s="55"/>
      <c r="Q66" s="54"/>
    </row>
    <row r="67" spans="1:17" ht="60" customHeight="1">
      <c r="A67" s="55"/>
      <c r="B67" s="55"/>
      <c r="C67" s="55"/>
      <c r="D67" s="55"/>
      <c r="E67" s="55"/>
      <c r="F67" s="55"/>
      <c r="G67" s="55"/>
      <c r="H67" s="55"/>
      <c r="I67" s="55"/>
      <c r="J67" s="56"/>
      <c r="K67" s="56"/>
      <c r="L67" s="55"/>
      <c r="M67" s="55"/>
      <c r="N67" s="55"/>
      <c r="O67" s="55"/>
      <c r="P67" s="55"/>
      <c r="Q67" s="54"/>
    </row>
    <row r="68" spans="1:17" ht="60" customHeight="1">
      <c r="A68" s="55"/>
      <c r="B68" s="55"/>
      <c r="C68" s="55"/>
      <c r="D68" s="55"/>
      <c r="E68" s="55"/>
      <c r="F68" s="55"/>
      <c r="G68" s="55"/>
      <c r="H68" s="55"/>
      <c r="I68" s="55"/>
      <c r="J68" s="56"/>
      <c r="K68" s="56"/>
      <c r="L68" s="55"/>
      <c r="M68" s="55"/>
      <c r="N68" s="55"/>
      <c r="O68" s="55"/>
      <c r="P68" s="55"/>
      <c r="Q68" s="54"/>
    </row>
    <row r="69" spans="1:17" ht="60" customHeight="1">
      <c r="A69" s="55"/>
      <c r="B69" s="55"/>
      <c r="C69" s="55"/>
      <c r="D69" s="55"/>
      <c r="E69" s="55"/>
      <c r="F69" s="55"/>
      <c r="G69" s="55"/>
      <c r="H69" s="55"/>
      <c r="I69" s="55"/>
      <c r="J69" s="56"/>
      <c r="K69" s="56"/>
      <c r="L69" s="55"/>
      <c r="M69" s="55"/>
      <c r="N69" s="55"/>
      <c r="O69" s="55"/>
      <c r="P69" s="55"/>
      <c r="Q69" s="54"/>
    </row>
    <row r="70" spans="1:17" ht="60" customHeight="1">
      <c r="A70" s="55"/>
      <c r="B70" s="55"/>
      <c r="C70" s="55"/>
      <c r="D70" s="55"/>
      <c r="E70" s="55"/>
      <c r="F70" s="55"/>
      <c r="G70" s="55"/>
      <c r="H70" s="55"/>
      <c r="I70" s="55"/>
      <c r="J70" s="56"/>
      <c r="K70" s="56"/>
      <c r="L70" s="55"/>
      <c r="M70" s="55"/>
      <c r="N70" s="55"/>
      <c r="O70" s="55"/>
      <c r="P70" s="55"/>
      <c r="Q70" s="54"/>
    </row>
    <row r="71" spans="1:17" ht="60" customHeight="1">
      <c r="A71" s="55"/>
      <c r="B71" s="55"/>
      <c r="C71" s="55"/>
      <c r="D71" s="55"/>
      <c r="E71" s="55"/>
      <c r="F71" s="55"/>
      <c r="G71" s="55"/>
      <c r="H71" s="55"/>
      <c r="I71" s="55"/>
      <c r="J71" s="56"/>
      <c r="K71" s="56"/>
      <c r="L71" s="55"/>
      <c r="M71" s="55"/>
      <c r="N71" s="55"/>
      <c r="O71" s="55"/>
      <c r="P71" s="55"/>
      <c r="Q71" s="54"/>
    </row>
    <row r="72" spans="1:17" ht="60" customHeight="1">
      <c r="A72" s="55"/>
      <c r="B72" s="55"/>
      <c r="C72" s="55"/>
      <c r="D72" s="55"/>
      <c r="E72" s="55"/>
      <c r="F72" s="55"/>
      <c r="G72" s="55"/>
      <c r="H72" s="55"/>
      <c r="I72" s="55"/>
      <c r="J72" s="56"/>
      <c r="K72" s="56"/>
      <c r="L72" s="55"/>
      <c r="M72" s="55"/>
      <c r="N72" s="55"/>
      <c r="O72" s="55"/>
      <c r="P72" s="55"/>
      <c r="Q72" s="54"/>
    </row>
    <row r="73" spans="1:17" ht="60" customHeight="1">
      <c r="A73" s="55"/>
      <c r="B73" s="55"/>
      <c r="C73" s="55"/>
      <c r="D73" s="55"/>
      <c r="E73" s="55"/>
      <c r="F73" s="55"/>
      <c r="G73" s="55"/>
      <c r="H73" s="55"/>
      <c r="I73" s="55"/>
      <c r="J73" s="56"/>
      <c r="K73" s="56"/>
      <c r="L73" s="55"/>
      <c r="M73" s="55"/>
      <c r="N73" s="55"/>
      <c r="O73" s="55"/>
      <c r="P73" s="55"/>
      <c r="Q73" s="54"/>
    </row>
    <row r="74" spans="1:17" ht="60" customHeight="1">
      <c r="A74" s="55"/>
      <c r="B74" s="55"/>
      <c r="C74" s="55"/>
      <c r="D74" s="55"/>
      <c r="E74" s="55"/>
      <c r="F74" s="55"/>
      <c r="G74" s="55"/>
      <c r="H74" s="55"/>
      <c r="I74" s="55"/>
      <c r="J74" s="56"/>
      <c r="K74" s="56"/>
      <c r="L74" s="55"/>
      <c r="M74" s="55"/>
      <c r="N74" s="55"/>
      <c r="O74" s="55"/>
      <c r="P74" s="55"/>
      <c r="Q74" s="54"/>
    </row>
    <row r="75" spans="1:17" ht="60" customHeight="1">
      <c r="A75" s="55"/>
      <c r="B75" s="55"/>
      <c r="C75" s="55"/>
      <c r="D75" s="55"/>
      <c r="E75" s="55"/>
      <c r="F75" s="55"/>
      <c r="G75" s="55"/>
      <c r="H75" s="55"/>
      <c r="I75" s="55"/>
      <c r="J75" s="56"/>
      <c r="K75" s="56"/>
      <c r="L75" s="55"/>
      <c r="M75" s="55"/>
      <c r="N75" s="55"/>
      <c r="O75" s="55"/>
      <c r="P75" s="55"/>
      <c r="Q75" s="54"/>
    </row>
    <row r="76" spans="1:17" ht="60" customHeight="1">
      <c r="A76" s="55"/>
      <c r="B76" s="55"/>
      <c r="C76" s="55"/>
      <c r="D76" s="55"/>
      <c r="E76" s="55"/>
      <c r="F76" s="55"/>
      <c r="G76" s="55"/>
      <c r="H76" s="55"/>
      <c r="I76" s="55"/>
      <c r="J76" s="56"/>
      <c r="K76" s="56"/>
      <c r="L76" s="55"/>
      <c r="M76" s="55"/>
      <c r="N76" s="55"/>
      <c r="O76" s="55"/>
      <c r="P76" s="55"/>
      <c r="Q76" s="54"/>
    </row>
    <row r="77" spans="1:17" ht="60" customHeight="1">
      <c r="A77" s="55"/>
      <c r="B77" s="55"/>
      <c r="C77" s="55"/>
      <c r="D77" s="55"/>
      <c r="E77" s="55"/>
      <c r="F77" s="55"/>
      <c r="G77" s="55"/>
      <c r="H77" s="55"/>
      <c r="I77" s="55"/>
      <c r="J77" s="56"/>
      <c r="K77" s="56"/>
      <c r="L77" s="55"/>
      <c r="M77" s="55"/>
      <c r="N77" s="55"/>
      <c r="O77" s="55"/>
      <c r="P77" s="55"/>
      <c r="Q77" s="54"/>
    </row>
  </sheetData>
  <sheetProtection formatCells="0" formatRows="0" insertColumns="0" insertRows="0"/>
  <mergeCells count="44">
    <mergeCell ref="A1:V1"/>
    <mergeCell ref="O2:V2"/>
    <mergeCell ref="O3:V7"/>
    <mergeCell ref="J2:N2"/>
    <mergeCell ref="J3:N3"/>
    <mergeCell ref="J4:N4"/>
    <mergeCell ref="J5:N5"/>
    <mergeCell ref="J6:N6"/>
    <mergeCell ref="C2:E2"/>
    <mergeCell ref="C3:E3"/>
    <mergeCell ref="C4:E4"/>
    <mergeCell ref="F2:I2"/>
    <mergeCell ref="F3:I3"/>
    <mergeCell ref="F4:I4"/>
    <mergeCell ref="A2:B2"/>
    <mergeCell ref="A3:B3"/>
    <mergeCell ref="A4:B4"/>
    <mergeCell ref="F5:I7"/>
    <mergeCell ref="H8:H10"/>
    <mergeCell ref="I8:I10"/>
    <mergeCell ref="J8:J10"/>
    <mergeCell ref="E8:E10"/>
    <mergeCell ref="F8:F10"/>
    <mergeCell ref="G8:G10"/>
    <mergeCell ref="C8:C10"/>
    <mergeCell ref="D8:D10"/>
    <mergeCell ref="A5:B5"/>
    <mergeCell ref="C5:E5"/>
    <mergeCell ref="A6:E7"/>
    <mergeCell ref="A8:A10"/>
    <mergeCell ref="B8:B10"/>
    <mergeCell ref="J7:N7"/>
    <mergeCell ref="Q8:Q10"/>
    <mergeCell ref="K8:K10"/>
    <mergeCell ref="L8:L10"/>
    <mergeCell ref="N8:N10"/>
    <mergeCell ref="O8:O10"/>
    <mergeCell ref="P8:P10"/>
    <mergeCell ref="M8:M10"/>
    <mergeCell ref="R8:R10"/>
    <mergeCell ref="S8:S10"/>
    <mergeCell ref="T8:T10"/>
    <mergeCell ref="U8:U10"/>
    <mergeCell ref="V8:V10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F7D6E-0161-4E4E-BC2B-3BDC1930EC97}">
  <sheetPr codeName="Sheet7">
    <pageSetUpPr fitToPage="1"/>
  </sheetPr>
  <dimension ref="A1:AN24"/>
  <sheetViews>
    <sheetView showZeros="0" view="pageBreakPreview" zoomScale="30" zoomScaleNormal="25" zoomScaleSheetLayoutView="30" zoomScalePageLayoutView="25" workbookViewId="0" topLeftCell="A10">
      <selection pane="topLeft" activeCell="Y13" sqref="A13:XFD22"/>
    </sheetView>
  </sheetViews>
  <sheetFormatPr defaultColWidth="9.44140625" defaultRowHeight="100.2" customHeight="1"/>
  <cols>
    <col min="1" max="1" width="16.4285714285714" style="28" customWidth="1"/>
    <col min="2" max="2" width="49.4285714285714" style="28" customWidth="1"/>
    <col min="3" max="3" width="25.4285714285714" style="28" customWidth="1"/>
    <col min="4" max="4" width="27" style="28" customWidth="1"/>
    <col min="5" max="5" width="23.4285714285714" style="28" customWidth="1"/>
    <col min="6" max="6" width="48" style="28" customWidth="1"/>
    <col min="7" max="7" width="27.4285714285714" style="28" customWidth="1"/>
    <col min="8" max="8" width="25.5714285714286" style="28" customWidth="1"/>
    <col min="9" max="9" width="27.4285714285714" style="28" customWidth="1"/>
    <col min="10" max="10" width="23.4285714285714" style="28" customWidth="1"/>
    <col min="11" max="11" width="49.4285714285714" style="28" customWidth="1"/>
    <col min="12" max="12" width="29" style="28" customWidth="1"/>
    <col min="13" max="13" width="36.4285714285714" style="28" customWidth="1"/>
    <col min="14" max="14" width="32.4285714285714" style="28" customWidth="1"/>
    <col min="15" max="15" width="57.4285714285714" style="28" customWidth="1"/>
    <col min="16" max="16" width="26.4285714285714" style="28" customWidth="1"/>
    <col min="17" max="17" width="40.5714285714286" style="28" customWidth="1"/>
    <col min="18" max="18" width="23.4285714285714" style="28" customWidth="1"/>
    <col min="19" max="19" width="47.5714285714286" style="28" customWidth="1"/>
    <col min="20" max="20" width="27.5714285714286" style="28" customWidth="1"/>
    <col min="21" max="21" width="31.4285714285714" style="28" customWidth="1"/>
    <col min="22" max="22" width="29.4285714285714" customWidth="1"/>
    <col min="23" max="23" width="25.4285714285714" customWidth="1"/>
    <col min="24" max="24" width="35.5714285714286" customWidth="1"/>
    <col min="25" max="25" width="38.5714285714286" customWidth="1"/>
    <col min="26" max="26" width="27.5714285714286" customWidth="1"/>
    <col min="27" max="27" width="28.4285714285714" customWidth="1"/>
    <col min="28" max="28" width="24.5714285714286" customWidth="1"/>
    <col min="29" max="29" width="36.4285714285714" customWidth="1"/>
    <col min="30" max="30" width="27.5714285714286" customWidth="1"/>
    <col min="31" max="31" width="37.5714285714286" customWidth="1"/>
    <col min="32" max="32" width="27.4285714285714" customWidth="1"/>
    <col min="33" max="33" width="36.5714285714286" customWidth="1"/>
    <col min="34" max="34" width="26.4285714285714" customWidth="1"/>
    <col min="35" max="35" width="26.5714285714286" bestFit="1" customWidth="1"/>
    <col min="36" max="36" width="24" customWidth="1"/>
    <col min="37" max="37" width="22.4285714285714" bestFit="1" customWidth="1"/>
    <col min="38" max="38" width="31.4285714285714" customWidth="1"/>
    <col min="40" max="40" width="34.4285714285714" customWidth="1"/>
  </cols>
  <sheetData>
    <row r="1" spans="1:27" ht="159.75" customHeight="1">
      <c r="A1" s="259" t="s">
        <v>186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  <c r="U1" s="259"/>
      <c r="V1" s="259"/>
      <c r="W1" s="259"/>
      <c r="X1" s="259"/>
      <c r="Y1" s="259"/>
      <c r="Z1" s="259"/>
      <c r="AA1" s="259"/>
    </row>
    <row r="2" spans="1:27" s="17" customFormat="1" ht="104.25" customHeight="1">
      <c r="A2" s="260" t="str">
        <f>IF(OR(A9="Brax Retail",A9="Brax Wholesale"),"Brax Window Treatments","Davidson's Blinds &amp; Shutters")</f>
        <v>Davidson's Blinds &amp; Shutters</v>
      </c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0"/>
      <c r="Y2" s="260"/>
      <c r="Z2" s="260"/>
      <c r="AA2" s="260"/>
    </row>
    <row r="3" spans="1:27" s="17" customFormat="1" ht="116.25" customHeight="1">
      <c r="A3" s="261" t="s">
        <v>6491</v>
      </c>
      <c r="B3" s="261"/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  <c r="X3" s="261"/>
      <c r="Y3" s="261"/>
      <c r="Z3" s="261"/>
      <c r="AA3" s="261"/>
    </row>
    <row r="4" spans="1:27" s="17" customFormat="1" ht="116.25" customHeight="1">
      <c r="A4" s="262" t="str">
        <f>IF(Data!AW11="","",VLOOKUP("CURTMAKING",Data!CI:CJ,2,FALSE))</f>
        <v>Jenny's Curtains - 9 Whitehills Rd, Creswick, Vic, 3363</v>
      </c>
      <c r="B4" s="262"/>
      <c r="C4" s="262"/>
      <c r="D4" s="262"/>
      <c r="E4" s="262"/>
      <c r="F4" s="262"/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262"/>
      <c r="R4" s="262"/>
      <c r="S4" s="262"/>
      <c r="T4" s="262"/>
      <c r="U4" s="262"/>
      <c r="V4" s="262"/>
      <c r="W4" s="262"/>
      <c r="X4" s="262"/>
      <c r="Y4" s="262"/>
      <c r="Z4" s="262"/>
      <c r="AA4" s="262"/>
    </row>
    <row r="5" spans="1:27" s="19" customFormat="1" ht="60" customHeight="1">
      <c r="A5" s="246" t="s">
        <v>7</v>
      </c>
      <c r="B5" s="246"/>
      <c r="C5" s="245"/>
      <c r="D5" s="245"/>
      <c r="E5" s="245"/>
      <c r="F5" s="245" t="s">
        <v>94</v>
      </c>
      <c r="G5" s="245"/>
      <c r="H5" s="245"/>
      <c r="I5" s="245"/>
      <c r="J5" s="247" t="str">
        <f>Data!BF5</f>
        <v>Hare, Kaitlin</v>
      </c>
      <c r="K5" s="247"/>
      <c r="L5" s="247"/>
      <c r="M5" s="247"/>
      <c r="N5" s="247"/>
      <c r="O5" s="241" t="s">
        <v>4</v>
      </c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1"/>
      <c r="AA5" s="241"/>
    </row>
    <row r="6" spans="1:27" s="19" customFormat="1" ht="60" customHeight="1">
      <c r="A6" s="246" t="s">
        <v>117</v>
      </c>
      <c r="B6" s="246"/>
      <c r="C6" s="252" t="str">
        <f>Data!BC5</f>
        <v>39776</v>
      </c>
      <c r="D6" s="252"/>
      <c r="E6" s="252"/>
      <c r="F6" s="248" t="s">
        <v>8</v>
      </c>
      <c r="G6" s="248"/>
      <c r="H6" s="248"/>
      <c r="I6" s="248"/>
      <c r="J6" s="249" t="str">
        <f>Data!AX5</f>
        <v>Whole House</v>
      </c>
      <c r="K6" s="249"/>
      <c r="L6" s="249"/>
      <c r="M6" s="249"/>
      <c r="N6" s="249"/>
      <c r="O6" s="263" t="str">
        <f>TRIM(Data!BG5)</f>
        <v/>
      </c>
      <c r="P6" s="263"/>
      <c r="Q6" s="263"/>
      <c r="R6" s="263"/>
      <c r="S6" s="263"/>
      <c r="T6" s="263"/>
      <c r="U6" s="263"/>
      <c r="V6" s="263"/>
      <c r="W6" s="263"/>
      <c r="X6" s="263"/>
      <c r="Y6" s="263"/>
      <c r="Z6" s="254" t="s">
        <v>5862</v>
      </c>
      <c r="AA6" s="254" t="s">
        <v>5863</v>
      </c>
    </row>
    <row r="7" spans="1:27" s="8" customFormat="1" ht="60" customHeight="1">
      <c r="A7" s="251" t="s">
        <v>14</v>
      </c>
      <c r="B7" s="251"/>
      <c r="C7" s="252" t="str">
        <f>Data!BD5</f>
        <v>F</v>
      </c>
      <c r="D7" s="252"/>
      <c r="E7" s="252"/>
      <c r="F7" s="248" t="s">
        <v>112</v>
      </c>
      <c r="G7" s="248"/>
      <c r="H7" s="248"/>
      <c r="I7" s="248"/>
      <c r="J7" s="249" t="str">
        <f>Data!BA5</f>
        <v>13/10/2026 12:00:00 AM</v>
      </c>
      <c r="K7" s="249"/>
      <c r="L7" s="249"/>
      <c r="M7" s="249"/>
      <c r="N7" s="249"/>
      <c r="O7" s="263"/>
      <c r="P7" s="263"/>
      <c r="Q7" s="263"/>
      <c r="R7" s="263"/>
      <c r="S7" s="263"/>
      <c r="T7" s="263"/>
      <c r="U7" s="263"/>
      <c r="V7" s="263"/>
      <c r="W7" s="263"/>
      <c r="X7" s="263"/>
      <c r="Y7" s="263"/>
      <c r="Z7" s="254"/>
      <c r="AA7" s="254"/>
    </row>
    <row r="8" spans="1:27" s="8" customFormat="1" ht="60" customHeight="1">
      <c r="A8" s="256" t="s">
        <v>9</v>
      </c>
      <c r="B8" s="256"/>
      <c r="C8" s="266" t="str">
        <f>Data!AY5</f>
        <v>12/08/2026 12:00:00 AM</v>
      </c>
      <c r="D8" s="266"/>
      <c r="E8" s="266"/>
      <c r="F8" s="252" t="s">
        <v>12</v>
      </c>
      <c r="G8" s="252"/>
      <c r="H8" s="252"/>
      <c r="I8" s="252"/>
      <c r="J8" s="247" t="str">
        <f>TRIM(Data!BF5)</f>
        <v>Hare, Kaitlin</v>
      </c>
      <c r="K8" s="247"/>
      <c r="L8" s="247"/>
      <c r="M8" s="247"/>
      <c r="N8" s="247"/>
      <c r="O8" s="263"/>
      <c r="P8" s="263"/>
      <c r="Q8" s="263"/>
      <c r="R8" s="263"/>
      <c r="S8" s="263"/>
      <c r="T8" s="263"/>
      <c r="U8" s="263"/>
      <c r="V8" s="263"/>
      <c r="W8" s="263"/>
      <c r="X8" s="263"/>
      <c r="Y8" s="263"/>
      <c r="Z8" s="254"/>
      <c r="AA8" s="254"/>
    </row>
    <row r="9" spans="1:27" s="8" customFormat="1" ht="60" customHeight="1">
      <c r="A9" s="250" t="str">
        <f>Data!CZ5</f>
        <v>Retail Customer</v>
      </c>
      <c r="B9" s="250"/>
      <c r="C9" s="250"/>
      <c r="D9" s="250"/>
      <c r="E9" s="250"/>
      <c r="F9" s="252"/>
      <c r="G9" s="252"/>
      <c r="H9" s="252"/>
      <c r="I9" s="252"/>
      <c r="J9" s="247" t="str">
        <f>CONCATENATE(Data!BH5," ",Data!BI5," ",Data!BJ5," ",Data!BK5," ",Data!BL5)</f>
        <v xml:space="preserve"> 219  Wendouree Parade  </v>
      </c>
      <c r="K9" s="247"/>
      <c r="L9" s="247"/>
      <c r="M9" s="247"/>
      <c r="N9" s="247"/>
      <c r="O9" s="263"/>
      <c r="P9" s="263"/>
      <c r="Q9" s="263"/>
      <c r="R9" s="263"/>
      <c r="S9" s="263"/>
      <c r="T9" s="263"/>
      <c r="U9" s="263"/>
      <c r="V9" s="263"/>
      <c r="W9" s="263"/>
      <c r="X9" s="263"/>
      <c r="Y9" s="263"/>
      <c r="Z9" s="254"/>
      <c r="AA9" s="254"/>
    </row>
    <row r="10" spans="1:40" s="8" customFormat="1" ht="60" customHeight="1">
      <c r="A10" s="250"/>
      <c r="B10" s="250"/>
      <c r="C10" s="250"/>
      <c r="D10" s="250"/>
      <c r="E10" s="250"/>
      <c r="F10" s="252"/>
      <c r="G10" s="252"/>
      <c r="H10" s="252"/>
      <c r="I10" s="252"/>
      <c r="J10" s="247" t="str">
        <f>CONCATENATE(Data!BM5," ",Data!BN5," ",Data!BO5," ",Data!BP5)</f>
        <v>Lake Wendouree VIC 3350 Australia</v>
      </c>
      <c r="K10" s="247"/>
      <c r="L10" s="247"/>
      <c r="M10" s="247"/>
      <c r="N10" s="247"/>
      <c r="O10" s="263"/>
      <c r="P10" s="263"/>
      <c r="Q10" s="263"/>
      <c r="R10" s="263"/>
      <c r="S10" s="263"/>
      <c r="T10" s="263"/>
      <c r="U10" s="263"/>
      <c r="V10" s="263"/>
      <c r="W10" s="263"/>
      <c r="X10" s="263"/>
      <c r="Y10" s="263"/>
      <c r="Z10" s="141">
        <f>SUM(X13:X96)</f>
        <v>0</v>
      </c>
      <c r="AA10" s="141">
        <f>SUM(Y13:Y96)</f>
        <v>0</v>
      </c>
      <c r="AB10" s="182"/>
      <c r="AC10" s="181"/>
      <c r="AD10" s="178"/>
      <c r="AE10" s="179"/>
      <c r="AF10" s="19"/>
      <c r="AG10" s="242" t="s">
        <v>175</v>
      </c>
      <c r="AH10" s="243"/>
      <c r="AI10" s="243"/>
      <c r="AJ10" s="243"/>
      <c r="AK10" s="243"/>
      <c r="AL10" s="244"/>
      <c r="AN10" s="257" t="s">
        <v>7519</v>
      </c>
    </row>
    <row r="11" spans="1:40" s="42" customFormat="1" ht="210.6" customHeight="1">
      <c r="A11" s="264" t="s">
        <v>116</v>
      </c>
      <c r="B11" s="265" t="s">
        <v>96</v>
      </c>
      <c r="C11" s="241" t="s">
        <v>404</v>
      </c>
      <c r="D11" s="241" t="s">
        <v>405</v>
      </c>
      <c r="E11" s="255" t="s">
        <v>188</v>
      </c>
      <c r="F11" s="241" t="s">
        <v>139</v>
      </c>
      <c r="G11" s="255" t="s">
        <v>6587</v>
      </c>
      <c r="H11" s="255" t="s">
        <v>6588</v>
      </c>
      <c r="I11" s="255" t="s">
        <v>7295</v>
      </c>
      <c r="J11" s="255" t="s">
        <v>7296</v>
      </c>
      <c r="K11" s="241" t="s">
        <v>177</v>
      </c>
      <c r="L11" s="241" t="s">
        <v>178</v>
      </c>
      <c r="M11" s="241" t="s">
        <v>410</v>
      </c>
      <c r="N11" s="241" t="s">
        <v>556</v>
      </c>
      <c r="O11" s="241" t="s">
        <v>168</v>
      </c>
      <c r="P11" s="241" t="s">
        <v>407</v>
      </c>
      <c r="Q11" s="241" t="s">
        <v>192</v>
      </c>
      <c r="R11" s="255" t="s">
        <v>195</v>
      </c>
      <c r="S11" s="255" t="s">
        <v>175</v>
      </c>
      <c r="T11" s="241" t="s">
        <v>187</v>
      </c>
      <c r="U11" s="241" t="s">
        <v>11572</v>
      </c>
      <c r="V11" s="241" t="s">
        <v>378</v>
      </c>
      <c r="W11" s="255" t="s">
        <v>406</v>
      </c>
      <c r="X11" s="241" t="s">
        <v>5480</v>
      </c>
      <c r="Y11" s="241" t="s">
        <v>5</v>
      </c>
      <c r="Z11" s="253" t="s">
        <v>217</v>
      </c>
      <c r="AA11" s="253" t="s">
        <v>5861</v>
      </c>
      <c r="AC11" s="241" t="s">
        <v>199</v>
      </c>
      <c r="AD11" s="241" t="s">
        <v>198</v>
      </c>
      <c r="AE11" s="241" t="s">
        <v>230</v>
      </c>
      <c r="AG11" s="241" t="s">
        <v>199</v>
      </c>
      <c r="AH11" s="241" t="s">
        <v>198</v>
      </c>
      <c r="AI11" s="241" t="s">
        <v>230</v>
      </c>
      <c r="AJ11" s="241" t="s">
        <v>114</v>
      </c>
      <c r="AK11" s="241" t="s">
        <v>11140</v>
      </c>
      <c r="AL11" s="241" t="s">
        <v>11139</v>
      </c>
      <c r="AN11" s="258"/>
    </row>
    <row r="12" spans="1:40" s="42" customFormat="1" ht="14.25" customHeight="1" hidden="1">
      <c r="A12" s="264"/>
      <c r="B12" s="265"/>
      <c r="C12" s="241"/>
      <c r="D12" s="241"/>
      <c r="E12" s="255"/>
      <c r="F12" s="241"/>
      <c r="G12" s="255"/>
      <c r="H12" s="255"/>
      <c r="I12" s="255"/>
      <c r="J12" s="255"/>
      <c r="K12" s="241"/>
      <c r="L12" s="241"/>
      <c r="M12" s="241"/>
      <c r="N12" s="241"/>
      <c r="O12" s="241"/>
      <c r="P12" s="241"/>
      <c r="Q12" s="241"/>
      <c r="R12" s="255"/>
      <c r="S12" s="255"/>
      <c r="T12" s="241"/>
      <c r="U12" s="241"/>
      <c r="V12" s="241"/>
      <c r="W12" s="255"/>
      <c r="X12" s="241"/>
      <c r="Y12" s="241"/>
      <c r="Z12" s="253"/>
      <c r="AA12" s="253"/>
      <c r="AB12" s="43"/>
      <c r="AC12" s="241"/>
      <c r="AD12" s="241"/>
      <c r="AE12" s="241"/>
      <c r="AG12" s="241"/>
      <c r="AH12" s="241"/>
      <c r="AI12" s="241"/>
      <c r="AJ12" s="241"/>
      <c r="AK12" s="241"/>
      <c r="AL12" s="241"/>
      <c r="AN12" s="180"/>
    </row>
    <row r="13" spans="1:40" s="24" customFormat="1" ht="123.75">
      <c r="A13" s="135">
        <f>Data!AW11</f>
        <v>28</v>
      </c>
      <c r="B13" s="1" t="str">
        <f>Data!AY11</f>
        <v>Study ALTERATION</v>
      </c>
      <c r="C13" s="131">
        <f>IF(Data!AV11="","",('Job Sheet'!BX11+'Job Sheet'!BP11)/10)</f>
        <v>349.1</v>
      </c>
      <c r="D13" s="143">
        <f>IF(Data!BA11="","",'Job Sheet'!BQ11/10)</f>
        <v>262.5</v>
      </c>
      <c r="E13" s="134" t="str">
        <f>IF(Data!BA11="","",IF('Job Sheet'!BR11="","",ROUNDUP('Job Sheet'!BR11,0)))</f>
        <v/>
      </c>
      <c r="F13" s="136" t="str">
        <f>'Job Sheet'!S11</f>
        <v>Centre Opening</v>
      </c>
      <c r="G13" s="132">
        <f>IF(OR(Data!BA11="",F13="Single Panel - Right Stacking"),"",IF(AND('Job Sheet'!AI11="Straight",(OR(F13="Centre Opening (Offset Split)",F13="Centre Opening - Free Flowing (Offset Split)"))),('Job Sheet'!T11/10)+('Job Sheet'!BX11/20)+I13+3,IF(AND('Job Sheet'!V11="Yes - Centred on the 1st Bend",(OR(F13="Centre Opening (Offset Split)",F13="Centre Opening - Free Flowing (Offset Split)"))),('Job Sheet'!T11/10)-('Job Sheet'!CD11/20)+('Job Sheet'!BX11/20)+I13+3,IF(AND('Job Sheet'!V11="Yes - Centred on the 2nd Bend",(OR(F13="Centre Opening (Offset Split)",F13="Centre Opening - Free Flowing (Offset Split)"))),('Job Sheet'!T11/10)-('Job Sheet'!CD11/10)-('Job Sheet'!CE11/20)+('Job Sheet'!BX11/20)+I13+3,IF(AND('Job Sheet'!V11="Yes - Centred on the 3rd Bend",(OR(F13="Centre Opening (Offset Split)",F13="Centre Opening - Free Flowing (Offset Split)"))),('Job Sheet'!T11/10)-('Job Sheet'!CD11/10)-('Job Sheet'!CE11/10)-('Job Sheet'!CF11/20)+('Job Sheet'!BX11/20)+I13+3,IF(AND('Job Sheet'!V11="Yes - Centred on the 4th Bend",(OR(F13="Centre Opening (Offset Split)",F13="Centre Opening - Free Flowing (Offset Split)"))),('Job Sheet'!T11/10-'Job Sheet'!CD11/10)-('Job Sheet'!CE11/10)-('Job Sheet'!CF11/20)-('Job Sheet'!CG11/20)+('Job Sheet'!BX11/20)+I13+3,IF(AND('Job Sheet'!V11="No",(OR(F13="Centre Opening (Offset Split)",F13="Centre Opening - Free Flowing (Offset Split)"))),('Job Sheet'!T11/10-'Job Sheet'!CC11/10)+('Job Sheet'!BX11/20)+I13+3,IF(AND('Job Sheet'!V11="Yes - Not on the Bend",(OR(F13="Centre Opening (Offset Split)",F13="Centre Opening - Free Flowing (Offset Split)"))),('Job Sheet'!T11/10)+('Job Sheet'!BX11/20)+I13+3-IF(VALUE('Job Sheet'!AJ11)=1,IF(VALUE('Job Sheet'!T11)&lt;VALUE('Job Sheet'!AL11),'Job Sheet'!CD11/10,0),IF(VALUE('Job Sheet'!AJ11)=2,IF(VALUE('Job Sheet'!T11)&lt;VALUE('Job Sheet'!AO11),'Job Sheet'!CE11/10,0),IF(VALUE('Job Sheet'!AJ11)=3,IF(VALUE('Job Sheet'!T11)&lt;VALUE('Job Sheet'!AR11),'Job Sheet'!CF11/10,0),IF(VALUE('Job Sheet'!AJ11)=4,IF(VALUE('Job Sheet'!T11)&lt;VALUE('Job Sheet'!AU11),'Job Sheet'!CG11/10,0),0)))),IF(OR(F13="Centre Opening",F13="Centre Opening - Free Flowing"),(C13/2)+I13,IF(OR(F13="Single Panel - Left Stacking",F13="Single Panel - Free Flowing",F13="No Movement"),C13+I13))))))))))</f>
        <v>174.55</v>
      </c>
      <c r="H13" s="132">
        <f>IF(OR(Data!BA11="",F13="Single Panel - Left Stacking",F13="Single Panel - Free Flowing",F13="No Movement"),"",IF(AND('Job Sheet'!AI11="Straight",(OR(F13="Centre Opening (Offset Split)",F13="Centre Opening - Free Flowing (Offset Split)"))),('Job Sheet'!U11/10)+('Job Sheet'!BX11/20)+I13+3,IF(OR(F13="Centre Opening (Offset Split)",F13="Centre Opening - Free Flowing (Offset Split)"),(C13-G13)+J13+('Job Sheet'!BX11/20),IF(OR(F13="Centre Opening",F13="Centre Opening - Free Flowing"),(C13/2)+J13,IF(F13="Single Panel - Right Stacking",C13+J13)))))</f>
        <v>174.55</v>
      </c>
      <c r="I13" s="149">
        <f>IF(Data!AV11="","",VLOOKUP('Job Sheet'!X11,Returns,4,FALSE))</f>
        <v>0</v>
      </c>
      <c r="J13" s="149">
        <f>IF(Data!AV11="","",VLOOKUP('Job Sheet'!X11,Returns,5,FALSE))</f>
        <v>0</v>
      </c>
      <c r="K13" s="136" t="str">
        <f>'Job Sheet'!P11</f>
        <v>Wavefold (Standard Fullness x 2)</v>
      </c>
      <c r="L13" s="136" t="str">
        <f>'Job Sheet'!Q11</f>
        <v>75mm Clear Tape</v>
      </c>
      <c r="M13" s="137" t="str">
        <f>IF('Job Sheet'!R11="Gather Hook Normal","Gather Hook Middle Pocket",IF('Job Sheet'!R11="Gather Hook Level","Gather Hook Top Pocket",'Job Sheet'!R11))</f>
        <v>Wavefold Hooks</v>
      </c>
      <c r="N13" s="136" t="str">
        <f>'Job Sheet'!W11</f>
        <v>Standard 75mm</v>
      </c>
      <c r="O13" s="136" t="str">
        <f>'Job Sheet'!B11</f>
        <v>Nettex Brunswick (Continuous) Uncoated Talc</v>
      </c>
      <c r="P13" s="133">
        <f>'Job Sheet'!BS11</f>
        <v>320</v>
      </c>
      <c r="Q13" s="138" t="str">
        <f>IF(Data!BA11="","",VLOOKUP(O13,Fabrics,5,FALSE))</f>
        <v>100% linen</v>
      </c>
      <c r="R13" s="139">
        <f>IF(Data!BB11="","",VLOOKUP(O13,Fabrics,6,FALSE))</f>
        <v>3</v>
      </c>
      <c r="S13" s="137" t="str">
        <f>CONCATENATE('Job Sheet'!M11," ",'Job Sheet'!N11)</f>
        <v>No Lining </v>
      </c>
      <c r="T13" s="136" t="str">
        <f>'Job Sheet'!N11</f>
        <v/>
      </c>
      <c r="U13" s="136" t="str">
        <f>'Job Sheet'!O11</f>
        <v/>
      </c>
      <c r="V13" s="136" t="str">
        <f>IF(A13="","",IF('Job Sheet'!BF11="None","",CONCATENATE('Job Sheet'!BF11," ",'Job Sheet'!BG11,)))</f>
        <v xml:space="preserve"> </v>
      </c>
      <c r="W13" s="134">
        <f>IF(Data!AV11="","",IF(AC13="N/A",D13+30,(AD13)*ROUNDUP(AC13,0)/10))</f>
        <v>292.5</v>
      </c>
      <c r="X13" s="136" t="str">
        <f>IF(AND('Job Sheet'!BH11="DBS to Make",(OR('Job Sheet'!Z11="Wavefold Cord Operation",'Job Sheet'!Z11="Wavefold Hand Operation"))),"Davidson's",IF(AND('Job Sheet'!BH11="No Track or Rod Required",(OR('Job Sheet'!Z11="Wavefold Cord Operation",'Job Sheet'!Z11="Wavefold Hand Operation"))),"To Be Advised",IF(AND(OR('Job Sheet'!BH11="Track from TBS",'Job Sheet'!BH11="Track from Vanda",'Job Sheet'!BH11="Track from Unique Screens"),(OR(K13="Wavefold (Standard Fullness x 2)",K13="Wavefold (Less Fullness x 1.8)",K13="Wavefold (Extra Fullness x 2.2)",))),'Job Sheet'!BH11,"")))</f>
        <v>Track from TBS</v>
      </c>
      <c r="Y13" s="136" t="str">
        <f>'Job Sheet'!BN11</f>
        <v>Alteration to curtain drop</v>
      </c>
      <c r="Z13" s="140">
        <f>IF(Data!BA11="","",IF(AND(ISNUMBER(AN13),AE13="Y"),AN13,IF(AE13="Y",(ROUNDUP((('Job Sheet'!BP11*VLOOKUP(CONCATENATE(K13,F13),Fullness,2,FALSE)+'Job Sheet'!Y11)+VLOOKUP(CONCATENATE(K13,F13),Fullness,3,FALSE))/1000,0&lt;0.1)),IF(AE13="N",(ROUNDUP((W13*E13)/100,0&lt;0.1))))))</f>
        <v>8.5</v>
      </c>
      <c r="AA13" s="140" t="str">
        <f>IF(OR(Data!AV11="",AI13="N/A"),"",IF(AND(ISNUMBER(AN13),AI13="Y"),AN13,IF(AI13="Y",(ROUNDUP((('Job Sheet'!BP11*VLOOKUP(CONCATENATE(K13,F13),Fullness,2,FALSE)+'Job Sheet'!Y11)+VLOOKUP(CONCATENATE(K13,F13),Fullness,3,FALSE))/1000,0&lt;0.1)),IF(AI13="N",(ROUNDUP((AK13*AL13)/100,0&lt;0.1))))))</f>
        <v/>
      </c>
      <c r="AC13" s="112" t="str">
        <f>IF(Data!BA11="","",IF(AD13="N/A","N/A",('Job Sheet'!BQ11+300)/AD13))</f>
        <v>N/A</v>
      </c>
      <c r="AD13" s="112" t="str">
        <f>IF(Data!BA11="","",IF(VLOOKUP(O13,Fabrics,2,FALSE)=0,"N/A",VLOOKUP(O13,Fabrics,2,FALSE)))</f>
        <v>N/A</v>
      </c>
      <c r="AE13" s="112" t="str">
        <f>IF(Data!BA11="","",VLOOKUP(O13,Fabrics,4,FALSE))</f>
        <v>Y</v>
      </c>
      <c r="AG13" s="112" t="str">
        <f>IF(Data!BA11="","",IF(AH13="N/A","N/A",('Job Sheet'!BQ11+300)/AH13))</f>
        <v>N/A</v>
      </c>
      <c r="AH13" s="112" t="str">
        <f>IF(Data!BA11="","",IF(VLOOKUP(S13,Lining,2,FALSE)=0,"N/A",VLOOKUP(S13,Lining,2,FALSE)))</f>
        <v>N/A</v>
      </c>
      <c r="AI13" s="112" t="str">
        <f>IF(Data!BA11="","",VLOOKUP(S13,Lining,4,FALSE))</f>
        <v>N/A</v>
      </c>
      <c r="AJ13" s="112">
        <f>IF(Data!BA11="","",VLOOKUP(S13,Lining,3,FALSE))</f>
        <v>0</v>
      </c>
      <c r="AK13" s="112" t="str">
        <f>IF(OR(AE13="Y",Data!AV11="",AJ13=0),"",ROUNDUP((('Job Sheet'!BP11*VLOOKUP(K13&amp;F13,Fullness,2,FALSE))+'Job Sheet'!BX11+(I13*10)+(J13*10))/AJ13,0))</f>
        <v/>
      </c>
      <c r="AL13" s="112">
        <f>IF(Data!AV11="","",IF(AG13="N/A",D13+30,(AH13)*ROUNDUP(AG13,0)/10))</f>
        <v>292.5</v>
      </c>
      <c r="AN13" s="155" t="str">
        <f>IF('Job Sheet'!BY11="Centre Opening 100%",VLOOKUP('Job Sheet'!BP11,COPEN100,4,TRUE),IF('Job Sheet'!BY11="Centre Opening 120%",VLOOKUP('Job Sheet'!BP11,COPEN100,4,TRUE),IF('Job Sheet'!BY11="Centre Opening 80%",VLOOKUP('Job Sheet'!BP11,COPEN100,4,TRUE),IF('Job Sheet'!BY11="100% One Way",VLOOKUP('Job Sheet'!BP11,OneWay100,4,TRUE),IF('Job Sheet'!BY11="120% One Way",VLOOKUP('Job Sheet'!BP11,OneWay100,4,TRUE),IF('Job Sheet'!BY11="80% One Way",VLOOKUP('Job Sheet'!BP11,OneWay100,4,TRUE),""))))))</f>
        <v/>
      </c>
    </row>
    <row r="14" spans="1:40" s="24" customFormat="1" ht="123.75">
      <c r="A14" s="135">
        <f>Data!AW12</f>
        <v>29</v>
      </c>
      <c r="B14" s="1" t="str">
        <f>Data!AY12</f>
        <v>Hallway Door (IN) ALTERATION</v>
      </c>
      <c r="C14" s="131">
        <f>IF(Data!AV12="","",('Job Sheet'!BX12+'Job Sheet'!BP12)/10)</f>
        <v>265.5</v>
      </c>
      <c r="D14" s="143">
        <f>IF(Data!BA12="","",'Job Sheet'!BQ12/10)</f>
        <v>242.5</v>
      </c>
      <c r="E14" s="134" t="str">
        <f>IF(Data!BA12="","",IF('Job Sheet'!BR12="","",ROUNDUP('Job Sheet'!BR12,0)))</f>
        <v/>
      </c>
      <c r="F14" s="136" t="str">
        <f>'Job Sheet'!S12</f>
        <v>Centre Opening</v>
      </c>
      <c r="G14" s="132">
        <f>IF(OR(Data!BA12="",F14="Single Panel - Right Stacking"),"",IF(AND('Job Sheet'!AI12="Straight",(OR(F14="Centre Opening (Offset Split)",F14="Centre Opening - Free Flowing (Offset Split)"))),('Job Sheet'!T12/10)+('Job Sheet'!BX12/20)+I14+3,IF(AND('Job Sheet'!V12="Yes - Centred on the 1st Bend",(OR(F14="Centre Opening (Offset Split)",F14="Centre Opening - Free Flowing (Offset Split)"))),('Job Sheet'!T12/10)-('Job Sheet'!CD12/20)+('Job Sheet'!BX12/20)+I14+3,IF(AND('Job Sheet'!V12="Yes - Centred on the 2nd Bend",(OR(F14="Centre Opening (Offset Split)",F14="Centre Opening - Free Flowing (Offset Split)"))),('Job Sheet'!T12/10)-('Job Sheet'!CD12/10)-('Job Sheet'!CE12/20)+('Job Sheet'!BX12/20)+I14+3,IF(AND('Job Sheet'!V12="Yes - Centred on the 3rd Bend",(OR(F14="Centre Opening (Offset Split)",F14="Centre Opening - Free Flowing (Offset Split)"))),('Job Sheet'!T12/10)-('Job Sheet'!CD12/10)-('Job Sheet'!CE12/10)-('Job Sheet'!CF12/20)+('Job Sheet'!BX12/20)+I14+3,IF(AND('Job Sheet'!V12="Yes - Centred on the 4th Bend",(OR(F14="Centre Opening (Offset Split)",F14="Centre Opening - Free Flowing (Offset Split)"))),('Job Sheet'!T12/10-'Job Sheet'!CD12/10)-('Job Sheet'!CE12/10)-('Job Sheet'!CF12/20)-('Job Sheet'!CG12/20)+('Job Sheet'!BX12/20)+I14+3,IF(AND('Job Sheet'!V12="No",(OR(F14="Centre Opening (Offset Split)",F14="Centre Opening - Free Flowing (Offset Split)"))),('Job Sheet'!T12/10-'Job Sheet'!CC12/10)+('Job Sheet'!BX12/20)+I14+3,IF(AND('Job Sheet'!V12="Yes - Not on the Bend",(OR(F14="Centre Opening (Offset Split)",F14="Centre Opening - Free Flowing (Offset Split)"))),('Job Sheet'!T12/10)+('Job Sheet'!BX12/20)+I14+3-IF(VALUE('Job Sheet'!AJ12)=1,IF(VALUE('Job Sheet'!T12)&lt;VALUE('Job Sheet'!AL12),'Job Sheet'!CD12/10,0),IF(VALUE('Job Sheet'!AJ12)=2,IF(VALUE('Job Sheet'!T12)&lt;VALUE('Job Sheet'!AO12),'Job Sheet'!CE12/10,0),IF(VALUE('Job Sheet'!AJ12)=3,IF(VALUE('Job Sheet'!T12)&lt;VALUE('Job Sheet'!AR12),'Job Sheet'!CF12/10,0),IF(VALUE('Job Sheet'!AJ12)=4,IF(VALUE('Job Sheet'!T12)&lt;VALUE('Job Sheet'!AU12),'Job Sheet'!CG12/10,0),0)))),IF(OR(F14="Centre Opening",F14="Centre Opening - Free Flowing"),(C14/2)+I14,IF(OR(F14="Single Panel - Left Stacking",F14="Single Panel - Free Flowing",F14="No Movement"),C14+I14))))))))))</f>
        <v>132.75</v>
      </c>
      <c r="H14" s="132">
        <f>IF(OR(Data!BA12="",F14="Single Panel - Left Stacking",F14="Single Panel - Free Flowing",F14="No Movement"),"",IF(AND('Job Sheet'!AI12="Straight",(OR(F14="Centre Opening (Offset Split)",F14="Centre Opening - Free Flowing (Offset Split)"))),('Job Sheet'!U12/10)+('Job Sheet'!BX12/20)+I14+3,IF(OR(F14="Centre Opening (Offset Split)",F14="Centre Opening - Free Flowing (Offset Split)"),(C14-G14)+J14+('Job Sheet'!BX12/20),IF(OR(F14="Centre Opening",F14="Centre Opening - Free Flowing"),(C14/2)+J14,IF(F14="Single Panel - Right Stacking",C14+J14)))))</f>
        <v>132.75</v>
      </c>
      <c r="I14" s="149">
        <f>IF(Data!AV12="","",VLOOKUP('Job Sheet'!X12,Returns,4,FALSE))</f>
        <v>0</v>
      </c>
      <c r="J14" s="149">
        <f>IF(Data!AV12="","",VLOOKUP('Job Sheet'!X12,Returns,5,FALSE))</f>
        <v>0</v>
      </c>
      <c r="K14" s="136" t="str">
        <f>'Job Sheet'!P12</f>
        <v>Wavefold (Standard Fullness x 2)</v>
      </c>
      <c r="L14" s="136" t="str">
        <f>'Job Sheet'!Q12</f>
        <v>75mm Clear Tape</v>
      </c>
      <c r="M14" s="137" t="str">
        <f>IF('Job Sheet'!R12="Gather Hook Normal","Gather Hook Middle Pocket",IF('Job Sheet'!R12="Gather Hook Level","Gather Hook Top Pocket",'Job Sheet'!R12))</f>
        <v>Wavefold Hooks</v>
      </c>
      <c r="N14" s="136" t="str">
        <f>'Job Sheet'!W12</f>
        <v>Standard 75mm</v>
      </c>
      <c r="O14" s="136" t="str">
        <f>'Job Sheet'!B12</f>
        <v>Nettex Brunswick (Continuous) Uncoated Talc</v>
      </c>
      <c r="P14" s="133">
        <f>'Job Sheet'!BS12</f>
        <v>320</v>
      </c>
      <c r="Q14" s="138" t="str">
        <f>IF(Data!BA12="","",VLOOKUP(O14,Fabrics,5,FALSE))</f>
        <v>100% linen</v>
      </c>
      <c r="R14" s="139">
        <f>IF(Data!BB12="","",VLOOKUP(O14,Fabrics,6,FALSE))</f>
        <v>3</v>
      </c>
      <c r="S14" s="137" t="str">
        <f>CONCATENATE('Job Sheet'!M12," ",'Job Sheet'!N12)</f>
        <v>No Lining </v>
      </c>
      <c r="T14" s="136" t="str">
        <f>'Job Sheet'!N12</f>
        <v/>
      </c>
      <c r="U14" s="136" t="str">
        <f>'Job Sheet'!O12</f>
        <v/>
      </c>
      <c r="V14" s="136" t="str">
        <f>IF(A14="","",IF('Job Sheet'!BF12="None","",CONCATENATE('Job Sheet'!BF12," ",'Job Sheet'!BG12,)))</f>
        <v xml:space="preserve"> </v>
      </c>
      <c r="W14" s="134">
        <f>IF(Data!AV12="","",IF(AC14="N/A",D14+30,(AD14)*ROUNDUP(AC14,0)/10))</f>
        <v>272.5</v>
      </c>
      <c r="X14" s="136" t="str">
        <f>IF(AND('Job Sheet'!BH12="DBS to Make",(OR('Job Sheet'!Z12="Wavefold Cord Operation",'Job Sheet'!Z12="Wavefold Hand Operation"))),"Davidson's",IF(AND('Job Sheet'!BH12="No Track or Rod Required",(OR('Job Sheet'!Z12="Wavefold Cord Operation",'Job Sheet'!Z12="Wavefold Hand Operation"))),"To Be Advised",IF(AND(OR('Job Sheet'!BH12="Track from TBS",'Job Sheet'!BH12="Track from Vanda",'Job Sheet'!BH12="Track from Unique Screens"),(OR(K14="Wavefold (Standard Fullness x 2)",K14="Wavefold (Less Fullness x 1.8)",K14="Wavefold (Extra Fullness x 2.2)",))),'Job Sheet'!BH12,"")))</f>
        <v>Davidson's</v>
      </c>
      <c r="Y14" s="136" t="str">
        <f>'Job Sheet'!BN12</f>
        <v>Alteration to curtain drop</v>
      </c>
      <c r="Z14" s="140">
        <f>IF(Data!BA12="","",IF(AND(ISNUMBER(AN14),AE14="Y"),AN14,IF(AE14="Y",(ROUNDUP((('Job Sheet'!BP12*VLOOKUP(CONCATENATE(K14,F14),Fullness,2,FALSE)+'Job Sheet'!Y12)+VLOOKUP(CONCATENATE(K14,F14),Fullness,3,FALSE))/1000,0&lt;0.1)),IF(AE14="N",(ROUNDUP((W14*E14)/100,0&lt;0.1))))))</f>
        <v>6.8</v>
      </c>
      <c r="AA14" s="140" t="str">
        <f>IF(OR(Data!AV12="",AI14="N/A"),"",IF(AND(ISNUMBER(AN14),AI14="Y"),AN14,IF(AI14="Y",(ROUNDUP((('Job Sheet'!BP12*VLOOKUP(CONCATENATE(K14,F14),Fullness,2,FALSE)+'Job Sheet'!Y12)+VLOOKUP(CONCATENATE(K14,F14),Fullness,3,FALSE))/1000,0&lt;0.1)),IF(AI14="N",(ROUNDUP((AK14*AL14)/100,0&lt;0.1))))))</f>
        <v/>
      </c>
      <c r="AC14" s="112" t="str">
        <f>IF(Data!BA12="","",IF(AD14="N/A","N/A",('Job Sheet'!BQ12+300)/AD14))</f>
        <v>N/A</v>
      </c>
      <c r="AD14" s="112" t="str">
        <f>IF(Data!BA12="","",IF(VLOOKUP(O14,Fabrics,2,FALSE)=0,"N/A",VLOOKUP(O14,Fabrics,2,FALSE)))</f>
        <v>N/A</v>
      </c>
      <c r="AE14" s="112" t="str">
        <f>IF(Data!BA12="","",VLOOKUP(O14,Fabrics,4,FALSE))</f>
        <v>Y</v>
      </c>
      <c r="AG14" s="112" t="str">
        <f>IF(Data!BA12="","",IF(AH14="N/A","N/A",('Job Sheet'!BQ12+300)/AH14))</f>
        <v>N/A</v>
      </c>
      <c r="AH14" s="112" t="str">
        <f>IF(Data!BA12="","",IF(VLOOKUP(S14,Lining,2,FALSE)=0,"N/A",VLOOKUP(S14,Lining,2,FALSE)))</f>
        <v>N/A</v>
      </c>
      <c r="AI14" s="112" t="str">
        <f>IF(Data!BA12="","",VLOOKUP(S14,Lining,4,FALSE))</f>
        <v>N/A</v>
      </c>
      <c r="AJ14" s="112">
        <f>IF(Data!BA12="","",VLOOKUP(S14,Lining,3,FALSE))</f>
        <v>0</v>
      </c>
      <c r="AK14" s="112" t="str">
        <f>IF(OR(AE14="Y",Data!AV12="",AJ14=0),"",ROUNDUP((('Job Sheet'!BP12*VLOOKUP(K14&amp;F14,Fullness,2,FALSE))+'Job Sheet'!BX12+(I14*10)+(J14*10))/AJ14,0))</f>
        <v/>
      </c>
      <c r="AL14" s="112">
        <f>IF(Data!AV12="","",IF(AG14="N/A",D14+30,(AH14)*ROUNDUP(AG14,0)/10))</f>
        <v>272.5</v>
      </c>
      <c r="AN14" s="155">
        <f>IF('Job Sheet'!BY12="Centre Opening 100%",VLOOKUP('Job Sheet'!BP12,COPEN100,4,TRUE),IF('Job Sheet'!BY12="Centre Opening 120%",VLOOKUP('Job Sheet'!BP12,COPEN100,4,TRUE),IF('Job Sheet'!BY12="Centre Opening 80%",VLOOKUP('Job Sheet'!BP12,COPEN100,4,TRUE),IF('Job Sheet'!BY12="100% One Way",VLOOKUP('Job Sheet'!BP12,OneWay100,4,TRUE),IF('Job Sheet'!BY12="120% One Way",VLOOKUP('Job Sheet'!BP12,OneWay100,4,TRUE),IF('Job Sheet'!BY12="80% One Way",VLOOKUP('Job Sheet'!BP12,OneWay100,4,TRUE),""))))))</f>
        <v>6.8</v>
      </c>
    </row>
    <row r="15" spans="1:40" s="24" customFormat="1" ht="123.75">
      <c r="A15" s="135">
        <f>Data!AW13</f>
        <v>30</v>
      </c>
      <c r="B15" s="1" t="str">
        <f>Data!AY13</f>
        <v>Master Door ALTERATION</v>
      </c>
      <c r="C15" s="131">
        <f>IF(Data!AV13="","",('Job Sheet'!BX13+'Job Sheet'!BP13)/10)</f>
        <v>353.7</v>
      </c>
      <c r="D15" s="143">
        <f>IF(Data!BA13="","",'Job Sheet'!BQ13/10)</f>
        <v>263</v>
      </c>
      <c r="E15" s="134" t="str">
        <f>IF(Data!BA13="","",IF('Job Sheet'!BR13="","",ROUNDUP('Job Sheet'!BR13,0)))</f>
        <v/>
      </c>
      <c r="F15" s="136" t="str">
        <f>'Job Sheet'!S13</f>
        <v>Centre Opening</v>
      </c>
      <c r="G15" s="132">
        <f>IF(OR(Data!BA13="",F15="Single Panel - Right Stacking"),"",IF(AND('Job Sheet'!AI13="Straight",(OR(F15="Centre Opening (Offset Split)",F15="Centre Opening - Free Flowing (Offset Split)"))),('Job Sheet'!T13/10)+('Job Sheet'!BX13/20)+I15+3,IF(AND('Job Sheet'!V13="Yes - Centred on the 1st Bend",(OR(F15="Centre Opening (Offset Split)",F15="Centre Opening - Free Flowing (Offset Split)"))),('Job Sheet'!T13/10)-('Job Sheet'!CD13/20)+('Job Sheet'!BX13/20)+I15+3,IF(AND('Job Sheet'!V13="Yes - Centred on the 2nd Bend",(OR(F15="Centre Opening (Offset Split)",F15="Centre Opening - Free Flowing (Offset Split)"))),('Job Sheet'!T13/10)-('Job Sheet'!CD13/10)-('Job Sheet'!CE13/20)+('Job Sheet'!BX13/20)+I15+3,IF(AND('Job Sheet'!V13="Yes - Centred on the 3rd Bend",(OR(F15="Centre Opening (Offset Split)",F15="Centre Opening - Free Flowing (Offset Split)"))),('Job Sheet'!T13/10)-('Job Sheet'!CD13/10)-('Job Sheet'!CE13/10)-('Job Sheet'!CF13/20)+('Job Sheet'!BX13/20)+I15+3,IF(AND('Job Sheet'!V13="Yes - Centred on the 4th Bend",(OR(F15="Centre Opening (Offset Split)",F15="Centre Opening - Free Flowing (Offset Split)"))),('Job Sheet'!T13/10-'Job Sheet'!CD13/10)-('Job Sheet'!CE13/10)-('Job Sheet'!CF13/20)-('Job Sheet'!CG13/20)+('Job Sheet'!BX13/20)+I15+3,IF(AND('Job Sheet'!V13="No",(OR(F15="Centre Opening (Offset Split)",F15="Centre Opening - Free Flowing (Offset Split)"))),('Job Sheet'!T13/10-'Job Sheet'!CC13/10)+('Job Sheet'!BX13/20)+I15+3,IF(AND('Job Sheet'!V13="Yes - Not on the Bend",(OR(F15="Centre Opening (Offset Split)",F15="Centre Opening - Free Flowing (Offset Split)"))),('Job Sheet'!T13/10)+('Job Sheet'!BX13/20)+I15+3-IF(VALUE('Job Sheet'!AJ13)=1,IF(VALUE('Job Sheet'!T13)&lt;VALUE('Job Sheet'!AL13),'Job Sheet'!CD13/10,0),IF(VALUE('Job Sheet'!AJ13)=2,IF(VALUE('Job Sheet'!T13)&lt;VALUE('Job Sheet'!AO13),'Job Sheet'!CE13/10,0),IF(VALUE('Job Sheet'!AJ13)=3,IF(VALUE('Job Sheet'!T13)&lt;VALUE('Job Sheet'!AR13),'Job Sheet'!CF13/10,0),IF(VALUE('Job Sheet'!AJ13)=4,IF(VALUE('Job Sheet'!T13)&lt;VALUE('Job Sheet'!AU13),'Job Sheet'!CG13/10,0),0)))),IF(OR(F15="Centre Opening",F15="Centre Opening - Free Flowing"),(C15/2)+I15,IF(OR(F15="Single Panel - Left Stacking",F15="Single Panel - Free Flowing",F15="No Movement"),C15+I15))))))))))</f>
        <v>176.85</v>
      </c>
      <c r="H15" s="132">
        <f>IF(OR(Data!BA13="",F15="Single Panel - Left Stacking",F15="Single Panel - Free Flowing",F15="No Movement"),"",IF(AND('Job Sheet'!AI13="Straight",(OR(F15="Centre Opening (Offset Split)",F15="Centre Opening - Free Flowing (Offset Split)"))),('Job Sheet'!U13/10)+('Job Sheet'!BX13/20)+I15+3,IF(OR(F15="Centre Opening (Offset Split)",F15="Centre Opening - Free Flowing (Offset Split)"),(C15-G15)+J15+('Job Sheet'!BX13/20),IF(OR(F15="Centre Opening",F15="Centre Opening - Free Flowing"),(C15/2)+J15,IF(F15="Single Panel - Right Stacking",C15+J15)))))</f>
        <v>176.85</v>
      </c>
      <c r="I15" s="149">
        <f>IF(Data!AV13="","",VLOOKUP('Job Sheet'!X13,Returns,4,FALSE))</f>
        <v>0</v>
      </c>
      <c r="J15" s="149">
        <f>IF(Data!AV13="","",VLOOKUP('Job Sheet'!X13,Returns,5,FALSE))</f>
        <v>0</v>
      </c>
      <c r="K15" s="136" t="str">
        <f>'Job Sheet'!P13</f>
        <v>Wavefold (Standard Fullness x 2)</v>
      </c>
      <c r="L15" s="136" t="str">
        <f>'Job Sheet'!Q13</f>
        <v>75mm Clear Tape</v>
      </c>
      <c r="M15" s="137" t="str">
        <f>IF('Job Sheet'!R13="Gather Hook Normal","Gather Hook Middle Pocket",IF('Job Sheet'!R13="Gather Hook Level","Gather Hook Top Pocket",'Job Sheet'!R13))</f>
        <v>Wavefold Hooks</v>
      </c>
      <c r="N15" s="136" t="str">
        <f>'Job Sheet'!W13</f>
        <v>Standard 75mm</v>
      </c>
      <c r="O15" s="136" t="str">
        <f>'Job Sheet'!B13</f>
        <v>Nettex Brunswick (Continuous) Uncoated Talc</v>
      </c>
      <c r="P15" s="133">
        <f>'Job Sheet'!BS13</f>
        <v>320</v>
      </c>
      <c r="Q15" s="138" t="str">
        <f>IF(Data!BA13="","",VLOOKUP(O15,Fabrics,5,FALSE))</f>
        <v>100% linen</v>
      </c>
      <c r="R15" s="139">
        <f>IF(Data!BB13="","",VLOOKUP(O15,Fabrics,6,FALSE))</f>
        <v>3</v>
      </c>
      <c r="S15" s="137" t="str">
        <f>CONCATENATE('Job Sheet'!M13," ",'Job Sheet'!N13)</f>
        <v>No Lining </v>
      </c>
      <c r="T15" s="136" t="str">
        <f>'Job Sheet'!N13</f>
        <v/>
      </c>
      <c r="U15" s="136" t="str">
        <f>'Job Sheet'!O13</f>
        <v/>
      </c>
      <c r="V15" s="136" t="str">
        <f>IF(A15="","",IF('Job Sheet'!BF13="None","",CONCATENATE('Job Sheet'!BF13," ",'Job Sheet'!BG13,)))</f>
        <v xml:space="preserve"> </v>
      </c>
      <c r="W15" s="134">
        <f>IF(Data!AV13="","",IF(AC15="N/A",D15+30,(AD15)*ROUNDUP(AC15,0)/10))</f>
        <v>293</v>
      </c>
      <c r="X15" s="136" t="str">
        <f>IF(AND('Job Sheet'!BH13="DBS to Make",(OR('Job Sheet'!Z13="Wavefold Cord Operation",'Job Sheet'!Z13="Wavefold Hand Operation"))),"Davidson's",IF(AND('Job Sheet'!BH13="No Track or Rod Required",(OR('Job Sheet'!Z13="Wavefold Cord Operation",'Job Sheet'!Z13="Wavefold Hand Operation"))),"To Be Advised",IF(AND(OR('Job Sheet'!BH13="Track from TBS",'Job Sheet'!BH13="Track from Vanda",'Job Sheet'!BH13="Track from Unique Screens"),(OR(K15="Wavefold (Standard Fullness x 2)",K15="Wavefold (Less Fullness x 1.8)",K15="Wavefold (Extra Fullness x 2.2)",))),'Job Sheet'!BH13,"")))</f>
        <v>Davidson's</v>
      </c>
      <c r="Y15" s="136" t="str">
        <f>'Job Sheet'!BN13</f>
        <v>Alteration to curtain drop</v>
      </c>
      <c r="Z15" s="140">
        <f>IF(Data!BA13="","",IF(AND(ISNUMBER(AN15),AE15="Y"),AN15,IF(AE15="Y",(ROUNDUP((('Job Sheet'!BP13*VLOOKUP(CONCATENATE(K15,F15),Fullness,2,FALSE)+'Job Sheet'!Y13)+VLOOKUP(CONCATENATE(K15,F15),Fullness,3,FALSE))/1000,0&lt;0.1)),IF(AE15="N",(ROUNDUP((W15*E15)/100,0&lt;0.1))))))</f>
        <v>8.4</v>
      </c>
      <c r="AA15" s="140" t="str">
        <f>IF(OR(Data!AV13="",AI15="N/A"),"",IF(AND(ISNUMBER(AN15),AI15="Y"),AN15,IF(AI15="Y",(ROUNDUP((('Job Sheet'!BP13*VLOOKUP(CONCATENATE(K15,F15),Fullness,2,FALSE)+'Job Sheet'!Y13)+VLOOKUP(CONCATENATE(K15,F15),Fullness,3,FALSE))/1000,0&lt;0.1)),IF(AI15="N",(ROUNDUP((AK15*AL15)/100,0&lt;0.1))))))</f>
        <v/>
      </c>
      <c r="AC15" s="112" t="str">
        <f>IF(Data!BA13="","",IF(AD15="N/A","N/A",('Job Sheet'!BQ13+300)/AD15))</f>
        <v>N/A</v>
      </c>
      <c r="AD15" s="112" t="str">
        <f>IF(Data!BA13="","",IF(VLOOKUP(O15,Fabrics,2,FALSE)=0,"N/A",VLOOKUP(O15,Fabrics,2,FALSE)))</f>
        <v>N/A</v>
      </c>
      <c r="AE15" s="112" t="str">
        <f>IF(Data!BA13="","",VLOOKUP(O15,Fabrics,4,FALSE))</f>
        <v>Y</v>
      </c>
      <c r="AG15" s="112" t="str">
        <f>IF(Data!BA13="","",IF(AH15="N/A","N/A",('Job Sheet'!BQ13+300)/AH15))</f>
        <v>N/A</v>
      </c>
      <c r="AH15" s="112" t="str">
        <f>IF(Data!BA13="","",IF(VLOOKUP(S15,Lining,2,FALSE)=0,"N/A",VLOOKUP(S15,Lining,2,FALSE)))</f>
        <v>N/A</v>
      </c>
      <c r="AI15" s="112" t="str">
        <f>IF(Data!BA13="","",VLOOKUP(S15,Lining,4,FALSE))</f>
        <v>N/A</v>
      </c>
      <c r="AJ15" s="112">
        <f>IF(Data!BA13="","",VLOOKUP(S15,Lining,3,FALSE))</f>
        <v>0</v>
      </c>
      <c r="AK15" s="112" t="str">
        <f>IF(OR(AE15="Y",Data!AV13="",AJ15=0),"",ROUNDUP((('Job Sheet'!BP13*VLOOKUP(K15&amp;F15,Fullness,2,FALSE))+'Job Sheet'!BX13+(I15*10)+(J15*10))/AJ15,0))</f>
        <v/>
      </c>
      <c r="AL15" s="112">
        <f>IF(Data!AV13="","",IF(AG15="N/A",D15+30,(AH15)*ROUNDUP(AG15,0)/10))</f>
        <v>293</v>
      </c>
      <c r="AN15" s="155">
        <f>IF('Job Sheet'!BY13="Centre Opening 100%",VLOOKUP('Job Sheet'!BP13,COPEN100,4,TRUE),IF('Job Sheet'!BY13="Centre Opening 120%",VLOOKUP('Job Sheet'!BP13,COPEN100,4,TRUE),IF('Job Sheet'!BY13="Centre Opening 80%",VLOOKUP('Job Sheet'!BP13,COPEN100,4,TRUE),IF('Job Sheet'!BY13="100% One Way",VLOOKUP('Job Sheet'!BP13,OneWay100,4,TRUE),IF('Job Sheet'!BY13="120% One Way",VLOOKUP('Job Sheet'!BP13,OneWay100,4,TRUE),IF('Job Sheet'!BY13="80% One Way",VLOOKUP('Job Sheet'!BP13,OneWay100,4,TRUE),""))))))</f>
        <v>8.4</v>
      </c>
    </row>
    <row r="16" spans="1:40" s="24" customFormat="1" ht="123.75">
      <c r="A16" s="135">
        <f>Data!AW14</f>
        <v>31</v>
      </c>
      <c r="B16" s="1" t="str">
        <f>Data!AY14</f>
        <v>Bed 2 ALTERATION</v>
      </c>
      <c r="C16" s="131">
        <f>IF(Data!AV14="","",('Job Sheet'!BX14+'Job Sheet'!BP14)/10)</f>
        <v>341.5</v>
      </c>
      <c r="D16" s="143">
        <f>IF(Data!BA14="","",'Job Sheet'!BQ14/10)</f>
        <v>262.5</v>
      </c>
      <c r="E16" s="134" t="str">
        <f>IF(Data!BA14="","",IF('Job Sheet'!BR14="","",ROUNDUP('Job Sheet'!BR14,0)))</f>
        <v/>
      </c>
      <c r="F16" s="136" t="str">
        <f>'Job Sheet'!S14</f>
        <v>Single Panel - Left Stacking</v>
      </c>
      <c r="G16" s="132">
        <f>IF(OR(Data!BA14="",F16="Single Panel - Right Stacking"),"",IF(AND('Job Sheet'!AI14="Straight",(OR(F16="Centre Opening (Offset Split)",F16="Centre Opening - Free Flowing (Offset Split)"))),('Job Sheet'!T14/10)+('Job Sheet'!BX14/20)+I16+3,IF(AND('Job Sheet'!V14="Yes - Centred on the 1st Bend",(OR(F16="Centre Opening (Offset Split)",F16="Centre Opening - Free Flowing (Offset Split)"))),('Job Sheet'!T14/10)-('Job Sheet'!CD14/20)+('Job Sheet'!BX14/20)+I16+3,IF(AND('Job Sheet'!V14="Yes - Centred on the 2nd Bend",(OR(F16="Centre Opening (Offset Split)",F16="Centre Opening - Free Flowing (Offset Split)"))),('Job Sheet'!T14/10)-('Job Sheet'!CD14/10)-('Job Sheet'!CE14/20)+('Job Sheet'!BX14/20)+I16+3,IF(AND('Job Sheet'!V14="Yes - Centred on the 3rd Bend",(OR(F16="Centre Opening (Offset Split)",F16="Centre Opening - Free Flowing (Offset Split)"))),('Job Sheet'!T14/10)-('Job Sheet'!CD14/10)-('Job Sheet'!CE14/10)-('Job Sheet'!CF14/20)+('Job Sheet'!BX14/20)+I16+3,IF(AND('Job Sheet'!V14="Yes - Centred on the 4th Bend",(OR(F16="Centre Opening (Offset Split)",F16="Centre Opening - Free Flowing (Offset Split)"))),('Job Sheet'!T14/10-'Job Sheet'!CD14/10)-('Job Sheet'!CE14/10)-('Job Sheet'!CF14/20)-('Job Sheet'!CG14/20)+('Job Sheet'!BX14/20)+I16+3,IF(AND('Job Sheet'!V14="No",(OR(F16="Centre Opening (Offset Split)",F16="Centre Opening - Free Flowing (Offset Split)"))),('Job Sheet'!T14/10-'Job Sheet'!CC14/10)+('Job Sheet'!BX14/20)+I16+3,IF(AND('Job Sheet'!V14="Yes - Not on the Bend",(OR(F16="Centre Opening (Offset Split)",F16="Centre Opening - Free Flowing (Offset Split)"))),('Job Sheet'!T14/10)+('Job Sheet'!BX14/20)+I16+3-IF(VALUE('Job Sheet'!AJ14)=1,IF(VALUE('Job Sheet'!T14)&lt;VALUE('Job Sheet'!AL14),'Job Sheet'!CD14/10,0),IF(VALUE('Job Sheet'!AJ14)=2,IF(VALUE('Job Sheet'!T14)&lt;VALUE('Job Sheet'!AO14),'Job Sheet'!CE14/10,0),IF(VALUE('Job Sheet'!AJ14)=3,IF(VALUE('Job Sheet'!T14)&lt;VALUE('Job Sheet'!AR14),'Job Sheet'!CF14/10,0),IF(VALUE('Job Sheet'!AJ14)=4,IF(VALUE('Job Sheet'!T14)&lt;VALUE('Job Sheet'!AU14),'Job Sheet'!CG14/10,0),0)))),IF(OR(F16="Centre Opening",F16="Centre Opening - Free Flowing"),(C16/2)+I16,IF(OR(F16="Single Panel - Left Stacking",F16="Single Panel - Free Flowing",F16="No Movement"),C16+I16))))))))))</f>
        <v>341.5</v>
      </c>
      <c r="H16" s="132" t="str">
        <f>IF(OR(Data!BA14="",F16="Single Panel - Left Stacking",F16="Single Panel - Free Flowing",F16="No Movement"),"",IF(AND('Job Sheet'!AI14="Straight",(OR(F16="Centre Opening (Offset Split)",F16="Centre Opening - Free Flowing (Offset Split)"))),('Job Sheet'!U14/10)+('Job Sheet'!BX14/20)+I16+3,IF(OR(F16="Centre Opening (Offset Split)",F16="Centre Opening - Free Flowing (Offset Split)"),(C16-G16)+J16+('Job Sheet'!BX14/20),IF(OR(F16="Centre Opening",F16="Centre Opening - Free Flowing"),(C16/2)+J16,IF(F16="Single Panel - Right Stacking",C16+J16)))))</f>
        <v/>
      </c>
      <c r="I16" s="149">
        <f>IF(Data!AV14="","",VLOOKUP('Job Sheet'!X14,Returns,4,FALSE))</f>
        <v>0</v>
      </c>
      <c r="J16" s="149">
        <f>IF(Data!AV14="","",VLOOKUP('Job Sheet'!X14,Returns,5,FALSE))</f>
        <v>0</v>
      </c>
      <c r="K16" s="136" t="str">
        <f>'Job Sheet'!P14</f>
        <v>Wavefold (Standard Fullness x 2)</v>
      </c>
      <c r="L16" s="136" t="str">
        <f>'Job Sheet'!Q14</f>
        <v>75mm Clear Tape</v>
      </c>
      <c r="M16" s="137" t="str">
        <f>IF('Job Sheet'!R14="Gather Hook Normal","Gather Hook Middle Pocket",IF('Job Sheet'!R14="Gather Hook Level","Gather Hook Top Pocket",'Job Sheet'!R14))</f>
        <v>Wavefold Hooks</v>
      </c>
      <c r="N16" s="136" t="str">
        <f>'Job Sheet'!W14</f>
        <v>Standard 75mm</v>
      </c>
      <c r="O16" s="136" t="str">
        <f>'Job Sheet'!B14</f>
        <v>Nettex Brunswick (Continuous) Uncoated Talc</v>
      </c>
      <c r="P16" s="133">
        <f>'Job Sheet'!BS14</f>
        <v>320</v>
      </c>
      <c r="Q16" s="138" t="str">
        <f>IF(Data!BA14="","",VLOOKUP(O16,Fabrics,5,FALSE))</f>
        <v>100% linen</v>
      </c>
      <c r="R16" s="139">
        <f>IF(Data!BB14="","",VLOOKUP(O16,Fabrics,6,FALSE))</f>
        <v>3</v>
      </c>
      <c r="S16" s="137" t="str">
        <f>CONCATENATE('Job Sheet'!M14," ",'Job Sheet'!N14)</f>
        <v>No Lining </v>
      </c>
      <c r="T16" s="136" t="str">
        <f>'Job Sheet'!N14</f>
        <v/>
      </c>
      <c r="U16" s="136" t="str">
        <f>'Job Sheet'!O14</f>
        <v/>
      </c>
      <c r="V16" s="136" t="str">
        <f>IF(A16="","",IF('Job Sheet'!BF14="None","",CONCATENATE('Job Sheet'!BF14," ",'Job Sheet'!BG14,)))</f>
        <v xml:space="preserve"> </v>
      </c>
      <c r="W16" s="134">
        <f>IF(Data!AV14="","",IF(AC16="N/A",D16+30,(AD16)*ROUNDUP(AC16,0)/10))</f>
        <v>292.5</v>
      </c>
      <c r="X16" s="136" t="str">
        <f>IF(AND('Job Sheet'!BH14="DBS to Make",(OR('Job Sheet'!Z14="Wavefold Cord Operation",'Job Sheet'!Z14="Wavefold Hand Operation"))),"Davidson's",IF(AND('Job Sheet'!BH14="No Track or Rod Required",(OR('Job Sheet'!Z14="Wavefold Cord Operation",'Job Sheet'!Z14="Wavefold Hand Operation"))),"To Be Advised",IF(AND(OR('Job Sheet'!BH14="Track from TBS",'Job Sheet'!BH14="Track from Vanda",'Job Sheet'!BH14="Track from Unique Screens"),(OR(K16="Wavefold (Standard Fullness x 2)",K16="Wavefold (Less Fullness x 1.8)",K16="Wavefold (Extra Fullness x 2.2)",))),'Job Sheet'!BH14,"")))</f>
        <v>Davidson's</v>
      </c>
      <c r="Y16" s="136" t="str">
        <f>'Job Sheet'!BN14</f>
        <v>Alteration to curtain drop</v>
      </c>
      <c r="Z16" s="140">
        <f>IF(Data!BA14="","",IF(AND(ISNUMBER(AN16),AE16="Y"),AN16,IF(AE16="Y",(ROUNDUP((('Job Sheet'!BP14*VLOOKUP(CONCATENATE(K16,F16),Fullness,2,FALSE)+'Job Sheet'!Y14)+VLOOKUP(CONCATENATE(K16,F16),Fullness,3,FALSE))/1000,0&lt;0.1)),IF(AE16="N",(ROUNDUP((W16*E16)/100,0&lt;0.1))))))</f>
        <v>7.5</v>
      </c>
      <c r="AA16" s="140" t="str">
        <f>IF(OR(Data!AV14="",AI16="N/A"),"",IF(AND(ISNUMBER(AN16),AI16="Y"),AN16,IF(AI16="Y",(ROUNDUP((('Job Sheet'!BP14*VLOOKUP(CONCATENATE(K16,F16),Fullness,2,FALSE)+'Job Sheet'!Y14)+VLOOKUP(CONCATENATE(K16,F16),Fullness,3,FALSE))/1000,0&lt;0.1)),IF(AI16="N",(ROUNDUP((AK16*AL16)/100,0&lt;0.1))))))</f>
        <v/>
      </c>
      <c r="AC16" s="112" t="str">
        <f>IF(Data!BA14="","",IF(AD16="N/A","N/A",('Job Sheet'!BQ14+300)/AD16))</f>
        <v>N/A</v>
      </c>
      <c r="AD16" s="112" t="str">
        <f>IF(Data!BA14="","",IF(VLOOKUP(O16,Fabrics,2,FALSE)=0,"N/A",VLOOKUP(O16,Fabrics,2,FALSE)))</f>
        <v>N/A</v>
      </c>
      <c r="AE16" s="112" t="str">
        <f>IF(Data!BA14="","",VLOOKUP(O16,Fabrics,4,FALSE))</f>
        <v>Y</v>
      </c>
      <c r="AG16" s="112" t="str">
        <f>IF(Data!BA14="","",IF(AH16="N/A","N/A",('Job Sheet'!BQ14+300)/AH16))</f>
        <v>N/A</v>
      </c>
      <c r="AH16" s="112" t="str">
        <f>IF(Data!BA14="","",IF(VLOOKUP(S16,Lining,2,FALSE)=0,"N/A",VLOOKUP(S16,Lining,2,FALSE)))</f>
        <v>N/A</v>
      </c>
      <c r="AI16" s="112" t="str">
        <f>IF(Data!BA14="","",VLOOKUP(S16,Lining,4,FALSE))</f>
        <v>N/A</v>
      </c>
      <c r="AJ16" s="112">
        <f>IF(Data!BA14="","",VLOOKUP(S16,Lining,3,FALSE))</f>
        <v>0</v>
      </c>
      <c r="AK16" s="112" t="str">
        <f>IF(OR(AE16="Y",Data!AV14="",AJ16=0),"",ROUNDUP((('Job Sheet'!BP14*VLOOKUP(K16&amp;F16,Fullness,2,FALSE))+'Job Sheet'!BX14+(I16*10)+(J16*10))/AJ16,0))</f>
        <v/>
      </c>
      <c r="AL16" s="112">
        <f>IF(Data!AV14="","",IF(AG16="N/A",D16+30,(AH16)*ROUNDUP(AG16,0)/10))</f>
        <v>292.5</v>
      </c>
      <c r="AN16" s="155">
        <f>IF('Job Sheet'!BY14="Centre Opening 100%",VLOOKUP('Job Sheet'!BP14,COPEN100,4,TRUE),IF('Job Sheet'!BY14="Centre Opening 120%",VLOOKUP('Job Sheet'!BP14,COPEN100,4,TRUE),IF('Job Sheet'!BY14="Centre Opening 80%",VLOOKUP('Job Sheet'!BP14,COPEN100,4,TRUE),IF('Job Sheet'!BY14="100% One Way",VLOOKUP('Job Sheet'!BP14,OneWay100,4,TRUE),IF('Job Sheet'!BY14="120% One Way",VLOOKUP('Job Sheet'!BP14,OneWay100,4,TRUE),IF('Job Sheet'!BY14="80% One Way",VLOOKUP('Job Sheet'!BP14,OneWay100,4,TRUE),""))))))</f>
        <v>7.5</v>
      </c>
    </row>
    <row r="17" spans="1:40" s="24" customFormat="1" ht="123.75">
      <c r="A17" s="135">
        <f>Data!AW15</f>
        <v>32</v>
      </c>
      <c r="B17" s="1" t="str">
        <f>Data!AY15</f>
        <v>Bed 3 ALTERATION</v>
      </c>
      <c r="C17" s="131">
        <f>IF(Data!AV15="","",('Job Sheet'!BX15+'Job Sheet'!BP15)/10)</f>
        <v>331.7</v>
      </c>
      <c r="D17" s="143">
        <f>IF(Data!BA15="","",'Job Sheet'!BQ15/10)</f>
        <v>263</v>
      </c>
      <c r="E17" s="134" t="str">
        <f>IF(Data!BA15="","",IF('Job Sheet'!BR15="","",ROUNDUP('Job Sheet'!BR15,0)))</f>
        <v/>
      </c>
      <c r="F17" s="136" t="str">
        <f>'Job Sheet'!S15</f>
        <v>Single Panel - Left Stacking</v>
      </c>
      <c r="G17" s="132">
        <f>IF(OR(Data!BA15="",F17="Single Panel - Right Stacking"),"",IF(AND('Job Sheet'!AI15="Straight",(OR(F17="Centre Opening (Offset Split)",F17="Centre Opening - Free Flowing (Offset Split)"))),('Job Sheet'!T15/10)+('Job Sheet'!BX15/20)+I17+3,IF(AND('Job Sheet'!V15="Yes - Centred on the 1st Bend",(OR(F17="Centre Opening (Offset Split)",F17="Centre Opening - Free Flowing (Offset Split)"))),('Job Sheet'!T15/10)-('Job Sheet'!CD15/20)+('Job Sheet'!BX15/20)+I17+3,IF(AND('Job Sheet'!V15="Yes - Centred on the 2nd Bend",(OR(F17="Centre Opening (Offset Split)",F17="Centre Opening - Free Flowing (Offset Split)"))),('Job Sheet'!T15/10)-('Job Sheet'!CD15/10)-('Job Sheet'!CE15/20)+('Job Sheet'!BX15/20)+I17+3,IF(AND('Job Sheet'!V15="Yes - Centred on the 3rd Bend",(OR(F17="Centre Opening (Offset Split)",F17="Centre Opening - Free Flowing (Offset Split)"))),('Job Sheet'!T15/10)-('Job Sheet'!CD15/10)-('Job Sheet'!CE15/10)-('Job Sheet'!CF15/20)+('Job Sheet'!BX15/20)+I17+3,IF(AND('Job Sheet'!V15="Yes - Centred on the 4th Bend",(OR(F17="Centre Opening (Offset Split)",F17="Centre Opening - Free Flowing (Offset Split)"))),('Job Sheet'!T15/10-'Job Sheet'!CD15/10)-('Job Sheet'!CE15/10)-('Job Sheet'!CF15/20)-('Job Sheet'!CG15/20)+('Job Sheet'!BX15/20)+I17+3,IF(AND('Job Sheet'!V15="No",(OR(F17="Centre Opening (Offset Split)",F17="Centre Opening - Free Flowing (Offset Split)"))),('Job Sheet'!T15/10-'Job Sheet'!CC15/10)+('Job Sheet'!BX15/20)+I17+3,IF(AND('Job Sheet'!V15="Yes - Not on the Bend",(OR(F17="Centre Opening (Offset Split)",F17="Centre Opening - Free Flowing (Offset Split)"))),('Job Sheet'!T15/10)+('Job Sheet'!BX15/20)+I17+3-IF(VALUE('Job Sheet'!AJ15)=1,IF(VALUE('Job Sheet'!T15)&lt;VALUE('Job Sheet'!AL15),'Job Sheet'!CD15/10,0),IF(VALUE('Job Sheet'!AJ15)=2,IF(VALUE('Job Sheet'!T15)&lt;VALUE('Job Sheet'!AO15),'Job Sheet'!CE15/10,0),IF(VALUE('Job Sheet'!AJ15)=3,IF(VALUE('Job Sheet'!T15)&lt;VALUE('Job Sheet'!AR15),'Job Sheet'!CF15/10,0),IF(VALUE('Job Sheet'!AJ15)=4,IF(VALUE('Job Sheet'!T15)&lt;VALUE('Job Sheet'!AU15),'Job Sheet'!CG15/10,0),0)))),IF(OR(F17="Centre Opening",F17="Centre Opening - Free Flowing"),(C17/2)+I17,IF(OR(F17="Single Panel - Left Stacking",F17="Single Panel - Free Flowing",F17="No Movement"),C17+I17))))))))))</f>
        <v>331.7</v>
      </c>
      <c r="H17" s="132" t="str">
        <f>IF(OR(Data!BA15="",F17="Single Panel - Left Stacking",F17="Single Panel - Free Flowing",F17="No Movement"),"",IF(AND('Job Sheet'!AI15="Straight",(OR(F17="Centre Opening (Offset Split)",F17="Centre Opening - Free Flowing (Offset Split)"))),('Job Sheet'!U15/10)+('Job Sheet'!BX15/20)+I17+3,IF(OR(F17="Centre Opening (Offset Split)",F17="Centre Opening - Free Flowing (Offset Split)"),(C17-G17)+J17+('Job Sheet'!BX15/20),IF(OR(F17="Centre Opening",F17="Centre Opening - Free Flowing"),(C17/2)+J17,IF(F17="Single Panel - Right Stacking",C17+J17)))))</f>
        <v/>
      </c>
      <c r="I17" s="149">
        <f>IF(Data!AV15="","",VLOOKUP('Job Sheet'!X15,Returns,4,FALSE))</f>
        <v>0</v>
      </c>
      <c r="J17" s="149">
        <f>IF(Data!AV15="","",VLOOKUP('Job Sheet'!X15,Returns,5,FALSE))</f>
        <v>0</v>
      </c>
      <c r="K17" s="136" t="str">
        <f>'Job Sheet'!P15</f>
        <v>Wavefold (Standard Fullness x 2)</v>
      </c>
      <c r="L17" s="136" t="str">
        <f>'Job Sheet'!Q15</f>
        <v>75mm Clear Tape</v>
      </c>
      <c r="M17" s="137" t="str">
        <f>IF('Job Sheet'!R15="Gather Hook Normal","Gather Hook Middle Pocket",IF('Job Sheet'!R15="Gather Hook Level","Gather Hook Top Pocket",'Job Sheet'!R15))</f>
        <v>Wavefold Hooks</v>
      </c>
      <c r="N17" s="136" t="str">
        <f>'Job Sheet'!W15</f>
        <v>Standard 75mm</v>
      </c>
      <c r="O17" s="136" t="str">
        <f>'Job Sheet'!B15</f>
        <v>Nettex Brunswick (Continuous) Uncoated Talc</v>
      </c>
      <c r="P17" s="133">
        <f>'Job Sheet'!BS15</f>
        <v>320</v>
      </c>
      <c r="Q17" s="138" t="str">
        <f>IF(Data!BA15="","",VLOOKUP(O17,Fabrics,5,FALSE))</f>
        <v>100% linen</v>
      </c>
      <c r="R17" s="139">
        <f>IF(Data!BB15="","",VLOOKUP(O17,Fabrics,6,FALSE))</f>
        <v>3</v>
      </c>
      <c r="S17" s="137" t="str">
        <f>CONCATENATE('Job Sheet'!M15," ",'Job Sheet'!N15)</f>
        <v>No Lining </v>
      </c>
      <c r="T17" s="136" t="str">
        <f>'Job Sheet'!N15</f>
        <v/>
      </c>
      <c r="U17" s="136" t="str">
        <f>'Job Sheet'!O15</f>
        <v/>
      </c>
      <c r="V17" s="136" t="str">
        <f>IF(A17="","",IF('Job Sheet'!BF15="None","",CONCATENATE('Job Sheet'!BF15," ",'Job Sheet'!BG15,)))</f>
        <v xml:space="preserve"> </v>
      </c>
      <c r="W17" s="134">
        <f>IF(Data!AV15="","",IF(AC17="N/A",D17+30,(AD17)*ROUNDUP(AC17,0)/10))</f>
        <v>293</v>
      </c>
      <c r="X17" s="136" t="str">
        <f>IF(AND('Job Sheet'!BH15="DBS to Make",(OR('Job Sheet'!Z15="Wavefold Cord Operation",'Job Sheet'!Z15="Wavefold Hand Operation"))),"Davidson's",IF(AND('Job Sheet'!BH15="No Track or Rod Required",(OR('Job Sheet'!Z15="Wavefold Cord Operation",'Job Sheet'!Z15="Wavefold Hand Operation"))),"To Be Advised",IF(AND(OR('Job Sheet'!BH15="Track from TBS",'Job Sheet'!BH15="Track from Vanda",'Job Sheet'!BH15="Track from Unique Screens"),(OR(K17="Wavefold (Standard Fullness x 2)",K17="Wavefold (Less Fullness x 1.8)",K17="Wavefold (Extra Fullness x 2.2)",))),'Job Sheet'!BH15,"")))</f>
        <v>Davidson's</v>
      </c>
      <c r="Y17" s="136" t="str">
        <f>'Job Sheet'!BN15</f>
        <v>Alteration to curtain drop</v>
      </c>
      <c r="Z17" s="140">
        <f>IF(Data!BA15="","",IF(AND(ISNUMBER(AN17),AE17="Y"),AN17,IF(AE17="Y",(ROUNDUP((('Job Sheet'!BP15*VLOOKUP(CONCATENATE(K17,F17),Fullness,2,FALSE)+'Job Sheet'!Y15)+VLOOKUP(CONCATENATE(K17,F17),Fullness,3,FALSE))/1000,0&lt;0.1)),IF(AE17="N",(ROUNDUP((W17*E17)/100,0&lt;0.1))))))</f>
        <v>7.3</v>
      </c>
      <c r="AA17" s="140" t="str">
        <f>IF(OR(Data!AV15="",AI17="N/A"),"",IF(AND(ISNUMBER(AN17),AI17="Y"),AN17,IF(AI17="Y",(ROUNDUP((('Job Sheet'!BP15*VLOOKUP(CONCATENATE(K17,F17),Fullness,2,FALSE)+'Job Sheet'!Y15)+VLOOKUP(CONCATENATE(K17,F17),Fullness,3,FALSE))/1000,0&lt;0.1)),IF(AI17="N",(ROUNDUP((AK17*AL17)/100,0&lt;0.1))))))</f>
        <v/>
      </c>
      <c r="AC17" s="112" t="str">
        <f>IF(Data!BA15="","",IF(AD17="N/A","N/A",('Job Sheet'!BQ15+300)/AD17))</f>
        <v>N/A</v>
      </c>
      <c r="AD17" s="112" t="str">
        <f>IF(Data!BA15="","",IF(VLOOKUP(O17,Fabrics,2,FALSE)=0,"N/A",VLOOKUP(O17,Fabrics,2,FALSE)))</f>
        <v>N/A</v>
      </c>
      <c r="AE17" s="112" t="str">
        <f>IF(Data!BA15="","",VLOOKUP(O17,Fabrics,4,FALSE))</f>
        <v>Y</v>
      </c>
      <c r="AG17" s="112" t="str">
        <f>IF(Data!BA15="","",IF(AH17="N/A","N/A",('Job Sheet'!BQ15+300)/AH17))</f>
        <v>N/A</v>
      </c>
      <c r="AH17" s="112" t="str">
        <f>IF(Data!BA15="","",IF(VLOOKUP(S17,Lining,2,FALSE)=0,"N/A",VLOOKUP(S17,Lining,2,FALSE)))</f>
        <v>N/A</v>
      </c>
      <c r="AI17" s="112" t="str">
        <f>IF(Data!BA15="","",VLOOKUP(S17,Lining,4,FALSE))</f>
        <v>N/A</v>
      </c>
      <c r="AJ17" s="112">
        <f>IF(Data!BA15="","",VLOOKUP(S17,Lining,3,FALSE))</f>
        <v>0</v>
      </c>
      <c r="AK17" s="112" t="str">
        <f>IF(OR(AE17="Y",Data!AV15="",AJ17=0),"",ROUNDUP((('Job Sheet'!BP15*VLOOKUP(K17&amp;F17,Fullness,2,FALSE))+'Job Sheet'!BX15+(I17*10)+(J17*10))/AJ17,0))</f>
        <v/>
      </c>
      <c r="AL17" s="112">
        <f>IF(Data!AV15="","",IF(AG17="N/A",D17+30,(AH17)*ROUNDUP(AG17,0)/10))</f>
        <v>293</v>
      </c>
      <c r="AN17" s="155">
        <f>IF('Job Sheet'!BY15="Centre Opening 100%",VLOOKUP('Job Sheet'!BP15,COPEN100,4,TRUE),IF('Job Sheet'!BY15="Centre Opening 120%",VLOOKUP('Job Sheet'!BP15,COPEN100,4,TRUE),IF('Job Sheet'!BY15="Centre Opening 80%",VLOOKUP('Job Sheet'!BP15,COPEN100,4,TRUE),IF('Job Sheet'!BY15="100% One Way",VLOOKUP('Job Sheet'!BP15,OneWay100,4,TRUE),IF('Job Sheet'!BY15="120% One Way",VLOOKUP('Job Sheet'!BP15,OneWay100,4,TRUE),IF('Job Sheet'!BY15="80% One Way",VLOOKUP('Job Sheet'!BP15,OneWay100,4,TRUE),""))))))</f>
        <v>7.3</v>
      </c>
    </row>
    <row r="18" spans="1:40" s="24" customFormat="1" ht="123.75">
      <c r="A18" s="135">
        <f>Data!AW16</f>
        <v>33</v>
      </c>
      <c r="B18" s="1" t="str">
        <f>Data!AY16</f>
        <v>Back Hallway (IN) ALTERATION</v>
      </c>
      <c r="C18" s="131">
        <f>IF(Data!AV16="","",('Job Sheet'!BX16+'Job Sheet'!BP16)/10)</f>
        <v>272.5</v>
      </c>
      <c r="D18" s="143">
        <f>IF(Data!BA16="","",'Job Sheet'!BQ16/10)</f>
        <v>241.5</v>
      </c>
      <c r="E18" s="134" t="str">
        <f>IF(Data!BA16="","",IF('Job Sheet'!BR16="","",ROUNDUP('Job Sheet'!BR16,0)))</f>
        <v/>
      </c>
      <c r="F18" s="136" t="str">
        <f>'Job Sheet'!S16</f>
        <v>Centre Opening</v>
      </c>
      <c r="G18" s="132">
        <f>IF(OR(Data!BA16="",F18="Single Panel - Right Stacking"),"",IF(AND('Job Sheet'!AI16="Straight",(OR(F18="Centre Opening (Offset Split)",F18="Centre Opening - Free Flowing (Offset Split)"))),('Job Sheet'!T16/10)+('Job Sheet'!BX16/20)+I18+3,IF(AND('Job Sheet'!V16="Yes - Centred on the 1st Bend",(OR(F18="Centre Opening (Offset Split)",F18="Centre Opening - Free Flowing (Offset Split)"))),('Job Sheet'!T16/10)-('Job Sheet'!CD16/20)+('Job Sheet'!BX16/20)+I18+3,IF(AND('Job Sheet'!V16="Yes - Centred on the 2nd Bend",(OR(F18="Centre Opening (Offset Split)",F18="Centre Opening - Free Flowing (Offset Split)"))),('Job Sheet'!T16/10)-('Job Sheet'!CD16/10)-('Job Sheet'!CE16/20)+('Job Sheet'!BX16/20)+I18+3,IF(AND('Job Sheet'!V16="Yes - Centred on the 3rd Bend",(OR(F18="Centre Opening (Offset Split)",F18="Centre Opening - Free Flowing (Offset Split)"))),('Job Sheet'!T16/10)-('Job Sheet'!CD16/10)-('Job Sheet'!CE16/10)-('Job Sheet'!CF16/20)+('Job Sheet'!BX16/20)+I18+3,IF(AND('Job Sheet'!V16="Yes - Centred on the 4th Bend",(OR(F18="Centre Opening (Offset Split)",F18="Centre Opening - Free Flowing (Offset Split)"))),('Job Sheet'!T16/10-'Job Sheet'!CD16/10)-('Job Sheet'!CE16/10)-('Job Sheet'!CF16/20)-('Job Sheet'!CG16/20)+('Job Sheet'!BX16/20)+I18+3,IF(AND('Job Sheet'!V16="No",(OR(F18="Centre Opening (Offset Split)",F18="Centre Opening - Free Flowing (Offset Split)"))),('Job Sheet'!T16/10-'Job Sheet'!CC16/10)+('Job Sheet'!BX16/20)+I18+3,IF(AND('Job Sheet'!V16="Yes - Not on the Bend",(OR(F18="Centre Opening (Offset Split)",F18="Centre Opening - Free Flowing (Offset Split)"))),('Job Sheet'!T16/10)+('Job Sheet'!BX16/20)+I18+3-IF(VALUE('Job Sheet'!AJ16)=1,IF(VALUE('Job Sheet'!T16)&lt;VALUE('Job Sheet'!AL16),'Job Sheet'!CD16/10,0),IF(VALUE('Job Sheet'!AJ16)=2,IF(VALUE('Job Sheet'!T16)&lt;VALUE('Job Sheet'!AO16),'Job Sheet'!CE16/10,0),IF(VALUE('Job Sheet'!AJ16)=3,IF(VALUE('Job Sheet'!T16)&lt;VALUE('Job Sheet'!AR16),'Job Sheet'!CF16/10,0),IF(VALUE('Job Sheet'!AJ16)=4,IF(VALUE('Job Sheet'!T16)&lt;VALUE('Job Sheet'!AU16),'Job Sheet'!CG16/10,0),0)))),IF(OR(F18="Centre Opening",F18="Centre Opening - Free Flowing"),(C18/2)+I18,IF(OR(F18="Single Panel - Left Stacking",F18="Single Panel - Free Flowing",F18="No Movement"),C18+I18))))))))))</f>
        <v>136.25</v>
      </c>
      <c r="H18" s="132">
        <f>IF(OR(Data!BA16="",F18="Single Panel - Left Stacking",F18="Single Panel - Free Flowing",F18="No Movement"),"",IF(AND('Job Sheet'!AI16="Straight",(OR(F18="Centre Opening (Offset Split)",F18="Centre Opening - Free Flowing (Offset Split)"))),('Job Sheet'!U16/10)+('Job Sheet'!BX16/20)+I18+3,IF(OR(F18="Centre Opening (Offset Split)",F18="Centre Opening - Free Flowing (Offset Split)"),(C18-G18)+J18+('Job Sheet'!BX16/20),IF(OR(F18="Centre Opening",F18="Centre Opening - Free Flowing"),(C18/2)+J18,IF(F18="Single Panel - Right Stacking",C18+J18)))))</f>
        <v>136.25</v>
      </c>
      <c r="I18" s="149">
        <f>IF(Data!AV16="","",VLOOKUP('Job Sheet'!X16,Returns,4,FALSE))</f>
        <v>0</v>
      </c>
      <c r="J18" s="149">
        <f>IF(Data!AV16="","",VLOOKUP('Job Sheet'!X16,Returns,5,FALSE))</f>
        <v>0</v>
      </c>
      <c r="K18" s="136" t="str">
        <f>'Job Sheet'!P16</f>
        <v>Wavefold (Standard Fullness x 2)</v>
      </c>
      <c r="L18" s="136" t="str">
        <f>'Job Sheet'!Q16</f>
        <v>75mm Clear Tape</v>
      </c>
      <c r="M18" s="137" t="str">
        <f>IF('Job Sheet'!R16="Gather Hook Normal","Gather Hook Middle Pocket",IF('Job Sheet'!R16="Gather Hook Level","Gather Hook Top Pocket",'Job Sheet'!R16))</f>
        <v>Wavefold Hooks</v>
      </c>
      <c r="N18" s="136" t="str">
        <f>'Job Sheet'!W16</f>
        <v>Standard 75mm</v>
      </c>
      <c r="O18" s="136" t="str">
        <f>'Job Sheet'!B16</f>
        <v>Nettex Brunswick (Continuous) Uncoated Talc</v>
      </c>
      <c r="P18" s="133">
        <f>'Job Sheet'!BS16</f>
        <v>320</v>
      </c>
      <c r="Q18" s="138" t="str">
        <f>IF(Data!BA16="","",VLOOKUP(O18,Fabrics,5,FALSE))</f>
        <v>100% linen</v>
      </c>
      <c r="R18" s="139">
        <f>IF(Data!BB16="","",VLOOKUP(O18,Fabrics,6,FALSE))</f>
        <v>3</v>
      </c>
      <c r="S18" s="137" t="str">
        <f>CONCATENATE('Job Sheet'!M16," ",'Job Sheet'!N16)</f>
        <v>No Lining </v>
      </c>
      <c r="T18" s="136" t="str">
        <f>'Job Sheet'!N16</f>
        <v/>
      </c>
      <c r="U18" s="136" t="str">
        <f>'Job Sheet'!O16</f>
        <v/>
      </c>
      <c r="V18" s="136" t="str">
        <f>IF(A18="","",IF('Job Sheet'!BF16="None","",CONCATENATE('Job Sheet'!BF16," ",'Job Sheet'!BG16,)))</f>
        <v xml:space="preserve"> </v>
      </c>
      <c r="W18" s="134">
        <f>IF(Data!AV16="","",IF(AC18="N/A",D18+30,(AD18)*ROUNDUP(AC18,0)/10))</f>
        <v>271.5</v>
      </c>
      <c r="X18" s="136" t="str">
        <f>IF(AND('Job Sheet'!BH16="DBS to Make",(OR('Job Sheet'!Z16="Wavefold Cord Operation",'Job Sheet'!Z16="Wavefold Hand Operation"))),"Davidson's",IF(AND('Job Sheet'!BH16="No Track or Rod Required",(OR('Job Sheet'!Z16="Wavefold Cord Operation",'Job Sheet'!Z16="Wavefold Hand Operation"))),"To Be Advised",IF(AND(OR('Job Sheet'!BH16="Track from TBS",'Job Sheet'!BH16="Track from Vanda",'Job Sheet'!BH16="Track from Unique Screens"),(OR(K18="Wavefold (Standard Fullness x 2)",K18="Wavefold (Less Fullness x 1.8)",K18="Wavefold (Extra Fullness x 2.2)",))),'Job Sheet'!BH16,"")))</f>
        <v>Davidson's</v>
      </c>
      <c r="Y18" s="136" t="str">
        <f>'Job Sheet'!BN16</f>
        <v>Alteration to curtain drop</v>
      </c>
      <c r="Z18" s="140">
        <f>IF(Data!BA16="","",IF(AND(ISNUMBER(AN18),AE18="Y"),AN18,IF(AE18="Y",(ROUNDUP((('Job Sheet'!BP16*VLOOKUP(CONCATENATE(K18,F18),Fullness,2,FALSE)+'Job Sheet'!Y16)+VLOOKUP(CONCATENATE(K18,F18),Fullness,3,FALSE))/1000,0&lt;0.1)),IF(AE18="N",(ROUNDUP((W18*E18)/100,0&lt;0.1))))))</f>
        <v>6.8</v>
      </c>
      <c r="AA18" s="140" t="str">
        <f>IF(OR(Data!AV16="",AI18="N/A"),"",IF(AND(ISNUMBER(AN18),AI18="Y"),AN18,IF(AI18="Y",(ROUNDUP((('Job Sheet'!BP16*VLOOKUP(CONCATENATE(K18,F18),Fullness,2,FALSE)+'Job Sheet'!Y16)+VLOOKUP(CONCATENATE(K18,F18),Fullness,3,FALSE))/1000,0&lt;0.1)),IF(AI18="N",(ROUNDUP((AK18*AL18)/100,0&lt;0.1))))))</f>
        <v/>
      </c>
      <c r="AC18" s="112" t="str">
        <f>IF(Data!BA16="","",IF(AD18="N/A","N/A",('Job Sheet'!BQ16+300)/AD18))</f>
        <v>N/A</v>
      </c>
      <c r="AD18" s="112" t="str">
        <f>IF(Data!BA16="","",IF(VLOOKUP(O18,Fabrics,2,FALSE)=0,"N/A",VLOOKUP(O18,Fabrics,2,FALSE)))</f>
        <v>N/A</v>
      </c>
      <c r="AE18" s="112" t="str">
        <f>IF(Data!BA16="","",VLOOKUP(O18,Fabrics,4,FALSE))</f>
        <v>Y</v>
      </c>
      <c r="AG18" s="112" t="str">
        <f>IF(Data!BA16="","",IF(AH18="N/A","N/A",('Job Sheet'!BQ16+300)/AH18))</f>
        <v>N/A</v>
      </c>
      <c r="AH18" s="112" t="str">
        <f>IF(Data!BA16="","",IF(VLOOKUP(S18,Lining,2,FALSE)=0,"N/A",VLOOKUP(S18,Lining,2,FALSE)))</f>
        <v>N/A</v>
      </c>
      <c r="AI18" s="112" t="str">
        <f>IF(Data!BA16="","",VLOOKUP(S18,Lining,4,FALSE))</f>
        <v>N/A</v>
      </c>
      <c r="AJ18" s="112">
        <f>IF(Data!BA16="","",VLOOKUP(S18,Lining,3,FALSE))</f>
        <v>0</v>
      </c>
      <c r="AK18" s="112" t="str">
        <f>IF(OR(AE18="Y",Data!AV16="",AJ18=0),"",ROUNDUP((('Job Sheet'!BP16*VLOOKUP(K18&amp;F18,Fullness,2,FALSE))+'Job Sheet'!BX16+(I18*10)+(J18*10))/AJ18,0))</f>
        <v/>
      </c>
      <c r="AL18" s="112">
        <f>IF(Data!AV16="","",IF(AG18="N/A",D18+30,(AH18)*ROUNDUP(AG18,0)/10))</f>
        <v>271.5</v>
      </c>
      <c r="AN18" s="155">
        <f>IF('Job Sheet'!BY16="Centre Opening 100%",VLOOKUP('Job Sheet'!BP16,COPEN100,4,TRUE),IF('Job Sheet'!BY16="Centre Opening 120%",VLOOKUP('Job Sheet'!BP16,COPEN100,4,TRUE),IF('Job Sheet'!BY16="Centre Opening 80%",VLOOKUP('Job Sheet'!BP16,COPEN100,4,TRUE),IF('Job Sheet'!BY16="100% One Way",VLOOKUP('Job Sheet'!BP16,OneWay100,4,TRUE),IF('Job Sheet'!BY16="120% One Way",VLOOKUP('Job Sheet'!BP16,OneWay100,4,TRUE),IF('Job Sheet'!BY16="80% One Way",VLOOKUP('Job Sheet'!BP16,OneWay100,4,TRUE),""))))))</f>
        <v>6.8</v>
      </c>
    </row>
    <row r="19" spans="1:40" s="24" customFormat="1" ht="123.75">
      <c r="A19" s="135">
        <f>Data!AW17</f>
        <v>34</v>
      </c>
      <c r="B19" s="1" t="str">
        <f>Data!AY17</f>
        <v>Back Hallway (OUT) ALTERATION</v>
      </c>
      <c r="C19" s="131">
        <f>IF(Data!AV17="","",('Job Sheet'!BX17+'Job Sheet'!BP17)/10)</f>
        <v>214.5</v>
      </c>
      <c r="D19" s="143">
        <f>IF(Data!BA17="","",'Job Sheet'!BQ17/10)</f>
        <v>241.5</v>
      </c>
      <c r="E19" s="134" t="str">
        <f>IF(Data!BA17="","",IF('Job Sheet'!BR17="","",ROUNDUP('Job Sheet'!BR17,0)))</f>
        <v/>
      </c>
      <c r="F19" s="136" t="str">
        <f>'Job Sheet'!S17</f>
        <v>Single Panel - Right Stacking</v>
      </c>
      <c r="G19" s="132" t="str">
        <f>IF(OR(Data!BA17="",F19="Single Panel - Right Stacking"),"",IF(AND('Job Sheet'!AI17="Straight",(OR(F19="Centre Opening (Offset Split)",F19="Centre Opening - Free Flowing (Offset Split)"))),('Job Sheet'!T17/10)+('Job Sheet'!BX17/20)+I19+3,IF(AND('Job Sheet'!V17="Yes - Centred on the 1st Bend",(OR(F19="Centre Opening (Offset Split)",F19="Centre Opening - Free Flowing (Offset Split)"))),('Job Sheet'!T17/10)-('Job Sheet'!CD17/20)+('Job Sheet'!BX17/20)+I19+3,IF(AND('Job Sheet'!V17="Yes - Centred on the 2nd Bend",(OR(F19="Centre Opening (Offset Split)",F19="Centre Opening - Free Flowing (Offset Split)"))),('Job Sheet'!T17/10)-('Job Sheet'!CD17/10)-('Job Sheet'!CE17/20)+('Job Sheet'!BX17/20)+I19+3,IF(AND('Job Sheet'!V17="Yes - Centred on the 3rd Bend",(OR(F19="Centre Opening (Offset Split)",F19="Centre Opening - Free Flowing (Offset Split)"))),('Job Sheet'!T17/10)-('Job Sheet'!CD17/10)-('Job Sheet'!CE17/10)-('Job Sheet'!CF17/20)+('Job Sheet'!BX17/20)+I19+3,IF(AND('Job Sheet'!V17="Yes - Centred on the 4th Bend",(OR(F19="Centre Opening (Offset Split)",F19="Centre Opening - Free Flowing (Offset Split)"))),('Job Sheet'!T17/10-'Job Sheet'!CD17/10)-('Job Sheet'!CE17/10)-('Job Sheet'!CF17/20)-('Job Sheet'!CG17/20)+('Job Sheet'!BX17/20)+I19+3,IF(AND('Job Sheet'!V17="No",(OR(F19="Centre Opening (Offset Split)",F19="Centre Opening - Free Flowing (Offset Split)"))),('Job Sheet'!T17/10-'Job Sheet'!CC17/10)+('Job Sheet'!BX17/20)+I19+3,IF(AND('Job Sheet'!V17="Yes - Not on the Bend",(OR(F19="Centre Opening (Offset Split)",F19="Centre Opening - Free Flowing (Offset Split)"))),('Job Sheet'!T17/10)+('Job Sheet'!BX17/20)+I19+3-IF(VALUE('Job Sheet'!AJ17)=1,IF(VALUE('Job Sheet'!T17)&lt;VALUE('Job Sheet'!AL17),'Job Sheet'!CD17/10,0),IF(VALUE('Job Sheet'!AJ17)=2,IF(VALUE('Job Sheet'!T17)&lt;VALUE('Job Sheet'!AO17),'Job Sheet'!CE17/10,0),IF(VALUE('Job Sheet'!AJ17)=3,IF(VALUE('Job Sheet'!T17)&lt;VALUE('Job Sheet'!AR17),'Job Sheet'!CF17/10,0),IF(VALUE('Job Sheet'!AJ17)=4,IF(VALUE('Job Sheet'!T17)&lt;VALUE('Job Sheet'!AU17),'Job Sheet'!CG17/10,0),0)))),IF(OR(F19="Centre Opening",F19="Centre Opening - Free Flowing"),(C19/2)+I19,IF(OR(F19="Single Panel - Left Stacking",F19="Single Panel - Free Flowing",F19="No Movement"),C19+I19))))))))))</f>
        <v/>
      </c>
      <c r="H19" s="132">
        <f>IF(OR(Data!BA17="",F19="Single Panel - Left Stacking",F19="Single Panel - Free Flowing",F19="No Movement"),"",IF(AND('Job Sheet'!AI17="Straight",(OR(F19="Centre Opening (Offset Split)",F19="Centre Opening - Free Flowing (Offset Split)"))),('Job Sheet'!U17/10)+('Job Sheet'!BX17/20)+I19+3,IF(OR(F19="Centre Opening (Offset Split)",F19="Centre Opening - Free Flowing (Offset Split)"),(C19-G19)+J19+('Job Sheet'!BX17/20),IF(OR(F19="Centre Opening",F19="Centre Opening - Free Flowing"),(C19/2)+J19,IF(F19="Single Panel - Right Stacking",C19+J19)))))</f>
        <v>214.5</v>
      </c>
      <c r="I19" s="149">
        <f>IF(Data!AV17="","",VLOOKUP('Job Sheet'!X17,Returns,4,FALSE))</f>
        <v>0</v>
      </c>
      <c r="J19" s="149">
        <f>IF(Data!AV17="","",VLOOKUP('Job Sheet'!X17,Returns,5,FALSE))</f>
        <v>0</v>
      </c>
      <c r="K19" s="136" t="str">
        <f>'Job Sheet'!P17</f>
        <v>Wavefold (Standard Fullness x 2)</v>
      </c>
      <c r="L19" s="136" t="str">
        <f>'Job Sheet'!Q17</f>
        <v>75mm Clear Tape</v>
      </c>
      <c r="M19" s="137" t="str">
        <f>IF('Job Sheet'!R17="Gather Hook Normal","Gather Hook Middle Pocket",IF('Job Sheet'!R17="Gather Hook Level","Gather Hook Top Pocket",'Job Sheet'!R17))</f>
        <v>Wavefold Hooks</v>
      </c>
      <c r="N19" s="136" t="str">
        <f>'Job Sheet'!W17</f>
        <v>Standard 75mm</v>
      </c>
      <c r="O19" s="136" t="str">
        <f>'Job Sheet'!B17</f>
        <v>Nettex Brunswick (Continuous) Uncoated Talc</v>
      </c>
      <c r="P19" s="133">
        <f>'Job Sheet'!BS17</f>
        <v>320</v>
      </c>
      <c r="Q19" s="138" t="str">
        <f>IF(Data!BA17="","",VLOOKUP(O19,Fabrics,5,FALSE))</f>
        <v>100% linen</v>
      </c>
      <c r="R19" s="139">
        <f>IF(Data!BB17="","",VLOOKUP(O19,Fabrics,6,FALSE))</f>
        <v>3</v>
      </c>
      <c r="S19" s="137" t="str">
        <f>CONCATENATE('Job Sheet'!M17," ",'Job Sheet'!N17)</f>
        <v>No Lining </v>
      </c>
      <c r="T19" s="136" t="str">
        <f>'Job Sheet'!N17</f>
        <v/>
      </c>
      <c r="U19" s="136" t="str">
        <f>'Job Sheet'!O17</f>
        <v/>
      </c>
      <c r="V19" s="136" t="str">
        <f>IF(A19="","",IF('Job Sheet'!BF17="None","",CONCATENATE('Job Sheet'!BF17," ",'Job Sheet'!BG17,)))</f>
        <v xml:space="preserve"> </v>
      </c>
      <c r="W19" s="134">
        <f>IF(Data!AV17="","",IF(AC19="N/A",D19+30,(AD19)*ROUNDUP(AC19,0)/10))</f>
        <v>271.5</v>
      </c>
      <c r="X19" s="136" t="str">
        <f>IF(AND('Job Sheet'!BH17="DBS to Make",(OR('Job Sheet'!Z17="Wavefold Cord Operation",'Job Sheet'!Z17="Wavefold Hand Operation"))),"Davidson's",IF(AND('Job Sheet'!BH17="No Track or Rod Required",(OR('Job Sheet'!Z17="Wavefold Cord Operation",'Job Sheet'!Z17="Wavefold Hand Operation"))),"To Be Advised",IF(AND(OR('Job Sheet'!BH17="Track from TBS",'Job Sheet'!BH17="Track from Vanda",'Job Sheet'!BH17="Track from Unique Screens"),(OR(K19="Wavefold (Standard Fullness x 2)",K19="Wavefold (Less Fullness x 1.8)",K19="Wavefold (Extra Fullness x 2.2)",))),'Job Sheet'!BH17,"")))</f>
        <v>Davidson's</v>
      </c>
      <c r="Y19" s="136" t="str">
        <f>'Job Sheet'!BN17</f>
        <v>Alteration to curtain drop</v>
      </c>
      <c r="Z19" s="140">
        <f>IF(Data!BA17="","",IF(AND(ISNUMBER(AN19),AE19="Y"),AN19,IF(AE19="Y",(ROUNDUP((('Job Sheet'!BP17*VLOOKUP(CONCATENATE(K19,F19),Fullness,2,FALSE)+'Job Sheet'!Y17)+VLOOKUP(CONCATENATE(K19,F19),Fullness,3,FALSE))/1000,0&lt;0.1)),IF(AE19="N",(ROUNDUP((W19*E19)/100,0&lt;0.1))))))</f>
        <v>4.9</v>
      </c>
      <c r="AA19" s="140" t="str">
        <f>IF(OR(Data!AV17="",AI19="N/A"),"",IF(AND(ISNUMBER(AN19),AI19="Y"),AN19,IF(AI19="Y",(ROUNDUP((('Job Sheet'!BP17*VLOOKUP(CONCATENATE(K19,F19),Fullness,2,FALSE)+'Job Sheet'!Y17)+VLOOKUP(CONCATENATE(K19,F19),Fullness,3,FALSE))/1000,0&lt;0.1)),IF(AI19="N",(ROUNDUP((AK19*AL19)/100,0&lt;0.1))))))</f>
        <v/>
      </c>
      <c r="AC19" s="112" t="str">
        <f>IF(Data!BA17="","",IF(AD19="N/A","N/A",('Job Sheet'!BQ17+300)/AD19))</f>
        <v>N/A</v>
      </c>
      <c r="AD19" s="112" t="str">
        <f>IF(Data!BA17="","",IF(VLOOKUP(O19,Fabrics,2,FALSE)=0,"N/A",VLOOKUP(O19,Fabrics,2,FALSE)))</f>
        <v>N/A</v>
      </c>
      <c r="AE19" s="112" t="str">
        <f>IF(Data!BA17="","",VLOOKUP(O19,Fabrics,4,FALSE))</f>
        <v>Y</v>
      </c>
      <c r="AG19" s="112" t="str">
        <f>IF(Data!BA17="","",IF(AH19="N/A","N/A",('Job Sheet'!BQ17+300)/AH19))</f>
        <v>N/A</v>
      </c>
      <c r="AH19" s="112" t="str">
        <f>IF(Data!BA17="","",IF(VLOOKUP(S19,Lining,2,FALSE)=0,"N/A",VLOOKUP(S19,Lining,2,FALSE)))</f>
        <v>N/A</v>
      </c>
      <c r="AI19" s="112" t="str">
        <f>IF(Data!BA17="","",VLOOKUP(S19,Lining,4,FALSE))</f>
        <v>N/A</v>
      </c>
      <c r="AJ19" s="112">
        <f>IF(Data!BA17="","",VLOOKUP(S19,Lining,3,FALSE))</f>
        <v>0</v>
      </c>
      <c r="AK19" s="112" t="str">
        <f>IF(OR(AE19="Y",Data!AV17="",AJ19=0),"",ROUNDUP((('Job Sheet'!BP17*VLOOKUP(K19&amp;F19,Fullness,2,FALSE))+'Job Sheet'!BX17+(I19*10)+(J19*10))/AJ19,0))</f>
        <v/>
      </c>
      <c r="AL19" s="112">
        <f>IF(Data!AV17="","",IF(AG19="N/A",D19+30,(AH19)*ROUNDUP(AG19,0)/10))</f>
        <v>271.5</v>
      </c>
      <c r="AN19" s="155">
        <f>IF('Job Sheet'!BY17="Centre Opening 100%",VLOOKUP('Job Sheet'!BP17,COPEN100,4,TRUE),IF('Job Sheet'!BY17="Centre Opening 120%",VLOOKUP('Job Sheet'!BP17,COPEN100,4,TRUE),IF('Job Sheet'!BY17="Centre Opening 80%",VLOOKUP('Job Sheet'!BP17,COPEN100,4,TRUE),IF('Job Sheet'!BY17="100% One Way",VLOOKUP('Job Sheet'!BP17,OneWay100,4,TRUE),IF('Job Sheet'!BY17="120% One Way",VLOOKUP('Job Sheet'!BP17,OneWay100,4,TRUE),IF('Job Sheet'!BY17="80% One Way",VLOOKUP('Job Sheet'!BP17,OneWay100,4,TRUE),""))))))</f>
        <v>4.9</v>
      </c>
    </row>
    <row r="20" spans="1:40" s="24" customFormat="1" ht="123.75">
      <c r="A20" s="135">
        <f>Data!AW18</f>
        <v>35</v>
      </c>
      <c r="B20" s="1" t="str">
        <f>Data!AY18</f>
        <v>Kitchen Door (IN) REMAKE</v>
      </c>
      <c r="C20" s="131">
        <f>IF(Data!AV18="","",('Job Sheet'!BX18+'Job Sheet'!BP18)/10)</f>
        <v>463.5</v>
      </c>
      <c r="D20" s="143">
        <f>IF(Data!BA18="","",'Job Sheet'!BQ18/10)</f>
        <v>236</v>
      </c>
      <c r="E20" s="134" t="str">
        <f>IF(Data!BA18="","",IF('Job Sheet'!BR18="","",ROUNDUP('Job Sheet'!BR18,0)))</f>
        <v/>
      </c>
      <c r="F20" s="136" t="str">
        <f>'Job Sheet'!S18</f>
        <v>Centre Opening</v>
      </c>
      <c r="G20" s="132">
        <f>IF(OR(Data!BA18="",F20="Single Panel - Right Stacking"),"",IF(AND('Job Sheet'!AI18="Straight",(OR(F20="Centre Opening (Offset Split)",F20="Centre Opening - Free Flowing (Offset Split)"))),('Job Sheet'!T18/10)+('Job Sheet'!BX18/20)+I20+3,IF(AND('Job Sheet'!V18="Yes - Centred on the 1st Bend",(OR(F20="Centre Opening (Offset Split)",F20="Centre Opening - Free Flowing (Offset Split)"))),('Job Sheet'!T18/10)-('Job Sheet'!CD18/20)+('Job Sheet'!BX18/20)+I20+3,IF(AND('Job Sheet'!V18="Yes - Centred on the 2nd Bend",(OR(F20="Centre Opening (Offset Split)",F20="Centre Opening - Free Flowing (Offset Split)"))),('Job Sheet'!T18/10)-('Job Sheet'!CD18/10)-('Job Sheet'!CE18/20)+('Job Sheet'!BX18/20)+I20+3,IF(AND('Job Sheet'!V18="Yes - Centred on the 3rd Bend",(OR(F20="Centre Opening (Offset Split)",F20="Centre Opening - Free Flowing (Offset Split)"))),('Job Sheet'!T18/10)-('Job Sheet'!CD18/10)-('Job Sheet'!CE18/10)-('Job Sheet'!CF18/20)+('Job Sheet'!BX18/20)+I20+3,IF(AND('Job Sheet'!V18="Yes - Centred on the 4th Bend",(OR(F20="Centre Opening (Offset Split)",F20="Centre Opening - Free Flowing (Offset Split)"))),('Job Sheet'!T18/10-'Job Sheet'!CD18/10)-('Job Sheet'!CE18/10)-('Job Sheet'!CF18/20)-('Job Sheet'!CG18/20)+('Job Sheet'!BX18/20)+I20+3,IF(AND('Job Sheet'!V18="No",(OR(F20="Centre Opening (Offset Split)",F20="Centre Opening - Free Flowing (Offset Split)"))),('Job Sheet'!T18/10-'Job Sheet'!CC18/10)+('Job Sheet'!BX18/20)+I20+3,IF(AND('Job Sheet'!V18="Yes - Not on the Bend",(OR(F20="Centre Opening (Offset Split)",F20="Centre Opening - Free Flowing (Offset Split)"))),('Job Sheet'!T18/10)+('Job Sheet'!BX18/20)+I20+3-IF(VALUE('Job Sheet'!AJ18)=1,IF(VALUE('Job Sheet'!T18)&lt;VALUE('Job Sheet'!AL18),'Job Sheet'!CD18/10,0),IF(VALUE('Job Sheet'!AJ18)=2,IF(VALUE('Job Sheet'!T18)&lt;VALUE('Job Sheet'!AO18),'Job Sheet'!CE18/10,0),IF(VALUE('Job Sheet'!AJ18)=3,IF(VALUE('Job Sheet'!T18)&lt;VALUE('Job Sheet'!AR18),'Job Sheet'!CF18/10,0),IF(VALUE('Job Sheet'!AJ18)=4,IF(VALUE('Job Sheet'!T18)&lt;VALUE('Job Sheet'!AU18),'Job Sheet'!CG18/10,0),0)))),IF(OR(F20="Centre Opening",F20="Centre Opening - Free Flowing"),(C20/2)+I20,IF(OR(F20="Single Panel - Left Stacking",F20="Single Panel - Free Flowing",F20="No Movement"),C20+I20))))))))))</f>
        <v>231.75</v>
      </c>
      <c r="H20" s="132">
        <f>IF(OR(Data!BA18="",F20="Single Panel - Left Stacking",F20="Single Panel - Free Flowing",F20="No Movement"),"",IF(AND('Job Sheet'!AI18="Straight",(OR(F20="Centre Opening (Offset Split)",F20="Centre Opening - Free Flowing (Offset Split)"))),('Job Sheet'!U18/10)+('Job Sheet'!BX18/20)+I20+3,IF(OR(F20="Centre Opening (Offset Split)",F20="Centre Opening - Free Flowing (Offset Split)"),(C20-G20)+J20+('Job Sheet'!BX18/20),IF(OR(F20="Centre Opening",F20="Centre Opening - Free Flowing"),(C20/2)+J20,IF(F20="Single Panel - Right Stacking",C20+J20)))))</f>
        <v>231.75</v>
      </c>
      <c r="I20" s="149">
        <f>IF(Data!AV18="","",VLOOKUP('Job Sheet'!X18,Returns,4,FALSE))</f>
        <v>0</v>
      </c>
      <c r="J20" s="149">
        <f>IF(Data!AV18="","",VLOOKUP('Job Sheet'!X18,Returns,5,FALSE))</f>
        <v>0</v>
      </c>
      <c r="K20" s="136" t="str">
        <f>'Job Sheet'!P18</f>
        <v>Wavefold (Standard Fullness x 2)</v>
      </c>
      <c r="L20" s="136" t="str">
        <f>'Job Sheet'!Q18</f>
        <v>75mm Clear Tape</v>
      </c>
      <c r="M20" s="137" t="str">
        <f>IF('Job Sheet'!R18="Gather Hook Normal","Gather Hook Middle Pocket",IF('Job Sheet'!R18="Gather Hook Level","Gather Hook Top Pocket",'Job Sheet'!R18))</f>
        <v>Wavefold Hooks</v>
      </c>
      <c r="N20" s="136" t="str">
        <f>'Job Sheet'!W18</f>
        <v>Standard 75mm</v>
      </c>
      <c r="O20" s="136" t="str">
        <f>'Job Sheet'!B18</f>
        <v>Nettex Brunswick (Continuous) Uncoated Talc</v>
      </c>
      <c r="P20" s="133">
        <f>'Job Sheet'!BS18</f>
        <v>320</v>
      </c>
      <c r="Q20" s="138" t="str">
        <f>IF(Data!BA18="","",VLOOKUP(O20,Fabrics,5,FALSE))</f>
        <v>100% linen</v>
      </c>
      <c r="R20" s="139">
        <f>IF(Data!BB18="","",VLOOKUP(O20,Fabrics,6,FALSE))</f>
        <v>3</v>
      </c>
      <c r="S20" s="137" t="str">
        <f>CONCATENATE('Job Sheet'!M18," ",'Job Sheet'!N18)</f>
        <v>No Lining </v>
      </c>
      <c r="T20" s="136" t="str">
        <f>'Job Sheet'!N18</f>
        <v/>
      </c>
      <c r="U20" s="136" t="str">
        <f>'Job Sheet'!O18</f>
        <v/>
      </c>
      <c r="V20" s="136" t="str">
        <f>IF(A20="","",IF('Job Sheet'!BF18="None","",CONCATENATE('Job Sheet'!BF18," ",'Job Sheet'!BG18,)))</f>
        <v xml:space="preserve"> </v>
      </c>
      <c r="W20" s="134">
        <f>IF(Data!AV18="","",IF(AC20="N/A",D20+30,(AD20)*ROUNDUP(AC20,0)/10))</f>
        <v>266</v>
      </c>
      <c r="X20" s="136" t="str">
        <f>IF(AND('Job Sheet'!BH18="DBS to Make",(OR('Job Sheet'!Z18="Wavefold Cord Operation",'Job Sheet'!Z18="Wavefold Hand Operation"))),"Davidson's",IF(AND('Job Sheet'!BH18="No Track or Rod Required",(OR('Job Sheet'!Z18="Wavefold Cord Operation",'Job Sheet'!Z18="Wavefold Hand Operation"))),"To Be Advised",IF(AND(OR('Job Sheet'!BH18="Track from TBS",'Job Sheet'!BH18="Track from Vanda",'Job Sheet'!BH18="Track from Unique Screens"),(OR(K20="Wavefold (Standard Fullness x 2)",K20="Wavefold (Less Fullness x 1.8)",K20="Wavefold (Extra Fullness x 2.2)",))),'Job Sheet'!BH18,"")))</f>
        <v>Davidson's</v>
      </c>
      <c r="Y20" s="136" t="str">
        <f>'Job Sheet'!BN18</f>
        <v/>
      </c>
      <c r="Z20" s="140">
        <f>IF(Data!BA18="","",IF(AND(ISNUMBER(AN20),AE20="Y"),AN20,IF(AE20="Y",(ROUNDUP((('Job Sheet'!BP18*VLOOKUP(CONCATENATE(K20,F20),Fullness,2,FALSE)+'Job Sheet'!Y18)+VLOOKUP(CONCATENATE(K20,F20),Fullness,3,FALSE))/1000,0&lt;0.1)),IF(AE20="N",(ROUNDUP((W20*E20)/100,0&lt;0.1))))))</f>
        <v>10.6</v>
      </c>
      <c r="AA20" s="140" t="str">
        <f>IF(OR(Data!AV18="",AI20="N/A"),"",IF(AND(ISNUMBER(AN20),AI20="Y"),AN20,IF(AI20="Y",(ROUNDUP((('Job Sheet'!BP18*VLOOKUP(CONCATENATE(K20,F20),Fullness,2,FALSE)+'Job Sheet'!Y18)+VLOOKUP(CONCATENATE(K20,F20),Fullness,3,FALSE))/1000,0&lt;0.1)),IF(AI20="N",(ROUNDUP((AK20*AL20)/100,0&lt;0.1))))))</f>
        <v/>
      </c>
      <c r="AC20" s="112" t="str">
        <f>IF(Data!BA18="","",IF(AD20="N/A","N/A",('Job Sheet'!BQ18+300)/AD20))</f>
        <v>N/A</v>
      </c>
      <c r="AD20" s="112" t="str">
        <f>IF(Data!BA18="","",IF(VLOOKUP(O20,Fabrics,2,FALSE)=0,"N/A",VLOOKUP(O20,Fabrics,2,FALSE)))</f>
        <v>N/A</v>
      </c>
      <c r="AE20" s="112" t="str">
        <f>IF(Data!BA18="","",VLOOKUP(O20,Fabrics,4,FALSE))</f>
        <v>Y</v>
      </c>
      <c r="AG20" s="112" t="str">
        <f>IF(Data!BA18="","",IF(AH20="N/A","N/A",('Job Sheet'!BQ18+300)/AH20))</f>
        <v>N/A</v>
      </c>
      <c r="AH20" s="112" t="str">
        <f>IF(Data!BA18="","",IF(VLOOKUP(S20,Lining,2,FALSE)=0,"N/A",VLOOKUP(S20,Lining,2,FALSE)))</f>
        <v>N/A</v>
      </c>
      <c r="AI20" s="112" t="str">
        <f>IF(Data!BA18="","",VLOOKUP(S20,Lining,4,FALSE))</f>
        <v>N/A</v>
      </c>
      <c r="AJ20" s="112">
        <f>IF(Data!BA18="","",VLOOKUP(S20,Lining,3,FALSE))</f>
        <v>0</v>
      </c>
      <c r="AK20" s="112" t="str">
        <f>IF(OR(AE20="Y",Data!AV18="",AJ20=0),"",ROUNDUP((('Job Sheet'!BP18*VLOOKUP(K20&amp;F20,Fullness,2,FALSE))+'Job Sheet'!BX18+(I20*10)+(J20*10))/AJ20,0))</f>
        <v/>
      </c>
      <c r="AL20" s="112">
        <f>IF(Data!AV18="","",IF(AG20="N/A",D20+30,(AH20)*ROUNDUP(AG20,0)/10))</f>
        <v>266</v>
      </c>
      <c r="AN20" s="155">
        <f>IF('Job Sheet'!BY18="Centre Opening 100%",VLOOKUP('Job Sheet'!BP18,COPEN100,4,TRUE),IF('Job Sheet'!BY18="Centre Opening 120%",VLOOKUP('Job Sheet'!BP18,COPEN100,4,TRUE),IF('Job Sheet'!BY18="Centre Opening 80%",VLOOKUP('Job Sheet'!BP18,COPEN100,4,TRUE),IF('Job Sheet'!BY18="100% One Way",VLOOKUP('Job Sheet'!BP18,OneWay100,4,TRUE),IF('Job Sheet'!BY18="120% One Way",VLOOKUP('Job Sheet'!BP18,OneWay100,4,TRUE),IF('Job Sheet'!BY18="80% One Way",VLOOKUP('Job Sheet'!BP18,OneWay100,4,TRUE),""))))))</f>
        <v>10.6</v>
      </c>
    </row>
    <row r="21" spans="1:40" ht="123.75">
      <c r="A21" s="135">
        <f>Data!AW19</f>
        <v>36</v>
      </c>
      <c r="B21" s="1" t="str">
        <f>Data!AY19</f>
        <v>Second Lounge ALTERATION</v>
      </c>
      <c r="C21" s="131">
        <f>IF(Data!AV19="","",('Job Sheet'!BX19+'Job Sheet'!BP19)/10)</f>
        <v>401.5</v>
      </c>
      <c r="D21" s="143">
        <f>IF(Data!BA19="","",'Job Sheet'!BQ19/10)</f>
        <v>218</v>
      </c>
      <c r="E21" s="134" t="str">
        <f>IF(Data!BA19="","",IF('Job Sheet'!BR19="","",ROUNDUP('Job Sheet'!BR19,0)))</f>
        <v/>
      </c>
      <c r="F21" s="136" t="str">
        <f>'Job Sheet'!S19</f>
        <v>Centre Opening</v>
      </c>
      <c r="G21" s="132">
        <f>IF(OR(Data!BA19="",F21="Single Panel - Right Stacking"),"",IF(AND('Job Sheet'!AI19="Straight",(OR(F21="Centre Opening (Offset Split)",F21="Centre Opening - Free Flowing (Offset Split)"))),('Job Sheet'!T19/10)+('Job Sheet'!BX19/20)+I21+3,IF(AND('Job Sheet'!V19="Yes - Centred on the 1st Bend",(OR(F21="Centre Opening (Offset Split)",F21="Centre Opening - Free Flowing (Offset Split)"))),('Job Sheet'!T19/10)-('Job Sheet'!CD19/20)+('Job Sheet'!BX19/20)+I21+3,IF(AND('Job Sheet'!V19="Yes - Centred on the 2nd Bend",(OR(F21="Centre Opening (Offset Split)",F21="Centre Opening - Free Flowing (Offset Split)"))),('Job Sheet'!T19/10)-('Job Sheet'!CD19/10)-('Job Sheet'!CE19/20)+('Job Sheet'!BX19/20)+I21+3,IF(AND('Job Sheet'!V19="Yes - Centred on the 3rd Bend",(OR(F21="Centre Opening (Offset Split)",F21="Centre Opening - Free Flowing (Offset Split)"))),('Job Sheet'!T19/10)-('Job Sheet'!CD19/10)-('Job Sheet'!CE19/10)-('Job Sheet'!CF19/20)+('Job Sheet'!BX19/20)+I21+3,IF(AND('Job Sheet'!V19="Yes - Centred on the 4th Bend",(OR(F21="Centre Opening (Offset Split)",F21="Centre Opening - Free Flowing (Offset Split)"))),('Job Sheet'!T19/10-'Job Sheet'!CD19/10)-('Job Sheet'!CE19/10)-('Job Sheet'!CF19/20)-('Job Sheet'!CG19/20)+('Job Sheet'!BX19/20)+I21+3,IF(AND('Job Sheet'!V19="No",(OR(F21="Centre Opening (Offset Split)",F21="Centre Opening - Free Flowing (Offset Split)"))),('Job Sheet'!T19/10-'Job Sheet'!CC19/10)+('Job Sheet'!BX19/20)+I21+3,IF(AND('Job Sheet'!V19="Yes - Not on the Bend",(OR(F21="Centre Opening (Offset Split)",F21="Centre Opening - Free Flowing (Offset Split)"))),('Job Sheet'!T19/10)+('Job Sheet'!BX19/20)+I21+3-IF(VALUE('Job Sheet'!AJ19)=1,IF(VALUE('Job Sheet'!T19)&lt;VALUE('Job Sheet'!AL19),'Job Sheet'!CD19/10,0),IF(VALUE('Job Sheet'!AJ19)=2,IF(VALUE('Job Sheet'!T19)&lt;VALUE('Job Sheet'!AO19),'Job Sheet'!CE19/10,0),IF(VALUE('Job Sheet'!AJ19)=3,IF(VALUE('Job Sheet'!T19)&lt;VALUE('Job Sheet'!AR19),'Job Sheet'!CF19/10,0),IF(VALUE('Job Sheet'!AJ19)=4,IF(VALUE('Job Sheet'!T19)&lt;VALUE('Job Sheet'!AU19),'Job Sheet'!CG19/10,0),0)))),IF(OR(F21="Centre Opening",F21="Centre Opening - Free Flowing"),(C21/2)+I21,IF(OR(F21="Single Panel - Left Stacking",F21="Single Panel - Free Flowing",F21="No Movement"),C21+I21))))))))))</f>
        <v>200.75</v>
      </c>
      <c r="H21" s="132">
        <f>IF(OR(Data!BA19="",F21="Single Panel - Left Stacking",F21="Single Panel - Free Flowing",F21="No Movement"),"",IF(AND('Job Sheet'!AI19="Straight",(OR(F21="Centre Opening (Offset Split)",F21="Centre Opening - Free Flowing (Offset Split)"))),('Job Sheet'!U19/10)+('Job Sheet'!BX19/20)+I21+3,IF(OR(F21="Centre Opening (Offset Split)",F21="Centre Opening - Free Flowing (Offset Split)"),(C21-G21)+J21+('Job Sheet'!BX19/20),IF(OR(F21="Centre Opening",F21="Centre Opening - Free Flowing"),(C21/2)+J21,IF(F21="Single Panel - Right Stacking",C21+J21)))))</f>
        <v>200.75</v>
      </c>
      <c r="I21" s="149">
        <f>IF(Data!AV19="","",VLOOKUP('Job Sheet'!X19,Returns,4,FALSE))</f>
        <v>0</v>
      </c>
      <c r="J21" s="149">
        <f>IF(Data!AV19="","",VLOOKUP('Job Sheet'!X19,Returns,5,FALSE))</f>
        <v>0</v>
      </c>
      <c r="K21" s="136" t="str">
        <f>'Job Sheet'!P19</f>
        <v>Wavefold (Standard Fullness x 2)</v>
      </c>
      <c r="L21" s="136" t="str">
        <f>'Job Sheet'!Q19</f>
        <v>75mm Clear Tape</v>
      </c>
      <c r="M21" s="137" t="str">
        <f>IF('Job Sheet'!R19="Gather Hook Normal","Gather Hook Middle Pocket",IF('Job Sheet'!R19="Gather Hook Level","Gather Hook Top Pocket",'Job Sheet'!R19))</f>
        <v>Wavefold Hooks</v>
      </c>
      <c r="N21" s="136" t="str">
        <f>'Job Sheet'!W19</f>
        <v>Standard 75mm</v>
      </c>
      <c r="O21" s="136" t="str">
        <f>'Job Sheet'!B19</f>
        <v>Nettex Brunswick (Continuous) Uncoated Talc</v>
      </c>
      <c r="P21" s="133">
        <f>'Job Sheet'!BS19</f>
        <v>320</v>
      </c>
      <c r="Q21" s="138" t="str">
        <f>IF(Data!BA19="","",VLOOKUP(O21,Fabrics,5,FALSE))</f>
        <v>100% linen</v>
      </c>
      <c r="R21" s="139">
        <f>IF(Data!BB19="","",VLOOKUP(O21,Fabrics,6,FALSE))</f>
        <v>3</v>
      </c>
      <c r="S21" s="137" t="str">
        <f>CONCATENATE('Job Sheet'!M19," ",'Job Sheet'!N19)</f>
        <v>No Lining </v>
      </c>
      <c r="T21" s="136" t="str">
        <f>'Job Sheet'!N19</f>
        <v/>
      </c>
      <c r="U21" s="136" t="str">
        <f>'Job Sheet'!O19</f>
        <v/>
      </c>
      <c r="V21" s="136" t="str">
        <f>IF(A21="","",IF('Job Sheet'!BF19="None","",CONCATENATE('Job Sheet'!BF19," ",'Job Sheet'!BG19,)))</f>
        <v xml:space="preserve"> </v>
      </c>
      <c r="W21" s="134">
        <f>IF(Data!AV19="","",IF(AC21="N/A",D21+30,(AD21)*ROUNDUP(AC21,0)/10))</f>
        <v>248</v>
      </c>
      <c r="X21" s="136" t="str">
        <f>IF(AND('Job Sheet'!BH19="DBS to Make",(OR('Job Sheet'!Z19="Wavefold Cord Operation",'Job Sheet'!Z19="Wavefold Hand Operation"))),"Davidson's",IF(AND('Job Sheet'!BH19="No Track or Rod Required",(OR('Job Sheet'!Z19="Wavefold Cord Operation",'Job Sheet'!Z19="Wavefold Hand Operation"))),"To Be Advised",IF(AND(OR('Job Sheet'!BH19="Track from TBS",'Job Sheet'!BH19="Track from Vanda",'Job Sheet'!BH19="Track from Unique Screens"),(OR(K21="Wavefold (Standard Fullness x 2)",K21="Wavefold (Less Fullness x 1.8)",K21="Wavefold (Extra Fullness x 2.2)",))),'Job Sheet'!BH19,"")))</f>
        <v>Davidson's</v>
      </c>
      <c r="Y21" s="136" t="str">
        <f>'Job Sheet'!BN19</f>
        <v>Alteration to curtain drop</v>
      </c>
      <c r="Z21" s="140">
        <f>IF(Data!BA19="","",IF(AND(ISNUMBER(AN21),AE21="Y"),AN21,IF(AE21="Y",(ROUNDUP((('Job Sheet'!BP19*VLOOKUP(CONCATENATE(K21,F21),Fullness,2,FALSE)+'Job Sheet'!Y19)+VLOOKUP(CONCATENATE(K21,F21),Fullness,3,FALSE))/1000,0&lt;0.1)),IF(AE21="N",(ROUNDUP((W21*E21)/100,0&lt;0.1))))))</f>
        <v>9.4</v>
      </c>
      <c r="AA21" s="140" t="str">
        <f>IF(OR(Data!AV19="",AI21="N/A"),"",IF(AND(ISNUMBER(AN21),AI21="Y"),AN21,IF(AI21="Y",(ROUNDUP((('Job Sheet'!BP19*VLOOKUP(CONCATENATE(K21,F21),Fullness,2,FALSE)+'Job Sheet'!Y19)+VLOOKUP(CONCATENATE(K21,F21),Fullness,3,FALSE))/1000,0&lt;0.1)),IF(AI21="N",(ROUNDUP((AK21*AL21)/100,0&lt;0.1))))))</f>
        <v/>
      </c>
      <c r="AB21" s="24"/>
      <c r="AC21" s="112" t="str">
        <f>IF(Data!BA19="","",IF(AD21="N/A","N/A",('Job Sheet'!BQ19+300)/AD21))</f>
        <v>N/A</v>
      </c>
      <c r="AD21" s="112" t="str">
        <f>IF(Data!BA19="","",IF(VLOOKUP(O21,Fabrics,2,FALSE)=0,"N/A",VLOOKUP(O21,Fabrics,2,FALSE)))</f>
        <v>N/A</v>
      </c>
      <c r="AE21" s="112" t="str">
        <f>IF(Data!BA19="","",VLOOKUP(O21,Fabrics,4,FALSE))</f>
        <v>Y</v>
      </c>
      <c r="AF21" s="24"/>
      <c r="AG21" s="112" t="str">
        <f>IF(Data!BA19="","",IF(AH21="N/A","N/A",('Job Sheet'!BQ19+300)/AH21))</f>
        <v>N/A</v>
      </c>
      <c r="AH21" s="112" t="str">
        <f>IF(Data!BA19="","",IF(VLOOKUP(S21,Lining,2,FALSE)=0,"N/A",VLOOKUP(S21,Lining,2,FALSE)))</f>
        <v>N/A</v>
      </c>
      <c r="AI21" s="112" t="str">
        <f>IF(Data!BA19="","",VLOOKUP(S21,Lining,4,FALSE))</f>
        <v>N/A</v>
      </c>
      <c r="AJ21" s="112">
        <f>IF(Data!BA19="","",VLOOKUP(S21,Lining,3,FALSE))</f>
        <v>0</v>
      </c>
      <c r="AK21" s="112" t="str">
        <f>IF(OR(AE21="Y",Data!AV19="",AJ21=0),"",ROUNDUP((('Job Sheet'!BP19*VLOOKUP(K21&amp;F21,Fullness,2,FALSE))+'Job Sheet'!BX19+(I21*10)+(J21*10))/AJ21,0))</f>
        <v/>
      </c>
      <c r="AL21" s="112">
        <f>IF(Data!AV19="","",IF(AG21="N/A",D21+30,(AH21)*ROUNDUP(AG21,0)/10))</f>
        <v>248</v>
      </c>
      <c r="AM21" s="24"/>
      <c r="AN21" s="155">
        <f>IF('Job Sheet'!BY19="Centre Opening 100%",VLOOKUP('Job Sheet'!BP19,COPEN100,4,TRUE),IF('Job Sheet'!BY19="Centre Opening 120%",VLOOKUP('Job Sheet'!BP19,COPEN100,4,TRUE),IF('Job Sheet'!BY19="Centre Opening 80%",VLOOKUP('Job Sheet'!BP19,COPEN100,4,TRUE),IF('Job Sheet'!BY19="100% One Way",VLOOKUP('Job Sheet'!BP19,OneWay100,4,TRUE),IF('Job Sheet'!BY19="120% One Way",VLOOKUP('Job Sheet'!BP19,OneWay100,4,TRUE),IF('Job Sheet'!BY19="80% One Way",VLOOKUP('Job Sheet'!BP19,OneWay100,4,TRUE),""))))))</f>
        <v>9.4</v>
      </c>
    </row>
    <row r="22" spans="1:40" ht="288.75">
      <c r="A22" s="135">
        <f>Data!AW20</f>
        <v>37</v>
      </c>
      <c r="B22" s="208" t="str">
        <f>Data!AY20</f>
        <v>Front Lounge 1 ALTERATION</v>
      </c>
      <c r="C22" s="131">
        <f>IF(Data!AV20="","",('Job Sheet'!BX20+'Job Sheet'!BP20)/10)</f>
        <v>505.5</v>
      </c>
      <c r="D22" s="143">
        <f>IF(Data!BA20="","",'Job Sheet'!BQ20/10)</f>
        <v>221.5</v>
      </c>
      <c r="E22" s="134" t="str">
        <f>IF(Data!BA20="","",IF('Job Sheet'!BR20="","",ROUNDUP('Job Sheet'!BR20,0)))</f>
        <v/>
      </c>
      <c r="F22" s="136" t="str">
        <f>'Job Sheet'!S20</f>
        <v>Centre Opening</v>
      </c>
      <c r="G22" s="132">
        <f>IF(OR(Data!BA20="",F22="Single Panel - Right Stacking"),"",IF(AND('Job Sheet'!AI20="Straight",(OR(F22="Centre Opening (Offset Split)",F22="Centre Opening - Free Flowing (Offset Split)"))),('Job Sheet'!T20/10)+('Job Sheet'!BX20/20)+I22+3,IF(AND('Job Sheet'!V20="Yes - Centred on the 1st Bend",(OR(F22="Centre Opening (Offset Split)",F22="Centre Opening - Free Flowing (Offset Split)"))),('Job Sheet'!T20/10)-('Job Sheet'!CD20/20)+('Job Sheet'!BX20/20)+I22+3,IF(AND('Job Sheet'!V20="Yes - Centred on the 2nd Bend",(OR(F22="Centre Opening (Offset Split)",F22="Centre Opening - Free Flowing (Offset Split)"))),('Job Sheet'!T20/10)-('Job Sheet'!CD20/10)-('Job Sheet'!CE20/20)+('Job Sheet'!BX20/20)+I22+3,IF(AND('Job Sheet'!V20="Yes - Centred on the 3rd Bend",(OR(F22="Centre Opening (Offset Split)",F22="Centre Opening - Free Flowing (Offset Split)"))),('Job Sheet'!T20/10)-('Job Sheet'!CD20/10)-('Job Sheet'!CE20/10)-('Job Sheet'!CF20/20)+('Job Sheet'!BX20/20)+I22+3,IF(AND('Job Sheet'!V20="Yes - Centred on the 4th Bend",(OR(F22="Centre Opening (Offset Split)",F22="Centre Opening - Free Flowing (Offset Split)"))),('Job Sheet'!T20/10-'Job Sheet'!CD20/10)-('Job Sheet'!CE20/10)-('Job Sheet'!CF20/20)-('Job Sheet'!CG20/20)+('Job Sheet'!BX20/20)+I22+3,IF(AND('Job Sheet'!V20="No",(OR(F22="Centre Opening (Offset Split)",F22="Centre Opening - Free Flowing (Offset Split)"))),('Job Sheet'!T20/10-'Job Sheet'!CC20/10)+('Job Sheet'!BX20/20)+I22+3,IF(AND('Job Sheet'!V20="Yes - Not on the Bend",(OR(F22="Centre Opening (Offset Split)",F22="Centre Opening - Free Flowing (Offset Split)"))),('Job Sheet'!T20/10)+('Job Sheet'!BX20/20)+I22+3-IF(VALUE('Job Sheet'!AJ20)=1,IF(VALUE('Job Sheet'!T20)&lt;VALUE('Job Sheet'!AL20),'Job Sheet'!CD20/10,0),IF(VALUE('Job Sheet'!AJ20)=2,IF(VALUE('Job Sheet'!T20)&lt;VALUE('Job Sheet'!AO20),'Job Sheet'!CE20/10,0),IF(VALUE('Job Sheet'!AJ20)=3,IF(VALUE('Job Sheet'!T20)&lt;VALUE('Job Sheet'!AR20),'Job Sheet'!CF20/10,0),IF(VALUE('Job Sheet'!AJ20)=4,IF(VALUE('Job Sheet'!T20)&lt;VALUE('Job Sheet'!AU20),'Job Sheet'!CG20/10,0),0)))),IF(OR(F22="Centre Opening",F22="Centre Opening - Free Flowing"),(C22/2)+I22,IF(OR(F22="Single Panel - Left Stacking",F22="Single Panel - Free Flowing",F22="No Movement"),C22+I22))))))))))</f>
        <v>252.75</v>
      </c>
      <c r="H22" s="132">
        <f>IF(OR(Data!BA20="",F22="Single Panel - Left Stacking",F22="Single Panel - Free Flowing",F22="No Movement"),"",IF(AND('Job Sheet'!AI20="Straight",(OR(F22="Centre Opening (Offset Split)",F22="Centre Opening - Free Flowing (Offset Split)"))),('Job Sheet'!U20/10)+('Job Sheet'!BX20/20)+I22+3,IF(OR(F22="Centre Opening (Offset Split)",F22="Centre Opening - Free Flowing (Offset Split)"),(C22-G22)+J22+('Job Sheet'!BX20/20),IF(OR(F22="Centre Opening",F22="Centre Opening - Free Flowing"),(C22/2)+J22,IF(F22="Single Panel - Right Stacking",C22+J22)))))</f>
        <v>252.75</v>
      </c>
      <c r="I22" s="149">
        <f>IF(Data!AV20="","",VLOOKUP('Job Sheet'!X20,Returns,4,FALSE))</f>
        <v>0</v>
      </c>
      <c r="J22" s="149">
        <f>IF(Data!AV20="","",VLOOKUP('Job Sheet'!X20,Returns,5,FALSE))</f>
        <v>0</v>
      </c>
      <c r="K22" s="136" t="str">
        <f>'Job Sheet'!P20</f>
        <v>Wavefold (Standard Fullness x 2)</v>
      </c>
      <c r="L22" s="136" t="str">
        <f>'Job Sheet'!Q20</f>
        <v>75mm Clear Tape</v>
      </c>
      <c r="M22" s="137" t="str">
        <f>IF('Job Sheet'!R20="Gather Hook Normal","Gather Hook Middle Pocket",IF('Job Sheet'!R20="Gather Hook Level","Gather Hook Top Pocket",'Job Sheet'!R20))</f>
        <v>Wavefold Hooks</v>
      </c>
      <c r="N22" s="136" t="str">
        <f>'Job Sheet'!W20</f>
        <v>Standard 75mm</v>
      </c>
      <c r="O22" s="136" t="str">
        <f>'Job Sheet'!B20</f>
        <v>Nettex Brunswick (Continuous) Uncoated Talc</v>
      </c>
      <c r="P22" s="133">
        <f>'Job Sheet'!BS20</f>
        <v>320</v>
      </c>
      <c r="Q22" s="138" t="str">
        <f>IF(Data!BA20="","",VLOOKUP(O22,Fabrics,5,FALSE))</f>
        <v>100% linen</v>
      </c>
      <c r="R22" s="139">
        <f>IF(Data!BB20="","",VLOOKUP(O22,Fabrics,6,FALSE))</f>
        <v>3</v>
      </c>
      <c r="S22" s="137" t="str">
        <f>CONCATENATE('Job Sheet'!M20," ",'Job Sheet'!N20)</f>
        <v>No Lining </v>
      </c>
      <c r="T22" s="136" t="str">
        <f>'Job Sheet'!N20</f>
        <v/>
      </c>
      <c r="U22" s="136" t="str">
        <f>'Job Sheet'!O20</f>
        <v/>
      </c>
      <c r="V22" s="136" t="str">
        <f>IF(A22="","",IF('Job Sheet'!BF20="None","",CONCATENATE('Job Sheet'!BF20," ",'Job Sheet'!BG20,)))</f>
        <v xml:space="preserve"> </v>
      </c>
      <c r="W22" s="134">
        <f>IF(Data!AV20="","",IF(AC22="N/A",D22+30,(AD22)*ROUNDUP(AC22,0)/10))</f>
        <v>251.5</v>
      </c>
      <c r="X22" s="136" t="str">
        <f>IF(AND('Job Sheet'!BH20="DBS to Make",(OR('Job Sheet'!Z20="Wavefold Cord Operation",'Job Sheet'!Z20="Wavefold Hand Operation"))),"Davidson's",IF(AND('Job Sheet'!BH20="No Track or Rod Required",(OR('Job Sheet'!Z20="Wavefold Cord Operation",'Job Sheet'!Z20="Wavefold Hand Operation"))),"To Be Advised",IF(AND(OR('Job Sheet'!BH20="Track from TBS",'Job Sheet'!BH20="Track from Vanda",'Job Sheet'!BH20="Track from Unique Screens"),(OR(K22="Wavefold (Standard Fullness x 2)",K22="Wavefold (Less Fullness x 1.8)",K22="Wavefold (Extra Fullness x 2.2)",))),'Job Sheet'!BH20,"")))</f>
        <v>Davidson's</v>
      </c>
      <c r="Y22" s="136" t="str">
        <f>'Job Sheet'!BN20</f>
        <v>Alteration to curtain drop and change curtain and track to CCO</v>
      </c>
      <c r="Z22" s="140">
        <f>IF(Data!BA20="","",IF(AND(ISNUMBER(AN22),AE22="Y"),AN22,IF(AE22="Y",(ROUNDUP((('Job Sheet'!BP20*VLOOKUP(CONCATENATE(K22,F22),Fullness,2,FALSE)+'Job Sheet'!Y20)+VLOOKUP(CONCATENATE(K22,F22),Fullness,3,FALSE))/1000,0&lt;0.1)),IF(AE22="N",(ROUNDUP((W22*E22)/100,0&lt;0.1))))))</f>
        <v>11.4</v>
      </c>
      <c r="AA22" s="140" t="str">
        <f>IF(OR(Data!AV20="",AI22="N/A"),"",IF(AND(ISNUMBER(AN22),AI22="Y"),AN22,IF(AI22="Y",(ROUNDUP((('Job Sheet'!BP20*VLOOKUP(CONCATENATE(K22,F22),Fullness,2,FALSE)+'Job Sheet'!Y20)+VLOOKUP(CONCATENATE(K22,F22),Fullness,3,FALSE))/1000,0&lt;0.1)),IF(AI22="N",(ROUNDUP((AK22*AL22)/100,0&lt;0.1))))))</f>
        <v/>
      </c>
      <c r="AB22" s="188"/>
      <c r="AC22" s="112" t="str">
        <f>IF(Data!BA20="","",IF(AD22="N/A","N/A",('Job Sheet'!BQ20+300)/AD22))</f>
        <v>N/A</v>
      </c>
      <c r="AD22" s="112" t="str">
        <f>IF(Data!BA20="","",IF(VLOOKUP(O22,Fabrics,2,FALSE)=0,"N/A",VLOOKUP(O22,Fabrics,2,FALSE)))</f>
        <v>N/A</v>
      </c>
      <c r="AE22" s="112" t="str">
        <f>IF(Data!BA20="","",VLOOKUP(O22,Fabrics,4,FALSE))</f>
        <v>Y</v>
      </c>
      <c r="AF22" s="188"/>
      <c r="AG22" s="112" t="str">
        <f>IF(Data!BA20="","",IF(AH22="N/A","N/A",('Job Sheet'!BQ20+300)/AH22))</f>
        <v>N/A</v>
      </c>
      <c r="AH22" s="112" t="str">
        <f>IF(Data!BA20="","",IF(VLOOKUP(S22,Lining,2,FALSE)=0,"N/A",VLOOKUP(S22,Lining,2,FALSE)))</f>
        <v>N/A</v>
      </c>
      <c r="AI22" s="112" t="str">
        <f>IF(Data!BA20="","",VLOOKUP(S22,Lining,4,FALSE))</f>
        <v>N/A</v>
      </c>
      <c r="AJ22" s="112">
        <f>IF(Data!BA20="","",VLOOKUP(S22,Lining,3,FALSE))</f>
        <v>0</v>
      </c>
      <c r="AK22" s="112" t="str">
        <f>IF(OR(AE22="Y",Data!AV20="",AJ22=0),"",ROUNDUP((('Job Sheet'!BP20*VLOOKUP(K22&amp;F22,Fullness,2,FALSE))+'Job Sheet'!BX20+(I22*10)+(J22*10))/AJ22,0))</f>
        <v/>
      </c>
      <c r="AL22" s="112">
        <f>IF(Data!AV20="","",IF(AG22="N/A",D22+30,(AH22)*ROUNDUP(AG22,0)/10))</f>
        <v>251.5</v>
      </c>
      <c r="AM22" s="188"/>
      <c r="AN22" s="155">
        <f>IF('Job Sheet'!BY20="Centre Opening 100%",VLOOKUP('Job Sheet'!BP20,COPEN100,4,TRUE),IF('Job Sheet'!BY20="Centre Opening 120%",VLOOKUP('Job Sheet'!BP20,COPEN100,4,TRUE),IF('Job Sheet'!BY20="Centre Opening 80%",VLOOKUP('Job Sheet'!BP20,COPEN100,4,TRUE),IF('Job Sheet'!BY20="100% One Way",VLOOKUP('Job Sheet'!BP20,OneWay100,4,TRUE),IF('Job Sheet'!BY20="120% One Way",VLOOKUP('Job Sheet'!BP20,OneWay100,4,TRUE),IF('Job Sheet'!BY20="80% One Way",VLOOKUP('Job Sheet'!BP20,OneWay100,4,TRUE),""))))))</f>
        <v>11.4</v>
      </c>
    </row>
    <row r="23" spans="1:40" ht="123.75">
      <c r="A23" s="135">
        <f>Data!AW21</f>
        <v>38</v>
      </c>
      <c r="B23" s="208" t="str">
        <f>Data!AY21</f>
        <v>Front Lounge 2 ALTERATION</v>
      </c>
      <c r="C23" s="131">
        <f>IF(Data!AV21="","",('Job Sheet'!BX21+'Job Sheet'!BP21)/10)</f>
        <v>300.5</v>
      </c>
      <c r="D23" s="143">
        <f>IF(Data!BA21="","",'Job Sheet'!BQ21/10)</f>
        <v>221.5</v>
      </c>
      <c r="E23" s="134" t="str">
        <f>IF(Data!BA21="","",IF('Job Sheet'!BR21="","",ROUNDUP('Job Sheet'!BR21,0)))</f>
        <v/>
      </c>
      <c r="F23" s="136" t="str">
        <f>'Job Sheet'!S21</f>
        <v>Single Panel - Right Stacking</v>
      </c>
      <c r="G23" s="132" t="str">
        <f>IF(OR(Data!BA21="",F23="Single Panel - Right Stacking"),"",IF(AND('Job Sheet'!AI21="Straight",(OR(F23="Centre Opening (Offset Split)",F23="Centre Opening - Free Flowing (Offset Split)"))),('Job Sheet'!T21/10)+('Job Sheet'!BX21/20)+I23+3,IF(AND('Job Sheet'!V21="Yes - Centred on the 1st Bend",(OR(F23="Centre Opening (Offset Split)",F23="Centre Opening - Free Flowing (Offset Split)"))),('Job Sheet'!T21/10)-('Job Sheet'!CD21/20)+('Job Sheet'!BX21/20)+I23+3,IF(AND('Job Sheet'!V21="Yes - Centred on the 2nd Bend",(OR(F23="Centre Opening (Offset Split)",F23="Centre Opening - Free Flowing (Offset Split)"))),('Job Sheet'!T21/10)-('Job Sheet'!CD21/10)-('Job Sheet'!CE21/20)+('Job Sheet'!BX21/20)+I23+3,IF(AND('Job Sheet'!V21="Yes - Centred on the 3rd Bend",(OR(F23="Centre Opening (Offset Split)",F23="Centre Opening - Free Flowing (Offset Split)"))),('Job Sheet'!T21/10)-('Job Sheet'!CD21/10)-('Job Sheet'!CE21/10)-('Job Sheet'!CF21/20)+('Job Sheet'!BX21/20)+I23+3,IF(AND('Job Sheet'!V21="Yes - Centred on the 4th Bend",(OR(F23="Centre Opening (Offset Split)",F23="Centre Opening - Free Flowing (Offset Split)"))),('Job Sheet'!T21/10-'Job Sheet'!CD21/10)-('Job Sheet'!CE21/10)-('Job Sheet'!CF21/20)-('Job Sheet'!CG21/20)+('Job Sheet'!BX21/20)+I23+3,IF(AND('Job Sheet'!V21="No",(OR(F23="Centre Opening (Offset Split)",F23="Centre Opening - Free Flowing (Offset Split)"))),('Job Sheet'!T21/10-'Job Sheet'!CC21/10)+('Job Sheet'!BX21/20)+I23+3,IF(AND('Job Sheet'!V21="Yes - Not on the Bend",(OR(F23="Centre Opening (Offset Split)",F23="Centre Opening - Free Flowing (Offset Split)"))),('Job Sheet'!T21/10)+('Job Sheet'!BX21/20)+I23+3-IF(VALUE('Job Sheet'!AJ21)=1,IF(VALUE('Job Sheet'!T21)&lt;VALUE('Job Sheet'!AL21),'Job Sheet'!CD21/10,0),IF(VALUE('Job Sheet'!AJ21)=2,IF(VALUE('Job Sheet'!T21)&lt;VALUE('Job Sheet'!AO21),'Job Sheet'!CE21/10,0),IF(VALUE('Job Sheet'!AJ21)=3,IF(VALUE('Job Sheet'!T21)&lt;VALUE('Job Sheet'!AR21),'Job Sheet'!CF21/10,0),IF(VALUE('Job Sheet'!AJ21)=4,IF(VALUE('Job Sheet'!T21)&lt;VALUE('Job Sheet'!AU21),'Job Sheet'!CG21/10,0),0)))),IF(OR(F23="Centre Opening",F23="Centre Opening - Free Flowing"),(C23/2)+I23,IF(OR(F23="Single Panel - Left Stacking",F23="Single Panel - Free Flowing",F23="No Movement"),C23+I23))))))))))</f>
        <v/>
      </c>
      <c r="H23" s="132">
        <f>IF(OR(Data!BA21="",F23="Single Panel - Left Stacking",F23="Single Panel - Free Flowing",F23="No Movement"),"",IF(AND('Job Sheet'!AI21="Straight",(OR(F23="Centre Opening (Offset Split)",F23="Centre Opening - Free Flowing (Offset Split)"))),('Job Sheet'!U21/10)+('Job Sheet'!BX21/20)+I23+3,IF(OR(F23="Centre Opening (Offset Split)",F23="Centre Opening - Free Flowing (Offset Split)"),(C23-G23)+J23+('Job Sheet'!BX21/20),IF(OR(F23="Centre Opening",F23="Centre Opening - Free Flowing"),(C23/2)+J23,IF(F23="Single Panel - Right Stacking",C23+J23)))))</f>
        <v>300.5</v>
      </c>
      <c r="I23" s="149">
        <f>IF(Data!AV21="","",VLOOKUP('Job Sheet'!X21,Returns,4,FALSE))</f>
        <v>0</v>
      </c>
      <c r="J23" s="149">
        <f>IF(Data!AV21="","",VLOOKUP('Job Sheet'!X21,Returns,5,FALSE))</f>
        <v>0</v>
      </c>
      <c r="K23" s="136" t="str">
        <f>'Job Sheet'!P21</f>
        <v>Wavefold (Standard Fullness x 2)</v>
      </c>
      <c r="L23" s="136" t="str">
        <f>'Job Sheet'!Q21</f>
        <v>75mm Clear Tape</v>
      </c>
      <c r="M23" s="137" t="str">
        <f>IF('Job Sheet'!R21="Gather Hook Normal","Gather Hook Middle Pocket",IF('Job Sheet'!R21="Gather Hook Level","Gather Hook Top Pocket",'Job Sheet'!R21))</f>
        <v>Wavefold Hooks</v>
      </c>
      <c r="N23" s="136" t="str">
        <f>'Job Sheet'!W21</f>
        <v>Standard 75mm</v>
      </c>
      <c r="O23" s="136" t="str">
        <f>'Job Sheet'!B21</f>
        <v>Nettex Brunswick (Continuous) Uncoated Talc</v>
      </c>
      <c r="P23" s="133">
        <f>'Job Sheet'!BS21</f>
        <v>320</v>
      </c>
      <c r="Q23" s="138" t="str">
        <f>IF(Data!BA21="","",VLOOKUP(O23,Fabrics,5,FALSE))</f>
        <v>100% linen</v>
      </c>
      <c r="R23" s="139">
        <f>IF(Data!BB21="","",VLOOKUP(O23,Fabrics,6,FALSE))</f>
        <v>3</v>
      </c>
      <c r="S23" s="137" t="str">
        <f>CONCATENATE('Job Sheet'!M21," ",'Job Sheet'!N21)</f>
        <v>No Lining </v>
      </c>
      <c r="T23" s="136" t="str">
        <f>'Job Sheet'!N21</f>
        <v/>
      </c>
      <c r="U23" s="136" t="str">
        <f>'Job Sheet'!O21</f>
        <v/>
      </c>
      <c r="V23" s="136" t="str">
        <f>IF(A23="","",IF('Job Sheet'!BF21="None","",CONCATENATE('Job Sheet'!BF21," ",'Job Sheet'!BG21,)))</f>
        <v xml:space="preserve"> </v>
      </c>
      <c r="W23" s="134">
        <f>IF(Data!AV21="","",IF(AC23="N/A",D23+30,(AD23)*ROUNDUP(AC23,0)/10))</f>
        <v>251.5</v>
      </c>
      <c r="X23" s="136" t="str">
        <f>IF(AND('Job Sheet'!BH21="DBS to Make",(OR('Job Sheet'!Z21="Wavefold Cord Operation",'Job Sheet'!Z21="Wavefold Hand Operation"))),"Davidson's",IF(AND('Job Sheet'!BH21="No Track or Rod Required",(OR('Job Sheet'!Z21="Wavefold Cord Operation",'Job Sheet'!Z21="Wavefold Hand Operation"))),"To Be Advised",IF(AND(OR('Job Sheet'!BH21="Track from TBS",'Job Sheet'!BH21="Track from Vanda",'Job Sheet'!BH21="Track from Unique Screens"),(OR(K23="Wavefold (Standard Fullness x 2)",K23="Wavefold (Less Fullness x 1.8)",K23="Wavefold (Extra Fullness x 2.2)",))),'Job Sheet'!BH21,"")))</f>
        <v>Davidson's</v>
      </c>
      <c r="Y23" s="136" t="str">
        <f>'Job Sheet'!BN21</f>
        <v>Alteration to curtain drop</v>
      </c>
      <c r="Z23" s="140">
        <f>IF(Data!BA21="","",IF(AND(ISNUMBER(AN23),AE23="Y"),AN23,IF(AE23="Y",(ROUNDUP((('Job Sheet'!BP21*VLOOKUP(CONCATENATE(K23,F23),Fullness,2,FALSE)+'Job Sheet'!Y21)+VLOOKUP(CONCATENATE(K23,F23),Fullness,3,FALSE))/1000,0&lt;0.1)),IF(AE23="N",(ROUNDUP((W23*E23)/100,0&lt;0.1))))))</f>
        <v>6.6</v>
      </c>
      <c r="AA23" s="140" t="str">
        <f>IF(OR(Data!AV21="",AI23="N/A"),"",IF(AND(ISNUMBER(AN23),AI23="Y"),AN23,IF(AI23="Y",(ROUNDUP((('Job Sheet'!BP21*VLOOKUP(CONCATENATE(K23,F23),Fullness,2,FALSE)+'Job Sheet'!Y21)+VLOOKUP(CONCATENATE(K23,F23),Fullness,3,FALSE))/1000,0&lt;0.1)),IF(AI23="N",(ROUNDUP((AK23*AL23)/100,0&lt;0.1))))))</f>
        <v/>
      </c>
      <c r="AB23" s="188"/>
      <c r="AC23" s="112" t="str">
        <f>IF(Data!BA21="","",IF(AD23="N/A","N/A",('Job Sheet'!BQ21+300)/AD23))</f>
        <v>N/A</v>
      </c>
      <c r="AD23" s="112" t="str">
        <f>IF(Data!BA21="","",IF(VLOOKUP(O23,Fabrics,2,FALSE)=0,"N/A",VLOOKUP(O23,Fabrics,2,FALSE)))</f>
        <v>N/A</v>
      </c>
      <c r="AE23" s="112" t="str">
        <f>IF(Data!BA21="","",VLOOKUP(O23,Fabrics,4,FALSE))</f>
        <v>Y</v>
      </c>
      <c r="AF23" s="188"/>
      <c r="AG23" s="112" t="str">
        <f>IF(Data!BA21="","",IF(AH23="N/A","N/A",('Job Sheet'!BQ21+300)/AH23))</f>
        <v>N/A</v>
      </c>
      <c r="AH23" s="112" t="str">
        <f>IF(Data!BA21="","",IF(VLOOKUP(S23,Lining,2,FALSE)=0,"N/A",VLOOKUP(S23,Lining,2,FALSE)))</f>
        <v>N/A</v>
      </c>
      <c r="AI23" s="112" t="str">
        <f>IF(Data!BA21="","",VLOOKUP(S23,Lining,4,FALSE))</f>
        <v>N/A</v>
      </c>
      <c r="AJ23" s="112">
        <f>IF(Data!BA21="","",VLOOKUP(S23,Lining,3,FALSE))</f>
        <v>0</v>
      </c>
      <c r="AK23" s="112" t="str">
        <f>IF(OR(AE23="Y",Data!AV21="",AJ23=0),"",ROUNDUP((('Job Sheet'!BP21*VLOOKUP(K23&amp;F23,Fullness,2,FALSE))+'Job Sheet'!BX21+(I23*10)+(J23*10))/AJ23,0))</f>
        <v/>
      </c>
      <c r="AL23" s="112">
        <f>IF(Data!AV21="","",IF(AG23="N/A",D23+30,(AH23)*ROUNDUP(AG23,0)/10))</f>
        <v>251.5</v>
      </c>
      <c r="AM23" s="188"/>
      <c r="AN23" s="155">
        <f>IF('Job Sheet'!BY21="Centre Opening 100%",VLOOKUP('Job Sheet'!BP21,COPEN100,4,TRUE),IF('Job Sheet'!BY21="Centre Opening 120%",VLOOKUP('Job Sheet'!BP21,COPEN100,4,TRUE),IF('Job Sheet'!BY21="Centre Opening 80%",VLOOKUP('Job Sheet'!BP21,COPEN100,4,TRUE),IF('Job Sheet'!BY21="100% One Way",VLOOKUP('Job Sheet'!BP21,OneWay100,4,TRUE),IF('Job Sheet'!BY21="120% One Way",VLOOKUP('Job Sheet'!BP21,OneWay100,4,TRUE),IF('Job Sheet'!BY21="80% One Way",VLOOKUP('Job Sheet'!BP21,OneWay100,4,TRUE),""))))))</f>
        <v>6.6</v>
      </c>
    </row>
    <row r="24" spans="1:40" ht="247.5">
      <c r="A24" s="135">
        <f>Data!AW22</f>
        <v>39</v>
      </c>
      <c r="B24" s="208" t="str">
        <f>Data!AY22</f>
        <v>Master Door ALTERATION</v>
      </c>
      <c r="C24" s="131">
        <f>IF(Data!AV22="","",('Job Sheet'!BX22+'Job Sheet'!BP22)/10)</f>
        <v>373.7</v>
      </c>
      <c r="D24" s="143">
        <f>IF(Data!BA22="","",'Job Sheet'!BQ22/10)</f>
        <v>263</v>
      </c>
      <c r="E24" s="134" t="str">
        <f>IF(Data!BA22="","",IF('Job Sheet'!BR22="","",ROUNDUP('Job Sheet'!BR22,0)))</f>
        <v/>
      </c>
      <c r="F24" s="136" t="str">
        <f>'Job Sheet'!S22</f>
        <v>Centre Opening</v>
      </c>
      <c r="G24" s="132">
        <f>IF(OR(Data!BA22="",F24="Single Panel - Right Stacking"),"",IF(AND('Job Sheet'!AI22="Straight",(OR(F24="Centre Opening (Offset Split)",F24="Centre Opening - Free Flowing (Offset Split)"))),('Job Sheet'!T22/10)+('Job Sheet'!BX22/20)+I24+3,IF(AND('Job Sheet'!V22="Yes - Centred on the 1st Bend",(OR(F24="Centre Opening (Offset Split)",F24="Centre Opening - Free Flowing (Offset Split)"))),('Job Sheet'!T22/10)-('Job Sheet'!CD22/20)+('Job Sheet'!BX22/20)+I24+3,IF(AND('Job Sheet'!V22="Yes - Centred on the 2nd Bend",(OR(F24="Centre Opening (Offset Split)",F24="Centre Opening - Free Flowing (Offset Split)"))),('Job Sheet'!T22/10)-('Job Sheet'!CD22/10)-('Job Sheet'!CE22/20)+('Job Sheet'!BX22/20)+I24+3,IF(AND('Job Sheet'!V22="Yes - Centred on the 3rd Bend",(OR(F24="Centre Opening (Offset Split)",F24="Centre Opening - Free Flowing (Offset Split)"))),('Job Sheet'!T22/10)-('Job Sheet'!CD22/10)-('Job Sheet'!CE22/10)-('Job Sheet'!CF22/20)+('Job Sheet'!BX22/20)+I24+3,IF(AND('Job Sheet'!V22="Yes - Centred on the 4th Bend",(OR(F24="Centre Opening (Offset Split)",F24="Centre Opening - Free Flowing (Offset Split)"))),('Job Sheet'!T22/10-'Job Sheet'!CD22/10)-('Job Sheet'!CE22/10)-('Job Sheet'!CF22/20)-('Job Sheet'!CG22/20)+('Job Sheet'!BX22/20)+I24+3,IF(AND('Job Sheet'!V22="No",(OR(F24="Centre Opening (Offset Split)",F24="Centre Opening - Free Flowing (Offset Split)"))),('Job Sheet'!T22/10-'Job Sheet'!CC22/10)+('Job Sheet'!BX22/20)+I24+3,IF(AND('Job Sheet'!V22="Yes - Not on the Bend",(OR(F24="Centre Opening (Offset Split)",F24="Centre Opening - Free Flowing (Offset Split)"))),('Job Sheet'!T22/10)+('Job Sheet'!BX22/20)+I24+3-IF(VALUE('Job Sheet'!AJ22)=1,IF(VALUE('Job Sheet'!T22)&lt;VALUE('Job Sheet'!AL22),'Job Sheet'!CD22/10,0),IF(VALUE('Job Sheet'!AJ22)=2,IF(VALUE('Job Sheet'!T22)&lt;VALUE('Job Sheet'!AO22),'Job Sheet'!CE22/10,0),IF(VALUE('Job Sheet'!AJ22)=3,IF(VALUE('Job Sheet'!T22)&lt;VALUE('Job Sheet'!AR22),'Job Sheet'!CF22/10,0),IF(VALUE('Job Sheet'!AJ22)=4,IF(VALUE('Job Sheet'!T22)&lt;VALUE('Job Sheet'!AU22),'Job Sheet'!CG22/10,0),0)))),IF(OR(F24="Centre Opening",F24="Centre Opening - Free Flowing"),(C24/2)+I24,IF(OR(F24="Single Panel - Left Stacking",F24="Single Panel - Free Flowing",F24="No Movement"),C24+I24))))))))))</f>
        <v>186.85</v>
      </c>
      <c r="H24" s="132">
        <f>IF(OR(Data!BA22="",F24="Single Panel - Left Stacking",F24="Single Panel - Free Flowing",F24="No Movement"),"",IF(AND('Job Sheet'!AI22="Straight",(OR(F24="Centre Opening (Offset Split)",F24="Centre Opening - Free Flowing (Offset Split)"))),('Job Sheet'!U22/10)+('Job Sheet'!BX22/20)+I24+3,IF(OR(F24="Centre Opening (Offset Split)",F24="Centre Opening - Free Flowing (Offset Split)"),(C24-G24)+J24+('Job Sheet'!BX22/20),IF(OR(F24="Centre Opening",F24="Centre Opening - Free Flowing"),(C24/2)+J24,IF(F24="Single Panel - Right Stacking",C24+J24)))))</f>
        <v>186.85</v>
      </c>
      <c r="I24" s="149">
        <f>IF(Data!AV22="","",VLOOKUP('Job Sheet'!X22,Returns,4,FALSE))</f>
        <v>0</v>
      </c>
      <c r="J24" s="149">
        <f>IF(Data!AV22="","",VLOOKUP('Job Sheet'!X22,Returns,5,FALSE))</f>
        <v>0</v>
      </c>
      <c r="K24" s="136" t="str">
        <f>'Job Sheet'!P22</f>
        <v>Pencil Pleat (Standard Fullness x 2)</v>
      </c>
      <c r="L24" s="136" t="str">
        <f>'Job Sheet'!Q22</f>
        <v>50mm Tape mounted 10mm from Top</v>
      </c>
      <c r="M24" s="137" t="str">
        <f>IF('Job Sheet'!R22="Gather Hook Normal","Gather Hook Middle Pocket",IF('Job Sheet'!R22="Gather Hook Level","Gather Hook Top Pocket",'Job Sheet'!R22))</f>
        <v>Gather Hook Top Pocket</v>
      </c>
      <c r="N24" s="136" t="str">
        <f>'Job Sheet'!W22</f>
        <v>Standard 75mm</v>
      </c>
      <c r="O24" s="136" t="str">
        <f>'Job Sheet'!B22</f>
        <v>Filigree Simplicity 300cm (Continuous) Lining Off White</v>
      </c>
      <c r="P24" s="133">
        <f>'Job Sheet'!BS22</f>
        <v>300</v>
      </c>
      <c r="Q24" s="138" t="str">
        <f>IF(Data!BA22="","",VLOOKUP(O24,Fabrics,5,FALSE))</f>
        <v>100% Polyester</v>
      </c>
      <c r="R24" s="139">
        <f>IF(Data!BB22="","",VLOOKUP(O24,Fabrics,6,FALSE))</f>
        <v>11</v>
      </c>
      <c r="S24" s="137" t="str">
        <f>CONCATENATE('Job Sheet'!M22," ",'Job Sheet'!N22)</f>
        <v>No Lining </v>
      </c>
      <c r="T24" s="136" t="str">
        <f>'Job Sheet'!N22</f>
        <v/>
      </c>
      <c r="U24" s="136" t="str">
        <f>'Job Sheet'!O22</f>
        <v/>
      </c>
      <c r="V24" s="136" t="str">
        <f>IF(A24="","",IF('Job Sheet'!BF22="None","",CONCATENATE('Job Sheet'!BF22," ",'Job Sheet'!BG22,)))</f>
        <v xml:space="preserve"> </v>
      </c>
      <c r="W24" s="134">
        <f>IF(Data!AV22="","",IF(AC24="N/A",D24+30,(AD24)*ROUNDUP(AC24,0)/10))</f>
        <v>293</v>
      </c>
      <c r="X24" s="136" t="str">
        <f>IF(AND('Job Sheet'!BH22="DBS to Make",(OR('Job Sheet'!Z22="Wavefold Cord Operation",'Job Sheet'!Z22="Wavefold Hand Operation"))),"Davidson's",IF(AND('Job Sheet'!BH22="No Track or Rod Required",(OR('Job Sheet'!Z22="Wavefold Cord Operation",'Job Sheet'!Z22="Wavefold Hand Operation"))),"To Be Advised",IF(AND(OR('Job Sheet'!BH22="Track from TBS",'Job Sheet'!BH22="Track from Vanda",'Job Sheet'!BH22="Track from Unique Screens"),(OR(K24="Wavefold (Standard Fullness x 2)",K24="Wavefold (Less Fullness x 1.8)",K24="Wavefold (Extra Fullness x 2.2)",))),'Job Sheet'!BH22,"")))</f>
        <v/>
      </c>
      <c r="Y24" s="136" t="str">
        <f>'Job Sheet'!BN22</f>
        <v>Alteration to curtain drop</v>
      </c>
      <c r="Z24" s="140">
        <f>IF(Data!BA22="","",IF(AND(ISNUMBER(AN24),AE24="Y"),AN24,IF(AE24="Y",(ROUNDUP((('Job Sheet'!BP22*VLOOKUP(CONCATENATE(K24,F24),Fullness,2,FALSE)+'Job Sheet'!Y22)+VLOOKUP(CONCATENATE(K24,F24),Fullness,3,FALSE))/1000,0&lt;0.1)),IF(AE24="N",(ROUNDUP((W24*E24)/100,0&lt;0.1))))))</f>
        <v>7.5</v>
      </c>
      <c r="AA24" s="140" t="str">
        <f>IF(OR(Data!AV22="",AI24="N/A"),"",IF(AND(ISNUMBER(AN24),AI24="Y"),AN24,IF(AI24="Y",(ROUNDUP((('Job Sheet'!BP22*VLOOKUP(CONCATENATE(K24,F24),Fullness,2,FALSE)+'Job Sheet'!Y22)+VLOOKUP(CONCATENATE(K24,F24),Fullness,3,FALSE))/1000,0&lt;0.1)),IF(AI24="N",(ROUNDUP((AK24*AL24)/100,0&lt;0.1))))))</f>
        <v/>
      </c>
      <c r="AB24" s="188"/>
      <c r="AC24" s="112" t="str">
        <f>IF(Data!BA22="","",IF(AD24="N/A","N/A",('Job Sheet'!BQ22+300)/AD24))</f>
        <v>N/A</v>
      </c>
      <c r="AD24" s="112" t="str">
        <f>IF(Data!BA22="","",IF(VLOOKUP(O24,Fabrics,2,FALSE)=0,"N/A",VLOOKUP(O24,Fabrics,2,FALSE)))</f>
        <v>N/A</v>
      </c>
      <c r="AE24" s="112" t="str">
        <f>IF(Data!BA22="","",VLOOKUP(O24,Fabrics,4,FALSE))</f>
        <v>Y</v>
      </c>
      <c r="AF24" s="188"/>
      <c r="AG24" s="112" t="str">
        <f>IF(Data!BA22="","",IF(AH24="N/A","N/A",('Job Sheet'!BQ22+300)/AH24))</f>
        <v>N/A</v>
      </c>
      <c r="AH24" s="112" t="str">
        <f>IF(Data!BA22="","",IF(VLOOKUP(S24,Lining,2,FALSE)=0,"N/A",VLOOKUP(S24,Lining,2,FALSE)))</f>
        <v>N/A</v>
      </c>
      <c r="AI24" s="112" t="str">
        <f>IF(Data!BA22="","",VLOOKUP(S24,Lining,4,FALSE))</f>
        <v>N/A</v>
      </c>
      <c r="AJ24" s="112">
        <f>IF(Data!BA22="","",VLOOKUP(S24,Lining,3,FALSE))</f>
        <v>0</v>
      </c>
      <c r="AK24" s="112" t="str">
        <f>IF(OR(AE24="Y",Data!AV22="",AJ24=0),"",ROUNDUP((('Job Sheet'!BP22*VLOOKUP(K24&amp;F24,Fullness,2,FALSE))+'Job Sheet'!BX22+(I24*10)+(J24*10))/AJ24,0))</f>
        <v/>
      </c>
      <c r="AL24" s="112">
        <f>IF(Data!AV22="","",IF(AG24="N/A",D24+30,(AH24)*ROUNDUP(AG24,0)/10))</f>
        <v>293</v>
      </c>
      <c r="AM24" s="188"/>
      <c r="AN24" s="155" t="str">
        <f>IF('Job Sheet'!BY22="Centre Opening 100%",VLOOKUP('Job Sheet'!BP22,COPEN100,4,TRUE),IF('Job Sheet'!BY22="Centre Opening 120%",VLOOKUP('Job Sheet'!BP22,COPEN100,4,TRUE),IF('Job Sheet'!BY22="Centre Opening 80%",VLOOKUP('Job Sheet'!BP22,COPEN100,4,TRUE),IF('Job Sheet'!BY22="100% One Way",VLOOKUP('Job Sheet'!BP22,OneWay100,4,TRUE),IF('Job Sheet'!BY22="120% One Way",VLOOKUP('Job Sheet'!BP22,OneWay100,4,TRUE),IF('Job Sheet'!BY22="80% One Way",VLOOKUP('Job Sheet'!BP22,OneWay100,4,TRUE),""))))))</f>
        <v/>
      </c>
    </row>
  </sheetData>
  <sheetProtection formatCells="0" formatRows="0" insertColumns="0" insertRows="0"/>
  <mergeCells count="65">
    <mergeCell ref="AN10:AN11"/>
    <mergeCell ref="T11:T12"/>
    <mergeCell ref="U11:U12"/>
    <mergeCell ref="A1:AA1"/>
    <mergeCell ref="A2:AA2"/>
    <mergeCell ref="A3:AA3"/>
    <mergeCell ref="A4:AA4"/>
    <mergeCell ref="O5:AA5"/>
    <mergeCell ref="O6:Y10"/>
    <mergeCell ref="A11:A12"/>
    <mergeCell ref="B11:B12"/>
    <mergeCell ref="Z6:Z9"/>
    <mergeCell ref="C11:C12"/>
    <mergeCell ref="A6:B6"/>
    <mergeCell ref="C7:E7"/>
    <mergeCell ref="C8:E8"/>
    <mergeCell ref="F7:I7"/>
    <mergeCell ref="F8:I10"/>
    <mergeCell ref="A8:B8"/>
    <mergeCell ref="D11:D12"/>
    <mergeCell ref="F11:F12"/>
    <mergeCell ref="E11:E12"/>
    <mergeCell ref="C5:E5"/>
    <mergeCell ref="V11:V12"/>
    <mergeCell ref="S11:S12"/>
    <mergeCell ref="R11:R12"/>
    <mergeCell ref="P11:P12"/>
    <mergeCell ref="M11:M12"/>
    <mergeCell ref="O11:O12"/>
    <mergeCell ref="H11:H12"/>
    <mergeCell ref="I11:I12"/>
    <mergeCell ref="J11:J12"/>
    <mergeCell ref="K11:K12"/>
    <mergeCell ref="G11:G12"/>
    <mergeCell ref="J8:N8"/>
    <mergeCell ref="J9:N9"/>
    <mergeCell ref="J10:N10"/>
    <mergeCell ref="L11:L12"/>
    <mergeCell ref="Z11:Z12"/>
    <mergeCell ref="X11:X12"/>
    <mergeCell ref="W11:W12"/>
    <mergeCell ref="N11:N12"/>
    <mergeCell ref="Y11:Y12"/>
    <mergeCell ref="Q11:Q12"/>
    <mergeCell ref="F5:I5"/>
    <mergeCell ref="A5:B5"/>
    <mergeCell ref="J5:N5"/>
    <mergeCell ref="AJ11:AJ12"/>
    <mergeCell ref="AK11:AK12"/>
    <mergeCell ref="F6:I6"/>
    <mergeCell ref="J7:N7"/>
    <mergeCell ref="A9:E10"/>
    <mergeCell ref="A7:B7"/>
    <mergeCell ref="C6:E6"/>
    <mergeCell ref="J6:N6"/>
    <mergeCell ref="AC11:AC12"/>
    <mergeCell ref="AE11:AE12"/>
    <mergeCell ref="AD11:AD12"/>
    <mergeCell ref="AA11:AA12"/>
    <mergeCell ref="AA6:AA9"/>
    <mergeCell ref="AL11:AL12"/>
    <mergeCell ref="AG10:AL10"/>
    <mergeCell ref="AH11:AH12"/>
    <mergeCell ref="AI11:AI12"/>
    <mergeCell ref="AG11:AG12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77B83-61AE-453E-8D9B-A08D40359436}">
  <sheetPr codeName="Sheet13">
    <pageSetUpPr fitToPage="1"/>
  </sheetPr>
  <dimension ref="A1:J74"/>
  <sheetViews>
    <sheetView view="pageBreakPreview" zoomScale="40" zoomScaleSheetLayoutView="40" workbookViewId="0" topLeftCell="A1">
      <selection pane="topLeft" activeCell="A11" sqref="A11:XFD20"/>
    </sheetView>
  </sheetViews>
  <sheetFormatPr defaultColWidth="9.33203125" defaultRowHeight="13.5"/>
  <cols>
    <col min="1" max="1" width="12.4285714285714" style="28" customWidth="1"/>
    <col min="2" max="2" width="42" style="28" customWidth="1"/>
    <col min="3" max="3" width="22.4285714285714" style="28" customWidth="1"/>
    <col min="4" max="4" width="46.5714285714286" style="28" customWidth="1"/>
    <col min="5" max="5" width="57.4285714285714" style="28" customWidth="1"/>
    <col min="6" max="6" width="43.4285714285714" style="28" customWidth="1"/>
    <col min="7" max="7" width="35.4285714285714" style="28" customWidth="1"/>
    <col min="8" max="8" width="37.5714285714286" style="28" customWidth="1"/>
    <col min="9" max="9" width="122.428571428571" customWidth="1"/>
    <col min="10" max="10" width="18.4285714285714" customWidth="1"/>
  </cols>
  <sheetData>
    <row r="1" spans="1:10" ht="175.95" customHeight="1">
      <c r="A1" s="282" t="s">
        <v>11910</v>
      </c>
      <c r="B1" s="282"/>
      <c r="C1" s="282"/>
      <c r="D1" s="282"/>
      <c r="E1" s="282"/>
      <c r="F1" s="282"/>
      <c r="G1" s="282"/>
      <c r="H1" s="282"/>
      <c r="I1" s="282"/>
      <c r="J1" s="282"/>
    </row>
    <row r="2" spans="1:10" ht="76.2" customHeight="1">
      <c r="A2" s="288" t="str">
        <f>'Curtain Manufacturing Worksheet'!A4</f>
        <v>Jenny's Curtains - 9 Whitehills Rd, Creswick, Vic, 3363</v>
      </c>
      <c r="B2" s="289"/>
      <c r="C2" s="289"/>
      <c r="D2" s="289"/>
      <c r="E2" s="289"/>
      <c r="F2" s="289"/>
      <c r="G2" s="289"/>
      <c r="H2" s="289"/>
      <c r="I2" s="289"/>
      <c r="J2" s="290"/>
    </row>
    <row r="3" spans="1:10" s="32" customFormat="1" ht="49.95" customHeight="1">
      <c r="A3" s="239" t="s">
        <v>7</v>
      </c>
      <c r="B3" s="239"/>
      <c r="C3" s="283"/>
      <c r="D3" s="284"/>
      <c r="E3" s="5" t="s">
        <v>94</v>
      </c>
      <c r="F3" s="278" t="str">
        <f>TRIM(Data!BF5)</f>
        <v>Hare, Kaitlin</v>
      </c>
      <c r="G3" s="279"/>
      <c r="H3" s="280"/>
      <c r="I3" s="235" t="s">
        <v>4</v>
      </c>
      <c r="J3" s="235"/>
    </row>
    <row r="4" spans="1:10" s="32" customFormat="1" ht="49.95" customHeight="1">
      <c r="A4" s="240" t="s">
        <v>117</v>
      </c>
      <c r="B4" s="240"/>
      <c r="C4" s="276" t="str">
        <f>TRIM(Data!BC5)</f>
        <v>39776</v>
      </c>
      <c r="D4" s="277"/>
      <c r="E4" s="4" t="s">
        <v>8</v>
      </c>
      <c r="F4" s="285" t="str">
        <f>TRIM(Data!AX5)</f>
        <v>Whole House</v>
      </c>
      <c r="G4" s="286"/>
      <c r="H4" s="287"/>
      <c r="I4" s="236" t="str">
        <f>IF(OR(Data!BA11="",C10=""),"",Data!BG5)</f>
        <v/>
      </c>
      <c r="J4" s="236"/>
    </row>
    <row r="5" spans="1:10" s="32" customFormat="1" ht="49.95" customHeight="1">
      <c r="A5" s="226" t="s">
        <v>14</v>
      </c>
      <c r="B5" s="226"/>
      <c r="C5" s="276" t="str">
        <f>TRIM(Data!BD5)</f>
        <v>F</v>
      </c>
      <c r="D5" s="277"/>
      <c r="E5" s="4" t="s">
        <v>112</v>
      </c>
      <c r="F5" s="285" t="str">
        <f>TRIM(Data!BA5)</f>
        <v>13/10/2026 12:00:00 AM</v>
      </c>
      <c r="G5" s="286"/>
      <c r="H5" s="287"/>
      <c r="I5" s="236"/>
      <c r="J5" s="236"/>
    </row>
    <row r="6" spans="1:10" s="32" customFormat="1" ht="49.95" customHeight="1">
      <c r="A6" s="230" t="s">
        <v>9</v>
      </c>
      <c r="B6" s="230"/>
      <c r="C6" s="274" t="str">
        <f>TRIM(Data!AY5)</f>
        <v>12/08/2026 12:00:00 AM</v>
      </c>
      <c r="D6" s="275"/>
      <c r="E6" s="227" t="s">
        <v>12</v>
      </c>
      <c r="F6" s="278" t="str">
        <f>TRIM(Data!BF5)</f>
        <v>Hare, Kaitlin</v>
      </c>
      <c r="G6" s="279"/>
      <c r="H6" s="280"/>
      <c r="I6" s="236"/>
      <c r="J6" s="236"/>
    </row>
    <row r="7" spans="1:10" s="32" customFormat="1" ht="49.95" customHeight="1">
      <c r="A7" s="268" t="str">
        <f>TRIM(Data!CZ5)</f>
        <v>Retail Customer</v>
      </c>
      <c r="B7" s="269"/>
      <c r="C7" s="269"/>
      <c r="D7" s="270"/>
      <c r="E7" s="227"/>
      <c r="F7" s="278" t="str">
        <f>CONCATENATE(Data!BH5," ",Data!BI5," ",Data!BJ5," ",Data!BK5," ",Data!BL5)</f>
        <v xml:space="preserve"> 219  Wendouree Parade  </v>
      </c>
      <c r="G7" s="279"/>
      <c r="H7" s="280"/>
      <c r="I7" s="236"/>
      <c r="J7" s="236"/>
    </row>
    <row r="8" spans="1:10" s="32" customFormat="1" ht="49.95" customHeight="1">
      <c r="A8" s="271"/>
      <c r="B8" s="272"/>
      <c r="C8" s="272"/>
      <c r="D8" s="273"/>
      <c r="E8" s="227"/>
      <c r="F8" s="278" t="str">
        <f>CONCATENATE(Data!BM5," ",Data!BN5," ",Data!BO5," ",Data!BP5)</f>
        <v>Lake Wendouree VIC 3350 Australia</v>
      </c>
      <c r="G8" s="279"/>
      <c r="H8" s="280"/>
      <c r="I8" s="236"/>
      <c r="J8" s="236"/>
    </row>
    <row r="9" spans="1:10" ht="49.95" customHeight="1">
      <c r="A9" s="281" t="s">
        <v>116</v>
      </c>
      <c r="B9" s="267" t="s">
        <v>96</v>
      </c>
      <c r="C9" s="267" t="s">
        <v>11911</v>
      </c>
      <c r="D9" s="267" t="s">
        <v>11912</v>
      </c>
      <c r="E9" s="235" t="s">
        <v>11913</v>
      </c>
      <c r="F9" s="267" t="s">
        <v>11918</v>
      </c>
      <c r="G9" s="267" t="s">
        <v>11914</v>
      </c>
      <c r="H9" s="267" t="s">
        <v>11915</v>
      </c>
      <c r="I9" s="235" t="s">
        <v>5</v>
      </c>
      <c r="J9" s="235" t="s">
        <v>10255</v>
      </c>
    </row>
    <row r="10" spans="1:10" ht="49.95" customHeight="1">
      <c r="A10" s="281"/>
      <c r="B10" s="267"/>
      <c r="C10" s="267"/>
      <c r="D10" s="267"/>
      <c r="E10" s="235"/>
      <c r="F10" s="267"/>
      <c r="G10" s="267"/>
      <c r="H10" s="267"/>
      <c r="I10" s="235"/>
      <c r="J10" s="235"/>
    </row>
    <row r="11" spans="1:10" s="54" customFormat="1" ht="60">
      <c r="A11" s="57" t="str">
        <f>TRIM(Data!AW11)</f>
        <v>28</v>
      </c>
      <c r="B11" s="58" t="str">
        <f>IF(C11="","",'Job Sheet'!C11)</f>
        <v>Study ALTERATION</v>
      </c>
      <c r="C11" s="186">
        <f>IF(Data!AV11="","",IF(OR('Job Sheet'!S11="Centre Opening",'Job Sheet'!S11="Centre Opening - Free Flowing",'Job Sheet'!S11="Centre Opening (Offset Split)",'Job Sheet'!S11="Centre Opening - Free Flowing (Offset Split)"),2,1))</f>
        <v>2</v>
      </c>
      <c r="D11" s="52" t="str">
        <f>'Job Sheet'!P11</f>
        <v>Wavefold (Standard Fullness x 2)</v>
      </c>
      <c r="E11" s="52" t="str">
        <f>'Job Sheet'!W11</f>
        <v>Standard 75mm</v>
      </c>
      <c r="F11" s="186" t="str">
        <f>IF(Data!AV11="","",IF(OR('Job Sheet'!BH11="DBS to Make",'Job Sheet'!BH11="No Track or Rod Required"),"No","Yes"))</f>
        <v>Yes</v>
      </c>
      <c r="G11" s="186" t="str">
        <f>IF(Data!AV11="","",IF('Job Sheet'!AX11="","No",'Job Sheet'!AX11))</f>
        <v>No</v>
      </c>
      <c r="H11" s="186" t="str">
        <f>IF(Data!AV11="","",IF('Job Sheet'!BF11="","No",'Job Sheet'!BF11))</f>
        <v>No</v>
      </c>
      <c r="I11" s="59" t="str">
        <f>TRIM(IF(C11="","",'Job Sheet'!BN11))</f>
        <v>Alteration to curtain drop</v>
      </c>
      <c r="J11" s="173" t="str">
        <f>A11</f>
        <v>28</v>
      </c>
    </row>
    <row r="12" spans="1:10" s="54" customFormat="1" ht="60">
      <c r="A12" s="57" t="str">
        <f>TRIM(Data!AW12)</f>
        <v>29</v>
      </c>
      <c r="B12" s="58" t="str">
        <f>IF(C12="","",'Job Sheet'!C12)</f>
        <v>Hallway Door (IN) ALTERATION</v>
      </c>
      <c r="C12" s="186">
        <f>IF(Data!AV12="","",IF(OR('Job Sheet'!S12="Centre Opening",'Job Sheet'!S12="Centre Opening - Free Flowing",'Job Sheet'!S12="Centre Opening (Offset Split)",'Job Sheet'!S12="Centre Opening - Free Flowing (Offset Split)"),2,1))</f>
        <v>2</v>
      </c>
      <c r="D12" s="52" t="str">
        <f>'Job Sheet'!P12</f>
        <v>Wavefold (Standard Fullness x 2)</v>
      </c>
      <c r="E12" s="52" t="str">
        <f>'Job Sheet'!W12</f>
        <v>Standard 75mm</v>
      </c>
      <c r="F12" s="186" t="str">
        <f>IF(Data!AV12="","",IF(OR('Job Sheet'!BH12="DBS to Make",'Job Sheet'!BH12="No Track or Rod Required"),"No","Yes"))</f>
        <v>No</v>
      </c>
      <c r="G12" s="186" t="str">
        <f>IF(Data!AV12="","",IF('Job Sheet'!AX12="","No",'Job Sheet'!AX12))</f>
        <v>No</v>
      </c>
      <c r="H12" s="186" t="str">
        <f>IF(Data!AV12="","",IF('Job Sheet'!BF12="","No",'Job Sheet'!BF12))</f>
        <v>No</v>
      </c>
      <c r="I12" s="59" t="str">
        <f>TRIM(IF(C12="","",'Job Sheet'!BN12))</f>
        <v>Alteration to curtain drop</v>
      </c>
      <c r="J12" s="173" t="str">
        <f>A12</f>
        <v>29</v>
      </c>
    </row>
    <row r="13" spans="1:10" s="54" customFormat="1" ht="60">
      <c r="A13" s="57" t="str">
        <f>TRIM(Data!AW13)</f>
        <v>30</v>
      </c>
      <c r="B13" s="58" t="str">
        <f>IF(C13="","",'Job Sheet'!C13)</f>
        <v>Master Door ALTERATION</v>
      </c>
      <c r="C13" s="186">
        <f>IF(Data!AV13="","",IF(OR('Job Sheet'!S13="Centre Opening",'Job Sheet'!S13="Centre Opening - Free Flowing",'Job Sheet'!S13="Centre Opening (Offset Split)",'Job Sheet'!S13="Centre Opening - Free Flowing (Offset Split)"),2,1))</f>
        <v>2</v>
      </c>
      <c r="D13" s="52" t="str">
        <f>'Job Sheet'!P13</f>
        <v>Wavefold (Standard Fullness x 2)</v>
      </c>
      <c r="E13" s="52" t="str">
        <f>'Job Sheet'!W13</f>
        <v>Standard 75mm</v>
      </c>
      <c r="F13" s="186" t="str">
        <f>IF(Data!AV13="","",IF(OR('Job Sheet'!BH13="DBS to Make",'Job Sheet'!BH13="No Track or Rod Required"),"No","Yes"))</f>
        <v>No</v>
      </c>
      <c r="G13" s="186" t="str">
        <f>IF(Data!AV13="","",IF('Job Sheet'!AX13="","No",'Job Sheet'!AX13))</f>
        <v>No</v>
      </c>
      <c r="H13" s="186" t="str">
        <f>IF(Data!AV13="","",IF('Job Sheet'!BF13="","No",'Job Sheet'!BF13))</f>
        <v>No</v>
      </c>
      <c r="I13" s="59" t="str">
        <f>TRIM(IF(C13="","",'Job Sheet'!BN13))</f>
        <v>Alteration to curtain drop</v>
      </c>
      <c r="J13" s="173" t="str">
        <f>A13</f>
        <v>30</v>
      </c>
    </row>
    <row r="14" spans="1:10" s="54" customFormat="1" ht="60">
      <c r="A14" s="57" t="str">
        <f>TRIM(Data!AW14)</f>
        <v>31</v>
      </c>
      <c r="B14" s="58" t="str">
        <f>IF(C14="","",'Job Sheet'!C14)</f>
        <v>Bed 2 ALTERATION</v>
      </c>
      <c r="C14" s="186">
        <f>IF(Data!AV14="","",IF(OR('Job Sheet'!S14="Centre Opening",'Job Sheet'!S14="Centre Opening - Free Flowing",'Job Sheet'!S14="Centre Opening (Offset Split)",'Job Sheet'!S14="Centre Opening - Free Flowing (Offset Split)"),2,1))</f>
        <v>1</v>
      </c>
      <c r="D14" s="52" t="str">
        <f>'Job Sheet'!P14</f>
        <v>Wavefold (Standard Fullness x 2)</v>
      </c>
      <c r="E14" s="52" t="str">
        <f>'Job Sheet'!W14</f>
        <v>Standard 75mm</v>
      </c>
      <c r="F14" s="186" t="str">
        <f>IF(Data!AV14="","",IF(OR('Job Sheet'!BH14="DBS to Make",'Job Sheet'!BH14="No Track or Rod Required"),"No","Yes"))</f>
        <v>No</v>
      </c>
      <c r="G14" s="186" t="str">
        <f>IF(Data!AV14="","",IF('Job Sheet'!AX14="","No",'Job Sheet'!AX14))</f>
        <v>No</v>
      </c>
      <c r="H14" s="186" t="str">
        <f>IF(Data!AV14="","",IF('Job Sheet'!BF14="","No",'Job Sheet'!BF14))</f>
        <v>No</v>
      </c>
      <c r="I14" s="59" t="str">
        <f>TRIM(IF(C14="","",'Job Sheet'!BN14))</f>
        <v>Alteration to curtain drop</v>
      </c>
      <c r="J14" s="173" t="str">
        <f>A14</f>
        <v>31</v>
      </c>
    </row>
    <row r="15" spans="1:10" s="54" customFormat="1" ht="60">
      <c r="A15" s="57" t="str">
        <f>TRIM(Data!AW15)</f>
        <v>32</v>
      </c>
      <c r="B15" s="58" t="str">
        <f>IF(C15="","",'Job Sheet'!C15)</f>
        <v>Bed 3 ALTERATION</v>
      </c>
      <c r="C15" s="186">
        <f>IF(Data!AV15="","",IF(OR('Job Sheet'!S15="Centre Opening",'Job Sheet'!S15="Centre Opening - Free Flowing",'Job Sheet'!S15="Centre Opening (Offset Split)",'Job Sheet'!S15="Centre Opening - Free Flowing (Offset Split)"),2,1))</f>
        <v>1</v>
      </c>
      <c r="D15" s="52" t="str">
        <f>'Job Sheet'!P15</f>
        <v>Wavefold (Standard Fullness x 2)</v>
      </c>
      <c r="E15" s="52" t="str">
        <f>'Job Sheet'!W15</f>
        <v>Standard 75mm</v>
      </c>
      <c r="F15" s="186" t="str">
        <f>IF(Data!AV15="","",IF(OR('Job Sheet'!BH15="DBS to Make",'Job Sheet'!BH15="No Track or Rod Required"),"No","Yes"))</f>
        <v>No</v>
      </c>
      <c r="G15" s="186" t="str">
        <f>IF(Data!AV15="","",IF('Job Sheet'!AX15="","No",'Job Sheet'!AX15))</f>
        <v>No</v>
      </c>
      <c r="H15" s="186" t="str">
        <f>IF(Data!AV15="","",IF('Job Sheet'!BF15="","No",'Job Sheet'!BF15))</f>
        <v>No</v>
      </c>
      <c r="I15" s="59" t="str">
        <f>TRIM(IF(C15="","",'Job Sheet'!BN15))</f>
        <v>Alteration to curtain drop</v>
      </c>
      <c r="J15" s="173" t="str">
        <f>A15</f>
        <v>32</v>
      </c>
    </row>
    <row r="16" spans="1:10" s="54" customFormat="1" ht="60">
      <c r="A16" s="57" t="str">
        <f>TRIM(Data!AW16)</f>
        <v>33</v>
      </c>
      <c r="B16" s="58" t="str">
        <f>IF(C16="","",'Job Sheet'!C16)</f>
        <v>Back Hallway (IN) ALTERATION</v>
      </c>
      <c r="C16" s="186">
        <f>IF(Data!AV16="","",IF(OR('Job Sheet'!S16="Centre Opening",'Job Sheet'!S16="Centre Opening - Free Flowing",'Job Sheet'!S16="Centre Opening (Offset Split)",'Job Sheet'!S16="Centre Opening - Free Flowing (Offset Split)"),2,1))</f>
        <v>2</v>
      </c>
      <c r="D16" s="52" t="str">
        <f>'Job Sheet'!P16</f>
        <v>Wavefold (Standard Fullness x 2)</v>
      </c>
      <c r="E16" s="52" t="str">
        <f>'Job Sheet'!W16</f>
        <v>Standard 75mm</v>
      </c>
      <c r="F16" s="186" t="str">
        <f>IF(Data!AV16="","",IF(OR('Job Sheet'!BH16="DBS to Make",'Job Sheet'!BH16="No Track or Rod Required"),"No","Yes"))</f>
        <v>No</v>
      </c>
      <c r="G16" s="186" t="str">
        <f>IF(Data!AV16="","",IF('Job Sheet'!AX16="","No",'Job Sheet'!AX16))</f>
        <v>No</v>
      </c>
      <c r="H16" s="186" t="str">
        <f>IF(Data!AV16="","",IF('Job Sheet'!BF16="","No",'Job Sheet'!BF16))</f>
        <v>No</v>
      </c>
      <c r="I16" s="59" t="str">
        <f>TRIM(IF(C16="","",'Job Sheet'!BN16))</f>
        <v>Alteration to curtain drop</v>
      </c>
      <c r="J16" s="173" t="str">
        <f>A16</f>
        <v>33</v>
      </c>
    </row>
    <row r="17" spans="1:10" s="54" customFormat="1" ht="90">
      <c r="A17" s="57" t="str">
        <f>TRIM(Data!AW17)</f>
        <v>34</v>
      </c>
      <c r="B17" s="58" t="str">
        <f>IF(C17="","",'Job Sheet'!C17)</f>
        <v>Back Hallway (OUT) ALTERATION</v>
      </c>
      <c r="C17" s="186">
        <f>IF(Data!AV17="","",IF(OR('Job Sheet'!S17="Centre Opening",'Job Sheet'!S17="Centre Opening - Free Flowing",'Job Sheet'!S17="Centre Opening (Offset Split)",'Job Sheet'!S17="Centre Opening - Free Flowing (Offset Split)"),2,1))</f>
        <v>1</v>
      </c>
      <c r="D17" s="52" t="str">
        <f>'Job Sheet'!P17</f>
        <v>Wavefold (Standard Fullness x 2)</v>
      </c>
      <c r="E17" s="52" t="str">
        <f>'Job Sheet'!W17</f>
        <v>Standard 75mm</v>
      </c>
      <c r="F17" s="186" t="str">
        <f>IF(Data!AV17="","",IF(OR('Job Sheet'!BH17="DBS to Make",'Job Sheet'!BH17="No Track or Rod Required"),"No","Yes"))</f>
        <v>No</v>
      </c>
      <c r="G17" s="186" t="str">
        <f>IF(Data!AV17="","",IF('Job Sheet'!AX17="","No",'Job Sheet'!AX17))</f>
        <v>No</v>
      </c>
      <c r="H17" s="186" t="str">
        <f>IF(Data!AV17="","",IF('Job Sheet'!BF17="","No",'Job Sheet'!BF17))</f>
        <v>No</v>
      </c>
      <c r="I17" s="59" t="str">
        <f>TRIM(IF(C17="","",'Job Sheet'!BN17))</f>
        <v>Alteration to curtain drop</v>
      </c>
      <c r="J17" s="173" t="str">
        <f>A17</f>
        <v>34</v>
      </c>
    </row>
    <row r="18" spans="1:10" s="54" customFormat="1" ht="60">
      <c r="A18" s="57" t="str">
        <f>TRIM(Data!AW18)</f>
        <v>35</v>
      </c>
      <c r="B18" s="58" t="str">
        <f>IF(C18="","",'Job Sheet'!C18)</f>
        <v>Kitchen Door (IN) REMAKE</v>
      </c>
      <c r="C18" s="186">
        <f>IF(Data!AV18="","",IF(OR('Job Sheet'!S18="Centre Opening",'Job Sheet'!S18="Centre Opening - Free Flowing",'Job Sheet'!S18="Centre Opening (Offset Split)",'Job Sheet'!S18="Centre Opening - Free Flowing (Offset Split)"),2,1))</f>
        <v>2</v>
      </c>
      <c r="D18" s="52" t="str">
        <f>'Job Sheet'!P18</f>
        <v>Wavefold (Standard Fullness x 2)</v>
      </c>
      <c r="E18" s="52" t="str">
        <f>'Job Sheet'!W18</f>
        <v>Standard 75mm</v>
      </c>
      <c r="F18" s="186" t="str">
        <f>IF(Data!AV18="","",IF(OR('Job Sheet'!BH18="DBS to Make",'Job Sheet'!BH18="No Track or Rod Required"),"No","Yes"))</f>
        <v>No</v>
      </c>
      <c r="G18" s="186" t="str">
        <f>IF(Data!AV18="","",IF('Job Sheet'!AX18="","No",'Job Sheet'!AX18))</f>
        <v>No</v>
      </c>
      <c r="H18" s="186" t="str">
        <f>IF(Data!AV18="","",IF('Job Sheet'!BF18="","No",'Job Sheet'!BF18))</f>
        <v>No</v>
      </c>
      <c r="I18" s="59" t="str">
        <f>TRIM(IF(C18="","",'Job Sheet'!BN18))</f>
        <v/>
      </c>
      <c r="J18" s="173" t="str">
        <f>A18</f>
        <v>35</v>
      </c>
    </row>
    <row r="19" spans="1:10" s="54" customFormat="1" ht="60">
      <c r="A19" s="57" t="str">
        <f>TRIM(Data!AW19)</f>
        <v>36</v>
      </c>
      <c r="B19" s="58" t="str">
        <f>IF(C19="","",'Job Sheet'!C19)</f>
        <v>Second Lounge ALTERATION</v>
      </c>
      <c r="C19" s="186">
        <f>IF(Data!AV19="","",IF(OR('Job Sheet'!S19="Centre Opening",'Job Sheet'!S19="Centre Opening - Free Flowing",'Job Sheet'!S19="Centre Opening (Offset Split)",'Job Sheet'!S19="Centre Opening - Free Flowing (Offset Split)"),2,1))</f>
        <v>2</v>
      </c>
      <c r="D19" s="52" t="str">
        <f>'Job Sheet'!P19</f>
        <v>Wavefold (Standard Fullness x 2)</v>
      </c>
      <c r="E19" s="52" t="str">
        <f>'Job Sheet'!W19</f>
        <v>Standard 75mm</v>
      </c>
      <c r="F19" s="186" t="str">
        <f>IF(Data!AV19="","",IF(OR('Job Sheet'!BH19="DBS to Make",'Job Sheet'!BH19="No Track or Rod Required"),"No","Yes"))</f>
        <v>No</v>
      </c>
      <c r="G19" s="186" t="str">
        <f>IF(Data!AV19="","",IF('Job Sheet'!AX19="","No",'Job Sheet'!AX19))</f>
        <v>No</v>
      </c>
      <c r="H19" s="186" t="str">
        <f>IF(Data!AV19="","",IF('Job Sheet'!BF19="","No",'Job Sheet'!BF19))</f>
        <v>No</v>
      </c>
      <c r="I19" s="59" t="str">
        <f>TRIM(IF(C19="","",'Job Sheet'!BN19))</f>
        <v>Alteration to curtain drop</v>
      </c>
      <c r="J19" s="173" t="str">
        <f>A19</f>
        <v>36</v>
      </c>
    </row>
    <row r="20" spans="1:10" s="54" customFormat="1" ht="60">
      <c r="A20" s="57" t="str">
        <f>TRIM(Data!AW20)</f>
        <v>37</v>
      </c>
      <c r="B20" s="297" t="str">
        <f>IF(C20="","",'Job Sheet'!C20)</f>
        <v>Front Lounge 1 ALTERATION</v>
      </c>
      <c r="C20" s="186">
        <f>IF(Data!AV20="","",IF(OR('Job Sheet'!S20="Centre Opening",'Job Sheet'!S20="Centre Opening - Free Flowing",'Job Sheet'!S20="Centre Opening (Offset Split)",'Job Sheet'!S20="Centre Opening - Free Flowing (Offset Split)"),2,1))</f>
        <v>2</v>
      </c>
      <c r="D20" s="52" t="str">
        <f>'Job Sheet'!P20</f>
        <v>Wavefold (Standard Fullness x 2)</v>
      </c>
      <c r="E20" s="52" t="str">
        <f>'Job Sheet'!W20</f>
        <v>Standard 75mm</v>
      </c>
      <c r="F20" s="186" t="str">
        <f>IF(Data!AV20="","",IF(OR('Job Sheet'!BH20="DBS to Make",'Job Sheet'!BH20="No Track or Rod Required"),"No","Yes"))</f>
        <v>No</v>
      </c>
      <c r="G20" s="186" t="str">
        <f>IF(Data!AV20="","",IF('Job Sheet'!AX20="","No",'Job Sheet'!AX20))</f>
        <v>No</v>
      </c>
      <c r="H20" s="186" t="str">
        <f>IF(Data!AV20="","",IF('Job Sheet'!BF20="","No",'Job Sheet'!BF20))</f>
        <v>No</v>
      </c>
      <c r="I20" s="59" t="str">
        <f>TRIM(IF(C20="","",'Job Sheet'!BN20))</f>
        <v>Alteration to curtain drop and change curtain and track to CCO</v>
      </c>
      <c r="J20" s="173" t="str">
        <f>A20</f>
        <v>37</v>
      </c>
    </row>
    <row r="21" spans="1:10" ht="60">
      <c r="A21" s="57" t="str">
        <f>TRIM(Data!AW21)</f>
        <v>38</v>
      </c>
      <c r="B21" s="297" t="str">
        <f>IF(C21="","",'Job Sheet'!C21)</f>
        <v>Front Lounge 2 ALTERATION</v>
      </c>
      <c r="C21" s="186">
        <f>IF(Data!AV21="","",IF(OR('Job Sheet'!S21="Centre Opening",'Job Sheet'!S21="Centre Opening - Free Flowing",'Job Sheet'!S21="Centre Opening (Offset Split)",'Job Sheet'!S21="Centre Opening - Free Flowing (Offset Split)"),2,1))</f>
        <v>1</v>
      </c>
      <c r="D21" s="52" t="str">
        <f>'Job Sheet'!P21</f>
        <v>Wavefold (Standard Fullness x 2)</v>
      </c>
      <c r="E21" s="52" t="str">
        <f>'Job Sheet'!W21</f>
        <v>Standard 75mm</v>
      </c>
      <c r="F21" s="186" t="str">
        <f>IF(Data!AV21="","",IF(OR('Job Sheet'!BH21="DBS to Make",'Job Sheet'!BH21="No Track or Rod Required"),"No","Yes"))</f>
        <v>No</v>
      </c>
      <c r="G21" s="186" t="str">
        <f>IF(Data!AV21="","",IF('Job Sheet'!AX21="","No",'Job Sheet'!AX21))</f>
        <v>No</v>
      </c>
      <c r="H21" s="186" t="str">
        <f>IF(Data!AV21="","",IF('Job Sheet'!BF21="","No",'Job Sheet'!BF21))</f>
        <v>No</v>
      </c>
      <c r="I21" s="59" t="str">
        <f>TRIM(IF(C21="","",'Job Sheet'!BN21))</f>
        <v>Alteration to curtain drop</v>
      </c>
      <c r="J21" s="173" t="str">
        <f>A21</f>
        <v>38</v>
      </c>
    </row>
    <row r="22" spans="1:10" ht="90">
      <c r="A22" s="57" t="str">
        <f>TRIM(Data!AW22)</f>
        <v>39</v>
      </c>
      <c r="B22" s="297" t="str">
        <f>IF(C22="","",'Job Sheet'!C22)</f>
        <v>Master Door ALTERATION</v>
      </c>
      <c r="C22" s="186">
        <f>IF(Data!AV22="","",IF(OR('Job Sheet'!S22="Centre Opening",'Job Sheet'!S22="Centre Opening - Free Flowing",'Job Sheet'!S22="Centre Opening (Offset Split)",'Job Sheet'!S22="Centre Opening - Free Flowing (Offset Split)"),2,1))</f>
        <v>2</v>
      </c>
      <c r="D22" s="52" t="str">
        <f>'Job Sheet'!P22</f>
        <v>Pencil Pleat (Standard Fullness x 2)</v>
      </c>
      <c r="E22" s="52" t="str">
        <f>'Job Sheet'!W22</f>
        <v>Standard 75mm</v>
      </c>
      <c r="F22" s="186" t="str">
        <f>IF(Data!AV22="","",IF(OR('Job Sheet'!BH22="DBS to Make",'Job Sheet'!BH22="No Track or Rod Required"),"No","Yes"))</f>
        <v>No</v>
      </c>
      <c r="G22" s="186" t="str">
        <f>IF(Data!AV22="","",IF('Job Sheet'!AX22="","No",'Job Sheet'!AX22))</f>
        <v>No</v>
      </c>
      <c r="H22" s="186" t="str">
        <f>IF(Data!AV22="","",IF('Job Sheet'!BF22="","No",'Job Sheet'!BF22))</f>
        <v>No</v>
      </c>
      <c r="I22" s="59" t="str">
        <f>TRIM(IF(C22="","",'Job Sheet'!BN22))</f>
        <v>Alteration to curtain drop</v>
      </c>
      <c r="J22" s="173" t="str">
        <f>A22</f>
        <v>39</v>
      </c>
    </row>
    <row r="23" spans="1:10" ht="60" customHeight="1">
      <c r="A23" s="60"/>
      <c r="B23" s="60"/>
      <c r="C23" s="60"/>
      <c r="D23" s="60"/>
      <c r="E23" s="60"/>
      <c r="F23" s="60"/>
      <c r="G23" s="60"/>
      <c r="H23" s="60"/>
      <c r="I23" s="54"/>
      <c r="J23" s="54"/>
    </row>
    <row r="24" spans="1:10" ht="60" customHeight="1">
      <c r="A24" s="60"/>
      <c r="B24" s="60"/>
      <c r="C24" s="60"/>
      <c r="D24" s="60"/>
      <c r="E24" s="60"/>
      <c r="F24" s="60"/>
      <c r="G24" s="60"/>
      <c r="H24" s="60"/>
      <c r="I24" s="54"/>
      <c r="J24" s="54"/>
    </row>
    <row r="25" spans="1:10" ht="60" customHeight="1">
      <c r="A25" s="60"/>
      <c r="B25" s="60"/>
      <c r="C25" s="60"/>
      <c r="D25" s="60"/>
      <c r="E25" s="60"/>
      <c r="F25" s="60"/>
      <c r="G25" s="60"/>
      <c r="H25" s="60"/>
      <c r="I25" s="54"/>
      <c r="J25" s="54"/>
    </row>
    <row r="26" spans="1:10" ht="60" customHeight="1">
      <c r="A26" s="60"/>
      <c r="B26" s="60"/>
      <c r="C26" s="60"/>
      <c r="D26" s="60"/>
      <c r="E26" s="60"/>
      <c r="F26" s="60"/>
      <c r="G26" s="60"/>
      <c r="H26" s="60"/>
      <c r="I26" s="54"/>
      <c r="J26" s="54"/>
    </row>
    <row r="27" spans="1:10" ht="30">
      <c r="A27" s="60"/>
      <c r="B27" s="60"/>
      <c r="C27" s="60"/>
      <c r="D27" s="60"/>
      <c r="E27" s="60"/>
      <c r="F27" s="60"/>
      <c r="G27" s="60"/>
      <c r="H27" s="60"/>
      <c r="I27" s="54"/>
      <c r="J27" s="54"/>
    </row>
    <row r="28" spans="1:10" ht="30">
      <c r="A28" s="60"/>
      <c r="B28" s="60"/>
      <c r="C28" s="60"/>
      <c r="D28" s="60"/>
      <c r="E28" s="60"/>
      <c r="F28" s="60"/>
      <c r="G28" s="60"/>
      <c r="H28" s="60"/>
      <c r="I28" s="54"/>
      <c r="J28" s="54"/>
    </row>
    <row r="29" spans="1:10" ht="30">
      <c r="A29" s="60"/>
      <c r="B29" s="60"/>
      <c r="C29" s="60"/>
      <c r="D29" s="60"/>
      <c r="E29" s="60"/>
      <c r="F29" s="60"/>
      <c r="G29" s="60"/>
      <c r="H29" s="60"/>
      <c r="I29" s="54"/>
      <c r="J29" s="54"/>
    </row>
    <row r="30" spans="1:10" ht="30">
      <c r="A30" s="60"/>
      <c r="B30" s="60"/>
      <c r="C30" s="60"/>
      <c r="D30" s="60"/>
      <c r="E30" s="60"/>
      <c r="F30" s="60"/>
      <c r="G30" s="60"/>
      <c r="H30" s="60"/>
      <c r="I30" s="54"/>
      <c r="J30" s="54"/>
    </row>
    <row r="31" spans="1:10" ht="30">
      <c r="A31" s="60"/>
      <c r="B31" s="60"/>
      <c r="C31" s="60"/>
      <c r="D31" s="60"/>
      <c r="E31" s="60"/>
      <c r="F31" s="60"/>
      <c r="G31" s="60"/>
      <c r="H31" s="60"/>
      <c r="I31" s="54"/>
      <c r="J31" s="54"/>
    </row>
    <row r="32" spans="1:10" ht="30">
      <c r="A32" s="60"/>
      <c r="B32" s="60"/>
      <c r="C32" s="60"/>
      <c r="D32" s="60"/>
      <c r="E32" s="60"/>
      <c r="F32" s="60"/>
      <c r="G32" s="60"/>
      <c r="H32" s="60"/>
      <c r="I32" s="54"/>
      <c r="J32" s="54"/>
    </row>
    <row r="33" spans="1:10" ht="30">
      <c r="A33" s="60"/>
      <c r="B33" s="60"/>
      <c r="C33" s="60"/>
      <c r="D33" s="60"/>
      <c r="E33" s="60"/>
      <c r="F33" s="60"/>
      <c r="G33" s="60"/>
      <c r="H33" s="60"/>
      <c r="I33" s="54"/>
      <c r="J33" s="54"/>
    </row>
    <row r="34" spans="1:10" ht="30">
      <c r="A34" s="60"/>
      <c r="B34" s="60"/>
      <c r="C34" s="60"/>
      <c r="D34" s="60"/>
      <c r="E34" s="60"/>
      <c r="F34" s="60"/>
      <c r="G34" s="60"/>
      <c r="H34" s="60"/>
      <c r="I34" s="54"/>
      <c r="J34" s="54"/>
    </row>
    <row r="35" spans="1:10" ht="30">
      <c r="A35" s="60"/>
      <c r="B35" s="60"/>
      <c r="C35" s="60"/>
      <c r="D35" s="60"/>
      <c r="E35" s="60"/>
      <c r="F35" s="60"/>
      <c r="G35" s="60"/>
      <c r="H35" s="60"/>
      <c r="I35" s="54"/>
      <c r="J35" s="54"/>
    </row>
    <row r="36" spans="1:10" ht="30">
      <c r="A36" s="60"/>
      <c r="B36" s="60"/>
      <c r="C36" s="60"/>
      <c r="D36" s="60"/>
      <c r="E36" s="60"/>
      <c r="F36" s="60"/>
      <c r="G36" s="60"/>
      <c r="H36" s="60"/>
      <c r="I36" s="54"/>
      <c r="J36" s="54"/>
    </row>
    <row r="37" spans="1:10" ht="30">
      <c r="A37" s="60"/>
      <c r="B37" s="60"/>
      <c r="C37" s="60"/>
      <c r="D37" s="60"/>
      <c r="E37" s="60"/>
      <c r="F37" s="60"/>
      <c r="G37" s="60"/>
      <c r="H37" s="60"/>
      <c r="I37" s="54"/>
      <c r="J37" s="54"/>
    </row>
    <row r="38" spans="1:10" ht="30">
      <c r="A38" s="60"/>
      <c r="B38" s="60"/>
      <c r="C38" s="60"/>
      <c r="D38" s="60"/>
      <c r="E38" s="60"/>
      <c r="F38" s="60"/>
      <c r="G38" s="60"/>
      <c r="H38" s="60"/>
      <c r="I38" s="54"/>
      <c r="J38" s="54"/>
    </row>
    <row r="39" spans="1:10" ht="30">
      <c r="A39" s="60"/>
      <c r="B39" s="60"/>
      <c r="C39" s="60"/>
      <c r="D39" s="60"/>
      <c r="E39" s="60"/>
      <c r="F39" s="60"/>
      <c r="G39" s="60"/>
      <c r="H39" s="60"/>
      <c r="I39" s="54"/>
      <c r="J39" s="54"/>
    </row>
    <row r="40" spans="1:10" ht="30">
      <c r="A40" s="60"/>
      <c r="B40" s="60"/>
      <c r="C40" s="60"/>
      <c r="D40" s="60"/>
      <c r="E40" s="60"/>
      <c r="F40" s="60"/>
      <c r="G40" s="60"/>
      <c r="H40" s="60"/>
      <c r="I40" s="54"/>
      <c r="J40" s="54"/>
    </row>
    <row r="41" spans="1:9" ht="30">
      <c r="A41" s="60"/>
      <c r="B41" s="60"/>
      <c r="C41" s="60"/>
      <c r="D41" s="60"/>
      <c r="E41" s="60"/>
      <c r="F41" s="60"/>
      <c r="G41" s="60"/>
      <c r="H41" s="60"/>
      <c r="I41" s="54"/>
    </row>
    <row r="42" spans="1:9" ht="30">
      <c r="A42" s="60"/>
      <c r="B42" s="60"/>
      <c r="C42" s="60"/>
      <c r="D42" s="60"/>
      <c r="E42" s="60"/>
      <c r="F42" s="60"/>
      <c r="G42" s="60"/>
      <c r="H42" s="60"/>
      <c r="I42" s="54"/>
    </row>
    <row r="43" spans="1:9" ht="30">
      <c r="A43" s="60"/>
      <c r="B43" s="60"/>
      <c r="C43" s="60"/>
      <c r="D43" s="60"/>
      <c r="E43" s="60"/>
      <c r="F43" s="60"/>
      <c r="G43" s="60"/>
      <c r="H43" s="60"/>
      <c r="I43" s="54"/>
    </row>
    <row r="44" spans="1:9" ht="30">
      <c r="A44" s="60"/>
      <c r="B44" s="60"/>
      <c r="C44" s="60"/>
      <c r="D44" s="60"/>
      <c r="E44" s="60"/>
      <c r="F44" s="60"/>
      <c r="G44" s="60"/>
      <c r="H44" s="60"/>
      <c r="I44" s="54"/>
    </row>
    <row r="45" spans="1:9" ht="30">
      <c r="A45" s="60"/>
      <c r="B45" s="60"/>
      <c r="C45" s="60"/>
      <c r="D45" s="60"/>
      <c r="E45" s="60"/>
      <c r="F45" s="60"/>
      <c r="G45" s="60"/>
      <c r="H45" s="60"/>
      <c r="I45" s="54"/>
    </row>
    <row r="46" spans="1:9" ht="30">
      <c r="A46" s="60"/>
      <c r="B46" s="60"/>
      <c r="C46" s="60"/>
      <c r="D46" s="60"/>
      <c r="E46" s="60"/>
      <c r="F46" s="60"/>
      <c r="G46" s="60"/>
      <c r="H46" s="60"/>
      <c r="I46" s="54"/>
    </row>
    <row r="47" spans="1:9" ht="30">
      <c r="A47" s="60"/>
      <c r="B47" s="60"/>
      <c r="C47" s="60"/>
      <c r="D47" s="60"/>
      <c r="E47" s="60"/>
      <c r="F47" s="60"/>
      <c r="G47" s="60"/>
      <c r="H47" s="60"/>
      <c r="I47" s="54"/>
    </row>
    <row r="48" spans="1:9" ht="30">
      <c r="A48" s="60"/>
      <c r="B48" s="60"/>
      <c r="C48" s="60"/>
      <c r="D48" s="60"/>
      <c r="E48" s="60"/>
      <c r="F48" s="60"/>
      <c r="G48" s="60"/>
      <c r="H48" s="60"/>
      <c r="I48" s="54"/>
    </row>
    <row r="49" spans="1:9" ht="30">
      <c r="A49" s="60"/>
      <c r="B49" s="60"/>
      <c r="C49" s="60"/>
      <c r="D49" s="60"/>
      <c r="E49" s="60"/>
      <c r="F49" s="60"/>
      <c r="G49" s="60"/>
      <c r="H49" s="60"/>
      <c r="I49" s="54"/>
    </row>
    <row r="50" spans="1:9" ht="30">
      <c r="A50" s="60"/>
      <c r="B50" s="60"/>
      <c r="C50" s="60"/>
      <c r="D50" s="60"/>
      <c r="E50" s="60"/>
      <c r="F50" s="60"/>
      <c r="G50" s="60"/>
      <c r="H50" s="60"/>
      <c r="I50" s="54"/>
    </row>
    <row r="51" spans="1:9" ht="30">
      <c r="A51" s="60"/>
      <c r="B51" s="60"/>
      <c r="C51" s="60"/>
      <c r="D51" s="60"/>
      <c r="E51" s="60"/>
      <c r="F51" s="60"/>
      <c r="G51" s="60"/>
      <c r="H51" s="60"/>
      <c r="I51" s="54"/>
    </row>
    <row r="52" spans="1:9" ht="30">
      <c r="A52" s="60"/>
      <c r="B52" s="60"/>
      <c r="C52" s="60"/>
      <c r="D52" s="60"/>
      <c r="E52" s="60"/>
      <c r="F52" s="60"/>
      <c r="G52" s="60"/>
      <c r="H52" s="60"/>
      <c r="I52" s="54"/>
    </row>
    <row r="53" spans="1:9" ht="30">
      <c r="A53" s="60"/>
      <c r="B53" s="60"/>
      <c r="C53" s="60"/>
      <c r="D53" s="60"/>
      <c r="E53" s="60"/>
      <c r="F53" s="60"/>
      <c r="G53" s="60"/>
      <c r="H53" s="60"/>
      <c r="I53" s="54"/>
    </row>
    <row r="54" spans="1:9" ht="30">
      <c r="A54" s="60"/>
      <c r="B54" s="60"/>
      <c r="C54" s="60"/>
      <c r="D54" s="60"/>
      <c r="E54" s="60"/>
      <c r="F54" s="60"/>
      <c r="G54" s="60"/>
      <c r="H54" s="60"/>
      <c r="I54" s="54"/>
    </row>
    <row r="55" spans="1:9" ht="30">
      <c r="A55" s="60"/>
      <c r="B55" s="60"/>
      <c r="C55" s="60"/>
      <c r="D55" s="60"/>
      <c r="E55" s="60"/>
      <c r="F55" s="60"/>
      <c r="G55" s="60"/>
      <c r="H55" s="60"/>
      <c r="I55" s="54"/>
    </row>
    <row r="56" spans="1:9" ht="30">
      <c r="A56" s="60"/>
      <c r="B56" s="60"/>
      <c r="C56" s="60"/>
      <c r="D56" s="60"/>
      <c r="E56" s="60"/>
      <c r="F56" s="60"/>
      <c r="G56" s="60"/>
      <c r="H56" s="60"/>
      <c r="I56" s="54"/>
    </row>
    <row r="57" spans="1:9" ht="30">
      <c r="A57" s="60"/>
      <c r="B57" s="60"/>
      <c r="C57" s="60"/>
      <c r="D57" s="60"/>
      <c r="E57" s="60"/>
      <c r="F57" s="60"/>
      <c r="G57" s="60"/>
      <c r="H57" s="60"/>
      <c r="I57" s="54"/>
    </row>
    <row r="58" spans="1:9" ht="30">
      <c r="A58" s="60"/>
      <c r="B58" s="60"/>
      <c r="C58" s="60"/>
      <c r="D58" s="60"/>
      <c r="E58" s="60"/>
      <c r="F58" s="60"/>
      <c r="G58" s="60"/>
      <c r="H58" s="60"/>
      <c r="I58" s="54"/>
    </row>
    <row r="59" spans="1:9" ht="30">
      <c r="A59" s="60"/>
      <c r="B59" s="60"/>
      <c r="C59" s="60"/>
      <c r="D59" s="60"/>
      <c r="E59" s="60"/>
      <c r="F59" s="60"/>
      <c r="G59" s="60"/>
      <c r="H59" s="60"/>
      <c r="I59" s="54"/>
    </row>
    <row r="60" spans="1:9" ht="30">
      <c r="A60" s="60"/>
      <c r="B60" s="60"/>
      <c r="C60" s="60"/>
      <c r="D60" s="60"/>
      <c r="E60" s="60"/>
      <c r="F60" s="60"/>
      <c r="G60" s="60"/>
      <c r="H60" s="60"/>
      <c r="I60" s="54"/>
    </row>
    <row r="61" spans="1:9" ht="30">
      <c r="A61" s="60"/>
      <c r="B61" s="60"/>
      <c r="C61" s="60"/>
      <c r="D61" s="60"/>
      <c r="E61" s="60"/>
      <c r="F61" s="60"/>
      <c r="G61" s="60"/>
      <c r="H61" s="60"/>
      <c r="I61" s="54"/>
    </row>
    <row r="62" spans="1:9" ht="30">
      <c r="A62" s="60"/>
      <c r="B62" s="60"/>
      <c r="C62" s="60"/>
      <c r="D62" s="60"/>
      <c r="E62" s="60"/>
      <c r="F62" s="60"/>
      <c r="G62" s="60"/>
      <c r="H62" s="60"/>
      <c r="I62" s="54"/>
    </row>
    <row r="63" spans="1:9" ht="30">
      <c r="A63" s="60"/>
      <c r="B63" s="60"/>
      <c r="C63" s="60"/>
      <c r="D63" s="60"/>
      <c r="E63" s="60"/>
      <c r="F63" s="60"/>
      <c r="G63" s="60"/>
      <c r="H63" s="60"/>
      <c r="I63" s="54"/>
    </row>
    <row r="64" spans="1:9" ht="30">
      <c r="A64" s="60"/>
      <c r="B64" s="60"/>
      <c r="C64" s="60"/>
      <c r="D64" s="60"/>
      <c r="E64" s="60"/>
      <c r="F64" s="60"/>
      <c r="G64" s="60"/>
      <c r="H64" s="60"/>
      <c r="I64" s="54"/>
    </row>
    <row r="65" spans="1:9" ht="30">
      <c r="A65" s="60"/>
      <c r="B65" s="60"/>
      <c r="C65" s="60"/>
      <c r="D65" s="60"/>
      <c r="E65" s="60"/>
      <c r="F65" s="60"/>
      <c r="G65" s="60"/>
      <c r="H65" s="60"/>
      <c r="I65" s="54"/>
    </row>
    <row r="66" spans="1:9" ht="30">
      <c r="A66" s="60"/>
      <c r="B66" s="60"/>
      <c r="C66" s="60"/>
      <c r="D66" s="60"/>
      <c r="E66" s="60"/>
      <c r="F66" s="60"/>
      <c r="G66" s="60"/>
      <c r="H66" s="60"/>
      <c r="I66" s="54"/>
    </row>
    <row r="67" spans="1:9" ht="30">
      <c r="A67" s="60"/>
      <c r="B67" s="60"/>
      <c r="C67" s="60"/>
      <c r="D67" s="60"/>
      <c r="E67" s="60"/>
      <c r="F67" s="60"/>
      <c r="G67" s="60"/>
      <c r="H67" s="60"/>
      <c r="I67" s="54"/>
    </row>
    <row r="68" spans="1:9" ht="30">
      <c r="A68" s="60"/>
      <c r="B68" s="60"/>
      <c r="C68" s="60"/>
      <c r="D68" s="60"/>
      <c r="E68" s="60"/>
      <c r="F68" s="60"/>
      <c r="G68" s="60"/>
      <c r="H68" s="60"/>
      <c r="I68" s="54"/>
    </row>
    <row r="69" spans="1:9" ht="30">
      <c r="A69" s="60"/>
      <c r="B69" s="60"/>
      <c r="C69" s="60"/>
      <c r="D69" s="60"/>
      <c r="E69" s="60"/>
      <c r="F69" s="60"/>
      <c r="G69" s="60"/>
      <c r="H69" s="60"/>
      <c r="I69" s="54"/>
    </row>
    <row r="70" spans="1:9" ht="30">
      <c r="A70" s="60"/>
      <c r="B70" s="60"/>
      <c r="C70" s="60"/>
      <c r="D70" s="60"/>
      <c r="E70" s="60"/>
      <c r="F70" s="60"/>
      <c r="G70" s="60"/>
      <c r="H70" s="60"/>
      <c r="I70" s="54"/>
    </row>
    <row r="71" spans="1:9" ht="30">
      <c r="A71" s="60"/>
      <c r="B71" s="60"/>
      <c r="C71" s="60"/>
      <c r="D71" s="60"/>
      <c r="E71" s="60"/>
      <c r="F71" s="60"/>
      <c r="G71" s="60"/>
      <c r="H71" s="60"/>
      <c r="I71" s="54"/>
    </row>
    <row r="72" spans="1:9" ht="30">
      <c r="A72" s="60"/>
      <c r="B72" s="60"/>
      <c r="C72" s="60"/>
      <c r="D72" s="60"/>
      <c r="E72" s="60"/>
      <c r="F72" s="60"/>
      <c r="G72" s="60"/>
      <c r="H72" s="60"/>
      <c r="I72" s="54"/>
    </row>
    <row r="73" spans="1:9" ht="13.2">
      <c r="A73" s="60"/>
      <c r="B73" s="60"/>
      <c r="C73" s="60"/>
      <c r="D73" s="60"/>
      <c r="E73" s="60"/>
      <c r="F73" s="60"/>
      <c r="G73" s="60"/>
      <c r="H73" s="60"/>
      <c r="I73" s="54"/>
    </row>
    <row r="74" spans="1:9" ht="13.2">
      <c r="A74" s="60"/>
      <c r="B74" s="60"/>
      <c r="C74" s="60"/>
      <c r="D74" s="60"/>
      <c r="E74" s="60"/>
      <c r="F74" s="60"/>
      <c r="G74" s="60"/>
      <c r="H74" s="60"/>
      <c r="I74" s="54"/>
    </row>
  </sheetData>
  <mergeCells count="30">
    <mergeCell ref="A1:J1"/>
    <mergeCell ref="A3:B3"/>
    <mergeCell ref="I3:J3"/>
    <mergeCell ref="A4:B4"/>
    <mergeCell ref="I4:J8"/>
    <mergeCell ref="A5:B5"/>
    <mergeCell ref="A6:B6"/>
    <mergeCell ref="E6:E8"/>
    <mergeCell ref="C3:D3"/>
    <mergeCell ref="F5:H5"/>
    <mergeCell ref="F4:H4"/>
    <mergeCell ref="F3:H3"/>
    <mergeCell ref="A2:J2"/>
    <mergeCell ref="C4:D4"/>
    <mergeCell ref="J9:J10"/>
    <mergeCell ref="D9:D10"/>
    <mergeCell ref="A7:D8"/>
    <mergeCell ref="C6:D6"/>
    <mergeCell ref="C5:D5"/>
    <mergeCell ref="G9:G10"/>
    <mergeCell ref="H9:H10"/>
    <mergeCell ref="F8:H8"/>
    <mergeCell ref="F7:H7"/>
    <mergeCell ref="A9:A10"/>
    <mergeCell ref="B9:B10"/>
    <mergeCell ref="C9:C10"/>
    <mergeCell ref="E9:E10"/>
    <mergeCell ref="F9:F10"/>
    <mergeCell ref="I9:I10"/>
    <mergeCell ref="F6:H6"/>
  </mergeCells>
  <conditionalFormatting sqref="F11:H22">
    <cfRule type="containsText" priority="1" dxfId="0" operator="containsText" text="Yes">
      <formula>NOT(ISERROR(SEARCH("Yes",F11)))</formula>
    </cfRule>
  </conditionalFormatting>
  <pageMargins left="0.944094488188992" right="0.944094488188992" top="0.75" bottom="0.75" header="0.3" footer="0.3"/>
  <pageSetup fitToHeight="0" horizontalDpi="300" verticalDpi="300" orientation="landscape" scale="1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0DF29-4D08-4751-A086-4AFFF00D4389}">
  <sheetPr codeName="Sheet9">
    <pageSetUpPr fitToPage="1"/>
  </sheetPr>
  <dimension ref="A1:M394"/>
  <sheetViews>
    <sheetView showZeros="0" view="pageBreakPreview" zoomScale="30" zoomScaleNormal="40" zoomScaleSheetLayoutView="30" workbookViewId="0" topLeftCell="A1">
      <selection pane="topLeft" activeCell="G12" sqref="G12"/>
    </sheetView>
  </sheetViews>
  <sheetFormatPr defaultColWidth="9.33203125" defaultRowHeight="270" customHeight="1"/>
  <cols>
    <col min="1" max="1" width="15.2857142857143" style="28" customWidth="1"/>
    <col min="2" max="2" width="50.4285714285714" style="28" customWidth="1"/>
    <col min="3" max="3" width="55" style="28" customWidth="1"/>
    <col min="4" max="4" width="60.8571428571429" style="28" customWidth="1"/>
    <col min="5" max="5" width="90.5714285714286" style="28" customWidth="1"/>
    <col min="6" max="6" width="32.5714285714286" style="28" customWidth="1"/>
    <col min="7" max="7" width="30.4285714285714" customWidth="1"/>
    <col min="8" max="8" width="67.5714285714286" customWidth="1"/>
    <col min="10" max="10" width="25.7142857142857" customWidth="1"/>
    <col min="11" max="11" width="27" customWidth="1"/>
    <col min="12" max="12" width="23.2857142857143" customWidth="1"/>
    <col min="13" max="13" width="24.1428571428571" bestFit="1" customWidth="1"/>
  </cols>
  <sheetData>
    <row r="1" spans="1:8" ht="113.25" customHeight="1">
      <c r="A1" s="295" t="s">
        <v>3601</v>
      </c>
      <c r="B1" s="295"/>
      <c r="C1" s="295"/>
      <c r="D1" s="295"/>
      <c r="E1" s="295"/>
      <c r="F1" s="295"/>
      <c r="G1" s="295"/>
      <c r="H1" s="295"/>
    </row>
    <row r="2" spans="1:8" ht="83.25" customHeight="1">
      <c r="A2" s="296" t="s">
        <v>612</v>
      </c>
      <c r="B2" s="296"/>
      <c r="C2" s="296"/>
      <c r="D2" s="296" t="str">
        <f>'Job Sheet'!S3</f>
        <v>Jenny's Curtains - 9 Whitehills Rd, Creswick, Vic, 3363</v>
      </c>
      <c r="E2" s="296"/>
      <c r="F2" s="296"/>
      <c r="G2" s="296"/>
      <c r="H2" s="296"/>
    </row>
    <row r="3" spans="1:8" ht="60" customHeight="1">
      <c r="A3" s="298" t="s">
        <v>7</v>
      </c>
      <c r="B3" s="298"/>
      <c r="C3" s="114"/>
      <c r="D3" s="115" t="s">
        <v>94</v>
      </c>
      <c r="E3" s="116" t="str">
        <f>Data!BF5</f>
        <v>Hare, Kaitlin</v>
      </c>
      <c r="F3" s="253" t="s">
        <v>4</v>
      </c>
      <c r="G3" s="253"/>
      <c r="H3" s="253"/>
    </row>
    <row r="4" spans="1:8" ht="60" customHeight="1">
      <c r="A4" s="299" t="s">
        <v>117</v>
      </c>
      <c r="B4" s="299"/>
      <c r="C4" s="117" t="str">
        <f>Data!BC5</f>
        <v>39776</v>
      </c>
      <c r="D4" s="118" t="s">
        <v>8</v>
      </c>
      <c r="E4" s="119" t="str">
        <f>Data!AX5</f>
        <v>Whole House</v>
      </c>
      <c r="F4" s="297">
        <f>IF(Data!BA11="","",Data!BG5)</f>
        <v>0</v>
      </c>
      <c r="G4" s="297"/>
      <c r="H4" s="297"/>
    </row>
    <row r="5" spans="1:8" ht="60" customHeight="1">
      <c r="A5" s="300" t="s">
        <v>14</v>
      </c>
      <c r="B5" s="300"/>
      <c r="C5" s="117" t="str">
        <f>Data!BD5</f>
        <v>F</v>
      </c>
      <c r="D5" s="118" t="s">
        <v>112</v>
      </c>
      <c r="E5" s="119" t="str">
        <f>Data!BA5</f>
        <v>13/10/2026 12:00:00 AM</v>
      </c>
      <c r="F5" s="297"/>
      <c r="G5" s="297"/>
      <c r="H5" s="297"/>
    </row>
    <row r="6" spans="1:8" ht="60" customHeight="1">
      <c r="A6" s="301" t="s">
        <v>9</v>
      </c>
      <c r="B6" s="301"/>
      <c r="C6" s="120" t="str">
        <f>Data!AY5</f>
        <v>12/08/2026 12:00:00 AM</v>
      </c>
      <c r="D6" s="293" t="s">
        <v>12</v>
      </c>
      <c r="E6" s="116" t="str">
        <f>TRIM(Data!BF5)</f>
        <v>Hare, Kaitlin</v>
      </c>
      <c r="F6" s="297"/>
      <c r="G6" s="297"/>
      <c r="H6" s="297"/>
    </row>
    <row r="7" spans="1:8" ht="60" customHeight="1">
      <c r="A7" s="294" t="str">
        <f>Data!CZ5</f>
        <v>Retail Customer</v>
      </c>
      <c r="B7" s="294"/>
      <c r="C7" s="294"/>
      <c r="D7" s="293"/>
      <c r="E7" s="116" t="str">
        <f>CONCATENATE(Data!BH5," ",Data!BI5," ",Data!BJ5," ",Data!BK5," ",Data!BL5)</f>
        <v xml:space="preserve"> 219  Wendouree Parade  </v>
      </c>
      <c r="F7" s="297"/>
      <c r="G7" s="297"/>
      <c r="H7" s="297"/>
    </row>
    <row r="8" spans="1:8" ht="60" customHeight="1">
      <c r="A8" s="294"/>
      <c r="B8" s="294"/>
      <c r="C8" s="294"/>
      <c r="D8" s="293"/>
      <c r="E8" s="116" t="str">
        <f>CONCATENATE(Data!BM5," ",Data!BN5," ",Data!BO5," ",Data!BP5)</f>
        <v>Lake Wendouree VIC 3350 Australia</v>
      </c>
      <c r="F8" s="297"/>
      <c r="G8" s="297"/>
      <c r="H8" s="297"/>
    </row>
    <row r="9" spans="1:8" ht="23.25" customHeight="1">
      <c r="A9" s="291" t="s">
        <v>116</v>
      </c>
      <c r="B9" s="292"/>
      <c r="C9" s="292" t="s">
        <v>3694</v>
      </c>
      <c r="D9" s="292" t="s">
        <v>96</v>
      </c>
      <c r="E9" s="292" t="s">
        <v>224</v>
      </c>
      <c r="F9" s="292" t="s">
        <v>3582</v>
      </c>
      <c r="G9" s="253" t="s">
        <v>5353</v>
      </c>
      <c r="H9" s="253" t="s">
        <v>5</v>
      </c>
    </row>
    <row r="10" spans="1:13" ht="122.25" customHeight="1">
      <c r="A10" s="291"/>
      <c r="B10" s="292"/>
      <c r="C10" s="292"/>
      <c r="D10" s="292"/>
      <c r="E10" s="292"/>
      <c r="F10" s="292"/>
      <c r="G10" s="253"/>
      <c r="H10" s="253"/>
      <c r="J10" s="302" t="s">
        <v>12091</v>
      </c>
      <c r="K10" s="303"/>
      <c r="L10" s="196" t="s">
        <v>12094</v>
      </c>
      <c r="M10" s="196" t="s">
        <v>12095</v>
      </c>
    </row>
    <row r="11" spans="1:13" s="54" customFormat="1" ht="270" customHeight="1">
      <c r="A11" s="91">
        <f>IF('Job Sheet'!Z11="No Rod","",IF('Job Sheet'!Z11="No Track","",Data!AW11))</f>
        <v>28</v>
      </c>
      <c r="B11" s="90" t="str">
        <f>IF(D11="","","Davidson's Blinds &amp; Shutters")</f>
        <v/>
      </c>
      <c r="C11" s="90" t="str">
        <f>IF(E11="","",$E$3)</f>
        <v/>
      </c>
      <c r="D11" s="92" t="str">
        <f>IF(E11="","",'Job Sheet'!C11)</f>
        <v/>
      </c>
      <c r="E11" s="90" t="str">
        <f>IF(OR(Data!BA11="",$A$7="Brax Retail",$A$7="Brax Wholesale"),"",IF('Job Sheet'!BY11="","",'Job Sheet'!P11))</f>
        <v/>
      </c>
      <c r="F11" s="90" t="str">
        <f>IF(E11="","",IF(OR('Job Sheet'!S11="Centre Opening (Offset Split)",'Job Sheet'!S11="Centre Opening - Free Flowing (Offset Split)"),CONCATENATE(VLOOKUP(J11,OneWay100,2,TRUE),L11," &amp; ",VLOOKUP(K11,OneWay100,2,TRUE),M11),CONCATENATE('Job Sheet'!BZ11,"+",VLOOKUP('Job Sheet'!X11,ReturnLookUp,3,FALSE))))</f>
        <v/>
      </c>
      <c r="G11" s="93" t="str">
        <f>IF(E11="","",IF(OR('Job Sheet'!AA11="Black",'Job Sheet'!AA11="Black"),"Matt Black Ink","White"))</f>
        <v/>
      </c>
      <c r="H11" s="93" t="str">
        <f>IF(E11="","",'Job Sheet'!BN11)</f>
        <v/>
      </c>
      <c r="J11" s="195" t="str">
        <f>IF(OR('Job Sheet'!S11="Centre Opening (Offset Split)",'Job Sheet'!S11="Centre Opening - Free Flowing (Offset Split)"),VALUE('Job Sheet'!T11+('Job Sheet'!CI11/2)),"")</f>
        <v/>
      </c>
      <c r="K11" s="195" t="str">
        <f>IF(OR('Job Sheet'!S11="Centre Opening (Offset Split)",'Job Sheet'!S11="Centre Opening - Free Flowing (Offset Split)"),VALUE('Job Sheet'!U11+('Job Sheet'!CI11/2)),"")</f>
        <v/>
      </c>
      <c r="L11" s="194" t="str">
        <f>IF(OR('Job Sheet'!X11="None",'Job Sheet'!X11="Left Only",'Job Sheet'!X11="Double Left",'Job Sheet'!X11="Both Sides",'Job Sheet'!X11="Double Both Sides"),CONCATENATE("+",VLOOKUP('Job Sheet'!X11,ReturnLookUp,3,FALSE)),"")</f>
        <v>+0</v>
      </c>
      <c r="M11" s="194" t="str">
        <f>IF(OR('Job Sheet'!X11="None",'Job Sheet'!X11="Right Only",'Job Sheet'!X11="Double Right",'Job Sheet'!X11="Both Sides",'Job Sheet'!X11="Double Both Sides"),CONCATENATE("+",VLOOKUP('Job Sheet'!X11,ReturnLookUp,3,FALSE)),"")</f>
        <v>+0</v>
      </c>
    </row>
    <row r="12" spans="1:13" s="54" customFormat="1" ht="270" customHeight="1">
      <c r="A12" s="91">
        <f>IF('Job Sheet'!Z12="No Rod","",IF('Job Sheet'!Z12="No Track","",Data!AW12))</f>
        <v>29</v>
      </c>
      <c r="B12" s="90" t="str">
        <f>IF(D12="","","Davidson's Blinds &amp; Shutters")</f>
        <v>Davidson's Blinds &amp; Shutters</v>
      </c>
      <c r="C12" s="90" t="str">
        <f>IF(E12="","",$E$3)</f>
        <v>Hare, Kaitlin</v>
      </c>
      <c r="D12" s="92" t="str">
        <f>IF(E12="","",'Job Sheet'!C12)</f>
        <v>Hallway Door (IN) ALTERATION</v>
      </c>
      <c r="E12" s="90" t="str">
        <f>IF(OR(Data!BA12="",$A$7="Brax Retail",$A$7="Brax Wholesale"),"",IF('Job Sheet'!BY12="","",'Job Sheet'!P12))</f>
        <v>Wavefold (Standard Fullness x 2)</v>
      </c>
      <c r="F12" s="90" t="str">
        <f>IF(E12="","",IF(OR('Job Sheet'!S12="Centre Opening (Offset Split)",'Job Sheet'!S12="Centre Opening - Free Flowing (Offset Split)"),CONCATENATE(VLOOKUP(J12,OneWay100,2,TRUE),L12," &amp; ",VLOOKUP(K12,OneWay100,2,TRUE),M12),CONCATENATE('Job Sheet'!BZ12,"+",VLOOKUP('Job Sheet'!X12,ReturnLookUp,3,FALSE))))</f>
        <v>2 x 28+0</v>
      </c>
      <c r="G12" s="93" t="str">
        <f>IF(E12="","",IF(OR('Job Sheet'!AA12="Black",'Job Sheet'!AA12="Black"),"Matt Black Ink","White"))</f>
        <v>White</v>
      </c>
      <c r="H12" s="93" t="str">
        <f>IF(E12="","",'Job Sheet'!BN12)</f>
        <v>Alteration to curtain drop</v>
      </c>
      <c r="J12" s="195" t="str">
        <f>IF(OR('Job Sheet'!S12="Centre Opening (Offset Split)",'Job Sheet'!S12="Centre Opening - Free Flowing (Offset Split)"),VALUE('Job Sheet'!T12+('Job Sheet'!CI12/2)),"")</f>
        <v/>
      </c>
      <c r="K12" s="195" t="str">
        <f>IF(OR('Job Sheet'!S12="Centre Opening (Offset Split)",'Job Sheet'!S12="Centre Opening - Free Flowing (Offset Split)"),VALUE('Job Sheet'!U12+('Job Sheet'!CI12/2)),"")</f>
        <v/>
      </c>
      <c r="L12" s="194" t="str">
        <f>IF(OR('Job Sheet'!X12="None",'Job Sheet'!X12="Left Only",'Job Sheet'!X12="Double Left",'Job Sheet'!X12="Both Sides",'Job Sheet'!X12="Double Both Sides"),CONCATENATE("+",VLOOKUP('Job Sheet'!X12,ReturnLookUp,3,FALSE)),"")</f>
        <v>+0</v>
      </c>
      <c r="M12" s="194" t="str">
        <f>IF(OR('Job Sheet'!X12="None",'Job Sheet'!X12="Right Only",'Job Sheet'!X12="Double Right",'Job Sheet'!X12="Both Sides",'Job Sheet'!X12="Double Both Sides"),CONCATENATE("+",VLOOKUP('Job Sheet'!X12,ReturnLookUp,3,FALSE)),"")</f>
        <v>+0</v>
      </c>
    </row>
    <row r="13" spans="1:13" s="54" customFormat="1" ht="270" customHeight="1">
      <c r="A13" s="91">
        <f>IF('Job Sheet'!Z13="No Rod","",IF('Job Sheet'!Z13="No Track","",Data!AW13))</f>
        <v>30</v>
      </c>
      <c r="B13" s="90" t="str">
        <f>IF(D13="","","Davidson's Blinds &amp; Shutters")</f>
        <v>Davidson's Blinds &amp; Shutters</v>
      </c>
      <c r="C13" s="90" t="str">
        <f>IF(E13="","",$E$3)</f>
        <v>Hare, Kaitlin</v>
      </c>
      <c r="D13" s="92" t="str">
        <f>IF(E13="","",'Job Sheet'!C13)</f>
        <v>Master Door ALTERATION</v>
      </c>
      <c r="E13" s="90" t="str">
        <f>IF(OR(Data!BA13="",$A$7="Brax Retail",$A$7="Brax Wholesale"),"",IF('Job Sheet'!BY13="","",'Job Sheet'!P13))</f>
        <v>Wavefold (Standard Fullness x 2)</v>
      </c>
      <c r="F13" s="90" t="str">
        <f>IF(E13="","",IF(OR('Job Sheet'!S13="Centre Opening (Offset Split)",'Job Sheet'!S13="Centre Opening - Free Flowing (Offset Split)"),CONCATENATE(VLOOKUP(J13,OneWay100,2,TRUE),L13," &amp; ",VLOOKUP(K13,OneWay100,2,TRUE),M13),CONCATENATE('Job Sheet'!BZ13,"+",VLOOKUP('Job Sheet'!X13,ReturnLookUp,3,FALSE))))</f>
        <v>2 x 36+0</v>
      </c>
      <c r="G13" s="93" t="str">
        <f>IF(E13="","",IF(OR('Job Sheet'!AA13="Black",'Job Sheet'!AA13="Black"),"Matt Black Ink","White"))</f>
        <v>White</v>
      </c>
      <c r="H13" s="93" t="str">
        <f>IF(E13="","",'Job Sheet'!BN13)</f>
        <v>Alteration to curtain drop</v>
      </c>
      <c r="J13" s="195" t="str">
        <f>IF(OR('Job Sheet'!S13="Centre Opening (Offset Split)",'Job Sheet'!S13="Centre Opening - Free Flowing (Offset Split)"),VALUE('Job Sheet'!T13+('Job Sheet'!CI13/2)),"")</f>
        <v/>
      </c>
      <c r="K13" s="195" t="str">
        <f>IF(OR('Job Sheet'!S13="Centre Opening (Offset Split)",'Job Sheet'!S13="Centre Opening - Free Flowing (Offset Split)"),VALUE('Job Sheet'!U13+('Job Sheet'!CI13/2)),"")</f>
        <v/>
      </c>
      <c r="L13" s="194" t="str">
        <f>IF(OR('Job Sheet'!X13="None",'Job Sheet'!X13="Left Only",'Job Sheet'!X13="Double Left",'Job Sheet'!X13="Both Sides",'Job Sheet'!X13="Double Both Sides"),CONCATENATE("+",VLOOKUP('Job Sheet'!X13,ReturnLookUp,3,FALSE)),"")</f>
        <v>+0</v>
      </c>
      <c r="M13" s="194" t="str">
        <f>IF(OR('Job Sheet'!X13="None",'Job Sheet'!X13="Right Only",'Job Sheet'!X13="Double Right",'Job Sheet'!X13="Both Sides",'Job Sheet'!X13="Double Both Sides"),CONCATENATE("+",VLOOKUP('Job Sheet'!X13,ReturnLookUp,3,FALSE)),"")</f>
        <v>+0</v>
      </c>
    </row>
    <row r="14" spans="1:13" s="54" customFormat="1" ht="270" customHeight="1">
      <c r="A14" s="91">
        <f>IF('Job Sheet'!Z14="No Rod","",IF('Job Sheet'!Z14="No Track","",Data!AW14))</f>
        <v>31</v>
      </c>
      <c r="B14" s="90" t="str">
        <f>IF(D14="","","Davidson's Blinds &amp; Shutters")</f>
        <v>Davidson's Blinds &amp; Shutters</v>
      </c>
      <c r="C14" s="90" t="str">
        <f>IF(E14="","",$E$3)</f>
        <v>Hare, Kaitlin</v>
      </c>
      <c r="D14" s="92" t="str">
        <f>IF(E14="","",'Job Sheet'!C14)</f>
        <v>Bed 2 ALTERATION</v>
      </c>
      <c r="E14" s="90" t="str">
        <f>IF(OR(Data!BA14="",$A$7="Brax Retail",$A$7="Brax Wholesale"),"",IF('Job Sheet'!BY14="","",'Job Sheet'!P14))</f>
        <v>Wavefold (Standard Fullness x 2)</v>
      </c>
      <c r="F14" s="90" t="str">
        <f>IF(E14="","",IF(OR('Job Sheet'!S14="Centre Opening (Offset Split)",'Job Sheet'!S14="Centre Opening - Free Flowing (Offset Split)"),CONCATENATE(VLOOKUP(J14,OneWay100,2,TRUE),L14," &amp; ",VLOOKUP(K14,OneWay100,2,TRUE),M14),CONCATENATE('Job Sheet'!BZ14,"+",VLOOKUP('Job Sheet'!X14,ReturnLookUp,3,FALSE))))</f>
        <v>66+0</v>
      </c>
      <c r="G14" s="93" t="str">
        <f>IF(E14="","",IF(OR('Job Sheet'!AA14="Black",'Job Sheet'!AA14="Black"),"Matt Black Ink","White"))</f>
        <v>White</v>
      </c>
      <c r="H14" s="93" t="str">
        <f>IF(E14="","",'Job Sheet'!BN14)</f>
        <v>Alteration to curtain drop</v>
      </c>
      <c r="J14" s="195" t="str">
        <f>IF(OR('Job Sheet'!S14="Centre Opening (Offset Split)",'Job Sheet'!S14="Centre Opening - Free Flowing (Offset Split)"),VALUE('Job Sheet'!T14+('Job Sheet'!CI14/2)),"")</f>
        <v/>
      </c>
      <c r="K14" s="195" t="str">
        <f>IF(OR('Job Sheet'!S14="Centre Opening (Offset Split)",'Job Sheet'!S14="Centre Opening - Free Flowing (Offset Split)"),VALUE('Job Sheet'!U14+('Job Sheet'!CI14/2)),"")</f>
        <v/>
      </c>
      <c r="L14" s="194" t="str">
        <f>IF(OR('Job Sheet'!X14="None",'Job Sheet'!X14="Left Only",'Job Sheet'!X14="Double Left",'Job Sheet'!X14="Both Sides",'Job Sheet'!X14="Double Both Sides"),CONCATENATE("+",VLOOKUP('Job Sheet'!X14,ReturnLookUp,3,FALSE)),"")</f>
        <v>+0</v>
      </c>
      <c r="M14" s="194" t="str">
        <f>IF(OR('Job Sheet'!X14="None",'Job Sheet'!X14="Right Only",'Job Sheet'!X14="Double Right",'Job Sheet'!X14="Both Sides",'Job Sheet'!X14="Double Both Sides"),CONCATENATE("+",VLOOKUP('Job Sheet'!X14,ReturnLookUp,3,FALSE)),"")</f>
        <v>+0</v>
      </c>
    </row>
    <row r="15" spans="1:13" s="54" customFormat="1" ht="270" customHeight="1">
      <c r="A15" s="91">
        <f>IF('Job Sheet'!Z15="No Rod","",IF('Job Sheet'!Z15="No Track","",Data!AW15))</f>
        <v>32</v>
      </c>
      <c r="B15" s="90" t="str">
        <f>IF(D15="","","Davidson's Blinds &amp; Shutters")</f>
        <v>Davidson's Blinds &amp; Shutters</v>
      </c>
      <c r="C15" s="90" t="str">
        <f>IF(E15="","",$E$3)</f>
        <v>Hare, Kaitlin</v>
      </c>
      <c r="D15" s="92" t="str">
        <f>IF(E15="","",'Job Sheet'!C15)</f>
        <v>Bed 3 ALTERATION</v>
      </c>
      <c r="E15" s="90" t="str">
        <f>IF(OR(Data!BA15="",$A$7="Brax Retail",$A$7="Brax Wholesale"),"",IF('Job Sheet'!BY15="","",'Job Sheet'!P15))</f>
        <v>Wavefold (Standard Fullness x 2)</v>
      </c>
      <c r="F15" s="90" t="str">
        <f>IF(E15="","",IF(OR('Job Sheet'!S15="Centre Opening (Offset Split)",'Job Sheet'!S15="Centre Opening - Free Flowing (Offset Split)"),CONCATENATE(VLOOKUP(J15,OneWay100,2,TRUE),L15," &amp; ",VLOOKUP(K15,OneWay100,2,TRUE),M15),CONCATENATE('Job Sheet'!BZ15,"+",VLOOKUP('Job Sheet'!X15,ReturnLookUp,3,FALSE))))</f>
        <v>64+0</v>
      </c>
      <c r="G15" s="93" t="str">
        <f>IF(E15="","",IF(OR('Job Sheet'!AA15="Black",'Job Sheet'!AA15="Black"),"Matt Black Ink","White"))</f>
        <v>White</v>
      </c>
      <c r="H15" s="93" t="str">
        <f>IF(E15="","",'Job Sheet'!BN15)</f>
        <v>Alteration to curtain drop</v>
      </c>
      <c r="J15" s="195" t="str">
        <f>IF(OR('Job Sheet'!S15="Centre Opening (Offset Split)",'Job Sheet'!S15="Centre Opening - Free Flowing (Offset Split)"),VALUE('Job Sheet'!T15+('Job Sheet'!CI15/2)),"")</f>
        <v/>
      </c>
      <c r="K15" s="195" t="str">
        <f>IF(OR('Job Sheet'!S15="Centre Opening (Offset Split)",'Job Sheet'!S15="Centre Opening - Free Flowing (Offset Split)"),VALUE('Job Sheet'!U15+('Job Sheet'!CI15/2)),"")</f>
        <v/>
      </c>
      <c r="L15" s="194" t="str">
        <f>IF(OR('Job Sheet'!X15="None",'Job Sheet'!X15="Left Only",'Job Sheet'!X15="Double Left",'Job Sheet'!X15="Both Sides",'Job Sheet'!X15="Double Both Sides"),CONCATENATE("+",VLOOKUP('Job Sheet'!X15,ReturnLookUp,3,FALSE)),"")</f>
        <v>+0</v>
      </c>
      <c r="M15" s="194" t="str">
        <f>IF(OR('Job Sheet'!X15="None",'Job Sheet'!X15="Right Only",'Job Sheet'!X15="Double Right",'Job Sheet'!X15="Both Sides",'Job Sheet'!X15="Double Both Sides"),CONCATENATE("+",VLOOKUP('Job Sheet'!X15,ReturnLookUp,3,FALSE)),"")</f>
        <v>+0</v>
      </c>
    </row>
    <row r="16" spans="1:13" s="54" customFormat="1" ht="270" customHeight="1">
      <c r="A16" s="91">
        <f>IF('Job Sheet'!Z16="No Rod","",IF('Job Sheet'!Z16="No Track","",Data!AW16))</f>
        <v>33</v>
      </c>
      <c r="B16" s="90" t="str">
        <f>IF(D16="","","Davidson's Blinds &amp; Shutters")</f>
        <v>Davidson's Blinds &amp; Shutters</v>
      </c>
      <c r="C16" s="90" t="str">
        <f>IF(E16="","",$E$3)</f>
        <v>Hare, Kaitlin</v>
      </c>
      <c r="D16" s="92" t="str">
        <f>IF(E16="","",'Job Sheet'!C16)</f>
        <v>Back Hallway (IN) ALTERATION</v>
      </c>
      <c r="E16" s="90" t="str">
        <f>IF(OR(Data!BA16="",$A$7="Brax Retail",$A$7="Brax Wholesale"),"",IF('Job Sheet'!BY16="","",'Job Sheet'!P16))</f>
        <v>Wavefold (Standard Fullness x 2)</v>
      </c>
      <c r="F16" s="90" t="str">
        <f>IF(E16="","",IF(OR('Job Sheet'!S16="Centre Opening (Offset Split)",'Job Sheet'!S16="Centre Opening - Free Flowing (Offset Split)"),CONCATENATE(VLOOKUP(J16,OneWay100,2,TRUE),L16," &amp; ",VLOOKUP(K16,OneWay100,2,TRUE),M16),CONCATENATE('Job Sheet'!BZ16,"+",VLOOKUP('Job Sheet'!X16,ReturnLookUp,3,FALSE))))</f>
        <v>2 x 28+0</v>
      </c>
      <c r="G16" s="93" t="str">
        <f>IF(E16="","",IF(OR('Job Sheet'!AA16="Black",'Job Sheet'!AA16="Black"),"Matt Black Ink","White"))</f>
        <v>White</v>
      </c>
      <c r="H16" s="93" t="str">
        <f>IF(E16="","",'Job Sheet'!BN16)</f>
        <v>Alteration to curtain drop</v>
      </c>
      <c r="J16" s="195" t="str">
        <f>IF(OR('Job Sheet'!S16="Centre Opening (Offset Split)",'Job Sheet'!S16="Centre Opening - Free Flowing (Offset Split)"),VALUE('Job Sheet'!T16+('Job Sheet'!CI16/2)),"")</f>
        <v/>
      </c>
      <c r="K16" s="195" t="str">
        <f>IF(OR('Job Sheet'!S16="Centre Opening (Offset Split)",'Job Sheet'!S16="Centre Opening - Free Flowing (Offset Split)"),VALUE('Job Sheet'!U16+('Job Sheet'!CI16/2)),"")</f>
        <v/>
      </c>
      <c r="L16" s="194" t="str">
        <f>IF(OR('Job Sheet'!X16="None",'Job Sheet'!X16="Left Only",'Job Sheet'!X16="Double Left",'Job Sheet'!X16="Both Sides",'Job Sheet'!X16="Double Both Sides"),CONCATENATE("+",VLOOKUP('Job Sheet'!X16,ReturnLookUp,3,FALSE)),"")</f>
        <v>+0</v>
      </c>
      <c r="M16" s="194" t="str">
        <f>IF(OR('Job Sheet'!X16="None",'Job Sheet'!X16="Right Only",'Job Sheet'!X16="Double Right",'Job Sheet'!X16="Both Sides",'Job Sheet'!X16="Double Both Sides"),CONCATENATE("+",VLOOKUP('Job Sheet'!X16,ReturnLookUp,3,FALSE)),"")</f>
        <v>+0</v>
      </c>
    </row>
    <row r="17" spans="1:13" s="54" customFormat="1" ht="270" customHeight="1">
      <c r="A17" s="91">
        <f>IF('Job Sheet'!Z17="No Rod","",IF('Job Sheet'!Z17="No Track","",Data!AW17))</f>
        <v>34</v>
      </c>
      <c r="B17" s="90" t="str">
        <f>IF(D17="","","Davidson's Blinds &amp; Shutters")</f>
        <v>Davidson's Blinds &amp; Shutters</v>
      </c>
      <c r="C17" s="90" t="str">
        <f>IF(E17="","",$E$3)</f>
        <v>Hare, Kaitlin</v>
      </c>
      <c r="D17" s="92" t="str">
        <f>IF(E17="","",'Job Sheet'!C17)</f>
        <v>Back Hallway (OUT) ALTERATION</v>
      </c>
      <c r="E17" s="90" t="str">
        <f>IF(OR(Data!BA17="",$A$7="Brax Retail",$A$7="Brax Wholesale"),"",IF('Job Sheet'!BY17="","",'Job Sheet'!P17))</f>
        <v>Wavefold (Standard Fullness x 2)</v>
      </c>
      <c r="F17" s="90" t="str">
        <f>IF(E17="","",IF(OR('Job Sheet'!S17="Centre Opening (Offset Split)",'Job Sheet'!S17="Centre Opening - Free Flowing (Offset Split)"),CONCATENATE(VLOOKUP(J17,OneWay100,2,TRUE),L17," &amp; ",VLOOKUP(K17,OneWay100,2,TRUE),M17),CONCATENATE('Job Sheet'!BZ17,"+",VLOOKUP('Job Sheet'!X17,ReturnLookUp,3,FALSE))))</f>
        <v>42+0</v>
      </c>
      <c r="G17" s="93" t="str">
        <f>IF(E17="","",IF(OR('Job Sheet'!AA17="Black",'Job Sheet'!AA17="Black"),"Matt Black Ink","White"))</f>
        <v>White</v>
      </c>
      <c r="H17" s="93" t="str">
        <f>IF(E17="","",'Job Sheet'!BN17)</f>
        <v>Alteration to curtain drop</v>
      </c>
      <c r="J17" s="195" t="str">
        <f>IF(OR('Job Sheet'!S17="Centre Opening (Offset Split)",'Job Sheet'!S17="Centre Opening - Free Flowing (Offset Split)"),VALUE('Job Sheet'!T17+('Job Sheet'!CI17/2)),"")</f>
        <v/>
      </c>
      <c r="K17" s="195" t="str">
        <f>IF(OR('Job Sheet'!S17="Centre Opening (Offset Split)",'Job Sheet'!S17="Centre Opening - Free Flowing (Offset Split)"),VALUE('Job Sheet'!U17+('Job Sheet'!CI17/2)),"")</f>
        <v/>
      </c>
      <c r="L17" s="194" t="str">
        <f>IF(OR('Job Sheet'!X17="None",'Job Sheet'!X17="Left Only",'Job Sheet'!X17="Double Left",'Job Sheet'!X17="Both Sides",'Job Sheet'!X17="Double Both Sides"),CONCATENATE("+",VLOOKUP('Job Sheet'!X17,ReturnLookUp,3,FALSE)),"")</f>
        <v>+0</v>
      </c>
      <c r="M17" s="194" t="str">
        <f>IF(OR('Job Sheet'!X17="None",'Job Sheet'!X17="Right Only",'Job Sheet'!X17="Double Right",'Job Sheet'!X17="Both Sides",'Job Sheet'!X17="Double Both Sides"),CONCATENATE("+",VLOOKUP('Job Sheet'!X17,ReturnLookUp,3,FALSE)),"")</f>
        <v>+0</v>
      </c>
    </row>
    <row r="18" spans="1:13" s="54" customFormat="1" ht="270" customHeight="1">
      <c r="A18" s="91">
        <f>IF('Job Sheet'!Z18="No Rod","",IF('Job Sheet'!Z18="No Track","",Data!AW18))</f>
        <v>35</v>
      </c>
      <c r="B18" s="90" t="str">
        <f>IF(D18="","","Davidson's Blinds &amp; Shutters")</f>
        <v>Davidson's Blinds &amp; Shutters</v>
      </c>
      <c r="C18" s="90" t="str">
        <f>IF(E18="","",$E$3)</f>
        <v>Hare, Kaitlin</v>
      </c>
      <c r="D18" s="92" t="str">
        <f>IF(E18="","",'Job Sheet'!C18)</f>
        <v>Kitchen Door (IN) REMAKE</v>
      </c>
      <c r="E18" s="90" t="str">
        <f>IF(OR(Data!BA18="",$A$7="Brax Retail",$A$7="Brax Wholesale"),"",IF('Job Sheet'!BY18="","",'Job Sheet'!P18))</f>
        <v>Wavefold (Standard Fullness x 2)</v>
      </c>
      <c r="F18" s="90" t="str">
        <f>IF(E18="","",IF(OR('Job Sheet'!S18="Centre Opening (Offset Split)",'Job Sheet'!S18="Centre Opening - Free Flowing (Offset Split)"),CONCATENATE(VLOOKUP(J18,OneWay100,2,TRUE),L18," &amp; ",VLOOKUP(K18,OneWay100,2,TRUE),M18),CONCATENATE('Job Sheet'!BZ18,"+",VLOOKUP('Job Sheet'!X18,ReturnLookUp,3,FALSE))))</f>
        <v>2 x 46+0</v>
      </c>
      <c r="G18" s="93" t="str">
        <f>IF(E18="","",IF(OR('Job Sheet'!AA18="Black",'Job Sheet'!AA18="Black"),"Matt Black Ink","White"))</f>
        <v>White</v>
      </c>
      <c r="H18" s="93" t="str">
        <f>IF(E18="","",'Job Sheet'!BN18)</f>
        <v/>
      </c>
      <c r="J18" s="195" t="str">
        <f>IF(OR('Job Sheet'!S18="Centre Opening (Offset Split)",'Job Sheet'!S18="Centre Opening - Free Flowing (Offset Split)"),VALUE('Job Sheet'!T18+('Job Sheet'!CI18/2)),"")</f>
        <v/>
      </c>
      <c r="K18" s="195" t="str">
        <f>IF(OR('Job Sheet'!S18="Centre Opening (Offset Split)",'Job Sheet'!S18="Centre Opening - Free Flowing (Offset Split)"),VALUE('Job Sheet'!U18+('Job Sheet'!CI18/2)),"")</f>
        <v/>
      </c>
      <c r="L18" s="194" t="str">
        <f>IF(OR('Job Sheet'!X18="None",'Job Sheet'!X18="Left Only",'Job Sheet'!X18="Double Left",'Job Sheet'!X18="Both Sides",'Job Sheet'!X18="Double Both Sides"),CONCATENATE("+",VLOOKUP('Job Sheet'!X18,ReturnLookUp,3,FALSE)),"")</f>
        <v>+0</v>
      </c>
      <c r="M18" s="194" t="str">
        <f>IF(OR('Job Sheet'!X18="None",'Job Sheet'!X18="Right Only",'Job Sheet'!X18="Double Right",'Job Sheet'!X18="Both Sides",'Job Sheet'!X18="Double Both Sides"),CONCATENATE("+",VLOOKUP('Job Sheet'!X18,ReturnLookUp,3,FALSE)),"")</f>
        <v>+0</v>
      </c>
    </row>
    <row r="19" spans="1:13" s="54" customFormat="1" ht="270" customHeight="1">
      <c r="A19" s="91">
        <f>IF('Job Sheet'!Z19="No Rod","",IF('Job Sheet'!Z19="No Track","",Data!AW19))</f>
        <v>36</v>
      </c>
      <c r="B19" s="90" t="str">
        <f>IF(D19="","","Davidson's Blinds &amp; Shutters")</f>
        <v>Davidson's Blinds &amp; Shutters</v>
      </c>
      <c r="C19" s="90" t="str">
        <f>IF(E19="","",$E$3)</f>
        <v>Hare, Kaitlin</v>
      </c>
      <c r="D19" s="92" t="str">
        <f>IF(E19="","",'Job Sheet'!C19)</f>
        <v>Second Lounge ALTERATION</v>
      </c>
      <c r="E19" s="90" t="str">
        <f>IF(OR(Data!BA19="",$A$7="Brax Retail",$A$7="Brax Wholesale"),"",IF('Job Sheet'!BY19="","",'Job Sheet'!P19))</f>
        <v>Wavefold (Standard Fullness x 2)</v>
      </c>
      <c r="F19" s="90" t="str">
        <f>IF(E19="","",IF(OR('Job Sheet'!S19="Centre Opening (Offset Split)",'Job Sheet'!S19="Centre Opening - Free Flowing (Offset Split)"),CONCATENATE(VLOOKUP(J19,OneWay100,2,TRUE),L19," &amp; ",VLOOKUP(K19,OneWay100,2,TRUE),M19),CONCATENATE('Job Sheet'!BZ19,"+",VLOOKUP('Job Sheet'!X19,ReturnLookUp,3,FALSE))))</f>
        <v>2 x 40+0</v>
      </c>
      <c r="G19" s="93" t="str">
        <f>IF(E19="","",IF(OR('Job Sheet'!AA19="Black",'Job Sheet'!AA19="Black"),"Matt Black Ink","White"))</f>
        <v>White</v>
      </c>
      <c r="H19" s="93" t="str">
        <f>IF(E19="","",'Job Sheet'!BN19)</f>
        <v>Alteration to curtain drop</v>
      </c>
      <c r="I19" s="54"/>
      <c r="J19" s="195" t="str">
        <f>IF(OR('Job Sheet'!S19="Centre Opening (Offset Split)",'Job Sheet'!S19="Centre Opening - Free Flowing (Offset Split)"),VALUE('Job Sheet'!T19+('Job Sheet'!CI19/2)),"")</f>
        <v/>
      </c>
      <c r="K19" s="195" t="str">
        <f>IF(OR('Job Sheet'!S19="Centre Opening (Offset Split)",'Job Sheet'!S19="Centre Opening - Free Flowing (Offset Split)"),VALUE('Job Sheet'!U19+('Job Sheet'!CI19/2)),"")</f>
        <v/>
      </c>
      <c r="L19" s="194" t="str">
        <f>IF(OR('Job Sheet'!X19="None",'Job Sheet'!X19="Left Only",'Job Sheet'!X19="Double Left",'Job Sheet'!X19="Both Sides",'Job Sheet'!X19="Double Both Sides"),CONCATENATE("+",VLOOKUP('Job Sheet'!X19,ReturnLookUp,3,FALSE)),"")</f>
        <v>+0</v>
      </c>
      <c r="M19" s="194" t="str">
        <f>IF(OR('Job Sheet'!X19="None",'Job Sheet'!X19="Right Only",'Job Sheet'!X19="Double Right",'Job Sheet'!X19="Both Sides",'Job Sheet'!X19="Double Both Sides"),CONCATENATE("+",VLOOKUP('Job Sheet'!X19,ReturnLookUp,3,FALSE)),"")</f>
        <v>+0</v>
      </c>
    </row>
    <row r="20" spans="1:13" s="54" customFormat="1" ht="273.75">
      <c r="A20" s="91">
        <f>IF('Job Sheet'!Z20="No Rod","",IF('Job Sheet'!Z20="No Track","",Data!AW20))</f>
        <v>37</v>
      </c>
      <c r="B20" s="90" t="str">
        <f>IF(D20="","","Davidson's Blinds &amp; Shutters")</f>
        <v>Davidson's Blinds &amp; Shutters</v>
      </c>
      <c r="C20" s="90" t="str">
        <f>IF(E20="","",$E$3)</f>
        <v>Hare, Kaitlin</v>
      </c>
      <c r="D20" s="92" t="str">
        <f>IF(E20="","",'Job Sheet'!C20)</f>
        <v>Front Lounge 1 ALTERATION</v>
      </c>
      <c r="E20" s="90" t="str">
        <f>IF(OR(Data!BA20="",$A$7="Brax Retail",$A$7="Brax Wholesale"),"",IF('Job Sheet'!BY20="","",'Job Sheet'!P20))</f>
        <v>Wavefold (Standard Fullness x 2)</v>
      </c>
      <c r="F20" s="90" t="str">
        <f>IF(E20="","",IF(OR('Job Sheet'!S20="Centre Opening (Offset Split)",'Job Sheet'!S20="Centre Opening - Free Flowing (Offset Split)"),CONCATENATE(VLOOKUP(J20,OneWay100,2,TRUE),L20," &amp; ",VLOOKUP(K20,OneWay100,2,TRUE),M20),CONCATENATE('Job Sheet'!BZ20,"+",VLOOKUP('Job Sheet'!X20,ReturnLookUp,3,FALSE))))</f>
        <v>2 x 50+0</v>
      </c>
      <c r="G20" s="93" t="str">
        <f>IF(E20="","",IF(OR('Job Sheet'!AA20="Black",'Job Sheet'!AA20="Black"),"Matt Black Ink","White"))</f>
        <v>White</v>
      </c>
      <c r="H20" s="93" t="str">
        <f>IF(E20="","",'Job Sheet'!BN20)</f>
        <v>Alteration to curtain drop and change curtain and track to CCO</v>
      </c>
      <c r="I20" s="371"/>
      <c r="J20" s="195" t="str">
        <f>IF(OR('Job Sheet'!S20="Centre Opening (Offset Split)",'Job Sheet'!S20="Centre Opening - Free Flowing (Offset Split)"),VALUE('Job Sheet'!T20+('Job Sheet'!CI20/2)),"")</f>
        <v/>
      </c>
      <c r="K20" s="195" t="str">
        <f>IF(OR('Job Sheet'!S20="Centre Opening (Offset Split)",'Job Sheet'!S20="Centre Opening - Free Flowing (Offset Split)"),VALUE('Job Sheet'!U20+('Job Sheet'!CI20/2)),"")</f>
        <v/>
      </c>
      <c r="L20" s="194" t="str">
        <f>IF(OR('Job Sheet'!X20="None",'Job Sheet'!X20="Left Only",'Job Sheet'!X20="Double Left",'Job Sheet'!X20="Both Sides",'Job Sheet'!X20="Double Both Sides"),CONCATENATE("+",VLOOKUP('Job Sheet'!X20,ReturnLookUp,3,FALSE)),"")</f>
        <v>+0</v>
      </c>
      <c r="M20" s="194" t="str">
        <f>IF(OR('Job Sheet'!X20="None",'Job Sheet'!X20="Right Only",'Job Sheet'!X20="Double Right",'Job Sheet'!X20="Both Sides",'Job Sheet'!X20="Double Both Sides"),CONCATENATE("+",VLOOKUP('Job Sheet'!X20,ReturnLookUp,3,FALSE)),"")</f>
        <v>+0</v>
      </c>
    </row>
    <row r="21" spans="1:13" s="54" customFormat="1" ht="270" customHeight="1">
      <c r="A21" s="91">
        <f>IF('Job Sheet'!Z21="No Rod","",IF('Job Sheet'!Z21="No Track","",Data!AW21))</f>
        <v>38</v>
      </c>
      <c r="B21" s="90" t="str">
        <f>IF(D21="","","Davidson's Blinds &amp; Shutters")</f>
        <v>Davidson's Blinds &amp; Shutters</v>
      </c>
      <c r="C21" s="90" t="str">
        <f>IF(E21="","",$E$3)</f>
        <v>Hare, Kaitlin</v>
      </c>
      <c r="D21" s="92" t="str">
        <f>IF(E21="","",'Job Sheet'!C21)</f>
        <v>Front Lounge 2 ALTERATION</v>
      </c>
      <c r="E21" s="90" t="str">
        <f>IF(OR(Data!BA21="",$A$7="Brax Retail",$A$7="Brax Wholesale"),"",IF('Job Sheet'!BY21="","",'Job Sheet'!P21))</f>
        <v>Wavefold (Standard Fullness x 2)</v>
      </c>
      <c r="F21" s="90" t="str">
        <f>IF(E21="","",IF(OR('Job Sheet'!S21="Centre Opening (Offset Split)",'Job Sheet'!S21="Centre Opening - Free Flowing (Offset Split)"),CONCATENATE(VLOOKUP(J21,OneWay100,2,TRUE),L21," &amp; ",VLOOKUP(K21,OneWay100,2,TRUE),M21),CONCATENATE('Job Sheet'!BZ21,"+",VLOOKUP('Job Sheet'!X21,ReturnLookUp,3,FALSE))))</f>
        <v>58+0</v>
      </c>
      <c r="G21" s="93" t="str">
        <f>IF(E21="","",IF(OR('Job Sheet'!AA21="Black",'Job Sheet'!AA21="Black"),"Matt Black Ink","White"))</f>
        <v>White</v>
      </c>
      <c r="H21" s="93" t="str">
        <f>IF(E21="","",'Job Sheet'!BN21)</f>
        <v>Alteration to curtain drop</v>
      </c>
      <c r="I21" s="371"/>
      <c r="J21" s="195" t="str">
        <f>IF(OR('Job Sheet'!S21="Centre Opening (Offset Split)",'Job Sheet'!S21="Centre Opening - Free Flowing (Offset Split)"),VALUE('Job Sheet'!T21+('Job Sheet'!CI21/2)),"")</f>
        <v/>
      </c>
      <c r="K21" s="195" t="str">
        <f>IF(OR('Job Sheet'!S21="Centre Opening (Offset Split)",'Job Sheet'!S21="Centre Opening - Free Flowing (Offset Split)"),VALUE('Job Sheet'!U21+('Job Sheet'!CI21/2)),"")</f>
        <v/>
      </c>
      <c r="L21" s="194" t="str">
        <f>IF(OR('Job Sheet'!X21="None",'Job Sheet'!X21="Left Only",'Job Sheet'!X21="Double Left",'Job Sheet'!X21="Both Sides",'Job Sheet'!X21="Double Both Sides"),CONCATENATE("+",VLOOKUP('Job Sheet'!X21,ReturnLookUp,3,FALSE)),"")</f>
        <v>+0</v>
      </c>
      <c r="M21" s="194" t="str">
        <f>IF(OR('Job Sheet'!X21="None",'Job Sheet'!X21="Right Only",'Job Sheet'!X21="Double Right",'Job Sheet'!X21="Both Sides",'Job Sheet'!X21="Double Both Sides"),CONCATENATE("+",VLOOKUP('Job Sheet'!X21,ReturnLookUp,3,FALSE)),"")</f>
        <v>+0</v>
      </c>
    </row>
    <row r="22" spans="1:13" s="54" customFormat="1" ht="270" customHeight="1">
      <c r="A22" s="91">
        <f>IF('Job Sheet'!Z22="No Rod","",IF('Job Sheet'!Z22="No Track","",Data!AW22))</f>
        <v>39</v>
      </c>
      <c r="B22" s="90" t="str">
        <f>IF(D22="","","Davidson's Blinds &amp; Shutters")</f>
        <v/>
      </c>
      <c r="C22" s="90" t="str">
        <f>IF(E22="","",$E$3)</f>
        <v/>
      </c>
      <c r="D22" s="92" t="str">
        <f>IF(E22="","",'Job Sheet'!C22)</f>
        <v/>
      </c>
      <c r="E22" s="90" t="str">
        <f>IF(OR(Data!BA22="",$A$7="Brax Retail",$A$7="Brax Wholesale"),"",IF('Job Sheet'!BY22="","",'Job Sheet'!P22))</f>
        <v/>
      </c>
      <c r="F22" s="90" t="str">
        <f>IF(E22="","",IF(OR('Job Sheet'!S22="Centre Opening (Offset Split)",'Job Sheet'!S22="Centre Opening - Free Flowing (Offset Split)"),CONCATENATE(VLOOKUP(J22,OneWay100,2,TRUE),L22," &amp; ",VLOOKUP(K22,OneWay100,2,TRUE),M22),CONCATENATE('Job Sheet'!BZ22,"+",VLOOKUP('Job Sheet'!X22,ReturnLookUp,3,FALSE))))</f>
        <v/>
      </c>
      <c r="G22" s="93" t="str">
        <f>IF(E22="","",IF(OR('Job Sheet'!AA22="Black",'Job Sheet'!AA22="Black"),"Matt Black Ink","White"))</f>
        <v/>
      </c>
      <c r="H22" s="93" t="str">
        <f>IF(E22="","",'Job Sheet'!BN22)</f>
        <v/>
      </c>
      <c r="I22" s="371"/>
      <c r="J22" s="195" t="str">
        <f>IF(OR('Job Sheet'!S22="Centre Opening (Offset Split)",'Job Sheet'!S22="Centre Opening - Free Flowing (Offset Split)"),VALUE('Job Sheet'!T22+('Job Sheet'!CI22/2)),"")</f>
        <v/>
      </c>
      <c r="K22" s="195" t="str">
        <f>IF(OR('Job Sheet'!S22="Centre Opening (Offset Split)",'Job Sheet'!S22="Centre Opening - Free Flowing (Offset Split)"),VALUE('Job Sheet'!U22+('Job Sheet'!CI22/2)),"")</f>
        <v/>
      </c>
      <c r="L22" s="194" t="str">
        <f>IF(OR('Job Sheet'!X22="None",'Job Sheet'!X22="Left Only",'Job Sheet'!X22="Double Left",'Job Sheet'!X22="Both Sides",'Job Sheet'!X22="Double Both Sides"),CONCATENATE("+",VLOOKUP('Job Sheet'!X22,ReturnLookUp,3,FALSE)),"")</f>
        <v>+0</v>
      </c>
      <c r="M22" s="194" t="str">
        <f>IF(OR('Job Sheet'!X22="None",'Job Sheet'!X22="Right Only",'Job Sheet'!X22="Double Right",'Job Sheet'!X22="Both Sides",'Job Sheet'!X22="Double Both Sides"),CONCATENATE("+",VLOOKUP('Job Sheet'!X22,ReturnLookUp,3,FALSE)),"")</f>
        <v>+0</v>
      </c>
    </row>
    <row r="23" spans="1:7" s="54" customFormat="1" ht="270" customHeight="1">
      <c r="A23" s="94"/>
      <c r="B23" s="94"/>
      <c r="C23" s="94"/>
      <c r="D23" s="94"/>
      <c r="E23" s="94"/>
      <c r="F23" s="94"/>
      <c r="G23" s="95"/>
    </row>
    <row r="24" spans="1:7" s="54" customFormat="1" ht="270" customHeight="1">
      <c r="A24" s="94"/>
      <c r="B24" s="94"/>
      <c r="C24" s="94"/>
      <c r="D24" s="94"/>
      <c r="E24" s="94"/>
      <c r="F24" s="94"/>
      <c r="G24" s="95"/>
    </row>
    <row r="25" spans="1:7" s="54" customFormat="1" ht="270" customHeight="1">
      <c r="A25" s="94"/>
      <c r="B25" s="94"/>
      <c r="C25" s="94"/>
      <c r="D25" s="94"/>
      <c r="E25" s="94"/>
      <c r="F25" s="94"/>
      <c r="G25" s="95"/>
    </row>
    <row r="26" spans="1:7" s="54" customFormat="1" ht="270" customHeight="1">
      <c r="A26" s="94"/>
      <c r="B26" s="94"/>
      <c r="C26" s="94"/>
      <c r="D26" s="94"/>
      <c r="E26" s="94"/>
      <c r="F26" s="94"/>
      <c r="G26" s="95"/>
    </row>
    <row r="27" spans="1:7" s="54" customFormat="1" ht="270" customHeight="1">
      <c r="A27" s="94"/>
      <c r="B27" s="94"/>
      <c r="C27" s="94"/>
      <c r="D27" s="94"/>
      <c r="E27" s="94"/>
      <c r="F27" s="94"/>
      <c r="G27" s="95"/>
    </row>
    <row r="28" spans="1:7" s="54" customFormat="1" ht="270" customHeight="1">
      <c r="A28" s="94"/>
      <c r="B28" s="94"/>
      <c r="C28" s="94"/>
      <c r="D28" s="94"/>
      <c r="E28" s="94"/>
      <c r="F28" s="94"/>
      <c r="G28" s="95"/>
    </row>
    <row r="29" spans="1:7" s="54" customFormat="1" ht="270" customHeight="1">
      <c r="A29" s="94"/>
      <c r="B29" s="94"/>
      <c r="C29" s="94"/>
      <c r="D29" s="94"/>
      <c r="E29" s="94"/>
      <c r="F29" s="94"/>
      <c r="G29" s="95"/>
    </row>
    <row r="30" spans="1:7" s="54" customFormat="1" ht="270" customHeight="1">
      <c r="A30" s="94"/>
      <c r="B30" s="94"/>
      <c r="C30" s="94"/>
      <c r="D30" s="94"/>
      <c r="E30" s="94"/>
      <c r="F30" s="94"/>
      <c r="G30" s="95"/>
    </row>
    <row r="31" spans="1:7" s="54" customFormat="1" ht="270" customHeight="1">
      <c r="A31" s="94"/>
      <c r="B31" s="94"/>
      <c r="C31" s="94"/>
      <c r="D31" s="94"/>
      <c r="E31" s="94"/>
      <c r="F31" s="94"/>
      <c r="G31" s="95"/>
    </row>
    <row r="32" spans="1:7" s="54" customFormat="1" ht="270" customHeight="1">
      <c r="A32" s="94"/>
      <c r="B32" s="94"/>
      <c r="C32" s="94"/>
      <c r="D32" s="94"/>
      <c r="E32" s="94"/>
      <c r="F32" s="94"/>
      <c r="G32" s="95"/>
    </row>
    <row r="33" spans="1:7" s="54" customFormat="1" ht="270" customHeight="1">
      <c r="A33" s="94"/>
      <c r="B33" s="94"/>
      <c r="C33" s="94"/>
      <c r="D33" s="94"/>
      <c r="E33" s="94"/>
      <c r="F33" s="94"/>
      <c r="G33" s="95"/>
    </row>
    <row r="34" spans="1:7" s="54" customFormat="1" ht="270" customHeight="1">
      <c r="A34" s="94"/>
      <c r="B34" s="94"/>
      <c r="C34" s="94"/>
      <c r="D34" s="94"/>
      <c r="E34" s="94"/>
      <c r="F34" s="94"/>
      <c r="G34" s="95"/>
    </row>
    <row r="35" spans="1:7" s="54" customFormat="1" ht="270" customHeight="1">
      <c r="A35" s="94"/>
      <c r="B35" s="94"/>
      <c r="C35" s="94"/>
      <c r="D35" s="94"/>
      <c r="E35" s="94"/>
      <c r="F35" s="94"/>
      <c r="G35" s="95"/>
    </row>
    <row r="36" spans="1:7" s="54" customFormat="1" ht="270" customHeight="1">
      <c r="A36" s="94"/>
      <c r="B36" s="94"/>
      <c r="C36" s="94"/>
      <c r="D36" s="94"/>
      <c r="E36" s="94"/>
      <c r="F36" s="94"/>
      <c r="G36" s="95"/>
    </row>
    <row r="37" spans="1:7" s="54" customFormat="1" ht="270" customHeight="1">
      <c r="A37" s="94"/>
      <c r="B37" s="94"/>
      <c r="C37" s="94"/>
      <c r="D37" s="94"/>
      <c r="E37" s="94"/>
      <c r="F37" s="94"/>
      <c r="G37" s="95"/>
    </row>
    <row r="38" spans="1:13" ht="270" customHeight="1">
      <c r="A38" s="60"/>
      <c r="B38" s="60"/>
      <c r="C38" s="60"/>
      <c r="D38" s="60"/>
      <c r="E38" s="60"/>
      <c r="F38" s="60"/>
      <c r="G38" s="54"/>
      <c r="H38" s="54"/>
      <c r="I38" s="54"/>
      <c r="J38" s="54"/>
      <c r="K38" s="54"/>
      <c r="L38" s="54"/>
      <c r="M38" s="54"/>
    </row>
    <row r="39" spans="1:13" ht="270" customHeight="1">
      <c r="A39" s="60"/>
      <c r="B39" s="60"/>
      <c r="C39" s="60"/>
      <c r="D39" s="60"/>
      <c r="E39" s="60"/>
      <c r="F39" s="60"/>
      <c r="G39" s="54"/>
      <c r="H39" s="54"/>
      <c r="I39" s="54"/>
      <c r="J39" s="54"/>
      <c r="K39" s="54"/>
      <c r="L39" s="54"/>
      <c r="M39" s="54"/>
    </row>
    <row r="40" spans="1:8" ht="270" customHeight="1">
      <c r="A40" s="60"/>
      <c r="B40" s="60"/>
      <c r="C40" s="60"/>
      <c r="D40" s="60"/>
      <c r="E40" s="60"/>
      <c r="F40" s="60"/>
      <c r="G40" s="54"/>
      <c r="H40" s="54"/>
    </row>
    <row r="41" spans="1:8" ht="270" customHeight="1">
      <c r="A41" s="60"/>
      <c r="B41" s="60"/>
      <c r="C41" s="60"/>
      <c r="D41" s="60"/>
      <c r="E41" s="60"/>
      <c r="F41" s="60"/>
      <c r="G41" s="54"/>
      <c r="H41" s="54"/>
    </row>
    <row r="42" spans="1:8" ht="270" customHeight="1">
      <c r="A42" s="60"/>
      <c r="B42" s="60"/>
      <c r="C42" s="60"/>
      <c r="D42" s="60"/>
      <c r="E42" s="60"/>
      <c r="F42" s="60"/>
      <c r="G42" s="54"/>
      <c r="H42" s="54"/>
    </row>
    <row r="43" spans="1:8" ht="270" customHeight="1">
      <c r="A43" s="60"/>
      <c r="B43" s="60"/>
      <c r="C43" s="60"/>
      <c r="D43" s="60"/>
      <c r="E43" s="60"/>
      <c r="F43" s="60"/>
      <c r="G43" s="54"/>
      <c r="H43" s="54"/>
    </row>
    <row r="44" spans="1:8" ht="270" customHeight="1">
      <c r="A44" s="60"/>
      <c r="B44" s="60"/>
      <c r="C44" s="60"/>
      <c r="D44" s="60"/>
      <c r="E44" s="60"/>
      <c r="F44" s="60"/>
      <c r="G44" s="54"/>
      <c r="H44" s="54"/>
    </row>
    <row r="45" spans="1:8" ht="270" customHeight="1">
      <c r="A45" s="60"/>
      <c r="B45" s="60"/>
      <c r="C45" s="60"/>
      <c r="D45" s="60"/>
      <c r="E45" s="60"/>
      <c r="F45" s="60"/>
      <c r="G45" s="54"/>
      <c r="H45" s="54"/>
    </row>
    <row r="46" spans="1:8" ht="270" customHeight="1">
      <c r="A46" s="60"/>
      <c r="B46" s="60"/>
      <c r="C46" s="60"/>
      <c r="D46" s="60"/>
      <c r="E46" s="60"/>
      <c r="F46" s="60"/>
      <c r="G46" s="54"/>
      <c r="H46" s="54"/>
    </row>
    <row r="47" spans="1:8" ht="270" customHeight="1">
      <c r="A47" s="60"/>
      <c r="B47" s="60"/>
      <c r="C47" s="60"/>
      <c r="D47" s="60"/>
      <c r="E47" s="60"/>
      <c r="F47" s="60"/>
      <c r="G47" s="54"/>
      <c r="H47" s="54"/>
    </row>
    <row r="48" spans="1:8" ht="270" customHeight="1">
      <c r="A48" s="60"/>
      <c r="B48" s="60"/>
      <c r="C48" s="60"/>
      <c r="D48" s="60"/>
      <c r="E48" s="60"/>
      <c r="F48" s="60"/>
      <c r="G48" s="54"/>
      <c r="H48" s="54"/>
    </row>
    <row r="49" spans="1:8" ht="270" customHeight="1">
      <c r="A49" s="60"/>
      <c r="B49" s="60"/>
      <c r="C49" s="60"/>
      <c r="D49" s="60"/>
      <c r="E49" s="60"/>
      <c r="F49" s="60"/>
      <c r="G49" s="54"/>
      <c r="H49" s="54"/>
    </row>
    <row r="50" spans="1:8" ht="270" customHeight="1">
      <c r="A50" s="60"/>
      <c r="B50" s="60"/>
      <c r="C50" s="60"/>
      <c r="D50" s="60"/>
      <c r="E50" s="60"/>
      <c r="F50" s="60"/>
      <c r="G50" s="54"/>
      <c r="H50" s="54"/>
    </row>
    <row r="51" spans="1:8" ht="270" customHeight="1">
      <c r="A51" s="60"/>
      <c r="B51" s="60"/>
      <c r="C51" s="60"/>
      <c r="D51" s="60"/>
      <c r="E51" s="60"/>
      <c r="F51" s="60"/>
      <c r="G51" s="54"/>
      <c r="H51" s="54"/>
    </row>
    <row r="52" spans="1:13" s="28" customFormat="1" ht="270" customHeight="1">
      <c r="A52" s="60"/>
      <c r="B52" s="60"/>
      <c r="C52" s="60"/>
      <c r="D52" s="60"/>
      <c r="E52" s="60"/>
      <c r="F52" s="60"/>
      <c r="G52" s="54"/>
      <c r="H52" s="54"/>
      <c r="I52"/>
      <c r="J52"/>
      <c r="K52"/>
      <c r="L52"/>
      <c r="M52"/>
    </row>
    <row r="53" spans="1:13" s="28" customFormat="1" ht="270" customHeight="1">
      <c r="A53" s="60"/>
      <c r="B53" s="60"/>
      <c r="C53" s="60"/>
      <c r="D53" s="60"/>
      <c r="E53" s="60"/>
      <c r="F53" s="60"/>
      <c r="G53" s="54"/>
      <c r="H53" s="54"/>
      <c r="I53"/>
      <c r="J53"/>
      <c r="K53"/>
      <c r="L53"/>
      <c r="M53"/>
    </row>
    <row r="54" spans="1:8" s="28" customFormat="1" ht="270" customHeight="1">
      <c r="A54" s="60"/>
      <c r="B54" s="60"/>
      <c r="C54" s="60"/>
      <c r="D54" s="60"/>
      <c r="E54" s="60"/>
      <c r="F54" s="60"/>
      <c r="G54" s="54"/>
      <c r="H54" s="54"/>
    </row>
    <row r="55" spans="1:8" s="28" customFormat="1" ht="270" customHeight="1">
      <c r="A55" s="60"/>
      <c r="B55" s="60"/>
      <c r="C55" s="60"/>
      <c r="D55" s="60"/>
      <c r="E55" s="60"/>
      <c r="F55" s="60"/>
      <c r="G55" s="54"/>
      <c r="H55" s="54"/>
    </row>
    <row r="56" spans="1:8" s="28" customFormat="1" ht="270" customHeight="1">
      <c r="A56" s="60"/>
      <c r="B56" s="60"/>
      <c r="C56" s="60"/>
      <c r="D56" s="60"/>
      <c r="E56" s="60"/>
      <c r="F56" s="60"/>
      <c r="G56" s="54"/>
      <c r="H56" s="54"/>
    </row>
    <row r="57" spans="1:8" s="28" customFormat="1" ht="270" customHeight="1">
      <c r="A57" s="60"/>
      <c r="B57" s="60"/>
      <c r="C57" s="60"/>
      <c r="D57" s="60"/>
      <c r="E57" s="60"/>
      <c r="F57" s="60"/>
      <c r="G57" s="54"/>
      <c r="H57" s="54"/>
    </row>
    <row r="58" spans="1:8" s="28" customFormat="1" ht="270" customHeight="1">
      <c r="A58" s="60"/>
      <c r="B58" s="60"/>
      <c r="C58" s="60"/>
      <c r="D58" s="60"/>
      <c r="E58" s="60"/>
      <c r="F58" s="60"/>
      <c r="G58" s="54"/>
      <c r="H58" s="54"/>
    </row>
    <row r="59" spans="1:8" s="28" customFormat="1" ht="270" customHeight="1">
      <c r="A59" s="60"/>
      <c r="B59" s="60"/>
      <c r="C59" s="60"/>
      <c r="D59" s="60"/>
      <c r="E59" s="60"/>
      <c r="F59" s="60"/>
      <c r="G59" s="54"/>
      <c r="H59" s="54"/>
    </row>
    <row r="60" spans="1:8" s="28" customFormat="1" ht="270" customHeight="1">
      <c r="A60" s="60"/>
      <c r="B60" s="60"/>
      <c r="C60" s="60"/>
      <c r="D60" s="60"/>
      <c r="E60" s="60"/>
      <c r="F60" s="60"/>
      <c r="G60" s="54"/>
      <c r="H60" s="54"/>
    </row>
    <row r="61" spans="1:8" s="28" customFormat="1" ht="270" customHeight="1">
      <c r="A61" s="60"/>
      <c r="B61" s="60"/>
      <c r="C61" s="60"/>
      <c r="D61" s="60"/>
      <c r="E61" s="60"/>
      <c r="F61" s="60"/>
      <c r="G61" s="54"/>
      <c r="H61" s="54"/>
    </row>
    <row r="62" spans="1:8" s="28" customFormat="1" ht="270" customHeight="1">
      <c r="A62" s="60"/>
      <c r="B62" s="60"/>
      <c r="C62" s="60"/>
      <c r="D62" s="60"/>
      <c r="E62" s="60"/>
      <c r="F62" s="60"/>
      <c r="G62" s="54"/>
      <c r="H62" s="54"/>
    </row>
    <row r="63" spans="1:8" s="28" customFormat="1" ht="270" customHeight="1">
      <c r="A63" s="60"/>
      <c r="B63" s="60"/>
      <c r="C63" s="60"/>
      <c r="D63" s="60"/>
      <c r="E63" s="60"/>
      <c r="F63" s="60"/>
      <c r="G63" s="54"/>
      <c r="H63" s="54"/>
    </row>
    <row r="64" spans="1:8" s="28" customFormat="1" ht="270" customHeight="1">
      <c r="A64" s="60"/>
      <c r="B64" s="60"/>
      <c r="C64" s="60"/>
      <c r="D64" s="60"/>
      <c r="E64" s="60"/>
      <c r="F64" s="60"/>
      <c r="G64" s="54"/>
      <c r="H64" s="54"/>
    </row>
    <row r="65" spans="1:8" s="28" customFormat="1" ht="270" customHeight="1">
      <c r="A65" s="60"/>
      <c r="B65" s="60"/>
      <c r="C65" s="60"/>
      <c r="D65" s="60"/>
      <c r="E65" s="60"/>
      <c r="F65" s="60"/>
      <c r="G65" s="54"/>
      <c r="H65" s="54"/>
    </row>
    <row r="66" spans="1:8" s="28" customFormat="1" ht="270" customHeight="1">
      <c r="A66" s="60"/>
      <c r="B66" s="60"/>
      <c r="C66" s="60"/>
      <c r="D66" s="60"/>
      <c r="E66" s="60"/>
      <c r="F66" s="60"/>
      <c r="G66" s="54"/>
      <c r="H66" s="54"/>
    </row>
    <row r="67" spans="1:8" s="28" customFormat="1" ht="270" customHeight="1">
      <c r="A67" s="60"/>
      <c r="B67" s="60"/>
      <c r="C67" s="60"/>
      <c r="D67" s="60"/>
      <c r="E67" s="60"/>
      <c r="F67" s="60"/>
      <c r="G67" s="54"/>
      <c r="H67" s="54"/>
    </row>
    <row r="68" spans="1:8" s="28" customFormat="1" ht="270" customHeight="1">
      <c r="A68" s="60"/>
      <c r="B68" s="60"/>
      <c r="C68" s="60"/>
      <c r="D68" s="60"/>
      <c r="E68" s="60"/>
      <c r="F68" s="60"/>
      <c r="G68" s="54"/>
      <c r="H68" s="54"/>
    </row>
    <row r="69" spans="1:8" s="28" customFormat="1" ht="270" customHeight="1">
      <c r="A69" s="60"/>
      <c r="B69" s="60"/>
      <c r="C69" s="60"/>
      <c r="D69" s="60"/>
      <c r="E69" s="60"/>
      <c r="F69" s="60"/>
      <c r="G69" s="54"/>
      <c r="H69" s="54"/>
    </row>
    <row r="70" spans="1:8" s="28" customFormat="1" ht="270" customHeight="1">
      <c r="A70" s="60"/>
      <c r="B70" s="60"/>
      <c r="C70" s="60"/>
      <c r="D70" s="60"/>
      <c r="E70" s="60"/>
      <c r="F70" s="60"/>
      <c r="G70" s="54"/>
      <c r="H70" s="54"/>
    </row>
    <row r="71" spans="1:8" s="28" customFormat="1" ht="270" customHeight="1">
      <c r="A71" s="60"/>
      <c r="B71" s="60"/>
      <c r="C71" s="60"/>
      <c r="D71" s="60"/>
      <c r="E71" s="60"/>
      <c r="F71" s="60"/>
      <c r="G71" s="54"/>
      <c r="H71" s="54"/>
    </row>
    <row r="72" spans="1:8" s="28" customFormat="1" ht="270" customHeight="1">
      <c r="A72" s="60"/>
      <c r="B72" s="60"/>
      <c r="C72" s="60"/>
      <c r="D72" s="60"/>
      <c r="E72" s="60"/>
      <c r="F72" s="60"/>
      <c r="G72" s="54"/>
      <c r="H72" s="54"/>
    </row>
    <row r="73" spans="1:8" s="28" customFormat="1" ht="270" customHeight="1">
      <c r="A73" s="60"/>
      <c r="B73" s="60"/>
      <c r="C73" s="60"/>
      <c r="D73" s="60"/>
      <c r="E73" s="60"/>
      <c r="F73" s="60"/>
      <c r="G73" s="54"/>
      <c r="H73" s="54"/>
    </row>
    <row r="74" spans="1:8" s="28" customFormat="1" ht="270" customHeight="1">
      <c r="A74" s="60"/>
      <c r="B74" s="60"/>
      <c r="C74" s="60"/>
      <c r="D74" s="60"/>
      <c r="E74" s="60"/>
      <c r="F74" s="60"/>
      <c r="G74" s="54"/>
      <c r="H74" s="54"/>
    </row>
    <row r="75" spans="1:8" s="28" customFormat="1" ht="270" customHeight="1">
      <c r="A75" s="60"/>
      <c r="B75" s="60"/>
      <c r="C75" s="60"/>
      <c r="D75" s="60"/>
      <c r="E75" s="60"/>
      <c r="F75" s="60"/>
      <c r="G75" s="54"/>
      <c r="H75"/>
    </row>
    <row r="76" spans="1:7" s="28" customFormat="1" ht="270" customHeight="1">
      <c r="A76"/>
      <c r="B76"/>
      <c r="C76"/>
      <c r="D76"/>
      <c r="E76"/>
      <c r="F76"/>
      <c r="G76"/>
    </row>
    <row r="77" spans="1:7" s="28" customFormat="1" ht="270" customHeight="1">
      <c r="A77"/>
      <c r="B77"/>
      <c r="C77"/>
      <c r="D77"/>
      <c r="E77"/>
      <c r="F77"/>
      <c r="G77"/>
    </row>
    <row r="78" spans="1:7" s="28" customFormat="1" ht="270" customHeight="1">
      <c r="A78"/>
      <c r="B78"/>
      <c r="C78"/>
      <c r="D78"/>
      <c r="E78"/>
      <c r="F78"/>
      <c r="G78"/>
    </row>
    <row r="79" spans="1:7" s="28" customFormat="1" ht="270" customHeight="1">
      <c r="A79"/>
      <c r="B79"/>
      <c r="C79"/>
      <c r="D79"/>
      <c r="E79"/>
      <c r="F79"/>
      <c r="G79"/>
    </row>
    <row r="80" spans="1:7" s="28" customFormat="1" ht="270" customHeight="1">
      <c r="A80"/>
      <c r="B80"/>
      <c r="C80"/>
      <c r="D80"/>
      <c r="E80"/>
      <c r="F80"/>
      <c r="G80"/>
    </row>
    <row r="81" spans="1:7" s="28" customFormat="1" ht="270" customHeight="1">
      <c r="A81"/>
      <c r="B81"/>
      <c r="C81"/>
      <c r="D81"/>
      <c r="E81"/>
      <c r="F81"/>
      <c r="G81"/>
    </row>
    <row r="82" spans="1:7" s="28" customFormat="1" ht="270" customHeight="1">
      <c r="A82"/>
      <c r="B82"/>
      <c r="C82"/>
      <c r="D82"/>
      <c r="E82"/>
      <c r="F82"/>
      <c r="G82"/>
    </row>
    <row r="83" spans="1:7" s="28" customFormat="1" ht="270" customHeight="1">
      <c r="A83"/>
      <c r="B83"/>
      <c r="C83"/>
      <c r="D83"/>
      <c r="E83"/>
      <c r="F83"/>
      <c r="G83"/>
    </row>
    <row r="84" spans="1:7" s="28" customFormat="1" ht="270" customHeight="1">
      <c r="A84"/>
      <c r="B84"/>
      <c r="C84"/>
      <c r="D84"/>
      <c r="E84"/>
      <c r="F84"/>
      <c r="G84"/>
    </row>
    <row r="85" spans="1:7" s="28" customFormat="1" ht="270" customHeight="1">
      <c r="A85"/>
      <c r="B85"/>
      <c r="C85"/>
      <c r="D85"/>
      <c r="E85"/>
      <c r="F85"/>
      <c r="G85"/>
    </row>
    <row r="86" spans="1:7" s="28" customFormat="1" ht="270" customHeight="1">
      <c r="A86"/>
      <c r="B86"/>
      <c r="C86"/>
      <c r="D86"/>
      <c r="E86"/>
      <c r="F86"/>
      <c r="G86"/>
    </row>
    <row r="87" spans="1:7" s="28" customFormat="1" ht="270" customHeight="1">
      <c r="A87"/>
      <c r="B87"/>
      <c r="C87"/>
      <c r="D87"/>
      <c r="E87"/>
      <c r="F87"/>
      <c r="G87"/>
    </row>
    <row r="88" spans="1:7" s="28" customFormat="1" ht="270" customHeight="1">
      <c r="A88"/>
      <c r="B88"/>
      <c r="C88"/>
      <c r="D88"/>
      <c r="E88"/>
      <c r="F88"/>
      <c r="G88"/>
    </row>
    <row r="89" spans="1:7" s="28" customFormat="1" ht="270" customHeight="1">
      <c r="A89"/>
      <c r="B89"/>
      <c r="C89"/>
      <c r="D89"/>
      <c r="E89"/>
      <c r="F89"/>
      <c r="G89"/>
    </row>
    <row r="90" s="28" customFormat="1" ht="270" customHeight="1"/>
    <row r="91" s="28" customFormat="1" ht="270" customHeight="1"/>
    <row r="92" s="28" customFormat="1" ht="270" customHeight="1"/>
    <row r="93" s="28" customFormat="1" ht="270" customHeight="1"/>
    <row r="94" s="28" customFormat="1" ht="270" customHeight="1"/>
    <row r="95" s="28" customFormat="1" ht="270" customHeight="1"/>
    <row r="96" s="28" customFormat="1" ht="270" customHeight="1"/>
    <row r="97" s="28" customFormat="1" ht="270" customHeight="1"/>
    <row r="98" s="28" customFormat="1" ht="270" customHeight="1"/>
    <row r="99" s="28" customFormat="1" ht="270" customHeight="1"/>
    <row r="100" s="28" customFormat="1" ht="270" customHeight="1"/>
    <row r="101" s="28" customFormat="1" ht="270" customHeight="1"/>
    <row r="102" s="28" customFormat="1" ht="270" customHeight="1"/>
    <row r="103" s="28" customFormat="1" ht="270" customHeight="1"/>
    <row r="104" s="28" customFormat="1" ht="270" customHeight="1"/>
    <row r="105" s="28" customFormat="1" ht="270" customHeight="1"/>
    <row r="106" s="28" customFormat="1" ht="270" customHeight="1"/>
    <row r="107" s="28" customFormat="1" ht="270" customHeight="1"/>
    <row r="108" s="28" customFormat="1" ht="270" customHeight="1"/>
    <row r="109" s="28" customFormat="1" ht="270" customHeight="1"/>
    <row r="110" s="28" customFormat="1" ht="270" customHeight="1"/>
    <row r="111" s="28" customFormat="1" ht="270" customHeight="1"/>
    <row r="112" s="28" customFormat="1" ht="270" customHeight="1"/>
    <row r="113" s="28" customFormat="1" ht="270" customHeight="1"/>
    <row r="114" s="28" customFormat="1" ht="270" customHeight="1"/>
    <row r="115" s="28" customFormat="1" ht="270" customHeight="1"/>
    <row r="116" s="28" customFormat="1" ht="270" customHeight="1"/>
    <row r="117" s="28" customFormat="1" ht="270" customHeight="1"/>
    <row r="118" s="28" customFormat="1" ht="270" customHeight="1"/>
    <row r="119" s="28" customFormat="1" ht="270" customHeight="1"/>
    <row r="120" s="28" customFormat="1" ht="270" customHeight="1"/>
    <row r="121" s="28" customFormat="1" ht="270" customHeight="1"/>
    <row r="122" s="28" customFormat="1" ht="270" customHeight="1"/>
    <row r="123" s="28" customFormat="1" ht="270" customHeight="1"/>
    <row r="124" s="28" customFormat="1" ht="270" customHeight="1"/>
    <row r="125" s="28" customFormat="1" ht="270" customHeight="1"/>
    <row r="126" s="28" customFormat="1" ht="270" customHeight="1"/>
    <row r="127" s="28" customFormat="1" ht="270" customHeight="1"/>
    <row r="128" s="28" customFormat="1" ht="270" customHeight="1"/>
    <row r="129" s="28" customFormat="1" ht="270" customHeight="1"/>
    <row r="130" s="28" customFormat="1" ht="270" customHeight="1"/>
    <row r="131" s="28" customFormat="1" ht="270" customHeight="1"/>
    <row r="132" s="28" customFormat="1" ht="270" customHeight="1"/>
    <row r="133" s="28" customFormat="1" ht="270" customHeight="1"/>
    <row r="134" s="28" customFormat="1" ht="270" customHeight="1"/>
    <row r="135" s="28" customFormat="1" ht="270" customHeight="1"/>
    <row r="136" s="28" customFormat="1" ht="270" customHeight="1"/>
    <row r="137" s="28" customFormat="1" ht="270" customHeight="1"/>
    <row r="138" s="28" customFormat="1" ht="270" customHeight="1"/>
    <row r="139" s="28" customFormat="1" ht="270" customHeight="1"/>
    <row r="140" s="28" customFormat="1" ht="270" customHeight="1"/>
    <row r="141" s="28" customFormat="1" ht="270" customHeight="1"/>
    <row r="142" s="28" customFormat="1" ht="270" customHeight="1"/>
    <row r="143" s="28" customFormat="1" ht="270" customHeight="1"/>
    <row r="144" s="28" customFormat="1" ht="270" customHeight="1"/>
    <row r="145" s="28" customFormat="1" ht="270" customHeight="1"/>
    <row r="146" s="28" customFormat="1" ht="270" customHeight="1"/>
    <row r="147" s="28" customFormat="1" ht="270" customHeight="1"/>
    <row r="148" s="28" customFormat="1" ht="270" customHeight="1"/>
    <row r="149" s="28" customFormat="1" ht="270" customHeight="1"/>
    <row r="150" s="28" customFormat="1" ht="270" customHeight="1"/>
    <row r="151" s="28" customFormat="1" ht="270" customHeight="1"/>
    <row r="152" s="28" customFormat="1" ht="270" customHeight="1"/>
    <row r="153" s="28" customFormat="1" ht="270" customHeight="1"/>
    <row r="154" s="28" customFormat="1" ht="270" customHeight="1"/>
    <row r="155" s="28" customFormat="1" ht="270" customHeight="1"/>
    <row r="156" s="28" customFormat="1" ht="270" customHeight="1"/>
    <row r="157" s="28" customFormat="1" ht="270" customHeight="1"/>
    <row r="158" s="28" customFormat="1" ht="270" customHeight="1"/>
    <row r="159" s="28" customFormat="1" ht="270" customHeight="1"/>
    <row r="160" s="28" customFormat="1" ht="270" customHeight="1"/>
    <row r="161" s="28" customFormat="1" ht="270" customHeight="1"/>
    <row r="162" s="28" customFormat="1" ht="270" customHeight="1"/>
    <row r="163" s="28" customFormat="1" ht="270" customHeight="1"/>
    <row r="164" s="28" customFormat="1" ht="270" customHeight="1"/>
    <row r="165" s="28" customFormat="1" ht="270" customHeight="1"/>
    <row r="166" s="28" customFormat="1" ht="270" customHeight="1"/>
    <row r="167" s="28" customFormat="1" ht="270" customHeight="1"/>
    <row r="168" s="28" customFormat="1" ht="270" customHeight="1"/>
    <row r="169" s="28" customFormat="1" ht="270" customHeight="1"/>
    <row r="170" s="28" customFormat="1" ht="270" customHeight="1"/>
    <row r="171" s="28" customFormat="1" ht="270" customHeight="1"/>
    <row r="172" s="28" customFormat="1" ht="270" customHeight="1"/>
    <row r="173" s="28" customFormat="1" ht="270" customHeight="1"/>
    <row r="174" s="28" customFormat="1" ht="270" customHeight="1"/>
    <row r="175" s="28" customFormat="1" ht="270" customHeight="1"/>
    <row r="176" s="28" customFormat="1" ht="270" customHeight="1"/>
    <row r="177" s="28" customFormat="1" ht="270" customHeight="1"/>
    <row r="178" s="28" customFormat="1" ht="270" customHeight="1"/>
    <row r="179" s="28" customFormat="1" ht="270" customHeight="1"/>
    <row r="180" s="28" customFormat="1" ht="270" customHeight="1"/>
    <row r="181" s="28" customFormat="1" ht="270" customHeight="1"/>
    <row r="182" s="28" customFormat="1" ht="270" customHeight="1"/>
    <row r="183" s="28" customFormat="1" ht="270" customHeight="1"/>
    <row r="184" s="28" customFormat="1" ht="270" customHeight="1"/>
    <row r="185" s="28" customFormat="1" ht="270" customHeight="1"/>
    <row r="186" s="28" customFormat="1" ht="270" customHeight="1"/>
    <row r="187" s="28" customFormat="1" ht="270" customHeight="1"/>
    <row r="188" s="28" customFormat="1" ht="270" customHeight="1"/>
    <row r="189" s="28" customFormat="1" ht="270" customHeight="1"/>
    <row r="190" s="28" customFormat="1" ht="270" customHeight="1"/>
    <row r="191" s="28" customFormat="1" ht="270" customHeight="1"/>
    <row r="192" s="28" customFormat="1" ht="270" customHeight="1"/>
    <row r="193" s="28" customFormat="1" ht="270" customHeight="1"/>
    <row r="194" s="28" customFormat="1" ht="270" customHeight="1"/>
    <row r="195" s="28" customFormat="1" ht="270" customHeight="1"/>
    <row r="196" s="28" customFormat="1" ht="270" customHeight="1"/>
    <row r="197" s="28" customFormat="1" ht="270" customHeight="1"/>
    <row r="198" s="28" customFormat="1" ht="270" customHeight="1"/>
    <row r="199" s="28" customFormat="1" ht="270" customHeight="1"/>
    <row r="200" s="28" customFormat="1" ht="270" customHeight="1"/>
    <row r="201" s="28" customFormat="1" ht="270" customHeight="1"/>
    <row r="202" s="28" customFormat="1" ht="270" customHeight="1"/>
    <row r="203" s="28" customFormat="1" ht="270" customHeight="1"/>
    <row r="204" s="28" customFormat="1" ht="270" customHeight="1"/>
    <row r="205" s="28" customFormat="1" ht="270" customHeight="1"/>
    <row r="206" s="28" customFormat="1" ht="270" customHeight="1"/>
    <row r="207" s="28" customFormat="1" ht="270" customHeight="1"/>
    <row r="208" s="28" customFormat="1" ht="270" customHeight="1"/>
    <row r="209" s="28" customFormat="1" ht="270" customHeight="1"/>
    <row r="210" s="28" customFormat="1" ht="270" customHeight="1"/>
    <row r="211" s="28" customFormat="1" ht="270" customHeight="1"/>
    <row r="212" s="28" customFormat="1" ht="270" customHeight="1"/>
    <row r="213" s="28" customFormat="1" ht="270" customHeight="1"/>
    <row r="214" s="28" customFormat="1" ht="270" customHeight="1"/>
    <row r="215" s="28" customFormat="1" ht="270" customHeight="1"/>
    <row r="216" s="28" customFormat="1" ht="270" customHeight="1"/>
    <row r="217" s="28" customFormat="1" ht="270" customHeight="1"/>
    <row r="218" s="28" customFormat="1" ht="270" customHeight="1"/>
    <row r="219" s="28" customFormat="1" ht="270" customHeight="1"/>
    <row r="220" s="28" customFormat="1" ht="270" customHeight="1"/>
    <row r="221" s="28" customFormat="1" ht="270" customHeight="1"/>
    <row r="222" s="28" customFormat="1" ht="270" customHeight="1"/>
    <row r="223" s="28" customFormat="1" ht="270" customHeight="1"/>
    <row r="224" s="28" customFormat="1" ht="270" customHeight="1"/>
    <row r="225" s="28" customFormat="1" ht="270" customHeight="1"/>
    <row r="226" s="28" customFormat="1" ht="270" customHeight="1"/>
    <row r="227" s="28" customFormat="1" ht="270" customHeight="1"/>
    <row r="228" s="28" customFormat="1" ht="270" customHeight="1"/>
    <row r="229" s="28" customFormat="1" ht="270" customHeight="1"/>
    <row r="230" s="28" customFormat="1" ht="270" customHeight="1"/>
    <row r="231" s="28" customFormat="1" ht="270" customHeight="1"/>
    <row r="232" s="28" customFormat="1" ht="270" customHeight="1"/>
    <row r="233" s="28" customFormat="1" ht="270" customHeight="1"/>
    <row r="234" s="28" customFormat="1" ht="270" customHeight="1"/>
    <row r="235" s="28" customFormat="1" ht="270" customHeight="1"/>
    <row r="236" s="28" customFormat="1" ht="270" customHeight="1"/>
    <row r="237" s="28" customFormat="1" ht="270" customHeight="1"/>
    <row r="238" s="28" customFormat="1" ht="270" customHeight="1"/>
    <row r="239" s="28" customFormat="1" ht="270" customHeight="1"/>
    <row r="240" s="28" customFormat="1" ht="270" customHeight="1"/>
    <row r="241" s="28" customFormat="1" ht="270" customHeight="1"/>
    <row r="242" s="28" customFormat="1" ht="270" customHeight="1"/>
    <row r="243" s="28" customFormat="1" ht="270" customHeight="1"/>
    <row r="244" s="28" customFormat="1" ht="270" customHeight="1"/>
    <row r="245" s="28" customFormat="1" ht="270" customHeight="1"/>
    <row r="246" s="28" customFormat="1" ht="270" customHeight="1"/>
    <row r="247" s="28" customFormat="1" ht="270" customHeight="1"/>
    <row r="248" s="28" customFormat="1" ht="270" customHeight="1"/>
    <row r="249" s="28" customFormat="1" ht="270" customHeight="1"/>
    <row r="250" s="28" customFormat="1" ht="270" customHeight="1"/>
    <row r="251" s="28" customFormat="1" ht="270" customHeight="1"/>
    <row r="252" s="28" customFormat="1" ht="270" customHeight="1"/>
    <row r="253" s="28" customFormat="1" ht="270" customHeight="1"/>
    <row r="254" s="28" customFormat="1" ht="270" customHeight="1"/>
    <row r="255" s="28" customFormat="1" ht="270" customHeight="1"/>
    <row r="256" s="28" customFormat="1" ht="270" customHeight="1"/>
    <row r="257" s="28" customFormat="1" ht="270" customHeight="1"/>
    <row r="258" s="28" customFormat="1" ht="270" customHeight="1"/>
    <row r="259" s="28" customFormat="1" ht="270" customHeight="1"/>
    <row r="260" s="28" customFormat="1" ht="270" customHeight="1"/>
    <row r="261" s="28" customFormat="1" ht="270" customHeight="1"/>
    <row r="262" s="28" customFormat="1" ht="270" customHeight="1"/>
    <row r="263" s="28" customFormat="1" ht="270" customHeight="1"/>
    <row r="264" s="28" customFormat="1" ht="270" customHeight="1"/>
    <row r="265" s="28" customFormat="1" ht="270" customHeight="1"/>
    <row r="266" s="28" customFormat="1" ht="270" customHeight="1"/>
    <row r="267" s="28" customFormat="1" ht="270" customHeight="1"/>
    <row r="268" s="28" customFormat="1" ht="270" customHeight="1"/>
    <row r="269" s="28" customFormat="1" ht="270" customHeight="1"/>
    <row r="270" s="28" customFormat="1" ht="270" customHeight="1"/>
    <row r="271" s="28" customFormat="1" ht="270" customHeight="1"/>
    <row r="272" s="28" customFormat="1" ht="270" customHeight="1"/>
    <row r="273" s="28" customFormat="1" ht="270" customHeight="1"/>
    <row r="274" s="28" customFormat="1" ht="270" customHeight="1"/>
    <row r="275" s="28" customFormat="1" ht="270" customHeight="1"/>
    <row r="276" s="28" customFormat="1" ht="270" customHeight="1"/>
    <row r="277" s="28" customFormat="1" ht="270" customHeight="1"/>
    <row r="278" s="28" customFormat="1" ht="270" customHeight="1"/>
    <row r="279" s="28" customFormat="1" ht="270" customHeight="1"/>
    <row r="280" s="28" customFormat="1" ht="270" customHeight="1"/>
    <row r="281" s="28" customFormat="1" ht="270" customHeight="1"/>
    <row r="282" s="28" customFormat="1" ht="270" customHeight="1"/>
    <row r="283" s="28" customFormat="1" ht="270" customHeight="1"/>
    <row r="284" s="28" customFormat="1" ht="270" customHeight="1"/>
    <row r="285" s="28" customFormat="1" ht="270" customHeight="1"/>
    <row r="286" s="28" customFormat="1" ht="270" customHeight="1"/>
    <row r="287" s="28" customFormat="1" ht="270" customHeight="1"/>
    <row r="288" s="28" customFormat="1" ht="270" customHeight="1"/>
    <row r="289" s="28" customFormat="1" ht="270" customHeight="1"/>
    <row r="290" s="28" customFormat="1" ht="270" customHeight="1"/>
    <row r="291" s="28" customFormat="1" ht="270" customHeight="1"/>
    <row r="292" s="28" customFormat="1" ht="270" customHeight="1"/>
    <row r="293" s="28" customFormat="1" ht="270" customHeight="1"/>
    <row r="294" s="28" customFormat="1" ht="270" customHeight="1"/>
    <row r="295" s="28" customFormat="1" ht="270" customHeight="1"/>
    <row r="296" s="28" customFormat="1" ht="270" customHeight="1"/>
    <row r="297" s="28" customFormat="1" ht="270" customHeight="1"/>
    <row r="298" s="28" customFormat="1" ht="270" customHeight="1"/>
    <row r="299" s="28" customFormat="1" ht="270" customHeight="1"/>
    <row r="300" s="28" customFormat="1" ht="270" customHeight="1"/>
    <row r="301" s="28" customFormat="1" ht="270" customHeight="1"/>
    <row r="302" s="28" customFormat="1" ht="270" customHeight="1"/>
    <row r="303" s="28" customFormat="1" ht="270" customHeight="1"/>
    <row r="304" s="28" customFormat="1" ht="270" customHeight="1"/>
    <row r="305" s="28" customFormat="1" ht="270" customHeight="1"/>
    <row r="306" s="28" customFormat="1" ht="270" customHeight="1"/>
    <row r="307" s="28" customFormat="1" ht="270" customHeight="1"/>
    <row r="308" s="28" customFormat="1" ht="270" customHeight="1"/>
    <row r="309" s="28" customFormat="1" ht="270" customHeight="1"/>
    <row r="310" s="28" customFormat="1" ht="270" customHeight="1"/>
    <row r="311" s="28" customFormat="1" ht="270" customHeight="1"/>
    <row r="312" s="28" customFormat="1" ht="270" customHeight="1"/>
    <row r="313" s="28" customFormat="1" ht="270" customHeight="1"/>
    <row r="314" s="28" customFormat="1" ht="270" customHeight="1"/>
    <row r="315" s="28" customFormat="1" ht="270" customHeight="1"/>
    <row r="316" s="28" customFormat="1" ht="270" customHeight="1"/>
    <row r="317" s="28" customFormat="1" ht="270" customHeight="1"/>
    <row r="318" s="28" customFormat="1" ht="270" customHeight="1"/>
    <row r="319" s="28" customFormat="1" ht="270" customHeight="1"/>
    <row r="320" s="28" customFormat="1" ht="270" customHeight="1"/>
    <row r="321" s="28" customFormat="1" ht="270" customHeight="1"/>
    <row r="322" s="28" customFormat="1" ht="270" customHeight="1"/>
    <row r="323" s="28" customFormat="1" ht="270" customHeight="1"/>
    <row r="324" s="28" customFormat="1" ht="270" customHeight="1"/>
    <row r="325" s="28" customFormat="1" ht="270" customHeight="1"/>
    <row r="326" s="28" customFormat="1" ht="270" customHeight="1"/>
    <row r="327" s="28" customFormat="1" ht="270" customHeight="1"/>
    <row r="328" s="28" customFormat="1" ht="270" customHeight="1"/>
    <row r="329" s="28" customFormat="1" ht="270" customHeight="1"/>
    <row r="330" s="28" customFormat="1" ht="270" customHeight="1"/>
    <row r="331" s="28" customFormat="1" ht="270" customHeight="1"/>
    <row r="332" s="28" customFormat="1" ht="270" customHeight="1"/>
    <row r="333" s="28" customFormat="1" ht="270" customHeight="1"/>
    <row r="334" s="28" customFormat="1" ht="270" customHeight="1"/>
    <row r="335" s="28" customFormat="1" ht="270" customHeight="1"/>
    <row r="336" s="28" customFormat="1" ht="270" customHeight="1"/>
    <row r="337" s="28" customFormat="1" ht="270" customHeight="1"/>
    <row r="338" s="28" customFormat="1" ht="270" customHeight="1"/>
    <row r="339" s="28" customFormat="1" ht="270" customHeight="1"/>
    <row r="340" s="28" customFormat="1" ht="270" customHeight="1"/>
    <row r="341" s="28" customFormat="1" ht="270" customHeight="1"/>
    <row r="342" s="28" customFormat="1" ht="270" customHeight="1"/>
    <row r="343" s="28" customFormat="1" ht="270" customHeight="1"/>
    <row r="344" s="28" customFormat="1" ht="270" customHeight="1"/>
    <row r="345" s="28" customFormat="1" ht="270" customHeight="1"/>
    <row r="346" s="28" customFormat="1" ht="270" customHeight="1"/>
    <row r="347" s="28" customFormat="1" ht="270" customHeight="1"/>
    <row r="348" s="28" customFormat="1" ht="270" customHeight="1"/>
    <row r="349" s="28" customFormat="1" ht="270" customHeight="1"/>
    <row r="350" s="28" customFormat="1" ht="270" customHeight="1"/>
    <row r="351" s="28" customFormat="1" ht="270" customHeight="1"/>
    <row r="352" s="28" customFormat="1" ht="270" customHeight="1"/>
    <row r="353" s="28" customFormat="1" ht="270" customHeight="1"/>
    <row r="354" s="28" customFormat="1" ht="270" customHeight="1"/>
    <row r="355" s="28" customFormat="1" ht="270" customHeight="1"/>
    <row r="356" s="28" customFormat="1" ht="270" customHeight="1"/>
    <row r="357" spans="1:13" ht="270" customHeight="1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</row>
    <row r="358" spans="1:13" ht="270" customHeight="1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</row>
    <row r="359" spans="7:8" ht="270" customHeight="1">
      <c r="G359" s="28"/>
      <c r="H359" s="28"/>
    </row>
    <row r="360" spans="7:8" ht="270" customHeight="1">
      <c r="G360" s="28"/>
      <c r="H360" s="28"/>
    </row>
    <row r="361" spans="7:8" ht="270" customHeight="1">
      <c r="G361" s="28"/>
      <c r="H361" s="28"/>
    </row>
    <row r="362" spans="7:8" ht="270" customHeight="1">
      <c r="G362" s="28"/>
      <c r="H362" s="28"/>
    </row>
    <row r="363" spans="7:8" ht="270" customHeight="1">
      <c r="G363" s="28"/>
      <c r="H363" s="28"/>
    </row>
    <row r="364" spans="7:8" ht="270" customHeight="1">
      <c r="G364" s="28"/>
      <c r="H364" s="28"/>
    </row>
    <row r="365" spans="7:8" ht="270" customHeight="1">
      <c r="G365" s="28"/>
      <c r="H365" s="28"/>
    </row>
    <row r="366" spans="7:8" ht="270" customHeight="1">
      <c r="G366" s="28"/>
      <c r="H366" s="28"/>
    </row>
    <row r="367" spans="7:8" ht="270" customHeight="1">
      <c r="G367" s="28"/>
      <c r="H367" s="28"/>
    </row>
    <row r="368" spans="7:8" ht="270" customHeight="1">
      <c r="G368" s="28"/>
      <c r="H368" s="28"/>
    </row>
    <row r="369" spans="7:8" ht="270" customHeight="1">
      <c r="G369" s="28"/>
      <c r="H369" s="28"/>
    </row>
    <row r="370" spans="7:8" ht="270" customHeight="1">
      <c r="G370" s="28"/>
      <c r="H370" s="28"/>
    </row>
    <row r="371" spans="7:8" ht="270" customHeight="1">
      <c r="G371" s="28"/>
      <c r="H371" s="28"/>
    </row>
    <row r="372" spans="7:8" ht="270" customHeight="1">
      <c r="G372" s="28"/>
      <c r="H372" s="28"/>
    </row>
    <row r="373" spans="7:8" ht="270" customHeight="1">
      <c r="G373" s="28"/>
      <c r="H373" s="28"/>
    </row>
    <row r="374" spans="7:8" ht="270" customHeight="1">
      <c r="G374" s="28"/>
      <c r="H374" s="28"/>
    </row>
    <row r="375" spans="7:8" ht="270" customHeight="1">
      <c r="G375" s="28"/>
      <c r="H375" s="28"/>
    </row>
    <row r="376" spans="7:8" ht="270" customHeight="1">
      <c r="G376" s="28"/>
      <c r="H376" s="28"/>
    </row>
    <row r="377" spans="7:8" ht="270" customHeight="1">
      <c r="G377" s="28"/>
      <c r="H377" s="28"/>
    </row>
    <row r="378" spans="7:8" ht="270" customHeight="1">
      <c r="G378" s="28"/>
      <c r="H378" s="28"/>
    </row>
    <row r="379" spans="7:8" ht="270" customHeight="1">
      <c r="G379" s="28"/>
      <c r="H379" s="28"/>
    </row>
    <row r="380" spans="7:8" ht="270" customHeight="1">
      <c r="G380" s="28"/>
      <c r="H380" s="28"/>
    </row>
    <row r="381" spans="7:8" ht="270" customHeight="1">
      <c r="G381" s="28"/>
      <c r="H381" s="28"/>
    </row>
    <row r="382" spans="7:8" ht="270" customHeight="1">
      <c r="G382" s="28"/>
      <c r="H382" s="28"/>
    </row>
    <row r="383" spans="7:8" ht="270" customHeight="1">
      <c r="G383" s="28"/>
      <c r="H383" s="28"/>
    </row>
    <row r="384" spans="7:8" ht="270" customHeight="1">
      <c r="G384" s="28"/>
      <c r="H384" s="28"/>
    </row>
    <row r="385" spans="7:8" ht="270" customHeight="1">
      <c r="G385" s="28"/>
      <c r="H385" s="28"/>
    </row>
    <row r="386" spans="7:8" ht="270" customHeight="1">
      <c r="G386" s="28"/>
      <c r="H386" s="28"/>
    </row>
    <row r="387" spans="7:8" ht="270" customHeight="1">
      <c r="G387" s="28"/>
      <c r="H387" s="28"/>
    </row>
    <row r="388" spans="7:8" ht="270" customHeight="1">
      <c r="G388" s="28"/>
      <c r="H388" s="28"/>
    </row>
    <row r="389" spans="7:8" ht="270" customHeight="1">
      <c r="G389" s="28"/>
      <c r="H389" s="28"/>
    </row>
    <row r="390" spans="7:8" ht="270" customHeight="1">
      <c r="G390" s="28"/>
      <c r="H390" s="28"/>
    </row>
    <row r="391" spans="7:8" ht="270" customHeight="1">
      <c r="G391" s="28"/>
      <c r="H391" s="28"/>
    </row>
    <row r="392" spans="7:8" ht="270" customHeight="1">
      <c r="G392" s="28"/>
      <c r="H392" s="28"/>
    </row>
    <row r="393" spans="7:8" ht="270" customHeight="1">
      <c r="G393" s="28"/>
      <c r="H393" s="28"/>
    </row>
    <row r="394" ht="270" customHeight="1">
      <c r="G394" s="28"/>
    </row>
  </sheetData>
  <mergeCells count="20">
    <mergeCell ref="H9:H10"/>
    <mergeCell ref="B9:B10"/>
    <mergeCell ref="C9:C10"/>
    <mergeCell ref="G9:G10"/>
    <mergeCell ref="J10:K10"/>
    <mergeCell ref="A1:H1"/>
    <mergeCell ref="D2:H2"/>
    <mergeCell ref="F3:H3"/>
    <mergeCell ref="F4:H8"/>
    <mergeCell ref="A3:B3"/>
    <mergeCell ref="A4:B4"/>
    <mergeCell ref="A5:B5"/>
    <mergeCell ref="A2:C2"/>
    <mergeCell ref="A6:B6"/>
    <mergeCell ref="A9:A10"/>
    <mergeCell ref="D9:D10"/>
    <mergeCell ref="F9:F10"/>
    <mergeCell ref="E9:E10"/>
    <mergeCell ref="D6:D8"/>
    <mergeCell ref="A7:C8"/>
  </mergeCells>
  <printOptions horizontalCentered="1"/>
  <pageMargins left="0.688976377952785" right="0.688976377952785" top="0.31496062992126" bottom="0.31496062992126" header="0.31496062992126" footer="0.31496062992126"/>
  <pageSetup orientation="portrait" paperSize="9" scale="1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pageSetUpPr fitToPage="1"/>
  </sheetPr>
  <dimension ref="A1:G74"/>
  <sheetViews>
    <sheetView showZeros="0" view="pageBreakPreview" zoomScale="40" zoomScaleNormal="40" zoomScaleSheetLayoutView="40" workbookViewId="0" topLeftCell="A1">
      <selection pane="topLeft" activeCell="E19" sqref="E19"/>
    </sheetView>
  </sheetViews>
  <sheetFormatPr defaultColWidth="9.33203125" defaultRowHeight="60" customHeight="1"/>
  <cols>
    <col min="1" max="1" width="12.4285714285714" style="28" customWidth="1"/>
    <col min="2" max="2" width="41.4285714285714" style="28" customWidth="1"/>
    <col min="3" max="3" width="58.5714285714286" style="28" customWidth="1"/>
    <col min="4" max="4" width="54.5714285714286" style="28" customWidth="1"/>
    <col min="5" max="5" width="110.428571428571" style="28" customWidth="1"/>
    <col min="6" max="6" width="120.428571428571" customWidth="1"/>
    <col min="7" max="7" width="17" customWidth="1"/>
  </cols>
  <sheetData>
    <row r="1" spans="1:7" ht="222.6" customHeight="1">
      <c r="A1" s="304" t="s">
        <v>148</v>
      </c>
      <c r="B1" s="304"/>
      <c r="C1" s="304"/>
      <c r="D1" s="304"/>
      <c r="E1" s="304"/>
      <c r="F1" s="304"/>
      <c r="G1" s="304"/>
    </row>
    <row r="2" spans="1:7" s="32" customFormat="1" ht="49.95" customHeight="1">
      <c r="A2" s="239" t="s">
        <v>7</v>
      </c>
      <c r="B2" s="239"/>
      <c r="C2" s="128"/>
      <c r="D2" s="5" t="s">
        <v>94</v>
      </c>
      <c r="E2" s="6" t="str">
        <f>Data!BF5</f>
        <v>Hare, Kaitlin</v>
      </c>
      <c r="F2" s="235" t="s">
        <v>4</v>
      </c>
      <c r="G2" s="235"/>
    </row>
    <row r="3" spans="1:7" s="32" customFormat="1" ht="49.95" customHeight="1">
      <c r="A3" s="240" t="s">
        <v>117</v>
      </c>
      <c r="B3" s="240"/>
      <c r="C3" s="3" t="str">
        <f>Data!BC5</f>
        <v>39776</v>
      </c>
      <c r="D3" s="4" t="s">
        <v>8</v>
      </c>
      <c r="E3" s="176" t="str">
        <f>Data!AX5</f>
        <v>Whole House</v>
      </c>
      <c r="F3" s="236" t="str">
        <f>IF(OR(Data!BA11="",C10=""),"",Data!BG5)</f>
        <v/>
      </c>
      <c r="G3" s="236"/>
    </row>
    <row r="4" spans="1:7" s="32" customFormat="1" ht="49.95" customHeight="1">
      <c r="A4" s="226" t="s">
        <v>14</v>
      </c>
      <c r="B4" s="226"/>
      <c r="C4" s="3" t="str">
        <f>Data!BD5</f>
        <v>F</v>
      </c>
      <c r="D4" s="4" t="s">
        <v>112</v>
      </c>
      <c r="E4" s="176" t="str">
        <f>Data!BA5</f>
        <v>13/10/2026 12:00:00 AM</v>
      </c>
      <c r="F4" s="236"/>
      <c r="G4" s="236"/>
    </row>
    <row r="5" spans="1:7" s="32" customFormat="1" ht="49.95" customHeight="1">
      <c r="A5" s="230" t="s">
        <v>9</v>
      </c>
      <c r="B5" s="230"/>
      <c r="C5" s="177" t="str">
        <f>Data!AY5</f>
        <v>12/08/2026 12:00:00 AM</v>
      </c>
      <c r="D5" s="227" t="s">
        <v>12</v>
      </c>
      <c r="E5" s="6" t="str">
        <f>TRIM(Data!BF5)</f>
        <v>Hare, Kaitlin</v>
      </c>
      <c r="F5" s="236"/>
      <c r="G5" s="236"/>
    </row>
    <row r="6" spans="1:7" s="32" customFormat="1" ht="49.95" customHeight="1">
      <c r="A6" s="232" t="str">
        <f>Data!CZ5</f>
        <v>Retail Customer</v>
      </c>
      <c r="B6" s="232"/>
      <c r="C6" s="232"/>
      <c r="D6" s="227"/>
      <c r="E6" s="6" t="str">
        <f>CONCATENATE(Data!BH5," ",Data!BI5," ",Data!BJ5," ",Data!BK5," ",Data!BL5)</f>
        <v xml:space="preserve"> 219  Wendouree Parade  </v>
      </c>
      <c r="F6" s="236"/>
      <c r="G6" s="236"/>
    </row>
    <row r="7" spans="1:7" s="32" customFormat="1" ht="49.95" customHeight="1">
      <c r="A7" s="232"/>
      <c r="B7" s="232"/>
      <c r="C7" s="232"/>
      <c r="D7" s="227"/>
      <c r="E7" s="6" t="str">
        <f>CONCATENATE(Data!BM5," ",Data!BN5," ",Data!BO5," ",Data!BP5)</f>
        <v>Lake Wendouree VIC 3350 Australia</v>
      </c>
      <c r="F7" s="236"/>
      <c r="G7" s="236"/>
    </row>
    <row r="8" spans="1:7" ht="23.25" customHeight="1">
      <c r="A8" s="281" t="s">
        <v>116</v>
      </c>
      <c r="B8" s="267" t="s">
        <v>96</v>
      </c>
      <c r="C8" s="267" t="s">
        <v>137</v>
      </c>
      <c r="D8" s="235" t="s">
        <v>157</v>
      </c>
      <c r="E8" s="267" t="s">
        <v>156</v>
      </c>
      <c r="F8" s="235" t="s">
        <v>5</v>
      </c>
      <c r="G8" s="235" t="s">
        <v>10255</v>
      </c>
    </row>
    <row r="9" spans="1:7" ht="18.75" customHeight="1">
      <c r="A9" s="281"/>
      <c r="B9" s="267"/>
      <c r="C9" s="267"/>
      <c r="D9" s="235"/>
      <c r="E9" s="267"/>
      <c r="F9" s="235"/>
      <c r="G9" s="235"/>
    </row>
    <row r="10" spans="1:7" ht="89.25" customHeight="1">
      <c r="A10" s="281"/>
      <c r="B10" s="267"/>
      <c r="C10" s="267"/>
      <c r="D10" s="235"/>
      <c r="E10" s="267"/>
      <c r="F10" s="235"/>
      <c r="G10" s="235"/>
    </row>
    <row r="11" spans="1:7" s="54" customFormat="1" ht="44.4" customHeight="1">
      <c r="A11" s="57">
        <f>IF('Job Sheet'!Z11="No Rod","",IF('Job Sheet'!Z11="No Track","",Data!AW11))</f>
        <v>28</v>
      </c>
      <c r="B11" s="58" t="str">
        <f>IF(C11="","",'Job Sheet'!C11)</f>
        <v/>
      </c>
      <c r="C11" s="136" t="str">
        <f>IF(OR(Data!BA11="",$A$6="Brax Retail",$A$6="Brax Wholesale",'Job Sheet'!BH11="Track from TBS",'Job Sheet'!BH11="Track from Vanda"),"",IF('Job Sheet'!AJ11="1 (Conduit)",CONCATENATE("1 x ",'Job Sheet'!AL11," / 1 x ",'Job Sheet'!CB11-'Job Sheet'!AL11),IF('Job Sheet'!AJ11="2 (Conduit)",CONCATENATE("1 x ",'Job Sheet'!AL11," / 1 x ",'Job Sheet'!AO11-'Job Sheet'!AL11," / 1 x ",'Job Sheet'!CB11-'Job Sheet'!AO11),IF('Job Sheet'!AJ11="3 (Conduit)",CONCATENATE("1 x ",'Job Sheet'!AL11," / 1 x ",'Job Sheet'!AO11-'Job Sheet'!AL11," / 1 x ",'Job Sheet'!AR11-'Job Sheet'!AO11," / 1 x ",'Job Sheet'!CB11-'Job Sheet'!AR11),IF('Job Sheet'!AJ11="4 (Conduit)",CONCATENATE("1 x ",'Job Sheet'!AL11," / 1 x ",'Job Sheet'!AO11-'Job Sheet'!AL11," / 1 x ",'Job Sheet'!AR11-'Job Sheet'!AO11," / 1 x ",'Job Sheet'!AU11-'Job Sheet'!AR11," / 1 x ",'Job Sheet'!CB11-'Job Sheet'!AU11),'Job Sheet'!CB11)))))</f>
        <v/>
      </c>
      <c r="D11" s="191" t="str">
        <f>IF(C11="","",'Job Sheet'!AA11)</f>
        <v/>
      </c>
      <c r="E11" s="191" t="str">
        <f>IF(C11="","",'Job Sheet'!Z11)</f>
        <v/>
      </c>
      <c r="F11" s="59" t="str">
        <f>IF(C11="","",'Job Sheet'!BN11)</f>
        <v/>
      </c>
      <c r="G11" s="173">
        <f>A11</f>
        <v>28</v>
      </c>
    </row>
    <row r="12" spans="1:7" s="54" customFormat="1" ht="60">
      <c r="A12" s="57">
        <f>IF('Job Sheet'!Z12="No Rod","",IF('Job Sheet'!Z12="No Track","",Data!AW12))</f>
        <v>29</v>
      </c>
      <c r="B12" s="58" t="str">
        <f>IF(C12="","",'Job Sheet'!C12)</f>
        <v>Hallway Door (IN) ALTERATION</v>
      </c>
      <c r="C12" s="136">
        <f>IF(OR(Data!BA12="",$A$6="Brax Retail",$A$6="Brax Wholesale",'Job Sheet'!BH12="Track from TBS",'Job Sheet'!BH12="Track from Vanda"),"",IF('Job Sheet'!AJ12="1 (Conduit)",CONCATENATE("1 x ",'Job Sheet'!AL12," / 1 x ",'Job Sheet'!CB12-'Job Sheet'!AL12),IF('Job Sheet'!AJ12="2 (Conduit)",CONCATENATE("1 x ",'Job Sheet'!AL12," / 1 x ",'Job Sheet'!AO12-'Job Sheet'!AL12," / 1 x ",'Job Sheet'!CB12-'Job Sheet'!AO12),IF('Job Sheet'!AJ12="3 (Conduit)",CONCATENATE("1 x ",'Job Sheet'!AL12," / 1 x ",'Job Sheet'!AO12-'Job Sheet'!AL12," / 1 x ",'Job Sheet'!AR12-'Job Sheet'!AO12," / 1 x ",'Job Sheet'!CB12-'Job Sheet'!AR12),IF('Job Sheet'!AJ12="4 (Conduit)",CONCATENATE("1 x ",'Job Sheet'!AL12," / 1 x ",'Job Sheet'!AO12-'Job Sheet'!AL12," / 1 x ",'Job Sheet'!AR12-'Job Sheet'!AO12," / 1 x ",'Job Sheet'!AU12-'Job Sheet'!AR12," / 1 x ",'Job Sheet'!CB12-'Job Sheet'!AU12),'Job Sheet'!CB12)))))</f>
        <v>2594</v>
      </c>
      <c r="D12" s="191" t="str">
        <f>IF(C12="","",'Job Sheet'!AA12)</f>
        <v>White</v>
      </c>
      <c r="E12" s="191" t="str">
        <f>IF(C12="","",'Job Sheet'!Z12)</f>
        <v>Wavefold Hand Operation</v>
      </c>
      <c r="F12" s="59" t="str">
        <f>IF(C12="","",'Job Sheet'!BN12)</f>
        <v>Alteration to curtain drop</v>
      </c>
      <c r="G12" s="173">
        <f>A12</f>
        <v>29</v>
      </c>
    </row>
    <row r="13" spans="1:7" s="54" customFormat="1" ht="60">
      <c r="A13" s="57">
        <f>IF('Job Sheet'!Z13="No Rod","",IF('Job Sheet'!Z13="No Track","",Data!AW13))</f>
        <v>30</v>
      </c>
      <c r="B13" s="58" t="str">
        <f>IF(C13="","",'Job Sheet'!C13)</f>
        <v>Master Door ALTERATION</v>
      </c>
      <c r="C13" s="136">
        <f>IF(OR(Data!BA13="",$A$6="Brax Retail",$A$6="Brax Wholesale",'Job Sheet'!BH13="Track from TBS",'Job Sheet'!BH13="Track from Vanda"),"",IF('Job Sheet'!AJ13="1 (Conduit)",CONCATENATE("1 x ",'Job Sheet'!AL13," / 1 x ",'Job Sheet'!CB13-'Job Sheet'!AL13),IF('Job Sheet'!AJ13="2 (Conduit)",CONCATENATE("1 x ",'Job Sheet'!AL13," / 1 x ",'Job Sheet'!AO13-'Job Sheet'!AL13," / 1 x ",'Job Sheet'!CB13-'Job Sheet'!AO13),IF('Job Sheet'!AJ13="3 (Conduit)",CONCATENATE("1 x ",'Job Sheet'!AL13," / 1 x ",'Job Sheet'!AO13-'Job Sheet'!AL13," / 1 x ",'Job Sheet'!AR13-'Job Sheet'!AO13," / 1 x ",'Job Sheet'!CB13-'Job Sheet'!AR13),IF('Job Sheet'!AJ13="4 (Conduit)",CONCATENATE("1 x ",'Job Sheet'!AL13," / 1 x ",'Job Sheet'!AO13-'Job Sheet'!AL13," / 1 x ",'Job Sheet'!AR13-'Job Sheet'!AO13," / 1 x ",'Job Sheet'!AU13-'Job Sheet'!AR13," / 1 x ",'Job Sheet'!CB13-'Job Sheet'!AU13),'Job Sheet'!CB13)))))</f>
        <v>3476</v>
      </c>
      <c r="D13" s="191" t="str">
        <f>IF(C13="","",'Job Sheet'!AA13)</f>
        <v>White</v>
      </c>
      <c r="E13" s="191" t="str">
        <f>IF(C13="","",'Job Sheet'!Z13)</f>
        <v>Wavefold Hand Operation</v>
      </c>
      <c r="F13" s="59" t="str">
        <f>IF(C13="","",'Job Sheet'!BN13)</f>
        <v>Alteration to curtain drop</v>
      </c>
      <c r="G13" s="173">
        <f>A13</f>
        <v>30</v>
      </c>
    </row>
    <row r="14" spans="1:7" s="54" customFormat="1" ht="60">
      <c r="A14" s="57">
        <f>IF('Job Sheet'!Z14="No Rod","",IF('Job Sheet'!Z14="No Track","",Data!AW14))</f>
        <v>31</v>
      </c>
      <c r="B14" s="58" t="str">
        <f>IF(C14="","",'Job Sheet'!C14)</f>
        <v>Bed 2 ALTERATION</v>
      </c>
      <c r="C14" s="136">
        <f>IF(OR(Data!BA14="",$A$6="Brax Retail",$A$6="Brax Wholesale",'Job Sheet'!BH14="Track from TBS",'Job Sheet'!BH14="Track from Vanda"),"",IF('Job Sheet'!AJ14="1 (Conduit)",CONCATENATE("1 x ",'Job Sheet'!AL14," / 1 x ",'Job Sheet'!CB14-'Job Sheet'!AL14),IF('Job Sheet'!AJ14="2 (Conduit)",CONCATENATE("1 x ",'Job Sheet'!AL14," / 1 x ",'Job Sheet'!AO14-'Job Sheet'!AL14," / 1 x ",'Job Sheet'!CB14-'Job Sheet'!AO14),IF('Job Sheet'!AJ14="3 (Conduit)",CONCATENATE("1 x ",'Job Sheet'!AL14," / 1 x ",'Job Sheet'!AO14-'Job Sheet'!AL14," / 1 x ",'Job Sheet'!AR14-'Job Sheet'!AO14," / 1 x ",'Job Sheet'!CB14-'Job Sheet'!AR14),IF('Job Sheet'!AJ14="4 (Conduit)",CONCATENATE("1 x ",'Job Sheet'!AL14," / 1 x ",'Job Sheet'!AO14-'Job Sheet'!AL14," / 1 x ",'Job Sheet'!AR14-'Job Sheet'!AO14," / 1 x ",'Job Sheet'!AU14-'Job Sheet'!AR14," / 1 x ",'Job Sheet'!CB14-'Job Sheet'!AU14),'Job Sheet'!CB14)))))</f>
        <v>3354</v>
      </c>
      <c r="D14" s="191" t="str">
        <f>IF(C14="","",'Job Sheet'!AA14)</f>
        <v>White</v>
      </c>
      <c r="E14" s="191" t="str">
        <f>IF(C14="","",'Job Sheet'!Z14)</f>
        <v>Wavefold Hand Operation</v>
      </c>
      <c r="F14" s="59" t="str">
        <f>IF(C14="","",'Job Sheet'!BN14)</f>
        <v>Alteration to curtain drop</v>
      </c>
      <c r="G14" s="173">
        <f>A14</f>
        <v>31</v>
      </c>
    </row>
    <row r="15" spans="1:7" s="54" customFormat="1" ht="60">
      <c r="A15" s="57">
        <f>IF('Job Sheet'!Z15="No Rod","",IF('Job Sheet'!Z15="No Track","",Data!AW15))</f>
        <v>32</v>
      </c>
      <c r="B15" s="58" t="str">
        <f>IF(C15="","",'Job Sheet'!C15)</f>
        <v>Bed 3 ALTERATION</v>
      </c>
      <c r="C15" s="136">
        <f>IF(OR(Data!BA15="",$A$6="Brax Retail",$A$6="Brax Wholesale",'Job Sheet'!BH15="Track from TBS",'Job Sheet'!BH15="Track from Vanda"),"",IF('Job Sheet'!AJ15="1 (Conduit)",CONCATENATE("1 x ",'Job Sheet'!AL15," / 1 x ",'Job Sheet'!CB15-'Job Sheet'!AL15),IF('Job Sheet'!AJ15="2 (Conduit)",CONCATENATE("1 x ",'Job Sheet'!AL15," / 1 x ",'Job Sheet'!AO15-'Job Sheet'!AL15," / 1 x ",'Job Sheet'!CB15-'Job Sheet'!AO15),IF('Job Sheet'!AJ15="3 (Conduit)",CONCATENATE("1 x ",'Job Sheet'!AL15," / 1 x ",'Job Sheet'!AO15-'Job Sheet'!AL15," / 1 x ",'Job Sheet'!AR15-'Job Sheet'!AO15," / 1 x ",'Job Sheet'!CB15-'Job Sheet'!AR15),IF('Job Sheet'!AJ15="4 (Conduit)",CONCATENATE("1 x ",'Job Sheet'!AL15," / 1 x ",'Job Sheet'!AO15-'Job Sheet'!AL15," / 1 x ",'Job Sheet'!AR15-'Job Sheet'!AO15," / 1 x ",'Job Sheet'!AU15-'Job Sheet'!AR15," / 1 x ",'Job Sheet'!CB15-'Job Sheet'!AU15),'Job Sheet'!CB15)))))</f>
        <v>3256</v>
      </c>
      <c r="D15" s="191" t="str">
        <f>IF(C15="","",'Job Sheet'!AA15)</f>
        <v>White</v>
      </c>
      <c r="E15" s="191" t="str">
        <f>IF(C15="","",'Job Sheet'!Z15)</f>
        <v>Wavefold Hand Operation</v>
      </c>
      <c r="F15" s="59" t="str">
        <f>IF(C15="","",'Job Sheet'!BN15)</f>
        <v>Alteration to curtain drop</v>
      </c>
      <c r="G15" s="173">
        <f>A15</f>
        <v>32</v>
      </c>
    </row>
    <row r="16" spans="1:7" s="54" customFormat="1" ht="60">
      <c r="A16" s="57">
        <f>IF('Job Sheet'!Z16="No Rod","",IF('Job Sheet'!Z16="No Track","",Data!AW16))</f>
        <v>33</v>
      </c>
      <c r="B16" s="58" t="str">
        <f>IF(C16="","",'Job Sheet'!C16)</f>
        <v>Back Hallway (IN) ALTERATION</v>
      </c>
      <c r="C16" s="136">
        <f>IF(OR(Data!BA16="",$A$6="Brax Retail",$A$6="Brax Wholesale",'Job Sheet'!BH16="Track from TBS",'Job Sheet'!BH16="Track from Vanda"),"",IF('Job Sheet'!AJ16="1 (Conduit)",CONCATENATE("1 x ",'Job Sheet'!AL16," / 1 x ",'Job Sheet'!CB16-'Job Sheet'!AL16),IF('Job Sheet'!AJ16="2 (Conduit)",CONCATENATE("1 x ",'Job Sheet'!AL16," / 1 x ",'Job Sheet'!AO16-'Job Sheet'!AL16," / 1 x ",'Job Sheet'!CB16-'Job Sheet'!AO16),IF('Job Sheet'!AJ16="3 (Conduit)",CONCATENATE("1 x ",'Job Sheet'!AL16," / 1 x ",'Job Sheet'!AO16-'Job Sheet'!AL16," / 1 x ",'Job Sheet'!AR16-'Job Sheet'!AO16," / 1 x ",'Job Sheet'!CB16-'Job Sheet'!AR16),IF('Job Sheet'!AJ16="4 (Conduit)",CONCATENATE("1 x ",'Job Sheet'!AL16," / 1 x ",'Job Sheet'!AO16-'Job Sheet'!AL16," / 1 x ",'Job Sheet'!AR16-'Job Sheet'!AO16," / 1 x ",'Job Sheet'!AU16-'Job Sheet'!AR16," / 1 x ",'Job Sheet'!CB16-'Job Sheet'!AU16),'Job Sheet'!CB16)))))</f>
        <v>2664</v>
      </c>
      <c r="D16" s="191" t="str">
        <f>IF(C16="","",'Job Sheet'!AA16)</f>
        <v>White</v>
      </c>
      <c r="E16" s="191" t="str">
        <f>IF(C16="","",'Job Sheet'!Z16)</f>
        <v>Wavefold Hand Operation</v>
      </c>
      <c r="F16" s="59" t="str">
        <f>IF(C16="","",'Job Sheet'!BN16)</f>
        <v>Alteration to curtain drop</v>
      </c>
      <c r="G16" s="173">
        <f>A16</f>
        <v>33</v>
      </c>
    </row>
    <row r="17" spans="1:7" s="54" customFormat="1" ht="90">
      <c r="A17" s="57">
        <f>IF('Job Sheet'!Z17="No Rod","",IF('Job Sheet'!Z17="No Track","",Data!AW17))</f>
        <v>34</v>
      </c>
      <c r="B17" s="58" t="str">
        <f>IF(C17="","",'Job Sheet'!C17)</f>
        <v>Back Hallway (OUT) ALTERATION</v>
      </c>
      <c r="C17" s="136">
        <f>IF(OR(Data!BA17="",$A$6="Brax Retail",$A$6="Brax Wholesale",'Job Sheet'!BH17="Track from TBS",'Job Sheet'!BH17="Track from Vanda"),"",IF('Job Sheet'!AJ17="1 (Conduit)",CONCATENATE("1 x ",'Job Sheet'!AL17," / 1 x ",'Job Sheet'!CB17-'Job Sheet'!AL17),IF('Job Sheet'!AJ17="2 (Conduit)",CONCATENATE("1 x ",'Job Sheet'!AL17," / 1 x ",'Job Sheet'!AO17-'Job Sheet'!AL17," / 1 x ",'Job Sheet'!CB17-'Job Sheet'!AO17),IF('Job Sheet'!AJ17="3 (Conduit)",CONCATENATE("1 x ",'Job Sheet'!AL17," / 1 x ",'Job Sheet'!AO17-'Job Sheet'!AL17," / 1 x ",'Job Sheet'!AR17-'Job Sheet'!AO17," / 1 x ",'Job Sheet'!CB17-'Job Sheet'!AR17),IF('Job Sheet'!AJ17="4 (Conduit)",CONCATENATE("1 x ",'Job Sheet'!AL17," / 1 x ",'Job Sheet'!AO17-'Job Sheet'!AL17," / 1 x ",'Job Sheet'!AR17-'Job Sheet'!AO17," / 1 x ",'Job Sheet'!AU17-'Job Sheet'!AR17," / 1 x ",'Job Sheet'!CB17-'Job Sheet'!AU17),'Job Sheet'!CB17)))))</f>
        <v>2084</v>
      </c>
      <c r="D17" s="191" t="str">
        <f>IF(C17="","",'Job Sheet'!AA17)</f>
        <v>White</v>
      </c>
      <c r="E17" s="191" t="str">
        <f>IF(C17="","",'Job Sheet'!Z17)</f>
        <v>Wavefold Hand Operation</v>
      </c>
      <c r="F17" s="59" t="str">
        <f>IF(C17="","",'Job Sheet'!BN17)</f>
        <v>Alteration to curtain drop</v>
      </c>
      <c r="G17" s="173">
        <f>A17</f>
        <v>34</v>
      </c>
    </row>
    <row r="18" spans="1:7" s="54" customFormat="1" ht="60">
      <c r="A18" s="57">
        <f>IF('Job Sheet'!Z18="No Rod","",IF('Job Sheet'!Z18="No Track","",Data!AW18))</f>
        <v>35</v>
      </c>
      <c r="B18" s="58" t="str">
        <f>IF(C18="","",'Job Sheet'!C18)</f>
        <v>Kitchen Door (IN) REMAKE</v>
      </c>
      <c r="C18" s="136">
        <f>IF(OR(Data!BA18="",$A$6="Brax Retail",$A$6="Brax Wholesale",'Job Sheet'!BH18="Track from TBS",'Job Sheet'!BH18="Track from Vanda"),"",IF('Job Sheet'!AJ18="1 (Conduit)",CONCATENATE("1 x ",'Job Sheet'!AL18," / 1 x ",'Job Sheet'!CB18-'Job Sheet'!AL18),IF('Job Sheet'!AJ18="2 (Conduit)",CONCATENATE("1 x ",'Job Sheet'!AL18," / 1 x ",'Job Sheet'!AO18-'Job Sheet'!AL18," / 1 x ",'Job Sheet'!CB18-'Job Sheet'!AO18),IF('Job Sheet'!AJ18="3 (Conduit)",CONCATENATE("1 x ",'Job Sheet'!AL18," / 1 x ",'Job Sheet'!AO18-'Job Sheet'!AL18," / 1 x ",'Job Sheet'!AR18-'Job Sheet'!AO18," / 1 x ",'Job Sheet'!CB18-'Job Sheet'!AR18),IF('Job Sheet'!AJ18="4 (Conduit)",CONCATENATE("1 x ",'Job Sheet'!AL18," / 1 x ",'Job Sheet'!AO18-'Job Sheet'!AL18," / 1 x ",'Job Sheet'!AR18-'Job Sheet'!AO18," / 1 x ",'Job Sheet'!AU18-'Job Sheet'!AR18," / 1 x ",'Job Sheet'!CB18-'Job Sheet'!AU18),'Job Sheet'!CB18)))))</f>
        <v>4574</v>
      </c>
      <c r="D18" s="191" t="str">
        <f>IF(C18="","",'Job Sheet'!AA18)</f>
        <v>White</v>
      </c>
      <c r="E18" s="191" t="str">
        <f>IF(C18="","",'Job Sheet'!Z18)</f>
        <v>Wavefold Hand Operation</v>
      </c>
      <c r="F18" s="59" t="str">
        <f>IF(C18="","",'Job Sheet'!BN18)</f>
        <v/>
      </c>
      <c r="G18" s="173">
        <f>A18</f>
        <v>35</v>
      </c>
    </row>
    <row r="19" spans="1:7" s="54" customFormat="1" ht="60">
      <c r="A19" s="57">
        <f>IF('Job Sheet'!Z19="No Rod","",IF('Job Sheet'!Z19="No Track","",Data!AW19))</f>
        <v>36</v>
      </c>
      <c r="B19" s="58" t="str">
        <f>IF(C19="","",'Job Sheet'!C19)</f>
        <v>Second Lounge ALTERATION</v>
      </c>
      <c r="C19" s="136">
        <f>IF(OR(Data!BA19="",$A$6="Brax Retail",$A$6="Brax Wholesale",'Job Sheet'!BH19="Track from TBS",'Job Sheet'!BH19="Track from Vanda"),"",IF('Job Sheet'!AJ19="1 (Conduit)",CONCATENATE("1 x ",'Job Sheet'!AL19," / 1 x ",'Job Sheet'!CB19-'Job Sheet'!AL19),IF('Job Sheet'!AJ19="2 (Conduit)",CONCATENATE("1 x ",'Job Sheet'!AL19," / 1 x ",'Job Sheet'!AO19-'Job Sheet'!AL19," / 1 x ",'Job Sheet'!CB19-'Job Sheet'!AO19),IF('Job Sheet'!AJ19="3 (Conduit)",CONCATENATE("1 x ",'Job Sheet'!AL19," / 1 x ",'Job Sheet'!AO19-'Job Sheet'!AL19," / 1 x ",'Job Sheet'!AR19-'Job Sheet'!AO19," / 1 x ",'Job Sheet'!CB19-'Job Sheet'!AR19),IF('Job Sheet'!AJ19="4 (Conduit)",CONCATENATE("1 x ",'Job Sheet'!AL19," / 1 x ",'Job Sheet'!AO19-'Job Sheet'!AL19," / 1 x ",'Job Sheet'!AR19-'Job Sheet'!AO19," / 1 x ",'Job Sheet'!AU19-'Job Sheet'!AR19," / 1 x ",'Job Sheet'!CB19-'Job Sheet'!AU19),'Job Sheet'!CB19)))))</f>
        <v>3954</v>
      </c>
      <c r="D19" s="191" t="str">
        <f>IF(C19="","",'Job Sheet'!AA19)</f>
        <v>White</v>
      </c>
      <c r="E19" s="191" t="str">
        <f>IF(C19="","",'Job Sheet'!Z19)</f>
        <v>Wavefold Hand Operation</v>
      </c>
      <c r="F19" s="59" t="str">
        <f>IF(C19="","",'Job Sheet'!BN19)</f>
        <v>Alteration to curtain drop</v>
      </c>
      <c r="G19" s="173">
        <f>A19</f>
        <v>36</v>
      </c>
    </row>
    <row r="20" spans="1:7" s="54" customFormat="1" ht="60">
      <c r="A20" s="57">
        <f>IF('Job Sheet'!Z20="No Rod","",IF('Job Sheet'!Z20="No Track","",Data!AW20))</f>
        <v>37</v>
      </c>
      <c r="B20" s="297" t="str">
        <f>IF(C20="","",'Job Sheet'!C20)</f>
        <v>Front Lounge 1 ALTERATION</v>
      </c>
      <c r="C20" s="136">
        <f>IF(OR(Data!BA20="",$A$6="Brax Retail",$A$6="Brax Wholesale",'Job Sheet'!BH20="Track from TBS",'Job Sheet'!BH20="Track from Vanda"),"",IF('Job Sheet'!AJ20="1 (Conduit)",CONCATENATE("1 x ",'Job Sheet'!AL20," / 1 x ",'Job Sheet'!CB20-'Job Sheet'!AL20),IF('Job Sheet'!AJ20="2 (Conduit)",CONCATENATE("1 x ",'Job Sheet'!AL20," / 1 x ",'Job Sheet'!AO20-'Job Sheet'!AL20," / 1 x ",'Job Sheet'!CB20-'Job Sheet'!AO20),IF('Job Sheet'!AJ20="3 (Conduit)",CONCATENATE("1 x ",'Job Sheet'!AL20," / 1 x ",'Job Sheet'!AO20-'Job Sheet'!AL20," / 1 x ",'Job Sheet'!AR20-'Job Sheet'!AO20," / 1 x ",'Job Sheet'!CB20-'Job Sheet'!AR20),IF('Job Sheet'!AJ20="4 (Conduit)",CONCATENATE("1 x ",'Job Sheet'!AL20," / 1 x ",'Job Sheet'!AO20-'Job Sheet'!AL20," / 1 x ",'Job Sheet'!AR20-'Job Sheet'!AO20," / 1 x ",'Job Sheet'!AU20-'Job Sheet'!AR20," / 1 x ",'Job Sheet'!CB20-'Job Sheet'!AU20),'Job Sheet'!CB20)))))</f>
        <v>4994</v>
      </c>
      <c r="D20" s="191" t="str">
        <f>IF(C20="","",'Job Sheet'!AA20)</f>
        <v>White</v>
      </c>
      <c r="E20" s="191" t="str">
        <f>IF(C20="","",'Job Sheet'!Z20)</f>
        <v>Wavefold Hand Operation</v>
      </c>
      <c r="F20" s="59" t="str">
        <f>IF(C20="","",'Job Sheet'!BN20)</f>
        <v>Alteration to curtain drop and change curtain and track to CCO</v>
      </c>
      <c r="G20" s="173">
        <f>A20</f>
        <v>37</v>
      </c>
    </row>
    <row r="21" spans="1:7" s="54" customFormat="1" ht="60">
      <c r="A21" s="57">
        <f>IF('Job Sheet'!Z21="No Rod","",IF('Job Sheet'!Z21="No Track","",Data!AW21))</f>
        <v>38</v>
      </c>
      <c r="B21" s="297" t="str">
        <f>IF(C21="","",'Job Sheet'!C21)</f>
        <v>Front Lounge 2 ALTERATION</v>
      </c>
      <c r="C21" s="136">
        <f>IF(OR(Data!BA21="",$A$6="Brax Retail",$A$6="Brax Wholesale",'Job Sheet'!BH21="Track from TBS",'Job Sheet'!BH21="Track from Vanda"),"",IF('Job Sheet'!AJ21="1 (Conduit)",CONCATENATE("1 x ",'Job Sheet'!AL21," / 1 x ",'Job Sheet'!CB21-'Job Sheet'!AL21),IF('Job Sheet'!AJ21="2 (Conduit)",CONCATENATE("1 x ",'Job Sheet'!AL21," / 1 x ",'Job Sheet'!AO21-'Job Sheet'!AL21," / 1 x ",'Job Sheet'!CB21-'Job Sheet'!AO21),IF('Job Sheet'!AJ21="3 (Conduit)",CONCATENATE("1 x ",'Job Sheet'!AL21," / 1 x ",'Job Sheet'!AO21-'Job Sheet'!AL21," / 1 x ",'Job Sheet'!AR21-'Job Sheet'!AO21," / 1 x ",'Job Sheet'!CB21-'Job Sheet'!AR21),IF('Job Sheet'!AJ21="4 (Conduit)",CONCATENATE("1 x ",'Job Sheet'!AL21," / 1 x ",'Job Sheet'!AO21-'Job Sheet'!AL21," / 1 x ",'Job Sheet'!AR21-'Job Sheet'!AO21," / 1 x ",'Job Sheet'!AU21-'Job Sheet'!AR21," / 1 x ",'Job Sheet'!CB21-'Job Sheet'!AU21),'Job Sheet'!CB21)))))</f>
        <v>2944</v>
      </c>
      <c r="D21" s="191" t="str">
        <f>IF(C21="","",'Job Sheet'!AA21)</f>
        <v>White</v>
      </c>
      <c r="E21" s="191" t="str">
        <f>IF(C21="","",'Job Sheet'!Z21)</f>
        <v>Wavefold Hand Operation</v>
      </c>
      <c r="F21" s="59" t="str">
        <f>IF(C21="","",'Job Sheet'!BN21)</f>
        <v>Alteration to curtain drop</v>
      </c>
      <c r="G21" s="173">
        <f>A21</f>
        <v>38</v>
      </c>
    </row>
    <row r="22" spans="1:7" s="54" customFormat="1" ht="60">
      <c r="A22" s="57">
        <f>IF('Job Sheet'!Z22="No Rod","",IF('Job Sheet'!Z22="No Track","",Data!AW22))</f>
        <v>39</v>
      </c>
      <c r="B22" s="297" t="str">
        <f>IF(C22="","",'Job Sheet'!C22)</f>
        <v>Master Door ALTERATION</v>
      </c>
      <c r="C22" s="136">
        <f>IF(OR(Data!BA22="",$A$6="Brax Retail",$A$6="Brax Wholesale",'Job Sheet'!BH22="Track from TBS",'Job Sheet'!BH22="Track from Vanda"),"",IF('Job Sheet'!AJ22="1 (Conduit)",CONCATENATE("1 x ",'Job Sheet'!AL22," / 1 x ",'Job Sheet'!CB22-'Job Sheet'!AL22),IF('Job Sheet'!AJ22="2 (Conduit)",CONCATENATE("1 x ",'Job Sheet'!AL22," / 1 x ",'Job Sheet'!AO22-'Job Sheet'!AL22," / 1 x ",'Job Sheet'!CB22-'Job Sheet'!AO22),IF('Job Sheet'!AJ22="3 (Conduit)",CONCATENATE("1 x ",'Job Sheet'!AL22," / 1 x ",'Job Sheet'!AO22-'Job Sheet'!AL22," / 1 x ",'Job Sheet'!AR22-'Job Sheet'!AO22," / 1 x ",'Job Sheet'!CB22-'Job Sheet'!AR22),IF('Job Sheet'!AJ22="4 (Conduit)",CONCATENATE("1 x ",'Job Sheet'!AL22," / 1 x ",'Job Sheet'!AO22-'Job Sheet'!AL22," / 1 x ",'Job Sheet'!AR22-'Job Sheet'!AO22," / 1 x ",'Job Sheet'!AU22-'Job Sheet'!AR22," / 1 x ",'Job Sheet'!CB22-'Job Sheet'!AU22),'Job Sheet'!CB22)))))</f>
        <v>3476</v>
      </c>
      <c r="D22" s="191" t="str">
        <f>IF(C22="","",'Job Sheet'!AA22)</f>
        <v>White</v>
      </c>
      <c r="E22" s="191" t="str">
        <f>IF(C22="","",'Job Sheet'!Z22)</f>
        <v>Streamline Hand Operation</v>
      </c>
      <c r="F22" s="59" t="str">
        <f>IF(C22="","",'Job Sheet'!BN22)</f>
        <v>Alteration to curtain drop</v>
      </c>
      <c r="G22" s="173">
        <f>A22</f>
        <v>39</v>
      </c>
    </row>
    <row r="23" spans="1:5" s="54" customFormat="1" ht="60" customHeight="1">
      <c r="A23" s="60"/>
      <c r="B23" s="60"/>
      <c r="C23" s="60"/>
      <c r="D23" s="60"/>
      <c r="E23" s="60"/>
    </row>
    <row r="24" spans="1:5" s="54" customFormat="1" ht="60" customHeight="1">
      <c r="A24" s="60"/>
      <c r="B24" s="60"/>
      <c r="C24" s="60"/>
      <c r="D24" s="60"/>
      <c r="E24" s="60"/>
    </row>
    <row r="25" spans="1:5" s="54" customFormat="1" ht="60" customHeight="1">
      <c r="A25" s="60"/>
      <c r="B25" s="60"/>
      <c r="C25" s="60"/>
      <c r="D25" s="60"/>
      <c r="E25" s="60"/>
    </row>
    <row r="26" spans="1:5" s="54" customFormat="1" ht="60" customHeight="1">
      <c r="A26" s="60"/>
      <c r="B26" s="60"/>
      <c r="C26" s="60"/>
      <c r="D26" s="60"/>
      <c r="E26" s="60"/>
    </row>
    <row r="27" spans="1:5" s="54" customFormat="1" ht="60" customHeight="1">
      <c r="A27" s="60"/>
      <c r="B27" s="60"/>
      <c r="C27" s="60"/>
      <c r="D27" s="60"/>
      <c r="E27" s="60"/>
    </row>
    <row r="28" spans="1:5" s="54" customFormat="1" ht="60" customHeight="1">
      <c r="A28" s="60"/>
      <c r="B28" s="60"/>
      <c r="C28" s="60"/>
      <c r="D28" s="60"/>
      <c r="E28" s="60"/>
    </row>
    <row r="29" spans="1:5" s="54" customFormat="1" ht="60" customHeight="1">
      <c r="A29" s="60"/>
      <c r="B29" s="60"/>
      <c r="C29" s="60"/>
      <c r="D29" s="60"/>
      <c r="E29" s="60"/>
    </row>
    <row r="30" spans="1:5" s="54" customFormat="1" ht="60" customHeight="1">
      <c r="A30" s="60"/>
      <c r="B30" s="60"/>
      <c r="C30" s="60"/>
      <c r="D30" s="60"/>
      <c r="E30" s="60"/>
    </row>
    <row r="31" spans="1:5" s="54" customFormat="1" ht="60" customHeight="1">
      <c r="A31" s="60"/>
      <c r="B31" s="60"/>
      <c r="C31" s="60"/>
      <c r="D31" s="60"/>
      <c r="E31" s="60"/>
    </row>
    <row r="32" spans="1:5" s="54" customFormat="1" ht="60" customHeight="1">
      <c r="A32" s="60"/>
      <c r="B32" s="60"/>
      <c r="C32" s="60"/>
      <c r="D32" s="60"/>
      <c r="E32" s="60"/>
    </row>
    <row r="33" spans="1:5" s="54" customFormat="1" ht="60" customHeight="1">
      <c r="A33" s="60"/>
      <c r="B33" s="60"/>
      <c r="C33" s="60"/>
      <c r="D33" s="60"/>
      <c r="E33" s="60"/>
    </row>
    <row r="34" spans="1:5" s="54" customFormat="1" ht="60" customHeight="1">
      <c r="A34" s="60"/>
      <c r="B34" s="60"/>
      <c r="C34" s="60"/>
      <c r="D34" s="60"/>
      <c r="E34" s="60"/>
    </row>
    <row r="35" spans="1:5" s="54" customFormat="1" ht="60" customHeight="1">
      <c r="A35" s="60"/>
      <c r="B35" s="60"/>
      <c r="C35" s="60"/>
      <c r="D35" s="60"/>
      <c r="E35" s="60"/>
    </row>
    <row r="36" spans="1:5" s="54" customFormat="1" ht="60" customHeight="1">
      <c r="A36" s="60"/>
      <c r="B36" s="60"/>
      <c r="C36" s="60"/>
      <c r="D36" s="60"/>
      <c r="E36" s="60"/>
    </row>
    <row r="37" spans="1:7" ht="60" customHeight="1">
      <c r="A37" s="60"/>
      <c r="B37" s="60"/>
      <c r="C37" s="60"/>
      <c r="D37" s="60"/>
      <c r="E37" s="60"/>
      <c r="F37" s="54"/>
      <c r="G37" s="54"/>
    </row>
    <row r="38" spans="1:7" ht="60" customHeight="1">
      <c r="A38" s="60"/>
      <c r="B38" s="60"/>
      <c r="C38" s="60"/>
      <c r="D38" s="60"/>
      <c r="E38" s="60"/>
      <c r="F38" s="54"/>
      <c r="G38" s="54"/>
    </row>
    <row r="39" spans="1:7" ht="60" customHeight="1">
      <c r="A39" s="60"/>
      <c r="B39" s="60"/>
      <c r="C39" s="60"/>
      <c r="D39" s="60"/>
      <c r="E39" s="60"/>
      <c r="F39" s="54"/>
      <c r="G39" s="54"/>
    </row>
    <row r="40" spans="1:7" ht="60" customHeight="1">
      <c r="A40" s="60"/>
      <c r="B40" s="60"/>
      <c r="C40" s="60"/>
      <c r="D40" s="60"/>
      <c r="E40" s="60"/>
      <c r="F40" s="54"/>
      <c r="G40" s="54"/>
    </row>
    <row r="41" spans="1:6" ht="60" customHeight="1">
      <c r="A41" s="60"/>
      <c r="B41" s="60"/>
      <c r="C41" s="60"/>
      <c r="D41" s="60"/>
      <c r="E41" s="60"/>
      <c r="F41" s="54"/>
    </row>
    <row r="42" spans="1:6" ht="60" customHeight="1">
      <c r="A42" s="60"/>
      <c r="B42" s="60"/>
      <c r="C42" s="60"/>
      <c r="D42" s="60"/>
      <c r="E42" s="60"/>
      <c r="F42" s="54"/>
    </row>
    <row r="43" spans="1:6" ht="60" customHeight="1">
      <c r="A43" s="60"/>
      <c r="B43" s="60"/>
      <c r="C43" s="60"/>
      <c r="D43" s="60"/>
      <c r="E43" s="60"/>
      <c r="F43" s="54"/>
    </row>
    <row r="44" spans="1:6" ht="60" customHeight="1">
      <c r="A44" s="60"/>
      <c r="B44" s="60"/>
      <c r="C44" s="60"/>
      <c r="D44" s="60"/>
      <c r="E44" s="60"/>
      <c r="F44" s="54"/>
    </row>
    <row r="45" spans="1:6" ht="60" customHeight="1">
      <c r="A45" s="60"/>
      <c r="B45" s="60"/>
      <c r="C45" s="60"/>
      <c r="D45" s="60"/>
      <c r="E45" s="60"/>
      <c r="F45" s="54"/>
    </row>
    <row r="46" spans="1:6" ht="60" customHeight="1">
      <c r="A46" s="60"/>
      <c r="B46" s="60"/>
      <c r="C46" s="60"/>
      <c r="D46" s="60"/>
      <c r="E46" s="60"/>
      <c r="F46" s="54"/>
    </row>
    <row r="47" spans="1:6" ht="60" customHeight="1">
      <c r="A47" s="60"/>
      <c r="B47" s="60"/>
      <c r="C47" s="60"/>
      <c r="D47" s="60"/>
      <c r="E47" s="60"/>
      <c r="F47" s="54"/>
    </row>
    <row r="48" spans="1:6" ht="60" customHeight="1">
      <c r="A48" s="60"/>
      <c r="B48" s="60"/>
      <c r="C48" s="60"/>
      <c r="D48" s="60"/>
      <c r="E48" s="60"/>
      <c r="F48" s="54"/>
    </row>
    <row r="49" spans="1:6" ht="60" customHeight="1">
      <c r="A49" s="60"/>
      <c r="B49" s="60"/>
      <c r="C49" s="60"/>
      <c r="D49" s="60"/>
      <c r="E49" s="60"/>
      <c r="F49" s="54"/>
    </row>
    <row r="50" spans="1:6" ht="60" customHeight="1">
      <c r="A50" s="60"/>
      <c r="B50" s="60"/>
      <c r="C50" s="60"/>
      <c r="D50" s="60"/>
      <c r="E50" s="60"/>
      <c r="F50" s="54"/>
    </row>
    <row r="51" spans="1:6" ht="60" customHeight="1">
      <c r="A51" s="60"/>
      <c r="B51" s="60"/>
      <c r="C51" s="60"/>
      <c r="D51" s="60"/>
      <c r="E51" s="60"/>
      <c r="F51" s="54"/>
    </row>
    <row r="52" spans="1:6" ht="60" customHeight="1">
      <c r="A52" s="60"/>
      <c r="B52" s="60"/>
      <c r="C52" s="60"/>
      <c r="D52" s="60"/>
      <c r="E52" s="60"/>
      <c r="F52" s="54"/>
    </row>
    <row r="53" spans="1:6" ht="60" customHeight="1">
      <c r="A53" s="60"/>
      <c r="B53" s="60"/>
      <c r="C53" s="60"/>
      <c r="D53" s="60"/>
      <c r="E53" s="60"/>
      <c r="F53" s="54"/>
    </row>
    <row r="54" spans="1:6" ht="60" customHeight="1">
      <c r="A54" s="60"/>
      <c r="B54" s="60"/>
      <c r="C54" s="60"/>
      <c r="D54" s="60"/>
      <c r="E54" s="60"/>
      <c r="F54" s="54"/>
    </row>
    <row r="55" spans="1:6" ht="60" customHeight="1">
      <c r="A55" s="60"/>
      <c r="B55" s="60"/>
      <c r="C55" s="60"/>
      <c r="D55" s="60"/>
      <c r="E55" s="60"/>
      <c r="F55" s="54"/>
    </row>
    <row r="56" spans="1:6" ht="60" customHeight="1">
      <c r="A56" s="60"/>
      <c r="B56" s="60"/>
      <c r="C56" s="60"/>
      <c r="D56" s="60"/>
      <c r="E56" s="60"/>
      <c r="F56" s="54"/>
    </row>
    <row r="57" spans="1:6" ht="60" customHeight="1">
      <c r="A57" s="60"/>
      <c r="B57" s="60"/>
      <c r="C57" s="60"/>
      <c r="D57" s="60"/>
      <c r="E57" s="60"/>
      <c r="F57" s="54"/>
    </row>
    <row r="58" spans="1:6" ht="60" customHeight="1">
      <c r="A58" s="60"/>
      <c r="B58" s="60"/>
      <c r="C58" s="60"/>
      <c r="D58" s="60"/>
      <c r="E58" s="60"/>
      <c r="F58" s="54"/>
    </row>
    <row r="59" spans="1:6" ht="60" customHeight="1">
      <c r="A59" s="60"/>
      <c r="B59" s="60"/>
      <c r="C59" s="60"/>
      <c r="D59" s="60"/>
      <c r="E59" s="60"/>
      <c r="F59" s="54"/>
    </row>
    <row r="60" spans="1:6" ht="60" customHeight="1">
      <c r="A60" s="60"/>
      <c r="B60" s="60"/>
      <c r="C60" s="60"/>
      <c r="D60" s="60"/>
      <c r="E60" s="60"/>
      <c r="F60" s="54"/>
    </row>
    <row r="61" spans="1:6" ht="60" customHeight="1">
      <c r="A61" s="60"/>
      <c r="B61" s="60"/>
      <c r="C61" s="60"/>
      <c r="D61" s="60"/>
      <c r="E61" s="60"/>
      <c r="F61" s="54"/>
    </row>
    <row r="62" spans="1:6" ht="60" customHeight="1">
      <c r="A62" s="60"/>
      <c r="B62" s="60"/>
      <c r="C62" s="60"/>
      <c r="D62" s="60"/>
      <c r="E62" s="60"/>
      <c r="F62" s="54"/>
    </row>
    <row r="63" spans="1:6" ht="60" customHeight="1">
      <c r="A63" s="60"/>
      <c r="B63" s="60"/>
      <c r="C63" s="60"/>
      <c r="D63" s="60"/>
      <c r="E63" s="60"/>
      <c r="F63" s="54"/>
    </row>
    <row r="64" spans="1:6" ht="60" customHeight="1">
      <c r="A64" s="60"/>
      <c r="B64" s="60"/>
      <c r="C64" s="60"/>
      <c r="D64" s="60"/>
      <c r="E64" s="60"/>
      <c r="F64" s="54"/>
    </row>
    <row r="65" spans="1:6" ht="60" customHeight="1">
      <c r="A65" s="60"/>
      <c r="B65" s="60"/>
      <c r="C65" s="60"/>
      <c r="D65" s="60"/>
      <c r="E65" s="60"/>
      <c r="F65" s="54"/>
    </row>
    <row r="66" spans="1:6" ht="60" customHeight="1">
      <c r="A66" s="60"/>
      <c r="B66" s="60"/>
      <c r="C66" s="60"/>
      <c r="D66" s="60"/>
      <c r="E66" s="60"/>
      <c r="F66" s="54"/>
    </row>
    <row r="67" spans="1:6" ht="60" customHeight="1">
      <c r="A67" s="60"/>
      <c r="B67" s="60"/>
      <c r="C67" s="60"/>
      <c r="D67" s="60"/>
      <c r="E67" s="60"/>
      <c r="F67" s="54"/>
    </row>
    <row r="68" spans="1:6" ht="60" customHeight="1">
      <c r="A68" s="60"/>
      <c r="B68" s="60"/>
      <c r="C68" s="60"/>
      <c r="D68" s="60"/>
      <c r="E68" s="60"/>
      <c r="F68" s="54"/>
    </row>
    <row r="69" spans="1:6" ht="60" customHeight="1">
      <c r="A69" s="60"/>
      <c r="B69" s="60"/>
      <c r="C69" s="60"/>
      <c r="D69" s="60"/>
      <c r="E69" s="60"/>
      <c r="F69" s="54"/>
    </row>
    <row r="70" spans="1:6" ht="60" customHeight="1">
      <c r="A70" s="60"/>
      <c r="B70" s="60"/>
      <c r="C70" s="60"/>
      <c r="D70" s="60"/>
      <c r="E70" s="60"/>
      <c r="F70" s="54"/>
    </row>
    <row r="71" spans="1:6" ht="60" customHeight="1">
      <c r="A71" s="60"/>
      <c r="B71" s="60"/>
      <c r="C71" s="60"/>
      <c r="D71" s="60"/>
      <c r="E71" s="60"/>
      <c r="F71" s="54"/>
    </row>
    <row r="72" spans="1:6" ht="60" customHeight="1">
      <c r="A72" s="60"/>
      <c r="B72" s="60"/>
      <c r="C72" s="60"/>
      <c r="D72" s="60"/>
      <c r="E72" s="60"/>
      <c r="F72" s="54"/>
    </row>
    <row r="73" spans="1:6" ht="60" customHeight="1">
      <c r="A73" s="60"/>
      <c r="B73" s="60"/>
      <c r="C73" s="60"/>
      <c r="D73" s="60"/>
      <c r="E73" s="60"/>
      <c r="F73" s="54"/>
    </row>
    <row r="74" spans="1:6" ht="60" customHeight="1">
      <c r="A74" s="60"/>
      <c r="B74" s="60"/>
      <c r="C74" s="60"/>
      <c r="D74" s="60"/>
      <c r="E74" s="60"/>
      <c r="F74" s="54"/>
    </row>
  </sheetData>
  <mergeCells count="16">
    <mergeCell ref="G8:G10"/>
    <mergeCell ref="F3:G7"/>
    <mergeCell ref="F2:G2"/>
    <mergeCell ref="A1:G1"/>
    <mergeCell ref="F8:F10"/>
    <mergeCell ref="C8:C10"/>
    <mergeCell ref="A8:A10"/>
    <mergeCell ref="E8:E10"/>
    <mergeCell ref="B8:B10"/>
    <mergeCell ref="D8:D10"/>
    <mergeCell ref="A6:C7"/>
    <mergeCell ref="D5:D7"/>
    <mergeCell ref="A2:B2"/>
    <mergeCell ref="A3:B3"/>
    <mergeCell ref="A4:B4"/>
    <mergeCell ref="A5:B5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O26"/>
  <sheetViews>
    <sheetView showZeros="0" view="pageBreakPreview" zoomScale="40" zoomScaleNormal="25" zoomScaleSheetLayoutView="40" zoomScalePageLayoutView="25" workbookViewId="0" topLeftCell="A1">
      <selection pane="topLeft" activeCell="A11" sqref="A11:XFD20"/>
    </sheetView>
  </sheetViews>
  <sheetFormatPr defaultColWidth="9.44140625" defaultRowHeight="60" customHeight="1"/>
  <cols>
    <col min="1" max="1" width="11.4285714285714" style="28" customWidth="1"/>
    <col min="2" max="2" width="36.7142857142857" style="28" customWidth="1"/>
    <col min="3" max="3" width="44" style="28" customWidth="1"/>
    <col min="4" max="4" width="21.5714285714286" style="28" customWidth="1"/>
    <col min="5" max="5" width="54.4285714285714" style="28" customWidth="1"/>
    <col min="6" max="6" width="41" style="28" customWidth="1"/>
    <col min="7" max="7" width="18.4285714285714" style="28" customWidth="1"/>
    <col min="8" max="8" width="29.4285714285714" customWidth="1"/>
    <col min="9" max="12" width="21.5714285714286" customWidth="1"/>
    <col min="13" max="13" width="77.5714285714286" customWidth="1"/>
    <col min="14" max="14" width="21.5714285714286" customWidth="1"/>
  </cols>
  <sheetData>
    <row r="1" spans="1:14" s="17" customFormat="1" ht="219.45" customHeight="1">
      <c r="A1" s="319" t="s">
        <v>11878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</row>
    <row r="2" spans="1:14" s="19" customFormat="1" ht="49.95" customHeight="1">
      <c r="A2" s="240" t="s">
        <v>7</v>
      </c>
      <c r="B2" s="240"/>
      <c r="C2" s="237"/>
      <c r="D2" s="237"/>
      <c r="E2" s="5" t="s">
        <v>94</v>
      </c>
      <c r="F2" s="278" t="str">
        <f>Data!BF5</f>
        <v>Hare, Kaitlin</v>
      </c>
      <c r="G2" s="279"/>
      <c r="H2" s="279"/>
      <c r="I2" s="279"/>
      <c r="J2" s="280"/>
      <c r="K2" s="305" t="s">
        <v>4</v>
      </c>
      <c r="L2" s="306"/>
      <c r="M2" s="306"/>
      <c r="N2" s="307"/>
    </row>
    <row r="3" spans="1:14" s="19" customFormat="1" ht="50.1" customHeight="1">
      <c r="A3" s="240" t="s">
        <v>117</v>
      </c>
      <c r="B3" s="240"/>
      <c r="C3" s="227" t="str">
        <f>Data!BC5</f>
        <v>39776</v>
      </c>
      <c r="D3" s="227"/>
      <c r="E3" s="4" t="s">
        <v>8</v>
      </c>
      <c r="F3" s="285" t="str">
        <f>Data!AX5</f>
        <v>Whole House</v>
      </c>
      <c r="G3" s="286"/>
      <c r="H3" s="286"/>
      <c r="I3" s="286"/>
      <c r="J3" s="287"/>
      <c r="K3" s="309" t="str">
        <f>IF(OR(Data!BA11="",C10=""),"",Data!BG5)</f>
        <v/>
      </c>
      <c r="L3" s="310"/>
      <c r="M3" s="310"/>
      <c r="N3" s="311"/>
    </row>
    <row r="4" spans="1:14" s="8" customFormat="1" ht="50.1" customHeight="1">
      <c r="A4" s="226" t="s">
        <v>14</v>
      </c>
      <c r="B4" s="226"/>
      <c r="C4" s="227" t="str">
        <f>Data!BD5</f>
        <v>F</v>
      </c>
      <c r="D4" s="227"/>
      <c r="E4" s="4" t="s">
        <v>112</v>
      </c>
      <c r="F4" s="285" t="str">
        <f>Data!BA5</f>
        <v>13/10/2026 12:00:00 AM</v>
      </c>
      <c r="G4" s="286"/>
      <c r="H4" s="286"/>
      <c r="I4" s="286"/>
      <c r="J4" s="287"/>
      <c r="K4" s="312"/>
      <c r="L4" s="313"/>
      <c r="M4" s="313"/>
      <c r="N4" s="314"/>
    </row>
    <row r="5" spans="1:14" s="8" customFormat="1" ht="50.1" customHeight="1">
      <c r="A5" s="230" t="s">
        <v>9</v>
      </c>
      <c r="B5" s="230"/>
      <c r="C5" s="318" t="str">
        <f>Data!AY5</f>
        <v>12/08/2026 12:00:00 AM</v>
      </c>
      <c r="D5" s="318"/>
      <c r="E5" s="227" t="s">
        <v>12</v>
      </c>
      <c r="F5" s="285" t="str">
        <f>TRIM(Data!BF5)</f>
        <v>Hare, Kaitlin</v>
      </c>
      <c r="G5" s="286"/>
      <c r="H5" s="286"/>
      <c r="I5" s="286"/>
      <c r="J5" s="287"/>
      <c r="K5" s="312"/>
      <c r="L5" s="313"/>
      <c r="M5" s="313"/>
      <c r="N5" s="314"/>
    </row>
    <row r="6" spans="1:14" s="8" customFormat="1" ht="50.1" customHeight="1">
      <c r="A6" s="232" t="str">
        <f>Data!CZ5</f>
        <v>Retail Customer</v>
      </c>
      <c r="B6" s="232"/>
      <c r="C6" s="232"/>
      <c r="D6" s="232"/>
      <c r="E6" s="227"/>
      <c r="F6" s="278" t="str">
        <f>CONCATENATE(Data!BH5," ",Data!BI5," ",Data!BJ5," ",Data!BK5," ",Data!BL5)</f>
        <v xml:space="preserve"> 219  Wendouree Parade  </v>
      </c>
      <c r="G6" s="279"/>
      <c r="H6" s="279"/>
      <c r="I6" s="279"/>
      <c r="J6" s="280"/>
      <c r="K6" s="312"/>
      <c r="L6" s="313"/>
      <c r="M6" s="313"/>
      <c r="N6" s="314"/>
    </row>
    <row r="7" spans="1:14" s="8" customFormat="1" ht="50.1" customHeight="1">
      <c r="A7" s="232"/>
      <c r="B7" s="232"/>
      <c r="C7" s="232"/>
      <c r="D7" s="232"/>
      <c r="E7" s="227"/>
      <c r="F7" s="278" t="str">
        <f>CONCATENATE(Data!BM5," ",Data!BN5," ",Data!BO5," ",Data!BP5)</f>
        <v>Lake Wendouree VIC 3350 Australia</v>
      </c>
      <c r="G7" s="279"/>
      <c r="H7" s="279"/>
      <c r="I7" s="279"/>
      <c r="J7" s="280"/>
      <c r="K7" s="315"/>
      <c r="L7" s="316"/>
      <c r="M7" s="316"/>
      <c r="N7" s="317"/>
    </row>
    <row r="8" spans="1:15" s="29" customFormat="1" ht="50.1" customHeight="1">
      <c r="A8" s="281" t="s">
        <v>116</v>
      </c>
      <c r="B8" s="267" t="s">
        <v>96</v>
      </c>
      <c r="C8" s="308" t="s">
        <v>147</v>
      </c>
      <c r="D8" s="308" t="s">
        <v>155</v>
      </c>
      <c r="E8" s="235" t="s">
        <v>115</v>
      </c>
      <c r="F8" s="308" t="s">
        <v>139</v>
      </c>
      <c r="G8" s="267" t="s">
        <v>10256</v>
      </c>
      <c r="H8" s="267" t="s">
        <v>11336</v>
      </c>
      <c r="I8" s="267" t="s">
        <v>11612</v>
      </c>
      <c r="J8" s="267" t="s">
        <v>11613</v>
      </c>
      <c r="K8" s="267" t="s">
        <v>11614</v>
      </c>
      <c r="L8" s="267" t="s">
        <v>11615</v>
      </c>
      <c r="M8" s="235" t="s">
        <v>5</v>
      </c>
      <c r="N8" s="267" t="s">
        <v>10255</v>
      </c>
      <c r="O8" s="28"/>
    </row>
    <row r="9" spans="1:15" s="29" customFormat="1" ht="13.2" customHeight="1" hidden="1">
      <c r="A9" s="281"/>
      <c r="B9" s="267"/>
      <c r="C9" s="308"/>
      <c r="D9" s="308"/>
      <c r="E9" s="235"/>
      <c r="F9" s="308"/>
      <c r="G9" s="267"/>
      <c r="H9" s="267"/>
      <c r="I9" s="267"/>
      <c r="J9" s="267"/>
      <c r="K9" s="267"/>
      <c r="L9" s="267"/>
      <c r="M9" s="235"/>
      <c r="N9" s="267"/>
      <c r="O9" s="28"/>
    </row>
    <row r="10" spans="1:15" s="30" customFormat="1" ht="98.7" customHeight="1">
      <c r="A10" s="281"/>
      <c r="B10" s="267"/>
      <c r="C10" s="308"/>
      <c r="D10" s="308"/>
      <c r="E10" s="235"/>
      <c r="F10" s="308"/>
      <c r="G10" s="267"/>
      <c r="H10" s="267"/>
      <c r="I10" s="267"/>
      <c r="J10" s="267"/>
      <c r="K10" s="267"/>
      <c r="L10" s="267"/>
      <c r="M10" s="235"/>
      <c r="N10" s="267"/>
      <c r="O10" s="28"/>
    </row>
    <row r="11" spans="1:14" s="163" customFormat="1" ht="33">
      <c r="A11" s="2">
        <f>IF('Job Sheet'!Z11="No Rod","",IF('Job Sheet'!Z11="No Track","",Data!AW11))</f>
        <v>28</v>
      </c>
      <c r="B11" s="7" t="str">
        <f>IF(C11="","",Data!AY11)</f>
        <v/>
      </c>
      <c r="C11" s="164" t="str">
        <f>IF(OR('Job Sheet'!BH11="Track from TBS",'Job Sheet'!BH11="Track from TWC",'Job Sheet'!BH11="Track from Vanda",'Job Sheet'!BH11="No Track Or Rod Required",$A$6="Brax Retail",$A$6="Brax Wholesale"),"",'Job Sheet'!Z11)</f>
        <v/>
      </c>
      <c r="D11" s="165" t="str">
        <f>IF(C11="","",'Job Sheet'!AI11)</f>
        <v/>
      </c>
      <c r="E11" s="27" t="str">
        <f>IF(C11="","",'Job Sheet'!AB11)</f>
        <v/>
      </c>
      <c r="F11" s="165" t="str">
        <f>IF(C11="","",'Job Sheet'!S11)</f>
        <v/>
      </c>
      <c r="G11" s="113" t="str">
        <f>IF(OR(C11="",'Job Sheet'!Z11="Conduit",Data!AV11=""),"",IF(OR('Job Sheet'!S11="Centre Opening (Offset Split)",'Job Sheet'!S11="Centre Opening - Free Flowing (Offset Split)"),CONCATENATE(VLOOKUP(Tapes!J11,OneWay100,2,TRUE),"L &amp; ",VLOOKUP(Tapes!K11,OneWay100,2,TRUE),"R"),IF('Job Sheet'!BY11&lt;&gt;"",'Job Sheet'!BZ11,('Job Sheet'!BP11/100)-1)))</f>
        <v/>
      </c>
      <c r="H11" s="27" t="str">
        <f>IF(OR(C11="",'Job Sheet'!AB11="Hand Operation"),"",'Job Sheet'!AH11)</f>
        <v/>
      </c>
      <c r="I11" s="27" t="str">
        <f>IF(OR(C11="",D11="Straight",'Job Sheet'!BT11=""),"",CONCATENATE('Job Sheet'!BT11,"mm @ ",180-'Job Sheet'!AM11,"° (",'Job Sheet'!AK11,")"))</f>
        <v/>
      </c>
      <c r="J11" s="27" t="str">
        <f>IF(OR(C11="",D11="Straight",'Job Sheet'!BU11=""),"",CONCATENATE('Job Sheet'!BU11,"mm @ ",180-'Job Sheet'!AP11,"° (",'Job Sheet'!AN11,")"))</f>
        <v/>
      </c>
      <c r="K11" s="27" t="str">
        <f>IF(OR(C11="",D11="Straight",'Job Sheet'!BV11=""),"",CONCATENATE('Job Sheet'!BV11,"mm @ ",180-'Job Sheet'!AS11,"° (",'Job Sheet'!AQ11,")"))</f>
        <v/>
      </c>
      <c r="L11" s="27" t="str">
        <f>IF(OR(C11="",D11="Straight",'Job Sheet'!BW11=""),"",CONCATENATE('Job Sheet'!BW11,"mm @ ",180-'Job Sheet'!AV11,"° (",'Job Sheet'!AT11,")"))</f>
        <v/>
      </c>
      <c r="M11" s="27" t="str">
        <f>IF(C11="","",'Job Sheet'!BN11)</f>
        <v/>
      </c>
      <c r="N11" s="174">
        <f>A11</f>
        <v>28</v>
      </c>
    </row>
    <row r="12" spans="1:14" s="163" customFormat="1" ht="99">
      <c r="A12" s="2">
        <f>IF('Job Sheet'!Z12="No Rod","",IF('Job Sheet'!Z12="No Track","",Data!AW12))</f>
        <v>29</v>
      </c>
      <c r="B12" s="7" t="str">
        <f>IF(C12="","",Data!AY12)</f>
        <v>Hallway Door (IN) ALTERATION</v>
      </c>
      <c r="C12" s="164" t="str">
        <f>IF(OR('Job Sheet'!BH12="Track from TBS",'Job Sheet'!BH12="Track from TWC",'Job Sheet'!BH12="Track from Vanda",'Job Sheet'!BH12="No Track Or Rod Required",$A$6="Brax Retail",$A$6="Brax Wholesale"),"",'Job Sheet'!Z12)</f>
        <v>Wavefold Hand Operation</v>
      </c>
      <c r="D12" s="165" t="str">
        <f>IF(C12="","",'Job Sheet'!AI12)</f>
        <v>Straight</v>
      </c>
      <c r="E12" s="27" t="str">
        <f>IF(C12="","",'Job Sheet'!AB12)</f>
        <v>Hand Operation</v>
      </c>
      <c r="F12" s="165" t="str">
        <f>IF(C12="","",'Job Sheet'!S12)</f>
        <v>Centre Opening</v>
      </c>
      <c r="G12" s="113" t="str">
        <f>IF(OR(C12="",'Job Sheet'!Z12="Conduit",Data!AV12=""),"",IF(OR('Job Sheet'!S12="Centre Opening (Offset Split)",'Job Sheet'!S12="Centre Opening - Free Flowing (Offset Split)"),CONCATENATE(VLOOKUP(Tapes!J12,OneWay100,2,TRUE),"L &amp; ",VLOOKUP(Tapes!K12,OneWay100,2,TRUE),"R"),IF('Job Sheet'!BY12&lt;&gt;"",'Job Sheet'!BZ12,('Job Sheet'!BP12/100)-1)))</f>
        <v>2 x 28</v>
      </c>
      <c r="H12" s="27" t="str">
        <f>IF(OR(C12="",'Job Sheet'!AB12="Hand Operation"),"",'Job Sheet'!AH12)</f>
        <v/>
      </c>
      <c r="I12" s="27" t="str">
        <f>IF(OR(C12="",D12="Straight",'Job Sheet'!BT12=""),"",CONCATENATE('Job Sheet'!BT12,"mm @ ",180-'Job Sheet'!AM12,"° (",'Job Sheet'!AK12,")"))</f>
        <v/>
      </c>
      <c r="J12" s="27" t="str">
        <f>IF(OR(C12="",D12="Straight",'Job Sheet'!BU12=""),"",CONCATENATE('Job Sheet'!BU12,"mm @ ",180-'Job Sheet'!AP12,"° (",'Job Sheet'!AN12,")"))</f>
        <v/>
      </c>
      <c r="K12" s="27" t="str">
        <f>IF(OR(C12="",D12="Straight",'Job Sheet'!BV12=""),"",CONCATENATE('Job Sheet'!BV12,"mm @ ",180-'Job Sheet'!AS12,"° (",'Job Sheet'!AQ12,")"))</f>
        <v/>
      </c>
      <c r="L12" s="27" t="str">
        <f>IF(OR(C12="",D12="Straight",'Job Sheet'!BW12=""),"",CONCATENATE('Job Sheet'!BW12,"mm @ ",180-'Job Sheet'!AV12,"° (",'Job Sheet'!AT12,")"))</f>
        <v/>
      </c>
      <c r="M12" s="27" t="str">
        <f>IF(C12="","",'Job Sheet'!BN12)</f>
        <v>Alteration to curtain drop</v>
      </c>
      <c r="N12" s="174">
        <f>A12</f>
        <v>29</v>
      </c>
    </row>
    <row r="13" spans="1:14" s="163" customFormat="1" ht="66">
      <c r="A13" s="2">
        <f>IF('Job Sheet'!Z13="No Rod","",IF('Job Sheet'!Z13="No Track","",Data!AW13))</f>
        <v>30</v>
      </c>
      <c r="B13" s="7" t="str">
        <f>IF(C13="","",Data!AY13)</f>
        <v>Master Door ALTERATION</v>
      </c>
      <c r="C13" s="164" t="str">
        <f>IF(OR('Job Sheet'!BH13="Track from TBS",'Job Sheet'!BH13="Track from TWC",'Job Sheet'!BH13="Track from Vanda",'Job Sheet'!BH13="No Track Or Rod Required",$A$6="Brax Retail",$A$6="Brax Wholesale"),"",'Job Sheet'!Z13)</f>
        <v>Wavefold Hand Operation</v>
      </c>
      <c r="D13" s="165" t="str">
        <f>IF(C13="","",'Job Sheet'!AI13)</f>
        <v>Straight</v>
      </c>
      <c r="E13" s="27" t="str">
        <f>IF(C13="","",'Job Sheet'!AB13)</f>
        <v>Hand Operation</v>
      </c>
      <c r="F13" s="165" t="str">
        <f>IF(C13="","",'Job Sheet'!S13)</f>
        <v>Centre Opening</v>
      </c>
      <c r="G13" s="113" t="str">
        <f>IF(OR(C13="",'Job Sheet'!Z13="Conduit",Data!AV13=""),"",IF(OR('Job Sheet'!S13="Centre Opening (Offset Split)",'Job Sheet'!S13="Centre Opening - Free Flowing (Offset Split)"),CONCATENATE(VLOOKUP(Tapes!J13,OneWay100,2,TRUE),"L &amp; ",VLOOKUP(Tapes!K13,OneWay100,2,TRUE),"R"),IF('Job Sheet'!BY13&lt;&gt;"",'Job Sheet'!BZ13,('Job Sheet'!BP13/100)-1)))</f>
        <v>2 x 36</v>
      </c>
      <c r="H13" s="27" t="str">
        <f>IF(OR(C13="",'Job Sheet'!AB13="Hand Operation"),"",'Job Sheet'!AH13)</f>
        <v/>
      </c>
      <c r="I13" s="27" t="str">
        <f>IF(OR(C13="",D13="Straight",'Job Sheet'!BT13=""),"",CONCATENATE('Job Sheet'!BT13,"mm @ ",180-'Job Sheet'!AM13,"° (",'Job Sheet'!AK13,")"))</f>
        <v/>
      </c>
      <c r="J13" s="27" t="str">
        <f>IF(OR(C13="",D13="Straight",'Job Sheet'!BU13=""),"",CONCATENATE('Job Sheet'!BU13,"mm @ ",180-'Job Sheet'!AP13,"° (",'Job Sheet'!AN13,")"))</f>
        <v/>
      </c>
      <c r="K13" s="27" t="str">
        <f>IF(OR(C13="",D13="Straight",'Job Sheet'!BV13=""),"",CONCATENATE('Job Sheet'!BV13,"mm @ ",180-'Job Sheet'!AS13,"° (",'Job Sheet'!AQ13,")"))</f>
        <v/>
      </c>
      <c r="L13" s="27" t="str">
        <f>IF(OR(C13="",D13="Straight",'Job Sheet'!BW13=""),"",CONCATENATE('Job Sheet'!BW13,"mm @ ",180-'Job Sheet'!AV13,"° (",'Job Sheet'!AT13,")"))</f>
        <v/>
      </c>
      <c r="M13" s="27" t="str">
        <f>IF(C13="","",'Job Sheet'!BN13)</f>
        <v>Alteration to curtain drop</v>
      </c>
      <c r="N13" s="174">
        <f>A13</f>
        <v>30</v>
      </c>
    </row>
    <row r="14" spans="1:14" s="163" customFormat="1" ht="66">
      <c r="A14" s="2">
        <f>IF('Job Sheet'!Z14="No Rod","",IF('Job Sheet'!Z14="No Track","",Data!AW14))</f>
        <v>31</v>
      </c>
      <c r="B14" s="7" t="str">
        <f>IF(C14="","",Data!AY14)</f>
        <v>Bed 2 ALTERATION</v>
      </c>
      <c r="C14" s="164" t="str">
        <f>IF(OR('Job Sheet'!BH14="Track from TBS",'Job Sheet'!BH14="Track from TWC",'Job Sheet'!BH14="Track from Vanda",'Job Sheet'!BH14="No Track Or Rod Required",$A$6="Brax Retail",$A$6="Brax Wholesale"),"",'Job Sheet'!Z14)</f>
        <v>Wavefold Hand Operation</v>
      </c>
      <c r="D14" s="165" t="str">
        <f>IF(C14="","",'Job Sheet'!AI14)</f>
        <v>Straight</v>
      </c>
      <c r="E14" s="27" t="str">
        <f>IF(C14="","",'Job Sheet'!AB14)</f>
        <v>Hand Operation</v>
      </c>
      <c r="F14" s="165" t="str">
        <f>IF(C14="","",'Job Sheet'!S14)</f>
        <v>Single Panel - Left Stacking</v>
      </c>
      <c r="G14" s="113">
        <f>IF(OR(C14="",'Job Sheet'!Z14="Conduit",Data!AV14=""),"",IF(OR('Job Sheet'!S14="Centre Opening (Offset Split)",'Job Sheet'!S14="Centre Opening - Free Flowing (Offset Split)"),CONCATENATE(VLOOKUP(Tapes!J14,OneWay100,2,TRUE),"L &amp; ",VLOOKUP(Tapes!K14,OneWay100,2,TRUE),"R"),IF('Job Sheet'!BY14&lt;&gt;"",'Job Sheet'!BZ14,('Job Sheet'!BP14/100)-1)))</f>
        <v>66</v>
      </c>
      <c r="H14" s="27" t="str">
        <f>IF(OR(C14="",'Job Sheet'!AB14="Hand Operation"),"",'Job Sheet'!AH14)</f>
        <v/>
      </c>
      <c r="I14" s="27" t="str">
        <f>IF(OR(C14="",D14="Straight",'Job Sheet'!BT14=""),"",CONCATENATE('Job Sheet'!BT14,"mm @ ",180-'Job Sheet'!AM14,"° (",'Job Sheet'!AK14,")"))</f>
        <v/>
      </c>
      <c r="J14" s="27" t="str">
        <f>IF(OR(C14="",D14="Straight",'Job Sheet'!BU14=""),"",CONCATENATE('Job Sheet'!BU14,"mm @ ",180-'Job Sheet'!AP14,"° (",'Job Sheet'!AN14,")"))</f>
        <v/>
      </c>
      <c r="K14" s="27" t="str">
        <f>IF(OR(C14="",D14="Straight",'Job Sheet'!BV14=""),"",CONCATENATE('Job Sheet'!BV14,"mm @ ",180-'Job Sheet'!AS14,"° (",'Job Sheet'!AQ14,")"))</f>
        <v/>
      </c>
      <c r="L14" s="27" t="str">
        <f>IF(OR(C14="",D14="Straight",'Job Sheet'!BW14=""),"",CONCATENATE('Job Sheet'!BW14,"mm @ ",180-'Job Sheet'!AV14,"° (",'Job Sheet'!AT14,")"))</f>
        <v/>
      </c>
      <c r="M14" s="27" t="str">
        <f>IF(C14="","",'Job Sheet'!BN14)</f>
        <v>Alteration to curtain drop</v>
      </c>
      <c r="N14" s="174">
        <f>A14</f>
        <v>31</v>
      </c>
    </row>
    <row r="15" spans="1:14" s="163" customFormat="1" ht="66">
      <c r="A15" s="2">
        <f>IF('Job Sheet'!Z15="No Rod","",IF('Job Sheet'!Z15="No Track","",Data!AW15))</f>
        <v>32</v>
      </c>
      <c r="B15" s="7" t="str">
        <f>IF(C15="","",Data!AY15)</f>
        <v>Bed 3 ALTERATION</v>
      </c>
      <c r="C15" s="164" t="str">
        <f>IF(OR('Job Sheet'!BH15="Track from TBS",'Job Sheet'!BH15="Track from TWC",'Job Sheet'!BH15="Track from Vanda",'Job Sheet'!BH15="No Track Or Rod Required",$A$6="Brax Retail",$A$6="Brax Wholesale"),"",'Job Sheet'!Z15)</f>
        <v>Wavefold Hand Operation</v>
      </c>
      <c r="D15" s="165" t="str">
        <f>IF(C15="","",'Job Sheet'!AI15)</f>
        <v>Straight</v>
      </c>
      <c r="E15" s="27" t="str">
        <f>IF(C15="","",'Job Sheet'!AB15)</f>
        <v>Hand Operation</v>
      </c>
      <c r="F15" s="165" t="str">
        <f>IF(C15="","",'Job Sheet'!S15)</f>
        <v>Single Panel - Left Stacking</v>
      </c>
      <c r="G15" s="113">
        <f>IF(OR(C15="",'Job Sheet'!Z15="Conduit",Data!AV15=""),"",IF(OR('Job Sheet'!S15="Centre Opening (Offset Split)",'Job Sheet'!S15="Centre Opening - Free Flowing (Offset Split)"),CONCATENATE(VLOOKUP(Tapes!J15,OneWay100,2,TRUE),"L &amp; ",VLOOKUP(Tapes!K15,OneWay100,2,TRUE),"R"),IF('Job Sheet'!BY15&lt;&gt;"",'Job Sheet'!BZ15,('Job Sheet'!BP15/100)-1)))</f>
        <v>64</v>
      </c>
      <c r="H15" s="27" t="str">
        <f>IF(OR(C15="",'Job Sheet'!AB15="Hand Operation"),"",'Job Sheet'!AH15)</f>
        <v/>
      </c>
      <c r="I15" s="27" t="str">
        <f>IF(OR(C15="",D15="Straight",'Job Sheet'!BT15=""),"",CONCATENATE('Job Sheet'!BT15,"mm @ ",180-'Job Sheet'!AM15,"° (",'Job Sheet'!AK15,")"))</f>
        <v/>
      </c>
      <c r="J15" s="27" t="str">
        <f>IF(OR(C15="",D15="Straight",'Job Sheet'!BU15=""),"",CONCATENATE('Job Sheet'!BU15,"mm @ ",180-'Job Sheet'!AP15,"° (",'Job Sheet'!AN15,")"))</f>
        <v/>
      </c>
      <c r="K15" s="27" t="str">
        <f>IF(OR(C15="",D15="Straight",'Job Sheet'!BV15=""),"",CONCATENATE('Job Sheet'!BV15,"mm @ ",180-'Job Sheet'!AS15,"° (",'Job Sheet'!AQ15,")"))</f>
        <v/>
      </c>
      <c r="L15" s="27" t="str">
        <f>IF(OR(C15="",D15="Straight",'Job Sheet'!BW15=""),"",CONCATENATE('Job Sheet'!BW15,"mm @ ",180-'Job Sheet'!AV15,"° (",'Job Sheet'!AT15,")"))</f>
        <v/>
      </c>
      <c r="M15" s="27" t="str">
        <f>IF(C15="","",'Job Sheet'!BN15)</f>
        <v>Alteration to curtain drop</v>
      </c>
      <c r="N15" s="174">
        <f>A15</f>
        <v>32</v>
      </c>
    </row>
    <row r="16" spans="1:14" s="163" customFormat="1" ht="99">
      <c r="A16" s="2">
        <f>IF('Job Sheet'!Z16="No Rod","",IF('Job Sheet'!Z16="No Track","",Data!AW16))</f>
        <v>33</v>
      </c>
      <c r="B16" s="7" t="str">
        <f>IF(C16="","",Data!AY16)</f>
        <v>Back Hallway (IN) ALTERATION</v>
      </c>
      <c r="C16" s="164" t="str">
        <f>IF(OR('Job Sheet'!BH16="Track from TBS",'Job Sheet'!BH16="Track from TWC",'Job Sheet'!BH16="Track from Vanda",'Job Sheet'!BH16="No Track Or Rod Required",$A$6="Brax Retail",$A$6="Brax Wholesale"),"",'Job Sheet'!Z16)</f>
        <v>Wavefold Hand Operation</v>
      </c>
      <c r="D16" s="165" t="str">
        <f>IF(C16="","",'Job Sheet'!AI16)</f>
        <v>Straight</v>
      </c>
      <c r="E16" s="27" t="str">
        <f>IF(C16="","",'Job Sheet'!AB16)</f>
        <v>Hand Operation</v>
      </c>
      <c r="F16" s="165" t="str">
        <f>IF(C16="","",'Job Sheet'!S16)</f>
        <v>Centre Opening</v>
      </c>
      <c r="G16" s="113" t="str">
        <f>IF(OR(C16="",'Job Sheet'!Z16="Conduit",Data!AV16=""),"",IF(OR('Job Sheet'!S16="Centre Opening (Offset Split)",'Job Sheet'!S16="Centre Opening - Free Flowing (Offset Split)"),CONCATENATE(VLOOKUP(Tapes!J16,OneWay100,2,TRUE),"L &amp; ",VLOOKUP(Tapes!K16,OneWay100,2,TRUE),"R"),IF('Job Sheet'!BY16&lt;&gt;"",'Job Sheet'!BZ16,('Job Sheet'!BP16/100)-1)))</f>
        <v>2 x 28</v>
      </c>
      <c r="H16" s="27" t="str">
        <f>IF(OR(C16="",'Job Sheet'!AB16="Hand Operation"),"",'Job Sheet'!AH16)</f>
        <v/>
      </c>
      <c r="I16" s="27" t="str">
        <f>IF(OR(C16="",D16="Straight",'Job Sheet'!BT16=""),"",CONCATENATE('Job Sheet'!BT16,"mm @ ",180-'Job Sheet'!AM16,"° (",'Job Sheet'!AK16,")"))</f>
        <v/>
      </c>
      <c r="J16" s="27" t="str">
        <f>IF(OR(C16="",D16="Straight",'Job Sheet'!BU16=""),"",CONCATENATE('Job Sheet'!BU16,"mm @ ",180-'Job Sheet'!AP16,"° (",'Job Sheet'!AN16,")"))</f>
        <v/>
      </c>
      <c r="K16" s="27" t="str">
        <f>IF(OR(C16="",D16="Straight",'Job Sheet'!BV16=""),"",CONCATENATE('Job Sheet'!BV16,"mm @ ",180-'Job Sheet'!AS16,"° (",'Job Sheet'!AQ16,")"))</f>
        <v/>
      </c>
      <c r="L16" s="27" t="str">
        <f>IF(OR(C16="",D16="Straight",'Job Sheet'!BW16=""),"",CONCATENATE('Job Sheet'!BW16,"mm @ ",180-'Job Sheet'!AV16,"° (",'Job Sheet'!AT16,")"))</f>
        <v/>
      </c>
      <c r="M16" s="27" t="str">
        <f>IF(C16="","",'Job Sheet'!BN16)</f>
        <v>Alteration to curtain drop</v>
      </c>
      <c r="N16" s="174">
        <f>A16</f>
        <v>33</v>
      </c>
    </row>
    <row r="17" spans="1:14" s="163" customFormat="1" ht="99">
      <c r="A17" s="2">
        <f>IF('Job Sheet'!Z17="No Rod","",IF('Job Sheet'!Z17="No Track","",Data!AW17))</f>
        <v>34</v>
      </c>
      <c r="B17" s="7" t="str">
        <f>IF(C17="","",Data!AY17)</f>
        <v>Back Hallway (OUT) ALTERATION</v>
      </c>
      <c r="C17" s="164" t="str">
        <f>IF(OR('Job Sheet'!BH17="Track from TBS",'Job Sheet'!BH17="Track from TWC",'Job Sheet'!BH17="Track from Vanda",'Job Sheet'!BH17="No Track Or Rod Required",$A$6="Brax Retail",$A$6="Brax Wholesale"),"",'Job Sheet'!Z17)</f>
        <v>Wavefold Hand Operation</v>
      </c>
      <c r="D17" s="165" t="str">
        <f>IF(C17="","",'Job Sheet'!AI17)</f>
        <v>Straight</v>
      </c>
      <c r="E17" s="27" t="str">
        <f>IF(C17="","",'Job Sheet'!AB17)</f>
        <v>Hand Operation</v>
      </c>
      <c r="F17" s="165" t="str">
        <f>IF(C17="","",'Job Sheet'!S17)</f>
        <v>Single Panel - Right Stacking</v>
      </c>
      <c r="G17" s="113">
        <f>IF(OR(C17="",'Job Sheet'!Z17="Conduit",Data!AV17=""),"",IF(OR('Job Sheet'!S17="Centre Opening (Offset Split)",'Job Sheet'!S17="Centre Opening - Free Flowing (Offset Split)"),CONCATENATE(VLOOKUP(Tapes!J17,OneWay100,2,TRUE),"L &amp; ",VLOOKUP(Tapes!K17,OneWay100,2,TRUE),"R"),IF('Job Sheet'!BY17&lt;&gt;"",'Job Sheet'!BZ17,('Job Sheet'!BP17/100)-1)))</f>
        <v>42</v>
      </c>
      <c r="H17" s="27" t="str">
        <f>IF(OR(C17="",'Job Sheet'!AB17="Hand Operation"),"",'Job Sheet'!AH17)</f>
        <v/>
      </c>
      <c r="I17" s="27" t="str">
        <f>IF(OR(C17="",D17="Straight",'Job Sheet'!BT17=""),"",CONCATENATE('Job Sheet'!BT17,"mm @ ",180-'Job Sheet'!AM17,"° (",'Job Sheet'!AK17,")"))</f>
        <v/>
      </c>
      <c r="J17" s="27" t="str">
        <f>IF(OR(C17="",D17="Straight",'Job Sheet'!BU17=""),"",CONCATENATE('Job Sheet'!BU17,"mm @ ",180-'Job Sheet'!AP17,"° (",'Job Sheet'!AN17,")"))</f>
        <v/>
      </c>
      <c r="K17" s="27" t="str">
        <f>IF(OR(C17="",D17="Straight",'Job Sheet'!BV17=""),"",CONCATENATE('Job Sheet'!BV17,"mm @ ",180-'Job Sheet'!AS17,"° (",'Job Sheet'!AQ17,")"))</f>
        <v/>
      </c>
      <c r="L17" s="27" t="str">
        <f>IF(OR(C17="",D17="Straight",'Job Sheet'!BW17=""),"",CONCATENATE('Job Sheet'!BW17,"mm @ ",180-'Job Sheet'!AV17,"° (",'Job Sheet'!AT17,")"))</f>
        <v/>
      </c>
      <c r="M17" s="27" t="str">
        <f>IF(C17="","",'Job Sheet'!BN17)</f>
        <v>Alteration to curtain drop</v>
      </c>
      <c r="N17" s="174">
        <f>A17</f>
        <v>34</v>
      </c>
    </row>
    <row r="18" spans="1:14" s="163" customFormat="1" ht="66">
      <c r="A18" s="2">
        <f>IF('Job Sheet'!Z18="No Rod","",IF('Job Sheet'!Z18="No Track","",Data!AW18))</f>
        <v>35</v>
      </c>
      <c r="B18" s="7" t="str">
        <f>IF(C18="","",Data!AY18)</f>
        <v>Kitchen Door (IN) REMAKE</v>
      </c>
      <c r="C18" s="164" t="str">
        <f>IF(OR('Job Sheet'!BH18="Track from TBS",'Job Sheet'!BH18="Track from TWC",'Job Sheet'!BH18="Track from Vanda",'Job Sheet'!BH18="No Track Or Rod Required",$A$6="Brax Retail",$A$6="Brax Wholesale"),"",'Job Sheet'!Z18)</f>
        <v>Wavefold Hand Operation</v>
      </c>
      <c r="D18" s="165" t="str">
        <f>IF(C18="","",'Job Sheet'!AI18)</f>
        <v>Straight</v>
      </c>
      <c r="E18" s="27" t="str">
        <f>IF(C18="","",'Job Sheet'!AB18)</f>
        <v>Hand Operation</v>
      </c>
      <c r="F18" s="165" t="str">
        <f>IF(C18="","",'Job Sheet'!S18)</f>
        <v>Centre Opening</v>
      </c>
      <c r="G18" s="113" t="str">
        <f>IF(OR(C18="",'Job Sheet'!Z18="Conduit",Data!AV18=""),"",IF(OR('Job Sheet'!S18="Centre Opening (Offset Split)",'Job Sheet'!S18="Centre Opening - Free Flowing (Offset Split)"),CONCATENATE(VLOOKUP(Tapes!J18,OneWay100,2,TRUE),"L &amp; ",VLOOKUP(Tapes!K18,OneWay100,2,TRUE),"R"),IF('Job Sheet'!BY18&lt;&gt;"",'Job Sheet'!BZ18,('Job Sheet'!BP18/100)-1)))</f>
        <v>2 x 46</v>
      </c>
      <c r="H18" s="27" t="str">
        <f>IF(OR(C18="",'Job Sheet'!AB18="Hand Operation"),"",'Job Sheet'!AH18)</f>
        <v/>
      </c>
      <c r="I18" s="27" t="str">
        <f>IF(OR(C18="",D18="Straight",'Job Sheet'!BT18=""),"",CONCATENATE('Job Sheet'!BT18,"mm @ ",180-'Job Sheet'!AM18,"° (",'Job Sheet'!AK18,")"))</f>
        <v/>
      </c>
      <c r="J18" s="27" t="str">
        <f>IF(OR(C18="",D18="Straight",'Job Sheet'!BU18=""),"",CONCATENATE('Job Sheet'!BU18,"mm @ ",180-'Job Sheet'!AP18,"° (",'Job Sheet'!AN18,")"))</f>
        <v/>
      </c>
      <c r="K18" s="27" t="str">
        <f>IF(OR(C18="",D18="Straight",'Job Sheet'!BV18=""),"",CONCATENATE('Job Sheet'!BV18,"mm @ ",180-'Job Sheet'!AS18,"° (",'Job Sheet'!AQ18,")"))</f>
        <v/>
      </c>
      <c r="L18" s="27" t="str">
        <f>IF(OR(C18="",D18="Straight",'Job Sheet'!BW18=""),"",CONCATENATE('Job Sheet'!BW18,"mm @ ",180-'Job Sheet'!AV18,"° (",'Job Sheet'!AT18,")"))</f>
        <v/>
      </c>
      <c r="M18" s="27" t="str">
        <f>IF(C18="","",'Job Sheet'!BN18)</f>
        <v/>
      </c>
      <c r="N18" s="174">
        <f>A18</f>
        <v>35</v>
      </c>
    </row>
    <row r="19" spans="1:14" s="62" customFormat="1" ht="66">
      <c r="A19" s="2">
        <f>IF('Job Sheet'!Z19="No Rod","",IF('Job Sheet'!Z19="No Track","",Data!AW19))</f>
        <v>36</v>
      </c>
      <c r="B19" s="7" t="str">
        <f>IF(C19="","",Data!AY19)</f>
        <v>Second Lounge ALTERATION</v>
      </c>
      <c r="C19" s="164" t="str">
        <f>IF(OR('Job Sheet'!BH19="Track from TBS",'Job Sheet'!BH19="Track from TWC",'Job Sheet'!BH19="Track from Vanda",'Job Sheet'!BH19="No Track Or Rod Required",$A$6="Brax Retail",$A$6="Brax Wholesale"),"",'Job Sheet'!Z19)</f>
        <v>Wavefold Hand Operation</v>
      </c>
      <c r="D19" s="165" t="str">
        <f>IF(C19="","",'Job Sheet'!AI19)</f>
        <v>Straight</v>
      </c>
      <c r="E19" s="27" t="str">
        <f>IF(C19="","",'Job Sheet'!AB19)</f>
        <v>Hand Operation</v>
      </c>
      <c r="F19" s="165" t="str">
        <f>IF(C19="","",'Job Sheet'!S19)</f>
        <v>Centre Opening</v>
      </c>
      <c r="G19" s="113" t="str">
        <f>IF(OR(C19="",'Job Sheet'!Z19="Conduit",Data!AV19=""),"",IF(OR('Job Sheet'!S19="Centre Opening (Offset Split)",'Job Sheet'!S19="Centre Opening - Free Flowing (Offset Split)"),CONCATENATE(VLOOKUP(Tapes!J19,OneWay100,2,TRUE),"L &amp; ",VLOOKUP(Tapes!K19,OneWay100,2,TRUE),"R"),IF('Job Sheet'!BY19&lt;&gt;"",'Job Sheet'!BZ19,('Job Sheet'!BP19/100)-1)))</f>
        <v>2 x 40</v>
      </c>
      <c r="H19" s="27" t="str">
        <f>IF(OR(C19="",'Job Sheet'!AB19="Hand Operation"),"",'Job Sheet'!AH19)</f>
        <v/>
      </c>
      <c r="I19" s="27" t="str">
        <f>IF(OR(C19="",D19="Straight",'Job Sheet'!BT19=""),"",CONCATENATE('Job Sheet'!BT19,"mm @ ",180-'Job Sheet'!AM19,"° (",'Job Sheet'!AK19,")"))</f>
        <v/>
      </c>
      <c r="J19" s="27" t="str">
        <f>IF(OR(C19="",D19="Straight",'Job Sheet'!BU19=""),"",CONCATENATE('Job Sheet'!BU19,"mm @ ",180-'Job Sheet'!AP19,"° (",'Job Sheet'!AN19,")"))</f>
        <v/>
      </c>
      <c r="K19" s="27" t="str">
        <f>IF(OR(C19="",D19="Straight",'Job Sheet'!BV19=""),"",CONCATENATE('Job Sheet'!BV19,"mm @ ",180-'Job Sheet'!AS19,"° (",'Job Sheet'!AQ19,")"))</f>
        <v/>
      </c>
      <c r="L19" s="27" t="str">
        <f>IF(OR(C19="",D19="Straight",'Job Sheet'!BW19=""),"",CONCATENATE('Job Sheet'!BW19,"mm @ ",180-'Job Sheet'!AV19,"° (",'Job Sheet'!AT19,")"))</f>
        <v/>
      </c>
      <c r="M19" s="27" t="str">
        <f>IF(C19="","",'Job Sheet'!BN19)</f>
        <v>Alteration to curtain drop</v>
      </c>
      <c r="N19" s="174">
        <f>A19</f>
        <v>36</v>
      </c>
    </row>
    <row r="20" spans="1:14" s="62" customFormat="1" ht="66">
      <c r="A20" s="226">
        <f>IF('Job Sheet'!Z20="No Rod","",IF('Job Sheet'!Z20="No Track","",Data!AW20))</f>
        <v>37</v>
      </c>
      <c r="B20" s="236" t="str">
        <f>IF(C20="","",Data!AY20)</f>
        <v>Front Lounge 1 ALTERATION</v>
      </c>
      <c r="C20" s="164" t="str">
        <f>IF(OR('Job Sheet'!BH20="Track from TBS",'Job Sheet'!BH20="Track from TWC",'Job Sheet'!BH20="Track from Vanda",'Job Sheet'!BH20="No Track Or Rod Required",$A$6="Brax Retail",$A$6="Brax Wholesale"),"",'Job Sheet'!Z20)</f>
        <v>Wavefold Hand Operation</v>
      </c>
      <c r="D20" s="165" t="str">
        <f>IF(C20="","",'Job Sheet'!AI20)</f>
        <v>Straight</v>
      </c>
      <c r="E20" s="27" t="str">
        <f>IF(C20="","",'Job Sheet'!AB20)</f>
        <v>Hand Operation</v>
      </c>
      <c r="F20" s="165" t="str">
        <f>IF(C20="","",'Job Sheet'!S20)</f>
        <v>Centre Opening</v>
      </c>
      <c r="G20" s="113" t="str">
        <f>IF(OR(C20="",'Job Sheet'!Z20="Conduit",Data!AV20=""),"",IF(OR('Job Sheet'!S20="Centre Opening (Offset Split)",'Job Sheet'!S20="Centre Opening - Free Flowing (Offset Split)"),CONCATENATE(VLOOKUP(Tapes!J20,OneWay100,2,TRUE),"L &amp; ",VLOOKUP(Tapes!K20,OneWay100,2,TRUE),"R"),IF('Job Sheet'!BY20&lt;&gt;"",'Job Sheet'!BZ20,('Job Sheet'!BP20/100)-1)))</f>
        <v>2 x 50</v>
      </c>
      <c r="H20" s="27" t="str">
        <f>IF(OR(C20="",'Job Sheet'!AB20="Hand Operation"),"",'Job Sheet'!AH20)</f>
        <v/>
      </c>
      <c r="I20" s="27" t="str">
        <f>IF(OR(C20="",D20="Straight",'Job Sheet'!BT20=""),"",CONCATENATE('Job Sheet'!BT20,"mm @ ",180-'Job Sheet'!AM20,"° (",'Job Sheet'!AK20,")"))</f>
        <v/>
      </c>
      <c r="J20" s="27" t="str">
        <f>IF(OR(C20="",D20="Straight",'Job Sheet'!BU20=""),"",CONCATENATE('Job Sheet'!BU20,"mm @ ",180-'Job Sheet'!AP20,"° (",'Job Sheet'!AN20,")"))</f>
        <v/>
      </c>
      <c r="K20" s="27" t="str">
        <f>IF(OR(C20="",D20="Straight",'Job Sheet'!BV20=""),"",CONCATENATE('Job Sheet'!BV20,"mm @ ",180-'Job Sheet'!AS20,"° (",'Job Sheet'!AQ20,")"))</f>
        <v/>
      </c>
      <c r="L20" s="27" t="str">
        <f>IF(OR(C20="",D20="Straight",'Job Sheet'!BW20=""),"",CONCATENATE('Job Sheet'!BW20,"mm @ ",180-'Job Sheet'!AV20,"° (",'Job Sheet'!AT20,")"))</f>
        <v/>
      </c>
      <c r="M20" s="27" t="str">
        <f>IF(C20="","",'Job Sheet'!BN20)</f>
        <v>Alteration to curtain drop and change curtain and track to CCO</v>
      </c>
      <c r="N20" s="174">
        <f>A20</f>
        <v>37</v>
      </c>
    </row>
    <row r="21" spans="1:14" ht="66">
      <c r="A21" s="226">
        <f>IF('Job Sheet'!Z21="No Rod","",IF('Job Sheet'!Z21="No Track","",Data!AW21))</f>
        <v>38</v>
      </c>
      <c r="B21" s="236" t="str">
        <f>IF(C21="","",Data!AY21)</f>
        <v>Front Lounge 2 ALTERATION</v>
      </c>
      <c r="C21" s="164" t="str">
        <f>IF(OR('Job Sheet'!BH21="Track from TBS",'Job Sheet'!BH21="Track from TWC",'Job Sheet'!BH21="Track from Vanda",'Job Sheet'!BH21="No Track Or Rod Required",$A$6="Brax Retail",$A$6="Brax Wholesale"),"",'Job Sheet'!Z21)</f>
        <v>Wavefold Hand Operation</v>
      </c>
      <c r="D21" s="165" t="str">
        <f>IF(C21="","",'Job Sheet'!AI21)</f>
        <v>Straight</v>
      </c>
      <c r="E21" s="27" t="str">
        <f>IF(C21="","",'Job Sheet'!AB21)</f>
        <v>Hand Operation</v>
      </c>
      <c r="F21" s="165" t="str">
        <f>IF(C21="","",'Job Sheet'!S21)</f>
        <v>Single Panel - Right Stacking</v>
      </c>
      <c r="G21" s="113">
        <f>IF(OR(C21="",'Job Sheet'!Z21="Conduit",Data!AV21=""),"",IF(OR('Job Sheet'!S21="Centre Opening (Offset Split)",'Job Sheet'!S21="Centre Opening - Free Flowing (Offset Split)"),CONCATENATE(VLOOKUP(Tapes!J21,OneWay100,2,TRUE),"L &amp; ",VLOOKUP(Tapes!K21,OneWay100,2,TRUE),"R"),IF('Job Sheet'!BY21&lt;&gt;"",'Job Sheet'!BZ21,('Job Sheet'!BP21/100)-1)))</f>
        <v>58</v>
      </c>
      <c r="H21" s="27" t="str">
        <f>IF(OR(C21="",'Job Sheet'!AB21="Hand Operation"),"",'Job Sheet'!AH21)</f>
        <v/>
      </c>
      <c r="I21" s="27" t="str">
        <f>IF(OR(C21="",D21="Straight",'Job Sheet'!BT21=""),"",CONCATENATE('Job Sheet'!BT21,"mm @ ",180-'Job Sheet'!AM21,"° (",'Job Sheet'!AK21,")"))</f>
        <v/>
      </c>
      <c r="J21" s="27" t="str">
        <f>IF(OR(C21="",D21="Straight",'Job Sheet'!BU21=""),"",CONCATENATE('Job Sheet'!BU21,"mm @ ",180-'Job Sheet'!AP21,"° (",'Job Sheet'!AN21,")"))</f>
        <v/>
      </c>
      <c r="K21" s="27" t="str">
        <f>IF(OR(C21="",D21="Straight",'Job Sheet'!BV21=""),"",CONCATENATE('Job Sheet'!BV21,"mm @ ",180-'Job Sheet'!AS21,"° (",'Job Sheet'!AQ21,")"))</f>
        <v/>
      </c>
      <c r="L21" s="27" t="str">
        <f>IF(OR(C21="",D21="Straight",'Job Sheet'!BW21=""),"",CONCATENATE('Job Sheet'!BW21,"mm @ ",180-'Job Sheet'!AV21,"° (",'Job Sheet'!AT21,")"))</f>
        <v/>
      </c>
      <c r="M21" s="27" t="str">
        <f>IF(C21="","",'Job Sheet'!BN21)</f>
        <v>Alteration to curtain drop</v>
      </c>
      <c r="N21" s="174">
        <f>A21</f>
        <v>38</v>
      </c>
    </row>
    <row r="22" spans="1:14" ht="66">
      <c r="A22" s="226">
        <f>IF('Job Sheet'!Z22="No Rod","",IF('Job Sheet'!Z22="No Track","",Data!AW22))</f>
        <v>39</v>
      </c>
      <c r="B22" s="236" t="str">
        <f>IF(C22="","",Data!AY22)</f>
        <v>Master Door ALTERATION</v>
      </c>
      <c r="C22" s="164" t="str">
        <f>IF(OR('Job Sheet'!BH22="Track from TBS",'Job Sheet'!BH22="Track from TWC",'Job Sheet'!BH22="Track from Vanda",'Job Sheet'!BH22="No Track Or Rod Required",$A$6="Brax Retail",$A$6="Brax Wholesale"),"",'Job Sheet'!Z22)</f>
        <v>Streamline Hand Operation</v>
      </c>
      <c r="D22" s="165" t="str">
        <f>IF(C22="","",'Job Sheet'!AI22)</f>
        <v>Straight</v>
      </c>
      <c r="E22" s="27" t="str">
        <f>IF(C22="","",'Job Sheet'!AB22)</f>
        <v>Hand Operation</v>
      </c>
      <c r="F22" s="165" t="str">
        <f>IF(C22="","",'Job Sheet'!S22)</f>
        <v>Centre Opening</v>
      </c>
      <c r="G22" s="113">
        <f>IF(OR(C22="",'Job Sheet'!Z22="Conduit",Data!AV22=""),"",IF(OR('Job Sheet'!S22="Centre Opening (Offset Split)",'Job Sheet'!S22="Centre Opening - Free Flowing (Offset Split)"),CONCATENATE(VLOOKUP(Tapes!J22,OneWay100,2,TRUE),"L &amp; ",VLOOKUP(Tapes!K22,OneWay100,2,TRUE),"R"),IF('Job Sheet'!BY22&lt;&gt;"",'Job Sheet'!BZ22,('Job Sheet'!BP22/100)-1)))</f>
        <v>34.37</v>
      </c>
      <c r="H22" s="27" t="str">
        <f>IF(OR(C22="",'Job Sheet'!AB22="Hand Operation"),"",'Job Sheet'!AH22)</f>
        <v/>
      </c>
      <c r="I22" s="27" t="str">
        <f>IF(OR(C22="",D22="Straight",'Job Sheet'!BT22=""),"",CONCATENATE('Job Sheet'!BT22,"mm @ ",180-'Job Sheet'!AM22,"° (",'Job Sheet'!AK22,")"))</f>
        <v/>
      </c>
      <c r="J22" s="27" t="str">
        <f>IF(OR(C22="",D22="Straight",'Job Sheet'!BU22=""),"",CONCATENATE('Job Sheet'!BU22,"mm @ ",180-'Job Sheet'!AP22,"° (",'Job Sheet'!AN22,")"))</f>
        <v/>
      </c>
      <c r="K22" s="27" t="str">
        <f>IF(OR(C22="",D22="Straight",'Job Sheet'!BV22=""),"",CONCATENATE('Job Sheet'!BV22,"mm @ ",180-'Job Sheet'!AS22,"° (",'Job Sheet'!AQ22,")"))</f>
        <v/>
      </c>
      <c r="L22" s="27" t="str">
        <f>IF(OR(C22="",D22="Straight",'Job Sheet'!BW22=""),"",CONCATENATE('Job Sheet'!BW22,"mm @ ",180-'Job Sheet'!AV22,"° (",'Job Sheet'!AT22,")"))</f>
        <v/>
      </c>
      <c r="M22" s="27" t="str">
        <f>IF(C22="","",'Job Sheet'!BN22)</f>
        <v>Alteration to curtain drop</v>
      </c>
      <c r="N22" s="174">
        <f>A22</f>
        <v>39</v>
      </c>
    </row>
    <row r="23" spans="1:14" ht="60" customHeight="1">
      <c r="A23" s="62"/>
      <c r="B23" s="62"/>
      <c r="C23" s="62"/>
      <c r="D23" s="62"/>
      <c r="E23" s="62"/>
      <c r="F23" s="62"/>
      <c r="G23" s="62"/>
      <c r="H23" s="32"/>
      <c r="I23" s="32"/>
      <c r="J23" s="32"/>
      <c r="K23" s="32"/>
      <c r="L23" s="32"/>
      <c r="M23" s="32"/>
      <c r="N23" s="32"/>
    </row>
    <row r="24" spans="1:14" ht="60" customHeight="1">
      <c r="A24" s="62"/>
      <c r="B24" s="62"/>
      <c r="C24" s="62"/>
      <c r="D24" s="62"/>
      <c r="E24" s="62"/>
      <c r="F24" s="62"/>
      <c r="G24" s="62"/>
      <c r="H24" s="32"/>
      <c r="I24" s="32"/>
      <c r="J24" s="32"/>
      <c r="K24" s="32"/>
      <c r="L24" s="32"/>
      <c r="M24" s="32"/>
      <c r="N24" s="32"/>
    </row>
    <row r="25" spans="1:14" ht="60" customHeight="1">
      <c r="A25" s="62"/>
      <c r="B25" s="62"/>
      <c r="C25" s="62"/>
      <c r="D25" s="62"/>
      <c r="E25" s="62"/>
      <c r="F25" s="62"/>
      <c r="G25" s="62"/>
      <c r="H25" s="32"/>
      <c r="I25" s="32"/>
      <c r="J25" s="32"/>
      <c r="K25" s="32"/>
      <c r="L25" s="32"/>
      <c r="M25" s="32"/>
      <c r="N25" s="32"/>
    </row>
    <row r="26" spans="1:14" ht="60" customHeight="1">
      <c r="A26" s="62"/>
      <c r="B26" s="62"/>
      <c r="C26" s="62"/>
      <c r="D26" s="62"/>
      <c r="E26" s="62"/>
      <c r="F26" s="62"/>
      <c r="G26" s="62"/>
      <c r="H26" s="32"/>
      <c r="I26" s="32"/>
      <c r="J26" s="32"/>
      <c r="K26" s="32"/>
      <c r="L26" s="32"/>
      <c r="M26" s="32"/>
      <c r="N26" s="32"/>
    </row>
  </sheetData>
  <sheetProtection formatCells="0" formatRows="0" insertColumns="0" insertRows="0"/>
  <mergeCells count="33">
    <mergeCell ref="A1:N1"/>
    <mergeCell ref="I8:I10"/>
    <mergeCell ref="J8:J10"/>
    <mergeCell ref="K8:K10"/>
    <mergeCell ref="L8:L10"/>
    <mergeCell ref="A2:B2"/>
    <mergeCell ref="A8:A10"/>
    <mergeCell ref="M8:M10"/>
    <mergeCell ref="F8:F10"/>
    <mergeCell ref="B8:B10"/>
    <mergeCell ref="C8:C10"/>
    <mergeCell ref="E8:E10"/>
    <mergeCell ref="K3:N7"/>
    <mergeCell ref="N8:N10"/>
    <mergeCell ref="C3:D3"/>
    <mergeCell ref="F2:J2"/>
    <mergeCell ref="C5:D5"/>
    <mergeCell ref="K2:N2"/>
    <mergeCell ref="G8:G10"/>
    <mergeCell ref="A3:B3"/>
    <mergeCell ref="A4:B4"/>
    <mergeCell ref="A5:B5"/>
    <mergeCell ref="E5:E7"/>
    <mergeCell ref="F7:J7"/>
    <mergeCell ref="F6:J6"/>
    <mergeCell ref="F5:J5"/>
    <mergeCell ref="F4:J4"/>
    <mergeCell ref="F3:J3"/>
    <mergeCell ref="C2:D2"/>
    <mergeCell ref="H8:H10"/>
    <mergeCell ref="C4:D4"/>
    <mergeCell ref="D8:D10"/>
    <mergeCell ref="A6:D7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AF3F6-6A34-498E-934F-F7B2AADBBADB}">
  <sheetPr codeName="Sheet6">
    <pageSetUpPr fitToPage="1"/>
  </sheetPr>
  <dimension ref="A1:N22"/>
  <sheetViews>
    <sheetView showZeros="0" view="pageBreakPreview" zoomScale="40" zoomScaleNormal="25" zoomScaleSheetLayoutView="40" zoomScalePageLayoutView="25" workbookViewId="0" topLeftCell="A1">
      <selection pane="topLeft" activeCell="A11" sqref="A11:XFD20"/>
    </sheetView>
  </sheetViews>
  <sheetFormatPr defaultColWidth="9.44140625" defaultRowHeight="40.2" customHeight="1"/>
  <cols>
    <col min="1" max="1" width="11.4285714285714" style="28" customWidth="1"/>
    <col min="2" max="3" width="40.5714285714286" style="28" customWidth="1"/>
    <col min="4" max="4" width="33.5714285714286" style="28" customWidth="1"/>
    <col min="5" max="5" width="28.4285714285714" style="28" customWidth="1"/>
    <col min="6" max="6" width="18.5714285714286" style="28" customWidth="1"/>
    <col min="7" max="7" width="20.5714285714286" style="28" customWidth="1"/>
    <col min="8" max="8" width="47.4285714285714" style="28" customWidth="1"/>
    <col min="9" max="9" width="25.4285714285714" style="28" customWidth="1"/>
    <col min="10" max="10" width="26.4285714285714" style="28" customWidth="1"/>
    <col min="11" max="11" width="24.1428571428571" style="28" customWidth="1"/>
    <col min="12" max="12" width="24.4285714285714" style="28" customWidth="1"/>
    <col min="13" max="13" width="95" style="28" customWidth="1"/>
    <col min="14" max="14" width="22.5714285714286" customWidth="1"/>
  </cols>
  <sheetData>
    <row r="1" spans="1:14" s="17" customFormat="1" ht="219.45" customHeight="1">
      <c r="A1" s="326" t="s">
        <v>534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8"/>
    </row>
    <row r="2" spans="1:14" s="19" customFormat="1" ht="50.1" customHeight="1">
      <c r="A2" s="240" t="s">
        <v>7</v>
      </c>
      <c r="B2" s="240"/>
      <c r="C2" s="237"/>
      <c r="D2" s="237"/>
      <c r="E2" s="283" t="s">
        <v>94</v>
      </c>
      <c r="F2" s="329"/>
      <c r="G2" s="284"/>
      <c r="H2" s="278" t="str">
        <f>Data!BF5</f>
        <v>Hare, Kaitlin</v>
      </c>
      <c r="I2" s="279"/>
      <c r="J2" s="279"/>
      <c r="K2" s="280"/>
      <c r="L2" s="305" t="s">
        <v>4</v>
      </c>
      <c r="M2" s="306"/>
      <c r="N2" s="306"/>
    </row>
    <row r="3" spans="1:14" s="19" customFormat="1" ht="50.1" customHeight="1">
      <c r="A3" s="240" t="s">
        <v>117</v>
      </c>
      <c r="B3" s="240"/>
      <c r="C3" s="227" t="str">
        <f>Data!BC5</f>
        <v>39776</v>
      </c>
      <c r="D3" s="227"/>
      <c r="E3" s="342" t="s">
        <v>8</v>
      </c>
      <c r="F3" s="343"/>
      <c r="G3" s="344"/>
      <c r="H3" s="285" t="str">
        <f>Data!AX5</f>
        <v>Whole House</v>
      </c>
      <c r="I3" s="286"/>
      <c r="J3" s="286"/>
      <c r="K3" s="287"/>
      <c r="L3" s="309" t="str">
        <f>IF(OR(Data!BA11="",C10=""),"",Data!BG5)</f>
        <v/>
      </c>
      <c r="M3" s="310"/>
      <c r="N3" s="310"/>
    </row>
    <row r="4" spans="1:14" s="8" customFormat="1" ht="50.1" customHeight="1">
      <c r="A4" s="226" t="s">
        <v>14</v>
      </c>
      <c r="B4" s="226"/>
      <c r="C4" s="227" t="str">
        <f>Data!BD5</f>
        <v>F</v>
      </c>
      <c r="D4" s="227"/>
      <c r="E4" s="342" t="s">
        <v>112</v>
      </c>
      <c r="F4" s="343"/>
      <c r="G4" s="344"/>
      <c r="H4" s="285" t="str">
        <f>Data!BA5</f>
        <v>13/10/2026 12:00:00 AM</v>
      </c>
      <c r="I4" s="286"/>
      <c r="J4" s="286"/>
      <c r="K4" s="287"/>
      <c r="L4" s="312"/>
      <c r="M4" s="313"/>
      <c r="N4" s="313"/>
    </row>
    <row r="5" spans="1:14" s="8" customFormat="1" ht="50.1" customHeight="1">
      <c r="A5" s="230" t="s">
        <v>9</v>
      </c>
      <c r="B5" s="230"/>
      <c r="C5" s="231" t="str">
        <f>Data!AY5</f>
        <v>12/08/2026 12:00:00 AM</v>
      </c>
      <c r="D5" s="231"/>
      <c r="E5" s="333" t="s">
        <v>12</v>
      </c>
      <c r="F5" s="334"/>
      <c r="G5" s="335"/>
      <c r="H5" s="278" t="str">
        <f>TRIM(Data!BF5)</f>
        <v>Hare, Kaitlin</v>
      </c>
      <c r="I5" s="279"/>
      <c r="J5" s="279"/>
      <c r="K5" s="280"/>
      <c r="L5" s="312"/>
      <c r="M5" s="313"/>
      <c r="N5" s="313"/>
    </row>
    <row r="6" spans="1:14" s="8" customFormat="1" ht="50.1" customHeight="1">
      <c r="A6" s="232" t="str">
        <f>Data!CZ5</f>
        <v>Retail Customer</v>
      </c>
      <c r="B6" s="232"/>
      <c r="C6" s="232"/>
      <c r="D6" s="232"/>
      <c r="E6" s="336"/>
      <c r="F6" s="337"/>
      <c r="G6" s="338"/>
      <c r="H6" s="278" t="str">
        <f>CONCATENATE(Data!BH5," ",Data!BI5," ",Data!BJ5," ",Data!BK5," ",Data!BL5)</f>
        <v xml:space="preserve"> 219  Wendouree Parade  </v>
      </c>
      <c r="I6" s="279"/>
      <c r="J6" s="279"/>
      <c r="K6" s="280"/>
      <c r="L6" s="312"/>
      <c r="M6" s="313"/>
      <c r="N6" s="313"/>
    </row>
    <row r="7" spans="1:14" s="8" customFormat="1" ht="50.1" customHeight="1">
      <c r="A7" s="232"/>
      <c r="B7" s="232"/>
      <c r="C7" s="232"/>
      <c r="D7" s="232"/>
      <c r="E7" s="339"/>
      <c r="F7" s="340"/>
      <c r="G7" s="341"/>
      <c r="H7" s="278" t="str">
        <f>CONCATENATE(Data!BM5," ",Data!BN5," ",Data!BO5," ",Data!BP5)</f>
        <v>Lake Wendouree VIC 3350 Australia</v>
      </c>
      <c r="I7" s="279"/>
      <c r="J7" s="279"/>
      <c r="K7" s="280"/>
      <c r="L7" s="315"/>
      <c r="M7" s="316"/>
      <c r="N7" s="316"/>
    </row>
    <row r="8" spans="1:14" s="42" customFormat="1" ht="50.1" customHeight="1">
      <c r="A8" s="321" t="s">
        <v>116</v>
      </c>
      <c r="B8" s="320" t="s">
        <v>96</v>
      </c>
      <c r="C8" s="325" t="s">
        <v>147</v>
      </c>
      <c r="D8" s="320" t="s">
        <v>152</v>
      </c>
      <c r="E8" s="320" t="s">
        <v>7578</v>
      </c>
      <c r="F8" s="320" t="s">
        <v>7579</v>
      </c>
      <c r="G8" s="325" t="s">
        <v>5757</v>
      </c>
      <c r="H8" s="320" t="s">
        <v>153</v>
      </c>
      <c r="I8" s="320" t="s">
        <v>150</v>
      </c>
      <c r="J8" s="322" t="s">
        <v>5685</v>
      </c>
      <c r="K8" s="320" t="s">
        <v>155</v>
      </c>
      <c r="L8" s="320" t="s">
        <v>290</v>
      </c>
      <c r="M8" s="322" t="s">
        <v>5</v>
      </c>
      <c r="N8" s="330" t="s">
        <v>10255</v>
      </c>
    </row>
    <row r="9" spans="1:14" s="42" customFormat="1" ht="14.25" customHeight="1" hidden="1">
      <c r="A9" s="321"/>
      <c r="B9" s="320"/>
      <c r="C9" s="325"/>
      <c r="D9" s="320"/>
      <c r="E9" s="320"/>
      <c r="F9" s="320"/>
      <c r="G9" s="325"/>
      <c r="H9" s="320"/>
      <c r="I9" s="320"/>
      <c r="J9" s="323"/>
      <c r="K9" s="320"/>
      <c r="L9" s="320"/>
      <c r="M9" s="323"/>
      <c r="N9" s="331"/>
    </row>
    <row r="10" spans="1:14" s="43" customFormat="1" ht="72.75" customHeight="1">
      <c r="A10" s="321"/>
      <c r="B10" s="320"/>
      <c r="C10" s="325"/>
      <c r="D10" s="320"/>
      <c r="E10" s="320"/>
      <c r="F10" s="320"/>
      <c r="G10" s="325"/>
      <c r="H10" s="320"/>
      <c r="I10" s="320"/>
      <c r="J10" s="324"/>
      <c r="K10" s="320"/>
      <c r="L10" s="320"/>
      <c r="M10" s="324"/>
      <c r="N10" s="332"/>
    </row>
    <row r="11" spans="1:14" s="24" customFormat="1" ht="33">
      <c r="A11" s="127">
        <f>IF('Job Sheet'!Z11="No Rod","",IF('Job Sheet'!Z11="No Track","",Data!AW11))</f>
        <v>28</v>
      </c>
      <c r="B11" s="7" t="str">
        <f>IF(C11="","",Data!AY11)</f>
        <v/>
      </c>
      <c r="C11" s="7" t="str">
        <f>IF(OR('Job Sheet'!BH11="Track from TBS",'Job Sheet'!BH11="Track from TWC",'Job Sheet'!BH11="Track from Vanda",'Job Sheet'!BH11="No Track Or Rod Required",$A$6="Brax Retail",$A$6="Brax Wholesale"),"",'Job Sheet'!Z11)</f>
        <v/>
      </c>
      <c r="D11" s="27" t="str">
        <f>IF(C11="","",IF(AND('Job Sheet'!AD11="Top Fix Brackets",(OR(C11="Streamline Hand Operation",C11="Streamline Cord Operation"))),"Nylon Top Fix Brackets",'Job Sheet'!AD11))</f>
        <v/>
      </c>
      <c r="E11" s="27" t="str">
        <f>IF(C11="","",'Job Sheet'!AA11)</f>
        <v/>
      </c>
      <c r="F11" s="27" t="str">
        <f>IF(C11="","",IF(D11="Nylon Top Fix Brackets",CONCATENATE(VLOOKUP('Tube Cutting'!C11,Brackets,2,TRUE)," Brackets, Nuts &amp; Bolts"),IFERROR(IF(D11=VLOOKUP(D11,RodBrackets,1,FALSE),VLOOKUP(D11,RodBrackets,2,FALSE)),IFERROR(VLOOKUP('Tube Cutting'!C11,Brackets,2,TRUE),""))))</f>
        <v/>
      </c>
      <c r="G11" s="27" t="str">
        <f>IF(C11="","",IF(D11="Nylon Top Fix Brackets","",IF(OR(C11="Wavefold Hand Operation",C11="Wavefold Cord Operation",C11="Streamline Hand Operation",C11="StreamlineCord Operation"),F11,"")))</f>
        <v/>
      </c>
      <c r="H11" s="27" t="str">
        <f>IF(C11="","",IF(K11="Bent (Conduit)",CONCATENATE("25mm Unstayed Brackets x ",Components!EK3," /// Elbow Joiners x ",Components!EM3),'Job Sheet'!AH11))</f>
        <v/>
      </c>
      <c r="I11" s="27" t="str">
        <f>IF(C11="","",IF(AND('Job Sheet'!AB11="Hand Operation",OR('Job Sheet'!S11="Single Panel - Right Stacking",'Job Sheet'!S11="Single Panel - Left Stacking")),"1",IF(AND('Job Sheet'!AB11="Hand Operation",OR('Job Sheet'!S11="Single Panel - Free Flowing",'Job Sheet'!S11="Centre Opening",'Job Sheet'!S11="Centre Opening (Offset Split)")),"2",IF(AND('Job Sheet'!AB11="Hand Operation",OR('Job Sheet'!S11="Centre Opening - Free Flowing",'Job Sheet'!S11="Centre Opening - Free Flowing (Offset Split)")),"4",""))))</f>
        <v/>
      </c>
      <c r="J11" s="27" t="str">
        <f>IF(C11="","",IFERROR(IF(CONCATENATE(C11,D11,'Job Sheet'!X11)=VLOOKUP(CONCATENATE(C11,D11,'Job Sheet'!X11),WavefoldReturns,1,FALSE),VLOOKUP(CONCATENATE(C11,D11,'Job Sheet'!X11),WavefoldReturns,2,FALSE)),""))</f>
        <v/>
      </c>
      <c r="K11" s="27" t="str">
        <f>IF(C11="","",'Job Sheet'!AI11)</f>
        <v/>
      </c>
      <c r="L11" s="27" t="str">
        <f>IF(C11="","",'Job Sheet'!AE11)</f>
        <v/>
      </c>
      <c r="M11" s="27" t="str">
        <f>IF(C11="","",'Job Sheet'!BN11)</f>
        <v/>
      </c>
      <c r="N11" s="175">
        <f>A11</f>
        <v>28</v>
      </c>
    </row>
    <row r="12" spans="1:14" s="24" customFormat="1" ht="66">
      <c r="A12" s="127">
        <f>IF('Job Sheet'!Z12="No Rod","",IF('Job Sheet'!Z12="No Track","",Data!AW12))</f>
        <v>29</v>
      </c>
      <c r="B12" s="7" t="str">
        <f>IF(C12="","",Data!AY12)</f>
        <v>Hallway Door (IN) ALTERATION</v>
      </c>
      <c r="C12" s="7" t="str">
        <f>IF(OR('Job Sheet'!BH12="Track from TBS",'Job Sheet'!BH12="Track from TWC",'Job Sheet'!BH12="Track from Vanda",'Job Sheet'!BH12="No Track Or Rod Required",$A$6="Brax Retail",$A$6="Brax Wholesale"),"",'Job Sheet'!Z12)</f>
        <v>Wavefold Hand Operation</v>
      </c>
      <c r="D12" s="27" t="str">
        <f>IF(C12="","",IF(AND('Job Sheet'!AD12="Top Fix Brackets",(OR(C12="Streamline Hand Operation",C12="Streamline Cord Operation"))),"Nylon Top Fix Brackets",'Job Sheet'!AD12))</f>
        <v>Single Face Fix Brackets</v>
      </c>
      <c r="E12" s="27" t="str">
        <f>IF(C12="","",'Job Sheet'!AA12)</f>
        <v>White</v>
      </c>
      <c r="F12" s="27">
        <f>IF(C12="","",IF(D12="Nylon Top Fix Brackets",CONCATENATE(VLOOKUP('Tube Cutting'!C12,Brackets,2,TRUE)," Brackets, Nuts &amp; Bolts"),IFERROR(IF(D12=VLOOKUP(D12,RodBrackets,1,FALSE),VLOOKUP(D12,RodBrackets,2,FALSE)),IFERROR(VLOOKUP('Tube Cutting'!C12,Brackets,2,TRUE),""))))</f>
        <v>5</v>
      </c>
      <c r="G12" s="27">
        <f>IF(C12="","",IF(D12="Nylon Top Fix Brackets","",IF(OR(C12="Wavefold Hand Operation",C12="Wavefold Cord Operation",C12="Streamline Hand Operation",C12="StreamlineCord Operation"),F12,"")))</f>
        <v>5</v>
      </c>
      <c r="H12" s="27" t="str">
        <f>IF(C12="","",IF(K12="Bent (Conduit)",CONCATENATE("25mm Unstayed Brackets x ",Components!EK4," /// Elbow Joiners x ",Components!EM4),'Job Sheet'!AH12))</f>
        <v>White Aluminium Flick Sticks 125cm</v>
      </c>
      <c r="I12" s="27" t="str">
        <f>IF(C12="","",IF(AND('Job Sheet'!AB12="Hand Operation",OR('Job Sheet'!S12="Single Panel - Right Stacking",'Job Sheet'!S12="Single Panel - Left Stacking")),"1",IF(AND('Job Sheet'!AB12="Hand Operation",OR('Job Sheet'!S12="Single Panel - Free Flowing",'Job Sheet'!S12="Centre Opening",'Job Sheet'!S12="Centre Opening (Offset Split)")),"2",IF(AND('Job Sheet'!AB12="Hand Operation",OR('Job Sheet'!S12="Centre Opening - Free Flowing",'Job Sheet'!S12="Centre Opening - Free Flowing (Offset Split)")),"4",""))))</f>
        <v>2</v>
      </c>
      <c r="J12" s="27" t="str">
        <f>IF(C12="","",IFERROR(IF(CONCATENATE(C12,D12,'Job Sheet'!X12)=VLOOKUP(CONCATENATE(C12,D12,'Job Sheet'!X12),WavefoldReturns,1,FALSE),VLOOKUP(CONCATENATE(C12,D12,'Job Sheet'!X12),WavefoldReturns,2,FALSE)),""))</f>
        <v/>
      </c>
      <c r="K12" s="27" t="str">
        <f>IF(C12="","",'Job Sheet'!AI12)</f>
        <v>Straight</v>
      </c>
      <c r="L12" s="27" t="str">
        <f>IF(C12="","",'Job Sheet'!AE12)</f>
        <v/>
      </c>
      <c r="M12" s="27" t="str">
        <f>IF(C12="","",'Job Sheet'!BN12)</f>
        <v>Alteration to curtain drop</v>
      </c>
      <c r="N12" s="175">
        <f>A12</f>
        <v>29</v>
      </c>
    </row>
    <row r="13" spans="1:14" s="24" customFormat="1" ht="66">
      <c r="A13" s="127">
        <f>IF('Job Sheet'!Z13="No Rod","",IF('Job Sheet'!Z13="No Track","",Data!AW13))</f>
        <v>30</v>
      </c>
      <c r="B13" s="7" t="str">
        <f>IF(C13="","",Data!AY13)</f>
        <v>Master Door ALTERATION</v>
      </c>
      <c r="C13" s="7" t="str">
        <f>IF(OR('Job Sheet'!BH13="Track from TBS",'Job Sheet'!BH13="Track from TWC",'Job Sheet'!BH13="Track from Vanda",'Job Sheet'!BH13="No Track Or Rod Required",$A$6="Brax Retail",$A$6="Brax Wholesale"),"",'Job Sheet'!Z13)</f>
        <v>Wavefold Hand Operation</v>
      </c>
      <c r="D13" s="27" t="str">
        <f>IF(C13="","",IF(AND('Job Sheet'!AD13="Top Fix Brackets",(OR(C13="Streamline Hand Operation",C13="Streamline Cord Operation"))),"Nylon Top Fix Brackets",'Job Sheet'!AD13))</f>
        <v>Triple Face Fix Brackets</v>
      </c>
      <c r="E13" s="27" t="str">
        <f>IF(C13="","",'Job Sheet'!AA13)</f>
        <v>White</v>
      </c>
      <c r="F13" s="27">
        <f>IF(C13="","",IF(D13="Nylon Top Fix Brackets",CONCATENATE(VLOOKUP('Tube Cutting'!C13,Brackets,2,TRUE)," Brackets, Nuts &amp; Bolts"),IFERROR(IF(D13=VLOOKUP(D13,RodBrackets,1,FALSE),VLOOKUP(D13,RodBrackets,2,FALSE)),IFERROR(VLOOKUP('Tube Cutting'!C13,Brackets,2,TRUE),""))))</f>
        <v>6</v>
      </c>
      <c r="G13" s="27">
        <f>IF(C13="","",IF(D13="Nylon Top Fix Brackets","",IF(OR(C13="Wavefold Hand Operation",C13="Wavefold Cord Operation",C13="Streamline Hand Operation",C13="StreamlineCord Operation"),F13,"")))</f>
        <v>6</v>
      </c>
      <c r="H13" s="27" t="str">
        <f>IF(C13="","",IF(K13="Bent (Conduit)",CONCATENATE("25mm Unstayed Brackets x ",Components!EK5," /// Elbow Joiners x ",Components!EM5),'Job Sheet'!AH13))</f>
        <v>White Aluminium Flick Sticks 125cm</v>
      </c>
      <c r="I13" s="27" t="str">
        <f>IF(C13="","",IF(AND('Job Sheet'!AB13="Hand Operation",OR('Job Sheet'!S13="Single Panel - Right Stacking",'Job Sheet'!S13="Single Panel - Left Stacking")),"1",IF(AND('Job Sheet'!AB13="Hand Operation",OR('Job Sheet'!S13="Single Panel - Free Flowing",'Job Sheet'!S13="Centre Opening",'Job Sheet'!S13="Centre Opening (Offset Split)")),"2",IF(AND('Job Sheet'!AB13="Hand Operation",OR('Job Sheet'!S13="Centre Opening - Free Flowing",'Job Sheet'!S13="Centre Opening - Free Flowing (Offset Split)")),"4",""))))</f>
        <v>2</v>
      </c>
      <c r="J13" s="27" t="str">
        <f>IF(C13="","",IFERROR(IF(CONCATENATE(C13,D13,'Job Sheet'!X13)=VLOOKUP(CONCATENATE(C13,D13,'Job Sheet'!X13),WavefoldReturns,1,FALSE),VLOOKUP(CONCATENATE(C13,D13,'Job Sheet'!X13),WavefoldReturns,2,FALSE)),""))</f>
        <v/>
      </c>
      <c r="K13" s="27" t="str">
        <f>IF(C13="","",'Job Sheet'!AI13)</f>
        <v>Straight</v>
      </c>
      <c r="L13" s="27" t="str">
        <f>IF(C13="","",'Job Sheet'!AE13)</f>
        <v/>
      </c>
      <c r="M13" s="27" t="str">
        <f>IF(C13="","",'Job Sheet'!BN13)</f>
        <v>Alteration to curtain drop</v>
      </c>
      <c r="N13" s="175">
        <f>A13</f>
        <v>30</v>
      </c>
    </row>
    <row r="14" spans="1:14" s="24" customFormat="1" ht="66">
      <c r="A14" s="127">
        <f>IF('Job Sheet'!Z14="No Rod","",IF('Job Sheet'!Z14="No Track","",Data!AW14))</f>
        <v>31</v>
      </c>
      <c r="B14" s="7" t="str">
        <f>IF(C14="","",Data!AY14)</f>
        <v>Bed 2 ALTERATION</v>
      </c>
      <c r="C14" s="7" t="str">
        <f>IF(OR('Job Sheet'!BH14="Track from TBS",'Job Sheet'!BH14="Track from TWC",'Job Sheet'!BH14="Track from Vanda",'Job Sheet'!BH14="No Track Or Rod Required",$A$6="Brax Retail",$A$6="Brax Wholesale"),"",'Job Sheet'!Z14)</f>
        <v>Wavefold Hand Operation</v>
      </c>
      <c r="D14" s="27" t="str">
        <f>IF(C14="","",IF(AND('Job Sheet'!AD14="Top Fix Brackets",(OR(C14="Streamline Hand Operation",C14="Streamline Cord Operation"))),"Nylon Top Fix Brackets",'Job Sheet'!AD14))</f>
        <v>Single Face Fix Brackets</v>
      </c>
      <c r="E14" s="27" t="str">
        <f>IF(C14="","",'Job Sheet'!AA14)</f>
        <v>White</v>
      </c>
      <c r="F14" s="27">
        <f>IF(C14="","",IF(D14="Nylon Top Fix Brackets",CONCATENATE(VLOOKUP('Tube Cutting'!C14,Brackets,2,TRUE)," Brackets, Nuts &amp; Bolts"),IFERROR(IF(D14=VLOOKUP(D14,RodBrackets,1,FALSE),VLOOKUP(D14,RodBrackets,2,FALSE)),IFERROR(VLOOKUP('Tube Cutting'!C14,Brackets,2,TRUE),""))))</f>
        <v>6</v>
      </c>
      <c r="G14" s="27">
        <f>IF(C14="","",IF(D14="Nylon Top Fix Brackets","",IF(OR(C14="Wavefold Hand Operation",C14="Wavefold Cord Operation",C14="Streamline Hand Operation",C14="StreamlineCord Operation"),F14,"")))</f>
        <v>6</v>
      </c>
      <c r="H14" s="27" t="str">
        <f>IF(C14="","",IF(K14="Bent (Conduit)",CONCATENATE("25mm Unstayed Brackets x ",Components!EK6," /// Elbow Joiners x ",Components!EM6),'Job Sheet'!AH14))</f>
        <v>White Aluminium Flick Sticks 125cm</v>
      </c>
      <c r="I14" s="27" t="str">
        <f>IF(C14="","",IF(AND('Job Sheet'!AB14="Hand Operation",OR('Job Sheet'!S14="Single Panel - Right Stacking",'Job Sheet'!S14="Single Panel - Left Stacking")),"1",IF(AND('Job Sheet'!AB14="Hand Operation",OR('Job Sheet'!S14="Single Panel - Free Flowing",'Job Sheet'!S14="Centre Opening",'Job Sheet'!S14="Centre Opening (Offset Split)")),"2",IF(AND('Job Sheet'!AB14="Hand Operation",OR('Job Sheet'!S14="Centre Opening - Free Flowing",'Job Sheet'!S14="Centre Opening - Free Flowing (Offset Split)")),"4",""))))</f>
        <v>1</v>
      </c>
      <c r="J14" s="27" t="str">
        <f>IF(C14="","",IFERROR(IF(CONCATENATE(C14,D14,'Job Sheet'!X14)=VLOOKUP(CONCATENATE(C14,D14,'Job Sheet'!X14),WavefoldReturns,1,FALSE),VLOOKUP(CONCATENATE(C14,D14,'Job Sheet'!X14),WavefoldReturns,2,FALSE)),""))</f>
        <v/>
      </c>
      <c r="K14" s="27" t="str">
        <f>IF(C14="","",'Job Sheet'!AI14)</f>
        <v>Straight</v>
      </c>
      <c r="L14" s="27" t="str">
        <f>IF(C14="","",'Job Sheet'!AE14)</f>
        <v/>
      </c>
      <c r="M14" s="27" t="str">
        <f>IF(C14="","",'Job Sheet'!BN14)</f>
        <v>Alteration to curtain drop</v>
      </c>
      <c r="N14" s="175">
        <f>A14</f>
        <v>31</v>
      </c>
    </row>
    <row r="15" spans="1:14" s="24" customFormat="1" ht="66">
      <c r="A15" s="127">
        <f>IF('Job Sheet'!Z15="No Rod","",IF('Job Sheet'!Z15="No Track","",Data!AW15))</f>
        <v>32</v>
      </c>
      <c r="B15" s="7" t="str">
        <f>IF(C15="","",Data!AY15)</f>
        <v>Bed 3 ALTERATION</v>
      </c>
      <c r="C15" s="7" t="str">
        <f>IF(OR('Job Sheet'!BH15="Track from TBS",'Job Sheet'!BH15="Track from TWC",'Job Sheet'!BH15="Track from Vanda",'Job Sheet'!BH15="No Track Or Rod Required",$A$6="Brax Retail",$A$6="Brax Wholesale"),"",'Job Sheet'!Z15)</f>
        <v>Wavefold Hand Operation</v>
      </c>
      <c r="D15" s="27" t="str">
        <f>IF(C15="","",IF(AND('Job Sheet'!AD15="Top Fix Brackets",(OR(C15="Streamline Hand Operation",C15="Streamline Cord Operation"))),"Nylon Top Fix Brackets",'Job Sheet'!AD15))</f>
        <v>Single Face Fix Brackets</v>
      </c>
      <c r="E15" s="27" t="str">
        <f>IF(C15="","",'Job Sheet'!AA15)</f>
        <v>White</v>
      </c>
      <c r="F15" s="27">
        <f>IF(C15="","",IF(D15="Nylon Top Fix Brackets",CONCATENATE(VLOOKUP('Tube Cutting'!C15,Brackets,2,TRUE)," Brackets, Nuts &amp; Bolts"),IFERROR(IF(D15=VLOOKUP(D15,RodBrackets,1,FALSE),VLOOKUP(D15,RodBrackets,2,FALSE)),IFERROR(VLOOKUP('Tube Cutting'!C15,Brackets,2,TRUE),""))))</f>
        <v>6</v>
      </c>
      <c r="G15" s="27">
        <f>IF(C15="","",IF(D15="Nylon Top Fix Brackets","",IF(OR(C15="Wavefold Hand Operation",C15="Wavefold Cord Operation",C15="Streamline Hand Operation",C15="StreamlineCord Operation"),F15,"")))</f>
        <v>6</v>
      </c>
      <c r="H15" s="27" t="str">
        <f>IF(C15="","",IF(K15="Bent (Conduit)",CONCATENATE("25mm Unstayed Brackets x ",Components!EK7," /// Elbow Joiners x ",Components!EM7),'Job Sheet'!AH15))</f>
        <v>White Aluminium Flick Sticks 125cm</v>
      </c>
      <c r="I15" s="27" t="str">
        <f>IF(C15="","",IF(AND('Job Sheet'!AB15="Hand Operation",OR('Job Sheet'!S15="Single Panel - Right Stacking",'Job Sheet'!S15="Single Panel - Left Stacking")),"1",IF(AND('Job Sheet'!AB15="Hand Operation",OR('Job Sheet'!S15="Single Panel - Free Flowing",'Job Sheet'!S15="Centre Opening",'Job Sheet'!S15="Centre Opening (Offset Split)")),"2",IF(AND('Job Sheet'!AB15="Hand Operation",OR('Job Sheet'!S15="Centre Opening - Free Flowing",'Job Sheet'!S15="Centre Opening - Free Flowing (Offset Split)")),"4",""))))</f>
        <v>1</v>
      </c>
      <c r="J15" s="27" t="str">
        <f>IF(C15="","",IFERROR(IF(CONCATENATE(C15,D15,'Job Sheet'!X15)=VLOOKUP(CONCATENATE(C15,D15,'Job Sheet'!X15),WavefoldReturns,1,FALSE),VLOOKUP(CONCATENATE(C15,D15,'Job Sheet'!X15),WavefoldReturns,2,FALSE)),""))</f>
        <v/>
      </c>
      <c r="K15" s="27" t="str">
        <f>IF(C15="","",'Job Sheet'!AI15)</f>
        <v>Straight</v>
      </c>
      <c r="L15" s="27" t="str">
        <f>IF(C15="","",'Job Sheet'!AE15)</f>
        <v/>
      </c>
      <c r="M15" s="27" t="str">
        <f>IF(C15="","",'Job Sheet'!BN15)</f>
        <v>Alteration to curtain drop</v>
      </c>
      <c r="N15" s="175">
        <f>A15</f>
        <v>32</v>
      </c>
    </row>
    <row r="16" spans="1:14" s="24" customFormat="1" ht="66">
      <c r="A16" s="127">
        <f>IF('Job Sheet'!Z16="No Rod","",IF('Job Sheet'!Z16="No Track","",Data!AW16))</f>
        <v>33</v>
      </c>
      <c r="B16" s="7" t="str">
        <f>IF(C16="","",Data!AY16)</f>
        <v>Back Hallway (IN) ALTERATION</v>
      </c>
      <c r="C16" s="7" t="str">
        <f>IF(OR('Job Sheet'!BH16="Track from TBS",'Job Sheet'!BH16="Track from TWC",'Job Sheet'!BH16="Track from Vanda",'Job Sheet'!BH16="No Track Or Rod Required",$A$6="Brax Retail",$A$6="Brax Wholesale"),"",'Job Sheet'!Z16)</f>
        <v>Wavefold Hand Operation</v>
      </c>
      <c r="D16" s="27" t="str">
        <f>IF(C16="","",IF(AND('Job Sheet'!AD16="Top Fix Brackets",(OR(C16="Streamline Hand Operation",C16="Streamline Cord Operation"))),"Nylon Top Fix Brackets",'Job Sheet'!AD16))</f>
        <v>Single Face Fix Brackets</v>
      </c>
      <c r="E16" s="27" t="str">
        <f>IF(C16="","",'Job Sheet'!AA16)</f>
        <v>White</v>
      </c>
      <c r="F16" s="27">
        <f>IF(C16="","",IF(D16="Nylon Top Fix Brackets",CONCATENATE(VLOOKUP('Tube Cutting'!C16,Brackets,2,TRUE)," Brackets, Nuts &amp; Bolts"),IFERROR(IF(D16=VLOOKUP(D16,RodBrackets,1,FALSE),VLOOKUP(D16,RodBrackets,2,FALSE)),IFERROR(VLOOKUP('Tube Cutting'!C16,Brackets,2,TRUE),""))))</f>
        <v>5</v>
      </c>
      <c r="G16" s="27">
        <f>IF(C16="","",IF(D16="Nylon Top Fix Brackets","",IF(OR(C16="Wavefold Hand Operation",C16="Wavefold Cord Operation",C16="Streamline Hand Operation",C16="StreamlineCord Operation"),F16,"")))</f>
        <v>5</v>
      </c>
      <c r="H16" s="27" t="str">
        <f>IF(C16="","",IF(K16="Bent (Conduit)",CONCATENATE("25mm Unstayed Brackets x ",Components!EK8," /// Elbow Joiners x ",Components!EM8),'Job Sheet'!AH16))</f>
        <v>White Aluminium Flick Sticks 125cm</v>
      </c>
      <c r="I16" s="27" t="str">
        <f>IF(C16="","",IF(AND('Job Sheet'!AB16="Hand Operation",OR('Job Sheet'!S16="Single Panel - Right Stacking",'Job Sheet'!S16="Single Panel - Left Stacking")),"1",IF(AND('Job Sheet'!AB16="Hand Operation",OR('Job Sheet'!S16="Single Panel - Free Flowing",'Job Sheet'!S16="Centre Opening",'Job Sheet'!S16="Centre Opening (Offset Split)")),"2",IF(AND('Job Sheet'!AB16="Hand Operation",OR('Job Sheet'!S16="Centre Opening - Free Flowing",'Job Sheet'!S16="Centre Opening - Free Flowing (Offset Split)")),"4",""))))</f>
        <v>2</v>
      </c>
      <c r="J16" s="27" t="str">
        <f>IF(C16="","",IFERROR(IF(CONCATENATE(C16,D16,'Job Sheet'!X16)=VLOOKUP(CONCATENATE(C16,D16,'Job Sheet'!X16),WavefoldReturns,1,FALSE),VLOOKUP(CONCATENATE(C16,D16,'Job Sheet'!X16),WavefoldReturns,2,FALSE)),""))</f>
        <v/>
      </c>
      <c r="K16" s="27" t="str">
        <f>IF(C16="","",'Job Sheet'!AI16)</f>
        <v>Straight</v>
      </c>
      <c r="L16" s="27" t="str">
        <f>IF(C16="","",'Job Sheet'!AE16)</f>
        <v/>
      </c>
      <c r="M16" s="27" t="str">
        <f>IF(C16="","",'Job Sheet'!BN16)</f>
        <v>Alteration to curtain drop</v>
      </c>
      <c r="N16" s="175">
        <f>A16</f>
        <v>33</v>
      </c>
    </row>
    <row r="17" spans="1:14" s="24" customFormat="1" ht="99">
      <c r="A17" s="127">
        <f>IF('Job Sheet'!Z17="No Rod","",IF('Job Sheet'!Z17="No Track","",Data!AW17))</f>
        <v>34</v>
      </c>
      <c r="B17" s="7" t="str">
        <f>IF(C17="","",Data!AY17)</f>
        <v>Back Hallway (OUT) ALTERATION</v>
      </c>
      <c r="C17" s="7" t="str">
        <f>IF(OR('Job Sheet'!BH17="Track from TBS",'Job Sheet'!BH17="Track from TWC",'Job Sheet'!BH17="Track from Vanda",'Job Sheet'!BH17="No Track Or Rod Required",$A$6="Brax Retail",$A$6="Brax Wholesale"),"",'Job Sheet'!Z17)</f>
        <v>Wavefold Hand Operation</v>
      </c>
      <c r="D17" s="27" t="str">
        <f>IF(C17="","",IF(AND('Job Sheet'!AD17="Top Fix Brackets",(OR(C17="Streamline Hand Operation",C17="Streamline Cord Operation"))),"Nylon Top Fix Brackets",'Job Sheet'!AD17))</f>
        <v>Single Face Fix Brackets</v>
      </c>
      <c r="E17" s="27" t="str">
        <f>IF(C17="","",'Job Sheet'!AA17)</f>
        <v>White</v>
      </c>
      <c r="F17" s="27">
        <f>IF(C17="","",IF(D17="Nylon Top Fix Brackets",CONCATENATE(VLOOKUP('Tube Cutting'!C17,Brackets,2,TRUE)," Brackets, Nuts &amp; Bolts"),IFERROR(IF(D17=VLOOKUP(D17,RodBrackets,1,FALSE),VLOOKUP(D17,RodBrackets,2,FALSE)),IFERROR(VLOOKUP('Tube Cutting'!C17,Brackets,2,TRUE),""))))</f>
        <v>4</v>
      </c>
      <c r="G17" s="27">
        <f>IF(C17="","",IF(D17="Nylon Top Fix Brackets","",IF(OR(C17="Wavefold Hand Operation",C17="Wavefold Cord Operation",C17="Streamline Hand Operation",C17="StreamlineCord Operation"),F17,"")))</f>
        <v>4</v>
      </c>
      <c r="H17" s="27" t="str">
        <f>IF(C17="","",IF(K17="Bent (Conduit)",CONCATENATE("25mm Unstayed Brackets x ",Components!EK9," /// Elbow Joiners x ",Components!EM9),'Job Sheet'!AH17))</f>
        <v>White Aluminium Flick Sticks 125cm</v>
      </c>
      <c r="I17" s="27" t="str">
        <f>IF(C17="","",IF(AND('Job Sheet'!AB17="Hand Operation",OR('Job Sheet'!S17="Single Panel - Right Stacking",'Job Sheet'!S17="Single Panel - Left Stacking")),"1",IF(AND('Job Sheet'!AB17="Hand Operation",OR('Job Sheet'!S17="Single Panel - Free Flowing",'Job Sheet'!S17="Centre Opening",'Job Sheet'!S17="Centre Opening (Offset Split)")),"2",IF(AND('Job Sheet'!AB17="Hand Operation",OR('Job Sheet'!S17="Centre Opening - Free Flowing",'Job Sheet'!S17="Centre Opening - Free Flowing (Offset Split)")),"4",""))))</f>
        <v>1</v>
      </c>
      <c r="J17" s="27" t="str">
        <f>IF(C17="","",IFERROR(IF(CONCATENATE(C17,D17,'Job Sheet'!X17)=VLOOKUP(CONCATENATE(C17,D17,'Job Sheet'!X17),WavefoldReturns,1,FALSE),VLOOKUP(CONCATENATE(C17,D17,'Job Sheet'!X17),WavefoldReturns,2,FALSE)),""))</f>
        <v/>
      </c>
      <c r="K17" s="27" t="str">
        <f>IF(C17="","",'Job Sheet'!AI17)</f>
        <v>Straight</v>
      </c>
      <c r="L17" s="27" t="str">
        <f>IF(C17="","",'Job Sheet'!AE17)</f>
        <v/>
      </c>
      <c r="M17" s="27" t="str">
        <f>IF(C17="","",'Job Sheet'!BN17)</f>
        <v>Alteration to curtain drop</v>
      </c>
      <c r="N17" s="175">
        <f>A17</f>
        <v>34</v>
      </c>
    </row>
    <row r="18" spans="1:14" s="24" customFormat="1" ht="66">
      <c r="A18" s="127">
        <f>IF('Job Sheet'!Z18="No Rod","",IF('Job Sheet'!Z18="No Track","",Data!AW18))</f>
        <v>35</v>
      </c>
      <c r="B18" s="7" t="str">
        <f>IF(C18="","",Data!AY18)</f>
        <v>Kitchen Door (IN) REMAKE</v>
      </c>
      <c r="C18" s="7" t="str">
        <f>IF(OR('Job Sheet'!BH18="Track from TBS",'Job Sheet'!BH18="Track from TWC",'Job Sheet'!BH18="Track from Vanda",'Job Sheet'!BH18="No Track Or Rod Required",$A$6="Brax Retail",$A$6="Brax Wholesale"),"",'Job Sheet'!Z18)</f>
        <v>Wavefold Hand Operation</v>
      </c>
      <c r="D18" s="27" t="str">
        <f>IF(C18="","",IF(AND('Job Sheet'!AD18="Top Fix Brackets",(OR(C18="Streamline Hand Operation",C18="Streamline Cord Operation"))),"Nylon Top Fix Brackets",'Job Sheet'!AD18))</f>
        <v>Single Face Fix Brackets</v>
      </c>
      <c r="E18" s="27" t="str">
        <f>IF(C18="","",'Job Sheet'!AA18)</f>
        <v>White</v>
      </c>
      <c r="F18" s="27">
        <f>IF(C18="","",IF(D18="Nylon Top Fix Brackets",CONCATENATE(VLOOKUP('Tube Cutting'!C18,Brackets,2,TRUE)," Brackets, Nuts &amp; Bolts"),IFERROR(IF(D18=VLOOKUP(D18,RodBrackets,1,FALSE),VLOOKUP(D18,RodBrackets,2,FALSE)),IFERROR(VLOOKUP('Tube Cutting'!C18,Brackets,2,TRUE),""))))</f>
        <v>7</v>
      </c>
      <c r="G18" s="27">
        <f>IF(C18="","",IF(D18="Nylon Top Fix Brackets","",IF(OR(C18="Wavefold Hand Operation",C18="Wavefold Cord Operation",C18="Streamline Hand Operation",C18="StreamlineCord Operation"),F18,"")))</f>
        <v>7</v>
      </c>
      <c r="H18" s="27" t="str">
        <f>IF(C18="","",IF(K18="Bent (Conduit)",CONCATENATE("25mm Unstayed Brackets x ",Components!EK10," /// Elbow Joiners x ",Components!EM10),'Job Sheet'!AH18))</f>
        <v>White Aluminium Flick Sticks 125cm</v>
      </c>
      <c r="I18" s="27" t="str">
        <f>IF(C18="","",IF(AND('Job Sheet'!AB18="Hand Operation",OR('Job Sheet'!S18="Single Panel - Right Stacking",'Job Sheet'!S18="Single Panel - Left Stacking")),"1",IF(AND('Job Sheet'!AB18="Hand Operation",OR('Job Sheet'!S18="Single Panel - Free Flowing",'Job Sheet'!S18="Centre Opening",'Job Sheet'!S18="Centre Opening (Offset Split)")),"2",IF(AND('Job Sheet'!AB18="Hand Operation",OR('Job Sheet'!S18="Centre Opening - Free Flowing",'Job Sheet'!S18="Centre Opening - Free Flowing (Offset Split)")),"4",""))))</f>
        <v>2</v>
      </c>
      <c r="J18" s="27" t="str">
        <f>IF(C18="","",IFERROR(IF(CONCATENATE(C18,D18,'Job Sheet'!X18)=VLOOKUP(CONCATENATE(C18,D18,'Job Sheet'!X18),WavefoldReturns,1,FALSE),VLOOKUP(CONCATENATE(C18,D18,'Job Sheet'!X18),WavefoldReturns,2,FALSE)),""))</f>
        <v/>
      </c>
      <c r="K18" s="27" t="str">
        <f>IF(C18="","",'Job Sheet'!AI18)</f>
        <v>Straight</v>
      </c>
      <c r="L18" s="27" t="str">
        <f>IF(C18="","",'Job Sheet'!AE18)</f>
        <v/>
      </c>
      <c r="M18" s="27" t="str">
        <f>IF(C18="","",'Job Sheet'!BN18)</f>
        <v/>
      </c>
      <c r="N18" s="175">
        <f>A18</f>
        <v>35</v>
      </c>
    </row>
    <row r="19" spans="1:14" ht="66">
      <c r="A19" s="127">
        <f>IF('Job Sheet'!Z19="No Rod","",IF('Job Sheet'!Z19="No Track","",Data!AW19))</f>
        <v>36</v>
      </c>
      <c r="B19" s="7" t="str">
        <f>IF(C19="","",Data!AY19)</f>
        <v>Second Lounge ALTERATION</v>
      </c>
      <c r="C19" s="7" t="str">
        <f>IF(OR('Job Sheet'!BH19="Track from TBS",'Job Sheet'!BH19="Track from TWC",'Job Sheet'!BH19="Track from Vanda",'Job Sheet'!BH19="No Track Or Rod Required",$A$6="Brax Retail",$A$6="Brax Wholesale"),"",'Job Sheet'!Z19)</f>
        <v>Wavefold Hand Operation</v>
      </c>
      <c r="D19" s="27" t="str">
        <f>IF(C19="","",IF(AND('Job Sheet'!AD19="Top Fix Brackets",(OR(C19="Streamline Hand Operation",C19="Streamline Cord Operation"))),"Nylon Top Fix Brackets",'Job Sheet'!AD19))</f>
        <v>Single Face Fix Brackets</v>
      </c>
      <c r="E19" s="27" t="str">
        <f>IF(C19="","",'Job Sheet'!AA19)</f>
        <v>White</v>
      </c>
      <c r="F19" s="27">
        <f>IF(C19="","",IF(D19="Nylon Top Fix Brackets",CONCATENATE(VLOOKUP('Tube Cutting'!C19,Brackets,2,TRUE)," Brackets, Nuts &amp; Bolts"),IFERROR(IF(D19=VLOOKUP(D19,RodBrackets,1,FALSE),VLOOKUP(D19,RodBrackets,2,FALSE)),IFERROR(VLOOKUP('Tube Cutting'!C19,Brackets,2,TRUE),""))))</f>
        <v>6</v>
      </c>
      <c r="G19" s="27">
        <f>IF(C19="","",IF(D19="Nylon Top Fix Brackets","",IF(OR(C19="Wavefold Hand Operation",C19="Wavefold Cord Operation",C19="Streamline Hand Operation",C19="StreamlineCord Operation"),F19,"")))</f>
        <v>6</v>
      </c>
      <c r="H19" s="27" t="str">
        <f>IF(C19="","",IF(K19="Bent (Conduit)",CONCATENATE("25mm Unstayed Brackets x ",Components!EK11," /// Elbow Joiners x ",Components!EM11),'Job Sheet'!AH19))</f>
        <v>White Aluminium Flick Sticks 125cm</v>
      </c>
      <c r="I19" s="27" t="str">
        <f>IF(C19="","",IF(AND('Job Sheet'!AB19="Hand Operation",OR('Job Sheet'!S19="Single Panel - Right Stacking",'Job Sheet'!S19="Single Panel - Left Stacking")),"1",IF(AND('Job Sheet'!AB19="Hand Operation",OR('Job Sheet'!S19="Single Panel - Free Flowing",'Job Sheet'!S19="Centre Opening",'Job Sheet'!S19="Centre Opening (Offset Split)")),"2",IF(AND('Job Sheet'!AB19="Hand Operation",OR('Job Sheet'!S19="Centre Opening - Free Flowing",'Job Sheet'!S19="Centre Opening - Free Flowing (Offset Split)")),"4",""))))</f>
        <v>2</v>
      </c>
      <c r="J19" s="27" t="str">
        <f>IF(C19="","",IFERROR(IF(CONCATENATE(C19,D19,'Job Sheet'!X19)=VLOOKUP(CONCATENATE(C19,D19,'Job Sheet'!X19),WavefoldReturns,1,FALSE),VLOOKUP(CONCATENATE(C19,D19,'Job Sheet'!X19),WavefoldReturns,2,FALSE)),""))</f>
        <v/>
      </c>
      <c r="K19" s="27" t="str">
        <f>IF(C19="","",'Job Sheet'!AI19)</f>
        <v>Straight</v>
      </c>
      <c r="L19" s="27" t="str">
        <f>IF(C19="","",'Job Sheet'!AE19)</f>
        <v/>
      </c>
      <c r="M19" s="27" t="str">
        <f>IF(C19="","",'Job Sheet'!BN19)</f>
        <v>Alteration to curtain drop</v>
      </c>
      <c r="N19" s="175">
        <f>A19</f>
        <v>36</v>
      </c>
    </row>
    <row r="20" spans="1:14" ht="66">
      <c r="A20" s="127">
        <f>IF('Job Sheet'!Z20="No Rod","",IF('Job Sheet'!Z20="No Track","",Data!AW20))</f>
        <v>37</v>
      </c>
      <c r="B20" s="236" t="str">
        <f>IF(C20="","",Data!AY20)</f>
        <v>Front Lounge 1 ALTERATION</v>
      </c>
      <c r="C20" s="236" t="str">
        <f>IF(OR('Job Sheet'!BH20="Track from TBS",'Job Sheet'!BH20="Track from TWC",'Job Sheet'!BH20="Track from Vanda",'Job Sheet'!BH20="No Track Or Rod Required",$A$6="Brax Retail",$A$6="Brax Wholesale"),"",'Job Sheet'!Z20)</f>
        <v>Wavefold Hand Operation</v>
      </c>
      <c r="D20" s="27" t="str">
        <f>IF(C20="","",IF(AND('Job Sheet'!AD20="Top Fix Brackets",(OR(C20="Streamline Hand Operation",C20="Streamline Cord Operation"))),"Nylon Top Fix Brackets",'Job Sheet'!AD20))</f>
        <v>Single Face Fix Brackets</v>
      </c>
      <c r="E20" s="27" t="str">
        <f>IF(C20="","",'Job Sheet'!AA20)</f>
        <v>White</v>
      </c>
      <c r="F20" s="27">
        <f>IF(C20="","",IF(D20="Nylon Top Fix Brackets",CONCATENATE(VLOOKUP('Tube Cutting'!C20,Brackets,2,TRUE)," Brackets, Nuts &amp; Bolts"),IFERROR(IF(D20=VLOOKUP(D20,RodBrackets,1,FALSE),VLOOKUP(D20,RodBrackets,2,FALSE)),IFERROR(VLOOKUP('Tube Cutting'!C20,Brackets,2,TRUE),""))))</f>
        <v>7</v>
      </c>
      <c r="G20" s="27">
        <f>IF(C20="","",IF(D20="Nylon Top Fix Brackets","",IF(OR(C20="Wavefold Hand Operation",C20="Wavefold Cord Operation",C20="Streamline Hand Operation",C20="StreamlineCord Operation"),F20,"")))</f>
        <v>7</v>
      </c>
      <c r="H20" s="27" t="str">
        <f>IF(C20="","",IF(K20="Bent (Conduit)",CONCATENATE("25mm Unstayed Brackets x ",Components!EK14," /// Elbow Joiners x ",Components!EM14),'Job Sheet'!AH20))</f>
        <v>White Aluminium Flick Sticks 125cm</v>
      </c>
      <c r="I20" s="27" t="str">
        <f>IF(C20="","",IF(AND('Job Sheet'!AB20="Hand Operation",OR('Job Sheet'!S20="Single Panel - Right Stacking",'Job Sheet'!S20="Single Panel - Left Stacking")),"1",IF(AND('Job Sheet'!AB20="Hand Operation",OR('Job Sheet'!S20="Single Panel - Free Flowing",'Job Sheet'!S20="Centre Opening",'Job Sheet'!S20="Centre Opening (Offset Split)")),"2",IF(AND('Job Sheet'!AB20="Hand Operation",OR('Job Sheet'!S20="Centre Opening - Free Flowing",'Job Sheet'!S20="Centre Opening - Free Flowing (Offset Split)")),"4",""))))</f>
        <v>2</v>
      </c>
      <c r="J20" s="27" t="str">
        <f>IF(C20="","",IFERROR(IF(CONCATENATE(C20,D20,'Job Sheet'!X20)=VLOOKUP(CONCATENATE(C20,D20,'Job Sheet'!X20),WavefoldReturns,1,FALSE),VLOOKUP(CONCATENATE(C20,D20,'Job Sheet'!X20),WavefoldReturns,2,FALSE)),""))</f>
        <v/>
      </c>
      <c r="K20" s="27" t="str">
        <f>IF(C20="","",'Job Sheet'!AI20)</f>
        <v>Straight</v>
      </c>
      <c r="L20" s="27" t="str">
        <f>IF(C20="","",'Job Sheet'!AE20)</f>
        <v/>
      </c>
      <c r="M20" s="27" t="str">
        <f>IF(C20="","",'Job Sheet'!BN20)</f>
        <v>Alteration to curtain drop and change curtain and track to CCO</v>
      </c>
      <c r="N20" s="175">
        <f>A20</f>
        <v>37</v>
      </c>
    </row>
    <row r="21" spans="1:14" ht="66">
      <c r="A21" s="127">
        <f>IF('Job Sheet'!Z21="No Rod","",IF('Job Sheet'!Z21="No Track","",Data!AW21))</f>
        <v>38</v>
      </c>
      <c r="B21" s="236" t="str">
        <f>IF(C21="","",Data!AY21)</f>
        <v>Front Lounge 2 ALTERATION</v>
      </c>
      <c r="C21" s="236" t="str">
        <f>IF(OR('Job Sheet'!BH21="Track from TBS",'Job Sheet'!BH21="Track from TWC",'Job Sheet'!BH21="Track from Vanda",'Job Sheet'!BH21="No Track Or Rod Required",$A$6="Brax Retail",$A$6="Brax Wholesale"),"",'Job Sheet'!Z21)</f>
        <v>Wavefold Hand Operation</v>
      </c>
      <c r="D21" s="27" t="str">
        <f>IF(C21="","",IF(AND('Job Sheet'!AD21="Top Fix Brackets",(OR(C21="Streamline Hand Operation",C21="Streamline Cord Operation"))),"Nylon Top Fix Brackets",'Job Sheet'!AD21))</f>
        <v>Single Face Fix Brackets</v>
      </c>
      <c r="E21" s="27" t="str">
        <f>IF(C21="","",'Job Sheet'!AA21)</f>
        <v>White</v>
      </c>
      <c r="F21" s="27">
        <f>IF(C21="","",IF(D21="Nylon Top Fix Brackets",CONCATENATE(VLOOKUP('Tube Cutting'!C21,Brackets,2,TRUE)," Brackets, Nuts &amp; Bolts"),IFERROR(IF(D21=VLOOKUP(D21,RodBrackets,1,FALSE),VLOOKUP(D21,RodBrackets,2,FALSE)),IFERROR(VLOOKUP('Tube Cutting'!C21,Brackets,2,TRUE),""))))</f>
        <v>5</v>
      </c>
      <c r="G21" s="27">
        <f>IF(C21="","",IF(D21="Nylon Top Fix Brackets","",IF(OR(C21="Wavefold Hand Operation",C21="Wavefold Cord Operation",C21="Streamline Hand Operation",C21="StreamlineCord Operation"),F21,"")))</f>
        <v>5</v>
      </c>
      <c r="H21" s="27" t="str">
        <f>IF(C21="","",IF(K21="Bent (Conduit)",CONCATENATE("25mm Unstayed Brackets x ",Components!EK15," /// Elbow Joiners x ",Components!EM15),'Job Sheet'!AH21))</f>
        <v>White Aluminium Flick Sticks 125cm</v>
      </c>
      <c r="I21" s="27" t="str">
        <f>IF(C21="","",IF(AND('Job Sheet'!AB21="Hand Operation",OR('Job Sheet'!S21="Single Panel - Right Stacking",'Job Sheet'!S21="Single Panel - Left Stacking")),"1",IF(AND('Job Sheet'!AB21="Hand Operation",OR('Job Sheet'!S21="Single Panel - Free Flowing",'Job Sheet'!S21="Centre Opening",'Job Sheet'!S21="Centre Opening (Offset Split)")),"2",IF(AND('Job Sheet'!AB21="Hand Operation",OR('Job Sheet'!S21="Centre Opening - Free Flowing",'Job Sheet'!S21="Centre Opening - Free Flowing (Offset Split)")),"4",""))))</f>
        <v>1</v>
      </c>
      <c r="J21" s="27" t="str">
        <f>IF(C21="","",IFERROR(IF(CONCATENATE(C21,D21,'Job Sheet'!X21)=VLOOKUP(CONCATENATE(C21,D21,'Job Sheet'!X21),WavefoldReturns,1,FALSE),VLOOKUP(CONCATENATE(C21,D21,'Job Sheet'!X21),WavefoldReturns,2,FALSE)),""))</f>
        <v/>
      </c>
      <c r="K21" s="27" t="str">
        <f>IF(C21="","",'Job Sheet'!AI21)</f>
        <v>Straight</v>
      </c>
      <c r="L21" s="27" t="str">
        <f>IF(C21="","",'Job Sheet'!AE21)</f>
        <v/>
      </c>
      <c r="M21" s="27" t="str">
        <f>IF(C21="","",'Job Sheet'!BN21)</f>
        <v>Alteration to curtain drop</v>
      </c>
      <c r="N21" s="175">
        <f>A21</f>
        <v>38</v>
      </c>
    </row>
    <row r="22" spans="1:14" ht="66">
      <c r="A22" s="127">
        <f>IF('Job Sheet'!Z22="No Rod","",IF('Job Sheet'!Z22="No Track","",Data!AW22))</f>
        <v>39</v>
      </c>
      <c r="B22" s="236" t="str">
        <f>IF(C22="","",Data!AY22)</f>
        <v>Master Door ALTERATION</v>
      </c>
      <c r="C22" s="236" t="str">
        <f>IF(OR('Job Sheet'!BH22="Track from TBS",'Job Sheet'!BH22="Track from TWC",'Job Sheet'!BH22="Track from Vanda",'Job Sheet'!BH22="No Track Or Rod Required",$A$6="Brax Retail",$A$6="Brax Wholesale"),"",'Job Sheet'!Z22)</f>
        <v>Streamline Hand Operation</v>
      </c>
      <c r="D22" s="27" t="str">
        <f>IF(C22="","",IF(AND('Job Sheet'!AD22="Top Fix Brackets",(OR(C22="Streamline Hand Operation",C22="Streamline Cord Operation"))),"Nylon Top Fix Brackets",'Job Sheet'!AD22))</f>
        <v>Triple Face Fix Brackets</v>
      </c>
      <c r="E22" s="27" t="str">
        <f>IF(C22="","",'Job Sheet'!AA22)</f>
        <v>White</v>
      </c>
      <c r="F22" s="27">
        <f>IF(C22="","",IF(D22="Nylon Top Fix Brackets",CONCATENATE(VLOOKUP('Tube Cutting'!C22,Brackets,2,TRUE)," Brackets, Nuts &amp; Bolts"),IFERROR(IF(D22=VLOOKUP(D22,RodBrackets,1,FALSE),VLOOKUP(D22,RodBrackets,2,FALSE)),IFERROR(VLOOKUP('Tube Cutting'!C22,Brackets,2,TRUE),""))))</f>
        <v>6</v>
      </c>
      <c r="G22" s="27">
        <f>IF(C22="","",IF(D22="Nylon Top Fix Brackets","",IF(OR(C22="Wavefold Hand Operation",C22="Wavefold Cord Operation",C22="Streamline Hand Operation",C22="StreamlineCord Operation"),F22,"")))</f>
        <v>6</v>
      </c>
      <c r="H22" s="27" t="str">
        <f>IF(C22="","",IF(K22="Bent (Conduit)",CONCATENATE("25mm Unstayed Brackets x ",Components!EK16," /// Elbow Joiners x ",Components!EM16),'Job Sheet'!AH22))</f>
        <v>White Aluminium Flick Sticks 125cm</v>
      </c>
      <c r="I22" s="27" t="str">
        <f>IF(C22="","",IF(AND('Job Sheet'!AB22="Hand Operation",OR('Job Sheet'!S22="Single Panel - Right Stacking",'Job Sheet'!S22="Single Panel - Left Stacking")),"1",IF(AND('Job Sheet'!AB22="Hand Operation",OR('Job Sheet'!S22="Single Panel - Free Flowing",'Job Sheet'!S22="Centre Opening",'Job Sheet'!S22="Centre Opening (Offset Split)")),"2",IF(AND('Job Sheet'!AB22="Hand Operation",OR('Job Sheet'!S22="Centre Opening - Free Flowing",'Job Sheet'!S22="Centre Opening - Free Flowing (Offset Split)")),"4",""))))</f>
        <v>2</v>
      </c>
      <c r="J22" s="27" t="str">
        <f>IF(C22="","",IFERROR(IF(CONCATENATE(C22,D22,'Job Sheet'!X22)=VLOOKUP(CONCATENATE(C22,D22,'Job Sheet'!X22),WavefoldReturns,1,FALSE),VLOOKUP(CONCATENATE(C22,D22,'Job Sheet'!X22),WavefoldReturns,2,FALSE)),""))</f>
        <v/>
      </c>
      <c r="K22" s="27" t="str">
        <f>IF(C22="","",'Job Sheet'!AI22)</f>
        <v>Straight</v>
      </c>
      <c r="L22" s="27" t="str">
        <f>IF(C22="","",'Job Sheet'!AE22)</f>
        <v/>
      </c>
      <c r="M22" s="27" t="str">
        <f>IF(C22="","",'Job Sheet'!BN22)</f>
        <v>Alteration to curtain drop</v>
      </c>
      <c r="N22" s="175">
        <f>A22</f>
        <v>39</v>
      </c>
    </row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50.1" customHeight="1"/>
    <row r="71" ht="50.1" customHeight="1"/>
    <row r="72" ht="50.1" customHeight="1"/>
    <row r="73" ht="50.1" customHeight="1"/>
    <row r="74" ht="50.1" customHeight="1"/>
    <row r="75" ht="50.1" customHeight="1"/>
  </sheetData>
  <sheetProtection formatCells="0" formatRows="0" insertColumns="0" insertRows="0"/>
  <mergeCells count="36">
    <mergeCell ref="N8:N10"/>
    <mergeCell ref="A3:B3"/>
    <mergeCell ref="A4:B4"/>
    <mergeCell ref="D8:D10"/>
    <mergeCell ref="C4:D4"/>
    <mergeCell ref="C3:D3"/>
    <mergeCell ref="L8:L10"/>
    <mergeCell ref="J8:J10"/>
    <mergeCell ref="C8:C10"/>
    <mergeCell ref="E5:G7"/>
    <mergeCell ref="E4:G4"/>
    <mergeCell ref="E3:G3"/>
    <mergeCell ref="H7:K7"/>
    <mergeCell ref="H6:K6"/>
    <mergeCell ref="H5:K5"/>
    <mergeCell ref="H4:K4"/>
    <mergeCell ref="A1:N1"/>
    <mergeCell ref="L2:N2"/>
    <mergeCell ref="L3:N7"/>
    <mergeCell ref="A6:D7"/>
    <mergeCell ref="A2:B2"/>
    <mergeCell ref="C5:D5"/>
    <mergeCell ref="C2:D2"/>
    <mergeCell ref="E2:G2"/>
    <mergeCell ref="H3:K3"/>
    <mergeCell ref="H2:K2"/>
    <mergeCell ref="A5:B5"/>
    <mergeCell ref="H8:H10"/>
    <mergeCell ref="A8:A10"/>
    <mergeCell ref="B8:B10"/>
    <mergeCell ref="M8:M10"/>
    <mergeCell ref="F8:F10"/>
    <mergeCell ref="I8:I10"/>
    <mergeCell ref="K8:K10"/>
    <mergeCell ref="G8:G10"/>
    <mergeCell ref="E8:E10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557DE-307A-45AB-9861-7915A6054F30}">
  <sheetPr codeName="JobSheet4">
    <pageSetUpPr fitToPage="1"/>
  </sheetPr>
  <dimension ref="A1:W81"/>
  <sheetViews>
    <sheetView showZeros="0" view="pageBreakPreview" zoomScale="40" zoomScaleNormal="25" zoomScaleSheetLayoutView="40" zoomScalePageLayoutView="25" workbookViewId="0" topLeftCell="A1">
      <selection pane="topLeft" activeCell="B20" sqref="B20"/>
    </sheetView>
  </sheetViews>
  <sheetFormatPr defaultColWidth="9.44140625" defaultRowHeight="60" customHeight="1"/>
  <cols>
    <col min="1" max="1" width="10.4285714285714" style="46" customWidth="1"/>
    <col min="2" max="2" width="30.5714285714286" style="46" customWidth="1"/>
    <col min="3" max="3" width="44.4285714285714" style="46" customWidth="1"/>
    <col min="4" max="4" width="28.5714285714286" style="46" customWidth="1"/>
    <col min="5" max="5" width="17.5714285714286" style="46" bestFit="1" customWidth="1"/>
    <col min="6" max="6" width="19.4285714285714" style="46" customWidth="1"/>
    <col min="7" max="7" width="35.5714285714286" style="46" customWidth="1"/>
    <col min="8" max="8" width="27" style="46" customWidth="1"/>
    <col min="9" max="9" width="29.5714285714286" style="46" customWidth="1"/>
    <col min="10" max="10" width="23.5714285714286" style="47" customWidth="1"/>
    <col min="11" max="11" width="24" style="47" customWidth="1"/>
    <col min="12" max="12" width="31.5714285714286" style="46" customWidth="1"/>
    <col min="13" max="13" width="24.5714285714286" style="46" customWidth="1"/>
    <col min="14" max="14" width="31.5714285714286" style="46" customWidth="1"/>
    <col min="15" max="15" width="24.5714285714286" style="46" customWidth="1"/>
    <col min="16" max="16" width="23.5714285714286" style="46" customWidth="1"/>
    <col min="17" max="17" width="27.5714285714286" style="46" customWidth="1"/>
    <col min="18" max="18" width="18.5714285714286" style="46" customWidth="1"/>
    <col min="19" max="19" width="24.4285714285714" style="46" customWidth="1"/>
    <col min="20" max="20" width="29.4285714285714" style="46" customWidth="1"/>
    <col min="21" max="21" width="23.4285714285714" customWidth="1"/>
    <col min="22" max="22" width="27.5714285714286" customWidth="1"/>
    <col min="23" max="23" width="25.5714285714286" customWidth="1"/>
  </cols>
  <sheetData>
    <row r="1" spans="1:23" s="17" customFormat="1" ht="149.25" customHeight="1">
      <c r="A1" s="345" t="s">
        <v>7514</v>
      </c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7"/>
    </row>
    <row r="2" spans="1:23" s="17" customFormat="1" ht="71.85" customHeight="1">
      <c r="A2" s="348" t="str">
        <f>IF('Job Sheet'!A6="Brax Retail","Brax Window Treatments","Davidson's Blinds &amp; Shutters")</f>
        <v>Davidson's Blinds &amp; Shutters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50"/>
    </row>
    <row r="3" spans="1:23" s="17" customFormat="1" ht="80.7" customHeight="1">
      <c r="A3" s="351" t="str">
        <f>IF(Data!BA11="","",IF('Tube Cutting'!A6="","","IF Required Please Deliver Wavefold Tapes To "))</f>
        <v>IF Required Please Deliver Wavefold Tapes To 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48" t="str">
        <f>IF(Data!BA11="","",VLOOKUP("CURTMAKING",Data!CI:CJ,2,FALSE))</f>
        <v>Jenny's Curtains - 9 Whitehills Rd, Creswick, Vic, 3363</v>
      </c>
      <c r="N3" s="349"/>
      <c r="O3" s="349"/>
      <c r="P3" s="349"/>
      <c r="Q3" s="349"/>
      <c r="R3" s="349"/>
      <c r="S3" s="349"/>
      <c r="T3" s="349"/>
      <c r="U3" s="349"/>
      <c r="V3" s="349"/>
      <c r="W3" s="350"/>
    </row>
    <row r="4" spans="1:23" s="31" customFormat="1" ht="50.1" customHeight="1">
      <c r="A4" s="239" t="s">
        <v>7</v>
      </c>
      <c r="B4" s="239"/>
      <c r="C4" s="237"/>
      <c r="D4" s="237"/>
      <c r="E4" s="237" t="s">
        <v>94</v>
      </c>
      <c r="F4" s="237"/>
      <c r="G4" s="237"/>
      <c r="H4" s="234" t="str">
        <f>Data!BF5</f>
        <v>Hare, Kaitlin</v>
      </c>
      <c r="I4" s="234"/>
      <c r="J4" s="234"/>
      <c r="K4" s="234"/>
      <c r="L4" s="234"/>
      <c r="M4" s="305" t="s">
        <v>4</v>
      </c>
      <c r="N4" s="306"/>
      <c r="O4" s="306"/>
      <c r="P4" s="306"/>
      <c r="Q4" s="306"/>
      <c r="R4" s="306"/>
      <c r="S4" s="306"/>
      <c r="T4" s="306"/>
      <c r="U4" s="306"/>
      <c r="V4" s="306"/>
      <c r="W4" s="307"/>
    </row>
    <row r="5" spans="1:23" s="31" customFormat="1" ht="50.1" customHeight="1">
      <c r="A5" s="240" t="s">
        <v>117</v>
      </c>
      <c r="B5" s="240"/>
      <c r="C5" s="227" t="str">
        <f>Data!BC5</f>
        <v>39776</v>
      </c>
      <c r="D5" s="227"/>
      <c r="E5" s="238" t="s">
        <v>8</v>
      </c>
      <c r="F5" s="238"/>
      <c r="G5" s="238"/>
      <c r="H5" s="234" t="str">
        <f>TRIM(Data!AX5)</f>
        <v>Whole House</v>
      </c>
      <c r="I5" s="234"/>
      <c r="J5" s="234"/>
      <c r="K5" s="234"/>
      <c r="L5" s="234"/>
      <c r="M5" s="309" t="str">
        <f>IF(OR(Data!BA11="",C10=""),"",Data!BG5)</f>
        <v/>
      </c>
      <c r="N5" s="310"/>
      <c r="O5" s="310"/>
      <c r="P5" s="310"/>
      <c r="Q5" s="310"/>
      <c r="R5" s="310"/>
      <c r="S5" s="310"/>
      <c r="T5" s="310"/>
      <c r="U5" s="310"/>
      <c r="V5" s="310"/>
      <c r="W5" s="311"/>
    </row>
    <row r="6" spans="1:23" s="32" customFormat="1" ht="50.1" customHeight="1">
      <c r="A6" s="239" t="s">
        <v>14</v>
      </c>
      <c r="B6" s="239"/>
      <c r="C6" s="227" t="str">
        <f>Data!BD5</f>
        <v>F</v>
      </c>
      <c r="D6" s="227"/>
      <c r="E6" s="238" t="s">
        <v>112</v>
      </c>
      <c r="F6" s="238"/>
      <c r="G6" s="238"/>
      <c r="H6" s="234" t="str">
        <f>LEFT(Data!BA5,10)</f>
        <v>13/10/2026</v>
      </c>
      <c r="I6" s="234"/>
      <c r="J6" s="234"/>
      <c r="K6" s="234"/>
      <c r="L6" s="234"/>
      <c r="M6" s="315"/>
      <c r="N6" s="316"/>
      <c r="O6" s="316"/>
      <c r="P6" s="316"/>
      <c r="Q6" s="316"/>
      <c r="R6" s="316"/>
      <c r="S6" s="316"/>
      <c r="T6" s="316"/>
      <c r="U6" s="316"/>
      <c r="V6" s="316"/>
      <c r="W6" s="317"/>
    </row>
    <row r="7" spans="1:23" s="32" customFormat="1" ht="50.1" customHeight="1">
      <c r="A7" s="281" t="s">
        <v>116</v>
      </c>
      <c r="B7" s="267" t="s">
        <v>96</v>
      </c>
      <c r="C7" s="235" t="s">
        <v>156</v>
      </c>
      <c r="D7" s="235" t="s">
        <v>601</v>
      </c>
      <c r="E7" s="235" t="s">
        <v>259</v>
      </c>
      <c r="F7" s="235" t="s">
        <v>11</v>
      </c>
      <c r="G7" s="235" t="s">
        <v>177</v>
      </c>
      <c r="H7" s="235" t="s">
        <v>178</v>
      </c>
      <c r="I7" s="235" t="s">
        <v>139</v>
      </c>
      <c r="J7" s="235" t="s">
        <v>7292</v>
      </c>
      <c r="K7" s="235" t="s">
        <v>7293</v>
      </c>
      <c r="L7" s="267" t="s">
        <v>149</v>
      </c>
      <c r="M7" s="235" t="s">
        <v>115</v>
      </c>
      <c r="N7" s="235" t="s">
        <v>5355</v>
      </c>
      <c r="O7" s="267" t="s">
        <v>290</v>
      </c>
      <c r="P7" s="267" t="s">
        <v>267</v>
      </c>
      <c r="Q7" s="267" t="s">
        <v>153</v>
      </c>
      <c r="R7" s="267" t="s">
        <v>135</v>
      </c>
      <c r="S7" s="267" t="s">
        <v>176</v>
      </c>
      <c r="T7" s="267" t="s">
        <v>155</v>
      </c>
      <c r="U7" s="267" t="s">
        <v>136</v>
      </c>
      <c r="V7" s="235" t="s">
        <v>441</v>
      </c>
      <c r="W7" s="235" t="s">
        <v>5</v>
      </c>
    </row>
    <row r="8" spans="1:23" s="32" customFormat="1" ht="64.5" customHeight="1" hidden="1">
      <c r="A8" s="281"/>
      <c r="B8" s="267"/>
      <c r="C8" s="235"/>
      <c r="D8" s="235"/>
      <c r="E8" s="235"/>
      <c r="F8" s="235"/>
      <c r="G8" s="235"/>
      <c r="H8" s="235"/>
      <c r="I8" s="235"/>
      <c r="J8" s="235"/>
      <c r="K8" s="235"/>
      <c r="L8" s="267"/>
      <c r="M8" s="235"/>
      <c r="N8" s="235"/>
      <c r="O8" s="267"/>
      <c r="P8" s="267"/>
      <c r="Q8" s="267"/>
      <c r="R8" s="267"/>
      <c r="S8" s="267"/>
      <c r="T8" s="267"/>
      <c r="U8" s="267"/>
      <c r="V8" s="235"/>
      <c r="W8" s="235"/>
    </row>
    <row r="9" spans="1:23" s="63" customFormat="1" ht="95.25" customHeight="1">
      <c r="A9" s="281"/>
      <c r="B9" s="267"/>
      <c r="C9" s="235"/>
      <c r="D9" s="235"/>
      <c r="E9" s="235"/>
      <c r="F9" s="235"/>
      <c r="G9" s="235"/>
      <c r="H9" s="235"/>
      <c r="I9" s="235"/>
      <c r="J9" s="235"/>
      <c r="K9" s="235"/>
      <c r="L9" s="267"/>
      <c r="M9" s="235"/>
      <c r="N9" s="235"/>
      <c r="O9" s="267"/>
      <c r="P9" s="267"/>
      <c r="Q9" s="267"/>
      <c r="R9" s="267"/>
      <c r="S9" s="267"/>
      <c r="T9" s="267"/>
      <c r="U9" s="267"/>
      <c r="V9" s="235"/>
      <c r="W9" s="235"/>
    </row>
    <row r="10" spans="1:23" s="61" customFormat="1" ht="60" customHeight="1">
      <c r="A10" s="2" t="str">
        <f>IF(OR(Data!BA11="",C10=""),"",Data!AW11)</f>
        <v/>
      </c>
      <c r="B10" s="7" t="str">
        <f>IF(OR(Data!BA11="",C10=""),"",'Job Sheet'!C11)</f>
        <v/>
      </c>
      <c r="C10" s="27" t="str">
        <f>IF(AND('Job Sheet'!BH11="DBS to Make",(OR('Tube Cutting'!$A$6="Brax Retail",'Tube Cutting'!$A$6="Brax Wholesale"))),'Job Sheet'!Z11,"")</f>
        <v/>
      </c>
      <c r="D10" s="27" t="str">
        <f>IF(OR(Data!BA11="",C10=""),"",'Job Sheet'!AA11)</f>
        <v/>
      </c>
      <c r="E10" s="27" t="str">
        <f>IF(OR(Data!BA11="",C10=""),"",'Job Sheet'!BP11-55)</f>
        <v/>
      </c>
      <c r="F10" s="27" t="str">
        <f>IF(OR(Data!BA11="",C10=""),"",'Job Sheet'!I11)</f>
        <v/>
      </c>
      <c r="G10" s="27" t="str">
        <f>IF(OR(Data!BA11="",C10=""),"",'Job Sheet'!P11)</f>
        <v/>
      </c>
      <c r="H10" s="27" t="str">
        <f>IF(OR(Data!BA11="",C10=""),"",IF(VLOOKUP(CONCATENATE('Job Sheet'!Z11,D10,T10),TBSTracks,4,FALSE)="Yes",'Job Sheet'!Q11,""))</f>
        <v/>
      </c>
      <c r="I10" s="27" t="str">
        <f>IF(OR(Data!BA11="",C10=""),"",'Job Sheet'!S11)</f>
        <v/>
      </c>
      <c r="J10" s="27" t="str">
        <f>IF(OR(Data!BA11="",C10=""),"",'Job Sheet'!T11)</f>
        <v/>
      </c>
      <c r="K10" s="27" t="str">
        <f>IF(OR(Data!BA11="",C10=""),"",'Job Sheet'!U11)</f>
        <v/>
      </c>
      <c r="L10" s="27" t="str">
        <f>IF(OR(Data!BA11="",C10=""),"",'Job Sheet'!AD11)</f>
        <v/>
      </c>
      <c r="M10" s="27" t="str">
        <f>IF(OR(Data!BA11="",C10=""),"",'Job Sheet'!AB11)</f>
        <v/>
      </c>
      <c r="N10" s="27" t="str">
        <f>IF(OR(Data!BA11="",C10=""),"",'Job Sheet'!AC11)</f>
        <v/>
      </c>
      <c r="O10" s="27" t="str">
        <f>IF(OR(Data!BA11="",C10=""),"",'Job Sheet'!AE11)</f>
        <v/>
      </c>
      <c r="P10" s="27" t="str">
        <f>IF(OR(Data!BA11="",C10=""),"",'Job Sheet'!AF11)</f>
        <v/>
      </c>
      <c r="Q10" s="27" t="str">
        <f>IF(OR(Data!BA11="",C10=""),"",'Job Sheet'!AH11)</f>
        <v/>
      </c>
      <c r="R10" s="27" t="str">
        <f>IF(C10="","",IF(AND('Job Sheet'!AB11="Hand Operation",OR('Job Sheet'!S11="Single Panel - Right Stacking",'Job Sheet'!S11="Single Panel - Left Stacking")),"1",IF(AND('Job Sheet'!AB11="Hand Operation",OR('Job Sheet'!S11="Single Panel - Free Flowing",'Job Sheet'!S11="Centre Opening")),"2",IF(AND('Job Sheet'!AB11="Hand Operation",(OR('Job Sheet'!S11="Centre Opening - Free Flowing",'Job Sheet'!S11="Centre Opening (Offset Split)"))),"4",""))))</f>
        <v/>
      </c>
      <c r="S10" s="27" t="str">
        <f>IF(OR(Data!BA11="",C10=""),"",'Job Sheet'!X11)</f>
        <v/>
      </c>
      <c r="T10" s="27" t="str">
        <f>IF(OR(Data!BA11="",C10=""),"",'Job Sheet'!AI11)</f>
        <v/>
      </c>
      <c r="U10" s="27" t="str">
        <f>IF(OR(Data!BA11="",C10=""),"",'Job Sheet'!AJ11)</f>
        <v/>
      </c>
      <c r="V10" s="27" t="str">
        <f>IF(ISERROR(VLOOKUP('Job Sheet'!BF11,Holdbacks,1,FALSE)),"",'Job Sheet'!BF11)</f>
        <v/>
      </c>
      <c r="W10" s="27" t="str">
        <f>IF(OR(Data!BA11="",C10=""),"",'Job Sheet'!BN11)</f>
        <v/>
      </c>
    </row>
    <row r="11" spans="1:23" s="61" customFormat="1" ht="60" customHeight="1">
      <c r="A11" s="2" t="str">
        <f>IF(OR(Data!BA12="",C11=""),"",Data!AW12)</f>
        <v/>
      </c>
      <c r="B11" s="7" t="str">
        <f>IF(OR(Data!BA12="",C11=""),"",'Job Sheet'!C12)</f>
        <v/>
      </c>
      <c r="C11" s="27" t="str">
        <f>IF(AND('Job Sheet'!BH12="DBS to Make",(OR('Tube Cutting'!$A$6="Brax Retail",'Tube Cutting'!$A$6="Brax Wholesale"))),'Job Sheet'!Z12,"")</f>
        <v/>
      </c>
      <c r="D11" s="27" t="str">
        <f>IF(OR(Data!BA12="",C11=""),"",'Job Sheet'!AA12)</f>
        <v/>
      </c>
      <c r="E11" s="27" t="str">
        <f>IF(OR(Data!BA12="",C11=""),"",'Job Sheet'!BP12-55)</f>
        <v/>
      </c>
      <c r="F11" s="27" t="str">
        <f>IF(OR(Data!BA12="",C11=""),"",'Job Sheet'!I12)</f>
        <v/>
      </c>
      <c r="G11" s="27" t="str">
        <f>IF(OR(Data!BA12="",C11=""),"",'Job Sheet'!P12)</f>
        <v/>
      </c>
      <c r="H11" s="27" t="str">
        <f>IF(OR(Data!BA12="",C11=""),"",IF(VLOOKUP(CONCATENATE('Job Sheet'!Z12,D11,T11),TBSTracks,4,FALSE)="Yes",'Job Sheet'!Q12,""))</f>
        <v/>
      </c>
      <c r="I11" s="27" t="str">
        <f>IF(OR(Data!BA12="",C11=""),"",'Job Sheet'!S12)</f>
        <v/>
      </c>
      <c r="J11" s="27" t="str">
        <f>IF(OR(Data!BA12="",C11=""),"",'Job Sheet'!T12)</f>
        <v/>
      </c>
      <c r="K11" s="27" t="str">
        <f>IF(OR(Data!BA12="",C11=""),"",'Job Sheet'!U12)</f>
        <v/>
      </c>
      <c r="L11" s="27" t="str">
        <f>IF(OR(Data!BA12="",C11=""),"",'Job Sheet'!AD12)</f>
        <v/>
      </c>
      <c r="M11" s="27" t="str">
        <f>IF(OR(Data!BA12="",C11=""),"",'Job Sheet'!AB12)</f>
        <v/>
      </c>
      <c r="N11" s="27" t="str">
        <f>IF(OR(Data!BA12="",C11=""),"",'Job Sheet'!AC12)</f>
        <v/>
      </c>
      <c r="O11" s="27" t="str">
        <f>IF(OR(Data!BA12="",C11=""),"",'Job Sheet'!AE12)</f>
        <v/>
      </c>
      <c r="P11" s="27" t="str">
        <f>IF(OR(Data!BA12="",C11=""),"",'Job Sheet'!AF12)</f>
        <v/>
      </c>
      <c r="Q11" s="27" t="str">
        <f>IF(OR(Data!BA12="",C11=""),"",'Job Sheet'!AH12)</f>
        <v/>
      </c>
      <c r="R11" s="27" t="str">
        <f>IF(C11="","",IF(AND('Job Sheet'!AB12="Hand Operation",OR('Job Sheet'!S12="Single Panel - Right Stacking",'Job Sheet'!S12="Single Panel - Left Stacking")),"1",IF(AND('Job Sheet'!AB12="Hand Operation",OR('Job Sheet'!S12="Single Panel - Free Flowing",'Job Sheet'!S12="Centre Opening")),"2",IF(AND('Job Sheet'!AB12="Hand Operation",(OR('Job Sheet'!S12="Centre Opening - Free Flowing",'Job Sheet'!S12="Centre Opening (Offset Split)"))),"4",""))))</f>
        <v/>
      </c>
      <c r="S11" s="27" t="str">
        <f>IF(OR(Data!BA12="",C11=""),"",'Job Sheet'!X12)</f>
        <v/>
      </c>
      <c r="T11" s="27" t="str">
        <f>IF(OR(Data!BA12="",C11=""),"",'Job Sheet'!AI12)</f>
        <v/>
      </c>
      <c r="U11" s="27" t="str">
        <f>IF(OR(Data!BA12="",C11=""),"",'Job Sheet'!AJ12)</f>
        <v/>
      </c>
      <c r="V11" s="27" t="str">
        <f>IF(ISERROR(VLOOKUP('Job Sheet'!BF12,Holdbacks,1,FALSE)),"",'Job Sheet'!BF12)</f>
        <v/>
      </c>
      <c r="W11" s="27" t="str">
        <f>IF(OR(Data!BA12="",C11=""),"",'Job Sheet'!BN12)</f>
        <v/>
      </c>
    </row>
    <row r="12" spans="1:23" s="61" customFormat="1" ht="60" customHeight="1">
      <c r="A12" s="2" t="str">
        <f>IF(OR(Data!BA13="",C12=""),"",Data!AW13)</f>
        <v/>
      </c>
      <c r="B12" s="7" t="str">
        <f>IF(OR(Data!BA13="",C12=""),"",'Job Sheet'!C13)</f>
        <v/>
      </c>
      <c r="C12" s="27" t="str">
        <f>IF(AND('Job Sheet'!BH13="DBS to Make",(OR('Tube Cutting'!$A$6="Brax Retail",'Tube Cutting'!$A$6="Brax Wholesale"))),'Job Sheet'!Z13,"")</f>
        <v/>
      </c>
      <c r="D12" s="27" t="str">
        <f>IF(OR(Data!BA13="",C12=""),"",'Job Sheet'!AA13)</f>
        <v/>
      </c>
      <c r="E12" s="27" t="str">
        <f>IF(OR(Data!BA13="",C12=""),"",'Job Sheet'!BP13-55)</f>
        <v/>
      </c>
      <c r="F12" s="27" t="str">
        <f>IF(OR(Data!BA13="",C12=""),"",'Job Sheet'!I13)</f>
        <v/>
      </c>
      <c r="G12" s="27" t="str">
        <f>IF(OR(Data!BA13="",C12=""),"",'Job Sheet'!P13)</f>
        <v/>
      </c>
      <c r="H12" s="27" t="str">
        <f>IF(OR(Data!BA13="",C12=""),"",IF(VLOOKUP(CONCATENATE('Job Sheet'!Z13,D12,T12),TBSTracks,4,FALSE)="Yes",'Job Sheet'!Q13,""))</f>
        <v/>
      </c>
      <c r="I12" s="27" t="str">
        <f>IF(OR(Data!BA13="",C12=""),"",'Job Sheet'!S13)</f>
        <v/>
      </c>
      <c r="J12" s="27" t="str">
        <f>IF(OR(Data!BA13="",C12=""),"",'Job Sheet'!T13)</f>
        <v/>
      </c>
      <c r="K12" s="27" t="str">
        <f>IF(OR(Data!BA13="",C12=""),"",'Job Sheet'!U13)</f>
        <v/>
      </c>
      <c r="L12" s="27" t="str">
        <f>IF(OR(Data!BA13="",C12=""),"",'Job Sheet'!AD13)</f>
        <v/>
      </c>
      <c r="M12" s="27" t="str">
        <f>IF(OR(Data!BA13="",C12=""),"",'Job Sheet'!AB13)</f>
        <v/>
      </c>
      <c r="N12" s="27" t="str">
        <f>IF(OR(Data!BA13="",C12=""),"",'Job Sheet'!AC13)</f>
        <v/>
      </c>
      <c r="O12" s="27" t="str">
        <f>IF(OR(Data!BA13="",C12=""),"",'Job Sheet'!AE13)</f>
        <v/>
      </c>
      <c r="P12" s="27" t="str">
        <f>IF(OR(Data!BA13="",C12=""),"",'Job Sheet'!AF13)</f>
        <v/>
      </c>
      <c r="Q12" s="27" t="str">
        <f>IF(OR(Data!BA13="",C12=""),"",'Job Sheet'!AH13)</f>
        <v/>
      </c>
      <c r="R12" s="27" t="str">
        <f>IF(C12="","",IF(AND('Job Sheet'!AB13="Hand Operation",OR('Job Sheet'!S13="Single Panel - Right Stacking",'Job Sheet'!S13="Single Panel - Left Stacking")),"1",IF(AND('Job Sheet'!AB13="Hand Operation",OR('Job Sheet'!S13="Single Panel - Free Flowing",'Job Sheet'!S13="Centre Opening")),"2",IF(AND('Job Sheet'!AB13="Hand Operation",(OR('Job Sheet'!S13="Centre Opening - Free Flowing",'Job Sheet'!S13="Centre Opening (Offset Split)"))),"4",""))))</f>
        <v/>
      </c>
      <c r="S12" s="27" t="str">
        <f>IF(OR(Data!BA13="",C12=""),"",'Job Sheet'!X13)</f>
        <v/>
      </c>
      <c r="T12" s="27" t="str">
        <f>IF(OR(Data!BA13="",C12=""),"",'Job Sheet'!AI13)</f>
        <v/>
      </c>
      <c r="U12" s="27" t="str">
        <f>IF(OR(Data!BA13="",C12=""),"",'Job Sheet'!AJ13)</f>
        <v/>
      </c>
      <c r="V12" s="27" t="str">
        <f>IF(ISERROR(VLOOKUP('Job Sheet'!BF13,Holdbacks,1,FALSE)),"",'Job Sheet'!BF13)</f>
        <v/>
      </c>
      <c r="W12" s="27" t="str">
        <f>IF(OR(Data!BA13="",C12=""),"",'Job Sheet'!BN13)</f>
        <v/>
      </c>
    </row>
    <row r="13" spans="1:23" s="61" customFormat="1" ht="60" customHeight="1">
      <c r="A13" s="2" t="str">
        <f>IF(OR(Data!BA14="",C13=""),"",Data!AW14)</f>
        <v/>
      </c>
      <c r="B13" s="7" t="str">
        <f>IF(OR(Data!BA14="",C13=""),"",'Job Sheet'!C14)</f>
        <v/>
      </c>
      <c r="C13" s="27" t="str">
        <f>IF(AND('Job Sheet'!BH14="DBS to Make",(OR('Tube Cutting'!$A$6="Brax Retail",'Tube Cutting'!$A$6="Brax Wholesale"))),'Job Sheet'!Z14,"")</f>
        <v/>
      </c>
      <c r="D13" s="27" t="str">
        <f>IF(OR(Data!BA14="",C13=""),"",'Job Sheet'!AA14)</f>
        <v/>
      </c>
      <c r="E13" s="27" t="str">
        <f>IF(OR(Data!BA14="",C13=""),"",'Job Sheet'!BP14-55)</f>
        <v/>
      </c>
      <c r="F13" s="27" t="str">
        <f>IF(OR(Data!BA14="",C13=""),"",'Job Sheet'!I14)</f>
        <v/>
      </c>
      <c r="G13" s="27" t="str">
        <f>IF(OR(Data!BA14="",C13=""),"",'Job Sheet'!P14)</f>
        <v/>
      </c>
      <c r="H13" s="27" t="str">
        <f>IF(OR(Data!BA14="",C13=""),"",IF(VLOOKUP(CONCATENATE('Job Sheet'!Z14,D13,T13),TBSTracks,4,FALSE)="Yes",'Job Sheet'!Q14,""))</f>
        <v/>
      </c>
      <c r="I13" s="27" t="str">
        <f>IF(OR(Data!BA14="",C13=""),"",'Job Sheet'!S14)</f>
        <v/>
      </c>
      <c r="J13" s="27" t="str">
        <f>IF(OR(Data!BA14="",C13=""),"",'Job Sheet'!T14)</f>
        <v/>
      </c>
      <c r="K13" s="27" t="str">
        <f>IF(OR(Data!BA14="",C13=""),"",'Job Sheet'!U14)</f>
        <v/>
      </c>
      <c r="L13" s="27" t="str">
        <f>IF(OR(Data!BA14="",C13=""),"",'Job Sheet'!AD14)</f>
        <v/>
      </c>
      <c r="M13" s="27" t="str">
        <f>IF(OR(Data!BA14="",C13=""),"",'Job Sheet'!AB14)</f>
        <v/>
      </c>
      <c r="N13" s="27" t="str">
        <f>IF(OR(Data!BA14="",C13=""),"",'Job Sheet'!AC14)</f>
        <v/>
      </c>
      <c r="O13" s="27" t="str">
        <f>IF(OR(Data!BA14="",C13=""),"",'Job Sheet'!AE14)</f>
        <v/>
      </c>
      <c r="P13" s="27" t="str">
        <f>IF(OR(Data!BA14="",C13=""),"",'Job Sheet'!AF14)</f>
        <v/>
      </c>
      <c r="Q13" s="27" t="str">
        <f>IF(OR(Data!BA14="",C13=""),"",'Job Sheet'!AH14)</f>
        <v/>
      </c>
      <c r="R13" s="27" t="str">
        <f>IF(C13="","",IF(AND('Job Sheet'!AB14="Hand Operation",OR('Job Sheet'!S14="Single Panel - Right Stacking",'Job Sheet'!S14="Single Panel - Left Stacking")),"1",IF(AND('Job Sheet'!AB14="Hand Operation",OR('Job Sheet'!S14="Single Panel - Free Flowing",'Job Sheet'!S14="Centre Opening")),"2",IF(AND('Job Sheet'!AB14="Hand Operation",(OR('Job Sheet'!S14="Centre Opening - Free Flowing",'Job Sheet'!S14="Centre Opening (Offset Split)"))),"4",""))))</f>
        <v/>
      </c>
      <c r="S13" s="27" t="str">
        <f>IF(OR(Data!BA14="",C13=""),"",'Job Sheet'!X14)</f>
        <v/>
      </c>
      <c r="T13" s="27" t="str">
        <f>IF(OR(Data!BA14="",C13=""),"",'Job Sheet'!AI14)</f>
        <v/>
      </c>
      <c r="U13" s="27" t="str">
        <f>IF(OR(Data!BA14="",C13=""),"",'Job Sheet'!AJ14)</f>
        <v/>
      </c>
      <c r="V13" s="27" t="str">
        <f>IF(ISERROR(VLOOKUP('Job Sheet'!BF14,Holdbacks,1,FALSE)),"",'Job Sheet'!BF14)</f>
        <v/>
      </c>
      <c r="W13" s="27" t="str">
        <f>IF(OR(Data!BA14="",C13=""),"",'Job Sheet'!BN14)</f>
        <v/>
      </c>
    </row>
    <row r="14" spans="1:23" s="61" customFormat="1" ht="60" customHeight="1">
      <c r="A14" s="2" t="str">
        <f>IF(OR(Data!BA15="",C14=""),"",Data!AW15)</f>
        <v/>
      </c>
      <c r="B14" s="7" t="str">
        <f>IF(OR(Data!BA15="",C14=""),"",'Job Sheet'!C15)</f>
        <v/>
      </c>
      <c r="C14" s="27" t="str">
        <f>IF(AND('Job Sheet'!BH15="DBS to Make",(OR('Tube Cutting'!$A$6="Brax Retail",'Tube Cutting'!$A$6="Brax Wholesale"))),'Job Sheet'!Z15,"")</f>
        <v/>
      </c>
      <c r="D14" s="27" t="str">
        <f>IF(OR(Data!BA15="",C14=""),"",'Job Sheet'!AA15)</f>
        <v/>
      </c>
      <c r="E14" s="27" t="str">
        <f>IF(OR(Data!BA15="",C14=""),"",'Job Sheet'!BP15-55)</f>
        <v/>
      </c>
      <c r="F14" s="27" t="str">
        <f>IF(OR(Data!BA15="",C14=""),"",'Job Sheet'!I15)</f>
        <v/>
      </c>
      <c r="G14" s="27" t="str">
        <f>IF(OR(Data!BA15="",C14=""),"",'Job Sheet'!P15)</f>
        <v/>
      </c>
      <c r="H14" s="27" t="str">
        <f>IF(OR(Data!BA15="",C14=""),"",IF(VLOOKUP(CONCATENATE('Job Sheet'!Z15,D14,T14),TBSTracks,4,FALSE)="Yes",'Job Sheet'!Q15,""))</f>
        <v/>
      </c>
      <c r="I14" s="27" t="str">
        <f>IF(OR(Data!BA15="",C14=""),"",'Job Sheet'!S15)</f>
        <v/>
      </c>
      <c r="J14" s="27" t="str">
        <f>IF(OR(Data!BA15="",C14=""),"",'Job Sheet'!T15)</f>
        <v/>
      </c>
      <c r="K14" s="27" t="str">
        <f>IF(OR(Data!BA15="",C14=""),"",'Job Sheet'!U15)</f>
        <v/>
      </c>
      <c r="L14" s="27" t="str">
        <f>IF(OR(Data!BA15="",C14=""),"",'Job Sheet'!AD15)</f>
        <v/>
      </c>
      <c r="M14" s="27" t="str">
        <f>IF(OR(Data!BA15="",C14=""),"",'Job Sheet'!AB15)</f>
        <v/>
      </c>
      <c r="N14" s="27" t="str">
        <f>IF(OR(Data!BA15="",C14=""),"",'Job Sheet'!AC15)</f>
        <v/>
      </c>
      <c r="O14" s="27" t="str">
        <f>IF(OR(Data!BA15="",C14=""),"",'Job Sheet'!AE15)</f>
        <v/>
      </c>
      <c r="P14" s="27" t="str">
        <f>IF(OR(Data!BA15="",C14=""),"",'Job Sheet'!AF15)</f>
        <v/>
      </c>
      <c r="Q14" s="27" t="str">
        <f>IF(OR(Data!BA15="",C14=""),"",'Job Sheet'!AH15)</f>
        <v/>
      </c>
      <c r="R14" s="27" t="str">
        <f>IF(C14="","",IF(AND('Job Sheet'!AB15="Hand Operation",OR('Job Sheet'!S15="Single Panel - Right Stacking",'Job Sheet'!S15="Single Panel - Left Stacking")),"1",IF(AND('Job Sheet'!AB15="Hand Operation",OR('Job Sheet'!S15="Single Panel - Free Flowing",'Job Sheet'!S15="Centre Opening")),"2",IF(AND('Job Sheet'!AB15="Hand Operation",(OR('Job Sheet'!S15="Centre Opening - Free Flowing",'Job Sheet'!S15="Centre Opening (Offset Split)"))),"4",""))))</f>
        <v/>
      </c>
      <c r="S14" s="27" t="str">
        <f>IF(OR(Data!BA15="",C14=""),"",'Job Sheet'!X15)</f>
        <v/>
      </c>
      <c r="T14" s="27" t="str">
        <f>IF(OR(Data!BA15="",C14=""),"",'Job Sheet'!AI15)</f>
        <v/>
      </c>
      <c r="U14" s="27" t="str">
        <f>IF(OR(Data!BA15="",C14=""),"",'Job Sheet'!AJ15)</f>
        <v/>
      </c>
      <c r="V14" s="27" t="str">
        <f>IF(ISERROR(VLOOKUP('Job Sheet'!BF15,Holdbacks,1,FALSE)),"",'Job Sheet'!BF15)</f>
        <v/>
      </c>
      <c r="W14" s="27" t="str">
        <f>IF(OR(Data!BA15="",C14=""),"",'Job Sheet'!BN15)</f>
        <v/>
      </c>
    </row>
    <row r="15" spans="1:23" s="61" customFormat="1" ht="60" customHeight="1">
      <c r="A15" s="2" t="str">
        <f>IF(OR(Data!BA16="",C15=""),"",Data!AW16)</f>
        <v/>
      </c>
      <c r="B15" s="7" t="str">
        <f>IF(OR(Data!BA16="",C15=""),"",'Job Sheet'!C16)</f>
        <v/>
      </c>
      <c r="C15" s="27" t="str">
        <f>IF(AND('Job Sheet'!BH16="DBS to Make",(OR('Tube Cutting'!$A$6="Brax Retail",'Tube Cutting'!$A$6="Brax Wholesale"))),'Job Sheet'!Z16,"")</f>
        <v/>
      </c>
      <c r="D15" s="27" t="str">
        <f>IF(OR(Data!BA16="",C15=""),"",'Job Sheet'!AA16)</f>
        <v/>
      </c>
      <c r="E15" s="27" t="str">
        <f>IF(OR(Data!BA16="",C15=""),"",'Job Sheet'!BP16-55)</f>
        <v/>
      </c>
      <c r="F15" s="27" t="str">
        <f>IF(OR(Data!BA16="",C15=""),"",'Job Sheet'!I16)</f>
        <v/>
      </c>
      <c r="G15" s="27" t="str">
        <f>IF(OR(Data!BA16="",C15=""),"",'Job Sheet'!P16)</f>
        <v/>
      </c>
      <c r="H15" s="27" t="str">
        <f>IF(OR(Data!BA16="",C15=""),"",IF(VLOOKUP(CONCATENATE('Job Sheet'!Z16,D15,T15),TBSTracks,4,FALSE)="Yes",'Job Sheet'!Q16,""))</f>
        <v/>
      </c>
      <c r="I15" s="27" t="str">
        <f>IF(OR(Data!BA16="",C15=""),"",'Job Sheet'!S16)</f>
        <v/>
      </c>
      <c r="J15" s="27" t="str">
        <f>IF(OR(Data!BA16="",C15=""),"",'Job Sheet'!T16)</f>
        <v/>
      </c>
      <c r="K15" s="27" t="str">
        <f>IF(OR(Data!BA16="",C15=""),"",'Job Sheet'!U16)</f>
        <v/>
      </c>
      <c r="L15" s="27" t="str">
        <f>IF(OR(Data!BA16="",C15=""),"",'Job Sheet'!AD16)</f>
        <v/>
      </c>
      <c r="M15" s="27" t="str">
        <f>IF(OR(Data!BA16="",C15=""),"",'Job Sheet'!AB16)</f>
        <v/>
      </c>
      <c r="N15" s="27" t="str">
        <f>IF(OR(Data!BA16="",C15=""),"",'Job Sheet'!AC16)</f>
        <v/>
      </c>
      <c r="O15" s="27" t="str">
        <f>IF(OR(Data!BA16="",C15=""),"",'Job Sheet'!AE16)</f>
        <v/>
      </c>
      <c r="P15" s="27" t="str">
        <f>IF(OR(Data!BA16="",C15=""),"",'Job Sheet'!AF16)</f>
        <v/>
      </c>
      <c r="Q15" s="27" t="str">
        <f>IF(OR(Data!BA16="",C15=""),"",'Job Sheet'!AH16)</f>
        <v/>
      </c>
      <c r="R15" s="27" t="str">
        <f>IF(C15="","",IF(AND('Job Sheet'!AB16="Hand Operation",OR('Job Sheet'!S16="Single Panel - Right Stacking",'Job Sheet'!S16="Single Panel - Left Stacking")),"1",IF(AND('Job Sheet'!AB16="Hand Operation",OR('Job Sheet'!S16="Single Panel - Free Flowing",'Job Sheet'!S16="Centre Opening")),"2",IF(AND('Job Sheet'!AB16="Hand Operation",(OR('Job Sheet'!S16="Centre Opening - Free Flowing",'Job Sheet'!S16="Centre Opening (Offset Split)"))),"4",""))))</f>
        <v/>
      </c>
      <c r="S15" s="27" t="str">
        <f>IF(OR(Data!BA16="",C15=""),"",'Job Sheet'!X16)</f>
        <v/>
      </c>
      <c r="T15" s="27" t="str">
        <f>IF(OR(Data!BA16="",C15=""),"",'Job Sheet'!AI16)</f>
        <v/>
      </c>
      <c r="U15" s="27" t="str">
        <f>IF(OR(Data!BA16="",C15=""),"",'Job Sheet'!AJ16)</f>
        <v/>
      </c>
      <c r="V15" s="27" t="str">
        <f>IF(ISERROR(VLOOKUP('Job Sheet'!BF16,Holdbacks,1,FALSE)),"",'Job Sheet'!BF16)</f>
        <v/>
      </c>
      <c r="W15" s="27" t="str">
        <f>IF(OR(Data!BA16="",C15=""),"",'Job Sheet'!BN16)</f>
        <v/>
      </c>
    </row>
    <row r="16" spans="1:23" s="61" customFormat="1" ht="60" customHeight="1">
      <c r="A16" s="2" t="str">
        <f>IF(OR(Data!BA17="",C16=""),"",Data!AW17)</f>
        <v/>
      </c>
      <c r="B16" s="7" t="str">
        <f>IF(OR(Data!BA17="",C16=""),"",'Job Sheet'!C17)</f>
        <v/>
      </c>
      <c r="C16" s="27" t="str">
        <f>IF(AND('Job Sheet'!BH17="DBS to Make",(OR('Tube Cutting'!$A$6="Brax Retail",'Tube Cutting'!$A$6="Brax Wholesale"))),'Job Sheet'!Z17,"")</f>
        <v/>
      </c>
      <c r="D16" s="27" t="str">
        <f>IF(OR(Data!BA17="",C16=""),"",'Job Sheet'!AA17)</f>
        <v/>
      </c>
      <c r="E16" s="27" t="str">
        <f>IF(OR(Data!BA17="",C16=""),"",'Job Sheet'!BP17-55)</f>
        <v/>
      </c>
      <c r="F16" s="27" t="str">
        <f>IF(OR(Data!BA17="",C16=""),"",'Job Sheet'!I17)</f>
        <v/>
      </c>
      <c r="G16" s="27" t="str">
        <f>IF(OR(Data!BA17="",C16=""),"",'Job Sheet'!P17)</f>
        <v/>
      </c>
      <c r="H16" s="27" t="str">
        <f>IF(OR(Data!BA17="",C16=""),"",IF(VLOOKUP(CONCATENATE('Job Sheet'!Z17,D16,T16),TBSTracks,4,FALSE)="Yes",'Job Sheet'!Q17,""))</f>
        <v/>
      </c>
      <c r="I16" s="27" t="str">
        <f>IF(OR(Data!BA17="",C16=""),"",'Job Sheet'!S17)</f>
        <v/>
      </c>
      <c r="J16" s="27" t="str">
        <f>IF(OR(Data!BA17="",C16=""),"",'Job Sheet'!T17)</f>
        <v/>
      </c>
      <c r="K16" s="27" t="str">
        <f>IF(OR(Data!BA17="",C16=""),"",'Job Sheet'!U17)</f>
        <v/>
      </c>
      <c r="L16" s="27" t="str">
        <f>IF(OR(Data!BA17="",C16=""),"",'Job Sheet'!AD17)</f>
        <v/>
      </c>
      <c r="M16" s="27" t="str">
        <f>IF(OR(Data!BA17="",C16=""),"",'Job Sheet'!AB17)</f>
        <v/>
      </c>
      <c r="N16" s="27" t="str">
        <f>IF(OR(Data!BA17="",C16=""),"",'Job Sheet'!AC17)</f>
        <v/>
      </c>
      <c r="O16" s="27" t="str">
        <f>IF(OR(Data!BA17="",C16=""),"",'Job Sheet'!AE17)</f>
        <v/>
      </c>
      <c r="P16" s="27" t="str">
        <f>IF(OR(Data!BA17="",C16=""),"",'Job Sheet'!AF17)</f>
        <v/>
      </c>
      <c r="Q16" s="27" t="str">
        <f>IF(OR(Data!BA17="",C16=""),"",'Job Sheet'!AH17)</f>
        <v/>
      </c>
      <c r="R16" s="27" t="str">
        <f>IF(C16="","",IF(AND('Job Sheet'!AB17="Hand Operation",OR('Job Sheet'!S17="Single Panel - Right Stacking",'Job Sheet'!S17="Single Panel - Left Stacking")),"1",IF(AND('Job Sheet'!AB17="Hand Operation",OR('Job Sheet'!S17="Single Panel - Free Flowing",'Job Sheet'!S17="Centre Opening")),"2",IF(AND('Job Sheet'!AB17="Hand Operation",(OR('Job Sheet'!S17="Centre Opening - Free Flowing",'Job Sheet'!S17="Centre Opening (Offset Split)"))),"4",""))))</f>
        <v/>
      </c>
      <c r="S16" s="27" t="str">
        <f>IF(OR(Data!BA17="",C16=""),"",'Job Sheet'!X17)</f>
        <v/>
      </c>
      <c r="T16" s="27" t="str">
        <f>IF(OR(Data!BA17="",C16=""),"",'Job Sheet'!AI17)</f>
        <v/>
      </c>
      <c r="U16" s="27" t="str">
        <f>IF(OR(Data!BA17="",C16=""),"",'Job Sheet'!AJ17)</f>
        <v/>
      </c>
      <c r="V16" s="27" t="str">
        <f>IF(ISERROR(VLOOKUP('Job Sheet'!BF17,Holdbacks,1,FALSE)),"",'Job Sheet'!BF17)</f>
        <v/>
      </c>
      <c r="W16" s="27" t="str">
        <f>IF(OR(Data!BA17="",C16=""),"",'Job Sheet'!BN17)</f>
        <v/>
      </c>
    </row>
    <row r="17" spans="1:23" s="61" customFormat="1" ht="60" customHeight="1">
      <c r="A17" s="2" t="str">
        <f>IF(OR(Data!BA18="",C17=""),"",Data!AW18)</f>
        <v/>
      </c>
      <c r="B17" s="7" t="str">
        <f>IF(OR(Data!BA18="",C17=""),"",'Job Sheet'!C18)</f>
        <v/>
      </c>
      <c r="C17" s="27" t="str">
        <f>IF(AND('Job Sheet'!BH18="DBS to Make",(OR('Tube Cutting'!$A$6="Brax Retail",'Tube Cutting'!$A$6="Brax Wholesale"))),'Job Sheet'!Z18,"")</f>
        <v/>
      </c>
      <c r="D17" s="27" t="str">
        <f>IF(OR(Data!BA18="",C17=""),"",'Job Sheet'!AA18)</f>
        <v/>
      </c>
      <c r="E17" s="27" t="str">
        <f>IF(OR(Data!BA18="",C17=""),"",'Job Sheet'!BP18-55)</f>
        <v/>
      </c>
      <c r="F17" s="27" t="str">
        <f>IF(OR(Data!BA18="",C17=""),"",'Job Sheet'!I18)</f>
        <v/>
      </c>
      <c r="G17" s="27" t="str">
        <f>IF(OR(Data!BA18="",C17=""),"",'Job Sheet'!P18)</f>
        <v/>
      </c>
      <c r="H17" s="27" t="str">
        <f>IF(OR(Data!BA18="",C17=""),"",IF(VLOOKUP(CONCATENATE('Job Sheet'!Z18,D17,T17),TBSTracks,4,FALSE)="Yes",'Job Sheet'!Q18,""))</f>
        <v/>
      </c>
      <c r="I17" s="27" t="str">
        <f>IF(OR(Data!BA18="",C17=""),"",'Job Sheet'!S18)</f>
        <v/>
      </c>
      <c r="J17" s="27" t="str">
        <f>IF(OR(Data!BA18="",C17=""),"",'Job Sheet'!T18)</f>
        <v/>
      </c>
      <c r="K17" s="27" t="str">
        <f>IF(OR(Data!BA18="",C17=""),"",'Job Sheet'!U18)</f>
        <v/>
      </c>
      <c r="L17" s="27" t="str">
        <f>IF(OR(Data!BA18="",C17=""),"",'Job Sheet'!AD18)</f>
        <v/>
      </c>
      <c r="M17" s="27" t="str">
        <f>IF(OR(Data!BA18="",C17=""),"",'Job Sheet'!AB18)</f>
        <v/>
      </c>
      <c r="N17" s="27" t="str">
        <f>IF(OR(Data!BA18="",C17=""),"",'Job Sheet'!AC18)</f>
        <v/>
      </c>
      <c r="O17" s="27" t="str">
        <f>IF(OR(Data!BA18="",C17=""),"",'Job Sheet'!AE18)</f>
        <v/>
      </c>
      <c r="P17" s="27" t="str">
        <f>IF(OR(Data!BA18="",C17=""),"",'Job Sheet'!AF18)</f>
        <v/>
      </c>
      <c r="Q17" s="27" t="str">
        <f>IF(OR(Data!BA18="",C17=""),"",'Job Sheet'!AH18)</f>
        <v/>
      </c>
      <c r="R17" s="27" t="str">
        <f>IF(C17="","",IF(AND('Job Sheet'!AB18="Hand Operation",OR('Job Sheet'!S18="Single Panel - Right Stacking",'Job Sheet'!S18="Single Panel - Left Stacking")),"1",IF(AND('Job Sheet'!AB18="Hand Operation",OR('Job Sheet'!S18="Single Panel - Free Flowing",'Job Sheet'!S18="Centre Opening")),"2",IF(AND('Job Sheet'!AB18="Hand Operation",(OR('Job Sheet'!S18="Centre Opening - Free Flowing",'Job Sheet'!S18="Centre Opening (Offset Split)"))),"4",""))))</f>
        <v/>
      </c>
      <c r="S17" s="27" t="str">
        <f>IF(OR(Data!BA18="",C17=""),"",'Job Sheet'!X18)</f>
        <v/>
      </c>
      <c r="T17" s="27" t="str">
        <f>IF(OR(Data!BA18="",C17=""),"",'Job Sheet'!AI18)</f>
        <v/>
      </c>
      <c r="U17" s="27" t="str">
        <f>IF(OR(Data!BA18="",C17=""),"",'Job Sheet'!AJ18)</f>
        <v/>
      </c>
      <c r="V17" s="27" t="str">
        <f>IF(ISERROR(VLOOKUP('Job Sheet'!BF18,Holdbacks,1,FALSE)),"",'Job Sheet'!BF18)</f>
        <v/>
      </c>
      <c r="W17" s="27" t="str">
        <f>IF(OR(Data!BA18="",C17=""),"",'Job Sheet'!BN18)</f>
        <v/>
      </c>
    </row>
    <row r="18" spans="1:23" s="61" customFormat="1" ht="60" customHeight="1">
      <c r="A18" s="2" t="str">
        <f>IF(OR(Data!BA19="",C18=""),"",Data!AW19)</f>
        <v/>
      </c>
      <c r="B18" s="7" t="str">
        <f>IF(OR(Data!BA19="",C18=""),"",'Job Sheet'!C19)</f>
        <v/>
      </c>
      <c r="C18" s="27" t="str">
        <f>IF(AND('Job Sheet'!BH19="DBS to Make",(OR('Tube Cutting'!$A$6="Brax Retail",'Tube Cutting'!$A$6="Brax Wholesale"))),'Job Sheet'!Z19,"")</f>
        <v/>
      </c>
      <c r="D18" s="27" t="str">
        <f>IF(OR(Data!BA19="",C18=""),"",'Job Sheet'!AA19)</f>
        <v/>
      </c>
      <c r="E18" s="27" t="str">
        <f>IF(OR(Data!BA19="",C18=""),"",'Job Sheet'!BP19-55)</f>
        <v/>
      </c>
      <c r="F18" s="27" t="str">
        <f>IF(OR(Data!BA19="",C18=""),"",'Job Sheet'!I19)</f>
        <v/>
      </c>
      <c r="G18" s="27" t="str">
        <f>IF(OR(Data!BA19="",C18=""),"",'Job Sheet'!P19)</f>
        <v/>
      </c>
      <c r="H18" s="27" t="str">
        <f>IF(OR(Data!BA19="",C18=""),"",IF(VLOOKUP(CONCATENATE('Job Sheet'!Z19,D18,T18),TBSTracks,4,FALSE)="Yes",'Job Sheet'!Q19,""))</f>
        <v/>
      </c>
      <c r="I18" s="27" t="str">
        <f>IF(OR(Data!BA19="",C18=""),"",'Job Sheet'!S19)</f>
        <v/>
      </c>
      <c r="J18" s="27" t="str">
        <f>IF(OR(Data!BA19="",C18=""),"",'Job Sheet'!T19)</f>
        <v/>
      </c>
      <c r="K18" s="27" t="str">
        <f>IF(OR(Data!BA19="",C18=""),"",'Job Sheet'!U19)</f>
        <v/>
      </c>
      <c r="L18" s="27" t="str">
        <f>IF(OR(Data!BA19="",C18=""),"",'Job Sheet'!AD19)</f>
        <v/>
      </c>
      <c r="M18" s="27" t="str">
        <f>IF(OR(Data!BA19="",C18=""),"",'Job Sheet'!AB19)</f>
        <v/>
      </c>
      <c r="N18" s="27" t="str">
        <f>IF(OR(Data!BA19="",C18=""),"",'Job Sheet'!AC19)</f>
        <v/>
      </c>
      <c r="O18" s="27" t="str">
        <f>IF(OR(Data!BA19="",C18=""),"",'Job Sheet'!AE19)</f>
        <v/>
      </c>
      <c r="P18" s="27" t="str">
        <f>IF(OR(Data!BA19="",C18=""),"",'Job Sheet'!AF19)</f>
        <v/>
      </c>
      <c r="Q18" s="27" t="str">
        <f>IF(OR(Data!BA19="",C18=""),"",'Job Sheet'!AH19)</f>
        <v/>
      </c>
      <c r="R18" s="27" t="str">
        <f>IF(C18="","",IF(AND('Job Sheet'!AB19="Hand Operation",OR('Job Sheet'!S19="Single Panel - Right Stacking",'Job Sheet'!S19="Single Panel - Left Stacking")),"1",IF(AND('Job Sheet'!AB19="Hand Operation",OR('Job Sheet'!S19="Single Panel - Free Flowing",'Job Sheet'!S19="Centre Opening")),"2",IF(AND('Job Sheet'!AB19="Hand Operation",(OR('Job Sheet'!S19="Centre Opening - Free Flowing",'Job Sheet'!S19="Centre Opening (Offset Split)"))),"4",""))))</f>
        <v/>
      </c>
      <c r="S18" s="27" t="str">
        <f>IF(OR(Data!BA19="",C18=""),"",'Job Sheet'!X19)</f>
        <v/>
      </c>
      <c r="T18" s="27" t="str">
        <f>IF(OR(Data!BA19="",C18=""),"",'Job Sheet'!AI19)</f>
        <v/>
      </c>
      <c r="U18" s="27" t="str">
        <f>IF(OR(Data!BA19="",C18=""),"",'Job Sheet'!AJ19)</f>
        <v/>
      </c>
      <c r="V18" s="27" t="str">
        <f>IF(ISERROR(VLOOKUP('Job Sheet'!BF19,Holdbacks,1,FALSE)),"",'Job Sheet'!BF19)</f>
        <v/>
      </c>
      <c r="W18" s="27" t="str">
        <f>IF(OR(Data!BA19="",C18=""),"",'Job Sheet'!BN19)</f>
        <v/>
      </c>
    </row>
    <row r="19" spans="1:23" s="61" customFormat="1" ht="60" customHeight="1">
      <c r="A19" s="226" t="str">
        <f>IF(OR(Data!BA20="",C19=""),"",Data!AW20)</f>
        <v/>
      </c>
      <c r="B19" s="236" t="str">
        <f>IF(OR(Data!BA20="",C19=""),"",'Job Sheet'!C20)</f>
        <v/>
      </c>
      <c r="C19" s="27" t="str">
        <f>IF(AND('Job Sheet'!BH20="DBS to Make",(OR('Tube Cutting'!$A$6="Brax Retail",'Tube Cutting'!$A$6="Brax Wholesale"))),'Job Sheet'!Z20,"")</f>
        <v/>
      </c>
      <c r="D19" s="27" t="str">
        <f>IF(OR(Data!BA20="",C19=""),"",'Job Sheet'!AA20)</f>
        <v/>
      </c>
      <c r="E19" s="27" t="str">
        <f>IF(OR(Data!BA20="",C19=""),"",'Job Sheet'!BP20-55)</f>
        <v/>
      </c>
      <c r="F19" s="27" t="str">
        <f>IF(OR(Data!BA20="",C19=""),"",'Job Sheet'!I20)</f>
        <v/>
      </c>
      <c r="G19" s="27" t="str">
        <f>IF(OR(Data!BA20="",C19=""),"",'Job Sheet'!P20)</f>
        <v/>
      </c>
      <c r="H19" s="27" t="str">
        <f>IF(OR(Data!BA20="",C19=""),"",IF(VLOOKUP(CONCATENATE('Job Sheet'!Z20,D19,T19),TBSTracks,4,FALSE)="Yes",'Job Sheet'!Q20,""))</f>
        <v/>
      </c>
      <c r="I19" s="27" t="str">
        <f>IF(OR(Data!BA20="",C19=""),"",'Job Sheet'!S20)</f>
        <v/>
      </c>
      <c r="J19" s="27" t="str">
        <f>IF(OR(Data!BA20="",C19=""),"",'Job Sheet'!T20)</f>
        <v/>
      </c>
      <c r="K19" s="27" t="str">
        <f>IF(OR(Data!BA20="",C19=""),"",'Job Sheet'!U20)</f>
        <v/>
      </c>
      <c r="L19" s="27" t="str">
        <f>IF(OR(Data!BA20="",C19=""),"",'Job Sheet'!AD20)</f>
        <v/>
      </c>
      <c r="M19" s="27" t="str">
        <f>IF(OR(Data!BA20="",C19=""),"",'Job Sheet'!AB20)</f>
        <v/>
      </c>
      <c r="N19" s="27" t="str">
        <f>IF(OR(Data!BA20="",C19=""),"",'Job Sheet'!AC20)</f>
        <v/>
      </c>
      <c r="O19" s="27" t="str">
        <f>IF(OR(Data!BA20="",C19=""),"",'Job Sheet'!AE20)</f>
        <v/>
      </c>
      <c r="P19" s="27" t="str">
        <f>IF(OR(Data!BA20="",C19=""),"",'Job Sheet'!AF20)</f>
        <v/>
      </c>
      <c r="Q19" s="27" t="str">
        <f>IF(OR(Data!BA20="",C19=""),"",'Job Sheet'!AH20)</f>
        <v/>
      </c>
      <c r="R19" s="27" t="str">
        <f>IF(C19="","",IF(AND('Job Sheet'!AB20="Hand Operation",OR('Job Sheet'!S20="Single Panel - Right Stacking",'Job Sheet'!S20="Single Panel - Left Stacking")),"1",IF(AND('Job Sheet'!AB20="Hand Operation",OR('Job Sheet'!S20="Single Panel - Free Flowing",'Job Sheet'!S20="Centre Opening")),"2",IF(AND('Job Sheet'!AB20="Hand Operation",(OR('Job Sheet'!S20="Centre Opening - Free Flowing",'Job Sheet'!S20="Centre Opening (Offset Split)"))),"4",""))))</f>
        <v/>
      </c>
      <c r="S19" s="27" t="str">
        <f>IF(OR(Data!BA20="",C19=""),"",'Job Sheet'!X20)</f>
        <v/>
      </c>
      <c r="T19" s="27" t="str">
        <f>IF(OR(Data!BA20="",C19=""),"",'Job Sheet'!AI20)</f>
        <v/>
      </c>
      <c r="U19" s="27" t="str">
        <f>IF(OR(Data!BA20="",C19=""),"",'Job Sheet'!AJ20)</f>
        <v/>
      </c>
      <c r="V19" s="27" t="str">
        <f>IF(ISERROR(VLOOKUP('Job Sheet'!BF20,Holdbacks,1,FALSE)),"",'Job Sheet'!BF20)</f>
        <v/>
      </c>
      <c r="W19" s="27" t="str">
        <f>IF(OR(Data!BA20="",C19=""),"",'Job Sheet'!BN20)</f>
        <v/>
      </c>
    </row>
    <row r="20" spans="1:23" s="32" customFormat="1" ht="60" customHeight="1">
      <c r="A20" s="226" t="str">
        <f>IF(OR(Data!BA21="",C20=""),"",Data!AW21)</f>
        <v/>
      </c>
      <c r="B20" s="236" t="str">
        <f>IF(OR(Data!BA21="",C20=""),"",'Job Sheet'!C21)</f>
        <v/>
      </c>
      <c r="C20" s="27" t="str">
        <f>IF(AND('Job Sheet'!BH21="DBS to Make",(OR('Tube Cutting'!$A$6="Brax Retail",'Tube Cutting'!$A$6="Brax Wholesale"))),'Job Sheet'!Z21,"")</f>
        <v/>
      </c>
      <c r="D20" s="27" t="str">
        <f>IF(OR(Data!BA21="",C20=""),"",'Job Sheet'!AA21)</f>
        <v/>
      </c>
      <c r="E20" s="27" t="str">
        <f>IF(OR(Data!BA21="",C20=""),"",'Job Sheet'!BP21-55)</f>
        <v/>
      </c>
      <c r="F20" s="27" t="str">
        <f>IF(OR(Data!BA21="",C20=""),"",'Job Sheet'!I21)</f>
        <v/>
      </c>
      <c r="G20" s="27" t="str">
        <f>IF(OR(Data!BA21="",C20=""),"",'Job Sheet'!P21)</f>
        <v/>
      </c>
      <c r="H20" s="27" t="str">
        <f>IF(OR(Data!BA21="",C20=""),"",IF(VLOOKUP(CONCATENATE('Job Sheet'!Z21,D20,T20),TBSTracks,4,FALSE)="Yes",'Job Sheet'!Q21,""))</f>
        <v/>
      </c>
      <c r="I20" s="27" t="str">
        <f>IF(OR(Data!BA21="",C20=""),"",'Job Sheet'!S21)</f>
        <v/>
      </c>
      <c r="J20" s="27" t="str">
        <f>IF(OR(Data!BA21="",C20=""),"",'Job Sheet'!T21)</f>
        <v/>
      </c>
      <c r="K20" s="27" t="str">
        <f>IF(OR(Data!BA21="",C20=""),"",'Job Sheet'!U21)</f>
        <v/>
      </c>
      <c r="L20" s="27" t="str">
        <f>IF(OR(Data!BA21="",C20=""),"",'Job Sheet'!AD21)</f>
        <v/>
      </c>
      <c r="M20" s="27" t="str">
        <f>IF(OR(Data!BA21="",C20=""),"",'Job Sheet'!AB21)</f>
        <v/>
      </c>
      <c r="N20" s="27" t="str">
        <f>IF(OR(Data!BA21="",C20=""),"",'Job Sheet'!AC21)</f>
        <v/>
      </c>
      <c r="O20" s="27" t="str">
        <f>IF(OR(Data!BA21="",C20=""),"",'Job Sheet'!AE21)</f>
        <v/>
      </c>
      <c r="P20" s="27" t="str">
        <f>IF(OR(Data!BA21="",C20=""),"",'Job Sheet'!AF21)</f>
        <v/>
      </c>
      <c r="Q20" s="27" t="str">
        <f>IF(OR(Data!BA21="",C20=""),"",'Job Sheet'!AH21)</f>
        <v/>
      </c>
      <c r="R20" s="27" t="str">
        <f>IF(C20="","",IF(AND('Job Sheet'!AB21="Hand Operation",OR('Job Sheet'!S21="Single Panel - Right Stacking",'Job Sheet'!S21="Single Panel - Left Stacking")),"1",IF(AND('Job Sheet'!AB21="Hand Operation",OR('Job Sheet'!S21="Single Panel - Free Flowing",'Job Sheet'!S21="Centre Opening")),"2",IF(AND('Job Sheet'!AB21="Hand Operation",(OR('Job Sheet'!S21="Centre Opening - Free Flowing",'Job Sheet'!S21="Centre Opening (Offset Split)"))),"4",""))))</f>
        <v/>
      </c>
      <c r="S20" s="27" t="str">
        <f>IF(OR(Data!BA21="",C20=""),"",'Job Sheet'!X21)</f>
        <v/>
      </c>
      <c r="T20" s="27" t="str">
        <f>IF(OR(Data!BA21="",C20=""),"",'Job Sheet'!AI21)</f>
        <v/>
      </c>
      <c r="U20" s="27" t="str">
        <f>IF(OR(Data!BA21="",C20=""),"",'Job Sheet'!AJ21)</f>
        <v/>
      </c>
      <c r="V20" s="27" t="str">
        <f>IF(ISERROR(VLOOKUP('Job Sheet'!BF21,Holdbacks,1,FALSE)),"",'Job Sheet'!BF21)</f>
        <v/>
      </c>
      <c r="W20" s="27" t="str">
        <f>IF(OR(Data!BA21="",C20=""),"",'Job Sheet'!BN21)</f>
        <v/>
      </c>
    </row>
    <row r="21" spans="1:23" s="32" customFormat="1" ht="60" customHeight="1">
      <c r="A21" s="226" t="str">
        <f>IF(OR(Data!BA22="",C21=""),"",Data!AW22)</f>
        <v/>
      </c>
      <c r="B21" s="236" t="str">
        <f>IF(OR(Data!BA22="",C21=""),"",'Job Sheet'!C22)</f>
        <v/>
      </c>
      <c r="C21" s="27" t="str">
        <f>IF(AND('Job Sheet'!BH22="DBS to Make",(OR('Tube Cutting'!$A$6="Brax Retail",'Tube Cutting'!$A$6="Brax Wholesale"))),'Job Sheet'!Z22,"")</f>
        <v/>
      </c>
      <c r="D21" s="27" t="str">
        <f>IF(OR(Data!BA22="",C21=""),"",'Job Sheet'!AA22)</f>
        <v/>
      </c>
      <c r="E21" s="27" t="str">
        <f>IF(OR(Data!BA22="",C21=""),"",'Job Sheet'!BP22-55)</f>
        <v/>
      </c>
      <c r="F21" s="27" t="str">
        <f>IF(OR(Data!BA22="",C21=""),"",'Job Sheet'!I22)</f>
        <v/>
      </c>
      <c r="G21" s="27" t="str">
        <f>IF(OR(Data!BA22="",C21=""),"",'Job Sheet'!P22)</f>
        <v/>
      </c>
      <c r="H21" s="27" t="str">
        <f>IF(OR(Data!BA22="",C21=""),"",IF(VLOOKUP(CONCATENATE('Job Sheet'!Z22,D21,T21),TBSTracks,4,FALSE)="Yes",'Job Sheet'!Q22,""))</f>
        <v/>
      </c>
      <c r="I21" s="27" t="str">
        <f>IF(OR(Data!BA22="",C21=""),"",'Job Sheet'!S22)</f>
        <v/>
      </c>
      <c r="J21" s="27" t="str">
        <f>IF(OR(Data!BA22="",C21=""),"",'Job Sheet'!T22)</f>
        <v/>
      </c>
      <c r="K21" s="27" t="str">
        <f>IF(OR(Data!BA22="",C21=""),"",'Job Sheet'!U22)</f>
        <v/>
      </c>
      <c r="L21" s="27" t="str">
        <f>IF(OR(Data!BA22="",C21=""),"",'Job Sheet'!AD22)</f>
        <v/>
      </c>
      <c r="M21" s="27" t="str">
        <f>IF(OR(Data!BA22="",C21=""),"",'Job Sheet'!AB22)</f>
        <v/>
      </c>
      <c r="N21" s="27" t="str">
        <f>IF(OR(Data!BA22="",C21=""),"",'Job Sheet'!AC22)</f>
        <v/>
      </c>
      <c r="O21" s="27" t="str">
        <f>IF(OR(Data!BA22="",C21=""),"",'Job Sheet'!AE22)</f>
        <v/>
      </c>
      <c r="P21" s="27" t="str">
        <f>IF(OR(Data!BA22="",C21=""),"",'Job Sheet'!AF22)</f>
        <v/>
      </c>
      <c r="Q21" s="27" t="str">
        <f>IF(OR(Data!BA22="",C21=""),"",'Job Sheet'!AH22)</f>
        <v/>
      </c>
      <c r="R21" s="27" t="str">
        <f>IF(C21="","",IF(AND('Job Sheet'!AB22="Hand Operation",OR('Job Sheet'!S22="Single Panel - Right Stacking",'Job Sheet'!S22="Single Panel - Left Stacking")),"1",IF(AND('Job Sheet'!AB22="Hand Operation",OR('Job Sheet'!S22="Single Panel - Free Flowing",'Job Sheet'!S22="Centre Opening")),"2",IF(AND('Job Sheet'!AB22="Hand Operation",(OR('Job Sheet'!S22="Centre Opening - Free Flowing",'Job Sheet'!S22="Centre Opening (Offset Split)"))),"4",""))))</f>
        <v/>
      </c>
      <c r="S21" s="27" t="str">
        <f>IF(OR(Data!BA22="",C21=""),"",'Job Sheet'!X22)</f>
        <v/>
      </c>
      <c r="T21" s="27" t="str">
        <f>IF(OR(Data!BA22="",C21=""),"",'Job Sheet'!AI22)</f>
        <v/>
      </c>
      <c r="U21" s="27" t="str">
        <f>IF(OR(Data!BA22="",C21=""),"",'Job Sheet'!AJ22)</f>
        <v/>
      </c>
      <c r="V21" s="27" t="str">
        <f>IF(ISERROR(VLOOKUP('Job Sheet'!BF22,Holdbacks,1,FALSE)),"",'Job Sheet'!BF22)</f>
        <v/>
      </c>
      <c r="W21" s="27" t="str">
        <f>IF(OR(Data!BA22="",C21=""),"",'Job Sheet'!BN22)</f>
        <v/>
      </c>
    </row>
    <row r="22" spans="1:20" s="32" customFormat="1" ht="60" customHeight="1">
      <c r="A22" s="64"/>
      <c r="B22" s="64"/>
      <c r="C22" s="64"/>
      <c r="D22" s="64"/>
      <c r="E22" s="64"/>
      <c r="F22" s="64"/>
      <c r="G22" s="64"/>
      <c r="H22" s="64"/>
      <c r="I22" s="64"/>
      <c r="J22" s="65"/>
      <c r="K22" s="65"/>
      <c r="L22" s="64"/>
      <c r="M22" s="64"/>
      <c r="N22" s="64"/>
      <c r="O22" s="64"/>
      <c r="P22" s="64"/>
      <c r="Q22" s="64"/>
      <c r="R22" s="64"/>
      <c r="S22" s="64"/>
      <c r="T22" s="64"/>
    </row>
    <row r="23" spans="1:20" s="32" customFormat="1" ht="60" customHeight="1">
      <c r="A23" s="64"/>
      <c r="B23" s="64"/>
      <c r="C23" s="64"/>
      <c r="D23" s="64"/>
      <c r="E23" s="64"/>
      <c r="F23" s="64"/>
      <c r="G23" s="64"/>
      <c r="H23" s="64"/>
      <c r="I23" s="64"/>
      <c r="J23" s="65"/>
      <c r="K23" s="65"/>
      <c r="L23" s="64"/>
      <c r="M23" s="64"/>
      <c r="N23" s="64"/>
      <c r="O23" s="64"/>
      <c r="P23" s="64"/>
      <c r="Q23" s="64"/>
      <c r="R23" s="64"/>
      <c r="S23" s="64"/>
      <c r="T23" s="64"/>
    </row>
    <row r="24" spans="1:20" s="32" customFormat="1" ht="60" customHeight="1">
      <c r="A24" s="64"/>
      <c r="B24" s="64"/>
      <c r="C24" s="64"/>
      <c r="D24" s="64"/>
      <c r="E24" s="64"/>
      <c r="F24" s="64"/>
      <c r="G24" s="64"/>
      <c r="H24" s="64"/>
      <c r="I24" s="64"/>
      <c r="J24" s="65"/>
      <c r="K24" s="65"/>
      <c r="L24" s="64"/>
      <c r="M24" s="64"/>
      <c r="N24" s="64"/>
      <c r="O24" s="64"/>
      <c r="P24" s="64"/>
      <c r="Q24" s="64"/>
      <c r="R24" s="64"/>
      <c r="S24" s="64"/>
      <c r="T24" s="64"/>
    </row>
    <row r="25" spans="1:20" s="32" customFormat="1" ht="60" customHeight="1">
      <c r="A25" s="64"/>
      <c r="B25" s="64"/>
      <c r="C25" s="64"/>
      <c r="D25" s="64"/>
      <c r="E25" s="64"/>
      <c r="F25" s="64"/>
      <c r="G25" s="64"/>
      <c r="H25" s="64"/>
      <c r="I25" s="64"/>
      <c r="J25" s="65"/>
      <c r="K25" s="65"/>
      <c r="L25" s="64"/>
      <c r="M25" s="64"/>
      <c r="N25" s="64"/>
      <c r="O25" s="64"/>
      <c r="P25" s="64"/>
      <c r="Q25" s="64"/>
      <c r="R25" s="64"/>
      <c r="S25" s="64"/>
      <c r="T25" s="64"/>
    </row>
    <row r="26" spans="1:20" s="32" customFormat="1" ht="60" customHeight="1">
      <c r="A26" s="64"/>
      <c r="B26" s="64"/>
      <c r="C26" s="64"/>
      <c r="D26" s="64"/>
      <c r="E26" s="64"/>
      <c r="F26" s="64"/>
      <c r="G26" s="64"/>
      <c r="H26" s="64"/>
      <c r="I26" s="64"/>
      <c r="J26" s="65"/>
      <c r="K26" s="65"/>
      <c r="L26" s="64"/>
      <c r="M26" s="64"/>
      <c r="N26" s="64"/>
      <c r="O26" s="64"/>
      <c r="P26" s="64"/>
      <c r="Q26" s="64"/>
      <c r="R26" s="64"/>
      <c r="S26" s="64"/>
      <c r="T26" s="64"/>
    </row>
    <row r="27" spans="1:20" s="32" customFormat="1" ht="60" customHeight="1">
      <c r="A27" s="64"/>
      <c r="B27" s="64"/>
      <c r="C27" s="64"/>
      <c r="D27" s="64"/>
      <c r="E27" s="64"/>
      <c r="F27" s="64"/>
      <c r="G27" s="64"/>
      <c r="H27" s="64"/>
      <c r="I27" s="64"/>
      <c r="J27" s="65"/>
      <c r="K27" s="65"/>
      <c r="L27" s="64"/>
      <c r="M27" s="64"/>
      <c r="N27" s="64"/>
      <c r="O27" s="64"/>
      <c r="P27" s="64"/>
      <c r="Q27" s="64"/>
      <c r="R27" s="64"/>
      <c r="S27" s="64"/>
      <c r="T27" s="64"/>
    </row>
    <row r="28" spans="1:20" s="32" customFormat="1" ht="60" customHeight="1">
      <c r="A28" s="64"/>
      <c r="B28" s="64"/>
      <c r="C28" s="64"/>
      <c r="D28" s="64"/>
      <c r="E28" s="64"/>
      <c r="F28" s="64"/>
      <c r="G28" s="64"/>
      <c r="H28" s="64"/>
      <c r="I28" s="64"/>
      <c r="J28" s="65"/>
      <c r="K28" s="65"/>
      <c r="L28" s="64"/>
      <c r="M28" s="64"/>
      <c r="N28" s="64"/>
      <c r="O28" s="64"/>
      <c r="P28" s="64"/>
      <c r="Q28" s="64"/>
      <c r="R28" s="64"/>
      <c r="S28" s="64"/>
      <c r="T28" s="64"/>
    </row>
    <row r="29" spans="1:20" s="32" customFormat="1" ht="60" customHeight="1">
      <c r="A29" s="64"/>
      <c r="B29" s="64"/>
      <c r="C29" s="64"/>
      <c r="D29" s="64"/>
      <c r="E29" s="64"/>
      <c r="F29" s="64"/>
      <c r="G29" s="64"/>
      <c r="H29" s="64"/>
      <c r="I29" s="64"/>
      <c r="J29" s="65"/>
      <c r="K29" s="65"/>
      <c r="L29" s="64"/>
      <c r="M29" s="64"/>
      <c r="N29" s="64"/>
      <c r="O29" s="64"/>
      <c r="P29" s="64"/>
      <c r="Q29" s="64"/>
      <c r="R29" s="64"/>
      <c r="S29" s="64"/>
      <c r="T29" s="64"/>
    </row>
    <row r="30" spans="1:20" s="32" customFormat="1" ht="60" customHeight="1">
      <c r="A30" s="64"/>
      <c r="B30" s="64"/>
      <c r="C30" s="64"/>
      <c r="D30" s="64"/>
      <c r="E30" s="64"/>
      <c r="F30" s="64"/>
      <c r="G30" s="64"/>
      <c r="H30" s="64"/>
      <c r="I30" s="64"/>
      <c r="J30" s="65"/>
      <c r="K30" s="65"/>
      <c r="L30" s="64"/>
      <c r="M30" s="64"/>
      <c r="N30" s="64"/>
      <c r="O30" s="64"/>
      <c r="P30" s="64"/>
      <c r="Q30" s="64"/>
      <c r="R30" s="64"/>
      <c r="S30" s="64"/>
      <c r="T30" s="64"/>
    </row>
    <row r="31" spans="1:20" s="32" customFormat="1" ht="60" customHeight="1">
      <c r="A31" s="64"/>
      <c r="B31" s="64"/>
      <c r="C31" s="64"/>
      <c r="D31" s="64"/>
      <c r="E31" s="64"/>
      <c r="F31" s="64"/>
      <c r="G31" s="64"/>
      <c r="H31" s="64"/>
      <c r="I31" s="64"/>
      <c r="J31" s="65"/>
      <c r="K31" s="65"/>
      <c r="L31" s="64"/>
      <c r="M31" s="64"/>
      <c r="N31" s="64"/>
      <c r="O31" s="64"/>
      <c r="P31" s="64"/>
      <c r="Q31" s="64"/>
      <c r="R31" s="64"/>
      <c r="S31" s="64"/>
      <c r="T31" s="64"/>
    </row>
    <row r="32" spans="1:20" s="32" customFormat="1" ht="60" customHeight="1">
      <c r="A32" s="64"/>
      <c r="B32" s="64"/>
      <c r="C32" s="64"/>
      <c r="D32" s="64"/>
      <c r="E32" s="64"/>
      <c r="F32" s="64"/>
      <c r="G32" s="64"/>
      <c r="H32" s="64"/>
      <c r="I32" s="64"/>
      <c r="J32" s="65"/>
      <c r="K32" s="65"/>
      <c r="L32" s="64"/>
      <c r="M32" s="64"/>
      <c r="N32" s="64"/>
      <c r="O32" s="64"/>
      <c r="P32" s="64"/>
      <c r="Q32" s="64"/>
      <c r="R32" s="64"/>
      <c r="S32" s="64"/>
      <c r="T32" s="64"/>
    </row>
    <row r="33" spans="1:20" s="32" customFormat="1" ht="60" customHeight="1">
      <c r="A33" s="64"/>
      <c r="B33" s="64"/>
      <c r="C33" s="64"/>
      <c r="D33" s="64"/>
      <c r="E33" s="64"/>
      <c r="F33" s="64"/>
      <c r="G33" s="64"/>
      <c r="H33" s="64"/>
      <c r="I33" s="64"/>
      <c r="J33" s="65"/>
      <c r="K33" s="65"/>
      <c r="L33" s="64"/>
      <c r="M33" s="64"/>
      <c r="N33" s="64"/>
      <c r="O33" s="64"/>
      <c r="P33" s="64"/>
      <c r="Q33" s="64"/>
      <c r="R33" s="64"/>
      <c r="S33" s="64"/>
      <c r="T33" s="64"/>
    </row>
    <row r="34" spans="1:20" s="32" customFormat="1" ht="60" customHeight="1">
      <c r="A34" s="64"/>
      <c r="B34" s="64"/>
      <c r="C34" s="64"/>
      <c r="D34" s="64"/>
      <c r="E34" s="64"/>
      <c r="F34" s="64"/>
      <c r="G34" s="64"/>
      <c r="H34" s="64"/>
      <c r="I34" s="64"/>
      <c r="J34" s="65"/>
      <c r="K34" s="65"/>
      <c r="L34" s="64"/>
      <c r="M34" s="64"/>
      <c r="N34" s="64"/>
      <c r="O34" s="64"/>
      <c r="P34" s="64"/>
      <c r="Q34" s="64"/>
      <c r="R34" s="64"/>
      <c r="S34" s="64"/>
      <c r="T34" s="64"/>
    </row>
    <row r="35" spans="1:20" s="32" customFormat="1" ht="60" customHeight="1">
      <c r="A35" s="64"/>
      <c r="B35" s="64"/>
      <c r="C35" s="64"/>
      <c r="D35" s="64"/>
      <c r="E35" s="64"/>
      <c r="F35" s="64"/>
      <c r="G35" s="64"/>
      <c r="H35" s="64"/>
      <c r="I35" s="64"/>
      <c r="J35" s="65"/>
      <c r="K35" s="65"/>
      <c r="L35" s="64"/>
      <c r="M35" s="64"/>
      <c r="N35" s="64"/>
      <c r="O35" s="64"/>
      <c r="P35" s="64"/>
      <c r="Q35" s="64"/>
      <c r="R35" s="64"/>
      <c r="S35" s="64"/>
      <c r="T35" s="64"/>
    </row>
    <row r="36" spans="1:20" s="32" customFormat="1" ht="60" customHeight="1">
      <c r="A36" s="64"/>
      <c r="B36" s="64"/>
      <c r="C36" s="64"/>
      <c r="D36" s="64"/>
      <c r="E36" s="64"/>
      <c r="F36" s="64"/>
      <c r="G36" s="64"/>
      <c r="H36" s="64"/>
      <c r="I36" s="64"/>
      <c r="J36" s="65"/>
      <c r="K36" s="65"/>
      <c r="L36" s="64"/>
      <c r="M36" s="64"/>
      <c r="N36" s="64"/>
      <c r="O36" s="64"/>
      <c r="P36" s="64"/>
      <c r="Q36" s="64"/>
      <c r="R36" s="64"/>
      <c r="S36" s="64"/>
      <c r="T36" s="64"/>
    </row>
    <row r="37" spans="1:20" s="32" customFormat="1" ht="60" customHeight="1">
      <c r="A37" s="64"/>
      <c r="B37" s="64"/>
      <c r="C37" s="64"/>
      <c r="D37" s="64"/>
      <c r="E37" s="64"/>
      <c r="F37" s="64"/>
      <c r="G37" s="64"/>
      <c r="H37" s="64"/>
      <c r="I37" s="64"/>
      <c r="J37" s="65"/>
      <c r="K37" s="65"/>
      <c r="L37" s="64"/>
      <c r="M37" s="64"/>
      <c r="N37" s="64"/>
      <c r="O37" s="64"/>
      <c r="P37" s="64"/>
      <c r="Q37" s="64"/>
      <c r="R37" s="64"/>
      <c r="S37" s="64"/>
      <c r="T37" s="64"/>
    </row>
    <row r="38" spans="1:20" s="32" customFormat="1" ht="60" customHeight="1">
      <c r="A38" s="64"/>
      <c r="B38" s="64"/>
      <c r="C38" s="64"/>
      <c r="D38" s="64"/>
      <c r="E38" s="64"/>
      <c r="F38" s="64"/>
      <c r="G38" s="64"/>
      <c r="H38" s="64"/>
      <c r="I38" s="64"/>
      <c r="J38" s="65"/>
      <c r="K38" s="65"/>
      <c r="L38" s="64"/>
      <c r="M38" s="64"/>
      <c r="N38" s="64"/>
      <c r="O38" s="64"/>
      <c r="P38" s="64"/>
      <c r="Q38" s="64"/>
      <c r="R38" s="64"/>
      <c r="S38" s="64"/>
      <c r="T38" s="64"/>
    </row>
    <row r="39" spans="1:20" s="32" customFormat="1" ht="60" customHeight="1">
      <c r="A39" s="64"/>
      <c r="B39" s="64"/>
      <c r="C39" s="64"/>
      <c r="D39" s="64"/>
      <c r="E39" s="64"/>
      <c r="F39" s="64"/>
      <c r="G39" s="64"/>
      <c r="H39" s="64"/>
      <c r="I39" s="64"/>
      <c r="J39" s="65"/>
      <c r="K39" s="65"/>
      <c r="L39" s="64"/>
      <c r="M39" s="64"/>
      <c r="N39" s="64"/>
      <c r="O39" s="64"/>
      <c r="P39" s="64"/>
      <c r="Q39" s="64"/>
      <c r="R39" s="64"/>
      <c r="S39" s="64"/>
      <c r="T39" s="64"/>
    </row>
    <row r="40" spans="1:20" s="32" customFormat="1" ht="60" customHeight="1">
      <c r="A40" s="64"/>
      <c r="B40" s="64"/>
      <c r="C40" s="64"/>
      <c r="D40" s="64"/>
      <c r="E40" s="64"/>
      <c r="F40" s="64"/>
      <c r="G40" s="64"/>
      <c r="H40" s="64"/>
      <c r="I40" s="64"/>
      <c r="J40" s="65"/>
      <c r="K40" s="65"/>
      <c r="L40" s="64"/>
      <c r="M40" s="64"/>
      <c r="N40" s="64"/>
      <c r="O40" s="64"/>
      <c r="P40" s="64"/>
      <c r="Q40" s="64"/>
      <c r="R40" s="64"/>
      <c r="S40" s="64"/>
      <c r="T40" s="64"/>
    </row>
    <row r="41" spans="1:20" s="32" customFormat="1" ht="60" customHeight="1">
      <c r="A41" s="64"/>
      <c r="B41" s="64"/>
      <c r="C41" s="64"/>
      <c r="D41" s="64"/>
      <c r="E41" s="64"/>
      <c r="F41" s="64"/>
      <c r="G41" s="64"/>
      <c r="H41" s="64"/>
      <c r="I41" s="64"/>
      <c r="J41" s="65"/>
      <c r="K41" s="65"/>
      <c r="L41" s="64"/>
      <c r="M41" s="64"/>
      <c r="N41" s="64"/>
      <c r="O41" s="64"/>
      <c r="P41" s="64"/>
      <c r="Q41" s="64"/>
      <c r="R41" s="64"/>
      <c r="S41" s="64"/>
      <c r="T41" s="64"/>
    </row>
    <row r="42" spans="1:20" s="32" customFormat="1" ht="60" customHeight="1">
      <c r="A42" s="64"/>
      <c r="B42" s="64"/>
      <c r="C42" s="64"/>
      <c r="D42" s="64"/>
      <c r="E42" s="64"/>
      <c r="F42" s="64"/>
      <c r="G42" s="64"/>
      <c r="H42" s="64"/>
      <c r="I42" s="64"/>
      <c r="J42" s="65"/>
      <c r="K42" s="65"/>
      <c r="L42" s="64"/>
      <c r="M42" s="64"/>
      <c r="N42" s="64"/>
      <c r="O42" s="64"/>
      <c r="P42" s="64"/>
      <c r="Q42" s="64"/>
      <c r="R42" s="64"/>
      <c r="S42" s="64"/>
      <c r="T42" s="64"/>
    </row>
    <row r="43" spans="1:20" s="32" customFormat="1" ht="60" customHeight="1">
      <c r="A43" s="64"/>
      <c r="B43" s="64"/>
      <c r="C43" s="64"/>
      <c r="D43" s="64"/>
      <c r="E43" s="64"/>
      <c r="F43" s="64"/>
      <c r="G43" s="64"/>
      <c r="H43" s="64"/>
      <c r="I43" s="64"/>
      <c r="J43" s="65"/>
      <c r="K43" s="65"/>
      <c r="L43" s="64"/>
      <c r="M43" s="64"/>
      <c r="N43" s="64"/>
      <c r="O43" s="64"/>
      <c r="P43" s="64"/>
      <c r="Q43" s="64"/>
      <c r="R43" s="64"/>
      <c r="S43" s="64"/>
      <c r="T43" s="64"/>
    </row>
    <row r="44" spans="1:23" ht="60" customHeight="1">
      <c r="A44" s="64"/>
      <c r="B44" s="64"/>
      <c r="C44" s="64"/>
      <c r="D44" s="64"/>
      <c r="E44" s="64"/>
      <c r="F44" s="64"/>
      <c r="G44" s="64"/>
      <c r="H44" s="64"/>
      <c r="I44" s="64"/>
      <c r="J44" s="65"/>
      <c r="K44" s="65"/>
      <c r="L44" s="64"/>
      <c r="M44" s="64"/>
      <c r="N44" s="64"/>
      <c r="O44" s="64"/>
      <c r="P44" s="64"/>
      <c r="Q44" s="64"/>
      <c r="R44" s="64"/>
      <c r="S44" s="64"/>
      <c r="T44" s="64"/>
      <c r="U44" s="32"/>
      <c r="V44" s="32"/>
      <c r="W44" s="32"/>
    </row>
    <row r="45" spans="1:23" ht="60" customHeight="1">
      <c r="A45" s="64"/>
      <c r="B45" s="64"/>
      <c r="C45" s="64"/>
      <c r="D45" s="64"/>
      <c r="E45" s="64"/>
      <c r="F45" s="64"/>
      <c r="G45" s="64"/>
      <c r="H45" s="64"/>
      <c r="I45" s="64"/>
      <c r="J45" s="65"/>
      <c r="K45" s="65"/>
      <c r="L45" s="64"/>
      <c r="M45" s="64"/>
      <c r="N45" s="64"/>
      <c r="O45" s="64"/>
      <c r="P45" s="64"/>
      <c r="Q45" s="64"/>
      <c r="R45" s="64"/>
      <c r="S45" s="64"/>
      <c r="T45" s="64"/>
      <c r="U45" s="32"/>
      <c r="V45" s="32"/>
      <c r="W45" s="32"/>
    </row>
    <row r="46" spans="1:23" ht="60" customHeight="1">
      <c r="A46" s="64"/>
      <c r="B46" s="64"/>
      <c r="C46" s="64"/>
      <c r="D46" s="64"/>
      <c r="E46" s="64"/>
      <c r="F46" s="64"/>
      <c r="G46" s="64"/>
      <c r="H46" s="64"/>
      <c r="I46" s="64"/>
      <c r="J46" s="65"/>
      <c r="K46" s="65"/>
      <c r="L46" s="64"/>
      <c r="M46" s="64"/>
      <c r="N46" s="64"/>
      <c r="O46" s="64"/>
      <c r="P46" s="64"/>
      <c r="Q46" s="64"/>
      <c r="R46" s="64"/>
      <c r="S46" s="64"/>
      <c r="T46" s="64"/>
      <c r="U46" s="32"/>
      <c r="V46" s="32"/>
      <c r="W46" s="32"/>
    </row>
    <row r="47" spans="1:23" ht="60" customHeight="1">
      <c r="A47" s="64"/>
      <c r="B47" s="64"/>
      <c r="C47" s="64"/>
      <c r="D47" s="64"/>
      <c r="E47" s="64"/>
      <c r="F47" s="64"/>
      <c r="G47" s="64"/>
      <c r="H47" s="64"/>
      <c r="I47" s="64"/>
      <c r="J47" s="65"/>
      <c r="K47" s="65"/>
      <c r="L47" s="64"/>
      <c r="M47" s="64"/>
      <c r="N47" s="64"/>
      <c r="O47" s="64"/>
      <c r="P47" s="64"/>
      <c r="Q47" s="64"/>
      <c r="R47" s="64"/>
      <c r="S47" s="64"/>
      <c r="T47" s="64"/>
      <c r="U47" s="32"/>
      <c r="V47" s="32"/>
      <c r="W47" s="32"/>
    </row>
    <row r="48" spans="1:23" ht="60" customHeight="1">
      <c r="A48" s="64"/>
      <c r="B48" s="64"/>
      <c r="C48" s="64"/>
      <c r="D48" s="64"/>
      <c r="E48" s="64"/>
      <c r="F48" s="64"/>
      <c r="G48" s="64"/>
      <c r="H48" s="64"/>
      <c r="I48" s="64"/>
      <c r="J48" s="65"/>
      <c r="K48" s="65"/>
      <c r="L48" s="64"/>
      <c r="M48" s="64"/>
      <c r="N48" s="64"/>
      <c r="O48" s="64"/>
      <c r="P48" s="64"/>
      <c r="Q48" s="64"/>
      <c r="R48" s="64"/>
      <c r="S48" s="64"/>
      <c r="T48" s="64"/>
      <c r="U48" s="32"/>
      <c r="V48" s="32"/>
      <c r="W48" s="32"/>
    </row>
    <row r="49" spans="1:23" ht="60" customHeight="1">
      <c r="A49" s="64"/>
      <c r="B49" s="64"/>
      <c r="C49" s="64"/>
      <c r="D49" s="64"/>
      <c r="E49" s="64"/>
      <c r="F49" s="64"/>
      <c r="G49" s="64"/>
      <c r="H49" s="64"/>
      <c r="I49" s="64"/>
      <c r="J49" s="65"/>
      <c r="K49" s="65"/>
      <c r="L49" s="64"/>
      <c r="M49" s="64"/>
      <c r="N49" s="64"/>
      <c r="O49" s="64"/>
      <c r="P49" s="64"/>
      <c r="Q49" s="64"/>
      <c r="R49" s="64"/>
      <c r="S49" s="64"/>
      <c r="T49" s="64"/>
      <c r="U49" s="32"/>
      <c r="V49" s="32"/>
      <c r="W49" s="32"/>
    </row>
    <row r="50" spans="1:23" ht="60" customHeight="1">
      <c r="A50" s="64"/>
      <c r="B50" s="64"/>
      <c r="C50" s="64"/>
      <c r="D50" s="64"/>
      <c r="E50" s="64"/>
      <c r="F50" s="64"/>
      <c r="G50" s="64"/>
      <c r="H50" s="64"/>
      <c r="I50" s="64"/>
      <c r="J50" s="65"/>
      <c r="K50" s="65"/>
      <c r="L50" s="64"/>
      <c r="M50" s="64"/>
      <c r="N50" s="64"/>
      <c r="O50" s="64"/>
      <c r="P50" s="64"/>
      <c r="Q50" s="64"/>
      <c r="R50" s="64"/>
      <c r="S50" s="64"/>
      <c r="T50" s="64"/>
      <c r="U50" s="32"/>
      <c r="V50" s="32"/>
      <c r="W50" s="32"/>
    </row>
    <row r="51" spans="1:23" ht="60" customHeight="1">
      <c r="A51" s="64"/>
      <c r="B51" s="64"/>
      <c r="C51" s="64"/>
      <c r="D51" s="64"/>
      <c r="E51" s="64"/>
      <c r="F51" s="64"/>
      <c r="G51" s="64"/>
      <c r="H51" s="64"/>
      <c r="I51" s="64"/>
      <c r="J51" s="65"/>
      <c r="K51" s="65"/>
      <c r="L51" s="64"/>
      <c r="M51" s="64"/>
      <c r="N51" s="64"/>
      <c r="O51" s="64"/>
      <c r="P51" s="64"/>
      <c r="Q51" s="64"/>
      <c r="R51" s="64"/>
      <c r="S51" s="64"/>
      <c r="T51" s="64"/>
      <c r="U51" s="32"/>
      <c r="V51" s="32"/>
      <c r="W51" s="32"/>
    </row>
    <row r="52" spans="1:23" ht="60" customHeight="1">
      <c r="A52" s="64"/>
      <c r="B52" s="64"/>
      <c r="C52" s="64"/>
      <c r="D52" s="64"/>
      <c r="E52" s="64"/>
      <c r="F52" s="64"/>
      <c r="G52" s="64"/>
      <c r="H52" s="64"/>
      <c r="I52" s="64"/>
      <c r="J52" s="65"/>
      <c r="K52" s="65"/>
      <c r="L52" s="64"/>
      <c r="M52" s="64"/>
      <c r="N52" s="64"/>
      <c r="O52" s="64"/>
      <c r="P52" s="64"/>
      <c r="Q52" s="64"/>
      <c r="R52" s="64"/>
      <c r="S52" s="64"/>
      <c r="T52" s="64"/>
      <c r="U52" s="32"/>
      <c r="V52" s="32"/>
      <c r="W52" s="32"/>
    </row>
    <row r="53" spans="1:23" ht="60" customHeight="1">
      <c r="A53" s="64"/>
      <c r="B53" s="64"/>
      <c r="C53" s="64"/>
      <c r="D53" s="64"/>
      <c r="E53" s="64"/>
      <c r="F53" s="64"/>
      <c r="G53" s="64"/>
      <c r="H53" s="64"/>
      <c r="I53" s="64"/>
      <c r="J53" s="65"/>
      <c r="K53" s="65"/>
      <c r="L53" s="64"/>
      <c r="M53" s="64"/>
      <c r="N53" s="64"/>
      <c r="O53" s="64"/>
      <c r="P53" s="64"/>
      <c r="Q53" s="64"/>
      <c r="R53" s="64"/>
      <c r="S53" s="64"/>
      <c r="T53" s="64"/>
      <c r="U53" s="32"/>
      <c r="V53" s="32"/>
      <c r="W53" s="32"/>
    </row>
    <row r="54" spans="1:23" ht="60" customHeight="1">
      <c r="A54" s="64"/>
      <c r="B54" s="64"/>
      <c r="C54" s="64"/>
      <c r="D54" s="64"/>
      <c r="E54" s="64"/>
      <c r="F54" s="64"/>
      <c r="G54" s="64"/>
      <c r="H54" s="64"/>
      <c r="I54" s="64"/>
      <c r="J54" s="65"/>
      <c r="K54" s="65"/>
      <c r="L54" s="64"/>
      <c r="M54" s="64"/>
      <c r="N54" s="64"/>
      <c r="O54" s="64"/>
      <c r="P54" s="64"/>
      <c r="Q54" s="64"/>
      <c r="R54" s="64"/>
      <c r="S54" s="64"/>
      <c r="T54" s="64"/>
      <c r="U54" s="32"/>
      <c r="V54" s="32"/>
      <c r="W54" s="32"/>
    </row>
    <row r="55" spans="1:23" ht="60" customHeight="1">
      <c r="A55" s="64"/>
      <c r="B55" s="64"/>
      <c r="C55" s="64"/>
      <c r="D55" s="64"/>
      <c r="E55" s="64"/>
      <c r="F55" s="64"/>
      <c r="G55" s="64"/>
      <c r="H55" s="64"/>
      <c r="I55" s="64"/>
      <c r="J55" s="65"/>
      <c r="K55" s="65"/>
      <c r="L55" s="64"/>
      <c r="M55" s="64"/>
      <c r="N55" s="64"/>
      <c r="O55" s="64"/>
      <c r="P55" s="64"/>
      <c r="Q55" s="64"/>
      <c r="R55" s="64"/>
      <c r="S55" s="64"/>
      <c r="T55" s="64"/>
      <c r="U55" s="32"/>
      <c r="V55" s="32"/>
      <c r="W55" s="32"/>
    </row>
    <row r="56" spans="1:23" ht="60" customHeight="1">
      <c r="A56" s="64"/>
      <c r="B56" s="64"/>
      <c r="C56" s="64"/>
      <c r="D56" s="64"/>
      <c r="E56" s="64"/>
      <c r="F56" s="64"/>
      <c r="G56" s="64"/>
      <c r="H56" s="64"/>
      <c r="I56" s="64"/>
      <c r="J56" s="65"/>
      <c r="K56" s="65"/>
      <c r="L56" s="64"/>
      <c r="M56" s="64"/>
      <c r="N56" s="64"/>
      <c r="O56" s="64"/>
      <c r="P56" s="64"/>
      <c r="Q56" s="64"/>
      <c r="R56" s="64"/>
      <c r="S56" s="64"/>
      <c r="T56" s="64"/>
      <c r="U56" s="32"/>
      <c r="V56" s="32"/>
      <c r="W56" s="32"/>
    </row>
    <row r="57" spans="1:23" ht="60" customHeight="1">
      <c r="A57" s="64"/>
      <c r="B57" s="64"/>
      <c r="C57" s="64"/>
      <c r="D57" s="64"/>
      <c r="E57" s="64"/>
      <c r="F57" s="64"/>
      <c r="G57" s="64"/>
      <c r="H57" s="64"/>
      <c r="I57" s="64"/>
      <c r="J57" s="65"/>
      <c r="K57" s="65"/>
      <c r="L57" s="64"/>
      <c r="M57" s="64"/>
      <c r="N57" s="64"/>
      <c r="O57" s="64"/>
      <c r="P57" s="64"/>
      <c r="Q57" s="64"/>
      <c r="R57" s="64"/>
      <c r="S57" s="64"/>
      <c r="T57" s="64"/>
      <c r="U57" s="32"/>
      <c r="V57" s="32"/>
      <c r="W57" s="32"/>
    </row>
    <row r="58" spans="1:23" ht="60" customHeight="1">
      <c r="A58" s="64"/>
      <c r="B58" s="64"/>
      <c r="C58" s="64"/>
      <c r="D58" s="64"/>
      <c r="E58" s="64"/>
      <c r="F58" s="64"/>
      <c r="G58" s="64"/>
      <c r="H58" s="64"/>
      <c r="I58" s="64"/>
      <c r="J58" s="65"/>
      <c r="K58" s="65"/>
      <c r="L58" s="64"/>
      <c r="M58" s="64"/>
      <c r="N58" s="64"/>
      <c r="O58" s="64"/>
      <c r="P58" s="64"/>
      <c r="Q58" s="64"/>
      <c r="R58" s="64"/>
      <c r="S58" s="64"/>
      <c r="T58" s="64"/>
      <c r="U58" s="32"/>
      <c r="V58" s="32"/>
      <c r="W58" s="32"/>
    </row>
    <row r="59" spans="1:23" ht="60" customHeight="1">
      <c r="A59" s="64"/>
      <c r="B59" s="64"/>
      <c r="C59" s="64"/>
      <c r="D59" s="64"/>
      <c r="E59" s="64"/>
      <c r="F59" s="64"/>
      <c r="G59" s="64"/>
      <c r="H59" s="64"/>
      <c r="I59" s="64"/>
      <c r="J59" s="65"/>
      <c r="K59" s="65"/>
      <c r="L59" s="64"/>
      <c r="M59" s="64"/>
      <c r="N59" s="64"/>
      <c r="O59" s="64"/>
      <c r="P59" s="64"/>
      <c r="Q59" s="64"/>
      <c r="R59" s="64"/>
      <c r="S59" s="64"/>
      <c r="T59" s="64"/>
      <c r="U59" s="32"/>
      <c r="V59" s="32"/>
      <c r="W59" s="32"/>
    </row>
    <row r="60" spans="1:23" ht="60" customHeight="1">
      <c r="A60" s="64"/>
      <c r="B60" s="64"/>
      <c r="C60" s="64"/>
      <c r="D60" s="64"/>
      <c r="E60" s="64"/>
      <c r="F60" s="64"/>
      <c r="G60" s="64"/>
      <c r="H60" s="64"/>
      <c r="I60" s="64"/>
      <c r="J60" s="65"/>
      <c r="K60" s="65"/>
      <c r="L60" s="64"/>
      <c r="M60" s="64"/>
      <c r="N60" s="64"/>
      <c r="O60" s="64"/>
      <c r="P60" s="64"/>
      <c r="Q60" s="64"/>
      <c r="R60" s="64"/>
      <c r="S60" s="64"/>
      <c r="T60" s="64"/>
      <c r="U60" s="32"/>
      <c r="V60" s="32"/>
      <c r="W60" s="32"/>
    </row>
    <row r="61" spans="1:23" ht="60" customHeight="1">
      <c r="A61" s="64"/>
      <c r="B61" s="64"/>
      <c r="C61" s="64"/>
      <c r="D61" s="64"/>
      <c r="E61" s="64"/>
      <c r="F61" s="64"/>
      <c r="G61" s="64"/>
      <c r="H61" s="64"/>
      <c r="I61" s="64"/>
      <c r="J61" s="65"/>
      <c r="K61" s="65"/>
      <c r="L61" s="64"/>
      <c r="M61" s="64"/>
      <c r="N61" s="64"/>
      <c r="O61" s="64"/>
      <c r="P61" s="64"/>
      <c r="Q61" s="64"/>
      <c r="R61" s="64"/>
      <c r="S61" s="64"/>
      <c r="T61" s="64"/>
      <c r="U61" s="32"/>
      <c r="V61" s="32"/>
      <c r="W61" s="32"/>
    </row>
    <row r="62" spans="1:23" ht="60" customHeight="1">
      <c r="A62" s="64"/>
      <c r="B62" s="64"/>
      <c r="C62" s="64"/>
      <c r="D62" s="64"/>
      <c r="E62" s="64"/>
      <c r="F62" s="64"/>
      <c r="G62" s="64"/>
      <c r="H62" s="64"/>
      <c r="I62" s="64"/>
      <c r="J62" s="65"/>
      <c r="K62" s="65"/>
      <c r="L62" s="64"/>
      <c r="M62" s="64"/>
      <c r="N62" s="64"/>
      <c r="O62" s="64"/>
      <c r="P62" s="64"/>
      <c r="Q62" s="64"/>
      <c r="R62" s="64"/>
      <c r="S62" s="64"/>
      <c r="T62" s="64"/>
      <c r="U62" s="32"/>
      <c r="V62" s="32"/>
      <c r="W62" s="32"/>
    </row>
    <row r="63" spans="1:23" ht="60" customHeight="1">
      <c r="A63" s="64"/>
      <c r="B63" s="64"/>
      <c r="C63" s="64"/>
      <c r="D63" s="64"/>
      <c r="E63" s="64"/>
      <c r="F63" s="64"/>
      <c r="G63" s="64"/>
      <c r="H63" s="64"/>
      <c r="I63" s="64"/>
      <c r="J63" s="65"/>
      <c r="K63" s="65"/>
      <c r="L63" s="64"/>
      <c r="M63" s="64"/>
      <c r="N63" s="64"/>
      <c r="O63" s="64"/>
      <c r="P63" s="64"/>
      <c r="Q63" s="64"/>
      <c r="R63" s="64"/>
      <c r="S63" s="64"/>
      <c r="T63" s="64"/>
      <c r="U63" s="32"/>
      <c r="V63" s="32"/>
      <c r="W63" s="32"/>
    </row>
    <row r="64" spans="1:23" ht="60" customHeight="1">
      <c r="A64" s="64"/>
      <c r="B64" s="64"/>
      <c r="C64" s="64"/>
      <c r="D64" s="64"/>
      <c r="E64" s="64"/>
      <c r="F64" s="64"/>
      <c r="G64" s="64"/>
      <c r="H64" s="64"/>
      <c r="I64" s="64"/>
      <c r="J64" s="65"/>
      <c r="K64" s="65"/>
      <c r="L64" s="64"/>
      <c r="M64" s="64"/>
      <c r="N64" s="64"/>
      <c r="O64" s="64"/>
      <c r="P64" s="64"/>
      <c r="Q64" s="64"/>
      <c r="R64" s="64"/>
      <c r="S64" s="64"/>
      <c r="T64" s="64"/>
      <c r="U64" s="32"/>
      <c r="V64" s="32"/>
      <c r="W64" s="32"/>
    </row>
    <row r="65" spans="1:23" ht="60" customHeight="1">
      <c r="A65" s="64"/>
      <c r="B65" s="64"/>
      <c r="C65" s="64"/>
      <c r="D65" s="64"/>
      <c r="E65" s="64"/>
      <c r="F65" s="64"/>
      <c r="G65" s="64"/>
      <c r="H65" s="64"/>
      <c r="I65" s="64"/>
      <c r="J65" s="65"/>
      <c r="K65" s="65"/>
      <c r="L65" s="64"/>
      <c r="M65" s="64"/>
      <c r="N65" s="64"/>
      <c r="O65" s="64"/>
      <c r="P65" s="64"/>
      <c r="Q65" s="64"/>
      <c r="R65" s="64"/>
      <c r="S65" s="64"/>
      <c r="T65" s="64"/>
      <c r="U65" s="32"/>
      <c r="V65" s="32"/>
      <c r="W65" s="32"/>
    </row>
    <row r="66" spans="1:23" ht="60" customHeight="1">
      <c r="A66" s="64"/>
      <c r="B66" s="64"/>
      <c r="C66" s="64"/>
      <c r="D66" s="64"/>
      <c r="E66" s="64"/>
      <c r="F66" s="64"/>
      <c r="G66" s="64"/>
      <c r="H66" s="64"/>
      <c r="I66" s="64"/>
      <c r="J66" s="65"/>
      <c r="K66" s="65"/>
      <c r="L66" s="64"/>
      <c r="M66" s="64"/>
      <c r="N66" s="64"/>
      <c r="O66" s="64"/>
      <c r="P66" s="64"/>
      <c r="Q66" s="64"/>
      <c r="R66" s="64"/>
      <c r="S66" s="64"/>
      <c r="T66" s="64"/>
      <c r="U66" s="32"/>
      <c r="V66" s="32"/>
      <c r="W66" s="32"/>
    </row>
    <row r="67" spans="1:23" ht="60" customHeight="1">
      <c r="A67" s="64"/>
      <c r="B67" s="64"/>
      <c r="C67" s="64"/>
      <c r="D67" s="64"/>
      <c r="E67" s="64"/>
      <c r="F67" s="64"/>
      <c r="G67" s="64"/>
      <c r="H67" s="64"/>
      <c r="I67" s="64"/>
      <c r="J67" s="65"/>
      <c r="K67" s="65"/>
      <c r="L67" s="64"/>
      <c r="M67" s="64"/>
      <c r="N67" s="64"/>
      <c r="O67" s="64"/>
      <c r="P67" s="64"/>
      <c r="Q67" s="64"/>
      <c r="R67" s="64"/>
      <c r="S67" s="64"/>
      <c r="T67" s="64"/>
      <c r="U67" s="32"/>
      <c r="V67" s="32"/>
      <c r="W67" s="32"/>
    </row>
    <row r="68" spans="1:23" ht="60" customHeight="1">
      <c r="A68" s="64"/>
      <c r="B68" s="64"/>
      <c r="C68" s="64"/>
      <c r="D68" s="64"/>
      <c r="E68" s="64"/>
      <c r="F68" s="64"/>
      <c r="G68" s="64"/>
      <c r="H68" s="64"/>
      <c r="I68" s="64"/>
      <c r="J68" s="65"/>
      <c r="K68" s="65"/>
      <c r="L68" s="64"/>
      <c r="M68" s="64"/>
      <c r="N68" s="64"/>
      <c r="O68" s="64"/>
      <c r="P68" s="64"/>
      <c r="Q68" s="64"/>
      <c r="R68" s="64"/>
      <c r="S68" s="64"/>
      <c r="T68" s="64"/>
      <c r="U68" s="32"/>
      <c r="V68" s="32"/>
      <c r="W68" s="32"/>
    </row>
    <row r="69" spans="1:21" ht="60" customHeight="1">
      <c r="A69" s="64"/>
      <c r="B69" s="64"/>
      <c r="C69" s="64"/>
      <c r="D69" s="64"/>
      <c r="E69" s="64"/>
      <c r="F69" s="64"/>
      <c r="G69" s="64"/>
      <c r="H69" s="64"/>
      <c r="I69" s="64"/>
      <c r="J69" s="65"/>
      <c r="K69" s="65"/>
      <c r="L69" s="64"/>
      <c r="M69" s="64"/>
      <c r="N69" s="64"/>
      <c r="O69" s="64"/>
      <c r="P69" s="64"/>
      <c r="Q69" s="64"/>
      <c r="R69" s="64"/>
      <c r="S69" s="64"/>
      <c r="T69" s="64"/>
      <c r="U69" s="32"/>
    </row>
    <row r="70" spans="1:21" ht="60" customHeight="1">
      <c r="A70" s="64"/>
      <c r="B70" s="64"/>
      <c r="C70" s="64"/>
      <c r="D70" s="64"/>
      <c r="E70" s="64"/>
      <c r="F70" s="64"/>
      <c r="G70" s="64"/>
      <c r="H70" s="64"/>
      <c r="I70" s="64"/>
      <c r="J70" s="65"/>
      <c r="K70" s="65"/>
      <c r="L70" s="64"/>
      <c r="M70" s="64"/>
      <c r="N70" s="64"/>
      <c r="O70" s="64"/>
      <c r="P70" s="64"/>
      <c r="Q70" s="64"/>
      <c r="R70" s="64"/>
      <c r="S70" s="64"/>
      <c r="T70" s="64"/>
      <c r="U70" s="32"/>
    </row>
    <row r="71" spans="1:21" ht="60" customHeight="1">
      <c r="A71" s="64"/>
      <c r="B71" s="64"/>
      <c r="C71" s="64"/>
      <c r="D71" s="64"/>
      <c r="E71" s="64"/>
      <c r="F71" s="64"/>
      <c r="G71" s="64"/>
      <c r="H71" s="64"/>
      <c r="I71" s="64"/>
      <c r="J71" s="65"/>
      <c r="K71" s="65"/>
      <c r="L71" s="64"/>
      <c r="M71" s="64"/>
      <c r="N71" s="64"/>
      <c r="O71" s="64"/>
      <c r="P71" s="64"/>
      <c r="Q71" s="64"/>
      <c r="R71" s="64"/>
      <c r="S71" s="64"/>
      <c r="T71" s="64"/>
      <c r="U71" s="32"/>
    </row>
    <row r="72" spans="1:21" ht="60" customHeight="1">
      <c r="A72" s="64"/>
      <c r="B72" s="64"/>
      <c r="C72" s="64"/>
      <c r="D72" s="64"/>
      <c r="E72" s="64"/>
      <c r="F72" s="64"/>
      <c r="G72" s="64"/>
      <c r="H72" s="64"/>
      <c r="I72" s="64"/>
      <c r="J72" s="65"/>
      <c r="K72" s="65"/>
      <c r="L72" s="64"/>
      <c r="M72" s="64"/>
      <c r="N72" s="64"/>
      <c r="O72" s="64"/>
      <c r="P72" s="64"/>
      <c r="Q72" s="64"/>
      <c r="R72" s="64"/>
      <c r="S72" s="64"/>
      <c r="T72" s="64"/>
      <c r="U72" s="32"/>
    </row>
    <row r="73" spans="1:21" ht="60" customHeight="1">
      <c r="A73" s="64"/>
      <c r="B73" s="64"/>
      <c r="C73" s="64"/>
      <c r="D73" s="64"/>
      <c r="E73" s="64"/>
      <c r="F73" s="64"/>
      <c r="G73" s="64"/>
      <c r="H73" s="64"/>
      <c r="I73" s="64"/>
      <c r="J73" s="65"/>
      <c r="K73" s="65"/>
      <c r="L73" s="64"/>
      <c r="M73" s="64"/>
      <c r="N73" s="64"/>
      <c r="O73" s="64"/>
      <c r="P73" s="64"/>
      <c r="Q73" s="64"/>
      <c r="R73" s="64"/>
      <c r="S73" s="64"/>
      <c r="T73" s="64"/>
      <c r="U73" s="32"/>
    </row>
    <row r="74" spans="1:21" ht="60" customHeight="1">
      <c r="A74" s="64"/>
      <c r="B74" s="64"/>
      <c r="C74" s="64"/>
      <c r="D74" s="64"/>
      <c r="E74" s="64"/>
      <c r="F74" s="64"/>
      <c r="G74" s="64"/>
      <c r="H74" s="64"/>
      <c r="I74" s="64"/>
      <c r="J74" s="65"/>
      <c r="K74" s="65"/>
      <c r="L74" s="64"/>
      <c r="M74" s="64"/>
      <c r="N74" s="64"/>
      <c r="O74" s="64"/>
      <c r="P74" s="64"/>
      <c r="Q74" s="64"/>
      <c r="R74" s="64"/>
      <c r="S74" s="64"/>
      <c r="T74" s="64"/>
      <c r="U74" s="32"/>
    </row>
    <row r="75" spans="1:21" ht="60" customHeight="1">
      <c r="A75" s="64"/>
      <c r="B75" s="64"/>
      <c r="C75" s="64"/>
      <c r="D75" s="64"/>
      <c r="E75" s="64"/>
      <c r="F75" s="64"/>
      <c r="G75" s="64"/>
      <c r="H75" s="64"/>
      <c r="I75" s="64"/>
      <c r="J75" s="65"/>
      <c r="K75" s="65"/>
      <c r="L75" s="64"/>
      <c r="M75" s="64"/>
      <c r="N75" s="64"/>
      <c r="O75" s="64"/>
      <c r="P75" s="64"/>
      <c r="Q75" s="64"/>
      <c r="R75" s="64"/>
      <c r="S75" s="64"/>
      <c r="T75" s="64"/>
      <c r="U75" s="32"/>
    </row>
    <row r="76" spans="1:21" ht="60" customHeight="1">
      <c r="A76" s="64"/>
      <c r="B76" s="64"/>
      <c r="C76" s="64"/>
      <c r="D76" s="64"/>
      <c r="E76" s="64"/>
      <c r="F76" s="64"/>
      <c r="G76" s="64"/>
      <c r="H76" s="64"/>
      <c r="I76" s="64"/>
      <c r="J76" s="65"/>
      <c r="K76" s="65"/>
      <c r="L76" s="64"/>
      <c r="M76" s="64"/>
      <c r="N76" s="64"/>
      <c r="O76" s="64"/>
      <c r="P76" s="64"/>
      <c r="Q76" s="64"/>
      <c r="R76" s="64"/>
      <c r="S76" s="64"/>
      <c r="T76" s="64"/>
      <c r="U76" s="32"/>
    </row>
    <row r="77" spans="1:21" ht="60" customHeight="1">
      <c r="A77" s="64"/>
      <c r="B77" s="64"/>
      <c r="C77" s="64"/>
      <c r="D77" s="64"/>
      <c r="E77" s="64"/>
      <c r="F77" s="64"/>
      <c r="G77" s="64"/>
      <c r="H77" s="64"/>
      <c r="I77" s="64"/>
      <c r="J77" s="65"/>
      <c r="K77" s="65"/>
      <c r="L77" s="64"/>
      <c r="M77" s="64"/>
      <c r="N77" s="64"/>
      <c r="O77" s="64"/>
      <c r="P77" s="64"/>
      <c r="Q77" s="64"/>
      <c r="R77" s="64"/>
      <c r="S77" s="64"/>
      <c r="T77" s="64"/>
      <c r="U77" s="32"/>
    </row>
    <row r="78" spans="1:21" ht="60" customHeight="1">
      <c r="A78" s="64"/>
      <c r="B78" s="64"/>
      <c r="C78" s="64"/>
      <c r="D78" s="64"/>
      <c r="E78" s="64"/>
      <c r="F78" s="64"/>
      <c r="G78" s="64"/>
      <c r="H78" s="64"/>
      <c r="I78" s="64"/>
      <c r="J78" s="65"/>
      <c r="K78" s="65"/>
      <c r="L78" s="64"/>
      <c r="M78" s="64"/>
      <c r="N78" s="64"/>
      <c r="O78" s="64"/>
      <c r="P78" s="64"/>
      <c r="Q78" s="64"/>
      <c r="R78" s="64"/>
      <c r="S78" s="64"/>
      <c r="T78" s="64"/>
      <c r="U78" s="32"/>
    </row>
    <row r="79" spans="1:21" ht="60" customHeight="1">
      <c r="A79" s="64"/>
      <c r="B79" s="64"/>
      <c r="C79" s="64"/>
      <c r="D79" s="64"/>
      <c r="E79" s="64"/>
      <c r="F79" s="64"/>
      <c r="G79" s="64"/>
      <c r="H79" s="64"/>
      <c r="I79" s="64"/>
      <c r="J79" s="65"/>
      <c r="K79" s="65"/>
      <c r="L79" s="64"/>
      <c r="M79" s="64"/>
      <c r="N79" s="64"/>
      <c r="O79" s="64"/>
      <c r="P79" s="64"/>
      <c r="Q79" s="64"/>
      <c r="R79" s="64"/>
      <c r="S79" s="64"/>
      <c r="T79" s="64"/>
      <c r="U79" s="32"/>
    </row>
    <row r="80" spans="1:21" ht="60" customHeight="1">
      <c r="A80" s="64"/>
      <c r="B80" s="64"/>
      <c r="C80" s="64"/>
      <c r="D80" s="64"/>
      <c r="E80" s="64"/>
      <c r="F80" s="64"/>
      <c r="G80" s="64"/>
      <c r="H80" s="64"/>
      <c r="I80" s="64"/>
      <c r="J80" s="65"/>
      <c r="K80" s="65"/>
      <c r="L80" s="64"/>
      <c r="M80" s="64"/>
      <c r="N80" s="64"/>
      <c r="O80" s="64"/>
      <c r="P80" s="64"/>
      <c r="Q80" s="64"/>
      <c r="R80" s="64"/>
      <c r="S80" s="64"/>
      <c r="T80" s="64"/>
      <c r="U80" s="32"/>
    </row>
    <row r="81" spans="1:21" ht="60" customHeight="1">
      <c r="A81" s="64"/>
      <c r="B81" s="64"/>
      <c r="C81" s="64"/>
      <c r="D81" s="64"/>
      <c r="E81" s="64"/>
      <c r="F81" s="64"/>
      <c r="G81" s="64"/>
      <c r="H81" s="64"/>
      <c r="I81" s="64"/>
      <c r="J81" s="65"/>
      <c r="K81" s="65"/>
      <c r="L81" s="64"/>
      <c r="M81" s="64"/>
      <c r="N81" s="64"/>
      <c r="O81" s="64"/>
      <c r="P81" s="64"/>
      <c r="Q81" s="64"/>
      <c r="R81" s="64"/>
      <c r="S81" s="64"/>
      <c r="T81" s="64"/>
      <c r="U81" s="32"/>
    </row>
  </sheetData>
  <sheetProtection formatCells="0" formatRows="0" insertColumns="0" insertRows="0"/>
  <mergeCells count="41">
    <mergeCell ref="A1:W1"/>
    <mergeCell ref="A2:W2"/>
    <mergeCell ref="M3:W3"/>
    <mergeCell ref="M4:W4"/>
    <mergeCell ref="M5:W6"/>
    <mergeCell ref="A3:L3"/>
    <mergeCell ref="A4:B4"/>
    <mergeCell ref="C4:D4"/>
    <mergeCell ref="E4:G4"/>
    <mergeCell ref="H4:L4"/>
    <mergeCell ref="K7:K9"/>
    <mergeCell ref="F7:F9"/>
    <mergeCell ref="A5:B5"/>
    <mergeCell ref="C5:D5"/>
    <mergeCell ref="E5:G5"/>
    <mergeCell ref="H5:L5"/>
    <mergeCell ref="A7:A9"/>
    <mergeCell ref="B7:B9"/>
    <mergeCell ref="C7:C9"/>
    <mergeCell ref="D7:D9"/>
    <mergeCell ref="E7:E9"/>
    <mergeCell ref="A6:B6"/>
    <mergeCell ref="C6:D6"/>
    <mergeCell ref="E6:G6"/>
    <mergeCell ref="H6:L6"/>
    <mergeCell ref="W7:W9"/>
    <mergeCell ref="U7:U9"/>
    <mergeCell ref="V7:V9"/>
    <mergeCell ref="T7:T9"/>
    <mergeCell ref="G7:G9"/>
    <mergeCell ref="H7:H9"/>
    <mergeCell ref="I7:I9"/>
    <mergeCell ref="L7:L9"/>
    <mergeCell ref="M7:M9"/>
    <mergeCell ref="N7:N9"/>
    <mergeCell ref="O7:O9"/>
    <mergeCell ref="P7:P9"/>
    <mergeCell ref="Q7:Q9"/>
    <mergeCell ref="R7:R9"/>
    <mergeCell ref="S7:S9"/>
    <mergeCell ref="J7:J9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19AC5-3BD2-4555-BD66-35DDF035088E}">
  <sheetPr codeName="JobSheet2">
    <pageSetUpPr fitToPage="1"/>
  </sheetPr>
  <dimension ref="A1:X81"/>
  <sheetViews>
    <sheetView showZeros="0" view="pageBreakPreview" zoomScale="40" zoomScaleNormal="25" zoomScaleSheetLayoutView="40" zoomScalePageLayoutView="25" workbookViewId="0" topLeftCell="A1">
      <selection pane="topLeft" activeCell="A10" sqref="A10:XFD19"/>
    </sheetView>
  </sheetViews>
  <sheetFormatPr defaultColWidth="9.44140625" defaultRowHeight="60" customHeight="1"/>
  <cols>
    <col min="1" max="1" width="10.4285714285714" style="46" customWidth="1"/>
    <col min="2" max="2" width="30.5714285714286" style="46" customWidth="1"/>
    <col min="3" max="3" width="44.4285714285714" style="46" customWidth="1"/>
    <col min="4" max="4" width="28.5714285714286" style="46" customWidth="1"/>
    <col min="5" max="5" width="17.5714285714286" style="46" bestFit="1" customWidth="1"/>
    <col min="6" max="6" width="19.4285714285714" style="46" customWidth="1"/>
    <col min="7" max="7" width="35.5714285714286" style="46" customWidth="1"/>
    <col min="8" max="8" width="27" style="46" customWidth="1"/>
    <col min="9" max="9" width="29.5714285714286" style="46" customWidth="1"/>
    <col min="10" max="11" width="21.5714285714286" style="47" customWidth="1"/>
    <col min="12" max="12" width="28.5714285714286" style="46" customWidth="1"/>
    <col min="13" max="13" width="33.5714285714286" style="46" customWidth="1"/>
    <col min="14" max="14" width="31.5714285714286" style="46" customWidth="1"/>
    <col min="15" max="15" width="25.4285714285714" style="46" customWidth="1"/>
    <col min="16" max="16" width="33" style="46" customWidth="1"/>
    <col min="17" max="17" width="33.4285714285714" style="46" customWidth="1"/>
    <col min="18" max="18" width="32.4285714285714" style="46" customWidth="1"/>
    <col min="19" max="19" width="19.4285714285714" style="46" customWidth="1"/>
    <col min="20" max="20" width="25.4285714285714" style="46" customWidth="1"/>
    <col min="21" max="21" width="25.4285714285714" customWidth="1"/>
    <col min="22" max="22" width="22.4285714285714" customWidth="1"/>
    <col min="23" max="23" width="28.4285714285714" customWidth="1"/>
    <col min="24" max="24" width="43.5714285714286" customWidth="1"/>
  </cols>
  <sheetData>
    <row r="1" spans="1:24" s="17" customFormat="1" ht="149.25" customHeight="1">
      <c r="A1" s="352" t="s">
        <v>7489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</row>
    <row r="2" spans="1:24" s="17" customFormat="1" ht="71.85" customHeight="1">
      <c r="A2" s="348" t="str">
        <f>IF('Job Sheet'!A6="Brax Retail","Brax Window Treatments","Davidson's Blinds &amp; Shutters")</f>
        <v>Davidson's Blinds &amp; Shutters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49"/>
      <c r="X2" s="350"/>
    </row>
    <row r="3" spans="1:24" s="17" customFormat="1" ht="80.7" customHeight="1">
      <c r="A3" s="351" t="str">
        <f>IF(Data!BA11="","",IF('Tube Cutting'!A6="","","IF Required Please Deliver Wavefold Tapes To "))</f>
        <v>IF Required Please Deliver Wavefold Tapes To 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48" t="str">
        <f>IF(Data!BA11="","",VLOOKUP("CURTMAKING",Data!CI:CJ,2,FALSE))</f>
        <v>Jenny's Curtains - 9 Whitehills Rd, Creswick, Vic, 3363</v>
      </c>
      <c r="N3" s="349"/>
      <c r="O3" s="349"/>
      <c r="P3" s="349"/>
      <c r="Q3" s="349"/>
      <c r="R3" s="349"/>
      <c r="S3" s="349"/>
      <c r="T3" s="349"/>
      <c r="U3" s="349"/>
      <c r="V3" s="349"/>
      <c r="W3" s="349"/>
      <c r="X3" s="350"/>
    </row>
    <row r="4" spans="1:24" s="31" customFormat="1" ht="50.1" customHeight="1">
      <c r="A4" s="239" t="s">
        <v>7</v>
      </c>
      <c r="B4" s="239"/>
      <c r="C4" s="237"/>
      <c r="D4" s="237"/>
      <c r="E4" s="237" t="s">
        <v>94</v>
      </c>
      <c r="F4" s="237"/>
      <c r="G4" s="237"/>
      <c r="H4" s="234" t="str">
        <f>Data!BF5</f>
        <v>Hare, Kaitlin</v>
      </c>
      <c r="I4" s="234"/>
      <c r="J4" s="234"/>
      <c r="K4" s="234"/>
      <c r="L4" s="234"/>
      <c r="M4" s="305" t="s">
        <v>4</v>
      </c>
      <c r="N4" s="306"/>
      <c r="O4" s="306"/>
      <c r="P4" s="306"/>
      <c r="Q4" s="306"/>
      <c r="R4" s="306"/>
      <c r="S4" s="306"/>
      <c r="T4" s="306"/>
      <c r="U4" s="306"/>
      <c r="V4" s="306"/>
      <c r="W4" s="306"/>
      <c r="X4" s="307"/>
    </row>
    <row r="5" spans="1:24" s="31" customFormat="1" ht="50.1" customHeight="1">
      <c r="A5" s="240" t="s">
        <v>117</v>
      </c>
      <c r="B5" s="240"/>
      <c r="C5" s="227" t="str">
        <f>Data!BC5</f>
        <v>39776</v>
      </c>
      <c r="D5" s="227"/>
      <c r="E5" s="238" t="s">
        <v>8</v>
      </c>
      <c r="F5" s="238"/>
      <c r="G5" s="238"/>
      <c r="H5" s="234" t="str">
        <f>TRIM(Data!AX5)</f>
        <v>Whole House</v>
      </c>
      <c r="I5" s="234"/>
      <c r="J5" s="234"/>
      <c r="K5" s="234"/>
      <c r="L5" s="234"/>
      <c r="M5" s="309">
        <f>IF(OR(Data!BA11="",C10=""),"",Data!BG5)</f>
        <v>0</v>
      </c>
      <c r="N5" s="310"/>
      <c r="O5" s="310"/>
      <c r="P5" s="310"/>
      <c r="Q5" s="310"/>
      <c r="R5" s="310"/>
      <c r="S5" s="310"/>
      <c r="T5" s="310"/>
      <c r="U5" s="310"/>
      <c r="V5" s="310"/>
      <c r="W5" s="310"/>
      <c r="X5" s="311"/>
    </row>
    <row r="6" spans="1:24" s="32" customFormat="1" ht="50.1" customHeight="1">
      <c r="A6" s="239" t="s">
        <v>14</v>
      </c>
      <c r="B6" s="239"/>
      <c r="C6" s="227" t="str">
        <f>Data!BD5</f>
        <v>F</v>
      </c>
      <c r="D6" s="227"/>
      <c r="E6" s="238" t="s">
        <v>112</v>
      </c>
      <c r="F6" s="238"/>
      <c r="G6" s="238"/>
      <c r="H6" s="234" t="str">
        <f>LEFT(Data!BA5,10)</f>
        <v>13/10/2026</v>
      </c>
      <c r="I6" s="234"/>
      <c r="J6" s="234"/>
      <c r="K6" s="234"/>
      <c r="L6" s="234"/>
      <c r="M6" s="315"/>
      <c r="N6" s="316"/>
      <c r="O6" s="316"/>
      <c r="P6" s="316"/>
      <c r="Q6" s="316"/>
      <c r="R6" s="316"/>
      <c r="S6" s="316"/>
      <c r="T6" s="316"/>
      <c r="U6" s="316"/>
      <c r="V6" s="316"/>
      <c r="W6" s="316"/>
      <c r="X6" s="317"/>
    </row>
    <row r="7" spans="1:24" s="32" customFormat="1" ht="50.1" customHeight="1">
      <c r="A7" s="281" t="s">
        <v>116</v>
      </c>
      <c r="B7" s="267" t="s">
        <v>96</v>
      </c>
      <c r="C7" s="235" t="s">
        <v>156</v>
      </c>
      <c r="D7" s="235" t="s">
        <v>601</v>
      </c>
      <c r="E7" s="235" t="s">
        <v>259</v>
      </c>
      <c r="F7" s="235" t="s">
        <v>11</v>
      </c>
      <c r="G7" s="235" t="s">
        <v>177</v>
      </c>
      <c r="H7" s="235" t="s">
        <v>178</v>
      </c>
      <c r="I7" s="235" t="s">
        <v>139</v>
      </c>
      <c r="J7" s="235" t="s">
        <v>7292</v>
      </c>
      <c r="K7" s="235" t="s">
        <v>7293</v>
      </c>
      <c r="L7" s="267" t="s">
        <v>149</v>
      </c>
      <c r="M7" s="235" t="s">
        <v>115</v>
      </c>
      <c r="N7" s="235" t="s">
        <v>5355</v>
      </c>
      <c r="O7" s="267" t="s">
        <v>290</v>
      </c>
      <c r="P7" s="267" t="s">
        <v>8796</v>
      </c>
      <c r="Q7" s="267" t="s">
        <v>8797</v>
      </c>
      <c r="R7" s="267" t="s">
        <v>153</v>
      </c>
      <c r="S7" s="267" t="s">
        <v>135</v>
      </c>
      <c r="T7" s="267" t="s">
        <v>176</v>
      </c>
      <c r="U7" s="267" t="s">
        <v>155</v>
      </c>
      <c r="V7" s="267" t="s">
        <v>136</v>
      </c>
      <c r="W7" s="235" t="s">
        <v>441</v>
      </c>
      <c r="X7" s="235" t="s">
        <v>5</v>
      </c>
    </row>
    <row r="8" spans="1:24" s="32" customFormat="1" ht="64.5" customHeight="1" hidden="1">
      <c r="A8" s="281"/>
      <c r="B8" s="267"/>
      <c r="C8" s="235"/>
      <c r="D8" s="235"/>
      <c r="E8" s="235"/>
      <c r="F8" s="235"/>
      <c r="G8" s="235"/>
      <c r="H8" s="235"/>
      <c r="I8" s="235"/>
      <c r="J8" s="235"/>
      <c r="K8" s="235"/>
      <c r="L8" s="267"/>
      <c r="M8" s="235"/>
      <c r="N8" s="235"/>
      <c r="O8" s="267"/>
      <c r="P8" s="267"/>
      <c r="Q8" s="267"/>
      <c r="R8" s="267"/>
      <c r="S8" s="267"/>
      <c r="T8" s="267"/>
      <c r="U8" s="267"/>
      <c r="V8" s="267"/>
      <c r="W8" s="235"/>
      <c r="X8" s="235"/>
    </row>
    <row r="9" spans="1:24" s="63" customFormat="1" ht="95.25" customHeight="1">
      <c r="A9" s="281"/>
      <c r="B9" s="267"/>
      <c r="C9" s="235"/>
      <c r="D9" s="235"/>
      <c r="E9" s="235"/>
      <c r="F9" s="235"/>
      <c r="G9" s="235"/>
      <c r="H9" s="235"/>
      <c r="I9" s="235"/>
      <c r="J9" s="235"/>
      <c r="K9" s="235"/>
      <c r="L9" s="267"/>
      <c r="M9" s="235"/>
      <c r="N9" s="235"/>
      <c r="O9" s="267"/>
      <c r="P9" s="267"/>
      <c r="Q9" s="267"/>
      <c r="R9" s="267"/>
      <c r="S9" s="267"/>
      <c r="T9" s="267"/>
      <c r="U9" s="267"/>
      <c r="V9" s="267"/>
      <c r="W9" s="235"/>
      <c r="X9" s="235"/>
    </row>
    <row r="10" spans="1:24" s="61" customFormat="1" ht="132">
      <c r="A10" s="2">
        <f>IF(OR(Data!AV11="",C10=""),"",Data!AW11)</f>
        <v>28</v>
      </c>
      <c r="B10" s="7" t="str">
        <f>IF(OR(Data!AV11="",C10=""),"",'Job Sheet'!C11)</f>
        <v>Study ALTERATION</v>
      </c>
      <c r="C10" s="27" t="str">
        <f>IF('Job Sheet'!BH11="Track from TBS",'Job Sheet'!Z11,"")</f>
        <v>Wavefold Hand Operation</v>
      </c>
      <c r="D10" s="27" t="str">
        <f>IF(OR(Data!AV11="",C10=""),"",'Job Sheet'!AA11)</f>
        <v>White</v>
      </c>
      <c r="E10" s="27">
        <f>IF(OR(Data!AV11="",C10=""),"",IF(U10="Straight",'Job Sheet'!BP11-55,'Job Sheet'!E11))</f>
        <v>3640</v>
      </c>
      <c r="F10" s="27" t="str">
        <f>IF(OR(Data!AV11="",C10=""),"",'Job Sheet'!I11)</f>
        <v>Face</v>
      </c>
      <c r="G10" s="27" t="str">
        <f>IF(OR(Data!AV11="",C10=""),"",'Job Sheet'!P11)</f>
        <v>Wavefold (Standard Fullness x 2)</v>
      </c>
      <c r="H10" s="27" t="str">
        <f>IF(OR(Data!AV11="",C10=""),"",IF(VLOOKUP(CONCATENATE(C10,D10,U10),TBSTracks,5,FALSE)="Yes",'Job Sheet'!Q11,""))</f>
        <v>75mm Clear Tape</v>
      </c>
      <c r="I10" s="27" t="str">
        <f>IF(OR(Data!AV11="",C10=""),"",'Job Sheet'!S11)</f>
        <v>Centre Opening</v>
      </c>
      <c r="J10" s="27" t="str">
        <f>IF(OR(Data!AV11="",C10=""),"",'Job Sheet'!T11)</f>
        <v/>
      </c>
      <c r="K10" s="27" t="str">
        <f>IF(OR(Data!AV11="",C10=""),"",'Job Sheet'!U11)</f>
        <v/>
      </c>
      <c r="L10" s="27" t="str">
        <f>IF(OR(Data!AV11="",C10=""),"",'Job Sheet'!AD11)</f>
        <v>Single Face Fix Brackets</v>
      </c>
      <c r="M10" s="27" t="str">
        <f>IF(OR(Data!AV11="",C10=""),"",'Job Sheet'!AB11)</f>
        <v>Hand Operation</v>
      </c>
      <c r="N10" s="27" t="str">
        <f>IF(OR(Data!AV11="",C10=""),"",'Job Sheet'!AC11)</f>
        <v/>
      </c>
      <c r="O10" s="27" t="str">
        <f>IF(OR(Data!AV11="",C10=""),"",'Job Sheet'!AE11)</f>
        <v/>
      </c>
      <c r="P10" s="27" t="str">
        <f>IF(OR(Data!AV11="",C10=""),"",'Job Sheet'!AF11)</f>
        <v/>
      </c>
      <c r="Q10" s="27" t="str">
        <f>IF(OR(Data!AV11="",C10=""),"",'Job Sheet'!AG11)</f>
        <v/>
      </c>
      <c r="R10" s="27" t="str">
        <f>IF(OR(Data!AV11="",C10=""),"",'Job Sheet'!AH11)</f>
        <v>White Aluminium Flick Sticks 125cm</v>
      </c>
      <c r="S10" s="27" t="str">
        <f>IF(C10="","",IF(AND('Job Sheet'!AB11="Hand Operation",OR('Job Sheet'!S11="Single Panel - Right Stacking",'Job Sheet'!S11="Single Panel - Left Stacking")),"1",IF(AND('Job Sheet'!AB11="Hand Operation",OR('Job Sheet'!S11="Single Panel - Free Flowing",'Job Sheet'!S11="Centre Opening",'Job Sheet'!S11="Centre Opening (Offset Split)")),"2",IF(AND('Job Sheet'!AB11="Hand Operation",OR('Job Sheet'!S11="Centre Opening - Free Flowing",'Job Sheet'!S11="Centre Opening - Free Flowing (Offset Split)")),"4",""))))</f>
        <v>2</v>
      </c>
      <c r="T10" s="27" t="str">
        <f>IF(OR(Data!AV11="",C10=""),"",'Job Sheet'!X11)</f>
        <v>None</v>
      </c>
      <c r="U10" s="27" t="str">
        <f>IF(OR(Data!AV11="",C10=""),"",'Job Sheet'!AI11)</f>
        <v>Bent</v>
      </c>
      <c r="V10" s="27" t="str">
        <f>IF(OR(Data!AV11="",C10=""),"",'Job Sheet'!AJ11)</f>
        <v>1</v>
      </c>
      <c r="W10" s="27" t="str">
        <f>IF(ISERROR(VLOOKUP('Job Sheet'!BF11,Holdbacks,1,FALSE)),"",'Job Sheet'!BF11)</f>
        <v/>
      </c>
      <c r="X10" s="27" t="str">
        <f>IF(OR(Data!AV11="",C10=""),"",'Job Sheet'!BN11)</f>
        <v>Alteration to curtain drop</v>
      </c>
    </row>
    <row r="11" spans="1:24" s="61" customFormat="1" ht="60" customHeight="1">
      <c r="A11" s="2" t="str">
        <f>IF(OR(Data!BA12="",C11=""),"",Data!AW12)</f>
        <v/>
      </c>
      <c r="B11" s="7" t="str">
        <f>IF(OR(Data!BA12="",C11=""),"",'Job Sheet'!C12)</f>
        <v/>
      </c>
      <c r="C11" s="27" t="str">
        <f>IF('Job Sheet'!BH12="Track from TBS",'Job Sheet'!Z12,"")</f>
        <v/>
      </c>
      <c r="D11" s="27" t="str">
        <f>IF(OR(Data!BA12="",C11=""),"",'Job Sheet'!AA12)</f>
        <v/>
      </c>
      <c r="E11" s="27" t="str">
        <f>IF(OR(Data!BA12="",C11=""),"",IF(U11="Straight",'Job Sheet'!BP12-55,'Job Sheet'!E12))</f>
        <v/>
      </c>
      <c r="F11" s="27" t="str">
        <f>IF(OR(Data!BA12="",C11=""),"",'Job Sheet'!I12)</f>
        <v/>
      </c>
      <c r="G11" s="27" t="str">
        <f>IF(OR(Data!BA12="",C11=""),"",'Job Sheet'!P12)</f>
        <v/>
      </c>
      <c r="H11" s="27" t="str">
        <f>IF(OR(Data!AV12="",C11=""),"",IF(VLOOKUP(CONCATENATE(C11,D11,U11),TBSTracks,5,FALSE)="Yes",'Job Sheet'!Q12,""))</f>
        <v/>
      </c>
      <c r="I11" s="27" t="str">
        <f>IF(OR(Data!BA12="",C11=""),"",'Job Sheet'!S12)</f>
        <v/>
      </c>
      <c r="J11" s="27" t="str">
        <f>IF(OR(Data!BA12="",C11=""),"",'Job Sheet'!T12)</f>
        <v/>
      </c>
      <c r="K11" s="27" t="str">
        <f>IF(OR(Data!BA12="",C11=""),"",'Job Sheet'!U12)</f>
        <v/>
      </c>
      <c r="L11" s="27" t="str">
        <f>IF(OR(Data!BA12="",C11=""),"",'Job Sheet'!AD12)</f>
        <v/>
      </c>
      <c r="M11" s="27" t="str">
        <f>IF(OR(Data!BA12="",C11=""),"",'Job Sheet'!AB12)</f>
        <v/>
      </c>
      <c r="N11" s="27" t="str">
        <f>IF(OR(Data!BA12="",C11=""),"",'Job Sheet'!AC12)</f>
        <v/>
      </c>
      <c r="O11" s="27" t="str">
        <f>IF(OR(Data!BA12="",C11=""),"",'Job Sheet'!AE12)</f>
        <v/>
      </c>
      <c r="P11" s="27" t="str">
        <f>IF(OR(Data!BA12="",C11=""),"",'Job Sheet'!AF12)</f>
        <v/>
      </c>
      <c r="Q11" s="27" t="str">
        <f>IF(OR(Data!BB12="",D11=""),"",'Job Sheet'!AG12)</f>
        <v/>
      </c>
      <c r="R11" s="27" t="str">
        <f>IF(OR(Data!BA12="",C11=""),"",'Job Sheet'!AH12)</f>
        <v/>
      </c>
      <c r="S11" s="27" t="str">
        <f>IF(C11="","",IF(AND('Job Sheet'!AB12="Hand Operation",OR('Job Sheet'!S12="Single Panel - Right Stacking",'Job Sheet'!S12="Single Panel - Left Stacking")),"1",IF(AND('Job Sheet'!AB12="Hand Operation",OR('Job Sheet'!S12="Single Panel - Free Flowing",'Job Sheet'!S12="Centre Opening",'Job Sheet'!S12="Centre Opening (Offset Split)")),"2",IF(AND('Job Sheet'!AB12="Hand Operation",OR('Job Sheet'!S12="Centre Opening - Free Flowing",'Job Sheet'!S12="Centre Opening - Free Flowing (Offset Split)")),"4",""))))</f>
        <v/>
      </c>
      <c r="T11" s="27" t="str">
        <f>IF(OR(Data!BA12="",C11=""),"",'Job Sheet'!X12)</f>
        <v/>
      </c>
      <c r="U11" s="27" t="str">
        <f>IF(OR(Data!BA12="",C11=""),"",'Job Sheet'!AI12)</f>
        <v/>
      </c>
      <c r="V11" s="27" t="str">
        <f>IF(OR(Data!BA12="",C11=""),"",'Job Sheet'!AJ12)</f>
        <v/>
      </c>
      <c r="W11" s="27" t="str">
        <f>IF(ISERROR(VLOOKUP('Job Sheet'!BF12,Holdbacks,1,FALSE)),"",'Job Sheet'!BF12)</f>
        <v/>
      </c>
      <c r="X11" s="27" t="str">
        <f>IF(OR(Data!BA12="",C11=""),"",'Job Sheet'!BN12)</f>
        <v/>
      </c>
    </row>
    <row r="12" spans="1:24" s="61" customFormat="1" ht="60" customHeight="1">
      <c r="A12" s="2" t="str">
        <f>IF(OR(Data!BA13="",C12=""),"",Data!AW13)</f>
        <v/>
      </c>
      <c r="B12" s="7" t="str">
        <f>IF(OR(Data!BA13="",C12=""),"",'Job Sheet'!C13)</f>
        <v/>
      </c>
      <c r="C12" s="27" t="str">
        <f>IF('Job Sheet'!BH13="Track from TBS",'Job Sheet'!Z13,"")</f>
        <v/>
      </c>
      <c r="D12" s="27" t="str">
        <f>IF(OR(Data!BA13="",C12=""),"",'Job Sheet'!AA13)</f>
        <v/>
      </c>
      <c r="E12" s="27" t="str">
        <f>IF(OR(Data!BA13="",C12=""),"",IF(U12="Straight",'Job Sheet'!BP13-55,'Job Sheet'!E13))</f>
        <v/>
      </c>
      <c r="F12" s="27" t="str">
        <f>IF(OR(Data!BA13="",C12=""),"",'Job Sheet'!I13)</f>
        <v/>
      </c>
      <c r="G12" s="27" t="str">
        <f>IF(OR(Data!BA13="",C12=""),"",'Job Sheet'!P13)</f>
        <v/>
      </c>
      <c r="H12" s="27" t="str">
        <f>IF(OR(Data!AV13="",C12=""),"",IF(VLOOKUP(CONCATENATE(C12,D12,U12),TBSTracks,5,FALSE)="Yes",'Job Sheet'!Q13,""))</f>
        <v/>
      </c>
      <c r="I12" s="27" t="str">
        <f>IF(OR(Data!BA13="",C12=""),"",'Job Sheet'!S13)</f>
        <v/>
      </c>
      <c r="J12" s="27" t="str">
        <f>IF(OR(Data!BA13="",C12=""),"",'Job Sheet'!T13)</f>
        <v/>
      </c>
      <c r="K12" s="27" t="str">
        <f>IF(OR(Data!BA13="",C12=""),"",'Job Sheet'!U13)</f>
        <v/>
      </c>
      <c r="L12" s="27" t="str">
        <f>IF(OR(Data!BA13="",C12=""),"",'Job Sheet'!AD13)</f>
        <v/>
      </c>
      <c r="M12" s="27" t="str">
        <f>IF(OR(Data!BA13="",C12=""),"",'Job Sheet'!AB13)</f>
        <v/>
      </c>
      <c r="N12" s="27" t="str">
        <f>IF(OR(Data!BA13="",C12=""),"",'Job Sheet'!AC13)</f>
        <v/>
      </c>
      <c r="O12" s="27" t="str">
        <f>IF(OR(Data!BA13="",C12=""),"",'Job Sheet'!AE13)</f>
        <v/>
      </c>
      <c r="P12" s="27" t="str">
        <f>IF(OR(Data!BA13="",C12=""),"",'Job Sheet'!AF13)</f>
        <v/>
      </c>
      <c r="Q12" s="27" t="str">
        <f>IF(OR(Data!BB13="",D12=""),"",'Job Sheet'!AG13)</f>
        <v/>
      </c>
      <c r="R12" s="27" t="str">
        <f>IF(OR(Data!BA13="",C12=""),"",'Job Sheet'!AH13)</f>
        <v/>
      </c>
      <c r="S12" s="27" t="str">
        <f>IF(C12="","",IF(AND('Job Sheet'!AB13="Hand Operation",OR('Job Sheet'!S13="Single Panel - Right Stacking",'Job Sheet'!S13="Single Panel - Left Stacking")),"1",IF(AND('Job Sheet'!AB13="Hand Operation",OR('Job Sheet'!S13="Single Panel - Free Flowing",'Job Sheet'!S13="Centre Opening",'Job Sheet'!S13="Centre Opening (Offset Split)")),"2",IF(AND('Job Sheet'!AB13="Hand Operation",OR('Job Sheet'!S13="Centre Opening - Free Flowing",'Job Sheet'!S13="Centre Opening - Free Flowing (Offset Split)")),"4",""))))</f>
        <v/>
      </c>
      <c r="T12" s="27" t="str">
        <f>IF(OR(Data!BA13="",C12=""),"",'Job Sheet'!X13)</f>
        <v/>
      </c>
      <c r="U12" s="27" t="str">
        <f>IF(OR(Data!BA13="",C12=""),"",'Job Sheet'!AI13)</f>
        <v/>
      </c>
      <c r="V12" s="27" t="str">
        <f>IF(OR(Data!BA13="",C12=""),"",'Job Sheet'!AJ13)</f>
        <v/>
      </c>
      <c r="W12" s="27" t="str">
        <f>IF(ISERROR(VLOOKUP('Job Sheet'!BF13,Holdbacks,1,FALSE)),"",'Job Sheet'!BF13)</f>
        <v/>
      </c>
      <c r="X12" s="27" t="str">
        <f>IF(OR(Data!BA13="",C12=""),"",'Job Sheet'!BN13)</f>
        <v/>
      </c>
    </row>
    <row r="13" spans="1:24" s="61" customFormat="1" ht="60" customHeight="1">
      <c r="A13" s="2" t="str">
        <f>IF(OR(Data!BA14="",C13=""),"",Data!AW14)</f>
        <v/>
      </c>
      <c r="B13" s="7" t="str">
        <f>IF(OR(Data!BA14="",C13=""),"",'Job Sheet'!C14)</f>
        <v/>
      </c>
      <c r="C13" s="27" t="str">
        <f>IF('Job Sheet'!BH14="Track from TBS",'Job Sheet'!Z14,"")</f>
        <v/>
      </c>
      <c r="D13" s="27" t="str">
        <f>IF(OR(Data!BA14="",C13=""),"",'Job Sheet'!AA14)</f>
        <v/>
      </c>
      <c r="E13" s="27" t="str">
        <f>IF(OR(Data!BA14="",C13=""),"",IF(U13="Straight",'Job Sheet'!BP14-55,'Job Sheet'!E14))</f>
        <v/>
      </c>
      <c r="F13" s="27" t="str">
        <f>IF(OR(Data!BA14="",C13=""),"",'Job Sheet'!I14)</f>
        <v/>
      </c>
      <c r="G13" s="27" t="str">
        <f>IF(OR(Data!BA14="",C13=""),"",'Job Sheet'!P14)</f>
        <v/>
      </c>
      <c r="H13" s="27" t="str">
        <f>IF(OR(Data!AV14="",C13=""),"",IF(VLOOKUP(CONCATENATE(C13,D13,U13),TBSTracks,5,FALSE)="Yes",'Job Sheet'!Q14,""))</f>
        <v/>
      </c>
      <c r="I13" s="27" t="str">
        <f>IF(OR(Data!BA14="",C13=""),"",'Job Sheet'!S14)</f>
        <v/>
      </c>
      <c r="J13" s="27" t="str">
        <f>IF(OR(Data!BA14="",C13=""),"",'Job Sheet'!T14)</f>
        <v/>
      </c>
      <c r="K13" s="27" t="str">
        <f>IF(OR(Data!BA14="",C13=""),"",'Job Sheet'!U14)</f>
        <v/>
      </c>
      <c r="L13" s="27" t="str">
        <f>IF(OR(Data!BA14="",C13=""),"",'Job Sheet'!AD14)</f>
        <v/>
      </c>
      <c r="M13" s="27" t="str">
        <f>IF(OR(Data!BA14="",C13=""),"",'Job Sheet'!AB14)</f>
        <v/>
      </c>
      <c r="N13" s="27" t="str">
        <f>IF(OR(Data!BA14="",C13=""),"",'Job Sheet'!AC14)</f>
        <v/>
      </c>
      <c r="O13" s="27" t="str">
        <f>IF(OR(Data!BA14="",C13=""),"",'Job Sheet'!AE14)</f>
        <v/>
      </c>
      <c r="P13" s="27" t="str">
        <f>IF(OR(Data!BA14="",C13=""),"",'Job Sheet'!AF14)</f>
        <v/>
      </c>
      <c r="Q13" s="27" t="str">
        <f>IF(OR(Data!BB14="",D13=""),"",'Job Sheet'!AG14)</f>
        <v/>
      </c>
      <c r="R13" s="27" t="str">
        <f>IF(OR(Data!BA14="",C13=""),"",'Job Sheet'!AH14)</f>
        <v/>
      </c>
      <c r="S13" s="27" t="str">
        <f>IF(C13="","",IF(AND('Job Sheet'!AB14="Hand Operation",OR('Job Sheet'!S14="Single Panel - Right Stacking",'Job Sheet'!S14="Single Panel - Left Stacking")),"1",IF(AND('Job Sheet'!AB14="Hand Operation",OR('Job Sheet'!S14="Single Panel - Free Flowing",'Job Sheet'!S14="Centre Opening",'Job Sheet'!S14="Centre Opening (Offset Split)")),"2",IF(AND('Job Sheet'!AB14="Hand Operation",OR('Job Sheet'!S14="Centre Opening - Free Flowing",'Job Sheet'!S14="Centre Opening - Free Flowing (Offset Split)")),"4",""))))</f>
        <v/>
      </c>
      <c r="T13" s="27" t="str">
        <f>IF(OR(Data!BA14="",C13=""),"",'Job Sheet'!X14)</f>
        <v/>
      </c>
      <c r="U13" s="27" t="str">
        <f>IF(OR(Data!BA14="",C13=""),"",'Job Sheet'!AI14)</f>
        <v/>
      </c>
      <c r="V13" s="27" t="str">
        <f>IF(OR(Data!BA14="",C13=""),"",'Job Sheet'!AJ14)</f>
        <v/>
      </c>
      <c r="W13" s="27" t="str">
        <f>IF(ISERROR(VLOOKUP('Job Sheet'!BF14,Holdbacks,1,FALSE)),"",'Job Sheet'!BF14)</f>
        <v/>
      </c>
      <c r="X13" s="27" t="str">
        <f>IF(OR(Data!BA14="",C13=""),"",'Job Sheet'!BN14)</f>
        <v/>
      </c>
    </row>
    <row r="14" spans="1:24" s="61" customFormat="1" ht="60" customHeight="1">
      <c r="A14" s="2" t="str">
        <f>IF(OR(Data!BA15="",C14=""),"",Data!AW15)</f>
        <v/>
      </c>
      <c r="B14" s="7" t="str">
        <f>IF(OR(Data!BA15="",C14=""),"",'Job Sheet'!C15)</f>
        <v/>
      </c>
      <c r="C14" s="27" t="str">
        <f>IF('Job Sheet'!BH15="Track from TBS",'Job Sheet'!Z15,"")</f>
        <v/>
      </c>
      <c r="D14" s="27" t="str">
        <f>IF(OR(Data!BA15="",C14=""),"",'Job Sheet'!AA15)</f>
        <v/>
      </c>
      <c r="E14" s="27" t="str">
        <f>IF(OR(Data!BA15="",C14=""),"",IF(U14="Straight",'Job Sheet'!BP15-55,'Job Sheet'!E15))</f>
        <v/>
      </c>
      <c r="F14" s="27" t="str">
        <f>IF(OR(Data!BA15="",C14=""),"",'Job Sheet'!I15)</f>
        <v/>
      </c>
      <c r="G14" s="27" t="str">
        <f>IF(OR(Data!BA15="",C14=""),"",'Job Sheet'!P15)</f>
        <v/>
      </c>
      <c r="H14" s="27" t="str">
        <f>IF(OR(Data!AV15="",C14=""),"",IF(VLOOKUP(CONCATENATE(C14,D14,U14),TBSTracks,5,FALSE)="Yes",'Job Sheet'!Q15,""))</f>
        <v/>
      </c>
      <c r="I14" s="27" t="str">
        <f>IF(OR(Data!BA15="",C14=""),"",'Job Sheet'!S15)</f>
        <v/>
      </c>
      <c r="J14" s="27" t="str">
        <f>IF(OR(Data!BA15="",C14=""),"",'Job Sheet'!T15)</f>
        <v/>
      </c>
      <c r="K14" s="27" t="str">
        <f>IF(OR(Data!BA15="",C14=""),"",'Job Sheet'!U15)</f>
        <v/>
      </c>
      <c r="L14" s="27" t="str">
        <f>IF(OR(Data!BA15="",C14=""),"",'Job Sheet'!AD15)</f>
        <v/>
      </c>
      <c r="M14" s="27" t="str">
        <f>IF(OR(Data!BA15="",C14=""),"",'Job Sheet'!AB15)</f>
        <v/>
      </c>
      <c r="N14" s="27" t="str">
        <f>IF(OR(Data!BA15="",C14=""),"",'Job Sheet'!AC15)</f>
        <v/>
      </c>
      <c r="O14" s="27" t="str">
        <f>IF(OR(Data!BA15="",C14=""),"",'Job Sheet'!AE15)</f>
        <v/>
      </c>
      <c r="P14" s="27" t="str">
        <f>IF(OR(Data!BA15="",C14=""),"",'Job Sheet'!AF15)</f>
        <v/>
      </c>
      <c r="Q14" s="27" t="str">
        <f>IF(OR(Data!BB15="",D14=""),"",'Job Sheet'!AG15)</f>
        <v/>
      </c>
      <c r="R14" s="27" t="str">
        <f>IF(OR(Data!BA15="",C14=""),"",'Job Sheet'!AH15)</f>
        <v/>
      </c>
      <c r="S14" s="27" t="str">
        <f>IF(C14="","",IF(AND('Job Sheet'!AB15="Hand Operation",OR('Job Sheet'!S15="Single Panel - Right Stacking",'Job Sheet'!S15="Single Panel - Left Stacking")),"1",IF(AND('Job Sheet'!AB15="Hand Operation",OR('Job Sheet'!S15="Single Panel - Free Flowing",'Job Sheet'!S15="Centre Opening",'Job Sheet'!S15="Centre Opening (Offset Split)")),"2",IF(AND('Job Sheet'!AB15="Hand Operation",OR('Job Sheet'!S15="Centre Opening - Free Flowing",'Job Sheet'!S15="Centre Opening - Free Flowing (Offset Split)")),"4",""))))</f>
        <v/>
      </c>
      <c r="T14" s="27" t="str">
        <f>IF(OR(Data!BA15="",C14=""),"",'Job Sheet'!X15)</f>
        <v/>
      </c>
      <c r="U14" s="27" t="str">
        <f>IF(OR(Data!BA15="",C14=""),"",'Job Sheet'!AI15)</f>
        <v/>
      </c>
      <c r="V14" s="27" t="str">
        <f>IF(OR(Data!BA15="",C14=""),"",'Job Sheet'!AJ15)</f>
        <v/>
      </c>
      <c r="W14" s="27" t="str">
        <f>IF(ISERROR(VLOOKUP('Job Sheet'!BF15,Holdbacks,1,FALSE)),"",'Job Sheet'!BF15)</f>
        <v/>
      </c>
      <c r="X14" s="27" t="str">
        <f>IF(OR(Data!BA15="",C14=""),"",'Job Sheet'!BN15)</f>
        <v/>
      </c>
    </row>
    <row r="15" spans="1:24" s="61" customFormat="1" ht="60" customHeight="1">
      <c r="A15" s="2" t="str">
        <f>IF(OR(Data!BA16="",C15=""),"",Data!AW16)</f>
        <v/>
      </c>
      <c r="B15" s="7" t="str">
        <f>IF(OR(Data!BA16="",C15=""),"",'Job Sheet'!C16)</f>
        <v/>
      </c>
      <c r="C15" s="27" t="str">
        <f>IF('Job Sheet'!BH16="Track from TBS",'Job Sheet'!Z16,"")</f>
        <v/>
      </c>
      <c r="D15" s="27" t="str">
        <f>IF(OR(Data!BA16="",C15=""),"",'Job Sheet'!AA16)</f>
        <v/>
      </c>
      <c r="E15" s="27" t="str">
        <f>IF(OR(Data!BA16="",C15=""),"",IF(U15="Straight",'Job Sheet'!BP16-55,'Job Sheet'!E16))</f>
        <v/>
      </c>
      <c r="F15" s="27" t="str">
        <f>IF(OR(Data!BA16="",C15=""),"",'Job Sheet'!I16)</f>
        <v/>
      </c>
      <c r="G15" s="27" t="str">
        <f>IF(OR(Data!BA16="",C15=""),"",'Job Sheet'!P16)</f>
        <v/>
      </c>
      <c r="H15" s="27" t="str">
        <f>IF(OR(Data!AV16="",C15=""),"",IF(VLOOKUP(CONCATENATE(C15,D15,U15),TBSTracks,5,FALSE)="Yes",'Job Sheet'!Q16,""))</f>
        <v/>
      </c>
      <c r="I15" s="27" t="str">
        <f>IF(OR(Data!BA16="",C15=""),"",'Job Sheet'!S16)</f>
        <v/>
      </c>
      <c r="J15" s="27" t="str">
        <f>IF(OR(Data!BA16="",C15=""),"",'Job Sheet'!T16)</f>
        <v/>
      </c>
      <c r="K15" s="27" t="str">
        <f>IF(OR(Data!BA16="",C15=""),"",'Job Sheet'!U16)</f>
        <v/>
      </c>
      <c r="L15" s="27" t="str">
        <f>IF(OR(Data!BA16="",C15=""),"",'Job Sheet'!AD16)</f>
        <v/>
      </c>
      <c r="M15" s="27" t="str">
        <f>IF(OR(Data!BA16="",C15=""),"",'Job Sheet'!AB16)</f>
        <v/>
      </c>
      <c r="N15" s="27" t="str">
        <f>IF(OR(Data!BA16="",C15=""),"",'Job Sheet'!AC16)</f>
        <v/>
      </c>
      <c r="O15" s="27" t="str">
        <f>IF(OR(Data!BA16="",C15=""),"",'Job Sheet'!AE16)</f>
        <v/>
      </c>
      <c r="P15" s="27" t="str">
        <f>IF(OR(Data!BA16="",C15=""),"",'Job Sheet'!AF16)</f>
        <v/>
      </c>
      <c r="Q15" s="27" t="str">
        <f>IF(OR(Data!BB16="",D15=""),"",'Job Sheet'!AG16)</f>
        <v/>
      </c>
      <c r="R15" s="27" t="str">
        <f>IF(OR(Data!BA16="",C15=""),"",'Job Sheet'!AH16)</f>
        <v/>
      </c>
      <c r="S15" s="27" t="str">
        <f>IF(C15="","",IF(AND('Job Sheet'!AB16="Hand Operation",OR('Job Sheet'!S16="Single Panel - Right Stacking",'Job Sheet'!S16="Single Panel - Left Stacking")),"1",IF(AND('Job Sheet'!AB16="Hand Operation",OR('Job Sheet'!S16="Single Panel - Free Flowing",'Job Sheet'!S16="Centre Opening",'Job Sheet'!S16="Centre Opening (Offset Split)")),"2",IF(AND('Job Sheet'!AB16="Hand Operation",OR('Job Sheet'!S16="Centre Opening - Free Flowing",'Job Sheet'!S16="Centre Opening - Free Flowing (Offset Split)")),"4",""))))</f>
        <v/>
      </c>
      <c r="T15" s="27" t="str">
        <f>IF(OR(Data!BA16="",C15=""),"",'Job Sheet'!X16)</f>
        <v/>
      </c>
      <c r="U15" s="27" t="str">
        <f>IF(OR(Data!BA16="",C15=""),"",'Job Sheet'!AI16)</f>
        <v/>
      </c>
      <c r="V15" s="27" t="str">
        <f>IF(OR(Data!BA16="",C15=""),"",'Job Sheet'!AJ16)</f>
        <v/>
      </c>
      <c r="W15" s="27" t="str">
        <f>IF(ISERROR(VLOOKUP('Job Sheet'!BF16,Holdbacks,1,FALSE)),"",'Job Sheet'!BF16)</f>
        <v/>
      </c>
      <c r="X15" s="27" t="str">
        <f>IF(OR(Data!BA16="",C15=""),"",'Job Sheet'!BN16)</f>
        <v/>
      </c>
    </row>
    <row r="16" spans="1:24" s="61" customFormat="1" ht="60" customHeight="1">
      <c r="A16" s="2" t="str">
        <f>IF(OR(Data!BA17="",C16=""),"",Data!AW17)</f>
        <v/>
      </c>
      <c r="B16" s="7" t="str">
        <f>IF(OR(Data!BA17="",C16=""),"",'Job Sheet'!C17)</f>
        <v/>
      </c>
      <c r="C16" s="27" t="str">
        <f>IF('Job Sheet'!BH17="Track from TBS",'Job Sheet'!Z17,"")</f>
        <v/>
      </c>
      <c r="D16" s="27" t="str">
        <f>IF(OR(Data!BA17="",C16=""),"",'Job Sheet'!AA17)</f>
        <v/>
      </c>
      <c r="E16" s="27" t="str">
        <f>IF(OR(Data!BA17="",C16=""),"",IF(U16="Straight",'Job Sheet'!BP17-55,'Job Sheet'!E17))</f>
        <v/>
      </c>
      <c r="F16" s="27" t="str">
        <f>IF(OR(Data!BA17="",C16=""),"",'Job Sheet'!I17)</f>
        <v/>
      </c>
      <c r="G16" s="27" t="str">
        <f>IF(OR(Data!BA17="",C16=""),"",'Job Sheet'!P17)</f>
        <v/>
      </c>
      <c r="H16" s="27" t="str">
        <f>IF(OR(Data!AV17="",C16=""),"",IF(VLOOKUP(CONCATENATE(C16,D16,U16),TBSTracks,5,FALSE)="Yes",'Job Sheet'!Q17,""))</f>
        <v/>
      </c>
      <c r="I16" s="27" t="str">
        <f>IF(OR(Data!BA17="",C16=""),"",'Job Sheet'!S17)</f>
        <v/>
      </c>
      <c r="J16" s="27" t="str">
        <f>IF(OR(Data!BA17="",C16=""),"",'Job Sheet'!T17)</f>
        <v/>
      </c>
      <c r="K16" s="27" t="str">
        <f>IF(OR(Data!BA17="",C16=""),"",'Job Sheet'!U17)</f>
        <v/>
      </c>
      <c r="L16" s="27" t="str">
        <f>IF(OR(Data!BA17="",C16=""),"",'Job Sheet'!AD17)</f>
        <v/>
      </c>
      <c r="M16" s="27" t="str">
        <f>IF(OR(Data!BA17="",C16=""),"",'Job Sheet'!AB17)</f>
        <v/>
      </c>
      <c r="N16" s="27" t="str">
        <f>IF(OR(Data!BA17="",C16=""),"",'Job Sheet'!AC17)</f>
        <v/>
      </c>
      <c r="O16" s="27" t="str">
        <f>IF(OR(Data!BA17="",C16=""),"",'Job Sheet'!AE17)</f>
        <v/>
      </c>
      <c r="P16" s="27" t="str">
        <f>IF(OR(Data!BA17="",C16=""),"",'Job Sheet'!AF17)</f>
        <v/>
      </c>
      <c r="Q16" s="27" t="str">
        <f>IF(OR(Data!BB17="",D16=""),"",'Job Sheet'!AG17)</f>
        <v/>
      </c>
      <c r="R16" s="27" t="str">
        <f>IF(OR(Data!BA17="",C16=""),"",'Job Sheet'!AH17)</f>
        <v/>
      </c>
      <c r="S16" s="27" t="str">
        <f>IF(C16="","",IF(AND('Job Sheet'!AB17="Hand Operation",OR('Job Sheet'!S17="Single Panel - Right Stacking",'Job Sheet'!S17="Single Panel - Left Stacking")),"1",IF(AND('Job Sheet'!AB17="Hand Operation",OR('Job Sheet'!S17="Single Panel - Free Flowing",'Job Sheet'!S17="Centre Opening",'Job Sheet'!S17="Centre Opening (Offset Split)")),"2",IF(AND('Job Sheet'!AB17="Hand Operation",OR('Job Sheet'!S17="Centre Opening - Free Flowing",'Job Sheet'!S17="Centre Opening - Free Flowing (Offset Split)")),"4",""))))</f>
        <v/>
      </c>
      <c r="T16" s="27" t="str">
        <f>IF(OR(Data!BA17="",C16=""),"",'Job Sheet'!X17)</f>
        <v/>
      </c>
      <c r="U16" s="27" t="str">
        <f>IF(OR(Data!BA17="",C16=""),"",'Job Sheet'!AI17)</f>
        <v/>
      </c>
      <c r="V16" s="27" t="str">
        <f>IF(OR(Data!BA17="",C16=""),"",'Job Sheet'!AJ17)</f>
        <v/>
      </c>
      <c r="W16" s="27" t="str">
        <f>IF(ISERROR(VLOOKUP('Job Sheet'!BF17,Holdbacks,1,FALSE)),"",'Job Sheet'!BF17)</f>
        <v/>
      </c>
      <c r="X16" s="27" t="str">
        <f>IF(OR(Data!BA17="",C16=""),"",'Job Sheet'!BN17)</f>
        <v/>
      </c>
    </row>
    <row r="17" spans="1:24" s="61" customFormat="1" ht="60" customHeight="1">
      <c r="A17" s="2" t="str">
        <f>IF(OR(Data!BA18="",C17=""),"",Data!AW18)</f>
        <v/>
      </c>
      <c r="B17" s="7" t="str">
        <f>IF(OR(Data!BA18="",C17=""),"",'Job Sheet'!C18)</f>
        <v/>
      </c>
      <c r="C17" s="27" t="str">
        <f>IF('Job Sheet'!BH18="Track from TBS",'Job Sheet'!Z18,"")</f>
        <v/>
      </c>
      <c r="D17" s="27" t="str">
        <f>IF(OR(Data!BA18="",C17=""),"",'Job Sheet'!AA18)</f>
        <v/>
      </c>
      <c r="E17" s="27" t="str">
        <f>IF(OR(Data!BA18="",C17=""),"",IF(U17="Straight",'Job Sheet'!BP18-55,'Job Sheet'!E18))</f>
        <v/>
      </c>
      <c r="F17" s="27" t="str">
        <f>IF(OR(Data!BA18="",C17=""),"",'Job Sheet'!I18)</f>
        <v/>
      </c>
      <c r="G17" s="27" t="str">
        <f>IF(OR(Data!BA18="",C17=""),"",'Job Sheet'!P18)</f>
        <v/>
      </c>
      <c r="H17" s="27" t="str">
        <f>IF(OR(Data!AV18="",C17=""),"",IF(VLOOKUP(CONCATENATE(C17,D17,U17),TBSTracks,5,FALSE)="Yes",'Job Sheet'!Q18,""))</f>
        <v/>
      </c>
      <c r="I17" s="27" t="str">
        <f>IF(OR(Data!BA18="",C17=""),"",'Job Sheet'!S18)</f>
        <v/>
      </c>
      <c r="J17" s="27" t="str">
        <f>IF(OR(Data!BA18="",C17=""),"",'Job Sheet'!T18)</f>
        <v/>
      </c>
      <c r="K17" s="27" t="str">
        <f>IF(OR(Data!BA18="",C17=""),"",'Job Sheet'!U18)</f>
        <v/>
      </c>
      <c r="L17" s="27" t="str">
        <f>IF(OR(Data!BA18="",C17=""),"",'Job Sheet'!AD18)</f>
        <v/>
      </c>
      <c r="M17" s="27" t="str">
        <f>IF(OR(Data!BA18="",C17=""),"",'Job Sheet'!AB18)</f>
        <v/>
      </c>
      <c r="N17" s="27" t="str">
        <f>IF(OR(Data!BA18="",C17=""),"",'Job Sheet'!AC18)</f>
        <v/>
      </c>
      <c r="O17" s="27" t="str">
        <f>IF(OR(Data!BA18="",C17=""),"",'Job Sheet'!AE18)</f>
        <v/>
      </c>
      <c r="P17" s="27" t="str">
        <f>IF(OR(Data!BA18="",C17=""),"",'Job Sheet'!AF18)</f>
        <v/>
      </c>
      <c r="Q17" s="27" t="str">
        <f>IF(OR(Data!BB18="",D17=""),"",'Job Sheet'!AG18)</f>
        <v/>
      </c>
      <c r="R17" s="27" t="str">
        <f>IF(OR(Data!BA18="",C17=""),"",'Job Sheet'!AH18)</f>
        <v/>
      </c>
      <c r="S17" s="27" t="str">
        <f>IF(C17="","",IF(AND('Job Sheet'!AB18="Hand Operation",OR('Job Sheet'!S18="Single Panel - Right Stacking",'Job Sheet'!S18="Single Panel - Left Stacking")),"1",IF(AND('Job Sheet'!AB18="Hand Operation",OR('Job Sheet'!S18="Single Panel - Free Flowing",'Job Sheet'!S18="Centre Opening",'Job Sheet'!S18="Centre Opening (Offset Split)")),"2",IF(AND('Job Sheet'!AB18="Hand Operation",OR('Job Sheet'!S18="Centre Opening - Free Flowing",'Job Sheet'!S18="Centre Opening - Free Flowing (Offset Split)")),"4",""))))</f>
        <v/>
      </c>
      <c r="T17" s="27" t="str">
        <f>IF(OR(Data!BA18="",C17=""),"",'Job Sheet'!X18)</f>
        <v/>
      </c>
      <c r="U17" s="27" t="str">
        <f>IF(OR(Data!BA18="",C17=""),"",'Job Sheet'!AI18)</f>
        <v/>
      </c>
      <c r="V17" s="27" t="str">
        <f>IF(OR(Data!BA18="",C17=""),"",'Job Sheet'!AJ18)</f>
        <v/>
      </c>
      <c r="W17" s="27" t="str">
        <f>IF(ISERROR(VLOOKUP('Job Sheet'!BF18,Holdbacks,1,FALSE)),"",'Job Sheet'!BF18)</f>
        <v/>
      </c>
      <c r="X17" s="27" t="str">
        <f>IF(OR(Data!BA18="",C17=""),"",'Job Sheet'!BN18)</f>
        <v/>
      </c>
    </row>
    <row r="18" spans="1:24" s="61" customFormat="1" ht="60" customHeight="1">
      <c r="A18" s="2" t="str">
        <f>IF(OR(Data!BA19="",C18=""),"",Data!AW19)</f>
        <v/>
      </c>
      <c r="B18" s="7" t="str">
        <f>IF(OR(Data!BA19="",C18=""),"",'Job Sheet'!C19)</f>
        <v/>
      </c>
      <c r="C18" s="27" t="str">
        <f>IF('Job Sheet'!BH19="Track from TBS",'Job Sheet'!Z19,"")</f>
        <v/>
      </c>
      <c r="D18" s="27" t="str">
        <f>IF(OR(Data!BA19="",C18=""),"",'Job Sheet'!AA19)</f>
        <v/>
      </c>
      <c r="E18" s="27" t="str">
        <f>IF(OR(Data!BA19="",C18=""),"",IF(U18="Straight",'Job Sheet'!BP19-55,'Job Sheet'!E19))</f>
        <v/>
      </c>
      <c r="F18" s="27" t="str">
        <f>IF(OR(Data!BA19="",C18=""),"",'Job Sheet'!I19)</f>
        <v/>
      </c>
      <c r="G18" s="27" t="str">
        <f>IF(OR(Data!BA19="",C18=""),"",'Job Sheet'!P19)</f>
        <v/>
      </c>
      <c r="H18" s="27" t="str">
        <f>IF(OR(Data!AV19="",C18=""),"",IF(VLOOKUP(CONCATENATE(C18,D18,U18),TBSTracks,5,FALSE)="Yes",'Job Sheet'!Q19,""))</f>
        <v/>
      </c>
      <c r="I18" s="27" t="str">
        <f>IF(OR(Data!BA19="",C18=""),"",'Job Sheet'!S19)</f>
        <v/>
      </c>
      <c r="J18" s="27" t="str">
        <f>IF(OR(Data!BA19="",C18=""),"",'Job Sheet'!T19)</f>
        <v/>
      </c>
      <c r="K18" s="27" t="str">
        <f>IF(OR(Data!BA19="",C18=""),"",'Job Sheet'!U19)</f>
        <v/>
      </c>
      <c r="L18" s="27" t="str">
        <f>IF(OR(Data!BA19="",C18=""),"",'Job Sheet'!AD19)</f>
        <v/>
      </c>
      <c r="M18" s="27" t="str">
        <f>IF(OR(Data!BA19="",C18=""),"",'Job Sheet'!AB19)</f>
        <v/>
      </c>
      <c r="N18" s="27" t="str">
        <f>IF(OR(Data!BA19="",C18=""),"",'Job Sheet'!AC19)</f>
        <v/>
      </c>
      <c r="O18" s="27" t="str">
        <f>IF(OR(Data!BA19="",C18=""),"",'Job Sheet'!AE19)</f>
        <v/>
      </c>
      <c r="P18" s="27" t="str">
        <f>IF(OR(Data!BA19="",C18=""),"",'Job Sheet'!AF19)</f>
        <v/>
      </c>
      <c r="Q18" s="27" t="str">
        <f>IF(OR(Data!BB19="",D18=""),"",'Job Sheet'!AG19)</f>
        <v/>
      </c>
      <c r="R18" s="27" t="str">
        <f>IF(OR(Data!BA19="",C18=""),"",'Job Sheet'!AH19)</f>
        <v/>
      </c>
      <c r="S18" s="27" t="str">
        <f>IF(C18="","",IF(AND('Job Sheet'!AB19="Hand Operation",OR('Job Sheet'!S19="Single Panel - Right Stacking",'Job Sheet'!S19="Single Panel - Left Stacking")),"1",IF(AND('Job Sheet'!AB19="Hand Operation",OR('Job Sheet'!S19="Single Panel - Free Flowing",'Job Sheet'!S19="Centre Opening",'Job Sheet'!S19="Centre Opening (Offset Split)")),"2",IF(AND('Job Sheet'!AB19="Hand Operation",OR('Job Sheet'!S19="Centre Opening - Free Flowing",'Job Sheet'!S19="Centre Opening - Free Flowing (Offset Split)")),"4",""))))</f>
        <v/>
      </c>
      <c r="T18" s="27" t="str">
        <f>IF(OR(Data!BA19="",C18=""),"",'Job Sheet'!X19)</f>
        <v/>
      </c>
      <c r="U18" s="27" t="str">
        <f>IF(OR(Data!BA19="",C18=""),"",'Job Sheet'!AI19)</f>
        <v/>
      </c>
      <c r="V18" s="27" t="str">
        <f>IF(OR(Data!BA19="",C18=""),"",'Job Sheet'!AJ19)</f>
        <v/>
      </c>
      <c r="W18" s="27" t="str">
        <f>IF(ISERROR(VLOOKUP('Job Sheet'!BF19,Holdbacks,1,FALSE)),"",'Job Sheet'!BF19)</f>
        <v/>
      </c>
      <c r="X18" s="27" t="str">
        <f>IF(OR(Data!BA19="",C18=""),"",'Job Sheet'!BN19)</f>
        <v/>
      </c>
    </row>
    <row r="19" spans="1:24" s="61" customFormat="1" ht="60" customHeight="1">
      <c r="A19" s="226" t="str">
        <f>IF(OR(Data!BA20="",C19=""),"",Data!AW20)</f>
        <v/>
      </c>
      <c r="B19" s="236" t="str">
        <f>IF(OR(Data!BA20="",C19=""),"",'Job Sheet'!C20)</f>
        <v/>
      </c>
      <c r="C19" s="27" t="str">
        <f>IF('Job Sheet'!BH20="Track from TBS",'Job Sheet'!Z20,"")</f>
        <v/>
      </c>
      <c r="D19" s="27" t="str">
        <f>IF(OR(Data!BA20="",C19=""),"",'Job Sheet'!AA20)</f>
        <v/>
      </c>
      <c r="E19" s="27" t="str">
        <f>IF(OR(Data!BA20="",C19=""),"",IF(U19="Straight",'Job Sheet'!BP20-55,'Job Sheet'!E20))</f>
        <v/>
      </c>
      <c r="F19" s="27" t="str">
        <f>IF(OR(Data!BA20="",C19=""),"",'Job Sheet'!I20)</f>
        <v/>
      </c>
      <c r="G19" s="27" t="str">
        <f>IF(OR(Data!BA20="",C19=""),"",'Job Sheet'!P20)</f>
        <v/>
      </c>
      <c r="H19" s="27" t="str">
        <f>IF(OR(Data!AV20="",C19=""),"",IF(VLOOKUP(CONCATENATE(C19,D19,U19),TBSTracks,5,FALSE)="Yes",'Job Sheet'!Q20,""))</f>
        <v/>
      </c>
      <c r="I19" s="27" t="str">
        <f>IF(OR(Data!BA20="",C19=""),"",'Job Sheet'!S20)</f>
        <v/>
      </c>
      <c r="J19" s="27" t="str">
        <f>IF(OR(Data!BA20="",C19=""),"",'Job Sheet'!T20)</f>
        <v/>
      </c>
      <c r="K19" s="27" t="str">
        <f>IF(OR(Data!BA20="",C19=""),"",'Job Sheet'!U20)</f>
        <v/>
      </c>
      <c r="L19" s="27" t="str">
        <f>IF(OR(Data!BA20="",C19=""),"",'Job Sheet'!AD20)</f>
        <v/>
      </c>
      <c r="M19" s="27" t="str">
        <f>IF(OR(Data!BA20="",C19=""),"",'Job Sheet'!AB20)</f>
        <v/>
      </c>
      <c r="N19" s="27" t="str">
        <f>IF(OR(Data!BA20="",C19=""),"",'Job Sheet'!AC20)</f>
        <v/>
      </c>
      <c r="O19" s="27" t="str">
        <f>IF(OR(Data!BA20="",C19=""),"",'Job Sheet'!AE20)</f>
        <v/>
      </c>
      <c r="P19" s="27" t="str">
        <f>IF(OR(Data!BA20="",C19=""),"",'Job Sheet'!AF20)</f>
        <v/>
      </c>
      <c r="Q19" s="27" t="str">
        <f>IF(OR(Data!BB20="",D19=""),"",'Job Sheet'!AG20)</f>
        <v/>
      </c>
      <c r="R19" s="27" t="str">
        <f>IF(OR(Data!BA20="",C19=""),"",'Job Sheet'!AH20)</f>
        <v/>
      </c>
      <c r="S19" s="27" t="str">
        <f>IF(C19="","",IF(AND('Job Sheet'!AB20="Hand Operation",OR('Job Sheet'!S20="Single Panel - Right Stacking",'Job Sheet'!S20="Single Panel - Left Stacking")),"1",IF(AND('Job Sheet'!AB20="Hand Operation",OR('Job Sheet'!S20="Single Panel - Free Flowing",'Job Sheet'!S20="Centre Opening",'Job Sheet'!S20="Centre Opening (Offset Split)")),"2",IF(AND('Job Sheet'!AB20="Hand Operation",OR('Job Sheet'!S20="Centre Opening - Free Flowing",'Job Sheet'!S20="Centre Opening - Free Flowing (Offset Split)")),"4",""))))</f>
        <v/>
      </c>
      <c r="T19" s="27" t="str">
        <f>IF(OR(Data!BA20="",C19=""),"",'Job Sheet'!X20)</f>
        <v/>
      </c>
      <c r="U19" s="27" t="str">
        <f>IF(OR(Data!BA20="",C19=""),"",'Job Sheet'!AI20)</f>
        <v/>
      </c>
      <c r="V19" s="27" t="str">
        <f>IF(OR(Data!BA20="",C19=""),"",'Job Sheet'!AJ20)</f>
        <v/>
      </c>
      <c r="W19" s="27" t="str">
        <f>IF(ISERROR(VLOOKUP('Job Sheet'!BF20,Holdbacks,1,FALSE)),"",'Job Sheet'!BF20)</f>
        <v/>
      </c>
      <c r="X19" s="27" t="str">
        <f>IF(OR(Data!BA20="",C19=""),"",'Job Sheet'!BN20)</f>
        <v/>
      </c>
    </row>
    <row r="20" spans="1:24" s="32" customFormat="1" ht="60" customHeight="1">
      <c r="A20" s="226" t="str">
        <f>IF(OR(Data!BA21="",C20=""),"",Data!AW21)</f>
        <v/>
      </c>
      <c r="B20" s="236" t="str">
        <f>IF(OR(Data!BA21="",C20=""),"",'Job Sheet'!C21)</f>
        <v/>
      </c>
      <c r="C20" s="27" t="str">
        <f>IF('Job Sheet'!BH21="Track from TBS",'Job Sheet'!Z21,"")</f>
        <v/>
      </c>
      <c r="D20" s="27" t="str">
        <f>IF(OR(Data!BA21="",C20=""),"",'Job Sheet'!AA21)</f>
        <v/>
      </c>
      <c r="E20" s="27" t="str">
        <f>IF(OR(Data!BA21="",C20=""),"",IF(U20="Straight",'Job Sheet'!BP21-55,'Job Sheet'!E21))</f>
        <v/>
      </c>
      <c r="F20" s="27" t="str">
        <f>IF(OR(Data!BA21="",C20=""),"",'Job Sheet'!I21)</f>
        <v/>
      </c>
      <c r="G20" s="27" t="str">
        <f>IF(OR(Data!BA21="",C20=""),"",'Job Sheet'!P21)</f>
        <v/>
      </c>
      <c r="H20" s="27" t="str">
        <f>IF(OR(Data!AV21="",C20=""),"",IF(VLOOKUP(CONCATENATE(C20,D20,U20),TBSTracks,5,FALSE)="Yes",'Job Sheet'!Q21,""))</f>
        <v/>
      </c>
      <c r="I20" s="27" t="str">
        <f>IF(OR(Data!BA21="",C20=""),"",'Job Sheet'!S21)</f>
        <v/>
      </c>
      <c r="J20" s="27" t="str">
        <f>IF(OR(Data!BA21="",C20=""),"",'Job Sheet'!T21)</f>
        <v/>
      </c>
      <c r="K20" s="27" t="str">
        <f>IF(OR(Data!BA21="",C20=""),"",'Job Sheet'!U21)</f>
        <v/>
      </c>
      <c r="L20" s="27" t="str">
        <f>IF(OR(Data!BA21="",C20=""),"",'Job Sheet'!AD21)</f>
        <v/>
      </c>
      <c r="M20" s="27" t="str">
        <f>IF(OR(Data!BA21="",C20=""),"",'Job Sheet'!AB21)</f>
        <v/>
      </c>
      <c r="N20" s="27" t="str">
        <f>IF(OR(Data!BA21="",C20=""),"",'Job Sheet'!AC21)</f>
        <v/>
      </c>
      <c r="O20" s="27" t="str">
        <f>IF(OR(Data!BA21="",C20=""),"",'Job Sheet'!AE21)</f>
        <v/>
      </c>
      <c r="P20" s="27" t="str">
        <f>IF(OR(Data!BA21="",C20=""),"",'Job Sheet'!AF21)</f>
        <v/>
      </c>
      <c r="Q20" s="27" t="str">
        <f>IF(OR(Data!BB21="",D20=""),"",'Job Sheet'!AG21)</f>
        <v/>
      </c>
      <c r="R20" s="27" t="str">
        <f>IF(OR(Data!BA21="",C20=""),"",'Job Sheet'!AH21)</f>
        <v/>
      </c>
      <c r="S20" s="27" t="str">
        <f>IF(C20="","",IF(AND('Job Sheet'!AB21="Hand Operation",OR('Job Sheet'!S21="Single Panel - Right Stacking",'Job Sheet'!S21="Single Panel - Left Stacking")),"1",IF(AND('Job Sheet'!AB21="Hand Operation",OR('Job Sheet'!S21="Single Panel - Free Flowing",'Job Sheet'!S21="Centre Opening",'Job Sheet'!S21="Centre Opening (Offset Split)")),"2",IF(AND('Job Sheet'!AB21="Hand Operation",OR('Job Sheet'!S21="Centre Opening - Free Flowing",'Job Sheet'!S21="Centre Opening - Free Flowing (Offset Split)")),"4",""))))</f>
        <v/>
      </c>
      <c r="T20" s="27" t="str">
        <f>IF(OR(Data!BA21="",C20=""),"",'Job Sheet'!X21)</f>
        <v/>
      </c>
      <c r="U20" s="27" t="str">
        <f>IF(OR(Data!BA21="",C20=""),"",'Job Sheet'!AI21)</f>
        <v/>
      </c>
      <c r="V20" s="27" t="str">
        <f>IF(OR(Data!BA21="",C20=""),"",'Job Sheet'!AJ21)</f>
        <v/>
      </c>
      <c r="W20" s="27" t="str">
        <f>IF(ISERROR(VLOOKUP('Job Sheet'!BF21,Holdbacks,1,FALSE)),"",'Job Sheet'!BF21)</f>
        <v/>
      </c>
      <c r="X20" s="27" t="str">
        <f>IF(OR(Data!BA21="",C20=""),"",'Job Sheet'!BN21)</f>
        <v/>
      </c>
    </row>
    <row r="21" spans="1:24" s="32" customFormat="1" ht="60" customHeight="1">
      <c r="A21" s="226" t="str">
        <f>IF(OR(Data!BA22="",C21=""),"",Data!AW22)</f>
        <v/>
      </c>
      <c r="B21" s="236" t="str">
        <f>IF(OR(Data!BA22="",C21=""),"",'Job Sheet'!C22)</f>
        <v/>
      </c>
      <c r="C21" s="27" t="str">
        <f>IF('Job Sheet'!BH22="Track from TBS",'Job Sheet'!Z22,"")</f>
        <v/>
      </c>
      <c r="D21" s="27" t="str">
        <f>IF(OR(Data!BA22="",C21=""),"",'Job Sheet'!AA22)</f>
        <v/>
      </c>
      <c r="E21" s="27" t="str">
        <f>IF(OR(Data!BA22="",C21=""),"",IF(U21="Straight",'Job Sheet'!BP22-55,'Job Sheet'!E22))</f>
        <v/>
      </c>
      <c r="F21" s="27" t="str">
        <f>IF(OR(Data!BA22="",C21=""),"",'Job Sheet'!I22)</f>
        <v/>
      </c>
      <c r="G21" s="27" t="str">
        <f>IF(OR(Data!BA22="",C21=""),"",'Job Sheet'!P22)</f>
        <v/>
      </c>
      <c r="H21" s="27" t="str">
        <f>IF(OR(Data!AV22="",C21=""),"",IF(VLOOKUP(CONCATENATE(C21,D21,U21),TBSTracks,5,FALSE)="Yes",'Job Sheet'!Q22,""))</f>
        <v/>
      </c>
      <c r="I21" s="27" t="str">
        <f>IF(OR(Data!BA22="",C21=""),"",'Job Sheet'!S22)</f>
        <v/>
      </c>
      <c r="J21" s="27" t="str">
        <f>IF(OR(Data!BA22="",C21=""),"",'Job Sheet'!T22)</f>
        <v/>
      </c>
      <c r="K21" s="27" t="str">
        <f>IF(OR(Data!BA22="",C21=""),"",'Job Sheet'!U22)</f>
        <v/>
      </c>
      <c r="L21" s="27" t="str">
        <f>IF(OR(Data!BA22="",C21=""),"",'Job Sheet'!AD22)</f>
        <v/>
      </c>
      <c r="M21" s="27" t="str">
        <f>IF(OR(Data!BA22="",C21=""),"",'Job Sheet'!AB22)</f>
        <v/>
      </c>
      <c r="N21" s="27" t="str">
        <f>IF(OR(Data!BA22="",C21=""),"",'Job Sheet'!AC22)</f>
        <v/>
      </c>
      <c r="O21" s="27" t="str">
        <f>IF(OR(Data!BA22="",C21=""),"",'Job Sheet'!AE22)</f>
        <v/>
      </c>
      <c r="P21" s="27" t="str">
        <f>IF(OR(Data!BA22="",C21=""),"",'Job Sheet'!AF22)</f>
        <v/>
      </c>
      <c r="Q21" s="27" t="str">
        <f>IF(OR(Data!BB22="",D21=""),"",'Job Sheet'!AG22)</f>
        <v/>
      </c>
      <c r="R21" s="27" t="str">
        <f>IF(OR(Data!BA22="",C21=""),"",'Job Sheet'!AH22)</f>
        <v/>
      </c>
      <c r="S21" s="27" t="str">
        <f>IF(C21="","",IF(AND('Job Sheet'!AB22="Hand Operation",OR('Job Sheet'!S22="Single Panel - Right Stacking",'Job Sheet'!S22="Single Panel - Left Stacking")),"1",IF(AND('Job Sheet'!AB22="Hand Operation",OR('Job Sheet'!S22="Single Panel - Free Flowing",'Job Sheet'!S22="Centre Opening",'Job Sheet'!S22="Centre Opening (Offset Split)")),"2",IF(AND('Job Sheet'!AB22="Hand Operation",OR('Job Sheet'!S22="Centre Opening - Free Flowing",'Job Sheet'!S22="Centre Opening - Free Flowing (Offset Split)")),"4",""))))</f>
        <v/>
      </c>
      <c r="T21" s="27" t="str">
        <f>IF(OR(Data!BA22="",C21=""),"",'Job Sheet'!X22)</f>
        <v/>
      </c>
      <c r="U21" s="27" t="str">
        <f>IF(OR(Data!BA22="",C21=""),"",'Job Sheet'!AI22)</f>
        <v/>
      </c>
      <c r="V21" s="27" t="str">
        <f>IF(OR(Data!BA22="",C21=""),"",'Job Sheet'!AJ22)</f>
        <v/>
      </c>
      <c r="W21" s="27" t="str">
        <f>IF(ISERROR(VLOOKUP('Job Sheet'!BF22,Holdbacks,1,FALSE)),"",'Job Sheet'!BF22)</f>
        <v/>
      </c>
      <c r="X21" s="27" t="str">
        <f>IF(OR(Data!BA22="",C21=""),"",'Job Sheet'!BN22)</f>
        <v/>
      </c>
    </row>
    <row r="22" spans="1:20" s="32" customFormat="1" ht="60" customHeight="1">
      <c r="A22" s="64"/>
      <c r="B22" s="64"/>
      <c r="C22" s="64"/>
      <c r="D22" s="64"/>
      <c r="E22" s="64"/>
      <c r="F22" s="64"/>
      <c r="G22" s="64"/>
      <c r="H22" s="64"/>
      <c r="I22" s="64"/>
      <c r="J22" s="65"/>
      <c r="K22" s="65"/>
      <c r="L22" s="64"/>
      <c r="M22" s="64"/>
      <c r="N22" s="64"/>
      <c r="O22" s="64"/>
      <c r="P22" s="64"/>
      <c r="Q22" s="64"/>
      <c r="R22" s="64"/>
      <c r="S22" s="64"/>
      <c r="T22" s="64"/>
    </row>
    <row r="23" spans="1:20" s="32" customFormat="1" ht="60" customHeight="1">
      <c r="A23" s="64"/>
      <c r="B23" s="64"/>
      <c r="C23" s="64"/>
      <c r="D23" s="64"/>
      <c r="E23" s="64"/>
      <c r="F23" s="64"/>
      <c r="G23" s="64"/>
      <c r="H23" s="64"/>
      <c r="I23" s="64"/>
      <c r="J23" s="65"/>
      <c r="K23" s="65"/>
      <c r="L23" s="64"/>
      <c r="M23" s="64"/>
      <c r="N23" s="64"/>
      <c r="O23" s="64"/>
      <c r="P23" s="64"/>
      <c r="Q23" s="64"/>
      <c r="R23" s="64"/>
      <c r="S23" s="64"/>
      <c r="T23" s="64"/>
    </row>
    <row r="24" spans="1:20" s="32" customFormat="1" ht="60" customHeight="1">
      <c r="A24" s="64"/>
      <c r="B24" s="64"/>
      <c r="C24" s="64"/>
      <c r="D24" s="64"/>
      <c r="E24" s="64"/>
      <c r="F24" s="64"/>
      <c r="G24" s="64"/>
      <c r="H24" s="64"/>
      <c r="I24" s="64"/>
      <c r="J24" s="65"/>
      <c r="K24" s="65"/>
      <c r="L24" s="64"/>
      <c r="M24" s="64"/>
      <c r="N24" s="64"/>
      <c r="O24" s="64"/>
      <c r="P24" s="64"/>
      <c r="Q24" s="64"/>
      <c r="R24" s="64"/>
      <c r="S24" s="64"/>
      <c r="T24" s="64"/>
    </row>
    <row r="25" spans="1:20" s="32" customFormat="1" ht="60" customHeight="1">
      <c r="A25" s="64"/>
      <c r="B25" s="64"/>
      <c r="C25" s="64"/>
      <c r="D25" s="64"/>
      <c r="E25" s="64"/>
      <c r="F25" s="64"/>
      <c r="G25" s="64"/>
      <c r="H25" s="64"/>
      <c r="I25" s="64"/>
      <c r="J25" s="65"/>
      <c r="K25" s="65"/>
      <c r="L25" s="64"/>
      <c r="M25" s="64"/>
      <c r="N25" s="64"/>
      <c r="O25" s="64"/>
      <c r="P25" s="64"/>
      <c r="Q25" s="64"/>
      <c r="R25" s="64"/>
      <c r="S25" s="64"/>
      <c r="T25" s="64"/>
    </row>
    <row r="26" spans="1:20" s="32" customFormat="1" ht="60" customHeight="1">
      <c r="A26" s="64"/>
      <c r="B26" s="64"/>
      <c r="C26" s="64"/>
      <c r="D26" s="64"/>
      <c r="E26" s="64"/>
      <c r="F26" s="64"/>
      <c r="G26" s="64"/>
      <c r="H26" s="64"/>
      <c r="I26" s="64"/>
      <c r="J26" s="65"/>
      <c r="K26" s="65"/>
      <c r="L26" s="64"/>
      <c r="M26" s="64"/>
      <c r="N26" s="64"/>
      <c r="O26" s="64"/>
      <c r="P26" s="64"/>
      <c r="Q26" s="64"/>
      <c r="R26" s="64"/>
      <c r="S26" s="64"/>
      <c r="T26" s="64"/>
    </row>
    <row r="27" spans="1:20" s="32" customFormat="1" ht="60" customHeight="1">
      <c r="A27" s="64"/>
      <c r="B27" s="64"/>
      <c r="C27" s="64"/>
      <c r="D27" s="64"/>
      <c r="E27" s="64"/>
      <c r="F27" s="64"/>
      <c r="G27" s="64"/>
      <c r="H27" s="64"/>
      <c r="I27" s="64"/>
      <c r="J27" s="65"/>
      <c r="K27" s="65"/>
      <c r="L27" s="64"/>
      <c r="M27" s="64"/>
      <c r="N27" s="64"/>
      <c r="O27" s="64"/>
      <c r="P27" s="64"/>
      <c r="Q27" s="64"/>
      <c r="R27" s="64"/>
      <c r="S27" s="64"/>
      <c r="T27" s="64"/>
    </row>
    <row r="28" spans="1:20" s="32" customFormat="1" ht="60" customHeight="1">
      <c r="A28" s="64"/>
      <c r="B28" s="64"/>
      <c r="C28" s="64"/>
      <c r="D28" s="64"/>
      <c r="E28" s="64"/>
      <c r="F28" s="64"/>
      <c r="G28" s="64"/>
      <c r="H28" s="64"/>
      <c r="I28" s="64"/>
      <c r="J28" s="65"/>
      <c r="K28" s="65"/>
      <c r="L28" s="64"/>
      <c r="M28" s="64"/>
      <c r="N28" s="64"/>
      <c r="O28" s="64"/>
      <c r="P28" s="64"/>
      <c r="Q28" s="64"/>
      <c r="R28" s="64"/>
      <c r="S28" s="64"/>
      <c r="T28" s="64"/>
    </row>
    <row r="29" spans="1:20" s="32" customFormat="1" ht="60" customHeight="1">
      <c r="A29" s="64"/>
      <c r="B29" s="64"/>
      <c r="C29" s="64"/>
      <c r="D29" s="64"/>
      <c r="E29" s="64"/>
      <c r="F29" s="64"/>
      <c r="G29" s="64"/>
      <c r="H29" s="64"/>
      <c r="I29" s="64"/>
      <c r="J29" s="65"/>
      <c r="K29" s="65"/>
      <c r="L29" s="64"/>
      <c r="M29" s="64"/>
      <c r="N29" s="64"/>
      <c r="O29" s="64"/>
      <c r="P29" s="64"/>
      <c r="Q29" s="64"/>
      <c r="R29" s="64"/>
      <c r="S29" s="64"/>
      <c r="T29" s="64"/>
    </row>
    <row r="30" spans="1:20" s="32" customFormat="1" ht="60" customHeight="1">
      <c r="A30" s="64"/>
      <c r="B30" s="64"/>
      <c r="C30" s="64"/>
      <c r="D30" s="64"/>
      <c r="E30" s="64"/>
      <c r="F30" s="64"/>
      <c r="G30" s="64"/>
      <c r="H30" s="64"/>
      <c r="I30" s="64"/>
      <c r="J30" s="65"/>
      <c r="K30" s="65"/>
      <c r="L30" s="64"/>
      <c r="M30" s="64"/>
      <c r="N30" s="64"/>
      <c r="O30" s="64"/>
      <c r="P30" s="64"/>
      <c r="Q30" s="64"/>
      <c r="R30" s="64"/>
      <c r="S30" s="64"/>
      <c r="T30" s="64"/>
    </row>
    <row r="31" spans="1:20" s="32" customFormat="1" ht="60" customHeight="1">
      <c r="A31" s="64"/>
      <c r="B31" s="64"/>
      <c r="C31" s="64"/>
      <c r="D31" s="64"/>
      <c r="E31" s="64"/>
      <c r="F31" s="64"/>
      <c r="G31" s="64"/>
      <c r="H31" s="64"/>
      <c r="I31" s="64"/>
      <c r="J31" s="65"/>
      <c r="K31" s="65"/>
      <c r="L31" s="64"/>
      <c r="M31" s="64"/>
      <c r="N31" s="64"/>
      <c r="O31" s="64"/>
      <c r="P31" s="64"/>
      <c r="Q31" s="64"/>
      <c r="R31" s="64"/>
      <c r="S31" s="64"/>
      <c r="T31" s="64"/>
    </row>
    <row r="32" spans="1:20" s="32" customFormat="1" ht="60" customHeight="1">
      <c r="A32" s="64"/>
      <c r="B32" s="64"/>
      <c r="C32" s="64"/>
      <c r="D32" s="64"/>
      <c r="E32" s="64"/>
      <c r="F32" s="64"/>
      <c r="G32" s="64"/>
      <c r="H32" s="64"/>
      <c r="I32" s="64"/>
      <c r="J32" s="65"/>
      <c r="K32" s="65"/>
      <c r="L32" s="64"/>
      <c r="M32" s="64"/>
      <c r="N32" s="64"/>
      <c r="O32" s="64"/>
      <c r="P32" s="64"/>
      <c r="Q32" s="64"/>
      <c r="R32" s="64"/>
      <c r="S32" s="64"/>
      <c r="T32" s="64"/>
    </row>
    <row r="33" spans="1:20" s="32" customFormat="1" ht="60" customHeight="1">
      <c r="A33" s="64"/>
      <c r="B33" s="64"/>
      <c r="C33" s="64"/>
      <c r="D33" s="64"/>
      <c r="E33" s="64"/>
      <c r="F33" s="64"/>
      <c r="G33" s="64"/>
      <c r="H33" s="64"/>
      <c r="I33" s="64"/>
      <c r="J33" s="65"/>
      <c r="K33" s="65"/>
      <c r="L33" s="64"/>
      <c r="M33" s="64"/>
      <c r="N33" s="64"/>
      <c r="O33" s="64"/>
      <c r="P33" s="64"/>
      <c r="Q33" s="64"/>
      <c r="R33" s="64"/>
      <c r="S33" s="64"/>
      <c r="T33" s="64"/>
    </row>
    <row r="34" spans="1:20" s="32" customFormat="1" ht="60" customHeight="1">
      <c r="A34" s="64"/>
      <c r="B34" s="64"/>
      <c r="C34" s="64"/>
      <c r="D34" s="64"/>
      <c r="E34" s="64"/>
      <c r="F34" s="64"/>
      <c r="G34" s="64"/>
      <c r="H34" s="64"/>
      <c r="I34" s="64"/>
      <c r="J34" s="65"/>
      <c r="K34" s="65"/>
      <c r="L34" s="64"/>
      <c r="M34" s="64"/>
      <c r="N34" s="64"/>
      <c r="O34" s="64"/>
      <c r="P34" s="64"/>
      <c r="Q34" s="64"/>
      <c r="R34" s="64"/>
      <c r="S34" s="64"/>
      <c r="T34" s="64"/>
    </row>
    <row r="35" spans="1:20" s="32" customFormat="1" ht="60" customHeight="1">
      <c r="A35" s="64"/>
      <c r="B35" s="64"/>
      <c r="C35" s="64"/>
      <c r="D35" s="64"/>
      <c r="E35" s="64"/>
      <c r="F35" s="64"/>
      <c r="G35" s="64"/>
      <c r="H35" s="64"/>
      <c r="I35" s="64"/>
      <c r="J35" s="65"/>
      <c r="K35" s="65"/>
      <c r="L35" s="64"/>
      <c r="M35" s="64"/>
      <c r="N35" s="64"/>
      <c r="O35" s="64"/>
      <c r="P35" s="64"/>
      <c r="Q35" s="64"/>
      <c r="R35" s="64"/>
      <c r="S35" s="64"/>
      <c r="T35" s="64"/>
    </row>
    <row r="36" spans="1:20" s="32" customFormat="1" ht="60" customHeight="1">
      <c r="A36" s="64"/>
      <c r="B36" s="64"/>
      <c r="C36" s="64"/>
      <c r="D36" s="64"/>
      <c r="E36" s="64"/>
      <c r="F36" s="64"/>
      <c r="G36" s="64"/>
      <c r="H36" s="64"/>
      <c r="I36" s="64"/>
      <c r="J36" s="65"/>
      <c r="K36" s="65"/>
      <c r="L36" s="64"/>
      <c r="M36" s="64"/>
      <c r="N36" s="64"/>
      <c r="O36" s="64"/>
      <c r="P36" s="64"/>
      <c r="Q36" s="64"/>
      <c r="R36" s="64"/>
      <c r="S36" s="64"/>
      <c r="T36" s="64"/>
    </row>
    <row r="37" spans="1:20" s="32" customFormat="1" ht="60" customHeight="1">
      <c r="A37" s="64"/>
      <c r="B37" s="64"/>
      <c r="C37" s="64"/>
      <c r="D37" s="64"/>
      <c r="E37" s="64"/>
      <c r="F37" s="64"/>
      <c r="G37" s="64"/>
      <c r="H37" s="64"/>
      <c r="I37" s="64"/>
      <c r="J37" s="65"/>
      <c r="K37" s="65"/>
      <c r="L37" s="64"/>
      <c r="M37" s="64"/>
      <c r="N37" s="64"/>
      <c r="O37" s="64"/>
      <c r="P37" s="64"/>
      <c r="Q37" s="64"/>
      <c r="R37" s="64"/>
      <c r="S37" s="64"/>
      <c r="T37" s="64"/>
    </row>
    <row r="38" spans="1:20" s="32" customFormat="1" ht="60" customHeight="1">
      <c r="A38" s="64"/>
      <c r="B38" s="64"/>
      <c r="C38" s="64"/>
      <c r="D38" s="64"/>
      <c r="E38" s="64"/>
      <c r="F38" s="64"/>
      <c r="G38" s="64"/>
      <c r="H38" s="64"/>
      <c r="I38" s="64"/>
      <c r="J38" s="65"/>
      <c r="K38" s="65"/>
      <c r="L38" s="64"/>
      <c r="M38" s="64"/>
      <c r="N38" s="64"/>
      <c r="O38" s="64"/>
      <c r="P38" s="64"/>
      <c r="Q38" s="64"/>
      <c r="R38" s="64"/>
      <c r="S38" s="64"/>
      <c r="T38" s="64"/>
    </row>
    <row r="39" spans="1:20" s="32" customFormat="1" ht="60" customHeight="1">
      <c r="A39" s="64"/>
      <c r="B39" s="64"/>
      <c r="C39" s="64"/>
      <c r="D39" s="64"/>
      <c r="E39" s="64"/>
      <c r="F39" s="64"/>
      <c r="G39" s="64"/>
      <c r="H39" s="64"/>
      <c r="I39" s="64"/>
      <c r="J39" s="65"/>
      <c r="K39" s="65"/>
      <c r="L39" s="64"/>
      <c r="M39" s="64"/>
      <c r="N39" s="64"/>
      <c r="O39" s="64"/>
      <c r="P39" s="64"/>
      <c r="Q39" s="64"/>
      <c r="R39" s="64"/>
      <c r="S39" s="64"/>
      <c r="T39" s="64"/>
    </row>
    <row r="40" spans="1:20" s="32" customFormat="1" ht="60" customHeight="1">
      <c r="A40" s="64"/>
      <c r="B40" s="64"/>
      <c r="C40" s="64"/>
      <c r="D40" s="64"/>
      <c r="E40" s="64"/>
      <c r="F40" s="64"/>
      <c r="G40" s="64"/>
      <c r="H40" s="64"/>
      <c r="I40" s="64"/>
      <c r="J40" s="65"/>
      <c r="K40" s="65"/>
      <c r="L40" s="64"/>
      <c r="M40" s="64"/>
      <c r="N40" s="64"/>
      <c r="O40" s="64"/>
      <c r="P40" s="64"/>
      <c r="Q40" s="64"/>
      <c r="R40" s="64"/>
      <c r="S40" s="64"/>
      <c r="T40" s="64"/>
    </row>
    <row r="41" spans="1:20" s="32" customFormat="1" ht="60" customHeight="1">
      <c r="A41" s="64"/>
      <c r="B41" s="64"/>
      <c r="C41" s="64"/>
      <c r="D41" s="64"/>
      <c r="E41" s="64"/>
      <c r="F41" s="64"/>
      <c r="G41" s="64"/>
      <c r="H41" s="64"/>
      <c r="I41" s="64"/>
      <c r="J41" s="65"/>
      <c r="K41" s="65"/>
      <c r="L41" s="64"/>
      <c r="M41" s="64"/>
      <c r="N41" s="64"/>
      <c r="O41" s="64"/>
      <c r="P41" s="64"/>
      <c r="Q41" s="64"/>
      <c r="R41" s="64"/>
      <c r="S41" s="64"/>
      <c r="T41" s="64"/>
    </row>
    <row r="42" spans="1:20" s="32" customFormat="1" ht="60" customHeight="1">
      <c r="A42" s="64"/>
      <c r="B42" s="64"/>
      <c r="C42" s="64"/>
      <c r="D42" s="64"/>
      <c r="E42" s="64"/>
      <c r="F42" s="64"/>
      <c r="G42" s="64"/>
      <c r="H42" s="64"/>
      <c r="I42" s="64"/>
      <c r="J42" s="65"/>
      <c r="K42" s="65"/>
      <c r="L42" s="64"/>
      <c r="M42" s="64"/>
      <c r="N42" s="64"/>
      <c r="O42" s="64"/>
      <c r="P42" s="64"/>
      <c r="Q42" s="64"/>
      <c r="R42" s="64"/>
      <c r="S42" s="64"/>
      <c r="T42" s="64"/>
    </row>
    <row r="43" spans="1:20" s="32" customFormat="1" ht="60" customHeight="1">
      <c r="A43" s="64"/>
      <c r="B43" s="64"/>
      <c r="C43" s="64"/>
      <c r="D43" s="64"/>
      <c r="E43" s="64"/>
      <c r="F43" s="64"/>
      <c r="G43" s="64"/>
      <c r="H43" s="64"/>
      <c r="I43" s="64"/>
      <c r="J43" s="65"/>
      <c r="K43" s="65"/>
      <c r="L43" s="64"/>
      <c r="M43" s="64"/>
      <c r="N43" s="64"/>
      <c r="O43" s="64"/>
      <c r="P43" s="64"/>
      <c r="Q43" s="64"/>
      <c r="R43" s="64"/>
      <c r="S43" s="64"/>
      <c r="T43" s="64"/>
    </row>
    <row r="44" spans="1:24" ht="60" customHeight="1">
      <c r="A44" s="64"/>
      <c r="B44" s="64"/>
      <c r="C44" s="64"/>
      <c r="D44" s="64"/>
      <c r="E44" s="64"/>
      <c r="F44" s="64"/>
      <c r="G44" s="64"/>
      <c r="H44" s="64"/>
      <c r="I44" s="64"/>
      <c r="J44" s="65"/>
      <c r="K44" s="65"/>
      <c r="L44" s="64"/>
      <c r="M44" s="64"/>
      <c r="N44" s="64"/>
      <c r="O44" s="64"/>
      <c r="P44" s="64"/>
      <c r="Q44" s="64"/>
      <c r="R44" s="64"/>
      <c r="S44" s="64"/>
      <c r="T44" s="64"/>
      <c r="U44" s="32"/>
      <c r="V44" s="32"/>
      <c r="W44" s="32"/>
      <c r="X44" s="32"/>
    </row>
    <row r="45" spans="1:24" ht="60" customHeight="1">
      <c r="A45" s="64"/>
      <c r="B45" s="64"/>
      <c r="C45" s="64"/>
      <c r="D45" s="64"/>
      <c r="E45" s="64"/>
      <c r="F45" s="64"/>
      <c r="G45" s="64"/>
      <c r="H45" s="64"/>
      <c r="I45" s="64"/>
      <c r="J45" s="65"/>
      <c r="K45" s="65"/>
      <c r="L45" s="64"/>
      <c r="M45" s="64"/>
      <c r="N45" s="64"/>
      <c r="O45" s="64"/>
      <c r="P45" s="64"/>
      <c r="Q45" s="64"/>
      <c r="R45" s="64"/>
      <c r="S45" s="64"/>
      <c r="T45" s="64"/>
      <c r="U45" s="32"/>
      <c r="V45" s="32"/>
      <c r="W45" s="32"/>
      <c r="X45" s="32"/>
    </row>
    <row r="46" spans="1:24" ht="60" customHeight="1">
      <c r="A46" s="64"/>
      <c r="B46" s="64"/>
      <c r="C46" s="64"/>
      <c r="D46" s="64"/>
      <c r="E46" s="64"/>
      <c r="F46" s="64"/>
      <c r="G46" s="64"/>
      <c r="H46" s="64"/>
      <c r="I46" s="64"/>
      <c r="J46" s="65"/>
      <c r="K46" s="65"/>
      <c r="L46" s="64"/>
      <c r="M46" s="64"/>
      <c r="N46" s="64"/>
      <c r="O46" s="64"/>
      <c r="P46" s="64"/>
      <c r="Q46" s="64"/>
      <c r="R46" s="64"/>
      <c r="S46" s="64"/>
      <c r="T46" s="64"/>
      <c r="U46" s="32"/>
      <c r="V46" s="32"/>
      <c r="W46" s="32"/>
      <c r="X46" s="32"/>
    </row>
    <row r="47" spans="1:24" ht="60" customHeight="1">
      <c r="A47" s="64"/>
      <c r="B47" s="64"/>
      <c r="C47" s="64"/>
      <c r="D47" s="64"/>
      <c r="E47" s="64"/>
      <c r="F47" s="64"/>
      <c r="G47" s="64"/>
      <c r="H47" s="64"/>
      <c r="I47" s="64"/>
      <c r="J47" s="65"/>
      <c r="K47" s="65"/>
      <c r="L47" s="64"/>
      <c r="M47" s="64"/>
      <c r="N47" s="64"/>
      <c r="O47" s="64"/>
      <c r="P47" s="64"/>
      <c r="Q47" s="64"/>
      <c r="R47" s="64"/>
      <c r="S47" s="64"/>
      <c r="T47" s="64"/>
      <c r="U47" s="32"/>
      <c r="V47" s="32"/>
      <c r="W47" s="32"/>
      <c r="X47" s="32"/>
    </row>
    <row r="48" spans="1:24" ht="60" customHeight="1">
      <c r="A48" s="64"/>
      <c r="B48" s="64"/>
      <c r="C48" s="64"/>
      <c r="D48" s="64"/>
      <c r="E48" s="64"/>
      <c r="F48" s="64"/>
      <c r="G48" s="64"/>
      <c r="H48" s="64"/>
      <c r="I48" s="64"/>
      <c r="J48" s="65"/>
      <c r="K48" s="65"/>
      <c r="L48" s="64"/>
      <c r="M48" s="64"/>
      <c r="N48" s="64"/>
      <c r="O48" s="64"/>
      <c r="P48" s="64"/>
      <c r="Q48" s="64"/>
      <c r="R48" s="64"/>
      <c r="S48" s="64"/>
      <c r="T48" s="64"/>
      <c r="U48" s="32"/>
      <c r="V48" s="32"/>
      <c r="W48" s="32"/>
      <c r="X48" s="32"/>
    </row>
    <row r="49" spans="1:24" ht="60" customHeight="1">
      <c r="A49" s="64"/>
      <c r="B49" s="64"/>
      <c r="C49" s="64"/>
      <c r="D49" s="64"/>
      <c r="E49" s="64"/>
      <c r="F49" s="64"/>
      <c r="G49" s="64"/>
      <c r="H49" s="64"/>
      <c r="I49" s="64"/>
      <c r="J49" s="65"/>
      <c r="K49" s="65"/>
      <c r="L49" s="64"/>
      <c r="M49" s="64"/>
      <c r="N49" s="64"/>
      <c r="O49" s="64"/>
      <c r="P49" s="64"/>
      <c r="Q49" s="64"/>
      <c r="R49" s="64"/>
      <c r="S49" s="64"/>
      <c r="T49" s="64"/>
      <c r="U49" s="32"/>
      <c r="V49" s="32"/>
      <c r="W49" s="32"/>
      <c r="X49" s="32"/>
    </row>
    <row r="50" spans="1:24" ht="60" customHeight="1">
      <c r="A50" s="64"/>
      <c r="B50" s="64"/>
      <c r="C50" s="64"/>
      <c r="D50" s="64"/>
      <c r="E50" s="64"/>
      <c r="F50" s="64"/>
      <c r="G50" s="64"/>
      <c r="H50" s="64"/>
      <c r="I50" s="64"/>
      <c r="J50" s="65"/>
      <c r="K50" s="65"/>
      <c r="L50" s="64"/>
      <c r="M50" s="64"/>
      <c r="N50" s="64"/>
      <c r="O50" s="64"/>
      <c r="P50" s="64"/>
      <c r="Q50" s="64"/>
      <c r="R50" s="64"/>
      <c r="S50" s="64"/>
      <c r="T50" s="64"/>
      <c r="U50" s="32"/>
      <c r="V50" s="32"/>
      <c r="W50" s="32"/>
      <c r="X50" s="32"/>
    </row>
    <row r="51" spans="1:24" ht="60" customHeight="1">
      <c r="A51" s="64"/>
      <c r="B51" s="64"/>
      <c r="C51" s="64"/>
      <c r="D51" s="64"/>
      <c r="E51" s="64"/>
      <c r="F51" s="64"/>
      <c r="G51" s="64"/>
      <c r="H51" s="64"/>
      <c r="I51" s="64"/>
      <c r="J51" s="65"/>
      <c r="K51" s="65"/>
      <c r="L51" s="64"/>
      <c r="M51" s="64"/>
      <c r="N51" s="64"/>
      <c r="O51" s="64"/>
      <c r="P51" s="64"/>
      <c r="Q51" s="64"/>
      <c r="R51" s="64"/>
      <c r="S51" s="64"/>
      <c r="T51" s="64"/>
      <c r="U51" s="32"/>
      <c r="V51" s="32"/>
      <c r="W51" s="32"/>
      <c r="X51" s="32"/>
    </row>
    <row r="52" spans="1:24" ht="60" customHeight="1">
      <c r="A52" s="64"/>
      <c r="B52" s="64"/>
      <c r="C52" s="64"/>
      <c r="D52" s="64"/>
      <c r="E52" s="64"/>
      <c r="F52" s="64"/>
      <c r="G52" s="64"/>
      <c r="H52" s="64"/>
      <c r="I52" s="64"/>
      <c r="J52" s="65"/>
      <c r="K52" s="65"/>
      <c r="L52" s="64"/>
      <c r="M52" s="64"/>
      <c r="N52" s="64"/>
      <c r="O52" s="64"/>
      <c r="P52" s="64"/>
      <c r="Q52" s="64"/>
      <c r="R52" s="64"/>
      <c r="S52" s="64"/>
      <c r="T52" s="64"/>
      <c r="U52" s="32"/>
      <c r="V52" s="32"/>
      <c r="W52" s="32"/>
      <c r="X52" s="32"/>
    </row>
    <row r="53" spans="1:24" ht="60" customHeight="1">
      <c r="A53" s="64"/>
      <c r="B53" s="64"/>
      <c r="C53" s="64"/>
      <c r="D53" s="64"/>
      <c r="E53" s="64"/>
      <c r="F53" s="64"/>
      <c r="G53" s="64"/>
      <c r="H53" s="64"/>
      <c r="I53" s="64"/>
      <c r="J53" s="65"/>
      <c r="K53" s="65"/>
      <c r="L53" s="64"/>
      <c r="M53" s="64"/>
      <c r="N53" s="64"/>
      <c r="O53" s="64"/>
      <c r="P53" s="64"/>
      <c r="Q53" s="64"/>
      <c r="R53" s="64"/>
      <c r="S53" s="64"/>
      <c r="T53" s="64"/>
      <c r="U53" s="32"/>
      <c r="V53" s="32"/>
      <c r="W53" s="32"/>
      <c r="X53" s="32"/>
    </row>
    <row r="54" spans="1:24" ht="60" customHeight="1">
      <c r="A54" s="64"/>
      <c r="B54" s="64"/>
      <c r="C54" s="64"/>
      <c r="D54" s="64"/>
      <c r="E54" s="64"/>
      <c r="F54" s="64"/>
      <c r="G54" s="64"/>
      <c r="H54" s="64"/>
      <c r="I54" s="64"/>
      <c r="J54" s="65"/>
      <c r="K54" s="65"/>
      <c r="L54" s="64"/>
      <c r="M54" s="64"/>
      <c r="N54" s="64"/>
      <c r="O54" s="64"/>
      <c r="P54" s="64"/>
      <c r="Q54" s="64"/>
      <c r="R54" s="64"/>
      <c r="S54" s="64"/>
      <c r="T54" s="64"/>
      <c r="U54" s="32"/>
      <c r="V54" s="32"/>
      <c r="W54" s="32"/>
      <c r="X54" s="32"/>
    </row>
    <row r="55" spans="1:24" ht="60" customHeight="1">
      <c r="A55" s="64"/>
      <c r="B55" s="64"/>
      <c r="C55" s="64"/>
      <c r="D55" s="64"/>
      <c r="E55" s="64"/>
      <c r="F55" s="64"/>
      <c r="G55" s="64"/>
      <c r="H55" s="64"/>
      <c r="I55" s="64"/>
      <c r="J55" s="65"/>
      <c r="K55" s="65"/>
      <c r="L55" s="64"/>
      <c r="M55" s="64"/>
      <c r="N55" s="64"/>
      <c r="O55" s="64"/>
      <c r="P55" s="64"/>
      <c r="Q55" s="64"/>
      <c r="R55" s="64"/>
      <c r="S55" s="64"/>
      <c r="T55" s="64"/>
      <c r="U55" s="32"/>
      <c r="V55" s="32"/>
      <c r="W55" s="32"/>
      <c r="X55" s="32"/>
    </row>
    <row r="56" spans="1:24" ht="60" customHeight="1">
      <c r="A56" s="64"/>
      <c r="B56" s="64"/>
      <c r="C56" s="64"/>
      <c r="D56" s="64"/>
      <c r="E56" s="64"/>
      <c r="F56" s="64"/>
      <c r="G56" s="64"/>
      <c r="H56" s="64"/>
      <c r="I56" s="64"/>
      <c r="J56" s="65"/>
      <c r="K56" s="65"/>
      <c r="L56" s="64"/>
      <c r="M56" s="64"/>
      <c r="N56" s="64"/>
      <c r="O56" s="64"/>
      <c r="P56" s="64"/>
      <c r="Q56" s="64"/>
      <c r="R56" s="64"/>
      <c r="S56" s="64"/>
      <c r="T56" s="64"/>
      <c r="U56" s="32"/>
      <c r="V56" s="32"/>
      <c r="W56" s="32"/>
      <c r="X56" s="32"/>
    </row>
    <row r="57" spans="1:24" ht="60" customHeight="1">
      <c r="A57" s="64"/>
      <c r="B57" s="64"/>
      <c r="C57" s="64"/>
      <c r="D57" s="64"/>
      <c r="E57" s="64"/>
      <c r="F57" s="64"/>
      <c r="G57" s="64"/>
      <c r="H57" s="64"/>
      <c r="I57" s="64"/>
      <c r="J57" s="65"/>
      <c r="K57" s="65"/>
      <c r="L57" s="64"/>
      <c r="M57" s="64"/>
      <c r="N57" s="64"/>
      <c r="O57" s="64"/>
      <c r="P57" s="64"/>
      <c r="Q57" s="64"/>
      <c r="R57" s="64"/>
      <c r="S57" s="64"/>
      <c r="T57" s="64"/>
      <c r="U57" s="32"/>
      <c r="V57" s="32"/>
      <c r="W57" s="32"/>
      <c r="X57" s="32"/>
    </row>
    <row r="58" spans="1:24" ht="60" customHeight="1">
      <c r="A58" s="64"/>
      <c r="B58" s="64"/>
      <c r="C58" s="64"/>
      <c r="D58" s="64"/>
      <c r="E58" s="64"/>
      <c r="F58" s="64"/>
      <c r="G58" s="64"/>
      <c r="H58" s="64"/>
      <c r="I58" s="64"/>
      <c r="J58" s="65"/>
      <c r="K58" s="65"/>
      <c r="L58" s="64"/>
      <c r="M58" s="64"/>
      <c r="N58" s="64"/>
      <c r="O58" s="64"/>
      <c r="P58" s="64"/>
      <c r="Q58" s="64"/>
      <c r="R58" s="64"/>
      <c r="S58" s="64"/>
      <c r="T58" s="64"/>
      <c r="U58" s="32"/>
      <c r="V58" s="32"/>
      <c r="W58" s="32"/>
      <c r="X58" s="32"/>
    </row>
    <row r="59" spans="1:24" ht="60" customHeight="1">
      <c r="A59" s="64"/>
      <c r="B59" s="64"/>
      <c r="C59" s="64"/>
      <c r="D59" s="64"/>
      <c r="E59" s="64"/>
      <c r="F59" s="64"/>
      <c r="G59" s="64"/>
      <c r="H59" s="64"/>
      <c r="I59" s="64"/>
      <c r="J59" s="65"/>
      <c r="K59" s="65"/>
      <c r="L59" s="64"/>
      <c r="M59" s="64"/>
      <c r="N59" s="64"/>
      <c r="O59" s="64"/>
      <c r="P59" s="64"/>
      <c r="Q59" s="64"/>
      <c r="R59" s="64"/>
      <c r="S59" s="64"/>
      <c r="T59" s="64"/>
      <c r="U59" s="32"/>
      <c r="V59" s="32"/>
      <c r="W59" s="32"/>
      <c r="X59" s="32"/>
    </row>
    <row r="60" spans="1:24" ht="60" customHeight="1">
      <c r="A60" s="64"/>
      <c r="B60" s="64"/>
      <c r="C60" s="64"/>
      <c r="D60" s="64"/>
      <c r="E60" s="64"/>
      <c r="F60" s="64"/>
      <c r="G60" s="64"/>
      <c r="H60" s="64"/>
      <c r="I60" s="64"/>
      <c r="J60" s="65"/>
      <c r="K60" s="65"/>
      <c r="L60" s="64"/>
      <c r="M60" s="64"/>
      <c r="N60" s="64"/>
      <c r="O60" s="64"/>
      <c r="P60" s="64"/>
      <c r="Q60" s="64"/>
      <c r="R60" s="64"/>
      <c r="S60" s="64"/>
      <c r="T60" s="64"/>
      <c r="U60" s="32"/>
      <c r="V60" s="32"/>
      <c r="W60" s="32"/>
      <c r="X60" s="32"/>
    </row>
    <row r="61" spans="1:24" ht="60" customHeight="1">
      <c r="A61" s="64"/>
      <c r="B61" s="64"/>
      <c r="C61" s="64"/>
      <c r="D61" s="64"/>
      <c r="E61" s="64"/>
      <c r="F61" s="64"/>
      <c r="G61" s="64"/>
      <c r="H61" s="64"/>
      <c r="I61" s="64"/>
      <c r="J61" s="65"/>
      <c r="K61" s="65"/>
      <c r="L61" s="64"/>
      <c r="M61" s="64"/>
      <c r="N61" s="64"/>
      <c r="O61" s="64"/>
      <c r="P61" s="64"/>
      <c r="Q61" s="64"/>
      <c r="R61" s="64"/>
      <c r="S61" s="64"/>
      <c r="T61" s="64"/>
      <c r="U61" s="32"/>
      <c r="V61" s="32"/>
      <c r="W61" s="32"/>
      <c r="X61" s="32"/>
    </row>
    <row r="62" spans="1:24" ht="60" customHeight="1">
      <c r="A62" s="64"/>
      <c r="B62" s="64"/>
      <c r="C62" s="64"/>
      <c r="D62" s="64"/>
      <c r="E62" s="64"/>
      <c r="F62" s="64"/>
      <c r="G62" s="64"/>
      <c r="H62" s="64"/>
      <c r="I62" s="64"/>
      <c r="J62" s="65"/>
      <c r="K62" s="65"/>
      <c r="L62" s="64"/>
      <c r="M62" s="64"/>
      <c r="N62" s="64"/>
      <c r="O62" s="64"/>
      <c r="P62" s="64"/>
      <c r="Q62" s="64"/>
      <c r="R62" s="64"/>
      <c r="S62" s="64"/>
      <c r="T62" s="64"/>
      <c r="U62" s="32"/>
      <c r="V62" s="32"/>
      <c r="W62" s="32"/>
      <c r="X62" s="32"/>
    </row>
    <row r="63" spans="1:24" ht="60" customHeight="1">
      <c r="A63" s="64"/>
      <c r="B63" s="64"/>
      <c r="C63" s="64"/>
      <c r="D63" s="64"/>
      <c r="E63" s="64"/>
      <c r="F63" s="64"/>
      <c r="G63" s="64"/>
      <c r="H63" s="64"/>
      <c r="I63" s="64"/>
      <c r="J63" s="65"/>
      <c r="K63" s="65"/>
      <c r="L63" s="64"/>
      <c r="M63" s="64"/>
      <c r="N63" s="64"/>
      <c r="O63" s="64"/>
      <c r="P63" s="64"/>
      <c r="Q63" s="64"/>
      <c r="R63" s="64"/>
      <c r="S63" s="64"/>
      <c r="T63" s="64"/>
      <c r="U63" s="32"/>
      <c r="V63" s="32"/>
      <c r="W63" s="32"/>
      <c r="X63" s="32"/>
    </row>
    <row r="64" spans="1:24" ht="60" customHeight="1">
      <c r="A64" s="64"/>
      <c r="B64" s="64"/>
      <c r="C64" s="64"/>
      <c r="D64" s="64"/>
      <c r="E64" s="64"/>
      <c r="F64" s="64"/>
      <c r="G64" s="64"/>
      <c r="H64" s="64"/>
      <c r="I64" s="64"/>
      <c r="J64" s="65"/>
      <c r="K64" s="65"/>
      <c r="L64" s="64"/>
      <c r="M64" s="64"/>
      <c r="N64" s="64"/>
      <c r="O64" s="64"/>
      <c r="P64" s="64"/>
      <c r="Q64" s="64"/>
      <c r="R64" s="64"/>
      <c r="S64" s="64"/>
      <c r="T64" s="64"/>
      <c r="U64" s="32"/>
      <c r="V64" s="32"/>
      <c r="W64" s="32"/>
      <c r="X64" s="32"/>
    </row>
    <row r="65" spans="1:24" ht="60" customHeight="1">
      <c r="A65" s="64"/>
      <c r="B65" s="64"/>
      <c r="C65" s="64"/>
      <c r="D65" s="64"/>
      <c r="E65" s="64"/>
      <c r="F65" s="64"/>
      <c r="G65" s="64"/>
      <c r="H65" s="64"/>
      <c r="I65" s="64"/>
      <c r="J65" s="65"/>
      <c r="K65" s="65"/>
      <c r="L65" s="64"/>
      <c r="M65" s="64"/>
      <c r="N65" s="64"/>
      <c r="O65" s="64"/>
      <c r="P65" s="64"/>
      <c r="Q65" s="64"/>
      <c r="R65" s="64"/>
      <c r="S65" s="64"/>
      <c r="T65" s="64"/>
      <c r="U65" s="32"/>
      <c r="V65" s="32"/>
      <c r="W65" s="32"/>
      <c r="X65" s="32"/>
    </row>
    <row r="66" spans="1:24" ht="60" customHeight="1">
      <c r="A66" s="64"/>
      <c r="B66" s="64"/>
      <c r="C66" s="64"/>
      <c r="D66" s="64"/>
      <c r="E66" s="64"/>
      <c r="F66" s="64"/>
      <c r="G66" s="64"/>
      <c r="H66" s="64"/>
      <c r="I66" s="64"/>
      <c r="J66" s="65"/>
      <c r="K66" s="65"/>
      <c r="L66" s="64"/>
      <c r="M66" s="64"/>
      <c r="N66" s="64"/>
      <c r="O66" s="64"/>
      <c r="P66" s="64"/>
      <c r="Q66" s="64"/>
      <c r="R66" s="64"/>
      <c r="S66" s="64"/>
      <c r="T66" s="64"/>
      <c r="U66" s="32"/>
      <c r="V66" s="32"/>
      <c r="W66" s="32"/>
      <c r="X66" s="32"/>
    </row>
    <row r="67" spans="1:24" ht="60" customHeight="1">
      <c r="A67" s="64"/>
      <c r="B67" s="64"/>
      <c r="C67" s="64"/>
      <c r="D67" s="64"/>
      <c r="E67" s="64"/>
      <c r="F67" s="64"/>
      <c r="G67" s="64"/>
      <c r="H67" s="64"/>
      <c r="I67" s="64"/>
      <c r="J67" s="65"/>
      <c r="K67" s="65"/>
      <c r="L67" s="64"/>
      <c r="M67" s="64"/>
      <c r="N67" s="64"/>
      <c r="O67" s="64"/>
      <c r="P67" s="64"/>
      <c r="Q67" s="64"/>
      <c r="R67" s="64"/>
      <c r="S67" s="64"/>
      <c r="T67" s="64"/>
      <c r="U67" s="32"/>
      <c r="V67" s="32"/>
      <c r="W67" s="32"/>
      <c r="X67" s="32"/>
    </row>
    <row r="68" spans="1:24" ht="60" customHeight="1">
      <c r="A68" s="64"/>
      <c r="B68" s="64"/>
      <c r="C68" s="64"/>
      <c r="D68" s="64"/>
      <c r="E68" s="64"/>
      <c r="F68" s="64"/>
      <c r="G68" s="64"/>
      <c r="H68" s="64"/>
      <c r="I68" s="64"/>
      <c r="J68" s="65"/>
      <c r="K68" s="65"/>
      <c r="L68" s="64"/>
      <c r="M68" s="64"/>
      <c r="N68" s="64"/>
      <c r="O68" s="64"/>
      <c r="P68" s="64"/>
      <c r="Q68" s="64"/>
      <c r="R68" s="64"/>
      <c r="S68" s="64"/>
      <c r="T68" s="64"/>
      <c r="U68" s="32"/>
      <c r="V68" s="32"/>
      <c r="W68" s="32"/>
      <c r="X68" s="32"/>
    </row>
    <row r="69" spans="1:22" ht="60" customHeight="1">
      <c r="A69" s="64"/>
      <c r="B69" s="64"/>
      <c r="C69" s="64"/>
      <c r="D69" s="64"/>
      <c r="E69" s="64"/>
      <c r="F69" s="64"/>
      <c r="G69" s="64"/>
      <c r="H69" s="64"/>
      <c r="I69" s="64"/>
      <c r="J69" s="65"/>
      <c r="K69" s="65"/>
      <c r="L69" s="64"/>
      <c r="M69" s="64"/>
      <c r="N69" s="64"/>
      <c r="O69" s="64"/>
      <c r="P69" s="64"/>
      <c r="Q69" s="64"/>
      <c r="R69" s="64"/>
      <c r="S69" s="64"/>
      <c r="T69" s="64"/>
      <c r="U69" s="32"/>
      <c r="V69" s="32"/>
    </row>
    <row r="70" spans="1:22" ht="60" customHeight="1">
      <c r="A70" s="64"/>
      <c r="B70" s="64"/>
      <c r="C70" s="64"/>
      <c r="D70" s="64"/>
      <c r="E70" s="64"/>
      <c r="F70" s="64"/>
      <c r="G70" s="64"/>
      <c r="H70" s="64"/>
      <c r="I70" s="64"/>
      <c r="J70" s="65"/>
      <c r="K70" s="65"/>
      <c r="L70" s="64"/>
      <c r="M70" s="64"/>
      <c r="N70" s="64"/>
      <c r="O70" s="64"/>
      <c r="P70" s="64"/>
      <c r="Q70" s="64"/>
      <c r="R70" s="64"/>
      <c r="S70" s="64"/>
      <c r="T70" s="64"/>
      <c r="U70" s="32"/>
      <c r="V70" s="32"/>
    </row>
    <row r="71" spans="1:22" ht="60" customHeight="1">
      <c r="A71" s="64"/>
      <c r="B71" s="64"/>
      <c r="C71" s="64"/>
      <c r="D71" s="64"/>
      <c r="E71" s="64"/>
      <c r="F71" s="64"/>
      <c r="G71" s="64"/>
      <c r="H71" s="64"/>
      <c r="I71" s="64"/>
      <c r="J71" s="65"/>
      <c r="K71" s="65"/>
      <c r="L71" s="64"/>
      <c r="M71" s="64"/>
      <c r="N71" s="64"/>
      <c r="O71" s="64"/>
      <c r="P71" s="64"/>
      <c r="Q71" s="64"/>
      <c r="R71" s="64"/>
      <c r="S71" s="64"/>
      <c r="T71" s="64"/>
      <c r="U71" s="32"/>
      <c r="V71" s="32"/>
    </row>
    <row r="72" spans="1:22" ht="60" customHeight="1">
      <c r="A72" s="64"/>
      <c r="B72" s="64"/>
      <c r="C72" s="64"/>
      <c r="D72" s="64"/>
      <c r="E72" s="64"/>
      <c r="F72" s="64"/>
      <c r="G72" s="64"/>
      <c r="H72" s="64"/>
      <c r="I72" s="64"/>
      <c r="J72" s="65"/>
      <c r="K72" s="65"/>
      <c r="L72" s="64"/>
      <c r="M72" s="64"/>
      <c r="N72" s="64"/>
      <c r="O72" s="64"/>
      <c r="P72" s="64"/>
      <c r="Q72" s="64"/>
      <c r="R72" s="64"/>
      <c r="S72" s="64"/>
      <c r="T72" s="64"/>
      <c r="U72" s="32"/>
      <c r="V72" s="32"/>
    </row>
    <row r="73" spans="1:22" ht="60" customHeight="1">
      <c r="A73" s="64"/>
      <c r="B73" s="64"/>
      <c r="C73" s="64"/>
      <c r="D73" s="64"/>
      <c r="E73" s="64"/>
      <c r="F73" s="64"/>
      <c r="G73" s="64"/>
      <c r="H73" s="64"/>
      <c r="I73" s="64"/>
      <c r="J73" s="65"/>
      <c r="K73" s="65"/>
      <c r="L73" s="64"/>
      <c r="M73" s="64"/>
      <c r="N73" s="64"/>
      <c r="O73" s="64"/>
      <c r="P73" s="64"/>
      <c r="Q73" s="64"/>
      <c r="R73" s="64"/>
      <c r="S73" s="64"/>
      <c r="T73" s="64"/>
      <c r="U73" s="32"/>
      <c r="V73" s="32"/>
    </row>
    <row r="74" spans="1:22" ht="60" customHeight="1">
      <c r="A74" s="64"/>
      <c r="B74" s="64"/>
      <c r="C74" s="64"/>
      <c r="D74" s="64"/>
      <c r="E74" s="64"/>
      <c r="F74" s="64"/>
      <c r="G74" s="64"/>
      <c r="H74" s="64"/>
      <c r="I74" s="64"/>
      <c r="J74" s="65"/>
      <c r="K74" s="65"/>
      <c r="L74" s="64"/>
      <c r="M74" s="64"/>
      <c r="N74" s="64"/>
      <c r="O74" s="64"/>
      <c r="P74" s="64"/>
      <c r="Q74" s="64"/>
      <c r="R74" s="64"/>
      <c r="S74" s="64"/>
      <c r="T74" s="64"/>
      <c r="U74" s="32"/>
      <c r="V74" s="32"/>
    </row>
    <row r="75" spans="1:22" ht="60" customHeight="1">
      <c r="A75" s="64"/>
      <c r="B75" s="64"/>
      <c r="C75" s="64"/>
      <c r="D75" s="64"/>
      <c r="E75" s="64"/>
      <c r="F75" s="64"/>
      <c r="G75" s="64"/>
      <c r="H75" s="64"/>
      <c r="I75" s="64"/>
      <c r="J75" s="65"/>
      <c r="K75" s="65"/>
      <c r="L75" s="64"/>
      <c r="M75" s="64"/>
      <c r="N75" s="64"/>
      <c r="O75" s="64"/>
      <c r="P75" s="64"/>
      <c r="Q75" s="64"/>
      <c r="R75" s="64"/>
      <c r="S75" s="64"/>
      <c r="T75" s="64"/>
      <c r="U75" s="32"/>
      <c r="V75" s="32"/>
    </row>
    <row r="76" spans="1:22" ht="60" customHeight="1">
      <c r="A76" s="64"/>
      <c r="B76" s="64"/>
      <c r="C76" s="64"/>
      <c r="D76" s="64"/>
      <c r="E76" s="64"/>
      <c r="F76" s="64"/>
      <c r="G76" s="64"/>
      <c r="H76" s="64"/>
      <c r="I76" s="64"/>
      <c r="J76" s="65"/>
      <c r="K76" s="65"/>
      <c r="L76" s="64"/>
      <c r="M76" s="64"/>
      <c r="N76" s="64"/>
      <c r="O76" s="64"/>
      <c r="P76" s="64"/>
      <c r="Q76" s="64"/>
      <c r="R76" s="64"/>
      <c r="S76" s="64"/>
      <c r="T76" s="64"/>
      <c r="U76" s="32"/>
      <c r="V76" s="32"/>
    </row>
    <row r="77" spans="1:22" ht="60" customHeight="1">
      <c r="A77" s="64"/>
      <c r="B77" s="64"/>
      <c r="C77" s="64"/>
      <c r="D77" s="64"/>
      <c r="E77" s="64"/>
      <c r="F77" s="64"/>
      <c r="G77" s="64"/>
      <c r="H77" s="64"/>
      <c r="I77" s="64"/>
      <c r="J77" s="65"/>
      <c r="K77" s="65"/>
      <c r="L77" s="64"/>
      <c r="M77" s="64"/>
      <c r="N77" s="64"/>
      <c r="O77" s="64"/>
      <c r="P77" s="64"/>
      <c r="Q77" s="64"/>
      <c r="R77" s="64"/>
      <c r="S77" s="64"/>
      <c r="T77" s="64"/>
      <c r="U77" s="32"/>
      <c r="V77" s="32"/>
    </row>
    <row r="78" spans="1:22" ht="60" customHeight="1">
      <c r="A78" s="64"/>
      <c r="B78" s="64"/>
      <c r="C78" s="64"/>
      <c r="D78" s="64"/>
      <c r="E78" s="64"/>
      <c r="F78" s="64"/>
      <c r="G78" s="64"/>
      <c r="H78" s="64"/>
      <c r="I78" s="64"/>
      <c r="J78" s="65"/>
      <c r="K78" s="65"/>
      <c r="L78" s="64"/>
      <c r="M78" s="64"/>
      <c r="N78" s="64"/>
      <c r="O78" s="64"/>
      <c r="P78" s="64"/>
      <c r="Q78" s="64"/>
      <c r="R78" s="64"/>
      <c r="S78" s="64"/>
      <c r="T78" s="64"/>
      <c r="U78" s="32"/>
      <c r="V78" s="32"/>
    </row>
    <row r="79" spans="1:22" ht="60" customHeight="1">
      <c r="A79" s="64"/>
      <c r="B79" s="64"/>
      <c r="C79" s="64"/>
      <c r="D79" s="64"/>
      <c r="E79" s="64"/>
      <c r="F79" s="64"/>
      <c r="G79" s="64"/>
      <c r="H79" s="64"/>
      <c r="I79" s="64"/>
      <c r="J79" s="65"/>
      <c r="K79" s="65"/>
      <c r="L79" s="64"/>
      <c r="M79" s="64"/>
      <c r="N79" s="64"/>
      <c r="O79" s="64"/>
      <c r="P79" s="64"/>
      <c r="Q79" s="64"/>
      <c r="R79" s="64"/>
      <c r="S79" s="64"/>
      <c r="T79" s="64"/>
      <c r="U79" s="32"/>
      <c r="V79" s="32"/>
    </row>
    <row r="80" spans="1:22" ht="60" customHeight="1">
      <c r="A80" s="64"/>
      <c r="B80" s="64"/>
      <c r="C80" s="64"/>
      <c r="D80" s="64"/>
      <c r="E80" s="64"/>
      <c r="F80" s="64"/>
      <c r="G80" s="64"/>
      <c r="H80" s="64"/>
      <c r="I80" s="64"/>
      <c r="J80" s="65"/>
      <c r="K80" s="65"/>
      <c r="L80" s="64"/>
      <c r="M80" s="64"/>
      <c r="N80" s="64"/>
      <c r="O80" s="64"/>
      <c r="P80" s="64"/>
      <c r="Q80" s="64"/>
      <c r="R80" s="64"/>
      <c r="S80" s="64"/>
      <c r="T80" s="64"/>
      <c r="U80" s="32"/>
      <c r="V80" s="32"/>
    </row>
    <row r="81" spans="1:22" ht="60" customHeight="1">
      <c r="A81" s="64"/>
      <c r="B81" s="64"/>
      <c r="C81" s="64"/>
      <c r="D81" s="64"/>
      <c r="E81" s="64"/>
      <c r="F81" s="64"/>
      <c r="G81" s="64"/>
      <c r="H81" s="64"/>
      <c r="I81" s="64"/>
      <c r="J81" s="65"/>
      <c r="K81" s="65"/>
      <c r="L81" s="64"/>
      <c r="M81" s="64"/>
      <c r="N81" s="64"/>
      <c r="O81" s="64"/>
      <c r="P81" s="64"/>
      <c r="Q81" s="64"/>
      <c r="R81" s="64"/>
      <c r="S81" s="64"/>
      <c r="T81" s="64"/>
      <c r="U81" s="32"/>
      <c r="V81" s="32"/>
    </row>
  </sheetData>
  <sheetProtection formatCells="0" formatRows="0" insertColumns="0" insertRows="0"/>
  <mergeCells count="42">
    <mergeCell ref="X7:X9"/>
    <mergeCell ref="U7:U9"/>
    <mergeCell ref="V7:V9"/>
    <mergeCell ref="W7:W9"/>
    <mergeCell ref="A7:A9"/>
    <mergeCell ref="B7:B9"/>
    <mergeCell ref="H7:H9"/>
    <mergeCell ref="F7:F9"/>
    <mergeCell ref="C7:C9"/>
    <mergeCell ref="D7:D9"/>
    <mergeCell ref="A1:X1"/>
    <mergeCell ref="A2:X2"/>
    <mergeCell ref="M3:X3"/>
    <mergeCell ref="M4:X4"/>
    <mergeCell ref="M5:X6"/>
    <mergeCell ref="C4:D4"/>
    <mergeCell ref="C5:D5"/>
    <mergeCell ref="H4:L4"/>
    <mergeCell ref="E4:G4"/>
    <mergeCell ref="E5:G5"/>
    <mergeCell ref="H5:L5"/>
    <mergeCell ref="C6:D6"/>
    <mergeCell ref="A3:L3"/>
    <mergeCell ref="A4:B4"/>
    <mergeCell ref="E6:G6"/>
    <mergeCell ref="H6:L6"/>
    <mergeCell ref="A5:B5"/>
    <mergeCell ref="A6:B6"/>
    <mergeCell ref="T7:T9"/>
    <mergeCell ref="P7:P9"/>
    <mergeCell ref="G7:G9"/>
    <mergeCell ref="R7:R9"/>
    <mergeCell ref="E7:E9"/>
    <mergeCell ref="O7:O9"/>
    <mergeCell ref="I7:I9"/>
    <mergeCell ref="S7:S9"/>
    <mergeCell ref="L7:L9"/>
    <mergeCell ref="M7:M9"/>
    <mergeCell ref="N7:N9"/>
    <mergeCell ref="J7:J9"/>
    <mergeCell ref="K7:K9"/>
    <mergeCell ref="Q7:Q9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52A9-6430-465F-B82B-1DD171FD3FC1}">
  <sheetPr codeName="JobSheet5">
    <pageSetUpPr fitToPage="1"/>
  </sheetPr>
  <dimension ref="A1:X72"/>
  <sheetViews>
    <sheetView showZeros="0" view="pageBreakPreview" zoomScale="40" zoomScaleNormal="25" zoomScaleSheetLayoutView="40" zoomScalePageLayoutView="25" workbookViewId="0" topLeftCell="A1">
      <selection pane="topLeft" activeCell="C10" sqref="C10"/>
    </sheetView>
  </sheetViews>
  <sheetFormatPr defaultColWidth="9.44140625" defaultRowHeight="60" customHeight="1"/>
  <cols>
    <col min="1" max="1" width="10.4285714285714" style="46" customWidth="1"/>
    <col min="2" max="2" width="30.5714285714286" style="46" customWidth="1"/>
    <col min="3" max="3" width="44.4285714285714" style="46" customWidth="1"/>
    <col min="4" max="4" width="28.5714285714286" style="46" customWidth="1"/>
    <col min="5" max="5" width="17.5714285714286" style="46" bestFit="1" customWidth="1"/>
    <col min="6" max="6" width="19.4285714285714" style="46" customWidth="1"/>
    <col min="7" max="7" width="35.5714285714286" style="46" customWidth="1"/>
    <col min="8" max="8" width="27" style="46" customWidth="1"/>
    <col min="9" max="9" width="29.5714285714286" style="46" customWidth="1"/>
    <col min="10" max="10" width="22" style="47" customWidth="1"/>
    <col min="11" max="11" width="21.5714285714286" style="47" customWidth="1"/>
    <col min="12" max="12" width="32.4285714285714" style="46" customWidth="1"/>
    <col min="13" max="13" width="33.5714285714286" style="46" customWidth="1"/>
    <col min="14" max="14" width="31.5714285714286" style="46" customWidth="1"/>
    <col min="15" max="15" width="25.4285714285714" style="46" customWidth="1"/>
    <col min="16" max="17" width="32.5714285714286" style="46" customWidth="1"/>
    <col min="18" max="18" width="32" style="46" customWidth="1"/>
    <col min="19" max="19" width="17.4285714285714" style="46" customWidth="1"/>
    <col min="20" max="20" width="24.4285714285714" style="46" customWidth="1"/>
    <col min="21" max="21" width="22.5714285714286" customWidth="1"/>
    <col min="22" max="22" width="26" customWidth="1"/>
    <col min="23" max="23" width="29.4285714285714" customWidth="1"/>
    <col min="24" max="24" width="38.4285714285714" customWidth="1"/>
  </cols>
  <sheetData>
    <row r="1" spans="1:24" s="17" customFormat="1" ht="149.25" customHeight="1">
      <c r="A1" s="345" t="s">
        <v>7488</v>
      </c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7"/>
    </row>
    <row r="2" spans="1:24" s="17" customFormat="1" ht="71.85" customHeight="1">
      <c r="A2" s="348" t="str">
        <f>IF('Job Sheet'!A6="Brax Retail","Brax Window Treatments","Davidson's Blinds &amp; Shutters")</f>
        <v>Davidson's Blinds &amp; Shutters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49"/>
      <c r="X2" s="350"/>
    </row>
    <row r="3" spans="1:24" s="17" customFormat="1" ht="80.7" customHeight="1">
      <c r="A3" s="351" t="str">
        <f>IF(Data!BA11="","",IF('Tube Cutting'!A6="","","IF Required Please Deliver Wavefold Tapes To "))</f>
        <v>IF Required Please Deliver Wavefold Tapes To 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48" t="str">
        <f>IF(Data!BA11="","",VLOOKUP("CURTMAKING",Data!CI:CJ,2,FALSE))</f>
        <v>Jenny's Curtains - 9 Whitehills Rd, Creswick, Vic, 3363</v>
      </c>
      <c r="N3" s="349"/>
      <c r="O3" s="349"/>
      <c r="P3" s="349"/>
      <c r="Q3" s="349"/>
      <c r="R3" s="349"/>
      <c r="S3" s="349"/>
      <c r="T3" s="349"/>
      <c r="U3" s="349"/>
      <c r="V3" s="349"/>
      <c r="W3" s="349"/>
      <c r="X3" s="350"/>
    </row>
    <row r="4" spans="1:24" s="31" customFormat="1" ht="50.1" customHeight="1">
      <c r="A4" s="239" t="s">
        <v>7</v>
      </c>
      <c r="B4" s="239"/>
      <c r="C4" s="237"/>
      <c r="D4" s="237"/>
      <c r="E4" s="237" t="s">
        <v>94</v>
      </c>
      <c r="F4" s="237"/>
      <c r="G4" s="237"/>
      <c r="H4" s="234" t="str">
        <f>Data!BF5</f>
        <v>Hare, Kaitlin</v>
      </c>
      <c r="I4" s="234"/>
      <c r="J4" s="234"/>
      <c r="K4" s="234"/>
      <c r="L4" s="234"/>
      <c r="M4" s="305" t="s">
        <v>4</v>
      </c>
      <c r="N4" s="306"/>
      <c r="O4" s="306"/>
      <c r="P4" s="306"/>
      <c r="Q4" s="306"/>
      <c r="R4" s="306"/>
      <c r="S4" s="306"/>
      <c r="T4" s="306"/>
      <c r="U4" s="306"/>
      <c r="V4" s="306"/>
      <c r="W4" s="306"/>
      <c r="X4" s="307"/>
    </row>
    <row r="5" spans="1:24" s="31" customFormat="1" ht="50.1" customHeight="1">
      <c r="A5" s="240" t="s">
        <v>117</v>
      </c>
      <c r="B5" s="240"/>
      <c r="C5" s="227" t="str">
        <f>Data!BC5</f>
        <v>39776</v>
      </c>
      <c r="D5" s="227"/>
      <c r="E5" s="238" t="s">
        <v>8</v>
      </c>
      <c r="F5" s="238"/>
      <c r="G5" s="238"/>
      <c r="H5" s="234" t="str">
        <f>TRIM(Data!AX5)</f>
        <v>Whole House</v>
      </c>
      <c r="I5" s="234"/>
      <c r="J5" s="234"/>
      <c r="K5" s="234"/>
      <c r="L5" s="234"/>
      <c r="M5" s="309" t="str">
        <f>IF(OR(Data!BA11="",C10=""),"",Data!BG5)</f>
        <v/>
      </c>
      <c r="N5" s="310"/>
      <c r="O5" s="310"/>
      <c r="P5" s="310"/>
      <c r="Q5" s="310"/>
      <c r="R5" s="310"/>
      <c r="S5" s="310"/>
      <c r="T5" s="310"/>
      <c r="U5" s="310"/>
      <c r="V5" s="310"/>
      <c r="W5" s="310"/>
      <c r="X5" s="311"/>
    </row>
    <row r="6" spans="1:24" s="32" customFormat="1" ht="50.1" customHeight="1">
      <c r="A6" s="239" t="s">
        <v>14</v>
      </c>
      <c r="B6" s="239"/>
      <c r="C6" s="227" t="str">
        <f>Data!BD5</f>
        <v>F</v>
      </c>
      <c r="D6" s="227"/>
      <c r="E6" s="238" t="s">
        <v>112</v>
      </c>
      <c r="F6" s="238"/>
      <c r="G6" s="238"/>
      <c r="H6" s="234" t="str">
        <f>LEFT(Data!BA5,10)</f>
        <v>13/10/2026</v>
      </c>
      <c r="I6" s="234"/>
      <c r="J6" s="234"/>
      <c r="K6" s="234"/>
      <c r="L6" s="234"/>
      <c r="M6" s="315"/>
      <c r="N6" s="316"/>
      <c r="O6" s="316"/>
      <c r="P6" s="316"/>
      <c r="Q6" s="316"/>
      <c r="R6" s="316"/>
      <c r="S6" s="316"/>
      <c r="T6" s="316"/>
      <c r="U6" s="316"/>
      <c r="V6" s="316"/>
      <c r="W6" s="316"/>
      <c r="X6" s="317"/>
    </row>
    <row r="7" spans="1:24" s="32" customFormat="1" ht="50.1" customHeight="1">
      <c r="A7" s="281" t="s">
        <v>116</v>
      </c>
      <c r="B7" s="267" t="s">
        <v>96</v>
      </c>
      <c r="C7" s="235" t="s">
        <v>156</v>
      </c>
      <c r="D7" s="235" t="s">
        <v>601</v>
      </c>
      <c r="E7" s="235" t="s">
        <v>259</v>
      </c>
      <c r="F7" s="235" t="s">
        <v>11</v>
      </c>
      <c r="G7" s="235" t="s">
        <v>177</v>
      </c>
      <c r="H7" s="235" t="s">
        <v>178</v>
      </c>
      <c r="I7" s="235" t="s">
        <v>139</v>
      </c>
      <c r="J7" s="235" t="s">
        <v>7292</v>
      </c>
      <c r="K7" s="235" t="s">
        <v>7293</v>
      </c>
      <c r="L7" s="267" t="s">
        <v>149</v>
      </c>
      <c r="M7" s="235" t="s">
        <v>115</v>
      </c>
      <c r="N7" s="235" t="s">
        <v>5355</v>
      </c>
      <c r="O7" s="267" t="s">
        <v>290</v>
      </c>
      <c r="P7" s="267" t="s">
        <v>8796</v>
      </c>
      <c r="Q7" s="267" t="s">
        <v>8797</v>
      </c>
      <c r="R7" s="267" t="s">
        <v>153</v>
      </c>
      <c r="S7" s="267" t="s">
        <v>135</v>
      </c>
      <c r="T7" s="267" t="s">
        <v>176</v>
      </c>
      <c r="U7" s="267" t="s">
        <v>155</v>
      </c>
      <c r="V7" s="267" t="s">
        <v>136</v>
      </c>
      <c r="W7" s="235" t="s">
        <v>441</v>
      </c>
      <c r="X7" s="235" t="s">
        <v>5</v>
      </c>
    </row>
    <row r="8" spans="1:24" s="32" customFormat="1" ht="64.5" customHeight="1" hidden="1">
      <c r="A8" s="281"/>
      <c r="B8" s="267"/>
      <c r="C8" s="235"/>
      <c r="D8" s="235"/>
      <c r="E8" s="235"/>
      <c r="F8" s="235"/>
      <c r="G8" s="235"/>
      <c r="H8" s="235"/>
      <c r="I8" s="235"/>
      <c r="J8" s="235"/>
      <c r="K8" s="235"/>
      <c r="L8" s="267"/>
      <c r="M8" s="235"/>
      <c r="N8" s="235"/>
      <c r="O8" s="267"/>
      <c r="P8" s="267"/>
      <c r="Q8" s="267"/>
      <c r="R8" s="267"/>
      <c r="S8" s="267"/>
      <c r="T8" s="267"/>
      <c r="U8" s="267"/>
      <c r="V8" s="267"/>
      <c r="W8" s="235"/>
      <c r="X8" s="235"/>
    </row>
    <row r="9" spans="1:24" s="63" customFormat="1" ht="95.25" customHeight="1">
      <c r="A9" s="281"/>
      <c r="B9" s="267"/>
      <c r="C9" s="235"/>
      <c r="D9" s="235"/>
      <c r="E9" s="235"/>
      <c r="F9" s="235"/>
      <c r="G9" s="235"/>
      <c r="H9" s="235"/>
      <c r="I9" s="235"/>
      <c r="J9" s="235"/>
      <c r="K9" s="235"/>
      <c r="L9" s="267"/>
      <c r="M9" s="235"/>
      <c r="N9" s="235"/>
      <c r="O9" s="267"/>
      <c r="P9" s="267"/>
      <c r="Q9" s="267"/>
      <c r="R9" s="267"/>
      <c r="S9" s="267"/>
      <c r="T9" s="267"/>
      <c r="U9" s="267"/>
      <c r="V9" s="267"/>
      <c r="W9" s="235"/>
      <c r="X9" s="235"/>
    </row>
    <row r="10" spans="1:24" s="61" customFormat="1" ht="60" customHeight="1">
      <c r="A10" s="2" t="str">
        <f>IF(OR(Data!BA11="",C10=""),"",Data!AW11)</f>
        <v/>
      </c>
      <c r="B10" s="7" t="str">
        <f>IF(OR(Data!BA11="",C10=""),"",'Job Sheet'!C11)</f>
        <v/>
      </c>
      <c r="C10" s="27" t="str">
        <f>IF('Job Sheet'!BH11="Track from Vanda",'Job Sheet'!Z11,"")</f>
        <v/>
      </c>
      <c r="D10" s="27" t="str">
        <f>IF(OR(Data!BA11="",C10=""),"",'Job Sheet'!AA11)</f>
        <v/>
      </c>
      <c r="E10" s="27" t="str">
        <f>IF(OR(Data!BA11="",C10=""),"",IF(U10="Straight",'Job Sheet'!BP11-55,'Job Sheet'!E11))</f>
        <v/>
      </c>
      <c r="F10" s="27" t="str">
        <f>IF(OR(Data!BA11="",C10=""),"",'Job Sheet'!I11)</f>
        <v/>
      </c>
      <c r="G10" s="27" t="str">
        <f>IF(OR(Data!BA11="",C10=""),"",'Job Sheet'!P11)</f>
        <v/>
      </c>
      <c r="H10" s="27" t="str">
        <f>IF(OR(Data!BA11="",C10=""),"",IF(VLOOKUP(CONCATENATE('Job Sheet'!Z11,D10,U10),TBSTracks,4,FALSE)="Yes",'Job Sheet'!Q11,""))</f>
        <v/>
      </c>
      <c r="I10" s="27" t="str">
        <f>IF(OR(Data!BA11="",C10=""),"",'Job Sheet'!S11)</f>
        <v/>
      </c>
      <c r="J10" s="27" t="str">
        <f>IF(OR(Data!BA11="",C10=""),"",'Job Sheet'!T11)</f>
        <v/>
      </c>
      <c r="K10" s="27" t="str">
        <f>IF(OR(Data!BA11="",C10=""),"",'Job Sheet'!U11)</f>
        <v/>
      </c>
      <c r="L10" s="27" t="str">
        <f>IF(OR(Data!BA11="",C10=""),"",'Job Sheet'!AD11)</f>
        <v/>
      </c>
      <c r="M10" s="27" t="str">
        <f>IF(OR(Data!BA11="",C10=""),"",'Job Sheet'!AB11)</f>
        <v/>
      </c>
      <c r="N10" s="27" t="str">
        <f>IF(OR(Data!BA11="",C10=""),"",'Job Sheet'!AC11)</f>
        <v/>
      </c>
      <c r="O10" s="27" t="str">
        <f>IF(OR(Data!BA11="",C10=""),"",'Job Sheet'!AE11)</f>
        <v/>
      </c>
      <c r="P10" s="27" t="str">
        <f>IF(OR(Data!BA11="",C10=""),"",'Job Sheet'!AF11)</f>
        <v/>
      </c>
      <c r="Q10" s="27" t="str">
        <f>IF(OR(Data!BA11="",C10=""),"",'Job Sheet'!AG11)</f>
        <v/>
      </c>
      <c r="R10" s="27" t="str">
        <f>IF(OR(Data!BA11="",C10=""),"",IF(VLOOKUP(CONCATENATE('Job Sheet'!BH11,'Job Sheet'!AH11),Flicksticks,2,FALSE)="No","Glides for Flicksticks Required",'Job Sheet'!AH11))</f>
        <v/>
      </c>
      <c r="S10" s="27" t="str">
        <f>IF(C10="","",IF(AND('Job Sheet'!AB11="Hand Operation",OR('Job Sheet'!S11="Single Panel - Right Stacking",'Job Sheet'!S11="Single Panel - Left Stacking")),"1",IF(AND('Job Sheet'!AB11="Hand Operation",OR('Job Sheet'!S11="Single Panel - Free Flowing",'Job Sheet'!S11="Centre Opening",'Job Sheet'!S11="Centre Opening (Offset Split)")),"2",IF(AND('Job Sheet'!AB11="Hand Operation",OR('Job Sheet'!S11="Centre Opening - Free Flowing",'Job Sheet'!S11="Centre Opening - Free Flowing (Offset Split)")),"4",""))))</f>
        <v/>
      </c>
      <c r="T10" s="27" t="str">
        <f>IF(OR(Data!BA11="",C10=""),"",'Job Sheet'!X11)</f>
        <v/>
      </c>
      <c r="U10" s="27" t="str">
        <f>IF(OR(Data!BA11="",C10=""),"",'Job Sheet'!AI11)</f>
        <v/>
      </c>
      <c r="V10" s="27" t="str">
        <f>IF(OR(Data!BA11="",C10=""),"",'Job Sheet'!AJ11)</f>
        <v/>
      </c>
      <c r="W10" s="27" t="str">
        <f>IF(ISERROR(VLOOKUP('Job Sheet'!BF11,Holdbacks,1,FALSE)),"",'Job Sheet'!BF11)</f>
        <v/>
      </c>
      <c r="X10" s="27" t="str">
        <f>IF(OR(Data!BA11="",C10=""),"",'Job Sheet'!BN11)</f>
        <v/>
      </c>
    </row>
    <row r="11" spans="1:24" s="61" customFormat="1" ht="60" customHeight="1">
      <c r="A11" s="2" t="str">
        <f>IF(OR(Data!BA12="",C11=""),"",Data!AW12)</f>
        <v/>
      </c>
      <c r="B11" s="7" t="str">
        <f>IF(OR(Data!BA12="",C11=""),"",'Job Sheet'!C12)</f>
        <v/>
      </c>
      <c r="C11" s="27" t="str">
        <f>IF('Job Sheet'!BH12="Track from Vanda",'Job Sheet'!Z12,"")</f>
        <v/>
      </c>
      <c r="D11" s="27" t="str">
        <f>IF(OR(Data!BA12="",C11=""),"",'Job Sheet'!AA12)</f>
        <v/>
      </c>
      <c r="E11" s="27" t="str">
        <f>IF(OR(Data!BA12="",C11=""),"",IF(U11="Straight",'Job Sheet'!BP12-55,'Job Sheet'!E12))</f>
        <v/>
      </c>
      <c r="F11" s="27" t="str">
        <f>IF(OR(Data!BA12="",C11=""),"",'Job Sheet'!I12)</f>
        <v/>
      </c>
      <c r="G11" s="27" t="str">
        <f>IF(OR(Data!BA12="",C11=""),"",'Job Sheet'!P12)</f>
        <v/>
      </c>
      <c r="H11" s="27" t="str">
        <f>IF(OR(Data!BA12="",C11=""),"",IF(VLOOKUP(CONCATENATE('Job Sheet'!Z12,D11,U11),TBSTracks,4,FALSE)="Yes",'Job Sheet'!Q12,""))</f>
        <v/>
      </c>
      <c r="I11" s="27" t="str">
        <f>IF(OR(Data!BA12="",C11=""),"",'Job Sheet'!S12)</f>
        <v/>
      </c>
      <c r="J11" s="27" t="str">
        <f>IF(OR(Data!BA12="",C11=""),"",'Job Sheet'!T12)</f>
        <v/>
      </c>
      <c r="K11" s="27" t="str">
        <f>IF(OR(Data!BA12="",C11=""),"",'Job Sheet'!U12)</f>
        <v/>
      </c>
      <c r="L11" s="27" t="str">
        <f>IF(OR(Data!BA12="",C11=""),"",'Job Sheet'!AD12)</f>
        <v/>
      </c>
      <c r="M11" s="27" t="str">
        <f>IF(OR(Data!BA12="",C11=""),"",'Job Sheet'!AB12)</f>
        <v/>
      </c>
      <c r="N11" s="27" t="str">
        <f>IF(OR(Data!BA12="",C11=""),"",'Job Sheet'!AC12)</f>
        <v/>
      </c>
      <c r="O11" s="27" t="str">
        <f>IF(OR(Data!BA12="",C11=""),"",'Job Sheet'!AE12)</f>
        <v/>
      </c>
      <c r="P11" s="27" t="str">
        <f>IF(OR(Data!BA12="",C11=""),"",'Job Sheet'!AF12)</f>
        <v/>
      </c>
      <c r="Q11" s="27" t="str">
        <f>IF(OR(Data!BA12="",C11=""),"",'Job Sheet'!AG12)</f>
        <v/>
      </c>
      <c r="R11" s="27" t="str">
        <f>IF(OR(Data!BA12="",C11=""),"",IF(VLOOKUP(CONCATENATE('Job Sheet'!BH12,'Job Sheet'!AH12),Flicksticks,2,FALSE)="No","Glides for Flicksticks Required",'Job Sheet'!AH12))</f>
        <v/>
      </c>
      <c r="S11" s="27" t="str">
        <f>IF(C11="","",IF(AND('Job Sheet'!AB12="Hand Operation",OR('Job Sheet'!S12="Single Panel - Right Stacking",'Job Sheet'!S12="Single Panel - Left Stacking")),"1",IF(AND('Job Sheet'!AB12="Hand Operation",OR('Job Sheet'!S12="Single Panel - Free Flowing",'Job Sheet'!S12="Centre Opening",'Job Sheet'!S12="Centre Opening (Offset Split)")),"2",IF(AND('Job Sheet'!AB12="Hand Operation",OR('Job Sheet'!S12="Centre Opening - Free Flowing",'Job Sheet'!S12="Centre Opening - Free Flowing (Offset Split)")),"4",""))))</f>
        <v/>
      </c>
      <c r="T11" s="27" t="str">
        <f>IF(OR(Data!BA12="",C11=""),"",'Job Sheet'!X12)</f>
        <v/>
      </c>
      <c r="U11" s="27" t="str">
        <f>IF(OR(Data!BA12="",C11=""),"",'Job Sheet'!AI12)</f>
        <v/>
      </c>
      <c r="V11" s="27" t="str">
        <f>IF(OR(Data!BA12="",C11=""),"",'Job Sheet'!AJ12)</f>
        <v/>
      </c>
      <c r="W11" s="27" t="str">
        <f>IF(ISERROR(VLOOKUP('Job Sheet'!BF12,Holdbacks,1,FALSE)),"",'Job Sheet'!BF12)</f>
        <v/>
      </c>
      <c r="X11" s="27" t="str">
        <f>IF(OR(Data!BA12="",C11=""),"",'Job Sheet'!BN12)</f>
        <v/>
      </c>
    </row>
    <row r="12" spans="1:24" s="61" customFormat="1" ht="60" customHeight="1">
      <c r="A12" s="2" t="str">
        <f>IF(OR(Data!BA13="",C12=""),"",Data!AW13)</f>
        <v/>
      </c>
      <c r="B12" s="7" t="str">
        <f>IF(OR(Data!BA13="",C12=""),"",'Job Sheet'!C13)</f>
        <v/>
      </c>
      <c r="C12" s="27" t="str">
        <f>IF('Job Sheet'!BH13="Track from Vanda",'Job Sheet'!Z13,"")</f>
        <v/>
      </c>
      <c r="D12" s="27" t="str">
        <f>IF(OR(Data!BA13="",C12=""),"",'Job Sheet'!AA13)</f>
        <v/>
      </c>
      <c r="E12" s="27" t="str">
        <f>IF(OR(Data!BA13="",C12=""),"",IF(U12="Straight",'Job Sheet'!BP13-55,'Job Sheet'!E13))</f>
        <v/>
      </c>
      <c r="F12" s="27" t="str">
        <f>IF(OR(Data!BA13="",C12=""),"",'Job Sheet'!I13)</f>
        <v/>
      </c>
      <c r="G12" s="27" t="str">
        <f>IF(OR(Data!BA13="",C12=""),"",'Job Sheet'!P13)</f>
        <v/>
      </c>
      <c r="H12" s="27" t="str">
        <f>IF(OR(Data!BA13="",C12=""),"",IF(VLOOKUP(CONCATENATE('Job Sheet'!Z13,D12,U12),TBSTracks,4,FALSE)="Yes",'Job Sheet'!Q13,""))</f>
        <v/>
      </c>
      <c r="I12" s="27" t="str">
        <f>IF(OR(Data!BA13="",C12=""),"",'Job Sheet'!S13)</f>
        <v/>
      </c>
      <c r="J12" s="27" t="str">
        <f>IF(OR(Data!BA13="",C12=""),"",'Job Sheet'!T13)</f>
        <v/>
      </c>
      <c r="K12" s="27" t="str">
        <f>IF(OR(Data!BA13="",C12=""),"",'Job Sheet'!U13)</f>
        <v/>
      </c>
      <c r="L12" s="27" t="str">
        <f>IF(OR(Data!BA13="",C12=""),"",'Job Sheet'!AD13)</f>
        <v/>
      </c>
      <c r="M12" s="27" t="str">
        <f>IF(OR(Data!BA13="",C12=""),"",'Job Sheet'!AB13)</f>
        <v/>
      </c>
      <c r="N12" s="27" t="str">
        <f>IF(OR(Data!BA13="",C12=""),"",'Job Sheet'!AC13)</f>
        <v/>
      </c>
      <c r="O12" s="27" t="str">
        <f>IF(OR(Data!BA13="",C12=""),"",'Job Sheet'!AE13)</f>
        <v/>
      </c>
      <c r="P12" s="27" t="str">
        <f>IF(OR(Data!BA13="",C12=""),"",'Job Sheet'!AF13)</f>
        <v/>
      </c>
      <c r="Q12" s="27" t="str">
        <f>IF(OR(Data!BA13="",C12=""),"",'Job Sheet'!AG13)</f>
        <v/>
      </c>
      <c r="R12" s="27" t="str">
        <f>IF(OR(Data!BA13="",C12=""),"",IF(VLOOKUP(CONCATENATE('Job Sheet'!BH13,'Job Sheet'!AH13),Flicksticks,2,FALSE)="No","Glides for Flicksticks Required",'Job Sheet'!AH13))</f>
        <v/>
      </c>
      <c r="S12" s="27" t="str">
        <f>IF(C12="","",IF(AND('Job Sheet'!AB13="Hand Operation",OR('Job Sheet'!S13="Single Panel - Right Stacking",'Job Sheet'!S13="Single Panel - Left Stacking")),"1",IF(AND('Job Sheet'!AB13="Hand Operation",OR('Job Sheet'!S13="Single Panel - Free Flowing",'Job Sheet'!S13="Centre Opening",'Job Sheet'!S13="Centre Opening (Offset Split)")),"2",IF(AND('Job Sheet'!AB13="Hand Operation",OR('Job Sheet'!S13="Centre Opening - Free Flowing",'Job Sheet'!S13="Centre Opening - Free Flowing (Offset Split)")),"4",""))))</f>
        <v/>
      </c>
      <c r="T12" s="27" t="str">
        <f>IF(OR(Data!BA13="",C12=""),"",'Job Sheet'!X13)</f>
        <v/>
      </c>
      <c r="U12" s="27" t="str">
        <f>IF(OR(Data!BA13="",C12=""),"",'Job Sheet'!AI13)</f>
        <v/>
      </c>
      <c r="V12" s="27" t="str">
        <f>IF(OR(Data!BA13="",C12=""),"",'Job Sheet'!AJ13)</f>
        <v/>
      </c>
      <c r="W12" s="27" t="str">
        <f>IF(ISERROR(VLOOKUP('Job Sheet'!BF13,Holdbacks,1,FALSE)),"",'Job Sheet'!BF13)</f>
        <v/>
      </c>
      <c r="X12" s="27" t="str">
        <f>IF(OR(Data!BA13="",C12=""),"",'Job Sheet'!BN13)</f>
        <v/>
      </c>
    </row>
    <row r="13" spans="1:24" s="61" customFormat="1" ht="60" customHeight="1">
      <c r="A13" s="2" t="str">
        <f>IF(OR(Data!BA14="",C13=""),"",Data!AW14)</f>
        <v/>
      </c>
      <c r="B13" s="7" t="str">
        <f>IF(OR(Data!BA14="",C13=""),"",'Job Sheet'!C14)</f>
        <v/>
      </c>
      <c r="C13" s="27" t="str">
        <f>IF('Job Sheet'!BH14="Track from Vanda",'Job Sheet'!Z14,"")</f>
        <v/>
      </c>
      <c r="D13" s="27" t="str">
        <f>IF(OR(Data!BA14="",C13=""),"",'Job Sheet'!AA14)</f>
        <v/>
      </c>
      <c r="E13" s="27" t="str">
        <f>IF(OR(Data!BA14="",C13=""),"",IF(U13="Straight",'Job Sheet'!BP14-55,'Job Sheet'!E14))</f>
        <v/>
      </c>
      <c r="F13" s="27" t="str">
        <f>IF(OR(Data!BA14="",C13=""),"",'Job Sheet'!I14)</f>
        <v/>
      </c>
      <c r="G13" s="27" t="str">
        <f>IF(OR(Data!BA14="",C13=""),"",'Job Sheet'!P14)</f>
        <v/>
      </c>
      <c r="H13" s="27" t="str">
        <f>IF(OR(Data!BA14="",C13=""),"",IF(VLOOKUP(CONCATENATE('Job Sheet'!Z14,D13,U13),TBSTracks,4,FALSE)="Yes",'Job Sheet'!Q14,""))</f>
        <v/>
      </c>
      <c r="I13" s="27" t="str">
        <f>IF(OR(Data!BA14="",C13=""),"",'Job Sheet'!S14)</f>
        <v/>
      </c>
      <c r="J13" s="27" t="str">
        <f>IF(OR(Data!BA14="",C13=""),"",'Job Sheet'!T14)</f>
        <v/>
      </c>
      <c r="K13" s="27" t="str">
        <f>IF(OR(Data!BA14="",C13=""),"",'Job Sheet'!U14)</f>
        <v/>
      </c>
      <c r="L13" s="27" t="str">
        <f>IF(OR(Data!BA14="",C13=""),"",'Job Sheet'!AD14)</f>
        <v/>
      </c>
      <c r="M13" s="27" t="str">
        <f>IF(OR(Data!BA14="",C13=""),"",'Job Sheet'!AB14)</f>
        <v/>
      </c>
      <c r="N13" s="27" t="str">
        <f>IF(OR(Data!BA14="",C13=""),"",'Job Sheet'!AC14)</f>
        <v/>
      </c>
      <c r="O13" s="27" t="str">
        <f>IF(OR(Data!BA14="",C13=""),"",'Job Sheet'!AE14)</f>
        <v/>
      </c>
      <c r="P13" s="27" t="str">
        <f>IF(OR(Data!BA14="",C13=""),"",'Job Sheet'!AF14)</f>
        <v/>
      </c>
      <c r="Q13" s="27" t="str">
        <f>IF(OR(Data!BA14="",C13=""),"",'Job Sheet'!AG14)</f>
        <v/>
      </c>
      <c r="R13" s="27" t="str">
        <f>IF(OR(Data!BA14="",C13=""),"",IF(VLOOKUP(CONCATENATE('Job Sheet'!BH14,'Job Sheet'!AH14),Flicksticks,2,FALSE)="No","Glides for Flicksticks Required",'Job Sheet'!AH14))</f>
        <v/>
      </c>
      <c r="S13" s="27" t="str">
        <f>IF(C13="","",IF(AND('Job Sheet'!AB14="Hand Operation",OR('Job Sheet'!S14="Single Panel - Right Stacking",'Job Sheet'!S14="Single Panel - Left Stacking")),"1",IF(AND('Job Sheet'!AB14="Hand Operation",OR('Job Sheet'!S14="Single Panel - Free Flowing",'Job Sheet'!S14="Centre Opening",'Job Sheet'!S14="Centre Opening (Offset Split)")),"2",IF(AND('Job Sheet'!AB14="Hand Operation",OR('Job Sheet'!S14="Centre Opening - Free Flowing",'Job Sheet'!S14="Centre Opening - Free Flowing (Offset Split)")),"4",""))))</f>
        <v/>
      </c>
      <c r="T13" s="27" t="str">
        <f>IF(OR(Data!BA14="",C13=""),"",'Job Sheet'!X14)</f>
        <v/>
      </c>
      <c r="U13" s="27" t="str">
        <f>IF(OR(Data!BA14="",C13=""),"",'Job Sheet'!AI14)</f>
        <v/>
      </c>
      <c r="V13" s="27" t="str">
        <f>IF(OR(Data!BA14="",C13=""),"",'Job Sheet'!AJ14)</f>
        <v/>
      </c>
      <c r="W13" s="27" t="str">
        <f>IF(ISERROR(VLOOKUP('Job Sheet'!BF14,Holdbacks,1,FALSE)),"",'Job Sheet'!BF14)</f>
        <v/>
      </c>
      <c r="X13" s="27" t="str">
        <f>IF(OR(Data!BA14="",C13=""),"",'Job Sheet'!BN14)</f>
        <v/>
      </c>
    </row>
    <row r="14" spans="1:24" s="61" customFormat="1" ht="60" customHeight="1">
      <c r="A14" s="2" t="str">
        <f>IF(OR(Data!BA15="",C14=""),"",Data!AW15)</f>
        <v/>
      </c>
      <c r="B14" s="7" t="str">
        <f>IF(OR(Data!BA15="",C14=""),"",'Job Sheet'!C15)</f>
        <v/>
      </c>
      <c r="C14" s="27" t="str">
        <f>IF('Job Sheet'!BH15="Track from Vanda",'Job Sheet'!Z15,"")</f>
        <v/>
      </c>
      <c r="D14" s="27" t="str">
        <f>IF(OR(Data!BA15="",C14=""),"",'Job Sheet'!AA15)</f>
        <v/>
      </c>
      <c r="E14" s="27" t="str">
        <f>IF(OR(Data!BA15="",C14=""),"",IF(U14="Straight",'Job Sheet'!BP15-55,'Job Sheet'!E15))</f>
        <v/>
      </c>
      <c r="F14" s="27" t="str">
        <f>IF(OR(Data!BA15="",C14=""),"",'Job Sheet'!I15)</f>
        <v/>
      </c>
      <c r="G14" s="27" t="str">
        <f>IF(OR(Data!BA15="",C14=""),"",'Job Sheet'!P15)</f>
        <v/>
      </c>
      <c r="H14" s="27" t="str">
        <f>IF(OR(Data!BA15="",C14=""),"",IF(VLOOKUP(CONCATENATE('Job Sheet'!Z15,D14,U14),TBSTracks,4,FALSE)="Yes",'Job Sheet'!Q15,""))</f>
        <v/>
      </c>
      <c r="I14" s="27" t="str">
        <f>IF(OR(Data!BA15="",C14=""),"",'Job Sheet'!S15)</f>
        <v/>
      </c>
      <c r="J14" s="27" t="str">
        <f>IF(OR(Data!BA15="",C14=""),"",'Job Sheet'!T15)</f>
        <v/>
      </c>
      <c r="K14" s="27" t="str">
        <f>IF(OR(Data!BA15="",C14=""),"",'Job Sheet'!U15)</f>
        <v/>
      </c>
      <c r="L14" s="27" t="str">
        <f>IF(OR(Data!BA15="",C14=""),"",'Job Sheet'!AD15)</f>
        <v/>
      </c>
      <c r="M14" s="27" t="str">
        <f>IF(OR(Data!BA15="",C14=""),"",'Job Sheet'!AB15)</f>
        <v/>
      </c>
      <c r="N14" s="27" t="str">
        <f>IF(OR(Data!BA15="",C14=""),"",'Job Sheet'!AC15)</f>
        <v/>
      </c>
      <c r="O14" s="27" t="str">
        <f>IF(OR(Data!BA15="",C14=""),"",'Job Sheet'!AE15)</f>
        <v/>
      </c>
      <c r="P14" s="27" t="str">
        <f>IF(OR(Data!BA15="",C14=""),"",'Job Sheet'!AF15)</f>
        <v/>
      </c>
      <c r="Q14" s="27" t="str">
        <f>IF(OR(Data!BA15="",C14=""),"",'Job Sheet'!AG15)</f>
        <v/>
      </c>
      <c r="R14" s="27" t="str">
        <f>IF(OR(Data!BA15="",C14=""),"",IF(VLOOKUP(CONCATENATE('Job Sheet'!BH15,'Job Sheet'!AH15),Flicksticks,2,FALSE)="No","Glides for Flicksticks Required",'Job Sheet'!AH15))</f>
        <v/>
      </c>
      <c r="S14" s="27" t="str">
        <f>IF(C14="","",IF(AND('Job Sheet'!AB15="Hand Operation",OR('Job Sheet'!S15="Single Panel - Right Stacking",'Job Sheet'!S15="Single Panel - Left Stacking")),"1",IF(AND('Job Sheet'!AB15="Hand Operation",OR('Job Sheet'!S15="Single Panel - Free Flowing",'Job Sheet'!S15="Centre Opening",'Job Sheet'!S15="Centre Opening (Offset Split)")),"2",IF(AND('Job Sheet'!AB15="Hand Operation",OR('Job Sheet'!S15="Centre Opening - Free Flowing",'Job Sheet'!S15="Centre Opening - Free Flowing (Offset Split)")),"4",""))))</f>
        <v/>
      </c>
      <c r="T14" s="27" t="str">
        <f>IF(OR(Data!BA15="",C14=""),"",'Job Sheet'!X15)</f>
        <v/>
      </c>
      <c r="U14" s="27" t="str">
        <f>IF(OR(Data!BA15="",C14=""),"",'Job Sheet'!AI15)</f>
        <v/>
      </c>
      <c r="V14" s="27" t="str">
        <f>IF(OR(Data!BA15="",C14=""),"",'Job Sheet'!AJ15)</f>
        <v/>
      </c>
      <c r="W14" s="27" t="str">
        <f>IF(ISERROR(VLOOKUP('Job Sheet'!BF15,Holdbacks,1,FALSE)),"",'Job Sheet'!BF15)</f>
        <v/>
      </c>
      <c r="X14" s="27" t="str">
        <f>IF(OR(Data!BA15="",C14=""),"",'Job Sheet'!BN15)</f>
        <v/>
      </c>
    </row>
    <row r="15" spans="1:24" s="61" customFormat="1" ht="60" customHeight="1">
      <c r="A15" s="2" t="str">
        <f>IF(OR(Data!BA16="",C15=""),"",Data!AW16)</f>
        <v/>
      </c>
      <c r="B15" s="7" t="str">
        <f>IF(OR(Data!BA16="",C15=""),"",'Job Sheet'!C16)</f>
        <v/>
      </c>
      <c r="C15" s="27" t="str">
        <f>IF('Job Sheet'!BH16="Track from Vanda",'Job Sheet'!Z16,"")</f>
        <v/>
      </c>
      <c r="D15" s="27" t="str">
        <f>IF(OR(Data!BA16="",C15=""),"",'Job Sheet'!AA16)</f>
        <v/>
      </c>
      <c r="E15" s="27" t="str">
        <f>IF(OR(Data!BA16="",C15=""),"",IF(U15="Straight",'Job Sheet'!BP16-55,'Job Sheet'!E16))</f>
        <v/>
      </c>
      <c r="F15" s="27" t="str">
        <f>IF(OR(Data!BA16="",C15=""),"",'Job Sheet'!I16)</f>
        <v/>
      </c>
      <c r="G15" s="27" t="str">
        <f>IF(OR(Data!BA16="",C15=""),"",'Job Sheet'!P16)</f>
        <v/>
      </c>
      <c r="H15" s="27" t="str">
        <f>IF(OR(Data!BA16="",C15=""),"",IF(VLOOKUP(CONCATENATE('Job Sheet'!Z16,D15,U15),TBSTracks,4,FALSE)="Yes",'Job Sheet'!Q16,""))</f>
        <v/>
      </c>
      <c r="I15" s="27" t="str">
        <f>IF(OR(Data!BA16="",C15=""),"",'Job Sheet'!S16)</f>
        <v/>
      </c>
      <c r="J15" s="27" t="str">
        <f>IF(OR(Data!BA16="",C15=""),"",'Job Sheet'!T16)</f>
        <v/>
      </c>
      <c r="K15" s="27" t="str">
        <f>IF(OR(Data!BA16="",C15=""),"",'Job Sheet'!U16)</f>
        <v/>
      </c>
      <c r="L15" s="27" t="str">
        <f>IF(OR(Data!BA16="",C15=""),"",'Job Sheet'!AD16)</f>
        <v/>
      </c>
      <c r="M15" s="27" t="str">
        <f>IF(OR(Data!BA16="",C15=""),"",'Job Sheet'!AB16)</f>
        <v/>
      </c>
      <c r="N15" s="27" t="str">
        <f>IF(OR(Data!BA16="",C15=""),"",'Job Sheet'!AC16)</f>
        <v/>
      </c>
      <c r="O15" s="27" t="str">
        <f>IF(OR(Data!BA16="",C15=""),"",'Job Sheet'!AE16)</f>
        <v/>
      </c>
      <c r="P15" s="27" t="str">
        <f>IF(OR(Data!BA16="",C15=""),"",'Job Sheet'!AF16)</f>
        <v/>
      </c>
      <c r="Q15" s="27" t="str">
        <f>IF(OR(Data!BA16="",C15=""),"",'Job Sheet'!AG16)</f>
        <v/>
      </c>
      <c r="R15" s="27" t="str">
        <f>IF(OR(Data!BA16="",C15=""),"",IF(VLOOKUP(CONCATENATE('Job Sheet'!BH16,'Job Sheet'!AH16),Flicksticks,2,FALSE)="No","Glides for Flicksticks Required",'Job Sheet'!AH16))</f>
        <v/>
      </c>
      <c r="S15" s="27" t="str">
        <f>IF(C15="","",IF(AND('Job Sheet'!AB16="Hand Operation",OR('Job Sheet'!S16="Single Panel - Right Stacking",'Job Sheet'!S16="Single Panel - Left Stacking")),"1",IF(AND('Job Sheet'!AB16="Hand Operation",OR('Job Sheet'!S16="Single Panel - Free Flowing",'Job Sheet'!S16="Centre Opening",'Job Sheet'!S16="Centre Opening (Offset Split)")),"2",IF(AND('Job Sheet'!AB16="Hand Operation",OR('Job Sheet'!S16="Centre Opening - Free Flowing",'Job Sheet'!S16="Centre Opening - Free Flowing (Offset Split)")),"4",""))))</f>
        <v/>
      </c>
      <c r="T15" s="27" t="str">
        <f>IF(OR(Data!BA16="",C15=""),"",'Job Sheet'!X16)</f>
        <v/>
      </c>
      <c r="U15" s="27" t="str">
        <f>IF(OR(Data!BA16="",C15=""),"",'Job Sheet'!AI16)</f>
        <v/>
      </c>
      <c r="V15" s="27" t="str">
        <f>IF(OR(Data!BA16="",C15=""),"",'Job Sheet'!AJ16)</f>
        <v/>
      </c>
      <c r="W15" s="27" t="str">
        <f>IF(ISERROR(VLOOKUP('Job Sheet'!BF16,Holdbacks,1,FALSE)),"",'Job Sheet'!BF16)</f>
        <v/>
      </c>
      <c r="X15" s="27" t="str">
        <f>IF(OR(Data!BA16="",C15=""),"",'Job Sheet'!BN16)</f>
        <v/>
      </c>
    </row>
    <row r="16" spans="1:24" s="61" customFormat="1" ht="60" customHeight="1">
      <c r="A16" s="2" t="str">
        <f>IF(OR(Data!BA17="",C16=""),"",Data!AW17)</f>
        <v/>
      </c>
      <c r="B16" s="7" t="str">
        <f>IF(OR(Data!BA17="",C16=""),"",'Job Sheet'!C17)</f>
        <v/>
      </c>
      <c r="C16" s="27" t="str">
        <f>IF('Job Sheet'!BH17="Track from Vanda",'Job Sheet'!Z17,"")</f>
        <v/>
      </c>
      <c r="D16" s="27" t="str">
        <f>IF(OR(Data!BA17="",C16=""),"",'Job Sheet'!AA17)</f>
        <v/>
      </c>
      <c r="E16" s="27" t="str">
        <f>IF(OR(Data!BA17="",C16=""),"",IF(U16="Straight",'Job Sheet'!BP17-55,'Job Sheet'!E17))</f>
        <v/>
      </c>
      <c r="F16" s="27" t="str">
        <f>IF(OR(Data!BA17="",C16=""),"",'Job Sheet'!I17)</f>
        <v/>
      </c>
      <c r="G16" s="27" t="str">
        <f>IF(OR(Data!BA17="",C16=""),"",'Job Sheet'!P17)</f>
        <v/>
      </c>
      <c r="H16" s="27" t="str">
        <f>IF(OR(Data!BA17="",C16=""),"",IF(VLOOKUP(CONCATENATE('Job Sheet'!Z17,D16,U16),TBSTracks,4,FALSE)="Yes",'Job Sheet'!Q17,""))</f>
        <v/>
      </c>
      <c r="I16" s="27" t="str">
        <f>IF(OR(Data!BA17="",C16=""),"",'Job Sheet'!S17)</f>
        <v/>
      </c>
      <c r="J16" s="27" t="str">
        <f>IF(OR(Data!BA17="",C16=""),"",'Job Sheet'!T17)</f>
        <v/>
      </c>
      <c r="K16" s="27" t="str">
        <f>IF(OR(Data!BA17="",C16=""),"",'Job Sheet'!U17)</f>
        <v/>
      </c>
      <c r="L16" s="27" t="str">
        <f>IF(OR(Data!BA17="",C16=""),"",'Job Sheet'!AD17)</f>
        <v/>
      </c>
      <c r="M16" s="27" t="str">
        <f>IF(OR(Data!BA17="",C16=""),"",'Job Sheet'!AB17)</f>
        <v/>
      </c>
      <c r="N16" s="27" t="str">
        <f>IF(OR(Data!BA17="",C16=""),"",'Job Sheet'!AC17)</f>
        <v/>
      </c>
      <c r="O16" s="27" t="str">
        <f>IF(OR(Data!BA17="",C16=""),"",'Job Sheet'!AE17)</f>
        <v/>
      </c>
      <c r="P16" s="27" t="str">
        <f>IF(OR(Data!BA17="",C16=""),"",'Job Sheet'!AF17)</f>
        <v/>
      </c>
      <c r="Q16" s="27" t="str">
        <f>IF(OR(Data!BA17="",C16=""),"",'Job Sheet'!AG17)</f>
        <v/>
      </c>
      <c r="R16" s="27" t="str">
        <f>IF(OR(Data!BA17="",C16=""),"",IF(VLOOKUP(CONCATENATE('Job Sheet'!BH17,'Job Sheet'!AH17),Flicksticks,2,FALSE)="No","Glides for Flicksticks Required",'Job Sheet'!AH17))</f>
        <v/>
      </c>
      <c r="S16" s="27" t="str">
        <f>IF(C16="","",IF(AND('Job Sheet'!AB17="Hand Operation",OR('Job Sheet'!S17="Single Panel - Right Stacking",'Job Sheet'!S17="Single Panel - Left Stacking")),"1",IF(AND('Job Sheet'!AB17="Hand Operation",OR('Job Sheet'!S17="Single Panel - Free Flowing",'Job Sheet'!S17="Centre Opening",'Job Sheet'!S17="Centre Opening (Offset Split)")),"2",IF(AND('Job Sheet'!AB17="Hand Operation",OR('Job Sheet'!S17="Centre Opening - Free Flowing",'Job Sheet'!S17="Centre Opening - Free Flowing (Offset Split)")),"4",""))))</f>
        <v/>
      </c>
      <c r="T16" s="27" t="str">
        <f>IF(OR(Data!BA17="",C16=""),"",'Job Sheet'!X17)</f>
        <v/>
      </c>
      <c r="U16" s="27" t="str">
        <f>IF(OR(Data!BA17="",C16=""),"",'Job Sheet'!AI17)</f>
        <v/>
      </c>
      <c r="V16" s="27" t="str">
        <f>IF(OR(Data!BA17="",C16=""),"",'Job Sheet'!AJ17)</f>
        <v/>
      </c>
      <c r="W16" s="27" t="str">
        <f>IF(ISERROR(VLOOKUP('Job Sheet'!BF17,Holdbacks,1,FALSE)),"",'Job Sheet'!BF17)</f>
        <v/>
      </c>
      <c r="X16" s="27" t="str">
        <f>IF(OR(Data!BA17="",C16=""),"",'Job Sheet'!BN17)</f>
        <v/>
      </c>
    </row>
    <row r="17" spans="1:24" s="61" customFormat="1" ht="60" customHeight="1">
      <c r="A17" s="2" t="str">
        <f>IF(OR(Data!BA18="",C17=""),"",Data!AW18)</f>
        <v/>
      </c>
      <c r="B17" s="7" t="str">
        <f>IF(OR(Data!BA18="",C17=""),"",'Job Sheet'!C18)</f>
        <v/>
      </c>
      <c r="C17" s="27" t="str">
        <f>IF('Job Sheet'!BH18="Track from Vanda",'Job Sheet'!Z18,"")</f>
        <v/>
      </c>
      <c r="D17" s="27" t="str">
        <f>IF(OR(Data!BA18="",C17=""),"",'Job Sheet'!AA18)</f>
        <v/>
      </c>
      <c r="E17" s="27" t="str">
        <f>IF(OR(Data!BA18="",C17=""),"",IF(U17="Straight",'Job Sheet'!BP18-55,'Job Sheet'!E18))</f>
        <v/>
      </c>
      <c r="F17" s="27" t="str">
        <f>IF(OR(Data!BA18="",C17=""),"",'Job Sheet'!I18)</f>
        <v/>
      </c>
      <c r="G17" s="27" t="str">
        <f>IF(OR(Data!BA18="",C17=""),"",'Job Sheet'!P18)</f>
        <v/>
      </c>
      <c r="H17" s="27" t="str">
        <f>IF(OR(Data!BA18="",C17=""),"",IF(VLOOKUP(CONCATENATE('Job Sheet'!Z18,D17,U17),TBSTracks,4,FALSE)="Yes",'Job Sheet'!Q18,""))</f>
        <v/>
      </c>
      <c r="I17" s="27" t="str">
        <f>IF(OR(Data!BA18="",C17=""),"",'Job Sheet'!S18)</f>
        <v/>
      </c>
      <c r="J17" s="27" t="str">
        <f>IF(OR(Data!BA18="",C17=""),"",'Job Sheet'!T18)</f>
        <v/>
      </c>
      <c r="K17" s="27" t="str">
        <f>IF(OR(Data!BA18="",C17=""),"",'Job Sheet'!U18)</f>
        <v/>
      </c>
      <c r="L17" s="27" t="str">
        <f>IF(OR(Data!BA18="",C17=""),"",'Job Sheet'!AD18)</f>
        <v/>
      </c>
      <c r="M17" s="27" t="str">
        <f>IF(OR(Data!BA18="",C17=""),"",'Job Sheet'!AB18)</f>
        <v/>
      </c>
      <c r="N17" s="27" t="str">
        <f>IF(OR(Data!BA18="",C17=""),"",'Job Sheet'!AC18)</f>
        <v/>
      </c>
      <c r="O17" s="27" t="str">
        <f>IF(OR(Data!BA18="",C17=""),"",'Job Sheet'!AE18)</f>
        <v/>
      </c>
      <c r="P17" s="27" t="str">
        <f>IF(OR(Data!BA18="",C17=""),"",'Job Sheet'!AF18)</f>
        <v/>
      </c>
      <c r="Q17" s="27" t="str">
        <f>IF(OR(Data!BA18="",C17=""),"",'Job Sheet'!AG18)</f>
        <v/>
      </c>
      <c r="R17" s="27" t="str">
        <f>IF(OR(Data!BA18="",C17=""),"",IF(VLOOKUP(CONCATENATE('Job Sheet'!BH18,'Job Sheet'!AH18),Flicksticks,2,FALSE)="No","Glides for Flicksticks Required",'Job Sheet'!AH18))</f>
        <v/>
      </c>
      <c r="S17" s="27" t="str">
        <f>IF(C17="","",IF(AND('Job Sheet'!AB18="Hand Operation",OR('Job Sheet'!S18="Single Panel - Right Stacking",'Job Sheet'!S18="Single Panel - Left Stacking")),"1",IF(AND('Job Sheet'!AB18="Hand Operation",OR('Job Sheet'!S18="Single Panel - Free Flowing",'Job Sheet'!S18="Centre Opening",'Job Sheet'!S18="Centre Opening (Offset Split)")),"2",IF(AND('Job Sheet'!AB18="Hand Operation",OR('Job Sheet'!S18="Centre Opening - Free Flowing",'Job Sheet'!S18="Centre Opening - Free Flowing (Offset Split)")),"4",""))))</f>
        <v/>
      </c>
      <c r="T17" s="27" t="str">
        <f>IF(OR(Data!BA18="",C17=""),"",'Job Sheet'!X18)</f>
        <v/>
      </c>
      <c r="U17" s="27" t="str">
        <f>IF(OR(Data!BA18="",C17=""),"",'Job Sheet'!AI18)</f>
        <v/>
      </c>
      <c r="V17" s="27" t="str">
        <f>IF(OR(Data!BA18="",C17=""),"",'Job Sheet'!AJ18)</f>
        <v/>
      </c>
      <c r="W17" s="27" t="str">
        <f>IF(ISERROR(VLOOKUP('Job Sheet'!BF18,Holdbacks,1,FALSE)),"",'Job Sheet'!BF18)</f>
        <v/>
      </c>
      <c r="X17" s="27" t="str">
        <f>IF(OR(Data!BA18="",C17=""),"",'Job Sheet'!BN18)</f>
        <v/>
      </c>
    </row>
    <row r="18" spans="1:24" s="61" customFormat="1" ht="60" customHeight="1">
      <c r="A18" s="2" t="str">
        <f>IF(OR(Data!BA19="",C18=""),"",Data!AW19)</f>
        <v/>
      </c>
      <c r="B18" s="7" t="str">
        <f>IF(OR(Data!BA19="",C18=""),"",'Job Sheet'!C19)</f>
        <v/>
      </c>
      <c r="C18" s="27" t="str">
        <f>IF('Job Sheet'!BH19="Track from Vanda",'Job Sheet'!Z19,"")</f>
        <v/>
      </c>
      <c r="D18" s="27" t="str">
        <f>IF(OR(Data!BA19="",C18=""),"",'Job Sheet'!AA19)</f>
        <v/>
      </c>
      <c r="E18" s="27" t="str">
        <f>IF(OR(Data!BA19="",C18=""),"",IF(U18="Straight",'Job Sheet'!BP19-55,'Job Sheet'!E19))</f>
        <v/>
      </c>
      <c r="F18" s="27" t="str">
        <f>IF(OR(Data!BA19="",C18=""),"",'Job Sheet'!I19)</f>
        <v/>
      </c>
      <c r="G18" s="27" t="str">
        <f>IF(OR(Data!BA19="",C18=""),"",'Job Sheet'!P19)</f>
        <v/>
      </c>
      <c r="H18" s="27" t="str">
        <f>IF(OR(Data!BA19="",C18=""),"",IF(VLOOKUP(CONCATENATE('Job Sheet'!Z19,D18,U18),TBSTracks,4,FALSE)="Yes",'Job Sheet'!Q19,""))</f>
        <v/>
      </c>
      <c r="I18" s="27" t="str">
        <f>IF(OR(Data!BA19="",C18=""),"",'Job Sheet'!S19)</f>
        <v/>
      </c>
      <c r="J18" s="27" t="str">
        <f>IF(OR(Data!BA19="",C18=""),"",'Job Sheet'!T19)</f>
        <v/>
      </c>
      <c r="K18" s="27" t="str">
        <f>IF(OR(Data!BA19="",C18=""),"",'Job Sheet'!U19)</f>
        <v/>
      </c>
      <c r="L18" s="27" t="str">
        <f>IF(OR(Data!BA19="",C18=""),"",'Job Sheet'!AD19)</f>
        <v/>
      </c>
      <c r="M18" s="27" t="str">
        <f>IF(OR(Data!BA19="",C18=""),"",'Job Sheet'!AB19)</f>
        <v/>
      </c>
      <c r="N18" s="27" t="str">
        <f>IF(OR(Data!BA19="",C18=""),"",'Job Sheet'!AC19)</f>
        <v/>
      </c>
      <c r="O18" s="27" t="str">
        <f>IF(OR(Data!BA19="",C18=""),"",'Job Sheet'!AE19)</f>
        <v/>
      </c>
      <c r="P18" s="27" t="str">
        <f>IF(OR(Data!BA19="",C18=""),"",'Job Sheet'!AF19)</f>
        <v/>
      </c>
      <c r="Q18" s="27" t="str">
        <f>IF(OR(Data!BA19="",C18=""),"",'Job Sheet'!AG19)</f>
        <v/>
      </c>
      <c r="R18" s="27" t="str">
        <f>IF(OR(Data!BA19="",C18=""),"",IF(VLOOKUP(CONCATENATE('Job Sheet'!BH19,'Job Sheet'!AH19),Flicksticks,2,FALSE)="No","Glides for Flicksticks Required",'Job Sheet'!AH19))</f>
        <v/>
      </c>
      <c r="S18" s="27" t="str">
        <f>IF(C18="","",IF(AND('Job Sheet'!AB19="Hand Operation",OR('Job Sheet'!S19="Single Panel - Right Stacking",'Job Sheet'!S19="Single Panel - Left Stacking")),"1",IF(AND('Job Sheet'!AB19="Hand Operation",OR('Job Sheet'!S19="Single Panel - Free Flowing",'Job Sheet'!S19="Centre Opening",'Job Sheet'!S19="Centre Opening (Offset Split)")),"2",IF(AND('Job Sheet'!AB19="Hand Operation",OR('Job Sheet'!S19="Centre Opening - Free Flowing",'Job Sheet'!S19="Centre Opening - Free Flowing (Offset Split)")),"4",""))))</f>
        <v/>
      </c>
      <c r="T18" s="27" t="str">
        <f>IF(OR(Data!BA19="",C18=""),"",'Job Sheet'!X19)</f>
        <v/>
      </c>
      <c r="U18" s="27" t="str">
        <f>IF(OR(Data!BA19="",C18=""),"",'Job Sheet'!AI19)</f>
        <v/>
      </c>
      <c r="V18" s="27" t="str">
        <f>IF(OR(Data!BA19="",C18=""),"",'Job Sheet'!AJ19)</f>
        <v/>
      </c>
      <c r="W18" s="27" t="str">
        <f>IF(ISERROR(VLOOKUP('Job Sheet'!BF19,Holdbacks,1,FALSE)),"",'Job Sheet'!BF19)</f>
        <v/>
      </c>
      <c r="X18" s="27" t="str">
        <f>IF(OR(Data!BA19="",C18=""),"",'Job Sheet'!BN19)</f>
        <v/>
      </c>
    </row>
    <row r="19" spans="1:24" s="61" customFormat="1" ht="60" customHeight="1">
      <c r="A19" s="226" t="str">
        <f>IF(OR(Data!BA20="",C19=""),"",Data!AW20)</f>
        <v/>
      </c>
      <c r="B19" s="236" t="str">
        <f>IF(OR(Data!BA20="",C19=""),"",'Job Sheet'!C20)</f>
        <v/>
      </c>
      <c r="C19" s="27" t="str">
        <f>IF('Job Sheet'!BH20="Track from Vanda",'Job Sheet'!Z20,"")</f>
        <v/>
      </c>
      <c r="D19" s="27" t="str">
        <f>IF(OR(Data!BA20="",C19=""),"",'Job Sheet'!AA20)</f>
        <v/>
      </c>
      <c r="E19" s="27" t="str">
        <f>IF(OR(Data!BA20="",C19=""),"",IF(U19="Straight",'Job Sheet'!BP20-55,'Job Sheet'!E20))</f>
        <v/>
      </c>
      <c r="F19" s="27" t="str">
        <f>IF(OR(Data!BA20="",C19=""),"",'Job Sheet'!I20)</f>
        <v/>
      </c>
      <c r="G19" s="27" t="str">
        <f>IF(OR(Data!BA20="",C19=""),"",'Job Sheet'!P20)</f>
        <v/>
      </c>
      <c r="H19" s="27" t="str">
        <f>IF(OR(Data!BA20="",C19=""),"",IF(VLOOKUP(CONCATENATE('Job Sheet'!Z20,D19,U19),TBSTracks,4,FALSE)="Yes",'Job Sheet'!Q20,""))</f>
        <v/>
      </c>
      <c r="I19" s="27" t="str">
        <f>IF(OR(Data!BA20="",C19=""),"",'Job Sheet'!S20)</f>
        <v/>
      </c>
      <c r="J19" s="27" t="str">
        <f>IF(OR(Data!BA20="",C19=""),"",'Job Sheet'!T20)</f>
        <v/>
      </c>
      <c r="K19" s="27" t="str">
        <f>IF(OR(Data!BA20="",C19=""),"",'Job Sheet'!U20)</f>
        <v/>
      </c>
      <c r="L19" s="27" t="str">
        <f>IF(OR(Data!BA20="",C19=""),"",'Job Sheet'!AD20)</f>
        <v/>
      </c>
      <c r="M19" s="27" t="str">
        <f>IF(OR(Data!BA20="",C19=""),"",'Job Sheet'!AB20)</f>
        <v/>
      </c>
      <c r="N19" s="27" t="str">
        <f>IF(OR(Data!BA20="",C19=""),"",'Job Sheet'!AC20)</f>
        <v/>
      </c>
      <c r="O19" s="27" t="str">
        <f>IF(OR(Data!BA20="",C19=""),"",'Job Sheet'!AE20)</f>
        <v/>
      </c>
      <c r="P19" s="27" t="str">
        <f>IF(OR(Data!BA20="",C19=""),"",'Job Sheet'!AF20)</f>
        <v/>
      </c>
      <c r="Q19" s="27" t="str">
        <f>IF(OR(Data!BA20="",C19=""),"",'Job Sheet'!AG20)</f>
        <v/>
      </c>
      <c r="R19" s="27" t="str">
        <f>IF(OR(Data!BA20="",C19=""),"",IF(VLOOKUP(CONCATENATE('Job Sheet'!BH20,'Job Sheet'!AH20),Flicksticks,2,FALSE)="No","Glides for Flicksticks Required",'Job Sheet'!AH20))</f>
        <v/>
      </c>
      <c r="S19" s="27" t="str">
        <f>IF(C19="","",IF(AND('Job Sheet'!AB20="Hand Operation",OR('Job Sheet'!S20="Single Panel - Right Stacking",'Job Sheet'!S20="Single Panel - Left Stacking")),"1",IF(AND('Job Sheet'!AB20="Hand Operation",OR('Job Sheet'!S20="Single Panel - Free Flowing",'Job Sheet'!S20="Centre Opening",'Job Sheet'!S20="Centre Opening (Offset Split)")),"2",IF(AND('Job Sheet'!AB20="Hand Operation",OR('Job Sheet'!S20="Centre Opening - Free Flowing",'Job Sheet'!S20="Centre Opening - Free Flowing (Offset Split)")),"4",""))))</f>
        <v/>
      </c>
      <c r="T19" s="27" t="str">
        <f>IF(OR(Data!BA20="",C19=""),"",'Job Sheet'!X20)</f>
        <v/>
      </c>
      <c r="U19" s="27" t="str">
        <f>IF(OR(Data!BA20="",C19=""),"",'Job Sheet'!AI20)</f>
        <v/>
      </c>
      <c r="V19" s="27" t="str">
        <f>IF(OR(Data!BA20="",C19=""),"",'Job Sheet'!AJ20)</f>
        <v/>
      </c>
      <c r="W19" s="27" t="str">
        <f>IF(ISERROR(VLOOKUP('Job Sheet'!BF20,Holdbacks,1,FALSE)),"",'Job Sheet'!BF20)</f>
        <v/>
      </c>
      <c r="X19" s="27" t="str">
        <f>IF(OR(Data!BA20="",C19=""),"",'Job Sheet'!BN20)</f>
        <v/>
      </c>
    </row>
    <row r="20" spans="1:24" s="32" customFormat="1" ht="60" customHeight="1">
      <c r="A20" s="226" t="str">
        <f>IF(OR(Data!BA21="",C20=""),"",Data!AW21)</f>
        <v/>
      </c>
      <c r="B20" s="236" t="str">
        <f>IF(OR(Data!BA21="",C20=""),"",'Job Sheet'!C21)</f>
        <v/>
      </c>
      <c r="C20" s="27" t="str">
        <f>IF('Job Sheet'!BH21="Track from Vanda",'Job Sheet'!Z21,"")</f>
        <v/>
      </c>
      <c r="D20" s="27" t="str">
        <f>IF(OR(Data!BA21="",C20=""),"",'Job Sheet'!AA21)</f>
        <v/>
      </c>
      <c r="E20" s="27" t="str">
        <f>IF(OR(Data!BA21="",C20=""),"",IF(U20="Straight",'Job Sheet'!BP21-55,'Job Sheet'!E21))</f>
        <v/>
      </c>
      <c r="F20" s="27" t="str">
        <f>IF(OR(Data!BA21="",C20=""),"",'Job Sheet'!I21)</f>
        <v/>
      </c>
      <c r="G20" s="27" t="str">
        <f>IF(OR(Data!BA21="",C20=""),"",'Job Sheet'!P21)</f>
        <v/>
      </c>
      <c r="H20" s="27" t="str">
        <f>IF(OR(Data!BA21="",C20=""),"",IF(VLOOKUP(CONCATENATE('Job Sheet'!Z21,D20,U20),TBSTracks,4,FALSE)="Yes",'Job Sheet'!Q21,""))</f>
        <v/>
      </c>
      <c r="I20" s="27" t="str">
        <f>IF(OR(Data!BA21="",C20=""),"",'Job Sheet'!S21)</f>
        <v/>
      </c>
      <c r="J20" s="27" t="str">
        <f>IF(OR(Data!BA21="",C20=""),"",'Job Sheet'!T21)</f>
        <v/>
      </c>
      <c r="K20" s="27" t="str">
        <f>IF(OR(Data!BA21="",C20=""),"",'Job Sheet'!U21)</f>
        <v/>
      </c>
      <c r="L20" s="27" t="str">
        <f>IF(OR(Data!BA21="",C20=""),"",'Job Sheet'!AD21)</f>
        <v/>
      </c>
      <c r="M20" s="27" t="str">
        <f>IF(OR(Data!BA21="",C20=""),"",'Job Sheet'!AB21)</f>
        <v/>
      </c>
      <c r="N20" s="27" t="str">
        <f>IF(OR(Data!BA21="",C20=""),"",'Job Sheet'!AC21)</f>
        <v/>
      </c>
      <c r="O20" s="27" t="str">
        <f>IF(OR(Data!BA21="",C20=""),"",'Job Sheet'!AE21)</f>
        <v/>
      </c>
      <c r="P20" s="27" t="str">
        <f>IF(OR(Data!BA21="",C20=""),"",'Job Sheet'!AF21)</f>
        <v/>
      </c>
      <c r="Q20" s="27" t="str">
        <f>IF(OR(Data!BA21="",C20=""),"",'Job Sheet'!AG21)</f>
        <v/>
      </c>
      <c r="R20" s="27" t="str">
        <f>IF(OR(Data!BA21="",C20=""),"",IF(VLOOKUP(CONCATENATE('Job Sheet'!BH21,'Job Sheet'!AH21),Flicksticks,2,FALSE)="No","Glides for Flicksticks Required",'Job Sheet'!AH21))</f>
        <v/>
      </c>
      <c r="S20" s="27" t="str">
        <f>IF(C20="","",IF(AND('Job Sheet'!AB21="Hand Operation",OR('Job Sheet'!S21="Single Panel - Right Stacking",'Job Sheet'!S21="Single Panel - Left Stacking")),"1",IF(AND('Job Sheet'!AB21="Hand Operation",OR('Job Sheet'!S21="Single Panel - Free Flowing",'Job Sheet'!S21="Centre Opening",'Job Sheet'!S21="Centre Opening (Offset Split)")),"2",IF(AND('Job Sheet'!AB21="Hand Operation",OR('Job Sheet'!S21="Centre Opening - Free Flowing",'Job Sheet'!S21="Centre Opening - Free Flowing (Offset Split)")),"4",""))))</f>
        <v/>
      </c>
      <c r="T20" s="27" t="str">
        <f>IF(OR(Data!BA21="",C20=""),"",'Job Sheet'!X21)</f>
        <v/>
      </c>
      <c r="U20" s="27" t="str">
        <f>IF(OR(Data!BA21="",C20=""),"",'Job Sheet'!AI21)</f>
        <v/>
      </c>
      <c r="V20" s="27" t="str">
        <f>IF(OR(Data!BA21="",C20=""),"",'Job Sheet'!AJ21)</f>
        <v/>
      </c>
      <c r="W20" s="27" t="str">
        <f>IF(ISERROR(VLOOKUP('Job Sheet'!BF21,Holdbacks,1,FALSE)),"",'Job Sheet'!BF21)</f>
        <v/>
      </c>
      <c r="X20" s="27" t="str">
        <f>IF(OR(Data!BA21="",C20=""),"",'Job Sheet'!BN21)</f>
        <v/>
      </c>
    </row>
    <row r="21" spans="1:24" s="32" customFormat="1" ht="60" customHeight="1">
      <c r="A21" s="226" t="str">
        <f>IF(OR(Data!BA22="",C21=""),"",Data!AW22)</f>
        <v/>
      </c>
      <c r="B21" s="236" t="str">
        <f>IF(OR(Data!BA22="",C21=""),"",'Job Sheet'!C22)</f>
        <v/>
      </c>
      <c r="C21" s="27" t="str">
        <f>IF('Job Sheet'!BH22="Track from Vanda",'Job Sheet'!Z22,"")</f>
        <v/>
      </c>
      <c r="D21" s="27" t="str">
        <f>IF(OR(Data!BA22="",C21=""),"",'Job Sheet'!AA22)</f>
        <v/>
      </c>
      <c r="E21" s="27" t="str">
        <f>IF(OR(Data!BA22="",C21=""),"",IF(U21="Straight",'Job Sheet'!BP22-55,'Job Sheet'!E22))</f>
        <v/>
      </c>
      <c r="F21" s="27" t="str">
        <f>IF(OR(Data!BA22="",C21=""),"",'Job Sheet'!I22)</f>
        <v/>
      </c>
      <c r="G21" s="27" t="str">
        <f>IF(OR(Data!BA22="",C21=""),"",'Job Sheet'!P22)</f>
        <v/>
      </c>
      <c r="H21" s="27" t="str">
        <f>IF(OR(Data!BA22="",C21=""),"",IF(VLOOKUP(CONCATENATE('Job Sheet'!Z22,D21,U21),TBSTracks,4,FALSE)="Yes",'Job Sheet'!Q22,""))</f>
        <v/>
      </c>
      <c r="I21" s="27" t="str">
        <f>IF(OR(Data!BA22="",C21=""),"",'Job Sheet'!S22)</f>
        <v/>
      </c>
      <c r="J21" s="27" t="str">
        <f>IF(OR(Data!BA22="",C21=""),"",'Job Sheet'!T22)</f>
        <v/>
      </c>
      <c r="K21" s="27" t="str">
        <f>IF(OR(Data!BA22="",C21=""),"",'Job Sheet'!U22)</f>
        <v/>
      </c>
      <c r="L21" s="27" t="str">
        <f>IF(OR(Data!BA22="",C21=""),"",'Job Sheet'!AD22)</f>
        <v/>
      </c>
      <c r="M21" s="27" t="str">
        <f>IF(OR(Data!BA22="",C21=""),"",'Job Sheet'!AB22)</f>
        <v/>
      </c>
      <c r="N21" s="27" t="str">
        <f>IF(OR(Data!BA22="",C21=""),"",'Job Sheet'!AC22)</f>
        <v/>
      </c>
      <c r="O21" s="27" t="str">
        <f>IF(OR(Data!BA22="",C21=""),"",'Job Sheet'!AE22)</f>
        <v/>
      </c>
      <c r="P21" s="27" t="str">
        <f>IF(OR(Data!BA22="",C21=""),"",'Job Sheet'!AF22)</f>
        <v/>
      </c>
      <c r="Q21" s="27" t="str">
        <f>IF(OR(Data!BA22="",C21=""),"",'Job Sheet'!AG22)</f>
        <v/>
      </c>
      <c r="R21" s="27" t="str">
        <f>IF(OR(Data!BA22="",C21=""),"",IF(VLOOKUP(CONCATENATE('Job Sheet'!BH22,'Job Sheet'!AH22),Flicksticks,2,FALSE)="No","Glides for Flicksticks Required",'Job Sheet'!AH22))</f>
        <v/>
      </c>
      <c r="S21" s="27" t="str">
        <f>IF(C21="","",IF(AND('Job Sheet'!AB22="Hand Operation",OR('Job Sheet'!S22="Single Panel - Right Stacking",'Job Sheet'!S22="Single Panel - Left Stacking")),"1",IF(AND('Job Sheet'!AB22="Hand Operation",OR('Job Sheet'!S22="Single Panel - Free Flowing",'Job Sheet'!S22="Centre Opening",'Job Sheet'!S22="Centre Opening (Offset Split)")),"2",IF(AND('Job Sheet'!AB22="Hand Operation",OR('Job Sheet'!S22="Centre Opening - Free Flowing",'Job Sheet'!S22="Centre Opening - Free Flowing (Offset Split)")),"4",""))))</f>
        <v/>
      </c>
      <c r="T21" s="27" t="str">
        <f>IF(OR(Data!BA22="",C21=""),"",'Job Sheet'!X22)</f>
        <v/>
      </c>
      <c r="U21" s="27" t="str">
        <f>IF(OR(Data!BA22="",C21=""),"",'Job Sheet'!AI22)</f>
        <v/>
      </c>
      <c r="V21" s="27" t="str">
        <f>IF(OR(Data!BA22="",C21=""),"",'Job Sheet'!AJ22)</f>
        <v/>
      </c>
      <c r="W21" s="27" t="str">
        <f>IF(ISERROR(VLOOKUP('Job Sheet'!BF22,Holdbacks,1,FALSE)),"",'Job Sheet'!BF22)</f>
        <v/>
      </c>
      <c r="X21" s="27" t="str">
        <f>IF(OR(Data!BA22="",C21=""),"",'Job Sheet'!BN22)</f>
        <v/>
      </c>
    </row>
    <row r="22" spans="1:20" s="32" customFormat="1" ht="60" customHeight="1">
      <c r="A22" s="64"/>
      <c r="B22" s="64"/>
      <c r="C22" s="64"/>
      <c r="D22" s="64"/>
      <c r="E22" s="64"/>
      <c r="F22" s="64"/>
      <c r="G22" s="64"/>
      <c r="H22" s="64"/>
      <c r="I22" s="64"/>
      <c r="J22" s="65"/>
      <c r="K22" s="65"/>
      <c r="L22" s="64"/>
      <c r="M22" s="64"/>
      <c r="N22" s="64"/>
      <c r="O22" s="64"/>
      <c r="P22" s="64"/>
      <c r="Q22" s="64"/>
      <c r="R22" s="64"/>
      <c r="S22" s="64"/>
      <c r="T22" s="64"/>
    </row>
    <row r="23" spans="1:20" s="32" customFormat="1" ht="60" customHeight="1">
      <c r="A23" s="64"/>
      <c r="B23" s="64"/>
      <c r="C23" s="64"/>
      <c r="D23" s="64"/>
      <c r="E23" s="64"/>
      <c r="F23" s="64"/>
      <c r="G23" s="64"/>
      <c r="H23" s="64"/>
      <c r="I23" s="64"/>
      <c r="J23" s="65"/>
      <c r="K23" s="65"/>
      <c r="L23" s="64"/>
      <c r="M23" s="64"/>
      <c r="N23" s="64"/>
      <c r="O23" s="64"/>
      <c r="P23" s="64"/>
      <c r="Q23" s="64"/>
      <c r="R23" s="64"/>
      <c r="S23" s="64"/>
      <c r="T23" s="64"/>
    </row>
    <row r="24" spans="1:20" s="32" customFormat="1" ht="60" customHeight="1">
      <c r="A24" s="64"/>
      <c r="B24" s="64"/>
      <c r="C24" s="64"/>
      <c r="D24" s="64"/>
      <c r="E24" s="64"/>
      <c r="F24" s="64"/>
      <c r="G24" s="64"/>
      <c r="H24" s="64"/>
      <c r="I24" s="64"/>
      <c r="J24" s="65"/>
      <c r="K24" s="65"/>
      <c r="L24" s="64"/>
      <c r="M24" s="64"/>
      <c r="N24" s="64"/>
      <c r="O24" s="64"/>
      <c r="P24" s="64"/>
      <c r="Q24" s="64"/>
      <c r="R24" s="64"/>
      <c r="S24" s="64"/>
      <c r="T24" s="64"/>
    </row>
    <row r="25" spans="1:20" s="32" customFormat="1" ht="60" customHeight="1">
      <c r="A25" s="64"/>
      <c r="B25" s="64"/>
      <c r="C25" s="64"/>
      <c r="D25" s="64"/>
      <c r="E25" s="64"/>
      <c r="F25" s="64"/>
      <c r="G25" s="64"/>
      <c r="H25" s="64"/>
      <c r="I25" s="64"/>
      <c r="J25" s="65"/>
      <c r="K25" s="65"/>
      <c r="L25" s="64"/>
      <c r="M25" s="64"/>
      <c r="N25" s="64"/>
      <c r="O25" s="64"/>
      <c r="P25" s="64"/>
      <c r="Q25" s="64"/>
      <c r="R25" s="64"/>
      <c r="S25" s="64"/>
      <c r="T25" s="64"/>
    </row>
    <row r="26" spans="1:20" s="32" customFormat="1" ht="60" customHeight="1">
      <c r="A26" s="64"/>
      <c r="B26" s="64"/>
      <c r="C26" s="64"/>
      <c r="D26" s="64"/>
      <c r="E26" s="64"/>
      <c r="F26" s="64"/>
      <c r="G26" s="64"/>
      <c r="H26" s="64"/>
      <c r="I26" s="64"/>
      <c r="J26" s="65"/>
      <c r="K26" s="65"/>
      <c r="L26" s="64"/>
      <c r="M26" s="64"/>
      <c r="N26" s="64"/>
      <c r="O26" s="64"/>
      <c r="P26" s="64"/>
      <c r="Q26" s="64"/>
      <c r="R26" s="64"/>
      <c r="S26" s="64"/>
      <c r="T26" s="64"/>
    </row>
    <row r="27" spans="1:20" s="32" customFormat="1" ht="60" customHeight="1">
      <c r="A27" s="64"/>
      <c r="B27" s="64"/>
      <c r="C27" s="64"/>
      <c r="D27" s="64"/>
      <c r="E27" s="64"/>
      <c r="F27" s="64"/>
      <c r="G27" s="64"/>
      <c r="H27" s="64"/>
      <c r="I27" s="64"/>
      <c r="J27" s="65"/>
      <c r="K27" s="65"/>
      <c r="L27" s="64"/>
      <c r="M27" s="64"/>
      <c r="N27" s="64"/>
      <c r="O27" s="64"/>
      <c r="P27" s="64"/>
      <c r="Q27" s="64"/>
      <c r="R27" s="64"/>
      <c r="S27" s="64"/>
      <c r="T27" s="64"/>
    </row>
    <row r="28" spans="1:20" s="32" customFormat="1" ht="60" customHeight="1">
      <c r="A28" s="64"/>
      <c r="B28" s="64"/>
      <c r="C28" s="64"/>
      <c r="D28" s="64"/>
      <c r="E28" s="64"/>
      <c r="F28" s="64"/>
      <c r="G28" s="64"/>
      <c r="H28" s="64"/>
      <c r="I28" s="64"/>
      <c r="J28" s="65"/>
      <c r="K28" s="65"/>
      <c r="L28" s="64"/>
      <c r="M28" s="64"/>
      <c r="N28" s="64"/>
      <c r="O28" s="64"/>
      <c r="P28" s="64"/>
      <c r="Q28" s="64"/>
      <c r="R28" s="64"/>
      <c r="S28" s="64"/>
      <c r="T28" s="64"/>
    </row>
    <row r="29" spans="1:20" s="32" customFormat="1" ht="60" customHeight="1">
      <c r="A29" s="64"/>
      <c r="B29" s="64"/>
      <c r="C29" s="64"/>
      <c r="D29" s="64"/>
      <c r="E29" s="64"/>
      <c r="F29" s="64"/>
      <c r="G29" s="64"/>
      <c r="H29" s="64"/>
      <c r="I29" s="64"/>
      <c r="J29" s="65"/>
      <c r="K29" s="65"/>
      <c r="L29" s="64"/>
      <c r="M29" s="64"/>
      <c r="N29" s="64"/>
      <c r="O29" s="64"/>
      <c r="P29" s="64"/>
      <c r="Q29" s="64"/>
      <c r="R29" s="64"/>
      <c r="S29" s="64"/>
      <c r="T29" s="64"/>
    </row>
    <row r="30" spans="1:20" s="32" customFormat="1" ht="60" customHeight="1">
      <c r="A30" s="64"/>
      <c r="B30" s="64"/>
      <c r="C30" s="64"/>
      <c r="D30" s="64"/>
      <c r="E30" s="64"/>
      <c r="F30" s="64"/>
      <c r="G30" s="64"/>
      <c r="H30" s="64"/>
      <c r="I30" s="64"/>
      <c r="J30" s="65"/>
      <c r="K30" s="65"/>
      <c r="L30" s="64"/>
      <c r="M30" s="64"/>
      <c r="N30" s="64"/>
      <c r="O30" s="64"/>
      <c r="P30" s="64"/>
      <c r="Q30" s="64"/>
      <c r="R30" s="64"/>
      <c r="S30" s="64"/>
      <c r="T30" s="64"/>
    </row>
    <row r="31" spans="1:20" s="32" customFormat="1" ht="60" customHeight="1">
      <c r="A31" s="64"/>
      <c r="B31" s="64"/>
      <c r="C31" s="64"/>
      <c r="D31" s="64"/>
      <c r="E31" s="64"/>
      <c r="F31" s="64"/>
      <c r="G31" s="64"/>
      <c r="H31" s="64"/>
      <c r="I31" s="64"/>
      <c r="J31" s="65"/>
      <c r="K31" s="65"/>
      <c r="L31" s="64"/>
      <c r="M31" s="64"/>
      <c r="N31" s="64"/>
      <c r="O31" s="64"/>
      <c r="P31" s="64"/>
      <c r="Q31" s="64"/>
      <c r="R31" s="64"/>
      <c r="S31" s="64"/>
      <c r="T31" s="64"/>
    </row>
    <row r="32" spans="1:20" s="32" customFormat="1" ht="60" customHeight="1">
      <c r="A32" s="64"/>
      <c r="B32" s="64"/>
      <c r="C32" s="64"/>
      <c r="D32" s="64"/>
      <c r="E32" s="64"/>
      <c r="F32" s="64"/>
      <c r="G32" s="64"/>
      <c r="H32" s="64"/>
      <c r="I32" s="64"/>
      <c r="J32" s="65"/>
      <c r="K32" s="65"/>
      <c r="L32" s="64"/>
      <c r="M32" s="64"/>
      <c r="N32" s="64"/>
      <c r="O32" s="64"/>
      <c r="P32" s="64"/>
      <c r="Q32" s="64"/>
      <c r="R32" s="64"/>
      <c r="S32" s="64"/>
      <c r="T32" s="64"/>
    </row>
    <row r="33" spans="1:20" s="32" customFormat="1" ht="60" customHeight="1">
      <c r="A33" s="64"/>
      <c r="B33" s="64"/>
      <c r="C33" s="64"/>
      <c r="D33" s="64"/>
      <c r="E33" s="64"/>
      <c r="F33" s="64"/>
      <c r="G33" s="64"/>
      <c r="H33" s="64"/>
      <c r="I33" s="64"/>
      <c r="J33" s="65"/>
      <c r="K33" s="65"/>
      <c r="L33" s="64"/>
      <c r="M33" s="64"/>
      <c r="N33" s="64"/>
      <c r="O33" s="64"/>
      <c r="P33" s="64"/>
      <c r="Q33" s="64"/>
      <c r="R33" s="64"/>
      <c r="S33" s="64"/>
      <c r="T33" s="64"/>
    </row>
    <row r="34" spans="1:20" s="32" customFormat="1" ht="60" customHeight="1">
      <c r="A34" s="64"/>
      <c r="B34" s="64"/>
      <c r="C34" s="64"/>
      <c r="D34" s="64"/>
      <c r="E34" s="64"/>
      <c r="F34" s="64"/>
      <c r="G34" s="64"/>
      <c r="H34" s="64"/>
      <c r="I34" s="64"/>
      <c r="J34" s="65"/>
      <c r="K34" s="65"/>
      <c r="L34" s="64"/>
      <c r="M34" s="64"/>
      <c r="N34" s="64"/>
      <c r="O34" s="64"/>
      <c r="P34" s="64"/>
      <c r="Q34" s="64"/>
      <c r="R34" s="64"/>
      <c r="S34" s="64"/>
      <c r="T34" s="64"/>
    </row>
    <row r="35" spans="1:24" ht="60" customHeight="1">
      <c r="A35" s="64"/>
      <c r="B35" s="64"/>
      <c r="C35" s="64"/>
      <c r="D35" s="64"/>
      <c r="E35" s="64"/>
      <c r="F35" s="64"/>
      <c r="G35" s="64"/>
      <c r="H35" s="64"/>
      <c r="I35" s="64"/>
      <c r="J35" s="65"/>
      <c r="K35" s="65"/>
      <c r="L35" s="64"/>
      <c r="M35" s="64"/>
      <c r="N35" s="64"/>
      <c r="O35" s="64"/>
      <c r="P35" s="64"/>
      <c r="Q35" s="64"/>
      <c r="R35" s="64"/>
      <c r="S35" s="64"/>
      <c r="T35" s="64"/>
      <c r="U35" s="32"/>
      <c r="V35" s="32"/>
      <c r="W35" s="32"/>
      <c r="X35" s="32"/>
    </row>
    <row r="36" spans="1:24" ht="60" customHeight="1">
      <c r="A36" s="64"/>
      <c r="B36" s="64"/>
      <c r="C36" s="64"/>
      <c r="D36" s="64"/>
      <c r="E36" s="64"/>
      <c r="F36" s="64"/>
      <c r="G36" s="64"/>
      <c r="H36" s="64"/>
      <c r="I36" s="64"/>
      <c r="J36" s="65"/>
      <c r="K36" s="65"/>
      <c r="L36" s="64"/>
      <c r="M36" s="64"/>
      <c r="N36" s="64"/>
      <c r="O36" s="64"/>
      <c r="P36" s="64"/>
      <c r="Q36" s="64"/>
      <c r="R36" s="64"/>
      <c r="S36" s="64"/>
      <c r="T36" s="64"/>
      <c r="U36" s="32"/>
      <c r="V36" s="32"/>
      <c r="W36" s="32"/>
      <c r="X36" s="32"/>
    </row>
    <row r="37" spans="1:24" ht="60" customHeight="1">
      <c r="A37" s="64"/>
      <c r="B37" s="64"/>
      <c r="C37" s="64"/>
      <c r="D37" s="64"/>
      <c r="E37" s="64"/>
      <c r="F37" s="64"/>
      <c r="G37" s="64"/>
      <c r="H37" s="64"/>
      <c r="I37" s="64"/>
      <c r="J37" s="65"/>
      <c r="K37" s="65"/>
      <c r="L37" s="64"/>
      <c r="M37" s="64"/>
      <c r="N37" s="64"/>
      <c r="O37" s="64"/>
      <c r="P37" s="64"/>
      <c r="Q37" s="64"/>
      <c r="R37" s="64"/>
      <c r="S37" s="64"/>
      <c r="T37" s="64"/>
      <c r="U37" s="32"/>
      <c r="V37" s="32"/>
      <c r="W37" s="32"/>
      <c r="X37" s="32"/>
    </row>
    <row r="38" spans="1:24" ht="60" customHeight="1">
      <c r="A38" s="64"/>
      <c r="B38" s="64"/>
      <c r="C38" s="64"/>
      <c r="D38" s="64"/>
      <c r="E38" s="64"/>
      <c r="F38" s="64"/>
      <c r="G38" s="64"/>
      <c r="H38" s="64"/>
      <c r="I38" s="64"/>
      <c r="J38" s="65"/>
      <c r="K38" s="65"/>
      <c r="L38" s="64"/>
      <c r="M38" s="64"/>
      <c r="N38" s="64"/>
      <c r="O38" s="64"/>
      <c r="P38" s="64"/>
      <c r="Q38" s="64"/>
      <c r="R38" s="64"/>
      <c r="S38" s="64"/>
      <c r="T38" s="64"/>
      <c r="U38" s="32"/>
      <c r="V38" s="32"/>
      <c r="W38" s="32"/>
      <c r="X38" s="32"/>
    </row>
    <row r="39" spans="1:24" ht="60" customHeight="1">
      <c r="A39" s="64"/>
      <c r="B39" s="64"/>
      <c r="C39" s="64"/>
      <c r="D39" s="64"/>
      <c r="E39" s="64"/>
      <c r="F39" s="64"/>
      <c r="G39" s="64"/>
      <c r="H39" s="64"/>
      <c r="I39" s="64"/>
      <c r="J39" s="65"/>
      <c r="K39" s="65"/>
      <c r="L39" s="64"/>
      <c r="M39" s="64"/>
      <c r="N39" s="64"/>
      <c r="O39" s="64"/>
      <c r="P39" s="64"/>
      <c r="Q39" s="64"/>
      <c r="R39" s="64"/>
      <c r="S39" s="64"/>
      <c r="T39" s="64"/>
      <c r="U39" s="32"/>
      <c r="V39" s="32"/>
      <c r="W39" s="32"/>
      <c r="X39" s="32"/>
    </row>
    <row r="40" spans="1:24" ht="60" customHeight="1">
      <c r="A40" s="64"/>
      <c r="B40" s="64"/>
      <c r="C40" s="64"/>
      <c r="D40" s="64"/>
      <c r="E40" s="64"/>
      <c r="F40" s="64"/>
      <c r="G40" s="64"/>
      <c r="H40" s="64"/>
      <c r="I40" s="64"/>
      <c r="J40" s="65"/>
      <c r="K40" s="65"/>
      <c r="L40" s="64"/>
      <c r="M40" s="64"/>
      <c r="N40" s="64"/>
      <c r="O40" s="64"/>
      <c r="P40" s="64"/>
      <c r="Q40" s="64"/>
      <c r="R40" s="64"/>
      <c r="S40" s="64"/>
      <c r="T40" s="64"/>
      <c r="U40" s="32"/>
      <c r="V40" s="32"/>
      <c r="W40" s="32"/>
      <c r="X40" s="32"/>
    </row>
    <row r="41" spans="1:24" ht="60" customHeight="1">
      <c r="A41" s="64"/>
      <c r="B41" s="64"/>
      <c r="C41" s="64"/>
      <c r="D41" s="64"/>
      <c r="E41" s="64"/>
      <c r="F41" s="64"/>
      <c r="G41" s="64"/>
      <c r="H41" s="64"/>
      <c r="I41" s="64"/>
      <c r="J41" s="65"/>
      <c r="K41" s="65"/>
      <c r="L41" s="64"/>
      <c r="M41" s="64"/>
      <c r="N41" s="64"/>
      <c r="O41" s="64"/>
      <c r="P41" s="64"/>
      <c r="Q41" s="64"/>
      <c r="R41" s="64"/>
      <c r="S41" s="64"/>
      <c r="T41" s="64"/>
      <c r="U41" s="32"/>
      <c r="V41" s="32"/>
      <c r="W41" s="32"/>
      <c r="X41" s="32"/>
    </row>
    <row r="42" spans="1:24" ht="60" customHeight="1">
      <c r="A42" s="64"/>
      <c r="B42" s="64"/>
      <c r="C42" s="64"/>
      <c r="D42" s="64"/>
      <c r="E42" s="64"/>
      <c r="F42" s="64"/>
      <c r="G42" s="64"/>
      <c r="H42" s="64"/>
      <c r="I42" s="64"/>
      <c r="J42" s="65"/>
      <c r="K42" s="65"/>
      <c r="L42" s="64"/>
      <c r="M42" s="64"/>
      <c r="N42" s="64"/>
      <c r="O42" s="64"/>
      <c r="P42" s="64"/>
      <c r="Q42" s="64"/>
      <c r="R42" s="64"/>
      <c r="S42" s="64"/>
      <c r="T42" s="64"/>
      <c r="U42" s="32"/>
      <c r="V42" s="32"/>
      <c r="W42" s="32"/>
      <c r="X42" s="32"/>
    </row>
    <row r="43" spans="1:24" ht="60" customHeight="1">
      <c r="A43" s="64"/>
      <c r="B43" s="64"/>
      <c r="C43" s="64"/>
      <c r="D43" s="64"/>
      <c r="E43" s="64"/>
      <c r="F43" s="64"/>
      <c r="G43" s="64"/>
      <c r="H43" s="64"/>
      <c r="I43" s="64"/>
      <c r="J43" s="65"/>
      <c r="K43" s="65"/>
      <c r="L43" s="64"/>
      <c r="M43" s="64"/>
      <c r="N43" s="64"/>
      <c r="O43" s="64"/>
      <c r="P43" s="64"/>
      <c r="Q43" s="64"/>
      <c r="R43" s="64"/>
      <c r="S43" s="64"/>
      <c r="T43" s="64"/>
      <c r="U43" s="32"/>
      <c r="V43" s="32"/>
      <c r="W43" s="32"/>
      <c r="X43" s="32"/>
    </row>
    <row r="44" spans="1:24" ht="60" customHeight="1">
      <c r="A44" s="64"/>
      <c r="B44" s="64"/>
      <c r="C44" s="64"/>
      <c r="D44" s="64"/>
      <c r="E44" s="64"/>
      <c r="F44" s="64"/>
      <c r="G44" s="64"/>
      <c r="H44" s="64"/>
      <c r="I44" s="64"/>
      <c r="J44" s="65"/>
      <c r="K44" s="65"/>
      <c r="L44" s="64"/>
      <c r="M44" s="64"/>
      <c r="N44" s="64"/>
      <c r="O44" s="64"/>
      <c r="P44" s="64"/>
      <c r="Q44" s="64"/>
      <c r="R44" s="64"/>
      <c r="S44" s="64"/>
      <c r="T44" s="64"/>
      <c r="U44" s="32"/>
      <c r="V44" s="32"/>
      <c r="W44" s="32"/>
      <c r="X44" s="32"/>
    </row>
    <row r="45" spans="1:24" ht="60" customHeight="1">
      <c r="A45" s="64"/>
      <c r="B45" s="64"/>
      <c r="C45" s="64"/>
      <c r="D45" s="64"/>
      <c r="E45" s="64"/>
      <c r="F45" s="64"/>
      <c r="G45" s="64"/>
      <c r="H45" s="64"/>
      <c r="I45" s="64"/>
      <c r="J45" s="65"/>
      <c r="K45" s="65"/>
      <c r="L45" s="64"/>
      <c r="M45" s="64"/>
      <c r="N45" s="64"/>
      <c r="O45" s="64"/>
      <c r="P45" s="64"/>
      <c r="Q45" s="64"/>
      <c r="R45" s="64"/>
      <c r="S45" s="64"/>
      <c r="T45" s="64"/>
      <c r="U45" s="32"/>
      <c r="V45" s="32"/>
      <c r="W45" s="32"/>
      <c r="X45" s="32"/>
    </row>
    <row r="46" spans="1:24" ht="60" customHeight="1">
      <c r="A46" s="64"/>
      <c r="B46" s="64"/>
      <c r="C46" s="64"/>
      <c r="D46" s="64"/>
      <c r="E46" s="64"/>
      <c r="F46" s="64"/>
      <c r="G46" s="64"/>
      <c r="H46" s="64"/>
      <c r="I46" s="64"/>
      <c r="J46" s="65"/>
      <c r="K46" s="65"/>
      <c r="L46" s="64"/>
      <c r="M46" s="64"/>
      <c r="N46" s="64"/>
      <c r="O46" s="64"/>
      <c r="P46" s="64"/>
      <c r="Q46" s="64"/>
      <c r="R46" s="64"/>
      <c r="S46" s="64"/>
      <c r="T46" s="64"/>
      <c r="U46" s="32"/>
      <c r="V46" s="32"/>
      <c r="W46" s="32"/>
      <c r="X46" s="32"/>
    </row>
    <row r="47" spans="1:24" ht="60" customHeight="1">
      <c r="A47" s="64"/>
      <c r="B47" s="64"/>
      <c r="C47" s="64"/>
      <c r="D47" s="64"/>
      <c r="E47" s="64"/>
      <c r="F47" s="64"/>
      <c r="G47" s="64"/>
      <c r="H47" s="64"/>
      <c r="I47" s="64"/>
      <c r="J47" s="65"/>
      <c r="K47" s="65"/>
      <c r="L47" s="64"/>
      <c r="M47" s="64"/>
      <c r="N47" s="64"/>
      <c r="O47" s="64"/>
      <c r="P47" s="64"/>
      <c r="Q47" s="64"/>
      <c r="R47" s="64"/>
      <c r="S47" s="64"/>
      <c r="T47" s="64"/>
      <c r="U47" s="32"/>
      <c r="V47" s="32"/>
      <c r="W47" s="32"/>
      <c r="X47" s="32"/>
    </row>
    <row r="48" spans="1:24" ht="60" customHeight="1">
      <c r="A48" s="64"/>
      <c r="B48" s="64"/>
      <c r="C48" s="64"/>
      <c r="D48" s="64"/>
      <c r="E48" s="64"/>
      <c r="F48" s="64"/>
      <c r="G48" s="64"/>
      <c r="H48" s="64"/>
      <c r="I48" s="64"/>
      <c r="J48" s="65"/>
      <c r="K48" s="65"/>
      <c r="L48" s="64"/>
      <c r="M48" s="64"/>
      <c r="N48" s="64"/>
      <c r="O48" s="64"/>
      <c r="P48" s="64"/>
      <c r="Q48" s="64"/>
      <c r="R48" s="64"/>
      <c r="S48" s="64"/>
      <c r="T48" s="64"/>
      <c r="U48" s="32"/>
      <c r="V48" s="32"/>
      <c r="W48" s="32"/>
      <c r="X48" s="32"/>
    </row>
    <row r="49" spans="1:24" ht="60" customHeight="1">
      <c r="A49" s="64"/>
      <c r="B49" s="64"/>
      <c r="C49" s="64"/>
      <c r="D49" s="64"/>
      <c r="E49" s="64"/>
      <c r="F49" s="64"/>
      <c r="G49" s="64"/>
      <c r="H49" s="64"/>
      <c r="I49" s="64"/>
      <c r="J49" s="65"/>
      <c r="K49" s="65"/>
      <c r="L49" s="64"/>
      <c r="M49" s="64"/>
      <c r="N49" s="64"/>
      <c r="O49" s="64"/>
      <c r="P49" s="64"/>
      <c r="Q49" s="64"/>
      <c r="R49" s="64"/>
      <c r="S49" s="64"/>
      <c r="T49" s="64"/>
      <c r="U49" s="32"/>
      <c r="V49" s="32"/>
      <c r="W49" s="32"/>
      <c r="X49" s="32"/>
    </row>
    <row r="50" spans="1:24" ht="60" customHeight="1">
      <c r="A50" s="64"/>
      <c r="B50" s="64"/>
      <c r="C50" s="64"/>
      <c r="D50" s="64"/>
      <c r="E50" s="64"/>
      <c r="F50" s="64"/>
      <c r="G50" s="64"/>
      <c r="H50" s="64"/>
      <c r="I50" s="64"/>
      <c r="J50" s="65"/>
      <c r="K50" s="65"/>
      <c r="L50" s="64"/>
      <c r="M50" s="64"/>
      <c r="N50" s="64"/>
      <c r="O50" s="64"/>
      <c r="P50" s="64"/>
      <c r="Q50" s="64"/>
      <c r="R50" s="64"/>
      <c r="S50" s="64"/>
      <c r="T50" s="64"/>
      <c r="U50" s="32"/>
      <c r="V50" s="32"/>
      <c r="W50" s="32"/>
      <c r="X50" s="32"/>
    </row>
    <row r="51" spans="1:24" ht="60" customHeight="1">
      <c r="A51" s="64"/>
      <c r="B51" s="64"/>
      <c r="C51" s="64"/>
      <c r="D51" s="64"/>
      <c r="E51" s="64"/>
      <c r="F51" s="64"/>
      <c r="G51" s="64"/>
      <c r="H51" s="64"/>
      <c r="I51" s="64"/>
      <c r="J51" s="65"/>
      <c r="K51" s="65"/>
      <c r="L51" s="64"/>
      <c r="M51" s="64"/>
      <c r="N51" s="64"/>
      <c r="O51" s="64"/>
      <c r="P51" s="64"/>
      <c r="Q51" s="64"/>
      <c r="R51" s="64"/>
      <c r="S51" s="64"/>
      <c r="T51" s="64"/>
      <c r="U51" s="32"/>
      <c r="V51" s="32"/>
      <c r="W51" s="32"/>
      <c r="X51" s="32"/>
    </row>
    <row r="52" spans="1:24" ht="60" customHeight="1">
      <c r="A52" s="64"/>
      <c r="B52" s="64"/>
      <c r="C52" s="64"/>
      <c r="D52" s="64"/>
      <c r="E52" s="64"/>
      <c r="F52" s="64"/>
      <c r="G52" s="64"/>
      <c r="H52" s="64"/>
      <c r="I52" s="64"/>
      <c r="J52" s="65"/>
      <c r="K52" s="65"/>
      <c r="L52" s="64"/>
      <c r="M52" s="64"/>
      <c r="N52" s="64"/>
      <c r="O52" s="64"/>
      <c r="P52" s="64"/>
      <c r="Q52" s="64"/>
      <c r="R52" s="64"/>
      <c r="S52" s="64"/>
      <c r="T52" s="64"/>
      <c r="U52" s="32"/>
      <c r="V52" s="32"/>
      <c r="W52" s="32"/>
      <c r="X52" s="32"/>
    </row>
    <row r="53" spans="1:24" ht="60" customHeight="1">
      <c r="A53" s="64"/>
      <c r="B53" s="64"/>
      <c r="C53" s="64"/>
      <c r="D53" s="64"/>
      <c r="E53" s="64"/>
      <c r="F53" s="64"/>
      <c r="G53" s="64"/>
      <c r="H53" s="64"/>
      <c r="I53" s="64"/>
      <c r="J53" s="65"/>
      <c r="K53" s="65"/>
      <c r="L53" s="64"/>
      <c r="M53" s="64"/>
      <c r="N53" s="64"/>
      <c r="O53" s="64"/>
      <c r="P53" s="64"/>
      <c r="Q53" s="64"/>
      <c r="R53" s="64"/>
      <c r="S53" s="64"/>
      <c r="T53" s="64"/>
      <c r="U53" s="32"/>
      <c r="V53" s="32"/>
      <c r="W53" s="32"/>
      <c r="X53" s="32"/>
    </row>
    <row r="54" spans="1:24" ht="60" customHeight="1">
      <c r="A54" s="64"/>
      <c r="B54" s="64"/>
      <c r="C54" s="64"/>
      <c r="D54" s="64"/>
      <c r="E54" s="64"/>
      <c r="F54" s="64"/>
      <c r="G54" s="64"/>
      <c r="H54" s="64"/>
      <c r="I54" s="64"/>
      <c r="J54" s="65"/>
      <c r="K54" s="65"/>
      <c r="L54" s="64"/>
      <c r="M54" s="64"/>
      <c r="N54" s="64"/>
      <c r="O54" s="64"/>
      <c r="P54" s="64"/>
      <c r="Q54" s="64"/>
      <c r="R54" s="64"/>
      <c r="S54" s="64"/>
      <c r="T54" s="64"/>
      <c r="U54" s="32"/>
      <c r="V54" s="32"/>
      <c r="W54" s="32"/>
      <c r="X54" s="32"/>
    </row>
    <row r="55" spans="1:24" ht="60" customHeight="1">
      <c r="A55" s="64"/>
      <c r="B55" s="64"/>
      <c r="C55" s="64"/>
      <c r="D55" s="64"/>
      <c r="E55" s="64"/>
      <c r="F55" s="64"/>
      <c r="G55" s="64"/>
      <c r="H55" s="64"/>
      <c r="I55" s="64"/>
      <c r="J55" s="65"/>
      <c r="K55" s="65"/>
      <c r="L55" s="64"/>
      <c r="M55" s="64"/>
      <c r="N55" s="64"/>
      <c r="O55" s="64"/>
      <c r="P55" s="64"/>
      <c r="Q55" s="64"/>
      <c r="R55" s="64"/>
      <c r="S55" s="64"/>
      <c r="T55" s="64"/>
      <c r="U55" s="32"/>
      <c r="V55" s="32"/>
      <c r="W55" s="32"/>
      <c r="X55" s="32"/>
    </row>
    <row r="56" spans="1:24" ht="60" customHeight="1">
      <c r="A56" s="64"/>
      <c r="B56" s="64"/>
      <c r="C56" s="64"/>
      <c r="D56" s="64"/>
      <c r="E56" s="64"/>
      <c r="F56" s="64"/>
      <c r="G56" s="64"/>
      <c r="H56" s="64"/>
      <c r="I56" s="64"/>
      <c r="J56" s="65"/>
      <c r="K56" s="65"/>
      <c r="L56" s="64"/>
      <c r="M56" s="64"/>
      <c r="N56" s="64"/>
      <c r="O56" s="64"/>
      <c r="P56" s="64"/>
      <c r="Q56" s="64"/>
      <c r="R56" s="64"/>
      <c r="S56" s="64"/>
      <c r="T56" s="64"/>
      <c r="U56" s="32"/>
      <c r="V56" s="32"/>
      <c r="W56" s="32"/>
      <c r="X56" s="32"/>
    </row>
    <row r="57" spans="1:24" ht="60" customHeight="1">
      <c r="A57" s="64"/>
      <c r="B57" s="64"/>
      <c r="C57" s="64"/>
      <c r="D57" s="64"/>
      <c r="E57" s="64"/>
      <c r="F57" s="64"/>
      <c r="G57" s="64"/>
      <c r="H57" s="64"/>
      <c r="I57" s="64"/>
      <c r="J57" s="65"/>
      <c r="K57" s="65"/>
      <c r="L57" s="64"/>
      <c r="M57" s="64"/>
      <c r="N57" s="64"/>
      <c r="O57" s="64"/>
      <c r="P57" s="64"/>
      <c r="Q57" s="64"/>
      <c r="R57" s="64"/>
      <c r="S57" s="64"/>
      <c r="T57" s="64"/>
      <c r="U57" s="32"/>
      <c r="V57" s="32"/>
      <c r="W57" s="32"/>
      <c r="X57" s="32"/>
    </row>
    <row r="58" spans="1:24" ht="60" customHeight="1">
      <c r="A58" s="64"/>
      <c r="B58" s="64"/>
      <c r="C58" s="64"/>
      <c r="D58" s="64"/>
      <c r="E58" s="64"/>
      <c r="F58" s="64"/>
      <c r="G58" s="64"/>
      <c r="H58" s="64"/>
      <c r="I58" s="64"/>
      <c r="J58" s="65"/>
      <c r="K58" s="65"/>
      <c r="L58" s="64"/>
      <c r="M58" s="64"/>
      <c r="N58" s="64"/>
      <c r="O58" s="64"/>
      <c r="P58" s="64"/>
      <c r="Q58" s="64"/>
      <c r="R58" s="64"/>
      <c r="S58" s="64"/>
      <c r="T58" s="64"/>
      <c r="U58" s="32"/>
      <c r="V58" s="32"/>
      <c r="W58" s="32"/>
      <c r="X58" s="32"/>
    </row>
    <row r="59" spans="1:24" ht="60" customHeight="1">
      <c r="A59" s="64"/>
      <c r="B59" s="64"/>
      <c r="C59" s="64"/>
      <c r="D59" s="64"/>
      <c r="E59" s="64"/>
      <c r="F59" s="64"/>
      <c r="G59" s="64"/>
      <c r="H59" s="64"/>
      <c r="I59" s="64"/>
      <c r="J59" s="65"/>
      <c r="K59" s="65"/>
      <c r="L59" s="64"/>
      <c r="M59" s="64"/>
      <c r="N59" s="64"/>
      <c r="O59" s="64"/>
      <c r="P59" s="64"/>
      <c r="Q59" s="64"/>
      <c r="R59" s="64"/>
      <c r="S59" s="64"/>
      <c r="T59" s="64"/>
      <c r="U59" s="32"/>
      <c r="V59" s="32"/>
      <c r="W59" s="32"/>
      <c r="X59" s="32"/>
    </row>
    <row r="60" spans="1:22" ht="60" customHeight="1">
      <c r="A60" s="64"/>
      <c r="B60" s="64"/>
      <c r="C60" s="64"/>
      <c r="D60" s="64"/>
      <c r="E60" s="64"/>
      <c r="F60" s="64"/>
      <c r="G60" s="64"/>
      <c r="H60" s="64"/>
      <c r="I60" s="64"/>
      <c r="J60" s="65"/>
      <c r="K60" s="65"/>
      <c r="L60" s="64"/>
      <c r="M60" s="64"/>
      <c r="N60" s="64"/>
      <c r="O60" s="64"/>
      <c r="P60" s="64"/>
      <c r="Q60" s="64"/>
      <c r="R60" s="64"/>
      <c r="S60" s="64"/>
      <c r="T60" s="64"/>
      <c r="U60" s="32"/>
      <c r="V60" s="32"/>
    </row>
    <row r="61" spans="1:22" ht="60" customHeight="1">
      <c r="A61" s="64"/>
      <c r="B61" s="64"/>
      <c r="C61" s="64"/>
      <c r="D61" s="64"/>
      <c r="E61" s="64"/>
      <c r="F61" s="64"/>
      <c r="G61" s="64"/>
      <c r="H61" s="64"/>
      <c r="I61" s="64"/>
      <c r="J61" s="65"/>
      <c r="K61" s="65"/>
      <c r="L61" s="64"/>
      <c r="M61" s="64"/>
      <c r="N61" s="64"/>
      <c r="O61" s="64"/>
      <c r="P61" s="64"/>
      <c r="Q61" s="64"/>
      <c r="R61" s="64"/>
      <c r="S61" s="64"/>
      <c r="T61" s="64"/>
      <c r="U61" s="32"/>
      <c r="V61" s="32"/>
    </row>
    <row r="62" spans="1:22" ht="60" customHeight="1">
      <c r="A62" s="64"/>
      <c r="B62" s="64"/>
      <c r="C62" s="64"/>
      <c r="D62" s="64"/>
      <c r="E62" s="64"/>
      <c r="F62" s="64"/>
      <c r="G62" s="64"/>
      <c r="H62" s="64"/>
      <c r="I62" s="64"/>
      <c r="J62" s="65"/>
      <c r="K62" s="65"/>
      <c r="L62" s="64"/>
      <c r="M62" s="64"/>
      <c r="N62" s="64"/>
      <c r="O62" s="64"/>
      <c r="P62" s="64"/>
      <c r="Q62" s="64"/>
      <c r="R62" s="64"/>
      <c r="S62" s="64"/>
      <c r="T62" s="64"/>
      <c r="U62" s="32"/>
      <c r="V62" s="32"/>
    </row>
    <row r="63" spans="1:22" ht="60" customHeight="1">
      <c r="A63" s="64"/>
      <c r="B63" s="64"/>
      <c r="C63" s="64"/>
      <c r="D63" s="64"/>
      <c r="E63" s="64"/>
      <c r="F63" s="64"/>
      <c r="G63" s="64"/>
      <c r="H63" s="64"/>
      <c r="I63" s="64"/>
      <c r="J63" s="65"/>
      <c r="K63" s="65"/>
      <c r="L63" s="64"/>
      <c r="M63" s="64"/>
      <c r="N63" s="64"/>
      <c r="O63" s="64"/>
      <c r="P63" s="64"/>
      <c r="Q63" s="64"/>
      <c r="R63" s="64"/>
      <c r="S63" s="64"/>
      <c r="T63" s="64"/>
      <c r="U63" s="32"/>
      <c r="V63" s="32"/>
    </row>
    <row r="64" spans="1:22" ht="60" customHeight="1">
      <c r="A64" s="64"/>
      <c r="B64" s="64"/>
      <c r="C64" s="64"/>
      <c r="D64" s="64"/>
      <c r="E64" s="64"/>
      <c r="F64" s="64"/>
      <c r="G64" s="64"/>
      <c r="H64" s="64"/>
      <c r="I64" s="64"/>
      <c r="J64" s="65"/>
      <c r="K64" s="65"/>
      <c r="L64" s="64"/>
      <c r="M64" s="64"/>
      <c r="N64" s="64"/>
      <c r="O64" s="64"/>
      <c r="P64" s="64"/>
      <c r="Q64" s="64"/>
      <c r="R64" s="64"/>
      <c r="S64" s="64"/>
      <c r="T64" s="64"/>
      <c r="U64" s="32"/>
      <c r="V64" s="32"/>
    </row>
    <row r="65" spans="1:22" ht="60" customHeight="1">
      <c r="A65" s="64"/>
      <c r="B65" s="64"/>
      <c r="C65" s="64"/>
      <c r="D65" s="64"/>
      <c r="E65" s="64"/>
      <c r="F65" s="64"/>
      <c r="G65" s="64"/>
      <c r="H65" s="64"/>
      <c r="I65" s="64"/>
      <c r="J65" s="65"/>
      <c r="K65" s="65"/>
      <c r="L65" s="64"/>
      <c r="M65" s="64"/>
      <c r="N65" s="64"/>
      <c r="O65" s="64"/>
      <c r="P65" s="64"/>
      <c r="Q65" s="64"/>
      <c r="R65" s="64"/>
      <c r="S65" s="64"/>
      <c r="T65" s="64"/>
      <c r="U65" s="32"/>
      <c r="V65" s="32"/>
    </row>
    <row r="66" spans="1:22" ht="60" customHeight="1">
      <c r="A66" s="64"/>
      <c r="B66" s="64"/>
      <c r="C66" s="64"/>
      <c r="D66" s="64"/>
      <c r="E66" s="64"/>
      <c r="F66" s="64"/>
      <c r="G66" s="64"/>
      <c r="H66" s="64"/>
      <c r="I66" s="64"/>
      <c r="J66" s="65"/>
      <c r="K66" s="65"/>
      <c r="L66" s="64"/>
      <c r="M66" s="64"/>
      <c r="N66" s="64"/>
      <c r="O66" s="64"/>
      <c r="P66" s="64"/>
      <c r="Q66" s="64"/>
      <c r="R66" s="64"/>
      <c r="S66" s="64"/>
      <c r="T66" s="64"/>
      <c r="U66" s="32"/>
      <c r="V66" s="32"/>
    </row>
    <row r="67" spans="1:22" ht="60" customHeight="1">
      <c r="A67" s="64"/>
      <c r="B67" s="64"/>
      <c r="C67" s="64"/>
      <c r="D67" s="64"/>
      <c r="E67" s="64"/>
      <c r="F67" s="64"/>
      <c r="G67" s="64"/>
      <c r="H67" s="64"/>
      <c r="I67" s="64"/>
      <c r="J67" s="65"/>
      <c r="K67" s="65"/>
      <c r="L67" s="64"/>
      <c r="M67" s="64"/>
      <c r="N67" s="64"/>
      <c r="O67" s="64"/>
      <c r="P67" s="64"/>
      <c r="Q67" s="64"/>
      <c r="R67" s="64"/>
      <c r="S67" s="64"/>
      <c r="T67" s="64"/>
      <c r="U67" s="32"/>
      <c r="V67" s="32"/>
    </row>
    <row r="68" spans="1:22" ht="60" customHeight="1">
      <c r="A68" s="64"/>
      <c r="B68" s="64"/>
      <c r="C68" s="64"/>
      <c r="D68" s="64"/>
      <c r="E68" s="64"/>
      <c r="F68" s="64"/>
      <c r="G68" s="64"/>
      <c r="H68" s="64"/>
      <c r="I68" s="64"/>
      <c r="J68" s="65"/>
      <c r="K68" s="65"/>
      <c r="L68" s="64"/>
      <c r="M68" s="64"/>
      <c r="N68" s="64"/>
      <c r="O68" s="64"/>
      <c r="P68" s="64"/>
      <c r="Q68" s="64"/>
      <c r="R68" s="64"/>
      <c r="S68" s="64"/>
      <c r="T68" s="64"/>
      <c r="U68" s="32"/>
      <c r="V68" s="32"/>
    </row>
    <row r="69" spans="1:22" ht="60" customHeight="1">
      <c r="A69" s="64"/>
      <c r="B69" s="64"/>
      <c r="C69" s="64"/>
      <c r="D69" s="64"/>
      <c r="E69" s="64"/>
      <c r="F69" s="64"/>
      <c r="G69" s="64"/>
      <c r="H69" s="64"/>
      <c r="I69" s="64"/>
      <c r="J69" s="65"/>
      <c r="K69" s="65"/>
      <c r="L69" s="64"/>
      <c r="M69" s="64"/>
      <c r="N69" s="64"/>
      <c r="O69" s="64"/>
      <c r="P69" s="64"/>
      <c r="Q69" s="64"/>
      <c r="R69" s="64"/>
      <c r="S69" s="64"/>
      <c r="T69" s="64"/>
      <c r="U69" s="32"/>
      <c r="V69" s="32"/>
    </row>
    <row r="70" spans="1:22" ht="60" customHeight="1">
      <c r="A70" s="64"/>
      <c r="B70" s="64"/>
      <c r="C70" s="64"/>
      <c r="D70" s="64"/>
      <c r="E70" s="64"/>
      <c r="F70" s="64"/>
      <c r="G70" s="64"/>
      <c r="H70" s="64"/>
      <c r="I70" s="64"/>
      <c r="J70" s="65"/>
      <c r="K70" s="65"/>
      <c r="L70" s="64"/>
      <c r="M70" s="64"/>
      <c r="N70" s="64"/>
      <c r="O70" s="64"/>
      <c r="P70" s="64"/>
      <c r="Q70" s="64"/>
      <c r="R70" s="64"/>
      <c r="S70" s="64"/>
      <c r="T70" s="64"/>
      <c r="U70" s="32"/>
      <c r="V70" s="32"/>
    </row>
    <row r="71" spans="1:22" ht="60" customHeight="1">
      <c r="A71" s="64"/>
      <c r="B71" s="64"/>
      <c r="C71" s="64"/>
      <c r="D71" s="64"/>
      <c r="E71" s="64"/>
      <c r="F71" s="64"/>
      <c r="G71" s="64"/>
      <c r="H71" s="64"/>
      <c r="I71" s="64"/>
      <c r="J71" s="65"/>
      <c r="K71" s="65"/>
      <c r="L71" s="64"/>
      <c r="M71" s="64"/>
      <c r="N71" s="64"/>
      <c r="O71" s="64"/>
      <c r="P71" s="64"/>
      <c r="Q71" s="64"/>
      <c r="R71" s="64"/>
      <c r="S71" s="64"/>
      <c r="T71" s="64"/>
      <c r="U71" s="32"/>
      <c r="V71" s="32"/>
    </row>
    <row r="72" spans="1:22" ht="60" customHeight="1">
      <c r="A72" s="64"/>
      <c r="B72" s="64"/>
      <c r="C72" s="64"/>
      <c r="D72" s="64"/>
      <c r="E72" s="64"/>
      <c r="F72" s="64"/>
      <c r="G72" s="64"/>
      <c r="H72" s="64"/>
      <c r="I72" s="64"/>
      <c r="J72" s="65"/>
      <c r="K72" s="65"/>
      <c r="L72" s="64"/>
      <c r="M72" s="64"/>
      <c r="N72" s="64"/>
      <c r="O72" s="64"/>
      <c r="P72" s="64"/>
      <c r="Q72" s="64"/>
      <c r="R72" s="64"/>
      <c r="S72" s="64"/>
      <c r="T72" s="64"/>
      <c r="U72" s="32"/>
      <c r="V72" s="32"/>
    </row>
  </sheetData>
  <sheetProtection formatCells="0" formatRows="0" insertColumns="0" insertRows="0"/>
  <mergeCells count="42">
    <mergeCell ref="A1:X1"/>
    <mergeCell ref="A2:X2"/>
    <mergeCell ref="M3:X3"/>
    <mergeCell ref="M4:X4"/>
    <mergeCell ref="M5:X6"/>
    <mergeCell ref="A3:L3"/>
    <mergeCell ref="A4:B4"/>
    <mergeCell ref="C4:D4"/>
    <mergeCell ref="E4:G4"/>
    <mergeCell ref="H4:L4"/>
    <mergeCell ref="K7:K9"/>
    <mergeCell ref="Q7:Q9"/>
    <mergeCell ref="F7:F9"/>
    <mergeCell ref="A5:B5"/>
    <mergeCell ref="C5:D5"/>
    <mergeCell ref="E5:G5"/>
    <mergeCell ref="H5:L5"/>
    <mergeCell ref="A7:A9"/>
    <mergeCell ref="B7:B9"/>
    <mergeCell ref="C7:C9"/>
    <mergeCell ref="D7:D9"/>
    <mergeCell ref="E7:E9"/>
    <mergeCell ref="A6:B6"/>
    <mergeCell ref="C6:D6"/>
    <mergeCell ref="E6:G6"/>
    <mergeCell ref="H6:L6"/>
    <mergeCell ref="X7:X9"/>
    <mergeCell ref="V7:V9"/>
    <mergeCell ref="W7:W9"/>
    <mergeCell ref="U7:U9"/>
    <mergeCell ref="G7:G9"/>
    <mergeCell ref="H7:H9"/>
    <mergeCell ref="I7:I9"/>
    <mergeCell ref="L7:L9"/>
    <mergeCell ref="M7:M9"/>
    <mergeCell ref="N7:N9"/>
    <mergeCell ref="O7:O9"/>
    <mergeCell ref="P7:P9"/>
    <mergeCell ref="R7:R9"/>
    <mergeCell ref="S7:S9"/>
    <mergeCell ref="T7:T9"/>
    <mergeCell ref="J7:J9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A4DD-33B7-4724-89B0-26ECDA551037}">
  <sheetPr codeName="JobSheet6">
    <pageSetUpPr fitToPage="1"/>
  </sheetPr>
  <dimension ref="A1:W81"/>
  <sheetViews>
    <sheetView showZeros="0" view="pageBreakPreview" zoomScale="40" zoomScaleNormal="25" zoomScaleSheetLayoutView="40" zoomScalePageLayoutView="25" workbookViewId="0" topLeftCell="F1">
      <selection pane="topLeft" activeCell="F20" sqref="A20:XFD21"/>
    </sheetView>
  </sheetViews>
  <sheetFormatPr defaultColWidth="9.44140625" defaultRowHeight="60" customHeight="1"/>
  <cols>
    <col min="1" max="1" width="10.4285714285714" style="46" customWidth="1"/>
    <col min="2" max="2" width="30.5714285714286" style="46" customWidth="1"/>
    <col min="3" max="3" width="44.4285714285714" style="46" customWidth="1"/>
    <col min="4" max="4" width="28.5714285714286" style="46" customWidth="1"/>
    <col min="5" max="5" width="17.5714285714286" style="46" bestFit="1" customWidth="1"/>
    <col min="6" max="6" width="19.4285714285714" style="46" customWidth="1"/>
    <col min="7" max="7" width="35.5714285714286" style="46" customWidth="1"/>
    <col min="8" max="8" width="27" style="46" customWidth="1"/>
    <col min="9" max="9" width="29.5714285714286" style="46" customWidth="1"/>
    <col min="10" max="10" width="20.5714285714286" style="47" customWidth="1"/>
    <col min="11" max="11" width="22.4285714285714" style="47" customWidth="1"/>
    <col min="12" max="12" width="32.4285714285714" style="46" customWidth="1"/>
    <col min="13" max="13" width="33.5714285714286" style="46" customWidth="1"/>
    <col min="14" max="14" width="31.5714285714286" style="46" customWidth="1"/>
    <col min="15" max="15" width="25.4285714285714" style="46" customWidth="1"/>
    <col min="16" max="16" width="23.5714285714286" style="46" customWidth="1"/>
    <col min="17" max="17" width="27.5714285714286" style="46" customWidth="1"/>
    <col min="18" max="18" width="19.4285714285714" style="46" customWidth="1"/>
    <col min="19" max="19" width="27.5714285714286" style="46" customWidth="1"/>
    <col min="20" max="20" width="30.5714285714286" style="46" customWidth="1"/>
    <col min="21" max="21" width="21.5714285714286" customWidth="1"/>
    <col min="22" max="22" width="28.4285714285714" customWidth="1"/>
    <col min="23" max="23" width="26.4285714285714" customWidth="1"/>
  </cols>
  <sheetData>
    <row r="1" spans="1:23" s="17" customFormat="1" ht="149.25" customHeight="1">
      <c r="A1" s="345" t="s">
        <v>7515</v>
      </c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7"/>
    </row>
    <row r="2" spans="1:23" s="17" customFormat="1" ht="71.85" customHeight="1">
      <c r="A2" s="348" t="str">
        <f>IF('Job Sheet'!A6="Brax Retail","Brax Window Treatments","Davidson's Blinds &amp; Shutters")</f>
        <v>Davidson's Blinds &amp; Shutters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50"/>
    </row>
    <row r="3" spans="1:23" s="17" customFormat="1" ht="80.7" customHeight="1">
      <c r="A3" s="351" t="str">
        <f>IF(Data!BA11="","",IF('Tube Cutting'!A6="","","IF Required Please Deliver Wavefold Tapes To "))</f>
        <v>IF Required Please Deliver Wavefold Tapes To 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48" t="str">
        <f>IF(Data!BA11="","",VLOOKUP("CURTMAKING",Data!CI:CJ,2,FALSE))</f>
        <v>Jenny's Curtains - 9 Whitehills Rd, Creswick, Vic, 3363</v>
      </c>
      <c r="N3" s="349"/>
      <c r="O3" s="349"/>
      <c r="P3" s="349"/>
      <c r="Q3" s="349"/>
      <c r="R3" s="349"/>
      <c r="S3" s="349"/>
      <c r="T3" s="349"/>
      <c r="U3" s="349"/>
      <c r="V3" s="349"/>
      <c r="W3" s="350"/>
    </row>
    <row r="4" spans="1:23" s="31" customFormat="1" ht="50.1" customHeight="1">
      <c r="A4" s="239" t="s">
        <v>7</v>
      </c>
      <c r="B4" s="239"/>
      <c r="C4" s="237"/>
      <c r="D4" s="237"/>
      <c r="E4" s="237" t="s">
        <v>94</v>
      </c>
      <c r="F4" s="237"/>
      <c r="G4" s="237"/>
      <c r="H4" s="234" t="str">
        <f>Data!BF5</f>
        <v>Hare, Kaitlin</v>
      </c>
      <c r="I4" s="234"/>
      <c r="J4" s="234"/>
      <c r="K4" s="234"/>
      <c r="L4" s="234"/>
      <c r="M4" s="305" t="s">
        <v>4</v>
      </c>
      <c r="N4" s="306"/>
      <c r="O4" s="306"/>
      <c r="P4" s="306"/>
      <c r="Q4" s="306"/>
      <c r="R4" s="306"/>
      <c r="S4" s="306"/>
      <c r="T4" s="306"/>
      <c r="U4" s="306"/>
      <c r="V4" s="306"/>
      <c r="W4" s="307"/>
    </row>
    <row r="5" spans="1:23" s="31" customFormat="1" ht="50.1" customHeight="1">
      <c r="A5" s="240" t="s">
        <v>117</v>
      </c>
      <c r="B5" s="240"/>
      <c r="C5" s="227" t="str">
        <f>Data!BC5</f>
        <v>39776</v>
      </c>
      <c r="D5" s="227"/>
      <c r="E5" s="238" t="s">
        <v>8</v>
      </c>
      <c r="F5" s="238"/>
      <c r="G5" s="238"/>
      <c r="H5" s="234" t="str">
        <f>TRIM(Data!AX5)</f>
        <v>Whole House</v>
      </c>
      <c r="I5" s="234"/>
      <c r="J5" s="234"/>
      <c r="K5" s="234"/>
      <c r="L5" s="234"/>
      <c r="M5" s="309" t="str">
        <f>IF(OR(Data!BA11="",C10=""),"",Data!BG5)</f>
        <v/>
      </c>
      <c r="N5" s="310"/>
      <c r="O5" s="310"/>
      <c r="P5" s="310"/>
      <c r="Q5" s="310"/>
      <c r="R5" s="310"/>
      <c r="S5" s="310"/>
      <c r="T5" s="310"/>
      <c r="U5" s="310"/>
      <c r="V5" s="310"/>
      <c r="W5" s="311"/>
    </row>
    <row r="6" spans="1:23" s="32" customFormat="1" ht="50.1" customHeight="1">
      <c r="A6" s="239" t="s">
        <v>14</v>
      </c>
      <c r="B6" s="239"/>
      <c r="C6" s="227" t="str">
        <f>Data!BD5</f>
        <v>F</v>
      </c>
      <c r="D6" s="227"/>
      <c r="E6" s="238" t="s">
        <v>112</v>
      </c>
      <c r="F6" s="238"/>
      <c r="G6" s="238"/>
      <c r="H6" s="234" t="str">
        <f>LEFT(Data!BA5,10)</f>
        <v>13/10/2026</v>
      </c>
      <c r="I6" s="234"/>
      <c r="J6" s="234"/>
      <c r="K6" s="234"/>
      <c r="L6" s="234"/>
      <c r="M6" s="315"/>
      <c r="N6" s="316"/>
      <c r="O6" s="316"/>
      <c r="P6" s="316"/>
      <c r="Q6" s="316"/>
      <c r="R6" s="316"/>
      <c r="S6" s="316"/>
      <c r="T6" s="316"/>
      <c r="U6" s="316"/>
      <c r="V6" s="316"/>
      <c r="W6" s="317"/>
    </row>
    <row r="7" spans="1:23" s="32" customFormat="1" ht="50.1" customHeight="1">
      <c r="A7" s="281" t="s">
        <v>116</v>
      </c>
      <c r="B7" s="267" t="s">
        <v>96</v>
      </c>
      <c r="C7" s="235" t="s">
        <v>156</v>
      </c>
      <c r="D7" s="235" t="s">
        <v>601</v>
      </c>
      <c r="E7" s="235" t="s">
        <v>259</v>
      </c>
      <c r="F7" s="235" t="s">
        <v>11</v>
      </c>
      <c r="G7" s="235" t="s">
        <v>177</v>
      </c>
      <c r="H7" s="235" t="s">
        <v>178</v>
      </c>
      <c r="I7" s="235" t="s">
        <v>139</v>
      </c>
      <c r="J7" s="235" t="s">
        <v>7292</v>
      </c>
      <c r="K7" s="235" t="s">
        <v>7293</v>
      </c>
      <c r="L7" s="267" t="s">
        <v>149</v>
      </c>
      <c r="M7" s="235" t="s">
        <v>115</v>
      </c>
      <c r="N7" s="235" t="s">
        <v>5355</v>
      </c>
      <c r="O7" s="267" t="s">
        <v>290</v>
      </c>
      <c r="P7" s="267" t="s">
        <v>267</v>
      </c>
      <c r="Q7" s="267" t="s">
        <v>153</v>
      </c>
      <c r="R7" s="267" t="s">
        <v>135</v>
      </c>
      <c r="S7" s="267" t="s">
        <v>176</v>
      </c>
      <c r="T7" s="267" t="s">
        <v>155</v>
      </c>
      <c r="U7" s="267" t="s">
        <v>136</v>
      </c>
      <c r="V7" s="235" t="s">
        <v>441</v>
      </c>
      <c r="W7" s="235" t="s">
        <v>5</v>
      </c>
    </row>
    <row r="8" spans="1:23" s="32" customFormat="1" ht="64.5" customHeight="1" hidden="1">
      <c r="A8" s="281"/>
      <c r="B8" s="267"/>
      <c r="C8" s="235"/>
      <c r="D8" s="235"/>
      <c r="E8" s="235"/>
      <c r="F8" s="235"/>
      <c r="G8" s="235"/>
      <c r="H8" s="235"/>
      <c r="I8" s="235"/>
      <c r="J8" s="235"/>
      <c r="K8" s="235"/>
      <c r="L8" s="267"/>
      <c r="M8" s="235"/>
      <c r="N8" s="235"/>
      <c r="O8" s="267"/>
      <c r="P8" s="267"/>
      <c r="Q8" s="267"/>
      <c r="R8" s="267"/>
      <c r="S8" s="267"/>
      <c r="T8" s="267"/>
      <c r="U8" s="267"/>
      <c r="V8" s="235"/>
      <c r="W8" s="235"/>
    </row>
    <row r="9" spans="1:23" s="63" customFormat="1" ht="95.25" customHeight="1">
      <c r="A9" s="281"/>
      <c r="B9" s="267"/>
      <c r="C9" s="235"/>
      <c r="D9" s="235"/>
      <c r="E9" s="235"/>
      <c r="F9" s="235"/>
      <c r="G9" s="235"/>
      <c r="H9" s="235"/>
      <c r="I9" s="235"/>
      <c r="J9" s="235"/>
      <c r="K9" s="235"/>
      <c r="L9" s="267"/>
      <c r="M9" s="235"/>
      <c r="N9" s="235"/>
      <c r="O9" s="267"/>
      <c r="P9" s="267"/>
      <c r="Q9" s="267"/>
      <c r="R9" s="267"/>
      <c r="S9" s="267"/>
      <c r="T9" s="267"/>
      <c r="U9" s="267"/>
      <c r="V9" s="235"/>
      <c r="W9" s="235"/>
    </row>
    <row r="10" spans="1:23" s="61" customFormat="1" ht="60" customHeight="1">
      <c r="A10" s="2" t="str">
        <f>IF(OR(Data!BA11="",C10=""),"",Data!AW11)</f>
        <v/>
      </c>
      <c r="B10" s="7" t="str">
        <f>IF(OR(Data!BA11="",C10=""),"",'Job Sheet'!C11)</f>
        <v/>
      </c>
      <c r="C10" s="27" t="str">
        <f>IF('Job Sheet'!BH11="Track from Unique Screens",'Job Sheet'!Z11,"")</f>
        <v/>
      </c>
      <c r="D10" s="27" t="str">
        <f>IF(OR(Data!BA11="",C10=""),"",'Job Sheet'!AA11)</f>
        <v/>
      </c>
      <c r="E10" s="27" t="str">
        <f>IF(OR(Data!BA11="",C10=""),"",IF(T10="Straight",'Job Sheet'!BP11-55,'Job Sheet'!E11))</f>
        <v/>
      </c>
      <c r="F10" s="27" t="str">
        <f>IF(OR(Data!BA11="",C10=""),"",'Job Sheet'!I11)</f>
        <v/>
      </c>
      <c r="G10" s="27" t="str">
        <f>IF(OR(Data!BA11="",C10=""),"",'Job Sheet'!P11)</f>
        <v/>
      </c>
      <c r="H10" s="27" t="str">
        <f>IF(OR(Data!BA11="",C10=""),"",IF(VLOOKUP(CONCATENATE('Job Sheet'!Z11,D10,T10),TBSTracks,4,FALSE)="Yes",'Job Sheet'!Q11,""))</f>
        <v/>
      </c>
      <c r="I10" s="27" t="str">
        <f>IF(OR(Data!BA11="",C10=""),"",'Job Sheet'!S11)</f>
        <v/>
      </c>
      <c r="J10" s="27" t="str">
        <f>IF(OR(Data!BA11="",C10=""),"",'Job Sheet'!T11)</f>
        <v/>
      </c>
      <c r="K10" s="27" t="str">
        <f>IF(OR(Data!BA11="",C10=""),"",'Job Sheet'!U11)</f>
        <v/>
      </c>
      <c r="L10" s="27" t="str">
        <f>IF(OR(Data!BA11="",C10=""),"",'Job Sheet'!AD11)</f>
        <v/>
      </c>
      <c r="M10" s="27" t="str">
        <f>IF(OR(Data!BA11="",C10=""),"",'Job Sheet'!AB11)</f>
        <v/>
      </c>
      <c r="N10" s="27" t="str">
        <f>IF(OR(Data!BA11="",C10=""),"",'Job Sheet'!AC11)</f>
        <v/>
      </c>
      <c r="O10" s="27" t="str">
        <f>IF(OR(Data!BA11="",C10=""),"",'Job Sheet'!AE11)</f>
        <v/>
      </c>
      <c r="P10" s="27" t="str">
        <f>IF(OR(Data!BA11="",C10=""),"",'Job Sheet'!AF11)</f>
        <v/>
      </c>
      <c r="Q10" s="27" t="str">
        <f>IF(OR(Data!BA11="",C10=""),"",'Job Sheet'!AH11)</f>
        <v/>
      </c>
      <c r="R10" s="27" t="str">
        <f>IF(C10="","",IF(AND('Job Sheet'!AB11="Hand Operation",OR('Job Sheet'!S11="Single Panel - Right Stacking",'Job Sheet'!S11="Single Panel - Left Stacking")),"1",IF(AND('Job Sheet'!AB11="Hand Operation",OR('Job Sheet'!S11="Single Panel - Free Flowing",'Job Sheet'!S11="Centre Opening")),"2",IF(AND('Job Sheet'!AB11="Hand Operation",'Job Sheet'!S11="Centre Opening - Free Flowing"),"4",""))))</f>
        <v/>
      </c>
      <c r="S10" s="27" t="str">
        <f>IF(OR(Data!BA11="",C10=""),"",'Job Sheet'!X11)</f>
        <v/>
      </c>
      <c r="T10" s="27" t="str">
        <f>IF(OR(Data!BA11="",C10=""),"",'Job Sheet'!AI11)</f>
        <v/>
      </c>
      <c r="U10" s="27" t="str">
        <f>IF(OR(Data!BA11="",C10=""),"",'Job Sheet'!AJ11)</f>
        <v/>
      </c>
      <c r="V10" s="27" t="str">
        <f>IF(ISERROR(VLOOKUP('Job Sheet'!BF11,Holdbacks,1,FALSE)),"",'Job Sheet'!BF11)</f>
        <v/>
      </c>
      <c r="W10" s="27" t="str">
        <f>IF(OR(Data!BA11="",C10=""),"",'Job Sheet'!BN11)</f>
        <v/>
      </c>
    </row>
    <row r="11" spans="1:23" s="61" customFormat="1" ht="60" customHeight="1">
      <c r="A11" s="2" t="str">
        <f>IF(OR(Data!BA12="",C11=""),"",Data!AW12)</f>
        <v/>
      </c>
      <c r="B11" s="7" t="str">
        <f>IF(OR(Data!BA12="",C11=""),"",'Job Sheet'!C12)</f>
        <v/>
      </c>
      <c r="C11" s="27" t="str">
        <f>IF('Job Sheet'!BH12="Track from Unique Screens",'Job Sheet'!Z12,"")</f>
        <v/>
      </c>
      <c r="D11" s="27" t="str">
        <f>IF(OR(Data!BA12="",C11=""),"",'Job Sheet'!AA12)</f>
        <v/>
      </c>
      <c r="E11" s="27" t="str">
        <f>IF(OR(Data!BA12="",C11=""),"",IF(T11="Straight",'Job Sheet'!BP12-55,'Job Sheet'!E12))</f>
        <v/>
      </c>
      <c r="F11" s="27" t="str">
        <f>IF(OR(Data!BA12="",C11=""),"",'Job Sheet'!I12)</f>
        <v/>
      </c>
      <c r="G11" s="27" t="str">
        <f>IF(OR(Data!BA12="",C11=""),"",'Job Sheet'!P12)</f>
        <v/>
      </c>
      <c r="H11" s="27" t="str">
        <f>IF(OR(Data!BA12="",C11=""),"",IF(VLOOKUP(CONCATENATE('Job Sheet'!Z12,D11,T11),TBSTracks,4,FALSE)="Yes",'Job Sheet'!Q12,""))</f>
        <v/>
      </c>
      <c r="I11" s="27" t="str">
        <f>IF(OR(Data!BA12="",C11=""),"",'Job Sheet'!S12)</f>
        <v/>
      </c>
      <c r="J11" s="27" t="str">
        <f>IF(OR(Data!BA12="",C11=""),"",'Job Sheet'!T12)</f>
        <v/>
      </c>
      <c r="K11" s="27" t="str">
        <f>IF(OR(Data!BA12="",C11=""),"",'Job Sheet'!U12)</f>
        <v/>
      </c>
      <c r="L11" s="27" t="str">
        <f>IF(OR(Data!BA12="",C11=""),"",'Job Sheet'!AD12)</f>
        <v/>
      </c>
      <c r="M11" s="27" t="str">
        <f>IF(OR(Data!BA12="",C11=""),"",'Job Sheet'!AB12)</f>
        <v/>
      </c>
      <c r="N11" s="27" t="str">
        <f>IF(OR(Data!BA12="",C11=""),"",'Job Sheet'!AC12)</f>
        <v/>
      </c>
      <c r="O11" s="27" t="str">
        <f>IF(OR(Data!BA12="",C11=""),"",'Job Sheet'!AE12)</f>
        <v/>
      </c>
      <c r="P11" s="27" t="str">
        <f>IF(OR(Data!BA12="",C11=""),"",'Job Sheet'!AF12)</f>
        <v/>
      </c>
      <c r="Q11" s="27" t="str">
        <f>IF(OR(Data!BA12="",C11=""),"",'Job Sheet'!AH12)</f>
        <v/>
      </c>
      <c r="R11" s="27" t="str">
        <f>IF(C11="","",IF(AND('Job Sheet'!AB12="Hand Operation",OR('Job Sheet'!S12="Single Panel - Right Stacking",'Job Sheet'!S12="Single Panel - Left Stacking")),"1",IF(AND('Job Sheet'!AB12="Hand Operation",OR('Job Sheet'!S12="Single Panel - Free Flowing",'Job Sheet'!S12="Centre Opening")),"2",IF(AND('Job Sheet'!AB12="Hand Operation",'Job Sheet'!S12="Centre Opening - Free Flowing"),"4",""))))</f>
        <v/>
      </c>
      <c r="S11" s="27" t="str">
        <f>IF(OR(Data!BA12="",C11=""),"",'Job Sheet'!X12)</f>
        <v/>
      </c>
      <c r="T11" s="27" t="str">
        <f>IF(OR(Data!BA12="",C11=""),"",'Job Sheet'!AI12)</f>
        <v/>
      </c>
      <c r="U11" s="27" t="str">
        <f>IF(OR(Data!BA12="",C11=""),"",'Job Sheet'!AJ12)</f>
        <v/>
      </c>
      <c r="V11" s="27" t="str">
        <f>IF(ISERROR(VLOOKUP('Job Sheet'!BF12,Holdbacks,1,FALSE)),"",'Job Sheet'!BF12)</f>
        <v/>
      </c>
      <c r="W11" s="27" t="str">
        <f>IF(OR(Data!BA12="",C11=""),"",'Job Sheet'!BN12)</f>
        <v/>
      </c>
    </row>
    <row r="12" spans="1:23" s="61" customFormat="1" ht="60" customHeight="1">
      <c r="A12" s="2" t="str">
        <f>IF(OR(Data!BA13="",C12=""),"",Data!AW13)</f>
        <v/>
      </c>
      <c r="B12" s="7" t="str">
        <f>IF(OR(Data!BA13="",C12=""),"",'Job Sheet'!C13)</f>
        <v/>
      </c>
      <c r="C12" s="27" t="str">
        <f>IF('Job Sheet'!BH13="Track from Unique Screens",'Job Sheet'!Z13,"")</f>
        <v/>
      </c>
      <c r="D12" s="27" t="str">
        <f>IF(OR(Data!BA13="",C12=""),"",'Job Sheet'!AA13)</f>
        <v/>
      </c>
      <c r="E12" s="27" t="str">
        <f>IF(OR(Data!BA13="",C12=""),"",IF(T12="Straight",'Job Sheet'!BP13-55,'Job Sheet'!E13))</f>
        <v/>
      </c>
      <c r="F12" s="27" t="str">
        <f>IF(OR(Data!BA13="",C12=""),"",'Job Sheet'!I13)</f>
        <v/>
      </c>
      <c r="G12" s="27" t="str">
        <f>IF(OR(Data!BA13="",C12=""),"",'Job Sheet'!P13)</f>
        <v/>
      </c>
      <c r="H12" s="27" t="str">
        <f>IF(OR(Data!BA13="",C12=""),"",IF(VLOOKUP(CONCATENATE('Job Sheet'!Z13,D12,T12),TBSTracks,4,FALSE)="Yes",'Job Sheet'!Q13,""))</f>
        <v/>
      </c>
      <c r="I12" s="27" t="str">
        <f>IF(OR(Data!BA13="",C12=""),"",'Job Sheet'!S13)</f>
        <v/>
      </c>
      <c r="J12" s="27" t="str">
        <f>IF(OR(Data!BA13="",C12=""),"",'Job Sheet'!T13)</f>
        <v/>
      </c>
      <c r="K12" s="27" t="str">
        <f>IF(OR(Data!BA13="",C12=""),"",'Job Sheet'!U13)</f>
        <v/>
      </c>
      <c r="L12" s="27" t="str">
        <f>IF(OR(Data!BA13="",C12=""),"",'Job Sheet'!AD13)</f>
        <v/>
      </c>
      <c r="M12" s="27" t="str">
        <f>IF(OR(Data!BA13="",C12=""),"",'Job Sheet'!AB13)</f>
        <v/>
      </c>
      <c r="N12" s="27" t="str">
        <f>IF(OR(Data!BA13="",C12=""),"",'Job Sheet'!AC13)</f>
        <v/>
      </c>
      <c r="O12" s="27" t="str">
        <f>IF(OR(Data!BA13="",C12=""),"",'Job Sheet'!AE13)</f>
        <v/>
      </c>
      <c r="P12" s="27" t="str">
        <f>IF(OR(Data!BA13="",C12=""),"",'Job Sheet'!AF13)</f>
        <v/>
      </c>
      <c r="Q12" s="27" t="str">
        <f>IF(OR(Data!BA13="",C12=""),"",'Job Sheet'!AH13)</f>
        <v/>
      </c>
      <c r="R12" s="27" t="str">
        <f>IF(C12="","",IF(AND('Job Sheet'!AB13="Hand Operation",OR('Job Sheet'!S13="Single Panel - Right Stacking",'Job Sheet'!S13="Single Panel - Left Stacking")),"1",IF(AND('Job Sheet'!AB13="Hand Operation",OR('Job Sheet'!S13="Single Panel - Free Flowing",'Job Sheet'!S13="Centre Opening")),"2",IF(AND('Job Sheet'!AB13="Hand Operation",'Job Sheet'!S13="Centre Opening - Free Flowing"),"4",""))))</f>
        <v/>
      </c>
      <c r="S12" s="27" t="str">
        <f>IF(OR(Data!BA13="",C12=""),"",'Job Sheet'!X13)</f>
        <v/>
      </c>
      <c r="T12" s="27" t="str">
        <f>IF(OR(Data!BA13="",C12=""),"",'Job Sheet'!AI13)</f>
        <v/>
      </c>
      <c r="U12" s="27" t="str">
        <f>IF(OR(Data!BA13="",C12=""),"",'Job Sheet'!AJ13)</f>
        <v/>
      </c>
      <c r="V12" s="27" t="str">
        <f>IF(ISERROR(VLOOKUP('Job Sheet'!BF13,Holdbacks,1,FALSE)),"",'Job Sheet'!BF13)</f>
        <v/>
      </c>
      <c r="W12" s="27" t="str">
        <f>IF(OR(Data!BA13="",C12=""),"",'Job Sheet'!BN13)</f>
        <v/>
      </c>
    </row>
    <row r="13" spans="1:23" s="61" customFormat="1" ht="60" customHeight="1">
      <c r="A13" s="2" t="str">
        <f>IF(OR(Data!BA14="",C13=""),"",Data!AW14)</f>
        <v/>
      </c>
      <c r="B13" s="7" t="str">
        <f>IF(OR(Data!BA14="",C13=""),"",'Job Sheet'!C14)</f>
        <v/>
      </c>
      <c r="C13" s="27" t="str">
        <f>IF('Job Sheet'!BH14="Track from Unique Screens",'Job Sheet'!Z14,"")</f>
        <v/>
      </c>
      <c r="D13" s="27" t="str">
        <f>IF(OR(Data!BA14="",C13=""),"",'Job Sheet'!AA14)</f>
        <v/>
      </c>
      <c r="E13" s="27" t="str">
        <f>IF(OR(Data!BA14="",C13=""),"",IF(T13="Straight",'Job Sheet'!BP14-55,'Job Sheet'!E14))</f>
        <v/>
      </c>
      <c r="F13" s="27" t="str">
        <f>IF(OR(Data!BA14="",C13=""),"",'Job Sheet'!I14)</f>
        <v/>
      </c>
      <c r="G13" s="27" t="str">
        <f>IF(OR(Data!BA14="",C13=""),"",'Job Sheet'!P14)</f>
        <v/>
      </c>
      <c r="H13" s="27" t="str">
        <f>IF(OR(Data!BA14="",C13=""),"",IF(VLOOKUP(CONCATENATE('Job Sheet'!Z14,D13,T13),TBSTracks,4,FALSE)="Yes",'Job Sheet'!Q14,""))</f>
        <v/>
      </c>
      <c r="I13" s="27" t="str">
        <f>IF(OR(Data!BA14="",C13=""),"",'Job Sheet'!S14)</f>
        <v/>
      </c>
      <c r="J13" s="27" t="str">
        <f>IF(OR(Data!BA14="",C13=""),"",'Job Sheet'!T14)</f>
        <v/>
      </c>
      <c r="K13" s="27" t="str">
        <f>IF(OR(Data!BA14="",C13=""),"",'Job Sheet'!U14)</f>
        <v/>
      </c>
      <c r="L13" s="27" t="str">
        <f>IF(OR(Data!BA14="",C13=""),"",'Job Sheet'!AD14)</f>
        <v/>
      </c>
      <c r="M13" s="27" t="str">
        <f>IF(OR(Data!BA14="",C13=""),"",'Job Sheet'!AB14)</f>
        <v/>
      </c>
      <c r="N13" s="27" t="str">
        <f>IF(OR(Data!BA14="",C13=""),"",'Job Sheet'!AC14)</f>
        <v/>
      </c>
      <c r="O13" s="27" t="str">
        <f>IF(OR(Data!BA14="",C13=""),"",'Job Sheet'!AE14)</f>
        <v/>
      </c>
      <c r="P13" s="27" t="str">
        <f>IF(OR(Data!BA14="",C13=""),"",'Job Sheet'!AF14)</f>
        <v/>
      </c>
      <c r="Q13" s="27" t="str">
        <f>IF(OR(Data!BA14="",C13=""),"",'Job Sheet'!AH14)</f>
        <v/>
      </c>
      <c r="R13" s="27" t="str">
        <f>IF(C13="","",IF(AND('Job Sheet'!AB14="Hand Operation",OR('Job Sheet'!S14="Single Panel - Right Stacking",'Job Sheet'!S14="Single Panel - Left Stacking")),"1",IF(AND('Job Sheet'!AB14="Hand Operation",OR('Job Sheet'!S14="Single Panel - Free Flowing",'Job Sheet'!S14="Centre Opening")),"2",IF(AND('Job Sheet'!AB14="Hand Operation",'Job Sheet'!S14="Centre Opening - Free Flowing"),"4",""))))</f>
        <v/>
      </c>
      <c r="S13" s="27" t="str">
        <f>IF(OR(Data!BA14="",C13=""),"",'Job Sheet'!X14)</f>
        <v/>
      </c>
      <c r="T13" s="27" t="str">
        <f>IF(OR(Data!BA14="",C13=""),"",'Job Sheet'!AI14)</f>
        <v/>
      </c>
      <c r="U13" s="27" t="str">
        <f>IF(OR(Data!BA14="",C13=""),"",'Job Sheet'!AJ14)</f>
        <v/>
      </c>
      <c r="V13" s="27" t="str">
        <f>IF(ISERROR(VLOOKUP('Job Sheet'!BF14,Holdbacks,1,FALSE)),"",'Job Sheet'!BF14)</f>
        <v/>
      </c>
      <c r="W13" s="27" t="str">
        <f>IF(OR(Data!BA14="",C13=""),"",'Job Sheet'!BN14)</f>
        <v/>
      </c>
    </row>
    <row r="14" spans="1:23" s="61" customFormat="1" ht="60" customHeight="1">
      <c r="A14" s="2" t="str">
        <f>IF(OR(Data!BA15="",C14=""),"",Data!AW15)</f>
        <v/>
      </c>
      <c r="B14" s="7" t="str">
        <f>IF(OR(Data!BA15="",C14=""),"",'Job Sheet'!C15)</f>
        <v/>
      </c>
      <c r="C14" s="27" t="str">
        <f>IF('Job Sheet'!BH15="Track from Unique Screens",'Job Sheet'!Z15,"")</f>
        <v/>
      </c>
      <c r="D14" s="27" t="str">
        <f>IF(OR(Data!BA15="",C14=""),"",'Job Sheet'!AA15)</f>
        <v/>
      </c>
      <c r="E14" s="27" t="str">
        <f>IF(OR(Data!BA15="",C14=""),"",IF(T14="Straight",'Job Sheet'!BP15-55,'Job Sheet'!E15))</f>
        <v/>
      </c>
      <c r="F14" s="27" t="str">
        <f>IF(OR(Data!BA15="",C14=""),"",'Job Sheet'!I15)</f>
        <v/>
      </c>
      <c r="G14" s="27" t="str">
        <f>IF(OR(Data!BA15="",C14=""),"",'Job Sheet'!P15)</f>
        <v/>
      </c>
      <c r="H14" s="27" t="str">
        <f>IF(OR(Data!BA15="",C14=""),"",IF(VLOOKUP(CONCATENATE('Job Sheet'!Z15,D14,T14),TBSTracks,4,FALSE)="Yes",'Job Sheet'!Q15,""))</f>
        <v/>
      </c>
      <c r="I14" s="27" t="str">
        <f>IF(OR(Data!BA15="",C14=""),"",'Job Sheet'!S15)</f>
        <v/>
      </c>
      <c r="J14" s="27" t="str">
        <f>IF(OR(Data!BA15="",C14=""),"",'Job Sheet'!T15)</f>
        <v/>
      </c>
      <c r="K14" s="27" t="str">
        <f>IF(OR(Data!BA15="",C14=""),"",'Job Sheet'!U15)</f>
        <v/>
      </c>
      <c r="L14" s="27" t="str">
        <f>IF(OR(Data!BA15="",C14=""),"",'Job Sheet'!AD15)</f>
        <v/>
      </c>
      <c r="M14" s="27" t="str">
        <f>IF(OR(Data!BA15="",C14=""),"",'Job Sheet'!AB15)</f>
        <v/>
      </c>
      <c r="N14" s="27" t="str">
        <f>IF(OR(Data!BA15="",C14=""),"",'Job Sheet'!AC15)</f>
        <v/>
      </c>
      <c r="O14" s="27" t="str">
        <f>IF(OR(Data!BA15="",C14=""),"",'Job Sheet'!AE15)</f>
        <v/>
      </c>
      <c r="P14" s="27" t="str">
        <f>IF(OR(Data!BA15="",C14=""),"",'Job Sheet'!AF15)</f>
        <v/>
      </c>
      <c r="Q14" s="27" t="str">
        <f>IF(OR(Data!BA15="",C14=""),"",'Job Sheet'!AH15)</f>
        <v/>
      </c>
      <c r="R14" s="27" t="str">
        <f>IF(C14="","",IF(AND('Job Sheet'!AB15="Hand Operation",OR('Job Sheet'!S15="Single Panel - Right Stacking",'Job Sheet'!S15="Single Panel - Left Stacking")),"1",IF(AND('Job Sheet'!AB15="Hand Operation",OR('Job Sheet'!S15="Single Panel - Free Flowing",'Job Sheet'!S15="Centre Opening")),"2",IF(AND('Job Sheet'!AB15="Hand Operation",'Job Sheet'!S15="Centre Opening - Free Flowing"),"4",""))))</f>
        <v/>
      </c>
      <c r="S14" s="27" t="str">
        <f>IF(OR(Data!BA15="",C14=""),"",'Job Sheet'!X15)</f>
        <v/>
      </c>
      <c r="T14" s="27" t="str">
        <f>IF(OR(Data!BA15="",C14=""),"",'Job Sheet'!AI15)</f>
        <v/>
      </c>
      <c r="U14" s="27" t="str">
        <f>IF(OR(Data!BA15="",C14=""),"",'Job Sheet'!AJ15)</f>
        <v/>
      </c>
      <c r="V14" s="27" t="str">
        <f>IF(ISERROR(VLOOKUP('Job Sheet'!BF15,Holdbacks,1,FALSE)),"",'Job Sheet'!BF15)</f>
        <v/>
      </c>
      <c r="W14" s="27" t="str">
        <f>IF(OR(Data!BA15="",C14=""),"",'Job Sheet'!BN15)</f>
        <v/>
      </c>
    </row>
    <row r="15" spans="1:23" s="61" customFormat="1" ht="60" customHeight="1">
      <c r="A15" s="2" t="str">
        <f>IF(OR(Data!BA16="",C15=""),"",Data!AW16)</f>
        <v/>
      </c>
      <c r="B15" s="7" t="str">
        <f>IF(OR(Data!BA16="",C15=""),"",'Job Sheet'!C16)</f>
        <v/>
      </c>
      <c r="C15" s="27" t="str">
        <f>IF('Job Sheet'!BH16="Track from Unique Screens",'Job Sheet'!Z16,"")</f>
        <v/>
      </c>
      <c r="D15" s="27" t="str">
        <f>IF(OR(Data!BA16="",C15=""),"",'Job Sheet'!AA16)</f>
        <v/>
      </c>
      <c r="E15" s="27" t="str">
        <f>IF(OR(Data!BA16="",C15=""),"",IF(T15="Straight",'Job Sheet'!BP16-55,'Job Sheet'!E16))</f>
        <v/>
      </c>
      <c r="F15" s="27" t="str">
        <f>IF(OR(Data!BA16="",C15=""),"",'Job Sheet'!I16)</f>
        <v/>
      </c>
      <c r="G15" s="27" t="str">
        <f>IF(OR(Data!BA16="",C15=""),"",'Job Sheet'!P16)</f>
        <v/>
      </c>
      <c r="H15" s="27" t="str">
        <f>IF(OR(Data!BA16="",C15=""),"",IF(VLOOKUP(CONCATENATE('Job Sheet'!Z16,D15,T15),TBSTracks,4,FALSE)="Yes",'Job Sheet'!Q16,""))</f>
        <v/>
      </c>
      <c r="I15" s="27" t="str">
        <f>IF(OR(Data!BA16="",C15=""),"",'Job Sheet'!S16)</f>
        <v/>
      </c>
      <c r="J15" s="27" t="str">
        <f>IF(OR(Data!BA16="",C15=""),"",'Job Sheet'!T16)</f>
        <v/>
      </c>
      <c r="K15" s="27" t="str">
        <f>IF(OR(Data!BA16="",C15=""),"",'Job Sheet'!U16)</f>
        <v/>
      </c>
      <c r="L15" s="27" t="str">
        <f>IF(OR(Data!BA16="",C15=""),"",'Job Sheet'!AD16)</f>
        <v/>
      </c>
      <c r="M15" s="27" t="str">
        <f>IF(OR(Data!BA16="",C15=""),"",'Job Sheet'!AB16)</f>
        <v/>
      </c>
      <c r="N15" s="27" t="str">
        <f>IF(OR(Data!BA16="",C15=""),"",'Job Sheet'!AC16)</f>
        <v/>
      </c>
      <c r="O15" s="27" t="str">
        <f>IF(OR(Data!BA16="",C15=""),"",'Job Sheet'!AE16)</f>
        <v/>
      </c>
      <c r="P15" s="27" t="str">
        <f>IF(OR(Data!BA16="",C15=""),"",'Job Sheet'!AF16)</f>
        <v/>
      </c>
      <c r="Q15" s="27" t="str">
        <f>IF(OR(Data!BA16="",C15=""),"",'Job Sheet'!AH16)</f>
        <v/>
      </c>
      <c r="R15" s="27" t="str">
        <f>IF(C15="","",IF(AND('Job Sheet'!AB16="Hand Operation",OR('Job Sheet'!S16="Single Panel - Right Stacking",'Job Sheet'!S16="Single Panel - Left Stacking")),"1",IF(AND('Job Sheet'!AB16="Hand Operation",OR('Job Sheet'!S16="Single Panel - Free Flowing",'Job Sheet'!S16="Centre Opening")),"2",IF(AND('Job Sheet'!AB16="Hand Operation",'Job Sheet'!S16="Centre Opening - Free Flowing"),"4",""))))</f>
        <v/>
      </c>
      <c r="S15" s="27" t="str">
        <f>IF(OR(Data!BA16="",C15=""),"",'Job Sheet'!X16)</f>
        <v/>
      </c>
      <c r="T15" s="27" t="str">
        <f>IF(OR(Data!BA16="",C15=""),"",'Job Sheet'!AI16)</f>
        <v/>
      </c>
      <c r="U15" s="27" t="str">
        <f>IF(OR(Data!BA16="",C15=""),"",'Job Sheet'!AJ16)</f>
        <v/>
      </c>
      <c r="V15" s="27" t="str">
        <f>IF(ISERROR(VLOOKUP('Job Sheet'!BF16,Holdbacks,1,FALSE)),"",'Job Sheet'!BF16)</f>
        <v/>
      </c>
      <c r="W15" s="27" t="str">
        <f>IF(OR(Data!BA16="",C15=""),"",'Job Sheet'!BN16)</f>
        <v/>
      </c>
    </row>
    <row r="16" spans="1:23" s="61" customFormat="1" ht="60" customHeight="1">
      <c r="A16" s="2" t="str">
        <f>IF(OR(Data!BA17="",C16=""),"",Data!AW17)</f>
        <v/>
      </c>
      <c r="B16" s="7" t="str">
        <f>IF(OR(Data!BA17="",C16=""),"",'Job Sheet'!C17)</f>
        <v/>
      </c>
      <c r="C16" s="27" t="str">
        <f>IF('Job Sheet'!BH17="Track from Unique Screens",'Job Sheet'!Z17,"")</f>
        <v/>
      </c>
      <c r="D16" s="27" t="str">
        <f>IF(OR(Data!BA17="",C16=""),"",'Job Sheet'!AA17)</f>
        <v/>
      </c>
      <c r="E16" s="27" t="str">
        <f>IF(OR(Data!BA17="",C16=""),"",IF(T16="Straight",'Job Sheet'!BP17-55,'Job Sheet'!E17))</f>
        <v/>
      </c>
      <c r="F16" s="27" t="str">
        <f>IF(OR(Data!BA17="",C16=""),"",'Job Sheet'!I17)</f>
        <v/>
      </c>
      <c r="G16" s="27" t="str">
        <f>IF(OR(Data!BA17="",C16=""),"",'Job Sheet'!P17)</f>
        <v/>
      </c>
      <c r="H16" s="27" t="str">
        <f>IF(OR(Data!BA17="",C16=""),"",IF(VLOOKUP(CONCATENATE('Job Sheet'!Z17,D16,T16),TBSTracks,4,FALSE)="Yes",'Job Sheet'!Q17,""))</f>
        <v/>
      </c>
      <c r="I16" s="27" t="str">
        <f>IF(OR(Data!BA17="",C16=""),"",'Job Sheet'!S17)</f>
        <v/>
      </c>
      <c r="J16" s="27" t="str">
        <f>IF(OR(Data!BA17="",C16=""),"",'Job Sheet'!T17)</f>
        <v/>
      </c>
      <c r="K16" s="27" t="str">
        <f>IF(OR(Data!BA17="",C16=""),"",'Job Sheet'!U17)</f>
        <v/>
      </c>
      <c r="L16" s="27" t="str">
        <f>IF(OR(Data!BA17="",C16=""),"",'Job Sheet'!AD17)</f>
        <v/>
      </c>
      <c r="M16" s="27" t="str">
        <f>IF(OR(Data!BA17="",C16=""),"",'Job Sheet'!AB17)</f>
        <v/>
      </c>
      <c r="N16" s="27" t="str">
        <f>IF(OR(Data!BA17="",C16=""),"",'Job Sheet'!AC17)</f>
        <v/>
      </c>
      <c r="O16" s="27" t="str">
        <f>IF(OR(Data!BA17="",C16=""),"",'Job Sheet'!AE17)</f>
        <v/>
      </c>
      <c r="P16" s="27" t="str">
        <f>IF(OR(Data!BA17="",C16=""),"",'Job Sheet'!AF17)</f>
        <v/>
      </c>
      <c r="Q16" s="27" t="str">
        <f>IF(OR(Data!BA17="",C16=""),"",'Job Sheet'!AH17)</f>
        <v/>
      </c>
      <c r="R16" s="27" t="str">
        <f>IF(C16="","",IF(AND('Job Sheet'!AB17="Hand Operation",OR('Job Sheet'!S17="Single Panel - Right Stacking",'Job Sheet'!S17="Single Panel - Left Stacking")),"1",IF(AND('Job Sheet'!AB17="Hand Operation",OR('Job Sheet'!S17="Single Panel - Free Flowing",'Job Sheet'!S17="Centre Opening")),"2",IF(AND('Job Sheet'!AB17="Hand Operation",'Job Sheet'!S17="Centre Opening - Free Flowing"),"4",""))))</f>
        <v/>
      </c>
      <c r="S16" s="27" t="str">
        <f>IF(OR(Data!BA17="",C16=""),"",'Job Sheet'!X17)</f>
        <v/>
      </c>
      <c r="T16" s="27" t="str">
        <f>IF(OR(Data!BA17="",C16=""),"",'Job Sheet'!AI17)</f>
        <v/>
      </c>
      <c r="U16" s="27" t="str">
        <f>IF(OR(Data!BA17="",C16=""),"",'Job Sheet'!AJ17)</f>
        <v/>
      </c>
      <c r="V16" s="27" t="str">
        <f>IF(ISERROR(VLOOKUP('Job Sheet'!BF17,Holdbacks,1,FALSE)),"",'Job Sheet'!BF17)</f>
        <v/>
      </c>
      <c r="W16" s="27" t="str">
        <f>IF(OR(Data!BA17="",C16=""),"",'Job Sheet'!BN17)</f>
        <v/>
      </c>
    </row>
    <row r="17" spans="1:23" s="61" customFormat="1" ht="60" customHeight="1">
      <c r="A17" s="2" t="str">
        <f>IF(OR(Data!BA18="",C17=""),"",Data!AW18)</f>
        <v/>
      </c>
      <c r="B17" s="7" t="str">
        <f>IF(OR(Data!BA18="",C17=""),"",'Job Sheet'!C18)</f>
        <v/>
      </c>
      <c r="C17" s="27" t="str">
        <f>IF('Job Sheet'!BH18="Track from Unique Screens",'Job Sheet'!Z18,"")</f>
        <v/>
      </c>
      <c r="D17" s="27" t="str">
        <f>IF(OR(Data!BA18="",C17=""),"",'Job Sheet'!AA18)</f>
        <v/>
      </c>
      <c r="E17" s="27" t="str">
        <f>IF(OR(Data!BA18="",C17=""),"",IF(T17="Straight",'Job Sheet'!BP18-55,'Job Sheet'!E18))</f>
        <v/>
      </c>
      <c r="F17" s="27" t="str">
        <f>IF(OR(Data!BA18="",C17=""),"",'Job Sheet'!I18)</f>
        <v/>
      </c>
      <c r="G17" s="27" t="str">
        <f>IF(OR(Data!BA18="",C17=""),"",'Job Sheet'!P18)</f>
        <v/>
      </c>
      <c r="H17" s="27" t="str">
        <f>IF(OR(Data!BA18="",C17=""),"",IF(VLOOKUP(CONCATENATE('Job Sheet'!Z18,D17,T17),TBSTracks,4,FALSE)="Yes",'Job Sheet'!Q18,""))</f>
        <v/>
      </c>
      <c r="I17" s="27" t="str">
        <f>IF(OR(Data!BA18="",C17=""),"",'Job Sheet'!S18)</f>
        <v/>
      </c>
      <c r="J17" s="27" t="str">
        <f>IF(OR(Data!BA18="",C17=""),"",'Job Sheet'!T18)</f>
        <v/>
      </c>
      <c r="K17" s="27" t="str">
        <f>IF(OR(Data!BA18="",C17=""),"",'Job Sheet'!U18)</f>
        <v/>
      </c>
      <c r="L17" s="27" t="str">
        <f>IF(OR(Data!BA18="",C17=""),"",'Job Sheet'!AD18)</f>
        <v/>
      </c>
      <c r="M17" s="27" t="str">
        <f>IF(OR(Data!BA18="",C17=""),"",'Job Sheet'!AB18)</f>
        <v/>
      </c>
      <c r="N17" s="27" t="str">
        <f>IF(OR(Data!BA18="",C17=""),"",'Job Sheet'!AC18)</f>
        <v/>
      </c>
      <c r="O17" s="27" t="str">
        <f>IF(OR(Data!BA18="",C17=""),"",'Job Sheet'!AE18)</f>
        <v/>
      </c>
      <c r="P17" s="27" t="str">
        <f>IF(OR(Data!BA18="",C17=""),"",'Job Sheet'!AF18)</f>
        <v/>
      </c>
      <c r="Q17" s="27" t="str">
        <f>IF(OR(Data!BA18="",C17=""),"",'Job Sheet'!AH18)</f>
        <v/>
      </c>
      <c r="R17" s="27" t="str">
        <f>IF(C17="","",IF(AND('Job Sheet'!AB18="Hand Operation",OR('Job Sheet'!S18="Single Panel - Right Stacking",'Job Sheet'!S18="Single Panel - Left Stacking")),"1",IF(AND('Job Sheet'!AB18="Hand Operation",OR('Job Sheet'!S18="Single Panel - Free Flowing",'Job Sheet'!S18="Centre Opening")),"2",IF(AND('Job Sheet'!AB18="Hand Operation",'Job Sheet'!S18="Centre Opening - Free Flowing"),"4",""))))</f>
        <v/>
      </c>
      <c r="S17" s="27" t="str">
        <f>IF(OR(Data!BA18="",C17=""),"",'Job Sheet'!X18)</f>
        <v/>
      </c>
      <c r="T17" s="27" t="str">
        <f>IF(OR(Data!BA18="",C17=""),"",'Job Sheet'!AI18)</f>
        <v/>
      </c>
      <c r="U17" s="27" t="str">
        <f>IF(OR(Data!BA18="",C17=""),"",'Job Sheet'!AJ18)</f>
        <v/>
      </c>
      <c r="V17" s="27" t="str">
        <f>IF(ISERROR(VLOOKUP('Job Sheet'!BF18,Holdbacks,1,FALSE)),"",'Job Sheet'!BF18)</f>
        <v/>
      </c>
      <c r="W17" s="27" t="str">
        <f>IF(OR(Data!BA18="",C17=""),"",'Job Sheet'!BN18)</f>
        <v/>
      </c>
    </row>
    <row r="18" spans="1:23" s="61" customFormat="1" ht="60" customHeight="1">
      <c r="A18" s="2" t="str">
        <f>IF(OR(Data!BA19="",C18=""),"",Data!AW19)</f>
        <v/>
      </c>
      <c r="B18" s="7" t="str">
        <f>IF(OR(Data!BA19="",C18=""),"",'Job Sheet'!C19)</f>
        <v/>
      </c>
      <c r="C18" s="27" t="str">
        <f>IF('Job Sheet'!BH19="Track from Unique Screens",'Job Sheet'!Z19,"")</f>
        <v/>
      </c>
      <c r="D18" s="27" t="str">
        <f>IF(OR(Data!BA19="",C18=""),"",'Job Sheet'!AA19)</f>
        <v/>
      </c>
      <c r="E18" s="27" t="str">
        <f>IF(OR(Data!BA19="",C18=""),"",IF(T18="Straight",'Job Sheet'!BP19-55,'Job Sheet'!E19))</f>
        <v/>
      </c>
      <c r="F18" s="27" t="str">
        <f>IF(OR(Data!BA19="",C18=""),"",'Job Sheet'!I19)</f>
        <v/>
      </c>
      <c r="G18" s="27" t="str">
        <f>IF(OR(Data!BA19="",C18=""),"",'Job Sheet'!P19)</f>
        <v/>
      </c>
      <c r="H18" s="27" t="str">
        <f>IF(OR(Data!BA19="",C18=""),"",IF(VLOOKUP(CONCATENATE('Job Sheet'!Z19,D18,T18),TBSTracks,4,FALSE)="Yes",'Job Sheet'!Q19,""))</f>
        <v/>
      </c>
      <c r="I18" s="27" t="str">
        <f>IF(OR(Data!BA19="",C18=""),"",'Job Sheet'!S19)</f>
        <v/>
      </c>
      <c r="J18" s="27" t="str">
        <f>IF(OR(Data!BA19="",C18=""),"",'Job Sheet'!T19)</f>
        <v/>
      </c>
      <c r="K18" s="27" t="str">
        <f>IF(OR(Data!BA19="",C18=""),"",'Job Sheet'!U19)</f>
        <v/>
      </c>
      <c r="L18" s="27" t="str">
        <f>IF(OR(Data!BA19="",C18=""),"",'Job Sheet'!AD19)</f>
        <v/>
      </c>
      <c r="M18" s="27" t="str">
        <f>IF(OR(Data!BA19="",C18=""),"",'Job Sheet'!AB19)</f>
        <v/>
      </c>
      <c r="N18" s="27" t="str">
        <f>IF(OR(Data!BA19="",C18=""),"",'Job Sheet'!AC19)</f>
        <v/>
      </c>
      <c r="O18" s="27" t="str">
        <f>IF(OR(Data!BA19="",C18=""),"",'Job Sheet'!AE19)</f>
        <v/>
      </c>
      <c r="P18" s="27" t="str">
        <f>IF(OR(Data!BA19="",C18=""),"",'Job Sheet'!AF19)</f>
        <v/>
      </c>
      <c r="Q18" s="27" t="str">
        <f>IF(OR(Data!BA19="",C18=""),"",'Job Sheet'!AH19)</f>
        <v/>
      </c>
      <c r="R18" s="27" t="str">
        <f>IF(C18="","",IF(AND('Job Sheet'!AB19="Hand Operation",OR('Job Sheet'!S19="Single Panel - Right Stacking",'Job Sheet'!S19="Single Panel - Left Stacking")),"1",IF(AND('Job Sheet'!AB19="Hand Operation",OR('Job Sheet'!S19="Single Panel - Free Flowing",'Job Sheet'!S19="Centre Opening")),"2",IF(AND('Job Sheet'!AB19="Hand Operation",'Job Sheet'!S19="Centre Opening - Free Flowing"),"4",""))))</f>
        <v/>
      </c>
      <c r="S18" s="27" t="str">
        <f>IF(OR(Data!BA19="",C18=""),"",'Job Sheet'!X19)</f>
        <v/>
      </c>
      <c r="T18" s="27" t="str">
        <f>IF(OR(Data!BA19="",C18=""),"",'Job Sheet'!AI19)</f>
        <v/>
      </c>
      <c r="U18" s="27" t="str">
        <f>IF(OR(Data!BA19="",C18=""),"",'Job Sheet'!AJ19)</f>
        <v/>
      </c>
      <c r="V18" s="27" t="str">
        <f>IF(ISERROR(VLOOKUP('Job Sheet'!BF19,Holdbacks,1,FALSE)),"",'Job Sheet'!BF19)</f>
        <v/>
      </c>
      <c r="W18" s="27" t="str">
        <f>IF(OR(Data!BA19="",C18=""),"",'Job Sheet'!BN19)</f>
        <v/>
      </c>
    </row>
    <row r="19" spans="1:23" s="61" customFormat="1" ht="60" customHeight="1">
      <c r="A19" s="226" t="str">
        <f>IF(OR(Data!BA20="",C19=""),"",Data!AW20)</f>
        <v/>
      </c>
      <c r="B19" s="236" t="str">
        <f>IF(OR(Data!BA20="",C19=""),"",'Job Sheet'!C20)</f>
        <v/>
      </c>
      <c r="C19" s="27" t="str">
        <f>IF('Job Sheet'!BH20="Track from Unique Screens",'Job Sheet'!Z20,"")</f>
        <v/>
      </c>
      <c r="D19" s="27" t="str">
        <f>IF(OR(Data!BA20="",C19=""),"",'Job Sheet'!AA20)</f>
        <v/>
      </c>
      <c r="E19" s="27" t="str">
        <f>IF(OR(Data!BA20="",C19=""),"",IF(T19="Straight",'Job Sheet'!BP20-55,'Job Sheet'!E20))</f>
        <v/>
      </c>
      <c r="F19" s="27" t="str">
        <f>IF(OR(Data!BA20="",C19=""),"",'Job Sheet'!I20)</f>
        <v/>
      </c>
      <c r="G19" s="27" t="str">
        <f>IF(OR(Data!BA20="",C19=""),"",'Job Sheet'!P20)</f>
        <v/>
      </c>
      <c r="H19" s="27" t="str">
        <f>IF(OR(Data!BA20="",C19=""),"",IF(VLOOKUP(CONCATENATE('Job Sheet'!Z20,D19,T19),TBSTracks,4,FALSE)="Yes",'Job Sheet'!Q20,""))</f>
        <v/>
      </c>
      <c r="I19" s="27" t="str">
        <f>IF(OR(Data!BA20="",C19=""),"",'Job Sheet'!S20)</f>
        <v/>
      </c>
      <c r="J19" s="27" t="str">
        <f>IF(OR(Data!BA20="",C19=""),"",'Job Sheet'!T20)</f>
        <v/>
      </c>
      <c r="K19" s="27" t="str">
        <f>IF(OR(Data!BA20="",C19=""),"",'Job Sheet'!U20)</f>
        <v/>
      </c>
      <c r="L19" s="27" t="str">
        <f>IF(OR(Data!BA20="",C19=""),"",'Job Sheet'!AD20)</f>
        <v/>
      </c>
      <c r="M19" s="27" t="str">
        <f>IF(OR(Data!BA20="",C19=""),"",'Job Sheet'!AB20)</f>
        <v/>
      </c>
      <c r="N19" s="27" t="str">
        <f>IF(OR(Data!BA20="",C19=""),"",'Job Sheet'!AC20)</f>
        <v/>
      </c>
      <c r="O19" s="27" t="str">
        <f>IF(OR(Data!BA20="",C19=""),"",'Job Sheet'!AE20)</f>
        <v/>
      </c>
      <c r="P19" s="27" t="str">
        <f>IF(OR(Data!BA20="",C19=""),"",'Job Sheet'!AF20)</f>
        <v/>
      </c>
      <c r="Q19" s="27" t="str">
        <f>IF(OR(Data!BA20="",C19=""),"",'Job Sheet'!AH20)</f>
        <v/>
      </c>
      <c r="R19" s="27" t="str">
        <f>IF(C19="","",IF(AND('Job Sheet'!AB20="Hand Operation",OR('Job Sheet'!S20="Single Panel - Right Stacking",'Job Sheet'!S20="Single Panel - Left Stacking")),"1",IF(AND('Job Sheet'!AB20="Hand Operation",OR('Job Sheet'!S20="Single Panel - Free Flowing",'Job Sheet'!S20="Centre Opening")),"2",IF(AND('Job Sheet'!AB20="Hand Operation",'Job Sheet'!S20="Centre Opening - Free Flowing"),"4",""))))</f>
        <v/>
      </c>
      <c r="S19" s="27" t="str">
        <f>IF(OR(Data!BA20="",C19=""),"",'Job Sheet'!X20)</f>
        <v/>
      </c>
      <c r="T19" s="27" t="str">
        <f>IF(OR(Data!BA20="",C19=""),"",'Job Sheet'!AI20)</f>
        <v/>
      </c>
      <c r="U19" s="27" t="str">
        <f>IF(OR(Data!BA20="",C19=""),"",'Job Sheet'!AJ20)</f>
        <v/>
      </c>
      <c r="V19" s="27" t="str">
        <f>IF(ISERROR(VLOOKUP('Job Sheet'!BF20,Holdbacks,1,FALSE)),"",'Job Sheet'!BF20)</f>
        <v/>
      </c>
      <c r="W19" s="27" t="str">
        <f>IF(OR(Data!BA20="",C19=""),"",'Job Sheet'!BN20)</f>
        <v/>
      </c>
    </row>
    <row r="20" spans="1:23" s="32" customFormat="1" ht="60" customHeight="1">
      <c r="A20" s="226" t="str">
        <f>IF(OR(Data!BA21="",C20=""),"",Data!AW21)</f>
        <v/>
      </c>
      <c r="B20" s="236" t="str">
        <f>IF(OR(Data!BA21="",C20=""),"",'Job Sheet'!C21)</f>
        <v/>
      </c>
      <c r="C20" s="27" t="str">
        <f>IF('Job Sheet'!BH21="Track from Unique Screens",'Job Sheet'!Z21,"")</f>
        <v/>
      </c>
      <c r="D20" s="27" t="str">
        <f>IF(OR(Data!BA21="",C20=""),"",'Job Sheet'!AA21)</f>
        <v/>
      </c>
      <c r="E20" s="27" t="str">
        <f>IF(OR(Data!BA21="",C20=""),"",IF(T20="Straight",'Job Sheet'!BP21-55,'Job Sheet'!E21))</f>
        <v/>
      </c>
      <c r="F20" s="27" t="str">
        <f>IF(OR(Data!BA21="",C20=""),"",'Job Sheet'!I21)</f>
        <v/>
      </c>
      <c r="G20" s="27" t="str">
        <f>IF(OR(Data!BA21="",C20=""),"",'Job Sheet'!P21)</f>
        <v/>
      </c>
      <c r="H20" s="27" t="str">
        <f>IF(OR(Data!BA21="",C20=""),"",IF(VLOOKUP(CONCATENATE('Job Sheet'!Z21,D20,T20),TBSTracks,4,FALSE)="Yes",'Job Sheet'!Q21,""))</f>
        <v/>
      </c>
      <c r="I20" s="27" t="str">
        <f>IF(OR(Data!BA21="",C20=""),"",'Job Sheet'!S21)</f>
        <v/>
      </c>
      <c r="J20" s="27" t="str">
        <f>IF(OR(Data!BA21="",C20=""),"",'Job Sheet'!T21)</f>
        <v/>
      </c>
      <c r="K20" s="27" t="str">
        <f>IF(OR(Data!BA21="",C20=""),"",'Job Sheet'!U21)</f>
        <v/>
      </c>
      <c r="L20" s="27" t="str">
        <f>IF(OR(Data!BA21="",C20=""),"",'Job Sheet'!AD21)</f>
        <v/>
      </c>
      <c r="M20" s="27" t="str">
        <f>IF(OR(Data!BA21="",C20=""),"",'Job Sheet'!AB21)</f>
        <v/>
      </c>
      <c r="N20" s="27" t="str">
        <f>IF(OR(Data!BA21="",C20=""),"",'Job Sheet'!AC21)</f>
        <v/>
      </c>
      <c r="O20" s="27" t="str">
        <f>IF(OR(Data!BA21="",C20=""),"",'Job Sheet'!AE21)</f>
        <v/>
      </c>
      <c r="P20" s="27" t="str">
        <f>IF(OR(Data!BA21="",C20=""),"",'Job Sheet'!AF21)</f>
        <v/>
      </c>
      <c r="Q20" s="27" t="str">
        <f>IF(OR(Data!BA21="",C20=""),"",'Job Sheet'!AH21)</f>
        <v/>
      </c>
      <c r="R20" s="27" t="str">
        <f>IF(C20="","",IF(AND('Job Sheet'!AB21="Hand Operation",OR('Job Sheet'!S21="Single Panel - Right Stacking",'Job Sheet'!S21="Single Panel - Left Stacking")),"1",IF(AND('Job Sheet'!AB21="Hand Operation",OR('Job Sheet'!S21="Single Panel - Free Flowing",'Job Sheet'!S21="Centre Opening")),"2",IF(AND('Job Sheet'!AB21="Hand Operation",'Job Sheet'!S21="Centre Opening - Free Flowing"),"4",""))))</f>
        <v/>
      </c>
      <c r="S20" s="27" t="str">
        <f>IF(OR(Data!BA21="",C20=""),"",'Job Sheet'!X21)</f>
        <v/>
      </c>
      <c r="T20" s="27" t="str">
        <f>IF(OR(Data!BA21="",C20=""),"",'Job Sheet'!AI21)</f>
        <v/>
      </c>
      <c r="U20" s="27" t="str">
        <f>IF(OR(Data!BA21="",C20=""),"",'Job Sheet'!AJ21)</f>
        <v/>
      </c>
      <c r="V20" s="27" t="str">
        <f>IF(ISERROR(VLOOKUP('Job Sheet'!BF21,Holdbacks,1,FALSE)),"",'Job Sheet'!BF21)</f>
        <v/>
      </c>
      <c r="W20" s="27" t="str">
        <f>IF(OR(Data!BA21="",C20=""),"",'Job Sheet'!BN21)</f>
        <v/>
      </c>
    </row>
    <row r="21" spans="1:23" s="32" customFormat="1" ht="60" customHeight="1">
      <c r="A21" s="226" t="str">
        <f>IF(OR(Data!BA22="",C21=""),"",Data!AW22)</f>
        <v/>
      </c>
      <c r="B21" s="236" t="str">
        <f>IF(OR(Data!BA22="",C21=""),"",'Job Sheet'!C22)</f>
        <v/>
      </c>
      <c r="C21" s="27" t="str">
        <f>IF('Job Sheet'!BH22="Track from Unique Screens",'Job Sheet'!Z22,"")</f>
        <v/>
      </c>
      <c r="D21" s="27" t="str">
        <f>IF(OR(Data!BA22="",C21=""),"",'Job Sheet'!AA22)</f>
        <v/>
      </c>
      <c r="E21" s="27" t="str">
        <f>IF(OR(Data!BA22="",C21=""),"",IF(T21="Straight",'Job Sheet'!BP22-55,'Job Sheet'!E22))</f>
        <v/>
      </c>
      <c r="F21" s="27" t="str">
        <f>IF(OR(Data!BA22="",C21=""),"",'Job Sheet'!I22)</f>
        <v/>
      </c>
      <c r="G21" s="27" t="str">
        <f>IF(OR(Data!BA22="",C21=""),"",'Job Sheet'!P22)</f>
        <v/>
      </c>
      <c r="H21" s="27" t="str">
        <f>IF(OR(Data!BA22="",C21=""),"",IF(VLOOKUP(CONCATENATE('Job Sheet'!Z22,D21,T21),TBSTracks,4,FALSE)="Yes",'Job Sheet'!Q22,""))</f>
        <v/>
      </c>
      <c r="I21" s="27" t="str">
        <f>IF(OR(Data!BA22="",C21=""),"",'Job Sheet'!S22)</f>
        <v/>
      </c>
      <c r="J21" s="27" t="str">
        <f>IF(OR(Data!BA22="",C21=""),"",'Job Sheet'!T22)</f>
        <v/>
      </c>
      <c r="K21" s="27" t="str">
        <f>IF(OR(Data!BA22="",C21=""),"",'Job Sheet'!U22)</f>
        <v/>
      </c>
      <c r="L21" s="27" t="str">
        <f>IF(OR(Data!BA22="",C21=""),"",'Job Sheet'!AD22)</f>
        <v/>
      </c>
      <c r="M21" s="27" t="str">
        <f>IF(OR(Data!BA22="",C21=""),"",'Job Sheet'!AB22)</f>
        <v/>
      </c>
      <c r="N21" s="27" t="str">
        <f>IF(OR(Data!BA22="",C21=""),"",'Job Sheet'!AC22)</f>
        <v/>
      </c>
      <c r="O21" s="27" t="str">
        <f>IF(OR(Data!BA22="",C21=""),"",'Job Sheet'!AE22)</f>
        <v/>
      </c>
      <c r="P21" s="27" t="str">
        <f>IF(OR(Data!BA22="",C21=""),"",'Job Sheet'!AF22)</f>
        <v/>
      </c>
      <c r="Q21" s="27" t="str">
        <f>IF(OR(Data!BA22="",C21=""),"",'Job Sheet'!AH22)</f>
        <v/>
      </c>
      <c r="R21" s="27" t="str">
        <f>IF(C21="","",IF(AND('Job Sheet'!AB22="Hand Operation",OR('Job Sheet'!S22="Single Panel - Right Stacking",'Job Sheet'!S22="Single Panel - Left Stacking")),"1",IF(AND('Job Sheet'!AB22="Hand Operation",OR('Job Sheet'!S22="Single Panel - Free Flowing",'Job Sheet'!S22="Centre Opening")),"2",IF(AND('Job Sheet'!AB22="Hand Operation",'Job Sheet'!S22="Centre Opening - Free Flowing"),"4",""))))</f>
        <v/>
      </c>
      <c r="S21" s="27" t="str">
        <f>IF(OR(Data!BA22="",C21=""),"",'Job Sheet'!X22)</f>
        <v/>
      </c>
      <c r="T21" s="27" t="str">
        <f>IF(OR(Data!BA22="",C21=""),"",'Job Sheet'!AI22)</f>
        <v/>
      </c>
      <c r="U21" s="27" t="str">
        <f>IF(OR(Data!BA22="",C21=""),"",'Job Sheet'!AJ22)</f>
        <v/>
      </c>
      <c r="V21" s="27" t="str">
        <f>IF(ISERROR(VLOOKUP('Job Sheet'!BF22,Holdbacks,1,FALSE)),"",'Job Sheet'!BF22)</f>
        <v/>
      </c>
      <c r="W21" s="27" t="str">
        <f>IF(OR(Data!BA22="",C21=""),"",'Job Sheet'!BN22)</f>
        <v/>
      </c>
    </row>
    <row r="22" spans="1:20" s="32" customFormat="1" ht="60" customHeight="1">
      <c r="A22" s="64"/>
      <c r="B22" s="64"/>
      <c r="C22" s="64"/>
      <c r="D22" s="64"/>
      <c r="E22" s="64"/>
      <c r="F22" s="64"/>
      <c r="G22" s="64"/>
      <c r="H22" s="64"/>
      <c r="I22" s="64"/>
      <c r="J22" s="65"/>
      <c r="K22" s="65"/>
      <c r="L22" s="64"/>
      <c r="M22" s="64"/>
      <c r="N22" s="64"/>
      <c r="O22" s="64"/>
      <c r="P22" s="64"/>
      <c r="Q22" s="64"/>
      <c r="R22" s="64"/>
      <c r="S22" s="64"/>
      <c r="T22" s="64"/>
    </row>
    <row r="23" spans="1:20" s="32" customFormat="1" ht="60" customHeight="1">
      <c r="A23" s="64"/>
      <c r="B23" s="64"/>
      <c r="C23" s="64"/>
      <c r="D23" s="64"/>
      <c r="E23" s="64"/>
      <c r="F23" s="64"/>
      <c r="G23" s="64"/>
      <c r="H23" s="64"/>
      <c r="I23" s="64"/>
      <c r="J23" s="65"/>
      <c r="K23" s="65"/>
      <c r="L23" s="64"/>
      <c r="M23" s="64"/>
      <c r="N23" s="64"/>
      <c r="O23" s="64"/>
      <c r="P23" s="64"/>
      <c r="Q23" s="64"/>
      <c r="R23" s="64"/>
      <c r="S23" s="64"/>
      <c r="T23" s="64"/>
    </row>
    <row r="24" spans="1:20" s="32" customFormat="1" ht="60" customHeight="1">
      <c r="A24" s="64"/>
      <c r="B24" s="64"/>
      <c r="C24" s="64"/>
      <c r="D24" s="64"/>
      <c r="E24" s="64"/>
      <c r="F24" s="64"/>
      <c r="G24" s="64"/>
      <c r="H24" s="64"/>
      <c r="I24" s="64"/>
      <c r="J24" s="65"/>
      <c r="K24" s="65"/>
      <c r="L24" s="64"/>
      <c r="M24" s="64"/>
      <c r="N24" s="64"/>
      <c r="O24" s="64"/>
      <c r="P24" s="64"/>
      <c r="Q24" s="64"/>
      <c r="R24" s="64"/>
      <c r="S24" s="64"/>
      <c r="T24" s="64"/>
    </row>
    <row r="25" spans="1:20" s="32" customFormat="1" ht="60" customHeight="1">
      <c r="A25" s="64"/>
      <c r="B25" s="64"/>
      <c r="C25" s="64"/>
      <c r="D25" s="64"/>
      <c r="E25" s="64"/>
      <c r="F25" s="64"/>
      <c r="G25" s="64"/>
      <c r="H25" s="64"/>
      <c r="I25" s="64"/>
      <c r="J25" s="65"/>
      <c r="K25" s="65"/>
      <c r="L25" s="64"/>
      <c r="M25" s="64"/>
      <c r="N25" s="64"/>
      <c r="O25" s="64"/>
      <c r="P25" s="64"/>
      <c r="Q25" s="64"/>
      <c r="R25" s="64"/>
      <c r="S25" s="64"/>
      <c r="T25" s="64"/>
    </row>
    <row r="26" spans="1:20" s="32" customFormat="1" ht="60" customHeight="1">
      <c r="A26" s="64"/>
      <c r="B26" s="64"/>
      <c r="C26" s="64"/>
      <c r="D26" s="64"/>
      <c r="E26" s="64"/>
      <c r="F26" s="64"/>
      <c r="G26" s="64"/>
      <c r="H26" s="64"/>
      <c r="I26" s="64"/>
      <c r="J26" s="65"/>
      <c r="K26" s="65"/>
      <c r="L26" s="64"/>
      <c r="M26" s="64"/>
      <c r="N26" s="64"/>
      <c r="O26" s="64"/>
      <c r="P26" s="64"/>
      <c r="Q26" s="64"/>
      <c r="R26" s="64"/>
      <c r="S26" s="64"/>
      <c r="T26" s="64"/>
    </row>
    <row r="27" spans="1:20" s="32" customFormat="1" ht="60" customHeight="1">
      <c r="A27" s="64"/>
      <c r="B27" s="64"/>
      <c r="C27" s="64"/>
      <c r="D27" s="64"/>
      <c r="E27" s="64"/>
      <c r="F27" s="64"/>
      <c r="G27" s="64"/>
      <c r="H27" s="64"/>
      <c r="I27" s="64"/>
      <c r="J27" s="65"/>
      <c r="K27" s="65"/>
      <c r="L27" s="64"/>
      <c r="M27" s="64"/>
      <c r="N27" s="64"/>
      <c r="O27" s="64"/>
      <c r="P27" s="64"/>
      <c r="Q27" s="64"/>
      <c r="R27" s="64"/>
      <c r="S27" s="64"/>
      <c r="T27" s="64"/>
    </row>
    <row r="28" spans="1:20" s="32" customFormat="1" ht="60" customHeight="1">
      <c r="A28" s="64"/>
      <c r="B28" s="64"/>
      <c r="C28" s="64"/>
      <c r="D28" s="64"/>
      <c r="E28" s="64"/>
      <c r="F28" s="64"/>
      <c r="G28" s="64"/>
      <c r="H28" s="64"/>
      <c r="I28" s="64"/>
      <c r="J28" s="65"/>
      <c r="K28" s="65"/>
      <c r="L28" s="64"/>
      <c r="M28" s="64"/>
      <c r="N28" s="64"/>
      <c r="O28" s="64"/>
      <c r="P28" s="64"/>
      <c r="Q28" s="64"/>
      <c r="R28" s="64"/>
      <c r="S28" s="64"/>
      <c r="T28" s="64"/>
    </row>
    <row r="29" spans="1:20" s="32" customFormat="1" ht="60" customHeight="1">
      <c r="A29" s="64"/>
      <c r="B29" s="64"/>
      <c r="C29" s="64"/>
      <c r="D29" s="64"/>
      <c r="E29" s="64"/>
      <c r="F29" s="64"/>
      <c r="G29" s="64"/>
      <c r="H29" s="64"/>
      <c r="I29" s="64"/>
      <c r="J29" s="65"/>
      <c r="K29" s="65"/>
      <c r="L29" s="64"/>
      <c r="M29" s="64"/>
      <c r="N29" s="64"/>
      <c r="O29" s="64"/>
      <c r="P29" s="64"/>
      <c r="Q29" s="64"/>
      <c r="R29" s="64"/>
      <c r="S29" s="64"/>
      <c r="T29" s="64"/>
    </row>
    <row r="30" spans="1:20" s="32" customFormat="1" ht="60" customHeight="1">
      <c r="A30" s="64"/>
      <c r="B30" s="64"/>
      <c r="C30" s="64"/>
      <c r="D30" s="64"/>
      <c r="E30" s="64"/>
      <c r="F30" s="64"/>
      <c r="G30" s="64"/>
      <c r="H30" s="64"/>
      <c r="I30" s="64"/>
      <c r="J30" s="65"/>
      <c r="K30" s="65"/>
      <c r="L30" s="64"/>
      <c r="M30" s="64"/>
      <c r="N30" s="64"/>
      <c r="O30" s="64"/>
      <c r="P30" s="64"/>
      <c r="Q30" s="64"/>
      <c r="R30" s="64"/>
      <c r="S30" s="64"/>
      <c r="T30" s="64"/>
    </row>
    <row r="31" spans="1:20" s="32" customFormat="1" ht="60" customHeight="1">
      <c r="A31" s="64"/>
      <c r="B31" s="64"/>
      <c r="C31" s="64"/>
      <c r="D31" s="64"/>
      <c r="E31" s="64"/>
      <c r="F31" s="64"/>
      <c r="G31" s="64"/>
      <c r="H31" s="64"/>
      <c r="I31" s="64"/>
      <c r="J31" s="65"/>
      <c r="K31" s="65"/>
      <c r="L31" s="64"/>
      <c r="M31" s="64"/>
      <c r="N31" s="64"/>
      <c r="O31" s="64"/>
      <c r="P31" s="64"/>
      <c r="Q31" s="64"/>
      <c r="R31" s="64"/>
      <c r="S31" s="64"/>
      <c r="T31" s="64"/>
    </row>
    <row r="32" spans="1:20" s="32" customFormat="1" ht="60" customHeight="1">
      <c r="A32" s="64"/>
      <c r="B32" s="64"/>
      <c r="C32" s="64"/>
      <c r="D32" s="64"/>
      <c r="E32" s="64"/>
      <c r="F32" s="64"/>
      <c r="G32" s="64"/>
      <c r="H32" s="64"/>
      <c r="I32" s="64"/>
      <c r="J32" s="65"/>
      <c r="K32" s="65"/>
      <c r="L32" s="64"/>
      <c r="M32" s="64"/>
      <c r="N32" s="64"/>
      <c r="O32" s="64"/>
      <c r="P32" s="64"/>
      <c r="Q32" s="64"/>
      <c r="R32" s="64"/>
      <c r="S32" s="64"/>
      <c r="T32" s="64"/>
    </row>
    <row r="33" spans="1:20" s="32" customFormat="1" ht="60" customHeight="1">
      <c r="A33" s="64"/>
      <c r="B33" s="64"/>
      <c r="C33" s="64"/>
      <c r="D33" s="64"/>
      <c r="E33" s="64"/>
      <c r="F33" s="64"/>
      <c r="G33" s="64"/>
      <c r="H33" s="64"/>
      <c r="I33" s="64"/>
      <c r="J33" s="65"/>
      <c r="K33" s="65"/>
      <c r="L33" s="64"/>
      <c r="M33" s="64"/>
      <c r="N33" s="64"/>
      <c r="O33" s="64"/>
      <c r="P33" s="64"/>
      <c r="Q33" s="64"/>
      <c r="R33" s="64"/>
      <c r="S33" s="64"/>
      <c r="T33" s="64"/>
    </row>
    <row r="34" spans="1:20" s="32" customFormat="1" ht="60" customHeight="1">
      <c r="A34" s="64"/>
      <c r="B34" s="64"/>
      <c r="C34" s="64"/>
      <c r="D34" s="64"/>
      <c r="E34" s="64"/>
      <c r="F34" s="64"/>
      <c r="G34" s="64"/>
      <c r="H34" s="64"/>
      <c r="I34" s="64"/>
      <c r="J34" s="65"/>
      <c r="K34" s="65"/>
      <c r="L34" s="64"/>
      <c r="M34" s="64"/>
      <c r="N34" s="64"/>
      <c r="O34" s="64"/>
      <c r="P34" s="64"/>
      <c r="Q34" s="64"/>
      <c r="R34" s="64"/>
      <c r="S34" s="64"/>
      <c r="T34" s="64"/>
    </row>
    <row r="35" spans="1:20" s="32" customFormat="1" ht="60" customHeight="1">
      <c r="A35" s="64"/>
      <c r="B35" s="64"/>
      <c r="C35" s="64"/>
      <c r="D35" s="64"/>
      <c r="E35" s="64"/>
      <c r="F35" s="64"/>
      <c r="G35" s="64"/>
      <c r="H35" s="64"/>
      <c r="I35" s="64"/>
      <c r="J35" s="65"/>
      <c r="K35" s="65"/>
      <c r="L35" s="64"/>
      <c r="M35" s="64"/>
      <c r="N35" s="64"/>
      <c r="O35" s="64"/>
      <c r="P35" s="64"/>
      <c r="Q35" s="64"/>
      <c r="R35" s="64"/>
      <c r="S35" s="64"/>
      <c r="T35" s="64"/>
    </row>
    <row r="36" spans="1:20" s="32" customFormat="1" ht="60" customHeight="1">
      <c r="A36" s="64"/>
      <c r="B36" s="64"/>
      <c r="C36" s="64"/>
      <c r="D36" s="64"/>
      <c r="E36" s="64"/>
      <c r="F36" s="64"/>
      <c r="G36" s="64"/>
      <c r="H36" s="64"/>
      <c r="I36" s="64"/>
      <c r="J36" s="65"/>
      <c r="K36" s="65"/>
      <c r="L36" s="64"/>
      <c r="M36" s="64"/>
      <c r="N36" s="64"/>
      <c r="O36" s="64"/>
      <c r="P36" s="64"/>
      <c r="Q36" s="64"/>
      <c r="R36" s="64"/>
      <c r="S36" s="64"/>
      <c r="T36" s="64"/>
    </row>
    <row r="37" spans="1:20" s="32" customFormat="1" ht="60" customHeight="1">
      <c r="A37" s="64"/>
      <c r="B37" s="64"/>
      <c r="C37" s="64"/>
      <c r="D37" s="64"/>
      <c r="E37" s="64"/>
      <c r="F37" s="64"/>
      <c r="G37" s="64"/>
      <c r="H37" s="64"/>
      <c r="I37" s="64"/>
      <c r="J37" s="65"/>
      <c r="K37" s="65"/>
      <c r="L37" s="64"/>
      <c r="M37" s="64"/>
      <c r="N37" s="64"/>
      <c r="O37" s="64"/>
      <c r="P37" s="64"/>
      <c r="Q37" s="64"/>
      <c r="R37" s="64"/>
      <c r="S37" s="64"/>
      <c r="T37" s="64"/>
    </row>
    <row r="38" spans="1:20" s="32" customFormat="1" ht="60" customHeight="1">
      <c r="A38" s="64"/>
      <c r="B38" s="64"/>
      <c r="C38" s="64"/>
      <c r="D38" s="64"/>
      <c r="E38" s="64"/>
      <c r="F38" s="64"/>
      <c r="G38" s="64"/>
      <c r="H38" s="64"/>
      <c r="I38" s="64"/>
      <c r="J38" s="65"/>
      <c r="K38" s="65"/>
      <c r="L38" s="64"/>
      <c r="M38" s="64"/>
      <c r="N38" s="64"/>
      <c r="O38" s="64"/>
      <c r="P38" s="64"/>
      <c r="Q38" s="64"/>
      <c r="R38" s="64"/>
      <c r="S38" s="64"/>
      <c r="T38" s="64"/>
    </row>
    <row r="39" spans="1:20" s="32" customFormat="1" ht="60" customHeight="1">
      <c r="A39" s="64"/>
      <c r="B39" s="64"/>
      <c r="C39" s="64"/>
      <c r="D39" s="64"/>
      <c r="E39" s="64"/>
      <c r="F39" s="64"/>
      <c r="G39" s="64"/>
      <c r="H39" s="64"/>
      <c r="I39" s="64"/>
      <c r="J39" s="65"/>
      <c r="K39" s="65"/>
      <c r="L39" s="64"/>
      <c r="M39" s="64"/>
      <c r="N39" s="64"/>
      <c r="O39" s="64"/>
      <c r="P39" s="64"/>
      <c r="Q39" s="64"/>
      <c r="R39" s="64"/>
      <c r="S39" s="64"/>
      <c r="T39" s="64"/>
    </row>
    <row r="40" spans="1:20" s="32" customFormat="1" ht="60" customHeight="1">
      <c r="A40" s="64"/>
      <c r="B40" s="64"/>
      <c r="C40" s="64"/>
      <c r="D40" s="64"/>
      <c r="E40" s="64"/>
      <c r="F40" s="64"/>
      <c r="G40" s="64"/>
      <c r="H40" s="64"/>
      <c r="I40" s="64"/>
      <c r="J40" s="65"/>
      <c r="K40" s="65"/>
      <c r="L40" s="64"/>
      <c r="M40" s="64"/>
      <c r="N40" s="64"/>
      <c r="O40" s="64"/>
      <c r="P40" s="64"/>
      <c r="Q40" s="64"/>
      <c r="R40" s="64"/>
      <c r="S40" s="64"/>
      <c r="T40" s="64"/>
    </row>
    <row r="41" spans="1:20" s="32" customFormat="1" ht="60" customHeight="1">
      <c r="A41" s="64"/>
      <c r="B41" s="64"/>
      <c r="C41" s="64"/>
      <c r="D41" s="64"/>
      <c r="E41" s="64"/>
      <c r="F41" s="64"/>
      <c r="G41" s="64"/>
      <c r="H41" s="64"/>
      <c r="I41" s="64"/>
      <c r="J41" s="65"/>
      <c r="K41" s="65"/>
      <c r="L41" s="64"/>
      <c r="M41" s="64"/>
      <c r="N41" s="64"/>
      <c r="O41" s="64"/>
      <c r="P41" s="64"/>
      <c r="Q41" s="64"/>
      <c r="R41" s="64"/>
      <c r="S41" s="64"/>
      <c r="T41" s="64"/>
    </row>
    <row r="42" spans="1:20" s="32" customFormat="1" ht="60" customHeight="1">
      <c r="A42" s="64"/>
      <c r="B42" s="64"/>
      <c r="C42" s="64"/>
      <c r="D42" s="64"/>
      <c r="E42" s="64"/>
      <c r="F42" s="64"/>
      <c r="G42" s="64"/>
      <c r="H42" s="64"/>
      <c r="I42" s="64"/>
      <c r="J42" s="65"/>
      <c r="K42" s="65"/>
      <c r="L42" s="64"/>
      <c r="M42" s="64"/>
      <c r="N42" s="64"/>
      <c r="O42" s="64"/>
      <c r="P42" s="64"/>
      <c r="Q42" s="64"/>
      <c r="R42" s="64"/>
      <c r="S42" s="64"/>
      <c r="T42" s="64"/>
    </row>
    <row r="43" spans="1:20" s="32" customFormat="1" ht="60" customHeight="1">
      <c r="A43" s="64"/>
      <c r="B43" s="64"/>
      <c r="C43" s="64"/>
      <c r="D43" s="64"/>
      <c r="E43" s="64"/>
      <c r="F43" s="64"/>
      <c r="G43" s="64"/>
      <c r="H43" s="64"/>
      <c r="I43" s="64"/>
      <c r="J43" s="65"/>
      <c r="K43" s="65"/>
      <c r="L43" s="64"/>
      <c r="M43" s="64"/>
      <c r="N43" s="64"/>
      <c r="O43" s="64"/>
      <c r="P43" s="64"/>
      <c r="Q43" s="64"/>
      <c r="R43" s="64"/>
      <c r="S43" s="64"/>
      <c r="T43" s="64"/>
    </row>
    <row r="44" spans="1:23" ht="60" customHeight="1">
      <c r="A44" s="64"/>
      <c r="B44" s="64"/>
      <c r="C44" s="64"/>
      <c r="D44" s="64"/>
      <c r="E44" s="64"/>
      <c r="F44" s="64"/>
      <c r="G44" s="64"/>
      <c r="H44" s="64"/>
      <c r="I44" s="64"/>
      <c r="J44" s="65"/>
      <c r="K44" s="65"/>
      <c r="L44" s="64"/>
      <c r="M44" s="64"/>
      <c r="N44" s="64"/>
      <c r="O44" s="64"/>
      <c r="P44" s="64"/>
      <c r="Q44" s="64"/>
      <c r="R44" s="64"/>
      <c r="S44" s="64"/>
      <c r="T44" s="64"/>
      <c r="U44" s="32"/>
      <c r="V44" s="32"/>
      <c r="W44" s="32"/>
    </row>
    <row r="45" spans="1:23" ht="60" customHeight="1">
      <c r="A45" s="64"/>
      <c r="B45" s="64"/>
      <c r="C45" s="64"/>
      <c r="D45" s="64"/>
      <c r="E45" s="64"/>
      <c r="F45" s="64"/>
      <c r="G45" s="64"/>
      <c r="H45" s="64"/>
      <c r="I45" s="64"/>
      <c r="J45" s="65"/>
      <c r="K45" s="65"/>
      <c r="L45" s="64"/>
      <c r="M45" s="64"/>
      <c r="N45" s="64"/>
      <c r="O45" s="64"/>
      <c r="P45" s="64"/>
      <c r="Q45" s="64"/>
      <c r="R45" s="64"/>
      <c r="S45" s="64"/>
      <c r="T45" s="64"/>
      <c r="U45" s="32"/>
      <c r="V45" s="32"/>
      <c r="W45" s="32"/>
    </row>
    <row r="46" spans="1:23" ht="60" customHeight="1">
      <c r="A46" s="64"/>
      <c r="B46" s="64"/>
      <c r="C46" s="64"/>
      <c r="D46" s="64"/>
      <c r="E46" s="64"/>
      <c r="F46" s="64"/>
      <c r="G46" s="64"/>
      <c r="H46" s="64"/>
      <c r="I46" s="64"/>
      <c r="J46" s="65"/>
      <c r="K46" s="65"/>
      <c r="L46" s="64"/>
      <c r="M46" s="64"/>
      <c r="N46" s="64"/>
      <c r="O46" s="64"/>
      <c r="P46" s="64"/>
      <c r="Q46" s="64"/>
      <c r="R46" s="64"/>
      <c r="S46" s="64"/>
      <c r="T46" s="64"/>
      <c r="U46" s="32"/>
      <c r="V46" s="32"/>
      <c r="W46" s="32"/>
    </row>
    <row r="47" spans="1:23" ht="60" customHeight="1">
      <c r="A47" s="64"/>
      <c r="B47" s="64"/>
      <c r="C47" s="64"/>
      <c r="D47" s="64"/>
      <c r="E47" s="64"/>
      <c r="F47" s="64"/>
      <c r="G47" s="64"/>
      <c r="H47" s="64"/>
      <c r="I47" s="64"/>
      <c r="J47" s="65"/>
      <c r="K47" s="65"/>
      <c r="L47" s="64"/>
      <c r="M47" s="64"/>
      <c r="N47" s="64"/>
      <c r="O47" s="64"/>
      <c r="P47" s="64"/>
      <c r="Q47" s="64"/>
      <c r="R47" s="64"/>
      <c r="S47" s="64"/>
      <c r="T47" s="64"/>
      <c r="U47" s="32"/>
      <c r="V47" s="32"/>
      <c r="W47" s="32"/>
    </row>
    <row r="48" spans="1:23" ht="60" customHeight="1">
      <c r="A48" s="64"/>
      <c r="B48" s="64"/>
      <c r="C48" s="64"/>
      <c r="D48" s="64"/>
      <c r="E48" s="64"/>
      <c r="F48" s="64"/>
      <c r="G48" s="64"/>
      <c r="H48" s="64"/>
      <c r="I48" s="64"/>
      <c r="J48" s="65"/>
      <c r="K48" s="65"/>
      <c r="L48" s="64"/>
      <c r="M48" s="64"/>
      <c r="N48" s="64"/>
      <c r="O48" s="64"/>
      <c r="P48" s="64"/>
      <c r="Q48" s="64"/>
      <c r="R48" s="64"/>
      <c r="S48" s="64"/>
      <c r="T48" s="64"/>
      <c r="U48" s="32"/>
      <c r="V48" s="32"/>
      <c r="W48" s="32"/>
    </row>
    <row r="49" spans="1:23" ht="60" customHeight="1">
      <c r="A49" s="64"/>
      <c r="B49" s="64"/>
      <c r="C49" s="64"/>
      <c r="D49" s="64"/>
      <c r="E49" s="64"/>
      <c r="F49" s="64"/>
      <c r="G49" s="64"/>
      <c r="H49" s="64"/>
      <c r="I49" s="64"/>
      <c r="J49" s="65"/>
      <c r="K49" s="65"/>
      <c r="L49" s="64"/>
      <c r="M49" s="64"/>
      <c r="N49" s="64"/>
      <c r="O49" s="64"/>
      <c r="P49" s="64"/>
      <c r="Q49" s="64"/>
      <c r="R49" s="64"/>
      <c r="S49" s="64"/>
      <c r="T49" s="64"/>
      <c r="U49" s="32"/>
      <c r="V49" s="32"/>
      <c r="W49" s="32"/>
    </row>
    <row r="50" spans="1:23" ht="60" customHeight="1">
      <c r="A50" s="64"/>
      <c r="B50" s="64"/>
      <c r="C50" s="64"/>
      <c r="D50" s="64"/>
      <c r="E50" s="64"/>
      <c r="F50" s="64"/>
      <c r="G50" s="64"/>
      <c r="H50" s="64"/>
      <c r="I50" s="64"/>
      <c r="J50" s="65"/>
      <c r="K50" s="65"/>
      <c r="L50" s="64"/>
      <c r="M50" s="64"/>
      <c r="N50" s="64"/>
      <c r="O50" s="64"/>
      <c r="P50" s="64"/>
      <c r="Q50" s="64"/>
      <c r="R50" s="64"/>
      <c r="S50" s="64"/>
      <c r="T50" s="64"/>
      <c r="U50" s="32"/>
      <c r="V50" s="32"/>
      <c r="W50" s="32"/>
    </row>
    <row r="51" spans="1:23" ht="60" customHeight="1">
      <c r="A51" s="64"/>
      <c r="B51" s="64"/>
      <c r="C51" s="64"/>
      <c r="D51" s="64"/>
      <c r="E51" s="64"/>
      <c r="F51" s="64"/>
      <c r="G51" s="64"/>
      <c r="H51" s="64"/>
      <c r="I51" s="64"/>
      <c r="J51" s="65"/>
      <c r="K51" s="65"/>
      <c r="L51" s="64"/>
      <c r="M51" s="64"/>
      <c r="N51" s="64"/>
      <c r="O51" s="64"/>
      <c r="P51" s="64"/>
      <c r="Q51" s="64"/>
      <c r="R51" s="64"/>
      <c r="S51" s="64"/>
      <c r="T51" s="64"/>
      <c r="U51" s="32"/>
      <c r="V51" s="32"/>
      <c r="W51" s="32"/>
    </row>
    <row r="52" spans="1:23" ht="60" customHeight="1">
      <c r="A52" s="64"/>
      <c r="B52" s="64"/>
      <c r="C52" s="64"/>
      <c r="D52" s="64"/>
      <c r="E52" s="64"/>
      <c r="F52" s="64"/>
      <c r="G52" s="64"/>
      <c r="H52" s="64"/>
      <c r="I52" s="64"/>
      <c r="J52" s="65"/>
      <c r="K52" s="65"/>
      <c r="L52" s="64"/>
      <c r="M52" s="64"/>
      <c r="N52" s="64"/>
      <c r="O52" s="64"/>
      <c r="P52" s="64"/>
      <c r="Q52" s="64"/>
      <c r="R52" s="64"/>
      <c r="S52" s="64"/>
      <c r="T52" s="64"/>
      <c r="U52" s="32"/>
      <c r="V52" s="32"/>
      <c r="W52" s="32"/>
    </row>
    <row r="53" spans="1:23" ht="60" customHeight="1">
      <c r="A53" s="64"/>
      <c r="B53" s="64"/>
      <c r="C53" s="64"/>
      <c r="D53" s="64"/>
      <c r="E53" s="64"/>
      <c r="F53" s="64"/>
      <c r="G53" s="64"/>
      <c r="H53" s="64"/>
      <c r="I53" s="64"/>
      <c r="J53" s="65"/>
      <c r="K53" s="65"/>
      <c r="L53" s="64"/>
      <c r="M53" s="64"/>
      <c r="N53" s="64"/>
      <c r="O53" s="64"/>
      <c r="P53" s="64"/>
      <c r="Q53" s="64"/>
      <c r="R53" s="64"/>
      <c r="S53" s="64"/>
      <c r="T53" s="64"/>
      <c r="U53" s="32"/>
      <c r="V53" s="32"/>
      <c r="W53" s="32"/>
    </row>
    <row r="54" spans="1:23" ht="60" customHeight="1">
      <c r="A54" s="64"/>
      <c r="B54" s="64"/>
      <c r="C54" s="64"/>
      <c r="D54" s="64"/>
      <c r="E54" s="64"/>
      <c r="F54" s="64"/>
      <c r="G54" s="64"/>
      <c r="H54" s="64"/>
      <c r="I54" s="64"/>
      <c r="J54" s="65"/>
      <c r="K54" s="65"/>
      <c r="L54" s="64"/>
      <c r="M54" s="64"/>
      <c r="N54" s="64"/>
      <c r="O54" s="64"/>
      <c r="P54" s="64"/>
      <c r="Q54" s="64"/>
      <c r="R54" s="64"/>
      <c r="S54" s="64"/>
      <c r="T54" s="64"/>
      <c r="U54" s="32"/>
      <c r="V54" s="32"/>
      <c r="W54" s="32"/>
    </row>
    <row r="55" spans="1:23" ht="60" customHeight="1">
      <c r="A55" s="64"/>
      <c r="B55" s="64"/>
      <c r="C55" s="64"/>
      <c r="D55" s="64"/>
      <c r="E55" s="64"/>
      <c r="F55" s="64"/>
      <c r="G55" s="64"/>
      <c r="H55" s="64"/>
      <c r="I55" s="64"/>
      <c r="J55" s="65"/>
      <c r="K55" s="65"/>
      <c r="L55" s="64"/>
      <c r="M55" s="64"/>
      <c r="N55" s="64"/>
      <c r="O55" s="64"/>
      <c r="P55" s="64"/>
      <c r="Q55" s="64"/>
      <c r="R55" s="64"/>
      <c r="S55" s="64"/>
      <c r="T55" s="64"/>
      <c r="U55" s="32"/>
      <c r="V55" s="32"/>
      <c r="W55" s="32"/>
    </row>
    <row r="56" spans="1:23" ht="60" customHeight="1">
      <c r="A56" s="64"/>
      <c r="B56" s="64"/>
      <c r="C56" s="64"/>
      <c r="D56" s="64"/>
      <c r="E56" s="64"/>
      <c r="F56" s="64"/>
      <c r="G56" s="64"/>
      <c r="H56" s="64"/>
      <c r="I56" s="64"/>
      <c r="J56" s="65"/>
      <c r="K56" s="65"/>
      <c r="L56" s="64"/>
      <c r="M56" s="64"/>
      <c r="N56" s="64"/>
      <c r="O56" s="64"/>
      <c r="P56" s="64"/>
      <c r="Q56" s="64"/>
      <c r="R56" s="64"/>
      <c r="S56" s="64"/>
      <c r="T56" s="64"/>
      <c r="U56" s="32"/>
      <c r="V56" s="32"/>
      <c r="W56" s="32"/>
    </row>
    <row r="57" spans="1:23" ht="60" customHeight="1">
      <c r="A57" s="64"/>
      <c r="B57" s="64"/>
      <c r="C57" s="64"/>
      <c r="D57" s="64"/>
      <c r="E57" s="64"/>
      <c r="F57" s="64"/>
      <c r="G57" s="64"/>
      <c r="H57" s="64"/>
      <c r="I57" s="64"/>
      <c r="J57" s="65"/>
      <c r="K57" s="65"/>
      <c r="L57" s="64"/>
      <c r="M57" s="64"/>
      <c r="N57" s="64"/>
      <c r="O57" s="64"/>
      <c r="P57" s="64"/>
      <c r="Q57" s="64"/>
      <c r="R57" s="64"/>
      <c r="S57" s="64"/>
      <c r="T57" s="64"/>
      <c r="U57" s="32"/>
      <c r="V57" s="32"/>
      <c r="W57" s="32"/>
    </row>
    <row r="58" spans="1:23" ht="60" customHeight="1">
      <c r="A58" s="64"/>
      <c r="B58" s="64"/>
      <c r="C58" s="64"/>
      <c r="D58" s="64"/>
      <c r="E58" s="64"/>
      <c r="F58" s="64"/>
      <c r="G58" s="64"/>
      <c r="H58" s="64"/>
      <c r="I58" s="64"/>
      <c r="J58" s="65"/>
      <c r="K58" s="65"/>
      <c r="L58" s="64"/>
      <c r="M58" s="64"/>
      <c r="N58" s="64"/>
      <c r="O58" s="64"/>
      <c r="P58" s="64"/>
      <c r="Q58" s="64"/>
      <c r="R58" s="64"/>
      <c r="S58" s="64"/>
      <c r="T58" s="64"/>
      <c r="U58" s="32"/>
      <c r="V58" s="32"/>
      <c r="W58" s="32"/>
    </row>
    <row r="59" spans="1:23" ht="60" customHeight="1">
      <c r="A59" s="64"/>
      <c r="B59" s="64"/>
      <c r="C59" s="64"/>
      <c r="D59" s="64"/>
      <c r="E59" s="64"/>
      <c r="F59" s="64"/>
      <c r="G59" s="64"/>
      <c r="H59" s="64"/>
      <c r="I59" s="64"/>
      <c r="J59" s="65"/>
      <c r="K59" s="65"/>
      <c r="L59" s="64"/>
      <c r="M59" s="64"/>
      <c r="N59" s="64"/>
      <c r="O59" s="64"/>
      <c r="P59" s="64"/>
      <c r="Q59" s="64"/>
      <c r="R59" s="64"/>
      <c r="S59" s="64"/>
      <c r="T59" s="64"/>
      <c r="U59" s="32"/>
      <c r="V59" s="32"/>
      <c r="W59" s="32"/>
    </row>
    <row r="60" spans="1:23" ht="60" customHeight="1">
      <c r="A60" s="64"/>
      <c r="B60" s="64"/>
      <c r="C60" s="64"/>
      <c r="D60" s="64"/>
      <c r="E60" s="64"/>
      <c r="F60" s="64"/>
      <c r="G60" s="64"/>
      <c r="H60" s="64"/>
      <c r="I60" s="64"/>
      <c r="J60" s="65"/>
      <c r="K60" s="65"/>
      <c r="L60" s="64"/>
      <c r="M60" s="64"/>
      <c r="N60" s="64"/>
      <c r="O60" s="64"/>
      <c r="P60" s="64"/>
      <c r="Q60" s="64"/>
      <c r="R60" s="64"/>
      <c r="S60" s="64"/>
      <c r="T60" s="64"/>
      <c r="U60" s="32"/>
      <c r="V60" s="32"/>
      <c r="W60" s="32"/>
    </row>
    <row r="61" spans="1:23" ht="60" customHeight="1">
      <c r="A61" s="64"/>
      <c r="B61" s="64"/>
      <c r="C61" s="64"/>
      <c r="D61" s="64"/>
      <c r="E61" s="64"/>
      <c r="F61" s="64"/>
      <c r="G61" s="64"/>
      <c r="H61" s="64"/>
      <c r="I61" s="64"/>
      <c r="J61" s="65"/>
      <c r="K61" s="65"/>
      <c r="L61" s="64"/>
      <c r="M61" s="64"/>
      <c r="N61" s="64"/>
      <c r="O61" s="64"/>
      <c r="P61" s="64"/>
      <c r="Q61" s="64"/>
      <c r="R61" s="64"/>
      <c r="S61" s="64"/>
      <c r="T61" s="64"/>
      <c r="U61" s="32"/>
      <c r="V61" s="32"/>
      <c r="W61" s="32"/>
    </row>
    <row r="62" spans="1:23" ht="60" customHeight="1">
      <c r="A62" s="64"/>
      <c r="B62" s="64"/>
      <c r="C62" s="64"/>
      <c r="D62" s="64"/>
      <c r="E62" s="64"/>
      <c r="F62" s="64"/>
      <c r="G62" s="64"/>
      <c r="H62" s="64"/>
      <c r="I62" s="64"/>
      <c r="J62" s="65"/>
      <c r="K62" s="65"/>
      <c r="L62" s="64"/>
      <c r="M62" s="64"/>
      <c r="N62" s="64"/>
      <c r="O62" s="64"/>
      <c r="P62" s="64"/>
      <c r="Q62" s="64"/>
      <c r="R62" s="64"/>
      <c r="S62" s="64"/>
      <c r="T62" s="64"/>
      <c r="U62" s="32"/>
      <c r="V62" s="32"/>
      <c r="W62" s="32"/>
    </row>
    <row r="63" spans="1:23" ht="60" customHeight="1">
      <c r="A63" s="64"/>
      <c r="B63" s="64"/>
      <c r="C63" s="64"/>
      <c r="D63" s="64"/>
      <c r="E63" s="64"/>
      <c r="F63" s="64"/>
      <c r="G63" s="64"/>
      <c r="H63" s="64"/>
      <c r="I63" s="64"/>
      <c r="J63" s="65"/>
      <c r="K63" s="65"/>
      <c r="L63" s="64"/>
      <c r="M63" s="64"/>
      <c r="N63" s="64"/>
      <c r="O63" s="64"/>
      <c r="P63" s="64"/>
      <c r="Q63" s="64"/>
      <c r="R63" s="64"/>
      <c r="S63" s="64"/>
      <c r="T63" s="64"/>
      <c r="U63" s="32"/>
      <c r="V63" s="32"/>
      <c r="W63" s="32"/>
    </row>
    <row r="64" spans="1:23" ht="60" customHeight="1">
      <c r="A64" s="64"/>
      <c r="B64" s="64"/>
      <c r="C64" s="64"/>
      <c r="D64" s="64"/>
      <c r="E64" s="64"/>
      <c r="F64" s="64"/>
      <c r="G64" s="64"/>
      <c r="H64" s="64"/>
      <c r="I64" s="64"/>
      <c r="J64" s="65"/>
      <c r="K64" s="65"/>
      <c r="L64" s="64"/>
      <c r="M64" s="64"/>
      <c r="N64" s="64"/>
      <c r="O64" s="64"/>
      <c r="P64" s="64"/>
      <c r="Q64" s="64"/>
      <c r="R64" s="64"/>
      <c r="S64" s="64"/>
      <c r="T64" s="64"/>
      <c r="U64" s="32"/>
      <c r="V64" s="32"/>
      <c r="W64" s="32"/>
    </row>
    <row r="65" spans="1:23" ht="60" customHeight="1">
      <c r="A65" s="64"/>
      <c r="B65" s="64"/>
      <c r="C65" s="64"/>
      <c r="D65" s="64"/>
      <c r="E65" s="64"/>
      <c r="F65" s="64"/>
      <c r="G65" s="64"/>
      <c r="H65" s="64"/>
      <c r="I65" s="64"/>
      <c r="J65" s="65"/>
      <c r="K65" s="65"/>
      <c r="L65" s="64"/>
      <c r="M65" s="64"/>
      <c r="N65" s="64"/>
      <c r="O65" s="64"/>
      <c r="P65" s="64"/>
      <c r="Q65" s="64"/>
      <c r="R65" s="64"/>
      <c r="S65" s="64"/>
      <c r="T65" s="64"/>
      <c r="U65" s="32"/>
      <c r="V65" s="32"/>
      <c r="W65" s="32"/>
    </row>
    <row r="66" spans="1:23" ht="60" customHeight="1">
      <c r="A66" s="64"/>
      <c r="B66" s="64"/>
      <c r="C66" s="64"/>
      <c r="D66" s="64"/>
      <c r="E66" s="64"/>
      <c r="F66" s="64"/>
      <c r="G66" s="64"/>
      <c r="H66" s="64"/>
      <c r="I66" s="64"/>
      <c r="J66" s="65"/>
      <c r="K66" s="65"/>
      <c r="L66" s="64"/>
      <c r="M66" s="64"/>
      <c r="N66" s="64"/>
      <c r="O66" s="64"/>
      <c r="P66" s="64"/>
      <c r="Q66" s="64"/>
      <c r="R66" s="64"/>
      <c r="S66" s="64"/>
      <c r="T66" s="64"/>
      <c r="U66" s="32"/>
      <c r="V66" s="32"/>
      <c r="W66" s="32"/>
    </row>
    <row r="67" spans="1:23" ht="60" customHeight="1">
      <c r="A67" s="64"/>
      <c r="B67" s="64"/>
      <c r="C67" s="64"/>
      <c r="D67" s="64"/>
      <c r="E67" s="64"/>
      <c r="F67" s="64"/>
      <c r="G67" s="64"/>
      <c r="H67" s="64"/>
      <c r="I67" s="64"/>
      <c r="J67" s="65"/>
      <c r="K67" s="65"/>
      <c r="L67" s="64"/>
      <c r="M67" s="64"/>
      <c r="N67" s="64"/>
      <c r="O67" s="64"/>
      <c r="P67" s="64"/>
      <c r="Q67" s="64"/>
      <c r="R67" s="64"/>
      <c r="S67" s="64"/>
      <c r="T67" s="64"/>
      <c r="U67" s="32"/>
      <c r="V67" s="32"/>
      <c r="W67" s="32"/>
    </row>
    <row r="68" spans="1:23" ht="60" customHeight="1">
      <c r="A68" s="64"/>
      <c r="B68" s="64"/>
      <c r="C68" s="64"/>
      <c r="D68" s="64"/>
      <c r="E68" s="64"/>
      <c r="F68" s="64"/>
      <c r="G68" s="64"/>
      <c r="H68" s="64"/>
      <c r="I68" s="64"/>
      <c r="J68" s="65"/>
      <c r="K68" s="65"/>
      <c r="L68" s="64"/>
      <c r="M68" s="64"/>
      <c r="N68" s="64"/>
      <c r="O68" s="64"/>
      <c r="P68" s="64"/>
      <c r="Q68" s="64"/>
      <c r="R68" s="64"/>
      <c r="S68" s="64"/>
      <c r="T68" s="64"/>
      <c r="U68" s="32"/>
      <c r="V68" s="32"/>
      <c r="W68" s="32"/>
    </row>
    <row r="69" spans="1:21" ht="60" customHeight="1">
      <c r="A69" s="64"/>
      <c r="B69" s="64"/>
      <c r="C69" s="64"/>
      <c r="D69" s="64"/>
      <c r="E69" s="64"/>
      <c r="F69" s="64"/>
      <c r="G69" s="64"/>
      <c r="H69" s="64"/>
      <c r="I69" s="64"/>
      <c r="J69" s="65"/>
      <c r="K69" s="65"/>
      <c r="L69" s="64"/>
      <c r="M69" s="64"/>
      <c r="N69" s="64"/>
      <c r="O69" s="64"/>
      <c r="P69" s="64"/>
      <c r="Q69" s="64"/>
      <c r="R69" s="64"/>
      <c r="S69" s="64"/>
      <c r="T69" s="64"/>
      <c r="U69" s="32"/>
    </row>
    <row r="70" spans="1:21" ht="60" customHeight="1">
      <c r="A70" s="64"/>
      <c r="B70" s="64"/>
      <c r="C70" s="64"/>
      <c r="D70" s="64"/>
      <c r="E70" s="64"/>
      <c r="F70" s="64"/>
      <c r="G70" s="64"/>
      <c r="H70" s="64"/>
      <c r="I70" s="64"/>
      <c r="J70" s="65"/>
      <c r="K70" s="65"/>
      <c r="L70" s="64"/>
      <c r="M70" s="64"/>
      <c r="N70" s="64"/>
      <c r="O70" s="64"/>
      <c r="P70" s="64"/>
      <c r="Q70" s="64"/>
      <c r="R70" s="64"/>
      <c r="S70" s="64"/>
      <c r="T70" s="64"/>
      <c r="U70" s="32"/>
    </row>
    <row r="71" spans="1:21" ht="60" customHeight="1">
      <c r="A71" s="64"/>
      <c r="B71" s="64"/>
      <c r="C71" s="64"/>
      <c r="D71" s="64"/>
      <c r="E71" s="64"/>
      <c r="F71" s="64"/>
      <c r="G71" s="64"/>
      <c r="H71" s="64"/>
      <c r="I71" s="64"/>
      <c r="J71" s="65"/>
      <c r="K71" s="65"/>
      <c r="L71" s="64"/>
      <c r="M71" s="64"/>
      <c r="N71" s="64"/>
      <c r="O71" s="64"/>
      <c r="P71" s="64"/>
      <c r="Q71" s="64"/>
      <c r="R71" s="64"/>
      <c r="S71" s="64"/>
      <c r="T71" s="64"/>
      <c r="U71" s="32"/>
    </row>
    <row r="72" spans="1:21" ht="60" customHeight="1">
      <c r="A72" s="64"/>
      <c r="B72" s="64"/>
      <c r="C72" s="64"/>
      <c r="D72" s="64"/>
      <c r="E72" s="64"/>
      <c r="F72" s="64"/>
      <c r="G72" s="64"/>
      <c r="H72" s="64"/>
      <c r="I72" s="64"/>
      <c r="J72" s="65"/>
      <c r="K72" s="65"/>
      <c r="L72" s="64"/>
      <c r="M72" s="64"/>
      <c r="N72" s="64"/>
      <c r="O72" s="64"/>
      <c r="P72" s="64"/>
      <c r="Q72" s="64"/>
      <c r="R72" s="64"/>
      <c r="S72" s="64"/>
      <c r="T72" s="64"/>
      <c r="U72" s="32"/>
    </row>
    <row r="73" spans="1:21" ht="60" customHeight="1">
      <c r="A73" s="64"/>
      <c r="B73" s="64"/>
      <c r="C73" s="64"/>
      <c r="D73" s="64"/>
      <c r="E73" s="64"/>
      <c r="F73" s="64"/>
      <c r="G73" s="64"/>
      <c r="H73" s="64"/>
      <c r="I73" s="64"/>
      <c r="J73" s="65"/>
      <c r="K73" s="65"/>
      <c r="L73" s="64"/>
      <c r="M73" s="64"/>
      <c r="N73" s="64"/>
      <c r="O73" s="64"/>
      <c r="P73" s="64"/>
      <c r="Q73" s="64"/>
      <c r="R73" s="64"/>
      <c r="S73" s="64"/>
      <c r="T73" s="64"/>
      <c r="U73" s="32"/>
    </row>
    <row r="74" spans="1:21" ht="60" customHeight="1">
      <c r="A74" s="64"/>
      <c r="B74" s="64"/>
      <c r="C74" s="64"/>
      <c r="D74" s="64"/>
      <c r="E74" s="64"/>
      <c r="F74" s="64"/>
      <c r="G74" s="64"/>
      <c r="H74" s="64"/>
      <c r="I74" s="64"/>
      <c r="J74" s="65"/>
      <c r="K74" s="65"/>
      <c r="L74" s="64"/>
      <c r="M74" s="64"/>
      <c r="N74" s="64"/>
      <c r="O74" s="64"/>
      <c r="P74" s="64"/>
      <c r="Q74" s="64"/>
      <c r="R74" s="64"/>
      <c r="S74" s="64"/>
      <c r="T74" s="64"/>
      <c r="U74" s="32"/>
    </row>
    <row r="75" spans="1:21" ht="60" customHeight="1">
      <c r="A75" s="64"/>
      <c r="B75" s="64"/>
      <c r="C75" s="64"/>
      <c r="D75" s="64"/>
      <c r="E75" s="64"/>
      <c r="F75" s="64"/>
      <c r="G75" s="64"/>
      <c r="H75" s="64"/>
      <c r="I75" s="64"/>
      <c r="J75" s="65"/>
      <c r="K75" s="65"/>
      <c r="L75" s="64"/>
      <c r="M75" s="64"/>
      <c r="N75" s="64"/>
      <c r="O75" s="64"/>
      <c r="P75" s="64"/>
      <c r="Q75" s="64"/>
      <c r="R75" s="64"/>
      <c r="S75" s="64"/>
      <c r="T75" s="64"/>
      <c r="U75" s="32"/>
    </row>
    <row r="76" spans="1:21" ht="60" customHeight="1">
      <c r="A76" s="64"/>
      <c r="B76" s="64"/>
      <c r="C76" s="64"/>
      <c r="D76" s="64"/>
      <c r="E76" s="64"/>
      <c r="F76" s="64"/>
      <c r="G76" s="64"/>
      <c r="H76" s="64"/>
      <c r="I76" s="64"/>
      <c r="J76" s="65"/>
      <c r="K76" s="65"/>
      <c r="L76" s="64"/>
      <c r="M76" s="64"/>
      <c r="N76" s="64"/>
      <c r="O76" s="64"/>
      <c r="P76" s="64"/>
      <c r="Q76" s="64"/>
      <c r="R76" s="64"/>
      <c r="S76" s="64"/>
      <c r="T76" s="64"/>
      <c r="U76" s="32"/>
    </row>
    <row r="77" spans="1:21" ht="60" customHeight="1">
      <c r="A77" s="64"/>
      <c r="B77" s="64"/>
      <c r="C77" s="64"/>
      <c r="D77" s="64"/>
      <c r="E77" s="64"/>
      <c r="F77" s="64"/>
      <c r="G77" s="64"/>
      <c r="H77" s="64"/>
      <c r="I77" s="64"/>
      <c r="J77" s="65"/>
      <c r="K77" s="65"/>
      <c r="L77" s="64"/>
      <c r="M77" s="64"/>
      <c r="N77" s="64"/>
      <c r="O77" s="64"/>
      <c r="P77" s="64"/>
      <c r="Q77" s="64"/>
      <c r="R77" s="64"/>
      <c r="S77" s="64"/>
      <c r="T77" s="64"/>
      <c r="U77" s="32"/>
    </row>
    <row r="78" spans="1:21" ht="60" customHeight="1">
      <c r="A78" s="64"/>
      <c r="B78" s="64"/>
      <c r="C78" s="64"/>
      <c r="D78" s="64"/>
      <c r="E78" s="64"/>
      <c r="F78" s="64"/>
      <c r="G78" s="64"/>
      <c r="H78" s="64"/>
      <c r="I78" s="64"/>
      <c r="J78" s="65"/>
      <c r="K78" s="65"/>
      <c r="L78" s="64"/>
      <c r="M78" s="64"/>
      <c r="N78" s="64"/>
      <c r="O78" s="64"/>
      <c r="P78" s="64"/>
      <c r="Q78" s="64"/>
      <c r="R78" s="64"/>
      <c r="S78" s="64"/>
      <c r="T78" s="64"/>
      <c r="U78" s="32"/>
    </row>
    <row r="79" spans="1:21" ht="60" customHeight="1">
      <c r="A79" s="64"/>
      <c r="B79" s="64"/>
      <c r="C79" s="64"/>
      <c r="D79" s="64"/>
      <c r="E79" s="64"/>
      <c r="F79" s="64"/>
      <c r="G79" s="64"/>
      <c r="H79" s="64"/>
      <c r="I79" s="64"/>
      <c r="J79" s="65"/>
      <c r="K79" s="65"/>
      <c r="L79" s="64"/>
      <c r="M79" s="64"/>
      <c r="N79" s="64"/>
      <c r="O79" s="64"/>
      <c r="P79" s="64"/>
      <c r="Q79" s="64"/>
      <c r="R79" s="64"/>
      <c r="S79" s="64"/>
      <c r="T79" s="64"/>
      <c r="U79" s="32"/>
    </row>
    <row r="80" spans="1:21" ht="60" customHeight="1">
      <c r="A80" s="64"/>
      <c r="B80" s="64"/>
      <c r="C80" s="64"/>
      <c r="D80" s="64"/>
      <c r="E80" s="64"/>
      <c r="F80" s="64"/>
      <c r="G80" s="64"/>
      <c r="H80" s="64"/>
      <c r="I80" s="64"/>
      <c r="J80" s="65"/>
      <c r="K80" s="65"/>
      <c r="L80" s="64"/>
      <c r="M80" s="64"/>
      <c r="N80" s="64"/>
      <c r="O80" s="64"/>
      <c r="P80" s="64"/>
      <c r="Q80" s="64"/>
      <c r="R80" s="64"/>
      <c r="S80" s="64"/>
      <c r="T80" s="64"/>
      <c r="U80" s="32"/>
    </row>
    <row r="81" spans="1:21" ht="60" customHeight="1">
      <c r="A81" s="64"/>
      <c r="B81" s="64"/>
      <c r="C81" s="64"/>
      <c r="D81" s="64"/>
      <c r="E81" s="64"/>
      <c r="F81" s="64"/>
      <c r="G81" s="64"/>
      <c r="H81" s="64"/>
      <c r="I81" s="64"/>
      <c r="J81" s="65"/>
      <c r="K81" s="65"/>
      <c r="L81" s="64"/>
      <c r="M81" s="64"/>
      <c r="N81" s="64"/>
      <c r="O81" s="64"/>
      <c r="P81" s="64"/>
      <c r="Q81" s="64"/>
      <c r="R81" s="64"/>
      <c r="S81" s="64"/>
      <c r="T81" s="64"/>
      <c r="U81" s="32"/>
    </row>
  </sheetData>
  <sheetProtection formatCells="0" formatRows="0" insertColumns="0" insertRows="0"/>
  <mergeCells count="41">
    <mergeCell ref="A1:W1"/>
    <mergeCell ref="A2:W2"/>
    <mergeCell ref="M3:W3"/>
    <mergeCell ref="M4:W4"/>
    <mergeCell ref="M5:W6"/>
    <mergeCell ref="A3:L3"/>
    <mergeCell ref="A4:B4"/>
    <mergeCell ref="C4:D4"/>
    <mergeCell ref="E4:G4"/>
    <mergeCell ref="H4:L4"/>
    <mergeCell ref="K7:K9"/>
    <mergeCell ref="F7:F9"/>
    <mergeCell ref="A5:B5"/>
    <mergeCell ref="C5:D5"/>
    <mergeCell ref="E5:G5"/>
    <mergeCell ref="H5:L5"/>
    <mergeCell ref="A7:A9"/>
    <mergeCell ref="B7:B9"/>
    <mergeCell ref="C7:C9"/>
    <mergeCell ref="D7:D9"/>
    <mergeCell ref="E7:E9"/>
    <mergeCell ref="A6:B6"/>
    <mergeCell ref="C6:D6"/>
    <mergeCell ref="E6:G6"/>
    <mergeCell ref="H6:L6"/>
    <mergeCell ref="W7:W9"/>
    <mergeCell ref="U7:U9"/>
    <mergeCell ref="V7:V9"/>
    <mergeCell ref="T7:T9"/>
    <mergeCell ref="G7:G9"/>
    <mergeCell ref="H7:H9"/>
    <mergeCell ref="I7:I9"/>
    <mergeCell ref="L7:L9"/>
    <mergeCell ref="M7:M9"/>
    <mergeCell ref="N7:N9"/>
    <mergeCell ref="O7:O9"/>
    <mergeCell ref="P7:P9"/>
    <mergeCell ref="Q7:Q9"/>
    <mergeCell ref="R7:R9"/>
    <mergeCell ref="S7:S9"/>
    <mergeCell ref="J7:J9"/>
  </mergeCells>
  <printOptions horizontalCentered="1"/>
  <pageMargins left="0.704724409448848" right="0.70472440944884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BFD80-4A20-4C8A-9976-548338A3DAA0}">
  <sheetPr codeName="Sheet2">
    <pageSetUpPr fitToPage="1"/>
  </sheetPr>
  <dimension ref="A1:M34"/>
  <sheetViews>
    <sheetView view="pageBreakPreview" zoomScale="50" zoomScaleNormal="60" zoomScaleSheetLayoutView="50" workbookViewId="0" topLeftCell="A1">
      <selection pane="topLeft" activeCell="A19" sqref="A19:XFD20"/>
    </sheetView>
  </sheetViews>
  <sheetFormatPr defaultColWidth="9.33203125" defaultRowHeight="60" customHeight="1"/>
  <cols>
    <col min="1" max="1" width="10.4285714285714" style="46" customWidth="1"/>
    <col min="2" max="2" width="30.5714285714286" style="46" customWidth="1"/>
    <col min="3" max="3" width="48" style="46" customWidth="1"/>
    <col min="4" max="4" width="21.4285714285714" style="46" customWidth="1"/>
    <col min="5" max="5" width="59.5714285714286" style="46" customWidth="1"/>
    <col min="6" max="6" width="16.4285714285714" style="46" customWidth="1"/>
    <col min="7" max="7" width="23.5714285714286" style="46" customWidth="1"/>
    <col min="8" max="8" width="21.5714285714286" style="46" customWidth="1"/>
    <col min="9" max="9" width="18.5714285714286" style="46" customWidth="1"/>
    <col min="10" max="10" width="22.5714285714286" style="47" customWidth="1"/>
    <col min="11" max="11" width="29.4285714285714" style="47" customWidth="1"/>
    <col min="12" max="12" width="20.4285714285714" style="46" customWidth="1"/>
    <col min="13" max="13" width="75" customWidth="1"/>
  </cols>
  <sheetData>
    <row r="1" spans="1:13" ht="111.45" customHeight="1">
      <c r="A1" s="354" t="s">
        <v>382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6"/>
    </row>
    <row r="2" spans="1:13" ht="45.75" customHeight="1">
      <c r="A2" s="357" t="str">
        <f>IF('Job Sheet'!A6="Brax Retail","Brax Window Treatments","Davidson's Blinds &amp; Shutters")</f>
        <v>Davidson's Blinds &amp; Shutters</v>
      </c>
      <c r="B2" s="357"/>
      <c r="C2" s="357"/>
      <c r="D2" s="357"/>
      <c r="E2" s="357"/>
      <c r="F2" s="357"/>
      <c r="G2" s="357"/>
      <c r="H2" s="357"/>
      <c r="I2" s="357"/>
      <c r="J2" s="357"/>
      <c r="K2" s="357"/>
      <c r="L2" s="357"/>
      <c r="M2" s="357"/>
    </row>
    <row r="3" spans="1:13" s="32" customFormat="1" ht="40.2" customHeight="1">
      <c r="A3" s="239" t="s">
        <v>7</v>
      </c>
      <c r="B3" s="239"/>
      <c r="C3" s="237"/>
      <c r="D3" s="237"/>
      <c r="E3" s="5" t="s">
        <v>94</v>
      </c>
      <c r="F3" s="234" t="str">
        <f>TRIM(Data!BF5)</f>
        <v>Hare, Kaitlin</v>
      </c>
      <c r="G3" s="234"/>
      <c r="H3" s="234"/>
      <c r="I3" s="234"/>
      <c r="J3" s="234"/>
      <c r="K3" s="234"/>
      <c r="L3" s="235" t="s">
        <v>4</v>
      </c>
      <c r="M3" s="235"/>
    </row>
    <row r="4" spans="1:13" s="32" customFormat="1" ht="40.2" customHeight="1">
      <c r="A4" s="240" t="s">
        <v>117</v>
      </c>
      <c r="B4" s="240"/>
      <c r="C4" s="238" t="str">
        <f>TRIM(Data!BC5)</f>
        <v>39776</v>
      </c>
      <c r="D4" s="238"/>
      <c r="E4" s="4" t="s">
        <v>8</v>
      </c>
      <c r="F4" s="234" t="str">
        <f>TRIM(Data!AX5)</f>
        <v>Whole House</v>
      </c>
      <c r="G4" s="234"/>
      <c r="H4" s="234"/>
      <c r="I4" s="234"/>
      <c r="J4" s="234"/>
      <c r="K4" s="234"/>
      <c r="L4" s="236" t="str">
        <f>IF(OR(Data!BA11="",C10=""),"",Data!BG5)</f>
        <v/>
      </c>
      <c r="M4" s="236"/>
    </row>
    <row r="5" spans="1:13" s="32" customFormat="1" ht="40.2" customHeight="1">
      <c r="A5" s="226" t="s">
        <v>14</v>
      </c>
      <c r="B5" s="226"/>
      <c r="C5" s="238" t="str">
        <f>TRIM(Data!BD5)</f>
        <v>F</v>
      </c>
      <c r="D5" s="238"/>
      <c r="E5" s="4" t="s">
        <v>112</v>
      </c>
      <c r="F5" s="234" t="str">
        <f>LEFT(Data!BA5,10)</f>
        <v>13/10/2026</v>
      </c>
      <c r="G5" s="234"/>
      <c r="H5" s="234"/>
      <c r="I5" s="234"/>
      <c r="J5" s="234"/>
      <c r="K5" s="234"/>
      <c r="L5" s="236"/>
      <c r="M5" s="236"/>
    </row>
    <row r="6" spans="1:13" s="32" customFormat="1" ht="32.4">
      <c r="A6" s="281" t="s">
        <v>116</v>
      </c>
      <c r="B6" s="267" t="s">
        <v>96</v>
      </c>
      <c r="C6" s="235" t="s">
        <v>383</v>
      </c>
      <c r="D6" s="235" t="s">
        <v>374</v>
      </c>
      <c r="E6" s="235" t="s">
        <v>168</v>
      </c>
      <c r="F6" s="235" t="s">
        <v>11</v>
      </c>
      <c r="G6" s="235" t="s">
        <v>525</v>
      </c>
      <c r="H6" s="235" t="s">
        <v>526</v>
      </c>
      <c r="I6" s="235" t="s">
        <v>527</v>
      </c>
      <c r="J6" s="235" t="s">
        <v>376</v>
      </c>
      <c r="K6" s="235" t="s">
        <v>614</v>
      </c>
      <c r="L6" s="235" t="s">
        <v>384</v>
      </c>
      <c r="M6" s="235" t="s">
        <v>5</v>
      </c>
    </row>
    <row r="7" spans="1:13" s="32" customFormat="1" ht="32.4">
      <c r="A7" s="281"/>
      <c r="B7" s="267"/>
      <c r="C7" s="235"/>
      <c r="D7" s="235"/>
      <c r="E7" s="235"/>
      <c r="F7" s="235"/>
      <c r="G7" s="235"/>
      <c r="H7" s="235"/>
      <c r="I7" s="235"/>
      <c r="J7" s="235"/>
      <c r="K7" s="235"/>
      <c r="L7" s="235"/>
      <c r="M7" s="235"/>
    </row>
    <row r="8" spans="1:13" s="32" customFormat="1" ht="72.75" customHeight="1">
      <c r="A8" s="281"/>
      <c r="B8" s="267"/>
      <c r="C8" s="235"/>
      <c r="D8" s="235"/>
      <c r="E8" s="235"/>
      <c r="F8" s="235"/>
      <c r="G8" s="235"/>
      <c r="H8" s="235"/>
      <c r="I8" s="235"/>
      <c r="J8" s="235"/>
      <c r="K8" s="235"/>
      <c r="L8" s="235"/>
      <c r="M8" s="235"/>
    </row>
    <row r="9" spans="1:13" s="32" customFormat="1" ht="60" customHeight="1">
      <c r="A9" s="2" t="str">
        <f>IF(Data!AW11="","",IF('Job Sheet'!AX11="","",IF('Job Sheet'!AX11="None","",Data!AW11)))</f>
        <v/>
      </c>
      <c r="B9" s="7" t="str">
        <f>IF(Data!AW11="","",IF('Job Sheet'!AX11="","",IF('Job Sheet'!AX11="None","",Installation!B11)))</f>
        <v/>
      </c>
      <c r="C9" s="27" t="str">
        <f>IF(Data!BA11="","",'Job Sheet'!AX11)</f>
        <v/>
      </c>
      <c r="D9" s="27" t="str">
        <f>'Job Sheet'!AZ11</f>
        <v/>
      </c>
      <c r="E9" s="27" t="str">
        <f>IF(Data!AW11="","",IF('Job Sheet'!AX11="","",IF('Job Sheet'!AX11="None","",'Job Sheet'!B11)))</f>
        <v/>
      </c>
      <c r="F9" s="27" t="str">
        <f>IF(Data!AW11="","",IF('Job Sheet'!AX11="","",IF('Job Sheet'!AX11="None","",'Job Sheet'!I11)))</f>
        <v/>
      </c>
      <c r="G9" s="27" t="str">
        <f>IF(Data!AW11="","",IF('Job Sheet'!AX11="","",IF('Job Sheet'!AX11="None","",Installation!G11)))</f>
        <v/>
      </c>
      <c r="H9" s="27" t="str">
        <f>IF('Job Sheet'!AX11="None","",'Job Sheet'!BA11)</f>
        <v/>
      </c>
      <c r="I9" s="27" t="str">
        <f>'Job Sheet'!BC11</f>
        <v/>
      </c>
      <c r="J9" s="27" t="str">
        <f>'Job Sheet'!BB11</f>
        <v/>
      </c>
      <c r="K9" s="27" t="str">
        <f>'Job Sheet'!BD11</f>
        <v/>
      </c>
      <c r="L9" s="27" t="str">
        <f>'Job Sheet'!BE11</f>
        <v/>
      </c>
      <c r="M9" s="27" t="str">
        <f>IF(Data!AW11="","",IF('Job Sheet'!AX11="","",IF('Job Sheet'!AX11="None","",'Job Sheet'!BN11)))</f>
        <v/>
      </c>
    </row>
    <row r="10" spans="1:13" s="32" customFormat="1" ht="60" customHeight="1">
      <c r="A10" s="2" t="str">
        <f>IF(Data!AW12="","",IF('Job Sheet'!AX12="","",IF('Job Sheet'!AX12="None","",Data!AW12)))</f>
        <v/>
      </c>
      <c r="B10" s="7" t="str">
        <f>IF(Data!AW12="","",IF('Job Sheet'!AX12="","",IF('Job Sheet'!AX12="None","",Installation!B12)))</f>
        <v/>
      </c>
      <c r="C10" s="27" t="str">
        <f>IF(Data!BA12="","",'Job Sheet'!AX12)</f>
        <v/>
      </c>
      <c r="D10" s="27" t="str">
        <f>'Job Sheet'!AZ12</f>
        <v/>
      </c>
      <c r="E10" s="27" t="str">
        <f>IF(Data!AW12="","",IF('Job Sheet'!AX12="","",IF('Job Sheet'!AX12="None","",'Job Sheet'!B12)))</f>
        <v/>
      </c>
      <c r="F10" s="27" t="str">
        <f>IF(Data!AW12="","",IF('Job Sheet'!AX12="","",IF('Job Sheet'!AX12="None","",'Job Sheet'!I12)))</f>
        <v/>
      </c>
      <c r="G10" s="27" t="str">
        <f>IF(Data!AW12="","",IF('Job Sheet'!AX12="","",IF('Job Sheet'!AX12="None","",Installation!G12)))</f>
        <v/>
      </c>
      <c r="H10" s="27" t="str">
        <f>IF('Job Sheet'!AX12="None","",'Job Sheet'!BA12)</f>
        <v/>
      </c>
      <c r="I10" s="27" t="str">
        <f>'Job Sheet'!BC12</f>
        <v/>
      </c>
      <c r="J10" s="27" t="str">
        <f>'Job Sheet'!BB12</f>
        <v/>
      </c>
      <c r="K10" s="27" t="str">
        <f>'Job Sheet'!BD12</f>
        <v/>
      </c>
      <c r="L10" s="27" t="str">
        <f>'Job Sheet'!BE12</f>
        <v/>
      </c>
      <c r="M10" s="27" t="str">
        <f>IF(Data!AW12="","",IF('Job Sheet'!AX12="","",IF('Job Sheet'!AX12="None","",'Job Sheet'!BN12)))</f>
        <v/>
      </c>
    </row>
    <row r="11" spans="1:13" s="32" customFormat="1" ht="60" customHeight="1">
      <c r="A11" s="2" t="str">
        <f>IF(Data!AW13="","",IF('Job Sheet'!AX13="","",IF('Job Sheet'!AX13="None","",Data!AW13)))</f>
        <v/>
      </c>
      <c r="B11" s="7" t="str">
        <f>IF(Data!AW13="","",IF('Job Sheet'!AX13="","",IF('Job Sheet'!AX13="None","",Installation!B13)))</f>
        <v/>
      </c>
      <c r="C11" s="27" t="str">
        <f>IF(Data!BA13="","",'Job Sheet'!AX13)</f>
        <v/>
      </c>
      <c r="D11" s="27" t="str">
        <f>'Job Sheet'!AZ13</f>
        <v/>
      </c>
      <c r="E11" s="27" t="str">
        <f>IF(Data!AW13="","",IF('Job Sheet'!AX13="","",IF('Job Sheet'!AX13="None","",'Job Sheet'!B13)))</f>
        <v/>
      </c>
      <c r="F11" s="27" t="str">
        <f>IF(Data!AW13="","",IF('Job Sheet'!AX13="","",IF('Job Sheet'!AX13="None","",'Job Sheet'!I13)))</f>
        <v/>
      </c>
      <c r="G11" s="27" t="str">
        <f>IF(Data!AW13="","",IF('Job Sheet'!AX13="","",IF('Job Sheet'!AX13="None","",Installation!G13)))</f>
        <v/>
      </c>
      <c r="H11" s="27" t="str">
        <f>IF('Job Sheet'!AX13="None","",'Job Sheet'!BA13)</f>
        <v/>
      </c>
      <c r="I11" s="27" t="str">
        <f>'Job Sheet'!BC13</f>
        <v/>
      </c>
      <c r="J11" s="27" t="str">
        <f>'Job Sheet'!BB13</f>
        <v/>
      </c>
      <c r="K11" s="27" t="str">
        <f>'Job Sheet'!BD13</f>
        <v/>
      </c>
      <c r="L11" s="27" t="str">
        <f>'Job Sheet'!BE13</f>
        <v/>
      </c>
      <c r="M11" s="27" t="str">
        <f>IF(Data!AW13="","",IF('Job Sheet'!AX13="","",IF('Job Sheet'!AX13="None","",'Job Sheet'!BN13)))</f>
        <v/>
      </c>
    </row>
    <row r="12" spans="1:13" s="32" customFormat="1" ht="60" customHeight="1">
      <c r="A12" s="2" t="str">
        <f>IF(Data!AW14="","",IF('Job Sheet'!AX14="","",IF('Job Sheet'!AX14="None","",Data!AW14)))</f>
        <v/>
      </c>
      <c r="B12" s="7" t="str">
        <f>IF(Data!AW14="","",IF('Job Sheet'!AX14="","",IF('Job Sheet'!AX14="None","",Installation!B14)))</f>
        <v/>
      </c>
      <c r="C12" s="27" t="str">
        <f>IF(Data!BA14="","",'Job Sheet'!AX14)</f>
        <v/>
      </c>
      <c r="D12" s="27" t="str">
        <f>'Job Sheet'!AZ14</f>
        <v/>
      </c>
      <c r="E12" s="27" t="str">
        <f>IF(Data!AW14="","",IF('Job Sheet'!AX14="","",IF('Job Sheet'!AX14="None","",'Job Sheet'!B14)))</f>
        <v/>
      </c>
      <c r="F12" s="27" t="str">
        <f>IF(Data!AW14="","",IF('Job Sheet'!AX14="","",IF('Job Sheet'!AX14="None","",'Job Sheet'!I14)))</f>
        <v/>
      </c>
      <c r="G12" s="27" t="str">
        <f>IF(Data!AW14="","",IF('Job Sheet'!AX14="","",IF('Job Sheet'!AX14="None","",Installation!G14)))</f>
        <v/>
      </c>
      <c r="H12" s="27" t="str">
        <f>IF('Job Sheet'!AX14="None","",'Job Sheet'!BA14)</f>
        <v/>
      </c>
      <c r="I12" s="27" t="str">
        <f>'Job Sheet'!BC14</f>
        <v/>
      </c>
      <c r="J12" s="27" t="str">
        <f>'Job Sheet'!BB14</f>
        <v/>
      </c>
      <c r="K12" s="27" t="str">
        <f>'Job Sheet'!BD14</f>
        <v/>
      </c>
      <c r="L12" s="27" t="str">
        <f>'Job Sheet'!BE14</f>
        <v/>
      </c>
      <c r="M12" s="27" t="str">
        <f>IF(Data!AW14="","",IF('Job Sheet'!AX14="","",IF('Job Sheet'!AX14="None","",'Job Sheet'!BN14)))</f>
        <v/>
      </c>
    </row>
    <row r="13" spans="1:13" s="32" customFormat="1" ht="60" customHeight="1">
      <c r="A13" s="2" t="str">
        <f>IF(Data!AW15="","",IF('Job Sheet'!AX15="","",IF('Job Sheet'!AX15="None","",Data!AW15)))</f>
        <v/>
      </c>
      <c r="B13" s="7" t="str">
        <f>IF(Data!AW15="","",IF('Job Sheet'!AX15="","",IF('Job Sheet'!AX15="None","",Installation!B15)))</f>
        <v/>
      </c>
      <c r="C13" s="27" t="str">
        <f>IF(Data!BA15="","",'Job Sheet'!AX15)</f>
        <v/>
      </c>
      <c r="D13" s="27" t="str">
        <f>'Job Sheet'!AZ15</f>
        <v/>
      </c>
      <c r="E13" s="27" t="str">
        <f>IF(Data!AW15="","",IF('Job Sheet'!AX15="","",IF('Job Sheet'!AX15="None","",'Job Sheet'!B15)))</f>
        <v/>
      </c>
      <c r="F13" s="27" t="str">
        <f>IF(Data!AW15="","",IF('Job Sheet'!AX15="","",IF('Job Sheet'!AX15="None","",'Job Sheet'!I15)))</f>
        <v/>
      </c>
      <c r="G13" s="27" t="str">
        <f>IF(Data!AW15="","",IF('Job Sheet'!AX15="","",IF('Job Sheet'!AX15="None","",Installation!G15)))</f>
        <v/>
      </c>
      <c r="H13" s="27" t="str">
        <f>IF('Job Sheet'!AX15="None","",'Job Sheet'!BA15)</f>
        <v/>
      </c>
      <c r="I13" s="27" t="str">
        <f>'Job Sheet'!BC15</f>
        <v/>
      </c>
      <c r="J13" s="27" t="str">
        <f>'Job Sheet'!BB15</f>
        <v/>
      </c>
      <c r="K13" s="27" t="str">
        <f>'Job Sheet'!BD15</f>
        <v/>
      </c>
      <c r="L13" s="27" t="str">
        <f>'Job Sheet'!BE15</f>
        <v/>
      </c>
      <c r="M13" s="27" t="str">
        <f>IF(Data!AW15="","",IF('Job Sheet'!AX15="","",IF('Job Sheet'!AX15="None","",'Job Sheet'!BN15)))</f>
        <v/>
      </c>
    </row>
    <row r="14" spans="1:13" s="32" customFormat="1" ht="60" customHeight="1">
      <c r="A14" s="2" t="str">
        <f>IF(Data!AW16="","",IF('Job Sheet'!AX16="","",IF('Job Sheet'!AX16="None","",Data!AW16)))</f>
        <v/>
      </c>
      <c r="B14" s="7" t="str">
        <f>IF(Data!AW16="","",IF('Job Sheet'!AX16="","",IF('Job Sheet'!AX16="None","",Installation!B16)))</f>
        <v/>
      </c>
      <c r="C14" s="27" t="str">
        <f>IF(Data!BA16="","",'Job Sheet'!AX16)</f>
        <v/>
      </c>
      <c r="D14" s="27" t="str">
        <f>'Job Sheet'!AZ16</f>
        <v/>
      </c>
      <c r="E14" s="27" t="str">
        <f>IF(Data!AW16="","",IF('Job Sheet'!AX16="","",IF('Job Sheet'!AX16="None","",'Job Sheet'!B16)))</f>
        <v/>
      </c>
      <c r="F14" s="27" t="str">
        <f>IF(Data!AW16="","",IF('Job Sheet'!AX16="","",IF('Job Sheet'!AX16="None","",'Job Sheet'!I16)))</f>
        <v/>
      </c>
      <c r="G14" s="27" t="str">
        <f>IF(Data!AW16="","",IF('Job Sheet'!AX16="","",IF('Job Sheet'!AX16="None","",Installation!G16)))</f>
        <v/>
      </c>
      <c r="H14" s="27" t="str">
        <f>IF('Job Sheet'!AX16="None","",'Job Sheet'!BA16)</f>
        <v/>
      </c>
      <c r="I14" s="27" t="str">
        <f>'Job Sheet'!BC16</f>
        <v/>
      </c>
      <c r="J14" s="27" t="str">
        <f>'Job Sheet'!BB16</f>
        <v/>
      </c>
      <c r="K14" s="27" t="str">
        <f>'Job Sheet'!BD16</f>
        <v/>
      </c>
      <c r="L14" s="27" t="str">
        <f>'Job Sheet'!BE16</f>
        <v/>
      </c>
      <c r="M14" s="27" t="str">
        <f>IF(Data!AW16="","",IF('Job Sheet'!AX16="","",IF('Job Sheet'!AX16="None","",'Job Sheet'!BN16)))</f>
        <v/>
      </c>
    </row>
    <row r="15" spans="1:13" s="32" customFormat="1" ht="60" customHeight="1">
      <c r="A15" s="2" t="str">
        <f>IF(Data!AW17="","",IF('Job Sheet'!AX17="","",IF('Job Sheet'!AX17="None","",Data!AW17)))</f>
        <v/>
      </c>
      <c r="B15" s="7" t="str">
        <f>IF(Data!AW17="","",IF('Job Sheet'!AX17="","",IF('Job Sheet'!AX17="None","",Installation!B17)))</f>
        <v/>
      </c>
      <c r="C15" s="27" t="str">
        <f>IF(Data!BA17="","",'Job Sheet'!AX17)</f>
        <v/>
      </c>
      <c r="D15" s="27" t="str">
        <f>'Job Sheet'!AZ17</f>
        <v/>
      </c>
      <c r="E15" s="27" t="str">
        <f>IF(Data!AW17="","",IF('Job Sheet'!AX17="","",IF('Job Sheet'!AX17="None","",'Job Sheet'!B17)))</f>
        <v/>
      </c>
      <c r="F15" s="27" t="str">
        <f>IF(Data!AW17="","",IF('Job Sheet'!AX17="","",IF('Job Sheet'!AX17="None","",'Job Sheet'!I17)))</f>
        <v/>
      </c>
      <c r="G15" s="27" t="str">
        <f>IF(Data!AW17="","",IF('Job Sheet'!AX17="","",IF('Job Sheet'!AX17="None","",Installation!G17)))</f>
        <v/>
      </c>
      <c r="H15" s="27" t="str">
        <f>IF('Job Sheet'!AX17="None","",'Job Sheet'!BA17)</f>
        <v/>
      </c>
      <c r="I15" s="27" t="str">
        <f>'Job Sheet'!BC17</f>
        <v/>
      </c>
      <c r="J15" s="27" t="str">
        <f>'Job Sheet'!BB17</f>
        <v/>
      </c>
      <c r="K15" s="27" t="str">
        <f>'Job Sheet'!BD17</f>
        <v/>
      </c>
      <c r="L15" s="27" t="str">
        <f>'Job Sheet'!BE17</f>
        <v/>
      </c>
      <c r="M15" s="27" t="str">
        <f>IF(Data!AW17="","",IF('Job Sheet'!AX17="","",IF('Job Sheet'!AX17="None","",'Job Sheet'!BN17)))</f>
        <v/>
      </c>
    </row>
    <row r="16" spans="1:13" s="32" customFormat="1" ht="60" customHeight="1">
      <c r="A16" s="2" t="str">
        <f>IF(Data!AW18="","",IF('Job Sheet'!AX18="","",IF('Job Sheet'!AX18="None","",Data!AW18)))</f>
        <v/>
      </c>
      <c r="B16" s="7" t="str">
        <f>IF(Data!AW18="","",IF('Job Sheet'!AX18="","",IF('Job Sheet'!AX18="None","",Installation!B18)))</f>
        <v/>
      </c>
      <c r="C16" s="27" t="str">
        <f>IF(Data!BA18="","",'Job Sheet'!AX18)</f>
        <v/>
      </c>
      <c r="D16" s="27" t="str">
        <f>'Job Sheet'!AZ18</f>
        <v/>
      </c>
      <c r="E16" s="27" t="str">
        <f>IF(Data!AW18="","",IF('Job Sheet'!AX18="","",IF('Job Sheet'!AX18="None","",'Job Sheet'!B18)))</f>
        <v/>
      </c>
      <c r="F16" s="27" t="str">
        <f>IF(Data!AW18="","",IF('Job Sheet'!AX18="","",IF('Job Sheet'!AX18="None","",'Job Sheet'!I18)))</f>
        <v/>
      </c>
      <c r="G16" s="27" t="str">
        <f>IF(Data!AW18="","",IF('Job Sheet'!AX18="","",IF('Job Sheet'!AX18="None","",Installation!G18)))</f>
        <v/>
      </c>
      <c r="H16" s="27" t="str">
        <f>IF('Job Sheet'!AX18="None","",'Job Sheet'!BA18)</f>
        <v/>
      </c>
      <c r="I16" s="27" t="str">
        <f>'Job Sheet'!BC18</f>
        <v/>
      </c>
      <c r="J16" s="27" t="str">
        <f>'Job Sheet'!BB18</f>
        <v/>
      </c>
      <c r="K16" s="27" t="str">
        <f>'Job Sheet'!BD18</f>
        <v/>
      </c>
      <c r="L16" s="27" t="str">
        <f>'Job Sheet'!BE18</f>
        <v/>
      </c>
      <c r="M16" s="27" t="str">
        <f>IF(Data!AW18="","",IF('Job Sheet'!AX18="","",IF('Job Sheet'!AX18="None","",'Job Sheet'!BN18)))</f>
        <v/>
      </c>
    </row>
    <row r="17" spans="1:13" s="32" customFormat="1" ht="60" customHeight="1">
      <c r="A17" s="2" t="str">
        <f>IF(Data!AW19="","",IF('Job Sheet'!AX19="","",IF('Job Sheet'!AX19="None","",Data!AW19)))</f>
        <v/>
      </c>
      <c r="B17" s="7" t="str">
        <f>IF(Data!AW19="","",IF('Job Sheet'!AX19="","",IF('Job Sheet'!AX19="None","",Installation!B19)))</f>
        <v/>
      </c>
      <c r="C17" s="27" t="str">
        <f>IF(Data!BA19="","",'Job Sheet'!AX19)</f>
        <v/>
      </c>
      <c r="D17" s="27" t="str">
        <f>'Job Sheet'!AZ19</f>
        <v/>
      </c>
      <c r="E17" s="27" t="str">
        <f>IF(Data!AW19="","",IF('Job Sheet'!AX19="","",IF('Job Sheet'!AX19="None","",'Job Sheet'!B19)))</f>
        <v/>
      </c>
      <c r="F17" s="27" t="str">
        <f>IF(Data!AW19="","",IF('Job Sheet'!AX19="","",IF('Job Sheet'!AX19="None","",'Job Sheet'!I19)))</f>
        <v/>
      </c>
      <c r="G17" s="27" t="str">
        <f>IF(Data!AW19="","",IF('Job Sheet'!AX19="","",IF('Job Sheet'!AX19="None","",Installation!G19)))</f>
        <v/>
      </c>
      <c r="H17" s="27" t="str">
        <f>IF('Job Sheet'!AX19="None","",'Job Sheet'!BA19)</f>
        <v/>
      </c>
      <c r="I17" s="27" t="str">
        <f>'Job Sheet'!BC19</f>
        <v/>
      </c>
      <c r="J17" s="27" t="str">
        <f>'Job Sheet'!BB19</f>
        <v/>
      </c>
      <c r="K17" s="27" t="str">
        <f>'Job Sheet'!BD19</f>
        <v/>
      </c>
      <c r="L17" s="27" t="str">
        <f>'Job Sheet'!BE19</f>
        <v/>
      </c>
      <c r="M17" s="27" t="str">
        <f>IF(Data!AW19="","",IF('Job Sheet'!AX19="","",IF('Job Sheet'!AX19="None","",'Job Sheet'!BN19)))</f>
        <v/>
      </c>
    </row>
    <row r="18" spans="1:13" s="32" customFormat="1" ht="60" customHeight="1">
      <c r="A18" s="226" t="str">
        <f>IF(Data!AW20="","",IF('Job Sheet'!AX20="","",IF('Job Sheet'!AX20="None","",Data!AW20)))</f>
        <v/>
      </c>
      <c r="B18" s="236" t="str">
        <f>IF(Data!AW20="","",IF('Job Sheet'!AX20="","",IF('Job Sheet'!AX20="None","",Installation!B20)))</f>
        <v/>
      </c>
      <c r="C18" s="27" t="str">
        <f>IF(Data!BA20="","",'Job Sheet'!AX20)</f>
        <v/>
      </c>
      <c r="D18" s="27" t="str">
        <f>'Job Sheet'!AZ20</f>
        <v/>
      </c>
      <c r="E18" s="27" t="str">
        <f>IF(Data!AW20="","",IF('Job Sheet'!AX20="","",IF('Job Sheet'!AX20="None","",'Job Sheet'!B20)))</f>
        <v/>
      </c>
      <c r="F18" s="27" t="str">
        <f>IF(Data!AW20="","",IF('Job Sheet'!AX20="","",IF('Job Sheet'!AX20="None","",'Job Sheet'!I20)))</f>
        <v/>
      </c>
      <c r="G18" s="27" t="str">
        <f>IF(Data!AW20="","",IF('Job Sheet'!AX20="","",IF('Job Sheet'!AX20="None","",Installation!G20)))</f>
        <v/>
      </c>
      <c r="H18" s="27" t="str">
        <f>IF('Job Sheet'!AX20="None","",'Job Sheet'!BA20)</f>
        <v/>
      </c>
      <c r="I18" s="27" t="str">
        <f>'Job Sheet'!BC20</f>
        <v/>
      </c>
      <c r="J18" s="27" t="str">
        <f>'Job Sheet'!BB20</f>
        <v/>
      </c>
      <c r="K18" s="27" t="str">
        <f>'Job Sheet'!BD20</f>
        <v/>
      </c>
      <c r="L18" s="27" t="str">
        <f>'Job Sheet'!BE20</f>
        <v/>
      </c>
      <c r="M18" s="27" t="str">
        <f>IF(Data!AW20="","",IF('Job Sheet'!AX20="","",IF('Job Sheet'!AX20="None","",'Job Sheet'!BN20)))</f>
        <v/>
      </c>
    </row>
    <row r="19" spans="1:13" ht="60" customHeight="1">
      <c r="A19" s="226" t="str">
        <f>IF(Data!AW21="","",IF('Job Sheet'!AX21="","",IF('Job Sheet'!AX21="None","",Data!AW21)))</f>
        <v/>
      </c>
      <c r="B19" s="236" t="str">
        <f>IF(Data!AW21="","",IF('Job Sheet'!AX21="","",IF('Job Sheet'!AX21="None","",Installation!B21)))</f>
        <v/>
      </c>
      <c r="C19" s="27" t="str">
        <f>IF(Data!BA21="","",'Job Sheet'!AX21)</f>
        <v/>
      </c>
      <c r="D19" s="27" t="str">
        <f>'Job Sheet'!AZ21</f>
        <v/>
      </c>
      <c r="E19" s="27" t="str">
        <f>IF(Data!AW21="","",IF('Job Sheet'!AX21="","",IF('Job Sheet'!AX21="None","",'Job Sheet'!B21)))</f>
        <v/>
      </c>
      <c r="F19" s="27" t="str">
        <f>IF(Data!AW21="","",IF('Job Sheet'!AX21="","",IF('Job Sheet'!AX21="None","",'Job Sheet'!I21)))</f>
        <v/>
      </c>
      <c r="G19" s="27" t="str">
        <f>IF(Data!AW21="","",IF('Job Sheet'!AX21="","",IF('Job Sheet'!AX21="None","",Installation!G21)))</f>
        <v/>
      </c>
      <c r="H19" s="27" t="str">
        <f>IF('Job Sheet'!AX21="None","",'Job Sheet'!BA21)</f>
        <v/>
      </c>
      <c r="I19" s="27" t="str">
        <f>'Job Sheet'!BC21</f>
        <v/>
      </c>
      <c r="J19" s="27" t="str">
        <f>'Job Sheet'!BB21</f>
        <v/>
      </c>
      <c r="K19" s="27" t="str">
        <f>'Job Sheet'!BD21</f>
        <v/>
      </c>
      <c r="L19" s="27" t="str">
        <f>'Job Sheet'!BE21</f>
        <v/>
      </c>
      <c r="M19" s="27" t="str">
        <f>IF(Data!AW21="","",IF('Job Sheet'!AX21="","",IF('Job Sheet'!AX21="None","",'Job Sheet'!BN21)))</f>
        <v/>
      </c>
    </row>
    <row r="20" spans="1:13" ht="60" customHeight="1">
      <c r="A20" s="226" t="str">
        <f>IF(Data!AW22="","",IF('Job Sheet'!AX22="","",IF('Job Sheet'!AX22="None","",Data!AW22)))</f>
        <v/>
      </c>
      <c r="B20" s="236" t="str">
        <f>IF(Data!AW22="","",IF('Job Sheet'!AX22="","",IF('Job Sheet'!AX22="None","",Installation!B22)))</f>
        <v/>
      </c>
      <c r="C20" s="27" t="str">
        <f>IF(Data!BA22="","",'Job Sheet'!AX22)</f>
        <v/>
      </c>
      <c r="D20" s="27" t="str">
        <f>'Job Sheet'!AZ22</f>
        <v/>
      </c>
      <c r="E20" s="27" t="str">
        <f>IF(Data!AW22="","",IF('Job Sheet'!AX22="","",IF('Job Sheet'!AX22="None","",'Job Sheet'!B22)))</f>
        <v/>
      </c>
      <c r="F20" s="27" t="str">
        <f>IF(Data!AW22="","",IF('Job Sheet'!AX22="","",IF('Job Sheet'!AX22="None","",'Job Sheet'!I22)))</f>
        <v/>
      </c>
      <c r="G20" s="27" t="str">
        <f>IF(Data!AW22="","",IF('Job Sheet'!AX22="","",IF('Job Sheet'!AX22="None","",Installation!G22)))</f>
        <v/>
      </c>
      <c r="H20" s="27" t="str">
        <f>IF('Job Sheet'!AX22="None","",'Job Sheet'!BA22)</f>
        <v/>
      </c>
      <c r="I20" s="27" t="str">
        <f>'Job Sheet'!BC22</f>
        <v/>
      </c>
      <c r="J20" s="27" t="str">
        <f>'Job Sheet'!BB22</f>
        <v/>
      </c>
      <c r="K20" s="27" t="str">
        <f>'Job Sheet'!BD22</f>
        <v/>
      </c>
      <c r="L20" s="27" t="str">
        <f>'Job Sheet'!BE22</f>
        <v/>
      </c>
      <c r="M20" s="27" t="str">
        <f>IF(Data!AW22="","",IF('Job Sheet'!AX22="","",IF('Job Sheet'!AX22="None","",'Job Sheet'!BN22)))</f>
        <v/>
      </c>
    </row>
    <row r="21" spans="1:13" ht="60" customHeight="1">
      <c r="A21" s="64"/>
      <c r="B21" s="64"/>
      <c r="C21" s="64"/>
      <c r="D21" s="64"/>
      <c r="E21" s="64"/>
      <c r="F21" s="64"/>
      <c r="G21" s="64"/>
      <c r="H21" s="64"/>
      <c r="I21" s="64"/>
      <c r="J21" s="65"/>
      <c r="K21" s="65"/>
      <c r="L21" s="64"/>
      <c r="M21" s="32"/>
    </row>
    <row r="22" spans="1:13" ht="60" customHeight="1">
      <c r="A22" s="64"/>
      <c r="B22" s="64"/>
      <c r="C22" s="64"/>
      <c r="D22" s="64"/>
      <c r="E22" s="64"/>
      <c r="F22" s="64"/>
      <c r="G22" s="64"/>
      <c r="H22" s="64"/>
      <c r="I22" s="64"/>
      <c r="J22" s="65"/>
      <c r="K22" s="65"/>
      <c r="L22" s="64"/>
      <c r="M22" s="32"/>
    </row>
    <row r="23" spans="1:13" ht="60" customHeight="1">
      <c r="A23" s="64"/>
      <c r="B23" s="64"/>
      <c r="C23" s="64"/>
      <c r="D23" s="64"/>
      <c r="E23" s="64"/>
      <c r="F23" s="64"/>
      <c r="G23" s="64"/>
      <c r="H23" s="64"/>
      <c r="I23" s="64"/>
      <c r="J23" s="65"/>
      <c r="K23" s="65"/>
      <c r="L23" s="64"/>
      <c r="M23" s="32"/>
    </row>
    <row r="24" spans="1:13" ht="60" customHeight="1">
      <c r="A24" s="64"/>
      <c r="B24" s="64"/>
      <c r="C24" s="64"/>
      <c r="D24" s="64"/>
      <c r="E24" s="64"/>
      <c r="F24" s="64"/>
      <c r="G24" s="64"/>
      <c r="H24" s="64"/>
      <c r="I24" s="64"/>
      <c r="J24" s="65"/>
      <c r="K24" s="65"/>
      <c r="L24" s="64"/>
      <c r="M24" s="32"/>
    </row>
    <row r="25" spans="1:13" ht="60" customHeight="1">
      <c r="A25" s="64"/>
      <c r="B25" s="64"/>
      <c r="C25" s="64"/>
      <c r="D25" s="64"/>
      <c r="E25" s="64"/>
      <c r="F25" s="64"/>
      <c r="G25" s="64"/>
      <c r="H25" s="64"/>
      <c r="I25" s="64"/>
      <c r="J25" s="65"/>
      <c r="K25" s="65"/>
      <c r="L25" s="64"/>
      <c r="M25" s="32"/>
    </row>
    <row r="26" spans="1:13" ht="60" customHeight="1">
      <c r="A26" s="64"/>
      <c r="B26" s="64"/>
      <c r="C26" s="64"/>
      <c r="D26" s="64"/>
      <c r="E26" s="64"/>
      <c r="F26" s="64"/>
      <c r="G26" s="64"/>
      <c r="H26" s="64"/>
      <c r="I26" s="64"/>
      <c r="J26" s="65"/>
      <c r="K26" s="65"/>
      <c r="L26" s="64"/>
      <c r="M26" s="32"/>
    </row>
    <row r="27" spans="1:13" ht="60" customHeight="1">
      <c r="A27" s="64"/>
      <c r="B27" s="64"/>
      <c r="C27" s="64"/>
      <c r="D27" s="64"/>
      <c r="E27" s="64"/>
      <c r="F27" s="64"/>
      <c r="G27" s="64"/>
      <c r="H27" s="64"/>
      <c r="I27" s="64"/>
      <c r="J27" s="65"/>
      <c r="K27" s="65"/>
      <c r="L27" s="64"/>
      <c r="M27" s="32"/>
    </row>
    <row r="28" spans="1:13" ht="60" customHeight="1">
      <c r="A28" s="64"/>
      <c r="B28" s="64"/>
      <c r="C28" s="64"/>
      <c r="D28" s="64"/>
      <c r="E28" s="64"/>
      <c r="F28" s="64"/>
      <c r="G28" s="64"/>
      <c r="H28" s="64"/>
      <c r="I28" s="64"/>
      <c r="J28" s="65"/>
      <c r="K28" s="65"/>
      <c r="L28" s="64"/>
      <c r="M28" s="32"/>
    </row>
    <row r="29" spans="1:13" ht="60" customHeight="1">
      <c r="A29" s="64"/>
      <c r="B29" s="64"/>
      <c r="C29" s="64"/>
      <c r="D29" s="64"/>
      <c r="E29" s="64"/>
      <c r="F29" s="64"/>
      <c r="G29" s="64"/>
      <c r="H29" s="64"/>
      <c r="I29" s="64"/>
      <c r="J29" s="65"/>
      <c r="K29" s="65"/>
      <c r="L29" s="64"/>
      <c r="M29" s="32"/>
    </row>
    <row r="30" spans="1:13" ht="60" customHeight="1">
      <c r="A30" s="64"/>
      <c r="B30" s="64"/>
      <c r="C30" s="64"/>
      <c r="D30" s="64"/>
      <c r="E30" s="64"/>
      <c r="F30" s="64"/>
      <c r="G30" s="64"/>
      <c r="H30" s="64"/>
      <c r="I30" s="64"/>
      <c r="J30" s="65"/>
      <c r="K30" s="65"/>
      <c r="L30" s="64"/>
      <c r="M30" s="32"/>
    </row>
    <row r="31" spans="1:13" ht="60" customHeight="1">
      <c r="A31" s="64"/>
      <c r="B31" s="64"/>
      <c r="C31" s="64"/>
      <c r="D31" s="64"/>
      <c r="E31" s="64"/>
      <c r="F31" s="64"/>
      <c r="G31" s="64"/>
      <c r="H31" s="64"/>
      <c r="I31" s="64"/>
      <c r="J31" s="65"/>
      <c r="K31" s="65"/>
      <c r="L31" s="64"/>
      <c r="M31" s="32"/>
    </row>
    <row r="32" spans="1:13" ht="60" customHeight="1">
      <c r="A32" s="64"/>
      <c r="B32" s="64"/>
      <c r="C32" s="64"/>
      <c r="D32" s="64"/>
      <c r="E32" s="64"/>
      <c r="F32" s="64"/>
      <c r="G32" s="64"/>
      <c r="H32" s="64"/>
      <c r="I32" s="64"/>
      <c r="J32" s="65"/>
      <c r="K32" s="65"/>
      <c r="L32" s="64"/>
      <c r="M32" s="32"/>
    </row>
    <row r="33" spans="1:13" ht="60" customHeight="1">
      <c r="A33" s="64"/>
      <c r="B33" s="64"/>
      <c r="C33" s="64"/>
      <c r="D33" s="64"/>
      <c r="E33" s="64"/>
      <c r="F33" s="64"/>
      <c r="G33" s="64"/>
      <c r="H33" s="64"/>
      <c r="I33" s="64"/>
      <c r="J33" s="65"/>
      <c r="K33" s="65"/>
      <c r="L33" s="64"/>
      <c r="M33" s="32"/>
    </row>
    <row r="34" spans="1:13" ht="60" customHeight="1">
      <c r="A34" s="64"/>
      <c r="B34" s="64"/>
      <c r="C34" s="64"/>
      <c r="D34" s="64"/>
      <c r="E34" s="64"/>
      <c r="F34" s="64"/>
      <c r="G34" s="64"/>
      <c r="H34" s="64"/>
      <c r="I34" s="64"/>
      <c r="J34" s="65"/>
      <c r="K34" s="65"/>
      <c r="L34" s="64"/>
      <c r="M34" s="32"/>
    </row>
  </sheetData>
  <mergeCells count="26">
    <mergeCell ref="F3:K3"/>
    <mergeCell ref="F4:K4"/>
    <mergeCell ref="F5:K5"/>
    <mergeCell ref="A1:M1"/>
    <mergeCell ref="A2:M2"/>
    <mergeCell ref="L3:M3"/>
    <mergeCell ref="L4:M5"/>
    <mergeCell ref="A4:B4"/>
    <mergeCell ref="C4:D4"/>
    <mergeCell ref="A5:B5"/>
    <mergeCell ref="C5:D5"/>
    <mergeCell ref="A3:B3"/>
    <mergeCell ref="C3:D3"/>
    <mergeCell ref="M6:M8"/>
    <mergeCell ref="A6:A8"/>
    <mergeCell ref="B6:B8"/>
    <mergeCell ref="G6:G8"/>
    <mergeCell ref="H6:H8"/>
    <mergeCell ref="F6:F8"/>
    <mergeCell ref="E6:E8"/>
    <mergeCell ref="C6:C8"/>
    <mergeCell ref="D6:D8"/>
    <mergeCell ref="J6:J8"/>
    <mergeCell ref="I6:I8"/>
    <mergeCell ref="L6:L8"/>
    <mergeCell ref="K6:K8"/>
  </mergeCells>
  <printOptions horizontalCentered="1"/>
  <pageMargins left="0.704724409448848" right="0.704724409448848" top="0.31496062992126" bottom="0.31496062992126" header="0.31496062992126" footer="0.31496062992126"/>
  <pageSetup fitToHeight="0" horizontalDpi="300" verticalDpi="300" orientation="landscape" paperSize="9" scale="1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E0A34-414D-4F14-8E1B-26553DBFBC57}">
  <sheetPr codeName="Sheet12">
    <pageSetUpPr fitToPage="1"/>
  </sheetPr>
  <dimension ref="A1:M22"/>
  <sheetViews>
    <sheetView view="pageBreakPreview" zoomScale="60" zoomScaleNormal="60" workbookViewId="0" topLeftCell="A1">
      <selection pane="topLeft" activeCell="A21" sqref="A21:XFD22"/>
    </sheetView>
  </sheetViews>
  <sheetFormatPr defaultColWidth="9.33203125" defaultRowHeight="13.5"/>
  <cols>
    <col min="1" max="1" width="10.4285714285714" style="46" customWidth="1"/>
    <col min="2" max="2" width="37" style="46" customWidth="1"/>
    <col min="3" max="3" width="24.5714285714286" style="46" customWidth="1"/>
    <col min="4" max="4" width="38.4285714285714" style="46" customWidth="1"/>
    <col min="5" max="5" width="26" style="46" customWidth="1"/>
    <col min="6" max="6" width="40.4285714285714" style="46" customWidth="1"/>
    <col min="7" max="7" width="32" style="46" customWidth="1"/>
    <col min="8" max="8" width="30.4285714285714" style="46" customWidth="1"/>
    <col min="9" max="9" width="29.5714285714286" style="46" customWidth="1"/>
    <col min="10" max="10" width="24" style="47" customWidth="1"/>
    <col min="11" max="11" width="26.5714285714286" style="47" customWidth="1"/>
    <col min="12" max="12" width="27" style="46" customWidth="1"/>
    <col min="13" max="13" width="53" style="46" customWidth="1"/>
  </cols>
  <sheetData>
    <row r="1" spans="1:13" ht="93.75" customHeight="1">
      <c r="A1" s="360" t="s">
        <v>6598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</row>
    <row r="2" spans="1:13" ht="40.2" customHeight="1">
      <c r="A2" s="239" t="s">
        <v>7</v>
      </c>
      <c r="B2" s="239"/>
      <c r="C2" s="239"/>
      <c r="D2" s="239"/>
      <c r="E2" s="237" t="s">
        <v>94</v>
      </c>
      <c r="F2" s="237"/>
      <c r="G2" s="234" t="str">
        <f>TRIM(Data!BF5)</f>
        <v>Hare, Kaitlin</v>
      </c>
      <c r="H2" s="234"/>
      <c r="I2" s="234"/>
      <c r="J2" s="234"/>
      <c r="K2" s="235" t="s">
        <v>4</v>
      </c>
      <c r="L2" s="235"/>
      <c r="M2" s="235"/>
    </row>
    <row r="3" spans="1:13" ht="40.2" customHeight="1">
      <c r="A3" s="240" t="s">
        <v>117</v>
      </c>
      <c r="B3" s="240"/>
      <c r="C3" s="227" t="str">
        <f>TRIM(Data!BC5)</f>
        <v>39776</v>
      </c>
      <c r="D3" s="227"/>
      <c r="E3" s="238" t="s">
        <v>8</v>
      </c>
      <c r="F3" s="238"/>
      <c r="G3" s="234" t="str">
        <f>TRIM(Data!AX5)</f>
        <v>Whole House</v>
      </c>
      <c r="H3" s="234"/>
      <c r="I3" s="234"/>
      <c r="J3" s="234"/>
      <c r="K3" s="309" t="str">
        <f>IF(OR(Data!BA11="",C10=""),"",Data!BG5)</f>
        <v/>
      </c>
      <c r="L3" s="310"/>
      <c r="M3" s="311"/>
    </row>
    <row r="4" spans="1:13" ht="40.2" customHeight="1">
      <c r="A4" s="226" t="s">
        <v>14</v>
      </c>
      <c r="B4" s="226"/>
      <c r="C4" s="227" t="str">
        <f>TRIM(Data!BD5)</f>
        <v>F</v>
      </c>
      <c r="D4" s="227"/>
      <c r="E4" s="238" t="s">
        <v>112</v>
      </c>
      <c r="F4" s="238"/>
      <c r="G4" s="234" t="str">
        <f>LEFT(Data!BA5,10)</f>
        <v>13/10/2026</v>
      </c>
      <c r="H4" s="234"/>
      <c r="I4" s="234"/>
      <c r="J4" s="234"/>
      <c r="K4" s="312"/>
      <c r="L4" s="313"/>
      <c r="M4" s="314"/>
    </row>
    <row r="5" spans="1:13" ht="40.2" customHeight="1">
      <c r="A5" s="230" t="s">
        <v>9</v>
      </c>
      <c r="B5" s="230"/>
      <c r="C5" s="231" t="str">
        <f>TRIM(Data!AY5)</f>
        <v>12/08/2026 12:00:00 AM</v>
      </c>
      <c r="D5" s="231"/>
      <c r="E5" s="227" t="s">
        <v>12</v>
      </c>
      <c r="F5" s="227"/>
      <c r="G5" s="234" t="str">
        <f>TRIM(Data!BF5)</f>
        <v>Hare, Kaitlin</v>
      </c>
      <c r="H5" s="234"/>
      <c r="I5" s="234"/>
      <c r="J5" s="234"/>
      <c r="K5" s="315"/>
      <c r="L5" s="316"/>
      <c r="M5" s="317"/>
    </row>
    <row r="6" spans="1:13" ht="40.2" customHeight="1">
      <c r="A6" s="232" t="str">
        <f>TRIM(Data!CZ5)</f>
        <v>Retail Customer</v>
      </c>
      <c r="B6" s="232"/>
      <c r="C6" s="232"/>
      <c r="D6" s="232"/>
      <c r="E6" s="227"/>
      <c r="F6" s="227"/>
      <c r="G6" s="234" t="str">
        <f>CONCATENATE(Data!BH5," ",Data!BI5," ",Data!BJ5," ",Data!BK5," ",Data!BL5)</f>
        <v xml:space="preserve"> 219  Wendouree Parade  </v>
      </c>
      <c r="H6" s="234"/>
      <c r="I6" s="234"/>
      <c r="J6" s="234"/>
      <c r="K6" s="6" t="s">
        <v>6599</v>
      </c>
      <c r="L6" s="358" t="str">
        <f>TRIM(Data!BR5)</f>
        <v/>
      </c>
      <c r="M6" s="359"/>
    </row>
    <row r="7" spans="1:13" ht="40.2" customHeight="1">
      <c r="A7" s="232"/>
      <c r="B7" s="232"/>
      <c r="C7" s="232"/>
      <c r="D7" s="232"/>
      <c r="E7" s="227"/>
      <c r="F7" s="227"/>
      <c r="G7" s="234" t="str">
        <f>CONCATENATE(Data!BM5," ",Data!BN5," ",Data!BO5," ",Data!BP5)</f>
        <v>Lake Wendouree VIC 3350 Australia</v>
      </c>
      <c r="H7" s="234"/>
      <c r="I7" s="234"/>
      <c r="J7" s="234"/>
      <c r="K7" s="234" t="s">
        <v>6600</v>
      </c>
      <c r="L7" s="234"/>
      <c r="M7" s="7" t="str">
        <f>TRIM(Data!BT5)</f>
        <v>0457006696</v>
      </c>
    </row>
    <row r="8" spans="1:13" ht="12.75" customHeight="1">
      <c r="A8" s="233" t="s">
        <v>116</v>
      </c>
      <c r="B8" s="225" t="s">
        <v>96</v>
      </c>
      <c r="C8" s="225" t="s">
        <v>6601</v>
      </c>
      <c r="D8" s="224" t="s">
        <v>95</v>
      </c>
      <c r="E8" s="224" t="s">
        <v>11</v>
      </c>
      <c r="F8" s="225" t="s">
        <v>6602</v>
      </c>
      <c r="G8" s="225" t="s">
        <v>6603</v>
      </c>
      <c r="H8" s="224" t="s">
        <v>6604</v>
      </c>
      <c r="I8" s="224" t="s">
        <v>6605</v>
      </c>
      <c r="J8" s="224" t="s">
        <v>6606</v>
      </c>
      <c r="K8" s="224" t="s">
        <v>6607</v>
      </c>
      <c r="L8" s="224" t="s">
        <v>6608</v>
      </c>
      <c r="M8" s="224" t="s">
        <v>5</v>
      </c>
    </row>
    <row r="9" spans="1:13" ht="12.75" customHeight="1">
      <c r="A9" s="233"/>
      <c r="B9" s="225"/>
      <c r="C9" s="225"/>
      <c r="D9" s="224"/>
      <c r="E9" s="224"/>
      <c r="F9" s="225"/>
      <c r="G9" s="225"/>
      <c r="H9" s="224"/>
      <c r="I9" s="224"/>
      <c r="J9" s="224"/>
      <c r="K9" s="224"/>
      <c r="L9" s="224"/>
      <c r="M9" s="224"/>
    </row>
    <row r="10" spans="1:13" ht="47.25" customHeight="1">
      <c r="A10" s="233"/>
      <c r="B10" s="225"/>
      <c r="C10" s="225"/>
      <c r="D10" s="224"/>
      <c r="E10" s="224"/>
      <c r="F10" s="225"/>
      <c r="G10" s="225"/>
      <c r="H10" s="224"/>
      <c r="I10" s="224"/>
      <c r="J10" s="224"/>
      <c r="K10" s="224"/>
      <c r="L10" s="224"/>
      <c r="M10" s="224"/>
    </row>
    <row r="11" spans="1:13" ht="60" customHeight="1">
      <c r="A11" s="144">
        <f>IF(Data!AX11="","",'Job Sheet'!A11)</f>
        <v>28</v>
      </c>
      <c r="B11" s="145" t="str">
        <f>IF(C11="","",'Job Sheet'!C11)</f>
        <v/>
      </c>
      <c r="C11" s="145" t="str">
        <f t="array" ref="C11">IF(bpLOOKUP(Data!$AV11,"ELECTRICIAN",CustOrdOpt,6,FALSE)="Yes","Yes","")</f>
        <v/>
      </c>
      <c r="D11" s="145" t="str">
        <f>IF(C11="","",Data!AX11)</f>
        <v/>
      </c>
      <c r="E11" s="146" t="str">
        <f>IF(C11="","",'Job Sheet'!I11)</f>
        <v/>
      </c>
      <c r="F11" s="146" t="str">
        <f>IF(C11="","",'Job Sheet'!AW11)</f>
        <v/>
      </c>
      <c r="G11" s="146" t="str">
        <f>IF(C11="","",'Job Sheet'!B11)</f>
        <v/>
      </c>
      <c r="H11" s="146"/>
      <c r="I11" s="146" t="str">
        <f t="array" ref="I11">bpLOOKUP(Data!$AV11,"HOUSECONSTRUCTION",CustOrdOpt,6,FALSE)</f>
        <v/>
      </c>
      <c r="J11" s="146" t="str">
        <f t="array" ref="J11">bpLOOKUP(Data!$AV11,"ROOF",CustOrdOpt,6,FALSE)</f>
        <v/>
      </c>
      <c r="K11" s="146" t="str">
        <f t="array" ref="K11">bpLOOKUP(Data!$AV11,"SWITCHBOARD",CustOrdOpt,6,FALSE)</f>
        <v/>
      </c>
      <c r="L11" s="146" t="str">
        <f t="array" ref="L11">bpLOOKUP(Data!$AV11,"STOREYS",CustOrdOpt,6,FALSE)</f>
        <v/>
      </c>
      <c r="M11" s="147" t="str">
        <f>IF(C11="","",'Job Sheet'!BR11)</f>
        <v/>
      </c>
    </row>
    <row r="12" spans="1:13" ht="60" customHeight="1">
      <c r="A12" s="144">
        <f>IF(Data!AX12="","",'Job Sheet'!A12)</f>
        <v>29</v>
      </c>
      <c r="B12" s="145" t="str">
        <f>IF(C12="","",'Job Sheet'!C12)</f>
        <v/>
      </c>
      <c r="C12" s="145" t="str">
        <f t="array" ref="C12">IF(bpLOOKUP(Data!$AV12,"ELECTRICIAN",CustOrdOpt,6,FALSE)="Yes","Yes","")</f>
        <v/>
      </c>
      <c r="D12" s="145" t="str">
        <f>IF(C12="","",Data!AX12)</f>
        <v/>
      </c>
      <c r="E12" s="146" t="str">
        <f>IF(C12="","",'Job Sheet'!I12)</f>
        <v/>
      </c>
      <c r="F12" s="146" t="str">
        <f>IF(C12="","",'Job Sheet'!AW12)</f>
        <v/>
      </c>
      <c r="G12" s="146" t="str">
        <f>IF(C12="","",'Job Sheet'!B12)</f>
        <v/>
      </c>
      <c r="H12" s="146"/>
      <c r="I12" s="146" t="str">
        <f t="array" ref="I12">bpLOOKUP(Data!$AV12,"HOUSECONSTRUCTION",CustOrdOpt,6,FALSE)</f>
        <v/>
      </c>
      <c r="J12" s="146" t="str">
        <f t="array" ref="J12">bpLOOKUP(Data!$AV12,"ROOF",CustOrdOpt,6,FALSE)</f>
        <v/>
      </c>
      <c r="K12" s="146" t="str">
        <f t="array" ref="K12">bpLOOKUP(Data!$AV12,"SWITCHBOARD",CustOrdOpt,6,FALSE)</f>
        <v/>
      </c>
      <c r="L12" s="146" t="str">
        <f t="array" ref="L12">bpLOOKUP(Data!$AV12,"STOREYS",CustOrdOpt,6,FALSE)</f>
        <v/>
      </c>
      <c r="M12" s="147" t="str">
        <f>IF(C12="","",'Job Sheet'!BR12)</f>
        <v/>
      </c>
    </row>
    <row r="13" spans="1:13" ht="60" customHeight="1">
      <c r="A13" s="144">
        <f>IF(Data!AX13="","",'Job Sheet'!A13)</f>
        <v>30</v>
      </c>
      <c r="B13" s="145" t="str">
        <f>IF(C13="","",'Job Sheet'!C13)</f>
        <v/>
      </c>
      <c r="C13" s="145" t="str">
        <f t="array" ref="C13">IF(bpLOOKUP(Data!$AV13,"ELECTRICIAN",CustOrdOpt,6,FALSE)="Yes","Yes","")</f>
        <v/>
      </c>
      <c r="D13" s="145" t="str">
        <f>IF(C13="","",Data!AX13)</f>
        <v/>
      </c>
      <c r="E13" s="146" t="str">
        <f>IF(C13="","",'Job Sheet'!I13)</f>
        <v/>
      </c>
      <c r="F13" s="146" t="str">
        <f>IF(C13="","",'Job Sheet'!AW13)</f>
        <v/>
      </c>
      <c r="G13" s="146" t="str">
        <f>IF(C13="","",'Job Sheet'!B13)</f>
        <v/>
      </c>
      <c r="H13" s="146"/>
      <c r="I13" s="146" t="str">
        <f t="array" ref="I13">bpLOOKUP(Data!$AV13,"HOUSECONSTRUCTION",CustOrdOpt,6,FALSE)</f>
        <v/>
      </c>
      <c r="J13" s="146" t="str">
        <f t="array" ref="J13">bpLOOKUP(Data!$AV13,"ROOF",CustOrdOpt,6,FALSE)</f>
        <v/>
      </c>
      <c r="K13" s="146" t="str">
        <f t="array" ref="K13">bpLOOKUP(Data!$AV13,"SWITCHBOARD",CustOrdOpt,6,FALSE)</f>
        <v/>
      </c>
      <c r="L13" s="146" t="str">
        <f t="array" ref="L13">bpLOOKUP(Data!$AV13,"STOREYS",CustOrdOpt,6,FALSE)</f>
        <v/>
      </c>
      <c r="M13" s="147" t="str">
        <f>IF(C13="","",'Job Sheet'!BR13)</f>
        <v/>
      </c>
    </row>
    <row r="14" spans="1:13" ht="60" customHeight="1">
      <c r="A14" s="144">
        <f>IF(Data!AX14="","",'Job Sheet'!A14)</f>
        <v>31</v>
      </c>
      <c r="B14" s="145" t="str">
        <f>IF(C14="","",'Job Sheet'!C14)</f>
        <v/>
      </c>
      <c r="C14" s="145" t="str">
        <f t="array" ref="C14">IF(bpLOOKUP(Data!$AV14,"ELECTRICIAN",CustOrdOpt,6,FALSE)="Yes","Yes","")</f>
        <v/>
      </c>
      <c r="D14" s="145" t="str">
        <f>IF(C14="","",Data!AX14)</f>
        <v/>
      </c>
      <c r="E14" s="146" t="str">
        <f>IF(C14="","",'Job Sheet'!I14)</f>
        <v/>
      </c>
      <c r="F14" s="146" t="str">
        <f>IF(C14="","",'Job Sheet'!AW14)</f>
        <v/>
      </c>
      <c r="G14" s="146" t="str">
        <f>IF(C14="","",'Job Sheet'!B14)</f>
        <v/>
      </c>
      <c r="H14" s="146"/>
      <c r="I14" s="146" t="str">
        <f t="array" ref="I14">bpLOOKUP(Data!$AV14,"HOUSECONSTRUCTION",CustOrdOpt,6,FALSE)</f>
        <v/>
      </c>
      <c r="J14" s="146" t="str">
        <f t="array" ref="J14">bpLOOKUP(Data!$AV14,"ROOF",CustOrdOpt,6,FALSE)</f>
        <v/>
      </c>
      <c r="K14" s="146" t="str">
        <f t="array" ref="K14">bpLOOKUP(Data!$AV14,"SWITCHBOARD",CustOrdOpt,6,FALSE)</f>
        <v/>
      </c>
      <c r="L14" s="146" t="str">
        <f t="array" ref="L14">bpLOOKUP(Data!$AV14,"STOREYS",CustOrdOpt,6,FALSE)</f>
        <v/>
      </c>
      <c r="M14" s="147" t="str">
        <f>IF(C14="","",'Job Sheet'!BR14)</f>
        <v/>
      </c>
    </row>
    <row r="15" spans="1:13" ht="60" customHeight="1">
      <c r="A15" s="144">
        <f>IF(Data!AX15="","",'Job Sheet'!A15)</f>
        <v>32</v>
      </c>
      <c r="B15" s="145" t="str">
        <f>IF(C15="","",'Job Sheet'!C15)</f>
        <v/>
      </c>
      <c r="C15" s="145" t="str">
        <f t="array" ref="C15">IF(bpLOOKUP(Data!$AV15,"ELECTRICIAN",CustOrdOpt,6,FALSE)="Yes","Yes","")</f>
        <v/>
      </c>
      <c r="D15" s="145" t="str">
        <f>IF(C15="","",Data!AX15)</f>
        <v/>
      </c>
      <c r="E15" s="146" t="str">
        <f>IF(C15="","",'Job Sheet'!I15)</f>
        <v/>
      </c>
      <c r="F15" s="146" t="str">
        <f>IF(C15="","",'Job Sheet'!AW15)</f>
        <v/>
      </c>
      <c r="G15" s="146" t="str">
        <f>IF(C15="","",'Job Sheet'!B15)</f>
        <v/>
      </c>
      <c r="H15" s="146"/>
      <c r="I15" s="146" t="str">
        <f t="array" ref="I15">bpLOOKUP(Data!$AV15,"HOUSECONSTRUCTION",CustOrdOpt,6,FALSE)</f>
        <v/>
      </c>
      <c r="J15" s="146" t="str">
        <f t="array" ref="J15">bpLOOKUP(Data!$AV15,"ROOF",CustOrdOpt,6,FALSE)</f>
        <v/>
      </c>
      <c r="K15" s="146" t="str">
        <f t="array" ref="K15">bpLOOKUP(Data!$AV15,"SWITCHBOARD",CustOrdOpt,6,FALSE)</f>
        <v/>
      </c>
      <c r="L15" s="146" t="str">
        <f t="array" ref="L15">bpLOOKUP(Data!$AV15,"STOREYS",CustOrdOpt,6,FALSE)</f>
        <v/>
      </c>
      <c r="M15" s="147" t="str">
        <f>IF(C15="","",'Job Sheet'!BR15)</f>
        <v/>
      </c>
    </row>
    <row r="16" spans="1:13" ht="60" customHeight="1">
      <c r="A16" s="144">
        <f>IF(Data!AX16="","",'Job Sheet'!A16)</f>
        <v>33</v>
      </c>
      <c r="B16" s="145" t="str">
        <f>IF(C16="","",'Job Sheet'!C16)</f>
        <v/>
      </c>
      <c r="C16" s="145" t="str">
        <f t="array" ref="C16">IF(bpLOOKUP(Data!$AV16,"ELECTRICIAN",CustOrdOpt,6,FALSE)="Yes","Yes","")</f>
        <v/>
      </c>
      <c r="D16" s="145" t="str">
        <f>IF(C16="","",Data!AX16)</f>
        <v/>
      </c>
      <c r="E16" s="146" t="str">
        <f>IF(C16="","",'Job Sheet'!I16)</f>
        <v/>
      </c>
      <c r="F16" s="146" t="str">
        <f>IF(C16="","",'Job Sheet'!AW16)</f>
        <v/>
      </c>
      <c r="G16" s="146" t="str">
        <f>IF(C16="","",'Job Sheet'!B16)</f>
        <v/>
      </c>
      <c r="H16" s="146"/>
      <c r="I16" s="146" t="str">
        <f t="array" ref="I16">bpLOOKUP(Data!$AV16,"HOUSECONSTRUCTION",CustOrdOpt,6,FALSE)</f>
        <v/>
      </c>
      <c r="J16" s="146" t="str">
        <f t="array" ref="J16">bpLOOKUP(Data!$AV16,"ROOF",CustOrdOpt,6,FALSE)</f>
        <v/>
      </c>
      <c r="K16" s="146" t="str">
        <f t="array" ref="K16">bpLOOKUP(Data!$AV16,"SWITCHBOARD",CustOrdOpt,6,FALSE)</f>
        <v/>
      </c>
      <c r="L16" s="146" t="str">
        <f t="array" ref="L16">bpLOOKUP(Data!$AV16,"STOREYS",CustOrdOpt,6,FALSE)</f>
        <v/>
      </c>
      <c r="M16" s="147" t="str">
        <f>IF(C16="","",'Job Sheet'!BR16)</f>
        <v/>
      </c>
    </row>
    <row r="17" spans="1:13" ht="60" customHeight="1">
      <c r="A17" s="144">
        <f>IF(Data!AX17="","",'Job Sheet'!A17)</f>
        <v>34</v>
      </c>
      <c r="B17" s="145" t="str">
        <f>IF(C17="","",'Job Sheet'!C17)</f>
        <v/>
      </c>
      <c r="C17" s="145" t="str">
        <f t="array" ref="C17">IF(bpLOOKUP(Data!$AV17,"ELECTRICIAN",CustOrdOpt,6,FALSE)="Yes","Yes","")</f>
        <v/>
      </c>
      <c r="D17" s="145" t="str">
        <f>IF(C17="","",Data!AX17)</f>
        <v/>
      </c>
      <c r="E17" s="146" t="str">
        <f>IF(C17="","",'Job Sheet'!I17)</f>
        <v/>
      </c>
      <c r="F17" s="146" t="str">
        <f>IF(C17="","",'Job Sheet'!AW17)</f>
        <v/>
      </c>
      <c r="G17" s="146" t="str">
        <f>IF(C17="","",'Job Sheet'!B17)</f>
        <v/>
      </c>
      <c r="H17" s="146"/>
      <c r="I17" s="146" t="str">
        <f t="array" ref="I17">bpLOOKUP(Data!$AV17,"HOUSECONSTRUCTION",CustOrdOpt,6,FALSE)</f>
        <v/>
      </c>
      <c r="J17" s="146" t="str">
        <f t="array" ref="J17">bpLOOKUP(Data!$AV17,"ROOF",CustOrdOpt,6,FALSE)</f>
        <v/>
      </c>
      <c r="K17" s="146" t="str">
        <f t="array" ref="K17">bpLOOKUP(Data!$AV17,"SWITCHBOARD",CustOrdOpt,6,FALSE)</f>
        <v/>
      </c>
      <c r="L17" s="146" t="str">
        <f t="array" ref="L17">bpLOOKUP(Data!$AV17,"STOREYS",CustOrdOpt,6,FALSE)</f>
        <v/>
      </c>
      <c r="M17" s="147" t="str">
        <f>IF(C17="","",'Job Sheet'!BR17)</f>
        <v/>
      </c>
    </row>
    <row r="18" spans="1:13" ht="60" customHeight="1">
      <c r="A18" s="144">
        <f>IF(Data!AX18="","",'Job Sheet'!A18)</f>
        <v>35</v>
      </c>
      <c r="B18" s="145" t="str">
        <f>IF(C18="","",'Job Sheet'!C18)</f>
        <v/>
      </c>
      <c r="C18" s="145" t="str">
        <f t="array" ref="C18">IF(bpLOOKUP(Data!$AV18,"ELECTRICIAN",CustOrdOpt,6,FALSE)="Yes","Yes","")</f>
        <v/>
      </c>
      <c r="D18" s="145" t="str">
        <f>IF(C18="","",Data!AX18)</f>
        <v/>
      </c>
      <c r="E18" s="146" t="str">
        <f>IF(C18="","",'Job Sheet'!I18)</f>
        <v/>
      </c>
      <c r="F18" s="146" t="str">
        <f>IF(C18="","",'Job Sheet'!AW18)</f>
        <v/>
      </c>
      <c r="G18" s="146" t="str">
        <f>IF(C18="","",'Job Sheet'!B18)</f>
        <v/>
      </c>
      <c r="H18" s="146"/>
      <c r="I18" s="146" t="str">
        <f t="array" ref="I18">bpLOOKUP(Data!$AV18,"HOUSECONSTRUCTION",CustOrdOpt,6,FALSE)</f>
        <v/>
      </c>
      <c r="J18" s="146" t="str">
        <f t="array" ref="J18">bpLOOKUP(Data!$AV18,"ROOF",CustOrdOpt,6,FALSE)</f>
        <v/>
      </c>
      <c r="K18" s="146" t="str">
        <f t="array" ref="K18">bpLOOKUP(Data!$AV18,"SWITCHBOARD",CustOrdOpt,6,FALSE)</f>
        <v/>
      </c>
      <c r="L18" s="146" t="str">
        <f t="array" ref="L18">bpLOOKUP(Data!$AV18,"STOREYS",CustOrdOpt,6,FALSE)</f>
        <v/>
      </c>
      <c r="M18" s="147" t="str">
        <f>IF(C18="","",'Job Sheet'!BR18)</f>
        <v/>
      </c>
    </row>
    <row r="19" spans="1:13" ht="60" customHeight="1">
      <c r="A19" s="144">
        <f>IF(Data!AX19="","",'Job Sheet'!A19)</f>
        <v>36</v>
      </c>
      <c r="B19" s="145" t="str">
        <f>IF(C19="","",'Job Sheet'!C19)</f>
        <v/>
      </c>
      <c r="C19" s="145" t="str">
        <f t="array" ref="C19">IF(bpLOOKUP(Data!$AV19,"ELECTRICIAN",CustOrdOpt,6,FALSE)="Yes","Yes","")</f>
        <v/>
      </c>
      <c r="D19" s="145" t="str">
        <f>IF(C19="","",Data!AX19)</f>
        <v/>
      </c>
      <c r="E19" s="146" t="str">
        <f>IF(C19="","",'Job Sheet'!I19)</f>
        <v/>
      </c>
      <c r="F19" s="146" t="str">
        <f>IF(C19="","",'Job Sheet'!AW19)</f>
        <v/>
      </c>
      <c r="G19" s="146" t="str">
        <f>IF(C19="","",'Job Sheet'!B19)</f>
        <v/>
      </c>
      <c r="H19" s="146"/>
      <c r="I19" s="146" t="str">
        <f t="array" ref="I19">bpLOOKUP(Data!$AV19,"HOUSECONSTRUCTION",CustOrdOpt,6,FALSE)</f>
        <v/>
      </c>
      <c r="J19" s="146" t="str">
        <f t="array" ref="J19">bpLOOKUP(Data!$AV19,"ROOF",CustOrdOpt,6,FALSE)</f>
        <v/>
      </c>
      <c r="K19" s="146" t="str">
        <f t="array" ref="K19">bpLOOKUP(Data!$AV19,"SWITCHBOARD",CustOrdOpt,6,FALSE)</f>
        <v/>
      </c>
      <c r="L19" s="146" t="str">
        <f t="array" ref="L19">bpLOOKUP(Data!$AV19,"STOREYS",CustOrdOpt,6,FALSE)</f>
        <v/>
      </c>
      <c r="M19" s="147" t="str">
        <f>IF(C19="","",'Job Sheet'!BR19)</f>
        <v/>
      </c>
    </row>
    <row r="20" spans="1:13" ht="60" customHeight="1">
      <c r="A20" s="144">
        <f>IF(Data!AX20="","",'Job Sheet'!A20)</f>
        <v>37</v>
      </c>
      <c r="B20" s="145" t="str">
        <f>IF(C20="","",'Job Sheet'!C20)</f>
        <v/>
      </c>
      <c r="C20" s="145" t="str">
        <f t="array" ref="C20">IF(bpLOOKUP(Data!$AV20,"ELECTRICIAN",CustOrdOpt,6,FALSE)="Yes","Yes","")</f>
        <v/>
      </c>
      <c r="D20" s="145" t="str">
        <f>IF(C20="","",Data!AX20)</f>
        <v/>
      </c>
      <c r="E20" s="146" t="str">
        <f>IF(C20="","",'Job Sheet'!I20)</f>
        <v/>
      </c>
      <c r="F20" s="146" t="str">
        <f>IF(C20="","",'Job Sheet'!AW20)</f>
        <v/>
      </c>
      <c r="G20" s="146" t="str">
        <f>IF(C20="","",'Job Sheet'!B20)</f>
        <v/>
      </c>
      <c r="H20" s="146"/>
      <c r="I20" s="146" t="str">
        <f t="array" ref="I20">bpLOOKUP(Data!$AV20,"HOUSECONSTRUCTION",CustOrdOpt,6,FALSE)</f>
        <v/>
      </c>
      <c r="J20" s="146" t="str">
        <f t="array" ref="J20">bpLOOKUP(Data!$AV20,"ROOF",CustOrdOpt,6,FALSE)</f>
        <v/>
      </c>
      <c r="K20" s="146" t="str">
        <f t="array" ref="K20">bpLOOKUP(Data!$AV20,"SWITCHBOARD",CustOrdOpt,6,FALSE)</f>
        <v/>
      </c>
      <c r="L20" s="146" t="str">
        <f t="array" ref="L20">bpLOOKUP(Data!$AV20,"STOREYS",CustOrdOpt,6,FALSE)</f>
        <v/>
      </c>
      <c r="M20" s="147" t="str">
        <f>IF(C20="","",'Job Sheet'!BR20)</f>
        <v/>
      </c>
    </row>
    <row r="21" spans="1:13" ht="60" customHeight="1">
      <c r="A21" s="144">
        <f>IF(Data!AX21="","",'Job Sheet'!A21)</f>
        <v>38</v>
      </c>
      <c r="B21" s="145" t="str">
        <f>IF(C21="","",'Job Sheet'!C21)</f>
        <v/>
      </c>
      <c r="C21" s="145" t="str">
        <f t="array" ref="C21">IF(bpLOOKUP(Data!$AV21,"ELECTRICIAN",CustOrdOpt,6,FALSE)="Yes","Yes","")</f>
        <v/>
      </c>
      <c r="D21" s="145" t="str">
        <f>IF(C21="","",Data!AX21)</f>
        <v/>
      </c>
      <c r="E21" s="146" t="str">
        <f>IF(C21="","",'Job Sheet'!I21)</f>
        <v/>
      </c>
      <c r="F21" s="146" t="str">
        <f>IF(C21="","",'Job Sheet'!AW21)</f>
        <v/>
      </c>
      <c r="G21" s="146" t="str">
        <f>IF(C21="","",'Job Sheet'!B21)</f>
        <v/>
      </c>
      <c r="H21" s="146"/>
      <c r="I21" s="146" t="str">
        <f t="array" ref="I21">bpLOOKUP(Data!$AV21,"HOUSECONSTRUCTION",CustOrdOpt,6,FALSE)</f>
        <v/>
      </c>
      <c r="J21" s="146" t="str">
        <f t="array" ref="J21">bpLOOKUP(Data!$AV21,"ROOF",CustOrdOpt,6,FALSE)</f>
        <v/>
      </c>
      <c r="K21" s="146" t="str">
        <f t="array" ref="K21">bpLOOKUP(Data!$AV21,"SWITCHBOARD",CustOrdOpt,6,FALSE)</f>
        <v/>
      </c>
      <c r="L21" s="146" t="str">
        <f t="array" ref="L21">bpLOOKUP(Data!$AV21,"STOREYS",CustOrdOpt,6,FALSE)</f>
        <v/>
      </c>
      <c r="M21" s="147" t="str">
        <f>IF(C21="","",'Job Sheet'!BR21)</f>
        <v/>
      </c>
    </row>
    <row r="22" spans="1:13" ht="60" customHeight="1">
      <c r="A22" s="144">
        <f>IF(Data!AX22="","",'Job Sheet'!A22)</f>
        <v>39</v>
      </c>
      <c r="B22" s="145" t="str">
        <f>IF(C22="","",'Job Sheet'!C22)</f>
        <v/>
      </c>
      <c r="C22" s="145" t="str">
        <f t="array" ref="C22">IF(bpLOOKUP(Data!$AV22,"ELECTRICIAN",CustOrdOpt,6,FALSE)="Yes","Yes","")</f>
        <v/>
      </c>
      <c r="D22" s="145" t="str">
        <f>IF(C22="","",Data!AX22)</f>
        <v/>
      </c>
      <c r="E22" s="146" t="str">
        <f>IF(C22="","",'Job Sheet'!I22)</f>
        <v/>
      </c>
      <c r="F22" s="146" t="str">
        <f>IF(C22="","",'Job Sheet'!AW22)</f>
        <v/>
      </c>
      <c r="G22" s="146" t="str">
        <f>IF(C22="","",'Job Sheet'!B22)</f>
        <v/>
      </c>
      <c r="H22" s="146"/>
      <c r="I22" s="146" t="str">
        <f t="array" ref="I22">bpLOOKUP(Data!$AV22,"HOUSECONSTRUCTION",CustOrdOpt,6,FALSE)</f>
        <v/>
      </c>
      <c r="J22" s="146" t="str">
        <f t="array" ref="J22">bpLOOKUP(Data!$AV22,"ROOF",CustOrdOpt,6,FALSE)</f>
        <v/>
      </c>
      <c r="K22" s="146" t="str">
        <f t="array" ref="K22">bpLOOKUP(Data!$AV22,"SWITCHBOARD",CustOrdOpt,6,FALSE)</f>
        <v/>
      </c>
      <c r="L22" s="146" t="str">
        <f t="array" ref="L22">bpLOOKUP(Data!$AV22,"STOREYS",CustOrdOpt,6,FALSE)</f>
        <v/>
      </c>
      <c r="M22" s="147" t="str">
        <f>IF(C22="","",'Job Sheet'!BR22)</f>
        <v/>
      </c>
    </row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60" customHeight="1"/>
    <row r="139" ht="60" customHeight="1"/>
    <row r="140" ht="60" customHeight="1"/>
    <row r="141" ht="60" customHeight="1"/>
    <row r="142" ht="60" customHeight="1"/>
    <row r="143" ht="60" customHeight="1"/>
    <row r="144" ht="60" customHeight="1"/>
    <row r="145" ht="60" customHeight="1"/>
    <row r="146" ht="60" customHeight="1"/>
    <row r="147" ht="60" customHeight="1"/>
    <row r="148" ht="60" customHeight="1"/>
    <row r="149" ht="60" customHeight="1"/>
    <row r="150" ht="60" customHeight="1"/>
    <row r="151" ht="60" customHeight="1"/>
    <row r="152" ht="60" customHeight="1"/>
    <row r="153" ht="60" customHeight="1"/>
    <row r="154" ht="60" customHeight="1"/>
    <row r="155" ht="60" customHeight="1"/>
    <row r="156" ht="60" customHeight="1"/>
    <row r="157" ht="60" customHeight="1"/>
    <row r="158" ht="60" customHeight="1"/>
    <row r="159" ht="60" customHeight="1"/>
    <row r="160" ht="60" customHeight="1"/>
    <row r="161" ht="60" customHeight="1"/>
    <row r="162" ht="60" customHeight="1"/>
    <row r="163" ht="60" customHeight="1"/>
    <row r="164" ht="60" customHeight="1"/>
    <row r="165" ht="60" customHeight="1"/>
    <row r="166" ht="60" customHeight="1"/>
    <row r="167" ht="60" customHeight="1"/>
    <row r="168" ht="60" customHeight="1"/>
    <row r="169" ht="60" customHeight="1"/>
    <row r="170" ht="60" customHeight="1"/>
    <row r="171" ht="60" customHeight="1"/>
    <row r="172" ht="60" customHeight="1"/>
    <row r="173" ht="60" customHeight="1"/>
    <row r="174" ht="60" customHeight="1"/>
    <row r="175" ht="60" customHeight="1"/>
    <row r="176" ht="60" customHeight="1"/>
    <row r="177" ht="60" customHeight="1"/>
    <row r="178" ht="60" customHeight="1"/>
    <row r="179" ht="60" customHeight="1"/>
    <row r="180" ht="60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60" customHeight="1"/>
    <row r="196" ht="60" customHeight="1"/>
    <row r="197" ht="60" customHeight="1"/>
    <row r="198" ht="60" customHeight="1"/>
    <row r="199" ht="60" customHeight="1"/>
    <row r="200" ht="60" customHeight="1"/>
    <row r="201" ht="60" customHeight="1"/>
    <row r="202" ht="60" customHeight="1"/>
    <row r="203" ht="60" customHeight="1"/>
    <row r="204" ht="60" customHeight="1"/>
    <row r="205" ht="60" customHeight="1"/>
  </sheetData>
  <mergeCells count="37">
    <mergeCell ref="A1:M1"/>
    <mergeCell ref="A2:B2"/>
    <mergeCell ref="C2:D2"/>
    <mergeCell ref="E2:F2"/>
    <mergeCell ref="G2:J2"/>
    <mergeCell ref="K2:M2"/>
    <mergeCell ref="L6:M6"/>
    <mergeCell ref="G7:J7"/>
    <mergeCell ref="K7:L7"/>
    <mergeCell ref="A3:B3"/>
    <mergeCell ref="C3:D3"/>
    <mergeCell ref="E3:F3"/>
    <mergeCell ref="G3:J3"/>
    <mergeCell ref="K3:M5"/>
    <mergeCell ref="A4:B4"/>
    <mergeCell ref="C4:D4"/>
    <mergeCell ref="E4:F4"/>
    <mergeCell ref="G4:J4"/>
    <mergeCell ref="A5:B5"/>
    <mergeCell ref="F8:F10"/>
    <mergeCell ref="C5:D5"/>
    <mergeCell ref="E5:F7"/>
    <mergeCell ref="G5:J5"/>
    <mergeCell ref="A6:D7"/>
    <mergeCell ref="G6:J6"/>
    <mergeCell ref="A8:A10"/>
    <mergeCell ref="B8:B10"/>
    <mergeCell ref="C8:C10"/>
    <mergeCell ref="D8:D10"/>
    <mergeCell ref="E8:E10"/>
    <mergeCell ref="M8:M10"/>
    <mergeCell ref="G8:G10"/>
    <mergeCell ref="H8:H10"/>
    <mergeCell ref="I8:I10"/>
    <mergeCell ref="J8:J10"/>
    <mergeCell ref="K8:K10"/>
    <mergeCell ref="L8:L10"/>
  </mergeCells>
  <pageMargins left="1.06614173228355" right="1.06614173228355" top="0.75" bottom="0.75" header="0.3" footer="0.3"/>
  <pageSetup fitToHeight="0" horizontalDpi="300" verticalDpi="300" orientation="landscape" scale="1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D482E-29F8-4A0A-8A50-CE98B951E606}">
  <sheetPr codeName="Sheet10"/>
  <dimension ref="A2:EM14"/>
  <sheetViews>
    <sheetView zoomScale="110" zoomScaleNormal="110" workbookViewId="0" topLeftCell="DC1">
      <selection pane="topLeft" activeCell="EA12" sqref="EA12:EM12"/>
    </sheetView>
  </sheetViews>
  <sheetFormatPr defaultColWidth="9.44140625" defaultRowHeight="10.5"/>
  <cols>
    <col min="1" max="3" width="9.42857142857143" style="8"/>
    <col min="4" max="4" width="7.57142857142857" style="8" customWidth="1"/>
    <col min="5" max="5" width="5.42857142857143" style="8" customWidth="1"/>
    <col min="6" max="6" width="7.57142857142857" style="8" customWidth="1"/>
    <col min="7" max="7" width="21" style="8" customWidth="1"/>
    <col min="8" max="8" width="28.4285714285714" style="8" bestFit="1" customWidth="1"/>
    <col min="9" max="9" width="14.7142857142857" style="8" customWidth="1"/>
    <col min="10" max="10" width="4.42857142857143" style="8" customWidth="1"/>
    <col min="11" max="11" width="4.42857142857143" style="125" customWidth="1"/>
    <col min="12" max="12" width="4.42857142857143" style="8" customWidth="1"/>
    <col min="13" max="13" width="4.42857142857143" style="126" customWidth="1"/>
    <col min="14" max="15" width="4.42857142857143" style="8" customWidth="1"/>
    <col min="16" max="18" width="4.42857142857143" style="125" customWidth="1"/>
    <col min="19" max="200" width="4.42857142857143" style="8" customWidth="1"/>
    <col min="201" max="274" width="5.42857142857143" style="8" customWidth="1"/>
    <col min="275" max="16384" width="9.42857142857143" style="8"/>
  </cols>
  <sheetData>
    <row r="2" spans="1:143" s="122" customFormat="1" ht="134.7" customHeight="1">
      <c r="A2" s="122" t="s">
        <v>11763</v>
      </c>
      <c r="B2" s="122" t="s">
        <v>11764</v>
      </c>
      <c r="C2" s="122" t="s">
        <v>11765</v>
      </c>
      <c r="D2" s="122" t="s">
        <v>5688</v>
      </c>
      <c r="E2" s="122" t="s">
        <v>5777</v>
      </c>
      <c r="F2" s="122" t="s">
        <v>5776</v>
      </c>
      <c r="G2" s="123" t="s">
        <v>5689</v>
      </c>
      <c r="H2" s="123" t="s">
        <v>5690</v>
      </c>
      <c r="I2" s="123" t="s">
        <v>12066</v>
      </c>
      <c r="J2" s="122" t="s">
        <v>5739</v>
      </c>
      <c r="K2" s="124" t="s">
        <v>5691</v>
      </c>
      <c r="L2" s="122" t="s">
        <v>5692</v>
      </c>
      <c r="M2" s="148" t="s">
        <v>5699</v>
      </c>
      <c r="N2" s="122" t="s">
        <v>5700</v>
      </c>
      <c r="O2" s="122" t="s">
        <v>7210</v>
      </c>
      <c r="P2" s="124" t="s">
        <v>5781</v>
      </c>
      <c r="Q2" s="124" t="s">
        <v>5780</v>
      </c>
      <c r="R2" s="124" t="s">
        <v>5698</v>
      </c>
      <c r="S2" s="122" t="s">
        <v>5701</v>
      </c>
      <c r="T2" s="122" t="s">
        <v>5702</v>
      </c>
      <c r="U2" s="122" t="s">
        <v>5703</v>
      </c>
      <c r="V2" s="122" t="s">
        <v>11650</v>
      </c>
      <c r="W2" s="122" t="s">
        <v>5704</v>
      </c>
      <c r="X2" s="122" t="s">
        <v>5686</v>
      </c>
      <c r="Y2" s="122" t="s">
        <v>5687</v>
      </c>
      <c r="Z2" s="122" t="s">
        <v>5705</v>
      </c>
      <c r="AA2" s="122" t="s">
        <v>5706</v>
      </c>
      <c r="AB2" s="122" t="s">
        <v>5707</v>
      </c>
      <c r="AC2" s="122" t="s">
        <v>5708</v>
      </c>
      <c r="AD2" s="122" t="s">
        <v>5709</v>
      </c>
      <c r="AE2" s="122" t="s">
        <v>5710</v>
      </c>
      <c r="AF2" s="122" t="s">
        <v>5712</v>
      </c>
      <c r="AG2" s="122" t="s">
        <v>5711</v>
      </c>
      <c r="AH2" s="122" t="s">
        <v>5713</v>
      </c>
      <c r="AI2" s="122" t="s">
        <v>5714</v>
      </c>
      <c r="AJ2" s="122" t="s">
        <v>5715</v>
      </c>
      <c r="AK2" s="122" t="s">
        <v>8873</v>
      </c>
      <c r="AL2" s="122" t="s">
        <v>5719</v>
      </c>
      <c r="AM2" s="122" t="s">
        <v>5720</v>
      </c>
      <c r="AN2" s="122" t="s">
        <v>5721</v>
      </c>
      <c r="AO2" s="122" t="s">
        <v>5722</v>
      </c>
      <c r="AP2" s="122" t="s">
        <v>5723</v>
      </c>
      <c r="AQ2" s="122" t="s">
        <v>5724</v>
      </c>
      <c r="AR2" s="122" t="s">
        <v>5725</v>
      </c>
      <c r="AS2" s="122" t="s">
        <v>5726</v>
      </c>
      <c r="AT2" s="122" t="s">
        <v>7212</v>
      </c>
      <c r="AU2" s="122" t="s">
        <v>7213</v>
      </c>
      <c r="AV2" s="122" t="s">
        <v>7214</v>
      </c>
      <c r="AW2" s="122" t="s">
        <v>7215</v>
      </c>
      <c r="AX2" s="122" t="s">
        <v>5864</v>
      </c>
      <c r="AY2" s="122" t="s">
        <v>5867</v>
      </c>
      <c r="AZ2" s="122" t="s">
        <v>5716</v>
      </c>
      <c r="BA2" s="122" t="s">
        <v>5717</v>
      </c>
      <c r="BB2" s="122" t="s">
        <v>5718</v>
      </c>
      <c r="BC2" s="122" t="s">
        <v>7207</v>
      </c>
      <c r="BD2" s="122" t="s">
        <v>5865</v>
      </c>
      <c r="BE2" s="122" t="s">
        <v>5868</v>
      </c>
      <c r="BF2" s="122" t="s">
        <v>5732</v>
      </c>
      <c r="BG2" s="122" t="s">
        <v>5733</v>
      </c>
      <c r="BH2" s="122" t="s">
        <v>5734</v>
      </c>
      <c r="BI2" s="122" t="s">
        <v>7208</v>
      </c>
      <c r="BJ2" s="122" t="s">
        <v>5866</v>
      </c>
      <c r="BK2" s="122" t="s">
        <v>5869</v>
      </c>
      <c r="BL2" s="122" t="s">
        <v>5727</v>
      </c>
      <c r="BM2" s="122" t="s">
        <v>5728</v>
      </c>
      <c r="BN2" s="122" t="s">
        <v>5729</v>
      </c>
      <c r="BO2" s="122" t="s">
        <v>7209</v>
      </c>
      <c r="BP2" s="122" t="s">
        <v>11651</v>
      </c>
      <c r="BQ2" s="122" t="s">
        <v>11652</v>
      </c>
      <c r="BR2" s="122" t="s">
        <v>11653</v>
      </c>
      <c r="BS2" s="122" t="s">
        <v>11654</v>
      </c>
      <c r="BT2" s="122" t="s">
        <v>11655</v>
      </c>
      <c r="BU2" s="122" t="s">
        <v>11656</v>
      </c>
      <c r="BV2" s="122" t="s">
        <v>5870</v>
      </c>
      <c r="BW2" s="122" t="s">
        <v>5871</v>
      </c>
      <c r="BX2" s="122" t="s">
        <v>5872</v>
      </c>
      <c r="BY2" s="122" t="s">
        <v>5873</v>
      </c>
      <c r="BZ2" s="122" t="s">
        <v>5874</v>
      </c>
      <c r="CA2" s="122" t="s">
        <v>5875</v>
      </c>
      <c r="CB2" s="122" t="s">
        <v>5876</v>
      </c>
      <c r="CC2" s="122" t="s">
        <v>5877</v>
      </c>
      <c r="CD2" s="122" t="s">
        <v>7216</v>
      </c>
      <c r="CE2" s="122" t="s">
        <v>7217</v>
      </c>
      <c r="CF2" s="122" t="s">
        <v>7218</v>
      </c>
      <c r="CG2" s="122" t="s">
        <v>7219</v>
      </c>
      <c r="CH2" s="122" t="s">
        <v>5749</v>
      </c>
      <c r="CI2" s="122" t="s">
        <v>5751</v>
      </c>
      <c r="CJ2" s="122" t="s">
        <v>7220</v>
      </c>
      <c r="CK2" s="122" t="s">
        <v>5750</v>
      </c>
      <c r="CL2" s="122" t="s">
        <v>5752</v>
      </c>
      <c r="CM2" s="122" t="s">
        <v>7221</v>
      </c>
      <c r="CN2" s="122" t="s">
        <v>5753</v>
      </c>
      <c r="CO2" s="122" t="s">
        <v>5754</v>
      </c>
      <c r="CP2" s="122" t="s">
        <v>7222</v>
      </c>
      <c r="CQ2" s="122" t="s">
        <v>5755</v>
      </c>
      <c r="CR2" s="122" t="s">
        <v>5756</v>
      </c>
      <c r="CS2" s="122" t="s">
        <v>7223</v>
      </c>
      <c r="CT2" s="122" t="s">
        <v>5730</v>
      </c>
      <c r="CU2" s="122" t="s">
        <v>5735</v>
      </c>
      <c r="CV2" s="122" t="s">
        <v>5737</v>
      </c>
      <c r="CW2" s="122" t="s">
        <v>11657</v>
      </c>
      <c r="CX2" s="122" t="s">
        <v>5731</v>
      </c>
      <c r="CY2" s="122" t="s">
        <v>5736</v>
      </c>
      <c r="CZ2" s="122" t="s">
        <v>5738</v>
      </c>
      <c r="DA2" s="122" t="s">
        <v>11658</v>
      </c>
      <c r="DB2" s="122" t="s">
        <v>5740</v>
      </c>
      <c r="DC2" s="122" t="s">
        <v>5741</v>
      </c>
      <c r="DD2" s="122" t="s">
        <v>7224</v>
      </c>
      <c r="DE2" s="122" t="s">
        <v>5743</v>
      </c>
      <c r="DF2" s="122" t="s">
        <v>5742</v>
      </c>
      <c r="DG2" s="122" t="s">
        <v>7225</v>
      </c>
      <c r="DH2" s="122" t="s">
        <v>5744</v>
      </c>
      <c r="DI2" s="122" t="s">
        <v>5745</v>
      </c>
      <c r="DJ2" s="122" t="s">
        <v>5746</v>
      </c>
      <c r="DK2" s="122" t="s">
        <v>11659</v>
      </c>
      <c r="DL2" s="122" t="s">
        <v>5747</v>
      </c>
      <c r="DM2" s="122" t="s">
        <v>5748</v>
      </c>
      <c r="DN2" s="122" t="s">
        <v>5758</v>
      </c>
      <c r="DO2" s="122" t="s">
        <v>5759</v>
      </c>
      <c r="DP2" s="122" t="s">
        <v>5760</v>
      </c>
      <c r="DQ2" s="122" t="s">
        <v>5761</v>
      </c>
      <c r="DR2" s="122" t="s">
        <v>7226</v>
      </c>
      <c r="DS2" s="122" t="s">
        <v>5763</v>
      </c>
      <c r="DT2" s="122" t="s">
        <v>5762</v>
      </c>
      <c r="DU2" s="122" t="s">
        <v>5764</v>
      </c>
      <c r="DV2" s="122" t="s">
        <v>11660</v>
      </c>
      <c r="DW2" s="122" t="s">
        <v>5765</v>
      </c>
      <c r="DX2" s="122" t="s">
        <v>5766</v>
      </c>
      <c r="DY2" s="122" t="s">
        <v>5768</v>
      </c>
      <c r="DZ2" s="122" t="s">
        <v>5767</v>
      </c>
      <c r="EA2" s="122" t="s">
        <v>5769</v>
      </c>
      <c r="EB2" s="122" t="s">
        <v>5778</v>
      </c>
      <c r="EC2" s="122" t="s">
        <v>6595</v>
      </c>
      <c r="ED2" s="122" t="s">
        <v>6596</v>
      </c>
      <c r="EE2" s="122" t="s">
        <v>6593</v>
      </c>
      <c r="EF2" s="122" t="s">
        <v>6594</v>
      </c>
      <c r="EG2" s="122" t="s">
        <v>6597</v>
      </c>
      <c r="EH2" s="122" t="s">
        <v>145</v>
      </c>
      <c r="EI2" s="122" t="s">
        <v>163</v>
      </c>
      <c r="EJ2" s="122" t="s">
        <v>9769</v>
      </c>
      <c r="EK2" s="122" t="s">
        <v>9770</v>
      </c>
      <c r="EL2" s="122" t="s">
        <v>9771</v>
      </c>
      <c r="EM2" s="122" t="s">
        <v>12068</v>
      </c>
    </row>
    <row r="3" spans="4:143" ht="12" customHeight="1">
      <c r="D3" s="8" t="str">
        <f>IF(Data!AW11="","",CONCATENATE(Data!BC$5,".",Data!BD$5))</f>
        <v>39776.F</v>
      </c>
      <c r="E3" s="8">
        <f>IF(D3="","",Data!AW11)</f>
        <v>28</v>
      </c>
      <c r="F3" s="8" t="str">
        <f>IF(D3="","",Data!AV11)</f>
        <v>f2071652-5067-4b28-90d9-29574d319fef</v>
      </c>
      <c r="G3" s="8" t="str">
        <f>IF(D3="","",Data!BF$5)</f>
        <v>Hare, Kaitlin</v>
      </c>
      <c r="H3" s="8" t="str">
        <f>IF(D3="","",Data!AX$5)</f>
        <v>Whole House</v>
      </c>
      <c r="I3" s="8" t="str">
        <f>IF(D3="","",'Job Sheet'!BH11)</f>
        <v>Track from TBS</v>
      </c>
      <c r="J3" s="8" t="str">
        <f>IF(D3="","",IF(OR(VLOOKUP(CONCATENATE('Tube Cutting'!E11,'Tube Cutting'!D11),TrackManufacturing,2,FALSE)="Wavefold White",VLOOKUP(CONCATENATE('Tube Cutting'!E11,'Tube Cutting'!D11),TrackManufacturing,2,FALSE)="Wavefold Black",VLOOKUP(CONCATENATE('Tube Cutting'!E11,'Tube Cutting'!D11),TrackManufacturing,2,FALSE)="Wavefold Matt Satin"),('Job Sheet'!BP11*2)/1000,""))</f>
        <v/>
      </c>
      <c r="K3" s="125" t="str">
        <f>IF(D3="","",IF(OR(VLOOKUP(CONCATENATE('Tube Cutting'!E11,'Tube Cutting'!D11),TrackManufacturing,2,FALSE)="Wavefold White",VLOOKUP(CONCATENATE('Tube Cutting'!E11,'Tube Cutting'!D11),TrackManufacturing,2,FALSE)="Wavefold Matt Satin"),J3*10,""))</f>
        <v/>
      </c>
      <c r="L3" s="125" t="str">
        <f>IF(D3="","",IF(VLOOKUP(CONCATENATE('Tube Cutting'!E11,'Tube Cutting'!D11),TrackManufacturing,2,FALSE)="Wavefold Black",J3*10,""))</f>
        <v/>
      </c>
      <c r="M3" s="126" t="str">
        <f>IF(D3="","",IF(OR(VLOOKUP(CONCATENATE('Tube Cutting'!E11,'Tube Cutting'!D11),TrackManufacturing,2,FALSE)="Wavefold White",VLOOKUP(CONCATENATE('Tube Cutting'!E11,'Tube Cutting'!D11),TrackManufacturing,2,FALSE)="System 20 White"),'Tube Cutting'!C11/1000,""))</f>
        <v/>
      </c>
      <c r="N3" s="126" t="str">
        <f>IF(D3="","",IF(OR(VLOOKUP(CONCATENATE('Tube Cutting'!E11,'Tube Cutting'!D11),TrackManufacturing,2,FALSE)="Wavefold Black",VLOOKUP(CONCATENATE('Tube Cutting'!E11,'Tube Cutting'!D11),TrackManufacturing,2,FALSE)="System 20 Black"),'Tube Cutting'!C11/1000,""))</f>
        <v/>
      </c>
      <c r="O3" s="126" t="str">
        <f>IF(D3="","",IF(OR(VLOOKUP(CONCATENATE('Tube Cutting'!E11,'Tube Cutting'!D11),TrackManufacturing,2,FALSE)="Wavefold Matt Satin",VLOOKUP(CONCATENATE('Tube Cutting'!E11,'Tube Cutting'!D11),TrackManufacturing,2,FALSE)="System 20 Matt Satin"),'Tube Cutting'!C11/1000,""))</f>
        <v/>
      </c>
      <c r="P3" s="125" t="str">
        <f>IF(D3="","",IF(AND((OR('Tube Cutting'!D11="White",'Tube Cutting'!D11="Matt Satin")),(OR('Tube Cutting'!E11="Wavefold Hand Operation",'Tube Cutting'!E11="Wavefold Cord Operation"))),IF(M3="",O3*20,M3*20),""))</f>
        <v/>
      </c>
      <c r="Q3" s="125" t="str">
        <f>IF(D3="","",IF(AND('Tube Cutting'!D11="Black",(OR('Tube Cutting'!E11="Wavefold Hand Operation",'Tube Cutting'!E11="Wavefold Cord Operation"))),N3*20,""))</f>
        <v/>
      </c>
      <c r="R3" s="125" t="str">
        <f>IF(D3="","",IF(OR('Tube Cutting'!E11="Streamline Hand Operation",'Tube Cutting'!E11="Streamline Cord Operation"),Assembly!G11,""))</f>
        <v/>
      </c>
      <c r="S3" s="8" t="str">
        <f>IF(D3="","",IF(VLOOKUP(CONCATENATE('Tube Cutting'!E11,'Tube Cutting'!D11),TrackManufacturing,2,FALSE)="Streamline White",'Tube Cutting'!C11/1000,""))</f>
        <v/>
      </c>
      <c r="T3" s="8" t="str">
        <f>IF(D3="","",IF(VLOOKUP(CONCATENATE('Tube Cutting'!E11,'Tube Cutting'!D11),TrackManufacturing,2,FALSE)="Streamline Matt Black Ink",'Tube Cutting'!C11/1000,""))</f>
        <v/>
      </c>
      <c r="U3" s="8" t="str">
        <f>IF(D3="","",IF(VLOOKUP(CONCATENATE('Tube Cutting'!E11,'Tube Cutting'!D11),TrackManufacturing,2,FALSE)="Streamline Birch White",'Tube Cutting'!C11/1000,""))</f>
        <v/>
      </c>
      <c r="V3" s="8" t="str">
        <f>IF(D3="","",IF(VLOOKUP(CONCATENATE('Tube Cutting'!E11,'Tube Cutting'!D11),TrackManufacturing,2,FALSE)="Streamline Matt Satin",'Tube Cutting'!C11/1000,""))</f>
        <v/>
      </c>
      <c r="W3" s="8" t="str">
        <f>IF(Bagging!H11="White Aluminium Flick Sticks 100cm",Bagging!I11,"")</f>
        <v/>
      </c>
      <c r="X3" s="8" t="str">
        <f>IF(Bagging!H11="White Aluminium Flick Sticks 125cm",Bagging!I11,"")</f>
        <v/>
      </c>
      <c r="Y3" s="8" t="str">
        <f>IF(Bagging!H11="White Aluminium Flick Sticks 150cm",Bagging!I11,"")</f>
        <v/>
      </c>
      <c r="Z3" s="8" t="str">
        <f>IF(Bagging!H11="Black Aluminium Flick Sticks 100cm",Bagging!I11,"")</f>
        <v/>
      </c>
      <c r="AA3" s="8" t="str">
        <f>IF(Bagging!H11="Black Aluminium Flick Sticks 125cm",Bagging!I11,"")</f>
        <v/>
      </c>
      <c r="AB3" s="8" t="str">
        <f>IF(Bagging!H11="Black Aluminium Flick Sticks 150cm",Bagging!I11,"")</f>
        <v/>
      </c>
      <c r="AC3" s="8" t="str">
        <f>IF(Bagging!H11="Matt Satin Aluminium Flick Sticks 100cm",Bagging!I11,"")</f>
        <v/>
      </c>
      <c r="AD3" s="8" t="str">
        <f>IF(Bagging!H11="Black Aluminium Flick Sticks 125cm",Bagging!I11,"")</f>
        <v/>
      </c>
      <c r="AE3" s="8" t="str">
        <f>IF(Bagging!H11="Black Aluminium Flick Sticks 150cm",Bagging!I11,"")</f>
        <v/>
      </c>
      <c r="AF3" s="8" t="str">
        <f>IF(Bagging!H11="Standard Clear 75cm",Bagging!I11,"")</f>
        <v/>
      </c>
      <c r="AG3" s="8" t="str">
        <f>IF(Bagging!H11="Standard Clear 100cm",Bagging!I11,"")</f>
        <v/>
      </c>
      <c r="AH3" s="8" t="str">
        <f>IF(Bagging!H11="Standard Clear 125cm",Bagging!I11,"")</f>
        <v/>
      </c>
      <c r="AI3" s="8" t="str">
        <f>IF(Bagging!H11="Standard Clear 150cm",Bagging!I11,"")</f>
        <v/>
      </c>
      <c r="AJ3" s="8" t="str">
        <f>IF(Bagging!H11="White Fibreglass 200cm",Bagging!I11,"")</f>
        <v/>
      </c>
      <c r="AK3" s="8" t="str">
        <f>IF(Bagging!H11="White Fibreglass 250cm",Bagging!I11,"")</f>
        <v/>
      </c>
      <c r="AL3" s="8" t="str">
        <f>IF(D3="","",IF(AND(OR(VLOOKUP(CONCATENATE('Tube Cutting'!E11,'Tube Cutting'!D11),TrackManufacturing,2,FALSE)="Wavefold White",VLOOKUP(CONCATENATE('Tube Cutting'!E11,'Tube Cutting'!D11),TrackManufacturing,2,FALSE)="System 20 White"),(Bagging!D11="Top Fix Brackets")),Bagging!F11,""))</f>
        <v/>
      </c>
      <c r="AM3" s="8" t="str">
        <f>IF(D3="","",IF(AND(OR(VLOOKUP(CONCATENATE('Tube Cutting'!E11,'Tube Cutting'!D11),TrackManufacturing,2,FALSE)="Wavefold White",VLOOKUP(CONCATENATE('Tube Cutting'!E11,'Tube Cutting'!D11),TrackManufacturing,2,FALSE)="System 20 White"),(Bagging!D11="Single Face Fix Brackets")),Bagging!F11,""))</f>
        <v/>
      </c>
      <c r="AN3" s="8" t="str">
        <f>IF(D3="","",IF(AND(OR(VLOOKUP(CONCATENATE('Tube Cutting'!E11,'Tube Cutting'!D11),TrackManufacturing,2,FALSE)="Wavefold White",VLOOKUP(CONCATENATE('Tube Cutting'!E11,'Tube Cutting'!D11),TrackManufacturing,2,FALSE)="System 20 White"),(Bagging!D11="Double Face Fix Brackets")),Bagging!F11,""))</f>
        <v/>
      </c>
      <c r="AO3" s="8" t="str">
        <f>IF(D3="","",IF(AND(OR(VLOOKUP(CONCATENATE('Tube Cutting'!E11,'Tube Cutting'!D11),TrackManufacturing,2,FALSE)="Wavefold White",VLOOKUP(CONCATENATE('Tube Cutting'!E11,'Tube Cutting'!D11),TrackManufacturing,2,FALSE)="System 20 White"),(Bagging!D11="Triple Face Fix Brackets")),Bagging!F11,""))</f>
        <v/>
      </c>
      <c r="AP3" s="8" t="str">
        <f>IF(D3="","",IF(AND(OR(VLOOKUP(CONCATENATE('Tube Cutting'!E11,'Tube Cutting'!D11),TrackManufacturing,2,FALSE)="Wavefold Black",VLOOKUP(CONCATENATE('Tube Cutting'!E11,'Tube Cutting'!D11),TrackManufacturing,2,FALSE)="System 20 Black"),(Bagging!D11="Top Fix Brackets")),Bagging!F11,""))</f>
        <v/>
      </c>
      <c r="AQ3" s="8" t="str">
        <f>IF(D3="","",IF(AND(OR(VLOOKUP(CONCATENATE('Tube Cutting'!E11,'Tube Cutting'!D11),TrackManufacturing,2,FALSE)="Wavefold Black",VLOOKUP(CONCATENATE('Tube Cutting'!E11,'Tube Cutting'!D11),TrackManufacturing,2,FALSE)="System 20 Black"),(Bagging!D11="Single Face Fix Brackets")),Bagging!F11,""))</f>
        <v/>
      </c>
      <c r="AR3" s="8" t="str">
        <f>IF(D3="","",IF(AND(OR(VLOOKUP(CONCATENATE('Tube Cutting'!E11,'Tube Cutting'!D11),TrackManufacturing,2,FALSE)="Wavefold Black",VLOOKUP(CONCATENATE('Tube Cutting'!E11,'Tube Cutting'!D11),TrackManufacturing,2,FALSE)="System 20 Black"),(Bagging!D11="Double Face Fix Brackets")),Bagging!F11,""))</f>
        <v/>
      </c>
      <c r="AS3" s="8" t="str">
        <f>IF(D3="","",IF(AND(OR(VLOOKUP(CONCATENATE('Tube Cutting'!E11,'Tube Cutting'!D11),TrackManufacturing,2,FALSE)="Wavefold Black",VLOOKUP(CONCATENATE('Tube Cutting'!E11,'Tube Cutting'!D11),TrackManufacturing,2,FALSE)="System 20 Black"),(Bagging!D11="Triple Face Fix Brackets")),Bagging!F11,""))</f>
        <v/>
      </c>
      <c r="AT3" s="8" t="str">
        <f>IF(D3="","",IF(AND(OR(VLOOKUP(CONCATENATE('Tube Cutting'!E11,'Tube Cutting'!D11),TrackManufacturing,2,FALSE)="Wavefold Matt Satin",VLOOKUP(CONCATENATE('Tube Cutting'!E11,'Tube Cutting'!D11),TrackManufacturing,2,FALSE)="System 20 Matt Satin"),(Bagging!D11="Top Fix Brackets")),Bagging!F11,""))</f>
        <v/>
      </c>
      <c r="AU3" s="8" t="str">
        <f>IF(D3="","",IF(AND(OR(VLOOKUP(CONCATENATE('Tube Cutting'!E11,'Tube Cutting'!D11),TrackManufacturing,2,FALSE)="Wavefold Matt Satin",VLOOKUP(CONCATENATE('Tube Cutting'!E11,'Tube Cutting'!D11),TrackManufacturing,2,FALSE)="System 20 Matt Satin"),(Bagging!D11="Single Face Fix Brackets")),Bagging!F11,""))</f>
        <v/>
      </c>
      <c r="AV3" s="8" t="str">
        <f>IF(D3="","",IF(AND(OR(VLOOKUP(CONCATENATE('Tube Cutting'!E11,'Tube Cutting'!D11),TrackManufacturing,2,FALSE)="Wavefold Matt Satin",VLOOKUP(CONCATENATE('Tube Cutting'!E11,'Tube Cutting'!D11),TrackManufacturing,2,FALSE)="System 20 Matt Satin"),(Bagging!D11="Double Face Fix Brackets")),Bagging!F11,""))</f>
        <v/>
      </c>
      <c r="AW3" s="8" t="str">
        <f>IF(D3="","",IF(AND(OR(VLOOKUP(CONCATENATE('Tube Cutting'!E11,'Tube Cutting'!D11),TrackManufacturing,2,FALSE)="Wavefold Matt Satin",VLOOKUP(CONCATENATE('Tube Cutting'!E11,'Tube Cutting'!D11),TrackManufacturing,2,FALSE)="System 20 Matt Satin"),(Bagging!D11="Triple Face Fix Brackets")),Bagging!F11,""))</f>
        <v/>
      </c>
      <c r="AX3" s="8" t="str">
        <f>IF(D3="","",IF(AND(VLOOKUP(CONCATENATE('Tube Cutting'!E11,'Tube Cutting'!D11),TrackManufacturing,2,FALSE)="Streamline White",(Bagging!D11="Nylon Top Fix Brackets")),VLOOKUP('Job Sheet'!BP11,Brackets,2,TRUE),""))</f>
        <v/>
      </c>
      <c r="AY3" s="8" t="str">
        <f>IF(D3="","",IF(AND(VLOOKUP(CONCATENATE('Tube Cutting'!E11,'Tube Cutting'!D11),TrackManufacturing,2,FALSE)="Streamline White",(Bagging!D11="Metal Fix Brackets")),VLOOKUP('Job Sheet'!BP11,Brackets,2,TRUE),""))</f>
        <v/>
      </c>
      <c r="AZ3" s="8" t="str">
        <f>IF(D3="","",IF(AND(VLOOKUP(CONCATENATE('Tube Cutting'!E11,'Tube Cutting'!D11),TrackManufacturing,2,FALSE)="Streamline White",(Bagging!D11="Single Face Fix Brackets")),Bagging!F11,""))</f>
        <v/>
      </c>
      <c r="BA3" s="8" t="str">
        <f>IF(D3="","",IF(AND(VLOOKUP(CONCATENATE('Tube Cutting'!E11,'Tube Cutting'!D11),TrackManufacturing,2,FALSE)="Streamline White",(Bagging!D11="Double Face Fix Brackets")),Bagging!F11,""))</f>
        <v/>
      </c>
      <c r="BB3" s="8" t="str">
        <f>IF(D3="","",IF(AND(VLOOKUP(CONCATENATE('Tube Cutting'!E11,'Tube Cutting'!D11),TrackManufacturing,2,FALSE)="Streamline White",(Bagging!D11="Triple Face Fix Brackets")),Bagging!F11,""))</f>
        <v/>
      </c>
      <c r="BC3" s="8" t="str">
        <f>IF(D3="","",IF(AND(VLOOKUP(CONCATENATE('Tube Cutting'!E11,'Tube Cutting'!D11),TrackManufacturing,2,FALSE)="Streamline White",(Bagging!D11="32mm Face Fix Brackets")),Bagging!F11,""))</f>
        <v/>
      </c>
      <c r="BD3" s="8" t="str">
        <f>IF(D3="","",IF(AND(VLOOKUP(CONCATENATE('Tube Cutting'!E11,'Tube Cutting'!D11),TrackManufacturing,2,FALSE)="Streamline Matt Black Ink",(Bagging!D11="Top Fix Brackets")),VLOOKUP('Job Sheet'!BP11,Brackets,2,TRUE),""))</f>
        <v/>
      </c>
      <c r="BE3" s="8" t="str">
        <f>IF(D3="","",IF(AND(VLOOKUP(CONCATENATE('Tube Cutting'!E11,'Tube Cutting'!D11),TrackManufacturing,2,FALSE)="Streamline White",(Bagging!D11="Metal Fix Brackets")),VLOOKUP('Job Sheet'!BP11,Brackets,2,TRUE),""))</f>
        <v/>
      </c>
      <c r="BF3" s="8" t="str">
        <f>IF(D3="","",IF(AND(VLOOKUP(CONCATENATE('Tube Cutting'!E11,'Tube Cutting'!D11),TrackManufacturing,2,FALSE)="Streamline Matt Black Ink",(Bagging!D11="Single Face Fix Brackets")),Bagging!F11,""))</f>
        <v/>
      </c>
      <c r="BG3" s="8" t="str">
        <f>IF(D3="","",IF(AND(VLOOKUP(CONCATENATE('Tube Cutting'!E11,'Tube Cutting'!D11),TrackManufacturing,2,FALSE)="Streamline Matt Black Ink",(Bagging!D11="Double Face Fix Brackets")),Bagging!F11,""))</f>
        <v/>
      </c>
      <c r="BH3" s="8" t="str">
        <f>IF(D3="","",IF(AND(VLOOKUP(CONCATENATE('Tube Cutting'!E11,'Tube Cutting'!D11),TrackManufacturing,2,FALSE)="Streamline Matt Black Ink",(Bagging!D11="Triple Face Fix Brackets")),Bagging!F11,""))</f>
        <v/>
      </c>
      <c r="BI3" s="8" t="str">
        <f>IF(D3="","",IF(AND(VLOOKUP(CONCATENATE('Tube Cutting'!E11,'Tube Cutting'!D11),TrackManufacturing,2,FALSE)="Streamline Matt Black Ink",(Bagging!D11="32mm Face Fix Brackets")),Bagging!F11,""))</f>
        <v/>
      </c>
      <c r="BJ3" s="8" t="str">
        <f>IF(D3="","",IF(AND(VLOOKUP(CONCATENATE('Tube Cutting'!E11,'Tube Cutting'!D11),TrackManufacturing,2,FALSE)="Streamline Birch White",(Bagging!D11="Top Fix Brackets")),VLOOKUP('Job Sheet'!BP11,Brackets,2,TRUE),""))</f>
        <v/>
      </c>
      <c r="BK3" s="8" t="str">
        <f>IF(D3="","",IF(AND(VLOOKUP(CONCATENATE('Tube Cutting'!E11,'Tube Cutting'!D11),TrackManufacturing,2,FALSE)="Streamline White",(Bagging!D11="Metal Fix Brackets")),VLOOKUP('Job Sheet'!BP11,Brackets,2,TRUE),""))</f>
        <v/>
      </c>
      <c r="BL3" s="8" t="str">
        <f>IF(D3="","",IF(AND(VLOOKUP(CONCATENATE('Tube Cutting'!E11,'Tube Cutting'!D11),TrackManufacturing,2,FALSE)="Streamline Birch White",(Bagging!D11="Single Face Fix Brackets")),Bagging!F11,""))</f>
        <v/>
      </c>
      <c r="BM3" s="8" t="str">
        <f>IF(D3="","",IF(AND(VLOOKUP(CONCATENATE('Tube Cutting'!E11,'Tube Cutting'!D11),TrackManufacturing,2,FALSE)="Streamline Birch White",(Bagging!D11="Double Face Fix Brackets")),Bagging!F11,""))</f>
        <v/>
      </c>
      <c r="BN3" s="8" t="str">
        <f>IF(D3="","",IF(AND(VLOOKUP(CONCATENATE('Tube Cutting'!E11,'Tube Cutting'!D11),TrackManufacturing,2,FALSE)="Streamline Birch White",(Bagging!D11="Triple Face Fix Brackets")),Bagging!F11,""))</f>
        <v/>
      </c>
      <c r="BO3" s="8" t="str">
        <f>IF(D3="","",IF(AND(VLOOKUP(CONCATENATE('Tube Cutting'!E11,'Tube Cutting'!D11),TrackManufacturing,2,FALSE)="Streamline Birch White",(Bagging!D11="32mm Face Fix Brackets")),Bagging!F11,""))</f>
        <v/>
      </c>
      <c r="BP3" s="8" t="str">
        <f>IF(K3="","",IF(AND(VLOOKUP(CONCATENATE('Tube Cutting'!K11,'Tube Cutting'!J11),TrackManufacturing,2,FALSE)="Streamline Birch White",(Bagging!J11="Top Fix Brackets")),VLOOKUP('Job Sheet'!BU11,Brackets,2,TRUE),""))</f>
        <v/>
      </c>
      <c r="BQ3" s="8" t="str">
        <f>IF(K3="","",IF(AND(VLOOKUP(CONCATENATE('Tube Cutting'!K11,'Tube Cutting'!J11),TrackManufacturing,2,FALSE)="Streamline White",(Bagging!J11="Metal Fix Brackets")),VLOOKUP('Job Sheet'!BU11,Brackets,2,TRUE),""))</f>
        <v/>
      </c>
      <c r="BR3" s="8" t="str">
        <f>IF(K3="","",IF(AND(VLOOKUP(CONCATENATE('Tube Cutting'!K11,'Tube Cutting'!J11),TrackManufacturing,2,FALSE)="Streamline Birch White",(Bagging!J11="Single Face Fix Brackets")),Bagging!L11,""))</f>
        <v/>
      </c>
      <c r="BS3" s="8" t="str">
        <f>IF(K3="","",IF(AND(VLOOKUP(CONCATENATE('Tube Cutting'!K11,'Tube Cutting'!J11),TrackManufacturing,2,FALSE)="Streamline Birch White",(Bagging!J11="Double Face Fix Brackets")),Bagging!L11,""))</f>
        <v/>
      </c>
      <c r="BT3" s="8" t="str">
        <f>IF(K3="","",IF(AND(VLOOKUP(CONCATENATE('Tube Cutting'!K11,'Tube Cutting'!J11),TrackManufacturing,2,FALSE)="Streamline Birch White",(Bagging!J11="Triple Face Fix Brackets")),Bagging!L11,""))</f>
        <v/>
      </c>
      <c r="BU3" s="8" t="str">
        <f>IF(K3="","",IF(AND(VLOOKUP(CONCATENATE('Tube Cutting'!K11,'Tube Cutting'!J11),TrackManufacturing,2,FALSE)="Streamline Birch White",(Bagging!J11="32mm Face Fix Brackets")),Bagging!L11,""))</f>
        <v/>
      </c>
      <c r="BV3" s="8" t="str">
        <f>IF(AND('Tube Cutting'!D11="White",Bagging!D11="Top Fix Brackets"),Bagging!F11,"")</f>
        <v/>
      </c>
      <c r="BW3" s="8" t="str">
        <f>IF(AND('Tube Cutting'!D11="White",Bagging!D11="Single Face Fix Brackets"),Bagging!F11,"")</f>
        <v/>
      </c>
      <c r="BX3" s="8" t="str">
        <f>IF(AND('Tube Cutting'!D11="White",Bagging!D11="Double Face Fix Brackets"),Bagging!F11,"")</f>
        <v/>
      </c>
      <c r="BY3" s="8" t="str">
        <f>IF(AND('Tube Cutting'!D11="White",Bagging!D11="Triple Face Fix Brackets"),Bagging!F11,"")</f>
        <v/>
      </c>
      <c r="BZ3" s="8" t="str">
        <f>IF(AND('Tube Cutting'!D11="Black",Bagging!D11="Top Fix Brackets"),Bagging!F11,"")</f>
        <v/>
      </c>
      <c r="CA3" s="8" t="str">
        <f>IF(AND('Tube Cutting'!D11="Black",Bagging!D11="Single Face Fix Brackets"),Bagging!F11,"")</f>
        <v/>
      </c>
      <c r="CB3" s="8" t="str">
        <f>IF(AND('Tube Cutting'!D11="Black",Bagging!D11="Double Face Fix Brackets"),Bagging!F11,"")</f>
        <v/>
      </c>
      <c r="CC3" s="8" t="str">
        <f>IF(AND('Tube Cutting'!D11="Black",Bagging!D11="Triple Fix Brackets"),Bagging!F11,"")</f>
        <v/>
      </c>
      <c r="CD3" s="8" t="str">
        <f>IF(AND('Tube Cutting'!D11="Matt Satin",Bagging!D11="Top Fix Brackets"),Bagging!F11,"")</f>
        <v/>
      </c>
      <c r="CE3" s="8" t="str">
        <f>IF(AND('Tube Cutting'!D11="Matt Satin",Bagging!D11="Single Face Fix Brackets"),Bagging!F11,"")</f>
        <v/>
      </c>
      <c r="CF3" s="8" t="str">
        <f>IF(AND('Tube Cutting'!D11="Matt Satin",Bagging!D11="Double Face Fix Brackets"),Bagging!F11,"")</f>
        <v/>
      </c>
      <c r="CG3" s="8" t="str">
        <f>IF(AND('Tube Cutting'!D11="Matt Satin",Bagging!D11="Triple Fix Brackets"),Bagging!F11,"")</f>
        <v/>
      </c>
      <c r="CH3" s="8" t="str">
        <f>IF(D3="","",IF(AND('Tube Cutting'!D11="White",(OR(Bagging!J11="Single Left",Bagging!J11="Single Left &amp; Right"))),"1",""))</f>
        <v/>
      </c>
      <c r="CI3" s="8" t="str">
        <f>IF(D3="","",IF(AND('Tube Cutting'!D11="Black",(OR(Bagging!J11="Single Left",Bagging!J11="Single Left &amp; Right"))),"1",""))</f>
        <v/>
      </c>
      <c r="CJ3" s="8" t="str">
        <f>IF(D3="","",IF(AND('Tube Cutting'!D11="Matt Satin",(OR(Bagging!J11="Single Left",Bagging!J11="Single Left &amp; Right"))),"1",""))</f>
        <v/>
      </c>
      <c r="CK3" s="8" t="str">
        <f>IF(D3="","",IF(AND('Tube Cutting'!D11="White",(OR(Bagging!J11="Single Right",Bagging!J11="Single Left &amp; Right"))),"1",""))</f>
        <v/>
      </c>
      <c r="CL3" s="8" t="str">
        <f>IF(D3="","",IF(AND('Tube Cutting'!D11="Black",(OR(Bagging!J11="Single Right",Bagging!J11="Single Left &amp; Right"))),"1",""))</f>
        <v/>
      </c>
      <c r="CM3" s="8" t="str">
        <f>IF(D3="","",IF(AND('Tube Cutting'!D11="Matt Satin",(OR(Bagging!J11="Single Right",Bagging!J11="Single Left &amp; Right"))),"1",""))</f>
        <v/>
      </c>
      <c r="CN3" s="8" t="str">
        <f>IF(D3="","",IF(AND('Tube Cutting'!D11="White",(OR(Bagging!J11="Double Left",Bagging!J11="Double Left &amp; Right"))),"1",""))</f>
        <v/>
      </c>
      <c r="CO3" s="8" t="str">
        <f>IF(D3="","",IF(AND('Tube Cutting'!D11="Black",(OR(Bagging!J11="Double Left",Bagging!J11="Double Left &amp; Right"))),"1",""))</f>
        <v/>
      </c>
      <c r="CP3" s="8" t="str">
        <f>IF(D3="","",IF(AND('Tube Cutting'!D11="Matt Satin",(OR(Bagging!J11="Double Left",Bagging!J11="Double Left &amp; Right"))),"1",""))</f>
        <v/>
      </c>
      <c r="CQ3" s="8" t="str">
        <f>IF(D3="","",IF(AND('Tube Cutting'!D11="White",(OR(Bagging!J11="Double Right",Bagging!J11="Double Left &amp; Right"))),"1",""))</f>
        <v/>
      </c>
      <c r="CR3" s="8" t="str">
        <f>IF(D3="","",IF(AND('Tube Cutting'!D11="Black",(OR(Bagging!J11="Double Right",Bagging!J11="Double Left &amp; Right"))),"1",""))</f>
        <v/>
      </c>
      <c r="CS3" s="8" t="str">
        <f>IF(D3="","",IF(AND('Tube Cutting'!D11="Matt Satin",(OR(Bagging!J11="Double Right",Bagging!J11="Double Left &amp; Right"))),"1",""))</f>
        <v/>
      </c>
      <c r="CT3" s="8" t="str">
        <f>IF(D3="","",IF(VLOOKUP(CONCATENATE('Tube Cutting'!E11,'Tube Cutting'!D11),TrackManufacturing,2,FALSE)="Streamline White",1,""))</f>
        <v/>
      </c>
      <c r="CU3" s="8" t="str">
        <f>IF(D3="","",IF(VLOOKUP(CONCATENATE('Tube Cutting'!E11,'Tube Cutting'!D11),TrackManufacturing,2,FALSE)="Streamline Matt Black Ink",1,""))</f>
        <v/>
      </c>
      <c r="CV3" s="8" t="str">
        <f>IF(D3="","",IF(VLOOKUP(CONCATENATE('Tube Cutting'!E11,'Tube Cutting'!D11),TrackManufacturing,2,FALSE)="Streamline Birch White",1,""))</f>
        <v/>
      </c>
      <c r="CW3" s="8" t="str">
        <f>IF(D3="","",IF(VLOOKUP(CONCATENATE('Tube Cutting'!E11,'Tube Cutting'!D11),TrackManufacturing,2,FALSE)="Streamline Matt Satin",1,""))</f>
        <v/>
      </c>
      <c r="CX3" s="8" t="str">
        <f>IF(D3="","",IF(AND(VLOOKUP(CONCATENATE('Tube Cutting'!E11,'Tube Cutting'!D11),TrackManufacturing,2,FALSE)="Streamline White",(OR(Assembly!F11="Centre Opening",Assembly!F11="Centre Opening - Free Flowing",Assembly!F11="Centre Opening (Offset)",Assembly!F11="Centre Opening - Free Flowing (Offset)"))),1,""))</f>
        <v/>
      </c>
      <c r="CY3" s="8" t="str">
        <f>IF(D3="","",IF(AND(VLOOKUP(CONCATENATE('Tube Cutting'!E11,'Tube Cutting'!D11),TrackManufacturing,2,FALSE)="Streamline Matt Black Ink",(OR(Assembly!F11="Centre Opening",Assembly!F11="Centre Opening - Free Flowing",Assembly!F11="Centre Opening (Offset)",Assembly!F11="Centre Opening - Free Flowing (Offset)"))),1,""))</f>
        <v/>
      </c>
      <c r="CZ3" s="8" t="str">
        <f>IF(D3="","",IF(AND(VLOOKUP(CONCATENATE('Tube Cutting'!E11,'Tube Cutting'!D11),TrackManufacturing,2,FALSE)="Streamline Birch White",(OR(Assembly!F11="Centre Opening",Assembly!F11="Centre Opening - Free Flowing",Assembly!F11="Centre Opening (Offset)",Assembly!F11="Centre Opening - Free Flowing (Offset)"))),1,""))</f>
        <v/>
      </c>
      <c r="DA3" s="8" t="str">
        <f>IF(D3="","",IF(AND(VLOOKUP(CONCATENATE('Tube Cutting'!E11,'Tube Cutting'!D11),TrackManufacturing,2,FALSE)="Streamline Matt Satin",(OR(Assembly!F11="Centre Opening",Assembly!F11="Centre Opening - Free Flowing",Assembly!F11="Centre Opening (Offset)",Assembly!F11="Centre Opening - Free Flowing (Offset)"))),1,""))</f>
        <v/>
      </c>
      <c r="DB3" s="8" t="str">
        <f>IF(OR('Job Sheet'!Z11="Conduit",I3&lt;&gt;"DBS to Make"),"",IF(VLOOKUP(CONCATENATE(Assembly!C11,Assembly!F11),PulleysEndCaps,2,FALSE)="","",IF('Tube Cutting'!D11="White",VLOOKUP(CONCATENATE(Assembly!C11,Assembly!F11),PulleysEndCaps,2,FALSE),"")))</f>
        <v/>
      </c>
      <c r="DC3" s="8" t="str">
        <f>IF(OR('Job Sheet'!Z11="Conduit",I3&lt;&gt;"DBS to Make"),"",IF(VLOOKUP(CONCATENATE(Assembly!C11,Assembly!F11),PulleysEndCaps,2,FALSE)="","",IF('Tube Cutting'!D11="Black",VLOOKUP(CONCATENATE(Assembly!C11,Assembly!F11),PulleysEndCaps,2,FALSE),"")))</f>
        <v/>
      </c>
      <c r="DD3" s="8" t="str">
        <f>IF(OR('Job Sheet'!Z11="Conduit",I3&lt;&gt;"DBS to Make"),"",IF(VLOOKUP(CONCATENATE(Assembly!C11,Assembly!F11),PulleysEndCaps,2,FALSE)="","",IF('Tube Cutting'!D11="Matt Satin",VLOOKUP(CONCATENATE(Assembly!C11,Assembly!F11),PulleysEndCaps,2,FALSE),"")))</f>
        <v/>
      </c>
      <c r="DE3" s="8" t="str">
        <f>IF(OR('Job Sheet'!Z11="Conduit",I3&lt;&gt;"DBS to Make"),"",IF(VLOOKUP(CONCATENATE(Assembly!C11,Assembly!F11),PulleysEndCaps,3,FALSE)="","",IF('Tube Cutting'!D11="White",VLOOKUP(CONCATENATE(Assembly!C11,Assembly!F11),PulleysEndCaps,3,FALSE),"")))</f>
        <v/>
      </c>
      <c r="DF3" s="8" t="str">
        <f>IF(OR('Job Sheet'!Z11="Conduit",I3&lt;&gt;"DBS to Make"),"",IF(VLOOKUP(CONCATENATE(Assembly!C11,Assembly!F11),PulleysEndCaps,3,FALSE)="","",IF('Tube Cutting'!D11="Black",VLOOKUP(CONCATENATE(Assembly!C11,Assembly!F11),PulleysEndCaps,3,FALSE),"")))</f>
        <v/>
      </c>
      <c r="DG3" s="8" t="str">
        <f>IF(OR('Job Sheet'!Z11="Conduit",I3&lt;&gt;"DBS to Make"),"",IF(VLOOKUP(CONCATENATE(Assembly!C11,Assembly!F11),PulleysEndCaps,3,FALSE)="","",IF('Tube Cutting'!D11="Matt Satin",VLOOKUP(CONCATENATE(Assembly!C11,Assembly!F11),PulleysEndCaps,3,FALSE),"")))</f>
        <v/>
      </c>
      <c r="DH3" s="8" t="str">
        <f>IF(OR('Job Sheet'!Z11="Conduit",I3&lt;&gt;"DBS to Make"),"",IF(VLOOKUP(CONCATENATE(Assembly!C11,Assembly!F11),PulleysEndCaps,6,FALSE)="","",IF('Tube Cutting'!D11="White",VLOOKUP(CONCATENATE(Assembly!C11,Assembly!F11),PulleysEndCaps,6,FALSE),"")))</f>
        <v/>
      </c>
      <c r="DI3" s="8" t="str">
        <f>IF(OR('Job Sheet'!Z11="Conduit",I3&lt;&gt;"DBS to Make"),"",IF(VLOOKUP(CONCATENATE(Assembly!C11,Assembly!F11),PulleysEndCaps,6,FALSE)="","",IF('Tube Cutting'!D11="Matt Black Ink",VLOOKUP(CONCATENATE(Assembly!C11,Assembly!F11),PulleysEndCaps,6,FALSE),"")))</f>
        <v/>
      </c>
      <c r="DJ3" s="8" t="str">
        <f>IF(OR('Job Sheet'!Z11="Conduit",I3&lt;&gt;"DBS to Make"),"",IF(VLOOKUP(CONCATENATE(Assembly!C11,Assembly!F11),PulleysEndCaps,6,FALSE)="","",IF('Tube Cutting'!D11="Birch White",VLOOKUP(CONCATENATE(Assembly!C11,Assembly!F11),PulleysEndCaps,6,FALSE),"")))</f>
        <v/>
      </c>
      <c r="DK3" s="8" t="str">
        <f>IF(OR('Job Sheet'!Z11="Conduit",'Job Sheet'!Z11="Conduit x 2",I3&lt;&gt;"DBS to Make"),"",IF(VLOOKUP(CONCATENATE(Assembly!C11,Assembly!F11),PulleysEndCaps,6,FALSE)="","",IF('Tube Cutting'!D11="Matt Satin",VLOOKUP(CONCATENATE(Assembly!C11,Assembly!F11),PulleysEndCaps,6,FALSE),"")))</f>
        <v/>
      </c>
      <c r="DL3" s="8" t="str">
        <f>IF(OR('Job Sheet'!Z11="Conduit",I3&lt;&gt;"DBS to Make"),"",IF(VLOOKUP(CONCATENATE(Assembly!C11,Assembly!F11),PulleysEndCaps,4,FALSE)="","",VLOOKUP(CONCATENATE(Assembly!C11,Assembly!F11),PulleysEndCaps,4,FALSE)))</f>
        <v/>
      </c>
      <c r="DM3" s="8" t="str">
        <f>IF(OR('Job Sheet'!Z11="Conduit",I3&lt;&gt;"DBS to Make"),"",IF(VLOOKUP(CONCATENATE(Assembly!C11,Assembly!F11),PulleysEndCaps,7,FALSE)="","",VLOOKUP(CONCATENATE(Assembly!C11,Assembly!F11),PulleysEndCaps,7,FALSE)))</f>
        <v/>
      </c>
      <c r="DN3" s="8" t="str">
        <f>IF(D3="","",IF(AND(OR(VLOOKUP(CONCATENATE('Tube Cutting'!E11,'Tube Cutting'!D11),TrackManufacturing,2,FALSE)="Wavefold White",VLOOKUP(CONCATENATE('Tube Cutting'!E11,'Tube Cutting'!D11),TrackManufacturing,2,FALSE)="Wavefold Black",VLOOKUP(CONCATENATE('Tube Cutting'!E11,'Tube Cutting'!D11),TrackManufacturing,2,FALSE)="Wavefold Matt Satin",VLOOKUP(CONCATENATE('Tube Cutting'!E11,'Tube Cutting'!D11),TrackManufacturing,2,FALSE)="System 20 White",VLOOKUP(CONCATENATE('Tube Cutting'!E11,'Tube Cutting'!D11),TrackManufacturing,2,FALSE)="System 20 Black",VLOOKUP(CONCATENATE('Tube Cutting'!E11,'Tube Cutting'!D11),TrackManufacturing,2,FALSE)="System 20 Matt Satin"),'Tube Cutting'!C11&gt;6000),1,""))</f>
        <v/>
      </c>
      <c r="DO3" s="8" t="str">
        <f>IF(D3="","",IF(AND(OR(VLOOKUP(CONCATENATE('Tube Cutting'!E11,'Tube Cutting'!D11),TrackManufacturing,2,FALSE)="Streamline White",VLOOKUP(CONCATENATE('Tube Cutting'!E11,'Tube Cutting'!D11),TrackManufacturing,2,FALSE)="Streamline Black",VLOOKUP(CONCATENATE('Tube Cutting'!E11,'Tube Cutting'!D11),TrackManufacturing,2,FALSE)="Streamline Birch White",VLOOKUP(CONCATENATE('Tube Cutting'!E11,'Tube Cutting'!D11),TrackManufacturing,2,FALSE)="Streamline Matt Satin"),'Tube Cutting'!C11&gt;6000),1,""))</f>
        <v/>
      </c>
      <c r="DP3" s="8" t="str">
        <f>IF(OR('Job Sheet'!Z11="Conduit",I3&lt;&gt;"DBS to Make"),"",IF(VLOOKUP(CONCATENATE(Assembly!C11,Assembly!F11),PulleysEndCaps,5,FALSE)="","",IF('Tube Cutting'!D11="White",VLOOKUP(CONCATENATE(Assembly!C11,Assembly!F11),PulleysEndCaps,5,FALSE),"")))</f>
        <v/>
      </c>
      <c r="DQ3" s="8" t="str">
        <f>IF(OR('Job Sheet'!Z11="Conduit",I3&lt;&gt;"DBS to Make"),"",IF(VLOOKUP(CONCATENATE(Assembly!C11,Assembly!F11),PulleysEndCaps,5,FALSE)="","",IF('Tube Cutting'!D11="Black",VLOOKUP(CONCATENATE(Assembly!C11,Assembly!F11),PulleysEndCaps,5,FALSE),"")))</f>
        <v/>
      </c>
      <c r="DR3" s="8" t="str">
        <f>IF(OR('Job Sheet'!Z11="Conduit",I3&lt;&gt;"DBS to Make"),"",IF(VLOOKUP(CONCATENATE(Assembly!C11,Assembly!F11),PulleysEndCaps,5,FALSE)="","",IF('Tube Cutting'!D11="Matt Satin",VLOOKUP(CONCATENATE(Assembly!C11,Assembly!F11),PulleysEndCaps,5,FALSE),"")))</f>
        <v/>
      </c>
      <c r="DS3" s="8" t="str">
        <f>IF(OR('Job Sheet'!Z11="Conduit",I3&lt;&gt;"DBS to Make"),"",IF(VLOOKUP(CONCATENATE(Assembly!C11,Assembly!F11),PulleysEndCaps,8,FALSE)="","",IF('Tube Cutting'!D11="White",VLOOKUP(CONCATENATE(Assembly!C11,Assembly!F11),PulleysEndCaps,8,FALSE),"")))</f>
        <v/>
      </c>
      <c r="DT3" s="8" t="str">
        <f>IF(OR('Job Sheet'!Z11="Conduit",I3&lt;&gt;"DBS to Make"),"",IF(VLOOKUP(CONCATENATE(Assembly!C11,Assembly!F11),PulleysEndCaps,8,FALSE)="","",IF('Tube Cutting'!D11="Matt Black Ink",VLOOKUP(CONCATENATE(Assembly!C11,Assembly!F11),PulleysEndCaps,8,FALSE),"")))</f>
        <v/>
      </c>
      <c r="DU3" s="8" t="str">
        <f>IF(OR('Job Sheet'!Z11="Conduit",I3&lt;&gt;"DBS to Make"),"",IF(VLOOKUP(CONCATENATE(Assembly!C11,Assembly!F11),PulleysEndCaps,8,FALSE)="","",IF('Tube Cutting'!D11="Birch White",VLOOKUP(CONCATENATE(Assembly!C11,Assembly!F11),PulleysEndCaps,8,FALSE),"")))</f>
        <v/>
      </c>
      <c r="DV3" s="8" t="str">
        <f>IF(OR('Job Sheet'!Z11="Conduit",'Job Sheet'!Z11="Conduit x 2",I3&lt;&gt;"DBS to Make"),"",IF(VLOOKUP(CONCATENATE(Assembly!C11,Assembly!F11),PulleysEndCaps,8,FALSE)="","",IF('Tube Cutting'!D11="Matt Satin",VLOOKUP(CONCATENATE(Assembly!C11,Assembly!F11),PulleysEndCaps,8,FALSE),"")))</f>
        <v/>
      </c>
      <c r="DW3" s="8" t="str">
        <f>IF(D3="","",IF(AND(Assembly!C11="Wavefold Cord Operation",OR('Tube Cutting'!D11="White",'Tube Cutting'!D11="Matt Satin"),OR(Assembly!F11="Centre Opening",Assembly!F11="Centre Opening - Free Flowing",Assembly!F11="Centre Opening (Offset)",Assembly!F11="Centre Opening - Free Flowing (Offset)")),2,IF(AND(Assembly!C11="Wavefold Cord Operation",OR('Tube Cutting'!D11="White",'Tube Cutting'!D11="Matt Satin"),OR(Assembly!F11="Single Panel - Left Stacking",Assembly!F11="Single Panel - Right Stacking",Assembly!F11="Single Panel - Free Flowing")),1,"")))</f>
        <v/>
      </c>
      <c r="DX3" s="8" t="str">
        <f>IF(D3="","",IF(AND(Assembly!C11="Wavefold Cord Operation",'Tube Cutting'!D11="Matt Black Ink",OR(Assembly!F11="Centre Opening",Assembly!F11="Centre Opening - Free Flowing",Assembly!F11="Centre Opening (Offset)",Assembly!F11="Centre Opening - Free Flowing (Offset)")),2,IF(AND(Assembly!C11="Wavefold Cord Operation",'Tube Cutting'!D11="Matt Black Ink",OR(Assembly!F11="Single Panel - Left Stacking",Assembly!F11="Single Panel - Right Stacking",Assembly!F11="Single Panel - Free Flowing")),1,"")))</f>
        <v/>
      </c>
      <c r="DY3" s="8" t="str">
        <f>IF(D3="","",IF(AND(Assembly!C11="Wavefold Hand Operation",(OR('Tube Cutting'!D11="White",'Tube Cutting'!D11="White"))),Bagging!I11,""))</f>
        <v/>
      </c>
      <c r="DZ3" s="8" t="str">
        <f>IF(D3="","",IF(AND(Assembly!C11="Wavefold Hand Operation",'Tube Cutting'!D11="Black"),Bagging!I11,""))</f>
        <v/>
      </c>
      <c r="EA3" s="8" t="str">
        <f>IF(OR(D3="",AI11="Straight"),"",IF(AND(OR('Tube Cutting'!E11="Streamline Cord Operation",'Tube Cutting'!E11="Streamline Hand Operation"),(OR(Assembly!F11="Centre Opening",Assembly!F11="Centre Opening - Free Flowing",Assembly!F11="Centre Opening (Offset)",Assembly!F11="Centre Opening - Free Flowing (Offset)"))),2,IF(AND(OR('Tube Cutting'!E11="Streamline Cord Operation",'Tube Cutting'!E11="Streamline Hand Operation"),(OR(Assembly!F11="Single Panel - Left Stacking",Assembly!F11="Single Panel - Right Stacking - Free Flowing",Assembly!F11="Single Panel - Free Flowing"))),1,"")))</f>
        <v/>
      </c>
      <c r="EB3" s="8" t="str">
        <f>IF(D3="","",IF(OR('Tube Cutting'!E11="Streamline Cord Operation",'Tube Cutting'!E11="Wavefold Cord Operation",'Tube Cutting'!E11="System 20 Light Commercial Track Cord Drawn"),1,""))</f>
        <v/>
      </c>
      <c r="EC3" s="8" t="str">
        <f>IF(D3="","",IF(VLOOKUP(CONCATENATE('Tube Cutting'!E11,'Tube Cutting'!D11),TrackManufacturing,2,FALSE)="System 20 White",1,""))</f>
        <v/>
      </c>
      <c r="ED3" s="8" t="str">
        <f>IF(D3="","",IF(VLOOKUP(CONCATENATE('Tube Cutting'!E11,'Tube Cutting'!D11),TrackManufacturing,2,FALSE)="System 20 Black",1,""))</f>
        <v/>
      </c>
      <c r="EE3" s="8" t="str">
        <f>IF(D3="","",IF(AND(VLOOKUP(CONCATENATE('Tube Cutting'!E11,'Tube Cutting'!D11),TrackManufacturing,2,FALSE)="System 20 White",(OR(Assembly!F11="Centre Opening",Assembly!F11="Centre Opening - Free Flowing",Assembly!F11="Centre Opening (Offset)",Assembly!F11="Centre Opening - Free Flowing (Offset)"))),1,""))</f>
        <v/>
      </c>
      <c r="EF3" s="8" t="str">
        <f>IF(D3="","",IF(AND(VLOOKUP(CONCATENATE('Tube Cutting'!E11,'Tube Cutting'!D11),TrackManufacturing,2,FALSE)="System 20 Black",(OR(Assembly!F11="Centre Opening",Assembly!F11="Centre Opening - Free Flowing",Assembly!F11="Centre Opening (Offset)",Assembly!F11="Centre Opening - Free Flowing (Offset)"))),1,""))</f>
        <v/>
      </c>
      <c r="EG3" s="125" t="str">
        <f>IF(D3="","",IF(OR(VLOOKUP(CONCATENATE('Tube Cutting'!E11,'Tube Cutting'!D11),TrackManufacturing,2,FALSE)="System 20 White",VLOOKUP(CONCATENATE('Tube Cutting'!E11,'Tube Cutting'!D11),TrackManufacturing,2,FALSE)="System 20 Black"),Assembly!G11,""))</f>
        <v/>
      </c>
      <c r="EH3" s="8" t="str">
        <f>IF('Tube Cutting'!E11="Conduit",'Job Sheet'!CB11,"")</f>
        <v/>
      </c>
      <c r="EI3" s="8" t="str">
        <f>IF(Bagging!D11="Muslin Brackets",2,IF(Bagging!D11="Muslin Brackets Top and Bottom",4,""))</f>
        <v/>
      </c>
      <c r="EJ3" s="8" t="str">
        <f>IF(Bagging!D11="100mm Unstayed Brackets with Acorns",2,"")</f>
        <v/>
      </c>
      <c r="EK3" s="8" t="str">
        <f>IF(Bagging!D11="25mm Brackets with Acorns",2,IF('Job Sheet'!AJ11="1 (Conduit)",2,IF('Job Sheet'!AJ11="2 (Conduit)",4,IF('Job Sheet'!AJ11="3 (Conduit)",6,IF('Job Sheet'!AJ11="4 (Conduit)",8,"")))))</f>
        <v/>
      </c>
      <c r="EL3" s="8" t="str">
        <f>IF(OR(Bagging!D11="25mm Brackets with Acorns",Bagging!D11="100mm Unstayed Brackets with Acorns"),2,"")</f>
        <v/>
      </c>
      <c r="EM3" s="8" t="str">
        <f>IF('Job Sheet'!AJ11="1 (Conduit)",1,IF('Job Sheet'!AJ11="2 (Conduit)",2,IF('Job Sheet'!AJ11="3 (Conduit)",3,IF('Job Sheet'!AJ11="4 (Conduit)",4,""))))</f>
        <v/>
      </c>
    </row>
    <row r="4" spans="4:143" ht="12" customHeight="1">
      <c r="D4" s="8" t="str">
        <f>IF(Data!AW12="","",CONCATENATE(Data!BC$5,".",Data!BD$5))</f>
        <v>39776.F</v>
      </c>
      <c r="E4" s="8">
        <f>IF(D4="","",Data!AW12)</f>
        <v>29</v>
      </c>
      <c r="F4" s="8" t="str">
        <f>IF(D4="","",Data!AV12)</f>
        <v>d2fbfc67-028f-4332-b9c9-8055b225ee6b</v>
      </c>
      <c r="G4" s="8" t="str">
        <f>IF(D4="","",Data!BF$5)</f>
        <v>Hare, Kaitlin</v>
      </c>
      <c r="H4" s="8" t="str">
        <f>IF(D4="","",Data!AX$5)</f>
        <v>Whole House</v>
      </c>
      <c r="I4" s="8" t="str">
        <f>IF(D4="","",'Job Sheet'!BH12)</f>
        <v>DBS to Make</v>
      </c>
      <c r="J4" s="8">
        <f>IF(D4="","",IF(OR(VLOOKUP(CONCATENATE('Tube Cutting'!E12,'Tube Cutting'!D12),TrackManufacturing,2,FALSE)="Wavefold White",VLOOKUP(CONCATENATE('Tube Cutting'!E12,'Tube Cutting'!D12),TrackManufacturing,2,FALSE)="Wavefold Black",VLOOKUP(CONCATENATE('Tube Cutting'!E12,'Tube Cutting'!D12),TrackManufacturing,2,FALSE)="Wavefold Matt Satin"),('Job Sheet'!BP12*2)/1000,""))</f>
        <v>5.31</v>
      </c>
      <c r="K4" s="125">
        <f>IF(D4="","",IF(OR(VLOOKUP(CONCATENATE('Tube Cutting'!E12,'Tube Cutting'!D12),TrackManufacturing,2,FALSE)="Wavefold White",VLOOKUP(CONCATENATE('Tube Cutting'!E12,'Tube Cutting'!D12),TrackManufacturing,2,FALSE)="Wavefold Matt Satin"),J4*10,""))</f>
        <v>53.1</v>
      </c>
      <c r="L4" s="125" t="str">
        <f>IF(D4="","",IF(VLOOKUP(CONCATENATE('Tube Cutting'!E12,'Tube Cutting'!D12),TrackManufacturing,2,FALSE)="Wavefold Black",J4*10,""))</f>
        <v/>
      </c>
      <c r="M4" s="126">
        <f>IF(D4="","",IF(OR(VLOOKUP(CONCATENATE('Tube Cutting'!E12,'Tube Cutting'!D12),TrackManufacturing,2,FALSE)="Wavefold White",VLOOKUP(CONCATENATE('Tube Cutting'!E12,'Tube Cutting'!D12),TrackManufacturing,2,FALSE)="System 20 White"),'Tube Cutting'!C12/1000,""))</f>
        <v>2.594</v>
      </c>
      <c r="N4" s="126" t="str">
        <f>IF(D4="","",IF(OR(VLOOKUP(CONCATENATE('Tube Cutting'!E12,'Tube Cutting'!D12),TrackManufacturing,2,FALSE)="Wavefold Black",VLOOKUP(CONCATENATE('Tube Cutting'!E12,'Tube Cutting'!D12),TrackManufacturing,2,FALSE)="System 20 Black"),'Tube Cutting'!C12/1000,""))</f>
        <v/>
      </c>
      <c r="O4" s="126" t="str">
        <f>IF(D4="","",IF(OR(VLOOKUP(CONCATENATE('Tube Cutting'!E12,'Tube Cutting'!D12),TrackManufacturing,2,FALSE)="Wavefold Matt Satin",VLOOKUP(CONCATENATE('Tube Cutting'!E12,'Tube Cutting'!D12),TrackManufacturing,2,FALSE)="System 20 Matt Satin"),'Tube Cutting'!C12/1000,""))</f>
        <v/>
      </c>
      <c r="P4" s="125">
        <f>IF(D4="","",IF(AND((OR('Tube Cutting'!D12="White",'Tube Cutting'!D12="Matt Satin")),(OR('Tube Cutting'!E12="Wavefold Hand Operation",'Tube Cutting'!E12="Wavefold Cord Operation"))),IF(M4="",O4*20,M4*20),""))</f>
        <v>51.88</v>
      </c>
      <c r="Q4" s="125" t="str">
        <f>IF(D4="","",IF(AND('Tube Cutting'!D12="Black",(OR('Tube Cutting'!E12="Wavefold Hand Operation",'Tube Cutting'!E12="Wavefold Cord Operation"))),N4*20,""))</f>
        <v/>
      </c>
      <c r="R4" s="125" t="str">
        <f>IF(D4="","",IF(OR('Tube Cutting'!E12="Streamline Hand Operation",'Tube Cutting'!E12="Streamline Cord Operation"),Assembly!G12,""))</f>
        <v/>
      </c>
      <c r="S4" s="8" t="str">
        <f>IF(D4="","",IF(VLOOKUP(CONCATENATE('Tube Cutting'!E12,'Tube Cutting'!D12),TrackManufacturing,2,FALSE)="Streamline White",'Tube Cutting'!C12/1000,""))</f>
        <v/>
      </c>
      <c r="T4" s="8" t="str">
        <f>IF(D4="","",IF(VLOOKUP(CONCATENATE('Tube Cutting'!E12,'Tube Cutting'!D12),TrackManufacturing,2,FALSE)="Streamline Matt Black Ink",'Tube Cutting'!C12/1000,""))</f>
        <v/>
      </c>
      <c r="U4" s="8" t="str">
        <f>IF(D4="","",IF(VLOOKUP(CONCATENATE('Tube Cutting'!E12,'Tube Cutting'!D12),TrackManufacturing,2,FALSE)="Streamline Birch White",'Tube Cutting'!C12/1000,""))</f>
        <v/>
      </c>
      <c r="V4" s="8" t="str">
        <f>IF(D4="","",IF(VLOOKUP(CONCATENATE('Tube Cutting'!E12,'Tube Cutting'!D12),TrackManufacturing,2,FALSE)="Streamline Matt Satin",'Tube Cutting'!C12/1000,""))</f>
        <v/>
      </c>
      <c r="W4" s="8" t="str">
        <f>IF(Bagging!H12="White Aluminium Flick Sticks 100cm",Bagging!I12,"")</f>
        <v/>
      </c>
      <c r="X4" s="8" t="str">
        <f>IF(Bagging!H12="White Aluminium Flick Sticks 125cm",Bagging!I12,"")</f>
        <v>2</v>
      </c>
      <c r="Y4" s="8" t="str">
        <f>IF(Bagging!H12="White Aluminium Flick Sticks 150cm",Bagging!I12,"")</f>
        <v/>
      </c>
      <c r="Z4" s="8" t="str">
        <f>IF(Bagging!H12="Black Aluminium Flick Sticks 100cm",Bagging!I12,"")</f>
        <v/>
      </c>
      <c r="AA4" s="8" t="str">
        <f>IF(Bagging!H12="Black Aluminium Flick Sticks 125cm",Bagging!I12,"")</f>
        <v/>
      </c>
      <c r="AB4" s="8" t="str">
        <f>IF(Bagging!H12="Black Aluminium Flick Sticks 150cm",Bagging!I12,"")</f>
        <v/>
      </c>
      <c r="AC4" s="8" t="str">
        <f>IF(Bagging!H12="Matt Satin Aluminium Flick Sticks 100cm",Bagging!I12,"")</f>
        <v/>
      </c>
      <c r="AD4" s="8" t="str">
        <f>IF(Bagging!H12="Black Aluminium Flick Sticks 125cm",Bagging!I12,"")</f>
        <v/>
      </c>
      <c r="AE4" s="8" t="str">
        <f>IF(Bagging!H12="Black Aluminium Flick Sticks 150cm",Bagging!I12,"")</f>
        <v/>
      </c>
      <c r="AF4" s="8" t="str">
        <f>IF(Bagging!H12="Standard Clear 75cm",Bagging!I12,"")</f>
        <v/>
      </c>
      <c r="AG4" s="8" t="str">
        <f>IF(Bagging!H12="Standard Clear 100cm",Bagging!I12,"")</f>
        <v/>
      </c>
      <c r="AH4" s="8" t="str">
        <f>IF(Bagging!H12="Standard Clear 125cm",Bagging!I12,"")</f>
        <v/>
      </c>
      <c r="AI4" s="8" t="str">
        <f>IF(Bagging!H12="Standard Clear 150cm",Bagging!I12,"")</f>
        <v/>
      </c>
      <c r="AJ4" s="8" t="str">
        <f>IF(Bagging!H12="White Fibreglass 200cm",Bagging!I12,"")</f>
        <v/>
      </c>
      <c r="AK4" s="8" t="str">
        <f>IF(Bagging!H12="White Fibreglass 250cm",Bagging!I12,"")</f>
        <v/>
      </c>
      <c r="AL4" s="8" t="str">
        <f>IF(D4="","",IF(AND(OR(VLOOKUP(CONCATENATE('Tube Cutting'!E12,'Tube Cutting'!D12),TrackManufacturing,2,FALSE)="Wavefold White",VLOOKUP(CONCATENATE('Tube Cutting'!E12,'Tube Cutting'!D12),TrackManufacturing,2,FALSE)="System 20 White"),(Bagging!D12="Top Fix Brackets")),Bagging!F12,""))</f>
        <v/>
      </c>
      <c r="AM4" s="8">
        <f>IF(D4="","",IF(AND(OR(VLOOKUP(CONCATENATE('Tube Cutting'!E12,'Tube Cutting'!D12),TrackManufacturing,2,FALSE)="Wavefold White",VLOOKUP(CONCATENATE('Tube Cutting'!E12,'Tube Cutting'!D12),TrackManufacturing,2,FALSE)="System 20 White"),(Bagging!D12="Single Face Fix Brackets")),Bagging!F12,""))</f>
        <v>5</v>
      </c>
      <c r="AN4" s="8" t="str">
        <f>IF(D4="","",IF(AND(OR(VLOOKUP(CONCATENATE('Tube Cutting'!E12,'Tube Cutting'!D12),TrackManufacturing,2,FALSE)="Wavefold White",VLOOKUP(CONCATENATE('Tube Cutting'!E12,'Tube Cutting'!D12),TrackManufacturing,2,FALSE)="System 20 White"),(Bagging!D12="Double Face Fix Brackets")),Bagging!F12,""))</f>
        <v/>
      </c>
      <c r="AO4" s="8" t="str">
        <f>IF(D4="","",IF(AND(OR(VLOOKUP(CONCATENATE('Tube Cutting'!E12,'Tube Cutting'!D12),TrackManufacturing,2,FALSE)="Wavefold White",VLOOKUP(CONCATENATE('Tube Cutting'!E12,'Tube Cutting'!D12),TrackManufacturing,2,FALSE)="System 20 White"),(Bagging!D12="Triple Face Fix Brackets")),Bagging!F12,""))</f>
        <v/>
      </c>
      <c r="AP4" s="8" t="str">
        <f>IF(D4="","",IF(AND(OR(VLOOKUP(CONCATENATE('Tube Cutting'!E12,'Tube Cutting'!D12),TrackManufacturing,2,FALSE)="Wavefold Black",VLOOKUP(CONCATENATE('Tube Cutting'!E12,'Tube Cutting'!D12),TrackManufacturing,2,FALSE)="System 20 Black"),(Bagging!D12="Top Fix Brackets")),Bagging!F12,""))</f>
        <v/>
      </c>
      <c r="AQ4" s="8" t="str">
        <f>IF(D4="","",IF(AND(OR(VLOOKUP(CONCATENATE('Tube Cutting'!E12,'Tube Cutting'!D12),TrackManufacturing,2,FALSE)="Wavefold Black",VLOOKUP(CONCATENATE('Tube Cutting'!E12,'Tube Cutting'!D12),TrackManufacturing,2,FALSE)="System 20 Black"),(Bagging!D12="Single Face Fix Brackets")),Bagging!F12,""))</f>
        <v/>
      </c>
      <c r="AR4" s="8" t="str">
        <f>IF(D4="","",IF(AND(OR(VLOOKUP(CONCATENATE('Tube Cutting'!E12,'Tube Cutting'!D12),TrackManufacturing,2,FALSE)="Wavefold Black",VLOOKUP(CONCATENATE('Tube Cutting'!E12,'Tube Cutting'!D12),TrackManufacturing,2,FALSE)="System 20 Black"),(Bagging!D12="Double Face Fix Brackets")),Bagging!F12,""))</f>
        <v/>
      </c>
      <c r="AS4" s="8" t="str">
        <f>IF(D4="","",IF(AND(OR(VLOOKUP(CONCATENATE('Tube Cutting'!E12,'Tube Cutting'!D12),TrackManufacturing,2,FALSE)="Wavefold Black",VLOOKUP(CONCATENATE('Tube Cutting'!E12,'Tube Cutting'!D12),TrackManufacturing,2,FALSE)="System 20 Black"),(Bagging!D12="Triple Face Fix Brackets")),Bagging!F12,""))</f>
        <v/>
      </c>
      <c r="AT4" s="8" t="str">
        <f>IF(D4="","",IF(AND(OR(VLOOKUP(CONCATENATE('Tube Cutting'!E12,'Tube Cutting'!D12),TrackManufacturing,2,FALSE)="Wavefold Matt Satin",VLOOKUP(CONCATENATE('Tube Cutting'!E12,'Tube Cutting'!D12),TrackManufacturing,2,FALSE)="System 20 Matt Satin"),(Bagging!D12="Top Fix Brackets")),Bagging!F12,""))</f>
        <v/>
      </c>
      <c r="AU4" s="8" t="str">
        <f>IF(D4="","",IF(AND(OR(VLOOKUP(CONCATENATE('Tube Cutting'!E12,'Tube Cutting'!D12),TrackManufacturing,2,FALSE)="Wavefold Matt Satin",VLOOKUP(CONCATENATE('Tube Cutting'!E12,'Tube Cutting'!D12),TrackManufacturing,2,FALSE)="System 20 Matt Satin"),(Bagging!D12="Single Face Fix Brackets")),Bagging!F12,""))</f>
        <v/>
      </c>
      <c r="AV4" s="8" t="str">
        <f>IF(D4="","",IF(AND(OR(VLOOKUP(CONCATENATE('Tube Cutting'!E12,'Tube Cutting'!D12),TrackManufacturing,2,FALSE)="Wavefold Matt Satin",VLOOKUP(CONCATENATE('Tube Cutting'!E12,'Tube Cutting'!D12),TrackManufacturing,2,FALSE)="System 20 Matt Satin"),(Bagging!D12="Double Face Fix Brackets")),Bagging!F12,""))</f>
        <v/>
      </c>
      <c r="AW4" s="8" t="str">
        <f>IF(D4="","",IF(AND(OR(VLOOKUP(CONCATENATE('Tube Cutting'!E12,'Tube Cutting'!D12),TrackManufacturing,2,FALSE)="Wavefold Matt Satin",VLOOKUP(CONCATENATE('Tube Cutting'!E12,'Tube Cutting'!D12),TrackManufacturing,2,FALSE)="System 20 Matt Satin"),(Bagging!D12="Triple Face Fix Brackets")),Bagging!F12,""))</f>
        <v/>
      </c>
      <c r="AX4" s="8" t="str">
        <f>IF(D4="","",IF(AND(VLOOKUP(CONCATENATE('Tube Cutting'!E12,'Tube Cutting'!D12),TrackManufacturing,2,FALSE)="Streamline White",(Bagging!D12="Nylon Top Fix Brackets")),VLOOKUP('Job Sheet'!BP12,Brackets,2,TRUE),""))</f>
        <v/>
      </c>
      <c r="AY4" s="8" t="str">
        <f>IF(D4="","",IF(AND(VLOOKUP(CONCATENATE('Tube Cutting'!E12,'Tube Cutting'!D12),TrackManufacturing,2,FALSE)="Streamline White",(Bagging!D12="Metal Fix Brackets")),VLOOKUP('Job Sheet'!BP12,Brackets,2,TRUE),""))</f>
        <v/>
      </c>
      <c r="AZ4" s="8" t="str">
        <f>IF(D4="","",IF(AND(VLOOKUP(CONCATENATE('Tube Cutting'!E12,'Tube Cutting'!D12),TrackManufacturing,2,FALSE)="Streamline White",(Bagging!D12="Single Face Fix Brackets")),Bagging!F12,""))</f>
        <v/>
      </c>
      <c r="BA4" s="8" t="str">
        <f>IF(D4="","",IF(AND(VLOOKUP(CONCATENATE('Tube Cutting'!E12,'Tube Cutting'!D12),TrackManufacturing,2,FALSE)="Streamline White",(Bagging!D12="Double Face Fix Brackets")),Bagging!F12,""))</f>
        <v/>
      </c>
      <c r="BB4" s="8" t="str">
        <f>IF(D4="","",IF(AND(VLOOKUP(CONCATENATE('Tube Cutting'!E12,'Tube Cutting'!D12),TrackManufacturing,2,FALSE)="Streamline White",(Bagging!D12="Triple Face Fix Brackets")),Bagging!F12,""))</f>
        <v/>
      </c>
      <c r="BC4" s="8" t="str">
        <f>IF(D4="","",IF(AND(VLOOKUP(CONCATENATE('Tube Cutting'!E12,'Tube Cutting'!D12),TrackManufacturing,2,FALSE)="Streamline White",(Bagging!D12="32mm Face Fix Brackets")),Bagging!F12,""))</f>
        <v/>
      </c>
      <c r="BD4" s="8" t="str">
        <f>IF(D4="","",IF(AND(VLOOKUP(CONCATENATE('Tube Cutting'!E12,'Tube Cutting'!D12),TrackManufacturing,2,FALSE)="Streamline Matt Black Ink",(Bagging!D12="Top Fix Brackets")),VLOOKUP('Job Sheet'!BP12,Brackets,2,TRUE),""))</f>
        <v/>
      </c>
      <c r="BE4" s="8" t="str">
        <f>IF(D4="","",IF(AND(VLOOKUP(CONCATENATE('Tube Cutting'!E12,'Tube Cutting'!D12),TrackManufacturing,2,FALSE)="Streamline White",(Bagging!D12="Metal Fix Brackets")),VLOOKUP('Job Sheet'!BP12,Brackets,2,TRUE),""))</f>
        <v/>
      </c>
      <c r="BF4" s="8" t="str">
        <f>IF(D4="","",IF(AND(VLOOKUP(CONCATENATE('Tube Cutting'!E12,'Tube Cutting'!D12),TrackManufacturing,2,FALSE)="Streamline Matt Black Ink",(Bagging!D12="Single Face Fix Brackets")),Bagging!F12,""))</f>
        <v/>
      </c>
      <c r="BG4" s="8" t="str">
        <f>IF(D4="","",IF(AND(VLOOKUP(CONCATENATE('Tube Cutting'!E12,'Tube Cutting'!D12),TrackManufacturing,2,FALSE)="Streamline Matt Black Ink",(Bagging!D12="Double Face Fix Brackets")),Bagging!F12,""))</f>
        <v/>
      </c>
      <c r="BH4" s="8" t="str">
        <f>IF(D4="","",IF(AND(VLOOKUP(CONCATENATE('Tube Cutting'!E12,'Tube Cutting'!D12),TrackManufacturing,2,FALSE)="Streamline Matt Black Ink",(Bagging!D12="Triple Face Fix Brackets")),Bagging!F12,""))</f>
        <v/>
      </c>
      <c r="BI4" s="8" t="str">
        <f>IF(D4="","",IF(AND(VLOOKUP(CONCATENATE('Tube Cutting'!E12,'Tube Cutting'!D12),TrackManufacturing,2,FALSE)="Streamline Matt Black Ink",(Bagging!D12="32mm Face Fix Brackets")),Bagging!F12,""))</f>
        <v/>
      </c>
      <c r="BJ4" s="8" t="str">
        <f>IF(D4="","",IF(AND(VLOOKUP(CONCATENATE('Tube Cutting'!E12,'Tube Cutting'!D12),TrackManufacturing,2,FALSE)="Streamline Birch White",(Bagging!D12="Top Fix Brackets")),VLOOKUP('Job Sheet'!BP12,Brackets,2,TRUE),""))</f>
        <v/>
      </c>
      <c r="BK4" s="8" t="str">
        <f>IF(D4="","",IF(AND(VLOOKUP(CONCATENATE('Tube Cutting'!E12,'Tube Cutting'!D12),TrackManufacturing,2,FALSE)="Streamline White",(Bagging!D12="Metal Fix Brackets")),VLOOKUP('Job Sheet'!BP12,Brackets,2,TRUE),""))</f>
        <v/>
      </c>
      <c r="BL4" s="8" t="str">
        <f>IF(D4="","",IF(AND(VLOOKUP(CONCATENATE('Tube Cutting'!E12,'Tube Cutting'!D12),TrackManufacturing,2,FALSE)="Streamline Birch White",(Bagging!D12="Single Face Fix Brackets")),Bagging!F12,""))</f>
        <v/>
      </c>
      <c r="BM4" s="8" t="str">
        <f>IF(D4="","",IF(AND(VLOOKUP(CONCATENATE('Tube Cutting'!E12,'Tube Cutting'!D12),TrackManufacturing,2,FALSE)="Streamline Birch White",(Bagging!D12="Double Face Fix Brackets")),Bagging!F12,""))</f>
        <v/>
      </c>
      <c r="BN4" s="8" t="str">
        <f>IF(D4="","",IF(AND(VLOOKUP(CONCATENATE('Tube Cutting'!E12,'Tube Cutting'!D12),TrackManufacturing,2,FALSE)="Streamline Birch White",(Bagging!D12="Triple Face Fix Brackets")),Bagging!F12,""))</f>
        <v/>
      </c>
      <c r="BO4" s="8" t="str">
        <f>IF(D4="","",IF(AND(VLOOKUP(CONCATENATE('Tube Cutting'!E12,'Tube Cutting'!D12),TrackManufacturing,2,FALSE)="Streamline Birch White",(Bagging!D12="32mm Face Fix Brackets")),Bagging!F12,""))</f>
        <v/>
      </c>
      <c r="BP4" s="8" t="str">
        <f>IF(K4="","",IF(AND(VLOOKUP(CONCATENATE('Tube Cutting'!K12,'Tube Cutting'!J12),TrackManufacturing,2,FALSE)="Streamline Birch White",(Bagging!J12="Top Fix Brackets")),VLOOKUP('Job Sheet'!BU12,Brackets,2,TRUE),""))</f>
        <v/>
      </c>
      <c r="BQ4" s="8" t="str">
        <f>IF(K4="","",IF(AND(VLOOKUP(CONCATENATE('Tube Cutting'!K12,'Tube Cutting'!J12),TrackManufacturing,2,FALSE)="Streamline White",(Bagging!J12="Metal Fix Brackets")),VLOOKUP('Job Sheet'!BU12,Brackets,2,TRUE),""))</f>
        <v/>
      </c>
      <c r="BR4" s="8" t="str">
        <f>IF(K4="","",IF(AND(VLOOKUP(CONCATENATE('Tube Cutting'!K12,'Tube Cutting'!J12),TrackManufacturing,2,FALSE)="Streamline Birch White",(Bagging!J12="Single Face Fix Brackets")),Bagging!L12,""))</f>
        <v/>
      </c>
      <c r="BS4" s="8" t="str">
        <f>IF(K4="","",IF(AND(VLOOKUP(CONCATENATE('Tube Cutting'!K12,'Tube Cutting'!J12),TrackManufacturing,2,FALSE)="Streamline Birch White",(Bagging!J12="Double Face Fix Brackets")),Bagging!L12,""))</f>
        <v/>
      </c>
      <c r="BT4" s="8" t="str">
        <f>IF(K4="","",IF(AND(VLOOKUP(CONCATENATE('Tube Cutting'!K12,'Tube Cutting'!J12),TrackManufacturing,2,FALSE)="Streamline Birch White",(Bagging!J12="Triple Face Fix Brackets")),Bagging!L12,""))</f>
        <v/>
      </c>
      <c r="BU4" s="8" t="str">
        <f>IF(K4="","",IF(AND(VLOOKUP(CONCATENATE('Tube Cutting'!K12,'Tube Cutting'!J12),TrackManufacturing,2,FALSE)="Streamline Birch White",(Bagging!J12="32mm Face Fix Brackets")),Bagging!L12,""))</f>
        <v/>
      </c>
      <c r="BV4" s="8" t="str">
        <f>IF(AND('Tube Cutting'!D12="White",Bagging!D12="Top Fix Brackets"),Bagging!F12,"")</f>
        <v/>
      </c>
      <c r="BW4" s="8">
        <f>IF(AND('Tube Cutting'!D12="White",Bagging!D12="Single Face Fix Brackets"),Bagging!F12,"")</f>
        <v>5</v>
      </c>
      <c r="BX4" s="8" t="str">
        <f>IF(AND('Tube Cutting'!D12="White",Bagging!D12="Double Face Fix Brackets"),Bagging!F12,"")</f>
        <v/>
      </c>
      <c r="BY4" s="8" t="str">
        <f>IF(AND('Tube Cutting'!D12="White",Bagging!D12="Triple Face Fix Brackets"),Bagging!F12,"")</f>
        <v/>
      </c>
      <c r="BZ4" s="8" t="str">
        <f>IF(AND('Tube Cutting'!D12="Black",Bagging!D12="Top Fix Brackets"),Bagging!F12,"")</f>
        <v/>
      </c>
      <c r="CA4" s="8" t="str">
        <f>IF(AND('Tube Cutting'!D12="Black",Bagging!D12="Single Face Fix Brackets"),Bagging!F12,"")</f>
        <v/>
      </c>
      <c r="CB4" s="8" t="str">
        <f>IF(AND('Tube Cutting'!D12="Black",Bagging!D12="Double Face Fix Brackets"),Bagging!F12,"")</f>
        <v/>
      </c>
      <c r="CC4" s="8" t="str">
        <f>IF(AND('Tube Cutting'!D12="Black",Bagging!D12="Triple Fix Brackets"),Bagging!F12,"")</f>
        <v/>
      </c>
      <c r="CD4" s="8" t="str">
        <f>IF(AND('Tube Cutting'!D12="Matt Satin",Bagging!D12="Top Fix Brackets"),Bagging!F12,"")</f>
        <v/>
      </c>
      <c r="CE4" s="8" t="str">
        <f>IF(AND('Tube Cutting'!D12="Matt Satin",Bagging!D12="Single Face Fix Brackets"),Bagging!F12,"")</f>
        <v/>
      </c>
      <c r="CF4" s="8" t="str">
        <f>IF(AND('Tube Cutting'!D12="Matt Satin",Bagging!D12="Double Face Fix Brackets"),Bagging!F12,"")</f>
        <v/>
      </c>
      <c r="CG4" s="8" t="str">
        <f>IF(AND('Tube Cutting'!D12="Matt Satin",Bagging!D12="Triple Fix Brackets"),Bagging!F12,"")</f>
        <v/>
      </c>
      <c r="CH4" s="8" t="str">
        <f>IF(D4="","",IF(AND('Tube Cutting'!D12="White",(OR(Bagging!J12="Single Left",Bagging!J12="Single Left &amp; Right"))),"1",""))</f>
        <v/>
      </c>
      <c r="CI4" s="8" t="str">
        <f>IF(D4="","",IF(AND('Tube Cutting'!D12="Black",(OR(Bagging!J12="Single Left",Bagging!J12="Single Left &amp; Right"))),"1",""))</f>
        <v/>
      </c>
      <c r="CJ4" s="8" t="str">
        <f>IF(D4="","",IF(AND('Tube Cutting'!D12="Matt Satin",(OR(Bagging!J12="Single Left",Bagging!J12="Single Left &amp; Right"))),"1",""))</f>
        <v/>
      </c>
      <c r="CK4" s="8" t="str">
        <f>IF(D4="","",IF(AND('Tube Cutting'!D12="White",(OR(Bagging!J12="Single Right",Bagging!J12="Single Left &amp; Right"))),"1",""))</f>
        <v/>
      </c>
      <c r="CL4" s="8" t="str">
        <f>IF(D4="","",IF(AND('Tube Cutting'!D12="Black",(OR(Bagging!J12="Single Right",Bagging!J12="Single Left &amp; Right"))),"1",""))</f>
        <v/>
      </c>
      <c r="CM4" s="8" t="str">
        <f>IF(D4="","",IF(AND('Tube Cutting'!D12="Matt Satin",(OR(Bagging!J12="Single Right",Bagging!J12="Single Left &amp; Right"))),"1",""))</f>
        <v/>
      </c>
      <c r="CN4" s="8" t="str">
        <f>IF(D4="","",IF(AND('Tube Cutting'!D12="White",(OR(Bagging!J12="Double Left",Bagging!J12="Double Left &amp; Right"))),"1",""))</f>
        <v/>
      </c>
      <c r="CO4" s="8" t="str">
        <f>IF(D4="","",IF(AND('Tube Cutting'!D12="Black",(OR(Bagging!J12="Double Left",Bagging!J12="Double Left &amp; Right"))),"1",""))</f>
        <v/>
      </c>
      <c r="CP4" s="8" t="str">
        <f>IF(D4="","",IF(AND('Tube Cutting'!D12="Matt Satin",(OR(Bagging!J12="Double Left",Bagging!J12="Double Left &amp; Right"))),"1",""))</f>
        <v/>
      </c>
      <c r="CQ4" s="8" t="str">
        <f>IF(D4="","",IF(AND('Tube Cutting'!D12="White",(OR(Bagging!J12="Double Right",Bagging!J12="Double Left &amp; Right"))),"1",""))</f>
        <v/>
      </c>
      <c r="CR4" s="8" t="str">
        <f>IF(D4="","",IF(AND('Tube Cutting'!D12="Black",(OR(Bagging!J12="Double Right",Bagging!J12="Double Left &amp; Right"))),"1",""))</f>
        <v/>
      </c>
      <c r="CS4" s="8" t="str">
        <f>IF(D4="","",IF(AND('Tube Cutting'!D12="Matt Satin",(OR(Bagging!J12="Double Right",Bagging!J12="Double Left &amp; Right"))),"1",""))</f>
        <v/>
      </c>
      <c r="CT4" s="8" t="str">
        <f>IF(D4="","",IF(VLOOKUP(CONCATENATE('Tube Cutting'!E12,'Tube Cutting'!D12),TrackManufacturing,2,FALSE)="Streamline White",1,""))</f>
        <v/>
      </c>
      <c r="CU4" s="8" t="str">
        <f>IF(D4="","",IF(VLOOKUP(CONCATENATE('Tube Cutting'!E12,'Tube Cutting'!D12),TrackManufacturing,2,FALSE)="Streamline Matt Black Ink",1,""))</f>
        <v/>
      </c>
      <c r="CV4" s="8" t="str">
        <f>IF(D4="","",IF(VLOOKUP(CONCATENATE('Tube Cutting'!E12,'Tube Cutting'!D12),TrackManufacturing,2,FALSE)="Streamline Birch White",1,""))</f>
        <v/>
      </c>
      <c r="CW4" s="8" t="str">
        <f>IF(D4="","",IF(VLOOKUP(CONCATENATE('Tube Cutting'!E12,'Tube Cutting'!D12),TrackManufacturing,2,FALSE)="Streamline Matt Satin",1,""))</f>
        <v/>
      </c>
      <c r="CX4" s="8" t="str">
        <f>IF(D4="","",IF(AND(VLOOKUP(CONCATENATE('Tube Cutting'!E12,'Tube Cutting'!D12),TrackManufacturing,2,FALSE)="Streamline White",(OR(Assembly!F12="Centre Opening",Assembly!F12="Centre Opening - Free Flowing",Assembly!F12="Centre Opening (Offset)",Assembly!F12="Centre Opening - Free Flowing (Offset)"))),1,""))</f>
        <v/>
      </c>
      <c r="CY4" s="8" t="str">
        <f>IF(D4="","",IF(AND(VLOOKUP(CONCATENATE('Tube Cutting'!E12,'Tube Cutting'!D12),TrackManufacturing,2,FALSE)="Streamline Matt Black Ink",(OR(Assembly!F12="Centre Opening",Assembly!F12="Centre Opening - Free Flowing",Assembly!F12="Centre Opening (Offset)",Assembly!F12="Centre Opening - Free Flowing (Offset)"))),1,""))</f>
        <v/>
      </c>
      <c r="CZ4" s="8" t="str">
        <f>IF(D4="","",IF(AND(VLOOKUP(CONCATENATE('Tube Cutting'!E12,'Tube Cutting'!D12),TrackManufacturing,2,FALSE)="Streamline Birch White",(OR(Assembly!F12="Centre Opening",Assembly!F12="Centre Opening - Free Flowing",Assembly!F12="Centre Opening (Offset)",Assembly!F12="Centre Opening - Free Flowing (Offset)"))),1,""))</f>
        <v/>
      </c>
      <c r="DA4" s="8" t="str">
        <f>IF(D4="","",IF(AND(VLOOKUP(CONCATENATE('Tube Cutting'!E12,'Tube Cutting'!D12),TrackManufacturing,2,FALSE)="Streamline Matt Satin",(OR(Assembly!F12="Centre Opening",Assembly!F12="Centre Opening - Free Flowing",Assembly!F12="Centre Opening (Offset)",Assembly!F12="Centre Opening - Free Flowing (Offset)"))),1,""))</f>
        <v/>
      </c>
      <c r="DB4" s="8" t="str">
        <f>IF(OR('Job Sheet'!Z12="Conduit",I4&lt;&gt;"DBS to Make"),"",IF(VLOOKUP(CONCATENATE(Assembly!C12,Assembly!F12),PulleysEndCaps,2,FALSE)="","",IF('Tube Cutting'!D12="White",VLOOKUP(CONCATENATE(Assembly!C12,Assembly!F12),PulleysEndCaps,2,FALSE),"")))</f>
        <v/>
      </c>
      <c r="DC4" s="8" t="str">
        <f>IF(OR('Job Sheet'!Z12="Conduit",I4&lt;&gt;"DBS to Make"),"",IF(VLOOKUP(CONCATENATE(Assembly!C12,Assembly!F12),PulleysEndCaps,2,FALSE)="","",IF('Tube Cutting'!D12="Black",VLOOKUP(CONCATENATE(Assembly!C12,Assembly!F12),PulleysEndCaps,2,FALSE),"")))</f>
        <v/>
      </c>
      <c r="DD4" s="8" t="str">
        <f>IF(OR('Job Sheet'!Z12="Conduit",I4&lt;&gt;"DBS to Make"),"",IF(VLOOKUP(CONCATENATE(Assembly!C12,Assembly!F12),PulleysEndCaps,2,FALSE)="","",IF('Tube Cutting'!D12="Matt Satin",VLOOKUP(CONCATENATE(Assembly!C12,Assembly!F12),PulleysEndCaps,2,FALSE),"")))</f>
        <v/>
      </c>
      <c r="DE4" s="8" t="str">
        <f>IF(OR('Job Sheet'!Z12="Conduit",I4&lt;&gt;"DBS to Make"),"",IF(VLOOKUP(CONCATENATE(Assembly!C12,Assembly!F12),PulleysEndCaps,3,FALSE)="","",IF('Tube Cutting'!D12="White",VLOOKUP(CONCATENATE(Assembly!C12,Assembly!F12),PulleysEndCaps,3,FALSE),"")))</f>
        <v/>
      </c>
      <c r="DF4" s="8" t="str">
        <f>IF(OR('Job Sheet'!Z12="Conduit",I4&lt;&gt;"DBS to Make"),"",IF(VLOOKUP(CONCATENATE(Assembly!C12,Assembly!F12),PulleysEndCaps,3,FALSE)="","",IF('Tube Cutting'!D12="Black",VLOOKUP(CONCATENATE(Assembly!C12,Assembly!F12),PulleysEndCaps,3,FALSE),"")))</f>
        <v/>
      </c>
      <c r="DG4" s="8" t="str">
        <f>IF(OR('Job Sheet'!Z12="Conduit",I4&lt;&gt;"DBS to Make"),"",IF(VLOOKUP(CONCATENATE(Assembly!C12,Assembly!F12),PulleysEndCaps,3,FALSE)="","",IF('Tube Cutting'!D12="Matt Satin",VLOOKUP(CONCATENATE(Assembly!C12,Assembly!F12),PulleysEndCaps,3,FALSE),"")))</f>
        <v/>
      </c>
      <c r="DH4" s="8" t="str">
        <f>IF(OR('Job Sheet'!Z12="Conduit",I4&lt;&gt;"DBS to Make"),"",IF(VLOOKUP(CONCATENATE(Assembly!C12,Assembly!F12),PulleysEndCaps,6,FALSE)="","",IF('Tube Cutting'!D12="White",VLOOKUP(CONCATENATE(Assembly!C12,Assembly!F12),PulleysEndCaps,6,FALSE),"")))</f>
        <v/>
      </c>
      <c r="DI4" s="8" t="str">
        <f>IF(OR('Job Sheet'!Z12="Conduit",I4&lt;&gt;"DBS to Make"),"",IF(VLOOKUP(CONCATENATE(Assembly!C12,Assembly!F12),PulleysEndCaps,6,FALSE)="","",IF('Tube Cutting'!D12="Matt Black Ink",VLOOKUP(CONCATENATE(Assembly!C12,Assembly!F12),PulleysEndCaps,6,FALSE),"")))</f>
        <v/>
      </c>
      <c r="DJ4" s="8" t="str">
        <f>IF(OR('Job Sheet'!Z12="Conduit",I4&lt;&gt;"DBS to Make"),"",IF(VLOOKUP(CONCATENATE(Assembly!C12,Assembly!F12),PulleysEndCaps,6,FALSE)="","",IF('Tube Cutting'!D12="Birch White",VLOOKUP(CONCATENATE(Assembly!C12,Assembly!F12),PulleysEndCaps,6,FALSE),"")))</f>
        <v/>
      </c>
      <c r="DK4" s="8" t="str">
        <f>IF(OR('Job Sheet'!Z12="Conduit",'Job Sheet'!Z12="Conduit x 2",I4&lt;&gt;"DBS to Make"),"",IF(VLOOKUP(CONCATENATE(Assembly!C12,Assembly!F12),PulleysEndCaps,6,FALSE)="","",IF('Tube Cutting'!D12="Matt Satin",VLOOKUP(CONCATENATE(Assembly!C12,Assembly!F12),PulleysEndCaps,6,FALSE),"")))</f>
        <v/>
      </c>
      <c r="DL4" s="8" t="str">
        <f>IF(OR('Job Sheet'!Z12="Conduit",I4&lt;&gt;"DBS to Make"),"",IF(VLOOKUP(CONCATENATE(Assembly!C12,Assembly!F12),PulleysEndCaps,4,FALSE)="","",VLOOKUP(CONCATENATE(Assembly!C12,Assembly!F12),PulleysEndCaps,4,FALSE)))</f>
        <v/>
      </c>
      <c r="DM4" s="8" t="str">
        <f>IF(OR('Job Sheet'!Z12="Conduit",I4&lt;&gt;"DBS to Make"),"",IF(VLOOKUP(CONCATENATE(Assembly!C12,Assembly!F12),PulleysEndCaps,7,FALSE)="","",VLOOKUP(CONCATENATE(Assembly!C12,Assembly!F12),PulleysEndCaps,7,FALSE)))</f>
        <v/>
      </c>
      <c r="DN4" s="8" t="str">
        <f>IF(D4="","",IF(AND(OR(VLOOKUP(CONCATENATE('Tube Cutting'!E12,'Tube Cutting'!D12),TrackManufacturing,2,FALSE)="Wavefold White",VLOOKUP(CONCATENATE('Tube Cutting'!E12,'Tube Cutting'!D12),TrackManufacturing,2,FALSE)="Wavefold Black",VLOOKUP(CONCATENATE('Tube Cutting'!E12,'Tube Cutting'!D12),TrackManufacturing,2,FALSE)="Wavefold Matt Satin",VLOOKUP(CONCATENATE('Tube Cutting'!E12,'Tube Cutting'!D12),TrackManufacturing,2,FALSE)="System 20 White",VLOOKUP(CONCATENATE('Tube Cutting'!E12,'Tube Cutting'!D12),TrackManufacturing,2,FALSE)="System 20 Black",VLOOKUP(CONCATENATE('Tube Cutting'!E12,'Tube Cutting'!D12),TrackManufacturing,2,FALSE)="System 20 Matt Satin"),'Tube Cutting'!C12&gt;6000),1,""))</f>
        <v/>
      </c>
      <c r="DO4" s="8" t="str">
        <f>IF(D4="","",IF(AND(OR(VLOOKUP(CONCATENATE('Tube Cutting'!E12,'Tube Cutting'!D12),TrackManufacturing,2,FALSE)="Streamline White",VLOOKUP(CONCATENATE('Tube Cutting'!E12,'Tube Cutting'!D12),TrackManufacturing,2,FALSE)="Streamline Black",VLOOKUP(CONCATENATE('Tube Cutting'!E12,'Tube Cutting'!D12),TrackManufacturing,2,FALSE)="Streamline Birch White",VLOOKUP(CONCATENATE('Tube Cutting'!E12,'Tube Cutting'!D12),TrackManufacturing,2,FALSE)="Streamline Matt Satin"),'Tube Cutting'!C12&gt;6000),1,""))</f>
        <v/>
      </c>
      <c r="DP4" s="8">
        <f>IF(OR('Job Sheet'!Z12="Conduit",I4&lt;&gt;"DBS to Make"),"",IF(VLOOKUP(CONCATENATE(Assembly!C12,Assembly!F12),PulleysEndCaps,5,FALSE)="","",IF('Tube Cutting'!D12="White",VLOOKUP(CONCATENATE(Assembly!C12,Assembly!F12),PulleysEndCaps,5,FALSE),"")))</f>
        <v>2</v>
      </c>
      <c r="DQ4" s="8" t="str">
        <f>IF(OR('Job Sheet'!Z12="Conduit",I4&lt;&gt;"DBS to Make"),"",IF(VLOOKUP(CONCATENATE(Assembly!C12,Assembly!F12),PulleysEndCaps,5,FALSE)="","",IF('Tube Cutting'!D12="Black",VLOOKUP(CONCATENATE(Assembly!C12,Assembly!F12),PulleysEndCaps,5,FALSE),"")))</f>
        <v/>
      </c>
      <c r="DR4" s="8" t="str">
        <f>IF(OR('Job Sheet'!Z12="Conduit",I4&lt;&gt;"DBS to Make"),"",IF(VLOOKUP(CONCATENATE(Assembly!C12,Assembly!F12),PulleysEndCaps,5,FALSE)="","",IF('Tube Cutting'!D12="Matt Satin",VLOOKUP(CONCATENATE(Assembly!C12,Assembly!F12),PulleysEndCaps,5,FALSE),"")))</f>
        <v/>
      </c>
      <c r="DS4" s="8" t="str">
        <f>IF(OR('Job Sheet'!Z12="Conduit",I4&lt;&gt;"DBS to Make"),"",IF(VLOOKUP(CONCATENATE(Assembly!C12,Assembly!F12),PulleysEndCaps,8,FALSE)="","",IF('Tube Cutting'!D12="White",VLOOKUP(CONCATENATE(Assembly!C12,Assembly!F12),PulleysEndCaps,8,FALSE),"")))</f>
        <v/>
      </c>
      <c r="DT4" s="8" t="str">
        <f>IF(OR('Job Sheet'!Z12="Conduit",I4&lt;&gt;"DBS to Make"),"",IF(VLOOKUP(CONCATENATE(Assembly!C12,Assembly!F12),PulleysEndCaps,8,FALSE)="","",IF('Tube Cutting'!D12="Matt Black Ink",VLOOKUP(CONCATENATE(Assembly!C12,Assembly!F12),PulleysEndCaps,8,FALSE),"")))</f>
        <v/>
      </c>
      <c r="DU4" s="8" t="str">
        <f>IF(OR('Job Sheet'!Z12="Conduit",I4&lt;&gt;"DBS to Make"),"",IF(VLOOKUP(CONCATENATE(Assembly!C12,Assembly!F12),PulleysEndCaps,8,FALSE)="","",IF('Tube Cutting'!D12="Birch White",VLOOKUP(CONCATENATE(Assembly!C12,Assembly!F12),PulleysEndCaps,8,FALSE),"")))</f>
        <v/>
      </c>
      <c r="DV4" s="8" t="str">
        <f>IF(OR('Job Sheet'!Z12="Conduit",'Job Sheet'!Z12="Conduit x 2",I4&lt;&gt;"DBS to Make"),"",IF(VLOOKUP(CONCATENATE(Assembly!C12,Assembly!F12),PulleysEndCaps,8,FALSE)="","",IF('Tube Cutting'!D12="Matt Satin",VLOOKUP(CONCATENATE(Assembly!C12,Assembly!F12),PulleysEndCaps,8,FALSE),"")))</f>
        <v/>
      </c>
      <c r="DW4" s="8" t="str">
        <f>IF(D4="","",IF(AND(Assembly!C12="Wavefold Cord Operation",OR('Tube Cutting'!D12="White",'Tube Cutting'!D12="Matt Satin"),OR(Assembly!F12="Centre Opening",Assembly!F12="Centre Opening - Free Flowing",Assembly!F12="Centre Opening (Offset)",Assembly!F12="Centre Opening - Free Flowing (Offset)")),2,IF(AND(Assembly!C12="Wavefold Cord Operation",OR('Tube Cutting'!D12="White",'Tube Cutting'!D12="Matt Satin"),OR(Assembly!F12="Single Panel - Left Stacking",Assembly!F12="Single Panel - Right Stacking",Assembly!F12="Single Panel - Free Flowing")),1,"")))</f>
        <v/>
      </c>
      <c r="DX4" s="8" t="str">
        <f>IF(D4="","",IF(AND(AND(Assembly!C12="Wavefold Cord Operation",'Tube Cutting'!D12="Black",'Tube Cutting'!D12),(OR(Assembly!F12="Centre Opening",Assembly!F12="Centre Opening - Free Flowing",Assembly!F12="Centre Opening (Offset)",Assembly!F12="Centre Opening - Free Flowing (Offset)"))),2,IF(AND(AND(Assembly!C12="Wavefold Cord Operation",'Tube Cutting'!D12="Black",'Tube Cutting'!D12),(OR(Assembly!F12="Single Panel - Left Stacking",Assembly!F12="Single Panel - Right Stacking",Assembly!F12="Single Panel - Free Flowing"))),1,"")))</f>
        <v/>
      </c>
      <c r="DY4" s="8" t="str">
        <f>IF(D4="","",IF(AND(Assembly!C12="Wavefold Hand Operation",(OR('Tube Cutting'!D12="White",'Tube Cutting'!D12="White"))),Bagging!I12,""))</f>
        <v>2</v>
      </c>
      <c r="DZ4" s="8" t="str">
        <f>IF(D4="","",IF(AND(Assembly!C12="Wavefold Hand Operation",'Tube Cutting'!D12="Black"),Bagging!I12,""))</f>
        <v/>
      </c>
      <c r="EA4" s="8" t="str">
        <f>IF(OR(D4="",AI14="Straight"),"",IF(AND(OR('Tube Cutting'!E12="Streamline Cord Operation",'Tube Cutting'!E12="Streamline Hand Operation"),(OR(Assembly!F12="Centre Opening",Assembly!F12="Centre Opening - Free Flowing",Assembly!F12="Centre Opening (Offset)",Assembly!F12="Centre Opening - Free Flowing (Offset)"))),2,IF(AND(OR('Tube Cutting'!E12="Streamline Cord Operation",'Tube Cutting'!E12="Streamline Hand Operation"),(OR(Assembly!F12="Single Panel - Left Stacking",Assembly!F12="Single Panel - Right Stacking - Free Flowing",Assembly!F12="Single Panel - Free Flowing"))),1,"")))</f>
        <v/>
      </c>
      <c r="EB4" s="8" t="str">
        <f>IF(D4="","",IF(OR('Tube Cutting'!E12="Streamline Cord Operation",'Tube Cutting'!E12="Wavefold Cord Operation",'Tube Cutting'!E12="System 20 Light Commercial Track Cord Drawn"),1,""))</f>
        <v/>
      </c>
      <c r="EC4" s="8" t="str">
        <f>IF(D4="","",IF(VLOOKUP(CONCATENATE('Tube Cutting'!E12,'Tube Cutting'!D12),TrackManufacturing,2,FALSE)="System 20 White",1,""))</f>
        <v/>
      </c>
      <c r="ED4" s="8" t="str">
        <f>IF(D4="","",IF(VLOOKUP(CONCATENATE('Tube Cutting'!E12,'Tube Cutting'!D12),TrackManufacturing,2,FALSE)="System 20 Black",1,""))</f>
        <v/>
      </c>
      <c r="EE4" s="8" t="str">
        <f>IF(D4="","",IF(AND(VLOOKUP(CONCATENATE('Tube Cutting'!E12,'Tube Cutting'!D12),TrackManufacturing,2,FALSE)="System 20 White",(OR(Assembly!F12="Centre Opening",Assembly!F12="Centre Opening - Free Flowing",Assembly!F12="Centre Opening (Offset)",Assembly!F12="Centre Opening - Free Flowing (Offset)"))),1,""))</f>
        <v/>
      </c>
      <c r="EF4" s="8" t="str">
        <f>IF(D4="","",IF(AND(VLOOKUP(CONCATENATE('Tube Cutting'!E12,'Tube Cutting'!D12),TrackManufacturing,2,FALSE)="System 20 Black",(OR(Assembly!F12="Centre Opening",Assembly!F12="Centre Opening - Free Flowing",Assembly!F12="Centre Opening (Offset)",Assembly!F12="Centre Opening - Free Flowing (Offset)"))),1,""))</f>
        <v/>
      </c>
      <c r="EG4" s="125" t="str">
        <f>IF(D4="","",IF(OR(VLOOKUP(CONCATENATE('Tube Cutting'!E12,'Tube Cutting'!D12),TrackManufacturing,2,FALSE)="System 20 White",VLOOKUP(CONCATENATE('Tube Cutting'!E12,'Tube Cutting'!D12),TrackManufacturing,2,FALSE)="System 20 Black"),Assembly!G12,""))</f>
        <v/>
      </c>
      <c r="EH4" s="8" t="str">
        <f>IF('Tube Cutting'!E12="Conduit",'Job Sheet'!CB12,"")</f>
        <v/>
      </c>
      <c r="EI4" s="8" t="str">
        <f>IF(Bagging!D12="Muslin Brackets",2,IF(Bagging!D12="Muslin Brackets Top and Bottom",4,""))</f>
        <v/>
      </c>
      <c r="EJ4" s="8" t="str">
        <f>IF(Bagging!D12="100mm Unstayed Brackets with Acorns",2,"")</f>
        <v/>
      </c>
      <c r="EK4" s="8" t="str">
        <f>IF(Bagging!D12="25mm Brackets with Acorns",2,IF('Job Sheet'!AJ12="1 (Conduit)",2,IF('Job Sheet'!AJ12="2 (Conduit)",4,IF('Job Sheet'!AJ12="3 (Conduit)",6,IF('Job Sheet'!AJ12="4 (Conduit)",8,"")))))</f>
        <v/>
      </c>
      <c r="EL4" s="8" t="str">
        <f>IF(OR(Bagging!D12="25mm Brackets with Acorns",Bagging!D12="100mm Unstayed Brackets with Acorns"),2,"")</f>
        <v/>
      </c>
      <c r="EM4" s="8" t="str">
        <f>IF('Job Sheet'!AJ12="1 (Conduit)",1,IF('Job Sheet'!AJ12="2 (Conduit)",2,IF('Job Sheet'!AJ12="3 (Conduit)",3,IF('Job Sheet'!AJ12="4 (Conduit)",4,""))))</f>
        <v/>
      </c>
    </row>
    <row r="5" spans="4:143" ht="12" customHeight="1">
      <c r="D5" s="8" t="str">
        <f>IF(Data!AW13="","",CONCATENATE(Data!BC$5,".",Data!BD$5))</f>
        <v>39776.F</v>
      </c>
      <c r="E5" s="8">
        <f>IF(D5="","",Data!AW13)</f>
        <v>30</v>
      </c>
      <c r="F5" s="8" t="str">
        <f>IF(D5="","",Data!AV13)</f>
        <v>fc7f01fe-453e-4c7f-beab-557b21684306</v>
      </c>
      <c r="G5" s="8" t="str">
        <f>IF(D5="","",Data!BF$5)</f>
        <v>Hare, Kaitlin</v>
      </c>
      <c r="H5" s="8" t="str">
        <f>IF(D5="","",Data!AX$5)</f>
        <v>Whole House</v>
      </c>
      <c r="I5" s="8" t="str">
        <f>IF(D5="","",'Job Sheet'!BH13)</f>
        <v>DBS to Make</v>
      </c>
      <c r="J5" s="8">
        <f>IF(D5="","",IF(OR(VLOOKUP(CONCATENATE('Tube Cutting'!E13,'Tube Cutting'!D13),TrackManufacturing,2,FALSE)="Wavefold White",VLOOKUP(CONCATENATE('Tube Cutting'!E13,'Tube Cutting'!D13),TrackManufacturing,2,FALSE)="Wavefold Black",VLOOKUP(CONCATENATE('Tube Cutting'!E13,'Tube Cutting'!D13),TrackManufacturing,2,FALSE)="Wavefold Matt Satin"),('Job Sheet'!BP13*2)/1000,""))</f>
        <v>7.074</v>
      </c>
      <c r="K5" s="125">
        <f>IF(D5="","",IF(OR(VLOOKUP(CONCATENATE('Tube Cutting'!E13,'Tube Cutting'!D13),TrackManufacturing,2,FALSE)="Wavefold White",VLOOKUP(CONCATENATE('Tube Cutting'!E13,'Tube Cutting'!D13),TrackManufacturing,2,FALSE)="Wavefold Matt Satin"),J5*10,""))</f>
        <v>70.74</v>
      </c>
      <c r="L5" s="125" t="str">
        <f>IF(D5="","",IF(VLOOKUP(CONCATENATE('Tube Cutting'!E13,'Tube Cutting'!D13),TrackManufacturing,2,FALSE)="Wavefold Black",J5*10,""))</f>
        <v/>
      </c>
      <c r="M5" s="126">
        <f>IF(D5="","",IF(OR(VLOOKUP(CONCATENATE('Tube Cutting'!E13,'Tube Cutting'!D13),TrackManufacturing,2,FALSE)="Wavefold White",VLOOKUP(CONCATENATE('Tube Cutting'!E13,'Tube Cutting'!D13),TrackManufacturing,2,FALSE)="System 20 White"),'Tube Cutting'!C13/1000,""))</f>
        <v>3.476</v>
      </c>
      <c r="N5" s="126" t="str">
        <f>IF(D5="","",IF(OR(VLOOKUP(CONCATENATE('Tube Cutting'!E13,'Tube Cutting'!D13),TrackManufacturing,2,FALSE)="Wavefold Black",VLOOKUP(CONCATENATE('Tube Cutting'!E13,'Tube Cutting'!D13),TrackManufacturing,2,FALSE)="System 20 Black"),'Tube Cutting'!C13/1000,""))</f>
        <v/>
      </c>
      <c r="O5" s="126" t="str">
        <f>IF(D5="","",IF(OR(VLOOKUP(CONCATENATE('Tube Cutting'!E13,'Tube Cutting'!D13),TrackManufacturing,2,FALSE)="Wavefold Matt Satin",VLOOKUP(CONCATENATE('Tube Cutting'!E13,'Tube Cutting'!D13),TrackManufacturing,2,FALSE)="System 20 Matt Satin"),'Tube Cutting'!C13/1000,""))</f>
        <v/>
      </c>
      <c r="P5" s="125">
        <f>IF(D5="","",IF(AND((OR('Tube Cutting'!D13="White",'Tube Cutting'!D13="Matt Satin")),(OR('Tube Cutting'!E13="Wavefold Hand Operation",'Tube Cutting'!E13="Wavefold Cord Operation"))),IF(M5="",O5*20,M5*20),""))</f>
        <v>69.52</v>
      </c>
      <c r="Q5" s="125" t="str">
        <f>IF(D5="","",IF(AND('Tube Cutting'!D13="Black",(OR('Tube Cutting'!E13="Wavefold Hand Operation",'Tube Cutting'!E13="Wavefold Cord Operation"))),N5*20,""))</f>
        <v/>
      </c>
      <c r="R5" s="125" t="str">
        <f>IF(D5="","",IF(OR('Tube Cutting'!E13="Streamline Hand Operation",'Tube Cutting'!E13="Streamline Cord Operation"),Assembly!G13,""))</f>
        <v/>
      </c>
      <c r="S5" s="8" t="str">
        <f>IF(D5="","",IF(VLOOKUP(CONCATENATE('Tube Cutting'!E13,'Tube Cutting'!D13),TrackManufacturing,2,FALSE)="Streamline White",'Tube Cutting'!C13/1000,""))</f>
        <v/>
      </c>
      <c r="T5" s="8" t="str">
        <f>IF(D5="","",IF(VLOOKUP(CONCATENATE('Tube Cutting'!E13,'Tube Cutting'!D13),TrackManufacturing,2,FALSE)="Streamline Matt Black Ink",'Tube Cutting'!C13/1000,""))</f>
        <v/>
      </c>
      <c r="U5" s="8" t="str">
        <f>IF(D5="","",IF(VLOOKUP(CONCATENATE('Tube Cutting'!E13,'Tube Cutting'!D13),TrackManufacturing,2,FALSE)="Streamline Birch White",'Tube Cutting'!C13/1000,""))</f>
        <v/>
      </c>
      <c r="V5" s="8" t="str">
        <f>IF(D5="","",IF(VLOOKUP(CONCATENATE('Tube Cutting'!E13,'Tube Cutting'!D13),TrackManufacturing,2,FALSE)="Streamline Matt Satin",'Tube Cutting'!C13/1000,""))</f>
        <v/>
      </c>
      <c r="W5" s="8" t="str">
        <f>IF(Bagging!H13="White Aluminium Flick Sticks 100cm",Bagging!I13,"")</f>
        <v/>
      </c>
      <c r="X5" s="8" t="str">
        <f>IF(Bagging!H13="White Aluminium Flick Sticks 125cm",Bagging!I13,"")</f>
        <v>2</v>
      </c>
      <c r="Y5" s="8" t="str">
        <f>IF(Bagging!H13="White Aluminium Flick Sticks 150cm",Bagging!I13,"")</f>
        <v/>
      </c>
      <c r="Z5" s="8" t="str">
        <f>IF(Bagging!H13="Black Aluminium Flick Sticks 100cm",Bagging!I13,"")</f>
        <v/>
      </c>
      <c r="AA5" s="8" t="str">
        <f>IF(Bagging!H13="Black Aluminium Flick Sticks 125cm",Bagging!I13,"")</f>
        <v/>
      </c>
      <c r="AB5" s="8" t="str">
        <f>IF(Bagging!H13="Black Aluminium Flick Sticks 150cm",Bagging!I13,"")</f>
        <v/>
      </c>
      <c r="AC5" s="8" t="str">
        <f>IF(Bagging!H13="Matt Satin Aluminium Flick Sticks 100cm",Bagging!I13,"")</f>
        <v/>
      </c>
      <c r="AD5" s="8" t="str">
        <f>IF(Bagging!H13="Black Aluminium Flick Sticks 125cm",Bagging!I13,"")</f>
        <v/>
      </c>
      <c r="AE5" s="8" t="str">
        <f>IF(Bagging!H13="Black Aluminium Flick Sticks 150cm",Bagging!I13,"")</f>
        <v/>
      </c>
      <c r="AF5" s="8" t="str">
        <f>IF(Bagging!H13="Standard Clear 75cm",Bagging!I13,"")</f>
        <v/>
      </c>
      <c r="AG5" s="8" t="str">
        <f>IF(Bagging!H13="Standard Clear 100cm",Bagging!I13,"")</f>
        <v/>
      </c>
      <c r="AH5" s="8" t="str">
        <f>IF(Bagging!H13="Standard Clear 125cm",Bagging!I13,"")</f>
        <v/>
      </c>
      <c r="AI5" s="8" t="str">
        <f>IF(Bagging!H13="Standard Clear 150cm",Bagging!I13,"")</f>
        <v/>
      </c>
      <c r="AJ5" s="8" t="str">
        <f>IF(Bagging!H13="White Fibreglass 200cm",Bagging!I13,"")</f>
        <v/>
      </c>
      <c r="AK5" s="8" t="str">
        <f>IF(Bagging!H13="White Fibreglass 250cm",Bagging!I13,"")</f>
        <v/>
      </c>
      <c r="AL5" s="8" t="str">
        <f>IF(D5="","",IF(AND(OR(VLOOKUP(CONCATENATE('Tube Cutting'!E13,'Tube Cutting'!D13),TrackManufacturing,2,FALSE)="Wavefold White",VLOOKUP(CONCATENATE('Tube Cutting'!E13,'Tube Cutting'!D13),TrackManufacturing,2,FALSE)="System 20 White"),(Bagging!D13="Top Fix Brackets")),Bagging!F13,""))</f>
        <v/>
      </c>
      <c r="AM5" s="8" t="str">
        <f>IF(D5="","",IF(AND(OR(VLOOKUP(CONCATENATE('Tube Cutting'!E13,'Tube Cutting'!D13),TrackManufacturing,2,FALSE)="Wavefold White",VLOOKUP(CONCATENATE('Tube Cutting'!E13,'Tube Cutting'!D13),TrackManufacturing,2,FALSE)="System 20 White"),(Bagging!D13="Single Face Fix Brackets")),Bagging!F13,""))</f>
        <v/>
      </c>
      <c r="AN5" s="8" t="str">
        <f>IF(D5="","",IF(AND(OR(VLOOKUP(CONCATENATE('Tube Cutting'!E13,'Tube Cutting'!D13),TrackManufacturing,2,FALSE)="Wavefold White",VLOOKUP(CONCATENATE('Tube Cutting'!E13,'Tube Cutting'!D13),TrackManufacturing,2,FALSE)="System 20 White"),(Bagging!D13="Double Face Fix Brackets")),Bagging!F13,""))</f>
        <v/>
      </c>
      <c r="AO5" s="8">
        <f>IF(D5="","",IF(AND(OR(VLOOKUP(CONCATENATE('Tube Cutting'!E13,'Tube Cutting'!D13),TrackManufacturing,2,FALSE)="Wavefold White",VLOOKUP(CONCATENATE('Tube Cutting'!E13,'Tube Cutting'!D13),TrackManufacturing,2,FALSE)="System 20 White"),(Bagging!D13="Triple Face Fix Brackets")),Bagging!F13,""))</f>
        <v>6</v>
      </c>
      <c r="AP5" s="8" t="str">
        <f>IF(D5="","",IF(AND(OR(VLOOKUP(CONCATENATE('Tube Cutting'!E13,'Tube Cutting'!D13),TrackManufacturing,2,FALSE)="Wavefold Black",VLOOKUP(CONCATENATE('Tube Cutting'!E13,'Tube Cutting'!D13),TrackManufacturing,2,FALSE)="System 20 Black"),(Bagging!D13="Top Fix Brackets")),Bagging!F13,""))</f>
        <v/>
      </c>
      <c r="AQ5" s="8" t="str">
        <f>IF(D5="","",IF(AND(OR(VLOOKUP(CONCATENATE('Tube Cutting'!E13,'Tube Cutting'!D13),TrackManufacturing,2,FALSE)="Wavefold Black",VLOOKUP(CONCATENATE('Tube Cutting'!E13,'Tube Cutting'!D13),TrackManufacturing,2,FALSE)="System 20 Black"),(Bagging!D13="Single Face Fix Brackets")),Bagging!F13,""))</f>
        <v/>
      </c>
      <c r="AR5" s="8" t="str">
        <f>IF(D5="","",IF(AND(OR(VLOOKUP(CONCATENATE('Tube Cutting'!E13,'Tube Cutting'!D13),TrackManufacturing,2,FALSE)="Wavefold Black",VLOOKUP(CONCATENATE('Tube Cutting'!E13,'Tube Cutting'!D13),TrackManufacturing,2,FALSE)="System 20 Black"),(Bagging!D13="Double Face Fix Brackets")),Bagging!F13,""))</f>
        <v/>
      </c>
      <c r="AS5" s="8" t="str">
        <f>IF(D5="","",IF(AND(OR(VLOOKUP(CONCATENATE('Tube Cutting'!E13,'Tube Cutting'!D13),TrackManufacturing,2,FALSE)="Wavefold Black",VLOOKUP(CONCATENATE('Tube Cutting'!E13,'Tube Cutting'!D13),TrackManufacturing,2,FALSE)="System 20 Black"),(Bagging!D13="Triple Face Fix Brackets")),Bagging!F13,""))</f>
        <v/>
      </c>
      <c r="AT5" s="8" t="str">
        <f>IF(D5="","",IF(AND(OR(VLOOKUP(CONCATENATE('Tube Cutting'!E13,'Tube Cutting'!D13),TrackManufacturing,2,FALSE)="Wavefold Matt Satin",VLOOKUP(CONCATENATE('Tube Cutting'!E13,'Tube Cutting'!D13),TrackManufacturing,2,FALSE)="System 20 Matt Satin"),(Bagging!D13="Top Fix Brackets")),Bagging!F13,""))</f>
        <v/>
      </c>
      <c r="AU5" s="8" t="str">
        <f>IF(D5="","",IF(AND(OR(VLOOKUP(CONCATENATE('Tube Cutting'!E13,'Tube Cutting'!D13),TrackManufacturing,2,FALSE)="Wavefold Matt Satin",VLOOKUP(CONCATENATE('Tube Cutting'!E13,'Tube Cutting'!D13),TrackManufacturing,2,FALSE)="System 20 Matt Satin"),(Bagging!D13="Single Face Fix Brackets")),Bagging!F13,""))</f>
        <v/>
      </c>
      <c r="AV5" s="8" t="str">
        <f>IF(D5="","",IF(AND(OR(VLOOKUP(CONCATENATE('Tube Cutting'!E13,'Tube Cutting'!D13),TrackManufacturing,2,FALSE)="Wavefold Matt Satin",VLOOKUP(CONCATENATE('Tube Cutting'!E13,'Tube Cutting'!D13),TrackManufacturing,2,FALSE)="System 20 Matt Satin"),(Bagging!D13="Double Face Fix Brackets")),Bagging!F13,""))</f>
        <v/>
      </c>
      <c r="AW5" s="8" t="str">
        <f>IF(D5="","",IF(AND(OR(VLOOKUP(CONCATENATE('Tube Cutting'!E13,'Tube Cutting'!D13),TrackManufacturing,2,FALSE)="Wavefold Matt Satin",VLOOKUP(CONCATENATE('Tube Cutting'!E13,'Tube Cutting'!D13),TrackManufacturing,2,FALSE)="System 20 Matt Satin"),(Bagging!D13="Triple Face Fix Brackets")),Bagging!F13,""))</f>
        <v/>
      </c>
      <c r="AX5" s="8" t="str">
        <f>IF(D5="","",IF(AND(VLOOKUP(CONCATENATE('Tube Cutting'!E13,'Tube Cutting'!D13),TrackManufacturing,2,FALSE)="Streamline White",(Bagging!D13="Nylon Top Fix Brackets")),VLOOKUP('Job Sheet'!BP13,Brackets,2,TRUE),""))</f>
        <v/>
      </c>
      <c r="AY5" s="8" t="str">
        <f>IF(D5="","",IF(AND(VLOOKUP(CONCATENATE('Tube Cutting'!E13,'Tube Cutting'!D13),TrackManufacturing,2,FALSE)="Streamline White",(Bagging!D13="Metal Fix Brackets")),VLOOKUP('Job Sheet'!BP13,Brackets,2,TRUE),""))</f>
        <v/>
      </c>
      <c r="AZ5" s="8" t="str">
        <f>IF(D5="","",IF(AND(VLOOKUP(CONCATENATE('Tube Cutting'!E13,'Tube Cutting'!D13),TrackManufacturing,2,FALSE)="Streamline White",(Bagging!D13="Single Face Fix Brackets")),Bagging!F13,""))</f>
        <v/>
      </c>
      <c r="BA5" s="8" t="str">
        <f>IF(D5="","",IF(AND(VLOOKUP(CONCATENATE('Tube Cutting'!E13,'Tube Cutting'!D13),TrackManufacturing,2,FALSE)="Streamline White",(Bagging!D13="Double Face Fix Brackets")),Bagging!F13,""))</f>
        <v/>
      </c>
      <c r="BB5" s="8" t="str">
        <f>IF(D5="","",IF(AND(VLOOKUP(CONCATENATE('Tube Cutting'!E13,'Tube Cutting'!D13),TrackManufacturing,2,FALSE)="Streamline White",(Bagging!D13="Triple Face Fix Brackets")),Bagging!F13,""))</f>
        <v/>
      </c>
      <c r="BC5" s="8" t="str">
        <f>IF(D5="","",IF(AND(VLOOKUP(CONCATENATE('Tube Cutting'!E13,'Tube Cutting'!D13),TrackManufacturing,2,FALSE)="Streamline White",(Bagging!D13="32mm Face Fix Brackets")),Bagging!F13,""))</f>
        <v/>
      </c>
      <c r="BD5" s="8" t="str">
        <f>IF(D5="","",IF(AND(VLOOKUP(CONCATENATE('Tube Cutting'!E13,'Tube Cutting'!D13),TrackManufacturing,2,FALSE)="Streamline Matt Black Ink",(Bagging!D13="Top Fix Brackets")),VLOOKUP('Job Sheet'!BP13,Brackets,2,TRUE),""))</f>
        <v/>
      </c>
      <c r="BE5" s="8" t="str">
        <f>IF(D5="","",IF(AND(VLOOKUP(CONCATENATE('Tube Cutting'!E13,'Tube Cutting'!D13),TrackManufacturing,2,FALSE)="Streamline White",(Bagging!D13="Metal Fix Brackets")),VLOOKUP('Job Sheet'!BP13,Brackets,2,TRUE),""))</f>
        <v/>
      </c>
      <c r="BF5" s="8" t="str">
        <f>IF(D5="","",IF(AND(VLOOKUP(CONCATENATE('Tube Cutting'!E13,'Tube Cutting'!D13),TrackManufacturing,2,FALSE)="Streamline Matt Black Ink",(Bagging!D13="Single Face Fix Brackets")),Bagging!F13,""))</f>
        <v/>
      </c>
      <c r="BG5" s="8" t="str">
        <f>IF(D5="","",IF(AND(VLOOKUP(CONCATENATE('Tube Cutting'!E13,'Tube Cutting'!D13),TrackManufacturing,2,FALSE)="Streamline Matt Black Ink",(Bagging!D13="Double Face Fix Brackets")),Bagging!F13,""))</f>
        <v/>
      </c>
      <c r="BH5" s="8" t="str">
        <f>IF(D5="","",IF(AND(VLOOKUP(CONCATENATE('Tube Cutting'!E13,'Tube Cutting'!D13),TrackManufacturing,2,FALSE)="Streamline Matt Black Ink",(Bagging!D13="Triple Face Fix Brackets")),Bagging!F13,""))</f>
        <v/>
      </c>
      <c r="BI5" s="8" t="str">
        <f>IF(D5="","",IF(AND(VLOOKUP(CONCATENATE('Tube Cutting'!E13,'Tube Cutting'!D13),TrackManufacturing,2,FALSE)="Streamline Matt Black Ink",(Bagging!D13="32mm Face Fix Brackets")),Bagging!F13,""))</f>
        <v/>
      </c>
      <c r="BJ5" s="8" t="str">
        <f>IF(D5="","",IF(AND(VLOOKUP(CONCATENATE('Tube Cutting'!E13,'Tube Cutting'!D13),TrackManufacturing,2,FALSE)="Streamline Birch White",(Bagging!D13="Top Fix Brackets")),VLOOKUP('Job Sheet'!BP13,Brackets,2,TRUE),""))</f>
        <v/>
      </c>
      <c r="BK5" s="8" t="str">
        <f>IF(D5="","",IF(AND(VLOOKUP(CONCATENATE('Tube Cutting'!E13,'Tube Cutting'!D13),TrackManufacturing,2,FALSE)="Streamline White",(Bagging!D13="Metal Fix Brackets")),VLOOKUP('Job Sheet'!BP13,Brackets,2,TRUE),""))</f>
        <v/>
      </c>
      <c r="BL5" s="8" t="str">
        <f>IF(D5="","",IF(AND(VLOOKUP(CONCATENATE('Tube Cutting'!E13,'Tube Cutting'!D13),TrackManufacturing,2,FALSE)="Streamline Birch White",(Bagging!D13="Single Face Fix Brackets")),Bagging!F13,""))</f>
        <v/>
      </c>
      <c r="BM5" s="8" t="str">
        <f>IF(D5="","",IF(AND(VLOOKUP(CONCATENATE('Tube Cutting'!E13,'Tube Cutting'!D13),TrackManufacturing,2,FALSE)="Streamline Birch White",(Bagging!D13="Double Face Fix Brackets")),Bagging!F13,""))</f>
        <v/>
      </c>
      <c r="BN5" s="8" t="str">
        <f>IF(D5="","",IF(AND(VLOOKUP(CONCATENATE('Tube Cutting'!E13,'Tube Cutting'!D13),TrackManufacturing,2,FALSE)="Streamline Birch White",(Bagging!D13="Triple Face Fix Brackets")),Bagging!F13,""))</f>
        <v/>
      </c>
      <c r="BO5" s="8" t="str">
        <f>IF(D5="","",IF(AND(VLOOKUP(CONCATENATE('Tube Cutting'!E13,'Tube Cutting'!D13),TrackManufacturing,2,FALSE)="Streamline Birch White",(Bagging!D13="32mm Face Fix Brackets")),Bagging!F13,""))</f>
        <v/>
      </c>
      <c r="BP5" s="8" t="str">
        <f>IF(K5="","",IF(AND(VLOOKUP(CONCATENATE('Tube Cutting'!K13,'Tube Cutting'!J13),TrackManufacturing,2,FALSE)="Streamline Birch White",(Bagging!J13="Top Fix Brackets")),VLOOKUP('Job Sheet'!BU13,Brackets,2,TRUE),""))</f>
        <v/>
      </c>
      <c r="BQ5" s="8" t="str">
        <f>IF(K5="","",IF(AND(VLOOKUP(CONCATENATE('Tube Cutting'!K13,'Tube Cutting'!J13),TrackManufacturing,2,FALSE)="Streamline White",(Bagging!J13="Metal Fix Brackets")),VLOOKUP('Job Sheet'!BU13,Brackets,2,TRUE),""))</f>
        <v/>
      </c>
      <c r="BR5" s="8" t="str">
        <f>IF(K5="","",IF(AND(VLOOKUP(CONCATENATE('Tube Cutting'!K13,'Tube Cutting'!J13),TrackManufacturing,2,FALSE)="Streamline Birch White",(Bagging!J13="Single Face Fix Brackets")),Bagging!L13,""))</f>
        <v/>
      </c>
      <c r="BS5" s="8" t="str">
        <f>IF(K5="","",IF(AND(VLOOKUP(CONCATENATE('Tube Cutting'!K13,'Tube Cutting'!J13),TrackManufacturing,2,FALSE)="Streamline Birch White",(Bagging!J13="Double Face Fix Brackets")),Bagging!L13,""))</f>
        <v/>
      </c>
      <c r="BT5" s="8" t="str">
        <f>IF(K5="","",IF(AND(VLOOKUP(CONCATENATE('Tube Cutting'!K13,'Tube Cutting'!J13),TrackManufacturing,2,FALSE)="Streamline Birch White",(Bagging!J13="Triple Face Fix Brackets")),Bagging!L13,""))</f>
        <v/>
      </c>
      <c r="BU5" s="8" t="str">
        <f>IF(K5="","",IF(AND(VLOOKUP(CONCATENATE('Tube Cutting'!K13,'Tube Cutting'!J13),TrackManufacturing,2,FALSE)="Streamline Birch White",(Bagging!J13="32mm Face Fix Brackets")),Bagging!L13,""))</f>
        <v/>
      </c>
      <c r="BV5" s="8" t="str">
        <f>IF(AND('Tube Cutting'!D13="White",Bagging!D13="Top Fix Brackets"),Bagging!F13,"")</f>
        <v/>
      </c>
      <c r="BW5" s="8" t="str">
        <f>IF(AND('Tube Cutting'!D13="White",Bagging!D13="Single Face Fix Brackets"),Bagging!F13,"")</f>
        <v/>
      </c>
      <c r="BX5" s="8" t="str">
        <f>IF(AND('Tube Cutting'!D13="White",Bagging!D13="Double Face Fix Brackets"),Bagging!F13,"")</f>
        <v/>
      </c>
      <c r="BY5" s="8">
        <f>IF(AND('Tube Cutting'!D13="White",Bagging!D13="Triple Face Fix Brackets"),Bagging!F13,"")</f>
        <v>6</v>
      </c>
      <c r="BZ5" s="8" t="str">
        <f>IF(AND('Tube Cutting'!D13="Black",Bagging!D13="Top Fix Brackets"),Bagging!F13,"")</f>
        <v/>
      </c>
      <c r="CA5" s="8" t="str">
        <f>IF(AND('Tube Cutting'!D13="Black",Bagging!D13="Single Face Fix Brackets"),Bagging!F13,"")</f>
        <v/>
      </c>
      <c r="CB5" s="8" t="str">
        <f>IF(AND('Tube Cutting'!D13="Black",Bagging!D13="Double Face Fix Brackets"),Bagging!F13,"")</f>
        <v/>
      </c>
      <c r="CC5" s="8" t="str">
        <f>IF(AND('Tube Cutting'!D13="Black",Bagging!D13="Triple Fix Brackets"),Bagging!F13,"")</f>
        <v/>
      </c>
      <c r="CD5" s="8" t="str">
        <f>IF(AND('Tube Cutting'!D13="Matt Satin",Bagging!D13="Top Fix Brackets"),Bagging!F13,"")</f>
        <v/>
      </c>
      <c r="CE5" s="8" t="str">
        <f>IF(AND('Tube Cutting'!D13="Matt Satin",Bagging!D13="Single Face Fix Brackets"),Bagging!F13,"")</f>
        <v/>
      </c>
      <c r="CF5" s="8" t="str">
        <f>IF(AND('Tube Cutting'!D13="Matt Satin",Bagging!D13="Double Face Fix Brackets"),Bagging!F13,"")</f>
        <v/>
      </c>
      <c r="CG5" s="8" t="str">
        <f>IF(AND('Tube Cutting'!D13="Matt Satin",Bagging!D13="Triple Fix Brackets"),Bagging!F13,"")</f>
        <v/>
      </c>
      <c r="CH5" s="8" t="str">
        <f>IF(D5="","",IF(AND('Tube Cutting'!D13="White",(OR(Bagging!J13="Single Left",Bagging!J13="Single Left &amp; Right"))),"1",""))</f>
        <v/>
      </c>
      <c r="CI5" s="8" t="str">
        <f>IF(D5="","",IF(AND('Tube Cutting'!D13="Black",(OR(Bagging!J13="Single Left",Bagging!J13="Single Left &amp; Right"))),"1",""))</f>
        <v/>
      </c>
      <c r="CJ5" s="8" t="str">
        <f>IF(D5="","",IF(AND('Tube Cutting'!D13="Matt Satin",(OR(Bagging!J13="Single Left",Bagging!J13="Single Left &amp; Right"))),"1",""))</f>
        <v/>
      </c>
      <c r="CK5" s="8" t="str">
        <f>IF(D5="","",IF(AND('Tube Cutting'!D13="White",(OR(Bagging!J13="Single Right",Bagging!J13="Single Left &amp; Right"))),"1",""))</f>
        <v/>
      </c>
      <c r="CL5" s="8" t="str">
        <f>IF(D5="","",IF(AND('Tube Cutting'!D13="Black",(OR(Bagging!J13="Single Right",Bagging!J13="Single Left &amp; Right"))),"1",""))</f>
        <v/>
      </c>
      <c r="CM5" s="8" t="str">
        <f>IF(D5="","",IF(AND('Tube Cutting'!D13="Matt Satin",(OR(Bagging!J13="Single Right",Bagging!J13="Single Left &amp; Right"))),"1",""))</f>
        <v/>
      </c>
      <c r="CN5" s="8" t="str">
        <f>IF(D5="","",IF(AND('Tube Cutting'!D13="White",(OR(Bagging!J13="Double Left",Bagging!J13="Double Left &amp; Right"))),"1",""))</f>
        <v/>
      </c>
      <c r="CO5" s="8" t="str">
        <f>IF(D5="","",IF(AND('Tube Cutting'!D13="Black",(OR(Bagging!J13="Double Left",Bagging!J13="Double Left &amp; Right"))),"1",""))</f>
        <v/>
      </c>
      <c r="CP5" s="8" t="str">
        <f>IF(D5="","",IF(AND('Tube Cutting'!D13="Matt Satin",(OR(Bagging!J13="Double Left",Bagging!J13="Double Left &amp; Right"))),"1",""))</f>
        <v/>
      </c>
      <c r="CQ5" s="8" t="str">
        <f>IF(D5="","",IF(AND('Tube Cutting'!D13="White",(OR(Bagging!J13="Double Right",Bagging!J13="Double Left &amp; Right"))),"1",""))</f>
        <v/>
      </c>
      <c r="CR5" s="8" t="str">
        <f>IF(D5="","",IF(AND('Tube Cutting'!D13="Black",(OR(Bagging!J13="Double Right",Bagging!J13="Double Left &amp; Right"))),"1",""))</f>
        <v/>
      </c>
      <c r="CS5" s="8" t="str">
        <f>IF(D5="","",IF(AND('Tube Cutting'!D13="Matt Satin",(OR(Bagging!J13="Double Right",Bagging!J13="Double Left &amp; Right"))),"1",""))</f>
        <v/>
      </c>
      <c r="CT5" s="8" t="str">
        <f>IF(D5="","",IF(VLOOKUP(CONCATENATE('Tube Cutting'!E13,'Tube Cutting'!D13),TrackManufacturing,2,FALSE)="Streamline White",1,""))</f>
        <v/>
      </c>
      <c r="CU5" s="8" t="str">
        <f>IF(D5="","",IF(VLOOKUP(CONCATENATE('Tube Cutting'!E13,'Tube Cutting'!D13),TrackManufacturing,2,FALSE)="Streamline Matt Black Ink",1,""))</f>
        <v/>
      </c>
      <c r="CV5" s="8" t="str">
        <f>IF(D5="","",IF(VLOOKUP(CONCATENATE('Tube Cutting'!E13,'Tube Cutting'!D13),TrackManufacturing,2,FALSE)="Streamline Birch White",1,""))</f>
        <v/>
      </c>
      <c r="CW5" s="8" t="str">
        <f>IF(D5="","",IF(VLOOKUP(CONCATENATE('Tube Cutting'!E13,'Tube Cutting'!D13),TrackManufacturing,2,FALSE)="Streamline Matt Satin",1,""))</f>
        <v/>
      </c>
      <c r="CX5" s="8" t="str">
        <f>IF(D5="","",IF(AND(VLOOKUP(CONCATENATE('Tube Cutting'!E13,'Tube Cutting'!D13),TrackManufacturing,2,FALSE)="Streamline White",(OR(Assembly!F13="Centre Opening",Assembly!F13="Centre Opening - Free Flowing",Assembly!F13="Centre Opening (Offset)",Assembly!F13="Centre Opening - Free Flowing (Offset)"))),1,""))</f>
        <v/>
      </c>
      <c r="CY5" s="8" t="str">
        <f>IF(D5="","",IF(AND(VLOOKUP(CONCATENATE('Tube Cutting'!E13,'Tube Cutting'!D13),TrackManufacturing,2,FALSE)="Streamline Matt Black Ink",(OR(Assembly!F13="Centre Opening",Assembly!F13="Centre Opening - Free Flowing",Assembly!F13="Centre Opening (Offset)",Assembly!F13="Centre Opening - Free Flowing (Offset)"))),1,""))</f>
        <v/>
      </c>
      <c r="CZ5" s="8" t="str">
        <f>IF(D5="","",IF(AND(VLOOKUP(CONCATENATE('Tube Cutting'!E13,'Tube Cutting'!D13),TrackManufacturing,2,FALSE)="Streamline Birch White",(OR(Assembly!F13="Centre Opening",Assembly!F13="Centre Opening - Free Flowing",Assembly!F13="Centre Opening (Offset)",Assembly!F13="Centre Opening - Free Flowing (Offset)"))),1,""))</f>
        <v/>
      </c>
      <c r="DA5" s="8" t="str">
        <f>IF(D5="","",IF(AND(VLOOKUP(CONCATENATE('Tube Cutting'!E13,'Tube Cutting'!D13),TrackManufacturing,2,FALSE)="Streamline Matt Satin",(OR(Assembly!F13="Centre Opening",Assembly!F13="Centre Opening - Free Flowing",Assembly!F13="Centre Opening (Offset)",Assembly!F13="Centre Opening - Free Flowing (Offset)"))),1,""))</f>
        <v/>
      </c>
      <c r="DB5" s="8" t="str">
        <f>IF(OR('Job Sheet'!Z13="Conduit",I5&lt;&gt;"DBS to Make"),"",IF(VLOOKUP(CONCATENATE(Assembly!C13,Assembly!F13),PulleysEndCaps,2,FALSE)="","",IF('Tube Cutting'!D13="White",VLOOKUP(CONCATENATE(Assembly!C13,Assembly!F13),PulleysEndCaps,2,FALSE),"")))</f>
        <v/>
      </c>
      <c r="DC5" s="8" t="str">
        <f>IF(OR('Job Sheet'!Z13="Conduit",I5&lt;&gt;"DBS to Make"),"",IF(VLOOKUP(CONCATENATE(Assembly!C13,Assembly!F13),PulleysEndCaps,2,FALSE)="","",IF('Tube Cutting'!D13="Black",VLOOKUP(CONCATENATE(Assembly!C13,Assembly!F13),PulleysEndCaps,2,FALSE),"")))</f>
        <v/>
      </c>
      <c r="DD5" s="8" t="str">
        <f>IF(OR('Job Sheet'!Z13="Conduit",I5&lt;&gt;"DBS to Make"),"",IF(VLOOKUP(CONCATENATE(Assembly!C13,Assembly!F13),PulleysEndCaps,2,FALSE)="","",IF('Tube Cutting'!D13="Matt Satin",VLOOKUP(CONCATENATE(Assembly!C13,Assembly!F13),PulleysEndCaps,2,FALSE),"")))</f>
        <v/>
      </c>
      <c r="DE5" s="8" t="str">
        <f>IF(OR('Job Sheet'!Z13="Conduit",I5&lt;&gt;"DBS to Make"),"",IF(VLOOKUP(CONCATENATE(Assembly!C13,Assembly!F13),PulleysEndCaps,3,FALSE)="","",IF('Tube Cutting'!D13="White",VLOOKUP(CONCATENATE(Assembly!C13,Assembly!F13),PulleysEndCaps,3,FALSE),"")))</f>
        <v/>
      </c>
      <c r="DF5" s="8" t="str">
        <f>IF(OR('Job Sheet'!Z13="Conduit",I5&lt;&gt;"DBS to Make"),"",IF(VLOOKUP(CONCATENATE(Assembly!C13,Assembly!F13),PulleysEndCaps,3,FALSE)="","",IF('Tube Cutting'!D13="Black",VLOOKUP(CONCATENATE(Assembly!C13,Assembly!F13),PulleysEndCaps,3,FALSE),"")))</f>
        <v/>
      </c>
      <c r="DG5" s="8" t="str">
        <f>IF(OR('Job Sheet'!Z13="Conduit",I5&lt;&gt;"DBS to Make"),"",IF(VLOOKUP(CONCATENATE(Assembly!C13,Assembly!F13),PulleysEndCaps,3,FALSE)="","",IF('Tube Cutting'!D13="Matt Satin",VLOOKUP(CONCATENATE(Assembly!C13,Assembly!F13),PulleysEndCaps,3,FALSE),"")))</f>
        <v/>
      </c>
      <c r="DH5" s="8" t="str">
        <f>IF(OR('Job Sheet'!Z13="Conduit",I5&lt;&gt;"DBS to Make"),"",IF(VLOOKUP(CONCATENATE(Assembly!C13,Assembly!F13),PulleysEndCaps,6,FALSE)="","",IF('Tube Cutting'!D13="White",VLOOKUP(CONCATENATE(Assembly!C13,Assembly!F13),PulleysEndCaps,6,FALSE),"")))</f>
        <v/>
      </c>
      <c r="DI5" s="8" t="str">
        <f>IF(OR('Job Sheet'!Z13="Conduit",I5&lt;&gt;"DBS to Make"),"",IF(VLOOKUP(CONCATENATE(Assembly!C13,Assembly!F13),PulleysEndCaps,6,FALSE)="","",IF('Tube Cutting'!D13="Matt Black Ink",VLOOKUP(CONCATENATE(Assembly!C13,Assembly!F13),PulleysEndCaps,6,FALSE),"")))</f>
        <v/>
      </c>
      <c r="DJ5" s="8" t="str">
        <f>IF(OR('Job Sheet'!Z13="Conduit",I5&lt;&gt;"DBS to Make"),"",IF(VLOOKUP(CONCATENATE(Assembly!C13,Assembly!F13),PulleysEndCaps,6,FALSE)="","",IF('Tube Cutting'!D13="Birch White",VLOOKUP(CONCATENATE(Assembly!C13,Assembly!F13),PulleysEndCaps,6,FALSE),"")))</f>
        <v/>
      </c>
      <c r="DK5" s="8" t="str">
        <f>IF(OR('Job Sheet'!Z13="Conduit",'Job Sheet'!Z13="Conduit x 2",I5&lt;&gt;"DBS to Make"),"",IF(VLOOKUP(CONCATENATE(Assembly!C13,Assembly!F13),PulleysEndCaps,6,FALSE)="","",IF('Tube Cutting'!D13="Matt Satin",VLOOKUP(CONCATENATE(Assembly!C13,Assembly!F13),PulleysEndCaps,6,FALSE),"")))</f>
        <v/>
      </c>
      <c r="DL5" s="8" t="str">
        <f>IF(OR('Job Sheet'!Z13="Conduit",I5&lt;&gt;"DBS to Make"),"",IF(VLOOKUP(CONCATENATE(Assembly!C13,Assembly!F13),PulleysEndCaps,4,FALSE)="","",VLOOKUP(CONCATENATE(Assembly!C13,Assembly!F13),PulleysEndCaps,4,FALSE)))</f>
        <v/>
      </c>
      <c r="DM5" s="8" t="str">
        <f>IF(OR('Job Sheet'!Z13="Conduit",I5&lt;&gt;"DBS to Make"),"",IF(VLOOKUP(CONCATENATE(Assembly!C13,Assembly!F13),PulleysEndCaps,7,FALSE)="","",VLOOKUP(CONCATENATE(Assembly!C13,Assembly!F13),PulleysEndCaps,7,FALSE)))</f>
        <v/>
      </c>
      <c r="DN5" s="8" t="str">
        <f>IF(D5="","",IF(AND(OR(VLOOKUP(CONCATENATE('Tube Cutting'!E13,'Tube Cutting'!D13),TrackManufacturing,2,FALSE)="Wavefold White",VLOOKUP(CONCATENATE('Tube Cutting'!E13,'Tube Cutting'!D13),TrackManufacturing,2,FALSE)="Wavefold Black",VLOOKUP(CONCATENATE('Tube Cutting'!E13,'Tube Cutting'!D13),TrackManufacturing,2,FALSE)="Wavefold Matt Satin",VLOOKUP(CONCATENATE('Tube Cutting'!E13,'Tube Cutting'!D13),TrackManufacturing,2,FALSE)="System 20 White",VLOOKUP(CONCATENATE('Tube Cutting'!E13,'Tube Cutting'!D13),TrackManufacturing,2,FALSE)="System 20 Black",VLOOKUP(CONCATENATE('Tube Cutting'!E13,'Tube Cutting'!D13),TrackManufacturing,2,FALSE)="System 20 Matt Satin"),'Tube Cutting'!C13&gt;6000),1,""))</f>
        <v/>
      </c>
      <c r="DO5" s="8" t="str">
        <f>IF(D5="","",IF(AND(OR(VLOOKUP(CONCATENATE('Tube Cutting'!E13,'Tube Cutting'!D13),TrackManufacturing,2,FALSE)="Streamline White",VLOOKUP(CONCATENATE('Tube Cutting'!E13,'Tube Cutting'!D13),TrackManufacturing,2,FALSE)="Streamline Black",VLOOKUP(CONCATENATE('Tube Cutting'!E13,'Tube Cutting'!D13),TrackManufacturing,2,FALSE)="Streamline Birch White",VLOOKUP(CONCATENATE('Tube Cutting'!E13,'Tube Cutting'!D13),TrackManufacturing,2,FALSE)="Streamline Matt Satin"),'Tube Cutting'!C13&gt;6000),1,""))</f>
        <v/>
      </c>
      <c r="DP5" s="8">
        <f>IF(OR('Job Sheet'!Z13="Conduit",I5&lt;&gt;"DBS to Make"),"",IF(VLOOKUP(CONCATENATE(Assembly!C13,Assembly!F13),PulleysEndCaps,5,FALSE)="","",IF('Tube Cutting'!D13="White",VLOOKUP(CONCATENATE(Assembly!C13,Assembly!F13),PulleysEndCaps,5,FALSE),"")))</f>
        <v>2</v>
      </c>
      <c r="DQ5" s="8" t="str">
        <f>IF(OR('Job Sheet'!Z13="Conduit",I5&lt;&gt;"DBS to Make"),"",IF(VLOOKUP(CONCATENATE(Assembly!C13,Assembly!F13),PulleysEndCaps,5,FALSE)="","",IF('Tube Cutting'!D13="Black",VLOOKUP(CONCATENATE(Assembly!C13,Assembly!F13),PulleysEndCaps,5,FALSE),"")))</f>
        <v/>
      </c>
      <c r="DR5" s="8" t="str">
        <f>IF(OR('Job Sheet'!Z13="Conduit",I5&lt;&gt;"DBS to Make"),"",IF(VLOOKUP(CONCATENATE(Assembly!C13,Assembly!F13),PulleysEndCaps,5,FALSE)="","",IF('Tube Cutting'!D13="Matt Satin",VLOOKUP(CONCATENATE(Assembly!C13,Assembly!F13),PulleysEndCaps,5,FALSE),"")))</f>
        <v/>
      </c>
      <c r="DS5" s="8" t="str">
        <f>IF(OR('Job Sheet'!Z13="Conduit",I5&lt;&gt;"DBS to Make"),"",IF(VLOOKUP(CONCATENATE(Assembly!C13,Assembly!F13),PulleysEndCaps,8,FALSE)="","",IF('Tube Cutting'!D13="White",VLOOKUP(CONCATENATE(Assembly!C13,Assembly!F13),PulleysEndCaps,8,FALSE),"")))</f>
        <v/>
      </c>
      <c r="DT5" s="8" t="str">
        <f>IF(OR('Job Sheet'!Z13="Conduit",I5&lt;&gt;"DBS to Make"),"",IF(VLOOKUP(CONCATENATE(Assembly!C13,Assembly!F13),PulleysEndCaps,8,FALSE)="","",IF('Tube Cutting'!D13="Matt Black Ink",VLOOKUP(CONCATENATE(Assembly!C13,Assembly!F13),PulleysEndCaps,8,FALSE),"")))</f>
        <v/>
      </c>
      <c r="DU5" s="8" t="str">
        <f>IF(OR('Job Sheet'!Z13="Conduit",I5&lt;&gt;"DBS to Make"),"",IF(VLOOKUP(CONCATENATE(Assembly!C13,Assembly!F13),PulleysEndCaps,8,FALSE)="","",IF('Tube Cutting'!D13="Birch White",VLOOKUP(CONCATENATE(Assembly!C13,Assembly!F13),PulleysEndCaps,8,FALSE),"")))</f>
        <v/>
      </c>
      <c r="DV5" s="8" t="str">
        <f>IF(OR('Job Sheet'!Z13="Conduit",'Job Sheet'!Z13="Conduit x 2",I5&lt;&gt;"DBS to Make"),"",IF(VLOOKUP(CONCATENATE(Assembly!C13,Assembly!F13),PulleysEndCaps,8,FALSE)="","",IF('Tube Cutting'!D13="Matt Satin",VLOOKUP(CONCATENATE(Assembly!C13,Assembly!F13),PulleysEndCaps,8,FALSE),"")))</f>
        <v/>
      </c>
      <c r="DW5" s="8" t="str">
        <f>IF(D5="","",IF(AND(Assembly!C13="Wavefold Cord Operation",OR('Tube Cutting'!D13="White",'Tube Cutting'!D13="Matt Satin"),OR(Assembly!F13="Centre Opening",Assembly!F13="Centre Opening - Free Flowing",Assembly!F13="Centre Opening (Offset)",Assembly!F13="Centre Opening - Free Flowing (Offset)")),2,IF(AND(Assembly!C13="Wavefold Cord Operation",OR('Tube Cutting'!D13="White",'Tube Cutting'!D13="Matt Satin"),OR(Assembly!F13="Single Panel - Left Stacking",Assembly!F13="Single Panel - Right Stacking",Assembly!F13="Single Panel - Free Flowing")),1,"")))</f>
        <v/>
      </c>
      <c r="DX5" s="8" t="str">
        <f>IF(D5="","",IF(AND(AND(Assembly!C13="Wavefold Cord Operation",'Tube Cutting'!D13="Black",'Tube Cutting'!D13),(OR(Assembly!F13="Centre Opening",Assembly!F13="Centre Opening - Free Flowing",Assembly!F13="Centre Opening (Offset)",Assembly!F13="Centre Opening - Free Flowing (Offset)"))),2,IF(AND(AND(Assembly!C13="Wavefold Cord Operation",'Tube Cutting'!D13="Black",'Tube Cutting'!D13),(OR(Assembly!F13="Single Panel - Left Stacking",Assembly!F13="Single Panel - Right Stacking",Assembly!F13="Single Panel - Free Flowing"))),1,"")))</f>
        <v/>
      </c>
      <c r="DY5" s="8" t="str">
        <f>IF(D5="","",IF(AND(Assembly!C13="Wavefold Hand Operation",(OR('Tube Cutting'!D13="White",'Tube Cutting'!D13="White"))),Bagging!I13,""))</f>
        <v>2</v>
      </c>
      <c r="DZ5" s="8" t="str">
        <f>IF(D5="","",IF(AND(Assembly!C13="Wavefold Hand Operation",'Tube Cutting'!D13="Black"),Bagging!I13,""))</f>
        <v/>
      </c>
      <c r="EA5" s="8" t="str">
        <f>IF(OR(D5="",AI15="Straight"),"",IF(AND(OR('Tube Cutting'!E13="Streamline Cord Operation",'Tube Cutting'!E13="Streamline Hand Operation"),(OR(Assembly!F13="Centre Opening",Assembly!F13="Centre Opening - Free Flowing",Assembly!F13="Centre Opening (Offset)",Assembly!F13="Centre Opening - Free Flowing (Offset)"))),2,IF(AND(OR('Tube Cutting'!E13="Streamline Cord Operation",'Tube Cutting'!E13="Streamline Hand Operation"),(OR(Assembly!F13="Single Panel - Left Stacking",Assembly!F13="Single Panel - Right Stacking - Free Flowing",Assembly!F13="Single Panel - Free Flowing"))),1,"")))</f>
        <v/>
      </c>
      <c r="EB5" s="8" t="str">
        <f>IF(D5="","",IF(OR('Tube Cutting'!E13="Streamline Cord Operation",'Tube Cutting'!E13="Wavefold Cord Operation",'Tube Cutting'!E13="System 20 Light Commercial Track Cord Drawn"),1,""))</f>
        <v/>
      </c>
      <c r="EC5" s="8" t="str">
        <f>IF(D5="","",IF(VLOOKUP(CONCATENATE('Tube Cutting'!E13,'Tube Cutting'!D13),TrackManufacturing,2,FALSE)="System 20 White",1,""))</f>
        <v/>
      </c>
      <c r="ED5" s="8" t="str">
        <f>IF(D5="","",IF(VLOOKUP(CONCATENATE('Tube Cutting'!E13,'Tube Cutting'!D13),TrackManufacturing,2,FALSE)="System 20 Black",1,""))</f>
        <v/>
      </c>
      <c r="EE5" s="8" t="str">
        <f>IF(D5="","",IF(AND(VLOOKUP(CONCATENATE('Tube Cutting'!E13,'Tube Cutting'!D13),TrackManufacturing,2,FALSE)="System 20 White",(OR(Assembly!F13="Centre Opening",Assembly!F13="Centre Opening - Free Flowing",Assembly!F13="Centre Opening (Offset)",Assembly!F13="Centre Opening - Free Flowing (Offset)"))),1,""))</f>
        <v/>
      </c>
      <c r="EF5" s="8" t="str">
        <f>IF(D5="","",IF(AND(VLOOKUP(CONCATENATE('Tube Cutting'!E13,'Tube Cutting'!D13),TrackManufacturing,2,FALSE)="System 20 Black",(OR(Assembly!F13="Centre Opening",Assembly!F13="Centre Opening - Free Flowing",Assembly!F13="Centre Opening (Offset)",Assembly!F13="Centre Opening - Free Flowing (Offset)"))),1,""))</f>
        <v/>
      </c>
      <c r="EG5" s="125" t="str">
        <f>IF(D5="","",IF(OR(VLOOKUP(CONCATENATE('Tube Cutting'!E13,'Tube Cutting'!D13),TrackManufacturing,2,FALSE)="System 20 White",VLOOKUP(CONCATENATE('Tube Cutting'!E13,'Tube Cutting'!D13),TrackManufacturing,2,FALSE)="System 20 Black"),Assembly!G13,""))</f>
        <v/>
      </c>
      <c r="EH5" s="8" t="str">
        <f>IF('Tube Cutting'!E13="Conduit",'Job Sheet'!CB13,"")</f>
        <v/>
      </c>
      <c r="EI5" s="8" t="str">
        <f>IF(Bagging!D13="Muslin Brackets",2,IF(Bagging!D13="Muslin Brackets Top and Bottom",4,""))</f>
        <v/>
      </c>
      <c r="EJ5" s="8" t="str">
        <f>IF(Bagging!D13="100mm Unstayed Brackets with Acorns",2,"")</f>
        <v/>
      </c>
      <c r="EK5" s="8" t="str">
        <f>IF(Bagging!D13="25mm Brackets with Acorns",2,IF('Job Sheet'!AJ13="1 (Conduit)",2,IF('Job Sheet'!AJ13="2 (Conduit)",4,IF('Job Sheet'!AJ13="3 (Conduit)",6,IF('Job Sheet'!AJ13="4 (Conduit)",8,"")))))</f>
        <v/>
      </c>
      <c r="EL5" s="8" t="str">
        <f>IF(OR(Bagging!D13="25mm Brackets with Acorns",Bagging!D13="100mm Unstayed Brackets with Acorns"),2,"")</f>
        <v/>
      </c>
      <c r="EM5" s="8" t="str">
        <f>IF('Job Sheet'!AJ13="1 (Conduit)",1,IF('Job Sheet'!AJ13="2 (Conduit)",2,IF('Job Sheet'!AJ13="3 (Conduit)",3,IF('Job Sheet'!AJ13="4 (Conduit)",4,""))))</f>
        <v/>
      </c>
    </row>
    <row r="6" spans="4:143" ht="12" customHeight="1">
      <c r="D6" s="8" t="str">
        <f>IF(Data!AW14="","",CONCATENATE(Data!BC$5,".",Data!BD$5))</f>
        <v>39776.F</v>
      </c>
      <c r="E6" s="8">
        <f>IF(D6="","",Data!AW14)</f>
        <v>31</v>
      </c>
      <c r="F6" s="8" t="str">
        <f>IF(D6="","",Data!AV14)</f>
        <v>12e55ad0-8967-4c2d-b1b7-af4ebcc705a5</v>
      </c>
      <c r="G6" s="8" t="str">
        <f>IF(D6="","",Data!BF$5)</f>
        <v>Hare, Kaitlin</v>
      </c>
      <c r="H6" s="8" t="str">
        <f>IF(D6="","",Data!AX$5)</f>
        <v>Whole House</v>
      </c>
      <c r="I6" s="8" t="str">
        <f>IF(D6="","",'Job Sheet'!BH14)</f>
        <v>DBS to Make</v>
      </c>
      <c r="J6" s="8">
        <f>IF(D6="","",IF(OR(VLOOKUP(CONCATENATE('Tube Cutting'!E14,'Tube Cutting'!D14),TrackManufacturing,2,FALSE)="Wavefold White",VLOOKUP(CONCATENATE('Tube Cutting'!E14,'Tube Cutting'!D14),TrackManufacturing,2,FALSE)="Wavefold Black",VLOOKUP(CONCATENATE('Tube Cutting'!E14,'Tube Cutting'!D14),TrackManufacturing,2,FALSE)="Wavefold Matt Satin"),('Job Sheet'!BP14*2)/1000,""))</f>
        <v>6.83</v>
      </c>
      <c r="K6" s="125">
        <f>IF(D6="","",IF(OR(VLOOKUP(CONCATENATE('Tube Cutting'!E14,'Tube Cutting'!D14),TrackManufacturing,2,FALSE)="Wavefold White",VLOOKUP(CONCATENATE('Tube Cutting'!E14,'Tube Cutting'!D14),TrackManufacturing,2,FALSE)="Wavefold Matt Satin"),J6*10,""))</f>
        <v>68.3</v>
      </c>
      <c r="L6" s="125" t="str">
        <f>IF(D6="","",IF(VLOOKUP(CONCATENATE('Tube Cutting'!E14,'Tube Cutting'!D14),TrackManufacturing,2,FALSE)="Wavefold Black",J6*10,""))</f>
        <v/>
      </c>
      <c r="M6" s="126">
        <f>IF(D6="","",IF(OR(VLOOKUP(CONCATENATE('Tube Cutting'!E14,'Tube Cutting'!D14),TrackManufacturing,2,FALSE)="Wavefold White",VLOOKUP(CONCATENATE('Tube Cutting'!E14,'Tube Cutting'!D14),TrackManufacturing,2,FALSE)="System 20 White"),'Tube Cutting'!C14/1000,""))</f>
        <v>3.354</v>
      </c>
      <c r="N6" s="126" t="str">
        <f>IF(D6="","",IF(OR(VLOOKUP(CONCATENATE('Tube Cutting'!E14,'Tube Cutting'!D14),TrackManufacturing,2,FALSE)="Wavefold Black",VLOOKUP(CONCATENATE('Tube Cutting'!E14,'Tube Cutting'!D14),TrackManufacturing,2,FALSE)="System 20 Black"),'Tube Cutting'!C14/1000,""))</f>
        <v/>
      </c>
      <c r="O6" s="126" t="str">
        <f>IF(D6="","",IF(OR(VLOOKUP(CONCATENATE('Tube Cutting'!E14,'Tube Cutting'!D14),TrackManufacturing,2,FALSE)="Wavefold Matt Satin",VLOOKUP(CONCATENATE('Tube Cutting'!E14,'Tube Cutting'!D14),TrackManufacturing,2,FALSE)="System 20 Matt Satin"),'Tube Cutting'!C14/1000,""))</f>
        <v/>
      </c>
      <c r="P6" s="125">
        <f>IF(D6="","",IF(AND((OR('Tube Cutting'!D14="White",'Tube Cutting'!D14="Matt Satin")),(OR('Tube Cutting'!E14="Wavefold Hand Operation",'Tube Cutting'!E14="Wavefold Cord Operation"))),IF(M6="",O6*20,M6*20),""))</f>
        <v>67.08</v>
      </c>
      <c r="Q6" s="125" t="str">
        <f>IF(D6="","",IF(AND('Tube Cutting'!D14="Black",(OR('Tube Cutting'!E14="Wavefold Hand Operation",'Tube Cutting'!E14="Wavefold Cord Operation"))),N6*20,""))</f>
        <v/>
      </c>
      <c r="R6" s="125" t="str">
        <f>IF(D6="","",IF(OR('Tube Cutting'!E14="Streamline Hand Operation",'Tube Cutting'!E14="Streamline Cord Operation"),Assembly!G14,""))</f>
        <v/>
      </c>
      <c r="S6" s="8" t="str">
        <f>IF(D6="","",IF(VLOOKUP(CONCATENATE('Tube Cutting'!E14,'Tube Cutting'!D14),TrackManufacturing,2,FALSE)="Streamline White",'Tube Cutting'!C14/1000,""))</f>
        <v/>
      </c>
      <c r="T6" s="8" t="str">
        <f>IF(D6="","",IF(VLOOKUP(CONCATENATE('Tube Cutting'!E14,'Tube Cutting'!D14),TrackManufacturing,2,FALSE)="Streamline Matt Black Ink",'Tube Cutting'!C14/1000,""))</f>
        <v/>
      </c>
      <c r="U6" s="8" t="str">
        <f>IF(D6="","",IF(VLOOKUP(CONCATENATE('Tube Cutting'!E14,'Tube Cutting'!D14),TrackManufacturing,2,FALSE)="Streamline Birch White",'Tube Cutting'!C14/1000,""))</f>
        <v/>
      </c>
      <c r="V6" s="8" t="str">
        <f>IF(D6="","",IF(VLOOKUP(CONCATENATE('Tube Cutting'!E14,'Tube Cutting'!D14),TrackManufacturing,2,FALSE)="Streamline Matt Satin",'Tube Cutting'!C14/1000,""))</f>
        <v/>
      </c>
      <c r="W6" s="8" t="str">
        <f>IF(Bagging!H14="White Aluminium Flick Sticks 100cm",Bagging!I14,"")</f>
        <v/>
      </c>
      <c r="X6" s="8" t="str">
        <f>IF(Bagging!H14="White Aluminium Flick Sticks 125cm",Bagging!I14,"")</f>
        <v>1</v>
      </c>
      <c r="Y6" s="8" t="str">
        <f>IF(Bagging!H14="White Aluminium Flick Sticks 150cm",Bagging!I14,"")</f>
        <v/>
      </c>
      <c r="Z6" s="8" t="str">
        <f>IF(Bagging!H14="Black Aluminium Flick Sticks 100cm",Bagging!I14,"")</f>
        <v/>
      </c>
      <c r="AA6" s="8" t="str">
        <f>IF(Bagging!H14="Black Aluminium Flick Sticks 125cm",Bagging!I14,"")</f>
        <v/>
      </c>
      <c r="AB6" s="8" t="str">
        <f>IF(Bagging!H14="Black Aluminium Flick Sticks 150cm",Bagging!I14,"")</f>
        <v/>
      </c>
      <c r="AC6" s="8" t="str">
        <f>IF(Bagging!H14="Matt Satin Aluminium Flick Sticks 100cm",Bagging!I14,"")</f>
        <v/>
      </c>
      <c r="AD6" s="8" t="str">
        <f>IF(Bagging!H14="Black Aluminium Flick Sticks 125cm",Bagging!I14,"")</f>
        <v/>
      </c>
      <c r="AE6" s="8" t="str">
        <f>IF(Bagging!H14="Black Aluminium Flick Sticks 150cm",Bagging!I14,"")</f>
        <v/>
      </c>
      <c r="AF6" s="8" t="str">
        <f>IF(Bagging!H14="Standard Clear 75cm",Bagging!I14,"")</f>
        <v/>
      </c>
      <c r="AG6" s="8" t="str">
        <f>IF(Bagging!H14="Standard Clear 100cm",Bagging!I14,"")</f>
        <v/>
      </c>
      <c r="AH6" s="8" t="str">
        <f>IF(Bagging!H14="Standard Clear 125cm",Bagging!I14,"")</f>
        <v/>
      </c>
      <c r="AI6" s="8" t="str">
        <f>IF(Bagging!H14="Standard Clear 150cm",Bagging!I14,"")</f>
        <v/>
      </c>
      <c r="AJ6" s="8" t="str">
        <f>IF(Bagging!H14="White Fibreglass 200cm",Bagging!I14,"")</f>
        <v/>
      </c>
      <c r="AK6" s="8" t="str">
        <f>IF(Bagging!H14="White Fibreglass 250cm",Bagging!I14,"")</f>
        <v/>
      </c>
      <c r="AL6" s="8" t="str">
        <f>IF(D6="","",IF(AND(OR(VLOOKUP(CONCATENATE('Tube Cutting'!E14,'Tube Cutting'!D14),TrackManufacturing,2,FALSE)="Wavefold White",VLOOKUP(CONCATENATE('Tube Cutting'!E14,'Tube Cutting'!D14),TrackManufacturing,2,FALSE)="System 20 White"),(Bagging!D14="Top Fix Brackets")),Bagging!F14,""))</f>
        <v/>
      </c>
      <c r="AM6" s="8">
        <f>IF(D6="","",IF(AND(OR(VLOOKUP(CONCATENATE('Tube Cutting'!E14,'Tube Cutting'!D14),TrackManufacturing,2,FALSE)="Wavefold White",VLOOKUP(CONCATENATE('Tube Cutting'!E14,'Tube Cutting'!D14),TrackManufacturing,2,FALSE)="System 20 White"),(Bagging!D14="Single Face Fix Brackets")),Bagging!F14,""))</f>
        <v>6</v>
      </c>
      <c r="AN6" s="8" t="str">
        <f>IF(D6="","",IF(AND(OR(VLOOKUP(CONCATENATE('Tube Cutting'!E14,'Tube Cutting'!D14),TrackManufacturing,2,FALSE)="Wavefold White",VLOOKUP(CONCATENATE('Tube Cutting'!E14,'Tube Cutting'!D14),TrackManufacturing,2,FALSE)="System 20 White"),(Bagging!D14="Double Face Fix Brackets")),Bagging!F14,""))</f>
        <v/>
      </c>
      <c r="AO6" s="8" t="str">
        <f>IF(D6="","",IF(AND(OR(VLOOKUP(CONCATENATE('Tube Cutting'!E14,'Tube Cutting'!D14),TrackManufacturing,2,FALSE)="Wavefold White",VLOOKUP(CONCATENATE('Tube Cutting'!E14,'Tube Cutting'!D14),TrackManufacturing,2,FALSE)="System 20 White"),(Bagging!D14="Triple Face Fix Brackets")),Bagging!F14,""))</f>
        <v/>
      </c>
      <c r="AP6" s="8" t="str">
        <f>IF(D6="","",IF(AND(OR(VLOOKUP(CONCATENATE('Tube Cutting'!E14,'Tube Cutting'!D14),TrackManufacturing,2,FALSE)="Wavefold Black",VLOOKUP(CONCATENATE('Tube Cutting'!E14,'Tube Cutting'!D14),TrackManufacturing,2,FALSE)="System 20 Black"),(Bagging!D14="Top Fix Brackets")),Bagging!F14,""))</f>
        <v/>
      </c>
      <c r="AQ6" s="8" t="str">
        <f>IF(D6="","",IF(AND(OR(VLOOKUP(CONCATENATE('Tube Cutting'!E14,'Tube Cutting'!D14),TrackManufacturing,2,FALSE)="Wavefold Black",VLOOKUP(CONCATENATE('Tube Cutting'!E14,'Tube Cutting'!D14),TrackManufacturing,2,FALSE)="System 20 Black"),(Bagging!D14="Single Face Fix Brackets")),Bagging!F14,""))</f>
        <v/>
      </c>
      <c r="AR6" s="8" t="str">
        <f>IF(D6="","",IF(AND(OR(VLOOKUP(CONCATENATE('Tube Cutting'!E14,'Tube Cutting'!D14),TrackManufacturing,2,FALSE)="Wavefold Black",VLOOKUP(CONCATENATE('Tube Cutting'!E14,'Tube Cutting'!D14),TrackManufacturing,2,FALSE)="System 20 Black"),(Bagging!D14="Double Face Fix Brackets")),Bagging!F14,""))</f>
        <v/>
      </c>
      <c r="AS6" s="8" t="str">
        <f>IF(D6="","",IF(AND(OR(VLOOKUP(CONCATENATE('Tube Cutting'!E14,'Tube Cutting'!D14),TrackManufacturing,2,FALSE)="Wavefold Black",VLOOKUP(CONCATENATE('Tube Cutting'!E14,'Tube Cutting'!D14),TrackManufacturing,2,FALSE)="System 20 Black"),(Bagging!D14="Triple Face Fix Brackets")),Bagging!F14,""))</f>
        <v/>
      </c>
      <c r="AT6" s="8" t="str">
        <f>IF(D6="","",IF(AND(OR(VLOOKUP(CONCATENATE('Tube Cutting'!E14,'Tube Cutting'!D14),TrackManufacturing,2,FALSE)="Wavefold Matt Satin",VLOOKUP(CONCATENATE('Tube Cutting'!E14,'Tube Cutting'!D14),TrackManufacturing,2,FALSE)="System 20 Matt Satin"),(Bagging!D14="Top Fix Brackets")),Bagging!F14,""))</f>
        <v/>
      </c>
      <c r="AU6" s="8" t="str">
        <f>IF(D6="","",IF(AND(OR(VLOOKUP(CONCATENATE('Tube Cutting'!E14,'Tube Cutting'!D14),TrackManufacturing,2,FALSE)="Wavefold Matt Satin",VLOOKUP(CONCATENATE('Tube Cutting'!E14,'Tube Cutting'!D14),TrackManufacturing,2,FALSE)="System 20 Matt Satin"),(Bagging!D14="Single Face Fix Brackets")),Bagging!F14,""))</f>
        <v/>
      </c>
      <c r="AV6" s="8" t="str">
        <f>IF(D6="","",IF(AND(OR(VLOOKUP(CONCATENATE('Tube Cutting'!E14,'Tube Cutting'!D14),TrackManufacturing,2,FALSE)="Wavefold Matt Satin",VLOOKUP(CONCATENATE('Tube Cutting'!E14,'Tube Cutting'!D14),TrackManufacturing,2,FALSE)="System 20 Matt Satin"),(Bagging!D14="Double Face Fix Brackets")),Bagging!F14,""))</f>
        <v/>
      </c>
      <c r="AW6" s="8" t="str">
        <f>IF(D6="","",IF(AND(OR(VLOOKUP(CONCATENATE('Tube Cutting'!E14,'Tube Cutting'!D14),TrackManufacturing,2,FALSE)="Wavefold Matt Satin",VLOOKUP(CONCATENATE('Tube Cutting'!E14,'Tube Cutting'!D14),TrackManufacturing,2,FALSE)="System 20 Matt Satin"),(Bagging!D14="Triple Face Fix Brackets")),Bagging!F14,""))</f>
        <v/>
      </c>
      <c r="AX6" s="8" t="str">
        <f>IF(D6="","",IF(AND(VLOOKUP(CONCATENATE('Tube Cutting'!E14,'Tube Cutting'!D14),TrackManufacturing,2,FALSE)="Streamline White",(Bagging!D14="Nylon Top Fix Brackets")),VLOOKUP('Job Sheet'!BP14,Brackets,2,TRUE),""))</f>
        <v/>
      </c>
      <c r="AY6" s="8" t="str">
        <f>IF(D6="","",IF(AND(VLOOKUP(CONCATENATE('Tube Cutting'!E14,'Tube Cutting'!D14),TrackManufacturing,2,FALSE)="Streamline White",(Bagging!D14="Metal Fix Brackets")),VLOOKUP('Job Sheet'!BP14,Brackets,2,TRUE),""))</f>
        <v/>
      </c>
      <c r="AZ6" s="8" t="str">
        <f>IF(D6="","",IF(AND(VLOOKUP(CONCATENATE('Tube Cutting'!E14,'Tube Cutting'!D14),TrackManufacturing,2,FALSE)="Streamline White",(Bagging!D14="Single Face Fix Brackets")),Bagging!F14,""))</f>
        <v/>
      </c>
      <c r="BA6" s="8" t="str">
        <f>IF(D6="","",IF(AND(VLOOKUP(CONCATENATE('Tube Cutting'!E14,'Tube Cutting'!D14),TrackManufacturing,2,FALSE)="Streamline White",(Bagging!D14="Double Face Fix Brackets")),Bagging!F14,""))</f>
        <v/>
      </c>
      <c r="BB6" s="8" t="str">
        <f>IF(D6="","",IF(AND(VLOOKUP(CONCATENATE('Tube Cutting'!E14,'Tube Cutting'!D14),TrackManufacturing,2,FALSE)="Streamline White",(Bagging!D14="Triple Face Fix Brackets")),Bagging!F14,""))</f>
        <v/>
      </c>
      <c r="BC6" s="8" t="str">
        <f>IF(D6="","",IF(AND(VLOOKUP(CONCATENATE('Tube Cutting'!E14,'Tube Cutting'!D14),TrackManufacturing,2,FALSE)="Streamline White",(Bagging!D14="32mm Face Fix Brackets")),Bagging!F14,""))</f>
        <v/>
      </c>
      <c r="BD6" s="8" t="str">
        <f>IF(D6="","",IF(AND(VLOOKUP(CONCATENATE('Tube Cutting'!E14,'Tube Cutting'!D14),TrackManufacturing,2,FALSE)="Streamline Matt Black Ink",(Bagging!D14="Top Fix Brackets")),VLOOKUP('Job Sheet'!BP14,Brackets,2,TRUE),""))</f>
        <v/>
      </c>
      <c r="BE6" s="8" t="str">
        <f>IF(D6="","",IF(AND(VLOOKUP(CONCATENATE('Tube Cutting'!E14,'Tube Cutting'!D14),TrackManufacturing,2,FALSE)="Streamline White",(Bagging!D14="Metal Fix Brackets")),VLOOKUP('Job Sheet'!BP14,Brackets,2,TRUE),""))</f>
        <v/>
      </c>
      <c r="BF6" s="8" t="str">
        <f>IF(D6="","",IF(AND(VLOOKUP(CONCATENATE('Tube Cutting'!E14,'Tube Cutting'!D14),TrackManufacturing,2,FALSE)="Streamline Matt Black Ink",(Bagging!D14="Single Face Fix Brackets")),Bagging!F14,""))</f>
        <v/>
      </c>
      <c r="BG6" s="8" t="str">
        <f>IF(D6="","",IF(AND(VLOOKUP(CONCATENATE('Tube Cutting'!E14,'Tube Cutting'!D14),TrackManufacturing,2,FALSE)="Streamline Matt Black Ink",(Bagging!D14="Double Face Fix Brackets")),Bagging!F14,""))</f>
        <v/>
      </c>
      <c r="BH6" s="8" t="str">
        <f>IF(D6="","",IF(AND(VLOOKUP(CONCATENATE('Tube Cutting'!E14,'Tube Cutting'!D14),TrackManufacturing,2,FALSE)="Streamline Matt Black Ink",(Bagging!D14="Triple Face Fix Brackets")),Bagging!F14,""))</f>
        <v/>
      </c>
      <c r="BI6" s="8" t="str">
        <f>IF(D6="","",IF(AND(VLOOKUP(CONCATENATE('Tube Cutting'!E14,'Tube Cutting'!D14),TrackManufacturing,2,FALSE)="Streamline Matt Black Ink",(Bagging!D14="32mm Face Fix Brackets")),Bagging!F14,""))</f>
        <v/>
      </c>
      <c r="BJ6" s="8" t="str">
        <f>IF(D6="","",IF(AND(VLOOKUP(CONCATENATE('Tube Cutting'!E14,'Tube Cutting'!D14),TrackManufacturing,2,FALSE)="Streamline Birch White",(Bagging!D14="Top Fix Brackets")),VLOOKUP('Job Sheet'!BP14,Brackets,2,TRUE),""))</f>
        <v/>
      </c>
      <c r="BK6" s="8" t="str">
        <f>IF(D6="","",IF(AND(VLOOKUP(CONCATENATE('Tube Cutting'!E14,'Tube Cutting'!D14),TrackManufacturing,2,FALSE)="Streamline White",(Bagging!D14="Metal Fix Brackets")),VLOOKUP('Job Sheet'!BP14,Brackets,2,TRUE),""))</f>
        <v/>
      </c>
      <c r="BL6" s="8" t="str">
        <f>IF(D6="","",IF(AND(VLOOKUP(CONCATENATE('Tube Cutting'!E14,'Tube Cutting'!D14),TrackManufacturing,2,FALSE)="Streamline Birch White",(Bagging!D14="Single Face Fix Brackets")),Bagging!F14,""))</f>
        <v/>
      </c>
      <c r="BM6" s="8" t="str">
        <f>IF(D6="","",IF(AND(VLOOKUP(CONCATENATE('Tube Cutting'!E14,'Tube Cutting'!D14),TrackManufacturing,2,FALSE)="Streamline Birch White",(Bagging!D14="Double Face Fix Brackets")),Bagging!F14,""))</f>
        <v/>
      </c>
      <c r="BN6" s="8" t="str">
        <f>IF(D6="","",IF(AND(VLOOKUP(CONCATENATE('Tube Cutting'!E14,'Tube Cutting'!D14),TrackManufacturing,2,FALSE)="Streamline Birch White",(Bagging!D14="Triple Face Fix Brackets")),Bagging!F14,""))</f>
        <v/>
      </c>
      <c r="BO6" s="8" t="str">
        <f>IF(D6="","",IF(AND(VLOOKUP(CONCATENATE('Tube Cutting'!E14,'Tube Cutting'!D14),TrackManufacturing,2,FALSE)="Streamline Birch White",(Bagging!D14="32mm Face Fix Brackets")),Bagging!F14,""))</f>
        <v/>
      </c>
      <c r="BP6" s="8" t="str">
        <f>IF(K6="","",IF(AND(VLOOKUP(CONCATENATE('Tube Cutting'!K14,'Tube Cutting'!J14),TrackManufacturing,2,FALSE)="Streamline Birch White",(Bagging!J14="Top Fix Brackets")),VLOOKUP('Job Sheet'!BU14,Brackets,2,TRUE),""))</f>
        <v/>
      </c>
      <c r="BQ6" s="8" t="str">
        <f>IF(K6="","",IF(AND(VLOOKUP(CONCATENATE('Tube Cutting'!K14,'Tube Cutting'!J14),TrackManufacturing,2,FALSE)="Streamline White",(Bagging!J14="Metal Fix Brackets")),VLOOKUP('Job Sheet'!BU14,Brackets,2,TRUE),""))</f>
        <v/>
      </c>
      <c r="BR6" s="8" t="str">
        <f>IF(K6="","",IF(AND(VLOOKUP(CONCATENATE('Tube Cutting'!K14,'Tube Cutting'!J14),TrackManufacturing,2,FALSE)="Streamline Birch White",(Bagging!J14="Single Face Fix Brackets")),Bagging!L14,""))</f>
        <v/>
      </c>
      <c r="BS6" s="8" t="str">
        <f>IF(K6="","",IF(AND(VLOOKUP(CONCATENATE('Tube Cutting'!K14,'Tube Cutting'!J14),TrackManufacturing,2,FALSE)="Streamline Birch White",(Bagging!J14="Double Face Fix Brackets")),Bagging!L14,""))</f>
        <v/>
      </c>
      <c r="BT6" s="8" t="str">
        <f>IF(K6="","",IF(AND(VLOOKUP(CONCATENATE('Tube Cutting'!K14,'Tube Cutting'!J14),TrackManufacturing,2,FALSE)="Streamline Birch White",(Bagging!J14="Triple Face Fix Brackets")),Bagging!L14,""))</f>
        <v/>
      </c>
      <c r="BU6" s="8" t="str">
        <f>IF(K6="","",IF(AND(VLOOKUP(CONCATENATE('Tube Cutting'!K14,'Tube Cutting'!J14),TrackManufacturing,2,FALSE)="Streamline Birch White",(Bagging!J14="32mm Face Fix Brackets")),Bagging!L14,""))</f>
        <v/>
      </c>
      <c r="BV6" s="8" t="str">
        <f>IF(AND('Tube Cutting'!D14="White",Bagging!D14="Top Fix Brackets"),Bagging!F14,"")</f>
        <v/>
      </c>
      <c r="BW6" s="8">
        <f>IF(AND('Tube Cutting'!D14="White",Bagging!D14="Single Face Fix Brackets"),Bagging!F14,"")</f>
        <v>6</v>
      </c>
      <c r="BX6" s="8" t="str">
        <f>IF(AND('Tube Cutting'!D14="White",Bagging!D14="Double Face Fix Brackets"),Bagging!F14,"")</f>
        <v/>
      </c>
      <c r="BY6" s="8" t="str">
        <f>IF(AND('Tube Cutting'!D14="White",Bagging!D14="Triple Face Fix Brackets"),Bagging!F14,"")</f>
        <v/>
      </c>
      <c r="BZ6" s="8" t="str">
        <f>IF(AND('Tube Cutting'!D14="Black",Bagging!D14="Top Fix Brackets"),Bagging!F14,"")</f>
        <v/>
      </c>
      <c r="CA6" s="8" t="str">
        <f>IF(AND('Tube Cutting'!D14="Black",Bagging!D14="Single Face Fix Brackets"),Bagging!F14,"")</f>
        <v/>
      </c>
      <c r="CB6" s="8" t="str">
        <f>IF(AND('Tube Cutting'!D14="Black",Bagging!D14="Double Face Fix Brackets"),Bagging!F14,"")</f>
        <v/>
      </c>
      <c r="CC6" s="8" t="str">
        <f>IF(AND('Tube Cutting'!D14="Black",Bagging!D14="Triple Fix Brackets"),Bagging!F14,"")</f>
        <v/>
      </c>
      <c r="CD6" s="8" t="str">
        <f>IF(AND('Tube Cutting'!D14="Matt Satin",Bagging!D14="Top Fix Brackets"),Bagging!F14,"")</f>
        <v/>
      </c>
      <c r="CE6" s="8" t="str">
        <f>IF(AND('Tube Cutting'!D14="Matt Satin",Bagging!D14="Single Face Fix Brackets"),Bagging!F14,"")</f>
        <v/>
      </c>
      <c r="CF6" s="8" t="str">
        <f>IF(AND('Tube Cutting'!D14="Matt Satin",Bagging!D14="Double Face Fix Brackets"),Bagging!F14,"")</f>
        <v/>
      </c>
      <c r="CG6" s="8" t="str">
        <f>IF(AND('Tube Cutting'!D14="Matt Satin",Bagging!D14="Triple Fix Brackets"),Bagging!F14,"")</f>
        <v/>
      </c>
      <c r="CH6" s="8" t="str">
        <f>IF(D6="","",IF(AND('Tube Cutting'!D14="White",(OR(Bagging!J14="Single Left",Bagging!J14="Single Left &amp; Right"))),"1",""))</f>
        <v/>
      </c>
      <c r="CI6" s="8" t="str">
        <f>IF(D6="","",IF(AND('Tube Cutting'!D14="Black",(OR(Bagging!J14="Single Left",Bagging!J14="Single Left &amp; Right"))),"1",""))</f>
        <v/>
      </c>
      <c r="CJ6" s="8" t="str">
        <f>IF(D6="","",IF(AND('Tube Cutting'!D14="Matt Satin",(OR(Bagging!J14="Single Left",Bagging!J14="Single Left &amp; Right"))),"1",""))</f>
        <v/>
      </c>
      <c r="CK6" s="8" t="str">
        <f>IF(D6="","",IF(AND('Tube Cutting'!D14="White",(OR(Bagging!J14="Single Right",Bagging!J14="Single Left &amp; Right"))),"1",""))</f>
        <v/>
      </c>
      <c r="CL6" s="8" t="str">
        <f>IF(D6="","",IF(AND('Tube Cutting'!D14="Black",(OR(Bagging!J14="Single Right",Bagging!J14="Single Left &amp; Right"))),"1",""))</f>
        <v/>
      </c>
      <c r="CM6" s="8" t="str">
        <f>IF(D6="","",IF(AND('Tube Cutting'!D14="Matt Satin",(OR(Bagging!J14="Single Right",Bagging!J14="Single Left &amp; Right"))),"1",""))</f>
        <v/>
      </c>
      <c r="CN6" s="8" t="str">
        <f>IF(D6="","",IF(AND('Tube Cutting'!D14="White",(OR(Bagging!J14="Double Left",Bagging!J14="Double Left &amp; Right"))),"1",""))</f>
        <v/>
      </c>
      <c r="CO6" s="8" t="str">
        <f>IF(D6="","",IF(AND('Tube Cutting'!D14="Black",(OR(Bagging!J14="Double Left",Bagging!J14="Double Left &amp; Right"))),"1",""))</f>
        <v/>
      </c>
      <c r="CP6" s="8" t="str">
        <f>IF(D6="","",IF(AND('Tube Cutting'!D14="Matt Satin",(OR(Bagging!J14="Double Left",Bagging!J14="Double Left &amp; Right"))),"1",""))</f>
        <v/>
      </c>
      <c r="CQ6" s="8" t="str">
        <f>IF(D6="","",IF(AND('Tube Cutting'!D14="White",(OR(Bagging!J14="Double Right",Bagging!J14="Double Left &amp; Right"))),"1",""))</f>
        <v/>
      </c>
      <c r="CR6" s="8" t="str">
        <f>IF(D6="","",IF(AND('Tube Cutting'!D14="Black",(OR(Bagging!J14="Double Right",Bagging!J14="Double Left &amp; Right"))),"1",""))</f>
        <v/>
      </c>
      <c r="CS6" s="8" t="str">
        <f>IF(D6="","",IF(AND('Tube Cutting'!D14="Matt Satin",(OR(Bagging!J14="Double Right",Bagging!J14="Double Left &amp; Right"))),"1",""))</f>
        <v/>
      </c>
      <c r="CT6" s="8" t="str">
        <f>IF(D6="","",IF(VLOOKUP(CONCATENATE('Tube Cutting'!E14,'Tube Cutting'!D14),TrackManufacturing,2,FALSE)="Streamline White",1,""))</f>
        <v/>
      </c>
      <c r="CU6" s="8" t="str">
        <f>IF(D6="","",IF(VLOOKUP(CONCATENATE('Tube Cutting'!E14,'Tube Cutting'!D14),TrackManufacturing,2,FALSE)="Streamline Matt Black Ink",1,""))</f>
        <v/>
      </c>
      <c r="CV6" s="8" t="str">
        <f>IF(D6="","",IF(VLOOKUP(CONCATENATE('Tube Cutting'!E14,'Tube Cutting'!D14),TrackManufacturing,2,FALSE)="Streamline Birch White",1,""))</f>
        <v/>
      </c>
      <c r="CW6" s="8" t="str">
        <f>IF(D6="","",IF(VLOOKUP(CONCATENATE('Tube Cutting'!E14,'Tube Cutting'!D14),TrackManufacturing,2,FALSE)="Streamline Matt Satin",1,""))</f>
        <v/>
      </c>
      <c r="CX6" s="8" t="str">
        <f>IF(D6="","",IF(AND(VLOOKUP(CONCATENATE('Tube Cutting'!E14,'Tube Cutting'!D14),TrackManufacturing,2,FALSE)="Streamline White",(OR(Assembly!F14="Centre Opening",Assembly!F14="Centre Opening - Free Flowing",Assembly!F14="Centre Opening (Offset)",Assembly!F14="Centre Opening - Free Flowing (Offset)"))),1,""))</f>
        <v/>
      </c>
      <c r="CY6" s="8" t="str">
        <f>IF(D6="","",IF(AND(VLOOKUP(CONCATENATE('Tube Cutting'!E14,'Tube Cutting'!D14),TrackManufacturing,2,FALSE)="Streamline Matt Black Ink",(OR(Assembly!F14="Centre Opening",Assembly!F14="Centre Opening - Free Flowing",Assembly!F14="Centre Opening (Offset)",Assembly!F14="Centre Opening - Free Flowing (Offset)"))),1,""))</f>
        <v/>
      </c>
      <c r="CZ6" s="8" t="str">
        <f>IF(D6="","",IF(AND(VLOOKUP(CONCATENATE('Tube Cutting'!E14,'Tube Cutting'!D14),TrackManufacturing,2,FALSE)="Streamline Birch White",(OR(Assembly!F14="Centre Opening",Assembly!F14="Centre Opening - Free Flowing",Assembly!F14="Centre Opening (Offset)",Assembly!F14="Centre Opening - Free Flowing (Offset)"))),1,""))</f>
        <v/>
      </c>
      <c r="DA6" s="8" t="str">
        <f>IF(D6="","",IF(AND(VLOOKUP(CONCATENATE('Tube Cutting'!E14,'Tube Cutting'!D14),TrackManufacturing,2,FALSE)="Streamline Matt Satin",(OR(Assembly!F14="Centre Opening",Assembly!F14="Centre Opening - Free Flowing",Assembly!F14="Centre Opening (Offset)",Assembly!F14="Centre Opening - Free Flowing (Offset)"))),1,""))</f>
        <v/>
      </c>
      <c r="DB6" s="8" t="str">
        <f>IF(OR('Job Sheet'!Z14="Conduit",I6&lt;&gt;"DBS to Make"),"",IF(VLOOKUP(CONCATENATE(Assembly!C14,Assembly!F14),PulleysEndCaps,2,FALSE)="","",IF('Tube Cutting'!D14="White",VLOOKUP(CONCATENATE(Assembly!C14,Assembly!F14),PulleysEndCaps,2,FALSE),"")))</f>
        <v/>
      </c>
      <c r="DC6" s="8" t="str">
        <f>IF(OR('Job Sheet'!Z14="Conduit",I6&lt;&gt;"DBS to Make"),"",IF(VLOOKUP(CONCATENATE(Assembly!C14,Assembly!F14),PulleysEndCaps,2,FALSE)="","",IF('Tube Cutting'!D14="Black",VLOOKUP(CONCATENATE(Assembly!C14,Assembly!F14),PulleysEndCaps,2,FALSE),"")))</f>
        <v/>
      </c>
      <c r="DD6" s="8" t="str">
        <f>IF(OR('Job Sheet'!Z14="Conduit",I6&lt;&gt;"DBS to Make"),"",IF(VLOOKUP(CONCATENATE(Assembly!C14,Assembly!F14),PulleysEndCaps,2,FALSE)="","",IF('Tube Cutting'!D14="Matt Satin",VLOOKUP(CONCATENATE(Assembly!C14,Assembly!F14),PulleysEndCaps,2,FALSE),"")))</f>
        <v/>
      </c>
      <c r="DE6" s="8" t="str">
        <f>IF(OR('Job Sheet'!Z14="Conduit",I6&lt;&gt;"DBS to Make"),"",IF(VLOOKUP(CONCATENATE(Assembly!C14,Assembly!F14),PulleysEndCaps,3,FALSE)="","",IF('Tube Cutting'!D14="White",VLOOKUP(CONCATENATE(Assembly!C14,Assembly!F14),PulleysEndCaps,3,FALSE),"")))</f>
        <v/>
      </c>
      <c r="DF6" s="8" t="str">
        <f>IF(OR('Job Sheet'!Z14="Conduit",I6&lt;&gt;"DBS to Make"),"",IF(VLOOKUP(CONCATENATE(Assembly!C14,Assembly!F14),PulleysEndCaps,3,FALSE)="","",IF('Tube Cutting'!D14="Black",VLOOKUP(CONCATENATE(Assembly!C14,Assembly!F14),PulleysEndCaps,3,FALSE),"")))</f>
        <v/>
      </c>
      <c r="DG6" s="8" t="str">
        <f>IF(OR('Job Sheet'!Z14="Conduit",I6&lt;&gt;"DBS to Make"),"",IF(VLOOKUP(CONCATENATE(Assembly!C14,Assembly!F14),PulleysEndCaps,3,FALSE)="","",IF('Tube Cutting'!D14="Matt Satin",VLOOKUP(CONCATENATE(Assembly!C14,Assembly!F14),PulleysEndCaps,3,FALSE),"")))</f>
        <v/>
      </c>
      <c r="DH6" s="8" t="str">
        <f>IF(OR('Job Sheet'!Z14="Conduit",I6&lt;&gt;"DBS to Make"),"",IF(VLOOKUP(CONCATENATE(Assembly!C14,Assembly!F14),PulleysEndCaps,6,FALSE)="","",IF('Tube Cutting'!D14="White",VLOOKUP(CONCATENATE(Assembly!C14,Assembly!F14),PulleysEndCaps,6,FALSE),"")))</f>
        <v/>
      </c>
      <c r="DI6" s="8" t="str">
        <f>IF(OR('Job Sheet'!Z14="Conduit",I6&lt;&gt;"DBS to Make"),"",IF(VLOOKUP(CONCATENATE(Assembly!C14,Assembly!F14),PulleysEndCaps,6,FALSE)="","",IF('Tube Cutting'!D14="Matt Black Ink",VLOOKUP(CONCATENATE(Assembly!C14,Assembly!F14),PulleysEndCaps,6,FALSE),"")))</f>
        <v/>
      </c>
      <c r="DJ6" s="8" t="str">
        <f>IF(OR('Job Sheet'!Z14="Conduit",I6&lt;&gt;"DBS to Make"),"",IF(VLOOKUP(CONCATENATE(Assembly!C14,Assembly!F14),PulleysEndCaps,6,FALSE)="","",IF('Tube Cutting'!D14="Birch White",VLOOKUP(CONCATENATE(Assembly!C14,Assembly!F14),PulleysEndCaps,6,FALSE),"")))</f>
        <v/>
      </c>
      <c r="DK6" s="8" t="str">
        <f>IF(OR('Job Sheet'!Z14="Conduit",'Job Sheet'!Z14="Conduit x 2",I6&lt;&gt;"DBS to Make"),"",IF(VLOOKUP(CONCATENATE(Assembly!C14,Assembly!F14),PulleysEndCaps,6,FALSE)="","",IF('Tube Cutting'!D14="Matt Satin",VLOOKUP(CONCATENATE(Assembly!C14,Assembly!F14),PulleysEndCaps,6,FALSE),"")))</f>
        <v/>
      </c>
      <c r="DL6" s="8" t="str">
        <f>IF(OR('Job Sheet'!Z14="Conduit",I6&lt;&gt;"DBS to Make"),"",IF(VLOOKUP(CONCATENATE(Assembly!C14,Assembly!F14),PulleysEndCaps,4,FALSE)="","",VLOOKUP(CONCATENATE(Assembly!C14,Assembly!F14),PulleysEndCaps,4,FALSE)))</f>
        <v/>
      </c>
      <c r="DM6" s="8" t="str">
        <f>IF(OR('Job Sheet'!Z14="Conduit",I6&lt;&gt;"DBS to Make"),"",IF(VLOOKUP(CONCATENATE(Assembly!C14,Assembly!F14),PulleysEndCaps,7,FALSE)="","",VLOOKUP(CONCATENATE(Assembly!C14,Assembly!F14),PulleysEndCaps,7,FALSE)))</f>
        <v/>
      </c>
      <c r="DN6" s="8" t="str">
        <f>IF(D6="","",IF(AND(OR(VLOOKUP(CONCATENATE('Tube Cutting'!E14,'Tube Cutting'!D14),TrackManufacturing,2,FALSE)="Wavefold White",VLOOKUP(CONCATENATE('Tube Cutting'!E14,'Tube Cutting'!D14),TrackManufacturing,2,FALSE)="Wavefold Black",VLOOKUP(CONCATENATE('Tube Cutting'!E14,'Tube Cutting'!D14),TrackManufacturing,2,FALSE)="Wavefold Matt Satin",VLOOKUP(CONCATENATE('Tube Cutting'!E14,'Tube Cutting'!D14),TrackManufacturing,2,FALSE)="System 20 White",VLOOKUP(CONCATENATE('Tube Cutting'!E14,'Tube Cutting'!D14),TrackManufacturing,2,FALSE)="System 20 Black",VLOOKUP(CONCATENATE('Tube Cutting'!E14,'Tube Cutting'!D14),TrackManufacturing,2,FALSE)="System 20 Matt Satin"),'Tube Cutting'!C14&gt;6000),1,""))</f>
        <v/>
      </c>
      <c r="DO6" s="8" t="str">
        <f>IF(D6="","",IF(AND(OR(VLOOKUP(CONCATENATE('Tube Cutting'!E14,'Tube Cutting'!D14),TrackManufacturing,2,FALSE)="Streamline White",VLOOKUP(CONCATENATE('Tube Cutting'!E14,'Tube Cutting'!D14),TrackManufacturing,2,FALSE)="Streamline Black",VLOOKUP(CONCATENATE('Tube Cutting'!E14,'Tube Cutting'!D14),TrackManufacturing,2,FALSE)="Streamline Birch White",VLOOKUP(CONCATENATE('Tube Cutting'!E14,'Tube Cutting'!D14),TrackManufacturing,2,FALSE)="Streamline Matt Satin"),'Tube Cutting'!C14&gt;6000),1,""))</f>
        <v/>
      </c>
      <c r="DP6" s="8">
        <f>IF(OR('Job Sheet'!Z14="Conduit",I6&lt;&gt;"DBS to Make"),"",IF(VLOOKUP(CONCATENATE(Assembly!C14,Assembly!F14),PulleysEndCaps,5,FALSE)="","",IF('Tube Cutting'!D14="White",VLOOKUP(CONCATENATE(Assembly!C14,Assembly!F14),PulleysEndCaps,5,FALSE),"")))</f>
        <v>2</v>
      </c>
      <c r="DQ6" s="8" t="str">
        <f>IF(OR('Job Sheet'!Z14="Conduit",I6&lt;&gt;"DBS to Make"),"",IF(VLOOKUP(CONCATENATE(Assembly!C14,Assembly!F14),PulleysEndCaps,5,FALSE)="","",IF('Tube Cutting'!D14="Black",VLOOKUP(CONCATENATE(Assembly!C14,Assembly!F14),PulleysEndCaps,5,FALSE),"")))</f>
        <v/>
      </c>
      <c r="DR6" s="8" t="str">
        <f>IF(OR('Job Sheet'!Z14="Conduit",I6&lt;&gt;"DBS to Make"),"",IF(VLOOKUP(CONCATENATE(Assembly!C14,Assembly!F14),PulleysEndCaps,5,FALSE)="","",IF('Tube Cutting'!D14="Matt Satin",VLOOKUP(CONCATENATE(Assembly!C14,Assembly!F14),PulleysEndCaps,5,FALSE),"")))</f>
        <v/>
      </c>
      <c r="DS6" s="8" t="str">
        <f>IF(OR('Job Sheet'!Z14="Conduit",I6&lt;&gt;"DBS to Make"),"",IF(VLOOKUP(CONCATENATE(Assembly!C14,Assembly!F14),PulleysEndCaps,8,FALSE)="","",IF('Tube Cutting'!D14="White",VLOOKUP(CONCATENATE(Assembly!C14,Assembly!F14),PulleysEndCaps,8,FALSE),"")))</f>
        <v/>
      </c>
      <c r="DT6" s="8" t="str">
        <f>IF(OR('Job Sheet'!Z14="Conduit",I6&lt;&gt;"DBS to Make"),"",IF(VLOOKUP(CONCATENATE(Assembly!C14,Assembly!F14),PulleysEndCaps,8,FALSE)="","",IF('Tube Cutting'!D14="Matt Black Ink",VLOOKUP(CONCATENATE(Assembly!C14,Assembly!F14),PulleysEndCaps,8,FALSE),"")))</f>
        <v/>
      </c>
      <c r="DU6" s="8" t="str">
        <f>IF(OR('Job Sheet'!Z14="Conduit",I6&lt;&gt;"DBS to Make"),"",IF(VLOOKUP(CONCATENATE(Assembly!C14,Assembly!F14),PulleysEndCaps,8,FALSE)="","",IF('Tube Cutting'!D14="Birch White",VLOOKUP(CONCATENATE(Assembly!C14,Assembly!F14),PulleysEndCaps,8,FALSE),"")))</f>
        <v/>
      </c>
      <c r="DV6" s="8" t="str">
        <f>IF(OR('Job Sheet'!Z14="Conduit",'Job Sheet'!Z14="Conduit x 2",I6&lt;&gt;"DBS to Make"),"",IF(VLOOKUP(CONCATENATE(Assembly!C14,Assembly!F14),PulleysEndCaps,8,FALSE)="","",IF('Tube Cutting'!D14="Matt Satin",VLOOKUP(CONCATENATE(Assembly!C14,Assembly!F14),PulleysEndCaps,8,FALSE),"")))</f>
        <v/>
      </c>
      <c r="DW6" s="8" t="str">
        <f>IF(D6="","",IF(AND(Assembly!C14="Wavefold Cord Operation",OR('Tube Cutting'!D14="White",'Tube Cutting'!D14="Matt Satin"),OR(Assembly!F14="Centre Opening",Assembly!F14="Centre Opening - Free Flowing",Assembly!F14="Centre Opening (Offset)",Assembly!F14="Centre Opening - Free Flowing (Offset)")),2,IF(AND(Assembly!C14="Wavefold Cord Operation",OR('Tube Cutting'!D14="White",'Tube Cutting'!D14="Matt Satin"),OR(Assembly!F14="Single Panel - Left Stacking",Assembly!F14="Single Panel - Right Stacking",Assembly!F14="Single Panel - Free Flowing")),1,"")))</f>
        <v/>
      </c>
      <c r="DX6" s="8" t="str">
        <f>IF(D6="","",IF(AND(AND(Assembly!C14="Wavefold Cord Operation",'Tube Cutting'!D14="Black",'Tube Cutting'!D14),(OR(Assembly!F14="Centre Opening",Assembly!F14="Centre Opening - Free Flowing",Assembly!F14="Centre Opening (Offset)",Assembly!F14="Centre Opening - Free Flowing (Offset)"))),2,IF(AND(AND(Assembly!C14="Wavefold Cord Operation",'Tube Cutting'!D14="Black",'Tube Cutting'!D14),(OR(Assembly!F14="Single Panel - Left Stacking",Assembly!F14="Single Panel - Right Stacking",Assembly!F14="Single Panel - Free Flowing"))),1,"")))</f>
        <v/>
      </c>
      <c r="DY6" s="8" t="str">
        <f>IF(D6="","",IF(AND(Assembly!C14="Wavefold Hand Operation",(OR('Tube Cutting'!D14="White",'Tube Cutting'!D14="White"))),Bagging!I14,""))</f>
        <v>1</v>
      </c>
      <c r="DZ6" s="8" t="str">
        <f>IF(D6="","",IF(AND(Assembly!C14="Wavefold Hand Operation",'Tube Cutting'!D14="Black"),Bagging!I14,""))</f>
        <v/>
      </c>
      <c r="EA6" s="8" t="str">
        <f>IF(OR(D6="",AI16="Straight"),"",IF(AND(OR('Tube Cutting'!E14="Streamline Cord Operation",'Tube Cutting'!E14="Streamline Hand Operation"),(OR(Assembly!F14="Centre Opening",Assembly!F14="Centre Opening - Free Flowing",Assembly!F14="Centre Opening (Offset)",Assembly!F14="Centre Opening - Free Flowing (Offset)"))),2,IF(AND(OR('Tube Cutting'!E14="Streamline Cord Operation",'Tube Cutting'!E14="Streamline Hand Operation"),(OR(Assembly!F14="Single Panel - Left Stacking",Assembly!F14="Single Panel - Right Stacking - Free Flowing",Assembly!F14="Single Panel - Free Flowing"))),1,"")))</f>
        <v/>
      </c>
      <c r="EB6" s="8" t="str">
        <f>IF(D6="","",IF(OR('Tube Cutting'!E14="Streamline Cord Operation",'Tube Cutting'!E14="Wavefold Cord Operation",'Tube Cutting'!E14="System 20 Light Commercial Track Cord Drawn"),1,""))</f>
        <v/>
      </c>
      <c r="EC6" s="8" t="str">
        <f>IF(D6="","",IF(VLOOKUP(CONCATENATE('Tube Cutting'!E14,'Tube Cutting'!D14),TrackManufacturing,2,FALSE)="System 20 White",1,""))</f>
        <v/>
      </c>
      <c r="ED6" s="8" t="str">
        <f>IF(D6="","",IF(VLOOKUP(CONCATENATE('Tube Cutting'!E14,'Tube Cutting'!D14),TrackManufacturing,2,FALSE)="System 20 Black",1,""))</f>
        <v/>
      </c>
      <c r="EE6" s="8" t="str">
        <f>IF(D6="","",IF(AND(VLOOKUP(CONCATENATE('Tube Cutting'!E14,'Tube Cutting'!D14),TrackManufacturing,2,FALSE)="System 20 White",(OR(Assembly!F14="Centre Opening",Assembly!F14="Centre Opening - Free Flowing",Assembly!F14="Centre Opening (Offset)",Assembly!F14="Centre Opening - Free Flowing (Offset)"))),1,""))</f>
        <v/>
      </c>
      <c r="EF6" s="8" t="str">
        <f>IF(D6="","",IF(AND(VLOOKUP(CONCATENATE('Tube Cutting'!E14,'Tube Cutting'!D14),TrackManufacturing,2,FALSE)="System 20 Black",(OR(Assembly!F14="Centre Opening",Assembly!F14="Centre Opening - Free Flowing",Assembly!F14="Centre Opening (Offset)",Assembly!F14="Centre Opening - Free Flowing (Offset)"))),1,""))</f>
        <v/>
      </c>
      <c r="EG6" s="125" t="str">
        <f>IF(D6="","",IF(OR(VLOOKUP(CONCATENATE('Tube Cutting'!E14,'Tube Cutting'!D14),TrackManufacturing,2,FALSE)="System 20 White",VLOOKUP(CONCATENATE('Tube Cutting'!E14,'Tube Cutting'!D14),TrackManufacturing,2,FALSE)="System 20 Black"),Assembly!G14,""))</f>
        <v/>
      </c>
      <c r="EH6" s="8" t="str">
        <f>IF('Tube Cutting'!E14="Conduit",'Job Sheet'!CB14,"")</f>
        <v/>
      </c>
      <c r="EI6" s="8" t="str">
        <f>IF(Bagging!D14="Muslin Brackets",2,IF(Bagging!D14="Muslin Brackets Top and Bottom",4,""))</f>
        <v/>
      </c>
      <c r="EJ6" s="8" t="str">
        <f>IF(Bagging!D14="100mm Unstayed Brackets with Acorns",2,"")</f>
        <v/>
      </c>
      <c r="EK6" s="8" t="str">
        <f>IF(Bagging!D14="25mm Brackets with Acorns",2,IF('Job Sheet'!AJ14="1 (Conduit)",2,IF('Job Sheet'!AJ14="2 (Conduit)",4,IF('Job Sheet'!AJ14="3 (Conduit)",6,IF('Job Sheet'!AJ14="4 (Conduit)",8,"")))))</f>
        <v/>
      </c>
      <c r="EL6" s="8" t="str">
        <f>IF(OR(Bagging!D14="25mm Brackets with Acorns",Bagging!D14="100mm Unstayed Brackets with Acorns"),2,"")</f>
        <v/>
      </c>
      <c r="EM6" s="8" t="str">
        <f>IF('Job Sheet'!AJ14="1 (Conduit)",1,IF('Job Sheet'!AJ14="2 (Conduit)",2,IF('Job Sheet'!AJ14="3 (Conduit)",3,IF('Job Sheet'!AJ14="4 (Conduit)",4,""))))</f>
        <v/>
      </c>
    </row>
    <row r="7" spans="4:143" ht="12" customHeight="1">
      <c r="D7" s="8" t="str">
        <f>IF(Data!AW15="","",CONCATENATE(Data!BC$5,".",Data!BD$5))</f>
        <v>39776.F</v>
      </c>
      <c r="E7" s="8">
        <f>IF(D7="","",Data!AW15)</f>
        <v>32</v>
      </c>
      <c r="F7" s="8" t="str">
        <f>IF(D7="","",Data!AV15)</f>
        <v>48332b17-2ffe-4aa6-81a0-7ae78d2cbdd5</v>
      </c>
      <c r="G7" s="8" t="str">
        <f>IF(D7="","",Data!BF$5)</f>
        <v>Hare, Kaitlin</v>
      </c>
      <c r="H7" s="8" t="str">
        <f>IF(D7="","",Data!AX$5)</f>
        <v>Whole House</v>
      </c>
      <c r="I7" s="8" t="str">
        <f>IF(D7="","",'Job Sheet'!BH15)</f>
        <v>DBS to Make</v>
      </c>
      <c r="J7" s="8">
        <f>IF(D7="","",IF(OR(VLOOKUP(CONCATENATE('Tube Cutting'!E15,'Tube Cutting'!D15),TrackManufacturing,2,FALSE)="Wavefold White",VLOOKUP(CONCATENATE('Tube Cutting'!E15,'Tube Cutting'!D15),TrackManufacturing,2,FALSE)="Wavefold Black",VLOOKUP(CONCATENATE('Tube Cutting'!E15,'Tube Cutting'!D15),TrackManufacturing,2,FALSE)="Wavefold Matt Satin"),('Job Sheet'!BP15*2)/1000,""))</f>
        <v>6.634</v>
      </c>
      <c r="K7" s="125">
        <f>IF(D7="","",IF(OR(VLOOKUP(CONCATENATE('Tube Cutting'!E15,'Tube Cutting'!D15),TrackManufacturing,2,FALSE)="Wavefold White",VLOOKUP(CONCATENATE('Tube Cutting'!E15,'Tube Cutting'!D15),TrackManufacturing,2,FALSE)="Wavefold Matt Satin"),J7*10,""))</f>
        <v>66.34</v>
      </c>
      <c r="L7" s="125" t="str">
        <f>IF(D7="","",IF(VLOOKUP(CONCATENATE('Tube Cutting'!E15,'Tube Cutting'!D15),TrackManufacturing,2,FALSE)="Wavefold Black",J7*10,""))</f>
        <v/>
      </c>
      <c r="M7" s="126">
        <f>IF(D7="","",IF(OR(VLOOKUP(CONCATENATE('Tube Cutting'!E15,'Tube Cutting'!D15),TrackManufacturing,2,FALSE)="Wavefold White",VLOOKUP(CONCATENATE('Tube Cutting'!E15,'Tube Cutting'!D15),TrackManufacturing,2,FALSE)="System 20 White"),'Tube Cutting'!C15/1000,""))</f>
        <v>3.256</v>
      </c>
      <c r="N7" s="126" t="str">
        <f>IF(D7="","",IF(OR(VLOOKUP(CONCATENATE('Tube Cutting'!E15,'Tube Cutting'!D15),TrackManufacturing,2,FALSE)="Wavefold Black",VLOOKUP(CONCATENATE('Tube Cutting'!E15,'Tube Cutting'!D15),TrackManufacturing,2,FALSE)="System 20 Black"),'Tube Cutting'!C15/1000,""))</f>
        <v/>
      </c>
      <c r="O7" s="126" t="str">
        <f>IF(D7="","",IF(OR(VLOOKUP(CONCATENATE('Tube Cutting'!E15,'Tube Cutting'!D15),TrackManufacturing,2,FALSE)="Wavefold Matt Satin",VLOOKUP(CONCATENATE('Tube Cutting'!E15,'Tube Cutting'!D15),TrackManufacturing,2,FALSE)="System 20 Matt Satin"),'Tube Cutting'!C15/1000,""))</f>
        <v/>
      </c>
      <c r="P7" s="125">
        <f>IF(D7="","",IF(AND((OR('Tube Cutting'!D15="White",'Tube Cutting'!D15="Matt Satin")),(OR('Tube Cutting'!E15="Wavefold Hand Operation",'Tube Cutting'!E15="Wavefold Cord Operation"))),IF(M7="",O7*20,M7*20),""))</f>
        <v>65.12</v>
      </c>
      <c r="Q7" s="125" t="str">
        <f>IF(D7="","",IF(AND('Tube Cutting'!D15="Black",(OR('Tube Cutting'!E15="Wavefold Hand Operation",'Tube Cutting'!E15="Wavefold Cord Operation"))),N7*20,""))</f>
        <v/>
      </c>
      <c r="R7" s="125" t="str">
        <f>IF(D7="","",IF(OR('Tube Cutting'!E15="Streamline Hand Operation",'Tube Cutting'!E15="Streamline Cord Operation"),Assembly!G15,""))</f>
        <v/>
      </c>
      <c r="S7" s="8" t="str">
        <f>IF(D7="","",IF(VLOOKUP(CONCATENATE('Tube Cutting'!E15,'Tube Cutting'!D15),TrackManufacturing,2,FALSE)="Streamline White",'Tube Cutting'!C15/1000,""))</f>
        <v/>
      </c>
      <c r="T7" s="8" t="str">
        <f>IF(D7="","",IF(VLOOKUP(CONCATENATE('Tube Cutting'!E15,'Tube Cutting'!D15),TrackManufacturing,2,FALSE)="Streamline Matt Black Ink",'Tube Cutting'!C15/1000,""))</f>
        <v/>
      </c>
      <c r="U7" s="8" t="str">
        <f>IF(D7="","",IF(VLOOKUP(CONCATENATE('Tube Cutting'!E15,'Tube Cutting'!D15),TrackManufacturing,2,FALSE)="Streamline Birch White",'Tube Cutting'!C15/1000,""))</f>
        <v/>
      </c>
      <c r="V7" s="8" t="str">
        <f>IF(D7="","",IF(VLOOKUP(CONCATENATE('Tube Cutting'!E15,'Tube Cutting'!D15),TrackManufacturing,2,FALSE)="Streamline Matt Satin",'Tube Cutting'!C15/1000,""))</f>
        <v/>
      </c>
      <c r="W7" s="8" t="str">
        <f>IF(Bagging!H15="White Aluminium Flick Sticks 100cm",Bagging!I15,"")</f>
        <v/>
      </c>
      <c r="X7" s="8" t="str">
        <f>IF(Bagging!H15="White Aluminium Flick Sticks 125cm",Bagging!I15,"")</f>
        <v>1</v>
      </c>
      <c r="Y7" s="8" t="str">
        <f>IF(Bagging!H15="White Aluminium Flick Sticks 150cm",Bagging!I15,"")</f>
        <v/>
      </c>
      <c r="Z7" s="8" t="str">
        <f>IF(Bagging!H15="Black Aluminium Flick Sticks 100cm",Bagging!I15,"")</f>
        <v/>
      </c>
      <c r="AA7" s="8" t="str">
        <f>IF(Bagging!H15="Black Aluminium Flick Sticks 125cm",Bagging!I15,"")</f>
        <v/>
      </c>
      <c r="AB7" s="8" t="str">
        <f>IF(Bagging!H15="Black Aluminium Flick Sticks 150cm",Bagging!I15,"")</f>
        <v/>
      </c>
      <c r="AC7" s="8" t="str">
        <f>IF(Bagging!H15="Matt Satin Aluminium Flick Sticks 100cm",Bagging!I15,"")</f>
        <v/>
      </c>
      <c r="AD7" s="8" t="str">
        <f>IF(Bagging!H15="Black Aluminium Flick Sticks 125cm",Bagging!I15,"")</f>
        <v/>
      </c>
      <c r="AE7" s="8" t="str">
        <f>IF(Bagging!H15="Black Aluminium Flick Sticks 150cm",Bagging!I15,"")</f>
        <v/>
      </c>
      <c r="AF7" s="8" t="str">
        <f>IF(Bagging!H15="Standard Clear 75cm",Bagging!I15,"")</f>
        <v/>
      </c>
      <c r="AG7" s="8" t="str">
        <f>IF(Bagging!H15="Standard Clear 100cm",Bagging!I15,"")</f>
        <v/>
      </c>
      <c r="AH7" s="8" t="str">
        <f>IF(Bagging!H15="Standard Clear 125cm",Bagging!I15,"")</f>
        <v/>
      </c>
      <c r="AI7" s="8" t="str">
        <f>IF(Bagging!H15="Standard Clear 150cm",Bagging!I15,"")</f>
        <v/>
      </c>
      <c r="AJ7" s="8" t="str">
        <f>IF(Bagging!H15="White Fibreglass 200cm",Bagging!I15,"")</f>
        <v/>
      </c>
      <c r="AK7" s="8" t="str">
        <f>IF(Bagging!H15="White Fibreglass 250cm",Bagging!I15,"")</f>
        <v/>
      </c>
      <c r="AL7" s="8" t="str">
        <f>IF(D7="","",IF(AND(OR(VLOOKUP(CONCATENATE('Tube Cutting'!E15,'Tube Cutting'!D15),TrackManufacturing,2,FALSE)="Wavefold White",VLOOKUP(CONCATENATE('Tube Cutting'!E15,'Tube Cutting'!D15),TrackManufacturing,2,FALSE)="System 20 White"),(Bagging!D15="Top Fix Brackets")),Bagging!F15,""))</f>
        <v/>
      </c>
      <c r="AM7" s="8">
        <f>IF(D7="","",IF(AND(OR(VLOOKUP(CONCATENATE('Tube Cutting'!E15,'Tube Cutting'!D15),TrackManufacturing,2,FALSE)="Wavefold White",VLOOKUP(CONCATENATE('Tube Cutting'!E15,'Tube Cutting'!D15),TrackManufacturing,2,FALSE)="System 20 White"),(Bagging!D15="Single Face Fix Brackets")),Bagging!F15,""))</f>
        <v>6</v>
      </c>
      <c r="AN7" s="8" t="str">
        <f>IF(D7="","",IF(AND(OR(VLOOKUP(CONCATENATE('Tube Cutting'!E15,'Tube Cutting'!D15),TrackManufacturing,2,FALSE)="Wavefold White",VLOOKUP(CONCATENATE('Tube Cutting'!E15,'Tube Cutting'!D15),TrackManufacturing,2,FALSE)="System 20 White"),(Bagging!D15="Double Face Fix Brackets")),Bagging!F15,""))</f>
        <v/>
      </c>
      <c r="AO7" s="8" t="str">
        <f>IF(D7="","",IF(AND(OR(VLOOKUP(CONCATENATE('Tube Cutting'!E15,'Tube Cutting'!D15),TrackManufacturing,2,FALSE)="Wavefold White",VLOOKUP(CONCATENATE('Tube Cutting'!E15,'Tube Cutting'!D15),TrackManufacturing,2,FALSE)="System 20 White"),(Bagging!D15="Triple Face Fix Brackets")),Bagging!F15,""))</f>
        <v/>
      </c>
      <c r="AP7" s="8" t="str">
        <f>IF(D7="","",IF(AND(OR(VLOOKUP(CONCATENATE('Tube Cutting'!E15,'Tube Cutting'!D15),TrackManufacturing,2,FALSE)="Wavefold Black",VLOOKUP(CONCATENATE('Tube Cutting'!E15,'Tube Cutting'!D15),TrackManufacturing,2,FALSE)="System 20 Black"),(Bagging!D15="Top Fix Brackets")),Bagging!F15,""))</f>
        <v/>
      </c>
      <c r="AQ7" s="8" t="str">
        <f>IF(D7="","",IF(AND(OR(VLOOKUP(CONCATENATE('Tube Cutting'!E15,'Tube Cutting'!D15),TrackManufacturing,2,FALSE)="Wavefold Black",VLOOKUP(CONCATENATE('Tube Cutting'!E15,'Tube Cutting'!D15),TrackManufacturing,2,FALSE)="System 20 Black"),(Bagging!D15="Single Face Fix Brackets")),Bagging!F15,""))</f>
        <v/>
      </c>
      <c r="AR7" s="8" t="str">
        <f>IF(D7="","",IF(AND(OR(VLOOKUP(CONCATENATE('Tube Cutting'!E15,'Tube Cutting'!D15),TrackManufacturing,2,FALSE)="Wavefold Black",VLOOKUP(CONCATENATE('Tube Cutting'!E15,'Tube Cutting'!D15),TrackManufacturing,2,FALSE)="System 20 Black"),(Bagging!D15="Double Face Fix Brackets")),Bagging!F15,""))</f>
        <v/>
      </c>
      <c r="AS7" s="8" t="str">
        <f>IF(D7="","",IF(AND(OR(VLOOKUP(CONCATENATE('Tube Cutting'!E15,'Tube Cutting'!D15),TrackManufacturing,2,FALSE)="Wavefold Black",VLOOKUP(CONCATENATE('Tube Cutting'!E15,'Tube Cutting'!D15),TrackManufacturing,2,FALSE)="System 20 Black"),(Bagging!D15="Triple Face Fix Brackets")),Bagging!F15,""))</f>
        <v/>
      </c>
      <c r="AT7" s="8" t="str">
        <f>IF(D7="","",IF(AND(OR(VLOOKUP(CONCATENATE('Tube Cutting'!E15,'Tube Cutting'!D15),TrackManufacturing,2,FALSE)="Wavefold Matt Satin",VLOOKUP(CONCATENATE('Tube Cutting'!E15,'Tube Cutting'!D15),TrackManufacturing,2,FALSE)="System 20 Matt Satin"),(Bagging!D15="Top Fix Brackets")),Bagging!F15,""))</f>
        <v/>
      </c>
      <c r="AU7" s="8" t="str">
        <f>IF(D7="","",IF(AND(OR(VLOOKUP(CONCATENATE('Tube Cutting'!E15,'Tube Cutting'!D15),TrackManufacturing,2,FALSE)="Wavefold Matt Satin",VLOOKUP(CONCATENATE('Tube Cutting'!E15,'Tube Cutting'!D15),TrackManufacturing,2,FALSE)="System 20 Matt Satin"),(Bagging!D15="Single Face Fix Brackets")),Bagging!F15,""))</f>
        <v/>
      </c>
      <c r="AV7" s="8" t="str">
        <f>IF(D7="","",IF(AND(OR(VLOOKUP(CONCATENATE('Tube Cutting'!E15,'Tube Cutting'!D15),TrackManufacturing,2,FALSE)="Wavefold Matt Satin",VLOOKUP(CONCATENATE('Tube Cutting'!E15,'Tube Cutting'!D15),TrackManufacturing,2,FALSE)="System 20 Matt Satin"),(Bagging!D15="Double Face Fix Brackets")),Bagging!F15,""))</f>
        <v/>
      </c>
      <c r="AW7" s="8" t="str">
        <f>IF(D7="","",IF(AND(OR(VLOOKUP(CONCATENATE('Tube Cutting'!E15,'Tube Cutting'!D15),TrackManufacturing,2,FALSE)="Wavefold Matt Satin",VLOOKUP(CONCATENATE('Tube Cutting'!E15,'Tube Cutting'!D15),TrackManufacturing,2,FALSE)="System 20 Matt Satin"),(Bagging!D15="Triple Face Fix Brackets")),Bagging!F15,""))</f>
        <v/>
      </c>
      <c r="AX7" s="8" t="str">
        <f>IF(D7="","",IF(AND(VLOOKUP(CONCATENATE('Tube Cutting'!E15,'Tube Cutting'!D15),TrackManufacturing,2,FALSE)="Streamline White",(Bagging!D15="Nylon Top Fix Brackets")),VLOOKUP('Job Sheet'!BP15,Brackets,2,TRUE),""))</f>
        <v/>
      </c>
      <c r="AY7" s="8" t="str">
        <f>IF(D7="","",IF(AND(VLOOKUP(CONCATENATE('Tube Cutting'!E15,'Tube Cutting'!D15),TrackManufacturing,2,FALSE)="Streamline White",(Bagging!D15="Metal Fix Brackets")),VLOOKUP('Job Sheet'!BP15,Brackets,2,TRUE),""))</f>
        <v/>
      </c>
      <c r="AZ7" s="8" t="str">
        <f>IF(D7="","",IF(AND(VLOOKUP(CONCATENATE('Tube Cutting'!E15,'Tube Cutting'!D15),TrackManufacturing,2,FALSE)="Streamline White",(Bagging!D15="Single Face Fix Brackets")),Bagging!F15,""))</f>
        <v/>
      </c>
      <c r="BA7" s="8" t="str">
        <f>IF(D7="","",IF(AND(VLOOKUP(CONCATENATE('Tube Cutting'!E15,'Tube Cutting'!D15),TrackManufacturing,2,FALSE)="Streamline White",(Bagging!D15="Double Face Fix Brackets")),Bagging!F15,""))</f>
        <v/>
      </c>
      <c r="BB7" s="8" t="str">
        <f>IF(D7="","",IF(AND(VLOOKUP(CONCATENATE('Tube Cutting'!E15,'Tube Cutting'!D15),TrackManufacturing,2,FALSE)="Streamline White",(Bagging!D15="Triple Face Fix Brackets")),Bagging!F15,""))</f>
        <v/>
      </c>
      <c r="BC7" s="8" t="str">
        <f>IF(D7="","",IF(AND(VLOOKUP(CONCATENATE('Tube Cutting'!E15,'Tube Cutting'!D15),TrackManufacturing,2,FALSE)="Streamline White",(Bagging!D15="32mm Face Fix Brackets")),Bagging!F15,""))</f>
        <v/>
      </c>
      <c r="BD7" s="8" t="str">
        <f>IF(D7="","",IF(AND(VLOOKUP(CONCATENATE('Tube Cutting'!E15,'Tube Cutting'!D15),TrackManufacturing,2,FALSE)="Streamline Matt Black Ink",(Bagging!D15="Top Fix Brackets")),VLOOKUP('Job Sheet'!BP15,Brackets,2,TRUE),""))</f>
        <v/>
      </c>
      <c r="BE7" s="8" t="str">
        <f>IF(D7="","",IF(AND(VLOOKUP(CONCATENATE('Tube Cutting'!E15,'Tube Cutting'!D15),TrackManufacturing,2,FALSE)="Streamline White",(Bagging!D15="Metal Fix Brackets")),VLOOKUP('Job Sheet'!BP15,Brackets,2,TRUE),""))</f>
        <v/>
      </c>
      <c r="BF7" s="8" t="str">
        <f>IF(D7="","",IF(AND(VLOOKUP(CONCATENATE('Tube Cutting'!E15,'Tube Cutting'!D15),TrackManufacturing,2,FALSE)="Streamline Matt Black Ink",(Bagging!D15="Single Face Fix Brackets")),Bagging!F15,""))</f>
        <v/>
      </c>
      <c r="BG7" s="8" t="str">
        <f>IF(D7="","",IF(AND(VLOOKUP(CONCATENATE('Tube Cutting'!E15,'Tube Cutting'!D15),TrackManufacturing,2,FALSE)="Streamline Matt Black Ink",(Bagging!D15="Double Face Fix Brackets")),Bagging!F15,""))</f>
        <v/>
      </c>
      <c r="BH7" s="8" t="str">
        <f>IF(D7="","",IF(AND(VLOOKUP(CONCATENATE('Tube Cutting'!E15,'Tube Cutting'!D15),TrackManufacturing,2,FALSE)="Streamline Matt Black Ink",(Bagging!D15="Triple Face Fix Brackets")),Bagging!F15,""))</f>
        <v/>
      </c>
      <c r="BI7" s="8" t="str">
        <f>IF(D7="","",IF(AND(VLOOKUP(CONCATENATE('Tube Cutting'!E15,'Tube Cutting'!D15),TrackManufacturing,2,FALSE)="Streamline Matt Black Ink",(Bagging!D15="32mm Face Fix Brackets")),Bagging!F15,""))</f>
        <v/>
      </c>
      <c r="BJ7" s="8" t="str">
        <f>IF(D7="","",IF(AND(VLOOKUP(CONCATENATE('Tube Cutting'!E15,'Tube Cutting'!D15),TrackManufacturing,2,FALSE)="Streamline Birch White",(Bagging!D15="Top Fix Brackets")),VLOOKUP('Job Sheet'!BP15,Brackets,2,TRUE),""))</f>
        <v/>
      </c>
      <c r="BK7" s="8" t="str">
        <f>IF(D7="","",IF(AND(VLOOKUP(CONCATENATE('Tube Cutting'!E15,'Tube Cutting'!D15),TrackManufacturing,2,FALSE)="Streamline White",(Bagging!D15="Metal Fix Brackets")),VLOOKUP('Job Sheet'!BP15,Brackets,2,TRUE),""))</f>
        <v/>
      </c>
      <c r="BL7" s="8" t="str">
        <f>IF(D7="","",IF(AND(VLOOKUP(CONCATENATE('Tube Cutting'!E15,'Tube Cutting'!D15),TrackManufacturing,2,FALSE)="Streamline Birch White",(Bagging!D15="Single Face Fix Brackets")),Bagging!F15,""))</f>
        <v/>
      </c>
      <c r="BM7" s="8" t="str">
        <f>IF(D7="","",IF(AND(VLOOKUP(CONCATENATE('Tube Cutting'!E15,'Tube Cutting'!D15),TrackManufacturing,2,FALSE)="Streamline Birch White",(Bagging!D15="Double Face Fix Brackets")),Bagging!F15,""))</f>
        <v/>
      </c>
      <c r="BN7" s="8" t="str">
        <f>IF(D7="","",IF(AND(VLOOKUP(CONCATENATE('Tube Cutting'!E15,'Tube Cutting'!D15),TrackManufacturing,2,FALSE)="Streamline Birch White",(Bagging!D15="Triple Face Fix Brackets")),Bagging!F15,""))</f>
        <v/>
      </c>
      <c r="BO7" s="8" t="str">
        <f>IF(D7="","",IF(AND(VLOOKUP(CONCATENATE('Tube Cutting'!E15,'Tube Cutting'!D15),TrackManufacturing,2,FALSE)="Streamline Birch White",(Bagging!D15="32mm Face Fix Brackets")),Bagging!F15,""))</f>
        <v/>
      </c>
      <c r="BP7" s="8" t="str">
        <f>IF(K7="","",IF(AND(VLOOKUP(CONCATENATE('Tube Cutting'!K15,'Tube Cutting'!J15),TrackManufacturing,2,FALSE)="Streamline Birch White",(Bagging!J15="Top Fix Brackets")),VLOOKUP('Job Sheet'!BU15,Brackets,2,TRUE),""))</f>
        <v/>
      </c>
      <c r="BQ7" s="8" t="str">
        <f>IF(K7="","",IF(AND(VLOOKUP(CONCATENATE('Tube Cutting'!K15,'Tube Cutting'!J15),TrackManufacturing,2,FALSE)="Streamline White",(Bagging!J15="Metal Fix Brackets")),VLOOKUP('Job Sheet'!BU15,Brackets,2,TRUE),""))</f>
        <v/>
      </c>
      <c r="BR7" s="8" t="str">
        <f>IF(K7="","",IF(AND(VLOOKUP(CONCATENATE('Tube Cutting'!K15,'Tube Cutting'!J15),TrackManufacturing,2,FALSE)="Streamline Birch White",(Bagging!J15="Single Face Fix Brackets")),Bagging!L15,""))</f>
        <v/>
      </c>
      <c r="BS7" s="8" t="str">
        <f>IF(K7="","",IF(AND(VLOOKUP(CONCATENATE('Tube Cutting'!K15,'Tube Cutting'!J15),TrackManufacturing,2,FALSE)="Streamline Birch White",(Bagging!J15="Double Face Fix Brackets")),Bagging!L15,""))</f>
        <v/>
      </c>
      <c r="BT7" s="8" t="str">
        <f>IF(K7="","",IF(AND(VLOOKUP(CONCATENATE('Tube Cutting'!K15,'Tube Cutting'!J15),TrackManufacturing,2,FALSE)="Streamline Birch White",(Bagging!J15="Triple Face Fix Brackets")),Bagging!L15,""))</f>
        <v/>
      </c>
      <c r="BU7" s="8" t="str">
        <f>IF(K7="","",IF(AND(VLOOKUP(CONCATENATE('Tube Cutting'!K15,'Tube Cutting'!J15),TrackManufacturing,2,FALSE)="Streamline Birch White",(Bagging!J15="32mm Face Fix Brackets")),Bagging!L15,""))</f>
        <v/>
      </c>
      <c r="BV7" s="8" t="str">
        <f>IF(AND('Tube Cutting'!D15="White",Bagging!D15="Top Fix Brackets"),Bagging!F15,"")</f>
        <v/>
      </c>
      <c r="BW7" s="8">
        <f>IF(AND('Tube Cutting'!D15="White",Bagging!D15="Single Face Fix Brackets"),Bagging!F15,"")</f>
        <v>6</v>
      </c>
      <c r="BX7" s="8" t="str">
        <f>IF(AND('Tube Cutting'!D15="White",Bagging!D15="Double Face Fix Brackets"),Bagging!F15,"")</f>
        <v/>
      </c>
      <c r="BY7" s="8" t="str">
        <f>IF(AND('Tube Cutting'!D15="White",Bagging!D15="Triple Face Fix Brackets"),Bagging!F15,"")</f>
        <v/>
      </c>
      <c r="BZ7" s="8" t="str">
        <f>IF(AND('Tube Cutting'!D15="Black",Bagging!D15="Top Fix Brackets"),Bagging!F15,"")</f>
        <v/>
      </c>
      <c r="CA7" s="8" t="str">
        <f>IF(AND('Tube Cutting'!D15="Black",Bagging!D15="Single Face Fix Brackets"),Bagging!F15,"")</f>
        <v/>
      </c>
      <c r="CB7" s="8" t="str">
        <f>IF(AND('Tube Cutting'!D15="Black",Bagging!D15="Double Face Fix Brackets"),Bagging!F15,"")</f>
        <v/>
      </c>
      <c r="CC7" s="8" t="str">
        <f>IF(AND('Tube Cutting'!D15="Black",Bagging!D15="Triple Fix Brackets"),Bagging!F15,"")</f>
        <v/>
      </c>
      <c r="CD7" s="8" t="str">
        <f>IF(AND('Tube Cutting'!D15="Matt Satin",Bagging!D15="Top Fix Brackets"),Bagging!F15,"")</f>
        <v/>
      </c>
      <c r="CE7" s="8" t="str">
        <f>IF(AND('Tube Cutting'!D15="Matt Satin",Bagging!D15="Single Face Fix Brackets"),Bagging!F15,"")</f>
        <v/>
      </c>
      <c r="CF7" s="8" t="str">
        <f>IF(AND('Tube Cutting'!D15="Matt Satin",Bagging!D15="Double Face Fix Brackets"),Bagging!F15,"")</f>
        <v/>
      </c>
      <c r="CG7" s="8" t="str">
        <f>IF(AND('Tube Cutting'!D15="Matt Satin",Bagging!D15="Triple Fix Brackets"),Bagging!F15,"")</f>
        <v/>
      </c>
      <c r="CH7" s="8" t="str">
        <f>IF(D7="","",IF(AND('Tube Cutting'!D15="White",(OR(Bagging!J15="Single Left",Bagging!J15="Single Left &amp; Right"))),"1",""))</f>
        <v/>
      </c>
      <c r="CI7" s="8" t="str">
        <f>IF(D7="","",IF(AND('Tube Cutting'!D15="Black",(OR(Bagging!J15="Single Left",Bagging!J15="Single Left &amp; Right"))),"1",""))</f>
        <v/>
      </c>
      <c r="CJ7" s="8" t="str">
        <f>IF(D7="","",IF(AND('Tube Cutting'!D15="Matt Satin",(OR(Bagging!J15="Single Left",Bagging!J15="Single Left &amp; Right"))),"1",""))</f>
        <v/>
      </c>
      <c r="CK7" s="8" t="str">
        <f>IF(D7="","",IF(AND('Tube Cutting'!D15="White",(OR(Bagging!J15="Single Right",Bagging!J15="Single Left &amp; Right"))),"1",""))</f>
        <v/>
      </c>
      <c r="CL7" s="8" t="str">
        <f>IF(D7="","",IF(AND('Tube Cutting'!D15="Black",(OR(Bagging!J15="Single Right",Bagging!J15="Single Left &amp; Right"))),"1",""))</f>
        <v/>
      </c>
      <c r="CM7" s="8" t="str">
        <f>IF(D7="","",IF(AND('Tube Cutting'!D15="Matt Satin",(OR(Bagging!J15="Single Right",Bagging!J15="Single Left &amp; Right"))),"1",""))</f>
        <v/>
      </c>
      <c r="CN7" s="8" t="str">
        <f>IF(D7="","",IF(AND('Tube Cutting'!D15="White",(OR(Bagging!J15="Double Left",Bagging!J15="Double Left &amp; Right"))),"1",""))</f>
        <v/>
      </c>
      <c r="CO7" s="8" t="str">
        <f>IF(D7="","",IF(AND('Tube Cutting'!D15="Black",(OR(Bagging!J15="Double Left",Bagging!J15="Double Left &amp; Right"))),"1",""))</f>
        <v/>
      </c>
      <c r="CP7" s="8" t="str">
        <f>IF(D7="","",IF(AND('Tube Cutting'!D15="Matt Satin",(OR(Bagging!J15="Double Left",Bagging!J15="Double Left &amp; Right"))),"1",""))</f>
        <v/>
      </c>
      <c r="CQ7" s="8" t="str">
        <f>IF(D7="","",IF(AND('Tube Cutting'!D15="White",(OR(Bagging!J15="Double Right",Bagging!J15="Double Left &amp; Right"))),"1",""))</f>
        <v/>
      </c>
      <c r="CR7" s="8" t="str">
        <f>IF(D7="","",IF(AND('Tube Cutting'!D15="Black",(OR(Bagging!J15="Double Right",Bagging!J15="Double Left &amp; Right"))),"1",""))</f>
        <v/>
      </c>
      <c r="CS7" s="8" t="str">
        <f>IF(D7="","",IF(AND('Tube Cutting'!D15="Matt Satin",(OR(Bagging!J15="Double Right",Bagging!J15="Double Left &amp; Right"))),"1",""))</f>
        <v/>
      </c>
      <c r="CT7" s="8" t="str">
        <f>IF(D7="","",IF(VLOOKUP(CONCATENATE('Tube Cutting'!E15,'Tube Cutting'!D15),TrackManufacturing,2,FALSE)="Streamline White",1,""))</f>
        <v/>
      </c>
      <c r="CU7" s="8" t="str">
        <f>IF(D7="","",IF(VLOOKUP(CONCATENATE('Tube Cutting'!E15,'Tube Cutting'!D15),TrackManufacturing,2,FALSE)="Streamline Matt Black Ink",1,""))</f>
        <v/>
      </c>
      <c r="CV7" s="8" t="str">
        <f>IF(D7="","",IF(VLOOKUP(CONCATENATE('Tube Cutting'!E15,'Tube Cutting'!D15),TrackManufacturing,2,FALSE)="Streamline Birch White",1,""))</f>
        <v/>
      </c>
      <c r="CW7" s="8" t="str">
        <f>IF(D7="","",IF(VLOOKUP(CONCATENATE('Tube Cutting'!E15,'Tube Cutting'!D15),TrackManufacturing,2,FALSE)="Streamline Matt Satin",1,""))</f>
        <v/>
      </c>
      <c r="CX7" s="8" t="str">
        <f>IF(D7="","",IF(AND(VLOOKUP(CONCATENATE('Tube Cutting'!E15,'Tube Cutting'!D15),TrackManufacturing,2,FALSE)="Streamline White",(OR(Assembly!F15="Centre Opening",Assembly!F15="Centre Opening - Free Flowing",Assembly!F15="Centre Opening (Offset)",Assembly!F15="Centre Opening - Free Flowing (Offset)"))),1,""))</f>
        <v/>
      </c>
      <c r="CY7" s="8" t="str">
        <f>IF(D7="","",IF(AND(VLOOKUP(CONCATENATE('Tube Cutting'!E15,'Tube Cutting'!D15),TrackManufacturing,2,FALSE)="Streamline Matt Black Ink",(OR(Assembly!F15="Centre Opening",Assembly!F15="Centre Opening - Free Flowing",Assembly!F15="Centre Opening (Offset)",Assembly!F15="Centre Opening - Free Flowing (Offset)"))),1,""))</f>
        <v/>
      </c>
      <c r="CZ7" s="8" t="str">
        <f>IF(D7="","",IF(AND(VLOOKUP(CONCATENATE('Tube Cutting'!E15,'Tube Cutting'!D15),TrackManufacturing,2,FALSE)="Streamline Birch White",(OR(Assembly!F15="Centre Opening",Assembly!F15="Centre Opening - Free Flowing",Assembly!F15="Centre Opening (Offset)",Assembly!F15="Centre Opening - Free Flowing (Offset)"))),1,""))</f>
        <v/>
      </c>
      <c r="DA7" s="8" t="str">
        <f>IF(D7="","",IF(AND(VLOOKUP(CONCATENATE('Tube Cutting'!E15,'Tube Cutting'!D15),TrackManufacturing,2,FALSE)="Streamline Matt Satin",(OR(Assembly!F15="Centre Opening",Assembly!F15="Centre Opening - Free Flowing",Assembly!F15="Centre Opening (Offset)",Assembly!F15="Centre Opening - Free Flowing (Offset)"))),1,""))</f>
        <v/>
      </c>
      <c r="DB7" s="8" t="str">
        <f>IF(OR('Job Sheet'!Z15="Conduit",I7&lt;&gt;"DBS to Make"),"",IF(VLOOKUP(CONCATENATE(Assembly!C15,Assembly!F15),PulleysEndCaps,2,FALSE)="","",IF('Tube Cutting'!D15="White",VLOOKUP(CONCATENATE(Assembly!C15,Assembly!F15),PulleysEndCaps,2,FALSE),"")))</f>
        <v/>
      </c>
      <c r="DC7" s="8" t="str">
        <f>IF(OR('Job Sheet'!Z15="Conduit",I7&lt;&gt;"DBS to Make"),"",IF(VLOOKUP(CONCATENATE(Assembly!C15,Assembly!F15),PulleysEndCaps,2,FALSE)="","",IF('Tube Cutting'!D15="Black",VLOOKUP(CONCATENATE(Assembly!C15,Assembly!F15),PulleysEndCaps,2,FALSE),"")))</f>
        <v/>
      </c>
      <c r="DD7" s="8" t="str">
        <f>IF(OR('Job Sheet'!Z15="Conduit",I7&lt;&gt;"DBS to Make"),"",IF(VLOOKUP(CONCATENATE(Assembly!C15,Assembly!F15),PulleysEndCaps,2,FALSE)="","",IF('Tube Cutting'!D15="Matt Satin",VLOOKUP(CONCATENATE(Assembly!C15,Assembly!F15),PulleysEndCaps,2,FALSE),"")))</f>
        <v/>
      </c>
      <c r="DE7" s="8" t="str">
        <f>IF(OR('Job Sheet'!Z15="Conduit",I7&lt;&gt;"DBS to Make"),"",IF(VLOOKUP(CONCATENATE(Assembly!C15,Assembly!F15),PulleysEndCaps,3,FALSE)="","",IF('Tube Cutting'!D15="White",VLOOKUP(CONCATENATE(Assembly!C15,Assembly!F15),PulleysEndCaps,3,FALSE),"")))</f>
        <v/>
      </c>
      <c r="DF7" s="8" t="str">
        <f>IF(OR('Job Sheet'!Z15="Conduit",I7&lt;&gt;"DBS to Make"),"",IF(VLOOKUP(CONCATENATE(Assembly!C15,Assembly!F15),PulleysEndCaps,3,FALSE)="","",IF('Tube Cutting'!D15="Black",VLOOKUP(CONCATENATE(Assembly!C15,Assembly!F15),PulleysEndCaps,3,FALSE),"")))</f>
        <v/>
      </c>
      <c r="DG7" s="8" t="str">
        <f>IF(OR('Job Sheet'!Z15="Conduit",I7&lt;&gt;"DBS to Make"),"",IF(VLOOKUP(CONCATENATE(Assembly!C15,Assembly!F15),PulleysEndCaps,3,FALSE)="","",IF('Tube Cutting'!D15="Matt Satin",VLOOKUP(CONCATENATE(Assembly!C15,Assembly!F15),PulleysEndCaps,3,FALSE),"")))</f>
        <v/>
      </c>
      <c r="DH7" s="8" t="str">
        <f>IF(OR('Job Sheet'!Z15="Conduit",I7&lt;&gt;"DBS to Make"),"",IF(VLOOKUP(CONCATENATE(Assembly!C15,Assembly!F15),PulleysEndCaps,6,FALSE)="","",IF('Tube Cutting'!D15="White",VLOOKUP(CONCATENATE(Assembly!C15,Assembly!F15),PulleysEndCaps,6,FALSE),"")))</f>
        <v/>
      </c>
      <c r="DI7" s="8" t="str">
        <f>IF(OR('Job Sheet'!Z15="Conduit",I7&lt;&gt;"DBS to Make"),"",IF(VLOOKUP(CONCATENATE(Assembly!C15,Assembly!F15),PulleysEndCaps,6,FALSE)="","",IF('Tube Cutting'!D15="Matt Black Ink",VLOOKUP(CONCATENATE(Assembly!C15,Assembly!F15),PulleysEndCaps,6,FALSE),"")))</f>
        <v/>
      </c>
      <c r="DJ7" s="8" t="str">
        <f>IF(OR('Job Sheet'!Z15="Conduit",I7&lt;&gt;"DBS to Make"),"",IF(VLOOKUP(CONCATENATE(Assembly!C15,Assembly!F15),PulleysEndCaps,6,FALSE)="","",IF('Tube Cutting'!D15="Birch White",VLOOKUP(CONCATENATE(Assembly!C15,Assembly!F15),PulleysEndCaps,6,FALSE),"")))</f>
        <v/>
      </c>
      <c r="DK7" s="8" t="str">
        <f>IF(OR('Job Sheet'!Z15="Conduit",'Job Sheet'!Z15="Conduit x 2",I7&lt;&gt;"DBS to Make"),"",IF(VLOOKUP(CONCATENATE(Assembly!C15,Assembly!F15),PulleysEndCaps,6,FALSE)="","",IF('Tube Cutting'!D15="Matt Satin",VLOOKUP(CONCATENATE(Assembly!C15,Assembly!F15),PulleysEndCaps,6,FALSE),"")))</f>
        <v/>
      </c>
      <c r="DL7" s="8" t="str">
        <f>IF(OR('Job Sheet'!Z15="Conduit",I7&lt;&gt;"DBS to Make"),"",IF(VLOOKUP(CONCATENATE(Assembly!C15,Assembly!F15),PulleysEndCaps,4,FALSE)="","",VLOOKUP(CONCATENATE(Assembly!C15,Assembly!F15),PulleysEndCaps,4,FALSE)))</f>
        <v/>
      </c>
      <c r="DM7" s="8" t="str">
        <f>IF(OR('Job Sheet'!Z15="Conduit",I7&lt;&gt;"DBS to Make"),"",IF(VLOOKUP(CONCATENATE(Assembly!C15,Assembly!F15),PulleysEndCaps,7,FALSE)="","",VLOOKUP(CONCATENATE(Assembly!C15,Assembly!F15),PulleysEndCaps,7,FALSE)))</f>
        <v/>
      </c>
      <c r="DN7" s="8" t="str">
        <f>IF(D7="","",IF(AND(OR(VLOOKUP(CONCATENATE('Tube Cutting'!E15,'Tube Cutting'!D15),TrackManufacturing,2,FALSE)="Wavefold White",VLOOKUP(CONCATENATE('Tube Cutting'!E15,'Tube Cutting'!D15),TrackManufacturing,2,FALSE)="Wavefold Black",VLOOKUP(CONCATENATE('Tube Cutting'!E15,'Tube Cutting'!D15),TrackManufacturing,2,FALSE)="Wavefold Matt Satin",VLOOKUP(CONCATENATE('Tube Cutting'!E15,'Tube Cutting'!D15),TrackManufacturing,2,FALSE)="System 20 White",VLOOKUP(CONCATENATE('Tube Cutting'!E15,'Tube Cutting'!D15),TrackManufacturing,2,FALSE)="System 20 Black",VLOOKUP(CONCATENATE('Tube Cutting'!E15,'Tube Cutting'!D15),TrackManufacturing,2,FALSE)="System 20 Matt Satin"),'Tube Cutting'!C15&gt;6000),1,""))</f>
        <v/>
      </c>
      <c r="DO7" s="8" t="str">
        <f>IF(D7="","",IF(AND(OR(VLOOKUP(CONCATENATE('Tube Cutting'!E15,'Tube Cutting'!D15),TrackManufacturing,2,FALSE)="Streamline White",VLOOKUP(CONCATENATE('Tube Cutting'!E15,'Tube Cutting'!D15),TrackManufacturing,2,FALSE)="Streamline Black",VLOOKUP(CONCATENATE('Tube Cutting'!E15,'Tube Cutting'!D15),TrackManufacturing,2,FALSE)="Streamline Birch White",VLOOKUP(CONCATENATE('Tube Cutting'!E15,'Tube Cutting'!D15),TrackManufacturing,2,FALSE)="Streamline Matt Satin"),'Tube Cutting'!C15&gt;6000),1,""))</f>
        <v/>
      </c>
      <c r="DP7" s="8">
        <f>IF(OR('Job Sheet'!Z15="Conduit",I7&lt;&gt;"DBS to Make"),"",IF(VLOOKUP(CONCATENATE(Assembly!C15,Assembly!F15),PulleysEndCaps,5,FALSE)="","",IF('Tube Cutting'!D15="White",VLOOKUP(CONCATENATE(Assembly!C15,Assembly!F15),PulleysEndCaps,5,FALSE),"")))</f>
        <v>2</v>
      </c>
      <c r="DQ7" s="8" t="str">
        <f>IF(OR('Job Sheet'!Z15="Conduit",I7&lt;&gt;"DBS to Make"),"",IF(VLOOKUP(CONCATENATE(Assembly!C15,Assembly!F15),PulleysEndCaps,5,FALSE)="","",IF('Tube Cutting'!D15="Black",VLOOKUP(CONCATENATE(Assembly!C15,Assembly!F15),PulleysEndCaps,5,FALSE),"")))</f>
        <v/>
      </c>
      <c r="DR7" s="8" t="str">
        <f>IF(OR('Job Sheet'!Z15="Conduit",I7&lt;&gt;"DBS to Make"),"",IF(VLOOKUP(CONCATENATE(Assembly!C15,Assembly!F15),PulleysEndCaps,5,FALSE)="","",IF('Tube Cutting'!D15="Matt Satin",VLOOKUP(CONCATENATE(Assembly!C15,Assembly!F15),PulleysEndCaps,5,FALSE),"")))</f>
        <v/>
      </c>
      <c r="DS7" s="8" t="str">
        <f>IF(OR('Job Sheet'!Z15="Conduit",I7&lt;&gt;"DBS to Make"),"",IF(VLOOKUP(CONCATENATE(Assembly!C15,Assembly!F15),PulleysEndCaps,8,FALSE)="","",IF('Tube Cutting'!D15="White",VLOOKUP(CONCATENATE(Assembly!C15,Assembly!F15),PulleysEndCaps,8,FALSE),"")))</f>
        <v/>
      </c>
      <c r="DT7" s="8" t="str">
        <f>IF(OR('Job Sheet'!Z15="Conduit",I7&lt;&gt;"DBS to Make"),"",IF(VLOOKUP(CONCATENATE(Assembly!C15,Assembly!F15),PulleysEndCaps,8,FALSE)="","",IF('Tube Cutting'!D15="Matt Black Ink",VLOOKUP(CONCATENATE(Assembly!C15,Assembly!F15),PulleysEndCaps,8,FALSE),"")))</f>
        <v/>
      </c>
      <c r="DU7" s="8" t="str">
        <f>IF(OR('Job Sheet'!Z15="Conduit",I7&lt;&gt;"DBS to Make"),"",IF(VLOOKUP(CONCATENATE(Assembly!C15,Assembly!F15),PulleysEndCaps,8,FALSE)="","",IF('Tube Cutting'!D15="Birch White",VLOOKUP(CONCATENATE(Assembly!C15,Assembly!F15),PulleysEndCaps,8,FALSE),"")))</f>
        <v/>
      </c>
      <c r="DV7" s="8" t="str">
        <f>IF(OR('Job Sheet'!Z15="Conduit",'Job Sheet'!Z15="Conduit x 2",I7&lt;&gt;"DBS to Make"),"",IF(VLOOKUP(CONCATENATE(Assembly!C15,Assembly!F15),PulleysEndCaps,8,FALSE)="","",IF('Tube Cutting'!D15="Matt Satin",VLOOKUP(CONCATENATE(Assembly!C15,Assembly!F15),PulleysEndCaps,8,FALSE),"")))</f>
        <v/>
      </c>
      <c r="DW7" s="8" t="str">
        <f>IF(D7="","",IF(AND(Assembly!C15="Wavefold Cord Operation",OR('Tube Cutting'!D15="White",'Tube Cutting'!D15="Matt Satin"),OR(Assembly!F15="Centre Opening",Assembly!F15="Centre Opening - Free Flowing",Assembly!F15="Centre Opening (Offset)",Assembly!F15="Centre Opening - Free Flowing (Offset)")),2,IF(AND(Assembly!C15="Wavefold Cord Operation",OR('Tube Cutting'!D15="White",'Tube Cutting'!D15="Matt Satin"),OR(Assembly!F15="Single Panel - Left Stacking",Assembly!F15="Single Panel - Right Stacking",Assembly!F15="Single Panel - Free Flowing")),1,"")))</f>
        <v/>
      </c>
      <c r="DX7" s="8" t="str">
        <f>IF(D7="","",IF(AND(AND(Assembly!C15="Wavefold Cord Operation",'Tube Cutting'!D15="Black",'Tube Cutting'!D15),(OR(Assembly!F15="Centre Opening",Assembly!F15="Centre Opening - Free Flowing",Assembly!F15="Centre Opening (Offset)",Assembly!F15="Centre Opening - Free Flowing (Offset)"))),2,IF(AND(AND(Assembly!C15="Wavefold Cord Operation",'Tube Cutting'!D15="Black",'Tube Cutting'!D15),(OR(Assembly!F15="Single Panel - Left Stacking",Assembly!F15="Single Panel - Right Stacking",Assembly!F15="Single Panel - Free Flowing"))),1,"")))</f>
        <v/>
      </c>
      <c r="DY7" s="8" t="str">
        <f>IF(D7="","",IF(AND(Assembly!C15="Wavefold Hand Operation",(OR('Tube Cutting'!D15="White",'Tube Cutting'!D15="White"))),Bagging!I15,""))</f>
        <v>1</v>
      </c>
      <c r="DZ7" s="8" t="str">
        <f>IF(D7="","",IF(AND(Assembly!C15="Wavefold Hand Operation",'Tube Cutting'!D15="Black"),Bagging!I15,""))</f>
        <v/>
      </c>
      <c r="EA7" s="8" t="str">
        <f>IF(OR(D7="",AI17="Straight"),"",IF(AND(OR('Tube Cutting'!E15="Streamline Cord Operation",'Tube Cutting'!E15="Streamline Hand Operation"),(OR(Assembly!F15="Centre Opening",Assembly!F15="Centre Opening - Free Flowing",Assembly!F15="Centre Opening (Offset)",Assembly!F15="Centre Opening - Free Flowing (Offset)"))),2,IF(AND(OR('Tube Cutting'!E15="Streamline Cord Operation",'Tube Cutting'!E15="Streamline Hand Operation"),(OR(Assembly!F15="Single Panel - Left Stacking",Assembly!F15="Single Panel - Right Stacking - Free Flowing",Assembly!F15="Single Panel - Free Flowing"))),1,"")))</f>
        <v/>
      </c>
      <c r="EB7" s="8" t="str">
        <f>IF(D7="","",IF(OR('Tube Cutting'!E15="Streamline Cord Operation",'Tube Cutting'!E15="Wavefold Cord Operation",'Tube Cutting'!E15="System 20 Light Commercial Track Cord Drawn"),1,""))</f>
        <v/>
      </c>
      <c r="EC7" s="8" t="str">
        <f>IF(D7="","",IF(VLOOKUP(CONCATENATE('Tube Cutting'!E15,'Tube Cutting'!D15),TrackManufacturing,2,FALSE)="System 20 White",1,""))</f>
        <v/>
      </c>
      <c r="ED7" s="8" t="str">
        <f>IF(D7="","",IF(VLOOKUP(CONCATENATE('Tube Cutting'!E15,'Tube Cutting'!D15),TrackManufacturing,2,FALSE)="System 20 Black",1,""))</f>
        <v/>
      </c>
      <c r="EE7" s="8" t="str">
        <f>IF(D7="","",IF(AND(VLOOKUP(CONCATENATE('Tube Cutting'!E15,'Tube Cutting'!D15),TrackManufacturing,2,FALSE)="System 20 White",(OR(Assembly!F15="Centre Opening",Assembly!F15="Centre Opening - Free Flowing",Assembly!F15="Centre Opening (Offset)",Assembly!F15="Centre Opening - Free Flowing (Offset)"))),1,""))</f>
        <v/>
      </c>
      <c r="EF7" s="8" t="str">
        <f>IF(D7="","",IF(AND(VLOOKUP(CONCATENATE('Tube Cutting'!E15,'Tube Cutting'!D15),TrackManufacturing,2,FALSE)="System 20 Black",(OR(Assembly!F15="Centre Opening",Assembly!F15="Centre Opening - Free Flowing",Assembly!F15="Centre Opening (Offset)",Assembly!F15="Centre Opening - Free Flowing (Offset)"))),1,""))</f>
        <v/>
      </c>
      <c r="EG7" s="125" t="str">
        <f>IF(D7="","",IF(OR(VLOOKUP(CONCATENATE('Tube Cutting'!E15,'Tube Cutting'!D15),TrackManufacturing,2,FALSE)="System 20 White",VLOOKUP(CONCATENATE('Tube Cutting'!E15,'Tube Cutting'!D15),TrackManufacturing,2,FALSE)="System 20 Black"),Assembly!G15,""))</f>
        <v/>
      </c>
      <c r="EH7" s="8" t="str">
        <f>IF('Tube Cutting'!E15="Conduit",'Job Sheet'!CB15,"")</f>
        <v/>
      </c>
      <c r="EI7" s="8" t="str">
        <f>IF(Bagging!D15="Muslin Brackets",2,IF(Bagging!D15="Muslin Brackets Top and Bottom",4,""))</f>
        <v/>
      </c>
      <c r="EJ7" s="8" t="str">
        <f>IF(Bagging!D15="100mm Unstayed Brackets with Acorns",2,"")</f>
        <v/>
      </c>
      <c r="EK7" s="8" t="str">
        <f>IF(Bagging!D15="25mm Brackets with Acorns",2,IF('Job Sheet'!AJ15="1 (Conduit)",2,IF('Job Sheet'!AJ15="2 (Conduit)",4,IF('Job Sheet'!AJ15="3 (Conduit)",6,IF('Job Sheet'!AJ15="4 (Conduit)",8,"")))))</f>
        <v/>
      </c>
      <c r="EL7" s="8" t="str">
        <f>IF(OR(Bagging!D15="25mm Brackets with Acorns",Bagging!D15="100mm Unstayed Brackets with Acorns"),2,"")</f>
        <v/>
      </c>
      <c r="EM7" s="8" t="str">
        <f>IF('Job Sheet'!AJ15="1 (Conduit)",1,IF('Job Sheet'!AJ15="2 (Conduit)",2,IF('Job Sheet'!AJ15="3 (Conduit)",3,IF('Job Sheet'!AJ15="4 (Conduit)",4,""))))</f>
        <v/>
      </c>
    </row>
    <row r="8" spans="4:143" ht="12" customHeight="1">
      <c r="D8" s="8" t="str">
        <f>IF(Data!AW16="","",CONCATENATE(Data!BC$5,".",Data!BD$5))</f>
        <v>39776.F</v>
      </c>
      <c r="E8" s="8">
        <f>IF(D8="","",Data!AW16)</f>
        <v>33</v>
      </c>
      <c r="F8" s="8" t="str">
        <f>IF(D8="","",Data!AV16)</f>
        <v>1fab5818-04b8-45eb-a5e2-e847d5e2efac</v>
      </c>
      <c r="G8" s="8" t="str">
        <f>IF(D8="","",Data!BF$5)</f>
        <v>Hare, Kaitlin</v>
      </c>
      <c r="H8" s="8" t="str">
        <f>IF(D8="","",Data!AX$5)</f>
        <v>Whole House</v>
      </c>
      <c r="I8" s="8" t="str">
        <f>IF(D8="","",'Job Sheet'!BH16)</f>
        <v>DBS to Make</v>
      </c>
      <c r="J8" s="8">
        <f>IF(D8="","",IF(OR(VLOOKUP(CONCATENATE('Tube Cutting'!E16,'Tube Cutting'!D16),TrackManufacturing,2,FALSE)="Wavefold White",VLOOKUP(CONCATENATE('Tube Cutting'!E16,'Tube Cutting'!D16),TrackManufacturing,2,FALSE)="Wavefold Black",VLOOKUP(CONCATENATE('Tube Cutting'!E16,'Tube Cutting'!D16),TrackManufacturing,2,FALSE)="Wavefold Matt Satin"),('Job Sheet'!BP16*2)/1000,""))</f>
        <v>5.45</v>
      </c>
      <c r="K8" s="125">
        <f>IF(D8="","",IF(OR(VLOOKUP(CONCATENATE('Tube Cutting'!E16,'Tube Cutting'!D16),TrackManufacturing,2,FALSE)="Wavefold White",VLOOKUP(CONCATENATE('Tube Cutting'!E16,'Tube Cutting'!D16),TrackManufacturing,2,FALSE)="Wavefold Matt Satin"),J8*10,""))</f>
        <v>54.5</v>
      </c>
      <c r="L8" s="125" t="str">
        <f>IF(D8="","",IF(VLOOKUP(CONCATENATE('Tube Cutting'!E16,'Tube Cutting'!D16),TrackManufacturing,2,FALSE)="Wavefold Black",J8*10,""))</f>
        <v/>
      </c>
      <c r="M8" s="126">
        <f>IF(D8="","",IF(OR(VLOOKUP(CONCATENATE('Tube Cutting'!E16,'Tube Cutting'!D16),TrackManufacturing,2,FALSE)="Wavefold White",VLOOKUP(CONCATENATE('Tube Cutting'!E16,'Tube Cutting'!D16),TrackManufacturing,2,FALSE)="System 20 White"),'Tube Cutting'!C16/1000,""))</f>
        <v>2.664</v>
      </c>
      <c r="N8" s="126" t="str">
        <f>IF(D8="","",IF(OR(VLOOKUP(CONCATENATE('Tube Cutting'!E16,'Tube Cutting'!D16),TrackManufacturing,2,FALSE)="Wavefold Black",VLOOKUP(CONCATENATE('Tube Cutting'!E16,'Tube Cutting'!D16),TrackManufacturing,2,FALSE)="System 20 Black"),'Tube Cutting'!C16/1000,""))</f>
        <v/>
      </c>
      <c r="O8" s="126" t="str">
        <f>IF(D8="","",IF(OR(VLOOKUP(CONCATENATE('Tube Cutting'!E16,'Tube Cutting'!D16),TrackManufacturing,2,FALSE)="Wavefold Matt Satin",VLOOKUP(CONCATENATE('Tube Cutting'!E16,'Tube Cutting'!D16),TrackManufacturing,2,FALSE)="System 20 Matt Satin"),'Tube Cutting'!C16/1000,""))</f>
        <v/>
      </c>
      <c r="P8" s="125">
        <f>IF(D8="","",IF(AND((OR('Tube Cutting'!D16="White",'Tube Cutting'!D16="Matt Satin")),(OR('Tube Cutting'!E16="Wavefold Hand Operation",'Tube Cutting'!E16="Wavefold Cord Operation"))),IF(M8="",O8*20,M8*20),""))</f>
        <v>53.28</v>
      </c>
      <c r="Q8" s="125" t="str">
        <f>IF(D8="","",IF(AND('Tube Cutting'!D16="Black",(OR('Tube Cutting'!E16="Wavefold Hand Operation",'Tube Cutting'!E16="Wavefold Cord Operation"))),N8*20,""))</f>
        <v/>
      </c>
      <c r="R8" s="125" t="str">
        <f>IF(D8="","",IF(OR('Tube Cutting'!E16="Streamline Hand Operation",'Tube Cutting'!E16="Streamline Cord Operation"),Assembly!G16,""))</f>
        <v/>
      </c>
      <c r="S8" s="8" t="str">
        <f>IF(D8="","",IF(VLOOKUP(CONCATENATE('Tube Cutting'!E16,'Tube Cutting'!D16),TrackManufacturing,2,FALSE)="Streamline White",'Tube Cutting'!C16/1000,""))</f>
        <v/>
      </c>
      <c r="T8" s="8" t="str">
        <f>IF(D8="","",IF(VLOOKUP(CONCATENATE('Tube Cutting'!E16,'Tube Cutting'!D16),TrackManufacturing,2,FALSE)="Streamline Matt Black Ink",'Tube Cutting'!C16/1000,""))</f>
        <v/>
      </c>
      <c r="U8" s="8" t="str">
        <f>IF(D8="","",IF(VLOOKUP(CONCATENATE('Tube Cutting'!E16,'Tube Cutting'!D16),TrackManufacturing,2,FALSE)="Streamline Birch White",'Tube Cutting'!C16/1000,""))</f>
        <v/>
      </c>
      <c r="V8" s="8" t="str">
        <f>IF(D8="","",IF(VLOOKUP(CONCATENATE('Tube Cutting'!E16,'Tube Cutting'!D16),TrackManufacturing,2,FALSE)="Streamline Matt Satin",'Tube Cutting'!C16/1000,""))</f>
        <v/>
      </c>
      <c r="W8" s="8" t="str">
        <f>IF(Bagging!H16="White Aluminium Flick Sticks 100cm",Bagging!I16,"")</f>
        <v/>
      </c>
      <c r="X8" s="8" t="str">
        <f>IF(Bagging!H16="White Aluminium Flick Sticks 125cm",Bagging!I16,"")</f>
        <v>2</v>
      </c>
      <c r="Y8" s="8" t="str">
        <f>IF(Bagging!H16="White Aluminium Flick Sticks 150cm",Bagging!I16,"")</f>
        <v/>
      </c>
      <c r="Z8" s="8" t="str">
        <f>IF(Bagging!H16="Black Aluminium Flick Sticks 100cm",Bagging!I16,"")</f>
        <v/>
      </c>
      <c r="AA8" s="8" t="str">
        <f>IF(Bagging!H16="Black Aluminium Flick Sticks 125cm",Bagging!I16,"")</f>
        <v/>
      </c>
      <c r="AB8" s="8" t="str">
        <f>IF(Bagging!H16="Black Aluminium Flick Sticks 150cm",Bagging!I16,"")</f>
        <v/>
      </c>
      <c r="AC8" s="8" t="str">
        <f>IF(Bagging!H16="Matt Satin Aluminium Flick Sticks 100cm",Bagging!I16,"")</f>
        <v/>
      </c>
      <c r="AD8" s="8" t="str">
        <f>IF(Bagging!H16="Black Aluminium Flick Sticks 125cm",Bagging!I16,"")</f>
        <v/>
      </c>
      <c r="AE8" s="8" t="str">
        <f>IF(Bagging!H16="Black Aluminium Flick Sticks 150cm",Bagging!I16,"")</f>
        <v/>
      </c>
      <c r="AF8" s="8" t="str">
        <f>IF(Bagging!H16="Standard Clear 75cm",Bagging!I16,"")</f>
        <v/>
      </c>
      <c r="AG8" s="8" t="str">
        <f>IF(Bagging!H16="Standard Clear 100cm",Bagging!I16,"")</f>
        <v/>
      </c>
      <c r="AH8" s="8" t="str">
        <f>IF(Bagging!H16="Standard Clear 125cm",Bagging!I16,"")</f>
        <v/>
      </c>
      <c r="AI8" s="8" t="str">
        <f>IF(Bagging!H16="Standard Clear 150cm",Bagging!I16,"")</f>
        <v/>
      </c>
      <c r="AJ8" s="8" t="str">
        <f>IF(Bagging!H16="White Fibreglass 200cm",Bagging!I16,"")</f>
        <v/>
      </c>
      <c r="AK8" s="8" t="str">
        <f>IF(Bagging!H16="White Fibreglass 250cm",Bagging!I16,"")</f>
        <v/>
      </c>
      <c r="AL8" s="8" t="str">
        <f>IF(D8="","",IF(AND(OR(VLOOKUP(CONCATENATE('Tube Cutting'!E16,'Tube Cutting'!D16),TrackManufacturing,2,FALSE)="Wavefold White",VLOOKUP(CONCATENATE('Tube Cutting'!E16,'Tube Cutting'!D16),TrackManufacturing,2,FALSE)="System 20 White"),(Bagging!D16="Top Fix Brackets")),Bagging!F16,""))</f>
        <v/>
      </c>
      <c r="AM8" s="8">
        <f>IF(D8="","",IF(AND(OR(VLOOKUP(CONCATENATE('Tube Cutting'!E16,'Tube Cutting'!D16),TrackManufacturing,2,FALSE)="Wavefold White",VLOOKUP(CONCATENATE('Tube Cutting'!E16,'Tube Cutting'!D16),TrackManufacturing,2,FALSE)="System 20 White"),(Bagging!D16="Single Face Fix Brackets")),Bagging!F16,""))</f>
        <v>5</v>
      </c>
      <c r="AN8" s="8" t="str">
        <f>IF(D8="","",IF(AND(OR(VLOOKUP(CONCATENATE('Tube Cutting'!E16,'Tube Cutting'!D16),TrackManufacturing,2,FALSE)="Wavefold White",VLOOKUP(CONCATENATE('Tube Cutting'!E16,'Tube Cutting'!D16),TrackManufacturing,2,FALSE)="System 20 White"),(Bagging!D16="Double Face Fix Brackets")),Bagging!F16,""))</f>
        <v/>
      </c>
      <c r="AO8" s="8" t="str">
        <f>IF(D8="","",IF(AND(OR(VLOOKUP(CONCATENATE('Tube Cutting'!E16,'Tube Cutting'!D16),TrackManufacturing,2,FALSE)="Wavefold White",VLOOKUP(CONCATENATE('Tube Cutting'!E16,'Tube Cutting'!D16),TrackManufacturing,2,FALSE)="System 20 White"),(Bagging!D16="Triple Face Fix Brackets")),Bagging!F16,""))</f>
        <v/>
      </c>
      <c r="AP8" s="8" t="str">
        <f>IF(D8="","",IF(AND(OR(VLOOKUP(CONCATENATE('Tube Cutting'!E16,'Tube Cutting'!D16),TrackManufacturing,2,FALSE)="Wavefold Black",VLOOKUP(CONCATENATE('Tube Cutting'!E16,'Tube Cutting'!D16),TrackManufacturing,2,FALSE)="System 20 Black"),(Bagging!D16="Top Fix Brackets")),Bagging!F16,""))</f>
        <v/>
      </c>
      <c r="AQ8" s="8" t="str">
        <f>IF(D8="","",IF(AND(OR(VLOOKUP(CONCATENATE('Tube Cutting'!E16,'Tube Cutting'!D16),TrackManufacturing,2,FALSE)="Wavefold Black",VLOOKUP(CONCATENATE('Tube Cutting'!E16,'Tube Cutting'!D16),TrackManufacturing,2,FALSE)="System 20 Black"),(Bagging!D16="Single Face Fix Brackets")),Bagging!F16,""))</f>
        <v/>
      </c>
      <c r="AR8" s="8" t="str">
        <f>IF(D8="","",IF(AND(OR(VLOOKUP(CONCATENATE('Tube Cutting'!E16,'Tube Cutting'!D16),TrackManufacturing,2,FALSE)="Wavefold Black",VLOOKUP(CONCATENATE('Tube Cutting'!E16,'Tube Cutting'!D16),TrackManufacturing,2,FALSE)="System 20 Black"),(Bagging!D16="Double Face Fix Brackets")),Bagging!F16,""))</f>
        <v/>
      </c>
      <c r="AS8" s="8" t="str">
        <f>IF(D8="","",IF(AND(OR(VLOOKUP(CONCATENATE('Tube Cutting'!E16,'Tube Cutting'!D16),TrackManufacturing,2,FALSE)="Wavefold Black",VLOOKUP(CONCATENATE('Tube Cutting'!E16,'Tube Cutting'!D16),TrackManufacturing,2,FALSE)="System 20 Black"),(Bagging!D16="Triple Face Fix Brackets")),Bagging!F16,""))</f>
        <v/>
      </c>
      <c r="AT8" s="8" t="str">
        <f>IF(D8="","",IF(AND(OR(VLOOKUP(CONCATENATE('Tube Cutting'!E16,'Tube Cutting'!D16),TrackManufacturing,2,FALSE)="Wavefold Matt Satin",VLOOKUP(CONCATENATE('Tube Cutting'!E16,'Tube Cutting'!D16),TrackManufacturing,2,FALSE)="System 20 Matt Satin"),(Bagging!D16="Top Fix Brackets")),Bagging!F16,""))</f>
        <v/>
      </c>
      <c r="AU8" s="8" t="str">
        <f>IF(D8="","",IF(AND(OR(VLOOKUP(CONCATENATE('Tube Cutting'!E16,'Tube Cutting'!D16),TrackManufacturing,2,FALSE)="Wavefold Matt Satin",VLOOKUP(CONCATENATE('Tube Cutting'!E16,'Tube Cutting'!D16),TrackManufacturing,2,FALSE)="System 20 Matt Satin"),(Bagging!D16="Single Face Fix Brackets")),Bagging!F16,""))</f>
        <v/>
      </c>
      <c r="AV8" s="8" t="str">
        <f>IF(D8="","",IF(AND(OR(VLOOKUP(CONCATENATE('Tube Cutting'!E16,'Tube Cutting'!D16),TrackManufacturing,2,FALSE)="Wavefold Matt Satin",VLOOKUP(CONCATENATE('Tube Cutting'!E16,'Tube Cutting'!D16),TrackManufacturing,2,FALSE)="System 20 Matt Satin"),(Bagging!D16="Double Face Fix Brackets")),Bagging!F16,""))</f>
        <v/>
      </c>
      <c r="AW8" s="8" t="str">
        <f>IF(D8="","",IF(AND(OR(VLOOKUP(CONCATENATE('Tube Cutting'!E16,'Tube Cutting'!D16),TrackManufacturing,2,FALSE)="Wavefold Matt Satin",VLOOKUP(CONCATENATE('Tube Cutting'!E16,'Tube Cutting'!D16),TrackManufacturing,2,FALSE)="System 20 Matt Satin"),(Bagging!D16="Triple Face Fix Brackets")),Bagging!F16,""))</f>
        <v/>
      </c>
      <c r="AX8" s="8" t="str">
        <f>IF(D8="","",IF(AND(VLOOKUP(CONCATENATE('Tube Cutting'!E16,'Tube Cutting'!D16),TrackManufacturing,2,FALSE)="Streamline White",(Bagging!D16="Nylon Top Fix Brackets")),VLOOKUP('Job Sheet'!BP16,Brackets,2,TRUE),""))</f>
        <v/>
      </c>
      <c r="AY8" s="8" t="str">
        <f>IF(D8="","",IF(AND(VLOOKUP(CONCATENATE('Tube Cutting'!E16,'Tube Cutting'!D16),TrackManufacturing,2,FALSE)="Streamline White",(Bagging!D16="Metal Fix Brackets")),VLOOKUP('Job Sheet'!BP16,Brackets,2,TRUE),""))</f>
        <v/>
      </c>
      <c r="AZ8" s="8" t="str">
        <f>IF(D8="","",IF(AND(VLOOKUP(CONCATENATE('Tube Cutting'!E16,'Tube Cutting'!D16),TrackManufacturing,2,FALSE)="Streamline White",(Bagging!D16="Single Face Fix Brackets")),Bagging!F16,""))</f>
        <v/>
      </c>
      <c r="BA8" s="8" t="str">
        <f>IF(D8="","",IF(AND(VLOOKUP(CONCATENATE('Tube Cutting'!E16,'Tube Cutting'!D16),TrackManufacturing,2,FALSE)="Streamline White",(Bagging!D16="Double Face Fix Brackets")),Bagging!F16,""))</f>
        <v/>
      </c>
      <c r="BB8" s="8" t="str">
        <f>IF(D8="","",IF(AND(VLOOKUP(CONCATENATE('Tube Cutting'!E16,'Tube Cutting'!D16),TrackManufacturing,2,FALSE)="Streamline White",(Bagging!D16="Triple Face Fix Brackets")),Bagging!F16,""))</f>
        <v/>
      </c>
      <c r="BC8" s="8" t="str">
        <f>IF(D8="","",IF(AND(VLOOKUP(CONCATENATE('Tube Cutting'!E16,'Tube Cutting'!D16),TrackManufacturing,2,FALSE)="Streamline White",(Bagging!D16="32mm Face Fix Brackets")),Bagging!F16,""))</f>
        <v/>
      </c>
      <c r="BD8" s="8" t="str">
        <f>IF(D8="","",IF(AND(VLOOKUP(CONCATENATE('Tube Cutting'!E16,'Tube Cutting'!D16),TrackManufacturing,2,FALSE)="Streamline Matt Black Ink",(Bagging!D16="Top Fix Brackets")),VLOOKUP('Job Sheet'!BP16,Brackets,2,TRUE),""))</f>
        <v/>
      </c>
      <c r="BE8" s="8" t="str">
        <f>IF(D8="","",IF(AND(VLOOKUP(CONCATENATE('Tube Cutting'!E16,'Tube Cutting'!D16),TrackManufacturing,2,FALSE)="Streamline White",(Bagging!D16="Metal Fix Brackets")),VLOOKUP('Job Sheet'!BP16,Brackets,2,TRUE),""))</f>
        <v/>
      </c>
      <c r="BF8" s="8" t="str">
        <f>IF(D8="","",IF(AND(VLOOKUP(CONCATENATE('Tube Cutting'!E16,'Tube Cutting'!D16),TrackManufacturing,2,FALSE)="Streamline Matt Black Ink",(Bagging!D16="Single Face Fix Brackets")),Bagging!F16,""))</f>
        <v/>
      </c>
      <c r="BG8" s="8" t="str">
        <f>IF(D8="","",IF(AND(VLOOKUP(CONCATENATE('Tube Cutting'!E16,'Tube Cutting'!D16),TrackManufacturing,2,FALSE)="Streamline Matt Black Ink",(Bagging!D16="Double Face Fix Brackets")),Bagging!F16,""))</f>
        <v/>
      </c>
      <c r="BH8" s="8" t="str">
        <f>IF(D8="","",IF(AND(VLOOKUP(CONCATENATE('Tube Cutting'!E16,'Tube Cutting'!D16),TrackManufacturing,2,FALSE)="Streamline Matt Black Ink",(Bagging!D16="Triple Face Fix Brackets")),Bagging!F16,""))</f>
        <v/>
      </c>
      <c r="BI8" s="8" t="str">
        <f>IF(D8="","",IF(AND(VLOOKUP(CONCATENATE('Tube Cutting'!E16,'Tube Cutting'!D16),TrackManufacturing,2,FALSE)="Streamline Matt Black Ink",(Bagging!D16="32mm Face Fix Brackets")),Bagging!F16,""))</f>
        <v/>
      </c>
      <c r="BJ8" s="8" t="str">
        <f>IF(D8="","",IF(AND(VLOOKUP(CONCATENATE('Tube Cutting'!E16,'Tube Cutting'!D16),TrackManufacturing,2,FALSE)="Streamline Birch White",(Bagging!D16="Top Fix Brackets")),VLOOKUP('Job Sheet'!BP16,Brackets,2,TRUE),""))</f>
        <v/>
      </c>
      <c r="BK8" s="8" t="str">
        <f>IF(D8="","",IF(AND(VLOOKUP(CONCATENATE('Tube Cutting'!E16,'Tube Cutting'!D16),TrackManufacturing,2,FALSE)="Streamline White",(Bagging!D16="Metal Fix Brackets")),VLOOKUP('Job Sheet'!BP16,Brackets,2,TRUE),""))</f>
        <v/>
      </c>
      <c r="BL8" s="8" t="str">
        <f>IF(D8="","",IF(AND(VLOOKUP(CONCATENATE('Tube Cutting'!E16,'Tube Cutting'!D16),TrackManufacturing,2,FALSE)="Streamline Birch White",(Bagging!D16="Single Face Fix Brackets")),Bagging!F16,""))</f>
        <v/>
      </c>
      <c r="BM8" s="8" t="str">
        <f>IF(D8="","",IF(AND(VLOOKUP(CONCATENATE('Tube Cutting'!E16,'Tube Cutting'!D16),TrackManufacturing,2,FALSE)="Streamline Birch White",(Bagging!D16="Double Face Fix Brackets")),Bagging!F16,""))</f>
        <v/>
      </c>
      <c r="BN8" s="8" t="str">
        <f>IF(D8="","",IF(AND(VLOOKUP(CONCATENATE('Tube Cutting'!E16,'Tube Cutting'!D16),TrackManufacturing,2,FALSE)="Streamline Birch White",(Bagging!D16="Triple Face Fix Brackets")),Bagging!F16,""))</f>
        <v/>
      </c>
      <c r="BO8" s="8" t="str">
        <f>IF(D8="","",IF(AND(VLOOKUP(CONCATENATE('Tube Cutting'!E16,'Tube Cutting'!D16),TrackManufacturing,2,FALSE)="Streamline Birch White",(Bagging!D16="32mm Face Fix Brackets")),Bagging!F16,""))</f>
        <v/>
      </c>
      <c r="BP8" s="8" t="str">
        <f>IF(K8="","",IF(AND(VLOOKUP(CONCATENATE('Tube Cutting'!K16,'Tube Cutting'!J16),TrackManufacturing,2,FALSE)="Streamline Birch White",(Bagging!J16="Top Fix Brackets")),VLOOKUP('Job Sheet'!BU16,Brackets,2,TRUE),""))</f>
        <v/>
      </c>
      <c r="BQ8" s="8" t="str">
        <f>IF(K8="","",IF(AND(VLOOKUP(CONCATENATE('Tube Cutting'!K16,'Tube Cutting'!J16),TrackManufacturing,2,FALSE)="Streamline White",(Bagging!J16="Metal Fix Brackets")),VLOOKUP('Job Sheet'!BU16,Brackets,2,TRUE),""))</f>
        <v/>
      </c>
      <c r="BR8" s="8" t="str">
        <f>IF(K8="","",IF(AND(VLOOKUP(CONCATENATE('Tube Cutting'!K16,'Tube Cutting'!J16),TrackManufacturing,2,FALSE)="Streamline Birch White",(Bagging!J16="Single Face Fix Brackets")),Bagging!L16,""))</f>
        <v/>
      </c>
      <c r="BS8" s="8" t="str">
        <f>IF(K8="","",IF(AND(VLOOKUP(CONCATENATE('Tube Cutting'!K16,'Tube Cutting'!J16),TrackManufacturing,2,FALSE)="Streamline Birch White",(Bagging!J16="Double Face Fix Brackets")),Bagging!L16,""))</f>
        <v/>
      </c>
      <c r="BT8" s="8" t="str">
        <f>IF(K8="","",IF(AND(VLOOKUP(CONCATENATE('Tube Cutting'!K16,'Tube Cutting'!J16),TrackManufacturing,2,FALSE)="Streamline Birch White",(Bagging!J16="Triple Face Fix Brackets")),Bagging!L16,""))</f>
        <v/>
      </c>
      <c r="BU8" s="8" t="str">
        <f>IF(K8="","",IF(AND(VLOOKUP(CONCATENATE('Tube Cutting'!K16,'Tube Cutting'!J16),TrackManufacturing,2,FALSE)="Streamline Birch White",(Bagging!J16="32mm Face Fix Brackets")),Bagging!L16,""))</f>
        <v/>
      </c>
      <c r="BV8" s="8" t="str">
        <f>IF(AND('Tube Cutting'!D16="White",Bagging!D16="Top Fix Brackets"),Bagging!F16,"")</f>
        <v/>
      </c>
      <c r="BW8" s="8">
        <f>IF(AND('Tube Cutting'!D16="White",Bagging!D16="Single Face Fix Brackets"),Bagging!F16,"")</f>
        <v>5</v>
      </c>
      <c r="BX8" s="8" t="str">
        <f>IF(AND('Tube Cutting'!D16="White",Bagging!D16="Double Face Fix Brackets"),Bagging!F16,"")</f>
        <v/>
      </c>
      <c r="BY8" s="8" t="str">
        <f>IF(AND('Tube Cutting'!D16="White",Bagging!D16="Triple Face Fix Brackets"),Bagging!F16,"")</f>
        <v/>
      </c>
      <c r="BZ8" s="8" t="str">
        <f>IF(AND('Tube Cutting'!D16="Black",Bagging!D16="Top Fix Brackets"),Bagging!F16,"")</f>
        <v/>
      </c>
      <c r="CA8" s="8" t="str">
        <f>IF(AND('Tube Cutting'!D16="Black",Bagging!D16="Single Face Fix Brackets"),Bagging!F16,"")</f>
        <v/>
      </c>
      <c r="CB8" s="8" t="str">
        <f>IF(AND('Tube Cutting'!D16="Black",Bagging!D16="Double Face Fix Brackets"),Bagging!F16,"")</f>
        <v/>
      </c>
      <c r="CC8" s="8" t="str">
        <f>IF(AND('Tube Cutting'!D16="Black",Bagging!D16="Triple Fix Brackets"),Bagging!F16,"")</f>
        <v/>
      </c>
      <c r="CD8" s="8" t="str">
        <f>IF(AND('Tube Cutting'!D16="Matt Satin",Bagging!D16="Top Fix Brackets"),Bagging!F16,"")</f>
        <v/>
      </c>
      <c r="CE8" s="8" t="str">
        <f>IF(AND('Tube Cutting'!D16="Matt Satin",Bagging!D16="Single Face Fix Brackets"),Bagging!F16,"")</f>
        <v/>
      </c>
      <c r="CF8" s="8" t="str">
        <f>IF(AND('Tube Cutting'!D16="Matt Satin",Bagging!D16="Double Face Fix Brackets"),Bagging!F16,"")</f>
        <v/>
      </c>
      <c r="CG8" s="8" t="str">
        <f>IF(AND('Tube Cutting'!D16="Matt Satin",Bagging!D16="Triple Fix Brackets"),Bagging!F16,"")</f>
        <v/>
      </c>
      <c r="CH8" s="8" t="str">
        <f>IF(D8="","",IF(AND('Tube Cutting'!D16="White",(OR(Bagging!J16="Single Left",Bagging!J16="Single Left &amp; Right"))),"1",""))</f>
        <v/>
      </c>
      <c r="CI8" s="8" t="str">
        <f>IF(D8="","",IF(AND('Tube Cutting'!D16="Black",(OR(Bagging!J16="Single Left",Bagging!J16="Single Left &amp; Right"))),"1",""))</f>
        <v/>
      </c>
      <c r="CJ8" s="8" t="str">
        <f>IF(D8="","",IF(AND('Tube Cutting'!D16="Matt Satin",(OR(Bagging!J16="Single Left",Bagging!J16="Single Left &amp; Right"))),"1",""))</f>
        <v/>
      </c>
      <c r="CK8" s="8" t="str">
        <f>IF(D8="","",IF(AND('Tube Cutting'!D16="White",(OR(Bagging!J16="Single Right",Bagging!J16="Single Left &amp; Right"))),"1",""))</f>
        <v/>
      </c>
      <c r="CL8" s="8" t="str">
        <f>IF(D8="","",IF(AND('Tube Cutting'!D16="Black",(OR(Bagging!J16="Single Right",Bagging!J16="Single Left &amp; Right"))),"1",""))</f>
        <v/>
      </c>
      <c r="CM8" s="8" t="str">
        <f>IF(D8="","",IF(AND('Tube Cutting'!D16="Matt Satin",(OR(Bagging!J16="Single Right",Bagging!J16="Single Left &amp; Right"))),"1",""))</f>
        <v/>
      </c>
      <c r="CN8" s="8" t="str">
        <f>IF(D8="","",IF(AND('Tube Cutting'!D16="White",(OR(Bagging!J16="Double Left",Bagging!J16="Double Left &amp; Right"))),"1",""))</f>
        <v/>
      </c>
      <c r="CO8" s="8" t="str">
        <f>IF(D8="","",IF(AND('Tube Cutting'!D16="Black",(OR(Bagging!J16="Double Left",Bagging!J16="Double Left &amp; Right"))),"1",""))</f>
        <v/>
      </c>
      <c r="CP8" s="8" t="str">
        <f>IF(D8="","",IF(AND('Tube Cutting'!D16="Matt Satin",(OR(Bagging!J16="Double Left",Bagging!J16="Double Left &amp; Right"))),"1",""))</f>
        <v/>
      </c>
      <c r="CQ8" s="8" t="str">
        <f>IF(D8="","",IF(AND('Tube Cutting'!D16="White",(OR(Bagging!J16="Double Right",Bagging!J16="Double Left &amp; Right"))),"1",""))</f>
        <v/>
      </c>
      <c r="CR8" s="8" t="str">
        <f>IF(D8="","",IF(AND('Tube Cutting'!D16="Black",(OR(Bagging!J16="Double Right",Bagging!J16="Double Left &amp; Right"))),"1",""))</f>
        <v/>
      </c>
      <c r="CS8" s="8" t="str">
        <f>IF(D8="","",IF(AND('Tube Cutting'!D16="Matt Satin",(OR(Bagging!J16="Double Right",Bagging!J16="Double Left &amp; Right"))),"1",""))</f>
        <v/>
      </c>
      <c r="CT8" s="8" t="str">
        <f>IF(D8="","",IF(VLOOKUP(CONCATENATE('Tube Cutting'!E16,'Tube Cutting'!D16),TrackManufacturing,2,FALSE)="Streamline White",1,""))</f>
        <v/>
      </c>
      <c r="CU8" s="8" t="str">
        <f>IF(D8="","",IF(VLOOKUP(CONCATENATE('Tube Cutting'!E16,'Tube Cutting'!D16),TrackManufacturing,2,FALSE)="Streamline Matt Black Ink",1,""))</f>
        <v/>
      </c>
      <c r="CV8" s="8" t="str">
        <f>IF(D8="","",IF(VLOOKUP(CONCATENATE('Tube Cutting'!E16,'Tube Cutting'!D16),TrackManufacturing,2,FALSE)="Streamline Birch White",1,""))</f>
        <v/>
      </c>
      <c r="CW8" s="8" t="str">
        <f>IF(D8="","",IF(VLOOKUP(CONCATENATE('Tube Cutting'!E16,'Tube Cutting'!D16),TrackManufacturing,2,FALSE)="Streamline Matt Satin",1,""))</f>
        <v/>
      </c>
      <c r="CX8" s="8" t="str">
        <f>IF(D8="","",IF(AND(VLOOKUP(CONCATENATE('Tube Cutting'!E16,'Tube Cutting'!D16),TrackManufacturing,2,FALSE)="Streamline White",(OR(Assembly!F16="Centre Opening",Assembly!F16="Centre Opening - Free Flowing",Assembly!F16="Centre Opening (Offset)",Assembly!F16="Centre Opening - Free Flowing (Offset)"))),1,""))</f>
        <v/>
      </c>
      <c r="CY8" s="8" t="str">
        <f>IF(D8="","",IF(AND(VLOOKUP(CONCATENATE('Tube Cutting'!E16,'Tube Cutting'!D16),TrackManufacturing,2,FALSE)="Streamline Matt Black Ink",(OR(Assembly!F16="Centre Opening",Assembly!F16="Centre Opening - Free Flowing",Assembly!F16="Centre Opening (Offset)",Assembly!F16="Centre Opening - Free Flowing (Offset)"))),1,""))</f>
        <v/>
      </c>
      <c r="CZ8" s="8" t="str">
        <f>IF(D8="","",IF(AND(VLOOKUP(CONCATENATE('Tube Cutting'!E16,'Tube Cutting'!D16),TrackManufacturing,2,FALSE)="Streamline Birch White",(OR(Assembly!F16="Centre Opening",Assembly!F16="Centre Opening - Free Flowing",Assembly!F16="Centre Opening (Offset)",Assembly!F16="Centre Opening - Free Flowing (Offset)"))),1,""))</f>
        <v/>
      </c>
      <c r="DA8" s="8" t="str">
        <f>IF(D8="","",IF(AND(VLOOKUP(CONCATENATE('Tube Cutting'!E16,'Tube Cutting'!D16),TrackManufacturing,2,FALSE)="Streamline Matt Satin",(OR(Assembly!F16="Centre Opening",Assembly!F16="Centre Opening - Free Flowing",Assembly!F16="Centre Opening (Offset)",Assembly!F16="Centre Opening - Free Flowing (Offset)"))),1,""))</f>
        <v/>
      </c>
      <c r="DB8" s="8" t="str">
        <f>IF(OR('Job Sheet'!Z16="Conduit",I8&lt;&gt;"DBS to Make"),"",IF(VLOOKUP(CONCATENATE(Assembly!C16,Assembly!F16),PulleysEndCaps,2,FALSE)="","",IF('Tube Cutting'!D16="White",VLOOKUP(CONCATENATE(Assembly!C16,Assembly!F16),PulleysEndCaps,2,FALSE),"")))</f>
        <v/>
      </c>
      <c r="DC8" s="8" t="str">
        <f>IF(OR('Job Sheet'!Z16="Conduit",I8&lt;&gt;"DBS to Make"),"",IF(VLOOKUP(CONCATENATE(Assembly!C16,Assembly!F16),PulleysEndCaps,2,FALSE)="","",IF('Tube Cutting'!D16="Black",VLOOKUP(CONCATENATE(Assembly!C16,Assembly!F16),PulleysEndCaps,2,FALSE),"")))</f>
        <v/>
      </c>
      <c r="DD8" s="8" t="str">
        <f>IF(OR('Job Sheet'!Z16="Conduit",I8&lt;&gt;"DBS to Make"),"",IF(VLOOKUP(CONCATENATE(Assembly!C16,Assembly!F16),PulleysEndCaps,2,FALSE)="","",IF('Tube Cutting'!D16="Matt Satin",VLOOKUP(CONCATENATE(Assembly!C16,Assembly!F16),PulleysEndCaps,2,FALSE),"")))</f>
        <v/>
      </c>
      <c r="DE8" s="8" t="str">
        <f>IF(OR('Job Sheet'!Z16="Conduit",I8&lt;&gt;"DBS to Make"),"",IF(VLOOKUP(CONCATENATE(Assembly!C16,Assembly!F16),PulleysEndCaps,3,FALSE)="","",IF('Tube Cutting'!D16="White",VLOOKUP(CONCATENATE(Assembly!C16,Assembly!F16),PulleysEndCaps,3,FALSE),"")))</f>
        <v/>
      </c>
      <c r="DF8" s="8" t="str">
        <f>IF(OR('Job Sheet'!Z16="Conduit",I8&lt;&gt;"DBS to Make"),"",IF(VLOOKUP(CONCATENATE(Assembly!C16,Assembly!F16),PulleysEndCaps,3,FALSE)="","",IF('Tube Cutting'!D16="Black",VLOOKUP(CONCATENATE(Assembly!C16,Assembly!F16),PulleysEndCaps,3,FALSE),"")))</f>
        <v/>
      </c>
      <c r="DG8" s="8" t="str">
        <f>IF(OR('Job Sheet'!Z16="Conduit",I8&lt;&gt;"DBS to Make"),"",IF(VLOOKUP(CONCATENATE(Assembly!C16,Assembly!F16),PulleysEndCaps,3,FALSE)="","",IF('Tube Cutting'!D16="Matt Satin",VLOOKUP(CONCATENATE(Assembly!C16,Assembly!F16),PulleysEndCaps,3,FALSE),"")))</f>
        <v/>
      </c>
      <c r="DH8" s="8" t="str">
        <f>IF(OR('Job Sheet'!Z16="Conduit",I8&lt;&gt;"DBS to Make"),"",IF(VLOOKUP(CONCATENATE(Assembly!C16,Assembly!F16),PulleysEndCaps,6,FALSE)="","",IF('Tube Cutting'!D16="White",VLOOKUP(CONCATENATE(Assembly!C16,Assembly!F16),PulleysEndCaps,6,FALSE),"")))</f>
        <v/>
      </c>
      <c r="DI8" s="8" t="str">
        <f>IF(OR('Job Sheet'!Z16="Conduit",I8&lt;&gt;"DBS to Make"),"",IF(VLOOKUP(CONCATENATE(Assembly!C16,Assembly!F16),PulleysEndCaps,6,FALSE)="","",IF('Tube Cutting'!D16="Matt Black Ink",VLOOKUP(CONCATENATE(Assembly!C16,Assembly!F16),PulleysEndCaps,6,FALSE),"")))</f>
        <v/>
      </c>
      <c r="DJ8" s="8" t="str">
        <f>IF(OR('Job Sheet'!Z16="Conduit",I8&lt;&gt;"DBS to Make"),"",IF(VLOOKUP(CONCATENATE(Assembly!C16,Assembly!F16),PulleysEndCaps,6,FALSE)="","",IF('Tube Cutting'!D16="Birch White",VLOOKUP(CONCATENATE(Assembly!C16,Assembly!F16),PulleysEndCaps,6,FALSE),"")))</f>
        <v/>
      </c>
      <c r="DK8" s="8" t="str">
        <f>IF(OR('Job Sheet'!Z16="Conduit",'Job Sheet'!Z16="Conduit x 2",I8&lt;&gt;"DBS to Make"),"",IF(VLOOKUP(CONCATENATE(Assembly!C16,Assembly!F16),PulleysEndCaps,6,FALSE)="","",IF('Tube Cutting'!D16="Matt Satin",VLOOKUP(CONCATENATE(Assembly!C16,Assembly!F16),PulleysEndCaps,6,FALSE),"")))</f>
        <v/>
      </c>
      <c r="DL8" s="8" t="str">
        <f>IF(OR('Job Sheet'!Z16="Conduit",I8&lt;&gt;"DBS to Make"),"",IF(VLOOKUP(CONCATENATE(Assembly!C16,Assembly!F16),PulleysEndCaps,4,FALSE)="","",VLOOKUP(CONCATENATE(Assembly!C16,Assembly!F16),PulleysEndCaps,4,FALSE)))</f>
        <v/>
      </c>
      <c r="DM8" s="8" t="str">
        <f>IF(OR('Job Sheet'!Z16="Conduit",I8&lt;&gt;"DBS to Make"),"",IF(VLOOKUP(CONCATENATE(Assembly!C16,Assembly!F16),PulleysEndCaps,7,FALSE)="","",VLOOKUP(CONCATENATE(Assembly!C16,Assembly!F16),PulleysEndCaps,7,FALSE)))</f>
        <v/>
      </c>
      <c r="DN8" s="8" t="str">
        <f>IF(D8="","",IF(AND(OR(VLOOKUP(CONCATENATE('Tube Cutting'!E16,'Tube Cutting'!D16),TrackManufacturing,2,FALSE)="Wavefold White",VLOOKUP(CONCATENATE('Tube Cutting'!E16,'Tube Cutting'!D16),TrackManufacturing,2,FALSE)="Wavefold Black",VLOOKUP(CONCATENATE('Tube Cutting'!E16,'Tube Cutting'!D16),TrackManufacturing,2,FALSE)="Wavefold Matt Satin",VLOOKUP(CONCATENATE('Tube Cutting'!E16,'Tube Cutting'!D16),TrackManufacturing,2,FALSE)="System 20 White",VLOOKUP(CONCATENATE('Tube Cutting'!E16,'Tube Cutting'!D16),TrackManufacturing,2,FALSE)="System 20 Black",VLOOKUP(CONCATENATE('Tube Cutting'!E16,'Tube Cutting'!D16),TrackManufacturing,2,FALSE)="System 20 Matt Satin"),'Tube Cutting'!C16&gt;6000),1,""))</f>
        <v/>
      </c>
      <c r="DO8" s="8" t="str">
        <f>IF(D8="","",IF(AND(OR(VLOOKUP(CONCATENATE('Tube Cutting'!E16,'Tube Cutting'!D16),TrackManufacturing,2,FALSE)="Streamline White",VLOOKUP(CONCATENATE('Tube Cutting'!E16,'Tube Cutting'!D16),TrackManufacturing,2,FALSE)="Streamline Black",VLOOKUP(CONCATENATE('Tube Cutting'!E16,'Tube Cutting'!D16),TrackManufacturing,2,FALSE)="Streamline Birch White",VLOOKUP(CONCATENATE('Tube Cutting'!E16,'Tube Cutting'!D16),TrackManufacturing,2,FALSE)="Streamline Matt Satin"),'Tube Cutting'!C16&gt;6000),1,""))</f>
        <v/>
      </c>
      <c r="DP8" s="8">
        <f>IF(OR('Job Sheet'!Z16="Conduit",I8&lt;&gt;"DBS to Make"),"",IF(VLOOKUP(CONCATENATE(Assembly!C16,Assembly!F16),PulleysEndCaps,5,FALSE)="","",IF('Tube Cutting'!D16="White",VLOOKUP(CONCATENATE(Assembly!C16,Assembly!F16),PulleysEndCaps,5,FALSE),"")))</f>
        <v>2</v>
      </c>
      <c r="DQ8" s="8" t="str">
        <f>IF(OR('Job Sheet'!Z16="Conduit",I8&lt;&gt;"DBS to Make"),"",IF(VLOOKUP(CONCATENATE(Assembly!C16,Assembly!F16),PulleysEndCaps,5,FALSE)="","",IF('Tube Cutting'!D16="Black",VLOOKUP(CONCATENATE(Assembly!C16,Assembly!F16),PulleysEndCaps,5,FALSE),"")))</f>
        <v/>
      </c>
      <c r="DR8" s="8" t="str">
        <f>IF(OR('Job Sheet'!Z16="Conduit",I8&lt;&gt;"DBS to Make"),"",IF(VLOOKUP(CONCATENATE(Assembly!C16,Assembly!F16),PulleysEndCaps,5,FALSE)="","",IF('Tube Cutting'!D16="Matt Satin",VLOOKUP(CONCATENATE(Assembly!C16,Assembly!F16),PulleysEndCaps,5,FALSE),"")))</f>
        <v/>
      </c>
      <c r="DS8" s="8" t="str">
        <f>IF(OR('Job Sheet'!Z16="Conduit",I8&lt;&gt;"DBS to Make"),"",IF(VLOOKUP(CONCATENATE(Assembly!C16,Assembly!F16),PulleysEndCaps,8,FALSE)="","",IF('Tube Cutting'!D16="White",VLOOKUP(CONCATENATE(Assembly!C16,Assembly!F16),PulleysEndCaps,8,FALSE),"")))</f>
        <v/>
      </c>
      <c r="DT8" s="8" t="str">
        <f>IF(OR('Job Sheet'!Z16="Conduit",I8&lt;&gt;"DBS to Make"),"",IF(VLOOKUP(CONCATENATE(Assembly!C16,Assembly!F16),PulleysEndCaps,8,FALSE)="","",IF('Tube Cutting'!D16="Matt Black Ink",VLOOKUP(CONCATENATE(Assembly!C16,Assembly!F16),PulleysEndCaps,8,FALSE),"")))</f>
        <v/>
      </c>
      <c r="DU8" s="8" t="str">
        <f>IF(OR('Job Sheet'!Z16="Conduit",I8&lt;&gt;"DBS to Make"),"",IF(VLOOKUP(CONCATENATE(Assembly!C16,Assembly!F16),PulleysEndCaps,8,FALSE)="","",IF('Tube Cutting'!D16="Birch White",VLOOKUP(CONCATENATE(Assembly!C16,Assembly!F16),PulleysEndCaps,8,FALSE),"")))</f>
        <v/>
      </c>
      <c r="DV8" s="8" t="str">
        <f>IF(OR('Job Sheet'!Z16="Conduit",'Job Sheet'!Z16="Conduit x 2",I8&lt;&gt;"DBS to Make"),"",IF(VLOOKUP(CONCATENATE(Assembly!C16,Assembly!F16),PulleysEndCaps,8,FALSE)="","",IF('Tube Cutting'!D16="Matt Satin",VLOOKUP(CONCATENATE(Assembly!C16,Assembly!F16),PulleysEndCaps,8,FALSE),"")))</f>
        <v/>
      </c>
      <c r="DW8" s="8" t="str">
        <f>IF(D8="","",IF(AND(Assembly!C16="Wavefold Cord Operation",OR('Tube Cutting'!D16="White",'Tube Cutting'!D16="Matt Satin"),OR(Assembly!F16="Centre Opening",Assembly!F16="Centre Opening - Free Flowing",Assembly!F16="Centre Opening (Offset)",Assembly!F16="Centre Opening - Free Flowing (Offset)")),2,IF(AND(Assembly!C16="Wavefold Cord Operation",OR('Tube Cutting'!D16="White",'Tube Cutting'!D16="Matt Satin"),OR(Assembly!F16="Single Panel - Left Stacking",Assembly!F16="Single Panel - Right Stacking",Assembly!F16="Single Panel - Free Flowing")),1,"")))</f>
        <v/>
      </c>
      <c r="DX8" s="8" t="str">
        <f>IF(D8="","",IF(AND(AND(Assembly!C16="Wavefold Cord Operation",'Tube Cutting'!D16="Black",'Tube Cutting'!D16),(OR(Assembly!F16="Centre Opening",Assembly!F16="Centre Opening - Free Flowing",Assembly!F16="Centre Opening (Offset)",Assembly!F16="Centre Opening - Free Flowing (Offset)"))),2,IF(AND(AND(Assembly!C16="Wavefold Cord Operation",'Tube Cutting'!D16="Black",'Tube Cutting'!D16),(OR(Assembly!F16="Single Panel - Left Stacking",Assembly!F16="Single Panel - Right Stacking",Assembly!F16="Single Panel - Free Flowing"))),1,"")))</f>
        <v/>
      </c>
      <c r="DY8" s="8" t="str">
        <f>IF(D8="","",IF(AND(Assembly!C16="Wavefold Hand Operation",(OR('Tube Cutting'!D16="White",'Tube Cutting'!D16="White"))),Bagging!I16,""))</f>
        <v>2</v>
      </c>
      <c r="DZ8" s="8" t="str">
        <f>IF(D8="","",IF(AND(Assembly!C16="Wavefold Hand Operation",'Tube Cutting'!D16="Black"),Bagging!I16,""))</f>
        <v/>
      </c>
      <c r="EA8" s="8" t="str">
        <f>IF(OR(D8="",AI18="Straight"),"",IF(AND(OR('Tube Cutting'!E16="Streamline Cord Operation",'Tube Cutting'!E16="Streamline Hand Operation"),(OR(Assembly!F16="Centre Opening",Assembly!F16="Centre Opening - Free Flowing",Assembly!F16="Centre Opening (Offset)",Assembly!F16="Centre Opening - Free Flowing (Offset)"))),2,IF(AND(OR('Tube Cutting'!E16="Streamline Cord Operation",'Tube Cutting'!E16="Streamline Hand Operation"),(OR(Assembly!F16="Single Panel - Left Stacking",Assembly!F16="Single Panel - Right Stacking - Free Flowing",Assembly!F16="Single Panel - Free Flowing"))),1,"")))</f>
        <v/>
      </c>
      <c r="EB8" s="8" t="str">
        <f>IF(D8="","",IF(OR('Tube Cutting'!E16="Streamline Cord Operation",'Tube Cutting'!E16="Wavefold Cord Operation",'Tube Cutting'!E16="System 20 Light Commercial Track Cord Drawn"),1,""))</f>
        <v/>
      </c>
      <c r="EC8" s="8" t="str">
        <f>IF(D8="","",IF(VLOOKUP(CONCATENATE('Tube Cutting'!E16,'Tube Cutting'!D16),TrackManufacturing,2,FALSE)="System 20 White",1,""))</f>
        <v/>
      </c>
      <c r="ED8" s="8" t="str">
        <f>IF(D8="","",IF(VLOOKUP(CONCATENATE('Tube Cutting'!E16,'Tube Cutting'!D16),TrackManufacturing,2,FALSE)="System 20 Black",1,""))</f>
        <v/>
      </c>
      <c r="EE8" s="8" t="str">
        <f>IF(D8="","",IF(AND(VLOOKUP(CONCATENATE('Tube Cutting'!E16,'Tube Cutting'!D16),TrackManufacturing,2,FALSE)="System 20 White",(OR(Assembly!F16="Centre Opening",Assembly!F16="Centre Opening - Free Flowing",Assembly!F16="Centre Opening (Offset)",Assembly!F16="Centre Opening - Free Flowing (Offset)"))),1,""))</f>
        <v/>
      </c>
      <c r="EF8" s="8" t="str">
        <f>IF(D8="","",IF(AND(VLOOKUP(CONCATENATE('Tube Cutting'!E16,'Tube Cutting'!D16),TrackManufacturing,2,FALSE)="System 20 Black",(OR(Assembly!F16="Centre Opening",Assembly!F16="Centre Opening - Free Flowing",Assembly!F16="Centre Opening (Offset)",Assembly!F16="Centre Opening - Free Flowing (Offset)"))),1,""))</f>
        <v/>
      </c>
      <c r="EG8" s="125" t="str">
        <f>IF(D8="","",IF(OR(VLOOKUP(CONCATENATE('Tube Cutting'!E16,'Tube Cutting'!D16),TrackManufacturing,2,FALSE)="System 20 White",VLOOKUP(CONCATENATE('Tube Cutting'!E16,'Tube Cutting'!D16),TrackManufacturing,2,FALSE)="System 20 Black"),Assembly!G16,""))</f>
        <v/>
      </c>
      <c r="EH8" s="8" t="str">
        <f>IF('Tube Cutting'!E16="Conduit",'Job Sheet'!CB16,"")</f>
        <v/>
      </c>
      <c r="EI8" s="8" t="str">
        <f>IF(Bagging!D16="Muslin Brackets",2,IF(Bagging!D16="Muslin Brackets Top and Bottom",4,""))</f>
        <v/>
      </c>
      <c r="EJ8" s="8" t="str">
        <f>IF(Bagging!D16="100mm Unstayed Brackets with Acorns",2,"")</f>
        <v/>
      </c>
      <c r="EK8" s="8" t="str">
        <f>IF(Bagging!D16="25mm Brackets with Acorns",2,IF('Job Sheet'!AJ16="1 (Conduit)",2,IF('Job Sheet'!AJ16="2 (Conduit)",4,IF('Job Sheet'!AJ16="3 (Conduit)",6,IF('Job Sheet'!AJ16="4 (Conduit)",8,"")))))</f>
        <v/>
      </c>
      <c r="EL8" s="8" t="str">
        <f>IF(OR(Bagging!D16="25mm Brackets with Acorns",Bagging!D16="100mm Unstayed Brackets with Acorns"),2,"")</f>
        <v/>
      </c>
      <c r="EM8" s="8" t="str">
        <f>IF('Job Sheet'!AJ16="1 (Conduit)",1,IF('Job Sheet'!AJ16="2 (Conduit)",2,IF('Job Sheet'!AJ16="3 (Conduit)",3,IF('Job Sheet'!AJ16="4 (Conduit)",4,""))))</f>
        <v/>
      </c>
    </row>
    <row r="9" spans="4:143" ht="12" customHeight="1">
      <c r="D9" s="8" t="str">
        <f>IF(Data!AW17="","",CONCATENATE(Data!BC$5,".",Data!BD$5))</f>
        <v>39776.F</v>
      </c>
      <c r="E9" s="8">
        <f>IF(D9="","",Data!AW17)</f>
        <v>34</v>
      </c>
      <c r="F9" s="8" t="str">
        <f>IF(D9="","",Data!AV17)</f>
        <v>b512d187-d68e-432b-8081-409af85abbbe</v>
      </c>
      <c r="G9" s="8" t="str">
        <f>IF(D9="","",Data!BF$5)</f>
        <v>Hare, Kaitlin</v>
      </c>
      <c r="H9" s="8" t="str">
        <f>IF(D9="","",Data!AX$5)</f>
        <v>Whole House</v>
      </c>
      <c r="I9" s="8" t="str">
        <f>IF(D9="","",'Job Sheet'!BH17)</f>
        <v>DBS to Make</v>
      </c>
      <c r="J9" s="8">
        <f>IF(D9="","",IF(OR(VLOOKUP(CONCATENATE('Tube Cutting'!E17,'Tube Cutting'!D17),TrackManufacturing,2,FALSE)="Wavefold White",VLOOKUP(CONCATENATE('Tube Cutting'!E17,'Tube Cutting'!D17),TrackManufacturing,2,FALSE)="Wavefold Black",VLOOKUP(CONCATENATE('Tube Cutting'!E17,'Tube Cutting'!D17),TrackManufacturing,2,FALSE)="Wavefold Matt Satin"),('Job Sheet'!BP17*2)/1000,""))</f>
        <v>4.29</v>
      </c>
      <c r="K9" s="125">
        <f>IF(D9="","",IF(OR(VLOOKUP(CONCATENATE('Tube Cutting'!E17,'Tube Cutting'!D17),TrackManufacturing,2,FALSE)="Wavefold White",VLOOKUP(CONCATENATE('Tube Cutting'!E17,'Tube Cutting'!D17),TrackManufacturing,2,FALSE)="Wavefold Matt Satin"),J9*10,""))</f>
        <v>42.9</v>
      </c>
      <c r="L9" s="125" t="str">
        <f>IF(D9="","",IF(VLOOKUP(CONCATENATE('Tube Cutting'!E17,'Tube Cutting'!D17),TrackManufacturing,2,FALSE)="Wavefold Black",J9*10,""))</f>
        <v/>
      </c>
      <c r="M9" s="126">
        <f>IF(D9="","",IF(OR(VLOOKUP(CONCATENATE('Tube Cutting'!E17,'Tube Cutting'!D17),TrackManufacturing,2,FALSE)="Wavefold White",VLOOKUP(CONCATENATE('Tube Cutting'!E17,'Tube Cutting'!D17),TrackManufacturing,2,FALSE)="System 20 White"),'Tube Cutting'!C17/1000,""))</f>
        <v>2.084</v>
      </c>
      <c r="N9" s="126" t="str">
        <f>IF(D9="","",IF(OR(VLOOKUP(CONCATENATE('Tube Cutting'!E17,'Tube Cutting'!D17),TrackManufacturing,2,FALSE)="Wavefold Black",VLOOKUP(CONCATENATE('Tube Cutting'!E17,'Tube Cutting'!D17),TrackManufacturing,2,FALSE)="System 20 Black"),'Tube Cutting'!C17/1000,""))</f>
        <v/>
      </c>
      <c r="O9" s="126" t="str">
        <f>IF(D9="","",IF(OR(VLOOKUP(CONCATENATE('Tube Cutting'!E17,'Tube Cutting'!D17),TrackManufacturing,2,FALSE)="Wavefold Matt Satin",VLOOKUP(CONCATENATE('Tube Cutting'!E17,'Tube Cutting'!D17),TrackManufacturing,2,FALSE)="System 20 Matt Satin"),'Tube Cutting'!C17/1000,""))</f>
        <v/>
      </c>
      <c r="P9" s="125">
        <f>IF(D9="","",IF(AND((OR('Tube Cutting'!D17="White",'Tube Cutting'!D17="Matt Satin")),(OR('Tube Cutting'!E17="Wavefold Hand Operation",'Tube Cutting'!E17="Wavefold Cord Operation"))),IF(M9="",O9*20,M9*20),""))</f>
        <v>41.68</v>
      </c>
      <c r="Q9" s="125" t="str">
        <f>IF(D9="","",IF(AND('Tube Cutting'!D17="Black",(OR('Tube Cutting'!E17="Wavefold Hand Operation",'Tube Cutting'!E17="Wavefold Cord Operation"))),N9*20,""))</f>
        <v/>
      </c>
      <c r="R9" s="125" t="str">
        <f>IF(D9="","",IF(OR('Tube Cutting'!E17="Streamline Hand Operation",'Tube Cutting'!E17="Streamline Cord Operation"),Assembly!G17,""))</f>
        <v/>
      </c>
      <c r="S9" s="8" t="str">
        <f>IF(D9="","",IF(VLOOKUP(CONCATENATE('Tube Cutting'!E17,'Tube Cutting'!D17),TrackManufacturing,2,FALSE)="Streamline White",'Tube Cutting'!C17/1000,""))</f>
        <v/>
      </c>
      <c r="T9" s="8" t="str">
        <f>IF(D9="","",IF(VLOOKUP(CONCATENATE('Tube Cutting'!E17,'Tube Cutting'!D17),TrackManufacturing,2,FALSE)="Streamline Matt Black Ink",'Tube Cutting'!C17/1000,""))</f>
        <v/>
      </c>
      <c r="U9" s="8" t="str">
        <f>IF(D9="","",IF(VLOOKUP(CONCATENATE('Tube Cutting'!E17,'Tube Cutting'!D17),TrackManufacturing,2,FALSE)="Streamline Birch White",'Tube Cutting'!C17/1000,""))</f>
        <v/>
      </c>
      <c r="V9" s="8" t="str">
        <f>IF(D9="","",IF(VLOOKUP(CONCATENATE('Tube Cutting'!E17,'Tube Cutting'!D17),TrackManufacturing,2,FALSE)="Streamline Matt Satin",'Tube Cutting'!C17/1000,""))</f>
        <v/>
      </c>
      <c r="W9" s="8" t="str">
        <f>IF(Bagging!H17="White Aluminium Flick Sticks 100cm",Bagging!I17,"")</f>
        <v/>
      </c>
      <c r="X9" s="8" t="str">
        <f>IF(Bagging!H17="White Aluminium Flick Sticks 125cm",Bagging!I17,"")</f>
        <v>1</v>
      </c>
      <c r="Y9" s="8" t="str">
        <f>IF(Bagging!H17="White Aluminium Flick Sticks 150cm",Bagging!I17,"")</f>
        <v/>
      </c>
      <c r="Z9" s="8" t="str">
        <f>IF(Bagging!H17="Black Aluminium Flick Sticks 100cm",Bagging!I17,"")</f>
        <v/>
      </c>
      <c r="AA9" s="8" t="str">
        <f>IF(Bagging!H17="Black Aluminium Flick Sticks 125cm",Bagging!I17,"")</f>
        <v/>
      </c>
      <c r="AB9" s="8" t="str">
        <f>IF(Bagging!H17="Black Aluminium Flick Sticks 150cm",Bagging!I17,"")</f>
        <v/>
      </c>
      <c r="AC9" s="8" t="str">
        <f>IF(Bagging!H17="Matt Satin Aluminium Flick Sticks 100cm",Bagging!I17,"")</f>
        <v/>
      </c>
      <c r="AD9" s="8" t="str">
        <f>IF(Bagging!H17="Black Aluminium Flick Sticks 125cm",Bagging!I17,"")</f>
        <v/>
      </c>
      <c r="AE9" s="8" t="str">
        <f>IF(Bagging!H17="Black Aluminium Flick Sticks 150cm",Bagging!I17,"")</f>
        <v/>
      </c>
      <c r="AF9" s="8" t="str">
        <f>IF(Bagging!H17="Standard Clear 75cm",Bagging!I17,"")</f>
        <v/>
      </c>
      <c r="AG9" s="8" t="str">
        <f>IF(Bagging!H17="Standard Clear 100cm",Bagging!I17,"")</f>
        <v/>
      </c>
      <c r="AH9" s="8" t="str">
        <f>IF(Bagging!H17="Standard Clear 125cm",Bagging!I17,"")</f>
        <v/>
      </c>
      <c r="AI9" s="8" t="str">
        <f>IF(Bagging!H17="Standard Clear 150cm",Bagging!I17,"")</f>
        <v/>
      </c>
      <c r="AJ9" s="8" t="str">
        <f>IF(Bagging!H17="White Fibreglass 200cm",Bagging!I17,"")</f>
        <v/>
      </c>
      <c r="AK9" s="8" t="str">
        <f>IF(Bagging!H17="White Fibreglass 250cm",Bagging!I17,"")</f>
        <v/>
      </c>
      <c r="AL9" s="8" t="str">
        <f>IF(D9="","",IF(AND(OR(VLOOKUP(CONCATENATE('Tube Cutting'!E17,'Tube Cutting'!D17),TrackManufacturing,2,FALSE)="Wavefold White",VLOOKUP(CONCATENATE('Tube Cutting'!E17,'Tube Cutting'!D17),TrackManufacturing,2,FALSE)="System 20 White"),(Bagging!D17="Top Fix Brackets")),Bagging!F17,""))</f>
        <v/>
      </c>
      <c r="AM9" s="8">
        <f>IF(D9="","",IF(AND(OR(VLOOKUP(CONCATENATE('Tube Cutting'!E17,'Tube Cutting'!D17),TrackManufacturing,2,FALSE)="Wavefold White",VLOOKUP(CONCATENATE('Tube Cutting'!E17,'Tube Cutting'!D17),TrackManufacturing,2,FALSE)="System 20 White"),(Bagging!D17="Single Face Fix Brackets")),Bagging!F17,""))</f>
        <v>4</v>
      </c>
      <c r="AN9" s="8" t="str">
        <f>IF(D9="","",IF(AND(OR(VLOOKUP(CONCATENATE('Tube Cutting'!E17,'Tube Cutting'!D17),TrackManufacturing,2,FALSE)="Wavefold White",VLOOKUP(CONCATENATE('Tube Cutting'!E17,'Tube Cutting'!D17),TrackManufacturing,2,FALSE)="System 20 White"),(Bagging!D17="Double Face Fix Brackets")),Bagging!F17,""))</f>
        <v/>
      </c>
      <c r="AO9" s="8" t="str">
        <f>IF(D9="","",IF(AND(OR(VLOOKUP(CONCATENATE('Tube Cutting'!E17,'Tube Cutting'!D17),TrackManufacturing,2,FALSE)="Wavefold White",VLOOKUP(CONCATENATE('Tube Cutting'!E17,'Tube Cutting'!D17),TrackManufacturing,2,FALSE)="System 20 White"),(Bagging!D17="Triple Face Fix Brackets")),Bagging!F17,""))</f>
        <v/>
      </c>
      <c r="AP9" s="8" t="str">
        <f>IF(D9="","",IF(AND(OR(VLOOKUP(CONCATENATE('Tube Cutting'!E17,'Tube Cutting'!D17),TrackManufacturing,2,FALSE)="Wavefold Black",VLOOKUP(CONCATENATE('Tube Cutting'!E17,'Tube Cutting'!D17),TrackManufacturing,2,FALSE)="System 20 Black"),(Bagging!D17="Top Fix Brackets")),Bagging!F17,""))</f>
        <v/>
      </c>
      <c r="AQ9" s="8" t="str">
        <f>IF(D9="","",IF(AND(OR(VLOOKUP(CONCATENATE('Tube Cutting'!E17,'Tube Cutting'!D17),TrackManufacturing,2,FALSE)="Wavefold Black",VLOOKUP(CONCATENATE('Tube Cutting'!E17,'Tube Cutting'!D17),TrackManufacturing,2,FALSE)="System 20 Black"),(Bagging!D17="Single Face Fix Brackets")),Bagging!F17,""))</f>
        <v/>
      </c>
      <c r="AR9" s="8" t="str">
        <f>IF(D9="","",IF(AND(OR(VLOOKUP(CONCATENATE('Tube Cutting'!E17,'Tube Cutting'!D17),TrackManufacturing,2,FALSE)="Wavefold Black",VLOOKUP(CONCATENATE('Tube Cutting'!E17,'Tube Cutting'!D17),TrackManufacturing,2,FALSE)="System 20 Black"),(Bagging!D17="Double Face Fix Brackets")),Bagging!F17,""))</f>
        <v/>
      </c>
      <c r="AS9" s="8" t="str">
        <f>IF(D9="","",IF(AND(OR(VLOOKUP(CONCATENATE('Tube Cutting'!E17,'Tube Cutting'!D17),TrackManufacturing,2,FALSE)="Wavefold Black",VLOOKUP(CONCATENATE('Tube Cutting'!E17,'Tube Cutting'!D17),TrackManufacturing,2,FALSE)="System 20 Black"),(Bagging!D17="Triple Face Fix Brackets")),Bagging!F17,""))</f>
        <v/>
      </c>
      <c r="AT9" s="8" t="str">
        <f>IF(D9="","",IF(AND(OR(VLOOKUP(CONCATENATE('Tube Cutting'!E17,'Tube Cutting'!D17),TrackManufacturing,2,FALSE)="Wavefold Matt Satin",VLOOKUP(CONCATENATE('Tube Cutting'!E17,'Tube Cutting'!D17),TrackManufacturing,2,FALSE)="System 20 Matt Satin"),(Bagging!D17="Top Fix Brackets")),Bagging!F17,""))</f>
        <v/>
      </c>
      <c r="AU9" s="8" t="str">
        <f>IF(D9="","",IF(AND(OR(VLOOKUP(CONCATENATE('Tube Cutting'!E17,'Tube Cutting'!D17),TrackManufacturing,2,FALSE)="Wavefold Matt Satin",VLOOKUP(CONCATENATE('Tube Cutting'!E17,'Tube Cutting'!D17),TrackManufacturing,2,FALSE)="System 20 Matt Satin"),(Bagging!D17="Single Face Fix Brackets")),Bagging!F17,""))</f>
        <v/>
      </c>
      <c r="AV9" s="8" t="str">
        <f>IF(D9="","",IF(AND(OR(VLOOKUP(CONCATENATE('Tube Cutting'!E17,'Tube Cutting'!D17),TrackManufacturing,2,FALSE)="Wavefold Matt Satin",VLOOKUP(CONCATENATE('Tube Cutting'!E17,'Tube Cutting'!D17),TrackManufacturing,2,FALSE)="System 20 Matt Satin"),(Bagging!D17="Double Face Fix Brackets")),Bagging!F17,""))</f>
        <v/>
      </c>
      <c r="AW9" s="8" t="str">
        <f>IF(D9="","",IF(AND(OR(VLOOKUP(CONCATENATE('Tube Cutting'!E17,'Tube Cutting'!D17),TrackManufacturing,2,FALSE)="Wavefold Matt Satin",VLOOKUP(CONCATENATE('Tube Cutting'!E17,'Tube Cutting'!D17),TrackManufacturing,2,FALSE)="System 20 Matt Satin"),(Bagging!D17="Triple Face Fix Brackets")),Bagging!F17,""))</f>
        <v/>
      </c>
      <c r="AX9" s="8" t="str">
        <f>IF(D9="","",IF(AND(VLOOKUP(CONCATENATE('Tube Cutting'!E17,'Tube Cutting'!D17),TrackManufacturing,2,FALSE)="Streamline White",(Bagging!D17="Nylon Top Fix Brackets")),VLOOKUP('Job Sheet'!BP17,Brackets,2,TRUE),""))</f>
        <v/>
      </c>
      <c r="AY9" s="8" t="str">
        <f>IF(D9="","",IF(AND(VLOOKUP(CONCATENATE('Tube Cutting'!E17,'Tube Cutting'!D17),TrackManufacturing,2,FALSE)="Streamline White",(Bagging!D17="Metal Fix Brackets")),VLOOKUP('Job Sheet'!BP17,Brackets,2,TRUE),""))</f>
        <v/>
      </c>
      <c r="AZ9" s="8" t="str">
        <f>IF(D9="","",IF(AND(VLOOKUP(CONCATENATE('Tube Cutting'!E17,'Tube Cutting'!D17),TrackManufacturing,2,FALSE)="Streamline White",(Bagging!D17="Single Face Fix Brackets")),Bagging!F17,""))</f>
        <v/>
      </c>
      <c r="BA9" s="8" t="str">
        <f>IF(D9="","",IF(AND(VLOOKUP(CONCATENATE('Tube Cutting'!E17,'Tube Cutting'!D17),TrackManufacturing,2,FALSE)="Streamline White",(Bagging!D17="Double Face Fix Brackets")),Bagging!F17,""))</f>
        <v/>
      </c>
      <c r="BB9" s="8" t="str">
        <f>IF(D9="","",IF(AND(VLOOKUP(CONCATENATE('Tube Cutting'!E17,'Tube Cutting'!D17),TrackManufacturing,2,FALSE)="Streamline White",(Bagging!D17="Triple Face Fix Brackets")),Bagging!F17,""))</f>
        <v/>
      </c>
      <c r="BC9" s="8" t="str">
        <f>IF(D9="","",IF(AND(VLOOKUP(CONCATENATE('Tube Cutting'!E17,'Tube Cutting'!D17),TrackManufacturing,2,FALSE)="Streamline White",(Bagging!D17="32mm Face Fix Brackets")),Bagging!F17,""))</f>
        <v/>
      </c>
      <c r="BD9" s="8" t="str">
        <f>IF(D9="","",IF(AND(VLOOKUP(CONCATENATE('Tube Cutting'!E17,'Tube Cutting'!D17),TrackManufacturing,2,FALSE)="Streamline Matt Black Ink",(Bagging!D17="Top Fix Brackets")),VLOOKUP('Job Sheet'!BP17,Brackets,2,TRUE),""))</f>
        <v/>
      </c>
      <c r="BE9" s="8" t="str">
        <f>IF(D9="","",IF(AND(VLOOKUP(CONCATENATE('Tube Cutting'!E17,'Tube Cutting'!D17),TrackManufacturing,2,FALSE)="Streamline White",(Bagging!D17="Metal Fix Brackets")),VLOOKUP('Job Sheet'!BP17,Brackets,2,TRUE),""))</f>
        <v/>
      </c>
      <c r="BF9" s="8" t="str">
        <f>IF(D9="","",IF(AND(VLOOKUP(CONCATENATE('Tube Cutting'!E17,'Tube Cutting'!D17),TrackManufacturing,2,FALSE)="Streamline Matt Black Ink",(Bagging!D17="Single Face Fix Brackets")),Bagging!F17,""))</f>
        <v/>
      </c>
      <c r="BG9" s="8" t="str">
        <f>IF(D9="","",IF(AND(VLOOKUP(CONCATENATE('Tube Cutting'!E17,'Tube Cutting'!D17),TrackManufacturing,2,FALSE)="Streamline Matt Black Ink",(Bagging!D17="Double Face Fix Brackets")),Bagging!F17,""))</f>
        <v/>
      </c>
      <c r="BH9" s="8" t="str">
        <f>IF(D9="","",IF(AND(VLOOKUP(CONCATENATE('Tube Cutting'!E17,'Tube Cutting'!D17),TrackManufacturing,2,FALSE)="Streamline Matt Black Ink",(Bagging!D17="Triple Face Fix Brackets")),Bagging!F17,""))</f>
        <v/>
      </c>
      <c r="BI9" s="8" t="str">
        <f>IF(D9="","",IF(AND(VLOOKUP(CONCATENATE('Tube Cutting'!E17,'Tube Cutting'!D17),TrackManufacturing,2,FALSE)="Streamline Matt Black Ink",(Bagging!D17="32mm Face Fix Brackets")),Bagging!F17,""))</f>
        <v/>
      </c>
      <c r="BJ9" s="8" t="str">
        <f>IF(D9="","",IF(AND(VLOOKUP(CONCATENATE('Tube Cutting'!E17,'Tube Cutting'!D17),TrackManufacturing,2,FALSE)="Streamline Birch White",(Bagging!D17="Top Fix Brackets")),VLOOKUP('Job Sheet'!BP17,Brackets,2,TRUE),""))</f>
        <v/>
      </c>
      <c r="BK9" s="8" t="str">
        <f>IF(D9="","",IF(AND(VLOOKUP(CONCATENATE('Tube Cutting'!E17,'Tube Cutting'!D17),TrackManufacturing,2,FALSE)="Streamline White",(Bagging!D17="Metal Fix Brackets")),VLOOKUP('Job Sheet'!BP17,Brackets,2,TRUE),""))</f>
        <v/>
      </c>
      <c r="BL9" s="8" t="str">
        <f>IF(D9="","",IF(AND(VLOOKUP(CONCATENATE('Tube Cutting'!E17,'Tube Cutting'!D17),TrackManufacturing,2,FALSE)="Streamline Birch White",(Bagging!D17="Single Face Fix Brackets")),Bagging!F17,""))</f>
        <v/>
      </c>
      <c r="BM9" s="8" t="str">
        <f>IF(D9="","",IF(AND(VLOOKUP(CONCATENATE('Tube Cutting'!E17,'Tube Cutting'!D17),TrackManufacturing,2,FALSE)="Streamline Birch White",(Bagging!D17="Double Face Fix Brackets")),Bagging!F17,""))</f>
        <v/>
      </c>
      <c r="BN9" s="8" t="str">
        <f>IF(D9="","",IF(AND(VLOOKUP(CONCATENATE('Tube Cutting'!E17,'Tube Cutting'!D17),TrackManufacturing,2,FALSE)="Streamline Birch White",(Bagging!D17="Triple Face Fix Brackets")),Bagging!F17,""))</f>
        <v/>
      </c>
      <c r="BO9" s="8" t="str">
        <f>IF(D9="","",IF(AND(VLOOKUP(CONCATENATE('Tube Cutting'!E17,'Tube Cutting'!D17),TrackManufacturing,2,FALSE)="Streamline Birch White",(Bagging!D17="32mm Face Fix Brackets")),Bagging!F17,""))</f>
        <v/>
      </c>
      <c r="BP9" s="8" t="str">
        <f>IF(K9="","",IF(AND(VLOOKUP(CONCATENATE('Tube Cutting'!K17,'Tube Cutting'!J17),TrackManufacturing,2,FALSE)="Streamline Birch White",(Bagging!J17="Top Fix Brackets")),VLOOKUP('Job Sheet'!BU17,Brackets,2,TRUE),""))</f>
        <v/>
      </c>
      <c r="BQ9" s="8" t="str">
        <f>IF(K9="","",IF(AND(VLOOKUP(CONCATENATE('Tube Cutting'!K17,'Tube Cutting'!J17),TrackManufacturing,2,FALSE)="Streamline White",(Bagging!J17="Metal Fix Brackets")),VLOOKUP('Job Sheet'!BU17,Brackets,2,TRUE),""))</f>
        <v/>
      </c>
      <c r="BR9" s="8" t="str">
        <f>IF(K9="","",IF(AND(VLOOKUP(CONCATENATE('Tube Cutting'!K17,'Tube Cutting'!J17),TrackManufacturing,2,FALSE)="Streamline Birch White",(Bagging!J17="Single Face Fix Brackets")),Bagging!L17,""))</f>
        <v/>
      </c>
      <c r="BS9" s="8" t="str">
        <f>IF(K9="","",IF(AND(VLOOKUP(CONCATENATE('Tube Cutting'!K17,'Tube Cutting'!J17),TrackManufacturing,2,FALSE)="Streamline Birch White",(Bagging!J17="Double Face Fix Brackets")),Bagging!L17,""))</f>
        <v/>
      </c>
      <c r="BT9" s="8" t="str">
        <f>IF(K9="","",IF(AND(VLOOKUP(CONCATENATE('Tube Cutting'!K17,'Tube Cutting'!J17),TrackManufacturing,2,FALSE)="Streamline Birch White",(Bagging!J17="Triple Face Fix Brackets")),Bagging!L17,""))</f>
        <v/>
      </c>
      <c r="BU9" s="8" t="str">
        <f>IF(K9="","",IF(AND(VLOOKUP(CONCATENATE('Tube Cutting'!K17,'Tube Cutting'!J17),TrackManufacturing,2,FALSE)="Streamline Birch White",(Bagging!J17="32mm Face Fix Brackets")),Bagging!L17,""))</f>
        <v/>
      </c>
      <c r="BV9" s="8" t="str">
        <f>IF(AND('Tube Cutting'!D17="White",Bagging!D17="Top Fix Brackets"),Bagging!F17,"")</f>
        <v/>
      </c>
      <c r="BW9" s="8">
        <f>IF(AND('Tube Cutting'!D17="White",Bagging!D17="Single Face Fix Brackets"),Bagging!F17,"")</f>
        <v>4</v>
      </c>
      <c r="BX9" s="8" t="str">
        <f>IF(AND('Tube Cutting'!D17="White",Bagging!D17="Double Face Fix Brackets"),Bagging!F17,"")</f>
        <v/>
      </c>
      <c r="BY9" s="8" t="str">
        <f>IF(AND('Tube Cutting'!D17="White",Bagging!D17="Triple Face Fix Brackets"),Bagging!F17,"")</f>
        <v/>
      </c>
      <c r="BZ9" s="8" t="str">
        <f>IF(AND('Tube Cutting'!D17="Black",Bagging!D17="Top Fix Brackets"),Bagging!F17,"")</f>
        <v/>
      </c>
      <c r="CA9" s="8" t="str">
        <f>IF(AND('Tube Cutting'!D17="Black",Bagging!D17="Single Face Fix Brackets"),Bagging!F17,"")</f>
        <v/>
      </c>
      <c r="CB9" s="8" t="str">
        <f>IF(AND('Tube Cutting'!D17="Black",Bagging!D17="Double Face Fix Brackets"),Bagging!F17,"")</f>
        <v/>
      </c>
      <c r="CC9" s="8" t="str">
        <f>IF(AND('Tube Cutting'!D17="Black",Bagging!D17="Triple Fix Brackets"),Bagging!F17,"")</f>
        <v/>
      </c>
      <c r="CD9" s="8" t="str">
        <f>IF(AND('Tube Cutting'!D17="Matt Satin",Bagging!D17="Top Fix Brackets"),Bagging!F17,"")</f>
        <v/>
      </c>
      <c r="CE9" s="8" t="str">
        <f>IF(AND('Tube Cutting'!D17="Matt Satin",Bagging!D17="Single Face Fix Brackets"),Bagging!F17,"")</f>
        <v/>
      </c>
      <c r="CF9" s="8" t="str">
        <f>IF(AND('Tube Cutting'!D17="Matt Satin",Bagging!D17="Double Face Fix Brackets"),Bagging!F17,"")</f>
        <v/>
      </c>
      <c r="CG9" s="8" t="str">
        <f>IF(AND('Tube Cutting'!D17="Matt Satin",Bagging!D17="Triple Fix Brackets"),Bagging!F17,"")</f>
        <v/>
      </c>
      <c r="CH9" s="8" t="str">
        <f>IF(D9="","",IF(AND('Tube Cutting'!D17="White",(OR(Bagging!J17="Single Left",Bagging!J17="Single Left &amp; Right"))),"1",""))</f>
        <v/>
      </c>
      <c r="CI9" s="8" t="str">
        <f>IF(D9="","",IF(AND('Tube Cutting'!D17="Black",(OR(Bagging!J17="Single Left",Bagging!J17="Single Left &amp; Right"))),"1",""))</f>
        <v/>
      </c>
      <c r="CJ9" s="8" t="str">
        <f>IF(D9="","",IF(AND('Tube Cutting'!D17="Matt Satin",(OR(Bagging!J17="Single Left",Bagging!J17="Single Left &amp; Right"))),"1",""))</f>
        <v/>
      </c>
      <c r="CK9" s="8" t="str">
        <f>IF(D9="","",IF(AND('Tube Cutting'!D17="White",(OR(Bagging!J17="Single Right",Bagging!J17="Single Left &amp; Right"))),"1",""))</f>
        <v/>
      </c>
      <c r="CL9" s="8" t="str">
        <f>IF(D9="","",IF(AND('Tube Cutting'!D17="Black",(OR(Bagging!J17="Single Right",Bagging!J17="Single Left &amp; Right"))),"1",""))</f>
        <v/>
      </c>
      <c r="CM9" s="8" t="str">
        <f>IF(D9="","",IF(AND('Tube Cutting'!D17="Matt Satin",(OR(Bagging!J17="Single Right",Bagging!J17="Single Left &amp; Right"))),"1",""))</f>
        <v/>
      </c>
      <c r="CN9" s="8" t="str">
        <f>IF(D9="","",IF(AND('Tube Cutting'!D17="White",(OR(Bagging!J17="Double Left",Bagging!J17="Double Left &amp; Right"))),"1",""))</f>
        <v/>
      </c>
      <c r="CO9" s="8" t="str">
        <f>IF(D9="","",IF(AND('Tube Cutting'!D17="Black",(OR(Bagging!J17="Double Left",Bagging!J17="Double Left &amp; Right"))),"1",""))</f>
        <v/>
      </c>
      <c r="CP9" s="8" t="str">
        <f>IF(D9="","",IF(AND('Tube Cutting'!D17="Matt Satin",(OR(Bagging!J17="Double Left",Bagging!J17="Double Left &amp; Right"))),"1",""))</f>
        <v/>
      </c>
      <c r="CQ9" s="8" t="str">
        <f>IF(D9="","",IF(AND('Tube Cutting'!D17="White",(OR(Bagging!J17="Double Right",Bagging!J17="Double Left &amp; Right"))),"1",""))</f>
        <v/>
      </c>
      <c r="CR9" s="8" t="str">
        <f>IF(D9="","",IF(AND('Tube Cutting'!D17="Black",(OR(Bagging!J17="Double Right",Bagging!J17="Double Left &amp; Right"))),"1",""))</f>
        <v/>
      </c>
      <c r="CS9" s="8" t="str">
        <f>IF(D9="","",IF(AND('Tube Cutting'!D17="Matt Satin",(OR(Bagging!J17="Double Right",Bagging!J17="Double Left &amp; Right"))),"1",""))</f>
        <v/>
      </c>
      <c r="CT9" s="8" t="str">
        <f>IF(D9="","",IF(VLOOKUP(CONCATENATE('Tube Cutting'!E17,'Tube Cutting'!D17),TrackManufacturing,2,FALSE)="Streamline White",1,""))</f>
        <v/>
      </c>
      <c r="CU9" s="8" t="str">
        <f>IF(D9="","",IF(VLOOKUP(CONCATENATE('Tube Cutting'!E17,'Tube Cutting'!D17),TrackManufacturing,2,FALSE)="Streamline Matt Black Ink",1,""))</f>
        <v/>
      </c>
      <c r="CV9" s="8" t="str">
        <f>IF(D9="","",IF(VLOOKUP(CONCATENATE('Tube Cutting'!E17,'Tube Cutting'!D17),TrackManufacturing,2,FALSE)="Streamline Birch White",1,""))</f>
        <v/>
      </c>
      <c r="CW9" s="8" t="str">
        <f>IF(D9="","",IF(VLOOKUP(CONCATENATE('Tube Cutting'!E17,'Tube Cutting'!D17),TrackManufacturing,2,FALSE)="Streamline Matt Satin",1,""))</f>
        <v/>
      </c>
      <c r="CX9" s="8" t="str">
        <f>IF(D9="","",IF(AND(VLOOKUP(CONCATENATE('Tube Cutting'!E17,'Tube Cutting'!D17),TrackManufacturing,2,FALSE)="Streamline White",(OR(Assembly!F17="Centre Opening",Assembly!F17="Centre Opening - Free Flowing",Assembly!F17="Centre Opening (Offset)",Assembly!F17="Centre Opening - Free Flowing (Offset)"))),1,""))</f>
        <v/>
      </c>
      <c r="CY9" s="8" t="str">
        <f>IF(D9="","",IF(AND(VLOOKUP(CONCATENATE('Tube Cutting'!E17,'Tube Cutting'!D17),TrackManufacturing,2,FALSE)="Streamline Matt Black Ink",(OR(Assembly!F17="Centre Opening",Assembly!F17="Centre Opening - Free Flowing",Assembly!F17="Centre Opening (Offset)",Assembly!F17="Centre Opening - Free Flowing (Offset)"))),1,""))</f>
        <v/>
      </c>
      <c r="CZ9" s="8" t="str">
        <f>IF(D9="","",IF(AND(VLOOKUP(CONCATENATE('Tube Cutting'!E17,'Tube Cutting'!D17),TrackManufacturing,2,FALSE)="Streamline Birch White",(OR(Assembly!F17="Centre Opening",Assembly!F17="Centre Opening - Free Flowing",Assembly!F17="Centre Opening (Offset)",Assembly!F17="Centre Opening - Free Flowing (Offset)"))),1,""))</f>
        <v/>
      </c>
      <c r="DA9" s="8" t="str">
        <f>IF(D9="","",IF(AND(VLOOKUP(CONCATENATE('Tube Cutting'!E17,'Tube Cutting'!D17),TrackManufacturing,2,FALSE)="Streamline Matt Satin",(OR(Assembly!F17="Centre Opening",Assembly!F17="Centre Opening - Free Flowing",Assembly!F17="Centre Opening (Offset)",Assembly!F17="Centre Opening - Free Flowing (Offset)"))),1,""))</f>
        <v/>
      </c>
      <c r="DB9" s="8" t="str">
        <f>IF(OR('Job Sheet'!Z17="Conduit",I9&lt;&gt;"DBS to Make"),"",IF(VLOOKUP(CONCATENATE(Assembly!C17,Assembly!F17),PulleysEndCaps,2,FALSE)="","",IF('Tube Cutting'!D17="White",VLOOKUP(CONCATENATE(Assembly!C17,Assembly!F17),PulleysEndCaps,2,FALSE),"")))</f>
        <v/>
      </c>
      <c r="DC9" s="8" t="str">
        <f>IF(OR('Job Sheet'!Z17="Conduit",I9&lt;&gt;"DBS to Make"),"",IF(VLOOKUP(CONCATENATE(Assembly!C17,Assembly!F17),PulleysEndCaps,2,FALSE)="","",IF('Tube Cutting'!D17="Black",VLOOKUP(CONCATENATE(Assembly!C17,Assembly!F17),PulleysEndCaps,2,FALSE),"")))</f>
        <v/>
      </c>
      <c r="DD9" s="8" t="str">
        <f>IF(OR('Job Sheet'!Z17="Conduit",I9&lt;&gt;"DBS to Make"),"",IF(VLOOKUP(CONCATENATE(Assembly!C17,Assembly!F17),PulleysEndCaps,2,FALSE)="","",IF('Tube Cutting'!D17="Matt Satin",VLOOKUP(CONCATENATE(Assembly!C17,Assembly!F17),PulleysEndCaps,2,FALSE),"")))</f>
        <v/>
      </c>
      <c r="DE9" s="8" t="str">
        <f>IF(OR('Job Sheet'!Z17="Conduit",I9&lt;&gt;"DBS to Make"),"",IF(VLOOKUP(CONCATENATE(Assembly!C17,Assembly!F17),PulleysEndCaps,3,FALSE)="","",IF('Tube Cutting'!D17="White",VLOOKUP(CONCATENATE(Assembly!C17,Assembly!F17),PulleysEndCaps,3,FALSE),"")))</f>
        <v/>
      </c>
      <c r="DF9" s="8" t="str">
        <f>IF(OR('Job Sheet'!Z17="Conduit",I9&lt;&gt;"DBS to Make"),"",IF(VLOOKUP(CONCATENATE(Assembly!C17,Assembly!F17),PulleysEndCaps,3,FALSE)="","",IF('Tube Cutting'!D17="Black",VLOOKUP(CONCATENATE(Assembly!C17,Assembly!F17),PulleysEndCaps,3,FALSE),"")))</f>
        <v/>
      </c>
      <c r="DG9" s="8" t="str">
        <f>IF(OR('Job Sheet'!Z17="Conduit",I9&lt;&gt;"DBS to Make"),"",IF(VLOOKUP(CONCATENATE(Assembly!C17,Assembly!F17),PulleysEndCaps,3,FALSE)="","",IF('Tube Cutting'!D17="Matt Satin",VLOOKUP(CONCATENATE(Assembly!C17,Assembly!F17),PulleysEndCaps,3,FALSE),"")))</f>
        <v/>
      </c>
      <c r="DH9" s="8" t="str">
        <f>IF(OR('Job Sheet'!Z17="Conduit",I9&lt;&gt;"DBS to Make"),"",IF(VLOOKUP(CONCATENATE(Assembly!C17,Assembly!F17),PulleysEndCaps,6,FALSE)="","",IF('Tube Cutting'!D17="White",VLOOKUP(CONCATENATE(Assembly!C17,Assembly!F17),PulleysEndCaps,6,FALSE),"")))</f>
        <v/>
      </c>
      <c r="DI9" s="8" t="str">
        <f>IF(OR('Job Sheet'!Z17="Conduit",I9&lt;&gt;"DBS to Make"),"",IF(VLOOKUP(CONCATENATE(Assembly!C17,Assembly!F17),PulleysEndCaps,6,FALSE)="","",IF('Tube Cutting'!D17="Matt Black Ink",VLOOKUP(CONCATENATE(Assembly!C17,Assembly!F17),PulleysEndCaps,6,FALSE),"")))</f>
        <v/>
      </c>
      <c r="DJ9" s="8" t="str">
        <f>IF(OR('Job Sheet'!Z17="Conduit",I9&lt;&gt;"DBS to Make"),"",IF(VLOOKUP(CONCATENATE(Assembly!C17,Assembly!F17),PulleysEndCaps,6,FALSE)="","",IF('Tube Cutting'!D17="Birch White",VLOOKUP(CONCATENATE(Assembly!C17,Assembly!F17),PulleysEndCaps,6,FALSE),"")))</f>
        <v/>
      </c>
      <c r="DK9" s="8" t="str">
        <f>IF(OR('Job Sheet'!Z17="Conduit",'Job Sheet'!Z17="Conduit x 2",I9&lt;&gt;"DBS to Make"),"",IF(VLOOKUP(CONCATENATE(Assembly!C17,Assembly!F17),PulleysEndCaps,6,FALSE)="","",IF('Tube Cutting'!D17="Matt Satin",VLOOKUP(CONCATENATE(Assembly!C17,Assembly!F17),PulleysEndCaps,6,FALSE),"")))</f>
        <v/>
      </c>
      <c r="DL9" s="8" t="str">
        <f>IF(OR('Job Sheet'!Z17="Conduit",I9&lt;&gt;"DBS to Make"),"",IF(VLOOKUP(CONCATENATE(Assembly!C17,Assembly!F17),PulleysEndCaps,4,FALSE)="","",VLOOKUP(CONCATENATE(Assembly!C17,Assembly!F17),PulleysEndCaps,4,FALSE)))</f>
        <v/>
      </c>
      <c r="DM9" s="8" t="str">
        <f>IF(OR('Job Sheet'!Z17="Conduit",I9&lt;&gt;"DBS to Make"),"",IF(VLOOKUP(CONCATENATE(Assembly!C17,Assembly!F17),PulleysEndCaps,7,FALSE)="","",VLOOKUP(CONCATENATE(Assembly!C17,Assembly!F17),PulleysEndCaps,7,FALSE)))</f>
        <v/>
      </c>
      <c r="DN9" s="8" t="str">
        <f>IF(D9="","",IF(AND(OR(VLOOKUP(CONCATENATE('Tube Cutting'!E17,'Tube Cutting'!D17),TrackManufacturing,2,FALSE)="Wavefold White",VLOOKUP(CONCATENATE('Tube Cutting'!E17,'Tube Cutting'!D17),TrackManufacturing,2,FALSE)="Wavefold Black",VLOOKUP(CONCATENATE('Tube Cutting'!E17,'Tube Cutting'!D17),TrackManufacturing,2,FALSE)="Wavefold Matt Satin",VLOOKUP(CONCATENATE('Tube Cutting'!E17,'Tube Cutting'!D17),TrackManufacturing,2,FALSE)="System 20 White",VLOOKUP(CONCATENATE('Tube Cutting'!E17,'Tube Cutting'!D17),TrackManufacturing,2,FALSE)="System 20 Black",VLOOKUP(CONCATENATE('Tube Cutting'!E17,'Tube Cutting'!D17),TrackManufacturing,2,FALSE)="System 20 Matt Satin"),'Tube Cutting'!C17&gt;6000),1,""))</f>
        <v/>
      </c>
      <c r="DO9" s="8" t="str">
        <f>IF(D9="","",IF(AND(OR(VLOOKUP(CONCATENATE('Tube Cutting'!E17,'Tube Cutting'!D17),TrackManufacturing,2,FALSE)="Streamline White",VLOOKUP(CONCATENATE('Tube Cutting'!E17,'Tube Cutting'!D17),TrackManufacturing,2,FALSE)="Streamline Black",VLOOKUP(CONCATENATE('Tube Cutting'!E17,'Tube Cutting'!D17),TrackManufacturing,2,FALSE)="Streamline Birch White",VLOOKUP(CONCATENATE('Tube Cutting'!E17,'Tube Cutting'!D17),TrackManufacturing,2,FALSE)="Streamline Matt Satin"),'Tube Cutting'!C17&gt;6000),1,""))</f>
        <v/>
      </c>
      <c r="DP9" s="8">
        <f>IF(OR('Job Sheet'!Z17="Conduit",I9&lt;&gt;"DBS to Make"),"",IF(VLOOKUP(CONCATENATE(Assembly!C17,Assembly!F17),PulleysEndCaps,5,FALSE)="","",IF('Tube Cutting'!D17="White",VLOOKUP(CONCATENATE(Assembly!C17,Assembly!F17),PulleysEndCaps,5,FALSE),"")))</f>
        <v>2</v>
      </c>
      <c r="DQ9" s="8" t="str">
        <f>IF(OR('Job Sheet'!Z17="Conduit",I9&lt;&gt;"DBS to Make"),"",IF(VLOOKUP(CONCATENATE(Assembly!C17,Assembly!F17),PulleysEndCaps,5,FALSE)="","",IF('Tube Cutting'!D17="Black",VLOOKUP(CONCATENATE(Assembly!C17,Assembly!F17),PulleysEndCaps,5,FALSE),"")))</f>
        <v/>
      </c>
      <c r="DR9" s="8" t="str">
        <f>IF(OR('Job Sheet'!Z17="Conduit",I9&lt;&gt;"DBS to Make"),"",IF(VLOOKUP(CONCATENATE(Assembly!C17,Assembly!F17),PulleysEndCaps,5,FALSE)="","",IF('Tube Cutting'!D17="Matt Satin",VLOOKUP(CONCATENATE(Assembly!C17,Assembly!F17),PulleysEndCaps,5,FALSE),"")))</f>
        <v/>
      </c>
      <c r="DS9" s="8" t="str">
        <f>IF(OR('Job Sheet'!Z17="Conduit",I9&lt;&gt;"DBS to Make"),"",IF(VLOOKUP(CONCATENATE(Assembly!C17,Assembly!F17),PulleysEndCaps,8,FALSE)="","",IF('Tube Cutting'!D17="White",VLOOKUP(CONCATENATE(Assembly!C17,Assembly!F17),PulleysEndCaps,8,FALSE),"")))</f>
        <v/>
      </c>
      <c r="DT9" s="8" t="str">
        <f>IF(OR('Job Sheet'!Z17="Conduit",I9&lt;&gt;"DBS to Make"),"",IF(VLOOKUP(CONCATENATE(Assembly!C17,Assembly!F17),PulleysEndCaps,8,FALSE)="","",IF('Tube Cutting'!D17="Matt Black Ink",VLOOKUP(CONCATENATE(Assembly!C17,Assembly!F17),PulleysEndCaps,8,FALSE),"")))</f>
        <v/>
      </c>
      <c r="DU9" s="8" t="str">
        <f>IF(OR('Job Sheet'!Z17="Conduit",I9&lt;&gt;"DBS to Make"),"",IF(VLOOKUP(CONCATENATE(Assembly!C17,Assembly!F17),PulleysEndCaps,8,FALSE)="","",IF('Tube Cutting'!D17="Birch White",VLOOKUP(CONCATENATE(Assembly!C17,Assembly!F17),PulleysEndCaps,8,FALSE),"")))</f>
        <v/>
      </c>
      <c r="DV9" s="8" t="str">
        <f>IF(OR('Job Sheet'!Z17="Conduit",'Job Sheet'!Z17="Conduit x 2",I9&lt;&gt;"DBS to Make"),"",IF(VLOOKUP(CONCATENATE(Assembly!C17,Assembly!F17),PulleysEndCaps,8,FALSE)="","",IF('Tube Cutting'!D17="Matt Satin",VLOOKUP(CONCATENATE(Assembly!C17,Assembly!F17),PulleysEndCaps,8,FALSE),"")))</f>
        <v/>
      </c>
      <c r="DW9" s="8" t="str">
        <f>IF(D9="","",IF(AND(Assembly!C17="Wavefold Cord Operation",OR('Tube Cutting'!D17="White",'Tube Cutting'!D17="Matt Satin"),OR(Assembly!F17="Centre Opening",Assembly!F17="Centre Opening - Free Flowing",Assembly!F17="Centre Opening (Offset)",Assembly!F17="Centre Opening - Free Flowing (Offset)")),2,IF(AND(Assembly!C17="Wavefold Cord Operation",OR('Tube Cutting'!D17="White",'Tube Cutting'!D17="Matt Satin"),OR(Assembly!F17="Single Panel - Left Stacking",Assembly!F17="Single Panel - Right Stacking",Assembly!F17="Single Panel - Free Flowing")),1,"")))</f>
        <v/>
      </c>
      <c r="DX9" s="8" t="str">
        <f>IF(D9="","",IF(AND(AND(Assembly!C17="Wavefold Cord Operation",'Tube Cutting'!D17="Black",'Tube Cutting'!D17),(OR(Assembly!F17="Centre Opening",Assembly!F17="Centre Opening - Free Flowing",Assembly!F17="Centre Opening (Offset)",Assembly!F17="Centre Opening - Free Flowing (Offset)"))),2,IF(AND(AND(Assembly!C17="Wavefold Cord Operation",'Tube Cutting'!D17="Black",'Tube Cutting'!D17),(OR(Assembly!F17="Single Panel - Left Stacking",Assembly!F17="Single Panel - Right Stacking",Assembly!F17="Single Panel - Free Flowing"))),1,"")))</f>
        <v/>
      </c>
      <c r="DY9" s="8" t="str">
        <f>IF(D9="","",IF(AND(Assembly!C17="Wavefold Hand Operation",(OR('Tube Cutting'!D17="White",'Tube Cutting'!D17="White"))),Bagging!I17,""))</f>
        <v>1</v>
      </c>
      <c r="DZ9" s="8" t="str">
        <f>IF(D9="","",IF(AND(Assembly!C17="Wavefold Hand Operation",'Tube Cutting'!D17="Black"),Bagging!I17,""))</f>
        <v/>
      </c>
      <c r="EA9" s="8" t="str">
        <f>IF(OR(D9="",AI19="Straight"),"",IF(AND(OR('Tube Cutting'!E17="Streamline Cord Operation",'Tube Cutting'!E17="Streamline Hand Operation"),(OR(Assembly!F17="Centre Opening",Assembly!F17="Centre Opening - Free Flowing",Assembly!F17="Centre Opening (Offset)",Assembly!F17="Centre Opening - Free Flowing (Offset)"))),2,IF(AND(OR('Tube Cutting'!E17="Streamline Cord Operation",'Tube Cutting'!E17="Streamline Hand Operation"),(OR(Assembly!F17="Single Panel - Left Stacking",Assembly!F17="Single Panel - Right Stacking - Free Flowing",Assembly!F17="Single Panel - Free Flowing"))),1,"")))</f>
        <v/>
      </c>
      <c r="EB9" s="8" t="str">
        <f>IF(D9="","",IF(OR('Tube Cutting'!E17="Streamline Cord Operation",'Tube Cutting'!E17="Wavefold Cord Operation",'Tube Cutting'!E17="System 20 Light Commercial Track Cord Drawn"),1,""))</f>
        <v/>
      </c>
      <c r="EC9" s="8" t="str">
        <f>IF(D9="","",IF(VLOOKUP(CONCATENATE('Tube Cutting'!E17,'Tube Cutting'!D17),TrackManufacturing,2,FALSE)="System 20 White",1,""))</f>
        <v/>
      </c>
      <c r="ED9" s="8" t="str">
        <f>IF(D9="","",IF(VLOOKUP(CONCATENATE('Tube Cutting'!E17,'Tube Cutting'!D17),TrackManufacturing,2,FALSE)="System 20 Black",1,""))</f>
        <v/>
      </c>
      <c r="EE9" s="8" t="str">
        <f>IF(D9="","",IF(AND(VLOOKUP(CONCATENATE('Tube Cutting'!E17,'Tube Cutting'!D17),TrackManufacturing,2,FALSE)="System 20 White",(OR(Assembly!F17="Centre Opening",Assembly!F17="Centre Opening - Free Flowing",Assembly!F17="Centre Opening (Offset)",Assembly!F17="Centre Opening - Free Flowing (Offset)"))),1,""))</f>
        <v/>
      </c>
      <c r="EF9" s="8" t="str">
        <f>IF(D9="","",IF(AND(VLOOKUP(CONCATENATE('Tube Cutting'!E17,'Tube Cutting'!D17),TrackManufacturing,2,FALSE)="System 20 Black",(OR(Assembly!F17="Centre Opening",Assembly!F17="Centre Opening - Free Flowing",Assembly!F17="Centre Opening (Offset)",Assembly!F17="Centre Opening - Free Flowing (Offset)"))),1,""))</f>
        <v/>
      </c>
      <c r="EG9" s="125" t="str">
        <f>IF(D9="","",IF(OR(VLOOKUP(CONCATENATE('Tube Cutting'!E17,'Tube Cutting'!D17),TrackManufacturing,2,FALSE)="System 20 White",VLOOKUP(CONCATENATE('Tube Cutting'!E17,'Tube Cutting'!D17),TrackManufacturing,2,FALSE)="System 20 Black"),Assembly!G17,""))</f>
        <v/>
      </c>
      <c r="EH9" s="8" t="str">
        <f>IF('Tube Cutting'!E17="Conduit",'Job Sheet'!CB17,"")</f>
        <v/>
      </c>
      <c r="EI9" s="8" t="str">
        <f>IF(Bagging!D17="Muslin Brackets",2,IF(Bagging!D17="Muslin Brackets Top and Bottom",4,""))</f>
        <v/>
      </c>
      <c r="EJ9" s="8" t="str">
        <f>IF(Bagging!D17="100mm Unstayed Brackets with Acorns",2,"")</f>
        <v/>
      </c>
      <c r="EK9" s="8" t="str">
        <f>IF(Bagging!D17="25mm Brackets with Acorns",2,IF('Job Sheet'!AJ17="1 (Conduit)",2,IF('Job Sheet'!AJ17="2 (Conduit)",4,IF('Job Sheet'!AJ17="3 (Conduit)",6,IF('Job Sheet'!AJ17="4 (Conduit)",8,"")))))</f>
        <v/>
      </c>
      <c r="EL9" s="8" t="str">
        <f>IF(OR(Bagging!D17="25mm Brackets with Acorns",Bagging!D17="100mm Unstayed Brackets with Acorns"),2,"")</f>
        <v/>
      </c>
      <c r="EM9" s="8" t="str">
        <f>IF('Job Sheet'!AJ17="1 (Conduit)",1,IF('Job Sheet'!AJ17="2 (Conduit)",2,IF('Job Sheet'!AJ17="3 (Conduit)",3,IF('Job Sheet'!AJ17="4 (Conduit)",4,""))))</f>
        <v/>
      </c>
    </row>
    <row r="10" spans="4:143" ht="12" customHeight="1">
      <c r="D10" s="8" t="str">
        <f>IF(Data!AW18="","",CONCATENATE(Data!BC$5,".",Data!BD$5))</f>
        <v>39776.F</v>
      </c>
      <c r="E10" s="8">
        <f>IF(D10="","",Data!AW18)</f>
        <v>35</v>
      </c>
      <c r="F10" s="8" t="str">
        <f>IF(D10="","",Data!AV18)</f>
        <v>f27043c9-278b-4452-a37f-ce0e2927879b</v>
      </c>
      <c r="G10" s="8" t="str">
        <f>IF(D10="","",Data!BF$5)</f>
        <v>Hare, Kaitlin</v>
      </c>
      <c r="H10" s="8" t="str">
        <f>IF(D10="","",Data!AX$5)</f>
        <v>Whole House</v>
      </c>
      <c r="I10" s="8" t="str">
        <f>IF(D10="","",'Job Sheet'!BH18)</f>
        <v>DBS to Make</v>
      </c>
      <c r="J10" s="8">
        <f>IF(D10="","",IF(OR(VLOOKUP(CONCATENATE('Tube Cutting'!E18,'Tube Cutting'!D18),TrackManufacturing,2,FALSE)="Wavefold White",VLOOKUP(CONCATENATE('Tube Cutting'!E18,'Tube Cutting'!D18),TrackManufacturing,2,FALSE)="Wavefold Black",VLOOKUP(CONCATENATE('Tube Cutting'!E18,'Tube Cutting'!D18),TrackManufacturing,2,FALSE)="Wavefold Matt Satin"),('Job Sheet'!BP18*2)/1000,""))</f>
        <v>9.27</v>
      </c>
      <c r="K10" s="125">
        <f>IF(D10="","",IF(OR(VLOOKUP(CONCATENATE('Tube Cutting'!E18,'Tube Cutting'!D18),TrackManufacturing,2,FALSE)="Wavefold White",VLOOKUP(CONCATENATE('Tube Cutting'!E18,'Tube Cutting'!D18),TrackManufacturing,2,FALSE)="Wavefold Matt Satin"),J10*10,""))</f>
        <v>92.7</v>
      </c>
      <c r="L10" s="125" t="str">
        <f>IF(D10="","",IF(VLOOKUP(CONCATENATE('Tube Cutting'!E18,'Tube Cutting'!D18),TrackManufacturing,2,FALSE)="Wavefold Black",J10*10,""))</f>
        <v/>
      </c>
      <c r="M10" s="126">
        <f>IF(D10="","",IF(OR(VLOOKUP(CONCATENATE('Tube Cutting'!E18,'Tube Cutting'!D18),TrackManufacturing,2,FALSE)="Wavefold White",VLOOKUP(CONCATENATE('Tube Cutting'!E18,'Tube Cutting'!D18),TrackManufacturing,2,FALSE)="System 20 White"),'Tube Cutting'!C18/1000,""))</f>
        <v>4.574</v>
      </c>
      <c r="N10" s="126" t="str">
        <f>IF(D10="","",IF(OR(VLOOKUP(CONCATENATE('Tube Cutting'!E18,'Tube Cutting'!D18),TrackManufacturing,2,FALSE)="Wavefold Black",VLOOKUP(CONCATENATE('Tube Cutting'!E18,'Tube Cutting'!D18),TrackManufacturing,2,FALSE)="System 20 Black"),'Tube Cutting'!C18/1000,""))</f>
        <v/>
      </c>
      <c r="O10" s="126" t="str">
        <f>IF(D10="","",IF(OR(VLOOKUP(CONCATENATE('Tube Cutting'!E18,'Tube Cutting'!D18),TrackManufacturing,2,FALSE)="Wavefold Matt Satin",VLOOKUP(CONCATENATE('Tube Cutting'!E18,'Tube Cutting'!D18),TrackManufacturing,2,FALSE)="System 20 Matt Satin"),'Tube Cutting'!C18/1000,""))</f>
        <v/>
      </c>
      <c r="P10" s="125">
        <f>IF(D10="","",IF(AND((OR('Tube Cutting'!D18="White",'Tube Cutting'!D18="Matt Satin")),(OR('Tube Cutting'!E18="Wavefold Hand Operation",'Tube Cutting'!E18="Wavefold Cord Operation"))),IF(M10="",O10*20,M10*20),""))</f>
        <v>91.48</v>
      </c>
      <c r="Q10" s="125" t="str">
        <f>IF(D10="","",IF(AND('Tube Cutting'!D18="Black",(OR('Tube Cutting'!E18="Wavefold Hand Operation",'Tube Cutting'!E18="Wavefold Cord Operation"))),N10*20,""))</f>
        <v/>
      </c>
      <c r="R10" s="125" t="str">
        <f>IF(D10="","",IF(OR('Tube Cutting'!E18="Streamline Hand Operation",'Tube Cutting'!E18="Streamline Cord Operation"),Assembly!G18,""))</f>
        <v/>
      </c>
      <c r="S10" s="8" t="str">
        <f>IF(D10="","",IF(VLOOKUP(CONCATENATE('Tube Cutting'!E18,'Tube Cutting'!D18),TrackManufacturing,2,FALSE)="Streamline White",'Tube Cutting'!C18/1000,""))</f>
        <v/>
      </c>
      <c r="T10" s="8" t="str">
        <f>IF(D10="","",IF(VLOOKUP(CONCATENATE('Tube Cutting'!E18,'Tube Cutting'!D18),TrackManufacturing,2,FALSE)="Streamline Matt Black Ink",'Tube Cutting'!C18/1000,""))</f>
        <v/>
      </c>
      <c r="U10" s="8" t="str">
        <f>IF(D10="","",IF(VLOOKUP(CONCATENATE('Tube Cutting'!E18,'Tube Cutting'!D18),TrackManufacturing,2,FALSE)="Streamline Birch White",'Tube Cutting'!C18/1000,""))</f>
        <v/>
      </c>
      <c r="V10" s="8" t="str">
        <f>IF(D10="","",IF(VLOOKUP(CONCATENATE('Tube Cutting'!E18,'Tube Cutting'!D18),TrackManufacturing,2,FALSE)="Streamline Matt Satin",'Tube Cutting'!C18/1000,""))</f>
        <v/>
      </c>
      <c r="W10" s="8" t="str">
        <f>IF(Bagging!H18="White Aluminium Flick Sticks 100cm",Bagging!I18,"")</f>
        <v/>
      </c>
      <c r="X10" s="8" t="str">
        <f>IF(Bagging!H18="White Aluminium Flick Sticks 125cm",Bagging!I18,"")</f>
        <v>2</v>
      </c>
      <c r="Y10" s="8" t="str">
        <f>IF(Bagging!H18="White Aluminium Flick Sticks 150cm",Bagging!I18,"")</f>
        <v/>
      </c>
      <c r="Z10" s="8" t="str">
        <f>IF(Bagging!H18="Black Aluminium Flick Sticks 100cm",Bagging!I18,"")</f>
        <v/>
      </c>
      <c r="AA10" s="8" t="str">
        <f>IF(Bagging!H18="Black Aluminium Flick Sticks 125cm",Bagging!I18,"")</f>
        <v/>
      </c>
      <c r="AB10" s="8" t="str">
        <f>IF(Bagging!H18="Black Aluminium Flick Sticks 150cm",Bagging!I18,"")</f>
        <v/>
      </c>
      <c r="AC10" s="8" t="str">
        <f>IF(Bagging!H18="Matt Satin Aluminium Flick Sticks 100cm",Bagging!I18,"")</f>
        <v/>
      </c>
      <c r="AD10" s="8" t="str">
        <f>IF(Bagging!H18="Black Aluminium Flick Sticks 125cm",Bagging!I18,"")</f>
        <v/>
      </c>
      <c r="AE10" s="8" t="str">
        <f>IF(Bagging!H18="Black Aluminium Flick Sticks 150cm",Bagging!I18,"")</f>
        <v/>
      </c>
      <c r="AF10" s="8" t="str">
        <f>IF(Bagging!H18="Standard Clear 75cm",Bagging!I18,"")</f>
        <v/>
      </c>
      <c r="AG10" s="8" t="str">
        <f>IF(Bagging!H18="Standard Clear 100cm",Bagging!I18,"")</f>
        <v/>
      </c>
      <c r="AH10" s="8" t="str">
        <f>IF(Bagging!H18="Standard Clear 125cm",Bagging!I18,"")</f>
        <v/>
      </c>
      <c r="AI10" s="8" t="str">
        <f>IF(Bagging!H18="Standard Clear 150cm",Bagging!I18,"")</f>
        <v/>
      </c>
      <c r="AJ10" s="8" t="str">
        <f>IF(Bagging!H18="White Fibreglass 200cm",Bagging!I18,"")</f>
        <v/>
      </c>
      <c r="AK10" s="8" t="str">
        <f>IF(Bagging!H18="White Fibreglass 250cm",Bagging!I18,"")</f>
        <v/>
      </c>
      <c r="AL10" s="8" t="str">
        <f>IF(D10="","",IF(AND(OR(VLOOKUP(CONCATENATE('Tube Cutting'!E18,'Tube Cutting'!D18),TrackManufacturing,2,FALSE)="Wavefold White",VLOOKUP(CONCATENATE('Tube Cutting'!E18,'Tube Cutting'!D18),TrackManufacturing,2,FALSE)="System 20 White"),(Bagging!D18="Top Fix Brackets")),Bagging!F18,""))</f>
        <v/>
      </c>
      <c r="AM10" s="8">
        <f>IF(D10="","",IF(AND(OR(VLOOKUP(CONCATENATE('Tube Cutting'!E18,'Tube Cutting'!D18),TrackManufacturing,2,FALSE)="Wavefold White",VLOOKUP(CONCATENATE('Tube Cutting'!E18,'Tube Cutting'!D18),TrackManufacturing,2,FALSE)="System 20 White"),(Bagging!D18="Single Face Fix Brackets")),Bagging!F18,""))</f>
        <v>7</v>
      </c>
      <c r="AN10" s="8" t="str">
        <f>IF(D10="","",IF(AND(OR(VLOOKUP(CONCATENATE('Tube Cutting'!E18,'Tube Cutting'!D18),TrackManufacturing,2,FALSE)="Wavefold White",VLOOKUP(CONCATENATE('Tube Cutting'!E18,'Tube Cutting'!D18),TrackManufacturing,2,FALSE)="System 20 White"),(Bagging!D18="Double Face Fix Brackets")),Bagging!F18,""))</f>
        <v/>
      </c>
      <c r="AO10" s="8" t="str">
        <f>IF(D10="","",IF(AND(OR(VLOOKUP(CONCATENATE('Tube Cutting'!E18,'Tube Cutting'!D18),TrackManufacturing,2,FALSE)="Wavefold White",VLOOKUP(CONCATENATE('Tube Cutting'!E18,'Tube Cutting'!D18),TrackManufacturing,2,FALSE)="System 20 White"),(Bagging!D18="Triple Face Fix Brackets")),Bagging!F18,""))</f>
        <v/>
      </c>
      <c r="AP10" s="8" t="str">
        <f>IF(D10="","",IF(AND(OR(VLOOKUP(CONCATENATE('Tube Cutting'!E18,'Tube Cutting'!D18),TrackManufacturing,2,FALSE)="Wavefold Black",VLOOKUP(CONCATENATE('Tube Cutting'!E18,'Tube Cutting'!D18),TrackManufacturing,2,FALSE)="System 20 Black"),(Bagging!D18="Top Fix Brackets")),Bagging!F18,""))</f>
        <v/>
      </c>
      <c r="AQ10" s="8" t="str">
        <f>IF(D10="","",IF(AND(OR(VLOOKUP(CONCATENATE('Tube Cutting'!E18,'Tube Cutting'!D18),TrackManufacturing,2,FALSE)="Wavefold Black",VLOOKUP(CONCATENATE('Tube Cutting'!E18,'Tube Cutting'!D18),TrackManufacturing,2,FALSE)="System 20 Black"),(Bagging!D18="Single Face Fix Brackets")),Bagging!F18,""))</f>
        <v/>
      </c>
      <c r="AR10" s="8" t="str">
        <f>IF(D10="","",IF(AND(OR(VLOOKUP(CONCATENATE('Tube Cutting'!E18,'Tube Cutting'!D18),TrackManufacturing,2,FALSE)="Wavefold Black",VLOOKUP(CONCATENATE('Tube Cutting'!E18,'Tube Cutting'!D18),TrackManufacturing,2,FALSE)="System 20 Black"),(Bagging!D18="Double Face Fix Brackets")),Bagging!F18,""))</f>
        <v/>
      </c>
      <c r="AS10" s="8" t="str">
        <f>IF(D10="","",IF(AND(OR(VLOOKUP(CONCATENATE('Tube Cutting'!E18,'Tube Cutting'!D18),TrackManufacturing,2,FALSE)="Wavefold Black",VLOOKUP(CONCATENATE('Tube Cutting'!E18,'Tube Cutting'!D18),TrackManufacturing,2,FALSE)="System 20 Black"),(Bagging!D18="Triple Face Fix Brackets")),Bagging!F18,""))</f>
        <v/>
      </c>
      <c r="AT10" s="8" t="str">
        <f>IF(D10="","",IF(AND(OR(VLOOKUP(CONCATENATE('Tube Cutting'!E18,'Tube Cutting'!D18),TrackManufacturing,2,FALSE)="Wavefold Matt Satin",VLOOKUP(CONCATENATE('Tube Cutting'!E18,'Tube Cutting'!D18),TrackManufacturing,2,FALSE)="System 20 Matt Satin"),(Bagging!D18="Top Fix Brackets")),Bagging!F18,""))</f>
        <v/>
      </c>
      <c r="AU10" s="8" t="str">
        <f>IF(D10="","",IF(AND(OR(VLOOKUP(CONCATENATE('Tube Cutting'!E18,'Tube Cutting'!D18),TrackManufacturing,2,FALSE)="Wavefold Matt Satin",VLOOKUP(CONCATENATE('Tube Cutting'!E18,'Tube Cutting'!D18),TrackManufacturing,2,FALSE)="System 20 Matt Satin"),(Bagging!D18="Single Face Fix Brackets")),Bagging!F18,""))</f>
        <v/>
      </c>
      <c r="AV10" s="8" t="str">
        <f>IF(D10="","",IF(AND(OR(VLOOKUP(CONCATENATE('Tube Cutting'!E18,'Tube Cutting'!D18),TrackManufacturing,2,FALSE)="Wavefold Matt Satin",VLOOKUP(CONCATENATE('Tube Cutting'!E18,'Tube Cutting'!D18),TrackManufacturing,2,FALSE)="System 20 Matt Satin"),(Bagging!D18="Double Face Fix Brackets")),Bagging!F18,""))</f>
        <v/>
      </c>
      <c r="AW10" s="8" t="str">
        <f>IF(D10="","",IF(AND(OR(VLOOKUP(CONCATENATE('Tube Cutting'!E18,'Tube Cutting'!D18),TrackManufacturing,2,FALSE)="Wavefold Matt Satin",VLOOKUP(CONCATENATE('Tube Cutting'!E18,'Tube Cutting'!D18),TrackManufacturing,2,FALSE)="System 20 Matt Satin"),(Bagging!D18="Triple Face Fix Brackets")),Bagging!F18,""))</f>
        <v/>
      </c>
      <c r="AX10" s="8" t="str">
        <f>IF(D10="","",IF(AND(VLOOKUP(CONCATENATE('Tube Cutting'!E18,'Tube Cutting'!D18),TrackManufacturing,2,FALSE)="Streamline White",(Bagging!D18="Nylon Top Fix Brackets")),VLOOKUP('Job Sheet'!BP18,Brackets,2,TRUE),""))</f>
        <v/>
      </c>
      <c r="AY10" s="8" t="str">
        <f>IF(D10="","",IF(AND(VLOOKUP(CONCATENATE('Tube Cutting'!E18,'Tube Cutting'!D18),TrackManufacturing,2,FALSE)="Streamline White",(Bagging!D18="Metal Fix Brackets")),VLOOKUP('Job Sheet'!BP18,Brackets,2,TRUE),""))</f>
        <v/>
      </c>
      <c r="AZ10" s="8" t="str">
        <f>IF(D10="","",IF(AND(VLOOKUP(CONCATENATE('Tube Cutting'!E18,'Tube Cutting'!D18),TrackManufacturing,2,FALSE)="Streamline White",(Bagging!D18="Single Face Fix Brackets")),Bagging!F18,""))</f>
        <v/>
      </c>
      <c r="BA10" s="8" t="str">
        <f>IF(D10="","",IF(AND(VLOOKUP(CONCATENATE('Tube Cutting'!E18,'Tube Cutting'!D18),TrackManufacturing,2,FALSE)="Streamline White",(Bagging!D18="Double Face Fix Brackets")),Bagging!F18,""))</f>
        <v/>
      </c>
      <c r="BB10" s="8" t="str">
        <f>IF(D10="","",IF(AND(VLOOKUP(CONCATENATE('Tube Cutting'!E18,'Tube Cutting'!D18),TrackManufacturing,2,FALSE)="Streamline White",(Bagging!D18="Triple Face Fix Brackets")),Bagging!F18,""))</f>
        <v/>
      </c>
      <c r="BC10" s="8" t="str">
        <f>IF(D10="","",IF(AND(VLOOKUP(CONCATENATE('Tube Cutting'!E18,'Tube Cutting'!D18),TrackManufacturing,2,FALSE)="Streamline White",(Bagging!D18="32mm Face Fix Brackets")),Bagging!F18,""))</f>
        <v/>
      </c>
      <c r="BD10" s="8" t="str">
        <f>IF(D10="","",IF(AND(VLOOKUP(CONCATENATE('Tube Cutting'!E18,'Tube Cutting'!D18),TrackManufacturing,2,FALSE)="Streamline Matt Black Ink",(Bagging!D18="Top Fix Brackets")),VLOOKUP('Job Sheet'!BP18,Brackets,2,TRUE),""))</f>
        <v/>
      </c>
      <c r="BE10" s="8" t="str">
        <f>IF(D10="","",IF(AND(VLOOKUP(CONCATENATE('Tube Cutting'!E18,'Tube Cutting'!D18),TrackManufacturing,2,FALSE)="Streamline White",(Bagging!D18="Metal Fix Brackets")),VLOOKUP('Job Sheet'!BP18,Brackets,2,TRUE),""))</f>
        <v/>
      </c>
      <c r="BF10" s="8" t="str">
        <f>IF(D10="","",IF(AND(VLOOKUP(CONCATENATE('Tube Cutting'!E18,'Tube Cutting'!D18),TrackManufacturing,2,FALSE)="Streamline Matt Black Ink",(Bagging!D18="Single Face Fix Brackets")),Bagging!F18,""))</f>
        <v/>
      </c>
      <c r="BG10" s="8" t="str">
        <f>IF(D10="","",IF(AND(VLOOKUP(CONCATENATE('Tube Cutting'!E18,'Tube Cutting'!D18),TrackManufacturing,2,FALSE)="Streamline Matt Black Ink",(Bagging!D18="Double Face Fix Brackets")),Bagging!F18,""))</f>
        <v/>
      </c>
      <c r="BH10" s="8" t="str">
        <f>IF(D10="","",IF(AND(VLOOKUP(CONCATENATE('Tube Cutting'!E18,'Tube Cutting'!D18),TrackManufacturing,2,FALSE)="Streamline Matt Black Ink",(Bagging!D18="Triple Face Fix Brackets")),Bagging!F18,""))</f>
        <v/>
      </c>
      <c r="BI10" s="8" t="str">
        <f>IF(D10="","",IF(AND(VLOOKUP(CONCATENATE('Tube Cutting'!E18,'Tube Cutting'!D18),TrackManufacturing,2,FALSE)="Streamline Matt Black Ink",(Bagging!D18="32mm Face Fix Brackets")),Bagging!F18,""))</f>
        <v/>
      </c>
      <c r="BJ10" s="8" t="str">
        <f>IF(D10="","",IF(AND(VLOOKUP(CONCATENATE('Tube Cutting'!E18,'Tube Cutting'!D18),TrackManufacturing,2,FALSE)="Streamline Birch White",(Bagging!D18="Top Fix Brackets")),VLOOKUP('Job Sheet'!BP18,Brackets,2,TRUE),""))</f>
        <v/>
      </c>
      <c r="BK10" s="8" t="str">
        <f>IF(D10="","",IF(AND(VLOOKUP(CONCATENATE('Tube Cutting'!E18,'Tube Cutting'!D18),TrackManufacturing,2,FALSE)="Streamline White",(Bagging!D18="Metal Fix Brackets")),VLOOKUP('Job Sheet'!BP18,Brackets,2,TRUE),""))</f>
        <v/>
      </c>
      <c r="BL10" s="8" t="str">
        <f>IF(D10="","",IF(AND(VLOOKUP(CONCATENATE('Tube Cutting'!E18,'Tube Cutting'!D18),TrackManufacturing,2,FALSE)="Streamline Birch White",(Bagging!D18="Single Face Fix Brackets")),Bagging!F18,""))</f>
        <v/>
      </c>
      <c r="BM10" s="8" t="str">
        <f>IF(D10="","",IF(AND(VLOOKUP(CONCATENATE('Tube Cutting'!E18,'Tube Cutting'!D18),TrackManufacturing,2,FALSE)="Streamline Birch White",(Bagging!D18="Double Face Fix Brackets")),Bagging!F18,""))</f>
        <v/>
      </c>
      <c r="BN10" s="8" t="str">
        <f>IF(D10="","",IF(AND(VLOOKUP(CONCATENATE('Tube Cutting'!E18,'Tube Cutting'!D18),TrackManufacturing,2,FALSE)="Streamline Birch White",(Bagging!D18="Triple Face Fix Brackets")),Bagging!F18,""))</f>
        <v/>
      </c>
      <c r="BO10" s="8" t="str">
        <f>IF(D10="","",IF(AND(VLOOKUP(CONCATENATE('Tube Cutting'!E18,'Tube Cutting'!D18),TrackManufacturing,2,FALSE)="Streamline Birch White",(Bagging!D18="32mm Face Fix Brackets")),Bagging!F18,""))</f>
        <v/>
      </c>
      <c r="BP10" s="8" t="str">
        <f>IF(K10="","",IF(AND(VLOOKUP(CONCATENATE('Tube Cutting'!K18,'Tube Cutting'!J18),TrackManufacturing,2,FALSE)="Streamline Birch White",(Bagging!J18="Top Fix Brackets")),VLOOKUP('Job Sheet'!BU18,Brackets,2,TRUE),""))</f>
        <v/>
      </c>
      <c r="BQ10" s="8" t="str">
        <f>IF(K10="","",IF(AND(VLOOKUP(CONCATENATE('Tube Cutting'!K18,'Tube Cutting'!J18),TrackManufacturing,2,FALSE)="Streamline White",(Bagging!J18="Metal Fix Brackets")),VLOOKUP('Job Sheet'!BU18,Brackets,2,TRUE),""))</f>
        <v/>
      </c>
      <c r="BR10" s="8" t="str">
        <f>IF(K10="","",IF(AND(VLOOKUP(CONCATENATE('Tube Cutting'!K18,'Tube Cutting'!J18),TrackManufacturing,2,FALSE)="Streamline Birch White",(Bagging!J18="Single Face Fix Brackets")),Bagging!L18,""))</f>
        <v/>
      </c>
      <c r="BS10" s="8" t="str">
        <f>IF(K10="","",IF(AND(VLOOKUP(CONCATENATE('Tube Cutting'!K18,'Tube Cutting'!J18),TrackManufacturing,2,FALSE)="Streamline Birch White",(Bagging!J18="Double Face Fix Brackets")),Bagging!L18,""))</f>
        <v/>
      </c>
      <c r="BT10" s="8" t="str">
        <f>IF(K10="","",IF(AND(VLOOKUP(CONCATENATE('Tube Cutting'!K18,'Tube Cutting'!J18),TrackManufacturing,2,FALSE)="Streamline Birch White",(Bagging!J18="Triple Face Fix Brackets")),Bagging!L18,""))</f>
        <v/>
      </c>
      <c r="BU10" s="8" t="str">
        <f>IF(K10="","",IF(AND(VLOOKUP(CONCATENATE('Tube Cutting'!K18,'Tube Cutting'!J18),TrackManufacturing,2,FALSE)="Streamline Birch White",(Bagging!J18="32mm Face Fix Brackets")),Bagging!L18,""))</f>
        <v/>
      </c>
      <c r="BV10" s="8" t="str">
        <f>IF(AND('Tube Cutting'!D18="White",Bagging!D18="Top Fix Brackets"),Bagging!F18,"")</f>
        <v/>
      </c>
      <c r="BW10" s="8">
        <f>IF(AND('Tube Cutting'!D18="White",Bagging!D18="Single Face Fix Brackets"),Bagging!F18,"")</f>
        <v>7</v>
      </c>
      <c r="BX10" s="8" t="str">
        <f>IF(AND('Tube Cutting'!D18="White",Bagging!D18="Double Face Fix Brackets"),Bagging!F18,"")</f>
        <v/>
      </c>
      <c r="BY10" s="8" t="str">
        <f>IF(AND('Tube Cutting'!D18="White",Bagging!D18="Triple Face Fix Brackets"),Bagging!F18,"")</f>
        <v/>
      </c>
      <c r="BZ10" s="8" t="str">
        <f>IF(AND('Tube Cutting'!D18="Black",Bagging!D18="Top Fix Brackets"),Bagging!F18,"")</f>
        <v/>
      </c>
      <c r="CA10" s="8" t="str">
        <f>IF(AND('Tube Cutting'!D18="Black",Bagging!D18="Single Face Fix Brackets"),Bagging!F18,"")</f>
        <v/>
      </c>
      <c r="CB10" s="8" t="str">
        <f>IF(AND('Tube Cutting'!D18="Black",Bagging!D18="Double Face Fix Brackets"),Bagging!F18,"")</f>
        <v/>
      </c>
      <c r="CC10" s="8" t="str">
        <f>IF(AND('Tube Cutting'!D18="Black",Bagging!D18="Triple Fix Brackets"),Bagging!F18,"")</f>
        <v/>
      </c>
      <c r="CD10" s="8" t="str">
        <f>IF(AND('Tube Cutting'!D18="Matt Satin",Bagging!D18="Top Fix Brackets"),Bagging!F18,"")</f>
        <v/>
      </c>
      <c r="CE10" s="8" t="str">
        <f>IF(AND('Tube Cutting'!D18="Matt Satin",Bagging!D18="Single Face Fix Brackets"),Bagging!F18,"")</f>
        <v/>
      </c>
      <c r="CF10" s="8" t="str">
        <f>IF(AND('Tube Cutting'!D18="Matt Satin",Bagging!D18="Double Face Fix Brackets"),Bagging!F18,"")</f>
        <v/>
      </c>
      <c r="CG10" s="8" t="str">
        <f>IF(AND('Tube Cutting'!D18="Matt Satin",Bagging!D18="Triple Fix Brackets"),Bagging!F18,"")</f>
        <v/>
      </c>
      <c r="CH10" s="8" t="str">
        <f>IF(D10="","",IF(AND('Tube Cutting'!D18="White",(OR(Bagging!J18="Single Left",Bagging!J18="Single Left &amp; Right"))),"1",""))</f>
        <v/>
      </c>
      <c r="CI10" s="8" t="str">
        <f>IF(D10="","",IF(AND('Tube Cutting'!D18="Black",(OR(Bagging!J18="Single Left",Bagging!J18="Single Left &amp; Right"))),"1",""))</f>
        <v/>
      </c>
      <c r="CJ10" s="8" t="str">
        <f>IF(D10="","",IF(AND('Tube Cutting'!D18="Matt Satin",(OR(Bagging!J18="Single Left",Bagging!J18="Single Left &amp; Right"))),"1",""))</f>
        <v/>
      </c>
      <c r="CK10" s="8" t="str">
        <f>IF(D10="","",IF(AND('Tube Cutting'!D18="White",(OR(Bagging!J18="Single Right",Bagging!J18="Single Left &amp; Right"))),"1",""))</f>
        <v/>
      </c>
      <c r="CL10" s="8" t="str">
        <f>IF(D10="","",IF(AND('Tube Cutting'!D18="Black",(OR(Bagging!J18="Single Right",Bagging!J18="Single Left &amp; Right"))),"1",""))</f>
        <v/>
      </c>
      <c r="CM10" s="8" t="str">
        <f>IF(D10="","",IF(AND('Tube Cutting'!D18="Matt Satin",(OR(Bagging!J18="Single Right",Bagging!J18="Single Left &amp; Right"))),"1",""))</f>
        <v/>
      </c>
      <c r="CN10" s="8" t="str">
        <f>IF(D10="","",IF(AND('Tube Cutting'!D18="White",(OR(Bagging!J18="Double Left",Bagging!J18="Double Left &amp; Right"))),"1",""))</f>
        <v/>
      </c>
      <c r="CO10" s="8" t="str">
        <f>IF(D10="","",IF(AND('Tube Cutting'!D18="Black",(OR(Bagging!J18="Double Left",Bagging!J18="Double Left &amp; Right"))),"1",""))</f>
        <v/>
      </c>
      <c r="CP10" s="8" t="str">
        <f>IF(D10="","",IF(AND('Tube Cutting'!D18="Matt Satin",(OR(Bagging!J18="Double Left",Bagging!J18="Double Left &amp; Right"))),"1",""))</f>
        <v/>
      </c>
      <c r="CQ10" s="8" t="str">
        <f>IF(D10="","",IF(AND('Tube Cutting'!D18="White",(OR(Bagging!J18="Double Right",Bagging!J18="Double Left &amp; Right"))),"1",""))</f>
        <v/>
      </c>
      <c r="CR10" s="8" t="str">
        <f>IF(D10="","",IF(AND('Tube Cutting'!D18="Black",(OR(Bagging!J18="Double Right",Bagging!J18="Double Left &amp; Right"))),"1",""))</f>
        <v/>
      </c>
      <c r="CS10" s="8" t="str">
        <f>IF(D10="","",IF(AND('Tube Cutting'!D18="Matt Satin",(OR(Bagging!J18="Double Right",Bagging!J18="Double Left &amp; Right"))),"1",""))</f>
        <v/>
      </c>
      <c r="CT10" s="8" t="str">
        <f>IF(D10="","",IF(VLOOKUP(CONCATENATE('Tube Cutting'!E18,'Tube Cutting'!D18),TrackManufacturing,2,FALSE)="Streamline White",1,""))</f>
        <v/>
      </c>
      <c r="CU10" s="8" t="str">
        <f>IF(D10="","",IF(VLOOKUP(CONCATENATE('Tube Cutting'!E18,'Tube Cutting'!D18),TrackManufacturing,2,FALSE)="Streamline Matt Black Ink",1,""))</f>
        <v/>
      </c>
      <c r="CV10" s="8" t="str">
        <f>IF(D10="","",IF(VLOOKUP(CONCATENATE('Tube Cutting'!E18,'Tube Cutting'!D18),TrackManufacturing,2,FALSE)="Streamline Birch White",1,""))</f>
        <v/>
      </c>
      <c r="CW10" s="8" t="str">
        <f>IF(D10="","",IF(VLOOKUP(CONCATENATE('Tube Cutting'!E18,'Tube Cutting'!D18),TrackManufacturing,2,FALSE)="Streamline Matt Satin",1,""))</f>
        <v/>
      </c>
      <c r="CX10" s="8" t="str">
        <f>IF(D10="","",IF(AND(VLOOKUP(CONCATENATE('Tube Cutting'!E18,'Tube Cutting'!D18),TrackManufacturing,2,FALSE)="Streamline White",(OR(Assembly!F18="Centre Opening",Assembly!F18="Centre Opening - Free Flowing",Assembly!F18="Centre Opening (Offset)",Assembly!F18="Centre Opening - Free Flowing (Offset)"))),1,""))</f>
        <v/>
      </c>
      <c r="CY10" s="8" t="str">
        <f>IF(D10="","",IF(AND(VLOOKUP(CONCATENATE('Tube Cutting'!E18,'Tube Cutting'!D18),TrackManufacturing,2,FALSE)="Streamline Matt Black Ink",(OR(Assembly!F18="Centre Opening",Assembly!F18="Centre Opening - Free Flowing",Assembly!F18="Centre Opening (Offset)",Assembly!F18="Centre Opening - Free Flowing (Offset)"))),1,""))</f>
        <v/>
      </c>
      <c r="CZ10" s="8" t="str">
        <f>IF(D10="","",IF(AND(VLOOKUP(CONCATENATE('Tube Cutting'!E18,'Tube Cutting'!D18),TrackManufacturing,2,FALSE)="Streamline Birch White",(OR(Assembly!F18="Centre Opening",Assembly!F18="Centre Opening - Free Flowing",Assembly!F18="Centre Opening (Offset)",Assembly!F18="Centre Opening - Free Flowing (Offset)"))),1,""))</f>
        <v/>
      </c>
      <c r="DA10" s="8" t="str">
        <f>IF(D10="","",IF(AND(VLOOKUP(CONCATENATE('Tube Cutting'!E18,'Tube Cutting'!D18),TrackManufacturing,2,FALSE)="Streamline Matt Satin",(OR(Assembly!F18="Centre Opening",Assembly!F18="Centre Opening - Free Flowing",Assembly!F18="Centre Opening (Offset)",Assembly!F18="Centre Opening - Free Flowing (Offset)"))),1,""))</f>
        <v/>
      </c>
      <c r="DB10" s="8" t="str">
        <f>IF(OR('Job Sheet'!Z18="Conduit",I10&lt;&gt;"DBS to Make"),"",IF(VLOOKUP(CONCATENATE(Assembly!C18,Assembly!F18),PulleysEndCaps,2,FALSE)="","",IF('Tube Cutting'!D18="White",VLOOKUP(CONCATENATE(Assembly!C18,Assembly!F18),PulleysEndCaps,2,FALSE),"")))</f>
        <v/>
      </c>
      <c r="DC10" s="8" t="str">
        <f>IF(OR('Job Sheet'!Z18="Conduit",I10&lt;&gt;"DBS to Make"),"",IF(VLOOKUP(CONCATENATE(Assembly!C18,Assembly!F18),PulleysEndCaps,2,FALSE)="","",IF('Tube Cutting'!D18="Black",VLOOKUP(CONCATENATE(Assembly!C18,Assembly!F18),PulleysEndCaps,2,FALSE),"")))</f>
        <v/>
      </c>
      <c r="DD10" s="8" t="str">
        <f>IF(OR('Job Sheet'!Z18="Conduit",I10&lt;&gt;"DBS to Make"),"",IF(VLOOKUP(CONCATENATE(Assembly!C18,Assembly!F18),PulleysEndCaps,2,FALSE)="","",IF('Tube Cutting'!D18="Matt Satin",VLOOKUP(CONCATENATE(Assembly!C18,Assembly!F18),PulleysEndCaps,2,FALSE),"")))</f>
        <v/>
      </c>
      <c r="DE10" s="8" t="str">
        <f>IF(OR('Job Sheet'!Z18="Conduit",I10&lt;&gt;"DBS to Make"),"",IF(VLOOKUP(CONCATENATE(Assembly!C18,Assembly!F18),PulleysEndCaps,3,FALSE)="","",IF('Tube Cutting'!D18="White",VLOOKUP(CONCATENATE(Assembly!C18,Assembly!F18),PulleysEndCaps,3,FALSE),"")))</f>
        <v/>
      </c>
      <c r="DF10" s="8" t="str">
        <f>IF(OR('Job Sheet'!Z18="Conduit",I10&lt;&gt;"DBS to Make"),"",IF(VLOOKUP(CONCATENATE(Assembly!C18,Assembly!F18),PulleysEndCaps,3,FALSE)="","",IF('Tube Cutting'!D18="Black",VLOOKUP(CONCATENATE(Assembly!C18,Assembly!F18),PulleysEndCaps,3,FALSE),"")))</f>
        <v/>
      </c>
      <c r="DG10" s="8" t="str">
        <f>IF(OR('Job Sheet'!Z18="Conduit",I10&lt;&gt;"DBS to Make"),"",IF(VLOOKUP(CONCATENATE(Assembly!C18,Assembly!F18),PulleysEndCaps,3,FALSE)="","",IF('Tube Cutting'!D18="Matt Satin",VLOOKUP(CONCATENATE(Assembly!C18,Assembly!F18),PulleysEndCaps,3,FALSE),"")))</f>
        <v/>
      </c>
      <c r="DH10" s="8" t="str">
        <f>IF(OR('Job Sheet'!Z18="Conduit",I10&lt;&gt;"DBS to Make"),"",IF(VLOOKUP(CONCATENATE(Assembly!C18,Assembly!F18),PulleysEndCaps,6,FALSE)="","",IF('Tube Cutting'!D18="White",VLOOKUP(CONCATENATE(Assembly!C18,Assembly!F18),PulleysEndCaps,6,FALSE),"")))</f>
        <v/>
      </c>
      <c r="DI10" s="8" t="str">
        <f>IF(OR('Job Sheet'!Z18="Conduit",I10&lt;&gt;"DBS to Make"),"",IF(VLOOKUP(CONCATENATE(Assembly!C18,Assembly!F18),PulleysEndCaps,6,FALSE)="","",IF('Tube Cutting'!D18="Matt Black Ink",VLOOKUP(CONCATENATE(Assembly!C18,Assembly!F18),PulleysEndCaps,6,FALSE),"")))</f>
        <v/>
      </c>
      <c r="DJ10" s="8" t="str">
        <f>IF(OR('Job Sheet'!Z18="Conduit",I10&lt;&gt;"DBS to Make"),"",IF(VLOOKUP(CONCATENATE(Assembly!C18,Assembly!F18),PulleysEndCaps,6,FALSE)="","",IF('Tube Cutting'!D18="Birch White",VLOOKUP(CONCATENATE(Assembly!C18,Assembly!F18),PulleysEndCaps,6,FALSE),"")))</f>
        <v/>
      </c>
      <c r="DK10" s="8" t="str">
        <f>IF(OR('Job Sheet'!Z18="Conduit",'Job Sheet'!Z18="Conduit x 2",I10&lt;&gt;"DBS to Make"),"",IF(VLOOKUP(CONCATENATE(Assembly!C18,Assembly!F18),PulleysEndCaps,6,FALSE)="","",IF('Tube Cutting'!D18="Matt Satin",VLOOKUP(CONCATENATE(Assembly!C18,Assembly!F18),PulleysEndCaps,6,FALSE),"")))</f>
        <v/>
      </c>
      <c r="DL10" s="8" t="str">
        <f>IF(OR('Job Sheet'!Z18="Conduit",I10&lt;&gt;"DBS to Make"),"",IF(VLOOKUP(CONCATENATE(Assembly!C18,Assembly!F18),PulleysEndCaps,4,FALSE)="","",VLOOKUP(CONCATENATE(Assembly!C18,Assembly!F18),PulleysEndCaps,4,FALSE)))</f>
        <v/>
      </c>
      <c r="DM10" s="8" t="str">
        <f>IF(OR('Job Sheet'!Z18="Conduit",I10&lt;&gt;"DBS to Make"),"",IF(VLOOKUP(CONCATENATE(Assembly!C18,Assembly!F18),PulleysEndCaps,7,FALSE)="","",VLOOKUP(CONCATENATE(Assembly!C18,Assembly!F18),PulleysEndCaps,7,FALSE)))</f>
        <v/>
      </c>
      <c r="DN10" s="8" t="str">
        <f>IF(D10="","",IF(AND(OR(VLOOKUP(CONCATENATE('Tube Cutting'!E18,'Tube Cutting'!D18),TrackManufacturing,2,FALSE)="Wavefold White",VLOOKUP(CONCATENATE('Tube Cutting'!E18,'Tube Cutting'!D18),TrackManufacturing,2,FALSE)="Wavefold Black",VLOOKUP(CONCATENATE('Tube Cutting'!E18,'Tube Cutting'!D18),TrackManufacturing,2,FALSE)="Wavefold Matt Satin",VLOOKUP(CONCATENATE('Tube Cutting'!E18,'Tube Cutting'!D18),TrackManufacturing,2,FALSE)="System 20 White",VLOOKUP(CONCATENATE('Tube Cutting'!E18,'Tube Cutting'!D18),TrackManufacturing,2,FALSE)="System 20 Black",VLOOKUP(CONCATENATE('Tube Cutting'!E18,'Tube Cutting'!D18),TrackManufacturing,2,FALSE)="System 20 Matt Satin"),'Tube Cutting'!C18&gt;6000),1,""))</f>
        <v/>
      </c>
      <c r="DO10" s="8" t="str">
        <f>IF(D10="","",IF(AND(OR(VLOOKUP(CONCATENATE('Tube Cutting'!E18,'Tube Cutting'!D18),TrackManufacturing,2,FALSE)="Streamline White",VLOOKUP(CONCATENATE('Tube Cutting'!E18,'Tube Cutting'!D18),TrackManufacturing,2,FALSE)="Streamline Black",VLOOKUP(CONCATENATE('Tube Cutting'!E18,'Tube Cutting'!D18),TrackManufacturing,2,FALSE)="Streamline Birch White",VLOOKUP(CONCATENATE('Tube Cutting'!E18,'Tube Cutting'!D18),TrackManufacturing,2,FALSE)="Streamline Matt Satin"),'Tube Cutting'!C18&gt;6000),1,""))</f>
        <v/>
      </c>
      <c r="DP10" s="8">
        <f>IF(OR('Job Sheet'!Z18="Conduit",I10&lt;&gt;"DBS to Make"),"",IF(VLOOKUP(CONCATENATE(Assembly!C18,Assembly!F18),PulleysEndCaps,5,FALSE)="","",IF('Tube Cutting'!D18="White",VLOOKUP(CONCATENATE(Assembly!C18,Assembly!F18),PulleysEndCaps,5,FALSE),"")))</f>
        <v>2</v>
      </c>
      <c r="DQ10" s="8" t="str">
        <f>IF(OR('Job Sheet'!Z18="Conduit",I10&lt;&gt;"DBS to Make"),"",IF(VLOOKUP(CONCATENATE(Assembly!C18,Assembly!F18),PulleysEndCaps,5,FALSE)="","",IF('Tube Cutting'!D18="Black",VLOOKUP(CONCATENATE(Assembly!C18,Assembly!F18),PulleysEndCaps,5,FALSE),"")))</f>
        <v/>
      </c>
      <c r="DR10" s="8" t="str">
        <f>IF(OR('Job Sheet'!Z18="Conduit",I10&lt;&gt;"DBS to Make"),"",IF(VLOOKUP(CONCATENATE(Assembly!C18,Assembly!F18),PulleysEndCaps,5,FALSE)="","",IF('Tube Cutting'!D18="Matt Satin",VLOOKUP(CONCATENATE(Assembly!C18,Assembly!F18),PulleysEndCaps,5,FALSE),"")))</f>
        <v/>
      </c>
      <c r="DS10" s="8" t="str">
        <f>IF(OR('Job Sheet'!Z18="Conduit",I10&lt;&gt;"DBS to Make"),"",IF(VLOOKUP(CONCATENATE(Assembly!C18,Assembly!F18),PulleysEndCaps,8,FALSE)="","",IF('Tube Cutting'!D18="White",VLOOKUP(CONCATENATE(Assembly!C18,Assembly!F18),PulleysEndCaps,8,FALSE),"")))</f>
        <v/>
      </c>
      <c r="DT10" s="8" t="str">
        <f>IF(OR('Job Sheet'!Z18="Conduit",I10&lt;&gt;"DBS to Make"),"",IF(VLOOKUP(CONCATENATE(Assembly!C18,Assembly!F18),PulleysEndCaps,8,FALSE)="","",IF('Tube Cutting'!D18="Matt Black Ink",VLOOKUP(CONCATENATE(Assembly!C18,Assembly!F18),PulleysEndCaps,8,FALSE),"")))</f>
        <v/>
      </c>
      <c r="DU10" s="8" t="str">
        <f>IF(OR('Job Sheet'!Z18="Conduit",I10&lt;&gt;"DBS to Make"),"",IF(VLOOKUP(CONCATENATE(Assembly!C18,Assembly!F18),PulleysEndCaps,8,FALSE)="","",IF('Tube Cutting'!D18="Birch White",VLOOKUP(CONCATENATE(Assembly!C18,Assembly!F18),PulleysEndCaps,8,FALSE),"")))</f>
        <v/>
      </c>
      <c r="DV10" s="8" t="str">
        <f>IF(OR('Job Sheet'!Z18="Conduit",'Job Sheet'!Z18="Conduit x 2",I10&lt;&gt;"DBS to Make"),"",IF(VLOOKUP(CONCATENATE(Assembly!C18,Assembly!F18),PulleysEndCaps,8,FALSE)="","",IF('Tube Cutting'!D18="Matt Satin",VLOOKUP(CONCATENATE(Assembly!C18,Assembly!F18),PulleysEndCaps,8,FALSE),"")))</f>
        <v/>
      </c>
      <c r="DW10" s="8" t="str">
        <f>IF(D10="","",IF(AND(Assembly!C18="Wavefold Cord Operation",OR('Tube Cutting'!D18="White",'Tube Cutting'!D18="Matt Satin"),OR(Assembly!F18="Centre Opening",Assembly!F18="Centre Opening - Free Flowing",Assembly!F18="Centre Opening (Offset)",Assembly!F18="Centre Opening - Free Flowing (Offset)")),2,IF(AND(Assembly!C18="Wavefold Cord Operation",OR('Tube Cutting'!D18="White",'Tube Cutting'!D18="Matt Satin"),OR(Assembly!F18="Single Panel - Left Stacking",Assembly!F18="Single Panel - Right Stacking",Assembly!F18="Single Panel - Free Flowing")),1,"")))</f>
        <v/>
      </c>
      <c r="DX10" s="8" t="str">
        <f>IF(D10="","",IF(AND(AND(Assembly!C18="Wavefold Cord Operation",'Tube Cutting'!D18="Black",'Tube Cutting'!D18),(OR(Assembly!F18="Centre Opening",Assembly!F18="Centre Opening - Free Flowing",Assembly!F18="Centre Opening (Offset)",Assembly!F18="Centre Opening - Free Flowing (Offset)"))),2,IF(AND(AND(Assembly!C18="Wavefold Cord Operation",'Tube Cutting'!D18="Black",'Tube Cutting'!D18),(OR(Assembly!F18="Single Panel - Left Stacking",Assembly!F18="Single Panel - Right Stacking",Assembly!F18="Single Panel - Free Flowing"))),1,"")))</f>
        <v/>
      </c>
      <c r="DY10" s="8" t="str">
        <f>IF(D10="","",IF(AND(Assembly!C18="Wavefold Hand Operation",(OR('Tube Cutting'!D18="White",'Tube Cutting'!D18="White"))),Bagging!I18,""))</f>
        <v>2</v>
      </c>
      <c r="DZ10" s="8" t="str">
        <f>IF(D10="","",IF(AND(Assembly!C18="Wavefold Hand Operation",'Tube Cutting'!D18="Black"),Bagging!I18,""))</f>
        <v/>
      </c>
      <c r="EA10" s="8" t="str">
        <f>IF(OR(D10="",AI20="Straight"),"",IF(AND(OR('Tube Cutting'!E18="Streamline Cord Operation",'Tube Cutting'!E18="Streamline Hand Operation"),(OR(Assembly!F18="Centre Opening",Assembly!F18="Centre Opening - Free Flowing",Assembly!F18="Centre Opening (Offset)",Assembly!F18="Centre Opening - Free Flowing (Offset)"))),2,IF(AND(OR('Tube Cutting'!E18="Streamline Cord Operation",'Tube Cutting'!E18="Streamline Hand Operation"),(OR(Assembly!F18="Single Panel - Left Stacking",Assembly!F18="Single Panel - Right Stacking - Free Flowing",Assembly!F18="Single Panel - Free Flowing"))),1,"")))</f>
        <v/>
      </c>
      <c r="EB10" s="8" t="str">
        <f>IF(D10="","",IF(OR('Tube Cutting'!E18="Streamline Cord Operation",'Tube Cutting'!E18="Wavefold Cord Operation",'Tube Cutting'!E18="System 20 Light Commercial Track Cord Drawn"),1,""))</f>
        <v/>
      </c>
      <c r="EC10" s="8" t="str">
        <f>IF(D10="","",IF(VLOOKUP(CONCATENATE('Tube Cutting'!E18,'Tube Cutting'!D18),TrackManufacturing,2,FALSE)="System 20 White",1,""))</f>
        <v/>
      </c>
      <c r="ED10" s="8" t="str">
        <f>IF(D10="","",IF(VLOOKUP(CONCATENATE('Tube Cutting'!E18,'Tube Cutting'!D18),TrackManufacturing,2,FALSE)="System 20 Black",1,""))</f>
        <v/>
      </c>
      <c r="EE10" s="8" t="str">
        <f>IF(D10="","",IF(AND(VLOOKUP(CONCATENATE('Tube Cutting'!E18,'Tube Cutting'!D18),TrackManufacturing,2,FALSE)="System 20 White",(OR(Assembly!F18="Centre Opening",Assembly!F18="Centre Opening - Free Flowing",Assembly!F18="Centre Opening (Offset)",Assembly!F18="Centre Opening - Free Flowing (Offset)"))),1,""))</f>
        <v/>
      </c>
      <c r="EF10" s="8" t="str">
        <f>IF(D10="","",IF(AND(VLOOKUP(CONCATENATE('Tube Cutting'!E18,'Tube Cutting'!D18),TrackManufacturing,2,FALSE)="System 20 Black",(OR(Assembly!F18="Centre Opening",Assembly!F18="Centre Opening - Free Flowing",Assembly!F18="Centre Opening (Offset)",Assembly!F18="Centre Opening - Free Flowing (Offset)"))),1,""))</f>
        <v/>
      </c>
      <c r="EG10" s="125" t="str">
        <f>IF(D10="","",IF(OR(VLOOKUP(CONCATENATE('Tube Cutting'!E18,'Tube Cutting'!D18),TrackManufacturing,2,FALSE)="System 20 White",VLOOKUP(CONCATENATE('Tube Cutting'!E18,'Tube Cutting'!D18),TrackManufacturing,2,FALSE)="System 20 Black"),Assembly!G18,""))</f>
        <v/>
      </c>
      <c r="EH10" s="8" t="str">
        <f>IF('Tube Cutting'!E18="Conduit",'Job Sheet'!CB18,"")</f>
        <v/>
      </c>
      <c r="EI10" s="8" t="str">
        <f>IF(Bagging!D18="Muslin Brackets",2,IF(Bagging!D18="Muslin Brackets Top and Bottom",4,""))</f>
        <v/>
      </c>
      <c r="EJ10" s="8" t="str">
        <f>IF(Bagging!D18="100mm Unstayed Brackets with Acorns",2,"")</f>
        <v/>
      </c>
      <c r="EK10" s="8" t="str">
        <f>IF(Bagging!D18="25mm Brackets with Acorns",2,IF('Job Sheet'!AJ18="1 (Conduit)",2,IF('Job Sheet'!AJ18="2 (Conduit)",4,IF('Job Sheet'!AJ18="3 (Conduit)",6,IF('Job Sheet'!AJ18="4 (Conduit)",8,"")))))</f>
        <v/>
      </c>
      <c r="EL10" s="8" t="str">
        <f>IF(OR(Bagging!D18="25mm Brackets with Acorns",Bagging!D18="100mm Unstayed Brackets with Acorns"),2,"")</f>
        <v/>
      </c>
      <c r="EM10" s="8" t="str">
        <f>IF('Job Sheet'!AJ18="1 (Conduit)",1,IF('Job Sheet'!AJ18="2 (Conduit)",2,IF('Job Sheet'!AJ18="3 (Conduit)",3,IF('Job Sheet'!AJ18="4 (Conduit)",4,""))))</f>
        <v/>
      </c>
    </row>
    <row r="11" spans="1:143" ht="12" customHeight="1">
      <c r="A11" s="8"/>
      <c r="B11" s="8"/>
      <c r="C11" s="8"/>
      <c r="D11" s="8" t="str">
        <f>IF(Data!AW19="","",CONCATENATE(Data!BC$5,".",Data!BD$5))</f>
        <v>39776.F</v>
      </c>
      <c r="E11" s="8">
        <f>IF(D11="","",Data!AW19)</f>
        <v>36</v>
      </c>
      <c r="F11" s="8" t="str">
        <f>IF(D11="","",Data!AV19)</f>
        <v>b9decf4d-bb07-4d0b-9d4a-99e7fcc53924</v>
      </c>
      <c r="G11" s="8" t="str">
        <f>IF(D11="","",Data!BF$5)</f>
        <v>Hare, Kaitlin</v>
      </c>
      <c r="H11" s="8" t="str">
        <f>IF(D11="","",Data!AX$5)</f>
        <v>Whole House</v>
      </c>
      <c r="I11" s="8" t="str">
        <f>IF(D11="","",'Job Sheet'!BH19)</f>
        <v>DBS to Make</v>
      </c>
      <c r="J11" s="8">
        <f>IF(D11="","",IF(OR(VLOOKUP(CONCATENATE('Tube Cutting'!E19,'Tube Cutting'!D19),TrackManufacturing,2,FALSE)="Wavefold White",VLOOKUP(CONCATENATE('Tube Cutting'!E19,'Tube Cutting'!D19),TrackManufacturing,2,FALSE)="Wavefold Black",VLOOKUP(CONCATENATE('Tube Cutting'!E19,'Tube Cutting'!D19),TrackManufacturing,2,FALSE)="Wavefold Matt Satin"),('Job Sheet'!BP19*2)/1000,""))</f>
        <v>8.03</v>
      </c>
      <c r="K11" s="125">
        <f>IF(D11="","",IF(OR(VLOOKUP(CONCATENATE('Tube Cutting'!E19,'Tube Cutting'!D19),TrackManufacturing,2,FALSE)="Wavefold White",VLOOKUP(CONCATENATE('Tube Cutting'!E19,'Tube Cutting'!D19),TrackManufacturing,2,FALSE)="Wavefold Matt Satin"),J11*10,""))</f>
        <v>80.3</v>
      </c>
      <c r="L11" s="125" t="str">
        <f>IF(D11="","",IF(VLOOKUP(CONCATENATE('Tube Cutting'!E19,'Tube Cutting'!D19),TrackManufacturing,2,FALSE)="Wavefold Black",J11*10,""))</f>
        <v/>
      </c>
      <c r="M11" s="126">
        <f>IF(D11="","",IF(OR(VLOOKUP(CONCATENATE('Tube Cutting'!E19,'Tube Cutting'!D19),TrackManufacturing,2,FALSE)="Wavefold White",VLOOKUP(CONCATENATE('Tube Cutting'!E19,'Tube Cutting'!D19),TrackManufacturing,2,FALSE)="System 20 White"),'Tube Cutting'!C19/1000,""))</f>
        <v>3.954</v>
      </c>
      <c r="N11" s="126" t="str">
        <f>IF(D11="","",IF(OR(VLOOKUP(CONCATENATE('Tube Cutting'!E19,'Tube Cutting'!D19),TrackManufacturing,2,FALSE)="Wavefold Black",VLOOKUP(CONCATENATE('Tube Cutting'!E19,'Tube Cutting'!D19),TrackManufacturing,2,FALSE)="System 20 Black"),'Tube Cutting'!C19/1000,""))</f>
        <v/>
      </c>
      <c r="O11" s="126" t="str">
        <f>IF(D11="","",IF(OR(VLOOKUP(CONCATENATE('Tube Cutting'!E19,'Tube Cutting'!D19),TrackManufacturing,2,FALSE)="Wavefold Matt Satin",VLOOKUP(CONCATENATE('Tube Cutting'!E19,'Tube Cutting'!D19),TrackManufacturing,2,FALSE)="System 20 Matt Satin"),'Tube Cutting'!C19/1000,""))</f>
        <v/>
      </c>
      <c r="P11" s="125">
        <f>IF(D11="","",IF(AND((OR('Tube Cutting'!D19="White",'Tube Cutting'!D19="Matt Satin")),(OR('Tube Cutting'!E19="Wavefold Hand Operation",'Tube Cutting'!E19="Wavefold Cord Operation"))),IF(M11="",O11*20,M11*20),""))</f>
        <v>79.08</v>
      </c>
      <c r="Q11" s="125" t="str">
        <f>IF(D11="","",IF(AND('Tube Cutting'!D19="Black",(OR('Tube Cutting'!E19="Wavefold Hand Operation",'Tube Cutting'!E19="Wavefold Cord Operation"))),N11*20,""))</f>
        <v/>
      </c>
      <c r="R11" s="125" t="str">
        <f>IF(D11="","",IF(OR('Tube Cutting'!E19="Streamline Hand Operation",'Tube Cutting'!E19="Streamline Cord Operation"),Assembly!G19,""))</f>
        <v/>
      </c>
      <c r="S11" s="8" t="str">
        <f>IF(D11="","",IF(VLOOKUP(CONCATENATE('Tube Cutting'!E19,'Tube Cutting'!D19),TrackManufacturing,2,FALSE)="Streamline White",'Tube Cutting'!C19/1000,""))</f>
        <v/>
      </c>
      <c r="T11" s="8" t="str">
        <f>IF(D11="","",IF(VLOOKUP(CONCATENATE('Tube Cutting'!E19,'Tube Cutting'!D19),TrackManufacturing,2,FALSE)="Streamline Matt Black Ink",'Tube Cutting'!C19/1000,""))</f>
        <v/>
      </c>
      <c r="U11" s="8" t="str">
        <f>IF(D11="","",IF(VLOOKUP(CONCATENATE('Tube Cutting'!E19,'Tube Cutting'!D19),TrackManufacturing,2,FALSE)="Streamline Birch White",'Tube Cutting'!C19/1000,""))</f>
        <v/>
      </c>
      <c r="V11" s="8" t="str">
        <f>IF(D11="","",IF(VLOOKUP(CONCATENATE('Tube Cutting'!E19,'Tube Cutting'!D19),TrackManufacturing,2,FALSE)="Streamline Matt Satin",'Tube Cutting'!C19/1000,""))</f>
        <v/>
      </c>
      <c r="W11" s="8" t="str">
        <f>IF(Bagging!H19="White Aluminium Flick Sticks 100cm",Bagging!I19,"")</f>
        <v/>
      </c>
      <c r="X11" s="8" t="str">
        <f>IF(Bagging!H19="White Aluminium Flick Sticks 125cm",Bagging!I19,"")</f>
        <v>2</v>
      </c>
      <c r="Y11" s="8" t="str">
        <f>IF(Bagging!H19="White Aluminium Flick Sticks 150cm",Bagging!I19,"")</f>
        <v/>
      </c>
      <c r="Z11" s="8" t="str">
        <f>IF(Bagging!H19="Black Aluminium Flick Sticks 100cm",Bagging!I19,"")</f>
        <v/>
      </c>
      <c r="AA11" s="8" t="str">
        <f>IF(Bagging!H19="Black Aluminium Flick Sticks 125cm",Bagging!I19,"")</f>
        <v/>
      </c>
      <c r="AB11" s="8" t="str">
        <f>IF(Bagging!H19="Black Aluminium Flick Sticks 150cm",Bagging!I19,"")</f>
        <v/>
      </c>
      <c r="AC11" s="8" t="str">
        <f>IF(Bagging!H19="Matt Satin Aluminium Flick Sticks 100cm",Bagging!I19,"")</f>
        <v/>
      </c>
      <c r="AD11" s="8" t="str">
        <f>IF(Bagging!H19="Black Aluminium Flick Sticks 125cm",Bagging!I19,"")</f>
        <v/>
      </c>
      <c r="AE11" s="8" t="str">
        <f>IF(Bagging!H19="Black Aluminium Flick Sticks 150cm",Bagging!I19,"")</f>
        <v/>
      </c>
      <c r="AF11" s="8" t="str">
        <f>IF(Bagging!H19="Standard Clear 75cm",Bagging!I19,"")</f>
        <v/>
      </c>
      <c r="AG11" s="8" t="str">
        <f>IF(Bagging!H19="Standard Clear 100cm",Bagging!I19,"")</f>
        <v/>
      </c>
      <c r="AH11" s="8" t="str">
        <f>IF(Bagging!H19="Standard Clear 125cm",Bagging!I19,"")</f>
        <v/>
      </c>
      <c r="AI11" s="8" t="str">
        <f>IF(Bagging!H19="Standard Clear 150cm",Bagging!I19,"")</f>
        <v/>
      </c>
      <c r="AJ11" s="8" t="str">
        <f>IF(Bagging!H19="White Fibreglass 200cm",Bagging!I19,"")</f>
        <v/>
      </c>
      <c r="AK11" s="8" t="str">
        <f>IF(Bagging!H19="White Fibreglass 250cm",Bagging!I19,"")</f>
        <v/>
      </c>
      <c r="AL11" s="8" t="str">
        <f>IF(D11="","",IF(AND(OR(VLOOKUP(CONCATENATE('Tube Cutting'!E19,'Tube Cutting'!D19),TrackManufacturing,2,FALSE)="Wavefold White",VLOOKUP(CONCATENATE('Tube Cutting'!E19,'Tube Cutting'!D19),TrackManufacturing,2,FALSE)="System 20 White"),(Bagging!D19="Top Fix Brackets")),Bagging!F19,""))</f>
        <v/>
      </c>
      <c r="AM11" s="8">
        <f>IF(D11="","",IF(AND(OR(VLOOKUP(CONCATENATE('Tube Cutting'!E19,'Tube Cutting'!D19),TrackManufacturing,2,FALSE)="Wavefold White",VLOOKUP(CONCATENATE('Tube Cutting'!E19,'Tube Cutting'!D19),TrackManufacturing,2,FALSE)="System 20 White"),(Bagging!D19="Single Face Fix Brackets")),Bagging!F19,""))</f>
        <v>6</v>
      </c>
      <c r="AN11" s="8" t="str">
        <f>IF(D11="","",IF(AND(OR(VLOOKUP(CONCATENATE('Tube Cutting'!E19,'Tube Cutting'!D19),TrackManufacturing,2,FALSE)="Wavefold White",VLOOKUP(CONCATENATE('Tube Cutting'!E19,'Tube Cutting'!D19),TrackManufacturing,2,FALSE)="System 20 White"),(Bagging!D19="Double Face Fix Brackets")),Bagging!F19,""))</f>
        <v/>
      </c>
      <c r="AO11" s="8" t="str">
        <f>IF(D11="","",IF(AND(OR(VLOOKUP(CONCATENATE('Tube Cutting'!E19,'Tube Cutting'!D19),TrackManufacturing,2,FALSE)="Wavefold White",VLOOKUP(CONCATENATE('Tube Cutting'!E19,'Tube Cutting'!D19),TrackManufacturing,2,FALSE)="System 20 White"),(Bagging!D19="Triple Face Fix Brackets")),Bagging!F19,""))</f>
        <v/>
      </c>
      <c r="AP11" s="8" t="str">
        <f>IF(D11="","",IF(AND(OR(VLOOKUP(CONCATENATE('Tube Cutting'!E19,'Tube Cutting'!D19),TrackManufacturing,2,FALSE)="Wavefold Black",VLOOKUP(CONCATENATE('Tube Cutting'!E19,'Tube Cutting'!D19),TrackManufacturing,2,FALSE)="System 20 Black"),(Bagging!D19="Top Fix Brackets")),Bagging!F19,""))</f>
        <v/>
      </c>
      <c r="AQ11" s="8" t="str">
        <f>IF(D11="","",IF(AND(OR(VLOOKUP(CONCATENATE('Tube Cutting'!E19,'Tube Cutting'!D19),TrackManufacturing,2,FALSE)="Wavefold Black",VLOOKUP(CONCATENATE('Tube Cutting'!E19,'Tube Cutting'!D19),TrackManufacturing,2,FALSE)="System 20 Black"),(Bagging!D19="Single Face Fix Brackets")),Bagging!F19,""))</f>
        <v/>
      </c>
      <c r="AR11" s="8" t="str">
        <f>IF(D11="","",IF(AND(OR(VLOOKUP(CONCATENATE('Tube Cutting'!E19,'Tube Cutting'!D19),TrackManufacturing,2,FALSE)="Wavefold Black",VLOOKUP(CONCATENATE('Tube Cutting'!E19,'Tube Cutting'!D19),TrackManufacturing,2,FALSE)="System 20 Black"),(Bagging!D19="Double Face Fix Brackets")),Bagging!F19,""))</f>
        <v/>
      </c>
      <c r="AS11" s="8" t="str">
        <f>IF(D11="","",IF(AND(OR(VLOOKUP(CONCATENATE('Tube Cutting'!E19,'Tube Cutting'!D19),TrackManufacturing,2,FALSE)="Wavefold Black",VLOOKUP(CONCATENATE('Tube Cutting'!E19,'Tube Cutting'!D19),TrackManufacturing,2,FALSE)="System 20 Black"),(Bagging!D19="Triple Face Fix Brackets")),Bagging!F19,""))</f>
        <v/>
      </c>
      <c r="AT11" s="8" t="str">
        <f>IF(D11="","",IF(AND(OR(VLOOKUP(CONCATENATE('Tube Cutting'!E19,'Tube Cutting'!D19),TrackManufacturing,2,FALSE)="Wavefold Matt Satin",VLOOKUP(CONCATENATE('Tube Cutting'!E19,'Tube Cutting'!D19),TrackManufacturing,2,FALSE)="System 20 Matt Satin"),(Bagging!D19="Top Fix Brackets")),Bagging!F19,""))</f>
        <v/>
      </c>
      <c r="AU11" s="8" t="str">
        <f>IF(D11="","",IF(AND(OR(VLOOKUP(CONCATENATE('Tube Cutting'!E19,'Tube Cutting'!D19),TrackManufacturing,2,FALSE)="Wavefold Matt Satin",VLOOKUP(CONCATENATE('Tube Cutting'!E19,'Tube Cutting'!D19),TrackManufacturing,2,FALSE)="System 20 Matt Satin"),(Bagging!D19="Single Face Fix Brackets")),Bagging!F19,""))</f>
        <v/>
      </c>
      <c r="AV11" s="8" t="str">
        <f>IF(D11="","",IF(AND(OR(VLOOKUP(CONCATENATE('Tube Cutting'!E19,'Tube Cutting'!D19),TrackManufacturing,2,FALSE)="Wavefold Matt Satin",VLOOKUP(CONCATENATE('Tube Cutting'!E19,'Tube Cutting'!D19),TrackManufacturing,2,FALSE)="System 20 Matt Satin"),(Bagging!D19="Double Face Fix Brackets")),Bagging!F19,""))</f>
        <v/>
      </c>
      <c r="AW11" s="8" t="str">
        <f>IF(D11="","",IF(AND(OR(VLOOKUP(CONCATENATE('Tube Cutting'!E19,'Tube Cutting'!D19),TrackManufacturing,2,FALSE)="Wavefold Matt Satin",VLOOKUP(CONCATENATE('Tube Cutting'!E19,'Tube Cutting'!D19),TrackManufacturing,2,FALSE)="System 20 Matt Satin"),(Bagging!D19="Triple Face Fix Brackets")),Bagging!F19,""))</f>
        <v/>
      </c>
      <c r="AX11" s="8" t="str">
        <f>IF(D11="","",IF(AND(VLOOKUP(CONCATENATE('Tube Cutting'!E19,'Tube Cutting'!D19),TrackManufacturing,2,FALSE)="Streamline White",(Bagging!D19="Nylon Top Fix Brackets")),VLOOKUP('Job Sheet'!BP19,Brackets,2,TRUE),""))</f>
        <v/>
      </c>
      <c r="AY11" s="8" t="str">
        <f>IF(D11="","",IF(AND(VLOOKUP(CONCATENATE('Tube Cutting'!E19,'Tube Cutting'!D19),TrackManufacturing,2,FALSE)="Streamline White",(Bagging!D19="Metal Fix Brackets")),VLOOKUP('Job Sheet'!BP19,Brackets,2,TRUE),""))</f>
        <v/>
      </c>
      <c r="AZ11" s="8" t="str">
        <f>IF(D11="","",IF(AND(VLOOKUP(CONCATENATE('Tube Cutting'!E19,'Tube Cutting'!D19),TrackManufacturing,2,FALSE)="Streamline White",(Bagging!D19="Single Face Fix Brackets")),Bagging!F19,""))</f>
        <v/>
      </c>
      <c r="BA11" s="8" t="str">
        <f>IF(D11="","",IF(AND(VLOOKUP(CONCATENATE('Tube Cutting'!E19,'Tube Cutting'!D19),TrackManufacturing,2,FALSE)="Streamline White",(Bagging!D19="Double Face Fix Brackets")),Bagging!F19,""))</f>
        <v/>
      </c>
      <c r="BB11" s="8" t="str">
        <f>IF(D11="","",IF(AND(VLOOKUP(CONCATENATE('Tube Cutting'!E19,'Tube Cutting'!D19),TrackManufacturing,2,FALSE)="Streamline White",(Bagging!D19="Triple Face Fix Brackets")),Bagging!F19,""))</f>
        <v/>
      </c>
      <c r="BC11" s="8" t="str">
        <f>IF(D11="","",IF(AND(VLOOKUP(CONCATENATE('Tube Cutting'!E19,'Tube Cutting'!D19),TrackManufacturing,2,FALSE)="Streamline White",(Bagging!D19="32mm Face Fix Brackets")),Bagging!F19,""))</f>
        <v/>
      </c>
      <c r="BD11" s="8" t="str">
        <f>IF(D11="","",IF(AND(VLOOKUP(CONCATENATE('Tube Cutting'!E19,'Tube Cutting'!D19),TrackManufacturing,2,FALSE)="Streamline Matt Black Ink",(Bagging!D19="Top Fix Brackets")),VLOOKUP('Job Sheet'!BP19,Brackets,2,TRUE),""))</f>
        <v/>
      </c>
      <c r="BE11" s="8" t="str">
        <f>IF(D11="","",IF(AND(VLOOKUP(CONCATENATE('Tube Cutting'!E19,'Tube Cutting'!D19),TrackManufacturing,2,FALSE)="Streamline White",(Bagging!D19="Metal Fix Brackets")),VLOOKUP('Job Sheet'!BP19,Brackets,2,TRUE),""))</f>
        <v/>
      </c>
      <c r="BF11" s="8" t="str">
        <f>IF(D11="","",IF(AND(VLOOKUP(CONCATENATE('Tube Cutting'!E19,'Tube Cutting'!D19),TrackManufacturing,2,FALSE)="Streamline Matt Black Ink",(Bagging!D19="Single Face Fix Brackets")),Bagging!F19,""))</f>
        <v/>
      </c>
      <c r="BG11" s="8" t="str">
        <f>IF(D11="","",IF(AND(VLOOKUP(CONCATENATE('Tube Cutting'!E19,'Tube Cutting'!D19),TrackManufacturing,2,FALSE)="Streamline Matt Black Ink",(Bagging!D19="Double Face Fix Brackets")),Bagging!F19,""))</f>
        <v/>
      </c>
      <c r="BH11" s="8" t="str">
        <f>IF(D11="","",IF(AND(VLOOKUP(CONCATENATE('Tube Cutting'!E19,'Tube Cutting'!D19),TrackManufacturing,2,FALSE)="Streamline Matt Black Ink",(Bagging!D19="Triple Face Fix Brackets")),Bagging!F19,""))</f>
        <v/>
      </c>
      <c r="BI11" s="8" t="str">
        <f>IF(D11="","",IF(AND(VLOOKUP(CONCATENATE('Tube Cutting'!E19,'Tube Cutting'!D19),TrackManufacturing,2,FALSE)="Streamline Matt Black Ink",(Bagging!D19="32mm Face Fix Brackets")),Bagging!F19,""))</f>
        <v/>
      </c>
      <c r="BJ11" s="8" t="str">
        <f>IF(D11="","",IF(AND(VLOOKUP(CONCATENATE('Tube Cutting'!E19,'Tube Cutting'!D19),TrackManufacturing,2,FALSE)="Streamline Birch White",(Bagging!D19="Top Fix Brackets")),VLOOKUP('Job Sheet'!BP19,Brackets,2,TRUE),""))</f>
        <v/>
      </c>
      <c r="BK11" s="8" t="str">
        <f>IF(D11="","",IF(AND(VLOOKUP(CONCATENATE('Tube Cutting'!E19,'Tube Cutting'!D19),TrackManufacturing,2,FALSE)="Streamline White",(Bagging!D19="Metal Fix Brackets")),VLOOKUP('Job Sheet'!BP19,Brackets,2,TRUE),""))</f>
        <v/>
      </c>
      <c r="BL11" s="8" t="str">
        <f>IF(D11="","",IF(AND(VLOOKUP(CONCATENATE('Tube Cutting'!E19,'Tube Cutting'!D19),TrackManufacturing,2,FALSE)="Streamline Birch White",(Bagging!D19="Single Face Fix Brackets")),Bagging!F19,""))</f>
        <v/>
      </c>
      <c r="BM11" s="8" t="str">
        <f>IF(D11="","",IF(AND(VLOOKUP(CONCATENATE('Tube Cutting'!E19,'Tube Cutting'!D19),TrackManufacturing,2,FALSE)="Streamline Birch White",(Bagging!D19="Double Face Fix Brackets")),Bagging!F19,""))</f>
        <v/>
      </c>
      <c r="BN11" s="8" t="str">
        <f>IF(D11="","",IF(AND(VLOOKUP(CONCATENATE('Tube Cutting'!E19,'Tube Cutting'!D19),TrackManufacturing,2,FALSE)="Streamline Birch White",(Bagging!D19="Triple Face Fix Brackets")),Bagging!F19,""))</f>
        <v/>
      </c>
      <c r="BO11" s="8" t="str">
        <f>IF(D11="","",IF(AND(VLOOKUP(CONCATENATE('Tube Cutting'!E19,'Tube Cutting'!D19),TrackManufacturing,2,FALSE)="Streamline Birch White",(Bagging!D19="32mm Face Fix Brackets")),Bagging!F19,""))</f>
        <v/>
      </c>
      <c r="BP11" s="8" t="str">
        <f>IF(K11="","",IF(AND(VLOOKUP(CONCATENATE('Tube Cutting'!K19,'Tube Cutting'!J19),TrackManufacturing,2,FALSE)="Streamline Birch White",(Bagging!J19="Top Fix Brackets")),VLOOKUP('Job Sheet'!BU19,Brackets,2,TRUE),""))</f>
        <v/>
      </c>
      <c r="BQ11" s="8" t="str">
        <f>IF(K11="","",IF(AND(VLOOKUP(CONCATENATE('Tube Cutting'!K19,'Tube Cutting'!J19),TrackManufacturing,2,FALSE)="Streamline White",(Bagging!J19="Metal Fix Brackets")),VLOOKUP('Job Sheet'!BU19,Brackets,2,TRUE),""))</f>
        <v/>
      </c>
      <c r="BR11" s="8" t="str">
        <f>IF(K11="","",IF(AND(VLOOKUP(CONCATENATE('Tube Cutting'!K19,'Tube Cutting'!J19),TrackManufacturing,2,FALSE)="Streamline Birch White",(Bagging!J19="Single Face Fix Brackets")),Bagging!L19,""))</f>
        <v/>
      </c>
      <c r="BS11" s="8" t="str">
        <f>IF(K11="","",IF(AND(VLOOKUP(CONCATENATE('Tube Cutting'!K19,'Tube Cutting'!J19),TrackManufacturing,2,FALSE)="Streamline Birch White",(Bagging!J19="Double Face Fix Brackets")),Bagging!L19,""))</f>
        <v/>
      </c>
      <c r="BT11" s="8" t="str">
        <f>IF(K11="","",IF(AND(VLOOKUP(CONCATENATE('Tube Cutting'!K19,'Tube Cutting'!J19),TrackManufacturing,2,FALSE)="Streamline Birch White",(Bagging!J19="Triple Face Fix Brackets")),Bagging!L19,""))</f>
        <v/>
      </c>
      <c r="BU11" s="8" t="str">
        <f>IF(K11="","",IF(AND(VLOOKUP(CONCATENATE('Tube Cutting'!K19,'Tube Cutting'!J19),TrackManufacturing,2,FALSE)="Streamline Birch White",(Bagging!J19="32mm Face Fix Brackets")),Bagging!L19,""))</f>
        <v/>
      </c>
      <c r="BV11" s="8" t="str">
        <f>IF(AND('Tube Cutting'!D19="White",Bagging!D19="Top Fix Brackets"),Bagging!F19,"")</f>
        <v/>
      </c>
      <c r="BW11" s="8">
        <f>IF(AND('Tube Cutting'!D19="White",Bagging!D19="Single Face Fix Brackets"),Bagging!F19,"")</f>
        <v>6</v>
      </c>
      <c r="BX11" s="8" t="str">
        <f>IF(AND('Tube Cutting'!D19="White",Bagging!D19="Double Face Fix Brackets"),Bagging!F19,"")</f>
        <v/>
      </c>
      <c r="BY11" s="8" t="str">
        <f>IF(AND('Tube Cutting'!D19="White",Bagging!D19="Triple Face Fix Brackets"),Bagging!F19,"")</f>
        <v/>
      </c>
      <c r="BZ11" s="8" t="str">
        <f>IF(AND('Tube Cutting'!D19="Black",Bagging!D19="Top Fix Brackets"),Bagging!F19,"")</f>
        <v/>
      </c>
      <c r="CA11" s="8" t="str">
        <f>IF(AND('Tube Cutting'!D19="Black",Bagging!D19="Single Face Fix Brackets"),Bagging!F19,"")</f>
        <v/>
      </c>
      <c r="CB11" s="8" t="str">
        <f>IF(AND('Tube Cutting'!D19="Black",Bagging!D19="Double Face Fix Brackets"),Bagging!F19,"")</f>
        <v/>
      </c>
      <c r="CC11" s="8" t="str">
        <f>IF(AND('Tube Cutting'!D19="Black",Bagging!D19="Triple Fix Brackets"),Bagging!F19,"")</f>
        <v/>
      </c>
      <c r="CD11" s="8" t="str">
        <f>IF(AND('Tube Cutting'!D19="Matt Satin",Bagging!D19="Top Fix Brackets"),Bagging!F19,"")</f>
        <v/>
      </c>
      <c r="CE11" s="8" t="str">
        <f>IF(AND('Tube Cutting'!D19="Matt Satin",Bagging!D19="Single Face Fix Brackets"),Bagging!F19,"")</f>
        <v/>
      </c>
      <c r="CF11" s="8" t="str">
        <f>IF(AND('Tube Cutting'!D19="Matt Satin",Bagging!D19="Double Face Fix Brackets"),Bagging!F19,"")</f>
        <v/>
      </c>
      <c r="CG11" s="8" t="str">
        <f>IF(AND('Tube Cutting'!D19="Matt Satin",Bagging!D19="Triple Fix Brackets"),Bagging!F19,"")</f>
        <v/>
      </c>
      <c r="CH11" s="8" t="str">
        <f>IF(D11="","",IF(AND('Tube Cutting'!D19="White",(OR(Bagging!J19="Single Left",Bagging!J19="Single Left &amp; Right"))),"1",""))</f>
        <v/>
      </c>
      <c r="CI11" s="8" t="str">
        <f>IF(D11="","",IF(AND('Tube Cutting'!D19="Black",(OR(Bagging!J19="Single Left",Bagging!J19="Single Left &amp; Right"))),"1",""))</f>
        <v/>
      </c>
      <c r="CJ11" s="8" t="str">
        <f>IF(D11="","",IF(AND('Tube Cutting'!D19="Matt Satin",(OR(Bagging!J19="Single Left",Bagging!J19="Single Left &amp; Right"))),"1",""))</f>
        <v/>
      </c>
      <c r="CK11" s="8" t="str">
        <f>IF(D11="","",IF(AND('Tube Cutting'!D19="White",(OR(Bagging!J19="Single Right",Bagging!J19="Single Left &amp; Right"))),"1",""))</f>
        <v/>
      </c>
      <c r="CL11" s="8" t="str">
        <f>IF(D11="","",IF(AND('Tube Cutting'!D19="Black",(OR(Bagging!J19="Single Right",Bagging!J19="Single Left &amp; Right"))),"1",""))</f>
        <v/>
      </c>
      <c r="CM11" s="8" t="str">
        <f>IF(D11="","",IF(AND('Tube Cutting'!D19="Matt Satin",(OR(Bagging!J19="Single Right",Bagging!J19="Single Left &amp; Right"))),"1",""))</f>
        <v/>
      </c>
      <c r="CN11" s="8" t="str">
        <f>IF(D11="","",IF(AND('Tube Cutting'!D19="White",(OR(Bagging!J19="Double Left",Bagging!J19="Double Left &amp; Right"))),"1",""))</f>
        <v/>
      </c>
      <c r="CO11" s="8" t="str">
        <f>IF(D11="","",IF(AND('Tube Cutting'!D19="Black",(OR(Bagging!J19="Double Left",Bagging!J19="Double Left &amp; Right"))),"1",""))</f>
        <v/>
      </c>
      <c r="CP11" s="8" t="str">
        <f>IF(D11="","",IF(AND('Tube Cutting'!D19="Matt Satin",(OR(Bagging!J19="Double Left",Bagging!J19="Double Left &amp; Right"))),"1",""))</f>
        <v/>
      </c>
      <c r="CQ11" s="8" t="str">
        <f>IF(D11="","",IF(AND('Tube Cutting'!D19="White",(OR(Bagging!J19="Double Right",Bagging!J19="Double Left &amp; Right"))),"1",""))</f>
        <v/>
      </c>
      <c r="CR11" s="8" t="str">
        <f>IF(D11="","",IF(AND('Tube Cutting'!D19="Black",(OR(Bagging!J19="Double Right",Bagging!J19="Double Left &amp; Right"))),"1",""))</f>
        <v/>
      </c>
      <c r="CS11" s="8" t="str">
        <f>IF(D11="","",IF(AND('Tube Cutting'!D19="Matt Satin",(OR(Bagging!J19="Double Right",Bagging!J19="Double Left &amp; Right"))),"1",""))</f>
        <v/>
      </c>
      <c r="CT11" s="8" t="str">
        <f>IF(D11="","",IF(VLOOKUP(CONCATENATE('Tube Cutting'!E19,'Tube Cutting'!D19),TrackManufacturing,2,FALSE)="Streamline White",1,""))</f>
        <v/>
      </c>
      <c r="CU11" s="8" t="str">
        <f>IF(D11="","",IF(VLOOKUP(CONCATENATE('Tube Cutting'!E19,'Tube Cutting'!D19),TrackManufacturing,2,FALSE)="Streamline Matt Black Ink",1,""))</f>
        <v/>
      </c>
      <c r="CV11" s="8" t="str">
        <f>IF(D11="","",IF(VLOOKUP(CONCATENATE('Tube Cutting'!E19,'Tube Cutting'!D19),TrackManufacturing,2,FALSE)="Streamline Birch White",1,""))</f>
        <v/>
      </c>
      <c r="CW11" s="8" t="str">
        <f>IF(D11="","",IF(VLOOKUP(CONCATENATE('Tube Cutting'!E19,'Tube Cutting'!D19),TrackManufacturing,2,FALSE)="Streamline Matt Satin",1,""))</f>
        <v/>
      </c>
      <c r="CX11" s="8" t="str">
        <f>IF(D11="","",IF(AND(VLOOKUP(CONCATENATE('Tube Cutting'!E19,'Tube Cutting'!D19),TrackManufacturing,2,FALSE)="Streamline White",(OR(Assembly!F19="Centre Opening",Assembly!F19="Centre Opening - Free Flowing",Assembly!F19="Centre Opening (Offset)",Assembly!F19="Centre Opening - Free Flowing (Offset)"))),1,""))</f>
        <v/>
      </c>
      <c r="CY11" s="8" t="str">
        <f>IF(D11="","",IF(AND(VLOOKUP(CONCATENATE('Tube Cutting'!E19,'Tube Cutting'!D19),TrackManufacturing,2,FALSE)="Streamline Matt Black Ink",(OR(Assembly!F19="Centre Opening",Assembly!F19="Centre Opening - Free Flowing",Assembly!F19="Centre Opening (Offset)",Assembly!F19="Centre Opening - Free Flowing (Offset)"))),1,""))</f>
        <v/>
      </c>
      <c r="CZ11" s="8" t="str">
        <f>IF(D11="","",IF(AND(VLOOKUP(CONCATENATE('Tube Cutting'!E19,'Tube Cutting'!D19),TrackManufacturing,2,FALSE)="Streamline Birch White",(OR(Assembly!F19="Centre Opening",Assembly!F19="Centre Opening - Free Flowing",Assembly!F19="Centre Opening (Offset)",Assembly!F19="Centre Opening - Free Flowing (Offset)"))),1,""))</f>
        <v/>
      </c>
      <c r="DA11" s="8" t="str">
        <f>IF(D11="","",IF(AND(VLOOKUP(CONCATENATE('Tube Cutting'!E19,'Tube Cutting'!D19),TrackManufacturing,2,FALSE)="Streamline Matt Satin",(OR(Assembly!F19="Centre Opening",Assembly!F19="Centre Opening - Free Flowing",Assembly!F19="Centre Opening (Offset)",Assembly!F19="Centre Opening - Free Flowing (Offset)"))),1,""))</f>
        <v/>
      </c>
      <c r="DB11" s="8" t="str">
        <f>IF(OR('Job Sheet'!Z19="Conduit",I11&lt;&gt;"DBS to Make"),"",IF(VLOOKUP(CONCATENATE(Assembly!C19,Assembly!F19),PulleysEndCaps,2,FALSE)="","",IF('Tube Cutting'!D19="White",VLOOKUP(CONCATENATE(Assembly!C19,Assembly!F19),PulleysEndCaps,2,FALSE),"")))</f>
        <v/>
      </c>
      <c r="DC11" s="8" t="str">
        <f>IF(OR('Job Sheet'!Z19="Conduit",I11&lt;&gt;"DBS to Make"),"",IF(VLOOKUP(CONCATENATE(Assembly!C19,Assembly!F19),PulleysEndCaps,2,FALSE)="","",IF('Tube Cutting'!D19="Black",VLOOKUP(CONCATENATE(Assembly!C19,Assembly!F19),PulleysEndCaps,2,FALSE),"")))</f>
        <v/>
      </c>
      <c r="DD11" s="8" t="str">
        <f>IF(OR('Job Sheet'!Z19="Conduit",I11&lt;&gt;"DBS to Make"),"",IF(VLOOKUP(CONCATENATE(Assembly!C19,Assembly!F19),PulleysEndCaps,2,FALSE)="","",IF('Tube Cutting'!D19="Matt Satin",VLOOKUP(CONCATENATE(Assembly!C19,Assembly!F19),PulleysEndCaps,2,FALSE),"")))</f>
        <v/>
      </c>
      <c r="DE11" s="8" t="str">
        <f>IF(OR('Job Sheet'!Z19="Conduit",I11&lt;&gt;"DBS to Make"),"",IF(VLOOKUP(CONCATENATE(Assembly!C19,Assembly!F19),PulleysEndCaps,3,FALSE)="","",IF('Tube Cutting'!D19="White",VLOOKUP(CONCATENATE(Assembly!C19,Assembly!F19),PulleysEndCaps,3,FALSE),"")))</f>
        <v/>
      </c>
      <c r="DF11" s="8" t="str">
        <f>IF(OR('Job Sheet'!Z19="Conduit",I11&lt;&gt;"DBS to Make"),"",IF(VLOOKUP(CONCATENATE(Assembly!C19,Assembly!F19),PulleysEndCaps,3,FALSE)="","",IF('Tube Cutting'!D19="Black",VLOOKUP(CONCATENATE(Assembly!C19,Assembly!F19),PulleysEndCaps,3,FALSE),"")))</f>
        <v/>
      </c>
      <c r="DG11" s="8" t="str">
        <f>IF(OR('Job Sheet'!Z19="Conduit",I11&lt;&gt;"DBS to Make"),"",IF(VLOOKUP(CONCATENATE(Assembly!C19,Assembly!F19),PulleysEndCaps,3,FALSE)="","",IF('Tube Cutting'!D19="Matt Satin",VLOOKUP(CONCATENATE(Assembly!C19,Assembly!F19),PulleysEndCaps,3,FALSE),"")))</f>
        <v/>
      </c>
      <c r="DH11" s="8" t="str">
        <f>IF(OR('Job Sheet'!Z19="Conduit",I11&lt;&gt;"DBS to Make"),"",IF(VLOOKUP(CONCATENATE(Assembly!C19,Assembly!F19),PulleysEndCaps,6,FALSE)="","",IF('Tube Cutting'!D19="White",VLOOKUP(CONCATENATE(Assembly!C19,Assembly!F19),PulleysEndCaps,6,FALSE),"")))</f>
        <v/>
      </c>
      <c r="DI11" s="8" t="str">
        <f>IF(OR('Job Sheet'!Z19="Conduit",I11&lt;&gt;"DBS to Make"),"",IF(VLOOKUP(CONCATENATE(Assembly!C19,Assembly!F19),PulleysEndCaps,6,FALSE)="","",IF('Tube Cutting'!D19="Matt Black Ink",VLOOKUP(CONCATENATE(Assembly!C19,Assembly!F19),PulleysEndCaps,6,FALSE),"")))</f>
        <v/>
      </c>
      <c r="DJ11" s="8" t="str">
        <f>IF(OR('Job Sheet'!Z19="Conduit",I11&lt;&gt;"DBS to Make"),"",IF(VLOOKUP(CONCATENATE(Assembly!C19,Assembly!F19),PulleysEndCaps,6,FALSE)="","",IF('Tube Cutting'!D19="Birch White",VLOOKUP(CONCATENATE(Assembly!C19,Assembly!F19),PulleysEndCaps,6,FALSE),"")))</f>
        <v/>
      </c>
      <c r="DK11" s="8" t="str">
        <f>IF(OR('Job Sheet'!Z19="Conduit",'Job Sheet'!Z19="Conduit x 2",I11&lt;&gt;"DBS to Make"),"",IF(VLOOKUP(CONCATENATE(Assembly!C19,Assembly!F19),PulleysEndCaps,6,FALSE)="","",IF('Tube Cutting'!D19="Matt Satin",VLOOKUP(CONCATENATE(Assembly!C19,Assembly!F19),PulleysEndCaps,6,FALSE),"")))</f>
        <v/>
      </c>
      <c r="DL11" s="8" t="str">
        <f>IF(OR('Job Sheet'!Z19="Conduit",I11&lt;&gt;"DBS to Make"),"",IF(VLOOKUP(CONCATENATE(Assembly!C19,Assembly!F19),PulleysEndCaps,4,FALSE)="","",VLOOKUP(CONCATENATE(Assembly!C19,Assembly!F19),PulleysEndCaps,4,FALSE)))</f>
        <v/>
      </c>
      <c r="DM11" s="8" t="str">
        <f>IF(OR('Job Sheet'!Z19="Conduit",I11&lt;&gt;"DBS to Make"),"",IF(VLOOKUP(CONCATENATE(Assembly!C19,Assembly!F19),PulleysEndCaps,7,FALSE)="","",VLOOKUP(CONCATENATE(Assembly!C19,Assembly!F19),PulleysEndCaps,7,FALSE)))</f>
        <v/>
      </c>
      <c r="DN11" s="8" t="str">
        <f>IF(D11="","",IF(AND(OR(VLOOKUP(CONCATENATE('Tube Cutting'!E19,'Tube Cutting'!D19),TrackManufacturing,2,FALSE)="Wavefold White",VLOOKUP(CONCATENATE('Tube Cutting'!E19,'Tube Cutting'!D19),TrackManufacturing,2,FALSE)="Wavefold Black",VLOOKUP(CONCATENATE('Tube Cutting'!E19,'Tube Cutting'!D19),TrackManufacturing,2,FALSE)="Wavefold Matt Satin",VLOOKUP(CONCATENATE('Tube Cutting'!E19,'Tube Cutting'!D19),TrackManufacturing,2,FALSE)="System 20 White",VLOOKUP(CONCATENATE('Tube Cutting'!E19,'Tube Cutting'!D19),TrackManufacturing,2,FALSE)="System 20 Black",VLOOKUP(CONCATENATE('Tube Cutting'!E19,'Tube Cutting'!D19),TrackManufacturing,2,FALSE)="System 20 Matt Satin"),'Tube Cutting'!C19&gt;6000),1,""))</f>
        <v/>
      </c>
      <c r="DO11" s="8" t="str">
        <f>IF(D11="","",IF(AND(OR(VLOOKUP(CONCATENATE('Tube Cutting'!E19,'Tube Cutting'!D19),TrackManufacturing,2,FALSE)="Streamline White",VLOOKUP(CONCATENATE('Tube Cutting'!E19,'Tube Cutting'!D19),TrackManufacturing,2,FALSE)="Streamline Black",VLOOKUP(CONCATENATE('Tube Cutting'!E19,'Tube Cutting'!D19),TrackManufacturing,2,FALSE)="Streamline Birch White",VLOOKUP(CONCATENATE('Tube Cutting'!E19,'Tube Cutting'!D19),TrackManufacturing,2,FALSE)="Streamline Matt Satin"),'Tube Cutting'!C19&gt;6000),1,""))</f>
        <v/>
      </c>
      <c r="DP11" s="8">
        <f>IF(OR('Job Sheet'!Z19="Conduit",I11&lt;&gt;"DBS to Make"),"",IF(VLOOKUP(CONCATENATE(Assembly!C19,Assembly!F19),PulleysEndCaps,5,FALSE)="","",IF('Tube Cutting'!D19="White",VLOOKUP(CONCATENATE(Assembly!C19,Assembly!F19),PulleysEndCaps,5,FALSE),"")))</f>
        <v>2</v>
      </c>
      <c r="DQ11" s="8" t="str">
        <f>IF(OR('Job Sheet'!Z19="Conduit",I11&lt;&gt;"DBS to Make"),"",IF(VLOOKUP(CONCATENATE(Assembly!C19,Assembly!F19),PulleysEndCaps,5,FALSE)="","",IF('Tube Cutting'!D19="Black",VLOOKUP(CONCATENATE(Assembly!C19,Assembly!F19),PulleysEndCaps,5,FALSE),"")))</f>
        <v/>
      </c>
      <c r="DR11" s="8" t="str">
        <f>IF(OR('Job Sheet'!Z19="Conduit",I11&lt;&gt;"DBS to Make"),"",IF(VLOOKUP(CONCATENATE(Assembly!C19,Assembly!F19),PulleysEndCaps,5,FALSE)="","",IF('Tube Cutting'!D19="Matt Satin",VLOOKUP(CONCATENATE(Assembly!C19,Assembly!F19),PulleysEndCaps,5,FALSE),"")))</f>
        <v/>
      </c>
      <c r="DS11" s="8" t="str">
        <f>IF(OR('Job Sheet'!Z19="Conduit",I11&lt;&gt;"DBS to Make"),"",IF(VLOOKUP(CONCATENATE(Assembly!C19,Assembly!F19),PulleysEndCaps,8,FALSE)="","",IF('Tube Cutting'!D19="White",VLOOKUP(CONCATENATE(Assembly!C19,Assembly!F19),PulleysEndCaps,8,FALSE),"")))</f>
        <v/>
      </c>
      <c r="DT11" s="8" t="str">
        <f>IF(OR('Job Sheet'!Z19="Conduit",I11&lt;&gt;"DBS to Make"),"",IF(VLOOKUP(CONCATENATE(Assembly!C19,Assembly!F19),PulleysEndCaps,8,FALSE)="","",IF('Tube Cutting'!D19="Matt Black Ink",VLOOKUP(CONCATENATE(Assembly!C19,Assembly!F19),PulleysEndCaps,8,FALSE),"")))</f>
        <v/>
      </c>
      <c r="DU11" s="8" t="str">
        <f>IF(OR('Job Sheet'!Z19="Conduit",I11&lt;&gt;"DBS to Make"),"",IF(VLOOKUP(CONCATENATE(Assembly!C19,Assembly!F19),PulleysEndCaps,8,FALSE)="","",IF('Tube Cutting'!D19="Birch White",VLOOKUP(CONCATENATE(Assembly!C19,Assembly!F19),PulleysEndCaps,8,FALSE),"")))</f>
        <v/>
      </c>
      <c r="DV11" s="8" t="str">
        <f>IF(OR('Job Sheet'!Z19="Conduit",'Job Sheet'!Z19="Conduit x 2",I11&lt;&gt;"DBS to Make"),"",IF(VLOOKUP(CONCATENATE(Assembly!C19,Assembly!F19),PulleysEndCaps,8,FALSE)="","",IF('Tube Cutting'!D19="Matt Satin",VLOOKUP(CONCATENATE(Assembly!C19,Assembly!F19),PulleysEndCaps,8,FALSE),"")))</f>
        <v/>
      </c>
      <c r="DW11" s="8" t="str">
        <f>IF(D11="","",IF(AND(Assembly!C19="Wavefold Cord Operation",OR('Tube Cutting'!D19="White",'Tube Cutting'!D19="Matt Satin"),OR(Assembly!F19="Centre Opening",Assembly!F19="Centre Opening - Free Flowing",Assembly!F19="Centre Opening (Offset)",Assembly!F19="Centre Opening - Free Flowing (Offset)")),2,IF(AND(Assembly!C19="Wavefold Cord Operation",OR('Tube Cutting'!D19="White",'Tube Cutting'!D19="Matt Satin"),OR(Assembly!F19="Single Panel - Left Stacking",Assembly!F19="Single Panel - Right Stacking",Assembly!F19="Single Panel - Free Flowing")),1,"")))</f>
        <v/>
      </c>
      <c r="DX11" s="8" t="str">
        <f>IF(D11="","",IF(AND(AND(Assembly!C19="Wavefold Cord Operation",'Tube Cutting'!D19="Black",'Tube Cutting'!D19),(OR(Assembly!F19="Centre Opening",Assembly!F19="Centre Opening - Free Flowing",Assembly!F19="Centre Opening (Offset)",Assembly!F19="Centre Opening - Free Flowing (Offset)"))),2,IF(AND(AND(Assembly!C19="Wavefold Cord Operation",'Tube Cutting'!D19="Black",'Tube Cutting'!D19),(OR(Assembly!F19="Single Panel - Left Stacking",Assembly!F19="Single Panel - Right Stacking",Assembly!F19="Single Panel - Free Flowing"))),1,"")))</f>
        <v/>
      </c>
      <c r="DY11" s="8" t="str">
        <f>IF(D11="","",IF(AND(Assembly!C19="Wavefold Hand Operation",(OR('Tube Cutting'!D19="White",'Tube Cutting'!D19="White"))),Bagging!I19,""))</f>
        <v>2</v>
      </c>
      <c r="DZ11" s="8" t="str">
        <f>IF(D11="","",IF(AND(Assembly!C19="Wavefold Hand Operation",'Tube Cutting'!D19="Black"),Bagging!I19,""))</f>
        <v/>
      </c>
      <c r="EA11" s="8" t="str">
        <f>IF(OR(D11="",AI21="Straight"),"",IF(AND(OR('Tube Cutting'!E19="Streamline Cord Operation",'Tube Cutting'!E19="Streamline Hand Operation"),(OR(Assembly!F19="Centre Opening",Assembly!F19="Centre Opening - Free Flowing",Assembly!F19="Centre Opening (Offset)",Assembly!F19="Centre Opening - Free Flowing (Offset)"))),2,IF(AND(OR('Tube Cutting'!E19="Streamline Cord Operation",'Tube Cutting'!E19="Streamline Hand Operation"),(OR(Assembly!F19="Single Panel - Left Stacking",Assembly!F19="Single Panel - Right Stacking - Free Flowing",Assembly!F19="Single Panel - Free Flowing"))),1,"")))</f>
        <v/>
      </c>
      <c r="EB11" s="8" t="str">
        <f>IF(D11="","",IF(OR('Tube Cutting'!E19="Streamline Cord Operation",'Tube Cutting'!E19="Wavefold Cord Operation",'Tube Cutting'!E19="System 20 Light Commercial Track Cord Drawn"),1,""))</f>
        <v/>
      </c>
      <c r="EC11" s="8" t="str">
        <f>IF(D11="","",IF(VLOOKUP(CONCATENATE('Tube Cutting'!E19,'Tube Cutting'!D19),TrackManufacturing,2,FALSE)="System 20 White",1,""))</f>
        <v/>
      </c>
      <c r="ED11" s="8" t="str">
        <f>IF(D11="","",IF(VLOOKUP(CONCATENATE('Tube Cutting'!E19,'Tube Cutting'!D19),TrackManufacturing,2,FALSE)="System 20 Black",1,""))</f>
        <v/>
      </c>
      <c r="EE11" s="8" t="str">
        <f>IF(D11="","",IF(AND(VLOOKUP(CONCATENATE('Tube Cutting'!E19,'Tube Cutting'!D19),TrackManufacturing,2,FALSE)="System 20 White",(OR(Assembly!F19="Centre Opening",Assembly!F19="Centre Opening - Free Flowing",Assembly!F19="Centre Opening (Offset)",Assembly!F19="Centre Opening - Free Flowing (Offset)"))),1,""))</f>
        <v/>
      </c>
      <c r="EF11" s="8" t="str">
        <f>IF(D11="","",IF(AND(VLOOKUP(CONCATENATE('Tube Cutting'!E19,'Tube Cutting'!D19),TrackManufacturing,2,FALSE)="System 20 Black",(OR(Assembly!F19="Centre Opening",Assembly!F19="Centre Opening - Free Flowing",Assembly!F19="Centre Opening (Offset)",Assembly!F19="Centre Opening - Free Flowing (Offset)"))),1,""))</f>
        <v/>
      </c>
      <c r="EG11" s="125" t="str">
        <f>IF(D11="","",IF(OR(VLOOKUP(CONCATENATE('Tube Cutting'!E19,'Tube Cutting'!D19),TrackManufacturing,2,FALSE)="System 20 White",VLOOKUP(CONCATENATE('Tube Cutting'!E19,'Tube Cutting'!D19),TrackManufacturing,2,FALSE)="System 20 Black"),Assembly!G19,""))</f>
        <v/>
      </c>
      <c r="EH11" s="8" t="str">
        <f>IF('Tube Cutting'!E19="Conduit",'Job Sheet'!CB19,"")</f>
        <v/>
      </c>
      <c r="EI11" s="8" t="str">
        <f>IF(Bagging!D19="Muslin Brackets",2,IF(Bagging!D19="Muslin Brackets Top and Bottom",4,""))</f>
        <v/>
      </c>
      <c r="EJ11" s="8" t="str">
        <f>IF(Bagging!D19="100mm Unstayed Brackets with Acorns",2,"")</f>
        <v/>
      </c>
      <c r="EK11" s="8" t="str">
        <f>IF(Bagging!D19="25mm Brackets with Acorns",2,IF('Job Sheet'!AJ19="1 (Conduit)",2,IF('Job Sheet'!AJ19="2 (Conduit)",4,IF('Job Sheet'!AJ19="3 (Conduit)",6,IF('Job Sheet'!AJ19="4 (Conduit)",8,"")))))</f>
        <v/>
      </c>
      <c r="EL11" s="8" t="str">
        <f>IF(OR(Bagging!D19="25mm Brackets with Acorns",Bagging!D19="100mm Unstayed Brackets with Acorns"),2,"")</f>
        <v/>
      </c>
      <c r="EM11" s="8" t="str">
        <f>IF('Job Sheet'!AJ19="1 (Conduit)",1,IF('Job Sheet'!AJ19="2 (Conduit)",2,IF('Job Sheet'!AJ19="3 (Conduit)",3,IF('Job Sheet'!AJ19="4 (Conduit)",4,""))))</f>
        <v/>
      </c>
    </row>
    <row r="12" spans="1:143" s="166" customFormat="1" ht="12" customHeight="1">
      <c r="A12" s="8"/>
      <c r="B12" s="8"/>
      <c r="C12" s="8"/>
      <c r="D12" s="8" t="str">
        <f>IF(Data!AW20="","",CONCATENATE(Data!BC$5,".",Data!BD$5))</f>
        <v>39776.F</v>
      </c>
      <c r="E12" s="8">
        <f>IF(D12="","",Data!AW20)</f>
        <v>37</v>
      </c>
      <c r="F12" s="8" t="str">
        <f>IF(D12="","",Data!AV20)</f>
        <v>7626bdec-9c3f-4abf-bf11-47ad3d6f6b2f</v>
      </c>
      <c r="G12" s="8" t="str">
        <f>IF(D12="","",Data!BF$5)</f>
        <v>Hare, Kaitlin</v>
      </c>
      <c r="H12" s="8" t="str">
        <f>IF(D12="","",Data!AX$5)</f>
        <v>Whole House</v>
      </c>
      <c r="I12" s="8" t="str">
        <f>IF(D12="","",'Job Sheet'!BH20)</f>
        <v>DBS to Make</v>
      </c>
      <c r="J12" s="8">
        <f>IF(D12="","",IF(OR(VLOOKUP(CONCATENATE('Tube Cutting'!E20,'Tube Cutting'!D20),TrackManufacturing,2,FALSE)="Wavefold White",VLOOKUP(CONCATENATE('Tube Cutting'!E20,'Tube Cutting'!D20),TrackManufacturing,2,FALSE)="Wavefold Black",VLOOKUP(CONCATENATE('Tube Cutting'!E20,'Tube Cutting'!D20),TrackManufacturing,2,FALSE)="Wavefold Matt Satin"),('Job Sheet'!BP20*2)/1000,""))</f>
        <v>10.11</v>
      </c>
      <c r="K12" s="125">
        <f>IF(D12="","",IF(OR(VLOOKUP(CONCATENATE('Tube Cutting'!E20,'Tube Cutting'!D20),TrackManufacturing,2,FALSE)="Wavefold White",VLOOKUP(CONCATENATE('Tube Cutting'!E20,'Tube Cutting'!D20),TrackManufacturing,2,FALSE)="Wavefold Matt Satin"),J12*10,""))</f>
        <v>101.1</v>
      </c>
      <c r="L12" s="125" t="str">
        <f>IF(D12="","",IF(VLOOKUP(CONCATENATE('Tube Cutting'!E20,'Tube Cutting'!D20),TrackManufacturing,2,FALSE)="Wavefold Black",J12*10,""))</f>
        <v/>
      </c>
      <c r="M12" s="126">
        <f>IF(D12="","",IF(OR(VLOOKUP(CONCATENATE('Tube Cutting'!E20,'Tube Cutting'!D20),TrackManufacturing,2,FALSE)="Wavefold White",VLOOKUP(CONCATENATE('Tube Cutting'!E20,'Tube Cutting'!D20),TrackManufacturing,2,FALSE)="System 20 White"),'Tube Cutting'!C20/1000,""))</f>
        <v>4.994</v>
      </c>
      <c r="N12" s="126" t="str">
        <f>IF(D12="","",IF(OR(VLOOKUP(CONCATENATE('Tube Cutting'!E20,'Tube Cutting'!D20),TrackManufacturing,2,FALSE)="Wavefold Black",VLOOKUP(CONCATENATE('Tube Cutting'!E20,'Tube Cutting'!D20),TrackManufacturing,2,FALSE)="System 20 Black"),'Tube Cutting'!C20/1000,""))</f>
        <v/>
      </c>
      <c r="O12" s="126" t="str">
        <f>IF(D12="","",IF(OR(VLOOKUP(CONCATENATE('Tube Cutting'!E20,'Tube Cutting'!D20),TrackManufacturing,2,FALSE)="Wavefold Matt Satin",VLOOKUP(CONCATENATE('Tube Cutting'!E20,'Tube Cutting'!D20),TrackManufacturing,2,FALSE)="System 20 Matt Satin"),'Tube Cutting'!C20/1000,""))</f>
        <v/>
      </c>
      <c r="P12" s="125">
        <f>IF(D12="","",IF(AND((OR('Tube Cutting'!D20="White",'Tube Cutting'!D20="Matt Satin")),(OR('Tube Cutting'!E20="Wavefold Hand Operation",'Tube Cutting'!E20="Wavefold Cord Operation"))),IF(M12="",O12*20,M12*20),""))</f>
        <v>99.88</v>
      </c>
      <c r="Q12" s="125" t="str">
        <f>IF(D12="","",IF(AND('Tube Cutting'!D20="Black",(OR('Tube Cutting'!E20="Wavefold Hand Operation",'Tube Cutting'!E20="Wavefold Cord Operation"))),N12*20,""))</f>
        <v/>
      </c>
      <c r="R12" s="125" t="str">
        <f>IF(D12="","",IF(OR('Tube Cutting'!E20="Streamline Hand Operation",'Tube Cutting'!E20="Streamline Cord Operation"),Assembly!G20,""))</f>
        <v/>
      </c>
      <c r="S12" s="8" t="str">
        <f>IF(D12="","",IF(VLOOKUP(CONCATENATE('Tube Cutting'!E20,'Tube Cutting'!D20),TrackManufacturing,2,FALSE)="Streamline White",'Tube Cutting'!C20/1000,""))</f>
        <v/>
      </c>
      <c r="T12" s="8" t="str">
        <f>IF(D12="","",IF(VLOOKUP(CONCATENATE('Tube Cutting'!E20,'Tube Cutting'!D20),TrackManufacturing,2,FALSE)="Streamline Matt Black Ink",'Tube Cutting'!C20/1000,""))</f>
        <v/>
      </c>
      <c r="U12" s="8" t="str">
        <f>IF(D12="","",IF(VLOOKUP(CONCATENATE('Tube Cutting'!E20,'Tube Cutting'!D20),TrackManufacturing,2,FALSE)="Streamline Birch White",'Tube Cutting'!C20/1000,""))</f>
        <v/>
      </c>
      <c r="V12" s="8" t="str">
        <f>IF(D12="","",IF(VLOOKUP(CONCATENATE('Tube Cutting'!E20,'Tube Cutting'!D20),TrackManufacturing,2,FALSE)="Streamline Matt Satin",'Tube Cutting'!C20/1000,""))</f>
        <v/>
      </c>
      <c r="W12" s="8" t="str">
        <f>IF(Bagging!H20="White Aluminium Flick Sticks 100cm",Bagging!I20,"")</f>
        <v/>
      </c>
      <c r="X12" s="8" t="str">
        <f>IF(Bagging!H20="White Aluminium Flick Sticks 125cm",Bagging!I20,"")</f>
        <v>2</v>
      </c>
      <c r="Y12" s="8" t="str">
        <f>IF(Bagging!H20="White Aluminium Flick Sticks 150cm",Bagging!I20,"")</f>
        <v/>
      </c>
      <c r="Z12" s="8" t="str">
        <f>IF(Bagging!H20="Black Aluminium Flick Sticks 100cm",Bagging!I20,"")</f>
        <v/>
      </c>
      <c r="AA12" s="8" t="str">
        <f>IF(Bagging!H20="Black Aluminium Flick Sticks 125cm",Bagging!I20,"")</f>
        <v/>
      </c>
      <c r="AB12" s="8" t="str">
        <f>IF(Bagging!H20="Black Aluminium Flick Sticks 150cm",Bagging!I20,"")</f>
        <v/>
      </c>
      <c r="AC12" s="8" t="str">
        <f>IF(Bagging!H20="Matt Satin Aluminium Flick Sticks 100cm",Bagging!I20,"")</f>
        <v/>
      </c>
      <c r="AD12" s="8" t="str">
        <f>IF(Bagging!H20="Black Aluminium Flick Sticks 125cm",Bagging!I20,"")</f>
        <v/>
      </c>
      <c r="AE12" s="8" t="str">
        <f>IF(Bagging!H20="Black Aluminium Flick Sticks 150cm",Bagging!I20,"")</f>
        <v/>
      </c>
      <c r="AF12" s="8" t="str">
        <f>IF(Bagging!H20="Standard Clear 75cm",Bagging!I20,"")</f>
        <v/>
      </c>
      <c r="AG12" s="8" t="str">
        <f>IF(Bagging!H20="Standard Clear 100cm",Bagging!I20,"")</f>
        <v/>
      </c>
      <c r="AH12" s="8" t="str">
        <f>IF(Bagging!H20="Standard Clear 125cm",Bagging!I20,"")</f>
        <v/>
      </c>
      <c r="AI12" s="8" t="str">
        <f>IF(Bagging!H20="Standard Clear 150cm",Bagging!I20,"")</f>
        <v/>
      </c>
      <c r="AJ12" s="8" t="str">
        <f>IF(Bagging!H20="White Fibreglass 200cm",Bagging!I20,"")</f>
        <v/>
      </c>
      <c r="AK12" s="8" t="str">
        <f>IF(Bagging!H20="White Fibreglass 250cm",Bagging!I20,"")</f>
        <v/>
      </c>
      <c r="AL12" s="8" t="str">
        <f>IF(D12="","",IF(AND(OR(VLOOKUP(CONCATENATE('Tube Cutting'!E20,'Tube Cutting'!D20),TrackManufacturing,2,FALSE)="Wavefold White",VLOOKUP(CONCATENATE('Tube Cutting'!E20,'Tube Cutting'!D20),TrackManufacturing,2,FALSE)="System 20 White"),(Bagging!D20="Top Fix Brackets")),Bagging!F20,""))</f>
        <v/>
      </c>
      <c r="AM12" s="8">
        <f>IF(D12="","",IF(AND(OR(VLOOKUP(CONCATENATE('Tube Cutting'!E20,'Tube Cutting'!D20),TrackManufacturing,2,FALSE)="Wavefold White",VLOOKUP(CONCATENATE('Tube Cutting'!E20,'Tube Cutting'!D20),TrackManufacturing,2,FALSE)="System 20 White"),(Bagging!D20="Single Face Fix Brackets")),Bagging!F20,""))</f>
        <v>7</v>
      </c>
      <c r="AN12" s="8" t="str">
        <f>IF(D12="","",IF(AND(OR(VLOOKUP(CONCATENATE('Tube Cutting'!E20,'Tube Cutting'!D20),TrackManufacturing,2,FALSE)="Wavefold White",VLOOKUP(CONCATENATE('Tube Cutting'!E20,'Tube Cutting'!D20),TrackManufacturing,2,FALSE)="System 20 White"),(Bagging!D20="Double Face Fix Brackets")),Bagging!F20,""))</f>
        <v/>
      </c>
      <c r="AO12" s="8" t="str">
        <f>IF(D12="","",IF(AND(OR(VLOOKUP(CONCATENATE('Tube Cutting'!E20,'Tube Cutting'!D20),TrackManufacturing,2,FALSE)="Wavefold White",VLOOKUP(CONCATENATE('Tube Cutting'!E20,'Tube Cutting'!D20),TrackManufacturing,2,FALSE)="System 20 White"),(Bagging!D20="Triple Face Fix Brackets")),Bagging!F20,""))</f>
        <v/>
      </c>
      <c r="AP12" s="8" t="str">
        <f>IF(D12="","",IF(AND(OR(VLOOKUP(CONCATENATE('Tube Cutting'!E20,'Tube Cutting'!D20),TrackManufacturing,2,FALSE)="Wavefold Black",VLOOKUP(CONCATENATE('Tube Cutting'!E20,'Tube Cutting'!D20),TrackManufacturing,2,FALSE)="System 20 Black"),(Bagging!D20="Top Fix Brackets")),Bagging!F20,""))</f>
        <v/>
      </c>
      <c r="AQ12" s="8" t="str">
        <f>IF(D12="","",IF(AND(OR(VLOOKUP(CONCATENATE('Tube Cutting'!E20,'Tube Cutting'!D20),TrackManufacturing,2,FALSE)="Wavefold Black",VLOOKUP(CONCATENATE('Tube Cutting'!E20,'Tube Cutting'!D20),TrackManufacturing,2,FALSE)="System 20 Black"),(Bagging!D20="Single Face Fix Brackets")),Bagging!F20,""))</f>
        <v/>
      </c>
      <c r="AR12" s="8" t="str">
        <f>IF(D12="","",IF(AND(OR(VLOOKUP(CONCATENATE('Tube Cutting'!E20,'Tube Cutting'!D20),TrackManufacturing,2,FALSE)="Wavefold Black",VLOOKUP(CONCATENATE('Tube Cutting'!E20,'Tube Cutting'!D20),TrackManufacturing,2,FALSE)="System 20 Black"),(Bagging!D20="Double Face Fix Brackets")),Bagging!F20,""))</f>
        <v/>
      </c>
      <c r="AS12" s="8" t="str">
        <f>IF(D12="","",IF(AND(OR(VLOOKUP(CONCATENATE('Tube Cutting'!E20,'Tube Cutting'!D20),TrackManufacturing,2,FALSE)="Wavefold Black",VLOOKUP(CONCATENATE('Tube Cutting'!E20,'Tube Cutting'!D20),TrackManufacturing,2,FALSE)="System 20 Black"),(Bagging!D20="Triple Face Fix Brackets")),Bagging!F20,""))</f>
        <v/>
      </c>
      <c r="AT12" s="8" t="str">
        <f>IF(D12="","",IF(AND(OR(VLOOKUP(CONCATENATE('Tube Cutting'!E20,'Tube Cutting'!D20),TrackManufacturing,2,FALSE)="Wavefold Matt Satin",VLOOKUP(CONCATENATE('Tube Cutting'!E20,'Tube Cutting'!D20),TrackManufacturing,2,FALSE)="System 20 Matt Satin"),(Bagging!D20="Top Fix Brackets")),Bagging!F20,""))</f>
        <v/>
      </c>
      <c r="AU12" s="8" t="str">
        <f>IF(D12="","",IF(AND(OR(VLOOKUP(CONCATENATE('Tube Cutting'!E20,'Tube Cutting'!D20),TrackManufacturing,2,FALSE)="Wavefold Matt Satin",VLOOKUP(CONCATENATE('Tube Cutting'!E20,'Tube Cutting'!D20),TrackManufacturing,2,FALSE)="System 20 Matt Satin"),(Bagging!D20="Single Face Fix Brackets")),Bagging!F20,""))</f>
        <v/>
      </c>
      <c r="AV12" s="8" t="str">
        <f>IF(D12="","",IF(AND(OR(VLOOKUP(CONCATENATE('Tube Cutting'!E20,'Tube Cutting'!D20),TrackManufacturing,2,FALSE)="Wavefold Matt Satin",VLOOKUP(CONCATENATE('Tube Cutting'!E20,'Tube Cutting'!D20),TrackManufacturing,2,FALSE)="System 20 Matt Satin"),(Bagging!D20="Double Face Fix Brackets")),Bagging!F20,""))</f>
        <v/>
      </c>
      <c r="AW12" s="8" t="str">
        <f>IF(D12="","",IF(AND(OR(VLOOKUP(CONCATENATE('Tube Cutting'!E20,'Tube Cutting'!D20),TrackManufacturing,2,FALSE)="Wavefold Matt Satin",VLOOKUP(CONCATENATE('Tube Cutting'!E20,'Tube Cutting'!D20),TrackManufacturing,2,FALSE)="System 20 Matt Satin"),(Bagging!D20="Triple Face Fix Brackets")),Bagging!F20,""))</f>
        <v/>
      </c>
      <c r="AX12" s="8" t="str">
        <f>IF(D12="","",IF(AND(VLOOKUP(CONCATENATE('Tube Cutting'!E20,'Tube Cutting'!D20),TrackManufacturing,2,FALSE)="Streamline White",(Bagging!D20="Nylon Top Fix Brackets")),VLOOKUP('Job Sheet'!BP20,Brackets,2,TRUE),""))</f>
        <v/>
      </c>
      <c r="AY12" s="8" t="str">
        <f>IF(D12="","",IF(AND(VLOOKUP(CONCATENATE('Tube Cutting'!E20,'Tube Cutting'!D20),TrackManufacturing,2,FALSE)="Streamline White",(Bagging!D20="Metal Fix Brackets")),VLOOKUP('Job Sheet'!BP20,Brackets,2,TRUE),""))</f>
        <v/>
      </c>
      <c r="AZ12" s="8" t="str">
        <f>IF(D12="","",IF(AND(VLOOKUP(CONCATENATE('Tube Cutting'!E20,'Tube Cutting'!D20),TrackManufacturing,2,FALSE)="Streamline White",(Bagging!D20="Single Face Fix Brackets")),Bagging!F20,""))</f>
        <v/>
      </c>
      <c r="BA12" s="8" t="str">
        <f>IF(D12="","",IF(AND(VLOOKUP(CONCATENATE('Tube Cutting'!E20,'Tube Cutting'!D20),TrackManufacturing,2,FALSE)="Streamline White",(Bagging!D20="Double Face Fix Brackets")),Bagging!F20,""))</f>
        <v/>
      </c>
      <c r="BB12" s="8" t="str">
        <f>IF(D12="","",IF(AND(VLOOKUP(CONCATENATE('Tube Cutting'!E20,'Tube Cutting'!D20),TrackManufacturing,2,FALSE)="Streamline White",(Bagging!D20="Triple Face Fix Brackets")),Bagging!F20,""))</f>
        <v/>
      </c>
      <c r="BC12" s="8" t="str">
        <f>IF(D12="","",IF(AND(VLOOKUP(CONCATENATE('Tube Cutting'!E20,'Tube Cutting'!D20),TrackManufacturing,2,FALSE)="Streamline White",(Bagging!D20="32mm Face Fix Brackets")),Bagging!F20,""))</f>
        <v/>
      </c>
      <c r="BD12" s="8" t="str">
        <f>IF(D12="","",IF(AND(VLOOKUP(CONCATENATE('Tube Cutting'!E20,'Tube Cutting'!D20),TrackManufacturing,2,FALSE)="Streamline Matt Black Ink",(Bagging!D20="Top Fix Brackets")),VLOOKUP('Job Sheet'!BP20,Brackets,2,TRUE),""))</f>
        <v/>
      </c>
      <c r="BE12" s="8" t="str">
        <f>IF(D12="","",IF(AND(VLOOKUP(CONCATENATE('Tube Cutting'!E20,'Tube Cutting'!D20),TrackManufacturing,2,FALSE)="Streamline White",(Bagging!D20="Metal Fix Brackets")),VLOOKUP('Job Sheet'!BP20,Brackets,2,TRUE),""))</f>
        <v/>
      </c>
      <c r="BF12" s="8" t="str">
        <f>IF(D12="","",IF(AND(VLOOKUP(CONCATENATE('Tube Cutting'!E20,'Tube Cutting'!D20),TrackManufacturing,2,FALSE)="Streamline Matt Black Ink",(Bagging!D20="Single Face Fix Brackets")),Bagging!F20,""))</f>
        <v/>
      </c>
      <c r="BG12" s="8" t="str">
        <f>IF(D12="","",IF(AND(VLOOKUP(CONCATENATE('Tube Cutting'!E20,'Tube Cutting'!D20),TrackManufacturing,2,FALSE)="Streamline Matt Black Ink",(Bagging!D20="Double Face Fix Brackets")),Bagging!F20,""))</f>
        <v/>
      </c>
      <c r="BH12" s="8" t="str">
        <f>IF(D12="","",IF(AND(VLOOKUP(CONCATENATE('Tube Cutting'!E20,'Tube Cutting'!D20),TrackManufacturing,2,FALSE)="Streamline Matt Black Ink",(Bagging!D20="Triple Face Fix Brackets")),Bagging!F20,""))</f>
        <v/>
      </c>
      <c r="BI12" s="8" t="str">
        <f>IF(D12="","",IF(AND(VLOOKUP(CONCATENATE('Tube Cutting'!E20,'Tube Cutting'!D20),TrackManufacturing,2,FALSE)="Streamline Matt Black Ink",(Bagging!D20="32mm Face Fix Brackets")),Bagging!F20,""))</f>
        <v/>
      </c>
      <c r="BJ12" s="8" t="str">
        <f>IF(D12="","",IF(AND(VLOOKUP(CONCATENATE('Tube Cutting'!E20,'Tube Cutting'!D20),TrackManufacturing,2,FALSE)="Streamline Birch White",(Bagging!D20="Top Fix Brackets")),VLOOKUP('Job Sheet'!BP20,Brackets,2,TRUE),""))</f>
        <v/>
      </c>
      <c r="BK12" s="8" t="str">
        <f>IF(D12="","",IF(AND(VLOOKUP(CONCATENATE('Tube Cutting'!E20,'Tube Cutting'!D20),TrackManufacturing,2,FALSE)="Streamline White",(Bagging!D20="Metal Fix Brackets")),VLOOKUP('Job Sheet'!BP20,Brackets,2,TRUE),""))</f>
        <v/>
      </c>
      <c r="BL12" s="8" t="str">
        <f>IF(D12="","",IF(AND(VLOOKUP(CONCATENATE('Tube Cutting'!E20,'Tube Cutting'!D20),TrackManufacturing,2,FALSE)="Streamline Birch White",(Bagging!D20="Single Face Fix Brackets")),Bagging!F20,""))</f>
        <v/>
      </c>
      <c r="BM12" s="8" t="str">
        <f>IF(D12="","",IF(AND(VLOOKUP(CONCATENATE('Tube Cutting'!E20,'Tube Cutting'!D20),TrackManufacturing,2,FALSE)="Streamline Birch White",(Bagging!D20="Double Face Fix Brackets")),Bagging!F20,""))</f>
        <v/>
      </c>
      <c r="BN12" s="8" t="str">
        <f>IF(D12="","",IF(AND(VLOOKUP(CONCATENATE('Tube Cutting'!E20,'Tube Cutting'!D20),TrackManufacturing,2,FALSE)="Streamline Birch White",(Bagging!D20="Triple Face Fix Brackets")),Bagging!F20,""))</f>
        <v/>
      </c>
      <c r="BO12" s="8" t="str">
        <f>IF(D12="","",IF(AND(VLOOKUP(CONCATENATE('Tube Cutting'!E20,'Tube Cutting'!D20),TrackManufacturing,2,FALSE)="Streamline Birch White",(Bagging!D20="32mm Face Fix Brackets")),Bagging!F20,""))</f>
        <v/>
      </c>
      <c r="BP12" s="8" t="str">
        <f>IF(K12="","",IF(AND(VLOOKUP(CONCATENATE('Tube Cutting'!K20,'Tube Cutting'!J20),TrackManufacturing,2,FALSE)="Streamline Birch White",(Bagging!J20="Top Fix Brackets")),VLOOKUP('Job Sheet'!BU20,Brackets,2,TRUE),""))</f>
        <v/>
      </c>
      <c r="BQ12" s="8" t="str">
        <f>IF(K12="","",IF(AND(VLOOKUP(CONCATENATE('Tube Cutting'!K20,'Tube Cutting'!J20),TrackManufacturing,2,FALSE)="Streamline White",(Bagging!J20="Metal Fix Brackets")),VLOOKUP('Job Sheet'!BU20,Brackets,2,TRUE),""))</f>
        <v/>
      </c>
      <c r="BR12" s="8" t="str">
        <f>IF(K12="","",IF(AND(VLOOKUP(CONCATENATE('Tube Cutting'!K20,'Tube Cutting'!J20),TrackManufacturing,2,FALSE)="Streamline Birch White",(Bagging!J20="Single Face Fix Brackets")),Bagging!L20,""))</f>
        <v/>
      </c>
      <c r="BS12" s="8" t="str">
        <f>IF(K12="","",IF(AND(VLOOKUP(CONCATENATE('Tube Cutting'!K20,'Tube Cutting'!J20),TrackManufacturing,2,FALSE)="Streamline Birch White",(Bagging!J20="Double Face Fix Brackets")),Bagging!L20,""))</f>
        <v/>
      </c>
      <c r="BT12" s="8" t="str">
        <f>IF(K12="","",IF(AND(VLOOKUP(CONCATENATE('Tube Cutting'!K20,'Tube Cutting'!J20),TrackManufacturing,2,FALSE)="Streamline Birch White",(Bagging!J20="Triple Face Fix Brackets")),Bagging!L20,""))</f>
        <v/>
      </c>
      <c r="BU12" s="8" t="str">
        <f>IF(K12="","",IF(AND(VLOOKUP(CONCATENATE('Tube Cutting'!K20,'Tube Cutting'!J20),TrackManufacturing,2,FALSE)="Streamline Birch White",(Bagging!J20="32mm Face Fix Brackets")),Bagging!L20,""))</f>
        <v/>
      </c>
      <c r="BV12" s="8" t="str">
        <f>IF(AND('Tube Cutting'!D20="White",Bagging!D20="Top Fix Brackets"),Bagging!F20,"")</f>
        <v/>
      </c>
      <c r="BW12" s="8">
        <f>IF(AND('Tube Cutting'!D20="White",Bagging!D20="Single Face Fix Brackets"),Bagging!F20,"")</f>
        <v>7</v>
      </c>
      <c r="BX12" s="8" t="str">
        <f>IF(AND('Tube Cutting'!D20="White",Bagging!D20="Double Face Fix Brackets"),Bagging!F20,"")</f>
        <v/>
      </c>
      <c r="BY12" s="8" t="str">
        <f>IF(AND('Tube Cutting'!D20="White",Bagging!D20="Triple Face Fix Brackets"),Bagging!F20,"")</f>
        <v/>
      </c>
      <c r="BZ12" s="8" t="str">
        <f>IF(AND('Tube Cutting'!D20="Black",Bagging!D20="Top Fix Brackets"),Bagging!F20,"")</f>
        <v/>
      </c>
      <c r="CA12" s="8" t="str">
        <f>IF(AND('Tube Cutting'!D20="Black",Bagging!D20="Single Face Fix Brackets"),Bagging!F20,"")</f>
        <v/>
      </c>
      <c r="CB12" s="8" t="str">
        <f>IF(AND('Tube Cutting'!D20="Black",Bagging!D20="Double Face Fix Brackets"),Bagging!F20,"")</f>
        <v/>
      </c>
      <c r="CC12" s="8" t="str">
        <f>IF(AND('Tube Cutting'!D20="Black",Bagging!D20="Triple Fix Brackets"),Bagging!F20,"")</f>
        <v/>
      </c>
      <c r="CD12" s="8" t="str">
        <f>IF(AND('Tube Cutting'!D20="Matt Satin",Bagging!D20="Top Fix Brackets"),Bagging!F20,"")</f>
        <v/>
      </c>
      <c r="CE12" s="8" t="str">
        <f>IF(AND('Tube Cutting'!D20="Matt Satin",Bagging!D20="Single Face Fix Brackets"),Bagging!F20,"")</f>
        <v/>
      </c>
      <c r="CF12" s="8" t="str">
        <f>IF(AND('Tube Cutting'!D20="Matt Satin",Bagging!D20="Double Face Fix Brackets"),Bagging!F20,"")</f>
        <v/>
      </c>
      <c r="CG12" s="8" t="str">
        <f>IF(AND('Tube Cutting'!D20="Matt Satin",Bagging!D20="Triple Fix Brackets"),Bagging!F20,"")</f>
        <v/>
      </c>
      <c r="CH12" s="8" t="str">
        <f>IF(D12="","",IF(AND('Tube Cutting'!D20="White",(OR(Bagging!J20="Single Left",Bagging!J20="Single Left &amp; Right"))),"1",""))</f>
        <v/>
      </c>
      <c r="CI12" s="8" t="str">
        <f>IF(D12="","",IF(AND('Tube Cutting'!D20="Black",(OR(Bagging!J20="Single Left",Bagging!J20="Single Left &amp; Right"))),"1",""))</f>
        <v/>
      </c>
      <c r="CJ12" s="8" t="str">
        <f>IF(D12="","",IF(AND('Tube Cutting'!D20="Matt Satin",(OR(Bagging!J20="Single Left",Bagging!J20="Single Left &amp; Right"))),"1",""))</f>
        <v/>
      </c>
      <c r="CK12" s="8" t="str">
        <f>IF(D12="","",IF(AND('Tube Cutting'!D20="White",(OR(Bagging!J20="Single Right",Bagging!J20="Single Left &amp; Right"))),"1",""))</f>
        <v/>
      </c>
      <c r="CL12" s="8" t="str">
        <f>IF(D12="","",IF(AND('Tube Cutting'!D20="Black",(OR(Bagging!J20="Single Right",Bagging!J20="Single Left &amp; Right"))),"1",""))</f>
        <v/>
      </c>
      <c r="CM12" s="8" t="str">
        <f>IF(D12="","",IF(AND('Tube Cutting'!D20="Matt Satin",(OR(Bagging!J20="Single Right",Bagging!J20="Single Left &amp; Right"))),"1",""))</f>
        <v/>
      </c>
      <c r="CN12" s="8" t="str">
        <f>IF(D12="","",IF(AND('Tube Cutting'!D20="White",(OR(Bagging!J20="Double Left",Bagging!J20="Double Left &amp; Right"))),"1",""))</f>
        <v/>
      </c>
      <c r="CO12" s="8" t="str">
        <f>IF(D12="","",IF(AND('Tube Cutting'!D20="Black",(OR(Bagging!J20="Double Left",Bagging!J20="Double Left &amp; Right"))),"1",""))</f>
        <v/>
      </c>
      <c r="CP12" s="8" t="str">
        <f>IF(D12="","",IF(AND('Tube Cutting'!D20="Matt Satin",(OR(Bagging!J20="Double Left",Bagging!J20="Double Left &amp; Right"))),"1",""))</f>
        <v/>
      </c>
      <c r="CQ12" s="8" t="str">
        <f>IF(D12="","",IF(AND('Tube Cutting'!D20="White",(OR(Bagging!J20="Double Right",Bagging!J20="Double Left &amp; Right"))),"1",""))</f>
        <v/>
      </c>
      <c r="CR12" s="8" t="str">
        <f>IF(D12="","",IF(AND('Tube Cutting'!D20="Black",(OR(Bagging!J20="Double Right",Bagging!J20="Double Left &amp; Right"))),"1",""))</f>
        <v/>
      </c>
      <c r="CS12" s="8" t="str">
        <f>IF(D12="","",IF(AND('Tube Cutting'!D20="Matt Satin",(OR(Bagging!J20="Double Right",Bagging!J20="Double Left &amp; Right"))),"1",""))</f>
        <v/>
      </c>
      <c r="CT12" s="8" t="str">
        <f>IF(D12="","",IF(VLOOKUP(CONCATENATE('Tube Cutting'!E20,'Tube Cutting'!D20),TrackManufacturing,2,FALSE)="Streamline White",1,""))</f>
        <v/>
      </c>
      <c r="CU12" s="8" t="str">
        <f>IF(D12="","",IF(VLOOKUP(CONCATENATE('Tube Cutting'!E20,'Tube Cutting'!D20),TrackManufacturing,2,FALSE)="Streamline Matt Black Ink",1,""))</f>
        <v/>
      </c>
      <c r="CV12" s="8" t="str">
        <f>IF(D12="","",IF(VLOOKUP(CONCATENATE('Tube Cutting'!E20,'Tube Cutting'!D20),TrackManufacturing,2,FALSE)="Streamline Birch White",1,""))</f>
        <v/>
      </c>
      <c r="CW12" s="8" t="str">
        <f>IF(D12="","",IF(VLOOKUP(CONCATENATE('Tube Cutting'!E20,'Tube Cutting'!D20),TrackManufacturing,2,FALSE)="Streamline Matt Satin",1,""))</f>
        <v/>
      </c>
      <c r="CX12" s="8" t="str">
        <f>IF(D12="","",IF(AND(VLOOKUP(CONCATENATE('Tube Cutting'!E20,'Tube Cutting'!D20),TrackManufacturing,2,FALSE)="Streamline White",(OR(Assembly!F20="Centre Opening",Assembly!F20="Centre Opening - Free Flowing",Assembly!F20="Centre Opening (Offset)",Assembly!F20="Centre Opening - Free Flowing (Offset)"))),1,""))</f>
        <v/>
      </c>
      <c r="CY12" s="8" t="str">
        <f>IF(D12="","",IF(AND(VLOOKUP(CONCATENATE('Tube Cutting'!E20,'Tube Cutting'!D20),TrackManufacturing,2,FALSE)="Streamline Matt Black Ink",(OR(Assembly!F20="Centre Opening",Assembly!F20="Centre Opening - Free Flowing",Assembly!F20="Centre Opening (Offset)",Assembly!F20="Centre Opening - Free Flowing (Offset)"))),1,""))</f>
        <v/>
      </c>
      <c r="CZ12" s="8" t="str">
        <f>IF(D12="","",IF(AND(VLOOKUP(CONCATENATE('Tube Cutting'!E20,'Tube Cutting'!D20),TrackManufacturing,2,FALSE)="Streamline Birch White",(OR(Assembly!F20="Centre Opening",Assembly!F20="Centre Opening - Free Flowing",Assembly!F20="Centre Opening (Offset)",Assembly!F20="Centre Opening - Free Flowing (Offset)"))),1,""))</f>
        <v/>
      </c>
      <c r="DA12" s="8" t="str">
        <f>IF(D12="","",IF(AND(VLOOKUP(CONCATENATE('Tube Cutting'!E20,'Tube Cutting'!D20),TrackManufacturing,2,FALSE)="Streamline Matt Satin",(OR(Assembly!F20="Centre Opening",Assembly!F20="Centre Opening - Free Flowing",Assembly!F20="Centre Opening (Offset)",Assembly!F20="Centre Opening - Free Flowing (Offset)"))),1,""))</f>
        <v/>
      </c>
      <c r="DB12" s="8" t="str">
        <f>IF(OR('Job Sheet'!Z20="Conduit",I12&lt;&gt;"DBS to Make"),"",IF(VLOOKUP(CONCATENATE(Assembly!C20,Assembly!F20),PulleysEndCaps,2,FALSE)="","",IF('Tube Cutting'!D20="White",VLOOKUP(CONCATENATE(Assembly!C20,Assembly!F20),PulleysEndCaps,2,FALSE),"")))</f>
        <v/>
      </c>
      <c r="DC12" s="8" t="str">
        <f>IF(OR('Job Sheet'!Z20="Conduit",I12&lt;&gt;"DBS to Make"),"",IF(VLOOKUP(CONCATENATE(Assembly!C20,Assembly!F20),PulleysEndCaps,2,FALSE)="","",IF('Tube Cutting'!D20="Black",VLOOKUP(CONCATENATE(Assembly!C20,Assembly!F20),PulleysEndCaps,2,FALSE),"")))</f>
        <v/>
      </c>
      <c r="DD12" s="8" t="str">
        <f>IF(OR('Job Sheet'!Z20="Conduit",I12&lt;&gt;"DBS to Make"),"",IF(VLOOKUP(CONCATENATE(Assembly!C20,Assembly!F20),PulleysEndCaps,2,FALSE)="","",IF('Tube Cutting'!D20="Matt Satin",VLOOKUP(CONCATENATE(Assembly!C20,Assembly!F20),PulleysEndCaps,2,FALSE),"")))</f>
        <v/>
      </c>
      <c r="DE12" s="8" t="str">
        <f>IF(OR('Job Sheet'!Z20="Conduit",I12&lt;&gt;"DBS to Make"),"",IF(VLOOKUP(CONCATENATE(Assembly!C20,Assembly!F20),PulleysEndCaps,3,FALSE)="","",IF('Tube Cutting'!D20="White",VLOOKUP(CONCATENATE(Assembly!C20,Assembly!F20),PulleysEndCaps,3,FALSE),"")))</f>
        <v/>
      </c>
      <c r="DF12" s="8" t="str">
        <f>IF(OR('Job Sheet'!Z20="Conduit",I12&lt;&gt;"DBS to Make"),"",IF(VLOOKUP(CONCATENATE(Assembly!C20,Assembly!F20),PulleysEndCaps,3,FALSE)="","",IF('Tube Cutting'!D20="Black",VLOOKUP(CONCATENATE(Assembly!C20,Assembly!F20),PulleysEndCaps,3,FALSE),"")))</f>
        <v/>
      </c>
      <c r="DG12" s="8" t="str">
        <f>IF(OR('Job Sheet'!Z20="Conduit",I12&lt;&gt;"DBS to Make"),"",IF(VLOOKUP(CONCATENATE(Assembly!C20,Assembly!F20),PulleysEndCaps,3,FALSE)="","",IF('Tube Cutting'!D20="Matt Satin",VLOOKUP(CONCATENATE(Assembly!C20,Assembly!F20),PulleysEndCaps,3,FALSE),"")))</f>
        <v/>
      </c>
      <c r="DH12" s="8" t="str">
        <f>IF(OR('Job Sheet'!Z20="Conduit",I12&lt;&gt;"DBS to Make"),"",IF(VLOOKUP(CONCATENATE(Assembly!C20,Assembly!F20),PulleysEndCaps,6,FALSE)="","",IF('Tube Cutting'!D20="White",VLOOKUP(CONCATENATE(Assembly!C20,Assembly!F20),PulleysEndCaps,6,FALSE),"")))</f>
        <v/>
      </c>
      <c r="DI12" s="8" t="str">
        <f>IF(OR('Job Sheet'!Z20="Conduit",I12&lt;&gt;"DBS to Make"),"",IF(VLOOKUP(CONCATENATE(Assembly!C20,Assembly!F20),PulleysEndCaps,6,FALSE)="","",IF('Tube Cutting'!D20="Matt Black Ink",VLOOKUP(CONCATENATE(Assembly!C20,Assembly!F20),PulleysEndCaps,6,FALSE),"")))</f>
        <v/>
      </c>
      <c r="DJ12" s="8" t="str">
        <f>IF(OR('Job Sheet'!Z20="Conduit",I12&lt;&gt;"DBS to Make"),"",IF(VLOOKUP(CONCATENATE(Assembly!C20,Assembly!F20),PulleysEndCaps,6,FALSE)="","",IF('Tube Cutting'!D20="Birch White",VLOOKUP(CONCATENATE(Assembly!C20,Assembly!F20),PulleysEndCaps,6,FALSE),"")))</f>
        <v/>
      </c>
      <c r="DK12" s="8" t="str">
        <f>IF(OR('Job Sheet'!Z20="Conduit",'Job Sheet'!Z20="Conduit x 2",I12&lt;&gt;"DBS to Make"),"",IF(VLOOKUP(CONCATENATE(Assembly!C20,Assembly!F20),PulleysEndCaps,6,FALSE)="","",IF('Tube Cutting'!D20="Matt Satin",VLOOKUP(CONCATENATE(Assembly!C20,Assembly!F20),PulleysEndCaps,6,FALSE),"")))</f>
        <v/>
      </c>
      <c r="DL12" s="8" t="str">
        <f>IF(OR('Job Sheet'!Z20="Conduit",I12&lt;&gt;"DBS to Make"),"",IF(VLOOKUP(CONCATENATE(Assembly!C20,Assembly!F20),PulleysEndCaps,4,FALSE)="","",VLOOKUP(CONCATENATE(Assembly!C20,Assembly!F20),PulleysEndCaps,4,FALSE)))</f>
        <v/>
      </c>
      <c r="DM12" s="8" t="str">
        <f>IF(OR('Job Sheet'!Z20="Conduit",I12&lt;&gt;"DBS to Make"),"",IF(VLOOKUP(CONCATENATE(Assembly!C20,Assembly!F20),PulleysEndCaps,7,FALSE)="","",VLOOKUP(CONCATENATE(Assembly!C20,Assembly!F20),PulleysEndCaps,7,FALSE)))</f>
        <v/>
      </c>
      <c r="DN12" s="8" t="str">
        <f>IF(D12="","",IF(AND(OR(VLOOKUP(CONCATENATE('Tube Cutting'!E20,'Tube Cutting'!D20),TrackManufacturing,2,FALSE)="Wavefold White",VLOOKUP(CONCATENATE('Tube Cutting'!E20,'Tube Cutting'!D20),TrackManufacturing,2,FALSE)="Wavefold Black",VLOOKUP(CONCATENATE('Tube Cutting'!E20,'Tube Cutting'!D20),TrackManufacturing,2,FALSE)="Wavefold Matt Satin",VLOOKUP(CONCATENATE('Tube Cutting'!E20,'Tube Cutting'!D20),TrackManufacturing,2,FALSE)="System 20 White",VLOOKUP(CONCATENATE('Tube Cutting'!E20,'Tube Cutting'!D20),TrackManufacturing,2,FALSE)="System 20 Black",VLOOKUP(CONCATENATE('Tube Cutting'!E20,'Tube Cutting'!D20),TrackManufacturing,2,FALSE)="System 20 Matt Satin"),'Tube Cutting'!C20&gt;6000),1,""))</f>
        <v/>
      </c>
      <c r="DO12" s="8" t="str">
        <f>IF(D12="","",IF(AND(OR(VLOOKUP(CONCATENATE('Tube Cutting'!E20,'Tube Cutting'!D20),TrackManufacturing,2,FALSE)="Streamline White",VLOOKUP(CONCATENATE('Tube Cutting'!E20,'Tube Cutting'!D20),TrackManufacturing,2,FALSE)="Streamline Black",VLOOKUP(CONCATENATE('Tube Cutting'!E20,'Tube Cutting'!D20),TrackManufacturing,2,FALSE)="Streamline Birch White",VLOOKUP(CONCATENATE('Tube Cutting'!E20,'Tube Cutting'!D20),TrackManufacturing,2,FALSE)="Streamline Matt Satin"),'Tube Cutting'!C20&gt;6000),1,""))</f>
        <v/>
      </c>
      <c r="DP12" s="8">
        <f>IF(OR('Job Sheet'!Z20="Conduit",I12&lt;&gt;"DBS to Make"),"",IF(VLOOKUP(CONCATENATE(Assembly!C20,Assembly!F20),PulleysEndCaps,5,FALSE)="","",IF('Tube Cutting'!D20="White",VLOOKUP(CONCATENATE(Assembly!C20,Assembly!F20),PulleysEndCaps,5,FALSE),"")))</f>
        <v>2</v>
      </c>
      <c r="DQ12" s="8" t="str">
        <f>IF(OR('Job Sheet'!Z20="Conduit",I12&lt;&gt;"DBS to Make"),"",IF(VLOOKUP(CONCATENATE(Assembly!C20,Assembly!F20),PulleysEndCaps,5,FALSE)="","",IF('Tube Cutting'!D20="Black",VLOOKUP(CONCATENATE(Assembly!C20,Assembly!F20),PulleysEndCaps,5,FALSE),"")))</f>
        <v/>
      </c>
      <c r="DR12" s="8" t="str">
        <f>IF(OR('Job Sheet'!Z20="Conduit",I12&lt;&gt;"DBS to Make"),"",IF(VLOOKUP(CONCATENATE(Assembly!C20,Assembly!F20),PulleysEndCaps,5,FALSE)="","",IF('Tube Cutting'!D20="Matt Satin",VLOOKUP(CONCATENATE(Assembly!C20,Assembly!F20),PulleysEndCaps,5,FALSE),"")))</f>
        <v/>
      </c>
      <c r="DS12" s="8" t="str">
        <f>IF(OR('Job Sheet'!Z20="Conduit",I12&lt;&gt;"DBS to Make"),"",IF(VLOOKUP(CONCATENATE(Assembly!C20,Assembly!F20),PulleysEndCaps,8,FALSE)="","",IF('Tube Cutting'!D20="White",VLOOKUP(CONCATENATE(Assembly!C20,Assembly!F20),PulleysEndCaps,8,FALSE),"")))</f>
        <v/>
      </c>
      <c r="DT12" s="8" t="str">
        <f>IF(OR('Job Sheet'!Z20="Conduit",I12&lt;&gt;"DBS to Make"),"",IF(VLOOKUP(CONCATENATE(Assembly!C20,Assembly!F20),PulleysEndCaps,8,FALSE)="","",IF('Tube Cutting'!D20="Matt Black Ink",VLOOKUP(CONCATENATE(Assembly!C20,Assembly!F20),PulleysEndCaps,8,FALSE),"")))</f>
        <v/>
      </c>
      <c r="DU12" s="8" t="str">
        <f>IF(OR('Job Sheet'!Z20="Conduit",I12&lt;&gt;"DBS to Make"),"",IF(VLOOKUP(CONCATENATE(Assembly!C20,Assembly!F20),PulleysEndCaps,8,FALSE)="","",IF('Tube Cutting'!D20="Birch White",VLOOKUP(CONCATENATE(Assembly!C20,Assembly!F20),PulleysEndCaps,8,FALSE),"")))</f>
        <v/>
      </c>
      <c r="DV12" s="8" t="str">
        <f>IF(OR('Job Sheet'!Z20="Conduit",'Job Sheet'!Z20="Conduit x 2",I12&lt;&gt;"DBS to Make"),"",IF(VLOOKUP(CONCATENATE(Assembly!C20,Assembly!F20),PulleysEndCaps,8,FALSE)="","",IF('Tube Cutting'!D20="Matt Satin",VLOOKUP(CONCATENATE(Assembly!C20,Assembly!F20),PulleysEndCaps,8,FALSE),"")))</f>
        <v/>
      </c>
      <c r="DW12" s="8" t="str">
        <f>IF(D12="","",IF(AND(Assembly!C20="Wavefold Cord Operation",OR('Tube Cutting'!D20="White",'Tube Cutting'!D20="Matt Satin"),OR(Assembly!F20="Centre Opening",Assembly!F20="Centre Opening - Free Flowing",Assembly!F20="Centre Opening (Offset)",Assembly!F20="Centre Opening - Free Flowing (Offset)")),2,IF(AND(Assembly!C20="Wavefold Cord Operation",OR('Tube Cutting'!D20="White",'Tube Cutting'!D20="Matt Satin"),OR(Assembly!F20="Single Panel - Left Stacking",Assembly!F20="Single Panel - Right Stacking",Assembly!F20="Single Panel - Free Flowing")),1,"")))</f>
        <v/>
      </c>
      <c r="DX12" s="8" t="str">
        <f>IF(D12="","",IF(AND(AND(Assembly!C20="Wavefold Cord Operation",'Tube Cutting'!D20="Black",'Tube Cutting'!D20),(OR(Assembly!F20="Centre Opening",Assembly!F20="Centre Opening - Free Flowing",Assembly!F20="Centre Opening (Offset)",Assembly!F20="Centre Opening - Free Flowing (Offset)"))),2,IF(AND(AND(Assembly!C20="Wavefold Cord Operation",'Tube Cutting'!D20="Black",'Tube Cutting'!D20),(OR(Assembly!F20="Single Panel - Left Stacking",Assembly!F20="Single Panel - Right Stacking",Assembly!F20="Single Panel - Free Flowing"))),1,"")))</f>
        <v/>
      </c>
      <c r="DY12" s="8" t="str">
        <f>IF(D12="","",IF(AND(Assembly!C20="Wavefold Hand Operation",(OR('Tube Cutting'!D20="White",'Tube Cutting'!D20="White"))),Bagging!I20,""))</f>
        <v>2</v>
      </c>
      <c r="DZ12" s="8" t="str">
        <f>IF(D12="","",IF(AND(Assembly!C20="Wavefold Hand Operation",'Tube Cutting'!D20="Black"),Bagging!I20,""))</f>
        <v/>
      </c>
      <c r="EA12" s="8" t="str">
        <f>IF(OR(D12="",AI22="Straight"),"",IF(AND(OR('Tube Cutting'!E20="Streamline Cord Operation",'Tube Cutting'!E20="Streamline Hand Operation"),(OR(Assembly!F20="Centre Opening",Assembly!F20="Centre Opening - Free Flowing",Assembly!F20="Centre Opening (Offset)",Assembly!F20="Centre Opening - Free Flowing (Offset)"))),2,IF(AND(OR('Tube Cutting'!E20="Streamline Cord Operation",'Tube Cutting'!E20="Streamline Hand Operation"),(OR(Assembly!F20="Single Panel - Left Stacking",Assembly!F20="Single Panel - Right Stacking - Free Flowing",Assembly!F20="Single Panel - Free Flowing"))),1,"")))</f>
        <v/>
      </c>
      <c r="EB12" s="8" t="str">
        <f>IF(D12="","",IF(OR('Tube Cutting'!E20="Streamline Cord Operation",'Tube Cutting'!E20="Wavefold Cord Operation",'Tube Cutting'!E20="System 20 Light Commercial Track Cord Drawn"),1,""))</f>
        <v/>
      </c>
      <c r="EC12" s="8" t="str">
        <f>IF(D12="","",IF(VLOOKUP(CONCATENATE('Tube Cutting'!E20,'Tube Cutting'!D20),TrackManufacturing,2,FALSE)="System 20 White",1,""))</f>
        <v/>
      </c>
      <c r="ED12" s="8" t="str">
        <f>IF(D12="","",IF(VLOOKUP(CONCATENATE('Tube Cutting'!E20,'Tube Cutting'!D20),TrackManufacturing,2,FALSE)="System 20 Black",1,""))</f>
        <v/>
      </c>
      <c r="EE12" s="8" t="str">
        <f>IF(D12="","",IF(AND(VLOOKUP(CONCATENATE('Tube Cutting'!E20,'Tube Cutting'!D20),TrackManufacturing,2,FALSE)="System 20 White",(OR(Assembly!F20="Centre Opening",Assembly!F20="Centre Opening - Free Flowing",Assembly!F20="Centre Opening (Offset)",Assembly!F20="Centre Opening - Free Flowing (Offset)"))),1,""))</f>
        <v/>
      </c>
      <c r="EF12" s="8" t="str">
        <f>IF(D12="","",IF(AND(VLOOKUP(CONCATENATE('Tube Cutting'!E20,'Tube Cutting'!D20),TrackManufacturing,2,FALSE)="System 20 Black",(OR(Assembly!F20="Centre Opening",Assembly!F20="Centre Opening - Free Flowing",Assembly!F20="Centre Opening (Offset)",Assembly!F20="Centre Opening - Free Flowing (Offset)"))),1,""))</f>
        <v/>
      </c>
      <c r="EG12" s="125" t="str">
        <f>IF(D12="","",IF(OR(VLOOKUP(CONCATENATE('Tube Cutting'!E20,'Tube Cutting'!D20),TrackManufacturing,2,FALSE)="System 20 White",VLOOKUP(CONCATENATE('Tube Cutting'!E20,'Tube Cutting'!D20),TrackManufacturing,2,FALSE)="System 20 Black"),Assembly!G20,""))</f>
        <v/>
      </c>
      <c r="EH12" s="8" t="str">
        <f>IF('Tube Cutting'!E20="Conduit",'Job Sheet'!CB20,"")</f>
        <v/>
      </c>
      <c r="EI12" s="8" t="str">
        <f>IF(Bagging!D20="Muslin Brackets",2,IF(Bagging!D20="Muslin Brackets Top and Bottom",4,""))</f>
        <v/>
      </c>
      <c r="EJ12" s="8" t="str">
        <f>IF(Bagging!D20="100mm Unstayed Brackets with Acorns",2,"")</f>
        <v/>
      </c>
      <c r="EK12" s="8" t="str">
        <f>IF(Bagging!D20="25mm Brackets with Acorns",2,IF('Job Sheet'!AJ20="1 (Conduit)",2,IF('Job Sheet'!AJ20="2 (Conduit)",4,IF('Job Sheet'!AJ20="3 (Conduit)",6,IF('Job Sheet'!AJ20="4 (Conduit)",8,"")))))</f>
        <v/>
      </c>
      <c r="EL12" s="8" t="str">
        <f>IF(OR(Bagging!D20="25mm Brackets with Acorns",Bagging!D20="100mm Unstayed Brackets with Acorns"),2,"")</f>
        <v/>
      </c>
      <c r="EM12" s="8" t="str">
        <f>IF('Job Sheet'!AJ20="1 (Conduit)",1,IF('Job Sheet'!AJ20="2 (Conduit)",2,IF('Job Sheet'!AJ20="3 (Conduit)",3,IF('Job Sheet'!AJ20="4 (Conduit)",4,""))))</f>
        <v/>
      </c>
    </row>
    <row r="13" spans="1:143" ht="12" customHeight="1">
      <c r="A13" s="8"/>
      <c r="B13" s="8"/>
      <c r="C13" s="8"/>
      <c r="D13" s="8" t="str">
        <f>IF(Data!AW21="","",CONCATENATE(Data!BC$5,".",Data!BD$5))</f>
        <v>39776.F</v>
      </c>
      <c r="E13" s="8">
        <f>IF(D13="","",Data!AW21)</f>
        <v>38</v>
      </c>
      <c r="F13" s="8" t="str">
        <f>IF(D13="","",Data!AV21)</f>
        <v>b508ddc4-e210-4d7b-b671-9ef37df0edd1</v>
      </c>
      <c r="G13" s="8" t="str">
        <f>IF(D13="","",Data!BF$5)</f>
        <v>Hare, Kaitlin</v>
      </c>
      <c r="H13" s="8" t="str">
        <f>IF(D13="","",Data!AX$5)</f>
        <v>Whole House</v>
      </c>
      <c r="I13" s="8" t="str">
        <f>IF(D13="","",'Job Sheet'!BH21)</f>
        <v>DBS to Make</v>
      </c>
      <c r="J13" s="8">
        <f>IF(D13="","",IF(OR(VLOOKUP(CONCATENATE('Tube Cutting'!E21,'Tube Cutting'!D21),TrackManufacturing,2,FALSE)="Wavefold White",VLOOKUP(CONCATENATE('Tube Cutting'!E21,'Tube Cutting'!D21),TrackManufacturing,2,FALSE)="Wavefold Black",VLOOKUP(CONCATENATE('Tube Cutting'!E21,'Tube Cutting'!D21),TrackManufacturing,2,FALSE)="Wavefold Matt Satin"),('Job Sheet'!BP21*2)/1000,""))</f>
        <v>6.01</v>
      </c>
      <c r="K13" s="125">
        <f>IF(D13="","",IF(OR(VLOOKUP(CONCATENATE('Tube Cutting'!E21,'Tube Cutting'!D21),TrackManufacturing,2,FALSE)="Wavefold White",VLOOKUP(CONCATENATE('Tube Cutting'!E21,'Tube Cutting'!D21),TrackManufacturing,2,FALSE)="Wavefold Matt Satin"),J13*10,""))</f>
        <v>60.1</v>
      </c>
      <c r="L13" s="125" t="str">
        <f>IF(D13="","",IF(VLOOKUP(CONCATENATE('Tube Cutting'!E21,'Tube Cutting'!D21),TrackManufacturing,2,FALSE)="Wavefold Black",J13*10,""))</f>
        <v/>
      </c>
      <c r="M13" s="126">
        <f>IF(D13="","",IF(OR(VLOOKUP(CONCATENATE('Tube Cutting'!E21,'Tube Cutting'!D21),TrackManufacturing,2,FALSE)="Wavefold White",VLOOKUP(CONCATENATE('Tube Cutting'!E21,'Tube Cutting'!D21),TrackManufacturing,2,FALSE)="System 20 White"),'Tube Cutting'!C21/1000,""))</f>
        <v>2.944</v>
      </c>
      <c r="N13" s="126" t="str">
        <f>IF(D13="","",IF(OR(VLOOKUP(CONCATENATE('Tube Cutting'!E21,'Tube Cutting'!D21),TrackManufacturing,2,FALSE)="Wavefold Black",VLOOKUP(CONCATENATE('Tube Cutting'!E21,'Tube Cutting'!D21),TrackManufacturing,2,FALSE)="System 20 Black"),'Tube Cutting'!C21/1000,""))</f>
        <v/>
      </c>
      <c r="O13" s="126" t="str">
        <f>IF(D13="","",IF(OR(VLOOKUP(CONCATENATE('Tube Cutting'!E21,'Tube Cutting'!D21),TrackManufacturing,2,FALSE)="Wavefold Matt Satin",VLOOKUP(CONCATENATE('Tube Cutting'!E21,'Tube Cutting'!D21),TrackManufacturing,2,FALSE)="System 20 Matt Satin"),'Tube Cutting'!C21/1000,""))</f>
        <v/>
      </c>
      <c r="P13" s="125">
        <f>IF(D13="","",IF(AND((OR('Tube Cutting'!D21="White",'Tube Cutting'!D21="Matt Satin")),(OR('Tube Cutting'!E21="Wavefold Hand Operation",'Tube Cutting'!E21="Wavefold Cord Operation"))),IF(M13="",O13*20,M13*20),""))</f>
        <v>58.88</v>
      </c>
      <c r="Q13" s="125" t="str">
        <f>IF(D13="","",IF(AND('Tube Cutting'!D21="Black",(OR('Tube Cutting'!E21="Wavefold Hand Operation",'Tube Cutting'!E21="Wavefold Cord Operation"))),N13*20,""))</f>
        <v/>
      </c>
      <c r="R13" s="125" t="str">
        <f>IF(D13="","",IF(OR('Tube Cutting'!E21="Streamline Hand Operation",'Tube Cutting'!E21="Streamline Cord Operation"),Assembly!G21,""))</f>
        <v/>
      </c>
      <c r="S13" s="8" t="str">
        <f>IF(D13="","",IF(VLOOKUP(CONCATENATE('Tube Cutting'!E21,'Tube Cutting'!D21),TrackManufacturing,2,FALSE)="Streamline White",'Tube Cutting'!C21/1000,""))</f>
        <v/>
      </c>
      <c r="T13" s="8" t="str">
        <f>IF(D13="","",IF(VLOOKUP(CONCATENATE('Tube Cutting'!E21,'Tube Cutting'!D21),TrackManufacturing,2,FALSE)="Streamline Matt Black Ink",'Tube Cutting'!C21/1000,""))</f>
        <v/>
      </c>
      <c r="U13" s="8" t="str">
        <f>IF(D13="","",IF(VLOOKUP(CONCATENATE('Tube Cutting'!E21,'Tube Cutting'!D21),TrackManufacturing,2,FALSE)="Streamline Birch White",'Tube Cutting'!C21/1000,""))</f>
        <v/>
      </c>
      <c r="V13" s="8" t="str">
        <f>IF(D13="","",IF(VLOOKUP(CONCATENATE('Tube Cutting'!E21,'Tube Cutting'!D21),TrackManufacturing,2,FALSE)="Streamline Matt Satin",'Tube Cutting'!C21/1000,""))</f>
        <v/>
      </c>
      <c r="W13" s="8" t="str">
        <f>IF(Bagging!H21="White Aluminium Flick Sticks 100cm",Bagging!I21,"")</f>
        <v/>
      </c>
      <c r="X13" s="8" t="str">
        <f>IF(Bagging!H21="White Aluminium Flick Sticks 125cm",Bagging!I21,"")</f>
        <v>1</v>
      </c>
      <c r="Y13" s="8" t="str">
        <f>IF(Bagging!H21="White Aluminium Flick Sticks 150cm",Bagging!I21,"")</f>
        <v/>
      </c>
      <c r="Z13" s="8" t="str">
        <f>IF(Bagging!H21="Black Aluminium Flick Sticks 100cm",Bagging!I21,"")</f>
        <v/>
      </c>
      <c r="AA13" s="8" t="str">
        <f>IF(Bagging!H21="Black Aluminium Flick Sticks 125cm",Bagging!I21,"")</f>
        <v/>
      </c>
      <c r="AB13" s="8" t="str">
        <f>IF(Bagging!H21="Black Aluminium Flick Sticks 150cm",Bagging!I21,"")</f>
        <v/>
      </c>
      <c r="AC13" s="8" t="str">
        <f>IF(Bagging!H21="Matt Satin Aluminium Flick Sticks 100cm",Bagging!I21,"")</f>
        <v/>
      </c>
      <c r="AD13" s="8" t="str">
        <f>IF(Bagging!H21="Black Aluminium Flick Sticks 125cm",Bagging!I21,"")</f>
        <v/>
      </c>
      <c r="AE13" s="8" t="str">
        <f>IF(Bagging!H21="Black Aluminium Flick Sticks 150cm",Bagging!I21,"")</f>
        <v/>
      </c>
      <c r="AF13" s="8" t="str">
        <f>IF(Bagging!H21="Standard Clear 75cm",Bagging!I21,"")</f>
        <v/>
      </c>
      <c r="AG13" s="8" t="str">
        <f>IF(Bagging!H21="Standard Clear 100cm",Bagging!I21,"")</f>
        <v/>
      </c>
      <c r="AH13" s="8" t="str">
        <f>IF(Bagging!H21="Standard Clear 125cm",Bagging!I21,"")</f>
        <v/>
      </c>
      <c r="AI13" s="8" t="str">
        <f>IF(Bagging!H21="Standard Clear 150cm",Bagging!I21,"")</f>
        <v/>
      </c>
      <c r="AJ13" s="8" t="str">
        <f>IF(Bagging!H21="White Fibreglass 200cm",Bagging!I21,"")</f>
        <v/>
      </c>
      <c r="AK13" s="8" t="str">
        <f>IF(Bagging!H21="White Fibreglass 250cm",Bagging!I21,"")</f>
        <v/>
      </c>
      <c r="AL13" s="8" t="str">
        <f>IF(D13="","",IF(AND(OR(VLOOKUP(CONCATENATE('Tube Cutting'!E21,'Tube Cutting'!D21),TrackManufacturing,2,FALSE)="Wavefold White",VLOOKUP(CONCATENATE('Tube Cutting'!E21,'Tube Cutting'!D21),TrackManufacturing,2,FALSE)="System 20 White"),(Bagging!D21="Top Fix Brackets")),Bagging!F21,""))</f>
        <v/>
      </c>
      <c r="AM13" s="8">
        <f>IF(D13="","",IF(AND(OR(VLOOKUP(CONCATENATE('Tube Cutting'!E21,'Tube Cutting'!D21),TrackManufacturing,2,FALSE)="Wavefold White",VLOOKUP(CONCATENATE('Tube Cutting'!E21,'Tube Cutting'!D21),TrackManufacturing,2,FALSE)="System 20 White"),(Bagging!D21="Single Face Fix Brackets")),Bagging!F21,""))</f>
        <v>5</v>
      </c>
      <c r="AN13" s="8" t="str">
        <f>IF(D13="","",IF(AND(OR(VLOOKUP(CONCATENATE('Tube Cutting'!E21,'Tube Cutting'!D21),TrackManufacturing,2,FALSE)="Wavefold White",VLOOKUP(CONCATENATE('Tube Cutting'!E21,'Tube Cutting'!D21),TrackManufacturing,2,FALSE)="System 20 White"),(Bagging!D21="Double Face Fix Brackets")),Bagging!F21,""))</f>
        <v/>
      </c>
      <c r="AO13" s="8" t="str">
        <f>IF(D13="","",IF(AND(OR(VLOOKUP(CONCATENATE('Tube Cutting'!E21,'Tube Cutting'!D21),TrackManufacturing,2,FALSE)="Wavefold White",VLOOKUP(CONCATENATE('Tube Cutting'!E21,'Tube Cutting'!D21),TrackManufacturing,2,FALSE)="System 20 White"),(Bagging!D21="Triple Face Fix Brackets")),Bagging!F21,""))</f>
        <v/>
      </c>
      <c r="AP13" s="8" t="str">
        <f>IF(D13="","",IF(AND(OR(VLOOKUP(CONCATENATE('Tube Cutting'!E21,'Tube Cutting'!D21),TrackManufacturing,2,FALSE)="Wavefold Black",VLOOKUP(CONCATENATE('Tube Cutting'!E21,'Tube Cutting'!D21),TrackManufacturing,2,FALSE)="System 20 Black"),(Bagging!D21="Top Fix Brackets")),Bagging!F21,""))</f>
        <v/>
      </c>
      <c r="AQ13" s="8" t="str">
        <f>IF(D13="","",IF(AND(OR(VLOOKUP(CONCATENATE('Tube Cutting'!E21,'Tube Cutting'!D21),TrackManufacturing,2,FALSE)="Wavefold Black",VLOOKUP(CONCATENATE('Tube Cutting'!E21,'Tube Cutting'!D21),TrackManufacturing,2,FALSE)="System 20 Black"),(Bagging!D21="Single Face Fix Brackets")),Bagging!F21,""))</f>
        <v/>
      </c>
      <c r="AR13" s="8" t="str">
        <f>IF(D13="","",IF(AND(OR(VLOOKUP(CONCATENATE('Tube Cutting'!E21,'Tube Cutting'!D21),TrackManufacturing,2,FALSE)="Wavefold Black",VLOOKUP(CONCATENATE('Tube Cutting'!E21,'Tube Cutting'!D21),TrackManufacturing,2,FALSE)="System 20 Black"),(Bagging!D21="Double Face Fix Brackets")),Bagging!F21,""))</f>
        <v/>
      </c>
      <c r="AS13" s="8" t="str">
        <f>IF(D13="","",IF(AND(OR(VLOOKUP(CONCATENATE('Tube Cutting'!E21,'Tube Cutting'!D21),TrackManufacturing,2,FALSE)="Wavefold Black",VLOOKUP(CONCATENATE('Tube Cutting'!E21,'Tube Cutting'!D21),TrackManufacturing,2,FALSE)="System 20 Black"),(Bagging!D21="Triple Face Fix Brackets")),Bagging!F21,""))</f>
        <v/>
      </c>
      <c r="AT13" s="8" t="str">
        <f>IF(D13="","",IF(AND(OR(VLOOKUP(CONCATENATE('Tube Cutting'!E21,'Tube Cutting'!D21),TrackManufacturing,2,FALSE)="Wavefold Matt Satin",VLOOKUP(CONCATENATE('Tube Cutting'!E21,'Tube Cutting'!D21),TrackManufacturing,2,FALSE)="System 20 Matt Satin"),(Bagging!D21="Top Fix Brackets")),Bagging!F21,""))</f>
        <v/>
      </c>
      <c r="AU13" s="8" t="str">
        <f>IF(D13="","",IF(AND(OR(VLOOKUP(CONCATENATE('Tube Cutting'!E21,'Tube Cutting'!D21),TrackManufacturing,2,FALSE)="Wavefold Matt Satin",VLOOKUP(CONCATENATE('Tube Cutting'!E21,'Tube Cutting'!D21),TrackManufacturing,2,FALSE)="System 20 Matt Satin"),(Bagging!D21="Single Face Fix Brackets")),Bagging!F21,""))</f>
        <v/>
      </c>
      <c r="AV13" s="8" t="str">
        <f>IF(D13="","",IF(AND(OR(VLOOKUP(CONCATENATE('Tube Cutting'!E21,'Tube Cutting'!D21),TrackManufacturing,2,FALSE)="Wavefold Matt Satin",VLOOKUP(CONCATENATE('Tube Cutting'!E21,'Tube Cutting'!D21),TrackManufacturing,2,FALSE)="System 20 Matt Satin"),(Bagging!D21="Double Face Fix Brackets")),Bagging!F21,""))</f>
        <v/>
      </c>
      <c r="AW13" s="8" t="str">
        <f>IF(D13="","",IF(AND(OR(VLOOKUP(CONCATENATE('Tube Cutting'!E21,'Tube Cutting'!D21),TrackManufacturing,2,FALSE)="Wavefold Matt Satin",VLOOKUP(CONCATENATE('Tube Cutting'!E21,'Tube Cutting'!D21),TrackManufacturing,2,FALSE)="System 20 Matt Satin"),(Bagging!D21="Triple Face Fix Brackets")),Bagging!F21,""))</f>
        <v/>
      </c>
      <c r="AX13" s="8" t="str">
        <f>IF(D13="","",IF(AND(VLOOKUP(CONCATENATE('Tube Cutting'!E21,'Tube Cutting'!D21),TrackManufacturing,2,FALSE)="Streamline White",(Bagging!D21="Nylon Top Fix Brackets")),VLOOKUP('Job Sheet'!BP21,Brackets,2,TRUE),""))</f>
        <v/>
      </c>
      <c r="AY13" s="8" t="str">
        <f>IF(D13="","",IF(AND(VLOOKUP(CONCATENATE('Tube Cutting'!E21,'Tube Cutting'!D21),TrackManufacturing,2,FALSE)="Streamline White",(Bagging!D21="Metal Fix Brackets")),VLOOKUP('Job Sheet'!BP21,Brackets,2,TRUE),""))</f>
        <v/>
      </c>
      <c r="AZ13" s="8" t="str">
        <f>IF(D13="","",IF(AND(VLOOKUP(CONCATENATE('Tube Cutting'!E21,'Tube Cutting'!D21),TrackManufacturing,2,FALSE)="Streamline White",(Bagging!D21="Single Face Fix Brackets")),Bagging!F21,""))</f>
        <v/>
      </c>
      <c r="BA13" s="8" t="str">
        <f>IF(D13="","",IF(AND(VLOOKUP(CONCATENATE('Tube Cutting'!E21,'Tube Cutting'!D21),TrackManufacturing,2,FALSE)="Streamline White",(Bagging!D21="Double Face Fix Brackets")),Bagging!F21,""))</f>
        <v/>
      </c>
      <c r="BB13" s="8" t="str">
        <f>IF(D13="","",IF(AND(VLOOKUP(CONCATENATE('Tube Cutting'!E21,'Tube Cutting'!D21),TrackManufacturing,2,FALSE)="Streamline White",(Bagging!D21="Triple Face Fix Brackets")),Bagging!F21,""))</f>
        <v/>
      </c>
      <c r="BC13" s="8" t="str">
        <f>IF(D13="","",IF(AND(VLOOKUP(CONCATENATE('Tube Cutting'!E21,'Tube Cutting'!D21),TrackManufacturing,2,FALSE)="Streamline White",(Bagging!D21="32mm Face Fix Brackets")),Bagging!F21,""))</f>
        <v/>
      </c>
      <c r="BD13" s="8" t="str">
        <f>IF(D13="","",IF(AND(VLOOKUP(CONCATENATE('Tube Cutting'!E21,'Tube Cutting'!D21),TrackManufacturing,2,FALSE)="Streamline Matt Black Ink",(Bagging!D21="Top Fix Brackets")),VLOOKUP('Job Sheet'!BP21,Brackets,2,TRUE),""))</f>
        <v/>
      </c>
      <c r="BE13" s="8" t="str">
        <f>IF(D13="","",IF(AND(VLOOKUP(CONCATENATE('Tube Cutting'!E21,'Tube Cutting'!D21),TrackManufacturing,2,FALSE)="Streamline White",(Bagging!D21="Metal Fix Brackets")),VLOOKUP('Job Sheet'!BP21,Brackets,2,TRUE),""))</f>
        <v/>
      </c>
      <c r="BF13" s="8" t="str">
        <f>IF(D13="","",IF(AND(VLOOKUP(CONCATENATE('Tube Cutting'!E21,'Tube Cutting'!D21),TrackManufacturing,2,FALSE)="Streamline Matt Black Ink",(Bagging!D21="Single Face Fix Brackets")),Bagging!F21,""))</f>
        <v/>
      </c>
      <c r="BG13" s="8" t="str">
        <f>IF(D13="","",IF(AND(VLOOKUP(CONCATENATE('Tube Cutting'!E21,'Tube Cutting'!D21),TrackManufacturing,2,FALSE)="Streamline Matt Black Ink",(Bagging!D21="Double Face Fix Brackets")),Bagging!F21,""))</f>
        <v/>
      </c>
      <c r="BH13" s="8" t="str">
        <f>IF(D13="","",IF(AND(VLOOKUP(CONCATENATE('Tube Cutting'!E21,'Tube Cutting'!D21),TrackManufacturing,2,FALSE)="Streamline Matt Black Ink",(Bagging!D21="Triple Face Fix Brackets")),Bagging!F21,""))</f>
        <v/>
      </c>
      <c r="BI13" s="8" t="str">
        <f>IF(D13="","",IF(AND(VLOOKUP(CONCATENATE('Tube Cutting'!E21,'Tube Cutting'!D21),TrackManufacturing,2,FALSE)="Streamline Matt Black Ink",(Bagging!D21="32mm Face Fix Brackets")),Bagging!F21,""))</f>
        <v/>
      </c>
      <c r="BJ13" s="8" t="str">
        <f>IF(D13="","",IF(AND(VLOOKUP(CONCATENATE('Tube Cutting'!E21,'Tube Cutting'!D21),TrackManufacturing,2,FALSE)="Streamline Birch White",(Bagging!D21="Top Fix Brackets")),VLOOKUP('Job Sheet'!BP21,Brackets,2,TRUE),""))</f>
        <v/>
      </c>
      <c r="BK13" s="8" t="str">
        <f>IF(D13="","",IF(AND(VLOOKUP(CONCATENATE('Tube Cutting'!E21,'Tube Cutting'!D21),TrackManufacturing,2,FALSE)="Streamline White",(Bagging!D21="Metal Fix Brackets")),VLOOKUP('Job Sheet'!BP21,Brackets,2,TRUE),""))</f>
        <v/>
      </c>
      <c r="BL13" s="8" t="str">
        <f>IF(D13="","",IF(AND(VLOOKUP(CONCATENATE('Tube Cutting'!E21,'Tube Cutting'!D21),TrackManufacturing,2,FALSE)="Streamline Birch White",(Bagging!D21="Single Face Fix Brackets")),Bagging!F21,""))</f>
        <v/>
      </c>
      <c r="BM13" s="8" t="str">
        <f>IF(D13="","",IF(AND(VLOOKUP(CONCATENATE('Tube Cutting'!E21,'Tube Cutting'!D21),TrackManufacturing,2,FALSE)="Streamline Birch White",(Bagging!D21="Double Face Fix Brackets")),Bagging!F21,""))</f>
        <v/>
      </c>
      <c r="BN13" s="8" t="str">
        <f>IF(D13="","",IF(AND(VLOOKUP(CONCATENATE('Tube Cutting'!E21,'Tube Cutting'!D21),TrackManufacturing,2,FALSE)="Streamline Birch White",(Bagging!D21="Triple Face Fix Brackets")),Bagging!F21,""))</f>
        <v/>
      </c>
      <c r="BO13" s="8" t="str">
        <f>IF(D13="","",IF(AND(VLOOKUP(CONCATENATE('Tube Cutting'!E21,'Tube Cutting'!D21),TrackManufacturing,2,FALSE)="Streamline Birch White",(Bagging!D21="32mm Face Fix Brackets")),Bagging!F21,""))</f>
        <v/>
      </c>
      <c r="BP13" s="8" t="str">
        <f>IF(K13="","",IF(AND(VLOOKUP(CONCATENATE('Tube Cutting'!K21,'Tube Cutting'!J21),TrackManufacturing,2,FALSE)="Streamline Birch White",(Bagging!J21="Top Fix Brackets")),VLOOKUP('Job Sheet'!BU21,Brackets,2,TRUE),""))</f>
        <v/>
      </c>
      <c r="BQ13" s="8" t="str">
        <f>IF(K13="","",IF(AND(VLOOKUP(CONCATENATE('Tube Cutting'!K21,'Tube Cutting'!J21),TrackManufacturing,2,FALSE)="Streamline White",(Bagging!J21="Metal Fix Brackets")),VLOOKUP('Job Sheet'!BU21,Brackets,2,TRUE),""))</f>
        <v/>
      </c>
      <c r="BR13" s="8" t="str">
        <f>IF(K13="","",IF(AND(VLOOKUP(CONCATENATE('Tube Cutting'!K21,'Tube Cutting'!J21),TrackManufacturing,2,FALSE)="Streamline Birch White",(Bagging!J21="Single Face Fix Brackets")),Bagging!L21,""))</f>
        <v/>
      </c>
      <c r="BS13" s="8" t="str">
        <f>IF(K13="","",IF(AND(VLOOKUP(CONCATENATE('Tube Cutting'!K21,'Tube Cutting'!J21),TrackManufacturing,2,FALSE)="Streamline Birch White",(Bagging!J21="Double Face Fix Brackets")),Bagging!L21,""))</f>
        <v/>
      </c>
      <c r="BT13" s="8" t="str">
        <f>IF(K13="","",IF(AND(VLOOKUP(CONCATENATE('Tube Cutting'!K21,'Tube Cutting'!J21),TrackManufacturing,2,FALSE)="Streamline Birch White",(Bagging!J21="Triple Face Fix Brackets")),Bagging!L21,""))</f>
        <v/>
      </c>
      <c r="BU13" s="8" t="str">
        <f>IF(K13="","",IF(AND(VLOOKUP(CONCATENATE('Tube Cutting'!K21,'Tube Cutting'!J21),TrackManufacturing,2,FALSE)="Streamline Birch White",(Bagging!J21="32mm Face Fix Brackets")),Bagging!L21,""))</f>
        <v/>
      </c>
      <c r="BV13" s="8" t="str">
        <f>IF(AND('Tube Cutting'!D21="White",Bagging!D21="Top Fix Brackets"),Bagging!F21,"")</f>
        <v/>
      </c>
      <c r="BW13" s="8">
        <f>IF(AND('Tube Cutting'!D21="White",Bagging!D21="Single Face Fix Brackets"),Bagging!F21,"")</f>
        <v>5</v>
      </c>
      <c r="BX13" s="8" t="str">
        <f>IF(AND('Tube Cutting'!D21="White",Bagging!D21="Double Face Fix Brackets"),Bagging!F21,"")</f>
        <v/>
      </c>
      <c r="BY13" s="8" t="str">
        <f>IF(AND('Tube Cutting'!D21="White",Bagging!D21="Triple Face Fix Brackets"),Bagging!F21,"")</f>
        <v/>
      </c>
      <c r="BZ13" s="8" t="str">
        <f>IF(AND('Tube Cutting'!D21="Black",Bagging!D21="Top Fix Brackets"),Bagging!F21,"")</f>
        <v/>
      </c>
      <c r="CA13" s="8" t="str">
        <f>IF(AND('Tube Cutting'!D21="Black",Bagging!D21="Single Face Fix Brackets"),Bagging!F21,"")</f>
        <v/>
      </c>
      <c r="CB13" s="8" t="str">
        <f>IF(AND('Tube Cutting'!D21="Black",Bagging!D21="Double Face Fix Brackets"),Bagging!F21,"")</f>
        <v/>
      </c>
      <c r="CC13" s="8" t="str">
        <f>IF(AND('Tube Cutting'!D21="Black",Bagging!D21="Triple Fix Brackets"),Bagging!F21,"")</f>
        <v/>
      </c>
      <c r="CD13" s="8" t="str">
        <f>IF(AND('Tube Cutting'!D21="Matt Satin",Bagging!D21="Top Fix Brackets"),Bagging!F21,"")</f>
        <v/>
      </c>
      <c r="CE13" s="8" t="str">
        <f>IF(AND('Tube Cutting'!D21="Matt Satin",Bagging!D21="Single Face Fix Brackets"),Bagging!F21,"")</f>
        <v/>
      </c>
      <c r="CF13" s="8" t="str">
        <f>IF(AND('Tube Cutting'!D21="Matt Satin",Bagging!D21="Double Face Fix Brackets"),Bagging!F21,"")</f>
        <v/>
      </c>
      <c r="CG13" s="8" t="str">
        <f>IF(AND('Tube Cutting'!D21="Matt Satin",Bagging!D21="Triple Fix Brackets"),Bagging!F21,"")</f>
        <v/>
      </c>
      <c r="CH13" s="8" t="str">
        <f>IF(D13="","",IF(AND('Tube Cutting'!D21="White",(OR(Bagging!J21="Single Left",Bagging!J21="Single Left &amp; Right"))),"1",""))</f>
        <v/>
      </c>
      <c r="CI13" s="8" t="str">
        <f>IF(D13="","",IF(AND('Tube Cutting'!D21="Black",(OR(Bagging!J21="Single Left",Bagging!J21="Single Left &amp; Right"))),"1",""))</f>
        <v/>
      </c>
      <c r="CJ13" s="8" t="str">
        <f>IF(D13="","",IF(AND('Tube Cutting'!D21="Matt Satin",(OR(Bagging!J21="Single Left",Bagging!J21="Single Left &amp; Right"))),"1",""))</f>
        <v/>
      </c>
      <c r="CK13" s="8" t="str">
        <f>IF(D13="","",IF(AND('Tube Cutting'!D21="White",(OR(Bagging!J21="Single Right",Bagging!J21="Single Left &amp; Right"))),"1",""))</f>
        <v/>
      </c>
      <c r="CL13" s="8" t="str">
        <f>IF(D13="","",IF(AND('Tube Cutting'!D21="Black",(OR(Bagging!J21="Single Right",Bagging!J21="Single Left &amp; Right"))),"1",""))</f>
        <v/>
      </c>
      <c r="CM13" s="8" t="str">
        <f>IF(D13="","",IF(AND('Tube Cutting'!D21="Matt Satin",(OR(Bagging!J21="Single Right",Bagging!J21="Single Left &amp; Right"))),"1",""))</f>
        <v/>
      </c>
      <c r="CN13" s="8" t="str">
        <f>IF(D13="","",IF(AND('Tube Cutting'!D21="White",(OR(Bagging!J21="Double Left",Bagging!J21="Double Left &amp; Right"))),"1",""))</f>
        <v/>
      </c>
      <c r="CO13" s="8" t="str">
        <f>IF(D13="","",IF(AND('Tube Cutting'!D21="Black",(OR(Bagging!J21="Double Left",Bagging!J21="Double Left &amp; Right"))),"1",""))</f>
        <v/>
      </c>
      <c r="CP13" s="8" t="str">
        <f>IF(D13="","",IF(AND('Tube Cutting'!D21="Matt Satin",(OR(Bagging!J21="Double Left",Bagging!J21="Double Left &amp; Right"))),"1",""))</f>
        <v/>
      </c>
      <c r="CQ13" s="8" t="str">
        <f>IF(D13="","",IF(AND('Tube Cutting'!D21="White",(OR(Bagging!J21="Double Right",Bagging!J21="Double Left &amp; Right"))),"1",""))</f>
        <v/>
      </c>
      <c r="CR13" s="8" t="str">
        <f>IF(D13="","",IF(AND('Tube Cutting'!D21="Black",(OR(Bagging!J21="Double Right",Bagging!J21="Double Left &amp; Right"))),"1",""))</f>
        <v/>
      </c>
      <c r="CS13" s="8" t="str">
        <f>IF(D13="","",IF(AND('Tube Cutting'!D21="Matt Satin",(OR(Bagging!J21="Double Right",Bagging!J21="Double Left &amp; Right"))),"1",""))</f>
        <v/>
      </c>
      <c r="CT13" s="8" t="str">
        <f>IF(D13="","",IF(VLOOKUP(CONCATENATE('Tube Cutting'!E21,'Tube Cutting'!D21),TrackManufacturing,2,FALSE)="Streamline White",1,""))</f>
        <v/>
      </c>
      <c r="CU13" s="8" t="str">
        <f>IF(D13="","",IF(VLOOKUP(CONCATENATE('Tube Cutting'!E21,'Tube Cutting'!D21),TrackManufacturing,2,FALSE)="Streamline Matt Black Ink",1,""))</f>
        <v/>
      </c>
      <c r="CV13" s="8" t="str">
        <f>IF(D13="","",IF(VLOOKUP(CONCATENATE('Tube Cutting'!E21,'Tube Cutting'!D21),TrackManufacturing,2,FALSE)="Streamline Birch White",1,""))</f>
        <v/>
      </c>
      <c r="CW13" s="8" t="str">
        <f>IF(D13="","",IF(VLOOKUP(CONCATENATE('Tube Cutting'!E21,'Tube Cutting'!D21),TrackManufacturing,2,FALSE)="Streamline Matt Satin",1,""))</f>
        <v/>
      </c>
      <c r="CX13" s="8" t="str">
        <f>IF(D13="","",IF(AND(VLOOKUP(CONCATENATE('Tube Cutting'!E21,'Tube Cutting'!D21),TrackManufacturing,2,FALSE)="Streamline White",(OR(Assembly!F21="Centre Opening",Assembly!F21="Centre Opening - Free Flowing",Assembly!F21="Centre Opening (Offset)",Assembly!F21="Centre Opening - Free Flowing (Offset)"))),1,""))</f>
        <v/>
      </c>
      <c r="CY13" s="8" t="str">
        <f>IF(D13="","",IF(AND(VLOOKUP(CONCATENATE('Tube Cutting'!E21,'Tube Cutting'!D21),TrackManufacturing,2,FALSE)="Streamline Matt Black Ink",(OR(Assembly!F21="Centre Opening",Assembly!F21="Centre Opening - Free Flowing",Assembly!F21="Centre Opening (Offset)",Assembly!F21="Centre Opening - Free Flowing (Offset)"))),1,""))</f>
        <v/>
      </c>
      <c r="CZ13" s="8" t="str">
        <f>IF(D13="","",IF(AND(VLOOKUP(CONCATENATE('Tube Cutting'!E21,'Tube Cutting'!D21),TrackManufacturing,2,FALSE)="Streamline Birch White",(OR(Assembly!F21="Centre Opening",Assembly!F21="Centre Opening - Free Flowing",Assembly!F21="Centre Opening (Offset)",Assembly!F21="Centre Opening - Free Flowing (Offset)"))),1,""))</f>
        <v/>
      </c>
      <c r="DA13" s="8" t="str">
        <f>IF(D13="","",IF(AND(VLOOKUP(CONCATENATE('Tube Cutting'!E21,'Tube Cutting'!D21),TrackManufacturing,2,FALSE)="Streamline Matt Satin",(OR(Assembly!F21="Centre Opening",Assembly!F21="Centre Opening - Free Flowing",Assembly!F21="Centre Opening (Offset)",Assembly!F21="Centre Opening - Free Flowing (Offset)"))),1,""))</f>
        <v/>
      </c>
      <c r="DB13" s="8" t="str">
        <f>IF(OR('Job Sheet'!Z21="Conduit",I13&lt;&gt;"DBS to Make"),"",IF(VLOOKUP(CONCATENATE(Assembly!C21,Assembly!F21),PulleysEndCaps,2,FALSE)="","",IF('Tube Cutting'!D21="White",VLOOKUP(CONCATENATE(Assembly!C21,Assembly!F21),PulleysEndCaps,2,FALSE),"")))</f>
        <v/>
      </c>
      <c r="DC13" s="8" t="str">
        <f>IF(OR('Job Sheet'!Z21="Conduit",I13&lt;&gt;"DBS to Make"),"",IF(VLOOKUP(CONCATENATE(Assembly!C21,Assembly!F21),PulleysEndCaps,2,FALSE)="","",IF('Tube Cutting'!D21="Black",VLOOKUP(CONCATENATE(Assembly!C21,Assembly!F21),PulleysEndCaps,2,FALSE),"")))</f>
        <v/>
      </c>
      <c r="DD13" s="8" t="str">
        <f>IF(OR('Job Sheet'!Z21="Conduit",I13&lt;&gt;"DBS to Make"),"",IF(VLOOKUP(CONCATENATE(Assembly!C21,Assembly!F21),PulleysEndCaps,2,FALSE)="","",IF('Tube Cutting'!D21="Matt Satin",VLOOKUP(CONCATENATE(Assembly!C21,Assembly!F21),PulleysEndCaps,2,FALSE),"")))</f>
        <v/>
      </c>
      <c r="DE13" s="8" t="str">
        <f>IF(OR('Job Sheet'!Z21="Conduit",I13&lt;&gt;"DBS to Make"),"",IF(VLOOKUP(CONCATENATE(Assembly!C21,Assembly!F21),PulleysEndCaps,3,FALSE)="","",IF('Tube Cutting'!D21="White",VLOOKUP(CONCATENATE(Assembly!C21,Assembly!F21),PulleysEndCaps,3,FALSE),"")))</f>
        <v/>
      </c>
      <c r="DF13" s="8" t="str">
        <f>IF(OR('Job Sheet'!Z21="Conduit",I13&lt;&gt;"DBS to Make"),"",IF(VLOOKUP(CONCATENATE(Assembly!C21,Assembly!F21),PulleysEndCaps,3,FALSE)="","",IF('Tube Cutting'!D21="Black",VLOOKUP(CONCATENATE(Assembly!C21,Assembly!F21),PulleysEndCaps,3,FALSE),"")))</f>
        <v/>
      </c>
      <c r="DG13" s="8" t="str">
        <f>IF(OR('Job Sheet'!Z21="Conduit",I13&lt;&gt;"DBS to Make"),"",IF(VLOOKUP(CONCATENATE(Assembly!C21,Assembly!F21),PulleysEndCaps,3,FALSE)="","",IF('Tube Cutting'!D21="Matt Satin",VLOOKUP(CONCATENATE(Assembly!C21,Assembly!F21),PulleysEndCaps,3,FALSE),"")))</f>
        <v/>
      </c>
      <c r="DH13" s="8" t="str">
        <f>IF(OR('Job Sheet'!Z21="Conduit",I13&lt;&gt;"DBS to Make"),"",IF(VLOOKUP(CONCATENATE(Assembly!C21,Assembly!F21),PulleysEndCaps,6,FALSE)="","",IF('Tube Cutting'!D21="White",VLOOKUP(CONCATENATE(Assembly!C21,Assembly!F21),PulleysEndCaps,6,FALSE),"")))</f>
        <v/>
      </c>
      <c r="DI13" s="8" t="str">
        <f>IF(OR('Job Sheet'!Z21="Conduit",I13&lt;&gt;"DBS to Make"),"",IF(VLOOKUP(CONCATENATE(Assembly!C21,Assembly!F21),PulleysEndCaps,6,FALSE)="","",IF('Tube Cutting'!D21="Matt Black Ink",VLOOKUP(CONCATENATE(Assembly!C21,Assembly!F21),PulleysEndCaps,6,FALSE),"")))</f>
        <v/>
      </c>
      <c r="DJ13" s="8" t="str">
        <f>IF(OR('Job Sheet'!Z21="Conduit",I13&lt;&gt;"DBS to Make"),"",IF(VLOOKUP(CONCATENATE(Assembly!C21,Assembly!F21),PulleysEndCaps,6,FALSE)="","",IF('Tube Cutting'!D21="Birch White",VLOOKUP(CONCATENATE(Assembly!C21,Assembly!F21),PulleysEndCaps,6,FALSE),"")))</f>
        <v/>
      </c>
      <c r="DK13" s="8" t="str">
        <f>IF(OR('Job Sheet'!Z21="Conduit",'Job Sheet'!Z21="Conduit x 2",I13&lt;&gt;"DBS to Make"),"",IF(VLOOKUP(CONCATENATE(Assembly!C21,Assembly!F21),PulleysEndCaps,6,FALSE)="","",IF('Tube Cutting'!D21="Matt Satin",VLOOKUP(CONCATENATE(Assembly!C21,Assembly!F21),PulleysEndCaps,6,FALSE),"")))</f>
        <v/>
      </c>
      <c r="DL13" s="8" t="str">
        <f>IF(OR('Job Sheet'!Z21="Conduit",I13&lt;&gt;"DBS to Make"),"",IF(VLOOKUP(CONCATENATE(Assembly!C21,Assembly!F21),PulleysEndCaps,4,FALSE)="","",VLOOKUP(CONCATENATE(Assembly!C21,Assembly!F21),PulleysEndCaps,4,FALSE)))</f>
        <v/>
      </c>
      <c r="DM13" s="8" t="str">
        <f>IF(OR('Job Sheet'!Z21="Conduit",I13&lt;&gt;"DBS to Make"),"",IF(VLOOKUP(CONCATENATE(Assembly!C21,Assembly!F21),PulleysEndCaps,7,FALSE)="","",VLOOKUP(CONCATENATE(Assembly!C21,Assembly!F21),PulleysEndCaps,7,FALSE)))</f>
        <v/>
      </c>
      <c r="DN13" s="8" t="str">
        <f>IF(D13="","",IF(AND(OR(VLOOKUP(CONCATENATE('Tube Cutting'!E21,'Tube Cutting'!D21),TrackManufacturing,2,FALSE)="Wavefold White",VLOOKUP(CONCATENATE('Tube Cutting'!E21,'Tube Cutting'!D21),TrackManufacturing,2,FALSE)="Wavefold Black",VLOOKUP(CONCATENATE('Tube Cutting'!E21,'Tube Cutting'!D21),TrackManufacturing,2,FALSE)="Wavefold Matt Satin",VLOOKUP(CONCATENATE('Tube Cutting'!E21,'Tube Cutting'!D21),TrackManufacturing,2,FALSE)="System 20 White",VLOOKUP(CONCATENATE('Tube Cutting'!E21,'Tube Cutting'!D21),TrackManufacturing,2,FALSE)="System 20 Black",VLOOKUP(CONCATENATE('Tube Cutting'!E21,'Tube Cutting'!D21),TrackManufacturing,2,FALSE)="System 20 Matt Satin"),'Tube Cutting'!C21&gt;6000),1,""))</f>
        <v/>
      </c>
      <c r="DO13" s="8" t="str">
        <f>IF(D13="","",IF(AND(OR(VLOOKUP(CONCATENATE('Tube Cutting'!E21,'Tube Cutting'!D21),TrackManufacturing,2,FALSE)="Streamline White",VLOOKUP(CONCATENATE('Tube Cutting'!E21,'Tube Cutting'!D21),TrackManufacturing,2,FALSE)="Streamline Black",VLOOKUP(CONCATENATE('Tube Cutting'!E21,'Tube Cutting'!D21),TrackManufacturing,2,FALSE)="Streamline Birch White",VLOOKUP(CONCATENATE('Tube Cutting'!E21,'Tube Cutting'!D21),TrackManufacturing,2,FALSE)="Streamline Matt Satin"),'Tube Cutting'!C21&gt;6000),1,""))</f>
        <v/>
      </c>
      <c r="DP13" s="8">
        <f>IF(OR('Job Sheet'!Z21="Conduit",I13&lt;&gt;"DBS to Make"),"",IF(VLOOKUP(CONCATENATE(Assembly!C21,Assembly!F21),PulleysEndCaps,5,FALSE)="","",IF('Tube Cutting'!D21="White",VLOOKUP(CONCATENATE(Assembly!C21,Assembly!F21),PulleysEndCaps,5,FALSE),"")))</f>
        <v>2</v>
      </c>
      <c r="DQ13" s="8" t="str">
        <f>IF(OR('Job Sheet'!Z21="Conduit",I13&lt;&gt;"DBS to Make"),"",IF(VLOOKUP(CONCATENATE(Assembly!C21,Assembly!F21),PulleysEndCaps,5,FALSE)="","",IF('Tube Cutting'!D21="Black",VLOOKUP(CONCATENATE(Assembly!C21,Assembly!F21),PulleysEndCaps,5,FALSE),"")))</f>
        <v/>
      </c>
      <c r="DR13" s="8" t="str">
        <f>IF(OR('Job Sheet'!Z21="Conduit",I13&lt;&gt;"DBS to Make"),"",IF(VLOOKUP(CONCATENATE(Assembly!C21,Assembly!F21),PulleysEndCaps,5,FALSE)="","",IF('Tube Cutting'!D21="Matt Satin",VLOOKUP(CONCATENATE(Assembly!C21,Assembly!F21),PulleysEndCaps,5,FALSE),"")))</f>
        <v/>
      </c>
      <c r="DS13" s="8" t="str">
        <f>IF(OR('Job Sheet'!Z21="Conduit",I13&lt;&gt;"DBS to Make"),"",IF(VLOOKUP(CONCATENATE(Assembly!C21,Assembly!F21),PulleysEndCaps,8,FALSE)="","",IF('Tube Cutting'!D21="White",VLOOKUP(CONCATENATE(Assembly!C21,Assembly!F21),PulleysEndCaps,8,FALSE),"")))</f>
        <v/>
      </c>
      <c r="DT13" s="8" t="str">
        <f>IF(OR('Job Sheet'!Z21="Conduit",I13&lt;&gt;"DBS to Make"),"",IF(VLOOKUP(CONCATENATE(Assembly!C21,Assembly!F21),PulleysEndCaps,8,FALSE)="","",IF('Tube Cutting'!D21="Matt Black Ink",VLOOKUP(CONCATENATE(Assembly!C21,Assembly!F21),PulleysEndCaps,8,FALSE),"")))</f>
        <v/>
      </c>
      <c r="DU13" s="8" t="str">
        <f>IF(OR('Job Sheet'!Z21="Conduit",I13&lt;&gt;"DBS to Make"),"",IF(VLOOKUP(CONCATENATE(Assembly!C21,Assembly!F21),PulleysEndCaps,8,FALSE)="","",IF('Tube Cutting'!D21="Birch White",VLOOKUP(CONCATENATE(Assembly!C21,Assembly!F21),PulleysEndCaps,8,FALSE),"")))</f>
        <v/>
      </c>
      <c r="DV13" s="8" t="str">
        <f>IF(OR('Job Sheet'!Z21="Conduit",'Job Sheet'!Z21="Conduit x 2",I13&lt;&gt;"DBS to Make"),"",IF(VLOOKUP(CONCATENATE(Assembly!C21,Assembly!F21),PulleysEndCaps,8,FALSE)="","",IF('Tube Cutting'!D21="Matt Satin",VLOOKUP(CONCATENATE(Assembly!C21,Assembly!F21),PulleysEndCaps,8,FALSE),"")))</f>
        <v/>
      </c>
      <c r="DW13" s="8" t="str">
        <f>IF(D13="","",IF(AND(Assembly!C21="Wavefold Cord Operation",OR('Tube Cutting'!D21="White",'Tube Cutting'!D21="Matt Satin"),OR(Assembly!F21="Centre Opening",Assembly!F21="Centre Opening - Free Flowing",Assembly!F21="Centre Opening (Offset)",Assembly!F21="Centre Opening - Free Flowing (Offset)")),2,IF(AND(Assembly!C21="Wavefold Cord Operation",OR('Tube Cutting'!D21="White",'Tube Cutting'!D21="Matt Satin"),OR(Assembly!F21="Single Panel - Left Stacking",Assembly!F21="Single Panel - Right Stacking",Assembly!F21="Single Panel - Free Flowing")),1,"")))</f>
        <v/>
      </c>
      <c r="DX13" s="8" t="str">
        <f>IF(D13="","",IF(AND(AND(Assembly!C21="Wavefold Cord Operation",'Tube Cutting'!D21="Black",'Tube Cutting'!D21),(OR(Assembly!F21="Centre Opening",Assembly!F21="Centre Opening - Free Flowing",Assembly!F21="Centre Opening (Offset)",Assembly!F21="Centre Opening - Free Flowing (Offset)"))),2,IF(AND(AND(Assembly!C21="Wavefold Cord Operation",'Tube Cutting'!D21="Black",'Tube Cutting'!D21),(OR(Assembly!F21="Single Panel - Left Stacking",Assembly!F21="Single Panel - Right Stacking",Assembly!F21="Single Panel - Free Flowing"))),1,"")))</f>
        <v/>
      </c>
      <c r="DY13" s="8" t="str">
        <f>IF(D13="","",IF(AND(Assembly!C21="Wavefold Hand Operation",(OR('Tube Cutting'!D21="White",'Tube Cutting'!D21="White"))),Bagging!I21,""))</f>
        <v>1</v>
      </c>
      <c r="DZ13" s="8" t="str">
        <f>IF(D13="","",IF(AND(Assembly!C21="Wavefold Hand Operation",'Tube Cutting'!D21="Black"),Bagging!I21,""))</f>
        <v/>
      </c>
      <c r="EA13" s="8" t="str">
        <f>IF(OR(D13="",AI23="Straight"),"",IF(AND(OR('Tube Cutting'!E21="Streamline Cord Operation",'Tube Cutting'!E21="Streamline Hand Operation"),(OR(Assembly!F21="Centre Opening",Assembly!F21="Centre Opening - Free Flowing",Assembly!F21="Centre Opening (Offset)",Assembly!F21="Centre Opening - Free Flowing (Offset)"))),2,IF(AND(OR('Tube Cutting'!E21="Streamline Cord Operation",'Tube Cutting'!E21="Streamline Hand Operation"),(OR(Assembly!F21="Single Panel - Left Stacking",Assembly!F21="Single Panel - Right Stacking - Free Flowing",Assembly!F21="Single Panel - Free Flowing"))),1,"")))</f>
        <v/>
      </c>
      <c r="EB13" s="8" t="str">
        <f>IF(D13="","",IF(OR('Tube Cutting'!E21="Streamline Cord Operation",'Tube Cutting'!E21="Wavefold Cord Operation",'Tube Cutting'!E21="System 20 Light Commercial Track Cord Drawn"),1,""))</f>
        <v/>
      </c>
      <c r="EC13" s="8" t="str">
        <f>IF(D13="","",IF(VLOOKUP(CONCATENATE('Tube Cutting'!E21,'Tube Cutting'!D21),TrackManufacturing,2,FALSE)="System 20 White",1,""))</f>
        <v/>
      </c>
      <c r="ED13" s="8" t="str">
        <f>IF(D13="","",IF(VLOOKUP(CONCATENATE('Tube Cutting'!E21,'Tube Cutting'!D21),TrackManufacturing,2,FALSE)="System 20 Black",1,""))</f>
        <v/>
      </c>
      <c r="EE13" s="8" t="str">
        <f>IF(D13="","",IF(AND(VLOOKUP(CONCATENATE('Tube Cutting'!E21,'Tube Cutting'!D21),TrackManufacturing,2,FALSE)="System 20 White",(OR(Assembly!F21="Centre Opening",Assembly!F21="Centre Opening - Free Flowing",Assembly!F21="Centre Opening (Offset)",Assembly!F21="Centre Opening - Free Flowing (Offset)"))),1,""))</f>
        <v/>
      </c>
      <c r="EF13" s="8" t="str">
        <f>IF(D13="","",IF(AND(VLOOKUP(CONCATENATE('Tube Cutting'!E21,'Tube Cutting'!D21),TrackManufacturing,2,FALSE)="System 20 Black",(OR(Assembly!F21="Centre Opening",Assembly!F21="Centre Opening - Free Flowing",Assembly!F21="Centre Opening (Offset)",Assembly!F21="Centre Opening - Free Flowing (Offset)"))),1,""))</f>
        <v/>
      </c>
      <c r="EG13" s="125" t="str">
        <f>IF(D13="","",IF(OR(VLOOKUP(CONCATENATE('Tube Cutting'!E21,'Tube Cutting'!D21),TrackManufacturing,2,FALSE)="System 20 White",VLOOKUP(CONCATENATE('Tube Cutting'!E21,'Tube Cutting'!D21),TrackManufacturing,2,FALSE)="System 20 Black"),Assembly!G21,""))</f>
        <v/>
      </c>
      <c r="EH13" s="8" t="str">
        <f>IF('Tube Cutting'!E21="Conduit",'Job Sheet'!CB21,"")</f>
        <v/>
      </c>
      <c r="EI13" s="8" t="str">
        <f>IF(Bagging!D21="Muslin Brackets",2,IF(Bagging!D21="Muslin Brackets Top and Bottom",4,""))</f>
        <v/>
      </c>
      <c r="EJ13" s="8" t="str">
        <f>IF(Bagging!D21="100mm Unstayed Brackets with Acorns",2,"")</f>
        <v/>
      </c>
      <c r="EK13" s="8" t="str">
        <f>IF(Bagging!D21="25mm Brackets with Acorns",2,IF('Job Sheet'!AJ21="1 (Conduit)",2,IF('Job Sheet'!AJ21="2 (Conduit)",4,IF('Job Sheet'!AJ21="3 (Conduit)",6,IF('Job Sheet'!AJ21="4 (Conduit)",8,"")))))</f>
        <v/>
      </c>
      <c r="EL13" s="8" t="str">
        <f>IF(OR(Bagging!D21="25mm Brackets with Acorns",Bagging!D21="100mm Unstayed Brackets with Acorns"),2,"")</f>
        <v/>
      </c>
      <c r="EM13" s="8" t="str">
        <f>IF('Job Sheet'!AJ21="1 (Conduit)",1,IF('Job Sheet'!AJ21="2 (Conduit)",2,IF('Job Sheet'!AJ21="3 (Conduit)",3,IF('Job Sheet'!AJ21="4 (Conduit)",4,""))))</f>
        <v/>
      </c>
    </row>
    <row r="14" spans="1:143" ht="12" customHeight="1">
      <c r="A14" s="8"/>
      <c r="B14" s="8"/>
      <c r="C14" s="8"/>
      <c r="D14" s="8" t="str">
        <f>IF(Data!AW22="","",CONCATENATE(Data!BC$5,".",Data!BD$5))</f>
        <v>39776.F</v>
      </c>
      <c r="E14" s="8">
        <f>IF(D14="","",Data!AW22)</f>
        <v>39</v>
      </c>
      <c r="F14" s="8" t="str">
        <f>IF(D14="","",Data!AV22)</f>
        <v>5a69598e-d0e5-4bcc-9473-4f0e40de301b</v>
      </c>
      <c r="G14" s="8" t="str">
        <f>IF(D14="","",Data!BF$5)</f>
        <v>Hare, Kaitlin</v>
      </c>
      <c r="H14" s="8" t="str">
        <f>IF(D14="","",Data!AX$5)</f>
        <v>Whole House</v>
      </c>
      <c r="I14" s="8" t="str">
        <f>IF(D14="","",'Job Sheet'!BH22)</f>
        <v>DBS to Make</v>
      </c>
      <c r="J14" s="8" t="str">
        <f>IF(D14="","",IF(OR(VLOOKUP(CONCATENATE('Tube Cutting'!E22,'Tube Cutting'!D22),TrackManufacturing,2,FALSE)="Wavefold White",VLOOKUP(CONCATENATE('Tube Cutting'!E22,'Tube Cutting'!D22),TrackManufacturing,2,FALSE)="Wavefold Black",VLOOKUP(CONCATENATE('Tube Cutting'!E22,'Tube Cutting'!D22),TrackManufacturing,2,FALSE)="Wavefold Matt Satin"),('Job Sheet'!BP22*2)/1000,""))</f>
        <v/>
      </c>
      <c r="K14" s="125" t="str">
        <f>IF(D14="","",IF(OR(VLOOKUP(CONCATENATE('Tube Cutting'!E22,'Tube Cutting'!D22),TrackManufacturing,2,FALSE)="Wavefold White",VLOOKUP(CONCATENATE('Tube Cutting'!E22,'Tube Cutting'!D22),TrackManufacturing,2,FALSE)="Wavefold Matt Satin"),J14*10,""))</f>
        <v/>
      </c>
      <c r="L14" s="125" t="str">
        <f>IF(D14="","",IF(VLOOKUP(CONCATENATE('Tube Cutting'!E22,'Tube Cutting'!D22),TrackManufacturing,2,FALSE)="Wavefold Black",J14*10,""))</f>
        <v/>
      </c>
      <c r="M14" s="126" t="str">
        <f>IF(D14="","",IF(OR(VLOOKUP(CONCATENATE('Tube Cutting'!E22,'Tube Cutting'!D22),TrackManufacturing,2,FALSE)="Wavefold White",VLOOKUP(CONCATENATE('Tube Cutting'!E22,'Tube Cutting'!D22),TrackManufacturing,2,FALSE)="System 20 White"),'Tube Cutting'!C22/1000,""))</f>
        <v/>
      </c>
      <c r="N14" s="126" t="str">
        <f>IF(D14="","",IF(OR(VLOOKUP(CONCATENATE('Tube Cutting'!E22,'Tube Cutting'!D22),TrackManufacturing,2,FALSE)="Wavefold Black",VLOOKUP(CONCATENATE('Tube Cutting'!E22,'Tube Cutting'!D22),TrackManufacturing,2,FALSE)="System 20 Black"),'Tube Cutting'!C22/1000,""))</f>
        <v/>
      </c>
      <c r="O14" s="126" t="str">
        <f>IF(D14="","",IF(OR(VLOOKUP(CONCATENATE('Tube Cutting'!E22,'Tube Cutting'!D22),TrackManufacturing,2,FALSE)="Wavefold Matt Satin",VLOOKUP(CONCATENATE('Tube Cutting'!E22,'Tube Cutting'!D22),TrackManufacturing,2,FALSE)="System 20 Matt Satin"),'Tube Cutting'!C22/1000,""))</f>
        <v/>
      </c>
      <c r="P14" s="125" t="str">
        <f>IF(D14="","",IF(AND((OR('Tube Cutting'!D22="White",'Tube Cutting'!D22="Matt Satin")),(OR('Tube Cutting'!E22="Wavefold Hand Operation",'Tube Cutting'!E22="Wavefold Cord Operation"))),IF(M14="",O14*20,M14*20),""))</f>
        <v/>
      </c>
      <c r="Q14" s="125" t="str">
        <f>IF(D14="","",IF(AND('Tube Cutting'!D22="Black",(OR('Tube Cutting'!E22="Wavefold Hand Operation",'Tube Cutting'!E22="Wavefold Cord Operation"))),N14*20,""))</f>
        <v/>
      </c>
      <c r="R14" s="125">
        <f>IF(D14="","",IF(OR('Tube Cutting'!E22="Streamline Hand Operation",'Tube Cutting'!E22="Streamline Cord Operation"),Assembly!G22,""))</f>
        <v>34.37</v>
      </c>
      <c r="S14" s="8">
        <f>IF(D14="","",IF(VLOOKUP(CONCATENATE('Tube Cutting'!E22,'Tube Cutting'!D22),TrackManufacturing,2,FALSE)="Streamline White",'Tube Cutting'!C22/1000,""))</f>
        <v>3.476</v>
      </c>
      <c r="T14" s="8" t="str">
        <f>IF(D14="","",IF(VLOOKUP(CONCATENATE('Tube Cutting'!E22,'Tube Cutting'!D22),TrackManufacturing,2,FALSE)="Streamline Matt Black Ink",'Tube Cutting'!C22/1000,""))</f>
        <v/>
      </c>
      <c r="U14" s="8" t="str">
        <f>IF(D14="","",IF(VLOOKUP(CONCATENATE('Tube Cutting'!E22,'Tube Cutting'!D22),TrackManufacturing,2,FALSE)="Streamline Birch White",'Tube Cutting'!C22/1000,""))</f>
        <v/>
      </c>
      <c r="V14" s="8" t="str">
        <f>IF(D14="","",IF(VLOOKUP(CONCATENATE('Tube Cutting'!E22,'Tube Cutting'!D22),TrackManufacturing,2,FALSE)="Streamline Matt Satin",'Tube Cutting'!C22/1000,""))</f>
        <v/>
      </c>
      <c r="W14" s="8" t="str">
        <f>IF(Bagging!H22="White Aluminium Flick Sticks 100cm",Bagging!I22,"")</f>
        <v/>
      </c>
      <c r="X14" s="8" t="str">
        <f>IF(Bagging!H22="White Aluminium Flick Sticks 125cm",Bagging!I22,"")</f>
        <v>2</v>
      </c>
      <c r="Y14" s="8" t="str">
        <f>IF(Bagging!H22="White Aluminium Flick Sticks 150cm",Bagging!I22,"")</f>
        <v/>
      </c>
      <c r="Z14" s="8" t="str">
        <f>IF(Bagging!H22="Black Aluminium Flick Sticks 100cm",Bagging!I22,"")</f>
        <v/>
      </c>
      <c r="AA14" s="8" t="str">
        <f>IF(Bagging!H22="Black Aluminium Flick Sticks 125cm",Bagging!I22,"")</f>
        <v/>
      </c>
      <c r="AB14" s="8" t="str">
        <f>IF(Bagging!H22="Black Aluminium Flick Sticks 150cm",Bagging!I22,"")</f>
        <v/>
      </c>
      <c r="AC14" s="8" t="str">
        <f>IF(Bagging!H22="Matt Satin Aluminium Flick Sticks 100cm",Bagging!I22,"")</f>
        <v/>
      </c>
      <c r="AD14" s="8" t="str">
        <f>IF(Bagging!H22="Black Aluminium Flick Sticks 125cm",Bagging!I22,"")</f>
        <v/>
      </c>
      <c r="AE14" s="8" t="str">
        <f>IF(Bagging!H22="Black Aluminium Flick Sticks 150cm",Bagging!I22,"")</f>
        <v/>
      </c>
      <c r="AF14" s="8" t="str">
        <f>IF(Bagging!H22="Standard Clear 75cm",Bagging!I22,"")</f>
        <v/>
      </c>
      <c r="AG14" s="8" t="str">
        <f>IF(Bagging!H22="Standard Clear 100cm",Bagging!I22,"")</f>
        <v/>
      </c>
      <c r="AH14" s="8" t="str">
        <f>IF(Bagging!H22="Standard Clear 125cm",Bagging!I22,"")</f>
        <v/>
      </c>
      <c r="AI14" s="8" t="str">
        <f>IF(Bagging!H22="Standard Clear 150cm",Bagging!I22,"")</f>
        <v/>
      </c>
      <c r="AJ14" s="8" t="str">
        <f>IF(Bagging!H22="White Fibreglass 200cm",Bagging!I22,"")</f>
        <v/>
      </c>
      <c r="AK14" s="8" t="str">
        <f>IF(Bagging!H22="White Fibreglass 250cm",Bagging!I22,"")</f>
        <v/>
      </c>
      <c r="AL14" s="8" t="str">
        <f>IF(D14="","",IF(AND(OR(VLOOKUP(CONCATENATE('Tube Cutting'!E22,'Tube Cutting'!D22),TrackManufacturing,2,FALSE)="Wavefold White",VLOOKUP(CONCATENATE('Tube Cutting'!E22,'Tube Cutting'!D22),TrackManufacturing,2,FALSE)="System 20 White"),(Bagging!D22="Top Fix Brackets")),Bagging!F22,""))</f>
        <v/>
      </c>
      <c r="AM14" s="8" t="str">
        <f>IF(D14="","",IF(AND(OR(VLOOKUP(CONCATENATE('Tube Cutting'!E22,'Tube Cutting'!D22),TrackManufacturing,2,FALSE)="Wavefold White",VLOOKUP(CONCATENATE('Tube Cutting'!E22,'Tube Cutting'!D22),TrackManufacturing,2,FALSE)="System 20 White"),(Bagging!D22="Single Face Fix Brackets")),Bagging!F22,""))</f>
        <v/>
      </c>
      <c r="AN14" s="8" t="str">
        <f>IF(D14="","",IF(AND(OR(VLOOKUP(CONCATENATE('Tube Cutting'!E22,'Tube Cutting'!D22),TrackManufacturing,2,FALSE)="Wavefold White",VLOOKUP(CONCATENATE('Tube Cutting'!E22,'Tube Cutting'!D22),TrackManufacturing,2,FALSE)="System 20 White"),(Bagging!D22="Double Face Fix Brackets")),Bagging!F22,""))</f>
        <v/>
      </c>
      <c r="AO14" s="8" t="str">
        <f>IF(D14="","",IF(AND(OR(VLOOKUP(CONCATENATE('Tube Cutting'!E22,'Tube Cutting'!D22),TrackManufacturing,2,FALSE)="Wavefold White",VLOOKUP(CONCATENATE('Tube Cutting'!E22,'Tube Cutting'!D22),TrackManufacturing,2,FALSE)="System 20 White"),(Bagging!D22="Triple Face Fix Brackets")),Bagging!F22,""))</f>
        <v/>
      </c>
      <c r="AP14" s="8" t="str">
        <f>IF(D14="","",IF(AND(OR(VLOOKUP(CONCATENATE('Tube Cutting'!E22,'Tube Cutting'!D22),TrackManufacturing,2,FALSE)="Wavefold Black",VLOOKUP(CONCATENATE('Tube Cutting'!E22,'Tube Cutting'!D22),TrackManufacturing,2,FALSE)="System 20 Black"),(Bagging!D22="Top Fix Brackets")),Bagging!F22,""))</f>
        <v/>
      </c>
      <c r="AQ14" s="8" t="str">
        <f>IF(D14="","",IF(AND(OR(VLOOKUP(CONCATENATE('Tube Cutting'!E22,'Tube Cutting'!D22),TrackManufacturing,2,FALSE)="Wavefold Black",VLOOKUP(CONCATENATE('Tube Cutting'!E22,'Tube Cutting'!D22),TrackManufacturing,2,FALSE)="System 20 Black"),(Bagging!D22="Single Face Fix Brackets")),Bagging!F22,""))</f>
        <v/>
      </c>
      <c r="AR14" s="8" t="str">
        <f>IF(D14="","",IF(AND(OR(VLOOKUP(CONCATENATE('Tube Cutting'!E22,'Tube Cutting'!D22),TrackManufacturing,2,FALSE)="Wavefold Black",VLOOKUP(CONCATENATE('Tube Cutting'!E22,'Tube Cutting'!D22),TrackManufacturing,2,FALSE)="System 20 Black"),(Bagging!D22="Double Face Fix Brackets")),Bagging!F22,""))</f>
        <v/>
      </c>
      <c r="AS14" s="8" t="str">
        <f>IF(D14="","",IF(AND(OR(VLOOKUP(CONCATENATE('Tube Cutting'!E22,'Tube Cutting'!D22),TrackManufacturing,2,FALSE)="Wavefold Black",VLOOKUP(CONCATENATE('Tube Cutting'!E22,'Tube Cutting'!D22),TrackManufacturing,2,FALSE)="System 20 Black"),(Bagging!D22="Triple Face Fix Brackets")),Bagging!F22,""))</f>
        <v/>
      </c>
      <c r="AT14" s="8" t="str">
        <f>IF(D14="","",IF(AND(OR(VLOOKUP(CONCATENATE('Tube Cutting'!E22,'Tube Cutting'!D22),TrackManufacturing,2,FALSE)="Wavefold Matt Satin",VLOOKUP(CONCATENATE('Tube Cutting'!E22,'Tube Cutting'!D22),TrackManufacturing,2,FALSE)="System 20 Matt Satin"),(Bagging!D22="Top Fix Brackets")),Bagging!F22,""))</f>
        <v/>
      </c>
      <c r="AU14" s="8" t="str">
        <f>IF(D14="","",IF(AND(OR(VLOOKUP(CONCATENATE('Tube Cutting'!E22,'Tube Cutting'!D22),TrackManufacturing,2,FALSE)="Wavefold Matt Satin",VLOOKUP(CONCATENATE('Tube Cutting'!E22,'Tube Cutting'!D22),TrackManufacturing,2,FALSE)="System 20 Matt Satin"),(Bagging!D22="Single Face Fix Brackets")),Bagging!F22,""))</f>
        <v/>
      </c>
      <c r="AV14" s="8" t="str">
        <f>IF(D14="","",IF(AND(OR(VLOOKUP(CONCATENATE('Tube Cutting'!E22,'Tube Cutting'!D22),TrackManufacturing,2,FALSE)="Wavefold Matt Satin",VLOOKUP(CONCATENATE('Tube Cutting'!E22,'Tube Cutting'!D22),TrackManufacturing,2,FALSE)="System 20 Matt Satin"),(Bagging!D22="Double Face Fix Brackets")),Bagging!F22,""))</f>
        <v/>
      </c>
      <c r="AW14" s="8" t="str">
        <f>IF(D14="","",IF(AND(OR(VLOOKUP(CONCATENATE('Tube Cutting'!E22,'Tube Cutting'!D22),TrackManufacturing,2,FALSE)="Wavefold Matt Satin",VLOOKUP(CONCATENATE('Tube Cutting'!E22,'Tube Cutting'!D22),TrackManufacturing,2,FALSE)="System 20 Matt Satin"),(Bagging!D22="Triple Face Fix Brackets")),Bagging!F22,""))</f>
        <v/>
      </c>
      <c r="AX14" s="8" t="str">
        <f>IF(D14="","",IF(AND(VLOOKUP(CONCATENATE('Tube Cutting'!E22,'Tube Cutting'!D22),TrackManufacturing,2,FALSE)="Streamline White",(Bagging!D22="Nylon Top Fix Brackets")),VLOOKUP('Job Sheet'!BP22,Brackets,2,TRUE),""))</f>
        <v/>
      </c>
      <c r="AY14" s="8" t="str">
        <f>IF(D14="","",IF(AND(VLOOKUP(CONCATENATE('Tube Cutting'!E22,'Tube Cutting'!D22),TrackManufacturing,2,FALSE)="Streamline White",(Bagging!D22="Metal Fix Brackets")),VLOOKUP('Job Sheet'!BP22,Brackets,2,TRUE),""))</f>
        <v/>
      </c>
      <c r="AZ14" s="8" t="str">
        <f>IF(D14="","",IF(AND(VLOOKUP(CONCATENATE('Tube Cutting'!E22,'Tube Cutting'!D22),TrackManufacturing,2,FALSE)="Streamline White",(Bagging!D22="Single Face Fix Brackets")),Bagging!F22,""))</f>
        <v/>
      </c>
      <c r="BA14" s="8" t="str">
        <f>IF(D14="","",IF(AND(VLOOKUP(CONCATENATE('Tube Cutting'!E22,'Tube Cutting'!D22),TrackManufacturing,2,FALSE)="Streamline White",(Bagging!D22="Double Face Fix Brackets")),Bagging!F22,""))</f>
        <v/>
      </c>
      <c r="BB14" s="8">
        <f>IF(D14="","",IF(AND(VLOOKUP(CONCATENATE('Tube Cutting'!E22,'Tube Cutting'!D22),TrackManufacturing,2,FALSE)="Streamline White",(Bagging!D22="Triple Face Fix Brackets")),Bagging!F22,""))</f>
        <v>6</v>
      </c>
      <c r="BC14" s="8" t="str">
        <f>IF(D14="","",IF(AND(VLOOKUP(CONCATENATE('Tube Cutting'!E22,'Tube Cutting'!D22),TrackManufacturing,2,FALSE)="Streamline White",(Bagging!D22="32mm Face Fix Brackets")),Bagging!F22,""))</f>
        <v/>
      </c>
      <c r="BD14" s="8" t="str">
        <f>IF(D14="","",IF(AND(VLOOKUP(CONCATENATE('Tube Cutting'!E22,'Tube Cutting'!D22),TrackManufacturing,2,FALSE)="Streamline Matt Black Ink",(Bagging!D22="Top Fix Brackets")),VLOOKUP('Job Sheet'!BP22,Brackets,2,TRUE),""))</f>
        <v/>
      </c>
      <c r="BE14" s="8" t="str">
        <f>IF(D14="","",IF(AND(VLOOKUP(CONCATENATE('Tube Cutting'!E22,'Tube Cutting'!D22),TrackManufacturing,2,FALSE)="Streamline White",(Bagging!D22="Metal Fix Brackets")),VLOOKUP('Job Sheet'!BP22,Brackets,2,TRUE),""))</f>
        <v/>
      </c>
      <c r="BF14" s="8" t="str">
        <f>IF(D14="","",IF(AND(VLOOKUP(CONCATENATE('Tube Cutting'!E22,'Tube Cutting'!D22),TrackManufacturing,2,FALSE)="Streamline Matt Black Ink",(Bagging!D22="Single Face Fix Brackets")),Bagging!F22,""))</f>
        <v/>
      </c>
      <c r="BG14" s="8" t="str">
        <f>IF(D14="","",IF(AND(VLOOKUP(CONCATENATE('Tube Cutting'!E22,'Tube Cutting'!D22),TrackManufacturing,2,FALSE)="Streamline Matt Black Ink",(Bagging!D22="Double Face Fix Brackets")),Bagging!F22,""))</f>
        <v/>
      </c>
      <c r="BH14" s="8" t="str">
        <f>IF(D14="","",IF(AND(VLOOKUP(CONCATENATE('Tube Cutting'!E22,'Tube Cutting'!D22),TrackManufacturing,2,FALSE)="Streamline Matt Black Ink",(Bagging!D22="Triple Face Fix Brackets")),Bagging!F22,""))</f>
        <v/>
      </c>
      <c r="BI14" s="8" t="str">
        <f>IF(D14="","",IF(AND(VLOOKUP(CONCATENATE('Tube Cutting'!E22,'Tube Cutting'!D22),TrackManufacturing,2,FALSE)="Streamline Matt Black Ink",(Bagging!D22="32mm Face Fix Brackets")),Bagging!F22,""))</f>
        <v/>
      </c>
      <c r="BJ14" s="8" t="str">
        <f>IF(D14="","",IF(AND(VLOOKUP(CONCATENATE('Tube Cutting'!E22,'Tube Cutting'!D22),TrackManufacturing,2,FALSE)="Streamline Birch White",(Bagging!D22="Top Fix Brackets")),VLOOKUP('Job Sheet'!BP22,Brackets,2,TRUE),""))</f>
        <v/>
      </c>
      <c r="BK14" s="8" t="str">
        <f>IF(D14="","",IF(AND(VLOOKUP(CONCATENATE('Tube Cutting'!E22,'Tube Cutting'!D22),TrackManufacturing,2,FALSE)="Streamline White",(Bagging!D22="Metal Fix Brackets")),VLOOKUP('Job Sheet'!BP22,Brackets,2,TRUE),""))</f>
        <v/>
      </c>
      <c r="BL14" s="8" t="str">
        <f>IF(D14="","",IF(AND(VLOOKUP(CONCATENATE('Tube Cutting'!E22,'Tube Cutting'!D22),TrackManufacturing,2,FALSE)="Streamline Birch White",(Bagging!D22="Single Face Fix Brackets")),Bagging!F22,""))</f>
        <v/>
      </c>
      <c r="BM14" s="8" t="str">
        <f>IF(D14="","",IF(AND(VLOOKUP(CONCATENATE('Tube Cutting'!E22,'Tube Cutting'!D22),TrackManufacturing,2,FALSE)="Streamline Birch White",(Bagging!D22="Double Face Fix Brackets")),Bagging!F22,""))</f>
        <v/>
      </c>
      <c r="BN14" s="8" t="str">
        <f>IF(D14="","",IF(AND(VLOOKUP(CONCATENATE('Tube Cutting'!E22,'Tube Cutting'!D22),TrackManufacturing,2,FALSE)="Streamline Birch White",(Bagging!D22="Triple Face Fix Brackets")),Bagging!F22,""))</f>
        <v/>
      </c>
      <c r="BO14" s="8" t="str">
        <f>IF(D14="","",IF(AND(VLOOKUP(CONCATENATE('Tube Cutting'!E22,'Tube Cutting'!D22),TrackManufacturing,2,FALSE)="Streamline Birch White",(Bagging!D22="32mm Face Fix Brackets")),Bagging!F22,""))</f>
        <v/>
      </c>
      <c r="BP14" s="8" t="str">
        <f>IF(K14="","",IF(AND(VLOOKUP(CONCATENATE('Tube Cutting'!K22,'Tube Cutting'!J22),TrackManufacturing,2,FALSE)="Streamline Birch White",(Bagging!J22="Top Fix Brackets")),VLOOKUP('Job Sheet'!BU22,Brackets,2,TRUE),""))</f>
        <v/>
      </c>
      <c r="BQ14" s="8" t="str">
        <f>IF(K14="","",IF(AND(VLOOKUP(CONCATENATE('Tube Cutting'!K22,'Tube Cutting'!J22),TrackManufacturing,2,FALSE)="Streamline White",(Bagging!J22="Metal Fix Brackets")),VLOOKUP('Job Sheet'!BU22,Brackets,2,TRUE),""))</f>
        <v/>
      </c>
      <c r="BR14" s="8" t="str">
        <f>IF(K14="","",IF(AND(VLOOKUP(CONCATENATE('Tube Cutting'!K22,'Tube Cutting'!J22),TrackManufacturing,2,FALSE)="Streamline Birch White",(Bagging!J22="Single Face Fix Brackets")),Bagging!L22,""))</f>
        <v/>
      </c>
      <c r="BS14" s="8" t="str">
        <f>IF(K14="","",IF(AND(VLOOKUP(CONCATENATE('Tube Cutting'!K22,'Tube Cutting'!J22),TrackManufacturing,2,FALSE)="Streamline Birch White",(Bagging!J22="Double Face Fix Brackets")),Bagging!L22,""))</f>
        <v/>
      </c>
      <c r="BT14" s="8" t="str">
        <f>IF(K14="","",IF(AND(VLOOKUP(CONCATENATE('Tube Cutting'!K22,'Tube Cutting'!J22),TrackManufacturing,2,FALSE)="Streamline Birch White",(Bagging!J22="Triple Face Fix Brackets")),Bagging!L22,""))</f>
        <v/>
      </c>
      <c r="BU14" s="8" t="str">
        <f>IF(K14="","",IF(AND(VLOOKUP(CONCATENATE('Tube Cutting'!K22,'Tube Cutting'!J22),TrackManufacturing,2,FALSE)="Streamline Birch White",(Bagging!J22="32mm Face Fix Brackets")),Bagging!L22,""))</f>
        <v/>
      </c>
      <c r="BV14" s="8" t="str">
        <f>IF(AND('Tube Cutting'!D22="White",Bagging!D22="Top Fix Brackets"),Bagging!F22,"")</f>
        <v/>
      </c>
      <c r="BW14" s="8" t="str">
        <f>IF(AND('Tube Cutting'!D22="White",Bagging!D22="Single Face Fix Brackets"),Bagging!F22,"")</f>
        <v/>
      </c>
      <c r="BX14" s="8" t="str">
        <f>IF(AND('Tube Cutting'!D22="White",Bagging!D22="Double Face Fix Brackets"),Bagging!F22,"")</f>
        <v/>
      </c>
      <c r="BY14" s="8">
        <f>IF(AND('Tube Cutting'!D22="White",Bagging!D22="Triple Face Fix Brackets"),Bagging!F22,"")</f>
        <v>6</v>
      </c>
      <c r="BZ14" s="8" t="str">
        <f>IF(AND('Tube Cutting'!D22="Black",Bagging!D22="Top Fix Brackets"),Bagging!F22,"")</f>
        <v/>
      </c>
      <c r="CA14" s="8" t="str">
        <f>IF(AND('Tube Cutting'!D22="Black",Bagging!D22="Single Face Fix Brackets"),Bagging!F22,"")</f>
        <v/>
      </c>
      <c r="CB14" s="8" t="str">
        <f>IF(AND('Tube Cutting'!D22="Black",Bagging!D22="Double Face Fix Brackets"),Bagging!F22,"")</f>
        <v/>
      </c>
      <c r="CC14" s="8" t="str">
        <f>IF(AND('Tube Cutting'!D22="Black",Bagging!D22="Triple Fix Brackets"),Bagging!F22,"")</f>
        <v/>
      </c>
      <c r="CD14" s="8" t="str">
        <f>IF(AND('Tube Cutting'!D22="Matt Satin",Bagging!D22="Top Fix Brackets"),Bagging!F22,"")</f>
        <v/>
      </c>
      <c r="CE14" s="8" t="str">
        <f>IF(AND('Tube Cutting'!D22="Matt Satin",Bagging!D22="Single Face Fix Brackets"),Bagging!F22,"")</f>
        <v/>
      </c>
      <c r="CF14" s="8" t="str">
        <f>IF(AND('Tube Cutting'!D22="Matt Satin",Bagging!D22="Double Face Fix Brackets"),Bagging!F22,"")</f>
        <v/>
      </c>
      <c r="CG14" s="8" t="str">
        <f>IF(AND('Tube Cutting'!D22="Matt Satin",Bagging!D22="Triple Fix Brackets"),Bagging!F22,"")</f>
        <v/>
      </c>
      <c r="CH14" s="8" t="str">
        <f>IF(D14="","",IF(AND('Tube Cutting'!D22="White",(OR(Bagging!J22="Single Left",Bagging!J22="Single Left &amp; Right"))),"1",""))</f>
        <v/>
      </c>
      <c r="CI14" s="8" t="str">
        <f>IF(D14="","",IF(AND('Tube Cutting'!D22="Black",(OR(Bagging!J22="Single Left",Bagging!J22="Single Left &amp; Right"))),"1",""))</f>
        <v/>
      </c>
      <c r="CJ14" s="8" t="str">
        <f>IF(D14="","",IF(AND('Tube Cutting'!D22="Matt Satin",(OR(Bagging!J22="Single Left",Bagging!J22="Single Left &amp; Right"))),"1",""))</f>
        <v/>
      </c>
      <c r="CK14" s="8" t="str">
        <f>IF(D14="","",IF(AND('Tube Cutting'!D22="White",(OR(Bagging!J22="Single Right",Bagging!J22="Single Left &amp; Right"))),"1",""))</f>
        <v/>
      </c>
      <c r="CL14" s="8" t="str">
        <f>IF(D14="","",IF(AND('Tube Cutting'!D22="Black",(OR(Bagging!J22="Single Right",Bagging!J22="Single Left &amp; Right"))),"1",""))</f>
        <v/>
      </c>
      <c r="CM14" s="8" t="str">
        <f>IF(D14="","",IF(AND('Tube Cutting'!D22="Matt Satin",(OR(Bagging!J22="Single Right",Bagging!J22="Single Left &amp; Right"))),"1",""))</f>
        <v/>
      </c>
      <c r="CN14" s="8" t="str">
        <f>IF(D14="","",IF(AND('Tube Cutting'!D22="White",(OR(Bagging!J22="Double Left",Bagging!J22="Double Left &amp; Right"))),"1",""))</f>
        <v/>
      </c>
      <c r="CO14" s="8" t="str">
        <f>IF(D14="","",IF(AND('Tube Cutting'!D22="Black",(OR(Bagging!J22="Double Left",Bagging!J22="Double Left &amp; Right"))),"1",""))</f>
        <v/>
      </c>
      <c r="CP14" s="8" t="str">
        <f>IF(D14="","",IF(AND('Tube Cutting'!D22="Matt Satin",(OR(Bagging!J22="Double Left",Bagging!J22="Double Left &amp; Right"))),"1",""))</f>
        <v/>
      </c>
      <c r="CQ14" s="8" t="str">
        <f>IF(D14="","",IF(AND('Tube Cutting'!D22="White",(OR(Bagging!J22="Double Right",Bagging!J22="Double Left &amp; Right"))),"1",""))</f>
        <v/>
      </c>
      <c r="CR14" s="8" t="str">
        <f>IF(D14="","",IF(AND('Tube Cutting'!D22="Black",(OR(Bagging!J22="Double Right",Bagging!J22="Double Left &amp; Right"))),"1",""))</f>
        <v/>
      </c>
      <c r="CS14" s="8" t="str">
        <f>IF(D14="","",IF(AND('Tube Cutting'!D22="Matt Satin",(OR(Bagging!J22="Double Right",Bagging!J22="Double Left &amp; Right"))),"1",""))</f>
        <v/>
      </c>
      <c r="CT14" s="8">
        <f>IF(D14="","",IF(VLOOKUP(CONCATENATE('Tube Cutting'!E22,'Tube Cutting'!D22),TrackManufacturing,2,FALSE)="Streamline White",1,""))</f>
        <v>1</v>
      </c>
      <c r="CU14" s="8" t="str">
        <f>IF(D14="","",IF(VLOOKUP(CONCATENATE('Tube Cutting'!E22,'Tube Cutting'!D22),TrackManufacturing,2,FALSE)="Streamline Matt Black Ink",1,""))</f>
        <v/>
      </c>
      <c r="CV14" s="8" t="str">
        <f>IF(D14="","",IF(VLOOKUP(CONCATENATE('Tube Cutting'!E22,'Tube Cutting'!D22),TrackManufacturing,2,FALSE)="Streamline Birch White",1,""))</f>
        <v/>
      </c>
      <c r="CW14" s="8" t="str">
        <f>IF(D14="","",IF(VLOOKUP(CONCATENATE('Tube Cutting'!E22,'Tube Cutting'!D22),TrackManufacturing,2,FALSE)="Streamline Matt Satin",1,""))</f>
        <v/>
      </c>
      <c r="CX14" s="8">
        <f>IF(D14="","",IF(AND(VLOOKUP(CONCATENATE('Tube Cutting'!E22,'Tube Cutting'!D22),TrackManufacturing,2,FALSE)="Streamline White",(OR(Assembly!F22="Centre Opening",Assembly!F22="Centre Opening - Free Flowing",Assembly!F22="Centre Opening (Offset)",Assembly!F22="Centre Opening - Free Flowing (Offset)"))),1,""))</f>
        <v>1</v>
      </c>
      <c r="CY14" s="8" t="str">
        <f>IF(D14="","",IF(AND(VLOOKUP(CONCATENATE('Tube Cutting'!E22,'Tube Cutting'!D22),TrackManufacturing,2,FALSE)="Streamline Matt Black Ink",(OR(Assembly!F22="Centre Opening",Assembly!F22="Centre Opening - Free Flowing",Assembly!F22="Centre Opening (Offset)",Assembly!F22="Centre Opening - Free Flowing (Offset)"))),1,""))</f>
        <v/>
      </c>
      <c r="CZ14" s="8" t="str">
        <f>IF(D14="","",IF(AND(VLOOKUP(CONCATENATE('Tube Cutting'!E22,'Tube Cutting'!D22),TrackManufacturing,2,FALSE)="Streamline Birch White",(OR(Assembly!F22="Centre Opening",Assembly!F22="Centre Opening - Free Flowing",Assembly!F22="Centre Opening (Offset)",Assembly!F22="Centre Opening - Free Flowing (Offset)"))),1,""))</f>
        <v/>
      </c>
      <c r="DA14" s="8" t="str">
        <f>IF(D14="","",IF(AND(VLOOKUP(CONCATENATE('Tube Cutting'!E22,'Tube Cutting'!D22),TrackManufacturing,2,FALSE)="Streamline Matt Satin",(OR(Assembly!F22="Centre Opening",Assembly!F22="Centre Opening - Free Flowing",Assembly!F22="Centre Opening (Offset)",Assembly!F22="Centre Opening - Free Flowing (Offset)"))),1,""))</f>
        <v/>
      </c>
      <c r="DB14" s="8" t="str">
        <f>IF(OR('Job Sheet'!Z22="Conduit",I14&lt;&gt;"DBS to Make"),"",IF(VLOOKUP(CONCATENATE(Assembly!C22,Assembly!F22),PulleysEndCaps,2,FALSE)="","",IF('Tube Cutting'!D22="White",VLOOKUP(CONCATENATE(Assembly!C22,Assembly!F22),PulleysEndCaps,2,FALSE),"")))</f>
        <v/>
      </c>
      <c r="DC14" s="8" t="str">
        <f>IF(OR('Job Sheet'!Z22="Conduit",I14&lt;&gt;"DBS to Make"),"",IF(VLOOKUP(CONCATENATE(Assembly!C22,Assembly!F22),PulleysEndCaps,2,FALSE)="","",IF('Tube Cutting'!D22="Black",VLOOKUP(CONCATENATE(Assembly!C22,Assembly!F22),PulleysEndCaps,2,FALSE),"")))</f>
        <v/>
      </c>
      <c r="DD14" s="8" t="str">
        <f>IF(OR('Job Sheet'!Z22="Conduit",I14&lt;&gt;"DBS to Make"),"",IF(VLOOKUP(CONCATENATE(Assembly!C22,Assembly!F22),PulleysEndCaps,2,FALSE)="","",IF('Tube Cutting'!D22="Matt Satin",VLOOKUP(CONCATENATE(Assembly!C22,Assembly!F22),PulleysEndCaps,2,FALSE),"")))</f>
        <v/>
      </c>
      <c r="DE14" s="8" t="str">
        <f>IF(OR('Job Sheet'!Z22="Conduit",I14&lt;&gt;"DBS to Make"),"",IF(VLOOKUP(CONCATENATE(Assembly!C22,Assembly!F22),PulleysEndCaps,3,FALSE)="","",IF('Tube Cutting'!D22="White",VLOOKUP(CONCATENATE(Assembly!C22,Assembly!F22),PulleysEndCaps,3,FALSE),"")))</f>
        <v/>
      </c>
      <c r="DF14" s="8" t="str">
        <f>IF(OR('Job Sheet'!Z22="Conduit",I14&lt;&gt;"DBS to Make"),"",IF(VLOOKUP(CONCATENATE(Assembly!C22,Assembly!F22),PulleysEndCaps,3,FALSE)="","",IF('Tube Cutting'!D22="Black",VLOOKUP(CONCATENATE(Assembly!C22,Assembly!F22),PulleysEndCaps,3,FALSE),"")))</f>
        <v/>
      </c>
      <c r="DG14" s="8" t="str">
        <f>IF(OR('Job Sheet'!Z22="Conduit",I14&lt;&gt;"DBS to Make"),"",IF(VLOOKUP(CONCATENATE(Assembly!C22,Assembly!F22),PulleysEndCaps,3,FALSE)="","",IF('Tube Cutting'!D22="Matt Satin",VLOOKUP(CONCATENATE(Assembly!C22,Assembly!F22),PulleysEndCaps,3,FALSE),"")))</f>
        <v/>
      </c>
      <c r="DH14" s="8" t="str">
        <f>IF(OR('Job Sheet'!Z22="Conduit",I14&lt;&gt;"DBS to Make"),"",IF(VLOOKUP(CONCATENATE(Assembly!C22,Assembly!F22),PulleysEndCaps,6,FALSE)="","",IF('Tube Cutting'!D22="White",VLOOKUP(CONCATENATE(Assembly!C22,Assembly!F22),PulleysEndCaps,6,FALSE),"")))</f>
        <v/>
      </c>
      <c r="DI14" s="8" t="str">
        <f>IF(OR('Job Sheet'!Z22="Conduit",I14&lt;&gt;"DBS to Make"),"",IF(VLOOKUP(CONCATENATE(Assembly!C22,Assembly!F22),PulleysEndCaps,6,FALSE)="","",IF('Tube Cutting'!D22="Matt Black Ink",VLOOKUP(CONCATENATE(Assembly!C22,Assembly!F22),PulleysEndCaps,6,FALSE),"")))</f>
        <v/>
      </c>
      <c r="DJ14" s="8" t="str">
        <f>IF(OR('Job Sheet'!Z22="Conduit",I14&lt;&gt;"DBS to Make"),"",IF(VLOOKUP(CONCATENATE(Assembly!C22,Assembly!F22),PulleysEndCaps,6,FALSE)="","",IF('Tube Cutting'!D22="Birch White",VLOOKUP(CONCATENATE(Assembly!C22,Assembly!F22),PulleysEndCaps,6,FALSE),"")))</f>
        <v/>
      </c>
      <c r="DK14" s="8" t="str">
        <f>IF(OR('Job Sheet'!Z22="Conduit",'Job Sheet'!Z22="Conduit x 2",I14&lt;&gt;"DBS to Make"),"",IF(VLOOKUP(CONCATENATE(Assembly!C22,Assembly!F22),PulleysEndCaps,6,FALSE)="","",IF('Tube Cutting'!D22="Matt Satin",VLOOKUP(CONCATENATE(Assembly!C22,Assembly!F22),PulleysEndCaps,6,FALSE),"")))</f>
        <v/>
      </c>
      <c r="DL14" s="8" t="str">
        <f>IF(OR('Job Sheet'!Z22="Conduit",I14&lt;&gt;"DBS to Make"),"",IF(VLOOKUP(CONCATENATE(Assembly!C22,Assembly!F22),PulleysEndCaps,4,FALSE)="","",VLOOKUP(CONCATENATE(Assembly!C22,Assembly!F22),PulleysEndCaps,4,FALSE)))</f>
        <v/>
      </c>
      <c r="DM14" s="8" t="str">
        <f>IF(OR('Job Sheet'!Z22="Conduit",I14&lt;&gt;"DBS to Make"),"",IF(VLOOKUP(CONCATENATE(Assembly!C22,Assembly!F22),PulleysEndCaps,7,FALSE)="","",VLOOKUP(CONCATENATE(Assembly!C22,Assembly!F22),PulleysEndCaps,7,FALSE)))</f>
        <v/>
      </c>
      <c r="DN14" s="8" t="str">
        <f>IF(D14="","",IF(AND(OR(VLOOKUP(CONCATENATE('Tube Cutting'!E22,'Tube Cutting'!D22),TrackManufacturing,2,FALSE)="Wavefold White",VLOOKUP(CONCATENATE('Tube Cutting'!E22,'Tube Cutting'!D22),TrackManufacturing,2,FALSE)="Wavefold Black",VLOOKUP(CONCATENATE('Tube Cutting'!E22,'Tube Cutting'!D22),TrackManufacturing,2,FALSE)="Wavefold Matt Satin",VLOOKUP(CONCATENATE('Tube Cutting'!E22,'Tube Cutting'!D22),TrackManufacturing,2,FALSE)="System 20 White",VLOOKUP(CONCATENATE('Tube Cutting'!E22,'Tube Cutting'!D22),TrackManufacturing,2,FALSE)="System 20 Black",VLOOKUP(CONCATENATE('Tube Cutting'!E22,'Tube Cutting'!D22),TrackManufacturing,2,FALSE)="System 20 Matt Satin"),'Tube Cutting'!C22&gt;6000),1,""))</f>
        <v/>
      </c>
      <c r="DO14" s="8" t="str">
        <f>IF(D14="","",IF(AND(OR(VLOOKUP(CONCATENATE('Tube Cutting'!E22,'Tube Cutting'!D22),TrackManufacturing,2,FALSE)="Streamline White",VLOOKUP(CONCATENATE('Tube Cutting'!E22,'Tube Cutting'!D22),TrackManufacturing,2,FALSE)="Streamline Black",VLOOKUP(CONCATENATE('Tube Cutting'!E22,'Tube Cutting'!D22),TrackManufacturing,2,FALSE)="Streamline Birch White",VLOOKUP(CONCATENATE('Tube Cutting'!E22,'Tube Cutting'!D22),TrackManufacturing,2,FALSE)="Streamline Matt Satin"),'Tube Cutting'!C22&gt;6000),1,""))</f>
        <v/>
      </c>
      <c r="DP14" s="8" t="str">
        <f>IF(OR('Job Sheet'!Z22="Conduit",I14&lt;&gt;"DBS to Make"),"",IF(VLOOKUP(CONCATENATE(Assembly!C22,Assembly!F22),PulleysEndCaps,5,FALSE)="","",IF('Tube Cutting'!D22="White",VLOOKUP(CONCATENATE(Assembly!C22,Assembly!F22),PulleysEndCaps,5,FALSE),"")))</f>
        <v/>
      </c>
      <c r="DQ14" s="8" t="str">
        <f>IF(OR('Job Sheet'!Z22="Conduit",I14&lt;&gt;"DBS to Make"),"",IF(VLOOKUP(CONCATENATE(Assembly!C22,Assembly!F22),PulleysEndCaps,5,FALSE)="","",IF('Tube Cutting'!D22="Black",VLOOKUP(CONCATENATE(Assembly!C22,Assembly!F22),PulleysEndCaps,5,FALSE),"")))</f>
        <v/>
      </c>
      <c r="DR14" s="8" t="str">
        <f>IF(OR('Job Sheet'!Z22="Conduit",I14&lt;&gt;"DBS to Make"),"",IF(VLOOKUP(CONCATENATE(Assembly!C22,Assembly!F22),PulleysEndCaps,5,FALSE)="","",IF('Tube Cutting'!D22="Matt Satin",VLOOKUP(CONCATENATE(Assembly!C22,Assembly!F22),PulleysEndCaps,5,FALSE),"")))</f>
        <v/>
      </c>
      <c r="DS14" s="8">
        <f>IF(OR('Job Sheet'!Z22="Conduit",I14&lt;&gt;"DBS to Make"),"",IF(VLOOKUP(CONCATENATE(Assembly!C22,Assembly!F22),PulleysEndCaps,8,FALSE)="","",IF('Tube Cutting'!D22="White",VLOOKUP(CONCATENATE(Assembly!C22,Assembly!F22),PulleysEndCaps,8,FALSE),"")))</f>
        <v>2</v>
      </c>
      <c r="DT14" s="8" t="str">
        <f>IF(OR('Job Sheet'!Z22="Conduit",I14&lt;&gt;"DBS to Make"),"",IF(VLOOKUP(CONCATENATE(Assembly!C22,Assembly!F22),PulleysEndCaps,8,FALSE)="","",IF('Tube Cutting'!D22="Matt Black Ink",VLOOKUP(CONCATENATE(Assembly!C22,Assembly!F22),PulleysEndCaps,8,FALSE),"")))</f>
        <v/>
      </c>
      <c r="DU14" s="8" t="str">
        <f>IF(OR('Job Sheet'!Z22="Conduit",I14&lt;&gt;"DBS to Make"),"",IF(VLOOKUP(CONCATENATE(Assembly!C22,Assembly!F22),PulleysEndCaps,8,FALSE)="","",IF('Tube Cutting'!D22="Birch White",VLOOKUP(CONCATENATE(Assembly!C22,Assembly!F22),PulleysEndCaps,8,FALSE),"")))</f>
        <v/>
      </c>
      <c r="DV14" s="8" t="str">
        <f>IF(OR('Job Sheet'!Z22="Conduit",'Job Sheet'!Z22="Conduit x 2",I14&lt;&gt;"DBS to Make"),"",IF(VLOOKUP(CONCATENATE(Assembly!C22,Assembly!F22),PulleysEndCaps,8,FALSE)="","",IF('Tube Cutting'!D22="Matt Satin",VLOOKUP(CONCATENATE(Assembly!C22,Assembly!F22),PulleysEndCaps,8,FALSE),"")))</f>
        <v/>
      </c>
      <c r="DW14" s="8" t="str">
        <f>IF(D14="","",IF(AND(Assembly!C22="Wavefold Cord Operation",OR('Tube Cutting'!D22="White",'Tube Cutting'!D22="Matt Satin"),OR(Assembly!F22="Centre Opening",Assembly!F22="Centre Opening - Free Flowing",Assembly!F22="Centre Opening (Offset)",Assembly!F22="Centre Opening - Free Flowing (Offset)")),2,IF(AND(Assembly!C22="Wavefold Cord Operation",OR('Tube Cutting'!D22="White",'Tube Cutting'!D22="Matt Satin"),OR(Assembly!F22="Single Panel - Left Stacking",Assembly!F22="Single Panel - Right Stacking",Assembly!F22="Single Panel - Free Flowing")),1,"")))</f>
        <v/>
      </c>
      <c r="DX14" s="8" t="str">
        <f>IF(D14="","",IF(AND(AND(Assembly!C22="Wavefold Cord Operation",'Tube Cutting'!D22="Black",'Tube Cutting'!D22),(OR(Assembly!F22="Centre Opening",Assembly!F22="Centre Opening - Free Flowing",Assembly!F22="Centre Opening (Offset)",Assembly!F22="Centre Opening - Free Flowing (Offset)"))),2,IF(AND(AND(Assembly!C22="Wavefold Cord Operation",'Tube Cutting'!D22="Black",'Tube Cutting'!D22),(OR(Assembly!F22="Single Panel - Left Stacking",Assembly!F22="Single Panel - Right Stacking",Assembly!F22="Single Panel - Free Flowing"))),1,"")))</f>
        <v/>
      </c>
      <c r="DY14" s="8" t="str">
        <f>IF(D14="","",IF(AND(Assembly!C22="Wavefold Hand Operation",(OR('Tube Cutting'!D22="White",'Tube Cutting'!D22="White"))),Bagging!I22,""))</f>
        <v/>
      </c>
      <c r="DZ14" s="8" t="str">
        <f>IF(D14="","",IF(AND(Assembly!C22="Wavefold Hand Operation",'Tube Cutting'!D22="Black"),Bagging!I22,""))</f>
        <v/>
      </c>
      <c r="EA14" s="8">
        <f>IF(OR(D14="",AI24="Straight"),"",IF(AND(OR('Tube Cutting'!E22="Streamline Cord Operation",'Tube Cutting'!E22="Streamline Hand Operation"),(OR(Assembly!F22="Centre Opening",Assembly!F22="Centre Opening - Free Flowing",Assembly!F22="Centre Opening (Offset)",Assembly!F22="Centre Opening - Free Flowing (Offset)"))),2,IF(AND(OR('Tube Cutting'!E22="Streamline Cord Operation",'Tube Cutting'!E22="Streamline Hand Operation"),(OR(Assembly!F22="Single Panel - Left Stacking",Assembly!F22="Single Panel - Right Stacking - Free Flowing",Assembly!F22="Single Panel - Free Flowing"))),1,"")))</f>
        <v>2</v>
      </c>
      <c r="EB14" s="8" t="str">
        <f>IF(D14="","",IF(OR('Tube Cutting'!E22="Streamline Cord Operation",'Tube Cutting'!E22="Wavefold Cord Operation",'Tube Cutting'!E22="System 20 Light Commercial Track Cord Drawn"),1,""))</f>
        <v/>
      </c>
      <c r="EC14" s="8" t="str">
        <f>IF(D14="","",IF(VLOOKUP(CONCATENATE('Tube Cutting'!E22,'Tube Cutting'!D22),TrackManufacturing,2,FALSE)="System 20 White",1,""))</f>
        <v/>
      </c>
      <c r="ED14" s="8" t="str">
        <f>IF(D14="","",IF(VLOOKUP(CONCATENATE('Tube Cutting'!E22,'Tube Cutting'!D22),TrackManufacturing,2,FALSE)="System 20 Black",1,""))</f>
        <v/>
      </c>
      <c r="EE14" s="8" t="str">
        <f>IF(D14="","",IF(AND(VLOOKUP(CONCATENATE('Tube Cutting'!E22,'Tube Cutting'!D22),TrackManufacturing,2,FALSE)="System 20 White",(OR(Assembly!F22="Centre Opening",Assembly!F22="Centre Opening - Free Flowing",Assembly!F22="Centre Opening (Offset)",Assembly!F22="Centre Opening - Free Flowing (Offset)"))),1,""))</f>
        <v/>
      </c>
      <c r="EF14" s="8" t="str">
        <f>IF(D14="","",IF(AND(VLOOKUP(CONCATENATE('Tube Cutting'!E22,'Tube Cutting'!D22),TrackManufacturing,2,FALSE)="System 20 Black",(OR(Assembly!F22="Centre Opening",Assembly!F22="Centre Opening - Free Flowing",Assembly!F22="Centre Opening (Offset)",Assembly!F22="Centre Opening - Free Flowing (Offset)"))),1,""))</f>
        <v/>
      </c>
      <c r="EG14" s="125" t="str">
        <f>IF(D14="","",IF(OR(VLOOKUP(CONCATENATE('Tube Cutting'!E22,'Tube Cutting'!D22),TrackManufacturing,2,FALSE)="System 20 White",VLOOKUP(CONCATENATE('Tube Cutting'!E22,'Tube Cutting'!D22),TrackManufacturing,2,FALSE)="System 20 Black"),Assembly!G22,""))</f>
        <v/>
      </c>
      <c r="EH14" s="8" t="str">
        <f>IF('Tube Cutting'!E22="Conduit",'Job Sheet'!CB22,"")</f>
        <v/>
      </c>
      <c r="EI14" s="8" t="str">
        <f>IF(Bagging!D22="Muslin Brackets",2,IF(Bagging!D22="Muslin Brackets Top and Bottom",4,""))</f>
        <v/>
      </c>
      <c r="EJ14" s="8" t="str">
        <f>IF(Bagging!D22="100mm Unstayed Brackets with Acorns",2,"")</f>
        <v/>
      </c>
      <c r="EK14" s="8" t="str">
        <f>IF(Bagging!D22="25mm Brackets with Acorns",2,IF('Job Sheet'!AJ22="1 (Conduit)",2,IF('Job Sheet'!AJ22="2 (Conduit)",4,IF('Job Sheet'!AJ22="3 (Conduit)",6,IF('Job Sheet'!AJ22="4 (Conduit)",8,"")))))</f>
        <v/>
      </c>
      <c r="EL14" s="8" t="str">
        <f>IF(OR(Bagging!D22="25mm Brackets with Acorns",Bagging!D22="100mm Unstayed Brackets with Acorns"),2,"")</f>
        <v/>
      </c>
      <c r="EM14" s="8" t="str">
        <f>IF('Job Sheet'!AJ22="1 (Conduit)",1,IF('Job Sheet'!AJ22="2 (Conduit)",2,IF('Job Sheet'!AJ22="3 (Conduit)",3,IF('Job Sheet'!AJ22="4 (Conduit)",4,""))))</f>
        <v/>
      </c>
    </row>
    <row r="15" ht="12" customHeight="1"/>
    <row r="16" ht="12" customHeight="1"/>
    <row r="17" ht="12" customHeight="1"/>
    <row r="18" ht="12" customHeight="1"/>
    <row r="19" ht="12" customHeight="1"/>
    <row r="20" ht="12" customHeight="1"/>
    <row r="21" ht="12" customHeight="1"/>
    <row r="22" ht="12" customHeight="1"/>
    <row r="23" ht="12" customHeight="1"/>
    <row r="24" ht="12" customHeight="1"/>
    <row r="25" ht="12" customHeight="1"/>
    <row r="26" ht="12" customHeight="1"/>
    <row r="27" ht="12" customHeight="1"/>
    <row r="28" ht="12" customHeight="1"/>
    <row r="29" ht="12" customHeight="1"/>
    <row r="30" ht="12" customHeight="1"/>
    <row r="31" ht="12" customHeight="1"/>
    <row r="32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</sheetData>
  <pageMargins left="1.19212598425219" right="1.19212598425219" top="0.75" bottom="0.75" header="0.3" footer="0.3"/>
  <pageSetup horizontalDpi="300" verticalDpi="30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A025-98A9-4D63-AABC-02C8839FB7B4}">
  <sheetPr codeName="Sheet1"/>
  <dimension ref="A1:BQ10906"/>
  <sheetViews>
    <sheetView workbookViewId="0" topLeftCell="A1">
      <pane ySplit="1" topLeftCell="A10880" activePane="bottomLeft" state="frozen"/>
      <selection pane="bottomLeft" activeCell="B10889" sqref="B10889"/>
    </sheetView>
  </sheetViews>
  <sheetFormatPr defaultColWidth="9.33203125" defaultRowHeight="13.5"/>
  <cols>
    <col min="1" max="1" width="64.5714285714286" bestFit="1" customWidth="1"/>
    <col min="2" max="2" width="14.4285714285714" bestFit="1" customWidth="1"/>
    <col min="3" max="3" width="12.4285714285714" style="44" bestFit="1" customWidth="1"/>
    <col min="4" max="4" width="18.4285714285714" bestFit="1" customWidth="1"/>
    <col min="5" max="5" width="52.5714285714286" bestFit="1" customWidth="1"/>
    <col min="6" max="6" width="10.4285714285714" bestFit="1" customWidth="1"/>
  </cols>
  <sheetData>
    <row r="1" spans="1:6" ht="14.4">
      <c r="A1" s="49" t="s">
        <v>168</v>
      </c>
      <c r="B1" s="49" t="s">
        <v>198</v>
      </c>
      <c r="C1" s="49" t="s">
        <v>114</v>
      </c>
      <c r="D1" s="49" t="s">
        <v>354</v>
      </c>
      <c r="E1" s="49" t="s">
        <v>355</v>
      </c>
      <c r="F1" s="49" t="s">
        <v>195</v>
      </c>
    </row>
    <row r="2" spans="1:6" ht="13.2">
      <c r="A2" t="s">
        <v>2028</v>
      </c>
      <c r="B2">
        <v>0</v>
      </c>
      <c r="C2" s="44" t="s">
        <v>200</v>
      </c>
      <c r="D2" t="s">
        <v>291</v>
      </c>
      <c r="E2" t="s">
        <v>256</v>
      </c>
      <c r="F2">
        <v>4</v>
      </c>
    </row>
    <row r="3" spans="1:6" ht="13.2">
      <c r="A3" t="s">
        <v>4261</v>
      </c>
      <c r="B3">
        <v>0</v>
      </c>
      <c r="C3" s="44" t="s">
        <v>200</v>
      </c>
      <c r="D3" t="s">
        <v>291</v>
      </c>
      <c r="E3" t="s">
        <v>256</v>
      </c>
      <c r="F3">
        <v>4</v>
      </c>
    </row>
    <row r="4" spans="1:5" ht="13.2">
      <c r="A4" t="s">
        <v>3526</v>
      </c>
      <c r="B4">
        <v>1030</v>
      </c>
      <c r="C4" s="44">
        <v>1340</v>
      </c>
      <c r="D4" t="s">
        <v>291</v>
      </c>
      <c r="E4" t="s">
        <v>522</v>
      </c>
    </row>
    <row r="5" spans="1:6" ht="13.2">
      <c r="A5" t="s">
        <v>3485</v>
      </c>
      <c r="B5">
        <v>0</v>
      </c>
      <c r="C5" s="44">
        <v>1400</v>
      </c>
      <c r="D5" t="s">
        <v>291</v>
      </c>
      <c r="E5" t="s">
        <v>364</v>
      </c>
      <c r="F5">
        <v>3</v>
      </c>
    </row>
    <row r="6" spans="1:6" ht="13.2">
      <c r="A6" t="s">
        <v>3486</v>
      </c>
      <c r="B6">
        <v>0</v>
      </c>
      <c r="C6" s="44">
        <v>1400</v>
      </c>
      <c r="D6" t="s">
        <v>291</v>
      </c>
      <c r="E6" t="s">
        <v>364</v>
      </c>
      <c r="F6">
        <v>3</v>
      </c>
    </row>
    <row r="7" spans="1:6" ht="13.2">
      <c r="A7" t="s">
        <v>3487</v>
      </c>
      <c r="B7">
        <v>0</v>
      </c>
      <c r="C7" s="44">
        <v>1400</v>
      </c>
      <c r="D7" t="s">
        <v>291</v>
      </c>
      <c r="E7" t="s">
        <v>364</v>
      </c>
      <c r="F7">
        <v>3</v>
      </c>
    </row>
    <row r="8" spans="1:6" ht="13.2">
      <c r="A8" t="s">
        <v>3514</v>
      </c>
      <c r="B8">
        <v>0</v>
      </c>
      <c r="C8" s="44">
        <v>1400</v>
      </c>
      <c r="D8" t="s">
        <v>291</v>
      </c>
      <c r="E8" t="s">
        <v>364</v>
      </c>
      <c r="F8">
        <v>3</v>
      </c>
    </row>
    <row r="9" spans="1:6" ht="13.2">
      <c r="A9" t="s">
        <v>3488</v>
      </c>
      <c r="B9">
        <v>0</v>
      </c>
      <c r="C9" s="44">
        <v>1400</v>
      </c>
      <c r="D9" t="s">
        <v>291</v>
      </c>
      <c r="E9" t="s">
        <v>364</v>
      </c>
      <c r="F9">
        <v>3</v>
      </c>
    </row>
    <row r="10" spans="1:6" ht="13.2">
      <c r="A10" t="s">
        <v>3489</v>
      </c>
      <c r="B10">
        <v>0</v>
      </c>
      <c r="C10" s="44">
        <v>1400</v>
      </c>
      <c r="D10" t="s">
        <v>291</v>
      </c>
      <c r="E10" t="s">
        <v>364</v>
      </c>
      <c r="F10">
        <v>3</v>
      </c>
    </row>
    <row r="11" spans="1:6" ht="13.2">
      <c r="A11" t="s">
        <v>3490</v>
      </c>
      <c r="B11">
        <v>0</v>
      </c>
      <c r="C11" s="44">
        <v>1400</v>
      </c>
      <c r="D11" t="s">
        <v>291</v>
      </c>
      <c r="E11" t="s">
        <v>364</v>
      </c>
      <c r="F11">
        <v>3</v>
      </c>
    </row>
    <row r="12" spans="1:6" ht="13.2">
      <c r="A12" t="s">
        <v>3491</v>
      </c>
      <c r="B12">
        <v>0</v>
      </c>
      <c r="C12" s="44">
        <v>1400</v>
      </c>
      <c r="D12" t="s">
        <v>291</v>
      </c>
      <c r="E12" t="s">
        <v>364</v>
      </c>
      <c r="F12">
        <v>3</v>
      </c>
    </row>
    <row r="13" spans="1:6" ht="13.2">
      <c r="A13" t="s">
        <v>3492</v>
      </c>
      <c r="B13">
        <v>0</v>
      </c>
      <c r="C13" s="44">
        <v>1400</v>
      </c>
      <c r="D13" t="s">
        <v>291</v>
      </c>
      <c r="E13" t="s">
        <v>364</v>
      </c>
      <c r="F13">
        <v>3</v>
      </c>
    </row>
    <row r="14" spans="1:6" ht="13.2">
      <c r="A14" t="s">
        <v>3493</v>
      </c>
      <c r="B14">
        <v>0</v>
      </c>
      <c r="C14" s="44">
        <v>1400</v>
      </c>
      <c r="D14" t="s">
        <v>291</v>
      </c>
      <c r="E14" t="s">
        <v>364</v>
      </c>
      <c r="F14">
        <v>3</v>
      </c>
    </row>
    <row r="15" spans="1:6" ht="13.2">
      <c r="A15" t="s">
        <v>3494</v>
      </c>
      <c r="B15">
        <v>0</v>
      </c>
      <c r="C15" s="44">
        <v>1400</v>
      </c>
      <c r="D15" t="s">
        <v>291</v>
      </c>
      <c r="E15" t="s">
        <v>364</v>
      </c>
      <c r="F15">
        <v>3</v>
      </c>
    </row>
    <row r="16" spans="1:6" ht="13.2">
      <c r="A16" t="s">
        <v>3495</v>
      </c>
      <c r="B16">
        <v>0</v>
      </c>
      <c r="C16" s="44">
        <v>1400</v>
      </c>
      <c r="D16" t="s">
        <v>291</v>
      </c>
      <c r="E16" t="s">
        <v>364</v>
      </c>
      <c r="F16">
        <v>3</v>
      </c>
    </row>
    <row r="17" spans="1:6" ht="13.2">
      <c r="A17" t="s">
        <v>3496</v>
      </c>
      <c r="B17">
        <v>0</v>
      </c>
      <c r="C17" s="44">
        <v>1400</v>
      </c>
      <c r="D17" t="s">
        <v>291</v>
      </c>
      <c r="E17" t="s">
        <v>364</v>
      </c>
      <c r="F17">
        <v>3</v>
      </c>
    </row>
    <row r="18" spans="1:6" ht="13.2">
      <c r="A18" t="s">
        <v>3497</v>
      </c>
      <c r="B18">
        <v>0</v>
      </c>
      <c r="C18" s="44">
        <v>1400</v>
      </c>
      <c r="D18" t="s">
        <v>291</v>
      </c>
      <c r="E18" t="s">
        <v>364</v>
      </c>
      <c r="F18">
        <v>3</v>
      </c>
    </row>
    <row r="19" spans="1:6" ht="13.2">
      <c r="A19" t="s">
        <v>3498</v>
      </c>
      <c r="B19">
        <v>0</v>
      </c>
      <c r="C19" s="44">
        <v>1400</v>
      </c>
      <c r="D19" t="s">
        <v>291</v>
      </c>
      <c r="E19" t="s">
        <v>364</v>
      </c>
      <c r="F19">
        <v>3</v>
      </c>
    </row>
    <row r="20" spans="1:6" ht="13.2">
      <c r="A20" t="s">
        <v>3499</v>
      </c>
      <c r="B20">
        <v>0</v>
      </c>
      <c r="C20" s="44">
        <v>1400</v>
      </c>
      <c r="D20" t="s">
        <v>291</v>
      </c>
      <c r="E20" t="s">
        <v>364</v>
      </c>
      <c r="F20">
        <v>3</v>
      </c>
    </row>
    <row r="21" spans="1:6" ht="13.2">
      <c r="A21" t="s">
        <v>3500</v>
      </c>
      <c r="B21">
        <v>0</v>
      </c>
      <c r="C21" s="44">
        <v>1400</v>
      </c>
      <c r="D21" t="s">
        <v>291</v>
      </c>
      <c r="E21" t="s">
        <v>364</v>
      </c>
      <c r="F21">
        <v>3</v>
      </c>
    </row>
    <row r="22" spans="1:6" ht="13.2">
      <c r="A22" t="s">
        <v>3501</v>
      </c>
      <c r="B22">
        <v>0</v>
      </c>
      <c r="C22" s="44">
        <v>1400</v>
      </c>
      <c r="D22" t="s">
        <v>291</v>
      </c>
      <c r="E22" t="s">
        <v>364</v>
      </c>
      <c r="F22">
        <v>3</v>
      </c>
    </row>
    <row r="23" spans="1:6" ht="13.2">
      <c r="A23" t="s">
        <v>3502</v>
      </c>
      <c r="B23">
        <v>0</v>
      </c>
      <c r="C23" s="44">
        <v>1400</v>
      </c>
      <c r="D23" t="s">
        <v>291</v>
      </c>
      <c r="E23" t="s">
        <v>364</v>
      </c>
      <c r="F23">
        <v>3</v>
      </c>
    </row>
    <row r="24" spans="1:6" ht="13.2">
      <c r="A24" t="s">
        <v>3503</v>
      </c>
      <c r="B24">
        <v>0</v>
      </c>
      <c r="C24" s="44">
        <v>1400</v>
      </c>
      <c r="D24" t="s">
        <v>291</v>
      </c>
      <c r="E24" t="s">
        <v>364</v>
      </c>
      <c r="F24">
        <v>3</v>
      </c>
    </row>
    <row r="25" spans="1:6" ht="13.2">
      <c r="A25" t="s">
        <v>3504</v>
      </c>
      <c r="B25">
        <v>0</v>
      </c>
      <c r="C25" s="44">
        <v>1400</v>
      </c>
      <c r="D25" t="s">
        <v>291</v>
      </c>
      <c r="E25" t="s">
        <v>364</v>
      </c>
      <c r="F25">
        <v>3</v>
      </c>
    </row>
    <row r="26" spans="1:6" ht="13.2">
      <c r="A26" t="s">
        <v>3505</v>
      </c>
      <c r="B26">
        <v>0</v>
      </c>
      <c r="C26" s="44">
        <v>1400</v>
      </c>
      <c r="D26" t="s">
        <v>291</v>
      </c>
      <c r="E26" t="s">
        <v>364</v>
      </c>
      <c r="F26">
        <v>3</v>
      </c>
    </row>
    <row r="27" spans="1:6" ht="13.2">
      <c r="A27" t="s">
        <v>3506</v>
      </c>
      <c r="B27">
        <v>0</v>
      </c>
      <c r="C27" s="44">
        <v>1400</v>
      </c>
      <c r="D27" t="s">
        <v>291</v>
      </c>
      <c r="E27" t="s">
        <v>364</v>
      </c>
      <c r="F27">
        <v>3</v>
      </c>
    </row>
    <row r="28" spans="1:6" ht="13.2">
      <c r="A28" t="s">
        <v>3507</v>
      </c>
      <c r="B28">
        <v>0</v>
      </c>
      <c r="C28" s="44">
        <v>1400</v>
      </c>
      <c r="D28" t="s">
        <v>291</v>
      </c>
      <c r="E28" t="s">
        <v>364</v>
      </c>
      <c r="F28">
        <v>3</v>
      </c>
    </row>
    <row r="29" spans="1:6" ht="13.2">
      <c r="A29" t="s">
        <v>3508</v>
      </c>
      <c r="B29">
        <v>0</v>
      </c>
      <c r="C29" s="44">
        <v>1400</v>
      </c>
      <c r="D29" t="s">
        <v>291</v>
      </c>
      <c r="E29" t="s">
        <v>364</v>
      </c>
      <c r="F29">
        <v>3</v>
      </c>
    </row>
    <row r="30" spans="1:6" ht="13.2">
      <c r="A30" t="s">
        <v>3509</v>
      </c>
      <c r="B30">
        <v>0</v>
      </c>
      <c r="C30" s="44">
        <v>1400</v>
      </c>
      <c r="D30" t="s">
        <v>291</v>
      </c>
      <c r="E30" t="s">
        <v>364</v>
      </c>
      <c r="F30">
        <v>3</v>
      </c>
    </row>
    <row r="31" spans="1:6" ht="13.2">
      <c r="A31" t="s">
        <v>3515</v>
      </c>
      <c r="B31">
        <v>0</v>
      </c>
      <c r="C31" s="44">
        <v>1400</v>
      </c>
      <c r="D31" t="s">
        <v>291</v>
      </c>
      <c r="E31" t="s">
        <v>364</v>
      </c>
      <c r="F31">
        <v>3</v>
      </c>
    </row>
    <row r="32" spans="1:6" ht="13.2">
      <c r="A32" t="s">
        <v>3510</v>
      </c>
      <c r="B32">
        <v>0</v>
      </c>
      <c r="C32" s="44">
        <v>1400</v>
      </c>
      <c r="D32" t="s">
        <v>291</v>
      </c>
      <c r="E32" t="s">
        <v>364</v>
      </c>
      <c r="F32">
        <v>3</v>
      </c>
    </row>
    <row r="33" spans="1:6" ht="13.2">
      <c r="A33" t="s">
        <v>3511</v>
      </c>
      <c r="B33">
        <v>0</v>
      </c>
      <c r="C33" s="44">
        <v>1400</v>
      </c>
      <c r="D33" t="s">
        <v>291</v>
      </c>
      <c r="E33" t="s">
        <v>364</v>
      </c>
      <c r="F33">
        <v>3</v>
      </c>
    </row>
    <row r="34" spans="1:6" ht="13.2">
      <c r="A34" t="s">
        <v>3512</v>
      </c>
      <c r="B34">
        <v>0</v>
      </c>
      <c r="C34" s="44">
        <v>1400</v>
      </c>
      <c r="D34" t="s">
        <v>291</v>
      </c>
      <c r="E34" t="s">
        <v>364</v>
      </c>
      <c r="F34">
        <v>3</v>
      </c>
    </row>
    <row r="35" spans="1:6" ht="13.2">
      <c r="A35" t="s">
        <v>3513</v>
      </c>
      <c r="B35">
        <v>0</v>
      </c>
      <c r="C35" s="44">
        <v>1400</v>
      </c>
      <c r="D35" t="s">
        <v>291</v>
      </c>
      <c r="E35" t="s">
        <v>364</v>
      </c>
      <c r="F35">
        <v>3</v>
      </c>
    </row>
    <row r="36" spans="1:6" ht="13.2">
      <c r="A36" t="s">
        <v>956</v>
      </c>
      <c r="B36">
        <v>0</v>
      </c>
      <c r="C36" s="44">
        <v>3200</v>
      </c>
      <c r="D36" t="s">
        <v>293</v>
      </c>
      <c r="E36" t="s">
        <v>256</v>
      </c>
      <c r="F36">
        <v>4</v>
      </c>
    </row>
    <row r="37" spans="1:6" ht="13.2">
      <c r="A37" t="s">
        <v>957</v>
      </c>
      <c r="B37">
        <v>0</v>
      </c>
      <c r="C37" s="44">
        <v>3200</v>
      </c>
      <c r="D37" t="s">
        <v>293</v>
      </c>
      <c r="E37" t="s">
        <v>256</v>
      </c>
      <c r="F37">
        <v>4</v>
      </c>
    </row>
    <row r="38" spans="1:6" ht="13.2">
      <c r="A38" t="s">
        <v>958</v>
      </c>
      <c r="B38">
        <v>0</v>
      </c>
      <c r="C38" s="44">
        <v>3200</v>
      </c>
      <c r="D38" t="s">
        <v>293</v>
      </c>
      <c r="E38" t="s">
        <v>256</v>
      </c>
      <c r="F38">
        <v>4</v>
      </c>
    </row>
    <row r="39" spans="1:6" ht="13.2">
      <c r="A39" t="s">
        <v>959</v>
      </c>
      <c r="B39">
        <v>0</v>
      </c>
      <c r="C39" s="44">
        <v>3200</v>
      </c>
      <c r="D39" t="s">
        <v>293</v>
      </c>
      <c r="E39" t="s">
        <v>256</v>
      </c>
      <c r="F39">
        <v>4</v>
      </c>
    </row>
    <row r="40" spans="1:6" ht="13.2">
      <c r="A40" t="s">
        <v>3141</v>
      </c>
      <c r="B40">
        <v>370</v>
      </c>
      <c r="C40" s="44">
        <v>1400</v>
      </c>
      <c r="D40" t="s">
        <v>291</v>
      </c>
      <c r="E40" t="s">
        <v>213</v>
      </c>
      <c r="F40">
        <v>4</v>
      </c>
    </row>
    <row r="41" spans="1:6" ht="13.2">
      <c r="A41" t="s">
        <v>3140</v>
      </c>
      <c r="B41">
        <v>370</v>
      </c>
      <c r="C41" s="44">
        <v>1400</v>
      </c>
      <c r="D41" t="s">
        <v>291</v>
      </c>
      <c r="E41" t="s">
        <v>213</v>
      </c>
      <c r="F41">
        <v>4</v>
      </c>
    </row>
    <row r="42" spans="1:6" ht="13.2">
      <c r="A42" t="s">
        <v>3142</v>
      </c>
      <c r="B42">
        <v>370</v>
      </c>
      <c r="C42" s="44">
        <v>1400</v>
      </c>
      <c r="D42" t="s">
        <v>291</v>
      </c>
      <c r="E42" t="s">
        <v>213</v>
      </c>
      <c r="F42">
        <v>4</v>
      </c>
    </row>
    <row r="43" spans="1:6" ht="13.2">
      <c r="A43" t="s">
        <v>3139</v>
      </c>
      <c r="B43">
        <v>370</v>
      </c>
      <c r="C43" s="44">
        <v>1400</v>
      </c>
      <c r="D43" t="s">
        <v>291</v>
      </c>
      <c r="E43" t="s">
        <v>213</v>
      </c>
      <c r="F43">
        <v>4</v>
      </c>
    </row>
    <row r="44" spans="1:6" ht="13.2">
      <c r="A44" t="s">
        <v>3138</v>
      </c>
      <c r="B44">
        <v>370</v>
      </c>
      <c r="C44" s="44">
        <v>1400</v>
      </c>
      <c r="D44" t="s">
        <v>291</v>
      </c>
      <c r="E44" t="s">
        <v>213</v>
      </c>
      <c r="F44">
        <v>4</v>
      </c>
    </row>
    <row r="45" spans="1:6" ht="13.2">
      <c r="A45" t="s">
        <v>3136</v>
      </c>
      <c r="B45">
        <v>370</v>
      </c>
      <c r="C45" s="44">
        <v>1400</v>
      </c>
      <c r="D45" t="s">
        <v>291</v>
      </c>
      <c r="E45" t="s">
        <v>213</v>
      </c>
      <c r="F45">
        <v>4</v>
      </c>
    </row>
    <row r="46" spans="1:6" ht="13.2">
      <c r="A46" t="s">
        <v>3137</v>
      </c>
      <c r="B46">
        <v>370</v>
      </c>
      <c r="C46" s="44">
        <v>1400</v>
      </c>
      <c r="D46" t="s">
        <v>291</v>
      </c>
      <c r="E46" t="s">
        <v>213</v>
      </c>
      <c r="F46">
        <v>4</v>
      </c>
    </row>
    <row r="47" spans="1:6" ht="13.2">
      <c r="A47" t="s">
        <v>3143</v>
      </c>
      <c r="B47">
        <v>370</v>
      </c>
      <c r="C47" s="44">
        <v>1400</v>
      </c>
      <c r="D47" t="s">
        <v>291</v>
      </c>
      <c r="E47" t="s">
        <v>213</v>
      </c>
      <c r="F47">
        <v>4</v>
      </c>
    </row>
    <row r="48" spans="1:6" ht="13.2">
      <c r="A48" t="s">
        <v>3144</v>
      </c>
      <c r="B48">
        <v>370</v>
      </c>
      <c r="C48" s="44">
        <v>1400</v>
      </c>
      <c r="D48" t="s">
        <v>291</v>
      </c>
      <c r="E48" t="s">
        <v>213</v>
      </c>
      <c r="F48">
        <v>4</v>
      </c>
    </row>
    <row r="49" spans="1:6" ht="13.2">
      <c r="A49" t="s">
        <v>3893</v>
      </c>
      <c r="B49">
        <v>0</v>
      </c>
      <c r="C49" s="44">
        <v>3300</v>
      </c>
      <c r="D49" t="s">
        <v>293</v>
      </c>
      <c r="E49" t="s">
        <v>256</v>
      </c>
      <c r="F49">
        <v>4</v>
      </c>
    </row>
    <row r="50" spans="1:6" ht="13.2">
      <c r="A50" t="s">
        <v>3894</v>
      </c>
      <c r="B50">
        <v>0</v>
      </c>
      <c r="C50" s="44">
        <v>3300</v>
      </c>
      <c r="D50" t="s">
        <v>293</v>
      </c>
      <c r="E50" t="s">
        <v>256</v>
      </c>
      <c r="F50">
        <v>4</v>
      </c>
    </row>
    <row r="51" spans="1:6" ht="13.2">
      <c r="A51" t="s">
        <v>3895</v>
      </c>
      <c r="B51">
        <v>0</v>
      </c>
      <c r="C51" s="44">
        <v>3300</v>
      </c>
      <c r="D51" t="s">
        <v>293</v>
      </c>
      <c r="E51" t="s">
        <v>256</v>
      </c>
      <c r="F51">
        <v>4</v>
      </c>
    </row>
    <row r="52" spans="1:6" ht="13.2">
      <c r="A52" t="s">
        <v>3896</v>
      </c>
      <c r="B52">
        <v>0</v>
      </c>
      <c r="C52" s="44">
        <v>3300</v>
      </c>
      <c r="D52" t="s">
        <v>293</v>
      </c>
      <c r="E52" t="s">
        <v>256</v>
      </c>
      <c r="F52">
        <v>4</v>
      </c>
    </row>
    <row r="53" spans="1:6" ht="13.2">
      <c r="A53" t="s">
        <v>3897</v>
      </c>
      <c r="B53">
        <v>0</v>
      </c>
      <c r="C53" s="44">
        <v>3300</v>
      </c>
      <c r="D53" t="s">
        <v>293</v>
      </c>
      <c r="E53" t="s">
        <v>256</v>
      </c>
      <c r="F53">
        <v>4</v>
      </c>
    </row>
    <row r="54" spans="1:6" ht="13.2">
      <c r="A54" t="s">
        <v>3898</v>
      </c>
      <c r="B54">
        <v>0</v>
      </c>
      <c r="C54" s="44">
        <v>3300</v>
      </c>
      <c r="D54" t="s">
        <v>293</v>
      </c>
      <c r="E54" t="s">
        <v>256</v>
      </c>
      <c r="F54">
        <v>4</v>
      </c>
    </row>
    <row r="55" spans="1:6" ht="13.2">
      <c r="A55" t="s">
        <v>3899</v>
      </c>
      <c r="B55">
        <v>0</v>
      </c>
      <c r="C55" s="44">
        <v>3300</v>
      </c>
      <c r="D55" t="s">
        <v>293</v>
      </c>
      <c r="E55" t="s">
        <v>256</v>
      </c>
      <c r="F55">
        <v>4</v>
      </c>
    </row>
    <row r="56" spans="1:6" ht="13.2">
      <c r="A56" t="s">
        <v>3901</v>
      </c>
      <c r="B56">
        <v>0</v>
      </c>
      <c r="C56" s="44">
        <v>3300</v>
      </c>
      <c r="D56" t="s">
        <v>293</v>
      </c>
      <c r="E56" t="s">
        <v>256</v>
      </c>
      <c r="F56">
        <v>4</v>
      </c>
    </row>
    <row r="57" spans="1:6" ht="13.2">
      <c r="A57" t="s">
        <v>3900</v>
      </c>
      <c r="B57">
        <v>0</v>
      </c>
      <c r="C57" s="44">
        <v>3300</v>
      </c>
      <c r="D57" t="s">
        <v>293</v>
      </c>
      <c r="E57" t="s">
        <v>256</v>
      </c>
      <c r="F57">
        <v>4</v>
      </c>
    </row>
    <row r="58" spans="1:6" ht="13.2">
      <c r="A58" t="s">
        <v>960</v>
      </c>
      <c r="B58">
        <v>0</v>
      </c>
      <c r="C58" s="44">
        <v>3150</v>
      </c>
      <c r="D58" t="s">
        <v>293</v>
      </c>
      <c r="E58" t="s">
        <v>256</v>
      </c>
      <c r="F58">
        <v>4</v>
      </c>
    </row>
    <row r="59" spans="1:6" ht="13.2">
      <c r="A59" t="s">
        <v>961</v>
      </c>
      <c r="B59">
        <v>0</v>
      </c>
      <c r="C59" s="44">
        <v>3150</v>
      </c>
      <c r="D59" t="s">
        <v>293</v>
      </c>
      <c r="E59" t="s">
        <v>256</v>
      </c>
      <c r="F59">
        <v>4</v>
      </c>
    </row>
    <row r="60" spans="1:6" ht="13.2">
      <c r="A60" t="s">
        <v>962</v>
      </c>
      <c r="B60">
        <v>0</v>
      </c>
      <c r="C60" s="44">
        <v>3150</v>
      </c>
      <c r="D60" t="s">
        <v>293</v>
      </c>
      <c r="E60" t="s">
        <v>256</v>
      </c>
      <c r="F60">
        <v>4</v>
      </c>
    </row>
    <row r="61" spans="1:6" ht="13.2">
      <c r="A61" t="s">
        <v>963</v>
      </c>
      <c r="B61">
        <v>0</v>
      </c>
      <c r="C61" s="44">
        <v>3150</v>
      </c>
      <c r="D61" t="s">
        <v>293</v>
      </c>
      <c r="E61" t="s">
        <v>256</v>
      </c>
      <c r="F61">
        <v>4</v>
      </c>
    </row>
    <row r="62" spans="1:6" ht="13.2">
      <c r="A62" t="s">
        <v>964</v>
      </c>
      <c r="B62">
        <v>0</v>
      </c>
      <c r="C62" s="44">
        <v>3150</v>
      </c>
      <c r="D62" t="s">
        <v>293</v>
      </c>
      <c r="E62" t="s">
        <v>256</v>
      </c>
      <c r="F62">
        <v>4</v>
      </c>
    </row>
    <row r="63" spans="1:6" ht="13.2">
      <c r="A63" t="s">
        <v>965</v>
      </c>
      <c r="B63">
        <v>0</v>
      </c>
      <c r="C63" s="44">
        <v>3150</v>
      </c>
      <c r="D63" t="s">
        <v>293</v>
      </c>
      <c r="E63" t="s">
        <v>256</v>
      </c>
      <c r="F63">
        <v>4</v>
      </c>
    </row>
    <row r="64" spans="1:6" ht="13.2">
      <c r="A64" t="s">
        <v>966</v>
      </c>
      <c r="B64">
        <v>0</v>
      </c>
      <c r="C64" s="44">
        <v>3150</v>
      </c>
      <c r="D64" t="s">
        <v>293</v>
      </c>
      <c r="E64" t="s">
        <v>256</v>
      </c>
      <c r="F64">
        <v>4</v>
      </c>
    </row>
    <row r="65" spans="1:6" ht="13.2">
      <c r="A65" t="s">
        <v>967</v>
      </c>
      <c r="B65">
        <v>0</v>
      </c>
      <c r="C65" s="44">
        <v>3150</v>
      </c>
      <c r="D65" t="s">
        <v>293</v>
      </c>
      <c r="E65" t="s">
        <v>256</v>
      </c>
      <c r="F65">
        <v>4</v>
      </c>
    </row>
    <row r="66" spans="1:6" ht="13.2">
      <c r="A66" t="s">
        <v>968</v>
      </c>
      <c r="B66">
        <v>0</v>
      </c>
      <c r="C66" s="44">
        <v>3150</v>
      </c>
      <c r="D66" t="s">
        <v>293</v>
      </c>
      <c r="E66" t="s">
        <v>256</v>
      </c>
      <c r="F66">
        <v>4</v>
      </c>
    </row>
    <row r="67" spans="1:6" ht="13.2">
      <c r="A67" t="s">
        <v>969</v>
      </c>
      <c r="B67">
        <v>0</v>
      </c>
      <c r="C67" s="44">
        <v>3150</v>
      </c>
      <c r="D67" t="s">
        <v>293</v>
      </c>
      <c r="E67" t="s">
        <v>256</v>
      </c>
      <c r="F67">
        <v>4</v>
      </c>
    </row>
    <row r="68" spans="1:6" ht="13.2">
      <c r="A68" t="s">
        <v>970</v>
      </c>
      <c r="B68">
        <v>0</v>
      </c>
      <c r="C68" s="44">
        <v>3150</v>
      </c>
      <c r="D68" t="s">
        <v>293</v>
      </c>
      <c r="E68" t="s">
        <v>256</v>
      </c>
      <c r="F68">
        <v>4</v>
      </c>
    </row>
    <row r="69" spans="1:6" ht="13.2">
      <c r="A69" t="s">
        <v>971</v>
      </c>
      <c r="B69">
        <v>0</v>
      </c>
      <c r="C69" s="44">
        <v>3150</v>
      </c>
      <c r="D69" t="s">
        <v>293</v>
      </c>
      <c r="E69" t="s">
        <v>256</v>
      </c>
      <c r="F69">
        <v>4</v>
      </c>
    </row>
    <row r="70" spans="1:6" ht="13.2">
      <c r="A70" t="s">
        <v>1671</v>
      </c>
      <c r="B70">
        <v>0</v>
      </c>
      <c r="C70" s="44">
        <v>3250</v>
      </c>
      <c r="D70" t="s">
        <v>293</v>
      </c>
      <c r="E70" t="s">
        <v>256</v>
      </c>
      <c r="F70">
        <v>4</v>
      </c>
    </row>
    <row r="71" spans="1:6" ht="13.2">
      <c r="A71" t="s">
        <v>1675</v>
      </c>
      <c r="B71">
        <v>0</v>
      </c>
      <c r="C71" s="44">
        <v>3250</v>
      </c>
      <c r="D71" t="s">
        <v>293</v>
      </c>
      <c r="E71" t="s">
        <v>256</v>
      </c>
      <c r="F71">
        <v>4</v>
      </c>
    </row>
    <row r="72" spans="1:6" ht="13.2">
      <c r="A72" t="s">
        <v>1676</v>
      </c>
      <c r="B72">
        <v>0</v>
      </c>
      <c r="C72" s="44">
        <v>3250</v>
      </c>
      <c r="D72" t="s">
        <v>293</v>
      </c>
      <c r="E72" t="s">
        <v>256</v>
      </c>
      <c r="F72">
        <v>4</v>
      </c>
    </row>
    <row r="73" spans="1:6" ht="13.2">
      <c r="A73" t="s">
        <v>1667</v>
      </c>
      <c r="B73">
        <v>0</v>
      </c>
      <c r="C73" s="44">
        <v>3250</v>
      </c>
      <c r="D73" t="s">
        <v>293</v>
      </c>
      <c r="E73" t="s">
        <v>256</v>
      </c>
      <c r="F73">
        <v>4</v>
      </c>
    </row>
    <row r="74" spans="1:6" ht="13.2">
      <c r="A74" t="s">
        <v>1672</v>
      </c>
      <c r="B74">
        <v>0</v>
      </c>
      <c r="C74" s="44">
        <v>3250</v>
      </c>
      <c r="D74" t="s">
        <v>293</v>
      </c>
      <c r="E74" t="s">
        <v>256</v>
      </c>
      <c r="F74">
        <v>4</v>
      </c>
    </row>
    <row r="75" spans="1:6" ht="13.2">
      <c r="A75" t="s">
        <v>1673</v>
      </c>
      <c r="B75">
        <v>0</v>
      </c>
      <c r="C75" s="44">
        <v>3250</v>
      </c>
      <c r="D75" t="s">
        <v>293</v>
      </c>
      <c r="E75" t="s">
        <v>256</v>
      </c>
      <c r="F75">
        <v>4</v>
      </c>
    </row>
    <row r="76" spans="1:6" ht="13.2">
      <c r="A76" t="s">
        <v>1670</v>
      </c>
      <c r="B76">
        <v>0</v>
      </c>
      <c r="C76" s="44">
        <v>3250</v>
      </c>
      <c r="D76" t="s">
        <v>293</v>
      </c>
      <c r="E76" t="s">
        <v>256</v>
      </c>
      <c r="F76">
        <v>4</v>
      </c>
    </row>
    <row r="77" spans="1:6" ht="13.2">
      <c r="A77" t="s">
        <v>1677</v>
      </c>
      <c r="B77">
        <v>0</v>
      </c>
      <c r="C77" s="44">
        <v>3250</v>
      </c>
      <c r="D77" t="s">
        <v>293</v>
      </c>
      <c r="E77" t="s">
        <v>256</v>
      </c>
      <c r="F77">
        <v>4</v>
      </c>
    </row>
    <row r="78" spans="1:6" ht="13.2">
      <c r="A78" t="s">
        <v>1668</v>
      </c>
      <c r="B78">
        <v>0</v>
      </c>
      <c r="C78" s="44">
        <v>3250</v>
      </c>
      <c r="D78" t="s">
        <v>293</v>
      </c>
      <c r="E78" t="s">
        <v>256</v>
      </c>
      <c r="F78">
        <v>4</v>
      </c>
    </row>
    <row r="79" spans="1:6" ht="13.2">
      <c r="A79" t="s">
        <v>1674</v>
      </c>
      <c r="B79">
        <v>0</v>
      </c>
      <c r="C79" s="44">
        <v>3250</v>
      </c>
      <c r="D79" t="s">
        <v>293</v>
      </c>
      <c r="E79" t="s">
        <v>256</v>
      </c>
      <c r="F79">
        <v>4</v>
      </c>
    </row>
    <row r="80" spans="1:6" ht="13.2">
      <c r="A80" t="s">
        <v>1669</v>
      </c>
      <c r="B80">
        <v>0</v>
      </c>
      <c r="C80" s="44">
        <v>3250</v>
      </c>
      <c r="D80" t="s">
        <v>293</v>
      </c>
      <c r="E80" t="s">
        <v>256</v>
      </c>
      <c r="F80">
        <v>4</v>
      </c>
    </row>
    <row r="81" spans="1:6" ht="13.2">
      <c r="A81" t="s">
        <v>1678</v>
      </c>
      <c r="B81">
        <v>0</v>
      </c>
      <c r="C81" s="44">
        <v>3250</v>
      </c>
      <c r="D81" t="s">
        <v>293</v>
      </c>
      <c r="E81" t="s">
        <v>256</v>
      </c>
      <c r="F81">
        <v>4</v>
      </c>
    </row>
    <row r="82" spans="1:6" ht="13.2">
      <c r="A82" t="s">
        <v>3852</v>
      </c>
      <c r="B82">
        <v>0</v>
      </c>
      <c r="C82" s="44">
        <v>2700</v>
      </c>
      <c r="D82" t="s">
        <v>293</v>
      </c>
      <c r="E82" t="s">
        <v>256</v>
      </c>
      <c r="F82" t="s">
        <v>532</v>
      </c>
    </row>
    <row r="83" spans="1:6" ht="13.2">
      <c r="A83" t="s">
        <v>3853</v>
      </c>
      <c r="B83">
        <v>0</v>
      </c>
      <c r="C83" s="44">
        <v>2700</v>
      </c>
      <c r="D83" t="s">
        <v>293</v>
      </c>
      <c r="E83" t="s">
        <v>256</v>
      </c>
      <c r="F83" t="s">
        <v>532</v>
      </c>
    </row>
    <row r="84" spans="1:6" ht="13.2">
      <c r="A84" t="s">
        <v>3851</v>
      </c>
      <c r="B84">
        <v>0</v>
      </c>
      <c r="C84" s="44">
        <v>2700</v>
      </c>
      <c r="D84" t="s">
        <v>293</v>
      </c>
      <c r="E84" t="s">
        <v>256</v>
      </c>
      <c r="F84" t="s">
        <v>532</v>
      </c>
    </row>
    <row r="85" spans="1:6" ht="13.2">
      <c r="A85" t="s">
        <v>4110</v>
      </c>
      <c r="B85">
        <v>0</v>
      </c>
      <c r="C85" s="44">
        <v>3180</v>
      </c>
      <c r="D85" t="s">
        <v>293</v>
      </c>
      <c r="E85" t="s">
        <v>256</v>
      </c>
      <c r="F85">
        <v>3</v>
      </c>
    </row>
    <row r="86" spans="1:6" ht="13.2">
      <c r="A86" t="s">
        <v>4111</v>
      </c>
      <c r="B86">
        <v>0</v>
      </c>
      <c r="C86" s="44">
        <v>3180</v>
      </c>
      <c r="D86" t="s">
        <v>293</v>
      </c>
      <c r="E86" t="s">
        <v>256</v>
      </c>
      <c r="F86">
        <v>3</v>
      </c>
    </row>
    <row r="87" spans="1:6" ht="13.2">
      <c r="A87" t="s">
        <v>4112</v>
      </c>
      <c r="B87">
        <v>0</v>
      </c>
      <c r="C87" s="44">
        <v>3180</v>
      </c>
      <c r="D87" t="s">
        <v>293</v>
      </c>
      <c r="E87" t="s">
        <v>256</v>
      </c>
      <c r="F87">
        <v>3</v>
      </c>
    </row>
    <row r="88" spans="1:6" ht="13.2">
      <c r="A88" t="s">
        <v>4113</v>
      </c>
      <c r="B88">
        <v>0</v>
      </c>
      <c r="C88" s="44">
        <v>3180</v>
      </c>
      <c r="D88" t="s">
        <v>293</v>
      </c>
      <c r="E88" t="s">
        <v>256</v>
      </c>
      <c r="F88">
        <v>3</v>
      </c>
    </row>
    <row r="89" spans="1:6" ht="13.2">
      <c r="A89" t="s">
        <v>4114</v>
      </c>
      <c r="B89">
        <v>0</v>
      </c>
      <c r="C89" s="44">
        <v>3180</v>
      </c>
      <c r="D89" t="s">
        <v>293</v>
      </c>
      <c r="E89" t="s">
        <v>256</v>
      </c>
      <c r="F89">
        <v>3</v>
      </c>
    </row>
    <row r="90" spans="1:6" ht="13.2">
      <c r="A90" t="s">
        <v>4115</v>
      </c>
      <c r="B90">
        <v>0</v>
      </c>
      <c r="C90" s="44">
        <v>3180</v>
      </c>
      <c r="D90" t="s">
        <v>293</v>
      </c>
      <c r="E90" t="s">
        <v>256</v>
      </c>
      <c r="F90">
        <v>3</v>
      </c>
    </row>
    <row r="91" spans="1:6" ht="13.2">
      <c r="A91" t="s">
        <v>4117</v>
      </c>
      <c r="B91">
        <v>0</v>
      </c>
      <c r="C91" s="44">
        <v>3180</v>
      </c>
      <c r="D91" t="s">
        <v>293</v>
      </c>
      <c r="E91" t="s">
        <v>256</v>
      </c>
      <c r="F91">
        <v>3</v>
      </c>
    </row>
    <row r="92" spans="1:6" ht="13.2">
      <c r="A92" t="s">
        <v>4118</v>
      </c>
      <c r="B92">
        <v>0</v>
      </c>
      <c r="C92" s="44">
        <v>3180</v>
      </c>
      <c r="D92" t="s">
        <v>293</v>
      </c>
      <c r="E92" t="s">
        <v>256</v>
      </c>
      <c r="F92">
        <v>3</v>
      </c>
    </row>
    <row r="93" spans="1:6" ht="13.2">
      <c r="A93" t="s">
        <v>4119</v>
      </c>
      <c r="B93">
        <v>0</v>
      </c>
      <c r="C93" s="44">
        <v>3180</v>
      </c>
      <c r="D93" t="s">
        <v>293</v>
      </c>
      <c r="E93" t="s">
        <v>256</v>
      </c>
      <c r="F93">
        <v>3</v>
      </c>
    </row>
    <row r="94" spans="1:6" ht="13.2">
      <c r="A94" t="s">
        <v>4120</v>
      </c>
      <c r="B94">
        <v>0</v>
      </c>
      <c r="C94" s="44">
        <v>3180</v>
      </c>
      <c r="D94" t="s">
        <v>293</v>
      </c>
      <c r="E94" t="s">
        <v>256</v>
      </c>
      <c r="F94">
        <v>3</v>
      </c>
    </row>
    <row r="95" spans="1:6" ht="13.2">
      <c r="A95" t="s">
        <v>4121</v>
      </c>
      <c r="B95">
        <v>0</v>
      </c>
      <c r="C95" s="44">
        <v>3180</v>
      </c>
      <c r="D95" t="s">
        <v>293</v>
      </c>
      <c r="E95" t="s">
        <v>256</v>
      </c>
      <c r="F95">
        <v>3</v>
      </c>
    </row>
    <row r="96" spans="1:6" ht="13.2">
      <c r="A96" t="s">
        <v>4122</v>
      </c>
      <c r="B96">
        <v>0</v>
      </c>
      <c r="C96" s="44">
        <v>3180</v>
      </c>
      <c r="D96" t="s">
        <v>293</v>
      </c>
      <c r="E96" t="s">
        <v>256</v>
      </c>
      <c r="F96">
        <v>3</v>
      </c>
    </row>
    <row r="97" spans="1:6" ht="13.2">
      <c r="A97" t="s">
        <v>4116</v>
      </c>
      <c r="B97">
        <v>0</v>
      </c>
      <c r="C97" s="44">
        <v>3180</v>
      </c>
      <c r="D97" t="s">
        <v>293</v>
      </c>
      <c r="E97" t="s">
        <v>256</v>
      </c>
      <c r="F97">
        <v>3</v>
      </c>
    </row>
    <row r="98" spans="1:6" ht="13.2">
      <c r="A98" t="s">
        <v>4123</v>
      </c>
      <c r="B98">
        <v>0</v>
      </c>
      <c r="C98" s="44">
        <v>3180</v>
      </c>
      <c r="D98" t="s">
        <v>291</v>
      </c>
      <c r="E98" t="s">
        <v>256</v>
      </c>
      <c r="F98">
        <v>3</v>
      </c>
    </row>
    <row r="99" spans="1:6" ht="13.2">
      <c r="A99" t="s">
        <v>4124</v>
      </c>
      <c r="B99">
        <v>0</v>
      </c>
      <c r="C99" s="44">
        <v>3180</v>
      </c>
      <c r="D99" t="s">
        <v>291</v>
      </c>
      <c r="E99" t="s">
        <v>256</v>
      </c>
      <c r="F99">
        <v>3</v>
      </c>
    </row>
    <row r="100" spans="1:6" ht="13.2">
      <c r="A100" t="s">
        <v>4125</v>
      </c>
      <c r="B100">
        <v>0</v>
      </c>
      <c r="C100" s="44">
        <v>3180</v>
      </c>
      <c r="D100" t="s">
        <v>291</v>
      </c>
      <c r="E100" t="s">
        <v>256</v>
      </c>
      <c r="F100">
        <v>3</v>
      </c>
    </row>
    <row r="101" spans="1:6" ht="13.2">
      <c r="A101" t="s">
        <v>4126</v>
      </c>
      <c r="B101">
        <v>0</v>
      </c>
      <c r="C101" s="44">
        <v>3180</v>
      </c>
      <c r="D101" t="s">
        <v>291</v>
      </c>
      <c r="E101" t="s">
        <v>256</v>
      </c>
      <c r="F101">
        <v>3</v>
      </c>
    </row>
    <row r="102" spans="1:6" ht="13.2">
      <c r="A102" t="s">
        <v>4127</v>
      </c>
      <c r="B102">
        <v>0</v>
      </c>
      <c r="C102" s="44">
        <v>3180</v>
      </c>
      <c r="D102" t="s">
        <v>291</v>
      </c>
      <c r="E102" t="s">
        <v>256</v>
      </c>
      <c r="F102">
        <v>3</v>
      </c>
    </row>
    <row r="103" spans="1:6" ht="13.2">
      <c r="A103" t="s">
        <v>4128</v>
      </c>
      <c r="B103">
        <v>0</v>
      </c>
      <c r="C103" s="44">
        <v>3180</v>
      </c>
      <c r="D103" t="s">
        <v>291</v>
      </c>
      <c r="E103" t="s">
        <v>256</v>
      </c>
      <c r="F103">
        <v>3</v>
      </c>
    </row>
    <row r="104" spans="1:6" ht="13.2">
      <c r="A104" t="s">
        <v>4130</v>
      </c>
      <c r="B104">
        <v>0</v>
      </c>
      <c r="C104" s="44">
        <v>3180</v>
      </c>
      <c r="D104" t="s">
        <v>291</v>
      </c>
      <c r="E104" t="s">
        <v>256</v>
      </c>
      <c r="F104">
        <v>3</v>
      </c>
    </row>
    <row r="105" spans="1:6" ht="13.2">
      <c r="A105" t="s">
        <v>4131</v>
      </c>
      <c r="B105">
        <v>0</v>
      </c>
      <c r="C105" s="44">
        <v>3180</v>
      </c>
      <c r="D105" t="s">
        <v>291</v>
      </c>
      <c r="E105" t="s">
        <v>256</v>
      </c>
      <c r="F105">
        <v>3</v>
      </c>
    </row>
    <row r="106" spans="1:6" ht="13.2">
      <c r="A106" t="s">
        <v>4132</v>
      </c>
      <c r="B106">
        <v>0</v>
      </c>
      <c r="C106" s="44">
        <v>3180</v>
      </c>
      <c r="D106" t="s">
        <v>291</v>
      </c>
      <c r="E106" t="s">
        <v>256</v>
      </c>
      <c r="F106">
        <v>3</v>
      </c>
    </row>
    <row r="107" spans="1:6" ht="13.2">
      <c r="A107" t="s">
        <v>4133</v>
      </c>
      <c r="B107">
        <v>0</v>
      </c>
      <c r="C107" s="44">
        <v>3180</v>
      </c>
      <c r="D107" t="s">
        <v>291</v>
      </c>
      <c r="E107" t="s">
        <v>256</v>
      </c>
      <c r="F107">
        <v>3</v>
      </c>
    </row>
    <row r="108" spans="1:6" ht="13.2">
      <c r="A108" t="s">
        <v>4134</v>
      </c>
      <c r="B108">
        <v>0</v>
      </c>
      <c r="C108" s="44">
        <v>3180</v>
      </c>
      <c r="D108" t="s">
        <v>291</v>
      </c>
      <c r="E108" t="s">
        <v>256</v>
      </c>
      <c r="F108">
        <v>3</v>
      </c>
    </row>
    <row r="109" spans="1:6" ht="13.2">
      <c r="A109" t="s">
        <v>4135</v>
      </c>
      <c r="B109">
        <v>0</v>
      </c>
      <c r="C109" s="44">
        <v>3180</v>
      </c>
      <c r="D109" t="s">
        <v>291</v>
      </c>
      <c r="E109" t="s">
        <v>256</v>
      </c>
      <c r="F109">
        <v>3</v>
      </c>
    </row>
    <row r="110" spans="1:6" ht="13.2">
      <c r="A110" t="s">
        <v>4129</v>
      </c>
      <c r="B110">
        <v>0</v>
      </c>
      <c r="C110" s="44">
        <v>3180</v>
      </c>
      <c r="D110" t="s">
        <v>291</v>
      </c>
      <c r="E110" t="s">
        <v>256</v>
      </c>
      <c r="F110">
        <v>3</v>
      </c>
    </row>
    <row r="111" spans="1:6" ht="13.2">
      <c r="A111" t="s">
        <v>3119</v>
      </c>
      <c r="B111">
        <v>40</v>
      </c>
      <c r="C111" s="44">
        <v>1400</v>
      </c>
      <c r="D111" t="s">
        <v>291</v>
      </c>
      <c r="E111" t="s">
        <v>213</v>
      </c>
      <c r="F111">
        <v>4</v>
      </c>
    </row>
    <row r="112" spans="1:6" ht="13.2">
      <c r="A112" t="s">
        <v>3118</v>
      </c>
      <c r="B112">
        <v>40</v>
      </c>
      <c r="C112" s="44">
        <v>1400</v>
      </c>
      <c r="D112" t="s">
        <v>291</v>
      </c>
      <c r="E112" t="s">
        <v>213</v>
      </c>
      <c r="F112">
        <v>4</v>
      </c>
    </row>
    <row r="113" spans="1:6" ht="13.2">
      <c r="A113" t="s">
        <v>3116</v>
      </c>
      <c r="B113">
        <v>40</v>
      </c>
      <c r="C113" s="44">
        <v>1400</v>
      </c>
      <c r="D113" t="s">
        <v>291</v>
      </c>
      <c r="E113" t="s">
        <v>213</v>
      </c>
      <c r="F113">
        <v>4</v>
      </c>
    </row>
    <row r="114" spans="1:6" ht="13.2">
      <c r="A114" t="s">
        <v>3117</v>
      </c>
      <c r="B114">
        <v>40</v>
      </c>
      <c r="C114" s="44">
        <v>1400</v>
      </c>
      <c r="D114" t="s">
        <v>291</v>
      </c>
      <c r="E114" t="s">
        <v>213</v>
      </c>
      <c r="F114">
        <v>4</v>
      </c>
    </row>
    <row r="115" spans="1:6" ht="13.2">
      <c r="A115" t="s">
        <v>3120</v>
      </c>
      <c r="B115">
        <v>40</v>
      </c>
      <c r="C115" s="44">
        <v>1400</v>
      </c>
      <c r="D115" t="s">
        <v>291</v>
      </c>
      <c r="E115" t="s">
        <v>213</v>
      </c>
      <c r="F115">
        <v>4</v>
      </c>
    </row>
    <row r="116" spans="1:6" ht="13.2">
      <c r="A116" t="s">
        <v>4940</v>
      </c>
      <c r="B116">
        <v>0</v>
      </c>
      <c r="C116" s="44">
        <v>3000</v>
      </c>
      <c r="D116" t="s">
        <v>293</v>
      </c>
      <c r="E116" t="s">
        <v>256</v>
      </c>
      <c r="F116">
        <v>4</v>
      </c>
    </row>
    <row r="117" spans="1:6" ht="13.2">
      <c r="A117" t="s">
        <v>972</v>
      </c>
      <c r="B117">
        <v>0</v>
      </c>
      <c r="C117" s="44">
        <v>3180</v>
      </c>
      <c r="D117" t="s">
        <v>293</v>
      </c>
      <c r="E117" t="s">
        <v>257</v>
      </c>
      <c r="F117">
        <v>4</v>
      </c>
    </row>
    <row r="118" spans="1:6" ht="13.2">
      <c r="A118" t="s">
        <v>973</v>
      </c>
      <c r="B118">
        <v>0</v>
      </c>
      <c r="C118" s="44">
        <v>3180</v>
      </c>
      <c r="D118" t="s">
        <v>293</v>
      </c>
      <c r="E118" t="s">
        <v>257</v>
      </c>
      <c r="F118">
        <v>4</v>
      </c>
    </row>
    <row r="119" spans="1:6" ht="13.2">
      <c r="A119" t="s">
        <v>974</v>
      </c>
      <c r="B119">
        <v>0</v>
      </c>
      <c r="C119" s="44">
        <v>3180</v>
      </c>
      <c r="D119" t="s">
        <v>293</v>
      </c>
      <c r="E119" t="s">
        <v>257</v>
      </c>
      <c r="F119">
        <v>4</v>
      </c>
    </row>
    <row r="120" spans="1:6" ht="13.2">
      <c r="A120" t="s">
        <v>975</v>
      </c>
      <c r="B120">
        <v>0</v>
      </c>
      <c r="C120" s="44">
        <v>3180</v>
      </c>
      <c r="D120" t="s">
        <v>293</v>
      </c>
      <c r="E120" t="s">
        <v>257</v>
      </c>
      <c r="F120">
        <v>4</v>
      </c>
    </row>
    <row r="121" spans="1:6" ht="13.2">
      <c r="A121" t="s">
        <v>4744</v>
      </c>
      <c r="B121">
        <v>0</v>
      </c>
      <c r="C121" s="44">
        <v>3180</v>
      </c>
      <c r="D121" t="s">
        <v>293</v>
      </c>
      <c r="E121" t="s">
        <v>257</v>
      </c>
      <c r="F121">
        <v>4</v>
      </c>
    </row>
    <row r="122" spans="1:6" ht="13.2">
      <c r="A122" t="s">
        <v>976</v>
      </c>
      <c r="B122">
        <v>0</v>
      </c>
      <c r="C122" s="44">
        <v>3180</v>
      </c>
      <c r="D122" t="s">
        <v>293</v>
      </c>
      <c r="E122" t="s">
        <v>257</v>
      </c>
      <c r="F122">
        <v>4</v>
      </c>
    </row>
    <row r="123" spans="1:6" ht="13.2">
      <c r="A123" t="s">
        <v>977</v>
      </c>
      <c r="B123">
        <v>0</v>
      </c>
      <c r="C123" s="44">
        <v>3180</v>
      </c>
      <c r="D123" t="s">
        <v>293</v>
      </c>
      <c r="E123" t="s">
        <v>257</v>
      </c>
      <c r="F123">
        <v>4</v>
      </c>
    </row>
    <row r="124" spans="1:6" ht="13.2">
      <c r="A124" t="s">
        <v>1437</v>
      </c>
      <c r="B124">
        <v>0</v>
      </c>
      <c r="C124" s="44" t="s">
        <v>201</v>
      </c>
      <c r="D124" t="s">
        <v>293</v>
      </c>
      <c r="E124" t="s">
        <v>257</v>
      </c>
      <c r="F124">
        <v>4</v>
      </c>
    </row>
    <row r="125" spans="1:6" ht="13.2">
      <c r="A125" t="s">
        <v>978</v>
      </c>
      <c r="B125">
        <v>0</v>
      </c>
      <c r="C125" s="44">
        <v>3180</v>
      </c>
      <c r="D125" t="s">
        <v>293</v>
      </c>
      <c r="E125" t="s">
        <v>257</v>
      </c>
      <c r="F125">
        <v>4</v>
      </c>
    </row>
    <row r="126" spans="1:6" ht="13.2">
      <c r="A126" t="s">
        <v>4136</v>
      </c>
      <c r="B126">
        <v>0</v>
      </c>
      <c r="C126" s="44">
        <v>3180</v>
      </c>
      <c r="D126" t="s">
        <v>291</v>
      </c>
      <c r="E126" t="s">
        <v>257</v>
      </c>
      <c r="F126">
        <v>4</v>
      </c>
    </row>
    <row r="127" spans="1:6" ht="13.2">
      <c r="A127" t="s">
        <v>4137</v>
      </c>
      <c r="B127">
        <v>0</v>
      </c>
      <c r="C127" s="44">
        <v>3180</v>
      </c>
      <c r="D127" t="s">
        <v>291</v>
      </c>
      <c r="E127" t="s">
        <v>257</v>
      </c>
      <c r="F127">
        <v>4</v>
      </c>
    </row>
    <row r="128" spans="1:6" ht="13.2">
      <c r="A128" t="s">
        <v>4139</v>
      </c>
      <c r="B128">
        <v>0</v>
      </c>
      <c r="C128" s="44">
        <v>3180</v>
      </c>
      <c r="D128" t="s">
        <v>291</v>
      </c>
      <c r="E128" t="s">
        <v>257</v>
      </c>
      <c r="F128">
        <v>4</v>
      </c>
    </row>
    <row r="129" spans="1:6" ht="13.2">
      <c r="A129" t="s">
        <v>4140</v>
      </c>
      <c r="B129">
        <v>0</v>
      </c>
      <c r="C129" s="44">
        <v>3180</v>
      </c>
      <c r="D129" t="s">
        <v>291</v>
      </c>
      <c r="E129" t="s">
        <v>257</v>
      </c>
      <c r="F129">
        <v>4</v>
      </c>
    </row>
    <row r="130" spans="1:6" ht="13.2">
      <c r="A130" t="s">
        <v>4141</v>
      </c>
      <c r="B130">
        <v>0</v>
      </c>
      <c r="C130" s="44">
        <v>3180</v>
      </c>
      <c r="D130" t="s">
        <v>291</v>
      </c>
      <c r="E130" t="s">
        <v>257</v>
      </c>
      <c r="F130">
        <v>4</v>
      </c>
    </row>
    <row r="131" spans="1:6" ht="13.2">
      <c r="A131" t="s">
        <v>4142</v>
      </c>
      <c r="B131">
        <v>0</v>
      </c>
      <c r="C131" s="44">
        <v>3180</v>
      </c>
      <c r="D131" t="s">
        <v>291</v>
      </c>
      <c r="E131" t="s">
        <v>257</v>
      </c>
      <c r="F131">
        <v>4</v>
      </c>
    </row>
    <row r="132" spans="1:6" ht="13.2">
      <c r="A132" t="s">
        <v>4138</v>
      </c>
      <c r="B132">
        <v>0</v>
      </c>
      <c r="C132" s="44">
        <v>3180</v>
      </c>
      <c r="D132" t="s">
        <v>291</v>
      </c>
      <c r="E132" t="s">
        <v>257</v>
      </c>
      <c r="F132">
        <v>4</v>
      </c>
    </row>
    <row r="133" spans="1:6" ht="13.2">
      <c r="A133" t="s">
        <v>4143</v>
      </c>
      <c r="B133">
        <v>0</v>
      </c>
      <c r="C133" s="44">
        <v>3180</v>
      </c>
      <c r="D133" t="s">
        <v>291</v>
      </c>
      <c r="E133" t="s">
        <v>257</v>
      </c>
      <c r="F133">
        <v>4</v>
      </c>
    </row>
    <row r="134" spans="1:6" ht="13.2">
      <c r="A134" t="s">
        <v>2067</v>
      </c>
      <c r="B134">
        <v>285</v>
      </c>
      <c r="C134" s="44" t="s">
        <v>200</v>
      </c>
      <c r="D134" t="s">
        <v>291</v>
      </c>
      <c r="E134" t="s">
        <v>213</v>
      </c>
      <c r="F134">
        <v>4</v>
      </c>
    </row>
    <row r="135" spans="1:6" ht="13.2">
      <c r="A135" t="s">
        <v>2068</v>
      </c>
      <c r="B135">
        <v>285</v>
      </c>
      <c r="C135" s="44" t="s">
        <v>200</v>
      </c>
      <c r="D135" t="s">
        <v>291</v>
      </c>
      <c r="E135" t="s">
        <v>213</v>
      </c>
      <c r="F135">
        <v>4</v>
      </c>
    </row>
    <row r="136" spans="1:6" ht="13.2">
      <c r="A136" t="s">
        <v>2069</v>
      </c>
      <c r="B136">
        <v>285</v>
      </c>
      <c r="C136" s="44" t="s">
        <v>200</v>
      </c>
      <c r="D136" t="s">
        <v>291</v>
      </c>
      <c r="E136" t="s">
        <v>213</v>
      </c>
      <c r="F136">
        <v>4</v>
      </c>
    </row>
    <row r="137" spans="1:6" ht="13.2">
      <c r="A137" t="s">
        <v>2070</v>
      </c>
      <c r="B137">
        <v>285</v>
      </c>
      <c r="C137" s="44" t="s">
        <v>200</v>
      </c>
      <c r="D137" t="s">
        <v>291</v>
      </c>
      <c r="E137" t="s">
        <v>213</v>
      </c>
      <c r="F137">
        <v>4</v>
      </c>
    </row>
    <row r="138" spans="1:6" ht="13.2">
      <c r="A138" t="s">
        <v>2071</v>
      </c>
      <c r="B138">
        <v>285</v>
      </c>
      <c r="C138" s="44" t="s">
        <v>200</v>
      </c>
      <c r="D138" t="s">
        <v>291</v>
      </c>
      <c r="E138" t="s">
        <v>213</v>
      </c>
      <c r="F138">
        <v>4</v>
      </c>
    </row>
    <row r="139" spans="1:6" ht="13.2">
      <c r="A139" t="s">
        <v>2072</v>
      </c>
      <c r="B139">
        <v>285</v>
      </c>
      <c r="C139" s="44" t="s">
        <v>200</v>
      </c>
      <c r="D139" t="s">
        <v>291</v>
      </c>
      <c r="E139" t="s">
        <v>213</v>
      </c>
      <c r="F139">
        <v>4</v>
      </c>
    </row>
    <row r="140" spans="1:6" ht="13.2">
      <c r="A140" t="s">
        <v>2073</v>
      </c>
      <c r="B140">
        <v>285</v>
      </c>
      <c r="C140" s="44" t="s">
        <v>200</v>
      </c>
      <c r="D140" t="s">
        <v>291</v>
      </c>
      <c r="E140" t="s">
        <v>213</v>
      </c>
      <c r="F140">
        <v>4</v>
      </c>
    </row>
    <row r="141" spans="1:6" ht="13.2">
      <c r="A141" t="s">
        <v>2074</v>
      </c>
      <c r="B141">
        <v>285</v>
      </c>
      <c r="C141" s="44" t="s">
        <v>200</v>
      </c>
      <c r="D141" t="s">
        <v>291</v>
      </c>
      <c r="E141" t="s">
        <v>213</v>
      </c>
      <c r="F141">
        <v>4</v>
      </c>
    </row>
    <row r="142" spans="1:6" ht="13.2">
      <c r="A142" t="s">
        <v>2075</v>
      </c>
      <c r="B142">
        <v>285</v>
      </c>
      <c r="C142" s="44" t="s">
        <v>200</v>
      </c>
      <c r="D142" t="s">
        <v>291</v>
      </c>
      <c r="E142" t="s">
        <v>213</v>
      </c>
      <c r="F142">
        <v>4</v>
      </c>
    </row>
    <row r="143" spans="1:6" ht="13.2">
      <c r="A143" t="s">
        <v>1450</v>
      </c>
      <c r="B143">
        <v>290</v>
      </c>
      <c r="C143" s="44">
        <v>2900</v>
      </c>
      <c r="D143" t="s">
        <v>293</v>
      </c>
      <c r="E143" t="s">
        <v>256</v>
      </c>
      <c r="F143">
        <v>4</v>
      </c>
    </row>
    <row r="144" spans="1:6" ht="13.2">
      <c r="A144" t="s">
        <v>1452</v>
      </c>
      <c r="B144">
        <v>290</v>
      </c>
      <c r="C144" s="44">
        <v>2900</v>
      </c>
      <c r="D144" t="s">
        <v>293</v>
      </c>
      <c r="E144" t="s">
        <v>256</v>
      </c>
      <c r="F144">
        <v>4</v>
      </c>
    </row>
    <row r="145" spans="1:6" ht="13.2">
      <c r="A145" t="s">
        <v>1449</v>
      </c>
      <c r="B145">
        <v>290</v>
      </c>
      <c r="C145" s="44">
        <v>2900</v>
      </c>
      <c r="D145" t="s">
        <v>293</v>
      </c>
      <c r="E145" t="s">
        <v>256</v>
      </c>
      <c r="F145">
        <v>4</v>
      </c>
    </row>
    <row r="146" spans="1:6" ht="13.2">
      <c r="A146" t="s">
        <v>1451</v>
      </c>
      <c r="B146">
        <v>290</v>
      </c>
      <c r="C146" s="44">
        <v>2900</v>
      </c>
      <c r="D146" t="s">
        <v>293</v>
      </c>
      <c r="E146" t="s">
        <v>256</v>
      </c>
      <c r="F146">
        <v>4</v>
      </c>
    </row>
    <row r="147" spans="1:6" ht="13.2">
      <c r="A147" t="s">
        <v>1447</v>
      </c>
      <c r="B147">
        <v>290</v>
      </c>
      <c r="C147" s="44">
        <v>2900</v>
      </c>
      <c r="D147" t="s">
        <v>293</v>
      </c>
      <c r="E147" t="s">
        <v>256</v>
      </c>
      <c r="F147">
        <v>4</v>
      </c>
    </row>
    <row r="148" spans="1:6" ht="13.2">
      <c r="A148" t="s">
        <v>1448</v>
      </c>
      <c r="B148">
        <v>290</v>
      </c>
      <c r="C148" s="44">
        <v>2900</v>
      </c>
      <c r="D148" t="s">
        <v>293</v>
      </c>
      <c r="E148" t="s">
        <v>256</v>
      </c>
      <c r="F148">
        <v>4</v>
      </c>
    </row>
    <row r="149" spans="1:6" ht="13.2">
      <c r="A149" t="s">
        <v>1446</v>
      </c>
      <c r="B149">
        <v>290</v>
      </c>
      <c r="C149" s="44">
        <v>2900</v>
      </c>
      <c r="D149" t="s">
        <v>293</v>
      </c>
      <c r="E149" t="s">
        <v>256</v>
      </c>
      <c r="F149">
        <v>4</v>
      </c>
    </row>
    <row r="150" spans="1:6" ht="13.2">
      <c r="A150" t="s">
        <v>1445</v>
      </c>
      <c r="B150">
        <v>290</v>
      </c>
      <c r="C150" s="44">
        <v>2900</v>
      </c>
      <c r="D150" t="s">
        <v>293</v>
      </c>
      <c r="E150" t="s">
        <v>256</v>
      </c>
      <c r="F150">
        <v>4</v>
      </c>
    </row>
    <row r="151" spans="1:6" ht="13.2">
      <c r="A151" t="s">
        <v>1453</v>
      </c>
      <c r="B151">
        <v>290</v>
      </c>
      <c r="C151" s="44">
        <v>2900</v>
      </c>
      <c r="D151" t="s">
        <v>293</v>
      </c>
      <c r="E151" t="s">
        <v>256</v>
      </c>
      <c r="F151">
        <v>4</v>
      </c>
    </row>
    <row r="152" spans="1:6" ht="13.2">
      <c r="A152" t="s">
        <v>979</v>
      </c>
      <c r="B152">
        <v>0</v>
      </c>
      <c r="C152" s="44">
        <v>3000</v>
      </c>
      <c r="D152" t="s">
        <v>293</v>
      </c>
      <c r="E152" t="s">
        <v>413</v>
      </c>
      <c r="F152">
        <v>4</v>
      </c>
    </row>
    <row r="153" spans="1:6" ht="13.2">
      <c r="A153" t="s">
        <v>980</v>
      </c>
      <c r="B153">
        <v>0</v>
      </c>
      <c r="C153" s="44">
        <v>3000</v>
      </c>
      <c r="D153" t="s">
        <v>293</v>
      </c>
      <c r="E153" t="s">
        <v>413</v>
      </c>
      <c r="F153">
        <v>4</v>
      </c>
    </row>
    <row r="154" spans="1:6" ht="13.2">
      <c r="A154" t="s">
        <v>981</v>
      </c>
      <c r="B154">
        <v>0</v>
      </c>
      <c r="C154" s="44">
        <v>3000</v>
      </c>
      <c r="D154" t="s">
        <v>293</v>
      </c>
      <c r="E154" t="s">
        <v>413</v>
      </c>
      <c r="F154">
        <v>4</v>
      </c>
    </row>
    <row r="155" spans="1:6" ht="13.2">
      <c r="A155" t="s">
        <v>982</v>
      </c>
      <c r="B155">
        <v>0</v>
      </c>
      <c r="C155" s="44">
        <v>3000</v>
      </c>
      <c r="D155" t="s">
        <v>293</v>
      </c>
      <c r="E155" t="s">
        <v>413</v>
      </c>
      <c r="F155">
        <v>4</v>
      </c>
    </row>
    <row r="156" spans="1:6" ht="13.2">
      <c r="A156" t="s">
        <v>983</v>
      </c>
      <c r="B156">
        <v>0</v>
      </c>
      <c r="C156" s="44">
        <v>3000</v>
      </c>
      <c r="D156" t="s">
        <v>293</v>
      </c>
      <c r="E156" t="s">
        <v>413</v>
      </c>
      <c r="F156">
        <v>4</v>
      </c>
    </row>
    <row r="157" spans="1:6" ht="13.2">
      <c r="A157" t="s">
        <v>831</v>
      </c>
      <c r="B157">
        <v>0</v>
      </c>
      <c r="C157" s="44">
        <v>3250</v>
      </c>
      <c r="D157" t="s">
        <v>293</v>
      </c>
      <c r="E157" t="s">
        <v>714</v>
      </c>
      <c r="F157">
        <v>2</v>
      </c>
    </row>
    <row r="158" spans="1:6" ht="13.2">
      <c r="A158" t="s">
        <v>832</v>
      </c>
      <c r="B158">
        <v>0</v>
      </c>
      <c r="C158" s="44">
        <v>3250</v>
      </c>
      <c r="D158" t="s">
        <v>293</v>
      </c>
      <c r="E158" t="s">
        <v>714</v>
      </c>
      <c r="F158">
        <v>2</v>
      </c>
    </row>
    <row r="159" spans="1:6" ht="13.2">
      <c r="A159" t="s">
        <v>830</v>
      </c>
      <c r="B159">
        <v>0</v>
      </c>
      <c r="C159" s="44">
        <v>3250</v>
      </c>
      <c r="D159" t="s">
        <v>293</v>
      </c>
      <c r="E159" t="s">
        <v>714</v>
      </c>
      <c r="F159">
        <v>2</v>
      </c>
    </row>
    <row r="160" spans="1:6" ht="13.2">
      <c r="A160" t="s">
        <v>833</v>
      </c>
      <c r="B160">
        <v>0</v>
      </c>
      <c r="C160" s="44">
        <v>3250</v>
      </c>
      <c r="D160" t="s">
        <v>293</v>
      </c>
      <c r="E160" t="s">
        <v>714</v>
      </c>
      <c r="F160">
        <v>2</v>
      </c>
    </row>
    <row r="161" spans="1:6" ht="13.2">
      <c r="A161" t="s">
        <v>834</v>
      </c>
      <c r="B161">
        <v>0</v>
      </c>
      <c r="C161" s="44">
        <v>3250</v>
      </c>
      <c r="D161" t="s">
        <v>293</v>
      </c>
      <c r="E161" t="s">
        <v>714</v>
      </c>
      <c r="F161">
        <v>2</v>
      </c>
    </row>
    <row r="162" spans="1:6" ht="13.2">
      <c r="A162" t="s">
        <v>929</v>
      </c>
      <c r="B162">
        <v>0</v>
      </c>
      <c r="C162" s="44">
        <v>3250</v>
      </c>
      <c r="D162" t="s">
        <v>291</v>
      </c>
      <c r="E162" t="s">
        <v>714</v>
      </c>
      <c r="F162">
        <v>2</v>
      </c>
    </row>
    <row r="163" spans="1:6" ht="13.2">
      <c r="A163" t="s">
        <v>930</v>
      </c>
      <c r="B163">
        <v>0</v>
      </c>
      <c r="C163" s="44">
        <v>3250</v>
      </c>
      <c r="D163" t="s">
        <v>291</v>
      </c>
      <c r="E163" t="s">
        <v>714</v>
      </c>
      <c r="F163">
        <v>2</v>
      </c>
    </row>
    <row r="164" spans="1:6" ht="13.2">
      <c r="A164" t="s">
        <v>928</v>
      </c>
      <c r="B164">
        <v>0</v>
      </c>
      <c r="C164" s="44">
        <v>3250</v>
      </c>
      <c r="D164" t="s">
        <v>291</v>
      </c>
      <c r="E164" t="s">
        <v>714</v>
      </c>
      <c r="F164">
        <v>2</v>
      </c>
    </row>
    <row r="165" spans="1:6" ht="13.2">
      <c r="A165" t="s">
        <v>931</v>
      </c>
      <c r="B165">
        <v>0</v>
      </c>
      <c r="C165" s="44">
        <v>3250</v>
      </c>
      <c r="D165" t="s">
        <v>291</v>
      </c>
      <c r="E165" t="s">
        <v>714</v>
      </c>
      <c r="F165">
        <v>2</v>
      </c>
    </row>
    <row r="166" spans="1:6" ht="13.2">
      <c r="A166" t="s">
        <v>932</v>
      </c>
      <c r="B166">
        <v>0</v>
      </c>
      <c r="C166" s="44">
        <v>3250</v>
      </c>
      <c r="D166" t="s">
        <v>291</v>
      </c>
      <c r="E166" t="s">
        <v>714</v>
      </c>
      <c r="F166">
        <v>2</v>
      </c>
    </row>
    <row r="167" spans="1:6" ht="13.2">
      <c r="A167" t="s">
        <v>3007</v>
      </c>
      <c r="B167">
        <v>0</v>
      </c>
      <c r="C167" s="44">
        <v>1400</v>
      </c>
      <c r="D167" t="s">
        <v>291</v>
      </c>
      <c r="E167" t="s">
        <v>362</v>
      </c>
      <c r="F167">
        <v>4</v>
      </c>
    </row>
    <row r="168" spans="1:6" ht="13.2">
      <c r="A168" t="s">
        <v>3007</v>
      </c>
      <c r="B168">
        <v>0</v>
      </c>
      <c r="C168" s="44">
        <v>1400</v>
      </c>
      <c r="D168" t="s">
        <v>291</v>
      </c>
      <c r="E168" t="s">
        <v>362</v>
      </c>
      <c r="F168">
        <v>4</v>
      </c>
    </row>
    <row r="169" spans="1:6" ht="13.2">
      <c r="A169" t="s">
        <v>3008</v>
      </c>
      <c r="B169">
        <v>0</v>
      </c>
      <c r="C169" s="44">
        <v>1400</v>
      </c>
      <c r="D169" t="s">
        <v>291</v>
      </c>
      <c r="E169" t="s">
        <v>362</v>
      </c>
      <c r="F169">
        <v>4</v>
      </c>
    </row>
    <row r="170" spans="1:6" ht="13.2">
      <c r="A170" t="s">
        <v>3008</v>
      </c>
      <c r="B170">
        <v>0</v>
      </c>
      <c r="C170" s="44">
        <v>1400</v>
      </c>
      <c r="D170" t="s">
        <v>291</v>
      </c>
      <c r="E170" t="s">
        <v>362</v>
      </c>
      <c r="F170">
        <v>4</v>
      </c>
    </row>
    <row r="171" spans="1:6" ht="13.2">
      <c r="A171" t="s">
        <v>3009</v>
      </c>
      <c r="B171">
        <v>0</v>
      </c>
      <c r="C171" s="44">
        <v>1400</v>
      </c>
      <c r="D171" t="s">
        <v>291</v>
      </c>
      <c r="E171" t="s">
        <v>362</v>
      </c>
      <c r="F171">
        <v>4</v>
      </c>
    </row>
    <row r="172" spans="1:6" ht="13.2">
      <c r="A172" t="s">
        <v>3009</v>
      </c>
      <c r="B172">
        <v>0</v>
      </c>
      <c r="C172" s="44">
        <v>1400</v>
      </c>
      <c r="D172" t="s">
        <v>291</v>
      </c>
      <c r="E172" t="s">
        <v>362</v>
      </c>
      <c r="F172">
        <v>4</v>
      </c>
    </row>
    <row r="173" spans="1:6" ht="13.2">
      <c r="A173" t="s">
        <v>3010</v>
      </c>
      <c r="B173">
        <v>0</v>
      </c>
      <c r="C173" s="44">
        <v>1400</v>
      </c>
      <c r="D173" t="s">
        <v>291</v>
      </c>
      <c r="E173" t="s">
        <v>362</v>
      </c>
      <c r="F173">
        <v>4</v>
      </c>
    </row>
    <row r="174" spans="1:6" ht="13.2">
      <c r="A174" t="s">
        <v>3010</v>
      </c>
      <c r="B174">
        <v>0</v>
      </c>
      <c r="C174" s="44">
        <v>1400</v>
      </c>
      <c r="D174" t="s">
        <v>291</v>
      </c>
      <c r="E174" t="s">
        <v>362</v>
      </c>
      <c r="F174">
        <v>4</v>
      </c>
    </row>
    <row r="175" spans="1:6" ht="13.2">
      <c r="A175" t="s">
        <v>3011</v>
      </c>
      <c r="B175">
        <v>0</v>
      </c>
      <c r="C175" s="44">
        <v>1400</v>
      </c>
      <c r="D175" t="s">
        <v>291</v>
      </c>
      <c r="E175" t="s">
        <v>362</v>
      </c>
      <c r="F175">
        <v>4</v>
      </c>
    </row>
    <row r="176" spans="1:6" ht="13.2">
      <c r="A176" t="s">
        <v>3011</v>
      </c>
      <c r="B176">
        <v>0</v>
      </c>
      <c r="C176" s="44">
        <v>1400</v>
      </c>
      <c r="D176" t="s">
        <v>291</v>
      </c>
      <c r="E176" t="s">
        <v>362</v>
      </c>
      <c r="F176">
        <v>4</v>
      </c>
    </row>
    <row r="177" spans="1:6" ht="13.2">
      <c r="A177" t="s">
        <v>3012</v>
      </c>
      <c r="B177">
        <v>0</v>
      </c>
      <c r="C177" s="44">
        <v>1400</v>
      </c>
      <c r="D177" t="s">
        <v>291</v>
      </c>
      <c r="E177" t="s">
        <v>362</v>
      </c>
      <c r="F177">
        <v>4</v>
      </c>
    </row>
    <row r="178" spans="1:6" ht="13.2">
      <c r="A178" t="s">
        <v>3012</v>
      </c>
      <c r="B178">
        <v>0</v>
      </c>
      <c r="C178" s="44">
        <v>1400</v>
      </c>
      <c r="D178" t="s">
        <v>291</v>
      </c>
      <c r="E178" t="s">
        <v>362</v>
      </c>
      <c r="F178">
        <v>4</v>
      </c>
    </row>
    <row r="179" spans="1:6" ht="13.2">
      <c r="A179" t="s">
        <v>3013</v>
      </c>
      <c r="B179">
        <v>0</v>
      </c>
      <c r="C179" s="44">
        <v>1400</v>
      </c>
      <c r="D179" t="s">
        <v>291</v>
      </c>
      <c r="E179" t="s">
        <v>362</v>
      </c>
      <c r="F179">
        <v>4</v>
      </c>
    </row>
    <row r="180" spans="1:6" ht="13.2">
      <c r="A180" t="s">
        <v>3013</v>
      </c>
      <c r="B180">
        <v>0</v>
      </c>
      <c r="C180" s="44">
        <v>1400</v>
      </c>
      <c r="D180" t="s">
        <v>291</v>
      </c>
      <c r="E180" t="s">
        <v>362</v>
      </c>
      <c r="F180">
        <v>4</v>
      </c>
    </row>
    <row r="181" spans="1:6" ht="13.2">
      <c r="A181" t="s">
        <v>3016</v>
      </c>
      <c r="B181">
        <v>0</v>
      </c>
      <c r="C181" s="44">
        <v>1400</v>
      </c>
      <c r="D181" t="s">
        <v>291</v>
      </c>
      <c r="E181" t="s">
        <v>362</v>
      </c>
      <c r="F181">
        <v>4</v>
      </c>
    </row>
    <row r="182" spans="1:6" ht="13.2">
      <c r="A182" t="s">
        <v>3016</v>
      </c>
      <c r="B182">
        <v>0</v>
      </c>
      <c r="C182" s="44">
        <v>1400</v>
      </c>
      <c r="D182" t="s">
        <v>291</v>
      </c>
      <c r="E182" t="s">
        <v>362</v>
      </c>
      <c r="F182">
        <v>4</v>
      </c>
    </row>
    <row r="183" spans="1:6" ht="13.2">
      <c r="A183" t="s">
        <v>3014</v>
      </c>
      <c r="B183">
        <v>0</v>
      </c>
      <c r="C183" s="44">
        <v>1400</v>
      </c>
      <c r="D183" t="s">
        <v>291</v>
      </c>
      <c r="E183" t="s">
        <v>362</v>
      </c>
      <c r="F183">
        <v>4</v>
      </c>
    </row>
    <row r="184" spans="1:6" ht="13.2">
      <c r="A184" t="s">
        <v>3014</v>
      </c>
      <c r="B184">
        <v>0</v>
      </c>
      <c r="C184" s="44">
        <v>1400</v>
      </c>
      <c r="D184" t="s">
        <v>291</v>
      </c>
      <c r="E184" t="s">
        <v>362</v>
      </c>
      <c r="F184">
        <v>4</v>
      </c>
    </row>
    <row r="185" spans="1:6" ht="13.2">
      <c r="A185" t="s">
        <v>3015</v>
      </c>
      <c r="B185">
        <v>0</v>
      </c>
      <c r="C185" s="44">
        <v>1400</v>
      </c>
      <c r="D185" t="s">
        <v>291</v>
      </c>
      <c r="E185" t="s">
        <v>362</v>
      </c>
      <c r="F185">
        <v>4</v>
      </c>
    </row>
    <row r="186" spans="1:6" ht="13.2">
      <c r="A186" t="s">
        <v>3015</v>
      </c>
      <c r="B186">
        <v>0</v>
      </c>
      <c r="C186" s="44">
        <v>1400</v>
      </c>
      <c r="D186" t="s">
        <v>291</v>
      </c>
      <c r="E186" t="s">
        <v>362</v>
      </c>
      <c r="F186">
        <v>4</v>
      </c>
    </row>
    <row r="187" spans="1:6" ht="13.2">
      <c r="A187" t="s">
        <v>4911</v>
      </c>
      <c r="B187">
        <v>0</v>
      </c>
      <c r="C187" s="44">
        <v>2800</v>
      </c>
      <c r="D187" t="s">
        <v>293</v>
      </c>
      <c r="E187" t="s">
        <v>256</v>
      </c>
      <c r="F187">
        <v>3</v>
      </c>
    </row>
    <row r="188" spans="1:6" ht="13.2">
      <c r="A188" t="s">
        <v>4912</v>
      </c>
      <c r="B188">
        <v>0</v>
      </c>
      <c r="C188" s="44">
        <v>2800</v>
      </c>
      <c r="D188" t="s">
        <v>293</v>
      </c>
      <c r="E188" t="s">
        <v>256</v>
      </c>
      <c r="F188">
        <v>3</v>
      </c>
    </row>
    <row r="189" spans="1:6" ht="13.2">
      <c r="A189" t="s">
        <v>4913</v>
      </c>
      <c r="B189">
        <v>0</v>
      </c>
      <c r="C189" s="44">
        <v>2800</v>
      </c>
      <c r="D189" t="s">
        <v>293</v>
      </c>
      <c r="E189" t="s">
        <v>256</v>
      </c>
      <c r="F189">
        <v>3</v>
      </c>
    </row>
    <row r="190" spans="1:6" ht="13.2">
      <c r="A190" t="s">
        <v>4914</v>
      </c>
      <c r="B190">
        <v>0</v>
      </c>
      <c r="C190" s="44">
        <v>2800</v>
      </c>
      <c r="D190" t="s">
        <v>293</v>
      </c>
      <c r="E190" t="s">
        <v>256</v>
      </c>
      <c r="F190">
        <v>3</v>
      </c>
    </row>
    <row r="191" spans="1:6" ht="13.2">
      <c r="A191" t="s">
        <v>4915</v>
      </c>
      <c r="B191">
        <v>0</v>
      </c>
      <c r="C191" s="44">
        <v>2800</v>
      </c>
      <c r="D191" t="s">
        <v>293</v>
      </c>
      <c r="E191" t="s">
        <v>256</v>
      </c>
      <c r="F191">
        <v>3</v>
      </c>
    </row>
    <row r="192" spans="1:6" ht="13.2">
      <c r="A192" t="s">
        <v>4916</v>
      </c>
      <c r="B192">
        <v>0</v>
      </c>
      <c r="C192" s="44">
        <v>2800</v>
      </c>
      <c r="D192" t="s">
        <v>293</v>
      </c>
      <c r="E192" t="s">
        <v>256</v>
      </c>
      <c r="F192">
        <v>3</v>
      </c>
    </row>
    <row r="193" spans="1:6" ht="13.2">
      <c r="A193" t="s">
        <v>4917</v>
      </c>
      <c r="B193">
        <v>0</v>
      </c>
      <c r="C193" s="44">
        <v>2800</v>
      </c>
      <c r="D193" t="s">
        <v>293</v>
      </c>
      <c r="E193" t="s">
        <v>256</v>
      </c>
      <c r="F193">
        <v>3</v>
      </c>
    </row>
    <row r="194" spans="1:6" ht="13.2">
      <c r="A194" t="s">
        <v>4918</v>
      </c>
      <c r="B194">
        <v>0</v>
      </c>
      <c r="C194" s="44">
        <v>2800</v>
      </c>
      <c r="D194" t="s">
        <v>293</v>
      </c>
      <c r="E194" t="s">
        <v>256</v>
      </c>
      <c r="F194">
        <v>3</v>
      </c>
    </row>
    <row r="195" spans="1:6" ht="13.2">
      <c r="A195" t="s">
        <v>4919</v>
      </c>
      <c r="B195">
        <v>0</v>
      </c>
      <c r="C195" s="44">
        <v>2800</v>
      </c>
      <c r="D195" t="s">
        <v>293</v>
      </c>
      <c r="E195" t="s">
        <v>256</v>
      </c>
      <c r="F195">
        <v>3</v>
      </c>
    </row>
    <row r="196" spans="1:6" ht="13.2">
      <c r="A196" t="s">
        <v>4920</v>
      </c>
      <c r="B196">
        <v>0</v>
      </c>
      <c r="C196" s="44">
        <v>2800</v>
      </c>
      <c r="D196" t="s">
        <v>293</v>
      </c>
      <c r="E196" t="s">
        <v>256</v>
      </c>
      <c r="F196">
        <v>3</v>
      </c>
    </row>
    <row r="197" spans="1:6" ht="13.2">
      <c r="A197" t="s">
        <v>4921</v>
      </c>
      <c r="B197">
        <v>0</v>
      </c>
      <c r="C197" s="44">
        <v>2800</v>
      </c>
      <c r="D197" t="s">
        <v>293</v>
      </c>
      <c r="E197" t="s">
        <v>256</v>
      </c>
      <c r="F197">
        <v>3</v>
      </c>
    </row>
    <row r="198" spans="1:6" ht="13.2">
      <c r="A198" t="s">
        <v>4922</v>
      </c>
      <c r="B198">
        <v>0</v>
      </c>
      <c r="C198" s="44">
        <v>2800</v>
      </c>
      <c r="D198" t="s">
        <v>293</v>
      </c>
      <c r="E198" t="s">
        <v>256</v>
      </c>
      <c r="F198">
        <v>3</v>
      </c>
    </row>
    <row r="199" spans="1:6" ht="13.2">
      <c r="A199" t="s">
        <v>4924</v>
      </c>
      <c r="B199">
        <v>0</v>
      </c>
      <c r="C199" s="44">
        <v>2800</v>
      </c>
      <c r="D199" t="s">
        <v>293</v>
      </c>
      <c r="E199" t="s">
        <v>256</v>
      </c>
      <c r="F199">
        <v>3</v>
      </c>
    </row>
    <row r="200" spans="1:6" ht="13.2">
      <c r="A200" t="s">
        <v>4923</v>
      </c>
      <c r="B200">
        <v>0</v>
      </c>
      <c r="C200" s="44">
        <v>2800</v>
      </c>
      <c r="D200" t="s">
        <v>293</v>
      </c>
      <c r="E200" t="s">
        <v>256</v>
      </c>
      <c r="F200">
        <v>3</v>
      </c>
    </row>
    <row r="201" spans="1:6" ht="13.2">
      <c r="A201" t="s">
        <v>4926</v>
      </c>
      <c r="B201">
        <v>0</v>
      </c>
      <c r="C201" s="44">
        <v>2800</v>
      </c>
      <c r="D201" t="s">
        <v>291</v>
      </c>
      <c r="E201" t="s">
        <v>256</v>
      </c>
      <c r="F201">
        <v>3</v>
      </c>
    </row>
    <row r="202" spans="1:6" ht="13.2">
      <c r="A202" t="s">
        <v>4927</v>
      </c>
      <c r="B202">
        <v>0</v>
      </c>
      <c r="C202" s="44">
        <v>2800</v>
      </c>
      <c r="D202" t="s">
        <v>291</v>
      </c>
      <c r="E202" t="s">
        <v>256</v>
      </c>
      <c r="F202">
        <v>3</v>
      </c>
    </row>
    <row r="203" spans="1:6" ht="13.2">
      <c r="A203" t="s">
        <v>4928</v>
      </c>
      <c r="B203">
        <v>0</v>
      </c>
      <c r="C203" s="44">
        <v>2800</v>
      </c>
      <c r="D203" t="s">
        <v>291</v>
      </c>
      <c r="E203" t="s">
        <v>256</v>
      </c>
      <c r="F203">
        <v>3</v>
      </c>
    </row>
    <row r="204" spans="1:6" ht="13.2">
      <c r="A204" t="s">
        <v>4929</v>
      </c>
      <c r="B204">
        <v>0</v>
      </c>
      <c r="C204" s="44">
        <v>2800</v>
      </c>
      <c r="D204" t="s">
        <v>291</v>
      </c>
      <c r="E204" t="s">
        <v>256</v>
      </c>
      <c r="F204">
        <v>3</v>
      </c>
    </row>
    <row r="205" spans="1:6" ht="13.2">
      <c r="A205" t="s">
        <v>4930</v>
      </c>
      <c r="B205">
        <v>0</v>
      </c>
      <c r="C205" s="44">
        <v>2800</v>
      </c>
      <c r="D205" t="s">
        <v>291</v>
      </c>
      <c r="E205" t="s">
        <v>256</v>
      </c>
      <c r="F205">
        <v>3</v>
      </c>
    </row>
    <row r="206" spans="1:6" ht="13.2">
      <c r="A206" t="s">
        <v>4931</v>
      </c>
      <c r="B206">
        <v>0</v>
      </c>
      <c r="C206" s="44">
        <v>2800</v>
      </c>
      <c r="D206" t="s">
        <v>291</v>
      </c>
      <c r="E206" t="s">
        <v>256</v>
      </c>
      <c r="F206">
        <v>3</v>
      </c>
    </row>
    <row r="207" spans="1:6" ht="13.2">
      <c r="A207" t="s">
        <v>4932</v>
      </c>
      <c r="B207">
        <v>0</v>
      </c>
      <c r="C207" s="44">
        <v>2800</v>
      </c>
      <c r="D207" t="s">
        <v>291</v>
      </c>
      <c r="E207" t="s">
        <v>256</v>
      </c>
      <c r="F207">
        <v>3</v>
      </c>
    </row>
    <row r="208" spans="1:6" ht="13.2">
      <c r="A208" t="s">
        <v>4933</v>
      </c>
      <c r="B208">
        <v>0</v>
      </c>
      <c r="C208" s="44">
        <v>2800</v>
      </c>
      <c r="D208" t="s">
        <v>291</v>
      </c>
      <c r="E208" t="s">
        <v>256</v>
      </c>
      <c r="F208">
        <v>3</v>
      </c>
    </row>
    <row r="209" spans="1:6" ht="13.2">
      <c r="A209" t="s">
        <v>4934</v>
      </c>
      <c r="B209">
        <v>0</v>
      </c>
      <c r="C209" s="44">
        <v>2800</v>
      </c>
      <c r="D209" t="s">
        <v>291</v>
      </c>
      <c r="E209" t="s">
        <v>256</v>
      </c>
      <c r="F209">
        <v>3</v>
      </c>
    </row>
    <row r="210" spans="1:6" ht="13.2">
      <c r="A210" t="s">
        <v>4935</v>
      </c>
      <c r="B210">
        <v>0</v>
      </c>
      <c r="C210" s="44">
        <v>2800</v>
      </c>
      <c r="D210" t="s">
        <v>291</v>
      </c>
      <c r="E210" t="s">
        <v>256</v>
      </c>
      <c r="F210">
        <v>3</v>
      </c>
    </row>
    <row r="211" spans="1:6" ht="13.2">
      <c r="A211" t="s">
        <v>4936</v>
      </c>
      <c r="B211">
        <v>0</v>
      </c>
      <c r="C211" s="44">
        <v>2800</v>
      </c>
      <c r="D211" t="s">
        <v>291</v>
      </c>
      <c r="E211" t="s">
        <v>256</v>
      </c>
      <c r="F211">
        <v>3</v>
      </c>
    </row>
    <row r="212" spans="1:6" ht="13.2">
      <c r="A212" t="s">
        <v>4937</v>
      </c>
      <c r="B212">
        <v>0</v>
      </c>
      <c r="C212" s="44">
        <v>2800</v>
      </c>
      <c r="D212" t="s">
        <v>291</v>
      </c>
      <c r="E212" t="s">
        <v>256</v>
      </c>
      <c r="F212">
        <v>3</v>
      </c>
    </row>
    <row r="213" spans="1:6" ht="13.2">
      <c r="A213" t="s">
        <v>4939</v>
      </c>
      <c r="B213">
        <v>0</v>
      </c>
      <c r="C213" s="44">
        <v>2800</v>
      </c>
      <c r="D213" t="s">
        <v>291</v>
      </c>
      <c r="E213" t="s">
        <v>256</v>
      </c>
      <c r="F213">
        <v>3</v>
      </c>
    </row>
    <row r="214" spans="1:6" ht="13.2">
      <c r="A214" t="s">
        <v>4938</v>
      </c>
      <c r="B214">
        <v>0</v>
      </c>
      <c r="C214" s="44">
        <v>2800</v>
      </c>
      <c r="D214" t="s">
        <v>291</v>
      </c>
      <c r="E214" t="s">
        <v>256</v>
      </c>
      <c r="F214">
        <v>3</v>
      </c>
    </row>
    <row r="215" spans="1:6" ht="13.2">
      <c r="A215" t="s">
        <v>1997</v>
      </c>
      <c r="B215">
        <v>0</v>
      </c>
      <c r="C215" s="44" t="s">
        <v>294</v>
      </c>
      <c r="D215" t="s">
        <v>293</v>
      </c>
      <c r="E215" t="s">
        <v>257</v>
      </c>
      <c r="F215">
        <v>4</v>
      </c>
    </row>
    <row r="216" spans="1:6" ht="13.2">
      <c r="A216" t="s">
        <v>1998</v>
      </c>
      <c r="B216">
        <v>0</v>
      </c>
      <c r="C216" s="44" t="s">
        <v>294</v>
      </c>
      <c r="D216" t="s">
        <v>293</v>
      </c>
      <c r="E216" t="s">
        <v>257</v>
      </c>
      <c r="F216">
        <v>4</v>
      </c>
    </row>
    <row r="217" spans="1:6" ht="13.2">
      <c r="A217" t="s">
        <v>1999</v>
      </c>
      <c r="B217">
        <v>0</v>
      </c>
      <c r="C217" s="44" t="s">
        <v>294</v>
      </c>
      <c r="D217" t="s">
        <v>293</v>
      </c>
      <c r="E217" t="s">
        <v>257</v>
      </c>
      <c r="F217">
        <v>4</v>
      </c>
    </row>
    <row r="218" spans="1:6" ht="13.2">
      <c r="A218" t="s">
        <v>2000</v>
      </c>
      <c r="B218">
        <v>0</v>
      </c>
      <c r="C218" s="44" t="s">
        <v>294</v>
      </c>
      <c r="D218" t="s">
        <v>293</v>
      </c>
      <c r="E218" t="s">
        <v>257</v>
      </c>
      <c r="F218">
        <v>4</v>
      </c>
    </row>
    <row r="219" spans="1:6" ht="13.2">
      <c r="A219" t="s">
        <v>2001</v>
      </c>
      <c r="B219">
        <v>0</v>
      </c>
      <c r="C219" s="44" t="s">
        <v>294</v>
      </c>
      <c r="D219" t="s">
        <v>293</v>
      </c>
      <c r="E219" t="s">
        <v>257</v>
      </c>
      <c r="F219">
        <v>4</v>
      </c>
    </row>
    <row r="220" spans="1:6" ht="13.2">
      <c r="A220" t="s">
        <v>2002</v>
      </c>
      <c r="B220">
        <v>0</v>
      </c>
      <c r="C220" s="44" t="s">
        <v>294</v>
      </c>
      <c r="D220" t="s">
        <v>293</v>
      </c>
      <c r="E220" t="s">
        <v>257</v>
      </c>
      <c r="F220">
        <v>4</v>
      </c>
    </row>
    <row r="221" spans="1:6" ht="13.2">
      <c r="A221" t="s">
        <v>2003</v>
      </c>
      <c r="B221">
        <v>0</v>
      </c>
      <c r="C221" s="44" t="s">
        <v>294</v>
      </c>
      <c r="D221" t="s">
        <v>293</v>
      </c>
      <c r="E221" t="s">
        <v>257</v>
      </c>
      <c r="F221">
        <v>4</v>
      </c>
    </row>
    <row r="222" spans="1:6" ht="13.2">
      <c r="A222" t="s">
        <v>3017</v>
      </c>
      <c r="B222">
        <v>96</v>
      </c>
      <c r="C222" s="44">
        <v>1400</v>
      </c>
      <c r="D222" t="s">
        <v>291</v>
      </c>
      <c r="E222" t="s">
        <v>362</v>
      </c>
      <c r="F222">
        <v>4</v>
      </c>
    </row>
    <row r="223" spans="1:6" ht="13.2">
      <c r="A223" t="s">
        <v>3017</v>
      </c>
      <c r="B223">
        <v>96</v>
      </c>
      <c r="C223" s="44">
        <v>1400</v>
      </c>
      <c r="D223" t="s">
        <v>291</v>
      </c>
      <c r="E223" t="s">
        <v>362</v>
      </c>
      <c r="F223">
        <v>4</v>
      </c>
    </row>
    <row r="224" spans="1:6" ht="13.2">
      <c r="A224" t="s">
        <v>3018</v>
      </c>
      <c r="B224">
        <v>96</v>
      </c>
      <c r="C224" s="44">
        <v>1400</v>
      </c>
      <c r="D224" t="s">
        <v>291</v>
      </c>
      <c r="E224" t="s">
        <v>362</v>
      </c>
      <c r="F224">
        <v>4</v>
      </c>
    </row>
    <row r="225" spans="1:6" ht="13.2">
      <c r="A225" t="s">
        <v>3018</v>
      </c>
      <c r="B225">
        <v>96</v>
      </c>
      <c r="C225" s="44">
        <v>1400</v>
      </c>
      <c r="D225" t="s">
        <v>291</v>
      </c>
      <c r="E225" t="s">
        <v>362</v>
      </c>
      <c r="F225">
        <v>4</v>
      </c>
    </row>
    <row r="226" spans="1:6" ht="13.2">
      <c r="A226" t="s">
        <v>3019</v>
      </c>
      <c r="B226">
        <v>96</v>
      </c>
      <c r="C226" s="44">
        <v>1400</v>
      </c>
      <c r="D226" t="s">
        <v>291</v>
      </c>
      <c r="E226" t="s">
        <v>362</v>
      </c>
      <c r="F226">
        <v>4</v>
      </c>
    </row>
    <row r="227" spans="1:6" ht="13.2">
      <c r="A227" t="s">
        <v>3019</v>
      </c>
      <c r="B227">
        <v>96</v>
      </c>
      <c r="C227" s="44">
        <v>1400</v>
      </c>
      <c r="D227" t="s">
        <v>291</v>
      </c>
      <c r="E227" t="s">
        <v>362</v>
      </c>
      <c r="F227">
        <v>4</v>
      </c>
    </row>
    <row r="228" spans="1:6" ht="13.2">
      <c r="A228" t="s">
        <v>3020</v>
      </c>
      <c r="B228">
        <v>96</v>
      </c>
      <c r="C228" s="44">
        <v>1400</v>
      </c>
      <c r="D228" t="s">
        <v>291</v>
      </c>
      <c r="E228" t="s">
        <v>362</v>
      </c>
      <c r="F228">
        <v>4</v>
      </c>
    </row>
    <row r="229" spans="1:6" ht="13.2">
      <c r="A229" t="s">
        <v>3020</v>
      </c>
      <c r="B229">
        <v>96</v>
      </c>
      <c r="C229" s="44">
        <v>1400</v>
      </c>
      <c r="D229" t="s">
        <v>291</v>
      </c>
      <c r="E229" t="s">
        <v>362</v>
      </c>
      <c r="F229">
        <v>4</v>
      </c>
    </row>
    <row r="230" spans="1:6" ht="13.2">
      <c r="A230" t="s">
        <v>3021</v>
      </c>
      <c r="B230">
        <v>96</v>
      </c>
      <c r="C230" s="44">
        <v>1400</v>
      </c>
      <c r="D230" t="s">
        <v>291</v>
      </c>
      <c r="E230" t="s">
        <v>362</v>
      </c>
      <c r="F230">
        <v>4</v>
      </c>
    </row>
    <row r="231" spans="1:6" ht="13.2">
      <c r="A231" t="s">
        <v>3021</v>
      </c>
      <c r="B231">
        <v>96</v>
      </c>
      <c r="C231" s="44">
        <v>1400</v>
      </c>
      <c r="D231" t="s">
        <v>291</v>
      </c>
      <c r="E231" t="s">
        <v>362</v>
      </c>
      <c r="F231">
        <v>4</v>
      </c>
    </row>
    <row r="232" spans="1:6" ht="13.2">
      <c r="A232" t="s">
        <v>3022</v>
      </c>
      <c r="B232">
        <v>96</v>
      </c>
      <c r="C232" s="44">
        <v>1400</v>
      </c>
      <c r="D232" t="s">
        <v>291</v>
      </c>
      <c r="E232" t="s">
        <v>362</v>
      </c>
      <c r="F232">
        <v>4</v>
      </c>
    </row>
    <row r="233" spans="1:6" ht="13.2">
      <c r="A233" t="s">
        <v>3022</v>
      </c>
      <c r="B233">
        <v>96</v>
      </c>
      <c r="C233" s="44">
        <v>1400</v>
      </c>
      <c r="D233" t="s">
        <v>291</v>
      </c>
      <c r="E233" t="s">
        <v>362</v>
      </c>
      <c r="F233">
        <v>4</v>
      </c>
    </row>
    <row r="234" spans="1:6" ht="13.2">
      <c r="A234" t="s">
        <v>3023</v>
      </c>
      <c r="B234">
        <v>96</v>
      </c>
      <c r="C234" s="44">
        <v>1400</v>
      </c>
      <c r="D234" t="s">
        <v>291</v>
      </c>
      <c r="E234" t="s">
        <v>362</v>
      </c>
      <c r="F234">
        <v>4</v>
      </c>
    </row>
    <row r="235" spans="1:6" ht="13.2">
      <c r="A235" t="s">
        <v>3023</v>
      </c>
      <c r="B235">
        <v>96</v>
      </c>
      <c r="C235" s="44">
        <v>1400</v>
      </c>
      <c r="D235" t="s">
        <v>291</v>
      </c>
      <c r="E235" t="s">
        <v>362</v>
      </c>
      <c r="F235">
        <v>4</v>
      </c>
    </row>
    <row r="236" spans="1:6" ht="13.2">
      <c r="A236" t="s">
        <v>3026</v>
      </c>
      <c r="B236">
        <v>96</v>
      </c>
      <c r="C236" s="44">
        <v>1400</v>
      </c>
      <c r="D236" t="s">
        <v>291</v>
      </c>
      <c r="E236" t="s">
        <v>362</v>
      </c>
      <c r="F236">
        <v>4</v>
      </c>
    </row>
    <row r="237" spans="1:6" ht="13.2">
      <c r="A237" t="s">
        <v>3026</v>
      </c>
      <c r="B237">
        <v>96</v>
      </c>
      <c r="C237" s="44">
        <v>1400</v>
      </c>
      <c r="D237" t="s">
        <v>291</v>
      </c>
      <c r="E237" t="s">
        <v>362</v>
      </c>
      <c r="F237">
        <v>4</v>
      </c>
    </row>
    <row r="238" spans="1:6" ht="13.2">
      <c r="A238" t="s">
        <v>3024</v>
      </c>
      <c r="B238">
        <v>96</v>
      </c>
      <c r="C238" s="44">
        <v>1400</v>
      </c>
      <c r="D238" t="s">
        <v>291</v>
      </c>
      <c r="E238" t="s">
        <v>362</v>
      </c>
      <c r="F238">
        <v>4</v>
      </c>
    </row>
    <row r="239" spans="1:6" ht="13.2">
      <c r="A239" t="s">
        <v>3024</v>
      </c>
      <c r="B239">
        <v>96</v>
      </c>
      <c r="C239" s="44">
        <v>1400</v>
      </c>
      <c r="D239" t="s">
        <v>291</v>
      </c>
      <c r="E239" t="s">
        <v>362</v>
      </c>
      <c r="F239">
        <v>4</v>
      </c>
    </row>
    <row r="240" spans="1:6" ht="13.2">
      <c r="A240" t="s">
        <v>3025</v>
      </c>
      <c r="B240">
        <v>96</v>
      </c>
      <c r="C240" s="44">
        <v>1400</v>
      </c>
      <c r="D240" t="s">
        <v>291</v>
      </c>
      <c r="E240" t="s">
        <v>362</v>
      </c>
      <c r="F240">
        <v>4</v>
      </c>
    </row>
    <row r="241" spans="1:6" ht="13.2">
      <c r="A241" t="s">
        <v>3025</v>
      </c>
      <c r="B241">
        <v>96</v>
      </c>
      <c r="C241" s="44">
        <v>1400</v>
      </c>
      <c r="D241" t="s">
        <v>291</v>
      </c>
      <c r="E241" t="s">
        <v>362</v>
      </c>
      <c r="F241">
        <v>4</v>
      </c>
    </row>
    <row r="242" spans="1:6" ht="13.2">
      <c r="A242" t="s">
        <v>3855</v>
      </c>
      <c r="B242">
        <v>0</v>
      </c>
      <c r="C242" s="44">
        <v>3000</v>
      </c>
      <c r="D242" t="s">
        <v>293</v>
      </c>
      <c r="E242" t="s">
        <v>256</v>
      </c>
      <c r="F242" t="s">
        <v>532</v>
      </c>
    </row>
    <row r="243" spans="1:6" ht="13.2">
      <c r="A243" t="s">
        <v>3854</v>
      </c>
      <c r="B243">
        <v>0</v>
      </c>
      <c r="C243" s="44">
        <v>3000</v>
      </c>
      <c r="D243" t="s">
        <v>293</v>
      </c>
      <c r="E243" t="s">
        <v>256</v>
      </c>
      <c r="F243" t="s">
        <v>532</v>
      </c>
    </row>
    <row r="244" spans="1:6" ht="13.2">
      <c r="A244" t="s">
        <v>984</v>
      </c>
      <c r="B244">
        <v>0</v>
      </c>
      <c r="C244" s="44" t="s">
        <v>204</v>
      </c>
      <c r="D244" t="s">
        <v>293</v>
      </c>
      <c r="E244" t="s">
        <v>257</v>
      </c>
      <c r="F244" t="s">
        <v>532</v>
      </c>
    </row>
    <row r="245" spans="1:6" ht="13.2">
      <c r="A245" t="s">
        <v>985</v>
      </c>
      <c r="B245">
        <v>0</v>
      </c>
      <c r="C245" s="44" t="s">
        <v>204</v>
      </c>
      <c r="D245" t="s">
        <v>293</v>
      </c>
      <c r="E245" t="s">
        <v>257</v>
      </c>
      <c r="F245" t="s">
        <v>532</v>
      </c>
    </row>
    <row r="246" spans="1:6" ht="13.2">
      <c r="A246" t="s">
        <v>3856</v>
      </c>
      <c r="B246">
        <v>0</v>
      </c>
      <c r="C246" s="44">
        <v>3000</v>
      </c>
      <c r="D246" t="s">
        <v>293</v>
      </c>
      <c r="E246" t="s">
        <v>256</v>
      </c>
      <c r="F246" t="s">
        <v>532</v>
      </c>
    </row>
    <row r="247" spans="1:6" ht="13.2">
      <c r="A247" t="s">
        <v>4380</v>
      </c>
      <c r="B247">
        <v>0</v>
      </c>
      <c r="C247" s="44">
        <v>3000</v>
      </c>
      <c r="D247" t="s">
        <v>293</v>
      </c>
      <c r="E247" t="s">
        <v>256</v>
      </c>
      <c r="F247" t="s">
        <v>532</v>
      </c>
    </row>
    <row r="248" spans="1:6" ht="13.2">
      <c r="A248" t="s">
        <v>4390</v>
      </c>
      <c r="B248">
        <v>0</v>
      </c>
      <c r="C248" s="44">
        <v>3000</v>
      </c>
      <c r="D248" t="s">
        <v>293</v>
      </c>
      <c r="E248" t="s">
        <v>256</v>
      </c>
      <c r="F248" t="s">
        <v>532</v>
      </c>
    </row>
    <row r="249" spans="1:6" ht="13.2">
      <c r="A249" t="s">
        <v>4381</v>
      </c>
      <c r="B249">
        <v>0</v>
      </c>
      <c r="C249" s="44">
        <v>3000</v>
      </c>
      <c r="D249" t="s">
        <v>293</v>
      </c>
      <c r="E249" t="s">
        <v>256</v>
      </c>
      <c r="F249" t="s">
        <v>532</v>
      </c>
    </row>
    <row r="250" spans="1:6" ht="13.2">
      <c r="A250" t="s">
        <v>4391</v>
      </c>
      <c r="B250">
        <v>0</v>
      </c>
      <c r="C250" s="44">
        <v>3000</v>
      </c>
      <c r="D250" t="s">
        <v>293</v>
      </c>
      <c r="E250" t="s">
        <v>256</v>
      </c>
      <c r="F250" t="s">
        <v>532</v>
      </c>
    </row>
    <row r="251" spans="1:6" ht="13.2">
      <c r="A251" t="s">
        <v>4386</v>
      </c>
      <c r="B251">
        <v>0</v>
      </c>
      <c r="C251" s="44">
        <v>3000</v>
      </c>
      <c r="D251" t="s">
        <v>293</v>
      </c>
      <c r="E251" t="s">
        <v>256</v>
      </c>
      <c r="F251" t="s">
        <v>532</v>
      </c>
    </row>
    <row r="252" spans="1:6" ht="13.2">
      <c r="A252" t="s">
        <v>4379</v>
      </c>
      <c r="B252">
        <v>0</v>
      </c>
      <c r="C252" s="44">
        <v>3000</v>
      </c>
      <c r="D252" t="s">
        <v>293</v>
      </c>
      <c r="E252" t="s">
        <v>256</v>
      </c>
      <c r="F252" t="s">
        <v>532</v>
      </c>
    </row>
    <row r="253" spans="1:6" ht="13.2">
      <c r="A253" t="s">
        <v>4389</v>
      </c>
      <c r="B253">
        <v>0</v>
      </c>
      <c r="C253" s="44">
        <v>3000</v>
      </c>
      <c r="D253" t="s">
        <v>293</v>
      </c>
      <c r="E253" t="s">
        <v>256</v>
      </c>
      <c r="F253" t="s">
        <v>532</v>
      </c>
    </row>
    <row r="254" spans="1:6" ht="13.2">
      <c r="A254" t="s">
        <v>4393</v>
      </c>
      <c r="B254">
        <v>0</v>
      </c>
      <c r="C254" s="44">
        <v>3000</v>
      </c>
      <c r="D254" t="s">
        <v>293</v>
      </c>
      <c r="E254" t="s">
        <v>256</v>
      </c>
      <c r="F254" t="s">
        <v>532</v>
      </c>
    </row>
    <row r="255" spans="1:6" ht="13.2">
      <c r="A255" t="s">
        <v>4392</v>
      </c>
      <c r="B255">
        <v>0</v>
      </c>
      <c r="C255" s="44">
        <v>3000</v>
      </c>
      <c r="D255" t="s">
        <v>293</v>
      </c>
      <c r="E255" t="s">
        <v>256</v>
      </c>
      <c r="F255" t="s">
        <v>532</v>
      </c>
    </row>
    <row r="256" spans="1:6" ht="13.2">
      <c r="A256" t="s">
        <v>4384</v>
      </c>
      <c r="B256">
        <v>0</v>
      </c>
      <c r="C256" s="44">
        <v>3000</v>
      </c>
      <c r="D256" t="s">
        <v>293</v>
      </c>
      <c r="E256" t="s">
        <v>256</v>
      </c>
      <c r="F256" t="s">
        <v>532</v>
      </c>
    </row>
    <row r="257" spans="1:6" ht="13.2">
      <c r="A257" t="s">
        <v>4382</v>
      </c>
      <c r="B257">
        <v>0</v>
      </c>
      <c r="C257" s="44">
        <v>3000</v>
      </c>
      <c r="D257" t="s">
        <v>293</v>
      </c>
      <c r="E257" t="s">
        <v>256</v>
      </c>
      <c r="F257" t="s">
        <v>532</v>
      </c>
    </row>
    <row r="258" spans="1:6" ht="13.2">
      <c r="A258" t="s">
        <v>4387</v>
      </c>
      <c r="B258">
        <v>0</v>
      </c>
      <c r="C258" s="44">
        <v>3000</v>
      </c>
      <c r="D258" t="s">
        <v>293</v>
      </c>
      <c r="E258" t="s">
        <v>256</v>
      </c>
      <c r="F258" t="s">
        <v>532</v>
      </c>
    </row>
    <row r="259" spans="1:6" ht="13.2">
      <c r="A259" t="s">
        <v>4385</v>
      </c>
      <c r="B259">
        <v>0</v>
      </c>
      <c r="C259" s="44">
        <v>3000</v>
      </c>
      <c r="D259" t="s">
        <v>293</v>
      </c>
      <c r="E259" t="s">
        <v>256</v>
      </c>
      <c r="F259" t="s">
        <v>532</v>
      </c>
    </row>
    <row r="260" spans="1:6" ht="13.2">
      <c r="A260" t="s">
        <v>4383</v>
      </c>
      <c r="B260">
        <v>0</v>
      </c>
      <c r="C260" s="44">
        <v>3000</v>
      </c>
      <c r="D260" t="s">
        <v>293</v>
      </c>
      <c r="E260" t="s">
        <v>256</v>
      </c>
      <c r="F260" t="s">
        <v>532</v>
      </c>
    </row>
    <row r="261" spans="1:6" ht="13.2">
      <c r="A261" t="s">
        <v>4388</v>
      </c>
      <c r="B261">
        <v>0</v>
      </c>
      <c r="C261" s="44">
        <v>3000</v>
      </c>
      <c r="D261" t="s">
        <v>293</v>
      </c>
      <c r="E261" t="s">
        <v>256</v>
      </c>
      <c r="F261" t="s">
        <v>532</v>
      </c>
    </row>
    <row r="262" spans="1:6" ht="13.2">
      <c r="A262" t="s">
        <v>4394</v>
      </c>
      <c r="B262">
        <v>0</v>
      </c>
      <c r="C262" s="44">
        <v>3000</v>
      </c>
      <c r="D262" t="s">
        <v>293</v>
      </c>
      <c r="E262" t="s">
        <v>256</v>
      </c>
      <c r="F262" t="s">
        <v>532</v>
      </c>
    </row>
    <row r="263" spans="1:6" ht="13.2">
      <c r="A263" t="s">
        <v>3124</v>
      </c>
      <c r="B263">
        <v>335</v>
      </c>
      <c r="C263" s="44">
        <v>1400</v>
      </c>
      <c r="D263" t="s">
        <v>291</v>
      </c>
      <c r="E263" t="s">
        <v>213</v>
      </c>
      <c r="F263">
        <v>4</v>
      </c>
    </row>
    <row r="264" spans="1:6" ht="13.2">
      <c r="A264" t="s">
        <v>3123</v>
      </c>
      <c r="B264">
        <v>335</v>
      </c>
      <c r="C264" s="44">
        <v>1400</v>
      </c>
      <c r="D264" t="s">
        <v>291</v>
      </c>
      <c r="E264" t="s">
        <v>213</v>
      </c>
      <c r="F264">
        <v>4</v>
      </c>
    </row>
    <row r="265" spans="1:6" ht="13.2">
      <c r="A265" t="s">
        <v>3121</v>
      </c>
      <c r="B265">
        <v>335</v>
      </c>
      <c r="C265" s="44">
        <v>1400</v>
      </c>
      <c r="D265" t="s">
        <v>291</v>
      </c>
      <c r="E265" t="s">
        <v>213</v>
      </c>
      <c r="F265">
        <v>4</v>
      </c>
    </row>
    <row r="266" spans="1:6" ht="13.2">
      <c r="A266" t="s">
        <v>3122</v>
      </c>
      <c r="B266">
        <v>335</v>
      </c>
      <c r="C266" s="44">
        <v>1400</v>
      </c>
      <c r="D266" t="s">
        <v>291</v>
      </c>
      <c r="E266" t="s">
        <v>213</v>
      </c>
      <c r="F266">
        <v>4</v>
      </c>
    </row>
    <row r="267" spans="1:6" ht="13.2">
      <c r="A267" t="s">
        <v>3125</v>
      </c>
      <c r="B267">
        <v>335</v>
      </c>
      <c r="C267" s="44">
        <v>1400</v>
      </c>
      <c r="D267" t="s">
        <v>291</v>
      </c>
      <c r="E267" t="s">
        <v>213</v>
      </c>
      <c r="F267">
        <v>4</v>
      </c>
    </row>
    <row r="268" spans="1:6" ht="13.2">
      <c r="A268" t="s">
        <v>3126</v>
      </c>
      <c r="B268">
        <v>335</v>
      </c>
      <c r="C268" s="44">
        <v>1400</v>
      </c>
      <c r="D268" t="s">
        <v>291</v>
      </c>
      <c r="E268" t="s">
        <v>213</v>
      </c>
      <c r="F268">
        <v>4</v>
      </c>
    </row>
    <row r="269" spans="1:6" ht="13.2">
      <c r="A269" t="s">
        <v>3132</v>
      </c>
      <c r="B269">
        <v>18</v>
      </c>
      <c r="C269" s="44">
        <v>1400</v>
      </c>
      <c r="D269" t="s">
        <v>291</v>
      </c>
      <c r="E269" t="s">
        <v>213</v>
      </c>
      <c r="F269">
        <v>4</v>
      </c>
    </row>
    <row r="270" spans="1:6" ht="13.2">
      <c r="A270" t="s">
        <v>3131</v>
      </c>
      <c r="B270">
        <v>18</v>
      </c>
      <c r="C270" s="44">
        <v>1400</v>
      </c>
      <c r="D270" t="s">
        <v>291</v>
      </c>
      <c r="E270" t="s">
        <v>213</v>
      </c>
      <c r="F270">
        <v>4</v>
      </c>
    </row>
    <row r="271" spans="1:6" ht="13.2">
      <c r="A271" t="s">
        <v>3133</v>
      </c>
      <c r="B271">
        <v>18</v>
      </c>
      <c r="C271" s="44">
        <v>1400</v>
      </c>
      <c r="D271" t="s">
        <v>291</v>
      </c>
      <c r="E271" t="s">
        <v>213</v>
      </c>
      <c r="F271">
        <v>4</v>
      </c>
    </row>
    <row r="272" spans="1:6" ht="13.2">
      <c r="A272" t="s">
        <v>3130</v>
      </c>
      <c r="B272">
        <v>18</v>
      </c>
      <c r="C272" s="44">
        <v>1400</v>
      </c>
      <c r="D272" t="s">
        <v>291</v>
      </c>
      <c r="E272" t="s">
        <v>213</v>
      </c>
      <c r="F272">
        <v>4</v>
      </c>
    </row>
    <row r="273" spans="1:6" ht="13.2">
      <c r="A273" t="s">
        <v>3129</v>
      </c>
      <c r="B273">
        <v>18</v>
      </c>
      <c r="C273" s="44">
        <v>1400</v>
      </c>
      <c r="D273" t="s">
        <v>291</v>
      </c>
      <c r="E273" t="s">
        <v>213</v>
      </c>
      <c r="F273">
        <v>4</v>
      </c>
    </row>
    <row r="274" spans="1:6" ht="13.2">
      <c r="A274" t="s">
        <v>3127</v>
      </c>
      <c r="B274">
        <v>18</v>
      </c>
      <c r="C274" s="44">
        <v>1400</v>
      </c>
      <c r="D274" t="s">
        <v>291</v>
      </c>
      <c r="E274" t="s">
        <v>213</v>
      </c>
      <c r="F274">
        <v>4</v>
      </c>
    </row>
    <row r="275" spans="1:6" ht="13.2">
      <c r="A275" t="s">
        <v>3128</v>
      </c>
      <c r="B275">
        <v>18</v>
      </c>
      <c r="C275" s="44">
        <v>1400</v>
      </c>
      <c r="D275" t="s">
        <v>291</v>
      </c>
      <c r="E275" t="s">
        <v>213</v>
      </c>
      <c r="F275">
        <v>4</v>
      </c>
    </row>
    <row r="276" spans="1:6" ht="13.2">
      <c r="A276" t="s">
        <v>3134</v>
      </c>
      <c r="B276">
        <v>18</v>
      </c>
      <c r="C276" s="44">
        <v>1400</v>
      </c>
      <c r="D276" t="s">
        <v>291</v>
      </c>
      <c r="E276" t="s">
        <v>213</v>
      </c>
      <c r="F276">
        <v>4</v>
      </c>
    </row>
    <row r="277" spans="1:6" ht="13.2">
      <c r="A277" t="s">
        <v>3135</v>
      </c>
      <c r="B277">
        <v>18</v>
      </c>
      <c r="C277" s="44">
        <v>1400</v>
      </c>
      <c r="D277" t="s">
        <v>291</v>
      </c>
      <c r="E277" t="s">
        <v>213</v>
      </c>
      <c r="F277">
        <v>4</v>
      </c>
    </row>
    <row r="278" spans="1:6" ht="13.2">
      <c r="A278" t="s">
        <v>2004</v>
      </c>
      <c r="B278">
        <v>480</v>
      </c>
      <c r="C278" s="44">
        <v>3150</v>
      </c>
      <c r="D278" t="s">
        <v>293</v>
      </c>
      <c r="E278" t="s">
        <v>256</v>
      </c>
      <c r="F278" t="s">
        <v>524</v>
      </c>
    </row>
    <row r="279" spans="1:6" ht="13.2">
      <c r="A279" t="s">
        <v>2005</v>
      </c>
      <c r="B279">
        <v>480</v>
      </c>
      <c r="C279" s="44">
        <v>3150</v>
      </c>
      <c r="D279" t="s">
        <v>293</v>
      </c>
      <c r="E279" t="s">
        <v>256</v>
      </c>
      <c r="F279" t="s">
        <v>524</v>
      </c>
    </row>
    <row r="280" spans="1:6" ht="13.2">
      <c r="A280" t="s">
        <v>2006</v>
      </c>
      <c r="B280">
        <v>480</v>
      </c>
      <c r="C280" s="44">
        <v>3150</v>
      </c>
      <c r="D280" t="s">
        <v>293</v>
      </c>
      <c r="E280" t="s">
        <v>256</v>
      </c>
      <c r="F280" t="s">
        <v>524</v>
      </c>
    </row>
    <row r="281" spans="1:6" ht="13.2">
      <c r="A281" t="s">
        <v>2007</v>
      </c>
      <c r="B281">
        <v>480</v>
      </c>
      <c r="C281" s="44">
        <v>3150</v>
      </c>
      <c r="D281" t="s">
        <v>293</v>
      </c>
      <c r="E281" t="s">
        <v>256</v>
      </c>
      <c r="F281" t="s">
        <v>524</v>
      </c>
    </row>
    <row r="282" spans="1:6" ht="13.2">
      <c r="A282" t="s">
        <v>2008</v>
      </c>
      <c r="B282">
        <v>480</v>
      </c>
      <c r="C282" s="44">
        <v>3150</v>
      </c>
      <c r="D282" t="s">
        <v>293</v>
      </c>
      <c r="E282" t="s">
        <v>256</v>
      </c>
      <c r="F282" t="s">
        <v>524</v>
      </c>
    </row>
    <row r="283" spans="1:6" ht="13.2">
      <c r="A283" t="s">
        <v>2009</v>
      </c>
      <c r="B283">
        <v>480</v>
      </c>
      <c r="C283" s="44">
        <v>3150</v>
      </c>
      <c r="D283" t="s">
        <v>293</v>
      </c>
      <c r="E283" t="s">
        <v>256</v>
      </c>
      <c r="F283" t="s">
        <v>524</v>
      </c>
    </row>
    <row r="284" spans="1:6" ht="13.2">
      <c r="A284" t="s">
        <v>2010</v>
      </c>
      <c r="B284">
        <v>480</v>
      </c>
      <c r="C284" s="44">
        <v>3150</v>
      </c>
      <c r="D284" t="s">
        <v>293</v>
      </c>
      <c r="E284" t="s">
        <v>256</v>
      </c>
      <c r="F284" t="s">
        <v>524</v>
      </c>
    </row>
    <row r="285" spans="1:6" ht="13.2">
      <c r="A285" t="s">
        <v>2076</v>
      </c>
      <c r="B285">
        <v>160</v>
      </c>
      <c r="C285" s="44">
        <v>1350</v>
      </c>
      <c r="D285" t="s">
        <v>291</v>
      </c>
      <c r="E285" t="s">
        <v>418</v>
      </c>
      <c r="F285">
        <v>4</v>
      </c>
    </row>
    <row r="286" spans="1:6" ht="13.2">
      <c r="A286" t="s">
        <v>2077</v>
      </c>
      <c r="B286">
        <v>160</v>
      </c>
      <c r="C286" s="44">
        <v>1350</v>
      </c>
      <c r="D286" t="s">
        <v>291</v>
      </c>
      <c r="E286" t="s">
        <v>418</v>
      </c>
      <c r="F286">
        <v>4</v>
      </c>
    </row>
    <row r="287" spans="1:6" ht="13.2">
      <c r="A287" t="s">
        <v>2078</v>
      </c>
      <c r="B287">
        <v>160</v>
      </c>
      <c r="C287" s="44">
        <v>1350</v>
      </c>
      <c r="D287" t="s">
        <v>291</v>
      </c>
      <c r="E287" t="s">
        <v>418</v>
      </c>
      <c r="F287">
        <v>4</v>
      </c>
    </row>
    <row r="288" spans="1:6" ht="13.2">
      <c r="A288" t="s">
        <v>2079</v>
      </c>
      <c r="B288">
        <v>160</v>
      </c>
      <c r="C288" s="44">
        <v>1350</v>
      </c>
      <c r="D288" t="s">
        <v>291</v>
      </c>
      <c r="E288" t="s">
        <v>418</v>
      </c>
      <c r="F288">
        <v>4</v>
      </c>
    </row>
    <row r="289" spans="1:6" ht="13.2">
      <c r="A289" t="s">
        <v>2080</v>
      </c>
      <c r="B289">
        <v>160</v>
      </c>
      <c r="C289" s="44">
        <v>1350</v>
      </c>
      <c r="D289" t="s">
        <v>291</v>
      </c>
      <c r="E289" t="s">
        <v>418</v>
      </c>
      <c r="F289">
        <v>4</v>
      </c>
    </row>
    <row r="290" spans="1:6" ht="13.2">
      <c r="A290" t="s">
        <v>2081</v>
      </c>
      <c r="B290">
        <v>160</v>
      </c>
      <c r="C290" s="44">
        <v>1350</v>
      </c>
      <c r="D290" t="s">
        <v>291</v>
      </c>
      <c r="E290" t="s">
        <v>418</v>
      </c>
      <c r="F290">
        <v>4</v>
      </c>
    </row>
    <row r="291" spans="1:5" ht="13.2">
      <c r="A291" t="s">
        <v>4909</v>
      </c>
      <c r="B291">
        <v>338</v>
      </c>
      <c r="C291" s="44">
        <v>1380</v>
      </c>
      <c r="D291" t="s">
        <v>291</v>
      </c>
      <c r="E291" t="s">
        <v>4905</v>
      </c>
    </row>
    <row r="292" spans="1:5" ht="13.2">
      <c r="A292" t="s">
        <v>4908</v>
      </c>
      <c r="B292">
        <v>338</v>
      </c>
      <c r="C292" s="44">
        <v>1380</v>
      </c>
      <c r="D292" t="s">
        <v>291</v>
      </c>
      <c r="E292" t="s">
        <v>4905</v>
      </c>
    </row>
    <row r="293" spans="1:5" ht="13.2">
      <c r="A293" t="s">
        <v>4906</v>
      </c>
      <c r="B293">
        <v>338</v>
      </c>
      <c r="C293" s="44">
        <v>1380</v>
      </c>
      <c r="D293" t="s">
        <v>291</v>
      </c>
      <c r="E293" t="s">
        <v>4905</v>
      </c>
    </row>
    <row r="294" spans="1:5" ht="13.2">
      <c r="A294" t="s">
        <v>4907</v>
      </c>
      <c r="B294">
        <v>338</v>
      </c>
      <c r="C294" s="44">
        <v>1380</v>
      </c>
      <c r="D294" t="s">
        <v>291</v>
      </c>
      <c r="E294" t="s">
        <v>4905</v>
      </c>
    </row>
    <row r="295" spans="1:5" ht="13.2">
      <c r="A295" t="s">
        <v>4910</v>
      </c>
      <c r="B295">
        <v>338</v>
      </c>
      <c r="C295" s="44">
        <v>1380</v>
      </c>
      <c r="D295" t="s">
        <v>291</v>
      </c>
      <c r="E295" t="s">
        <v>4905</v>
      </c>
    </row>
    <row r="296" spans="1:5" ht="13.2">
      <c r="A296" t="s">
        <v>4904</v>
      </c>
      <c r="B296">
        <v>338</v>
      </c>
      <c r="C296" s="44">
        <v>1380</v>
      </c>
      <c r="D296" t="s">
        <v>291</v>
      </c>
      <c r="E296" t="s">
        <v>4905</v>
      </c>
    </row>
    <row r="297" spans="1:6" ht="13.2">
      <c r="A297" t="s">
        <v>646</v>
      </c>
      <c r="B297">
        <v>485</v>
      </c>
      <c r="C297" s="44">
        <v>1445</v>
      </c>
      <c r="D297" t="s">
        <v>291</v>
      </c>
      <c r="E297" t="s">
        <v>647</v>
      </c>
      <c r="F297">
        <v>4</v>
      </c>
    </row>
    <row r="298" spans="1:6" ht="13.2">
      <c r="A298" t="s">
        <v>646</v>
      </c>
      <c r="B298">
        <v>485</v>
      </c>
      <c r="C298" s="44">
        <v>1445</v>
      </c>
      <c r="D298" t="s">
        <v>291</v>
      </c>
      <c r="E298" t="s">
        <v>647</v>
      </c>
      <c r="F298">
        <v>4</v>
      </c>
    </row>
    <row r="299" spans="1:6" ht="13.2">
      <c r="A299" t="s">
        <v>2082</v>
      </c>
      <c r="B299">
        <v>800</v>
      </c>
      <c r="C299" s="44">
        <v>1350</v>
      </c>
      <c r="D299" t="s">
        <v>291</v>
      </c>
      <c r="E299" t="s">
        <v>418</v>
      </c>
      <c r="F299">
        <v>4</v>
      </c>
    </row>
    <row r="300" spans="1:6" ht="13.2">
      <c r="A300" t="s">
        <v>2083</v>
      </c>
      <c r="B300">
        <v>800</v>
      </c>
      <c r="C300" s="44">
        <v>1350</v>
      </c>
      <c r="D300" t="s">
        <v>291</v>
      </c>
      <c r="E300" t="s">
        <v>418</v>
      </c>
      <c r="F300">
        <v>4</v>
      </c>
    </row>
    <row r="301" spans="1:6" ht="13.2">
      <c r="A301" t="s">
        <v>2084</v>
      </c>
      <c r="B301">
        <v>800</v>
      </c>
      <c r="C301" s="44">
        <v>1350</v>
      </c>
      <c r="D301" t="s">
        <v>291</v>
      </c>
      <c r="E301" t="s">
        <v>418</v>
      </c>
      <c r="F301">
        <v>4</v>
      </c>
    </row>
    <row r="302" spans="1:6" ht="13.2">
      <c r="A302" t="s">
        <v>2085</v>
      </c>
      <c r="B302">
        <v>800</v>
      </c>
      <c r="C302" s="44">
        <v>1350</v>
      </c>
      <c r="D302" t="s">
        <v>291</v>
      </c>
      <c r="E302" t="s">
        <v>418</v>
      </c>
      <c r="F302">
        <v>4</v>
      </c>
    </row>
    <row r="303" spans="1:6" ht="13.2">
      <c r="A303" t="s">
        <v>2086</v>
      </c>
      <c r="B303">
        <v>800</v>
      </c>
      <c r="C303" s="44">
        <v>1350</v>
      </c>
      <c r="D303" t="s">
        <v>291</v>
      </c>
      <c r="E303" t="s">
        <v>418</v>
      </c>
      <c r="F303">
        <v>4</v>
      </c>
    </row>
    <row r="304" spans="1:6" ht="13.2">
      <c r="A304" t="s">
        <v>2087</v>
      </c>
      <c r="B304">
        <v>800</v>
      </c>
      <c r="C304" s="44">
        <v>1350</v>
      </c>
      <c r="D304" t="s">
        <v>291</v>
      </c>
      <c r="E304" t="s">
        <v>418</v>
      </c>
      <c r="F304">
        <v>4</v>
      </c>
    </row>
    <row r="305" spans="1:6" ht="13.2">
      <c r="A305" t="s">
        <v>3520</v>
      </c>
      <c r="B305">
        <v>420</v>
      </c>
      <c r="C305" s="44">
        <v>1260</v>
      </c>
      <c r="D305" t="s">
        <v>291</v>
      </c>
      <c r="E305" t="s">
        <v>2048</v>
      </c>
      <c r="F305">
        <v>4</v>
      </c>
    </row>
    <row r="306" spans="1:6" ht="13.2">
      <c r="A306" t="s">
        <v>3521</v>
      </c>
      <c r="B306">
        <v>420</v>
      </c>
      <c r="C306" s="44">
        <v>1260</v>
      </c>
      <c r="D306" t="s">
        <v>291</v>
      </c>
      <c r="E306" t="s">
        <v>2048</v>
      </c>
      <c r="F306">
        <v>4</v>
      </c>
    </row>
    <row r="307" spans="1:6" ht="13.2">
      <c r="A307" t="s">
        <v>3522</v>
      </c>
      <c r="B307">
        <v>420</v>
      </c>
      <c r="C307" s="44">
        <v>1260</v>
      </c>
      <c r="D307" t="s">
        <v>291</v>
      </c>
      <c r="E307" t="s">
        <v>2048</v>
      </c>
      <c r="F307">
        <v>4</v>
      </c>
    </row>
    <row r="308" spans="1:6" ht="13.2">
      <c r="A308" t="s">
        <v>3519</v>
      </c>
      <c r="B308">
        <v>420</v>
      </c>
      <c r="C308" s="44">
        <v>1260</v>
      </c>
      <c r="D308" t="s">
        <v>291</v>
      </c>
      <c r="E308" t="s">
        <v>2048</v>
      </c>
      <c r="F308">
        <v>4</v>
      </c>
    </row>
    <row r="309" spans="1:6" ht="13.2">
      <c r="A309" t="s">
        <v>3523</v>
      </c>
      <c r="B309">
        <v>420</v>
      </c>
      <c r="C309" s="44">
        <v>1260</v>
      </c>
      <c r="D309" t="s">
        <v>291</v>
      </c>
      <c r="E309" t="s">
        <v>2048</v>
      </c>
      <c r="F309">
        <v>4</v>
      </c>
    </row>
    <row r="310" spans="1:6" ht="13.2">
      <c r="A310" t="s">
        <v>3524</v>
      </c>
      <c r="B310">
        <v>420</v>
      </c>
      <c r="C310" s="44">
        <v>1260</v>
      </c>
      <c r="D310" t="s">
        <v>291</v>
      </c>
      <c r="E310" t="s">
        <v>2048</v>
      </c>
      <c r="F310">
        <v>4</v>
      </c>
    </row>
    <row r="311" spans="1:6" ht="13.2">
      <c r="A311" t="s">
        <v>3525</v>
      </c>
      <c r="B311">
        <v>420</v>
      </c>
      <c r="C311" s="44">
        <v>1260</v>
      </c>
      <c r="D311" t="s">
        <v>291</v>
      </c>
      <c r="E311" t="s">
        <v>2048</v>
      </c>
      <c r="F311">
        <v>4</v>
      </c>
    </row>
    <row r="312" spans="1:5" ht="13.2">
      <c r="A312" t="s">
        <v>5507</v>
      </c>
      <c r="B312">
        <v>330</v>
      </c>
      <c r="C312" s="44">
        <v>1330</v>
      </c>
      <c r="D312" t="s">
        <v>291</v>
      </c>
      <c r="E312" t="s">
        <v>5210</v>
      </c>
    </row>
    <row r="313" spans="1:5" ht="13.2">
      <c r="A313" t="s">
        <v>5508</v>
      </c>
      <c r="B313">
        <v>330</v>
      </c>
      <c r="C313" s="44">
        <v>1330</v>
      </c>
      <c r="D313" t="s">
        <v>291</v>
      </c>
      <c r="E313" t="s">
        <v>5210</v>
      </c>
    </row>
    <row r="314" spans="1:5" ht="13.2">
      <c r="A314" t="s">
        <v>5509</v>
      </c>
      <c r="B314">
        <v>330</v>
      </c>
      <c r="C314" s="44">
        <v>1330</v>
      </c>
      <c r="D314" t="s">
        <v>291</v>
      </c>
      <c r="E314" t="s">
        <v>5210</v>
      </c>
    </row>
    <row r="315" spans="1:5" ht="13.2">
      <c r="A315" t="s">
        <v>5510</v>
      </c>
      <c r="B315">
        <v>330</v>
      </c>
      <c r="C315" s="44">
        <v>1330</v>
      </c>
      <c r="D315" t="s">
        <v>291</v>
      </c>
      <c r="E315" t="s">
        <v>5210</v>
      </c>
    </row>
    <row r="316" spans="1:5" ht="13.2">
      <c r="A316" t="s">
        <v>5511</v>
      </c>
      <c r="B316">
        <v>330</v>
      </c>
      <c r="C316" s="44">
        <v>1330</v>
      </c>
      <c r="D316" t="s">
        <v>291</v>
      </c>
      <c r="E316" t="s">
        <v>5210</v>
      </c>
    </row>
    <row r="317" spans="1:6" ht="13.2">
      <c r="A317" t="s">
        <v>595</v>
      </c>
      <c r="B317">
        <v>600</v>
      </c>
      <c r="C317" s="44">
        <v>1350</v>
      </c>
      <c r="D317" t="s">
        <v>291</v>
      </c>
      <c r="E317" t="s">
        <v>583</v>
      </c>
      <c r="F317">
        <v>4</v>
      </c>
    </row>
    <row r="318" spans="1:6" ht="13.2">
      <c r="A318" t="s">
        <v>596</v>
      </c>
      <c r="B318">
        <v>600</v>
      </c>
      <c r="C318" s="44">
        <v>1350</v>
      </c>
      <c r="D318" t="s">
        <v>291</v>
      </c>
      <c r="E318" t="s">
        <v>583</v>
      </c>
      <c r="F318">
        <v>4</v>
      </c>
    </row>
    <row r="319" spans="1:6" ht="13.2">
      <c r="A319" t="s">
        <v>597</v>
      </c>
      <c r="B319">
        <v>600</v>
      </c>
      <c r="C319" s="44">
        <v>1350</v>
      </c>
      <c r="D319" t="s">
        <v>291</v>
      </c>
      <c r="E319" t="s">
        <v>583</v>
      </c>
      <c r="F319">
        <v>4</v>
      </c>
    </row>
    <row r="320" spans="1:6" ht="13.2">
      <c r="A320" t="s">
        <v>598</v>
      </c>
      <c r="B320">
        <v>600</v>
      </c>
      <c r="C320" s="44">
        <v>1350</v>
      </c>
      <c r="D320" t="s">
        <v>291</v>
      </c>
      <c r="E320" t="s">
        <v>583</v>
      </c>
      <c r="F320">
        <v>4</v>
      </c>
    </row>
    <row r="321" spans="1:6" ht="13.2">
      <c r="A321" t="s">
        <v>599</v>
      </c>
      <c r="B321">
        <v>600</v>
      </c>
      <c r="C321" s="44">
        <v>1350</v>
      </c>
      <c r="D321" t="s">
        <v>291</v>
      </c>
      <c r="E321" t="s">
        <v>583</v>
      </c>
      <c r="F321">
        <v>4</v>
      </c>
    </row>
    <row r="322" spans="1:6" ht="13.2">
      <c r="A322" t="s">
        <v>600</v>
      </c>
      <c r="B322">
        <v>600</v>
      </c>
      <c r="C322" s="44">
        <v>1350</v>
      </c>
      <c r="D322" t="s">
        <v>291</v>
      </c>
      <c r="E322" t="s">
        <v>583</v>
      </c>
      <c r="F322">
        <v>4</v>
      </c>
    </row>
    <row r="323" spans="1:5" ht="13.2">
      <c r="A323" t="s">
        <v>3798</v>
      </c>
      <c r="B323">
        <v>0</v>
      </c>
      <c r="C323" s="44">
        <v>1380</v>
      </c>
      <c r="D323" t="s">
        <v>291</v>
      </c>
      <c r="E323" t="s">
        <v>364</v>
      </c>
    </row>
    <row r="324" spans="1:5" ht="13.2">
      <c r="A324" t="s">
        <v>3812</v>
      </c>
      <c r="B324">
        <v>0</v>
      </c>
      <c r="C324" s="44">
        <v>1380</v>
      </c>
      <c r="D324" t="s">
        <v>291</v>
      </c>
      <c r="E324" t="s">
        <v>364</v>
      </c>
    </row>
    <row r="325" spans="1:5" ht="13.2">
      <c r="A325" t="s">
        <v>3795</v>
      </c>
      <c r="B325">
        <v>0</v>
      </c>
      <c r="C325" s="44">
        <v>1380</v>
      </c>
      <c r="D325" t="s">
        <v>291</v>
      </c>
      <c r="E325" t="s">
        <v>364</v>
      </c>
    </row>
    <row r="326" spans="1:5" ht="13.2">
      <c r="A326" t="s">
        <v>3802</v>
      </c>
      <c r="B326">
        <v>0</v>
      </c>
      <c r="C326" s="44">
        <v>1380</v>
      </c>
      <c r="D326" t="s">
        <v>291</v>
      </c>
      <c r="E326" t="s">
        <v>364</v>
      </c>
    </row>
    <row r="327" spans="1:5" ht="13.2">
      <c r="A327" t="s">
        <v>3799</v>
      </c>
      <c r="B327">
        <v>0</v>
      </c>
      <c r="C327" s="44">
        <v>1380</v>
      </c>
      <c r="D327" t="s">
        <v>291</v>
      </c>
      <c r="E327" t="s">
        <v>364</v>
      </c>
    </row>
    <row r="328" spans="1:5" ht="13.2">
      <c r="A328" t="s">
        <v>3800</v>
      </c>
      <c r="B328">
        <v>0</v>
      </c>
      <c r="C328" s="44">
        <v>1380</v>
      </c>
      <c r="D328" t="s">
        <v>291</v>
      </c>
      <c r="E328" t="s">
        <v>364</v>
      </c>
    </row>
    <row r="329" spans="1:5" ht="13.2">
      <c r="A329" t="s">
        <v>3807</v>
      </c>
      <c r="B329">
        <v>0</v>
      </c>
      <c r="C329" s="44">
        <v>1380</v>
      </c>
      <c r="D329" t="s">
        <v>291</v>
      </c>
      <c r="E329" t="s">
        <v>364</v>
      </c>
    </row>
    <row r="330" spans="1:5" ht="13.2">
      <c r="A330" t="s">
        <v>3817</v>
      </c>
      <c r="B330">
        <v>0</v>
      </c>
      <c r="C330" s="44">
        <v>1380</v>
      </c>
      <c r="D330" t="s">
        <v>291</v>
      </c>
      <c r="E330" t="s">
        <v>364</v>
      </c>
    </row>
    <row r="331" spans="1:5" ht="13.2">
      <c r="A331" t="s">
        <v>3796</v>
      </c>
      <c r="B331">
        <v>0</v>
      </c>
      <c r="C331" s="44">
        <v>1380</v>
      </c>
      <c r="D331" t="s">
        <v>291</v>
      </c>
      <c r="E331" t="s">
        <v>364</v>
      </c>
    </row>
    <row r="332" spans="1:5" ht="13.2">
      <c r="A332" t="s">
        <v>3818</v>
      </c>
      <c r="B332">
        <v>0</v>
      </c>
      <c r="C332" s="44">
        <v>1380</v>
      </c>
      <c r="D332" t="s">
        <v>291</v>
      </c>
      <c r="E332" t="s">
        <v>364</v>
      </c>
    </row>
    <row r="333" spans="1:5" ht="13.2">
      <c r="A333" t="s">
        <v>3819</v>
      </c>
      <c r="B333">
        <v>0</v>
      </c>
      <c r="C333" s="44">
        <v>1380</v>
      </c>
      <c r="D333" t="s">
        <v>291</v>
      </c>
      <c r="E333" t="s">
        <v>364</v>
      </c>
    </row>
    <row r="334" spans="1:5" ht="13.2">
      <c r="A334" t="s">
        <v>3811</v>
      </c>
      <c r="B334">
        <v>0</v>
      </c>
      <c r="C334" s="44">
        <v>1380</v>
      </c>
      <c r="D334" t="s">
        <v>291</v>
      </c>
      <c r="E334" t="s">
        <v>364</v>
      </c>
    </row>
    <row r="335" spans="1:69" ht="13.2">
      <c r="A335" t="s">
        <v>3816</v>
      </c>
      <c r="B335">
        <v>0</v>
      </c>
      <c r="C335" s="44">
        <v>1380</v>
      </c>
      <c r="D335" t="s">
        <v>291</v>
      </c>
      <c r="E335" t="s">
        <v>364</v>
      </c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  <c r="AZ335" s="66"/>
      <c r="BA335" s="66"/>
      <c r="BB335" s="66"/>
      <c r="BC335" s="66"/>
      <c r="BD335" s="66"/>
      <c r="BE335" s="66"/>
      <c r="BF335" s="66"/>
      <c r="BG335" s="66"/>
      <c r="BH335" s="66"/>
      <c r="BI335" s="66"/>
      <c r="BJ335" s="66"/>
      <c r="BK335" s="66"/>
      <c r="BL335" s="66"/>
      <c r="BM335" s="66"/>
      <c r="BN335" s="66"/>
      <c r="BO335" s="66"/>
      <c r="BP335" s="66"/>
      <c r="BQ335" s="66"/>
    </row>
    <row r="336" spans="1:5" ht="13.2">
      <c r="A336" t="s">
        <v>3801</v>
      </c>
      <c r="B336">
        <v>0</v>
      </c>
      <c r="C336" s="44">
        <v>1380</v>
      </c>
      <c r="D336" t="s">
        <v>291</v>
      </c>
      <c r="E336" t="s">
        <v>364</v>
      </c>
    </row>
    <row r="337" spans="1:5" ht="13.2">
      <c r="A337" t="s">
        <v>3793</v>
      </c>
      <c r="B337">
        <v>0</v>
      </c>
      <c r="C337" s="44">
        <v>1380</v>
      </c>
      <c r="D337" t="s">
        <v>291</v>
      </c>
      <c r="E337" t="s">
        <v>364</v>
      </c>
    </row>
    <row r="338" spans="1:5" ht="13.2">
      <c r="A338" t="s">
        <v>3809</v>
      </c>
      <c r="B338">
        <v>0</v>
      </c>
      <c r="C338" s="44">
        <v>1380</v>
      </c>
      <c r="D338" t="s">
        <v>291</v>
      </c>
      <c r="E338" t="s">
        <v>364</v>
      </c>
    </row>
    <row r="339" spans="1:5" ht="13.2">
      <c r="A339" t="s">
        <v>3808</v>
      </c>
      <c r="B339">
        <v>0</v>
      </c>
      <c r="C339" s="44">
        <v>1380</v>
      </c>
      <c r="D339" t="s">
        <v>291</v>
      </c>
      <c r="E339" t="s">
        <v>364</v>
      </c>
    </row>
    <row r="340" spans="1:5" ht="13.2">
      <c r="A340" t="s">
        <v>3794</v>
      </c>
      <c r="B340">
        <v>0</v>
      </c>
      <c r="C340" s="44">
        <v>1380</v>
      </c>
      <c r="D340" t="s">
        <v>291</v>
      </c>
      <c r="E340" t="s">
        <v>364</v>
      </c>
    </row>
    <row r="341" spans="1:5" ht="13.2">
      <c r="A341" t="s">
        <v>3805</v>
      </c>
      <c r="B341">
        <v>0</v>
      </c>
      <c r="C341" s="44">
        <v>1380</v>
      </c>
      <c r="D341" t="s">
        <v>291</v>
      </c>
      <c r="E341" t="s">
        <v>364</v>
      </c>
    </row>
    <row r="342" spans="1:5" ht="13.2">
      <c r="A342" t="s">
        <v>3815</v>
      </c>
      <c r="B342">
        <v>0</v>
      </c>
      <c r="C342" s="44">
        <v>1380</v>
      </c>
      <c r="D342" t="s">
        <v>291</v>
      </c>
      <c r="E342" t="s">
        <v>364</v>
      </c>
    </row>
    <row r="343" spans="1:69" s="48" customFormat="1" ht="13.2">
      <c r="A343" t="s">
        <v>3803</v>
      </c>
      <c r="B343">
        <v>0</v>
      </c>
      <c r="C343" s="44">
        <v>1380</v>
      </c>
      <c r="D343" t="s">
        <v>291</v>
      </c>
      <c r="E343" t="s">
        <v>364</v>
      </c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</row>
    <row r="344" spans="1:5" ht="13.2">
      <c r="A344" t="s">
        <v>3820</v>
      </c>
      <c r="B344">
        <v>0</v>
      </c>
      <c r="C344" s="44">
        <v>1380</v>
      </c>
      <c r="D344" t="s">
        <v>291</v>
      </c>
      <c r="E344" t="s">
        <v>364</v>
      </c>
    </row>
    <row r="345" spans="1:5" ht="13.2">
      <c r="A345" t="s">
        <v>3821</v>
      </c>
      <c r="B345">
        <v>0</v>
      </c>
      <c r="C345" s="44">
        <v>1380</v>
      </c>
      <c r="D345" t="s">
        <v>291</v>
      </c>
      <c r="E345" t="s">
        <v>364</v>
      </c>
    </row>
    <row r="346" spans="1:5" ht="13.2">
      <c r="A346" t="s">
        <v>3806</v>
      </c>
      <c r="B346">
        <v>0</v>
      </c>
      <c r="C346" s="44">
        <v>1380</v>
      </c>
      <c r="D346" t="s">
        <v>291</v>
      </c>
      <c r="E346" t="s">
        <v>364</v>
      </c>
    </row>
    <row r="347" spans="1:5" ht="13.2">
      <c r="A347" t="s">
        <v>3804</v>
      </c>
      <c r="B347">
        <v>0</v>
      </c>
      <c r="C347" s="44">
        <v>1380</v>
      </c>
      <c r="D347" t="s">
        <v>291</v>
      </c>
      <c r="E347" t="s">
        <v>364</v>
      </c>
    </row>
    <row r="348" spans="1:5" ht="13.2">
      <c r="A348" t="s">
        <v>3813</v>
      </c>
      <c r="B348">
        <v>0</v>
      </c>
      <c r="C348" s="44">
        <v>1380</v>
      </c>
      <c r="D348" t="s">
        <v>291</v>
      </c>
      <c r="E348" t="s">
        <v>364</v>
      </c>
    </row>
    <row r="349" spans="1:5" ht="13.2">
      <c r="A349" t="s">
        <v>3814</v>
      </c>
      <c r="B349">
        <v>0</v>
      </c>
      <c r="C349" s="44">
        <v>1380</v>
      </c>
      <c r="D349" t="s">
        <v>291</v>
      </c>
      <c r="E349" t="s">
        <v>364</v>
      </c>
    </row>
    <row r="350" spans="1:5" ht="13.2">
      <c r="A350" t="s">
        <v>3797</v>
      </c>
      <c r="B350">
        <v>0</v>
      </c>
      <c r="C350" s="44">
        <v>1380</v>
      </c>
      <c r="D350" t="s">
        <v>291</v>
      </c>
      <c r="E350" t="s">
        <v>364</v>
      </c>
    </row>
    <row r="351" spans="1:5" ht="13.2">
      <c r="A351" t="s">
        <v>3810</v>
      </c>
      <c r="B351">
        <v>0</v>
      </c>
      <c r="C351" s="44">
        <v>1380</v>
      </c>
      <c r="D351" t="s">
        <v>291</v>
      </c>
      <c r="E351" t="s">
        <v>364</v>
      </c>
    </row>
    <row r="352" spans="1:5" ht="13.2">
      <c r="A352" t="s">
        <v>3822</v>
      </c>
      <c r="B352">
        <v>0</v>
      </c>
      <c r="C352" s="44">
        <v>1380</v>
      </c>
      <c r="D352" t="s">
        <v>291</v>
      </c>
      <c r="E352" t="s">
        <v>364</v>
      </c>
    </row>
    <row r="353" spans="1:5" ht="13.2">
      <c r="A353" t="s">
        <v>3792</v>
      </c>
      <c r="B353">
        <v>0</v>
      </c>
      <c r="C353" s="44">
        <v>1380</v>
      </c>
      <c r="D353" t="s">
        <v>291</v>
      </c>
      <c r="E353" t="s">
        <v>364</v>
      </c>
    </row>
    <row r="354" spans="1:6" ht="13.2">
      <c r="A354" t="s">
        <v>2088</v>
      </c>
      <c r="B354">
        <v>550</v>
      </c>
      <c r="C354" s="44">
        <v>1380</v>
      </c>
      <c r="D354" t="s">
        <v>291</v>
      </c>
      <c r="E354" t="s">
        <v>256</v>
      </c>
      <c r="F354">
        <v>4</v>
      </c>
    </row>
    <row r="355" spans="1:6" ht="13.2">
      <c r="A355" t="s">
        <v>4993</v>
      </c>
      <c r="B355">
        <v>350</v>
      </c>
      <c r="C355" s="44">
        <v>1370</v>
      </c>
      <c r="D355" t="s">
        <v>291</v>
      </c>
      <c r="E355" t="s">
        <v>4992</v>
      </c>
      <c r="F355">
        <v>4</v>
      </c>
    </row>
    <row r="356" spans="1:6" ht="13.2">
      <c r="A356" t="s">
        <v>4994</v>
      </c>
      <c r="B356">
        <v>350</v>
      </c>
      <c r="C356" s="44">
        <v>1370</v>
      </c>
      <c r="D356" t="s">
        <v>291</v>
      </c>
      <c r="E356" t="s">
        <v>4992</v>
      </c>
      <c r="F356">
        <v>4</v>
      </c>
    </row>
    <row r="357" spans="1:6" ht="13.2">
      <c r="A357" t="s">
        <v>4991</v>
      </c>
      <c r="B357">
        <v>350</v>
      </c>
      <c r="C357" s="44">
        <v>1370</v>
      </c>
      <c r="D357" t="s">
        <v>291</v>
      </c>
      <c r="E357" t="s">
        <v>4992</v>
      </c>
      <c r="F357">
        <v>4</v>
      </c>
    </row>
    <row r="358" spans="1:6" ht="13.2">
      <c r="A358" t="s">
        <v>4997</v>
      </c>
      <c r="B358">
        <v>350</v>
      </c>
      <c r="C358" s="44">
        <v>1370</v>
      </c>
      <c r="D358" t="s">
        <v>291</v>
      </c>
      <c r="E358" t="s">
        <v>4992</v>
      </c>
      <c r="F358">
        <v>4</v>
      </c>
    </row>
    <row r="359" spans="1:6" ht="13.2">
      <c r="A359" t="s">
        <v>4996</v>
      </c>
      <c r="B359">
        <v>350</v>
      </c>
      <c r="C359" s="44">
        <v>1370</v>
      </c>
      <c r="D359" t="s">
        <v>291</v>
      </c>
      <c r="E359" t="s">
        <v>4992</v>
      </c>
      <c r="F359">
        <v>4</v>
      </c>
    </row>
    <row r="360" spans="1:6" ht="13.2">
      <c r="A360" t="s">
        <v>4995</v>
      </c>
      <c r="B360">
        <v>350</v>
      </c>
      <c r="C360" s="44">
        <v>1370</v>
      </c>
      <c r="D360" t="s">
        <v>291</v>
      </c>
      <c r="E360" t="s">
        <v>4992</v>
      </c>
      <c r="F360">
        <v>4</v>
      </c>
    </row>
    <row r="361" spans="1:6" ht="13.2">
      <c r="A361" t="s">
        <v>4998</v>
      </c>
      <c r="B361">
        <v>350</v>
      </c>
      <c r="C361" s="44">
        <v>1370</v>
      </c>
      <c r="D361" t="s">
        <v>291</v>
      </c>
      <c r="E361" t="s">
        <v>4992</v>
      </c>
      <c r="F361">
        <v>4</v>
      </c>
    </row>
    <row r="362" spans="1:6" ht="13.2">
      <c r="A362" t="s">
        <v>582</v>
      </c>
      <c r="B362">
        <v>630</v>
      </c>
      <c r="C362" s="44">
        <v>1370</v>
      </c>
      <c r="D362" t="s">
        <v>291</v>
      </c>
      <c r="E362" t="s">
        <v>583</v>
      </c>
      <c r="F362">
        <v>4</v>
      </c>
    </row>
    <row r="363" spans="1:6" ht="13.2">
      <c r="A363" t="s">
        <v>584</v>
      </c>
      <c r="B363">
        <v>630</v>
      </c>
      <c r="C363" s="44">
        <v>1370</v>
      </c>
      <c r="D363" t="s">
        <v>291</v>
      </c>
      <c r="E363" t="s">
        <v>583</v>
      </c>
      <c r="F363">
        <v>4</v>
      </c>
    </row>
    <row r="364" spans="1:6" ht="13.2">
      <c r="A364" t="s">
        <v>585</v>
      </c>
      <c r="B364">
        <v>630</v>
      </c>
      <c r="C364" s="44">
        <v>1370</v>
      </c>
      <c r="D364" t="s">
        <v>291</v>
      </c>
      <c r="E364" t="s">
        <v>583</v>
      </c>
      <c r="F364">
        <v>4</v>
      </c>
    </row>
    <row r="365" spans="1:6" ht="13.2">
      <c r="A365" t="s">
        <v>586</v>
      </c>
      <c r="B365">
        <v>630</v>
      </c>
      <c r="C365" s="44">
        <v>1370</v>
      </c>
      <c r="D365" t="s">
        <v>291</v>
      </c>
      <c r="E365" t="s">
        <v>583</v>
      </c>
      <c r="F365">
        <v>4</v>
      </c>
    </row>
    <row r="366" spans="1:6" ht="13.2">
      <c r="A366" t="s">
        <v>588</v>
      </c>
      <c r="B366">
        <v>630</v>
      </c>
      <c r="C366" s="44">
        <v>1370</v>
      </c>
      <c r="D366" t="s">
        <v>291</v>
      </c>
      <c r="E366" t="s">
        <v>583</v>
      </c>
      <c r="F366">
        <v>4</v>
      </c>
    </row>
    <row r="367" spans="1:6" ht="13.2">
      <c r="A367" t="s">
        <v>587</v>
      </c>
      <c r="B367">
        <v>630</v>
      </c>
      <c r="C367" s="44">
        <v>1370</v>
      </c>
      <c r="D367" t="s">
        <v>291</v>
      </c>
      <c r="E367" t="s">
        <v>583</v>
      </c>
      <c r="F367">
        <v>4</v>
      </c>
    </row>
    <row r="368" spans="1:6" ht="13.2">
      <c r="A368" t="s">
        <v>648</v>
      </c>
      <c r="B368">
        <v>420</v>
      </c>
      <c r="C368" s="44">
        <v>1350</v>
      </c>
      <c r="D368" t="s">
        <v>291</v>
      </c>
      <c r="E368" t="s">
        <v>418</v>
      </c>
      <c r="F368">
        <v>2</v>
      </c>
    </row>
    <row r="369" spans="1:6" ht="13.2">
      <c r="A369" t="s">
        <v>650</v>
      </c>
      <c r="B369">
        <v>420</v>
      </c>
      <c r="C369" s="44">
        <v>1350</v>
      </c>
      <c r="D369" t="s">
        <v>291</v>
      </c>
      <c r="E369" t="s">
        <v>418</v>
      </c>
      <c r="F369">
        <v>2</v>
      </c>
    </row>
    <row r="370" spans="1:6" ht="13.2">
      <c r="A370" t="s">
        <v>649</v>
      </c>
      <c r="B370">
        <v>420</v>
      </c>
      <c r="C370" s="44">
        <v>1350</v>
      </c>
      <c r="D370" t="s">
        <v>291</v>
      </c>
      <c r="E370" t="s">
        <v>418</v>
      </c>
      <c r="F370">
        <v>2</v>
      </c>
    </row>
    <row r="371" spans="1:6" ht="13.2">
      <c r="A371" t="s">
        <v>651</v>
      </c>
      <c r="B371">
        <v>420</v>
      </c>
      <c r="C371" s="44">
        <v>1350</v>
      </c>
      <c r="D371" t="s">
        <v>291</v>
      </c>
      <c r="E371" t="s">
        <v>418</v>
      </c>
      <c r="F371">
        <v>2</v>
      </c>
    </row>
    <row r="372" spans="1:6" ht="13.2">
      <c r="A372" t="s">
        <v>2089</v>
      </c>
      <c r="B372">
        <v>430</v>
      </c>
      <c r="C372" s="44">
        <v>1290</v>
      </c>
      <c r="D372" t="s">
        <v>291</v>
      </c>
      <c r="E372" t="s">
        <v>552</v>
      </c>
      <c r="F372">
        <v>4</v>
      </c>
    </row>
    <row r="373" spans="1:6" ht="13.2">
      <c r="A373" t="s">
        <v>2090</v>
      </c>
      <c r="B373">
        <v>430</v>
      </c>
      <c r="C373" s="44">
        <v>1290</v>
      </c>
      <c r="D373" t="s">
        <v>291</v>
      </c>
      <c r="E373" t="s">
        <v>552</v>
      </c>
      <c r="F373">
        <v>4</v>
      </c>
    </row>
    <row r="374" spans="1:6" ht="13.2">
      <c r="A374" t="s">
        <v>2091</v>
      </c>
      <c r="B374">
        <v>430</v>
      </c>
      <c r="C374" s="44">
        <v>1290</v>
      </c>
      <c r="D374" t="s">
        <v>291</v>
      </c>
      <c r="E374" t="s">
        <v>552</v>
      </c>
      <c r="F374">
        <v>4</v>
      </c>
    </row>
    <row r="375" spans="1:6" ht="13.2">
      <c r="A375" t="s">
        <v>2092</v>
      </c>
      <c r="B375">
        <v>430</v>
      </c>
      <c r="C375" s="44">
        <v>1290</v>
      </c>
      <c r="D375" t="s">
        <v>291</v>
      </c>
      <c r="E375" t="s">
        <v>552</v>
      </c>
      <c r="F375">
        <v>4</v>
      </c>
    </row>
    <row r="376" spans="1:6" ht="13.2">
      <c r="A376" t="s">
        <v>2093</v>
      </c>
      <c r="B376">
        <v>430</v>
      </c>
      <c r="C376" s="44">
        <v>1290</v>
      </c>
      <c r="D376" t="s">
        <v>291</v>
      </c>
      <c r="E376" t="s">
        <v>552</v>
      </c>
      <c r="F376">
        <v>4</v>
      </c>
    </row>
    <row r="377" spans="1:6" ht="13.2">
      <c r="A377" t="s">
        <v>2094</v>
      </c>
      <c r="B377">
        <v>430</v>
      </c>
      <c r="C377" s="44">
        <v>1290</v>
      </c>
      <c r="D377" t="s">
        <v>291</v>
      </c>
      <c r="E377" t="s">
        <v>552</v>
      </c>
      <c r="F377">
        <v>4</v>
      </c>
    </row>
    <row r="378" spans="1:6" ht="13.2">
      <c r="A378" t="s">
        <v>589</v>
      </c>
      <c r="B378">
        <v>685</v>
      </c>
      <c r="C378" s="44">
        <v>1370</v>
      </c>
      <c r="D378" t="s">
        <v>291</v>
      </c>
      <c r="E378" t="s">
        <v>256</v>
      </c>
      <c r="F378">
        <v>4</v>
      </c>
    </row>
    <row r="379" spans="1:6" ht="13.2">
      <c r="A379" t="s">
        <v>590</v>
      </c>
      <c r="B379">
        <v>685</v>
      </c>
      <c r="C379" s="44">
        <v>1370</v>
      </c>
      <c r="D379" t="s">
        <v>291</v>
      </c>
      <c r="E379" t="s">
        <v>256</v>
      </c>
      <c r="F379">
        <v>4</v>
      </c>
    </row>
    <row r="380" spans="1:6" ht="13.2">
      <c r="A380" t="s">
        <v>591</v>
      </c>
      <c r="B380">
        <v>685</v>
      </c>
      <c r="C380" s="44">
        <v>1370</v>
      </c>
      <c r="D380" t="s">
        <v>291</v>
      </c>
      <c r="E380" t="s">
        <v>256</v>
      </c>
      <c r="F380">
        <v>4</v>
      </c>
    </row>
    <row r="381" spans="1:6" ht="13.2">
      <c r="A381" t="s">
        <v>592</v>
      </c>
      <c r="B381">
        <v>685</v>
      </c>
      <c r="C381" s="44">
        <v>1370</v>
      </c>
      <c r="D381" t="s">
        <v>291</v>
      </c>
      <c r="E381" t="s">
        <v>256</v>
      </c>
      <c r="F381">
        <v>4</v>
      </c>
    </row>
    <row r="382" spans="1:6" ht="13.2">
      <c r="A382" t="s">
        <v>593</v>
      </c>
      <c r="B382">
        <v>685</v>
      </c>
      <c r="C382" s="44">
        <v>1370</v>
      </c>
      <c r="D382" t="s">
        <v>291</v>
      </c>
      <c r="E382" t="s">
        <v>256</v>
      </c>
      <c r="F382">
        <v>4</v>
      </c>
    </row>
    <row r="383" spans="1:6" ht="13.2">
      <c r="A383" t="s">
        <v>594</v>
      </c>
      <c r="B383">
        <v>685</v>
      </c>
      <c r="C383" s="44">
        <v>1370</v>
      </c>
      <c r="D383" t="s">
        <v>291</v>
      </c>
      <c r="E383" t="s">
        <v>256</v>
      </c>
      <c r="F383">
        <v>4</v>
      </c>
    </row>
    <row r="384" spans="1:6" ht="13.2">
      <c r="A384" t="s">
        <v>6139</v>
      </c>
      <c r="B384">
        <v>340</v>
      </c>
      <c r="C384" s="44">
        <v>1380</v>
      </c>
      <c r="D384" t="s">
        <v>291</v>
      </c>
      <c r="E384" t="s">
        <v>4905</v>
      </c>
      <c r="F384">
        <v>4</v>
      </c>
    </row>
    <row r="385" spans="1:6" ht="13.2">
      <c r="A385" t="s">
        <v>3476</v>
      </c>
      <c r="B385">
        <v>433</v>
      </c>
      <c r="C385" s="44">
        <v>1300</v>
      </c>
      <c r="D385" t="s">
        <v>291</v>
      </c>
      <c r="E385" t="s">
        <v>722</v>
      </c>
      <c r="F385">
        <v>4</v>
      </c>
    </row>
    <row r="386" spans="1:6" ht="13.2">
      <c r="A386" t="s">
        <v>3477</v>
      </c>
      <c r="B386">
        <v>433</v>
      </c>
      <c r="C386" s="44">
        <v>1300</v>
      </c>
      <c r="D386" t="s">
        <v>291</v>
      </c>
      <c r="E386" t="s">
        <v>722</v>
      </c>
      <c r="F386">
        <v>4</v>
      </c>
    </row>
    <row r="387" spans="1:6" ht="13.2">
      <c r="A387" t="s">
        <v>3478</v>
      </c>
      <c r="B387">
        <v>433</v>
      </c>
      <c r="C387" s="44">
        <v>1300</v>
      </c>
      <c r="D387" t="s">
        <v>291</v>
      </c>
      <c r="E387" t="s">
        <v>722</v>
      </c>
      <c r="F387">
        <v>4</v>
      </c>
    </row>
    <row r="388" spans="1:6" ht="13.2">
      <c r="A388" t="s">
        <v>3484</v>
      </c>
      <c r="B388">
        <v>470</v>
      </c>
      <c r="C388" s="44">
        <v>1380</v>
      </c>
      <c r="D388" t="s">
        <v>291</v>
      </c>
      <c r="E388" t="s">
        <v>256</v>
      </c>
      <c r="F388">
        <v>4</v>
      </c>
    </row>
    <row r="389" spans="1:6" ht="13.2">
      <c r="A389" t="s">
        <v>2095</v>
      </c>
      <c r="B389">
        <v>345</v>
      </c>
      <c r="C389" s="44">
        <v>1380</v>
      </c>
      <c r="D389" t="s">
        <v>291</v>
      </c>
      <c r="E389" t="s">
        <v>551</v>
      </c>
      <c r="F389">
        <v>4</v>
      </c>
    </row>
    <row r="390" spans="1:6" ht="13.2">
      <c r="A390" t="s">
        <v>2096</v>
      </c>
      <c r="B390">
        <v>345</v>
      </c>
      <c r="C390" s="44">
        <v>1380</v>
      </c>
      <c r="D390" t="s">
        <v>291</v>
      </c>
      <c r="E390" t="s">
        <v>551</v>
      </c>
      <c r="F390">
        <v>4</v>
      </c>
    </row>
    <row r="391" spans="1:6" ht="13.2">
      <c r="A391" t="s">
        <v>2097</v>
      </c>
      <c r="B391">
        <v>345</v>
      </c>
      <c r="C391" s="44">
        <v>1380</v>
      </c>
      <c r="D391" t="s">
        <v>291</v>
      </c>
      <c r="E391" t="s">
        <v>551</v>
      </c>
      <c r="F391">
        <v>4</v>
      </c>
    </row>
    <row r="392" spans="1:6" ht="13.2">
      <c r="A392" t="s">
        <v>2098</v>
      </c>
      <c r="B392">
        <v>345</v>
      </c>
      <c r="C392" s="44">
        <v>1380</v>
      </c>
      <c r="D392" t="s">
        <v>291</v>
      </c>
      <c r="E392" t="s">
        <v>551</v>
      </c>
      <c r="F392">
        <v>4</v>
      </c>
    </row>
    <row r="393" spans="1:6" ht="13.2">
      <c r="A393" t="s">
        <v>2099</v>
      </c>
      <c r="B393">
        <v>345</v>
      </c>
      <c r="C393" s="44">
        <v>1380</v>
      </c>
      <c r="D393" t="s">
        <v>291</v>
      </c>
      <c r="E393" t="s">
        <v>551</v>
      </c>
      <c r="F393">
        <v>4</v>
      </c>
    </row>
    <row r="394" spans="1:6" ht="13.2">
      <c r="A394" t="s">
        <v>2100</v>
      </c>
      <c r="B394">
        <v>345</v>
      </c>
      <c r="C394" s="44">
        <v>1380</v>
      </c>
      <c r="D394" t="s">
        <v>291</v>
      </c>
      <c r="E394" t="s">
        <v>551</v>
      </c>
      <c r="F394">
        <v>4</v>
      </c>
    </row>
    <row r="395" spans="1:4" ht="13.2">
      <c r="A395" t="s">
        <v>4334</v>
      </c>
      <c r="B395">
        <v>0</v>
      </c>
      <c r="C395" s="44" t="s">
        <v>200</v>
      </c>
      <c r="D395" t="s">
        <v>291</v>
      </c>
    </row>
    <row r="396" spans="1:4" ht="13.2">
      <c r="A396" t="s">
        <v>4335</v>
      </c>
      <c r="B396">
        <v>0</v>
      </c>
      <c r="C396" s="44">
        <v>1400</v>
      </c>
      <c r="D396" t="s">
        <v>291</v>
      </c>
    </row>
    <row r="397" spans="1:4" ht="13.2">
      <c r="A397" t="s">
        <v>4336</v>
      </c>
      <c r="B397">
        <v>0</v>
      </c>
      <c r="C397" s="44">
        <v>1400</v>
      </c>
      <c r="D397" t="s">
        <v>291</v>
      </c>
    </row>
    <row r="398" spans="1:4" ht="13.2">
      <c r="A398" t="s">
        <v>4333</v>
      </c>
      <c r="B398">
        <v>0</v>
      </c>
      <c r="C398" s="44" t="s">
        <v>204</v>
      </c>
      <c r="D398" t="s">
        <v>293</v>
      </c>
    </row>
    <row r="399" spans="1:4" ht="13.2">
      <c r="A399" t="s">
        <v>4332</v>
      </c>
      <c r="B399">
        <v>0</v>
      </c>
      <c r="C399" s="44" t="s">
        <v>204</v>
      </c>
      <c r="D399" t="s">
        <v>291</v>
      </c>
    </row>
    <row r="400" spans="1:4" ht="13.2">
      <c r="A400" t="s">
        <v>4326</v>
      </c>
      <c r="B400">
        <v>0</v>
      </c>
      <c r="C400" s="44" t="s">
        <v>204</v>
      </c>
      <c r="D400" t="s">
        <v>293</v>
      </c>
    </row>
    <row r="401" spans="1:4" ht="13.2">
      <c r="A401" t="s">
        <v>4327</v>
      </c>
      <c r="B401">
        <v>0</v>
      </c>
      <c r="C401" s="44" t="s">
        <v>204</v>
      </c>
      <c r="D401" t="s">
        <v>291</v>
      </c>
    </row>
    <row r="402" spans="1:4" ht="13.2">
      <c r="A402" t="s">
        <v>4328</v>
      </c>
      <c r="B402">
        <v>0</v>
      </c>
      <c r="C402" s="44">
        <v>3000</v>
      </c>
      <c r="D402" t="s">
        <v>291</v>
      </c>
    </row>
    <row r="403" spans="1:4" ht="13.2">
      <c r="A403" t="s">
        <v>4329</v>
      </c>
      <c r="B403">
        <v>0</v>
      </c>
      <c r="C403" s="44" t="s">
        <v>204</v>
      </c>
      <c r="D403" t="s">
        <v>293</v>
      </c>
    </row>
    <row r="404" spans="1:4" ht="13.2">
      <c r="A404" t="s">
        <v>4330</v>
      </c>
      <c r="B404">
        <v>0</v>
      </c>
      <c r="C404" s="44">
        <v>3000</v>
      </c>
      <c r="D404" t="s">
        <v>291</v>
      </c>
    </row>
    <row r="405" spans="1:4" ht="13.2">
      <c r="A405" t="s">
        <v>4331</v>
      </c>
      <c r="B405">
        <v>0</v>
      </c>
      <c r="C405" s="44" t="s">
        <v>204</v>
      </c>
      <c r="D405" t="s">
        <v>293</v>
      </c>
    </row>
    <row r="406" spans="1:6" ht="13.2">
      <c r="A406" t="s">
        <v>500</v>
      </c>
      <c r="B406">
        <v>0</v>
      </c>
      <c r="C406" s="44">
        <v>1400</v>
      </c>
      <c r="D406" t="s">
        <v>291</v>
      </c>
      <c r="E406" t="s">
        <v>212</v>
      </c>
      <c r="F406">
        <v>4</v>
      </c>
    </row>
    <row r="407" spans="1:6" ht="13.2">
      <c r="A407" t="s">
        <v>509</v>
      </c>
      <c r="B407">
        <v>0</v>
      </c>
      <c r="C407" s="44">
        <v>1400</v>
      </c>
      <c r="D407" t="s">
        <v>291</v>
      </c>
      <c r="E407" t="s">
        <v>212</v>
      </c>
      <c r="F407">
        <v>4</v>
      </c>
    </row>
    <row r="408" spans="1:6" ht="13.2">
      <c r="A408" t="s">
        <v>508</v>
      </c>
      <c r="B408">
        <v>0</v>
      </c>
      <c r="C408" s="44">
        <v>1400</v>
      </c>
      <c r="D408" t="s">
        <v>291</v>
      </c>
      <c r="E408" t="s">
        <v>212</v>
      </c>
      <c r="F408">
        <v>4</v>
      </c>
    </row>
    <row r="409" spans="1:6" ht="13.2">
      <c r="A409" t="s">
        <v>506</v>
      </c>
      <c r="B409">
        <v>0</v>
      </c>
      <c r="C409" s="44">
        <v>1400</v>
      </c>
      <c r="D409" t="s">
        <v>291</v>
      </c>
      <c r="E409" t="s">
        <v>212</v>
      </c>
      <c r="F409">
        <v>4</v>
      </c>
    </row>
    <row r="410" spans="1:6" ht="13.2">
      <c r="A410" t="s">
        <v>504</v>
      </c>
      <c r="B410">
        <v>0</v>
      </c>
      <c r="C410" s="44">
        <v>1400</v>
      </c>
      <c r="D410" t="s">
        <v>291</v>
      </c>
      <c r="E410" t="s">
        <v>212</v>
      </c>
      <c r="F410">
        <v>4</v>
      </c>
    </row>
    <row r="411" spans="1:6" ht="13.2">
      <c r="A411" t="s">
        <v>501</v>
      </c>
      <c r="B411">
        <v>0</v>
      </c>
      <c r="C411" s="44">
        <v>1400</v>
      </c>
      <c r="D411" t="s">
        <v>291</v>
      </c>
      <c r="E411" t="s">
        <v>212</v>
      </c>
      <c r="F411">
        <v>4</v>
      </c>
    </row>
    <row r="412" spans="1:6" ht="13.2">
      <c r="A412" t="s">
        <v>505</v>
      </c>
      <c r="B412">
        <v>0</v>
      </c>
      <c r="C412" s="44">
        <v>1400</v>
      </c>
      <c r="D412" t="s">
        <v>291</v>
      </c>
      <c r="E412" t="s">
        <v>212</v>
      </c>
      <c r="F412">
        <v>4</v>
      </c>
    </row>
    <row r="413" spans="1:6" ht="13.2">
      <c r="A413" t="s">
        <v>507</v>
      </c>
      <c r="B413">
        <v>0</v>
      </c>
      <c r="C413" s="44">
        <v>1400</v>
      </c>
      <c r="D413" t="s">
        <v>291</v>
      </c>
      <c r="E413" t="s">
        <v>212</v>
      </c>
      <c r="F413">
        <v>4</v>
      </c>
    </row>
    <row r="414" spans="1:6" ht="13.2">
      <c r="A414" t="s">
        <v>502</v>
      </c>
      <c r="B414">
        <v>0</v>
      </c>
      <c r="C414" s="44">
        <v>1400</v>
      </c>
      <c r="D414" t="s">
        <v>291</v>
      </c>
      <c r="E414" t="s">
        <v>212</v>
      </c>
      <c r="F414">
        <v>4</v>
      </c>
    </row>
    <row r="415" spans="1:6" ht="13.2">
      <c r="A415" t="s">
        <v>503</v>
      </c>
      <c r="B415">
        <v>0</v>
      </c>
      <c r="C415" s="44">
        <v>1400</v>
      </c>
      <c r="D415" t="s">
        <v>291</v>
      </c>
      <c r="E415" t="s">
        <v>212</v>
      </c>
      <c r="F415">
        <v>4</v>
      </c>
    </row>
    <row r="416" spans="1:6" ht="13.2">
      <c r="A416" t="s">
        <v>510</v>
      </c>
      <c r="B416">
        <v>0</v>
      </c>
      <c r="C416" s="44">
        <v>1400</v>
      </c>
      <c r="D416" t="s">
        <v>291</v>
      </c>
      <c r="E416" t="s">
        <v>212</v>
      </c>
      <c r="F416">
        <v>4</v>
      </c>
    </row>
    <row r="417" spans="1:6" ht="13.2">
      <c r="A417" t="s">
        <v>1473</v>
      </c>
      <c r="B417">
        <v>0</v>
      </c>
      <c r="C417" s="44">
        <v>3000</v>
      </c>
      <c r="D417" t="s">
        <v>293</v>
      </c>
      <c r="E417" t="s">
        <v>256</v>
      </c>
      <c r="F417">
        <v>4</v>
      </c>
    </row>
    <row r="418" spans="1:6" ht="13.2">
      <c r="A418" t="s">
        <v>1474</v>
      </c>
      <c r="B418">
        <v>0</v>
      </c>
      <c r="C418" s="44">
        <v>3000</v>
      </c>
      <c r="D418" t="s">
        <v>293</v>
      </c>
      <c r="E418" t="s">
        <v>256</v>
      </c>
      <c r="F418">
        <v>4</v>
      </c>
    </row>
    <row r="419" spans="1:6" ht="13.2">
      <c r="A419" t="s">
        <v>1476</v>
      </c>
      <c r="B419">
        <v>0</v>
      </c>
      <c r="C419" s="44">
        <v>3000</v>
      </c>
      <c r="D419" t="s">
        <v>293</v>
      </c>
      <c r="E419" t="s">
        <v>256</v>
      </c>
      <c r="F419">
        <v>4</v>
      </c>
    </row>
    <row r="420" spans="1:6" ht="13.2">
      <c r="A420" t="s">
        <v>1475</v>
      </c>
      <c r="B420">
        <v>0</v>
      </c>
      <c r="C420" s="44">
        <v>3000</v>
      </c>
      <c r="D420" t="s">
        <v>293</v>
      </c>
      <c r="E420" t="s">
        <v>256</v>
      </c>
      <c r="F420">
        <v>4</v>
      </c>
    </row>
    <row r="421" spans="1:6" ht="13.2">
      <c r="A421" t="s">
        <v>986</v>
      </c>
      <c r="B421">
        <v>0</v>
      </c>
      <c r="C421" s="44">
        <v>2700</v>
      </c>
      <c r="D421" t="s">
        <v>293</v>
      </c>
      <c r="E421" t="s">
        <v>256</v>
      </c>
      <c r="F421">
        <v>4</v>
      </c>
    </row>
    <row r="422" spans="1:6" ht="13.2">
      <c r="A422" t="s">
        <v>987</v>
      </c>
      <c r="B422">
        <v>0</v>
      </c>
      <c r="C422" s="44">
        <v>2700</v>
      </c>
      <c r="D422" t="s">
        <v>293</v>
      </c>
      <c r="E422" t="s">
        <v>256</v>
      </c>
      <c r="F422">
        <v>4</v>
      </c>
    </row>
    <row r="423" spans="1:6" ht="13.2">
      <c r="A423" t="s">
        <v>988</v>
      </c>
      <c r="B423">
        <v>0</v>
      </c>
      <c r="C423" s="44">
        <v>2700</v>
      </c>
      <c r="D423" t="s">
        <v>293</v>
      </c>
      <c r="E423" t="s">
        <v>256</v>
      </c>
      <c r="F423">
        <v>4</v>
      </c>
    </row>
    <row r="424" spans="1:6" ht="13.2">
      <c r="A424" t="s">
        <v>989</v>
      </c>
      <c r="B424">
        <v>0</v>
      </c>
      <c r="C424" s="44">
        <v>2700</v>
      </c>
      <c r="D424" t="s">
        <v>293</v>
      </c>
      <c r="E424" t="s">
        <v>256</v>
      </c>
      <c r="F424">
        <v>4</v>
      </c>
    </row>
    <row r="425" spans="1:6" ht="13.2">
      <c r="A425" t="s">
        <v>6308</v>
      </c>
      <c r="B425">
        <v>0</v>
      </c>
      <c r="C425" s="44">
        <v>3200</v>
      </c>
      <c r="D425" t="s">
        <v>293</v>
      </c>
      <c r="E425" t="s">
        <v>256</v>
      </c>
      <c r="F425">
        <v>4</v>
      </c>
    </row>
    <row r="426" spans="1:6" ht="13.2">
      <c r="A426" t="s">
        <v>6308</v>
      </c>
      <c r="B426">
        <v>0</v>
      </c>
      <c r="C426" s="44" t="s">
        <v>201</v>
      </c>
      <c r="D426" t="s">
        <v>291</v>
      </c>
      <c r="E426" t="s">
        <v>256</v>
      </c>
      <c r="F426">
        <v>4</v>
      </c>
    </row>
    <row r="427" spans="1:6" ht="13.2">
      <c r="A427" t="s">
        <v>6301</v>
      </c>
      <c r="B427">
        <v>0</v>
      </c>
      <c r="C427" s="44">
        <v>3200</v>
      </c>
      <c r="D427" t="s">
        <v>293</v>
      </c>
      <c r="E427" t="s">
        <v>256</v>
      </c>
      <c r="F427">
        <v>4</v>
      </c>
    </row>
    <row r="428" spans="1:6" ht="13.2">
      <c r="A428" t="s">
        <v>6301</v>
      </c>
      <c r="B428">
        <v>0</v>
      </c>
      <c r="C428" s="44" t="s">
        <v>201</v>
      </c>
      <c r="D428" t="s">
        <v>291</v>
      </c>
      <c r="E428" t="s">
        <v>256</v>
      </c>
      <c r="F428">
        <v>4</v>
      </c>
    </row>
    <row r="429" spans="1:6" ht="13.2">
      <c r="A429" t="s">
        <v>6300</v>
      </c>
      <c r="B429">
        <v>0</v>
      </c>
      <c r="C429" s="44">
        <v>3200</v>
      </c>
      <c r="D429" t="s">
        <v>293</v>
      </c>
      <c r="E429" t="s">
        <v>256</v>
      </c>
      <c r="F429">
        <v>4</v>
      </c>
    </row>
    <row r="430" spans="1:6" ht="13.2">
      <c r="A430" t="s">
        <v>6300</v>
      </c>
      <c r="B430">
        <v>0</v>
      </c>
      <c r="C430" s="44" t="s">
        <v>201</v>
      </c>
      <c r="D430" t="s">
        <v>291</v>
      </c>
      <c r="E430" t="s">
        <v>256</v>
      </c>
      <c r="F430">
        <v>4</v>
      </c>
    </row>
    <row r="431" spans="1:6" ht="13.2">
      <c r="A431" t="s">
        <v>6302</v>
      </c>
      <c r="B431">
        <v>0</v>
      </c>
      <c r="C431" s="44">
        <v>3200</v>
      </c>
      <c r="D431" t="s">
        <v>293</v>
      </c>
      <c r="E431" t="s">
        <v>256</v>
      </c>
      <c r="F431">
        <v>4</v>
      </c>
    </row>
    <row r="432" spans="1:6" ht="13.2">
      <c r="A432" t="s">
        <v>6302</v>
      </c>
      <c r="B432">
        <v>0</v>
      </c>
      <c r="C432" s="44" t="s">
        <v>201</v>
      </c>
      <c r="D432" t="s">
        <v>291</v>
      </c>
      <c r="E432" t="s">
        <v>256</v>
      </c>
      <c r="F432">
        <v>4</v>
      </c>
    </row>
    <row r="433" spans="1:6" ht="13.2">
      <c r="A433" t="s">
        <v>6305</v>
      </c>
      <c r="B433">
        <v>0</v>
      </c>
      <c r="C433" s="44">
        <v>3200</v>
      </c>
      <c r="D433" t="s">
        <v>293</v>
      </c>
      <c r="E433" t="s">
        <v>256</v>
      </c>
      <c r="F433">
        <v>4</v>
      </c>
    </row>
    <row r="434" spans="1:6" ht="13.2">
      <c r="A434" t="s">
        <v>6305</v>
      </c>
      <c r="B434">
        <v>0</v>
      </c>
      <c r="C434" s="44" t="s">
        <v>201</v>
      </c>
      <c r="D434" t="s">
        <v>291</v>
      </c>
      <c r="E434" t="s">
        <v>256</v>
      </c>
      <c r="F434">
        <v>4</v>
      </c>
    </row>
    <row r="435" spans="1:6" ht="13.2">
      <c r="A435" t="s">
        <v>6303</v>
      </c>
      <c r="B435">
        <v>0</v>
      </c>
      <c r="C435" s="44">
        <v>3200</v>
      </c>
      <c r="D435" t="s">
        <v>293</v>
      </c>
      <c r="E435" t="s">
        <v>256</v>
      </c>
      <c r="F435">
        <v>4</v>
      </c>
    </row>
    <row r="436" spans="1:6" ht="13.2">
      <c r="A436" t="s">
        <v>6303</v>
      </c>
      <c r="B436">
        <v>0</v>
      </c>
      <c r="C436" s="44" t="s">
        <v>201</v>
      </c>
      <c r="D436" t="s">
        <v>291</v>
      </c>
      <c r="E436" t="s">
        <v>256</v>
      </c>
      <c r="F436">
        <v>4</v>
      </c>
    </row>
    <row r="437" spans="1:6" ht="13.2">
      <c r="A437" t="s">
        <v>6304</v>
      </c>
      <c r="B437">
        <v>0</v>
      </c>
      <c r="C437" s="44">
        <v>3200</v>
      </c>
      <c r="D437" t="s">
        <v>293</v>
      </c>
      <c r="E437" t="s">
        <v>256</v>
      </c>
      <c r="F437">
        <v>4</v>
      </c>
    </row>
    <row r="438" spans="1:6" ht="13.2">
      <c r="A438" t="s">
        <v>6304</v>
      </c>
      <c r="B438">
        <v>0</v>
      </c>
      <c r="C438" s="44" t="s">
        <v>201</v>
      </c>
      <c r="D438" t="s">
        <v>291</v>
      </c>
      <c r="E438" t="s">
        <v>256</v>
      </c>
      <c r="F438">
        <v>4</v>
      </c>
    </row>
    <row r="439" spans="1:6" ht="13.2">
      <c r="A439" t="s">
        <v>6306</v>
      </c>
      <c r="B439">
        <v>0</v>
      </c>
      <c r="C439" s="44">
        <v>3200</v>
      </c>
      <c r="D439" t="s">
        <v>293</v>
      </c>
      <c r="E439" t="s">
        <v>256</v>
      </c>
      <c r="F439">
        <v>4</v>
      </c>
    </row>
    <row r="440" spans="1:6" ht="13.2">
      <c r="A440" t="s">
        <v>6306</v>
      </c>
      <c r="B440">
        <v>0</v>
      </c>
      <c r="C440" s="44" t="s">
        <v>201</v>
      </c>
      <c r="D440" t="s">
        <v>291</v>
      </c>
      <c r="E440" t="s">
        <v>256</v>
      </c>
      <c r="F440">
        <v>4</v>
      </c>
    </row>
    <row r="441" spans="1:6" ht="13.2">
      <c r="A441" t="s">
        <v>6307</v>
      </c>
      <c r="B441">
        <v>0</v>
      </c>
      <c r="C441" s="44">
        <v>3200</v>
      </c>
      <c r="D441" t="s">
        <v>293</v>
      </c>
      <c r="E441" t="s">
        <v>256</v>
      </c>
      <c r="F441">
        <v>4</v>
      </c>
    </row>
    <row r="442" spans="1:6" ht="13.2">
      <c r="A442" t="s">
        <v>6307</v>
      </c>
      <c r="B442">
        <v>0</v>
      </c>
      <c r="C442" s="44" t="s">
        <v>201</v>
      </c>
      <c r="D442" t="s">
        <v>291</v>
      </c>
      <c r="E442" t="s">
        <v>256</v>
      </c>
      <c r="F442">
        <v>4</v>
      </c>
    </row>
    <row r="443" spans="1:6" ht="13.2">
      <c r="A443" t="s">
        <v>6309</v>
      </c>
      <c r="B443">
        <v>0</v>
      </c>
      <c r="C443" s="44">
        <v>3200</v>
      </c>
      <c r="D443" t="s">
        <v>293</v>
      </c>
      <c r="E443" t="s">
        <v>256</v>
      </c>
      <c r="F443">
        <v>4</v>
      </c>
    </row>
    <row r="444" spans="1:6" ht="13.2">
      <c r="A444" t="s">
        <v>6309</v>
      </c>
      <c r="B444">
        <v>0</v>
      </c>
      <c r="C444" s="44" t="s">
        <v>201</v>
      </c>
      <c r="D444" t="s">
        <v>291</v>
      </c>
      <c r="E444" t="s">
        <v>256</v>
      </c>
      <c r="F444">
        <v>4</v>
      </c>
    </row>
    <row r="445" spans="1:6" ht="13.2">
      <c r="A445" t="s">
        <v>6310</v>
      </c>
      <c r="B445">
        <v>0</v>
      </c>
      <c r="C445" s="44">
        <v>3200</v>
      </c>
      <c r="D445" t="s">
        <v>293</v>
      </c>
      <c r="E445" t="s">
        <v>256</v>
      </c>
      <c r="F445">
        <v>4</v>
      </c>
    </row>
    <row r="446" spans="1:6" ht="13.2">
      <c r="A446" t="s">
        <v>6310</v>
      </c>
      <c r="B446">
        <v>0</v>
      </c>
      <c r="C446" s="44" t="s">
        <v>201</v>
      </c>
      <c r="D446" t="s">
        <v>291</v>
      </c>
      <c r="E446" t="s">
        <v>256</v>
      </c>
      <c r="F446">
        <v>4</v>
      </c>
    </row>
    <row r="447" spans="1:6" ht="13.2">
      <c r="A447" t="s">
        <v>990</v>
      </c>
      <c r="B447">
        <v>0</v>
      </c>
      <c r="C447" s="44" t="s">
        <v>201</v>
      </c>
      <c r="D447" s="45" t="s">
        <v>293</v>
      </c>
      <c r="E447" t="s">
        <v>212</v>
      </c>
      <c r="F447">
        <v>4</v>
      </c>
    </row>
    <row r="448" spans="1:6" ht="13.2">
      <c r="A448" t="s">
        <v>990</v>
      </c>
      <c r="B448">
        <v>0</v>
      </c>
      <c r="C448" s="44">
        <v>3200</v>
      </c>
      <c r="D448" t="s">
        <v>293</v>
      </c>
      <c r="E448" t="s">
        <v>212</v>
      </c>
      <c r="F448">
        <v>4</v>
      </c>
    </row>
    <row r="449" spans="1:6" ht="13.2">
      <c r="A449" t="s">
        <v>991</v>
      </c>
      <c r="B449">
        <v>0</v>
      </c>
      <c r="C449" s="44" t="s">
        <v>201</v>
      </c>
      <c r="D449" s="45" t="s">
        <v>293</v>
      </c>
      <c r="E449" t="s">
        <v>212</v>
      </c>
      <c r="F449">
        <v>4</v>
      </c>
    </row>
    <row r="450" spans="1:6" ht="13.2">
      <c r="A450" t="s">
        <v>991</v>
      </c>
      <c r="B450">
        <v>0</v>
      </c>
      <c r="C450" s="44">
        <v>3200</v>
      </c>
      <c r="D450" t="s">
        <v>293</v>
      </c>
      <c r="E450" t="s">
        <v>212</v>
      </c>
      <c r="F450">
        <v>4</v>
      </c>
    </row>
    <row r="451" spans="1:6" ht="13.2">
      <c r="A451" t="s">
        <v>5320</v>
      </c>
      <c r="B451">
        <v>70</v>
      </c>
      <c r="C451" s="44">
        <v>3000</v>
      </c>
      <c r="D451" t="s">
        <v>293</v>
      </c>
      <c r="E451" t="s">
        <v>256</v>
      </c>
      <c r="F451" t="s">
        <v>280</v>
      </c>
    </row>
    <row r="452" spans="1:6" ht="13.2">
      <c r="A452" t="s">
        <v>5322</v>
      </c>
      <c r="B452">
        <v>70</v>
      </c>
      <c r="C452" s="44">
        <v>3000</v>
      </c>
      <c r="D452" t="s">
        <v>293</v>
      </c>
      <c r="E452" t="s">
        <v>256</v>
      </c>
      <c r="F452" t="s">
        <v>280</v>
      </c>
    </row>
    <row r="453" spans="1:6" ht="13.2">
      <c r="A453" t="s">
        <v>5321</v>
      </c>
      <c r="B453">
        <v>70</v>
      </c>
      <c r="C453" s="44">
        <v>3000</v>
      </c>
      <c r="D453" t="s">
        <v>293</v>
      </c>
      <c r="E453" t="s">
        <v>256</v>
      </c>
      <c r="F453" t="s">
        <v>280</v>
      </c>
    </row>
    <row r="454" spans="1:6" ht="13.2">
      <c r="A454" t="s">
        <v>5317</v>
      </c>
      <c r="B454">
        <v>70</v>
      </c>
      <c r="C454" s="44">
        <v>3000</v>
      </c>
      <c r="D454" t="s">
        <v>293</v>
      </c>
      <c r="E454" t="s">
        <v>256</v>
      </c>
      <c r="F454" t="s">
        <v>280</v>
      </c>
    </row>
    <row r="455" spans="1:6" ht="13.2">
      <c r="A455" t="s">
        <v>5319</v>
      </c>
      <c r="B455">
        <v>70</v>
      </c>
      <c r="C455" s="44">
        <v>3000</v>
      </c>
      <c r="D455" t="s">
        <v>293</v>
      </c>
      <c r="E455" t="s">
        <v>256</v>
      </c>
      <c r="F455" t="s">
        <v>280</v>
      </c>
    </row>
    <row r="456" spans="1:6" ht="13.2">
      <c r="A456" t="s">
        <v>5315</v>
      </c>
      <c r="B456">
        <v>70</v>
      </c>
      <c r="C456" s="44">
        <v>3000</v>
      </c>
      <c r="D456" t="s">
        <v>293</v>
      </c>
      <c r="E456" t="s">
        <v>256</v>
      </c>
      <c r="F456" t="s">
        <v>280</v>
      </c>
    </row>
    <row r="457" spans="1:6" ht="13.2">
      <c r="A457" t="s">
        <v>5316</v>
      </c>
      <c r="B457">
        <v>70</v>
      </c>
      <c r="C457" s="44">
        <v>3000</v>
      </c>
      <c r="D457" t="s">
        <v>293</v>
      </c>
      <c r="E457" t="s">
        <v>256</v>
      </c>
      <c r="F457" t="s">
        <v>280</v>
      </c>
    </row>
    <row r="458" spans="1:6" ht="13.2">
      <c r="A458" t="s">
        <v>5318</v>
      </c>
      <c r="B458">
        <v>70</v>
      </c>
      <c r="C458" s="44">
        <v>3000</v>
      </c>
      <c r="D458" t="s">
        <v>293</v>
      </c>
      <c r="E458" t="s">
        <v>256</v>
      </c>
      <c r="F458" t="s">
        <v>280</v>
      </c>
    </row>
    <row r="459" spans="1:6" ht="13.2">
      <c r="A459" t="s">
        <v>5323</v>
      </c>
      <c r="B459">
        <v>70</v>
      </c>
      <c r="C459" s="44">
        <v>3000</v>
      </c>
      <c r="D459" t="s">
        <v>293</v>
      </c>
      <c r="E459" t="s">
        <v>256</v>
      </c>
      <c r="F459" t="s">
        <v>280</v>
      </c>
    </row>
    <row r="460" spans="1:6" ht="13.2">
      <c r="A460" t="s">
        <v>4417</v>
      </c>
      <c r="B460">
        <v>0</v>
      </c>
      <c r="C460" s="44">
        <v>1500</v>
      </c>
      <c r="D460" t="s">
        <v>291</v>
      </c>
      <c r="E460" t="s">
        <v>256</v>
      </c>
      <c r="F460">
        <v>4</v>
      </c>
    </row>
    <row r="461" spans="1:6" ht="13.2">
      <c r="A461" t="s">
        <v>4428</v>
      </c>
      <c r="B461">
        <v>0</v>
      </c>
      <c r="C461" s="44">
        <v>1500</v>
      </c>
      <c r="D461" t="s">
        <v>291</v>
      </c>
      <c r="E461" t="s">
        <v>256</v>
      </c>
      <c r="F461">
        <v>4</v>
      </c>
    </row>
    <row r="462" spans="1:6" ht="13.2">
      <c r="A462" t="s">
        <v>4425</v>
      </c>
      <c r="B462">
        <v>0</v>
      </c>
      <c r="C462" s="44">
        <v>1500</v>
      </c>
      <c r="D462" t="s">
        <v>291</v>
      </c>
      <c r="E462" t="s">
        <v>256</v>
      </c>
      <c r="F462">
        <v>4</v>
      </c>
    </row>
    <row r="463" spans="1:6" ht="13.2">
      <c r="A463" t="s">
        <v>4418</v>
      </c>
      <c r="B463">
        <v>0</v>
      </c>
      <c r="C463" s="44">
        <v>1500</v>
      </c>
      <c r="D463" t="s">
        <v>291</v>
      </c>
      <c r="E463" t="s">
        <v>256</v>
      </c>
      <c r="F463">
        <v>4</v>
      </c>
    </row>
    <row r="464" spans="1:6" ht="13.2">
      <c r="A464" t="s">
        <v>4414</v>
      </c>
      <c r="B464">
        <v>0</v>
      </c>
      <c r="C464" s="44">
        <v>1500</v>
      </c>
      <c r="D464" t="s">
        <v>291</v>
      </c>
      <c r="E464" t="s">
        <v>256</v>
      </c>
      <c r="F464">
        <v>4</v>
      </c>
    </row>
    <row r="465" spans="1:6" ht="13.2">
      <c r="A465" t="s">
        <v>4424</v>
      </c>
      <c r="B465">
        <v>0</v>
      </c>
      <c r="C465" s="44">
        <v>1500</v>
      </c>
      <c r="D465" t="s">
        <v>291</v>
      </c>
      <c r="E465" t="s">
        <v>256</v>
      </c>
      <c r="F465">
        <v>4</v>
      </c>
    </row>
    <row r="466" spans="1:6" ht="13.2">
      <c r="A466" t="s">
        <v>4415</v>
      </c>
      <c r="B466">
        <v>0</v>
      </c>
      <c r="C466" s="44">
        <v>1500</v>
      </c>
      <c r="D466" t="s">
        <v>291</v>
      </c>
      <c r="E466" t="s">
        <v>256</v>
      </c>
      <c r="F466">
        <v>4</v>
      </c>
    </row>
    <row r="467" spans="1:6" ht="13.2">
      <c r="A467" t="s">
        <v>4426</v>
      </c>
      <c r="B467">
        <v>0</v>
      </c>
      <c r="C467" s="44">
        <v>1500</v>
      </c>
      <c r="D467" t="s">
        <v>291</v>
      </c>
      <c r="E467" t="s">
        <v>256</v>
      </c>
      <c r="F467">
        <v>4</v>
      </c>
    </row>
    <row r="468" spans="1:6" ht="13.2">
      <c r="A468" t="s">
        <v>4421</v>
      </c>
      <c r="B468">
        <v>0</v>
      </c>
      <c r="C468" s="44">
        <v>1500</v>
      </c>
      <c r="D468" t="s">
        <v>291</v>
      </c>
      <c r="E468" t="s">
        <v>256</v>
      </c>
      <c r="F468">
        <v>4</v>
      </c>
    </row>
    <row r="469" spans="1:6" ht="13.2">
      <c r="A469" t="s">
        <v>4422</v>
      </c>
      <c r="B469">
        <v>0</v>
      </c>
      <c r="C469" s="44">
        <v>1500</v>
      </c>
      <c r="D469" t="s">
        <v>291</v>
      </c>
      <c r="E469" t="s">
        <v>256</v>
      </c>
      <c r="F469">
        <v>4</v>
      </c>
    </row>
    <row r="470" spans="1:6" ht="13.2">
      <c r="A470" t="s">
        <v>4423</v>
      </c>
      <c r="B470">
        <v>0</v>
      </c>
      <c r="C470" s="44">
        <v>1500</v>
      </c>
      <c r="D470" t="s">
        <v>291</v>
      </c>
      <c r="E470" t="s">
        <v>256</v>
      </c>
      <c r="F470">
        <v>4</v>
      </c>
    </row>
    <row r="471" spans="1:6" ht="13.2">
      <c r="A471" t="s">
        <v>4420</v>
      </c>
      <c r="B471">
        <v>0</v>
      </c>
      <c r="C471" s="44">
        <v>1500</v>
      </c>
      <c r="D471" t="s">
        <v>291</v>
      </c>
      <c r="E471" t="s">
        <v>256</v>
      </c>
      <c r="F471">
        <v>4</v>
      </c>
    </row>
    <row r="472" spans="1:6" ht="13.2">
      <c r="A472" t="s">
        <v>4427</v>
      </c>
      <c r="B472">
        <v>0</v>
      </c>
      <c r="C472" s="44">
        <v>1500</v>
      </c>
      <c r="D472" t="s">
        <v>291</v>
      </c>
      <c r="E472" t="s">
        <v>256</v>
      </c>
      <c r="F472">
        <v>4</v>
      </c>
    </row>
    <row r="473" spans="1:6" ht="13.2">
      <c r="A473" t="s">
        <v>4416</v>
      </c>
      <c r="B473">
        <v>0</v>
      </c>
      <c r="C473" s="44">
        <v>1500</v>
      </c>
      <c r="D473" t="s">
        <v>291</v>
      </c>
      <c r="E473" t="s">
        <v>256</v>
      </c>
      <c r="F473">
        <v>4</v>
      </c>
    </row>
    <row r="474" spans="1:6" ht="13.2">
      <c r="A474" t="s">
        <v>4445</v>
      </c>
      <c r="B474">
        <v>0</v>
      </c>
      <c r="C474" s="44">
        <v>1480</v>
      </c>
      <c r="D474" t="s">
        <v>291</v>
      </c>
      <c r="E474" t="s">
        <v>212</v>
      </c>
      <c r="F474">
        <v>4</v>
      </c>
    </row>
    <row r="475" spans="1:6" ht="13.2">
      <c r="A475" t="s">
        <v>4419</v>
      </c>
      <c r="B475">
        <v>0</v>
      </c>
      <c r="C475" s="44">
        <v>1500</v>
      </c>
      <c r="D475" t="s">
        <v>291</v>
      </c>
      <c r="E475" t="s">
        <v>256</v>
      </c>
      <c r="F475">
        <v>4</v>
      </c>
    </row>
    <row r="476" spans="1:6" ht="13.2">
      <c r="A476" t="s">
        <v>1464</v>
      </c>
      <c r="B476">
        <v>0</v>
      </c>
      <c r="C476" s="44">
        <v>3200</v>
      </c>
      <c r="D476" t="s">
        <v>293</v>
      </c>
      <c r="E476" t="s">
        <v>256</v>
      </c>
      <c r="F476">
        <v>4</v>
      </c>
    </row>
    <row r="477" spans="1:6" ht="13.2">
      <c r="A477" t="s">
        <v>1467</v>
      </c>
      <c r="B477">
        <v>0</v>
      </c>
      <c r="C477" s="44">
        <v>3200</v>
      </c>
      <c r="D477" t="s">
        <v>293</v>
      </c>
      <c r="E477" t="s">
        <v>256</v>
      </c>
      <c r="F477">
        <v>4</v>
      </c>
    </row>
    <row r="478" spans="1:6" ht="13.2">
      <c r="A478" t="s">
        <v>1471</v>
      </c>
      <c r="B478">
        <v>0</v>
      </c>
      <c r="C478" s="44">
        <v>3200</v>
      </c>
      <c r="D478" t="s">
        <v>293</v>
      </c>
      <c r="E478" t="s">
        <v>256</v>
      </c>
      <c r="F478">
        <v>4</v>
      </c>
    </row>
    <row r="479" spans="1:6" ht="13.2">
      <c r="A479" t="s">
        <v>1470</v>
      </c>
      <c r="B479">
        <v>0</v>
      </c>
      <c r="C479" s="44">
        <v>3200</v>
      </c>
      <c r="D479" t="s">
        <v>293</v>
      </c>
      <c r="E479" t="s">
        <v>256</v>
      </c>
      <c r="F479">
        <v>4</v>
      </c>
    </row>
    <row r="480" spans="1:6" ht="13.2">
      <c r="A480" t="s">
        <v>1468</v>
      </c>
      <c r="B480">
        <v>0</v>
      </c>
      <c r="C480" s="44">
        <v>3200</v>
      </c>
      <c r="D480" t="s">
        <v>293</v>
      </c>
      <c r="E480" t="s">
        <v>256</v>
      </c>
      <c r="F480">
        <v>4</v>
      </c>
    </row>
    <row r="481" spans="1:6" ht="13.2">
      <c r="A481" t="s">
        <v>1469</v>
      </c>
      <c r="B481">
        <v>0</v>
      </c>
      <c r="C481" s="44">
        <v>3200</v>
      </c>
      <c r="D481" t="s">
        <v>293</v>
      </c>
      <c r="E481" t="s">
        <v>256</v>
      </c>
      <c r="F481">
        <v>4</v>
      </c>
    </row>
    <row r="482" spans="1:6" ht="13.2">
      <c r="A482" t="s">
        <v>1465</v>
      </c>
      <c r="B482">
        <v>0</v>
      </c>
      <c r="C482" s="44">
        <v>3200</v>
      </c>
      <c r="D482" t="s">
        <v>293</v>
      </c>
      <c r="E482" t="s">
        <v>256</v>
      </c>
      <c r="F482">
        <v>4</v>
      </c>
    </row>
    <row r="483" spans="1:6" ht="13.2">
      <c r="A483" t="s">
        <v>1463</v>
      </c>
      <c r="B483">
        <v>0</v>
      </c>
      <c r="C483" s="44">
        <v>3200</v>
      </c>
      <c r="D483" t="s">
        <v>293</v>
      </c>
      <c r="E483" t="s">
        <v>256</v>
      </c>
      <c r="F483">
        <v>4</v>
      </c>
    </row>
    <row r="484" spans="1:6" ht="13.2">
      <c r="A484" t="s">
        <v>1472</v>
      </c>
      <c r="B484">
        <v>0</v>
      </c>
      <c r="C484" s="44">
        <v>3200</v>
      </c>
      <c r="D484" t="s">
        <v>293</v>
      </c>
      <c r="E484" t="s">
        <v>256</v>
      </c>
      <c r="F484">
        <v>4</v>
      </c>
    </row>
    <row r="485" spans="1:6" ht="13.2">
      <c r="A485" t="s">
        <v>1466</v>
      </c>
      <c r="B485">
        <v>0</v>
      </c>
      <c r="C485" s="44">
        <v>3200</v>
      </c>
      <c r="D485" t="s">
        <v>293</v>
      </c>
      <c r="E485" t="s">
        <v>256</v>
      </c>
      <c r="F485">
        <v>4</v>
      </c>
    </row>
    <row r="486" spans="1:6" ht="13.2">
      <c r="A486" t="s">
        <v>992</v>
      </c>
      <c r="B486">
        <v>190</v>
      </c>
      <c r="C486" s="44">
        <v>3000</v>
      </c>
      <c r="D486" t="s">
        <v>293</v>
      </c>
      <c r="E486" t="s">
        <v>256</v>
      </c>
      <c r="F486">
        <v>4</v>
      </c>
    </row>
    <row r="487" spans="1:6" ht="13.2">
      <c r="A487" t="s">
        <v>993</v>
      </c>
      <c r="B487">
        <v>190</v>
      </c>
      <c r="C487" s="44">
        <v>3000</v>
      </c>
      <c r="D487" t="s">
        <v>293</v>
      </c>
      <c r="E487" t="s">
        <v>256</v>
      </c>
      <c r="F487">
        <v>4</v>
      </c>
    </row>
    <row r="488" spans="1:6" ht="13.2">
      <c r="A488" t="s">
        <v>994</v>
      </c>
      <c r="B488">
        <v>190</v>
      </c>
      <c r="C488" s="44">
        <v>3000</v>
      </c>
      <c r="D488" t="s">
        <v>293</v>
      </c>
      <c r="E488" t="s">
        <v>256</v>
      </c>
      <c r="F488">
        <v>4</v>
      </c>
    </row>
    <row r="489" spans="1:6" ht="13.2">
      <c r="A489" t="s">
        <v>2049</v>
      </c>
      <c r="B489">
        <v>155</v>
      </c>
      <c r="C489" s="44">
        <v>3000</v>
      </c>
      <c r="D489" t="s">
        <v>293</v>
      </c>
      <c r="E489" t="s">
        <v>256</v>
      </c>
      <c r="F489">
        <v>4</v>
      </c>
    </row>
    <row r="490" spans="1:6" ht="13.2">
      <c r="A490" t="s">
        <v>2050</v>
      </c>
      <c r="B490">
        <v>155</v>
      </c>
      <c r="C490" s="44">
        <v>3000</v>
      </c>
      <c r="D490" t="s">
        <v>293</v>
      </c>
      <c r="E490" t="s">
        <v>256</v>
      </c>
      <c r="F490">
        <v>4</v>
      </c>
    </row>
    <row r="491" spans="1:6" ht="13.2">
      <c r="A491" t="s">
        <v>2051</v>
      </c>
      <c r="B491">
        <v>155</v>
      </c>
      <c r="C491" s="44">
        <v>3000</v>
      </c>
      <c r="D491" t="s">
        <v>293</v>
      </c>
      <c r="E491" t="s">
        <v>256</v>
      </c>
      <c r="F491">
        <v>4</v>
      </c>
    </row>
    <row r="492" spans="1:6" ht="13.2">
      <c r="A492" t="s">
        <v>2052</v>
      </c>
      <c r="B492">
        <v>155</v>
      </c>
      <c r="C492" s="44">
        <v>3000</v>
      </c>
      <c r="D492" t="s">
        <v>293</v>
      </c>
      <c r="E492" t="s">
        <v>256</v>
      </c>
      <c r="F492">
        <v>4</v>
      </c>
    </row>
    <row r="493" spans="1:6" ht="13.2">
      <c r="A493" t="s">
        <v>2053</v>
      </c>
      <c r="B493">
        <v>155</v>
      </c>
      <c r="C493" s="44">
        <v>3000</v>
      </c>
      <c r="D493" t="s">
        <v>293</v>
      </c>
      <c r="E493" t="s">
        <v>256</v>
      </c>
      <c r="F493">
        <v>4</v>
      </c>
    </row>
    <row r="494" spans="1:6" ht="13.2">
      <c r="A494" t="s">
        <v>2054</v>
      </c>
      <c r="B494">
        <v>155</v>
      </c>
      <c r="C494" s="44">
        <v>3000</v>
      </c>
      <c r="D494" t="s">
        <v>293</v>
      </c>
      <c r="E494" t="s">
        <v>256</v>
      </c>
      <c r="F494">
        <v>4</v>
      </c>
    </row>
    <row r="495" spans="1:6" ht="13.2">
      <c r="A495" t="s">
        <v>2055</v>
      </c>
      <c r="B495">
        <v>155</v>
      </c>
      <c r="C495" s="44">
        <v>3000</v>
      </c>
      <c r="D495" t="s">
        <v>293</v>
      </c>
      <c r="E495" t="s">
        <v>256</v>
      </c>
      <c r="F495">
        <v>4</v>
      </c>
    </row>
    <row r="496" spans="1:6" ht="13.2">
      <c r="A496" t="s">
        <v>2056</v>
      </c>
      <c r="B496">
        <v>155</v>
      </c>
      <c r="C496" s="44">
        <v>3000</v>
      </c>
      <c r="D496" t="s">
        <v>293</v>
      </c>
      <c r="E496" t="s">
        <v>256</v>
      </c>
      <c r="F496">
        <v>4</v>
      </c>
    </row>
    <row r="497" spans="1:6" ht="13.2">
      <c r="A497" t="s">
        <v>2057</v>
      </c>
      <c r="B497">
        <v>155</v>
      </c>
      <c r="C497" s="44">
        <v>3000</v>
      </c>
      <c r="D497" t="s">
        <v>293</v>
      </c>
      <c r="E497" t="s">
        <v>256</v>
      </c>
      <c r="F497">
        <v>4</v>
      </c>
    </row>
    <row r="498" spans="1:6" ht="13.2">
      <c r="A498" t="s">
        <v>2058</v>
      </c>
      <c r="B498">
        <v>155</v>
      </c>
      <c r="C498" s="44">
        <v>3000</v>
      </c>
      <c r="D498" t="s">
        <v>293</v>
      </c>
      <c r="E498" t="s">
        <v>256</v>
      </c>
      <c r="F498">
        <v>4</v>
      </c>
    </row>
    <row r="499" spans="1:6" ht="13.2">
      <c r="A499" t="s">
        <v>2059</v>
      </c>
      <c r="B499">
        <v>155</v>
      </c>
      <c r="C499" s="44">
        <v>3000</v>
      </c>
      <c r="D499" t="s">
        <v>293</v>
      </c>
      <c r="E499" t="s">
        <v>256</v>
      </c>
      <c r="F499">
        <v>4</v>
      </c>
    </row>
    <row r="500" spans="1:6" ht="13.2">
      <c r="A500" t="s">
        <v>2060</v>
      </c>
      <c r="B500">
        <v>155</v>
      </c>
      <c r="C500" s="44">
        <v>3000</v>
      </c>
      <c r="D500" t="s">
        <v>293</v>
      </c>
      <c r="E500" t="s">
        <v>256</v>
      </c>
      <c r="F500">
        <v>4</v>
      </c>
    </row>
    <row r="501" spans="1:6" ht="13.2">
      <c r="A501" t="s">
        <v>2061</v>
      </c>
      <c r="B501">
        <v>155</v>
      </c>
      <c r="C501" s="44">
        <v>3000</v>
      </c>
      <c r="D501" t="s">
        <v>293</v>
      </c>
      <c r="E501" t="s">
        <v>256</v>
      </c>
      <c r="F501">
        <v>4</v>
      </c>
    </row>
    <row r="502" spans="1:6" ht="13.2">
      <c r="A502" t="s">
        <v>2062</v>
      </c>
      <c r="B502">
        <v>155</v>
      </c>
      <c r="C502" s="44">
        <v>3000</v>
      </c>
      <c r="D502" t="s">
        <v>293</v>
      </c>
      <c r="E502" t="s">
        <v>256</v>
      </c>
      <c r="F502">
        <v>4</v>
      </c>
    </row>
    <row r="503" spans="1:6" ht="13.2">
      <c r="A503" t="s">
        <v>2063</v>
      </c>
      <c r="B503">
        <v>155</v>
      </c>
      <c r="C503" s="44">
        <v>3000</v>
      </c>
      <c r="D503" t="s">
        <v>293</v>
      </c>
      <c r="E503" t="s">
        <v>256</v>
      </c>
      <c r="F503">
        <v>4</v>
      </c>
    </row>
    <row r="504" spans="1:6" ht="13.2">
      <c r="A504" t="s">
        <v>2066</v>
      </c>
      <c r="B504">
        <v>155</v>
      </c>
      <c r="C504" s="44">
        <v>3000</v>
      </c>
      <c r="D504" t="s">
        <v>293</v>
      </c>
      <c r="E504" t="s">
        <v>256</v>
      </c>
      <c r="F504">
        <v>4</v>
      </c>
    </row>
    <row r="505" spans="1:6" ht="13.2">
      <c r="A505" t="s">
        <v>2064</v>
      </c>
      <c r="B505">
        <v>155</v>
      </c>
      <c r="C505" s="44">
        <v>3000</v>
      </c>
      <c r="D505" t="s">
        <v>293</v>
      </c>
      <c r="E505" t="s">
        <v>256</v>
      </c>
      <c r="F505">
        <v>4</v>
      </c>
    </row>
    <row r="506" spans="1:6" ht="13.2">
      <c r="A506" t="s">
        <v>2065</v>
      </c>
      <c r="B506">
        <v>155</v>
      </c>
      <c r="C506" s="44">
        <v>3000</v>
      </c>
      <c r="D506" t="s">
        <v>293</v>
      </c>
      <c r="E506" t="s">
        <v>256</v>
      </c>
      <c r="F506">
        <v>4</v>
      </c>
    </row>
    <row r="507" spans="1:6" ht="13.2">
      <c r="A507" t="s">
        <v>995</v>
      </c>
      <c r="B507">
        <v>0</v>
      </c>
      <c r="C507" s="44" t="s">
        <v>201</v>
      </c>
      <c r="D507" s="45" t="s">
        <v>297</v>
      </c>
      <c r="E507" t="s">
        <v>212</v>
      </c>
      <c r="F507">
        <v>4</v>
      </c>
    </row>
    <row r="508" spans="1:6" ht="13.2">
      <c r="A508" t="s">
        <v>996</v>
      </c>
      <c r="B508">
        <v>0</v>
      </c>
      <c r="C508" s="44" t="s">
        <v>201</v>
      </c>
      <c r="D508" s="45" t="s">
        <v>293</v>
      </c>
      <c r="E508" t="s">
        <v>212</v>
      </c>
      <c r="F508">
        <v>4</v>
      </c>
    </row>
    <row r="509" spans="1:6" ht="13.2">
      <c r="A509" t="s">
        <v>997</v>
      </c>
      <c r="B509">
        <v>0</v>
      </c>
      <c r="C509" s="44" t="s">
        <v>201</v>
      </c>
      <c r="D509" s="45" t="s">
        <v>293</v>
      </c>
      <c r="E509" t="s">
        <v>212</v>
      </c>
      <c r="F509">
        <v>4</v>
      </c>
    </row>
    <row r="510" spans="1:6" ht="13.2">
      <c r="A510" t="s">
        <v>998</v>
      </c>
      <c r="B510">
        <v>0</v>
      </c>
      <c r="C510" s="44" t="s">
        <v>201</v>
      </c>
      <c r="D510" s="45" t="s">
        <v>293</v>
      </c>
      <c r="E510" t="s">
        <v>212</v>
      </c>
      <c r="F510">
        <v>4</v>
      </c>
    </row>
    <row r="511" spans="1:6" ht="13.2">
      <c r="A511" t="s">
        <v>999</v>
      </c>
      <c r="B511">
        <v>0</v>
      </c>
      <c r="C511" s="44" t="s">
        <v>201</v>
      </c>
      <c r="D511" s="45" t="s">
        <v>293</v>
      </c>
      <c r="E511" t="s">
        <v>212</v>
      </c>
      <c r="F511">
        <v>4</v>
      </c>
    </row>
    <row r="512" spans="1:6" ht="13.2">
      <c r="A512" t="s">
        <v>1000</v>
      </c>
      <c r="B512">
        <v>0</v>
      </c>
      <c r="C512" s="44" t="s">
        <v>201</v>
      </c>
      <c r="D512" s="45" t="s">
        <v>293</v>
      </c>
      <c r="E512" t="s">
        <v>212</v>
      </c>
      <c r="F512">
        <v>4</v>
      </c>
    </row>
    <row r="513" spans="1:6" ht="13.2">
      <c r="A513" t="s">
        <v>1001</v>
      </c>
      <c r="B513">
        <v>0</v>
      </c>
      <c r="C513" s="44" t="s">
        <v>201</v>
      </c>
      <c r="D513" s="45" t="s">
        <v>293</v>
      </c>
      <c r="E513" t="s">
        <v>212</v>
      </c>
      <c r="F513">
        <v>4</v>
      </c>
    </row>
    <row r="514" spans="1:6" ht="13.2">
      <c r="A514" t="s">
        <v>1002</v>
      </c>
      <c r="B514">
        <v>0</v>
      </c>
      <c r="C514" s="44" t="s">
        <v>201</v>
      </c>
      <c r="D514" s="45" t="s">
        <v>293</v>
      </c>
      <c r="E514" t="s">
        <v>212</v>
      </c>
      <c r="F514">
        <v>4</v>
      </c>
    </row>
    <row r="515" spans="1:69" s="66" customFormat="1" ht="13.2">
      <c r="A515" t="s">
        <v>1003</v>
      </c>
      <c r="B515">
        <v>0</v>
      </c>
      <c r="C515" s="44" t="s">
        <v>201</v>
      </c>
      <c r="D515" s="45" t="s">
        <v>293</v>
      </c>
      <c r="E515" t="s">
        <v>212</v>
      </c>
      <c r="F515">
        <v>4</v>
      </c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</row>
    <row r="516" spans="1:6" ht="13.2">
      <c r="A516" t="s">
        <v>1004</v>
      </c>
      <c r="B516">
        <v>0</v>
      </c>
      <c r="C516" s="44" t="s">
        <v>201</v>
      </c>
      <c r="D516" s="45" t="s">
        <v>293</v>
      </c>
      <c r="E516" t="s">
        <v>212</v>
      </c>
      <c r="F516">
        <v>4</v>
      </c>
    </row>
    <row r="517" spans="1:6" ht="13.2">
      <c r="A517" t="s">
        <v>1005</v>
      </c>
      <c r="B517">
        <v>0</v>
      </c>
      <c r="C517" s="44" t="s">
        <v>208</v>
      </c>
      <c r="D517" s="45" t="s">
        <v>293</v>
      </c>
      <c r="E517" t="s">
        <v>212</v>
      </c>
      <c r="F517">
        <v>4</v>
      </c>
    </row>
    <row r="518" spans="1:6" ht="13.2">
      <c r="A518" t="s">
        <v>1006</v>
      </c>
      <c r="B518">
        <v>0</v>
      </c>
      <c r="C518" s="44" t="s">
        <v>208</v>
      </c>
      <c r="D518" s="45" t="s">
        <v>293</v>
      </c>
      <c r="E518" t="s">
        <v>212</v>
      </c>
      <c r="F518">
        <v>4</v>
      </c>
    </row>
    <row r="519" spans="1:6" ht="13.2">
      <c r="A519" t="s">
        <v>1007</v>
      </c>
      <c r="B519">
        <v>0</v>
      </c>
      <c r="C519" s="44" t="s">
        <v>208</v>
      </c>
      <c r="D519" s="45" t="s">
        <v>293</v>
      </c>
      <c r="E519" t="s">
        <v>212</v>
      </c>
      <c r="F519">
        <v>4</v>
      </c>
    </row>
    <row r="520" spans="1:6" ht="13.2">
      <c r="A520" t="s">
        <v>1008</v>
      </c>
      <c r="B520">
        <v>0</v>
      </c>
      <c r="C520" s="44" t="s">
        <v>208</v>
      </c>
      <c r="D520" s="45" t="s">
        <v>293</v>
      </c>
      <c r="E520" t="s">
        <v>212</v>
      </c>
      <c r="F520">
        <v>4</v>
      </c>
    </row>
    <row r="521" spans="1:6" ht="13.2">
      <c r="A521" t="s">
        <v>3730</v>
      </c>
      <c r="B521">
        <v>0</v>
      </c>
      <c r="C521" s="44">
        <v>1500</v>
      </c>
      <c r="D521" t="s">
        <v>291</v>
      </c>
      <c r="E521" t="s">
        <v>256</v>
      </c>
      <c r="F521">
        <v>11</v>
      </c>
    </row>
    <row r="522" spans="1:6" ht="13.2">
      <c r="A522" t="s">
        <v>3729</v>
      </c>
      <c r="B522">
        <v>0</v>
      </c>
      <c r="C522" s="44">
        <v>1500</v>
      </c>
      <c r="D522" t="s">
        <v>291</v>
      </c>
      <c r="E522" t="s">
        <v>256</v>
      </c>
      <c r="F522">
        <v>11</v>
      </c>
    </row>
    <row r="523" spans="1:6" ht="13.2">
      <c r="A523" t="s">
        <v>3731</v>
      </c>
      <c r="B523">
        <v>0</v>
      </c>
      <c r="C523" s="44">
        <v>1500</v>
      </c>
      <c r="D523" t="s">
        <v>291</v>
      </c>
      <c r="E523" t="s">
        <v>256</v>
      </c>
      <c r="F523">
        <v>11</v>
      </c>
    </row>
    <row r="524" spans="1:6" ht="13.2">
      <c r="A524" t="s">
        <v>3728</v>
      </c>
      <c r="B524">
        <v>0</v>
      </c>
      <c r="C524" s="44">
        <v>1500</v>
      </c>
      <c r="D524" t="s">
        <v>291</v>
      </c>
      <c r="E524" t="s">
        <v>256</v>
      </c>
      <c r="F524">
        <v>11</v>
      </c>
    </row>
    <row r="525" spans="1:6" ht="13.2">
      <c r="A525" t="s">
        <v>1897</v>
      </c>
      <c r="B525">
        <v>0</v>
      </c>
      <c r="C525" s="44">
        <v>3000</v>
      </c>
      <c r="D525" t="s">
        <v>293</v>
      </c>
      <c r="E525" t="s">
        <v>256</v>
      </c>
      <c r="F525">
        <v>11</v>
      </c>
    </row>
    <row r="526" spans="1:6" ht="13.2">
      <c r="A526" t="s">
        <v>3703</v>
      </c>
      <c r="B526">
        <v>0</v>
      </c>
      <c r="C526" s="44">
        <v>3000</v>
      </c>
      <c r="D526" t="s">
        <v>293</v>
      </c>
      <c r="E526" t="s">
        <v>256</v>
      </c>
      <c r="F526">
        <v>11</v>
      </c>
    </row>
    <row r="527" spans="1:6" ht="13.2">
      <c r="A527" t="s">
        <v>1898</v>
      </c>
      <c r="B527">
        <v>0</v>
      </c>
      <c r="C527" s="44">
        <v>3000</v>
      </c>
      <c r="D527" t="s">
        <v>293</v>
      </c>
      <c r="E527" t="s">
        <v>256</v>
      </c>
      <c r="F527">
        <v>11</v>
      </c>
    </row>
    <row r="528" spans="1:6" ht="13.2">
      <c r="A528" t="s">
        <v>1899</v>
      </c>
      <c r="B528">
        <v>0</v>
      </c>
      <c r="C528" s="44">
        <v>3000</v>
      </c>
      <c r="D528" t="s">
        <v>293</v>
      </c>
      <c r="E528" t="s">
        <v>256</v>
      </c>
      <c r="F528">
        <v>11</v>
      </c>
    </row>
    <row r="529" spans="1:6" ht="13.2">
      <c r="A529" t="s">
        <v>3698</v>
      </c>
      <c r="B529">
        <v>0</v>
      </c>
      <c r="C529" s="44">
        <v>3000</v>
      </c>
      <c r="D529" t="s">
        <v>293</v>
      </c>
      <c r="E529" t="s">
        <v>256</v>
      </c>
      <c r="F529">
        <v>11</v>
      </c>
    </row>
    <row r="530" spans="1:6" ht="13.2">
      <c r="A530" t="s">
        <v>1900</v>
      </c>
      <c r="B530">
        <v>0</v>
      </c>
      <c r="C530" s="44">
        <v>3000</v>
      </c>
      <c r="D530" t="s">
        <v>293</v>
      </c>
      <c r="E530" t="s">
        <v>256</v>
      </c>
      <c r="F530">
        <v>11</v>
      </c>
    </row>
    <row r="531" spans="1:6" ht="13.2">
      <c r="A531" t="s">
        <v>3699</v>
      </c>
      <c r="B531">
        <v>0</v>
      </c>
      <c r="C531" s="44">
        <v>3000</v>
      </c>
      <c r="D531" t="s">
        <v>293</v>
      </c>
      <c r="E531" t="s">
        <v>256</v>
      </c>
      <c r="F531">
        <v>11</v>
      </c>
    </row>
    <row r="532" spans="1:6" ht="13.2">
      <c r="A532" t="s">
        <v>3707</v>
      </c>
      <c r="B532">
        <v>0</v>
      </c>
      <c r="C532" s="44">
        <v>3000</v>
      </c>
      <c r="D532" t="s">
        <v>293</v>
      </c>
      <c r="E532" t="s">
        <v>256</v>
      </c>
      <c r="F532">
        <v>11</v>
      </c>
    </row>
    <row r="533" spans="1:6" ht="13.2">
      <c r="A533" t="s">
        <v>3700</v>
      </c>
      <c r="B533">
        <v>0</v>
      </c>
      <c r="C533" s="44">
        <v>3000</v>
      </c>
      <c r="D533" t="s">
        <v>293</v>
      </c>
      <c r="E533" t="s">
        <v>256</v>
      </c>
      <c r="F533">
        <v>11</v>
      </c>
    </row>
    <row r="534" spans="1:6" ht="13.2">
      <c r="A534" t="s">
        <v>3696</v>
      </c>
      <c r="B534">
        <v>0</v>
      </c>
      <c r="C534" s="44">
        <v>3000</v>
      </c>
      <c r="D534" t="s">
        <v>293</v>
      </c>
      <c r="E534" t="s">
        <v>256</v>
      </c>
      <c r="F534">
        <v>11</v>
      </c>
    </row>
    <row r="535" spans="1:6" ht="13.2">
      <c r="A535" t="s">
        <v>1901</v>
      </c>
      <c r="B535">
        <v>0</v>
      </c>
      <c r="C535" s="44">
        <v>3000</v>
      </c>
      <c r="D535" t="s">
        <v>293</v>
      </c>
      <c r="E535" t="s">
        <v>256</v>
      </c>
      <c r="F535">
        <v>11</v>
      </c>
    </row>
    <row r="536" spans="1:6" ht="13.2">
      <c r="A536" t="s">
        <v>3701</v>
      </c>
      <c r="B536">
        <v>0</v>
      </c>
      <c r="C536" s="44">
        <v>3000</v>
      </c>
      <c r="D536" t="s">
        <v>293</v>
      </c>
      <c r="E536" t="s">
        <v>256</v>
      </c>
      <c r="F536">
        <v>11</v>
      </c>
    </row>
    <row r="537" spans="1:6" ht="13.2">
      <c r="A537" t="s">
        <v>1902</v>
      </c>
      <c r="B537">
        <v>0</v>
      </c>
      <c r="C537" s="44">
        <v>3000</v>
      </c>
      <c r="D537" t="s">
        <v>293</v>
      </c>
      <c r="E537" t="s">
        <v>256</v>
      </c>
      <c r="F537">
        <v>11</v>
      </c>
    </row>
    <row r="538" spans="1:6" ht="13.2">
      <c r="A538" t="s">
        <v>3704</v>
      </c>
      <c r="B538">
        <v>0</v>
      </c>
      <c r="C538" s="44">
        <v>3000</v>
      </c>
      <c r="D538" t="s">
        <v>293</v>
      </c>
      <c r="E538" t="s">
        <v>256</v>
      </c>
      <c r="F538">
        <v>11</v>
      </c>
    </row>
    <row r="539" spans="1:6" ht="13.2">
      <c r="A539" t="s">
        <v>1903</v>
      </c>
      <c r="B539">
        <v>0</v>
      </c>
      <c r="C539" s="44">
        <v>3000</v>
      </c>
      <c r="D539" t="s">
        <v>293</v>
      </c>
      <c r="E539" t="s">
        <v>256</v>
      </c>
      <c r="F539">
        <v>11</v>
      </c>
    </row>
    <row r="540" spans="1:6" ht="13.2">
      <c r="A540" t="s">
        <v>3702</v>
      </c>
      <c r="B540">
        <v>0</v>
      </c>
      <c r="C540" s="44">
        <v>3000</v>
      </c>
      <c r="D540" t="s">
        <v>293</v>
      </c>
      <c r="E540" t="s">
        <v>256</v>
      </c>
      <c r="F540">
        <v>11</v>
      </c>
    </row>
    <row r="541" spans="1:6" ht="13.2">
      <c r="A541" t="s">
        <v>1904</v>
      </c>
      <c r="B541">
        <v>0</v>
      </c>
      <c r="C541" s="44">
        <v>3000</v>
      </c>
      <c r="D541" t="s">
        <v>293</v>
      </c>
      <c r="E541" t="s">
        <v>256</v>
      </c>
      <c r="F541">
        <v>11</v>
      </c>
    </row>
    <row r="542" spans="1:6" ht="13.2">
      <c r="A542" t="s">
        <v>1905</v>
      </c>
      <c r="B542">
        <v>0</v>
      </c>
      <c r="C542" s="44">
        <v>3000</v>
      </c>
      <c r="D542" t="s">
        <v>293</v>
      </c>
      <c r="E542" t="s">
        <v>256</v>
      </c>
      <c r="F542">
        <v>11</v>
      </c>
    </row>
    <row r="543" spans="1:6" ht="13.2">
      <c r="A543" t="s">
        <v>3705</v>
      </c>
      <c r="B543">
        <v>0</v>
      </c>
      <c r="C543" s="44">
        <v>3000</v>
      </c>
      <c r="D543" t="s">
        <v>293</v>
      </c>
      <c r="E543" t="s">
        <v>256</v>
      </c>
      <c r="F543">
        <v>11</v>
      </c>
    </row>
    <row r="544" spans="1:6" ht="13.2">
      <c r="A544" t="s">
        <v>1906</v>
      </c>
      <c r="B544">
        <v>0</v>
      </c>
      <c r="C544" s="44">
        <v>3000</v>
      </c>
      <c r="D544" t="s">
        <v>293</v>
      </c>
      <c r="E544" t="s">
        <v>256</v>
      </c>
      <c r="F544">
        <v>11</v>
      </c>
    </row>
    <row r="545" spans="1:6" ht="13.2">
      <c r="A545" t="s">
        <v>3706</v>
      </c>
      <c r="B545">
        <v>0</v>
      </c>
      <c r="C545" s="44">
        <v>3000</v>
      </c>
      <c r="D545" t="s">
        <v>293</v>
      </c>
      <c r="E545" t="s">
        <v>256</v>
      </c>
      <c r="F545">
        <v>11</v>
      </c>
    </row>
    <row r="546" spans="1:6" ht="13.2">
      <c r="A546" t="s">
        <v>1907</v>
      </c>
      <c r="B546">
        <v>0</v>
      </c>
      <c r="C546" s="44">
        <v>3000</v>
      </c>
      <c r="D546" t="s">
        <v>293</v>
      </c>
      <c r="E546" t="s">
        <v>256</v>
      </c>
      <c r="F546">
        <v>11</v>
      </c>
    </row>
    <row r="547" spans="1:6" ht="13.2">
      <c r="A547" t="s">
        <v>3697</v>
      </c>
      <c r="B547">
        <v>0</v>
      </c>
      <c r="C547" s="44">
        <v>3000</v>
      </c>
      <c r="D547" t="s">
        <v>293</v>
      </c>
      <c r="E547" t="s">
        <v>256</v>
      </c>
      <c r="F547">
        <v>11</v>
      </c>
    </row>
    <row r="548" spans="1:6" ht="13.2">
      <c r="A548" t="s">
        <v>1908</v>
      </c>
      <c r="B548">
        <v>0</v>
      </c>
      <c r="C548" s="44">
        <v>3000</v>
      </c>
      <c r="D548" t="s">
        <v>293</v>
      </c>
      <c r="E548" t="s">
        <v>256</v>
      </c>
      <c r="F548">
        <v>11</v>
      </c>
    </row>
    <row r="549" spans="1:6" ht="13.2">
      <c r="A549" t="s">
        <v>1885</v>
      </c>
      <c r="B549">
        <v>0</v>
      </c>
      <c r="C549" s="44">
        <v>3000</v>
      </c>
      <c r="D549" t="s">
        <v>291</v>
      </c>
      <c r="E549" t="s">
        <v>256</v>
      </c>
      <c r="F549">
        <v>11</v>
      </c>
    </row>
    <row r="550" spans="1:6" ht="13.2">
      <c r="A550" t="s">
        <v>3715</v>
      </c>
      <c r="B550">
        <v>0</v>
      </c>
      <c r="C550" s="44">
        <v>3000</v>
      </c>
      <c r="D550" t="s">
        <v>291</v>
      </c>
      <c r="E550" t="s">
        <v>256</v>
      </c>
      <c r="F550">
        <v>11</v>
      </c>
    </row>
    <row r="551" spans="1:6" ht="13.2">
      <c r="A551" t="s">
        <v>1886</v>
      </c>
      <c r="B551">
        <v>0</v>
      </c>
      <c r="C551" s="44">
        <v>3000</v>
      </c>
      <c r="D551" t="s">
        <v>291</v>
      </c>
      <c r="E551" t="s">
        <v>256</v>
      </c>
      <c r="F551">
        <v>11</v>
      </c>
    </row>
    <row r="552" spans="1:6" ht="13.2">
      <c r="A552" t="s">
        <v>1887</v>
      </c>
      <c r="B552">
        <v>0</v>
      </c>
      <c r="C552" s="44">
        <v>3000</v>
      </c>
      <c r="D552" t="s">
        <v>291</v>
      </c>
      <c r="E552" t="s">
        <v>256</v>
      </c>
      <c r="F552">
        <v>11</v>
      </c>
    </row>
    <row r="553" spans="1:6" ht="13.2">
      <c r="A553" t="s">
        <v>3710</v>
      </c>
      <c r="B553">
        <v>0</v>
      </c>
      <c r="C553" s="44">
        <v>3000</v>
      </c>
      <c r="D553" t="s">
        <v>291</v>
      </c>
      <c r="E553" t="s">
        <v>256</v>
      </c>
      <c r="F553">
        <v>11</v>
      </c>
    </row>
    <row r="554" spans="1:6" ht="13.2">
      <c r="A554" t="s">
        <v>1888</v>
      </c>
      <c r="B554">
        <v>0</v>
      </c>
      <c r="C554" s="44">
        <v>3000</v>
      </c>
      <c r="D554" t="s">
        <v>291</v>
      </c>
      <c r="E554" t="s">
        <v>256</v>
      </c>
      <c r="F554">
        <v>11</v>
      </c>
    </row>
    <row r="555" spans="1:6" ht="13.2">
      <c r="A555" t="s">
        <v>3711</v>
      </c>
      <c r="B555">
        <v>0</v>
      </c>
      <c r="C555" s="44">
        <v>3000</v>
      </c>
      <c r="D555" t="s">
        <v>291</v>
      </c>
      <c r="E555" t="s">
        <v>256</v>
      </c>
      <c r="F555">
        <v>11</v>
      </c>
    </row>
    <row r="556" spans="1:6" ht="13.2">
      <c r="A556" t="s">
        <v>3719</v>
      </c>
      <c r="B556">
        <v>0</v>
      </c>
      <c r="C556" s="44">
        <v>3000</v>
      </c>
      <c r="D556" t="s">
        <v>291</v>
      </c>
      <c r="E556" t="s">
        <v>256</v>
      </c>
      <c r="F556">
        <v>11</v>
      </c>
    </row>
    <row r="557" spans="1:6" ht="13.2">
      <c r="A557" t="s">
        <v>3712</v>
      </c>
      <c r="B557">
        <v>0</v>
      </c>
      <c r="C557" s="44">
        <v>3000</v>
      </c>
      <c r="D557" t="s">
        <v>291</v>
      </c>
      <c r="E557" t="s">
        <v>256</v>
      </c>
      <c r="F557">
        <v>11</v>
      </c>
    </row>
    <row r="558" spans="1:6" ht="13.2">
      <c r="A558" t="s">
        <v>3708</v>
      </c>
      <c r="B558">
        <v>0</v>
      </c>
      <c r="C558" s="44">
        <v>3000</v>
      </c>
      <c r="D558" t="s">
        <v>291</v>
      </c>
      <c r="E558" t="s">
        <v>256</v>
      </c>
      <c r="F558">
        <v>11</v>
      </c>
    </row>
    <row r="559" spans="1:6" ht="13.2">
      <c r="A559" t="s">
        <v>1889</v>
      </c>
      <c r="B559">
        <v>0</v>
      </c>
      <c r="C559" s="44">
        <v>3000</v>
      </c>
      <c r="D559" t="s">
        <v>291</v>
      </c>
      <c r="E559" t="s">
        <v>256</v>
      </c>
      <c r="F559">
        <v>11</v>
      </c>
    </row>
    <row r="560" spans="1:6" ht="13.2">
      <c r="A560" t="s">
        <v>3713</v>
      </c>
      <c r="B560">
        <v>0</v>
      </c>
      <c r="C560" s="44">
        <v>3000</v>
      </c>
      <c r="D560" t="s">
        <v>291</v>
      </c>
      <c r="E560" t="s">
        <v>256</v>
      </c>
      <c r="F560">
        <v>11</v>
      </c>
    </row>
    <row r="561" spans="1:6" ht="13.2">
      <c r="A561" t="s">
        <v>1890</v>
      </c>
      <c r="B561">
        <v>0</v>
      </c>
      <c r="C561" s="44">
        <v>3000</v>
      </c>
      <c r="D561" t="s">
        <v>291</v>
      </c>
      <c r="E561" t="s">
        <v>256</v>
      </c>
      <c r="F561">
        <v>11</v>
      </c>
    </row>
    <row r="562" spans="1:6" ht="13.2">
      <c r="A562" t="s">
        <v>3716</v>
      </c>
      <c r="B562">
        <v>0</v>
      </c>
      <c r="C562" s="44">
        <v>3000</v>
      </c>
      <c r="D562" t="s">
        <v>291</v>
      </c>
      <c r="E562" t="s">
        <v>256</v>
      </c>
      <c r="F562">
        <v>11</v>
      </c>
    </row>
    <row r="563" spans="1:6" ht="13.2">
      <c r="A563" t="s">
        <v>1891</v>
      </c>
      <c r="B563">
        <v>0</v>
      </c>
      <c r="C563" s="44">
        <v>3000</v>
      </c>
      <c r="D563" t="s">
        <v>291</v>
      </c>
      <c r="E563" t="s">
        <v>256</v>
      </c>
      <c r="F563">
        <v>11</v>
      </c>
    </row>
    <row r="564" spans="1:6" ht="13.2">
      <c r="A564" t="s">
        <v>3714</v>
      </c>
      <c r="B564">
        <v>0</v>
      </c>
      <c r="C564" s="44">
        <v>3000</v>
      </c>
      <c r="D564" t="s">
        <v>291</v>
      </c>
      <c r="E564" t="s">
        <v>256</v>
      </c>
      <c r="F564">
        <v>11</v>
      </c>
    </row>
    <row r="565" spans="1:6" ht="13.2">
      <c r="A565" t="s">
        <v>1892</v>
      </c>
      <c r="B565">
        <v>0</v>
      </c>
      <c r="C565" s="44">
        <v>3000</v>
      </c>
      <c r="D565" t="s">
        <v>291</v>
      </c>
      <c r="E565" t="s">
        <v>256</v>
      </c>
      <c r="F565">
        <v>11</v>
      </c>
    </row>
    <row r="566" spans="1:6" ht="13.2">
      <c r="A566" t="s">
        <v>1893</v>
      </c>
      <c r="B566">
        <v>0</v>
      </c>
      <c r="C566" s="44">
        <v>3000</v>
      </c>
      <c r="D566" t="s">
        <v>291</v>
      </c>
      <c r="E566" t="s">
        <v>256</v>
      </c>
      <c r="F566">
        <v>11</v>
      </c>
    </row>
    <row r="567" spans="1:6" ht="13.2">
      <c r="A567" t="s">
        <v>3717</v>
      </c>
      <c r="B567">
        <v>0</v>
      </c>
      <c r="C567" s="44">
        <v>3000</v>
      </c>
      <c r="D567" t="s">
        <v>291</v>
      </c>
      <c r="E567" t="s">
        <v>256</v>
      </c>
      <c r="F567">
        <v>11</v>
      </c>
    </row>
    <row r="568" spans="1:6" ht="13.2">
      <c r="A568" t="s">
        <v>1894</v>
      </c>
      <c r="B568">
        <v>0</v>
      </c>
      <c r="C568" s="44">
        <v>3000</v>
      </c>
      <c r="D568" t="s">
        <v>291</v>
      </c>
      <c r="E568" t="s">
        <v>256</v>
      </c>
      <c r="F568">
        <v>11</v>
      </c>
    </row>
    <row r="569" spans="1:6" ht="13.2">
      <c r="A569" t="s">
        <v>3718</v>
      </c>
      <c r="B569">
        <v>0</v>
      </c>
      <c r="C569" s="44">
        <v>3000</v>
      </c>
      <c r="D569" t="s">
        <v>291</v>
      </c>
      <c r="E569" t="s">
        <v>256</v>
      </c>
      <c r="F569">
        <v>11</v>
      </c>
    </row>
    <row r="570" spans="1:6" ht="13.2">
      <c r="A570" t="s">
        <v>1895</v>
      </c>
      <c r="B570">
        <v>0</v>
      </c>
      <c r="C570" s="44">
        <v>3000</v>
      </c>
      <c r="D570" t="s">
        <v>291</v>
      </c>
      <c r="E570" t="s">
        <v>256</v>
      </c>
      <c r="F570">
        <v>11</v>
      </c>
    </row>
    <row r="571" spans="1:6" ht="13.2">
      <c r="A571" t="s">
        <v>3709</v>
      </c>
      <c r="B571">
        <v>0</v>
      </c>
      <c r="C571" s="44">
        <v>3000</v>
      </c>
      <c r="D571" t="s">
        <v>291</v>
      </c>
      <c r="E571" t="s">
        <v>256</v>
      </c>
      <c r="F571">
        <v>11</v>
      </c>
    </row>
    <row r="572" spans="1:6" ht="13.2">
      <c r="A572" t="s">
        <v>1896</v>
      </c>
      <c r="B572">
        <v>0</v>
      </c>
      <c r="C572" s="44">
        <v>3000</v>
      </c>
      <c r="D572" t="s">
        <v>291</v>
      </c>
      <c r="E572" t="s">
        <v>256</v>
      </c>
      <c r="F572">
        <v>11</v>
      </c>
    </row>
    <row r="573" spans="1:6" ht="13.2">
      <c r="A573" t="s">
        <v>3722</v>
      </c>
      <c r="B573">
        <v>0</v>
      </c>
      <c r="C573" s="44">
        <v>3200</v>
      </c>
      <c r="D573" t="s">
        <v>293</v>
      </c>
      <c r="E573" t="s">
        <v>256</v>
      </c>
      <c r="F573">
        <v>11</v>
      </c>
    </row>
    <row r="574" spans="1:6" ht="13.2">
      <c r="A574" t="s">
        <v>3721</v>
      </c>
      <c r="B574">
        <v>0</v>
      </c>
      <c r="C574" s="44">
        <v>3200</v>
      </c>
      <c r="D574" t="s">
        <v>293</v>
      </c>
      <c r="E574" t="s">
        <v>256</v>
      </c>
      <c r="F574">
        <v>11</v>
      </c>
    </row>
    <row r="575" spans="1:6" ht="13.2">
      <c r="A575" t="s">
        <v>3723</v>
      </c>
      <c r="B575">
        <v>0</v>
      </c>
      <c r="C575" s="44">
        <v>3200</v>
      </c>
      <c r="D575" t="s">
        <v>293</v>
      </c>
      <c r="E575" t="s">
        <v>256</v>
      </c>
      <c r="F575">
        <v>11</v>
      </c>
    </row>
    <row r="576" spans="1:6" ht="13.2">
      <c r="A576" t="s">
        <v>3720</v>
      </c>
      <c r="B576">
        <v>0</v>
      </c>
      <c r="C576" s="44">
        <v>3200</v>
      </c>
      <c r="D576" t="s">
        <v>293</v>
      </c>
      <c r="E576" t="s">
        <v>256</v>
      </c>
      <c r="F576">
        <v>11</v>
      </c>
    </row>
    <row r="577" spans="1:6" ht="13.2">
      <c r="A577" t="s">
        <v>3726</v>
      </c>
      <c r="B577">
        <v>0</v>
      </c>
      <c r="C577" s="44">
        <v>3200</v>
      </c>
      <c r="D577" t="s">
        <v>291</v>
      </c>
      <c r="E577" t="s">
        <v>256</v>
      </c>
      <c r="F577">
        <v>11</v>
      </c>
    </row>
    <row r="578" spans="1:6" ht="13.2">
      <c r="A578" t="s">
        <v>3725</v>
      </c>
      <c r="B578">
        <v>0</v>
      </c>
      <c r="C578" s="44">
        <v>3200</v>
      </c>
      <c r="D578" t="s">
        <v>291</v>
      </c>
      <c r="E578" t="s">
        <v>256</v>
      </c>
      <c r="F578">
        <v>11</v>
      </c>
    </row>
    <row r="579" spans="1:6" ht="13.2">
      <c r="A579" t="s">
        <v>3727</v>
      </c>
      <c r="B579">
        <v>0</v>
      </c>
      <c r="C579" s="44">
        <v>3200</v>
      </c>
      <c r="D579" t="s">
        <v>291</v>
      </c>
      <c r="E579" t="s">
        <v>256</v>
      </c>
      <c r="F579">
        <v>11</v>
      </c>
    </row>
    <row r="580" spans="1:6" ht="13.2">
      <c r="A580" t="s">
        <v>3724</v>
      </c>
      <c r="B580">
        <v>0</v>
      </c>
      <c r="C580" s="44">
        <v>3200</v>
      </c>
      <c r="D580" t="s">
        <v>291</v>
      </c>
      <c r="E580" t="s">
        <v>256</v>
      </c>
      <c r="F580">
        <v>11</v>
      </c>
    </row>
    <row r="581" spans="1:6" ht="13.2">
      <c r="A581" t="s">
        <v>4865</v>
      </c>
      <c r="B581">
        <v>0</v>
      </c>
      <c r="C581" s="44">
        <v>3300</v>
      </c>
      <c r="D581" t="s">
        <v>293</v>
      </c>
      <c r="E581" t="s">
        <v>256</v>
      </c>
      <c r="F581">
        <v>4</v>
      </c>
    </row>
    <row r="582" spans="1:6" ht="13.2">
      <c r="A582" t="s">
        <v>771</v>
      </c>
      <c r="B582">
        <v>0</v>
      </c>
      <c r="C582" s="44">
        <v>3300</v>
      </c>
      <c r="D582" t="s">
        <v>293</v>
      </c>
      <c r="E582" t="s">
        <v>256</v>
      </c>
      <c r="F582">
        <v>4</v>
      </c>
    </row>
    <row r="583" spans="1:6" ht="13.2">
      <c r="A583" t="s">
        <v>776</v>
      </c>
      <c r="B583">
        <v>0</v>
      </c>
      <c r="C583" s="44">
        <v>3300</v>
      </c>
      <c r="D583" t="s">
        <v>293</v>
      </c>
      <c r="E583" t="s">
        <v>256</v>
      </c>
      <c r="F583">
        <v>4</v>
      </c>
    </row>
    <row r="584" spans="1:6" ht="13.2">
      <c r="A584" t="s">
        <v>777</v>
      </c>
      <c r="B584">
        <v>0</v>
      </c>
      <c r="C584" s="44">
        <v>3300</v>
      </c>
      <c r="D584" t="s">
        <v>293</v>
      </c>
      <c r="E584" t="s">
        <v>256</v>
      </c>
      <c r="F584">
        <v>4</v>
      </c>
    </row>
    <row r="585" spans="1:6" ht="13.2">
      <c r="A585" t="s">
        <v>769</v>
      </c>
      <c r="B585">
        <v>0</v>
      </c>
      <c r="C585" s="44">
        <v>3300</v>
      </c>
      <c r="D585" t="s">
        <v>293</v>
      </c>
      <c r="E585" t="s">
        <v>256</v>
      </c>
      <c r="F585">
        <v>4</v>
      </c>
    </row>
    <row r="586" spans="1:6" ht="13.2">
      <c r="A586" t="s">
        <v>774</v>
      </c>
      <c r="B586">
        <v>0</v>
      </c>
      <c r="C586" s="44">
        <v>3300</v>
      </c>
      <c r="D586" t="s">
        <v>293</v>
      </c>
      <c r="E586" t="s">
        <v>256</v>
      </c>
      <c r="F586">
        <v>4</v>
      </c>
    </row>
    <row r="587" spans="1:6" ht="13.2">
      <c r="A587" t="s">
        <v>9189</v>
      </c>
      <c r="B587">
        <v>0</v>
      </c>
      <c r="C587" s="44">
        <v>3300</v>
      </c>
      <c r="D587" t="s">
        <v>293</v>
      </c>
      <c r="E587" t="s">
        <v>256</v>
      </c>
      <c r="F587">
        <v>4</v>
      </c>
    </row>
    <row r="588" spans="1:6" ht="13.2">
      <c r="A588" t="s">
        <v>4866</v>
      </c>
      <c r="B588">
        <v>0</v>
      </c>
      <c r="C588" s="44">
        <v>3300</v>
      </c>
      <c r="D588" t="s">
        <v>293</v>
      </c>
      <c r="E588" t="s">
        <v>256</v>
      </c>
      <c r="F588">
        <v>4</v>
      </c>
    </row>
    <row r="589" spans="1:6" ht="13.2">
      <c r="A589" t="s">
        <v>775</v>
      </c>
      <c r="B589">
        <v>0</v>
      </c>
      <c r="C589" s="44">
        <v>3300</v>
      </c>
      <c r="D589" t="s">
        <v>293</v>
      </c>
      <c r="E589" t="s">
        <v>256</v>
      </c>
      <c r="F589">
        <v>4</v>
      </c>
    </row>
    <row r="590" spans="1:6" ht="13.2">
      <c r="A590" t="s">
        <v>9188</v>
      </c>
      <c r="B590">
        <v>0</v>
      </c>
      <c r="C590" s="44">
        <v>3300</v>
      </c>
      <c r="D590" t="s">
        <v>293</v>
      </c>
      <c r="E590" t="s">
        <v>256</v>
      </c>
      <c r="F590">
        <v>4</v>
      </c>
    </row>
    <row r="591" spans="1:6" ht="13.2">
      <c r="A591" t="s">
        <v>4867</v>
      </c>
      <c r="B591">
        <v>0</v>
      </c>
      <c r="C591" s="44">
        <v>3300</v>
      </c>
      <c r="D591" t="s">
        <v>293</v>
      </c>
      <c r="E591" t="s">
        <v>256</v>
      </c>
      <c r="F591">
        <v>4</v>
      </c>
    </row>
    <row r="592" spans="1:6" ht="13.2">
      <c r="A592" t="s">
        <v>770</v>
      </c>
      <c r="B592">
        <v>0</v>
      </c>
      <c r="C592" s="44">
        <v>3300</v>
      </c>
      <c r="D592" t="s">
        <v>293</v>
      </c>
      <c r="E592" t="s">
        <v>256</v>
      </c>
      <c r="F592">
        <v>4</v>
      </c>
    </row>
    <row r="593" spans="1:6" ht="13.2">
      <c r="A593" t="s">
        <v>4868</v>
      </c>
      <c r="B593">
        <v>0</v>
      </c>
      <c r="C593" s="44">
        <v>3300</v>
      </c>
      <c r="D593" t="s">
        <v>293</v>
      </c>
      <c r="E593" t="s">
        <v>256</v>
      </c>
      <c r="F593">
        <v>4</v>
      </c>
    </row>
    <row r="594" spans="1:6" ht="13.2">
      <c r="A594" t="s">
        <v>772</v>
      </c>
      <c r="B594">
        <v>0</v>
      </c>
      <c r="C594" s="44">
        <v>3300</v>
      </c>
      <c r="D594" t="s">
        <v>293</v>
      </c>
      <c r="E594" t="s">
        <v>256</v>
      </c>
      <c r="F594">
        <v>4</v>
      </c>
    </row>
    <row r="595" spans="1:6" ht="13.2">
      <c r="A595" t="s">
        <v>4869</v>
      </c>
      <c r="B595">
        <v>0</v>
      </c>
      <c r="C595" s="44">
        <v>3300</v>
      </c>
      <c r="D595" t="s">
        <v>293</v>
      </c>
      <c r="E595" t="s">
        <v>256</v>
      </c>
      <c r="F595">
        <v>4</v>
      </c>
    </row>
    <row r="596" spans="1:6" ht="13.2">
      <c r="A596" t="s">
        <v>773</v>
      </c>
      <c r="B596">
        <v>0</v>
      </c>
      <c r="C596" s="44">
        <v>3300</v>
      </c>
      <c r="D596" t="s">
        <v>293</v>
      </c>
      <c r="E596" t="s">
        <v>256</v>
      </c>
      <c r="F596">
        <v>4</v>
      </c>
    </row>
    <row r="597" spans="1:6" ht="13.2">
      <c r="A597" t="s">
        <v>778</v>
      </c>
      <c r="B597">
        <v>0</v>
      </c>
      <c r="C597" s="44">
        <v>3300</v>
      </c>
      <c r="D597" t="s">
        <v>293</v>
      </c>
      <c r="E597" t="s">
        <v>256</v>
      </c>
      <c r="F597">
        <v>4</v>
      </c>
    </row>
    <row r="598" spans="1:6" ht="13.2">
      <c r="A598" t="s">
        <v>768</v>
      </c>
      <c r="B598">
        <v>0</v>
      </c>
      <c r="C598" s="44">
        <v>3300</v>
      </c>
      <c r="D598" t="s">
        <v>293</v>
      </c>
      <c r="E598" t="s">
        <v>256</v>
      </c>
      <c r="F598">
        <v>4</v>
      </c>
    </row>
    <row r="599" spans="1:6" ht="13.2">
      <c r="A599" t="s">
        <v>4870</v>
      </c>
      <c r="B599">
        <v>0</v>
      </c>
      <c r="C599" s="44">
        <v>3300</v>
      </c>
      <c r="D599" t="s">
        <v>291</v>
      </c>
      <c r="E599" t="s">
        <v>256</v>
      </c>
      <c r="F599">
        <v>4</v>
      </c>
    </row>
    <row r="600" spans="1:6" ht="13.2">
      <c r="A600" t="s">
        <v>869</v>
      </c>
      <c r="B600">
        <v>0</v>
      </c>
      <c r="C600" s="44">
        <v>3300</v>
      </c>
      <c r="D600" t="s">
        <v>291</v>
      </c>
      <c r="E600" t="s">
        <v>256</v>
      </c>
      <c r="F600">
        <v>4</v>
      </c>
    </row>
    <row r="601" spans="1:6" ht="13.2">
      <c r="A601" t="s">
        <v>874</v>
      </c>
      <c r="B601">
        <v>0</v>
      </c>
      <c r="C601" s="44">
        <v>3300</v>
      </c>
      <c r="D601" t="s">
        <v>291</v>
      </c>
      <c r="E601" t="s">
        <v>256</v>
      </c>
      <c r="F601">
        <v>4</v>
      </c>
    </row>
    <row r="602" spans="1:6" ht="13.2">
      <c r="A602" t="s">
        <v>875</v>
      </c>
      <c r="B602">
        <v>0</v>
      </c>
      <c r="C602" s="44">
        <v>3300</v>
      </c>
      <c r="D602" t="s">
        <v>291</v>
      </c>
      <c r="E602" t="s">
        <v>256</v>
      </c>
      <c r="F602">
        <v>4</v>
      </c>
    </row>
    <row r="603" spans="1:6" ht="13.2">
      <c r="A603" t="s">
        <v>867</v>
      </c>
      <c r="B603">
        <v>0</v>
      </c>
      <c r="C603" s="44">
        <v>3300</v>
      </c>
      <c r="D603" t="s">
        <v>291</v>
      </c>
      <c r="E603" t="s">
        <v>256</v>
      </c>
      <c r="F603">
        <v>4</v>
      </c>
    </row>
    <row r="604" spans="1:6" ht="13.2">
      <c r="A604" t="s">
        <v>872</v>
      </c>
      <c r="B604">
        <v>0</v>
      </c>
      <c r="C604" s="44">
        <v>3300</v>
      </c>
      <c r="D604" t="s">
        <v>291</v>
      </c>
      <c r="E604" t="s">
        <v>256</v>
      </c>
      <c r="F604">
        <v>4</v>
      </c>
    </row>
    <row r="605" spans="1:6" ht="13.2">
      <c r="A605" t="s">
        <v>4871</v>
      </c>
      <c r="B605">
        <v>0</v>
      </c>
      <c r="C605" s="44">
        <v>3300</v>
      </c>
      <c r="D605" t="s">
        <v>291</v>
      </c>
      <c r="E605" t="s">
        <v>256</v>
      </c>
      <c r="F605">
        <v>4</v>
      </c>
    </row>
    <row r="606" spans="1:6" ht="13.2">
      <c r="A606" t="s">
        <v>4872</v>
      </c>
      <c r="B606">
        <v>0</v>
      </c>
      <c r="C606" s="44">
        <v>3300</v>
      </c>
      <c r="D606" t="s">
        <v>291</v>
      </c>
      <c r="E606" t="s">
        <v>256</v>
      </c>
      <c r="F606">
        <v>4</v>
      </c>
    </row>
    <row r="607" spans="1:6" ht="13.2">
      <c r="A607" t="s">
        <v>873</v>
      </c>
      <c r="B607">
        <v>0</v>
      </c>
      <c r="C607" s="44">
        <v>3300</v>
      </c>
      <c r="D607" t="s">
        <v>291</v>
      </c>
      <c r="E607" t="s">
        <v>256</v>
      </c>
      <c r="F607">
        <v>4</v>
      </c>
    </row>
    <row r="608" spans="1:6" ht="13.2">
      <c r="A608" t="s">
        <v>4873</v>
      </c>
      <c r="B608">
        <v>0</v>
      </c>
      <c r="C608" s="44">
        <v>3300</v>
      </c>
      <c r="D608" t="s">
        <v>291</v>
      </c>
      <c r="E608" t="s">
        <v>256</v>
      </c>
      <c r="F608">
        <v>4</v>
      </c>
    </row>
    <row r="609" spans="1:6" ht="13.2">
      <c r="A609" t="s">
        <v>4874</v>
      </c>
      <c r="B609">
        <v>0</v>
      </c>
      <c r="C609" s="44">
        <v>3300</v>
      </c>
      <c r="D609" t="s">
        <v>291</v>
      </c>
      <c r="E609" t="s">
        <v>256</v>
      </c>
      <c r="F609">
        <v>4</v>
      </c>
    </row>
    <row r="610" spans="1:6" ht="13.2">
      <c r="A610" t="s">
        <v>868</v>
      </c>
      <c r="B610">
        <v>0</v>
      </c>
      <c r="C610" s="44">
        <v>3300</v>
      </c>
      <c r="D610" t="s">
        <v>291</v>
      </c>
      <c r="E610" t="s">
        <v>256</v>
      </c>
      <c r="F610">
        <v>4</v>
      </c>
    </row>
    <row r="611" spans="1:6" ht="13.2">
      <c r="A611" t="s">
        <v>4875</v>
      </c>
      <c r="B611">
        <v>0</v>
      </c>
      <c r="C611" s="44">
        <v>3300</v>
      </c>
      <c r="D611" t="s">
        <v>291</v>
      </c>
      <c r="E611" t="s">
        <v>256</v>
      </c>
      <c r="F611">
        <v>4</v>
      </c>
    </row>
    <row r="612" spans="1:6" ht="13.2">
      <c r="A612" t="s">
        <v>870</v>
      </c>
      <c r="B612">
        <v>0</v>
      </c>
      <c r="C612" s="44">
        <v>3300</v>
      </c>
      <c r="D612" t="s">
        <v>291</v>
      </c>
      <c r="E612" t="s">
        <v>256</v>
      </c>
      <c r="F612">
        <v>4</v>
      </c>
    </row>
    <row r="613" spans="1:6" ht="13.2">
      <c r="A613" t="s">
        <v>4876</v>
      </c>
      <c r="B613">
        <v>0</v>
      </c>
      <c r="C613" s="44">
        <v>3300</v>
      </c>
      <c r="D613" t="s">
        <v>291</v>
      </c>
      <c r="E613" t="s">
        <v>256</v>
      </c>
      <c r="F613">
        <v>4</v>
      </c>
    </row>
    <row r="614" spans="1:6" ht="13.2">
      <c r="A614" t="s">
        <v>871</v>
      </c>
      <c r="B614">
        <v>0</v>
      </c>
      <c r="C614" s="44">
        <v>3300</v>
      </c>
      <c r="D614" t="s">
        <v>291</v>
      </c>
      <c r="E614" t="s">
        <v>256</v>
      </c>
      <c r="F614">
        <v>4</v>
      </c>
    </row>
    <row r="615" spans="1:6" ht="13.2">
      <c r="A615" t="s">
        <v>876</v>
      </c>
      <c r="B615">
        <v>0</v>
      </c>
      <c r="C615" s="44">
        <v>3300</v>
      </c>
      <c r="D615" t="s">
        <v>291</v>
      </c>
      <c r="E615" t="s">
        <v>256</v>
      </c>
      <c r="F615">
        <v>4</v>
      </c>
    </row>
    <row r="616" spans="1:6" ht="13.2">
      <c r="A616" t="s">
        <v>866</v>
      </c>
      <c r="B616">
        <v>0</v>
      </c>
      <c r="C616" s="44">
        <v>3300</v>
      </c>
      <c r="D616" t="s">
        <v>291</v>
      </c>
      <c r="E616" t="s">
        <v>256</v>
      </c>
      <c r="F616">
        <v>4</v>
      </c>
    </row>
    <row r="617" spans="1:6" ht="13.2">
      <c r="A617" t="s">
        <v>1009</v>
      </c>
      <c r="B617">
        <v>0</v>
      </c>
      <c r="C617" s="44">
        <v>3000</v>
      </c>
      <c r="D617" t="s">
        <v>293</v>
      </c>
      <c r="E617" t="s">
        <v>256</v>
      </c>
      <c r="F617">
        <v>4</v>
      </c>
    </row>
    <row r="618" spans="1:6" ht="13.2">
      <c r="A618" t="s">
        <v>1010</v>
      </c>
      <c r="B618">
        <v>0</v>
      </c>
      <c r="C618" s="44">
        <v>3000</v>
      </c>
      <c r="D618" t="s">
        <v>293</v>
      </c>
      <c r="E618" t="s">
        <v>256</v>
      </c>
      <c r="F618">
        <v>4</v>
      </c>
    </row>
    <row r="619" spans="1:6" ht="13.2">
      <c r="A619" t="s">
        <v>1011</v>
      </c>
      <c r="B619">
        <v>0</v>
      </c>
      <c r="C619" s="44">
        <v>3000</v>
      </c>
      <c r="D619" t="s">
        <v>293</v>
      </c>
      <c r="E619" t="s">
        <v>256</v>
      </c>
      <c r="F619">
        <v>4</v>
      </c>
    </row>
    <row r="620" spans="1:6" ht="13.2">
      <c r="A620" t="s">
        <v>1012</v>
      </c>
      <c r="B620">
        <v>0</v>
      </c>
      <c r="C620" s="44">
        <v>3000</v>
      </c>
      <c r="D620" t="s">
        <v>293</v>
      </c>
      <c r="E620" t="s">
        <v>256</v>
      </c>
      <c r="F620">
        <v>4</v>
      </c>
    </row>
    <row r="621" spans="1:6" ht="13.2">
      <c r="A621" t="s">
        <v>1013</v>
      </c>
      <c r="B621">
        <v>0</v>
      </c>
      <c r="C621" s="44">
        <v>3000</v>
      </c>
      <c r="D621" t="s">
        <v>293</v>
      </c>
      <c r="E621" t="s">
        <v>256</v>
      </c>
      <c r="F621">
        <v>4</v>
      </c>
    </row>
    <row r="622" spans="1:6" ht="13.2">
      <c r="A622" t="s">
        <v>1014</v>
      </c>
      <c r="B622">
        <v>0</v>
      </c>
      <c r="C622" s="44">
        <v>3000</v>
      </c>
      <c r="D622" t="s">
        <v>293</v>
      </c>
      <c r="E622" t="s">
        <v>256</v>
      </c>
      <c r="F622">
        <v>4</v>
      </c>
    </row>
    <row r="623" spans="1:6" ht="13.2">
      <c r="A623" t="s">
        <v>1015</v>
      </c>
      <c r="B623">
        <v>0</v>
      </c>
      <c r="C623" s="44">
        <v>3000</v>
      </c>
      <c r="D623" t="s">
        <v>293</v>
      </c>
      <c r="E623" t="s">
        <v>256</v>
      </c>
      <c r="F623">
        <v>4</v>
      </c>
    </row>
    <row r="624" spans="1:6" ht="13.2">
      <c r="A624" t="s">
        <v>4435</v>
      </c>
      <c r="B624">
        <v>0</v>
      </c>
      <c r="C624" s="44">
        <v>3000</v>
      </c>
      <c r="D624" t="s">
        <v>293</v>
      </c>
      <c r="E624" t="s">
        <v>256</v>
      </c>
      <c r="F624">
        <v>4</v>
      </c>
    </row>
    <row r="625" spans="1:6" ht="13.2">
      <c r="A625" t="s">
        <v>4430</v>
      </c>
      <c r="B625">
        <v>0</v>
      </c>
      <c r="C625" s="44">
        <v>3000</v>
      </c>
      <c r="D625" t="s">
        <v>293</v>
      </c>
      <c r="E625" t="s">
        <v>256</v>
      </c>
      <c r="F625">
        <v>4</v>
      </c>
    </row>
    <row r="626" spans="1:6" ht="13.2">
      <c r="A626" t="s">
        <v>4443</v>
      </c>
      <c r="B626">
        <v>0</v>
      </c>
      <c r="C626" s="44">
        <v>3000</v>
      </c>
      <c r="D626" t="s">
        <v>293</v>
      </c>
      <c r="E626" t="s">
        <v>256</v>
      </c>
      <c r="F626">
        <v>4</v>
      </c>
    </row>
    <row r="627" spans="1:6" ht="13.2">
      <c r="A627" t="s">
        <v>4431</v>
      </c>
      <c r="B627">
        <v>0</v>
      </c>
      <c r="C627" s="44">
        <v>3000</v>
      </c>
      <c r="D627" t="s">
        <v>293</v>
      </c>
      <c r="E627" t="s">
        <v>256</v>
      </c>
      <c r="F627">
        <v>4</v>
      </c>
    </row>
    <row r="628" spans="1:6" ht="13.2">
      <c r="A628" t="s">
        <v>4429</v>
      </c>
      <c r="B628">
        <v>0</v>
      </c>
      <c r="C628" s="44">
        <v>3000</v>
      </c>
      <c r="D628" t="s">
        <v>293</v>
      </c>
      <c r="E628" t="s">
        <v>256</v>
      </c>
      <c r="F628">
        <v>4</v>
      </c>
    </row>
    <row r="629" spans="1:6" ht="13.2">
      <c r="A629" t="s">
        <v>4432</v>
      </c>
      <c r="B629">
        <v>0</v>
      </c>
      <c r="C629" s="44">
        <v>3000</v>
      </c>
      <c r="D629" t="s">
        <v>293</v>
      </c>
      <c r="E629" t="s">
        <v>256</v>
      </c>
      <c r="F629">
        <v>4</v>
      </c>
    </row>
    <row r="630" spans="1:6" ht="13.2">
      <c r="A630" t="s">
        <v>4433</v>
      </c>
      <c r="B630">
        <v>0</v>
      </c>
      <c r="C630" s="44">
        <v>3000</v>
      </c>
      <c r="D630" t="s">
        <v>293</v>
      </c>
      <c r="E630" t="s">
        <v>256</v>
      </c>
      <c r="F630">
        <v>4</v>
      </c>
    </row>
    <row r="631" spans="1:6" ht="13.2">
      <c r="A631" t="s">
        <v>4444</v>
      </c>
      <c r="B631">
        <v>0</v>
      </c>
      <c r="C631" s="44">
        <v>3000</v>
      </c>
      <c r="D631" t="s">
        <v>293</v>
      </c>
      <c r="E631" t="s">
        <v>256</v>
      </c>
      <c r="F631">
        <v>4</v>
      </c>
    </row>
    <row r="632" spans="1:6" ht="13.2">
      <c r="A632" t="s">
        <v>4439</v>
      </c>
      <c r="B632">
        <v>0</v>
      </c>
      <c r="C632" s="44">
        <v>3000</v>
      </c>
      <c r="D632" t="s">
        <v>293</v>
      </c>
      <c r="E632" t="s">
        <v>256</v>
      </c>
      <c r="F632">
        <v>4</v>
      </c>
    </row>
    <row r="633" spans="1:6" ht="13.2">
      <c r="A633" t="s">
        <v>4441</v>
      </c>
      <c r="B633">
        <v>0</v>
      </c>
      <c r="C633" s="44">
        <v>3000</v>
      </c>
      <c r="D633" t="s">
        <v>293</v>
      </c>
      <c r="E633" t="s">
        <v>256</v>
      </c>
      <c r="F633">
        <v>4</v>
      </c>
    </row>
    <row r="634" spans="1:6" ht="13.2">
      <c r="A634" t="s">
        <v>4442</v>
      </c>
      <c r="B634">
        <v>0</v>
      </c>
      <c r="C634" s="44">
        <v>3000</v>
      </c>
      <c r="D634" t="s">
        <v>293</v>
      </c>
      <c r="E634" t="s">
        <v>256</v>
      </c>
      <c r="F634">
        <v>4</v>
      </c>
    </row>
    <row r="635" spans="1:6" ht="13.2">
      <c r="A635" t="s">
        <v>4436</v>
      </c>
      <c r="B635">
        <v>0</v>
      </c>
      <c r="C635" s="44">
        <v>3000</v>
      </c>
      <c r="D635" t="s">
        <v>293</v>
      </c>
      <c r="E635" t="s">
        <v>256</v>
      </c>
      <c r="F635">
        <v>4</v>
      </c>
    </row>
    <row r="636" spans="1:6" ht="13.2">
      <c r="A636" t="s">
        <v>4437</v>
      </c>
      <c r="B636">
        <v>0</v>
      </c>
      <c r="C636" s="44">
        <v>3000</v>
      </c>
      <c r="D636" t="s">
        <v>293</v>
      </c>
      <c r="E636" t="s">
        <v>256</v>
      </c>
      <c r="F636">
        <v>4</v>
      </c>
    </row>
    <row r="637" spans="1:6" ht="13.2">
      <c r="A637" t="s">
        <v>4434</v>
      </c>
      <c r="B637">
        <v>0</v>
      </c>
      <c r="C637" s="44">
        <v>3000</v>
      </c>
      <c r="D637" t="s">
        <v>293</v>
      </c>
      <c r="E637" t="s">
        <v>256</v>
      </c>
      <c r="F637">
        <v>4</v>
      </c>
    </row>
    <row r="638" spans="1:6" ht="13.2">
      <c r="A638" t="s">
        <v>4438</v>
      </c>
      <c r="B638">
        <v>0</v>
      </c>
      <c r="C638" s="44">
        <v>3000</v>
      </c>
      <c r="D638" t="s">
        <v>293</v>
      </c>
      <c r="E638" t="s">
        <v>256</v>
      </c>
      <c r="F638">
        <v>4</v>
      </c>
    </row>
    <row r="639" spans="1:6" ht="13.2">
      <c r="A639" t="s">
        <v>4440</v>
      </c>
      <c r="B639">
        <v>0</v>
      </c>
      <c r="C639" s="44">
        <v>3000</v>
      </c>
      <c r="D639" t="s">
        <v>293</v>
      </c>
      <c r="E639" t="s">
        <v>256</v>
      </c>
      <c r="F639">
        <v>4</v>
      </c>
    </row>
    <row r="640" spans="1:6" ht="13.2">
      <c r="A640" t="s">
        <v>2101</v>
      </c>
      <c r="B640">
        <v>0</v>
      </c>
      <c r="C640" s="44">
        <v>1400</v>
      </c>
      <c r="D640" t="s">
        <v>291</v>
      </c>
      <c r="E640" t="s">
        <v>512</v>
      </c>
      <c r="F640">
        <v>4</v>
      </c>
    </row>
    <row r="641" spans="1:6" ht="13.2">
      <c r="A641" t="s">
        <v>2102</v>
      </c>
      <c r="B641">
        <v>0</v>
      </c>
      <c r="C641" s="44">
        <v>1400</v>
      </c>
      <c r="D641" t="s">
        <v>291</v>
      </c>
      <c r="E641" t="s">
        <v>512</v>
      </c>
      <c r="F641">
        <v>4</v>
      </c>
    </row>
    <row r="642" spans="1:6" ht="13.2">
      <c r="A642" t="s">
        <v>2103</v>
      </c>
      <c r="B642">
        <v>0</v>
      </c>
      <c r="C642" s="44">
        <v>1400</v>
      </c>
      <c r="D642" t="s">
        <v>291</v>
      </c>
      <c r="E642" t="s">
        <v>512</v>
      </c>
      <c r="F642">
        <v>4</v>
      </c>
    </row>
    <row r="643" spans="1:6" ht="13.2">
      <c r="A643" t="s">
        <v>2104</v>
      </c>
      <c r="B643">
        <v>0</v>
      </c>
      <c r="C643" s="44">
        <v>1400</v>
      </c>
      <c r="D643" t="s">
        <v>291</v>
      </c>
      <c r="E643" t="s">
        <v>512</v>
      </c>
      <c r="F643">
        <v>4</v>
      </c>
    </row>
    <row r="644" spans="1:6" ht="13.2">
      <c r="A644" t="s">
        <v>2105</v>
      </c>
      <c r="B644">
        <v>0</v>
      </c>
      <c r="C644" s="44">
        <v>1400</v>
      </c>
      <c r="D644" t="s">
        <v>291</v>
      </c>
      <c r="E644" t="s">
        <v>512</v>
      </c>
      <c r="F644">
        <v>4</v>
      </c>
    </row>
    <row r="645" spans="1:6" ht="13.2">
      <c r="A645" t="s">
        <v>2106</v>
      </c>
      <c r="B645">
        <v>0</v>
      </c>
      <c r="C645" s="44">
        <v>1400</v>
      </c>
      <c r="D645" t="s">
        <v>291</v>
      </c>
      <c r="E645" t="s">
        <v>512</v>
      </c>
      <c r="F645">
        <v>4</v>
      </c>
    </row>
    <row r="646" spans="1:6" ht="13.2">
      <c r="A646" t="s">
        <v>2107</v>
      </c>
      <c r="B646">
        <v>0</v>
      </c>
      <c r="C646" s="44">
        <v>1400</v>
      </c>
      <c r="D646" t="s">
        <v>291</v>
      </c>
      <c r="E646" t="s">
        <v>512</v>
      </c>
      <c r="F646">
        <v>4</v>
      </c>
    </row>
    <row r="647" spans="1:6" ht="13.2">
      <c r="A647" t="s">
        <v>2108</v>
      </c>
      <c r="B647">
        <v>0</v>
      </c>
      <c r="C647" s="44">
        <v>1400</v>
      </c>
      <c r="D647" t="s">
        <v>291</v>
      </c>
      <c r="E647" t="s">
        <v>512</v>
      </c>
      <c r="F647">
        <v>4</v>
      </c>
    </row>
    <row r="648" spans="1:6" ht="13.2">
      <c r="A648" t="s">
        <v>2109</v>
      </c>
      <c r="B648">
        <v>0</v>
      </c>
      <c r="C648" s="44">
        <v>1400</v>
      </c>
      <c r="D648" t="s">
        <v>291</v>
      </c>
      <c r="E648" t="s">
        <v>512</v>
      </c>
      <c r="F648">
        <v>4</v>
      </c>
    </row>
    <row r="649" spans="1:6" ht="13.2">
      <c r="A649" t="s">
        <v>2110</v>
      </c>
      <c r="B649">
        <v>0</v>
      </c>
      <c r="C649" s="44">
        <v>1400</v>
      </c>
      <c r="D649" t="s">
        <v>291</v>
      </c>
      <c r="E649" t="s">
        <v>512</v>
      </c>
      <c r="F649">
        <v>4</v>
      </c>
    </row>
    <row r="650" spans="1:6" ht="13.2">
      <c r="A650" t="s">
        <v>3110</v>
      </c>
      <c r="B650">
        <v>0</v>
      </c>
      <c r="C650" s="44">
        <v>1500</v>
      </c>
      <c r="D650" t="s">
        <v>291</v>
      </c>
      <c r="E650" t="s">
        <v>256</v>
      </c>
      <c r="F650">
        <v>4</v>
      </c>
    </row>
    <row r="651" spans="1:6" ht="13.2">
      <c r="A651" t="s">
        <v>3093</v>
      </c>
      <c r="B651">
        <v>0</v>
      </c>
      <c r="C651" s="44">
        <v>1500</v>
      </c>
      <c r="D651" t="s">
        <v>291</v>
      </c>
      <c r="E651" t="s">
        <v>256</v>
      </c>
      <c r="F651">
        <v>4</v>
      </c>
    </row>
    <row r="652" spans="1:6" ht="13.2">
      <c r="A652" t="s">
        <v>3111</v>
      </c>
      <c r="B652">
        <v>0</v>
      </c>
      <c r="C652" s="44">
        <v>1500</v>
      </c>
      <c r="D652" t="s">
        <v>291</v>
      </c>
      <c r="E652" t="s">
        <v>256</v>
      </c>
      <c r="F652">
        <v>4</v>
      </c>
    </row>
    <row r="653" spans="1:6" ht="13.2">
      <c r="A653" t="s">
        <v>3102</v>
      </c>
      <c r="B653">
        <v>0</v>
      </c>
      <c r="C653" s="44">
        <v>1500</v>
      </c>
      <c r="D653" t="s">
        <v>291</v>
      </c>
      <c r="E653" t="s">
        <v>256</v>
      </c>
      <c r="F653">
        <v>4</v>
      </c>
    </row>
    <row r="654" spans="1:6" ht="13.2">
      <c r="A654" t="s">
        <v>3099</v>
      </c>
      <c r="B654">
        <v>0</v>
      </c>
      <c r="C654" s="44">
        <v>1500</v>
      </c>
      <c r="D654" t="s">
        <v>291</v>
      </c>
      <c r="E654" t="s">
        <v>256</v>
      </c>
      <c r="F654">
        <v>4</v>
      </c>
    </row>
    <row r="655" spans="1:6" ht="13.2">
      <c r="A655" t="s">
        <v>3109</v>
      </c>
      <c r="B655">
        <v>0</v>
      </c>
      <c r="C655" s="44">
        <v>1500</v>
      </c>
      <c r="D655" t="s">
        <v>291</v>
      </c>
      <c r="E655" t="s">
        <v>256</v>
      </c>
      <c r="F655">
        <v>4</v>
      </c>
    </row>
    <row r="656" spans="1:6" ht="13.2">
      <c r="A656" t="s">
        <v>3094</v>
      </c>
      <c r="B656">
        <v>0</v>
      </c>
      <c r="C656" s="44">
        <v>1500</v>
      </c>
      <c r="D656" t="s">
        <v>291</v>
      </c>
      <c r="E656" t="s">
        <v>256</v>
      </c>
      <c r="F656">
        <v>4</v>
      </c>
    </row>
    <row r="657" spans="1:6" ht="13.2">
      <c r="A657" t="s">
        <v>3105</v>
      </c>
      <c r="B657">
        <v>0</v>
      </c>
      <c r="C657" s="44">
        <v>1500</v>
      </c>
      <c r="D657" t="s">
        <v>291</v>
      </c>
      <c r="E657" t="s">
        <v>256</v>
      </c>
      <c r="F657">
        <v>4</v>
      </c>
    </row>
    <row r="658" spans="1:6" ht="13.2">
      <c r="A658" t="s">
        <v>3103</v>
      </c>
      <c r="B658">
        <v>0</v>
      </c>
      <c r="C658" s="44">
        <v>1500</v>
      </c>
      <c r="D658" t="s">
        <v>291</v>
      </c>
      <c r="E658" t="s">
        <v>256</v>
      </c>
      <c r="F658">
        <v>4</v>
      </c>
    </row>
    <row r="659" spans="1:6" ht="13.2">
      <c r="A659" t="s">
        <v>3101</v>
      </c>
      <c r="B659">
        <v>0</v>
      </c>
      <c r="C659" s="44">
        <v>1500</v>
      </c>
      <c r="D659" t="s">
        <v>291</v>
      </c>
      <c r="E659" t="s">
        <v>256</v>
      </c>
      <c r="F659">
        <v>4</v>
      </c>
    </row>
    <row r="660" spans="1:6" ht="13.2">
      <c r="A660" t="s">
        <v>3113</v>
      </c>
      <c r="B660">
        <v>0</v>
      </c>
      <c r="C660" s="44">
        <v>1500</v>
      </c>
      <c r="D660" t="s">
        <v>291</v>
      </c>
      <c r="E660" t="s">
        <v>256</v>
      </c>
      <c r="F660">
        <v>4</v>
      </c>
    </row>
    <row r="661" spans="1:6" ht="13.2">
      <c r="A661" t="s">
        <v>3106</v>
      </c>
      <c r="B661">
        <v>0</v>
      </c>
      <c r="C661" s="44">
        <v>1500</v>
      </c>
      <c r="D661" t="s">
        <v>291</v>
      </c>
      <c r="E661" t="s">
        <v>256</v>
      </c>
      <c r="F661">
        <v>4</v>
      </c>
    </row>
    <row r="662" spans="1:6" ht="13.2">
      <c r="A662" t="s">
        <v>3107</v>
      </c>
      <c r="B662">
        <v>0</v>
      </c>
      <c r="C662" s="44">
        <v>1500</v>
      </c>
      <c r="D662" t="s">
        <v>291</v>
      </c>
      <c r="E662" t="s">
        <v>256</v>
      </c>
      <c r="F662">
        <v>4</v>
      </c>
    </row>
    <row r="663" spans="1:6" ht="13.2">
      <c r="A663" t="s">
        <v>3098</v>
      </c>
      <c r="B663">
        <v>0</v>
      </c>
      <c r="C663" s="44">
        <v>1500</v>
      </c>
      <c r="D663" t="s">
        <v>291</v>
      </c>
      <c r="E663" t="s">
        <v>256</v>
      </c>
      <c r="F663">
        <v>4</v>
      </c>
    </row>
    <row r="664" spans="1:6" ht="13.2">
      <c r="A664" t="s">
        <v>3108</v>
      </c>
      <c r="B664">
        <v>0</v>
      </c>
      <c r="C664" s="44">
        <v>1500</v>
      </c>
      <c r="D664" t="s">
        <v>291</v>
      </c>
      <c r="E664" t="s">
        <v>256</v>
      </c>
      <c r="F664">
        <v>4</v>
      </c>
    </row>
    <row r="665" spans="1:6" ht="13.2">
      <c r="A665" t="s">
        <v>3092</v>
      </c>
      <c r="B665">
        <v>0</v>
      </c>
      <c r="C665" s="44">
        <v>1500</v>
      </c>
      <c r="D665" t="s">
        <v>291</v>
      </c>
      <c r="E665" t="s">
        <v>256</v>
      </c>
      <c r="F665">
        <v>4</v>
      </c>
    </row>
    <row r="666" spans="1:6" ht="13.2">
      <c r="A666" t="s">
        <v>3097</v>
      </c>
      <c r="B666">
        <v>0</v>
      </c>
      <c r="C666" s="44">
        <v>1500</v>
      </c>
      <c r="D666" t="s">
        <v>291</v>
      </c>
      <c r="E666" t="s">
        <v>256</v>
      </c>
      <c r="F666">
        <v>4</v>
      </c>
    </row>
    <row r="667" spans="1:6" ht="13.2">
      <c r="A667" t="s">
        <v>3104</v>
      </c>
      <c r="B667">
        <v>0</v>
      </c>
      <c r="C667" s="44">
        <v>1500</v>
      </c>
      <c r="D667" t="s">
        <v>291</v>
      </c>
      <c r="E667" t="s">
        <v>256</v>
      </c>
      <c r="F667">
        <v>4</v>
      </c>
    </row>
    <row r="668" spans="1:6" ht="13.2">
      <c r="A668" t="s">
        <v>3100</v>
      </c>
      <c r="B668">
        <v>0</v>
      </c>
      <c r="C668" s="44">
        <v>1500</v>
      </c>
      <c r="D668" t="s">
        <v>291</v>
      </c>
      <c r="E668" t="s">
        <v>256</v>
      </c>
      <c r="F668">
        <v>4</v>
      </c>
    </row>
    <row r="669" spans="1:6" ht="13.2">
      <c r="A669" t="s">
        <v>3112</v>
      </c>
      <c r="B669">
        <v>0</v>
      </c>
      <c r="C669" s="44">
        <v>1500</v>
      </c>
      <c r="D669" t="s">
        <v>291</v>
      </c>
      <c r="E669" t="s">
        <v>256</v>
      </c>
      <c r="F669">
        <v>4</v>
      </c>
    </row>
    <row r="670" spans="1:6" ht="13.2">
      <c r="A670" t="s">
        <v>3114</v>
      </c>
      <c r="B670">
        <v>0</v>
      </c>
      <c r="C670" s="44">
        <v>1500</v>
      </c>
      <c r="D670" t="s">
        <v>291</v>
      </c>
      <c r="E670" t="s">
        <v>256</v>
      </c>
      <c r="F670">
        <v>4</v>
      </c>
    </row>
    <row r="671" spans="1:6" ht="13.2">
      <c r="A671" t="s">
        <v>3095</v>
      </c>
      <c r="B671">
        <v>0</v>
      </c>
      <c r="C671" s="44">
        <v>1500</v>
      </c>
      <c r="D671" t="s">
        <v>291</v>
      </c>
      <c r="E671" t="s">
        <v>256</v>
      </c>
      <c r="F671">
        <v>4</v>
      </c>
    </row>
    <row r="672" spans="1:6" ht="13.2">
      <c r="A672" t="s">
        <v>3115</v>
      </c>
      <c r="B672">
        <v>0</v>
      </c>
      <c r="C672" s="44">
        <v>1500</v>
      </c>
      <c r="D672" t="s">
        <v>291</v>
      </c>
      <c r="E672" t="s">
        <v>256</v>
      </c>
      <c r="F672">
        <v>4</v>
      </c>
    </row>
    <row r="673" spans="1:6" ht="13.2">
      <c r="A673" t="s">
        <v>3096</v>
      </c>
      <c r="B673">
        <v>0</v>
      </c>
      <c r="C673" s="44">
        <v>1500</v>
      </c>
      <c r="D673" t="s">
        <v>291</v>
      </c>
      <c r="E673" t="s">
        <v>256</v>
      </c>
      <c r="F673">
        <v>4</v>
      </c>
    </row>
    <row r="674" spans="1:6" ht="13.2">
      <c r="A674" t="s">
        <v>677</v>
      </c>
      <c r="B674">
        <v>0</v>
      </c>
      <c r="C674" s="44">
        <v>1500</v>
      </c>
      <c r="D674" t="s">
        <v>291</v>
      </c>
      <c r="E674" t="s">
        <v>658</v>
      </c>
      <c r="F674" t="s">
        <v>280</v>
      </c>
    </row>
    <row r="675" spans="1:6" ht="13.2">
      <c r="A675" t="s">
        <v>660</v>
      </c>
      <c r="B675">
        <v>0</v>
      </c>
      <c r="C675" s="44">
        <v>1500</v>
      </c>
      <c r="D675" t="s">
        <v>291</v>
      </c>
      <c r="E675" t="s">
        <v>658</v>
      </c>
      <c r="F675" t="s">
        <v>280</v>
      </c>
    </row>
    <row r="676" spans="1:6" ht="13.2">
      <c r="A676" t="s">
        <v>678</v>
      </c>
      <c r="B676">
        <v>0</v>
      </c>
      <c r="C676" s="44">
        <v>1500</v>
      </c>
      <c r="D676" t="s">
        <v>291</v>
      </c>
      <c r="E676" t="s">
        <v>658</v>
      </c>
      <c r="F676" t="s">
        <v>280</v>
      </c>
    </row>
    <row r="677" spans="1:6" ht="13.2">
      <c r="A677" t="s">
        <v>669</v>
      </c>
      <c r="B677">
        <v>0</v>
      </c>
      <c r="C677" s="44">
        <v>1500</v>
      </c>
      <c r="D677" t="s">
        <v>291</v>
      </c>
      <c r="E677" t="s">
        <v>658</v>
      </c>
      <c r="F677" t="s">
        <v>280</v>
      </c>
    </row>
    <row r="678" spans="1:6" ht="13.2">
      <c r="A678" t="s">
        <v>666</v>
      </c>
      <c r="B678">
        <v>0</v>
      </c>
      <c r="C678" s="44">
        <v>1500</v>
      </c>
      <c r="D678" t="s">
        <v>291</v>
      </c>
      <c r="E678" t="s">
        <v>658</v>
      </c>
      <c r="F678" t="s">
        <v>280</v>
      </c>
    </row>
    <row r="679" spans="1:6" ht="13.2">
      <c r="A679" t="s">
        <v>676</v>
      </c>
      <c r="B679">
        <v>0</v>
      </c>
      <c r="C679" s="44">
        <v>1500</v>
      </c>
      <c r="D679" t="s">
        <v>291</v>
      </c>
      <c r="E679" t="s">
        <v>658</v>
      </c>
      <c r="F679" t="s">
        <v>280</v>
      </c>
    </row>
    <row r="680" spans="1:6" ht="13.2">
      <c r="A680" t="s">
        <v>661</v>
      </c>
      <c r="B680">
        <v>0</v>
      </c>
      <c r="C680" s="44">
        <v>1500</v>
      </c>
      <c r="D680" t="s">
        <v>291</v>
      </c>
      <c r="E680" t="s">
        <v>658</v>
      </c>
      <c r="F680" t="s">
        <v>280</v>
      </c>
    </row>
    <row r="681" spans="1:6" ht="13.2">
      <c r="A681" t="s">
        <v>672</v>
      </c>
      <c r="B681">
        <v>0</v>
      </c>
      <c r="C681" s="44">
        <v>1500</v>
      </c>
      <c r="D681" t="s">
        <v>291</v>
      </c>
      <c r="E681" t="s">
        <v>658</v>
      </c>
      <c r="F681" t="s">
        <v>280</v>
      </c>
    </row>
    <row r="682" spans="1:6" ht="13.2">
      <c r="A682" t="s">
        <v>670</v>
      </c>
      <c r="B682">
        <v>0</v>
      </c>
      <c r="C682" s="44">
        <v>1500</v>
      </c>
      <c r="D682" t="s">
        <v>291</v>
      </c>
      <c r="E682" t="s">
        <v>658</v>
      </c>
      <c r="F682" t="s">
        <v>280</v>
      </c>
    </row>
    <row r="683" spans="1:6" ht="13.2">
      <c r="A683" t="s">
        <v>668</v>
      </c>
      <c r="B683">
        <v>0</v>
      </c>
      <c r="C683" s="44">
        <v>1500</v>
      </c>
      <c r="D683" t="s">
        <v>291</v>
      </c>
      <c r="E683" t="s">
        <v>658</v>
      </c>
      <c r="F683" t="s">
        <v>280</v>
      </c>
    </row>
    <row r="684" spans="1:6" ht="13.2">
      <c r="A684" t="s">
        <v>680</v>
      </c>
      <c r="B684">
        <v>0</v>
      </c>
      <c r="C684" s="44">
        <v>1500</v>
      </c>
      <c r="D684" t="s">
        <v>291</v>
      </c>
      <c r="E684" t="s">
        <v>658</v>
      </c>
      <c r="F684" t="s">
        <v>280</v>
      </c>
    </row>
    <row r="685" spans="1:6" ht="13.2">
      <c r="A685" t="s">
        <v>673</v>
      </c>
      <c r="B685">
        <v>0</v>
      </c>
      <c r="C685" s="44">
        <v>1500</v>
      </c>
      <c r="D685" t="s">
        <v>291</v>
      </c>
      <c r="E685" t="s">
        <v>658</v>
      </c>
      <c r="F685" t="s">
        <v>280</v>
      </c>
    </row>
    <row r="686" spans="1:6" ht="13.2">
      <c r="A686" t="s">
        <v>674</v>
      </c>
      <c r="B686">
        <v>0</v>
      </c>
      <c r="C686" s="44">
        <v>1500</v>
      </c>
      <c r="D686" t="s">
        <v>291</v>
      </c>
      <c r="E686" t="s">
        <v>658</v>
      </c>
      <c r="F686" t="s">
        <v>280</v>
      </c>
    </row>
    <row r="687" spans="1:6" ht="13.2">
      <c r="A687" t="s">
        <v>665</v>
      </c>
      <c r="B687">
        <v>0</v>
      </c>
      <c r="C687" s="44">
        <v>1500</v>
      </c>
      <c r="D687" t="s">
        <v>291</v>
      </c>
      <c r="E687" t="s">
        <v>658</v>
      </c>
      <c r="F687" t="s">
        <v>280</v>
      </c>
    </row>
    <row r="688" spans="1:6" ht="13.2">
      <c r="A688" t="s">
        <v>675</v>
      </c>
      <c r="B688">
        <v>0</v>
      </c>
      <c r="C688" s="44">
        <v>1500</v>
      </c>
      <c r="D688" t="s">
        <v>291</v>
      </c>
      <c r="E688" t="s">
        <v>658</v>
      </c>
      <c r="F688" t="s">
        <v>280</v>
      </c>
    </row>
    <row r="689" spans="1:6" ht="13.2">
      <c r="A689" t="s">
        <v>659</v>
      </c>
      <c r="B689">
        <v>0</v>
      </c>
      <c r="C689" s="44">
        <v>1500</v>
      </c>
      <c r="D689" t="s">
        <v>291</v>
      </c>
      <c r="E689" t="s">
        <v>658</v>
      </c>
      <c r="F689" t="s">
        <v>280</v>
      </c>
    </row>
    <row r="690" spans="1:6" ht="13.2">
      <c r="A690" t="s">
        <v>664</v>
      </c>
      <c r="B690">
        <v>0</v>
      </c>
      <c r="C690" s="44">
        <v>1500</v>
      </c>
      <c r="D690" t="s">
        <v>291</v>
      </c>
      <c r="E690" t="s">
        <v>658</v>
      </c>
      <c r="F690" t="s">
        <v>280</v>
      </c>
    </row>
    <row r="691" spans="1:6" ht="13.2">
      <c r="A691" t="s">
        <v>671</v>
      </c>
      <c r="B691">
        <v>0</v>
      </c>
      <c r="C691" s="44">
        <v>1500</v>
      </c>
      <c r="D691" t="s">
        <v>291</v>
      </c>
      <c r="E691" t="s">
        <v>658</v>
      </c>
      <c r="F691" t="s">
        <v>280</v>
      </c>
    </row>
    <row r="692" spans="1:6" ht="13.2">
      <c r="A692" t="s">
        <v>667</v>
      </c>
      <c r="B692">
        <v>0</v>
      </c>
      <c r="C692" s="44">
        <v>1500</v>
      </c>
      <c r="D692" t="s">
        <v>291</v>
      </c>
      <c r="E692" t="s">
        <v>658</v>
      </c>
      <c r="F692" t="s">
        <v>280</v>
      </c>
    </row>
    <row r="693" spans="1:6" ht="13.2">
      <c r="A693" t="s">
        <v>679</v>
      </c>
      <c r="B693">
        <v>0</v>
      </c>
      <c r="C693" s="44">
        <v>1500</v>
      </c>
      <c r="D693" t="s">
        <v>291</v>
      </c>
      <c r="E693" t="s">
        <v>658</v>
      </c>
      <c r="F693" t="s">
        <v>280</v>
      </c>
    </row>
    <row r="694" spans="1:6" ht="13.2">
      <c r="A694" t="s">
        <v>681</v>
      </c>
      <c r="B694">
        <v>0</v>
      </c>
      <c r="C694" s="44">
        <v>1500</v>
      </c>
      <c r="D694" t="s">
        <v>291</v>
      </c>
      <c r="E694" t="s">
        <v>658</v>
      </c>
      <c r="F694" t="s">
        <v>280</v>
      </c>
    </row>
    <row r="695" spans="1:6" ht="13.2">
      <c r="A695" t="s">
        <v>662</v>
      </c>
      <c r="B695">
        <v>0</v>
      </c>
      <c r="C695" s="44">
        <v>1500</v>
      </c>
      <c r="D695" t="s">
        <v>291</v>
      </c>
      <c r="E695" t="s">
        <v>658</v>
      </c>
      <c r="F695" t="s">
        <v>280</v>
      </c>
    </row>
    <row r="696" spans="1:6" ht="13.2">
      <c r="A696" t="s">
        <v>682</v>
      </c>
      <c r="B696">
        <v>0</v>
      </c>
      <c r="C696" s="44">
        <v>1500</v>
      </c>
      <c r="D696" t="s">
        <v>291</v>
      </c>
      <c r="E696" t="s">
        <v>658</v>
      </c>
      <c r="F696" t="s">
        <v>280</v>
      </c>
    </row>
    <row r="697" spans="1:6" ht="13.2">
      <c r="A697" t="s">
        <v>663</v>
      </c>
      <c r="B697">
        <v>0</v>
      </c>
      <c r="C697" s="44">
        <v>1500</v>
      </c>
      <c r="D697" t="s">
        <v>291</v>
      </c>
      <c r="E697" t="s">
        <v>658</v>
      </c>
      <c r="F697" t="s">
        <v>280</v>
      </c>
    </row>
    <row r="698" spans="1:6" ht="13.2">
      <c r="A698" t="s">
        <v>300</v>
      </c>
      <c r="B698">
        <v>0</v>
      </c>
      <c r="C698" s="44" t="s">
        <v>207</v>
      </c>
      <c r="D698" t="s">
        <v>291</v>
      </c>
      <c r="E698" t="s">
        <v>257</v>
      </c>
      <c r="F698">
        <v>4</v>
      </c>
    </row>
    <row r="699" spans="1:6" ht="13.2">
      <c r="A699" t="s">
        <v>301</v>
      </c>
      <c r="B699">
        <v>0</v>
      </c>
      <c r="C699" s="44" t="s">
        <v>207</v>
      </c>
      <c r="D699" t="s">
        <v>291</v>
      </c>
      <c r="E699" t="s">
        <v>257</v>
      </c>
      <c r="F699">
        <v>4</v>
      </c>
    </row>
    <row r="700" spans="1:6" ht="13.2">
      <c r="A700" t="s">
        <v>302</v>
      </c>
      <c r="B700">
        <v>0</v>
      </c>
      <c r="C700" s="44" t="s">
        <v>207</v>
      </c>
      <c r="D700" t="s">
        <v>291</v>
      </c>
      <c r="E700" t="s">
        <v>257</v>
      </c>
      <c r="F700">
        <v>4</v>
      </c>
    </row>
    <row r="701" spans="1:6" ht="13.2">
      <c r="A701" t="s">
        <v>303</v>
      </c>
      <c r="B701">
        <v>0</v>
      </c>
      <c r="C701" s="44" t="s">
        <v>207</v>
      </c>
      <c r="D701" t="s">
        <v>291</v>
      </c>
      <c r="E701" t="s">
        <v>257</v>
      </c>
      <c r="F701">
        <v>4</v>
      </c>
    </row>
    <row r="702" spans="1:6" ht="13.2">
      <c r="A702" t="s">
        <v>304</v>
      </c>
      <c r="B702">
        <v>0</v>
      </c>
      <c r="C702" s="44" t="s">
        <v>207</v>
      </c>
      <c r="D702" t="s">
        <v>291</v>
      </c>
      <c r="E702" t="s">
        <v>257</v>
      </c>
      <c r="F702">
        <v>4</v>
      </c>
    </row>
    <row r="703" spans="1:6" ht="13.2">
      <c r="A703" t="s">
        <v>305</v>
      </c>
      <c r="B703">
        <v>0</v>
      </c>
      <c r="C703" s="44" t="s">
        <v>207</v>
      </c>
      <c r="D703" t="s">
        <v>291</v>
      </c>
      <c r="E703" t="s">
        <v>257</v>
      </c>
      <c r="F703">
        <v>4</v>
      </c>
    </row>
    <row r="704" spans="1:6" ht="13.2">
      <c r="A704" t="s">
        <v>306</v>
      </c>
      <c r="B704">
        <v>0</v>
      </c>
      <c r="C704" s="44" t="s">
        <v>207</v>
      </c>
      <c r="D704" t="s">
        <v>291</v>
      </c>
      <c r="E704" t="s">
        <v>257</v>
      </c>
      <c r="F704">
        <v>4</v>
      </c>
    </row>
    <row r="705" spans="1:6" ht="13.2">
      <c r="A705" t="s">
        <v>307</v>
      </c>
      <c r="B705">
        <v>0</v>
      </c>
      <c r="C705" s="44" t="s">
        <v>207</v>
      </c>
      <c r="D705" t="s">
        <v>291</v>
      </c>
      <c r="E705" t="s">
        <v>257</v>
      </c>
      <c r="F705">
        <v>4</v>
      </c>
    </row>
    <row r="706" spans="1:6" ht="13.2">
      <c r="A706" t="s">
        <v>308</v>
      </c>
      <c r="B706">
        <v>0</v>
      </c>
      <c r="C706" s="44" t="s">
        <v>207</v>
      </c>
      <c r="D706" t="s">
        <v>291</v>
      </c>
      <c r="E706" t="s">
        <v>257</v>
      </c>
      <c r="F706">
        <v>4</v>
      </c>
    </row>
    <row r="707" spans="1:6" ht="13.2">
      <c r="A707" t="s">
        <v>309</v>
      </c>
      <c r="B707">
        <v>0</v>
      </c>
      <c r="C707" s="44" t="s">
        <v>207</v>
      </c>
      <c r="D707" t="s">
        <v>291</v>
      </c>
      <c r="E707" t="s">
        <v>257</v>
      </c>
      <c r="F707">
        <v>4</v>
      </c>
    </row>
    <row r="708" spans="1:6" ht="13.2">
      <c r="A708" t="s">
        <v>310</v>
      </c>
      <c r="B708">
        <v>0</v>
      </c>
      <c r="C708" s="44" t="s">
        <v>207</v>
      </c>
      <c r="D708" t="s">
        <v>291</v>
      </c>
      <c r="E708" t="s">
        <v>257</v>
      </c>
      <c r="F708">
        <v>4</v>
      </c>
    </row>
    <row r="709" spans="1:6" ht="13.2">
      <c r="A709" t="s">
        <v>311</v>
      </c>
      <c r="B709">
        <v>0</v>
      </c>
      <c r="C709" s="44" t="s">
        <v>207</v>
      </c>
      <c r="D709" t="s">
        <v>291</v>
      </c>
      <c r="E709" t="s">
        <v>257</v>
      </c>
      <c r="F709">
        <v>4</v>
      </c>
    </row>
    <row r="710" spans="1:6" ht="13.2">
      <c r="A710" t="s">
        <v>1488</v>
      </c>
      <c r="B710">
        <v>0</v>
      </c>
      <c r="C710" s="44">
        <v>3200</v>
      </c>
      <c r="D710" t="s">
        <v>293</v>
      </c>
      <c r="E710" t="s">
        <v>256</v>
      </c>
      <c r="F710">
        <v>4</v>
      </c>
    </row>
    <row r="711" spans="1:6" ht="13.2">
      <c r="A711" t="s">
        <v>1493</v>
      </c>
      <c r="B711">
        <v>0</v>
      </c>
      <c r="C711" s="44">
        <v>3200</v>
      </c>
      <c r="D711" t="s">
        <v>293</v>
      </c>
      <c r="E711" t="s">
        <v>256</v>
      </c>
      <c r="F711">
        <v>4</v>
      </c>
    </row>
    <row r="712" spans="1:6" ht="13.2">
      <c r="A712" t="s">
        <v>1489</v>
      </c>
      <c r="B712">
        <v>0</v>
      </c>
      <c r="C712" s="44">
        <v>3200</v>
      </c>
      <c r="D712" t="s">
        <v>293</v>
      </c>
      <c r="E712" t="s">
        <v>256</v>
      </c>
      <c r="F712">
        <v>4</v>
      </c>
    </row>
    <row r="713" spans="1:6" ht="13.2">
      <c r="A713" t="s">
        <v>1490</v>
      </c>
      <c r="B713">
        <v>0</v>
      </c>
      <c r="C713" s="44">
        <v>3200</v>
      </c>
      <c r="D713" t="s">
        <v>293</v>
      </c>
      <c r="E713" t="s">
        <v>256</v>
      </c>
      <c r="F713">
        <v>4</v>
      </c>
    </row>
    <row r="714" spans="1:6" ht="13.2">
      <c r="A714" t="s">
        <v>1487</v>
      </c>
      <c r="B714">
        <v>0</v>
      </c>
      <c r="C714" s="44">
        <v>3200</v>
      </c>
      <c r="D714" t="s">
        <v>293</v>
      </c>
      <c r="E714" t="s">
        <v>256</v>
      </c>
      <c r="F714">
        <v>4</v>
      </c>
    </row>
    <row r="715" spans="1:6" ht="13.2">
      <c r="A715" t="s">
        <v>1680</v>
      </c>
      <c r="B715">
        <v>0</v>
      </c>
      <c r="C715" s="44">
        <v>3200</v>
      </c>
      <c r="D715" t="s">
        <v>293</v>
      </c>
      <c r="E715" t="s">
        <v>256</v>
      </c>
      <c r="F715">
        <v>4</v>
      </c>
    </row>
    <row r="716" spans="1:6" ht="13.2">
      <c r="A716" t="s">
        <v>1498</v>
      </c>
      <c r="B716">
        <v>0</v>
      </c>
      <c r="C716" s="44">
        <v>3200</v>
      </c>
      <c r="D716" t="s">
        <v>293</v>
      </c>
      <c r="E716" t="s">
        <v>256</v>
      </c>
      <c r="F716">
        <v>4</v>
      </c>
    </row>
    <row r="717" spans="1:6" ht="13.2">
      <c r="A717" t="s">
        <v>1492</v>
      </c>
      <c r="B717">
        <v>0</v>
      </c>
      <c r="C717" s="44">
        <v>3200</v>
      </c>
      <c r="D717" t="s">
        <v>293</v>
      </c>
      <c r="E717" t="s">
        <v>256</v>
      </c>
      <c r="F717">
        <v>4</v>
      </c>
    </row>
    <row r="718" spans="1:6" ht="13.2">
      <c r="A718" t="s">
        <v>1679</v>
      </c>
      <c r="B718">
        <v>0</v>
      </c>
      <c r="C718" s="44">
        <v>3200</v>
      </c>
      <c r="D718" t="s">
        <v>293</v>
      </c>
      <c r="E718" t="s">
        <v>256</v>
      </c>
      <c r="F718">
        <v>4</v>
      </c>
    </row>
    <row r="719" spans="1:6" ht="13.2">
      <c r="A719" t="s">
        <v>1496</v>
      </c>
      <c r="B719">
        <v>0</v>
      </c>
      <c r="C719" s="44">
        <v>3200</v>
      </c>
      <c r="D719" t="s">
        <v>293</v>
      </c>
      <c r="E719" t="s">
        <v>256</v>
      </c>
      <c r="F719">
        <v>4</v>
      </c>
    </row>
    <row r="720" spans="1:6" ht="13.2">
      <c r="A720" t="s">
        <v>1681</v>
      </c>
      <c r="B720">
        <v>0</v>
      </c>
      <c r="C720" s="44">
        <v>3200</v>
      </c>
      <c r="D720" t="s">
        <v>293</v>
      </c>
      <c r="E720" t="s">
        <v>256</v>
      </c>
      <c r="F720">
        <v>4</v>
      </c>
    </row>
    <row r="721" spans="1:6" ht="13.2">
      <c r="A721" t="s">
        <v>1495</v>
      </c>
      <c r="B721">
        <v>0</v>
      </c>
      <c r="C721" s="44">
        <v>3200</v>
      </c>
      <c r="D721" t="s">
        <v>293</v>
      </c>
      <c r="E721" t="s">
        <v>256</v>
      </c>
      <c r="F721">
        <v>4</v>
      </c>
    </row>
    <row r="722" spans="1:6" ht="13.2">
      <c r="A722" t="s">
        <v>1486</v>
      </c>
      <c r="B722">
        <v>0</v>
      </c>
      <c r="C722" s="44">
        <v>3200</v>
      </c>
      <c r="D722" t="s">
        <v>293</v>
      </c>
      <c r="E722" t="s">
        <v>256</v>
      </c>
      <c r="F722">
        <v>4</v>
      </c>
    </row>
    <row r="723" spans="1:6" ht="13.2">
      <c r="A723" t="s">
        <v>1497</v>
      </c>
      <c r="B723">
        <v>0</v>
      </c>
      <c r="C723" s="44">
        <v>3200</v>
      </c>
      <c r="D723" t="s">
        <v>293</v>
      </c>
      <c r="E723" t="s">
        <v>256</v>
      </c>
      <c r="F723">
        <v>4</v>
      </c>
    </row>
    <row r="724" spans="1:6" ht="13.2">
      <c r="A724" t="s">
        <v>1494</v>
      </c>
      <c r="B724">
        <v>0</v>
      </c>
      <c r="C724" s="44">
        <v>3200</v>
      </c>
      <c r="D724" t="s">
        <v>293</v>
      </c>
      <c r="E724" t="s">
        <v>256</v>
      </c>
      <c r="F724">
        <v>4</v>
      </c>
    </row>
    <row r="725" spans="1:6" ht="13.2">
      <c r="A725" t="s">
        <v>1491</v>
      </c>
      <c r="B725">
        <v>0</v>
      </c>
      <c r="C725" s="44">
        <v>3200</v>
      </c>
      <c r="D725" t="s">
        <v>293</v>
      </c>
      <c r="E725" t="s">
        <v>256</v>
      </c>
      <c r="F725">
        <v>4</v>
      </c>
    </row>
    <row r="726" spans="1:6" ht="13.2">
      <c r="A726" t="s">
        <v>3409</v>
      </c>
      <c r="B726">
        <v>125</v>
      </c>
      <c r="C726" s="44">
        <v>1400</v>
      </c>
      <c r="D726" t="s">
        <v>291</v>
      </c>
      <c r="E726" t="s">
        <v>711</v>
      </c>
      <c r="F726">
        <v>4</v>
      </c>
    </row>
    <row r="727" spans="1:6" ht="13.2">
      <c r="A727" t="s">
        <v>3406</v>
      </c>
      <c r="B727">
        <v>125</v>
      </c>
      <c r="C727" s="44">
        <v>1400</v>
      </c>
      <c r="D727" t="s">
        <v>291</v>
      </c>
      <c r="E727" t="s">
        <v>711</v>
      </c>
      <c r="F727">
        <v>4</v>
      </c>
    </row>
    <row r="728" spans="1:6" ht="13.2">
      <c r="A728" t="s">
        <v>3408</v>
      </c>
      <c r="B728">
        <v>125</v>
      </c>
      <c r="C728" s="44">
        <v>1400</v>
      </c>
      <c r="D728" t="s">
        <v>291</v>
      </c>
      <c r="E728" t="s">
        <v>711</v>
      </c>
      <c r="F728">
        <v>4</v>
      </c>
    </row>
    <row r="729" spans="1:6" ht="13.2">
      <c r="A729" t="s">
        <v>3407</v>
      </c>
      <c r="B729">
        <v>125</v>
      </c>
      <c r="C729" s="44">
        <v>1400</v>
      </c>
      <c r="D729" t="s">
        <v>291</v>
      </c>
      <c r="E729" t="s">
        <v>711</v>
      </c>
      <c r="F729">
        <v>4</v>
      </c>
    </row>
    <row r="730" spans="1:6" ht="13.2">
      <c r="A730" t="s">
        <v>3410</v>
      </c>
      <c r="B730">
        <v>125</v>
      </c>
      <c r="C730" s="44">
        <v>1400</v>
      </c>
      <c r="D730" t="s">
        <v>291</v>
      </c>
      <c r="E730" t="s">
        <v>711</v>
      </c>
      <c r="F730">
        <v>4</v>
      </c>
    </row>
    <row r="731" spans="1:6" ht="13.2">
      <c r="A731" t="s">
        <v>11611</v>
      </c>
      <c r="B731">
        <v>0</v>
      </c>
      <c r="C731" s="44">
        <v>2900</v>
      </c>
      <c r="D731" t="s">
        <v>293</v>
      </c>
      <c r="E731" t="s">
        <v>256</v>
      </c>
      <c r="F731">
        <v>4</v>
      </c>
    </row>
    <row r="732" spans="1:6" ht="13.2">
      <c r="A732" t="s">
        <v>1909</v>
      </c>
      <c r="B732">
        <v>0</v>
      </c>
      <c r="C732" s="44">
        <v>2900</v>
      </c>
      <c r="D732" t="s">
        <v>293</v>
      </c>
      <c r="E732" t="s">
        <v>256</v>
      </c>
      <c r="F732">
        <v>4</v>
      </c>
    </row>
    <row r="733" spans="1:6" ht="13.2">
      <c r="A733" t="s">
        <v>1016</v>
      </c>
      <c r="B733">
        <v>0</v>
      </c>
      <c r="C733" s="44">
        <v>3300</v>
      </c>
      <c r="D733" t="s">
        <v>293</v>
      </c>
      <c r="E733" t="s">
        <v>256</v>
      </c>
      <c r="F733">
        <v>4</v>
      </c>
    </row>
    <row r="734" spans="1:6" ht="13.2">
      <c r="A734" t="s">
        <v>1017</v>
      </c>
      <c r="B734">
        <v>0</v>
      </c>
      <c r="C734" s="44">
        <v>3300</v>
      </c>
      <c r="D734" t="s">
        <v>293</v>
      </c>
      <c r="E734" t="s">
        <v>256</v>
      </c>
      <c r="F734">
        <v>4</v>
      </c>
    </row>
    <row r="735" spans="1:6" ht="13.2">
      <c r="A735" t="s">
        <v>1018</v>
      </c>
      <c r="B735">
        <v>0</v>
      </c>
      <c r="C735" s="44">
        <v>3300</v>
      </c>
      <c r="D735" t="s">
        <v>293</v>
      </c>
      <c r="E735" t="s">
        <v>256</v>
      </c>
      <c r="F735">
        <v>4</v>
      </c>
    </row>
    <row r="736" spans="1:6" ht="13.2">
      <c r="A736" t="s">
        <v>1019</v>
      </c>
      <c r="B736">
        <v>0</v>
      </c>
      <c r="C736" s="44">
        <v>3300</v>
      </c>
      <c r="D736" t="s">
        <v>293</v>
      </c>
      <c r="E736" t="s">
        <v>256</v>
      </c>
      <c r="F736">
        <v>4</v>
      </c>
    </row>
    <row r="737" spans="1:6" ht="13.2">
      <c r="A737" t="s">
        <v>1020</v>
      </c>
      <c r="B737">
        <v>0</v>
      </c>
      <c r="C737" s="44">
        <v>3300</v>
      </c>
      <c r="D737" t="s">
        <v>293</v>
      </c>
      <c r="E737" t="s">
        <v>256</v>
      </c>
      <c r="F737">
        <v>4</v>
      </c>
    </row>
    <row r="738" spans="1:6" ht="13.2">
      <c r="A738" t="s">
        <v>1021</v>
      </c>
      <c r="B738">
        <v>0</v>
      </c>
      <c r="C738" s="44">
        <v>3300</v>
      </c>
      <c r="D738" t="s">
        <v>293</v>
      </c>
      <c r="E738" t="s">
        <v>256</v>
      </c>
      <c r="F738">
        <v>4</v>
      </c>
    </row>
    <row r="739" spans="1:6" ht="13.2">
      <c r="A739" t="s">
        <v>1022</v>
      </c>
      <c r="B739">
        <v>0</v>
      </c>
      <c r="C739" s="44">
        <v>3300</v>
      </c>
      <c r="D739" t="s">
        <v>293</v>
      </c>
      <c r="E739" t="s">
        <v>256</v>
      </c>
      <c r="F739">
        <v>4</v>
      </c>
    </row>
    <row r="740" spans="1:6" ht="13.2">
      <c r="A740" t="s">
        <v>1023</v>
      </c>
      <c r="B740">
        <v>0</v>
      </c>
      <c r="C740" s="44">
        <v>3300</v>
      </c>
      <c r="D740" t="s">
        <v>293</v>
      </c>
      <c r="E740" t="s">
        <v>256</v>
      </c>
      <c r="F740">
        <v>4</v>
      </c>
    </row>
    <row r="741" spans="1:6" ht="13.2">
      <c r="A741" t="s">
        <v>1024</v>
      </c>
      <c r="B741">
        <v>0</v>
      </c>
      <c r="C741" s="44">
        <v>3300</v>
      </c>
      <c r="D741" t="s">
        <v>293</v>
      </c>
      <c r="E741" t="s">
        <v>256</v>
      </c>
      <c r="F741">
        <v>4</v>
      </c>
    </row>
    <row r="742" spans="1:6" ht="13.2">
      <c r="A742" t="s">
        <v>1025</v>
      </c>
      <c r="B742">
        <v>0</v>
      </c>
      <c r="C742" s="44">
        <v>3300</v>
      </c>
      <c r="D742" t="s">
        <v>293</v>
      </c>
      <c r="E742" t="s">
        <v>256</v>
      </c>
      <c r="F742">
        <v>4</v>
      </c>
    </row>
    <row r="743" spans="1:6" ht="13.2">
      <c r="A743" t="s">
        <v>1026</v>
      </c>
      <c r="B743">
        <v>0</v>
      </c>
      <c r="C743" s="44">
        <v>3300</v>
      </c>
      <c r="D743" t="s">
        <v>293</v>
      </c>
      <c r="E743" t="s">
        <v>256</v>
      </c>
      <c r="F743">
        <v>4</v>
      </c>
    </row>
    <row r="744" spans="1:6" ht="13.2">
      <c r="A744" t="s">
        <v>2799</v>
      </c>
      <c r="B744">
        <v>237</v>
      </c>
      <c r="C744" s="44">
        <v>1390</v>
      </c>
      <c r="D744" t="s">
        <v>291</v>
      </c>
      <c r="E744" t="s">
        <v>213</v>
      </c>
      <c r="F744">
        <v>4</v>
      </c>
    </row>
    <row r="745" spans="1:6" ht="13.2">
      <c r="A745" t="s">
        <v>2800</v>
      </c>
      <c r="B745">
        <v>237</v>
      </c>
      <c r="C745" s="44">
        <v>1390</v>
      </c>
      <c r="D745" t="s">
        <v>291</v>
      </c>
      <c r="E745" t="s">
        <v>213</v>
      </c>
      <c r="F745">
        <v>4</v>
      </c>
    </row>
    <row r="746" spans="1:6" ht="13.2">
      <c r="A746" t="s">
        <v>2801</v>
      </c>
      <c r="B746">
        <v>237</v>
      </c>
      <c r="C746" s="44">
        <v>1390</v>
      </c>
      <c r="D746" t="s">
        <v>291</v>
      </c>
      <c r="E746" t="s">
        <v>213</v>
      </c>
      <c r="F746">
        <v>4</v>
      </c>
    </row>
    <row r="747" spans="1:6" ht="13.2">
      <c r="A747" t="s">
        <v>2802</v>
      </c>
      <c r="B747">
        <v>237</v>
      </c>
      <c r="C747" s="44">
        <v>1390</v>
      </c>
      <c r="D747" t="s">
        <v>291</v>
      </c>
      <c r="E747" t="s">
        <v>213</v>
      </c>
      <c r="F747">
        <v>4</v>
      </c>
    </row>
    <row r="748" spans="1:6" ht="13.2">
      <c r="A748" t="s">
        <v>2804</v>
      </c>
      <c r="B748">
        <v>237</v>
      </c>
      <c r="C748" s="44">
        <v>1390</v>
      </c>
      <c r="D748" t="s">
        <v>291</v>
      </c>
      <c r="E748" t="s">
        <v>213</v>
      </c>
      <c r="F748">
        <v>4</v>
      </c>
    </row>
    <row r="749" spans="1:6" ht="13.2">
      <c r="A749" t="s">
        <v>2803</v>
      </c>
      <c r="B749">
        <v>237</v>
      </c>
      <c r="C749" s="44">
        <v>1390</v>
      </c>
      <c r="D749" t="s">
        <v>291</v>
      </c>
      <c r="E749" t="s">
        <v>213</v>
      </c>
      <c r="F749">
        <v>4</v>
      </c>
    </row>
    <row r="750" spans="1:6" ht="13.2">
      <c r="A750" t="s">
        <v>3434</v>
      </c>
      <c r="B750">
        <v>125</v>
      </c>
      <c r="C750" s="44">
        <v>1400</v>
      </c>
      <c r="D750" t="s">
        <v>291</v>
      </c>
      <c r="E750" t="s">
        <v>711</v>
      </c>
      <c r="F750">
        <v>4</v>
      </c>
    </row>
    <row r="751" spans="1:6" ht="13.2">
      <c r="A751" t="s">
        <v>3431</v>
      </c>
      <c r="B751">
        <v>125</v>
      </c>
      <c r="C751" s="44">
        <v>1400</v>
      </c>
      <c r="D751" t="s">
        <v>291</v>
      </c>
      <c r="E751" t="s">
        <v>711</v>
      </c>
      <c r="F751">
        <v>4</v>
      </c>
    </row>
    <row r="752" spans="1:6" ht="13.2">
      <c r="A752" t="s">
        <v>3433</v>
      </c>
      <c r="B752">
        <v>125</v>
      </c>
      <c r="C752" s="44">
        <v>1400</v>
      </c>
      <c r="D752" t="s">
        <v>291</v>
      </c>
      <c r="E752" t="s">
        <v>711</v>
      </c>
      <c r="F752">
        <v>4</v>
      </c>
    </row>
    <row r="753" spans="1:6" ht="13.2">
      <c r="A753" t="s">
        <v>3432</v>
      </c>
      <c r="B753">
        <v>125</v>
      </c>
      <c r="C753" s="44">
        <v>1400</v>
      </c>
      <c r="D753" t="s">
        <v>291</v>
      </c>
      <c r="E753" t="s">
        <v>711</v>
      </c>
      <c r="F753">
        <v>4</v>
      </c>
    </row>
    <row r="754" spans="1:6" ht="13.2">
      <c r="A754" t="s">
        <v>3435</v>
      </c>
      <c r="B754">
        <v>125</v>
      </c>
      <c r="C754" s="44">
        <v>1400</v>
      </c>
      <c r="D754" t="s">
        <v>291</v>
      </c>
      <c r="E754" t="s">
        <v>711</v>
      </c>
      <c r="F754">
        <v>4</v>
      </c>
    </row>
    <row r="755" spans="1:6" ht="13.2">
      <c r="A755" t="s">
        <v>3946</v>
      </c>
      <c r="B755">
        <v>0</v>
      </c>
      <c r="C755" s="44">
        <v>3200</v>
      </c>
      <c r="D755" t="s">
        <v>293</v>
      </c>
      <c r="E755" t="s">
        <v>575</v>
      </c>
      <c r="F755">
        <v>3</v>
      </c>
    </row>
    <row r="756" spans="1:6" ht="13.2">
      <c r="A756" t="s">
        <v>3947</v>
      </c>
      <c r="B756">
        <v>0</v>
      </c>
      <c r="C756" s="44">
        <v>3200</v>
      </c>
      <c r="D756" t="s">
        <v>293</v>
      </c>
      <c r="E756" t="s">
        <v>575</v>
      </c>
      <c r="F756">
        <v>3</v>
      </c>
    </row>
    <row r="757" spans="1:6" ht="13.2">
      <c r="A757" t="s">
        <v>3948</v>
      </c>
      <c r="B757">
        <v>0</v>
      </c>
      <c r="C757" s="44">
        <v>3200</v>
      </c>
      <c r="D757" t="s">
        <v>293</v>
      </c>
      <c r="E757" t="s">
        <v>575</v>
      </c>
      <c r="F757">
        <v>3</v>
      </c>
    </row>
    <row r="758" spans="1:6" ht="13.2">
      <c r="A758" t="s">
        <v>3949</v>
      </c>
      <c r="B758">
        <v>0</v>
      </c>
      <c r="C758" s="44">
        <v>3200</v>
      </c>
      <c r="D758" t="s">
        <v>293</v>
      </c>
      <c r="E758" t="s">
        <v>575</v>
      </c>
      <c r="F758">
        <v>3</v>
      </c>
    </row>
    <row r="759" spans="1:6" ht="13.2">
      <c r="A759" t="s">
        <v>3950</v>
      </c>
      <c r="B759">
        <v>0</v>
      </c>
      <c r="C759" s="44">
        <v>3200</v>
      </c>
      <c r="D759" t="s">
        <v>293</v>
      </c>
      <c r="E759" t="s">
        <v>575</v>
      </c>
      <c r="F759">
        <v>3</v>
      </c>
    </row>
    <row r="760" spans="1:6" ht="13.2">
      <c r="A760" t="s">
        <v>3951</v>
      </c>
      <c r="B760">
        <v>0</v>
      </c>
      <c r="C760" s="44">
        <v>3200</v>
      </c>
      <c r="D760" t="s">
        <v>293</v>
      </c>
      <c r="E760" t="s">
        <v>575</v>
      </c>
      <c r="F760">
        <v>3</v>
      </c>
    </row>
    <row r="761" spans="1:6" ht="13.2">
      <c r="A761" t="s">
        <v>3952</v>
      </c>
      <c r="B761">
        <v>0</v>
      </c>
      <c r="C761" s="44">
        <v>3200</v>
      </c>
      <c r="D761" t="s">
        <v>293</v>
      </c>
      <c r="E761" t="s">
        <v>575</v>
      </c>
      <c r="F761">
        <v>3</v>
      </c>
    </row>
    <row r="762" spans="1:6" ht="13.2">
      <c r="A762" t="s">
        <v>3953</v>
      </c>
      <c r="B762">
        <v>0</v>
      </c>
      <c r="C762" s="44">
        <v>3200</v>
      </c>
      <c r="D762" t="s">
        <v>293</v>
      </c>
      <c r="E762" t="s">
        <v>575</v>
      </c>
      <c r="F762">
        <v>3</v>
      </c>
    </row>
    <row r="763" spans="1:6" ht="13.2">
      <c r="A763" t="s">
        <v>3954</v>
      </c>
      <c r="B763">
        <v>0</v>
      </c>
      <c r="C763" s="44">
        <v>3200</v>
      </c>
      <c r="D763" t="s">
        <v>293</v>
      </c>
      <c r="E763" t="s">
        <v>575</v>
      </c>
      <c r="F763">
        <v>3</v>
      </c>
    </row>
    <row r="764" spans="1:6" ht="13.2">
      <c r="A764" t="s">
        <v>3955</v>
      </c>
      <c r="B764">
        <v>0</v>
      </c>
      <c r="C764" s="44">
        <v>3200</v>
      </c>
      <c r="D764" t="s">
        <v>293</v>
      </c>
      <c r="E764" t="s">
        <v>575</v>
      </c>
      <c r="F764">
        <v>3</v>
      </c>
    </row>
    <row r="765" spans="1:6" ht="13.2">
      <c r="A765" t="s">
        <v>5512</v>
      </c>
      <c r="B765">
        <v>0</v>
      </c>
      <c r="C765" s="44">
        <v>3200</v>
      </c>
      <c r="D765" t="s">
        <v>291</v>
      </c>
      <c r="E765" t="s">
        <v>575</v>
      </c>
      <c r="F765">
        <v>3</v>
      </c>
    </row>
    <row r="766" spans="1:6" ht="13.2">
      <c r="A766" t="s">
        <v>5513</v>
      </c>
      <c r="B766">
        <v>0</v>
      </c>
      <c r="C766" s="44">
        <v>3200</v>
      </c>
      <c r="D766" t="s">
        <v>291</v>
      </c>
      <c r="E766" t="s">
        <v>575</v>
      </c>
      <c r="F766">
        <v>3</v>
      </c>
    </row>
    <row r="767" spans="1:6" ht="13.2">
      <c r="A767" t="s">
        <v>5514</v>
      </c>
      <c r="B767">
        <v>0</v>
      </c>
      <c r="C767" s="44">
        <v>3200</v>
      </c>
      <c r="D767" t="s">
        <v>291</v>
      </c>
      <c r="E767" t="s">
        <v>575</v>
      </c>
      <c r="F767">
        <v>3</v>
      </c>
    </row>
    <row r="768" spans="1:6" ht="13.2">
      <c r="A768" t="s">
        <v>5515</v>
      </c>
      <c r="B768">
        <v>0</v>
      </c>
      <c r="C768" s="44">
        <v>3200</v>
      </c>
      <c r="D768" t="s">
        <v>291</v>
      </c>
      <c r="E768" t="s">
        <v>575</v>
      </c>
      <c r="F768">
        <v>3</v>
      </c>
    </row>
    <row r="769" spans="1:6" ht="13.2">
      <c r="A769" t="s">
        <v>5516</v>
      </c>
      <c r="B769">
        <v>0</v>
      </c>
      <c r="C769" s="44">
        <v>3200</v>
      </c>
      <c r="D769" t="s">
        <v>291</v>
      </c>
      <c r="E769" t="s">
        <v>575</v>
      </c>
      <c r="F769">
        <v>3</v>
      </c>
    </row>
    <row r="770" spans="1:6" ht="13.2">
      <c r="A770" t="s">
        <v>5517</v>
      </c>
      <c r="B770">
        <v>0</v>
      </c>
      <c r="C770" s="44">
        <v>3200</v>
      </c>
      <c r="D770" t="s">
        <v>291</v>
      </c>
      <c r="E770" t="s">
        <v>575</v>
      </c>
      <c r="F770">
        <v>3</v>
      </c>
    </row>
    <row r="771" spans="1:6" ht="13.2">
      <c r="A771" t="s">
        <v>5518</v>
      </c>
      <c r="B771">
        <v>0</v>
      </c>
      <c r="C771" s="44">
        <v>3200</v>
      </c>
      <c r="D771" t="s">
        <v>291</v>
      </c>
      <c r="E771" t="s">
        <v>575</v>
      </c>
      <c r="F771">
        <v>3</v>
      </c>
    </row>
    <row r="772" spans="1:6" ht="13.2">
      <c r="A772" t="s">
        <v>5520</v>
      </c>
      <c r="B772">
        <v>0</v>
      </c>
      <c r="C772" s="44">
        <v>3200</v>
      </c>
      <c r="D772" t="s">
        <v>291</v>
      </c>
      <c r="E772" t="s">
        <v>575</v>
      </c>
      <c r="F772">
        <v>3</v>
      </c>
    </row>
    <row r="773" spans="1:6" ht="13.2">
      <c r="A773" t="s">
        <v>5521</v>
      </c>
      <c r="B773">
        <v>0</v>
      </c>
      <c r="C773" s="44">
        <v>3200</v>
      </c>
      <c r="D773" t="s">
        <v>291</v>
      </c>
      <c r="E773" t="s">
        <v>575</v>
      </c>
      <c r="F773">
        <v>3</v>
      </c>
    </row>
    <row r="774" spans="1:6" ht="13.2">
      <c r="A774" t="s">
        <v>5519</v>
      </c>
      <c r="B774">
        <v>0</v>
      </c>
      <c r="C774" s="44">
        <v>3200</v>
      </c>
      <c r="D774" t="s">
        <v>291</v>
      </c>
      <c r="E774" t="s">
        <v>575</v>
      </c>
      <c r="F774">
        <v>3</v>
      </c>
    </row>
    <row r="775" spans="1:6" ht="13.2">
      <c r="A775" t="s">
        <v>1027</v>
      </c>
      <c r="B775">
        <v>0</v>
      </c>
      <c r="C775" s="44" t="s">
        <v>201</v>
      </c>
      <c r="D775" t="s">
        <v>293</v>
      </c>
      <c r="E775" t="s">
        <v>256</v>
      </c>
      <c r="F775">
        <v>4</v>
      </c>
    </row>
    <row r="776" spans="1:6" ht="13.2">
      <c r="A776" t="s">
        <v>1027</v>
      </c>
      <c r="B776">
        <v>0</v>
      </c>
      <c r="C776" s="44">
        <v>3200</v>
      </c>
      <c r="D776" t="s">
        <v>293</v>
      </c>
      <c r="E776" t="s">
        <v>256</v>
      </c>
      <c r="F776">
        <v>4</v>
      </c>
    </row>
    <row r="777" spans="1:6" ht="13.2">
      <c r="A777" t="s">
        <v>5161</v>
      </c>
      <c r="B777">
        <v>0</v>
      </c>
      <c r="C777" s="44">
        <v>3200</v>
      </c>
      <c r="D777" t="s">
        <v>293</v>
      </c>
      <c r="E777" t="s">
        <v>256</v>
      </c>
      <c r="F777">
        <v>4</v>
      </c>
    </row>
    <row r="778" spans="1:6" ht="13.2">
      <c r="A778" t="s">
        <v>1028</v>
      </c>
      <c r="B778">
        <v>0</v>
      </c>
      <c r="C778" s="44" t="s">
        <v>201</v>
      </c>
      <c r="D778" t="s">
        <v>293</v>
      </c>
      <c r="E778" t="s">
        <v>256</v>
      </c>
      <c r="F778">
        <v>4</v>
      </c>
    </row>
    <row r="779" spans="1:6" ht="13.2">
      <c r="A779" t="s">
        <v>1028</v>
      </c>
      <c r="B779">
        <v>0</v>
      </c>
      <c r="C779" s="44">
        <v>3200</v>
      </c>
      <c r="D779" t="s">
        <v>293</v>
      </c>
      <c r="E779" t="s">
        <v>256</v>
      </c>
      <c r="F779">
        <v>4</v>
      </c>
    </row>
    <row r="780" spans="1:6" ht="13.2">
      <c r="A780" t="s">
        <v>5162</v>
      </c>
      <c r="B780">
        <v>0</v>
      </c>
      <c r="C780" s="44">
        <v>3200</v>
      </c>
      <c r="D780" t="s">
        <v>293</v>
      </c>
      <c r="E780" t="s">
        <v>256</v>
      </c>
      <c r="F780">
        <v>4</v>
      </c>
    </row>
    <row r="781" spans="1:6" ht="13.2">
      <c r="A781" t="s">
        <v>1029</v>
      </c>
      <c r="B781">
        <v>0</v>
      </c>
      <c r="C781" s="44" t="s">
        <v>201</v>
      </c>
      <c r="D781" t="s">
        <v>293</v>
      </c>
      <c r="E781" t="s">
        <v>256</v>
      </c>
      <c r="F781">
        <v>4</v>
      </c>
    </row>
    <row r="782" spans="1:6" ht="13.2">
      <c r="A782" t="s">
        <v>1029</v>
      </c>
      <c r="B782">
        <v>0</v>
      </c>
      <c r="C782" s="44">
        <v>3200</v>
      </c>
      <c r="D782" t="s">
        <v>293</v>
      </c>
      <c r="E782" t="s">
        <v>256</v>
      </c>
      <c r="F782">
        <v>4</v>
      </c>
    </row>
    <row r="783" spans="1:6" ht="13.2">
      <c r="A783" t="s">
        <v>1030</v>
      </c>
      <c r="B783">
        <v>0</v>
      </c>
      <c r="C783" s="44" t="s">
        <v>201</v>
      </c>
      <c r="D783" t="s">
        <v>293</v>
      </c>
      <c r="E783" t="s">
        <v>256</v>
      </c>
      <c r="F783">
        <v>4</v>
      </c>
    </row>
    <row r="784" spans="1:6" ht="13.2">
      <c r="A784" t="s">
        <v>1030</v>
      </c>
      <c r="B784">
        <v>0</v>
      </c>
      <c r="C784" s="44">
        <v>3200</v>
      </c>
      <c r="D784" t="s">
        <v>293</v>
      </c>
      <c r="E784" t="s">
        <v>256</v>
      </c>
      <c r="F784">
        <v>4</v>
      </c>
    </row>
    <row r="785" spans="1:6" ht="13.2">
      <c r="A785" t="s">
        <v>1031</v>
      </c>
      <c r="B785">
        <v>0</v>
      </c>
      <c r="C785" s="44" t="s">
        <v>201</v>
      </c>
      <c r="D785" t="s">
        <v>293</v>
      </c>
      <c r="E785" t="s">
        <v>256</v>
      </c>
      <c r="F785">
        <v>4</v>
      </c>
    </row>
    <row r="786" spans="1:6" ht="13.2">
      <c r="A786" t="s">
        <v>1032</v>
      </c>
      <c r="B786">
        <v>0</v>
      </c>
      <c r="C786" s="44" t="s">
        <v>201</v>
      </c>
      <c r="D786" t="s">
        <v>293</v>
      </c>
      <c r="E786" t="s">
        <v>256</v>
      </c>
      <c r="F786">
        <v>4</v>
      </c>
    </row>
    <row r="787" spans="1:6" ht="13.2">
      <c r="A787" t="s">
        <v>1032</v>
      </c>
      <c r="B787">
        <v>0</v>
      </c>
      <c r="C787" s="44">
        <v>3200</v>
      </c>
      <c r="D787" t="s">
        <v>293</v>
      </c>
      <c r="E787" t="s">
        <v>256</v>
      </c>
      <c r="F787">
        <v>4</v>
      </c>
    </row>
    <row r="788" spans="1:6" ht="13.2">
      <c r="A788" t="s">
        <v>1033</v>
      </c>
      <c r="B788">
        <v>0</v>
      </c>
      <c r="C788" s="44" t="s">
        <v>201</v>
      </c>
      <c r="D788" t="s">
        <v>293</v>
      </c>
      <c r="E788" t="s">
        <v>256</v>
      </c>
      <c r="F788">
        <v>4</v>
      </c>
    </row>
    <row r="789" spans="1:6" ht="13.2">
      <c r="A789" t="s">
        <v>1033</v>
      </c>
      <c r="B789">
        <v>0</v>
      </c>
      <c r="C789" s="44">
        <v>3200</v>
      </c>
      <c r="D789" t="s">
        <v>293</v>
      </c>
      <c r="E789" t="s">
        <v>256</v>
      </c>
      <c r="F789">
        <v>4</v>
      </c>
    </row>
    <row r="790" spans="1:6" ht="13.2">
      <c r="A790" t="s">
        <v>1034</v>
      </c>
      <c r="B790">
        <v>0</v>
      </c>
      <c r="C790" s="44" t="s">
        <v>201</v>
      </c>
      <c r="D790" t="s">
        <v>293</v>
      </c>
      <c r="E790" t="s">
        <v>256</v>
      </c>
      <c r="F790">
        <v>4</v>
      </c>
    </row>
    <row r="791" spans="1:6" ht="13.2">
      <c r="A791" t="s">
        <v>1035</v>
      </c>
      <c r="B791">
        <v>0</v>
      </c>
      <c r="C791" s="44" t="s">
        <v>201</v>
      </c>
      <c r="D791" t="s">
        <v>293</v>
      </c>
      <c r="E791" t="s">
        <v>256</v>
      </c>
      <c r="F791">
        <v>4</v>
      </c>
    </row>
    <row r="792" spans="1:6" ht="13.2">
      <c r="A792" t="s">
        <v>1035</v>
      </c>
      <c r="B792">
        <v>0</v>
      </c>
      <c r="C792" s="44">
        <v>3200</v>
      </c>
      <c r="D792" t="s">
        <v>293</v>
      </c>
      <c r="E792" t="s">
        <v>256</v>
      </c>
      <c r="F792">
        <v>4</v>
      </c>
    </row>
    <row r="793" spans="1:6" ht="13.2">
      <c r="A793" t="s">
        <v>1036</v>
      </c>
      <c r="B793">
        <v>0</v>
      </c>
      <c r="C793" s="44" t="s">
        <v>201</v>
      </c>
      <c r="D793" t="s">
        <v>293</v>
      </c>
      <c r="E793" t="s">
        <v>256</v>
      </c>
      <c r="F793">
        <v>4</v>
      </c>
    </row>
    <row r="794" spans="1:6" ht="13.2">
      <c r="A794" t="s">
        <v>1037</v>
      </c>
      <c r="B794">
        <v>0</v>
      </c>
      <c r="C794" s="44" t="s">
        <v>201</v>
      </c>
      <c r="D794" t="s">
        <v>293</v>
      </c>
      <c r="E794" t="s">
        <v>256</v>
      </c>
      <c r="F794">
        <v>4</v>
      </c>
    </row>
    <row r="795" spans="1:6" ht="13.2">
      <c r="A795" t="s">
        <v>1037</v>
      </c>
      <c r="B795">
        <v>0</v>
      </c>
      <c r="C795" s="44">
        <v>3200</v>
      </c>
      <c r="D795" t="s">
        <v>293</v>
      </c>
      <c r="E795" t="s">
        <v>256</v>
      </c>
      <c r="F795">
        <v>4</v>
      </c>
    </row>
    <row r="796" spans="1:6" ht="13.2">
      <c r="A796" t="s">
        <v>1038</v>
      </c>
      <c r="B796">
        <v>0</v>
      </c>
      <c r="C796" s="44" t="s">
        <v>201</v>
      </c>
      <c r="D796" t="s">
        <v>293</v>
      </c>
      <c r="E796" t="s">
        <v>256</v>
      </c>
      <c r="F796">
        <v>4</v>
      </c>
    </row>
    <row r="797" spans="1:6" ht="13.2">
      <c r="A797" t="s">
        <v>1038</v>
      </c>
      <c r="B797">
        <v>0</v>
      </c>
      <c r="C797" s="44">
        <v>3200</v>
      </c>
      <c r="D797" t="s">
        <v>293</v>
      </c>
      <c r="E797" t="s">
        <v>256</v>
      </c>
      <c r="F797">
        <v>4</v>
      </c>
    </row>
    <row r="798" spans="1:6" ht="13.2">
      <c r="A798" t="s">
        <v>1039</v>
      </c>
      <c r="B798">
        <v>0</v>
      </c>
      <c r="C798" s="44" t="s">
        <v>201</v>
      </c>
      <c r="D798" t="s">
        <v>293</v>
      </c>
      <c r="E798" t="s">
        <v>256</v>
      </c>
      <c r="F798">
        <v>4</v>
      </c>
    </row>
    <row r="799" spans="1:6" ht="13.2">
      <c r="A799" t="s">
        <v>1040</v>
      </c>
      <c r="B799">
        <v>0</v>
      </c>
      <c r="C799" s="44" t="s">
        <v>201</v>
      </c>
      <c r="D799" t="s">
        <v>293</v>
      </c>
      <c r="E799" t="s">
        <v>256</v>
      </c>
      <c r="F799">
        <v>4</v>
      </c>
    </row>
    <row r="800" spans="1:6" ht="13.2">
      <c r="A800" t="s">
        <v>1040</v>
      </c>
      <c r="B800">
        <v>0</v>
      </c>
      <c r="C800" s="44">
        <v>3200</v>
      </c>
      <c r="D800" t="s">
        <v>293</v>
      </c>
      <c r="E800" t="s">
        <v>256</v>
      </c>
      <c r="F800">
        <v>4</v>
      </c>
    </row>
    <row r="801" spans="1:6" ht="13.2">
      <c r="A801" t="s">
        <v>1041</v>
      </c>
      <c r="B801">
        <v>0</v>
      </c>
      <c r="C801" s="44" t="s">
        <v>201</v>
      </c>
      <c r="D801" t="s">
        <v>293</v>
      </c>
      <c r="E801" t="s">
        <v>256</v>
      </c>
      <c r="F801">
        <v>4</v>
      </c>
    </row>
    <row r="802" spans="1:6" ht="13.2">
      <c r="A802" t="s">
        <v>1041</v>
      </c>
      <c r="B802">
        <v>0</v>
      </c>
      <c r="C802" s="44">
        <v>3200</v>
      </c>
      <c r="D802" t="s">
        <v>293</v>
      </c>
      <c r="E802" t="s">
        <v>256</v>
      </c>
      <c r="F802">
        <v>4</v>
      </c>
    </row>
    <row r="803" spans="1:6" ht="13.2">
      <c r="A803" t="s">
        <v>1042</v>
      </c>
      <c r="B803">
        <v>0</v>
      </c>
      <c r="C803" s="44" t="s">
        <v>201</v>
      </c>
      <c r="D803" t="s">
        <v>293</v>
      </c>
      <c r="E803" t="s">
        <v>256</v>
      </c>
      <c r="F803">
        <v>4</v>
      </c>
    </row>
    <row r="804" spans="1:6" ht="13.2">
      <c r="A804" t="s">
        <v>1043</v>
      </c>
      <c r="B804">
        <v>0</v>
      </c>
      <c r="C804" s="44" t="s">
        <v>201</v>
      </c>
      <c r="D804" t="s">
        <v>293</v>
      </c>
      <c r="E804" t="s">
        <v>256</v>
      </c>
      <c r="F804">
        <v>4</v>
      </c>
    </row>
    <row r="805" spans="1:6" ht="13.2">
      <c r="A805" t="s">
        <v>1043</v>
      </c>
      <c r="B805">
        <v>0</v>
      </c>
      <c r="C805" s="44">
        <v>3200</v>
      </c>
      <c r="D805" t="s">
        <v>293</v>
      </c>
      <c r="E805" t="s">
        <v>256</v>
      </c>
      <c r="F805">
        <v>4</v>
      </c>
    </row>
    <row r="806" spans="1:6" ht="13.2">
      <c r="A806" t="s">
        <v>1044</v>
      </c>
      <c r="B806">
        <v>0</v>
      </c>
      <c r="C806" s="44" t="s">
        <v>201</v>
      </c>
      <c r="D806" t="s">
        <v>293</v>
      </c>
      <c r="E806" t="s">
        <v>256</v>
      </c>
      <c r="F806">
        <v>4</v>
      </c>
    </row>
    <row r="807" spans="1:6" ht="13.2">
      <c r="A807" t="s">
        <v>1045</v>
      </c>
      <c r="B807">
        <v>0</v>
      </c>
      <c r="C807" s="44" t="s">
        <v>201</v>
      </c>
      <c r="D807" t="s">
        <v>293</v>
      </c>
      <c r="E807" t="s">
        <v>256</v>
      </c>
      <c r="F807">
        <v>4</v>
      </c>
    </row>
    <row r="808" spans="1:6" ht="13.2">
      <c r="A808" t="s">
        <v>1046</v>
      </c>
      <c r="B808">
        <v>0</v>
      </c>
      <c r="C808" s="44" t="s">
        <v>201</v>
      </c>
      <c r="D808" t="s">
        <v>293</v>
      </c>
      <c r="E808" t="s">
        <v>256</v>
      </c>
      <c r="F808">
        <v>4</v>
      </c>
    </row>
    <row r="809" spans="1:6" ht="13.2">
      <c r="A809" t="s">
        <v>1046</v>
      </c>
      <c r="B809">
        <v>0</v>
      </c>
      <c r="C809" s="44">
        <v>3200</v>
      </c>
      <c r="D809" t="s">
        <v>293</v>
      </c>
      <c r="E809" t="s">
        <v>256</v>
      </c>
      <c r="F809">
        <v>4</v>
      </c>
    </row>
    <row r="810" spans="1:6" ht="13.2">
      <c r="A810" t="s">
        <v>1047</v>
      </c>
      <c r="B810">
        <v>0</v>
      </c>
      <c r="C810" s="44" t="s">
        <v>201</v>
      </c>
      <c r="D810" t="s">
        <v>293</v>
      </c>
      <c r="E810" t="s">
        <v>256</v>
      </c>
      <c r="F810">
        <v>4</v>
      </c>
    </row>
    <row r="811" spans="1:6" ht="13.2">
      <c r="A811" t="s">
        <v>1047</v>
      </c>
      <c r="B811">
        <v>0</v>
      </c>
      <c r="C811" s="44">
        <v>3200</v>
      </c>
      <c r="D811" t="s">
        <v>293</v>
      </c>
      <c r="E811" t="s">
        <v>256</v>
      </c>
      <c r="F811">
        <v>4</v>
      </c>
    </row>
    <row r="812" spans="1:6" ht="13.2">
      <c r="A812" t="s">
        <v>1048</v>
      </c>
      <c r="B812">
        <v>0</v>
      </c>
      <c r="C812" s="44" t="s">
        <v>201</v>
      </c>
      <c r="D812" t="s">
        <v>293</v>
      </c>
      <c r="E812" t="s">
        <v>256</v>
      </c>
      <c r="F812">
        <v>4</v>
      </c>
    </row>
    <row r="813" spans="1:6" ht="13.2">
      <c r="A813" t="s">
        <v>1048</v>
      </c>
      <c r="B813">
        <v>0</v>
      </c>
      <c r="C813" s="44">
        <v>3200</v>
      </c>
      <c r="D813" t="s">
        <v>293</v>
      </c>
      <c r="E813" t="s">
        <v>256</v>
      </c>
      <c r="F813">
        <v>4</v>
      </c>
    </row>
    <row r="814" spans="1:6" ht="13.2">
      <c r="A814" t="s">
        <v>1049</v>
      </c>
      <c r="B814">
        <v>0</v>
      </c>
      <c r="C814" s="44" t="s">
        <v>201</v>
      </c>
      <c r="D814" t="s">
        <v>293</v>
      </c>
      <c r="E814" t="s">
        <v>256</v>
      </c>
      <c r="F814">
        <v>4</v>
      </c>
    </row>
    <row r="815" spans="1:6" ht="13.2">
      <c r="A815" t="s">
        <v>1049</v>
      </c>
      <c r="B815">
        <v>0</v>
      </c>
      <c r="C815" s="44">
        <v>3200</v>
      </c>
      <c r="D815" t="s">
        <v>293</v>
      </c>
      <c r="E815" t="s">
        <v>256</v>
      </c>
      <c r="F815">
        <v>4</v>
      </c>
    </row>
    <row r="816" spans="1:6" ht="13.2">
      <c r="A816" t="s">
        <v>1050</v>
      </c>
      <c r="B816">
        <v>0</v>
      </c>
      <c r="C816" s="44" t="s">
        <v>201</v>
      </c>
      <c r="D816" t="s">
        <v>293</v>
      </c>
      <c r="E816" t="s">
        <v>256</v>
      </c>
      <c r="F816">
        <v>4</v>
      </c>
    </row>
    <row r="817" spans="1:6" ht="13.2">
      <c r="A817" t="s">
        <v>1050</v>
      </c>
      <c r="B817">
        <v>0</v>
      </c>
      <c r="C817" s="44">
        <v>3200</v>
      </c>
      <c r="D817" t="s">
        <v>293</v>
      </c>
      <c r="E817" t="s">
        <v>256</v>
      </c>
      <c r="F817">
        <v>4</v>
      </c>
    </row>
    <row r="818" spans="1:6" ht="13.2">
      <c r="A818" t="s">
        <v>1051</v>
      </c>
      <c r="B818">
        <v>0</v>
      </c>
      <c r="C818" s="44" t="s">
        <v>201</v>
      </c>
      <c r="D818" t="s">
        <v>293</v>
      </c>
      <c r="E818" t="s">
        <v>256</v>
      </c>
      <c r="F818">
        <v>4</v>
      </c>
    </row>
    <row r="819" spans="1:6" ht="13.2">
      <c r="A819" t="s">
        <v>1051</v>
      </c>
      <c r="B819">
        <v>0</v>
      </c>
      <c r="C819" s="44">
        <v>3200</v>
      </c>
      <c r="D819" t="s">
        <v>293</v>
      </c>
      <c r="E819" t="s">
        <v>256</v>
      </c>
      <c r="F819">
        <v>4</v>
      </c>
    </row>
    <row r="820" spans="1:6" ht="13.2">
      <c r="A820" t="s">
        <v>5160</v>
      </c>
      <c r="B820">
        <v>0</v>
      </c>
      <c r="C820" s="44">
        <v>3200</v>
      </c>
      <c r="D820" t="s">
        <v>293</v>
      </c>
      <c r="E820" t="s">
        <v>256</v>
      </c>
      <c r="F820">
        <v>4</v>
      </c>
    </row>
    <row r="821" spans="1:6" ht="13.2">
      <c r="A821" t="s">
        <v>1052</v>
      </c>
      <c r="B821">
        <v>0</v>
      </c>
      <c r="C821" s="44" t="s">
        <v>201</v>
      </c>
      <c r="D821" t="s">
        <v>293</v>
      </c>
      <c r="E821" t="s">
        <v>256</v>
      </c>
      <c r="F821">
        <v>4</v>
      </c>
    </row>
    <row r="822" spans="1:6" ht="13.2">
      <c r="A822" t="s">
        <v>1910</v>
      </c>
      <c r="B822">
        <v>0</v>
      </c>
      <c r="C822" s="44" t="s">
        <v>201</v>
      </c>
      <c r="D822" t="s">
        <v>293</v>
      </c>
      <c r="E822" t="s">
        <v>5182</v>
      </c>
      <c r="F822">
        <v>11</v>
      </c>
    </row>
    <row r="823" spans="1:6" ht="13.2">
      <c r="A823" t="s">
        <v>1911</v>
      </c>
      <c r="B823">
        <v>0</v>
      </c>
      <c r="C823" s="44" t="s">
        <v>201</v>
      </c>
      <c r="D823" t="s">
        <v>293</v>
      </c>
      <c r="E823" t="s">
        <v>5182</v>
      </c>
      <c r="F823">
        <v>11</v>
      </c>
    </row>
    <row r="824" spans="1:6" ht="13.2">
      <c r="A824" t="s">
        <v>1912</v>
      </c>
      <c r="B824">
        <v>0</v>
      </c>
      <c r="C824" s="44" t="s">
        <v>201</v>
      </c>
      <c r="D824" t="s">
        <v>293</v>
      </c>
      <c r="E824" t="s">
        <v>5182</v>
      </c>
      <c r="F824">
        <v>11</v>
      </c>
    </row>
    <row r="825" spans="1:6" ht="13.2">
      <c r="A825" t="s">
        <v>1913</v>
      </c>
      <c r="B825">
        <v>0</v>
      </c>
      <c r="C825" s="44" t="s">
        <v>201</v>
      </c>
      <c r="D825" t="s">
        <v>293</v>
      </c>
      <c r="E825" t="s">
        <v>5182</v>
      </c>
      <c r="F825">
        <v>11</v>
      </c>
    </row>
    <row r="826" spans="1:6" ht="13.2">
      <c r="A826" t="s">
        <v>1914</v>
      </c>
      <c r="B826">
        <v>0</v>
      </c>
      <c r="C826" s="44" t="s">
        <v>201</v>
      </c>
      <c r="D826" t="s">
        <v>293</v>
      </c>
      <c r="E826" t="s">
        <v>5182</v>
      </c>
      <c r="F826">
        <v>11</v>
      </c>
    </row>
    <row r="827" spans="1:6" ht="13.2">
      <c r="A827" t="s">
        <v>1915</v>
      </c>
      <c r="B827">
        <v>0</v>
      </c>
      <c r="C827" s="44" t="s">
        <v>201</v>
      </c>
      <c r="D827" t="s">
        <v>293</v>
      </c>
      <c r="E827" t="s">
        <v>5182</v>
      </c>
      <c r="F827">
        <v>11</v>
      </c>
    </row>
    <row r="828" spans="1:6" ht="13.2">
      <c r="A828" t="s">
        <v>1916</v>
      </c>
      <c r="B828">
        <v>0</v>
      </c>
      <c r="C828" s="44" t="s">
        <v>201</v>
      </c>
      <c r="D828" t="s">
        <v>293</v>
      </c>
      <c r="E828" t="s">
        <v>5182</v>
      </c>
      <c r="F828">
        <v>11</v>
      </c>
    </row>
    <row r="829" spans="1:6" ht="13.2">
      <c r="A829" t="s">
        <v>1917</v>
      </c>
      <c r="B829">
        <v>0</v>
      </c>
      <c r="C829" s="44" t="s">
        <v>201</v>
      </c>
      <c r="D829" t="s">
        <v>293</v>
      </c>
      <c r="E829" t="s">
        <v>5182</v>
      </c>
      <c r="F829">
        <v>11</v>
      </c>
    </row>
    <row r="830" spans="1:6" ht="13.2">
      <c r="A830" t="s">
        <v>1918</v>
      </c>
      <c r="B830">
        <v>0</v>
      </c>
      <c r="C830" s="44" t="s">
        <v>201</v>
      </c>
      <c r="D830" t="s">
        <v>293</v>
      </c>
      <c r="E830" t="s">
        <v>5182</v>
      </c>
      <c r="F830">
        <v>11</v>
      </c>
    </row>
    <row r="831" spans="1:6" ht="13.2">
      <c r="A831" t="s">
        <v>1919</v>
      </c>
      <c r="B831">
        <v>0</v>
      </c>
      <c r="C831" s="44" t="s">
        <v>201</v>
      </c>
      <c r="D831" t="s">
        <v>293</v>
      </c>
      <c r="E831" t="s">
        <v>5182</v>
      </c>
      <c r="F831">
        <v>11</v>
      </c>
    </row>
    <row r="832" spans="1:6" ht="13.2">
      <c r="A832" t="s">
        <v>1920</v>
      </c>
      <c r="B832">
        <v>0</v>
      </c>
      <c r="C832" s="44" t="s">
        <v>201</v>
      </c>
      <c r="D832" t="s">
        <v>293</v>
      </c>
      <c r="E832" t="s">
        <v>5182</v>
      </c>
      <c r="F832">
        <v>11</v>
      </c>
    </row>
    <row r="833" spans="1:6" ht="13.2">
      <c r="A833" t="s">
        <v>1921</v>
      </c>
      <c r="B833">
        <v>0</v>
      </c>
      <c r="C833" s="44" t="s">
        <v>201</v>
      </c>
      <c r="D833" t="s">
        <v>293</v>
      </c>
      <c r="E833" t="s">
        <v>5182</v>
      </c>
      <c r="F833">
        <v>11</v>
      </c>
    </row>
    <row r="834" spans="1:6" ht="13.2">
      <c r="A834" t="s">
        <v>1922</v>
      </c>
      <c r="B834">
        <v>0</v>
      </c>
      <c r="C834" s="44" t="s">
        <v>201</v>
      </c>
      <c r="D834" t="s">
        <v>293</v>
      </c>
      <c r="E834" t="s">
        <v>5182</v>
      </c>
      <c r="F834">
        <v>11</v>
      </c>
    </row>
    <row r="835" spans="1:6" ht="13.2">
      <c r="A835" t="s">
        <v>1923</v>
      </c>
      <c r="B835">
        <v>0</v>
      </c>
      <c r="C835" s="44" t="s">
        <v>201</v>
      </c>
      <c r="D835" t="s">
        <v>293</v>
      </c>
      <c r="E835" t="s">
        <v>5182</v>
      </c>
      <c r="F835">
        <v>11</v>
      </c>
    </row>
    <row r="836" spans="1:6" ht="13.2">
      <c r="A836" t="s">
        <v>3829</v>
      </c>
      <c r="B836">
        <v>0</v>
      </c>
      <c r="C836" s="44">
        <v>3200</v>
      </c>
      <c r="D836" t="s">
        <v>293</v>
      </c>
      <c r="E836" t="s">
        <v>256</v>
      </c>
      <c r="F836" t="s">
        <v>3824</v>
      </c>
    </row>
    <row r="837" spans="1:6" ht="13.2">
      <c r="A837" t="s">
        <v>3828</v>
      </c>
      <c r="B837">
        <v>0</v>
      </c>
      <c r="C837" s="44">
        <v>3200</v>
      </c>
      <c r="D837" t="s">
        <v>293</v>
      </c>
      <c r="E837" t="s">
        <v>256</v>
      </c>
      <c r="F837" t="s">
        <v>3824</v>
      </c>
    </row>
    <row r="838" spans="1:6" ht="13.2">
      <c r="A838" t="s">
        <v>3827</v>
      </c>
      <c r="B838">
        <v>0</v>
      </c>
      <c r="C838" s="44">
        <v>3200</v>
      </c>
      <c r="D838" t="s">
        <v>293</v>
      </c>
      <c r="E838" t="s">
        <v>256</v>
      </c>
      <c r="F838" t="s">
        <v>3824</v>
      </c>
    </row>
    <row r="839" spans="1:6" ht="13.2">
      <c r="A839" t="s">
        <v>3823</v>
      </c>
      <c r="B839">
        <v>0</v>
      </c>
      <c r="C839" s="44">
        <v>3200</v>
      </c>
      <c r="D839" t="s">
        <v>293</v>
      </c>
      <c r="E839" t="s">
        <v>256</v>
      </c>
      <c r="F839" t="s">
        <v>3824</v>
      </c>
    </row>
    <row r="840" spans="1:6" ht="13.2">
      <c r="A840" t="s">
        <v>3826</v>
      </c>
      <c r="B840">
        <v>0</v>
      </c>
      <c r="C840" s="44">
        <v>3200</v>
      </c>
      <c r="D840" t="s">
        <v>293</v>
      </c>
      <c r="E840" t="s">
        <v>256</v>
      </c>
      <c r="F840" t="s">
        <v>3824</v>
      </c>
    </row>
    <row r="841" spans="1:6" ht="13.2">
      <c r="A841" t="s">
        <v>3830</v>
      </c>
      <c r="B841">
        <v>0</v>
      </c>
      <c r="C841" s="44">
        <v>3200</v>
      </c>
      <c r="D841" t="s">
        <v>293</v>
      </c>
      <c r="E841" t="s">
        <v>256</v>
      </c>
      <c r="F841" t="s">
        <v>3824</v>
      </c>
    </row>
    <row r="842" spans="1:6" ht="13.2">
      <c r="A842" t="s">
        <v>3825</v>
      </c>
      <c r="B842">
        <v>0</v>
      </c>
      <c r="C842" s="44">
        <v>3200</v>
      </c>
      <c r="D842" t="s">
        <v>293</v>
      </c>
      <c r="E842" t="s">
        <v>256</v>
      </c>
      <c r="F842" t="s">
        <v>3824</v>
      </c>
    </row>
    <row r="843" spans="1:6" ht="13.2">
      <c r="A843" t="s">
        <v>1053</v>
      </c>
      <c r="B843">
        <v>0</v>
      </c>
      <c r="C843" s="44" t="s">
        <v>201</v>
      </c>
      <c r="D843" t="s">
        <v>293</v>
      </c>
      <c r="E843" t="s">
        <v>256</v>
      </c>
      <c r="F843">
        <v>4</v>
      </c>
    </row>
    <row r="844" spans="1:6" ht="13.2">
      <c r="A844" t="s">
        <v>1054</v>
      </c>
      <c r="B844">
        <v>0</v>
      </c>
      <c r="C844" s="44" t="s">
        <v>201</v>
      </c>
      <c r="D844" t="s">
        <v>293</v>
      </c>
      <c r="E844" t="s">
        <v>256</v>
      </c>
      <c r="F844">
        <v>4</v>
      </c>
    </row>
    <row r="845" spans="1:6" ht="13.2">
      <c r="A845" t="s">
        <v>1055</v>
      </c>
      <c r="B845">
        <v>0</v>
      </c>
      <c r="C845" s="44" t="s">
        <v>201</v>
      </c>
      <c r="D845" t="s">
        <v>293</v>
      </c>
      <c r="E845" t="s">
        <v>256</v>
      </c>
      <c r="F845">
        <v>4</v>
      </c>
    </row>
    <row r="846" spans="1:6" ht="13.2">
      <c r="A846" t="s">
        <v>1056</v>
      </c>
      <c r="B846">
        <v>0</v>
      </c>
      <c r="C846" s="44" t="s">
        <v>201</v>
      </c>
      <c r="D846" t="s">
        <v>293</v>
      </c>
      <c r="E846" t="s">
        <v>256</v>
      </c>
      <c r="F846">
        <v>4</v>
      </c>
    </row>
    <row r="847" spans="1:6" ht="13.2">
      <c r="A847" t="s">
        <v>1057</v>
      </c>
      <c r="B847">
        <v>0</v>
      </c>
      <c r="C847" s="44" t="s">
        <v>201</v>
      </c>
      <c r="D847" t="s">
        <v>293</v>
      </c>
      <c r="E847" t="s">
        <v>256</v>
      </c>
      <c r="F847">
        <v>4</v>
      </c>
    </row>
    <row r="848" spans="1:6" ht="13.2">
      <c r="A848" t="s">
        <v>1058</v>
      </c>
      <c r="B848">
        <v>0</v>
      </c>
      <c r="C848" s="44" t="s">
        <v>201</v>
      </c>
      <c r="D848" t="s">
        <v>293</v>
      </c>
      <c r="E848" t="s">
        <v>256</v>
      </c>
      <c r="F848">
        <v>4</v>
      </c>
    </row>
    <row r="849" spans="1:6" ht="13.2">
      <c r="A849" t="s">
        <v>1059</v>
      </c>
      <c r="B849">
        <v>0</v>
      </c>
      <c r="C849" s="44" t="s">
        <v>201</v>
      </c>
      <c r="D849" t="s">
        <v>293</v>
      </c>
      <c r="E849" t="s">
        <v>256</v>
      </c>
      <c r="F849">
        <v>4</v>
      </c>
    </row>
    <row r="850" spans="1:6" ht="13.2">
      <c r="A850" t="s">
        <v>1060</v>
      </c>
      <c r="B850">
        <v>0</v>
      </c>
      <c r="C850" s="44" t="s">
        <v>201</v>
      </c>
      <c r="D850" t="s">
        <v>293</v>
      </c>
      <c r="E850" t="s">
        <v>256</v>
      </c>
      <c r="F850">
        <v>4</v>
      </c>
    </row>
    <row r="851" spans="1:6" ht="13.2">
      <c r="A851" t="s">
        <v>3831</v>
      </c>
      <c r="B851">
        <v>0</v>
      </c>
      <c r="C851" s="44">
        <v>3200</v>
      </c>
      <c r="D851" t="s">
        <v>293</v>
      </c>
      <c r="E851" t="s">
        <v>216</v>
      </c>
      <c r="F851" t="s">
        <v>3824</v>
      </c>
    </row>
    <row r="852" spans="1:6" ht="13.2">
      <c r="A852" t="s">
        <v>3832</v>
      </c>
      <c r="B852">
        <v>0</v>
      </c>
      <c r="C852" s="44">
        <v>3200</v>
      </c>
      <c r="D852" t="s">
        <v>293</v>
      </c>
      <c r="E852" t="s">
        <v>216</v>
      </c>
      <c r="F852" t="s">
        <v>3824</v>
      </c>
    </row>
    <row r="853" spans="1:6" ht="13.2">
      <c r="A853" t="s">
        <v>3833</v>
      </c>
      <c r="B853">
        <v>0</v>
      </c>
      <c r="C853" s="44">
        <v>3200</v>
      </c>
      <c r="D853" t="s">
        <v>293</v>
      </c>
      <c r="E853" t="s">
        <v>216</v>
      </c>
      <c r="F853" t="s">
        <v>3824</v>
      </c>
    </row>
    <row r="854" spans="1:6" ht="13.2">
      <c r="A854" t="s">
        <v>3834</v>
      </c>
      <c r="B854">
        <v>0</v>
      </c>
      <c r="C854" s="44">
        <v>3200</v>
      </c>
      <c r="D854" t="s">
        <v>293</v>
      </c>
      <c r="E854" t="s">
        <v>216</v>
      </c>
      <c r="F854" t="s">
        <v>3824</v>
      </c>
    </row>
    <row r="855" spans="1:6" ht="13.2">
      <c r="A855" t="s">
        <v>3836</v>
      </c>
      <c r="B855">
        <v>0</v>
      </c>
      <c r="C855" s="44">
        <v>3200</v>
      </c>
      <c r="D855" t="s">
        <v>293</v>
      </c>
      <c r="E855" t="s">
        <v>216</v>
      </c>
      <c r="F855" t="s">
        <v>3824</v>
      </c>
    </row>
    <row r="856" spans="1:6" ht="13.2">
      <c r="A856" t="s">
        <v>3837</v>
      </c>
      <c r="B856">
        <v>0</v>
      </c>
      <c r="C856" s="44">
        <v>3200</v>
      </c>
      <c r="D856" t="s">
        <v>293</v>
      </c>
      <c r="E856" t="s">
        <v>216</v>
      </c>
      <c r="F856" t="s">
        <v>3824</v>
      </c>
    </row>
    <row r="857" spans="1:6" ht="13.2">
      <c r="A857" t="s">
        <v>3835</v>
      </c>
      <c r="B857">
        <v>0</v>
      </c>
      <c r="C857" s="44">
        <v>3200</v>
      </c>
      <c r="D857" t="s">
        <v>293</v>
      </c>
      <c r="E857" t="s">
        <v>216</v>
      </c>
      <c r="F857" t="s">
        <v>3824</v>
      </c>
    </row>
    <row r="858" spans="1:6" ht="13.2">
      <c r="A858" t="s">
        <v>5350</v>
      </c>
      <c r="B858">
        <v>0</v>
      </c>
      <c r="C858" s="44">
        <v>3000</v>
      </c>
      <c r="D858" t="s">
        <v>293</v>
      </c>
      <c r="E858" t="s">
        <v>256</v>
      </c>
      <c r="F858" t="s">
        <v>3824</v>
      </c>
    </row>
    <row r="859" spans="1:6" ht="13.2">
      <c r="A859" t="s">
        <v>5351</v>
      </c>
      <c r="B859">
        <v>0</v>
      </c>
      <c r="C859" s="44">
        <v>3000</v>
      </c>
      <c r="D859" t="s">
        <v>293</v>
      </c>
      <c r="E859" t="s">
        <v>256</v>
      </c>
      <c r="F859" t="s">
        <v>3824</v>
      </c>
    </row>
    <row r="860" spans="1:6" ht="13.2">
      <c r="A860" t="s">
        <v>5348</v>
      </c>
      <c r="B860">
        <v>0</v>
      </c>
      <c r="C860" s="44">
        <v>3000</v>
      </c>
      <c r="D860" t="s">
        <v>293</v>
      </c>
      <c r="E860" t="s">
        <v>256</v>
      </c>
      <c r="F860" t="s">
        <v>3824</v>
      </c>
    </row>
    <row r="861" spans="1:6" ht="13.2">
      <c r="A861" t="s">
        <v>5347</v>
      </c>
      <c r="B861">
        <v>0</v>
      </c>
      <c r="C861" s="44">
        <v>3000</v>
      </c>
      <c r="D861" t="s">
        <v>293</v>
      </c>
      <c r="E861" t="s">
        <v>256</v>
      </c>
      <c r="F861" t="s">
        <v>3824</v>
      </c>
    </row>
    <row r="862" spans="1:6" ht="13.2">
      <c r="A862" t="s">
        <v>5349</v>
      </c>
      <c r="B862">
        <v>0</v>
      </c>
      <c r="C862" s="44">
        <v>3000</v>
      </c>
      <c r="D862" t="s">
        <v>293</v>
      </c>
      <c r="E862" t="s">
        <v>256</v>
      </c>
      <c r="F862" t="s">
        <v>3824</v>
      </c>
    </row>
    <row r="863" spans="1:6" ht="13.2">
      <c r="A863" t="s">
        <v>5352</v>
      </c>
      <c r="B863">
        <v>0</v>
      </c>
      <c r="C863" s="44">
        <v>3000</v>
      </c>
      <c r="D863" t="s">
        <v>293</v>
      </c>
      <c r="E863" t="s">
        <v>256</v>
      </c>
      <c r="F863" t="s">
        <v>3824</v>
      </c>
    </row>
    <row r="864" spans="1:6" ht="13.2">
      <c r="A864" t="s">
        <v>3838</v>
      </c>
      <c r="B864">
        <v>0</v>
      </c>
      <c r="C864" s="44">
        <v>3200</v>
      </c>
      <c r="D864" t="s">
        <v>293</v>
      </c>
      <c r="E864" t="s">
        <v>256</v>
      </c>
      <c r="F864" t="s">
        <v>3824</v>
      </c>
    </row>
    <row r="865" spans="1:6" ht="13.2">
      <c r="A865" t="s">
        <v>3839</v>
      </c>
      <c r="B865">
        <v>0</v>
      </c>
      <c r="C865" s="44">
        <v>3200</v>
      </c>
      <c r="D865" t="s">
        <v>293</v>
      </c>
      <c r="E865" t="s">
        <v>256</v>
      </c>
      <c r="F865" t="s">
        <v>3824</v>
      </c>
    </row>
    <row r="866" spans="1:6" ht="13.2">
      <c r="A866" t="s">
        <v>3841</v>
      </c>
      <c r="B866">
        <v>0</v>
      </c>
      <c r="C866" s="44">
        <v>3200</v>
      </c>
      <c r="D866" t="s">
        <v>293</v>
      </c>
      <c r="E866" t="s">
        <v>256</v>
      </c>
      <c r="F866" t="s">
        <v>3824</v>
      </c>
    </row>
    <row r="867" spans="1:6" ht="13.2">
      <c r="A867" t="s">
        <v>3840</v>
      </c>
      <c r="B867">
        <v>0</v>
      </c>
      <c r="C867" s="44">
        <v>3200</v>
      </c>
      <c r="D867" t="s">
        <v>293</v>
      </c>
      <c r="E867" t="s">
        <v>256</v>
      </c>
      <c r="F867" t="s">
        <v>3824</v>
      </c>
    </row>
    <row r="868" spans="1:6" ht="13.2">
      <c r="A868" t="s">
        <v>3842</v>
      </c>
      <c r="B868">
        <v>0</v>
      </c>
      <c r="C868" s="44">
        <v>3200</v>
      </c>
      <c r="D868" t="s">
        <v>293</v>
      </c>
      <c r="E868" t="s">
        <v>256</v>
      </c>
      <c r="F868" t="s">
        <v>3824</v>
      </c>
    </row>
    <row r="869" spans="1:6" ht="13.2">
      <c r="A869" t="s">
        <v>3843</v>
      </c>
      <c r="B869">
        <v>0</v>
      </c>
      <c r="C869" s="44">
        <v>3200</v>
      </c>
      <c r="D869" t="s">
        <v>293</v>
      </c>
      <c r="E869" t="s">
        <v>256</v>
      </c>
      <c r="F869" t="s">
        <v>3824</v>
      </c>
    </row>
    <row r="870" spans="1:6" ht="13.2">
      <c r="A870" t="s">
        <v>4840</v>
      </c>
      <c r="B870">
        <v>0</v>
      </c>
      <c r="C870" s="44">
        <v>3200</v>
      </c>
      <c r="D870" t="s">
        <v>293</v>
      </c>
      <c r="E870" t="s">
        <v>256</v>
      </c>
      <c r="F870">
        <v>4</v>
      </c>
    </row>
    <row r="871" spans="1:6" ht="13.2">
      <c r="A871" t="s">
        <v>4836</v>
      </c>
      <c r="B871">
        <v>0</v>
      </c>
      <c r="C871" s="44">
        <v>3200</v>
      </c>
      <c r="D871" t="s">
        <v>293</v>
      </c>
      <c r="E871" t="s">
        <v>256</v>
      </c>
      <c r="F871">
        <v>4</v>
      </c>
    </row>
    <row r="872" spans="1:6" ht="13.2">
      <c r="A872" t="s">
        <v>4838</v>
      </c>
      <c r="B872">
        <v>0</v>
      </c>
      <c r="C872" s="44">
        <v>3200</v>
      </c>
      <c r="D872" t="s">
        <v>293</v>
      </c>
      <c r="E872" t="s">
        <v>256</v>
      </c>
      <c r="F872">
        <v>4</v>
      </c>
    </row>
    <row r="873" spans="1:6" ht="13.2">
      <c r="A873" t="s">
        <v>4841</v>
      </c>
      <c r="B873">
        <v>0</v>
      </c>
      <c r="C873" s="44">
        <v>3200</v>
      </c>
      <c r="D873" t="s">
        <v>293</v>
      </c>
      <c r="E873" t="s">
        <v>256</v>
      </c>
      <c r="F873">
        <v>4</v>
      </c>
    </row>
    <row r="874" spans="1:6" ht="13.2">
      <c r="A874" t="s">
        <v>4839</v>
      </c>
      <c r="B874">
        <v>0</v>
      </c>
      <c r="C874" s="44">
        <v>3200</v>
      </c>
      <c r="D874" t="s">
        <v>293</v>
      </c>
      <c r="E874" t="s">
        <v>256</v>
      </c>
      <c r="F874">
        <v>4</v>
      </c>
    </row>
    <row r="875" spans="1:6" ht="13.2">
      <c r="A875" t="s">
        <v>4842</v>
      </c>
      <c r="B875">
        <v>0</v>
      </c>
      <c r="C875" s="44">
        <v>3200</v>
      </c>
      <c r="D875" t="s">
        <v>293</v>
      </c>
      <c r="E875" t="s">
        <v>256</v>
      </c>
      <c r="F875">
        <v>4</v>
      </c>
    </row>
    <row r="876" spans="1:6" ht="13.2">
      <c r="A876" t="s">
        <v>4837</v>
      </c>
      <c r="B876">
        <v>0</v>
      </c>
      <c r="C876" s="44">
        <v>3200</v>
      </c>
      <c r="D876" t="s">
        <v>293</v>
      </c>
      <c r="E876" t="s">
        <v>256</v>
      </c>
      <c r="F876">
        <v>4</v>
      </c>
    </row>
    <row r="877" spans="1:6" ht="13.2">
      <c r="A877" t="s">
        <v>1571</v>
      </c>
      <c r="B877">
        <v>0</v>
      </c>
      <c r="C877" s="44">
        <v>3200</v>
      </c>
      <c r="D877" t="s">
        <v>293</v>
      </c>
      <c r="E877" t="s">
        <v>256</v>
      </c>
      <c r="F877">
        <v>4</v>
      </c>
    </row>
    <row r="878" spans="1:6" ht="13.2">
      <c r="A878" t="s">
        <v>1572</v>
      </c>
      <c r="B878">
        <v>0</v>
      </c>
      <c r="C878" s="44">
        <v>3200</v>
      </c>
      <c r="D878" t="s">
        <v>293</v>
      </c>
      <c r="E878" t="s">
        <v>256</v>
      </c>
      <c r="F878">
        <v>4</v>
      </c>
    </row>
    <row r="879" spans="1:6" ht="13.2">
      <c r="A879" t="s">
        <v>1573</v>
      </c>
      <c r="B879">
        <v>0</v>
      </c>
      <c r="C879" s="44">
        <v>3200</v>
      </c>
      <c r="D879" t="s">
        <v>293</v>
      </c>
      <c r="E879" t="s">
        <v>256</v>
      </c>
      <c r="F879">
        <v>4</v>
      </c>
    </row>
    <row r="880" spans="1:6" ht="13.2">
      <c r="A880" t="s">
        <v>1574</v>
      </c>
      <c r="B880">
        <v>0</v>
      </c>
      <c r="C880" s="44">
        <v>3200</v>
      </c>
      <c r="D880" t="s">
        <v>293</v>
      </c>
      <c r="E880" t="s">
        <v>256</v>
      </c>
      <c r="F880">
        <v>4</v>
      </c>
    </row>
    <row r="881" spans="1:6" ht="13.2">
      <c r="A881" t="s">
        <v>1575</v>
      </c>
      <c r="B881">
        <v>0</v>
      </c>
      <c r="C881" s="44">
        <v>3200</v>
      </c>
      <c r="D881" t="s">
        <v>293</v>
      </c>
      <c r="E881" t="s">
        <v>256</v>
      </c>
      <c r="F881">
        <v>4</v>
      </c>
    </row>
    <row r="882" spans="1:6" ht="13.2">
      <c r="A882" t="s">
        <v>1576</v>
      </c>
      <c r="B882">
        <v>0</v>
      </c>
      <c r="C882" s="44">
        <v>3200</v>
      </c>
      <c r="D882" t="s">
        <v>293</v>
      </c>
      <c r="E882" t="s">
        <v>256</v>
      </c>
      <c r="F882">
        <v>4</v>
      </c>
    </row>
    <row r="883" spans="1:6" ht="13.2">
      <c r="A883" t="s">
        <v>1577</v>
      </c>
      <c r="B883">
        <v>0</v>
      </c>
      <c r="C883" s="44">
        <v>3200</v>
      </c>
      <c r="D883" t="s">
        <v>293</v>
      </c>
      <c r="E883" t="s">
        <v>256</v>
      </c>
      <c r="F883">
        <v>4</v>
      </c>
    </row>
    <row r="884" spans="1:6" ht="13.2">
      <c r="A884" t="s">
        <v>1578</v>
      </c>
      <c r="B884">
        <v>0</v>
      </c>
      <c r="C884" s="44">
        <v>3200</v>
      </c>
      <c r="D884" t="s">
        <v>293</v>
      </c>
      <c r="E884" t="s">
        <v>256</v>
      </c>
      <c r="F884">
        <v>4</v>
      </c>
    </row>
    <row r="885" spans="1:6" ht="13.2">
      <c r="A885" t="s">
        <v>1580</v>
      </c>
      <c r="B885">
        <v>0</v>
      </c>
      <c r="C885" s="44">
        <v>3200</v>
      </c>
      <c r="D885" t="s">
        <v>293</v>
      </c>
      <c r="E885" t="s">
        <v>256</v>
      </c>
      <c r="F885">
        <v>4</v>
      </c>
    </row>
    <row r="886" spans="1:6" ht="13.2">
      <c r="A886" t="s">
        <v>1579</v>
      </c>
      <c r="B886">
        <v>0</v>
      </c>
      <c r="C886" s="44">
        <v>3200</v>
      </c>
      <c r="D886" t="s">
        <v>293</v>
      </c>
      <c r="E886" t="s">
        <v>256</v>
      </c>
      <c r="F886">
        <v>4</v>
      </c>
    </row>
    <row r="887" spans="1:6" ht="13.2">
      <c r="A887" t="s">
        <v>4262</v>
      </c>
      <c r="B887">
        <v>0</v>
      </c>
      <c r="C887" s="44">
        <v>3200</v>
      </c>
      <c r="D887" t="s">
        <v>291</v>
      </c>
      <c r="E887" t="s">
        <v>256</v>
      </c>
      <c r="F887">
        <v>4</v>
      </c>
    </row>
    <row r="888" spans="1:6" ht="13.2">
      <c r="A888" t="s">
        <v>4263</v>
      </c>
      <c r="B888">
        <v>0</v>
      </c>
      <c r="C888" s="44">
        <v>3200</v>
      </c>
      <c r="D888" t="s">
        <v>291</v>
      </c>
      <c r="E888" t="s">
        <v>256</v>
      </c>
      <c r="F888">
        <v>4</v>
      </c>
    </row>
    <row r="889" spans="1:6" ht="13.2">
      <c r="A889" t="s">
        <v>4264</v>
      </c>
      <c r="B889">
        <v>0</v>
      </c>
      <c r="C889" s="44">
        <v>3200</v>
      </c>
      <c r="D889" t="s">
        <v>291</v>
      </c>
      <c r="E889" t="s">
        <v>256</v>
      </c>
      <c r="F889">
        <v>4</v>
      </c>
    </row>
    <row r="890" spans="1:6" ht="13.2">
      <c r="A890" t="s">
        <v>4265</v>
      </c>
      <c r="B890">
        <v>0</v>
      </c>
      <c r="C890" s="44">
        <v>3200</v>
      </c>
      <c r="D890" t="s">
        <v>291</v>
      </c>
      <c r="E890" t="s">
        <v>256</v>
      </c>
      <c r="F890">
        <v>4</v>
      </c>
    </row>
    <row r="891" spans="1:6" ht="13.2">
      <c r="A891" t="s">
        <v>4266</v>
      </c>
      <c r="B891">
        <v>0</v>
      </c>
      <c r="C891" s="44">
        <v>3200</v>
      </c>
      <c r="D891" t="s">
        <v>291</v>
      </c>
      <c r="E891" t="s">
        <v>256</v>
      </c>
      <c r="F891">
        <v>4</v>
      </c>
    </row>
    <row r="892" spans="1:6" ht="13.2">
      <c r="A892" t="s">
        <v>4267</v>
      </c>
      <c r="B892">
        <v>0</v>
      </c>
      <c r="C892" s="44">
        <v>3200</v>
      </c>
      <c r="D892" t="s">
        <v>291</v>
      </c>
      <c r="E892" t="s">
        <v>256</v>
      </c>
      <c r="F892">
        <v>4</v>
      </c>
    </row>
    <row r="893" spans="1:6" ht="13.2">
      <c r="A893" t="s">
        <v>4268</v>
      </c>
      <c r="B893">
        <v>0</v>
      </c>
      <c r="C893" s="44">
        <v>3200</v>
      </c>
      <c r="D893" t="s">
        <v>291</v>
      </c>
      <c r="E893" t="s">
        <v>256</v>
      </c>
      <c r="F893">
        <v>4</v>
      </c>
    </row>
    <row r="894" spans="1:6" ht="13.2">
      <c r="A894" t="s">
        <v>4269</v>
      </c>
      <c r="B894">
        <v>0</v>
      </c>
      <c r="C894" s="44">
        <v>3200</v>
      </c>
      <c r="D894" t="s">
        <v>291</v>
      </c>
      <c r="E894" t="s">
        <v>256</v>
      </c>
      <c r="F894">
        <v>4</v>
      </c>
    </row>
    <row r="895" spans="1:6" ht="13.2">
      <c r="A895" t="s">
        <v>4271</v>
      </c>
      <c r="B895">
        <v>0</v>
      </c>
      <c r="C895" s="44">
        <v>3200</v>
      </c>
      <c r="D895" t="s">
        <v>291</v>
      </c>
      <c r="E895" t="s">
        <v>256</v>
      </c>
      <c r="F895">
        <v>4</v>
      </c>
    </row>
    <row r="896" spans="1:6" ht="13.2">
      <c r="A896" t="s">
        <v>4270</v>
      </c>
      <c r="B896">
        <v>0</v>
      </c>
      <c r="C896" s="44">
        <v>3200</v>
      </c>
      <c r="D896" t="s">
        <v>291</v>
      </c>
      <c r="E896" t="s">
        <v>256</v>
      </c>
      <c r="F896">
        <v>4</v>
      </c>
    </row>
    <row r="897" spans="1:6" ht="13.2">
      <c r="A897" t="s">
        <v>6231</v>
      </c>
      <c r="B897">
        <v>0</v>
      </c>
      <c r="C897" s="44" t="s">
        <v>201</v>
      </c>
      <c r="D897" t="s">
        <v>293</v>
      </c>
      <c r="E897" t="s">
        <v>256</v>
      </c>
      <c r="F897" t="s">
        <v>3824</v>
      </c>
    </row>
    <row r="898" spans="1:6" ht="13.2">
      <c r="A898" t="s">
        <v>6232</v>
      </c>
      <c r="B898">
        <v>0</v>
      </c>
      <c r="C898" s="44" t="s">
        <v>201</v>
      </c>
      <c r="D898" t="s">
        <v>293</v>
      </c>
      <c r="E898" t="s">
        <v>256</v>
      </c>
      <c r="F898" t="s">
        <v>3824</v>
      </c>
    </row>
    <row r="899" spans="1:6" ht="13.2">
      <c r="A899" t="s">
        <v>6236</v>
      </c>
      <c r="B899">
        <v>0</v>
      </c>
      <c r="C899" s="44" t="s">
        <v>201</v>
      </c>
      <c r="D899" t="s">
        <v>293</v>
      </c>
      <c r="E899" t="s">
        <v>256</v>
      </c>
      <c r="F899" t="s">
        <v>3824</v>
      </c>
    </row>
    <row r="900" spans="1:6" ht="13.2">
      <c r="A900" t="s">
        <v>6235</v>
      </c>
      <c r="B900">
        <v>0</v>
      </c>
      <c r="C900" s="44" t="s">
        <v>201</v>
      </c>
      <c r="D900" t="s">
        <v>293</v>
      </c>
      <c r="E900" t="s">
        <v>256</v>
      </c>
      <c r="F900" t="s">
        <v>3824</v>
      </c>
    </row>
    <row r="901" spans="1:6" ht="13.2">
      <c r="A901" t="s">
        <v>6233</v>
      </c>
      <c r="B901">
        <v>0</v>
      </c>
      <c r="C901" s="44" t="s">
        <v>201</v>
      </c>
      <c r="D901" t="s">
        <v>293</v>
      </c>
      <c r="E901" t="s">
        <v>256</v>
      </c>
      <c r="F901" t="s">
        <v>3824</v>
      </c>
    </row>
    <row r="902" spans="1:6" ht="13.2">
      <c r="A902" t="s">
        <v>6237</v>
      </c>
      <c r="B902">
        <v>0</v>
      </c>
      <c r="C902" s="44" t="s">
        <v>201</v>
      </c>
      <c r="D902" t="s">
        <v>293</v>
      </c>
      <c r="E902" t="s">
        <v>256</v>
      </c>
      <c r="F902" t="s">
        <v>3824</v>
      </c>
    </row>
    <row r="903" spans="1:6" ht="13.2">
      <c r="A903" t="s">
        <v>6234</v>
      </c>
      <c r="B903">
        <v>0</v>
      </c>
      <c r="C903" s="44" t="s">
        <v>201</v>
      </c>
      <c r="D903" t="s">
        <v>293</v>
      </c>
      <c r="E903" t="s">
        <v>256</v>
      </c>
      <c r="F903" t="s">
        <v>3824</v>
      </c>
    </row>
    <row r="904" spans="1:6" ht="13.2">
      <c r="A904" t="s">
        <v>1061</v>
      </c>
      <c r="B904">
        <v>0</v>
      </c>
      <c r="C904" s="44">
        <v>3200</v>
      </c>
      <c r="D904" t="s">
        <v>293</v>
      </c>
      <c r="E904" t="s">
        <v>256</v>
      </c>
      <c r="F904">
        <v>4</v>
      </c>
    </row>
    <row r="905" spans="1:6" ht="13.2">
      <c r="A905" t="s">
        <v>1062</v>
      </c>
      <c r="B905">
        <v>0</v>
      </c>
      <c r="C905" s="44">
        <v>3200</v>
      </c>
      <c r="D905" t="s">
        <v>293</v>
      </c>
      <c r="E905" t="s">
        <v>256</v>
      </c>
      <c r="F905">
        <v>4</v>
      </c>
    </row>
    <row r="906" spans="1:6" ht="13.2">
      <c r="A906" t="s">
        <v>1063</v>
      </c>
      <c r="B906">
        <v>0</v>
      </c>
      <c r="C906" s="44">
        <v>3200</v>
      </c>
      <c r="D906" t="s">
        <v>293</v>
      </c>
      <c r="E906" t="s">
        <v>256</v>
      </c>
      <c r="F906">
        <v>4</v>
      </c>
    </row>
    <row r="907" spans="1:6" ht="13.2">
      <c r="A907" t="s">
        <v>1064</v>
      </c>
      <c r="B907">
        <v>0</v>
      </c>
      <c r="C907" s="44">
        <v>3200</v>
      </c>
      <c r="D907" t="s">
        <v>293</v>
      </c>
      <c r="E907" t="s">
        <v>256</v>
      </c>
      <c r="F907">
        <v>4</v>
      </c>
    </row>
    <row r="908" spans="1:6" ht="13.2">
      <c r="A908" t="s">
        <v>1065</v>
      </c>
      <c r="B908">
        <v>0</v>
      </c>
      <c r="C908" s="44">
        <v>3200</v>
      </c>
      <c r="D908" t="s">
        <v>293</v>
      </c>
      <c r="E908" t="s">
        <v>256</v>
      </c>
      <c r="F908">
        <v>4</v>
      </c>
    </row>
    <row r="909" spans="1:6" ht="13.2">
      <c r="A909" t="s">
        <v>1066</v>
      </c>
      <c r="B909">
        <v>0</v>
      </c>
      <c r="C909" s="44">
        <v>3200</v>
      </c>
      <c r="D909" t="s">
        <v>293</v>
      </c>
      <c r="E909" t="s">
        <v>256</v>
      </c>
      <c r="F909">
        <v>4</v>
      </c>
    </row>
    <row r="910" spans="1:6" ht="13.2">
      <c r="A910" t="s">
        <v>1067</v>
      </c>
      <c r="B910">
        <v>0</v>
      </c>
      <c r="C910" s="44">
        <v>3200</v>
      </c>
      <c r="D910" t="s">
        <v>293</v>
      </c>
      <c r="E910" t="s">
        <v>256</v>
      </c>
      <c r="F910">
        <v>4</v>
      </c>
    </row>
    <row r="911" spans="1:6" ht="13.2">
      <c r="A911" t="s">
        <v>1068</v>
      </c>
      <c r="B911">
        <v>0</v>
      </c>
      <c r="C911" s="44">
        <v>3200</v>
      </c>
      <c r="D911" t="s">
        <v>293</v>
      </c>
      <c r="E911" t="s">
        <v>256</v>
      </c>
      <c r="F911">
        <v>4</v>
      </c>
    </row>
    <row r="912" spans="1:6" ht="13.2">
      <c r="A912" t="s">
        <v>751</v>
      </c>
      <c r="B912">
        <v>0</v>
      </c>
      <c r="C912" s="44" t="s">
        <v>201</v>
      </c>
      <c r="D912" t="s">
        <v>293</v>
      </c>
      <c r="E912" t="s">
        <v>256</v>
      </c>
      <c r="F912">
        <v>4</v>
      </c>
    </row>
    <row r="913" spans="1:6" ht="13.2">
      <c r="A913" t="s">
        <v>752</v>
      </c>
      <c r="B913">
        <v>0</v>
      </c>
      <c r="C913" s="44" t="s">
        <v>201</v>
      </c>
      <c r="D913" t="s">
        <v>293</v>
      </c>
      <c r="E913" t="s">
        <v>256</v>
      </c>
      <c r="F913">
        <v>4</v>
      </c>
    </row>
    <row r="914" spans="1:6" ht="13.2">
      <c r="A914" t="s">
        <v>753</v>
      </c>
      <c r="B914">
        <v>0</v>
      </c>
      <c r="C914" s="44" t="s">
        <v>201</v>
      </c>
      <c r="D914" t="s">
        <v>293</v>
      </c>
      <c r="E914" t="s">
        <v>256</v>
      </c>
      <c r="F914">
        <v>4</v>
      </c>
    </row>
    <row r="915" spans="1:6" ht="13.2">
      <c r="A915" t="s">
        <v>754</v>
      </c>
      <c r="B915">
        <v>0</v>
      </c>
      <c r="C915" s="44" t="s">
        <v>201</v>
      </c>
      <c r="D915" t="s">
        <v>293</v>
      </c>
      <c r="E915" t="s">
        <v>256</v>
      </c>
      <c r="F915">
        <v>4</v>
      </c>
    </row>
    <row r="916" spans="1:6" ht="13.2">
      <c r="A916" t="s">
        <v>755</v>
      </c>
      <c r="B916">
        <v>0</v>
      </c>
      <c r="C916" s="44" t="s">
        <v>201</v>
      </c>
      <c r="D916" t="s">
        <v>293</v>
      </c>
      <c r="E916" t="s">
        <v>256</v>
      </c>
      <c r="F916">
        <v>4</v>
      </c>
    </row>
    <row r="917" spans="1:6" ht="13.2">
      <c r="A917" t="s">
        <v>756</v>
      </c>
      <c r="B917">
        <v>0</v>
      </c>
      <c r="C917" s="44" t="s">
        <v>201</v>
      </c>
      <c r="D917" t="s">
        <v>293</v>
      </c>
      <c r="E917" t="s">
        <v>256</v>
      </c>
      <c r="F917">
        <v>4</v>
      </c>
    </row>
    <row r="918" spans="1:6" ht="13.2">
      <c r="A918" t="s">
        <v>757</v>
      </c>
      <c r="B918">
        <v>0</v>
      </c>
      <c r="C918" s="44" t="s">
        <v>201</v>
      </c>
      <c r="D918" t="s">
        <v>293</v>
      </c>
      <c r="E918" t="s">
        <v>256</v>
      </c>
      <c r="F918">
        <v>4</v>
      </c>
    </row>
    <row r="919" spans="1:6" ht="13.2">
      <c r="A919" t="s">
        <v>758</v>
      </c>
      <c r="B919">
        <v>0</v>
      </c>
      <c r="C919" s="44" t="s">
        <v>201</v>
      </c>
      <c r="D919" t="s">
        <v>293</v>
      </c>
      <c r="E919" t="s">
        <v>256</v>
      </c>
      <c r="F919">
        <v>4</v>
      </c>
    </row>
    <row r="920" spans="1:6" ht="13.2">
      <c r="A920" t="s">
        <v>759</v>
      </c>
      <c r="B920">
        <v>0</v>
      </c>
      <c r="C920" s="44" t="s">
        <v>201</v>
      </c>
      <c r="D920" t="s">
        <v>293</v>
      </c>
      <c r="E920" t="s">
        <v>256</v>
      </c>
      <c r="F920">
        <v>4</v>
      </c>
    </row>
    <row r="921" spans="1:6" ht="13.2">
      <c r="A921" t="s">
        <v>760</v>
      </c>
      <c r="B921">
        <v>0</v>
      </c>
      <c r="C921" s="44" t="s">
        <v>201</v>
      </c>
      <c r="D921" t="s">
        <v>293</v>
      </c>
      <c r="E921" t="s">
        <v>256</v>
      </c>
      <c r="F921">
        <v>4</v>
      </c>
    </row>
    <row r="922" spans="1:6" ht="13.2">
      <c r="A922" t="s">
        <v>761</v>
      </c>
      <c r="B922">
        <v>0</v>
      </c>
      <c r="C922" s="44" t="s">
        <v>201</v>
      </c>
      <c r="D922" t="s">
        <v>293</v>
      </c>
      <c r="E922" t="s">
        <v>256</v>
      </c>
      <c r="F922">
        <v>4</v>
      </c>
    </row>
    <row r="923" spans="1:6" ht="13.2">
      <c r="A923" t="s">
        <v>846</v>
      </c>
      <c r="B923">
        <v>0</v>
      </c>
      <c r="C923" s="44" t="s">
        <v>201</v>
      </c>
      <c r="D923" t="s">
        <v>291</v>
      </c>
      <c r="E923" t="s">
        <v>256</v>
      </c>
      <c r="F923">
        <v>4</v>
      </c>
    </row>
    <row r="924" spans="1:6" ht="13.2">
      <c r="A924" t="s">
        <v>847</v>
      </c>
      <c r="B924">
        <v>0</v>
      </c>
      <c r="C924" s="44" t="s">
        <v>201</v>
      </c>
      <c r="D924" t="s">
        <v>291</v>
      </c>
      <c r="E924" t="s">
        <v>256</v>
      </c>
      <c r="F924">
        <v>4</v>
      </c>
    </row>
    <row r="925" spans="1:6" ht="13.2">
      <c r="A925" t="s">
        <v>848</v>
      </c>
      <c r="B925">
        <v>0</v>
      </c>
      <c r="C925" s="44" t="s">
        <v>201</v>
      </c>
      <c r="D925" t="s">
        <v>291</v>
      </c>
      <c r="E925" t="s">
        <v>256</v>
      </c>
      <c r="F925">
        <v>4</v>
      </c>
    </row>
    <row r="926" spans="1:6" ht="13.2">
      <c r="A926" t="s">
        <v>849</v>
      </c>
      <c r="B926">
        <v>0</v>
      </c>
      <c r="C926" s="44" t="s">
        <v>201</v>
      </c>
      <c r="D926" t="s">
        <v>291</v>
      </c>
      <c r="E926" t="s">
        <v>256</v>
      </c>
      <c r="F926">
        <v>4</v>
      </c>
    </row>
    <row r="927" spans="1:6" ht="13.2">
      <c r="A927" t="s">
        <v>850</v>
      </c>
      <c r="B927">
        <v>0</v>
      </c>
      <c r="C927" s="44" t="s">
        <v>201</v>
      </c>
      <c r="D927" t="s">
        <v>291</v>
      </c>
      <c r="E927" t="s">
        <v>256</v>
      </c>
      <c r="F927">
        <v>4</v>
      </c>
    </row>
    <row r="928" spans="1:6" ht="13.2">
      <c r="A928" t="s">
        <v>851</v>
      </c>
      <c r="B928">
        <v>0</v>
      </c>
      <c r="C928" s="44" t="s">
        <v>201</v>
      </c>
      <c r="D928" t="s">
        <v>291</v>
      </c>
      <c r="E928" t="s">
        <v>256</v>
      </c>
      <c r="F928">
        <v>4</v>
      </c>
    </row>
    <row r="929" spans="1:6" ht="13.2">
      <c r="A929" t="s">
        <v>852</v>
      </c>
      <c r="B929">
        <v>0</v>
      </c>
      <c r="C929" s="44" t="s">
        <v>201</v>
      </c>
      <c r="D929" t="s">
        <v>291</v>
      </c>
      <c r="E929" t="s">
        <v>256</v>
      </c>
      <c r="F929">
        <v>4</v>
      </c>
    </row>
    <row r="930" spans="1:6" ht="13.2">
      <c r="A930" t="s">
        <v>853</v>
      </c>
      <c r="B930">
        <v>0</v>
      </c>
      <c r="C930" s="44" t="s">
        <v>201</v>
      </c>
      <c r="D930" s="45" t="s">
        <v>291</v>
      </c>
      <c r="E930" t="s">
        <v>256</v>
      </c>
      <c r="F930">
        <v>4</v>
      </c>
    </row>
    <row r="931" spans="1:6" ht="13.2">
      <c r="A931" t="s">
        <v>854</v>
      </c>
      <c r="B931">
        <v>0</v>
      </c>
      <c r="C931" s="44" t="s">
        <v>201</v>
      </c>
      <c r="D931" s="45" t="s">
        <v>291</v>
      </c>
      <c r="E931" t="s">
        <v>256</v>
      </c>
      <c r="F931">
        <v>4</v>
      </c>
    </row>
    <row r="932" spans="1:6" ht="13.2">
      <c r="A932" t="s">
        <v>855</v>
      </c>
      <c r="B932">
        <v>0</v>
      </c>
      <c r="C932" s="44" t="s">
        <v>201</v>
      </c>
      <c r="D932" s="45" t="s">
        <v>291</v>
      </c>
      <c r="E932" t="s">
        <v>256</v>
      </c>
      <c r="F932">
        <v>4</v>
      </c>
    </row>
    <row r="933" spans="1:6" ht="13.2">
      <c r="A933" t="s">
        <v>856</v>
      </c>
      <c r="B933">
        <v>0</v>
      </c>
      <c r="C933" s="44" t="s">
        <v>201</v>
      </c>
      <c r="D933" s="45" t="s">
        <v>291</v>
      </c>
      <c r="E933" t="s">
        <v>256</v>
      </c>
      <c r="F933">
        <v>4</v>
      </c>
    </row>
    <row r="934" spans="1:6" ht="13.2">
      <c r="A934" t="s">
        <v>3848</v>
      </c>
      <c r="B934">
        <v>506</v>
      </c>
      <c r="C934" s="44">
        <v>3200</v>
      </c>
      <c r="D934" t="s">
        <v>293</v>
      </c>
      <c r="E934" t="s">
        <v>256</v>
      </c>
      <c r="F934" t="s">
        <v>3824</v>
      </c>
    </row>
    <row r="935" spans="1:6" ht="13.2">
      <c r="A935" t="s">
        <v>3849</v>
      </c>
      <c r="B935">
        <v>506</v>
      </c>
      <c r="C935" s="44">
        <v>3200</v>
      </c>
      <c r="D935" t="s">
        <v>293</v>
      </c>
      <c r="E935" t="s">
        <v>256</v>
      </c>
      <c r="F935" t="s">
        <v>3824</v>
      </c>
    </row>
    <row r="936" spans="1:6" ht="13.2">
      <c r="A936" t="s">
        <v>3847</v>
      </c>
      <c r="B936">
        <v>506</v>
      </c>
      <c r="C936" s="44">
        <v>3200</v>
      </c>
      <c r="D936" t="s">
        <v>293</v>
      </c>
      <c r="E936" t="s">
        <v>256</v>
      </c>
      <c r="F936" t="s">
        <v>3824</v>
      </c>
    </row>
    <row r="937" spans="1:6" ht="13.2">
      <c r="A937" t="s">
        <v>3845</v>
      </c>
      <c r="B937">
        <v>506</v>
      </c>
      <c r="C937" s="44">
        <v>3200</v>
      </c>
      <c r="D937" t="s">
        <v>293</v>
      </c>
      <c r="E937" t="s">
        <v>256</v>
      </c>
      <c r="F937" t="s">
        <v>3824</v>
      </c>
    </row>
    <row r="938" spans="1:6" ht="13.2">
      <c r="A938" t="s">
        <v>3846</v>
      </c>
      <c r="B938">
        <v>506</v>
      </c>
      <c r="C938" s="44">
        <v>3200</v>
      </c>
      <c r="D938" t="s">
        <v>293</v>
      </c>
      <c r="E938" t="s">
        <v>256</v>
      </c>
      <c r="F938" t="s">
        <v>3824</v>
      </c>
    </row>
    <row r="939" spans="1:6" ht="13.2">
      <c r="A939" t="s">
        <v>3844</v>
      </c>
      <c r="B939">
        <v>506</v>
      </c>
      <c r="C939" s="44">
        <v>3200</v>
      </c>
      <c r="D939" t="s">
        <v>293</v>
      </c>
      <c r="E939" t="s">
        <v>256</v>
      </c>
      <c r="F939" t="s">
        <v>3824</v>
      </c>
    </row>
    <row r="940" spans="1:6" ht="13.2">
      <c r="A940" t="s">
        <v>3850</v>
      </c>
      <c r="B940">
        <v>506</v>
      </c>
      <c r="C940" s="44">
        <v>3200</v>
      </c>
      <c r="D940" t="s">
        <v>293</v>
      </c>
      <c r="E940" t="s">
        <v>256</v>
      </c>
      <c r="F940" t="s">
        <v>3824</v>
      </c>
    </row>
    <row r="941" spans="1:6" ht="13.2">
      <c r="A941" t="s">
        <v>2111</v>
      </c>
      <c r="B941">
        <v>0</v>
      </c>
      <c r="C941" s="44" t="s">
        <v>207</v>
      </c>
      <c r="D941" s="45" t="s">
        <v>291</v>
      </c>
      <c r="E941" t="s">
        <v>257</v>
      </c>
      <c r="F941">
        <v>4</v>
      </c>
    </row>
    <row r="942" spans="1:6" ht="13.2">
      <c r="A942" t="s">
        <v>2112</v>
      </c>
      <c r="B942">
        <v>0</v>
      </c>
      <c r="C942" s="44" t="s">
        <v>207</v>
      </c>
      <c r="D942" s="45" t="s">
        <v>291</v>
      </c>
      <c r="E942" t="s">
        <v>257</v>
      </c>
      <c r="F942">
        <v>4</v>
      </c>
    </row>
    <row r="943" spans="1:6" ht="13.2">
      <c r="A943" t="s">
        <v>2113</v>
      </c>
      <c r="B943">
        <v>0</v>
      </c>
      <c r="C943" s="44" t="s">
        <v>207</v>
      </c>
      <c r="D943" s="45" t="s">
        <v>291</v>
      </c>
      <c r="E943" t="s">
        <v>257</v>
      </c>
      <c r="F943">
        <v>4</v>
      </c>
    </row>
    <row r="944" spans="1:6" ht="13.2">
      <c r="A944" t="s">
        <v>2114</v>
      </c>
      <c r="B944">
        <v>0</v>
      </c>
      <c r="C944" s="44" t="s">
        <v>207</v>
      </c>
      <c r="D944" s="45" t="s">
        <v>291</v>
      </c>
      <c r="E944" t="s">
        <v>257</v>
      </c>
      <c r="F944">
        <v>4</v>
      </c>
    </row>
    <row r="945" spans="1:6" ht="13.2">
      <c r="A945" t="s">
        <v>2115</v>
      </c>
      <c r="B945">
        <v>0</v>
      </c>
      <c r="C945" s="44" t="s">
        <v>207</v>
      </c>
      <c r="D945" s="45" t="s">
        <v>291</v>
      </c>
      <c r="E945" t="s">
        <v>257</v>
      </c>
      <c r="F945">
        <v>4</v>
      </c>
    </row>
    <row r="946" spans="1:6" ht="13.2">
      <c r="A946" t="s">
        <v>2116</v>
      </c>
      <c r="B946">
        <v>0</v>
      </c>
      <c r="C946" s="44" t="s">
        <v>207</v>
      </c>
      <c r="D946" s="45" t="s">
        <v>291</v>
      </c>
      <c r="E946" t="s">
        <v>257</v>
      </c>
      <c r="F946">
        <v>4</v>
      </c>
    </row>
    <row r="947" spans="1:6" ht="13.2">
      <c r="A947" t="s">
        <v>2117</v>
      </c>
      <c r="B947">
        <v>0</v>
      </c>
      <c r="C947" s="44" t="s">
        <v>207</v>
      </c>
      <c r="D947" s="45" t="s">
        <v>291</v>
      </c>
      <c r="E947" t="s">
        <v>257</v>
      </c>
      <c r="F947">
        <v>4</v>
      </c>
    </row>
    <row r="948" spans="1:6" ht="13.2">
      <c r="A948" t="s">
        <v>2118</v>
      </c>
      <c r="B948">
        <v>0</v>
      </c>
      <c r="C948" s="44" t="s">
        <v>207</v>
      </c>
      <c r="D948" s="45" t="s">
        <v>291</v>
      </c>
      <c r="E948" t="s">
        <v>257</v>
      </c>
      <c r="F948">
        <v>4</v>
      </c>
    </row>
    <row r="949" spans="1:6" ht="13.2">
      <c r="A949" t="s">
        <v>2119</v>
      </c>
      <c r="B949">
        <v>0</v>
      </c>
      <c r="C949" s="44" t="s">
        <v>207</v>
      </c>
      <c r="D949" s="45" t="s">
        <v>291</v>
      </c>
      <c r="E949" t="s">
        <v>257</v>
      </c>
      <c r="F949">
        <v>4</v>
      </c>
    </row>
    <row r="950" spans="1:6" ht="13.2">
      <c r="A950" t="s">
        <v>700</v>
      </c>
      <c r="B950">
        <v>0</v>
      </c>
      <c r="C950" s="44" t="s">
        <v>207</v>
      </c>
      <c r="D950" t="s">
        <v>291</v>
      </c>
      <c r="E950" t="s">
        <v>257</v>
      </c>
      <c r="F950">
        <v>4</v>
      </c>
    </row>
    <row r="951" spans="1:6" ht="13.2">
      <c r="A951" t="s">
        <v>701</v>
      </c>
      <c r="B951">
        <v>0</v>
      </c>
      <c r="C951" s="44" t="s">
        <v>207</v>
      </c>
      <c r="D951" t="s">
        <v>291</v>
      </c>
      <c r="E951" t="s">
        <v>257</v>
      </c>
      <c r="F951">
        <v>4</v>
      </c>
    </row>
    <row r="952" spans="1:6" ht="13.2">
      <c r="A952" t="s">
        <v>702</v>
      </c>
      <c r="B952">
        <v>0</v>
      </c>
      <c r="C952" s="44" t="s">
        <v>207</v>
      </c>
      <c r="D952" t="s">
        <v>291</v>
      </c>
      <c r="E952" t="s">
        <v>257</v>
      </c>
      <c r="F952">
        <v>4</v>
      </c>
    </row>
    <row r="953" spans="1:6" ht="13.2">
      <c r="A953" t="s">
        <v>703</v>
      </c>
      <c r="B953">
        <v>0</v>
      </c>
      <c r="C953" s="44" t="s">
        <v>207</v>
      </c>
      <c r="D953" t="s">
        <v>291</v>
      </c>
      <c r="E953" t="s">
        <v>257</v>
      </c>
      <c r="F953">
        <v>4</v>
      </c>
    </row>
    <row r="954" spans="1:6" ht="13.2">
      <c r="A954" t="s">
        <v>704</v>
      </c>
      <c r="B954">
        <v>0</v>
      </c>
      <c r="C954" s="44" t="s">
        <v>207</v>
      </c>
      <c r="D954" t="s">
        <v>291</v>
      </c>
      <c r="E954" t="s">
        <v>257</v>
      </c>
      <c r="F954">
        <v>4</v>
      </c>
    </row>
    <row r="955" spans="1:6" ht="13.2">
      <c r="A955" t="s">
        <v>705</v>
      </c>
      <c r="B955">
        <v>0</v>
      </c>
      <c r="C955" s="44" t="s">
        <v>207</v>
      </c>
      <c r="D955" t="s">
        <v>291</v>
      </c>
      <c r="E955" t="s">
        <v>257</v>
      </c>
      <c r="F955">
        <v>4</v>
      </c>
    </row>
    <row r="956" spans="1:6" ht="13.2">
      <c r="A956" t="s">
        <v>706</v>
      </c>
      <c r="B956">
        <v>0</v>
      </c>
      <c r="C956" s="44" t="s">
        <v>207</v>
      </c>
      <c r="D956" t="s">
        <v>291</v>
      </c>
      <c r="E956" t="s">
        <v>257</v>
      </c>
      <c r="F956">
        <v>4</v>
      </c>
    </row>
    <row r="957" spans="1:6" ht="13.2">
      <c r="A957" t="s">
        <v>707</v>
      </c>
      <c r="B957">
        <v>0</v>
      </c>
      <c r="C957" s="44" t="s">
        <v>207</v>
      </c>
      <c r="D957" t="s">
        <v>291</v>
      </c>
      <c r="E957" t="s">
        <v>257</v>
      </c>
      <c r="F957">
        <v>4</v>
      </c>
    </row>
    <row r="958" spans="1:6" ht="13.2">
      <c r="A958" t="s">
        <v>708</v>
      </c>
      <c r="B958">
        <v>0</v>
      </c>
      <c r="C958" s="44" t="s">
        <v>207</v>
      </c>
      <c r="D958" t="s">
        <v>291</v>
      </c>
      <c r="E958" t="s">
        <v>257</v>
      </c>
      <c r="F958">
        <v>4</v>
      </c>
    </row>
    <row r="959" spans="1:6" ht="13.2">
      <c r="A959" t="s">
        <v>709</v>
      </c>
      <c r="B959">
        <v>0</v>
      </c>
      <c r="C959" s="44" t="s">
        <v>207</v>
      </c>
      <c r="D959" t="s">
        <v>291</v>
      </c>
      <c r="E959" t="s">
        <v>257</v>
      </c>
      <c r="F959">
        <v>4</v>
      </c>
    </row>
    <row r="960" spans="1:6" ht="13.2">
      <c r="A960" t="s">
        <v>1457</v>
      </c>
      <c r="B960">
        <v>0</v>
      </c>
      <c r="C960" s="44">
        <v>3200</v>
      </c>
      <c r="D960" t="s">
        <v>293</v>
      </c>
      <c r="E960" t="s">
        <v>256</v>
      </c>
      <c r="F960">
        <v>4</v>
      </c>
    </row>
    <row r="961" spans="1:6" ht="13.2">
      <c r="A961" t="s">
        <v>1456</v>
      </c>
      <c r="B961">
        <v>0</v>
      </c>
      <c r="C961" s="44">
        <v>3200</v>
      </c>
      <c r="D961" t="s">
        <v>293</v>
      </c>
      <c r="E961" t="s">
        <v>256</v>
      </c>
      <c r="F961">
        <v>4</v>
      </c>
    </row>
    <row r="962" spans="1:6" ht="13.2">
      <c r="A962" t="s">
        <v>1459</v>
      </c>
      <c r="B962">
        <v>0</v>
      </c>
      <c r="C962" s="44">
        <v>3200</v>
      </c>
      <c r="D962" t="s">
        <v>293</v>
      </c>
      <c r="E962" t="s">
        <v>256</v>
      </c>
      <c r="F962">
        <v>4</v>
      </c>
    </row>
    <row r="963" spans="1:6" ht="13.2">
      <c r="A963" t="s">
        <v>1460</v>
      </c>
      <c r="B963">
        <v>0</v>
      </c>
      <c r="C963" s="44">
        <v>3200</v>
      </c>
      <c r="D963" t="s">
        <v>293</v>
      </c>
      <c r="E963" t="s">
        <v>256</v>
      </c>
      <c r="F963">
        <v>4</v>
      </c>
    </row>
    <row r="964" spans="1:6" ht="13.2">
      <c r="A964" t="s">
        <v>1455</v>
      </c>
      <c r="B964">
        <v>0</v>
      </c>
      <c r="C964" s="44">
        <v>3200</v>
      </c>
      <c r="D964" t="s">
        <v>293</v>
      </c>
      <c r="E964" t="s">
        <v>256</v>
      </c>
      <c r="F964">
        <v>4</v>
      </c>
    </row>
    <row r="965" spans="1:6" ht="13.2">
      <c r="A965" t="s">
        <v>1454</v>
      </c>
      <c r="B965">
        <v>0</v>
      </c>
      <c r="C965" s="44">
        <v>3200</v>
      </c>
      <c r="D965" t="s">
        <v>293</v>
      </c>
      <c r="E965" t="s">
        <v>256</v>
      </c>
      <c r="F965">
        <v>4</v>
      </c>
    </row>
    <row r="966" spans="1:6" ht="13.2">
      <c r="A966" t="s">
        <v>1461</v>
      </c>
      <c r="B966">
        <v>0</v>
      </c>
      <c r="C966" s="44">
        <v>3200</v>
      </c>
      <c r="D966" t="s">
        <v>293</v>
      </c>
      <c r="E966" t="s">
        <v>256</v>
      </c>
      <c r="F966">
        <v>4</v>
      </c>
    </row>
    <row r="967" spans="1:6" ht="13.2">
      <c r="A967" t="s">
        <v>1462</v>
      </c>
      <c r="B967">
        <v>0</v>
      </c>
      <c r="C967" s="44">
        <v>3200</v>
      </c>
      <c r="D967" t="s">
        <v>293</v>
      </c>
      <c r="E967" t="s">
        <v>256</v>
      </c>
      <c r="F967">
        <v>4</v>
      </c>
    </row>
    <row r="968" spans="1:6" ht="13.2">
      <c r="A968" t="s">
        <v>1458</v>
      </c>
      <c r="B968">
        <v>0</v>
      </c>
      <c r="C968" s="44">
        <v>3200</v>
      </c>
      <c r="D968" t="s">
        <v>293</v>
      </c>
      <c r="E968" t="s">
        <v>256</v>
      </c>
      <c r="F968">
        <v>4</v>
      </c>
    </row>
    <row r="969" spans="1:6" ht="13.2">
      <c r="A969" t="s">
        <v>5172</v>
      </c>
      <c r="B969">
        <v>0</v>
      </c>
      <c r="C969" s="44">
        <v>3200</v>
      </c>
      <c r="D969" t="s">
        <v>293</v>
      </c>
      <c r="E969" t="s">
        <v>256</v>
      </c>
      <c r="F969">
        <v>4</v>
      </c>
    </row>
    <row r="970" spans="1:6" ht="13.2">
      <c r="A970" t="s">
        <v>5168</v>
      </c>
      <c r="B970">
        <v>0</v>
      </c>
      <c r="C970" s="44">
        <v>3200</v>
      </c>
      <c r="D970" t="s">
        <v>293</v>
      </c>
      <c r="E970" t="s">
        <v>256</v>
      </c>
      <c r="F970">
        <v>4</v>
      </c>
    </row>
    <row r="971" spans="1:6" ht="13.2">
      <c r="A971" t="s">
        <v>5166</v>
      </c>
      <c r="B971">
        <v>0</v>
      </c>
      <c r="C971" s="44">
        <v>3200</v>
      </c>
      <c r="D971" t="s">
        <v>293</v>
      </c>
      <c r="E971" t="s">
        <v>256</v>
      </c>
      <c r="F971">
        <v>4</v>
      </c>
    </row>
    <row r="972" spans="1:6" ht="13.2">
      <c r="A972" t="s">
        <v>5175</v>
      </c>
      <c r="B972">
        <v>0</v>
      </c>
      <c r="C972" s="44">
        <v>3200</v>
      </c>
      <c r="D972" t="s">
        <v>293</v>
      </c>
      <c r="E972" t="s">
        <v>256</v>
      </c>
      <c r="F972">
        <v>4</v>
      </c>
    </row>
    <row r="973" spans="1:6" ht="13.2">
      <c r="A973" t="s">
        <v>5165</v>
      </c>
      <c r="B973">
        <v>0</v>
      </c>
      <c r="C973" s="44">
        <v>3200</v>
      </c>
      <c r="D973" t="s">
        <v>293</v>
      </c>
      <c r="E973" t="s">
        <v>256</v>
      </c>
      <c r="F973">
        <v>4</v>
      </c>
    </row>
    <row r="974" spans="1:6" ht="13.2">
      <c r="A974" t="s">
        <v>5171</v>
      </c>
      <c r="B974">
        <v>0</v>
      </c>
      <c r="C974" s="44">
        <v>3200</v>
      </c>
      <c r="D974" t="s">
        <v>293</v>
      </c>
      <c r="E974" t="s">
        <v>256</v>
      </c>
      <c r="F974">
        <v>4</v>
      </c>
    </row>
    <row r="975" spans="1:6" ht="13.2">
      <c r="A975" t="s">
        <v>5177</v>
      </c>
      <c r="B975">
        <v>0</v>
      </c>
      <c r="C975" s="44">
        <v>3200</v>
      </c>
      <c r="D975" t="s">
        <v>293</v>
      </c>
      <c r="E975" t="s">
        <v>256</v>
      </c>
      <c r="F975">
        <v>4</v>
      </c>
    </row>
    <row r="976" spans="1:6" ht="13.2">
      <c r="A976" t="s">
        <v>5174</v>
      </c>
      <c r="B976">
        <v>0</v>
      </c>
      <c r="C976" s="44">
        <v>3200</v>
      </c>
      <c r="D976" t="s">
        <v>293</v>
      </c>
      <c r="E976" t="s">
        <v>256</v>
      </c>
      <c r="F976">
        <v>4</v>
      </c>
    </row>
    <row r="977" spans="1:6" ht="13.2">
      <c r="A977" t="s">
        <v>5173</v>
      </c>
      <c r="B977">
        <v>0</v>
      </c>
      <c r="C977" s="44">
        <v>3200</v>
      </c>
      <c r="D977" t="s">
        <v>293</v>
      </c>
      <c r="E977" t="s">
        <v>256</v>
      </c>
      <c r="F977">
        <v>4</v>
      </c>
    </row>
    <row r="978" spans="1:6" ht="13.2">
      <c r="A978" t="s">
        <v>5178</v>
      </c>
      <c r="B978">
        <v>0</v>
      </c>
      <c r="C978" s="44">
        <v>3200</v>
      </c>
      <c r="D978" t="s">
        <v>293</v>
      </c>
      <c r="E978" t="s">
        <v>256</v>
      </c>
      <c r="F978">
        <v>4</v>
      </c>
    </row>
    <row r="979" spans="1:6" ht="13.2">
      <c r="A979" t="s">
        <v>5180</v>
      </c>
      <c r="B979">
        <v>0</v>
      </c>
      <c r="C979" s="44">
        <v>3200</v>
      </c>
      <c r="D979" t="s">
        <v>293</v>
      </c>
      <c r="E979" t="s">
        <v>256</v>
      </c>
      <c r="F979">
        <v>4</v>
      </c>
    </row>
    <row r="980" spans="1:6" ht="13.2">
      <c r="A980" t="s">
        <v>5164</v>
      </c>
      <c r="B980">
        <v>0</v>
      </c>
      <c r="C980" s="44">
        <v>3200</v>
      </c>
      <c r="D980" t="s">
        <v>293</v>
      </c>
      <c r="E980" t="s">
        <v>256</v>
      </c>
      <c r="F980">
        <v>4</v>
      </c>
    </row>
    <row r="981" spans="1:6" ht="13.2">
      <c r="A981" t="s">
        <v>5163</v>
      </c>
      <c r="B981">
        <v>0</v>
      </c>
      <c r="C981" s="44">
        <v>3200</v>
      </c>
      <c r="D981" t="s">
        <v>293</v>
      </c>
      <c r="E981" t="s">
        <v>256</v>
      </c>
      <c r="F981">
        <v>4</v>
      </c>
    </row>
    <row r="982" spans="1:6" ht="13.2">
      <c r="A982" t="s">
        <v>5179</v>
      </c>
      <c r="B982">
        <v>0</v>
      </c>
      <c r="C982" s="44">
        <v>3200</v>
      </c>
      <c r="D982" t="s">
        <v>293</v>
      </c>
      <c r="E982" t="s">
        <v>256</v>
      </c>
      <c r="F982">
        <v>4</v>
      </c>
    </row>
    <row r="983" spans="1:6" ht="13.2">
      <c r="A983" t="s">
        <v>5167</v>
      </c>
      <c r="B983">
        <v>0</v>
      </c>
      <c r="C983" s="44">
        <v>3200</v>
      </c>
      <c r="D983" t="s">
        <v>293</v>
      </c>
      <c r="E983" t="s">
        <v>256</v>
      </c>
      <c r="F983">
        <v>4</v>
      </c>
    </row>
    <row r="984" spans="1:6" ht="13.2">
      <c r="A984" t="s">
        <v>5181</v>
      </c>
      <c r="B984">
        <v>0</v>
      </c>
      <c r="C984" s="44">
        <v>3200</v>
      </c>
      <c r="D984" t="s">
        <v>293</v>
      </c>
      <c r="E984" t="s">
        <v>256</v>
      </c>
      <c r="F984">
        <v>4</v>
      </c>
    </row>
    <row r="985" spans="1:6" ht="13.2">
      <c r="A985" t="s">
        <v>5176</v>
      </c>
      <c r="B985">
        <v>0</v>
      </c>
      <c r="C985" s="44">
        <v>3200</v>
      </c>
      <c r="D985" t="s">
        <v>293</v>
      </c>
      <c r="E985" t="s">
        <v>256</v>
      </c>
      <c r="F985">
        <v>4</v>
      </c>
    </row>
    <row r="986" spans="1:6" ht="13.2">
      <c r="A986" t="s">
        <v>5170</v>
      </c>
      <c r="B986">
        <v>0</v>
      </c>
      <c r="C986" s="44">
        <v>3200</v>
      </c>
      <c r="D986" t="s">
        <v>293</v>
      </c>
      <c r="E986" t="s">
        <v>256</v>
      </c>
      <c r="F986">
        <v>4</v>
      </c>
    </row>
    <row r="987" spans="1:6" ht="13.2">
      <c r="A987" t="s">
        <v>5169</v>
      </c>
      <c r="B987">
        <v>0</v>
      </c>
      <c r="C987" s="44">
        <v>3200</v>
      </c>
      <c r="D987" t="s">
        <v>293</v>
      </c>
      <c r="E987" t="s">
        <v>256</v>
      </c>
      <c r="F987">
        <v>4</v>
      </c>
    </row>
    <row r="988" spans="1:6" ht="13.2">
      <c r="A988" t="s">
        <v>3925</v>
      </c>
      <c r="B988">
        <v>0</v>
      </c>
      <c r="C988" s="44" t="s">
        <v>201</v>
      </c>
      <c r="D988" t="s">
        <v>293</v>
      </c>
      <c r="E988" t="s">
        <v>256</v>
      </c>
      <c r="F988" t="s">
        <v>533</v>
      </c>
    </row>
    <row r="989" spans="1:6" ht="13.2">
      <c r="A989" t="s">
        <v>3909</v>
      </c>
      <c r="B989">
        <v>0</v>
      </c>
      <c r="C989" s="44" t="s">
        <v>201</v>
      </c>
      <c r="D989" t="s">
        <v>293</v>
      </c>
      <c r="E989" t="s">
        <v>256</v>
      </c>
      <c r="F989" t="s">
        <v>533</v>
      </c>
    </row>
    <row r="990" spans="1:6" ht="13.2">
      <c r="A990" t="s">
        <v>3910</v>
      </c>
      <c r="B990">
        <v>0</v>
      </c>
      <c r="C990" s="44" t="s">
        <v>201</v>
      </c>
      <c r="D990" t="s">
        <v>293</v>
      </c>
      <c r="E990" t="s">
        <v>256</v>
      </c>
      <c r="F990" t="s">
        <v>533</v>
      </c>
    </row>
    <row r="991" spans="1:6" ht="13.2">
      <c r="A991" t="s">
        <v>3924</v>
      </c>
      <c r="B991">
        <v>0</v>
      </c>
      <c r="C991" s="44" t="s">
        <v>201</v>
      </c>
      <c r="D991" t="s">
        <v>293</v>
      </c>
      <c r="E991" t="s">
        <v>256</v>
      </c>
      <c r="F991" t="s">
        <v>533</v>
      </c>
    </row>
    <row r="992" spans="1:6" ht="13.2">
      <c r="A992" t="s">
        <v>3923</v>
      </c>
      <c r="B992">
        <v>0</v>
      </c>
      <c r="C992" s="44" t="s">
        <v>201</v>
      </c>
      <c r="D992" t="s">
        <v>293</v>
      </c>
      <c r="E992" t="s">
        <v>256</v>
      </c>
      <c r="F992" t="s">
        <v>533</v>
      </c>
    </row>
    <row r="993" spans="1:6" ht="13.2">
      <c r="A993" t="s">
        <v>3922</v>
      </c>
      <c r="B993">
        <v>0</v>
      </c>
      <c r="C993" s="44" t="s">
        <v>201</v>
      </c>
      <c r="D993" t="s">
        <v>293</v>
      </c>
      <c r="E993" t="s">
        <v>256</v>
      </c>
      <c r="F993" t="s">
        <v>533</v>
      </c>
    </row>
    <row r="994" spans="1:6" ht="13.2">
      <c r="A994" t="s">
        <v>3911</v>
      </c>
      <c r="B994">
        <v>0</v>
      </c>
      <c r="C994" s="44" t="s">
        <v>201</v>
      </c>
      <c r="D994" t="s">
        <v>293</v>
      </c>
      <c r="E994" t="s">
        <v>256</v>
      </c>
      <c r="F994" t="s">
        <v>533</v>
      </c>
    </row>
    <row r="995" spans="1:6" ht="13.2">
      <c r="A995" t="s">
        <v>3912</v>
      </c>
      <c r="B995">
        <v>0</v>
      </c>
      <c r="C995" s="44" t="s">
        <v>201</v>
      </c>
      <c r="D995" t="s">
        <v>293</v>
      </c>
      <c r="E995" t="s">
        <v>256</v>
      </c>
      <c r="F995" t="s">
        <v>533</v>
      </c>
    </row>
    <row r="996" spans="1:6" ht="13.2">
      <c r="A996" t="s">
        <v>3913</v>
      </c>
      <c r="B996">
        <v>0</v>
      </c>
      <c r="C996" s="44" t="s">
        <v>201</v>
      </c>
      <c r="D996" t="s">
        <v>293</v>
      </c>
      <c r="E996" t="s">
        <v>256</v>
      </c>
      <c r="F996" t="s">
        <v>533</v>
      </c>
    </row>
    <row r="997" spans="1:6" ht="13.2">
      <c r="A997" t="s">
        <v>3914</v>
      </c>
      <c r="B997">
        <v>0</v>
      </c>
      <c r="C997" s="44" t="s">
        <v>201</v>
      </c>
      <c r="D997" t="s">
        <v>293</v>
      </c>
      <c r="E997" t="s">
        <v>256</v>
      </c>
      <c r="F997" t="s">
        <v>533</v>
      </c>
    </row>
    <row r="998" spans="1:6" ht="13.2">
      <c r="A998" t="s">
        <v>3915</v>
      </c>
      <c r="B998">
        <v>0</v>
      </c>
      <c r="C998" s="44" t="s">
        <v>201</v>
      </c>
      <c r="D998" t="s">
        <v>293</v>
      </c>
      <c r="E998" t="s">
        <v>256</v>
      </c>
      <c r="F998" t="s">
        <v>533</v>
      </c>
    </row>
    <row r="999" spans="1:6" ht="13.2">
      <c r="A999" t="s">
        <v>3916</v>
      </c>
      <c r="B999">
        <v>0</v>
      </c>
      <c r="C999" s="44" t="s">
        <v>201</v>
      </c>
      <c r="D999" t="s">
        <v>293</v>
      </c>
      <c r="E999" t="s">
        <v>256</v>
      </c>
      <c r="F999" t="s">
        <v>533</v>
      </c>
    </row>
    <row r="1000" spans="1:6" ht="13.2">
      <c r="A1000" t="s">
        <v>3921</v>
      </c>
      <c r="B1000">
        <v>0</v>
      </c>
      <c r="C1000" s="44" t="s">
        <v>201</v>
      </c>
      <c r="D1000" t="s">
        <v>293</v>
      </c>
      <c r="E1000" t="s">
        <v>256</v>
      </c>
      <c r="F1000" t="s">
        <v>533</v>
      </c>
    </row>
    <row r="1001" spans="1:6" ht="13.2">
      <c r="A1001" t="s">
        <v>3920</v>
      </c>
      <c r="B1001">
        <v>0</v>
      </c>
      <c r="C1001" s="44" t="s">
        <v>201</v>
      </c>
      <c r="D1001" t="s">
        <v>293</v>
      </c>
      <c r="E1001" t="s">
        <v>256</v>
      </c>
      <c r="F1001" t="s">
        <v>533</v>
      </c>
    </row>
    <row r="1002" spans="1:6" ht="13.2">
      <c r="A1002" t="s">
        <v>3926</v>
      </c>
      <c r="B1002">
        <v>0</v>
      </c>
      <c r="C1002" s="44" t="s">
        <v>201</v>
      </c>
      <c r="D1002" t="s">
        <v>293</v>
      </c>
      <c r="E1002" t="s">
        <v>256</v>
      </c>
      <c r="F1002" t="s">
        <v>533</v>
      </c>
    </row>
    <row r="1003" spans="1:6" ht="13.2">
      <c r="A1003" t="s">
        <v>3917</v>
      </c>
      <c r="B1003">
        <v>0</v>
      </c>
      <c r="C1003" s="44" t="s">
        <v>201</v>
      </c>
      <c r="D1003" t="s">
        <v>293</v>
      </c>
      <c r="E1003" t="s">
        <v>256</v>
      </c>
      <c r="F1003" t="s">
        <v>533</v>
      </c>
    </row>
    <row r="1004" spans="1:6" ht="13.2">
      <c r="A1004" t="s">
        <v>3919</v>
      </c>
      <c r="B1004">
        <v>0</v>
      </c>
      <c r="C1004" s="44" t="s">
        <v>201</v>
      </c>
      <c r="D1004" t="s">
        <v>293</v>
      </c>
      <c r="E1004" t="s">
        <v>256</v>
      </c>
      <c r="F1004" t="s">
        <v>533</v>
      </c>
    </row>
    <row r="1005" spans="1:6" ht="13.2">
      <c r="A1005" t="s">
        <v>3918</v>
      </c>
      <c r="B1005">
        <v>0</v>
      </c>
      <c r="C1005" s="44" t="s">
        <v>201</v>
      </c>
      <c r="D1005" t="s">
        <v>293</v>
      </c>
      <c r="E1005" t="s">
        <v>256</v>
      </c>
      <c r="F1005" t="s">
        <v>533</v>
      </c>
    </row>
    <row r="1006" spans="1:6" ht="13.2">
      <c r="A1006" t="s">
        <v>5239</v>
      </c>
      <c r="B1006">
        <v>690</v>
      </c>
      <c r="C1006" s="44">
        <v>2950</v>
      </c>
      <c r="D1006" t="s">
        <v>293</v>
      </c>
      <c r="E1006" t="s">
        <v>5240</v>
      </c>
      <c r="F1006" t="s">
        <v>533</v>
      </c>
    </row>
    <row r="1007" spans="1:6" ht="13.2">
      <c r="A1007" t="s">
        <v>5242</v>
      </c>
      <c r="B1007">
        <v>690</v>
      </c>
      <c r="C1007" s="44">
        <v>2950</v>
      </c>
      <c r="D1007" t="s">
        <v>293</v>
      </c>
      <c r="E1007" t="s">
        <v>5240</v>
      </c>
      <c r="F1007" t="s">
        <v>533</v>
      </c>
    </row>
    <row r="1008" spans="1:6" ht="13.2">
      <c r="A1008" t="s">
        <v>5243</v>
      </c>
      <c r="B1008">
        <v>690</v>
      </c>
      <c r="C1008" s="44">
        <v>2950</v>
      </c>
      <c r="D1008" t="s">
        <v>293</v>
      </c>
      <c r="E1008" t="s">
        <v>5240</v>
      </c>
      <c r="F1008" t="s">
        <v>533</v>
      </c>
    </row>
    <row r="1009" spans="1:6" ht="13.2">
      <c r="A1009" t="s">
        <v>5241</v>
      </c>
      <c r="B1009">
        <v>690</v>
      </c>
      <c r="C1009" s="44">
        <v>2950</v>
      </c>
      <c r="D1009" t="s">
        <v>293</v>
      </c>
      <c r="E1009" t="s">
        <v>5240</v>
      </c>
      <c r="F1009" t="s">
        <v>533</v>
      </c>
    </row>
    <row r="1010" spans="1:6" ht="13.2">
      <c r="A1010" t="s">
        <v>5244</v>
      </c>
      <c r="B1010">
        <v>690</v>
      </c>
      <c r="C1010" s="44">
        <v>2950</v>
      </c>
      <c r="D1010" t="s">
        <v>293</v>
      </c>
      <c r="E1010" t="s">
        <v>5240</v>
      </c>
      <c r="F1010" t="s">
        <v>533</v>
      </c>
    </row>
    <row r="1011" spans="1:6" ht="13.2">
      <c r="A1011" t="s">
        <v>1069</v>
      </c>
      <c r="B1011">
        <v>0</v>
      </c>
      <c r="C1011" s="44" t="s">
        <v>201</v>
      </c>
      <c r="D1011" s="45" t="s">
        <v>293</v>
      </c>
      <c r="E1011" t="s">
        <v>256</v>
      </c>
      <c r="F1011">
        <v>4</v>
      </c>
    </row>
    <row r="1012" spans="1:6" ht="13.2">
      <c r="A1012" t="s">
        <v>1070</v>
      </c>
      <c r="B1012">
        <v>0</v>
      </c>
      <c r="C1012" s="44" t="s">
        <v>201</v>
      </c>
      <c r="D1012" s="45" t="s">
        <v>293</v>
      </c>
      <c r="E1012" t="s">
        <v>256</v>
      </c>
      <c r="F1012">
        <v>4</v>
      </c>
    </row>
    <row r="1013" spans="1:6" ht="13.2">
      <c r="A1013" t="s">
        <v>1071</v>
      </c>
      <c r="B1013">
        <v>0</v>
      </c>
      <c r="C1013" s="44" t="s">
        <v>201</v>
      </c>
      <c r="D1013" s="45" t="s">
        <v>293</v>
      </c>
      <c r="E1013" t="s">
        <v>256</v>
      </c>
      <c r="F1013">
        <v>4</v>
      </c>
    </row>
    <row r="1014" spans="1:6" ht="13.2">
      <c r="A1014" t="s">
        <v>1072</v>
      </c>
      <c r="B1014">
        <v>0</v>
      </c>
      <c r="C1014" s="44" t="s">
        <v>201</v>
      </c>
      <c r="D1014" s="45" t="s">
        <v>293</v>
      </c>
      <c r="E1014" t="s">
        <v>256</v>
      </c>
      <c r="F1014">
        <v>4</v>
      </c>
    </row>
    <row r="1015" spans="1:6" ht="13.2">
      <c r="A1015" t="s">
        <v>1073</v>
      </c>
      <c r="B1015">
        <v>0</v>
      </c>
      <c r="C1015" s="44" t="s">
        <v>201</v>
      </c>
      <c r="D1015" s="45" t="s">
        <v>293</v>
      </c>
      <c r="E1015" t="s">
        <v>256</v>
      </c>
      <c r="F1015">
        <v>4</v>
      </c>
    </row>
    <row r="1016" spans="1:6" ht="13.2">
      <c r="A1016" t="s">
        <v>1074</v>
      </c>
      <c r="B1016">
        <v>0</v>
      </c>
      <c r="C1016" s="44" t="s">
        <v>201</v>
      </c>
      <c r="D1016" s="45" t="s">
        <v>293</v>
      </c>
      <c r="E1016" t="s">
        <v>256</v>
      </c>
      <c r="F1016">
        <v>4</v>
      </c>
    </row>
    <row r="1017" spans="1:6" ht="13.2">
      <c r="A1017" t="s">
        <v>1075</v>
      </c>
      <c r="B1017">
        <v>0</v>
      </c>
      <c r="C1017" s="44" t="s">
        <v>201</v>
      </c>
      <c r="D1017" t="s">
        <v>293</v>
      </c>
      <c r="E1017" t="s">
        <v>256</v>
      </c>
      <c r="F1017">
        <v>4</v>
      </c>
    </row>
    <row r="1018" spans="1:6" ht="13.2">
      <c r="A1018" t="s">
        <v>5340</v>
      </c>
      <c r="B1018">
        <v>0</v>
      </c>
      <c r="C1018" s="44">
        <v>3000</v>
      </c>
      <c r="D1018" t="s">
        <v>293</v>
      </c>
      <c r="E1018" t="s">
        <v>618</v>
      </c>
      <c r="F1018" t="s">
        <v>619</v>
      </c>
    </row>
    <row r="1019" spans="1:6" ht="13.2">
      <c r="A1019" t="s">
        <v>5345</v>
      </c>
      <c r="B1019">
        <v>0</v>
      </c>
      <c r="C1019" s="44">
        <v>3000</v>
      </c>
      <c r="D1019" t="s">
        <v>293</v>
      </c>
      <c r="E1019" t="s">
        <v>618</v>
      </c>
      <c r="F1019" t="s">
        <v>619</v>
      </c>
    </row>
    <row r="1020" spans="1:6" ht="13.2">
      <c r="A1020" t="s">
        <v>5343</v>
      </c>
      <c r="B1020">
        <v>0</v>
      </c>
      <c r="C1020" s="44">
        <v>3000</v>
      </c>
      <c r="D1020" t="s">
        <v>293</v>
      </c>
      <c r="E1020" t="s">
        <v>618</v>
      </c>
      <c r="F1020" t="s">
        <v>619</v>
      </c>
    </row>
    <row r="1021" spans="1:6" ht="13.2">
      <c r="A1021" t="s">
        <v>5341</v>
      </c>
      <c r="B1021">
        <v>0</v>
      </c>
      <c r="C1021" s="44">
        <v>3000</v>
      </c>
      <c r="D1021" t="s">
        <v>293</v>
      </c>
      <c r="E1021" t="s">
        <v>618</v>
      </c>
      <c r="F1021" t="s">
        <v>619</v>
      </c>
    </row>
    <row r="1022" spans="1:6" ht="13.2">
      <c r="A1022" t="s">
        <v>5342</v>
      </c>
      <c r="B1022">
        <v>0</v>
      </c>
      <c r="C1022" s="44">
        <v>3000</v>
      </c>
      <c r="D1022" t="s">
        <v>293</v>
      </c>
      <c r="E1022" t="s">
        <v>618</v>
      </c>
      <c r="F1022" t="s">
        <v>619</v>
      </c>
    </row>
    <row r="1023" spans="1:6" ht="13.2">
      <c r="A1023" t="s">
        <v>5344</v>
      </c>
      <c r="B1023">
        <v>0</v>
      </c>
      <c r="C1023" s="44">
        <v>3000</v>
      </c>
      <c r="D1023" t="s">
        <v>293</v>
      </c>
      <c r="E1023" t="s">
        <v>618</v>
      </c>
      <c r="F1023" t="s">
        <v>619</v>
      </c>
    </row>
    <row r="1024" spans="1:6" ht="13.2">
      <c r="A1024" t="s">
        <v>5346</v>
      </c>
      <c r="B1024">
        <v>0</v>
      </c>
      <c r="C1024" s="44">
        <v>3000</v>
      </c>
      <c r="D1024" t="s">
        <v>293</v>
      </c>
      <c r="E1024" t="s">
        <v>618</v>
      </c>
      <c r="F1024" t="s">
        <v>619</v>
      </c>
    </row>
    <row r="1025" spans="1:6" ht="13.2">
      <c r="A1025" t="s">
        <v>1839</v>
      </c>
      <c r="B1025">
        <v>0</v>
      </c>
      <c r="C1025" s="44">
        <v>1400</v>
      </c>
      <c r="D1025" t="s">
        <v>293</v>
      </c>
      <c r="E1025" t="s">
        <v>256</v>
      </c>
      <c r="F1025">
        <v>4</v>
      </c>
    </row>
    <row r="1026" spans="1:6" ht="13.2">
      <c r="A1026" t="s">
        <v>1838</v>
      </c>
      <c r="B1026">
        <v>0</v>
      </c>
      <c r="C1026" s="44">
        <v>1400</v>
      </c>
      <c r="D1026" t="s">
        <v>293</v>
      </c>
      <c r="E1026" t="s">
        <v>256</v>
      </c>
      <c r="F1026">
        <v>4</v>
      </c>
    </row>
    <row r="1027" spans="1:6" ht="13.2">
      <c r="A1027" t="s">
        <v>1835</v>
      </c>
      <c r="B1027">
        <v>0</v>
      </c>
      <c r="C1027" s="44">
        <v>1400</v>
      </c>
      <c r="D1027" t="s">
        <v>293</v>
      </c>
      <c r="E1027" t="s">
        <v>256</v>
      </c>
      <c r="F1027">
        <v>4</v>
      </c>
    </row>
    <row r="1028" spans="1:6" ht="13.2">
      <c r="A1028" t="s">
        <v>1841</v>
      </c>
      <c r="B1028">
        <v>0</v>
      </c>
      <c r="C1028" s="44">
        <v>1400</v>
      </c>
      <c r="D1028" t="s">
        <v>293</v>
      </c>
      <c r="E1028" t="s">
        <v>256</v>
      </c>
      <c r="F1028">
        <v>4</v>
      </c>
    </row>
    <row r="1029" spans="1:6" ht="13.2">
      <c r="A1029" t="s">
        <v>1840</v>
      </c>
      <c r="B1029">
        <v>0</v>
      </c>
      <c r="C1029" s="44">
        <v>1400</v>
      </c>
      <c r="D1029" t="s">
        <v>293</v>
      </c>
      <c r="E1029" t="s">
        <v>256</v>
      </c>
      <c r="F1029">
        <v>4</v>
      </c>
    </row>
    <row r="1030" spans="1:6" ht="13.2">
      <c r="A1030" t="s">
        <v>1834</v>
      </c>
      <c r="B1030">
        <v>0</v>
      </c>
      <c r="C1030" s="44">
        <v>1400</v>
      </c>
      <c r="D1030" t="s">
        <v>293</v>
      </c>
      <c r="E1030" t="s">
        <v>256</v>
      </c>
      <c r="F1030">
        <v>4</v>
      </c>
    </row>
    <row r="1031" spans="1:6" ht="13.2">
      <c r="A1031" t="s">
        <v>1842</v>
      </c>
      <c r="B1031">
        <v>0</v>
      </c>
      <c r="C1031" s="44">
        <v>1400</v>
      </c>
      <c r="D1031" t="s">
        <v>293</v>
      </c>
      <c r="E1031" t="s">
        <v>256</v>
      </c>
      <c r="F1031">
        <v>4</v>
      </c>
    </row>
    <row r="1032" spans="1:6" ht="13.2">
      <c r="A1032" t="s">
        <v>1836</v>
      </c>
      <c r="B1032">
        <v>0</v>
      </c>
      <c r="C1032" s="44">
        <v>1400</v>
      </c>
      <c r="D1032" t="s">
        <v>293</v>
      </c>
      <c r="E1032" t="s">
        <v>256</v>
      </c>
      <c r="F1032">
        <v>4</v>
      </c>
    </row>
    <row r="1033" spans="1:6" ht="13.2">
      <c r="A1033" t="s">
        <v>1837</v>
      </c>
      <c r="B1033">
        <v>0</v>
      </c>
      <c r="C1033" s="44">
        <v>1400</v>
      </c>
      <c r="D1033" t="s">
        <v>293</v>
      </c>
      <c r="E1033" t="s">
        <v>256</v>
      </c>
      <c r="F1033">
        <v>4</v>
      </c>
    </row>
    <row r="1034" spans="1:6" ht="13.2">
      <c r="A1034" t="s">
        <v>1843</v>
      </c>
      <c r="B1034">
        <v>0</v>
      </c>
      <c r="C1034" s="44">
        <v>1400</v>
      </c>
      <c r="D1034" t="s">
        <v>293</v>
      </c>
      <c r="E1034" t="s">
        <v>256</v>
      </c>
      <c r="F1034">
        <v>4</v>
      </c>
    </row>
    <row r="1035" spans="1:6" ht="13.2">
      <c r="A1035" t="s">
        <v>3416</v>
      </c>
      <c r="B1035">
        <v>0</v>
      </c>
      <c r="C1035" s="44">
        <v>1400</v>
      </c>
      <c r="D1035" t="s">
        <v>291</v>
      </c>
      <c r="E1035" t="s">
        <v>711</v>
      </c>
      <c r="F1035">
        <v>4</v>
      </c>
    </row>
    <row r="1036" spans="1:6" ht="13.2">
      <c r="A1036" t="s">
        <v>3415</v>
      </c>
      <c r="B1036">
        <v>0</v>
      </c>
      <c r="C1036" s="44">
        <v>1400</v>
      </c>
      <c r="D1036" t="s">
        <v>291</v>
      </c>
      <c r="E1036" t="s">
        <v>711</v>
      </c>
      <c r="F1036">
        <v>4</v>
      </c>
    </row>
    <row r="1037" spans="1:6" ht="13.2">
      <c r="A1037" t="s">
        <v>3412</v>
      </c>
      <c r="B1037">
        <v>0</v>
      </c>
      <c r="C1037" s="44">
        <v>1400</v>
      </c>
      <c r="D1037" t="s">
        <v>291</v>
      </c>
      <c r="E1037" t="s">
        <v>711</v>
      </c>
      <c r="F1037">
        <v>4</v>
      </c>
    </row>
    <row r="1038" spans="1:6" ht="13.2">
      <c r="A1038" t="s">
        <v>3418</v>
      </c>
      <c r="B1038">
        <v>0</v>
      </c>
      <c r="C1038" s="44">
        <v>1400</v>
      </c>
      <c r="D1038" t="s">
        <v>291</v>
      </c>
      <c r="E1038" t="s">
        <v>711</v>
      </c>
      <c r="F1038">
        <v>4</v>
      </c>
    </row>
    <row r="1039" spans="1:6" ht="13.2">
      <c r="A1039" t="s">
        <v>3417</v>
      </c>
      <c r="B1039">
        <v>0</v>
      </c>
      <c r="C1039" s="44">
        <v>1400</v>
      </c>
      <c r="D1039" t="s">
        <v>291</v>
      </c>
      <c r="E1039" t="s">
        <v>711</v>
      </c>
      <c r="F1039">
        <v>4</v>
      </c>
    </row>
    <row r="1040" spans="1:6" ht="13.2">
      <c r="A1040" t="s">
        <v>3411</v>
      </c>
      <c r="B1040">
        <v>0</v>
      </c>
      <c r="C1040" s="44">
        <v>1400</v>
      </c>
      <c r="D1040" t="s">
        <v>291</v>
      </c>
      <c r="E1040" t="s">
        <v>711</v>
      </c>
      <c r="F1040">
        <v>4</v>
      </c>
    </row>
    <row r="1041" spans="1:6" ht="13.2">
      <c r="A1041" t="s">
        <v>3419</v>
      </c>
      <c r="B1041">
        <v>0</v>
      </c>
      <c r="C1041" s="44">
        <v>1400</v>
      </c>
      <c r="D1041" t="s">
        <v>291</v>
      </c>
      <c r="E1041" t="s">
        <v>711</v>
      </c>
      <c r="F1041">
        <v>4</v>
      </c>
    </row>
    <row r="1042" spans="1:6" ht="13.2">
      <c r="A1042" t="s">
        <v>3413</v>
      </c>
      <c r="B1042">
        <v>0</v>
      </c>
      <c r="C1042" s="44">
        <v>1400</v>
      </c>
      <c r="D1042" t="s">
        <v>291</v>
      </c>
      <c r="E1042" t="s">
        <v>711</v>
      </c>
      <c r="F1042">
        <v>4</v>
      </c>
    </row>
    <row r="1043" spans="1:6" ht="13.2">
      <c r="A1043" t="s">
        <v>3414</v>
      </c>
      <c r="B1043">
        <v>0</v>
      </c>
      <c r="C1043" s="44">
        <v>1400</v>
      </c>
      <c r="D1043" t="s">
        <v>291</v>
      </c>
      <c r="E1043" t="s">
        <v>711</v>
      </c>
      <c r="F1043">
        <v>4</v>
      </c>
    </row>
    <row r="1044" spans="1:6" ht="13.2">
      <c r="A1044" t="s">
        <v>3420</v>
      </c>
      <c r="B1044">
        <v>0</v>
      </c>
      <c r="C1044" s="44">
        <v>1400</v>
      </c>
      <c r="D1044" t="s">
        <v>291</v>
      </c>
      <c r="E1044" t="s">
        <v>711</v>
      </c>
      <c r="F1044">
        <v>4</v>
      </c>
    </row>
    <row r="1045" spans="1:6" ht="13.2">
      <c r="A1045" t="s">
        <v>1076</v>
      </c>
      <c r="B1045">
        <v>0</v>
      </c>
      <c r="C1045" s="44" t="s">
        <v>201</v>
      </c>
      <c r="D1045" t="s">
        <v>293</v>
      </c>
      <c r="E1045" t="s">
        <v>256</v>
      </c>
      <c r="F1045">
        <v>4</v>
      </c>
    </row>
    <row r="1046" spans="1:6" ht="13.2">
      <c r="A1046" t="s">
        <v>1077</v>
      </c>
      <c r="B1046">
        <v>0</v>
      </c>
      <c r="C1046" s="44" t="s">
        <v>201</v>
      </c>
      <c r="D1046" t="s">
        <v>293</v>
      </c>
      <c r="E1046" t="s">
        <v>256</v>
      </c>
      <c r="F1046">
        <v>4</v>
      </c>
    </row>
    <row r="1047" spans="1:6" ht="13.2">
      <c r="A1047" t="s">
        <v>1078</v>
      </c>
      <c r="B1047">
        <v>0</v>
      </c>
      <c r="C1047" s="44" t="s">
        <v>201</v>
      </c>
      <c r="D1047" t="s">
        <v>293</v>
      </c>
      <c r="E1047" t="s">
        <v>256</v>
      </c>
      <c r="F1047">
        <v>4</v>
      </c>
    </row>
    <row r="1048" spans="1:6" ht="13.2">
      <c r="A1048" t="s">
        <v>1079</v>
      </c>
      <c r="B1048">
        <v>0</v>
      </c>
      <c r="C1048" s="44" t="s">
        <v>201</v>
      </c>
      <c r="D1048" t="s">
        <v>293</v>
      </c>
      <c r="E1048" t="s">
        <v>256</v>
      </c>
      <c r="F1048">
        <v>4</v>
      </c>
    </row>
    <row r="1049" spans="1:6" ht="13.2">
      <c r="A1049" t="s">
        <v>1080</v>
      </c>
      <c r="B1049">
        <v>0</v>
      </c>
      <c r="C1049" s="44" t="s">
        <v>201</v>
      </c>
      <c r="D1049" t="s">
        <v>293</v>
      </c>
      <c r="E1049" t="s">
        <v>256</v>
      </c>
      <c r="F1049">
        <v>4</v>
      </c>
    </row>
    <row r="1050" spans="1:6" ht="13.2">
      <c r="A1050" t="s">
        <v>1081</v>
      </c>
      <c r="B1050">
        <v>0</v>
      </c>
      <c r="C1050" s="44" t="s">
        <v>201</v>
      </c>
      <c r="D1050" t="s">
        <v>293</v>
      </c>
      <c r="E1050" t="s">
        <v>256</v>
      </c>
      <c r="F1050">
        <v>4</v>
      </c>
    </row>
    <row r="1051" spans="1:6" ht="13.2">
      <c r="A1051" t="s">
        <v>1082</v>
      </c>
      <c r="B1051">
        <v>0</v>
      </c>
      <c r="C1051" s="44" t="s">
        <v>201</v>
      </c>
      <c r="D1051" t="s">
        <v>293</v>
      </c>
      <c r="E1051" t="s">
        <v>256</v>
      </c>
      <c r="F1051">
        <v>4</v>
      </c>
    </row>
    <row r="1052" spans="1:6" ht="13.2">
      <c r="A1052" t="s">
        <v>1083</v>
      </c>
      <c r="B1052">
        <v>0</v>
      </c>
      <c r="C1052" s="44" t="s">
        <v>201</v>
      </c>
      <c r="D1052" t="s">
        <v>293</v>
      </c>
      <c r="E1052" t="s">
        <v>256</v>
      </c>
      <c r="F1052">
        <v>4</v>
      </c>
    </row>
    <row r="1053" spans="1:6" ht="13.2">
      <c r="A1053" t="s">
        <v>1084</v>
      </c>
      <c r="B1053">
        <v>0</v>
      </c>
      <c r="C1053" s="44" t="s">
        <v>201</v>
      </c>
      <c r="D1053" t="s">
        <v>293</v>
      </c>
      <c r="E1053" t="s">
        <v>256</v>
      </c>
      <c r="F1053">
        <v>4</v>
      </c>
    </row>
    <row r="1054" spans="1:6" ht="13.2">
      <c r="A1054" t="s">
        <v>1085</v>
      </c>
      <c r="B1054">
        <v>0</v>
      </c>
      <c r="C1054" s="44" t="s">
        <v>201</v>
      </c>
      <c r="D1054" t="s">
        <v>293</v>
      </c>
      <c r="E1054" t="s">
        <v>256</v>
      </c>
      <c r="F1054">
        <v>4</v>
      </c>
    </row>
    <row r="1055" spans="1:6" ht="13.2">
      <c r="A1055" t="s">
        <v>1086</v>
      </c>
      <c r="B1055">
        <v>0</v>
      </c>
      <c r="C1055" s="44" t="s">
        <v>201</v>
      </c>
      <c r="D1055" t="s">
        <v>293</v>
      </c>
      <c r="E1055" t="s">
        <v>256</v>
      </c>
      <c r="F1055">
        <v>4</v>
      </c>
    </row>
    <row r="1056" spans="1:6" ht="13.2">
      <c r="A1056" t="s">
        <v>1087</v>
      </c>
      <c r="B1056">
        <v>0</v>
      </c>
      <c r="C1056" s="44" t="s">
        <v>201</v>
      </c>
      <c r="D1056" s="45" t="s">
        <v>293</v>
      </c>
      <c r="E1056" t="s">
        <v>256</v>
      </c>
      <c r="F1056">
        <v>4</v>
      </c>
    </row>
    <row r="1057" spans="1:6" ht="13.2">
      <c r="A1057" t="s">
        <v>1088</v>
      </c>
      <c r="B1057">
        <v>0</v>
      </c>
      <c r="C1057" s="44" t="s">
        <v>201</v>
      </c>
      <c r="D1057" t="s">
        <v>293</v>
      </c>
      <c r="E1057" t="s">
        <v>256</v>
      </c>
      <c r="F1057">
        <v>4</v>
      </c>
    </row>
    <row r="1058" spans="1:6" ht="13.2">
      <c r="A1058" t="s">
        <v>1852</v>
      </c>
      <c r="B1058">
        <v>0</v>
      </c>
      <c r="C1058" s="44">
        <v>3000</v>
      </c>
      <c r="D1058" t="s">
        <v>293</v>
      </c>
      <c r="E1058" t="s">
        <v>256</v>
      </c>
      <c r="F1058" t="s">
        <v>533</v>
      </c>
    </row>
    <row r="1059" spans="1:6" ht="13.2">
      <c r="A1059" t="s">
        <v>1859</v>
      </c>
      <c r="B1059">
        <v>0</v>
      </c>
      <c r="C1059" s="44">
        <v>3000</v>
      </c>
      <c r="D1059" t="s">
        <v>293</v>
      </c>
      <c r="E1059" t="s">
        <v>256</v>
      </c>
      <c r="F1059" t="s">
        <v>533</v>
      </c>
    </row>
    <row r="1060" spans="1:6" ht="13.2">
      <c r="A1060" t="s">
        <v>1853</v>
      </c>
      <c r="B1060">
        <v>0</v>
      </c>
      <c r="C1060" s="44">
        <v>3000</v>
      </c>
      <c r="D1060" t="s">
        <v>293</v>
      </c>
      <c r="E1060" t="s">
        <v>256</v>
      </c>
      <c r="F1060" t="s">
        <v>533</v>
      </c>
    </row>
    <row r="1061" spans="1:6" ht="13.2">
      <c r="A1061" t="s">
        <v>1854</v>
      </c>
      <c r="B1061">
        <v>0</v>
      </c>
      <c r="C1061" s="44">
        <v>3000</v>
      </c>
      <c r="D1061" t="s">
        <v>293</v>
      </c>
      <c r="E1061" t="s">
        <v>256</v>
      </c>
      <c r="F1061" t="s">
        <v>533</v>
      </c>
    </row>
    <row r="1062" spans="1:6" ht="13.2">
      <c r="A1062" t="s">
        <v>1855</v>
      </c>
      <c r="B1062">
        <v>0</v>
      </c>
      <c r="C1062" s="44">
        <v>3000</v>
      </c>
      <c r="D1062" t="s">
        <v>293</v>
      </c>
      <c r="E1062" t="s">
        <v>256</v>
      </c>
      <c r="F1062" t="s">
        <v>533</v>
      </c>
    </row>
    <row r="1063" spans="1:6" ht="13.2">
      <c r="A1063" t="s">
        <v>1856</v>
      </c>
      <c r="B1063">
        <v>0</v>
      </c>
      <c r="C1063" s="44">
        <v>3000</v>
      </c>
      <c r="D1063" t="s">
        <v>293</v>
      </c>
      <c r="E1063" t="s">
        <v>256</v>
      </c>
      <c r="F1063" t="s">
        <v>533</v>
      </c>
    </row>
    <row r="1064" spans="1:6" ht="13.2">
      <c r="A1064" t="s">
        <v>1857</v>
      </c>
      <c r="B1064">
        <v>0</v>
      </c>
      <c r="C1064" s="44">
        <v>3000</v>
      </c>
      <c r="D1064" t="s">
        <v>293</v>
      </c>
      <c r="E1064" t="s">
        <v>256</v>
      </c>
      <c r="F1064" t="s">
        <v>533</v>
      </c>
    </row>
    <row r="1065" spans="1:6" ht="13.2">
      <c r="A1065" t="s">
        <v>1858</v>
      </c>
      <c r="B1065">
        <v>0</v>
      </c>
      <c r="C1065" s="44">
        <v>3000</v>
      </c>
      <c r="D1065" t="s">
        <v>293</v>
      </c>
      <c r="E1065" t="s">
        <v>256</v>
      </c>
      <c r="F1065" t="s">
        <v>533</v>
      </c>
    </row>
    <row r="1066" spans="1:6" ht="13.2">
      <c r="A1066" t="s">
        <v>1844</v>
      </c>
      <c r="B1066">
        <v>0</v>
      </c>
      <c r="C1066" s="44">
        <v>3000</v>
      </c>
      <c r="D1066" t="s">
        <v>293</v>
      </c>
      <c r="E1066" t="s">
        <v>618</v>
      </c>
      <c r="F1066" t="s">
        <v>619</v>
      </c>
    </row>
    <row r="1067" spans="1:6" ht="13.2">
      <c r="A1067" t="s">
        <v>1845</v>
      </c>
      <c r="B1067">
        <v>0</v>
      </c>
      <c r="C1067" s="44">
        <v>3000</v>
      </c>
      <c r="D1067" t="s">
        <v>293</v>
      </c>
      <c r="E1067" t="s">
        <v>618</v>
      </c>
      <c r="F1067" t="s">
        <v>619</v>
      </c>
    </row>
    <row r="1068" spans="1:6" ht="13.2">
      <c r="A1068" t="s">
        <v>1846</v>
      </c>
      <c r="B1068">
        <v>0</v>
      </c>
      <c r="C1068" s="44">
        <v>3000</v>
      </c>
      <c r="D1068" t="s">
        <v>293</v>
      </c>
      <c r="E1068" t="s">
        <v>618</v>
      </c>
      <c r="F1068" t="s">
        <v>619</v>
      </c>
    </row>
    <row r="1069" spans="1:6" ht="13.2">
      <c r="A1069" t="s">
        <v>1847</v>
      </c>
      <c r="B1069">
        <v>0</v>
      </c>
      <c r="C1069" s="44">
        <v>3000</v>
      </c>
      <c r="D1069" t="s">
        <v>293</v>
      </c>
      <c r="E1069" t="s">
        <v>618</v>
      </c>
      <c r="F1069" t="s">
        <v>619</v>
      </c>
    </row>
    <row r="1070" spans="1:6" ht="13.2">
      <c r="A1070" t="s">
        <v>1848</v>
      </c>
      <c r="B1070">
        <v>0</v>
      </c>
      <c r="C1070" s="44">
        <v>3000</v>
      </c>
      <c r="D1070" t="s">
        <v>293</v>
      </c>
      <c r="E1070" t="s">
        <v>618</v>
      </c>
      <c r="F1070" t="s">
        <v>619</v>
      </c>
    </row>
    <row r="1071" spans="1:6" ht="13.2">
      <c r="A1071" t="s">
        <v>1849</v>
      </c>
      <c r="B1071">
        <v>0</v>
      </c>
      <c r="C1071" s="44">
        <v>3000</v>
      </c>
      <c r="D1071" t="s">
        <v>293</v>
      </c>
      <c r="E1071" t="s">
        <v>618</v>
      </c>
      <c r="F1071" t="s">
        <v>619</v>
      </c>
    </row>
    <row r="1072" spans="1:6" ht="13.2">
      <c r="A1072" t="s">
        <v>1850</v>
      </c>
      <c r="B1072">
        <v>0</v>
      </c>
      <c r="C1072" s="44">
        <v>3000</v>
      </c>
      <c r="D1072" t="s">
        <v>293</v>
      </c>
      <c r="E1072" t="s">
        <v>618</v>
      </c>
      <c r="F1072" t="s">
        <v>619</v>
      </c>
    </row>
    <row r="1073" spans="1:6" ht="13.2">
      <c r="A1073" t="s">
        <v>1851</v>
      </c>
      <c r="B1073">
        <v>0</v>
      </c>
      <c r="C1073" s="44">
        <v>3000</v>
      </c>
      <c r="D1073" t="s">
        <v>293</v>
      </c>
      <c r="E1073" t="s">
        <v>618</v>
      </c>
      <c r="F1073" t="s">
        <v>619</v>
      </c>
    </row>
    <row r="1074" spans="1:6" ht="13.2">
      <c r="A1074" t="s">
        <v>4337</v>
      </c>
      <c r="B1074">
        <v>0</v>
      </c>
      <c r="C1074" s="44">
        <v>3200</v>
      </c>
      <c r="D1074" t="s">
        <v>293</v>
      </c>
      <c r="E1074" t="s">
        <v>256</v>
      </c>
      <c r="F1074">
        <v>4</v>
      </c>
    </row>
    <row r="1075" spans="1:6" ht="13.2">
      <c r="A1075" t="s">
        <v>4338</v>
      </c>
      <c r="B1075">
        <v>0</v>
      </c>
      <c r="C1075" s="44">
        <v>3200</v>
      </c>
      <c r="D1075" t="s">
        <v>293</v>
      </c>
      <c r="E1075" t="s">
        <v>256</v>
      </c>
      <c r="F1075">
        <v>4</v>
      </c>
    </row>
    <row r="1076" spans="1:6" ht="13.2">
      <c r="A1076" t="s">
        <v>4339</v>
      </c>
      <c r="B1076">
        <v>0</v>
      </c>
      <c r="C1076" s="44">
        <v>3200</v>
      </c>
      <c r="D1076" t="s">
        <v>293</v>
      </c>
      <c r="E1076" t="s">
        <v>256</v>
      </c>
      <c r="F1076">
        <v>4</v>
      </c>
    </row>
    <row r="1077" spans="1:6" ht="13.2">
      <c r="A1077" t="s">
        <v>4340</v>
      </c>
      <c r="B1077">
        <v>0</v>
      </c>
      <c r="C1077" s="44">
        <v>3200</v>
      </c>
      <c r="D1077" t="s">
        <v>293</v>
      </c>
      <c r="E1077" t="s">
        <v>256</v>
      </c>
      <c r="F1077">
        <v>4</v>
      </c>
    </row>
    <row r="1078" spans="1:6" ht="13.2">
      <c r="A1078" t="s">
        <v>4341</v>
      </c>
      <c r="B1078">
        <v>0</v>
      </c>
      <c r="C1078" s="44">
        <v>3200</v>
      </c>
      <c r="D1078" t="s">
        <v>293</v>
      </c>
      <c r="E1078" t="s">
        <v>256</v>
      </c>
      <c r="F1078">
        <v>4</v>
      </c>
    </row>
    <row r="1079" spans="1:6" ht="13.2">
      <c r="A1079" t="s">
        <v>4342</v>
      </c>
      <c r="B1079">
        <v>0</v>
      </c>
      <c r="C1079" s="44">
        <v>3200</v>
      </c>
      <c r="D1079" t="s">
        <v>293</v>
      </c>
      <c r="E1079" t="s">
        <v>256</v>
      </c>
      <c r="F1079">
        <v>4</v>
      </c>
    </row>
    <row r="1080" spans="1:6" ht="13.2">
      <c r="A1080" t="s">
        <v>4343</v>
      </c>
      <c r="B1080">
        <v>0</v>
      </c>
      <c r="C1080" s="44">
        <v>3200</v>
      </c>
      <c r="D1080" t="s">
        <v>293</v>
      </c>
      <c r="E1080" t="s">
        <v>256</v>
      </c>
      <c r="F1080">
        <v>4</v>
      </c>
    </row>
    <row r="1081" spans="1:6" ht="13.2">
      <c r="A1081" t="s">
        <v>4344</v>
      </c>
      <c r="B1081">
        <v>0</v>
      </c>
      <c r="C1081" s="44">
        <v>3200</v>
      </c>
      <c r="D1081" t="s">
        <v>293</v>
      </c>
      <c r="E1081" t="s">
        <v>256</v>
      </c>
      <c r="F1081">
        <v>4</v>
      </c>
    </row>
    <row r="1082" spans="1:6" ht="13.2">
      <c r="A1082" t="s">
        <v>1089</v>
      </c>
      <c r="B1082">
        <v>0</v>
      </c>
      <c r="C1082" s="44" t="s">
        <v>201</v>
      </c>
      <c r="D1082" t="s">
        <v>293</v>
      </c>
      <c r="E1082" t="s">
        <v>256</v>
      </c>
      <c r="F1082">
        <v>4</v>
      </c>
    </row>
    <row r="1083" spans="1:6" ht="13.2">
      <c r="A1083" t="s">
        <v>1090</v>
      </c>
      <c r="B1083">
        <v>0</v>
      </c>
      <c r="C1083" s="44" t="s">
        <v>201</v>
      </c>
      <c r="D1083" t="s">
        <v>293</v>
      </c>
      <c r="E1083" t="s">
        <v>256</v>
      </c>
      <c r="F1083">
        <v>4</v>
      </c>
    </row>
    <row r="1084" spans="1:6" ht="13.2">
      <c r="A1084" t="s">
        <v>1091</v>
      </c>
      <c r="B1084">
        <v>0</v>
      </c>
      <c r="C1084" s="44" t="s">
        <v>201</v>
      </c>
      <c r="D1084" t="s">
        <v>293</v>
      </c>
      <c r="E1084" t="s">
        <v>256</v>
      </c>
      <c r="F1084">
        <v>4</v>
      </c>
    </row>
    <row r="1085" spans="1:6" ht="13.2">
      <c r="A1085" t="s">
        <v>1092</v>
      </c>
      <c r="B1085">
        <v>0</v>
      </c>
      <c r="C1085" s="44" t="s">
        <v>201</v>
      </c>
      <c r="D1085" t="s">
        <v>293</v>
      </c>
      <c r="E1085" t="s">
        <v>256</v>
      </c>
      <c r="F1085">
        <v>4</v>
      </c>
    </row>
    <row r="1086" spans="1:6" ht="13.2">
      <c r="A1086" t="s">
        <v>1093</v>
      </c>
      <c r="B1086">
        <v>0</v>
      </c>
      <c r="C1086" s="44" t="s">
        <v>201</v>
      </c>
      <c r="D1086" t="s">
        <v>293</v>
      </c>
      <c r="E1086" t="s">
        <v>256</v>
      </c>
      <c r="F1086">
        <v>4</v>
      </c>
    </row>
    <row r="1087" spans="1:6" ht="13.2">
      <c r="A1087" t="s">
        <v>1094</v>
      </c>
      <c r="B1087">
        <v>0</v>
      </c>
      <c r="C1087" s="44" t="s">
        <v>201</v>
      </c>
      <c r="D1087" t="s">
        <v>293</v>
      </c>
      <c r="E1087" t="s">
        <v>256</v>
      </c>
      <c r="F1087">
        <v>4</v>
      </c>
    </row>
    <row r="1088" spans="1:6" ht="13.2">
      <c r="A1088" t="s">
        <v>1095</v>
      </c>
      <c r="B1088">
        <v>0</v>
      </c>
      <c r="C1088" s="44" t="s">
        <v>201</v>
      </c>
      <c r="D1088" t="s">
        <v>293</v>
      </c>
      <c r="E1088" t="s">
        <v>256</v>
      </c>
      <c r="F1088">
        <v>4</v>
      </c>
    </row>
    <row r="1089" spans="1:6" ht="13.2">
      <c r="A1089" t="s">
        <v>1096</v>
      </c>
      <c r="B1089">
        <v>0</v>
      </c>
      <c r="C1089" s="44" t="s">
        <v>201</v>
      </c>
      <c r="D1089" t="s">
        <v>293</v>
      </c>
      <c r="E1089" t="s">
        <v>256</v>
      </c>
      <c r="F1089">
        <v>4</v>
      </c>
    </row>
    <row r="1090" spans="1:6" ht="13.2">
      <c r="A1090" t="s">
        <v>1097</v>
      </c>
      <c r="B1090">
        <v>0</v>
      </c>
      <c r="C1090" s="44" t="s">
        <v>201</v>
      </c>
      <c r="D1090" t="s">
        <v>293</v>
      </c>
      <c r="E1090" t="s">
        <v>256</v>
      </c>
      <c r="F1090">
        <v>4</v>
      </c>
    </row>
    <row r="1091" spans="1:6" ht="13.2">
      <c r="A1091" t="s">
        <v>1098</v>
      </c>
      <c r="B1091">
        <v>0</v>
      </c>
      <c r="C1091" s="44" t="s">
        <v>201</v>
      </c>
      <c r="D1091" t="s">
        <v>293</v>
      </c>
      <c r="E1091" t="s">
        <v>256</v>
      </c>
      <c r="F1091">
        <v>4</v>
      </c>
    </row>
    <row r="1092" spans="1:6" ht="13.2">
      <c r="A1092" t="s">
        <v>4999</v>
      </c>
      <c r="B1092">
        <v>0</v>
      </c>
      <c r="C1092" s="44">
        <v>3200</v>
      </c>
      <c r="D1092" t="s">
        <v>293</v>
      </c>
      <c r="E1092" t="s">
        <v>256</v>
      </c>
      <c r="F1092">
        <v>4</v>
      </c>
    </row>
    <row r="1093" spans="1:6" ht="13.2">
      <c r="A1093" t="s">
        <v>5000</v>
      </c>
      <c r="B1093">
        <v>0</v>
      </c>
      <c r="C1093" s="44">
        <v>3200</v>
      </c>
      <c r="D1093" t="s">
        <v>293</v>
      </c>
      <c r="E1093" t="s">
        <v>256</v>
      </c>
      <c r="F1093">
        <v>4</v>
      </c>
    </row>
    <row r="1094" spans="1:6" ht="13.2">
      <c r="A1094" t="s">
        <v>5001</v>
      </c>
      <c r="B1094">
        <v>0</v>
      </c>
      <c r="C1094" s="44">
        <v>3200</v>
      </c>
      <c r="D1094" t="s">
        <v>293</v>
      </c>
      <c r="E1094" t="s">
        <v>256</v>
      </c>
      <c r="F1094">
        <v>4</v>
      </c>
    </row>
    <row r="1095" spans="1:6" ht="13.2">
      <c r="A1095" t="s">
        <v>5002</v>
      </c>
      <c r="B1095">
        <v>0</v>
      </c>
      <c r="C1095" s="44">
        <v>3200</v>
      </c>
      <c r="D1095" t="s">
        <v>293</v>
      </c>
      <c r="E1095" t="s">
        <v>256</v>
      </c>
      <c r="F1095">
        <v>4</v>
      </c>
    </row>
    <row r="1096" spans="1:6" ht="13.2">
      <c r="A1096" t="s">
        <v>5003</v>
      </c>
      <c r="B1096">
        <v>0</v>
      </c>
      <c r="C1096" s="44">
        <v>3200</v>
      </c>
      <c r="D1096" t="s">
        <v>293</v>
      </c>
      <c r="E1096" t="s">
        <v>256</v>
      </c>
      <c r="F1096">
        <v>4</v>
      </c>
    </row>
    <row r="1097" spans="1:6" ht="13.2">
      <c r="A1097" t="s">
        <v>5005</v>
      </c>
      <c r="B1097">
        <v>0</v>
      </c>
      <c r="C1097" s="44">
        <v>3200</v>
      </c>
      <c r="D1097" t="s">
        <v>293</v>
      </c>
      <c r="E1097" t="s">
        <v>256</v>
      </c>
      <c r="F1097">
        <v>4</v>
      </c>
    </row>
    <row r="1098" spans="1:6" ht="13.2">
      <c r="A1098" t="s">
        <v>5004</v>
      </c>
      <c r="B1098">
        <v>0</v>
      </c>
      <c r="C1098" s="44">
        <v>3200</v>
      </c>
      <c r="D1098" t="s">
        <v>293</v>
      </c>
      <c r="E1098" t="s">
        <v>256</v>
      </c>
      <c r="F1098">
        <v>4</v>
      </c>
    </row>
    <row r="1099" spans="1:6" ht="13.2">
      <c r="A1099" t="s">
        <v>1099</v>
      </c>
      <c r="B1099">
        <v>0</v>
      </c>
      <c r="C1099" s="44">
        <v>3200</v>
      </c>
      <c r="D1099" t="s">
        <v>293</v>
      </c>
      <c r="E1099" t="s">
        <v>256</v>
      </c>
      <c r="F1099">
        <v>4</v>
      </c>
    </row>
    <row r="1100" spans="1:6" ht="13.2">
      <c r="A1100" t="s">
        <v>1099</v>
      </c>
      <c r="B1100">
        <v>0</v>
      </c>
      <c r="C1100" s="44">
        <v>3200</v>
      </c>
      <c r="D1100" t="s">
        <v>293</v>
      </c>
      <c r="E1100" t="s">
        <v>256</v>
      </c>
      <c r="F1100">
        <v>4</v>
      </c>
    </row>
    <row r="1101" spans="1:6" ht="13.2">
      <c r="A1101" t="s">
        <v>1100</v>
      </c>
      <c r="B1101">
        <v>0</v>
      </c>
      <c r="C1101" s="44">
        <v>3200</v>
      </c>
      <c r="D1101" t="s">
        <v>293</v>
      </c>
      <c r="E1101" t="s">
        <v>256</v>
      </c>
      <c r="F1101">
        <v>4</v>
      </c>
    </row>
    <row r="1102" spans="1:6" ht="13.2">
      <c r="A1102" t="s">
        <v>1100</v>
      </c>
      <c r="B1102">
        <v>0</v>
      </c>
      <c r="C1102" s="44">
        <v>3200</v>
      </c>
      <c r="D1102" t="s">
        <v>293</v>
      </c>
      <c r="E1102" t="s">
        <v>256</v>
      </c>
      <c r="F1102">
        <v>4</v>
      </c>
    </row>
    <row r="1103" spans="1:6" ht="13.2">
      <c r="A1103" t="s">
        <v>1101</v>
      </c>
      <c r="B1103">
        <v>0</v>
      </c>
      <c r="C1103" s="44">
        <v>3200</v>
      </c>
      <c r="D1103" t="s">
        <v>293</v>
      </c>
      <c r="E1103" t="s">
        <v>256</v>
      </c>
      <c r="F1103">
        <v>4</v>
      </c>
    </row>
    <row r="1104" spans="1:6" ht="13.2">
      <c r="A1104" t="s">
        <v>1101</v>
      </c>
      <c r="B1104">
        <v>0</v>
      </c>
      <c r="C1104" s="44">
        <v>3200</v>
      </c>
      <c r="D1104" t="s">
        <v>293</v>
      </c>
      <c r="E1104" t="s">
        <v>256</v>
      </c>
      <c r="F1104">
        <v>4</v>
      </c>
    </row>
    <row r="1105" spans="1:6" ht="13.2">
      <c r="A1105" t="s">
        <v>1102</v>
      </c>
      <c r="B1105">
        <v>0</v>
      </c>
      <c r="C1105" s="44">
        <v>3200</v>
      </c>
      <c r="D1105" t="s">
        <v>293</v>
      </c>
      <c r="E1105" t="s">
        <v>256</v>
      </c>
      <c r="F1105">
        <v>4</v>
      </c>
    </row>
    <row r="1106" spans="1:6" ht="13.2">
      <c r="A1106" t="s">
        <v>1102</v>
      </c>
      <c r="B1106">
        <v>0</v>
      </c>
      <c r="C1106" s="44">
        <v>3200</v>
      </c>
      <c r="D1106" t="s">
        <v>293</v>
      </c>
      <c r="E1106" t="s">
        <v>256</v>
      </c>
      <c r="F1106">
        <v>4</v>
      </c>
    </row>
    <row r="1107" spans="1:6" ht="13.2">
      <c r="A1107" t="s">
        <v>1103</v>
      </c>
      <c r="B1107">
        <v>0</v>
      </c>
      <c r="C1107" s="44">
        <v>3200</v>
      </c>
      <c r="D1107" t="s">
        <v>293</v>
      </c>
      <c r="E1107" t="s">
        <v>256</v>
      </c>
      <c r="F1107">
        <v>4</v>
      </c>
    </row>
    <row r="1108" spans="1:6" ht="13.2">
      <c r="A1108" t="s">
        <v>1103</v>
      </c>
      <c r="B1108">
        <v>0</v>
      </c>
      <c r="C1108" s="44">
        <v>3200</v>
      </c>
      <c r="D1108" t="s">
        <v>293</v>
      </c>
      <c r="E1108" t="s">
        <v>256</v>
      </c>
      <c r="F1108">
        <v>4</v>
      </c>
    </row>
    <row r="1109" spans="1:6" ht="13.2">
      <c r="A1109" t="s">
        <v>1104</v>
      </c>
      <c r="B1109">
        <v>0</v>
      </c>
      <c r="C1109" s="44">
        <v>3200</v>
      </c>
      <c r="D1109" t="s">
        <v>293</v>
      </c>
      <c r="E1109" t="s">
        <v>256</v>
      </c>
      <c r="F1109">
        <v>4</v>
      </c>
    </row>
    <row r="1110" spans="1:6" ht="13.2">
      <c r="A1110" t="s">
        <v>1104</v>
      </c>
      <c r="B1110">
        <v>0</v>
      </c>
      <c r="C1110" s="44">
        <v>3200</v>
      </c>
      <c r="D1110" t="s">
        <v>293</v>
      </c>
      <c r="E1110" t="s">
        <v>256</v>
      </c>
      <c r="F1110">
        <v>4</v>
      </c>
    </row>
    <row r="1111" spans="1:6" ht="13.2">
      <c r="A1111" t="s">
        <v>1105</v>
      </c>
      <c r="B1111">
        <v>0</v>
      </c>
      <c r="C1111" s="44">
        <v>3200</v>
      </c>
      <c r="D1111" t="s">
        <v>293</v>
      </c>
      <c r="E1111" t="s">
        <v>256</v>
      </c>
      <c r="F1111">
        <v>4</v>
      </c>
    </row>
    <row r="1112" spans="1:6" ht="13.2">
      <c r="A1112" t="s">
        <v>1105</v>
      </c>
      <c r="B1112">
        <v>0</v>
      </c>
      <c r="C1112" s="44">
        <v>3200</v>
      </c>
      <c r="D1112" t="s">
        <v>293</v>
      </c>
      <c r="E1112" t="s">
        <v>256</v>
      </c>
      <c r="F1112">
        <v>4</v>
      </c>
    </row>
    <row r="1113" spans="1:6" ht="13.2">
      <c r="A1113" t="s">
        <v>1106</v>
      </c>
      <c r="B1113">
        <v>0</v>
      </c>
      <c r="C1113" s="44">
        <v>3200</v>
      </c>
      <c r="D1113" t="s">
        <v>293</v>
      </c>
      <c r="E1113" t="s">
        <v>256</v>
      </c>
      <c r="F1113">
        <v>4</v>
      </c>
    </row>
    <row r="1114" spans="1:6" ht="13.2">
      <c r="A1114" t="s">
        <v>1106</v>
      </c>
      <c r="B1114">
        <v>0</v>
      </c>
      <c r="C1114" s="44">
        <v>3200</v>
      </c>
      <c r="D1114" t="s">
        <v>293</v>
      </c>
      <c r="E1114" t="s">
        <v>256</v>
      </c>
      <c r="F1114">
        <v>4</v>
      </c>
    </row>
    <row r="1115" spans="1:6" ht="13.2">
      <c r="A1115" t="s">
        <v>1107</v>
      </c>
      <c r="B1115">
        <v>0</v>
      </c>
      <c r="C1115" s="44">
        <v>3200</v>
      </c>
      <c r="D1115" t="s">
        <v>293</v>
      </c>
      <c r="E1115" t="s">
        <v>256</v>
      </c>
      <c r="F1115">
        <v>4</v>
      </c>
    </row>
    <row r="1116" spans="1:6" ht="13.2">
      <c r="A1116" t="s">
        <v>1107</v>
      </c>
      <c r="B1116">
        <v>0</v>
      </c>
      <c r="C1116" s="44">
        <v>3200</v>
      </c>
      <c r="D1116" t="s">
        <v>293</v>
      </c>
      <c r="E1116" t="s">
        <v>256</v>
      </c>
      <c r="F1116">
        <v>4</v>
      </c>
    </row>
    <row r="1117" spans="1:6" ht="13.2">
      <c r="A1117" t="s">
        <v>1108</v>
      </c>
      <c r="B1117">
        <v>0</v>
      </c>
      <c r="C1117" s="44">
        <v>3200</v>
      </c>
      <c r="D1117" t="s">
        <v>293</v>
      </c>
      <c r="E1117" t="s">
        <v>256</v>
      </c>
      <c r="F1117">
        <v>4</v>
      </c>
    </row>
    <row r="1118" spans="1:6" ht="13.2">
      <c r="A1118" t="s">
        <v>1108</v>
      </c>
      <c r="B1118">
        <v>0</v>
      </c>
      <c r="C1118" s="44">
        <v>3200</v>
      </c>
      <c r="D1118" t="s">
        <v>293</v>
      </c>
      <c r="E1118" t="s">
        <v>256</v>
      </c>
      <c r="F1118">
        <v>4</v>
      </c>
    </row>
    <row r="1119" spans="1:6" ht="13.2">
      <c r="A1119" t="s">
        <v>1109</v>
      </c>
      <c r="B1119">
        <v>0</v>
      </c>
      <c r="C1119" s="44">
        <v>3200</v>
      </c>
      <c r="D1119" t="s">
        <v>293</v>
      </c>
      <c r="E1119" t="s">
        <v>256</v>
      </c>
      <c r="F1119">
        <v>4</v>
      </c>
    </row>
    <row r="1120" spans="1:6" ht="13.2">
      <c r="A1120" t="s">
        <v>1109</v>
      </c>
      <c r="B1120">
        <v>0</v>
      </c>
      <c r="C1120" s="44">
        <v>3200</v>
      </c>
      <c r="D1120" t="s">
        <v>293</v>
      </c>
      <c r="E1120" t="s">
        <v>256</v>
      </c>
      <c r="F1120">
        <v>4</v>
      </c>
    </row>
    <row r="1121" spans="1:6" ht="13.2">
      <c r="A1121" t="s">
        <v>1110</v>
      </c>
      <c r="B1121">
        <v>0</v>
      </c>
      <c r="C1121" s="44">
        <v>3200</v>
      </c>
      <c r="D1121" t="s">
        <v>293</v>
      </c>
      <c r="E1121" t="s">
        <v>256</v>
      </c>
      <c r="F1121">
        <v>4</v>
      </c>
    </row>
    <row r="1122" spans="1:6" ht="13.2">
      <c r="A1122" t="s">
        <v>1110</v>
      </c>
      <c r="B1122">
        <v>0</v>
      </c>
      <c r="C1122" s="44">
        <v>3200</v>
      </c>
      <c r="D1122" t="s">
        <v>293</v>
      </c>
      <c r="E1122" t="s">
        <v>256</v>
      </c>
      <c r="F1122">
        <v>4</v>
      </c>
    </row>
    <row r="1123" spans="1:6" ht="13.2">
      <c r="A1123" t="s">
        <v>1111</v>
      </c>
      <c r="B1123">
        <v>0</v>
      </c>
      <c r="C1123" s="44">
        <v>3200</v>
      </c>
      <c r="D1123" t="s">
        <v>293</v>
      </c>
      <c r="E1123" t="s">
        <v>256</v>
      </c>
      <c r="F1123">
        <v>4</v>
      </c>
    </row>
    <row r="1124" spans="1:6" ht="13.2">
      <c r="A1124" t="s">
        <v>1111</v>
      </c>
      <c r="B1124">
        <v>0</v>
      </c>
      <c r="C1124" s="44">
        <v>3200</v>
      </c>
      <c r="D1124" t="s">
        <v>293</v>
      </c>
      <c r="E1124" t="s">
        <v>256</v>
      </c>
      <c r="F1124">
        <v>4</v>
      </c>
    </row>
    <row r="1125" spans="1:6" ht="13.2">
      <c r="A1125" t="s">
        <v>3427</v>
      </c>
      <c r="B1125">
        <v>8</v>
      </c>
      <c r="C1125" s="44">
        <v>1400</v>
      </c>
      <c r="D1125" t="s">
        <v>291</v>
      </c>
      <c r="E1125" t="s">
        <v>712</v>
      </c>
      <c r="F1125">
        <v>4</v>
      </c>
    </row>
    <row r="1126" spans="1:6" ht="13.2">
      <c r="A1126" t="s">
        <v>3429</v>
      </c>
      <c r="B1126">
        <v>8</v>
      </c>
      <c r="C1126" s="44">
        <v>1400</v>
      </c>
      <c r="D1126" t="s">
        <v>291</v>
      </c>
      <c r="E1126" t="s">
        <v>712</v>
      </c>
      <c r="F1126">
        <v>4</v>
      </c>
    </row>
    <row r="1127" spans="1:6" ht="13.2">
      <c r="A1127" t="s">
        <v>3422</v>
      </c>
      <c r="B1127">
        <v>8</v>
      </c>
      <c r="C1127" s="44">
        <v>1400</v>
      </c>
      <c r="D1127" t="s">
        <v>291</v>
      </c>
      <c r="E1127" t="s">
        <v>712</v>
      </c>
      <c r="F1127">
        <v>4</v>
      </c>
    </row>
    <row r="1128" spans="1:6" ht="13.2">
      <c r="A1128" t="s">
        <v>3421</v>
      </c>
      <c r="B1128">
        <v>8</v>
      </c>
      <c r="C1128" s="44">
        <v>1400</v>
      </c>
      <c r="D1128" t="s">
        <v>291</v>
      </c>
      <c r="E1128" t="s">
        <v>712</v>
      </c>
      <c r="F1128">
        <v>4</v>
      </c>
    </row>
    <row r="1129" spans="1:6" ht="13.2">
      <c r="A1129" t="s">
        <v>3426</v>
      </c>
      <c r="B1129">
        <v>8</v>
      </c>
      <c r="C1129" s="44">
        <v>1400</v>
      </c>
      <c r="D1129" t="s">
        <v>291</v>
      </c>
      <c r="E1129" t="s">
        <v>712</v>
      </c>
      <c r="F1129">
        <v>4</v>
      </c>
    </row>
    <row r="1130" spans="1:6" ht="13.2">
      <c r="A1130" t="s">
        <v>3425</v>
      </c>
      <c r="B1130">
        <v>8</v>
      </c>
      <c r="C1130" s="44">
        <v>1400</v>
      </c>
      <c r="D1130" t="s">
        <v>291</v>
      </c>
      <c r="E1130" t="s">
        <v>712</v>
      </c>
      <c r="F1130">
        <v>4</v>
      </c>
    </row>
    <row r="1131" spans="1:6" ht="13.2">
      <c r="A1131" t="s">
        <v>3423</v>
      </c>
      <c r="B1131">
        <v>8</v>
      </c>
      <c r="C1131" s="44">
        <v>1400</v>
      </c>
      <c r="D1131" t="s">
        <v>291</v>
      </c>
      <c r="E1131" t="s">
        <v>712</v>
      </c>
      <c r="F1131">
        <v>4</v>
      </c>
    </row>
    <row r="1132" spans="1:6" ht="13.2">
      <c r="A1132" t="s">
        <v>3424</v>
      </c>
      <c r="B1132">
        <v>8</v>
      </c>
      <c r="C1132" s="44">
        <v>1400</v>
      </c>
      <c r="D1132" t="s">
        <v>291</v>
      </c>
      <c r="E1132" t="s">
        <v>712</v>
      </c>
      <c r="F1132">
        <v>4</v>
      </c>
    </row>
    <row r="1133" spans="1:6" ht="13.2">
      <c r="A1133" t="s">
        <v>3428</v>
      </c>
      <c r="B1133">
        <v>8</v>
      </c>
      <c r="C1133" s="44">
        <v>1400</v>
      </c>
      <c r="D1133" t="s">
        <v>291</v>
      </c>
      <c r="E1133" t="s">
        <v>712</v>
      </c>
      <c r="F1133">
        <v>4</v>
      </c>
    </row>
    <row r="1134" spans="1:6" ht="13.2">
      <c r="A1134" t="s">
        <v>3430</v>
      </c>
      <c r="B1134">
        <v>8</v>
      </c>
      <c r="C1134" s="44">
        <v>1400</v>
      </c>
      <c r="D1134" t="s">
        <v>291</v>
      </c>
      <c r="E1134" t="s">
        <v>712</v>
      </c>
      <c r="F1134">
        <v>4</v>
      </c>
    </row>
    <row r="1135" spans="1:6" ht="13.2">
      <c r="A1135" t="s">
        <v>5236</v>
      </c>
      <c r="B1135">
        <v>0</v>
      </c>
      <c r="C1135" s="44">
        <v>3200</v>
      </c>
      <c r="D1135" t="s">
        <v>293</v>
      </c>
      <c r="E1135" t="s">
        <v>256</v>
      </c>
      <c r="F1135" t="s">
        <v>533</v>
      </c>
    </row>
    <row r="1136" spans="1:6" ht="13.2">
      <c r="A1136" t="s">
        <v>5235</v>
      </c>
      <c r="B1136">
        <v>0</v>
      </c>
      <c r="C1136" s="44">
        <v>3200</v>
      </c>
      <c r="D1136" t="s">
        <v>293</v>
      </c>
      <c r="E1136" t="s">
        <v>256</v>
      </c>
      <c r="F1136" t="s">
        <v>533</v>
      </c>
    </row>
    <row r="1137" spans="1:6" ht="13.2">
      <c r="A1137" t="s">
        <v>5234</v>
      </c>
      <c r="B1137">
        <v>0</v>
      </c>
      <c r="C1137" s="44">
        <v>3200</v>
      </c>
      <c r="D1137" t="s">
        <v>293</v>
      </c>
      <c r="E1137" t="s">
        <v>256</v>
      </c>
      <c r="F1137" t="s">
        <v>533</v>
      </c>
    </row>
    <row r="1138" spans="1:6" ht="13.2">
      <c r="A1138" t="s">
        <v>5237</v>
      </c>
      <c r="B1138">
        <v>0</v>
      </c>
      <c r="C1138" s="44">
        <v>3200</v>
      </c>
      <c r="D1138" t="s">
        <v>293</v>
      </c>
      <c r="E1138" t="s">
        <v>256</v>
      </c>
      <c r="F1138" t="s">
        <v>533</v>
      </c>
    </row>
    <row r="1139" spans="1:6" ht="13.2">
      <c r="A1139" t="s">
        <v>11555</v>
      </c>
      <c r="B1139">
        <v>0</v>
      </c>
      <c r="C1139" s="44">
        <v>3200</v>
      </c>
      <c r="D1139" t="s">
        <v>293</v>
      </c>
      <c r="E1139" t="s">
        <v>256</v>
      </c>
      <c r="F1139" t="s">
        <v>533</v>
      </c>
    </row>
    <row r="1140" spans="1:6" ht="13.2">
      <c r="A1140" t="s">
        <v>5238</v>
      </c>
      <c r="B1140">
        <v>0</v>
      </c>
      <c r="C1140" s="44">
        <v>3200</v>
      </c>
      <c r="D1140" t="s">
        <v>293</v>
      </c>
      <c r="E1140" t="s">
        <v>256</v>
      </c>
      <c r="F1140" t="s">
        <v>533</v>
      </c>
    </row>
    <row r="1141" spans="1:6" ht="13.2">
      <c r="A1141" t="s">
        <v>1614</v>
      </c>
      <c r="B1141">
        <v>0</v>
      </c>
      <c r="C1141" s="44">
        <v>3200</v>
      </c>
      <c r="D1141" t="s">
        <v>293</v>
      </c>
      <c r="E1141" t="s">
        <v>699</v>
      </c>
      <c r="F1141">
        <v>4</v>
      </c>
    </row>
    <row r="1142" spans="1:6" ht="13.2">
      <c r="A1142" t="s">
        <v>1620</v>
      </c>
      <c r="B1142">
        <v>0</v>
      </c>
      <c r="C1142" s="44">
        <v>3200</v>
      </c>
      <c r="D1142" t="s">
        <v>293</v>
      </c>
      <c r="E1142" t="s">
        <v>699</v>
      </c>
      <c r="F1142">
        <v>4</v>
      </c>
    </row>
    <row r="1143" spans="1:6" ht="13.2">
      <c r="A1143" t="s">
        <v>1615</v>
      </c>
      <c r="B1143">
        <v>0</v>
      </c>
      <c r="C1143" s="44">
        <v>3200</v>
      </c>
      <c r="D1143" t="s">
        <v>293</v>
      </c>
      <c r="E1143" t="s">
        <v>699</v>
      </c>
      <c r="F1143">
        <v>4</v>
      </c>
    </row>
    <row r="1144" spans="1:6" ht="13.2">
      <c r="A1144" t="s">
        <v>1618</v>
      </c>
      <c r="B1144">
        <v>0</v>
      </c>
      <c r="C1144" s="44">
        <v>3200</v>
      </c>
      <c r="D1144" t="s">
        <v>293</v>
      </c>
      <c r="E1144" t="s">
        <v>699</v>
      </c>
      <c r="F1144">
        <v>4</v>
      </c>
    </row>
    <row r="1145" spans="1:6" ht="13.2">
      <c r="A1145" t="s">
        <v>1619</v>
      </c>
      <c r="B1145">
        <v>0</v>
      </c>
      <c r="C1145" s="44">
        <v>3200</v>
      </c>
      <c r="D1145" t="s">
        <v>293</v>
      </c>
      <c r="E1145" t="s">
        <v>699</v>
      </c>
      <c r="F1145">
        <v>4</v>
      </c>
    </row>
    <row r="1146" spans="1:6" ht="13.2">
      <c r="A1146" t="s">
        <v>1622</v>
      </c>
      <c r="B1146">
        <v>0</v>
      </c>
      <c r="C1146" s="44">
        <v>3200</v>
      </c>
      <c r="D1146" t="s">
        <v>293</v>
      </c>
      <c r="E1146" t="s">
        <v>699</v>
      </c>
      <c r="F1146">
        <v>4</v>
      </c>
    </row>
    <row r="1147" spans="1:6" ht="13.2">
      <c r="A1147" t="s">
        <v>1616</v>
      </c>
      <c r="B1147">
        <v>0</v>
      </c>
      <c r="C1147" s="44">
        <v>3200</v>
      </c>
      <c r="D1147" t="s">
        <v>293</v>
      </c>
      <c r="E1147" t="s">
        <v>699</v>
      </c>
      <c r="F1147">
        <v>4</v>
      </c>
    </row>
    <row r="1148" spans="1:6" ht="13.2">
      <c r="A1148" t="s">
        <v>1617</v>
      </c>
      <c r="B1148">
        <v>0</v>
      </c>
      <c r="C1148" s="44">
        <v>3200</v>
      </c>
      <c r="D1148" t="s">
        <v>293</v>
      </c>
      <c r="E1148" t="s">
        <v>699</v>
      </c>
      <c r="F1148">
        <v>4</v>
      </c>
    </row>
    <row r="1149" spans="1:6" ht="13.2">
      <c r="A1149" t="s">
        <v>1621</v>
      </c>
      <c r="B1149">
        <v>0</v>
      </c>
      <c r="C1149" s="44">
        <v>3200</v>
      </c>
      <c r="D1149" t="s">
        <v>293</v>
      </c>
      <c r="E1149" t="s">
        <v>699</v>
      </c>
      <c r="F1149">
        <v>4</v>
      </c>
    </row>
    <row r="1150" spans="1:6" ht="13.2">
      <c r="A1150" t="s">
        <v>1623</v>
      </c>
      <c r="B1150">
        <v>0</v>
      </c>
      <c r="C1150" s="44">
        <v>3200</v>
      </c>
      <c r="D1150" t="s">
        <v>293</v>
      </c>
      <c r="E1150" t="s">
        <v>699</v>
      </c>
      <c r="F1150">
        <v>4</v>
      </c>
    </row>
    <row r="1151" spans="1:6" ht="13.2">
      <c r="A1151" t="s">
        <v>1613</v>
      </c>
      <c r="B1151">
        <v>0</v>
      </c>
      <c r="C1151" s="44">
        <v>3200</v>
      </c>
      <c r="D1151" t="s">
        <v>293</v>
      </c>
      <c r="E1151" t="s">
        <v>699</v>
      </c>
      <c r="F1151">
        <v>4</v>
      </c>
    </row>
    <row r="1152" spans="1:5" ht="13.2">
      <c r="A1152" t="s">
        <v>5924</v>
      </c>
      <c r="B1152">
        <v>0</v>
      </c>
      <c r="C1152" s="44">
        <v>2950</v>
      </c>
      <c r="D1152" t="s">
        <v>293</v>
      </c>
      <c r="E1152" t="s">
        <v>4814</v>
      </c>
    </row>
    <row r="1153" spans="1:5" ht="13.2">
      <c r="A1153" t="s">
        <v>5925</v>
      </c>
      <c r="B1153">
        <v>0</v>
      </c>
      <c r="C1153" s="44">
        <v>2950</v>
      </c>
      <c r="D1153" t="s">
        <v>293</v>
      </c>
      <c r="E1153" t="s">
        <v>4814</v>
      </c>
    </row>
    <row r="1154" spans="1:5" ht="13.2">
      <c r="A1154" t="s">
        <v>5926</v>
      </c>
      <c r="B1154">
        <v>0</v>
      </c>
      <c r="C1154" s="44">
        <v>2950</v>
      </c>
      <c r="D1154" t="s">
        <v>293</v>
      </c>
      <c r="E1154" t="s">
        <v>4814</v>
      </c>
    </row>
    <row r="1155" spans="1:5" ht="13.2">
      <c r="A1155" t="s">
        <v>5927</v>
      </c>
      <c r="B1155">
        <v>0</v>
      </c>
      <c r="C1155" s="44">
        <v>2950</v>
      </c>
      <c r="D1155" t="s">
        <v>293</v>
      </c>
      <c r="E1155" t="s">
        <v>4814</v>
      </c>
    </row>
    <row r="1156" spans="1:5" ht="13.2">
      <c r="A1156" t="s">
        <v>5928</v>
      </c>
      <c r="B1156">
        <v>0</v>
      </c>
      <c r="C1156" s="44">
        <v>2950</v>
      </c>
      <c r="D1156" t="s">
        <v>293</v>
      </c>
      <c r="E1156" t="s">
        <v>4814</v>
      </c>
    </row>
    <row r="1157" spans="1:5" ht="13.2">
      <c r="A1157" t="s">
        <v>5929</v>
      </c>
      <c r="B1157">
        <v>0</v>
      </c>
      <c r="C1157" s="44">
        <v>2950</v>
      </c>
      <c r="D1157" t="s">
        <v>293</v>
      </c>
      <c r="E1157" t="s">
        <v>4814</v>
      </c>
    </row>
    <row r="1158" spans="1:6" ht="13.2">
      <c r="A1158" t="s">
        <v>1625</v>
      </c>
      <c r="B1158">
        <v>0</v>
      </c>
      <c r="C1158" s="44">
        <v>3150</v>
      </c>
      <c r="D1158" t="s">
        <v>293</v>
      </c>
      <c r="E1158" t="s">
        <v>256</v>
      </c>
      <c r="F1158">
        <v>4</v>
      </c>
    </row>
    <row r="1159" spans="1:6" ht="13.2">
      <c r="A1159" t="s">
        <v>1633</v>
      </c>
      <c r="B1159">
        <v>0</v>
      </c>
      <c r="C1159" s="44">
        <v>3150</v>
      </c>
      <c r="D1159" t="s">
        <v>293</v>
      </c>
      <c r="E1159" t="s">
        <v>256</v>
      </c>
      <c r="F1159">
        <v>4</v>
      </c>
    </row>
    <row r="1160" spans="1:6" ht="13.2">
      <c r="A1160" t="s">
        <v>1628</v>
      </c>
      <c r="B1160">
        <v>0</v>
      </c>
      <c r="C1160" s="44">
        <v>3150</v>
      </c>
      <c r="D1160" t="s">
        <v>293</v>
      </c>
      <c r="E1160" t="s">
        <v>256</v>
      </c>
      <c r="F1160">
        <v>4</v>
      </c>
    </row>
    <row r="1161" spans="1:6" ht="13.2">
      <c r="A1161" t="s">
        <v>1629</v>
      </c>
      <c r="B1161">
        <v>0</v>
      </c>
      <c r="C1161" s="44">
        <v>3150</v>
      </c>
      <c r="D1161" t="s">
        <v>293</v>
      </c>
      <c r="E1161" t="s">
        <v>256</v>
      </c>
      <c r="F1161">
        <v>4</v>
      </c>
    </row>
    <row r="1162" spans="1:6" ht="13.2">
      <c r="A1162" t="s">
        <v>1632</v>
      </c>
      <c r="B1162">
        <v>0</v>
      </c>
      <c r="C1162" s="44">
        <v>3150</v>
      </c>
      <c r="D1162" t="s">
        <v>293</v>
      </c>
      <c r="E1162" t="s">
        <v>256</v>
      </c>
      <c r="F1162">
        <v>4</v>
      </c>
    </row>
    <row r="1163" spans="1:6" ht="13.2">
      <c r="A1163" t="s">
        <v>1631</v>
      </c>
      <c r="B1163">
        <v>0</v>
      </c>
      <c r="C1163" s="44">
        <v>3150</v>
      </c>
      <c r="D1163" t="s">
        <v>293</v>
      </c>
      <c r="E1163" t="s">
        <v>256</v>
      </c>
      <c r="F1163">
        <v>4</v>
      </c>
    </row>
    <row r="1164" spans="1:6" ht="13.2">
      <c r="A1164" t="s">
        <v>1626</v>
      </c>
      <c r="B1164">
        <v>0</v>
      </c>
      <c r="C1164" s="44">
        <v>3150</v>
      </c>
      <c r="D1164" t="s">
        <v>293</v>
      </c>
      <c r="E1164" t="s">
        <v>256</v>
      </c>
      <c r="F1164">
        <v>4</v>
      </c>
    </row>
    <row r="1165" spans="1:6" ht="13.2">
      <c r="A1165" t="s">
        <v>1634</v>
      </c>
      <c r="B1165">
        <v>0</v>
      </c>
      <c r="C1165" s="44">
        <v>3150</v>
      </c>
      <c r="D1165" t="s">
        <v>293</v>
      </c>
      <c r="E1165" t="s">
        <v>256</v>
      </c>
      <c r="F1165">
        <v>4</v>
      </c>
    </row>
    <row r="1166" spans="1:6" ht="13.2">
      <c r="A1166" t="s">
        <v>1627</v>
      </c>
      <c r="B1166">
        <v>0</v>
      </c>
      <c r="C1166" s="44">
        <v>3150</v>
      </c>
      <c r="D1166" t="s">
        <v>293</v>
      </c>
      <c r="E1166" t="s">
        <v>256</v>
      </c>
      <c r="F1166">
        <v>4</v>
      </c>
    </row>
    <row r="1167" spans="1:6" ht="13.2">
      <c r="A1167" t="s">
        <v>1624</v>
      </c>
      <c r="B1167">
        <v>0</v>
      </c>
      <c r="C1167" s="44">
        <v>3150</v>
      </c>
      <c r="D1167" t="s">
        <v>293</v>
      </c>
      <c r="E1167" t="s">
        <v>256</v>
      </c>
      <c r="F1167">
        <v>4</v>
      </c>
    </row>
    <row r="1168" spans="1:6" ht="13.2">
      <c r="A1168" t="s">
        <v>1630</v>
      </c>
      <c r="B1168">
        <v>0</v>
      </c>
      <c r="C1168" s="44">
        <v>3150</v>
      </c>
      <c r="D1168" t="s">
        <v>293</v>
      </c>
      <c r="E1168" t="s">
        <v>256</v>
      </c>
      <c r="F1168">
        <v>4</v>
      </c>
    </row>
    <row r="1169" spans="1:6" ht="13.2">
      <c r="A1169" t="s">
        <v>1112</v>
      </c>
      <c r="B1169">
        <v>0</v>
      </c>
      <c r="C1169" s="44" t="s">
        <v>350</v>
      </c>
      <c r="D1169" t="s">
        <v>293</v>
      </c>
      <c r="E1169" t="s">
        <v>698</v>
      </c>
      <c r="F1169">
        <v>4</v>
      </c>
    </row>
    <row r="1170" spans="1:6" ht="13.2">
      <c r="A1170" t="s">
        <v>1636</v>
      </c>
      <c r="B1170">
        <v>0</v>
      </c>
      <c r="C1170" s="44" t="s">
        <v>350</v>
      </c>
      <c r="D1170" t="s">
        <v>293</v>
      </c>
      <c r="E1170" t="s">
        <v>698</v>
      </c>
      <c r="F1170">
        <v>4</v>
      </c>
    </row>
    <row r="1171" spans="1:6" ht="13.2">
      <c r="A1171" t="s">
        <v>1638</v>
      </c>
      <c r="B1171">
        <v>0</v>
      </c>
      <c r="C1171" s="44" t="s">
        <v>350</v>
      </c>
      <c r="D1171" t="s">
        <v>293</v>
      </c>
      <c r="E1171" t="s">
        <v>698</v>
      </c>
      <c r="F1171">
        <v>4</v>
      </c>
    </row>
    <row r="1172" spans="1:6" ht="13.2">
      <c r="A1172" t="s">
        <v>1639</v>
      </c>
      <c r="B1172">
        <v>0</v>
      </c>
      <c r="C1172" s="44" t="s">
        <v>350</v>
      </c>
      <c r="D1172" t="s">
        <v>293</v>
      </c>
      <c r="E1172" t="s">
        <v>698</v>
      </c>
      <c r="F1172">
        <v>4</v>
      </c>
    </row>
    <row r="1173" spans="1:6" ht="13.2">
      <c r="A1173" t="s">
        <v>1637</v>
      </c>
      <c r="B1173">
        <v>0</v>
      </c>
      <c r="C1173" s="44" t="s">
        <v>350</v>
      </c>
      <c r="D1173" t="s">
        <v>293</v>
      </c>
      <c r="E1173" t="s">
        <v>698</v>
      </c>
      <c r="F1173">
        <v>4</v>
      </c>
    </row>
    <row r="1174" spans="1:6" ht="13.2">
      <c r="A1174" t="s">
        <v>1640</v>
      </c>
      <c r="B1174">
        <v>0</v>
      </c>
      <c r="C1174" s="44" t="s">
        <v>350</v>
      </c>
      <c r="D1174" t="s">
        <v>293</v>
      </c>
      <c r="E1174" t="s">
        <v>698</v>
      </c>
      <c r="F1174">
        <v>4</v>
      </c>
    </row>
    <row r="1175" spans="1:6" ht="13.2">
      <c r="A1175" t="s">
        <v>1635</v>
      </c>
      <c r="B1175">
        <v>0</v>
      </c>
      <c r="C1175" s="44" t="s">
        <v>350</v>
      </c>
      <c r="D1175" t="s">
        <v>293</v>
      </c>
      <c r="E1175" t="s">
        <v>698</v>
      </c>
      <c r="F1175">
        <v>4</v>
      </c>
    </row>
    <row r="1176" spans="1:6" ht="13.2">
      <c r="A1176" t="s">
        <v>1642</v>
      </c>
      <c r="B1176">
        <v>0</v>
      </c>
      <c r="C1176" s="44">
        <v>3100</v>
      </c>
      <c r="D1176" t="s">
        <v>293</v>
      </c>
      <c r="E1176" t="s">
        <v>364</v>
      </c>
      <c r="F1176">
        <v>3</v>
      </c>
    </row>
    <row r="1177" spans="1:6" ht="13.2">
      <c r="A1177" t="s">
        <v>1644</v>
      </c>
      <c r="B1177">
        <v>0</v>
      </c>
      <c r="C1177" s="44">
        <v>3100</v>
      </c>
      <c r="D1177" t="s">
        <v>293</v>
      </c>
      <c r="E1177" t="s">
        <v>364</v>
      </c>
      <c r="F1177">
        <v>3</v>
      </c>
    </row>
    <row r="1178" spans="1:6" ht="13.2">
      <c r="A1178" t="s">
        <v>1645</v>
      </c>
      <c r="B1178">
        <v>0</v>
      </c>
      <c r="C1178" s="44">
        <v>3100</v>
      </c>
      <c r="D1178" t="s">
        <v>293</v>
      </c>
      <c r="E1178" t="s">
        <v>364</v>
      </c>
      <c r="F1178">
        <v>3</v>
      </c>
    </row>
    <row r="1179" spans="1:6" ht="13.2">
      <c r="A1179" t="s">
        <v>1646</v>
      </c>
      <c r="B1179">
        <v>0</v>
      </c>
      <c r="C1179" s="44">
        <v>3100</v>
      </c>
      <c r="D1179" t="s">
        <v>293</v>
      </c>
      <c r="E1179" t="s">
        <v>364</v>
      </c>
      <c r="F1179">
        <v>3</v>
      </c>
    </row>
    <row r="1180" spans="1:6" ht="13.2">
      <c r="A1180" t="s">
        <v>1641</v>
      </c>
      <c r="B1180">
        <v>0</v>
      </c>
      <c r="C1180" s="44">
        <v>3100</v>
      </c>
      <c r="D1180" t="s">
        <v>293</v>
      </c>
      <c r="E1180" t="s">
        <v>364</v>
      </c>
      <c r="F1180">
        <v>3</v>
      </c>
    </row>
    <row r="1181" spans="1:6" ht="13.2">
      <c r="A1181" t="s">
        <v>1643</v>
      </c>
      <c r="B1181">
        <v>0</v>
      </c>
      <c r="C1181" s="44">
        <v>3100</v>
      </c>
      <c r="D1181" t="s">
        <v>293</v>
      </c>
      <c r="E1181" t="s">
        <v>364</v>
      </c>
      <c r="F1181">
        <v>3</v>
      </c>
    </row>
    <row r="1182" spans="1:6" ht="13.2">
      <c r="A1182" t="s">
        <v>1647</v>
      </c>
      <c r="B1182">
        <v>0</v>
      </c>
      <c r="C1182" s="44">
        <v>3100</v>
      </c>
      <c r="D1182" t="s">
        <v>293</v>
      </c>
      <c r="E1182" t="s">
        <v>364</v>
      </c>
      <c r="F1182">
        <v>3</v>
      </c>
    </row>
    <row r="1183" spans="1:6" ht="13.2">
      <c r="A1183" t="s">
        <v>1648</v>
      </c>
      <c r="B1183">
        <v>0</v>
      </c>
      <c r="C1183" s="44">
        <v>3100</v>
      </c>
      <c r="D1183" t="s">
        <v>293</v>
      </c>
      <c r="E1183" t="s">
        <v>364</v>
      </c>
      <c r="F1183">
        <v>3</v>
      </c>
    </row>
    <row r="1184" spans="1:6" ht="13.2">
      <c r="A1184" t="s">
        <v>4052</v>
      </c>
      <c r="B1184">
        <v>0</v>
      </c>
      <c r="C1184" s="44">
        <v>2950</v>
      </c>
      <c r="D1184" t="s">
        <v>293</v>
      </c>
      <c r="E1184" t="s">
        <v>256</v>
      </c>
      <c r="F1184">
        <v>4</v>
      </c>
    </row>
    <row r="1185" spans="1:6" ht="13.2">
      <c r="A1185" t="s">
        <v>4056</v>
      </c>
      <c r="B1185">
        <v>0</v>
      </c>
      <c r="C1185" s="44">
        <v>2950</v>
      </c>
      <c r="D1185" t="s">
        <v>293</v>
      </c>
      <c r="E1185" t="s">
        <v>256</v>
      </c>
      <c r="F1185">
        <v>4</v>
      </c>
    </row>
    <row r="1186" spans="1:6" ht="13.2">
      <c r="A1186" t="s">
        <v>4050</v>
      </c>
      <c r="B1186">
        <v>0</v>
      </c>
      <c r="C1186" s="44">
        <v>2950</v>
      </c>
      <c r="D1186" t="s">
        <v>293</v>
      </c>
      <c r="E1186" t="s">
        <v>256</v>
      </c>
      <c r="F1186">
        <v>4</v>
      </c>
    </row>
    <row r="1187" spans="1:6" ht="13.2">
      <c r="A1187" t="s">
        <v>4049</v>
      </c>
      <c r="B1187">
        <v>0</v>
      </c>
      <c r="C1187" s="44">
        <v>2950</v>
      </c>
      <c r="D1187" t="s">
        <v>293</v>
      </c>
      <c r="E1187" t="s">
        <v>256</v>
      </c>
      <c r="F1187">
        <v>4</v>
      </c>
    </row>
    <row r="1188" spans="1:6" ht="13.2">
      <c r="A1188" t="s">
        <v>4061</v>
      </c>
      <c r="B1188">
        <v>0</v>
      </c>
      <c r="C1188" s="44">
        <v>2950</v>
      </c>
      <c r="D1188" t="s">
        <v>293</v>
      </c>
      <c r="E1188" t="s">
        <v>256</v>
      </c>
      <c r="F1188">
        <v>4</v>
      </c>
    </row>
    <row r="1189" spans="1:6" ht="13.2">
      <c r="A1189" t="s">
        <v>4057</v>
      </c>
      <c r="B1189">
        <v>0</v>
      </c>
      <c r="C1189" s="44">
        <v>2950</v>
      </c>
      <c r="D1189" t="s">
        <v>293</v>
      </c>
      <c r="E1189" t="s">
        <v>256</v>
      </c>
      <c r="F1189">
        <v>4</v>
      </c>
    </row>
    <row r="1190" spans="1:6" ht="13.2">
      <c r="A1190" t="s">
        <v>4051</v>
      </c>
      <c r="B1190">
        <v>0</v>
      </c>
      <c r="C1190" s="44">
        <v>2950</v>
      </c>
      <c r="D1190" t="s">
        <v>293</v>
      </c>
      <c r="E1190" t="s">
        <v>256</v>
      </c>
      <c r="F1190">
        <v>4</v>
      </c>
    </row>
    <row r="1191" spans="1:6" ht="13.2">
      <c r="A1191" t="s">
        <v>4044</v>
      </c>
      <c r="B1191">
        <v>0</v>
      </c>
      <c r="C1191" s="44">
        <v>2950</v>
      </c>
      <c r="D1191" t="s">
        <v>293</v>
      </c>
      <c r="E1191" t="s">
        <v>256</v>
      </c>
      <c r="F1191">
        <v>4</v>
      </c>
    </row>
    <row r="1192" spans="1:6" ht="13.2">
      <c r="A1192" t="s">
        <v>4047</v>
      </c>
      <c r="B1192">
        <v>0</v>
      </c>
      <c r="C1192" s="44">
        <v>2950</v>
      </c>
      <c r="D1192" t="s">
        <v>293</v>
      </c>
      <c r="E1192" t="s">
        <v>256</v>
      </c>
      <c r="F1192">
        <v>4</v>
      </c>
    </row>
    <row r="1193" spans="1:6" ht="13.2">
      <c r="A1193" t="s">
        <v>4067</v>
      </c>
      <c r="B1193">
        <v>0</v>
      </c>
      <c r="C1193" s="44">
        <v>2950</v>
      </c>
      <c r="D1193" t="s">
        <v>293</v>
      </c>
      <c r="E1193" t="s">
        <v>256</v>
      </c>
      <c r="F1193">
        <v>4</v>
      </c>
    </row>
    <row r="1194" spans="1:6" ht="13.2">
      <c r="A1194" t="s">
        <v>4043</v>
      </c>
      <c r="B1194">
        <v>0</v>
      </c>
      <c r="C1194" s="44">
        <v>2950</v>
      </c>
      <c r="D1194" t="s">
        <v>293</v>
      </c>
      <c r="E1194" t="s">
        <v>256</v>
      </c>
      <c r="F1194">
        <v>4</v>
      </c>
    </row>
    <row r="1195" spans="1:6" ht="13.2">
      <c r="A1195" t="s">
        <v>4045</v>
      </c>
      <c r="B1195">
        <v>0</v>
      </c>
      <c r="C1195" s="44">
        <v>2950</v>
      </c>
      <c r="D1195" t="s">
        <v>293</v>
      </c>
      <c r="E1195" t="s">
        <v>256</v>
      </c>
      <c r="F1195">
        <v>4</v>
      </c>
    </row>
    <row r="1196" spans="1:6" ht="13.2">
      <c r="A1196" t="s">
        <v>4069</v>
      </c>
      <c r="B1196">
        <v>0</v>
      </c>
      <c r="C1196" s="44">
        <v>2950</v>
      </c>
      <c r="D1196" t="s">
        <v>293</v>
      </c>
      <c r="E1196" t="s">
        <v>256</v>
      </c>
      <c r="F1196">
        <v>4</v>
      </c>
    </row>
    <row r="1197" spans="1:6" ht="13.2">
      <c r="A1197" t="s">
        <v>4055</v>
      </c>
      <c r="B1197">
        <v>0</v>
      </c>
      <c r="C1197" s="44">
        <v>2950</v>
      </c>
      <c r="D1197" t="s">
        <v>293</v>
      </c>
      <c r="E1197" t="s">
        <v>256</v>
      </c>
      <c r="F1197">
        <v>4</v>
      </c>
    </row>
    <row r="1198" spans="1:6" ht="13.2">
      <c r="A1198" t="s">
        <v>4065</v>
      </c>
      <c r="B1198">
        <v>0</v>
      </c>
      <c r="C1198" s="44">
        <v>2950</v>
      </c>
      <c r="D1198" t="s">
        <v>293</v>
      </c>
      <c r="E1198" t="s">
        <v>256</v>
      </c>
      <c r="F1198">
        <v>4</v>
      </c>
    </row>
    <row r="1199" spans="1:6" ht="13.2">
      <c r="A1199" t="s">
        <v>4053</v>
      </c>
      <c r="B1199">
        <v>0</v>
      </c>
      <c r="C1199" s="44">
        <v>2950</v>
      </c>
      <c r="D1199" t="s">
        <v>293</v>
      </c>
      <c r="E1199" t="s">
        <v>256</v>
      </c>
      <c r="F1199">
        <v>4</v>
      </c>
    </row>
    <row r="1200" spans="1:6" ht="13.2">
      <c r="A1200" t="s">
        <v>4046</v>
      </c>
      <c r="B1200">
        <v>0</v>
      </c>
      <c r="C1200" s="44">
        <v>2950</v>
      </c>
      <c r="D1200" t="s">
        <v>293</v>
      </c>
      <c r="E1200" t="s">
        <v>256</v>
      </c>
      <c r="F1200">
        <v>4</v>
      </c>
    </row>
    <row r="1201" spans="1:6" ht="13.2">
      <c r="A1201" t="s">
        <v>4072</v>
      </c>
      <c r="B1201">
        <v>0</v>
      </c>
      <c r="C1201" s="44">
        <v>2950</v>
      </c>
      <c r="D1201" t="s">
        <v>293</v>
      </c>
      <c r="E1201" t="s">
        <v>256</v>
      </c>
      <c r="F1201">
        <v>4</v>
      </c>
    </row>
    <row r="1202" spans="1:6" ht="13.2">
      <c r="A1202" t="s">
        <v>4068</v>
      </c>
      <c r="B1202">
        <v>0</v>
      </c>
      <c r="C1202" s="44">
        <v>2950</v>
      </c>
      <c r="D1202" t="s">
        <v>293</v>
      </c>
      <c r="E1202" t="s">
        <v>256</v>
      </c>
      <c r="F1202">
        <v>4</v>
      </c>
    </row>
    <row r="1203" spans="1:6" ht="13.2">
      <c r="A1203" t="s">
        <v>4066</v>
      </c>
      <c r="B1203">
        <v>0</v>
      </c>
      <c r="C1203" s="44">
        <v>2950</v>
      </c>
      <c r="D1203" t="s">
        <v>293</v>
      </c>
      <c r="E1203" t="s">
        <v>256</v>
      </c>
      <c r="F1203">
        <v>4</v>
      </c>
    </row>
    <row r="1204" spans="1:6" ht="13.2">
      <c r="A1204" t="s">
        <v>4058</v>
      </c>
      <c r="B1204">
        <v>0</v>
      </c>
      <c r="C1204" s="44">
        <v>2950</v>
      </c>
      <c r="D1204" t="s">
        <v>293</v>
      </c>
      <c r="E1204" t="s">
        <v>256</v>
      </c>
      <c r="F1204">
        <v>4</v>
      </c>
    </row>
    <row r="1205" spans="1:6" ht="13.2">
      <c r="A1205" t="s">
        <v>4059</v>
      </c>
      <c r="B1205">
        <v>0</v>
      </c>
      <c r="C1205" s="44">
        <v>2950</v>
      </c>
      <c r="D1205" t="s">
        <v>293</v>
      </c>
      <c r="E1205" t="s">
        <v>256</v>
      </c>
      <c r="F1205">
        <v>4</v>
      </c>
    </row>
    <row r="1206" spans="1:6" ht="13.2">
      <c r="A1206" t="s">
        <v>4054</v>
      </c>
      <c r="B1206">
        <v>0</v>
      </c>
      <c r="C1206" s="44">
        <v>2950</v>
      </c>
      <c r="D1206" t="s">
        <v>293</v>
      </c>
      <c r="E1206" t="s">
        <v>256</v>
      </c>
      <c r="F1206">
        <v>4</v>
      </c>
    </row>
    <row r="1207" spans="1:6" ht="13.2">
      <c r="A1207" t="s">
        <v>4064</v>
      </c>
      <c r="B1207">
        <v>0</v>
      </c>
      <c r="C1207" s="44">
        <v>2950</v>
      </c>
      <c r="D1207" t="s">
        <v>293</v>
      </c>
      <c r="E1207" t="s">
        <v>256</v>
      </c>
      <c r="F1207">
        <v>4</v>
      </c>
    </row>
    <row r="1208" spans="1:6" ht="13.2">
      <c r="A1208" t="s">
        <v>4062</v>
      </c>
      <c r="B1208">
        <v>0</v>
      </c>
      <c r="C1208" s="44">
        <v>2950</v>
      </c>
      <c r="D1208" t="s">
        <v>293</v>
      </c>
      <c r="E1208" t="s">
        <v>256</v>
      </c>
      <c r="F1208">
        <v>4</v>
      </c>
    </row>
    <row r="1209" spans="1:6" ht="13.2">
      <c r="A1209" t="s">
        <v>4060</v>
      </c>
      <c r="B1209">
        <v>0</v>
      </c>
      <c r="C1209" s="44">
        <v>2950</v>
      </c>
      <c r="D1209" t="s">
        <v>293</v>
      </c>
      <c r="E1209" t="s">
        <v>256</v>
      </c>
      <c r="F1209">
        <v>4</v>
      </c>
    </row>
    <row r="1210" spans="1:6" ht="13.2">
      <c r="A1210" t="s">
        <v>4071</v>
      </c>
      <c r="B1210">
        <v>0</v>
      </c>
      <c r="C1210" s="44">
        <v>2950</v>
      </c>
      <c r="D1210" t="s">
        <v>293</v>
      </c>
      <c r="E1210" t="s">
        <v>256</v>
      </c>
      <c r="F1210">
        <v>4</v>
      </c>
    </row>
    <row r="1211" spans="1:6" ht="13.2">
      <c r="A1211" t="s">
        <v>4042</v>
      </c>
      <c r="B1211">
        <v>0</v>
      </c>
      <c r="C1211" s="44">
        <v>2950</v>
      </c>
      <c r="D1211" t="s">
        <v>293</v>
      </c>
      <c r="E1211" t="s">
        <v>256</v>
      </c>
      <c r="F1211">
        <v>4</v>
      </c>
    </row>
    <row r="1212" spans="1:6" ht="13.2">
      <c r="A1212" t="s">
        <v>4063</v>
      </c>
      <c r="B1212">
        <v>0</v>
      </c>
      <c r="C1212" s="44">
        <v>2950</v>
      </c>
      <c r="D1212" t="s">
        <v>293</v>
      </c>
      <c r="E1212" t="s">
        <v>256</v>
      </c>
      <c r="F1212">
        <v>4</v>
      </c>
    </row>
    <row r="1213" spans="1:6" ht="13.2">
      <c r="A1213" t="s">
        <v>4073</v>
      </c>
      <c r="B1213">
        <v>0</v>
      </c>
      <c r="C1213" s="44">
        <v>2950</v>
      </c>
      <c r="D1213" t="s">
        <v>293</v>
      </c>
      <c r="E1213" t="s">
        <v>256</v>
      </c>
      <c r="F1213">
        <v>4</v>
      </c>
    </row>
    <row r="1214" spans="1:6" ht="13.2">
      <c r="A1214" t="s">
        <v>4048</v>
      </c>
      <c r="B1214">
        <v>0</v>
      </c>
      <c r="C1214" s="44">
        <v>2950</v>
      </c>
      <c r="D1214" t="s">
        <v>293</v>
      </c>
      <c r="E1214" t="s">
        <v>256</v>
      </c>
      <c r="F1214">
        <v>4</v>
      </c>
    </row>
    <row r="1215" spans="1:6" ht="13.2">
      <c r="A1215" t="s">
        <v>4070</v>
      </c>
      <c r="B1215">
        <v>0</v>
      </c>
      <c r="C1215" s="44">
        <v>2950</v>
      </c>
      <c r="D1215" t="s">
        <v>293</v>
      </c>
      <c r="E1215" t="s">
        <v>256</v>
      </c>
      <c r="F1215">
        <v>4</v>
      </c>
    </row>
    <row r="1216" spans="1:6" ht="13.2">
      <c r="A1216" t="s">
        <v>4041</v>
      </c>
      <c r="B1216">
        <v>0</v>
      </c>
      <c r="C1216" s="44">
        <v>2950</v>
      </c>
      <c r="D1216" t="s">
        <v>293</v>
      </c>
      <c r="E1216" t="s">
        <v>256</v>
      </c>
      <c r="F1216">
        <v>4</v>
      </c>
    </row>
    <row r="1217" spans="1:6" ht="13.2">
      <c r="A1217" t="s">
        <v>4019</v>
      </c>
      <c r="B1217">
        <v>0</v>
      </c>
      <c r="C1217" s="44">
        <v>2950</v>
      </c>
      <c r="D1217" t="s">
        <v>291</v>
      </c>
      <c r="E1217" t="s">
        <v>256</v>
      </c>
      <c r="F1217">
        <v>4</v>
      </c>
    </row>
    <row r="1218" spans="1:6" ht="13.2">
      <c r="A1218" t="s">
        <v>4023</v>
      </c>
      <c r="B1218">
        <v>0</v>
      </c>
      <c r="C1218" s="44">
        <v>2950</v>
      </c>
      <c r="D1218" t="s">
        <v>291</v>
      </c>
      <c r="E1218" t="s">
        <v>256</v>
      </c>
      <c r="F1218">
        <v>4</v>
      </c>
    </row>
    <row r="1219" spans="1:6" ht="13.2">
      <c r="A1219" t="s">
        <v>4017</v>
      </c>
      <c r="B1219">
        <v>0</v>
      </c>
      <c r="C1219" s="44">
        <v>2950</v>
      </c>
      <c r="D1219" t="s">
        <v>291</v>
      </c>
      <c r="E1219" t="s">
        <v>256</v>
      </c>
      <c r="F1219">
        <v>4</v>
      </c>
    </row>
    <row r="1220" spans="1:6" ht="13.2">
      <c r="A1220" t="s">
        <v>4016</v>
      </c>
      <c r="B1220">
        <v>0</v>
      </c>
      <c r="C1220" s="44">
        <v>2950</v>
      </c>
      <c r="D1220" t="s">
        <v>291</v>
      </c>
      <c r="E1220" t="s">
        <v>256</v>
      </c>
      <c r="F1220">
        <v>4</v>
      </c>
    </row>
    <row r="1221" spans="1:6" ht="13.2">
      <c r="A1221" t="s">
        <v>4028</v>
      </c>
      <c r="B1221">
        <v>0</v>
      </c>
      <c r="C1221" s="44">
        <v>2950</v>
      </c>
      <c r="D1221" t="s">
        <v>291</v>
      </c>
      <c r="E1221" t="s">
        <v>256</v>
      </c>
      <c r="F1221">
        <v>4</v>
      </c>
    </row>
    <row r="1222" spans="1:6" ht="13.2">
      <c r="A1222" t="s">
        <v>4024</v>
      </c>
      <c r="B1222">
        <v>0</v>
      </c>
      <c r="C1222" s="44">
        <v>2950</v>
      </c>
      <c r="D1222" t="s">
        <v>291</v>
      </c>
      <c r="E1222" t="s">
        <v>256</v>
      </c>
      <c r="F1222">
        <v>4</v>
      </c>
    </row>
    <row r="1223" spans="1:6" ht="13.2">
      <c r="A1223" t="s">
        <v>4018</v>
      </c>
      <c r="B1223">
        <v>0</v>
      </c>
      <c r="C1223" s="44">
        <v>2950</v>
      </c>
      <c r="D1223" t="s">
        <v>291</v>
      </c>
      <c r="E1223" t="s">
        <v>256</v>
      </c>
      <c r="F1223">
        <v>4</v>
      </c>
    </row>
    <row r="1224" spans="1:6" ht="13.2">
      <c r="A1224" t="s">
        <v>4011</v>
      </c>
      <c r="B1224">
        <v>0</v>
      </c>
      <c r="C1224" s="44">
        <v>2950</v>
      </c>
      <c r="D1224" t="s">
        <v>291</v>
      </c>
      <c r="E1224" t="s">
        <v>256</v>
      </c>
      <c r="F1224">
        <v>4</v>
      </c>
    </row>
    <row r="1225" spans="1:6" ht="13.2">
      <c r="A1225" t="s">
        <v>4014</v>
      </c>
      <c r="B1225">
        <v>0</v>
      </c>
      <c r="C1225" s="44">
        <v>2950</v>
      </c>
      <c r="D1225" t="s">
        <v>291</v>
      </c>
      <c r="E1225" t="s">
        <v>256</v>
      </c>
      <c r="F1225">
        <v>4</v>
      </c>
    </row>
    <row r="1226" spans="1:6" ht="13.2">
      <c r="A1226" t="s">
        <v>4034</v>
      </c>
      <c r="B1226">
        <v>0</v>
      </c>
      <c r="C1226" s="44">
        <v>2950</v>
      </c>
      <c r="D1226" t="s">
        <v>291</v>
      </c>
      <c r="E1226" t="s">
        <v>256</v>
      </c>
      <c r="F1226">
        <v>4</v>
      </c>
    </row>
    <row r="1227" spans="1:6" ht="13.2">
      <c r="A1227" t="s">
        <v>4010</v>
      </c>
      <c r="B1227">
        <v>0</v>
      </c>
      <c r="C1227" s="44">
        <v>2950</v>
      </c>
      <c r="D1227" t="s">
        <v>291</v>
      </c>
      <c r="E1227" t="s">
        <v>256</v>
      </c>
      <c r="F1227">
        <v>4</v>
      </c>
    </row>
    <row r="1228" spans="1:6" ht="13.2">
      <c r="A1228" t="s">
        <v>4012</v>
      </c>
      <c r="B1228">
        <v>0</v>
      </c>
      <c r="C1228" s="44">
        <v>2950</v>
      </c>
      <c r="D1228" t="s">
        <v>291</v>
      </c>
      <c r="E1228" t="s">
        <v>256</v>
      </c>
      <c r="F1228">
        <v>4</v>
      </c>
    </row>
    <row r="1229" spans="1:6" ht="13.2">
      <c r="A1229" t="s">
        <v>4036</v>
      </c>
      <c r="B1229">
        <v>0</v>
      </c>
      <c r="C1229" s="44">
        <v>2950</v>
      </c>
      <c r="D1229" t="s">
        <v>291</v>
      </c>
      <c r="E1229" t="s">
        <v>256</v>
      </c>
      <c r="F1229">
        <v>4</v>
      </c>
    </row>
    <row r="1230" spans="1:6" ht="13.2">
      <c r="A1230" t="s">
        <v>4022</v>
      </c>
      <c r="B1230">
        <v>0</v>
      </c>
      <c r="C1230" s="44">
        <v>2950</v>
      </c>
      <c r="D1230" t="s">
        <v>291</v>
      </c>
      <c r="E1230" t="s">
        <v>256</v>
      </c>
      <c r="F1230">
        <v>4</v>
      </c>
    </row>
    <row r="1231" spans="1:6" ht="13.2">
      <c r="A1231" t="s">
        <v>4032</v>
      </c>
      <c r="B1231">
        <v>0</v>
      </c>
      <c r="C1231" s="44">
        <v>2950</v>
      </c>
      <c r="D1231" t="s">
        <v>291</v>
      </c>
      <c r="E1231" t="s">
        <v>256</v>
      </c>
      <c r="F1231">
        <v>4</v>
      </c>
    </row>
    <row r="1232" spans="1:6" ht="13.2">
      <c r="A1232" t="s">
        <v>4020</v>
      </c>
      <c r="B1232">
        <v>0</v>
      </c>
      <c r="C1232" s="44">
        <v>2950</v>
      </c>
      <c r="D1232" t="s">
        <v>291</v>
      </c>
      <c r="E1232" t="s">
        <v>256</v>
      </c>
      <c r="F1232">
        <v>4</v>
      </c>
    </row>
    <row r="1233" spans="1:6" ht="13.2">
      <c r="A1233" t="s">
        <v>4013</v>
      </c>
      <c r="B1233">
        <v>0</v>
      </c>
      <c r="C1233" s="44">
        <v>2950</v>
      </c>
      <c r="D1233" t="s">
        <v>291</v>
      </c>
      <c r="E1233" t="s">
        <v>256</v>
      </c>
      <c r="F1233">
        <v>4</v>
      </c>
    </row>
    <row r="1234" spans="1:6" ht="13.2">
      <c r="A1234" t="s">
        <v>4039</v>
      </c>
      <c r="B1234">
        <v>0</v>
      </c>
      <c r="C1234" s="44">
        <v>2950</v>
      </c>
      <c r="D1234" t="s">
        <v>291</v>
      </c>
      <c r="E1234" t="s">
        <v>256</v>
      </c>
      <c r="F1234">
        <v>4</v>
      </c>
    </row>
    <row r="1235" spans="1:6" ht="13.2">
      <c r="A1235" t="s">
        <v>4035</v>
      </c>
      <c r="B1235">
        <v>0</v>
      </c>
      <c r="C1235" s="44">
        <v>2950</v>
      </c>
      <c r="D1235" t="s">
        <v>291</v>
      </c>
      <c r="E1235" t="s">
        <v>256</v>
      </c>
      <c r="F1235">
        <v>4</v>
      </c>
    </row>
    <row r="1236" spans="1:6" ht="13.2">
      <c r="A1236" t="s">
        <v>4033</v>
      </c>
      <c r="B1236">
        <v>0</v>
      </c>
      <c r="C1236" s="44">
        <v>2950</v>
      </c>
      <c r="D1236" t="s">
        <v>291</v>
      </c>
      <c r="E1236" t="s">
        <v>256</v>
      </c>
      <c r="F1236">
        <v>4</v>
      </c>
    </row>
    <row r="1237" spans="1:6" ht="13.2">
      <c r="A1237" t="s">
        <v>4025</v>
      </c>
      <c r="B1237">
        <v>0</v>
      </c>
      <c r="C1237" s="44">
        <v>2950</v>
      </c>
      <c r="D1237" t="s">
        <v>291</v>
      </c>
      <c r="E1237" t="s">
        <v>256</v>
      </c>
      <c r="F1237">
        <v>4</v>
      </c>
    </row>
    <row r="1238" spans="1:6" ht="13.2">
      <c r="A1238" t="s">
        <v>4026</v>
      </c>
      <c r="B1238">
        <v>0</v>
      </c>
      <c r="C1238" s="44">
        <v>2950</v>
      </c>
      <c r="D1238" t="s">
        <v>291</v>
      </c>
      <c r="E1238" t="s">
        <v>256</v>
      </c>
      <c r="F1238">
        <v>4</v>
      </c>
    </row>
    <row r="1239" spans="1:6" ht="13.2">
      <c r="A1239" t="s">
        <v>4021</v>
      </c>
      <c r="B1239">
        <v>0</v>
      </c>
      <c r="C1239" s="44">
        <v>2950</v>
      </c>
      <c r="D1239" t="s">
        <v>291</v>
      </c>
      <c r="E1239" t="s">
        <v>256</v>
      </c>
      <c r="F1239">
        <v>4</v>
      </c>
    </row>
    <row r="1240" spans="1:6" ht="13.2">
      <c r="A1240" t="s">
        <v>4031</v>
      </c>
      <c r="B1240">
        <v>0</v>
      </c>
      <c r="C1240" s="44">
        <v>2950</v>
      </c>
      <c r="D1240" t="s">
        <v>291</v>
      </c>
      <c r="E1240" t="s">
        <v>256</v>
      </c>
      <c r="F1240">
        <v>4</v>
      </c>
    </row>
    <row r="1241" spans="1:6" ht="13.2">
      <c r="A1241" t="s">
        <v>4029</v>
      </c>
      <c r="B1241">
        <v>0</v>
      </c>
      <c r="C1241" s="44">
        <v>2950</v>
      </c>
      <c r="D1241" t="s">
        <v>291</v>
      </c>
      <c r="E1241" t="s">
        <v>256</v>
      </c>
      <c r="F1241">
        <v>4</v>
      </c>
    </row>
    <row r="1242" spans="1:6" ht="13.2">
      <c r="A1242" t="s">
        <v>4027</v>
      </c>
      <c r="B1242">
        <v>0</v>
      </c>
      <c r="C1242" s="44">
        <v>2950</v>
      </c>
      <c r="D1242" t="s">
        <v>291</v>
      </c>
      <c r="E1242" t="s">
        <v>256</v>
      </c>
      <c r="F1242">
        <v>4</v>
      </c>
    </row>
    <row r="1243" spans="1:6" ht="13.2">
      <c r="A1243" t="s">
        <v>4038</v>
      </c>
      <c r="B1243">
        <v>0</v>
      </c>
      <c r="C1243" s="44">
        <v>2950</v>
      </c>
      <c r="D1243" t="s">
        <v>291</v>
      </c>
      <c r="E1243" t="s">
        <v>256</v>
      </c>
      <c r="F1243">
        <v>4</v>
      </c>
    </row>
    <row r="1244" spans="1:6" ht="13.2">
      <c r="A1244" t="s">
        <v>4009</v>
      </c>
      <c r="B1244">
        <v>0</v>
      </c>
      <c r="C1244" s="44">
        <v>2950</v>
      </c>
      <c r="D1244" t="s">
        <v>291</v>
      </c>
      <c r="E1244" t="s">
        <v>256</v>
      </c>
      <c r="F1244">
        <v>4</v>
      </c>
    </row>
    <row r="1245" spans="1:6" ht="13.2">
      <c r="A1245" t="s">
        <v>4030</v>
      </c>
      <c r="B1245">
        <v>0</v>
      </c>
      <c r="C1245" s="44">
        <v>2950</v>
      </c>
      <c r="D1245" t="s">
        <v>291</v>
      </c>
      <c r="E1245" t="s">
        <v>256</v>
      </c>
      <c r="F1245">
        <v>4</v>
      </c>
    </row>
    <row r="1246" spans="1:6" ht="13.2">
      <c r="A1246" t="s">
        <v>4040</v>
      </c>
      <c r="B1246">
        <v>0</v>
      </c>
      <c r="C1246" s="44">
        <v>2950</v>
      </c>
      <c r="D1246" t="s">
        <v>291</v>
      </c>
      <c r="E1246" t="s">
        <v>256</v>
      </c>
      <c r="F1246">
        <v>4</v>
      </c>
    </row>
    <row r="1247" spans="1:6" ht="13.2">
      <c r="A1247" t="s">
        <v>4015</v>
      </c>
      <c r="B1247">
        <v>0</v>
      </c>
      <c r="C1247" s="44">
        <v>2950</v>
      </c>
      <c r="D1247" t="s">
        <v>291</v>
      </c>
      <c r="E1247" t="s">
        <v>256</v>
      </c>
      <c r="F1247">
        <v>4</v>
      </c>
    </row>
    <row r="1248" spans="1:6" ht="13.2">
      <c r="A1248" t="s">
        <v>4037</v>
      </c>
      <c r="B1248">
        <v>0</v>
      </c>
      <c r="C1248" s="44">
        <v>2950</v>
      </c>
      <c r="D1248" t="s">
        <v>291</v>
      </c>
      <c r="E1248" t="s">
        <v>256</v>
      </c>
      <c r="F1248">
        <v>4</v>
      </c>
    </row>
    <row r="1249" spans="1:6" ht="13.2">
      <c r="A1249" t="s">
        <v>4008</v>
      </c>
      <c r="B1249">
        <v>0</v>
      </c>
      <c r="C1249" s="44">
        <v>2950</v>
      </c>
      <c r="D1249" t="s">
        <v>291</v>
      </c>
      <c r="E1249" t="s">
        <v>256</v>
      </c>
      <c r="F1249">
        <v>4</v>
      </c>
    </row>
    <row r="1250" spans="1:6" ht="13.2">
      <c r="A1250" t="s">
        <v>1882</v>
      </c>
      <c r="B1250">
        <v>0</v>
      </c>
      <c r="C1250" s="44">
        <v>3000</v>
      </c>
      <c r="D1250" t="s">
        <v>293</v>
      </c>
      <c r="E1250" t="s">
        <v>256</v>
      </c>
      <c r="F1250">
        <v>4</v>
      </c>
    </row>
    <row r="1251" spans="1:6" ht="13.2">
      <c r="A1251" t="s">
        <v>1881</v>
      </c>
      <c r="B1251">
        <v>0</v>
      </c>
      <c r="C1251" s="44">
        <v>3000</v>
      </c>
      <c r="D1251" t="s">
        <v>293</v>
      </c>
      <c r="E1251" t="s">
        <v>256</v>
      </c>
      <c r="F1251">
        <v>4</v>
      </c>
    </row>
    <row r="1252" spans="1:6" ht="13.2">
      <c r="A1252" t="s">
        <v>1860</v>
      </c>
      <c r="B1252">
        <v>0</v>
      </c>
      <c r="C1252" s="44">
        <v>3000</v>
      </c>
      <c r="D1252" t="s">
        <v>293</v>
      </c>
      <c r="E1252" t="s">
        <v>256</v>
      </c>
      <c r="F1252">
        <v>4</v>
      </c>
    </row>
    <row r="1253" spans="1:6" ht="13.2">
      <c r="A1253" t="s">
        <v>1861</v>
      </c>
      <c r="B1253">
        <v>0</v>
      </c>
      <c r="C1253" s="44">
        <v>3000</v>
      </c>
      <c r="D1253" t="s">
        <v>293</v>
      </c>
      <c r="E1253" t="s">
        <v>256</v>
      </c>
      <c r="F1253">
        <v>4</v>
      </c>
    </row>
    <row r="1254" spans="1:6" ht="13.2">
      <c r="A1254" t="s">
        <v>1862</v>
      </c>
      <c r="B1254">
        <v>0</v>
      </c>
      <c r="C1254" s="44">
        <v>3000</v>
      </c>
      <c r="D1254" t="s">
        <v>293</v>
      </c>
      <c r="E1254" t="s">
        <v>256</v>
      </c>
      <c r="F1254">
        <v>4</v>
      </c>
    </row>
    <row r="1255" spans="1:6" ht="13.2">
      <c r="A1255" t="s">
        <v>1863</v>
      </c>
      <c r="B1255">
        <v>0</v>
      </c>
      <c r="C1255" s="44">
        <v>3000</v>
      </c>
      <c r="D1255" t="s">
        <v>293</v>
      </c>
      <c r="E1255" t="s">
        <v>256</v>
      </c>
      <c r="F1255">
        <v>4</v>
      </c>
    </row>
    <row r="1256" spans="1:6" ht="13.2">
      <c r="A1256" t="s">
        <v>1876</v>
      </c>
      <c r="B1256">
        <v>0</v>
      </c>
      <c r="C1256" s="44">
        <v>3000</v>
      </c>
      <c r="D1256" t="s">
        <v>293</v>
      </c>
      <c r="E1256" t="s">
        <v>256</v>
      </c>
      <c r="F1256">
        <v>4</v>
      </c>
    </row>
    <row r="1257" spans="1:6" ht="13.2">
      <c r="A1257" t="s">
        <v>1880</v>
      </c>
      <c r="B1257">
        <v>0</v>
      </c>
      <c r="C1257" s="44">
        <v>3000</v>
      </c>
      <c r="D1257" t="s">
        <v>293</v>
      </c>
      <c r="E1257" t="s">
        <v>256</v>
      </c>
      <c r="F1257">
        <v>4</v>
      </c>
    </row>
    <row r="1258" spans="1:6" ht="13.2">
      <c r="A1258" t="s">
        <v>1864</v>
      </c>
      <c r="B1258">
        <v>0</v>
      </c>
      <c r="C1258" s="44">
        <v>3000</v>
      </c>
      <c r="D1258" t="s">
        <v>293</v>
      </c>
      <c r="E1258" t="s">
        <v>256</v>
      </c>
      <c r="F1258">
        <v>4</v>
      </c>
    </row>
    <row r="1259" spans="1:6" ht="13.2">
      <c r="A1259" t="s">
        <v>1865</v>
      </c>
      <c r="B1259">
        <v>0</v>
      </c>
      <c r="C1259" s="44">
        <v>3000</v>
      </c>
      <c r="D1259" t="s">
        <v>293</v>
      </c>
      <c r="E1259" t="s">
        <v>256</v>
      </c>
      <c r="F1259">
        <v>4</v>
      </c>
    </row>
    <row r="1260" spans="1:6" ht="13.2">
      <c r="A1260" t="s">
        <v>1866</v>
      </c>
      <c r="B1260">
        <v>0</v>
      </c>
      <c r="C1260" s="44">
        <v>3000</v>
      </c>
      <c r="D1260" t="s">
        <v>293</v>
      </c>
      <c r="E1260" t="s">
        <v>256</v>
      </c>
      <c r="F1260">
        <v>4</v>
      </c>
    </row>
    <row r="1261" spans="1:6" ht="13.2">
      <c r="A1261" t="s">
        <v>1867</v>
      </c>
      <c r="B1261">
        <v>0</v>
      </c>
      <c r="C1261" s="44">
        <v>3000</v>
      </c>
      <c r="D1261" t="s">
        <v>293</v>
      </c>
      <c r="E1261" t="s">
        <v>256</v>
      </c>
      <c r="F1261">
        <v>4</v>
      </c>
    </row>
    <row r="1262" spans="1:6" ht="13.2">
      <c r="A1262" t="s">
        <v>1868</v>
      </c>
      <c r="B1262">
        <v>0</v>
      </c>
      <c r="C1262" s="44">
        <v>3000</v>
      </c>
      <c r="D1262" t="s">
        <v>293</v>
      </c>
      <c r="E1262" t="s">
        <v>256</v>
      </c>
      <c r="F1262">
        <v>4</v>
      </c>
    </row>
    <row r="1263" spans="1:6" ht="13.2">
      <c r="A1263" t="s">
        <v>1869</v>
      </c>
      <c r="B1263">
        <v>0</v>
      </c>
      <c r="C1263" s="44">
        <v>3000</v>
      </c>
      <c r="D1263" t="s">
        <v>293</v>
      </c>
      <c r="E1263" t="s">
        <v>256</v>
      </c>
      <c r="F1263">
        <v>4</v>
      </c>
    </row>
    <row r="1264" spans="1:6" ht="13.2">
      <c r="A1264" t="s">
        <v>1877</v>
      </c>
      <c r="B1264">
        <v>0</v>
      </c>
      <c r="C1264" s="44">
        <v>3000</v>
      </c>
      <c r="D1264" t="s">
        <v>293</v>
      </c>
      <c r="E1264" t="s">
        <v>256</v>
      </c>
      <c r="F1264">
        <v>4</v>
      </c>
    </row>
    <row r="1265" spans="1:6" ht="13.2">
      <c r="A1265" t="s">
        <v>1870</v>
      </c>
      <c r="B1265">
        <v>0</v>
      </c>
      <c r="C1265" s="44">
        <v>3000</v>
      </c>
      <c r="D1265" t="s">
        <v>293</v>
      </c>
      <c r="E1265" t="s">
        <v>256</v>
      </c>
      <c r="F1265">
        <v>4</v>
      </c>
    </row>
    <row r="1266" spans="1:6" ht="13.2">
      <c r="A1266" t="s">
        <v>1883</v>
      </c>
      <c r="B1266">
        <v>0</v>
      </c>
      <c r="C1266" s="44">
        <v>3000</v>
      </c>
      <c r="D1266" t="s">
        <v>293</v>
      </c>
      <c r="E1266" t="s">
        <v>256</v>
      </c>
      <c r="F1266">
        <v>4</v>
      </c>
    </row>
    <row r="1267" spans="1:6" ht="13.2">
      <c r="A1267" t="s">
        <v>1879</v>
      </c>
      <c r="B1267">
        <v>0</v>
      </c>
      <c r="C1267" s="44">
        <v>3000</v>
      </c>
      <c r="D1267" t="s">
        <v>293</v>
      </c>
      <c r="E1267" t="s">
        <v>256</v>
      </c>
      <c r="F1267">
        <v>4</v>
      </c>
    </row>
    <row r="1268" spans="1:6" ht="13.2">
      <c r="A1268" t="s">
        <v>1871</v>
      </c>
      <c r="B1268">
        <v>0</v>
      </c>
      <c r="C1268" s="44">
        <v>3000</v>
      </c>
      <c r="D1268" t="s">
        <v>293</v>
      </c>
      <c r="E1268" t="s">
        <v>256</v>
      </c>
      <c r="F1268">
        <v>4</v>
      </c>
    </row>
    <row r="1269" spans="1:6" ht="13.2">
      <c r="A1269" t="s">
        <v>1884</v>
      </c>
      <c r="B1269">
        <v>0</v>
      </c>
      <c r="C1269" s="44">
        <v>3000</v>
      </c>
      <c r="D1269" t="s">
        <v>293</v>
      </c>
      <c r="E1269" t="s">
        <v>256</v>
      </c>
      <c r="F1269">
        <v>4</v>
      </c>
    </row>
    <row r="1270" spans="1:6" ht="13.2">
      <c r="A1270" t="s">
        <v>1872</v>
      </c>
      <c r="B1270">
        <v>0</v>
      </c>
      <c r="C1270" s="44">
        <v>3000</v>
      </c>
      <c r="D1270" t="s">
        <v>293</v>
      </c>
      <c r="E1270" t="s">
        <v>256</v>
      </c>
      <c r="F1270">
        <v>4</v>
      </c>
    </row>
    <row r="1271" spans="1:6" ht="13.2">
      <c r="A1271" t="s">
        <v>1873</v>
      </c>
      <c r="B1271">
        <v>0</v>
      </c>
      <c r="C1271" s="44">
        <v>3000</v>
      </c>
      <c r="D1271" t="s">
        <v>293</v>
      </c>
      <c r="E1271" t="s">
        <v>256</v>
      </c>
      <c r="F1271">
        <v>4</v>
      </c>
    </row>
    <row r="1272" spans="1:6" ht="13.2">
      <c r="A1272" t="s">
        <v>1874</v>
      </c>
      <c r="B1272">
        <v>0</v>
      </c>
      <c r="C1272" s="44">
        <v>3000</v>
      </c>
      <c r="D1272" t="s">
        <v>293</v>
      </c>
      <c r="E1272" t="s">
        <v>256</v>
      </c>
      <c r="F1272">
        <v>4</v>
      </c>
    </row>
    <row r="1273" spans="1:6" ht="13.2">
      <c r="A1273" t="s">
        <v>1875</v>
      </c>
      <c r="B1273">
        <v>0</v>
      </c>
      <c r="C1273" s="44">
        <v>3000</v>
      </c>
      <c r="D1273" t="s">
        <v>293</v>
      </c>
      <c r="E1273" t="s">
        <v>256</v>
      </c>
      <c r="F1273">
        <v>4</v>
      </c>
    </row>
    <row r="1274" spans="1:6" ht="13.2">
      <c r="A1274" t="s">
        <v>1878</v>
      </c>
      <c r="B1274">
        <v>0</v>
      </c>
      <c r="C1274" s="44">
        <v>3000</v>
      </c>
      <c r="D1274" t="s">
        <v>293</v>
      </c>
      <c r="E1274" t="s">
        <v>256</v>
      </c>
      <c r="F1274">
        <v>4</v>
      </c>
    </row>
    <row r="1275" spans="1:6" ht="13.2">
      <c r="A1275" t="s">
        <v>4677</v>
      </c>
      <c r="B1275">
        <v>0</v>
      </c>
      <c r="C1275" s="44">
        <v>3000</v>
      </c>
      <c r="D1275" t="s">
        <v>291</v>
      </c>
      <c r="E1275" t="s">
        <v>256</v>
      </c>
      <c r="F1275">
        <v>4</v>
      </c>
    </row>
    <row r="1276" spans="1:6" ht="13.2">
      <c r="A1276" t="s">
        <v>4676</v>
      </c>
      <c r="B1276">
        <v>0</v>
      </c>
      <c r="C1276" s="44">
        <v>3000</v>
      </c>
      <c r="D1276" t="s">
        <v>291</v>
      </c>
      <c r="E1276" t="s">
        <v>256</v>
      </c>
      <c r="F1276">
        <v>4</v>
      </c>
    </row>
    <row r="1277" spans="1:6" ht="13.2">
      <c r="A1277" t="s">
        <v>4655</v>
      </c>
      <c r="B1277">
        <v>0</v>
      </c>
      <c r="C1277" s="44">
        <v>3000</v>
      </c>
      <c r="D1277" t="s">
        <v>291</v>
      </c>
      <c r="E1277" t="s">
        <v>256</v>
      </c>
      <c r="F1277">
        <v>4</v>
      </c>
    </row>
    <row r="1278" spans="1:6" ht="13.2">
      <c r="A1278" t="s">
        <v>4656</v>
      </c>
      <c r="B1278">
        <v>0</v>
      </c>
      <c r="C1278" s="44">
        <v>3000</v>
      </c>
      <c r="D1278" t="s">
        <v>291</v>
      </c>
      <c r="E1278" t="s">
        <v>256</v>
      </c>
      <c r="F1278">
        <v>4</v>
      </c>
    </row>
    <row r="1279" spans="1:6" ht="13.2">
      <c r="A1279" t="s">
        <v>4657</v>
      </c>
      <c r="B1279">
        <v>0</v>
      </c>
      <c r="C1279" s="44">
        <v>3000</v>
      </c>
      <c r="D1279" t="s">
        <v>291</v>
      </c>
      <c r="E1279" t="s">
        <v>256</v>
      </c>
      <c r="F1279">
        <v>4</v>
      </c>
    </row>
    <row r="1280" spans="1:6" ht="13.2">
      <c r="A1280" t="s">
        <v>4658</v>
      </c>
      <c r="B1280">
        <v>0</v>
      </c>
      <c r="C1280" s="44">
        <v>3000</v>
      </c>
      <c r="D1280" t="s">
        <v>291</v>
      </c>
      <c r="E1280" t="s">
        <v>256</v>
      </c>
      <c r="F1280">
        <v>4</v>
      </c>
    </row>
    <row r="1281" spans="1:6" ht="13.2">
      <c r="A1281" t="s">
        <v>4671</v>
      </c>
      <c r="B1281">
        <v>0</v>
      </c>
      <c r="C1281" s="44">
        <v>3000</v>
      </c>
      <c r="D1281" t="s">
        <v>291</v>
      </c>
      <c r="E1281" t="s">
        <v>256</v>
      </c>
      <c r="F1281">
        <v>4</v>
      </c>
    </row>
    <row r="1282" spans="1:6" ht="13.2">
      <c r="A1282" t="s">
        <v>4675</v>
      </c>
      <c r="B1282">
        <v>0</v>
      </c>
      <c r="C1282" s="44">
        <v>3000</v>
      </c>
      <c r="D1282" t="s">
        <v>291</v>
      </c>
      <c r="E1282" t="s">
        <v>256</v>
      </c>
      <c r="F1282">
        <v>4</v>
      </c>
    </row>
    <row r="1283" spans="1:6" ht="13.2">
      <c r="A1283" t="s">
        <v>4659</v>
      </c>
      <c r="B1283">
        <v>0</v>
      </c>
      <c r="C1283" s="44">
        <v>3000</v>
      </c>
      <c r="D1283" t="s">
        <v>291</v>
      </c>
      <c r="E1283" t="s">
        <v>256</v>
      </c>
      <c r="F1283">
        <v>4</v>
      </c>
    </row>
    <row r="1284" spans="1:6" ht="13.2">
      <c r="A1284" t="s">
        <v>4660</v>
      </c>
      <c r="B1284">
        <v>0</v>
      </c>
      <c r="C1284" s="44">
        <v>3000</v>
      </c>
      <c r="D1284" t="s">
        <v>291</v>
      </c>
      <c r="E1284" t="s">
        <v>256</v>
      </c>
      <c r="F1284">
        <v>4</v>
      </c>
    </row>
    <row r="1285" spans="1:6" ht="13.2">
      <c r="A1285" t="s">
        <v>4661</v>
      </c>
      <c r="B1285">
        <v>0</v>
      </c>
      <c r="C1285" s="44">
        <v>3000</v>
      </c>
      <c r="D1285" t="s">
        <v>291</v>
      </c>
      <c r="E1285" t="s">
        <v>256</v>
      </c>
      <c r="F1285">
        <v>4</v>
      </c>
    </row>
    <row r="1286" spans="1:6" ht="13.2">
      <c r="A1286" t="s">
        <v>4662</v>
      </c>
      <c r="B1286">
        <v>0</v>
      </c>
      <c r="C1286" s="44">
        <v>3000</v>
      </c>
      <c r="D1286" t="s">
        <v>291</v>
      </c>
      <c r="E1286" t="s">
        <v>256</v>
      </c>
      <c r="F1286">
        <v>4</v>
      </c>
    </row>
    <row r="1287" spans="1:6" ht="13.2">
      <c r="A1287" t="s">
        <v>4663</v>
      </c>
      <c r="B1287">
        <v>0</v>
      </c>
      <c r="C1287" s="44">
        <v>3000</v>
      </c>
      <c r="D1287" t="s">
        <v>291</v>
      </c>
      <c r="E1287" t="s">
        <v>256</v>
      </c>
      <c r="F1287">
        <v>4</v>
      </c>
    </row>
    <row r="1288" spans="1:6" ht="13.2">
      <c r="A1288" t="s">
        <v>4664</v>
      </c>
      <c r="B1288">
        <v>0</v>
      </c>
      <c r="C1288" s="44">
        <v>3000</v>
      </c>
      <c r="D1288" t="s">
        <v>291</v>
      </c>
      <c r="E1288" t="s">
        <v>256</v>
      </c>
      <c r="F1288">
        <v>4</v>
      </c>
    </row>
    <row r="1289" spans="1:6" ht="13.2">
      <c r="A1289" t="s">
        <v>4672</v>
      </c>
      <c r="B1289">
        <v>0</v>
      </c>
      <c r="C1289" s="44">
        <v>3000</v>
      </c>
      <c r="D1289" t="s">
        <v>291</v>
      </c>
      <c r="E1289" t="s">
        <v>256</v>
      </c>
      <c r="F1289">
        <v>4</v>
      </c>
    </row>
    <row r="1290" spans="1:6" ht="13.2">
      <c r="A1290" t="s">
        <v>4665</v>
      </c>
      <c r="B1290">
        <v>0</v>
      </c>
      <c r="C1290" s="44">
        <v>3000</v>
      </c>
      <c r="D1290" t="s">
        <v>291</v>
      </c>
      <c r="E1290" t="s">
        <v>256</v>
      </c>
      <c r="F1290">
        <v>4</v>
      </c>
    </row>
    <row r="1291" spans="1:6" ht="13.2">
      <c r="A1291" t="s">
        <v>4678</v>
      </c>
      <c r="B1291">
        <v>0</v>
      </c>
      <c r="C1291" s="44">
        <v>3000</v>
      </c>
      <c r="D1291" t="s">
        <v>291</v>
      </c>
      <c r="E1291" t="s">
        <v>256</v>
      </c>
      <c r="F1291">
        <v>4</v>
      </c>
    </row>
    <row r="1292" spans="1:6" ht="13.2">
      <c r="A1292" t="s">
        <v>4674</v>
      </c>
      <c r="B1292">
        <v>0</v>
      </c>
      <c r="C1292" s="44">
        <v>3000</v>
      </c>
      <c r="D1292" t="s">
        <v>291</v>
      </c>
      <c r="E1292" t="s">
        <v>256</v>
      </c>
      <c r="F1292">
        <v>4</v>
      </c>
    </row>
    <row r="1293" spans="1:6" ht="13.2">
      <c r="A1293" t="s">
        <v>4666</v>
      </c>
      <c r="B1293">
        <v>0</v>
      </c>
      <c r="C1293" s="44">
        <v>3000</v>
      </c>
      <c r="D1293" t="s">
        <v>291</v>
      </c>
      <c r="E1293" t="s">
        <v>256</v>
      </c>
      <c r="F1293">
        <v>4</v>
      </c>
    </row>
    <row r="1294" spans="1:6" ht="13.2">
      <c r="A1294" t="s">
        <v>4679</v>
      </c>
      <c r="B1294">
        <v>0</v>
      </c>
      <c r="C1294" s="44">
        <v>3000</v>
      </c>
      <c r="D1294" t="s">
        <v>291</v>
      </c>
      <c r="E1294" t="s">
        <v>256</v>
      </c>
      <c r="F1294">
        <v>4</v>
      </c>
    </row>
    <row r="1295" spans="1:6" ht="13.2">
      <c r="A1295" t="s">
        <v>4667</v>
      </c>
      <c r="B1295">
        <v>0</v>
      </c>
      <c r="C1295" s="44">
        <v>3000</v>
      </c>
      <c r="D1295" t="s">
        <v>291</v>
      </c>
      <c r="E1295" t="s">
        <v>256</v>
      </c>
      <c r="F1295">
        <v>4</v>
      </c>
    </row>
    <row r="1296" spans="1:6" ht="13.2">
      <c r="A1296" t="s">
        <v>4668</v>
      </c>
      <c r="B1296">
        <v>0</v>
      </c>
      <c r="C1296" s="44">
        <v>3000</v>
      </c>
      <c r="D1296" t="s">
        <v>291</v>
      </c>
      <c r="E1296" t="s">
        <v>256</v>
      </c>
      <c r="F1296">
        <v>4</v>
      </c>
    </row>
    <row r="1297" spans="1:6" ht="13.2">
      <c r="A1297" t="s">
        <v>4669</v>
      </c>
      <c r="B1297">
        <v>0</v>
      </c>
      <c r="C1297" s="44">
        <v>3000</v>
      </c>
      <c r="D1297" t="s">
        <v>291</v>
      </c>
      <c r="E1297" t="s">
        <v>256</v>
      </c>
      <c r="F1297">
        <v>4</v>
      </c>
    </row>
    <row r="1298" spans="1:6" ht="13.2">
      <c r="A1298" t="s">
        <v>4670</v>
      </c>
      <c r="B1298">
        <v>0</v>
      </c>
      <c r="C1298" s="44">
        <v>3000</v>
      </c>
      <c r="D1298" t="s">
        <v>291</v>
      </c>
      <c r="E1298" t="s">
        <v>256</v>
      </c>
      <c r="F1298">
        <v>4</v>
      </c>
    </row>
    <row r="1299" spans="1:6" ht="13.2">
      <c r="A1299" t="s">
        <v>4673</v>
      </c>
      <c r="B1299">
        <v>0</v>
      </c>
      <c r="C1299" s="44">
        <v>3000</v>
      </c>
      <c r="D1299" t="s">
        <v>291</v>
      </c>
      <c r="E1299" t="s">
        <v>256</v>
      </c>
      <c r="F1299">
        <v>4</v>
      </c>
    </row>
    <row r="1300" spans="1:6" ht="13.2">
      <c r="A1300" t="s">
        <v>3239</v>
      </c>
      <c r="B1300">
        <v>220</v>
      </c>
      <c r="C1300" s="44">
        <v>1380</v>
      </c>
      <c r="D1300" t="s">
        <v>291</v>
      </c>
      <c r="E1300" t="s">
        <v>696</v>
      </c>
      <c r="F1300">
        <v>10</v>
      </c>
    </row>
    <row r="1301" spans="1:6" ht="13.2">
      <c r="A1301" t="s">
        <v>3238</v>
      </c>
      <c r="B1301">
        <v>220</v>
      </c>
      <c r="C1301" s="44">
        <v>1380</v>
      </c>
      <c r="D1301" t="s">
        <v>291</v>
      </c>
      <c r="E1301" t="s">
        <v>696</v>
      </c>
      <c r="F1301">
        <v>10</v>
      </c>
    </row>
    <row r="1302" spans="1:6" ht="13.2">
      <c r="A1302" t="s">
        <v>3240</v>
      </c>
      <c r="B1302">
        <v>220</v>
      </c>
      <c r="C1302" s="44">
        <v>1380</v>
      </c>
      <c r="D1302" t="s">
        <v>291</v>
      </c>
      <c r="E1302" t="s">
        <v>696</v>
      </c>
      <c r="F1302">
        <v>10</v>
      </c>
    </row>
    <row r="1303" spans="1:6" ht="13.2">
      <c r="A1303" t="s">
        <v>1113</v>
      </c>
      <c r="B1303">
        <v>0</v>
      </c>
      <c r="C1303" s="44" t="s">
        <v>203</v>
      </c>
      <c r="D1303" t="s">
        <v>293</v>
      </c>
      <c r="E1303" t="s">
        <v>257</v>
      </c>
      <c r="F1303">
        <v>4</v>
      </c>
    </row>
    <row r="1304" spans="1:6" ht="13.2">
      <c r="A1304" t="s">
        <v>1114</v>
      </c>
      <c r="B1304">
        <v>0</v>
      </c>
      <c r="C1304" s="44" t="s">
        <v>203</v>
      </c>
      <c r="D1304" t="s">
        <v>293</v>
      </c>
      <c r="E1304" t="s">
        <v>257</v>
      </c>
      <c r="F1304">
        <v>4</v>
      </c>
    </row>
    <row r="1305" spans="1:6" ht="13.2">
      <c r="A1305" t="s">
        <v>1115</v>
      </c>
      <c r="B1305">
        <v>0</v>
      </c>
      <c r="C1305" s="44" t="s">
        <v>203</v>
      </c>
      <c r="D1305" t="s">
        <v>293</v>
      </c>
      <c r="E1305" t="s">
        <v>257</v>
      </c>
      <c r="F1305">
        <v>4</v>
      </c>
    </row>
    <row r="1306" spans="1:6" ht="13.2">
      <c r="A1306" t="s">
        <v>1116</v>
      </c>
      <c r="B1306">
        <v>0</v>
      </c>
      <c r="C1306" s="44" t="s">
        <v>203</v>
      </c>
      <c r="D1306" t="s">
        <v>293</v>
      </c>
      <c r="E1306" t="s">
        <v>257</v>
      </c>
      <c r="F1306">
        <v>4</v>
      </c>
    </row>
    <row r="1307" spans="1:6" ht="13.2">
      <c r="A1307" t="s">
        <v>1117</v>
      </c>
      <c r="B1307">
        <v>0</v>
      </c>
      <c r="C1307" s="44" t="s">
        <v>203</v>
      </c>
      <c r="D1307" t="s">
        <v>293</v>
      </c>
      <c r="E1307" t="s">
        <v>257</v>
      </c>
      <c r="F1307">
        <v>4</v>
      </c>
    </row>
    <row r="1308" spans="1:6" ht="13.2">
      <c r="A1308" t="s">
        <v>1118</v>
      </c>
      <c r="B1308">
        <v>0</v>
      </c>
      <c r="C1308" s="44" t="s">
        <v>203</v>
      </c>
      <c r="D1308" t="s">
        <v>293</v>
      </c>
      <c r="E1308" t="s">
        <v>257</v>
      </c>
      <c r="F1308">
        <v>4</v>
      </c>
    </row>
    <row r="1309" spans="1:6" ht="13.2">
      <c r="A1309" t="s">
        <v>1119</v>
      </c>
      <c r="B1309">
        <v>0</v>
      </c>
      <c r="C1309" s="44" t="s">
        <v>203</v>
      </c>
      <c r="D1309" t="s">
        <v>293</v>
      </c>
      <c r="E1309" t="s">
        <v>257</v>
      </c>
      <c r="F1309">
        <v>4</v>
      </c>
    </row>
    <row r="1310" spans="1:6" ht="13.2">
      <c r="A1310" t="s">
        <v>1120</v>
      </c>
      <c r="B1310">
        <v>0</v>
      </c>
      <c r="C1310" s="44" t="s">
        <v>203</v>
      </c>
      <c r="D1310" t="s">
        <v>293</v>
      </c>
      <c r="E1310" t="s">
        <v>257</v>
      </c>
      <c r="F1310">
        <v>4</v>
      </c>
    </row>
    <row r="1311" spans="1:6" ht="13.2">
      <c r="A1311" t="s">
        <v>1121</v>
      </c>
      <c r="B1311">
        <v>0</v>
      </c>
      <c r="C1311" s="44">
        <v>3100</v>
      </c>
      <c r="D1311" t="s">
        <v>293</v>
      </c>
      <c r="E1311" t="s">
        <v>412</v>
      </c>
      <c r="F1311">
        <v>5</v>
      </c>
    </row>
    <row r="1312" spans="1:6" ht="13.2">
      <c r="A1312" t="s">
        <v>1122</v>
      </c>
      <c r="B1312">
        <v>0</v>
      </c>
      <c r="C1312" s="44">
        <v>3100</v>
      </c>
      <c r="D1312" t="s">
        <v>293</v>
      </c>
      <c r="E1312" t="s">
        <v>412</v>
      </c>
      <c r="F1312">
        <v>5</v>
      </c>
    </row>
    <row r="1313" spans="1:6" ht="13.2">
      <c r="A1313" t="s">
        <v>1123</v>
      </c>
      <c r="B1313">
        <v>0</v>
      </c>
      <c r="C1313" s="44">
        <v>3100</v>
      </c>
      <c r="D1313" t="s">
        <v>293</v>
      </c>
      <c r="E1313" t="s">
        <v>412</v>
      </c>
      <c r="F1313">
        <v>5</v>
      </c>
    </row>
    <row r="1314" spans="1:6" ht="13.2">
      <c r="A1314" t="s">
        <v>1124</v>
      </c>
      <c r="B1314">
        <v>0</v>
      </c>
      <c r="C1314" s="44">
        <v>3100</v>
      </c>
      <c r="D1314" t="s">
        <v>293</v>
      </c>
      <c r="E1314" t="s">
        <v>412</v>
      </c>
      <c r="F1314">
        <v>5</v>
      </c>
    </row>
    <row r="1315" spans="1:6" ht="13.2">
      <c r="A1315" t="s">
        <v>1125</v>
      </c>
      <c r="B1315">
        <v>0</v>
      </c>
      <c r="C1315" s="44">
        <v>3100</v>
      </c>
      <c r="D1315" t="s">
        <v>293</v>
      </c>
      <c r="E1315" t="s">
        <v>412</v>
      </c>
      <c r="F1315">
        <v>5</v>
      </c>
    </row>
    <row r="1316" spans="1:6" ht="13.2">
      <c r="A1316" t="s">
        <v>1126</v>
      </c>
      <c r="B1316">
        <v>0</v>
      </c>
      <c r="C1316" s="44">
        <v>3100</v>
      </c>
      <c r="D1316" t="s">
        <v>293</v>
      </c>
      <c r="E1316" t="s">
        <v>412</v>
      </c>
      <c r="F1316">
        <v>5</v>
      </c>
    </row>
    <row r="1317" spans="1:6" ht="13.2">
      <c r="A1317" t="s">
        <v>1127</v>
      </c>
      <c r="B1317">
        <v>0</v>
      </c>
      <c r="C1317" s="44">
        <v>3100</v>
      </c>
      <c r="D1317" t="s">
        <v>293</v>
      </c>
      <c r="E1317" t="s">
        <v>412</v>
      </c>
      <c r="F1317">
        <v>5</v>
      </c>
    </row>
    <row r="1318" spans="1:6" ht="13.2">
      <c r="A1318" t="s">
        <v>1128</v>
      </c>
      <c r="B1318">
        <v>0</v>
      </c>
      <c r="C1318" s="44">
        <v>3100</v>
      </c>
      <c r="D1318" t="s">
        <v>293</v>
      </c>
      <c r="E1318" t="s">
        <v>412</v>
      </c>
      <c r="F1318">
        <v>5</v>
      </c>
    </row>
    <row r="1319" spans="1:6" ht="13.2">
      <c r="A1319" t="s">
        <v>1129</v>
      </c>
      <c r="B1319">
        <v>0</v>
      </c>
      <c r="C1319" s="44">
        <v>3100</v>
      </c>
      <c r="D1319" t="s">
        <v>293</v>
      </c>
      <c r="E1319" t="s">
        <v>412</v>
      </c>
      <c r="F1319">
        <v>5</v>
      </c>
    </row>
    <row r="1320" spans="1:6" ht="13.2">
      <c r="A1320" t="s">
        <v>1130</v>
      </c>
      <c r="B1320">
        <v>0</v>
      </c>
      <c r="C1320" s="44">
        <v>3100</v>
      </c>
      <c r="D1320" t="s">
        <v>293</v>
      </c>
      <c r="E1320" t="s">
        <v>412</v>
      </c>
      <c r="F1320">
        <v>5</v>
      </c>
    </row>
    <row r="1321" spans="1:6" ht="13.2">
      <c r="A1321" t="s">
        <v>1131</v>
      </c>
      <c r="B1321">
        <v>0</v>
      </c>
      <c r="C1321" s="44">
        <v>3100</v>
      </c>
      <c r="D1321" t="s">
        <v>293</v>
      </c>
      <c r="E1321" t="s">
        <v>412</v>
      </c>
      <c r="F1321">
        <v>5</v>
      </c>
    </row>
    <row r="1322" spans="1:6" ht="13.2">
      <c r="A1322" t="s">
        <v>4412</v>
      </c>
      <c r="B1322">
        <v>0</v>
      </c>
      <c r="C1322" s="44">
        <v>1600</v>
      </c>
      <c r="D1322" t="s">
        <v>291</v>
      </c>
      <c r="E1322" t="s">
        <v>256</v>
      </c>
      <c r="F1322">
        <v>4</v>
      </c>
    </row>
    <row r="1323" spans="1:6" ht="13.2">
      <c r="A1323" t="s">
        <v>4409</v>
      </c>
      <c r="B1323">
        <v>0</v>
      </c>
      <c r="C1323" s="44">
        <v>1600</v>
      </c>
      <c r="D1323" t="s">
        <v>291</v>
      </c>
      <c r="E1323" t="s">
        <v>256</v>
      </c>
      <c r="F1323">
        <v>4</v>
      </c>
    </row>
    <row r="1324" spans="1:6" ht="13.2">
      <c r="A1324" t="s">
        <v>4410</v>
      </c>
      <c r="B1324">
        <v>0</v>
      </c>
      <c r="C1324" s="44">
        <v>1600</v>
      </c>
      <c r="D1324" t="s">
        <v>291</v>
      </c>
      <c r="E1324" t="s">
        <v>256</v>
      </c>
      <c r="F1324">
        <v>4</v>
      </c>
    </row>
    <row r="1325" spans="1:6" ht="13.2">
      <c r="A1325" t="s">
        <v>4411</v>
      </c>
      <c r="B1325">
        <v>0</v>
      </c>
      <c r="C1325" s="44">
        <v>1600</v>
      </c>
      <c r="D1325" t="s">
        <v>291</v>
      </c>
      <c r="E1325" t="s">
        <v>256</v>
      </c>
      <c r="F1325">
        <v>4</v>
      </c>
    </row>
    <row r="1326" spans="1:6" ht="13.2">
      <c r="A1326" t="s">
        <v>4413</v>
      </c>
      <c r="B1326">
        <v>0</v>
      </c>
      <c r="C1326" s="44">
        <v>1600</v>
      </c>
      <c r="D1326" t="s">
        <v>291</v>
      </c>
      <c r="E1326" t="s">
        <v>256</v>
      </c>
      <c r="F1326">
        <v>4</v>
      </c>
    </row>
    <row r="1327" spans="1:6" ht="13.2">
      <c r="A1327" t="s">
        <v>1709</v>
      </c>
      <c r="B1327">
        <v>0</v>
      </c>
      <c r="C1327" s="44" t="s">
        <v>204</v>
      </c>
      <c r="D1327" t="s">
        <v>293</v>
      </c>
      <c r="E1327" t="s">
        <v>232</v>
      </c>
      <c r="F1327">
        <v>2</v>
      </c>
    </row>
    <row r="1328" spans="1:6" ht="13.2">
      <c r="A1328" t="s">
        <v>1772</v>
      </c>
      <c r="B1328">
        <v>540</v>
      </c>
      <c r="C1328" s="44">
        <v>3000</v>
      </c>
      <c r="D1328" t="s">
        <v>293</v>
      </c>
      <c r="E1328" t="s">
        <v>256</v>
      </c>
      <c r="F1328">
        <v>4</v>
      </c>
    </row>
    <row r="1329" spans="1:6" ht="13.2">
      <c r="A1329" t="s">
        <v>1771</v>
      </c>
      <c r="B1329">
        <v>540</v>
      </c>
      <c r="C1329" s="44">
        <v>3000</v>
      </c>
      <c r="D1329" t="s">
        <v>293</v>
      </c>
      <c r="E1329" t="s">
        <v>256</v>
      </c>
      <c r="F1329">
        <v>4</v>
      </c>
    </row>
    <row r="1330" spans="1:6" ht="13.2">
      <c r="A1330" t="s">
        <v>1773</v>
      </c>
      <c r="B1330">
        <v>540</v>
      </c>
      <c r="C1330" s="44">
        <v>3000</v>
      </c>
      <c r="D1330" t="s">
        <v>293</v>
      </c>
      <c r="E1330" t="s">
        <v>256</v>
      </c>
      <c r="F1330">
        <v>4</v>
      </c>
    </row>
    <row r="1331" spans="1:6" ht="13.2">
      <c r="A1331" t="s">
        <v>2120</v>
      </c>
      <c r="B1331">
        <v>0</v>
      </c>
      <c r="C1331" s="44">
        <v>1400</v>
      </c>
      <c r="D1331" t="s">
        <v>291</v>
      </c>
      <c r="E1331" t="s">
        <v>521</v>
      </c>
      <c r="F1331">
        <v>4</v>
      </c>
    </row>
    <row r="1332" spans="1:6" ht="13.2">
      <c r="A1332" t="s">
        <v>2121</v>
      </c>
      <c r="B1332">
        <v>0</v>
      </c>
      <c r="C1332" s="44">
        <v>1400</v>
      </c>
      <c r="D1332" t="s">
        <v>291</v>
      </c>
      <c r="E1332" t="s">
        <v>521</v>
      </c>
      <c r="F1332">
        <v>4</v>
      </c>
    </row>
    <row r="1333" spans="1:6" ht="13.2">
      <c r="A1333" t="s">
        <v>2122</v>
      </c>
      <c r="B1333">
        <v>0</v>
      </c>
      <c r="C1333" s="44">
        <v>1400</v>
      </c>
      <c r="D1333" t="s">
        <v>291</v>
      </c>
      <c r="E1333" t="s">
        <v>521</v>
      </c>
      <c r="F1333">
        <v>4</v>
      </c>
    </row>
    <row r="1334" spans="1:6" ht="13.2">
      <c r="A1334" t="s">
        <v>2123</v>
      </c>
      <c r="B1334">
        <v>0</v>
      </c>
      <c r="C1334" s="44">
        <v>1400</v>
      </c>
      <c r="D1334" t="s">
        <v>291</v>
      </c>
      <c r="E1334" t="s">
        <v>521</v>
      </c>
      <c r="F1334">
        <v>4</v>
      </c>
    </row>
    <row r="1335" spans="1:6" ht="13.2">
      <c r="A1335" t="s">
        <v>2124</v>
      </c>
      <c r="B1335">
        <v>0</v>
      </c>
      <c r="C1335" s="44">
        <v>1400</v>
      </c>
      <c r="D1335" t="s">
        <v>291</v>
      </c>
      <c r="E1335" t="s">
        <v>521</v>
      </c>
      <c r="F1335">
        <v>4</v>
      </c>
    </row>
    <row r="1336" spans="1:6" ht="13.2">
      <c r="A1336" t="s">
        <v>2125</v>
      </c>
      <c r="B1336">
        <v>0</v>
      </c>
      <c r="C1336" s="44">
        <v>1400</v>
      </c>
      <c r="D1336" t="s">
        <v>291</v>
      </c>
      <c r="E1336" t="s">
        <v>521</v>
      </c>
      <c r="F1336">
        <v>4</v>
      </c>
    </row>
    <row r="1337" spans="1:6" ht="13.2">
      <c r="A1337" t="s">
        <v>2126</v>
      </c>
      <c r="B1337">
        <v>0</v>
      </c>
      <c r="C1337" s="44">
        <v>1400</v>
      </c>
      <c r="D1337" t="s">
        <v>291</v>
      </c>
      <c r="E1337" t="s">
        <v>521</v>
      </c>
      <c r="F1337">
        <v>4</v>
      </c>
    </row>
    <row r="1338" spans="1:6" ht="13.2">
      <c r="A1338" t="s">
        <v>2127</v>
      </c>
      <c r="B1338">
        <v>0</v>
      </c>
      <c r="C1338" s="44">
        <v>1400</v>
      </c>
      <c r="D1338" t="s">
        <v>291</v>
      </c>
      <c r="E1338" t="s">
        <v>521</v>
      </c>
      <c r="F1338">
        <v>4</v>
      </c>
    </row>
    <row r="1339" spans="1:6" ht="13.2">
      <c r="A1339" t="s">
        <v>2128</v>
      </c>
      <c r="B1339">
        <v>0</v>
      </c>
      <c r="C1339" s="44">
        <v>1400</v>
      </c>
      <c r="D1339" t="s">
        <v>291</v>
      </c>
      <c r="E1339" t="s">
        <v>521</v>
      </c>
      <c r="F1339">
        <v>4</v>
      </c>
    </row>
    <row r="1340" spans="1:6" ht="13.2">
      <c r="A1340" t="s">
        <v>2129</v>
      </c>
      <c r="B1340">
        <v>0</v>
      </c>
      <c r="C1340" s="44">
        <v>1400</v>
      </c>
      <c r="D1340" t="s">
        <v>291</v>
      </c>
      <c r="E1340" t="s">
        <v>521</v>
      </c>
      <c r="F1340">
        <v>4</v>
      </c>
    </row>
    <row r="1341" spans="1:6" ht="13.2">
      <c r="A1341" t="s">
        <v>2130</v>
      </c>
      <c r="B1341">
        <v>0</v>
      </c>
      <c r="C1341" s="44">
        <v>1400</v>
      </c>
      <c r="D1341" t="s">
        <v>291</v>
      </c>
      <c r="E1341" t="s">
        <v>521</v>
      </c>
      <c r="F1341">
        <v>4</v>
      </c>
    </row>
    <row r="1342" spans="1:6" ht="13.2">
      <c r="A1342" t="s">
        <v>2131</v>
      </c>
      <c r="B1342">
        <v>0</v>
      </c>
      <c r="C1342" s="44">
        <v>1400</v>
      </c>
      <c r="D1342" t="s">
        <v>291</v>
      </c>
      <c r="E1342" t="s">
        <v>521</v>
      </c>
      <c r="F1342">
        <v>4</v>
      </c>
    </row>
    <row r="1343" spans="1:6" ht="13.2">
      <c r="A1343" t="s">
        <v>2132</v>
      </c>
      <c r="B1343">
        <v>0</v>
      </c>
      <c r="C1343" s="44">
        <v>1400</v>
      </c>
      <c r="D1343" t="s">
        <v>291</v>
      </c>
      <c r="E1343" t="s">
        <v>521</v>
      </c>
      <c r="F1343">
        <v>4</v>
      </c>
    </row>
    <row r="1344" spans="1:6" ht="13.2">
      <c r="A1344" t="s">
        <v>2133</v>
      </c>
      <c r="B1344">
        <v>0</v>
      </c>
      <c r="C1344" s="44">
        <v>1400</v>
      </c>
      <c r="D1344" t="s">
        <v>291</v>
      </c>
      <c r="E1344" t="s">
        <v>521</v>
      </c>
      <c r="F1344">
        <v>4</v>
      </c>
    </row>
    <row r="1345" spans="1:6" ht="13.2">
      <c r="A1345" t="s">
        <v>5477</v>
      </c>
      <c r="B1345">
        <v>450</v>
      </c>
      <c r="C1345" s="44">
        <v>3000</v>
      </c>
      <c r="D1345" t="s">
        <v>293</v>
      </c>
      <c r="E1345" t="s">
        <v>5476</v>
      </c>
      <c r="F1345">
        <v>4</v>
      </c>
    </row>
    <row r="1346" spans="1:6" ht="13.2">
      <c r="A1346" t="s">
        <v>5478</v>
      </c>
      <c r="B1346">
        <v>450</v>
      </c>
      <c r="C1346" s="44">
        <v>3000</v>
      </c>
      <c r="D1346" t="s">
        <v>293</v>
      </c>
      <c r="E1346" t="s">
        <v>5476</v>
      </c>
      <c r="F1346">
        <v>4</v>
      </c>
    </row>
    <row r="1347" spans="1:6" ht="13.2">
      <c r="A1347" t="s">
        <v>5479</v>
      </c>
      <c r="B1347">
        <v>450</v>
      </c>
      <c r="C1347" s="44">
        <v>3000</v>
      </c>
      <c r="D1347" t="s">
        <v>293</v>
      </c>
      <c r="E1347" t="s">
        <v>5476</v>
      </c>
      <c r="F1347">
        <v>4</v>
      </c>
    </row>
    <row r="1348" spans="1:6" ht="13.2">
      <c r="A1348" t="s">
        <v>5475</v>
      </c>
      <c r="B1348">
        <v>450</v>
      </c>
      <c r="C1348" s="44">
        <v>3000</v>
      </c>
      <c r="D1348" t="s">
        <v>293</v>
      </c>
      <c r="E1348" t="s">
        <v>5476</v>
      </c>
      <c r="F1348">
        <v>4</v>
      </c>
    </row>
    <row r="1349" spans="1:6" ht="13.2">
      <c r="A1349" t="s">
        <v>5011</v>
      </c>
      <c r="B1349">
        <v>0</v>
      </c>
      <c r="C1349" s="44">
        <v>3200</v>
      </c>
      <c r="D1349" t="s">
        <v>293</v>
      </c>
      <c r="E1349" t="s">
        <v>256</v>
      </c>
      <c r="F1349">
        <v>4</v>
      </c>
    </row>
    <row r="1350" spans="1:6" ht="13.2">
      <c r="A1350" t="s">
        <v>5012</v>
      </c>
      <c r="B1350">
        <v>0</v>
      </c>
      <c r="C1350" s="44">
        <v>3200</v>
      </c>
      <c r="D1350" t="s">
        <v>293</v>
      </c>
      <c r="E1350" t="s">
        <v>256</v>
      </c>
      <c r="F1350">
        <v>4</v>
      </c>
    </row>
    <row r="1351" spans="1:6" ht="13.2">
      <c r="A1351" t="s">
        <v>5013</v>
      </c>
      <c r="B1351">
        <v>0</v>
      </c>
      <c r="C1351" s="44">
        <v>3200</v>
      </c>
      <c r="D1351" t="s">
        <v>293</v>
      </c>
      <c r="E1351" t="s">
        <v>256</v>
      </c>
      <c r="F1351">
        <v>4</v>
      </c>
    </row>
    <row r="1352" spans="1:6" ht="13.2">
      <c r="A1352" t="s">
        <v>5014</v>
      </c>
      <c r="B1352">
        <v>0</v>
      </c>
      <c r="C1352" s="44">
        <v>3200</v>
      </c>
      <c r="D1352" t="s">
        <v>293</v>
      </c>
      <c r="E1352" t="s">
        <v>256</v>
      </c>
      <c r="F1352">
        <v>4</v>
      </c>
    </row>
    <row r="1353" spans="1:6" ht="13.2">
      <c r="A1353" t="s">
        <v>5015</v>
      </c>
      <c r="B1353">
        <v>0</v>
      </c>
      <c r="C1353" s="44">
        <v>3200</v>
      </c>
      <c r="D1353" t="s">
        <v>293</v>
      </c>
      <c r="E1353" t="s">
        <v>256</v>
      </c>
      <c r="F1353">
        <v>4</v>
      </c>
    </row>
    <row r="1354" spans="1:6" ht="13.2">
      <c r="A1354" t="s">
        <v>5016</v>
      </c>
      <c r="B1354">
        <v>0</v>
      </c>
      <c r="C1354" s="44">
        <v>3200</v>
      </c>
      <c r="D1354" t="s">
        <v>293</v>
      </c>
      <c r="E1354" t="s">
        <v>256</v>
      </c>
      <c r="F1354">
        <v>4</v>
      </c>
    </row>
    <row r="1355" spans="1:6" ht="13.2">
      <c r="A1355" t="s">
        <v>5017</v>
      </c>
      <c r="B1355">
        <v>0</v>
      </c>
      <c r="C1355" s="44">
        <v>3200</v>
      </c>
      <c r="D1355" t="s">
        <v>293</v>
      </c>
      <c r="E1355" t="s">
        <v>256</v>
      </c>
      <c r="F1355">
        <v>4</v>
      </c>
    </row>
    <row r="1356" spans="1:6" ht="13.2">
      <c r="A1356" t="s">
        <v>5018</v>
      </c>
      <c r="B1356">
        <v>0</v>
      </c>
      <c r="C1356" s="44">
        <v>3200</v>
      </c>
      <c r="D1356" t="s">
        <v>293</v>
      </c>
      <c r="E1356" t="s">
        <v>256</v>
      </c>
      <c r="F1356">
        <v>4</v>
      </c>
    </row>
    <row r="1357" spans="1:6" ht="13.2">
      <c r="A1357" t="s">
        <v>5019</v>
      </c>
      <c r="B1357">
        <v>0</v>
      </c>
      <c r="C1357" s="44">
        <v>3200</v>
      </c>
      <c r="D1357" t="s">
        <v>293</v>
      </c>
      <c r="E1357" t="s">
        <v>256</v>
      </c>
      <c r="F1357">
        <v>4</v>
      </c>
    </row>
    <row r="1358" spans="1:6" ht="13.2">
      <c r="A1358" t="s">
        <v>5021</v>
      </c>
      <c r="B1358">
        <v>0</v>
      </c>
      <c r="C1358" s="44">
        <v>3200</v>
      </c>
      <c r="D1358" t="s">
        <v>293</v>
      </c>
      <c r="E1358" t="s">
        <v>256</v>
      </c>
      <c r="F1358">
        <v>4</v>
      </c>
    </row>
    <row r="1359" spans="1:6" ht="13.2">
      <c r="A1359" t="s">
        <v>5020</v>
      </c>
      <c r="B1359">
        <v>0</v>
      </c>
      <c r="C1359" s="44">
        <v>3200</v>
      </c>
      <c r="D1359" t="s">
        <v>293</v>
      </c>
      <c r="E1359" t="s">
        <v>256</v>
      </c>
      <c r="F1359">
        <v>4</v>
      </c>
    </row>
    <row r="1360" spans="1:6" ht="13.2">
      <c r="A1360" t="s">
        <v>1132</v>
      </c>
      <c r="B1360">
        <v>0</v>
      </c>
      <c r="C1360" s="44" t="s">
        <v>204</v>
      </c>
      <c r="D1360" t="s">
        <v>293</v>
      </c>
      <c r="E1360" t="s">
        <v>257</v>
      </c>
      <c r="F1360">
        <v>4</v>
      </c>
    </row>
    <row r="1361" spans="1:6" ht="13.2">
      <c r="A1361" t="s">
        <v>1133</v>
      </c>
      <c r="B1361">
        <v>0</v>
      </c>
      <c r="C1361" s="44" t="s">
        <v>204</v>
      </c>
      <c r="D1361" t="s">
        <v>293</v>
      </c>
      <c r="E1361" t="s">
        <v>256</v>
      </c>
      <c r="F1361">
        <v>4</v>
      </c>
    </row>
    <row r="1362" spans="1:6" ht="13.2">
      <c r="A1362" t="s">
        <v>1134</v>
      </c>
      <c r="B1362">
        <v>0</v>
      </c>
      <c r="C1362" s="44" t="s">
        <v>204</v>
      </c>
      <c r="D1362" t="s">
        <v>293</v>
      </c>
      <c r="E1362" t="s">
        <v>256</v>
      </c>
      <c r="F1362">
        <v>4</v>
      </c>
    </row>
    <row r="1363" spans="1:6" ht="13.2">
      <c r="A1363" t="s">
        <v>1135</v>
      </c>
      <c r="B1363">
        <v>0</v>
      </c>
      <c r="C1363" s="44" t="s">
        <v>204</v>
      </c>
      <c r="D1363" t="s">
        <v>293</v>
      </c>
      <c r="E1363" t="s">
        <v>256</v>
      </c>
      <c r="F1363">
        <v>4</v>
      </c>
    </row>
    <row r="1364" spans="1:6" ht="13.2">
      <c r="A1364" t="s">
        <v>1136</v>
      </c>
      <c r="B1364">
        <v>0</v>
      </c>
      <c r="C1364" s="44" t="s">
        <v>204</v>
      </c>
      <c r="D1364" t="s">
        <v>293</v>
      </c>
      <c r="E1364" t="s">
        <v>256</v>
      </c>
      <c r="F1364">
        <v>4</v>
      </c>
    </row>
    <row r="1365" spans="1:6" ht="13.2">
      <c r="A1365" t="s">
        <v>1137</v>
      </c>
      <c r="B1365">
        <v>0</v>
      </c>
      <c r="C1365" s="44" t="s">
        <v>204</v>
      </c>
      <c r="D1365" t="s">
        <v>293</v>
      </c>
      <c r="E1365" t="s">
        <v>256</v>
      </c>
      <c r="F1365">
        <v>4</v>
      </c>
    </row>
    <row r="1366" spans="1:6" ht="13.2">
      <c r="A1366" t="s">
        <v>3232</v>
      </c>
      <c r="B1366">
        <v>350</v>
      </c>
      <c r="C1366" s="44">
        <v>1420</v>
      </c>
      <c r="D1366" t="s">
        <v>291</v>
      </c>
      <c r="E1366" t="s">
        <v>695</v>
      </c>
      <c r="F1366">
        <v>45</v>
      </c>
    </row>
    <row r="1367" spans="1:6" ht="13.2">
      <c r="A1367" t="s">
        <v>3233</v>
      </c>
      <c r="B1367">
        <v>350</v>
      </c>
      <c r="C1367" s="44">
        <v>1420</v>
      </c>
      <c r="D1367" t="s">
        <v>291</v>
      </c>
      <c r="E1367" t="s">
        <v>695</v>
      </c>
      <c r="F1367">
        <v>45</v>
      </c>
    </row>
    <row r="1368" spans="1:6" ht="13.2">
      <c r="A1368" t="s">
        <v>3234</v>
      </c>
      <c r="B1368">
        <v>350</v>
      </c>
      <c r="C1368" s="44">
        <v>1420</v>
      </c>
      <c r="D1368" t="s">
        <v>291</v>
      </c>
      <c r="E1368" t="s">
        <v>695</v>
      </c>
      <c r="F1368">
        <v>45</v>
      </c>
    </row>
    <row r="1369" spans="1:6" ht="13.2">
      <c r="A1369" t="s">
        <v>3235</v>
      </c>
      <c r="B1369">
        <v>350</v>
      </c>
      <c r="C1369" s="44">
        <v>1420</v>
      </c>
      <c r="D1369" t="s">
        <v>291</v>
      </c>
      <c r="E1369" t="s">
        <v>695</v>
      </c>
      <c r="F1369">
        <v>45</v>
      </c>
    </row>
    <row r="1370" spans="1:6" ht="13.2">
      <c r="A1370" t="s">
        <v>3236</v>
      </c>
      <c r="B1370">
        <v>350</v>
      </c>
      <c r="C1370" s="44">
        <v>1420</v>
      </c>
      <c r="D1370" t="s">
        <v>291</v>
      </c>
      <c r="E1370" t="s">
        <v>695</v>
      </c>
      <c r="F1370">
        <v>45</v>
      </c>
    </row>
    <row r="1371" spans="1:6" ht="13.2">
      <c r="A1371" t="s">
        <v>3237</v>
      </c>
      <c r="B1371">
        <v>350</v>
      </c>
      <c r="C1371" s="44">
        <v>1420</v>
      </c>
      <c r="D1371" t="s">
        <v>291</v>
      </c>
      <c r="E1371" t="s">
        <v>695</v>
      </c>
      <c r="F1371">
        <v>45</v>
      </c>
    </row>
    <row r="1372" spans="1:6" ht="13.2">
      <c r="A1372" t="s">
        <v>2134</v>
      </c>
      <c r="B1372">
        <v>525</v>
      </c>
      <c r="C1372" s="44">
        <v>1370</v>
      </c>
      <c r="D1372" t="s">
        <v>291</v>
      </c>
      <c r="E1372" t="s">
        <v>512</v>
      </c>
      <c r="F1372">
        <v>4</v>
      </c>
    </row>
    <row r="1373" spans="1:6" ht="13.2">
      <c r="A1373" t="s">
        <v>2135</v>
      </c>
      <c r="B1373">
        <v>525</v>
      </c>
      <c r="C1373" s="44">
        <v>1370</v>
      </c>
      <c r="D1373" t="s">
        <v>291</v>
      </c>
      <c r="E1373" t="s">
        <v>512</v>
      </c>
      <c r="F1373">
        <v>4</v>
      </c>
    </row>
    <row r="1374" spans="1:6" ht="13.2">
      <c r="A1374" t="s">
        <v>2136</v>
      </c>
      <c r="B1374">
        <v>525</v>
      </c>
      <c r="C1374" s="44">
        <v>1370</v>
      </c>
      <c r="D1374" t="s">
        <v>291</v>
      </c>
      <c r="E1374" t="s">
        <v>512</v>
      </c>
      <c r="F1374">
        <v>4</v>
      </c>
    </row>
    <row r="1375" spans="1:6" ht="13.2">
      <c r="A1375" t="s">
        <v>2137</v>
      </c>
      <c r="B1375">
        <v>525</v>
      </c>
      <c r="C1375" s="44">
        <v>1370</v>
      </c>
      <c r="D1375" t="s">
        <v>291</v>
      </c>
      <c r="E1375" t="s">
        <v>512</v>
      </c>
      <c r="F1375">
        <v>4</v>
      </c>
    </row>
    <row r="1376" spans="1:6" ht="13.2">
      <c r="A1376" t="s">
        <v>2138</v>
      </c>
      <c r="B1376">
        <v>525</v>
      </c>
      <c r="C1376" s="44">
        <v>1370</v>
      </c>
      <c r="D1376" t="s">
        <v>291</v>
      </c>
      <c r="E1376" t="s">
        <v>512</v>
      </c>
      <c r="F1376">
        <v>4</v>
      </c>
    </row>
    <row r="1377" spans="1:6" ht="13.2">
      <c r="A1377" t="s">
        <v>2139</v>
      </c>
      <c r="B1377">
        <v>525</v>
      </c>
      <c r="C1377" s="44">
        <v>1370</v>
      </c>
      <c r="D1377" t="s">
        <v>291</v>
      </c>
      <c r="E1377" t="s">
        <v>512</v>
      </c>
      <c r="F1377">
        <v>4</v>
      </c>
    </row>
    <row r="1378" spans="1:6" ht="13.2">
      <c r="A1378" t="s">
        <v>2140</v>
      </c>
      <c r="B1378">
        <v>525</v>
      </c>
      <c r="C1378" s="44">
        <v>1370</v>
      </c>
      <c r="D1378" t="s">
        <v>291</v>
      </c>
      <c r="E1378" t="s">
        <v>512</v>
      </c>
      <c r="F1378">
        <v>4</v>
      </c>
    </row>
    <row r="1379" spans="1:6" ht="13.2">
      <c r="A1379" t="s">
        <v>2141</v>
      </c>
      <c r="B1379">
        <v>525</v>
      </c>
      <c r="C1379" s="44">
        <v>1370</v>
      </c>
      <c r="D1379" t="s">
        <v>291</v>
      </c>
      <c r="E1379" t="s">
        <v>512</v>
      </c>
      <c r="F1379">
        <v>4</v>
      </c>
    </row>
    <row r="1380" spans="1:6" ht="13.2">
      <c r="A1380" t="s">
        <v>5338</v>
      </c>
      <c r="B1380">
        <v>530</v>
      </c>
      <c r="C1380" s="44">
        <v>1380</v>
      </c>
      <c r="D1380" t="s">
        <v>291</v>
      </c>
      <c r="E1380" t="s">
        <v>570</v>
      </c>
      <c r="F1380">
        <v>4</v>
      </c>
    </row>
    <row r="1381" spans="1:6" ht="13.2">
      <c r="A1381" t="s">
        <v>5336</v>
      </c>
      <c r="B1381">
        <v>530</v>
      </c>
      <c r="C1381" s="44">
        <v>1380</v>
      </c>
      <c r="D1381" t="s">
        <v>291</v>
      </c>
      <c r="E1381" t="s">
        <v>570</v>
      </c>
      <c r="F1381">
        <v>4</v>
      </c>
    </row>
    <row r="1382" spans="1:6" ht="13.2">
      <c r="A1382" t="s">
        <v>5337</v>
      </c>
      <c r="B1382">
        <v>530</v>
      </c>
      <c r="C1382" s="44">
        <v>1380</v>
      </c>
      <c r="D1382" t="s">
        <v>291</v>
      </c>
      <c r="E1382" t="s">
        <v>570</v>
      </c>
      <c r="F1382">
        <v>4</v>
      </c>
    </row>
    <row r="1383" spans="1:6" ht="13.2">
      <c r="A1383" t="s">
        <v>5339</v>
      </c>
      <c r="B1383">
        <v>530</v>
      </c>
      <c r="C1383" s="44">
        <v>1380</v>
      </c>
      <c r="D1383" t="s">
        <v>291</v>
      </c>
      <c r="E1383" t="s">
        <v>570</v>
      </c>
      <c r="F1383">
        <v>4</v>
      </c>
    </row>
    <row r="1384" spans="1:6" ht="13.2">
      <c r="A1384" t="s">
        <v>2780</v>
      </c>
      <c r="B1384">
        <v>0</v>
      </c>
      <c r="C1384" s="44">
        <v>1400</v>
      </c>
      <c r="D1384" t="s">
        <v>291</v>
      </c>
      <c r="E1384" t="s">
        <v>256</v>
      </c>
      <c r="F1384">
        <v>4</v>
      </c>
    </row>
    <row r="1385" spans="1:6" ht="13.2">
      <c r="A1385" t="s">
        <v>2769</v>
      </c>
      <c r="B1385">
        <v>0</v>
      </c>
      <c r="C1385" s="44">
        <v>1400</v>
      </c>
      <c r="D1385" t="s">
        <v>291</v>
      </c>
      <c r="E1385" t="s">
        <v>256</v>
      </c>
      <c r="F1385">
        <v>4</v>
      </c>
    </row>
    <row r="1386" spans="1:6" ht="13.2">
      <c r="A1386" t="s">
        <v>2779</v>
      </c>
      <c r="B1386">
        <v>0</v>
      </c>
      <c r="C1386" s="44">
        <v>1400</v>
      </c>
      <c r="D1386" t="s">
        <v>291</v>
      </c>
      <c r="E1386" t="s">
        <v>256</v>
      </c>
      <c r="F1386">
        <v>4</v>
      </c>
    </row>
    <row r="1387" spans="1:6" ht="13.2">
      <c r="A1387" t="s">
        <v>2773</v>
      </c>
      <c r="B1387">
        <v>0</v>
      </c>
      <c r="C1387" s="44">
        <v>1400</v>
      </c>
      <c r="D1387" t="s">
        <v>291</v>
      </c>
      <c r="E1387" t="s">
        <v>256</v>
      </c>
      <c r="F1387">
        <v>4</v>
      </c>
    </row>
    <row r="1388" spans="1:6" ht="13.2">
      <c r="A1388" t="s">
        <v>2770</v>
      </c>
      <c r="B1388">
        <v>0</v>
      </c>
      <c r="C1388" s="44">
        <v>1400</v>
      </c>
      <c r="D1388" t="s">
        <v>291</v>
      </c>
      <c r="E1388" t="s">
        <v>256</v>
      </c>
      <c r="F1388">
        <v>4</v>
      </c>
    </row>
    <row r="1389" spans="1:6" ht="13.2">
      <c r="A1389" t="s">
        <v>2778</v>
      </c>
      <c r="B1389">
        <v>0</v>
      </c>
      <c r="C1389" s="44">
        <v>1400</v>
      </c>
      <c r="D1389" t="s">
        <v>291</v>
      </c>
      <c r="E1389" t="s">
        <v>256</v>
      </c>
      <c r="F1389">
        <v>4</v>
      </c>
    </row>
    <row r="1390" spans="1:6" ht="13.2">
      <c r="A1390" t="s">
        <v>2776</v>
      </c>
      <c r="B1390">
        <v>0</v>
      </c>
      <c r="C1390" s="44">
        <v>1400</v>
      </c>
      <c r="D1390" t="s">
        <v>291</v>
      </c>
      <c r="E1390" t="s">
        <v>256</v>
      </c>
      <c r="F1390">
        <v>4</v>
      </c>
    </row>
    <row r="1391" spans="1:6" ht="13.2">
      <c r="A1391" t="s">
        <v>2772</v>
      </c>
      <c r="B1391">
        <v>0</v>
      </c>
      <c r="C1391" s="44">
        <v>1400</v>
      </c>
      <c r="D1391" t="s">
        <v>291</v>
      </c>
      <c r="E1391" t="s">
        <v>256</v>
      </c>
      <c r="F1391">
        <v>4</v>
      </c>
    </row>
    <row r="1392" spans="1:6" ht="13.2">
      <c r="A1392" t="s">
        <v>2775</v>
      </c>
      <c r="B1392">
        <v>0</v>
      </c>
      <c r="C1392" s="44">
        <v>1400</v>
      </c>
      <c r="D1392" t="s">
        <v>291</v>
      </c>
      <c r="E1392" t="s">
        <v>256</v>
      </c>
      <c r="F1392">
        <v>4</v>
      </c>
    </row>
    <row r="1393" spans="1:6" ht="13.2">
      <c r="A1393" t="s">
        <v>2777</v>
      </c>
      <c r="B1393">
        <v>0</v>
      </c>
      <c r="C1393" s="44">
        <v>1400</v>
      </c>
      <c r="D1393" t="s">
        <v>291</v>
      </c>
      <c r="E1393" t="s">
        <v>256</v>
      </c>
      <c r="F1393">
        <v>4</v>
      </c>
    </row>
    <row r="1394" spans="1:6" ht="13.2">
      <c r="A1394" t="s">
        <v>2771</v>
      </c>
      <c r="B1394">
        <v>0</v>
      </c>
      <c r="C1394" s="44">
        <v>1400</v>
      </c>
      <c r="D1394" t="s">
        <v>291</v>
      </c>
      <c r="E1394" t="s">
        <v>256</v>
      </c>
      <c r="F1394">
        <v>4</v>
      </c>
    </row>
    <row r="1395" spans="1:6" ht="13.2">
      <c r="A1395" t="s">
        <v>2774</v>
      </c>
      <c r="B1395">
        <v>0</v>
      </c>
      <c r="C1395" s="44">
        <v>1400</v>
      </c>
      <c r="D1395" t="s">
        <v>291</v>
      </c>
      <c r="E1395" t="s">
        <v>256</v>
      </c>
      <c r="F1395">
        <v>4</v>
      </c>
    </row>
    <row r="1396" spans="1:6" ht="13.2">
      <c r="A1396" t="s">
        <v>2768</v>
      </c>
      <c r="B1396">
        <v>0</v>
      </c>
      <c r="C1396" s="44">
        <v>1400</v>
      </c>
      <c r="D1396" t="s">
        <v>291</v>
      </c>
      <c r="E1396" t="s">
        <v>256</v>
      </c>
      <c r="F1396">
        <v>4</v>
      </c>
    </row>
    <row r="1397" spans="1:6" ht="13.2">
      <c r="A1397" t="s">
        <v>360</v>
      </c>
      <c r="B1397">
        <v>0</v>
      </c>
      <c r="C1397" s="44">
        <v>1400</v>
      </c>
      <c r="D1397" t="s">
        <v>291</v>
      </c>
      <c r="E1397" t="s">
        <v>256</v>
      </c>
      <c r="F1397">
        <v>4</v>
      </c>
    </row>
    <row r="1398" spans="1:6" ht="13.2">
      <c r="A1398" t="s">
        <v>2142</v>
      </c>
      <c r="B1398">
        <v>330</v>
      </c>
      <c r="C1398" s="44">
        <v>1400</v>
      </c>
      <c r="D1398" t="s">
        <v>291</v>
      </c>
      <c r="E1398" t="s">
        <v>212</v>
      </c>
      <c r="F1398">
        <v>4</v>
      </c>
    </row>
    <row r="1399" spans="1:6" ht="13.2">
      <c r="A1399" t="s">
        <v>2143</v>
      </c>
      <c r="B1399">
        <v>330</v>
      </c>
      <c r="C1399" s="44">
        <v>1400</v>
      </c>
      <c r="D1399" t="s">
        <v>291</v>
      </c>
      <c r="E1399" t="s">
        <v>212</v>
      </c>
      <c r="F1399">
        <v>4</v>
      </c>
    </row>
    <row r="1400" spans="1:6" ht="13.2">
      <c r="A1400" t="s">
        <v>2144</v>
      </c>
      <c r="B1400">
        <v>330</v>
      </c>
      <c r="C1400" s="44">
        <v>1400</v>
      </c>
      <c r="D1400" t="s">
        <v>291</v>
      </c>
      <c r="E1400" t="s">
        <v>212</v>
      </c>
      <c r="F1400">
        <v>4</v>
      </c>
    </row>
    <row r="1401" spans="1:6" ht="13.2">
      <c r="A1401" t="s">
        <v>2145</v>
      </c>
      <c r="B1401">
        <v>330</v>
      </c>
      <c r="C1401" s="44">
        <v>1400</v>
      </c>
      <c r="D1401" t="s">
        <v>291</v>
      </c>
      <c r="E1401" t="s">
        <v>212</v>
      </c>
      <c r="F1401">
        <v>4</v>
      </c>
    </row>
    <row r="1402" spans="1:6" ht="13.2">
      <c r="A1402" t="s">
        <v>2146</v>
      </c>
      <c r="B1402">
        <v>330</v>
      </c>
      <c r="C1402" s="44">
        <v>1400</v>
      </c>
      <c r="D1402" t="s">
        <v>291</v>
      </c>
      <c r="E1402" t="s">
        <v>212</v>
      </c>
      <c r="F1402">
        <v>4</v>
      </c>
    </row>
    <row r="1403" spans="1:6" ht="13.2">
      <c r="A1403" t="s">
        <v>2147</v>
      </c>
      <c r="B1403">
        <v>330</v>
      </c>
      <c r="C1403" s="44">
        <v>1400</v>
      </c>
      <c r="D1403" t="s">
        <v>291</v>
      </c>
      <c r="E1403" t="s">
        <v>212</v>
      </c>
      <c r="F1403">
        <v>4</v>
      </c>
    </row>
    <row r="1404" spans="1:6" ht="13.2">
      <c r="A1404" t="s">
        <v>2148</v>
      </c>
      <c r="B1404">
        <v>330</v>
      </c>
      <c r="C1404" s="44">
        <v>1400</v>
      </c>
      <c r="D1404" t="s">
        <v>291</v>
      </c>
      <c r="E1404" t="s">
        <v>212</v>
      </c>
      <c r="F1404">
        <v>4</v>
      </c>
    </row>
    <row r="1405" spans="1:6" ht="13.2">
      <c r="A1405" t="s">
        <v>2149</v>
      </c>
      <c r="B1405">
        <v>330</v>
      </c>
      <c r="C1405" s="44">
        <v>1400</v>
      </c>
      <c r="D1405" t="s">
        <v>291</v>
      </c>
      <c r="E1405" t="s">
        <v>212</v>
      </c>
      <c r="F1405">
        <v>4</v>
      </c>
    </row>
    <row r="1406" spans="1:6" ht="13.2">
      <c r="A1406" t="s">
        <v>2150</v>
      </c>
      <c r="B1406">
        <v>330</v>
      </c>
      <c r="C1406" s="44">
        <v>1400</v>
      </c>
      <c r="D1406" t="s">
        <v>291</v>
      </c>
      <c r="E1406" t="s">
        <v>212</v>
      </c>
      <c r="F1406">
        <v>4</v>
      </c>
    </row>
    <row r="1407" spans="1:6" ht="13.2">
      <c r="A1407" t="s">
        <v>2151</v>
      </c>
      <c r="B1407">
        <v>0</v>
      </c>
      <c r="C1407" s="44">
        <v>1460</v>
      </c>
      <c r="D1407" t="s">
        <v>291</v>
      </c>
      <c r="E1407" t="s">
        <v>256</v>
      </c>
      <c r="F1407">
        <v>1</v>
      </c>
    </row>
    <row r="1408" spans="1:6" ht="13.2">
      <c r="A1408" t="s">
        <v>2152</v>
      </c>
      <c r="B1408">
        <v>0</v>
      </c>
      <c r="C1408" s="44">
        <v>1460</v>
      </c>
      <c r="D1408" t="s">
        <v>291</v>
      </c>
      <c r="E1408" t="s">
        <v>256</v>
      </c>
      <c r="F1408">
        <v>1</v>
      </c>
    </row>
    <row r="1409" spans="1:6" ht="13.2">
      <c r="A1409" t="s">
        <v>2153</v>
      </c>
      <c r="B1409">
        <v>0</v>
      </c>
      <c r="C1409" s="44">
        <v>1460</v>
      </c>
      <c r="D1409" t="s">
        <v>291</v>
      </c>
      <c r="E1409" t="s">
        <v>256</v>
      </c>
      <c r="F1409">
        <v>1</v>
      </c>
    </row>
    <row r="1410" spans="1:6" ht="13.2">
      <c r="A1410" t="s">
        <v>2154</v>
      </c>
      <c r="B1410">
        <v>0</v>
      </c>
      <c r="C1410" s="44">
        <v>1460</v>
      </c>
      <c r="D1410" t="s">
        <v>291</v>
      </c>
      <c r="E1410" t="s">
        <v>256</v>
      </c>
      <c r="F1410">
        <v>1</v>
      </c>
    </row>
    <row r="1411" spans="1:6" ht="13.2">
      <c r="A1411" t="s">
        <v>2155</v>
      </c>
      <c r="B1411">
        <v>0</v>
      </c>
      <c r="C1411" s="44">
        <v>1460</v>
      </c>
      <c r="D1411" t="s">
        <v>291</v>
      </c>
      <c r="E1411" t="s">
        <v>256</v>
      </c>
      <c r="F1411">
        <v>1</v>
      </c>
    </row>
    <row r="1412" spans="1:6" ht="13.2">
      <c r="A1412" t="s">
        <v>2156</v>
      </c>
      <c r="B1412">
        <v>0</v>
      </c>
      <c r="C1412" s="44">
        <v>1460</v>
      </c>
      <c r="D1412" t="s">
        <v>291</v>
      </c>
      <c r="E1412" t="s">
        <v>256</v>
      </c>
      <c r="F1412">
        <v>1</v>
      </c>
    </row>
    <row r="1413" spans="1:6" ht="13.2">
      <c r="A1413" t="s">
        <v>2157</v>
      </c>
      <c r="B1413">
        <v>0</v>
      </c>
      <c r="C1413" s="44">
        <v>1460</v>
      </c>
      <c r="D1413" t="s">
        <v>291</v>
      </c>
      <c r="E1413" t="s">
        <v>256</v>
      </c>
      <c r="F1413">
        <v>1</v>
      </c>
    </row>
    <row r="1414" spans="1:6" ht="13.2">
      <c r="A1414" t="s">
        <v>2158</v>
      </c>
      <c r="B1414">
        <v>0</v>
      </c>
      <c r="C1414" s="44">
        <v>1460</v>
      </c>
      <c r="D1414" t="s">
        <v>291</v>
      </c>
      <c r="E1414" t="s">
        <v>256</v>
      </c>
      <c r="F1414">
        <v>1</v>
      </c>
    </row>
    <row r="1415" spans="1:6" ht="13.2">
      <c r="A1415" t="s">
        <v>2159</v>
      </c>
      <c r="B1415">
        <v>0</v>
      </c>
      <c r="C1415" s="44">
        <v>1460</v>
      </c>
      <c r="D1415" t="s">
        <v>291</v>
      </c>
      <c r="E1415" t="s">
        <v>256</v>
      </c>
      <c r="F1415">
        <v>1</v>
      </c>
    </row>
    <row r="1416" spans="1:6" ht="13.2">
      <c r="A1416" t="s">
        <v>2160</v>
      </c>
      <c r="B1416">
        <v>0</v>
      </c>
      <c r="C1416" s="44">
        <v>1460</v>
      </c>
      <c r="D1416" t="s">
        <v>291</v>
      </c>
      <c r="E1416" t="s">
        <v>256</v>
      </c>
      <c r="F1416">
        <v>1</v>
      </c>
    </row>
    <row r="1417" spans="1:6" ht="13.2">
      <c r="A1417" t="s">
        <v>2161</v>
      </c>
      <c r="B1417">
        <v>0</v>
      </c>
      <c r="C1417" s="44">
        <v>1460</v>
      </c>
      <c r="D1417" t="s">
        <v>291</v>
      </c>
      <c r="E1417" t="s">
        <v>256</v>
      </c>
      <c r="F1417">
        <v>1</v>
      </c>
    </row>
    <row r="1418" spans="1:6" ht="13.2">
      <c r="A1418" t="s">
        <v>2162</v>
      </c>
      <c r="B1418">
        <v>0</v>
      </c>
      <c r="C1418" s="44">
        <v>1460</v>
      </c>
      <c r="D1418" t="s">
        <v>291</v>
      </c>
      <c r="E1418" t="s">
        <v>256</v>
      </c>
      <c r="F1418">
        <v>1</v>
      </c>
    </row>
    <row r="1419" spans="1:6" ht="13.2">
      <c r="A1419" t="s">
        <v>2163</v>
      </c>
      <c r="B1419">
        <v>0</v>
      </c>
      <c r="C1419" s="44">
        <v>1460</v>
      </c>
      <c r="D1419" t="s">
        <v>291</v>
      </c>
      <c r="E1419" t="s">
        <v>256</v>
      </c>
      <c r="F1419">
        <v>1</v>
      </c>
    </row>
    <row r="1420" spans="1:6" ht="13.2">
      <c r="A1420" t="s">
        <v>2164</v>
      </c>
      <c r="B1420">
        <v>0</v>
      </c>
      <c r="C1420" s="44">
        <v>1460</v>
      </c>
      <c r="D1420" t="s">
        <v>291</v>
      </c>
      <c r="E1420" t="s">
        <v>256</v>
      </c>
      <c r="F1420">
        <v>1</v>
      </c>
    </row>
    <row r="1421" spans="1:6" ht="13.2">
      <c r="A1421" t="s">
        <v>2165</v>
      </c>
      <c r="B1421">
        <v>0</v>
      </c>
      <c r="C1421" s="44">
        <v>1460</v>
      </c>
      <c r="D1421" t="s">
        <v>291</v>
      </c>
      <c r="E1421" t="s">
        <v>256</v>
      </c>
      <c r="F1421">
        <v>1</v>
      </c>
    </row>
    <row r="1422" spans="1:6" ht="13.2">
      <c r="A1422" t="s">
        <v>2166</v>
      </c>
      <c r="B1422">
        <v>0</v>
      </c>
      <c r="C1422" s="44">
        <v>1460</v>
      </c>
      <c r="D1422" t="s">
        <v>291</v>
      </c>
      <c r="E1422" t="s">
        <v>256</v>
      </c>
      <c r="F1422">
        <v>1</v>
      </c>
    </row>
    <row r="1423" spans="1:6" ht="13.2">
      <c r="A1423" t="s">
        <v>2167</v>
      </c>
      <c r="B1423">
        <v>0</v>
      </c>
      <c r="C1423" s="44">
        <v>1460</v>
      </c>
      <c r="D1423" t="s">
        <v>291</v>
      </c>
      <c r="E1423" t="s">
        <v>256</v>
      </c>
      <c r="F1423">
        <v>1</v>
      </c>
    </row>
    <row r="1424" spans="1:6" ht="13.2">
      <c r="A1424" t="s">
        <v>2168</v>
      </c>
      <c r="B1424">
        <v>0</v>
      </c>
      <c r="C1424" s="44">
        <v>1460</v>
      </c>
      <c r="D1424" t="s">
        <v>291</v>
      </c>
      <c r="E1424" t="s">
        <v>256</v>
      </c>
      <c r="F1424">
        <v>1</v>
      </c>
    </row>
    <row r="1425" spans="1:6" ht="13.2">
      <c r="A1425" t="s">
        <v>2169</v>
      </c>
      <c r="B1425">
        <v>0</v>
      </c>
      <c r="C1425" s="44">
        <v>1460</v>
      </c>
      <c r="D1425" t="s">
        <v>291</v>
      </c>
      <c r="E1425" t="s">
        <v>256</v>
      </c>
      <c r="F1425">
        <v>1</v>
      </c>
    </row>
    <row r="1426" spans="1:6" ht="13.2">
      <c r="A1426" t="s">
        <v>2170</v>
      </c>
      <c r="B1426">
        <v>0</v>
      </c>
      <c r="C1426" s="44">
        <v>1460</v>
      </c>
      <c r="D1426" t="s">
        <v>291</v>
      </c>
      <c r="E1426" t="s">
        <v>256</v>
      </c>
      <c r="F1426">
        <v>1</v>
      </c>
    </row>
    <row r="1427" spans="1:6" ht="13.2">
      <c r="A1427" t="s">
        <v>2171</v>
      </c>
      <c r="B1427">
        <v>0</v>
      </c>
      <c r="C1427" s="44">
        <v>1460</v>
      </c>
      <c r="D1427" t="s">
        <v>291</v>
      </c>
      <c r="E1427" t="s">
        <v>256</v>
      </c>
      <c r="F1427">
        <v>1</v>
      </c>
    </row>
    <row r="1428" spans="1:6" ht="13.2">
      <c r="A1428" t="s">
        <v>2172</v>
      </c>
      <c r="B1428">
        <v>0</v>
      </c>
      <c r="C1428" s="44">
        <v>1460</v>
      </c>
      <c r="D1428" t="s">
        <v>291</v>
      </c>
      <c r="E1428" t="s">
        <v>256</v>
      </c>
      <c r="F1428">
        <v>1</v>
      </c>
    </row>
    <row r="1429" spans="1:6" ht="13.2">
      <c r="A1429" t="s">
        <v>2173</v>
      </c>
      <c r="B1429">
        <v>0</v>
      </c>
      <c r="C1429" s="44">
        <v>1460</v>
      </c>
      <c r="D1429" t="s">
        <v>291</v>
      </c>
      <c r="E1429" t="s">
        <v>256</v>
      </c>
      <c r="F1429">
        <v>1</v>
      </c>
    </row>
    <row r="1430" spans="1:6" ht="13.2">
      <c r="A1430" t="s">
        <v>5043</v>
      </c>
      <c r="B1430">
        <v>600</v>
      </c>
      <c r="C1430" s="44">
        <v>1370</v>
      </c>
      <c r="D1430" t="s">
        <v>291</v>
      </c>
      <c r="E1430" t="s">
        <v>577</v>
      </c>
      <c r="F1430">
        <v>3</v>
      </c>
    </row>
    <row r="1431" spans="1:6" ht="13.2">
      <c r="A1431" t="s">
        <v>5042</v>
      </c>
      <c r="B1431">
        <v>600</v>
      </c>
      <c r="C1431" s="44">
        <v>1370</v>
      </c>
      <c r="D1431" t="s">
        <v>291</v>
      </c>
      <c r="E1431" t="s">
        <v>577</v>
      </c>
      <c r="F1431">
        <v>3</v>
      </c>
    </row>
    <row r="1432" spans="1:6" ht="13.2">
      <c r="A1432" t="s">
        <v>5045</v>
      </c>
      <c r="B1432">
        <v>600</v>
      </c>
      <c r="C1432" s="44">
        <v>1370</v>
      </c>
      <c r="D1432" t="s">
        <v>291</v>
      </c>
      <c r="E1432" t="s">
        <v>577</v>
      </c>
      <c r="F1432">
        <v>3</v>
      </c>
    </row>
    <row r="1433" spans="1:6" ht="13.2">
      <c r="A1433" t="s">
        <v>5044</v>
      </c>
      <c r="B1433">
        <v>600</v>
      </c>
      <c r="C1433" s="44">
        <v>1370</v>
      </c>
      <c r="D1433" t="s">
        <v>291</v>
      </c>
      <c r="E1433" t="s">
        <v>577</v>
      </c>
      <c r="F1433">
        <v>3</v>
      </c>
    </row>
    <row r="1434" spans="1:6" ht="13.2">
      <c r="A1434" t="s">
        <v>5481</v>
      </c>
      <c r="B1434">
        <v>25</v>
      </c>
      <c r="C1434" s="44" t="s">
        <v>200</v>
      </c>
      <c r="D1434" t="s">
        <v>291</v>
      </c>
      <c r="E1434" t="s">
        <v>196</v>
      </c>
      <c r="F1434" t="s">
        <v>280</v>
      </c>
    </row>
    <row r="1435" spans="1:6" ht="13.2">
      <c r="A1435" t="s">
        <v>5482</v>
      </c>
      <c r="B1435">
        <v>25</v>
      </c>
      <c r="C1435" s="44" t="s">
        <v>200</v>
      </c>
      <c r="D1435" t="s">
        <v>291</v>
      </c>
      <c r="E1435" t="s">
        <v>196</v>
      </c>
      <c r="F1435" t="s">
        <v>280</v>
      </c>
    </row>
    <row r="1436" spans="1:6" ht="13.2">
      <c r="A1436" t="s">
        <v>5483</v>
      </c>
      <c r="B1436">
        <v>25</v>
      </c>
      <c r="C1436" s="44" t="s">
        <v>200</v>
      </c>
      <c r="D1436" t="s">
        <v>291</v>
      </c>
      <c r="E1436" t="s">
        <v>196</v>
      </c>
      <c r="F1436" t="s">
        <v>280</v>
      </c>
    </row>
    <row r="1437" spans="1:6" ht="13.2">
      <c r="A1437" t="s">
        <v>5484</v>
      </c>
      <c r="B1437">
        <v>25</v>
      </c>
      <c r="C1437" s="44" t="s">
        <v>200</v>
      </c>
      <c r="D1437" t="s">
        <v>291</v>
      </c>
      <c r="E1437" t="s">
        <v>196</v>
      </c>
      <c r="F1437" t="s">
        <v>280</v>
      </c>
    </row>
    <row r="1438" spans="1:6" ht="13.2">
      <c r="A1438" t="s">
        <v>5485</v>
      </c>
      <c r="B1438">
        <v>25</v>
      </c>
      <c r="C1438" s="44" t="s">
        <v>200</v>
      </c>
      <c r="D1438" t="s">
        <v>291</v>
      </c>
      <c r="E1438" t="s">
        <v>196</v>
      </c>
      <c r="F1438" t="s">
        <v>280</v>
      </c>
    </row>
    <row r="1439" spans="1:6" ht="13.2">
      <c r="A1439" t="s">
        <v>5486</v>
      </c>
      <c r="B1439">
        <v>25</v>
      </c>
      <c r="C1439" s="44" t="s">
        <v>200</v>
      </c>
      <c r="D1439" t="s">
        <v>291</v>
      </c>
      <c r="E1439" t="s">
        <v>196</v>
      </c>
      <c r="F1439" t="s">
        <v>280</v>
      </c>
    </row>
    <row r="1440" spans="1:6" ht="13.2">
      <c r="A1440" t="s">
        <v>5487</v>
      </c>
      <c r="B1440">
        <v>25</v>
      </c>
      <c r="C1440" s="44" t="s">
        <v>200</v>
      </c>
      <c r="D1440" t="s">
        <v>291</v>
      </c>
      <c r="E1440" t="s">
        <v>196</v>
      </c>
      <c r="F1440" t="s">
        <v>280</v>
      </c>
    </row>
    <row r="1441" spans="1:6" ht="13.2">
      <c r="A1441" t="s">
        <v>5488</v>
      </c>
      <c r="B1441">
        <v>25</v>
      </c>
      <c r="C1441" s="44" t="s">
        <v>200</v>
      </c>
      <c r="D1441" t="s">
        <v>291</v>
      </c>
      <c r="E1441" t="s">
        <v>196</v>
      </c>
      <c r="F1441" t="s">
        <v>280</v>
      </c>
    </row>
    <row r="1442" spans="1:6" ht="13.2">
      <c r="A1442" t="s">
        <v>5489</v>
      </c>
      <c r="B1442">
        <v>25</v>
      </c>
      <c r="C1442" s="44" t="s">
        <v>200</v>
      </c>
      <c r="D1442" t="s">
        <v>291</v>
      </c>
      <c r="E1442" t="s">
        <v>196</v>
      </c>
      <c r="F1442" t="s">
        <v>280</v>
      </c>
    </row>
    <row r="1443" spans="1:6" ht="13.2">
      <c r="A1443" t="s">
        <v>5490</v>
      </c>
      <c r="B1443">
        <v>25</v>
      </c>
      <c r="C1443" s="44" t="s">
        <v>200</v>
      </c>
      <c r="D1443" t="s">
        <v>291</v>
      </c>
      <c r="E1443" t="s">
        <v>196</v>
      </c>
      <c r="F1443" t="s">
        <v>280</v>
      </c>
    </row>
    <row r="1444" spans="1:6" ht="13.2">
      <c r="A1444" t="s">
        <v>5491</v>
      </c>
      <c r="B1444">
        <v>25</v>
      </c>
      <c r="C1444" s="44" t="s">
        <v>200</v>
      </c>
      <c r="D1444" t="s">
        <v>291</v>
      </c>
      <c r="E1444" t="s">
        <v>196</v>
      </c>
      <c r="F1444" t="s">
        <v>280</v>
      </c>
    </row>
    <row r="1445" spans="1:6" ht="13.2">
      <c r="A1445" t="s">
        <v>5492</v>
      </c>
      <c r="B1445">
        <v>25</v>
      </c>
      <c r="C1445" s="44" t="s">
        <v>200</v>
      </c>
      <c r="D1445" t="s">
        <v>291</v>
      </c>
      <c r="E1445" t="s">
        <v>196</v>
      </c>
      <c r="F1445" t="s">
        <v>280</v>
      </c>
    </row>
    <row r="1446" spans="1:6" ht="13.2">
      <c r="A1446" t="s">
        <v>5493</v>
      </c>
      <c r="B1446">
        <v>25</v>
      </c>
      <c r="C1446" s="44" t="s">
        <v>200</v>
      </c>
      <c r="D1446" t="s">
        <v>291</v>
      </c>
      <c r="E1446" t="s">
        <v>196</v>
      </c>
      <c r="F1446" t="s">
        <v>280</v>
      </c>
    </row>
    <row r="1447" spans="1:6" ht="13.2">
      <c r="A1447" t="s">
        <v>5494</v>
      </c>
      <c r="B1447">
        <v>25</v>
      </c>
      <c r="C1447" s="44" t="s">
        <v>200</v>
      </c>
      <c r="D1447" t="s">
        <v>291</v>
      </c>
      <c r="E1447" t="s">
        <v>196</v>
      </c>
      <c r="F1447" t="s">
        <v>280</v>
      </c>
    </row>
    <row r="1448" spans="1:6" ht="13.2">
      <c r="A1448" t="s">
        <v>5495</v>
      </c>
      <c r="B1448">
        <v>25</v>
      </c>
      <c r="C1448" s="44" t="s">
        <v>200</v>
      </c>
      <c r="D1448" t="s">
        <v>291</v>
      </c>
      <c r="E1448" t="s">
        <v>196</v>
      </c>
      <c r="F1448" t="s">
        <v>280</v>
      </c>
    </row>
    <row r="1449" spans="1:6" ht="13.2">
      <c r="A1449" t="s">
        <v>5496</v>
      </c>
      <c r="B1449">
        <v>25</v>
      </c>
      <c r="C1449" s="44" t="s">
        <v>200</v>
      </c>
      <c r="D1449" t="s">
        <v>291</v>
      </c>
      <c r="E1449" t="s">
        <v>196</v>
      </c>
      <c r="F1449" t="s">
        <v>280</v>
      </c>
    </row>
    <row r="1450" spans="1:6" ht="13.2">
      <c r="A1450" t="s">
        <v>5497</v>
      </c>
      <c r="B1450">
        <v>25</v>
      </c>
      <c r="C1450" s="44" t="s">
        <v>200</v>
      </c>
      <c r="D1450" t="s">
        <v>291</v>
      </c>
      <c r="E1450" t="s">
        <v>196</v>
      </c>
      <c r="F1450" t="s">
        <v>280</v>
      </c>
    </row>
    <row r="1451" spans="1:6" ht="13.2">
      <c r="A1451" t="s">
        <v>5498</v>
      </c>
      <c r="B1451">
        <v>25</v>
      </c>
      <c r="C1451" s="44" t="s">
        <v>200</v>
      </c>
      <c r="D1451" t="s">
        <v>291</v>
      </c>
      <c r="E1451" t="s">
        <v>196</v>
      </c>
      <c r="F1451" t="s">
        <v>280</v>
      </c>
    </row>
    <row r="1452" spans="1:6" ht="13.2">
      <c r="A1452" t="s">
        <v>5499</v>
      </c>
      <c r="B1452">
        <v>25</v>
      </c>
      <c r="C1452" s="44" t="s">
        <v>200</v>
      </c>
      <c r="D1452" t="s">
        <v>291</v>
      </c>
      <c r="E1452" t="s">
        <v>196</v>
      </c>
      <c r="F1452" t="s">
        <v>280</v>
      </c>
    </row>
    <row r="1453" spans="1:6" ht="13.2">
      <c r="A1453" t="s">
        <v>5500</v>
      </c>
      <c r="B1453">
        <v>25</v>
      </c>
      <c r="C1453" s="44" t="s">
        <v>200</v>
      </c>
      <c r="D1453" t="s">
        <v>291</v>
      </c>
      <c r="E1453" t="s">
        <v>196</v>
      </c>
      <c r="F1453" t="s">
        <v>280</v>
      </c>
    </row>
    <row r="1454" spans="1:6" ht="13.2">
      <c r="A1454" t="s">
        <v>5501</v>
      </c>
      <c r="B1454">
        <v>25</v>
      </c>
      <c r="C1454" s="44" t="s">
        <v>200</v>
      </c>
      <c r="D1454" t="s">
        <v>291</v>
      </c>
      <c r="E1454" t="s">
        <v>196</v>
      </c>
      <c r="F1454" t="s">
        <v>280</v>
      </c>
    </row>
    <row r="1455" spans="1:6" ht="13.2">
      <c r="A1455" t="s">
        <v>5502</v>
      </c>
      <c r="B1455">
        <v>25</v>
      </c>
      <c r="C1455" s="44" t="s">
        <v>200</v>
      </c>
      <c r="D1455" t="s">
        <v>291</v>
      </c>
      <c r="E1455" t="s">
        <v>196</v>
      </c>
      <c r="F1455" t="s">
        <v>280</v>
      </c>
    </row>
    <row r="1456" spans="1:6" ht="13.2">
      <c r="A1456" t="s">
        <v>5503</v>
      </c>
      <c r="B1456">
        <v>25</v>
      </c>
      <c r="C1456" s="44" t="s">
        <v>200</v>
      </c>
      <c r="D1456" t="s">
        <v>291</v>
      </c>
      <c r="E1456" t="s">
        <v>196</v>
      </c>
      <c r="F1456" t="s">
        <v>280</v>
      </c>
    </row>
    <row r="1457" spans="1:6" ht="13.2">
      <c r="A1457" t="s">
        <v>5504</v>
      </c>
      <c r="B1457">
        <v>25</v>
      </c>
      <c r="C1457" s="44" t="s">
        <v>200</v>
      </c>
      <c r="D1457" t="s">
        <v>291</v>
      </c>
      <c r="E1457" t="s">
        <v>196</v>
      </c>
      <c r="F1457" t="s">
        <v>280</v>
      </c>
    </row>
    <row r="1458" spans="1:6" ht="13.2">
      <c r="A1458" t="s">
        <v>5505</v>
      </c>
      <c r="B1458">
        <v>25</v>
      </c>
      <c r="C1458" s="44" t="s">
        <v>200</v>
      </c>
      <c r="D1458" t="s">
        <v>291</v>
      </c>
      <c r="E1458" t="s">
        <v>196</v>
      </c>
      <c r="F1458" t="s">
        <v>280</v>
      </c>
    </row>
    <row r="1459" spans="1:6" ht="13.2">
      <c r="A1459" t="s">
        <v>2174</v>
      </c>
      <c r="B1459">
        <v>25</v>
      </c>
      <c r="C1459" s="44" t="s">
        <v>200</v>
      </c>
      <c r="D1459" t="s">
        <v>291</v>
      </c>
      <c r="E1459" t="s">
        <v>196</v>
      </c>
      <c r="F1459">
        <v>4</v>
      </c>
    </row>
    <row r="1460" spans="1:6" ht="13.2">
      <c r="A1460" t="s">
        <v>2175</v>
      </c>
      <c r="B1460">
        <v>25</v>
      </c>
      <c r="C1460" s="44" t="s">
        <v>200</v>
      </c>
      <c r="D1460" t="s">
        <v>291</v>
      </c>
      <c r="E1460" t="s">
        <v>196</v>
      </c>
      <c r="F1460">
        <v>4</v>
      </c>
    </row>
    <row r="1461" spans="1:6" ht="13.2">
      <c r="A1461" t="s">
        <v>2176</v>
      </c>
      <c r="B1461">
        <v>25</v>
      </c>
      <c r="C1461" s="44" t="s">
        <v>200</v>
      </c>
      <c r="D1461" t="s">
        <v>291</v>
      </c>
      <c r="E1461" t="s">
        <v>196</v>
      </c>
      <c r="F1461">
        <v>4</v>
      </c>
    </row>
    <row r="1462" spans="1:6" ht="13.2">
      <c r="A1462" t="s">
        <v>2177</v>
      </c>
      <c r="B1462">
        <v>25</v>
      </c>
      <c r="C1462" s="44" t="s">
        <v>200</v>
      </c>
      <c r="D1462" t="s">
        <v>291</v>
      </c>
      <c r="E1462" t="s">
        <v>196</v>
      </c>
      <c r="F1462">
        <v>4</v>
      </c>
    </row>
    <row r="1463" spans="1:6" ht="13.2">
      <c r="A1463" t="s">
        <v>2178</v>
      </c>
      <c r="B1463">
        <v>25</v>
      </c>
      <c r="C1463" s="44" t="s">
        <v>200</v>
      </c>
      <c r="D1463" t="s">
        <v>291</v>
      </c>
      <c r="E1463" t="s">
        <v>196</v>
      </c>
      <c r="F1463">
        <v>4</v>
      </c>
    </row>
    <row r="1464" spans="1:6" ht="13.2">
      <c r="A1464" t="s">
        <v>2179</v>
      </c>
      <c r="B1464">
        <v>25</v>
      </c>
      <c r="C1464" s="44" t="s">
        <v>200</v>
      </c>
      <c r="D1464" t="s">
        <v>291</v>
      </c>
      <c r="E1464" t="s">
        <v>196</v>
      </c>
      <c r="F1464">
        <v>4</v>
      </c>
    </row>
    <row r="1465" spans="1:6" ht="13.2">
      <c r="A1465" t="s">
        <v>2180</v>
      </c>
      <c r="B1465">
        <v>25</v>
      </c>
      <c r="C1465" s="44" t="s">
        <v>200</v>
      </c>
      <c r="D1465" t="s">
        <v>291</v>
      </c>
      <c r="E1465" t="s">
        <v>196</v>
      </c>
      <c r="F1465">
        <v>4</v>
      </c>
    </row>
    <row r="1466" spans="1:6" ht="13.2">
      <c r="A1466" t="s">
        <v>2181</v>
      </c>
      <c r="B1466">
        <v>25</v>
      </c>
      <c r="C1466" s="44" t="s">
        <v>200</v>
      </c>
      <c r="D1466" t="s">
        <v>291</v>
      </c>
      <c r="E1466" t="s">
        <v>196</v>
      </c>
      <c r="F1466">
        <v>4</v>
      </c>
    </row>
    <row r="1467" spans="1:6" ht="13.2">
      <c r="A1467" t="s">
        <v>2182</v>
      </c>
      <c r="B1467">
        <v>25</v>
      </c>
      <c r="C1467" s="44" t="s">
        <v>200</v>
      </c>
      <c r="D1467" t="s">
        <v>291</v>
      </c>
      <c r="E1467" t="s">
        <v>196</v>
      </c>
      <c r="F1467">
        <v>4</v>
      </c>
    </row>
    <row r="1468" spans="1:6" ht="13.2">
      <c r="A1468" t="s">
        <v>2183</v>
      </c>
      <c r="B1468">
        <v>25</v>
      </c>
      <c r="C1468" s="44" t="s">
        <v>200</v>
      </c>
      <c r="D1468" t="s">
        <v>291</v>
      </c>
      <c r="E1468" t="s">
        <v>196</v>
      </c>
      <c r="F1468">
        <v>4</v>
      </c>
    </row>
    <row r="1469" spans="1:6" ht="13.2">
      <c r="A1469" t="s">
        <v>2184</v>
      </c>
      <c r="B1469">
        <v>25</v>
      </c>
      <c r="C1469" s="44" t="s">
        <v>200</v>
      </c>
      <c r="D1469" t="s">
        <v>291</v>
      </c>
      <c r="E1469" t="s">
        <v>196</v>
      </c>
      <c r="F1469">
        <v>4</v>
      </c>
    </row>
    <row r="1470" spans="1:6" ht="13.2">
      <c r="A1470" t="s">
        <v>2185</v>
      </c>
      <c r="B1470">
        <v>25</v>
      </c>
      <c r="C1470" s="44" t="s">
        <v>200</v>
      </c>
      <c r="D1470" t="s">
        <v>291</v>
      </c>
      <c r="E1470" t="s">
        <v>196</v>
      </c>
      <c r="F1470">
        <v>4</v>
      </c>
    </row>
    <row r="1471" spans="1:6" ht="13.2">
      <c r="A1471" t="s">
        <v>2186</v>
      </c>
      <c r="B1471">
        <v>25</v>
      </c>
      <c r="C1471" s="44" t="s">
        <v>200</v>
      </c>
      <c r="D1471" t="s">
        <v>291</v>
      </c>
      <c r="E1471" t="s">
        <v>196</v>
      </c>
      <c r="F1471">
        <v>4</v>
      </c>
    </row>
    <row r="1472" spans="1:6" ht="13.2">
      <c r="A1472" t="s">
        <v>2187</v>
      </c>
      <c r="B1472">
        <v>25</v>
      </c>
      <c r="C1472" s="44" t="s">
        <v>200</v>
      </c>
      <c r="D1472" t="s">
        <v>291</v>
      </c>
      <c r="E1472" t="s">
        <v>196</v>
      </c>
      <c r="F1472">
        <v>4</v>
      </c>
    </row>
    <row r="1473" spans="1:6" ht="13.2">
      <c r="A1473" t="s">
        <v>2188</v>
      </c>
      <c r="B1473">
        <v>25</v>
      </c>
      <c r="C1473" s="44" t="s">
        <v>200</v>
      </c>
      <c r="D1473" t="s">
        <v>291</v>
      </c>
      <c r="E1473" t="s">
        <v>196</v>
      </c>
      <c r="F1473">
        <v>4</v>
      </c>
    </row>
    <row r="1474" spans="1:6" ht="13.2">
      <c r="A1474" t="s">
        <v>2189</v>
      </c>
      <c r="B1474">
        <v>25</v>
      </c>
      <c r="C1474" s="44" t="s">
        <v>200</v>
      </c>
      <c r="D1474" t="s">
        <v>291</v>
      </c>
      <c r="E1474" t="s">
        <v>196</v>
      </c>
      <c r="F1474">
        <v>4</v>
      </c>
    </row>
    <row r="1475" spans="1:6" ht="13.2">
      <c r="A1475" t="s">
        <v>2190</v>
      </c>
      <c r="B1475">
        <v>25</v>
      </c>
      <c r="C1475" s="44" t="s">
        <v>200</v>
      </c>
      <c r="D1475" t="s">
        <v>291</v>
      </c>
      <c r="E1475" t="s">
        <v>196</v>
      </c>
      <c r="F1475">
        <v>4</v>
      </c>
    </row>
    <row r="1476" spans="1:6" ht="13.2">
      <c r="A1476" t="s">
        <v>2191</v>
      </c>
      <c r="B1476">
        <v>25</v>
      </c>
      <c r="C1476" s="44" t="s">
        <v>200</v>
      </c>
      <c r="D1476" t="s">
        <v>291</v>
      </c>
      <c r="E1476" t="s">
        <v>196</v>
      </c>
      <c r="F1476">
        <v>4</v>
      </c>
    </row>
    <row r="1477" spans="1:6" ht="13.2">
      <c r="A1477" t="s">
        <v>2192</v>
      </c>
      <c r="B1477">
        <v>25</v>
      </c>
      <c r="C1477" s="44" t="s">
        <v>200</v>
      </c>
      <c r="D1477" t="s">
        <v>291</v>
      </c>
      <c r="E1477" t="s">
        <v>196</v>
      </c>
      <c r="F1477">
        <v>4</v>
      </c>
    </row>
    <row r="1478" spans="1:6" ht="13.2">
      <c r="A1478" t="s">
        <v>2193</v>
      </c>
      <c r="B1478">
        <v>25</v>
      </c>
      <c r="C1478" s="44" t="s">
        <v>200</v>
      </c>
      <c r="D1478" t="s">
        <v>291</v>
      </c>
      <c r="E1478" t="s">
        <v>196</v>
      </c>
      <c r="F1478">
        <v>4</v>
      </c>
    </row>
    <row r="1479" spans="1:6" ht="13.2">
      <c r="A1479" t="s">
        <v>2194</v>
      </c>
      <c r="B1479">
        <v>25</v>
      </c>
      <c r="C1479" s="44" t="s">
        <v>200</v>
      </c>
      <c r="D1479" t="s">
        <v>291</v>
      </c>
      <c r="E1479" t="s">
        <v>196</v>
      </c>
      <c r="F1479">
        <v>4</v>
      </c>
    </row>
    <row r="1480" spans="1:6" ht="13.2">
      <c r="A1480" t="s">
        <v>2195</v>
      </c>
      <c r="B1480">
        <v>25</v>
      </c>
      <c r="C1480" s="44" t="s">
        <v>200</v>
      </c>
      <c r="D1480" t="s">
        <v>291</v>
      </c>
      <c r="E1480" t="s">
        <v>196</v>
      </c>
      <c r="F1480">
        <v>4</v>
      </c>
    </row>
    <row r="1481" spans="1:6" ht="13.2">
      <c r="A1481" t="s">
        <v>2196</v>
      </c>
      <c r="B1481">
        <v>25</v>
      </c>
      <c r="C1481" s="44" t="s">
        <v>200</v>
      </c>
      <c r="D1481" t="s">
        <v>291</v>
      </c>
      <c r="E1481" t="s">
        <v>196</v>
      </c>
      <c r="F1481">
        <v>4</v>
      </c>
    </row>
    <row r="1482" spans="1:6" ht="13.2">
      <c r="A1482" t="s">
        <v>2197</v>
      </c>
      <c r="B1482">
        <v>25</v>
      </c>
      <c r="C1482" s="44" t="s">
        <v>200</v>
      </c>
      <c r="D1482" t="s">
        <v>291</v>
      </c>
      <c r="E1482" t="s">
        <v>196</v>
      </c>
      <c r="F1482">
        <v>4</v>
      </c>
    </row>
    <row r="1483" spans="1:6" ht="13.2">
      <c r="A1483" t="s">
        <v>2198</v>
      </c>
      <c r="B1483">
        <v>25</v>
      </c>
      <c r="C1483" s="44" t="s">
        <v>200</v>
      </c>
      <c r="D1483" t="s">
        <v>291</v>
      </c>
      <c r="E1483" t="s">
        <v>196</v>
      </c>
      <c r="F1483">
        <v>4</v>
      </c>
    </row>
    <row r="1484" spans="1:6" ht="13.2">
      <c r="A1484" t="s">
        <v>2199</v>
      </c>
      <c r="B1484">
        <v>0</v>
      </c>
      <c r="C1484" s="44" t="s">
        <v>200</v>
      </c>
      <c r="D1484" t="s">
        <v>291</v>
      </c>
      <c r="E1484" t="s">
        <v>231</v>
      </c>
      <c r="F1484">
        <v>4</v>
      </c>
    </row>
    <row r="1485" spans="1:6" ht="13.2">
      <c r="A1485" t="s">
        <v>2200</v>
      </c>
      <c r="B1485">
        <v>0</v>
      </c>
      <c r="C1485" s="44" t="s">
        <v>200</v>
      </c>
      <c r="D1485" t="s">
        <v>291</v>
      </c>
      <c r="E1485" t="s">
        <v>231</v>
      </c>
      <c r="F1485">
        <v>4</v>
      </c>
    </row>
    <row r="1486" spans="1:6" ht="13.2">
      <c r="A1486" t="s">
        <v>2201</v>
      </c>
      <c r="B1486">
        <v>0</v>
      </c>
      <c r="C1486" s="44" t="s">
        <v>200</v>
      </c>
      <c r="D1486" t="s">
        <v>291</v>
      </c>
      <c r="E1486" t="s">
        <v>231</v>
      </c>
      <c r="F1486">
        <v>4</v>
      </c>
    </row>
    <row r="1487" spans="1:6" ht="13.2">
      <c r="A1487" t="s">
        <v>2202</v>
      </c>
      <c r="B1487">
        <v>0</v>
      </c>
      <c r="C1487" s="44" t="s">
        <v>200</v>
      </c>
      <c r="D1487" t="s">
        <v>291</v>
      </c>
      <c r="E1487" t="s">
        <v>231</v>
      </c>
      <c r="F1487">
        <v>4</v>
      </c>
    </row>
    <row r="1488" spans="1:6" ht="13.2">
      <c r="A1488" t="s">
        <v>2203</v>
      </c>
      <c r="B1488">
        <v>0</v>
      </c>
      <c r="C1488" s="44" t="s">
        <v>200</v>
      </c>
      <c r="D1488" t="s">
        <v>291</v>
      </c>
      <c r="E1488" t="s">
        <v>231</v>
      </c>
      <c r="F1488">
        <v>4</v>
      </c>
    </row>
    <row r="1489" spans="1:6" ht="13.2">
      <c r="A1489" t="s">
        <v>2204</v>
      </c>
      <c r="B1489">
        <v>0</v>
      </c>
      <c r="C1489" s="44" t="s">
        <v>200</v>
      </c>
      <c r="D1489" t="s">
        <v>291</v>
      </c>
      <c r="E1489" t="s">
        <v>231</v>
      </c>
      <c r="F1489">
        <v>4</v>
      </c>
    </row>
    <row r="1490" spans="1:6" ht="13.2">
      <c r="A1490" t="s">
        <v>2205</v>
      </c>
      <c r="B1490">
        <v>0</v>
      </c>
      <c r="C1490" s="44" t="s">
        <v>200</v>
      </c>
      <c r="D1490" t="s">
        <v>291</v>
      </c>
      <c r="E1490" t="s">
        <v>231</v>
      </c>
      <c r="F1490">
        <v>4</v>
      </c>
    </row>
    <row r="1491" spans="1:6" ht="13.2">
      <c r="A1491" t="s">
        <v>2206</v>
      </c>
      <c r="B1491">
        <v>0</v>
      </c>
      <c r="C1491" s="44" t="s">
        <v>200</v>
      </c>
      <c r="D1491" t="s">
        <v>291</v>
      </c>
      <c r="E1491" t="s">
        <v>231</v>
      </c>
      <c r="F1491">
        <v>4</v>
      </c>
    </row>
    <row r="1492" spans="1:6" ht="13.2">
      <c r="A1492" t="s">
        <v>2207</v>
      </c>
      <c r="B1492">
        <v>0</v>
      </c>
      <c r="C1492" s="44" t="s">
        <v>200</v>
      </c>
      <c r="D1492" t="s">
        <v>291</v>
      </c>
      <c r="E1492" t="s">
        <v>231</v>
      </c>
      <c r="F1492">
        <v>4</v>
      </c>
    </row>
    <row r="1493" spans="1:6" ht="13.2">
      <c r="A1493" t="s">
        <v>2208</v>
      </c>
      <c r="B1493">
        <v>0</v>
      </c>
      <c r="C1493" s="44" t="s">
        <v>200</v>
      </c>
      <c r="D1493" t="s">
        <v>291</v>
      </c>
      <c r="E1493" t="s">
        <v>231</v>
      </c>
      <c r="F1493">
        <v>4</v>
      </c>
    </row>
    <row r="1494" spans="1:6" ht="13.2">
      <c r="A1494" t="s">
        <v>2209</v>
      </c>
      <c r="B1494">
        <v>0</v>
      </c>
      <c r="C1494" s="44" t="s">
        <v>200</v>
      </c>
      <c r="D1494" t="s">
        <v>291</v>
      </c>
      <c r="E1494" t="s">
        <v>231</v>
      </c>
      <c r="F1494">
        <v>4</v>
      </c>
    </row>
    <row r="1495" spans="1:6" ht="13.2">
      <c r="A1495" t="s">
        <v>2210</v>
      </c>
      <c r="B1495">
        <v>0</v>
      </c>
      <c r="C1495" s="44" t="s">
        <v>200</v>
      </c>
      <c r="D1495" t="s">
        <v>291</v>
      </c>
      <c r="E1495" t="s">
        <v>231</v>
      </c>
      <c r="F1495">
        <v>4</v>
      </c>
    </row>
    <row r="1496" spans="1:6" ht="13.2">
      <c r="A1496" t="s">
        <v>2211</v>
      </c>
      <c r="B1496">
        <v>0</v>
      </c>
      <c r="C1496" s="44" t="s">
        <v>200</v>
      </c>
      <c r="D1496" t="s">
        <v>291</v>
      </c>
      <c r="E1496" t="s">
        <v>231</v>
      </c>
      <c r="F1496">
        <v>4</v>
      </c>
    </row>
    <row r="1497" spans="1:6" ht="13.2">
      <c r="A1497" t="s">
        <v>2212</v>
      </c>
      <c r="B1497">
        <v>0</v>
      </c>
      <c r="C1497" s="44" t="s">
        <v>200</v>
      </c>
      <c r="D1497" t="s">
        <v>291</v>
      </c>
      <c r="E1497" t="s">
        <v>231</v>
      </c>
      <c r="F1497">
        <v>4</v>
      </c>
    </row>
    <row r="1498" spans="1:6" ht="13.2">
      <c r="A1498" t="s">
        <v>2213</v>
      </c>
      <c r="B1498">
        <v>0</v>
      </c>
      <c r="C1498" s="44" t="s">
        <v>200</v>
      </c>
      <c r="D1498" t="s">
        <v>291</v>
      </c>
      <c r="E1498" t="s">
        <v>231</v>
      </c>
      <c r="F1498">
        <v>4</v>
      </c>
    </row>
    <row r="1499" spans="1:6" ht="13.2">
      <c r="A1499" t="s">
        <v>312</v>
      </c>
      <c r="B1499">
        <v>0</v>
      </c>
      <c r="C1499" s="44" t="s">
        <v>200</v>
      </c>
      <c r="D1499" t="s">
        <v>291</v>
      </c>
      <c r="E1499" t="s">
        <v>231</v>
      </c>
      <c r="F1499" t="s">
        <v>280</v>
      </c>
    </row>
    <row r="1500" spans="1:6" ht="13.2">
      <c r="A1500" t="s">
        <v>313</v>
      </c>
      <c r="B1500">
        <v>0</v>
      </c>
      <c r="C1500" s="44" t="s">
        <v>200</v>
      </c>
      <c r="D1500" t="s">
        <v>291</v>
      </c>
      <c r="E1500" t="s">
        <v>231</v>
      </c>
      <c r="F1500" t="s">
        <v>280</v>
      </c>
    </row>
    <row r="1501" spans="1:6" ht="13.2">
      <c r="A1501" t="s">
        <v>314</v>
      </c>
      <c r="B1501">
        <v>0</v>
      </c>
      <c r="C1501" s="44" t="s">
        <v>200</v>
      </c>
      <c r="D1501" t="s">
        <v>291</v>
      </c>
      <c r="E1501" t="s">
        <v>231</v>
      </c>
      <c r="F1501" t="s">
        <v>280</v>
      </c>
    </row>
    <row r="1502" spans="1:6" ht="13.2">
      <c r="A1502" t="s">
        <v>315</v>
      </c>
      <c r="B1502">
        <v>0</v>
      </c>
      <c r="C1502" s="44" t="s">
        <v>200</v>
      </c>
      <c r="D1502" t="s">
        <v>291</v>
      </c>
      <c r="E1502" t="s">
        <v>231</v>
      </c>
      <c r="F1502" t="s">
        <v>280</v>
      </c>
    </row>
    <row r="1503" spans="1:6" ht="13.2">
      <c r="A1503" t="s">
        <v>316</v>
      </c>
      <c r="B1503">
        <v>0</v>
      </c>
      <c r="C1503" s="44" t="s">
        <v>200</v>
      </c>
      <c r="D1503" t="s">
        <v>291</v>
      </c>
      <c r="E1503" t="s">
        <v>231</v>
      </c>
      <c r="F1503" t="s">
        <v>280</v>
      </c>
    </row>
    <row r="1504" spans="1:6" ht="13.2">
      <c r="A1504" t="s">
        <v>317</v>
      </c>
      <c r="B1504">
        <v>0</v>
      </c>
      <c r="C1504" s="44" t="s">
        <v>200</v>
      </c>
      <c r="D1504" t="s">
        <v>291</v>
      </c>
      <c r="E1504" t="s">
        <v>231</v>
      </c>
      <c r="F1504" t="s">
        <v>280</v>
      </c>
    </row>
    <row r="1505" spans="1:6" ht="13.2">
      <c r="A1505" t="s">
        <v>318</v>
      </c>
      <c r="B1505">
        <v>0</v>
      </c>
      <c r="C1505" s="44" t="s">
        <v>200</v>
      </c>
      <c r="D1505" t="s">
        <v>291</v>
      </c>
      <c r="E1505" t="s">
        <v>231</v>
      </c>
      <c r="F1505" t="s">
        <v>280</v>
      </c>
    </row>
    <row r="1506" spans="1:6" ht="13.2">
      <c r="A1506" t="s">
        <v>319</v>
      </c>
      <c r="B1506">
        <v>0</v>
      </c>
      <c r="C1506" s="44" t="s">
        <v>200</v>
      </c>
      <c r="D1506" t="s">
        <v>291</v>
      </c>
      <c r="E1506" t="s">
        <v>231</v>
      </c>
      <c r="F1506" t="s">
        <v>280</v>
      </c>
    </row>
    <row r="1507" spans="1:6" ht="13.2">
      <c r="A1507" t="s">
        <v>320</v>
      </c>
      <c r="B1507">
        <v>0</v>
      </c>
      <c r="C1507" s="44" t="s">
        <v>200</v>
      </c>
      <c r="D1507" t="s">
        <v>291</v>
      </c>
      <c r="E1507" t="s">
        <v>231</v>
      </c>
      <c r="F1507" t="s">
        <v>280</v>
      </c>
    </row>
    <row r="1508" spans="1:6" ht="13.2">
      <c r="A1508" t="s">
        <v>321</v>
      </c>
      <c r="B1508">
        <v>0</v>
      </c>
      <c r="C1508" s="44" t="s">
        <v>200</v>
      </c>
      <c r="D1508" t="s">
        <v>291</v>
      </c>
      <c r="E1508" t="s">
        <v>231</v>
      </c>
      <c r="F1508" t="s">
        <v>280</v>
      </c>
    </row>
    <row r="1509" spans="1:6" ht="13.2">
      <c r="A1509" t="s">
        <v>322</v>
      </c>
      <c r="B1509">
        <v>0</v>
      </c>
      <c r="C1509" s="44" t="s">
        <v>200</v>
      </c>
      <c r="D1509" t="s">
        <v>291</v>
      </c>
      <c r="E1509" t="s">
        <v>231</v>
      </c>
      <c r="F1509" t="s">
        <v>280</v>
      </c>
    </row>
    <row r="1510" spans="1:6" ht="13.2">
      <c r="A1510" t="s">
        <v>323</v>
      </c>
      <c r="B1510">
        <v>0</v>
      </c>
      <c r="C1510" s="44" t="s">
        <v>200</v>
      </c>
      <c r="D1510" t="s">
        <v>291</v>
      </c>
      <c r="E1510" t="s">
        <v>231</v>
      </c>
      <c r="F1510" t="s">
        <v>280</v>
      </c>
    </row>
    <row r="1511" spans="1:6" ht="13.2">
      <c r="A1511" t="s">
        <v>324</v>
      </c>
      <c r="B1511">
        <v>0</v>
      </c>
      <c r="C1511" s="44" t="s">
        <v>200</v>
      </c>
      <c r="D1511" t="s">
        <v>291</v>
      </c>
      <c r="E1511" t="s">
        <v>231</v>
      </c>
      <c r="F1511" t="s">
        <v>280</v>
      </c>
    </row>
    <row r="1512" spans="1:6" ht="13.2">
      <c r="A1512" t="s">
        <v>325</v>
      </c>
      <c r="B1512">
        <v>0</v>
      </c>
      <c r="C1512" s="44" t="s">
        <v>200</v>
      </c>
      <c r="D1512" t="s">
        <v>291</v>
      </c>
      <c r="E1512" t="s">
        <v>231</v>
      </c>
      <c r="F1512" t="s">
        <v>280</v>
      </c>
    </row>
    <row r="1513" spans="1:6" ht="13.2">
      <c r="A1513" t="s">
        <v>326</v>
      </c>
      <c r="B1513">
        <v>0</v>
      </c>
      <c r="C1513" s="44" t="s">
        <v>200</v>
      </c>
      <c r="D1513" t="s">
        <v>291</v>
      </c>
      <c r="E1513" t="s">
        <v>231</v>
      </c>
      <c r="F1513" t="s">
        <v>280</v>
      </c>
    </row>
    <row r="1514" spans="1:6" ht="13.2">
      <c r="A1514" t="s">
        <v>2214</v>
      </c>
      <c r="B1514">
        <v>330</v>
      </c>
      <c r="C1514" s="44">
        <v>1400</v>
      </c>
      <c r="D1514" t="s">
        <v>291</v>
      </c>
      <c r="E1514" t="s">
        <v>363</v>
      </c>
      <c r="F1514">
        <v>4</v>
      </c>
    </row>
    <row r="1515" spans="1:6" ht="13.2">
      <c r="A1515" t="s">
        <v>2215</v>
      </c>
      <c r="B1515">
        <v>330</v>
      </c>
      <c r="C1515" s="44">
        <v>1400</v>
      </c>
      <c r="D1515" t="s">
        <v>291</v>
      </c>
      <c r="E1515" t="s">
        <v>363</v>
      </c>
      <c r="F1515">
        <v>4</v>
      </c>
    </row>
    <row r="1516" spans="1:6" ht="13.2">
      <c r="A1516" t="s">
        <v>2216</v>
      </c>
      <c r="B1516">
        <v>330</v>
      </c>
      <c r="C1516" s="44">
        <v>1400</v>
      </c>
      <c r="D1516" t="s">
        <v>291</v>
      </c>
      <c r="E1516" t="s">
        <v>363</v>
      </c>
      <c r="F1516">
        <v>4</v>
      </c>
    </row>
    <row r="1517" spans="1:6" ht="13.2">
      <c r="A1517" t="s">
        <v>2217</v>
      </c>
      <c r="B1517">
        <v>330</v>
      </c>
      <c r="C1517" s="44">
        <v>1400</v>
      </c>
      <c r="D1517" t="s">
        <v>291</v>
      </c>
      <c r="E1517" t="s">
        <v>363</v>
      </c>
      <c r="F1517">
        <v>4</v>
      </c>
    </row>
    <row r="1518" spans="1:6" ht="13.2">
      <c r="A1518" t="s">
        <v>2218</v>
      </c>
      <c r="B1518">
        <v>330</v>
      </c>
      <c r="C1518" s="44">
        <v>1400</v>
      </c>
      <c r="D1518" t="s">
        <v>291</v>
      </c>
      <c r="E1518" t="s">
        <v>363</v>
      </c>
      <c r="F1518">
        <v>4</v>
      </c>
    </row>
    <row r="1519" spans="1:6" ht="13.2">
      <c r="A1519" t="s">
        <v>2219</v>
      </c>
      <c r="B1519">
        <v>330</v>
      </c>
      <c r="C1519" s="44">
        <v>1400</v>
      </c>
      <c r="D1519" t="s">
        <v>291</v>
      </c>
      <c r="E1519" t="s">
        <v>363</v>
      </c>
      <c r="F1519">
        <v>4</v>
      </c>
    </row>
    <row r="1520" spans="1:6" ht="13.2">
      <c r="A1520" t="s">
        <v>2220</v>
      </c>
      <c r="B1520">
        <v>330</v>
      </c>
      <c r="C1520" s="44">
        <v>1400</v>
      </c>
      <c r="D1520" t="s">
        <v>291</v>
      </c>
      <c r="E1520" t="s">
        <v>363</v>
      </c>
      <c r="F1520">
        <v>4</v>
      </c>
    </row>
    <row r="1521" spans="1:6" ht="13.2">
      <c r="A1521" t="s">
        <v>2221</v>
      </c>
      <c r="B1521">
        <v>330</v>
      </c>
      <c r="C1521" s="44">
        <v>1400</v>
      </c>
      <c r="D1521" t="s">
        <v>291</v>
      </c>
      <c r="E1521" t="s">
        <v>363</v>
      </c>
      <c r="F1521">
        <v>4</v>
      </c>
    </row>
    <row r="1522" spans="1:6" ht="13.2">
      <c r="A1522" t="s">
        <v>2222</v>
      </c>
      <c r="B1522">
        <v>330</v>
      </c>
      <c r="C1522" s="44">
        <v>1400</v>
      </c>
      <c r="D1522" t="s">
        <v>291</v>
      </c>
      <c r="E1522" t="s">
        <v>363</v>
      </c>
      <c r="F1522">
        <v>4</v>
      </c>
    </row>
    <row r="1523" spans="1:6" ht="13.2">
      <c r="A1523" t="s">
        <v>2223</v>
      </c>
      <c r="B1523">
        <v>330</v>
      </c>
      <c r="C1523" s="44">
        <v>1400</v>
      </c>
      <c r="D1523" t="s">
        <v>291</v>
      </c>
      <c r="E1523" t="s">
        <v>363</v>
      </c>
      <c r="F1523">
        <v>4</v>
      </c>
    </row>
    <row r="1524" spans="1:6" ht="13.2">
      <c r="A1524" t="s">
        <v>2224</v>
      </c>
      <c r="B1524">
        <v>330</v>
      </c>
      <c r="C1524" s="44">
        <v>1400</v>
      </c>
      <c r="D1524" t="s">
        <v>291</v>
      </c>
      <c r="E1524" t="s">
        <v>363</v>
      </c>
      <c r="F1524">
        <v>4</v>
      </c>
    </row>
    <row r="1525" spans="1:6" ht="13.2">
      <c r="A1525" t="s">
        <v>2225</v>
      </c>
      <c r="B1525">
        <v>330</v>
      </c>
      <c r="C1525" s="44">
        <v>1400</v>
      </c>
      <c r="D1525" t="s">
        <v>291</v>
      </c>
      <c r="E1525" t="s">
        <v>363</v>
      </c>
      <c r="F1525">
        <v>4</v>
      </c>
    </row>
    <row r="1526" spans="1:6" ht="13.2">
      <c r="A1526" t="s">
        <v>2226</v>
      </c>
      <c r="B1526">
        <v>330</v>
      </c>
      <c r="C1526" s="44">
        <v>1400</v>
      </c>
      <c r="D1526" t="s">
        <v>291</v>
      </c>
      <c r="E1526" t="s">
        <v>363</v>
      </c>
      <c r="F1526">
        <v>4</v>
      </c>
    </row>
    <row r="1527" spans="1:6" ht="13.2">
      <c r="A1527" t="s">
        <v>2227</v>
      </c>
      <c r="B1527">
        <v>330</v>
      </c>
      <c r="C1527" s="44">
        <v>1400</v>
      </c>
      <c r="D1527" t="s">
        <v>291</v>
      </c>
      <c r="E1527" t="s">
        <v>363</v>
      </c>
      <c r="F1527">
        <v>4</v>
      </c>
    </row>
    <row r="1528" spans="1:6" ht="13.2">
      <c r="A1528" t="s">
        <v>2228</v>
      </c>
      <c r="B1528">
        <v>330</v>
      </c>
      <c r="C1528" s="44">
        <v>1400</v>
      </c>
      <c r="D1528" t="s">
        <v>291</v>
      </c>
      <c r="E1528" t="s">
        <v>363</v>
      </c>
      <c r="F1528">
        <v>4</v>
      </c>
    </row>
    <row r="1529" spans="1:6" ht="13.2">
      <c r="A1529" t="s">
        <v>631</v>
      </c>
      <c r="B1529">
        <v>330</v>
      </c>
      <c r="C1529" s="44">
        <v>1400</v>
      </c>
      <c r="D1529" t="s">
        <v>291</v>
      </c>
      <c r="E1529" t="s">
        <v>363</v>
      </c>
      <c r="F1529" t="s">
        <v>280</v>
      </c>
    </row>
    <row r="1530" spans="1:6" ht="13.2">
      <c r="A1530" t="s">
        <v>632</v>
      </c>
      <c r="B1530">
        <v>330</v>
      </c>
      <c r="C1530" s="44">
        <v>1400</v>
      </c>
      <c r="D1530" t="s">
        <v>291</v>
      </c>
      <c r="E1530" t="s">
        <v>363</v>
      </c>
      <c r="F1530" t="s">
        <v>280</v>
      </c>
    </row>
    <row r="1531" spans="1:6" ht="13.2">
      <c r="A1531" t="s">
        <v>633</v>
      </c>
      <c r="B1531">
        <v>330</v>
      </c>
      <c r="C1531" s="44">
        <v>1400</v>
      </c>
      <c r="D1531" t="s">
        <v>291</v>
      </c>
      <c r="E1531" t="s">
        <v>363</v>
      </c>
      <c r="F1531" t="s">
        <v>280</v>
      </c>
    </row>
    <row r="1532" spans="1:6" ht="13.2">
      <c r="A1532" t="s">
        <v>634</v>
      </c>
      <c r="B1532">
        <v>330</v>
      </c>
      <c r="C1532" s="44">
        <v>1400</v>
      </c>
      <c r="D1532" t="s">
        <v>291</v>
      </c>
      <c r="E1532" t="s">
        <v>363</v>
      </c>
      <c r="F1532" t="s">
        <v>280</v>
      </c>
    </row>
    <row r="1533" spans="1:6" ht="13.2">
      <c r="A1533" t="s">
        <v>635</v>
      </c>
      <c r="B1533">
        <v>330</v>
      </c>
      <c r="C1533" s="44">
        <v>1400</v>
      </c>
      <c r="D1533" t="s">
        <v>291</v>
      </c>
      <c r="E1533" t="s">
        <v>363</v>
      </c>
      <c r="F1533" t="s">
        <v>280</v>
      </c>
    </row>
    <row r="1534" spans="1:6" ht="13.2">
      <c r="A1534" t="s">
        <v>636</v>
      </c>
      <c r="B1534">
        <v>330</v>
      </c>
      <c r="C1534" s="44">
        <v>1400</v>
      </c>
      <c r="D1534" t="s">
        <v>291</v>
      </c>
      <c r="E1534" t="s">
        <v>363</v>
      </c>
      <c r="F1534" t="s">
        <v>280</v>
      </c>
    </row>
    <row r="1535" spans="1:6" ht="13.2">
      <c r="A1535" t="s">
        <v>637</v>
      </c>
      <c r="B1535">
        <v>330</v>
      </c>
      <c r="C1535" s="44">
        <v>1400</v>
      </c>
      <c r="D1535" t="s">
        <v>291</v>
      </c>
      <c r="E1535" t="s">
        <v>363</v>
      </c>
      <c r="F1535" t="s">
        <v>280</v>
      </c>
    </row>
    <row r="1536" spans="1:6" ht="13.2">
      <c r="A1536" t="s">
        <v>638</v>
      </c>
      <c r="B1536">
        <v>330</v>
      </c>
      <c r="C1536" s="44">
        <v>1400</v>
      </c>
      <c r="D1536" t="s">
        <v>291</v>
      </c>
      <c r="E1536" t="s">
        <v>363</v>
      </c>
      <c r="F1536" t="s">
        <v>280</v>
      </c>
    </row>
    <row r="1537" spans="1:6" ht="13.2">
      <c r="A1537" t="s">
        <v>639</v>
      </c>
      <c r="B1537">
        <v>330</v>
      </c>
      <c r="C1537" s="44">
        <v>1400</v>
      </c>
      <c r="D1537" t="s">
        <v>291</v>
      </c>
      <c r="E1537" t="s">
        <v>363</v>
      </c>
      <c r="F1537" t="s">
        <v>280</v>
      </c>
    </row>
    <row r="1538" spans="1:6" ht="13.2">
      <c r="A1538" t="s">
        <v>640</v>
      </c>
      <c r="B1538">
        <v>330</v>
      </c>
      <c r="C1538" s="44">
        <v>1400</v>
      </c>
      <c r="D1538" t="s">
        <v>291</v>
      </c>
      <c r="E1538" t="s">
        <v>363</v>
      </c>
      <c r="F1538" t="s">
        <v>280</v>
      </c>
    </row>
    <row r="1539" spans="1:6" ht="13.2">
      <c r="A1539" t="s">
        <v>641</v>
      </c>
      <c r="B1539">
        <v>330</v>
      </c>
      <c r="C1539" s="44">
        <v>1400</v>
      </c>
      <c r="D1539" t="s">
        <v>291</v>
      </c>
      <c r="E1539" t="s">
        <v>363</v>
      </c>
      <c r="F1539" t="s">
        <v>280</v>
      </c>
    </row>
    <row r="1540" spans="1:6" ht="13.2">
      <c r="A1540" t="s">
        <v>642</v>
      </c>
      <c r="B1540">
        <v>330</v>
      </c>
      <c r="C1540" s="44">
        <v>1400</v>
      </c>
      <c r="D1540" t="s">
        <v>291</v>
      </c>
      <c r="E1540" t="s">
        <v>363</v>
      </c>
      <c r="F1540" t="s">
        <v>280</v>
      </c>
    </row>
    <row r="1541" spans="1:6" ht="13.2">
      <c r="A1541" t="s">
        <v>643</v>
      </c>
      <c r="B1541">
        <v>330</v>
      </c>
      <c r="C1541" s="44">
        <v>1400</v>
      </c>
      <c r="D1541" t="s">
        <v>291</v>
      </c>
      <c r="E1541" t="s">
        <v>363</v>
      </c>
      <c r="F1541" t="s">
        <v>280</v>
      </c>
    </row>
    <row r="1542" spans="1:6" ht="13.2">
      <c r="A1542" t="s">
        <v>644</v>
      </c>
      <c r="B1542">
        <v>330</v>
      </c>
      <c r="C1542" s="44">
        <v>1400</v>
      </c>
      <c r="D1542" t="s">
        <v>291</v>
      </c>
      <c r="E1542" t="s">
        <v>363</v>
      </c>
      <c r="F1542" t="s">
        <v>280</v>
      </c>
    </row>
    <row r="1543" spans="1:6" ht="13.2">
      <c r="A1543" t="s">
        <v>645</v>
      </c>
      <c r="B1543">
        <v>330</v>
      </c>
      <c r="C1543" s="44">
        <v>1400</v>
      </c>
      <c r="D1543" t="s">
        <v>291</v>
      </c>
      <c r="E1543" t="s">
        <v>363</v>
      </c>
      <c r="F1543" t="s">
        <v>280</v>
      </c>
    </row>
    <row r="1544" spans="1:6" ht="13.2">
      <c r="A1544" t="s">
        <v>5094</v>
      </c>
      <c r="B1544">
        <v>0</v>
      </c>
      <c r="C1544" s="44">
        <v>2800</v>
      </c>
      <c r="D1544" t="s">
        <v>293</v>
      </c>
      <c r="E1544" t="s">
        <v>256</v>
      </c>
      <c r="F1544">
        <v>4</v>
      </c>
    </row>
    <row r="1545" spans="1:6" ht="13.2">
      <c r="A1545" t="s">
        <v>5089</v>
      </c>
      <c r="B1545">
        <v>0</v>
      </c>
      <c r="C1545" s="44">
        <v>2800</v>
      </c>
      <c r="D1545" t="s">
        <v>293</v>
      </c>
      <c r="E1545" t="s">
        <v>256</v>
      </c>
      <c r="F1545">
        <v>4</v>
      </c>
    </row>
    <row r="1546" spans="1:6" ht="13.2">
      <c r="A1546" t="s">
        <v>5092</v>
      </c>
      <c r="B1546">
        <v>0</v>
      </c>
      <c r="C1546" s="44">
        <v>2800</v>
      </c>
      <c r="D1546" t="s">
        <v>293</v>
      </c>
      <c r="E1546" t="s">
        <v>256</v>
      </c>
      <c r="F1546">
        <v>4</v>
      </c>
    </row>
    <row r="1547" spans="1:6" ht="13.2">
      <c r="A1547" t="s">
        <v>5085</v>
      </c>
      <c r="B1547">
        <v>0</v>
      </c>
      <c r="C1547" s="44">
        <v>2800</v>
      </c>
      <c r="D1547" t="s">
        <v>293</v>
      </c>
      <c r="E1547" t="s">
        <v>256</v>
      </c>
      <c r="F1547">
        <v>4</v>
      </c>
    </row>
    <row r="1548" spans="1:6" ht="13.2">
      <c r="A1548" t="s">
        <v>5096</v>
      </c>
      <c r="B1548">
        <v>0</v>
      </c>
      <c r="C1548" s="44">
        <v>2800</v>
      </c>
      <c r="D1548" t="s">
        <v>293</v>
      </c>
      <c r="E1548" t="s">
        <v>256</v>
      </c>
      <c r="F1548">
        <v>4</v>
      </c>
    </row>
    <row r="1549" spans="1:6" ht="13.2">
      <c r="A1549" t="s">
        <v>5086</v>
      </c>
      <c r="B1549">
        <v>0</v>
      </c>
      <c r="C1549" s="44">
        <v>2800</v>
      </c>
      <c r="D1549" t="s">
        <v>293</v>
      </c>
      <c r="E1549" t="s">
        <v>256</v>
      </c>
      <c r="F1549">
        <v>4</v>
      </c>
    </row>
    <row r="1550" spans="1:6" ht="13.2">
      <c r="A1550" t="s">
        <v>5087</v>
      </c>
      <c r="B1550">
        <v>0</v>
      </c>
      <c r="C1550" s="44">
        <v>2800</v>
      </c>
      <c r="D1550" t="s">
        <v>293</v>
      </c>
      <c r="E1550" t="s">
        <v>256</v>
      </c>
      <c r="F1550">
        <v>4</v>
      </c>
    </row>
    <row r="1551" spans="1:6" ht="13.2">
      <c r="A1551" t="s">
        <v>5093</v>
      </c>
      <c r="B1551">
        <v>0</v>
      </c>
      <c r="C1551" s="44">
        <v>2800</v>
      </c>
      <c r="D1551" t="s">
        <v>293</v>
      </c>
      <c r="E1551" t="s">
        <v>256</v>
      </c>
      <c r="F1551">
        <v>4</v>
      </c>
    </row>
    <row r="1552" spans="1:6" ht="13.2">
      <c r="A1552" t="s">
        <v>5097</v>
      </c>
      <c r="B1552">
        <v>0</v>
      </c>
      <c r="C1552" s="44">
        <v>2800</v>
      </c>
      <c r="D1552" t="s">
        <v>293</v>
      </c>
      <c r="E1552" t="s">
        <v>256</v>
      </c>
      <c r="F1552">
        <v>4</v>
      </c>
    </row>
    <row r="1553" spans="1:6" ht="13.2">
      <c r="A1553" t="s">
        <v>5090</v>
      </c>
      <c r="B1553">
        <v>0</v>
      </c>
      <c r="C1553" s="44">
        <v>2800</v>
      </c>
      <c r="D1553" t="s">
        <v>293</v>
      </c>
      <c r="E1553" t="s">
        <v>256</v>
      </c>
      <c r="F1553">
        <v>4</v>
      </c>
    </row>
    <row r="1554" spans="1:6" ht="13.2">
      <c r="A1554" t="s">
        <v>5095</v>
      </c>
      <c r="B1554">
        <v>0</v>
      </c>
      <c r="C1554" s="44">
        <v>2800</v>
      </c>
      <c r="D1554" t="s">
        <v>293</v>
      </c>
      <c r="E1554" t="s">
        <v>256</v>
      </c>
      <c r="F1554">
        <v>4</v>
      </c>
    </row>
    <row r="1555" spans="1:6" ht="13.2">
      <c r="A1555" t="s">
        <v>5091</v>
      </c>
      <c r="B1555">
        <v>0</v>
      </c>
      <c r="C1555" s="44">
        <v>2800</v>
      </c>
      <c r="D1555" t="s">
        <v>293</v>
      </c>
      <c r="E1555" t="s">
        <v>256</v>
      </c>
      <c r="F1555">
        <v>4</v>
      </c>
    </row>
    <row r="1556" spans="1:6" ht="13.2">
      <c r="A1556" t="s">
        <v>5088</v>
      </c>
      <c r="B1556">
        <v>0</v>
      </c>
      <c r="C1556" s="44">
        <v>2800</v>
      </c>
      <c r="D1556" t="s">
        <v>293</v>
      </c>
      <c r="E1556" t="s">
        <v>256</v>
      </c>
      <c r="F1556">
        <v>4</v>
      </c>
    </row>
    <row r="1557" spans="1:6" ht="13.2">
      <c r="A1557" t="s">
        <v>5098</v>
      </c>
      <c r="B1557">
        <v>0</v>
      </c>
      <c r="C1557" s="44">
        <v>2800</v>
      </c>
      <c r="D1557" t="s">
        <v>293</v>
      </c>
      <c r="E1557" t="s">
        <v>256</v>
      </c>
      <c r="F1557">
        <v>4</v>
      </c>
    </row>
    <row r="1558" spans="1:6" ht="13.2">
      <c r="A1558" t="s">
        <v>4213</v>
      </c>
      <c r="B1558">
        <v>500</v>
      </c>
      <c r="C1558" s="44" t="s">
        <v>204</v>
      </c>
      <c r="D1558" t="s">
        <v>293</v>
      </c>
      <c r="E1558" t="s">
        <v>256</v>
      </c>
      <c r="F1558">
        <v>4</v>
      </c>
    </row>
    <row r="1559" spans="1:6" ht="13.2">
      <c r="A1559" t="s">
        <v>4216</v>
      </c>
      <c r="B1559">
        <v>500</v>
      </c>
      <c r="C1559" s="44" t="s">
        <v>204</v>
      </c>
      <c r="D1559" t="s">
        <v>293</v>
      </c>
      <c r="E1559" t="s">
        <v>256</v>
      </c>
      <c r="F1559">
        <v>4</v>
      </c>
    </row>
    <row r="1560" spans="1:6" ht="13.2">
      <c r="A1560" t="s">
        <v>4214</v>
      </c>
      <c r="B1560">
        <v>500</v>
      </c>
      <c r="C1560" s="44" t="s">
        <v>204</v>
      </c>
      <c r="D1560" t="s">
        <v>293</v>
      </c>
      <c r="E1560" t="s">
        <v>256</v>
      </c>
      <c r="F1560">
        <v>4</v>
      </c>
    </row>
    <row r="1561" spans="1:6" ht="13.2">
      <c r="A1561" t="s">
        <v>4215</v>
      </c>
      <c r="B1561">
        <v>500</v>
      </c>
      <c r="C1561" s="44" t="s">
        <v>204</v>
      </c>
      <c r="D1561" t="s">
        <v>293</v>
      </c>
      <c r="E1561" t="s">
        <v>256</v>
      </c>
      <c r="F1561">
        <v>4</v>
      </c>
    </row>
    <row r="1562" spans="1:6" ht="13.2">
      <c r="A1562" t="s">
        <v>4218</v>
      </c>
      <c r="B1562">
        <v>500</v>
      </c>
      <c r="C1562" s="44" t="s">
        <v>204</v>
      </c>
      <c r="D1562" t="s">
        <v>293</v>
      </c>
      <c r="E1562" t="s">
        <v>256</v>
      </c>
      <c r="F1562">
        <v>4</v>
      </c>
    </row>
    <row r="1563" spans="1:6" ht="13.2">
      <c r="A1563" t="s">
        <v>4217</v>
      </c>
      <c r="B1563">
        <v>500</v>
      </c>
      <c r="C1563" s="44" t="s">
        <v>204</v>
      </c>
      <c r="D1563" t="s">
        <v>293</v>
      </c>
      <c r="E1563" t="s">
        <v>256</v>
      </c>
      <c r="F1563">
        <v>4</v>
      </c>
    </row>
    <row r="1564" spans="1:6" ht="13.2">
      <c r="A1564" t="s">
        <v>4252</v>
      </c>
      <c r="B1564">
        <v>0</v>
      </c>
      <c r="C1564" s="44">
        <v>3080</v>
      </c>
      <c r="D1564" t="s">
        <v>293</v>
      </c>
      <c r="E1564" t="s">
        <v>256</v>
      </c>
      <c r="F1564">
        <v>4</v>
      </c>
    </row>
    <row r="1565" spans="1:6" ht="13.2">
      <c r="A1565" t="s">
        <v>4253</v>
      </c>
      <c r="B1565">
        <v>0</v>
      </c>
      <c r="C1565" s="44">
        <v>3080</v>
      </c>
      <c r="D1565" t="s">
        <v>293</v>
      </c>
      <c r="E1565" t="s">
        <v>256</v>
      </c>
      <c r="F1565">
        <v>4</v>
      </c>
    </row>
    <row r="1566" spans="1:6" ht="13.2">
      <c r="A1566" t="s">
        <v>4254</v>
      </c>
      <c r="B1566">
        <v>0</v>
      </c>
      <c r="C1566" s="44">
        <v>3080</v>
      </c>
      <c r="D1566" t="s">
        <v>293</v>
      </c>
      <c r="E1566" t="s">
        <v>256</v>
      </c>
      <c r="F1566">
        <v>4</v>
      </c>
    </row>
    <row r="1567" spans="1:6" ht="13.2">
      <c r="A1567" t="s">
        <v>4255</v>
      </c>
      <c r="B1567">
        <v>0</v>
      </c>
      <c r="C1567" s="44">
        <v>3080</v>
      </c>
      <c r="D1567" t="s">
        <v>293</v>
      </c>
      <c r="E1567" t="s">
        <v>256</v>
      </c>
      <c r="F1567">
        <v>4</v>
      </c>
    </row>
    <row r="1568" spans="1:6" ht="13.2">
      <c r="A1568" t="s">
        <v>4256</v>
      </c>
      <c r="B1568">
        <v>0</v>
      </c>
      <c r="C1568" s="44">
        <v>3080</v>
      </c>
      <c r="D1568" t="s">
        <v>293</v>
      </c>
      <c r="E1568" t="s">
        <v>256</v>
      </c>
      <c r="F1568">
        <v>4</v>
      </c>
    </row>
    <row r="1569" spans="1:6" ht="13.2">
      <c r="A1569" t="s">
        <v>3342</v>
      </c>
      <c r="B1569">
        <v>630</v>
      </c>
      <c r="C1569" s="44">
        <v>1450</v>
      </c>
      <c r="D1569" t="s">
        <v>291</v>
      </c>
      <c r="E1569" t="s">
        <v>577</v>
      </c>
      <c r="F1569">
        <v>3</v>
      </c>
    </row>
    <row r="1570" spans="1:6" ht="13.2">
      <c r="A1570" t="s">
        <v>3340</v>
      </c>
      <c r="B1570">
        <v>630</v>
      </c>
      <c r="C1570" s="44">
        <v>1450</v>
      </c>
      <c r="D1570" t="s">
        <v>291</v>
      </c>
      <c r="E1570" t="s">
        <v>577</v>
      </c>
      <c r="F1570">
        <v>3</v>
      </c>
    </row>
    <row r="1571" spans="1:6" ht="13.2">
      <c r="A1571" t="s">
        <v>3341</v>
      </c>
      <c r="B1571">
        <v>630</v>
      </c>
      <c r="C1571" s="44">
        <v>1450</v>
      </c>
      <c r="D1571" t="s">
        <v>291</v>
      </c>
      <c r="E1571" t="s">
        <v>577</v>
      </c>
      <c r="F1571">
        <v>3</v>
      </c>
    </row>
    <row r="1572" spans="1:6" ht="13.2">
      <c r="A1572" t="s">
        <v>3343</v>
      </c>
      <c r="B1572">
        <v>630</v>
      </c>
      <c r="C1572" s="44">
        <v>1450</v>
      </c>
      <c r="D1572" t="s">
        <v>291</v>
      </c>
      <c r="E1572" t="s">
        <v>577</v>
      </c>
      <c r="F1572">
        <v>3</v>
      </c>
    </row>
    <row r="1573" spans="1:6" ht="13.2">
      <c r="A1573" t="s">
        <v>4506</v>
      </c>
      <c r="B1573">
        <v>0</v>
      </c>
      <c r="C1573" s="44">
        <v>1400</v>
      </c>
      <c r="D1573" t="s">
        <v>291</v>
      </c>
      <c r="E1573" t="s">
        <v>653</v>
      </c>
      <c r="F1573">
        <v>4</v>
      </c>
    </row>
    <row r="1574" spans="1:6" ht="13.2">
      <c r="A1574" t="s">
        <v>4509</v>
      </c>
      <c r="B1574">
        <v>0</v>
      </c>
      <c r="C1574" s="44">
        <v>1400</v>
      </c>
      <c r="D1574" t="s">
        <v>291</v>
      </c>
      <c r="E1574" t="s">
        <v>653</v>
      </c>
      <c r="F1574">
        <v>4</v>
      </c>
    </row>
    <row r="1575" spans="1:6" ht="13.2">
      <c r="A1575" t="s">
        <v>4507</v>
      </c>
      <c r="B1575">
        <v>0</v>
      </c>
      <c r="C1575" s="44">
        <v>1400</v>
      </c>
      <c r="D1575" t="s">
        <v>291</v>
      </c>
      <c r="E1575" t="s">
        <v>653</v>
      </c>
      <c r="F1575">
        <v>4</v>
      </c>
    </row>
    <row r="1576" spans="1:6" ht="13.2">
      <c r="A1576" t="s">
        <v>4505</v>
      </c>
      <c r="B1576">
        <v>0</v>
      </c>
      <c r="C1576" s="44">
        <v>1400</v>
      </c>
      <c r="D1576" t="s">
        <v>291</v>
      </c>
      <c r="E1576" t="s">
        <v>653</v>
      </c>
      <c r="F1576">
        <v>4</v>
      </c>
    </row>
    <row r="1577" spans="1:6" ht="13.2">
      <c r="A1577" t="s">
        <v>4508</v>
      </c>
      <c r="B1577">
        <v>0</v>
      </c>
      <c r="C1577" s="44">
        <v>1400</v>
      </c>
      <c r="D1577" t="s">
        <v>291</v>
      </c>
      <c r="E1577" t="s">
        <v>653</v>
      </c>
      <c r="F1577">
        <v>4</v>
      </c>
    </row>
    <row r="1578" spans="1:6" ht="13.2">
      <c r="A1578" t="s">
        <v>4510</v>
      </c>
      <c r="B1578">
        <v>0</v>
      </c>
      <c r="C1578" s="44">
        <v>1400</v>
      </c>
      <c r="D1578" t="s">
        <v>291</v>
      </c>
      <c r="E1578" t="s">
        <v>653</v>
      </c>
      <c r="F1578">
        <v>4</v>
      </c>
    </row>
    <row r="1579" spans="1:6" ht="13.2">
      <c r="A1579" t="s">
        <v>2971</v>
      </c>
      <c r="B1579">
        <v>485</v>
      </c>
      <c r="C1579" s="44">
        <v>1400</v>
      </c>
      <c r="D1579" t="s">
        <v>291</v>
      </c>
      <c r="E1579" t="s">
        <v>630</v>
      </c>
      <c r="F1579">
        <v>4</v>
      </c>
    </row>
    <row r="1580" spans="1:6" ht="13.2">
      <c r="A1580" t="s">
        <v>2971</v>
      </c>
      <c r="B1580">
        <v>485</v>
      </c>
      <c r="C1580" s="44">
        <v>1400</v>
      </c>
      <c r="D1580" t="s">
        <v>291</v>
      </c>
      <c r="E1580" t="s">
        <v>630</v>
      </c>
      <c r="F1580">
        <v>4</v>
      </c>
    </row>
    <row r="1581" spans="1:6" ht="13.2">
      <c r="A1581" t="s">
        <v>2972</v>
      </c>
      <c r="B1581">
        <v>485</v>
      </c>
      <c r="C1581" s="44">
        <v>1400</v>
      </c>
      <c r="D1581" t="s">
        <v>291</v>
      </c>
      <c r="E1581" t="s">
        <v>630</v>
      </c>
      <c r="F1581">
        <v>4</v>
      </c>
    </row>
    <row r="1582" spans="1:6" ht="13.2">
      <c r="A1582" t="s">
        <v>2972</v>
      </c>
      <c r="B1582">
        <v>485</v>
      </c>
      <c r="C1582" s="44">
        <v>1400</v>
      </c>
      <c r="D1582" t="s">
        <v>291</v>
      </c>
      <c r="E1582" t="s">
        <v>630</v>
      </c>
      <c r="F1582">
        <v>4</v>
      </c>
    </row>
    <row r="1583" spans="1:6" ht="13.2">
      <c r="A1583" t="s">
        <v>2973</v>
      </c>
      <c r="B1583">
        <v>485</v>
      </c>
      <c r="C1583" s="44">
        <v>1400</v>
      </c>
      <c r="D1583" t="s">
        <v>291</v>
      </c>
      <c r="E1583" t="s">
        <v>630</v>
      </c>
      <c r="F1583">
        <v>4</v>
      </c>
    </row>
    <row r="1584" spans="1:6" ht="13.2">
      <c r="A1584" t="s">
        <v>2973</v>
      </c>
      <c r="B1584">
        <v>485</v>
      </c>
      <c r="C1584" s="44">
        <v>1400</v>
      </c>
      <c r="D1584" t="s">
        <v>291</v>
      </c>
      <c r="E1584" t="s">
        <v>630</v>
      </c>
      <c r="F1584">
        <v>4</v>
      </c>
    </row>
    <row r="1585" spans="1:6" ht="13.2">
      <c r="A1585" t="s">
        <v>2974</v>
      </c>
      <c r="B1585">
        <v>485</v>
      </c>
      <c r="C1585" s="44">
        <v>1400</v>
      </c>
      <c r="D1585" t="s">
        <v>291</v>
      </c>
      <c r="E1585" t="s">
        <v>630</v>
      </c>
      <c r="F1585">
        <v>4</v>
      </c>
    </row>
    <row r="1586" spans="1:6" ht="13.2">
      <c r="A1586" t="s">
        <v>2974</v>
      </c>
      <c r="B1586">
        <v>485</v>
      </c>
      <c r="C1586" s="44">
        <v>1400</v>
      </c>
      <c r="D1586" t="s">
        <v>291</v>
      </c>
      <c r="E1586" t="s">
        <v>630</v>
      </c>
      <c r="F1586">
        <v>4</v>
      </c>
    </row>
    <row r="1587" spans="1:6" ht="13.2">
      <c r="A1587" t="s">
        <v>2975</v>
      </c>
      <c r="B1587">
        <v>485</v>
      </c>
      <c r="C1587" s="44">
        <v>1400</v>
      </c>
      <c r="D1587" t="s">
        <v>291</v>
      </c>
      <c r="E1587" t="s">
        <v>630</v>
      </c>
      <c r="F1587">
        <v>4</v>
      </c>
    </row>
    <row r="1588" spans="1:6" ht="13.2">
      <c r="A1588" t="s">
        <v>2975</v>
      </c>
      <c r="B1588">
        <v>485</v>
      </c>
      <c r="C1588" s="44">
        <v>1400</v>
      </c>
      <c r="D1588" t="s">
        <v>291</v>
      </c>
      <c r="E1588" t="s">
        <v>630</v>
      </c>
      <c r="F1588">
        <v>4</v>
      </c>
    </row>
    <row r="1589" spans="1:6" ht="13.2">
      <c r="A1589" t="s">
        <v>2976</v>
      </c>
      <c r="B1589">
        <v>485</v>
      </c>
      <c r="C1589" s="44">
        <v>1400</v>
      </c>
      <c r="D1589" t="s">
        <v>291</v>
      </c>
      <c r="E1589" t="s">
        <v>630</v>
      </c>
      <c r="F1589">
        <v>4</v>
      </c>
    </row>
    <row r="1590" spans="1:6" ht="13.2">
      <c r="A1590" t="s">
        <v>2976</v>
      </c>
      <c r="B1590">
        <v>485</v>
      </c>
      <c r="C1590" s="44">
        <v>1400</v>
      </c>
      <c r="D1590" t="s">
        <v>291</v>
      </c>
      <c r="E1590" t="s">
        <v>630</v>
      </c>
      <c r="F1590">
        <v>4</v>
      </c>
    </row>
    <row r="1591" spans="1:6" ht="13.2">
      <c r="A1591" t="s">
        <v>2977</v>
      </c>
      <c r="B1591">
        <v>485</v>
      </c>
      <c r="C1591" s="44">
        <v>1400</v>
      </c>
      <c r="D1591" t="s">
        <v>291</v>
      </c>
      <c r="E1591" t="s">
        <v>630</v>
      </c>
      <c r="F1591">
        <v>4</v>
      </c>
    </row>
    <row r="1592" spans="1:6" ht="13.2">
      <c r="A1592" t="s">
        <v>2977</v>
      </c>
      <c r="B1592">
        <v>485</v>
      </c>
      <c r="C1592" s="44">
        <v>1400</v>
      </c>
      <c r="D1592" t="s">
        <v>291</v>
      </c>
      <c r="E1592" t="s">
        <v>630</v>
      </c>
      <c r="F1592">
        <v>4</v>
      </c>
    </row>
    <row r="1593" spans="1:6" ht="13.2">
      <c r="A1593" t="s">
        <v>2979</v>
      </c>
      <c r="B1593">
        <v>485</v>
      </c>
      <c r="C1593" s="44">
        <v>1400</v>
      </c>
      <c r="D1593" t="s">
        <v>291</v>
      </c>
      <c r="E1593" t="s">
        <v>630</v>
      </c>
      <c r="F1593">
        <v>4</v>
      </c>
    </row>
    <row r="1594" spans="1:6" ht="13.2">
      <c r="A1594" t="s">
        <v>2979</v>
      </c>
      <c r="B1594">
        <v>485</v>
      </c>
      <c r="C1594" s="44">
        <v>1400</v>
      </c>
      <c r="D1594" t="s">
        <v>291</v>
      </c>
      <c r="E1594" t="s">
        <v>630</v>
      </c>
      <c r="F1594">
        <v>4</v>
      </c>
    </row>
    <row r="1595" spans="1:6" ht="13.2">
      <c r="A1595" t="s">
        <v>2978</v>
      </c>
      <c r="B1595">
        <v>485</v>
      </c>
      <c r="C1595" s="44">
        <v>1400</v>
      </c>
      <c r="D1595" t="s">
        <v>291</v>
      </c>
      <c r="E1595" t="s">
        <v>630</v>
      </c>
      <c r="F1595">
        <v>4</v>
      </c>
    </row>
    <row r="1596" spans="1:6" ht="13.2">
      <c r="A1596" t="s">
        <v>2978</v>
      </c>
      <c r="B1596">
        <v>485</v>
      </c>
      <c r="C1596" s="44">
        <v>1400</v>
      </c>
      <c r="D1596" t="s">
        <v>291</v>
      </c>
      <c r="E1596" t="s">
        <v>630</v>
      </c>
      <c r="F1596">
        <v>4</v>
      </c>
    </row>
    <row r="1597" spans="1:6" ht="13.2">
      <c r="A1597" t="s">
        <v>4208</v>
      </c>
      <c r="B1597">
        <v>0</v>
      </c>
      <c r="C1597" s="44" t="s">
        <v>204</v>
      </c>
      <c r="D1597" t="s">
        <v>293</v>
      </c>
      <c r="E1597" t="s">
        <v>653</v>
      </c>
      <c r="F1597">
        <v>4</v>
      </c>
    </row>
    <row r="1598" spans="1:6" ht="13.2">
      <c r="A1598" t="s">
        <v>4211</v>
      </c>
      <c r="B1598">
        <v>0</v>
      </c>
      <c r="C1598" s="44" t="s">
        <v>204</v>
      </c>
      <c r="D1598" t="s">
        <v>293</v>
      </c>
      <c r="E1598" t="s">
        <v>653</v>
      </c>
      <c r="F1598">
        <v>4</v>
      </c>
    </row>
    <row r="1599" spans="1:6" ht="13.2">
      <c r="A1599" t="s">
        <v>4209</v>
      </c>
      <c r="B1599">
        <v>0</v>
      </c>
      <c r="C1599" s="44" t="s">
        <v>204</v>
      </c>
      <c r="D1599" t="s">
        <v>293</v>
      </c>
      <c r="E1599" t="s">
        <v>653</v>
      </c>
      <c r="F1599">
        <v>4</v>
      </c>
    </row>
    <row r="1600" spans="1:6" ht="13.2">
      <c r="A1600" t="s">
        <v>4207</v>
      </c>
      <c r="B1600">
        <v>0</v>
      </c>
      <c r="C1600" s="44" t="s">
        <v>204</v>
      </c>
      <c r="D1600" t="s">
        <v>293</v>
      </c>
      <c r="E1600" t="s">
        <v>653</v>
      </c>
      <c r="F1600">
        <v>4</v>
      </c>
    </row>
    <row r="1601" spans="1:6" ht="13.2">
      <c r="A1601" t="s">
        <v>4210</v>
      </c>
      <c r="B1601">
        <v>0</v>
      </c>
      <c r="C1601" s="44" t="s">
        <v>204</v>
      </c>
      <c r="D1601" t="s">
        <v>293</v>
      </c>
      <c r="E1601" t="s">
        <v>653</v>
      </c>
      <c r="F1601">
        <v>4</v>
      </c>
    </row>
    <row r="1602" spans="1:6" ht="13.2">
      <c r="A1602" t="s">
        <v>4212</v>
      </c>
      <c r="B1602">
        <v>0</v>
      </c>
      <c r="C1602" s="44" t="s">
        <v>204</v>
      </c>
      <c r="D1602" t="s">
        <v>293</v>
      </c>
      <c r="E1602" t="s">
        <v>653</v>
      </c>
      <c r="F1602">
        <v>4</v>
      </c>
    </row>
    <row r="1603" spans="1:6" ht="13.2">
      <c r="A1603" t="s">
        <v>1138</v>
      </c>
      <c r="B1603">
        <v>0</v>
      </c>
      <c r="C1603" s="44" t="s">
        <v>204</v>
      </c>
      <c r="D1603" t="s">
        <v>293</v>
      </c>
      <c r="E1603" t="s">
        <v>256</v>
      </c>
      <c r="F1603">
        <v>4</v>
      </c>
    </row>
    <row r="1604" spans="1:6" ht="13.2">
      <c r="A1604" t="s">
        <v>1139</v>
      </c>
      <c r="B1604">
        <v>0</v>
      </c>
      <c r="C1604" s="44" t="s">
        <v>204</v>
      </c>
      <c r="D1604" t="s">
        <v>293</v>
      </c>
      <c r="E1604" t="s">
        <v>256</v>
      </c>
      <c r="F1604">
        <v>4</v>
      </c>
    </row>
    <row r="1605" spans="1:6" ht="13.2">
      <c r="A1605" t="s">
        <v>1140</v>
      </c>
      <c r="B1605">
        <v>0</v>
      </c>
      <c r="C1605" s="44" t="s">
        <v>204</v>
      </c>
      <c r="D1605" t="s">
        <v>293</v>
      </c>
      <c r="E1605" t="s">
        <v>256</v>
      </c>
      <c r="F1605">
        <v>4</v>
      </c>
    </row>
    <row r="1606" spans="1:6" ht="13.2">
      <c r="A1606" t="s">
        <v>1141</v>
      </c>
      <c r="B1606">
        <v>0</v>
      </c>
      <c r="C1606" s="44" t="s">
        <v>204</v>
      </c>
      <c r="D1606" t="s">
        <v>293</v>
      </c>
      <c r="E1606" t="s">
        <v>256</v>
      </c>
      <c r="F1606">
        <v>4</v>
      </c>
    </row>
    <row r="1607" spans="1:6" ht="13.2">
      <c r="A1607" t="s">
        <v>1142</v>
      </c>
      <c r="B1607">
        <v>0</v>
      </c>
      <c r="C1607" s="44" t="s">
        <v>204</v>
      </c>
      <c r="D1607" t="s">
        <v>293</v>
      </c>
      <c r="E1607" t="s">
        <v>256</v>
      </c>
      <c r="F1607">
        <v>4</v>
      </c>
    </row>
    <row r="1608" spans="1:6" ht="13.2">
      <c r="A1608" t="s">
        <v>1143</v>
      </c>
      <c r="B1608">
        <v>0</v>
      </c>
      <c r="C1608" s="44" t="s">
        <v>204</v>
      </c>
      <c r="D1608" t="s">
        <v>293</v>
      </c>
      <c r="E1608" t="s">
        <v>256</v>
      </c>
      <c r="F1608">
        <v>4</v>
      </c>
    </row>
    <row r="1609" spans="1:6" ht="13.2">
      <c r="A1609" t="s">
        <v>1144</v>
      </c>
      <c r="B1609">
        <v>0</v>
      </c>
      <c r="C1609" s="44" t="s">
        <v>204</v>
      </c>
      <c r="D1609" t="s">
        <v>293</v>
      </c>
      <c r="E1609" t="s">
        <v>256</v>
      </c>
      <c r="F1609">
        <v>4</v>
      </c>
    </row>
    <row r="1610" spans="1:6" ht="13.2">
      <c r="A1610" t="s">
        <v>2229</v>
      </c>
      <c r="B1610">
        <v>0</v>
      </c>
      <c r="C1610" s="44">
        <v>1480</v>
      </c>
      <c r="D1610" t="s">
        <v>291</v>
      </c>
      <c r="E1610" t="s">
        <v>256</v>
      </c>
      <c r="F1610">
        <v>4</v>
      </c>
    </row>
    <row r="1611" spans="1:6" ht="13.2">
      <c r="A1611" t="s">
        <v>2230</v>
      </c>
      <c r="B1611">
        <v>0</v>
      </c>
      <c r="C1611" s="44">
        <v>1480</v>
      </c>
      <c r="D1611" t="s">
        <v>291</v>
      </c>
      <c r="E1611" t="s">
        <v>256</v>
      </c>
      <c r="F1611">
        <v>4</v>
      </c>
    </row>
    <row r="1612" spans="1:6" ht="13.2">
      <c r="A1612" t="s">
        <v>2231</v>
      </c>
      <c r="B1612">
        <v>0</v>
      </c>
      <c r="C1612" s="44">
        <v>1480</v>
      </c>
      <c r="D1612" t="s">
        <v>291</v>
      </c>
      <c r="E1612" t="s">
        <v>256</v>
      </c>
      <c r="F1612">
        <v>4</v>
      </c>
    </row>
    <row r="1613" spans="1:6" ht="13.2">
      <c r="A1613" t="s">
        <v>2232</v>
      </c>
      <c r="B1613">
        <v>0</v>
      </c>
      <c r="C1613" s="44">
        <v>1480</v>
      </c>
      <c r="D1613" t="s">
        <v>291</v>
      </c>
      <c r="E1613" t="s">
        <v>256</v>
      </c>
      <c r="F1613">
        <v>4</v>
      </c>
    </row>
    <row r="1614" spans="1:6" ht="13.2">
      <c r="A1614" t="s">
        <v>2233</v>
      </c>
      <c r="B1614">
        <v>0</v>
      </c>
      <c r="C1614" s="44">
        <v>1480</v>
      </c>
      <c r="D1614" t="s">
        <v>291</v>
      </c>
      <c r="E1614" t="s">
        <v>256</v>
      </c>
      <c r="F1614">
        <v>4</v>
      </c>
    </row>
    <row r="1615" spans="1:6" ht="13.2">
      <c r="A1615" t="s">
        <v>2234</v>
      </c>
      <c r="B1615">
        <v>0</v>
      </c>
      <c r="C1615" s="44">
        <v>1480</v>
      </c>
      <c r="D1615" t="s">
        <v>291</v>
      </c>
      <c r="E1615" t="s">
        <v>256</v>
      </c>
      <c r="F1615">
        <v>4</v>
      </c>
    </row>
    <row r="1616" spans="1:6" ht="13.2">
      <c r="A1616" t="s">
        <v>2235</v>
      </c>
      <c r="B1616">
        <v>0</v>
      </c>
      <c r="C1616" s="44">
        <v>1480</v>
      </c>
      <c r="D1616" t="s">
        <v>291</v>
      </c>
      <c r="E1616" t="s">
        <v>256</v>
      </c>
      <c r="F1616">
        <v>4</v>
      </c>
    </row>
    <row r="1617" spans="1:6" ht="13.2">
      <c r="A1617" t="s">
        <v>2236</v>
      </c>
      <c r="B1617">
        <v>0</v>
      </c>
      <c r="C1617" s="44">
        <v>1480</v>
      </c>
      <c r="D1617" t="s">
        <v>291</v>
      </c>
      <c r="E1617" t="s">
        <v>256</v>
      </c>
      <c r="F1617">
        <v>4</v>
      </c>
    </row>
    <row r="1618" spans="1:6" ht="13.2">
      <c r="A1618" t="s">
        <v>2237</v>
      </c>
      <c r="B1618">
        <v>0</v>
      </c>
      <c r="C1618" s="44">
        <v>1480</v>
      </c>
      <c r="D1618" t="s">
        <v>291</v>
      </c>
      <c r="E1618" t="s">
        <v>256</v>
      </c>
      <c r="F1618">
        <v>4</v>
      </c>
    </row>
    <row r="1619" spans="1:6" ht="13.2">
      <c r="A1619" t="s">
        <v>2238</v>
      </c>
      <c r="B1619">
        <v>0</v>
      </c>
      <c r="C1619" s="44">
        <v>1480</v>
      </c>
      <c r="D1619" t="s">
        <v>291</v>
      </c>
      <c r="E1619" t="s">
        <v>256</v>
      </c>
      <c r="F1619">
        <v>4</v>
      </c>
    </row>
    <row r="1620" spans="1:6" ht="13.2">
      <c r="A1620" t="s">
        <v>2999</v>
      </c>
      <c r="B1620">
        <v>0</v>
      </c>
      <c r="C1620" s="44">
        <v>1400</v>
      </c>
      <c r="D1620" t="s">
        <v>291</v>
      </c>
      <c r="E1620" t="s">
        <v>630</v>
      </c>
      <c r="F1620">
        <v>4</v>
      </c>
    </row>
    <row r="1621" spans="1:6" ht="13.2">
      <c r="A1621" t="s">
        <v>2999</v>
      </c>
      <c r="B1621">
        <v>0</v>
      </c>
      <c r="C1621" s="44">
        <v>1400</v>
      </c>
      <c r="D1621" t="s">
        <v>291</v>
      </c>
      <c r="E1621" t="s">
        <v>630</v>
      </c>
      <c r="F1621">
        <v>4</v>
      </c>
    </row>
    <row r="1622" spans="1:6" ht="13.2">
      <c r="A1622" t="s">
        <v>3003</v>
      </c>
      <c r="B1622">
        <v>0</v>
      </c>
      <c r="C1622" s="44">
        <v>1400</v>
      </c>
      <c r="D1622" t="s">
        <v>291</v>
      </c>
      <c r="E1622" t="s">
        <v>630</v>
      </c>
      <c r="F1622">
        <v>4</v>
      </c>
    </row>
    <row r="1623" spans="1:6" ht="13.2">
      <c r="A1623" t="s">
        <v>3003</v>
      </c>
      <c r="B1623">
        <v>0</v>
      </c>
      <c r="C1623" s="44">
        <v>1400</v>
      </c>
      <c r="D1623" t="s">
        <v>291</v>
      </c>
      <c r="E1623" t="s">
        <v>630</v>
      </c>
      <c r="F1623">
        <v>4</v>
      </c>
    </row>
    <row r="1624" spans="1:6" ht="13.2">
      <c r="A1624" t="s">
        <v>3004</v>
      </c>
      <c r="B1624">
        <v>0</v>
      </c>
      <c r="C1624" s="44">
        <v>1400</v>
      </c>
      <c r="D1624" t="s">
        <v>291</v>
      </c>
      <c r="E1624" t="s">
        <v>630</v>
      </c>
      <c r="F1624">
        <v>4</v>
      </c>
    </row>
    <row r="1625" spans="1:6" ht="13.2">
      <c r="A1625" t="s">
        <v>3004</v>
      </c>
      <c r="B1625">
        <v>0</v>
      </c>
      <c r="C1625" s="44">
        <v>1400</v>
      </c>
      <c r="D1625" t="s">
        <v>291</v>
      </c>
      <c r="E1625" t="s">
        <v>630</v>
      </c>
      <c r="F1625">
        <v>4</v>
      </c>
    </row>
    <row r="1626" spans="1:6" ht="13.2">
      <c r="A1626" t="s">
        <v>3002</v>
      </c>
      <c r="B1626">
        <v>0</v>
      </c>
      <c r="C1626" s="44">
        <v>1400</v>
      </c>
      <c r="D1626" t="s">
        <v>291</v>
      </c>
      <c r="E1626" t="s">
        <v>630</v>
      </c>
      <c r="F1626">
        <v>4</v>
      </c>
    </row>
    <row r="1627" spans="1:6" ht="13.2">
      <c r="A1627" t="s">
        <v>3002</v>
      </c>
      <c r="B1627">
        <v>0</v>
      </c>
      <c r="C1627" s="44">
        <v>1400</v>
      </c>
      <c r="D1627" t="s">
        <v>291</v>
      </c>
      <c r="E1627" t="s">
        <v>630</v>
      </c>
      <c r="F1627">
        <v>4</v>
      </c>
    </row>
    <row r="1628" spans="1:6" ht="13.2">
      <c r="A1628" t="s">
        <v>2998</v>
      </c>
      <c r="B1628">
        <v>0</v>
      </c>
      <c r="C1628" s="44">
        <v>1400</v>
      </c>
      <c r="D1628" t="s">
        <v>291</v>
      </c>
      <c r="E1628" t="s">
        <v>630</v>
      </c>
      <c r="F1628">
        <v>4</v>
      </c>
    </row>
    <row r="1629" spans="1:6" ht="13.2">
      <c r="A1629" t="s">
        <v>2998</v>
      </c>
      <c r="B1629">
        <v>0</v>
      </c>
      <c r="C1629" s="44">
        <v>1400</v>
      </c>
      <c r="D1629" t="s">
        <v>291</v>
      </c>
      <c r="E1629" t="s">
        <v>630</v>
      </c>
      <c r="F1629">
        <v>4</v>
      </c>
    </row>
    <row r="1630" spans="1:6" ht="13.2">
      <c r="A1630" t="s">
        <v>3000</v>
      </c>
      <c r="B1630">
        <v>0</v>
      </c>
      <c r="C1630" s="44">
        <v>1400</v>
      </c>
      <c r="D1630" t="s">
        <v>291</v>
      </c>
      <c r="E1630" t="s">
        <v>630</v>
      </c>
      <c r="F1630">
        <v>4</v>
      </c>
    </row>
    <row r="1631" spans="1:6" ht="13.2">
      <c r="A1631" t="s">
        <v>3000</v>
      </c>
      <c r="B1631">
        <v>0</v>
      </c>
      <c r="C1631" s="44">
        <v>1400</v>
      </c>
      <c r="D1631" t="s">
        <v>291</v>
      </c>
      <c r="E1631" t="s">
        <v>630</v>
      </c>
      <c r="F1631">
        <v>4</v>
      </c>
    </row>
    <row r="1632" spans="1:6" ht="13.2">
      <c r="A1632" t="s">
        <v>3005</v>
      </c>
      <c r="B1632">
        <v>0</v>
      </c>
      <c r="C1632" s="44">
        <v>1400</v>
      </c>
      <c r="D1632" t="s">
        <v>291</v>
      </c>
      <c r="E1632" t="s">
        <v>630</v>
      </c>
      <c r="F1632">
        <v>4</v>
      </c>
    </row>
    <row r="1633" spans="1:6" ht="13.2">
      <c r="A1633" t="s">
        <v>3005</v>
      </c>
      <c r="B1633">
        <v>0</v>
      </c>
      <c r="C1633" s="44">
        <v>1400</v>
      </c>
      <c r="D1633" t="s">
        <v>291</v>
      </c>
      <c r="E1633" t="s">
        <v>630</v>
      </c>
      <c r="F1633">
        <v>4</v>
      </c>
    </row>
    <row r="1634" spans="1:6" ht="13.2">
      <c r="A1634" t="s">
        <v>3006</v>
      </c>
      <c r="B1634">
        <v>0</v>
      </c>
      <c r="C1634" s="44">
        <v>1400</v>
      </c>
      <c r="D1634" t="s">
        <v>291</v>
      </c>
      <c r="E1634" t="s">
        <v>630</v>
      </c>
      <c r="F1634">
        <v>4</v>
      </c>
    </row>
    <row r="1635" spans="1:6" ht="13.2">
      <c r="A1635" t="s">
        <v>3006</v>
      </c>
      <c r="B1635">
        <v>0</v>
      </c>
      <c r="C1635" s="44">
        <v>1400</v>
      </c>
      <c r="D1635" t="s">
        <v>291</v>
      </c>
      <c r="E1635" t="s">
        <v>630</v>
      </c>
      <c r="F1635">
        <v>4</v>
      </c>
    </row>
    <row r="1636" spans="1:6" ht="13.2">
      <c r="A1636" t="s">
        <v>3001</v>
      </c>
      <c r="B1636">
        <v>0</v>
      </c>
      <c r="C1636" s="44">
        <v>1400</v>
      </c>
      <c r="D1636" t="s">
        <v>291</v>
      </c>
      <c r="E1636" t="s">
        <v>630</v>
      </c>
      <c r="F1636">
        <v>4</v>
      </c>
    </row>
    <row r="1637" spans="1:6" ht="13.2">
      <c r="A1637" t="s">
        <v>3001</v>
      </c>
      <c r="B1637">
        <v>0</v>
      </c>
      <c r="C1637" s="44">
        <v>1400</v>
      </c>
      <c r="D1637" t="s">
        <v>291</v>
      </c>
      <c r="E1637" t="s">
        <v>630</v>
      </c>
      <c r="F1637">
        <v>4</v>
      </c>
    </row>
    <row r="1638" spans="1:6" ht="13.2">
      <c r="A1638" t="s">
        <v>4626</v>
      </c>
      <c r="B1638">
        <v>0</v>
      </c>
      <c r="C1638" s="44">
        <v>3000</v>
      </c>
      <c r="D1638" t="s">
        <v>293</v>
      </c>
      <c r="E1638" t="s">
        <v>256</v>
      </c>
      <c r="F1638">
        <v>4</v>
      </c>
    </row>
    <row r="1639" spans="1:6" ht="13.2">
      <c r="A1639" t="s">
        <v>4627</v>
      </c>
      <c r="B1639">
        <v>0</v>
      </c>
      <c r="C1639" s="44">
        <v>3000</v>
      </c>
      <c r="D1639" t="s">
        <v>293</v>
      </c>
      <c r="E1639" t="s">
        <v>256</v>
      </c>
      <c r="F1639">
        <v>4</v>
      </c>
    </row>
    <row r="1640" spans="1:6" ht="13.2">
      <c r="A1640" t="s">
        <v>4628</v>
      </c>
      <c r="B1640">
        <v>0</v>
      </c>
      <c r="C1640" s="44">
        <v>3000</v>
      </c>
      <c r="D1640" t="s">
        <v>293</v>
      </c>
      <c r="E1640" t="s">
        <v>256</v>
      </c>
      <c r="F1640">
        <v>4</v>
      </c>
    </row>
    <row r="1641" spans="1:6" ht="13.2">
      <c r="A1641" t="s">
        <v>4629</v>
      </c>
      <c r="B1641">
        <v>0</v>
      </c>
      <c r="C1641" s="44">
        <v>3000</v>
      </c>
      <c r="D1641" t="s">
        <v>293</v>
      </c>
      <c r="E1641" t="s">
        <v>256</v>
      </c>
      <c r="F1641">
        <v>4</v>
      </c>
    </row>
    <row r="1642" spans="1:6" ht="13.2">
      <c r="A1642" t="s">
        <v>4630</v>
      </c>
      <c r="B1642">
        <v>0</v>
      </c>
      <c r="C1642" s="44">
        <v>3000</v>
      </c>
      <c r="D1642" t="s">
        <v>293</v>
      </c>
      <c r="E1642" t="s">
        <v>256</v>
      </c>
      <c r="F1642">
        <v>4</v>
      </c>
    </row>
    <row r="1643" spans="1:6" ht="13.2">
      <c r="A1643" t="s">
        <v>4631</v>
      </c>
      <c r="B1643">
        <v>0</v>
      </c>
      <c r="C1643" s="44">
        <v>3000</v>
      </c>
      <c r="D1643" t="s">
        <v>293</v>
      </c>
      <c r="E1643" t="s">
        <v>256</v>
      </c>
      <c r="F1643">
        <v>4</v>
      </c>
    </row>
    <row r="1644" spans="1:6" ht="13.2">
      <c r="A1644" t="s">
        <v>4632</v>
      </c>
      <c r="B1644">
        <v>0</v>
      </c>
      <c r="C1644" s="44">
        <v>3000</v>
      </c>
      <c r="D1644" t="s">
        <v>293</v>
      </c>
      <c r="E1644" t="s">
        <v>256</v>
      </c>
      <c r="F1644">
        <v>4</v>
      </c>
    </row>
    <row r="1645" spans="1:6" ht="13.2">
      <c r="A1645" t="s">
        <v>4633</v>
      </c>
      <c r="B1645">
        <v>0</v>
      </c>
      <c r="C1645" s="44">
        <v>3000</v>
      </c>
      <c r="D1645" t="s">
        <v>293</v>
      </c>
      <c r="E1645" t="s">
        <v>256</v>
      </c>
      <c r="F1645">
        <v>4</v>
      </c>
    </row>
    <row r="1646" spans="1:6" ht="13.2">
      <c r="A1646" t="s">
        <v>4634</v>
      </c>
      <c r="B1646">
        <v>0</v>
      </c>
      <c r="C1646" s="44">
        <v>3000</v>
      </c>
      <c r="D1646" t="s">
        <v>293</v>
      </c>
      <c r="E1646" t="s">
        <v>256</v>
      </c>
      <c r="F1646">
        <v>4</v>
      </c>
    </row>
    <row r="1647" spans="1:6" ht="13.2">
      <c r="A1647" t="s">
        <v>4635</v>
      </c>
      <c r="B1647">
        <v>0</v>
      </c>
      <c r="C1647" s="44">
        <v>3000</v>
      </c>
      <c r="D1647" t="s">
        <v>293</v>
      </c>
      <c r="E1647" t="s">
        <v>256</v>
      </c>
      <c r="F1647">
        <v>4</v>
      </c>
    </row>
    <row r="1648" spans="1:6" ht="13.2">
      <c r="A1648" t="s">
        <v>4636</v>
      </c>
      <c r="B1648">
        <v>0</v>
      </c>
      <c r="C1648" s="44">
        <v>3000</v>
      </c>
      <c r="D1648" t="s">
        <v>293</v>
      </c>
      <c r="E1648" t="s">
        <v>256</v>
      </c>
      <c r="F1648">
        <v>4</v>
      </c>
    </row>
    <row r="1649" spans="1:6" ht="13.2">
      <c r="A1649" t="s">
        <v>4638</v>
      </c>
      <c r="B1649">
        <v>0</v>
      </c>
      <c r="C1649" s="44">
        <v>3000</v>
      </c>
      <c r="D1649" t="s">
        <v>293</v>
      </c>
      <c r="E1649" t="s">
        <v>256</v>
      </c>
      <c r="F1649">
        <v>4</v>
      </c>
    </row>
    <row r="1650" spans="1:6" ht="13.2">
      <c r="A1650" t="s">
        <v>4637</v>
      </c>
      <c r="B1650">
        <v>0</v>
      </c>
      <c r="C1650" s="44">
        <v>3000</v>
      </c>
      <c r="D1650" t="s">
        <v>293</v>
      </c>
      <c r="E1650" t="s">
        <v>256</v>
      </c>
      <c r="F1650">
        <v>4</v>
      </c>
    </row>
    <row r="1651" spans="1:6" ht="13.2">
      <c r="A1651" t="s">
        <v>1145</v>
      </c>
      <c r="B1651">
        <v>0</v>
      </c>
      <c r="C1651" s="44" t="s">
        <v>351</v>
      </c>
      <c r="D1651" t="s">
        <v>293</v>
      </c>
      <c r="E1651" t="s">
        <v>231</v>
      </c>
      <c r="F1651">
        <v>4</v>
      </c>
    </row>
    <row r="1652" spans="1:6" ht="13.2">
      <c r="A1652" t="s">
        <v>1146</v>
      </c>
      <c r="B1652">
        <v>0</v>
      </c>
      <c r="C1652" s="44" t="s">
        <v>351</v>
      </c>
      <c r="D1652" t="s">
        <v>293</v>
      </c>
      <c r="E1652" t="s">
        <v>231</v>
      </c>
      <c r="F1652">
        <v>4</v>
      </c>
    </row>
    <row r="1653" spans="1:6" ht="13.2">
      <c r="A1653" t="s">
        <v>1147</v>
      </c>
      <c r="B1653">
        <v>0</v>
      </c>
      <c r="C1653" s="44" t="s">
        <v>351</v>
      </c>
      <c r="D1653" t="s">
        <v>293</v>
      </c>
      <c r="E1653" t="s">
        <v>231</v>
      </c>
      <c r="F1653">
        <v>4</v>
      </c>
    </row>
    <row r="1654" spans="1:6" ht="13.2">
      <c r="A1654" t="s">
        <v>4968</v>
      </c>
      <c r="B1654">
        <v>0</v>
      </c>
      <c r="C1654" s="44">
        <v>3000</v>
      </c>
      <c r="D1654" t="s">
        <v>293</v>
      </c>
      <c r="E1654" t="s">
        <v>256</v>
      </c>
      <c r="F1654">
        <v>4</v>
      </c>
    </row>
    <row r="1655" spans="1:6" ht="13.2">
      <c r="A1655" t="s">
        <v>4966</v>
      </c>
      <c r="B1655">
        <v>0</v>
      </c>
      <c r="C1655" s="44">
        <v>3000</v>
      </c>
      <c r="D1655" t="s">
        <v>293</v>
      </c>
      <c r="E1655" t="s">
        <v>256</v>
      </c>
      <c r="F1655">
        <v>4</v>
      </c>
    </row>
    <row r="1656" spans="1:6" ht="13.2">
      <c r="A1656" t="s">
        <v>4959</v>
      </c>
      <c r="B1656">
        <v>0</v>
      </c>
      <c r="C1656" s="44">
        <v>3000</v>
      </c>
      <c r="D1656" t="s">
        <v>293</v>
      </c>
      <c r="E1656" t="s">
        <v>256</v>
      </c>
      <c r="F1656">
        <v>4</v>
      </c>
    </row>
    <row r="1657" spans="1:6" ht="13.2">
      <c r="A1657" t="s">
        <v>4960</v>
      </c>
      <c r="B1657">
        <v>0</v>
      </c>
      <c r="C1657" s="44">
        <v>3000</v>
      </c>
      <c r="D1657" t="s">
        <v>293</v>
      </c>
      <c r="E1657" t="s">
        <v>256</v>
      </c>
      <c r="F1657">
        <v>4</v>
      </c>
    </row>
    <row r="1658" spans="1:6" ht="13.2">
      <c r="A1658" t="s">
        <v>4962</v>
      </c>
      <c r="B1658">
        <v>0</v>
      </c>
      <c r="C1658" s="44">
        <v>3000</v>
      </c>
      <c r="D1658" t="s">
        <v>293</v>
      </c>
      <c r="E1658" t="s">
        <v>256</v>
      </c>
      <c r="F1658">
        <v>4</v>
      </c>
    </row>
    <row r="1659" spans="1:6" ht="13.2">
      <c r="A1659" t="s">
        <v>4957</v>
      </c>
      <c r="B1659">
        <v>0</v>
      </c>
      <c r="C1659" s="44">
        <v>3000</v>
      </c>
      <c r="D1659" t="s">
        <v>293</v>
      </c>
      <c r="E1659" t="s">
        <v>256</v>
      </c>
      <c r="F1659">
        <v>4</v>
      </c>
    </row>
    <row r="1660" spans="1:6" ht="13.2">
      <c r="A1660" t="s">
        <v>4961</v>
      </c>
      <c r="B1660">
        <v>0</v>
      </c>
      <c r="C1660" s="44">
        <v>3000</v>
      </c>
      <c r="D1660" t="s">
        <v>293</v>
      </c>
      <c r="E1660" t="s">
        <v>256</v>
      </c>
      <c r="F1660">
        <v>4</v>
      </c>
    </row>
    <row r="1661" spans="1:6" ht="13.2">
      <c r="A1661" t="s">
        <v>4965</v>
      </c>
      <c r="B1661">
        <v>0</v>
      </c>
      <c r="C1661" s="44">
        <v>3000</v>
      </c>
      <c r="D1661" t="s">
        <v>293</v>
      </c>
      <c r="E1661" t="s">
        <v>256</v>
      </c>
      <c r="F1661">
        <v>4</v>
      </c>
    </row>
    <row r="1662" spans="1:6" ht="13.2">
      <c r="A1662" t="s">
        <v>4964</v>
      </c>
      <c r="B1662">
        <v>0</v>
      </c>
      <c r="C1662" s="44">
        <v>3000</v>
      </c>
      <c r="D1662" t="s">
        <v>293</v>
      </c>
      <c r="E1662" t="s">
        <v>256</v>
      </c>
      <c r="F1662">
        <v>4</v>
      </c>
    </row>
    <row r="1663" spans="1:6" ht="13.2">
      <c r="A1663" t="s">
        <v>4958</v>
      </c>
      <c r="B1663">
        <v>0</v>
      </c>
      <c r="C1663" s="44">
        <v>3000</v>
      </c>
      <c r="D1663" t="s">
        <v>293</v>
      </c>
      <c r="E1663" t="s">
        <v>256</v>
      </c>
      <c r="F1663">
        <v>4</v>
      </c>
    </row>
    <row r="1664" spans="1:6" ht="13.2">
      <c r="A1664" t="s">
        <v>4963</v>
      </c>
      <c r="B1664">
        <v>0</v>
      </c>
      <c r="C1664" s="44">
        <v>3000</v>
      </c>
      <c r="D1664" t="s">
        <v>293</v>
      </c>
      <c r="E1664" t="s">
        <v>256</v>
      </c>
      <c r="F1664">
        <v>4</v>
      </c>
    </row>
    <row r="1665" spans="1:6" ht="13.2">
      <c r="A1665" t="s">
        <v>4969</v>
      </c>
      <c r="B1665">
        <v>0</v>
      </c>
      <c r="C1665" s="44">
        <v>3000</v>
      </c>
      <c r="D1665" t="s">
        <v>293</v>
      </c>
      <c r="E1665" t="s">
        <v>256</v>
      </c>
      <c r="F1665">
        <v>4</v>
      </c>
    </row>
    <row r="1666" spans="1:6" ht="13.2">
      <c r="A1666" t="s">
        <v>4967</v>
      </c>
      <c r="B1666">
        <v>0</v>
      </c>
      <c r="C1666" s="44">
        <v>3000</v>
      </c>
      <c r="D1666" t="s">
        <v>293</v>
      </c>
      <c r="E1666" t="s">
        <v>256</v>
      </c>
      <c r="F1666">
        <v>4</v>
      </c>
    </row>
    <row r="1667" spans="1:6" ht="13.2">
      <c r="A1667" t="s">
        <v>4395</v>
      </c>
      <c r="B1667">
        <v>0</v>
      </c>
      <c r="C1667" s="44">
        <v>3200</v>
      </c>
      <c r="D1667" t="s">
        <v>291</v>
      </c>
      <c r="E1667" t="s">
        <v>256</v>
      </c>
      <c r="F1667">
        <v>4</v>
      </c>
    </row>
    <row r="1668" spans="1:6" ht="13.2">
      <c r="A1668" t="s">
        <v>4396</v>
      </c>
      <c r="B1668">
        <v>0</v>
      </c>
      <c r="C1668" s="44">
        <v>3200</v>
      </c>
      <c r="D1668" t="s">
        <v>291</v>
      </c>
      <c r="E1668" t="s">
        <v>256</v>
      </c>
      <c r="F1668">
        <v>4</v>
      </c>
    </row>
    <row r="1669" spans="1:6" ht="13.2">
      <c r="A1669" t="s">
        <v>4397</v>
      </c>
      <c r="B1669">
        <v>0</v>
      </c>
      <c r="C1669" s="44">
        <v>3200</v>
      </c>
      <c r="D1669" t="s">
        <v>291</v>
      </c>
      <c r="E1669" t="s">
        <v>256</v>
      </c>
      <c r="F1669">
        <v>4</v>
      </c>
    </row>
    <row r="1670" spans="1:6" ht="13.2">
      <c r="A1670" t="s">
        <v>4398</v>
      </c>
      <c r="B1670">
        <v>0</v>
      </c>
      <c r="C1670" s="44">
        <v>3200</v>
      </c>
      <c r="D1670" t="s">
        <v>291</v>
      </c>
      <c r="E1670" t="s">
        <v>256</v>
      </c>
      <c r="F1670">
        <v>4</v>
      </c>
    </row>
    <row r="1671" spans="1:6" ht="13.2">
      <c r="A1671" t="s">
        <v>4399</v>
      </c>
      <c r="B1671">
        <v>0</v>
      </c>
      <c r="C1671" s="44">
        <v>3200</v>
      </c>
      <c r="D1671" t="s">
        <v>291</v>
      </c>
      <c r="E1671" t="s">
        <v>256</v>
      </c>
      <c r="F1671">
        <v>4</v>
      </c>
    </row>
    <row r="1672" spans="1:6" ht="13.2">
      <c r="A1672" t="s">
        <v>4400</v>
      </c>
      <c r="B1672">
        <v>0</v>
      </c>
      <c r="C1672" s="44">
        <v>3200</v>
      </c>
      <c r="D1672" t="s">
        <v>291</v>
      </c>
      <c r="E1672" t="s">
        <v>256</v>
      </c>
      <c r="F1672">
        <v>4</v>
      </c>
    </row>
    <row r="1673" spans="1:6" ht="13.2">
      <c r="A1673" t="s">
        <v>4401</v>
      </c>
      <c r="B1673">
        <v>0</v>
      </c>
      <c r="C1673" s="44">
        <v>3200</v>
      </c>
      <c r="D1673" t="s">
        <v>291</v>
      </c>
      <c r="E1673" t="s">
        <v>256</v>
      </c>
      <c r="F1673">
        <v>4</v>
      </c>
    </row>
    <row r="1674" spans="1:6" ht="13.2">
      <c r="A1674" t="s">
        <v>4402</v>
      </c>
      <c r="B1674">
        <v>0</v>
      </c>
      <c r="C1674" s="44">
        <v>3200</v>
      </c>
      <c r="D1674" t="s">
        <v>291</v>
      </c>
      <c r="E1674" t="s">
        <v>256</v>
      </c>
      <c r="F1674">
        <v>4</v>
      </c>
    </row>
    <row r="1675" spans="1:6" ht="13.2">
      <c r="A1675" t="s">
        <v>4403</v>
      </c>
      <c r="B1675">
        <v>0</v>
      </c>
      <c r="C1675" s="44">
        <v>3200</v>
      </c>
      <c r="D1675" t="s">
        <v>291</v>
      </c>
      <c r="E1675" t="s">
        <v>256</v>
      </c>
      <c r="F1675">
        <v>4</v>
      </c>
    </row>
    <row r="1676" spans="1:6" ht="13.2">
      <c r="A1676" t="s">
        <v>4404</v>
      </c>
      <c r="B1676">
        <v>0</v>
      </c>
      <c r="C1676" s="44">
        <v>3200</v>
      </c>
      <c r="D1676" t="s">
        <v>291</v>
      </c>
      <c r="E1676" t="s">
        <v>256</v>
      </c>
      <c r="F1676">
        <v>4</v>
      </c>
    </row>
    <row r="1677" spans="1:6" ht="13.2">
      <c r="A1677" t="s">
        <v>4405</v>
      </c>
      <c r="B1677">
        <v>0</v>
      </c>
      <c r="C1677" s="44">
        <v>3200</v>
      </c>
      <c r="D1677" t="s">
        <v>291</v>
      </c>
      <c r="E1677" t="s">
        <v>256</v>
      </c>
      <c r="F1677">
        <v>4</v>
      </c>
    </row>
    <row r="1678" spans="1:6" ht="13.2">
      <c r="A1678" t="s">
        <v>4406</v>
      </c>
      <c r="B1678">
        <v>0</v>
      </c>
      <c r="C1678" s="44">
        <v>3200</v>
      </c>
      <c r="D1678" t="s">
        <v>291</v>
      </c>
      <c r="E1678" t="s">
        <v>256</v>
      </c>
      <c r="F1678">
        <v>4</v>
      </c>
    </row>
    <row r="1679" spans="1:6" ht="13.2">
      <c r="A1679" t="s">
        <v>4408</v>
      </c>
      <c r="B1679">
        <v>0</v>
      </c>
      <c r="C1679" s="44">
        <v>3200</v>
      </c>
      <c r="D1679" t="s">
        <v>291</v>
      </c>
      <c r="E1679" t="s">
        <v>256</v>
      </c>
      <c r="F1679">
        <v>4</v>
      </c>
    </row>
    <row r="1680" spans="1:6" ht="13.2">
      <c r="A1680" t="s">
        <v>4407</v>
      </c>
      <c r="B1680">
        <v>0</v>
      </c>
      <c r="C1680" s="44">
        <v>3200</v>
      </c>
      <c r="D1680" t="s">
        <v>291</v>
      </c>
      <c r="E1680" t="s">
        <v>256</v>
      </c>
      <c r="F1680">
        <v>4</v>
      </c>
    </row>
    <row r="1681" spans="1:6" ht="13.2">
      <c r="A1681" t="s">
        <v>6228</v>
      </c>
      <c r="B1681">
        <v>390</v>
      </c>
      <c r="C1681" s="44">
        <v>1380</v>
      </c>
      <c r="D1681" t="s">
        <v>291</v>
      </c>
      <c r="E1681" t="s">
        <v>362</v>
      </c>
      <c r="F1681" t="s">
        <v>280</v>
      </c>
    </row>
    <row r="1682" spans="1:6" ht="13.2">
      <c r="A1682" t="s">
        <v>6227</v>
      </c>
      <c r="B1682">
        <v>390</v>
      </c>
      <c r="C1682" s="44">
        <v>1380</v>
      </c>
      <c r="D1682" t="s">
        <v>291</v>
      </c>
      <c r="E1682" t="s">
        <v>362</v>
      </c>
      <c r="F1682" t="s">
        <v>280</v>
      </c>
    </row>
    <row r="1683" spans="1:6" ht="13.2">
      <c r="A1683" t="s">
        <v>6222</v>
      </c>
      <c r="B1683">
        <v>390</v>
      </c>
      <c r="C1683" s="44">
        <v>1380</v>
      </c>
      <c r="D1683" t="s">
        <v>291</v>
      </c>
      <c r="E1683" t="s">
        <v>362</v>
      </c>
      <c r="F1683" t="s">
        <v>280</v>
      </c>
    </row>
    <row r="1684" spans="1:6" ht="13.2">
      <c r="A1684" t="s">
        <v>6219</v>
      </c>
      <c r="B1684">
        <v>390</v>
      </c>
      <c r="C1684" s="44">
        <v>1380</v>
      </c>
      <c r="D1684" t="s">
        <v>291</v>
      </c>
      <c r="E1684" t="s">
        <v>362</v>
      </c>
      <c r="F1684" t="s">
        <v>280</v>
      </c>
    </row>
    <row r="1685" spans="1:6" ht="13.2">
      <c r="A1685" t="s">
        <v>6229</v>
      </c>
      <c r="B1685">
        <v>390</v>
      </c>
      <c r="C1685" s="44">
        <v>1380</v>
      </c>
      <c r="D1685" t="s">
        <v>291</v>
      </c>
      <c r="E1685" t="s">
        <v>362</v>
      </c>
      <c r="F1685" t="s">
        <v>280</v>
      </c>
    </row>
    <row r="1686" spans="1:6" ht="13.2">
      <c r="A1686" t="s">
        <v>6224</v>
      </c>
      <c r="B1686">
        <v>390</v>
      </c>
      <c r="C1686" s="44">
        <v>1380</v>
      </c>
      <c r="D1686" t="s">
        <v>291</v>
      </c>
      <c r="E1686" t="s">
        <v>362</v>
      </c>
      <c r="F1686" t="s">
        <v>280</v>
      </c>
    </row>
    <row r="1687" spans="1:6" ht="13.2">
      <c r="A1687" t="s">
        <v>6226</v>
      </c>
      <c r="B1687">
        <v>390</v>
      </c>
      <c r="C1687" s="44">
        <v>1380</v>
      </c>
      <c r="D1687" t="s">
        <v>291</v>
      </c>
      <c r="E1687" t="s">
        <v>362</v>
      </c>
      <c r="F1687" t="s">
        <v>280</v>
      </c>
    </row>
    <row r="1688" spans="1:6" ht="13.2">
      <c r="A1688" t="s">
        <v>6223</v>
      </c>
      <c r="B1688">
        <v>390</v>
      </c>
      <c r="C1688" s="44">
        <v>1380</v>
      </c>
      <c r="D1688" t="s">
        <v>291</v>
      </c>
      <c r="E1688" t="s">
        <v>362</v>
      </c>
      <c r="F1688" t="s">
        <v>280</v>
      </c>
    </row>
    <row r="1689" spans="1:6" ht="13.2">
      <c r="A1689" t="s">
        <v>6220</v>
      </c>
      <c r="B1689">
        <v>390</v>
      </c>
      <c r="C1689" s="44">
        <v>1380</v>
      </c>
      <c r="D1689" t="s">
        <v>291</v>
      </c>
      <c r="E1689" t="s">
        <v>362</v>
      </c>
      <c r="F1689" t="s">
        <v>280</v>
      </c>
    </row>
    <row r="1690" spans="1:6" ht="13.2">
      <c r="A1690" t="s">
        <v>6225</v>
      </c>
      <c r="B1690">
        <v>390</v>
      </c>
      <c r="C1690" s="44">
        <v>1380</v>
      </c>
      <c r="D1690" t="s">
        <v>291</v>
      </c>
      <c r="E1690" t="s">
        <v>362</v>
      </c>
      <c r="F1690" t="s">
        <v>280</v>
      </c>
    </row>
    <row r="1691" spans="1:6" ht="13.2">
      <c r="A1691" t="s">
        <v>6230</v>
      </c>
      <c r="B1691">
        <v>390</v>
      </c>
      <c r="C1691" s="44">
        <v>1380</v>
      </c>
      <c r="D1691" t="s">
        <v>291</v>
      </c>
      <c r="E1691" t="s">
        <v>362</v>
      </c>
      <c r="F1691" t="s">
        <v>280</v>
      </c>
    </row>
    <row r="1692" spans="1:6" ht="13.2">
      <c r="A1692" t="s">
        <v>6221</v>
      </c>
      <c r="B1692">
        <v>390</v>
      </c>
      <c r="C1692" s="44">
        <v>1380</v>
      </c>
      <c r="D1692" t="s">
        <v>291</v>
      </c>
      <c r="E1692" t="s">
        <v>362</v>
      </c>
      <c r="F1692" t="s">
        <v>280</v>
      </c>
    </row>
    <row r="1693" spans="1:6" ht="13.2">
      <c r="A1693" t="s">
        <v>6216</v>
      </c>
      <c r="B1693">
        <v>390</v>
      </c>
      <c r="C1693" s="44">
        <v>1380</v>
      </c>
      <c r="D1693" t="s">
        <v>291</v>
      </c>
      <c r="E1693" t="s">
        <v>362</v>
      </c>
      <c r="F1693">
        <v>4</v>
      </c>
    </row>
    <row r="1694" spans="1:6" ht="13.2">
      <c r="A1694" t="s">
        <v>6215</v>
      </c>
      <c r="B1694">
        <v>390</v>
      </c>
      <c r="C1694" s="44">
        <v>1380</v>
      </c>
      <c r="D1694" t="s">
        <v>291</v>
      </c>
      <c r="E1694" t="s">
        <v>362</v>
      </c>
      <c r="F1694">
        <v>4</v>
      </c>
    </row>
    <row r="1695" spans="1:6" ht="13.2">
      <c r="A1695" t="s">
        <v>6210</v>
      </c>
      <c r="B1695">
        <v>390</v>
      </c>
      <c r="C1695" s="44">
        <v>1380</v>
      </c>
      <c r="D1695" t="s">
        <v>291</v>
      </c>
      <c r="E1695" t="s">
        <v>362</v>
      </c>
      <c r="F1695">
        <v>4</v>
      </c>
    </row>
    <row r="1696" spans="1:6" ht="13.2">
      <c r="A1696" t="s">
        <v>6207</v>
      </c>
      <c r="B1696">
        <v>390</v>
      </c>
      <c r="C1696" s="44">
        <v>1380</v>
      </c>
      <c r="D1696" t="s">
        <v>291</v>
      </c>
      <c r="E1696" t="s">
        <v>362</v>
      </c>
      <c r="F1696">
        <v>4</v>
      </c>
    </row>
    <row r="1697" spans="1:6" ht="13.2">
      <c r="A1697" t="s">
        <v>6217</v>
      </c>
      <c r="B1697">
        <v>390</v>
      </c>
      <c r="C1697" s="44">
        <v>1380</v>
      </c>
      <c r="D1697" t="s">
        <v>291</v>
      </c>
      <c r="E1697" t="s">
        <v>362</v>
      </c>
      <c r="F1697">
        <v>4</v>
      </c>
    </row>
    <row r="1698" spans="1:6" ht="13.2">
      <c r="A1698" t="s">
        <v>6212</v>
      </c>
      <c r="B1698">
        <v>390</v>
      </c>
      <c r="C1698" s="44">
        <v>1380</v>
      </c>
      <c r="D1698" t="s">
        <v>291</v>
      </c>
      <c r="E1698" t="s">
        <v>362</v>
      </c>
      <c r="F1698">
        <v>4</v>
      </c>
    </row>
    <row r="1699" spans="1:6" ht="13.2">
      <c r="A1699" t="s">
        <v>6214</v>
      </c>
      <c r="B1699">
        <v>390</v>
      </c>
      <c r="C1699" s="44">
        <v>1380</v>
      </c>
      <c r="D1699" t="s">
        <v>291</v>
      </c>
      <c r="E1699" t="s">
        <v>362</v>
      </c>
      <c r="F1699">
        <v>4</v>
      </c>
    </row>
    <row r="1700" spans="1:6" ht="13.2">
      <c r="A1700" t="s">
        <v>6211</v>
      </c>
      <c r="B1700">
        <v>390</v>
      </c>
      <c r="C1700" s="44">
        <v>1380</v>
      </c>
      <c r="D1700" t="s">
        <v>291</v>
      </c>
      <c r="E1700" t="s">
        <v>362</v>
      </c>
      <c r="F1700">
        <v>4</v>
      </c>
    </row>
    <row r="1701" spans="1:6" ht="13.2">
      <c r="A1701" t="s">
        <v>6208</v>
      </c>
      <c r="B1701">
        <v>390</v>
      </c>
      <c r="C1701" s="44">
        <v>1380</v>
      </c>
      <c r="D1701" t="s">
        <v>291</v>
      </c>
      <c r="E1701" t="s">
        <v>362</v>
      </c>
      <c r="F1701">
        <v>4</v>
      </c>
    </row>
    <row r="1702" spans="1:6" ht="13.2">
      <c r="A1702" t="s">
        <v>6213</v>
      </c>
      <c r="B1702">
        <v>390</v>
      </c>
      <c r="C1702" s="44">
        <v>1380</v>
      </c>
      <c r="D1702" t="s">
        <v>291</v>
      </c>
      <c r="E1702" t="s">
        <v>362</v>
      </c>
      <c r="F1702">
        <v>4</v>
      </c>
    </row>
    <row r="1703" spans="1:6" ht="13.2">
      <c r="A1703" t="s">
        <v>6218</v>
      </c>
      <c r="B1703">
        <v>390</v>
      </c>
      <c r="C1703" s="44">
        <v>1380</v>
      </c>
      <c r="D1703" t="s">
        <v>291</v>
      </c>
      <c r="E1703" t="s">
        <v>362</v>
      </c>
      <c r="F1703">
        <v>4</v>
      </c>
    </row>
    <row r="1704" spans="1:6" ht="13.2">
      <c r="A1704" t="s">
        <v>6209</v>
      </c>
      <c r="B1704">
        <v>390</v>
      </c>
      <c r="C1704" s="44">
        <v>1380</v>
      </c>
      <c r="D1704" t="s">
        <v>291</v>
      </c>
      <c r="E1704" t="s">
        <v>362</v>
      </c>
      <c r="F1704">
        <v>4</v>
      </c>
    </row>
    <row r="1705" spans="1:6" ht="13.2">
      <c r="A1705" t="s">
        <v>2795</v>
      </c>
      <c r="B1705">
        <v>170</v>
      </c>
      <c r="C1705" s="44">
        <v>1370</v>
      </c>
      <c r="D1705" t="s">
        <v>291</v>
      </c>
      <c r="E1705" t="s">
        <v>571</v>
      </c>
      <c r="F1705">
        <v>4</v>
      </c>
    </row>
    <row r="1706" spans="1:6" ht="13.2">
      <c r="A1706" t="s">
        <v>2796</v>
      </c>
      <c r="B1706">
        <v>170</v>
      </c>
      <c r="C1706" s="44">
        <v>1370</v>
      </c>
      <c r="D1706" t="s">
        <v>291</v>
      </c>
      <c r="E1706" t="s">
        <v>571</v>
      </c>
      <c r="F1706">
        <v>4</v>
      </c>
    </row>
    <row r="1707" spans="1:6" ht="13.2">
      <c r="A1707" t="s">
        <v>2791</v>
      </c>
      <c r="B1707">
        <v>170</v>
      </c>
      <c r="C1707" s="44">
        <v>1370</v>
      </c>
      <c r="D1707" t="s">
        <v>291</v>
      </c>
      <c r="E1707" t="s">
        <v>571</v>
      </c>
      <c r="F1707">
        <v>4</v>
      </c>
    </row>
    <row r="1708" spans="1:6" ht="13.2">
      <c r="A1708" t="s">
        <v>2797</v>
      </c>
      <c r="B1708">
        <v>170</v>
      </c>
      <c r="C1708" s="44">
        <v>1370</v>
      </c>
      <c r="D1708" t="s">
        <v>291</v>
      </c>
      <c r="E1708" t="s">
        <v>571</v>
      </c>
      <c r="F1708">
        <v>4</v>
      </c>
    </row>
    <row r="1709" spans="1:6" ht="13.2">
      <c r="A1709" t="s">
        <v>2790</v>
      </c>
      <c r="B1709">
        <v>170</v>
      </c>
      <c r="C1709" s="44">
        <v>1370</v>
      </c>
      <c r="D1709" t="s">
        <v>291</v>
      </c>
      <c r="E1709" t="s">
        <v>571</v>
      </c>
      <c r="F1709">
        <v>4</v>
      </c>
    </row>
    <row r="1710" spans="1:6" ht="13.2">
      <c r="A1710" t="s">
        <v>2792</v>
      </c>
      <c r="B1710">
        <v>170</v>
      </c>
      <c r="C1710" s="44">
        <v>1370</v>
      </c>
      <c r="D1710" t="s">
        <v>291</v>
      </c>
      <c r="E1710" t="s">
        <v>571</v>
      </c>
      <c r="F1710">
        <v>4</v>
      </c>
    </row>
    <row r="1711" spans="1:6" ht="13.2">
      <c r="A1711" t="s">
        <v>2794</v>
      </c>
      <c r="B1711">
        <v>170</v>
      </c>
      <c r="C1711" s="44">
        <v>1370</v>
      </c>
      <c r="D1711" t="s">
        <v>291</v>
      </c>
      <c r="E1711" t="s">
        <v>571</v>
      </c>
      <c r="F1711">
        <v>4</v>
      </c>
    </row>
    <row r="1712" spans="1:6" ht="13.2">
      <c r="A1712" t="s">
        <v>2798</v>
      </c>
      <c r="B1712">
        <v>170</v>
      </c>
      <c r="C1712" s="44">
        <v>1370</v>
      </c>
      <c r="D1712" t="s">
        <v>291</v>
      </c>
      <c r="E1712" t="s">
        <v>571</v>
      </c>
      <c r="F1712">
        <v>4</v>
      </c>
    </row>
    <row r="1713" spans="1:6" ht="13.2">
      <c r="A1713" t="s">
        <v>2793</v>
      </c>
      <c r="B1713">
        <v>170</v>
      </c>
      <c r="C1713" s="44">
        <v>1370</v>
      </c>
      <c r="D1713" t="s">
        <v>291</v>
      </c>
      <c r="E1713" t="s">
        <v>571</v>
      </c>
      <c r="F1713">
        <v>4</v>
      </c>
    </row>
    <row r="1714" spans="1:6" ht="13.2">
      <c r="A1714" t="s">
        <v>652</v>
      </c>
      <c r="B1714">
        <v>700</v>
      </c>
      <c r="C1714" s="44">
        <v>1370</v>
      </c>
      <c r="D1714" t="s">
        <v>291</v>
      </c>
      <c r="E1714" t="s">
        <v>577</v>
      </c>
      <c r="F1714" t="s">
        <v>622</v>
      </c>
    </row>
    <row r="1715" spans="1:6" ht="13.2">
      <c r="A1715" t="s">
        <v>5022</v>
      </c>
      <c r="B1715">
        <v>0</v>
      </c>
      <c r="C1715" s="44">
        <v>1400</v>
      </c>
      <c r="D1715" t="s">
        <v>291</v>
      </c>
      <c r="E1715" t="s">
        <v>571</v>
      </c>
      <c r="F1715">
        <v>4</v>
      </c>
    </row>
    <row r="1716" spans="1:6" ht="13.2">
      <c r="A1716" t="s">
        <v>5023</v>
      </c>
      <c r="B1716">
        <v>0</v>
      </c>
      <c r="C1716" s="44">
        <v>1400</v>
      </c>
      <c r="D1716" t="s">
        <v>291</v>
      </c>
      <c r="E1716" t="s">
        <v>571</v>
      </c>
      <c r="F1716">
        <v>4</v>
      </c>
    </row>
    <row r="1717" spans="1:6" ht="13.2">
      <c r="A1717" t="s">
        <v>5024</v>
      </c>
      <c r="B1717">
        <v>0</v>
      </c>
      <c r="C1717" s="44">
        <v>1400</v>
      </c>
      <c r="D1717" t="s">
        <v>291</v>
      </c>
      <c r="E1717" t="s">
        <v>571</v>
      </c>
      <c r="F1717">
        <v>4</v>
      </c>
    </row>
    <row r="1718" spans="1:6" ht="13.2">
      <c r="A1718" t="s">
        <v>5026</v>
      </c>
      <c r="B1718">
        <v>0</v>
      </c>
      <c r="C1718" s="44">
        <v>1400</v>
      </c>
      <c r="D1718" t="s">
        <v>291</v>
      </c>
      <c r="E1718" t="s">
        <v>571</v>
      </c>
      <c r="F1718">
        <v>4</v>
      </c>
    </row>
    <row r="1719" spans="1:6" ht="13.2">
      <c r="A1719" t="s">
        <v>5025</v>
      </c>
      <c r="B1719">
        <v>0</v>
      </c>
      <c r="C1719" s="44">
        <v>1400</v>
      </c>
      <c r="D1719" t="s">
        <v>291</v>
      </c>
      <c r="E1719" t="s">
        <v>571</v>
      </c>
      <c r="F1719">
        <v>4</v>
      </c>
    </row>
    <row r="1720" spans="1:6" ht="13.2">
      <c r="A1720" t="s">
        <v>5027</v>
      </c>
      <c r="B1720">
        <v>0</v>
      </c>
      <c r="C1720" s="44">
        <v>1400</v>
      </c>
      <c r="D1720" t="s">
        <v>291</v>
      </c>
      <c r="E1720" t="s">
        <v>571</v>
      </c>
      <c r="F1720">
        <v>4</v>
      </c>
    </row>
    <row r="1721" spans="1:6" ht="13.2">
      <c r="A1721" t="s">
        <v>5028</v>
      </c>
      <c r="B1721">
        <v>0</v>
      </c>
      <c r="C1721" s="44">
        <v>1400</v>
      </c>
      <c r="D1721" t="s">
        <v>291</v>
      </c>
      <c r="E1721" t="s">
        <v>571</v>
      </c>
      <c r="F1721">
        <v>4</v>
      </c>
    </row>
    <row r="1722" spans="1:6" ht="13.2">
      <c r="A1722" t="s">
        <v>5029</v>
      </c>
      <c r="B1722">
        <v>0</v>
      </c>
      <c r="C1722" s="44">
        <v>1400</v>
      </c>
      <c r="D1722" t="s">
        <v>291</v>
      </c>
      <c r="E1722" t="s">
        <v>571</v>
      </c>
      <c r="F1722">
        <v>4</v>
      </c>
    </row>
    <row r="1723" spans="1:6" ht="13.2">
      <c r="A1723" t="s">
        <v>5030</v>
      </c>
      <c r="B1723">
        <v>0</v>
      </c>
      <c r="C1723" s="44">
        <v>1400</v>
      </c>
      <c r="D1723" t="s">
        <v>291</v>
      </c>
      <c r="E1723" t="s">
        <v>571</v>
      </c>
      <c r="F1723">
        <v>4</v>
      </c>
    </row>
    <row r="1724" spans="1:6" ht="13.2">
      <c r="A1724" t="s">
        <v>5031</v>
      </c>
      <c r="B1724">
        <v>0</v>
      </c>
      <c r="C1724" s="44">
        <v>1400</v>
      </c>
      <c r="D1724" t="s">
        <v>291</v>
      </c>
      <c r="E1724" t="s">
        <v>571</v>
      </c>
      <c r="F1724">
        <v>4</v>
      </c>
    </row>
    <row r="1725" spans="1:6" ht="13.2">
      <c r="A1725" t="s">
        <v>5032</v>
      </c>
      <c r="B1725">
        <v>0</v>
      </c>
      <c r="C1725" s="44">
        <v>1400</v>
      </c>
      <c r="D1725" t="s">
        <v>291</v>
      </c>
      <c r="E1725" t="s">
        <v>571</v>
      </c>
      <c r="F1725">
        <v>4</v>
      </c>
    </row>
    <row r="1726" spans="1:6" ht="13.2">
      <c r="A1726" t="s">
        <v>5033</v>
      </c>
      <c r="B1726">
        <v>0</v>
      </c>
      <c r="C1726" s="44">
        <v>1400</v>
      </c>
      <c r="D1726" t="s">
        <v>291</v>
      </c>
      <c r="E1726" t="s">
        <v>571</v>
      </c>
      <c r="F1726">
        <v>4</v>
      </c>
    </row>
    <row r="1727" spans="1:6" ht="13.2">
      <c r="A1727" t="s">
        <v>5036</v>
      </c>
      <c r="B1727">
        <v>0</v>
      </c>
      <c r="C1727" s="44">
        <v>1400</v>
      </c>
      <c r="D1727" t="s">
        <v>291</v>
      </c>
      <c r="E1727" t="s">
        <v>571</v>
      </c>
      <c r="F1727">
        <v>4</v>
      </c>
    </row>
    <row r="1728" spans="1:6" ht="13.2">
      <c r="A1728" t="s">
        <v>5034</v>
      </c>
      <c r="B1728">
        <v>0</v>
      </c>
      <c r="C1728" s="44">
        <v>1400</v>
      </c>
      <c r="D1728" t="s">
        <v>291</v>
      </c>
      <c r="E1728" t="s">
        <v>571</v>
      </c>
      <c r="F1728">
        <v>4</v>
      </c>
    </row>
    <row r="1729" spans="1:6" ht="13.2">
      <c r="A1729" t="s">
        <v>5035</v>
      </c>
      <c r="B1729">
        <v>0</v>
      </c>
      <c r="C1729" s="44">
        <v>1400</v>
      </c>
      <c r="D1729" t="s">
        <v>291</v>
      </c>
      <c r="E1729" t="s">
        <v>571</v>
      </c>
      <c r="F1729">
        <v>4</v>
      </c>
    </row>
    <row r="1730" spans="1:6" ht="13.2">
      <c r="A1730" t="s">
        <v>5209</v>
      </c>
      <c r="B1730">
        <v>690</v>
      </c>
      <c r="C1730" s="44">
        <v>1380</v>
      </c>
      <c r="D1730" t="s">
        <v>291</v>
      </c>
      <c r="E1730" t="s">
        <v>5210</v>
      </c>
      <c r="F1730">
        <v>3</v>
      </c>
    </row>
    <row r="1731" spans="1:6" ht="13.2">
      <c r="A1731" t="s">
        <v>5211</v>
      </c>
      <c r="B1731">
        <v>690</v>
      </c>
      <c r="C1731" s="44">
        <v>1380</v>
      </c>
      <c r="D1731" t="s">
        <v>291</v>
      </c>
      <c r="E1731" t="s">
        <v>5210</v>
      </c>
      <c r="F1731">
        <v>3</v>
      </c>
    </row>
    <row r="1732" spans="1:6" ht="13.2">
      <c r="A1732" t="s">
        <v>5212</v>
      </c>
      <c r="B1732">
        <v>690</v>
      </c>
      <c r="C1732" s="44">
        <v>1380</v>
      </c>
      <c r="D1732" t="s">
        <v>291</v>
      </c>
      <c r="E1732" t="s">
        <v>5210</v>
      </c>
      <c r="F1732">
        <v>3</v>
      </c>
    </row>
    <row r="1733" spans="1:6" ht="13.2">
      <c r="A1733" t="s">
        <v>5213</v>
      </c>
      <c r="B1733">
        <v>690</v>
      </c>
      <c r="C1733" s="44">
        <v>1380</v>
      </c>
      <c r="D1733" t="s">
        <v>291</v>
      </c>
      <c r="E1733" t="s">
        <v>5210</v>
      </c>
      <c r="F1733">
        <v>3</v>
      </c>
    </row>
    <row r="1734" spans="1:6" ht="13.2">
      <c r="A1734" t="s">
        <v>5214</v>
      </c>
      <c r="B1734">
        <v>690</v>
      </c>
      <c r="C1734" s="44">
        <v>1380</v>
      </c>
      <c r="D1734" t="s">
        <v>291</v>
      </c>
      <c r="E1734" t="s">
        <v>5210</v>
      </c>
      <c r="F1734">
        <v>3</v>
      </c>
    </row>
    <row r="1735" spans="1:6" ht="13.2">
      <c r="A1735" t="s">
        <v>5215</v>
      </c>
      <c r="B1735">
        <v>690</v>
      </c>
      <c r="C1735" s="44">
        <v>1380</v>
      </c>
      <c r="D1735" t="s">
        <v>291</v>
      </c>
      <c r="E1735" t="s">
        <v>5210</v>
      </c>
      <c r="F1735">
        <v>3</v>
      </c>
    </row>
    <row r="1736" spans="1:6" ht="13.2">
      <c r="A1736" t="s">
        <v>4514</v>
      </c>
      <c r="B1736">
        <v>0</v>
      </c>
      <c r="C1736" s="44">
        <v>1400</v>
      </c>
      <c r="D1736" t="s">
        <v>291</v>
      </c>
      <c r="E1736" t="s">
        <v>653</v>
      </c>
      <c r="F1736">
        <v>4</v>
      </c>
    </row>
    <row r="1737" spans="1:6" ht="13.2">
      <c r="A1737" t="s">
        <v>4513</v>
      </c>
      <c r="B1737">
        <v>0</v>
      </c>
      <c r="C1737" s="44">
        <v>1400</v>
      </c>
      <c r="D1737" t="s">
        <v>291</v>
      </c>
      <c r="E1737" t="s">
        <v>653</v>
      </c>
      <c r="F1737">
        <v>4</v>
      </c>
    </row>
    <row r="1738" spans="1:6" ht="13.2">
      <c r="A1738" t="s">
        <v>4511</v>
      </c>
      <c r="B1738">
        <v>0</v>
      </c>
      <c r="C1738" s="44">
        <v>1400</v>
      </c>
      <c r="D1738" t="s">
        <v>291</v>
      </c>
      <c r="E1738" t="s">
        <v>653</v>
      </c>
      <c r="F1738">
        <v>4</v>
      </c>
    </row>
    <row r="1739" spans="1:6" ht="13.2">
      <c r="A1739" t="s">
        <v>4515</v>
      </c>
      <c r="B1739">
        <v>0</v>
      </c>
      <c r="C1739" s="44">
        <v>1400</v>
      </c>
      <c r="D1739" t="s">
        <v>291</v>
      </c>
      <c r="E1739" t="s">
        <v>653</v>
      </c>
      <c r="F1739">
        <v>4</v>
      </c>
    </row>
    <row r="1740" spans="1:6" ht="13.2">
      <c r="A1740" t="s">
        <v>4512</v>
      </c>
      <c r="B1740">
        <v>0</v>
      </c>
      <c r="C1740" s="44">
        <v>1400</v>
      </c>
      <c r="D1740" t="s">
        <v>291</v>
      </c>
      <c r="E1740" t="s">
        <v>653</v>
      </c>
      <c r="F1740">
        <v>4</v>
      </c>
    </row>
    <row r="1741" spans="1:6" ht="13.2">
      <c r="A1741" t="s">
        <v>4516</v>
      </c>
      <c r="B1741">
        <v>0</v>
      </c>
      <c r="C1741" s="44">
        <v>1400</v>
      </c>
      <c r="D1741" t="s">
        <v>291</v>
      </c>
      <c r="E1741" t="s">
        <v>653</v>
      </c>
      <c r="F1741">
        <v>4</v>
      </c>
    </row>
    <row r="1742" spans="1:6" ht="13.2">
      <c r="A1742" t="s">
        <v>4970</v>
      </c>
      <c r="B1742">
        <v>0</v>
      </c>
      <c r="C1742" s="44">
        <v>3000</v>
      </c>
      <c r="D1742" t="s">
        <v>293</v>
      </c>
      <c r="E1742" t="s">
        <v>4971</v>
      </c>
      <c r="F1742">
        <v>5</v>
      </c>
    </row>
    <row r="1743" spans="1:6" ht="13.2">
      <c r="A1743" t="s">
        <v>4972</v>
      </c>
      <c r="B1743">
        <v>0</v>
      </c>
      <c r="C1743" s="44">
        <v>3000</v>
      </c>
      <c r="D1743" t="s">
        <v>293</v>
      </c>
      <c r="E1743" t="s">
        <v>4971</v>
      </c>
      <c r="F1743">
        <v>5</v>
      </c>
    </row>
    <row r="1744" spans="1:6" ht="13.2">
      <c r="A1744" t="s">
        <v>4973</v>
      </c>
      <c r="B1744">
        <v>0</v>
      </c>
      <c r="C1744" s="44">
        <v>3000</v>
      </c>
      <c r="D1744" t="s">
        <v>293</v>
      </c>
      <c r="E1744" t="s">
        <v>4971</v>
      </c>
      <c r="F1744">
        <v>5</v>
      </c>
    </row>
    <row r="1745" spans="1:6" ht="13.2">
      <c r="A1745" t="s">
        <v>4974</v>
      </c>
      <c r="B1745">
        <v>0</v>
      </c>
      <c r="C1745" s="44">
        <v>3000</v>
      </c>
      <c r="D1745" t="s">
        <v>293</v>
      </c>
      <c r="E1745" t="s">
        <v>4971</v>
      </c>
      <c r="F1745">
        <v>5</v>
      </c>
    </row>
    <row r="1746" spans="1:6" ht="13.2">
      <c r="A1746" t="s">
        <v>4975</v>
      </c>
      <c r="B1746">
        <v>0</v>
      </c>
      <c r="C1746" s="44">
        <v>3000</v>
      </c>
      <c r="D1746" t="s">
        <v>293</v>
      </c>
      <c r="E1746" t="s">
        <v>4971</v>
      </c>
      <c r="F1746">
        <v>5</v>
      </c>
    </row>
    <row r="1747" spans="1:6" ht="13.2">
      <c r="A1747" t="s">
        <v>4976</v>
      </c>
      <c r="B1747">
        <v>0</v>
      </c>
      <c r="C1747" s="44">
        <v>3000</v>
      </c>
      <c r="D1747" t="s">
        <v>293</v>
      </c>
      <c r="E1747" t="s">
        <v>4971</v>
      </c>
      <c r="F1747">
        <v>5</v>
      </c>
    </row>
    <row r="1748" spans="1:6" ht="13.2">
      <c r="A1748" t="s">
        <v>4978</v>
      </c>
      <c r="B1748">
        <v>0</v>
      </c>
      <c r="C1748" s="44">
        <v>3000</v>
      </c>
      <c r="D1748" t="s">
        <v>293</v>
      </c>
      <c r="E1748" t="s">
        <v>4971</v>
      </c>
      <c r="F1748">
        <v>5</v>
      </c>
    </row>
    <row r="1749" spans="1:6" ht="13.2">
      <c r="A1749" t="s">
        <v>4977</v>
      </c>
      <c r="B1749">
        <v>0</v>
      </c>
      <c r="C1749" s="44">
        <v>3000</v>
      </c>
      <c r="D1749" t="s">
        <v>293</v>
      </c>
      <c r="E1749" t="s">
        <v>4971</v>
      </c>
      <c r="F1749">
        <v>5</v>
      </c>
    </row>
    <row r="1750" spans="1:6" ht="13.2">
      <c r="A1750" t="s">
        <v>3344</v>
      </c>
      <c r="B1750">
        <v>625</v>
      </c>
      <c r="C1750" s="44">
        <v>1440</v>
      </c>
      <c r="D1750" t="s">
        <v>291</v>
      </c>
      <c r="E1750" t="s">
        <v>577</v>
      </c>
      <c r="F1750">
        <v>3</v>
      </c>
    </row>
    <row r="1751" spans="1:4" ht="13.2">
      <c r="A1751" t="s">
        <v>5930</v>
      </c>
      <c r="B1751">
        <v>0</v>
      </c>
      <c r="C1751" s="44">
        <v>3200</v>
      </c>
      <c r="D1751" t="s">
        <v>293</v>
      </c>
    </row>
    <row r="1752" spans="1:4" ht="13.2">
      <c r="A1752" t="s">
        <v>5931</v>
      </c>
      <c r="B1752">
        <v>0</v>
      </c>
      <c r="C1752" s="44">
        <v>3200</v>
      </c>
      <c r="D1752" t="s">
        <v>293</v>
      </c>
    </row>
    <row r="1753" spans="1:4" ht="13.2">
      <c r="A1753" t="s">
        <v>5932</v>
      </c>
      <c r="B1753">
        <v>0</v>
      </c>
      <c r="C1753" s="44">
        <v>3200</v>
      </c>
      <c r="D1753" t="s">
        <v>293</v>
      </c>
    </row>
    <row r="1754" spans="1:4" ht="13.2">
      <c r="A1754" t="s">
        <v>5933</v>
      </c>
      <c r="B1754">
        <v>0</v>
      </c>
      <c r="C1754" s="44">
        <v>3200</v>
      </c>
      <c r="D1754" t="s">
        <v>293</v>
      </c>
    </row>
    <row r="1755" spans="1:4" ht="13.2">
      <c r="A1755" t="s">
        <v>5934</v>
      </c>
      <c r="B1755">
        <v>0</v>
      </c>
      <c r="C1755" s="44">
        <v>3200</v>
      </c>
      <c r="D1755" t="s">
        <v>293</v>
      </c>
    </row>
    <row r="1756" spans="1:4" ht="13.2">
      <c r="A1756" t="s">
        <v>5935</v>
      </c>
      <c r="B1756">
        <v>0</v>
      </c>
      <c r="C1756" s="44">
        <v>3200</v>
      </c>
      <c r="D1756" t="s">
        <v>293</v>
      </c>
    </row>
    <row r="1757" spans="1:4" ht="13.2">
      <c r="A1757" t="s">
        <v>5936</v>
      </c>
      <c r="B1757">
        <v>0</v>
      </c>
      <c r="C1757" s="44">
        <v>3200</v>
      </c>
      <c r="D1757" t="s">
        <v>293</v>
      </c>
    </row>
    <row r="1758" spans="1:6" ht="13.2">
      <c r="A1758" t="s">
        <v>4244</v>
      </c>
      <c r="B1758">
        <v>220</v>
      </c>
      <c r="C1758" s="44">
        <v>3000</v>
      </c>
      <c r="D1758" t="s">
        <v>293</v>
      </c>
      <c r="E1758" t="s">
        <v>256</v>
      </c>
      <c r="F1758">
        <v>4</v>
      </c>
    </row>
    <row r="1759" spans="1:6" ht="13.2">
      <c r="A1759" t="s">
        <v>4245</v>
      </c>
      <c r="B1759">
        <v>220</v>
      </c>
      <c r="C1759" s="44">
        <v>3000</v>
      </c>
      <c r="D1759" t="s">
        <v>293</v>
      </c>
      <c r="E1759" t="s">
        <v>256</v>
      </c>
      <c r="F1759">
        <v>4</v>
      </c>
    </row>
    <row r="1760" spans="1:6" ht="13.2">
      <c r="A1760" t="s">
        <v>4246</v>
      </c>
      <c r="B1760">
        <v>220</v>
      </c>
      <c r="C1760" s="44">
        <v>3000</v>
      </c>
      <c r="D1760" t="s">
        <v>293</v>
      </c>
      <c r="E1760" t="s">
        <v>256</v>
      </c>
      <c r="F1760">
        <v>4</v>
      </c>
    </row>
    <row r="1761" spans="1:6" ht="13.2">
      <c r="A1761" t="s">
        <v>4247</v>
      </c>
      <c r="B1761">
        <v>220</v>
      </c>
      <c r="C1761" s="44">
        <v>3000</v>
      </c>
      <c r="D1761" t="s">
        <v>293</v>
      </c>
      <c r="E1761" t="s">
        <v>256</v>
      </c>
      <c r="F1761">
        <v>4</v>
      </c>
    </row>
    <row r="1762" spans="1:6" ht="13.2">
      <c r="A1762" t="s">
        <v>1924</v>
      </c>
      <c r="B1762">
        <v>0</v>
      </c>
      <c r="C1762" s="44">
        <v>2900</v>
      </c>
      <c r="D1762" t="s">
        <v>293</v>
      </c>
      <c r="E1762" t="s">
        <v>212</v>
      </c>
      <c r="F1762">
        <v>4</v>
      </c>
    </row>
    <row r="1763" spans="1:6" ht="13.2">
      <c r="A1763" t="s">
        <v>1925</v>
      </c>
      <c r="B1763">
        <v>0</v>
      </c>
      <c r="C1763" s="44">
        <v>2900</v>
      </c>
      <c r="D1763" t="s">
        <v>293</v>
      </c>
      <c r="E1763" t="s">
        <v>212</v>
      </c>
      <c r="F1763">
        <v>4</v>
      </c>
    </row>
    <row r="1764" spans="1:6" ht="13.2">
      <c r="A1764" t="s">
        <v>1926</v>
      </c>
      <c r="B1764">
        <v>0</v>
      </c>
      <c r="C1764" s="44">
        <v>2900</v>
      </c>
      <c r="D1764" t="s">
        <v>293</v>
      </c>
      <c r="E1764" t="s">
        <v>212</v>
      </c>
      <c r="F1764">
        <v>4</v>
      </c>
    </row>
    <row r="1765" spans="1:6" ht="13.2">
      <c r="A1765" t="s">
        <v>1927</v>
      </c>
      <c r="B1765">
        <v>0</v>
      </c>
      <c r="C1765" s="44">
        <v>2900</v>
      </c>
      <c r="D1765" t="s">
        <v>293</v>
      </c>
      <c r="E1765" t="s">
        <v>212</v>
      </c>
      <c r="F1765">
        <v>4</v>
      </c>
    </row>
    <row r="1766" spans="1:6" ht="13.2">
      <c r="A1766" t="s">
        <v>1928</v>
      </c>
      <c r="B1766">
        <v>0</v>
      </c>
      <c r="C1766" s="44">
        <v>2900</v>
      </c>
      <c r="D1766" t="s">
        <v>293</v>
      </c>
      <c r="E1766" t="s">
        <v>212</v>
      </c>
      <c r="F1766">
        <v>4</v>
      </c>
    </row>
    <row r="1767" spans="1:6" ht="13.2">
      <c r="A1767" t="s">
        <v>1929</v>
      </c>
      <c r="B1767">
        <v>0</v>
      </c>
      <c r="C1767" s="44">
        <v>2900</v>
      </c>
      <c r="D1767" t="s">
        <v>293</v>
      </c>
      <c r="E1767" t="s">
        <v>212</v>
      </c>
      <c r="F1767">
        <v>4</v>
      </c>
    </row>
    <row r="1768" spans="1:6" ht="13.2">
      <c r="A1768" t="s">
        <v>1930</v>
      </c>
      <c r="B1768">
        <v>0</v>
      </c>
      <c r="C1768" s="44">
        <v>2900</v>
      </c>
      <c r="D1768" t="s">
        <v>293</v>
      </c>
      <c r="E1768" t="s">
        <v>212</v>
      </c>
      <c r="F1768">
        <v>4</v>
      </c>
    </row>
    <row r="1769" spans="1:6" ht="13.2">
      <c r="A1769" t="s">
        <v>1931</v>
      </c>
      <c r="B1769">
        <v>0</v>
      </c>
      <c r="C1769" s="44">
        <v>2900</v>
      </c>
      <c r="D1769" t="s">
        <v>293</v>
      </c>
      <c r="E1769" t="s">
        <v>212</v>
      </c>
      <c r="F1769">
        <v>4</v>
      </c>
    </row>
    <row r="1770" spans="1:6" ht="13.2">
      <c r="A1770" t="s">
        <v>1932</v>
      </c>
      <c r="B1770">
        <v>0</v>
      </c>
      <c r="C1770" s="44">
        <v>2900</v>
      </c>
      <c r="D1770" t="s">
        <v>293</v>
      </c>
      <c r="E1770" t="s">
        <v>212</v>
      </c>
      <c r="F1770">
        <v>4</v>
      </c>
    </row>
    <row r="1771" spans="1:6" ht="13.2">
      <c r="A1771" t="s">
        <v>5334</v>
      </c>
      <c r="B1771">
        <v>440</v>
      </c>
      <c r="C1771" s="44">
        <v>1380</v>
      </c>
      <c r="D1771" t="s">
        <v>291</v>
      </c>
      <c r="E1771" t="s">
        <v>570</v>
      </c>
      <c r="F1771">
        <v>4</v>
      </c>
    </row>
    <row r="1772" spans="1:6" ht="13.2">
      <c r="A1772" t="s">
        <v>5332</v>
      </c>
      <c r="B1772">
        <v>440</v>
      </c>
      <c r="C1772" s="44">
        <v>1380</v>
      </c>
      <c r="D1772" t="s">
        <v>291</v>
      </c>
      <c r="E1772" t="s">
        <v>570</v>
      </c>
      <c r="F1772">
        <v>4</v>
      </c>
    </row>
    <row r="1773" spans="1:6" ht="13.2">
      <c r="A1773" t="s">
        <v>5333</v>
      </c>
      <c r="B1773">
        <v>440</v>
      </c>
      <c r="C1773" s="44">
        <v>1380</v>
      </c>
      <c r="D1773" t="s">
        <v>291</v>
      </c>
      <c r="E1773" t="s">
        <v>570</v>
      </c>
      <c r="F1773">
        <v>4</v>
      </c>
    </row>
    <row r="1774" spans="1:6" ht="13.2">
      <c r="A1774" t="s">
        <v>5335</v>
      </c>
      <c r="B1774">
        <v>440</v>
      </c>
      <c r="C1774" s="44">
        <v>1380</v>
      </c>
      <c r="D1774" t="s">
        <v>291</v>
      </c>
      <c r="E1774" t="s">
        <v>570</v>
      </c>
      <c r="F1774">
        <v>4</v>
      </c>
    </row>
    <row r="1775" spans="1:6" ht="13.2">
      <c r="A1775" t="s">
        <v>2239</v>
      </c>
      <c r="B1775">
        <v>600</v>
      </c>
      <c r="C1775" s="44">
        <v>1370</v>
      </c>
      <c r="D1775" t="s">
        <v>291</v>
      </c>
      <c r="E1775" t="s">
        <v>231</v>
      </c>
      <c r="F1775">
        <v>4</v>
      </c>
    </row>
    <row r="1776" spans="1:6" ht="13.2">
      <c r="A1776" t="s">
        <v>2240</v>
      </c>
      <c r="B1776">
        <v>600</v>
      </c>
      <c r="C1776" s="44">
        <v>1370</v>
      </c>
      <c r="D1776" t="s">
        <v>291</v>
      </c>
      <c r="E1776" t="s">
        <v>231</v>
      </c>
      <c r="F1776">
        <v>4</v>
      </c>
    </row>
    <row r="1777" spans="1:6" ht="13.2">
      <c r="A1777" t="s">
        <v>2241</v>
      </c>
      <c r="B1777">
        <v>600</v>
      </c>
      <c r="C1777" s="44">
        <v>1370</v>
      </c>
      <c r="D1777" t="s">
        <v>291</v>
      </c>
      <c r="E1777" t="s">
        <v>231</v>
      </c>
      <c r="F1777">
        <v>4</v>
      </c>
    </row>
    <row r="1778" spans="1:6" ht="13.2">
      <c r="A1778" t="s">
        <v>2242</v>
      </c>
      <c r="B1778">
        <v>600</v>
      </c>
      <c r="C1778" s="44">
        <v>1370</v>
      </c>
      <c r="D1778" t="s">
        <v>291</v>
      </c>
      <c r="E1778" t="s">
        <v>231</v>
      </c>
      <c r="F1778">
        <v>4</v>
      </c>
    </row>
    <row r="1779" spans="1:6" ht="13.2">
      <c r="A1779" t="s">
        <v>2243</v>
      </c>
      <c r="B1779">
        <v>600</v>
      </c>
      <c r="C1779" s="44">
        <v>1370</v>
      </c>
      <c r="D1779" t="s">
        <v>291</v>
      </c>
      <c r="E1779" t="s">
        <v>231</v>
      </c>
      <c r="F1779">
        <v>4</v>
      </c>
    </row>
    <row r="1780" spans="1:6" ht="13.2">
      <c r="A1780" t="s">
        <v>2244</v>
      </c>
      <c r="B1780">
        <v>600</v>
      </c>
      <c r="C1780" s="44">
        <v>1370</v>
      </c>
      <c r="D1780" t="s">
        <v>291</v>
      </c>
      <c r="E1780" t="s">
        <v>231</v>
      </c>
      <c r="F1780">
        <v>4</v>
      </c>
    </row>
    <row r="1781" spans="1:6" ht="13.2">
      <c r="A1781" t="s">
        <v>2245</v>
      </c>
      <c r="B1781">
        <v>600</v>
      </c>
      <c r="C1781" s="44">
        <v>1370</v>
      </c>
      <c r="D1781" t="s">
        <v>291</v>
      </c>
      <c r="E1781" t="s">
        <v>231</v>
      </c>
      <c r="F1781">
        <v>4</v>
      </c>
    </row>
    <row r="1782" spans="1:6" ht="13.2">
      <c r="A1782" t="s">
        <v>2246</v>
      </c>
      <c r="B1782">
        <v>600</v>
      </c>
      <c r="C1782" s="44">
        <v>1370</v>
      </c>
      <c r="D1782" t="s">
        <v>291</v>
      </c>
      <c r="E1782" t="s">
        <v>231</v>
      </c>
      <c r="F1782">
        <v>4</v>
      </c>
    </row>
    <row r="1783" spans="1:6" ht="13.2">
      <c r="A1783" t="s">
        <v>2247</v>
      </c>
      <c r="B1783">
        <v>600</v>
      </c>
      <c r="C1783" s="44">
        <v>1370</v>
      </c>
      <c r="D1783" t="s">
        <v>291</v>
      </c>
      <c r="E1783" t="s">
        <v>231</v>
      </c>
      <c r="F1783">
        <v>4</v>
      </c>
    </row>
    <row r="1784" spans="1:6" ht="13.2">
      <c r="A1784" t="s">
        <v>2248</v>
      </c>
      <c r="B1784">
        <v>600</v>
      </c>
      <c r="C1784" s="44">
        <v>1370</v>
      </c>
      <c r="D1784" t="s">
        <v>291</v>
      </c>
      <c r="E1784" t="s">
        <v>231</v>
      </c>
      <c r="F1784">
        <v>4</v>
      </c>
    </row>
    <row r="1785" spans="1:6" ht="13.2">
      <c r="A1785" t="s">
        <v>4228</v>
      </c>
      <c r="B1785">
        <v>0</v>
      </c>
      <c r="C1785" s="44">
        <v>2900</v>
      </c>
      <c r="D1785" t="s">
        <v>293</v>
      </c>
      <c r="E1785" t="s">
        <v>256</v>
      </c>
      <c r="F1785">
        <v>4</v>
      </c>
    </row>
    <row r="1786" spans="1:6" ht="13.2">
      <c r="A1786" t="s">
        <v>4229</v>
      </c>
      <c r="B1786">
        <v>0</v>
      </c>
      <c r="C1786" s="44">
        <v>2900</v>
      </c>
      <c r="D1786" t="s">
        <v>293</v>
      </c>
      <c r="E1786" t="s">
        <v>256</v>
      </c>
      <c r="F1786">
        <v>4</v>
      </c>
    </row>
    <row r="1787" spans="1:6" ht="13.2">
      <c r="A1787" t="s">
        <v>4230</v>
      </c>
      <c r="B1787">
        <v>0</v>
      </c>
      <c r="C1787" s="44">
        <v>2900</v>
      </c>
      <c r="D1787" t="s">
        <v>293</v>
      </c>
      <c r="E1787" t="s">
        <v>256</v>
      </c>
      <c r="F1787">
        <v>4</v>
      </c>
    </row>
    <row r="1788" spans="1:6" ht="13.2">
      <c r="A1788" t="s">
        <v>1148</v>
      </c>
      <c r="B1788">
        <v>0</v>
      </c>
      <c r="C1788" s="44" t="s">
        <v>351</v>
      </c>
      <c r="D1788" t="s">
        <v>293</v>
      </c>
      <c r="E1788" t="s">
        <v>231</v>
      </c>
      <c r="F1788">
        <v>4</v>
      </c>
    </row>
    <row r="1789" spans="1:6" ht="13.2">
      <c r="A1789" t="s">
        <v>1149</v>
      </c>
      <c r="B1789">
        <v>0</v>
      </c>
      <c r="C1789" s="44" t="s">
        <v>351</v>
      </c>
      <c r="D1789" s="45" t="s">
        <v>293</v>
      </c>
      <c r="E1789" t="s">
        <v>231</v>
      </c>
      <c r="F1789">
        <v>4</v>
      </c>
    </row>
    <row r="1790" spans="1:6" ht="13.2">
      <c r="A1790" t="s">
        <v>1150</v>
      </c>
      <c r="B1790">
        <v>0</v>
      </c>
      <c r="C1790" s="44" t="s">
        <v>351</v>
      </c>
      <c r="D1790" s="45" t="s">
        <v>293</v>
      </c>
      <c r="E1790" t="s">
        <v>231</v>
      </c>
      <c r="F1790">
        <v>4</v>
      </c>
    </row>
    <row r="1791" spans="1:6" ht="13.2">
      <c r="A1791" t="s">
        <v>559</v>
      </c>
      <c r="B1791">
        <v>600</v>
      </c>
      <c r="C1791" s="44">
        <v>1400</v>
      </c>
      <c r="D1791" t="s">
        <v>291</v>
      </c>
      <c r="E1791" t="s">
        <v>414</v>
      </c>
      <c r="F1791">
        <v>4</v>
      </c>
    </row>
    <row r="1792" spans="1:6" ht="13.2">
      <c r="A1792" t="s">
        <v>560</v>
      </c>
      <c r="B1792">
        <v>600</v>
      </c>
      <c r="C1792" s="44">
        <v>1400</v>
      </c>
      <c r="D1792" t="s">
        <v>291</v>
      </c>
      <c r="E1792" t="s">
        <v>414</v>
      </c>
      <c r="F1792">
        <v>4</v>
      </c>
    </row>
    <row r="1793" spans="1:6" ht="13.2">
      <c r="A1793" t="s">
        <v>561</v>
      </c>
      <c r="B1793">
        <v>600</v>
      </c>
      <c r="C1793" s="44">
        <v>1400</v>
      </c>
      <c r="D1793" t="s">
        <v>291</v>
      </c>
      <c r="E1793" t="s">
        <v>414</v>
      </c>
      <c r="F1793">
        <v>4</v>
      </c>
    </row>
    <row r="1794" spans="1:6" ht="13.2">
      <c r="A1794" t="s">
        <v>562</v>
      </c>
      <c r="B1794">
        <v>600</v>
      </c>
      <c r="C1794" s="44">
        <v>1400</v>
      </c>
      <c r="D1794" t="s">
        <v>291</v>
      </c>
      <c r="E1794" t="s">
        <v>414</v>
      </c>
      <c r="F1794">
        <v>4</v>
      </c>
    </row>
    <row r="1795" spans="1:6" ht="13.2">
      <c r="A1795" t="s">
        <v>563</v>
      </c>
      <c r="B1795">
        <v>600</v>
      </c>
      <c r="C1795" s="44">
        <v>1400</v>
      </c>
      <c r="D1795" t="s">
        <v>291</v>
      </c>
      <c r="E1795" t="s">
        <v>414</v>
      </c>
      <c r="F1795">
        <v>4</v>
      </c>
    </row>
    <row r="1796" spans="1:6" ht="13.2">
      <c r="A1796" t="s">
        <v>564</v>
      </c>
      <c r="B1796">
        <v>600</v>
      </c>
      <c r="C1796" s="44">
        <v>1400</v>
      </c>
      <c r="D1796" t="s">
        <v>291</v>
      </c>
      <c r="E1796" t="s">
        <v>414</v>
      </c>
      <c r="F1796">
        <v>4</v>
      </c>
    </row>
    <row r="1797" spans="1:6" ht="13.2">
      <c r="A1797" t="s">
        <v>565</v>
      </c>
      <c r="B1797">
        <v>600</v>
      </c>
      <c r="C1797" s="44">
        <v>1400</v>
      </c>
      <c r="D1797" t="s">
        <v>291</v>
      </c>
      <c r="E1797" t="s">
        <v>414</v>
      </c>
      <c r="F1797">
        <v>4</v>
      </c>
    </row>
    <row r="1798" spans="1:6" ht="13.2">
      <c r="A1798" t="s">
        <v>566</v>
      </c>
      <c r="B1798">
        <v>600</v>
      </c>
      <c r="C1798" s="44">
        <v>1400</v>
      </c>
      <c r="D1798" t="s">
        <v>291</v>
      </c>
      <c r="E1798" t="s">
        <v>414</v>
      </c>
      <c r="F1798">
        <v>4</v>
      </c>
    </row>
    <row r="1799" spans="1:6" ht="13.2">
      <c r="A1799" t="s">
        <v>567</v>
      </c>
      <c r="B1799">
        <v>600</v>
      </c>
      <c r="C1799" s="44">
        <v>1400</v>
      </c>
      <c r="D1799" t="s">
        <v>291</v>
      </c>
      <c r="E1799" t="s">
        <v>414</v>
      </c>
      <c r="F1799">
        <v>4</v>
      </c>
    </row>
    <row r="1800" spans="1:6" ht="13.2">
      <c r="A1800" t="s">
        <v>569</v>
      </c>
      <c r="B1800">
        <v>600</v>
      </c>
      <c r="C1800" s="44">
        <v>1400</v>
      </c>
      <c r="D1800" t="s">
        <v>291</v>
      </c>
      <c r="E1800" t="s">
        <v>414</v>
      </c>
      <c r="F1800">
        <v>4</v>
      </c>
    </row>
    <row r="1801" spans="1:6" ht="13.2">
      <c r="A1801" t="s">
        <v>568</v>
      </c>
      <c r="B1801">
        <v>600</v>
      </c>
      <c r="C1801" s="44">
        <v>1400</v>
      </c>
      <c r="D1801" t="s">
        <v>291</v>
      </c>
      <c r="E1801" t="s">
        <v>414</v>
      </c>
      <c r="F1801">
        <v>4</v>
      </c>
    </row>
    <row r="1802" spans="1:6" ht="13.2">
      <c r="A1802" t="s">
        <v>5078</v>
      </c>
      <c r="B1802">
        <v>810</v>
      </c>
      <c r="C1802" s="44">
        <v>3200</v>
      </c>
      <c r="D1802" t="s">
        <v>293</v>
      </c>
      <c r="E1802" t="s">
        <v>256</v>
      </c>
      <c r="F1802">
        <v>4</v>
      </c>
    </row>
    <row r="1803" spans="1:6" ht="13.2">
      <c r="A1803" t="s">
        <v>5076</v>
      </c>
      <c r="B1803">
        <v>810</v>
      </c>
      <c r="C1803" s="44">
        <v>3200</v>
      </c>
      <c r="D1803" t="s">
        <v>293</v>
      </c>
      <c r="E1803" t="s">
        <v>256</v>
      </c>
      <c r="F1803">
        <v>4</v>
      </c>
    </row>
    <row r="1804" spans="1:6" ht="13.2">
      <c r="A1804" t="s">
        <v>5074</v>
      </c>
      <c r="B1804">
        <v>810</v>
      </c>
      <c r="C1804" s="44">
        <v>3200</v>
      </c>
      <c r="D1804" t="s">
        <v>293</v>
      </c>
      <c r="E1804" t="s">
        <v>256</v>
      </c>
      <c r="F1804">
        <v>4</v>
      </c>
    </row>
    <row r="1805" spans="1:6" ht="13.2">
      <c r="A1805" t="s">
        <v>5077</v>
      </c>
      <c r="B1805">
        <v>810</v>
      </c>
      <c r="C1805" s="44">
        <v>3200</v>
      </c>
      <c r="D1805" t="s">
        <v>293</v>
      </c>
      <c r="E1805" t="s">
        <v>256</v>
      </c>
      <c r="F1805">
        <v>4</v>
      </c>
    </row>
    <row r="1806" spans="1:6" ht="13.2">
      <c r="A1806" t="s">
        <v>5079</v>
      </c>
      <c r="B1806">
        <v>810</v>
      </c>
      <c r="C1806" s="44">
        <v>3200</v>
      </c>
      <c r="D1806" t="s">
        <v>293</v>
      </c>
      <c r="E1806" t="s">
        <v>256</v>
      </c>
      <c r="F1806">
        <v>4</v>
      </c>
    </row>
    <row r="1807" spans="1:6" ht="13.2">
      <c r="A1807" t="s">
        <v>5075</v>
      </c>
      <c r="B1807">
        <v>810</v>
      </c>
      <c r="C1807" s="44">
        <v>3200</v>
      </c>
      <c r="D1807" t="s">
        <v>293</v>
      </c>
      <c r="E1807" t="s">
        <v>256</v>
      </c>
      <c r="F1807">
        <v>4</v>
      </c>
    </row>
    <row r="1808" spans="1:6" ht="13.2">
      <c r="A1808" t="s">
        <v>5080</v>
      </c>
      <c r="B1808">
        <v>810</v>
      </c>
      <c r="C1808" s="44">
        <v>3200</v>
      </c>
      <c r="D1808" t="s">
        <v>293</v>
      </c>
      <c r="E1808" t="s">
        <v>256</v>
      </c>
      <c r="F1808">
        <v>4</v>
      </c>
    </row>
    <row r="1809" spans="1:6" ht="13.2">
      <c r="A1809" t="s">
        <v>6192</v>
      </c>
      <c r="B1809">
        <v>580</v>
      </c>
      <c r="C1809" s="44">
        <v>1370</v>
      </c>
      <c r="D1809" t="s">
        <v>291</v>
      </c>
      <c r="E1809" t="s">
        <v>5210</v>
      </c>
      <c r="F1809">
        <v>3</v>
      </c>
    </row>
    <row r="1810" spans="1:6" ht="13.2">
      <c r="A1810" t="s">
        <v>6193</v>
      </c>
      <c r="B1810">
        <v>580</v>
      </c>
      <c r="C1810" s="44">
        <v>1370</v>
      </c>
      <c r="D1810" t="s">
        <v>291</v>
      </c>
      <c r="E1810" t="s">
        <v>5210</v>
      </c>
      <c r="F1810">
        <v>3</v>
      </c>
    </row>
    <row r="1811" spans="1:6" ht="13.2">
      <c r="A1811" t="s">
        <v>6194</v>
      </c>
      <c r="B1811">
        <v>580</v>
      </c>
      <c r="C1811" s="44">
        <v>1370</v>
      </c>
      <c r="D1811" t="s">
        <v>291</v>
      </c>
      <c r="E1811" t="s">
        <v>5210</v>
      </c>
      <c r="F1811">
        <v>3</v>
      </c>
    </row>
    <row r="1812" spans="1:6" ht="13.2">
      <c r="A1812" t="s">
        <v>6195</v>
      </c>
      <c r="B1812">
        <v>580</v>
      </c>
      <c r="C1812" s="44">
        <v>1370</v>
      </c>
      <c r="D1812" t="s">
        <v>291</v>
      </c>
      <c r="E1812" t="s">
        <v>5210</v>
      </c>
      <c r="F1812">
        <v>3</v>
      </c>
    </row>
    <row r="1813" spans="1:6" ht="13.2">
      <c r="A1813" t="s">
        <v>4219</v>
      </c>
      <c r="B1813">
        <v>0</v>
      </c>
      <c r="C1813" s="44">
        <v>3200</v>
      </c>
      <c r="D1813" t="s">
        <v>293</v>
      </c>
      <c r="E1813" t="s">
        <v>256</v>
      </c>
      <c r="F1813">
        <v>4</v>
      </c>
    </row>
    <row r="1814" spans="1:6" ht="13.2">
      <c r="A1814" t="s">
        <v>4220</v>
      </c>
      <c r="B1814">
        <v>0</v>
      </c>
      <c r="C1814" s="44">
        <v>3200</v>
      </c>
      <c r="D1814" t="s">
        <v>293</v>
      </c>
      <c r="E1814" t="s">
        <v>256</v>
      </c>
      <c r="F1814">
        <v>4</v>
      </c>
    </row>
    <row r="1815" spans="1:6" ht="13.2">
      <c r="A1815" t="s">
        <v>4221</v>
      </c>
      <c r="B1815">
        <v>0</v>
      </c>
      <c r="C1815" s="44">
        <v>3200</v>
      </c>
      <c r="D1815" t="s">
        <v>293</v>
      </c>
      <c r="E1815" t="s">
        <v>256</v>
      </c>
      <c r="F1815">
        <v>4</v>
      </c>
    </row>
    <row r="1816" spans="1:6" ht="13.2">
      <c r="A1816" t="s">
        <v>4222</v>
      </c>
      <c r="B1816">
        <v>0</v>
      </c>
      <c r="C1816" s="44">
        <v>3200</v>
      </c>
      <c r="D1816" t="s">
        <v>293</v>
      </c>
      <c r="E1816" t="s">
        <v>256</v>
      </c>
      <c r="F1816">
        <v>4</v>
      </c>
    </row>
    <row r="1817" spans="1:6" ht="13.2">
      <c r="A1817" t="s">
        <v>4223</v>
      </c>
      <c r="B1817">
        <v>0</v>
      </c>
      <c r="C1817" s="44">
        <v>3200</v>
      </c>
      <c r="D1817" t="s">
        <v>293</v>
      </c>
      <c r="E1817" t="s">
        <v>256</v>
      </c>
      <c r="F1817">
        <v>4</v>
      </c>
    </row>
    <row r="1818" spans="1:6" ht="13.2">
      <c r="A1818" t="s">
        <v>4224</v>
      </c>
      <c r="B1818">
        <v>0</v>
      </c>
      <c r="C1818" s="44">
        <v>3200</v>
      </c>
      <c r="D1818" t="s">
        <v>293</v>
      </c>
      <c r="E1818" t="s">
        <v>256</v>
      </c>
      <c r="F1818">
        <v>4</v>
      </c>
    </row>
    <row r="1819" spans="1:6" ht="13.2">
      <c r="A1819" t="s">
        <v>4225</v>
      </c>
      <c r="B1819">
        <v>0</v>
      </c>
      <c r="C1819" s="44">
        <v>3200</v>
      </c>
      <c r="D1819" t="s">
        <v>293</v>
      </c>
      <c r="E1819" t="s">
        <v>256</v>
      </c>
      <c r="F1819">
        <v>4</v>
      </c>
    </row>
    <row r="1820" spans="1:6" ht="13.2">
      <c r="A1820" t="s">
        <v>4227</v>
      </c>
      <c r="B1820">
        <v>0</v>
      </c>
      <c r="C1820" s="44">
        <v>3200</v>
      </c>
      <c r="D1820" t="s">
        <v>293</v>
      </c>
      <c r="E1820" t="s">
        <v>256</v>
      </c>
      <c r="F1820">
        <v>4</v>
      </c>
    </row>
    <row r="1821" spans="1:6" ht="13.2">
      <c r="A1821" t="s">
        <v>4226</v>
      </c>
      <c r="B1821">
        <v>0</v>
      </c>
      <c r="C1821" s="44">
        <v>3200</v>
      </c>
      <c r="D1821" t="s">
        <v>293</v>
      </c>
      <c r="E1821" t="s">
        <v>256</v>
      </c>
      <c r="F1821">
        <v>4</v>
      </c>
    </row>
    <row r="1822" spans="1:6" ht="13.2">
      <c r="A1822" t="s">
        <v>4192</v>
      </c>
      <c r="B1822">
        <v>0</v>
      </c>
      <c r="C1822" s="44" t="s">
        <v>204</v>
      </c>
      <c r="D1822" t="s">
        <v>293</v>
      </c>
      <c r="E1822" t="s">
        <v>653</v>
      </c>
      <c r="F1822">
        <v>4</v>
      </c>
    </row>
    <row r="1823" spans="1:6" ht="13.2">
      <c r="A1823" t="s">
        <v>4191</v>
      </c>
      <c r="B1823">
        <v>0</v>
      </c>
      <c r="C1823" s="44" t="s">
        <v>204</v>
      </c>
      <c r="D1823" t="s">
        <v>293</v>
      </c>
      <c r="E1823" t="s">
        <v>653</v>
      </c>
      <c r="F1823">
        <v>4</v>
      </c>
    </row>
    <row r="1824" spans="1:6" ht="13.2">
      <c r="A1824" t="s">
        <v>4189</v>
      </c>
      <c r="B1824">
        <v>0</v>
      </c>
      <c r="C1824" s="44" t="s">
        <v>204</v>
      </c>
      <c r="D1824" t="s">
        <v>293</v>
      </c>
      <c r="E1824" t="s">
        <v>653</v>
      </c>
      <c r="F1824">
        <v>4</v>
      </c>
    </row>
    <row r="1825" spans="1:6" ht="13.2">
      <c r="A1825" t="s">
        <v>4193</v>
      </c>
      <c r="B1825">
        <v>0</v>
      </c>
      <c r="C1825" s="44" t="s">
        <v>204</v>
      </c>
      <c r="D1825" t="s">
        <v>293</v>
      </c>
      <c r="E1825" t="s">
        <v>653</v>
      </c>
      <c r="F1825">
        <v>4</v>
      </c>
    </row>
    <row r="1826" spans="1:6" ht="13.2">
      <c r="A1826" t="s">
        <v>4190</v>
      </c>
      <c r="B1826">
        <v>0</v>
      </c>
      <c r="C1826" s="44" t="s">
        <v>204</v>
      </c>
      <c r="D1826" t="s">
        <v>293</v>
      </c>
      <c r="E1826" t="s">
        <v>653</v>
      </c>
      <c r="F1826">
        <v>4</v>
      </c>
    </row>
    <row r="1827" spans="1:6" ht="13.2">
      <c r="A1827" t="s">
        <v>4194</v>
      </c>
      <c r="B1827">
        <v>0</v>
      </c>
      <c r="C1827" s="44" t="s">
        <v>204</v>
      </c>
      <c r="D1827" t="s">
        <v>293</v>
      </c>
      <c r="E1827" t="s">
        <v>653</v>
      </c>
      <c r="F1827">
        <v>4</v>
      </c>
    </row>
    <row r="1828" spans="1:6" ht="13.2">
      <c r="A1828" t="s">
        <v>2249</v>
      </c>
      <c r="B1828">
        <v>0</v>
      </c>
      <c r="C1828" s="44">
        <v>1500</v>
      </c>
      <c r="D1828" t="s">
        <v>291</v>
      </c>
      <c r="E1828" t="s">
        <v>256</v>
      </c>
      <c r="F1828">
        <v>4</v>
      </c>
    </row>
    <row r="1829" spans="1:6" ht="13.2">
      <c r="A1829" t="s">
        <v>2250</v>
      </c>
      <c r="B1829">
        <v>0</v>
      </c>
      <c r="C1829" s="44">
        <v>1500</v>
      </c>
      <c r="D1829" t="s">
        <v>291</v>
      </c>
      <c r="E1829" t="s">
        <v>256</v>
      </c>
      <c r="F1829">
        <v>4</v>
      </c>
    </row>
    <row r="1830" spans="1:6" ht="13.2">
      <c r="A1830" t="s">
        <v>2251</v>
      </c>
      <c r="B1830">
        <v>0</v>
      </c>
      <c r="C1830" s="44">
        <v>1500</v>
      </c>
      <c r="D1830" t="s">
        <v>291</v>
      </c>
      <c r="E1830" t="s">
        <v>256</v>
      </c>
      <c r="F1830">
        <v>4</v>
      </c>
    </row>
    <row r="1831" spans="1:6" ht="13.2">
      <c r="A1831" t="s">
        <v>2252</v>
      </c>
      <c r="B1831">
        <v>0</v>
      </c>
      <c r="C1831" s="44">
        <v>1500</v>
      </c>
      <c r="D1831" t="s">
        <v>291</v>
      </c>
      <c r="E1831" t="s">
        <v>256</v>
      </c>
      <c r="F1831">
        <v>4</v>
      </c>
    </row>
    <row r="1832" spans="1:6" ht="13.2">
      <c r="A1832" t="s">
        <v>2253</v>
      </c>
      <c r="B1832">
        <v>0</v>
      </c>
      <c r="C1832" s="44">
        <v>1500</v>
      </c>
      <c r="D1832" t="s">
        <v>291</v>
      </c>
      <c r="E1832" t="s">
        <v>256</v>
      </c>
      <c r="F1832">
        <v>4</v>
      </c>
    </row>
    <row r="1833" spans="1:6" ht="13.2">
      <c r="A1833" t="s">
        <v>2254</v>
      </c>
      <c r="B1833">
        <v>0</v>
      </c>
      <c r="C1833" s="44">
        <v>1500</v>
      </c>
      <c r="D1833" t="s">
        <v>291</v>
      </c>
      <c r="E1833" t="s">
        <v>256</v>
      </c>
      <c r="F1833">
        <v>4</v>
      </c>
    </row>
    <row r="1834" spans="1:6" ht="13.2">
      <c r="A1834" t="s">
        <v>2255</v>
      </c>
      <c r="B1834">
        <v>0</v>
      </c>
      <c r="C1834" s="44">
        <v>1500</v>
      </c>
      <c r="D1834" t="s">
        <v>291</v>
      </c>
      <c r="E1834" t="s">
        <v>256</v>
      </c>
      <c r="F1834">
        <v>4</v>
      </c>
    </row>
    <row r="1835" spans="1:6" ht="13.2">
      <c r="A1835" t="s">
        <v>2256</v>
      </c>
      <c r="B1835">
        <v>0</v>
      </c>
      <c r="C1835" s="44">
        <v>1500</v>
      </c>
      <c r="D1835" t="s">
        <v>291</v>
      </c>
      <c r="E1835" t="s">
        <v>256</v>
      </c>
      <c r="F1835">
        <v>4</v>
      </c>
    </row>
    <row r="1836" spans="1:6" ht="13.2">
      <c r="A1836" t="s">
        <v>2257</v>
      </c>
      <c r="B1836">
        <v>0</v>
      </c>
      <c r="C1836" s="44">
        <v>1500</v>
      </c>
      <c r="D1836" t="s">
        <v>291</v>
      </c>
      <c r="E1836" t="s">
        <v>256</v>
      </c>
      <c r="F1836">
        <v>4</v>
      </c>
    </row>
    <row r="1837" spans="1:6" ht="13.2">
      <c r="A1837" t="s">
        <v>2258</v>
      </c>
      <c r="B1837">
        <v>0</v>
      </c>
      <c r="C1837" s="44">
        <v>1500</v>
      </c>
      <c r="D1837" t="s">
        <v>291</v>
      </c>
      <c r="E1837" t="s">
        <v>256</v>
      </c>
      <c r="F1837">
        <v>4</v>
      </c>
    </row>
    <row r="1838" spans="1:6" ht="13.2">
      <c r="A1838" t="s">
        <v>2259</v>
      </c>
      <c r="B1838">
        <v>0</v>
      </c>
      <c r="C1838" s="44">
        <v>1500</v>
      </c>
      <c r="D1838" t="s">
        <v>291</v>
      </c>
      <c r="E1838" t="s">
        <v>256</v>
      </c>
      <c r="F1838">
        <v>4</v>
      </c>
    </row>
    <row r="1839" spans="1:6" ht="13.2">
      <c r="A1839" t="s">
        <v>2260</v>
      </c>
      <c r="B1839">
        <v>0</v>
      </c>
      <c r="C1839" s="44">
        <v>1500</v>
      </c>
      <c r="D1839" t="s">
        <v>291</v>
      </c>
      <c r="E1839" t="s">
        <v>256</v>
      </c>
      <c r="F1839">
        <v>4</v>
      </c>
    </row>
    <row r="1840" spans="1:6" ht="13.2">
      <c r="A1840" t="s">
        <v>2261</v>
      </c>
      <c r="B1840">
        <v>0</v>
      </c>
      <c r="C1840" s="44">
        <v>1500</v>
      </c>
      <c r="D1840" t="s">
        <v>291</v>
      </c>
      <c r="E1840" t="s">
        <v>256</v>
      </c>
      <c r="F1840">
        <v>4</v>
      </c>
    </row>
    <row r="1841" spans="1:6" ht="13.2">
      <c r="A1841" t="s">
        <v>2262</v>
      </c>
      <c r="B1841">
        <v>0</v>
      </c>
      <c r="C1841" s="44">
        <v>1500</v>
      </c>
      <c r="D1841" t="s">
        <v>291</v>
      </c>
      <c r="E1841" t="s">
        <v>256</v>
      </c>
      <c r="F1841">
        <v>4</v>
      </c>
    </row>
    <row r="1842" spans="1:6" ht="13.2">
      <c r="A1842" t="s">
        <v>2263</v>
      </c>
      <c r="B1842">
        <v>0</v>
      </c>
      <c r="C1842" s="44">
        <v>1500</v>
      </c>
      <c r="D1842" t="s">
        <v>291</v>
      </c>
      <c r="E1842" t="s">
        <v>256</v>
      </c>
      <c r="F1842">
        <v>4</v>
      </c>
    </row>
    <row r="1843" spans="1:6" ht="13.2">
      <c r="A1843" t="s">
        <v>2264</v>
      </c>
      <c r="B1843">
        <v>0</v>
      </c>
      <c r="C1843" s="44">
        <v>1500</v>
      </c>
      <c r="D1843" t="s">
        <v>291</v>
      </c>
      <c r="E1843" t="s">
        <v>256</v>
      </c>
      <c r="F1843">
        <v>4</v>
      </c>
    </row>
    <row r="1844" spans="1:6" ht="13.2">
      <c r="A1844" t="s">
        <v>2265</v>
      </c>
      <c r="B1844">
        <v>0</v>
      </c>
      <c r="C1844" s="44">
        <v>1500</v>
      </c>
      <c r="D1844" t="s">
        <v>291</v>
      </c>
      <c r="E1844" t="s">
        <v>256</v>
      </c>
      <c r="F1844">
        <v>4</v>
      </c>
    </row>
    <row r="1845" spans="1:6" ht="13.2">
      <c r="A1845" t="s">
        <v>2266</v>
      </c>
      <c r="B1845">
        <v>0</v>
      </c>
      <c r="C1845" s="44">
        <v>1500</v>
      </c>
      <c r="D1845" t="s">
        <v>291</v>
      </c>
      <c r="E1845" t="s">
        <v>256</v>
      </c>
      <c r="F1845">
        <v>4</v>
      </c>
    </row>
    <row r="1846" spans="1:6" ht="13.2">
      <c r="A1846" t="s">
        <v>2267</v>
      </c>
      <c r="B1846">
        <v>0</v>
      </c>
      <c r="C1846" s="44">
        <v>1500</v>
      </c>
      <c r="D1846" t="s">
        <v>291</v>
      </c>
      <c r="E1846" t="s">
        <v>256</v>
      </c>
      <c r="F1846">
        <v>4</v>
      </c>
    </row>
    <row r="1847" spans="1:6" ht="13.2">
      <c r="A1847" t="s">
        <v>2268</v>
      </c>
      <c r="B1847">
        <v>0</v>
      </c>
      <c r="C1847" s="44">
        <v>1500</v>
      </c>
      <c r="D1847" t="s">
        <v>291</v>
      </c>
      <c r="E1847" t="s">
        <v>256</v>
      </c>
      <c r="F1847">
        <v>4</v>
      </c>
    </row>
    <row r="1848" spans="1:6" ht="13.2">
      <c r="A1848" t="s">
        <v>4231</v>
      </c>
      <c r="B1848">
        <v>0</v>
      </c>
      <c r="C1848" s="44">
        <v>2900</v>
      </c>
      <c r="D1848" t="s">
        <v>293</v>
      </c>
      <c r="E1848" t="s">
        <v>4232</v>
      </c>
      <c r="F1848">
        <v>4</v>
      </c>
    </row>
    <row r="1849" spans="1:6" ht="13.2">
      <c r="A1849" t="s">
        <v>4233</v>
      </c>
      <c r="B1849">
        <v>0</v>
      </c>
      <c r="C1849" s="44">
        <v>2900</v>
      </c>
      <c r="D1849" t="s">
        <v>293</v>
      </c>
      <c r="E1849" t="s">
        <v>4232</v>
      </c>
      <c r="F1849">
        <v>4</v>
      </c>
    </row>
    <row r="1850" spans="1:6" ht="13.2">
      <c r="A1850" t="s">
        <v>4234</v>
      </c>
      <c r="B1850">
        <v>0</v>
      </c>
      <c r="C1850" s="44">
        <v>2900</v>
      </c>
      <c r="D1850" t="s">
        <v>293</v>
      </c>
      <c r="E1850" t="s">
        <v>4232</v>
      </c>
      <c r="F1850">
        <v>4</v>
      </c>
    </row>
    <row r="1851" spans="1:6" ht="13.2">
      <c r="A1851" t="s">
        <v>2989</v>
      </c>
      <c r="B1851">
        <v>0</v>
      </c>
      <c r="C1851" s="44">
        <v>1400</v>
      </c>
      <c r="D1851" t="s">
        <v>291</v>
      </c>
      <c r="E1851" t="s">
        <v>630</v>
      </c>
      <c r="F1851">
        <v>4</v>
      </c>
    </row>
    <row r="1852" spans="1:6" ht="13.2">
      <c r="A1852" t="s">
        <v>2989</v>
      </c>
      <c r="B1852">
        <v>0</v>
      </c>
      <c r="C1852" s="44">
        <v>1400</v>
      </c>
      <c r="D1852" t="s">
        <v>291</v>
      </c>
      <c r="E1852" t="s">
        <v>630</v>
      </c>
      <c r="F1852">
        <v>4</v>
      </c>
    </row>
    <row r="1853" spans="1:6" ht="13.2">
      <c r="A1853" t="s">
        <v>2990</v>
      </c>
      <c r="B1853">
        <v>0</v>
      </c>
      <c r="C1853" s="44">
        <v>1400</v>
      </c>
      <c r="D1853" t="s">
        <v>291</v>
      </c>
      <c r="E1853" t="s">
        <v>630</v>
      </c>
      <c r="F1853">
        <v>4</v>
      </c>
    </row>
    <row r="1854" spans="1:6" ht="13.2">
      <c r="A1854" t="s">
        <v>2990</v>
      </c>
      <c r="B1854">
        <v>0</v>
      </c>
      <c r="C1854" s="44">
        <v>1400</v>
      </c>
      <c r="D1854" t="s">
        <v>291</v>
      </c>
      <c r="E1854" t="s">
        <v>630</v>
      </c>
      <c r="F1854">
        <v>4</v>
      </c>
    </row>
    <row r="1855" spans="1:6" ht="13.2">
      <c r="A1855" t="s">
        <v>2991</v>
      </c>
      <c r="B1855">
        <v>0</v>
      </c>
      <c r="C1855" s="44">
        <v>1400</v>
      </c>
      <c r="D1855" t="s">
        <v>291</v>
      </c>
      <c r="E1855" t="s">
        <v>630</v>
      </c>
      <c r="F1855">
        <v>4</v>
      </c>
    </row>
    <row r="1856" spans="1:6" ht="13.2">
      <c r="A1856" t="s">
        <v>2991</v>
      </c>
      <c r="B1856">
        <v>0</v>
      </c>
      <c r="C1856" s="44">
        <v>1400</v>
      </c>
      <c r="D1856" t="s">
        <v>291</v>
      </c>
      <c r="E1856" t="s">
        <v>630</v>
      </c>
      <c r="F1856">
        <v>4</v>
      </c>
    </row>
    <row r="1857" spans="1:6" ht="13.2">
      <c r="A1857" t="s">
        <v>2992</v>
      </c>
      <c r="B1857">
        <v>0</v>
      </c>
      <c r="C1857" s="44">
        <v>1400</v>
      </c>
      <c r="D1857" t="s">
        <v>291</v>
      </c>
      <c r="E1857" t="s">
        <v>630</v>
      </c>
      <c r="F1857">
        <v>4</v>
      </c>
    </row>
    <row r="1858" spans="1:6" ht="13.2">
      <c r="A1858" t="s">
        <v>2992</v>
      </c>
      <c r="B1858">
        <v>0</v>
      </c>
      <c r="C1858" s="44">
        <v>1400</v>
      </c>
      <c r="D1858" t="s">
        <v>291</v>
      </c>
      <c r="E1858" t="s">
        <v>630</v>
      </c>
      <c r="F1858">
        <v>4</v>
      </c>
    </row>
    <row r="1859" spans="1:6" ht="13.2">
      <c r="A1859" t="s">
        <v>2993</v>
      </c>
      <c r="B1859">
        <v>0</v>
      </c>
      <c r="C1859" s="44">
        <v>1400</v>
      </c>
      <c r="D1859" t="s">
        <v>291</v>
      </c>
      <c r="E1859" t="s">
        <v>630</v>
      </c>
      <c r="F1859">
        <v>4</v>
      </c>
    </row>
    <row r="1860" spans="1:6" ht="13.2">
      <c r="A1860" t="s">
        <v>2993</v>
      </c>
      <c r="B1860">
        <v>0</v>
      </c>
      <c r="C1860" s="44">
        <v>1400</v>
      </c>
      <c r="D1860" t="s">
        <v>291</v>
      </c>
      <c r="E1860" t="s">
        <v>630</v>
      </c>
      <c r="F1860">
        <v>4</v>
      </c>
    </row>
    <row r="1861" spans="1:6" ht="13.2">
      <c r="A1861" t="s">
        <v>2994</v>
      </c>
      <c r="B1861">
        <v>0</v>
      </c>
      <c r="C1861" s="44">
        <v>1400</v>
      </c>
      <c r="D1861" t="s">
        <v>291</v>
      </c>
      <c r="E1861" t="s">
        <v>630</v>
      </c>
      <c r="F1861">
        <v>4</v>
      </c>
    </row>
    <row r="1862" spans="1:6" ht="13.2">
      <c r="A1862" t="s">
        <v>2994</v>
      </c>
      <c r="B1862">
        <v>0</v>
      </c>
      <c r="C1862" s="44">
        <v>1400</v>
      </c>
      <c r="D1862" t="s">
        <v>291</v>
      </c>
      <c r="E1862" t="s">
        <v>630</v>
      </c>
      <c r="F1862">
        <v>4</v>
      </c>
    </row>
    <row r="1863" spans="1:6" ht="13.2">
      <c r="A1863" t="s">
        <v>2995</v>
      </c>
      <c r="B1863">
        <v>0</v>
      </c>
      <c r="C1863" s="44">
        <v>1400</v>
      </c>
      <c r="D1863" t="s">
        <v>291</v>
      </c>
      <c r="E1863" t="s">
        <v>630</v>
      </c>
      <c r="F1863">
        <v>4</v>
      </c>
    </row>
    <row r="1864" spans="1:6" ht="13.2">
      <c r="A1864" t="s">
        <v>2995</v>
      </c>
      <c r="B1864">
        <v>0</v>
      </c>
      <c r="C1864" s="44">
        <v>1400</v>
      </c>
      <c r="D1864" t="s">
        <v>291</v>
      </c>
      <c r="E1864" t="s">
        <v>630</v>
      </c>
      <c r="F1864">
        <v>4</v>
      </c>
    </row>
    <row r="1865" spans="1:6" ht="13.2">
      <c r="A1865" t="s">
        <v>2997</v>
      </c>
      <c r="B1865">
        <v>0</v>
      </c>
      <c r="C1865" s="44">
        <v>1400</v>
      </c>
      <c r="D1865" t="s">
        <v>291</v>
      </c>
      <c r="E1865" t="s">
        <v>630</v>
      </c>
      <c r="F1865">
        <v>4</v>
      </c>
    </row>
    <row r="1866" spans="1:6" ht="13.2">
      <c r="A1866" t="s">
        <v>2997</v>
      </c>
      <c r="B1866">
        <v>0</v>
      </c>
      <c r="C1866" s="44">
        <v>1400</v>
      </c>
      <c r="D1866" t="s">
        <v>291</v>
      </c>
      <c r="E1866" t="s">
        <v>630</v>
      </c>
      <c r="F1866">
        <v>4</v>
      </c>
    </row>
    <row r="1867" spans="1:6" ht="13.2">
      <c r="A1867" t="s">
        <v>2996</v>
      </c>
      <c r="B1867">
        <v>0</v>
      </c>
      <c r="C1867" s="44">
        <v>1400</v>
      </c>
      <c r="D1867" t="s">
        <v>291</v>
      </c>
      <c r="E1867" t="s">
        <v>630</v>
      </c>
      <c r="F1867">
        <v>4</v>
      </c>
    </row>
    <row r="1868" spans="1:6" ht="13.2">
      <c r="A1868" t="s">
        <v>2996</v>
      </c>
      <c r="B1868">
        <v>0</v>
      </c>
      <c r="C1868" s="44">
        <v>1400</v>
      </c>
      <c r="D1868" t="s">
        <v>291</v>
      </c>
      <c r="E1868" t="s">
        <v>630</v>
      </c>
      <c r="F1868">
        <v>4</v>
      </c>
    </row>
    <row r="1869" spans="1:6" ht="13.2">
      <c r="A1869" t="s">
        <v>5105</v>
      </c>
      <c r="B1869">
        <v>0</v>
      </c>
      <c r="C1869" s="44">
        <v>3200</v>
      </c>
      <c r="D1869" t="s">
        <v>293</v>
      </c>
      <c r="E1869" t="s">
        <v>256</v>
      </c>
      <c r="F1869">
        <v>4</v>
      </c>
    </row>
    <row r="1870" spans="1:6" ht="13.2">
      <c r="A1870" t="s">
        <v>5109</v>
      </c>
      <c r="B1870">
        <v>0</v>
      </c>
      <c r="C1870" s="44">
        <v>3200</v>
      </c>
      <c r="D1870" t="s">
        <v>293</v>
      </c>
      <c r="E1870" t="s">
        <v>256</v>
      </c>
      <c r="F1870">
        <v>4</v>
      </c>
    </row>
    <row r="1871" spans="1:6" ht="13.2">
      <c r="A1871" t="s">
        <v>5114</v>
      </c>
      <c r="B1871">
        <v>0</v>
      </c>
      <c r="C1871" s="44">
        <v>3200</v>
      </c>
      <c r="D1871" t="s">
        <v>293</v>
      </c>
      <c r="E1871" t="s">
        <v>256</v>
      </c>
      <c r="F1871">
        <v>4</v>
      </c>
    </row>
    <row r="1872" spans="1:6" ht="13.2">
      <c r="A1872" t="s">
        <v>5113</v>
      </c>
      <c r="B1872">
        <v>0</v>
      </c>
      <c r="C1872" s="44">
        <v>3200</v>
      </c>
      <c r="D1872" t="s">
        <v>293</v>
      </c>
      <c r="E1872" t="s">
        <v>256</v>
      </c>
      <c r="F1872">
        <v>4</v>
      </c>
    </row>
    <row r="1873" spans="1:6" ht="13.2">
      <c r="A1873" t="s">
        <v>5112</v>
      </c>
      <c r="B1873">
        <v>0</v>
      </c>
      <c r="C1873" s="44">
        <v>3200</v>
      </c>
      <c r="D1873" t="s">
        <v>293</v>
      </c>
      <c r="E1873" t="s">
        <v>256</v>
      </c>
      <c r="F1873">
        <v>4</v>
      </c>
    </row>
    <row r="1874" spans="1:6" ht="13.2">
      <c r="A1874" t="s">
        <v>5100</v>
      </c>
      <c r="B1874">
        <v>0</v>
      </c>
      <c r="C1874" s="44">
        <v>3200</v>
      </c>
      <c r="D1874" t="s">
        <v>293</v>
      </c>
      <c r="E1874" t="s">
        <v>256</v>
      </c>
      <c r="F1874">
        <v>4</v>
      </c>
    </row>
    <row r="1875" spans="1:6" ht="13.2">
      <c r="A1875" t="s">
        <v>5108</v>
      </c>
      <c r="B1875">
        <v>0</v>
      </c>
      <c r="C1875" s="44">
        <v>3200</v>
      </c>
      <c r="D1875" t="s">
        <v>293</v>
      </c>
      <c r="E1875" t="s">
        <v>256</v>
      </c>
      <c r="F1875">
        <v>4</v>
      </c>
    </row>
    <row r="1876" spans="1:6" ht="13.2">
      <c r="A1876" t="s">
        <v>5099</v>
      </c>
      <c r="B1876">
        <v>0</v>
      </c>
      <c r="C1876" s="44">
        <v>3200</v>
      </c>
      <c r="D1876" t="s">
        <v>293</v>
      </c>
      <c r="E1876" t="s">
        <v>256</v>
      </c>
      <c r="F1876">
        <v>4</v>
      </c>
    </row>
    <row r="1877" spans="1:6" ht="13.2">
      <c r="A1877" t="s">
        <v>5102</v>
      </c>
      <c r="B1877">
        <v>0</v>
      </c>
      <c r="C1877" s="44">
        <v>3200</v>
      </c>
      <c r="D1877" t="s">
        <v>293</v>
      </c>
      <c r="E1877" t="s">
        <v>256</v>
      </c>
      <c r="F1877">
        <v>4</v>
      </c>
    </row>
    <row r="1878" spans="1:6" ht="13.2">
      <c r="A1878" t="s">
        <v>5103</v>
      </c>
      <c r="B1878">
        <v>0</v>
      </c>
      <c r="C1878" s="44">
        <v>3200</v>
      </c>
      <c r="D1878" t="s">
        <v>293</v>
      </c>
      <c r="E1878" t="s">
        <v>256</v>
      </c>
      <c r="F1878">
        <v>4</v>
      </c>
    </row>
    <row r="1879" spans="1:6" ht="13.2">
      <c r="A1879" t="s">
        <v>5110</v>
      </c>
      <c r="B1879">
        <v>0</v>
      </c>
      <c r="C1879" s="44">
        <v>3200</v>
      </c>
      <c r="D1879" t="s">
        <v>293</v>
      </c>
      <c r="E1879" t="s">
        <v>256</v>
      </c>
      <c r="F1879">
        <v>4</v>
      </c>
    </row>
    <row r="1880" spans="1:6" ht="13.2">
      <c r="A1880" t="s">
        <v>5101</v>
      </c>
      <c r="B1880">
        <v>0</v>
      </c>
      <c r="C1880" s="44">
        <v>3200</v>
      </c>
      <c r="D1880" t="s">
        <v>293</v>
      </c>
      <c r="E1880" t="s">
        <v>256</v>
      </c>
      <c r="F1880">
        <v>4</v>
      </c>
    </row>
    <row r="1881" spans="1:6" ht="13.2">
      <c r="A1881" t="s">
        <v>5106</v>
      </c>
      <c r="B1881">
        <v>0</v>
      </c>
      <c r="C1881" s="44">
        <v>3200</v>
      </c>
      <c r="D1881" t="s">
        <v>293</v>
      </c>
      <c r="E1881" t="s">
        <v>256</v>
      </c>
      <c r="F1881">
        <v>4</v>
      </c>
    </row>
    <row r="1882" spans="1:6" ht="13.2">
      <c r="A1882" t="s">
        <v>5107</v>
      </c>
      <c r="B1882">
        <v>0</v>
      </c>
      <c r="C1882" s="44">
        <v>3200</v>
      </c>
      <c r="D1882" t="s">
        <v>293</v>
      </c>
      <c r="E1882" t="s">
        <v>256</v>
      </c>
      <c r="F1882">
        <v>4</v>
      </c>
    </row>
    <row r="1883" spans="1:6" ht="13.2">
      <c r="A1883" t="s">
        <v>5104</v>
      </c>
      <c r="B1883">
        <v>0</v>
      </c>
      <c r="C1883" s="44">
        <v>3200</v>
      </c>
      <c r="D1883" t="s">
        <v>293</v>
      </c>
      <c r="E1883" t="s">
        <v>256</v>
      </c>
      <c r="F1883">
        <v>4</v>
      </c>
    </row>
    <row r="1884" spans="1:6" ht="13.2">
      <c r="A1884" t="s">
        <v>5115</v>
      </c>
      <c r="B1884">
        <v>0</v>
      </c>
      <c r="C1884" s="44">
        <v>3200</v>
      </c>
      <c r="D1884" t="s">
        <v>293</v>
      </c>
      <c r="E1884" t="s">
        <v>256</v>
      </c>
      <c r="F1884">
        <v>4</v>
      </c>
    </row>
    <row r="1885" spans="1:6" ht="13.2">
      <c r="A1885" t="s">
        <v>5111</v>
      </c>
      <c r="B1885">
        <v>0</v>
      </c>
      <c r="C1885" s="44">
        <v>3200</v>
      </c>
      <c r="D1885" t="s">
        <v>293</v>
      </c>
      <c r="E1885" t="s">
        <v>256</v>
      </c>
      <c r="F1885">
        <v>4</v>
      </c>
    </row>
    <row r="1886" spans="1:6" ht="13.2">
      <c r="A1886" t="s">
        <v>489</v>
      </c>
      <c r="B1886">
        <v>0</v>
      </c>
      <c r="C1886" s="44">
        <v>1400</v>
      </c>
      <c r="D1886" t="s">
        <v>291</v>
      </c>
      <c r="E1886" t="s">
        <v>212</v>
      </c>
      <c r="F1886">
        <v>4</v>
      </c>
    </row>
    <row r="1887" spans="1:6" ht="13.2">
      <c r="A1887" t="s">
        <v>490</v>
      </c>
      <c r="B1887">
        <v>0</v>
      </c>
      <c r="C1887" s="44">
        <v>1400</v>
      </c>
      <c r="D1887" t="s">
        <v>291</v>
      </c>
      <c r="E1887" t="s">
        <v>212</v>
      </c>
      <c r="F1887">
        <v>4</v>
      </c>
    </row>
    <row r="1888" spans="1:6" ht="13.2">
      <c r="A1888" t="s">
        <v>491</v>
      </c>
      <c r="B1888">
        <v>0</v>
      </c>
      <c r="C1888" s="44">
        <v>1400</v>
      </c>
      <c r="D1888" t="s">
        <v>291</v>
      </c>
      <c r="E1888" t="s">
        <v>212</v>
      </c>
      <c r="F1888">
        <v>4</v>
      </c>
    </row>
    <row r="1889" spans="1:6" ht="13.2">
      <c r="A1889" t="s">
        <v>492</v>
      </c>
      <c r="B1889">
        <v>0</v>
      </c>
      <c r="C1889" s="44">
        <v>1400</v>
      </c>
      <c r="D1889" t="s">
        <v>291</v>
      </c>
      <c r="E1889" t="s">
        <v>212</v>
      </c>
      <c r="F1889">
        <v>4</v>
      </c>
    </row>
    <row r="1890" spans="1:6" ht="13.2">
      <c r="A1890" t="s">
        <v>493</v>
      </c>
      <c r="B1890">
        <v>0</v>
      </c>
      <c r="C1890" s="44">
        <v>1400</v>
      </c>
      <c r="D1890" t="s">
        <v>291</v>
      </c>
      <c r="E1890" t="s">
        <v>212</v>
      </c>
      <c r="F1890">
        <v>4</v>
      </c>
    </row>
    <row r="1891" spans="1:6" ht="13.2">
      <c r="A1891" t="s">
        <v>494</v>
      </c>
      <c r="B1891">
        <v>0</v>
      </c>
      <c r="C1891" s="44">
        <v>1400</v>
      </c>
      <c r="D1891" t="s">
        <v>291</v>
      </c>
      <c r="E1891" t="s">
        <v>212</v>
      </c>
      <c r="F1891">
        <v>4</v>
      </c>
    </row>
    <row r="1892" spans="1:6" ht="13.2">
      <c r="A1892" t="s">
        <v>495</v>
      </c>
      <c r="B1892">
        <v>0</v>
      </c>
      <c r="C1892" s="44">
        <v>1400</v>
      </c>
      <c r="D1892" t="s">
        <v>291</v>
      </c>
      <c r="E1892" t="s">
        <v>212</v>
      </c>
      <c r="F1892">
        <v>4</v>
      </c>
    </row>
    <row r="1893" spans="1:6" ht="13.2">
      <c r="A1893" t="s">
        <v>496</v>
      </c>
      <c r="B1893">
        <v>0</v>
      </c>
      <c r="C1893" s="44">
        <v>1400</v>
      </c>
      <c r="D1893" t="s">
        <v>291</v>
      </c>
      <c r="E1893" t="s">
        <v>212</v>
      </c>
      <c r="F1893">
        <v>4</v>
      </c>
    </row>
    <row r="1894" spans="1:6" ht="13.2">
      <c r="A1894" t="s">
        <v>497</v>
      </c>
      <c r="B1894">
        <v>0</v>
      </c>
      <c r="C1894" s="44">
        <v>1400</v>
      </c>
      <c r="D1894" t="s">
        <v>291</v>
      </c>
      <c r="E1894" t="s">
        <v>212</v>
      </c>
      <c r="F1894">
        <v>4</v>
      </c>
    </row>
    <row r="1895" spans="1:6" ht="13.2">
      <c r="A1895" t="s">
        <v>499</v>
      </c>
      <c r="B1895">
        <v>0</v>
      </c>
      <c r="C1895" s="44">
        <v>1400</v>
      </c>
      <c r="D1895" t="s">
        <v>291</v>
      </c>
      <c r="E1895" t="s">
        <v>212</v>
      </c>
      <c r="F1895">
        <v>4</v>
      </c>
    </row>
    <row r="1896" spans="1:6" ht="13.2">
      <c r="A1896" t="s">
        <v>498</v>
      </c>
      <c r="B1896">
        <v>0</v>
      </c>
      <c r="C1896" s="44">
        <v>1400</v>
      </c>
      <c r="D1896" t="s">
        <v>291</v>
      </c>
      <c r="E1896" t="s">
        <v>212</v>
      </c>
      <c r="F1896">
        <v>4</v>
      </c>
    </row>
    <row r="1897" spans="1:6" ht="13.2">
      <c r="A1897" t="s">
        <v>1607</v>
      </c>
      <c r="B1897">
        <v>0</v>
      </c>
      <c r="C1897" s="44">
        <v>3000</v>
      </c>
      <c r="D1897" t="s">
        <v>293</v>
      </c>
      <c r="E1897" t="s">
        <v>697</v>
      </c>
      <c r="F1897">
        <v>3</v>
      </c>
    </row>
    <row r="1898" spans="1:6" ht="13.2">
      <c r="A1898" t="s">
        <v>1606</v>
      </c>
      <c r="B1898">
        <v>0</v>
      </c>
      <c r="C1898" s="44">
        <v>3000</v>
      </c>
      <c r="D1898" t="s">
        <v>293</v>
      </c>
      <c r="E1898" t="s">
        <v>697</v>
      </c>
      <c r="F1898">
        <v>3</v>
      </c>
    </row>
    <row r="1899" spans="1:6" ht="13.2">
      <c r="A1899" t="s">
        <v>1604</v>
      </c>
      <c r="B1899">
        <v>0</v>
      </c>
      <c r="C1899" s="44">
        <v>3000</v>
      </c>
      <c r="D1899" t="s">
        <v>293</v>
      </c>
      <c r="E1899" t="s">
        <v>697</v>
      </c>
      <c r="F1899">
        <v>3</v>
      </c>
    </row>
    <row r="1900" spans="1:6" ht="13.2">
      <c r="A1900" t="s">
        <v>1609</v>
      </c>
      <c r="B1900">
        <v>0</v>
      </c>
      <c r="C1900" s="44">
        <v>3000</v>
      </c>
      <c r="D1900" t="s">
        <v>293</v>
      </c>
      <c r="E1900" t="s">
        <v>697</v>
      </c>
      <c r="F1900">
        <v>3</v>
      </c>
    </row>
    <row r="1901" spans="1:6" ht="13.2">
      <c r="A1901" t="s">
        <v>1605</v>
      </c>
      <c r="B1901">
        <v>0</v>
      </c>
      <c r="C1901" s="44">
        <v>3000</v>
      </c>
      <c r="D1901" t="s">
        <v>293</v>
      </c>
      <c r="E1901" t="s">
        <v>697</v>
      </c>
      <c r="F1901">
        <v>3</v>
      </c>
    </row>
    <row r="1902" spans="1:6" ht="13.2">
      <c r="A1902" t="s">
        <v>1608</v>
      </c>
      <c r="B1902">
        <v>0</v>
      </c>
      <c r="C1902" s="44">
        <v>3000</v>
      </c>
      <c r="D1902" t="s">
        <v>293</v>
      </c>
      <c r="E1902" t="s">
        <v>697</v>
      </c>
      <c r="F1902">
        <v>3</v>
      </c>
    </row>
    <row r="1903" spans="1:6" ht="13.2">
      <c r="A1903" t="s">
        <v>1601</v>
      </c>
      <c r="B1903">
        <v>0</v>
      </c>
      <c r="C1903" s="44">
        <v>3000</v>
      </c>
      <c r="D1903" t="s">
        <v>293</v>
      </c>
      <c r="E1903" t="s">
        <v>697</v>
      </c>
      <c r="F1903">
        <v>3</v>
      </c>
    </row>
    <row r="1904" spans="1:6" ht="13.2">
      <c r="A1904" t="s">
        <v>1599</v>
      </c>
      <c r="B1904">
        <v>0</v>
      </c>
      <c r="C1904" s="44">
        <v>3000</v>
      </c>
      <c r="D1904" t="s">
        <v>293</v>
      </c>
      <c r="E1904" t="s">
        <v>697</v>
      </c>
      <c r="F1904">
        <v>3</v>
      </c>
    </row>
    <row r="1905" spans="1:6" ht="13.2">
      <c r="A1905" t="s">
        <v>1610</v>
      </c>
      <c r="B1905">
        <v>0</v>
      </c>
      <c r="C1905" s="44">
        <v>3000</v>
      </c>
      <c r="D1905" t="s">
        <v>293</v>
      </c>
      <c r="E1905" t="s">
        <v>697</v>
      </c>
      <c r="F1905">
        <v>3</v>
      </c>
    </row>
    <row r="1906" spans="1:6" ht="13.2">
      <c r="A1906" t="s">
        <v>1600</v>
      </c>
      <c r="B1906">
        <v>0</v>
      </c>
      <c r="C1906" s="44">
        <v>3000</v>
      </c>
      <c r="D1906" t="s">
        <v>293</v>
      </c>
      <c r="E1906" t="s">
        <v>697</v>
      </c>
      <c r="F1906">
        <v>3</v>
      </c>
    </row>
    <row r="1907" spans="1:6" ht="13.2">
      <c r="A1907" t="s">
        <v>1603</v>
      </c>
      <c r="B1907">
        <v>0</v>
      </c>
      <c r="C1907" s="44">
        <v>3000</v>
      </c>
      <c r="D1907" t="s">
        <v>293</v>
      </c>
      <c r="E1907" t="s">
        <v>697</v>
      </c>
      <c r="F1907">
        <v>3</v>
      </c>
    </row>
    <row r="1908" spans="1:6" ht="13.2">
      <c r="A1908" t="s">
        <v>1611</v>
      </c>
      <c r="B1908">
        <v>0</v>
      </c>
      <c r="C1908" s="44">
        <v>3000</v>
      </c>
      <c r="D1908" t="s">
        <v>293</v>
      </c>
      <c r="E1908" t="s">
        <v>697</v>
      </c>
      <c r="F1908">
        <v>3</v>
      </c>
    </row>
    <row r="1909" spans="1:6" ht="13.2">
      <c r="A1909" t="s">
        <v>1597</v>
      </c>
      <c r="B1909">
        <v>0</v>
      </c>
      <c r="C1909" s="44">
        <v>3000</v>
      </c>
      <c r="D1909" t="s">
        <v>293</v>
      </c>
      <c r="E1909" t="s">
        <v>697</v>
      </c>
      <c r="F1909">
        <v>3</v>
      </c>
    </row>
    <row r="1910" spans="1:6" ht="13.2">
      <c r="A1910" t="s">
        <v>1602</v>
      </c>
      <c r="B1910">
        <v>0</v>
      </c>
      <c r="C1910" s="44">
        <v>3000</v>
      </c>
      <c r="D1910" t="s">
        <v>293</v>
      </c>
      <c r="E1910" t="s">
        <v>697</v>
      </c>
      <c r="F1910">
        <v>3</v>
      </c>
    </row>
    <row r="1911" spans="1:6" ht="13.2">
      <c r="A1911" t="s">
        <v>1598</v>
      </c>
      <c r="B1911">
        <v>0</v>
      </c>
      <c r="C1911" s="44">
        <v>3000</v>
      </c>
      <c r="D1911" t="s">
        <v>293</v>
      </c>
      <c r="E1911" t="s">
        <v>697</v>
      </c>
      <c r="F1911">
        <v>3</v>
      </c>
    </row>
    <row r="1912" spans="1:6" ht="13.2">
      <c r="A1912" t="s">
        <v>1612</v>
      </c>
      <c r="B1912">
        <v>0</v>
      </c>
      <c r="C1912" s="44">
        <v>3000</v>
      </c>
      <c r="D1912" t="s">
        <v>293</v>
      </c>
      <c r="E1912" t="s">
        <v>697</v>
      </c>
      <c r="F1912">
        <v>3</v>
      </c>
    </row>
    <row r="1913" spans="1:6" ht="13.2">
      <c r="A1913" t="s">
        <v>5330</v>
      </c>
      <c r="B1913">
        <v>370</v>
      </c>
      <c r="C1913" s="44">
        <v>1380</v>
      </c>
      <c r="D1913" t="s">
        <v>291</v>
      </c>
      <c r="E1913" t="s">
        <v>570</v>
      </c>
      <c r="F1913">
        <v>4</v>
      </c>
    </row>
    <row r="1914" spans="1:6" ht="13.2">
      <c r="A1914" t="s">
        <v>5328</v>
      </c>
      <c r="B1914">
        <v>370</v>
      </c>
      <c r="C1914" s="44">
        <v>1380</v>
      </c>
      <c r="D1914" t="s">
        <v>291</v>
      </c>
      <c r="E1914" t="s">
        <v>570</v>
      </c>
      <c r="F1914">
        <v>4</v>
      </c>
    </row>
    <row r="1915" spans="1:6" ht="13.2">
      <c r="A1915" t="s">
        <v>5329</v>
      </c>
      <c r="B1915">
        <v>370</v>
      </c>
      <c r="C1915" s="44">
        <v>1380</v>
      </c>
      <c r="D1915" t="s">
        <v>291</v>
      </c>
      <c r="E1915" t="s">
        <v>570</v>
      </c>
      <c r="F1915">
        <v>4</v>
      </c>
    </row>
    <row r="1916" spans="1:6" ht="13.2">
      <c r="A1916" t="s">
        <v>5331</v>
      </c>
      <c r="B1916">
        <v>370</v>
      </c>
      <c r="C1916" s="44">
        <v>1380</v>
      </c>
      <c r="D1916" t="s">
        <v>291</v>
      </c>
      <c r="E1916" t="s">
        <v>570</v>
      </c>
      <c r="F1916">
        <v>4</v>
      </c>
    </row>
    <row r="1917" spans="1:6" ht="13.2">
      <c r="A1917" t="s">
        <v>4248</v>
      </c>
      <c r="B1917">
        <v>395</v>
      </c>
      <c r="C1917" s="44">
        <v>3000</v>
      </c>
      <c r="D1917" t="s">
        <v>293</v>
      </c>
      <c r="E1917" t="s">
        <v>256</v>
      </c>
      <c r="F1917">
        <v>4</v>
      </c>
    </row>
    <row r="1918" spans="1:6" ht="13.2">
      <c r="A1918" t="s">
        <v>4249</v>
      </c>
      <c r="B1918">
        <v>395</v>
      </c>
      <c r="C1918" s="44">
        <v>3000</v>
      </c>
      <c r="D1918" t="s">
        <v>293</v>
      </c>
      <c r="E1918" t="s">
        <v>256</v>
      </c>
      <c r="F1918">
        <v>4</v>
      </c>
    </row>
    <row r="1919" spans="1:6" ht="13.2">
      <c r="A1919" t="s">
        <v>4250</v>
      </c>
      <c r="B1919">
        <v>395</v>
      </c>
      <c r="C1919" s="44">
        <v>3000</v>
      </c>
      <c r="D1919" t="s">
        <v>293</v>
      </c>
      <c r="E1919" t="s">
        <v>256</v>
      </c>
      <c r="F1919">
        <v>4</v>
      </c>
    </row>
    <row r="1920" spans="1:6" ht="13.2">
      <c r="A1920" t="s">
        <v>4251</v>
      </c>
      <c r="B1920">
        <v>395</v>
      </c>
      <c r="C1920" s="44">
        <v>3000</v>
      </c>
      <c r="D1920" t="s">
        <v>293</v>
      </c>
      <c r="E1920" t="s">
        <v>256</v>
      </c>
      <c r="F1920">
        <v>4</v>
      </c>
    </row>
    <row r="1921" spans="1:6" ht="13.2">
      <c r="A1921" t="s">
        <v>3637</v>
      </c>
      <c r="B1921">
        <v>0</v>
      </c>
      <c r="C1921" s="44">
        <v>3000</v>
      </c>
      <c r="D1921" t="s">
        <v>293</v>
      </c>
      <c r="E1921" t="s">
        <v>256</v>
      </c>
      <c r="F1921">
        <v>4</v>
      </c>
    </row>
    <row r="1922" spans="1:6" ht="13.2">
      <c r="A1922" t="s">
        <v>3638</v>
      </c>
      <c r="B1922">
        <v>0</v>
      </c>
      <c r="C1922" s="44">
        <v>3000</v>
      </c>
      <c r="D1922" t="s">
        <v>293</v>
      </c>
      <c r="E1922" t="s">
        <v>256</v>
      </c>
      <c r="F1922">
        <v>4</v>
      </c>
    </row>
    <row r="1923" spans="1:6" ht="13.2">
      <c r="A1923" t="s">
        <v>3639</v>
      </c>
      <c r="B1923">
        <v>0</v>
      </c>
      <c r="C1923" s="44">
        <v>3000</v>
      </c>
      <c r="D1923" t="s">
        <v>293</v>
      </c>
      <c r="E1923" t="s">
        <v>256</v>
      </c>
      <c r="F1923">
        <v>4</v>
      </c>
    </row>
    <row r="1924" spans="1:6" ht="13.2">
      <c r="A1924" t="s">
        <v>3640</v>
      </c>
      <c r="B1924">
        <v>0</v>
      </c>
      <c r="C1924" s="44">
        <v>3000</v>
      </c>
      <c r="D1924" t="s">
        <v>293</v>
      </c>
      <c r="E1924" t="s">
        <v>256</v>
      </c>
      <c r="F1924">
        <v>4</v>
      </c>
    </row>
    <row r="1925" spans="1:6" ht="13.2">
      <c r="A1925" t="s">
        <v>3641</v>
      </c>
      <c r="B1925">
        <v>0</v>
      </c>
      <c r="C1925" s="44">
        <v>3000</v>
      </c>
      <c r="D1925" t="s">
        <v>293</v>
      </c>
      <c r="E1925" t="s">
        <v>256</v>
      </c>
      <c r="F1925">
        <v>4</v>
      </c>
    </row>
    <row r="1926" spans="1:6" ht="13.2">
      <c r="A1926" t="s">
        <v>1151</v>
      </c>
      <c r="B1926">
        <v>0</v>
      </c>
      <c r="C1926" s="44" t="s">
        <v>351</v>
      </c>
      <c r="D1926" s="45" t="s">
        <v>293</v>
      </c>
      <c r="E1926" t="s">
        <v>231</v>
      </c>
      <c r="F1926">
        <v>4</v>
      </c>
    </row>
    <row r="1927" spans="1:6" ht="13.2">
      <c r="A1927" t="s">
        <v>1152</v>
      </c>
      <c r="B1927">
        <v>0</v>
      </c>
      <c r="C1927" s="44" t="s">
        <v>351</v>
      </c>
      <c r="D1927" s="45" t="s">
        <v>293</v>
      </c>
      <c r="E1927" t="s">
        <v>231</v>
      </c>
      <c r="F1927">
        <v>4</v>
      </c>
    </row>
    <row r="1928" spans="1:6" ht="13.2">
      <c r="A1928" t="s">
        <v>1153</v>
      </c>
      <c r="B1928">
        <v>0</v>
      </c>
      <c r="C1928" s="44" t="s">
        <v>351</v>
      </c>
      <c r="D1928" s="45" t="s">
        <v>293</v>
      </c>
      <c r="E1928" t="s">
        <v>231</v>
      </c>
      <c r="F1928">
        <v>4</v>
      </c>
    </row>
    <row r="1929" spans="1:6" ht="13.2">
      <c r="A1929" t="s">
        <v>3956</v>
      </c>
      <c r="B1929">
        <v>400</v>
      </c>
      <c r="C1929" s="44">
        <v>3200</v>
      </c>
      <c r="D1929" t="s">
        <v>293</v>
      </c>
      <c r="E1929" t="s">
        <v>256</v>
      </c>
      <c r="F1929">
        <v>4</v>
      </c>
    </row>
    <row r="1930" spans="1:6" ht="13.2">
      <c r="A1930" t="s">
        <v>3957</v>
      </c>
      <c r="B1930">
        <v>400</v>
      </c>
      <c r="C1930" s="44">
        <v>3200</v>
      </c>
      <c r="D1930" t="s">
        <v>293</v>
      </c>
      <c r="E1930" t="s">
        <v>256</v>
      </c>
      <c r="F1930">
        <v>4</v>
      </c>
    </row>
    <row r="1931" spans="1:6" ht="13.2">
      <c r="A1931" t="s">
        <v>3958</v>
      </c>
      <c r="B1931">
        <v>400</v>
      </c>
      <c r="C1931" s="44">
        <v>3200</v>
      </c>
      <c r="D1931" t="s">
        <v>293</v>
      </c>
      <c r="E1931" t="s">
        <v>256</v>
      </c>
      <c r="F1931">
        <v>4</v>
      </c>
    </row>
    <row r="1932" spans="1:6" ht="13.2">
      <c r="A1932" t="s">
        <v>3959</v>
      </c>
      <c r="B1932">
        <v>400</v>
      </c>
      <c r="C1932" s="44">
        <v>3200</v>
      </c>
      <c r="D1932" t="s">
        <v>293</v>
      </c>
      <c r="E1932" t="s">
        <v>256</v>
      </c>
      <c r="F1932">
        <v>4</v>
      </c>
    </row>
    <row r="1933" spans="1:6" ht="13.2">
      <c r="A1933" t="s">
        <v>3960</v>
      </c>
      <c r="B1933">
        <v>400</v>
      </c>
      <c r="C1933" s="44">
        <v>3200</v>
      </c>
      <c r="D1933" t="s">
        <v>293</v>
      </c>
      <c r="E1933" t="s">
        <v>256</v>
      </c>
      <c r="F1933">
        <v>4</v>
      </c>
    </row>
    <row r="1934" spans="1:6" ht="13.2">
      <c r="A1934" t="s">
        <v>3961</v>
      </c>
      <c r="B1934">
        <v>400</v>
      </c>
      <c r="C1934" s="44">
        <v>3200</v>
      </c>
      <c r="D1934" t="s">
        <v>293</v>
      </c>
      <c r="E1934" t="s">
        <v>256</v>
      </c>
      <c r="F1934">
        <v>4</v>
      </c>
    </row>
    <row r="1935" spans="1:6" ht="13.2">
      <c r="A1935" t="s">
        <v>4236</v>
      </c>
      <c r="B1935">
        <v>0</v>
      </c>
      <c r="C1935" s="44">
        <v>2800</v>
      </c>
      <c r="D1935" t="s">
        <v>293</v>
      </c>
      <c r="E1935" t="s">
        <v>256</v>
      </c>
      <c r="F1935">
        <v>4</v>
      </c>
    </row>
    <row r="1936" spans="1:6" ht="13.2">
      <c r="A1936" t="s">
        <v>4237</v>
      </c>
      <c r="B1936">
        <v>0</v>
      </c>
      <c r="C1936" s="44">
        <v>2800</v>
      </c>
      <c r="D1936" t="s">
        <v>293</v>
      </c>
      <c r="E1936" t="s">
        <v>256</v>
      </c>
      <c r="F1936">
        <v>4</v>
      </c>
    </row>
    <row r="1937" spans="1:6" ht="13.2">
      <c r="A1937" t="s">
        <v>4238</v>
      </c>
      <c r="B1937">
        <v>0</v>
      </c>
      <c r="C1937" s="44">
        <v>2800</v>
      </c>
      <c r="D1937" t="s">
        <v>293</v>
      </c>
      <c r="E1937" t="s">
        <v>256</v>
      </c>
      <c r="F1937">
        <v>4</v>
      </c>
    </row>
    <row r="1938" spans="1:6" ht="13.2">
      <c r="A1938" t="s">
        <v>4239</v>
      </c>
      <c r="B1938">
        <v>0</v>
      </c>
      <c r="C1938" s="44">
        <v>2800</v>
      </c>
      <c r="D1938" t="s">
        <v>293</v>
      </c>
      <c r="E1938" t="s">
        <v>256</v>
      </c>
      <c r="F1938">
        <v>4</v>
      </c>
    </row>
    <row r="1939" spans="1:6" ht="13.2">
      <c r="A1939" t="s">
        <v>4240</v>
      </c>
      <c r="B1939">
        <v>0</v>
      </c>
      <c r="C1939" s="44">
        <v>2800</v>
      </c>
      <c r="D1939" t="s">
        <v>293</v>
      </c>
      <c r="E1939" t="s">
        <v>256</v>
      </c>
      <c r="F1939">
        <v>4</v>
      </c>
    </row>
    <row r="1940" spans="1:6" ht="13.2">
      <c r="A1940" t="s">
        <v>4241</v>
      </c>
      <c r="B1940">
        <v>0</v>
      </c>
      <c r="C1940" s="44">
        <v>2800</v>
      </c>
      <c r="D1940" t="s">
        <v>293</v>
      </c>
      <c r="E1940" t="s">
        <v>256</v>
      </c>
      <c r="F1940">
        <v>4</v>
      </c>
    </row>
    <row r="1941" spans="1:6" ht="13.2">
      <c r="A1941" t="s">
        <v>4180</v>
      </c>
      <c r="B1941">
        <v>0</v>
      </c>
      <c r="C1941" s="44" t="s">
        <v>204</v>
      </c>
      <c r="D1941" t="s">
        <v>293</v>
      </c>
      <c r="E1941" t="s">
        <v>653</v>
      </c>
      <c r="F1941">
        <v>4</v>
      </c>
    </row>
    <row r="1942" spans="1:6" ht="13.2">
      <c r="A1942" t="s">
        <v>4179</v>
      </c>
      <c r="B1942">
        <v>0</v>
      </c>
      <c r="C1942" s="44" t="s">
        <v>204</v>
      </c>
      <c r="D1942" t="s">
        <v>293</v>
      </c>
      <c r="E1942" t="s">
        <v>653</v>
      </c>
      <c r="F1942">
        <v>4</v>
      </c>
    </row>
    <row r="1943" spans="1:6" ht="13.2">
      <c r="A1943" t="s">
        <v>4177</v>
      </c>
      <c r="B1943">
        <v>0</v>
      </c>
      <c r="C1943" s="44" t="s">
        <v>204</v>
      </c>
      <c r="D1943" t="s">
        <v>293</v>
      </c>
      <c r="E1943" t="s">
        <v>653</v>
      </c>
      <c r="F1943">
        <v>4</v>
      </c>
    </row>
    <row r="1944" spans="1:6" ht="13.2">
      <c r="A1944" t="s">
        <v>4181</v>
      </c>
      <c r="B1944">
        <v>0</v>
      </c>
      <c r="C1944" s="44" t="s">
        <v>204</v>
      </c>
      <c r="D1944" t="s">
        <v>293</v>
      </c>
      <c r="E1944" t="s">
        <v>653</v>
      </c>
      <c r="F1944">
        <v>4</v>
      </c>
    </row>
    <row r="1945" spans="1:6" ht="13.2">
      <c r="A1945" t="s">
        <v>4178</v>
      </c>
      <c r="B1945">
        <v>0</v>
      </c>
      <c r="C1945" s="44" t="s">
        <v>204</v>
      </c>
      <c r="D1945" t="s">
        <v>293</v>
      </c>
      <c r="E1945" t="s">
        <v>653</v>
      </c>
      <c r="F1945">
        <v>4</v>
      </c>
    </row>
    <row r="1946" spans="1:6" ht="13.2">
      <c r="A1946" t="s">
        <v>4182</v>
      </c>
      <c r="B1946">
        <v>0</v>
      </c>
      <c r="C1946" s="44" t="s">
        <v>204</v>
      </c>
      <c r="D1946" t="s">
        <v>293</v>
      </c>
      <c r="E1946" t="s">
        <v>653</v>
      </c>
      <c r="F1946">
        <v>4</v>
      </c>
    </row>
    <row r="1947" spans="1:6" ht="13.2">
      <c r="A1947" t="s">
        <v>5326</v>
      </c>
      <c r="B1947">
        <v>625</v>
      </c>
      <c r="C1947" s="44">
        <v>1380</v>
      </c>
      <c r="D1947" t="s">
        <v>291</v>
      </c>
      <c r="E1947" t="s">
        <v>256</v>
      </c>
      <c r="F1947">
        <v>2</v>
      </c>
    </row>
    <row r="1948" spans="1:6" ht="13.2">
      <c r="A1948" t="s">
        <v>5324</v>
      </c>
      <c r="B1948">
        <v>625</v>
      </c>
      <c r="C1948" s="44">
        <v>1380</v>
      </c>
      <c r="D1948" t="s">
        <v>291</v>
      </c>
      <c r="E1948" t="s">
        <v>256</v>
      </c>
      <c r="F1948">
        <v>2</v>
      </c>
    </row>
    <row r="1949" spans="1:6" ht="13.2">
      <c r="A1949" t="s">
        <v>5325</v>
      </c>
      <c r="B1949">
        <v>625</v>
      </c>
      <c r="C1949" s="44">
        <v>1380</v>
      </c>
      <c r="D1949" t="s">
        <v>291</v>
      </c>
      <c r="E1949" t="s">
        <v>256</v>
      </c>
      <c r="F1949">
        <v>2</v>
      </c>
    </row>
    <row r="1950" spans="1:6" ht="13.2">
      <c r="A1950" t="s">
        <v>5327</v>
      </c>
      <c r="B1950">
        <v>625</v>
      </c>
      <c r="C1950" s="44">
        <v>1380</v>
      </c>
      <c r="D1950" t="s">
        <v>291</v>
      </c>
      <c r="E1950" t="s">
        <v>256</v>
      </c>
      <c r="F1950">
        <v>2</v>
      </c>
    </row>
    <row r="1951" spans="1:6" ht="13.2">
      <c r="A1951" t="s">
        <v>2269</v>
      </c>
      <c r="B1951">
        <v>0</v>
      </c>
      <c r="C1951" s="44" t="s">
        <v>296</v>
      </c>
      <c r="D1951" t="s">
        <v>291</v>
      </c>
      <c r="E1951" t="s">
        <v>212</v>
      </c>
      <c r="F1951">
        <v>4</v>
      </c>
    </row>
    <row r="1952" spans="1:6" ht="13.2">
      <c r="A1952" t="s">
        <v>2270</v>
      </c>
      <c r="B1952">
        <v>0</v>
      </c>
      <c r="C1952" s="44" t="s">
        <v>296</v>
      </c>
      <c r="D1952" t="s">
        <v>291</v>
      </c>
      <c r="E1952" t="s">
        <v>212</v>
      </c>
      <c r="F1952">
        <v>4</v>
      </c>
    </row>
    <row r="1953" spans="1:6" ht="13.2">
      <c r="A1953" t="s">
        <v>2271</v>
      </c>
      <c r="B1953">
        <v>0</v>
      </c>
      <c r="C1953" s="44" t="s">
        <v>296</v>
      </c>
      <c r="D1953" t="s">
        <v>291</v>
      </c>
      <c r="E1953" t="s">
        <v>212</v>
      </c>
      <c r="F1953">
        <v>4</v>
      </c>
    </row>
    <row r="1954" spans="1:6" ht="13.2">
      <c r="A1954" t="s">
        <v>2272</v>
      </c>
      <c r="B1954">
        <v>0</v>
      </c>
      <c r="C1954" s="44" t="s">
        <v>296</v>
      </c>
      <c r="D1954" t="s">
        <v>291</v>
      </c>
      <c r="E1954" t="s">
        <v>212</v>
      </c>
      <c r="F1954">
        <v>4</v>
      </c>
    </row>
    <row r="1955" spans="1:6" ht="13.2">
      <c r="A1955" t="s">
        <v>2273</v>
      </c>
      <c r="B1955">
        <v>0</v>
      </c>
      <c r="C1955" s="44" t="s">
        <v>296</v>
      </c>
      <c r="D1955" t="s">
        <v>291</v>
      </c>
      <c r="E1955" t="s">
        <v>212</v>
      </c>
      <c r="F1955">
        <v>4</v>
      </c>
    </row>
    <row r="1956" spans="1:6" ht="13.2">
      <c r="A1956" t="s">
        <v>2274</v>
      </c>
      <c r="B1956">
        <v>0</v>
      </c>
      <c r="C1956" s="44" t="s">
        <v>296</v>
      </c>
      <c r="D1956" t="s">
        <v>291</v>
      </c>
      <c r="E1956" t="s">
        <v>212</v>
      </c>
      <c r="F1956">
        <v>4</v>
      </c>
    </row>
    <row r="1957" spans="1:6" ht="13.2">
      <c r="A1957" t="s">
        <v>2275</v>
      </c>
      <c r="B1957">
        <v>0</v>
      </c>
      <c r="C1957" s="44" t="s">
        <v>296</v>
      </c>
      <c r="D1957" t="s">
        <v>291</v>
      </c>
      <c r="E1957" t="s">
        <v>212</v>
      </c>
      <c r="F1957">
        <v>4</v>
      </c>
    </row>
    <row r="1958" spans="1:6" ht="13.2">
      <c r="A1958" t="s">
        <v>2276</v>
      </c>
      <c r="B1958">
        <v>0</v>
      </c>
      <c r="C1958" s="44" t="s">
        <v>296</v>
      </c>
      <c r="D1958" t="s">
        <v>291</v>
      </c>
      <c r="E1958" t="s">
        <v>212</v>
      </c>
      <c r="F1958">
        <v>4</v>
      </c>
    </row>
    <row r="1959" spans="1:6" ht="13.2">
      <c r="A1959" t="s">
        <v>2277</v>
      </c>
      <c r="B1959">
        <v>0</v>
      </c>
      <c r="C1959" s="44" t="s">
        <v>296</v>
      </c>
      <c r="D1959" t="s">
        <v>291</v>
      </c>
      <c r="E1959" t="s">
        <v>212</v>
      </c>
      <c r="F1959">
        <v>4</v>
      </c>
    </row>
    <row r="1960" spans="1:6" ht="13.2">
      <c r="A1960" t="s">
        <v>2278</v>
      </c>
      <c r="B1960">
        <v>0</v>
      </c>
      <c r="C1960" s="44" t="s">
        <v>296</v>
      </c>
      <c r="D1960" t="s">
        <v>291</v>
      </c>
      <c r="E1960" t="s">
        <v>212</v>
      </c>
      <c r="F1960">
        <v>4</v>
      </c>
    </row>
    <row r="1961" spans="1:6" ht="13.2">
      <c r="A1961" t="s">
        <v>2279</v>
      </c>
      <c r="B1961">
        <v>0</v>
      </c>
      <c r="C1961" s="44" t="s">
        <v>296</v>
      </c>
      <c r="D1961" t="s">
        <v>291</v>
      </c>
      <c r="E1961" t="s">
        <v>212</v>
      </c>
      <c r="F1961">
        <v>4</v>
      </c>
    </row>
    <row r="1962" spans="1:6" ht="13.2">
      <c r="A1962" t="s">
        <v>2280</v>
      </c>
      <c r="B1962">
        <v>0</v>
      </c>
      <c r="C1962" s="44" t="s">
        <v>296</v>
      </c>
      <c r="D1962" t="s">
        <v>291</v>
      </c>
      <c r="E1962" t="s">
        <v>212</v>
      </c>
      <c r="F1962">
        <v>4</v>
      </c>
    </row>
    <row r="1963" spans="1:6" ht="13.2">
      <c r="A1963" t="s">
        <v>2281</v>
      </c>
      <c r="B1963">
        <v>0</v>
      </c>
      <c r="C1963" s="44" t="s">
        <v>296</v>
      </c>
      <c r="D1963" t="s">
        <v>291</v>
      </c>
      <c r="E1963" t="s">
        <v>212</v>
      </c>
      <c r="F1963">
        <v>4</v>
      </c>
    </row>
    <row r="1964" spans="1:6" ht="13.2">
      <c r="A1964" t="s">
        <v>2282</v>
      </c>
      <c r="B1964">
        <v>0</v>
      </c>
      <c r="C1964" s="44" t="s">
        <v>296</v>
      </c>
      <c r="D1964" t="s">
        <v>291</v>
      </c>
      <c r="E1964" t="s">
        <v>212</v>
      </c>
      <c r="F1964">
        <v>4</v>
      </c>
    </row>
    <row r="1965" spans="1:6" ht="13.2">
      <c r="A1965" t="s">
        <v>2283</v>
      </c>
      <c r="B1965">
        <v>0</v>
      </c>
      <c r="C1965" s="44" t="s">
        <v>296</v>
      </c>
      <c r="D1965" t="s">
        <v>291</v>
      </c>
      <c r="E1965" t="s">
        <v>212</v>
      </c>
      <c r="F1965">
        <v>4</v>
      </c>
    </row>
    <row r="1966" spans="1:6" ht="13.2">
      <c r="A1966" t="s">
        <v>2284</v>
      </c>
      <c r="B1966">
        <v>0</v>
      </c>
      <c r="C1966" s="44" t="s">
        <v>296</v>
      </c>
      <c r="D1966" t="s">
        <v>291</v>
      </c>
      <c r="E1966" t="s">
        <v>212</v>
      </c>
      <c r="F1966">
        <v>4</v>
      </c>
    </row>
    <row r="1967" spans="1:6" ht="13.2">
      <c r="A1967" t="s">
        <v>2285</v>
      </c>
      <c r="B1967">
        <v>0</v>
      </c>
      <c r="C1967" s="44" t="s">
        <v>296</v>
      </c>
      <c r="D1967" t="s">
        <v>291</v>
      </c>
      <c r="E1967" t="s">
        <v>212</v>
      </c>
      <c r="F1967">
        <v>4</v>
      </c>
    </row>
    <row r="1968" spans="1:6" ht="13.2">
      <c r="A1968" t="s">
        <v>2286</v>
      </c>
      <c r="B1968">
        <v>0</v>
      </c>
      <c r="C1968" s="44">
        <v>1450</v>
      </c>
      <c r="D1968" t="s">
        <v>291</v>
      </c>
      <c r="E1968" t="s">
        <v>231</v>
      </c>
      <c r="F1968">
        <v>4</v>
      </c>
    </row>
    <row r="1969" spans="1:6" ht="13.2">
      <c r="A1969" t="s">
        <v>2287</v>
      </c>
      <c r="B1969">
        <v>0</v>
      </c>
      <c r="C1969" s="44">
        <v>1450</v>
      </c>
      <c r="D1969" t="s">
        <v>291</v>
      </c>
      <c r="E1969" t="s">
        <v>231</v>
      </c>
      <c r="F1969">
        <v>4</v>
      </c>
    </row>
    <row r="1970" spans="1:6" ht="13.2">
      <c r="A1970" t="s">
        <v>2288</v>
      </c>
      <c r="B1970">
        <v>0</v>
      </c>
      <c r="C1970" s="44">
        <v>1450</v>
      </c>
      <c r="D1970" t="s">
        <v>291</v>
      </c>
      <c r="E1970" t="s">
        <v>231</v>
      </c>
      <c r="F1970">
        <v>4</v>
      </c>
    </row>
    <row r="1971" spans="1:6" ht="13.2">
      <c r="A1971" t="s">
        <v>2289</v>
      </c>
      <c r="B1971">
        <v>0</v>
      </c>
      <c r="C1971" s="44">
        <v>1450</v>
      </c>
      <c r="D1971" t="s">
        <v>291</v>
      </c>
      <c r="E1971" t="s">
        <v>231</v>
      </c>
      <c r="F1971">
        <v>4</v>
      </c>
    </row>
    <row r="1972" spans="1:6" ht="13.2">
      <c r="A1972" t="s">
        <v>2290</v>
      </c>
      <c r="B1972">
        <v>0</v>
      </c>
      <c r="C1972" s="44">
        <v>1450</v>
      </c>
      <c r="D1972" t="s">
        <v>291</v>
      </c>
      <c r="E1972" t="s">
        <v>231</v>
      </c>
      <c r="F1972">
        <v>4</v>
      </c>
    </row>
    <row r="1973" spans="1:6" ht="13.2">
      <c r="A1973" t="s">
        <v>2291</v>
      </c>
      <c r="B1973">
        <v>0</v>
      </c>
      <c r="C1973" s="44">
        <v>1450</v>
      </c>
      <c r="D1973" t="s">
        <v>291</v>
      </c>
      <c r="E1973" t="s">
        <v>231</v>
      </c>
      <c r="F1973">
        <v>4</v>
      </c>
    </row>
    <row r="1974" spans="1:6" ht="13.2">
      <c r="A1974" t="s">
        <v>2292</v>
      </c>
      <c r="B1974">
        <v>0</v>
      </c>
      <c r="C1974" s="44">
        <v>1450</v>
      </c>
      <c r="D1974" t="s">
        <v>291</v>
      </c>
      <c r="E1974" t="s">
        <v>231</v>
      </c>
      <c r="F1974">
        <v>4</v>
      </c>
    </row>
    <row r="1975" spans="1:6" ht="13.2">
      <c r="A1975" t="s">
        <v>2293</v>
      </c>
      <c r="B1975">
        <v>0</v>
      </c>
      <c r="C1975" s="44">
        <v>1450</v>
      </c>
      <c r="D1975" t="s">
        <v>291</v>
      </c>
      <c r="E1975" t="s">
        <v>231</v>
      </c>
      <c r="F1975">
        <v>4</v>
      </c>
    </row>
    <row r="1976" spans="1:6" ht="13.2">
      <c r="A1976" t="s">
        <v>2294</v>
      </c>
      <c r="B1976">
        <v>0</v>
      </c>
      <c r="C1976" s="44">
        <v>1450</v>
      </c>
      <c r="D1976" t="s">
        <v>291</v>
      </c>
      <c r="E1976" t="s">
        <v>231</v>
      </c>
      <c r="F1976">
        <v>4</v>
      </c>
    </row>
    <row r="1977" spans="1:6" ht="13.2">
      <c r="A1977" t="s">
        <v>2295</v>
      </c>
      <c r="B1977">
        <v>0</v>
      </c>
      <c r="C1977" s="44">
        <v>1450</v>
      </c>
      <c r="D1977" t="s">
        <v>291</v>
      </c>
      <c r="E1977" t="s">
        <v>231</v>
      </c>
      <c r="F1977">
        <v>4</v>
      </c>
    </row>
    <row r="1978" spans="1:6" ht="13.2">
      <c r="A1978" t="s">
        <v>1154</v>
      </c>
      <c r="B1978">
        <v>0</v>
      </c>
      <c r="C1978" s="44">
        <v>3200</v>
      </c>
      <c r="D1978" t="s">
        <v>293</v>
      </c>
      <c r="E1978" t="s">
        <v>256</v>
      </c>
      <c r="F1978">
        <v>4</v>
      </c>
    </row>
    <row r="1979" spans="1:6" ht="13.2">
      <c r="A1979" t="s">
        <v>1155</v>
      </c>
      <c r="B1979">
        <v>0</v>
      </c>
      <c r="C1979" s="44">
        <v>3200</v>
      </c>
      <c r="D1979" t="s">
        <v>293</v>
      </c>
      <c r="E1979" t="s">
        <v>256</v>
      </c>
      <c r="F1979">
        <v>4</v>
      </c>
    </row>
    <row r="1980" spans="1:6" ht="13.2">
      <c r="A1980" t="s">
        <v>1156</v>
      </c>
      <c r="B1980">
        <v>0</v>
      </c>
      <c r="C1980" s="44">
        <v>3200</v>
      </c>
      <c r="D1980" t="s">
        <v>293</v>
      </c>
      <c r="E1980" t="s">
        <v>256</v>
      </c>
      <c r="F1980">
        <v>4</v>
      </c>
    </row>
    <row r="1981" spans="1:6" ht="13.2">
      <c r="A1981" t="s">
        <v>1157</v>
      </c>
      <c r="B1981">
        <v>0</v>
      </c>
      <c r="C1981" s="44">
        <v>3200</v>
      </c>
      <c r="D1981" t="s">
        <v>293</v>
      </c>
      <c r="E1981" t="s">
        <v>256</v>
      </c>
      <c r="F1981">
        <v>4</v>
      </c>
    </row>
    <row r="1982" spans="1:6" ht="13.2">
      <c r="A1982" t="s">
        <v>1158</v>
      </c>
      <c r="B1982">
        <v>0</v>
      </c>
      <c r="C1982" s="44">
        <v>3200</v>
      </c>
      <c r="D1982" t="s">
        <v>293</v>
      </c>
      <c r="E1982" t="s">
        <v>256</v>
      </c>
      <c r="F1982">
        <v>4</v>
      </c>
    </row>
    <row r="1983" spans="1:6" ht="13.2">
      <c r="A1983" t="s">
        <v>1159</v>
      </c>
      <c r="B1983">
        <v>0</v>
      </c>
      <c r="C1983" s="44">
        <v>3200</v>
      </c>
      <c r="D1983" t="s">
        <v>293</v>
      </c>
      <c r="E1983" t="s">
        <v>256</v>
      </c>
      <c r="F1983">
        <v>4</v>
      </c>
    </row>
    <row r="1984" spans="1:6" ht="13.2">
      <c r="A1984" t="s">
        <v>1160</v>
      </c>
      <c r="B1984">
        <v>0</v>
      </c>
      <c r="C1984" s="44">
        <v>3200</v>
      </c>
      <c r="D1984" t="s">
        <v>293</v>
      </c>
      <c r="E1984" t="s">
        <v>256</v>
      </c>
      <c r="F1984">
        <v>4</v>
      </c>
    </row>
    <row r="1985" spans="1:6" ht="13.2">
      <c r="A1985" t="s">
        <v>1161</v>
      </c>
      <c r="B1985">
        <v>0</v>
      </c>
      <c r="C1985" s="44">
        <v>3200</v>
      </c>
      <c r="D1985" t="s">
        <v>293</v>
      </c>
      <c r="E1985" t="s">
        <v>256</v>
      </c>
      <c r="F1985">
        <v>4</v>
      </c>
    </row>
    <row r="1986" spans="1:6" ht="13.2">
      <c r="A1986" t="s">
        <v>1162</v>
      </c>
      <c r="B1986">
        <v>0</v>
      </c>
      <c r="C1986" s="44">
        <v>3200</v>
      </c>
      <c r="D1986" t="s">
        <v>293</v>
      </c>
      <c r="E1986" t="s">
        <v>256</v>
      </c>
      <c r="F1986">
        <v>4</v>
      </c>
    </row>
    <row r="1987" spans="1:6" ht="13.2">
      <c r="A1987" t="s">
        <v>1163</v>
      </c>
      <c r="B1987">
        <v>0</v>
      </c>
      <c r="C1987" s="44">
        <v>3200</v>
      </c>
      <c r="D1987" t="s">
        <v>293</v>
      </c>
      <c r="E1987" t="s">
        <v>256</v>
      </c>
      <c r="F1987">
        <v>4</v>
      </c>
    </row>
    <row r="1988" spans="1:6" ht="13.2">
      <c r="A1988" t="s">
        <v>1164</v>
      </c>
      <c r="B1988">
        <v>0</v>
      </c>
      <c r="C1988" s="44">
        <v>3200</v>
      </c>
      <c r="D1988" t="s">
        <v>293</v>
      </c>
      <c r="E1988" t="s">
        <v>256</v>
      </c>
      <c r="F1988">
        <v>4</v>
      </c>
    </row>
    <row r="1989" spans="1:6" ht="13.2">
      <c r="A1989" t="s">
        <v>1165</v>
      </c>
      <c r="B1989">
        <v>0</v>
      </c>
      <c r="C1989" s="44">
        <v>3200</v>
      </c>
      <c r="D1989" t="s">
        <v>293</v>
      </c>
      <c r="E1989" t="s">
        <v>256</v>
      </c>
      <c r="F1989">
        <v>4</v>
      </c>
    </row>
    <row r="1990" spans="1:6" ht="13.2">
      <c r="A1990" t="s">
        <v>1166</v>
      </c>
      <c r="B1990">
        <v>0</v>
      </c>
      <c r="C1990" s="44">
        <v>3200</v>
      </c>
      <c r="D1990" t="s">
        <v>293</v>
      </c>
      <c r="E1990" t="s">
        <v>256</v>
      </c>
      <c r="F1990">
        <v>4</v>
      </c>
    </row>
    <row r="1991" spans="1:6" ht="13.2">
      <c r="A1991" t="s">
        <v>1167</v>
      </c>
      <c r="B1991">
        <v>0</v>
      </c>
      <c r="C1991" s="44">
        <v>3200</v>
      </c>
      <c r="D1991" t="s">
        <v>293</v>
      </c>
      <c r="E1991" t="s">
        <v>256</v>
      </c>
      <c r="F1991">
        <v>4</v>
      </c>
    </row>
    <row r="1992" spans="1:6" ht="13.2">
      <c r="A1992" t="s">
        <v>1168</v>
      </c>
      <c r="B1992">
        <v>0</v>
      </c>
      <c r="C1992" s="44">
        <v>3200</v>
      </c>
      <c r="D1992" t="s">
        <v>293</v>
      </c>
      <c r="E1992" t="s">
        <v>256</v>
      </c>
      <c r="F1992">
        <v>4</v>
      </c>
    </row>
    <row r="1993" spans="1:6" ht="13.2">
      <c r="A1993" t="s">
        <v>1169</v>
      </c>
      <c r="B1993">
        <v>0</v>
      </c>
      <c r="C1993" s="44">
        <v>3200</v>
      </c>
      <c r="D1993" t="s">
        <v>293</v>
      </c>
      <c r="E1993" t="s">
        <v>256</v>
      </c>
      <c r="F1993">
        <v>4</v>
      </c>
    </row>
    <row r="1994" spans="1:6" ht="13.2">
      <c r="A1994" t="s">
        <v>5937</v>
      </c>
      <c r="B1994">
        <v>0</v>
      </c>
      <c r="C1994" s="44">
        <v>3200</v>
      </c>
      <c r="D1994" t="s">
        <v>291</v>
      </c>
      <c r="E1994" t="s">
        <v>256</v>
      </c>
      <c r="F1994">
        <v>4</v>
      </c>
    </row>
    <row r="1995" spans="1:6" ht="13.2">
      <c r="A1995" t="s">
        <v>5938</v>
      </c>
      <c r="B1995">
        <v>0</v>
      </c>
      <c r="C1995" s="44">
        <v>3200</v>
      </c>
      <c r="D1995" t="s">
        <v>291</v>
      </c>
      <c r="E1995" t="s">
        <v>256</v>
      </c>
      <c r="F1995">
        <v>4</v>
      </c>
    </row>
    <row r="1996" spans="1:6" ht="13.2">
      <c r="A1996" t="s">
        <v>5939</v>
      </c>
      <c r="B1996">
        <v>0</v>
      </c>
      <c r="C1996" s="44">
        <v>3200</v>
      </c>
      <c r="D1996" t="s">
        <v>291</v>
      </c>
      <c r="E1996" t="s">
        <v>256</v>
      </c>
      <c r="F1996">
        <v>4</v>
      </c>
    </row>
    <row r="1997" spans="1:6" ht="13.2">
      <c r="A1997" t="s">
        <v>5940</v>
      </c>
      <c r="B1997">
        <v>0</v>
      </c>
      <c r="C1997" s="44">
        <v>3200</v>
      </c>
      <c r="D1997" t="s">
        <v>291</v>
      </c>
      <c r="E1997" t="s">
        <v>256</v>
      </c>
      <c r="F1997">
        <v>4</v>
      </c>
    </row>
    <row r="1998" spans="1:6" ht="13.2">
      <c r="A1998" t="s">
        <v>5941</v>
      </c>
      <c r="B1998">
        <v>0</v>
      </c>
      <c r="C1998" s="44">
        <v>3200</v>
      </c>
      <c r="D1998" t="s">
        <v>291</v>
      </c>
      <c r="E1998" t="s">
        <v>256</v>
      </c>
      <c r="F1998">
        <v>4</v>
      </c>
    </row>
    <row r="1999" spans="1:6" ht="13.2">
      <c r="A1999" t="s">
        <v>5942</v>
      </c>
      <c r="B1999">
        <v>0</v>
      </c>
      <c r="C1999" s="44">
        <v>3200</v>
      </c>
      <c r="D1999" t="s">
        <v>291</v>
      </c>
      <c r="E1999" t="s">
        <v>256</v>
      </c>
      <c r="F1999">
        <v>4</v>
      </c>
    </row>
    <row r="2000" spans="1:6" ht="13.2">
      <c r="A2000" t="s">
        <v>5943</v>
      </c>
      <c r="B2000">
        <v>0</v>
      </c>
      <c r="C2000" s="44">
        <v>3200</v>
      </c>
      <c r="D2000" t="s">
        <v>291</v>
      </c>
      <c r="E2000" t="s">
        <v>256</v>
      </c>
      <c r="F2000">
        <v>4</v>
      </c>
    </row>
    <row r="2001" spans="1:6" ht="13.2">
      <c r="A2001" t="s">
        <v>5944</v>
      </c>
      <c r="B2001">
        <v>0</v>
      </c>
      <c r="C2001" s="44">
        <v>3200</v>
      </c>
      <c r="D2001" t="s">
        <v>291</v>
      </c>
      <c r="E2001" t="s">
        <v>256</v>
      </c>
      <c r="F2001">
        <v>4</v>
      </c>
    </row>
    <row r="2002" spans="1:6" ht="13.2">
      <c r="A2002" t="s">
        <v>5945</v>
      </c>
      <c r="B2002">
        <v>0</v>
      </c>
      <c r="C2002" s="44">
        <v>3200</v>
      </c>
      <c r="D2002" t="s">
        <v>291</v>
      </c>
      <c r="E2002" t="s">
        <v>256</v>
      </c>
      <c r="F2002">
        <v>4</v>
      </c>
    </row>
    <row r="2003" spans="1:6" ht="13.2">
      <c r="A2003" t="s">
        <v>5946</v>
      </c>
      <c r="B2003">
        <v>0</v>
      </c>
      <c r="C2003" s="44">
        <v>3200</v>
      </c>
      <c r="D2003" t="s">
        <v>291</v>
      </c>
      <c r="E2003" t="s">
        <v>256</v>
      </c>
      <c r="F2003">
        <v>4</v>
      </c>
    </row>
    <row r="2004" spans="1:6" ht="13.2">
      <c r="A2004" t="s">
        <v>5947</v>
      </c>
      <c r="B2004">
        <v>0</v>
      </c>
      <c r="C2004" s="44">
        <v>3200</v>
      </c>
      <c r="D2004" t="s">
        <v>291</v>
      </c>
      <c r="E2004" t="s">
        <v>256</v>
      </c>
      <c r="F2004">
        <v>4</v>
      </c>
    </row>
    <row r="2005" spans="1:6" ht="13.2">
      <c r="A2005" t="s">
        <v>5948</v>
      </c>
      <c r="B2005">
        <v>0</v>
      </c>
      <c r="C2005" s="44">
        <v>3200</v>
      </c>
      <c r="D2005" t="s">
        <v>291</v>
      </c>
      <c r="E2005" t="s">
        <v>256</v>
      </c>
      <c r="F2005">
        <v>4</v>
      </c>
    </row>
    <row r="2006" spans="1:6" ht="13.2">
      <c r="A2006" t="s">
        <v>5949</v>
      </c>
      <c r="B2006">
        <v>0</v>
      </c>
      <c r="C2006" s="44">
        <v>3200</v>
      </c>
      <c r="D2006" t="s">
        <v>291</v>
      </c>
      <c r="E2006" t="s">
        <v>256</v>
      </c>
      <c r="F2006">
        <v>4</v>
      </c>
    </row>
    <row r="2007" spans="1:6" ht="13.2">
      <c r="A2007" t="s">
        <v>5950</v>
      </c>
      <c r="B2007">
        <v>0</v>
      </c>
      <c r="C2007" s="44">
        <v>3200</v>
      </c>
      <c r="D2007" t="s">
        <v>291</v>
      </c>
      <c r="E2007" t="s">
        <v>256</v>
      </c>
      <c r="F2007">
        <v>4</v>
      </c>
    </row>
    <row r="2008" spans="1:6" ht="13.2">
      <c r="A2008" t="s">
        <v>5951</v>
      </c>
      <c r="B2008">
        <v>0</v>
      </c>
      <c r="C2008" s="44">
        <v>3200</v>
      </c>
      <c r="D2008" t="s">
        <v>291</v>
      </c>
      <c r="E2008" t="s">
        <v>256</v>
      </c>
      <c r="F2008">
        <v>4</v>
      </c>
    </row>
    <row r="2009" spans="1:6" ht="13.2">
      <c r="A2009" t="s">
        <v>5952</v>
      </c>
      <c r="B2009">
        <v>0</v>
      </c>
      <c r="C2009" s="44">
        <v>3200</v>
      </c>
      <c r="D2009" t="s">
        <v>291</v>
      </c>
      <c r="E2009" t="s">
        <v>256</v>
      </c>
      <c r="F2009">
        <v>4</v>
      </c>
    </row>
    <row r="2010" spans="1:6" ht="13.2">
      <c r="A2010" t="s">
        <v>1170</v>
      </c>
      <c r="B2010">
        <v>330</v>
      </c>
      <c r="C2010" s="44">
        <v>3200</v>
      </c>
      <c r="D2010" t="s">
        <v>293</v>
      </c>
      <c r="E2010" t="s">
        <v>256</v>
      </c>
      <c r="F2010">
        <v>4</v>
      </c>
    </row>
    <row r="2011" spans="1:6" ht="13.2">
      <c r="A2011" t="s">
        <v>1171</v>
      </c>
      <c r="B2011">
        <v>330</v>
      </c>
      <c r="C2011" s="44">
        <v>3200</v>
      </c>
      <c r="D2011" t="s">
        <v>293</v>
      </c>
      <c r="E2011" t="s">
        <v>256</v>
      </c>
      <c r="F2011">
        <v>4</v>
      </c>
    </row>
    <row r="2012" spans="1:6" ht="13.2">
      <c r="A2012" t="s">
        <v>1172</v>
      </c>
      <c r="B2012">
        <v>330</v>
      </c>
      <c r="C2012" s="44">
        <v>3200</v>
      </c>
      <c r="D2012" t="s">
        <v>293</v>
      </c>
      <c r="E2012" t="s">
        <v>256</v>
      </c>
      <c r="F2012">
        <v>4</v>
      </c>
    </row>
    <row r="2013" spans="1:6" ht="13.2">
      <c r="A2013" t="s">
        <v>2296</v>
      </c>
      <c r="B2013">
        <v>440</v>
      </c>
      <c r="C2013" s="44">
        <v>1400</v>
      </c>
      <c r="D2013" t="s">
        <v>291</v>
      </c>
      <c r="E2013" t="s">
        <v>417</v>
      </c>
      <c r="F2013">
        <v>4</v>
      </c>
    </row>
    <row r="2014" spans="1:6" ht="13.2">
      <c r="A2014" t="s">
        <v>2297</v>
      </c>
      <c r="B2014">
        <v>440</v>
      </c>
      <c r="C2014" s="44">
        <v>1400</v>
      </c>
      <c r="D2014" t="s">
        <v>291</v>
      </c>
      <c r="E2014" t="s">
        <v>417</v>
      </c>
      <c r="F2014">
        <v>4</v>
      </c>
    </row>
    <row r="2015" spans="1:6" ht="13.2">
      <c r="A2015" t="s">
        <v>2298</v>
      </c>
      <c r="B2015">
        <v>440</v>
      </c>
      <c r="C2015" s="44">
        <v>1400</v>
      </c>
      <c r="D2015" t="s">
        <v>291</v>
      </c>
      <c r="E2015" t="s">
        <v>417</v>
      </c>
      <c r="F2015">
        <v>4</v>
      </c>
    </row>
    <row r="2016" spans="1:6" ht="13.2">
      <c r="A2016" t="s">
        <v>2299</v>
      </c>
      <c r="B2016">
        <v>440</v>
      </c>
      <c r="C2016" s="44">
        <v>1400</v>
      </c>
      <c r="D2016" t="s">
        <v>291</v>
      </c>
      <c r="E2016" t="s">
        <v>417</v>
      </c>
      <c r="F2016">
        <v>4</v>
      </c>
    </row>
    <row r="2017" spans="1:6" ht="13.2">
      <c r="A2017" t="s">
        <v>2300</v>
      </c>
      <c r="B2017">
        <v>440</v>
      </c>
      <c r="C2017" s="44">
        <v>1400</v>
      </c>
      <c r="D2017" t="s">
        <v>291</v>
      </c>
      <c r="E2017" t="s">
        <v>417</v>
      </c>
      <c r="F2017">
        <v>4</v>
      </c>
    </row>
    <row r="2018" spans="1:6" ht="13.2">
      <c r="A2018" t="s">
        <v>2301</v>
      </c>
      <c r="B2018">
        <v>440</v>
      </c>
      <c r="C2018" s="44">
        <v>1400</v>
      </c>
      <c r="D2018" t="s">
        <v>291</v>
      </c>
      <c r="E2018" t="s">
        <v>417</v>
      </c>
      <c r="F2018">
        <v>4</v>
      </c>
    </row>
    <row r="2019" spans="1:6" ht="13.2">
      <c r="A2019" t="s">
        <v>1710</v>
      </c>
      <c r="B2019">
        <v>745</v>
      </c>
      <c r="C2019" s="44" t="s">
        <v>204</v>
      </c>
      <c r="D2019" t="s">
        <v>297</v>
      </c>
      <c r="E2019" t="s">
        <v>232</v>
      </c>
      <c r="F2019">
        <v>2</v>
      </c>
    </row>
    <row r="2020" spans="1:6" ht="13.2">
      <c r="A2020" t="s">
        <v>2302</v>
      </c>
      <c r="B2020">
        <v>680</v>
      </c>
      <c r="C2020" s="44">
        <v>1380</v>
      </c>
      <c r="D2020" t="s">
        <v>291</v>
      </c>
      <c r="E2020" t="s">
        <v>256</v>
      </c>
      <c r="F2020">
        <v>4</v>
      </c>
    </row>
    <row r="2021" spans="1:6" ht="13.2">
      <c r="A2021" t="s">
        <v>2303</v>
      </c>
      <c r="B2021">
        <v>680</v>
      </c>
      <c r="C2021" s="44">
        <v>1380</v>
      </c>
      <c r="D2021" t="s">
        <v>291</v>
      </c>
      <c r="E2021" t="s">
        <v>256</v>
      </c>
      <c r="F2021">
        <v>4</v>
      </c>
    </row>
    <row r="2022" spans="1:6" ht="13.2">
      <c r="A2022" t="s">
        <v>2304</v>
      </c>
      <c r="B2022">
        <v>680</v>
      </c>
      <c r="C2022" s="44">
        <v>1380</v>
      </c>
      <c r="D2022" t="s">
        <v>291</v>
      </c>
      <c r="E2022" t="s">
        <v>256</v>
      </c>
      <c r="F2022">
        <v>4</v>
      </c>
    </row>
    <row r="2023" spans="1:6" ht="13.2">
      <c r="A2023" t="s">
        <v>5464</v>
      </c>
      <c r="B2023">
        <v>430</v>
      </c>
      <c r="C2023" s="44">
        <v>1380</v>
      </c>
      <c r="D2023" t="s">
        <v>291</v>
      </c>
      <c r="E2023" t="s">
        <v>5459</v>
      </c>
      <c r="F2023">
        <v>4</v>
      </c>
    </row>
    <row r="2024" spans="1:6" ht="13.2">
      <c r="A2024" t="s">
        <v>5462</v>
      </c>
      <c r="B2024">
        <v>430</v>
      </c>
      <c r="C2024" s="44">
        <v>1380</v>
      </c>
      <c r="D2024" t="s">
        <v>291</v>
      </c>
      <c r="E2024" t="s">
        <v>5459</v>
      </c>
      <c r="F2024">
        <v>4</v>
      </c>
    </row>
    <row r="2025" spans="1:6" ht="13.2">
      <c r="A2025" t="s">
        <v>5463</v>
      </c>
      <c r="B2025">
        <v>430</v>
      </c>
      <c r="C2025" s="44">
        <v>1380</v>
      </c>
      <c r="D2025" t="s">
        <v>291</v>
      </c>
      <c r="E2025" t="s">
        <v>5459</v>
      </c>
      <c r="F2025">
        <v>4</v>
      </c>
    </row>
    <row r="2026" spans="1:6" ht="13.2">
      <c r="A2026" t="s">
        <v>5460</v>
      </c>
      <c r="B2026">
        <v>430</v>
      </c>
      <c r="C2026" s="44">
        <v>1380</v>
      </c>
      <c r="D2026" t="s">
        <v>291</v>
      </c>
      <c r="E2026" t="s">
        <v>5459</v>
      </c>
      <c r="F2026">
        <v>4</v>
      </c>
    </row>
    <row r="2027" spans="1:6" ht="13.2">
      <c r="A2027" t="s">
        <v>5465</v>
      </c>
      <c r="B2027">
        <v>430</v>
      </c>
      <c r="C2027" s="44">
        <v>1380</v>
      </c>
      <c r="D2027" t="s">
        <v>291</v>
      </c>
      <c r="E2027" t="s">
        <v>5459</v>
      </c>
      <c r="F2027">
        <v>4</v>
      </c>
    </row>
    <row r="2028" spans="1:6" ht="13.2">
      <c r="A2028" t="s">
        <v>5458</v>
      </c>
      <c r="B2028">
        <v>430</v>
      </c>
      <c r="C2028" s="44">
        <v>1380</v>
      </c>
      <c r="D2028" t="s">
        <v>291</v>
      </c>
      <c r="E2028" t="s">
        <v>5459</v>
      </c>
      <c r="F2028">
        <v>4</v>
      </c>
    </row>
    <row r="2029" spans="1:6" ht="13.2">
      <c r="A2029" t="s">
        <v>5466</v>
      </c>
      <c r="B2029">
        <v>430</v>
      </c>
      <c r="C2029" s="44">
        <v>1380</v>
      </c>
      <c r="D2029" t="s">
        <v>291</v>
      </c>
      <c r="E2029" t="s">
        <v>5459</v>
      </c>
      <c r="F2029">
        <v>4</v>
      </c>
    </row>
    <row r="2030" spans="1:6" ht="13.2">
      <c r="A2030" t="s">
        <v>5461</v>
      </c>
      <c r="B2030">
        <v>430</v>
      </c>
      <c r="C2030" s="44">
        <v>1380</v>
      </c>
      <c r="D2030" t="s">
        <v>291</v>
      </c>
      <c r="E2030" t="s">
        <v>5459</v>
      </c>
      <c r="F2030">
        <v>4</v>
      </c>
    </row>
    <row r="2031" spans="1:6" ht="13.2">
      <c r="A2031" t="s">
        <v>4000</v>
      </c>
      <c r="B2031">
        <v>0</v>
      </c>
      <c r="C2031" s="44">
        <v>1600</v>
      </c>
      <c r="D2031" t="s">
        <v>291</v>
      </c>
      <c r="E2031" t="s">
        <v>256</v>
      </c>
      <c r="F2031">
        <v>4</v>
      </c>
    </row>
    <row r="2032" spans="1:6" ht="13.2">
      <c r="A2032" t="s">
        <v>3997</v>
      </c>
      <c r="B2032">
        <v>0</v>
      </c>
      <c r="C2032" s="44">
        <v>1600</v>
      </c>
      <c r="D2032" t="s">
        <v>291</v>
      </c>
      <c r="E2032" t="s">
        <v>256</v>
      </c>
      <c r="F2032">
        <v>4</v>
      </c>
    </row>
    <row r="2033" spans="1:6" ht="13.2">
      <c r="A2033" t="s">
        <v>3998</v>
      </c>
      <c r="B2033">
        <v>0</v>
      </c>
      <c r="C2033" s="44">
        <v>1600</v>
      </c>
      <c r="D2033" t="s">
        <v>291</v>
      </c>
      <c r="E2033" t="s">
        <v>256</v>
      </c>
      <c r="F2033">
        <v>4</v>
      </c>
    </row>
    <row r="2034" spans="1:6" ht="13.2">
      <c r="A2034" t="s">
        <v>4003</v>
      </c>
      <c r="B2034">
        <v>0</v>
      </c>
      <c r="C2034" s="44">
        <v>1600</v>
      </c>
      <c r="D2034" t="s">
        <v>291</v>
      </c>
      <c r="E2034" t="s">
        <v>256</v>
      </c>
      <c r="F2034">
        <v>4</v>
      </c>
    </row>
    <row r="2035" spans="1:6" ht="13.2">
      <c r="A2035" t="s">
        <v>4002</v>
      </c>
      <c r="B2035">
        <v>0</v>
      </c>
      <c r="C2035" s="44">
        <v>1600</v>
      </c>
      <c r="D2035" t="s">
        <v>291</v>
      </c>
      <c r="E2035" t="s">
        <v>256</v>
      </c>
      <c r="F2035">
        <v>4</v>
      </c>
    </row>
    <row r="2036" spans="1:6" ht="13.2">
      <c r="A2036" t="s">
        <v>4004</v>
      </c>
      <c r="B2036">
        <v>0</v>
      </c>
      <c r="C2036" s="44">
        <v>1600</v>
      </c>
      <c r="D2036" t="s">
        <v>291</v>
      </c>
      <c r="E2036" t="s">
        <v>256</v>
      </c>
      <c r="F2036">
        <v>4</v>
      </c>
    </row>
    <row r="2037" spans="1:6" ht="13.2">
      <c r="A2037" t="s">
        <v>4001</v>
      </c>
      <c r="B2037">
        <v>0</v>
      </c>
      <c r="C2037" s="44">
        <v>1600</v>
      </c>
      <c r="D2037" t="s">
        <v>291</v>
      </c>
      <c r="E2037" t="s">
        <v>256</v>
      </c>
      <c r="F2037">
        <v>4</v>
      </c>
    </row>
    <row r="2038" spans="1:6" ht="13.2">
      <c r="A2038" t="s">
        <v>3999</v>
      </c>
      <c r="B2038">
        <v>0</v>
      </c>
      <c r="C2038" s="44">
        <v>1600</v>
      </c>
      <c r="D2038" t="s">
        <v>291</v>
      </c>
      <c r="E2038" t="s">
        <v>256</v>
      </c>
      <c r="F2038">
        <v>4</v>
      </c>
    </row>
    <row r="2039" spans="1:6" ht="13.2">
      <c r="A2039" t="s">
        <v>4005</v>
      </c>
      <c r="B2039">
        <v>0</v>
      </c>
      <c r="C2039" s="44">
        <v>1600</v>
      </c>
      <c r="D2039" t="s">
        <v>291</v>
      </c>
      <c r="E2039" t="s">
        <v>256</v>
      </c>
      <c r="F2039">
        <v>4</v>
      </c>
    </row>
    <row r="2040" spans="1:6" ht="13.2">
      <c r="A2040" t="s">
        <v>4007</v>
      </c>
      <c r="B2040">
        <v>0</v>
      </c>
      <c r="C2040" s="44">
        <v>1600</v>
      </c>
      <c r="D2040" t="s">
        <v>291</v>
      </c>
      <c r="E2040" t="s">
        <v>256</v>
      </c>
      <c r="F2040">
        <v>4</v>
      </c>
    </row>
    <row r="2041" spans="1:6" ht="13.2">
      <c r="A2041" t="s">
        <v>4006</v>
      </c>
      <c r="B2041">
        <v>0</v>
      </c>
      <c r="C2041" s="44">
        <v>1600</v>
      </c>
      <c r="D2041" t="s">
        <v>291</v>
      </c>
      <c r="E2041" t="s">
        <v>256</v>
      </c>
      <c r="F2041">
        <v>4</v>
      </c>
    </row>
    <row r="2042" spans="1:6" ht="13.2">
      <c r="A2042" t="s">
        <v>781</v>
      </c>
      <c r="B2042">
        <v>0</v>
      </c>
      <c r="C2042" s="44">
        <v>3000</v>
      </c>
      <c r="D2042" t="s">
        <v>293</v>
      </c>
      <c r="E2042" t="s">
        <v>257</v>
      </c>
      <c r="F2042">
        <v>4</v>
      </c>
    </row>
    <row r="2043" spans="1:6" ht="13.2">
      <c r="A2043" t="s">
        <v>783</v>
      </c>
      <c r="B2043">
        <v>0</v>
      </c>
      <c r="C2043" s="44">
        <v>3000</v>
      </c>
      <c r="D2043" t="s">
        <v>293</v>
      </c>
      <c r="E2043" t="s">
        <v>257</v>
      </c>
      <c r="F2043">
        <v>4</v>
      </c>
    </row>
    <row r="2044" spans="1:6" ht="13.2">
      <c r="A2044" t="s">
        <v>779</v>
      </c>
      <c r="B2044">
        <v>0</v>
      </c>
      <c r="C2044" s="44">
        <v>3000</v>
      </c>
      <c r="D2044" t="s">
        <v>293</v>
      </c>
      <c r="E2044" t="s">
        <v>257</v>
      </c>
      <c r="F2044">
        <v>4</v>
      </c>
    </row>
    <row r="2045" spans="1:6" ht="13.2">
      <c r="A2045" t="s">
        <v>784</v>
      </c>
      <c r="B2045">
        <v>0</v>
      </c>
      <c r="C2045" s="44">
        <v>3000</v>
      </c>
      <c r="D2045" t="s">
        <v>293</v>
      </c>
      <c r="E2045" t="s">
        <v>257</v>
      </c>
      <c r="F2045">
        <v>4</v>
      </c>
    </row>
    <row r="2046" spans="1:6" ht="13.2">
      <c r="A2046" t="s">
        <v>762</v>
      </c>
      <c r="B2046">
        <v>0</v>
      </c>
      <c r="C2046" s="44" t="s">
        <v>204</v>
      </c>
      <c r="D2046" s="45" t="s">
        <v>293</v>
      </c>
      <c r="E2046" t="s">
        <v>257</v>
      </c>
      <c r="F2046">
        <v>4</v>
      </c>
    </row>
    <row r="2047" spans="1:6" ht="13.2">
      <c r="A2047" t="s">
        <v>763</v>
      </c>
      <c r="B2047">
        <v>0</v>
      </c>
      <c r="C2047" s="44" t="s">
        <v>204</v>
      </c>
      <c r="D2047" s="45" t="s">
        <v>293</v>
      </c>
      <c r="E2047" t="s">
        <v>257</v>
      </c>
      <c r="F2047">
        <v>4</v>
      </c>
    </row>
    <row r="2048" spans="1:6" ht="13.2">
      <c r="A2048" t="s">
        <v>780</v>
      </c>
      <c r="B2048">
        <v>0</v>
      </c>
      <c r="C2048" s="44">
        <v>3000</v>
      </c>
      <c r="D2048" t="s">
        <v>293</v>
      </c>
      <c r="E2048" t="s">
        <v>257</v>
      </c>
      <c r="F2048">
        <v>4</v>
      </c>
    </row>
    <row r="2049" spans="1:6" ht="13.2">
      <c r="A2049" s="66" t="s">
        <v>1173</v>
      </c>
      <c r="B2049" s="66">
        <v>0</v>
      </c>
      <c r="C2049" s="67" t="s">
        <v>204</v>
      </c>
      <c r="D2049" s="68" t="s">
        <v>293</v>
      </c>
      <c r="E2049" s="66" t="s">
        <v>257</v>
      </c>
      <c r="F2049" s="66">
        <v>4</v>
      </c>
    </row>
    <row r="2050" spans="1:6" ht="13.2">
      <c r="A2050" t="s">
        <v>764</v>
      </c>
      <c r="B2050">
        <v>0</v>
      </c>
      <c r="C2050" s="44" t="s">
        <v>204</v>
      </c>
      <c r="D2050" s="45" t="s">
        <v>293</v>
      </c>
      <c r="E2050" t="s">
        <v>257</v>
      </c>
      <c r="F2050">
        <v>4</v>
      </c>
    </row>
    <row r="2051" spans="1:6" ht="13.2">
      <c r="A2051" t="s">
        <v>765</v>
      </c>
      <c r="B2051">
        <v>0</v>
      </c>
      <c r="C2051" s="44" t="s">
        <v>204</v>
      </c>
      <c r="D2051" s="45" t="s">
        <v>293</v>
      </c>
      <c r="E2051" t="s">
        <v>257</v>
      </c>
      <c r="F2051">
        <v>4</v>
      </c>
    </row>
    <row r="2052" spans="1:6" ht="13.2">
      <c r="A2052" t="s">
        <v>766</v>
      </c>
      <c r="B2052">
        <v>0</v>
      </c>
      <c r="C2052" s="44" t="s">
        <v>204</v>
      </c>
      <c r="D2052" s="45" t="s">
        <v>293</v>
      </c>
      <c r="E2052" t="s">
        <v>257</v>
      </c>
      <c r="F2052">
        <v>4</v>
      </c>
    </row>
    <row r="2053" spans="1:6" ht="13.2">
      <c r="A2053" t="s">
        <v>767</v>
      </c>
      <c r="B2053">
        <v>0</v>
      </c>
      <c r="C2053" s="44" t="s">
        <v>204</v>
      </c>
      <c r="D2053" s="45" t="s">
        <v>293</v>
      </c>
      <c r="E2053" t="s">
        <v>257</v>
      </c>
      <c r="F2053">
        <v>4</v>
      </c>
    </row>
    <row r="2054" spans="1:6" ht="13.2">
      <c r="A2054" t="s">
        <v>782</v>
      </c>
      <c r="B2054">
        <v>0</v>
      </c>
      <c r="C2054" s="44">
        <v>3000</v>
      </c>
      <c r="D2054" t="s">
        <v>293</v>
      </c>
      <c r="E2054" t="s">
        <v>257</v>
      </c>
      <c r="F2054">
        <v>4</v>
      </c>
    </row>
    <row r="2055" spans="1:6" ht="13.2">
      <c r="A2055" t="s">
        <v>879</v>
      </c>
      <c r="B2055">
        <v>0</v>
      </c>
      <c r="C2055" s="44">
        <v>3000</v>
      </c>
      <c r="D2055" t="s">
        <v>291</v>
      </c>
      <c r="E2055" t="s">
        <v>257</v>
      </c>
      <c r="F2055">
        <v>4</v>
      </c>
    </row>
    <row r="2056" spans="1:6" ht="13.2">
      <c r="A2056" t="s">
        <v>881</v>
      </c>
      <c r="B2056">
        <v>0</v>
      </c>
      <c r="C2056" s="44">
        <v>3000</v>
      </c>
      <c r="D2056" t="s">
        <v>291</v>
      </c>
      <c r="E2056" t="s">
        <v>257</v>
      </c>
      <c r="F2056">
        <v>4</v>
      </c>
    </row>
    <row r="2057" spans="1:6" ht="13.2">
      <c r="A2057" t="s">
        <v>877</v>
      </c>
      <c r="B2057">
        <v>0</v>
      </c>
      <c r="C2057" s="44">
        <v>3000</v>
      </c>
      <c r="D2057" t="s">
        <v>291</v>
      </c>
      <c r="E2057" t="s">
        <v>257</v>
      </c>
      <c r="F2057">
        <v>4</v>
      </c>
    </row>
    <row r="2058" spans="1:6" ht="13.2">
      <c r="A2058" t="s">
        <v>882</v>
      </c>
      <c r="B2058">
        <v>0</v>
      </c>
      <c r="C2058" s="44">
        <v>3000</v>
      </c>
      <c r="D2058" t="s">
        <v>291</v>
      </c>
      <c r="E2058" t="s">
        <v>257</v>
      </c>
      <c r="F2058">
        <v>4</v>
      </c>
    </row>
    <row r="2059" spans="1:6" ht="13.2">
      <c r="A2059" t="s">
        <v>860</v>
      </c>
      <c r="B2059">
        <v>0</v>
      </c>
      <c r="C2059" s="44" t="s">
        <v>204</v>
      </c>
      <c r="D2059" t="s">
        <v>291</v>
      </c>
      <c r="E2059" t="s">
        <v>257</v>
      </c>
      <c r="F2059">
        <v>4</v>
      </c>
    </row>
    <row r="2060" spans="1:6" ht="13.2">
      <c r="A2060" t="s">
        <v>861</v>
      </c>
      <c r="B2060">
        <v>0</v>
      </c>
      <c r="C2060" s="44" t="s">
        <v>204</v>
      </c>
      <c r="D2060" t="s">
        <v>291</v>
      </c>
      <c r="E2060" t="s">
        <v>257</v>
      </c>
      <c r="F2060">
        <v>4</v>
      </c>
    </row>
    <row r="2061" spans="1:6" ht="13.2">
      <c r="A2061" t="s">
        <v>878</v>
      </c>
      <c r="B2061">
        <v>0</v>
      </c>
      <c r="C2061" s="44">
        <v>3000</v>
      </c>
      <c r="D2061" t="s">
        <v>291</v>
      </c>
      <c r="E2061" t="s">
        <v>257</v>
      </c>
      <c r="F2061">
        <v>4</v>
      </c>
    </row>
    <row r="2062" spans="1:6" ht="13.2">
      <c r="A2062" t="s">
        <v>4165</v>
      </c>
      <c r="B2062">
        <v>0</v>
      </c>
      <c r="C2062" s="44" t="s">
        <v>204</v>
      </c>
      <c r="D2062" t="s">
        <v>291</v>
      </c>
      <c r="E2062" t="s">
        <v>257</v>
      </c>
      <c r="F2062">
        <v>4</v>
      </c>
    </row>
    <row r="2063" spans="1:6" ht="13.2">
      <c r="A2063" t="s">
        <v>862</v>
      </c>
      <c r="B2063">
        <v>0</v>
      </c>
      <c r="C2063" s="44" t="s">
        <v>204</v>
      </c>
      <c r="D2063" t="s">
        <v>291</v>
      </c>
      <c r="E2063" t="s">
        <v>257</v>
      </c>
      <c r="F2063">
        <v>4</v>
      </c>
    </row>
    <row r="2064" spans="1:6" ht="13.2">
      <c r="A2064" t="s">
        <v>863</v>
      </c>
      <c r="B2064">
        <v>0</v>
      </c>
      <c r="C2064" s="44" t="s">
        <v>204</v>
      </c>
      <c r="D2064" t="s">
        <v>291</v>
      </c>
      <c r="E2064" t="s">
        <v>257</v>
      </c>
      <c r="F2064">
        <v>4</v>
      </c>
    </row>
    <row r="2065" spans="1:6" ht="13.2">
      <c r="A2065" t="s">
        <v>864</v>
      </c>
      <c r="B2065">
        <v>0</v>
      </c>
      <c r="C2065" s="44" t="s">
        <v>204</v>
      </c>
      <c r="D2065" t="s">
        <v>291</v>
      </c>
      <c r="E2065" t="s">
        <v>257</v>
      </c>
      <c r="F2065">
        <v>4</v>
      </c>
    </row>
    <row r="2066" spans="1:6" ht="13.2">
      <c r="A2066" t="s">
        <v>865</v>
      </c>
      <c r="B2066">
        <v>0</v>
      </c>
      <c r="C2066" s="44" t="s">
        <v>204</v>
      </c>
      <c r="D2066" t="s">
        <v>291</v>
      </c>
      <c r="E2066" t="s">
        <v>257</v>
      </c>
      <c r="F2066">
        <v>4</v>
      </c>
    </row>
    <row r="2067" spans="1:6" ht="13.2">
      <c r="A2067" t="s">
        <v>880</v>
      </c>
      <c r="B2067">
        <v>0</v>
      </c>
      <c r="C2067" s="44">
        <v>3000</v>
      </c>
      <c r="D2067" t="s">
        <v>291</v>
      </c>
      <c r="E2067" t="s">
        <v>257</v>
      </c>
      <c r="F2067">
        <v>4</v>
      </c>
    </row>
    <row r="2068" spans="1:6" ht="13.2">
      <c r="A2068" t="s">
        <v>3790</v>
      </c>
      <c r="B2068">
        <v>0</v>
      </c>
      <c r="C2068" s="44">
        <v>1500</v>
      </c>
      <c r="D2068" t="s">
        <v>291</v>
      </c>
      <c r="E2068" t="s">
        <v>256</v>
      </c>
      <c r="F2068" t="s">
        <v>280</v>
      </c>
    </row>
    <row r="2069" spans="1:6" ht="13.2">
      <c r="A2069" t="s">
        <v>3789</v>
      </c>
      <c r="B2069">
        <v>0</v>
      </c>
      <c r="C2069" s="44">
        <v>1500</v>
      </c>
      <c r="D2069" t="s">
        <v>291</v>
      </c>
      <c r="E2069" t="s">
        <v>256</v>
      </c>
      <c r="F2069" t="s">
        <v>280</v>
      </c>
    </row>
    <row r="2070" spans="1:6" ht="13.2">
      <c r="A2070" t="s">
        <v>3791</v>
      </c>
      <c r="B2070">
        <v>0</v>
      </c>
      <c r="C2070" s="44">
        <v>1500</v>
      </c>
      <c r="D2070" t="s">
        <v>291</v>
      </c>
      <c r="E2070" t="s">
        <v>256</v>
      </c>
      <c r="F2070" t="s">
        <v>280</v>
      </c>
    </row>
    <row r="2071" spans="1:6" ht="13.2">
      <c r="A2071" t="s">
        <v>3788</v>
      </c>
      <c r="B2071">
        <v>0</v>
      </c>
      <c r="C2071" s="44">
        <v>1500</v>
      </c>
      <c r="D2071" t="s">
        <v>291</v>
      </c>
      <c r="E2071" t="s">
        <v>256</v>
      </c>
      <c r="F2071" t="s">
        <v>280</v>
      </c>
    </row>
    <row r="2072" spans="1:6" ht="13.2">
      <c r="A2072" t="s">
        <v>3743</v>
      </c>
      <c r="B2072">
        <v>0</v>
      </c>
      <c r="C2072" s="44">
        <v>3000</v>
      </c>
      <c r="D2072" t="s">
        <v>293</v>
      </c>
      <c r="E2072" t="s">
        <v>256</v>
      </c>
      <c r="F2072" t="s">
        <v>280</v>
      </c>
    </row>
    <row r="2073" spans="1:6" ht="13.2">
      <c r="A2073" t="s">
        <v>3747</v>
      </c>
      <c r="B2073">
        <v>0</v>
      </c>
      <c r="C2073" s="44">
        <v>3000</v>
      </c>
      <c r="D2073" t="s">
        <v>293</v>
      </c>
      <c r="E2073" t="s">
        <v>256</v>
      </c>
      <c r="F2073" t="s">
        <v>280</v>
      </c>
    </row>
    <row r="2074" spans="1:6" ht="13.2">
      <c r="A2074" t="s">
        <v>3753</v>
      </c>
      <c r="B2074">
        <v>0</v>
      </c>
      <c r="C2074" s="44">
        <v>3000</v>
      </c>
      <c r="D2074" t="s">
        <v>293</v>
      </c>
      <c r="E2074" t="s">
        <v>256</v>
      </c>
      <c r="F2074" t="s">
        <v>280</v>
      </c>
    </row>
    <row r="2075" spans="1:6" ht="13.2">
      <c r="A2075" t="s">
        <v>3736</v>
      </c>
      <c r="B2075">
        <v>0</v>
      </c>
      <c r="C2075" s="44">
        <v>3000</v>
      </c>
      <c r="D2075" t="s">
        <v>293</v>
      </c>
      <c r="E2075" t="s">
        <v>256</v>
      </c>
      <c r="F2075" t="s">
        <v>280</v>
      </c>
    </row>
    <row r="2076" spans="1:6" ht="13.2">
      <c r="A2076" t="s">
        <v>3740</v>
      </c>
      <c r="B2076">
        <v>0</v>
      </c>
      <c r="C2076" s="44">
        <v>3000</v>
      </c>
      <c r="D2076" t="s">
        <v>293</v>
      </c>
      <c r="E2076" t="s">
        <v>256</v>
      </c>
      <c r="F2076" t="s">
        <v>280</v>
      </c>
    </row>
    <row r="2077" spans="1:6" ht="13.2">
      <c r="A2077" t="s">
        <v>3752</v>
      </c>
      <c r="B2077">
        <v>0</v>
      </c>
      <c r="C2077" s="44">
        <v>3000</v>
      </c>
      <c r="D2077" t="s">
        <v>293</v>
      </c>
      <c r="E2077" t="s">
        <v>256</v>
      </c>
      <c r="F2077" t="s">
        <v>280</v>
      </c>
    </row>
    <row r="2078" spans="1:6" ht="13.2">
      <c r="A2078" t="s">
        <v>3741</v>
      </c>
      <c r="B2078">
        <v>0</v>
      </c>
      <c r="C2078" s="44">
        <v>3000</v>
      </c>
      <c r="D2078" t="s">
        <v>293</v>
      </c>
      <c r="E2078" t="s">
        <v>256</v>
      </c>
      <c r="F2078" t="s">
        <v>280</v>
      </c>
    </row>
    <row r="2079" spans="1:6" ht="13.2">
      <c r="A2079" t="s">
        <v>3754</v>
      </c>
      <c r="B2079">
        <v>0</v>
      </c>
      <c r="C2079" s="44">
        <v>3000</v>
      </c>
      <c r="D2079" t="s">
        <v>293</v>
      </c>
      <c r="E2079" t="s">
        <v>256</v>
      </c>
      <c r="F2079" t="s">
        <v>280</v>
      </c>
    </row>
    <row r="2080" spans="1:6" ht="13.2">
      <c r="A2080" t="s">
        <v>3742</v>
      </c>
      <c r="B2080">
        <v>0</v>
      </c>
      <c r="C2080" s="44">
        <v>3000</v>
      </c>
      <c r="D2080" t="s">
        <v>293</v>
      </c>
      <c r="E2080" t="s">
        <v>256</v>
      </c>
      <c r="F2080" t="s">
        <v>280</v>
      </c>
    </row>
    <row r="2081" spans="1:6" ht="13.2">
      <c r="A2081" t="s">
        <v>3738</v>
      </c>
      <c r="B2081">
        <v>0</v>
      </c>
      <c r="C2081" s="44">
        <v>3000</v>
      </c>
      <c r="D2081" t="s">
        <v>293</v>
      </c>
      <c r="E2081" t="s">
        <v>256</v>
      </c>
      <c r="F2081" t="s">
        <v>280</v>
      </c>
    </row>
    <row r="2082" spans="1:6" ht="13.2">
      <c r="A2082" t="s">
        <v>3737</v>
      </c>
      <c r="B2082">
        <v>0</v>
      </c>
      <c r="C2082" s="44">
        <v>3000</v>
      </c>
      <c r="D2082" t="s">
        <v>293</v>
      </c>
      <c r="E2082" t="s">
        <v>256</v>
      </c>
      <c r="F2082" t="s">
        <v>280</v>
      </c>
    </row>
    <row r="2083" spans="1:6" ht="13.2">
      <c r="A2083" t="s">
        <v>3745</v>
      </c>
      <c r="B2083">
        <v>0</v>
      </c>
      <c r="C2083" s="44">
        <v>3000</v>
      </c>
      <c r="D2083" t="s">
        <v>293</v>
      </c>
      <c r="E2083" t="s">
        <v>256</v>
      </c>
      <c r="F2083" t="s">
        <v>280</v>
      </c>
    </row>
    <row r="2084" spans="1:6" ht="13.2">
      <c r="A2084" t="s">
        <v>3734</v>
      </c>
      <c r="B2084">
        <v>0</v>
      </c>
      <c r="C2084" s="44">
        <v>3000</v>
      </c>
      <c r="D2084" t="s">
        <v>293</v>
      </c>
      <c r="E2084" t="s">
        <v>256</v>
      </c>
      <c r="F2084" t="s">
        <v>280</v>
      </c>
    </row>
    <row r="2085" spans="1:6" ht="13.2">
      <c r="A2085" t="s">
        <v>3748</v>
      </c>
      <c r="B2085">
        <v>0</v>
      </c>
      <c r="C2085" s="44">
        <v>3000</v>
      </c>
      <c r="D2085" t="s">
        <v>293</v>
      </c>
      <c r="E2085" t="s">
        <v>256</v>
      </c>
      <c r="F2085" t="s">
        <v>280</v>
      </c>
    </row>
    <row r="2086" spans="1:6" ht="13.2">
      <c r="A2086" t="s">
        <v>3733</v>
      </c>
      <c r="B2086">
        <v>0</v>
      </c>
      <c r="C2086" s="44">
        <v>3000</v>
      </c>
      <c r="D2086" t="s">
        <v>293</v>
      </c>
      <c r="E2086" t="s">
        <v>256</v>
      </c>
      <c r="F2086" t="s">
        <v>280</v>
      </c>
    </row>
    <row r="2087" spans="1:6" ht="13.2">
      <c r="A2087" t="s">
        <v>3746</v>
      </c>
      <c r="B2087">
        <v>0</v>
      </c>
      <c r="C2087" s="44">
        <v>3000</v>
      </c>
      <c r="D2087" t="s">
        <v>293</v>
      </c>
      <c r="E2087" t="s">
        <v>256</v>
      </c>
      <c r="F2087" t="s">
        <v>280</v>
      </c>
    </row>
    <row r="2088" spans="1:6" ht="13.2">
      <c r="A2088" t="s">
        <v>3735</v>
      </c>
      <c r="B2088">
        <v>0</v>
      </c>
      <c r="C2088" s="44">
        <v>3000</v>
      </c>
      <c r="D2088" t="s">
        <v>293</v>
      </c>
      <c r="E2088" t="s">
        <v>256</v>
      </c>
      <c r="F2088" t="s">
        <v>280</v>
      </c>
    </row>
    <row r="2089" spans="1:6" ht="13.2">
      <c r="A2089" t="s">
        <v>3744</v>
      </c>
      <c r="B2089">
        <v>0</v>
      </c>
      <c r="C2089" s="44">
        <v>3000</v>
      </c>
      <c r="D2089" t="s">
        <v>293</v>
      </c>
      <c r="E2089" t="s">
        <v>256</v>
      </c>
      <c r="F2089" t="s">
        <v>280</v>
      </c>
    </row>
    <row r="2090" spans="1:6" ht="13.2">
      <c r="A2090" t="s">
        <v>3750</v>
      </c>
      <c r="B2090">
        <v>0</v>
      </c>
      <c r="C2090" s="44">
        <v>3000</v>
      </c>
      <c r="D2090" t="s">
        <v>293</v>
      </c>
      <c r="E2090" t="s">
        <v>256</v>
      </c>
      <c r="F2090" t="s">
        <v>280</v>
      </c>
    </row>
    <row r="2091" spans="1:6" ht="13.2">
      <c r="A2091" t="s">
        <v>3749</v>
      </c>
      <c r="B2091">
        <v>0</v>
      </c>
      <c r="C2091" s="44">
        <v>3000</v>
      </c>
      <c r="D2091" t="s">
        <v>293</v>
      </c>
      <c r="E2091" t="s">
        <v>256</v>
      </c>
      <c r="F2091" t="s">
        <v>280</v>
      </c>
    </row>
    <row r="2092" spans="1:6" ht="13.2">
      <c r="A2092" t="s">
        <v>3751</v>
      </c>
      <c r="B2092">
        <v>0</v>
      </c>
      <c r="C2092" s="44">
        <v>3000</v>
      </c>
      <c r="D2092" t="s">
        <v>293</v>
      </c>
      <c r="E2092" t="s">
        <v>256</v>
      </c>
      <c r="F2092" t="s">
        <v>280</v>
      </c>
    </row>
    <row r="2093" spans="1:6" ht="13.2">
      <c r="A2093" t="s">
        <v>3755</v>
      </c>
      <c r="B2093">
        <v>0</v>
      </c>
      <c r="C2093" s="44">
        <v>3000</v>
      </c>
      <c r="D2093" t="s">
        <v>293</v>
      </c>
      <c r="E2093" t="s">
        <v>256</v>
      </c>
      <c r="F2093" t="s">
        <v>280</v>
      </c>
    </row>
    <row r="2094" spans="1:6" ht="13.2">
      <c r="A2094" t="s">
        <v>3739</v>
      </c>
      <c r="B2094">
        <v>0</v>
      </c>
      <c r="C2094" s="44">
        <v>3000</v>
      </c>
      <c r="D2094" t="s">
        <v>293</v>
      </c>
      <c r="E2094" t="s">
        <v>256</v>
      </c>
      <c r="F2094" t="s">
        <v>280</v>
      </c>
    </row>
    <row r="2095" spans="1:6" ht="13.2">
      <c r="A2095" t="s">
        <v>3732</v>
      </c>
      <c r="B2095">
        <v>0</v>
      </c>
      <c r="C2095" s="44">
        <v>3000</v>
      </c>
      <c r="D2095" t="s">
        <v>293</v>
      </c>
      <c r="E2095" t="s">
        <v>256</v>
      </c>
      <c r="F2095" t="s">
        <v>280</v>
      </c>
    </row>
    <row r="2096" spans="1:6" ht="13.2">
      <c r="A2096" t="s">
        <v>3767</v>
      </c>
      <c r="B2096">
        <v>0</v>
      </c>
      <c r="C2096" s="44">
        <v>3000</v>
      </c>
      <c r="D2096" t="s">
        <v>291</v>
      </c>
      <c r="E2096" t="s">
        <v>256</v>
      </c>
      <c r="F2096" t="s">
        <v>280</v>
      </c>
    </row>
    <row r="2097" spans="1:6" ht="13.2">
      <c r="A2097" t="s">
        <v>3771</v>
      </c>
      <c r="B2097">
        <v>0</v>
      </c>
      <c r="C2097" s="44">
        <v>3000</v>
      </c>
      <c r="D2097" t="s">
        <v>291</v>
      </c>
      <c r="E2097" t="s">
        <v>256</v>
      </c>
      <c r="F2097" t="s">
        <v>280</v>
      </c>
    </row>
    <row r="2098" spans="1:6" ht="13.2">
      <c r="A2098" t="s">
        <v>3777</v>
      </c>
      <c r="B2098">
        <v>0</v>
      </c>
      <c r="C2098" s="44">
        <v>3000</v>
      </c>
      <c r="D2098" t="s">
        <v>291</v>
      </c>
      <c r="E2098" t="s">
        <v>256</v>
      </c>
      <c r="F2098" t="s">
        <v>280</v>
      </c>
    </row>
    <row r="2099" spans="1:6" ht="13.2">
      <c r="A2099" t="s">
        <v>3760</v>
      </c>
      <c r="B2099">
        <v>0</v>
      </c>
      <c r="C2099" s="44">
        <v>3000</v>
      </c>
      <c r="D2099" t="s">
        <v>291</v>
      </c>
      <c r="E2099" t="s">
        <v>256</v>
      </c>
      <c r="F2099" t="s">
        <v>280</v>
      </c>
    </row>
    <row r="2100" spans="1:6" ht="13.2">
      <c r="A2100" t="s">
        <v>3764</v>
      </c>
      <c r="B2100">
        <v>0</v>
      </c>
      <c r="C2100" s="44">
        <v>3000</v>
      </c>
      <c r="D2100" t="s">
        <v>291</v>
      </c>
      <c r="E2100" t="s">
        <v>256</v>
      </c>
      <c r="F2100" t="s">
        <v>280</v>
      </c>
    </row>
    <row r="2101" spans="1:6" ht="13.2">
      <c r="A2101" t="s">
        <v>3776</v>
      </c>
      <c r="B2101">
        <v>0</v>
      </c>
      <c r="C2101" s="44">
        <v>3000</v>
      </c>
      <c r="D2101" t="s">
        <v>291</v>
      </c>
      <c r="E2101" t="s">
        <v>256</v>
      </c>
      <c r="F2101" t="s">
        <v>280</v>
      </c>
    </row>
    <row r="2102" spans="1:6" ht="13.2">
      <c r="A2102" t="s">
        <v>3765</v>
      </c>
      <c r="B2102">
        <v>0</v>
      </c>
      <c r="C2102" s="44">
        <v>3000</v>
      </c>
      <c r="D2102" t="s">
        <v>291</v>
      </c>
      <c r="E2102" t="s">
        <v>256</v>
      </c>
      <c r="F2102" t="s">
        <v>280</v>
      </c>
    </row>
    <row r="2103" spans="1:6" ht="13.2">
      <c r="A2103" t="s">
        <v>3778</v>
      </c>
      <c r="B2103">
        <v>0</v>
      </c>
      <c r="C2103" s="44">
        <v>3000</v>
      </c>
      <c r="D2103" t="s">
        <v>291</v>
      </c>
      <c r="E2103" t="s">
        <v>256</v>
      </c>
      <c r="F2103" t="s">
        <v>280</v>
      </c>
    </row>
    <row r="2104" spans="1:6" ht="13.2">
      <c r="A2104" t="s">
        <v>3766</v>
      </c>
      <c r="B2104">
        <v>0</v>
      </c>
      <c r="C2104" s="44">
        <v>3000</v>
      </c>
      <c r="D2104" t="s">
        <v>291</v>
      </c>
      <c r="E2104" t="s">
        <v>256</v>
      </c>
      <c r="F2104" t="s">
        <v>280</v>
      </c>
    </row>
    <row r="2105" spans="1:6" ht="13.2">
      <c r="A2105" t="s">
        <v>3762</v>
      </c>
      <c r="B2105">
        <v>0</v>
      </c>
      <c r="C2105" s="44">
        <v>3000</v>
      </c>
      <c r="D2105" t="s">
        <v>291</v>
      </c>
      <c r="E2105" t="s">
        <v>256</v>
      </c>
      <c r="F2105" t="s">
        <v>280</v>
      </c>
    </row>
    <row r="2106" spans="1:6" ht="13.2">
      <c r="A2106" t="s">
        <v>3761</v>
      </c>
      <c r="B2106">
        <v>0</v>
      </c>
      <c r="C2106" s="44">
        <v>3000</v>
      </c>
      <c r="D2106" t="s">
        <v>291</v>
      </c>
      <c r="E2106" t="s">
        <v>256</v>
      </c>
      <c r="F2106" t="s">
        <v>280</v>
      </c>
    </row>
    <row r="2107" spans="1:6" ht="13.2">
      <c r="A2107" t="s">
        <v>3769</v>
      </c>
      <c r="B2107">
        <v>0</v>
      </c>
      <c r="C2107" s="44">
        <v>3000</v>
      </c>
      <c r="D2107" t="s">
        <v>291</v>
      </c>
      <c r="E2107" t="s">
        <v>256</v>
      </c>
      <c r="F2107" t="s">
        <v>280</v>
      </c>
    </row>
    <row r="2108" spans="1:6" ht="13.2">
      <c r="A2108" t="s">
        <v>3758</v>
      </c>
      <c r="B2108">
        <v>0</v>
      </c>
      <c r="C2108" s="44">
        <v>3000</v>
      </c>
      <c r="D2108" t="s">
        <v>291</v>
      </c>
      <c r="E2108" t="s">
        <v>256</v>
      </c>
      <c r="F2108" t="s">
        <v>280</v>
      </c>
    </row>
    <row r="2109" spans="1:6" ht="13.2">
      <c r="A2109" t="s">
        <v>3772</v>
      </c>
      <c r="B2109">
        <v>0</v>
      </c>
      <c r="C2109" s="44">
        <v>3000</v>
      </c>
      <c r="D2109" t="s">
        <v>291</v>
      </c>
      <c r="E2109" t="s">
        <v>256</v>
      </c>
      <c r="F2109" t="s">
        <v>280</v>
      </c>
    </row>
    <row r="2110" spans="1:6" ht="13.2">
      <c r="A2110" t="s">
        <v>3757</v>
      </c>
      <c r="B2110">
        <v>0</v>
      </c>
      <c r="C2110" s="44">
        <v>3000</v>
      </c>
      <c r="D2110" t="s">
        <v>291</v>
      </c>
      <c r="E2110" t="s">
        <v>256</v>
      </c>
      <c r="F2110" t="s">
        <v>280</v>
      </c>
    </row>
    <row r="2111" spans="1:6" ht="13.2">
      <c r="A2111" t="s">
        <v>3770</v>
      </c>
      <c r="B2111">
        <v>0</v>
      </c>
      <c r="C2111" s="44">
        <v>3000</v>
      </c>
      <c r="D2111" t="s">
        <v>291</v>
      </c>
      <c r="E2111" t="s">
        <v>256</v>
      </c>
      <c r="F2111" t="s">
        <v>280</v>
      </c>
    </row>
    <row r="2112" spans="1:6" ht="13.2">
      <c r="A2112" t="s">
        <v>3759</v>
      </c>
      <c r="B2112">
        <v>0</v>
      </c>
      <c r="C2112" s="44">
        <v>3000</v>
      </c>
      <c r="D2112" t="s">
        <v>291</v>
      </c>
      <c r="E2112" t="s">
        <v>256</v>
      </c>
      <c r="F2112" t="s">
        <v>280</v>
      </c>
    </row>
    <row r="2113" spans="1:6" ht="13.2">
      <c r="A2113" t="s">
        <v>3768</v>
      </c>
      <c r="B2113">
        <v>0</v>
      </c>
      <c r="C2113" s="44">
        <v>3000</v>
      </c>
      <c r="D2113" t="s">
        <v>291</v>
      </c>
      <c r="E2113" t="s">
        <v>256</v>
      </c>
      <c r="F2113" t="s">
        <v>280</v>
      </c>
    </row>
    <row r="2114" spans="1:6" ht="13.2">
      <c r="A2114" t="s">
        <v>3774</v>
      </c>
      <c r="B2114">
        <v>0</v>
      </c>
      <c r="C2114" s="44">
        <v>3000</v>
      </c>
      <c r="D2114" t="s">
        <v>291</v>
      </c>
      <c r="E2114" t="s">
        <v>256</v>
      </c>
      <c r="F2114" t="s">
        <v>280</v>
      </c>
    </row>
    <row r="2115" spans="1:6" ht="13.2">
      <c r="A2115" t="s">
        <v>3773</v>
      </c>
      <c r="B2115">
        <v>0</v>
      </c>
      <c r="C2115" s="44">
        <v>3000</v>
      </c>
      <c r="D2115" t="s">
        <v>291</v>
      </c>
      <c r="E2115" t="s">
        <v>256</v>
      </c>
      <c r="F2115" t="s">
        <v>280</v>
      </c>
    </row>
    <row r="2116" spans="1:6" ht="13.2">
      <c r="A2116" t="s">
        <v>3775</v>
      </c>
      <c r="B2116">
        <v>0</v>
      </c>
      <c r="C2116" s="44">
        <v>3000</v>
      </c>
      <c r="D2116" t="s">
        <v>291</v>
      </c>
      <c r="E2116" t="s">
        <v>256</v>
      </c>
      <c r="F2116" t="s">
        <v>280</v>
      </c>
    </row>
    <row r="2117" spans="1:6" ht="13.2">
      <c r="A2117" t="s">
        <v>3779</v>
      </c>
      <c r="B2117">
        <v>0</v>
      </c>
      <c r="C2117" s="44">
        <v>3000</v>
      </c>
      <c r="D2117" t="s">
        <v>291</v>
      </c>
      <c r="E2117" t="s">
        <v>256</v>
      </c>
      <c r="F2117" t="s">
        <v>280</v>
      </c>
    </row>
    <row r="2118" spans="1:6" ht="13.2">
      <c r="A2118" t="s">
        <v>3763</v>
      </c>
      <c r="B2118">
        <v>0</v>
      </c>
      <c r="C2118" s="44">
        <v>3000</v>
      </c>
      <c r="D2118" t="s">
        <v>291</v>
      </c>
      <c r="E2118" t="s">
        <v>256</v>
      </c>
      <c r="F2118" t="s">
        <v>280</v>
      </c>
    </row>
    <row r="2119" spans="1:6" ht="13.2">
      <c r="A2119" t="s">
        <v>3756</v>
      </c>
      <c r="B2119">
        <v>0</v>
      </c>
      <c r="C2119" s="44">
        <v>3000</v>
      </c>
      <c r="D2119" t="s">
        <v>291</v>
      </c>
      <c r="E2119" t="s">
        <v>256</v>
      </c>
      <c r="F2119" t="s">
        <v>280</v>
      </c>
    </row>
    <row r="2120" spans="1:6" ht="13.2">
      <c r="A2120" t="s">
        <v>3782</v>
      </c>
      <c r="B2120">
        <v>0</v>
      </c>
      <c r="C2120" s="44">
        <v>3200</v>
      </c>
      <c r="D2120" t="s">
        <v>293</v>
      </c>
      <c r="E2120" t="s">
        <v>256</v>
      </c>
      <c r="F2120" t="s">
        <v>280</v>
      </c>
    </row>
    <row r="2121" spans="1:6" ht="13.2">
      <c r="A2121" t="s">
        <v>3781</v>
      </c>
      <c r="B2121">
        <v>0</v>
      </c>
      <c r="C2121" s="44">
        <v>3200</v>
      </c>
      <c r="D2121" t="s">
        <v>293</v>
      </c>
      <c r="E2121" t="s">
        <v>256</v>
      </c>
      <c r="F2121" t="s">
        <v>280</v>
      </c>
    </row>
    <row r="2122" spans="1:6" ht="13.2">
      <c r="A2122" t="s">
        <v>3783</v>
      </c>
      <c r="B2122">
        <v>0</v>
      </c>
      <c r="C2122" s="44">
        <v>3200</v>
      </c>
      <c r="D2122" t="s">
        <v>293</v>
      </c>
      <c r="E2122" t="s">
        <v>256</v>
      </c>
      <c r="F2122" t="s">
        <v>280</v>
      </c>
    </row>
    <row r="2123" spans="1:6" ht="13.2">
      <c r="A2123" t="s">
        <v>3780</v>
      </c>
      <c r="B2123">
        <v>0</v>
      </c>
      <c r="C2123" s="44">
        <v>3200</v>
      </c>
      <c r="D2123" t="s">
        <v>293</v>
      </c>
      <c r="E2123" t="s">
        <v>256</v>
      </c>
      <c r="F2123" t="s">
        <v>280</v>
      </c>
    </row>
    <row r="2124" spans="1:6" ht="13.2">
      <c r="A2124" t="s">
        <v>3786</v>
      </c>
      <c r="B2124">
        <v>0</v>
      </c>
      <c r="C2124" s="44">
        <v>3200</v>
      </c>
      <c r="D2124" t="s">
        <v>291</v>
      </c>
      <c r="E2124" t="s">
        <v>256</v>
      </c>
      <c r="F2124" t="s">
        <v>280</v>
      </c>
    </row>
    <row r="2125" spans="1:6" ht="13.2">
      <c r="A2125" t="s">
        <v>3785</v>
      </c>
      <c r="B2125">
        <v>0</v>
      </c>
      <c r="C2125" s="44">
        <v>3200</v>
      </c>
      <c r="D2125" t="s">
        <v>291</v>
      </c>
      <c r="E2125" t="s">
        <v>256</v>
      </c>
      <c r="F2125" t="s">
        <v>280</v>
      </c>
    </row>
    <row r="2126" spans="1:6" ht="13.2">
      <c r="A2126" t="s">
        <v>3787</v>
      </c>
      <c r="B2126">
        <v>0</v>
      </c>
      <c r="C2126" s="44">
        <v>3200</v>
      </c>
      <c r="D2126" t="s">
        <v>291</v>
      </c>
      <c r="E2126" t="s">
        <v>256</v>
      </c>
      <c r="F2126" t="s">
        <v>280</v>
      </c>
    </row>
    <row r="2127" spans="1:6" ht="13.2">
      <c r="A2127" t="s">
        <v>3784</v>
      </c>
      <c r="B2127">
        <v>0</v>
      </c>
      <c r="C2127" s="44">
        <v>3200</v>
      </c>
      <c r="D2127" t="s">
        <v>291</v>
      </c>
      <c r="E2127" t="s">
        <v>256</v>
      </c>
      <c r="F2127" t="s">
        <v>280</v>
      </c>
    </row>
    <row r="2128" spans="1:6" ht="13.2">
      <c r="A2128" t="s">
        <v>5068</v>
      </c>
      <c r="B2128">
        <v>0</v>
      </c>
      <c r="C2128" s="44">
        <v>1400</v>
      </c>
      <c r="D2128" t="s">
        <v>291</v>
      </c>
      <c r="E2128" t="s">
        <v>5069</v>
      </c>
      <c r="F2128">
        <v>4</v>
      </c>
    </row>
    <row r="2129" spans="1:6" ht="13.2">
      <c r="A2129" t="s">
        <v>5070</v>
      </c>
      <c r="B2129">
        <v>0</v>
      </c>
      <c r="C2129" s="44">
        <v>1400</v>
      </c>
      <c r="D2129" t="s">
        <v>291</v>
      </c>
      <c r="E2129" t="s">
        <v>5069</v>
      </c>
      <c r="F2129">
        <v>4</v>
      </c>
    </row>
    <row r="2130" spans="1:6" ht="13.2">
      <c r="A2130" t="s">
        <v>5071</v>
      </c>
      <c r="B2130">
        <v>0</v>
      </c>
      <c r="C2130" s="44">
        <v>1400</v>
      </c>
      <c r="D2130" t="s">
        <v>291</v>
      </c>
      <c r="E2130" t="s">
        <v>5069</v>
      </c>
      <c r="F2130">
        <v>4</v>
      </c>
    </row>
    <row r="2131" spans="1:6" ht="13.2">
      <c r="A2131" t="s">
        <v>5072</v>
      </c>
      <c r="B2131">
        <v>0</v>
      </c>
      <c r="C2131" s="44">
        <v>1400</v>
      </c>
      <c r="D2131" t="s">
        <v>291</v>
      </c>
      <c r="E2131" t="s">
        <v>5069</v>
      </c>
      <c r="F2131">
        <v>4</v>
      </c>
    </row>
    <row r="2132" spans="1:6" ht="13.2">
      <c r="A2132" t="s">
        <v>5073</v>
      </c>
      <c r="B2132">
        <v>0</v>
      </c>
      <c r="C2132" s="44">
        <v>1400</v>
      </c>
      <c r="D2132" t="s">
        <v>291</v>
      </c>
      <c r="E2132" t="s">
        <v>5069</v>
      </c>
      <c r="F2132">
        <v>4</v>
      </c>
    </row>
    <row r="2133" spans="1:6" ht="13.2">
      <c r="A2133" t="s">
        <v>1541</v>
      </c>
      <c r="B2133">
        <v>0</v>
      </c>
      <c r="C2133" s="44">
        <v>3200</v>
      </c>
      <c r="D2133" t="s">
        <v>293</v>
      </c>
      <c r="E2133" t="s">
        <v>653</v>
      </c>
      <c r="F2133">
        <v>4</v>
      </c>
    </row>
    <row r="2134" spans="1:6" ht="13.2">
      <c r="A2134" t="s">
        <v>1538</v>
      </c>
      <c r="B2134">
        <v>0</v>
      </c>
      <c r="C2134" s="44">
        <v>3200</v>
      </c>
      <c r="D2134" t="s">
        <v>293</v>
      </c>
      <c r="E2134" t="s">
        <v>653</v>
      </c>
      <c r="F2134">
        <v>4</v>
      </c>
    </row>
    <row r="2135" spans="1:6" ht="13.2">
      <c r="A2135" t="s">
        <v>1537</v>
      </c>
      <c r="B2135">
        <v>0</v>
      </c>
      <c r="C2135" s="44">
        <v>3200</v>
      </c>
      <c r="D2135" t="s">
        <v>293</v>
      </c>
      <c r="E2135" t="s">
        <v>653</v>
      </c>
      <c r="F2135">
        <v>4</v>
      </c>
    </row>
    <row r="2136" spans="1:6" ht="13.2">
      <c r="A2136" t="s">
        <v>1543</v>
      </c>
      <c r="B2136">
        <v>0</v>
      </c>
      <c r="C2136" s="44">
        <v>3200</v>
      </c>
      <c r="D2136" t="s">
        <v>293</v>
      </c>
      <c r="E2136" t="s">
        <v>653</v>
      </c>
      <c r="F2136">
        <v>4</v>
      </c>
    </row>
    <row r="2137" spans="1:6" ht="13.2">
      <c r="A2137" t="s">
        <v>1540</v>
      </c>
      <c r="B2137">
        <v>0</v>
      </c>
      <c r="C2137" s="44">
        <v>3200</v>
      </c>
      <c r="D2137" t="s">
        <v>293</v>
      </c>
      <c r="E2137" t="s">
        <v>653</v>
      </c>
      <c r="F2137">
        <v>4</v>
      </c>
    </row>
    <row r="2138" spans="1:6" ht="13.2">
      <c r="A2138" t="s">
        <v>1544</v>
      </c>
      <c r="B2138">
        <v>0</v>
      </c>
      <c r="C2138" s="44">
        <v>3200</v>
      </c>
      <c r="D2138" t="s">
        <v>293</v>
      </c>
      <c r="E2138" t="s">
        <v>653</v>
      </c>
      <c r="F2138">
        <v>4</v>
      </c>
    </row>
    <row r="2139" spans="1:6" ht="13.2">
      <c r="A2139" t="s">
        <v>1546</v>
      </c>
      <c r="B2139">
        <v>0</v>
      </c>
      <c r="C2139" s="44">
        <v>3200</v>
      </c>
      <c r="D2139" t="s">
        <v>293</v>
      </c>
      <c r="E2139" t="s">
        <v>653</v>
      </c>
      <c r="F2139">
        <v>4</v>
      </c>
    </row>
    <row r="2140" spans="1:6" ht="13.2">
      <c r="A2140" t="s">
        <v>1545</v>
      </c>
      <c r="B2140">
        <v>0</v>
      </c>
      <c r="C2140" s="44">
        <v>3200</v>
      </c>
      <c r="D2140" t="s">
        <v>293</v>
      </c>
      <c r="E2140" t="s">
        <v>653</v>
      </c>
      <c r="F2140">
        <v>4</v>
      </c>
    </row>
    <row r="2141" spans="1:6" ht="13.2">
      <c r="A2141" t="s">
        <v>1539</v>
      </c>
      <c r="B2141">
        <v>0</v>
      </c>
      <c r="C2141" s="44">
        <v>3200</v>
      </c>
      <c r="D2141" t="s">
        <v>293</v>
      </c>
      <c r="E2141" t="s">
        <v>653</v>
      </c>
      <c r="F2141">
        <v>4</v>
      </c>
    </row>
    <row r="2142" spans="1:6" ht="13.2">
      <c r="A2142" t="s">
        <v>1547</v>
      </c>
      <c r="B2142">
        <v>0</v>
      </c>
      <c r="C2142" s="44">
        <v>3200</v>
      </c>
      <c r="D2142" t="s">
        <v>293</v>
      </c>
      <c r="E2142" t="s">
        <v>653</v>
      </c>
      <c r="F2142">
        <v>4</v>
      </c>
    </row>
    <row r="2143" spans="1:6" ht="13.2">
      <c r="A2143" t="s">
        <v>1542</v>
      </c>
      <c r="B2143">
        <v>0</v>
      </c>
      <c r="C2143" s="44">
        <v>3200</v>
      </c>
      <c r="D2143" t="s">
        <v>293</v>
      </c>
      <c r="E2143" t="s">
        <v>653</v>
      </c>
      <c r="F2143">
        <v>4</v>
      </c>
    </row>
    <row r="2144" spans="1:6" ht="13.2">
      <c r="A2144" t="s">
        <v>5066</v>
      </c>
      <c r="B2144">
        <v>0</v>
      </c>
      <c r="C2144" s="44">
        <v>1400</v>
      </c>
      <c r="D2144" t="s">
        <v>291</v>
      </c>
      <c r="E2144" t="s">
        <v>5063</v>
      </c>
      <c r="F2144">
        <v>4</v>
      </c>
    </row>
    <row r="2145" spans="1:6" ht="13.2">
      <c r="A2145" t="s">
        <v>5065</v>
      </c>
      <c r="B2145">
        <v>0</v>
      </c>
      <c r="C2145" s="44">
        <v>1400</v>
      </c>
      <c r="D2145" t="s">
        <v>291</v>
      </c>
      <c r="E2145" t="s">
        <v>5063</v>
      </c>
      <c r="F2145">
        <v>4</v>
      </c>
    </row>
    <row r="2146" spans="1:6" ht="13.2">
      <c r="A2146" t="s">
        <v>5062</v>
      </c>
      <c r="B2146">
        <v>0</v>
      </c>
      <c r="C2146" s="44">
        <v>1400</v>
      </c>
      <c r="D2146" t="s">
        <v>291</v>
      </c>
      <c r="E2146" t="s">
        <v>5063</v>
      </c>
      <c r="F2146">
        <v>4</v>
      </c>
    </row>
    <row r="2147" spans="1:6" ht="13.2">
      <c r="A2147" t="s">
        <v>5064</v>
      </c>
      <c r="B2147">
        <v>0</v>
      </c>
      <c r="C2147" s="44">
        <v>1400</v>
      </c>
      <c r="D2147" t="s">
        <v>291</v>
      </c>
      <c r="E2147" t="s">
        <v>5063</v>
      </c>
      <c r="F2147">
        <v>4</v>
      </c>
    </row>
    <row r="2148" spans="1:6" ht="13.2">
      <c r="A2148" t="s">
        <v>5067</v>
      </c>
      <c r="B2148">
        <v>0</v>
      </c>
      <c r="C2148" s="44">
        <v>1400</v>
      </c>
      <c r="D2148" t="s">
        <v>291</v>
      </c>
      <c r="E2148" t="s">
        <v>5063</v>
      </c>
      <c r="F2148">
        <v>4</v>
      </c>
    </row>
    <row r="2149" spans="1:6" ht="13.2">
      <c r="A2149" t="s">
        <v>2980</v>
      </c>
      <c r="B2149">
        <v>455</v>
      </c>
      <c r="C2149" s="44">
        <v>1400</v>
      </c>
      <c r="D2149" t="s">
        <v>291</v>
      </c>
      <c r="E2149" t="s">
        <v>630</v>
      </c>
      <c r="F2149">
        <v>4</v>
      </c>
    </row>
    <row r="2150" spans="1:6" ht="13.2">
      <c r="A2150" t="s">
        <v>2980</v>
      </c>
      <c r="B2150">
        <v>455</v>
      </c>
      <c r="C2150" s="44">
        <v>1400</v>
      </c>
      <c r="D2150" t="s">
        <v>291</v>
      </c>
      <c r="E2150" t="s">
        <v>630</v>
      </c>
      <c r="F2150">
        <v>4</v>
      </c>
    </row>
    <row r="2151" spans="1:6" ht="13.2">
      <c r="A2151" t="s">
        <v>2981</v>
      </c>
      <c r="B2151">
        <v>455</v>
      </c>
      <c r="C2151" s="44">
        <v>1400</v>
      </c>
      <c r="D2151" t="s">
        <v>291</v>
      </c>
      <c r="E2151" t="s">
        <v>630</v>
      </c>
      <c r="F2151">
        <v>4</v>
      </c>
    </row>
    <row r="2152" spans="1:6" ht="13.2">
      <c r="A2152" t="s">
        <v>2981</v>
      </c>
      <c r="B2152">
        <v>455</v>
      </c>
      <c r="C2152" s="44">
        <v>1400</v>
      </c>
      <c r="D2152" t="s">
        <v>291</v>
      </c>
      <c r="E2152" t="s">
        <v>630</v>
      </c>
      <c r="F2152">
        <v>4</v>
      </c>
    </row>
    <row r="2153" spans="1:6" ht="13.2">
      <c r="A2153" t="s">
        <v>2982</v>
      </c>
      <c r="B2153">
        <v>455</v>
      </c>
      <c r="C2153" s="44">
        <v>1400</v>
      </c>
      <c r="D2153" t="s">
        <v>291</v>
      </c>
      <c r="E2153" t="s">
        <v>630</v>
      </c>
      <c r="F2153">
        <v>4</v>
      </c>
    </row>
    <row r="2154" spans="1:6" ht="13.2">
      <c r="A2154" t="s">
        <v>2982</v>
      </c>
      <c r="B2154">
        <v>455</v>
      </c>
      <c r="C2154" s="44">
        <v>1400</v>
      </c>
      <c r="D2154" t="s">
        <v>291</v>
      </c>
      <c r="E2154" t="s">
        <v>630</v>
      </c>
      <c r="F2154">
        <v>4</v>
      </c>
    </row>
    <row r="2155" spans="1:6" ht="13.2">
      <c r="A2155" t="s">
        <v>2983</v>
      </c>
      <c r="B2155">
        <v>455</v>
      </c>
      <c r="C2155" s="44">
        <v>1400</v>
      </c>
      <c r="D2155" t="s">
        <v>291</v>
      </c>
      <c r="E2155" t="s">
        <v>630</v>
      </c>
      <c r="F2155">
        <v>4</v>
      </c>
    </row>
    <row r="2156" spans="1:6" ht="13.2">
      <c r="A2156" t="s">
        <v>2983</v>
      </c>
      <c r="B2156">
        <v>455</v>
      </c>
      <c r="C2156" s="44">
        <v>1400</v>
      </c>
      <c r="D2156" t="s">
        <v>291</v>
      </c>
      <c r="E2156" t="s">
        <v>630</v>
      </c>
      <c r="F2156">
        <v>4</v>
      </c>
    </row>
    <row r="2157" spans="1:6" ht="13.2">
      <c r="A2157" t="s">
        <v>2984</v>
      </c>
      <c r="B2157">
        <v>455</v>
      </c>
      <c r="C2157" s="44">
        <v>1400</v>
      </c>
      <c r="D2157" t="s">
        <v>291</v>
      </c>
      <c r="E2157" t="s">
        <v>630</v>
      </c>
      <c r="F2157">
        <v>4</v>
      </c>
    </row>
    <row r="2158" spans="1:6" ht="13.2">
      <c r="A2158" t="s">
        <v>2984</v>
      </c>
      <c r="B2158">
        <v>455</v>
      </c>
      <c r="C2158" s="44">
        <v>1400</v>
      </c>
      <c r="D2158" t="s">
        <v>291</v>
      </c>
      <c r="E2158" t="s">
        <v>630</v>
      </c>
      <c r="F2158">
        <v>4</v>
      </c>
    </row>
    <row r="2159" spans="1:6" ht="13.2">
      <c r="A2159" t="s">
        <v>2985</v>
      </c>
      <c r="B2159">
        <v>455</v>
      </c>
      <c r="C2159" s="44">
        <v>1400</v>
      </c>
      <c r="D2159" t="s">
        <v>291</v>
      </c>
      <c r="E2159" t="s">
        <v>630</v>
      </c>
      <c r="F2159">
        <v>4</v>
      </c>
    </row>
    <row r="2160" spans="1:6" ht="13.2">
      <c r="A2160" t="s">
        <v>2985</v>
      </c>
      <c r="B2160">
        <v>455</v>
      </c>
      <c r="C2160" s="44">
        <v>1400</v>
      </c>
      <c r="D2160" t="s">
        <v>291</v>
      </c>
      <c r="E2160" t="s">
        <v>630</v>
      </c>
      <c r="F2160">
        <v>4</v>
      </c>
    </row>
    <row r="2161" spans="1:6" ht="13.2">
      <c r="A2161" t="s">
        <v>2986</v>
      </c>
      <c r="B2161">
        <v>455</v>
      </c>
      <c r="C2161" s="44">
        <v>1400</v>
      </c>
      <c r="D2161" t="s">
        <v>291</v>
      </c>
      <c r="E2161" t="s">
        <v>630</v>
      </c>
      <c r="F2161">
        <v>4</v>
      </c>
    </row>
    <row r="2162" spans="1:6" ht="13.2">
      <c r="A2162" t="s">
        <v>2986</v>
      </c>
      <c r="B2162">
        <v>455</v>
      </c>
      <c r="C2162" s="44">
        <v>1400</v>
      </c>
      <c r="D2162" t="s">
        <v>291</v>
      </c>
      <c r="E2162" t="s">
        <v>630</v>
      </c>
      <c r="F2162">
        <v>4</v>
      </c>
    </row>
    <row r="2163" spans="1:6" ht="13.2">
      <c r="A2163" t="s">
        <v>2988</v>
      </c>
      <c r="B2163">
        <v>455</v>
      </c>
      <c r="C2163" s="44">
        <v>1400</v>
      </c>
      <c r="D2163" t="s">
        <v>291</v>
      </c>
      <c r="E2163" t="s">
        <v>630</v>
      </c>
      <c r="F2163">
        <v>4</v>
      </c>
    </row>
    <row r="2164" spans="1:6" ht="13.2">
      <c r="A2164" t="s">
        <v>2988</v>
      </c>
      <c r="B2164">
        <v>455</v>
      </c>
      <c r="C2164" s="44">
        <v>1400</v>
      </c>
      <c r="D2164" t="s">
        <v>291</v>
      </c>
      <c r="E2164" t="s">
        <v>630</v>
      </c>
      <c r="F2164">
        <v>4</v>
      </c>
    </row>
    <row r="2165" spans="1:6" ht="13.2">
      <c r="A2165" t="s">
        <v>2987</v>
      </c>
      <c r="B2165">
        <v>455</v>
      </c>
      <c r="C2165" s="44">
        <v>1400</v>
      </c>
      <c r="D2165" t="s">
        <v>291</v>
      </c>
      <c r="E2165" t="s">
        <v>630</v>
      </c>
      <c r="F2165">
        <v>4</v>
      </c>
    </row>
    <row r="2166" spans="1:6" ht="13.2">
      <c r="A2166" t="s">
        <v>2987</v>
      </c>
      <c r="B2166">
        <v>455</v>
      </c>
      <c r="C2166" s="44">
        <v>1400</v>
      </c>
      <c r="D2166" t="s">
        <v>291</v>
      </c>
      <c r="E2166" t="s">
        <v>630</v>
      </c>
      <c r="F2166">
        <v>4</v>
      </c>
    </row>
    <row r="2167" spans="1:6" ht="13.2">
      <c r="A2167" t="s">
        <v>5472</v>
      </c>
      <c r="B2167">
        <v>0</v>
      </c>
      <c r="C2167" s="44">
        <v>1380</v>
      </c>
      <c r="D2167" t="s">
        <v>291</v>
      </c>
      <c r="E2167" t="s">
        <v>5459</v>
      </c>
      <c r="F2167">
        <v>4</v>
      </c>
    </row>
    <row r="2168" spans="1:6" ht="13.2">
      <c r="A2168" t="s">
        <v>5470</v>
      </c>
      <c r="B2168">
        <v>0</v>
      </c>
      <c r="C2168" s="44">
        <v>1380</v>
      </c>
      <c r="D2168" t="s">
        <v>291</v>
      </c>
      <c r="E2168" t="s">
        <v>5459</v>
      </c>
      <c r="F2168">
        <v>4</v>
      </c>
    </row>
    <row r="2169" spans="1:6" ht="13.2">
      <c r="A2169" t="s">
        <v>5471</v>
      </c>
      <c r="B2169">
        <v>0</v>
      </c>
      <c r="C2169" s="44">
        <v>1380</v>
      </c>
      <c r="D2169" t="s">
        <v>291</v>
      </c>
      <c r="E2169" t="s">
        <v>5459</v>
      </c>
      <c r="F2169">
        <v>4</v>
      </c>
    </row>
    <row r="2170" spans="1:6" ht="13.2">
      <c r="A2170" t="s">
        <v>5468</v>
      </c>
      <c r="B2170">
        <v>0</v>
      </c>
      <c r="C2170" s="44">
        <v>1380</v>
      </c>
      <c r="D2170" t="s">
        <v>291</v>
      </c>
      <c r="E2170" t="s">
        <v>5459</v>
      </c>
      <c r="F2170">
        <v>4</v>
      </c>
    </row>
    <row r="2171" spans="1:6" ht="13.2">
      <c r="A2171" t="s">
        <v>5473</v>
      </c>
      <c r="B2171">
        <v>0</v>
      </c>
      <c r="C2171" s="44">
        <v>1380</v>
      </c>
      <c r="D2171" t="s">
        <v>291</v>
      </c>
      <c r="E2171" t="s">
        <v>5459</v>
      </c>
      <c r="F2171">
        <v>4</v>
      </c>
    </row>
    <row r="2172" spans="1:6" ht="13.2">
      <c r="A2172" t="s">
        <v>5467</v>
      </c>
      <c r="B2172">
        <v>0</v>
      </c>
      <c r="C2172" s="44">
        <v>1380</v>
      </c>
      <c r="D2172" t="s">
        <v>291</v>
      </c>
      <c r="E2172" t="s">
        <v>5459</v>
      </c>
      <c r="F2172">
        <v>4</v>
      </c>
    </row>
    <row r="2173" spans="1:6" ht="13.2">
      <c r="A2173" t="s">
        <v>5474</v>
      </c>
      <c r="B2173">
        <v>0</v>
      </c>
      <c r="C2173" s="44">
        <v>1380</v>
      </c>
      <c r="D2173" t="s">
        <v>291</v>
      </c>
      <c r="E2173" t="s">
        <v>5459</v>
      </c>
      <c r="F2173">
        <v>4</v>
      </c>
    </row>
    <row r="2174" spans="1:6" ht="13.2">
      <c r="A2174" t="s">
        <v>5469</v>
      </c>
      <c r="B2174">
        <v>0</v>
      </c>
      <c r="C2174" s="44">
        <v>1380</v>
      </c>
      <c r="D2174" t="s">
        <v>291</v>
      </c>
      <c r="E2174" t="s">
        <v>5459</v>
      </c>
      <c r="F2174">
        <v>4</v>
      </c>
    </row>
    <row r="2175" spans="1:6" ht="13.2">
      <c r="A2175" t="s">
        <v>4166</v>
      </c>
      <c r="B2175">
        <v>0</v>
      </c>
      <c r="C2175" s="44">
        <v>1400</v>
      </c>
      <c r="D2175" t="s">
        <v>291</v>
      </c>
      <c r="E2175" t="s">
        <v>512</v>
      </c>
      <c r="F2175">
        <v>6</v>
      </c>
    </row>
    <row r="2176" spans="1:6" ht="13.2">
      <c r="A2176" t="s">
        <v>4167</v>
      </c>
      <c r="B2176">
        <v>0</v>
      </c>
      <c r="C2176" s="44">
        <v>1400</v>
      </c>
      <c r="D2176" t="s">
        <v>291</v>
      </c>
      <c r="E2176" t="s">
        <v>512</v>
      </c>
      <c r="F2176">
        <v>6</v>
      </c>
    </row>
    <row r="2177" spans="1:6" ht="13.2">
      <c r="A2177" t="s">
        <v>4168</v>
      </c>
      <c r="B2177">
        <v>0</v>
      </c>
      <c r="C2177" s="44">
        <v>1400</v>
      </c>
      <c r="D2177" t="s">
        <v>291</v>
      </c>
      <c r="E2177" t="s">
        <v>512</v>
      </c>
      <c r="F2177">
        <v>6</v>
      </c>
    </row>
    <row r="2178" spans="1:6" ht="13.2">
      <c r="A2178" t="s">
        <v>4169</v>
      </c>
      <c r="B2178">
        <v>0</v>
      </c>
      <c r="C2178" s="44">
        <v>1400</v>
      </c>
      <c r="D2178" t="s">
        <v>291</v>
      </c>
      <c r="E2178" t="s">
        <v>512</v>
      </c>
      <c r="F2178">
        <v>6</v>
      </c>
    </row>
    <row r="2179" spans="1:6" ht="13.2">
      <c r="A2179" t="s">
        <v>4170</v>
      </c>
      <c r="B2179">
        <v>0</v>
      </c>
      <c r="C2179" s="44">
        <v>1400</v>
      </c>
      <c r="D2179" t="s">
        <v>291</v>
      </c>
      <c r="E2179" t="s">
        <v>512</v>
      </c>
      <c r="F2179">
        <v>6</v>
      </c>
    </row>
    <row r="2180" spans="1:6" ht="13.2">
      <c r="A2180" t="s">
        <v>4171</v>
      </c>
      <c r="B2180">
        <v>0</v>
      </c>
      <c r="C2180" s="44">
        <v>1400</v>
      </c>
      <c r="D2180" t="s">
        <v>291</v>
      </c>
      <c r="E2180" t="s">
        <v>512</v>
      </c>
      <c r="F2180">
        <v>6</v>
      </c>
    </row>
    <row r="2181" spans="1:6" ht="13.2">
      <c r="A2181" t="s">
        <v>4172</v>
      </c>
      <c r="B2181">
        <v>0</v>
      </c>
      <c r="C2181" s="44">
        <v>1400</v>
      </c>
      <c r="D2181" t="s">
        <v>291</v>
      </c>
      <c r="E2181" t="s">
        <v>512</v>
      </c>
      <c r="F2181">
        <v>6</v>
      </c>
    </row>
    <row r="2182" spans="1:6" ht="13.2">
      <c r="A2182" t="s">
        <v>4173</v>
      </c>
      <c r="B2182">
        <v>0</v>
      </c>
      <c r="C2182" s="44">
        <v>1400</v>
      </c>
      <c r="D2182" t="s">
        <v>291</v>
      </c>
      <c r="E2182" t="s">
        <v>512</v>
      </c>
      <c r="F2182">
        <v>6</v>
      </c>
    </row>
    <row r="2183" spans="1:6" ht="13.2">
      <c r="A2183" t="s">
        <v>4174</v>
      </c>
      <c r="B2183">
        <v>0</v>
      </c>
      <c r="C2183" s="44">
        <v>1400</v>
      </c>
      <c r="D2183" t="s">
        <v>291</v>
      </c>
      <c r="E2183" t="s">
        <v>512</v>
      </c>
      <c r="F2183">
        <v>6</v>
      </c>
    </row>
    <row r="2184" spans="1:6" ht="13.2">
      <c r="A2184" t="s">
        <v>4175</v>
      </c>
      <c r="B2184">
        <v>0</v>
      </c>
      <c r="C2184" s="44">
        <v>1400</v>
      </c>
      <c r="D2184" t="s">
        <v>291</v>
      </c>
      <c r="E2184" t="s">
        <v>512</v>
      </c>
      <c r="F2184">
        <v>6</v>
      </c>
    </row>
    <row r="2185" spans="1:6" ht="13.2">
      <c r="A2185" t="s">
        <v>4176</v>
      </c>
      <c r="B2185">
        <v>0</v>
      </c>
      <c r="C2185" s="44">
        <v>1400</v>
      </c>
      <c r="D2185" t="s">
        <v>291</v>
      </c>
      <c r="E2185" t="s">
        <v>512</v>
      </c>
      <c r="F2185">
        <v>6</v>
      </c>
    </row>
    <row r="2186" spans="1:6" ht="13.2">
      <c r="A2186" t="s">
        <v>1174</v>
      </c>
      <c r="B2186">
        <v>320</v>
      </c>
      <c r="C2186" s="44">
        <v>3150</v>
      </c>
      <c r="D2186" t="s">
        <v>293</v>
      </c>
      <c r="E2186" t="s">
        <v>413</v>
      </c>
      <c r="F2186">
        <v>4</v>
      </c>
    </row>
    <row r="2187" spans="1:6" ht="13.2">
      <c r="A2187" t="s">
        <v>1175</v>
      </c>
      <c r="B2187">
        <v>320</v>
      </c>
      <c r="C2187" s="44">
        <v>3150</v>
      </c>
      <c r="D2187" t="s">
        <v>293</v>
      </c>
      <c r="E2187" t="s">
        <v>413</v>
      </c>
      <c r="F2187">
        <v>4</v>
      </c>
    </row>
    <row r="2188" spans="1:6" ht="13.2">
      <c r="A2188" t="s">
        <v>1176</v>
      </c>
      <c r="B2188">
        <v>320</v>
      </c>
      <c r="C2188" s="44">
        <v>3150</v>
      </c>
      <c r="D2188" t="s">
        <v>293</v>
      </c>
      <c r="E2188" t="s">
        <v>413</v>
      </c>
      <c r="F2188">
        <v>4</v>
      </c>
    </row>
    <row r="2189" spans="1:6" ht="13.2">
      <c r="A2189" t="s">
        <v>1177</v>
      </c>
      <c r="B2189">
        <v>320</v>
      </c>
      <c r="C2189" s="44">
        <v>3150</v>
      </c>
      <c r="D2189" t="s">
        <v>293</v>
      </c>
      <c r="E2189" t="s">
        <v>413</v>
      </c>
      <c r="F2189">
        <v>4</v>
      </c>
    </row>
    <row r="2190" spans="1:6" ht="13.2">
      <c r="A2190" t="s">
        <v>1178</v>
      </c>
      <c r="B2190">
        <v>320</v>
      </c>
      <c r="C2190" s="44">
        <v>3150</v>
      </c>
      <c r="D2190" t="s">
        <v>293</v>
      </c>
      <c r="E2190" t="s">
        <v>413</v>
      </c>
      <c r="F2190">
        <v>4</v>
      </c>
    </row>
    <row r="2191" spans="1:6" ht="13.2">
      <c r="A2191" t="s">
        <v>1179</v>
      </c>
      <c r="B2191">
        <v>320</v>
      </c>
      <c r="C2191" s="44">
        <v>3150</v>
      </c>
      <c r="D2191" t="s">
        <v>293</v>
      </c>
      <c r="E2191" t="s">
        <v>413</v>
      </c>
      <c r="F2191">
        <v>4</v>
      </c>
    </row>
    <row r="2192" spans="1:6" ht="13.2">
      <c r="A2192" t="s">
        <v>1180</v>
      </c>
      <c r="B2192">
        <v>320</v>
      </c>
      <c r="C2192" s="44">
        <v>3150</v>
      </c>
      <c r="D2192" t="s">
        <v>293</v>
      </c>
      <c r="E2192" t="s">
        <v>413</v>
      </c>
      <c r="F2192">
        <v>4</v>
      </c>
    </row>
    <row r="2193" spans="1:6" ht="13.2">
      <c r="A2193" t="s">
        <v>1181</v>
      </c>
      <c r="B2193">
        <v>320</v>
      </c>
      <c r="C2193" s="44">
        <v>3150</v>
      </c>
      <c r="D2193" t="s">
        <v>293</v>
      </c>
      <c r="E2193" t="s">
        <v>413</v>
      </c>
      <c r="F2193">
        <v>4</v>
      </c>
    </row>
    <row r="2194" spans="1:6" ht="13.2">
      <c r="A2194" t="s">
        <v>2783</v>
      </c>
      <c r="B2194">
        <v>475</v>
      </c>
      <c r="C2194" s="44">
        <v>1400</v>
      </c>
      <c r="D2194" t="s">
        <v>291</v>
      </c>
      <c r="E2194" t="s">
        <v>570</v>
      </c>
      <c r="F2194">
        <v>4</v>
      </c>
    </row>
    <row r="2195" spans="1:6" ht="13.2">
      <c r="A2195" t="s">
        <v>2782</v>
      </c>
      <c r="B2195">
        <v>475</v>
      </c>
      <c r="C2195" s="44">
        <v>1400</v>
      </c>
      <c r="D2195" t="s">
        <v>291</v>
      </c>
      <c r="E2195" t="s">
        <v>570</v>
      </c>
      <c r="F2195">
        <v>4</v>
      </c>
    </row>
    <row r="2196" spans="1:6" ht="13.2">
      <c r="A2196" t="s">
        <v>2785</v>
      </c>
      <c r="B2196">
        <v>475</v>
      </c>
      <c r="C2196" s="44">
        <v>1400</v>
      </c>
      <c r="D2196" t="s">
        <v>291</v>
      </c>
      <c r="E2196" t="s">
        <v>570</v>
      </c>
      <c r="F2196">
        <v>4</v>
      </c>
    </row>
    <row r="2197" spans="1:6" ht="13.2">
      <c r="A2197" t="s">
        <v>2781</v>
      </c>
      <c r="B2197">
        <v>475</v>
      </c>
      <c r="C2197" s="44">
        <v>1400</v>
      </c>
      <c r="D2197" t="s">
        <v>291</v>
      </c>
      <c r="E2197" t="s">
        <v>570</v>
      </c>
      <c r="F2197">
        <v>4</v>
      </c>
    </row>
    <row r="2198" spans="1:6" ht="13.2">
      <c r="A2198" t="s">
        <v>2784</v>
      </c>
      <c r="B2198">
        <v>475</v>
      </c>
      <c r="C2198" s="44">
        <v>1400</v>
      </c>
      <c r="D2198" t="s">
        <v>291</v>
      </c>
      <c r="E2198" t="s">
        <v>570</v>
      </c>
      <c r="F2198">
        <v>4</v>
      </c>
    </row>
    <row r="2199" spans="1:6" ht="13.2">
      <c r="A2199" t="s">
        <v>2787</v>
      </c>
      <c r="B2199">
        <v>475</v>
      </c>
      <c r="C2199" s="44">
        <v>1400</v>
      </c>
      <c r="D2199" t="s">
        <v>291</v>
      </c>
      <c r="E2199" t="s">
        <v>570</v>
      </c>
      <c r="F2199">
        <v>4</v>
      </c>
    </row>
    <row r="2200" spans="1:6" ht="13.2">
      <c r="A2200" t="s">
        <v>2786</v>
      </c>
      <c r="B2200">
        <v>475</v>
      </c>
      <c r="C2200" s="44">
        <v>1400</v>
      </c>
      <c r="D2200" t="s">
        <v>291</v>
      </c>
      <c r="E2200" t="s">
        <v>570</v>
      </c>
      <c r="F2200">
        <v>4</v>
      </c>
    </row>
    <row r="2201" spans="1:6" ht="13.2">
      <c r="A2201" t="s">
        <v>2789</v>
      </c>
      <c r="B2201">
        <v>475</v>
      </c>
      <c r="C2201" s="44">
        <v>1400</v>
      </c>
      <c r="D2201" t="s">
        <v>291</v>
      </c>
      <c r="E2201" t="s">
        <v>570</v>
      </c>
      <c r="F2201">
        <v>4</v>
      </c>
    </row>
    <row r="2202" spans="1:6" ht="13.2">
      <c r="A2202" t="s">
        <v>2788</v>
      </c>
      <c r="B2202">
        <v>475</v>
      </c>
      <c r="C2202" s="44">
        <v>1400</v>
      </c>
      <c r="D2202" t="s">
        <v>291</v>
      </c>
      <c r="E2202" t="s">
        <v>570</v>
      </c>
      <c r="F2202">
        <v>4</v>
      </c>
    </row>
    <row r="2203" spans="1:6" ht="13.2">
      <c r="A2203" t="s">
        <v>4257</v>
      </c>
      <c r="B2203">
        <v>0</v>
      </c>
      <c r="C2203" s="44">
        <v>3000</v>
      </c>
      <c r="D2203" t="s">
        <v>293</v>
      </c>
      <c r="E2203" t="s">
        <v>256</v>
      </c>
      <c r="F2203">
        <v>4</v>
      </c>
    </row>
    <row r="2204" spans="1:6" ht="13.2">
      <c r="A2204" t="s">
        <v>4258</v>
      </c>
      <c r="B2204">
        <v>0</v>
      </c>
      <c r="C2204" s="44">
        <v>3000</v>
      </c>
      <c r="D2204" t="s">
        <v>293</v>
      </c>
      <c r="E2204" t="s">
        <v>256</v>
      </c>
      <c r="F2204">
        <v>4</v>
      </c>
    </row>
    <row r="2205" spans="1:6" ht="13.2">
      <c r="A2205" t="s">
        <v>4259</v>
      </c>
      <c r="B2205">
        <v>0</v>
      </c>
      <c r="C2205" s="44">
        <v>3000</v>
      </c>
      <c r="D2205" t="s">
        <v>293</v>
      </c>
      <c r="E2205" t="s">
        <v>256</v>
      </c>
      <c r="F2205">
        <v>4</v>
      </c>
    </row>
    <row r="2206" spans="1:6" ht="13.2">
      <c r="A2206" t="s">
        <v>4260</v>
      </c>
      <c r="B2206">
        <v>0</v>
      </c>
      <c r="C2206" s="44">
        <v>3000</v>
      </c>
      <c r="D2206" t="s">
        <v>293</v>
      </c>
      <c r="E2206" t="s">
        <v>256</v>
      </c>
      <c r="F2206">
        <v>4</v>
      </c>
    </row>
    <row r="2207" spans="1:6" ht="13.2">
      <c r="A2207" t="s">
        <v>4196</v>
      </c>
      <c r="B2207">
        <v>0</v>
      </c>
      <c r="C2207" s="44" t="s">
        <v>204</v>
      </c>
      <c r="D2207" t="s">
        <v>293</v>
      </c>
      <c r="E2207" t="s">
        <v>653</v>
      </c>
      <c r="F2207">
        <v>4</v>
      </c>
    </row>
    <row r="2208" spans="1:6" ht="13.2">
      <c r="A2208" t="s">
        <v>4199</v>
      </c>
      <c r="B2208">
        <v>0</v>
      </c>
      <c r="C2208" s="44" t="s">
        <v>204</v>
      </c>
      <c r="D2208" t="s">
        <v>293</v>
      </c>
      <c r="E2208" t="s">
        <v>653</v>
      </c>
      <c r="F2208">
        <v>4</v>
      </c>
    </row>
    <row r="2209" spans="1:6" ht="13.2">
      <c r="A2209" t="s">
        <v>4197</v>
      </c>
      <c r="B2209">
        <v>0</v>
      </c>
      <c r="C2209" s="44" t="s">
        <v>204</v>
      </c>
      <c r="D2209" t="s">
        <v>293</v>
      </c>
      <c r="E2209" t="s">
        <v>653</v>
      </c>
      <c r="F2209">
        <v>4</v>
      </c>
    </row>
    <row r="2210" spans="1:6" ht="13.2">
      <c r="A2210" t="s">
        <v>4195</v>
      </c>
      <c r="B2210">
        <v>0</v>
      </c>
      <c r="C2210" s="44" t="s">
        <v>204</v>
      </c>
      <c r="D2210" t="s">
        <v>293</v>
      </c>
      <c r="E2210" t="s">
        <v>653</v>
      </c>
      <c r="F2210">
        <v>4</v>
      </c>
    </row>
    <row r="2211" spans="1:6" ht="13.2">
      <c r="A2211" t="s">
        <v>4198</v>
      </c>
      <c r="B2211">
        <v>0</v>
      </c>
      <c r="C2211" s="44" t="s">
        <v>204</v>
      </c>
      <c r="D2211" t="s">
        <v>293</v>
      </c>
      <c r="E2211" t="s">
        <v>653</v>
      </c>
      <c r="F2211">
        <v>4</v>
      </c>
    </row>
    <row r="2212" spans="1:6" ht="13.2">
      <c r="A2212" t="s">
        <v>4200</v>
      </c>
      <c r="B2212">
        <v>0</v>
      </c>
      <c r="C2212" s="44" t="s">
        <v>204</v>
      </c>
      <c r="D2212" t="s">
        <v>293</v>
      </c>
      <c r="E2212" t="s">
        <v>653</v>
      </c>
      <c r="F2212">
        <v>4</v>
      </c>
    </row>
    <row r="2213" spans="1:6" ht="13.2">
      <c r="A2213" t="s">
        <v>1182</v>
      </c>
      <c r="B2213">
        <v>0</v>
      </c>
      <c r="C2213" s="44" t="s">
        <v>351</v>
      </c>
      <c r="D2213" s="45" t="s">
        <v>293</v>
      </c>
      <c r="E2213" t="s">
        <v>231</v>
      </c>
      <c r="F2213">
        <v>4</v>
      </c>
    </row>
    <row r="2214" spans="1:6" ht="13.2">
      <c r="A2214" t="s">
        <v>1183</v>
      </c>
      <c r="B2214">
        <v>0</v>
      </c>
      <c r="C2214" s="44" t="s">
        <v>351</v>
      </c>
      <c r="D2214" s="45" t="s">
        <v>293</v>
      </c>
      <c r="E2214" t="s">
        <v>231</v>
      </c>
      <c r="F2214">
        <v>4</v>
      </c>
    </row>
    <row r="2215" spans="1:6" ht="13.2">
      <c r="A2215" t="s">
        <v>1184</v>
      </c>
      <c r="B2215">
        <v>0</v>
      </c>
      <c r="C2215" s="44" t="s">
        <v>351</v>
      </c>
      <c r="D2215" s="45" t="s">
        <v>293</v>
      </c>
      <c r="E2215" t="s">
        <v>231</v>
      </c>
      <c r="F2215">
        <v>4</v>
      </c>
    </row>
    <row r="2216" spans="1:6" ht="13.2">
      <c r="A2216" t="s">
        <v>4835</v>
      </c>
      <c r="B2216">
        <v>750</v>
      </c>
      <c r="C2216" s="44">
        <v>3000</v>
      </c>
      <c r="D2216" t="s">
        <v>293</v>
      </c>
      <c r="E2216" t="s">
        <v>4834</v>
      </c>
      <c r="F2216">
        <v>4</v>
      </c>
    </row>
    <row r="2217" spans="1:6" ht="13.2">
      <c r="A2217" t="s">
        <v>4833</v>
      </c>
      <c r="B2217">
        <v>750</v>
      </c>
      <c r="C2217" s="44">
        <v>3000</v>
      </c>
      <c r="D2217" t="s">
        <v>293</v>
      </c>
      <c r="E2217" t="s">
        <v>4834</v>
      </c>
      <c r="F2217">
        <v>4</v>
      </c>
    </row>
    <row r="2218" spans="1:6" ht="13.2">
      <c r="A2218" t="s">
        <v>4680</v>
      </c>
      <c r="B2218">
        <v>620</v>
      </c>
      <c r="C2218" s="44">
        <v>1370</v>
      </c>
      <c r="D2218" t="s">
        <v>291</v>
      </c>
      <c r="E2218" t="s">
        <v>4681</v>
      </c>
      <c r="F2218">
        <v>4</v>
      </c>
    </row>
    <row r="2219" spans="1:6" ht="13.2">
      <c r="A2219" t="s">
        <v>4683</v>
      </c>
      <c r="B2219">
        <v>620</v>
      </c>
      <c r="C2219" s="44">
        <v>1370</v>
      </c>
      <c r="D2219" t="s">
        <v>291</v>
      </c>
      <c r="E2219" t="s">
        <v>4681</v>
      </c>
      <c r="F2219">
        <v>4</v>
      </c>
    </row>
    <row r="2220" spans="1:6" ht="13.2">
      <c r="A2220" t="s">
        <v>4684</v>
      </c>
      <c r="B2220">
        <v>620</v>
      </c>
      <c r="C2220" s="44">
        <v>1370</v>
      </c>
      <c r="D2220" t="s">
        <v>291</v>
      </c>
      <c r="E2220" t="s">
        <v>4681</v>
      </c>
      <c r="F2220">
        <v>4</v>
      </c>
    </row>
    <row r="2221" spans="1:6" ht="13.2">
      <c r="A2221" t="s">
        <v>4682</v>
      </c>
      <c r="B2221">
        <v>620</v>
      </c>
      <c r="C2221" s="44">
        <v>1370</v>
      </c>
      <c r="D2221" t="s">
        <v>291</v>
      </c>
      <c r="E2221" t="s">
        <v>4681</v>
      </c>
      <c r="F2221">
        <v>4</v>
      </c>
    </row>
    <row r="2222" spans="1:6" ht="13.2">
      <c r="A2222" t="s">
        <v>4685</v>
      </c>
      <c r="B2222">
        <v>620</v>
      </c>
      <c r="C2222" s="44">
        <v>1370</v>
      </c>
      <c r="D2222" t="s">
        <v>291</v>
      </c>
      <c r="E2222" t="s">
        <v>4681</v>
      </c>
      <c r="F2222">
        <v>4</v>
      </c>
    </row>
    <row r="2223" spans="1:6" ht="13.2">
      <c r="A2223" t="s">
        <v>5230</v>
      </c>
      <c r="B2223">
        <v>0</v>
      </c>
      <c r="C2223" s="44">
        <v>3300</v>
      </c>
      <c r="D2223" t="s">
        <v>293</v>
      </c>
      <c r="E2223" t="s">
        <v>256</v>
      </c>
      <c r="F2223">
        <v>4</v>
      </c>
    </row>
    <row r="2224" spans="1:6" ht="13.2">
      <c r="A2224" t="s">
        <v>1185</v>
      </c>
      <c r="B2224">
        <v>0</v>
      </c>
      <c r="C2224" s="44">
        <v>3300</v>
      </c>
      <c r="D2224" t="s">
        <v>293</v>
      </c>
      <c r="E2224" t="s">
        <v>256</v>
      </c>
      <c r="F2224">
        <v>4</v>
      </c>
    </row>
    <row r="2225" spans="1:6" ht="13.2">
      <c r="A2225" t="s">
        <v>1186</v>
      </c>
      <c r="B2225">
        <v>0</v>
      </c>
      <c r="C2225" s="44">
        <v>3300</v>
      </c>
      <c r="D2225" t="s">
        <v>293</v>
      </c>
      <c r="E2225" t="s">
        <v>256</v>
      </c>
      <c r="F2225">
        <v>4</v>
      </c>
    </row>
    <row r="2226" spans="1:6" ht="13.2">
      <c r="A2226" t="s">
        <v>1187</v>
      </c>
      <c r="B2226">
        <v>0</v>
      </c>
      <c r="C2226" s="44">
        <v>3300</v>
      </c>
      <c r="D2226" t="s">
        <v>293</v>
      </c>
      <c r="E2226" t="s">
        <v>256</v>
      </c>
      <c r="F2226">
        <v>4</v>
      </c>
    </row>
    <row r="2227" spans="1:6" ht="13.2">
      <c r="A2227" t="s">
        <v>5225</v>
      </c>
      <c r="B2227">
        <v>0</v>
      </c>
      <c r="C2227" s="44">
        <v>3300</v>
      </c>
      <c r="D2227" t="s">
        <v>293</v>
      </c>
      <c r="E2227" t="s">
        <v>256</v>
      </c>
      <c r="F2227">
        <v>4</v>
      </c>
    </row>
    <row r="2228" spans="1:6" ht="13.2">
      <c r="A2228" t="s">
        <v>1188</v>
      </c>
      <c r="B2228">
        <v>0</v>
      </c>
      <c r="C2228" s="44">
        <v>3300</v>
      </c>
      <c r="D2228" t="s">
        <v>293</v>
      </c>
      <c r="E2228" t="s">
        <v>256</v>
      </c>
      <c r="F2228">
        <v>4</v>
      </c>
    </row>
    <row r="2229" spans="1:6" ht="13.2">
      <c r="A2229" t="s">
        <v>5228</v>
      </c>
      <c r="B2229">
        <v>0</v>
      </c>
      <c r="C2229" s="44">
        <v>3300</v>
      </c>
      <c r="D2229" t="s">
        <v>293</v>
      </c>
      <c r="E2229" t="s">
        <v>256</v>
      </c>
      <c r="F2229">
        <v>4</v>
      </c>
    </row>
    <row r="2230" spans="1:6" ht="13.2">
      <c r="A2230" t="s">
        <v>1189</v>
      </c>
      <c r="B2230">
        <v>0</v>
      </c>
      <c r="C2230" s="44">
        <v>3300</v>
      </c>
      <c r="D2230" t="s">
        <v>293</v>
      </c>
      <c r="E2230" t="s">
        <v>256</v>
      </c>
      <c r="F2230">
        <v>4</v>
      </c>
    </row>
    <row r="2231" spans="1:6" ht="13.2">
      <c r="A2231" t="s">
        <v>1190</v>
      </c>
      <c r="B2231">
        <v>0</v>
      </c>
      <c r="C2231" s="44">
        <v>3300</v>
      </c>
      <c r="D2231" t="s">
        <v>293</v>
      </c>
      <c r="E2231" t="s">
        <v>256</v>
      </c>
      <c r="F2231">
        <v>4</v>
      </c>
    </row>
    <row r="2232" spans="1:6" ht="13.2">
      <c r="A2232" t="s">
        <v>1191</v>
      </c>
      <c r="B2232">
        <v>0</v>
      </c>
      <c r="C2232" s="44">
        <v>3300</v>
      </c>
      <c r="D2232" t="s">
        <v>293</v>
      </c>
      <c r="E2232" t="s">
        <v>256</v>
      </c>
      <c r="F2232">
        <v>4</v>
      </c>
    </row>
    <row r="2233" spans="1:6" ht="13.2">
      <c r="A2233" t="s">
        <v>5229</v>
      </c>
      <c r="B2233">
        <v>0</v>
      </c>
      <c r="C2233" s="44">
        <v>3300</v>
      </c>
      <c r="D2233" t="s">
        <v>293</v>
      </c>
      <c r="E2233" t="s">
        <v>256</v>
      </c>
      <c r="F2233">
        <v>4</v>
      </c>
    </row>
    <row r="2234" spans="1:6" ht="13.2">
      <c r="A2234" t="s">
        <v>1192</v>
      </c>
      <c r="B2234">
        <v>0</v>
      </c>
      <c r="C2234" s="44">
        <v>3300</v>
      </c>
      <c r="D2234" t="s">
        <v>293</v>
      </c>
      <c r="E2234" t="s">
        <v>256</v>
      </c>
      <c r="F2234">
        <v>4</v>
      </c>
    </row>
    <row r="2235" spans="1:6" ht="13.2">
      <c r="A2235" t="s">
        <v>1193</v>
      </c>
      <c r="B2235">
        <v>0</v>
      </c>
      <c r="C2235" s="44">
        <v>3300</v>
      </c>
      <c r="D2235" t="s">
        <v>293</v>
      </c>
      <c r="E2235" t="s">
        <v>256</v>
      </c>
      <c r="F2235">
        <v>4</v>
      </c>
    </row>
    <row r="2236" spans="1:6" ht="13.2">
      <c r="A2236" t="s">
        <v>5232</v>
      </c>
      <c r="B2236">
        <v>0</v>
      </c>
      <c r="C2236" s="44">
        <v>3300</v>
      </c>
      <c r="D2236" t="s">
        <v>293</v>
      </c>
      <c r="E2236" t="s">
        <v>256</v>
      </c>
      <c r="F2236">
        <v>4</v>
      </c>
    </row>
    <row r="2237" spans="1:6" ht="13.2">
      <c r="A2237" t="s">
        <v>5224</v>
      </c>
      <c r="B2237">
        <v>0</v>
      </c>
      <c r="C2237" s="44">
        <v>3300</v>
      </c>
      <c r="D2237" t="s">
        <v>293</v>
      </c>
      <c r="E2237" t="s">
        <v>256</v>
      </c>
      <c r="F2237">
        <v>4</v>
      </c>
    </row>
    <row r="2238" spans="1:6" ht="13.2">
      <c r="A2238" t="s">
        <v>1194</v>
      </c>
      <c r="B2238">
        <v>0</v>
      </c>
      <c r="C2238" s="44">
        <v>3300</v>
      </c>
      <c r="D2238" t="s">
        <v>293</v>
      </c>
      <c r="E2238" t="s">
        <v>256</v>
      </c>
      <c r="F2238">
        <v>4</v>
      </c>
    </row>
    <row r="2239" spans="1:6" ht="13.2">
      <c r="A2239" t="s">
        <v>1195</v>
      </c>
      <c r="B2239">
        <v>0</v>
      </c>
      <c r="C2239" s="44">
        <v>3300</v>
      </c>
      <c r="D2239" t="s">
        <v>293</v>
      </c>
      <c r="E2239" t="s">
        <v>256</v>
      </c>
      <c r="F2239">
        <v>4</v>
      </c>
    </row>
    <row r="2240" spans="1:6" ht="13.2">
      <c r="A2240" t="s">
        <v>5222</v>
      </c>
      <c r="B2240">
        <v>0</v>
      </c>
      <c r="C2240" s="44">
        <v>3300</v>
      </c>
      <c r="D2240" t="s">
        <v>293</v>
      </c>
      <c r="E2240" t="s">
        <v>256</v>
      </c>
      <c r="F2240">
        <v>4</v>
      </c>
    </row>
    <row r="2241" spans="1:6" ht="13.2">
      <c r="A2241" t="s">
        <v>1196</v>
      </c>
      <c r="B2241">
        <v>0</v>
      </c>
      <c r="C2241" s="44">
        <v>3300</v>
      </c>
      <c r="D2241" t="s">
        <v>293</v>
      </c>
      <c r="E2241" t="s">
        <v>256</v>
      </c>
      <c r="F2241">
        <v>4</v>
      </c>
    </row>
    <row r="2242" spans="1:6" ht="13.2">
      <c r="A2242" t="s">
        <v>1197</v>
      </c>
      <c r="B2242">
        <v>0</v>
      </c>
      <c r="C2242" s="44">
        <v>3300</v>
      </c>
      <c r="D2242" t="s">
        <v>293</v>
      </c>
      <c r="E2242" t="s">
        <v>256</v>
      </c>
      <c r="F2242">
        <v>4</v>
      </c>
    </row>
    <row r="2243" spans="1:6" ht="13.2">
      <c r="A2243" t="s">
        <v>5223</v>
      </c>
      <c r="B2243">
        <v>0</v>
      </c>
      <c r="C2243" s="44">
        <v>3300</v>
      </c>
      <c r="D2243" t="s">
        <v>293</v>
      </c>
      <c r="E2243" t="s">
        <v>256</v>
      </c>
      <c r="F2243">
        <v>4</v>
      </c>
    </row>
    <row r="2244" spans="1:6" ht="13.2">
      <c r="A2244" t="s">
        <v>5233</v>
      </c>
      <c r="B2244">
        <v>0</v>
      </c>
      <c r="C2244" s="44">
        <v>3300</v>
      </c>
      <c r="D2244" t="s">
        <v>293</v>
      </c>
      <c r="E2244" t="s">
        <v>256</v>
      </c>
      <c r="F2244">
        <v>4</v>
      </c>
    </row>
    <row r="2245" spans="1:6" ht="13.2">
      <c r="A2245" t="s">
        <v>5227</v>
      </c>
      <c r="B2245">
        <v>0</v>
      </c>
      <c r="C2245" s="44">
        <v>3300</v>
      </c>
      <c r="D2245" t="s">
        <v>293</v>
      </c>
      <c r="E2245" t="s">
        <v>256</v>
      </c>
      <c r="F2245">
        <v>4</v>
      </c>
    </row>
    <row r="2246" spans="1:6" ht="13.2">
      <c r="A2246" t="s">
        <v>1198</v>
      </c>
      <c r="B2246">
        <v>0</v>
      </c>
      <c r="C2246" s="44">
        <v>3300</v>
      </c>
      <c r="D2246" t="s">
        <v>293</v>
      </c>
      <c r="E2246" t="s">
        <v>256</v>
      </c>
      <c r="F2246">
        <v>4</v>
      </c>
    </row>
    <row r="2247" spans="1:6" ht="13.2">
      <c r="A2247" t="s">
        <v>1199</v>
      </c>
      <c r="B2247">
        <v>0</v>
      </c>
      <c r="C2247" s="44">
        <v>3300</v>
      </c>
      <c r="D2247" t="s">
        <v>293</v>
      </c>
      <c r="E2247" t="s">
        <v>256</v>
      </c>
      <c r="F2247">
        <v>4</v>
      </c>
    </row>
    <row r="2248" spans="1:6" ht="13.2">
      <c r="A2248" t="s">
        <v>1200</v>
      </c>
      <c r="B2248">
        <v>0</v>
      </c>
      <c r="C2248" s="44">
        <v>3300</v>
      </c>
      <c r="D2248" t="s">
        <v>293</v>
      </c>
      <c r="E2248" t="s">
        <v>256</v>
      </c>
      <c r="F2248">
        <v>4</v>
      </c>
    </row>
    <row r="2249" spans="1:6" ht="13.2">
      <c r="A2249" t="s">
        <v>5226</v>
      </c>
      <c r="B2249">
        <v>0</v>
      </c>
      <c r="C2249" s="44">
        <v>3300</v>
      </c>
      <c r="D2249" t="s">
        <v>293</v>
      </c>
      <c r="E2249" t="s">
        <v>256</v>
      </c>
      <c r="F2249">
        <v>4</v>
      </c>
    </row>
    <row r="2250" spans="1:6" ht="13.2">
      <c r="A2250" t="s">
        <v>1201</v>
      </c>
      <c r="B2250">
        <v>0</v>
      </c>
      <c r="C2250" s="44">
        <v>3300</v>
      </c>
      <c r="D2250" t="s">
        <v>293</v>
      </c>
      <c r="E2250" t="s">
        <v>256</v>
      </c>
      <c r="F2250">
        <v>4</v>
      </c>
    </row>
    <row r="2251" spans="1:6" ht="13.2">
      <c r="A2251" t="s">
        <v>1202</v>
      </c>
      <c r="B2251">
        <v>0</v>
      </c>
      <c r="C2251" s="44">
        <v>3300</v>
      </c>
      <c r="D2251" t="s">
        <v>293</v>
      </c>
      <c r="E2251" t="s">
        <v>256</v>
      </c>
      <c r="F2251">
        <v>4</v>
      </c>
    </row>
    <row r="2252" spans="1:6" ht="13.2">
      <c r="A2252" t="s">
        <v>1203</v>
      </c>
      <c r="B2252">
        <v>0</v>
      </c>
      <c r="C2252" s="44">
        <v>3300</v>
      </c>
      <c r="D2252" t="s">
        <v>293</v>
      </c>
      <c r="E2252" t="s">
        <v>256</v>
      </c>
      <c r="F2252">
        <v>4</v>
      </c>
    </row>
    <row r="2253" spans="1:6" ht="13.2">
      <c r="A2253" t="s">
        <v>1204</v>
      </c>
      <c r="B2253">
        <v>0</v>
      </c>
      <c r="C2253" s="44">
        <v>3300</v>
      </c>
      <c r="D2253" t="s">
        <v>293</v>
      </c>
      <c r="E2253" t="s">
        <v>256</v>
      </c>
      <c r="F2253">
        <v>4</v>
      </c>
    </row>
    <row r="2254" spans="1:6" ht="13.2">
      <c r="A2254" t="s">
        <v>1205</v>
      </c>
      <c r="B2254">
        <v>0</v>
      </c>
      <c r="C2254" s="44">
        <v>3300</v>
      </c>
      <c r="D2254" t="s">
        <v>293</v>
      </c>
      <c r="E2254" t="s">
        <v>256</v>
      </c>
      <c r="F2254">
        <v>4</v>
      </c>
    </row>
    <row r="2255" spans="1:6" ht="13.2">
      <c r="A2255" t="s">
        <v>5231</v>
      </c>
      <c r="B2255">
        <v>0</v>
      </c>
      <c r="C2255" s="44">
        <v>3300</v>
      </c>
      <c r="D2255" t="s">
        <v>293</v>
      </c>
      <c r="E2255" t="s">
        <v>256</v>
      </c>
      <c r="F2255">
        <v>4</v>
      </c>
    </row>
    <row r="2256" spans="1:6" ht="13.2">
      <c r="A2256" t="s">
        <v>1441</v>
      </c>
      <c r="B2256">
        <v>0</v>
      </c>
      <c r="C2256" s="44">
        <v>2800</v>
      </c>
      <c r="D2256" t="s">
        <v>293</v>
      </c>
      <c r="E2256" t="s">
        <v>256</v>
      </c>
      <c r="F2256">
        <v>1</v>
      </c>
    </row>
    <row r="2257" spans="1:6" ht="13.2">
      <c r="A2257" t="s">
        <v>1438</v>
      </c>
      <c r="B2257">
        <v>0</v>
      </c>
      <c r="C2257" s="44">
        <v>2800</v>
      </c>
      <c r="D2257" t="s">
        <v>293</v>
      </c>
      <c r="E2257" t="s">
        <v>256</v>
      </c>
      <c r="F2257">
        <v>1</v>
      </c>
    </row>
    <row r="2258" spans="1:6" ht="13.2">
      <c r="A2258" t="s">
        <v>1443</v>
      </c>
      <c r="B2258">
        <v>0</v>
      </c>
      <c r="C2258" s="44">
        <v>2800</v>
      </c>
      <c r="D2258" t="s">
        <v>293</v>
      </c>
      <c r="E2258" t="s">
        <v>256</v>
      </c>
      <c r="F2258">
        <v>1</v>
      </c>
    </row>
    <row r="2259" spans="1:6" ht="13.2">
      <c r="A2259" t="s">
        <v>1440</v>
      </c>
      <c r="B2259">
        <v>0</v>
      </c>
      <c r="C2259" s="44">
        <v>2800</v>
      </c>
      <c r="D2259" t="s">
        <v>293</v>
      </c>
      <c r="E2259" t="s">
        <v>256</v>
      </c>
      <c r="F2259">
        <v>1</v>
      </c>
    </row>
    <row r="2260" spans="1:6" ht="13.2">
      <c r="A2260" t="s">
        <v>1442</v>
      </c>
      <c r="B2260">
        <v>0</v>
      </c>
      <c r="C2260" s="44">
        <v>2800</v>
      </c>
      <c r="D2260" t="s">
        <v>293</v>
      </c>
      <c r="E2260" t="s">
        <v>256</v>
      </c>
      <c r="F2260">
        <v>1</v>
      </c>
    </row>
    <row r="2261" spans="1:6" ht="13.2">
      <c r="A2261" t="s">
        <v>1439</v>
      </c>
      <c r="B2261">
        <v>0</v>
      </c>
      <c r="C2261" s="44">
        <v>2800</v>
      </c>
      <c r="D2261" t="s">
        <v>293</v>
      </c>
      <c r="E2261" t="s">
        <v>256</v>
      </c>
      <c r="F2261">
        <v>1</v>
      </c>
    </row>
    <row r="2262" spans="1:6" ht="13.2">
      <c r="A2262" t="s">
        <v>1444</v>
      </c>
      <c r="B2262">
        <v>0</v>
      </c>
      <c r="C2262" s="44">
        <v>2800</v>
      </c>
      <c r="D2262" t="s">
        <v>293</v>
      </c>
      <c r="E2262" t="s">
        <v>256</v>
      </c>
      <c r="F2262">
        <v>1</v>
      </c>
    </row>
    <row r="2263" spans="1:6" ht="13.2">
      <c r="A2263" t="s">
        <v>6120</v>
      </c>
      <c r="B2263">
        <v>0</v>
      </c>
      <c r="C2263" s="44">
        <v>2800</v>
      </c>
      <c r="D2263" t="s">
        <v>291</v>
      </c>
      <c r="E2263" t="s">
        <v>256</v>
      </c>
      <c r="F2263">
        <v>1</v>
      </c>
    </row>
    <row r="2264" spans="1:6" ht="13.2">
      <c r="A2264" t="s">
        <v>6117</v>
      </c>
      <c r="B2264">
        <v>0</v>
      </c>
      <c r="C2264" s="44">
        <v>2800</v>
      </c>
      <c r="D2264" t="s">
        <v>291</v>
      </c>
      <c r="E2264" t="s">
        <v>256</v>
      </c>
      <c r="F2264">
        <v>1</v>
      </c>
    </row>
    <row r="2265" spans="1:6" ht="13.2">
      <c r="A2265" t="s">
        <v>6122</v>
      </c>
      <c r="B2265">
        <v>0</v>
      </c>
      <c r="C2265" s="44">
        <v>2800</v>
      </c>
      <c r="D2265" t="s">
        <v>291</v>
      </c>
      <c r="E2265" t="s">
        <v>256</v>
      </c>
      <c r="F2265">
        <v>1</v>
      </c>
    </row>
    <row r="2266" spans="1:6" ht="13.2">
      <c r="A2266" t="s">
        <v>6119</v>
      </c>
      <c r="B2266">
        <v>0</v>
      </c>
      <c r="C2266" s="44">
        <v>2800</v>
      </c>
      <c r="D2266" t="s">
        <v>291</v>
      </c>
      <c r="E2266" t="s">
        <v>256</v>
      </c>
      <c r="F2266">
        <v>1</v>
      </c>
    </row>
    <row r="2267" spans="1:6" ht="13.2">
      <c r="A2267" t="s">
        <v>6121</v>
      </c>
      <c r="B2267">
        <v>0</v>
      </c>
      <c r="C2267" s="44">
        <v>2800</v>
      </c>
      <c r="D2267" t="s">
        <v>291</v>
      </c>
      <c r="E2267" t="s">
        <v>256</v>
      </c>
      <c r="F2267">
        <v>1</v>
      </c>
    </row>
    <row r="2268" spans="1:6" ht="13.2">
      <c r="A2268" t="s">
        <v>6118</v>
      </c>
      <c r="B2268">
        <v>0</v>
      </c>
      <c r="C2268" s="44">
        <v>2800</v>
      </c>
      <c r="D2268" t="s">
        <v>291</v>
      </c>
      <c r="E2268" t="s">
        <v>256</v>
      </c>
      <c r="F2268">
        <v>1</v>
      </c>
    </row>
    <row r="2269" spans="1:6" ht="13.2">
      <c r="A2269" t="s">
        <v>6123</v>
      </c>
      <c r="B2269">
        <v>0</v>
      </c>
      <c r="C2269" s="44">
        <v>2800</v>
      </c>
      <c r="D2269" t="s">
        <v>291</v>
      </c>
      <c r="E2269" t="s">
        <v>256</v>
      </c>
      <c r="F2269">
        <v>1</v>
      </c>
    </row>
    <row r="2270" spans="1:6" ht="13.2">
      <c r="A2270" t="s">
        <v>2305</v>
      </c>
      <c r="B2270">
        <v>230</v>
      </c>
      <c r="C2270" s="44">
        <v>1400</v>
      </c>
      <c r="D2270" t="s">
        <v>291</v>
      </c>
      <c r="E2270" t="s">
        <v>362</v>
      </c>
      <c r="F2270">
        <v>4</v>
      </c>
    </row>
    <row r="2271" spans="1:6" ht="13.2">
      <c r="A2271" t="s">
        <v>2306</v>
      </c>
      <c r="B2271">
        <v>230</v>
      </c>
      <c r="C2271" s="44">
        <v>1400</v>
      </c>
      <c r="D2271" t="s">
        <v>291</v>
      </c>
      <c r="E2271" t="s">
        <v>362</v>
      </c>
      <c r="F2271">
        <v>4</v>
      </c>
    </row>
    <row r="2272" spans="1:6" ht="13.2">
      <c r="A2272" t="s">
        <v>2307</v>
      </c>
      <c r="B2272">
        <v>230</v>
      </c>
      <c r="C2272" s="44">
        <v>1400</v>
      </c>
      <c r="D2272" t="s">
        <v>291</v>
      </c>
      <c r="E2272" t="s">
        <v>362</v>
      </c>
      <c r="F2272">
        <v>4</v>
      </c>
    </row>
    <row r="2273" spans="1:6" ht="13.2">
      <c r="A2273" t="s">
        <v>2308</v>
      </c>
      <c r="B2273">
        <v>230</v>
      </c>
      <c r="C2273" s="44">
        <v>1400</v>
      </c>
      <c r="D2273" t="s">
        <v>291</v>
      </c>
      <c r="E2273" t="s">
        <v>362</v>
      </c>
      <c r="F2273">
        <v>4</v>
      </c>
    </row>
    <row r="2274" spans="1:6" ht="13.2">
      <c r="A2274" t="s">
        <v>2309</v>
      </c>
      <c r="B2274">
        <v>230</v>
      </c>
      <c r="C2274" s="44">
        <v>1400</v>
      </c>
      <c r="D2274" t="s">
        <v>291</v>
      </c>
      <c r="E2274" t="s">
        <v>362</v>
      </c>
      <c r="F2274">
        <v>4</v>
      </c>
    </row>
    <row r="2275" spans="1:6" ht="13.2">
      <c r="A2275" t="s">
        <v>2310</v>
      </c>
      <c r="B2275">
        <v>230</v>
      </c>
      <c r="C2275" s="44">
        <v>1400</v>
      </c>
      <c r="D2275" t="s">
        <v>291</v>
      </c>
      <c r="E2275" t="s">
        <v>362</v>
      </c>
      <c r="F2275">
        <v>4</v>
      </c>
    </row>
    <row r="2276" spans="1:6" ht="13.2">
      <c r="A2276" t="s">
        <v>2311</v>
      </c>
      <c r="B2276">
        <v>230</v>
      </c>
      <c r="C2276" s="44">
        <v>1400</v>
      </c>
      <c r="D2276" t="s">
        <v>291</v>
      </c>
      <c r="E2276" t="s">
        <v>362</v>
      </c>
      <c r="F2276">
        <v>4</v>
      </c>
    </row>
    <row r="2277" spans="1:6" ht="13.2">
      <c r="A2277" t="s">
        <v>2312</v>
      </c>
      <c r="B2277">
        <v>230</v>
      </c>
      <c r="C2277" s="44">
        <v>1400</v>
      </c>
      <c r="D2277" t="s">
        <v>291</v>
      </c>
      <c r="E2277" t="s">
        <v>362</v>
      </c>
      <c r="F2277">
        <v>4</v>
      </c>
    </row>
    <row r="2278" spans="1:6" ht="13.2">
      <c r="A2278" t="s">
        <v>2313</v>
      </c>
      <c r="B2278">
        <v>230</v>
      </c>
      <c r="C2278" s="44">
        <v>1400</v>
      </c>
      <c r="D2278" t="s">
        <v>291</v>
      </c>
      <c r="E2278" t="s">
        <v>362</v>
      </c>
      <c r="F2278">
        <v>4</v>
      </c>
    </row>
    <row r="2279" spans="1:6" ht="13.2">
      <c r="A2279" t="s">
        <v>2314</v>
      </c>
      <c r="B2279">
        <v>230</v>
      </c>
      <c r="C2279" s="44">
        <v>1400</v>
      </c>
      <c r="D2279" t="s">
        <v>291</v>
      </c>
      <c r="E2279" t="s">
        <v>362</v>
      </c>
      <c r="F2279">
        <v>4</v>
      </c>
    </row>
    <row r="2280" spans="1:6" ht="13.2">
      <c r="A2280" t="s">
        <v>2315</v>
      </c>
      <c r="B2280">
        <v>230</v>
      </c>
      <c r="C2280" s="44">
        <v>1400</v>
      </c>
      <c r="D2280" t="s">
        <v>291</v>
      </c>
      <c r="E2280" t="s">
        <v>362</v>
      </c>
      <c r="F2280">
        <v>4</v>
      </c>
    </row>
    <row r="2281" spans="1:6" ht="13.2">
      <c r="A2281" t="s">
        <v>2316</v>
      </c>
      <c r="B2281">
        <v>230</v>
      </c>
      <c r="C2281" s="44">
        <v>1400</v>
      </c>
      <c r="D2281" t="s">
        <v>291</v>
      </c>
      <c r="E2281" t="s">
        <v>362</v>
      </c>
      <c r="F2281">
        <v>4</v>
      </c>
    </row>
    <row r="2282" spans="1:6" ht="13.2">
      <c r="A2282" t="s">
        <v>2317</v>
      </c>
      <c r="B2282">
        <v>230</v>
      </c>
      <c r="C2282" s="44">
        <v>1400</v>
      </c>
      <c r="D2282" t="s">
        <v>291</v>
      </c>
      <c r="E2282" t="s">
        <v>362</v>
      </c>
      <c r="F2282">
        <v>4</v>
      </c>
    </row>
    <row r="2283" spans="1:6" ht="13.2">
      <c r="A2283" t="s">
        <v>2318</v>
      </c>
      <c r="B2283">
        <v>230</v>
      </c>
      <c r="C2283" s="44">
        <v>1400</v>
      </c>
      <c r="D2283" t="s">
        <v>291</v>
      </c>
      <c r="E2283" t="s">
        <v>362</v>
      </c>
      <c r="F2283">
        <v>4</v>
      </c>
    </row>
    <row r="2284" spans="1:6" ht="13.2">
      <c r="A2284" t="s">
        <v>2319</v>
      </c>
      <c r="B2284">
        <v>230</v>
      </c>
      <c r="C2284" s="44">
        <v>1400</v>
      </c>
      <c r="D2284" t="s">
        <v>291</v>
      </c>
      <c r="E2284" t="s">
        <v>362</v>
      </c>
      <c r="F2284">
        <v>4</v>
      </c>
    </row>
    <row r="2285" spans="1:6" ht="13.2">
      <c r="A2285" t="s">
        <v>538</v>
      </c>
      <c r="B2285">
        <v>230</v>
      </c>
      <c r="C2285" s="44">
        <v>1400</v>
      </c>
      <c r="D2285" t="s">
        <v>291</v>
      </c>
      <c r="E2285" t="s">
        <v>362</v>
      </c>
      <c r="F2285" t="s">
        <v>280</v>
      </c>
    </row>
    <row r="2286" spans="1:6" ht="13.2">
      <c r="A2286" t="s">
        <v>536</v>
      </c>
      <c r="B2286">
        <v>230</v>
      </c>
      <c r="C2286" s="44">
        <v>1400</v>
      </c>
      <c r="D2286" t="s">
        <v>291</v>
      </c>
      <c r="E2286" t="s">
        <v>362</v>
      </c>
      <c r="F2286" t="s">
        <v>280</v>
      </c>
    </row>
    <row r="2287" spans="1:6" ht="13.2">
      <c r="A2287" t="s">
        <v>540</v>
      </c>
      <c r="B2287">
        <v>230</v>
      </c>
      <c r="C2287" s="44">
        <v>1400</v>
      </c>
      <c r="D2287" t="s">
        <v>291</v>
      </c>
      <c r="E2287" t="s">
        <v>362</v>
      </c>
      <c r="F2287" t="s">
        <v>280</v>
      </c>
    </row>
    <row r="2288" spans="1:6" ht="13.2">
      <c r="A2288" t="s">
        <v>544</v>
      </c>
      <c r="B2288">
        <v>230</v>
      </c>
      <c r="C2288" s="44">
        <v>1400</v>
      </c>
      <c r="D2288" t="s">
        <v>291</v>
      </c>
      <c r="E2288" t="s">
        <v>362</v>
      </c>
      <c r="F2288" t="s">
        <v>280</v>
      </c>
    </row>
    <row r="2289" spans="1:6" ht="13.2">
      <c r="A2289" t="s">
        <v>546</v>
      </c>
      <c r="B2289">
        <v>230</v>
      </c>
      <c r="C2289" s="44">
        <v>1400</v>
      </c>
      <c r="D2289" t="s">
        <v>291</v>
      </c>
      <c r="E2289" t="s">
        <v>362</v>
      </c>
      <c r="F2289" t="s">
        <v>280</v>
      </c>
    </row>
    <row r="2290" spans="1:6" ht="13.2">
      <c r="A2290" t="s">
        <v>541</v>
      </c>
      <c r="B2290">
        <v>230</v>
      </c>
      <c r="C2290" s="44">
        <v>1400</v>
      </c>
      <c r="D2290" t="s">
        <v>291</v>
      </c>
      <c r="E2290" t="s">
        <v>362</v>
      </c>
      <c r="F2290" t="s">
        <v>280</v>
      </c>
    </row>
    <row r="2291" spans="1:6" ht="13.2">
      <c r="A2291" t="s">
        <v>547</v>
      </c>
      <c r="B2291">
        <v>230</v>
      </c>
      <c r="C2291" s="44">
        <v>1400</v>
      </c>
      <c r="D2291" t="s">
        <v>291</v>
      </c>
      <c r="E2291" t="s">
        <v>362</v>
      </c>
      <c r="F2291" t="s">
        <v>280</v>
      </c>
    </row>
    <row r="2292" spans="1:6" ht="13.2">
      <c r="A2292" t="s">
        <v>545</v>
      </c>
      <c r="B2292">
        <v>230</v>
      </c>
      <c r="C2292" s="44">
        <v>1400</v>
      </c>
      <c r="D2292" t="s">
        <v>291</v>
      </c>
      <c r="E2292" t="s">
        <v>362</v>
      </c>
      <c r="F2292" t="s">
        <v>280</v>
      </c>
    </row>
    <row r="2293" spans="1:6" ht="13.2">
      <c r="A2293" t="s">
        <v>542</v>
      </c>
      <c r="B2293">
        <v>230</v>
      </c>
      <c r="C2293" s="44">
        <v>1400</v>
      </c>
      <c r="D2293" t="s">
        <v>291</v>
      </c>
      <c r="E2293" t="s">
        <v>362</v>
      </c>
      <c r="F2293" t="s">
        <v>280</v>
      </c>
    </row>
    <row r="2294" spans="1:6" ht="13.2">
      <c r="A2294" t="s">
        <v>543</v>
      </c>
      <c r="B2294">
        <v>230</v>
      </c>
      <c r="C2294" s="44">
        <v>1400</v>
      </c>
      <c r="D2294" t="s">
        <v>291</v>
      </c>
      <c r="E2294" t="s">
        <v>362</v>
      </c>
      <c r="F2294" t="s">
        <v>280</v>
      </c>
    </row>
    <row r="2295" spans="1:6" ht="13.2">
      <c r="A2295" t="s">
        <v>539</v>
      </c>
      <c r="B2295">
        <v>230</v>
      </c>
      <c r="C2295" s="44">
        <v>1400</v>
      </c>
      <c r="D2295" t="s">
        <v>291</v>
      </c>
      <c r="E2295" t="s">
        <v>362</v>
      </c>
      <c r="F2295" t="s">
        <v>280</v>
      </c>
    </row>
    <row r="2296" spans="1:6" ht="13.2">
      <c r="A2296" t="s">
        <v>548</v>
      </c>
      <c r="B2296">
        <v>230</v>
      </c>
      <c r="C2296" s="44">
        <v>1400</v>
      </c>
      <c r="D2296" t="s">
        <v>291</v>
      </c>
      <c r="E2296" t="s">
        <v>362</v>
      </c>
      <c r="F2296" t="s">
        <v>280</v>
      </c>
    </row>
    <row r="2297" spans="1:6" ht="13.2">
      <c r="A2297" t="s">
        <v>537</v>
      </c>
      <c r="B2297">
        <v>230</v>
      </c>
      <c r="C2297" s="44">
        <v>1400</v>
      </c>
      <c r="D2297" t="s">
        <v>291</v>
      </c>
      <c r="E2297" t="s">
        <v>362</v>
      </c>
      <c r="F2297" t="s">
        <v>280</v>
      </c>
    </row>
    <row r="2298" spans="1:6" ht="13.2">
      <c r="A2298" t="s">
        <v>549</v>
      </c>
      <c r="B2298">
        <v>230</v>
      </c>
      <c r="C2298" s="44">
        <v>1400</v>
      </c>
      <c r="D2298" t="s">
        <v>291</v>
      </c>
      <c r="E2298" t="s">
        <v>362</v>
      </c>
      <c r="F2298" t="s">
        <v>280</v>
      </c>
    </row>
    <row r="2299" spans="1:6" ht="13.2">
      <c r="A2299" t="s">
        <v>550</v>
      </c>
      <c r="B2299">
        <v>230</v>
      </c>
      <c r="C2299" s="44">
        <v>1400</v>
      </c>
      <c r="D2299" t="s">
        <v>291</v>
      </c>
      <c r="E2299" t="s">
        <v>362</v>
      </c>
      <c r="F2299" t="s">
        <v>280</v>
      </c>
    </row>
    <row r="2300" spans="1:6" ht="13.2">
      <c r="A2300" t="s">
        <v>4202</v>
      </c>
      <c r="B2300">
        <v>0</v>
      </c>
      <c r="C2300" s="44" t="s">
        <v>204</v>
      </c>
      <c r="D2300" t="s">
        <v>293</v>
      </c>
      <c r="E2300" t="s">
        <v>653</v>
      </c>
      <c r="F2300">
        <v>4</v>
      </c>
    </row>
    <row r="2301" spans="1:6" ht="13.2">
      <c r="A2301" t="s">
        <v>4205</v>
      </c>
      <c r="B2301">
        <v>0</v>
      </c>
      <c r="C2301" s="44" t="s">
        <v>204</v>
      </c>
      <c r="D2301" t="s">
        <v>293</v>
      </c>
      <c r="E2301" t="s">
        <v>653</v>
      </c>
      <c r="F2301">
        <v>4</v>
      </c>
    </row>
    <row r="2302" spans="1:6" ht="13.2">
      <c r="A2302" t="s">
        <v>4203</v>
      </c>
      <c r="B2302">
        <v>0</v>
      </c>
      <c r="C2302" s="44" t="s">
        <v>204</v>
      </c>
      <c r="D2302" t="s">
        <v>293</v>
      </c>
      <c r="E2302" t="s">
        <v>653</v>
      </c>
      <c r="F2302">
        <v>4</v>
      </c>
    </row>
    <row r="2303" spans="1:6" ht="13.2">
      <c r="A2303" t="s">
        <v>4201</v>
      </c>
      <c r="B2303">
        <v>0</v>
      </c>
      <c r="C2303" s="44" t="s">
        <v>204</v>
      </c>
      <c r="D2303" t="s">
        <v>293</v>
      </c>
      <c r="E2303" t="s">
        <v>653</v>
      </c>
      <c r="F2303">
        <v>4</v>
      </c>
    </row>
    <row r="2304" spans="1:6" ht="13.2">
      <c r="A2304" t="s">
        <v>4204</v>
      </c>
      <c r="B2304">
        <v>0</v>
      </c>
      <c r="C2304" s="44" t="s">
        <v>204</v>
      </c>
      <c r="D2304" t="s">
        <v>293</v>
      </c>
      <c r="E2304" t="s">
        <v>653</v>
      </c>
      <c r="F2304">
        <v>4</v>
      </c>
    </row>
    <row r="2305" spans="1:6" ht="13.2">
      <c r="A2305" t="s">
        <v>4206</v>
      </c>
      <c r="B2305">
        <v>0</v>
      </c>
      <c r="C2305" s="44" t="s">
        <v>204</v>
      </c>
      <c r="D2305" t="s">
        <v>293</v>
      </c>
      <c r="E2305" t="s">
        <v>653</v>
      </c>
      <c r="F2305">
        <v>4</v>
      </c>
    </row>
    <row r="2306" spans="1:6" ht="13.2">
      <c r="A2306" t="s">
        <v>465</v>
      </c>
      <c r="B2306">
        <v>280</v>
      </c>
      <c r="C2306" s="44" t="s">
        <v>200</v>
      </c>
      <c r="D2306" t="s">
        <v>291</v>
      </c>
      <c r="E2306" t="s">
        <v>231</v>
      </c>
      <c r="F2306">
        <v>4</v>
      </c>
    </row>
    <row r="2307" spans="1:6" ht="13.2">
      <c r="A2307" t="s">
        <v>466</v>
      </c>
      <c r="B2307">
        <v>280</v>
      </c>
      <c r="C2307" s="44" t="s">
        <v>200</v>
      </c>
      <c r="D2307" t="s">
        <v>291</v>
      </c>
      <c r="E2307" t="s">
        <v>231</v>
      </c>
      <c r="F2307">
        <v>4</v>
      </c>
    </row>
    <row r="2308" spans="1:6" ht="13.2">
      <c r="A2308" t="s">
        <v>467</v>
      </c>
      <c r="B2308">
        <v>280</v>
      </c>
      <c r="C2308" s="44" t="s">
        <v>200</v>
      </c>
      <c r="D2308" t="s">
        <v>291</v>
      </c>
      <c r="E2308" t="s">
        <v>231</v>
      </c>
      <c r="F2308">
        <v>4</v>
      </c>
    </row>
    <row r="2309" spans="1:6" ht="13.2">
      <c r="A2309" t="s">
        <v>468</v>
      </c>
      <c r="B2309">
        <v>280</v>
      </c>
      <c r="C2309" s="44" t="s">
        <v>200</v>
      </c>
      <c r="D2309" t="s">
        <v>291</v>
      </c>
      <c r="E2309" t="s">
        <v>231</v>
      </c>
      <c r="F2309">
        <v>4</v>
      </c>
    </row>
    <row r="2310" spans="1:6" ht="13.2">
      <c r="A2310" t="s">
        <v>469</v>
      </c>
      <c r="B2310">
        <v>280</v>
      </c>
      <c r="C2310" s="44" t="s">
        <v>200</v>
      </c>
      <c r="D2310" t="s">
        <v>291</v>
      </c>
      <c r="E2310" t="s">
        <v>231</v>
      </c>
      <c r="F2310">
        <v>4</v>
      </c>
    </row>
    <row r="2311" spans="1:6" ht="13.2">
      <c r="A2311" t="s">
        <v>470</v>
      </c>
      <c r="B2311">
        <v>280</v>
      </c>
      <c r="C2311" s="44" t="s">
        <v>200</v>
      </c>
      <c r="D2311" t="s">
        <v>291</v>
      </c>
      <c r="E2311" t="s">
        <v>231</v>
      </c>
      <c r="F2311">
        <v>4</v>
      </c>
    </row>
    <row r="2312" spans="1:6" ht="13.2">
      <c r="A2312" t="s">
        <v>471</v>
      </c>
      <c r="B2312">
        <v>280</v>
      </c>
      <c r="C2312" s="44" t="s">
        <v>200</v>
      </c>
      <c r="D2312" t="s">
        <v>291</v>
      </c>
      <c r="E2312" t="s">
        <v>231</v>
      </c>
      <c r="F2312">
        <v>4</v>
      </c>
    </row>
    <row r="2313" spans="1:6" ht="13.2">
      <c r="A2313" t="s">
        <v>472</v>
      </c>
      <c r="B2313">
        <v>280</v>
      </c>
      <c r="C2313" s="44" t="s">
        <v>200</v>
      </c>
      <c r="D2313" t="s">
        <v>291</v>
      </c>
      <c r="E2313" t="s">
        <v>231</v>
      </c>
      <c r="F2313">
        <v>4</v>
      </c>
    </row>
    <row r="2314" spans="1:6" ht="13.2">
      <c r="A2314" t="s">
        <v>473</v>
      </c>
      <c r="B2314">
        <v>280</v>
      </c>
      <c r="C2314" s="44" t="s">
        <v>200</v>
      </c>
      <c r="D2314" t="s">
        <v>291</v>
      </c>
      <c r="E2314" t="s">
        <v>231</v>
      </c>
      <c r="F2314">
        <v>4</v>
      </c>
    </row>
    <row r="2315" spans="1:6" ht="13.2">
      <c r="A2315" t="s">
        <v>474</v>
      </c>
      <c r="B2315">
        <v>280</v>
      </c>
      <c r="C2315" s="44" t="s">
        <v>200</v>
      </c>
      <c r="D2315" t="s">
        <v>291</v>
      </c>
      <c r="E2315" t="s">
        <v>231</v>
      </c>
      <c r="F2315">
        <v>4</v>
      </c>
    </row>
    <row r="2316" spans="1:6" ht="13.2">
      <c r="A2316" t="s">
        <v>475</v>
      </c>
      <c r="B2316">
        <v>280</v>
      </c>
      <c r="C2316" s="44" t="s">
        <v>200</v>
      </c>
      <c r="D2316" t="s">
        <v>291</v>
      </c>
      <c r="E2316" t="s">
        <v>231</v>
      </c>
      <c r="F2316">
        <v>4</v>
      </c>
    </row>
    <row r="2317" spans="1:6" ht="13.2">
      <c r="A2317" t="s">
        <v>476</v>
      </c>
      <c r="B2317">
        <v>280</v>
      </c>
      <c r="C2317" s="44" t="s">
        <v>200</v>
      </c>
      <c r="D2317" t="s">
        <v>291</v>
      </c>
      <c r="E2317" t="s">
        <v>231</v>
      </c>
      <c r="F2317">
        <v>4</v>
      </c>
    </row>
    <row r="2318" spans="1:6" ht="13.2">
      <c r="A2318" t="s">
        <v>477</v>
      </c>
      <c r="B2318">
        <v>280</v>
      </c>
      <c r="C2318" s="44" t="s">
        <v>200</v>
      </c>
      <c r="D2318" t="s">
        <v>291</v>
      </c>
      <c r="E2318" t="s">
        <v>231</v>
      </c>
      <c r="F2318">
        <v>4</v>
      </c>
    </row>
    <row r="2319" spans="1:6" ht="13.2">
      <c r="A2319" t="s">
        <v>478</v>
      </c>
      <c r="B2319">
        <v>280</v>
      </c>
      <c r="C2319" s="44" t="s">
        <v>200</v>
      </c>
      <c r="D2319" t="s">
        <v>291</v>
      </c>
      <c r="E2319" t="s">
        <v>231</v>
      </c>
      <c r="F2319">
        <v>4</v>
      </c>
    </row>
    <row r="2320" spans="1:6" ht="13.2">
      <c r="A2320" t="s">
        <v>4186</v>
      </c>
      <c r="B2320">
        <v>0</v>
      </c>
      <c r="C2320" s="44" t="s">
        <v>204</v>
      </c>
      <c r="D2320" t="s">
        <v>293</v>
      </c>
      <c r="E2320" t="s">
        <v>653</v>
      </c>
      <c r="F2320">
        <v>4</v>
      </c>
    </row>
    <row r="2321" spans="1:6" ht="13.2">
      <c r="A2321" t="s">
        <v>4185</v>
      </c>
      <c r="B2321">
        <v>0</v>
      </c>
      <c r="C2321" s="44" t="s">
        <v>204</v>
      </c>
      <c r="D2321" t="s">
        <v>293</v>
      </c>
      <c r="E2321" t="s">
        <v>653</v>
      </c>
      <c r="F2321">
        <v>4</v>
      </c>
    </row>
    <row r="2322" spans="1:6" ht="13.2">
      <c r="A2322" t="s">
        <v>4183</v>
      </c>
      <c r="B2322">
        <v>0</v>
      </c>
      <c r="C2322" s="44" t="s">
        <v>204</v>
      </c>
      <c r="D2322" t="s">
        <v>293</v>
      </c>
      <c r="E2322" t="s">
        <v>653</v>
      </c>
      <c r="F2322">
        <v>4</v>
      </c>
    </row>
    <row r="2323" spans="1:6" ht="13.2">
      <c r="A2323" t="s">
        <v>4187</v>
      </c>
      <c r="B2323">
        <v>0</v>
      </c>
      <c r="C2323" s="44" t="s">
        <v>204</v>
      </c>
      <c r="D2323" t="s">
        <v>293</v>
      </c>
      <c r="E2323" t="s">
        <v>653</v>
      </c>
      <c r="F2323">
        <v>4</v>
      </c>
    </row>
    <row r="2324" spans="1:6" ht="13.2">
      <c r="A2324" t="s">
        <v>4184</v>
      </c>
      <c r="B2324">
        <v>0</v>
      </c>
      <c r="C2324" s="44" t="s">
        <v>204</v>
      </c>
      <c r="D2324" t="s">
        <v>293</v>
      </c>
      <c r="E2324" t="s">
        <v>653</v>
      </c>
      <c r="F2324">
        <v>4</v>
      </c>
    </row>
    <row r="2325" spans="1:6" ht="13.2">
      <c r="A2325" t="s">
        <v>4188</v>
      </c>
      <c r="B2325">
        <v>0</v>
      </c>
      <c r="C2325" s="44" t="s">
        <v>204</v>
      </c>
      <c r="D2325" t="s">
        <v>293</v>
      </c>
      <c r="E2325" t="s">
        <v>653</v>
      </c>
      <c r="F2325">
        <v>4</v>
      </c>
    </row>
    <row r="2326" spans="1:6" ht="13.2">
      <c r="A2326" t="s">
        <v>1722</v>
      </c>
      <c r="B2326">
        <v>0</v>
      </c>
      <c r="C2326" s="44">
        <v>2950</v>
      </c>
      <c r="D2326" t="s">
        <v>293</v>
      </c>
      <c r="E2326" t="s">
        <v>256</v>
      </c>
      <c r="F2326">
        <v>4</v>
      </c>
    </row>
    <row r="2327" spans="1:6" ht="13.2">
      <c r="A2327" t="s">
        <v>1721</v>
      </c>
      <c r="B2327">
        <v>0</v>
      </c>
      <c r="C2327" s="44">
        <v>2950</v>
      </c>
      <c r="D2327" t="s">
        <v>293</v>
      </c>
      <c r="E2327" t="s">
        <v>256</v>
      </c>
      <c r="F2327">
        <v>4</v>
      </c>
    </row>
    <row r="2328" spans="1:6" ht="13.2">
      <c r="A2328" t="s">
        <v>1713</v>
      </c>
      <c r="B2328">
        <v>0</v>
      </c>
      <c r="C2328" s="44">
        <v>2950</v>
      </c>
      <c r="D2328" t="s">
        <v>293</v>
      </c>
      <c r="E2328" t="s">
        <v>256</v>
      </c>
      <c r="F2328">
        <v>4</v>
      </c>
    </row>
    <row r="2329" spans="1:6" ht="13.2">
      <c r="A2329" t="s">
        <v>1711</v>
      </c>
      <c r="B2329">
        <v>0</v>
      </c>
      <c r="C2329" s="44">
        <v>2950</v>
      </c>
      <c r="D2329" t="s">
        <v>293</v>
      </c>
      <c r="E2329" t="s">
        <v>256</v>
      </c>
      <c r="F2329">
        <v>4</v>
      </c>
    </row>
    <row r="2330" spans="1:6" ht="13.2">
      <c r="A2330" t="s">
        <v>1723</v>
      </c>
      <c r="B2330">
        <v>0</v>
      </c>
      <c r="C2330" s="44">
        <v>2950</v>
      </c>
      <c r="D2330" t="s">
        <v>293</v>
      </c>
      <c r="E2330" t="s">
        <v>256</v>
      </c>
      <c r="F2330">
        <v>4</v>
      </c>
    </row>
    <row r="2331" spans="1:6" ht="13.2">
      <c r="A2331" t="s">
        <v>1714</v>
      </c>
      <c r="B2331">
        <v>0</v>
      </c>
      <c r="C2331" s="44">
        <v>2950</v>
      </c>
      <c r="D2331" t="s">
        <v>293</v>
      </c>
      <c r="E2331" t="s">
        <v>256</v>
      </c>
      <c r="F2331">
        <v>4</v>
      </c>
    </row>
    <row r="2332" spans="1:6" ht="13.2">
      <c r="A2332" t="s">
        <v>1716</v>
      </c>
      <c r="B2332">
        <v>0</v>
      </c>
      <c r="C2332" s="44">
        <v>2950</v>
      </c>
      <c r="D2332" t="s">
        <v>293</v>
      </c>
      <c r="E2332" t="s">
        <v>256</v>
      </c>
      <c r="F2332">
        <v>4</v>
      </c>
    </row>
    <row r="2333" spans="1:6" ht="13.2">
      <c r="A2333" t="s">
        <v>1726</v>
      </c>
      <c r="B2333">
        <v>0</v>
      </c>
      <c r="C2333" s="44">
        <v>2950</v>
      </c>
      <c r="D2333" t="s">
        <v>293</v>
      </c>
      <c r="E2333" t="s">
        <v>256</v>
      </c>
      <c r="F2333">
        <v>4</v>
      </c>
    </row>
    <row r="2334" spans="1:6" ht="13.2">
      <c r="A2334" t="s">
        <v>1720</v>
      </c>
      <c r="B2334">
        <v>0</v>
      </c>
      <c r="C2334" s="44">
        <v>2950</v>
      </c>
      <c r="D2334" t="s">
        <v>293</v>
      </c>
      <c r="E2334" t="s">
        <v>256</v>
      </c>
      <c r="F2334">
        <v>4</v>
      </c>
    </row>
    <row r="2335" spans="1:6" ht="13.2">
      <c r="A2335" t="s">
        <v>1725</v>
      </c>
      <c r="B2335">
        <v>0</v>
      </c>
      <c r="C2335" s="44">
        <v>2950</v>
      </c>
      <c r="D2335" t="s">
        <v>293</v>
      </c>
      <c r="E2335" t="s">
        <v>256</v>
      </c>
      <c r="F2335">
        <v>4</v>
      </c>
    </row>
    <row r="2336" spans="1:6" ht="13.2">
      <c r="A2336" t="s">
        <v>1717</v>
      </c>
      <c r="B2336">
        <v>0</v>
      </c>
      <c r="C2336" s="44">
        <v>2950</v>
      </c>
      <c r="D2336" t="s">
        <v>293</v>
      </c>
      <c r="E2336" t="s">
        <v>256</v>
      </c>
      <c r="F2336">
        <v>4</v>
      </c>
    </row>
    <row r="2337" spans="1:6" ht="13.2">
      <c r="A2337" t="s">
        <v>1724</v>
      </c>
      <c r="B2337">
        <v>0</v>
      </c>
      <c r="C2337" s="44">
        <v>2950</v>
      </c>
      <c r="D2337" t="s">
        <v>293</v>
      </c>
      <c r="E2337" t="s">
        <v>256</v>
      </c>
      <c r="F2337">
        <v>4</v>
      </c>
    </row>
    <row r="2338" spans="1:6" ht="13.2">
      <c r="A2338" t="s">
        <v>1727</v>
      </c>
      <c r="B2338">
        <v>0</v>
      </c>
      <c r="C2338" s="44">
        <v>2950</v>
      </c>
      <c r="D2338" t="s">
        <v>293</v>
      </c>
      <c r="E2338" t="s">
        <v>256</v>
      </c>
      <c r="F2338">
        <v>4</v>
      </c>
    </row>
    <row r="2339" spans="1:6" ht="13.2">
      <c r="A2339" t="s">
        <v>1719</v>
      </c>
      <c r="B2339">
        <v>0</v>
      </c>
      <c r="C2339" s="44">
        <v>2950</v>
      </c>
      <c r="D2339" t="s">
        <v>293</v>
      </c>
      <c r="E2339" t="s">
        <v>256</v>
      </c>
      <c r="F2339">
        <v>4</v>
      </c>
    </row>
    <row r="2340" spans="1:6" ht="13.2">
      <c r="A2340" t="s">
        <v>1712</v>
      </c>
      <c r="B2340">
        <v>0</v>
      </c>
      <c r="C2340" s="44">
        <v>2950</v>
      </c>
      <c r="D2340" t="s">
        <v>293</v>
      </c>
      <c r="E2340" t="s">
        <v>256</v>
      </c>
      <c r="F2340">
        <v>4</v>
      </c>
    </row>
    <row r="2341" spans="1:6" ht="13.2">
      <c r="A2341" t="s">
        <v>1715</v>
      </c>
      <c r="B2341">
        <v>0</v>
      </c>
      <c r="C2341" s="44">
        <v>2950</v>
      </c>
      <c r="D2341" t="s">
        <v>293</v>
      </c>
      <c r="E2341" t="s">
        <v>256</v>
      </c>
      <c r="F2341">
        <v>4</v>
      </c>
    </row>
    <row r="2342" spans="1:6" ht="13.2">
      <c r="A2342" t="s">
        <v>1718</v>
      </c>
      <c r="B2342">
        <v>0</v>
      </c>
      <c r="C2342" s="44">
        <v>2950</v>
      </c>
      <c r="D2342" t="s">
        <v>293</v>
      </c>
      <c r="E2342" t="s">
        <v>256</v>
      </c>
      <c r="F2342">
        <v>4</v>
      </c>
    </row>
    <row r="2343" spans="1:6" ht="13.2">
      <c r="A2343" t="s">
        <v>1728</v>
      </c>
      <c r="B2343">
        <v>0</v>
      </c>
      <c r="C2343" s="44">
        <v>2950</v>
      </c>
      <c r="D2343" t="s">
        <v>293</v>
      </c>
      <c r="E2343" t="s">
        <v>256</v>
      </c>
      <c r="F2343">
        <v>4</v>
      </c>
    </row>
    <row r="2344" spans="1:6" ht="13.2">
      <c r="A2344" t="s">
        <v>1206</v>
      </c>
      <c r="B2344">
        <v>0</v>
      </c>
      <c r="C2344" s="44" t="s">
        <v>204</v>
      </c>
      <c r="D2344" s="45" t="s">
        <v>293</v>
      </c>
      <c r="E2344" t="s">
        <v>257</v>
      </c>
      <c r="F2344">
        <v>4</v>
      </c>
    </row>
    <row r="2345" spans="1:6" ht="13.2">
      <c r="A2345" t="s">
        <v>1207</v>
      </c>
      <c r="B2345">
        <v>0</v>
      </c>
      <c r="C2345" s="44" t="s">
        <v>204</v>
      </c>
      <c r="D2345" s="45" t="s">
        <v>293</v>
      </c>
      <c r="E2345" t="s">
        <v>257</v>
      </c>
      <c r="F2345">
        <v>4</v>
      </c>
    </row>
    <row r="2346" spans="1:6" ht="13.2">
      <c r="A2346" t="s">
        <v>1208</v>
      </c>
      <c r="B2346">
        <v>0</v>
      </c>
      <c r="C2346" s="44" t="s">
        <v>204</v>
      </c>
      <c r="D2346" s="45" t="s">
        <v>293</v>
      </c>
      <c r="E2346" t="s">
        <v>257</v>
      </c>
      <c r="F2346">
        <v>4</v>
      </c>
    </row>
    <row r="2347" spans="1:6" ht="13.2">
      <c r="A2347" t="s">
        <v>1209</v>
      </c>
      <c r="B2347">
        <v>0</v>
      </c>
      <c r="C2347" s="44" t="s">
        <v>204</v>
      </c>
      <c r="D2347" s="45" t="s">
        <v>293</v>
      </c>
      <c r="E2347" t="s">
        <v>257</v>
      </c>
      <c r="F2347">
        <v>4</v>
      </c>
    </row>
    <row r="2348" spans="1:6" ht="13.2">
      <c r="A2348" t="s">
        <v>1210</v>
      </c>
      <c r="B2348">
        <v>0</v>
      </c>
      <c r="C2348" s="44" t="s">
        <v>204</v>
      </c>
      <c r="D2348" s="45" t="s">
        <v>293</v>
      </c>
      <c r="E2348" t="s">
        <v>257</v>
      </c>
      <c r="F2348">
        <v>4</v>
      </c>
    </row>
    <row r="2349" spans="1:6" ht="13.2">
      <c r="A2349" t="s">
        <v>1211</v>
      </c>
      <c r="B2349">
        <v>0</v>
      </c>
      <c r="C2349" s="44" t="s">
        <v>204</v>
      </c>
      <c r="D2349" s="45" t="s">
        <v>293</v>
      </c>
      <c r="E2349" t="s">
        <v>257</v>
      </c>
      <c r="F2349">
        <v>4</v>
      </c>
    </row>
    <row r="2350" spans="1:6" ht="13.2">
      <c r="A2350" t="s">
        <v>1212</v>
      </c>
      <c r="B2350">
        <v>0</v>
      </c>
      <c r="C2350" s="44" t="s">
        <v>204</v>
      </c>
      <c r="D2350" s="45" t="s">
        <v>293</v>
      </c>
      <c r="E2350" t="s">
        <v>257</v>
      </c>
      <c r="F2350">
        <v>4</v>
      </c>
    </row>
    <row r="2351" spans="1:6" ht="13.2">
      <c r="A2351" t="s">
        <v>1213</v>
      </c>
      <c r="B2351">
        <v>0</v>
      </c>
      <c r="C2351" s="44" t="s">
        <v>204</v>
      </c>
      <c r="D2351" s="45" t="s">
        <v>293</v>
      </c>
      <c r="E2351" t="s">
        <v>257</v>
      </c>
      <c r="F2351">
        <v>4</v>
      </c>
    </row>
    <row r="2352" spans="1:6" ht="13.2">
      <c r="A2352" t="s">
        <v>1214</v>
      </c>
      <c r="B2352">
        <v>0</v>
      </c>
      <c r="C2352" s="44" t="s">
        <v>204</v>
      </c>
      <c r="D2352" s="45" t="s">
        <v>293</v>
      </c>
      <c r="E2352" t="s">
        <v>257</v>
      </c>
      <c r="F2352">
        <v>4</v>
      </c>
    </row>
    <row r="2353" spans="1:6" ht="13.2">
      <c r="A2353" t="s">
        <v>1215</v>
      </c>
      <c r="B2353">
        <v>0</v>
      </c>
      <c r="C2353" s="44" t="s">
        <v>204</v>
      </c>
      <c r="D2353" s="45" t="s">
        <v>293</v>
      </c>
      <c r="E2353" t="s">
        <v>257</v>
      </c>
      <c r="F2353">
        <v>4</v>
      </c>
    </row>
    <row r="2354" spans="1:6" ht="13.2">
      <c r="A2354" t="s">
        <v>1216</v>
      </c>
      <c r="B2354">
        <v>0</v>
      </c>
      <c r="C2354" s="44" t="s">
        <v>204</v>
      </c>
      <c r="D2354" s="45" t="s">
        <v>293</v>
      </c>
      <c r="E2354" t="s">
        <v>257</v>
      </c>
      <c r="F2354">
        <v>4</v>
      </c>
    </row>
    <row r="2355" spans="1:6" ht="13.2">
      <c r="A2355" t="s">
        <v>1217</v>
      </c>
      <c r="B2355">
        <v>0</v>
      </c>
      <c r="C2355" s="44" t="s">
        <v>204</v>
      </c>
      <c r="D2355" s="45" t="s">
        <v>293</v>
      </c>
      <c r="E2355" t="s">
        <v>257</v>
      </c>
      <c r="F2355">
        <v>4</v>
      </c>
    </row>
    <row r="2356" spans="1:6" ht="13.2">
      <c r="A2356" t="s">
        <v>1218</v>
      </c>
      <c r="B2356">
        <v>0</v>
      </c>
      <c r="C2356" s="44" t="s">
        <v>204</v>
      </c>
      <c r="D2356" s="45" t="s">
        <v>293</v>
      </c>
      <c r="E2356" t="s">
        <v>257</v>
      </c>
      <c r="F2356">
        <v>4</v>
      </c>
    </row>
    <row r="2357" spans="1:6" ht="13.2">
      <c r="A2357" t="s">
        <v>1219</v>
      </c>
      <c r="B2357">
        <v>0</v>
      </c>
      <c r="C2357" s="44" t="s">
        <v>204</v>
      </c>
      <c r="D2357" s="45" t="s">
        <v>293</v>
      </c>
      <c r="E2357" t="s">
        <v>257</v>
      </c>
      <c r="F2357">
        <v>4</v>
      </c>
    </row>
    <row r="2358" spans="1:6" ht="13.2">
      <c r="A2358" t="s">
        <v>1220</v>
      </c>
      <c r="B2358">
        <v>0</v>
      </c>
      <c r="C2358" s="44" t="s">
        <v>204</v>
      </c>
      <c r="D2358" s="45" t="s">
        <v>293</v>
      </c>
      <c r="E2358" t="s">
        <v>257</v>
      </c>
      <c r="F2358">
        <v>4</v>
      </c>
    </row>
    <row r="2359" spans="1:6" ht="13.2">
      <c r="A2359" t="s">
        <v>1221</v>
      </c>
      <c r="B2359">
        <v>0</v>
      </c>
      <c r="C2359" s="44" t="s">
        <v>204</v>
      </c>
      <c r="D2359" s="45" t="s">
        <v>293</v>
      </c>
      <c r="E2359" t="s">
        <v>257</v>
      </c>
      <c r="F2359">
        <v>4</v>
      </c>
    </row>
    <row r="2360" spans="1:6" ht="13.2">
      <c r="A2360" t="s">
        <v>1222</v>
      </c>
      <c r="B2360">
        <v>0</v>
      </c>
      <c r="C2360" s="44" t="s">
        <v>204</v>
      </c>
      <c r="D2360" s="45" t="s">
        <v>293</v>
      </c>
      <c r="E2360" t="s">
        <v>257</v>
      </c>
      <c r="F2360">
        <v>4</v>
      </c>
    </row>
    <row r="2361" spans="1:6" ht="13.2">
      <c r="A2361" t="s">
        <v>1223</v>
      </c>
      <c r="B2361">
        <v>0</v>
      </c>
      <c r="C2361" s="44" t="s">
        <v>204</v>
      </c>
      <c r="D2361" s="45" t="s">
        <v>293</v>
      </c>
      <c r="E2361" t="s">
        <v>257</v>
      </c>
      <c r="F2361">
        <v>4</v>
      </c>
    </row>
    <row r="2362" spans="1:6" ht="13.2">
      <c r="A2362" t="s">
        <v>1224</v>
      </c>
      <c r="B2362">
        <v>0</v>
      </c>
      <c r="C2362" s="44" t="s">
        <v>204</v>
      </c>
      <c r="D2362" s="45" t="s">
        <v>293</v>
      </c>
      <c r="E2362" t="s">
        <v>257</v>
      </c>
      <c r="F2362">
        <v>4</v>
      </c>
    </row>
    <row r="2363" spans="1:6" ht="13.2">
      <c r="A2363" t="s">
        <v>1225</v>
      </c>
      <c r="B2363">
        <v>0</v>
      </c>
      <c r="C2363" s="44" t="s">
        <v>204</v>
      </c>
      <c r="D2363" s="45" t="s">
        <v>293</v>
      </c>
      <c r="E2363" t="s">
        <v>257</v>
      </c>
      <c r="F2363">
        <v>4</v>
      </c>
    </row>
    <row r="2364" spans="1:6" ht="13.2">
      <c r="A2364" t="s">
        <v>1226</v>
      </c>
      <c r="B2364">
        <v>0</v>
      </c>
      <c r="C2364" s="44" t="s">
        <v>204</v>
      </c>
      <c r="D2364" s="45" t="s">
        <v>293</v>
      </c>
      <c r="E2364" t="s">
        <v>257</v>
      </c>
      <c r="F2364">
        <v>4</v>
      </c>
    </row>
    <row r="2365" spans="1:6" ht="13.2">
      <c r="A2365" t="s">
        <v>4242</v>
      </c>
      <c r="B2365">
        <v>1360</v>
      </c>
      <c r="C2365" s="44">
        <v>3000</v>
      </c>
      <c r="D2365" t="s">
        <v>293</v>
      </c>
      <c r="E2365" t="s">
        <v>256</v>
      </c>
      <c r="F2365">
        <v>4</v>
      </c>
    </row>
    <row r="2366" spans="1:6" ht="13.2">
      <c r="A2366" t="s">
        <v>4243</v>
      </c>
      <c r="B2366">
        <v>1360</v>
      </c>
      <c r="C2366" s="44">
        <v>3000</v>
      </c>
      <c r="D2366" t="s">
        <v>293</v>
      </c>
      <c r="E2366" t="s">
        <v>256</v>
      </c>
      <c r="F2366">
        <v>4</v>
      </c>
    </row>
    <row r="2367" spans="1:6" ht="13.2">
      <c r="A2367" t="s">
        <v>1933</v>
      </c>
      <c r="B2367">
        <v>0</v>
      </c>
      <c r="C2367" s="44">
        <v>2800</v>
      </c>
      <c r="D2367" t="s">
        <v>293</v>
      </c>
      <c r="E2367" t="s">
        <v>256</v>
      </c>
      <c r="F2367" t="s">
        <v>280</v>
      </c>
    </row>
    <row r="2368" spans="1:6" ht="13.2">
      <c r="A2368" t="s">
        <v>1934</v>
      </c>
      <c r="B2368">
        <v>0</v>
      </c>
      <c r="C2368" s="44">
        <v>2800</v>
      </c>
      <c r="D2368" t="s">
        <v>293</v>
      </c>
      <c r="E2368" t="s">
        <v>256</v>
      </c>
      <c r="F2368" t="s">
        <v>280</v>
      </c>
    </row>
    <row r="2369" spans="1:6" ht="13.2">
      <c r="A2369" t="s">
        <v>1935</v>
      </c>
      <c r="B2369">
        <v>0</v>
      </c>
      <c r="C2369" s="44">
        <v>2800</v>
      </c>
      <c r="D2369" t="s">
        <v>293</v>
      </c>
      <c r="E2369" t="s">
        <v>256</v>
      </c>
      <c r="F2369" t="s">
        <v>280</v>
      </c>
    </row>
    <row r="2370" spans="1:6" ht="13.2">
      <c r="A2370" t="s">
        <v>1936</v>
      </c>
      <c r="B2370">
        <v>0</v>
      </c>
      <c r="C2370" s="44">
        <v>2800</v>
      </c>
      <c r="D2370" t="s">
        <v>293</v>
      </c>
      <c r="E2370" t="s">
        <v>256</v>
      </c>
      <c r="F2370" t="s">
        <v>280</v>
      </c>
    </row>
    <row r="2371" spans="1:6" ht="13.2">
      <c r="A2371" t="s">
        <v>1937</v>
      </c>
      <c r="B2371">
        <v>0</v>
      </c>
      <c r="C2371" s="44">
        <v>2800</v>
      </c>
      <c r="D2371" t="s">
        <v>293</v>
      </c>
      <c r="E2371" t="s">
        <v>256</v>
      </c>
      <c r="F2371" t="s">
        <v>280</v>
      </c>
    </row>
    <row r="2372" spans="1:6" ht="13.2">
      <c r="A2372" t="s">
        <v>1938</v>
      </c>
      <c r="B2372">
        <v>0</v>
      </c>
      <c r="C2372" s="44">
        <v>2800</v>
      </c>
      <c r="D2372" t="s">
        <v>293</v>
      </c>
      <c r="E2372" t="s">
        <v>256</v>
      </c>
      <c r="F2372" t="s">
        <v>280</v>
      </c>
    </row>
    <row r="2373" spans="1:6" ht="13.2">
      <c r="A2373" t="s">
        <v>1939</v>
      </c>
      <c r="B2373">
        <v>0</v>
      </c>
      <c r="C2373" s="44">
        <v>2800</v>
      </c>
      <c r="D2373" t="s">
        <v>293</v>
      </c>
      <c r="E2373" t="s">
        <v>256</v>
      </c>
      <c r="F2373" t="s">
        <v>280</v>
      </c>
    </row>
    <row r="2374" spans="1:6" ht="13.2">
      <c r="A2374" t="s">
        <v>1940</v>
      </c>
      <c r="B2374">
        <v>0</v>
      </c>
      <c r="C2374" s="44">
        <v>2800</v>
      </c>
      <c r="D2374" t="s">
        <v>293</v>
      </c>
      <c r="E2374" t="s">
        <v>256</v>
      </c>
      <c r="F2374" t="s">
        <v>280</v>
      </c>
    </row>
    <row r="2375" spans="1:6" ht="13.2">
      <c r="A2375" t="s">
        <v>1941</v>
      </c>
      <c r="B2375">
        <v>0</v>
      </c>
      <c r="C2375" s="44">
        <v>2800</v>
      </c>
      <c r="D2375" t="s">
        <v>293</v>
      </c>
      <c r="E2375" t="s">
        <v>256</v>
      </c>
      <c r="F2375" t="s">
        <v>280</v>
      </c>
    </row>
    <row r="2376" spans="1:6" ht="13.2">
      <c r="A2376" t="s">
        <v>1942</v>
      </c>
      <c r="B2376">
        <v>0</v>
      </c>
      <c r="C2376" s="44">
        <v>2800</v>
      </c>
      <c r="D2376" t="s">
        <v>293</v>
      </c>
      <c r="E2376" t="s">
        <v>256</v>
      </c>
      <c r="F2376" t="s">
        <v>280</v>
      </c>
    </row>
    <row r="2377" spans="1:6" ht="13.2">
      <c r="A2377" t="s">
        <v>1943</v>
      </c>
      <c r="B2377">
        <v>0</v>
      </c>
      <c r="C2377" s="44">
        <v>2800</v>
      </c>
      <c r="D2377" t="s">
        <v>293</v>
      </c>
      <c r="E2377" t="s">
        <v>256</v>
      </c>
      <c r="F2377" t="s">
        <v>280</v>
      </c>
    </row>
    <row r="2378" spans="1:6" ht="13.2">
      <c r="A2378" t="s">
        <v>1944</v>
      </c>
      <c r="B2378">
        <v>0</v>
      </c>
      <c r="C2378" s="44">
        <v>2800</v>
      </c>
      <c r="D2378" t="s">
        <v>293</v>
      </c>
      <c r="E2378" t="s">
        <v>256</v>
      </c>
      <c r="F2378" t="s">
        <v>280</v>
      </c>
    </row>
    <row r="2379" spans="1:6" ht="13.2">
      <c r="A2379" t="s">
        <v>2320</v>
      </c>
      <c r="B2379">
        <v>0</v>
      </c>
      <c r="C2379" s="44" t="s">
        <v>202</v>
      </c>
      <c r="D2379" t="s">
        <v>291</v>
      </c>
      <c r="E2379" t="s">
        <v>231</v>
      </c>
      <c r="F2379">
        <v>4</v>
      </c>
    </row>
    <row r="2380" spans="1:6" ht="13.2">
      <c r="A2380" t="s">
        <v>2321</v>
      </c>
      <c r="B2380">
        <v>0</v>
      </c>
      <c r="C2380" s="44" t="s">
        <v>202</v>
      </c>
      <c r="D2380" t="s">
        <v>291</v>
      </c>
      <c r="E2380" t="s">
        <v>231</v>
      </c>
      <c r="F2380">
        <v>4</v>
      </c>
    </row>
    <row r="2381" spans="1:6" ht="13.2">
      <c r="A2381" t="s">
        <v>2322</v>
      </c>
      <c r="B2381">
        <v>0</v>
      </c>
      <c r="C2381" s="44" t="s">
        <v>202</v>
      </c>
      <c r="D2381" t="s">
        <v>291</v>
      </c>
      <c r="E2381" t="s">
        <v>231</v>
      </c>
      <c r="F2381">
        <v>4</v>
      </c>
    </row>
    <row r="2382" spans="1:6" ht="13.2">
      <c r="A2382" t="s">
        <v>2323</v>
      </c>
      <c r="B2382">
        <v>0</v>
      </c>
      <c r="C2382" s="44" t="s">
        <v>202</v>
      </c>
      <c r="D2382" t="s">
        <v>291</v>
      </c>
      <c r="E2382" t="s">
        <v>231</v>
      </c>
      <c r="F2382">
        <v>4</v>
      </c>
    </row>
    <row r="2383" spans="1:6" ht="13.2">
      <c r="A2383" t="s">
        <v>2324</v>
      </c>
      <c r="B2383">
        <v>0</v>
      </c>
      <c r="C2383" s="44" t="s">
        <v>202</v>
      </c>
      <c r="D2383" t="s">
        <v>291</v>
      </c>
      <c r="E2383" t="s">
        <v>231</v>
      </c>
      <c r="F2383">
        <v>4</v>
      </c>
    </row>
    <row r="2384" spans="1:6" ht="13.2">
      <c r="A2384" t="s">
        <v>2325</v>
      </c>
      <c r="B2384">
        <v>0</v>
      </c>
      <c r="C2384" s="44" t="s">
        <v>202</v>
      </c>
      <c r="D2384" t="s">
        <v>291</v>
      </c>
      <c r="E2384" t="s">
        <v>231</v>
      </c>
      <c r="F2384">
        <v>4</v>
      </c>
    </row>
    <row r="2385" spans="1:6" ht="13.2">
      <c r="A2385" t="s">
        <v>2326</v>
      </c>
      <c r="B2385">
        <v>0</v>
      </c>
      <c r="C2385" s="44" t="s">
        <v>202</v>
      </c>
      <c r="D2385" t="s">
        <v>291</v>
      </c>
      <c r="E2385" t="s">
        <v>231</v>
      </c>
      <c r="F2385">
        <v>4</v>
      </c>
    </row>
    <row r="2386" spans="1:6" ht="13.2">
      <c r="A2386" t="s">
        <v>2327</v>
      </c>
      <c r="B2386">
        <v>0</v>
      </c>
      <c r="C2386" s="44" t="s">
        <v>202</v>
      </c>
      <c r="D2386" t="s">
        <v>291</v>
      </c>
      <c r="E2386" t="s">
        <v>231</v>
      </c>
      <c r="F2386">
        <v>4</v>
      </c>
    </row>
    <row r="2387" spans="1:6" ht="13.2">
      <c r="A2387" t="s">
        <v>2328</v>
      </c>
      <c r="B2387">
        <v>0</v>
      </c>
      <c r="C2387" s="44" t="s">
        <v>202</v>
      </c>
      <c r="D2387" t="s">
        <v>291</v>
      </c>
      <c r="E2387" t="s">
        <v>231</v>
      </c>
      <c r="F2387">
        <v>4</v>
      </c>
    </row>
    <row r="2388" spans="1:6" ht="13.2">
      <c r="A2388" t="s">
        <v>2329</v>
      </c>
      <c r="B2388">
        <v>0</v>
      </c>
      <c r="C2388" s="44" t="s">
        <v>202</v>
      </c>
      <c r="D2388" t="s">
        <v>291</v>
      </c>
      <c r="E2388" t="s">
        <v>231</v>
      </c>
      <c r="F2388">
        <v>4</v>
      </c>
    </row>
    <row r="2389" spans="1:6" ht="13.2">
      <c r="A2389" t="s">
        <v>2330</v>
      </c>
      <c r="B2389">
        <v>680</v>
      </c>
      <c r="C2389" s="44">
        <v>1400</v>
      </c>
      <c r="D2389" t="s">
        <v>291</v>
      </c>
      <c r="E2389" t="s">
        <v>511</v>
      </c>
      <c r="F2389">
        <v>4</v>
      </c>
    </row>
    <row r="2390" spans="1:6" ht="13.2">
      <c r="A2390" t="s">
        <v>2331</v>
      </c>
      <c r="B2390">
        <v>680</v>
      </c>
      <c r="C2390" s="44">
        <v>1400</v>
      </c>
      <c r="D2390" t="s">
        <v>291</v>
      </c>
      <c r="E2390" t="s">
        <v>511</v>
      </c>
      <c r="F2390">
        <v>4</v>
      </c>
    </row>
    <row r="2391" spans="1:6" ht="13.2">
      <c r="A2391" t="s">
        <v>2332</v>
      </c>
      <c r="B2391">
        <v>680</v>
      </c>
      <c r="C2391" s="44">
        <v>1400</v>
      </c>
      <c r="D2391" t="s">
        <v>291</v>
      </c>
      <c r="E2391" t="s">
        <v>511</v>
      </c>
      <c r="F2391">
        <v>4</v>
      </c>
    </row>
    <row r="2392" spans="1:6" ht="13.2">
      <c r="A2392" t="s">
        <v>2333</v>
      </c>
      <c r="B2392">
        <v>680</v>
      </c>
      <c r="C2392" s="44">
        <v>1400</v>
      </c>
      <c r="D2392" t="s">
        <v>291</v>
      </c>
      <c r="E2392" t="s">
        <v>511</v>
      </c>
      <c r="F2392">
        <v>4</v>
      </c>
    </row>
    <row r="2393" spans="1:6" ht="13.2">
      <c r="A2393" t="s">
        <v>2334</v>
      </c>
      <c r="B2393">
        <v>680</v>
      </c>
      <c r="C2393" s="44">
        <v>1400</v>
      </c>
      <c r="D2393" t="s">
        <v>291</v>
      </c>
      <c r="E2393" t="s">
        <v>511</v>
      </c>
      <c r="F2393">
        <v>4</v>
      </c>
    </row>
    <row r="2394" spans="1:6" ht="13.2">
      <c r="A2394" t="s">
        <v>2335</v>
      </c>
      <c r="B2394">
        <v>680</v>
      </c>
      <c r="C2394" s="44">
        <v>1400</v>
      </c>
      <c r="D2394" t="s">
        <v>291</v>
      </c>
      <c r="E2394" t="s">
        <v>511</v>
      </c>
      <c r="F2394">
        <v>4</v>
      </c>
    </row>
    <row r="2395" spans="1:6" ht="13.2">
      <c r="A2395" t="s">
        <v>1554</v>
      </c>
      <c r="B2395">
        <v>0</v>
      </c>
      <c r="C2395" s="44">
        <v>3200</v>
      </c>
      <c r="D2395" t="s">
        <v>293</v>
      </c>
      <c r="E2395" t="s">
        <v>256</v>
      </c>
      <c r="F2395">
        <v>4</v>
      </c>
    </row>
    <row r="2396" spans="1:6" ht="13.2">
      <c r="A2396" t="s">
        <v>1548</v>
      </c>
      <c r="B2396">
        <v>0</v>
      </c>
      <c r="C2396" s="44">
        <v>3200</v>
      </c>
      <c r="D2396" t="s">
        <v>293</v>
      </c>
      <c r="E2396" t="s">
        <v>256</v>
      </c>
      <c r="F2396">
        <v>4</v>
      </c>
    </row>
    <row r="2397" spans="1:6" ht="13.2">
      <c r="A2397" t="s">
        <v>1550</v>
      </c>
      <c r="B2397">
        <v>0</v>
      </c>
      <c r="C2397" s="44">
        <v>3200</v>
      </c>
      <c r="D2397" t="s">
        <v>293</v>
      </c>
      <c r="E2397" t="s">
        <v>256</v>
      </c>
      <c r="F2397">
        <v>4</v>
      </c>
    </row>
    <row r="2398" spans="1:6" ht="13.2">
      <c r="A2398" t="s">
        <v>1555</v>
      </c>
      <c r="B2398">
        <v>0</v>
      </c>
      <c r="C2398" s="44">
        <v>3200</v>
      </c>
      <c r="D2398" t="s">
        <v>293</v>
      </c>
      <c r="E2398" t="s">
        <v>256</v>
      </c>
      <c r="F2398">
        <v>4</v>
      </c>
    </row>
    <row r="2399" spans="1:6" ht="13.2">
      <c r="A2399" t="s">
        <v>1549</v>
      </c>
      <c r="B2399">
        <v>0</v>
      </c>
      <c r="C2399" s="44">
        <v>3200</v>
      </c>
      <c r="D2399" t="s">
        <v>293</v>
      </c>
      <c r="E2399" t="s">
        <v>256</v>
      </c>
      <c r="F2399">
        <v>4</v>
      </c>
    </row>
    <row r="2400" spans="1:6" ht="13.2">
      <c r="A2400" t="s">
        <v>1552</v>
      </c>
      <c r="B2400">
        <v>0</v>
      </c>
      <c r="C2400" s="44">
        <v>3200</v>
      </c>
      <c r="D2400" t="s">
        <v>293</v>
      </c>
      <c r="E2400" t="s">
        <v>256</v>
      </c>
      <c r="F2400">
        <v>4</v>
      </c>
    </row>
    <row r="2401" spans="1:6" ht="13.2">
      <c r="A2401" t="s">
        <v>1551</v>
      </c>
      <c r="B2401">
        <v>0</v>
      </c>
      <c r="C2401" s="44">
        <v>3200</v>
      </c>
      <c r="D2401" t="s">
        <v>293</v>
      </c>
      <c r="E2401" t="s">
        <v>256</v>
      </c>
      <c r="F2401">
        <v>4</v>
      </c>
    </row>
    <row r="2402" spans="1:6" ht="13.2">
      <c r="A2402" t="s">
        <v>1553</v>
      </c>
      <c r="B2402">
        <v>0</v>
      </c>
      <c r="C2402" s="44">
        <v>3200</v>
      </c>
      <c r="D2402" t="s">
        <v>293</v>
      </c>
      <c r="E2402" t="s">
        <v>256</v>
      </c>
      <c r="F2402">
        <v>4</v>
      </c>
    </row>
    <row r="2403" spans="1:6" ht="13.2">
      <c r="A2403" t="s">
        <v>1556</v>
      </c>
      <c r="B2403">
        <v>0</v>
      </c>
      <c r="C2403" s="44">
        <v>3200</v>
      </c>
      <c r="D2403" t="s">
        <v>293</v>
      </c>
      <c r="E2403" t="s">
        <v>256</v>
      </c>
      <c r="F2403">
        <v>4</v>
      </c>
    </row>
    <row r="2404" spans="1:6" ht="13.2">
      <c r="A2404" t="s">
        <v>5081</v>
      </c>
      <c r="B2404">
        <v>0</v>
      </c>
      <c r="C2404" s="44">
        <v>3200</v>
      </c>
      <c r="D2404" t="s">
        <v>293</v>
      </c>
      <c r="E2404" t="s">
        <v>256</v>
      </c>
      <c r="F2404">
        <v>4</v>
      </c>
    </row>
    <row r="2405" spans="1:6" ht="13.2">
      <c r="A2405" t="s">
        <v>5082</v>
      </c>
      <c r="B2405">
        <v>0</v>
      </c>
      <c r="C2405" s="44">
        <v>3200</v>
      </c>
      <c r="D2405" t="s">
        <v>293</v>
      </c>
      <c r="E2405" t="s">
        <v>256</v>
      </c>
      <c r="F2405">
        <v>4</v>
      </c>
    </row>
    <row r="2406" spans="1:6" ht="13.2">
      <c r="A2406" t="s">
        <v>5083</v>
      </c>
      <c r="B2406">
        <v>0</v>
      </c>
      <c r="C2406" s="44">
        <v>3200</v>
      </c>
      <c r="D2406" t="s">
        <v>293</v>
      </c>
      <c r="E2406" t="s">
        <v>256</v>
      </c>
      <c r="F2406">
        <v>4</v>
      </c>
    </row>
    <row r="2407" spans="1:6" ht="13.2">
      <c r="A2407" t="s">
        <v>5084</v>
      </c>
      <c r="B2407">
        <v>0</v>
      </c>
      <c r="C2407" s="44">
        <v>3200</v>
      </c>
      <c r="D2407" t="s">
        <v>293</v>
      </c>
      <c r="E2407" t="s">
        <v>256</v>
      </c>
      <c r="F2407">
        <v>4</v>
      </c>
    </row>
    <row r="2408" spans="1:6" ht="13.2">
      <c r="A2408" t="s">
        <v>3345</v>
      </c>
      <c r="B2408">
        <v>910</v>
      </c>
      <c r="C2408" s="44">
        <v>1350</v>
      </c>
      <c r="D2408" t="s">
        <v>291</v>
      </c>
      <c r="E2408" t="s">
        <v>364</v>
      </c>
      <c r="F2408">
        <v>3</v>
      </c>
    </row>
    <row r="2409" spans="1:6" ht="13.2">
      <c r="A2409" t="s">
        <v>3270</v>
      </c>
      <c r="B2409">
        <v>910</v>
      </c>
      <c r="C2409" s="44">
        <v>1350</v>
      </c>
      <c r="D2409" t="s">
        <v>291</v>
      </c>
      <c r="E2409" t="s">
        <v>364</v>
      </c>
      <c r="F2409">
        <v>3</v>
      </c>
    </row>
    <row r="2410" spans="1:6" ht="13.2">
      <c r="A2410" t="s">
        <v>3271</v>
      </c>
      <c r="B2410">
        <v>910</v>
      </c>
      <c r="C2410" s="44">
        <v>1350</v>
      </c>
      <c r="D2410" t="s">
        <v>291</v>
      </c>
      <c r="E2410" t="s">
        <v>364</v>
      </c>
      <c r="F2410">
        <v>3</v>
      </c>
    </row>
    <row r="2411" spans="1:6" ht="13.2">
      <c r="A2411" t="s">
        <v>3482</v>
      </c>
      <c r="B2411">
        <v>705</v>
      </c>
      <c r="C2411" s="44">
        <v>1390</v>
      </c>
      <c r="D2411" t="s">
        <v>291</v>
      </c>
      <c r="E2411" t="s">
        <v>577</v>
      </c>
      <c r="F2411" t="s">
        <v>723</v>
      </c>
    </row>
    <row r="2412" spans="1:6" ht="13.2">
      <c r="A2412" t="s">
        <v>3481</v>
      </c>
      <c r="B2412">
        <v>705</v>
      </c>
      <c r="C2412" s="44">
        <v>1390</v>
      </c>
      <c r="D2412" t="s">
        <v>291</v>
      </c>
      <c r="E2412" t="s">
        <v>577</v>
      </c>
      <c r="F2412" t="s">
        <v>723</v>
      </c>
    </row>
    <row r="2413" spans="1:6" ht="13.2">
      <c r="A2413" t="s">
        <v>3480</v>
      </c>
      <c r="B2413">
        <v>705</v>
      </c>
      <c r="C2413" s="44">
        <v>1390</v>
      </c>
      <c r="D2413" t="s">
        <v>291</v>
      </c>
      <c r="E2413" t="s">
        <v>577</v>
      </c>
      <c r="F2413" t="s">
        <v>723</v>
      </c>
    </row>
    <row r="2414" spans="1:6" ht="13.2">
      <c r="A2414" t="s">
        <v>3479</v>
      </c>
      <c r="B2414">
        <v>705</v>
      </c>
      <c r="C2414" s="44">
        <v>1390</v>
      </c>
      <c r="D2414" t="s">
        <v>291</v>
      </c>
      <c r="E2414" t="s">
        <v>577</v>
      </c>
      <c r="F2414" t="s">
        <v>723</v>
      </c>
    </row>
    <row r="2415" spans="1:6" ht="13.2">
      <c r="A2415" t="s">
        <v>3483</v>
      </c>
      <c r="B2415">
        <v>705</v>
      </c>
      <c r="C2415" s="44">
        <v>1390</v>
      </c>
      <c r="D2415" t="s">
        <v>291</v>
      </c>
      <c r="E2415" t="s">
        <v>577</v>
      </c>
      <c r="F2415" t="s">
        <v>723</v>
      </c>
    </row>
    <row r="2416" spans="1:6" ht="13.2">
      <c r="A2416" t="s">
        <v>6281</v>
      </c>
      <c r="B2416">
        <v>0</v>
      </c>
      <c r="C2416" s="44" t="s">
        <v>201</v>
      </c>
      <c r="D2416" t="s">
        <v>293</v>
      </c>
      <c r="E2416" t="s">
        <v>212</v>
      </c>
      <c r="F2416">
        <v>4</v>
      </c>
    </row>
    <row r="2417" spans="1:6" ht="13.2">
      <c r="A2417" t="s">
        <v>6275</v>
      </c>
      <c r="B2417">
        <v>0</v>
      </c>
      <c r="C2417" s="44" t="s">
        <v>201</v>
      </c>
      <c r="D2417" t="s">
        <v>293</v>
      </c>
      <c r="E2417" t="s">
        <v>212</v>
      </c>
      <c r="F2417">
        <v>4</v>
      </c>
    </row>
    <row r="2418" spans="1:6" ht="13.2">
      <c r="A2418" t="s">
        <v>6280</v>
      </c>
      <c r="B2418">
        <v>0</v>
      </c>
      <c r="C2418" s="44" t="s">
        <v>201</v>
      </c>
      <c r="D2418" t="s">
        <v>293</v>
      </c>
      <c r="E2418" t="s">
        <v>212</v>
      </c>
      <c r="F2418">
        <v>4</v>
      </c>
    </row>
    <row r="2419" spans="1:6" ht="13.2">
      <c r="A2419" t="s">
        <v>6284</v>
      </c>
      <c r="B2419">
        <v>0</v>
      </c>
      <c r="C2419" s="44" t="s">
        <v>201</v>
      </c>
      <c r="D2419" t="s">
        <v>293</v>
      </c>
      <c r="E2419" t="s">
        <v>212</v>
      </c>
      <c r="F2419">
        <v>4</v>
      </c>
    </row>
    <row r="2420" spans="1:6" ht="13.2">
      <c r="A2420" t="s">
        <v>6276</v>
      </c>
      <c r="B2420">
        <v>0</v>
      </c>
      <c r="C2420" s="44" t="s">
        <v>201</v>
      </c>
      <c r="D2420" t="s">
        <v>293</v>
      </c>
      <c r="E2420" t="s">
        <v>212</v>
      </c>
      <c r="F2420">
        <v>4</v>
      </c>
    </row>
    <row r="2421" spans="1:6" ht="13.2">
      <c r="A2421" t="s">
        <v>6277</v>
      </c>
      <c r="B2421">
        <v>0</v>
      </c>
      <c r="C2421" s="44" t="s">
        <v>201</v>
      </c>
      <c r="D2421" t="s">
        <v>293</v>
      </c>
      <c r="E2421" t="s">
        <v>212</v>
      </c>
      <c r="F2421">
        <v>4</v>
      </c>
    </row>
    <row r="2422" spans="1:6" ht="13.2">
      <c r="A2422" t="s">
        <v>6279</v>
      </c>
      <c r="B2422">
        <v>0</v>
      </c>
      <c r="C2422" s="44" t="s">
        <v>201</v>
      </c>
      <c r="D2422" t="s">
        <v>293</v>
      </c>
      <c r="E2422" t="s">
        <v>212</v>
      </c>
      <c r="F2422">
        <v>4</v>
      </c>
    </row>
    <row r="2423" spans="1:6" ht="13.2">
      <c r="A2423" t="s">
        <v>6283</v>
      </c>
      <c r="B2423">
        <v>0</v>
      </c>
      <c r="C2423" s="44" t="s">
        <v>201</v>
      </c>
      <c r="D2423" t="s">
        <v>293</v>
      </c>
      <c r="E2423" t="s">
        <v>212</v>
      </c>
      <c r="F2423">
        <v>4</v>
      </c>
    </row>
    <row r="2424" spans="1:6" ht="13.2">
      <c r="A2424" t="s">
        <v>6278</v>
      </c>
      <c r="B2424">
        <v>0</v>
      </c>
      <c r="C2424" s="44" t="s">
        <v>201</v>
      </c>
      <c r="D2424" t="s">
        <v>293</v>
      </c>
      <c r="E2424" t="s">
        <v>212</v>
      </c>
      <c r="F2424">
        <v>4</v>
      </c>
    </row>
    <row r="2425" spans="1:6" ht="13.2">
      <c r="A2425" t="s">
        <v>6273</v>
      </c>
      <c r="B2425">
        <v>0</v>
      </c>
      <c r="C2425" s="44" t="s">
        <v>201</v>
      </c>
      <c r="D2425" t="s">
        <v>293</v>
      </c>
      <c r="E2425" t="s">
        <v>212</v>
      </c>
      <c r="F2425">
        <v>4</v>
      </c>
    </row>
    <row r="2426" spans="1:6" ht="13.2">
      <c r="A2426" t="s">
        <v>6272</v>
      </c>
      <c r="B2426">
        <v>0</v>
      </c>
      <c r="C2426" s="44" t="s">
        <v>201</v>
      </c>
      <c r="D2426" t="s">
        <v>293</v>
      </c>
      <c r="E2426" t="s">
        <v>212</v>
      </c>
      <c r="F2426">
        <v>4</v>
      </c>
    </row>
    <row r="2427" spans="1:6" ht="13.2">
      <c r="A2427" t="s">
        <v>6282</v>
      </c>
      <c r="B2427">
        <v>0</v>
      </c>
      <c r="C2427" s="44" t="s">
        <v>201</v>
      </c>
      <c r="D2427" t="s">
        <v>293</v>
      </c>
      <c r="E2427" t="s">
        <v>212</v>
      </c>
      <c r="F2427">
        <v>4</v>
      </c>
    </row>
    <row r="2428" spans="1:6" ht="13.2">
      <c r="A2428" t="s">
        <v>6274</v>
      </c>
      <c r="B2428">
        <v>0</v>
      </c>
      <c r="C2428" s="44" t="s">
        <v>201</v>
      </c>
      <c r="D2428" t="s">
        <v>293</v>
      </c>
      <c r="E2428" t="s">
        <v>212</v>
      </c>
      <c r="F2428">
        <v>4</v>
      </c>
    </row>
    <row r="2429" spans="1:6" ht="13.2">
      <c r="A2429" t="s">
        <v>6271</v>
      </c>
      <c r="B2429">
        <v>0</v>
      </c>
      <c r="C2429" s="44" t="s">
        <v>201</v>
      </c>
      <c r="D2429" t="s">
        <v>293</v>
      </c>
      <c r="E2429" t="s">
        <v>212</v>
      </c>
      <c r="F2429">
        <v>4</v>
      </c>
    </row>
    <row r="2430" spans="1:6" ht="13.2">
      <c r="A2430" t="s">
        <v>6270</v>
      </c>
      <c r="B2430">
        <v>0</v>
      </c>
      <c r="C2430" s="44" t="s">
        <v>201</v>
      </c>
      <c r="D2430" t="s">
        <v>293</v>
      </c>
      <c r="E2430" t="s">
        <v>212</v>
      </c>
      <c r="F2430">
        <v>4</v>
      </c>
    </row>
    <row r="2431" spans="1:6" ht="13.2">
      <c r="A2431" t="s">
        <v>6296</v>
      </c>
      <c r="B2431">
        <v>0</v>
      </c>
      <c r="C2431" s="44" t="s">
        <v>201</v>
      </c>
      <c r="D2431" t="s">
        <v>291</v>
      </c>
      <c r="E2431" t="s">
        <v>212</v>
      </c>
      <c r="F2431">
        <v>4</v>
      </c>
    </row>
    <row r="2432" spans="1:6" ht="13.2">
      <c r="A2432" t="s">
        <v>6290</v>
      </c>
      <c r="B2432">
        <v>0</v>
      </c>
      <c r="C2432" s="44" t="s">
        <v>201</v>
      </c>
      <c r="D2432" t="s">
        <v>291</v>
      </c>
      <c r="E2432" t="s">
        <v>212</v>
      </c>
      <c r="F2432">
        <v>4</v>
      </c>
    </row>
    <row r="2433" spans="1:6" ht="13.2">
      <c r="A2433" t="s">
        <v>6295</v>
      </c>
      <c r="B2433">
        <v>0</v>
      </c>
      <c r="C2433" s="44" t="s">
        <v>201</v>
      </c>
      <c r="D2433" t="s">
        <v>291</v>
      </c>
      <c r="E2433" t="s">
        <v>212</v>
      </c>
      <c r="F2433">
        <v>4</v>
      </c>
    </row>
    <row r="2434" spans="1:6" ht="13.2">
      <c r="A2434" t="s">
        <v>6299</v>
      </c>
      <c r="B2434">
        <v>0</v>
      </c>
      <c r="C2434" s="44" t="s">
        <v>201</v>
      </c>
      <c r="D2434" t="s">
        <v>291</v>
      </c>
      <c r="E2434" t="s">
        <v>212</v>
      </c>
      <c r="F2434">
        <v>4</v>
      </c>
    </row>
    <row r="2435" spans="1:6" ht="13.2">
      <c r="A2435" t="s">
        <v>6291</v>
      </c>
      <c r="B2435">
        <v>0</v>
      </c>
      <c r="C2435" s="44" t="s">
        <v>201</v>
      </c>
      <c r="D2435" t="s">
        <v>291</v>
      </c>
      <c r="E2435" t="s">
        <v>212</v>
      </c>
      <c r="F2435">
        <v>4</v>
      </c>
    </row>
    <row r="2436" spans="1:6" ht="13.2">
      <c r="A2436" t="s">
        <v>6292</v>
      </c>
      <c r="B2436">
        <v>0</v>
      </c>
      <c r="C2436" s="44" t="s">
        <v>201</v>
      </c>
      <c r="D2436" t="s">
        <v>291</v>
      </c>
      <c r="E2436" t="s">
        <v>212</v>
      </c>
      <c r="F2436">
        <v>4</v>
      </c>
    </row>
    <row r="2437" spans="1:6" ht="13.2">
      <c r="A2437" t="s">
        <v>6294</v>
      </c>
      <c r="B2437">
        <v>0</v>
      </c>
      <c r="C2437" s="44" t="s">
        <v>201</v>
      </c>
      <c r="D2437" t="s">
        <v>291</v>
      </c>
      <c r="E2437" t="s">
        <v>212</v>
      </c>
      <c r="F2437">
        <v>4</v>
      </c>
    </row>
    <row r="2438" spans="1:6" ht="13.2">
      <c r="A2438" t="s">
        <v>6298</v>
      </c>
      <c r="B2438">
        <v>0</v>
      </c>
      <c r="C2438" s="44" t="s">
        <v>201</v>
      </c>
      <c r="D2438" t="s">
        <v>291</v>
      </c>
      <c r="E2438" t="s">
        <v>212</v>
      </c>
      <c r="F2438">
        <v>4</v>
      </c>
    </row>
    <row r="2439" spans="1:6" ht="13.2">
      <c r="A2439" t="s">
        <v>6293</v>
      </c>
      <c r="B2439">
        <v>0</v>
      </c>
      <c r="C2439" s="44" t="s">
        <v>201</v>
      </c>
      <c r="D2439" t="s">
        <v>291</v>
      </c>
      <c r="E2439" t="s">
        <v>212</v>
      </c>
      <c r="F2439">
        <v>4</v>
      </c>
    </row>
    <row r="2440" spans="1:6" ht="13.2">
      <c r="A2440" t="s">
        <v>6288</v>
      </c>
      <c r="B2440">
        <v>0</v>
      </c>
      <c r="C2440" s="44" t="s">
        <v>201</v>
      </c>
      <c r="D2440" t="s">
        <v>291</v>
      </c>
      <c r="E2440" t="s">
        <v>212</v>
      </c>
      <c r="F2440">
        <v>4</v>
      </c>
    </row>
    <row r="2441" spans="1:6" ht="13.2">
      <c r="A2441" t="s">
        <v>6287</v>
      </c>
      <c r="B2441">
        <v>0</v>
      </c>
      <c r="C2441" s="44" t="s">
        <v>201</v>
      </c>
      <c r="D2441" t="s">
        <v>291</v>
      </c>
      <c r="E2441" t="s">
        <v>212</v>
      </c>
      <c r="F2441">
        <v>4</v>
      </c>
    </row>
    <row r="2442" spans="1:6" ht="13.2">
      <c r="A2442" t="s">
        <v>6297</v>
      </c>
      <c r="B2442">
        <v>0</v>
      </c>
      <c r="C2442" s="44" t="s">
        <v>201</v>
      </c>
      <c r="D2442" t="s">
        <v>291</v>
      </c>
      <c r="E2442" t="s">
        <v>212</v>
      </c>
      <c r="F2442">
        <v>4</v>
      </c>
    </row>
    <row r="2443" spans="1:6" ht="13.2">
      <c r="A2443" t="s">
        <v>6289</v>
      </c>
      <c r="B2443">
        <v>0</v>
      </c>
      <c r="C2443" s="44" t="s">
        <v>201</v>
      </c>
      <c r="D2443" t="s">
        <v>291</v>
      </c>
      <c r="E2443" t="s">
        <v>212</v>
      </c>
      <c r="F2443">
        <v>4</v>
      </c>
    </row>
    <row r="2444" spans="1:6" ht="13.2">
      <c r="A2444" t="s">
        <v>6286</v>
      </c>
      <c r="B2444">
        <v>0</v>
      </c>
      <c r="C2444" s="44" t="s">
        <v>201</v>
      </c>
      <c r="D2444" t="s">
        <v>291</v>
      </c>
      <c r="E2444" t="s">
        <v>212</v>
      </c>
      <c r="F2444">
        <v>4</v>
      </c>
    </row>
    <row r="2445" spans="1:6" ht="13.2">
      <c r="A2445" t="s">
        <v>6285</v>
      </c>
      <c r="B2445">
        <v>0</v>
      </c>
      <c r="C2445" s="44" t="s">
        <v>201</v>
      </c>
      <c r="D2445" t="s">
        <v>291</v>
      </c>
      <c r="E2445" t="s">
        <v>212</v>
      </c>
      <c r="F2445">
        <v>4</v>
      </c>
    </row>
    <row r="2446" spans="1:6" ht="13.2">
      <c r="A2446" t="s">
        <v>5882</v>
      </c>
      <c r="B2446">
        <v>0</v>
      </c>
      <c r="C2446" s="44">
        <v>3050</v>
      </c>
      <c r="D2446" t="s">
        <v>293</v>
      </c>
      <c r="E2446" t="s">
        <v>5883</v>
      </c>
      <c r="F2446">
        <v>4</v>
      </c>
    </row>
    <row r="2447" spans="1:6" ht="13.2">
      <c r="A2447" t="s">
        <v>5884</v>
      </c>
      <c r="B2447">
        <v>0</v>
      </c>
      <c r="C2447" s="44">
        <v>3050</v>
      </c>
      <c r="D2447" t="s">
        <v>293</v>
      </c>
      <c r="E2447" t="s">
        <v>5883</v>
      </c>
      <c r="F2447">
        <v>4</v>
      </c>
    </row>
    <row r="2448" spans="1:6" ht="13.2">
      <c r="A2448" t="s">
        <v>5885</v>
      </c>
      <c r="B2448">
        <v>0</v>
      </c>
      <c r="C2448" s="44">
        <v>3050</v>
      </c>
      <c r="D2448" t="s">
        <v>293</v>
      </c>
      <c r="E2448" t="s">
        <v>5883</v>
      </c>
      <c r="F2448">
        <v>4</v>
      </c>
    </row>
    <row r="2449" spans="1:6" ht="13.2">
      <c r="A2449" t="s">
        <v>5886</v>
      </c>
      <c r="B2449">
        <v>0</v>
      </c>
      <c r="C2449" s="44">
        <v>3050</v>
      </c>
      <c r="D2449" t="s">
        <v>293</v>
      </c>
      <c r="E2449" t="s">
        <v>5883</v>
      </c>
      <c r="F2449">
        <v>4</v>
      </c>
    </row>
    <row r="2450" spans="1:6" ht="13.2">
      <c r="A2450" t="s">
        <v>5887</v>
      </c>
      <c r="B2450">
        <v>0</v>
      </c>
      <c r="C2450" s="44">
        <v>3050</v>
      </c>
      <c r="D2450" t="s">
        <v>293</v>
      </c>
      <c r="E2450" t="s">
        <v>5883</v>
      </c>
      <c r="F2450">
        <v>4</v>
      </c>
    </row>
    <row r="2451" spans="1:6" ht="13.2">
      <c r="A2451" t="s">
        <v>5888</v>
      </c>
      <c r="B2451">
        <v>0</v>
      </c>
      <c r="C2451" s="44">
        <v>3050</v>
      </c>
      <c r="D2451" t="s">
        <v>293</v>
      </c>
      <c r="E2451" t="s">
        <v>5883</v>
      </c>
      <c r="F2451">
        <v>4</v>
      </c>
    </row>
    <row r="2452" spans="1:6" ht="13.2">
      <c r="A2452" t="s">
        <v>5889</v>
      </c>
      <c r="B2452">
        <v>0</v>
      </c>
      <c r="C2452" s="44">
        <v>3050</v>
      </c>
      <c r="D2452" t="s">
        <v>293</v>
      </c>
      <c r="E2452" t="s">
        <v>5883</v>
      </c>
      <c r="F2452">
        <v>4</v>
      </c>
    </row>
    <row r="2453" spans="1:6" ht="13.2">
      <c r="A2453" t="s">
        <v>5890</v>
      </c>
      <c r="B2453">
        <v>0</v>
      </c>
      <c r="C2453" s="44">
        <v>3050</v>
      </c>
      <c r="D2453" t="s">
        <v>293</v>
      </c>
      <c r="E2453" t="s">
        <v>5883</v>
      </c>
      <c r="F2453">
        <v>4</v>
      </c>
    </row>
    <row r="2454" spans="1:6" ht="13.2">
      <c r="A2454" t="s">
        <v>5891</v>
      </c>
      <c r="B2454">
        <v>0</v>
      </c>
      <c r="C2454" s="44">
        <v>3050</v>
      </c>
      <c r="D2454" t="s">
        <v>293</v>
      </c>
      <c r="E2454" t="s">
        <v>5883</v>
      </c>
      <c r="F2454">
        <v>4</v>
      </c>
    </row>
    <row r="2455" spans="1:6" ht="13.2">
      <c r="A2455" t="s">
        <v>5892</v>
      </c>
      <c r="B2455">
        <v>0</v>
      </c>
      <c r="C2455" s="44">
        <v>3050</v>
      </c>
      <c r="D2455" t="s">
        <v>293</v>
      </c>
      <c r="E2455" t="s">
        <v>5883</v>
      </c>
      <c r="F2455">
        <v>4</v>
      </c>
    </row>
    <row r="2456" spans="1:6" ht="13.2">
      <c r="A2456" t="s">
        <v>5893</v>
      </c>
      <c r="B2456">
        <v>0</v>
      </c>
      <c r="C2456" s="44">
        <v>3050</v>
      </c>
      <c r="D2456" t="s">
        <v>293</v>
      </c>
      <c r="E2456" t="s">
        <v>5883</v>
      </c>
      <c r="F2456">
        <v>4</v>
      </c>
    </row>
    <row r="2457" spans="1:6" ht="13.2">
      <c r="A2457" t="s">
        <v>5894</v>
      </c>
      <c r="B2457">
        <v>0</v>
      </c>
      <c r="C2457" s="44">
        <v>3050</v>
      </c>
      <c r="D2457" t="s">
        <v>293</v>
      </c>
      <c r="E2457" t="s">
        <v>5883</v>
      </c>
      <c r="F2457">
        <v>4</v>
      </c>
    </row>
    <row r="2458" spans="1:6" ht="13.2">
      <c r="A2458" t="s">
        <v>5895</v>
      </c>
      <c r="B2458">
        <v>0</v>
      </c>
      <c r="C2458" s="44">
        <v>3050</v>
      </c>
      <c r="D2458" t="s">
        <v>293</v>
      </c>
      <c r="E2458" t="s">
        <v>5883</v>
      </c>
      <c r="F2458">
        <v>4</v>
      </c>
    </row>
    <row r="2459" spans="1:6" ht="13.2">
      <c r="A2459" t="s">
        <v>5896</v>
      </c>
      <c r="B2459">
        <v>0</v>
      </c>
      <c r="C2459" s="44">
        <v>3050</v>
      </c>
      <c r="D2459" t="s">
        <v>293</v>
      </c>
      <c r="E2459" t="s">
        <v>5883</v>
      </c>
      <c r="F2459">
        <v>4</v>
      </c>
    </row>
    <row r="2460" spans="1:6" ht="13.2">
      <c r="A2460" t="s">
        <v>5897</v>
      </c>
      <c r="B2460">
        <v>0</v>
      </c>
      <c r="C2460" s="44">
        <v>3050</v>
      </c>
      <c r="D2460" t="s">
        <v>293</v>
      </c>
      <c r="E2460" t="s">
        <v>5883</v>
      </c>
      <c r="F2460">
        <v>4</v>
      </c>
    </row>
    <row r="2461" spans="1:6" ht="13.2">
      <c r="A2461" t="s">
        <v>5898</v>
      </c>
      <c r="B2461">
        <v>0</v>
      </c>
      <c r="C2461" s="44">
        <v>3050</v>
      </c>
      <c r="D2461" t="s">
        <v>293</v>
      </c>
      <c r="E2461" t="s">
        <v>5883</v>
      </c>
      <c r="F2461">
        <v>4</v>
      </c>
    </row>
    <row r="2462" spans="1:6" ht="13.2">
      <c r="A2462" t="s">
        <v>5899</v>
      </c>
      <c r="B2462">
        <v>0</v>
      </c>
      <c r="C2462" s="44">
        <v>3050</v>
      </c>
      <c r="D2462" t="s">
        <v>293</v>
      </c>
      <c r="E2462" t="s">
        <v>5883</v>
      </c>
      <c r="F2462">
        <v>4</v>
      </c>
    </row>
    <row r="2463" spans="1:6" ht="13.2">
      <c r="A2463" t="s">
        <v>5900</v>
      </c>
      <c r="B2463">
        <v>0</v>
      </c>
      <c r="C2463" s="44">
        <v>3050</v>
      </c>
      <c r="D2463" t="s">
        <v>293</v>
      </c>
      <c r="E2463" t="s">
        <v>5883</v>
      </c>
      <c r="F2463">
        <v>4</v>
      </c>
    </row>
    <row r="2464" spans="1:6" ht="13.2">
      <c r="A2464" t="s">
        <v>5901</v>
      </c>
      <c r="B2464">
        <v>0</v>
      </c>
      <c r="C2464" s="44">
        <v>3050</v>
      </c>
      <c r="D2464" t="s">
        <v>293</v>
      </c>
      <c r="E2464" t="s">
        <v>5883</v>
      </c>
      <c r="F2464">
        <v>4</v>
      </c>
    </row>
    <row r="2465" spans="1:6" ht="13.2">
      <c r="A2465" t="s">
        <v>2915</v>
      </c>
      <c r="B2465">
        <v>0</v>
      </c>
      <c r="C2465" s="44">
        <v>1450</v>
      </c>
      <c r="D2465" t="s">
        <v>291</v>
      </c>
      <c r="E2465" t="s">
        <v>256</v>
      </c>
      <c r="F2465">
        <v>4</v>
      </c>
    </row>
    <row r="2466" spans="1:6" ht="13.2">
      <c r="A2466" t="s">
        <v>2921</v>
      </c>
      <c r="B2466">
        <v>0</v>
      </c>
      <c r="C2466" s="44">
        <v>1450</v>
      </c>
      <c r="D2466" t="s">
        <v>291</v>
      </c>
      <c r="E2466" t="s">
        <v>256</v>
      </c>
      <c r="F2466">
        <v>4</v>
      </c>
    </row>
    <row r="2467" spans="1:6" ht="13.2">
      <c r="A2467" t="s">
        <v>2909</v>
      </c>
      <c r="B2467">
        <v>0</v>
      </c>
      <c r="C2467" s="44">
        <v>1450</v>
      </c>
      <c r="D2467" t="s">
        <v>291</v>
      </c>
      <c r="E2467" t="s">
        <v>256</v>
      </c>
      <c r="F2467">
        <v>4</v>
      </c>
    </row>
    <row r="2468" spans="1:6" ht="13.2">
      <c r="A2468" t="s">
        <v>2920</v>
      </c>
      <c r="B2468">
        <v>0</v>
      </c>
      <c r="C2468" s="44">
        <v>1450</v>
      </c>
      <c r="D2468" t="s">
        <v>291</v>
      </c>
      <c r="E2468" t="s">
        <v>256</v>
      </c>
      <c r="F2468">
        <v>4</v>
      </c>
    </row>
    <row r="2469" spans="1:6" ht="13.2">
      <c r="A2469" t="s">
        <v>2927</v>
      </c>
      <c r="B2469">
        <v>0</v>
      </c>
      <c r="C2469" s="44">
        <v>1450</v>
      </c>
      <c r="D2469" t="s">
        <v>291</v>
      </c>
      <c r="E2469" t="s">
        <v>256</v>
      </c>
      <c r="F2469">
        <v>4</v>
      </c>
    </row>
    <row r="2470" spans="1:6" ht="13.2">
      <c r="A2470" t="s">
        <v>2912</v>
      </c>
      <c r="B2470">
        <v>0</v>
      </c>
      <c r="C2470" s="44">
        <v>1450</v>
      </c>
      <c r="D2470" t="s">
        <v>291</v>
      </c>
      <c r="E2470" t="s">
        <v>256</v>
      </c>
      <c r="F2470">
        <v>4</v>
      </c>
    </row>
    <row r="2471" spans="1:6" ht="13.2">
      <c r="A2471" t="s">
        <v>2923</v>
      </c>
      <c r="B2471">
        <v>0</v>
      </c>
      <c r="C2471" s="44">
        <v>1450</v>
      </c>
      <c r="D2471" t="s">
        <v>291</v>
      </c>
      <c r="E2471" t="s">
        <v>256</v>
      </c>
      <c r="F2471">
        <v>4</v>
      </c>
    </row>
    <row r="2472" spans="1:6" ht="13.2">
      <c r="A2472" t="s">
        <v>2925</v>
      </c>
      <c r="B2472">
        <v>0</v>
      </c>
      <c r="C2472" s="44">
        <v>1450</v>
      </c>
      <c r="D2472" t="s">
        <v>291</v>
      </c>
      <c r="E2472" t="s">
        <v>256</v>
      </c>
      <c r="F2472">
        <v>4</v>
      </c>
    </row>
    <row r="2473" spans="1:6" ht="13.2">
      <c r="A2473" t="s">
        <v>2913</v>
      </c>
      <c r="B2473">
        <v>0</v>
      </c>
      <c r="C2473" s="44">
        <v>1450</v>
      </c>
      <c r="D2473" t="s">
        <v>291</v>
      </c>
      <c r="E2473" t="s">
        <v>256</v>
      </c>
      <c r="F2473">
        <v>4</v>
      </c>
    </row>
    <row r="2474" spans="1:6" ht="13.2">
      <c r="A2474" t="s">
        <v>2924</v>
      </c>
      <c r="B2474">
        <v>0</v>
      </c>
      <c r="C2474" s="44">
        <v>1450</v>
      </c>
      <c r="D2474" t="s">
        <v>291</v>
      </c>
      <c r="E2474" t="s">
        <v>256</v>
      </c>
      <c r="F2474">
        <v>4</v>
      </c>
    </row>
    <row r="2475" spans="1:6" ht="13.2">
      <c r="A2475" t="s">
        <v>2928</v>
      </c>
      <c r="B2475">
        <v>0</v>
      </c>
      <c r="C2475" s="44">
        <v>1450</v>
      </c>
      <c r="D2475" t="s">
        <v>291</v>
      </c>
      <c r="E2475" t="s">
        <v>256</v>
      </c>
      <c r="F2475">
        <v>4</v>
      </c>
    </row>
    <row r="2476" spans="1:6" ht="13.2">
      <c r="A2476" t="s">
        <v>2910</v>
      </c>
      <c r="B2476">
        <v>0</v>
      </c>
      <c r="C2476" s="44">
        <v>1450</v>
      </c>
      <c r="D2476" t="s">
        <v>291</v>
      </c>
      <c r="E2476" t="s">
        <v>256</v>
      </c>
      <c r="F2476">
        <v>4</v>
      </c>
    </row>
    <row r="2477" spans="1:6" ht="13.2">
      <c r="A2477" t="s">
        <v>2914</v>
      </c>
      <c r="B2477">
        <v>0</v>
      </c>
      <c r="C2477" s="44">
        <v>1450</v>
      </c>
      <c r="D2477" t="s">
        <v>291</v>
      </c>
      <c r="E2477" t="s">
        <v>256</v>
      </c>
      <c r="F2477">
        <v>4</v>
      </c>
    </row>
    <row r="2478" spans="1:6" ht="13.2">
      <c r="A2478" t="s">
        <v>2917</v>
      </c>
      <c r="B2478">
        <v>0</v>
      </c>
      <c r="C2478" s="44">
        <v>1450</v>
      </c>
      <c r="D2478" t="s">
        <v>291</v>
      </c>
      <c r="E2478" t="s">
        <v>256</v>
      </c>
      <c r="F2478">
        <v>4</v>
      </c>
    </row>
    <row r="2479" spans="1:6" ht="13.2">
      <c r="A2479" t="s">
        <v>2918</v>
      </c>
      <c r="B2479">
        <v>0</v>
      </c>
      <c r="C2479" s="44">
        <v>1450</v>
      </c>
      <c r="D2479" t="s">
        <v>291</v>
      </c>
      <c r="E2479" t="s">
        <v>256</v>
      </c>
      <c r="F2479">
        <v>4</v>
      </c>
    </row>
    <row r="2480" spans="1:6" ht="13.2">
      <c r="A2480" t="s">
        <v>2922</v>
      </c>
      <c r="B2480">
        <v>0</v>
      </c>
      <c r="C2480" s="44">
        <v>1450</v>
      </c>
      <c r="D2480" t="s">
        <v>291</v>
      </c>
      <c r="E2480" t="s">
        <v>256</v>
      </c>
      <c r="F2480">
        <v>4</v>
      </c>
    </row>
    <row r="2481" spans="1:6" ht="13.2">
      <c r="A2481" t="s">
        <v>2919</v>
      </c>
      <c r="B2481">
        <v>0</v>
      </c>
      <c r="C2481" s="44">
        <v>1450</v>
      </c>
      <c r="D2481" t="s">
        <v>291</v>
      </c>
      <c r="E2481" t="s">
        <v>256</v>
      </c>
      <c r="F2481">
        <v>4</v>
      </c>
    </row>
    <row r="2482" spans="1:6" ht="13.2">
      <c r="A2482" t="s">
        <v>2907</v>
      </c>
      <c r="B2482">
        <v>0</v>
      </c>
      <c r="C2482" s="44">
        <v>1450</v>
      </c>
      <c r="D2482" t="s">
        <v>291</v>
      </c>
      <c r="E2482" t="s">
        <v>256</v>
      </c>
      <c r="F2482">
        <v>4</v>
      </c>
    </row>
    <row r="2483" spans="1:6" ht="13.2">
      <c r="A2483" t="s">
        <v>2911</v>
      </c>
      <c r="B2483">
        <v>0</v>
      </c>
      <c r="C2483" s="44">
        <v>1450</v>
      </c>
      <c r="D2483" t="s">
        <v>291</v>
      </c>
      <c r="E2483" t="s">
        <v>256</v>
      </c>
      <c r="F2483">
        <v>4</v>
      </c>
    </row>
    <row r="2484" spans="1:6" ht="13.2">
      <c r="A2484" t="s">
        <v>2908</v>
      </c>
      <c r="B2484">
        <v>0</v>
      </c>
      <c r="C2484" s="44">
        <v>1450</v>
      </c>
      <c r="D2484" t="s">
        <v>291</v>
      </c>
      <c r="E2484" t="s">
        <v>256</v>
      </c>
      <c r="F2484">
        <v>4</v>
      </c>
    </row>
    <row r="2485" spans="1:6" ht="13.2">
      <c r="A2485" t="s">
        <v>2929</v>
      </c>
      <c r="B2485">
        <v>0</v>
      </c>
      <c r="C2485" s="44">
        <v>1450</v>
      </c>
      <c r="D2485" t="s">
        <v>291</v>
      </c>
      <c r="E2485" t="s">
        <v>256</v>
      </c>
      <c r="F2485">
        <v>4</v>
      </c>
    </row>
    <row r="2486" spans="1:6" ht="13.2">
      <c r="A2486" t="s">
        <v>2916</v>
      </c>
      <c r="B2486">
        <v>0</v>
      </c>
      <c r="C2486" s="44">
        <v>1450</v>
      </c>
      <c r="D2486" t="s">
        <v>291</v>
      </c>
      <c r="E2486" t="s">
        <v>256</v>
      </c>
      <c r="F2486">
        <v>4</v>
      </c>
    </row>
    <row r="2487" spans="1:6" ht="13.2">
      <c r="A2487" t="s">
        <v>2926</v>
      </c>
      <c r="B2487">
        <v>0</v>
      </c>
      <c r="C2487" s="44">
        <v>1450</v>
      </c>
      <c r="D2487" t="s">
        <v>291</v>
      </c>
      <c r="E2487" t="s">
        <v>256</v>
      </c>
      <c r="F2487">
        <v>4</v>
      </c>
    </row>
    <row r="2488" spans="1:6" ht="13.2">
      <c r="A2488" t="s">
        <v>6259</v>
      </c>
      <c r="B2488">
        <v>0</v>
      </c>
      <c r="C2488" s="44" t="s">
        <v>6256</v>
      </c>
      <c r="D2488" t="s">
        <v>293</v>
      </c>
      <c r="E2488" t="s">
        <v>212</v>
      </c>
      <c r="F2488">
        <v>4</v>
      </c>
    </row>
    <row r="2489" spans="1:6" ht="13.2">
      <c r="A2489" t="s">
        <v>6257</v>
      </c>
      <c r="B2489">
        <v>0</v>
      </c>
      <c r="C2489" s="44" t="s">
        <v>6256</v>
      </c>
      <c r="D2489" t="s">
        <v>293</v>
      </c>
      <c r="E2489" t="s">
        <v>212</v>
      </c>
      <c r="F2489">
        <v>4</v>
      </c>
    </row>
    <row r="2490" spans="1:6" ht="13.2">
      <c r="A2490" t="s">
        <v>6260</v>
      </c>
      <c r="B2490">
        <v>0</v>
      </c>
      <c r="C2490" s="44" t="s">
        <v>6256</v>
      </c>
      <c r="D2490" t="s">
        <v>293</v>
      </c>
      <c r="E2490" t="s">
        <v>212</v>
      </c>
      <c r="F2490">
        <v>4</v>
      </c>
    </row>
    <row r="2491" spans="1:6" ht="13.2">
      <c r="A2491" t="s">
        <v>6258</v>
      </c>
      <c r="B2491">
        <v>0</v>
      </c>
      <c r="C2491" s="44" t="s">
        <v>6256</v>
      </c>
      <c r="D2491" t="s">
        <v>293</v>
      </c>
      <c r="E2491" t="s">
        <v>212</v>
      </c>
      <c r="F2491">
        <v>4</v>
      </c>
    </row>
    <row r="2492" spans="1:6" ht="13.2">
      <c r="A2492" t="s">
        <v>6261</v>
      </c>
      <c r="B2492">
        <v>0</v>
      </c>
      <c r="C2492" s="44" t="s">
        <v>6256</v>
      </c>
      <c r="D2492" t="s">
        <v>293</v>
      </c>
      <c r="E2492" t="s">
        <v>212</v>
      </c>
      <c r="F2492">
        <v>4</v>
      </c>
    </row>
    <row r="2493" spans="1:6" ht="13.2">
      <c r="A2493" t="s">
        <v>6255</v>
      </c>
      <c r="B2493">
        <v>0</v>
      </c>
      <c r="C2493" s="44" t="s">
        <v>6256</v>
      </c>
      <c r="D2493" t="s">
        <v>293</v>
      </c>
      <c r="E2493" t="s">
        <v>212</v>
      </c>
      <c r="F2493">
        <v>4</v>
      </c>
    </row>
    <row r="2494" spans="1:6" ht="13.2">
      <c r="A2494" t="s">
        <v>6262</v>
      </c>
      <c r="B2494">
        <v>0</v>
      </c>
      <c r="C2494" s="44" t="s">
        <v>6256</v>
      </c>
      <c r="D2494" t="s">
        <v>293</v>
      </c>
      <c r="E2494" t="s">
        <v>212</v>
      </c>
      <c r="F2494">
        <v>4</v>
      </c>
    </row>
    <row r="2495" spans="1:6" ht="13.2">
      <c r="A2495" t="s">
        <v>6266</v>
      </c>
      <c r="B2495">
        <v>0</v>
      </c>
      <c r="C2495" s="44" t="s">
        <v>6256</v>
      </c>
      <c r="D2495" t="s">
        <v>291</v>
      </c>
      <c r="E2495" t="s">
        <v>212</v>
      </c>
      <c r="F2495">
        <v>4</v>
      </c>
    </row>
    <row r="2496" spans="1:6" ht="13.2">
      <c r="A2496" t="s">
        <v>6264</v>
      </c>
      <c r="B2496">
        <v>0</v>
      </c>
      <c r="C2496" s="44" t="s">
        <v>6256</v>
      </c>
      <c r="D2496" t="s">
        <v>291</v>
      </c>
      <c r="E2496" t="s">
        <v>212</v>
      </c>
      <c r="F2496">
        <v>4</v>
      </c>
    </row>
    <row r="2497" spans="1:6" ht="13.2">
      <c r="A2497" t="s">
        <v>6267</v>
      </c>
      <c r="B2497">
        <v>0</v>
      </c>
      <c r="C2497" s="44" t="s">
        <v>6256</v>
      </c>
      <c r="D2497" t="s">
        <v>291</v>
      </c>
      <c r="E2497" t="s">
        <v>212</v>
      </c>
      <c r="F2497">
        <v>4</v>
      </c>
    </row>
    <row r="2498" spans="1:6" ht="13.2">
      <c r="A2498" t="s">
        <v>6265</v>
      </c>
      <c r="B2498">
        <v>0</v>
      </c>
      <c r="C2498" s="44" t="s">
        <v>6256</v>
      </c>
      <c r="D2498" t="s">
        <v>291</v>
      </c>
      <c r="E2498" t="s">
        <v>212</v>
      </c>
      <c r="F2498">
        <v>4</v>
      </c>
    </row>
    <row r="2499" spans="1:6" ht="13.2">
      <c r="A2499" t="s">
        <v>6268</v>
      </c>
      <c r="B2499">
        <v>0</v>
      </c>
      <c r="C2499" s="44" t="s">
        <v>6256</v>
      </c>
      <c r="D2499" t="s">
        <v>291</v>
      </c>
      <c r="E2499" t="s">
        <v>212</v>
      </c>
      <c r="F2499">
        <v>4</v>
      </c>
    </row>
    <row r="2500" spans="1:6" ht="13.2">
      <c r="A2500" t="s">
        <v>6263</v>
      </c>
      <c r="B2500">
        <v>0</v>
      </c>
      <c r="C2500" s="44" t="s">
        <v>6256</v>
      </c>
      <c r="D2500" t="s">
        <v>291</v>
      </c>
      <c r="E2500" t="s">
        <v>212</v>
      </c>
      <c r="F2500">
        <v>4</v>
      </c>
    </row>
    <row r="2501" spans="1:6" ht="13.2">
      <c r="A2501" t="s">
        <v>6269</v>
      </c>
      <c r="B2501">
        <v>0</v>
      </c>
      <c r="C2501" s="44" t="s">
        <v>6256</v>
      </c>
      <c r="D2501" t="s">
        <v>291</v>
      </c>
      <c r="E2501" t="s">
        <v>212</v>
      </c>
      <c r="F2501">
        <v>4</v>
      </c>
    </row>
    <row r="2502" spans="1:6" ht="13.2">
      <c r="A2502" t="s">
        <v>5953</v>
      </c>
      <c r="B2502">
        <v>0</v>
      </c>
      <c r="C2502" s="44" t="s">
        <v>204</v>
      </c>
      <c r="D2502" t="s">
        <v>293</v>
      </c>
      <c r="E2502" t="s">
        <v>256</v>
      </c>
      <c r="F2502">
        <v>4</v>
      </c>
    </row>
    <row r="2503" spans="1:6" ht="13.2">
      <c r="A2503" t="s">
        <v>5954</v>
      </c>
      <c r="B2503">
        <v>0</v>
      </c>
      <c r="C2503" s="44" t="s">
        <v>204</v>
      </c>
      <c r="D2503" t="s">
        <v>293</v>
      </c>
      <c r="E2503" t="s">
        <v>256</v>
      </c>
      <c r="F2503">
        <v>4</v>
      </c>
    </row>
    <row r="2504" spans="1:6" ht="13.2">
      <c r="A2504" t="s">
        <v>5955</v>
      </c>
      <c r="B2504">
        <v>0</v>
      </c>
      <c r="C2504" s="44" t="s">
        <v>204</v>
      </c>
      <c r="D2504" t="s">
        <v>293</v>
      </c>
      <c r="E2504" t="s">
        <v>256</v>
      </c>
      <c r="F2504">
        <v>4</v>
      </c>
    </row>
    <row r="2505" spans="1:6" ht="13.2">
      <c r="A2505" t="s">
        <v>5956</v>
      </c>
      <c r="B2505">
        <v>0</v>
      </c>
      <c r="C2505" s="44" t="s">
        <v>204</v>
      </c>
      <c r="D2505" t="s">
        <v>293</v>
      </c>
      <c r="E2505" t="s">
        <v>256</v>
      </c>
      <c r="F2505">
        <v>4</v>
      </c>
    </row>
    <row r="2506" spans="1:6" ht="13.2">
      <c r="A2506" t="s">
        <v>2336</v>
      </c>
      <c r="B2506">
        <v>0</v>
      </c>
      <c r="C2506" s="44" t="s">
        <v>298</v>
      </c>
      <c r="D2506" t="s">
        <v>291</v>
      </c>
      <c r="E2506" t="s">
        <v>212</v>
      </c>
      <c r="F2506">
        <v>4</v>
      </c>
    </row>
    <row r="2507" spans="1:6" ht="13.2">
      <c r="A2507" t="s">
        <v>2337</v>
      </c>
      <c r="B2507">
        <v>0</v>
      </c>
      <c r="C2507" s="44" t="s">
        <v>298</v>
      </c>
      <c r="D2507" t="s">
        <v>291</v>
      </c>
      <c r="E2507" t="s">
        <v>212</v>
      </c>
      <c r="F2507">
        <v>4</v>
      </c>
    </row>
    <row r="2508" spans="1:6" ht="13.2">
      <c r="A2508" t="s">
        <v>2338</v>
      </c>
      <c r="B2508">
        <v>0</v>
      </c>
      <c r="C2508" s="44" t="s">
        <v>298</v>
      </c>
      <c r="D2508" t="s">
        <v>291</v>
      </c>
      <c r="E2508" t="s">
        <v>212</v>
      </c>
      <c r="F2508">
        <v>4</v>
      </c>
    </row>
    <row r="2509" spans="1:6" ht="13.2">
      <c r="A2509" t="s">
        <v>2339</v>
      </c>
      <c r="B2509">
        <v>0</v>
      </c>
      <c r="C2509" s="44" t="s">
        <v>298</v>
      </c>
      <c r="D2509" t="s">
        <v>291</v>
      </c>
      <c r="E2509" t="s">
        <v>212</v>
      </c>
      <c r="F2509">
        <v>4</v>
      </c>
    </row>
    <row r="2510" spans="1:6" ht="13.2">
      <c r="A2510" t="s">
        <v>2340</v>
      </c>
      <c r="B2510">
        <v>0</v>
      </c>
      <c r="C2510" s="44" t="s">
        <v>298</v>
      </c>
      <c r="D2510" t="s">
        <v>291</v>
      </c>
      <c r="E2510" t="s">
        <v>212</v>
      </c>
      <c r="F2510">
        <v>4</v>
      </c>
    </row>
    <row r="2511" spans="1:6" ht="13.2">
      <c r="A2511" t="s">
        <v>2341</v>
      </c>
      <c r="B2511">
        <v>0</v>
      </c>
      <c r="C2511" s="44" t="s">
        <v>298</v>
      </c>
      <c r="D2511" t="s">
        <v>291</v>
      </c>
      <c r="E2511" t="s">
        <v>212</v>
      </c>
      <c r="F2511">
        <v>4</v>
      </c>
    </row>
    <row r="2512" spans="1:6" ht="13.2">
      <c r="A2512" t="s">
        <v>2342</v>
      </c>
      <c r="B2512">
        <v>0</v>
      </c>
      <c r="C2512" s="44" t="s">
        <v>298</v>
      </c>
      <c r="D2512" t="s">
        <v>291</v>
      </c>
      <c r="E2512" t="s">
        <v>212</v>
      </c>
      <c r="F2512">
        <v>4</v>
      </c>
    </row>
    <row r="2513" spans="1:6" ht="13.2">
      <c r="A2513" t="s">
        <v>2343</v>
      </c>
      <c r="B2513">
        <v>0</v>
      </c>
      <c r="C2513" s="44" t="s">
        <v>298</v>
      </c>
      <c r="D2513" t="s">
        <v>291</v>
      </c>
      <c r="E2513" t="s">
        <v>212</v>
      </c>
      <c r="F2513">
        <v>4</v>
      </c>
    </row>
    <row r="2514" spans="1:6" ht="13.2">
      <c r="A2514" t="s">
        <v>2344</v>
      </c>
      <c r="B2514">
        <v>0</v>
      </c>
      <c r="C2514" s="44" t="s">
        <v>298</v>
      </c>
      <c r="D2514" t="s">
        <v>291</v>
      </c>
      <c r="E2514" t="s">
        <v>212</v>
      </c>
      <c r="F2514">
        <v>4</v>
      </c>
    </row>
    <row r="2515" spans="1:6" ht="13.2">
      <c r="A2515" t="s">
        <v>2345</v>
      </c>
      <c r="B2515">
        <v>0</v>
      </c>
      <c r="C2515" s="44" t="s">
        <v>298</v>
      </c>
      <c r="D2515" t="s">
        <v>291</v>
      </c>
      <c r="E2515" t="s">
        <v>212</v>
      </c>
      <c r="F2515">
        <v>4</v>
      </c>
    </row>
    <row r="2516" spans="1:6" ht="13.2">
      <c r="A2516" t="s">
        <v>2346</v>
      </c>
      <c r="B2516">
        <v>0</v>
      </c>
      <c r="C2516" s="44" t="s">
        <v>298</v>
      </c>
      <c r="D2516" t="s">
        <v>291</v>
      </c>
      <c r="E2516" t="s">
        <v>212</v>
      </c>
      <c r="F2516">
        <v>4</v>
      </c>
    </row>
    <row r="2517" spans="1:6" ht="13.2">
      <c r="A2517" t="s">
        <v>2347</v>
      </c>
      <c r="B2517">
        <v>0</v>
      </c>
      <c r="C2517" s="44" t="s">
        <v>298</v>
      </c>
      <c r="D2517" t="s">
        <v>291</v>
      </c>
      <c r="E2517" t="s">
        <v>212</v>
      </c>
      <c r="F2517">
        <v>4</v>
      </c>
    </row>
    <row r="2518" spans="1:6" ht="13.2">
      <c r="A2518" t="s">
        <v>2348</v>
      </c>
      <c r="B2518">
        <v>0</v>
      </c>
      <c r="C2518" s="44" t="s">
        <v>298</v>
      </c>
      <c r="D2518" t="s">
        <v>291</v>
      </c>
      <c r="E2518" t="s">
        <v>212</v>
      </c>
      <c r="F2518">
        <v>4</v>
      </c>
    </row>
    <row r="2519" spans="1:6" ht="13.2">
      <c r="A2519" t="s">
        <v>2349</v>
      </c>
      <c r="B2519">
        <v>0</v>
      </c>
      <c r="C2519" s="44" t="s">
        <v>298</v>
      </c>
      <c r="D2519" t="s">
        <v>291</v>
      </c>
      <c r="E2519" t="s">
        <v>212</v>
      </c>
      <c r="F2519">
        <v>4</v>
      </c>
    </row>
    <row r="2520" spans="1:6" ht="13.2">
      <c r="A2520" t="s">
        <v>2350</v>
      </c>
      <c r="B2520">
        <v>0</v>
      </c>
      <c r="C2520" s="44" t="s">
        <v>298</v>
      </c>
      <c r="D2520" t="s">
        <v>291</v>
      </c>
      <c r="E2520" t="s">
        <v>212</v>
      </c>
      <c r="F2520">
        <v>4</v>
      </c>
    </row>
    <row r="2521" spans="1:6" ht="13.2">
      <c r="A2521" t="s">
        <v>1558</v>
      </c>
      <c r="B2521">
        <v>0</v>
      </c>
      <c r="C2521" s="44">
        <v>3000</v>
      </c>
      <c r="D2521" t="s">
        <v>293</v>
      </c>
      <c r="E2521" t="s">
        <v>364</v>
      </c>
      <c r="F2521">
        <v>3</v>
      </c>
    </row>
    <row r="2522" spans="1:6" ht="13.2">
      <c r="A2522" t="s">
        <v>1561</v>
      </c>
      <c r="B2522">
        <v>0</v>
      </c>
      <c r="C2522" s="44">
        <v>3000</v>
      </c>
      <c r="D2522" t="s">
        <v>293</v>
      </c>
      <c r="E2522" t="s">
        <v>364</v>
      </c>
      <c r="F2522">
        <v>3</v>
      </c>
    </row>
    <row r="2523" spans="1:6" ht="13.2">
      <c r="A2523" t="s">
        <v>1564</v>
      </c>
      <c r="B2523">
        <v>0</v>
      </c>
      <c r="C2523" s="44">
        <v>3000</v>
      </c>
      <c r="D2523" t="s">
        <v>293</v>
      </c>
      <c r="E2523" t="s">
        <v>364</v>
      </c>
      <c r="F2523">
        <v>3</v>
      </c>
    </row>
    <row r="2524" spans="1:6" ht="13.2">
      <c r="A2524" t="s">
        <v>1567</v>
      </c>
      <c r="B2524">
        <v>0</v>
      </c>
      <c r="C2524" s="44">
        <v>3000</v>
      </c>
      <c r="D2524" t="s">
        <v>293</v>
      </c>
      <c r="E2524" t="s">
        <v>364</v>
      </c>
      <c r="F2524">
        <v>3</v>
      </c>
    </row>
    <row r="2525" spans="1:6" ht="13.2">
      <c r="A2525" t="s">
        <v>1559</v>
      </c>
      <c r="B2525">
        <v>0</v>
      </c>
      <c r="C2525" s="44">
        <v>3000</v>
      </c>
      <c r="D2525" t="s">
        <v>293</v>
      </c>
      <c r="E2525" t="s">
        <v>364</v>
      </c>
      <c r="F2525">
        <v>3</v>
      </c>
    </row>
    <row r="2526" spans="1:6" ht="13.2">
      <c r="A2526" t="s">
        <v>1569</v>
      </c>
      <c r="B2526">
        <v>0</v>
      </c>
      <c r="C2526" s="44">
        <v>3000</v>
      </c>
      <c r="D2526" t="s">
        <v>293</v>
      </c>
      <c r="E2526" t="s">
        <v>364</v>
      </c>
      <c r="F2526">
        <v>3</v>
      </c>
    </row>
    <row r="2527" spans="1:6" ht="13.2">
      <c r="A2527" t="s">
        <v>1560</v>
      </c>
      <c r="B2527">
        <v>0</v>
      </c>
      <c r="C2527" s="44">
        <v>3000</v>
      </c>
      <c r="D2527" t="s">
        <v>293</v>
      </c>
      <c r="E2527" t="s">
        <v>364</v>
      </c>
      <c r="F2527">
        <v>3</v>
      </c>
    </row>
    <row r="2528" spans="1:6" ht="13.2">
      <c r="A2528" t="s">
        <v>1566</v>
      </c>
      <c r="B2528">
        <v>0</v>
      </c>
      <c r="C2528" s="44">
        <v>3000</v>
      </c>
      <c r="D2528" t="s">
        <v>293</v>
      </c>
      <c r="E2528" t="s">
        <v>364</v>
      </c>
      <c r="F2528">
        <v>3</v>
      </c>
    </row>
    <row r="2529" spans="1:6" ht="13.2">
      <c r="A2529" t="s">
        <v>1565</v>
      </c>
      <c r="B2529">
        <v>0</v>
      </c>
      <c r="C2529" s="44">
        <v>3000</v>
      </c>
      <c r="D2529" t="s">
        <v>293</v>
      </c>
      <c r="E2529" t="s">
        <v>364</v>
      </c>
      <c r="F2529">
        <v>3</v>
      </c>
    </row>
    <row r="2530" spans="1:6" ht="13.2">
      <c r="A2530" t="s">
        <v>1563</v>
      </c>
      <c r="B2530">
        <v>0</v>
      </c>
      <c r="C2530" s="44">
        <v>3000</v>
      </c>
      <c r="D2530" t="s">
        <v>293</v>
      </c>
      <c r="E2530" t="s">
        <v>364</v>
      </c>
      <c r="F2530">
        <v>3</v>
      </c>
    </row>
    <row r="2531" spans="1:6" ht="13.2">
      <c r="A2531" t="s">
        <v>1568</v>
      </c>
      <c r="B2531">
        <v>0</v>
      </c>
      <c r="C2531" s="44">
        <v>3000</v>
      </c>
      <c r="D2531" t="s">
        <v>293</v>
      </c>
      <c r="E2531" t="s">
        <v>364</v>
      </c>
      <c r="F2531">
        <v>3</v>
      </c>
    </row>
    <row r="2532" spans="1:6" ht="13.2">
      <c r="A2532" t="s">
        <v>1557</v>
      </c>
      <c r="B2532">
        <v>0</v>
      </c>
      <c r="C2532" s="44">
        <v>3000</v>
      </c>
      <c r="D2532" t="s">
        <v>293</v>
      </c>
      <c r="E2532" t="s">
        <v>364</v>
      </c>
      <c r="F2532">
        <v>3</v>
      </c>
    </row>
    <row r="2533" spans="1:6" ht="13.2">
      <c r="A2533" t="s">
        <v>1562</v>
      </c>
      <c r="B2533">
        <v>0</v>
      </c>
      <c r="C2533" s="44">
        <v>3000</v>
      </c>
      <c r="D2533" t="s">
        <v>293</v>
      </c>
      <c r="E2533" t="s">
        <v>364</v>
      </c>
      <c r="F2533">
        <v>3</v>
      </c>
    </row>
    <row r="2534" spans="1:6" ht="13.2">
      <c r="A2534" t="s">
        <v>1570</v>
      </c>
      <c r="B2534">
        <v>0</v>
      </c>
      <c r="C2534" s="44">
        <v>3000</v>
      </c>
      <c r="D2534" t="s">
        <v>293</v>
      </c>
      <c r="E2534" t="s">
        <v>364</v>
      </c>
      <c r="F2534">
        <v>3</v>
      </c>
    </row>
    <row r="2535" spans="1:6" ht="13.2">
      <c r="A2535" t="s">
        <v>4641</v>
      </c>
      <c r="B2535">
        <v>0</v>
      </c>
      <c r="C2535" s="44" t="s">
        <v>204</v>
      </c>
      <c r="D2535" t="s">
        <v>291</v>
      </c>
      <c r="E2535" t="s">
        <v>4640</v>
      </c>
      <c r="F2535">
        <v>3</v>
      </c>
    </row>
    <row r="2536" spans="1:6" ht="13.2">
      <c r="A2536" t="s">
        <v>4644</v>
      </c>
      <c r="B2536">
        <v>0</v>
      </c>
      <c r="C2536" s="44" t="s">
        <v>204</v>
      </c>
      <c r="D2536" t="s">
        <v>291</v>
      </c>
      <c r="E2536" t="s">
        <v>4640</v>
      </c>
      <c r="F2536">
        <v>3</v>
      </c>
    </row>
    <row r="2537" spans="1:6" ht="13.2">
      <c r="A2537" t="s">
        <v>4647</v>
      </c>
      <c r="B2537">
        <v>0</v>
      </c>
      <c r="C2537" s="44" t="s">
        <v>204</v>
      </c>
      <c r="D2537" t="s">
        <v>291</v>
      </c>
      <c r="E2537" t="s">
        <v>4640</v>
      </c>
      <c r="F2537">
        <v>3</v>
      </c>
    </row>
    <row r="2538" spans="1:6" ht="13.2">
      <c r="A2538" t="s">
        <v>4650</v>
      </c>
      <c r="B2538">
        <v>0</v>
      </c>
      <c r="C2538" s="44" t="s">
        <v>204</v>
      </c>
      <c r="D2538" t="s">
        <v>291</v>
      </c>
      <c r="E2538" t="s">
        <v>4640</v>
      </c>
      <c r="F2538">
        <v>3</v>
      </c>
    </row>
    <row r="2539" spans="1:6" ht="13.2">
      <c r="A2539" t="s">
        <v>4642</v>
      </c>
      <c r="B2539">
        <v>0</v>
      </c>
      <c r="C2539" s="44" t="s">
        <v>204</v>
      </c>
      <c r="D2539" t="s">
        <v>291</v>
      </c>
      <c r="E2539" t="s">
        <v>4640</v>
      </c>
      <c r="F2539">
        <v>3</v>
      </c>
    </row>
    <row r="2540" spans="1:6" ht="13.2">
      <c r="A2540" t="s">
        <v>4652</v>
      </c>
      <c r="B2540">
        <v>0</v>
      </c>
      <c r="C2540" s="44" t="s">
        <v>204</v>
      </c>
      <c r="D2540" t="s">
        <v>291</v>
      </c>
      <c r="E2540" t="s">
        <v>4640</v>
      </c>
      <c r="F2540">
        <v>3</v>
      </c>
    </row>
    <row r="2541" spans="1:6" ht="13.2">
      <c r="A2541" t="s">
        <v>4643</v>
      </c>
      <c r="B2541">
        <v>0</v>
      </c>
      <c r="C2541" s="44" t="s">
        <v>204</v>
      </c>
      <c r="D2541" t="s">
        <v>291</v>
      </c>
      <c r="E2541" t="s">
        <v>4640</v>
      </c>
      <c r="F2541">
        <v>3</v>
      </c>
    </row>
    <row r="2542" spans="1:6" ht="13.2">
      <c r="A2542" t="s">
        <v>4649</v>
      </c>
      <c r="B2542">
        <v>0</v>
      </c>
      <c r="C2542" s="44" t="s">
        <v>204</v>
      </c>
      <c r="D2542" t="s">
        <v>291</v>
      </c>
      <c r="E2542" t="s">
        <v>4640</v>
      </c>
      <c r="F2542">
        <v>3</v>
      </c>
    </row>
    <row r="2543" spans="1:6" ht="13.2">
      <c r="A2543" t="s">
        <v>4648</v>
      </c>
      <c r="B2543">
        <v>0</v>
      </c>
      <c r="C2543" s="44" t="s">
        <v>204</v>
      </c>
      <c r="D2543" t="s">
        <v>291</v>
      </c>
      <c r="E2543" t="s">
        <v>4640</v>
      </c>
      <c r="F2543">
        <v>3</v>
      </c>
    </row>
    <row r="2544" spans="1:6" ht="13.2">
      <c r="A2544" t="s">
        <v>4646</v>
      </c>
      <c r="B2544">
        <v>0</v>
      </c>
      <c r="C2544" s="44" t="s">
        <v>204</v>
      </c>
      <c r="D2544" t="s">
        <v>291</v>
      </c>
      <c r="E2544" t="s">
        <v>4640</v>
      </c>
      <c r="F2544">
        <v>3</v>
      </c>
    </row>
    <row r="2545" spans="1:6" ht="13.2">
      <c r="A2545" t="s">
        <v>4651</v>
      </c>
      <c r="B2545">
        <v>0</v>
      </c>
      <c r="C2545" s="44" t="s">
        <v>204</v>
      </c>
      <c r="D2545" t="s">
        <v>291</v>
      </c>
      <c r="E2545" t="s">
        <v>4640</v>
      </c>
      <c r="F2545">
        <v>3</v>
      </c>
    </row>
    <row r="2546" spans="1:6" ht="13.2">
      <c r="A2546" t="s">
        <v>4639</v>
      </c>
      <c r="B2546">
        <v>0</v>
      </c>
      <c r="C2546" s="44" t="s">
        <v>204</v>
      </c>
      <c r="D2546" t="s">
        <v>291</v>
      </c>
      <c r="E2546" t="s">
        <v>4640</v>
      </c>
      <c r="F2546">
        <v>3</v>
      </c>
    </row>
    <row r="2547" spans="1:6" ht="13.2">
      <c r="A2547" t="s">
        <v>4645</v>
      </c>
      <c r="B2547">
        <v>0</v>
      </c>
      <c r="C2547" s="44" t="s">
        <v>204</v>
      </c>
      <c r="D2547" t="s">
        <v>291</v>
      </c>
      <c r="E2547" t="s">
        <v>4640</v>
      </c>
      <c r="F2547">
        <v>3</v>
      </c>
    </row>
    <row r="2548" spans="1:6" ht="13.2">
      <c r="A2548" t="s">
        <v>4653</v>
      </c>
      <c r="B2548">
        <v>0</v>
      </c>
      <c r="C2548" s="44" t="s">
        <v>204</v>
      </c>
      <c r="D2548" t="s">
        <v>291</v>
      </c>
      <c r="E2548" t="s">
        <v>4640</v>
      </c>
      <c r="F2548">
        <v>3</v>
      </c>
    </row>
    <row r="2549" spans="1:6" ht="13.2">
      <c r="A2549" t="s">
        <v>1247</v>
      </c>
      <c r="B2549">
        <v>0</v>
      </c>
      <c r="C2549" s="44">
        <v>3000</v>
      </c>
      <c r="D2549" t="s">
        <v>293</v>
      </c>
      <c r="E2549" t="s">
        <v>555</v>
      </c>
      <c r="F2549">
        <v>4</v>
      </c>
    </row>
    <row r="2550" spans="1:6" ht="13.2">
      <c r="A2550" t="s">
        <v>1248</v>
      </c>
      <c r="B2550">
        <v>0</v>
      </c>
      <c r="C2550" s="44">
        <v>3000</v>
      </c>
      <c r="D2550" t="s">
        <v>293</v>
      </c>
      <c r="E2550" t="s">
        <v>555</v>
      </c>
      <c r="F2550">
        <v>4</v>
      </c>
    </row>
    <row r="2551" spans="1:6" ht="13.2">
      <c r="A2551" t="s">
        <v>1249</v>
      </c>
      <c r="B2551">
        <v>0</v>
      </c>
      <c r="C2551" s="44">
        <v>3000</v>
      </c>
      <c r="D2551" t="s">
        <v>293</v>
      </c>
      <c r="E2551" t="s">
        <v>555</v>
      </c>
      <c r="F2551">
        <v>4</v>
      </c>
    </row>
    <row r="2552" spans="1:6" ht="13.2">
      <c r="A2552" t="s">
        <v>1250</v>
      </c>
      <c r="B2552">
        <v>0</v>
      </c>
      <c r="C2552" s="44">
        <v>3000</v>
      </c>
      <c r="D2552" t="s">
        <v>293</v>
      </c>
      <c r="E2552" t="s">
        <v>555</v>
      </c>
      <c r="F2552">
        <v>4</v>
      </c>
    </row>
    <row r="2553" spans="1:6" ht="13.2">
      <c r="A2553" t="s">
        <v>1251</v>
      </c>
      <c r="B2553">
        <v>0</v>
      </c>
      <c r="C2553" s="44">
        <v>3000</v>
      </c>
      <c r="D2553" t="s">
        <v>293</v>
      </c>
      <c r="E2553" t="s">
        <v>555</v>
      </c>
      <c r="F2553">
        <v>4</v>
      </c>
    </row>
    <row r="2554" spans="1:6" ht="13.2">
      <c r="A2554" t="s">
        <v>1252</v>
      </c>
      <c r="B2554">
        <v>0</v>
      </c>
      <c r="C2554" s="44">
        <v>3000</v>
      </c>
      <c r="D2554" t="s">
        <v>293</v>
      </c>
      <c r="E2554" t="s">
        <v>555</v>
      </c>
      <c r="F2554">
        <v>4</v>
      </c>
    </row>
    <row r="2555" spans="1:6" ht="13.2">
      <c r="A2555" t="s">
        <v>4374</v>
      </c>
      <c r="B2555">
        <v>0</v>
      </c>
      <c r="C2555" s="44">
        <v>3000</v>
      </c>
      <c r="D2555" t="s">
        <v>291</v>
      </c>
      <c r="E2555" t="s">
        <v>4373</v>
      </c>
      <c r="F2555">
        <v>4</v>
      </c>
    </row>
    <row r="2556" spans="1:6" ht="13.2">
      <c r="A2556" t="s">
        <v>4377</v>
      </c>
      <c r="B2556">
        <v>0</v>
      </c>
      <c r="C2556" s="44">
        <v>3000</v>
      </c>
      <c r="D2556" t="s">
        <v>291</v>
      </c>
      <c r="E2556" t="s">
        <v>4373</v>
      </c>
      <c r="F2556">
        <v>4</v>
      </c>
    </row>
    <row r="2557" spans="1:6" ht="13.2">
      <c r="A2557" t="s">
        <v>4375</v>
      </c>
      <c r="B2557">
        <v>0</v>
      </c>
      <c r="C2557" s="44">
        <v>3000</v>
      </c>
      <c r="D2557" t="s">
        <v>291</v>
      </c>
      <c r="E2557" t="s">
        <v>4373</v>
      </c>
      <c r="F2557">
        <v>4</v>
      </c>
    </row>
    <row r="2558" spans="1:6" ht="13.2">
      <c r="A2558" t="s">
        <v>4376</v>
      </c>
      <c r="B2558">
        <v>0</v>
      </c>
      <c r="C2558" s="44">
        <v>3000</v>
      </c>
      <c r="D2558" t="s">
        <v>291</v>
      </c>
      <c r="E2558" t="s">
        <v>4373</v>
      </c>
      <c r="F2558">
        <v>4</v>
      </c>
    </row>
    <row r="2559" spans="1:6" ht="13.2">
      <c r="A2559" t="s">
        <v>4372</v>
      </c>
      <c r="B2559">
        <v>0</v>
      </c>
      <c r="C2559" s="44">
        <v>3000</v>
      </c>
      <c r="D2559" t="s">
        <v>291</v>
      </c>
      <c r="E2559" t="s">
        <v>4373</v>
      </c>
      <c r="F2559">
        <v>4</v>
      </c>
    </row>
    <row r="2560" spans="1:6" ht="13.2">
      <c r="A2560" t="s">
        <v>4378</v>
      </c>
      <c r="B2560">
        <v>0</v>
      </c>
      <c r="C2560" s="44">
        <v>3000</v>
      </c>
      <c r="D2560" t="s">
        <v>291</v>
      </c>
      <c r="E2560" t="s">
        <v>4373</v>
      </c>
      <c r="F2560">
        <v>4</v>
      </c>
    </row>
    <row r="2561" spans="1:6" ht="13.2">
      <c r="A2561" t="s">
        <v>6130</v>
      </c>
      <c r="B2561">
        <v>560</v>
      </c>
      <c r="C2561" s="44">
        <v>1330</v>
      </c>
      <c r="D2561" t="s">
        <v>291</v>
      </c>
      <c r="E2561" t="s">
        <v>577</v>
      </c>
      <c r="F2561">
        <v>3</v>
      </c>
    </row>
    <row r="2562" spans="1:6" ht="13.2">
      <c r="A2562" t="s">
        <v>6131</v>
      </c>
      <c r="B2562">
        <v>560</v>
      </c>
      <c r="C2562" s="44">
        <v>1330</v>
      </c>
      <c r="D2562" t="s">
        <v>291</v>
      </c>
      <c r="E2562" t="s">
        <v>577</v>
      </c>
      <c r="F2562">
        <v>3</v>
      </c>
    </row>
    <row r="2563" spans="1:6" ht="13.2">
      <c r="A2563" t="s">
        <v>6132</v>
      </c>
      <c r="B2563">
        <v>560</v>
      </c>
      <c r="C2563" s="44">
        <v>1330</v>
      </c>
      <c r="D2563" t="s">
        <v>291</v>
      </c>
      <c r="E2563" t="s">
        <v>577</v>
      </c>
      <c r="F2563">
        <v>3</v>
      </c>
    </row>
    <row r="2564" spans="1:6" ht="13.2">
      <c r="A2564" t="s">
        <v>6133</v>
      </c>
      <c r="B2564">
        <v>560</v>
      </c>
      <c r="C2564" s="44">
        <v>1330</v>
      </c>
      <c r="D2564" t="s">
        <v>291</v>
      </c>
      <c r="E2564" t="s">
        <v>577</v>
      </c>
      <c r="F2564">
        <v>3</v>
      </c>
    </row>
    <row r="2565" spans="1:6" ht="13.2">
      <c r="A2565" t="s">
        <v>6134</v>
      </c>
      <c r="B2565">
        <v>560</v>
      </c>
      <c r="C2565" s="44">
        <v>1330</v>
      </c>
      <c r="D2565" t="s">
        <v>291</v>
      </c>
      <c r="E2565" t="s">
        <v>577</v>
      </c>
      <c r="F2565">
        <v>3</v>
      </c>
    </row>
    <row r="2566" spans="1:6" ht="13.2">
      <c r="A2566" t="s">
        <v>6135</v>
      </c>
      <c r="B2566">
        <v>560</v>
      </c>
      <c r="C2566" s="44">
        <v>1330</v>
      </c>
      <c r="D2566" t="s">
        <v>291</v>
      </c>
      <c r="E2566" t="s">
        <v>577</v>
      </c>
      <c r="F2566">
        <v>3</v>
      </c>
    </row>
    <row r="2567" spans="1:6" ht="13.2">
      <c r="A2567" t="s">
        <v>6136</v>
      </c>
      <c r="B2567">
        <v>560</v>
      </c>
      <c r="C2567" s="44">
        <v>1330</v>
      </c>
      <c r="D2567" t="s">
        <v>291</v>
      </c>
      <c r="E2567" t="s">
        <v>577</v>
      </c>
      <c r="F2567">
        <v>3</v>
      </c>
    </row>
    <row r="2568" spans="1:6" ht="13.2">
      <c r="A2568" t="s">
        <v>5904</v>
      </c>
      <c r="B2568">
        <v>100</v>
      </c>
      <c r="C2568" s="44">
        <v>3000</v>
      </c>
      <c r="D2568" t="s">
        <v>293</v>
      </c>
      <c r="E2568" t="s">
        <v>364</v>
      </c>
      <c r="F2568">
        <v>3</v>
      </c>
    </row>
    <row r="2569" spans="1:6" ht="13.2">
      <c r="A2569" t="s">
        <v>5905</v>
      </c>
      <c r="B2569">
        <v>100</v>
      </c>
      <c r="C2569" s="44">
        <v>3000</v>
      </c>
      <c r="D2569" t="s">
        <v>293</v>
      </c>
      <c r="E2569" t="s">
        <v>364</v>
      </c>
      <c r="F2569">
        <v>3</v>
      </c>
    </row>
    <row r="2570" spans="1:6" ht="13.2">
      <c r="A2570" t="s">
        <v>5906</v>
      </c>
      <c r="B2570">
        <v>100</v>
      </c>
      <c r="C2570" s="44">
        <v>3000</v>
      </c>
      <c r="D2570" t="s">
        <v>293</v>
      </c>
      <c r="E2570" t="s">
        <v>364</v>
      </c>
      <c r="F2570">
        <v>3</v>
      </c>
    </row>
    <row r="2571" spans="1:6" ht="13.2">
      <c r="A2571" t="s">
        <v>5907</v>
      </c>
      <c r="B2571">
        <v>100</v>
      </c>
      <c r="C2571" s="44">
        <v>3000</v>
      </c>
      <c r="D2571" t="s">
        <v>293</v>
      </c>
      <c r="E2571" t="s">
        <v>364</v>
      </c>
      <c r="F2571">
        <v>3</v>
      </c>
    </row>
    <row r="2572" spans="1:6" ht="13.2">
      <c r="A2572" t="s">
        <v>5908</v>
      </c>
      <c r="B2572">
        <v>100</v>
      </c>
      <c r="C2572" s="44">
        <v>3000</v>
      </c>
      <c r="D2572" t="s">
        <v>293</v>
      </c>
      <c r="E2572" t="s">
        <v>364</v>
      </c>
      <c r="F2572">
        <v>3</v>
      </c>
    </row>
    <row r="2573" spans="1:6" ht="13.2">
      <c r="A2573" t="s">
        <v>5909</v>
      </c>
      <c r="B2573">
        <v>100</v>
      </c>
      <c r="C2573" s="44">
        <v>3000</v>
      </c>
      <c r="D2573" t="s">
        <v>293</v>
      </c>
      <c r="E2573" t="s">
        <v>364</v>
      </c>
      <c r="F2573">
        <v>3</v>
      </c>
    </row>
    <row r="2574" spans="1:6" ht="13.2">
      <c r="A2574" t="s">
        <v>5910</v>
      </c>
      <c r="B2574">
        <v>100</v>
      </c>
      <c r="C2574" s="44">
        <v>3000</v>
      </c>
      <c r="D2574" t="s">
        <v>293</v>
      </c>
      <c r="E2574" t="s">
        <v>364</v>
      </c>
      <c r="F2574">
        <v>3</v>
      </c>
    </row>
    <row r="2575" spans="1:6" ht="13.2">
      <c r="A2575" t="s">
        <v>5911</v>
      </c>
      <c r="B2575">
        <v>100</v>
      </c>
      <c r="C2575" s="44">
        <v>3000</v>
      </c>
      <c r="D2575" t="s">
        <v>293</v>
      </c>
      <c r="E2575" t="s">
        <v>364</v>
      </c>
      <c r="F2575">
        <v>3</v>
      </c>
    </row>
    <row r="2576" spans="1:6" ht="13.2">
      <c r="A2576" t="s">
        <v>5912</v>
      </c>
      <c r="B2576">
        <v>100</v>
      </c>
      <c r="C2576" s="44">
        <v>3000</v>
      </c>
      <c r="D2576" t="s">
        <v>293</v>
      </c>
      <c r="E2576" t="s">
        <v>364</v>
      </c>
      <c r="F2576">
        <v>3</v>
      </c>
    </row>
    <row r="2577" spans="1:6" ht="13.2">
      <c r="A2577" t="s">
        <v>5913</v>
      </c>
      <c r="B2577">
        <v>100</v>
      </c>
      <c r="C2577" s="44">
        <v>3000</v>
      </c>
      <c r="D2577" t="s">
        <v>293</v>
      </c>
      <c r="E2577" t="s">
        <v>364</v>
      </c>
      <c r="F2577">
        <v>3</v>
      </c>
    </row>
    <row r="2578" spans="1:6" ht="13.2">
      <c r="A2578" t="s">
        <v>5914</v>
      </c>
      <c r="B2578">
        <v>100</v>
      </c>
      <c r="C2578" s="44">
        <v>3000</v>
      </c>
      <c r="D2578" t="s">
        <v>293</v>
      </c>
      <c r="E2578" t="s">
        <v>364</v>
      </c>
      <c r="F2578">
        <v>3</v>
      </c>
    </row>
    <row r="2579" spans="1:6" ht="13.2">
      <c r="A2579" t="s">
        <v>5915</v>
      </c>
      <c r="B2579">
        <v>100</v>
      </c>
      <c r="C2579" s="44">
        <v>3000</v>
      </c>
      <c r="D2579" t="s">
        <v>293</v>
      </c>
      <c r="E2579" t="s">
        <v>364</v>
      </c>
      <c r="F2579">
        <v>3</v>
      </c>
    </row>
    <row r="2580" spans="1:6" ht="13.2">
      <c r="A2580" t="s">
        <v>5916</v>
      </c>
      <c r="B2580">
        <v>100</v>
      </c>
      <c r="C2580" s="44">
        <v>3000</v>
      </c>
      <c r="D2580" t="s">
        <v>293</v>
      </c>
      <c r="E2580" t="s">
        <v>364</v>
      </c>
      <c r="F2580">
        <v>3</v>
      </c>
    </row>
    <row r="2581" spans="1:6" ht="13.2">
      <c r="A2581" t="s">
        <v>5917</v>
      </c>
      <c r="B2581">
        <v>100</v>
      </c>
      <c r="C2581" s="44">
        <v>3000</v>
      </c>
      <c r="D2581" t="s">
        <v>293</v>
      </c>
      <c r="E2581" t="s">
        <v>364</v>
      </c>
      <c r="F2581">
        <v>3</v>
      </c>
    </row>
    <row r="2582" spans="1:6" ht="13.2">
      <c r="A2582" t="s">
        <v>5918</v>
      </c>
      <c r="B2582">
        <v>100</v>
      </c>
      <c r="C2582" s="44">
        <v>3000</v>
      </c>
      <c r="D2582" t="s">
        <v>293</v>
      </c>
      <c r="E2582" t="s">
        <v>364</v>
      </c>
      <c r="F2582">
        <v>3</v>
      </c>
    </row>
    <row r="2583" spans="1:6" ht="13.2">
      <c r="A2583" t="s">
        <v>5920</v>
      </c>
      <c r="B2583">
        <v>100</v>
      </c>
      <c r="C2583" s="44">
        <v>3000</v>
      </c>
      <c r="D2583" t="s">
        <v>293</v>
      </c>
      <c r="E2583" t="s">
        <v>364</v>
      </c>
      <c r="F2583">
        <v>3</v>
      </c>
    </row>
    <row r="2584" spans="1:6" ht="13.2">
      <c r="A2584" t="s">
        <v>5919</v>
      </c>
      <c r="B2584">
        <v>100</v>
      </c>
      <c r="C2584" s="44">
        <v>3000</v>
      </c>
      <c r="D2584" t="s">
        <v>293</v>
      </c>
      <c r="E2584" t="s">
        <v>364</v>
      </c>
      <c r="F2584">
        <v>3</v>
      </c>
    </row>
    <row r="2585" spans="1:6" ht="13.2">
      <c r="A2585" t="s">
        <v>5921</v>
      </c>
      <c r="B2585">
        <v>0</v>
      </c>
      <c r="C2585" s="44">
        <v>3200</v>
      </c>
      <c r="D2585" t="s">
        <v>293</v>
      </c>
      <c r="E2585" t="s">
        <v>256</v>
      </c>
      <c r="F2585">
        <v>4</v>
      </c>
    </row>
    <row r="2586" spans="1:6" ht="13.2">
      <c r="A2586" t="s">
        <v>4816</v>
      </c>
      <c r="B2586">
        <v>700</v>
      </c>
      <c r="C2586" s="44">
        <v>1420</v>
      </c>
      <c r="D2586" t="s">
        <v>291</v>
      </c>
      <c r="E2586" t="s">
        <v>577</v>
      </c>
      <c r="F2586" t="s">
        <v>622</v>
      </c>
    </row>
    <row r="2587" spans="1:6" ht="13.2">
      <c r="A2587" t="s">
        <v>4817</v>
      </c>
      <c r="B2587">
        <v>700</v>
      </c>
      <c r="C2587" s="44">
        <v>1420</v>
      </c>
      <c r="D2587" t="s">
        <v>291</v>
      </c>
      <c r="E2587" t="s">
        <v>577</v>
      </c>
      <c r="F2587" t="s">
        <v>622</v>
      </c>
    </row>
    <row r="2588" spans="1:6" ht="13.2">
      <c r="A2588" t="s">
        <v>4818</v>
      </c>
      <c r="B2588">
        <v>700</v>
      </c>
      <c r="C2588" s="44">
        <v>1420</v>
      </c>
      <c r="D2588" t="s">
        <v>291</v>
      </c>
      <c r="E2588" t="s">
        <v>577</v>
      </c>
      <c r="F2588" t="s">
        <v>622</v>
      </c>
    </row>
    <row r="2589" spans="1:6" ht="13.2">
      <c r="A2589" t="s">
        <v>4819</v>
      </c>
      <c r="B2589">
        <v>700</v>
      </c>
      <c r="C2589" s="44">
        <v>1420</v>
      </c>
      <c r="D2589" t="s">
        <v>291</v>
      </c>
      <c r="E2589" t="s">
        <v>577</v>
      </c>
      <c r="F2589" t="s">
        <v>622</v>
      </c>
    </row>
    <row r="2590" spans="1:6" ht="13.2">
      <c r="A2590" t="s">
        <v>4821</v>
      </c>
      <c r="B2590">
        <v>700</v>
      </c>
      <c r="C2590" s="44">
        <v>1420</v>
      </c>
      <c r="D2590" t="s">
        <v>291</v>
      </c>
      <c r="E2590" t="s">
        <v>577</v>
      </c>
      <c r="F2590" t="s">
        <v>622</v>
      </c>
    </row>
    <row r="2591" spans="1:6" ht="13.2">
      <c r="A2591" t="s">
        <v>4820</v>
      </c>
      <c r="B2591">
        <v>700</v>
      </c>
      <c r="C2591" s="44">
        <v>1420</v>
      </c>
      <c r="D2591" t="s">
        <v>291</v>
      </c>
      <c r="E2591" t="s">
        <v>577</v>
      </c>
      <c r="F2591" t="s">
        <v>622</v>
      </c>
    </row>
    <row r="2592" spans="1:5" ht="13.2">
      <c r="A2592" t="s">
        <v>5922</v>
      </c>
      <c r="B2592">
        <v>670</v>
      </c>
      <c r="C2592" s="44">
        <v>1400</v>
      </c>
      <c r="D2592" t="s">
        <v>291</v>
      </c>
      <c r="E2592" t="s">
        <v>750</v>
      </c>
    </row>
    <row r="2593" spans="1:5" ht="13.2">
      <c r="A2593" t="s">
        <v>5923</v>
      </c>
      <c r="B2593">
        <v>670</v>
      </c>
      <c r="C2593" s="44">
        <v>1400</v>
      </c>
      <c r="D2593" t="s">
        <v>291</v>
      </c>
      <c r="E2593" t="s">
        <v>750</v>
      </c>
    </row>
    <row r="2594" spans="1:5" ht="13.2">
      <c r="A2594" t="s">
        <v>5957</v>
      </c>
      <c r="B2594">
        <v>670</v>
      </c>
      <c r="C2594" s="44">
        <v>1400</v>
      </c>
      <c r="D2594" t="s">
        <v>291</v>
      </c>
      <c r="E2594" t="s">
        <v>750</v>
      </c>
    </row>
    <row r="2595" spans="1:5" ht="13.2">
      <c r="A2595" t="s">
        <v>5958</v>
      </c>
      <c r="B2595">
        <v>670</v>
      </c>
      <c r="C2595" s="44">
        <v>1400</v>
      </c>
      <c r="D2595" t="s">
        <v>291</v>
      </c>
      <c r="E2595" t="s">
        <v>750</v>
      </c>
    </row>
    <row r="2596" spans="1:5" ht="13.2">
      <c r="A2596" t="s">
        <v>5959</v>
      </c>
      <c r="B2596">
        <v>670</v>
      </c>
      <c r="C2596" s="44">
        <v>1400</v>
      </c>
      <c r="D2596" t="s">
        <v>291</v>
      </c>
      <c r="E2596" t="s">
        <v>750</v>
      </c>
    </row>
    <row r="2597" spans="1:5" ht="13.2">
      <c r="A2597" t="s">
        <v>5960</v>
      </c>
      <c r="B2597">
        <v>670</v>
      </c>
      <c r="C2597" s="44">
        <v>1400</v>
      </c>
      <c r="D2597" t="s">
        <v>291</v>
      </c>
      <c r="E2597" t="s">
        <v>750</v>
      </c>
    </row>
    <row r="2598" spans="1:5" ht="13.2">
      <c r="A2598" t="s">
        <v>5961</v>
      </c>
      <c r="B2598">
        <v>670</v>
      </c>
      <c r="C2598" s="44">
        <v>1400</v>
      </c>
      <c r="D2598" t="s">
        <v>291</v>
      </c>
      <c r="E2598" t="s">
        <v>750</v>
      </c>
    </row>
    <row r="2599" spans="1:6" ht="13.2">
      <c r="A2599" t="s">
        <v>4272</v>
      </c>
      <c r="B2599">
        <v>0</v>
      </c>
      <c r="C2599" s="44">
        <v>3000</v>
      </c>
      <c r="D2599" t="s">
        <v>293</v>
      </c>
      <c r="E2599" t="s">
        <v>256</v>
      </c>
      <c r="F2599">
        <v>4</v>
      </c>
    </row>
    <row r="2600" spans="1:6" ht="13.2">
      <c r="A2600" t="s">
        <v>4273</v>
      </c>
      <c r="B2600">
        <v>0</v>
      </c>
      <c r="C2600" s="44">
        <v>3000</v>
      </c>
      <c r="D2600" t="s">
        <v>293</v>
      </c>
      <c r="E2600" t="s">
        <v>256</v>
      </c>
      <c r="F2600">
        <v>4</v>
      </c>
    </row>
    <row r="2601" spans="1:6" ht="13.2">
      <c r="A2601" t="s">
        <v>4274</v>
      </c>
      <c r="B2601">
        <v>0</v>
      </c>
      <c r="C2601" s="44">
        <v>3000</v>
      </c>
      <c r="D2601" t="s">
        <v>293</v>
      </c>
      <c r="E2601" t="s">
        <v>256</v>
      </c>
      <c r="F2601">
        <v>4</v>
      </c>
    </row>
    <row r="2602" spans="1:6" ht="13.2">
      <c r="A2602" t="s">
        <v>4275</v>
      </c>
      <c r="B2602">
        <v>0</v>
      </c>
      <c r="C2602" s="44">
        <v>3000</v>
      </c>
      <c r="D2602" t="s">
        <v>293</v>
      </c>
      <c r="E2602" t="s">
        <v>256</v>
      </c>
      <c r="F2602">
        <v>4</v>
      </c>
    </row>
    <row r="2603" spans="1:5" ht="13.2">
      <c r="A2603" t="s">
        <v>4604</v>
      </c>
      <c r="B2603">
        <v>170</v>
      </c>
      <c r="C2603" s="44">
        <v>1360</v>
      </c>
      <c r="D2603" t="s">
        <v>291</v>
      </c>
      <c r="E2603" t="s">
        <v>4601</v>
      </c>
    </row>
    <row r="2604" spans="1:5" ht="13.2">
      <c r="A2604" t="s">
        <v>4605</v>
      </c>
      <c r="B2604">
        <v>170</v>
      </c>
      <c r="C2604" s="44">
        <v>1360</v>
      </c>
      <c r="D2604" t="s">
        <v>291</v>
      </c>
      <c r="E2604" t="s">
        <v>4601</v>
      </c>
    </row>
    <row r="2605" spans="1:5" ht="13.2">
      <c r="A2605" t="s">
        <v>4606</v>
      </c>
      <c r="B2605">
        <v>170</v>
      </c>
      <c r="C2605" s="44">
        <v>1360</v>
      </c>
      <c r="D2605" t="s">
        <v>291</v>
      </c>
      <c r="E2605" t="s">
        <v>4601</v>
      </c>
    </row>
    <row r="2606" spans="1:5" ht="13.2">
      <c r="A2606" t="s">
        <v>4607</v>
      </c>
      <c r="B2606">
        <v>170</v>
      </c>
      <c r="C2606" s="44">
        <v>1360</v>
      </c>
      <c r="D2606" t="s">
        <v>291</v>
      </c>
      <c r="E2606" t="s">
        <v>4601</v>
      </c>
    </row>
    <row r="2607" spans="1:5" ht="13.2">
      <c r="A2607" t="s">
        <v>4608</v>
      </c>
      <c r="B2607">
        <v>170</v>
      </c>
      <c r="C2607" s="44">
        <v>1360</v>
      </c>
      <c r="D2607" t="s">
        <v>291</v>
      </c>
      <c r="E2607" t="s">
        <v>4601</v>
      </c>
    </row>
    <row r="2608" spans="1:5" ht="13.2">
      <c r="A2608" t="s">
        <v>4609</v>
      </c>
      <c r="B2608">
        <v>170</v>
      </c>
      <c r="C2608" s="44">
        <v>1360</v>
      </c>
      <c r="D2608" t="s">
        <v>291</v>
      </c>
      <c r="E2608" t="s">
        <v>4601</v>
      </c>
    </row>
    <row r="2609" spans="1:5" ht="13.2">
      <c r="A2609" t="s">
        <v>4611</v>
      </c>
      <c r="B2609">
        <v>170</v>
      </c>
      <c r="C2609" s="44">
        <v>1360</v>
      </c>
      <c r="D2609" t="s">
        <v>291</v>
      </c>
      <c r="E2609" t="s">
        <v>4601</v>
      </c>
    </row>
    <row r="2610" spans="1:5" ht="13.2">
      <c r="A2610" t="s">
        <v>4610</v>
      </c>
      <c r="B2610">
        <v>170</v>
      </c>
      <c r="C2610" s="44">
        <v>1360</v>
      </c>
      <c r="D2610" t="s">
        <v>291</v>
      </c>
      <c r="E2610" t="s">
        <v>4601</v>
      </c>
    </row>
    <row r="2611" spans="1:6" ht="13.2">
      <c r="A2611" t="s">
        <v>4276</v>
      </c>
      <c r="B2611">
        <v>0</v>
      </c>
      <c r="C2611" s="44">
        <v>3000</v>
      </c>
      <c r="D2611" t="s">
        <v>293</v>
      </c>
      <c r="E2611" t="s">
        <v>364</v>
      </c>
      <c r="F2611">
        <v>3</v>
      </c>
    </row>
    <row r="2612" spans="1:6" ht="13.2">
      <c r="A2612" t="s">
        <v>4277</v>
      </c>
      <c r="B2612">
        <v>0</v>
      </c>
      <c r="C2612" s="44">
        <v>3000</v>
      </c>
      <c r="D2612" t="s">
        <v>293</v>
      </c>
      <c r="E2612" t="s">
        <v>364</v>
      </c>
      <c r="F2612">
        <v>3</v>
      </c>
    </row>
    <row r="2613" spans="1:6" ht="13.2">
      <c r="A2613" t="s">
        <v>4278</v>
      </c>
      <c r="B2613">
        <v>0</v>
      </c>
      <c r="C2613" s="44">
        <v>3000</v>
      </c>
      <c r="D2613" t="s">
        <v>293</v>
      </c>
      <c r="E2613" t="s">
        <v>364</v>
      </c>
      <c r="F2613">
        <v>3</v>
      </c>
    </row>
    <row r="2614" spans="1:6" ht="13.2">
      <c r="A2614" t="s">
        <v>4279</v>
      </c>
      <c r="B2614">
        <v>0</v>
      </c>
      <c r="C2614" s="44">
        <v>3000</v>
      </c>
      <c r="D2614" t="s">
        <v>293</v>
      </c>
      <c r="E2614" t="s">
        <v>364</v>
      </c>
      <c r="F2614">
        <v>3</v>
      </c>
    </row>
    <row r="2615" spans="1:6" ht="13.2">
      <c r="A2615" t="s">
        <v>4280</v>
      </c>
      <c r="B2615">
        <v>0</v>
      </c>
      <c r="C2615" s="44">
        <v>3000</v>
      </c>
      <c r="D2615" t="s">
        <v>293</v>
      </c>
      <c r="E2615" t="s">
        <v>364</v>
      </c>
      <c r="F2615">
        <v>3</v>
      </c>
    </row>
    <row r="2616" spans="1:6" ht="13.2">
      <c r="A2616" t="s">
        <v>4281</v>
      </c>
      <c r="B2616">
        <v>0</v>
      </c>
      <c r="C2616" s="44">
        <v>3000</v>
      </c>
      <c r="D2616" t="s">
        <v>293</v>
      </c>
      <c r="E2616" t="s">
        <v>364</v>
      </c>
      <c r="F2616">
        <v>3</v>
      </c>
    </row>
    <row r="2617" spans="1:6" ht="13.2">
      <c r="A2617" t="s">
        <v>4282</v>
      </c>
      <c r="B2617">
        <v>0</v>
      </c>
      <c r="C2617" s="44">
        <v>3000</v>
      </c>
      <c r="D2617" t="s">
        <v>293</v>
      </c>
      <c r="E2617" t="s">
        <v>364</v>
      </c>
      <c r="F2617">
        <v>3</v>
      </c>
    </row>
    <row r="2618" spans="1:6" ht="13.2">
      <c r="A2618" t="s">
        <v>4283</v>
      </c>
      <c r="B2618">
        <v>0</v>
      </c>
      <c r="C2618" s="44">
        <v>3000</v>
      </c>
      <c r="D2618" t="s">
        <v>293</v>
      </c>
      <c r="E2618" t="s">
        <v>364</v>
      </c>
      <c r="F2618">
        <v>3</v>
      </c>
    </row>
    <row r="2619" spans="1:6" ht="13.2">
      <c r="A2619" t="s">
        <v>4284</v>
      </c>
      <c r="B2619">
        <v>0</v>
      </c>
      <c r="C2619" s="44">
        <v>3000</v>
      </c>
      <c r="D2619" t="s">
        <v>293</v>
      </c>
      <c r="E2619" t="s">
        <v>364</v>
      </c>
      <c r="F2619">
        <v>3</v>
      </c>
    </row>
    <row r="2620" spans="1:6" ht="13.2">
      <c r="A2620" t="s">
        <v>5636</v>
      </c>
      <c r="C2620" s="44">
        <v>3000</v>
      </c>
      <c r="D2620" t="s">
        <v>293</v>
      </c>
      <c r="E2620" t="s">
        <v>256</v>
      </c>
      <c r="F2620">
        <v>4</v>
      </c>
    </row>
    <row r="2621" spans="1:6" ht="13.2">
      <c r="A2621" t="s">
        <v>5638</v>
      </c>
      <c r="C2621" s="44">
        <v>3000</v>
      </c>
      <c r="D2621" t="s">
        <v>293</v>
      </c>
      <c r="E2621" t="s">
        <v>256</v>
      </c>
      <c r="F2621">
        <v>4</v>
      </c>
    </row>
    <row r="2622" spans="1:6" ht="13.2">
      <c r="A2622" t="s">
        <v>5637</v>
      </c>
      <c r="C2622" s="44">
        <v>3000</v>
      </c>
      <c r="D2622" t="s">
        <v>293</v>
      </c>
      <c r="E2622" t="s">
        <v>256</v>
      </c>
      <c r="F2622">
        <v>4</v>
      </c>
    </row>
    <row r="2623" spans="1:6" ht="13.2">
      <c r="A2623" t="s">
        <v>4285</v>
      </c>
      <c r="B2623">
        <v>0</v>
      </c>
      <c r="C2623" s="44">
        <v>3200</v>
      </c>
      <c r="D2623" t="s">
        <v>293</v>
      </c>
      <c r="E2623" t="s">
        <v>256</v>
      </c>
      <c r="F2623">
        <v>4</v>
      </c>
    </row>
    <row r="2624" spans="1:6" ht="13.2">
      <c r="A2624" t="s">
        <v>4286</v>
      </c>
      <c r="B2624">
        <v>0</v>
      </c>
      <c r="C2624" s="44">
        <v>3200</v>
      </c>
      <c r="D2624" t="s">
        <v>293</v>
      </c>
      <c r="E2624" t="s">
        <v>256</v>
      </c>
      <c r="F2624">
        <v>4</v>
      </c>
    </row>
    <row r="2625" spans="1:6" ht="13.2">
      <c r="A2625" t="s">
        <v>4287</v>
      </c>
      <c r="B2625">
        <v>0</v>
      </c>
      <c r="C2625" s="44">
        <v>3200</v>
      </c>
      <c r="D2625" t="s">
        <v>293</v>
      </c>
      <c r="E2625" t="s">
        <v>256</v>
      </c>
      <c r="F2625">
        <v>4</v>
      </c>
    </row>
    <row r="2626" spans="1:6" ht="13.2">
      <c r="A2626" t="s">
        <v>4288</v>
      </c>
      <c r="B2626">
        <v>0</v>
      </c>
      <c r="C2626" s="44">
        <v>3200</v>
      </c>
      <c r="D2626" t="s">
        <v>293</v>
      </c>
      <c r="E2626" t="s">
        <v>256</v>
      </c>
      <c r="F2626">
        <v>4</v>
      </c>
    </row>
    <row r="2627" spans="1:6" ht="13.2">
      <c r="A2627" t="s">
        <v>4289</v>
      </c>
      <c r="B2627">
        <v>0</v>
      </c>
      <c r="C2627" s="44">
        <v>3200</v>
      </c>
      <c r="D2627" t="s">
        <v>293</v>
      </c>
      <c r="E2627" t="s">
        <v>256</v>
      </c>
      <c r="F2627">
        <v>4</v>
      </c>
    </row>
    <row r="2628" spans="1:6" ht="13.2">
      <c r="A2628" t="s">
        <v>4290</v>
      </c>
      <c r="B2628">
        <v>0</v>
      </c>
      <c r="C2628" s="44">
        <v>3200</v>
      </c>
      <c r="D2628" t="s">
        <v>293</v>
      </c>
      <c r="E2628" t="s">
        <v>256</v>
      </c>
      <c r="F2628">
        <v>4</v>
      </c>
    </row>
    <row r="2629" spans="1:6" ht="13.2">
      <c r="A2629" t="s">
        <v>4291</v>
      </c>
      <c r="B2629">
        <v>0</v>
      </c>
      <c r="C2629" s="44">
        <v>3200</v>
      </c>
      <c r="D2629" t="s">
        <v>293</v>
      </c>
      <c r="E2629" t="s">
        <v>256</v>
      </c>
      <c r="F2629">
        <v>4</v>
      </c>
    </row>
    <row r="2630" spans="1:6" ht="13.2">
      <c r="A2630" t="s">
        <v>4292</v>
      </c>
      <c r="B2630">
        <v>0</v>
      </c>
      <c r="C2630" s="44">
        <v>3200</v>
      </c>
      <c r="D2630" t="s">
        <v>293</v>
      </c>
      <c r="E2630" t="s">
        <v>256</v>
      </c>
      <c r="F2630">
        <v>4</v>
      </c>
    </row>
    <row r="2631" spans="1:6" ht="13.2">
      <c r="A2631" t="s">
        <v>4293</v>
      </c>
      <c r="B2631">
        <v>0</v>
      </c>
      <c r="C2631" s="44">
        <v>3200</v>
      </c>
      <c r="D2631" t="s">
        <v>293</v>
      </c>
      <c r="E2631" t="s">
        <v>256</v>
      </c>
      <c r="F2631">
        <v>4</v>
      </c>
    </row>
    <row r="2632" spans="1:6" ht="13.2">
      <c r="A2632" t="s">
        <v>4294</v>
      </c>
      <c r="B2632">
        <v>0</v>
      </c>
      <c r="C2632" s="44">
        <v>3200</v>
      </c>
      <c r="D2632" t="s">
        <v>293</v>
      </c>
      <c r="E2632" t="s">
        <v>256</v>
      </c>
      <c r="F2632">
        <v>4</v>
      </c>
    </row>
    <row r="2633" spans="1:6" ht="13.2">
      <c r="A2633" t="s">
        <v>4295</v>
      </c>
      <c r="B2633">
        <v>0</v>
      </c>
      <c r="C2633" s="44">
        <v>3200</v>
      </c>
      <c r="D2633" t="s">
        <v>293</v>
      </c>
      <c r="E2633" t="s">
        <v>256</v>
      </c>
      <c r="F2633">
        <v>4</v>
      </c>
    </row>
    <row r="2634" spans="1:6" ht="13.2">
      <c r="A2634" t="s">
        <v>4296</v>
      </c>
      <c r="B2634">
        <v>0</v>
      </c>
      <c r="C2634" s="44">
        <v>3200</v>
      </c>
      <c r="D2634" t="s">
        <v>293</v>
      </c>
      <c r="E2634" t="s">
        <v>256</v>
      </c>
      <c r="F2634">
        <v>4</v>
      </c>
    </row>
    <row r="2635" spans="1:6" ht="13.2">
      <c r="A2635" t="s">
        <v>4297</v>
      </c>
      <c r="B2635">
        <v>0</v>
      </c>
      <c r="C2635" s="44">
        <v>3200</v>
      </c>
      <c r="D2635" t="s">
        <v>293</v>
      </c>
      <c r="E2635" t="s">
        <v>256</v>
      </c>
      <c r="F2635">
        <v>4</v>
      </c>
    </row>
    <row r="2636" spans="1:6" ht="13.2">
      <c r="A2636" t="s">
        <v>4298</v>
      </c>
      <c r="B2636">
        <v>0</v>
      </c>
      <c r="C2636" s="44">
        <v>3200</v>
      </c>
      <c r="D2636" t="s">
        <v>293</v>
      </c>
      <c r="E2636" t="s">
        <v>256</v>
      </c>
      <c r="F2636">
        <v>4</v>
      </c>
    </row>
    <row r="2637" spans="1:6" ht="13.2">
      <c r="A2637" t="s">
        <v>4299</v>
      </c>
      <c r="B2637">
        <v>0</v>
      </c>
      <c r="C2637" s="44">
        <v>3200</v>
      </c>
      <c r="D2637" t="s">
        <v>293</v>
      </c>
      <c r="E2637" t="s">
        <v>256</v>
      </c>
      <c r="F2637">
        <v>4</v>
      </c>
    </row>
    <row r="2638" spans="1:6" ht="13.2">
      <c r="A2638" t="s">
        <v>4300</v>
      </c>
      <c r="B2638">
        <v>0</v>
      </c>
      <c r="C2638" s="44">
        <v>3200</v>
      </c>
      <c r="D2638" t="s">
        <v>293</v>
      </c>
      <c r="E2638" t="s">
        <v>256</v>
      </c>
      <c r="F2638">
        <v>4</v>
      </c>
    </row>
    <row r="2639" spans="1:6" ht="13.2">
      <c r="A2639" t="s">
        <v>4301</v>
      </c>
      <c r="B2639">
        <v>0</v>
      </c>
      <c r="C2639" s="44">
        <v>3200</v>
      </c>
      <c r="D2639" t="s">
        <v>293</v>
      </c>
      <c r="E2639" t="s">
        <v>256</v>
      </c>
      <c r="F2639">
        <v>4</v>
      </c>
    </row>
    <row r="2640" spans="1:6" ht="13.2">
      <c r="A2640" t="s">
        <v>4302</v>
      </c>
      <c r="B2640">
        <v>0</v>
      </c>
      <c r="C2640" s="44">
        <v>3200</v>
      </c>
      <c r="D2640" t="s">
        <v>293</v>
      </c>
      <c r="E2640" t="s">
        <v>256</v>
      </c>
      <c r="F2640">
        <v>4</v>
      </c>
    </row>
    <row r="2641" spans="1:6" ht="13.2">
      <c r="A2641" t="s">
        <v>4303</v>
      </c>
      <c r="B2641">
        <v>0</v>
      </c>
      <c r="C2641" s="44">
        <v>3200</v>
      </c>
      <c r="D2641" t="s">
        <v>293</v>
      </c>
      <c r="E2641" t="s">
        <v>256</v>
      </c>
      <c r="F2641">
        <v>4</v>
      </c>
    </row>
    <row r="2642" spans="1:6" ht="13.2">
      <c r="A2642" t="s">
        <v>4304</v>
      </c>
      <c r="B2642">
        <v>0</v>
      </c>
      <c r="C2642" s="44">
        <v>3200</v>
      </c>
      <c r="D2642" t="s">
        <v>293</v>
      </c>
      <c r="E2642" t="s">
        <v>256</v>
      </c>
      <c r="F2642">
        <v>4</v>
      </c>
    </row>
    <row r="2643" spans="1:6" ht="13.2">
      <c r="A2643" t="s">
        <v>4305</v>
      </c>
      <c r="B2643">
        <v>0</v>
      </c>
      <c r="C2643" s="44">
        <v>3200</v>
      </c>
      <c r="D2643" t="s">
        <v>293</v>
      </c>
      <c r="E2643" t="s">
        <v>256</v>
      </c>
      <c r="F2643">
        <v>4</v>
      </c>
    </row>
    <row r="2644" spans="1:6" ht="13.2">
      <c r="A2644" t="s">
        <v>5388</v>
      </c>
      <c r="B2644">
        <v>690</v>
      </c>
      <c r="C2644" s="44">
        <v>1400</v>
      </c>
      <c r="D2644" t="s">
        <v>291</v>
      </c>
      <c r="E2644" t="s">
        <v>256</v>
      </c>
      <c r="F2644">
        <v>4</v>
      </c>
    </row>
    <row r="2645" spans="1:6" ht="13.2">
      <c r="A2645" t="s">
        <v>5389</v>
      </c>
      <c r="B2645">
        <v>690</v>
      </c>
      <c r="C2645" s="44">
        <v>1400</v>
      </c>
      <c r="D2645" t="s">
        <v>291</v>
      </c>
      <c r="E2645" t="s">
        <v>256</v>
      </c>
      <c r="F2645">
        <v>4</v>
      </c>
    </row>
    <row r="2646" spans="1:6" ht="13.2">
      <c r="A2646" t="s">
        <v>5390</v>
      </c>
      <c r="B2646">
        <v>690</v>
      </c>
      <c r="C2646" s="44">
        <v>1400</v>
      </c>
      <c r="D2646" t="s">
        <v>291</v>
      </c>
      <c r="E2646" t="s">
        <v>256</v>
      </c>
      <c r="F2646">
        <v>4</v>
      </c>
    </row>
    <row r="2647" spans="1:6" ht="13.2">
      <c r="A2647" t="s">
        <v>5391</v>
      </c>
      <c r="B2647">
        <v>690</v>
      </c>
      <c r="C2647" s="44">
        <v>1400</v>
      </c>
      <c r="D2647" t="s">
        <v>291</v>
      </c>
      <c r="E2647" t="s">
        <v>256</v>
      </c>
      <c r="F2647">
        <v>4</v>
      </c>
    </row>
    <row r="2648" spans="1:6" ht="13.2">
      <c r="A2648" t="s">
        <v>5392</v>
      </c>
      <c r="B2648">
        <v>690</v>
      </c>
      <c r="C2648" s="44">
        <v>1400</v>
      </c>
      <c r="D2648" t="s">
        <v>291</v>
      </c>
      <c r="E2648" t="s">
        <v>256</v>
      </c>
      <c r="F2648">
        <v>4</v>
      </c>
    </row>
    <row r="2649" spans="1:6" ht="13.2">
      <c r="A2649" t="s">
        <v>5393</v>
      </c>
      <c r="B2649">
        <v>690</v>
      </c>
      <c r="C2649" s="44">
        <v>1400</v>
      </c>
      <c r="D2649" t="s">
        <v>291</v>
      </c>
      <c r="E2649" t="s">
        <v>256</v>
      </c>
      <c r="F2649">
        <v>4</v>
      </c>
    </row>
    <row r="2650" spans="1:6" ht="13.2">
      <c r="A2650" t="s">
        <v>5394</v>
      </c>
      <c r="B2650">
        <v>690</v>
      </c>
      <c r="C2650" s="44">
        <v>1400</v>
      </c>
      <c r="D2650" t="s">
        <v>291</v>
      </c>
      <c r="E2650" t="s">
        <v>256</v>
      </c>
      <c r="F2650">
        <v>4</v>
      </c>
    </row>
    <row r="2651" spans="1:6" ht="13.2">
      <c r="A2651" t="s">
        <v>5368</v>
      </c>
      <c r="B2651">
        <v>640</v>
      </c>
      <c r="C2651" s="44">
        <v>1400</v>
      </c>
      <c r="D2651" t="s">
        <v>291</v>
      </c>
      <c r="E2651" t="s">
        <v>256</v>
      </c>
      <c r="F2651">
        <v>4</v>
      </c>
    </row>
    <row r="2652" spans="1:6" ht="13.2">
      <c r="A2652" t="s">
        <v>5369</v>
      </c>
      <c r="B2652">
        <v>640</v>
      </c>
      <c r="C2652" s="44">
        <v>1400</v>
      </c>
      <c r="D2652" t="s">
        <v>291</v>
      </c>
      <c r="E2652" t="s">
        <v>256</v>
      </c>
      <c r="F2652">
        <v>4</v>
      </c>
    </row>
    <row r="2653" spans="1:6" ht="13.2">
      <c r="A2653" t="s">
        <v>5370</v>
      </c>
      <c r="B2653">
        <v>640</v>
      </c>
      <c r="C2653" s="44">
        <v>1400</v>
      </c>
      <c r="D2653" t="s">
        <v>291</v>
      </c>
      <c r="E2653" t="s">
        <v>256</v>
      </c>
      <c r="F2653">
        <v>4</v>
      </c>
    </row>
    <row r="2654" spans="1:6" ht="13.2">
      <c r="A2654" t="s">
        <v>5371</v>
      </c>
      <c r="B2654">
        <v>640</v>
      </c>
      <c r="C2654" s="44">
        <v>1400</v>
      </c>
      <c r="D2654" t="s">
        <v>291</v>
      </c>
      <c r="E2654" t="s">
        <v>256</v>
      </c>
      <c r="F2654">
        <v>4</v>
      </c>
    </row>
    <row r="2655" spans="1:6" ht="13.2">
      <c r="A2655" t="s">
        <v>5372</v>
      </c>
      <c r="B2655">
        <v>640</v>
      </c>
      <c r="C2655" s="44">
        <v>1400</v>
      </c>
      <c r="D2655" t="s">
        <v>291</v>
      </c>
      <c r="E2655" t="s">
        <v>256</v>
      </c>
      <c r="F2655">
        <v>4</v>
      </c>
    </row>
    <row r="2656" spans="1:6" ht="13.2">
      <c r="A2656" t="s">
        <v>5378</v>
      </c>
      <c r="B2656">
        <v>640</v>
      </c>
      <c r="C2656" s="44">
        <v>1400</v>
      </c>
      <c r="D2656" t="s">
        <v>291</v>
      </c>
      <c r="E2656" t="s">
        <v>256</v>
      </c>
      <c r="F2656">
        <v>4</v>
      </c>
    </row>
    <row r="2657" spans="1:6" ht="13.2">
      <c r="A2657" t="s">
        <v>5379</v>
      </c>
      <c r="B2657">
        <v>640</v>
      </c>
      <c r="C2657" s="44">
        <v>1400</v>
      </c>
      <c r="D2657" t="s">
        <v>291</v>
      </c>
      <c r="E2657" t="s">
        <v>256</v>
      </c>
      <c r="F2657">
        <v>4</v>
      </c>
    </row>
    <row r="2658" spans="1:6" ht="13.2">
      <c r="A2658" t="s">
        <v>5380</v>
      </c>
      <c r="B2658">
        <v>640</v>
      </c>
      <c r="C2658" s="44">
        <v>1400</v>
      </c>
      <c r="D2658" t="s">
        <v>291</v>
      </c>
      <c r="E2658" t="s">
        <v>256</v>
      </c>
      <c r="F2658">
        <v>4</v>
      </c>
    </row>
    <row r="2659" spans="1:6" ht="13.2">
      <c r="A2659" t="s">
        <v>5381</v>
      </c>
      <c r="B2659">
        <v>640</v>
      </c>
      <c r="C2659" s="44">
        <v>1400</v>
      </c>
      <c r="D2659" t="s">
        <v>291</v>
      </c>
      <c r="E2659" t="s">
        <v>256</v>
      </c>
      <c r="F2659">
        <v>4</v>
      </c>
    </row>
    <row r="2660" spans="1:6" ht="13.2">
      <c r="A2660" t="s">
        <v>5382</v>
      </c>
      <c r="B2660">
        <v>640</v>
      </c>
      <c r="C2660" s="44">
        <v>1400</v>
      </c>
      <c r="D2660" t="s">
        <v>291</v>
      </c>
      <c r="E2660" t="s">
        <v>256</v>
      </c>
      <c r="F2660">
        <v>4</v>
      </c>
    </row>
    <row r="2661" spans="1:6" ht="13.2">
      <c r="A2661" t="s">
        <v>5402</v>
      </c>
      <c r="B2661">
        <v>690</v>
      </c>
      <c r="C2661" s="44">
        <v>1400</v>
      </c>
      <c r="D2661" t="s">
        <v>291</v>
      </c>
      <c r="E2661" t="s">
        <v>256</v>
      </c>
      <c r="F2661">
        <v>4</v>
      </c>
    </row>
    <row r="2662" spans="1:6" ht="13.2">
      <c r="A2662" t="s">
        <v>5403</v>
      </c>
      <c r="B2662">
        <v>690</v>
      </c>
      <c r="C2662" s="44">
        <v>1400</v>
      </c>
      <c r="D2662" t="s">
        <v>291</v>
      </c>
      <c r="E2662" t="s">
        <v>256</v>
      </c>
      <c r="F2662">
        <v>4</v>
      </c>
    </row>
    <row r="2663" spans="1:6" ht="13.2">
      <c r="A2663" t="s">
        <v>5404</v>
      </c>
      <c r="B2663">
        <v>690</v>
      </c>
      <c r="C2663" s="44">
        <v>1400</v>
      </c>
      <c r="D2663" t="s">
        <v>291</v>
      </c>
      <c r="E2663" t="s">
        <v>256</v>
      </c>
      <c r="F2663">
        <v>4</v>
      </c>
    </row>
    <row r="2664" spans="1:6" ht="13.2">
      <c r="A2664" t="s">
        <v>5405</v>
      </c>
      <c r="B2664">
        <v>690</v>
      </c>
      <c r="C2664" s="44">
        <v>1400</v>
      </c>
      <c r="D2664" t="s">
        <v>291</v>
      </c>
      <c r="E2664" t="s">
        <v>256</v>
      </c>
      <c r="F2664">
        <v>4</v>
      </c>
    </row>
    <row r="2665" spans="1:6" ht="13.2">
      <c r="A2665" t="s">
        <v>5406</v>
      </c>
      <c r="B2665">
        <v>690</v>
      </c>
      <c r="C2665" s="44">
        <v>1400</v>
      </c>
      <c r="D2665" t="s">
        <v>291</v>
      </c>
      <c r="E2665" t="s">
        <v>256</v>
      </c>
      <c r="F2665">
        <v>4</v>
      </c>
    </row>
    <row r="2666" spans="1:6" ht="13.2">
      <c r="A2666" t="s">
        <v>5407</v>
      </c>
      <c r="B2666">
        <v>690</v>
      </c>
      <c r="C2666" s="44">
        <v>1400</v>
      </c>
      <c r="D2666" t="s">
        <v>291</v>
      </c>
      <c r="E2666" t="s">
        <v>256</v>
      </c>
      <c r="F2666">
        <v>4</v>
      </c>
    </row>
    <row r="2667" spans="1:6" ht="13.2">
      <c r="A2667" t="s">
        <v>5395</v>
      </c>
      <c r="B2667">
        <v>690</v>
      </c>
      <c r="C2667" s="44">
        <v>1400</v>
      </c>
      <c r="D2667" t="s">
        <v>291</v>
      </c>
      <c r="E2667" t="s">
        <v>256</v>
      </c>
      <c r="F2667">
        <v>4</v>
      </c>
    </row>
    <row r="2668" spans="1:6" ht="13.2">
      <c r="A2668" t="s">
        <v>5396</v>
      </c>
      <c r="B2668">
        <v>690</v>
      </c>
      <c r="C2668" s="44">
        <v>1400</v>
      </c>
      <c r="D2668" t="s">
        <v>291</v>
      </c>
      <c r="E2668" t="s">
        <v>256</v>
      </c>
      <c r="F2668">
        <v>4</v>
      </c>
    </row>
    <row r="2669" spans="1:6" ht="13.2">
      <c r="A2669" t="s">
        <v>5397</v>
      </c>
      <c r="B2669">
        <v>690</v>
      </c>
      <c r="C2669" s="44">
        <v>1400</v>
      </c>
      <c r="D2669" t="s">
        <v>291</v>
      </c>
      <c r="E2669" t="s">
        <v>256</v>
      </c>
      <c r="F2669">
        <v>4</v>
      </c>
    </row>
    <row r="2670" spans="1:6" ht="13.2">
      <c r="A2670" t="s">
        <v>5398</v>
      </c>
      <c r="B2670">
        <v>690</v>
      </c>
      <c r="C2670" s="44">
        <v>1400</v>
      </c>
      <c r="D2670" t="s">
        <v>291</v>
      </c>
      <c r="E2670" t="s">
        <v>256</v>
      </c>
      <c r="F2670">
        <v>4</v>
      </c>
    </row>
    <row r="2671" spans="1:6" ht="13.2">
      <c r="A2671" t="s">
        <v>5399</v>
      </c>
      <c r="B2671">
        <v>690</v>
      </c>
      <c r="C2671" s="44">
        <v>1400</v>
      </c>
      <c r="D2671" t="s">
        <v>291</v>
      </c>
      <c r="E2671" t="s">
        <v>256</v>
      </c>
      <c r="F2671">
        <v>4</v>
      </c>
    </row>
    <row r="2672" spans="1:6" ht="13.2">
      <c r="A2672" t="s">
        <v>5400</v>
      </c>
      <c r="B2672">
        <v>690</v>
      </c>
      <c r="C2672" s="44">
        <v>1400</v>
      </c>
      <c r="D2672" t="s">
        <v>291</v>
      </c>
      <c r="E2672" t="s">
        <v>256</v>
      </c>
      <c r="F2672">
        <v>4</v>
      </c>
    </row>
    <row r="2673" spans="1:6" ht="13.2">
      <c r="A2673" t="s">
        <v>5401</v>
      </c>
      <c r="B2673">
        <v>690</v>
      </c>
      <c r="C2673" s="44">
        <v>1400</v>
      </c>
      <c r="D2673" t="s">
        <v>291</v>
      </c>
      <c r="E2673" t="s">
        <v>256</v>
      </c>
      <c r="F2673">
        <v>4</v>
      </c>
    </row>
    <row r="2674" spans="1:6" ht="13.2">
      <c r="A2674" t="s">
        <v>5373</v>
      </c>
      <c r="B2674">
        <v>640</v>
      </c>
      <c r="C2674" s="44">
        <v>1400</v>
      </c>
      <c r="D2674" t="s">
        <v>291</v>
      </c>
      <c r="E2674" t="s">
        <v>256</v>
      </c>
      <c r="F2674">
        <v>4</v>
      </c>
    </row>
    <row r="2675" spans="1:6" ht="13.2">
      <c r="A2675" t="s">
        <v>5374</v>
      </c>
      <c r="B2675">
        <v>640</v>
      </c>
      <c r="C2675" s="44">
        <v>1400</v>
      </c>
      <c r="D2675" t="s">
        <v>291</v>
      </c>
      <c r="E2675" t="s">
        <v>256</v>
      </c>
      <c r="F2675">
        <v>4</v>
      </c>
    </row>
    <row r="2676" spans="1:6" ht="13.2">
      <c r="A2676" t="s">
        <v>5375</v>
      </c>
      <c r="B2676">
        <v>640</v>
      </c>
      <c r="C2676" s="44">
        <v>1400</v>
      </c>
      <c r="D2676" t="s">
        <v>291</v>
      </c>
      <c r="E2676" t="s">
        <v>256</v>
      </c>
      <c r="F2676">
        <v>4</v>
      </c>
    </row>
    <row r="2677" spans="1:6" ht="13.2">
      <c r="A2677" t="s">
        <v>5376</v>
      </c>
      <c r="B2677">
        <v>640</v>
      </c>
      <c r="C2677" s="44">
        <v>1400</v>
      </c>
      <c r="D2677" t="s">
        <v>291</v>
      </c>
      <c r="E2677" t="s">
        <v>256</v>
      </c>
      <c r="F2677">
        <v>4</v>
      </c>
    </row>
    <row r="2678" spans="1:6" ht="13.2">
      <c r="A2678" t="s">
        <v>5377</v>
      </c>
      <c r="B2678">
        <v>640</v>
      </c>
      <c r="C2678" s="44">
        <v>1400</v>
      </c>
      <c r="D2678" t="s">
        <v>291</v>
      </c>
      <c r="E2678" t="s">
        <v>256</v>
      </c>
      <c r="F2678">
        <v>4</v>
      </c>
    </row>
    <row r="2679" spans="1:6" ht="13.2">
      <c r="A2679" t="s">
        <v>5383</v>
      </c>
      <c r="B2679">
        <v>640</v>
      </c>
      <c r="C2679" s="44">
        <v>1400</v>
      </c>
      <c r="D2679" t="s">
        <v>291</v>
      </c>
      <c r="E2679" t="s">
        <v>256</v>
      </c>
      <c r="F2679">
        <v>4</v>
      </c>
    </row>
    <row r="2680" spans="1:6" ht="13.2">
      <c r="A2680" t="s">
        <v>5384</v>
      </c>
      <c r="B2680">
        <v>640</v>
      </c>
      <c r="C2680" s="44">
        <v>1400</v>
      </c>
      <c r="D2680" t="s">
        <v>291</v>
      </c>
      <c r="E2680" t="s">
        <v>256</v>
      </c>
      <c r="F2680">
        <v>4</v>
      </c>
    </row>
    <row r="2681" spans="1:6" ht="13.2">
      <c r="A2681" t="s">
        <v>5385</v>
      </c>
      <c r="B2681">
        <v>640</v>
      </c>
      <c r="C2681" s="44">
        <v>1400</v>
      </c>
      <c r="D2681" t="s">
        <v>291</v>
      </c>
      <c r="E2681" t="s">
        <v>256</v>
      </c>
      <c r="F2681">
        <v>4</v>
      </c>
    </row>
    <row r="2682" spans="1:6" ht="13.2">
      <c r="A2682" t="s">
        <v>5386</v>
      </c>
      <c r="B2682">
        <v>640</v>
      </c>
      <c r="C2682" s="44">
        <v>1400</v>
      </c>
      <c r="D2682" t="s">
        <v>291</v>
      </c>
      <c r="E2682" t="s">
        <v>256</v>
      </c>
      <c r="F2682">
        <v>4</v>
      </c>
    </row>
    <row r="2683" spans="1:6" ht="13.2">
      <c r="A2683" t="s">
        <v>5387</v>
      </c>
      <c r="B2683">
        <v>640</v>
      </c>
      <c r="C2683" s="44">
        <v>1400</v>
      </c>
      <c r="D2683" t="s">
        <v>291</v>
      </c>
      <c r="E2683" t="s">
        <v>256</v>
      </c>
      <c r="F2683">
        <v>4</v>
      </c>
    </row>
    <row r="2684" spans="1:6" ht="13.2">
      <c r="A2684" t="s">
        <v>5408</v>
      </c>
      <c r="B2684">
        <v>690</v>
      </c>
      <c r="C2684" s="44">
        <v>1400</v>
      </c>
      <c r="D2684" t="s">
        <v>291</v>
      </c>
      <c r="E2684" t="s">
        <v>256</v>
      </c>
      <c r="F2684">
        <v>4</v>
      </c>
    </row>
    <row r="2685" spans="1:6" ht="13.2">
      <c r="A2685" t="s">
        <v>5409</v>
      </c>
      <c r="B2685">
        <v>690</v>
      </c>
      <c r="C2685" s="44">
        <v>1400</v>
      </c>
      <c r="D2685" t="s">
        <v>291</v>
      </c>
      <c r="E2685" t="s">
        <v>256</v>
      </c>
      <c r="F2685">
        <v>4</v>
      </c>
    </row>
    <row r="2686" spans="1:6" ht="13.2">
      <c r="A2686" t="s">
        <v>5410</v>
      </c>
      <c r="B2686">
        <v>690</v>
      </c>
      <c r="C2686" s="44">
        <v>1400</v>
      </c>
      <c r="D2686" t="s">
        <v>291</v>
      </c>
      <c r="E2686" t="s">
        <v>256</v>
      </c>
      <c r="F2686">
        <v>4</v>
      </c>
    </row>
    <row r="2687" spans="1:6" ht="13.2">
      <c r="A2687" t="s">
        <v>5411</v>
      </c>
      <c r="B2687">
        <v>690</v>
      </c>
      <c r="C2687" s="44">
        <v>1400</v>
      </c>
      <c r="D2687" t="s">
        <v>291</v>
      </c>
      <c r="E2687" t="s">
        <v>256</v>
      </c>
      <c r="F2687">
        <v>4</v>
      </c>
    </row>
    <row r="2688" spans="1:6" ht="13.2">
      <c r="A2688" t="s">
        <v>5412</v>
      </c>
      <c r="B2688">
        <v>690</v>
      </c>
      <c r="C2688" s="44">
        <v>1400</v>
      </c>
      <c r="D2688" t="s">
        <v>291</v>
      </c>
      <c r="E2688" t="s">
        <v>256</v>
      </c>
      <c r="F2688">
        <v>4</v>
      </c>
    </row>
    <row r="2689" spans="1:6" ht="13.2">
      <c r="A2689" t="s">
        <v>5413</v>
      </c>
      <c r="B2689">
        <v>690</v>
      </c>
      <c r="C2689" s="44">
        <v>1400</v>
      </c>
      <c r="D2689" t="s">
        <v>291</v>
      </c>
      <c r="E2689" t="s">
        <v>256</v>
      </c>
      <c r="F2689">
        <v>4</v>
      </c>
    </row>
    <row r="2690" spans="1:6" ht="13.2">
      <c r="A2690" t="s">
        <v>3902</v>
      </c>
      <c r="B2690">
        <v>630</v>
      </c>
      <c r="C2690" s="44">
        <v>1390</v>
      </c>
      <c r="D2690" t="s">
        <v>291</v>
      </c>
      <c r="E2690" t="s">
        <v>3903</v>
      </c>
      <c r="F2690">
        <v>4</v>
      </c>
    </row>
    <row r="2691" spans="1:6" ht="13.2">
      <c r="A2691" t="s">
        <v>3904</v>
      </c>
      <c r="B2691">
        <v>630</v>
      </c>
      <c r="C2691" s="44">
        <v>1390</v>
      </c>
      <c r="D2691" t="s">
        <v>291</v>
      </c>
      <c r="E2691" t="s">
        <v>3903</v>
      </c>
      <c r="F2691">
        <v>4</v>
      </c>
    </row>
    <row r="2692" spans="1:6" ht="13.2">
      <c r="A2692" t="s">
        <v>3905</v>
      </c>
      <c r="B2692">
        <v>630</v>
      </c>
      <c r="C2692" s="44">
        <v>1390</v>
      </c>
      <c r="D2692" t="s">
        <v>291</v>
      </c>
      <c r="E2692" t="s">
        <v>3903</v>
      </c>
      <c r="F2692">
        <v>4</v>
      </c>
    </row>
    <row r="2693" spans="1:6" ht="13.2">
      <c r="A2693" t="s">
        <v>3907</v>
      </c>
      <c r="B2693">
        <v>630</v>
      </c>
      <c r="C2693" s="44">
        <v>1390</v>
      </c>
      <c r="D2693" t="s">
        <v>291</v>
      </c>
      <c r="E2693" t="s">
        <v>3903</v>
      </c>
      <c r="F2693">
        <v>4</v>
      </c>
    </row>
    <row r="2694" spans="1:6" ht="13.2">
      <c r="A2694" t="s">
        <v>4686</v>
      </c>
      <c r="B2694">
        <v>630</v>
      </c>
      <c r="C2694" s="44">
        <v>1390</v>
      </c>
      <c r="D2694" t="s">
        <v>291</v>
      </c>
      <c r="E2694" t="s">
        <v>3903</v>
      </c>
      <c r="F2694">
        <v>4</v>
      </c>
    </row>
    <row r="2695" spans="1:6" ht="13.2">
      <c r="A2695" t="s">
        <v>3906</v>
      </c>
      <c r="B2695">
        <v>630</v>
      </c>
      <c r="C2695" s="44">
        <v>1390</v>
      </c>
      <c r="D2695" t="s">
        <v>291</v>
      </c>
      <c r="E2695" t="s">
        <v>3903</v>
      </c>
      <c r="F2695">
        <v>4</v>
      </c>
    </row>
    <row r="2696" spans="1:6" ht="13.2">
      <c r="A2696" t="s">
        <v>3908</v>
      </c>
      <c r="B2696">
        <v>630</v>
      </c>
      <c r="C2696" s="44">
        <v>1390</v>
      </c>
      <c r="D2696" t="s">
        <v>291</v>
      </c>
      <c r="E2696" t="s">
        <v>3903</v>
      </c>
      <c r="F2696">
        <v>4</v>
      </c>
    </row>
    <row r="2697" spans="1:6" ht="13.2">
      <c r="A2697" t="s">
        <v>5639</v>
      </c>
      <c r="C2697" s="44">
        <v>3000</v>
      </c>
      <c r="D2697" t="s">
        <v>293</v>
      </c>
      <c r="E2697" t="s">
        <v>256</v>
      </c>
      <c r="F2697">
        <v>4</v>
      </c>
    </row>
    <row r="2698" spans="1:6" ht="13.2">
      <c r="A2698" t="s">
        <v>5641</v>
      </c>
      <c r="C2698" s="44">
        <v>3000</v>
      </c>
      <c r="D2698" t="s">
        <v>293</v>
      </c>
      <c r="E2698" t="s">
        <v>256</v>
      </c>
      <c r="F2698">
        <v>4</v>
      </c>
    </row>
    <row r="2699" spans="1:6" ht="13.2">
      <c r="A2699" t="s">
        <v>5640</v>
      </c>
      <c r="C2699" s="44">
        <v>3000</v>
      </c>
      <c r="D2699" t="s">
        <v>293</v>
      </c>
      <c r="E2699" t="s">
        <v>256</v>
      </c>
      <c r="F2699">
        <v>4</v>
      </c>
    </row>
    <row r="2700" spans="1:6" ht="13.2">
      <c r="A2700" t="s">
        <v>3217</v>
      </c>
      <c r="B2700">
        <v>620</v>
      </c>
      <c r="C2700" s="44">
        <v>1400</v>
      </c>
      <c r="D2700" t="s">
        <v>291</v>
      </c>
      <c r="E2700" t="s">
        <v>522</v>
      </c>
      <c r="F2700">
        <v>3</v>
      </c>
    </row>
    <row r="2701" spans="1:6" ht="13.2">
      <c r="A2701" t="s">
        <v>3215</v>
      </c>
      <c r="B2701">
        <v>620</v>
      </c>
      <c r="C2701" s="44">
        <v>1400</v>
      </c>
      <c r="D2701" t="s">
        <v>291</v>
      </c>
      <c r="E2701" t="s">
        <v>522</v>
      </c>
      <c r="F2701">
        <v>3</v>
      </c>
    </row>
    <row r="2702" spans="1:6" ht="13.2">
      <c r="A2702" t="s">
        <v>3214</v>
      </c>
      <c r="B2702">
        <v>620</v>
      </c>
      <c r="C2702" s="44">
        <v>1400</v>
      </c>
      <c r="D2702" t="s">
        <v>291</v>
      </c>
      <c r="E2702" t="s">
        <v>522</v>
      </c>
      <c r="F2702">
        <v>3</v>
      </c>
    </row>
    <row r="2703" spans="1:6" ht="13.2">
      <c r="A2703" t="s">
        <v>3218</v>
      </c>
      <c r="B2703">
        <v>620</v>
      </c>
      <c r="C2703" s="44">
        <v>1400</v>
      </c>
      <c r="D2703" t="s">
        <v>291</v>
      </c>
      <c r="E2703" t="s">
        <v>522</v>
      </c>
      <c r="F2703">
        <v>3</v>
      </c>
    </row>
    <row r="2704" spans="1:6" ht="13.2">
      <c r="A2704" t="s">
        <v>3219</v>
      </c>
      <c r="B2704">
        <v>620</v>
      </c>
      <c r="C2704" s="44">
        <v>1400</v>
      </c>
      <c r="D2704" t="s">
        <v>291</v>
      </c>
      <c r="E2704" t="s">
        <v>522</v>
      </c>
      <c r="F2704">
        <v>3</v>
      </c>
    </row>
    <row r="2705" spans="1:6" ht="13.2">
      <c r="A2705" t="s">
        <v>3213</v>
      </c>
      <c r="B2705">
        <v>620</v>
      </c>
      <c r="C2705" s="44">
        <v>1400</v>
      </c>
      <c r="D2705" t="s">
        <v>291</v>
      </c>
      <c r="E2705" t="s">
        <v>522</v>
      </c>
      <c r="F2705">
        <v>3</v>
      </c>
    </row>
    <row r="2706" spans="1:6" ht="13.2">
      <c r="A2706" t="s">
        <v>3216</v>
      </c>
      <c r="B2706">
        <v>620</v>
      </c>
      <c r="C2706" s="44">
        <v>1400</v>
      </c>
      <c r="D2706" t="s">
        <v>291</v>
      </c>
      <c r="E2706" t="s">
        <v>522</v>
      </c>
      <c r="F2706">
        <v>3</v>
      </c>
    </row>
    <row r="2707" spans="1:6" ht="13.2">
      <c r="A2707" t="s">
        <v>3203</v>
      </c>
      <c r="B2707">
        <v>395</v>
      </c>
      <c r="C2707" s="44">
        <v>1370</v>
      </c>
      <c r="D2707" t="s">
        <v>291</v>
      </c>
      <c r="E2707" t="s">
        <v>571</v>
      </c>
      <c r="F2707">
        <v>4</v>
      </c>
    </row>
    <row r="2708" spans="1:6" ht="13.2">
      <c r="A2708" t="s">
        <v>3201</v>
      </c>
      <c r="B2708">
        <v>395</v>
      </c>
      <c r="C2708" s="44">
        <v>1370</v>
      </c>
      <c r="D2708" t="s">
        <v>291</v>
      </c>
      <c r="E2708" t="s">
        <v>571</v>
      </c>
      <c r="F2708">
        <v>4</v>
      </c>
    </row>
    <row r="2709" spans="1:6" ht="13.2">
      <c r="A2709" t="s">
        <v>3205</v>
      </c>
      <c r="B2709">
        <v>395</v>
      </c>
      <c r="C2709" s="44">
        <v>1370</v>
      </c>
      <c r="D2709" t="s">
        <v>291</v>
      </c>
      <c r="E2709" t="s">
        <v>571</v>
      </c>
      <c r="F2709">
        <v>4</v>
      </c>
    </row>
    <row r="2710" spans="1:6" ht="13.2">
      <c r="A2710" t="s">
        <v>3199</v>
      </c>
      <c r="B2710">
        <v>395</v>
      </c>
      <c r="C2710" s="44">
        <v>1370</v>
      </c>
      <c r="D2710" t="s">
        <v>291</v>
      </c>
      <c r="E2710" t="s">
        <v>571</v>
      </c>
      <c r="F2710">
        <v>4</v>
      </c>
    </row>
    <row r="2711" spans="1:6" ht="13.2">
      <c r="A2711" t="s">
        <v>3204</v>
      </c>
      <c r="B2711">
        <v>395</v>
      </c>
      <c r="C2711" s="44">
        <v>1370</v>
      </c>
      <c r="D2711" t="s">
        <v>291</v>
      </c>
      <c r="E2711" t="s">
        <v>571</v>
      </c>
      <c r="F2711">
        <v>4</v>
      </c>
    </row>
    <row r="2712" spans="1:6" ht="13.2">
      <c r="A2712" t="s">
        <v>3206</v>
      </c>
      <c r="B2712">
        <v>395</v>
      </c>
      <c r="C2712" s="44">
        <v>1370</v>
      </c>
      <c r="D2712" t="s">
        <v>291</v>
      </c>
      <c r="E2712" t="s">
        <v>571</v>
      </c>
      <c r="F2712">
        <v>4</v>
      </c>
    </row>
    <row r="2713" spans="1:6" ht="13.2">
      <c r="A2713" t="s">
        <v>3200</v>
      </c>
      <c r="B2713">
        <v>395</v>
      </c>
      <c r="C2713" s="44">
        <v>1370</v>
      </c>
      <c r="D2713" t="s">
        <v>291</v>
      </c>
      <c r="E2713" t="s">
        <v>571</v>
      </c>
      <c r="F2713">
        <v>4</v>
      </c>
    </row>
    <row r="2714" spans="1:6" ht="13.2">
      <c r="A2714" t="s">
        <v>3202</v>
      </c>
      <c r="B2714">
        <v>395</v>
      </c>
      <c r="C2714" s="44">
        <v>1370</v>
      </c>
      <c r="D2714" t="s">
        <v>291</v>
      </c>
      <c r="E2714" t="s">
        <v>571</v>
      </c>
      <c r="F2714">
        <v>4</v>
      </c>
    </row>
    <row r="2715" spans="1:5" ht="13.2">
      <c r="A2715" t="s">
        <v>5527</v>
      </c>
      <c r="B2715">
        <v>10</v>
      </c>
      <c r="C2715" s="44">
        <v>1350</v>
      </c>
      <c r="D2715" t="s">
        <v>291</v>
      </c>
      <c r="E2715" t="s">
        <v>5528</v>
      </c>
    </row>
    <row r="2716" spans="1:5" ht="13.2">
      <c r="A2716" t="s">
        <v>5529</v>
      </c>
      <c r="B2716">
        <v>10</v>
      </c>
      <c r="C2716" s="44">
        <v>1350</v>
      </c>
      <c r="D2716" t="s">
        <v>291</v>
      </c>
      <c r="E2716" t="s">
        <v>5528</v>
      </c>
    </row>
    <row r="2717" spans="1:5" ht="13.2">
      <c r="A2717" t="s">
        <v>5530</v>
      </c>
      <c r="B2717">
        <v>10</v>
      </c>
      <c r="C2717" s="44">
        <v>1350</v>
      </c>
      <c r="D2717" t="s">
        <v>291</v>
      </c>
      <c r="E2717" t="s">
        <v>5528</v>
      </c>
    </row>
    <row r="2718" spans="1:5" ht="13.2">
      <c r="A2718" t="s">
        <v>5531</v>
      </c>
      <c r="B2718">
        <v>10</v>
      </c>
      <c r="C2718" s="44">
        <v>1350</v>
      </c>
      <c r="D2718" t="s">
        <v>291</v>
      </c>
      <c r="E2718" t="s">
        <v>5528</v>
      </c>
    </row>
    <row r="2719" spans="1:5" ht="13.2">
      <c r="A2719" t="s">
        <v>5532</v>
      </c>
      <c r="B2719">
        <v>10</v>
      </c>
      <c r="C2719" s="44">
        <v>1350</v>
      </c>
      <c r="D2719" t="s">
        <v>291</v>
      </c>
      <c r="E2719" t="s">
        <v>5528</v>
      </c>
    </row>
    <row r="2720" spans="1:5" ht="13.2">
      <c r="A2720" t="s">
        <v>5533</v>
      </c>
      <c r="B2720">
        <v>10</v>
      </c>
      <c r="C2720" s="44">
        <v>1350</v>
      </c>
      <c r="D2720" t="s">
        <v>291</v>
      </c>
      <c r="E2720" t="s">
        <v>5528</v>
      </c>
    </row>
    <row r="2721" spans="1:5" ht="13.2">
      <c r="A2721" t="s">
        <v>5535</v>
      </c>
      <c r="B2721">
        <v>10</v>
      </c>
      <c r="C2721" s="44">
        <v>1350</v>
      </c>
      <c r="D2721" t="s">
        <v>291</v>
      </c>
      <c r="E2721" t="s">
        <v>5528</v>
      </c>
    </row>
    <row r="2722" spans="1:5" ht="13.2">
      <c r="A2722" t="s">
        <v>5534</v>
      </c>
      <c r="B2722">
        <v>10</v>
      </c>
      <c r="C2722" s="44">
        <v>1350</v>
      </c>
      <c r="D2722" t="s">
        <v>291</v>
      </c>
      <c r="E2722" t="s">
        <v>5528</v>
      </c>
    </row>
    <row r="2723" spans="1:6" ht="13.2">
      <c r="A2723" t="s">
        <v>5642</v>
      </c>
      <c r="C2723" s="44">
        <v>3000</v>
      </c>
      <c r="D2723" t="s">
        <v>293</v>
      </c>
      <c r="E2723" t="s">
        <v>256</v>
      </c>
      <c r="F2723">
        <v>4</v>
      </c>
    </row>
    <row r="2724" spans="1:6" ht="13.2">
      <c r="A2724" t="s">
        <v>5644</v>
      </c>
      <c r="C2724" s="44">
        <v>3000</v>
      </c>
      <c r="D2724" t="s">
        <v>293</v>
      </c>
      <c r="E2724" t="s">
        <v>256</v>
      </c>
      <c r="F2724">
        <v>4</v>
      </c>
    </row>
    <row r="2725" spans="1:6" ht="13.2">
      <c r="A2725" t="s">
        <v>5643</v>
      </c>
      <c r="C2725" s="44">
        <v>3000</v>
      </c>
      <c r="D2725" t="s">
        <v>293</v>
      </c>
      <c r="E2725" t="s">
        <v>256</v>
      </c>
      <c r="F2725">
        <v>4</v>
      </c>
    </row>
    <row r="2726" spans="1:6" ht="13.2">
      <c r="A2726" t="s">
        <v>5645</v>
      </c>
      <c r="C2726" s="44">
        <v>3000</v>
      </c>
      <c r="D2726" t="s">
        <v>293</v>
      </c>
      <c r="E2726" t="s">
        <v>256</v>
      </c>
      <c r="F2726">
        <v>4</v>
      </c>
    </row>
    <row r="2727" spans="1:6" ht="13.2">
      <c r="A2727" t="s">
        <v>5647</v>
      </c>
      <c r="C2727" s="44">
        <v>3000</v>
      </c>
      <c r="D2727" t="s">
        <v>293</v>
      </c>
      <c r="E2727" t="s">
        <v>256</v>
      </c>
      <c r="F2727">
        <v>4</v>
      </c>
    </row>
    <row r="2728" spans="1:6" ht="13.2">
      <c r="A2728" t="s">
        <v>5646</v>
      </c>
      <c r="C2728" s="44">
        <v>3000</v>
      </c>
      <c r="D2728" t="s">
        <v>293</v>
      </c>
      <c r="E2728" t="s">
        <v>256</v>
      </c>
      <c r="F2728">
        <v>4</v>
      </c>
    </row>
    <row r="2729" spans="1:6" ht="13.2">
      <c r="A2729" t="s">
        <v>5648</v>
      </c>
      <c r="C2729" s="44">
        <v>3000</v>
      </c>
      <c r="D2729" t="s">
        <v>293</v>
      </c>
      <c r="E2729" t="s">
        <v>256</v>
      </c>
      <c r="F2729">
        <v>4</v>
      </c>
    </row>
    <row r="2730" spans="1:6" ht="13.2">
      <c r="A2730" t="s">
        <v>5650</v>
      </c>
      <c r="C2730" s="44">
        <v>3000</v>
      </c>
      <c r="D2730" t="s">
        <v>293</v>
      </c>
      <c r="E2730" t="s">
        <v>256</v>
      </c>
      <c r="F2730">
        <v>4</v>
      </c>
    </row>
    <row r="2731" spans="1:6" ht="13.2">
      <c r="A2731" t="s">
        <v>5649</v>
      </c>
      <c r="C2731" s="44">
        <v>3000</v>
      </c>
      <c r="D2731" t="s">
        <v>293</v>
      </c>
      <c r="E2731" t="s">
        <v>256</v>
      </c>
      <c r="F2731">
        <v>4</v>
      </c>
    </row>
    <row r="2732" spans="1:5" ht="13.2">
      <c r="A2732" t="s">
        <v>5536</v>
      </c>
      <c r="B2732">
        <v>40</v>
      </c>
      <c r="C2732" s="44">
        <v>1350</v>
      </c>
      <c r="D2732" t="s">
        <v>291</v>
      </c>
      <c r="E2732" t="s">
        <v>5528</v>
      </c>
    </row>
    <row r="2733" spans="1:5" ht="13.2">
      <c r="A2733" t="s">
        <v>5537</v>
      </c>
      <c r="B2733">
        <v>40</v>
      </c>
      <c r="C2733" s="44">
        <v>1350</v>
      </c>
      <c r="D2733" t="s">
        <v>291</v>
      </c>
      <c r="E2733" t="s">
        <v>5528</v>
      </c>
    </row>
    <row r="2734" spans="1:5" ht="13.2">
      <c r="A2734" t="s">
        <v>5538</v>
      </c>
      <c r="B2734">
        <v>40</v>
      </c>
      <c r="C2734" s="44">
        <v>1350</v>
      </c>
      <c r="D2734" t="s">
        <v>291</v>
      </c>
      <c r="E2734" t="s">
        <v>5528</v>
      </c>
    </row>
    <row r="2735" spans="1:5" ht="13.2">
      <c r="A2735" t="s">
        <v>5539</v>
      </c>
      <c r="B2735">
        <v>40</v>
      </c>
      <c r="C2735" s="44">
        <v>1350</v>
      </c>
      <c r="D2735" t="s">
        <v>291</v>
      </c>
      <c r="E2735" t="s">
        <v>5528</v>
      </c>
    </row>
    <row r="2736" spans="1:5" ht="13.2">
      <c r="A2736" t="s">
        <v>5540</v>
      </c>
      <c r="B2736">
        <v>40</v>
      </c>
      <c r="C2736" s="44">
        <v>1350</v>
      </c>
      <c r="D2736" t="s">
        <v>291</v>
      </c>
      <c r="E2736" t="s">
        <v>5528</v>
      </c>
    </row>
    <row r="2737" spans="1:5" ht="13.2">
      <c r="A2737" t="s">
        <v>5541</v>
      </c>
      <c r="B2737">
        <v>40</v>
      </c>
      <c r="C2737" s="44">
        <v>1350</v>
      </c>
      <c r="D2737" t="s">
        <v>291</v>
      </c>
      <c r="E2737" t="s">
        <v>5528</v>
      </c>
    </row>
    <row r="2738" spans="1:5" ht="13.2">
      <c r="A2738" t="s">
        <v>5542</v>
      </c>
      <c r="B2738">
        <v>40</v>
      </c>
      <c r="C2738" s="44">
        <v>1350</v>
      </c>
      <c r="D2738" t="s">
        <v>291</v>
      </c>
      <c r="E2738" t="s">
        <v>5528</v>
      </c>
    </row>
    <row r="2739" spans="1:6" ht="13.2">
      <c r="A2739" t="s">
        <v>5962</v>
      </c>
      <c r="B2739">
        <v>0</v>
      </c>
      <c r="C2739" s="44">
        <v>1470</v>
      </c>
      <c r="D2739" t="s">
        <v>291</v>
      </c>
      <c r="E2739" t="s">
        <v>256</v>
      </c>
      <c r="F2739">
        <v>4</v>
      </c>
    </row>
    <row r="2740" spans="1:6" ht="13.2">
      <c r="A2740" t="s">
        <v>5963</v>
      </c>
      <c r="B2740">
        <v>0</v>
      </c>
      <c r="C2740" s="44">
        <v>1470</v>
      </c>
      <c r="D2740" t="s">
        <v>291</v>
      </c>
      <c r="E2740" t="s">
        <v>256</v>
      </c>
      <c r="F2740">
        <v>4</v>
      </c>
    </row>
    <row r="2741" spans="1:6" ht="13.2">
      <c r="A2741" t="s">
        <v>5964</v>
      </c>
      <c r="B2741">
        <v>0</v>
      </c>
      <c r="C2741" s="44">
        <v>1470</v>
      </c>
      <c r="D2741" t="s">
        <v>291</v>
      </c>
      <c r="E2741" t="s">
        <v>256</v>
      </c>
      <c r="F2741">
        <v>4</v>
      </c>
    </row>
    <row r="2742" spans="1:6" ht="13.2">
      <c r="A2742" t="s">
        <v>5965</v>
      </c>
      <c r="B2742">
        <v>0</v>
      </c>
      <c r="C2742" s="44">
        <v>1470</v>
      </c>
      <c r="D2742" t="s">
        <v>291</v>
      </c>
      <c r="E2742" t="s">
        <v>256</v>
      </c>
      <c r="F2742">
        <v>4</v>
      </c>
    </row>
    <row r="2743" spans="1:6" ht="13.2">
      <c r="A2743" t="s">
        <v>5966</v>
      </c>
      <c r="B2743">
        <v>0</v>
      </c>
      <c r="C2743" s="44">
        <v>1470</v>
      </c>
      <c r="D2743" t="s">
        <v>291</v>
      </c>
      <c r="E2743" t="s">
        <v>256</v>
      </c>
      <c r="F2743">
        <v>4</v>
      </c>
    </row>
    <row r="2744" spans="1:6" ht="13.2">
      <c r="A2744" t="s">
        <v>5967</v>
      </c>
      <c r="B2744">
        <v>0</v>
      </c>
      <c r="C2744" s="44">
        <v>1470</v>
      </c>
      <c r="D2744" t="s">
        <v>291</v>
      </c>
      <c r="E2744" t="s">
        <v>256</v>
      </c>
      <c r="F2744">
        <v>4</v>
      </c>
    </row>
    <row r="2745" spans="1:6" ht="13.2">
      <c r="A2745" t="s">
        <v>5968</v>
      </c>
      <c r="B2745">
        <v>0</v>
      </c>
      <c r="C2745" s="44">
        <v>1470</v>
      </c>
      <c r="D2745" t="s">
        <v>291</v>
      </c>
      <c r="E2745" t="s">
        <v>256</v>
      </c>
      <c r="F2745">
        <v>4</v>
      </c>
    </row>
    <row r="2746" spans="1:6" ht="13.2">
      <c r="A2746" t="s">
        <v>5969</v>
      </c>
      <c r="B2746">
        <v>0</v>
      </c>
      <c r="C2746" s="44">
        <v>1470</v>
      </c>
      <c r="D2746" t="s">
        <v>291</v>
      </c>
      <c r="E2746" t="s">
        <v>256</v>
      </c>
      <c r="F2746">
        <v>4</v>
      </c>
    </row>
    <row r="2747" spans="1:6" ht="13.2">
      <c r="A2747" t="s">
        <v>5970</v>
      </c>
      <c r="B2747">
        <v>0</v>
      </c>
      <c r="C2747" s="44">
        <v>1470</v>
      </c>
      <c r="D2747" t="s">
        <v>291</v>
      </c>
      <c r="E2747" t="s">
        <v>256</v>
      </c>
      <c r="F2747">
        <v>4</v>
      </c>
    </row>
    <row r="2748" spans="1:6" ht="13.2">
      <c r="A2748" t="s">
        <v>5971</v>
      </c>
      <c r="B2748">
        <v>0</v>
      </c>
      <c r="C2748" s="44">
        <v>1470</v>
      </c>
      <c r="D2748" t="s">
        <v>291</v>
      </c>
      <c r="E2748" t="s">
        <v>256</v>
      </c>
      <c r="F2748">
        <v>4</v>
      </c>
    </row>
    <row r="2749" spans="1:6" ht="13.2">
      <c r="A2749" t="s">
        <v>5972</v>
      </c>
      <c r="B2749">
        <v>0</v>
      </c>
      <c r="C2749" s="44">
        <v>1470</v>
      </c>
      <c r="D2749" t="s">
        <v>291</v>
      </c>
      <c r="E2749" t="s">
        <v>256</v>
      </c>
      <c r="F2749">
        <v>4</v>
      </c>
    </row>
    <row r="2750" spans="1:6" ht="13.2">
      <c r="A2750" t="s">
        <v>3195</v>
      </c>
      <c r="B2750">
        <v>310</v>
      </c>
      <c r="C2750" s="44">
        <v>1410</v>
      </c>
      <c r="D2750" t="s">
        <v>291</v>
      </c>
      <c r="E2750" t="s">
        <v>656</v>
      </c>
      <c r="F2750">
        <v>2</v>
      </c>
    </row>
    <row r="2751" spans="1:6" ht="13.2">
      <c r="A2751" t="s">
        <v>3197</v>
      </c>
      <c r="B2751">
        <v>310</v>
      </c>
      <c r="C2751" s="44">
        <v>1410</v>
      </c>
      <c r="D2751" t="s">
        <v>291</v>
      </c>
      <c r="E2751" t="s">
        <v>656</v>
      </c>
      <c r="F2751">
        <v>2</v>
      </c>
    </row>
    <row r="2752" spans="1:6" ht="13.2">
      <c r="A2752" t="s">
        <v>3196</v>
      </c>
      <c r="B2752">
        <v>310</v>
      </c>
      <c r="C2752" s="44">
        <v>1410</v>
      </c>
      <c r="D2752" t="s">
        <v>291</v>
      </c>
      <c r="E2752" t="s">
        <v>656</v>
      </c>
      <c r="F2752">
        <v>2</v>
      </c>
    </row>
    <row r="2753" spans="1:6" ht="13.2">
      <c r="A2753" t="s">
        <v>3193</v>
      </c>
      <c r="B2753">
        <v>310</v>
      </c>
      <c r="C2753" s="44">
        <v>1410</v>
      </c>
      <c r="D2753" t="s">
        <v>291</v>
      </c>
      <c r="E2753" t="s">
        <v>656</v>
      </c>
      <c r="F2753">
        <v>2</v>
      </c>
    </row>
    <row r="2754" spans="1:6" ht="13.2">
      <c r="A2754" t="s">
        <v>3198</v>
      </c>
      <c r="B2754">
        <v>310</v>
      </c>
      <c r="C2754" s="44">
        <v>1410</v>
      </c>
      <c r="D2754" t="s">
        <v>291</v>
      </c>
      <c r="E2754" t="s">
        <v>656</v>
      </c>
      <c r="F2754">
        <v>2</v>
      </c>
    </row>
    <row r="2755" spans="1:6" ht="13.2">
      <c r="A2755" t="s">
        <v>3192</v>
      </c>
      <c r="B2755">
        <v>310</v>
      </c>
      <c r="C2755" s="44">
        <v>1410</v>
      </c>
      <c r="D2755" t="s">
        <v>291</v>
      </c>
      <c r="E2755" t="s">
        <v>656</v>
      </c>
      <c r="F2755">
        <v>2</v>
      </c>
    </row>
    <row r="2756" spans="1:6" ht="13.2">
      <c r="A2756" t="s">
        <v>3194</v>
      </c>
      <c r="B2756">
        <v>310</v>
      </c>
      <c r="C2756" s="44">
        <v>1410</v>
      </c>
      <c r="D2756" t="s">
        <v>291</v>
      </c>
      <c r="E2756" t="s">
        <v>656</v>
      </c>
      <c r="F2756">
        <v>2</v>
      </c>
    </row>
    <row r="2757" spans="1:5" ht="13.2">
      <c r="A2757" t="s">
        <v>5543</v>
      </c>
      <c r="B2757">
        <v>150</v>
      </c>
      <c r="C2757" s="44">
        <v>1350</v>
      </c>
      <c r="D2757" t="s">
        <v>291</v>
      </c>
      <c r="E2757" t="s">
        <v>5528</v>
      </c>
    </row>
    <row r="2758" spans="1:5" ht="13.2">
      <c r="A2758" t="s">
        <v>5544</v>
      </c>
      <c r="B2758">
        <v>150</v>
      </c>
      <c r="C2758" s="44">
        <v>1350</v>
      </c>
      <c r="D2758" t="s">
        <v>291</v>
      </c>
      <c r="E2758" t="s">
        <v>5528</v>
      </c>
    </row>
    <row r="2759" spans="1:5" ht="13.2">
      <c r="A2759" t="s">
        <v>5545</v>
      </c>
      <c r="B2759">
        <v>150</v>
      </c>
      <c r="C2759" s="44">
        <v>1350</v>
      </c>
      <c r="D2759" t="s">
        <v>291</v>
      </c>
      <c r="E2759" t="s">
        <v>5528</v>
      </c>
    </row>
    <row r="2760" spans="1:5" ht="13.2">
      <c r="A2760" t="s">
        <v>5546</v>
      </c>
      <c r="B2760">
        <v>150</v>
      </c>
      <c r="C2760" s="44">
        <v>1350</v>
      </c>
      <c r="D2760" t="s">
        <v>291</v>
      </c>
      <c r="E2760" t="s">
        <v>5528</v>
      </c>
    </row>
    <row r="2761" spans="1:5" ht="13.2">
      <c r="A2761" t="s">
        <v>5547</v>
      </c>
      <c r="B2761">
        <v>150</v>
      </c>
      <c r="C2761" s="44">
        <v>1350</v>
      </c>
      <c r="D2761" t="s">
        <v>291</v>
      </c>
      <c r="E2761" t="s">
        <v>5528</v>
      </c>
    </row>
    <row r="2762" spans="1:5" ht="13.2">
      <c r="A2762" t="s">
        <v>5548</v>
      </c>
      <c r="B2762">
        <v>150</v>
      </c>
      <c r="C2762" s="44">
        <v>1350</v>
      </c>
      <c r="D2762" t="s">
        <v>291</v>
      </c>
      <c r="E2762" t="s">
        <v>5528</v>
      </c>
    </row>
    <row r="2763" spans="1:5" ht="13.2">
      <c r="A2763" t="s">
        <v>5549</v>
      </c>
      <c r="B2763">
        <v>150</v>
      </c>
      <c r="C2763" s="44">
        <v>1350</v>
      </c>
      <c r="D2763" t="s">
        <v>291</v>
      </c>
      <c r="E2763" t="s">
        <v>5528</v>
      </c>
    </row>
    <row r="2764" spans="1:5" ht="13.2">
      <c r="A2764" t="s">
        <v>5550</v>
      </c>
      <c r="B2764">
        <v>150</v>
      </c>
      <c r="C2764" s="44">
        <v>1350</v>
      </c>
      <c r="D2764" t="s">
        <v>291</v>
      </c>
      <c r="E2764" t="s">
        <v>5528</v>
      </c>
    </row>
    <row r="2765" spans="1:5" ht="13.2">
      <c r="A2765" t="s">
        <v>5551</v>
      </c>
      <c r="B2765">
        <v>150</v>
      </c>
      <c r="C2765" s="44">
        <v>1350</v>
      </c>
      <c r="D2765" t="s">
        <v>291</v>
      </c>
      <c r="E2765" t="s">
        <v>5528</v>
      </c>
    </row>
    <row r="2766" spans="1:5" ht="13.2">
      <c r="A2766" t="s">
        <v>5552</v>
      </c>
      <c r="B2766">
        <v>150</v>
      </c>
      <c r="C2766" s="44">
        <v>1350</v>
      </c>
      <c r="D2766" t="s">
        <v>291</v>
      </c>
      <c r="E2766" t="s">
        <v>5528</v>
      </c>
    </row>
    <row r="2767" spans="1:5" ht="13.2">
      <c r="A2767" t="s">
        <v>4600</v>
      </c>
      <c r="B2767">
        <v>340</v>
      </c>
      <c r="C2767" s="44">
        <v>1360</v>
      </c>
      <c r="D2767" t="s">
        <v>291</v>
      </c>
      <c r="E2767" t="s">
        <v>4601</v>
      </c>
    </row>
    <row r="2768" spans="1:5" ht="13.2">
      <c r="A2768" t="s">
        <v>4603</v>
      </c>
      <c r="B2768">
        <v>340</v>
      </c>
      <c r="C2768" s="44">
        <v>1360</v>
      </c>
      <c r="D2768" t="s">
        <v>291</v>
      </c>
      <c r="E2768" t="s">
        <v>4601</v>
      </c>
    </row>
    <row r="2769" spans="1:5" ht="13.2">
      <c r="A2769" t="s">
        <v>4602</v>
      </c>
      <c r="B2769">
        <v>340</v>
      </c>
      <c r="C2769" s="44">
        <v>1360</v>
      </c>
      <c r="D2769" t="s">
        <v>291</v>
      </c>
      <c r="E2769" t="s">
        <v>4601</v>
      </c>
    </row>
    <row r="2770" spans="1:5" ht="13.2">
      <c r="A2770" t="s">
        <v>5553</v>
      </c>
      <c r="B2770">
        <v>340</v>
      </c>
      <c r="C2770" s="44">
        <v>1350</v>
      </c>
      <c r="D2770" t="s">
        <v>291</v>
      </c>
      <c r="E2770" t="s">
        <v>5528</v>
      </c>
    </row>
    <row r="2771" spans="1:5" ht="13.2">
      <c r="A2771" t="s">
        <v>5554</v>
      </c>
      <c r="B2771">
        <v>340</v>
      </c>
      <c r="C2771" s="44">
        <v>1350</v>
      </c>
      <c r="D2771" t="s">
        <v>291</v>
      </c>
      <c r="E2771" t="s">
        <v>5528</v>
      </c>
    </row>
    <row r="2772" spans="1:5" ht="13.2">
      <c r="A2772" t="s">
        <v>5555</v>
      </c>
      <c r="B2772">
        <v>340</v>
      </c>
      <c r="C2772" s="44">
        <v>1350</v>
      </c>
      <c r="D2772" t="s">
        <v>291</v>
      </c>
      <c r="E2772" t="s">
        <v>5528</v>
      </c>
    </row>
    <row r="2773" spans="1:5" ht="13.2">
      <c r="A2773" t="s">
        <v>5556</v>
      </c>
      <c r="B2773">
        <v>340</v>
      </c>
      <c r="C2773" s="44">
        <v>1350</v>
      </c>
      <c r="D2773" t="s">
        <v>291</v>
      </c>
      <c r="E2773" t="s">
        <v>5528</v>
      </c>
    </row>
    <row r="2774" spans="1:5" ht="13.2">
      <c r="A2774" t="s">
        <v>5557</v>
      </c>
      <c r="B2774">
        <v>340</v>
      </c>
      <c r="C2774" s="44">
        <v>1350</v>
      </c>
      <c r="D2774" t="s">
        <v>291</v>
      </c>
      <c r="E2774" t="s">
        <v>5528</v>
      </c>
    </row>
    <row r="2775" spans="1:5" ht="13.2">
      <c r="A2775" t="s">
        <v>5558</v>
      </c>
      <c r="B2775">
        <v>340</v>
      </c>
      <c r="C2775" s="44">
        <v>1350</v>
      </c>
      <c r="D2775" t="s">
        <v>291</v>
      </c>
      <c r="E2775" t="s">
        <v>5528</v>
      </c>
    </row>
    <row r="2776" spans="1:5" ht="13.2">
      <c r="A2776" t="s">
        <v>5559</v>
      </c>
      <c r="B2776">
        <v>340</v>
      </c>
      <c r="C2776" s="44">
        <v>1350</v>
      </c>
      <c r="D2776" t="s">
        <v>291</v>
      </c>
      <c r="E2776" t="s">
        <v>5528</v>
      </c>
    </row>
    <row r="2777" spans="1:5" ht="13.2">
      <c r="A2777" t="s">
        <v>5560</v>
      </c>
      <c r="B2777">
        <v>340</v>
      </c>
      <c r="C2777" s="44">
        <v>1350</v>
      </c>
      <c r="D2777" t="s">
        <v>291</v>
      </c>
      <c r="E2777" t="s">
        <v>5528</v>
      </c>
    </row>
    <row r="2778" spans="1:5" ht="13.2">
      <c r="A2778" t="s">
        <v>5561</v>
      </c>
      <c r="B2778">
        <v>340</v>
      </c>
      <c r="C2778" s="44">
        <v>1350</v>
      </c>
      <c r="D2778" t="s">
        <v>291</v>
      </c>
      <c r="E2778" t="s">
        <v>5528</v>
      </c>
    </row>
    <row r="2779" spans="1:5" ht="13.2">
      <c r="A2779" t="s">
        <v>5562</v>
      </c>
      <c r="B2779">
        <v>340</v>
      </c>
      <c r="C2779" s="44">
        <v>1350</v>
      </c>
      <c r="D2779" t="s">
        <v>291</v>
      </c>
      <c r="E2779" t="s">
        <v>5528</v>
      </c>
    </row>
    <row r="2780" spans="1:6" ht="13.2">
      <c r="A2780" t="s">
        <v>4759</v>
      </c>
      <c r="C2780" s="44">
        <v>3200</v>
      </c>
      <c r="D2780" t="s">
        <v>293</v>
      </c>
      <c r="E2780" t="s">
        <v>257</v>
      </c>
      <c r="F2780">
        <v>4</v>
      </c>
    </row>
    <row r="2781" spans="1:6" ht="13.2">
      <c r="A2781" t="s">
        <v>4760</v>
      </c>
      <c r="C2781" s="44">
        <v>3200</v>
      </c>
      <c r="D2781" t="s">
        <v>293</v>
      </c>
      <c r="E2781" t="s">
        <v>257</v>
      </c>
      <c r="F2781">
        <v>4</v>
      </c>
    </row>
    <row r="2782" spans="1:6" ht="13.2">
      <c r="A2782" t="s">
        <v>4761</v>
      </c>
      <c r="C2782" s="44">
        <v>3200</v>
      </c>
      <c r="D2782" t="s">
        <v>293</v>
      </c>
      <c r="E2782" t="s">
        <v>257</v>
      </c>
      <c r="F2782">
        <v>4</v>
      </c>
    </row>
    <row r="2783" spans="1:6" ht="13.2">
      <c r="A2783" t="s">
        <v>4762</v>
      </c>
      <c r="C2783" s="44">
        <v>3200</v>
      </c>
      <c r="D2783" t="s">
        <v>293</v>
      </c>
      <c r="E2783" t="s">
        <v>257</v>
      </c>
      <c r="F2783">
        <v>4</v>
      </c>
    </row>
    <row r="2784" spans="1:6" ht="13.2">
      <c r="A2784" t="s">
        <v>4763</v>
      </c>
      <c r="C2784" s="44">
        <v>3200</v>
      </c>
      <c r="D2784" t="s">
        <v>293</v>
      </c>
      <c r="E2784" t="s">
        <v>257</v>
      </c>
      <c r="F2784">
        <v>4</v>
      </c>
    </row>
    <row r="2785" spans="1:6" ht="13.2">
      <c r="A2785" t="s">
        <v>4764</v>
      </c>
      <c r="C2785" s="44">
        <v>3200</v>
      </c>
      <c r="D2785" t="s">
        <v>293</v>
      </c>
      <c r="E2785" t="s">
        <v>257</v>
      </c>
      <c r="F2785">
        <v>4</v>
      </c>
    </row>
    <row r="2786" spans="1:6" ht="13.2">
      <c r="A2786" t="s">
        <v>4765</v>
      </c>
      <c r="C2786" s="44">
        <v>3200</v>
      </c>
      <c r="D2786" t="s">
        <v>293</v>
      </c>
      <c r="E2786" t="s">
        <v>257</v>
      </c>
      <c r="F2786">
        <v>4</v>
      </c>
    </row>
    <row r="2787" spans="1:6" ht="13.2">
      <c r="A2787" t="s">
        <v>4766</v>
      </c>
      <c r="C2787" s="44">
        <v>3200</v>
      </c>
      <c r="D2787" t="s">
        <v>293</v>
      </c>
      <c r="E2787" t="s">
        <v>257</v>
      </c>
      <c r="F2787">
        <v>4</v>
      </c>
    </row>
    <row r="2788" spans="1:6" ht="13.2">
      <c r="A2788" t="s">
        <v>4767</v>
      </c>
      <c r="C2788" s="44">
        <v>3200</v>
      </c>
      <c r="D2788" t="s">
        <v>293</v>
      </c>
      <c r="E2788" t="s">
        <v>257</v>
      </c>
      <c r="F2788">
        <v>4</v>
      </c>
    </row>
    <row r="2789" spans="1:6" ht="13.2">
      <c r="A2789" t="s">
        <v>4768</v>
      </c>
      <c r="C2789" s="44">
        <v>3200</v>
      </c>
      <c r="D2789" t="s">
        <v>293</v>
      </c>
      <c r="E2789" t="s">
        <v>257</v>
      </c>
      <c r="F2789">
        <v>4</v>
      </c>
    </row>
    <row r="2790" spans="1:6" ht="13.2">
      <c r="A2790" t="s">
        <v>4769</v>
      </c>
      <c r="C2790" s="44">
        <v>3200</v>
      </c>
      <c r="D2790" t="s">
        <v>293</v>
      </c>
      <c r="E2790" t="s">
        <v>257</v>
      </c>
      <c r="F2790">
        <v>4</v>
      </c>
    </row>
    <row r="2791" spans="1:6" ht="13.2">
      <c r="A2791" t="s">
        <v>4770</v>
      </c>
      <c r="C2791" s="44">
        <v>3200</v>
      </c>
      <c r="D2791" t="s">
        <v>293</v>
      </c>
      <c r="E2791" t="s">
        <v>257</v>
      </c>
      <c r="F2791">
        <v>4</v>
      </c>
    </row>
    <row r="2792" spans="1:6" ht="13.2">
      <c r="A2792" t="s">
        <v>4771</v>
      </c>
      <c r="C2792" s="44">
        <v>3200</v>
      </c>
      <c r="D2792" t="s">
        <v>293</v>
      </c>
      <c r="E2792" t="s">
        <v>257</v>
      </c>
      <c r="F2792">
        <v>4</v>
      </c>
    </row>
    <row r="2793" spans="1:6" ht="13.2">
      <c r="A2793" t="s">
        <v>4772</v>
      </c>
      <c r="C2793" s="44">
        <v>3200</v>
      </c>
      <c r="D2793" t="s">
        <v>293</v>
      </c>
      <c r="E2793" t="s">
        <v>257</v>
      </c>
      <c r="F2793">
        <v>4</v>
      </c>
    </row>
    <row r="2794" spans="1:6" ht="13.2">
      <c r="A2794" t="s">
        <v>4773</v>
      </c>
      <c r="C2794" s="44">
        <v>3200</v>
      </c>
      <c r="D2794" t="s">
        <v>293</v>
      </c>
      <c r="E2794" t="s">
        <v>257</v>
      </c>
      <c r="F2794">
        <v>4</v>
      </c>
    </row>
    <row r="2795" spans="1:6" ht="13.2">
      <c r="A2795" t="s">
        <v>4774</v>
      </c>
      <c r="C2795" s="44">
        <v>3200</v>
      </c>
      <c r="D2795" t="s">
        <v>293</v>
      </c>
      <c r="E2795" t="s">
        <v>257</v>
      </c>
      <c r="F2795">
        <v>4</v>
      </c>
    </row>
    <row r="2796" spans="1:6" ht="13.2">
      <c r="A2796" t="s">
        <v>4775</v>
      </c>
      <c r="C2796" s="44">
        <v>3200</v>
      </c>
      <c r="D2796" t="s">
        <v>293</v>
      </c>
      <c r="E2796" t="s">
        <v>257</v>
      </c>
      <c r="F2796">
        <v>4</v>
      </c>
    </row>
    <row r="2797" spans="1:6" ht="13.2">
      <c r="A2797" t="s">
        <v>4776</v>
      </c>
      <c r="C2797" s="44">
        <v>3200</v>
      </c>
      <c r="D2797" t="s">
        <v>293</v>
      </c>
      <c r="E2797" t="s">
        <v>257</v>
      </c>
      <c r="F2797">
        <v>4</v>
      </c>
    </row>
    <row r="2798" spans="1:6" ht="13.2">
      <c r="A2798" t="s">
        <v>4777</v>
      </c>
      <c r="C2798" s="44">
        <v>3200</v>
      </c>
      <c r="D2798" t="s">
        <v>293</v>
      </c>
      <c r="E2798" t="s">
        <v>257</v>
      </c>
      <c r="F2798">
        <v>4</v>
      </c>
    </row>
    <row r="2799" spans="1:6" ht="13.2">
      <c r="A2799" t="s">
        <v>4778</v>
      </c>
      <c r="C2799" s="44">
        <v>3200</v>
      </c>
      <c r="D2799" t="s">
        <v>293</v>
      </c>
      <c r="E2799" t="s">
        <v>257</v>
      </c>
      <c r="F2799">
        <v>4</v>
      </c>
    </row>
    <row r="2800" spans="1:6" ht="13.2">
      <c r="A2800" t="s">
        <v>4779</v>
      </c>
      <c r="C2800" s="44">
        <v>3200</v>
      </c>
      <c r="D2800" t="s">
        <v>293</v>
      </c>
      <c r="E2800" t="s">
        <v>257</v>
      </c>
      <c r="F2800">
        <v>4</v>
      </c>
    </row>
    <row r="2801" spans="1:6" ht="13.2">
      <c r="A2801" t="s">
        <v>4780</v>
      </c>
      <c r="C2801" s="44">
        <v>3200</v>
      </c>
      <c r="D2801" t="s">
        <v>293</v>
      </c>
      <c r="E2801" t="s">
        <v>257</v>
      </c>
      <c r="F2801">
        <v>4</v>
      </c>
    </row>
    <row r="2802" spans="1:6" ht="13.2">
      <c r="A2802" t="s">
        <v>4306</v>
      </c>
      <c r="B2802">
        <v>0</v>
      </c>
      <c r="C2802" s="44">
        <v>3200</v>
      </c>
      <c r="D2802" t="s">
        <v>293</v>
      </c>
      <c r="E2802" t="s">
        <v>256</v>
      </c>
      <c r="F2802">
        <v>4</v>
      </c>
    </row>
    <row r="2803" spans="1:6" ht="13.2">
      <c r="A2803" t="s">
        <v>4307</v>
      </c>
      <c r="B2803">
        <v>0</v>
      </c>
      <c r="C2803" s="44">
        <v>3200</v>
      </c>
      <c r="D2803" t="s">
        <v>293</v>
      </c>
      <c r="E2803" t="s">
        <v>256</v>
      </c>
      <c r="F2803">
        <v>4</v>
      </c>
    </row>
    <row r="2804" spans="1:6" ht="13.2">
      <c r="A2804" t="s">
        <v>4308</v>
      </c>
      <c r="B2804">
        <v>0</v>
      </c>
      <c r="C2804" s="44">
        <v>3200</v>
      </c>
      <c r="D2804" t="s">
        <v>293</v>
      </c>
      <c r="E2804" t="s">
        <v>256</v>
      </c>
      <c r="F2804">
        <v>4</v>
      </c>
    </row>
    <row r="2805" spans="1:6" ht="13.2">
      <c r="A2805" t="s">
        <v>4309</v>
      </c>
      <c r="B2805">
        <v>0</v>
      </c>
      <c r="C2805" s="44">
        <v>3200</v>
      </c>
      <c r="D2805" t="s">
        <v>293</v>
      </c>
      <c r="E2805" t="s">
        <v>256</v>
      </c>
      <c r="F2805">
        <v>4</v>
      </c>
    </row>
    <row r="2806" spans="1:6" ht="13.2">
      <c r="A2806" t="s">
        <v>4310</v>
      </c>
      <c r="B2806">
        <v>0</v>
      </c>
      <c r="C2806" s="44">
        <v>3200</v>
      </c>
      <c r="D2806" t="s">
        <v>293</v>
      </c>
      <c r="E2806" t="s">
        <v>256</v>
      </c>
      <c r="F2806">
        <v>4</v>
      </c>
    </row>
    <row r="2807" spans="1:6" ht="13.2">
      <c r="A2807" t="s">
        <v>4311</v>
      </c>
      <c r="B2807">
        <v>0</v>
      </c>
      <c r="C2807" s="44">
        <v>3200</v>
      </c>
      <c r="D2807" t="s">
        <v>293</v>
      </c>
      <c r="E2807" t="s">
        <v>256</v>
      </c>
      <c r="F2807">
        <v>4</v>
      </c>
    </row>
    <row r="2808" spans="1:6" ht="13.2">
      <c r="A2808" t="s">
        <v>4312</v>
      </c>
      <c r="B2808">
        <v>0</v>
      </c>
      <c r="C2808" s="44">
        <v>3200</v>
      </c>
      <c r="D2808" t="s">
        <v>293</v>
      </c>
      <c r="E2808" t="s">
        <v>256</v>
      </c>
      <c r="F2808">
        <v>4</v>
      </c>
    </row>
    <row r="2809" spans="1:6" ht="13.2">
      <c r="A2809" t="s">
        <v>4313</v>
      </c>
      <c r="B2809">
        <v>0</v>
      </c>
      <c r="C2809" s="44">
        <v>3200</v>
      </c>
      <c r="D2809" t="s">
        <v>293</v>
      </c>
      <c r="E2809" t="s">
        <v>256</v>
      </c>
      <c r="F2809">
        <v>4</v>
      </c>
    </row>
    <row r="2810" spans="1:6" ht="13.2">
      <c r="A2810" t="s">
        <v>4314</v>
      </c>
      <c r="B2810">
        <v>0</v>
      </c>
      <c r="C2810" s="44">
        <v>3200</v>
      </c>
      <c r="D2810" t="s">
        <v>293</v>
      </c>
      <c r="E2810" t="s">
        <v>256</v>
      </c>
      <c r="F2810">
        <v>4</v>
      </c>
    </row>
    <row r="2811" spans="1:6" ht="13.2">
      <c r="A2811" t="s">
        <v>4315</v>
      </c>
      <c r="B2811">
        <v>0</v>
      </c>
      <c r="C2811" s="44">
        <v>3200</v>
      </c>
      <c r="D2811" t="s">
        <v>293</v>
      </c>
      <c r="E2811" t="s">
        <v>256</v>
      </c>
      <c r="F2811">
        <v>4</v>
      </c>
    </row>
    <row r="2812" spans="1:6" ht="13.2">
      <c r="A2812" t="s">
        <v>4316</v>
      </c>
      <c r="B2812">
        <v>0</v>
      </c>
      <c r="C2812" s="44">
        <v>3200</v>
      </c>
      <c r="D2812" t="s">
        <v>293</v>
      </c>
      <c r="E2812" t="s">
        <v>256</v>
      </c>
      <c r="F2812">
        <v>4</v>
      </c>
    </row>
    <row r="2813" spans="1:6" ht="13.2">
      <c r="A2813" t="s">
        <v>4317</v>
      </c>
      <c r="B2813">
        <v>0</v>
      </c>
      <c r="C2813" s="44">
        <v>3200</v>
      </c>
      <c r="D2813" t="s">
        <v>293</v>
      </c>
      <c r="E2813" t="s">
        <v>256</v>
      </c>
      <c r="F2813">
        <v>4</v>
      </c>
    </row>
    <row r="2814" spans="1:6" ht="13.2">
      <c r="A2814" t="s">
        <v>4318</v>
      </c>
      <c r="B2814">
        <v>0</v>
      </c>
      <c r="C2814" s="44">
        <v>3200</v>
      </c>
      <c r="D2814" t="s">
        <v>293</v>
      </c>
      <c r="E2814" t="s">
        <v>256</v>
      </c>
      <c r="F2814">
        <v>4</v>
      </c>
    </row>
    <row r="2815" spans="1:6" ht="13.2">
      <c r="A2815" t="s">
        <v>4319</v>
      </c>
      <c r="B2815">
        <v>0</v>
      </c>
      <c r="C2815" s="44">
        <v>3200</v>
      </c>
      <c r="D2815" t="s">
        <v>293</v>
      </c>
      <c r="E2815" t="s">
        <v>256</v>
      </c>
      <c r="F2815">
        <v>4</v>
      </c>
    </row>
    <row r="2816" spans="1:6" ht="13.2">
      <c r="A2816" t="s">
        <v>4320</v>
      </c>
      <c r="B2816">
        <v>0</v>
      </c>
      <c r="C2816" s="44">
        <v>3200</v>
      </c>
      <c r="D2816" t="s">
        <v>293</v>
      </c>
      <c r="E2816" t="s">
        <v>256</v>
      </c>
      <c r="F2816">
        <v>4</v>
      </c>
    </row>
    <row r="2817" spans="1:6" ht="13.2">
      <c r="A2817" t="s">
        <v>4321</v>
      </c>
      <c r="B2817">
        <v>0</v>
      </c>
      <c r="C2817" s="44">
        <v>3200</v>
      </c>
      <c r="D2817" t="s">
        <v>293</v>
      </c>
      <c r="E2817" t="s">
        <v>256</v>
      </c>
      <c r="F2817">
        <v>4</v>
      </c>
    </row>
    <row r="2818" spans="1:6" ht="13.2">
      <c r="A2818" t="s">
        <v>4322</v>
      </c>
      <c r="B2818">
        <v>0</v>
      </c>
      <c r="C2818" s="44">
        <v>3200</v>
      </c>
      <c r="D2818" t="s">
        <v>293</v>
      </c>
      <c r="E2818" t="s">
        <v>256</v>
      </c>
      <c r="F2818">
        <v>4</v>
      </c>
    </row>
    <row r="2819" spans="1:6" ht="13.2">
      <c r="A2819" t="s">
        <v>4323</v>
      </c>
      <c r="B2819">
        <v>0</v>
      </c>
      <c r="C2819" s="44">
        <v>3200</v>
      </c>
      <c r="D2819" t="s">
        <v>293</v>
      </c>
      <c r="E2819" t="s">
        <v>256</v>
      </c>
      <c r="F2819">
        <v>4</v>
      </c>
    </row>
    <row r="2820" spans="1:6" ht="13.2">
      <c r="A2820" t="s">
        <v>4324</v>
      </c>
      <c r="B2820">
        <v>0</v>
      </c>
      <c r="C2820" s="44">
        <v>3200</v>
      </c>
      <c r="D2820" t="s">
        <v>293</v>
      </c>
      <c r="E2820" t="s">
        <v>256</v>
      </c>
      <c r="F2820">
        <v>4</v>
      </c>
    </row>
    <row r="2821" spans="1:6" ht="13.2">
      <c r="A2821" t="s">
        <v>4325</v>
      </c>
      <c r="B2821">
        <v>0</v>
      </c>
      <c r="C2821" s="44">
        <v>3200</v>
      </c>
      <c r="D2821" t="s">
        <v>293</v>
      </c>
      <c r="E2821" t="s">
        <v>256</v>
      </c>
      <c r="F2821">
        <v>4</v>
      </c>
    </row>
    <row r="2822" spans="1:6" ht="13.2">
      <c r="A2822" t="s">
        <v>1682</v>
      </c>
      <c r="B2822">
        <v>0</v>
      </c>
      <c r="C2822" s="44">
        <v>2800</v>
      </c>
      <c r="D2822" t="s">
        <v>293</v>
      </c>
      <c r="E2822" t="s">
        <v>212</v>
      </c>
      <c r="F2822">
        <v>4</v>
      </c>
    </row>
    <row r="2823" spans="1:6" ht="13.2">
      <c r="A2823" t="s">
        <v>5651</v>
      </c>
      <c r="C2823" s="44">
        <v>3000</v>
      </c>
      <c r="D2823" t="s">
        <v>293</v>
      </c>
      <c r="E2823" t="s">
        <v>256</v>
      </c>
      <c r="F2823">
        <v>4</v>
      </c>
    </row>
    <row r="2824" spans="1:6" ht="13.2">
      <c r="A2824" t="s">
        <v>5652</v>
      </c>
      <c r="C2824" s="44">
        <v>3000</v>
      </c>
      <c r="D2824" t="s">
        <v>293</v>
      </c>
      <c r="E2824" t="s">
        <v>256</v>
      </c>
      <c r="F2824">
        <v>4</v>
      </c>
    </row>
    <row r="2825" spans="1:5" ht="13.2">
      <c r="A2825" t="s">
        <v>5563</v>
      </c>
      <c r="B2825">
        <v>120</v>
      </c>
      <c r="C2825" s="44">
        <v>1350</v>
      </c>
      <c r="D2825" t="s">
        <v>291</v>
      </c>
      <c r="E2825" t="s">
        <v>5528</v>
      </c>
    </row>
    <row r="2826" spans="1:5" ht="13.2">
      <c r="A2826" t="s">
        <v>5564</v>
      </c>
      <c r="B2826">
        <v>120</v>
      </c>
      <c r="C2826" s="44">
        <v>1350</v>
      </c>
      <c r="D2826" t="s">
        <v>291</v>
      </c>
      <c r="E2826" t="s">
        <v>5528</v>
      </c>
    </row>
    <row r="2827" spans="1:5" ht="13.2">
      <c r="A2827" t="s">
        <v>5565</v>
      </c>
      <c r="B2827">
        <v>120</v>
      </c>
      <c r="C2827" s="44">
        <v>1350</v>
      </c>
      <c r="D2827" t="s">
        <v>291</v>
      </c>
      <c r="E2827" t="s">
        <v>5528</v>
      </c>
    </row>
    <row r="2828" spans="1:5" ht="13.2">
      <c r="A2828" t="s">
        <v>5566</v>
      </c>
      <c r="B2828">
        <v>120</v>
      </c>
      <c r="C2828" s="44">
        <v>1350</v>
      </c>
      <c r="D2828" t="s">
        <v>291</v>
      </c>
      <c r="E2828" t="s">
        <v>5528</v>
      </c>
    </row>
    <row r="2829" spans="1:5" ht="13.2">
      <c r="A2829" t="s">
        <v>5567</v>
      </c>
      <c r="B2829">
        <v>120</v>
      </c>
      <c r="C2829" s="44">
        <v>1350</v>
      </c>
      <c r="D2829" t="s">
        <v>291</v>
      </c>
      <c r="E2829" t="s">
        <v>5528</v>
      </c>
    </row>
    <row r="2830" spans="1:5" ht="13.2">
      <c r="A2830" t="s">
        <v>5568</v>
      </c>
      <c r="B2830">
        <v>120</v>
      </c>
      <c r="C2830" s="44">
        <v>1350</v>
      </c>
      <c r="D2830" t="s">
        <v>291</v>
      </c>
      <c r="E2830" t="s">
        <v>5528</v>
      </c>
    </row>
    <row r="2831" spans="1:5" ht="13.2">
      <c r="A2831" t="s">
        <v>5569</v>
      </c>
      <c r="B2831">
        <v>120</v>
      </c>
      <c r="C2831" s="44">
        <v>1350</v>
      </c>
      <c r="D2831" t="s">
        <v>291</v>
      </c>
      <c r="E2831" t="s">
        <v>5528</v>
      </c>
    </row>
    <row r="2832" spans="1:5" ht="13.2">
      <c r="A2832" t="s">
        <v>5570</v>
      </c>
      <c r="B2832">
        <v>120</v>
      </c>
      <c r="C2832" s="44">
        <v>1350</v>
      </c>
      <c r="D2832" t="s">
        <v>291</v>
      </c>
      <c r="E2832" t="s">
        <v>5528</v>
      </c>
    </row>
    <row r="2833" spans="1:5" ht="13.2">
      <c r="A2833" t="s">
        <v>5571</v>
      </c>
      <c r="B2833">
        <v>120</v>
      </c>
      <c r="C2833" s="44">
        <v>1350</v>
      </c>
      <c r="D2833" t="s">
        <v>291</v>
      </c>
      <c r="E2833" t="s">
        <v>5528</v>
      </c>
    </row>
    <row r="2834" spans="1:5" ht="13.2">
      <c r="A2834" t="s">
        <v>5572</v>
      </c>
      <c r="B2834">
        <v>120</v>
      </c>
      <c r="C2834" s="44">
        <v>1350</v>
      </c>
      <c r="D2834" t="s">
        <v>291</v>
      </c>
      <c r="E2834" t="s">
        <v>5528</v>
      </c>
    </row>
    <row r="2835" spans="1:5" ht="13.2">
      <c r="A2835" t="s">
        <v>5573</v>
      </c>
      <c r="B2835">
        <v>120</v>
      </c>
      <c r="C2835" s="44">
        <v>1350</v>
      </c>
      <c r="D2835" t="s">
        <v>291</v>
      </c>
      <c r="E2835" t="s">
        <v>5528</v>
      </c>
    </row>
    <row r="2836" spans="1:5" ht="13.2">
      <c r="A2836" t="s">
        <v>5574</v>
      </c>
      <c r="B2836">
        <v>120</v>
      </c>
      <c r="C2836" s="44">
        <v>1350</v>
      </c>
      <c r="D2836" t="s">
        <v>291</v>
      </c>
      <c r="E2836" t="s">
        <v>5528</v>
      </c>
    </row>
    <row r="2837" spans="1:5" ht="13.2">
      <c r="A2837" t="s">
        <v>5576</v>
      </c>
      <c r="B2837">
        <v>120</v>
      </c>
      <c r="C2837" s="44">
        <v>1350</v>
      </c>
      <c r="D2837" t="s">
        <v>291</v>
      </c>
      <c r="E2837" t="s">
        <v>5528</v>
      </c>
    </row>
    <row r="2838" spans="1:5" ht="13.2">
      <c r="A2838" t="s">
        <v>5575</v>
      </c>
      <c r="B2838">
        <v>120</v>
      </c>
      <c r="C2838" s="44">
        <v>1350</v>
      </c>
      <c r="D2838" t="s">
        <v>291</v>
      </c>
      <c r="E2838" t="s">
        <v>5528</v>
      </c>
    </row>
    <row r="2839" spans="1:6" ht="13.2">
      <c r="A2839" t="s">
        <v>5653</v>
      </c>
      <c r="C2839" s="44">
        <v>3000</v>
      </c>
      <c r="D2839" t="s">
        <v>293</v>
      </c>
      <c r="E2839" t="s">
        <v>256</v>
      </c>
      <c r="F2839">
        <v>4</v>
      </c>
    </row>
    <row r="2840" spans="1:6" ht="13.2">
      <c r="A2840" t="s">
        <v>5654</v>
      </c>
      <c r="C2840" s="44">
        <v>3000</v>
      </c>
      <c r="D2840" t="s">
        <v>293</v>
      </c>
      <c r="E2840" t="s">
        <v>256</v>
      </c>
      <c r="F2840">
        <v>4</v>
      </c>
    </row>
    <row r="2841" spans="1:6" ht="13.2">
      <c r="A2841" t="s">
        <v>4144</v>
      </c>
      <c r="B2841">
        <v>320</v>
      </c>
      <c r="C2841" s="44">
        <v>1390</v>
      </c>
      <c r="D2841" t="s">
        <v>291</v>
      </c>
      <c r="E2841" t="s">
        <v>577</v>
      </c>
      <c r="F2841" t="s">
        <v>622</v>
      </c>
    </row>
    <row r="2842" spans="1:6" ht="13.2">
      <c r="A2842" t="s">
        <v>4145</v>
      </c>
      <c r="B2842">
        <v>320</v>
      </c>
      <c r="C2842" s="44">
        <v>1390</v>
      </c>
      <c r="D2842" t="s">
        <v>291</v>
      </c>
      <c r="E2842" t="s">
        <v>577</v>
      </c>
      <c r="F2842" t="s">
        <v>622</v>
      </c>
    </row>
    <row r="2843" spans="1:6" ht="13.2">
      <c r="A2843" t="s">
        <v>4146</v>
      </c>
      <c r="B2843">
        <v>320</v>
      </c>
      <c r="C2843" s="44">
        <v>1390</v>
      </c>
      <c r="D2843" t="s">
        <v>291</v>
      </c>
      <c r="E2843" t="s">
        <v>577</v>
      </c>
      <c r="F2843" t="s">
        <v>622</v>
      </c>
    </row>
    <row r="2844" spans="1:6" ht="13.2">
      <c r="A2844" t="s">
        <v>4147</v>
      </c>
      <c r="B2844">
        <v>320</v>
      </c>
      <c r="C2844" s="44">
        <v>1390</v>
      </c>
      <c r="D2844" t="s">
        <v>291</v>
      </c>
      <c r="E2844" t="s">
        <v>577</v>
      </c>
      <c r="F2844" t="s">
        <v>622</v>
      </c>
    </row>
    <row r="2845" spans="1:6" ht="13.2">
      <c r="A2845" t="s">
        <v>4148</v>
      </c>
      <c r="B2845">
        <v>320</v>
      </c>
      <c r="C2845" s="44">
        <v>1390</v>
      </c>
      <c r="D2845" t="s">
        <v>291</v>
      </c>
      <c r="E2845" t="s">
        <v>577</v>
      </c>
      <c r="F2845" t="s">
        <v>622</v>
      </c>
    </row>
    <row r="2846" spans="1:6" ht="13.2">
      <c r="A2846" t="s">
        <v>4149</v>
      </c>
      <c r="B2846">
        <v>320</v>
      </c>
      <c r="C2846" s="44">
        <v>1390</v>
      </c>
      <c r="D2846" t="s">
        <v>291</v>
      </c>
      <c r="E2846" t="s">
        <v>577</v>
      </c>
      <c r="F2846" t="s">
        <v>622</v>
      </c>
    </row>
    <row r="2847" spans="1:6" ht="13.2">
      <c r="A2847" t="s">
        <v>4150</v>
      </c>
      <c r="B2847">
        <v>320</v>
      </c>
      <c r="C2847" s="44">
        <v>1390</v>
      </c>
      <c r="D2847" t="s">
        <v>291</v>
      </c>
      <c r="E2847" t="s">
        <v>577</v>
      </c>
      <c r="F2847" t="s">
        <v>622</v>
      </c>
    </row>
    <row r="2848" spans="1:6" ht="13.2">
      <c r="A2848" t="s">
        <v>4151</v>
      </c>
      <c r="B2848">
        <v>320</v>
      </c>
      <c r="C2848" s="44">
        <v>1390</v>
      </c>
      <c r="D2848" t="s">
        <v>291</v>
      </c>
      <c r="E2848" t="s">
        <v>577</v>
      </c>
      <c r="F2848" t="s">
        <v>622</v>
      </c>
    </row>
    <row r="2849" spans="1:6" ht="13.2">
      <c r="A2849" t="s">
        <v>4152</v>
      </c>
      <c r="B2849">
        <v>320</v>
      </c>
      <c r="C2849" s="44">
        <v>1390</v>
      </c>
      <c r="D2849" t="s">
        <v>291</v>
      </c>
      <c r="E2849" t="s">
        <v>577</v>
      </c>
      <c r="F2849" t="s">
        <v>622</v>
      </c>
    </row>
    <row r="2850" spans="1:6" ht="13.2">
      <c r="A2850" t="s">
        <v>4153</v>
      </c>
      <c r="B2850">
        <v>320</v>
      </c>
      <c r="C2850" s="44">
        <v>1390</v>
      </c>
      <c r="D2850" t="s">
        <v>291</v>
      </c>
      <c r="E2850" t="s">
        <v>577</v>
      </c>
      <c r="F2850" t="s">
        <v>622</v>
      </c>
    </row>
    <row r="2851" spans="1:6" ht="13.2">
      <c r="A2851" t="s">
        <v>4154</v>
      </c>
      <c r="B2851">
        <v>320</v>
      </c>
      <c r="C2851" s="44">
        <v>1390</v>
      </c>
      <c r="D2851" t="s">
        <v>291</v>
      </c>
      <c r="E2851" t="s">
        <v>577</v>
      </c>
      <c r="F2851" t="s">
        <v>622</v>
      </c>
    </row>
    <row r="2852" spans="1:6" ht="13.2">
      <c r="A2852" t="s">
        <v>4155</v>
      </c>
      <c r="B2852">
        <v>320</v>
      </c>
      <c r="C2852" s="44">
        <v>1390</v>
      </c>
      <c r="D2852" t="s">
        <v>291</v>
      </c>
      <c r="E2852" t="s">
        <v>577</v>
      </c>
      <c r="F2852" t="s">
        <v>622</v>
      </c>
    </row>
    <row r="2853" spans="1:6" ht="13.2">
      <c r="A2853" t="s">
        <v>4156</v>
      </c>
      <c r="B2853">
        <v>320</v>
      </c>
      <c r="C2853" s="44">
        <v>1390</v>
      </c>
      <c r="D2853" t="s">
        <v>291</v>
      </c>
      <c r="E2853" t="s">
        <v>577</v>
      </c>
      <c r="F2853" t="s">
        <v>622</v>
      </c>
    </row>
    <row r="2854" spans="1:6" ht="13.2">
      <c r="A2854" t="s">
        <v>4157</v>
      </c>
      <c r="B2854">
        <v>320</v>
      </c>
      <c r="C2854" s="44">
        <v>1390</v>
      </c>
      <c r="D2854" t="s">
        <v>291</v>
      </c>
      <c r="E2854" t="s">
        <v>577</v>
      </c>
      <c r="F2854" t="s">
        <v>622</v>
      </c>
    </row>
    <row r="2855" spans="1:6" ht="13.2">
      <c r="A2855" t="s">
        <v>4158</v>
      </c>
      <c r="B2855">
        <v>320</v>
      </c>
      <c r="C2855" s="44">
        <v>1390</v>
      </c>
      <c r="D2855" t="s">
        <v>291</v>
      </c>
      <c r="E2855" t="s">
        <v>577</v>
      </c>
      <c r="F2855" t="s">
        <v>622</v>
      </c>
    </row>
    <row r="2856" spans="1:6" ht="13.2">
      <c r="A2856" t="s">
        <v>4159</v>
      </c>
      <c r="B2856">
        <v>320</v>
      </c>
      <c r="C2856" s="44">
        <v>1390</v>
      </c>
      <c r="D2856" t="s">
        <v>291</v>
      </c>
      <c r="E2856" t="s">
        <v>577</v>
      </c>
      <c r="F2856" t="s">
        <v>622</v>
      </c>
    </row>
    <row r="2857" spans="1:6" ht="13.2">
      <c r="A2857" t="s">
        <v>4160</v>
      </c>
      <c r="B2857">
        <v>320</v>
      </c>
      <c r="C2857" s="44">
        <v>1390</v>
      </c>
      <c r="D2857" t="s">
        <v>291</v>
      </c>
      <c r="E2857" t="s">
        <v>577</v>
      </c>
      <c r="F2857" t="s">
        <v>622</v>
      </c>
    </row>
    <row r="2858" spans="1:6" ht="13.2">
      <c r="A2858" t="s">
        <v>4161</v>
      </c>
      <c r="B2858">
        <v>320</v>
      </c>
      <c r="C2858" s="44">
        <v>1390</v>
      </c>
      <c r="D2858" t="s">
        <v>291</v>
      </c>
      <c r="E2858" t="s">
        <v>577</v>
      </c>
      <c r="F2858" t="s">
        <v>622</v>
      </c>
    </row>
    <row r="2859" spans="1:6" ht="13.2">
      <c r="A2859" t="s">
        <v>4162</v>
      </c>
      <c r="B2859">
        <v>320</v>
      </c>
      <c r="C2859" s="44">
        <v>1390</v>
      </c>
      <c r="D2859" t="s">
        <v>291</v>
      </c>
      <c r="E2859" t="s">
        <v>577</v>
      </c>
      <c r="F2859" t="s">
        <v>622</v>
      </c>
    </row>
    <row r="2860" spans="1:6" ht="13.2">
      <c r="A2860" t="s">
        <v>4164</v>
      </c>
      <c r="B2860">
        <v>320</v>
      </c>
      <c r="C2860" s="44">
        <v>1390</v>
      </c>
      <c r="D2860" t="s">
        <v>291</v>
      </c>
      <c r="E2860" t="s">
        <v>577</v>
      </c>
      <c r="F2860" t="s">
        <v>622</v>
      </c>
    </row>
    <row r="2861" spans="1:6" ht="13.2">
      <c r="A2861" t="s">
        <v>4163</v>
      </c>
      <c r="B2861">
        <v>320</v>
      </c>
      <c r="C2861" s="44">
        <v>1390</v>
      </c>
      <c r="D2861" t="s">
        <v>291</v>
      </c>
      <c r="E2861" t="s">
        <v>577</v>
      </c>
      <c r="F2861" t="s">
        <v>622</v>
      </c>
    </row>
    <row r="2862" spans="1:5" ht="13.2">
      <c r="A2862" t="s">
        <v>5973</v>
      </c>
      <c r="B2862">
        <v>630</v>
      </c>
      <c r="C2862" s="44">
        <v>1400</v>
      </c>
      <c r="D2862" t="s">
        <v>291</v>
      </c>
      <c r="E2862" t="s">
        <v>256</v>
      </c>
    </row>
    <row r="2863" spans="1:5" ht="13.2">
      <c r="A2863" t="s">
        <v>5974</v>
      </c>
      <c r="B2863">
        <v>630</v>
      </c>
      <c r="C2863" s="44">
        <v>1400</v>
      </c>
      <c r="D2863" t="s">
        <v>291</v>
      </c>
      <c r="E2863" t="s">
        <v>256</v>
      </c>
    </row>
    <row r="2864" spans="1:5" ht="13.2">
      <c r="A2864" t="s">
        <v>5975</v>
      </c>
      <c r="B2864">
        <v>630</v>
      </c>
      <c r="C2864" s="44">
        <v>1400</v>
      </c>
      <c r="D2864" t="s">
        <v>291</v>
      </c>
      <c r="E2864" t="s">
        <v>256</v>
      </c>
    </row>
    <row r="2865" spans="1:5" ht="13.2">
      <c r="A2865" t="s">
        <v>5976</v>
      </c>
      <c r="B2865">
        <v>630</v>
      </c>
      <c r="C2865" s="44">
        <v>1400</v>
      </c>
      <c r="D2865" t="s">
        <v>291</v>
      </c>
      <c r="E2865" t="s">
        <v>256</v>
      </c>
    </row>
    <row r="2866" spans="1:5" ht="13.2">
      <c r="A2866" t="s">
        <v>5977</v>
      </c>
      <c r="B2866">
        <v>630</v>
      </c>
      <c r="C2866" s="44">
        <v>1400</v>
      </c>
      <c r="D2866" t="s">
        <v>291</v>
      </c>
      <c r="E2866" t="s">
        <v>256</v>
      </c>
    </row>
    <row r="2867" spans="1:6" ht="13.2">
      <c r="A2867" t="s">
        <v>3222</v>
      </c>
      <c r="B2867">
        <v>620</v>
      </c>
      <c r="C2867" s="44">
        <v>1400</v>
      </c>
      <c r="D2867" t="s">
        <v>291</v>
      </c>
      <c r="E2867" t="s">
        <v>522</v>
      </c>
      <c r="F2867">
        <v>3</v>
      </c>
    </row>
    <row r="2868" spans="1:6" ht="13.2">
      <c r="A2868" t="s">
        <v>3221</v>
      </c>
      <c r="B2868">
        <v>620</v>
      </c>
      <c r="C2868" s="44">
        <v>1400</v>
      </c>
      <c r="D2868" t="s">
        <v>291</v>
      </c>
      <c r="E2868" t="s">
        <v>522</v>
      </c>
      <c r="F2868">
        <v>3</v>
      </c>
    </row>
    <row r="2869" spans="1:6" ht="13.2">
      <c r="A2869" t="s">
        <v>3223</v>
      </c>
      <c r="B2869">
        <v>620</v>
      </c>
      <c r="C2869" s="44">
        <v>1400</v>
      </c>
      <c r="D2869" t="s">
        <v>291</v>
      </c>
      <c r="E2869" t="s">
        <v>522</v>
      </c>
      <c r="F2869">
        <v>3</v>
      </c>
    </row>
    <row r="2870" spans="1:6" ht="13.2">
      <c r="A2870" t="s">
        <v>3224</v>
      </c>
      <c r="B2870">
        <v>620</v>
      </c>
      <c r="C2870" s="44">
        <v>1400</v>
      </c>
      <c r="D2870" t="s">
        <v>291</v>
      </c>
      <c r="E2870" t="s">
        <v>522</v>
      </c>
      <c r="F2870">
        <v>3</v>
      </c>
    </row>
    <row r="2871" spans="1:6" ht="13.2">
      <c r="A2871" t="s">
        <v>3220</v>
      </c>
      <c r="B2871">
        <v>620</v>
      </c>
      <c r="C2871" s="44">
        <v>1400</v>
      </c>
      <c r="D2871" t="s">
        <v>291</v>
      </c>
      <c r="E2871" t="s">
        <v>522</v>
      </c>
      <c r="F2871">
        <v>3</v>
      </c>
    </row>
    <row r="2872" spans="1:6" ht="13.2">
      <c r="A2872" t="s">
        <v>5046</v>
      </c>
      <c r="B2872">
        <v>450</v>
      </c>
      <c r="C2872" s="44">
        <v>1400</v>
      </c>
      <c r="D2872" t="s">
        <v>291</v>
      </c>
      <c r="E2872" t="s">
        <v>5047</v>
      </c>
      <c r="F2872">
        <v>4</v>
      </c>
    </row>
    <row r="2873" spans="1:6" ht="13.2">
      <c r="A2873" t="s">
        <v>5048</v>
      </c>
      <c r="B2873">
        <v>450</v>
      </c>
      <c r="C2873" s="44">
        <v>1400</v>
      </c>
      <c r="D2873" t="s">
        <v>291</v>
      </c>
      <c r="E2873" t="s">
        <v>5047</v>
      </c>
      <c r="F2873">
        <v>4</v>
      </c>
    </row>
    <row r="2874" spans="1:6" ht="13.2">
      <c r="A2874" t="s">
        <v>5049</v>
      </c>
      <c r="B2874">
        <v>450</v>
      </c>
      <c r="C2874" s="44">
        <v>1400</v>
      </c>
      <c r="D2874" t="s">
        <v>291</v>
      </c>
      <c r="E2874" t="s">
        <v>5047</v>
      </c>
      <c r="F2874">
        <v>4</v>
      </c>
    </row>
    <row r="2875" spans="1:6" ht="13.2">
      <c r="A2875" t="s">
        <v>5050</v>
      </c>
      <c r="B2875">
        <v>450</v>
      </c>
      <c r="C2875" s="44">
        <v>1400</v>
      </c>
      <c r="D2875" t="s">
        <v>291</v>
      </c>
      <c r="E2875" t="s">
        <v>5047</v>
      </c>
      <c r="F2875">
        <v>4</v>
      </c>
    </row>
    <row r="2876" spans="1:6" ht="13.2">
      <c r="A2876" t="s">
        <v>5051</v>
      </c>
      <c r="B2876">
        <v>450</v>
      </c>
      <c r="C2876" s="44">
        <v>1400</v>
      </c>
      <c r="D2876" t="s">
        <v>291</v>
      </c>
      <c r="E2876" t="s">
        <v>5047</v>
      </c>
      <c r="F2876">
        <v>4</v>
      </c>
    </row>
    <row r="2877" spans="1:6" ht="13.2">
      <c r="A2877" t="s">
        <v>4791</v>
      </c>
      <c r="C2877" s="44">
        <v>3000</v>
      </c>
      <c r="D2877" t="s">
        <v>293</v>
      </c>
      <c r="E2877" t="s">
        <v>257</v>
      </c>
      <c r="F2877">
        <v>4</v>
      </c>
    </row>
    <row r="2878" spans="1:6" ht="13.2">
      <c r="A2878" t="s">
        <v>4792</v>
      </c>
      <c r="C2878" s="44">
        <v>3000</v>
      </c>
      <c r="D2878" t="s">
        <v>293</v>
      </c>
      <c r="E2878" t="s">
        <v>257</v>
      </c>
      <c r="F2878">
        <v>4</v>
      </c>
    </row>
    <row r="2879" spans="1:6" ht="13.2">
      <c r="A2879" t="s">
        <v>4793</v>
      </c>
      <c r="C2879" s="44">
        <v>3000</v>
      </c>
      <c r="D2879" t="s">
        <v>293</v>
      </c>
      <c r="E2879" t="s">
        <v>257</v>
      </c>
      <c r="F2879">
        <v>4</v>
      </c>
    </row>
    <row r="2880" spans="1:6" ht="13.2">
      <c r="A2880" t="s">
        <v>4795</v>
      </c>
      <c r="C2880" s="44">
        <v>3000</v>
      </c>
      <c r="D2880" t="s">
        <v>293</v>
      </c>
      <c r="E2880" t="s">
        <v>257</v>
      </c>
      <c r="F2880">
        <v>4</v>
      </c>
    </row>
    <row r="2881" spans="1:6" ht="13.2">
      <c r="A2881" t="s">
        <v>4794</v>
      </c>
      <c r="C2881" s="44">
        <v>3000</v>
      </c>
      <c r="D2881" t="s">
        <v>293</v>
      </c>
      <c r="E2881" t="s">
        <v>257</v>
      </c>
      <c r="F2881">
        <v>4</v>
      </c>
    </row>
    <row r="2882" spans="1:5" ht="13.2">
      <c r="A2882" t="s">
        <v>5577</v>
      </c>
      <c r="B2882">
        <v>350</v>
      </c>
      <c r="C2882" s="44">
        <v>1370</v>
      </c>
      <c r="D2882" t="s">
        <v>291</v>
      </c>
      <c r="E2882" t="s">
        <v>5528</v>
      </c>
    </row>
    <row r="2883" spans="1:5" ht="13.2">
      <c r="A2883" t="s">
        <v>5578</v>
      </c>
      <c r="B2883">
        <v>350</v>
      </c>
      <c r="C2883" s="44">
        <v>1370</v>
      </c>
      <c r="D2883" t="s">
        <v>291</v>
      </c>
      <c r="E2883" t="s">
        <v>5528</v>
      </c>
    </row>
    <row r="2884" spans="1:5" ht="13.2">
      <c r="A2884" t="s">
        <v>5579</v>
      </c>
      <c r="B2884">
        <v>350</v>
      </c>
      <c r="C2884" s="44">
        <v>1370</v>
      </c>
      <c r="D2884" t="s">
        <v>291</v>
      </c>
      <c r="E2884" t="s">
        <v>5528</v>
      </c>
    </row>
    <row r="2885" spans="1:5" ht="13.2">
      <c r="A2885" t="s">
        <v>5580</v>
      </c>
      <c r="B2885">
        <v>350</v>
      </c>
      <c r="C2885" s="44">
        <v>1370</v>
      </c>
      <c r="D2885" t="s">
        <v>291</v>
      </c>
      <c r="E2885" t="s">
        <v>5528</v>
      </c>
    </row>
    <row r="2886" spans="1:5" ht="13.2">
      <c r="A2886" t="s">
        <v>5581</v>
      </c>
      <c r="B2886">
        <v>350</v>
      </c>
      <c r="C2886" s="44">
        <v>1370</v>
      </c>
      <c r="D2886" t="s">
        <v>291</v>
      </c>
      <c r="E2886" t="s">
        <v>5528</v>
      </c>
    </row>
    <row r="2887" spans="1:5" ht="13.2">
      <c r="A2887" t="s">
        <v>5582</v>
      </c>
      <c r="B2887">
        <v>350</v>
      </c>
      <c r="C2887" s="44">
        <v>1370</v>
      </c>
      <c r="D2887" t="s">
        <v>291</v>
      </c>
      <c r="E2887" t="s">
        <v>5528</v>
      </c>
    </row>
    <row r="2888" spans="1:5" ht="13.2">
      <c r="A2888" t="s">
        <v>5583</v>
      </c>
      <c r="B2888">
        <v>350</v>
      </c>
      <c r="C2888" s="44">
        <v>1370</v>
      </c>
      <c r="D2888" t="s">
        <v>291</v>
      </c>
      <c r="E2888" t="s">
        <v>5528</v>
      </c>
    </row>
    <row r="2889" spans="1:5" ht="13.2">
      <c r="A2889" t="s">
        <v>5584</v>
      </c>
      <c r="B2889">
        <v>350</v>
      </c>
      <c r="C2889" s="44">
        <v>1370</v>
      </c>
      <c r="D2889" t="s">
        <v>291</v>
      </c>
      <c r="E2889" t="s">
        <v>5528</v>
      </c>
    </row>
    <row r="2890" spans="1:5" ht="13.2">
      <c r="A2890" t="s">
        <v>5585</v>
      </c>
      <c r="B2890">
        <v>350</v>
      </c>
      <c r="C2890" s="44">
        <v>1370</v>
      </c>
      <c r="D2890" t="s">
        <v>291</v>
      </c>
      <c r="E2890" t="s">
        <v>5528</v>
      </c>
    </row>
    <row r="2891" spans="1:6" ht="13.2">
      <c r="A2891" t="s">
        <v>4786</v>
      </c>
      <c r="C2891" s="44">
        <v>3000</v>
      </c>
      <c r="D2891" t="s">
        <v>293</v>
      </c>
      <c r="E2891" t="s">
        <v>257</v>
      </c>
      <c r="F2891">
        <v>4</v>
      </c>
    </row>
    <row r="2892" spans="1:6" ht="13.2">
      <c r="A2892" t="s">
        <v>4787</v>
      </c>
      <c r="C2892" s="44">
        <v>3000</v>
      </c>
      <c r="D2892" t="s">
        <v>293</v>
      </c>
      <c r="E2892" t="s">
        <v>257</v>
      </c>
      <c r="F2892">
        <v>4</v>
      </c>
    </row>
    <row r="2893" spans="1:6" ht="13.2">
      <c r="A2893" t="s">
        <v>4788</v>
      </c>
      <c r="C2893" s="44">
        <v>3000</v>
      </c>
      <c r="D2893" t="s">
        <v>293</v>
      </c>
      <c r="E2893" t="s">
        <v>257</v>
      </c>
      <c r="F2893">
        <v>4</v>
      </c>
    </row>
    <row r="2894" spans="1:6" ht="13.2">
      <c r="A2894" t="s">
        <v>4789</v>
      </c>
      <c r="C2894" s="44">
        <v>3000</v>
      </c>
      <c r="D2894" t="s">
        <v>293</v>
      </c>
      <c r="E2894" t="s">
        <v>257</v>
      </c>
      <c r="F2894">
        <v>4</v>
      </c>
    </row>
    <row r="2895" spans="1:6" ht="13.2">
      <c r="A2895" t="s">
        <v>4790</v>
      </c>
      <c r="C2895" s="44">
        <v>3000</v>
      </c>
      <c r="D2895" t="s">
        <v>293</v>
      </c>
      <c r="E2895" t="s">
        <v>257</v>
      </c>
      <c r="F2895">
        <v>4</v>
      </c>
    </row>
    <row r="2896" spans="1:6" ht="13.2">
      <c r="A2896" t="s">
        <v>4781</v>
      </c>
      <c r="C2896" s="44">
        <v>3000</v>
      </c>
      <c r="D2896" t="s">
        <v>293</v>
      </c>
      <c r="E2896" t="s">
        <v>257</v>
      </c>
      <c r="F2896">
        <v>4</v>
      </c>
    </row>
    <row r="2897" spans="1:6" ht="13.2">
      <c r="A2897" t="s">
        <v>4782</v>
      </c>
      <c r="C2897" s="44">
        <v>3000</v>
      </c>
      <c r="D2897" t="s">
        <v>293</v>
      </c>
      <c r="E2897" t="s">
        <v>257</v>
      </c>
      <c r="F2897">
        <v>4</v>
      </c>
    </row>
    <row r="2898" spans="1:6" ht="13.2">
      <c r="A2898" t="s">
        <v>4783</v>
      </c>
      <c r="C2898" s="44">
        <v>3000</v>
      </c>
      <c r="D2898" t="s">
        <v>293</v>
      </c>
      <c r="E2898" t="s">
        <v>257</v>
      </c>
      <c r="F2898">
        <v>4</v>
      </c>
    </row>
    <row r="2899" spans="1:6" ht="13.2">
      <c r="A2899" t="s">
        <v>4785</v>
      </c>
      <c r="C2899" s="44">
        <v>3000</v>
      </c>
      <c r="D2899" t="s">
        <v>293</v>
      </c>
      <c r="E2899" t="s">
        <v>257</v>
      </c>
      <c r="F2899">
        <v>4</v>
      </c>
    </row>
    <row r="2900" spans="1:6" ht="13.2">
      <c r="A2900" t="s">
        <v>4784</v>
      </c>
      <c r="C2900" s="44">
        <v>3000</v>
      </c>
      <c r="D2900" t="s">
        <v>293</v>
      </c>
      <c r="E2900" t="s">
        <v>257</v>
      </c>
      <c r="F2900">
        <v>4</v>
      </c>
    </row>
    <row r="2901" spans="1:6" ht="13.2">
      <c r="A2901" t="s">
        <v>1662</v>
      </c>
      <c r="B2901">
        <v>0</v>
      </c>
      <c r="C2901" s="44">
        <v>3200</v>
      </c>
      <c r="D2901" t="s">
        <v>293</v>
      </c>
      <c r="E2901" t="s">
        <v>256</v>
      </c>
      <c r="F2901">
        <v>4</v>
      </c>
    </row>
    <row r="2902" spans="1:6" ht="13.2">
      <c r="A2902" t="s">
        <v>1664</v>
      </c>
      <c r="B2902">
        <v>0</v>
      </c>
      <c r="C2902" s="44">
        <v>3200</v>
      </c>
      <c r="D2902" t="s">
        <v>293</v>
      </c>
      <c r="E2902" t="s">
        <v>256</v>
      </c>
      <c r="F2902">
        <v>4</v>
      </c>
    </row>
    <row r="2903" spans="1:6" ht="13.2">
      <c r="A2903" t="s">
        <v>1663</v>
      </c>
      <c r="B2903">
        <v>0</v>
      </c>
      <c r="C2903" s="44">
        <v>3200</v>
      </c>
      <c r="D2903" t="s">
        <v>293</v>
      </c>
      <c r="E2903" t="s">
        <v>256</v>
      </c>
      <c r="F2903">
        <v>4</v>
      </c>
    </row>
    <row r="2904" spans="1:6" ht="13.2">
      <c r="A2904" t="s">
        <v>1666</v>
      </c>
      <c r="B2904">
        <v>0</v>
      </c>
      <c r="C2904" s="44">
        <v>3200</v>
      </c>
      <c r="D2904" t="s">
        <v>293</v>
      </c>
      <c r="E2904" t="s">
        <v>256</v>
      </c>
      <c r="F2904">
        <v>4</v>
      </c>
    </row>
    <row r="2905" spans="1:6" ht="13.2">
      <c r="A2905" t="s">
        <v>1665</v>
      </c>
      <c r="B2905">
        <v>0</v>
      </c>
      <c r="C2905" s="44">
        <v>3200</v>
      </c>
      <c r="D2905" t="s">
        <v>293</v>
      </c>
      <c r="E2905" t="s">
        <v>256</v>
      </c>
      <c r="F2905">
        <v>4</v>
      </c>
    </row>
    <row r="2906" spans="1:6" ht="13.2">
      <c r="A2906" t="s">
        <v>4822</v>
      </c>
      <c r="B2906">
        <v>30</v>
      </c>
      <c r="C2906" s="44">
        <v>1390</v>
      </c>
      <c r="D2906" t="s">
        <v>291</v>
      </c>
      <c r="E2906" t="s">
        <v>577</v>
      </c>
      <c r="F2906" t="s">
        <v>622</v>
      </c>
    </row>
    <row r="2907" spans="1:6" ht="13.2">
      <c r="A2907" t="s">
        <v>4823</v>
      </c>
      <c r="B2907">
        <v>30</v>
      </c>
      <c r="C2907" s="44">
        <v>1390</v>
      </c>
      <c r="D2907" t="s">
        <v>291</v>
      </c>
      <c r="E2907" t="s">
        <v>577</v>
      </c>
      <c r="F2907" t="s">
        <v>622</v>
      </c>
    </row>
    <row r="2908" spans="1:6" ht="13.2">
      <c r="A2908" t="s">
        <v>4824</v>
      </c>
      <c r="B2908">
        <v>30</v>
      </c>
      <c r="C2908" s="44">
        <v>1390</v>
      </c>
      <c r="D2908" t="s">
        <v>291</v>
      </c>
      <c r="E2908" t="s">
        <v>577</v>
      </c>
      <c r="F2908" t="s">
        <v>622</v>
      </c>
    </row>
    <row r="2909" spans="1:6" ht="13.2">
      <c r="A2909" t="s">
        <v>4825</v>
      </c>
      <c r="B2909">
        <v>30</v>
      </c>
      <c r="C2909" s="44">
        <v>1390</v>
      </c>
      <c r="D2909" t="s">
        <v>291</v>
      </c>
      <c r="E2909" t="s">
        <v>577</v>
      </c>
      <c r="F2909" t="s">
        <v>622</v>
      </c>
    </row>
    <row r="2910" spans="1:6" ht="13.2">
      <c r="A2910" t="s">
        <v>4826</v>
      </c>
      <c r="B2910">
        <v>30</v>
      </c>
      <c r="C2910" s="44">
        <v>1390</v>
      </c>
      <c r="D2910" t="s">
        <v>291</v>
      </c>
      <c r="E2910" t="s">
        <v>577</v>
      </c>
      <c r="F2910" t="s">
        <v>622</v>
      </c>
    </row>
    <row r="2911" spans="1:6" ht="13.2">
      <c r="A2911" t="s">
        <v>4827</v>
      </c>
      <c r="B2911">
        <v>30</v>
      </c>
      <c r="C2911" s="44">
        <v>1390</v>
      </c>
      <c r="D2911" t="s">
        <v>291</v>
      </c>
      <c r="E2911" t="s">
        <v>577</v>
      </c>
      <c r="F2911" t="s">
        <v>622</v>
      </c>
    </row>
    <row r="2912" spans="1:6" ht="13.2">
      <c r="A2912" t="s">
        <v>4828</v>
      </c>
      <c r="B2912">
        <v>30</v>
      </c>
      <c r="C2912" s="44">
        <v>1390</v>
      </c>
      <c r="D2912" t="s">
        <v>291</v>
      </c>
      <c r="E2912" t="s">
        <v>577</v>
      </c>
      <c r="F2912" t="s">
        <v>622</v>
      </c>
    </row>
    <row r="2913" spans="1:6" ht="13.2">
      <c r="A2913" t="s">
        <v>4829</v>
      </c>
      <c r="B2913">
        <v>30</v>
      </c>
      <c r="C2913" s="44">
        <v>1390</v>
      </c>
      <c r="D2913" t="s">
        <v>291</v>
      </c>
      <c r="E2913" t="s">
        <v>577</v>
      </c>
      <c r="F2913" t="s">
        <v>622</v>
      </c>
    </row>
    <row r="2914" spans="1:6" ht="13.2">
      <c r="A2914" t="s">
        <v>4830</v>
      </c>
      <c r="B2914">
        <v>30</v>
      </c>
      <c r="C2914" s="44">
        <v>1390</v>
      </c>
      <c r="D2914" t="s">
        <v>291</v>
      </c>
      <c r="E2914" t="s">
        <v>577</v>
      </c>
      <c r="F2914" t="s">
        <v>622</v>
      </c>
    </row>
    <row r="2915" spans="1:6" ht="13.2">
      <c r="A2915" t="s">
        <v>4832</v>
      </c>
      <c r="B2915">
        <v>30</v>
      </c>
      <c r="C2915" s="44">
        <v>1390</v>
      </c>
      <c r="D2915" t="s">
        <v>291</v>
      </c>
      <c r="E2915" t="s">
        <v>577</v>
      </c>
      <c r="F2915" t="s">
        <v>622</v>
      </c>
    </row>
    <row r="2916" spans="1:6" ht="13.2">
      <c r="A2916" t="s">
        <v>4831</v>
      </c>
      <c r="B2916">
        <v>30</v>
      </c>
      <c r="C2916" s="44">
        <v>1390</v>
      </c>
      <c r="D2916" t="s">
        <v>291</v>
      </c>
      <c r="E2916" t="s">
        <v>577</v>
      </c>
      <c r="F2916" t="s">
        <v>622</v>
      </c>
    </row>
    <row r="2917" spans="1:6" ht="13.2">
      <c r="A2917" t="s">
        <v>3517</v>
      </c>
      <c r="B2917">
        <v>430</v>
      </c>
      <c r="C2917" s="44">
        <v>1300</v>
      </c>
      <c r="D2917" t="s">
        <v>291</v>
      </c>
      <c r="E2917" t="s">
        <v>749</v>
      </c>
      <c r="F2917">
        <v>4</v>
      </c>
    </row>
    <row r="2918" spans="1:6" ht="13.2">
      <c r="A2918" t="s">
        <v>3516</v>
      </c>
      <c r="B2918">
        <v>430</v>
      </c>
      <c r="C2918" s="44">
        <v>1300</v>
      </c>
      <c r="D2918" t="s">
        <v>291</v>
      </c>
      <c r="E2918" t="s">
        <v>749</v>
      </c>
      <c r="F2918">
        <v>4</v>
      </c>
    </row>
    <row r="2919" spans="1:6" ht="13.2">
      <c r="A2919" t="s">
        <v>3518</v>
      </c>
      <c r="B2919">
        <v>430</v>
      </c>
      <c r="C2919" s="44">
        <v>1300</v>
      </c>
      <c r="D2919" t="s">
        <v>291</v>
      </c>
      <c r="E2919" t="s">
        <v>749</v>
      </c>
      <c r="F2919">
        <v>4</v>
      </c>
    </row>
    <row r="2920" spans="1:6" ht="13.2">
      <c r="A2920" t="s">
        <v>5655</v>
      </c>
      <c r="C2920" s="44">
        <v>3000</v>
      </c>
      <c r="D2920" t="s">
        <v>293</v>
      </c>
      <c r="E2920" t="s">
        <v>256</v>
      </c>
      <c r="F2920">
        <v>4</v>
      </c>
    </row>
    <row r="2921" spans="1:6" ht="13.2">
      <c r="A2921" t="s">
        <v>5656</v>
      </c>
      <c r="C2921" s="44">
        <v>3000</v>
      </c>
      <c r="D2921" t="s">
        <v>293</v>
      </c>
      <c r="E2921" t="s">
        <v>256</v>
      </c>
      <c r="F2921">
        <v>4</v>
      </c>
    </row>
    <row r="2922" spans="1:6" ht="13.2">
      <c r="A2922" t="s">
        <v>3228</v>
      </c>
      <c r="B2922">
        <v>180</v>
      </c>
      <c r="C2922" s="44">
        <v>1390</v>
      </c>
      <c r="D2922" t="s">
        <v>291</v>
      </c>
      <c r="E2922" t="s">
        <v>694</v>
      </c>
      <c r="F2922">
        <v>3</v>
      </c>
    </row>
    <row r="2923" spans="1:6" ht="13.2">
      <c r="A2923" t="s">
        <v>3226</v>
      </c>
      <c r="B2923">
        <v>180</v>
      </c>
      <c r="C2923" s="44">
        <v>1390</v>
      </c>
      <c r="D2923" t="s">
        <v>291</v>
      </c>
      <c r="E2923" t="s">
        <v>694</v>
      </c>
      <c r="F2923">
        <v>3</v>
      </c>
    </row>
    <row r="2924" spans="1:6" ht="13.2">
      <c r="A2924" t="s">
        <v>3229</v>
      </c>
      <c r="B2924">
        <v>180</v>
      </c>
      <c r="C2924" s="44">
        <v>1390</v>
      </c>
      <c r="D2924" t="s">
        <v>291</v>
      </c>
      <c r="E2924" t="s">
        <v>694</v>
      </c>
      <c r="F2924">
        <v>3</v>
      </c>
    </row>
    <row r="2925" spans="1:6" ht="13.2">
      <c r="A2925" t="s">
        <v>3230</v>
      </c>
      <c r="B2925">
        <v>180</v>
      </c>
      <c r="C2925" s="44">
        <v>1390</v>
      </c>
      <c r="D2925" t="s">
        <v>291</v>
      </c>
      <c r="E2925" t="s">
        <v>694</v>
      </c>
      <c r="F2925">
        <v>3</v>
      </c>
    </row>
    <row r="2926" spans="1:6" ht="13.2">
      <c r="A2926" t="s">
        <v>3225</v>
      </c>
      <c r="B2926">
        <v>180</v>
      </c>
      <c r="C2926" s="44">
        <v>1390</v>
      </c>
      <c r="D2926" t="s">
        <v>291</v>
      </c>
      <c r="E2926" t="s">
        <v>694</v>
      </c>
      <c r="F2926">
        <v>3</v>
      </c>
    </row>
    <row r="2927" spans="1:6" ht="13.2">
      <c r="A2927" t="s">
        <v>3227</v>
      </c>
      <c r="B2927">
        <v>180</v>
      </c>
      <c r="C2927" s="44">
        <v>1390</v>
      </c>
      <c r="D2927" t="s">
        <v>291</v>
      </c>
      <c r="E2927" t="s">
        <v>694</v>
      </c>
      <c r="F2927">
        <v>3</v>
      </c>
    </row>
    <row r="2928" spans="1:6" ht="13.2">
      <c r="A2928" t="s">
        <v>3210</v>
      </c>
      <c r="B2928">
        <v>630</v>
      </c>
      <c r="C2928" s="44">
        <v>1400</v>
      </c>
      <c r="D2928" t="s">
        <v>291</v>
      </c>
      <c r="E2928" t="s">
        <v>694</v>
      </c>
      <c r="F2928">
        <v>3</v>
      </c>
    </row>
    <row r="2929" spans="1:6" ht="13.2">
      <c r="A2929" t="s">
        <v>3208</v>
      </c>
      <c r="B2929">
        <v>630</v>
      </c>
      <c r="C2929" s="44">
        <v>1400</v>
      </c>
      <c r="D2929" t="s">
        <v>291</v>
      </c>
      <c r="E2929" t="s">
        <v>694</v>
      </c>
      <c r="F2929">
        <v>3</v>
      </c>
    </row>
    <row r="2930" spans="1:6" ht="13.2">
      <c r="A2930" t="s">
        <v>3211</v>
      </c>
      <c r="B2930">
        <v>630</v>
      </c>
      <c r="C2930" s="44">
        <v>1400</v>
      </c>
      <c r="D2930" t="s">
        <v>291</v>
      </c>
      <c r="E2930" t="s">
        <v>694</v>
      </c>
      <c r="F2930">
        <v>3</v>
      </c>
    </row>
    <row r="2931" spans="1:6" ht="13.2">
      <c r="A2931" t="s">
        <v>3212</v>
      </c>
      <c r="B2931">
        <v>630</v>
      </c>
      <c r="C2931" s="44">
        <v>1400</v>
      </c>
      <c r="D2931" t="s">
        <v>291</v>
      </c>
      <c r="E2931" t="s">
        <v>694</v>
      </c>
      <c r="F2931">
        <v>3</v>
      </c>
    </row>
    <row r="2932" spans="1:6" ht="13.2">
      <c r="A2932" t="s">
        <v>3207</v>
      </c>
      <c r="B2932">
        <v>630</v>
      </c>
      <c r="C2932" s="44">
        <v>1400</v>
      </c>
      <c r="D2932" t="s">
        <v>291</v>
      </c>
      <c r="E2932" t="s">
        <v>694</v>
      </c>
      <c r="F2932">
        <v>3</v>
      </c>
    </row>
    <row r="2933" spans="1:6" ht="13.2">
      <c r="A2933" t="s">
        <v>3209</v>
      </c>
      <c r="B2933">
        <v>630</v>
      </c>
      <c r="C2933" s="44">
        <v>1400</v>
      </c>
      <c r="D2933" t="s">
        <v>291</v>
      </c>
      <c r="E2933" t="s">
        <v>694</v>
      </c>
      <c r="F2933">
        <v>3</v>
      </c>
    </row>
    <row r="2934" spans="1:5" ht="13.2">
      <c r="A2934" t="s">
        <v>5586</v>
      </c>
      <c r="B2934">
        <v>180</v>
      </c>
      <c r="C2934" s="44">
        <v>1410</v>
      </c>
      <c r="D2934" t="s">
        <v>291</v>
      </c>
      <c r="E2934" t="s">
        <v>577</v>
      </c>
    </row>
    <row r="2935" spans="1:5" ht="13.2">
      <c r="A2935" t="s">
        <v>5587</v>
      </c>
      <c r="B2935">
        <v>180</v>
      </c>
      <c r="C2935" s="44">
        <v>1410</v>
      </c>
      <c r="D2935" t="s">
        <v>291</v>
      </c>
      <c r="E2935" t="s">
        <v>577</v>
      </c>
    </row>
    <row r="2936" spans="1:5" ht="13.2">
      <c r="A2936" t="s">
        <v>5588</v>
      </c>
      <c r="B2936">
        <v>180</v>
      </c>
      <c r="C2936" s="44">
        <v>1410</v>
      </c>
      <c r="D2936" t="s">
        <v>291</v>
      </c>
      <c r="E2936" t="s">
        <v>577</v>
      </c>
    </row>
    <row r="2937" spans="1:5" ht="13.2">
      <c r="A2937" t="s">
        <v>5589</v>
      </c>
      <c r="B2937">
        <v>180</v>
      </c>
      <c r="C2937" s="44">
        <v>1410</v>
      </c>
      <c r="D2937" t="s">
        <v>291</v>
      </c>
      <c r="E2937" t="s">
        <v>577</v>
      </c>
    </row>
    <row r="2938" spans="1:5" ht="13.2">
      <c r="A2938" t="s">
        <v>5590</v>
      </c>
      <c r="B2938">
        <v>180</v>
      </c>
      <c r="C2938" s="44">
        <v>1410</v>
      </c>
      <c r="D2938" t="s">
        <v>291</v>
      </c>
      <c r="E2938" t="s">
        <v>577</v>
      </c>
    </row>
    <row r="2939" spans="1:5" ht="13.2">
      <c r="A2939" t="s">
        <v>5591</v>
      </c>
      <c r="B2939">
        <v>180</v>
      </c>
      <c r="C2939" s="44">
        <v>1410</v>
      </c>
      <c r="D2939" t="s">
        <v>291</v>
      </c>
      <c r="E2939" t="s">
        <v>577</v>
      </c>
    </row>
    <row r="2940" spans="1:5" ht="13.2">
      <c r="A2940" t="s">
        <v>5592</v>
      </c>
      <c r="B2940">
        <v>180</v>
      </c>
      <c r="C2940" s="44">
        <v>1410</v>
      </c>
      <c r="D2940" t="s">
        <v>291</v>
      </c>
      <c r="E2940" t="s">
        <v>577</v>
      </c>
    </row>
    <row r="2941" spans="1:5" ht="13.2">
      <c r="A2941" t="s">
        <v>5593</v>
      </c>
      <c r="B2941">
        <v>180</v>
      </c>
      <c r="C2941" s="44">
        <v>1410</v>
      </c>
      <c r="D2941" t="s">
        <v>291</v>
      </c>
      <c r="E2941" t="s">
        <v>577</v>
      </c>
    </row>
    <row r="2942" spans="1:5" ht="13.2">
      <c r="A2942" t="s">
        <v>5594</v>
      </c>
      <c r="B2942">
        <v>180</v>
      </c>
      <c r="C2942" s="44">
        <v>1410</v>
      </c>
      <c r="D2942" t="s">
        <v>291</v>
      </c>
      <c r="E2942" t="s">
        <v>577</v>
      </c>
    </row>
    <row r="2943" spans="1:5" ht="13.2">
      <c r="A2943" t="s">
        <v>5595</v>
      </c>
      <c r="B2943">
        <v>180</v>
      </c>
      <c r="C2943" s="44">
        <v>1410</v>
      </c>
      <c r="D2943" t="s">
        <v>291</v>
      </c>
      <c r="E2943" t="s">
        <v>577</v>
      </c>
    </row>
    <row r="2944" spans="1:5" ht="13.2">
      <c r="A2944" t="s">
        <v>5596</v>
      </c>
      <c r="B2944">
        <v>180</v>
      </c>
      <c r="C2944" s="44">
        <v>1410</v>
      </c>
      <c r="D2944" t="s">
        <v>291</v>
      </c>
      <c r="E2944" t="s">
        <v>577</v>
      </c>
    </row>
    <row r="2945" spans="1:5" ht="13.2">
      <c r="A2945" t="s">
        <v>5597</v>
      </c>
      <c r="B2945">
        <v>30</v>
      </c>
      <c r="C2945" s="44">
        <v>1350</v>
      </c>
      <c r="D2945" t="s">
        <v>291</v>
      </c>
      <c r="E2945" t="s">
        <v>5528</v>
      </c>
    </row>
    <row r="2946" spans="1:5" ht="13.2">
      <c r="A2946" t="s">
        <v>5598</v>
      </c>
      <c r="B2946">
        <v>30</v>
      </c>
      <c r="C2946" s="44">
        <v>1350</v>
      </c>
      <c r="D2946" t="s">
        <v>291</v>
      </c>
      <c r="E2946" t="s">
        <v>5528</v>
      </c>
    </row>
    <row r="2947" spans="1:5" ht="13.2">
      <c r="A2947" t="s">
        <v>5599</v>
      </c>
      <c r="B2947">
        <v>30</v>
      </c>
      <c r="C2947" s="44">
        <v>1350</v>
      </c>
      <c r="D2947" t="s">
        <v>291</v>
      </c>
      <c r="E2947" t="s">
        <v>5528</v>
      </c>
    </row>
    <row r="2948" spans="1:5" ht="13.2">
      <c r="A2948" t="s">
        <v>5600</v>
      </c>
      <c r="B2948">
        <v>30</v>
      </c>
      <c r="C2948" s="44">
        <v>1350</v>
      </c>
      <c r="D2948" t="s">
        <v>291</v>
      </c>
      <c r="E2948" t="s">
        <v>5528</v>
      </c>
    </row>
    <row r="2949" spans="1:6" ht="13.2">
      <c r="A2949" t="s">
        <v>5057</v>
      </c>
      <c r="B2949">
        <v>450</v>
      </c>
      <c r="C2949" s="44">
        <v>1400</v>
      </c>
      <c r="D2949" t="s">
        <v>291</v>
      </c>
      <c r="E2949" t="s">
        <v>5047</v>
      </c>
      <c r="F2949">
        <v>4</v>
      </c>
    </row>
    <row r="2950" spans="1:6" ht="13.2">
      <c r="A2950" t="s">
        <v>5058</v>
      </c>
      <c r="B2950">
        <v>450</v>
      </c>
      <c r="C2950" s="44">
        <v>1400</v>
      </c>
      <c r="D2950" t="s">
        <v>291</v>
      </c>
      <c r="E2950" t="s">
        <v>5047</v>
      </c>
      <c r="F2950">
        <v>4</v>
      </c>
    </row>
    <row r="2951" spans="1:6" ht="13.2">
      <c r="A2951" t="s">
        <v>5059</v>
      </c>
      <c r="B2951">
        <v>450</v>
      </c>
      <c r="C2951" s="44">
        <v>1400</v>
      </c>
      <c r="D2951" t="s">
        <v>291</v>
      </c>
      <c r="E2951" t="s">
        <v>5047</v>
      </c>
      <c r="F2951">
        <v>4</v>
      </c>
    </row>
    <row r="2952" spans="1:6" ht="13.2">
      <c r="A2952" t="s">
        <v>5060</v>
      </c>
      <c r="B2952">
        <v>450</v>
      </c>
      <c r="C2952" s="44">
        <v>1400</v>
      </c>
      <c r="D2952" t="s">
        <v>291</v>
      </c>
      <c r="E2952" t="s">
        <v>5047</v>
      </c>
      <c r="F2952">
        <v>4</v>
      </c>
    </row>
    <row r="2953" spans="1:6" ht="13.2">
      <c r="A2953" t="s">
        <v>5061</v>
      </c>
      <c r="B2953">
        <v>450</v>
      </c>
      <c r="C2953" s="44">
        <v>1400</v>
      </c>
      <c r="D2953" t="s">
        <v>291</v>
      </c>
      <c r="E2953" t="s">
        <v>5047</v>
      </c>
      <c r="F2953">
        <v>4</v>
      </c>
    </row>
    <row r="2954" spans="1:5" ht="13.2">
      <c r="A2954" t="s">
        <v>4612</v>
      </c>
      <c r="B2954">
        <v>340</v>
      </c>
      <c r="C2954" s="44">
        <v>1370</v>
      </c>
      <c r="D2954" t="s">
        <v>291</v>
      </c>
      <c r="E2954" t="s">
        <v>256</v>
      </c>
    </row>
    <row r="2955" spans="1:5" ht="13.2">
      <c r="A2955" t="s">
        <v>4613</v>
      </c>
      <c r="B2955">
        <v>340</v>
      </c>
      <c r="C2955" s="44">
        <v>1370</v>
      </c>
      <c r="D2955" t="s">
        <v>291</v>
      </c>
      <c r="E2955" t="s">
        <v>256</v>
      </c>
    </row>
    <row r="2956" spans="1:5" ht="13.2">
      <c r="A2956" t="s">
        <v>4614</v>
      </c>
      <c r="B2956">
        <v>340</v>
      </c>
      <c r="C2956" s="44">
        <v>1370</v>
      </c>
      <c r="D2956" t="s">
        <v>291</v>
      </c>
      <c r="E2956" t="s">
        <v>256</v>
      </c>
    </row>
    <row r="2957" spans="1:5" ht="13.2">
      <c r="A2957" t="s">
        <v>4615</v>
      </c>
      <c r="B2957">
        <v>340</v>
      </c>
      <c r="C2957" s="44">
        <v>1370</v>
      </c>
      <c r="D2957" t="s">
        <v>291</v>
      </c>
      <c r="E2957" t="s">
        <v>256</v>
      </c>
    </row>
    <row r="2958" spans="1:5" ht="13.2">
      <c r="A2958" t="s">
        <v>4616</v>
      </c>
      <c r="B2958">
        <v>340</v>
      </c>
      <c r="C2958" s="44">
        <v>1370</v>
      </c>
      <c r="D2958" t="s">
        <v>291</v>
      </c>
      <c r="E2958" t="s">
        <v>256</v>
      </c>
    </row>
    <row r="2959" spans="1:5" ht="13.2">
      <c r="A2959" t="s">
        <v>4617</v>
      </c>
      <c r="B2959">
        <v>340</v>
      </c>
      <c r="C2959" s="44">
        <v>1370</v>
      </c>
      <c r="D2959" t="s">
        <v>291</v>
      </c>
      <c r="E2959" t="s">
        <v>256</v>
      </c>
    </row>
    <row r="2960" spans="1:5" ht="13.2">
      <c r="A2960" t="s">
        <v>4618</v>
      </c>
      <c r="B2960">
        <v>340</v>
      </c>
      <c r="C2960" s="44">
        <v>1370</v>
      </c>
      <c r="D2960" t="s">
        <v>291</v>
      </c>
      <c r="E2960" t="s">
        <v>256</v>
      </c>
    </row>
    <row r="2961" spans="1:5" ht="13.2">
      <c r="A2961" t="s">
        <v>4619</v>
      </c>
      <c r="B2961">
        <v>340</v>
      </c>
      <c r="C2961" s="44">
        <v>1370</v>
      </c>
      <c r="D2961" t="s">
        <v>291</v>
      </c>
      <c r="E2961" t="s">
        <v>256</v>
      </c>
    </row>
    <row r="2962" spans="1:5" ht="13.2">
      <c r="A2962" t="s">
        <v>4620</v>
      </c>
      <c r="B2962">
        <v>340</v>
      </c>
      <c r="C2962" s="44">
        <v>1370</v>
      </c>
      <c r="D2962" t="s">
        <v>291</v>
      </c>
      <c r="E2962" t="s">
        <v>256</v>
      </c>
    </row>
    <row r="2963" spans="1:5" ht="13.2">
      <c r="A2963" t="s">
        <v>4621</v>
      </c>
      <c r="B2963">
        <v>340</v>
      </c>
      <c r="C2963" s="44">
        <v>1370</v>
      </c>
      <c r="D2963" t="s">
        <v>291</v>
      </c>
      <c r="E2963" t="s">
        <v>256</v>
      </c>
    </row>
    <row r="2964" spans="1:5" ht="13.2">
      <c r="A2964" t="s">
        <v>4622</v>
      </c>
      <c r="B2964">
        <v>340</v>
      </c>
      <c r="C2964" s="44">
        <v>1370</v>
      </c>
      <c r="D2964" t="s">
        <v>291</v>
      </c>
      <c r="E2964" t="s">
        <v>256</v>
      </c>
    </row>
    <row r="2965" spans="1:5" ht="13.2">
      <c r="A2965" t="s">
        <v>4625</v>
      </c>
      <c r="B2965">
        <v>340</v>
      </c>
      <c r="C2965" s="44">
        <v>1370</v>
      </c>
      <c r="D2965" t="s">
        <v>291</v>
      </c>
      <c r="E2965" t="s">
        <v>256</v>
      </c>
    </row>
    <row r="2966" spans="1:5" ht="13.2">
      <c r="A2966" t="s">
        <v>4623</v>
      </c>
      <c r="B2966">
        <v>340</v>
      </c>
      <c r="C2966" s="44">
        <v>1370</v>
      </c>
      <c r="D2966" t="s">
        <v>291</v>
      </c>
      <c r="E2966" t="s">
        <v>256</v>
      </c>
    </row>
    <row r="2967" spans="1:5" ht="13.2">
      <c r="A2967" t="s">
        <v>4624</v>
      </c>
      <c r="B2967">
        <v>340</v>
      </c>
      <c r="C2967" s="44">
        <v>1370</v>
      </c>
      <c r="D2967" t="s">
        <v>291</v>
      </c>
      <c r="E2967" t="s">
        <v>256</v>
      </c>
    </row>
    <row r="2968" spans="1:6" ht="13.2">
      <c r="A2968" t="s">
        <v>5978</v>
      </c>
      <c r="B2968">
        <v>0</v>
      </c>
      <c r="C2968" s="44">
        <v>2800</v>
      </c>
      <c r="D2968" t="s">
        <v>293</v>
      </c>
      <c r="E2968" t="s">
        <v>256</v>
      </c>
      <c r="F2968">
        <v>4</v>
      </c>
    </row>
    <row r="2969" spans="1:6" ht="13.2">
      <c r="A2969" t="s">
        <v>5979</v>
      </c>
      <c r="B2969">
        <v>0</v>
      </c>
      <c r="C2969" s="44">
        <v>2800</v>
      </c>
      <c r="D2969" t="s">
        <v>293</v>
      </c>
      <c r="E2969" t="s">
        <v>256</v>
      </c>
      <c r="F2969">
        <v>4</v>
      </c>
    </row>
    <row r="2970" spans="1:6" ht="13.2">
      <c r="A2970" t="s">
        <v>5980</v>
      </c>
      <c r="B2970">
        <v>0</v>
      </c>
      <c r="C2970" s="44">
        <v>2800</v>
      </c>
      <c r="D2970" t="s">
        <v>293</v>
      </c>
      <c r="E2970" t="s">
        <v>256</v>
      </c>
      <c r="F2970">
        <v>4</v>
      </c>
    </row>
    <row r="2971" spans="1:6" ht="13.2">
      <c r="A2971" t="s">
        <v>5981</v>
      </c>
      <c r="B2971">
        <v>0</v>
      </c>
      <c r="C2971" s="44">
        <v>2800</v>
      </c>
      <c r="D2971" t="s">
        <v>293</v>
      </c>
      <c r="E2971" t="s">
        <v>256</v>
      </c>
      <c r="F2971">
        <v>4</v>
      </c>
    </row>
    <row r="2972" spans="1:6" ht="13.2">
      <c r="A2972" t="s">
        <v>5982</v>
      </c>
      <c r="B2972">
        <v>0</v>
      </c>
      <c r="C2972" s="44">
        <v>2800</v>
      </c>
      <c r="D2972" t="s">
        <v>293</v>
      </c>
      <c r="E2972" t="s">
        <v>256</v>
      </c>
      <c r="F2972">
        <v>4</v>
      </c>
    </row>
    <row r="2973" spans="1:6" ht="13.2">
      <c r="A2973" t="s">
        <v>5983</v>
      </c>
      <c r="B2973">
        <v>0</v>
      </c>
      <c r="C2973" s="44">
        <v>2800</v>
      </c>
      <c r="D2973" t="s">
        <v>293</v>
      </c>
      <c r="E2973" t="s">
        <v>256</v>
      </c>
      <c r="F2973">
        <v>4</v>
      </c>
    </row>
    <row r="2974" spans="1:6" ht="13.2">
      <c r="A2974" t="s">
        <v>5984</v>
      </c>
      <c r="B2974">
        <v>0</v>
      </c>
      <c r="C2974" s="44">
        <v>2800</v>
      </c>
      <c r="D2974" t="s">
        <v>293</v>
      </c>
      <c r="E2974" t="s">
        <v>256</v>
      </c>
      <c r="F2974">
        <v>4</v>
      </c>
    </row>
    <row r="2975" spans="1:6" ht="13.2">
      <c r="A2975" t="s">
        <v>5985</v>
      </c>
      <c r="B2975">
        <v>0</v>
      </c>
      <c r="C2975" s="44">
        <v>2800</v>
      </c>
      <c r="D2975" t="s">
        <v>293</v>
      </c>
      <c r="E2975" t="s">
        <v>256</v>
      </c>
      <c r="F2975">
        <v>4</v>
      </c>
    </row>
    <row r="2976" spans="1:6" ht="13.2">
      <c r="A2976" t="s">
        <v>5986</v>
      </c>
      <c r="B2976">
        <v>0</v>
      </c>
      <c r="C2976" s="44">
        <v>2800</v>
      </c>
      <c r="D2976" t="s">
        <v>293</v>
      </c>
      <c r="E2976" t="s">
        <v>256</v>
      </c>
      <c r="F2976">
        <v>4</v>
      </c>
    </row>
    <row r="2977" spans="1:6" ht="13.2">
      <c r="A2977" t="s">
        <v>5987</v>
      </c>
      <c r="B2977">
        <v>0</v>
      </c>
      <c r="C2977" s="44">
        <v>2800</v>
      </c>
      <c r="D2977" t="s">
        <v>293</v>
      </c>
      <c r="E2977" t="s">
        <v>256</v>
      </c>
      <c r="F2977">
        <v>4</v>
      </c>
    </row>
    <row r="2978" spans="1:6" ht="13.2">
      <c r="A2978" t="s">
        <v>5988</v>
      </c>
      <c r="B2978">
        <v>0</v>
      </c>
      <c r="C2978" s="44">
        <v>2800</v>
      </c>
      <c r="D2978" t="s">
        <v>293</v>
      </c>
      <c r="E2978" t="s">
        <v>256</v>
      </c>
      <c r="F2978">
        <v>4</v>
      </c>
    </row>
    <row r="2979" spans="1:6" ht="13.2">
      <c r="A2979" t="s">
        <v>5989</v>
      </c>
      <c r="B2979">
        <v>0</v>
      </c>
      <c r="C2979" s="44">
        <v>2800</v>
      </c>
      <c r="D2979" t="s">
        <v>293</v>
      </c>
      <c r="E2979" t="s">
        <v>256</v>
      </c>
      <c r="F2979">
        <v>4</v>
      </c>
    </row>
    <row r="2980" spans="1:6" ht="13.2">
      <c r="A2980" t="s">
        <v>5990</v>
      </c>
      <c r="B2980">
        <v>0</v>
      </c>
      <c r="C2980" s="44">
        <v>2800</v>
      </c>
      <c r="D2980" t="s">
        <v>293</v>
      </c>
      <c r="E2980" t="s">
        <v>256</v>
      </c>
      <c r="F2980">
        <v>4</v>
      </c>
    </row>
    <row r="2981" spans="1:6" ht="13.2">
      <c r="A2981" t="s">
        <v>5991</v>
      </c>
      <c r="B2981">
        <v>0</v>
      </c>
      <c r="C2981" s="44">
        <v>2800</v>
      </c>
      <c r="D2981" t="s">
        <v>293</v>
      </c>
      <c r="E2981" t="s">
        <v>256</v>
      </c>
      <c r="F2981">
        <v>4</v>
      </c>
    </row>
    <row r="2982" spans="1:6" ht="13.2">
      <c r="A2982" t="s">
        <v>5992</v>
      </c>
      <c r="B2982">
        <v>0</v>
      </c>
      <c r="C2982" s="44">
        <v>2800</v>
      </c>
      <c r="D2982" t="s">
        <v>293</v>
      </c>
      <c r="E2982" t="s">
        <v>256</v>
      </c>
      <c r="F2982">
        <v>4</v>
      </c>
    </row>
    <row r="2983" spans="1:6" ht="13.2">
      <c r="A2983" t="s">
        <v>5993</v>
      </c>
      <c r="B2983">
        <v>0</v>
      </c>
      <c r="C2983" s="44">
        <v>2800</v>
      </c>
      <c r="D2983" t="s">
        <v>293</v>
      </c>
      <c r="E2983" t="s">
        <v>256</v>
      </c>
      <c r="F2983">
        <v>4</v>
      </c>
    </row>
    <row r="2984" spans="1:6" ht="13.2">
      <c r="A2984" t="s">
        <v>5994</v>
      </c>
      <c r="B2984">
        <v>0</v>
      </c>
      <c r="C2984" s="44">
        <v>2800</v>
      </c>
      <c r="D2984" t="s">
        <v>293</v>
      </c>
      <c r="E2984" t="s">
        <v>256</v>
      </c>
      <c r="F2984">
        <v>4</v>
      </c>
    </row>
    <row r="2985" spans="1:6" ht="13.2">
      <c r="A2985" t="s">
        <v>5995</v>
      </c>
      <c r="B2985">
        <v>0</v>
      </c>
      <c r="C2985" s="44">
        <v>2800</v>
      </c>
      <c r="D2985" t="s">
        <v>293</v>
      </c>
      <c r="E2985" t="s">
        <v>256</v>
      </c>
      <c r="F2985">
        <v>4</v>
      </c>
    </row>
    <row r="2986" spans="1:6" ht="13.2">
      <c r="A2986" t="s">
        <v>5996</v>
      </c>
      <c r="B2986">
        <v>0</v>
      </c>
      <c r="C2986" s="44">
        <v>2800</v>
      </c>
      <c r="D2986" t="s">
        <v>293</v>
      </c>
      <c r="E2986" t="s">
        <v>256</v>
      </c>
      <c r="F2986">
        <v>4</v>
      </c>
    </row>
    <row r="2987" spans="1:6" ht="13.2">
      <c r="A2987" t="s">
        <v>5997</v>
      </c>
      <c r="B2987">
        <v>0</v>
      </c>
      <c r="C2987" s="44">
        <v>2800</v>
      </c>
      <c r="D2987" t="s">
        <v>293</v>
      </c>
      <c r="E2987" t="s">
        <v>256</v>
      </c>
      <c r="F2987">
        <v>4</v>
      </c>
    </row>
    <row r="2988" spans="1:6" ht="13.2">
      <c r="A2988" t="s">
        <v>5998</v>
      </c>
      <c r="B2988">
        <v>0</v>
      </c>
      <c r="C2988" s="44">
        <v>2800</v>
      </c>
      <c r="D2988" t="s">
        <v>293</v>
      </c>
      <c r="E2988" t="s">
        <v>256</v>
      </c>
      <c r="F2988">
        <v>4</v>
      </c>
    </row>
    <row r="2989" spans="1:6" ht="13.2">
      <c r="A2989" t="s">
        <v>5999</v>
      </c>
      <c r="B2989">
        <v>0</v>
      </c>
      <c r="C2989" s="44">
        <v>2800</v>
      </c>
      <c r="D2989" t="s">
        <v>293</v>
      </c>
      <c r="E2989" t="s">
        <v>256</v>
      </c>
      <c r="F2989">
        <v>4</v>
      </c>
    </row>
    <row r="2990" spans="1:6" ht="13.2">
      <c r="A2990" t="s">
        <v>6000</v>
      </c>
      <c r="B2990">
        <v>0</v>
      </c>
      <c r="C2990" s="44">
        <v>2800</v>
      </c>
      <c r="D2990" t="s">
        <v>293</v>
      </c>
      <c r="E2990" t="s">
        <v>256</v>
      </c>
      <c r="F2990">
        <v>4</v>
      </c>
    </row>
    <row r="2991" spans="1:6" ht="13.2">
      <c r="A2991" t="s">
        <v>6001</v>
      </c>
      <c r="B2991">
        <v>0</v>
      </c>
      <c r="C2991" s="44">
        <v>2800</v>
      </c>
      <c r="D2991" t="s">
        <v>293</v>
      </c>
      <c r="E2991" t="s">
        <v>256</v>
      </c>
      <c r="F2991">
        <v>4</v>
      </c>
    </row>
    <row r="2992" spans="1:6" ht="13.2">
      <c r="A2992" t="s">
        <v>6002</v>
      </c>
      <c r="B2992">
        <v>0</v>
      </c>
      <c r="C2992" s="44">
        <v>2800</v>
      </c>
      <c r="D2992" t="s">
        <v>293</v>
      </c>
      <c r="E2992" t="s">
        <v>256</v>
      </c>
      <c r="F2992">
        <v>4</v>
      </c>
    </row>
    <row r="2993" spans="1:6" ht="13.2">
      <c r="A2993" t="s">
        <v>6003</v>
      </c>
      <c r="B2993">
        <v>0</v>
      </c>
      <c r="C2993" s="44">
        <v>2800</v>
      </c>
      <c r="D2993" t="s">
        <v>293</v>
      </c>
      <c r="E2993" t="s">
        <v>256</v>
      </c>
      <c r="F2993">
        <v>4</v>
      </c>
    </row>
    <row r="2994" spans="1:6" ht="13.2">
      <c r="A2994" t="s">
        <v>6004</v>
      </c>
      <c r="B2994">
        <v>0</v>
      </c>
      <c r="C2994" s="44">
        <v>2800</v>
      </c>
      <c r="D2994" t="s">
        <v>293</v>
      </c>
      <c r="E2994" t="s">
        <v>256</v>
      </c>
      <c r="F2994">
        <v>4</v>
      </c>
    </row>
    <row r="2995" spans="1:6" ht="13.2">
      <c r="A2995" t="s">
        <v>6005</v>
      </c>
      <c r="B2995">
        <v>0</v>
      </c>
      <c r="C2995" s="44">
        <v>2800</v>
      </c>
      <c r="D2995" t="s">
        <v>293</v>
      </c>
      <c r="E2995" t="s">
        <v>256</v>
      </c>
      <c r="F2995">
        <v>4</v>
      </c>
    </row>
    <row r="2996" spans="1:6" ht="13.2">
      <c r="A2996" t="s">
        <v>6006</v>
      </c>
      <c r="B2996">
        <v>0</v>
      </c>
      <c r="C2996" s="44">
        <v>2800</v>
      </c>
      <c r="D2996" t="s">
        <v>293</v>
      </c>
      <c r="E2996" t="s">
        <v>256</v>
      </c>
      <c r="F2996">
        <v>4</v>
      </c>
    </row>
    <row r="2997" spans="1:6" ht="13.2">
      <c r="A2997" t="s">
        <v>6007</v>
      </c>
      <c r="B2997">
        <v>0</v>
      </c>
      <c r="C2997" s="44">
        <v>2800</v>
      </c>
      <c r="D2997" t="s">
        <v>293</v>
      </c>
      <c r="E2997" t="s">
        <v>256</v>
      </c>
      <c r="F2997">
        <v>4</v>
      </c>
    </row>
    <row r="2998" spans="1:6" ht="13.2">
      <c r="A2998" t="s">
        <v>6008</v>
      </c>
      <c r="B2998">
        <v>0</v>
      </c>
      <c r="C2998" s="44">
        <v>2800</v>
      </c>
      <c r="D2998" t="s">
        <v>293</v>
      </c>
      <c r="E2998" t="s">
        <v>256</v>
      </c>
      <c r="F2998">
        <v>4</v>
      </c>
    </row>
    <row r="2999" spans="1:6" ht="13.2">
      <c r="A2999" t="s">
        <v>6009</v>
      </c>
      <c r="B2999">
        <v>0</v>
      </c>
      <c r="C2999" s="44">
        <v>2800</v>
      </c>
      <c r="D2999" t="s">
        <v>293</v>
      </c>
      <c r="E2999" t="s">
        <v>256</v>
      </c>
      <c r="F2999">
        <v>4</v>
      </c>
    </row>
    <row r="3000" spans="1:6" ht="13.2">
      <c r="A3000" t="s">
        <v>6010</v>
      </c>
      <c r="B3000">
        <v>0</v>
      </c>
      <c r="C3000" s="44">
        <v>2800</v>
      </c>
      <c r="D3000" t="s">
        <v>293</v>
      </c>
      <c r="E3000" t="s">
        <v>256</v>
      </c>
      <c r="F3000">
        <v>4</v>
      </c>
    </row>
    <row r="3001" spans="1:6" ht="13.2">
      <c r="A3001" t="s">
        <v>6011</v>
      </c>
      <c r="B3001">
        <v>0</v>
      </c>
      <c r="C3001" s="44">
        <v>2800</v>
      </c>
      <c r="D3001" t="s">
        <v>293</v>
      </c>
      <c r="E3001" t="s">
        <v>256</v>
      </c>
      <c r="F3001">
        <v>4</v>
      </c>
    </row>
    <row r="3002" spans="1:6" ht="13.2">
      <c r="A3002" t="s">
        <v>6012</v>
      </c>
      <c r="B3002">
        <v>0</v>
      </c>
      <c r="C3002" s="44">
        <v>2800</v>
      </c>
      <c r="D3002" t="s">
        <v>293</v>
      </c>
      <c r="E3002" t="s">
        <v>256</v>
      </c>
      <c r="F3002">
        <v>4</v>
      </c>
    </row>
    <row r="3003" spans="1:6" ht="13.2">
      <c r="A3003" t="s">
        <v>6013</v>
      </c>
      <c r="B3003">
        <v>0</v>
      </c>
      <c r="C3003" s="44">
        <v>2800</v>
      </c>
      <c r="D3003" t="s">
        <v>293</v>
      </c>
      <c r="E3003" t="s">
        <v>256</v>
      </c>
      <c r="F3003">
        <v>4</v>
      </c>
    </row>
    <row r="3004" spans="1:6" ht="13.2">
      <c r="A3004" t="s">
        <v>6014</v>
      </c>
      <c r="B3004">
        <v>0</v>
      </c>
      <c r="C3004" s="44">
        <v>2800</v>
      </c>
      <c r="D3004" t="s">
        <v>293</v>
      </c>
      <c r="E3004" t="s">
        <v>256</v>
      </c>
      <c r="F3004">
        <v>4</v>
      </c>
    </row>
    <row r="3005" spans="1:6" ht="13.2">
      <c r="A3005" t="s">
        <v>6015</v>
      </c>
      <c r="B3005">
        <v>0</v>
      </c>
      <c r="C3005" s="44">
        <v>2800</v>
      </c>
      <c r="D3005" t="s">
        <v>293</v>
      </c>
      <c r="E3005" t="s">
        <v>256</v>
      </c>
      <c r="F3005">
        <v>4</v>
      </c>
    </row>
    <row r="3006" spans="1:6" ht="13.2">
      <c r="A3006" t="s">
        <v>6016</v>
      </c>
      <c r="B3006">
        <v>0</v>
      </c>
      <c r="C3006" s="44">
        <v>2800</v>
      </c>
      <c r="D3006" t="s">
        <v>293</v>
      </c>
      <c r="E3006" t="s">
        <v>256</v>
      </c>
      <c r="F3006">
        <v>4</v>
      </c>
    </row>
    <row r="3007" spans="1:6" ht="13.2">
      <c r="A3007" t="s">
        <v>6017</v>
      </c>
      <c r="B3007">
        <v>0</v>
      </c>
      <c r="C3007" s="44">
        <v>2800</v>
      </c>
      <c r="D3007" t="s">
        <v>293</v>
      </c>
      <c r="E3007" t="s">
        <v>256</v>
      </c>
      <c r="F3007">
        <v>4</v>
      </c>
    </row>
    <row r="3008" spans="1:6" ht="13.2">
      <c r="A3008" t="s">
        <v>6018</v>
      </c>
      <c r="B3008">
        <v>0</v>
      </c>
      <c r="C3008" s="44">
        <v>2800</v>
      </c>
      <c r="D3008" t="s">
        <v>293</v>
      </c>
      <c r="E3008" t="s">
        <v>256</v>
      </c>
      <c r="F3008">
        <v>4</v>
      </c>
    </row>
    <row r="3009" spans="1:6" ht="13.2">
      <c r="A3009" t="s">
        <v>6019</v>
      </c>
      <c r="B3009">
        <v>0</v>
      </c>
      <c r="C3009" s="44">
        <v>2800</v>
      </c>
      <c r="D3009" t="s">
        <v>293</v>
      </c>
      <c r="E3009" t="s">
        <v>256</v>
      </c>
      <c r="F3009">
        <v>4</v>
      </c>
    </row>
    <row r="3010" spans="1:6" ht="13.2">
      <c r="A3010" t="s">
        <v>6020</v>
      </c>
      <c r="B3010">
        <v>0</v>
      </c>
      <c r="C3010" s="44">
        <v>2800</v>
      </c>
      <c r="D3010" t="s">
        <v>293</v>
      </c>
      <c r="E3010" t="s">
        <v>256</v>
      </c>
      <c r="F3010">
        <v>4</v>
      </c>
    </row>
    <row r="3011" spans="1:6" ht="13.2">
      <c r="A3011" t="s">
        <v>6021</v>
      </c>
      <c r="B3011">
        <v>0</v>
      </c>
      <c r="C3011" s="44">
        <v>2800</v>
      </c>
      <c r="D3011" t="s">
        <v>293</v>
      </c>
      <c r="E3011" t="s">
        <v>256</v>
      </c>
      <c r="F3011">
        <v>4</v>
      </c>
    </row>
    <row r="3012" spans="1:6" ht="13.2">
      <c r="A3012" t="s">
        <v>6022</v>
      </c>
      <c r="B3012">
        <v>0</v>
      </c>
      <c r="C3012" s="44">
        <v>2800</v>
      </c>
      <c r="D3012" t="s">
        <v>293</v>
      </c>
      <c r="E3012" t="s">
        <v>256</v>
      </c>
      <c r="F3012">
        <v>4</v>
      </c>
    </row>
    <row r="3013" spans="1:6" ht="13.2">
      <c r="A3013" t="s">
        <v>6023</v>
      </c>
      <c r="B3013">
        <v>0</v>
      </c>
      <c r="C3013" s="44">
        <v>2800</v>
      </c>
      <c r="D3013" t="s">
        <v>293</v>
      </c>
      <c r="E3013" t="s">
        <v>256</v>
      </c>
      <c r="F3013">
        <v>4</v>
      </c>
    </row>
    <row r="3014" spans="1:6" ht="13.2">
      <c r="A3014" t="s">
        <v>6024</v>
      </c>
      <c r="B3014">
        <v>0</v>
      </c>
      <c r="C3014" s="44">
        <v>2800</v>
      </c>
      <c r="D3014" t="s">
        <v>293</v>
      </c>
      <c r="E3014" t="s">
        <v>256</v>
      </c>
      <c r="F3014">
        <v>4</v>
      </c>
    </row>
    <row r="3015" spans="1:6" ht="13.2">
      <c r="A3015" t="s">
        <v>6025</v>
      </c>
      <c r="B3015">
        <v>0</v>
      </c>
      <c r="C3015" s="44">
        <v>2800</v>
      </c>
      <c r="D3015" t="s">
        <v>293</v>
      </c>
      <c r="E3015" t="s">
        <v>256</v>
      </c>
      <c r="F3015">
        <v>4</v>
      </c>
    </row>
    <row r="3016" spans="1:6" ht="13.2">
      <c r="A3016" t="s">
        <v>6026</v>
      </c>
      <c r="B3016">
        <v>0</v>
      </c>
      <c r="C3016" s="44">
        <v>2800</v>
      </c>
      <c r="D3016" t="s">
        <v>293</v>
      </c>
      <c r="E3016" t="s">
        <v>256</v>
      </c>
      <c r="F3016">
        <v>4</v>
      </c>
    </row>
    <row r="3017" spans="1:6" ht="13.2">
      <c r="A3017" t="s">
        <v>6027</v>
      </c>
      <c r="B3017">
        <v>0</v>
      </c>
      <c r="C3017" s="44">
        <v>2800</v>
      </c>
      <c r="D3017" t="s">
        <v>293</v>
      </c>
      <c r="E3017" t="s">
        <v>256</v>
      </c>
      <c r="F3017">
        <v>4</v>
      </c>
    </row>
    <row r="3018" spans="1:6" ht="13.2">
      <c r="A3018" t="s">
        <v>6028</v>
      </c>
      <c r="B3018">
        <v>0</v>
      </c>
      <c r="C3018" s="44">
        <v>2800</v>
      </c>
      <c r="D3018" t="s">
        <v>293</v>
      </c>
      <c r="E3018" t="s">
        <v>256</v>
      </c>
      <c r="F3018">
        <v>4</v>
      </c>
    </row>
    <row r="3019" spans="1:6" ht="13.2">
      <c r="A3019" t="s">
        <v>6029</v>
      </c>
      <c r="B3019">
        <v>0</v>
      </c>
      <c r="C3019" s="44">
        <v>2800</v>
      </c>
      <c r="D3019" t="s">
        <v>293</v>
      </c>
      <c r="E3019" t="s">
        <v>256</v>
      </c>
      <c r="F3019">
        <v>4</v>
      </c>
    </row>
    <row r="3020" spans="1:6" ht="13.2">
      <c r="A3020" t="s">
        <v>6030</v>
      </c>
      <c r="B3020">
        <v>0</v>
      </c>
      <c r="C3020" s="44">
        <v>2800</v>
      </c>
      <c r="D3020" t="s">
        <v>293</v>
      </c>
      <c r="E3020" t="s">
        <v>256</v>
      </c>
      <c r="F3020">
        <v>4</v>
      </c>
    </row>
    <row r="3021" spans="1:6" ht="13.2">
      <c r="A3021" t="s">
        <v>6031</v>
      </c>
      <c r="B3021">
        <v>0</v>
      </c>
      <c r="C3021" s="44">
        <v>2800</v>
      </c>
      <c r="D3021" t="s">
        <v>293</v>
      </c>
      <c r="E3021" t="s">
        <v>256</v>
      </c>
      <c r="F3021">
        <v>4</v>
      </c>
    </row>
    <row r="3022" spans="1:6" ht="13.2">
      <c r="A3022" t="s">
        <v>5052</v>
      </c>
      <c r="B3022">
        <v>680</v>
      </c>
      <c r="C3022" s="44">
        <v>1400</v>
      </c>
      <c r="D3022" t="s">
        <v>291</v>
      </c>
      <c r="E3022" t="s">
        <v>5047</v>
      </c>
      <c r="F3022">
        <v>4</v>
      </c>
    </row>
    <row r="3023" spans="1:6" ht="13.2">
      <c r="A3023" t="s">
        <v>5053</v>
      </c>
      <c r="B3023">
        <v>680</v>
      </c>
      <c r="C3023" s="44">
        <v>1400</v>
      </c>
      <c r="D3023" t="s">
        <v>291</v>
      </c>
      <c r="E3023" t="s">
        <v>5047</v>
      </c>
      <c r="F3023">
        <v>4</v>
      </c>
    </row>
    <row r="3024" spans="1:6" ht="13.2">
      <c r="A3024" t="s">
        <v>5054</v>
      </c>
      <c r="B3024">
        <v>680</v>
      </c>
      <c r="C3024" s="44">
        <v>1400</v>
      </c>
      <c r="D3024" t="s">
        <v>291</v>
      </c>
      <c r="E3024" t="s">
        <v>5047</v>
      </c>
      <c r="F3024">
        <v>4</v>
      </c>
    </row>
    <row r="3025" spans="1:6" ht="13.2">
      <c r="A3025" t="s">
        <v>5056</v>
      </c>
      <c r="B3025">
        <v>680</v>
      </c>
      <c r="C3025" s="44">
        <v>1400</v>
      </c>
      <c r="D3025" t="s">
        <v>291</v>
      </c>
      <c r="E3025" t="s">
        <v>5047</v>
      </c>
      <c r="F3025">
        <v>4</v>
      </c>
    </row>
    <row r="3026" spans="1:6" ht="13.2">
      <c r="A3026" t="s">
        <v>5055</v>
      </c>
      <c r="B3026">
        <v>680</v>
      </c>
      <c r="C3026" s="44">
        <v>1400</v>
      </c>
      <c r="D3026" t="s">
        <v>291</v>
      </c>
      <c r="E3026" t="s">
        <v>5047</v>
      </c>
      <c r="F3026">
        <v>4</v>
      </c>
    </row>
    <row r="3027" spans="1:5" ht="13.2">
      <c r="A3027" t="s">
        <v>5601</v>
      </c>
      <c r="B3027">
        <v>30</v>
      </c>
      <c r="C3027" s="44">
        <v>1350</v>
      </c>
      <c r="D3027" t="s">
        <v>291</v>
      </c>
      <c r="E3027" t="s">
        <v>5528</v>
      </c>
    </row>
    <row r="3028" spans="1:5" ht="13.2">
      <c r="A3028" t="s">
        <v>5602</v>
      </c>
      <c r="B3028">
        <v>30</v>
      </c>
      <c r="C3028" s="44">
        <v>1350</v>
      </c>
      <c r="D3028" t="s">
        <v>291</v>
      </c>
      <c r="E3028" t="s">
        <v>5528</v>
      </c>
    </row>
    <row r="3029" spans="1:5" ht="13.2">
      <c r="A3029" t="s">
        <v>5603</v>
      </c>
      <c r="B3029">
        <v>30</v>
      </c>
      <c r="C3029" s="44">
        <v>1350</v>
      </c>
      <c r="D3029" t="s">
        <v>291</v>
      </c>
      <c r="E3029" t="s">
        <v>5528</v>
      </c>
    </row>
    <row r="3030" spans="1:5" ht="13.2">
      <c r="A3030" t="s">
        <v>5604</v>
      </c>
      <c r="B3030">
        <v>30</v>
      </c>
      <c r="C3030" s="44">
        <v>1350</v>
      </c>
      <c r="D3030" t="s">
        <v>291</v>
      </c>
      <c r="E3030" t="s">
        <v>5528</v>
      </c>
    </row>
    <row r="3031" spans="1:5" ht="13.2">
      <c r="A3031" t="s">
        <v>5605</v>
      </c>
      <c r="B3031">
        <v>30</v>
      </c>
      <c r="C3031" s="44">
        <v>1350</v>
      </c>
      <c r="D3031" t="s">
        <v>291</v>
      </c>
      <c r="E3031" t="s">
        <v>5528</v>
      </c>
    </row>
    <row r="3032" spans="1:5" ht="13.2">
      <c r="A3032" t="s">
        <v>5606</v>
      </c>
      <c r="B3032">
        <v>30</v>
      </c>
      <c r="C3032" s="44">
        <v>1350</v>
      </c>
      <c r="D3032" t="s">
        <v>291</v>
      </c>
      <c r="E3032" t="s">
        <v>5528</v>
      </c>
    </row>
    <row r="3033" spans="1:5" ht="13.2">
      <c r="A3033" t="s">
        <v>5607</v>
      </c>
      <c r="B3033">
        <v>30</v>
      </c>
      <c r="C3033" s="44">
        <v>1350</v>
      </c>
      <c r="D3033" t="s">
        <v>291</v>
      </c>
      <c r="E3033" t="s">
        <v>5528</v>
      </c>
    </row>
    <row r="3034" spans="1:5" ht="13.2">
      <c r="A3034" t="s">
        <v>5608</v>
      </c>
      <c r="B3034">
        <v>30</v>
      </c>
      <c r="C3034" s="44">
        <v>1350</v>
      </c>
      <c r="D3034" t="s">
        <v>291</v>
      </c>
      <c r="E3034" t="s">
        <v>5528</v>
      </c>
    </row>
    <row r="3035" spans="1:5" ht="13.2">
      <c r="A3035" t="s">
        <v>5609</v>
      </c>
      <c r="B3035">
        <v>30</v>
      </c>
      <c r="C3035" s="44">
        <v>1350</v>
      </c>
      <c r="D3035" t="s">
        <v>291</v>
      </c>
      <c r="E3035" t="s">
        <v>5528</v>
      </c>
    </row>
    <row r="3036" spans="1:5" ht="13.2">
      <c r="A3036" t="s">
        <v>5610</v>
      </c>
      <c r="B3036">
        <v>30</v>
      </c>
      <c r="C3036" s="44">
        <v>1350</v>
      </c>
      <c r="D3036" t="s">
        <v>291</v>
      </c>
      <c r="E3036" t="s">
        <v>5528</v>
      </c>
    </row>
    <row r="3037" spans="1:5" ht="13.2">
      <c r="A3037" t="s">
        <v>5611</v>
      </c>
      <c r="B3037">
        <v>30</v>
      </c>
      <c r="C3037" s="44">
        <v>1350</v>
      </c>
      <c r="D3037" t="s">
        <v>291</v>
      </c>
      <c r="E3037" t="s">
        <v>5528</v>
      </c>
    </row>
    <row r="3038" spans="1:5" ht="13.2">
      <c r="A3038" t="s">
        <v>5612</v>
      </c>
      <c r="B3038">
        <v>30</v>
      </c>
      <c r="C3038" s="44">
        <v>1350</v>
      </c>
      <c r="D3038" t="s">
        <v>291</v>
      </c>
      <c r="E3038" t="s">
        <v>5528</v>
      </c>
    </row>
    <row r="3039" spans="1:5" ht="13.2">
      <c r="A3039" t="s">
        <v>5613</v>
      </c>
      <c r="B3039">
        <v>30</v>
      </c>
      <c r="C3039" s="44">
        <v>1350</v>
      </c>
      <c r="D3039" t="s">
        <v>291</v>
      </c>
      <c r="E3039" t="s">
        <v>5528</v>
      </c>
    </row>
    <row r="3040" spans="1:5" ht="13.2">
      <c r="A3040" t="s">
        <v>5614</v>
      </c>
      <c r="B3040">
        <v>30</v>
      </c>
      <c r="C3040" s="44">
        <v>1350</v>
      </c>
      <c r="D3040" t="s">
        <v>291</v>
      </c>
      <c r="E3040" t="s">
        <v>5528</v>
      </c>
    </row>
    <row r="3041" spans="1:5" ht="13.2">
      <c r="A3041" t="s">
        <v>5615</v>
      </c>
      <c r="B3041">
        <v>30</v>
      </c>
      <c r="C3041" s="44">
        <v>1350</v>
      </c>
      <c r="D3041" t="s">
        <v>291</v>
      </c>
      <c r="E3041" t="s">
        <v>5528</v>
      </c>
    </row>
    <row r="3042" spans="1:5" ht="13.2">
      <c r="A3042" t="s">
        <v>5617</v>
      </c>
      <c r="B3042">
        <v>30</v>
      </c>
      <c r="C3042" s="44">
        <v>1350</v>
      </c>
      <c r="D3042" t="s">
        <v>291</v>
      </c>
      <c r="E3042" t="s">
        <v>5528</v>
      </c>
    </row>
    <row r="3043" spans="1:5" ht="13.2">
      <c r="A3043" t="s">
        <v>5616</v>
      </c>
      <c r="B3043">
        <v>30</v>
      </c>
      <c r="C3043" s="44">
        <v>1350</v>
      </c>
      <c r="D3043" t="s">
        <v>291</v>
      </c>
      <c r="E3043" t="s">
        <v>5528</v>
      </c>
    </row>
    <row r="3044" spans="1:5" ht="13.2">
      <c r="A3044" t="s">
        <v>5618</v>
      </c>
      <c r="B3044">
        <v>90</v>
      </c>
      <c r="C3044" s="44">
        <v>1350</v>
      </c>
      <c r="D3044" t="s">
        <v>291</v>
      </c>
      <c r="E3044" t="s">
        <v>5528</v>
      </c>
    </row>
    <row r="3045" spans="1:5" ht="13.2">
      <c r="A3045" t="s">
        <v>5619</v>
      </c>
      <c r="B3045">
        <v>90</v>
      </c>
      <c r="C3045" s="44">
        <v>1350</v>
      </c>
      <c r="D3045" t="s">
        <v>291</v>
      </c>
      <c r="E3045" t="s">
        <v>5528</v>
      </c>
    </row>
    <row r="3046" spans="1:5" ht="13.2">
      <c r="A3046" t="s">
        <v>5620</v>
      </c>
      <c r="B3046">
        <v>90</v>
      </c>
      <c r="C3046" s="44">
        <v>1350</v>
      </c>
      <c r="D3046" t="s">
        <v>291</v>
      </c>
      <c r="E3046" t="s">
        <v>5528</v>
      </c>
    </row>
    <row r="3047" spans="1:5" ht="13.2">
      <c r="A3047" t="s">
        <v>5621</v>
      </c>
      <c r="B3047">
        <v>90</v>
      </c>
      <c r="C3047" s="44">
        <v>1350</v>
      </c>
      <c r="D3047" t="s">
        <v>291</v>
      </c>
      <c r="E3047" t="s">
        <v>5528</v>
      </c>
    </row>
    <row r="3048" spans="1:5" ht="13.2">
      <c r="A3048" t="s">
        <v>5622</v>
      </c>
      <c r="B3048">
        <v>90</v>
      </c>
      <c r="C3048" s="44">
        <v>1350</v>
      </c>
      <c r="D3048" t="s">
        <v>291</v>
      </c>
      <c r="E3048" t="s">
        <v>5528</v>
      </c>
    </row>
    <row r="3049" spans="1:5" ht="13.2">
      <c r="A3049" t="s">
        <v>5623</v>
      </c>
      <c r="B3049">
        <v>90</v>
      </c>
      <c r="C3049" s="44">
        <v>1350</v>
      </c>
      <c r="D3049" t="s">
        <v>291</v>
      </c>
      <c r="E3049" t="s">
        <v>5528</v>
      </c>
    </row>
    <row r="3050" spans="1:5" ht="13.2">
      <c r="A3050" t="s">
        <v>5624</v>
      </c>
      <c r="B3050">
        <v>90</v>
      </c>
      <c r="C3050" s="44">
        <v>1350</v>
      </c>
      <c r="D3050" t="s">
        <v>291</v>
      </c>
      <c r="E3050" t="s">
        <v>5528</v>
      </c>
    </row>
    <row r="3051" spans="1:5" ht="13.2">
      <c r="A3051" t="s">
        <v>5625</v>
      </c>
      <c r="B3051">
        <v>90</v>
      </c>
      <c r="C3051" s="44">
        <v>1350</v>
      </c>
      <c r="D3051" t="s">
        <v>291</v>
      </c>
      <c r="E3051" t="s">
        <v>5528</v>
      </c>
    </row>
    <row r="3052" spans="1:5" ht="13.2">
      <c r="A3052" t="s">
        <v>5626</v>
      </c>
      <c r="B3052">
        <v>90</v>
      </c>
      <c r="C3052" s="44">
        <v>1350</v>
      </c>
      <c r="D3052" t="s">
        <v>291</v>
      </c>
      <c r="E3052" t="s">
        <v>5528</v>
      </c>
    </row>
    <row r="3053" spans="1:5" ht="13.2">
      <c r="A3053" t="s">
        <v>5627</v>
      </c>
      <c r="B3053">
        <v>90</v>
      </c>
      <c r="C3053" s="44">
        <v>1350</v>
      </c>
      <c r="D3053" t="s">
        <v>291</v>
      </c>
      <c r="E3053" t="s">
        <v>5528</v>
      </c>
    </row>
    <row r="3054" spans="1:5" ht="13.2">
      <c r="A3054" t="s">
        <v>5628</v>
      </c>
      <c r="B3054">
        <v>90</v>
      </c>
      <c r="C3054" s="44">
        <v>1350</v>
      </c>
      <c r="D3054" t="s">
        <v>291</v>
      </c>
      <c r="E3054" t="s">
        <v>5528</v>
      </c>
    </row>
    <row r="3055" spans="1:5" ht="13.2">
      <c r="A3055" t="s">
        <v>5629</v>
      </c>
      <c r="B3055">
        <v>90</v>
      </c>
      <c r="C3055" s="44">
        <v>1350</v>
      </c>
      <c r="D3055" t="s">
        <v>291</v>
      </c>
      <c r="E3055" t="s">
        <v>5528</v>
      </c>
    </row>
    <row r="3056" spans="1:5" ht="13.2">
      <c r="A3056" t="s">
        <v>5630</v>
      </c>
      <c r="B3056">
        <v>90</v>
      </c>
      <c r="C3056" s="44">
        <v>1350</v>
      </c>
      <c r="D3056" t="s">
        <v>291</v>
      </c>
      <c r="E3056" t="s">
        <v>5528</v>
      </c>
    </row>
    <row r="3057" spans="1:5" ht="13.2">
      <c r="A3057" t="s">
        <v>5631</v>
      </c>
      <c r="B3057">
        <v>90</v>
      </c>
      <c r="C3057" s="44">
        <v>1350</v>
      </c>
      <c r="D3057" t="s">
        <v>291</v>
      </c>
      <c r="E3057" t="s">
        <v>5528</v>
      </c>
    </row>
    <row r="3058" spans="1:5" ht="13.2">
      <c r="A3058" t="s">
        <v>5632</v>
      </c>
      <c r="B3058">
        <v>90</v>
      </c>
      <c r="C3058" s="44">
        <v>1350</v>
      </c>
      <c r="D3058" t="s">
        <v>291</v>
      </c>
      <c r="E3058" t="s">
        <v>5528</v>
      </c>
    </row>
    <row r="3059" spans="1:5" ht="13.2">
      <c r="A3059" t="s">
        <v>5633</v>
      </c>
      <c r="B3059">
        <v>90</v>
      </c>
      <c r="C3059" s="44">
        <v>1350</v>
      </c>
      <c r="D3059" t="s">
        <v>291</v>
      </c>
      <c r="E3059" t="s">
        <v>5528</v>
      </c>
    </row>
    <row r="3060" spans="1:5" ht="13.2">
      <c r="A3060" t="s">
        <v>5635</v>
      </c>
      <c r="B3060">
        <v>90</v>
      </c>
      <c r="C3060" s="44">
        <v>1350</v>
      </c>
      <c r="D3060" t="s">
        <v>291</v>
      </c>
      <c r="E3060" t="s">
        <v>5528</v>
      </c>
    </row>
    <row r="3061" spans="1:5" ht="13.2">
      <c r="A3061" t="s">
        <v>5634</v>
      </c>
      <c r="B3061">
        <v>90</v>
      </c>
      <c r="C3061" s="44">
        <v>1350</v>
      </c>
      <c r="D3061" t="s">
        <v>291</v>
      </c>
      <c r="E3061" t="s">
        <v>5528</v>
      </c>
    </row>
    <row r="3062" spans="1:6" ht="13.2">
      <c r="A3062" t="s">
        <v>3642</v>
      </c>
      <c r="B3062">
        <v>85</v>
      </c>
      <c r="C3062" s="44">
        <v>2800</v>
      </c>
      <c r="D3062" t="s">
        <v>291</v>
      </c>
      <c r="E3062" t="s">
        <v>720</v>
      </c>
      <c r="F3062">
        <v>14</v>
      </c>
    </row>
    <row r="3063" spans="1:6" ht="13.2">
      <c r="A3063" t="s">
        <v>3644</v>
      </c>
      <c r="B3063">
        <v>85</v>
      </c>
      <c r="C3063" s="44">
        <v>2800</v>
      </c>
      <c r="D3063" t="s">
        <v>291</v>
      </c>
      <c r="E3063" t="s">
        <v>720</v>
      </c>
      <c r="F3063">
        <v>14</v>
      </c>
    </row>
    <row r="3064" spans="1:6" ht="13.2">
      <c r="A3064" t="s">
        <v>3643</v>
      </c>
      <c r="B3064">
        <v>85</v>
      </c>
      <c r="C3064" s="44">
        <v>2800</v>
      </c>
      <c r="D3064" t="s">
        <v>291</v>
      </c>
      <c r="E3064" t="s">
        <v>720</v>
      </c>
      <c r="F3064">
        <v>14</v>
      </c>
    </row>
    <row r="3065" spans="1:6" ht="13.2">
      <c r="A3065" t="s">
        <v>3645</v>
      </c>
      <c r="B3065">
        <v>85</v>
      </c>
      <c r="C3065" s="44">
        <v>2800</v>
      </c>
      <c r="D3065" t="s">
        <v>291</v>
      </c>
      <c r="E3065" t="s">
        <v>720</v>
      </c>
      <c r="F3065">
        <v>14</v>
      </c>
    </row>
    <row r="3066" spans="1:6" ht="13.2">
      <c r="A3066" t="s">
        <v>1253</v>
      </c>
      <c r="B3066">
        <v>0</v>
      </c>
      <c r="C3066" s="44" t="s">
        <v>204</v>
      </c>
      <c r="D3066" t="s">
        <v>293</v>
      </c>
      <c r="E3066" t="s">
        <v>256</v>
      </c>
      <c r="F3066">
        <v>4</v>
      </c>
    </row>
    <row r="3067" spans="1:6" ht="13.2">
      <c r="A3067" t="s">
        <v>1254</v>
      </c>
      <c r="B3067">
        <v>0</v>
      </c>
      <c r="C3067" s="44" t="s">
        <v>204</v>
      </c>
      <c r="D3067" t="s">
        <v>293</v>
      </c>
      <c r="E3067" t="s">
        <v>256</v>
      </c>
      <c r="F3067">
        <v>4</v>
      </c>
    </row>
    <row r="3068" spans="1:6" ht="13.2">
      <c r="A3068" t="s">
        <v>1255</v>
      </c>
      <c r="B3068">
        <v>0</v>
      </c>
      <c r="C3068" s="44" t="s">
        <v>204</v>
      </c>
      <c r="D3068" t="s">
        <v>293</v>
      </c>
      <c r="E3068" t="s">
        <v>256</v>
      </c>
      <c r="F3068">
        <v>4</v>
      </c>
    </row>
    <row r="3069" spans="1:6" ht="13.2">
      <c r="A3069" t="s">
        <v>1256</v>
      </c>
      <c r="B3069">
        <v>0</v>
      </c>
      <c r="C3069" s="44" t="s">
        <v>204</v>
      </c>
      <c r="D3069" t="s">
        <v>293</v>
      </c>
      <c r="E3069" t="s">
        <v>256</v>
      </c>
      <c r="F3069">
        <v>4</v>
      </c>
    </row>
    <row r="3070" spans="1:6" ht="13.2">
      <c r="A3070" t="s">
        <v>1257</v>
      </c>
      <c r="B3070">
        <v>0</v>
      </c>
      <c r="C3070" s="44" t="s">
        <v>204</v>
      </c>
      <c r="D3070" t="s">
        <v>293</v>
      </c>
      <c r="E3070" t="s">
        <v>256</v>
      </c>
      <c r="F3070">
        <v>4</v>
      </c>
    </row>
    <row r="3071" spans="1:6" ht="13.2">
      <c r="A3071" t="s">
        <v>1258</v>
      </c>
      <c r="B3071">
        <v>0</v>
      </c>
      <c r="C3071" s="44" t="s">
        <v>204</v>
      </c>
      <c r="D3071" t="s">
        <v>293</v>
      </c>
      <c r="E3071" t="s">
        <v>256</v>
      </c>
      <c r="F3071">
        <v>4</v>
      </c>
    </row>
    <row r="3072" spans="1:6" ht="13.2">
      <c r="A3072" t="s">
        <v>1259</v>
      </c>
      <c r="B3072">
        <v>0</v>
      </c>
      <c r="C3072" s="44" t="s">
        <v>204</v>
      </c>
      <c r="D3072" t="s">
        <v>293</v>
      </c>
      <c r="E3072" t="s">
        <v>256</v>
      </c>
      <c r="F3072">
        <v>4</v>
      </c>
    </row>
    <row r="3073" spans="1:6" ht="13.2">
      <c r="A3073" t="s">
        <v>1260</v>
      </c>
      <c r="B3073">
        <v>0</v>
      </c>
      <c r="C3073" s="44">
        <v>3000</v>
      </c>
      <c r="D3073" t="s">
        <v>293</v>
      </c>
      <c r="E3073" t="s">
        <v>361</v>
      </c>
      <c r="F3073">
        <v>4</v>
      </c>
    </row>
    <row r="3074" spans="1:6" ht="13.2">
      <c r="A3074" t="s">
        <v>1261</v>
      </c>
      <c r="B3074">
        <v>0</v>
      </c>
      <c r="C3074" s="44">
        <v>3000</v>
      </c>
      <c r="D3074" t="s">
        <v>293</v>
      </c>
      <c r="E3074" t="s">
        <v>361</v>
      </c>
      <c r="F3074">
        <v>4</v>
      </c>
    </row>
    <row r="3075" spans="1:6" ht="13.2">
      <c r="A3075" t="s">
        <v>1262</v>
      </c>
      <c r="B3075">
        <v>0</v>
      </c>
      <c r="C3075" s="44">
        <v>3000</v>
      </c>
      <c r="D3075" t="s">
        <v>293</v>
      </c>
      <c r="E3075" t="s">
        <v>361</v>
      </c>
      <c r="F3075">
        <v>4</v>
      </c>
    </row>
    <row r="3076" spans="1:6" ht="13.2">
      <c r="A3076" t="s">
        <v>1263</v>
      </c>
      <c r="B3076">
        <v>0</v>
      </c>
      <c r="C3076" s="44">
        <v>3000</v>
      </c>
      <c r="D3076" t="s">
        <v>293</v>
      </c>
      <c r="E3076" t="s">
        <v>361</v>
      </c>
      <c r="F3076">
        <v>4</v>
      </c>
    </row>
    <row r="3077" spans="1:6" ht="13.2">
      <c r="A3077" t="s">
        <v>1264</v>
      </c>
      <c r="B3077">
        <v>0</v>
      </c>
      <c r="C3077" s="44">
        <v>3000</v>
      </c>
      <c r="D3077" t="s">
        <v>293</v>
      </c>
      <c r="E3077" t="s">
        <v>361</v>
      </c>
      <c r="F3077">
        <v>4</v>
      </c>
    </row>
    <row r="3078" spans="1:6" ht="13.2">
      <c r="A3078" t="s">
        <v>1265</v>
      </c>
      <c r="B3078">
        <v>0</v>
      </c>
      <c r="C3078" s="44">
        <v>3000</v>
      </c>
      <c r="D3078" t="s">
        <v>293</v>
      </c>
      <c r="E3078" t="s">
        <v>361</v>
      </c>
      <c r="F3078">
        <v>4</v>
      </c>
    </row>
    <row r="3079" spans="1:6" ht="13.2">
      <c r="A3079" t="s">
        <v>1266</v>
      </c>
      <c r="B3079">
        <v>0</v>
      </c>
      <c r="C3079" s="44">
        <v>3000</v>
      </c>
      <c r="D3079" t="s">
        <v>293</v>
      </c>
      <c r="E3079" t="s">
        <v>361</v>
      </c>
      <c r="F3079">
        <v>4</v>
      </c>
    </row>
    <row r="3080" spans="1:6" ht="13.2">
      <c r="A3080" t="s">
        <v>1267</v>
      </c>
      <c r="B3080">
        <v>0</v>
      </c>
      <c r="C3080" s="44">
        <v>3000</v>
      </c>
      <c r="D3080" t="s">
        <v>293</v>
      </c>
      <c r="E3080" t="s">
        <v>361</v>
      </c>
      <c r="F3080">
        <v>4</v>
      </c>
    </row>
    <row r="3081" spans="1:6" ht="13.2">
      <c r="A3081" t="s">
        <v>1268</v>
      </c>
      <c r="B3081">
        <v>0</v>
      </c>
      <c r="C3081" s="44">
        <v>3000</v>
      </c>
      <c r="D3081" t="s">
        <v>293</v>
      </c>
      <c r="E3081" t="s">
        <v>361</v>
      </c>
      <c r="F3081">
        <v>4</v>
      </c>
    </row>
    <row r="3082" spans="1:6" ht="13.2">
      <c r="A3082" t="s">
        <v>479</v>
      </c>
      <c r="B3082">
        <v>25</v>
      </c>
      <c r="C3082" s="44">
        <v>1900</v>
      </c>
      <c r="D3082" t="s">
        <v>291</v>
      </c>
      <c r="E3082" t="s">
        <v>256</v>
      </c>
      <c r="F3082">
        <v>4</v>
      </c>
    </row>
    <row r="3083" spans="1:6" ht="13.2">
      <c r="A3083" t="s">
        <v>857</v>
      </c>
      <c r="B3083">
        <v>25</v>
      </c>
      <c r="C3083" s="44">
        <v>1830</v>
      </c>
      <c r="D3083" t="s">
        <v>291</v>
      </c>
      <c r="E3083" t="s">
        <v>411</v>
      </c>
      <c r="F3083">
        <v>4</v>
      </c>
    </row>
    <row r="3084" spans="1:6" ht="13.2">
      <c r="A3084" t="s">
        <v>858</v>
      </c>
      <c r="B3084">
        <v>25</v>
      </c>
      <c r="C3084" s="44">
        <v>1830</v>
      </c>
      <c r="D3084" t="s">
        <v>291</v>
      </c>
      <c r="E3084" t="s">
        <v>411</v>
      </c>
      <c r="F3084">
        <v>4</v>
      </c>
    </row>
    <row r="3085" spans="1:6" ht="13.2">
      <c r="A3085" t="s">
        <v>859</v>
      </c>
      <c r="B3085">
        <v>25</v>
      </c>
      <c r="C3085" s="44">
        <v>1830</v>
      </c>
      <c r="D3085" t="s">
        <v>291</v>
      </c>
      <c r="E3085" t="s">
        <v>411</v>
      </c>
      <c r="F3085">
        <v>4</v>
      </c>
    </row>
    <row r="3086" spans="1:5" ht="13.2">
      <c r="A3086" t="s">
        <v>4369</v>
      </c>
      <c r="B3086">
        <v>680</v>
      </c>
      <c r="C3086" s="44">
        <v>1370</v>
      </c>
      <c r="D3086" t="s">
        <v>291</v>
      </c>
      <c r="E3086" t="s">
        <v>577</v>
      </c>
    </row>
    <row r="3087" spans="1:5" ht="13.2">
      <c r="A3087" t="s">
        <v>4371</v>
      </c>
      <c r="B3087">
        <v>680</v>
      </c>
      <c r="C3087" s="44">
        <v>1370</v>
      </c>
      <c r="D3087" t="s">
        <v>291</v>
      </c>
      <c r="E3087" t="s">
        <v>577</v>
      </c>
    </row>
    <row r="3088" spans="1:6" ht="13.2">
      <c r="A3088" t="s">
        <v>4815</v>
      </c>
      <c r="B3088">
        <v>340</v>
      </c>
      <c r="C3088" s="44">
        <v>1380</v>
      </c>
      <c r="D3088" t="s">
        <v>291</v>
      </c>
      <c r="E3088" t="s">
        <v>577</v>
      </c>
      <c r="F3088" t="s">
        <v>622</v>
      </c>
    </row>
    <row r="3089" spans="1:5" ht="13.2">
      <c r="A3089" t="s">
        <v>4367</v>
      </c>
      <c r="B3089">
        <v>680</v>
      </c>
      <c r="C3089" s="44">
        <v>1370</v>
      </c>
      <c r="D3089" t="s">
        <v>291</v>
      </c>
      <c r="E3089" t="s">
        <v>4368</v>
      </c>
    </row>
    <row r="3090" spans="1:5" ht="13.2">
      <c r="A3090" t="s">
        <v>4370</v>
      </c>
      <c r="B3090">
        <v>680</v>
      </c>
      <c r="C3090" s="44">
        <v>1370</v>
      </c>
      <c r="D3090" t="s">
        <v>291</v>
      </c>
      <c r="E3090" t="s">
        <v>4368</v>
      </c>
    </row>
    <row r="3091" spans="1:6" ht="13.2">
      <c r="A3091" t="s">
        <v>685</v>
      </c>
      <c r="B3091">
        <v>640</v>
      </c>
      <c r="C3091" s="44">
        <v>1370</v>
      </c>
      <c r="D3091" t="s">
        <v>291</v>
      </c>
      <c r="E3091" t="s">
        <v>577</v>
      </c>
      <c r="F3091">
        <v>3</v>
      </c>
    </row>
    <row r="3092" spans="1:6" ht="13.2">
      <c r="A3092" t="s">
        <v>687</v>
      </c>
      <c r="B3092">
        <v>640</v>
      </c>
      <c r="C3092" s="44">
        <v>1370</v>
      </c>
      <c r="D3092" t="s">
        <v>291</v>
      </c>
      <c r="E3092" t="s">
        <v>577</v>
      </c>
      <c r="F3092">
        <v>3</v>
      </c>
    </row>
    <row r="3093" spans="1:6" ht="13.2">
      <c r="A3093" t="s">
        <v>686</v>
      </c>
      <c r="B3093">
        <v>640</v>
      </c>
      <c r="C3093" s="44">
        <v>1370</v>
      </c>
      <c r="D3093" t="s">
        <v>291</v>
      </c>
      <c r="E3093" t="s">
        <v>577</v>
      </c>
      <c r="F3093">
        <v>3</v>
      </c>
    </row>
    <row r="3094" spans="1:6" ht="13.2">
      <c r="A3094" t="s">
        <v>684</v>
      </c>
      <c r="B3094">
        <v>640</v>
      </c>
      <c r="C3094" s="44">
        <v>1370</v>
      </c>
      <c r="D3094" t="s">
        <v>291</v>
      </c>
      <c r="E3094" t="s">
        <v>577</v>
      </c>
      <c r="F3094">
        <v>3</v>
      </c>
    </row>
    <row r="3095" spans="1:6" ht="13.2">
      <c r="A3095" t="s">
        <v>688</v>
      </c>
      <c r="B3095">
        <v>640</v>
      </c>
      <c r="C3095" s="44">
        <v>1370</v>
      </c>
      <c r="D3095" t="s">
        <v>291</v>
      </c>
      <c r="E3095" t="s">
        <v>577</v>
      </c>
      <c r="F3095">
        <v>3</v>
      </c>
    </row>
    <row r="3096" spans="1:6" ht="13.2">
      <c r="A3096" t="s">
        <v>683</v>
      </c>
      <c r="B3096">
        <v>640</v>
      </c>
      <c r="C3096" s="44">
        <v>1370</v>
      </c>
      <c r="D3096" t="s">
        <v>291</v>
      </c>
      <c r="E3096" t="s">
        <v>418</v>
      </c>
      <c r="F3096">
        <v>3</v>
      </c>
    </row>
    <row r="3097" spans="1:6" ht="13.2">
      <c r="A3097" t="s">
        <v>3348</v>
      </c>
      <c r="B3097">
        <v>370</v>
      </c>
      <c r="C3097" s="44">
        <v>1370</v>
      </c>
      <c r="D3097" t="s">
        <v>291</v>
      </c>
      <c r="E3097" t="s">
        <v>418</v>
      </c>
      <c r="F3097">
        <v>2</v>
      </c>
    </row>
    <row r="3098" spans="1:6" ht="13.2">
      <c r="A3098" t="s">
        <v>3349</v>
      </c>
      <c r="B3098">
        <v>370</v>
      </c>
      <c r="C3098" s="44">
        <v>1370</v>
      </c>
      <c r="D3098" t="s">
        <v>291</v>
      </c>
      <c r="E3098" t="s">
        <v>418</v>
      </c>
      <c r="F3098">
        <v>2</v>
      </c>
    </row>
    <row r="3099" spans="1:6" ht="13.2">
      <c r="A3099" t="s">
        <v>3346</v>
      </c>
      <c r="B3099">
        <v>370</v>
      </c>
      <c r="C3099" s="44">
        <v>1370</v>
      </c>
      <c r="D3099" t="s">
        <v>291</v>
      </c>
      <c r="E3099" t="s">
        <v>418</v>
      </c>
      <c r="F3099">
        <v>2</v>
      </c>
    </row>
    <row r="3100" spans="1:6" ht="13.2">
      <c r="A3100" t="s">
        <v>3350</v>
      </c>
      <c r="B3100">
        <v>370</v>
      </c>
      <c r="C3100" s="44">
        <v>1370</v>
      </c>
      <c r="D3100" t="s">
        <v>291</v>
      </c>
      <c r="E3100" t="s">
        <v>418</v>
      </c>
      <c r="F3100">
        <v>2</v>
      </c>
    </row>
    <row r="3101" spans="1:6" ht="13.2">
      <c r="A3101" t="s">
        <v>3347</v>
      </c>
      <c r="B3101">
        <v>370</v>
      </c>
      <c r="C3101" s="44">
        <v>1370</v>
      </c>
      <c r="D3101" t="s">
        <v>291</v>
      </c>
      <c r="E3101" t="s">
        <v>418</v>
      </c>
      <c r="F3101">
        <v>2</v>
      </c>
    </row>
    <row r="3102" spans="1:6" ht="13.2">
      <c r="A3102" t="s">
        <v>3351</v>
      </c>
      <c r="B3102">
        <v>370</v>
      </c>
      <c r="C3102" s="44">
        <v>1370</v>
      </c>
      <c r="D3102" t="s">
        <v>291</v>
      </c>
      <c r="E3102" t="s">
        <v>418</v>
      </c>
      <c r="F3102">
        <v>2</v>
      </c>
    </row>
    <row r="3103" spans="1:6" ht="13.2">
      <c r="A3103" t="s">
        <v>2857</v>
      </c>
      <c r="B3103">
        <v>645</v>
      </c>
      <c r="C3103" s="44">
        <v>1370</v>
      </c>
      <c r="D3103" t="s">
        <v>291</v>
      </c>
      <c r="E3103" t="s">
        <v>577</v>
      </c>
      <c r="F3103">
        <v>4</v>
      </c>
    </row>
    <row r="3104" spans="1:6" ht="13.2">
      <c r="A3104" t="s">
        <v>2856</v>
      </c>
      <c r="B3104">
        <v>645</v>
      </c>
      <c r="C3104" s="44">
        <v>1370</v>
      </c>
      <c r="D3104" t="s">
        <v>291</v>
      </c>
      <c r="E3104" t="s">
        <v>577</v>
      </c>
      <c r="F3104">
        <v>4</v>
      </c>
    </row>
    <row r="3105" spans="1:6" ht="13.2">
      <c r="A3105" t="s">
        <v>2859</v>
      </c>
      <c r="B3105">
        <v>645</v>
      </c>
      <c r="C3105" s="44">
        <v>1370</v>
      </c>
      <c r="D3105" t="s">
        <v>291</v>
      </c>
      <c r="E3105" t="s">
        <v>577</v>
      </c>
      <c r="F3105">
        <v>4</v>
      </c>
    </row>
    <row r="3106" spans="1:6" ht="13.2">
      <c r="A3106" t="s">
        <v>2858</v>
      </c>
      <c r="B3106">
        <v>645</v>
      </c>
      <c r="C3106" s="44">
        <v>1370</v>
      </c>
      <c r="D3106" t="s">
        <v>291</v>
      </c>
      <c r="E3106" t="s">
        <v>577</v>
      </c>
      <c r="F3106">
        <v>4</v>
      </c>
    </row>
    <row r="3107" spans="1:6" ht="13.2">
      <c r="A3107" t="s">
        <v>2860</v>
      </c>
      <c r="B3107">
        <v>645</v>
      </c>
      <c r="C3107" s="44">
        <v>1370</v>
      </c>
      <c r="D3107" t="s">
        <v>291</v>
      </c>
      <c r="E3107" t="s">
        <v>577</v>
      </c>
      <c r="F3107">
        <v>4</v>
      </c>
    </row>
    <row r="3108" spans="1:6" ht="13.2">
      <c r="A3108" t="s">
        <v>5523</v>
      </c>
      <c r="B3108">
        <v>535</v>
      </c>
      <c r="C3108" s="44">
        <v>1400</v>
      </c>
      <c r="D3108" t="s">
        <v>291</v>
      </c>
      <c r="E3108" t="s">
        <v>5524</v>
      </c>
      <c r="F3108" t="s">
        <v>3824</v>
      </c>
    </row>
    <row r="3109" spans="1:6" ht="13.2">
      <c r="A3109" t="s">
        <v>5525</v>
      </c>
      <c r="B3109">
        <v>283</v>
      </c>
      <c r="C3109" s="44">
        <v>1400</v>
      </c>
      <c r="D3109" t="s">
        <v>291</v>
      </c>
      <c r="E3109" t="s">
        <v>5524</v>
      </c>
      <c r="F3109" t="s">
        <v>3824</v>
      </c>
    </row>
    <row r="3110" spans="1:6" ht="13.2">
      <c r="A3110" t="s">
        <v>5526</v>
      </c>
      <c r="B3110">
        <v>100</v>
      </c>
      <c r="C3110" s="44">
        <v>1400</v>
      </c>
      <c r="D3110" t="s">
        <v>291</v>
      </c>
      <c r="E3110" t="s">
        <v>5524</v>
      </c>
      <c r="F3110" t="s">
        <v>3824</v>
      </c>
    </row>
    <row r="3111" spans="1:6" ht="13.2">
      <c r="A3111" t="s">
        <v>1269</v>
      </c>
      <c r="B3111">
        <v>0</v>
      </c>
      <c r="C3111" s="44" t="s">
        <v>349</v>
      </c>
      <c r="D3111" t="s">
        <v>293</v>
      </c>
      <c r="E3111" t="s">
        <v>253</v>
      </c>
      <c r="F3111">
        <v>3</v>
      </c>
    </row>
    <row r="3112" spans="1:6" ht="13.2">
      <c r="A3112" t="s">
        <v>1581</v>
      </c>
      <c r="B3112">
        <v>0</v>
      </c>
      <c r="C3112" s="44">
        <v>3300</v>
      </c>
      <c r="D3112" t="s">
        <v>293</v>
      </c>
      <c r="E3112" t="s">
        <v>253</v>
      </c>
      <c r="F3112">
        <v>3</v>
      </c>
    </row>
    <row r="3113" spans="1:6" ht="13.2">
      <c r="A3113" t="s">
        <v>1582</v>
      </c>
      <c r="B3113">
        <v>0</v>
      </c>
      <c r="C3113" s="44">
        <v>3300</v>
      </c>
      <c r="D3113" t="s">
        <v>293</v>
      </c>
      <c r="E3113" t="s">
        <v>253</v>
      </c>
      <c r="F3113">
        <v>3</v>
      </c>
    </row>
    <row r="3114" spans="1:6" ht="13.2">
      <c r="A3114" t="s">
        <v>1583</v>
      </c>
      <c r="B3114">
        <v>0</v>
      </c>
      <c r="C3114" s="44">
        <v>3300</v>
      </c>
      <c r="D3114" t="s">
        <v>293</v>
      </c>
      <c r="E3114" t="s">
        <v>253</v>
      </c>
      <c r="F3114">
        <v>3</v>
      </c>
    </row>
    <row r="3115" spans="1:6" ht="13.2">
      <c r="A3115" t="s">
        <v>1584</v>
      </c>
      <c r="B3115">
        <v>0</v>
      </c>
      <c r="C3115" s="44">
        <v>3300</v>
      </c>
      <c r="D3115" t="s">
        <v>293</v>
      </c>
      <c r="E3115" t="s">
        <v>253</v>
      </c>
      <c r="F3115">
        <v>3</v>
      </c>
    </row>
    <row r="3116" spans="1:6" ht="13.2">
      <c r="A3116" t="s">
        <v>1585</v>
      </c>
      <c r="B3116">
        <v>0</v>
      </c>
      <c r="C3116" s="44">
        <v>3300</v>
      </c>
      <c r="D3116" t="s">
        <v>293</v>
      </c>
      <c r="E3116" t="s">
        <v>253</v>
      </c>
      <c r="F3116">
        <v>3</v>
      </c>
    </row>
    <row r="3117" spans="1:6" ht="13.2">
      <c r="A3117" t="s">
        <v>1586</v>
      </c>
      <c r="B3117">
        <v>0</v>
      </c>
      <c r="C3117" s="44">
        <v>3300</v>
      </c>
      <c r="D3117" t="s">
        <v>293</v>
      </c>
      <c r="E3117" t="s">
        <v>253</v>
      </c>
      <c r="F3117">
        <v>3</v>
      </c>
    </row>
    <row r="3118" spans="1:6" ht="13.2">
      <c r="A3118" t="s">
        <v>1587</v>
      </c>
      <c r="B3118">
        <v>0</v>
      </c>
      <c r="C3118" s="44">
        <v>3300</v>
      </c>
      <c r="D3118" t="s">
        <v>293</v>
      </c>
      <c r="E3118" t="s">
        <v>253</v>
      </c>
      <c r="F3118">
        <v>3</v>
      </c>
    </row>
    <row r="3119" spans="1:6" ht="13.2">
      <c r="A3119" t="s">
        <v>1588</v>
      </c>
      <c r="B3119">
        <v>0</v>
      </c>
      <c r="C3119" s="44">
        <v>3300</v>
      </c>
      <c r="D3119" t="s">
        <v>293</v>
      </c>
      <c r="E3119" t="s">
        <v>253</v>
      </c>
      <c r="F3119">
        <v>3</v>
      </c>
    </row>
    <row r="3120" spans="1:6" ht="13.2">
      <c r="A3120" t="s">
        <v>1589</v>
      </c>
      <c r="B3120">
        <v>0</v>
      </c>
      <c r="C3120" s="44">
        <v>3300</v>
      </c>
      <c r="D3120" t="s">
        <v>293</v>
      </c>
      <c r="E3120" t="s">
        <v>253</v>
      </c>
      <c r="F3120">
        <v>3</v>
      </c>
    </row>
    <row r="3121" spans="1:6" ht="13.2">
      <c r="A3121" t="s">
        <v>1590</v>
      </c>
      <c r="B3121">
        <v>0</v>
      </c>
      <c r="C3121" s="44">
        <v>3300</v>
      </c>
      <c r="D3121" t="s">
        <v>293</v>
      </c>
      <c r="E3121" t="s">
        <v>253</v>
      </c>
      <c r="F3121">
        <v>3</v>
      </c>
    </row>
    <row r="3122" spans="1:6" ht="13.2">
      <c r="A3122" t="s">
        <v>1591</v>
      </c>
      <c r="B3122">
        <v>0</v>
      </c>
      <c r="C3122" s="44">
        <v>3300</v>
      </c>
      <c r="D3122" t="s">
        <v>293</v>
      </c>
      <c r="E3122" t="s">
        <v>253</v>
      </c>
      <c r="F3122">
        <v>3</v>
      </c>
    </row>
    <row r="3123" spans="1:6" ht="13.2">
      <c r="A3123" t="s">
        <v>1270</v>
      </c>
      <c r="B3123">
        <v>0</v>
      </c>
      <c r="C3123" s="44" t="s">
        <v>349</v>
      </c>
      <c r="D3123" t="s">
        <v>293</v>
      </c>
      <c r="E3123" t="s">
        <v>253</v>
      </c>
      <c r="F3123">
        <v>3</v>
      </c>
    </row>
    <row r="3124" spans="1:6" ht="13.2">
      <c r="A3124" t="s">
        <v>3241</v>
      </c>
      <c r="B3124">
        <v>0</v>
      </c>
      <c r="C3124" s="44">
        <v>1400</v>
      </c>
      <c r="D3124" t="s">
        <v>291</v>
      </c>
      <c r="E3124" t="s">
        <v>364</v>
      </c>
      <c r="F3124">
        <v>3</v>
      </c>
    </row>
    <row r="3125" spans="1:6" ht="13.2">
      <c r="A3125" t="s">
        <v>3242</v>
      </c>
      <c r="B3125">
        <v>0</v>
      </c>
      <c r="C3125" s="44">
        <v>1400</v>
      </c>
      <c r="D3125" t="s">
        <v>291</v>
      </c>
      <c r="E3125" t="s">
        <v>364</v>
      </c>
      <c r="F3125">
        <v>3</v>
      </c>
    </row>
    <row r="3126" spans="1:6" ht="13.2">
      <c r="A3126" t="s">
        <v>3243</v>
      </c>
      <c r="B3126">
        <v>0</v>
      </c>
      <c r="C3126" s="44">
        <v>1400</v>
      </c>
      <c r="D3126" t="s">
        <v>291</v>
      </c>
      <c r="E3126" t="s">
        <v>364</v>
      </c>
      <c r="F3126">
        <v>3</v>
      </c>
    </row>
    <row r="3127" spans="1:6" ht="13.2">
      <c r="A3127" t="s">
        <v>3244</v>
      </c>
      <c r="B3127">
        <v>0</v>
      </c>
      <c r="C3127" s="44">
        <v>1400</v>
      </c>
      <c r="D3127" t="s">
        <v>291</v>
      </c>
      <c r="E3127" t="s">
        <v>364</v>
      </c>
      <c r="F3127">
        <v>3</v>
      </c>
    </row>
    <row r="3128" spans="1:6" ht="13.2">
      <c r="A3128" t="s">
        <v>3245</v>
      </c>
      <c r="B3128">
        <v>0</v>
      </c>
      <c r="C3128" s="44">
        <v>1400</v>
      </c>
      <c r="D3128" t="s">
        <v>291</v>
      </c>
      <c r="E3128" t="s">
        <v>364</v>
      </c>
      <c r="F3128">
        <v>3</v>
      </c>
    </row>
    <row r="3129" spans="1:6" ht="13.2">
      <c r="A3129" t="s">
        <v>3246</v>
      </c>
      <c r="B3129">
        <v>0</v>
      </c>
      <c r="C3129" s="44">
        <v>1400</v>
      </c>
      <c r="D3129" t="s">
        <v>291</v>
      </c>
      <c r="E3129" t="s">
        <v>364</v>
      </c>
      <c r="F3129">
        <v>3</v>
      </c>
    </row>
    <row r="3130" spans="1:6" ht="13.2">
      <c r="A3130" t="s">
        <v>3247</v>
      </c>
      <c r="B3130">
        <v>0</v>
      </c>
      <c r="C3130" s="44">
        <v>1400</v>
      </c>
      <c r="D3130" t="s">
        <v>291</v>
      </c>
      <c r="E3130" t="s">
        <v>364</v>
      </c>
      <c r="F3130">
        <v>3</v>
      </c>
    </row>
    <row r="3131" spans="1:6" ht="13.2">
      <c r="A3131" t="s">
        <v>3248</v>
      </c>
      <c r="B3131">
        <v>0</v>
      </c>
      <c r="C3131" s="44">
        <v>1400</v>
      </c>
      <c r="D3131" t="s">
        <v>291</v>
      </c>
      <c r="E3131" t="s">
        <v>364</v>
      </c>
      <c r="F3131">
        <v>3</v>
      </c>
    </row>
    <row r="3132" spans="1:6" ht="13.2">
      <c r="A3132" t="s">
        <v>3249</v>
      </c>
      <c r="B3132">
        <v>0</v>
      </c>
      <c r="C3132" s="44">
        <v>1400</v>
      </c>
      <c r="D3132" t="s">
        <v>291</v>
      </c>
      <c r="E3132" t="s">
        <v>364</v>
      </c>
      <c r="F3132">
        <v>3</v>
      </c>
    </row>
    <row r="3133" spans="1:6" ht="13.2">
      <c r="A3133" t="s">
        <v>3250</v>
      </c>
      <c r="B3133">
        <v>0</v>
      </c>
      <c r="C3133" s="44">
        <v>1400</v>
      </c>
      <c r="D3133" t="s">
        <v>291</v>
      </c>
      <c r="E3133" t="s">
        <v>364</v>
      </c>
      <c r="F3133">
        <v>3</v>
      </c>
    </row>
    <row r="3134" spans="1:6" ht="13.2">
      <c r="A3134" t="s">
        <v>3251</v>
      </c>
      <c r="B3134">
        <v>0</v>
      </c>
      <c r="C3134" s="44">
        <v>1400</v>
      </c>
      <c r="D3134" t="s">
        <v>291</v>
      </c>
      <c r="E3134" t="s">
        <v>364</v>
      </c>
      <c r="F3134">
        <v>3</v>
      </c>
    </row>
    <row r="3135" spans="1:6" ht="13.2">
      <c r="A3135" t="s">
        <v>3252</v>
      </c>
      <c r="B3135">
        <v>0</v>
      </c>
      <c r="C3135" s="44">
        <v>1400</v>
      </c>
      <c r="D3135" t="s">
        <v>291</v>
      </c>
      <c r="E3135" t="s">
        <v>364</v>
      </c>
      <c r="F3135">
        <v>3</v>
      </c>
    </row>
    <row r="3136" spans="1:6" ht="13.2">
      <c r="A3136" t="s">
        <v>3253</v>
      </c>
      <c r="B3136">
        <v>0</v>
      </c>
      <c r="C3136" s="44">
        <v>1400</v>
      </c>
      <c r="D3136" t="s">
        <v>291</v>
      </c>
      <c r="E3136" t="s">
        <v>364</v>
      </c>
      <c r="F3136">
        <v>3</v>
      </c>
    </row>
    <row r="3137" spans="1:6" ht="13.2">
      <c r="A3137" t="s">
        <v>3254</v>
      </c>
      <c r="B3137">
        <v>0</v>
      </c>
      <c r="C3137" s="44">
        <v>1400</v>
      </c>
      <c r="D3137" t="s">
        <v>291</v>
      </c>
      <c r="E3137" t="s">
        <v>364</v>
      </c>
      <c r="F3137">
        <v>3</v>
      </c>
    </row>
    <row r="3138" spans="1:6" ht="13.2">
      <c r="A3138" t="s">
        <v>3255</v>
      </c>
      <c r="B3138">
        <v>0</v>
      </c>
      <c r="C3138" s="44">
        <v>1400</v>
      </c>
      <c r="D3138" t="s">
        <v>291</v>
      </c>
      <c r="E3138" t="s">
        <v>364</v>
      </c>
      <c r="F3138">
        <v>3</v>
      </c>
    </row>
    <row r="3139" spans="1:6" ht="13.2">
      <c r="A3139" t="s">
        <v>3256</v>
      </c>
      <c r="B3139">
        <v>0</v>
      </c>
      <c r="C3139" s="44">
        <v>1400</v>
      </c>
      <c r="D3139" t="s">
        <v>291</v>
      </c>
      <c r="E3139" t="s">
        <v>364</v>
      </c>
      <c r="F3139">
        <v>3</v>
      </c>
    </row>
    <row r="3140" spans="1:6" ht="13.2">
      <c r="A3140" t="s">
        <v>3257</v>
      </c>
      <c r="B3140">
        <v>0</v>
      </c>
      <c r="C3140" s="44">
        <v>1400</v>
      </c>
      <c r="D3140" t="s">
        <v>291</v>
      </c>
      <c r="E3140" t="s">
        <v>364</v>
      </c>
      <c r="F3140">
        <v>3</v>
      </c>
    </row>
    <row r="3141" spans="1:6" ht="13.2">
      <c r="A3141" t="s">
        <v>3258</v>
      </c>
      <c r="B3141">
        <v>0</v>
      </c>
      <c r="C3141" s="44">
        <v>1400</v>
      </c>
      <c r="D3141" t="s">
        <v>291</v>
      </c>
      <c r="E3141" t="s">
        <v>364</v>
      </c>
      <c r="F3141">
        <v>3</v>
      </c>
    </row>
    <row r="3142" spans="1:6" ht="13.2">
      <c r="A3142" t="s">
        <v>3259</v>
      </c>
      <c r="B3142">
        <v>0</v>
      </c>
      <c r="C3142" s="44">
        <v>1400</v>
      </c>
      <c r="D3142" t="s">
        <v>291</v>
      </c>
      <c r="E3142" t="s">
        <v>364</v>
      </c>
      <c r="F3142">
        <v>3</v>
      </c>
    </row>
    <row r="3143" spans="1:6" ht="13.2">
      <c r="A3143" t="s">
        <v>3260</v>
      </c>
      <c r="B3143">
        <v>0</v>
      </c>
      <c r="C3143" s="44">
        <v>1400</v>
      </c>
      <c r="D3143" t="s">
        <v>291</v>
      </c>
      <c r="E3143" t="s">
        <v>364</v>
      </c>
      <c r="F3143">
        <v>3</v>
      </c>
    </row>
    <row r="3144" spans="1:6" ht="13.2">
      <c r="A3144" t="s">
        <v>3261</v>
      </c>
      <c r="B3144">
        <v>0</v>
      </c>
      <c r="C3144" s="44">
        <v>1400</v>
      </c>
      <c r="D3144" t="s">
        <v>291</v>
      </c>
      <c r="E3144" t="s">
        <v>364</v>
      </c>
      <c r="F3144">
        <v>3</v>
      </c>
    </row>
    <row r="3145" spans="1:6" ht="13.2">
      <c r="A3145" t="s">
        <v>3262</v>
      </c>
      <c r="B3145">
        <v>0</v>
      </c>
      <c r="C3145" s="44">
        <v>1400</v>
      </c>
      <c r="D3145" t="s">
        <v>291</v>
      </c>
      <c r="E3145" t="s">
        <v>364</v>
      </c>
      <c r="F3145">
        <v>3</v>
      </c>
    </row>
    <row r="3146" spans="1:6" ht="13.2">
      <c r="A3146" t="s">
        <v>3263</v>
      </c>
      <c r="B3146">
        <v>0</v>
      </c>
      <c r="C3146" s="44">
        <v>1400</v>
      </c>
      <c r="D3146" t="s">
        <v>291</v>
      </c>
      <c r="E3146" t="s">
        <v>364</v>
      </c>
      <c r="F3146">
        <v>3</v>
      </c>
    </row>
    <row r="3147" spans="1:6" ht="13.2">
      <c r="A3147" t="s">
        <v>3264</v>
      </c>
      <c r="B3147">
        <v>0</v>
      </c>
      <c r="C3147" s="44">
        <v>1400</v>
      </c>
      <c r="D3147" t="s">
        <v>291</v>
      </c>
      <c r="E3147" t="s">
        <v>364</v>
      </c>
      <c r="F3147">
        <v>3</v>
      </c>
    </row>
    <row r="3148" spans="1:6" ht="13.2">
      <c r="A3148" t="s">
        <v>3265</v>
      </c>
      <c r="B3148">
        <v>0</v>
      </c>
      <c r="C3148" s="44">
        <v>1400</v>
      </c>
      <c r="D3148" t="s">
        <v>291</v>
      </c>
      <c r="E3148" t="s">
        <v>364</v>
      </c>
      <c r="F3148">
        <v>3</v>
      </c>
    </row>
    <row r="3149" spans="1:6" ht="13.2">
      <c r="A3149" t="s">
        <v>3266</v>
      </c>
      <c r="B3149">
        <v>0</v>
      </c>
      <c r="C3149" s="44">
        <v>1400</v>
      </c>
      <c r="D3149" t="s">
        <v>291</v>
      </c>
      <c r="E3149" t="s">
        <v>364</v>
      </c>
      <c r="F3149">
        <v>3</v>
      </c>
    </row>
    <row r="3150" spans="1:6" ht="13.2">
      <c r="A3150" t="s">
        <v>3267</v>
      </c>
      <c r="B3150">
        <v>0</v>
      </c>
      <c r="C3150" s="44">
        <v>1400</v>
      </c>
      <c r="D3150" t="s">
        <v>291</v>
      </c>
      <c r="E3150" t="s">
        <v>364</v>
      </c>
      <c r="F3150">
        <v>3</v>
      </c>
    </row>
    <row r="3151" spans="1:6" ht="13.2">
      <c r="A3151" t="s">
        <v>3269</v>
      </c>
      <c r="B3151">
        <v>0</v>
      </c>
      <c r="C3151" s="44">
        <v>1400</v>
      </c>
      <c r="D3151" t="s">
        <v>291</v>
      </c>
      <c r="E3151" t="s">
        <v>364</v>
      </c>
      <c r="F3151">
        <v>3</v>
      </c>
    </row>
    <row r="3152" spans="1:6" ht="13.2">
      <c r="A3152" t="s">
        <v>3268</v>
      </c>
      <c r="B3152">
        <v>0</v>
      </c>
      <c r="C3152" s="44">
        <v>1400</v>
      </c>
      <c r="D3152" t="s">
        <v>291</v>
      </c>
      <c r="E3152" t="s">
        <v>364</v>
      </c>
      <c r="F3152">
        <v>3</v>
      </c>
    </row>
    <row r="3153" spans="1:6" ht="13.2">
      <c r="A3153" t="s">
        <v>5038</v>
      </c>
      <c r="B3153">
        <v>1370</v>
      </c>
      <c r="C3153" s="44">
        <v>1390</v>
      </c>
      <c r="D3153" t="s">
        <v>291</v>
      </c>
      <c r="E3153" t="s">
        <v>577</v>
      </c>
      <c r="F3153">
        <v>3</v>
      </c>
    </row>
    <row r="3154" spans="1:6" ht="13.2">
      <c r="A3154" t="s">
        <v>5039</v>
      </c>
      <c r="B3154">
        <v>1370</v>
      </c>
      <c r="C3154" s="44">
        <v>1390</v>
      </c>
      <c r="D3154" t="s">
        <v>291</v>
      </c>
      <c r="E3154" t="s">
        <v>577</v>
      </c>
      <c r="F3154">
        <v>3</v>
      </c>
    </row>
    <row r="3155" spans="1:6" ht="13.2">
      <c r="A3155" t="s">
        <v>5041</v>
      </c>
      <c r="B3155">
        <v>1370</v>
      </c>
      <c r="C3155" s="44">
        <v>1390</v>
      </c>
      <c r="D3155" t="s">
        <v>291</v>
      </c>
      <c r="E3155" t="s">
        <v>577</v>
      </c>
      <c r="F3155">
        <v>3</v>
      </c>
    </row>
    <row r="3156" spans="1:6" ht="13.2">
      <c r="A3156" t="s">
        <v>5040</v>
      </c>
      <c r="B3156">
        <v>1370</v>
      </c>
      <c r="C3156" s="44">
        <v>1390</v>
      </c>
      <c r="D3156" t="s">
        <v>291</v>
      </c>
      <c r="E3156" t="s">
        <v>577</v>
      </c>
      <c r="F3156">
        <v>3</v>
      </c>
    </row>
    <row r="3157" spans="1:6" ht="13.2">
      <c r="A3157" t="s">
        <v>3145</v>
      </c>
      <c r="B3157">
        <v>0</v>
      </c>
      <c r="C3157" s="44">
        <v>1500</v>
      </c>
      <c r="D3157" t="s">
        <v>291</v>
      </c>
      <c r="E3157" t="s">
        <v>693</v>
      </c>
      <c r="F3157">
        <v>3</v>
      </c>
    </row>
    <row r="3158" spans="1:6" ht="13.2">
      <c r="A3158" t="s">
        <v>3146</v>
      </c>
      <c r="B3158">
        <v>0</v>
      </c>
      <c r="C3158" s="44">
        <v>1500</v>
      </c>
      <c r="D3158" t="s">
        <v>291</v>
      </c>
      <c r="E3158" t="s">
        <v>693</v>
      </c>
      <c r="F3158">
        <v>3</v>
      </c>
    </row>
    <row r="3159" spans="1:6" ht="13.2">
      <c r="A3159" t="s">
        <v>3147</v>
      </c>
      <c r="B3159">
        <v>0</v>
      </c>
      <c r="C3159" s="44">
        <v>1500</v>
      </c>
      <c r="D3159" t="s">
        <v>291</v>
      </c>
      <c r="E3159" t="s">
        <v>693</v>
      </c>
      <c r="F3159">
        <v>3</v>
      </c>
    </row>
    <row r="3160" spans="1:6" ht="13.2">
      <c r="A3160" t="s">
        <v>3148</v>
      </c>
      <c r="B3160">
        <v>0</v>
      </c>
      <c r="C3160" s="44">
        <v>1500</v>
      </c>
      <c r="D3160" t="s">
        <v>291</v>
      </c>
      <c r="E3160" t="s">
        <v>693</v>
      </c>
      <c r="F3160">
        <v>3</v>
      </c>
    </row>
    <row r="3161" spans="1:6" ht="13.2">
      <c r="A3161" t="s">
        <v>3149</v>
      </c>
      <c r="B3161">
        <v>0</v>
      </c>
      <c r="C3161" s="44">
        <v>1500</v>
      </c>
      <c r="D3161" t="s">
        <v>291</v>
      </c>
      <c r="E3161" t="s">
        <v>693</v>
      </c>
      <c r="F3161">
        <v>3</v>
      </c>
    </row>
    <row r="3162" spans="1:6" ht="13.2">
      <c r="A3162" t="s">
        <v>3150</v>
      </c>
      <c r="B3162">
        <v>0</v>
      </c>
      <c r="C3162" s="44">
        <v>1500</v>
      </c>
      <c r="D3162" t="s">
        <v>291</v>
      </c>
      <c r="E3162" t="s">
        <v>693</v>
      </c>
      <c r="F3162">
        <v>3</v>
      </c>
    </row>
    <row r="3163" spans="1:6" ht="13.2">
      <c r="A3163" t="s">
        <v>3151</v>
      </c>
      <c r="B3163">
        <v>0</v>
      </c>
      <c r="C3163" s="44">
        <v>1500</v>
      </c>
      <c r="D3163" t="s">
        <v>291</v>
      </c>
      <c r="E3163" t="s">
        <v>693</v>
      </c>
      <c r="F3163">
        <v>3</v>
      </c>
    </row>
    <row r="3164" spans="1:6" ht="13.2">
      <c r="A3164" t="s">
        <v>3152</v>
      </c>
      <c r="B3164">
        <v>0</v>
      </c>
      <c r="C3164" s="44">
        <v>1500</v>
      </c>
      <c r="D3164" t="s">
        <v>291</v>
      </c>
      <c r="E3164" t="s">
        <v>693</v>
      </c>
      <c r="F3164">
        <v>3</v>
      </c>
    </row>
    <row r="3165" spans="1:6" ht="13.2">
      <c r="A3165" t="s">
        <v>3153</v>
      </c>
      <c r="B3165">
        <v>0</v>
      </c>
      <c r="C3165" s="44">
        <v>1500</v>
      </c>
      <c r="D3165" t="s">
        <v>291</v>
      </c>
      <c r="E3165" t="s">
        <v>693</v>
      </c>
      <c r="F3165">
        <v>3</v>
      </c>
    </row>
    <row r="3166" spans="1:6" ht="13.2">
      <c r="A3166" t="s">
        <v>3154</v>
      </c>
      <c r="B3166">
        <v>0</v>
      </c>
      <c r="C3166" s="44">
        <v>1500</v>
      </c>
      <c r="D3166" t="s">
        <v>291</v>
      </c>
      <c r="E3166" t="s">
        <v>693</v>
      </c>
      <c r="F3166">
        <v>3</v>
      </c>
    </row>
    <row r="3167" spans="1:6" ht="13.2">
      <c r="A3167" t="s">
        <v>3155</v>
      </c>
      <c r="B3167">
        <v>0</v>
      </c>
      <c r="C3167" s="44">
        <v>1500</v>
      </c>
      <c r="D3167" t="s">
        <v>291</v>
      </c>
      <c r="E3167" t="s">
        <v>693</v>
      </c>
      <c r="F3167">
        <v>3</v>
      </c>
    </row>
    <row r="3168" spans="1:6" ht="13.2">
      <c r="A3168" t="s">
        <v>3156</v>
      </c>
      <c r="B3168">
        <v>0</v>
      </c>
      <c r="C3168" s="44">
        <v>1500</v>
      </c>
      <c r="D3168" t="s">
        <v>291</v>
      </c>
      <c r="E3168" t="s">
        <v>693</v>
      </c>
      <c r="F3168">
        <v>3</v>
      </c>
    </row>
    <row r="3169" spans="1:6" ht="13.2">
      <c r="A3169" t="s">
        <v>3157</v>
      </c>
      <c r="B3169">
        <v>0</v>
      </c>
      <c r="C3169" s="44">
        <v>1500</v>
      </c>
      <c r="D3169" t="s">
        <v>291</v>
      </c>
      <c r="E3169" t="s">
        <v>693</v>
      </c>
      <c r="F3169">
        <v>3</v>
      </c>
    </row>
    <row r="3170" spans="1:6" ht="13.2">
      <c r="A3170" t="s">
        <v>3158</v>
      </c>
      <c r="B3170">
        <v>0</v>
      </c>
      <c r="C3170" s="44">
        <v>1500</v>
      </c>
      <c r="D3170" t="s">
        <v>291</v>
      </c>
      <c r="E3170" t="s">
        <v>693</v>
      </c>
      <c r="F3170">
        <v>3</v>
      </c>
    </row>
    <row r="3171" spans="1:6" ht="13.2">
      <c r="A3171" t="s">
        <v>3159</v>
      </c>
      <c r="B3171">
        <v>0</v>
      </c>
      <c r="C3171" s="44">
        <v>1500</v>
      </c>
      <c r="D3171" t="s">
        <v>291</v>
      </c>
      <c r="E3171" t="s">
        <v>693</v>
      </c>
      <c r="F3171">
        <v>3</v>
      </c>
    </row>
    <row r="3172" spans="1:6" ht="13.2">
      <c r="A3172" t="s">
        <v>3160</v>
      </c>
      <c r="B3172">
        <v>0</v>
      </c>
      <c r="C3172" s="44">
        <v>1500</v>
      </c>
      <c r="D3172" t="s">
        <v>291</v>
      </c>
      <c r="E3172" t="s">
        <v>693</v>
      </c>
      <c r="F3172">
        <v>3</v>
      </c>
    </row>
    <row r="3173" spans="1:6" ht="13.2">
      <c r="A3173" t="s">
        <v>3161</v>
      </c>
      <c r="B3173">
        <v>0</v>
      </c>
      <c r="C3173" s="44">
        <v>1500</v>
      </c>
      <c r="D3173" t="s">
        <v>291</v>
      </c>
      <c r="E3173" t="s">
        <v>693</v>
      </c>
      <c r="F3173">
        <v>3</v>
      </c>
    </row>
    <row r="3174" spans="1:6" ht="13.2">
      <c r="A3174" t="s">
        <v>3162</v>
      </c>
      <c r="B3174">
        <v>0</v>
      </c>
      <c r="C3174" s="44">
        <v>1500</v>
      </c>
      <c r="D3174" t="s">
        <v>291</v>
      </c>
      <c r="E3174" t="s">
        <v>693</v>
      </c>
      <c r="F3174">
        <v>3</v>
      </c>
    </row>
    <row r="3175" spans="1:6" ht="13.2">
      <c r="A3175" t="s">
        <v>3163</v>
      </c>
      <c r="B3175">
        <v>0</v>
      </c>
      <c r="C3175" s="44">
        <v>1500</v>
      </c>
      <c r="D3175" t="s">
        <v>291</v>
      </c>
      <c r="E3175" t="s">
        <v>693</v>
      </c>
      <c r="F3175">
        <v>3</v>
      </c>
    </row>
    <row r="3176" spans="1:6" ht="13.2">
      <c r="A3176" t="s">
        <v>3164</v>
      </c>
      <c r="B3176">
        <v>0</v>
      </c>
      <c r="C3176" s="44">
        <v>1500</v>
      </c>
      <c r="D3176" t="s">
        <v>291</v>
      </c>
      <c r="E3176" t="s">
        <v>693</v>
      </c>
      <c r="F3176">
        <v>3</v>
      </c>
    </row>
    <row r="3177" spans="1:6" ht="13.2">
      <c r="A3177" t="s">
        <v>3165</v>
      </c>
      <c r="B3177">
        <v>0</v>
      </c>
      <c r="C3177" s="44">
        <v>1500</v>
      </c>
      <c r="D3177" t="s">
        <v>291</v>
      </c>
      <c r="E3177" t="s">
        <v>693</v>
      </c>
      <c r="F3177">
        <v>3</v>
      </c>
    </row>
    <row r="3178" spans="1:6" ht="13.2">
      <c r="A3178" t="s">
        <v>3166</v>
      </c>
      <c r="B3178">
        <v>0</v>
      </c>
      <c r="C3178" s="44">
        <v>1500</v>
      </c>
      <c r="D3178" t="s">
        <v>291</v>
      </c>
      <c r="E3178" t="s">
        <v>693</v>
      </c>
      <c r="F3178">
        <v>3</v>
      </c>
    </row>
    <row r="3179" spans="1:6" ht="13.2">
      <c r="A3179" t="s">
        <v>3167</v>
      </c>
      <c r="B3179">
        <v>0</v>
      </c>
      <c r="C3179" s="44">
        <v>1500</v>
      </c>
      <c r="D3179" t="s">
        <v>291</v>
      </c>
      <c r="E3179" t="s">
        <v>693</v>
      </c>
      <c r="F3179">
        <v>3</v>
      </c>
    </row>
    <row r="3180" spans="1:6" ht="13.2">
      <c r="A3180" t="s">
        <v>3168</v>
      </c>
      <c r="B3180">
        <v>0</v>
      </c>
      <c r="C3180" s="44">
        <v>1500</v>
      </c>
      <c r="D3180" t="s">
        <v>291</v>
      </c>
      <c r="E3180" t="s">
        <v>693</v>
      </c>
      <c r="F3180">
        <v>3</v>
      </c>
    </row>
    <row r="3181" spans="1:6" ht="13.2">
      <c r="A3181" t="s">
        <v>3169</v>
      </c>
      <c r="B3181">
        <v>0</v>
      </c>
      <c r="C3181" s="44">
        <v>1500</v>
      </c>
      <c r="D3181" t="s">
        <v>291</v>
      </c>
      <c r="E3181" t="s">
        <v>693</v>
      </c>
      <c r="F3181">
        <v>3</v>
      </c>
    </row>
    <row r="3182" spans="1:6" ht="13.2">
      <c r="A3182" t="s">
        <v>3170</v>
      </c>
      <c r="B3182">
        <v>0</v>
      </c>
      <c r="C3182" s="44">
        <v>1500</v>
      </c>
      <c r="D3182" t="s">
        <v>291</v>
      </c>
      <c r="E3182" t="s">
        <v>693</v>
      </c>
      <c r="F3182">
        <v>3</v>
      </c>
    </row>
    <row r="3183" spans="1:6" ht="13.2">
      <c r="A3183" t="s">
        <v>3171</v>
      </c>
      <c r="B3183">
        <v>0</v>
      </c>
      <c r="C3183" s="44">
        <v>1500</v>
      </c>
      <c r="D3183" t="s">
        <v>291</v>
      </c>
      <c r="E3183" t="s">
        <v>693</v>
      </c>
      <c r="F3183">
        <v>3</v>
      </c>
    </row>
    <row r="3184" spans="1:6" ht="13.2">
      <c r="A3184" t="s">
        <v>3172</v>
      </c>
      <c r="B3184">
        <v>0</v>
      </c>
      <c r="C3184" s="44">
        <v>1500</v>
      </c>
      <c r="D3184" t="s">
        <v>291</v>
      </c>
      <c r="E3184" t="s">
        <v>693</v>
      </c>
      <c r="F3184">
        <v>3</v>
      </c>
    </row>
    <row r="3185" spans="1:6" ht="13.2">
      <c r="A3185" t="s">
        <v>3173</v>
      </c>
      <c r="B3185">
        <v>0</v>
      </c>
      <c r="C3185" s="44">
        <v>1500</v>
      </c>
      <c r="D3185" t="s">
        <v>291</v>
      </c>
      <c r="E3185" t="s">
        <v>693</v>
      </c>
      <c r="F3185">
        <v>3</v>
      </c>
    </row>
    <row r="3186" spans="1:6" ht="13.2">
      <c r="A3186" t="s">
        <v>3174</v>
      </c>
      <c r="B3186">
        <v>0</v>
      </c>
      <c r="C3186" s="44">
        <v>1500</v>
      </c>
      <c r="D3186" t="s">
        <v>291</v>
      </c>
      <c r="E3186" t="s">
        <v>693</v>
      </c>
      <c r="F3186">
        <v>3</v>
      </c>
    </row>
    <row r="3187" spans="1:6" ht="13.2">
      <c r="A3187" t="s">
        <v>3175</v>
      </c>
      <c r="B3187">
        <v>0</v>
      </c>
      <c r="C3187" s="44">
        <v>1500</v>
      </c>
      <c r="D3187" t="s">
        <v>291</v>
      </c>
      <c r="E3187" t="s">
        <v>693</v>
      </c>
      <c r="F3187">
        <v>3</v>
      </c>
    </row>
    <row r="3188" spans="1:6" ht="13.2">
      <c r="A3188" t="s">
        <v>3176</v>
      </c>
      <c r="B3188">
        <v>0</v>
      </c>
      <c r="C3188" s="44">
        <v>1500</v>
      </c>
      <c r="D3188" t="s">
        <v>291</v>
      </c>
      <c r="E3188" t="s">
        <v>693</v>
      </c>
      <c r="F3188">
        <v>3</v>
      </c>
    </row>
    <row r="3189" spans="1:6" ht="13.2">
      <c r="A3189" t="s">
        <v>3177</v>
      </c>
      <c r="B3189">
        <v>0</v>
      </c>
      <c r="C3189" s="44">
        <v>1500</v>
      </c>
      <c r="D3189" t="s">
        <v>291</v>
      </c>
      <c r="E3189" t="s">
        <v>693</v>
      </c>
      <c r="F3189">
        <v>3</v>
      </c>
    </row>
    <row r="3190" spans="1:6" ht="13.2">
      <c r="A3190" t="s">
        <v>3178</v>
      </c>
      <c r="B3190">
        <v>0</v>
      </c>
      <c r="C3190" s="44">
        <v>1500</v>
      </c>
      <c r="D3190" t="s">
        <v>291</v>
      </c>
      <c r="E3190" t="s">
        <v>693</v>
      </c>
      <c r="F3190">
        <v>3</v>
      </c>
    </row>
    <row r="3191" spans="1:6" ht="13.2">
      <c r="A3191" t="s">
        <v>3179</v>
      </c>
      <c r="B3191">
        <v>0</v>
      </c>
      <c r="C3191" s="44">
        <v>1500</v>
      </c>
      <c r="D3191" t="s">
        <v>291</v>
      </c>
      <c r="E3191" t="s">
        <v>693</v>
      </c>
      <c r="F3191">
        <v>3</v>
      </c>
    </row>
    <row r="3192" spans="1:6" ht="13.2">
      <c r="A3192" t="s">
        <v>3180</v>
      </c>
      <c r="B3192">
        <v>0</v>
      </c>
      <c r="C3192" s="44">
        <v>1500</v>
      </c>
      <c r="D3192" t="s">
        <v>291</v>
      </c>
      <c r="E3192" t="s">
        <v>693</v>
      </c>
      <c r="F3192">
        <v>3</v>
      </c>
    </row>
    <row r="3193" spans="1:6" ht="13.2">
      <c r="A3193" t="s">
        <v>3181</v>
      </c>
      <c r="B3193">
        <v>0</v>
      </c>
      <c r="C3193" s="44">
        <v>1500</v>
      </c>
      <c r="D3193" t="s">
        <v>291</v>
      </c>
      <c r="E3193" t="s">
        <v>693</v>
      </c>
      <c r="F3193">
        <v>3</v>
      </c>
    </row>
    <row r="3194" spans="1:6" ht="13.2">
      <c r="A3194" t="s">
        <v>3182</v>
      </c>
      <c r="B3194">
        <v>0</v>
      </c>
      <c r="C3194" s="44">
        <v>1500</v>
      </c>
      <c r="D3194" t="s">
        <v>291</v>
      </c>
      <c r="E3194" t="s">
        <v>693</v>
      </c>
      <c r="F3194">
        <v>3</v>
      </c>
    </row>
    <row r="3195" spans="1:6" ht="13.2">
      <c r="A3195" t="s">
        <v>3183</v>
      </c>
      <c r="B3195">
        <v>0</v>
      </c>
      <c r="C3195" s="44">
        <v>1500</v>
      </c>
      <c r="D3195" t="s">
        <v>291</v>
      </c>
      <c r="E3195" t="s">
        <v>693</v>
      </c>
      <c r="F3195">
        <v>3</v>
      </c>
    </row>
    <row r="3196" spans="1:6" ht="13.2">
      <c r="A3196" t="s">
        <v>3184</v>
      </c>
      <c r="B3196">
        <v>0</v>
      </c>
      <c r="C3196" s="44">
        <v>1500</v>
      </c>
      <c r="D3196" t="s">
        <v>291</v>
      </c>
      <c r="E3196" t="s">
        <v>693</v>
      </c>
      <c r="F3196">
        <v>3</v>
      </c>
    </row>
    <row r="3197" spans="1:6" ht="13.2">
      <c r="A3197" t="s">
        <v>3191</v>
      </c>
      <c r="B3197">
        <v>0</v>
      </c>
      <c r="C3197" s="44">
        <v>1500</v>
      </c>
      <c r="D3197" t="s">
        <v>291</v>
      </c>
      <c r="E3197" t="s">
        <v>693</v>
      </c>
      <c r="F3197">
        <v>3</v>
      </c>
    </row>
    <row r="3198" spans="1:6" ht="13.2">
      <c r="A3198" t="s">
        <v>3185</v>
      </c>
      <c r="B3198">
        <v>0</v>
      </c>
      <c r="C3198" s="44">
        <v>1500</v>
      </c>
      <c r="D3198" t="s">
        <v>291</v>
      </c>
      <c r="E3198" t="s">
        <v>693</v>
      </c>
      <c r="F3198">
        <v>3</v>
      </c>
    </row>
    <row r="3199" spans="1:6" ht="13.2">
      <c r="A3199" t="s">
        <v>3186</v>
      </c>
      <c r="B3199">
        <v>0</v>
      </c>
      <c r="C3199" s="44">
        <v>1500</v>
      </c>
      <c r="D3199" t="s">
        <v>291</v>
      </c>
      <c r="E3199" t="s">
        <v>693</v>
      </c>
      <c r="F3199">
        <v>3</v>
      </c>
    </row>
    <row r="3200" spans="1:6" ht="13.2">
      <c r="A3200" t="s">
        <v>3187</v>
      </c>
      <c r="B3200">
        <v>0</v>
      </c>
      <c r="C3200" s="44">
        <v>1500</v>
      </c>
      <c r="D3200" t="s">
        <v>291</v>
      </c>
      <c r="E3200" t="s">
        <v>693</v>
      </c>
      <c r="F3200">
        <v>3</v>
      </c>
    </row>
    <row r="3201" spans="1:6" ht="13.2">
      <c r="A3201" t="s">
        <v>3188</v>
      </c>
      <c r="B3201">
        <v>0</v>
      </c>
      <c r="C3201" s="44">
        <v>1500</v>
      </c>
      <c r="D3201" t="s">
        <v>291</v>
      </c>
      <c r="E3201" t="s">
        <v>693</v>
      </c>
      <c r="F3201">
        <v>3</v>
      </c>
    </row>
    <row r="3202" spans="1:6" ht="13.2">
      <c r="A3202" t="s">
        <v>3189</v>
      </c>
      <c r="B3202">
        <v>0</v>
      </c>
      <c r="C3202" s="44">
        <v>1500</v>
      </c>
      <c r="D3202" t="s">
        <v>291</v>
      </c>
      <c r="E3202" t="s">
        <v>693</v>
      </c>
      <c r="F3202">
        <v>3</v>
      </c>
    </row>
    <row r="3203" spans="1:6" ht="13.2">
      <c r="A3203" t="s">
        <v>3190</v>
      </c>
      <c r="B3203">
        <v>0</v>
      </c>
      <c r="C3203" s="44">
        <v>1500</v>
      </c>
      <c r="D3203" t="s">
        <v>291</v>
      </c>
      <c r="E3203" t="s">
        <v>693</v>
      </c>
      <c r="F3203">
        <v>3</v>
      </c>
    </row>
    <row r="3204" spans="1:6" ht="13.2">
      <c r="A3204" t="s">
        <v>4074</v>
      </c>
      <c r="B3204">
        <v>85</v>
      </c>
      <c r="C3204" s="44">
        <v>1370</v>
      </c>
      <c r="D3204" t="s">
        <v>291</v>
      </c>
      <c r="E3204" t="s">
        <v>4075</v>
      </c>
      <c r="F3204">
        <v>4</v>
      </c>
    </row>
    <row r="3205" spans="1:6" ht="13.2">
      <c r="A3205" t="s">
        <v>4076</v>
      </c>
      <c r="B3205">
        <v>85</v>
      </c>
      <c r="C3205" s="44">
        <v>1370</v>
      </c>
      <c r="D3205" t="s">
        <v>291</v>
      </c>
      <c r="E3205" t="s">
        <v>4075</v>
      </c>
      <c r="F3205">
        <v>4</v>
      </c>
    </row>
    <row r="3206" spans="1:6" ht="13.2">
      <c r="A3206" t="s">
        <v>4077</v>
      </c>
      <c r="B3206">
        <v>85</v>
      </c>
      <c r="C3206" s="44">
        <v>1370</v>
      </c>
      <c r="D3206" t="s">
        <v>291</v>
      </c>
      <c r="E3206" t="s">
        <v>4075</v>
      </c>
      <c r="F3206">
        <v>4</v>
      </c>
    </row>
    <row r="3207" spans="1:6" ht="13.2">
      <c r="A3207" t="s">
        <v>4078</v>
      </c>
      <c r="B3207">
        <v>85</v>
      </c>
      <c r="C3207" s="44">
        <v>1370</v>
      </c>
      <c r="D3207" t="s">
        <v>291</v>
      </c>
      <c r="E3207" t="s">
        <v>4075</v>
      </c>
      <c r="F3207">
        <v>4</v>
      </c>
    </row>
    <row r="3208" spans="1:6" ht="13.2">
      <c r="A3208" t="s">
        <v>4079</v>
      </c>
      <c r="B3208">
        <v>85</v>
      </c>
      <c r="C3208" s="44">
        <v>1370</v>
      </c>
      <c r="D3208" t="s">
        <v>291</v>
      </c>
      <c r="E3208" t="s">
        <v>4075</v>
      </c>
      <c r="F3208">
        <v>4</v>
      </c>
    </row>
    <row r="3209" spans="1:6" ht="13.2">
      <c r="A3209" t="s">
        <v>4080</v>
      </c>
      <c r="B3209">
        <v>85</v>
      </c>
      <c r="C3209" s="44">
        <v>1370</v>
      </c>
      <c r="D3209" t="s">
        <v>291</v>
      </c>
      <c r="E3209" t="s">
        <v>4075</v>
      </c>
      <c r="F3209">
        <v>4</v>
      </c>
    </row>
    <row r="3210" spans="1:6" ht="13.2">
      <c r="A3210" t="s">
        <v>4081</v>
      </c>
      <c r="B3210">
        <v>85</v>
      </c>
      <c r="C3210" s="44">
        <v>1370</v>
      </c>
      <c r="D3210" t="s">
        <v>291</v>
      </c>
      <c r="E3210" t="s">
        <v>4075</v>
      </c>
      <c r="F3210">
        <v>4</v>
      </c>
    </row>
    <row r="3211" spans="1:6" ht="13.2">
      <c r="A3211" t="s">
        <v>4082</v>
      </c>
      <c r="B3211">
        <v>85</v>
      </c>
      <c r="C3211" s="44">
        <v>1370</v>
      </c>
      <c r="D3211" t="s">
        <v>291</v>
      </c>
      <c r="E3211" t="s">
        <v>4075</v>
      </c>
      <c r="F3211">
        <v>4</v>
      </c>
    </row>
    <row r="3212" spans="1:6" ht="13.2">
      <c r="A3212" t="s">
        <v>4091</v>
      </c>
      <c r="B3212">
        <v>0</v>
      </c>
      <c r="C3212" s="44" t="s">
        <v>4092</v>
      </c>
      <c r="D3212" t="s">
        <v>293</v>
      </c>
      <c r="E3212" t="s">
        <v>253</v>
      </c>
      <c r="F3212">
        <v>3</v>
      </c>
    </row>
    <row r="3213" spans="1:6" ht="13.2">
      <c r="A3213" t="s">
        <v>4093</v>
      </c>
      <c r="B3213">
        <v>0</v>
      </c>
      <c r="C3213" s="44" t="s">
        <v>4092</v>
      </c>
      <c r="D3213" t="s">
        <v>293</v>
      </c>
      <c r="E3213" t="s">
        <v>253</v>
      </c>
      <c r="F3213">
        <v>3</v>
      </c>
    </row>
    <row r="3214" spans="1:6" ht="13.2">
      <c r="A3214" t="s">
        <v>4094</v>
      </c>
      <c r="B3214">
        <v>0</v>
      </c>
      <c r="C3214" s="44" t="s">
        <v>4092</v>
      </c>
      <c r="D3214" t="s">
        <v>293</v>
      </c>
      <c r="E3214" t="s">
        <v>253</v>
      </c>
      <c r="F3214">
        <v>3</v>
      </c>
    </row>
    <row r="3215" spans="1:6" ht="13.2">
      <c r="A3215" t="s">
        <v>4095</v>
      </c>
      <c r="B3215">
        <v>0</v>
      </c>
      <c r="C3215" s="44" t="s">
        <v>4092</v>
      </c>
      <c r="D3215" t="s">
        <v>293</v>
      </c>
      <c r="E3215" t="s">
        <v>253</v>
      </c>
      <c r="F3215">
        <v>3</v>
      </c>
    </row>
    <row r="3216" spans="1:6" ht="13.2">
      <c r="A3216" t="s">
        <v>4097</v>
      </c>
      <c r="B3216">
        <v>0</v>
      </c>
      <c r="C3216" s="44" t="s">
        <v>4092</v>
      </c>
      <c r="D3216" t="s">
        <v>293</v>
      </c>
      <c r="E3216" t="s">
        <v>253</v>
      </c>
      <c r="F3216">
        <v>3</v>
      </c>
    </row>
    <row r="3217" spans="1:6" ht="13.2">
      <c r="A3217" t="s">
        <v>4096</v>
      </c>
      <c r="B3217">
        <v>0</v>
      </c>
      <c r="C3217" s="44" t="s">
        <v>4092</v>
      </c>
      <c r="D3217" t="s">
        <v>293</v>
      </c>
      <c r="E3217" t="s">
        <v>253</v>
      </c>
      <c r="F3217">
        <v>3</v>
      </c>
    </row>
    <row r="3218" spans="1:6" ht="13.2">
      <c r="A3218" t="s">
        <v>4098</v>
      </c>
      <c r="B3218">
        <v>0</v>
      </c>
      <c r="C3218" s="44" t="s">
        <v>4092</v>
      </c>
      <c r="D3218" t="s">
        <v>293</v>
      </c>
      <c r="E3218" t="s">
        <v>253</v>
      </c>
      <c r="F3218">
        <v>3</v>
      </c>
    </row>
    <row r="3219" spans="1:6" ht="13.2">
      <c r="A3219" t="s">
        <v>4099</v>
      </c>
      <c r="B3219">
        <v>0</v>
      </c>
      <c r="C3219" s="44" t="s">
        <v>4092</v>
      </c>
      <c r="D3219" t="s">
        <v>293</v>
      </c>
      <c r="E3219" t="s">
        <v>253</v>
      </c>
      <c r="F3219">
        <v>3</v>
      </c>
    </row>
    <row r="3220" spans="1:6" ht="13.2">
      <c r="A3220" t="s">
        <v>4100</v>
      </c>
      <c r="B3220">
        <v>0</v>
      </c>
      <c r="C3220" s="44" t="s">
        <v>4092</v>
      </c>
      <c r="D3220" t="s">
        <v>293</v>
      </c>
      <c r="E3220" t="s">
        <v>253</v>
      </c>
      <c r="F3220">
        <v>3</v>
      </c>
    </row>
    <row r="3221" spans="1:6" ht="13.2">
      <c r="A3221" t="s">
        <v>4101</v>
      </c>
      <c r="B3221">
        <v>0</v>
      </c>
      <c r="C3221" s="44" t="s">
        <v>4092</v>
      </c>
      <c r="D3221" t="s">
        <v>293</v>
      </c>
      <c r="E3221" t="s">
        <v>253</v>
      </c>
      <c r="F3221">
        <v>3</v>
      </c>
    </row>
    <row r="3222" spans="1:6" ht="13.2">
      <c r="A3222" t="s">
        <v>4102</v>
      </c>
      <c r="B3222">
        <v>0</v>
      </c>
      <c r="C3222" s="44" t="s">
        <v>4092</v>
      </c>
      <c r="D3222" t="s">
        <v>293</v>
      </c>
      <c r="E3222" t="s">
        <v>253</v>
      </c>
      <c r="F3222">
        <v>3</v>
      </c>
    </row>
    <row r="3223" spans="1:6" ht="13.2">
      <c r="A3223" t="s">
        <v>4103</v>
      </c>
      <c r="B3223">
        <v>0</v>
      </c>
      <c r="C3223" s="44" t="s">
        <v>4092</v>
      </c>
      <c r="D3223" t="s">
        <v>293</v>
      </c>
      <c r="E3223" t="s">
        <v>253</v>
      </c>
      <c r="F3223">
        <v>3</v>
      </c>
    </row>
    <row r="3224" spans="1:6" ht="13.2">
      <c r="A3224" t="s">
        <v>4104</v>
      </c>
      <c r="B3224">
        <v>0</v>
      </c>
      <c r="C3224" s="44" t="s">
        <v>4092</v>
      </c>
      <c r="D3224" t="s">
        <v>293</v>
      </c>
      <c r="E3224" t="s">
        <v>253</v>
      </c>
      <c r="F3224">
        <v>3</v>
      </c>
    </row>
    <row r="3225" spans="1:6" ht="13.2">
      <c r="A3225" t="s">
        <v>4105</v>
      </c>
      <c r="B3225">
        <v>0</v>
      </c>
      <c r="C3225" s="44" t="s">
        <v>4092</v>
      </c>
      <c r="D3225" t="s">
        <v>293</v>
      </c>
      <c r="E3225" t="s">
        <v>253</v>
      </c>
      <c r="F3225">
        <v>3</v>
      </c>
    </row>
    <row r="3226" spans="1:6" ht="13.2">
      <c r="A3226" t="s">
        <v>4106</v>
      </c>
      <c r="B3226">
        <v>0</v>
      </c>
      <c r="C3226" s="44" t="s">
        <v>4092</v>
      </c>
      <c r="D3226" t="s">
        <v>293</v>
      </c>
      <c r="E3226" t="s">
        <v>253</v>
      </c>
      <c r="F3226">
        <v>3</v>
      </c>
    </row>
    <row r="3227" spans="1:6" ht="13.2">
      <c r="A3227" t="s">
        <v>4107</v>
      </c>
      <c r="B3227">
        <v>0</v>
      </c>
      <c r="C3227" s="44" t="s">
        <v>4092</v>
      </c>
      <c r="D3227" t="s">
        <v>293</v>
      </c>
      <c r="E3227" t="s">
        <v>253</v>
      </c>
      <c r="F3227">
        <v>3</v>
      </c>
    </row>
    <row r="3228" spans="1:6" ht="13.2">
      <c r="A3228" t="s">
        <v>4109</v>
      </c>
      <c r="B3228">
        <v>0</v>
      </c>
      <c r="C3228" s="44" t="s">
        <v>4092</v>
      </c>
      <c r="D3228" t="s">
        <v>293</v>
      </c>
      <c r="E3228" t="s">
        <v>253</v>
      </c>
      <c r="F3228">
        <v>3</v>
      </c>
    </row>
    <row r="3229" spans="1:6" ht="13.2">
      <c r="A3229" t="s">
        <v>4108</v>
      </c>
      <c r="B3229">
        <v>0</v>
      </c>
      <c r="C3229" s="44" t="s">
        <v>4092</v>
      </c>
      <c r="D3229" t="s">
        <v>293</v>
      </c>
      <c r="E3229" t="s">
        <v>253</v>
      </c>
      <c r="F3229">
        <v>3</v>
      </c>
    </row>
    <row r="3230" spans="1:6" ht="13.2">
      <c r="A3230" t="s">
        <v>1774</v>
      </c>
      <c r="B3230">
        <v>0</v>
      </c>
      <c r="C3230" s="44">
        <v>3200</v>
      </c>
      <c r="D3230" t="s">
        <v>293</v>
      </c>
      <c r="E3230" t="s">
        <v>364</v>
      </c>
      <c r="F3230">
        <v>3</v>
      </c>
    </row>
    <row r="3231" spans="1:6" ht="13.2">
      <c r="A3231" t="s">
        <v>1775</v>
      </c>
      <c r="B3231">
        <v>0</v>
      </c>
      <c r="C3231" s="44">
        <v>3200</v>
      </c>
      <c r="D3231" t="s">
        <v>293</v>
      </c>
      <c r="E3231" t="s">
        <v>364</v>
      </c>
      <c r="F3231">
        <v>3</v>
      </c>
    </row>
    <row r="3232" spans="1:6" ht="13.2">
      <c r="A3232" t="s">
        <v>1776</v>
      </c>
      <c r="B3232">
        <v>0</v>
      </c>
      <c r="C3232" s="44">
        <v>3200</v>
      </c>
      <c r="D3232" t="s">
        <v>293</v>
      </c>
      <c r="E3232" t="s">
        <v>364</v>
      </c>
      <c r="F3232">
        <v>3</v>
      </c>
    </row>
    <row r="3233" spans="1:6" ht="13.2">
      <c r="A3233" t="s">
        <v>1777</v>
      </c>
      <c r="B3233">
        <v>0</v>
      </c>
      <c r="C3233" s="44">
        <v>3200</v>
      </c>
      <c r="D3233" t="s">
        <v>293</v>
      </c>
      <c r="E3233" t="s">
        <v>364</v>
      </c>
      <c r="F3233">
        <v>3</v>
      </c>
    </row>
    <row r="3234" spans="1:6" ht="13.2">
      <c r="A3234" t="s">
        <v>1778</v>
      </c>
      <c r="B3234">
        <v>0</v>
      </c>
      <c r="C3234" s="44">
        <v>3200</v>
      </c>
      <c r="D3234" t="s">
        <v>293</v>
      </c>
      <c r="E3234" t="s">
        <v>364</v>
      </c>
      <c r="F3234">
        <v>3</v>
      </c>
    </row>
    <row r="3235" spans="1:6" ht="13.2">
      <c r="A3235" t="s">
        <v>1779</v>
      </c>
      <c r="B3235">
        <v>0</v>
      </c>
      <c r="C3235" s="44">
        <v>3200</v>
      </c>
      <c r="D3235" t="s">
        <v>293</v>
      </c>
      <c r="E3235" t="s">
        <v>364</v>
      </c>
      <c r="F3235">
        <v>3</v>
      </c>
    </row>
    <row r="3236" spans="1:6" ht="13.2">
      <c r="A3236" t="s">
        <v>1780</v>
      </c>
      <c r="B3236">
        <v>0</v>
      </c>
      <c r="C3236" s="44">
        <v>3200</v>
      </c>
      <c r="D3236" t="s">
        <v>293</v>
      </c>
      <c r="E3236" t="s">
        <v>364</v>
      </c>
      <c r="F3236">
        <v>3</v>
      </c>
    </row>
    <row r="3237" spans="1:6" ht="13.2">
      <c r="A3237" t="s">
        <v>1781</v>
      </c>
      <c r="B3237">
        <v>0</v>
      </c>
      <c r="C3237" s="44">
        <v>3200</v>
      </c>
      <c r="D3237" t="s">
        <v>293</v>
      </c>
      <c r="E3237" t="s">
        <v>364</v>
      </c>
      <c r="F3237">
        <v>3</v>
      </c>
    </row>
    <row r="3238" spans="1:6" ht="13.2">
      <c r="A3238" t="s">
        <v>1782</v>
      </c>
      <c r="B3238">
        <v>0</v>
      </c>
      <c r="C3238" s="44">
        <v>3200</v>
      </c>
      <c r="D3238" t="s">
        <v>293</v>
      </c>
      <c r="E3238" t="s">
        <v>364</v>
      </c>
      <c r="F3238">
        <v>3</v>
      </c>
    </row>
    <row r="3239" spans="1:6" ht="13.2">
      <c r="A3239" t="s">
        <v>1783</v>
      </c>
      <c r="B3239">
        <v>0</v>
      </c>
      <c r="C3239" s="44">
        <v>3200</v>
      </c>
      <c r="D3239" t="s">
        <v>293</v>
      </c>
      <c r="E3239" t="s">
        <v>364</v>
      </c>
      <c r="F3239">
        <v>3</v>
      </c>
    </row>
    <row r="3240" spans="1:6" ht="13.2">
      <c r="A3240" t="s">
        <v>1784</v>
      </c>
      <c r="B3240">
        <v>0</v>
      </c>
      <c r="C3240" s="44">
        <v>3200</v>
      </c>
      <c r="D3240" t="s">
        <v>293</v>
      </c>
      <c r="E3240" t="s">
        <v>364</v>
      </c>
      <c r="F3240">
        <v>3</v>
      </c>
    </row>
    <row r="3241" spans="1:6" ht="13.2">
      <c r="A3241" t="s">
        <v>1785</v>
      </c>
      <c r="B3241">
        <v>0</v>
      </c>
      <c r="C3241" s="44">
        <v>3200</v>
      </c>
      <c r="D3241" t="s">
        <v>293</v>
      </c>
      <c r="E3241" t="s">
        <v>364</v>
      </c>
      <c r="F3241">
        <v>3</v>
      </c>
    </row>
    <row r="3242" spans="1:6" ht="13.2">
      <c r="A3242" t="s">
        <v>1786</v>
      </c>
      <c r="B3242">
        <v>0</v>
      </c>
      <c r="C3242" s="44">
        <v>3200</v>
      </c>
      <c r="D3242" t="s">
        <v>293</v>
      </c>
      <c r="E3242" t="s">
        <v>364</v>
      </c>
      <c r="F3242">
        <v>3</v>
      </c>
    </row>
    <row r="3243" spans="1:6" ht="13.2">
      <c r="A3243" t="s">
        <v>1271</v>
      </c>
      <c r="B3243">
        <v>0</v>
      </c>
      <c r="C3243" s="44" t="s">
        <v>204</v>
      </c>
      <c r="D3243" s="45" t="s">
        <v>293</v>
      </c>
      <c r="E3243" t="s">
        <v>256</v>
      </c>
      <c r="F3243">
        <v>4</v>
      </c>
    </row>
    <row r="3244" spans="1:6" ht="13.2">
      <c r="A3244" t="s">
        <v>1272</v>
      </c>
      <c r="B3244">
        <v>0</v>
      </c>
      <c r="C3244" s="44" t="s">
        <v>204</v>
      </c>
      <c r="D3244" s="45" t="s">
        <v>293</v>
      </c>
      <c r="E3244" t="s">
        <v>256</v>
      </c>
      <c r="F3244">
        <v>4</v>
      </c>
    </row>
    <row r="3245" spans="1:6" ht="13.2">
      <c r="A3245" t="s">
        <v>1592</v>
      </c>
      <c r="B3245">
        <v>0</v>
      </c>
      <c r="C3245" s="44">
        <v>3000</v>
      </c>
      <c r="D3245" t="s">
        <v>293</v>
      </c>
      <c r="E3245" t="s">
        <v>256</v>
      </c>
      <c r="F3245">
        <v>4</v>
      </c>
    </row>
    <row r="3246" spans="1:6" ht="13.2">
      <c r="A3246" t="s">
        <v>1273</v>
      </c>
      <c r="B3246">
        <v>0</v>
      </c>
      <c r="C3246" s="44" t="s">
        <v>204</v>
      </c>
      <c r="D3246" s="45" t="s">
        <v>293</v>
      </c>
      <c r="E3246" t="s">
        <v>256</v>
      </c>
      <c r="F3246">
        <v>4</v>
      </c>
    </row>
    <row r="3247" spans="1:6" ht="13.2">
      <c r="A3247" t="s">
        <v>1274</v>
      </c>
      <c r="B3247">
        <v>0</v>
      </c>
      <c r="C3247" s="44" t="s">
        <v>204</v>
      </c>
      <c r="D3247" s="45" t="s">
        <v>293</v>
      </c>
      <c r="E3247" t="s">
        <v>256</v>
      </c>
      <c r="F3247">
        <v>4</v>
      </c>
    </row>
    <row r="3248" spans="1:6" ht="13.2">
      <c r="A3248" t="s">
        <v>1275</v>
      </c>
      <c r="B3248">
        <v>0</v>
      </c>
      <c r="C3248" s="44" t="s">
        <v>204</v>
      </c>
      <c r="D3248" s="45" t="s">
        <v>293</v>
      </c>
      <c r="E3248" t="s">
        <v>256</v>
      </c>
      <c r="F3248">
        <v>4</v>
      </c>
    </row>
    <row r="3249" spans="1:6" ht="13.2">
      <c r="A3249" t="s">
        <v>1276</v>
      </c>
      <c r="B3249">
        <v>0</v>
      </c>
      <c r="C3249" s="44" t="s">
        <v>204</v>
      </c>
      <c r="D3249" s="45" t="s">
        <v>293</v>
      </c>
      <c r="E3249" t="s">
        <v>256</v>
      </c>
      <c r="F3249">
        <v>4</v>
      </c>
    </row>
    <row r="3250" spans="1:6" ht="13.2">
      <c r="A3250" t="s">
        <v>1277</v>
      </c>
      <c r="B3250">
        <v>0</v>
      </c>
      <c r="C3250" s="44" t="s">
        <v>204</v>
      </c>
      <c r="D3250" s="45" t="s">
        <v>293</v>
      </c>
      <c r="E3250" t="s">
        <v>256</v>
      </c>
      <c r="F3250">
        <v>4</v>
      </c>
    </row>
    <row r="3251" spans="1:6" ht="13.2">
      <c r="A3251" t="s">
        <v>1278</v>
      </c>
      <c r="B3251">
        <v>0</v>
      </c>
      <c r="C3251" s="44" t="s">
        <v>204</v>
      </c>
      <c r="D3251" s="45" t="s">
        <v>293</v>
      </c>
      <c r="E3251" t="s">
        <v>256</v>
      </c>
      <c r="F3251">
        <v>4</v>
      </c>
    </row>
    <row r="3252" spans="1:6" ht="13.2">
      <c r="A3252" t="s">
        <v>2374</v>
      </c>
      <c r="B3252">
        <v>0</v>
      </c>
      <c r="C3252" s="44">
        <v>1400</v>
      </c>
      <c r="D3252" t="s">
        <v>291</v>
      </c>
      <c r="E3252" t="s">
        <v>256</v>
      </c>
      <c r="F3252">
        <v>1</v>
      </c>
    </row>
    <row r="3253" spans="1:6" ht="13.2">
      <c r="A3253" t="s">
        <v>2375</v>
      </c>
      <c r="B3253">
        <v>0</v>
      </c>
      <c r="C3253" s="44">
        <v>1400</v>
      </c>
      <c r="D3253" t="s">
        <v>291</v>
      </c>
      <c r="E3253" t="s">
        <v>256</v>
      </c>
      <c r="F3253">
        <v>1</v>
      </c>
    </row>
    <row r="3254" spans="1:6" ht="13.2">
      <c r="A3254" t="s">
        <v>2376</v>
      </c>
      <c r="B3254">
        <v>0</v>
      </c>
      <c r="C3254" s="44">
        <v>1400</v>
      </c>
      <c r="D3254" t="s">
        <v>291</v>
      </c>
      <c r="E3254" t="s">
        <v>256</v>
      </c>
      <c r="F3254">
        <v>1</v>
      </c>
    </row>
    <row r="3255" spans="1:6" ht="13.2">
      <c r="A3255" t="s">
        <v>2377</v>
      </c>
      <c r="B3255">
        <v>0</v>
      </c>
      <c r="C3255" s="44">
        <v>1400</v>
      </c>
      <c r="D3255" t="s">
        <v>291</v>
      </c>
      <c r="E3255" t="s">
        <v>256</v>
      </c>
      <c r="F3255">
        <v>1</v>
      </c>
    </row>
    <row r="3256" spans="1:6" ht="13.2">
      <c r="A3256" t="s">
        <v>2378</v>
      </c>
      <c r="B3256">
        <v>0</v>
      </c>
      <c r="C3256" s="44">
        <v>1400</v>
      </c>
      <c r="D3256" t="s">
        <v>291</v>
      </c>
      <c r="E3256" t="s">
        <v>256</v>
      </c>
      <c r="F3256">
        <v>1</v>
      </c>
    </row>
    <row r="3257" spans="1:6" ht="13.2">
      <c r="A3257" t="s">
        <v>2379</v>
      </c>
      <c r="B3257">
        <v>0</v>
      </c>
      <c r="C3257" s="44">
        <v>1400</v>
      </c>
      <c r="D3257" t="s">
        <v>291</v>
      </c>
      <c r="E3257" t="s">
        <v>256</v>
      </c>
      <c r="F3257">
        <v>1</v>
      </c>
    </row>
    <row r="3258" spans="1:6" ht="13.2">
      <c r="A3258" t="s">
        <v>2380</v>
      </c>
      <c r="B3258">
        <v>0</v>
      </c>
      <c r="C3258" s="44">
        <v>1400</v>
      </c>
      <c r="D3258" t="s">
        <v>291</v>
      </c>
      <c r="E3258" t="s">
        <v>256</v>
      </c>
      <c r="F3258">
        <v>1</v>
      </c>
    </row>
    <row r="3259" spans="1:6" ht="13.2">
      <c r="A3259" t="s">
        <v>2381</v>
      </c>
      <c r="B3259">
        <v>0</v>
      </c>
      <c r="C3259" s="44">
        <v>1400</v>
      </c>
      <c r="D3259" t="s">
        <v>291</v>
      </c>
      <c r="E3259" t="s">
        <v>256</v>
      </c>
      <c r="F3259">
        <v>1</v>
      </c>
    </row>
    <row r="3260" spans="1:6" ht="13.2">
      <c r="A3260" t="s">
        <v>2382</v>
      </c>
      <c r="B3260">
        <v>0</v>
      </c>
      <c r="C3260" s="44">
        <v>1400</v>
      </c>
      <c r="D3260" t="s">
        <v>291</v>
      </c>
      <c r="E3260" t="s">
        <v>256</v>
      </c>
      <c r="F3260">
        <v>1</v>
      </c>
    </row>
    <row r="3261" spans="1:6" ht="13.2">
      <c r="A3261" t="s">
        <v>2383</v>
      </c>
      <c r="B3261">
        <v>0</v>
      </c>
      <c r="C3261" s="44">
        <v>1400</v>
      </c>
      <c r="D3261" t="s">
        <v>291</v>
      </c>
      <c r="E3261" t="s">
        <v>256</v>
      </c>
      <c r="F3261">
        <v>1</v>
      </c>
    </row>
    <row r="3262" spans="1:6" ht="13.2">
      <c r="A3262" t="s">
        <v>2384</v>
      </c>
      <c r="B3262">
        <v>0</v>
      </c>
      <c r="C3262" s="44">
        <v>1400</v>
      </c>
      <c r="D3262" t="s">
        <v>291</v>
      </c>
      <c r="E3262" t="s">
        <v>256</v>
      </c>
      <c r="F3262">
        <v>1</v>
      </c>
    </row>
    <row r="3263" spans="1:6" ht="13.2">
      <c r="A3263" t="s">
        <v>2385</v>
      </c>
      <c r="B3263">
        <v>0</v>
      </c>
      <c r="C3263" s="44">
        <v>1400</v>
      </c>
      <c r="D3263" t="s">
        <v>291</v>
      </c>
      <c r="E3263" t="s">
        <v>256</v>
      </c>
      <c r="F3263">
        <v>1</v>
      </c>
    </row>
    <row r="3264" spans="1:6" ht="13.2">
      <c r="A3264" t="s">
        <v>2386</v>
      </c>
      <c r="B3264">
        <v>0</v>
      </c>
      <c r="C3264" s="44">
        <v>1400</v>
      </c>
      <c r="D3264" t="s">
        <v>291</v>
      </c>
      <c r="E3264" t="s">
        <v>256</v>
      </c>
      <c r="F3264">
        <v>1</v>
      </c>
    </row>
    <row r="3265" spans="1:6" ht="13.2">
      <c r="A3265" t="s">
        <v>2387</v>
      </c>
      <c r="B3265">
        <v>0</v>
      </c>
      <c r="C3265" s="44">
        <v>1400</v>
      </c>
      <c r="D3265" t="s">
        <v>291</v>
      </c>
      <c r="E3265" t="s">
        <v>256</v>
      </c>
      <c r="F3265">
        <v>1</v>
      </c>
    </row>
    <row r="3266" spans="1:6" ht="13.2">
      <c r="A3266" t="s">
        <v>2388</v>
      </c>
      <c r="B3266">
        <v>0</v>
      </c>
      <c r="C3266" s="44">
        <v>1400</v>
      </c>
      <c r="D3266" t="s">
        <v>291</v>
      </c>
      <c r="E3266" t="s">
        <v>256</v>
      </c>
      <c r="F3266">
        <v>1</v>
      </c>
    </row>
    <row r="3267" spans="1:6" ht="13.2">
      <c r="A3267" t="s">
        <v>2389</v>
      </c>
      <c r="B3267">
        <v>0</v>
      </c>
      <c r="C3267" s="44">
        <v>1400</v>
      </c>
      <c r="D3267" t="s">
        <v>291</v>
      </c>
      <c r="E3267" t="s">
        <v>256</v>
      </c>
      <c r="F3267">
        <v>1</v>
      </c>
    </row>
    <row r="3268" spans="1:6" ht="13.2">
      <c r="A3268" t="s">
        <v>2390</v>
      </c>
      <c r="B3268">
        <v>0</v>
      </c>
      <c r="C3268" s="44">
        <v>1400</v>
      </c>
      <c r="D3268" t="s">
        <v>291</v>
      </c>
      <c r="E3268" t="s">
        <v>256</v>
      </c>
      <c r="F3268">
        <v>1</v>
      </c>
    </row>
    <row r="3269" spans="1:6" ht="13.2">
      <c r="A3269" t="s">
        <v>2391</v>
      </c>
      <c r="B3269">
        <v>0</v>
      </c>
      <c r="C3269" s="44">
        <v>1400</v>
      </c>
      <c r="D3269" t="s">
        <v>291</v>
      </c>
      <c r="E3269" t="s">
        <v>256</v>
      </c>
      <c r="F3269">
        <v>1</v>
      </c>
    </row>
    <row r="3270" spans="1:6" ht="13.2">
      <c r="A3270" t="s">
        <v>2392</v>
      </c>
      <c r="B3270">
        <v>0</v>
      </c>
      <c r="C3270" s="44">
        <v>1400</v>
      </c>
      <c r="D3270" t="s">
        <v>291</v>
      </c>
      <c r="E3270" t="s">
        <v>256</v>
      </c>
      <c r="F3270">
        <v>1</v>
      </c>
    </row>
    <row r="3271" spans="1:6" ht="13.2">
      <c r="A3271" t="s">
        <v>2393</v>
      </c>
      <c r="B3271">
        <v>0</v>
      </c>
      <c r="C3271" s="44">
        <v>1400</v>
      </c>
      <c r="D3271" t="s">
        <v>291</v>
      </c>
      <c r="E3271" t="s">
        <v>256</v>
      </c>
      <c r="F3271">
        <v>1</v>
      </c>
    </row>
    <row r="3272" spans="1:6" ht="13.2">
      <c r="A3272" t="s">
        <v>2394</v>
      </c>
      <c r="B3272">
        <v>0</v>
      </c>
      <c r="C3272" s="44">
        <v>1400</v>
      </c>
      <c r="D3272" t="s">
        <v>291</v>
      </c>
      <c r="E3272" t="s">
        <v>256</v>
      </c>
      <c r="F3272">
        <v>1</v>
      </c>
    </row>
    <row r="3273" spans="1:6" ht="13.2">
      <c r="A3273" t="s">
        <v>2395</v>
      </c>
      <c r="B3273">
        <v>0</v>
      </c>
      <c r="C3273" s="44">
        <v>1400</v>
      </c>
      <c r="D3273" t="s">
        <v>291</v>
      </c>
      <c r="E3273" t="s">
        <v>256</v>
      </c>
      <c r="F3273">
        <v>1</v>
      </c>
    </row>
    <row r="3274" spans="1:6" ht="13.2">
      <c r="A3274" t="s">
        <v>2396</v>
      </c>
      <c r="B3274">
        <v>0</v>
      </c>
      <c r="C3274" s="44">
        <v>1400</v>
      </c>
      <c r="D3274" t="s">
        <v>291</v>
      </c>
      <c r="E3274" t="s">
        <v>256</v>
      </c>
      <c r="F3274">
        <v>1</v>
      </c>
    </row>
    <row r="3275" spans="1:6" ht="13.2">
      <c r="A3275" t="s">
        <v>2397</v>
      </c>
      <c r="B3275">
        <v>0</v>
      </c>
      <c r="C3275" s="44">
        <v>1400</v>
      </c>
      <c r="D3275" t="s">
        <v>291</v>
      </c>
      <c r="E3275" t="s">
        <v>256</v>
      </c>
      <c r="F3275">
        <v>1</v>
      </c>
    </row>
    <row r="3276" spans="1:6" ht="13.2">
      <c r="A3276" t="s">
        <v>2398</v>
      </c>
      <c r="B3276">
        <v>0</v>
      </c>
      <c r="C3276" s="44">
        <v>1400</v>
      </c>
      <c r="D3276" t="s">
        <v>291</v>
      </c>
      <c r="E3276" t="s">
        <v>256</v>
      </c>
      <c r="F3276">
        <v>1</v>
      </c>
    </row>
    <row r="3277" spans="1:6" ht="13.2">
      <c r="A3277" t="s">
        <v>2399</v>
      </c>
      <c r="B3277">
        <v>0</v>
      </c>
      <c r="C3277" s="44">
        <v>1400</v>
      </c>
      <c r="D3277" t="s">
        <v>291</v>
      </c>
      <c r="E3277" t="s">
        <v>256</v>
      </c>
      <c r="F3277">
        <v>1</v>
      </c>
    </row>
    <row r="3278" spans="1:6" ht="13.2">
      <c r="A3278" t="s">
        <v>2400</v>
      </c>
      <c r="B3278">
        <v>0</v>
      </c>
      <c r="C3278" s="44">
        <v>1400</v>
      </c>
      <c r="D3278" t="s">
        <v>291</v>
      </c>
      <c r="E3278" t="s">
        <v>256</v>
      </c>
      <c r="F3278">
        <v>1</v>
      </c>
    </row>
    <row r="3279" spans="1:6" ht="13.2">
      <c r="A3279" t="s">
        <v>2401</v>
      </c>
      <c r="B3279">
        <v>0</v>
      </c>
      <c r="C3279" s="44">
        <v>1400</v>
      </c>
      <c r="D3279" t="s">
        <v>291</v>
      </c>
      <c r="E3279" t="s">
        <v>256</v>
      </c>
      <c r="F3279">
        <v>1</v>
      </c>
    </row>
    <row r="3280" spans="1:6" ht="13.2">
      <c r="A3280" t="s">
        <v>2402</v>
      </c>
      <c r="B3280">
        <v>0</v>
      </c>
      <c r="C3280" s="44">
        <v>1400</v>
      </c>
      <c r="D3280" t="s">
        <v>291</v>
      </c>
      <c r="E3280" t="s">
        <v>256</v>
      </c>
      <c r="F3280">
        <v>1</v>
      </c>
    </row>
    <row r="3281" spans="1:6" ht="13.2">
      <c r="A3281" t="s">
        <v>2403</v>
      </c>
      <c r="B3281">
        <v>0</v>
      </c>
      <c r="C3281" s="44">
        <v>1400</v>
      </c>
      <c r="D3281" t="s">
        <v>291</v>
      </c>
      <c r="E3281" t="s">
        <v>256</v>
      </c>
      <c r="F3281">
        <v>1</v>
      </c>
    </row>
    <row r="3282" spans="1:6" ht="13.2">
      <c r="A3282" t="s">
        <v>1593</v>
      </c>
      <c r="B3282">
        <v>642</v>
      </c>
      <c r="C3282" s="44">
        <v>3000</v>
      </c>
      <c r="D3282" t="s">
        <v>293</v>
      </c>
      <c r="E3282" t="s">
        <v>256</v>
      </c>
      <c r="F3282">
        <v>4</v>
      </c>
    </row>
    <row r="3283" spans="1:6" ht="13.2">
      <c r="A3283" t="s">
        <v>1594</v>
      </c>
      <c r="B3283">
        <v>642</v>
      </c>
      <c r="C3283" s="44">
        <v>3000</v>
      </c>
      <c r="D3283" t="s">
        <v>293</v>
      </c>
      <c r="E3283" t="s">
        <v>256</v>
      </c>
      <c r="F3283">
        <v>4</v>
      </c>
    </row>
    <row r="3284" spans="1:6" ht="13.2">
      <c r="A3284" t="s">
        <v>1279</v>
      </c>
      <c r="B3284">
        <v>642</v>
      </c>
      <c r="C3284" s="44" t="s">
        <v>204</v>
      </c>
      <c r="D3284" t="s">
        <v>293</v>
      </c>
      <c r="E3284" t="s">
        <v>256</v>
      </c>
      <c r="F3284">
        <v>4</v>
      </c>
    </row>
    <row r="3285" spans="1:6" ht="13.2">
      <c r="A3285" t="s">
        <v>1595</v>
      </c>
      <c r="B3285">
        <v>642</v>
      </c>
      <c r="C3285" s="44">
        <v>3000</v>
      </c>
      <c r="D3285" t="s">
        <v>293</v>
      </c>
      <c r="E3285" t="s">
        <v>256</v>
      </c>
      <c r="F3285">
        <v>4</v>
      </c>
    </row>
    <row r="3286" spans="1:6" ht="13.2">
      <c r="A3286" t="s">
        <v>1596</v>
      </c>
      <c r="B3286">
        <v>642</v>
      </c>
      <c r="C3286" s="44">
        <v>3000</v>
      </c>
      <c r="D3286" t="s">
        <v>293</v>
      </c>
      <c r="E3286" t="s">
        <v>256</v>
      </c>
      <c r="F3286">
        <v>4</v>
      </c>
    </row>
    <row r="3287" spans="1:6" ht="13.2">
      <c r="A3287" t="s">
        <v>1649</v>
      </c>
      <c r="B3287">
        <v>0</v>
      </c>
      <c r="C3287" s="44">
        <v>3000</v>
      </c>
      <c r="D3287" t="s">
        <v>293</v>
      </c>
      <c r="E3287" t="s">
        <v>256</v>
      </c>
      <c r="F3287">
        <v>4</v>
      </c>
    </row>
    <row r="3288" spans="1:6" ht="13.2">
      <c r="A3288" t="s">
        <v>1650</v>
      </c>
      <c r="B3288">
        <v>0</v>
      </c>
      <c r="C3288" s="44">
        <v>3000</v>
      </c>
      <c r="D3288" t="s">
        <v>293</v>
      </c>
      <c r="E3288" t="s">
        <v>256</v>
      </c>
      <c r="F3288">
        <v>4</v>
      </c>
    </row>
    <row r="3289" spans="1:6" ht="13.2">
      <c r="A3289" t="s">
        <v>1651</v>
      </c>
      <c r="B3289">
        <v>0</v>
      </c>
      <c r="C3289" s="44">
        <v>3000</v>
      </c>
      <c r="D3289" t="s">
        <v>293</v>
      </c>
      <c r="E3289" t="s">
        <v>256</v>
      </c>
      <c r="F3289">
        <v>4</v>
      </c>
    </row>
    <row r="3290" spans="1:6" ht="13.2">
      <c r="A3290" t="s">
        <v>1652</v>
      </c>
      <c r="B3290">
        <v>0</v>
      </c>
      <c r="C3290" s="44">
        <v>3000</v>
      </c>
      <c r="D3290" t="s">
        <v>293</v>
      </c>
      <c r="E3290" t="s">
        <v>256</v>
      </c>
      <c r="F3290">
        <v>4</v>
      </c>
    </row>
    <row r="3291" spans="1:6" ht="13.2">
      <c r="A3291" t="s">
        <v>1653</v>
      </c>
      <c r="B3291">
        <v>0</v>
      </c>
      <c r="C3291" s="44">
        <v>3000</v>
      </c>
      <c r="D3291" t="s">
        <v>293</v>
      </c>
      <c r="E3291" t="s">
        <v>256</v>
      </c>
      <c r="F3291">
        <v>4</v>
      </c>
    </row>
    <row r="3292" spans="1:6" ht="13.2">
      <c r="A3292" t="s">
        <v>1654</v>
      </c>
      <c r="B3292">
        <v>0</v>
      </c>
      <c r="C3292" s="44">
        <v>3000</v>
      </c>
      <c r="D3292" t="s">
        <v>293</v>
      </c>
      <c r="E3292" t="s">
        <v>256</v>
      </c>
      <c r="F3292">
        <v>4</v>
      </c>
    </row>
    <row r="3293" spans="1:6" ht="13.2">
      <c r="A3293" t="s">
        <v>1655</v>
      </c>
      <c r="B3293">
        <v>0</v>
      </c>
      <c r="C3293" s="44">
        <v>3000</v>
      </c>
      <c r="D3293" t="s">
        <v>293</v>
      </c>
      <c r="E3293" t="s">
        <v>256</v>
      </c>
      <c r="F3293">
        <v>4</v>
      </c>
    </row>
    <row r="3294" spans="1:6" ht="13.2">
      <c r="A3294" t="s">
        <v>1656</v>
      </c>
      <c r="B3294">
        <v>0</v>
      </c>
      <c r="C3294" s="44">
        <v>3000</v>
      </c>
      <c r="D3294" t="s">
        <v>293</v>
      </c>
      <c r="E3294" t="s">
        <v>256</v>
      </c>
      <c r="F3294">
        <v>4</v>
      </c>
    </row>
    <row r="3295" spans="1:6" ht="13.2">
      <c r="A3295" t="s">
        <v>1657</v>
      </c>
      <c r="B3295">
        <v>0</v>
      </c>
      <c r="C3295" s="44">
        <v>3000</v>
      </c>
      <c r="D3295" t="s">
        <v>293</v>
      </c>
      <c r="E3295" t="s">
        <v>256</v>
      </c>
      <c r="F3295">
        <v>4</v>
      </c>
    </row>
    <row r="3296" spans="1:6" ht="13.2">
      <c r="A3296" t="s">
        <v>1658</v>
      </c>
      <c r="B3296">
        <v>0</v>
      </c>
      <c r="C3296" s="44">
        <v>3000</v>
      </c>
      <c r="D3296" t="s">
        <v>293</v>
      </c>
      <c r="E3296" t="s">
        <v>256</v>
      </c>
      <c r="F3296">
        <v>4</v>
      </c>
    </row>
    <row r="3297" spans="1:6" ht="13.2">
      <c r="A3297" t="s">
        <v>1659</v>
      </c>
      <c r="B3297">
        <v>0</v>
      </c>
      <c r="C3297" s="44">
        <v>3000</v>
      </c>
      <c r="D3297" t="s">
        <v>293</v>
      </c>
      <c r="E3297" t="s">
        <v>256</v>
      </c>
      <c r="F3297">
        <v>4</v>
      </c>
    </row>
    <row r="3298" spans="1:6" ht="13.2">
      <c r="A3298" t="s">
        <v>1660</v>
      </c>
      <c r="B3298">
        <v>0</v>
      </c>
      <c r="C3298" s="44">
        <v>3000</v>
      </c>
      <c r="D3298" t="s">
        <v>293</v>
      </c>
      <c r="E3298" t="s">
        <v>256</v>
      </c>
      <c r="F3298">
        <v>4</v>
      </c>
    </row>
    <row r="3299" spans="1:6" ht="13.2">
      <c r="A3299" t="s">
        <v>1661</v>
      </c>
      <c r="B3299">
        <v>0</v>
      </c>
      <c r="C3299" s="44">
        <v>3000</v>
      </c>
      <c r="D3299" t="s">
        <v>293</v>
      </c>
      <c r="E3299" t="s">
        <v>256</v>
      </c>
      <c r="F3299">
        <v>4</v>
      </c>
    </row>
    <row r="3300" spans="1:6" ht="13.2">
      <c r="A3300" t="s">
        <v>2404</v>
      </c>
      <c r="B3300">
        <v>0</v>
      </c>
      <c r="C3300" s="44">
        <v>1400</v>
      </c>
      <c r="D3300" t="s">
        <v>291</v>
      </c>
      <c r="E3300" t="s">
        <v>364</v>
      </c>
      <c r="F3300">
        <v>3</v>
      </c>
    </row>
    <row r="3301" spans="1:6" ht="13.2">
      <c r="A3301" t="s">
        <v>2405</v>
      </c>
      <c r="B3301">
        <v>0</v>
      </c>
      <c r="C3301" s="44">
        <v>1400</v>
      </c>
      <c r="D3301" t="s">
        <v>291</v>
      </c>
      <c r="E3301" t="s">
        <v>364</v>
      </c>
      <c r="F3301">
        <v>3</v>
      </c>
    </row>
    <row r="3302" spans="1:6" ht="13.2">
      <c r="A3302" t="s">
        <v>2406</v>
      </c>
      <c r="B3302">
        <v>0</v>
      </c>
      <c r="C3302" s="44">
        <v>1400</v>
      </c>
      <c r="D3302" t="s">
        <v>291</v>
      </c>
      <c r="E3302" t="s">
        <v>364</v>
      </c>
      <c r="F3302">
        <v>3</v>
      </c>
    </row>
    <row r="3303" spans="1:6" ht="13.2">
      <c r="A3303" t="s">
        <v>2407</v>
      </c>
      <c r="B3303">
        <v>0</v>
      </c>
      <c r="C3303" s="44">
        <v>1400</v>
      </c>
      <c r="D3303" t="s">
        <v>291</v>
      </c>
      <c r="E3303" t="s">
        <v>364</v>
      </c>
      <c r="F3303">
        <v>3</v>
      </c>
    </row>
    <row r="3304" spans="1:6" ht="13.2">
      <c r="A3304" t="s">
        <v>2408</v>
      </c>
      <c r="B3304">
        <v>0</v>
      </c>
      <c r="C3304" s="44">
        <v>1400</v>
      </c>
      <c r="D3304" t="s">
        <v>291</v>
      </c>
      <c r="E3304" t="s">
        <v>364</v>
      </c>
      <c r="F3304">
        <v>3</v>
      </c>
    </row>
    <row r="3305" spans="1:6" ht="13.2">
      <c r="A3305" t="s">
        <v>2409</v>
      </c>
      <c r="B3305">
        <v>0</v>
      </c>
      <c r="C3305" s="44">
        <v>1400</v>
      </c>
      <c r="D3305" t="s">
        <v>291</v>
      </c>
      <c r="E3305" t="s">
        <v>364</v>
      </c>
      <c r="F3305">
        <v>3</v>
      </c>
    </row>
    <row r="3306" spans="1:6" ht="13.2">
      <c r="A3306" t="s">
        <v>2410</v>
      </c>
      <c r="B3306">
        <v>0</v>
      </c>
      <c r="C3306" s="44">
        <v>1400</v>
      </c>
      <c r="D3306" t="s">
        <v>291</v>
      </c>
      <c r="E3306" t="s">
        <v>364</v>
      </c>
      <c r="F3306">
        <v>3</v>
      </c>
    </row>
    <row r="3307" spans="1:6" ht="13.2">
      <c r="A3307" t="s">
        <v>2411</v>
      </c>
      <c r="B3307">
        <v>0</v>
      </c>
      <c r="C3307" s="44">
        <v>1400</v>
      </c>
      <c r="D3307" t="s">
        <v>291</v>
      </c>
      <c r="E3307" t="s">
        <v>364</v>
      </c>
      <c r="F3307">
        <v>3</v>
      </c>
    </row>
    <row r="3308" spans="1:6" ht="13.2">
      <c r="A3308" t="s">
        <v>2412</v>
      </c>
      <c r="B3308">
        <v>0</v>
      </c>
      <c r="C3308" s="44">
        <v>1400</v>
      </c>
      <c r="D3308" t="s">
        <v>291</v>
      </c>
      <c r="E3308" t="s">
        <v>364</v>
      </c>
      <c r="F3308">
        <v>3</v>
      </c>
    </row>
    <row r="3309" spans="1:6" ht="13.2">
      <c r="A3309" t="s">
        <v>2413</v>
      </c>
      <c r="B3309">
        <v>0</v>
      </c>
      <c r="C3309" s="44">
        <v>1400</v>
      </c>
      <c r="D3309" t="s">
        <v>291</v>
      </c>
      <c r="E3309" t="s">
        <v>364</v>
      </c>
      <c r="F3309">
        <v>3</v>
      </c>
    </row>
    <row r="3310" spans="1:6" ht="13.2">
      <c r="A3310" t="s">
        <v>2414</v>
      </c>
      <c r="B3310">
        <v>0</v>
      </c>
      <c r="C3310" s="44">
        <v>1400</v>
      </c>
      <c r="D3310" t="s">
        <v>291</v>
      </c>
      <c r="E3310" t="s">
        <v>364</v>
      </c>
      <c r="F3310">
        <v>3</v>
      </c>
    </row>
    <row r="3311" spans="1:6" ht="13.2">
      <c r="A3311" t="s">
        <v>2415</v>
      </c>
      <c r="B3311">
        <v>0</v>
      </c>
      <c r="C3311" s="44">
        <v>1400</v>
      </c>
      <c r="D3311" t="s">
        <v>291</v>
      </c>
      <c r="E3311" t="s">
        <v>364</v>
      </c>
      <c r="F3311">
        <v>3</v>
      </c>
    </row>
    <row r="3312" spans="1:6" ht="13.2">
      <c r="A3312" t="s">
        <v>2416</v>
      </c>
      <c r="B3312">
        <v>0</v>
      </c>
      <c r="C3312" s="44">
        <v>1400</v>
      </c>
      <c r="D3312" t="s">
        <v>291</v>
      </c>
      <c r="E3312" t="s">
        <v>364</v>
      </c>
      <c r="F3312">
        <v>3</v>
      </c>
    </row>
    <row r="3313" spans="1:6" ht="13.2">
      <c r="A3313" t="s">
        <v>2417</v>
      </c>
      <c r="B3313">
        <v>0</v>
      </c>
      <c r="C3313" s="44">
        <v>1400</v>
      </c>
      <c r="D3313" t="s">
        <v>291</v>
      </c>
      <c r="E3313" t="s">
        <v>364</v>
      </c>
      <c r="F3313">
        <v>3</v>
      </c>
    </row>
    <row r="3314" spans="1:6" ht="13.2">
      <c r="A3314" t="s">
        <v>2418</v>
      </c>
      <c r="B3314">
        <v>0</v>
      </c>
      <c r="C3314" s="44">
        <v>1400</v>
      </c>
      <c r="D3314" t="s">
        <v>291</v>
      </c>
      <c r="E3314" t="s">
        <v>364</v>
      </c>
      <c r="F3314">
        <v>3</v>
      </c>
    </row>
    <row r="3315" spans="1:6" ht="13.2">
      <c r="A3315" t="s">
        <v>2419</v>
      </c>
      <c r="B3315">
        <v>0</v>
      </c>
      <c r="C3315" s="44">
        <v>1400</v>
      </c>
      <c r="D3315" t="s">
        <v>291</v>
      </c>
      <c r="E3315" t="s">
        <v>364</v>
      </c>
      <c r="F3315">
        <v>3</v>
      </c>
    </row>
    <row r="3316" spans="1:6" ht="13.2">
      <c r="A3316" t="s">
        <v>2420</v>
      </c>
      <c r="B3316">
        <v>0</v>
      </c>
      <c r="C3316" s="44">
        <v>1400</v>
      </c>
      <c r="D3316" t="s">
        <v>291</v>
      </c>
      <c r="E3316" t="s">
        <v>364</v>
      </c>
      <c r="F3316">
        <v>3</v>
      </c>
    </row>
    <row r="3317" spans="1:6" ht="13.2">
      <c r="A3317" t="s">
        <v>2421</v>
      </c>
      <c r="B3317">
        <v>0</v>
      </c>
      <c r="C3317" s="44">
        <v>1400</v>
      </c>
      <c r="D3317" t="s">
        <v>291</v>
      </c>
      <c r="E3317" t="s">
        <v>364</v>
      </c>
      <c r="F3317">
        <v>3</v>
      </c>
    </row>
    <row r="3318" spans="1:6" ht="13.2">
      <c r="A3318" t="s">
        <v>2422</v>
      </c>
      <c r="B3318">
        <v>0</v>
      </c>
      <c r="C3318" s="44">
        <v>1400</v>
      </c>
      <c r="D3318" t="s">
        <v>291</v>
      </c>
      <c r="E3318" t="s">
        <v>364</v>
      </c>
      <c r="F3318">
        <v>3</v>
      </c>
    </row>
    <row r="3319" spans="1:6" ht="13.2">
      <c r="A3319" t="s">
        <v>2423</v>
      </c>
      <c r="B3319">
        <v>0</v>
      </c>
      <c r="C3319" s="44">
        <v>1400</v>
      </c>
      <c r="D3319" t="s">
        <v>291</v>
      </c>
      <c r="E3319" t="s">
        <v>364</v>
      </c>
      <c r="F3319">
        <v>3</v>
      </c>
    </row>
    <row r="3320" spans="1:6" ht="13.2">
      <c r="A3320" t="s">
        <v>2424</v>
      </c>
      <c r="B3320">
        <v>0</v>
      </c>
      <c r="C3320" s="44">
        <v>1400</v>
      </c>
      <c r="D3320" t="s">
        <v>291</v>
      </c>
      <c r="E3320" t="s">
        <v>364</v>
      </c>
      <c r="F3320">
        <v>3</v>
      </c>
    </row>
    <row r="3321" spans="1:6" ht="13.2">
      <c r="A3321" t="s">
        <v>2425</v>
      </c>
      <c r="B3321">
        <v>0</v>
      </c>
      <c r="C3321" s="44">
        <v>1400</v>
      </c>
      <c r="D3321" t="s">
        <v>291</v>
      </c>
      <c r="E3321" t="s">
        <v>364</v>
      </c>
      <c r="F3321">
        <v>3</v>
      </c>
    </row>
    <row r="3322" spans="1:6" ht="13.2">
      <c r="A3322" t="s">
        <v>2426</v>
      </c>
      <c r="B3322">
        <v>0</v>
      </c>
      <c r="C3322" s="44">
        <v>1400</v>
      </c>
      <c r="D3322" t="s">
        <v>291</v>
      </c>
      <c r="E3322" t="s">
        <v>364</v>
      </c>
      <c r="F3322">
        <v>3</v>
      </c>
    </row>
    <row r="3323" spans="1:6" ht="13.2">
      <c r="A3323" t="s">
        <v>2427</v>
      </c>
      <c r="B3323">
        <v>0</v>
      </c>
      <c r="C3323" s="44">
        <v>1400</v>
      </c>
      <c r="D3323" t="s">
        <v>291</v>
      </c>
      <c r="E3323" t="s">
        <v>364</v>
      </c>
      <c r="F3323">
        <v>3</v>
      </c>
    </row>
    <row r="3324" spans="1:6" ht="13.2">
      <c r="A3324" t="s">
        <v>5117</v>
      </c>
      <c r="B3324">
        <v>0</v>
      </c>
      <c r="C3324" s="44">
        <v>1450</v>
      </c>
      <c r="D3324" t="s">
        <v>291</v>
      </c>
      <c r="E3324" t="s">
        <v>256</v>
      </c>
      <c r="F3324">
        <v>1</v>
      </c>
    </row>
    <row r="3325" spans="1:6" ht="13.2">
      <c r="A3325" t="s">
        <v>5118</v>
      </c>
      <c r="B3325">
        <v>0</v>
      </c>
      <c r="C3325" s="44">
        <v>1450</v>
      </c>
      <c r="D3325" t="s">
        <v>291</v>
      </c>
      <c r="E3325" t="s">
        <v>256</v>
      </c>
      <c r="F3325">
        <v>1</v>
      </c>
    </row>
    <row r="3326" spans="1:6" ht="13.2">
      <c r="A3326" t="s">
        <v>5119</v>
      </c>
      <c r="B3326">
        <v>0</v>
      </c>
      <c r="C3326" s="44">
        <v>1450</v>
      </c>
      <c r="D3326" t="s">
        <v>291</v>
      </c>
      <c r="E3326" t="s">
        <v>256</v>
      </c>
      <c r="F3326">
        <v>1</v>
      </c>
    </row>
    <row r="3327" spans="1:6" ht="13.2">
      <c r="A3327" t="s">
        <v>5120</v>
      </c>
      <c r="B3327">
        <v>0</v>
      </c>
      <c r="C3327" s="44">
        <v>1450</v>
      </c>
      <c r="D3327" t="s">
        <v>291</v>
      </c>
      <c r="E3327" t="s">
        <v>256</v>
      </c>
      <c r="F3327">
        <v>1</v>
      </c>
    </row>
    <row r="3328" spans="1:6" ht="13.2">
      <c r="A3328" t="s">
        <v>5121</v>
      </c>
      <c r="B3328">
        <v>0</v>
      </c>
      <c r="C3328" s="44">
        <v>1450</v>
      </c>
      <c r="D3328" t="s">
        <v>291</v>
      </c>
      <c r="E3328" t="s">
        <v>256</v>
      </c>
      <c r="F3328">
        <v>1</v>
      </c>
    </row>
    <row r="3329" spans="1:6" ht="13.2">
      <c r="A3329" t="s">
        <v>5122</v>
      </c>
      <c r="B3329">
        <v>0</v>
      </c>
      <c r="C3329" s="44">
        <v>1450</v>
      </c>
      <c r="D3329" t="s">
        <v>291</v>
      </c>
      <c r="E3329" t="s">
        <v>256</v>
      </c>
      <c r="F3329">
        <v>1</v>
      </c>
    </row>
    <row r="3330" spans="1:6" ht="13.2">
      <c r="A3330" t="s">
        <v>5123</v>
      </c>
      <c r="B3330">
        <v>0</v>
      </c>
      <c r="C3330" s="44">
        <v>1450</v>
      </c>
      <c r="D3330" t="s">
        <v>291</v>
      </c>
      <c r="E3330" t="s">
        <v>256</v>
      </c>
      <c r="F3330">
        <v>1</v>
      </c>
    </row>
    <row r="3331" spans="1:6" ht="13.2">
      <c r="A3331" t="s">
        <v>5124</v>
      </c>
      <c r="B3331">
        <v>0</v>
      </c>
      <c r="C3331" s="44">
        <v>1450</v>
      </c>
      <c r="D3331" t="s">
        <v>291</v>
      </c>
      <c r="E3331" t="s">
        <v>256</v>
      </c>
      <c r="F3331">
        <v>1</v>
      </c>
    </row>
    <row r="3332" spans="1:6" ht="13.2">
      <c r="A3332" t="s">
        <v>5125</v>
      </c>
      <c r="B3332">
        <v>0</v>
      </c>
      <c r="C3332" s="44">
        <v>1450</v>
      </c>
      <c r="D3332" t="s">
        <v>291</v>
      </c>
      <c r="E3332" t="s">
        <v>256</v>
      </c>
      <c r="F3332">
        <v>1</v>
      </c>
    </row>
    <row r="3333" spans="1:6" ht="13.2">
      <c r="A3333" t="s">
        <v>5126</v>
      </c>
      <c r="B3333">
        <v>0</v>
      </c>
      <c r="C3333" s="44">
        <v>1450</v>
      </c>
      <c r="D3333" t="s">
        <v>291</v>
      </c>
      <c r="E3333" t="s">
        <v>256</v>
      </c>
      <c r="F3333">
        <v>1</v>
      </c>
    </row>
    <row r="3334" spans="1:6" ht="13.2">
      <c r="A3334" t="s">
        <v>5127</v>
      </c>
      <c r="B3334">
        <v>0</v>
      </c>
      <c r="C3334" s="44">
        <v>1450</v>
      </c>
      <c r="D3334" t="s">
        <v>291</v>
      </c>
      <c r="E3334" t="s">
        <v>256</v>
      </c>
      <c r="F3334">
        <v>1</v>
      </c>
    </row>
    <row r="3335" spans="1:6" ht="13.2">
      <c r="A3335" t="s">
        <v>5128</v>
      </c>
      <c r="B3335">
        <v>0</v>
      </c>
      <c r="C3335" s="44">
        <v>1450</v>
      </c>
      <c r="D3335" t="s">
        <v>291</v>
      </c>
      <c r="E3335" t="s">
        <v>256</v>
      </c>
      <c r="F3335">
        <v>1</v>
      </c>
    </row>
    <row r="3336" spans="1:6" ht="13.2">
      <c r="A3336" t="s">
        <v>5129</v>
      </c>
      <c r="B3336">
        <v>0</v>
      </c>
      <c r="C3336" s="44">
        <v>1450</v>
      </c>
      <c r="D3336" t="s">
        <v>291</v>
      </c>
      <c r="E3336" t="s">
        <v>256</v>
      </c>
      <c r="F3336">
        <v>1</v>
      </c>
    </row>
    <row r="3337" spans="1:6" ht="13.2">
      <c r="A3337" t="s">
        <v>5130</v>
      </c>
      <c r="B3337">
        <v>0</v>
      </c>
      <c r="C3337" s="44">
        <v>1450</v>
      </c>
      <c r="D3337" t="s">
        <v>291</v>
      </c>
      <c r="E3337" t="s">
        <v>256</v>
      </c>
      <c r="F3337">
        <v>1</v>
      </c>
    </row>
    <row r="3338" spans="1:6" ht="13.2">
      <c r="A3338" t="s">
        <v>5131</v>
      </c>
      <c r="B3338">
        <v>0</v>
      </c>
      <c r="C3338" s="44">
        <v>1450</v>
      </c>
      <c r="D3338" t="s">
        <v>291</v>
      </c>
      <c r="E3338" t="s">
        <v>256</v>
      </c>
      <c r="F3338">
        <v>1</v>
      </c>
    </row>
    <row r="3339" spans="1:6" ht="13.2">
      <c r="A3339" t="s">
        <v>5132</v>
      </c>
      <c r="B3339">
        <v>0</v>
      </c>
      <c r="C3339" s="44">
        <v>1450</v>
      </c>
      <c r="D3339" t="s">
        <v>291</v>
      </c>
      <c r="E3339" t="s">
        <v>256</v>
      </c>
      <c r="F3339">
        <v>1</v>
      </c>
    </row>
    <row r="3340" spans="1:6" ht="13.2">
      <c r="A3340" t="s">
        <v>5133</v>
      </c>
      <c r="B3340">
        <v>0</v>
      </c>
      <c r="C3340" s="44">
        <v>1450</v>
      </c>
      <c r="D3340" t="s">
        <v>291</v>
      </c>
      <c r="E3340" t="s">
        <v>256</v>
      </c>
      <c r="F3340">
        <v>1</v>
      </c>
    </row>
    <row r="3341" spans="1:6" ht="13.2">
      <c r="A3341" t="s">
        <v>5134</v>
      </c>
      <c r="B3341">
        <v>0</v>
      </c>
      <c r="C3341" s="44">
        <v>1450</v>
      </c>
      <c r="D3341" t="s">
        <v>291</v>
      </c>
      <c r="E3341" t="s">
        <v>256</v>
      </c>
      <c r="F3341">
        <v>1</v>
      </c>
    </row>
    <row r="3342" spans="1:6" ht="13.2">
      <c r="A3342" t="s">
        <v>5135</v>
      </c>
      <c r="B3342">
        <v>0</v>
      </c>
      <c r="C3342" s="44">
        <v>1450</v>
      </c>
      <c r="D3342" t="s">
        <v>291</v>
      </c>
      <c r="E3342" t="s">
        <v>256</v>
      </c>
      <c r="F3342">
        <v>1</v>
      </c>
    </row>
    <row r="3343" spans="1:6" ht="13.2">
      <c r="A3343" t="s">
        <v>5136</v>
      </c>
      <c r="B3343">
        <v>0</v>
      </c>
      <c r="C3343" s="44">
        <v>1450</v>
      </c>
      <c r="D3343" t="s">
        <v>291</v>
      </c>
      <c r="E3343" t="s">
        <v>256</v>
      </c>
      <c r="F3343">
        <v>1</v>
      </c>
    </row>
    <row r="3344" spans="1:6" ht="13.2">
      <c r="A3344" t="s">
        <v>5137</v>
      </c>
      <c r="B3344">
        <v>0</v>
      </c>
      <c r="C3344" s="44">
        <v>1450</v>
      </c>
      <c r="D3344" t="s">
        <v>291</v>
      </c>
      <c r="E3344" t="s">
        <v>256</v>
      </c>
      <c r="F3344">
        <v>1</v>
      </c>
    </row>
    <row r="3345" spans="1:6" ht="13.2">
      <c r="A3345" t="s">
        <v>5138</v>
      </c>
      <c r="B3345">
        <v>0</v>
      </c>
      <c r="C3345" s="44">
        <v>1450</v>
      </c>
      <c r="D3345" t="s">
        <v>291</v>
      </c>
      <c r="E3345" t="s">
        <v>256</v>
      </c>
      <c r="F3345">
        <v>1</v>
      </c>
    </row>
    <row r="3346" spans="1:6" ht="13.2">
      <c r="A3346" t="s">
        <v>5139</v>
      </c>
      <c r="B3346">
        <v>0</v>
      </c>
      <c r="C3346" s="44">
        <v>1450</v>
      </c>
      <c r="D3346" t="s">
        <v>291</v>
      </c>
      <c r="E3346" t="s">
        <v>256</v>
      </c>
      <c r="F3346">
        <v>1</v>
      </c>
    </row>
    <row r="3347" spans="1:6" ht="13.2">
      <c r="A3347" t="s">
        <v>5140</v>
      </c>
      <c r="B3347">
        <v>0</v>
      </c>
      <c r="C3347" s="44">
        <v>1450</v>
      </c>
      <c r="D3347" t="s">
        <v>291</v>
      </c>
      <c r="E3347" t="s">
        <v>256</v>
      </c>
      <c r="F3347">
        <v>1</v>
      </c>
    </row>
    <row r="3348" spans="1:6" ht="13.2">
      <c r="A3348" t="s">
        <v>5141</v>
      </c>
      <c r="B3348">
        <v>0</v>
      </c>
      <c r="C3348" s="44">
        <v>1450</v>
      </c>
      <c r="D3348" t="s">
        <v>291</v>
      </c>
      <c r="E3348" t="s">
        <v>256</v>
      </c>
      <c r="F3348">
        <v>1</v>
      </c>
    </row>
    <row r="3349" spans="1:6" ht="13.2">
      <c r="A3349" t="s">
        <v>5142</v>
      </c>
      <c r="B3349">
        <v>0</v>
      </c>
      <c r="C3349" s="44">
        <v>1450</v>
      </c>
      <c r="D3349" t="s">
        <v>291</v>
      </c>
      <c r="E3349" t="s">
        <v>256</v>
      </c>
      <c r="F3349">
        <v>1</v>
      </c>
    </row>
    <row r="3350" spans="1:6" ht="13.2">
      <c r="A3350" t="s">
        <v>5143</v>
      </c>
      <c r="B3350">
        <v>0</v>
      </c>
      <c r="C3350" s="44">
        <v>1450</v>
      </c>
      <c r="D3350" t="s">
        <v>291</v>
      </c>
      <c r="E3350" t="s">
        <v>256</v>
      </c>
      <c r="F3350">
        <v>1</v>
      </c>
    </row>
    <row r="3351" spans="1:6" ht="13.2">
      <c r="A3351" t="s">
        <v>5144</v>
      </c>
      <c r="B3351">
        <v>0</v>
      </c>
      <c r="C3351" s="44">
        <v>1450</v>
      </c>
      <c r="D3351" t="s">
        <v>291</v>
      </c>
      <c r="E3351" t="s">
        <v>256</v>
      </c>
      <c r="F3351">
        <v>1</v>
      </c>
    </row>
    <row r="3352" spans="1:6" ht="13.2">
      <c r="A3352" t="s">
        <v>5145</v>
      </c>
      <c r="B3352">
        <v>0</v>
      </c>
      <c r="C3352" s="44">
        <v>1450</v>
      </c>
      <c r="D3352" t="s">
        <v>291</v>
      </c>
      <c r="E3352" t="s">
        <v>256</v>
      </c>
      <c r="F3352">
        <v>1</v>
      </c>
    </row>
    <row r="3353" spans="1:6" ht="13.2">
      <c r="A3353" t="s">
        <v>5146</v>
      </c>
      <c r="B3353">
        <v>0</v>
      </c>
      <c r="C3353" s="44">
        <v>1450</v>
      </c>
      <c r="D3353" t="s">
        <v>291</v>
      </c>
      <c r="E3353" t="s">
        <v>256</v>
      </c>
      <c r="F3353">
        <v>1</v>
      </c>
    </row>
    <row r="3354" spans="1:6" ht="13.2">
      <c r="A3354" t="s">
        <v>5147</v>
      </c>
      <c r="B3354">
        <v>0</v>
      </c>
      <c r="C3354" s="44">
        <v>1450</v>
      </c>
      <c r="D3354" t="s">
        <v>291</v>
      </c>
      <c r="E3354" t="s">
        <v>256</v>
      </c>
      <c r="F3354">
        <v>1</v>
      </c>
    </row>
    <row r="3355" spans="1:6" ht="13.2">
      <c r="A3355" t="s">
        <v>5148</v>
      </c>
      <c r="B3355">
        <v>0</v>
      </c>
      <c r="C3355" s="44">
        <v>1450</v>
      </c>
      <c r="D3355" t="s">
        <v>291</v>
      </c>
      <c r="E3355" t="s">
        <v>256</v>
      </c>
      <c r="F3355">
        <v>1</v>
      </c>
    </row>
    <row r="3356" spans="1:6" ht="13.2">
      <c r="A3356" t="s">
        <v>5149</v>
      </c>
      <c r="B3356">
        <v>0</v>
      </c>
      <c r="C3356" s="44">
        <v>1450</v>
      </c>
      <c r="D3356" t="s">
        <v>291</v>
      </c>
      <c r="E3356" t="s">
        <v>256</v>
      </c>
      <c r="F3356">
        <v>1</v>
      </c>
    </row>
    <row r="3357" spans="1:6" ht="13.2">
      <c r="A3357" t="s">
        <v>5150</v>
      </c>
      <c r="B3357">
        <v>0</v>
      </c>
      <c r="C3357" s="44">
        <v>1450</v>
      </c>
      <c r="D3357" t="s">
        <v>291</v>
      </c>
      <c r="E3357" t="s">
        <v>256</v>
      </c>
      <c r="F3357">
        <v>1</v>
      </c>
    </row>
    <row r="3358" spans="1:6" ht="13.2">
      <c r="A3358" t="s">
        <v>5151</v>
      </c>
      <c r="B3358">
        <v>0</v>
      </c>
      <c r="C3358" s="44">
        <v>1450</v>
      </c>
      <c r="D3358" t="s">
        <v>291</v>
      </c>
      <c r="E3358" t="s">
        <v>256</v>
      </c>
      <c r="F3358">
        <v>1</v>
      </c>
    </row>
    <row r="3359" spans="1:6" ht="13.2">
      <c r="A3359" t="s">
        <v>5152</v>
      </c>
      <c r="B3359">
        <v>0</v>
      </c>
      <c r="C3359" s="44">
        <v>1450</v>
      </c>
      <c r="D3359" t="s">
        <v>291</v>
      </c>
      <c r="E3359" t="s">
        <v>256</v>
      </c>
      <c r="F3359">
        <v>1</v>
      </c>
    </row>
    <row r="3360" spans="1:6" ht="13.2">
      <c r="A3360" t="s">
        <v>5153</v>
      </c>
      <c r="B3360">
        <v>0</v>
      </c>
      <c r="C3360" s="44">
        <v>1450</v>
      </c>
      <c r="D3360" t="s">
        <v>291</v>
      </c>
      <c r="E3360" t="s">
        <v>256</v>
      </c>
      <c r="F3360">
        <v>1</v>
      </c>
    </row>
    <row r="3361" spans="1:6" ht="13.2">
      <c r="A3361" t="s">
        <v>5154</v>
      </c>
      <c r="B3361">
        <v>0</v>
      </c>
      <c r="C3361" s="44">
        <v>1450</v>
      </c>
      <c r="D3361" t="s">
        <v>291</v>
      </c>
      <c r="E3361" t="s">
        <v>256</v>
      </c>
      <c r="F3361">
        <v>1</v>
      </c>
    </row>
    <row r="3362" spans="1:6" ht="13.2">
      <c r="A3362" t="s">
        <v>5155</v>
      </c>
      <c r="B3362">
        <v>0</v>
      </c>
      <c r="C3362" s="44">
        <v>1450</v>
      </c>
      <c r="D3362" t="s">
        <v>291</v>
      </c>
      <c r="E3362" t="s">
        <v>256</v>
      </c>
      <c r="F3362">
        <v>1</v>
      </c>
    </row>
    <row r="3363" spans="1:6" ht="13.2">
      <c r="A3363" t="s">
        <v>5156</v>
      </c>
      <c r="B3363">
        <v>0</v>
      </c>
      <c r="C3363" s="44">
        <v>1450</v>
      </c>
      <c r="D3363" t="s">
        <v>291</v>
      </c>
      <c r="E3363" t="s">
        <v>256</v>
      </c>
      <c r="F3363">
        <v>1</v>
      </c>
    </row>
    <row r="3364" spans="1:6" ht="13.2">
      <c r="A3364" t="s">
        <v>5157</v>
      </c>
      <c r="B3364">
        <v>0</v>
      </c>
      <c r="C3364" s="44">
        <v>1450</v>
      </c>
      <c r="D3364" t="s">
        <v>291</v>
      </c>
      <c r="E3364" t="s">
        <v>256</v>
      </c>
      <c r="F3364">
        <v>1</v>
      </c>
    </row>
    <row r="3365" spans="1:6" ht="13.2">
      <c r="A3365" t="s">
        <v>5159</v>
      </c>
      <c r="B3365">
        <v>0</v>
      </c>
      <c r="C3365" s="44">
        <v>1450</v>
      </c>
      <c r="D3365" t="s">
        <v>291</v>
      </c>
      <c r="E3365" t="s">
        <v>256</v>
      </c>
      <c r="F3365">
        <v>1</v>
      </c>
    </row>
    <row r="3366" spans="1:6" ht="13.2">
      <c r="A3366" t="s">
        <v>5158</v>
      </c>
      <c r="B3366">
        <v>0</v>
      </c>
      <c r="C3366" s="44">
        <v>1450</v>
      </c>
      <c r="D3366" t="s">
        <v>291</v>
      </c>
      <c r="E3366" t="s">
        <v>256</v>
      </c>
      <c r="F3366">
        <v>1</v>
      </c>
    </row>
    <row r="3367" spans="1:6" ht="13.2">
      <c r="A3367" t="s">
        <v>4550</v>
      </c>
      <c r="B3367">
        <v>0</v>
      </c>
      <c r="C3367" s="44">
        <v>1420</v>
      </c>
      <c r="D3367" t="s">
        <v>291</v>
      </c>
      <c r="E3367" t="s">
        <v>4551</v>
      </c>
      <c r="F3367">
        <v>9</v>
      </c>
    </row>
    <row r="3368" spans="1:6" ht="13.2">
      <c r="A3368" t="s">
        <v>4552</v>
      </c>
      <c r="B3368">
        <v>0</v>
      </c>
      <c r="C3368" s="44">
        <v>1420</v>
      </c>
      <c r="D3368" t="s">
        <v>291</v>
      </c>
      <c r="E3368" t="s">
        <v>4551</v>
      </c>
      <c r="F3368">
        <v>9</v>
      </c>
    </row>
    <row r="3369" spans="1:6" ht="13.2">
      <c r="A3369" t="s">
        <v>4553</v>
      </c>
      <c r="B3369">
        <v>0</v>
      </c>
      <c r="C3369" s="44">
        <v>1420</v>
      </c>
      <c r="D3369" t="s">
        <v>291</v>
      </c>
      <c r="E3369" t="s">
        <v>4551</v>
      </c>
      <c r="F3369">
        <v>9</v>
      </c>
    </row>
    <row r="3370" spans="1:6" ht="13.2">
      <c r="A3370" t="s">
        <v>4554</v>
      </c>
      <c r="B3370">
        <v>0</v>
      </c>
      <c r="C3370" s="44">
        <v>1420</v>
      </c>
      <c r="D3370" t="s">
        <v>291</v>
      </c>
      <c r="E3370" t="s">
        <v>4551</v>
      </c>
      <c r="F3370">
        <v>9</v>
      </c>
    </row>
    <row r="3371" spans="1:6" ht="13.2">
      <c r="A3371" t="s">
        <v>4555</v>
      </c>
      <c r="B3371">
        <v>0</v>
      </c>
      <c r="C3371" s="44">
        <v>1420</v>
      </c>
      <c r="D3371" t="s">
        <v>291</v>
      </c>
      <c r="E3371" t="s">
        <v>4551</v>
      </c>
      <c r="F3371">
        <v>9</v>
      </c>
    </row>
    <row r="3372" spans="1:6" ht="13.2">
      <c r="A3372" t="s">
        <v>4556</v>
      </c>
      <c r="B3372">
        <v>0</v>
      </c>
      <c r="C3372" s="44">
        <v>1420</v>
      </c>
      <c r="D3372" t="s">
        <v>291</v>
      </c>
      <c r="E3372" t="s">
        <v>4551</v>
      </c>
      <c r="F3372">
        <v>9</v>
      </c>
    </row>
    <row r="3373" spans="1:6" ht="13.2">
      <c r="A3373" t="s">
        <v>4557</v>
      </c>
      <c r="B3373">
        <v>0</v>
      </c>
      <c r="C3373" s="44">
        <v>1420</v>
      </c>
      <c r="D3373" t="s">
        <v>291</v>
      </c>
      <c r="E3373" t="s">
        <v>4551</v>
      </c>
      <c r="F3373">
        <v>9</v>
      </c>
    </row>
    <row r="3374" spans="1:6" ht="13.2">
      <c r="A3374" t="s">
        <v>4558</v>
      </c>
      <c r="B3374">
        <v>0</v>
      </c>
      <c r="C3374" s="44">
        <v>1420</v>
      </c>
      <c r="D3374" t="s">
        <v>291</v>
      </c>
      <c r="E3374" t="s">
        <v>4551</v>
      </c>
      <c r="F3374">
        <v>9</v>
      </c>
    </row>
    <row r="3375" spans="1:6" ht="13.2">
      <c r="A3375" t="s">
        <v>4559</v>
      </c>
      <c r="B3375">
        <v>0</v>
      </c>
      <c r="C3375" s="44">
        <v>1420</v>
      </c>
      <c r="D3375" t="s">
        <v>291</v>
      </c>
      <c r="E3375" t="s">
        <v>4551</v>
      </c>
      <c r="F3375">
        <v>9</v>
      </c>
    </row>
    <row r="3376" spans="1:6" ht="13.2">
      <c r="A3376" t="s">
        <v>4560</v>
      </c>
      <c r="B3376">
        <v>0</v>
      </c>
      <c r="C3376" s="44">
        <v>1420</v>
      </c>
      <c r="D3376" t="s">
        <v>291</v>
      </c>
      <c r="E3376" t="s">
        <v>4551</v>
      </c>
      <c r="F3376">
        <v>9</v>
      </c>
    </row>
    <row r="3377" spans="1:6" ht="13.2">
      <c r="A3377" t="s">
        <v>4561</v>
      </c>
      <c r="B3377">
        <v>0</v>
      </c>
      <c r="C3377" s="44">
        <v>1420</v>
      </c>
      <c r="D3377" t="s">
        <v>291</v>
      </c>
      <c r="E3377" t="s">
        <v>4551</v>
      </c>
      <c r="F3377">
        <v>9</v>
      </c>
    </row>
    <row r="3378" spans="1:6" ht="13.2">
      <c r="A3378" t="s">
        <v>4562</v>
      </c>
      <c r="B3378">
        <v>0</v>
      </c>
      <c r="C3378" s="44">
        <v>1420</v>
      </c>
      <c r="D3378" t="s">
        <v>291</v>
      </c>
      <c r="E3378" t="s">
        <v>4551</v>
      </c>
      <c r="F3378">
        <v>9</v>
      </c>
    </row>
    <row r="3379" spans="1:6" ht="13.2">
      <c r="A3379" t="s">
        <v>4563</v>
      </c>
      <c r="B3379">
        <v>0</v>
      </c>
      <c r="C3379" s="44">
        <v>1420</v>
      </c>
      <c r="D3379" t="s">
        <v>291</v>
      </c>
      <c r="E3379" t="s">
        <v>4551</v>
      </c>
      <c r="F3379">
        <v>9</v>
      </c>
    </row>
    <row r="3380" spans="1:6" ht="13.2">
      <c r="A3380" t="s">
        <v>4564</v>
      </c>
      <c r="B3380">
        <v>0</v>
      </c>
      <c r="C3380" s="44">
        <v>1420</v>
      </c>
      <c r="D3380" t="s">
        <v>291</v>
      </c>
      <c r="E3380" t="s">
        <v>4551</v>
      </c>
      <c r="F3380">
        <v>9</v>
      </c>
    </row>
    <row r="3381" spans="1:6" ht="13.2">
      <c r="A3381" t="s">
        <v>4565</v>
      </c>
      <c r="B3381">
        <v>0</v>
      </c>
      <c r="C3381" s="44">
        <v>1420</v>
      </c>
      <c r="D3381" t="s">
        <v>291</v>
      </c>
      <c r="E3381" t="s">
        <v>4551</v>
      </c>
      <c r="F3381">
        <v>9</v>
      </c>
    </row>
    <row r="3382" spans="1:6" ht="13.2">
      <c r="A3382" t="s">
        <v>4566</v>
      </c>
      <c r="B3382">
        <v>0</v>
      </c>
      <c r="C3382" s="44">
        <v>1420</v>
      </c>
      <c r="D3382" t="s">
        <v>291</v>
      </c>
      <c r="E3382" t="s">
        <v>4551</v>
      </c>
      <c r="F3382">
        <v>9</v>
      </c>
    </row>
    <row r="3383" spans="1:6" ht="13.2">
      <c r="A3383" t="s">
        <v>4567</v>
      </c>
      <c r="B3383">
        <v>0</v>
      </c>
      <c r="C3383" s="44">
        <v>1420</v>
      </c>
      <c r="D3383" t="s">
        <v>291</v>
      </c>
      <c r="E3383" t="s">
        <v>4551</v>
      </c>
      <c r="F3383">
        <v>9</v>
      </c>
    </row>
    <row r="3384" spans="1:6" ht="13.2">
      <c r="A3384" t="s">
        <v>4568</v>
      </c>
      <c r="B3384">
        <v>0</v>
      </c>
      <c r="C3384" s="44">
        <v>1420</v>
      </c>
      <c r="D3384" t="s">
        <v>291</v>
      </c>
      <c r="E3384" t="s">
        <v>4551</v>
      </c>
      <c r="F3384">
        <v>9</v>
      </c>
    </row>
    <row r="3385" spans="1:6" ht="13.2">
      <c r="A3385" t="s">
        <v>4569</v>
      </c>
      <c r="B3385">
        <v>0</v>
      </c>
      <c r="C3385" s="44">
        <v>1420</v>
      </c>
      <c r="D3385" t="s">
        <v>291</v>
      </c>
      <c r="E3385" t="s">
        <v>4551</v>
      </c>
      <c r="F3385">
        <v>9</v>
      </c>
    </row>
    <row r="3386" spans="1:6" ht="13.2">
      <c r="A3386" t="s">
        <v>4570</v>
      </c>
      <c r="B3386">
        <v>0</v>
      </c>
      <c r="C3386" s="44">
        <v>1420</v>
      </c>
      <c r="D3386" t="s">
        <v>291</v>
      </c>
      <c r="E3386" t="s">
        <v>4551</v>
      </c>
      <c r="F3386">
        <v>9</v>
      </c>
    </row>
    <row r="3387" spans="1:6" ht="13.2">
      <c r="A3387" t="s">
        <v>4571</v>
      </c>
      <c r="B3387">
        <v>0</v>
      </c>
      <c r="C3387" s="44">
        <v>1420</v>
      </c>
      <c r="D3387" t="s">
        <v>291</v>
      </c>
      <c r="E3387" t="s">
        <v>4551</v>
      </c>
      <c r="F3387">
        <v>9</v>
      </c>
    </row>
    <row r="3388" spans="1:6" ht="13.2">
      <c r="A3388" t="s">
        <v>4083</v>
      </c>
      <c r="B3388">
        <v>115</v>
      </c>
      <c r="C3388" s="44">
        <v>1370</v>
      </c>
      <c r="D3388" t="s">
        <v>291</v>
      </c>
      <c r="E3388" t="s">
        <v>4075</v>
      </c>
      <c r="F3388">
        <v>4</v>
      </c>
    </row>
    <row r="3389" spans="1:6" ht="13.2">
      <c r="A3389" t="s">
        <v>4084</v>
      </c>
      <c r="B3389">
        <v>115</v>
      </c>
      <c r="C3389" s="44">
        <v>1370</v>
      </c>
      <c r="D3389" t="s">
        <v>291</v>
      </c>
      <c r="E3389" t="s">
        <v>4075</v>
      </c>
      <c r="F3389">
        <v>4</v>
      </c>
    </row>
    <row r="3390" spans="1:6" ht="13.2">
      <c r="A3390" t="s">
        <v>4085</v>
      </c>
      <c r="B3390">
        <v>115</v>
      </c>
      <c r="C3390" s="44">
        <v>1370</v>
      </c>
      <c r="D3390" t="s">
        <v>291</v>
      </c>
      <c r="E3390" t="s">
        <v>4075</v>
      </c>
      <c r="F3390">
        <v>4</v>
      </c>
    </row>
    <row r="3391" spans="1:6" ht="13.2">
      <c r="A3391" t="s">
        <v>4086</v>
      </c>
      <c r="B3391">
        <v>115</v>
      </c>
      <c r="C3391" s="44">
        <v>1370</v>
      </c>
      <c r="D3391" t="s">
        <v>291</v>
      </c>
      <c r="E3391" t="s">
        <v>4075</v>
      </c>
      <c r="F3391">
        <v>4</v>
      </c>
    </row>
    <row r="3392" spans="1:6" ht="13.2">
      <c r="A3392" t="s">
        <v>4087</v>
      </c>
      <c r="B3392">
        <v>115</v>
      </c>
      <c r="C3392" s="44">
        <v>1370</v>
      </c>
      <c r="D3392" t="s">
        <v>291</v>
      </c>
      <c r="E3392" t="s">
        <v>4075</v>
      </c>
      <c r="F3392">
        <v>4</v>
      </c>
    </row>
    <row r="3393" spans="1:6" ht="13.2">
      <c r="A3393" t="s">
        <v>4088</v>
      </c>
      <c r="B3393">
        <v>115</v>
      </c>
      <c r="C3393" s="44">
        <v>1370</v>
      </c>
      <c r="D3393" t="s">
        <v>291</v>
      </c>
      <c r="E3393" t="s">
        <v>4075</v>
      </c>
      <c r="F3393">
        <v>4</v>
      </c>
    </row>
    <row r="3394" spans="1:6" ht="13.2">
      <c r="A3394" t="s">
        <v>4089</v>
      </c>
      <c r="B3394">
        <v>115</v>
      </c>
      <c r="C3394" s="44">
        <v>1370</v>
      </c>
      <c r="D3394" t="s">
        <v>291</v>
      </c>
      <c r="E3394" t="s">
        <v>4075</v>
      </c>
      <c r="F3394">
        <v>4</v>
      </c>
    </row>
    <row r="3395" spans="1:6" ht="13.2">
      <c r="A3395" t="s">
        <v>4090</v>
      </c>
      <c r="B3395">
        <v>115</v>
      </c>
      <c r="C3395" s="44">
        <v>1370</v>
      </c>
      <c r="D3395" t="s">
        <v>291</v>
      </c>
      <c r="E3395" t="s">
        <v>4075</v>
      </c>
      <c r="F3395">
        <v>4</v>
      </c>
    </row>
    <row r="3396" spans="1:6" ht="13.2">
      <c r="A3396" t="s">
        <v>4517</v>
      </c>
      <c r="B3396">
        <v>0</v>
      </c>
      <c r="C3396" s="44">
        <v>1400</v>
      </c>
      <c r="D3396" t="s">
        <v>291</v>
      </c>
      <c r="E3396" t="s">
        <v>256</v>
      </c>
      <c r="F3396">
        <v>4</v>
      </c>
    </row>
    <row r="3397" spans="1:6" ht="13.2">
      <c r="A3397" t="s">
        <v>4518</v>
      </c>
      <c r="B3397">
        <v>0</v>
      </c>
      <c r="C3397" s="44">
        <v>1400</v>
      </c>
      <c r="D3397" t="s">
        <v>291</v>
      </c>
      <c r="E3397" t="s">
        <v>256</v>
      </c>
      <c r="F3397">
        <v>4</v>
      </c>
    </row>
    <row r="3398" spans="1:6" ht="13.2">
      <c r="A3398" t="s">
        <v>4519</v>
      </c>
      <c r="B3398">
        <v>0</v>
      </c>
      <c r="C3398" s="44">
        <v>1400</v>
      </c>
      <c r="D3398" t="s">
        <v>291</v>
      </c>
      <c r="E3398" t="s">
        <v>256</v>
      </c>
      <c r="F3398">
        <v>4</v>
      </c>
    </row>
    <row r="3399" spans="1:6" ht="13.2">
      <c r="A3399" t="s">
        <v>4520</v>
      </c>
      <c r="B3399">
        <v>0</v>
      </c>
      <c r="C3399" s="44">
        <v>1400</v>
      </c>
      <c r="D3399" t="s">
        <v>291</v>
      </c>
      <c r="E3399" t="s">
        <v>256</v>
      </c>
      <c r="F3399">
        <v>4</v>
      </c>
    </row>
    <row r="3400" spans="1:6" ht="13.2">
      <c r="A3400" t="s">
        <v>4521</v>
      </c>
      <c r="B3400">
        <v>0</v>
      </c>
      <c r="C3400" s="44">
        <v>1400</v>
      </c>
      <c r="D3400" t="s">
        <v>291</v>
      </c>
      <c r="E3400" t="s">
        <v>256</v>
      </c>
      <c r="F3400">
        <v>4</v>
      </c>
    </row>
    <row r="3401" spans="1:6" ht="13.2">
      <c r="A3401" t="s">
        <v>4522</v>
      </c>
      <c r="B3401">
        <v>0</v>
      </c>
      <c r="C3401" s="44">
        <v>1400</v>
      </c>
      <c r="D3401" t="s">
        <v>291</v>
      </c>
      <c r="E3401" t="s">
        <v>256</v>
      </c>
      <c r="F3401">
        <v>4</v>
      </c>
    </row>
    <row r="3402" spans="1:6" ht="13.2">
      <c r="A3402" t="s">
        <v>4523</v>
      </c>
      <c r="B3402">
        <v>0</v>
      </c>
      <c r="C3402" s="44">
        <v>1400</v>
      </c>
      <c r="D3402" t="s">
        <v>291</v>
      </c>
      <c r="E3402" t="s">
        <v>256</v>
      </c>
      <c r="F3402">
        <v>4</v>
      </c>
    </row>
    <row r="3403" spans="1:6" ht="13.2">
      <c r="A3403" t="s">
        <v>4524</v>
      </c>
      <c r="B3403">
        <v>0</v>
      </c>
      <c r="C3403" s="44">
        <v>1400</v>
      </c>
      <c r="D3403" t="s">
        <v>291</v>
      </c>
      <c r="E3403" t="s">
        <v>256</v>
      </c>
      <c r="F3403">
        <v>4</v>
      </c>
    </row>
    <row r="3404" spans="1:6" ht="13.2">
      <c r="A3404" t="s">
        <v>4525</v>
      </c>
      <c r="B3404">
        <v>0</v>
      </c>
      <c r="C3404" s="44">
        <v>1400</v>
      </c>
      <c r="D3404" t="s">
        <v>291</v>
      </c>
      <c r="E3404" t="s">
        <v>256</v>
      </c>
      <c r="F3404">
        <v>4</v>
      </c>
    </row>
    <row r="3405" spans="1:6" ht="13.2">
      <c r="A3405" t="s">
        <v>4526</v>
      </c>
      <c r="B3405">
        <v>0</v>
      </c>
      <c r="C3405" s="44">
        <v>1400</v>
      </c>
      <c r="D3405" t="s">
        <v>291</v>
      </c>
      <c r="E3405" t="s">
        <v>256</v>
      </c>
      <c r="F3405">
        <v>4</v>
      </c>
    </row>
    <row r="3406" spans="1:6" ht="13.2">
      <c r="A3406" t="s">
        <v>4527</v>
      </c>
      <c r="B3406">
        <v>0</v>
      </c>
      <c r="C3406" s="44">
        <v>1400</v>
      </c>
      <c r="D3406" t="s">
        <v>291</v>
      </c>
      <c r="E3406" t="s">
        <v>256</v>
      </c>
      <c r="F3406">
        <v>4</v>
      </c>
    </row>
    <row r="3407" spans="1:6" ht="13.2">
      <c r="A3407" t="s">
        <v>4528</v>
      </c>
      <c r="B3407">
        <v>0</v>
      </c>
      <c r="C3407" s="44">
        <v>1400</v>
      </c>
      <c r="D3407" t="s">
        <v>291</v>
      </c>
      <c r="E3407" t="s">
        <v>256</v>
      </c>
      <c r="F3407">
        <v>4</v>
      </c>
    </row>
    <row r="3408" spans="1:6" ht="13.2">
      <c r="A3408" t="s">
        <v>4529</v>
      </c>
      <c r="B3408">
        <v>0</v>
      </c>
      <c r="C3408" s="44">
        <v>1400</v>
      </c>
      <c r="D3408" t="s">
        <v>291</v>
      </c>
      <c r="E3408" t="s">
        <v>256</v>
      </c>
      <c r="F3408">
        <v>4</v>
      </c>
    </row>
    <row r="3409" spans="1:6" ht="13.2">
      <c r="A3409" t="s">
        <v>4530</v>
      </c>
      <c r="B3409">
        <v>0</v>
      </c>
      <c r="C3409" s="44">
        <v>1400</v>
      </c>
      <c r="D3409" t="s">
        <v>291</v>
      </c>
      <c r="E3409" t="s">
        <v>256</v>
      </c>
      <c r="F3409">
        <v>4</v>
      </c>
    </row>
    <row r="3410" spans="1:6" ht="13.2">
      <c r="A3410" t="s">
        <v>4531</v>
      </c>
      <c r="B3410">
        <v>0</v>
      </c>
      <c r="C3410" s="44">
        <v>1400</v>
      </c>
      <c r="D3410" t="s">
        <v>291</v>
      </c>
      <c r="E3410" t="s">
        <v>256</v>
      </c>
      <c r="F3410">
        <v>4</v>
      </c>
    </row>
    <row r="3411" spans="1:6" ht="13.2">
      <c r="A3411" t="s">
        <v>4532</v>
      </c>
      <c r="B3411">
        <v>0</v>
      </c>
      <c r="C3411" s="44">
        <v>1400</v>
      </c>
      <c r="D3411" t="s">
        <v>291</v>
      </c>
      <c r="E3411" t="s">
        <v>256</v>
      </c>
      <c r="F3411">
        <v>4</v>
      </c>
    </row>
    <row r="3412" spans="1:6" ht="13.2">
      <c r="A3412" t="s">
        <v>4533</v>
      </c>
      <c r="B3412">
        <v>0</v>
      </c>
      <c r="C3412" s="44">
        <v>1400</v>
      </c>
      <c r="D3412" t="s">
        <v>291</v>
      </c>
      <c r="E3412" t="s">
        <v>256</v>
      </c>
      <c r="F3412">
        <v>4</v>
      </c>
    </row>
    <row r="3413" spans="1:6" ht="13.2">
      <c r="A3413" t="s">
        <v>4534</v>
      </c>
      <c r="B3413">
        <v>0</v>
      </c>
      <c r="C3413" s="44">
        <v>1400</v>
      </c>
      <c r="D3413" t="s">
        <v>291</v>
      </c>
      <c r="E3413" t="s">
        <v>256</v>
      </c>
      <c r="F3413">
        <v>4</v>
      </c>
    </row>
    <row r="3414" spans="1:6" ht="13.2">
      <c r="A3414" t="s">
        <v>4535</v>
      </c>
      <c r="B3414">
        <v>0</v>
      </c>
      <c r="C3414" s="44">
        <v>1400</v>
      </c>
      <c r="D3414" t="s">
        <v>291</v>
      </c>
      <c r="E3414" t="s">
        <v>256</v>
      </c>
      <c r="F3414">
        <v>4</v>
      </c>
    </row>
    <row r="3415" spans="1:6" ht="13.2">
      <c r="A3415" t="s">
        <v>4536</v>
      </c>
      <c r="B3415">
        <v>0</v>
      </c>
      <c r="C3415" s="44">
        <v>1400</v>
      </c>
      <c r="D3415" t="s">
        <v>291</v>
      </c>
      <c r="E3415" t="s">
        <v>256</v>
      </c>
      <c r="F3415">
        <v>4</v>
      </c>
    </row>
    <row r="3416" spans="1:6" ht="13.2">
      <c r="A3416" t="s">
        <v>4537</v>
      </c>
      <c r="B3416">
        <v>0</v>
      </c>
      <c r="C3416" s="44">
        <v>1400</v>
      </c>
      <c r="D3416" t="s">
        <v>291</v>
      </c>
      <c r="E3416" t="s">
        <v>256</v>
      </c>
      <c r="F3416">
        <v>4</v>
      </c>
    </row>
    <row r="3417" spans="1:6" ht="13.2">
      <c r="A3417" t="s">
        <v>4538</v>
      </c>
      <c r="B3417">
        <v>0</v>
      </c>
      <c r="C3417" s="44">
        <v>1400</v>
      </c>
      <c r="D3417" t="s">
        <v>291</v>
      </c>
      <c r="E3417" t="s">
        <v>256</v>
      </c>
      <c r="F3417">
        <v>4</v>
      </c>
    </row>
    <row r="3418" spans="1:6" ht="13.2">
      <c r="A3418" t="s">
        <v>4539</v>
      </c>
      <c r="B3418">
        <v>0</v>
      </c>
      <c r="C3418" s="44">
        <v>1400</v>
      </c>
      <c r="D3418" t="s">
        <v>291</v>
      </c>
      <c r="E3418" t="s">
        <v>256</v>
      </c>
      <c r="F3418">
        <v>4</v>
      </c>
    </row>
    <row r="3419" spans="1:6" ht="13.2">
      <c r="A3419" t="s">
        <v>4540</v>
      </c>
      <c r="B3419">
        <v>0</v>
      </c>
      <c r="C3419" s="44">
        <v>1400</v>
      </c>
      <c r="D3419" t="s">
        <v>291</v>
      </c>
      <c r="E3419" t="s">
        <v>256</v>
      </c>
      <c r="F3419">
        <v>4</v>
      </c>
    </row>
    <row r="3420" spans="1:6" ht="13.2">
      <c r="A3420" t="s">
        <v>4541</v>
      </c>
      <c r="B3420">
        <v>0</v>
      </c>
      <c r="C3420" s="44">
        <v>1400</v>
      </c>
      <c r="D3420" t="s">
        <v>291</v>
      </c>
      <c r="E3420" t="s">
        <v>256</v>
      </c>
      <c r="F3420">
        <v>4</v>
      </c>
    </row>
    <row r="3421" spans="1:6" ht="13.2">
      <c r="A3421" t="s">
        <v>4542</v>
      </c>
      <c r="B3421">
        <v>0</v>
      </c>
      <c r="C3421" s="44">
        <v>1400</v>
      </c>
      <c r="D3421" t="s">
        <v>291</v>
      </c>
      <c r="E3421" t="s">
        <v>256</v>
      </c>
      <c r="F3421">
        <v>4</v>
      </c>
    </row>
    <row r="3422" spans="1:6" ht="13.2">
      <c r="A3422" t="s">
        <v>4543</v>
      </c>
      <c r="B3422">
        <v>0</v>
      </c>
      <c r="C3422" s="44">
        <v>1400</v>
      </c>
      <c r="D3422" t="s">
        <v>291</v>
      </c>
      <c r="E3422" t="s">
        <v>256</v>
      </c>
      <c r="F3422">
        <v>4</v>
      </c>
    </row>
    <row r="3423" spans="1:6" ht="13.2">
      <c r="A3423" t="s">
        <v>4544</v>
      </c>
      <c r="B3423">
        <v>0</v>
      </c>
      <c r="C3423" s="44">
        <v>1400</v>
      </c>
      <c r="D3423" t="s">
        <v>291</v>
      </c>
      <c r="E3423" t="s">
        <v>256</v>
      </c>
      <c r="F3423">
        <v>4</v>
      </c>
    </row>
    <row r="3424" spans="1:6" ht="13.2">
      <c r="A3424" t="s">
        <v>4545</v>
      </c>
      <c r="B3424">
        <v>0</v>
      </c>
      <c r="C3424" s="44">
        <v>1400</v>
      </c>
      <c r="D3424" t="s">
        <v>291</v>
      </c>
      <c r="E3424" t="s">
        <v>256</v>
      </c>
      <c r="F3424">
        <v>4</v>
      </c>
    </row>
    <row r="3425" spans="1:6" ht="13.2">
      <c r="A3425" t="s">
        <v>4549</v>
      </c>
      <c r="B3425">
        <v>0</v>
      </c>
      <c r="C3425" s="44">
        <v>1400</v>
      </c>
      <c r="D3425" t="s">
        <v>291</v>
      </c>
      <c r="E3425" t="s">
        <v>256</v>
      </c>
      <c r="F3425">
        <v>4</v>
      </c>
    </row>
    <row r="3426" spans="1:6" ht="13.2">
      <c r="A3426" t="s">
        <v>4546</v>
      </c>
      <c r="B3426">
        <v>0</v>
      </c>
      <c r="C3426" s="44">
        <v>1400</v>
      </c>
      <c r="D3426" t="s">
        <v>291</v>
      </c>
      <c r="E3426" t="s">
        <v>256</v>
      </c>
      <c r="F3426">
        <v>4</v>
      </c>
    </row>
    <row r="3427" spans="1:6" ht="13.2">
      <c r="A3427" t="s">
        <v>4547</v>
      </c>
      <c r="B3427">
        <v>0</v>
      </c>
      <c r="C3427" s="44">
        <v>1400</v>
      </c>
      <c r="D3427" t="s">
        <v>291</v>
      </c>
      <c r="E3427" t="s">
        <v>256</v>
      </c>
      <c r="F3427">
        <v>4</v>
      </c>
    </row>
    <row r="3428" spans="1:6" ht="13.2">
      <c r="A3428" t="s">
        <v>4548</v>
      </c>
      <c r="B3428">
        <v>0</v>
      </c>
      <c r="C3428" s="44">
        <v>1400</v>
      </c>
      <c r="D3428" t="s">
        <v>291</v>
      </c>
      <c r="E3428" t="s">
        <v>256</v>
      </c>
      <c r="F3428">
        <v>4</v>
      </c>
    </row>
    <row r="3429" spans="1:6" ht="13.2">
      <c r="A3429" t="s">
        <v>6249</v>
      </c>
      <c r="B3429">
        <v>270</v>
      </c>
      <c r="C3429" s="44">
        <v>1400</v>
      </c>
      <c r="D3429" t="s">
        <v>291</v>
      </c>
      <c r="E3429" t="s">
        <v>6250</v>
      </c>
      <c r="F3429">
        <v>4</v>
      </c>
    </row>
    <row r="3430" spans="1:6" ht="13.2">
      <c r="A3430" t="s">
        <v>6251</v>
      </c>
      <c r="B3430">
        <v>270</v>
      </c>
      <c r="C3430" s="44">
        <v>1400</v>
      </c>
      <c r="D3430" t="s">
        <v>291</v>
      </c>
      <c r="E3430" t="s">
        <v>6250</v>
      </c>
      <c r="F3430">
        <v>4</v>
      </c>
    </row>
    <row r="3431" spans="1:6" ht="13.2">
      <c r="A3431" t="s">
        <v>6252</v>
      </c>
      <c r="B3431">
        <v>270</v>
      </c>
      <c r="C3431" s="44">
        <v>1400</v>
      </c>
      <c r="D3431" t="s">
        <v>291</v>
      </c>
      <c r="E3431" t="s">
        <v>6250</v>
      </c>
      <c r="F3431">
        <v>4</v>
      </c>
    </row>
    <row r="3432" spans="1:6" ht="13.2">
      <c r="A3432" t="s">
        <v>6253</v>
      </c>
      <c r="B3432">
        <v>270</v>
      </c>
      <c r="C3432" s="44">
        <v>1400</v>
      </c>
      <c r="D3432" t="s">
        <v>291</v>
      </c>
      <c r="E3432" t="s">
        <v>6250</v>
      </c>
      <c r="F3432">
        <v>4</v>
      </c>
    </row>
    <row r="3433" spans="1:6" ht="13.2">
      <c r="A3433" t="s">
        <v>6254</v>
      </c>
      <c r="B3433">
        <v>270</v>
      </c>
      <c r="C3433" s="44">
        <v>1400</v>
      </c>
      <c r="D3433" t="s">
        <v>291</v>
      </c>
      <c r="E3433" t="s">
        <v>6250</v>
      </c>
      <c r="F3433">
        <v>4</v>
      </c>
    </row>
    <row r="3434" spans="1:6" ht="13.2">
      <c r="A3434" t="s">
        <v>3436</v>
      </c>
      <c r="B3434">
        <v>686</v>
      </c>
      <c r="C3434" s="44">
        <v>1370</v>
      </c>
      <c r="D3434" t="s">
        <v>291</v>
      </c>
      <c r="E3434" t="s">
        <v>418</v>
      </c>
      <c r="F3434">
        <v>3</v>
      </c>
    </row>
    <row r="3435" spans="1:6" ht="13.2">
      <c r="A3435" t="s">
        <v>3437</v>
      </c>
      <c r="B3435">
        <v>686</v>
      </c>
      <c r="C3435" s="44">
        <v>1370</v>
      </c>
      <c r="D3435" t="s">
        <v>291</v>
      </c>
      <c r="E3435" t="s">
        <v>418</v>
      </c>
      <c r="F3435">
        <v>3</v>
      </c>
    </row>
    <row r="3436" spans="1:6" ht="13.2">
      <c r="A3436" t="s">
        <v>3438</v>
      </c>
      <c r="B3436">
        <v>686</v>
      </c>
      <c r="C3436" s="44">
        <v>1370</v>
      </c>
      <c r="D3436" t="s">
        <v>291</v>
      </c>
      <c r="E3436" t="s">
        <v>418</v>
      </c>
      <c r="F3436">
        <v>3</v>
      </c>
    </row>
    <row r="3437" spans="1:6" ht="13.2">
      <c r="A3437" t="s">
        <v>3439</v>
      </c>
      <c r="B3437">
        <v>686</v>
      </c>
      <c r="C3437" s="44">
        <v>1370</v>
      </c>
      <c r="D3437" t="s">
        <v>291</v>
      </c>
      <c r="E3437" t="s">
        <v>418</v>
      </c>
      <c r="F3437">
        <v>3</v>
      </c>
    </row>
    <row r="3438" spans="1:6" ht="13.2">
      <c r="A3438" t="s">
        <v>3440</v>
      </c>
      <c r="B3438">
        <v>686</v>
      </c>
      <c r="C3438" s="44">
        <v>1370</v>
      </c>
      <c r="D3438" t="s">
        <v>291</v>
      </c>
      <c r="E3438" t="s">
        <v>418</v>
      </c>
      <c r="F3438">
        <v>3</v>
      </c>
    </row>
    <row r="3439" spans="1:6" ht="13.2">
      <c r="A3439" t="s">
        <v>5291</v>
      </c>
      <c r="B3439">
        <v>0</v>
      </c>
      <c r="C3439" s="44">
        <v>3000</v>
      </c>
      <c r="D3439" t="s">
        <v>293</v>
      </c>
      <c r="E3439" t="s">
        <v>256</v>
      </c>
      <c r="F3439">
        <v>4</v>
      </c>
    </row>
    <row r="3440" spans="1:6" ht="13.2">
      <c r="A3440" t="s">
        <v>5292</v>
      </c>
      <c r="B3440">
        <v>0</v>
      </c>
      <c r="C3440" s="44">
        <v>3000</v>
      </c>
      <c r="D3440" t="s">
        <v>293</v>
      </c>
      <c r="E3440" t="s">
        <v>256</v>
      </c>
      <c r="F3440">
        <v>4</v>
      </c>
    </row>
    <row r="3441" spans="1:6" ht="13.2">
      <c r="A3441" t="s">
        <v>5293</v>
      </c>
      <c r="B3441">
        <v>0</v>
      </c>
      <c r="C3441" s="44">
        <v>3000</v>
      </c>
      <c r="D3441" t="s">
        <v>293</v>
      </c>
      <c r="E3441" t="s">
        <v>256</v>
      </c>
      <c r="F3441">
        <v>4</v>
      </c>
    </row>
    <row r="3442" spans="1:6" ht="13.2">
      <c r="A3442" t="s">
        <v>5294</v>
      </c>
      <c r="B3442">
        <v>0</v>
      </c>
      <c r="C3442" s="44">
        <v>3000</v>
      </c>
      <c r="D3442" t="s">
        <v>293</v>
      </c>
      <c r="E3442" t="s">
        <v>256</v>
      </c>
      <c r="F3442">
        <v>4</v>
      </c>
    </row>
    <row r="3443" spans="1:6" ht="13.2">
      <c r="A3443" t="s">
        <v>5295</v>
      </c>
      <c r="B3443">
        <v>0</v>
      </c>
      <c r="C3443" s="44">
        <v>3000</v>
      </c>
      <c r="D3443" t="s">
        <v>293</v>
      </c>
      <c r="E3443" t="s">
        <v>256</v>
      </c>
      <c r="F3443">
        <v>4</v>
      </c>
    </row>
    <row r="3444" spans="1:6" ht="13.2">
      <c r="A3444" t="s">
        <v>5296</v>
      </c>
      <c r="B3444">
        <v>0</v>
      </c>
      <c r="C3444" s="44">
        <v>3000</v>
      </c>
      <c r="D3444" t="s">
        <v>293</v>
      </c>
      <c r="E3444" t="s">
        <v>256</v>
      </c>
      <c r="F3444">
        <v>4</v>
      </c>
    </row>
    <row r="3445" spans="1:6" ht="13.2">
      <c r="A3445" t="s">
        <v>5297</v>
      </c>
      <c r="B3445">
        <v>0</v>
      </c>
      <c r="C3445" s="44">
        <v>3000</v>
      </c>
      <c r="D3445" t="s">
        <v>293</v>
      </c>
      <c r="E3445" t="s">
        <v>256</v>
      </c>
      <c r="F3445">
        <v>4</v>
      </c>
    </row>
    <row r="3446" spans="1:6" ht="13.2">
      <c r="A3446" t="s">
        <v>5298</v>
      </c>
      <c r="B3446">
        <v>0</v>
      </c>
      <c r="C3446" s="44">
        <v>3000</v>
      </c>
      <c r="D3446" t="s">
        <v>293</v>
      </c>
      <c r="E3446" t="s">
        <v>256</v>
      </c>
      <c r="F3446">
        <v>4</v>
      </c>
    </row>
    <row r="3447" spans="1:6" ht="13.2">
      <c r="A3447" t="s">
        <v>5299</v>
      </c>
      <c r="B3447">
        <v>0</v>
      </c>
      <c r="C3447" s="44">
        <v>3000</v>
      </c>
      <c r="D3447" t="s">
        <v>293</v>
      </c>
      <c r="E3447" t="s">
        <v>256</v>
      </c>
      <c r="F3447">
        <v>4</v>
      </c>
    </row>
    <row r="3448" spans="1:6" ht="13.2">
      <c r="A3448" t="s">
        <v>5300</v>
      </c>
      <c r="B3448">
        <v>0</v>
      </c>
      <c r="C3448" s="44">
        <v>3000</v>
      </c>
      <c r="D3448" t="s">
        <v>293</v>
      </c>
      <c r="E3448" t="s">
        <v>256</v>
      </c>
      <c r="F3448">
        <v>4</v>
      </c>
    </row>
    <row r="3449" spans="1:6" ht="13.2">
      <c r="A3449" t="s">
        <v>5301</v>
      </c>
      <c r="B3449">
        <v>0</v>
      </c>
      <c r="C3449" s="44">
        <v>3000</v>
      </c>
      <c r="D3449" t="s">
        <v>293</v>
      </c>
      <c r="E3449" t="s">
        <v>256</v>
      </c>
      <c r="F3449">
        <v>4</v>
      </c>
    </row>
    <row r="3450" spans="1:6" ht="13.2">
      <c r="A3450" t="s">
        <v>5302</v>
      </c>
      <c r="B3450">
        <v>0</v>
      </c>
      <c r="C3450" s="44">
        <v>3000</v>
      </c>
      <c r="D3450" t="s">
        <v>293</v>
      </c>
      <c r="E3450" t="s">
        <v>256</v>
      </c>
      <c r="F3450">
        <v>4</v>
      </c>
    </row>
    <row r="3451" spans="1:6" ht="13.2">
      <c r="A3451" t="s">
        <v>5303</v>
      </c>
      <c r="B3451">
        <v>0</v>
      </c>
      <c r="C3451" s="44">
        <v>3000</v>
      </c>
      <c r="D3451" t="s">
        <v>293</v>
      </c>
      <c r="E3451" t="s">
        <v>256</v>
      </c>
      <c r="F3451">
        <v>4</v>
      </c>
    </row>
    <row r="3452" spans="1:6" ht="13.2">
      <c r="A3452" t="s">
        <v>5304</v>
      </c>
      <c r="B3452">
        <v>0</v>
      </c>
      <c r="C3452" s="44">
        <v>3000</v>
      </c>
      <c r="D3452" t="s">
        <v>293</v>
      </c>
      <c r="E3452" t="s">
        <v>256</v>
      </c>
      <c r="F3452">
        <v>4</v>
      </c>
    </row>
    <row r="3453" spans="1:6" ht="13.2">
      <c r="A3453" t="s">
        <v>5305</v>
      </c>
      <c r="B3453">
        <v>0</v>
      </c>
      <c r="C3453" s="44">
        <v>3000</v>
      </c>
      <c r="D3453" t="s">
        <v>293</v>
      </c>
      <c r="E3453" t="s">
        <v>256</v>
      </c>
      <c r="F3453">
        <v>4</v>
      </c>
    </row>
    <row r="3454" spans="1:6" ht="13.2">
      <c r="A3454" t="s">
        <v>5306</v>
      </c>
      <c r="B3454">
        <v>0</v>
      </c>
      <c r="C3454" s="44">
        <v>3000</v>
      </c>
      <c r="D3454" t="s">
        <v>293</v>
      </c>
      <c r="E3454" t="s">
        <v>256</v>
      </c>
      <c r="F3454">
        <v>4</v>
      </c>
    </row>
    <row r="3455" spans="1:6" ht="13.2">
      <c r="A3455" t="s">
        <v>5307</v>
      </c>
      <c r="B3455">
        <v>0</v>
      </c>
      <c r="C3455" s="44">
        <v>3000</v>
      </c>
      <c r="D3455" t="s">
        <v>293</v>
      </c>
      <c r="E3455" t="s">
        <v>256</v>
      </c>
      <c r="F3455">
        <v>4</v>
      </c>
    </row>
    <row r="3456" spans="1:6" ht="13.2">
      <c r="A3456" t="s">
        <v>5308</v>
      </c>
      <c r="B3456">
        <v>0</v>
      </c>
      <c r="C3456" s="44">
        <v>3000</v>
      </c>
      <c r="D3456" t="s">
        <v>293</v>
      </c>
      <c r="E3456" t="s">
        <v>256</v>
      </c>
      <c r="F3456">
        <v>4</v>
      </c>
    </row>
    <row r="3457" spans="1:6" ht="13.2">
      <c r="A3457" t="s">
        <v>5309</v>
      </c>
      <c r="B3457">
        <v>0</v>
      </c>
      <c r="C3457" s="44">
        <v>3000</v>
      </c>
      <c r="D3457" t="s">
        <v>293</v>
      </c>
      <c r="E3457" t="s">
        <v>256</v>
      </c>
      <c r="F3457">
        <v>4</v>
      </c>
    </row>
    <row r="3458" spans="1:6" ht="13.2">
      <c r="A3458" t="s">
        <v>5310</v>
      </c>
      <c r="B3458">
        <v>0</v>
      </c>
      <c r="C3458" s="44">
        <v>3000</v>
      </c>
      <c r="D3458" t="s">
        <v>293</v>
      </c>
      <c r="E3458" t="s">
        <v>256</v>
      </c>
      <c r="F3458">
        <v>4</v>
      </c>
    </row>
    <row r="3459" spans="1:6" ht="13.2">
      <c r="A3459" t="s">
        <v>5311</v>
      </c>
      <c r="B3459">
        <v>0</v>
      </c>
      <c r="C3459" s="44">
        <v>3000</v>
      </c>
      <c r="D3459" t="s">
        <v>293</v>
      </c>
      <c r="E3459" t="s">
        <v>256</v>
      </c>
      <c r="F3459">
        <v>4</v>
      </c>
    </row>
    <row r="3460" spans="1:6" ht="13.2">
      <c r="A3460" t="s">
        <v>5312</v>
      </c>
      <c r="B3460">
        <v>0</v>
      </c>
      <c r="C3460" s="44">
        <v>3000</v>
      </c>
      <c r="D3460" t="s">
        <v>293</v>
      </c>
      <c r="E3460" t="s">
        <v>256</v>
      </c>
      <c r="F3460">
        <v>4</v>
      </c>
    </row>
    <row r="3461" spans="1:6" ht="13.2">
      <c r="A3461" t="s">
        <v>5314</v>
      </c>
      <c r="B3461">
        <v>0</v>
      </c>
      <c r="C3461" s="44">
        <v>3000</v>
      </c>
      <c r="D3461" t="s">
        <v>293</v>
      </c>
      <c r="E3461" t="s">
        <v>256</v>
      </c>
      <c r="F3461">
        <v>4</v>
      </c>
    </row>
    <row r="3462" spans="1:6" ht="13.2">
      <c r="A3462" t="s">
        <v>5313</v>
      </c>
      <c r="B3462">
        <v>0</v>
      </c>
      <c r="C3462" s="44">
        <v>3000</v>
      </c>
      <c r="D3462" t="s">
        <v>293</v>
      </c>
      <c r="E3462" t="s">
        <v>256</v>
      </c>
      <c r="F3462">
        <v>4</v>
      </c>
    </row>
    <row r="3463" spans="1:6" ht="13.2">
      <c r="A3463" t="s">
        <v>3272</v>
      </c>
      <c r="B3463">
        <v>0</v>
      </c>
      <c r="C3463" s="44">
        <v>1370</v>
      </c>
      <c r="D3463" t="s">
        <v>291</v>
      </c>
      <c r="E3463" t="s">
        <v>364</v>
      </c>
      <c r="F3463">
        <v>3</v>
      </c>
    </row>
    <row r="3464" spans="1:6" ht="13.2">
      <c r="A3464" t="s">
        <v>3273</v>
      </c>
      <c r="B3464">
        <v>0</v>
      </c>
      <c r="C3464" s="44">
        <v>1370</v>
      </c>
      <c r="D3464" t="s">
        <v>291</v>
      </c>
      <c r="E3464" t="s">
        <v>364</v>
      </c>
      <c r="F3464">
        <v>3</v>
      </c>
    </row>
    <row r="3465" spans="1:6" ht="13.2">
      <c r="A3465" t="s">
        <v>3274</v>
      </c>
      <c r="B3465">
        <v>0</v>
      </c>
      <c r="C3465" s="44">
        <v>1370</v>
      </c>
      <c r="D3465" t="s">
        <v>291</v>
      </c>
      <c r="E3465" t="s">
        <v>364</v>
      </c>
      <c r="F3465">
        <v>3</v>
      </c>
    </row>
    <row r="3466" spans="1:6" ht="13.2">
      <c r="A3466" t="s">
        <v>3275</v>
      </c>
      <c r="B3466">
        <v>0</v>
      </c>
      <c r="C3466" s="44">
        <v>1370</v>
      </c>
      <c r="D3466" t="s">
        <v>291</v>
      </c>
      <c r="E3466" t="s">
        <v>364</v>
      </c>
      <c r="F3466">
        <v>3</v>
      </c>
    </row>
    <row r="3467" spans="1:6" ht="13.2">
      <c r="A3467" t="s">
        <v>3276</v>
      </c>
      <c r="B3467">
        <v>0</v>
      </c>
      <c r="C3467" s="44">
        <v>1370</v>
      </c>
      <c r="D3467" t="s">
        <v>291</v>
      </c>
      <c r="E3467" t="s">
        <v>364</v>
      </c>
      <c r="F3467">
        <v>3</v>
      </c>
    </row>
    <row r="3468" spans="1:6" ht="13.2">
      <c r="A3468" t="s">
        <v>3277</v>
      </c>
      <c r="B3468">
        <v>0</v>
      </c>
      <c r="C3468" s="44">
        <v>1370</v>
      </c>
      <c r="D3468" t="s">
        <v>291</v>
      </c>
      <c r="E3468" t="s">
        <v>364</v>
      </c>
      <c r="F3468">
        <v>3</v>
      </c>
    </row>
    <row r="3469" spans="1:6" ht="13.2">
      <c r="A3469" t="s">
        <v>3278</v>
      </c>
      <c r="B3469">
        <v>0</v>
      </c>
      <c r="C3469" s="44">
        <v>1370</v>
      </c>
      <c r="D3469" t="s">
        <v>291</v>
      </c>
      <c r="E3469" t="s">
        <v>364</v>
      </c>
      <c r="F3469">
        <v>3</v>
      </c>
    </row>
    <row r="3470" spans="1:6" ht="13.2">
      <c r="A3470" t="s">
        <v>3279</v>
      </c>
      <c r="B3470">
        <v>0</v>
      </c>
      <c r="C3470" s="44">
        <v>1370</v>
      </c>
      <c r="D3470" t="s">
        <v>291</v>
      </c>
      <c r="E3470" t="s">
        <v>364</v>
      </c>
      <c r="F3470">
        <v>3</v>
      </c>
    </row>
    <row r="3471" spans="1:6" ht="13.2">
      <c r="A3471" t="s">
        <v>3280</v>
      </c>
      <c r="B3471">
        <v>0</v>
      </c>
      <c r="C3471" s="44">
        <v>1370</v>
      </c>
      <c r="D3471" t="s">
        <v>291</v>
      </c>
      <c r="E3471" t="s">
        <v>364</v>
      </c>
      <c r="F3471">
        <v>3</v>
      </c>
    </row>
    <row r="3472" spans="1:6" ht="13.2">
      <c r="A3472" t="s">
        <v>3281</v>
      </c>
      <c r="B3472">
        <v>0</v>
      </c>
      <c r="C3472" s="44">
        <v>1370</v>
      </c>
      <c r="D3472" t="s">
        <v>291</v>
      </c>
      <c r="E3472" t="s">
        <v>364</v>
      </c>
      <c r="F3472">
        <v>3</v>
      </c>
    </row>
    <row r="3473" spans="1:6" ht="13.2">
      <c r="A3473" t="s">
        <v>3282</v>
      </c>
      <c r="B3473">
        <v>0</v>
      </c>
      <c r="C3473" s="44">
        <v>1370</v>
      </c>
      <c r="D3473" t="s">
        <v>291</v>
      </c>
      <c r="E3473" t="s">
        <v>364</v>
      </c>
      <c r="F3473">
        <v>3</v>
      </c>
    </row>
    <row r="3474" spans="1:6" ht="13.2">
      <c r="A3474" t="s">
        <v>3283</v>
      </c>
      <c r="B3474">
        <v>0</v>
      </c>
      <c r="C3474" s="44">
        <v>1370</v>
      </c>
      <c r="D3474" t="s">
        <v>291</v>
      </c>
      <c r="E3474" t="s">
        <v>364</v>
      </c>
      <c r="F3474">
        <v>3</v>
      </c>
    </row>
    <row r="3475" spans="1:6" ht="13.2">
      <c r="A3475" t="s">
        <v>3284</v>
      </c>
      <c r="B3475">
        <v>0</v>
      </c>
      <c r="C3475" s="44">
        <v>1370</v>
      </c>
      <c r="D3475" t="s">
        <v>291</v>
      </c>
      <c r="E3475" t="s">
        <v>364</v>
      </c>
      <c r="F3475">
        <v>3</v>
      </c>
    </row>
    <row r="3476" spans="1:6" ht="13.2">
      <c r="A3476" t="s">
        <v>3285</v>
      </c>
      <c r="B3476">
        <v>0</v>
      </c>
      <c r="C3476" s="44">
        <v>1370</v>
      </c>
      <c r="D3476" t="s">
        <v>291</v>
      </c>
      <c r="E3476" t="s">
        <v>364</v>
      </c>
      <c r="F3476">
        <v>3</v>
      </c>
    </row>
    <row r="3477" spans="1:6" ht="13.2">
      <c r="A3477" t="s">
        <v>3286</v>
      </c>
      <c r="B3477">
        <v>0</v>
      </c>
      <c r="C3477" s="44">
        <v>1370</v>
      </c>
      <c r="D3477" t="s">
        <v>291</v>
      </c>
      <c r="E3477" t="s">
        <v>364</v>
      </c>
      <c r="F3477">
        <v>3</v>
      </c>
    </row>
    <row r="3478" spans="1:6" ht="13.2">
      <c r="A3478" t="s">
        <v>3287</v>
      </c>
      <c r="B3478">
        <v>0</v>
      </c>
      <c r="C3478" s="44">
        <v>1370</v>
      </c>
      <c r="D3478" t="s">
        <v>291</v>
      </c>
      <c r="E3478" t="s">
        <v>364</v>
      </c>
      <c r="F3478">
        <v>3</v>
      </c>
    </row>
    <row r="3479" spans="1:6" ht="13.2">
      <c r="A3479" t="s">
        <v>3288</v>
      </c>
      <c r="B3479">
        <v>0</v>
      </c>
      <c r="C3479" s="44">
        <v>1370</v>
      </c>
      <c r="D3479" t="s">
        <v>291</v>
      </c>
      <c r="E3479" t="s">
        <v>364</v>
      </c>
      <c r="F3479">
        <v>3</v>
      </c>
    </row>
    <row r="3480" spans="1:6" ht="13.2">
      <c r="A3480" t="s">
        <v>3289</v>
      </c>
      <c r="B3480">
        <v>0</v>
      </c>
      <c r="C3480" s="44">
        <v>1370</v>
      </c>
      <c r="D3480" t="s">
        <v>291</v>
      </c>
      <c r="E3480" t="s">
        <v>364</v>
      </c>
      <c r="F3480">
        <v>3</v>
      </c>
    </row>
    <row r="3481" spans="1:6" ht="13.2">
      <c r="A3481" t="s">
        <v>3290</v>
      </c>
      <c r="B3481">
        <v>0</v>
      </c>
      <c r="C3481" s="44">
        <v>1370</v>
      </c>
      <c r="D3481" t="s">
        <v>291</v>
      </c>
      <c r="E3481" t="s">
        <v>364</v>
      </c>
      <c r="F3481">
        <v>3</v>
      </c>
    </row>
    <row r="3482" spans="1:6" ht="13.2">
      <c r="A3482" t="s">
        <v>3291</v>
      </c>
      <c r="B3482">
        <v>0</v>
      </c>
      <c r="C3482" s="44">
        <v>1370</v>
      </c>
      <c r="D3482" t="s">
        <v>291</v>
      </c>
      <c r="E3482" t="s">
        <v>364</v>
      </c>
      <c r="F3482">
        <v>3</v>
      </c>
    </row>
    <row r="3483" spans="1:6" ht="13.2">
      <c r="A3483" t="s">
        <v>3292</v>
      </c>
      <c r="B3483">
        <v>0</v>
      </c>
      <c r="C3483" s="44">
        <v>1370</v>
      </c>
      <c r="D3483" t="s">
        <v>291</v>
      </c>
      <c r="E3483" t="s">
        <v>364</v>
      </c>
      <c r="F3483">
        <v>3</v>
      </c>
    </row>
    <row r="3484" spans="1:6" ht="13.2">
      <c r="A3484" t="s">
        <v>3293</v>
      </c>
      <c r="B3484">
        <v>0</v>
      </c>
      <c r="C3484" s="44">
        <v>1370</v>
      </c>
      <c r="D3484" t="s">
        <v>291</v>
      </c>
      <c r="E3484" t="s">
        <v>364</v>
      </c>
      <c r="F3484">
        <v>3</v>
      </c>
    </row>
    <row r="3485" spans="1:6" ht="13.2">
      <c r="A3485" t="s">
        <v>3294</v>
      </c>
      <c r="B3485">
        <v>0</v>
      </c>
      <c r="C3485" s="44">
        <v>1370</v>
      </c>
      <c r="D3485" t="s">
        <v>291</v>
      </c>
      <c r="E3485" t="s">
        <v>364</v>
      </c>
      <c r="F3485">
        <v>3</v>
      </c>
    </row>
    <row r="3486" spans="1:6" ht="13.2">
      <c r="A3486" t="s">
        <v>3295</v>
      </c>
      <c r="B3486">
        <v>0</v>
      </c>
      <c r="C3486" s="44">
        <v>1370</v>
      </c>
      <c r="D3486" t="s">
        <v>291</v>
      </c>
      <c r="E3486" t="s">
        <v>364</v>
      </c>
      <c r="F3486">
        <v>3</v>
      </c>
    </row>
    <row r="3487" spans="1:6" ht="13.2">
      <c r="A3487" t="s">
        <v>3296</v>
      </c>
      <c r="B3487">
        <v>0</v>
      </c>
      <c r="C3487" s="44">
        <v>1370</v>
      </c>
      <c r="D3487" t="s">
        <v>291</v>
      </c>
      <c r="E3487" t="s">
        <v>364</v>
      </c>
      <c r="F3487">
        <v>3</v>
      </c>
    </row>
    <row r="3488" spans="1:6" ht="13.2">
      <c r="A3488" t="s">
        <v>3297</v>
      </c>
      <c r="B3488">
        <v>0</v>
      </c>
      <c r="C3488" s="44">
        <v>1370</v>
      </c>
      <c r="D3488" t="s">
        <v>291</v>
      </c>
      <c r="E3488" t="s">
        <v>364</v>
      </c>
      <c r="F3488">
        <v>3</v>
      </c>
    </row>
    <row r="3489" spans="1:6" ht="13.2">
      <c r="A3489" t="s">
        <v>6032</v>
      </c>
      <c r="B3489">
        <v>0</v>
      </c>
      <c r="C3489" s="44" t="s">
        <v>295</v>
      </c>
      <c r="D3489" t="s">
        <v>291</v>
      </c>
      <c r="E3489" t="s">
        <v>364</v>
      </c>
      <c r="F3489">
        <v>3</v>
      </c>
    </row>
    <row r="3490" spans="1:6" ht="13.2">
      <c r="A3490" t="s">
        <v>3298</v>
      </c>
      <c r="B3490">
        <v>0</v>
      </c>
      <c r="C3490" s="44">
        <v>1370</v>
      </c>
      <c r="D3490" t="s">
        <v>291</v>
      </c>
      <c r="E3490" t="s">
        <v>364</v>
      </c>
      <c r="F3490">
        <v>3</v>
      </c>
    </row>
    <row r="3491" spans="1:6" ht="13.2">
      <c r="A3491" t="s">
        <v>3299</v>
      </c>
      <c r="B3491">
        <v>0</v>
      </c>
      <c r="C3491" s="44">
        <v>1370</v>
      </c>
      <c r="D3491" t="s">
        <v>291</v>
      </c>
      <c r="E3491" t="s">
        <v>364</v>
      </c>
      <c r="F3491">
        <v>3</v>
      </c>
    </row>
    <row r="3492" spans="1:6" ht="13.2">
      <c r="A3492" t="s">
        <v>3300</v>
      </c>
      <c r="B3492">
        <v>0</v>
      </c>
      <c r="C3492" s="44">
        <v>1370</v>
      </c>
      <c r="D3492" t="s">
        <v>291</v>
      </c>
      <c r="E3492" t="s">
        <v>364</v>
      </c>
      <c r="F3492">
        <v>3</v>
      </c>
    </row>
    <row r="3493" spans="1:6" ht="13.2">
      <c r="A3493" t="s">
        <v>3301</v>
      </c>
      <c r="B3493">
        <v>0</v>
      </c>
      <c r="C3493" s="44">
        <v>1370</v>
      </c>
      <c r="D3493" t="s">
        <v>291</v>
      </c>
      <c r="E3493" t="s">
        <v>364</v>
      </c>
      <c r="F3493">
        <v>3</v>
      </c>
    </row>
    <row r="3494" spans="1:6" ht="13.2">
      <c r="A3494" t="s">
        <v>3302</v>
      </c>
      <c r="B3494">
        <v>0</v>
      </c>
      <c r="C3494" s="44">
        <v>1370</v>
      </c>
      <c r="D3494" t="s">
        <v>291</v>
      </c>
      <c r="E3494" t="s">
        <v>364</v>
      </c>
      <c r="F3494">
        <v>3</v>
      </c>
    </row>
    <row r="3495" spans="1:6" ht="13.2">
      <c r="A3495" t="s">
        <v>3303</v>
      </c>
      <c r="B3495">
        <v>0</v>
      </c>
      <c r="C3495" s="44">
        <v>1370</v>
      </c>
      <c r="D3495" t="s">
        <v>291</v>
      </c>
      <c r="E3495" t="s">
        <v>364</v>
      </c>
      <c r="F3495">
        <v>3</v>
      </c>
    </row>
    <row r="3496" spans="1:6" ht="13.2">
      <c r="A3496" t="s">
        <v>3304</v>
      </c>
      <c r="B3496">
        <v>0</v>
      </c>
      <c r="C3496" s="44">
        <v>1370</v>
      </c>
      <c r="D3496" t="s">
        <v>291</v>
      </c>
      <c r="E3496" t="s">
        <v>364</v>
      </c>
      <c r="F3496">
        <v>3</v>
      </c>
    </row>
    <row r="3497" spans="1:6" ht="13.2">
      <c r="A3497" t="s">
        <v>3305</v>
      </c>
      <c r="B3497">
        <v>0</v>
      </c>
      <c r="C3497" s="44">
        <v>1370</v>
      </c>
      <c r="D3497" t="s">
        <v>291</v>
      </c>
      <c r="E3497" t="s">
        <v>364</v>
      </c>
      <c r="F3497">
        <v>3</v>
      </c>
    </row>
    <row r="3498" spans="1:6" ht="13.2">
      <c r="A3498" t="s">
        <v>3306</v>
      </c>
      <c r="B3498">
        <v>0</v>
      </c>
      <c r="C3498" s="44">
        <v>1370</v>
      </c>
      <c r="D3498" t="s">
        <v>291</v>
      </c>
      <c r="E3498" t="s">
        <v>364</v>
      </c>
      <c r="F3498">
        <v>3</v>
      </c>
    </row>
    <row r="3499" spans="1:6" ht="13.2">
      <c r="A3499" t="s">
        <v>3307</v>
      </c>
      <c r="B3499">
        <v>0</v>
      </c>
      <c r="C3499" s="44">
        <v>1370</v>
      </c>
      <c r="D3499" t="s">
        <v>291</v>
      </c>
      <c r="E3499" t="s">
        <v>364</v>
      </c>
      <c r="F3499">
        <v>3</v>
      </c>
    </row>
    <row r="3500" spans="1:6" ht="13.2">
      <c r="A3500" t="s">
        <v>3308</v>
      </c>
      <c r="B3500">
        <v>0</v>
      </c>
      <c r="C3500" s="44">
        <v>1370</v>
      </c>
      <c r="D3500" t="s">
        <v>291</v>
      </c>
      <c r="E3500" t="s">
        <v>364</v>
      </c>
      <c r="F3500">
        <v>3</v>
      </c>
    </row>
    <row r="3501" spans="1:6" ht="13.2">
      <c r="A3501" t="s">
        <v>6033</v>
      </c>
      <c r="B3501">
        <v>0</v>
      </c>
      <c r="C3501" s="44" t="s">
        <v>295</v>
      </c>
      <c r="D3501" t="s">
        <v>291</v>
      </c>
      <c r="E3501" t="s">
        <v>364</v>
      </c>
      <c r="F3501">
        <v>3</v>
      </c>
    </row>
    <row r="3502" spans="1:6" ht="13.2">
      <c r="A3502" t="s">
        <v>3309</v>
      </c>
      <c r="B3502">
        <v>0</v>
      </c>
      <c r="C3502" s="44">
        <v>1370</v>
      </c>
      <c r="D3502" t="s">
        <v>291</v>
      </c>
      <c r="E3502" t="s">
        <v>364</v>
      </c>
      <c r="F3502">
        <v>3</v>
      </c>
    </row>
    <row r="3503" spans="1:6" ht="13.2">
      <c r="A3503" t="s">
        <v>3310</v>
      </c>
      <c r="B3503">
        <v>0</v>
      </c>
      <c r="C3503" s="44">
        <v>1370</v>
      </c>
      <c r="D3503" t="s">
        <v>291</v>
      </c>
      <c r="E3503" t="s">
        <v>364</v>
      </c>
      <c r="F3503">
        <v>3</v>
      </c>
    </row>
    <row r="3504" spans="1:6" ht="13.2">
      <c r="A3504" t="s">
        <v>3470</v>
      </c>
      <c r="B3504">
        <v>610</v>
      </c>
      <c r="C3504" s="44">
        <v>1430</v>
      </c>
      <c r="D3504" t="s">
        <v>291</v>
      </c>
      <c r="E3504" t="s">
        <v>721</v>
      </c>
      <c r="F3504">
        <v>3</v>
      </c>
    </row>
    <row r="3505" spans="1:6" ht="13.2">
      <c r="A3505" t="s">
        <v>3471</v>
      </c>
      <c r="B3505">
        <v>610</v>
      </c>
      <c r="C3505" s="44">
        <v>1430</v>
      </c>
      <c r="D3505" t="s">
        <v>291</v>
      </c>
      <c r="E3505" t="s">
        <v>721</v>
      </c>
      <c r="F3505">
        <v>3</v>
      </c>
    </row>
    <row r="3506" spans="1:6" ht="13.2">
      <c r="A3506" t="s">
        <v>3472</v>
      </c>
      <c r="B3506">
        <v>610</v>
      </c>
      <c r="C3506" s="44">
        <v>1430</v>
      </c>
      <c r="D3506" t="s">
        <v>291</v>
      </c>
      <c r="E3506" t="s">
        <v>721</v>
      </c>
      <c r="F3506">
        <v>3</v>
      </c>
    </row>
    <row r="3507" spans="1:6" ht="13.2">
      <c r="A3507" t="s">
        <v>3473</v>
      </c>
      <c r="B3507">
        <v>610</v>
      </c>
      <c r="C3507" s="44">
        <v>1430</v>
      </c>
      <c r="D3507" t="s">
        <v>291</v>
      </c>
      <c r="E3507" t="s">
        <v>721</v>
      </c>
      <c r="F3507">
        <v>3</v>
      </c>
    </row>
    <row r="3508" spans="1:6" ht="13.2">
      <c r="A3508" t="s">
        <v>3475</v>
      </c>
      <c r="B3508">
        <v>610</v>
      </c>
      <c r="C3508" s="44">
        <v>1430</v>
      </c>
      <c r="D3508" t="s">
        <v>291</v>
      </c>
      <c r="E3508" t="s">
        <v>721</v>
      </c>
      <c r="F3508">
        <v>3</v>
      </c>
    </row>
    <row r="3509" spans="1:6" ht="13.2">
      <c r="A3509" t="s">
        <v>3474</v>
      </c>
      <c r="B3509">
        <v>610</v>
      </c>
      <c r="C3509" s="44">
        <v>1430</v>
      </c>
      <c r="D3509" t="s">
        <v>291</v>
      </c>
      <c r="E3509" t="s">
        <v>721</v>
      </c>
      <c r="F3509">
        <v>3</v>
      </c>
    </row>
    <row r="3510" spans="1:6" ht="13.2">
      <c r="A3510" t="s">
        <v>6196</v>
      </c>
      <c r="B3510">
        <v>0</v>
      </c>
      <c r="C3510" s="44">
        <v>3000</v>
      </c>
      <c r="D3510" t="s">
        <v>293</v>
      </c>
      <c r="E3510" t="s">
        <v>6197</v>
      </c>
      <c r="F3510" t="s">
        <v>280</v>
      </c>
    </row>
    <row r="3511" spans="1:6" ht="13.2">
      <c r="A3511" t="s">
        <v>6198</v>
      </c>
      <c r="B3511">
        <v>0</v>
      </c>
      <c r="C3511" s="44">
        <v>3000</v>
      </c>
      <c r="D3511" t="s">
        <v>293</v>
      </c>
      <c r="E3511" t="s">
        <v>6197</v>
      </c>
      <c r="F3511" t="s">
        <v>280</v>
      </c>
    </row>
    <row r="3512" spans="1:6" ht="13.2">
      <c r="A3512" t="s">
        <v>6199</v>
      </c>
      <c r="B3512">
        <v>0</v>
      </c>
      <c r="C3512" s="44">
        <v>3000</v>
      </c>
      <c r="D3512" t="s">
        <v>293</v>
      </c>
      <c r="E3512" t="s">
        <v>6197</v>
      </c>
      <c r="F3512" t="s">
        <v>280</v>
      </c>
    </row>
    <row r="3513" spans="1:6" ht="13.2">
      <c r="A3513" t="s">
        <v>6200</v>
      </c>
      <c r="B3513">
        <v>0</v>
      </c>
      <c r="C3513" s="44">
        <v>3000</v>
      </c>
      <c r="D3513" t="s">
        <v>293</v>
      </c>
      <c r="E3513" t="s">
        <v>6197</v>
      </c>
      <c r="F3513" t="s">
        <v>280</v>
      </c>
    </row>
    <row r="3514" spans="1:6" ht="13.2">
      <c r="A3514" t="s">
        <v>6201</v>
      </c>
      <c r="B3514">
        <v>0</v>
      </c>
      <c r="C3514" s="44">
        <v>3000</v>
      </c>
      <c r="D3514" t="s">
        <v>293</v>
      </c>
      <c r="E3514" t="s">
        <v>6197</v>
      </c>
      <c r="F3514" t="s">
        <v>280</v>
      </c>
    </row>
    <row r="3515" spans="1:6" ht="13.2">
      <c r="A3515" t="s">
        <v>6202</v>
      </c>
      <c r="B3515">
        <v>0</v>
      </c>
      <c r="C3515" s="44">
        <v>3000</v>
      </c>
      <c r="D3515" t="s">
        <v>293</v>
      </c>
      <c r="E3515" t="s">
        <v>6197</v>
      </c>
      <c r="F3515" t="s">
        <v>280</v>
      </c>
    </row>
    <row r="3516" spans="1:6" ht="13.2">
      <c r="A3516" t="s">
        <v>6203</v>
      </c>
      <c r="B3516">
        <v>0</v>
      </c>
      <c r="C3516" s="44">
        <v>3000</v>
      </c>
      <c r="D3516" t="s">
        <v>293</v>
      </c>
      <c r="E3516" t="s">
        <v>6197</v>
      </c>
      <c r="F3516" t="s">
        <v>280</v>
      </c>
    </row>
    <row r="3517" spans="1:6" ht="13.2">
      <c r="A3517" t="s">
        <v>6204</v>
      </c>
      <c r="B3517">
        <v>0</v>
      </c>
      <c r="C3517" s="44">
        <v>3000</v>
      </c>
      <c r="D3517" t="s">
        <v>293</v>
      </c>
      <c r="E3517" t="s">
        <v>6197</v>
      </c>
      <c r="F3517" t="s">
        <v>280</v>
      </c>
    </row>
    <row r="3518" spans="1:6" ht="13.2">
      <c r="A3518" t="s">
        <v>6206</v>
      </c>
      <c r="B3518">
        <v>0</v>
      </c>
      <c r="C3518" s="44">
        <v>3000</v>
      </c>
      <c r="D3518" t="s">
        <v>293</v>
      </c>
      <c r="E3518" t="s">
        <v>6197</v>
      </c>
      <c r="F3518" t="s">
        <v>280</v>
      </c>
    </row>
    <row r="3519" spans="1:6" ht="13.2">
      <c r="A3519" t="s">
        <v>6205</v>
      </c>
      <c r="B3519">
        <v>0</v>
      </c>
      <c r="C3519" s="44">
        <v>3000</v>
      </c>
      <c r="D3519" t="s">
        <v>293</v>
      </c>
      <c r="E3519" t="s">
        <v>6197</v>
      </c>
      <c r="F3519" t="s">
        <v>280</v>
      </c>
    </row>
    <row r="3520" spans="1:6" ht="13.2">
      <c r="A3520" t="s">
        <v>2865</v>
      </c>
      <c r="B3520">
        <v>0</v>
      </c>
      <c r="C3520" s="44">
        <v>1440</v>
      </c>
      <c r="D3520" t="s">
        <v>291</v>
      </c>
      <c r="E3520" t="s">
        <v>4572</v>
      </c>
      <c r="F3520">
        <v>3</v>
      </c>
    </row>
    <row r="3521" spans="1:6" ht="13.2">
      <c r="A3521" t="s">
        <v>2866</v>
      </c>
      <c r="B3521">
        <v>0</v>
      </c>
      <c r="C3521" s="44">
        <v>1440</v>
      </c>
      <c r="D3521" t="s">
        <v>291</v>
      </c>
      <c r="E3521" t="s">
        <v>4572</v>
      </c>
      <c r="F3521">
        <v>3</v>
      </c>
    </row>
    <row r="3522" spans="1:6" ht="13.2">
      <c r="A3522" t="s">
        <v>2867</v>
      </c>
      <c r="B3522">
        <v>0</v>
      </c>
      <c r="C3522" s="44">
        <v>1440</v>
      </c>
      <c r="D3522" t="s">
        <v>291</v>
      </c>
      <c r="E3522" t="s">
        <v>4572</v>
      </c>
      <c r="F3522">
        <v>3</v>
      </c>
    </row>
    <row r="3523" spans="1:6" ht="13.2">
      <c r="A3523" t="s">
        <v>2868</v>
      </c>
      <c r="B3523">
        <v>0</v>
      </c>
      <c r="C3523" s="44">
        <v>1440</v>
      </c>
      <c r="D3523" t="s">
        <v>291</v>
      </c>
      <c r="E3523" t="s">
        <v>4572</v>
      </c>
      <c r="F3523">
        <v>3</v>
      </c>
    </row>
    <row r="3524" spans="1:6" ht="13.2">
      <c r="A3524" t="s">
        <v>2869</v>
      </c>
      <c r="B3524">
        <v>0</v>
      </c>
      <c r="C3524" s="44">
        <v>1440</v>
      </c>
      <c r="D3524" t="s">
        <v>291</v>
      </c>
      <c r="E3524" t="s">
        <v>4572</v>
      </c>
      <c r="F3524">
        <v>3</v>
      </c>
    </row>
    <row r="3525" spans="1:6" ht="13.2">
      <c r="A3525" t="s">
        <v>2870</v>
      </c>
      <c r="B3525">
        <v>0</v>
      </c>
      <c r="C3525" s="44">
        <v>1440</v>
      </c>
      <c r="D3525" t="s">
        <v>291</v>
      </c>
      <c r="E3525" t="s">
        <v>4572</v>
      </c>
      <c r="F3525">
        <v>3</v>
      </c>
    </row>
    <row r="3526" spans="1:6" ht="13.2">
      <c r="A3526" t="s">
        <v>2871</v>
      </c>
      <c r="B3526">
        <v>0</v>
      </c>
      <c r="C3526" s="44">
        <v>1440</v>
      </c>
      <c r="D3526" t="s">
        <v>291</v>
      </c>
      <c r="E3526" t="s">
        <v>4572</v>
      </c>
      <c r="F3526">
        <v>3</v>
      </c>
    </row>
    <row r="3527" spans="1:6" ht="13.2">
      <c r="A3527" t="s">
        <v>2872</v>
      </c>
      <c r="B3527">
        <v>0</v>
      </c>
      <c r="C3527" s="44">
        <v>1440</v>
      </c>
      <c r="D3527" t="s">
        <v>291</v>
      </c>
      <c r="E3527" t="s">
        <v>4572</v>
      </c>
      <c r="F3527">
        <v>3</v>
      </c>
    </row>
    <row r="3528" spans="1:6" ht="13.2">
      <c r="A3528" t="s">
        <v>2873</v>
      </c>
      <c r="B3528">
        <v>0</v>
      </c>
      <c r="C3528" s="44">
        <v>1440</v>
      </c>
      <c r="D3528" t="s">
        <v>291</v>
      </c>
      <c r="E3528" t="s">
        <v>4572</v>
      </c>
      <c r="F3528">
        <v>3</v>
      </c>
    </row>
    <row r="3529" spans="1:6" ht="13.2">
      <c r="A3529" t="s">
        <v>2874</v>
      </c>
      <c r="B3529">
        <v>0</v>
      </c>
      <c r="C3529" s="44">
        <v>1440</v>
      </c>
      <c r="D3529" t="s">
        <v>291</v>
      </c>
      <c r="E3529" t="s">
        <v>4572</v>
      </c>
      <c r="F3529">
        <v>3</v>
      </c>
    </row>
    <row r="3530" spans="1:6" ht="13.2">
      <c r="A3530" t="s">
        <v>2875</v>
      </c>
      <c r="B3530">
        <v>0</v>
      </c>
      <c r="C3530" s="44">
        <v>1440</v>
      </c>
      <c r="D3530" t="s">
        <v>291</v>
      </c>
      <c r="E3530" t="s">
        <v>4572</v>
      </c>
      <c r="F3530">
        <v>3</v>
      </c>
    </row>
    <row r="3531" spans="1:6" ht="13.2">
      <c r="A3531" t="s">
        <v>2876</v>
      </c>
      <c r="B3531">
        <v>0</v>
      </c>
      <c r="C3531" s="44">
        <v>1440</v>
      </c>
      <c r="D3531" t="s">
        <v>291</v>
      </c>
      <c r="E3531" t="s">
        <v>4572</v>
      </c>
      <c r="F3531">
        <v>3</v>
      </c>
    </row>
    <row r="3532" spans="1:6" ht="13.2">
      <c r="A3532" t="s">
        <v>2877</v>
      </c>
      <c r="B3532">
        <v>0</v>
      </c>
      <c r="C3532" s="44">
        <v>1440</v>
      </c>
      <c r="D3532" t="s">
        <v>291</v>
      </c>
      <c r="E3532" t="s">
        <v>4572</v>
      </c>
      <c r="F3532">
        <v>3</v>
      </c>
    </row>
    <row r="3533" spans="1:6" ht="13.2">
      <c r="A3533" t="s">
        <v>2878</v>
      </c>
      <c r="B3533">
        <v>0</v>
      </c>
      <c r="C3533" s="44">
        <v>1440</v>
      </c>
      <c r="D3533" t="s">
        <v>291</v>
      </c>
      <c r="E3533" t="s">
        <v>4572</v>
      </c>
      <c r="F3533">
        <v>3</v>
      </c>
    </row>
    <row r="3534" spans="1:6" ht="13.2">
      <c r="A3534" t="s">
        <v>2879</v>
      </c>
      <c r="B3534">
        <v>0</v>
      </c>
      <c r="C3534" s="44">
        <v>1440</v>
      </c>
      <c r="D3534" t="s">
        <v>291</v>
      </c>
      <c r="E3534" t="s">
        <v>4572</v>
      </c>
      <c r="F3534">
        <v>3</v>
      </c>
    </row>
    <row r="3535" spans="1:6" ht="13.2">
      <c r="A3535" t="s">
        <v>2880</v>
      </c>
      <c r="B3535">
        <v>0</v>
      </c>
      <c r="C3535" s="44">
        <v>1440</v>
      </c>
      <c r="D3535" t="s">
        <v>291</v>
      </c>
      <c r="E3535" t="s">
        <v>4572</v>
      </c>
      <c r="F3535">
        <v>3</v>
      </c>
    </row>
    <row r="3536" spans="1:6" ht="13.2">
      <c r="A3536" t="s">
        <v>2881</v>
      </c>
      <c r="B3536">
        <v>0</v>
      </c>
      <c r="C3536" s="44">
        <v>1440</v>
      </c>
      <c r="D3536" t="s">
        <v>291</v>
      </c>
      <c r="E3536" t="s">
        <v>4572</v>
      </c>
      <c r="F3536">
        <v>3</v>
      </c>
    </row>
    <row r="3537" spans="1:6" ht="13.2">
      <c r="A3537" t="s">
        <v>2882</v>
      </c>
      <c r="B3537">
        <v>0</v>
      </c>
      <c r="C3537" s="44">
        <v>1440</v>
      </c>
      <c r="D3537" t="s">
        <v>291</v>
      </c>
      <c r="E3537" t="s">
        <v>4572</v>
      </c>
      <c r="F3537">
        <v>3</v>
      </c>
    </row>
    <row r="3538" spans="1:6" ht="13.2">
      <c r="A3538" t="s">
        <v>2883</v>
      </c>
      <c r="B3538">
        <v>0</v>
      </c>
      <c r="C3538" s="44">
        <v>1440</v>
      </c>
      <c r="D3538" t="s">
        <v>291</v>
      </c>
      <c r="E3538" t="s">
        <v>4572</v>
      </c>
      <c r="F3538">
        <v>3</v>
      </c>
    </row>
    <row r="3539" spans="1:6" ht="13.2">
      <c r="A3539" t="s">
        <v>2884</v>
      </c>
      <c r="B3539">
        <v>0</v>
      </c>
      <c r="C3539" s="44">
        <v>1440</v>
      </c>
      <c r="D3539" t="s">
        <v>291</v>
      </c>
      <c r="E3539" t="s">
        <v>4572</v>
      </c>
      <c r="F3539">
        <v>3</v>
      </c>
    </row>
    <row r="3540" spans="1:6" ht="13.2">
      <c r="A3540" t="s">
        <v>2885</v>
      </c>
      <c r="B3540">
        <v>0</v>
      </c>
      <c r="C3540" s="44">
        <v>1440</v>
      </c>
      <c r="D3540" t="s">
        <v>291</v>
      </c>
      <c r="E3540" t="s">
        <v>4572</v>
      </c>
      <c r="F3540">
        <v>3</v>
      </c>
    </row>
    <row r="3541" spans="1:6" ht="13.2">
      <c r="A3541" t="s">
        <v>2886</v>
      </c>
      <c r="B3541">
        <v>0</v>
      </c>
      <c r="C3541" s="44">
        <v>1440</v>
      </c>
      <c r="D3541" t="s">
        <v>291</v>
      </c>
      <c r="E3541" t="s">
        <v>4572</v>
      </c>
      <c r="F3541">
        <v>3</v>
      </c>
    </row>
    <row r="3542" spans="1:6" ht="13.2">
      <c r="A3542" t="s">
        <v>2887</v>
      </c>
      <c r="B3542">
        <v>0</v>
      </c>
      <c r="C3542" s="44">
        <v>1440</v>
      </c>
      <c r="D3542" t="s">
        <v>291</v>
      </c>
      <c r="E3542" t="s">
        <v>4572</v>
      </c>
      <c r="F3542">
        <v>3</v>
      </c>
    </row>
    <row r="3543" spans="1:6" ht="13.2">
      <c r="A3543" t="s">
        <v>2888</v>
      </c>
      <c r="B3543">
        <v>0</v>
      </c>
      <c r="C3543" s="44">
        <v>1440</v>
      </c>
      <c r="D3543" t="s">
        <v>291</v>
      </c>
      <c r="E3543" t="s">
        <v>4572</v>
      </c>
      <c r="F3543">
        <v>3</v>
      </c>
    </row>
    <row r="3544" spans="1:6" ht="13.2">
      <c r="A3544" t="s">
        <v>2889</v>
      </c>
      <c r="B3544">
        <v>0</v>
      </c>
      <c r="C3544" s="44">
        <v>1440</v>
      </c>
      <c r="D3544" t="s">
        <v>291</v>
      </c>
      <c r="E3544" t="s">
        <v>4572</v>
      </c>
      <c r="F3544">
        <v>3</v>
      </c>
    </row>
    <row r="3545" spans="1:6" ht="13.2">
      <c r="A3545" t="s">
        <v>2890</v>
      </c>
      <c r="B3545">
        <v>0</v>
      </c>
      <c r="C3545" s="44">
        <v>1440</v>
      </c>
      <c r="D3545" t="s">
        <v>291</v>
      </c>
      <c r="E3545" t="s">
        <v>4572</v>
      </c>
      <c r="F3545">
        <v>3</v>
      </c>
    </row>
    <row r="3546" spans="1:6" ht="13.2">
      <c r="A3546" t="s">
        <v>2891</v>
      </c>
      <c r="B3546">
        <v>0</v>
      </c>
      <c r="C3546" s="44">
        <v>1440</v>
      </c>
      <c r="D3546" t="s">
        <v>291</v>
      </c>
      <c r="E3546" t="s">
        <v>4572</v>
      </c>
      <c r="F3546">
        <v>3</v>
      </c>
    </row>
    <row r="3547" spans="1:6" ht="13.2">
      <c r="A3547" t="s">
        <v>2892</v>
      </c>
      <c r="B3547">
        <v>0</v>
      </c>
      <c r="C3547" s="44">
        <v>1440</v>
      </c>
      <c r="D3547" t="s">
        <v>291</v>
      </c>
      <c r="E3547" t="s">
        <v>4572</v>
      </c>
      <c r="F3547">
        <v>3</v>
      </c>
    </row>
    <row r="3548" spans="1:6" ht="13.2">
      <c r="A3548" t="s">
        <v>2893</v>
      </c>
      <c r="B3548">
        <v>0</v>
      </c>
      <c r="C3548" s="44">
        <v>1440</v>
      </c>
      <c r="D3548" t="s">
        <v>291</v>
      </c>
      <c r="E3548" t="s">
        <v>4572</v>
      </c>
      <c r="F3548">
        <v>3</v>
      </c>
    </row>
    <row r="3549" spans="1:6" ht="13.2">
      <c r="A3549" t="s">
        <v>2894</v>
      </c>
      <c r="B3549">
        <v>0</v>
      </c>
      <c r="C3549" s="44">
        <v>1440</v>
      </c>
      <c r="D3549" t="s">
        <v>291</v>
      </c>
      <c r="E3549" t="s">
        <v>4572</v>
      </c>
      <c r="F3549">
        <v>3</v>
      </c>
    </row>
    <row r="3550" spans="1:6" ht="13.2">
      <c r="A3550" t="s">
        <v>2895</v>
      </c>
      <c r="B3550">
        <v>0</v>
      </c>
      <c r="C3550" s="44">
        <v>1440</v>
      </c>
      <c r="D3550" t="s">
        <v>291</v>
      </c>
      <c r="E3550" t="s">
        <v>4572</v>
      </c>
      <c r="F3550">
        <v>3</v>
      </c>
    </row>
    <row r="3551" spans="1:6" ht="13.2">
      <c r="A3551" t="s">
        <v>2896</v>
      </c>
      <c r="B3551">
        <v>0</v>
      </c>
      <c r="C3551" s="44">
        <v>1440</v>
      </c>
      <c r="D3551" t="s">
        <v>291</v>
      </c>
      <c r="E3551" t="s">
        <v>4572</v>
      </c>
      <c r="F3551">
        <v>3</v>
      </c>
    </row>
    <row r="3552" spans="1:6" ht="13.2">
      <c r="A3552" t="s">
        <v>2897</v>
      </c>
      <c r="B3552">
        <v>0</v>
      </c>
      <c r="C3552" s="44">
        <v>1440</v>
      </c>
      <c r="D3552" t="s">
        <v>291</v>
      </c>
      <c r="E3552" t="s">
        <v>4572</v>
      </c>
      <c r="F3552">
        <v>3</v>
      </c>
    </row>
    <row r="3553" spans="1:6" ht="13.2">
      <c r="A3553" t="s">
        <v>2898</v>
      </c>
      <c r="B3553">
        <v>0</v>
      </c>
      <c r="C3553" s="44">
        <v>1440</v>
      </c>
      <c r="D3553" t="s">
        <v>291</v>
      </c>
      <c r="E3553" t="s">
        <v>4572</v>
      </c>
      <c r="F3553">
        <v>3</v>
      </c>
    </row>
    <row r="3554" spans="1:6" ht="13.2">
      <c r="A3554" t="s">
        <v>2899</v>
      </c>
      <c r="B3554">
        <v>0</v>
      </c>
      <c r="C3554" s="44">
        <v>1440</v>
      </c>
      <c r="D3554" t="s">
        <v>291</v>
      </c>
      <c r="E3554" t="s">
        <v>4572</v>
      </c>
      <c r="F3554">
        <v>3</v>
      </c>
    </row>
    <row r="3555" spans="1:6" ht="13.2">
      <c r="A3555" t="s">
        <v>2900</v>
      </c>
      <c r="B3555">
        <v>0</v>
      </c>
      <c r="C3555" s="44">
        <v>1440</v>
      </c>
      <c r="D3555" t="s">
        <v>291</v>
      </c>
      <c r="E3555" t="s">
        <v>4572</v>
      </c>
      <c r="F3555">
        <v>3</v>
      </c>
    </row>
    <row r="3556" spans="1:6" ht="13.2">
      <c r="A3556" t="s">
        <v>2901</v>
      </c>
      <c r="B3556">
        <v>0</v>
      </c>
      <c r="C3556" s="44">
        <v>1440</v>
      </c>
      <c r="D3556" t="s">
        <v>291</v>
      </c>
      <c r="E3556" t="s">
        <v>4572</v>
      </c>
      <c r="F3556">
        <v>3</v>
      </c>
    </row>
    <row r="3557" spans="1:6" ht="13.2">
      <c r="A3557" t="s">
        <v>2902</v>
      </c>
      <c r="B3557">
        <v>0</v>
      </c>
      <c r="C3557" s="44">
        <v>1440</v>
      </c>
      <c r="D3557" t="s">
        <v>291</v>
      </c>
      <c r="E3557" t="s">
        <v>4572</v>
      </c>
      <c r="F3557">
        <v>3</v>
      </c>
    </row>
    <row r="3558" spans="1:6" ht="13.2">
      <c r="A3558" t="s">
        <v>2903</v>
      </c>
      <c r="B3558">
        <v>0</v>
      </c>
      <c r="C3558" s="44">
        <v>1440</v>
      </c>
      <c r="D3558" t="s">
        <v>291</v>
      </c>
      <c r="E3558" t="s">
        <v>4572</v>
      </c>
      <c r="F3558">
        <v>3</v>
      </c>
    </row>
    <row r="3559" spans="1:6" ht="13.2">
      <c r="A3559" t="s">
        <v>2906</v>
      </c>
      <c r="B3559">
        <v>0</v>
      </c>
      <c r="C3559" s="44">
        <v>1440</v>
      </c>
      <c r="D3559" t="s">
        <v>291</v>
      </c>
      <c r="E3559" t="s">
        <v>4572</v>
      </c>
      <c r="F3559">
        <v>3</v>
      </c>
    </row>
    <row r="3560" spans="1:6" ht="13.2">
      <c r="A3560" t="s">
        <v>2904</v>
      </c>
      <c r="B3560">
        <v>0</v>
      </c>
      <c r="C3560" s="44">
        <v>1440</v>
      </c>
      <c r="D3560" t="s">
        <v>291</v>
      </c>
      <c r="E3560" t="s">
        <v>4572</v>
      </c>
      <c r="F3560">
        <v>3</v>
      </c>
    </row>
    <row r="3561" spans="1:6" ht="13.2">
      <c r="A3561" t="s">
        <v>2905</v>
      </c>
      <c r="B3561">
        <v>0</v>
      </c>
      <c r="C3561" s="44">
        <v>1440</v>
      </c>
      <c r="D3561" t="s">
        <v>291</v>
      </c>
      <c r="E3561" t="s">
        <v>4572</v>
      </c>
      <c r="F3561">
        <v>3</v>
      </c>
    </row>
    <row r="3562" spans="1:6" ht="13.2">
      <c r="A3562" t="s">
        <v>1528</v>
      </c>
      <c r="B3562">
        <v>0</v>
      </c>
      <c r="C3562" s="44">
        <v>3000</v>
      </c>
      <c r="D3562" t="s">
        <v>293</v>
      </c>
      <c r="E3562" t="s">
        <v>256</v>
      </c>
      <c r="F3562">
        <v>4</v>
      </c>
    </row>
    <row r="3563" spans="1:6" ht="13.2">
      <c r="A3563" t="s">
        <v>1529</v>
      </c>
      <c r="B3563">
        <v>0</v>
      </c>
      <c r="C3563" s="44">
        <v>3000</v>
      </c>
      <c r="D3563" t="s">
        <v>293</v>
      </c>
      <c r="E3563" t="s">
        <v>256</v>
      </c>
      <c r="F3563">
        <v>4</v>
      </c>
    </row>
    <row r="3564" spans="1:6" ht="13.2">
      <c r="A3564" t="s">
        <v>1530</v>
      </c>
      <c r="B3564">
        <v>0</v>
      </c>
      <c r="C3564" s="44">
        <v>3000</v>
      </c>
      <c r="D3564" t="s">
        <v>293</v>
      </c>
      <c r="E3564" t="s">
        <v>256</v>
      </c>
      <c r="F3564">
        <v>4</v>
      </c>
    </row>
    <row r="3565" spans="1:6" ht="13.2">
      <c r="A3565" t="s">
        <v>1531</v>
      </c>
      <c r="B3565">
        <v>0</v>
      </c>
      <c r="C3565" s="44">
        <v>3000</v>
      </c>
      <c r="D3565" t="s">
        <v>293</v>
      </c>
      <c r="E3565" t="s">
        <v>256</v>
      </c>
      <c r="F3565">
        <v>4</v>
      </c>
    </row>
    <row r="3566" spans="1:6" ht="13.2">
      <c r="A3566" t="s">
        <v>1532</v>
      </c>
      <c r="B3566">
        <v>0</v>
      </c>
      <c r="C3566" s="44">
        <v>3000</v>
      </c>
      <c r="D3566" t="s">
        <v>293</v>
      </c>
      <c r="E3566" t="s">
        <v>256</v>
      </c>
      <c r="F3566">
        <v>4</v>
      </c>
    </row>
    <row r="3567" spans="1:6" ht="13.2">
      <c r="A3567" t="s">
        <v>1533</v>
      </c>
      <c r="B3567">
        <v>0</v>
      </c>
      <c r="C3567" s="44">
        <v>3000</v>
      </c>
      <c r="D3567" t="s">
        <v>293</v>
      </c>
      <c r="E3567" t="s">
        <v>256</v>
      </c>
      <c r="F3567">
        <v>4</v>
      </c>
    </row>
    <row r="3568" spans="1:6" ht="13.2">
      <c r="A3568" t="s">
        <v>1534</v>
      </c>
      <c r="B3568">
        <v>0</v>
      </c>
      <c r="C3568" s="44">
        <v>3000</v>
      </c>
      <c r="D3568" t="s">
        <v>293</v>
      </c>
      <c r="E3568" t="s">
        <v>256</v>
      </c>
      <c r="F3568">
        <v>4</v>
      </c>
    </row>
    <row r="3569" spans="1:6" ht="13.2">
      <c r="A3569" t="s">
        <v>1535</v>
      </c>
      <c r="B3569">
        <v>0</v>
      </c>
      <c r="C3569" s="44">
        <v>3000</v>
      </c>
      <c r="D3569" t="s">
        <v>293</v>
      </c>
      <c r="E3569" t="s">
        <v>256</v>
      </c>
      <c r="F3569">
        <v>4</v>
      </c>
    </row>
    <row r="3570" spans="1:6" ht="13.2">
      <c r="A3570" t="s">
        <v>1536</v>
      </c>
      <c r="B3570">
        <v>0</v>
      </c>
      <c r="C3570" s="44">
        <v>3000</v>
      </c>
      <c r="D3570" t="s">
        <v>293</v>
      </c>
      <c r="E3570" t="s">
        <v>256</v>
      </c>
      <c r="F3570">
        <v>4</v>
      </c>
    </row>
    <row r="3571" spans="1:6" ht="13.2">
      <c r="A3571" t="s">
        <v>3441</v>
      </c>
      <c r="B3571">
        <v>0</v>
      </c>
      <c r="C3571" s="44">
        <v>1370</v>
      </c>
      <c r="D3571" t="s">
        <v>291</v>
      </c>
      <c r="E3571" t="s">
        <v>719</v>
      </c>
      <c r="F3571">
        <v>3</v>
      </c>
    </row>
    <row r="3572" spans="1:6" ht="13.2">
      <c r="A3572" t="s">
        <v>3442</v>
      </c>
      <c r="B3572">
        <v>0</v>
      </c>
      <c r="C3572" s="44">
        <v>1370</v>
      </c>
      <c r="D3572" t="s">
        <v>291</v>
      </c>
      <c r="E3572" t="s">
        <v>719</v>
      </c>
      <c r="F3572">
        <v>3</v>
      </c>
    </row>
    <row r="3573" spans="1:6" ht="13.2">
      <c r="A3573" t="s">
        <v>3443</v>
      </c>
      <c r="B3573">
        <v>0</v>
      </c>
      <c r="C3573" s="44">
        <v>1370</v>
      </c>
      <c r="D3573" t="s">
        <v>291</v>
      </c>
      <c r="E3573" t="s">
        <v>719</v>
      </c>
      <c r="F3573">
        <v>3</v>
      </c>
    </row>
    <row r="3574" spans="1:6" ht="13.2">
      <c r="A3574" t="s">
        <v>3445</v>
      </c>
      <c r="B3574">
        <v>0</v>
      </c>
      <c r="C3574" s="44">
        <v>1370</v>
      </c>
      <c r="D3574" t="s">
        <v>291</v>
      </c>
      <c r="E3574" t="s">
        <v>719</v>
      </c>
      <c r="F3574">
        <v>3</v>
      </c>
    </row>
    <row r="3575" spans="1:6" ht="13.2">
      <c r="A3575" t="s">
        <v>3444</v>
      </c>
      <c r="B3575">
        <v>0</v>
      </c>
      <c r="C3575" s="44">
        <v>1370</v>
      </c>
      <c r="D3575" t="s">
        <v>291</v>
      </c>
      <c r="E3575" t="s">
        <v>719</v>
      </c>
      <c r="F3575">
        <v>3</v>
      </c>
    </row>
    <row r="3576" spans="1:6" ht="13.2">
      <c r="A3576" t="s">
        <v>4687</v>
      </c>
      <c r="B3576">
        <v>100</v>
      </c>
      <c r="C3576" s="44">
        <v>1370</v>
      </c>
      <c r="D3576" t="s">
        <v>291</v>
      </c>
      <c r="E3576" t="s">
        <v>256</v>
      </c>
      <c r="F3576">
        <v>4</v>
      </c>
    </row>
    <row r="3577" spans="1:6" ht="13.2">
      <c r="A3577" t="s">
        <v>4688</v>
      </c>
      <c r="B3577">
        <v>100</v>
      </c>
      <c r="C3577" s="44">
        <v>1370</v>
      </c>
      <c r="D3577" t="s">
        <v>291</v>
      </c>
      <c r="E3577" t="s">
        <v>256</v>
      </c>
      <c r="F3577">
        <v>4</v>
      </c>
    </row>
    <row r="3578" spans="1:6" ht="13.2">
      <c r="A3578" t="s">
        <v>4689</v>
      </c>
      <c r="B3578">
        <v>100</v>
      </c>
      <c r="C3578" s="44">
        <v>1370</v>
      </c>
      <c r="D3578" t="s">
        <v>291</v>
      </c>
      <c r="E3578" t="s">
        <v>256</v>
      </c>
      <c r="F3578">
        <v>4</v>
      </c>
    </row>
    <row r="3579" spans="1:6" ht="13.2">
      <c r="A3579" t="s">
        <v>4690</v>
      </c>
      <c r="B3579">
        <v>100</v>
      </c>
      <c r="C3579" s="44">
        <v>1370</v>
      </c>
      <c r="D3579" t="s">
        <v>291</v>
      </c>
      <c r="E3579" t="s">
        <v>256</v>
      </c>
      <c r="F3579">
        <v>4</v>
      </c>
    </row>
    <row r="3580" spans="1:6" ht="13.2">
      <c r="A3580" t="s">
        <v>4691</v>
      </c>
      <c r="B3580">
        <v>100</v>
      </c>
      <c r="C3580" s="44">
        <v>1370</v>
      </c>
      <c r="D3580" t="s">
        <v>291</v>
      </c>
      <c r="E3580" t="s">
        <v>256</v>
      </c>
      <c r="F3580">
        <v>4</v>
      </c>
    </row>
    <row r="3581" spans="1:6" ht="13.2">
      <c r="A3581" t="s">
        <v>4693</v>
      </c>
      <c r="B3581">
        <v>100</v>
      </c>
      <c r="C3581" s="44">
        <v>1370</v>
      </c>
      <c r="D3581" t="s">
        <v>291</v>
      </c>
      <c r="E3581" t="s">
        <v>256</v>
      </c>
      <c r="F3581">
        <v>4</v>
      </c>
    </row>
    <row r="3582" spans="1:6" ht="13.2">
      <c r="A3582" t="s">
        <v>4692</v>
      </c>
      <c r="B3582">
        <v>100</v>
      </c>
      <c r="C3582" s="44">
        <v>1370</v>
      </c>
      <c r="D3582" t="s">
        <v>291</v>
      </c>
      <c r="E3582" t="s">
        <v>256</v>
      </c>
      <c r="F3582">
        <v>4</v>
      </c>
    </row>
    <row r="3583" spans="1:6" ht="13.2">
      <c r="A3583" t="s">
        <v>3617</v>
      </c>
      <c r="B3583">
        <v>0</v>
      </c>
      <c r="C3583" s="44">
        <v>3150</v>
      </c>
      <c r="D3583" t="s">
        <v>293</v>
      </c>
      <c r="E3583" t="s">
        <v>256</v>
      </c>
      <c r="F3583">
        <v>4</v>
      </c>
    </row>
    <row r="3584" spans="1:6" ht="13.2">
      <c r="A3584" t="s">
        <v>3618</v>
      </c>
      <c r="B3584">
        <v>0</v>
      </c>
      <c r="C3584" s="44">
        <v>3150</v>
      </c>
      <c r="D3584" t="s">
        <v>293</v>
      </c>
      <c r="E3584" t="s">
        <v>256</v>
      </c>
      <c r="F3584">
        <v>4</v>
      </c>
    </row>
    <row r="3585" spans="1:6" ht="13.2">
      <c r="A3585" t="s">
        <v>3619</v>
      </c>
      <c r="B3585">
        <v>0</v>
      </c>
      <c r="C3585" s="44">
        <v>3150</v>
      </c>
      <c r="D3585" t="s">
        <v>293</v>
      </c>
      <c r="E3585" t="s">
        <v>256</v>
      </c>
      <c r="F3585">
        <v>4</v>
      </c>
    </row>
    <row r="3586" spans="1:6" ht="13.2">
      <c r="A3586" t="s">
        <v>3620</v>
      </c>
      <c r="B3586">
        <v>0</v>
      </c>
      <c r="C3586" s="44">
        <v>3150</v>
      </c>
      <c r="D3586" t="s">
        <v>293</v>
      </c>
      <c r="E3586" t="s">
        <v>256</v>
      </c>
      <c r="F3586">
        <v>4</v>
      </c>
    </row>
    <row r="3587" spans="1:6" ht="13.2">
      <c r="A3587" t="s">
        <v>3621</v>
      </c>
      <c r="B3587">
        <v>0</v>
      </c>
      <c r="C3587" s="44">
        <v>3150</v>
      </c>
      <c r="D3587" t="s">
        <v>293</v>
      </c>
      <c r="E3587" t="s">
        <v>256</v>
      </c>
      <c r="F3587">
        <v>4</v>
      </c>
    </row>
    <row r="3588" spans="1:6" ht="13.2">
      <c r="A3588" t="s">
        <v>3622</v>
      </c>
      <c r="B3588">
        <v>0</v>
      </c>
      <c r="C3588" s="44">
        <v>3150</v>
      </c>
      <c r="D3588" t="s">
        <v>293</v>
      </c>
      <c r="E3588" t="s">
        <v>256</v>
      </c>
      <c r="F3588">
        <v>4</v>
      </c>
    </row>
    <row r="3589" spans="1:6" ht="13.2">
      <c r="A3589" t="s">
        <v>3623</v>
      </c>
      <c r="B3589">
        <v>0</v>
      </c>
      <c r="C3589" s="44">
        <v>3150</v>
      </c>
      <c r="D3589" t="s">
        <v>293</v>
      </c>
      <c r="E3589" t="s">
        <v>256</v>
      </c>
      <c r="F3589">
        <v>4</v>
      </c>
    </row>
    <row r="3590" spans="1:6" ht="13.2">
      <c r="A3590" t="s">
        <v>3624</v>
      </c>
      <c r="B3590">
        <v>0</v>
      </c>
      <c r="C3590" s="44">
        <v>3150</v>
      </c>
      <c r="D3590" t="s">
        <v>293</v>
      </c>
      <c r="E3590" t="s">
        <v>256</v>
      </c>
      <c r="F3590">
        <v>4</v>
      </c>
    </row>
    <row r="3591" spans="1:6" ht="13.2">
      <c r="A3591" t="s">
        <v>3625</v>
      </c>
      <c r="B3591">
        <v>0</v>
      </c>
      <c r="C3591" s="44">
        <v>3150</v>
      </c>
      <c r="D3591" t="s">
        <v>293</v>
      </c>
      <c r="E3591" t="s">
        <v>256</v>
      </c>
      <c r="F3591">
        <v>4</v>
      </c>
    </row>
    <row r="3592" spans="1:6" ht="13.2">
      <c r="A3592" t="s">
        <v>3626</v>
      </c>
      <c r="B3592">
        <v>0</v>
      </c>
      <c r="C3592" s="44">
        <v>3150</v>
      </c>
      <c r="D3592" t="s">
        <v>293</v>
      </c>
      <c r="E3592" t="s">
        <v>256</v>
      </c>
      <c r="F3592">
        <v>4</v>
      </c>
    </row>
    <row r="3593" spans="1:6" ht="13.2">
      <c r="A3593" t="s">
        <v>3627</v>
      </c>
      <c r="B3593">
        <v>0</v>
      </c>
      <c r="C3593" s="44">
        <v>3150</v>
      </c>
      <c r="D3593" t="s">
        <v>291</v>
      </c>
      <c r="E3593" t="s">
        <v>256</v>
      </c>
      <c r="F3593">
        <v>4</v>
      </c>
    </row>
    <row r="3594" spans="1:6" ht="13.2">
      <c r="A3594" t="s">
        <v>3628</v>
      </c>
      <c r="B3594">
        <v>0</v>
      </c>
      <c r="C3594" s="44">
        <v>3150</v>
      </c>
      <c r="D3594" t="s">
        <v>291</v>
      </c>
      <c r="E3594" t="s">
        <v>256</v>
      </c>
      <c r="F3594">
        <v>4</v>
      </c>
    </row>
    <row r="3595" spans="1:6" ht="13.2">
      <c r="A3595" t="s">
        <v>3629</v>
      </c>
      <c r="B3595">
        <v>0</v>
      </c>
      <c r="C3595" s="44">
        <v>3150</v>
      </c>
      <c r="D3595" t="s">
        <v>291</v>
      </c>
      <c r="E3595" t="s">
        <v>256</v>
      </c>
      <c r="F3595">
        <v>4</v>
      </c>
    </row>
    <row r="3596" spans="1:6" ht="13.2">
      <c r="A3596" t="s">
        <v>3630</v>
      </c>
      <c r="B3596">
        <v>0</v>
      </c>
      <c r="C3596" s="44">
        <v>3150</v>
      </c>
      <c r="D3596" t="s">
        <v>291</v>
      </c>
      <c r="E3596" t="s">
        <v>256</v>
      </c>
      <c r="F3596">
        <v>4</v>
      </c>
    </row>
    <row r="3597" spans="1:6" ht="13.2">
      <c r="A3597" t="s">
        <v>3631</v>
      </c>
      <c r="B3597">
        <v>0</v>
      </c>
      <c r="C3597" s="44">
        <v>3150</v>
      </c>
      <c r="D3597" t="s">
        <v>291</v>
      </c>
      <c r="E3597" t="s">
        <v>256</v>
      </c>
      <c r="F3597">
        <v>4</v>
      </c>
    </row>
    <row r="3598" spans="1:6" ht="13.2">
      <c r="A3598" t="s">
        <v>3632</v>
      </c>
      <c r="B3598">
        <v>0</v>
      </c>
      <c r="C3598" s="44">
        <v>3150</v>
      </c>
      <c r="D3598" t="s">
        <v>291</v>
      </c>
      <c r="E3598" t="s">
        <v>256</v>
      </c>
      <c r="F3598">
        <v>4</v>
      </c>
    </row>
    <row r="3599" spans="1:6" ht="13.2">
      <c r="A3599" t="s">
        <v>3633</v>
      </c>
      <c r="B3599">
        <v>0</v>
      </c>
      <c r="C3599" s="44">
        <v>3150</v>
      </c>
      <c r="D3599" t="s">
        <v>291</v>
      </c>
      <c r="E3599" t="s">
        <v>256</v>
      </c>
      <c r="F3599">
        <v>4</v>
      </c>
    </row>
    <row r="3600" spans="1:6" ht="13.2">
      <c r="A3600" t="s">
        <v>3634</v>
      </c>
      <c r="B3600">
        <v>0</v>
      </c>
      <c r="C3600" s="44">
        <v>3150</v>
      </c>
      <c r="D3600" t="s">
        <v>291</v>
      </c>
      <c r="E3600" t="s">
        <v>256</v>
      </c>
      <c r="F3600">
        <v>4</v>
      </c>
    </row>
    <row r="3601" spans="1:6" ht="13.2">
      <c r="A3601" t="s">
        <v>3635</v>
      </c>
      <c r="B3601">
        <v>0</v>
      </c>
      <c r="C3601" s="44">
        <v>3150</v>
      </c>
      <c r="D3601" t="s">
        <v>291</v>
      </c>
      <c r="E3601" t="s">
        <v>256</v>
      </c>
      <c r="F3601">
        <v>4</v>
      </c>
    </row>
    <row r="3602" spans="1:6" ht="13.2">
      <c r="A3602" t="s">
        <v>3636</v>
      </c>
      <c r="B3602">
        <v>0</v>
      </c>
      <c r="C3602" s="44">
        <v>3150</v>
      </c>
      <c r="D3602" t="s">
        <v>291</v>
      </c>
      <c r="E3602" t="s">
        <v>256</v>
      </c>
      <c r="F3602">
        <v>4</v>
      </c>
    </row>
    <row r="3603" spans="1:6" ht="13.2">
      <c r="A3603" t="s">
        <v>3352</v>
      </c>
      <c r="B3603">
        <v>0</v>
      </c>
      <c r="C3603" s="44">
        <v>1380</v>
      </c>
      <c r="D3603" t="s">
        <v>291</v>
      </c>
      <c r="E3603" t="s">
        <v>710</v>
      </c>
      <c r="F3603">
        <v>2</v>
      </c>
    </row>
    <row r="3604" spans="1:6" ht="13.2">
      <c r="A3604" t="s">
        <v>3353</v>
      </c>
      <c r="B3604">
        <v>0</v>
      </c>
      <c r="C3604" s="44">
        <v>1380</v>
      </c>
      <c r="D3604" t="s">
        <v>291</v>
      </c>
      <c r="E3604" t="s">
        <v>710</v>
      </c>
      <c r="F3604">
        <v>2</v>
      </c>
    </row>
    <row r="3605" spans="1:6" ht="13.2">
      <c r="A3605" t="s">
        <v>3354</v>
      </c>
      <c r="B3605">
        <v>0</v>
      </c>
      <c r="C3605" s="44">
        <v>1380</v>
      </c>
      <c r="D3605" t="s">
        <v>291</v>
      </c>
      <c r="E3605" t="s">
        <v>710</v>
      </c>
      <c r="F3605">
        <v>2</v>
      </c>
    </row>
    <row r="3606" spans="1:6" ht="13.2">
      <c r="A3606" t="s">
        <v>3355</v>
      </c>
      <c r="B3606">
        <v>0</v>
      </c>
      <c r="C3606" s="44">
        <v>1380</v>
      </c>
      <c r="D3606" t="s">
        <v>291</v>
      </c>
      <c r="E3606" t="s">
        <v>710</v>
      </c>
      <c r="F3606">
        <v>2</v>
      </c>
    </row>
    <row r="3607" spans="1:6" ht="13.2">
      <c r="A3607" t="s">
        <v>3356</v>
      </c>
      <c r="B3607">
        <v>0</v>
      </c>
      <c r="C3607" s="44">
        <v>1380</v>
      </c>
      <c r="D3607" t="s">
        <v>291</v>
      </c>
      <c r="E3607" t="s">
        <v>710</v>
      </c>
      <c r="F3607">
        <v>2</v>
      </c>
    </row>
    <row r="3608" spans="1:6" ht="13.2">
      <c r="A3608" t="s">
        <v>3357</v>
      </c>
      <c r="B3608">
        <v>0</v>
      </c>
      <c r="C3608" s="44">
        <v>1380</v>
      </c>
      <c r="D3608" t="s">
        <v>291</v>
      </c>
      <c r="E3608" t="s">
        <v>710</v>
      </c>
      <c r="F3608">
        <v>2</v>
      </c>
    </row>
    <row r="3609" spans="1:6" ht="13.2">
      <c r="A3609" t="s">
        <v>3358</v>
      </c>
      <c r="B3609">
        <v>0</v>
      </c>
      <c r="C3609" s="44">
        <v>1380</v>
      </c>
      <c r="D3609" t="s">
        <v>291</v>
      </c>
      <c r="E3609" t="s">
        <v>710</v>
      </c>
      <c r="F3609">
        <v>2</v>
      </c>
    </row>
    <row r="3610" spans="1:6" ht="13.2">
      <c r="A3610" t="s">
        <v>3359</v>
      </c>
      <c r="B3610">
        <v>0</v>
      </c>
      <c r="C3610" s="44">
        <v>1380</v>
      </c>
      <c r="D3610" t="s">
        <v>291</v>
      </c>
      <c r="E3610" t="s">
        <v>710</v>
      </c>
      <c r="F3610">
        <v>2</v>
      </c>
    </row>
    <row r="3611" spans="1:6" ht="13.2">
      <c r="A3611" t="s">
        <v>3360</v>
      </c>
      <c r="B3611">
        <v>0</v>
      </c>
      <c r="C3611" s="44">
        <v>1380</v>
      </c>
      <c r="D3611" t="s">
        <v>291</v>
      </c>
      <c r="E3611" t="s">
        <v>710</v>
      </c>
      <c r="F3611">
        <v>2</v>
      </c>
    </row>
    <row r="3612" spans="1:6" ht="13.2">
      <c r="A3612" t="s">
        <v>3361</v>
      </c>
      <c r="B3612">
        <v>0</v>
      </c>
      <c r="C3612" s="44">
        <v>1380</v>
      </c>
      <c r="D3612" t="s">
        <v>291</v>
      </c>
      <c r="E3612" t="s">
        <v>710</v>
      </c>
      <c r="F3612">
        <v>2</v>
      </c>
    </row>
    <row r="3613" spans="1:6" ht="13.2">
      <c r="A3613" t="s">
        <v>3362</v>
      </c>
      <c r="B3613">
        <v>0</v>
      </c>
      <c r="C3613" s="44">
        <v>1380</v>
      </c>
      <c r="D3613" t="s">
        <v>291</v>
      </c>
      <c r="E3613" t="s">
        <v>710</v>
      </c>
      <c r="F3613">
        <v>2</v>
      </c>
    </row>
    <row r="3614" spans="1:6" ht="13.2">
      <c r="A3614" t="s">
        <v>3363</v>
      </c>
      <c r="B3614">
        <v>0</v>
      </c>
      <c r="C3614" s="44">
        <v>1380</v>
      </c>
      <c r="D3614" t="s">
        <v>291</v>
      </c>
      <c r="E3614" t="s">
        <v>710</v>
      </c>
      <c r="F3614">
        <v>2</v>
      </c>
    </row>
    <row r="3615" spans="1:6" ht="13.2">
      <c r="A3615" t="s">
        <v>3364</v>
      </c>
      <c r="B3615">
        <v>0</v>
      </c>
      <c r="C3615" s="44">
        <v>1380</v>
      </c>
      <c r="D3615" t="s">
        <v>291</v>
      </c>
      <c r="E3615" t="s">
        <v>710</v>
      </c>
      <c r="F3615">
        <v>2</v>
      </c>
    </row>
    <row r="3616" spans="1:6" ht="13.2">
      <c r="A3616" t="s">
        <v>3365</v>
      </c>
      <c r="B3616">
        <v>0</v>
      </c>
      <c r="C3616" s="44">
        <v>1380</v>
      </c>
      <c r="D3616" t="s">
        <v>291</v>
      </c>
      <c r="E3616" t="s">
        <v>710</v>
      </c>
      <c r="F3616">
        <v>2</v>
      </c>
    </row>
    <row r="3617" spans="1:6" ht="13.2">
      <c r="A3617" t="s">
        <v>3366</v>
      </c>
      <c r="B3617">
        <v>0</v>
      </c>
      <c r="C3617" s="44">
        <v>1380</v>
      </c>
      <c r="D3617" t="s">
        <v>291</v>
      </c>
      <c r="E3617" t="s">
        <v>710</v>
      </c>
      <c r="F3617">
        <v>2</v>
      </c>
    </row>
    <row r="3618" spans="1:6" ht="13.2">
      <c r="A3618" t="s">
        <v>3367</v>
      </c>
      <c r="B3618">
        <v>0</v>
      </c>
      <c r="C3618" s="44">
        <v>1380</v>
      </c>
      <c r="D3618" t="s">
        <v>291</v>
      </c>
      <c r="E3618" t="s">
        <v>710</v>
      </c>
      <c r="F3618">
        <v>2</v>
      </c>
    </row>
    <row r="3619" spans="1:6" ht="13.2">
      <c r="A3619" t="s">
        <v>3368</v>
      </c>
      <c r="B3619">
        <v>0</v>
      </c>
      <c r="C3619" s="44">
        <v>1380</v>
      </c>
      <c r="D3619" t="s">
        <v>291</v>
      </c>
      <c r="E3619" t="s">
        <v>710</v>
      </c>
      <c r="F3619">
        <v>2</v>
      </c>
    </row>
    <row r="3620" spans="1:6" ht="13.2">
      <c r="A3620" t="s">
        <v>3369</v>
      </c>
      <c r="B3620">
        <v>0</v>
      </c>
      <c r="C3620" s="44">
        <v>1380</v>
      </c>
      <c r="D3620" t="s">
        <v>291</v>
      </c>
      <c r="E3620" t="s">
        <v>710</v>
      </c>
      <c r="F3620">
        <v>2</v>
      </c>
    </row>
    <row r="3621" spans="1:6" ht="13.2">
      <c r="A3621" t="s">
        <v>3370</v>
      </c>
      <c r="B3621">
        <v>0</v>
      </c>
      <c r="C3621" s="44">
        <v>1380</v>
      </c>
      <c r="D3621" t="s">
        <v>291</v>
      </c>
      <c r="E3621" t="s">
        <v>710</v>
      </c>
      <c r="F3621">
        <v>2</v>
      </c>
    </row>
    <row r="3622" spans="1:6" ht="13.2">
      <c r="A3622" t="s">
        <v>3371</v>
      </c>
      <c r="B3622">
        <v>0</v>
      </c>
      <c r="C3622" s="44">
        <v>1380</v>
      </c>
      <c r="D3622" t="s">
        <v>291</v>
      </c>
      <c r="E3622" t="s">
        <v>710</v>
      </c>
      <c r="F3622">
        <v>2</v>
      </c>
    </row>
    <row r="3623" spans="1:6" ht="13.2">
      <c r="A3623" t="s">
        <v>3372</v>
      </c>
      <c r="B3623">
        <v>0</v>
      </c>
      <c r="C3623" s="44">
        <v>1380</v>
      </c>
      <c r="D3623" t="s">
        <v>291</v>
      </c>
      <c r="E3623" t="s">
        <v>710</v>
      </c>
      <c r="F3623">
        <v>2</v>
      </c>
    </row>
    <row r="3624" spans="1:6" ht="13.2">
      <c r="A3624" t="s">
        <v>3373</v>
      </c>
      <c r="B3624">
        <v>0</v>
      </c>
      <c r="C3624" s="44">
        <v>1380</v>
      </c>
      <c r="D3624" t="s">
        <v>291</v>
      </c>
      <c r="E3624" t="s">
        <v>710</v>
      </c>
      <c r="F3624">
        <v>2</v>
      </c>
    </row>
    <row r="3625" spans="1:6" ht="13.2">
      <c r="A3625" t="s">
        <v>3374</v>
      </c>
      <c r="B3625">
        <v>0</v>
      </c>
      <c r="C3625" s="44">
        <v>1380</v>
      </c>
      <c r="D3625" t="s">
        <v>291</v>
      </c>
      <c r="E3625" t="s">
        <v>710</v>
      </c>
      <c r="F3625">
        <v>2</v>
      </c>
    </row>
    <row r="3626" spans="1:6" ht="13.2">
      <c r="A3626" t="s">
        <v>3375</v>
      </c>
      <c r="B3626">
        <v>0</v>
      </c>
      <c r="C3626" s="44">
        <v>1380</v>
      </c>
      <c r="D3626" t="s">
        <v>291</v>
      </c>
      <c r="E3626" t="s">
        <v>710</v>
      </c>
      <c r="F3626">
        <v>2</v>
      </c>
    </row>
    <row r="3627" spans="1:6" ht="13.2">
      <c r="A3627" t="s">
        <v>3376</v>
      </c>
      <c r="B3627">
        <v>0</v>
      </c>
      <c r="C3627" s="44">
        <v>1380</v>
      </c>
      <c r="D3627" t="s">
        <v>291</v>
      </c>
      <c r="E3627" t="s">
        <v>710</v>
      </c>
      <c r="F3627">
        <v>2</v>
      </c>
    </row>
    <row r="3628" spans="1:6" ht="13.2">
      <c r="A3628" t="s">
        <v>3377</v>
      </c>
      <c r="B3628">
        <v>0</v>
      </c>
      <c r="C3628" s="44">
        <v>1380</v>
      </c>
      <c r="D3628" t="s">
        <v>291</v>
      </c>
      <c r="E3628" t="s">
        <v>710</v>
      </c>
      <c r="F3628">
        <v>2</v>
      </c>
    </row>
    <row r="3629" spans="1:6" ht="13.2">
      <c r="A3629" t="s">
        <v>3378</v>
      </c>
      <c r="B3629">
        <v>0</v>
      </c>
      <c r="C3629" s="44">
        <v>1380</v>
      </c>
      <c r="D3629" t="s">
        <v>291</v>
      </c>
      <c r="E3629" t="s">
        <v>710</v>
      </c>
      <c r="F3629">
        <v>2</v>
      </c>
    </row>
    <row r="3630" spans="1:6" ht="13.2">
      <c r="A3630" t="s">
        <v>3379</v>
      </c>
      <c r="B3630">
        <v>0</v>
      </c>
      <c r="C3630" s="44">
        <v>1380</v>
      </c>
      <c r="D3630" t="s">
        <v>291</v>
      </c>
      <c r="E3630" t="s">
        <v>710</v>
      </c>
      <c r="F3630">
        <v>2</v>
      </c>
    </row>
    <row r="3631" spans="1:6" ht="13.2">
      <c r="A3631" t="s">
        <v>3380</v>
      </c>
      <c r="B3631">
        <v>0</v>
      </c>
      <c r="C3631" s="44">
        <v>1380</v>
      </c>
      <c r="D3631" t="s">
        <v>291</v>
      </c>
      <c r="E3631" t="s">
        <v>710</v>
      </c>
      <c r="F3631">
        <v>2</v>
      </c>
    </row>
    <row r="3632" spans="1:6" ht="13.2">
      <c r="A3632" t="s">
        <v>3381</v>
      </c>
      <c r="B3632">
        <v>0</v>
      </c>
      <c r="C3632" s="44">
        <v>1380</v>
      </c>
      <c r="D3632" t="s">
        <v>291</v>
      </c>
      <c r="E3632" t="s">
        <v>710</v>
      </c>
      <c r="F3632">
        <v>2</v>
      </c>
    </row>
    <row r="3633" spans="1:6" ht="13.2">
      <c r="A3633" t="s">
        <v>3382</v>
      </c>
      <c r="B3633">
        <v>0</v>
      </c>
      <c r="C3633" s="44">
        <v>1380</v>
      </c>
      <c r="D3633" t="s">
        <v>291</v>
      </c>
      <c r="E3633" t="s">
        <v>710</v>
      </c>
      <c r="F3633">
        <v>2</v>
      </c>
    </row>
    <row r="3634" spans="1:6" ht="13.2">
      <c r="A3634" t="s">
        <v>3383</v>
      </c>
      <c r="B3634">
        <v>0</v>
      </c>
      <c r="C3634" s="44">
        <v>1380</v>
      </c>
      <c r="D3634" t="s">
        <v>291</v>
      </c>
      <c r="E3634" t="s">
        <v>710</v>
      </c>
      <c r="F3634">
        <v>2</v>
      </c>
    </row>
    <row r="3635" spans="1:6" ht="13.2">
      <c r="A3635" t="s">
        <v>1787</v>
      </c>
      <c r="B3635">
        <v>0</v>
      </c>
      <c r="C3635" s="44">
        <v>3000</v>
      </c>
      <c r="D3635" t="s">
        <v>293</v>
      </c>
      <c r="E3635" t="s">
        <v>364</v>
      </c>
      <c r="F3635">
        <v>3</v>
      </c>
    </row>
    <row r="3636" spans="1:6" ht="13.2">
      <c r="A3636" t="s">
        <v>1788</v>
      </c>
      <c r="B3636">
        <v>0</v>
      </c>
      <c r="C3636" s="44">
        <v>3000</v>
      </c>
      <c r="D3636" t="s">
        <v>293</v>
      </c>
      <c r="E3636" t="s">
        <v>364</v>
      </c>
      <c r="F3636">
        <v>3</v>
      </c>
    </row>
    <row r="3637" spans="1:6" ht="13.2">
      <c r="A3637" t="s">
        <v>1789</v>
      </c>
      <c r="B3637">
        <v>0</v>
      </c>
      <c r="C3637" s="44">
        <v>3000</v>
      </c>
      <c r="D3637" t="s">
        <v>293</v>
      </c>
      <c r="E3637" t="s">
        <v>364</v>
      </c>
      <c r="F3637">
        <v>3</v>
      </c>
    </row>
    <row r="3638" spans="1:6" ht="13.2">
      <c r="A3638" t="s">
        <v>1790</v>
      </c>
      <c r="B3638">
        <v>0</v>
      </c>
      <c r="C3638" s="44">
        <v>3000</v>
      </c>
      <c r="D3638" t="s">
        <v>293</v>
      </c>
      <c r="E3638" t="s">
        <v>364</v>
      </c>
      <c r="F3638">
        <v>3</v>
      </c>
    </row>
    <row r="3639" spans="1:6" ht="13.2">
      <c r="A3639" t="s">
        <v>1791</v>
      </c>
      <c r="B3639">
        <v>0</v>
      </c>
      <c r="C3639" s="44">
        <v>3000</v>
      </c>
      <c r="D3639" t="s">
        <v>293</v>
      </c>
      <c r="E3639" t="s">
        <v>364</v>
      </c>
      <c r="F3639">
        <v>3</v>
      </c>
    </row>
    <row r="3640" spans="1:6" ht="13.2">
      <c r="A3640" t="s">
        <v>1792</v>
      </c>
      <c r="B3640">
        <v>0</v>
      </c>
      <c r="C3640" s="44">
        <v>3000</v>
      </c>
      <c r="D3640" t="s">
        <v>293</v>
      </c>
      <c r="E3640" t="s">
        <v>364</v>
      </c>
      <c r="F3640">
        <v>3</v>
      </c>
    </row>
    <row r="3641" spans="1:6" ht="13.2">
      <c r="A3641" t="s">
        <v>1793</v>
      </c>
      <c r="B3641">
        <v>0</v>
      </c>
      <c r="C3641" s="44">
        <v>3000</v>
      </c>
      <c r="D3641" t="s">
        <v>293</v>
      </c>
      <c r="E3641" t="s">
        <v>364</v>
      </c>
      <c r="F3641">
        <v>3</v>
      </c>
    </row>
    <row r="3642" spans="1:6" ht="13.2">
      <c r="A3642" t="s">
        <v>1794</v>
      </c>
      <c r="B3642">
        <v>0</v>
      </c>
      <c r="C3642" s="44">
        <v>3000</v>
      </c>
      <c r="D3642" t="s">
        <v>293</v>
      </c>
      <c r="E3642" t="s">
        <v>364</v>
      </c>
      <c r="F3642">
        <v>3</v>
      </c>
    </row>
    <row r="3643" spans="1:6" ht="13.2">
      <c r="A3643" t="s">
        <v>1795</v>
      </c>
      <c r="B3643">
        <v>0</v>
      </c>
      <c r="C3643" s="44">
        <v>3000</v>
      </c>
      <c r="D3643" t="s">
        <v>293</v>
      </c>
      <c r="E3643" t="s">
        <v>364</v>
      </c>
      <c r="F3643">
        <v>3</v>
      </c>
    </row>
    <row r="3644" spans="1:6" ht="13.2">
      <c r="A3644" t="s">
        <v>1796</v>
      </c>
      <c r="B3644">
        <v>0</v>
      </c>
      <c r="C3644" s="44">
        <v>3000</v>
      </c>
      <c r="D3644" t="s">
        <v>293</v>
      </c>
      <c r="E3644" t="s">
        <v>364</v>
      </c>
      <c r="F3644">
        <v>3</v>
      </c>
    </row>
    <row r="3645" spans="1:6" ht="13.2">
      <c r="A3645" t="s">
        <v>1797</v>
      </c>
      <c r="B3645">
        <v>0</v>
      </c>
      <c r="C3645" s="44">
        <v>3000</v>
      </c>
      <c r="D3645" t="s">
        <v>293</v>
      </c>
      <c r="E3645" t="s">
        <v>364</v>
      </c>
      <c r="F3645">
        <v>3</v>
      </c>
    </row>
    <row r="3646" spans="1:6" ht="13.2">
      <c r="A3646" t="s">
        <v>1798</v>
      </c>
      <c r="B3646">
        <v>0</v>
      </c>
      <c r="C3646" s="44">
        <v>3000</v>
      </c>
      <c r="D3646" t="s">
        <v>293</v>
      </c>
      <c r="E3646" t="s">
        <v>364</v>
      </c>
      <c r="F3646">
        <v>3</v>
      </c>
    </row>
    <row r="3647" spans="1:6" ht="13.2">
      <c r="A3647" t="s">
        <v>1799</v>
      </c>
      <c r="B3647">
        <v>0</v>
      </c>
      <c r="C3647" s="44">
        <v>3000</v>
      </c>
      <c r="D3647" t="s">
        <v>293</v>
      </c>
      <c r="E3647" t="s">
        <v>364</v>
      </c>
      <c r="F3647">
        <v>3</v>
      </c>
    </row>
    <row r="3648" spans="1:6" ht="13.2">
      <c r="A3648" t="s">
        <v>1800</v>
      </c>
      <c r="B3648">
        <v>0</v>
      </c>
      <c r="C3648" s="44">
        <v>3000</v>
      </c>
      <c r="D3648" t="s">
        <v>293</v>
      </c>
      <c r="E3648" t="s">
        <v>364</v>
      </c>
      <c r="F3648">
        <v>3</v>
      </c>
    </row>
    <row r="3649" spans="1:6" ht="13.2">
      <c r="A3649" t="s">
        <v>1801</v>
      </c>
      <c r="B3649">
        <v>0</v>
      </c>
      <c r="C3649" s="44">
        <v>3000</v>
      </c>
      <c r="D3649" t="s">
        <v>293</v>
      </c>
      <c r="E3649" t="s">
        <v>364</v>
      </c>
      <c r="F3649">
        <v>3</v>
      </c>
    </row>
    <row r="3650" spans="1:6" ht="13.2">
      <c r="A3650" t="s">
        <v>1802</v>
      </c>
      <c r="B3650">
        <v>0</v>
      </c>
      <c r="C3650" s="44">
        <v>3000</v>
      </c>
      <c r="D3650" t="s">
        <v>293</v>
      </c>
      <c r="E3650" t="s">
        <v>364</v>
      </c>
      <c r="F3650">
        <v>3</v>
      </c>
    </row>
    <row r="3651" spans="1:6" ht="13.2">
      <c r="A3651" t="s">
        <v>1803</v>
      </c>
      <c r="B3651">
        <v>0</v>
      </c>
      <c r="C3651" s="44">
        <v>3000</v>
      </c>
      <c r="D3651" t="s">
        <v>293</v>
      </c>
      <c r="E3651" t="s">
        <v>364</v>
      </c>
      <c r="F3651">
        <v>3</v>
      </c>
    </row>
    <row r="3652" spans="1:6" ht="13.2">
      <c r="A3652" t="s">
        <v>1804</v>
      </c>
      <c r="B3652">
        <v>0</v>
      </c>
      <c r="C3652" s="44">
        <v>3000</v>
      </c>
      <c r="D3652" t="s">
        <v>293</v>
      </c>
      <c r="E3652" t="s">
        <v>364</v>
      </c>
      <c r="F3652">
        <v>3</v>
      </c>
    </row>
    <row r="3653" spans="1:6" ht="13.2">
      <c r="A3653" t="s">
        <v>1805</v>
      </c>
      <c r="B3653">
        <v>0</v>
      </c>
      <c r="C3653" s="44">
        <v>3000</v>
      </c>
      <c r="D3653" t="s">
        <v>293</v>
      </c>
      <c r="E3653" t="s">
        <v>364</v>
      </c>
      <c r="F3653">
        <v>3</v>
      </c>
    </row>
    <row r="3654" spans="1:6" ht="13.2">
      <c r="A3654" t="s">
        <v>1808</v>
      </c>
      <c r="B3654">
        <v>0</v>
      </c>
      <c r="C3654" s="44">
        <v>3000</v>
      </c>
      <c r="D3654" t="s">
        <v>293</v>
      </c>
      <c r="E3654" t="s">
        <v>364</v>
      </c>
      <c r="F3654">
        <v>3</v>
      </c>
    </row>
    <row r="3655" spans="1:6" ht="13.2">
      <c r="A3655" t="s">
        <v>1806</v>
      </c>
      <c r="B3655">
        <v>0</v>
      </c>
      <c r="C3655" s="44">
        <v>3000</v>
      </c>
      <c r="D3655" t="s">
        <v>293</v>
      </c>
      <c r="E3655" t="s">
        <v>364</v>
      </c>
      <c r="F3655">
        <v>3</v>
      </c>
    </row>
    <row r="3656" spans="1:6" ht="13.2">
      <c r="A3656" t="s">
        <v>1807</v>
      </c>
      <c r="B3656">
        <v>0</v>
      </c>
      <c r="C3656" s="44">
        <v>3000</v>
      </c>
      <c r="D3656" t="s">
        <v>293</v>
      </c>
      <c r="E3656" t="s">
        <v>364</v>
      </c>
      <c r="F3656">
        <v>3</v>
      </c>
    </row>
    <row r="3657" spans="1:6" ht="13.2">
      <c r="A3657" t="s">
        <v>6149</v>
      </c>
      <c r="B3657">
        <v>620</v>
      </c>
      <c r="C3657" s="44">
        <v>1420</v>
      </c>
      <c r="D3657" t="s">
        <v>291</v>
      </c>
      <c r="E3657" t="s">
        <v>6150</v>
      </c>
      <c r="F3657">
        <v>10</v>
      </c>
    </row>
    <row r="3658" spans="1:6" ht="13.2">
      <c r="A3658" t="s">
        <v>6151</v>
      </c>
      <c r="B3658">
        <v>620</v>
      </c>
      <c r="C3658" s="44">
        <v>1420</v>
      </c>
      <c r="D3658" t="s">
        <v>291</v>
      </c>
      <c r="E3658" t="s">
        <v>6150</v>
      </c>
      <c r="F3658">
        <v>10</v>
      </c>
    </row>
    <row r="3659" spans="1:6" ht="13.2">
      <c r="A3659" t="s">
        <v>6152</v>
      </c>
      <c r="B3659">
        <v>620</v>
      </c>
      <c r="C3659" s="44">
        <v>1420</v>
      </c>
      <c r="D3659" t="s">
        <v>291</v>
      </c>
      <c r="E3659" t="s">
        <v>6150</v>
      </c>
      <c r="F3659">
        <v>10</v>
      </c>
    </row>
    <row r="3660" spans="1:6" ht="13.2">
      <c r="A3660" t="s">
        <v>6153</v>
      </c>
      <c r="B3660">
        <v>620</v>
      </c>
      <c r="C3660" s="44">
        <v>1420</v>
      </c>
      <c r="D3660" t="s">
        <v>291</v>
      </c>
      <c r="E3660" t="s">
        <v>6150</v>
      </c>
      <c r="F3660">
        <v>10</v>
      </c>
    </row>
    <row r="3661" spans="1:6" ht="13.2">
      <c r="A3661" t="s">
        <v>6154</v>
      </c>
      <c r="B3661">
        <v>620</v>
      </c>
      <c r="C3661" s="44">
        <v>1420</v>
      </c>
      <c r="D3661" t="s">
        <v>291</v>
      </c>
      <c r="E3661" t="s">
        <v>6150</v>
      </c>
      <c r="F3661">
        <v>10</v>
      </c>
    </row>
    <row r="3662" spans="1:6" ht="13.2">
      <c r="A3662" t="s">
        <v>3446</v>
      </c>
      <c r="B3662">
        <v>0</v>
      </c>
      <c r="C3662" s="44">
        <v>1420</v>
      </c>
      <c r="D3662" t="s">
        <v>291</v>
      </c>
      <c r="E3662" t="s">
        <v>256</v>
      </c>
      <c r="F3662">
        <v>4</v>
      </c>
    </row>
    <row r="3663" spans="1:6" ht="13.2">
      <c r="A3663" t="s">
        <v>3447</v>
      </c>
      <c r="B3663">
        <v>0</v>
      </c>
      <c r="C3663" s="44">
        <v>1420</v>
      </c>
      <c r="D3663" t="s">
        <v>291</v>
      </c>
      <c r="E3663" t="s">
        <v>256</v>
      </c>
      <c r="F3663">
        <v>4</v>
      </c>
    </row>
    <row r="3664" spans="1:6" ht="13.2">
      <c r="A3664" t="s">
        <v>3448</v>
      </c>
      <c r="B3664">
        <v>0</v>
      </c>
      <c r="C3664" s="44">
        <v>1420</v>
      </c>
      <c r="D3664" t="s">
        <v>291</v>
      </c>
      <c r="E3664" t="s">
        <v>256</v>
      </c>
      <c r="F3664">
        <v>4</v>
      </c>
    </row>
    <row r="3665" spans="1:6" ht="13.2">
      <c r="A3665" t="s">
        <v>3449</v>
      </c>
      <c r="B3665">
        <v>0</v>
      </c>
      <c r="C3665" s="44">
        <v>1420</v>
      </c>
      <c r="D3665" t="s">
        <v>291</v>
      </c>
      <c r="E3665" t="s">
        <v>256</v>
      </c>
      <c r="F3665">
        <v>4</v>
      </c>
    </row>
    <row r="3666" spans="1:6" ht="13.2">
      <c r="A3666" t="s">
        <v>3450</v>
      </c>
      <c r="B3666">
        <v>0</v>
      </c>
      <c r="C3666" s="44">
        <v>1420</v>
      </c>
      <c r="D3666" t="s">
        <v>291</v>
      </c>
      <c r="E3666" t="s">
        <v>256</v>
      </c>
      <c r="F3666">
        <v>4</v>
      </c>
    </row>
    <row r="3667" spans="1:6" ht="13.2">
      <c r="A3667" t="s">
        <v>3451</v>
      </c>
      <c r="B3667">
        <v>0</v>
      </c>
      <c r="C3667" s="44">
        <v>1420</v>
      </c>
      <c r="D3667" t="s">
        <v>291</v>
      </c>
      <c r="E3667" t="s">
        <v>256</v>
      </c>
      <c r="F3667">
        <v>4</v>
      </c>
    </row>
    <row r="3668" spans="1:6" ht="13.2">
      <c r="A3668" t="s">
        <v>3452</v>
      </c>
      <c r="B3668">
        <v>0</v>
      </c>
      <c r="C3668" s="44">
        <v>1420</v>
      </c>
      <c r="D3668" t="s">
        <v>291</v>
      </c>
      <c r="E3668" t="s">
        <v>256</v>
      </c>
      <c r="F3668">
        <v>4</v>
      </c>
    </row>
    <row r="3669" spans="1:6" ht="13.2">
      <c r="A3669" t="s">
        <v>3453</v>
      </c>
      <c r="B3669">
        <v>0</v>
      </c>
      <c r="C3669" s="44">
        <v>1420</v>
      </c>
      <c r="D3669" t="s">
        <v>291</v>
      </c>
      <c r="E3669" t="s">
        <v>256</v>
      </c>
      <c r="F3669">
        <v>4</v>
      </c>
    </row>
    <row r="3670" spans="1:6" ht="13.2">
      <c r="A3670" t="s">
        <v>3454</v>
      </c>
      <c r="B3670">
        <v>0</v>
      </c>
      <c r="C3670" s="44">
        <v>1420</v>
      </c>
      <c r="D3670" t="s">
        <v>291</v>
      </c>
      <c r="E3670" t="s">
        <v>256</v>
      </c>
      <c r="F3670">
        <v>4</v>
      </c>
    </row>
    <row r="3671" spans="1:6" ht="13.2">
      <c r="A3671" t="s">
        <v>3455</v>
      </c>
      <c r="B3671">
        <v>0</v>
      </c>
      <c r="C3671" s="44">
        <v>1420</v>
      </c>
      <c r="D3671" t="s">
        <v>291</v>
      </c>
      <c r="E3671" t="s">
        <v>256</v>
      </c>
      <c r="F3671">
        <v>4</v>
      </c>
    </row>
    <row r="3672" spans="1:6" ht="13.2">
      <c r="A3672" t="s">
        <v>3456</v>
      </c>
      <c r="B3672">
        <v>0</v>
      </c>
      <c r="C3672" s="44">
        <v>1420</v>
      </c>
      <c r="D3672" t="s">
        <v>291</v>
      </c>
      <c r="E3672" t="s">
        <v>256</v>
      </c>
      <c r="F3672">
        <v>4</v>
      </c>
    </row>
    <row r="3673" spans="1:6" ht="13.2">
      <c r="A3673" t="s">
        <v>3457</v>
      </c>
      <c r="B3673">
        <v>0</v>
      </c>
      <c r="C3673" s="44">
        <v>1420</v>
      </c>
      <c r="D3673" t="s">
        <v>291</v>
      </c>
      <c r="E3673" t="s">
        <v>256</v>
      </c>
      <c r="F3673">
        <v>4</v>
      </c>
    </row>
    <row r="3674" spans="1:6" ht="13.2">
      <c r="A3674" t="s">
        <v>3458</v>
      </c>
      <c r="B3674">
        <v>0</v>
      </c>
      <c r="C3674" s="44">
        <v>1420</v>
      </c>
      <c r="D3674" t="s">
        <v>291</v>
      </c>
      <c r="E3674" t="s">
        <v>256</v>
      </c>
      <c r="F3674">
        <v>4</v>
      </c>
    </row>
    <row r="3675" spans="1:6" ht="13.2">
      <c r="A3675" t="s">
        <v>3459</v>
      </c>
      <c r="B3675">
        <v>0</v>
      </c>
      <c r="C3675" s="44">
        <v>1420</v>
      </c>
      <c r="D3675" t="s">
        <v>291</v>
      </c>
      <c r="E3675" t="s">
        <v>256</v>
      </c>
      <c r="F3675">
        <v>4</v>
      </c>
    </row>
    <row r="3676" spans="1:6" ht="13.2">
      <c r="A3676" t="s">
        <v>3460</v>
      </c>
      <c r="B3676">
        <v>0</v>
      </c>
      <c r="C3676" s="44">
        <v>1420</v>
      </c>
      <c r="D3676" t="s">
        <v>291</v>
      </c>
      <c r="E3676" t="s">
        <v>256</v>
      </c>
      <c r="F3676">
        <v>4</v>
      </c>
    </row>
    <row r="3677" spans="1:6" ht="13.2">
      <c r="A3677" t="s">
        <v>3461</v>
      </c>
      <c r="B3677">
        <v>0</v>
      </c>
      <c r="C3677" s="44">
        <v>1420</v>
      </c>
      <c r="D3677" t="s">
        <v>291</v>
      </c>
      <c r="E3677" t="s">
        <v>256</v>
      </c>
      <c r="F3677">
        <v>4</v>
      </c>
    </row>
    <row r="3678" spans="1:6" ht="13.2">
      <c r="A3678" t="s">
        <v>3462</v>
      </c>
      <c r="B3678">
        <v>0</v>
      </c>
      <c r="C3678" s="44">
        <v>1420</v>
      </c>
      <c r="D3678" t="s">
        <v>291</v>
      </c>
      <c r="E3678" t="s">
        <v>256</v>
      </c>
      <c r="F3678">
        <v>4</v>
      </c>
    </row>
    <row r="3679" spans="1:6" ht="13.2">
      <c r="A3679" t="s">
        <v>3962</v>
      </c>
      <c r="B3679">
        <v>0</v>
      </c>
      <c r="C3679" s="44">
        <v>1400</v>
      </c>
      <c r="D3679" t="s">
        <v>291</v>
      </c>
      <c r="E3679" t="s">
        <v>3963</v>
      </c>
      <c r="F3679">
        <v>4</v>
      </c>
    </row>
    <row r="3680" spans="1:6" ht="13.2">
      <c r="A3680" t="s">
        <v>3964</v>
      </c>
      <c r="B3680">
        <v>0</v>
      </c>
      <c r="C3680" s="44">
        <v>1400</v>
      </c>
      <c r="D3680" t="s">
        <v>291</v>
      </c>
      <c r="E3680" t="s">
        <v>3963</v>
      </c>
      <c r="F3680">
        <v>4</v>
      </c>
    </row>
    <row r="3681" spans="1:6" ht="13.2">
      <c r="A3681" t="s">
        <v>3965</v>
      </c>
      <c r="B3681">
        <v>0</v>
      </c>
      <c r="C3681" s="44">
        <v>1400</v>
      </c>
      <c r="D3681" t="s">
        <v>291</v>
      </c>
      <c r="E3681" t="s">
        <v>3963</v>
      </c>
      <c r="F3681">
        <v>4</v>
      </c>
    </row>
    <row r="3682" spans="1:6" ht="13.2">
      <c r="A3682" t="s">
        <v>3966</v>
      </c>
      <c r="B3682">
        <v>0</v>
      </c>
      <c r="C3682" s="44">
        <v>1400</v>
      </c>
      <c r="D3682" t="s">
        <v>291</v>
      </c>
      <c r="E3682" t="s">
        <v>3963</v>
      </c>
      <c r="F3682">
        <v>4</v>
      </c>
    </row>
    <row r="3683" spans="1:6" ht="13.2">
      <c r="A3683" t="s">
        <v>3967</v>
      </c>
      <c r="B3683">
        <v>0</v>
      </c>
      <c r="C3683" s="44">
        <v>1400</v>
      </c>
      <c r="D3683" t="s">
        <v>291</v>
      </c>
      <c r="E3683" t="s">
        <v>3963</v>
      </c>
      <c r="F3683">
        <v>4</v>
      </c>
    </row>
    <row r="3684" spans="1:6" ht="13.2">
      <c r="A3684" t="s">
        <v>3968</v>
      </c>
      <c r="B3684">
        <v>0</v>
      </c>
      <c r="C3684" s="44">
        <v>1400</v>
      </c>
      <c r="D3684" t="s">
        <v>291</v>
      </c>
      <c r="E3684" t="s">
        <v>3963</v>
      </c>
      <c r="F3684">
        <v>4</v>
      </c>
    </row>
    <row r="3685" spans="1:6" ht="13.2">
      <c r="A3685" t="s">
        <v>3969</v>
      </c>
      <c r="B3685">
        <v>0</v>
      </c>
      <c r="C3685" s="44">
        <v>1400</v>
      </c>
      <c r="D3685" t="s">
        <v>291</v>
      </c>
      <c r="E3685" t="s">
        <v>3963</v>
      </c>
      <c r="F3685">
        <v>4</v>
      </c>
    </row>
    <row r="3686" spans="1:6" ht="13.2">
      <c r="A3686" t="s">
        <v>3970</v>
      </c>
      <c r="B3686">
        <v>0</v>
      </c>
      <c r="C3686" s="44">
        <v>1400</v>
      </c>
      <c r="D3686" t="s">
        <v>291</v>
      </c>
      <c r="E3686" t="s">
        <v>3963</v>
      </c>
      <c r="F3686">
        <v>4</v>
      </c>
    </row>
    <row r="3687" spans="1:6" ht="13.2">
      <c r="A3687" t="s">
        <v>3971</v>
      </c>
      <c r="B3687">
        <v>0</v>
      </c>
      <c r="C3687" s="44">
        <v>1400</v>
      </c>
      <c r="D3687" t="s">
        <v>291</v>
      </c>
      <c r="E3687" t="s">
        <v>3963</v>
      </c>
      <c r="F3687">
        <v>4</v>
      </c>
    </row>
    <row r="3688" spans="1:6" ht="13.2">
      <c r="A3688" t="s">
        <v>3972</v>
      </c>
      <c r="B3688">
        <v>0</v>
      </c>
      <c r="C3688" s="44">
        <v>1400</v>
      </c>
      <c r="D3688" t="s">
        <v>291</v>
      </c>
      <c r="E3688" t="s">
        <v>3963</v>
      </c>
      <c r="F3688">
        <v>4</v>
      </c>
    </row>
    <row r="3689" spans="1:6" ht="13.2">
      <c r="A3689" t="s">
        <v>3973</v>
      </c>
      <c r="B3689">
        <v>0</v>
      </c>
      <c r="C3689" s="44">
        <v>1400</v>
      </c>
      <c r="D3689" t="s">
        <v>291</v>
      </c>
      <c r="E3689" t="s">
        <v>3963</v>
      </c>
      <c r="F3689">
        <v>4</v>
      </c>
    </row>
    <row r="3690" spans="1:6" ht="13.2">
      <c r="A3690" t="s">
        <v>3974</v>
      </c>
      <c r="B3690">
        <v>0</v>
      </c>
      <c r="C3690" s="44">
        <v>1400</v>
      </c>
      <c r="D3690" t="s">
        <v>291</v>
      </c>
      <c r="E3690" t="s">
        <v>3963</v>
      </c>
      <c r="F3690">
        <v>4</v>
      </c>
    </row>
    <row r="3691" spans="1:6" ht="13.2">
      <c r="A3691" t="s">
        <v>3975</v>
      </c>
      <c r="B3691">
        <v>0</v>
      </c>
      <c r="C3691" s="44">
        <v>1400</v>
      </c>
      <c r="D3691" t="s">
        <v>291</v>
      </c>
      <c r="E3691" t="s">
        <v>3963</v>
      </c>
      <c r="F3691">
        <v>4</v>
      </c>
    </row>
    <row r="3692" spans="1:6" ht="13.2">
      <c r="A3692" t="s">
        <v>3976</v>
      </c>
      <c r="B3692">
        <v>0</v>
      </c>
      <c r="C3692" s="44">
        <v>1400</v>
      </c>
      <c r="D3692" t="s">
        <v>291</v>
      </c>
      <c r="E3692" t="s">
        <v>3963</v>
      </c>
      <c r="F3692">
        <v>4</v>
      </c>
    </row>
    <row r="3693" spans="1:6" ht="13.2">
      <c r="A3693" t="s">
        <v>3977</v>
      </c>
      <c r="B3693">
        <v>0</v>
      </c>
      <c r="C3693" s="44">
        <v>1400</v>
      </c>
      <c r="D3693" t="s">
        <v>291</v>
      </c>
      <c r="E3693" t="s">
        <v>3963</v>
      </c>
      <c r="F3693">
        <v>4</v>
      </c>
    </row>
    <row r="3694" spans="1:6" ht="13.2">
      <c r="A3694" t="s">
        <v>3978</v>
      </c>
      <c r="B3694">
        <v>0</v>
      </c>
      <c r="C3694" s="44">
        <v>1400</v>
      </c>
      <c r="D3694" t="s">
        <v>291</v>
      </c>
      <c r="E3694" t="s">
        <v>3963</v>
      </c>
      <c r="F3694">
        <v>4</v>
      </c>
    </row>
    <row r="3695" spans="1:6" ht="13.2">
      <c r="A3695" t="s">
        <v>3979</v>
      </c>
      <c r="B3695">
        <v>0</v>
      </c>
      <c r="C3695" s="44">
        <v>1400</v>
      </c>
      <c r="D3695" t="s">
        <v>291</v>
      </c>
      <c r="E3695" t="s">
        <v>3963</v>
      </c>
      <c r="F3695">
        <v>4</v>
      </c>
    </row>
    <row r="3696" spans="1:6" ht="13.2">
      <c r="A3696" t="s">
        <v>3980</v>
      </c>
      <c r="B3696">
        <v>0</v>
      </c>
      <c r="C3696" s="44">
        <v>1400</v>
      </c>
      <c r="D3696" t="s">
        <v>291</v>
      </c>
      <c r="E3696" t="s">
        <v>3963</v>
      </c>
      <c r="F3696">
        <v>4</v>
      </c>
    </row>
    <row r="3697" spans="1:6" ht="13.2">
      <c r="A3697" t="s">
        <v>3981</v>
      </c>
      <c r="B3697">
        <v>0</v>
      </c>
      <c r="C3697" s="44">
        <v>1400</v>
      </c>
      <c r="D3697" t="s">
        <v>291</v>
      </c>
      <c r="E3697" t="s">
        <v>3963</v>
      </c>
      <c r="F3697">
        <v>4</v>
      </c>
    </row>
    <row r="3698" spans="1:6" ht="13.2">
      <c r="A3698" t="s">
        <v>3982</v>
      </c>
      <c r="B3698">
        <v>0</v>
      </c>
      <c r="C3698" s="44">
        <v>1400</v>
      </c>
      <c r="D3698" t="s">
        <v>291</v>
      </c>
      <c r="E3698" t="s">
        <v>3963</v>
      </c>
      <c r="F3698">
        <v>4</v>
      </c>
    </row>
    <row r="3699" spans="1:6" ht="13.2">
      <c r="A3699" t="s">
        <v>3983</v>
      </c>
      <c r="B3699">
        <v>0</v>
      </c>
      <c r="C3699" s="44">
        <v>1400</v>
      </c>
      <c r="D3699" t="s">
        <v>291</v>
      </c>
      <c r="E3699" t="s">
        <v>3963</v>
      </c>
      <c r="F3699">
        <v>4</v>
      </c>
    </row>
    <row r="3700" spans="1:6" ht="13.2">
      <c r="A3700" t="s">
        <v>3984</v>
      </c>
      <c r="B3700">
        <v>0</v>
      </c>
      <c r="C3700" s="44">
        <v>1400</v>
      </c>
      <c r="D3700" t="s">
        <v>291</v>
      </c>
      <c r="E3700" t="s">
        <v>3963</v>
      </c>
      <c r="F3700">
        <v>4</v>
      </c>
    </row>
    <row r="3701" spans="1:6" ht="13.2">
      <c r="A3701" t="s">
        <v>3985</v>
      </c>
      <c r="B3701">
        <v>0</v>
      </c>
      <c r="C3701" s="44">
        <v>1400</v>
      </c>
      <c r="D3701" t="s">
        <v>291</v>
      </c>
      <c r="E3701" t="s">
        <v>3963</v>
      </c>
      <c r="F3701">
        <v>4</v>
      </c>
    </row>
    <row r="3702" spans="1:6" ht="13.2">
      <c r="A3702" t="s">
        <v>3986</v>
      </c>
      <c r="B3702">
        <v>0</v>
      </c>
      <c r="C3702" s="44">
        <v>1400</v>
      </c>
      <c r="D3702" t="s">
        <v>291</v>
      </c>
      <c r="E3702" t="s">
        <v>3963</v>
      </c>
      <c r="F3702">
        <v>4</v>
      </c>
    </row>
    <row r="3703" spans="1:6" ht="13.2">
      <c r="A3703" t="s">
        <v>3987</v>
      </c>
      <c r="B3703">
        <v>0</v>
      </c>
      <c r="C3703" s="44">
        <v>1400</v>
      </c>
      <c r="D3703" t="s">
        <v>291</v>
      </c>
      <c r="E3703" t="s">
        <v>3963</v>
      </c>
      <c r="F3703">
        <v>4</v>
      </c>
    </row>
    <row r="3704" spans="1:6" ht="13.2">
      <c r="A3704" t="s">
        <v>3988</v>
      </c>
      <c r="B3704">
        <v>0</v>
      </c>
      <c r="C3704" s="44">
        <v>1400</v>
      </c>
      <c r="D3704" t="s">
        <v>291</v>
      </c>
      <c r="E3704" t="s">
        <v>3963</v>
      </c>
      <c r="F3704">
        <v>4</v>
      </c>
    </row>
    <row r="3705" spans="1:6" ht="13.2">
      <c r="A3705" t="s">
        <v>3989</v>
      </c>
      <c r="B3705">
        <v>0</v>
      </c>
      <c r="C3705" s="44">
        <v>1400</v>
      </c>
      <c r="D3705" t="s">
        <v>291</v>
      </c>
      <c r="E3705" t="s">
        <v>3963</v>
      </c>
      <c r="F3705">
        <v>4</v>
      </c>
    </row>
    <row r="3706" spans="1:6" ht="13.2">
      <c r="A3706" t="s">
        <v>3990</v>
      </c>
      <c r="B3706">
        <v>0</v>
      </c>
      <c r="C3706" s="44">
        <v>1400</v>
      </c>
      <c r="D3706" t="s">
        <v>291</v>
      </c>
      <c r="E3706" t="s">
        <v>3963</v>
      </c>
      <c r="F3706">
        <v>4</v>
      </c>
    </row>
    <row r="3707" spans="1:6" ht="13.2">
      <c r="A3707" t="s">
        <v>3991</v>
      </c>
      <c r="B3707">
        <v>0</v>
      </c>
      <c r="C3707" s="44">
        <v>1400</v>
      </c>
      <c r="D3707" t="s">
        <v>291</v>
      </c>
      <c r="E3707" t="s">
        <v>3963</v>
      </c>
      <c r="F3707">
        <v>4</v>
      </c>
    </row>
    <row r="3708" spans="1:6" ht="13.2">
      <c r="A3708" t="s">
        <v>3992</v>
      </c>
      <c r="B3708">
        <v>0</v>
      </c>
      <c r="C3708" s="44">
        <v>1400</v>
      </c>
      <c r="D3708" t="s">
        <v>291</v>
      </c>
      <c r="E3708" t="s">
        <v>3963</v>
      </c>
      <c r="F3708">
        <v>4</v>
      </c>
    </row>
    <row r="3709" spans="1:6" ht="13.2">
      <c r="A3709" t="s">
        <v>3993</v>
      </c>
      <c r="B3709">
        <v>0</v>
      </c>
      <c r="C3709" s="44">
        <v>1400</v>
      </c>
      <c r="D3709" t="s">
        <v>291</v>
      </c>
      <c r="E3709" t="s">
        <v>3963</v>
      </c>
      <c r="F3709">
        <v>4</v>
      </c>
    </row>
    <row r="3710" spans="1:6" ht="13.2">
      <c r="A3710" t="s">
        <v>3994</v>
      </c>
      <c r="B3710">
        <v>0</v>
      </c>
      <c r="C3710" s="44">
        <v>1400</v>
      </c>
      <c r="D3710" t="s">
        <v>291</v>
      </c>
      <c r="E3710" t="s">
        <v>3963</v>
      </c>
      <c r="F3710">
        <v>4</v>
      </c>
    </row>
    <row r="3711" spans="1:6" ht="13.2">
      <c r="A3711" t="s">
        <v>3996</v>
      </c>
      <c r="B3711">
        <v>0</v>
      </c>
      <c r="C3711" s="44">
        <v>1400</v>
      </c>
      <c r="D3711" t="s">
        <v>291</v>
      </c>
      <c r="E3711" t="s">
        <v>3963</v>
      </c>
      <c r="F3711">
        <v>4</v>
      </c>
    </row>
    <row r="3712" spans="1:6" ht="13.2">
      <c r="A3712" t="s">
        <v>3995</v>
      </c>
      <c r="B3712">
        <v>0</v>
      </c>
      <c r="C3712" s="44">
        <v>1400</v>
      </c>
      <c r="D3712" t="s">
        <v>291</v>
      </c>
      <c r="E3712" t="s">
        <v>3963</v>
      </c>
      <c r="F3712">
        <v>4</v>
      </c>
    </row>
    <row r="3713" spans="1:6" ht="13.2">
      <c r="A3713" t="s">
        <v>2930</v>
      </c>
      <c r="B3713">
        <v>0</v>
      </c>
      <c r="C3713" s="44">
        <v>1400</v>
      </c>
      <c r="D3713" t="s">
        <v>291</v>
      </c>
      <c r="E3713" t="s">
        <v>577</v>
      </c>
      <c r="F3713" t="s">
        <v>622</v>
      </c>
    </row>
    <row r="3714" spans="1:6" ht="13.2">
      <c r="A3714" t="s">
        <v>2931</v>
      </c>
      <c r="B3714">
        <v>0</v>
      </c>
      <c r="C3714" s="44">
        <v>1400</v>
      </c>
      <c r="D3714" t="s">
        <v>291</v>
      </c>
      <c r="E3714" t="s">
        <v>577</v>
      </c>
      <c r="F3714" t="s">
        <v>622</v>
      </c>
    </row>
    <row r="3715" spans="1:6" ht="13.2">
      <c r="A3715" t="s">
        <v>2932</v>
      </c>
      <c r="B3715">
        <v>0</v>
      </c>
      <c r="C3715" s="44">
        <v>1400</v>
      </c>
      <c r="D3715" t="s">
        <v>291</v>
      </c>
      <c r="E3715" t="s">
        <v>577</v>
      </c>
      <c r="F3715" t="s">
        <v>622</v>
      </c>
    </row>
    <row r="3716" spans="1:6" ht="13.2">
      <c r="A3716" t="s">
        <v>2933</v>
      </c>
      <c r="B3716">
        <v>0</v>
      </c>
      <c r="C3716" s="44">
        <v>1400</v>
      </c>
      <c r="D3716" t="s">
        <v>291</v>
      </c>
      <c r="E3716" t="s">
        <v>577</v>
      </c>
      <c r="F3716" t="s">
        <v>622</v>
      </c>
    </row>
    <row r="3717" spans="1:6" ht="13.2">
      <c r="A3717" t="s">
        <v>2934</v>
      </c>
      <c r="B3717">
        <v>0</v>
      </c>
      <c r="C3717" s="44">
        <v>1400</v>
      </c>
      <c r="D3717" t="s">
        <v>291</v>
      </c>
      <c r="E3717" t="s">
        <v>577</v>
      </c>
      <c r="F3717" t="s">
        <v>622</v>
      </c>
    </row>
    <row r="3718" spans="1:6" ht="13.2">
      <c r="A3718" t="s">
        <v>2935</v>
      </c>
      <c r="B3718">
        <v>0</v>
      </c>
      <c r="C3718" s="44">
        <v>1400</v>
      </c>
      <c r="D3718" t="s">
        <v>291</v>
      </c>
      <c r="E3718" t="s">
        <v>577</v>
      </c>
      <c r="F3718" t="s">
        <v>622</v>
      </c>
    </row>
    <row r="3719" spans="1:6" ht="13.2">
      <c r="A3719" t="s">
        <v>2936</v>
      </c>
      <c r="B3719">
        <v>0</v>
      </c>
      <c r="C3719" s="44">
        <v>1400</v>
      </c>
      <c r="D3719" t="s">
        <v>291</v>
      </c>
      <c r="E3719" t="s">
        <v>577</v>
      </c>
      <c r="F3719" t="s">
        <v>622</v>
      </c>
    </row>
    <row r="3720" spans="1:6" ht="13.2">
      <c r="A3720" t="s">
        <v>2937</v>
      </c>
      <c r="B3720">
        <v>0</v>
      </c>
      <c r="C3720" s="44">
        <v>1400</v>
      </c>
      <c r="D3720" t="s">
        <v>291</v>
      </c>
      <c r="E3720" t="s">
        <v>577</v>
      </c>
      <c r="F3720" t="s">
        <v>622</v>
      </c>
    </row>
    <row r="3721" spans="1:6" ht="13.2">
      <c r="A3721" t="s">
        <v>2938</v>
      </c>
      <c r="B3721">
        <v>0</v>
      </c>
      <c r="C3721" s="44">
        <v>1400</v>
      </c>
      <c r="D3721" t="s">
        <v>291</v>
      </c>
      <c r="E3721" t="s">
        <v>577</v>
      </c>
      <c r="F3721" t="s">
        <v>622</v>
      </c>
    </row>
    <row r="3722" spans="1:6" ht="13.2">
      <c r="A3722" t="s">
        <v>2939</v>
      </c>
      <c r="B3722">
        <v>0</v>
      </c>
      <c r="C3722" s="44">
        <v>1400</v>
      </c>
      <c r="D3722" t="s">
        <v>291</v>
      </c>
      <c r="E3722" t="s">
        <v>577</v>
      </c>
      <c r="F3722" t="s">
        <v>622</v>
      </c>
    </row>
    <row r="3723" spans="1:6" ht="13.2">
      <c r="A3723" t="s">
        <v>2940</v>
      </c>
      <c r="B3723">
        <v>0</v>
      </c>
      <c r="C3723" s="44">
        <v>1400</v>
      </c>
      <c r="D3723" t="s">
        <v>291</v>
      </c>
      <c r="E3723" t="s">
        <v>577</v>
      </c>
      <c r="F3723" t="s">
        <v>622</v>
      </c>
    </row>
    <row r="3724" spans="1:6" ht="13.2">
      <c r="A3724" t="s">
        <v>2941</v>
      </c>
      <c r="B3724">
        <v>0</v>
      </c>
      <c r="C3724" s="44">
        <v>1400</v>
      </c>
      <c r="D3724" t="s">
        <v>291</v>
      </c>
      <c r="E3724" t="s">
        <v>577</v>
      </c>
      <c r="F3724" t="s">
        <v>622</v>
      </c>
    </row>
    <row r="3725" spans="1:6" ht="13.2">
      <c r="A3725" t="s">
        <v>2942</v>
      </c>
      <c r="B3725">
        <v>0</v>
      </c>
      <c r="C3725" s="44">
        <v>1400</v>
      </c>
      <c r="D3725" t="s">
        <v>291</v>
      </c>
      <c r="E3725" t="s">
        <v>577</v>
      </c>
      <c r="F3725" t="s">
        <v>622</v>
      </c>
    </row>
    <row r="3726" spans="1:6" ht="13.2">
      <c r="A3726" t="s">
        <v>2943</v>
      </c>
      <c r="B3726">
        <v>0</v>
      </c>
      <c r="C3726" s="44">
        <v>1400</v>
      </c>
      <c r="D3726" t="s">
        <v>291</v>
      </c>
      <c r="E3726" t="s">
        <v>577</v>
      </c>
      <c r="F3726" t="s">
        <v>622</v>
      </c>
    </row>
    <row r="3727" spans="1:6" ht="13.2">
      <c r="A3727" t="s">
        <v>2944</v>
      </c>
      <c r="B3727">
        <v>0</v>
      </c>
      <c r="C3727" s="44">
        <v>1400</v>
      </c>
      <c r="D3727" t="s">
        <v>291</v>
      </c>
      <c r="E3727" t="s">
        <v>577</v>
      </c>
      <c r="F3727" t="s">
        <v>622</v>
      </c>
    </row>
    <row r="3728" spans="1:6" ht="13.2">
      <c r="A3728" t="s">
        <v>2945</v>
      </c>
      <c r="B3728">
        <v>0</v>
      </c>
      <c r="C3728" s="44">
        <v>1400</v>
      </c>
      <c r="D3728" t="s">
        <v>291</v>
      </c>
      <c r="E3728" t="s">
        <v>577</v>
      </c>
      <c r="F3728" t="s">
        <v>622</v>
      </c>
    </row>
    <row r="3729" spans="1:6" ht="13.2">
      <c r="A3729" t="s">
        <v>2946</v>
      </c>
      <c r="B3729">
        <v>0</v>
      </c>
      <c r="C3729" s="44">
        <v>1400</v>
      </c>
      <c r="D3729" t="s">
        <v>291</v>
      </c>
      <c r="E3729" t="s">
        <v>577</v>
      </c>
      <c r="F3729" t="s">
        <v>622</v>
      </c>
    </row>
    <row r="3730" spans="1:6" ht="13.2">
      <c r="A3730" t="s">
        <v>3939</v>
      </c>
      <c r="B3730">
        <v>0</v>
      </c>
      <c r="C3730" s="44">
        <v>3040</v>
      </c>
      <c r="D3730" t="s">
        <v>293</v>
      </c>
      <c r="E3730" t="s">
        <v>364</v>
      </c>
      <c r="F3730">
        <v>3</v>
      </c>
    </row>
    <row r="3731" spans="1:6" ht="13.2">
      <c r="A3731" t="s">
        <v>3944</v>
      </c>
      <c r="B3731">
        <v>0</v>
      </c>
      <c r="C3731" s="44">
        <v>3040</v>
      </c>
      <c r="D3731" t="s">
        <v>293</v>
      </c>
      <c r="E3731" t="s">
        <v>364</v>
      </c>
      <c r="F3731">
        <v>3</v>
      </c>
    </row>
    <row r="3732" spans="1:6" ht="13.2">
      <c r="A3732" t="s">
        <v>3937</v>
      </c>
      <c r="B3732">
        <v>0</v>
      </c>
      <c r="C3732" s="44">
        <v>3040</v>
      </c>
      <c r="D3732" t="s">
        <v>293</v>
      </c>
      <c r="E3732" t="s">
        <v>364</v>
      </c>
      <c r="F3732">
        <v>3</v>
      </c>
    </row>
    <row r="3733" spans="1:6" ht="13.2">
      <c r="A3733" t="s">
        <v>3936</v>
      </c>
      <c r="B3733">
        <v>0</v>
      </c>
      <c r="C3733" s="44">
        <v>3040</v>
      </c>
      <c r="D3733" t="s">
        <v>293</v>
      </c>
      <c r="E3733" t="s">
        <v>364</v>
      </c>
      <c r="F3733">
        <v>3</v>
      </c>
    </row>
    <row r="3734" spans="1:6" ht="13.2">
      <c r="A3734" t="s">
        <v>3942</v>
      </c>
      <c r="B3734">
        <v>0</v>
      </c>
      <c r="C3734" s="44">
        <v>3040</v>
      </c>
      <c r="D3734" t="s">
        <v>293</v>
      </c>
      <c r="E3734" t="s">
        <v>364</v>
      </c>
      <c r="F3734">
        <v>3</v>
      </c>
    </row>
    <row r="3735" spans="1:6" ht="13.2">
      <c r="A3735" t="s">
        <v>3941</v>
      </c>
      <c r="B3735">
        <v>0</v>
      </c>
      <c r="C3735" s="44">
        <v>3040</v>
      </c>
      <c r="D3735" t="s">
        <v>293</v>
      </c>
      <c r="E3735" t="s">
        <v>364</v>
      </c>
      <c r="F3735">
        <v>3</v>
      </c>
    </row>
    <row r="3736" spans="1:6" ht="13.2">
      <c r="A3736" t="s">
        <v>3928</v>
      </c>
      <c r="B3736">
        <v>0</v>
      </c>
      <c r="C3736" s="44">
        <v>3040</v>
      </c>
      <c r="D3736" t="s">
        <v>293</v>
      </c>
      <c r="E3736" t="s">
        <v>364</v>
      </c>
      <c r="F3736">
        <v>3</v>
      </c>
    </row>
    <row r="3737" spans="1:6" ht="13.2">
      <c r="A3737" t="s">
        <v>3929</v>
      </c>
      <c r="B3737">
        <v>0</v>
      </c>
      <c r="C3737" s="44">
        <v>3040</v>
      </c>
      <c r="D3737" t="s">
        <v>293</v>
      </c>
      <c r="E3737" t="s">
        <v>364</v>
      </c>
      <c r="F3737">
        <v>3</v>
      </c>
    </row>
    <row r="3738" spans="1:6" ht="13.2">
      <c r="A3738" t="s">
        <v>3930</v>
      </c>
      <c r="B3738">
        <v>0</v>
      </c>
      <c r="C3738" s="44">
        <v>3040</v>
      </c>
      <c r="D3738" t="s">
        <v>293</v>
      </c>
      <c r="E3738" t="s">
        <v>364</v>
      </c>
      <c r="F3738">
        <v>3</v>
      </c>
    </row>
    <row r="3739" spans="1:6" ht="13.2">
      <c r="A3739" t="s">
        <v>3935</v>
      </c>
      <c r="B3739">
        <v>0</v>
      </c>
      <c r="C3739" s="44">
        <v>3040</v>
      </c>
      <c r="D3739" t="s">
        <v>293</v>
      </c>
      <c r="E3739" t="s">
        <v>364</v>
      </c>
      <c r="F3739">
        <v>3</v>
      </c>
    </row>
    <row r="3740" spans="1:6" ht="13.2">
      <c r="A3740" t="s">
        <v>3938</v>
      </c>
      <c r="B3740">
        <v>0</v>
      </c>
      <c r="C3740" s="44">
        <v>3040</v>
      </c>
      <c r="D3740" t="s">
        <v>293</v>
      </c>
      <c r="E3740" t="s">
        <v>364</v>
      </c>
      <c r="F3740">
        <v>3</v>
      </c>
    </row>
    <row r="3741" spans="1:6" ht="13.2">
      <c r="A3741" t="s">
        <v>3933</v>
      </c>
      <c r="B3741">
        <v>0</v>
      </c>
      <c r="C3741" s="44">
        <v>3040</v>
      </c>
      <c r="D3741" t="s">
        <v>293</v>
      </c>
      <c r="E3741" t="s">
        <v>364</v>
      </c>
      <c r="F3741">
        <v>3</v>
      </c>
    </row>
    <row r="3742" spans="1:6" ht="13.2">
      <c r="A3742" t="s">
        <v>3931</v>
      </c>
      <c r="B3742">
        <v>0</v>
      </c>
      <c r="C3742" s="44">
        <v>3040</v>
      </c>
      <c r="D3742" t="s">
        <v>293</v>
      </c>
      <c r="E3742" t="s">
        <v>364</v>
      </c>
      <c r="F3742">
        <v>3</v>
      </c>
    </row>
    <row r="3743" spans="1:6" ht="13.2">
      <c r="A3743" t="s">
        <v>3934</v>
      </c>
      <c r="B3743">
        <v>0</v>
      </c>
      <c r="C3743" s="44">
        <v>3040</v>
      </c>
      <c r="D3743" t="s">
        <v>293</v>
      </c>
      <c r="E3743" t="s">
        <v>364</v>
      </c>
      <c r="F3743">
        <v>3</v>
      </c>
    </row>
    <row r="3744" spans="1:6" ht="13.2">
      <c r="A3744" t="s">
        <v>3932</v>
      </c>
      <c r="B3744">
        <v>0</v>
      </c>
      <c r="C3744" s="44">
        <v>3040</v>
      </c>
      <c r="D3744" t="s">
        <v>293</v>
      </c>
      <c r="E3744" t="s">
        <v>364</v>
      </c>
      <c r="F3744">
        <v>3</v>
      </c>
    </row>
    <row r="3745" spans="1:6" ht="13.2">
      <c r="A3745" t="s">
        <v>3943</v>
      </c>
      <c r="B3745">
        <v>0</v>
      </c>
      <c r="C3745" s="44">
        <v>3040</v>
      </c>
      <c r="D3745" t="s">
        <v>293</v>
      </c>
      <c r="E3745" t="s">
        <v>364</v>
      </c>
      <c r="F3745">
        <v>3</v>
      </c>
    </row>
    <row r="3746" spans="1:6" ht="13.2">
      <c r="A3746" t="s">
        <v>3940</v>
      </c>
      <c r="B3746">
        <v>0</v>
      </c>
      <c r="C3746" s="44">
        <v>3040</v>
      </c>
      <c r="D3746" t="s">
        <v>293</v>
      </c>
      <c r="E3746" t="s">
        <v>364</v>
      </c>
      <c r="F3746">
        <v>3</v>
      </c>
    </row>
    <row r="3747" spans="1:6" ht="13.2">
      <c r="A3747" t="s">
        <v>3945</v>
      </c>
      <c r="B3747">
        <v>0</v>
      </c>
      <c r="C3747" s="44">
        <v>3040</v>
      </c>
      <c r="D3747" t="s">
        <v>293</v>
      </c>
      <c r="E3747" t="s">
        <v>364</v>
      </c>
      <c r="F3747">
        <v>3</v>
      </c>
    </row>
    <row r="3748" spans="1:6" ht="13.2">
      <c r="A3748" t="s">
        <v>3927</v>
      </c>
      <c r="B3748">
        <v>0</v>
      </c>
      <c r="C3748" s="44">
        <v>3040</v>
      </c>
      <c r="D3748" t="s">
        <v>293</v>
      </c>
      <c r="E3748" t="s">
        <v>364</v>
      </c>
      <c r="F3748">
        <v>3</v>
      </c>
    </row>
    <row r="3749" spans="1:6" ht="13.2">
      <c r="A3749" t="s">
        <v>4808</v>
      </c>
      <c r="B3749">
        <v>0</v>
      </c>
      <c r="C3749" s="44">
        <v>3040</v>
      </c>
      <c r="D3749" t="s">
        <v>291</v>
      </c>
      <c r="E3749" t="s">
        <v>364</v>
      </c>
      <c r="F3749">
        <v>3</v>
      </c>
    </row>
    <row r="3750" spans="1:6" ht="13.2">
      <c r="A3750" t="s">
        <v>4806</v>
      </c>
      <c r="B3750">
        <v>0</v>
      </c>
      <c r="C3750" s="44">
        <v>3040</v>
      </c>
      <c r="D3750" t="s">
        <v>291</v>
      </c>
      <c r="E3750" t="s">
        <v>364</v>
      </c>
      <c r="F3750">
        <v>3</v>
      </c>
    </row>
    <row r="3751" spans="1:6" ht="13.2">
      <c r="A3751" t="s">
        <v>4805</v>
      </c>
      <c r="B3751">
        <v>0</v>
      </c>
      <c r="C3751" s="44">
        <v>3040</v>
      </c>
      <c r="D3751" t="s">
        <v>291</v>
      </c>
      <c r="E3751" t="s">
        <v>364</v>
      </c>
      <c r="F3751">
        <v>3</v>
      </c>
    </row>
    <row r="3752" spans="1:6" ht="13.2">
      <c r="A3752" t="s">
        <v>4811</v>
      </c>
      <c r="B3752">
        <v>0</v>
      </c>
      <c r="C3752" s="44">
        <v>3040</v>
      </c>
      <c r="D3752" t="s">
        <v>291</v>
      </c>
      <c r="E3752" t="s">
        <v>364</v>
      </c>
      <c r="F3752">
        <v>3</v>
      </c>
    </row>
    <row r="3753" spans="1:6" ht="13.2">
      <c r="A3753" t="s">
        <v>4810</v>
      </c>
      <c r="B3753">
        <v>0</v>
      </c>
      <c r="C3753" s="44">
        <v>3040</v>
      </c>
      <c r="D3753" t="s">
        <v>291</v>
      </c>
      <c r="E3753" t="s">
        <v>364</v>
      </c>
      <c r="F3753">
        <v>3</v>
      </c>
    </row>
    <row r="3754" spans="1:6" ht="13.2">
      <c r="A3754" t="s">
        <v>4797</v>
      </c>
      <c r="B3754">
        <v>0</v>
      </c>
      <c r="C3754" s="44">
        <v>3040</v>
      </c>
      <c r="D3754" t="s">
        <v>291</v>
      </c>
      <c r="E3754" t="s">
        <v>364</v>
      </c>
      <c r="F3754">
        <v>3</v>
      </c>
    </row>
    <row r="3755" spans="1:6" ht="13.2">
      <c r="A3755" t="s">
        <v>4798</v>
      </c>
      <c r="B3755">
        <v>0</v>
      </c>
      <c r="C3755" s="44">
        <v>3040</v>
      </c>
      <c r="D3755" t="s">
        <v>291</v>
      </c>
      <c r="E3755" t="s">
        <v>364</v>
      </c>
      <c r="F3755">
        <v>3</v>
      </c>
    </row>
    <row r="3756" spans="1:6" ht="13.2">
      <c r="A3756" t="s">
        <v>4799</v>
      </c>
      <c r="B3756">
        <v>0</v>
      </c>
      <c r="C3756" s="44">
        <v>3040</v>
      </c>
      <c r="D3756" t="s">
        <v>291</v>
      </c>
      <c r="E3756" t="s">
        <v>364</v>
      </c>
      <c r="F3756">
        <v>3</v>
      </c>
    </row>
    <row r="3757" spans="1:6" ht="13.2">
      <c r="A3757" t="s">
        <v>4804</v>
      </c>
      <c r="B3757">
        <v>0</v>
      </c>
      <c r="C3757" s="44">
        <v>3040</v>
      </c>
      <c r="D3757" t="s">
        <v>291</v>
      </c>
      <c r="E3757" t="s">
        <v>364</v>
      </c>
      <c r="F3757">
        <v>3</v>
      </c>
    </row>
    <row r="3758" spans="1:6" ht="13.2">
      <c r="A3758" t="s">
        <v>4807</v>
      </c>
      <c r="B3758">
        <v>0</v>
      </c>
      <c r="C3758" s="44">
        <v>3040</v>
      </c>
      <c r="D3758" t="s">
        <v>291</v>
      </c>
      <c r="E3758" t="s">
        <v>364</v>
      </c>
      <c r="F3758">
        <v>3</v>
      </c>
    </row>
    <row r="3759" spans="1:6" ht="13.2">
      <c r="A3759" t="s">
        <v>4802</v>
      </c>
      <c r="B3759">
        <v>0</v>
      </c>
      <c r="C3759" s="44">
        <v>3040</v>
      </c>
      <c r="D3759" t="s">
        <v>291</v>
      </c>
      <c r="E3759" t="s">
        <v>364</v>
      </c>
      <c r="F3759">
        <v>3</v>
      </c>
    </row>
    <row r="3760" spans="1:6" ht="13.2">
      <c r="A3760" t="s">
        <v>4800</v>
      </c>
      <c r="B3760">
        <v>0</v>
      </c>
      <c r="C3760" s="44">
        <v>3040</v>
      </c>
      <c r="D3760" t="s">
        <v>291</v>
      </c>
      <c r="E3760" t="s">
        <v>364</v>
      </c>
      <c r="F3760">
        <v>3</v>
      </c>
    </row>
    <row r="3761" spans="1:6" ht="13.2">
      <c r="A3761" t="s">
        <v>4803</v>
      </c>
      <c r="B3761">
        <v>0</v>
      </c>
      <c r="C3761" s="44">
        <v>3040</v>
      </c>
      <c r="D3761" t="s">
        <v>291</v>
      </c>
      <c r="E3761" t="s">
        <v>364</v>
      </c>
      <c r="F3761">
        <v>3</v>
      </c>
    </row>
    <row r="3762" spans="1:6" ht="13.2">
      <c r="A3762" t="s">
        <v>4801</v>
      </c>
      <c r="B3762">
        <v>0</v>
      </c>
      <c r="C3762" s="44">
        <v>3040</v>
      </c>
      <c r="D3762" t="s">
        <v>291</v>
      </c>
      <c r="E3762" t="s">
        <v>364</v>
      </c>
      <c r="F3762">
        <v>3</v>
      </c>
    </row>
    <row r="3763" spans="1:6" ht="13.2">
      <c r="A3763" t="s">
        <v>4812</v>
      </c>
      <c r="B3763">
        <v>0</v>
      </c>
      <c r="C3763" s="44">
        <v>3040</v>
      </c>
      <c r="D3763" t="s">
        <v>291</v>
      </c>
      <c r="E3763" t="s">
        <v>364</v>
      </c>
      <c r="F3763">
        <v>3</v>
      </c>
    </row>
    <row r="3764" spans="1:6" ht="13.2">
      <c r="A3764" t="s">
        <v>4809</v>
      </c>
      <c r="B3764">
        <v>0</v>
      </c>
      <c r="C3764" s="44">
        <v>3040</v>
      </c>
      <c r="D3764" t="s">
        <v>291</v>
      </c>
      <c r="E3764" t="s">
        <v>364</v>
      </c>
      <c r="F3764">
        <v>3</v>
      </c>
    </row>
    <row r="3765" spans="1:6" ht="13.2">
      <c r="A3765" t="s">
        <v>4813</v>
      </c>
      <c r="B3765">
        <v>0</v>
      </c>
      <c r="C3765" s="44">
        <v>3040</v>
      </c>
      <c r="D3765" t="s">
        <v>291</v>
      </c>
      <c r="E3765" t="s">
        <v>364</v>
      </c>
      <c r="F3765">
        <v>3</v>
      </c>
    </row>
    <row r="3766" spans="1:6" ht="13.2">
      <c r="A3766" t="s">
        <v>4796</v>
      </c>
      <c r="B3766">
        <v>0</v>
      </c>
      <c r="C3766" s="44">
        <v>3040</v>
      </c>
      <c r="D3766" t="s">
        <v>291</v>
      </c>
      <c r="E3766" t="s">
        <v>364</v>
      </c>
      <c r="F3766">
        <v>3</v>
      </c>
    </row>
    <row r="3767" spans="1:6" ht="13.2">
      <c r="A3767" t="s">
        <v>6155</v>
      </c>
      <c r="B3767">
        <v>620</v>
      </c>
      <c r="C3767" s="44">
        <v>1420</v>
      </c>
      <c r="D3767" t="s">
        <v>291</v>
      </c>
      <c r="E3767" t="s">
        <v>6150</v>
      </c>
      <c r="F3767">
        <v>10</v>
      </c>
    </row>
    <row r="3768" spans="1:6" ht="13.2">
      <c r="A3768" t="s">
        <v>6156</v>
      </c>
      <c r="B3768">
        <v>620</v>
      </c>
      <c r="C3768" s="44">
        <v>1420</v>
      </c>
      <c r="D3768" t="s">
        <v>291</v>
      </c>
      <c r="E3768" t="s">
        <v>6150</v>
      </c>
      <c r="F3768">
        <v>10</v>
      </c>
    </row>
    <row r="3769" spans="1:6" ht="13.2">
      <c r="A3769" t="s">
        <v>6157</v>
      </c>
      <c r="B3769">
        <v>620</v>
      </c>
      <c r="C3769" s="44">
        <v>1420</v>
      </c>
      <c r="D3769" t="s">
        <v>291</v>
      </c>
      <c r="E3769" t="s">
        <v>6150</v>
      </c>
      <c r="F3769">
        <v>10</v>
      </c>
    </row>
    <row r="3770" spans="1:6" ht="13.2">
      <c r="A3770" t="s">
        <v>6158</v>
      </c>
      <c r="B3770">
        <v>620</v>
      </c>
      <c r="C3770" s="44">
        <v>1420</v>
      </c>
      <c r="D3770" t="s">
        <v>291</v>
      </c>
      <c r="E3770" t="s">
        <v>6150</v>
      </c>
      <c r="F3770">
        <v>10</v>
      </c>
    </row>
    <row r="3771" spans="1:6" ht="13.2">
      <c r="A3771" t="s">
        <v>6159</v>
      </c>
      <c r="B3771">
        <v>620</v>
      </c>
      <c r="C3771" s="44">
        <v>1420</v>
      </c>
      <c r="D3771" t="s">
        <v>291</v>
      </c>
      <c r="E3771" t="s">
        <v>6150</v>
      </c>
      <c r="F3771">
        <v>10</v>
      </c>
    </row>
    <row r="3772" spans="1:6" ht="13.2">
      <c r="A3772" t="s">
        <v>6160</v>
      </c>
      <c r="B3772">
        <v>620</v>
      </c>
      <c r="C3772" s="44">
        <v>1420</v>
      </c>
      <c r="D3772" t="s">
        <v>291</v>
      </c>
      <c r="E3772" t="s">
        <v>6150</v>
      </c>
      <c r="F3772">
        <v>10</v>
      </c>
    </row>
    <row r="3773" spans="1:6" ht="13.2">
      <c r="A3773" t="s">
        <v>6161</v>
      </c>
      <c r="B3773">
        <v>620</v>
      </c>
      <c r="C3773" s="44">
        <v>1420</v>
      </c>
      <c r="D3773" t="s">
        <v>291</v>
      </c>
      <c r="E3773" t="s">
        <v>6150</v>
      </c>
      <c r="F3773">
        <v>10</v>
      </c>
    </row>
    <row r="3774" spans="1:6" ht="13.2">
      <c r="A3774" t="s">
        <v>6162</v>
      </c>
      <c r="B3774">
        <v>620</v>
      </c>
      <c r="C3774" s="44">
        <v>1420</v>
      </c>
      <c r="D3774" t="s">
        <v>291</v>
      </c>
      <c r="E3774" t="s">
        <v>6150</v>
      </c>
      <c r="F3774">
        <v>10</v>
      </c>
    </row>
    <row r="3775" spans="1:6" ht="13.2">
      <c r="A3775" t="s">
        <v>6163</v>
      </c>
      <c r="B3775">
        <v>620</v>
      </c>
      <c r="C3775" s="44">
        <v>1420</v>
      </c>
      <c r="D3775" t="s">
        <v>291</v>
      </c>
      <c r="E3775" t="s">
        <v>6150</v>
      </c>
      <c r="F3775">
        <v>10</v>
      </c>
    </row>
    <row r="3776" spans="1:6" ht="13.2">
      <c r="A3776" t="s">
        <v>6034</v>
      </c>
      <c r="B3776">
        <v>0</v>
      </c>
      <c r="C3776" s="44" t="s">
        <v>204</v>
      </c>
      <c r="D3776" s="45" t="s">
        <v>293</v>
      </c>
      <c r="E3776" t="s">
        <v>256</v>
      </c>
      <c r="F3776">
        <v>4</v>
      </c>
    </row>
    <row r="3777" spans="1:6" ht="13.2">
      <c r="A3777" t="s">
        <v>6035</v>
      </c>
      <c r="B3777">
        <v>0</v>
      </c>
      <c r="C3777" s="44" t="s">
        <v>204</v>
      </c>
      <c r="D3777" s="45" t="s">
        <v>293</v>
      </c>
      <c r="E3777" t="s">
        <v>256</v>
      </c>
      <c r="F3777">
        <v>4</v>
      </c>
    </row>
    <row r="3778" spans="1:6" ht="13.2">
      <c r="A3778" t="s">
        <v>785</v>
      </c>
      <c r="B3778">
        <v>0</v>
      </c>
      <c r="C3778" s="44" t="s">
        <v>204</v>
      </c>
      <c r="D3778" t="s">
        <v>293</v>
      </c>
      <c r="E3778" t="s">
        <v>256</v>
      </c>
      <c r="F3778">
        <v>4</v>
      </c>
    </row>
    <row r="3779" spans="1:6" ht="13.2">
      <c r="A3779" t="s">
        <v>6036</v>
      </c>
      <c r="B3779">
        <v>0</v>
      </c>
      <c r="C3779" s="44" t="s">
        <v>204</v>
      </c>
      <c r="D3779" t="s">
        <v>293</v>
      </c>
      <c r="E3779" t="s">
        <v>256</v>
      </c>
      <c r="F3779">
        <v>4</v>
      </c>
    </row>
    <row r="3780" spans="1:6" ht="13.2">
      <c r="A3780" t="s">
        <v>6037</v>
      </c>
      <c r="B3780">
        <v>0</v>
      </c>
      <c r="C3780" s="44" t="s">
        <v>204</v>
      </c>
      <c r="D3780" t="s">
        <v>293</v>
      </c>
      <c r="E3780" t="s">
        <v>256</v>
      </c>
      <c r="F3780">
        <v>4</v>
      </c>
    </row>
    <row r="3781" spans="1:6" ht="13.2">
      <c r="A3781" t="s">
        <v>6038</v>
      </c>
      <c r="B3781">
        <v>0</v>
      </c>
      <c r="C3781" s="44" t="s">
        <v>204</v>
      </c>
      <c r="D3781" t="s">
        <v>293</v>
      </c>
      <c r="E3781" t="s">
        <v>256</v>
      </c>
      <c r="F3781">
        <v>4</v>
      </c>
    </row>
    <row r="3782" spans="1:6" ht="13.2">
      <c r="A3782" t="s">
        <v>786</v>
      </c>
      <c r="B3782">
        <v>0</v>
      </c>
      <c r="C3782" s="44" t="s">
        <v>204</v>
      </c>
      <c r="D3782" t="s">
        <v>293</v>
      </c>
      <c r="E3782" t="s">
        <v>256</v>
      </c>
      <c r="F3782">
        <v>4</v>
      </c>
    </row>
    <row r="3783" spans="1:6" ht="13.2">
      <c r="A3783" t="s">
        <v>787</v>
      </c>
      <c r="B3783">
        <v>0</v>
      </c>
      <c r="C3783" s="44" t="s">
        <v>204</v>
      </c>
      <c r="D3783" t="s">
        <v>293</v>
      </c>
      <c r="E3783" t="s">
        <v>256</v>
      </c>
      <c r="F3783">
        <v>4</v>
      </c>
    </row>
    <row r="3784" spans="1:6" ht="13.2">
      <c r="A3784" t="s">
        <v>788</v>
      </c>
      <c r="B3784">
        <v>0</v>
      </c>
      <c r="C3784" s="44" t="s">
        <v>204</v>
      </c>
      <c r="D3784" t="s">
        <v>293</v>
      </c>
      <c r="E3784" t="s">
        <v>256</v>
      </c>
      <c r="F3784">
        <v>4</v>
      </c>
    </row>
    <row r="3785" spans="1:6" ht="13.2">
      <c r="A3785" t="s">
        <v>6039</v>
      </c>
      <c r="B3785">
        <v>0</v>
      </c>
      <c r="C3785" s="44" t="s">
        <v>204</v>
      </c>
      <c r="D3785" t="s">
        <v>293</v>
      </c>
      <c r="E3785" t="s">
        <v>256</v>
      </c>
      <c r="F3785">
        <v>4</v>
      </c>
    </row>
    <row r="3786" spans="1:6" ht="13.2">
      <c r="A3786" t="s">
        <v>6040</v>
      </c>
      <c r="B3786">
        <v>0</v>
      </c>
      <c r="C3786" s="44" t="s">
        <v>204</v>
      </c>
      <c r="D3786" t="s">
        <v>291</v>
      </c>
      <c r="E3786" t="s">
        <v>256</v>
      </c>
      <c r="F3786">
        <v>4</v>
      </c>
    </row>
    <row r="3787" spans="1:6" ht="13.2">
      <c r="A3787" t="s">
        <v>6041</v>
      </c>
      <c r="B3787">
        <v>0</v>
      </c>
      <c r="C3787" s="44" t="s">
        <v>204</v>
      </c>
      <c r="D3787" t="s">
        <v>291</v>
      </c>
      <c r="E3787" t="s">
        <v>256</v>
      </c>
      <c r="F3787">
        <v>4</v>
      </c>
    </row>
    <row r="3788" spans="1:6" ht="13.2">
      <c r="A3788" t="s">
        <v>883</v>
      </c>
      <c r="B3788">
        <v>0</v>
      </c>
      <c r="C3788" s="44" t="s">
        <v>204</v>
      </c>
      <c r="D3788" t="s">
        <v>291</v>
      </c>
      <c r="E3788" t="s">
        <v>256</v>
      </c>
      <c r="F3788">
        <v>4</v>
      </c>
    </row>
    <row r="3789" spans="1:6" ht="13.2">
      <c r="A3789" t="s">
        <v>6042</v>
      </c>
      <c r="B3789">
        <v>0</v>
      </c>
      <c r="C3789" s="44" t="s">
        <v>204</v>
      </c>
      <c r="D3789" t="s">
        <v>291</v>
      </c>
      <c r="E3789" t="s">
        <v>256</v>
      </c>
      <c r="F3789">
        <v>4</v>
      </c>
    </row>
    <row r="3790" spans="1:6" ht="13.2">
      <c r="A3790" t="s">
        <v>6043</v>
      </c>
      <c r="B3790">
        <v>0</v>
      </c>
      <c r="C3790" s="44" t="s">
        <v>204</v>
      </c>
      <c r="D3790" t="s">
        <v>291</v>
      </c>
      <c r="E3790" t="s">
        <v>256</v>
      </c>
      <c r="F3790">
        <v>4</v>
      </c>
    </row>
    <row r="3791" spans="1:6" ht="13.2">
      <c r="A3791" t="s">
        <v>6044</v>
      </c>
      <c r="B3791">
        <v>0</v>
      </c>
      <c r="C3791" s="44" t="s">
        <v>204</v>
      </c>
      <c r="D3791" t="s">
        <v>291</v>
      </c>
      <c r="E3791" t="s">
        <v>256</v>
      </c>
      <c r="F3791">
        <v>4</v>
      </c>
    </row>
    <row r="3792" spans="1:6" ht="13.2">
      <c r="A3792" t="s">
        <v>884</v>
      </c>
      <c r="B3792">
        <v>0</v>
      </c>
      <c r="C3792" s="44" t="s">
        <v>204</v>
      </c>
      <c r="D3792" t="s">
        <v>291</v>
      </c>
      <c r="E3792" t="s">
        <v>256</v>
      </c>
      <c r="F3792">
        <v>4</v>
      </c>
    </row>
    <row r="3793" spans="1:6" ht="13.2">
      <c r="A3793" t="s">
        <v>885</v>
      </c>
      <c r="B3793">
        <v>0</v>
      </c>
      <c r="C3793" s="44" t="s">
        <v>204</v>
      </c>
      <c r="D3793" t="s">
        <v>291</v>
      </c>
      <c r="E3793" t="s">
        <v>256</v>
      </c>
      <c r="F3793">
        <v>4</v>
      </c>
    </row>
    <row r="3794" spans="1:6" ht="13.2">
      <c r="A3794" t="s">
        <v>886</v>
      </c>
      <c r="B3794">
        <v>0</v>
      </c>
      <c r="C3794" s="44" t="s">
        <v>204</v>
      </c>
      <c r="D3794" t="s">
        <v>291</v>
      </c>
      <c r="E3794" t="s">
        <v>256</v>
      </c>
      <c r="F3794">
        <v>4</v>
      </c>
    </row>
    <row r="3795" spans="1:6" ht="13.2">
      <c r="A3795" t="s">
        <v>6045</v>
      </c>
      <c r="B3795">
        <v>0</v>
      </c>
      <c r="C3795" s="44" t="s">
        <v>204</v>
      </c>
      <c r="D3795" t="s">
        <v>291</v>
      </c>
      <c r="E3795" t="s">
        <v>256</v>
      </c>
      <c r="F3795">
        <v>4</v>
      </c>
    </row>
    <row r="3796" spans="1:5" ht="13.2">
      <c r="A3796" t="s">
        <v>6144</v>
      </c>
      <c r="B3796">
        <v>630</v>
      </c>
      <c r="C3796" s="44">
        <v>1380</v>
      </c>
      <c r="D3796" t="s">
        <v>291</v>
      </c>
      <c r="E3796" t="s">
        <v>577</v>
      </c>
    </row>
    <row r="3797" spans="1:5" ht="13.2">
      <c r="A3797" t="s">
        <v>6145</v>
      </c>
      <c r="B3797">
        <v>630</v>
      </c>
      <c r="C3797" s="44">
        <v>1380</v>
      </c>
      <c r="D3797" t="s">
        <v>291</v>
      </c>
      <c r="E3797" t="s">
        <v>577</v>
      </c>
    </row>
    <row r="3798" spans="1:5" ht="13.2">
      <c r="A3798" t="s">
        <v>6146</v>
      </c>
      <c r="B3798">
        <v>630</v>
      </c>
      <c r="C3798" s="44">
        <v>1380</v>
      </c>
      <c r="D3798" t="s">
        <v>291</v>
      </c>
      <c r="E3798" t="s">
        <v>577</v>
      </c>
    </row>
    <row r="3799" spans="1:5" ht="13.2">
      <c r="A3799" t="s">
        <v>6147</v>
      </c>
      <c r="B3799">
        <v>630</v>
      </c>
      <c r="C3799" s="44">
        <v>1380</v>
      </c>
      <c r="D3799" t="s">
        <v>291</v>
      </c>
      <c r="E3799" t="s">
        <v>577</v>
      </c>
    </row>
    <row r="3800" spans="1:5" ht="13.2">
      <c r="A3800" t="s">
        <v>6148</v>
      </c>
      <c r="B3800">
        <v>630</v>
      </c>
      <c r="C3800" s="44">
        <v>1380</v>
      </c>
      <c r="D3800" t="s">
        <v>291</v>
      </c>
      <c r="E3800" t="s">
        <v>577</v>
      </c>
    </row>
    <row r="3801" spans="1:6" ht="13.2">
      <c r="A3801" t="s">
        <v>4587</v>
      </c>
      <c r="B3801">
        <v>25</v>
      </c>
      <c r="C3801" s="44">
        <v>1400</v>
      </c>
      <c r="D3801" t="s">
        <v>291</v>
      </c>
      <c r="E3801" t="s">
        <v>4574</v>
      </c>
      <c r="F3801">
        <v>3</v>
      </c>
    </row>
    <row r="3802" spans="1:6" ht="13.2">
      <c r="A3802" t="s">
        <v>4588</v>
      </c>
      <c r="B3802">
        <v>25</v>
      </c>
      <c r="C3802" s="44">
        <v>1400</v>
      </c>
      <c r="D3802" t="s">
        <v>291</v>
      </c>
      <c r="E3802" t="s">
        <v>4574</v>
      </c>
      <c r="F3802">
        <v>3</v>
      </c>
    </row>
    <row r="3803" spans="1:6" ht="13.2">
      <c r="A3803" t="s">
        <v>4589</v>
      </c>
      <c r="B3803">
        <v>25</v>
      </c>
      <c r="C3803" s="44">
        <v>1400</v>
      </c>
      <c r="D3803" t="s">
        <v>291</v>
      </c>
      <c r="E3803" t="s">
        <v>4574</v>
      </c>
      <c r="F3803">
        <v>3</v>
      </c>
    </row>
    <row r="3804" spans="1:6" ht="13.2">
      <c r="A3804" t="s">
        <v>4590</v>
      </c>
      <c r="B3804">
        <v>25</v>
      </c>
      <c r="C3804" s="44">
        <v>1400</v>
      </c>
      <c r="D3804" t="s">
        <v>291</v>
      </c>
      <c r="E3804" t="s">
        <v>4574</v>
      </c>
      <c r="F3804">
        <v>3</v>
      </c>
    </row>
    <row r="3805" spans="1:6" ht="13.2">
      <c r="A3805" t="s">
        <v>4591</v>
      </c>
      <c r="B3805">
        <v>25</v>
      </c>
      <c r="C3805" s="44">
        <v>1400</v>
      </c>
      <c r="D3805" t="s">
        <v>291</v>
      </c>
      <c r="E3805" t="s">
        <v>4574</v>
      </c>
      <c r="F3805">
        <v>3</v>
      </c>
    </row>
    <row r="3806" spans="1:6" ht="13.2">
      <c r="A3806" t="s">
        <v>4592</v>
      </c>
      <c r="B3806">
        <v>25</v>
      </c>
      <c r="C3806" s="44">
        <v>1400</v>
      </c>
      <c r="D3806" t="s">
        <v>291</v>
      </c>
      <c r="E3806" t="s">
        <v>4574</v>
      </c>
      <c r="F3806">
        <v>3</v>
      </c>
    </row>
    <row r="3807" spans="1:6" ht="13.2">
      <c r="A3807" t="s">
        <v>4593</v>
      </c>
      <c r="B3807">
        <v>25</v>
      </c>
      <c r="C3807" s="44">
        <v>1400</v>
      </c>
      <c r="D3807" t="s">
        <v>291</v>
      </c>
      <c r="E3807" t="s">
        <v>4574</v>
      </c>
      <c r="F3807">
        <v>3</v>
      </c>
    </row>
    <row r="3808" spans="1:6" ht="13.2">
      <c r="A3808" t="s">
        <v>4594</v>
      </c>
      <c r="B3808">
        <v>25</v>
      </c>
      <c r="C3808" s="44">
        <v>1400</v>
      </c>
      <c r="D3808" t="s">
        <v>291</v>
      </c>
      <c r="E3808" t="s">
        <v>4574</v>
      </c>
      <c r="F3808">
        <v>3</v>
      </c>
    </row>
    <row r="3809" spans="1:6" ht="13.2">
      <c r="A3809" t="s">
        <v>4595</v>
      </c>
      <c r="B3809">
        <v>25</v>
      </c>
      <c r="C3809" s="44">
        <v>1400</v>
      </c>
      <c r="D3809" t="s">
        <v>291</v>
      </c>
      <c r="E3809" t="s">
        <v>4574</v>
      </c>
      <c r="F3809">
        <v>3</v>
      </c>
    </row>
    <row r="3810" spans="1:6" ht="13.2">
      <c r="A3810" t="s">
        <v>4596</v>
      </c>
      <c r="B3810">
        <v>25</v>
      </c>
      <c r="C3810" s="44">
        <v>1400</v>
      </c>
      <c r="D3810" t="s">
        <v>291</v>
      </c>
      <c r="E3810" t="s">
        <v>4574</v>
      </c>
      <c r="F3810">
        <v>3</v>
      </c>
    </row>
    <row r="3811" spans="1:6" ht="13.2">
      <c r="A3811" t="s">
        <v>4597</v>
      </c>
      <c r="B3811">
        <v>25</v>
      </c>
      <c r="C3811" s="44">
        <v>1400</v>
      </c>
      <c r="D3811" t="s">
        <v>291</v>
      </c>
      <c r="E3811" t="s">
        <v>4574</v>
      </c>
      <c r="F3811">
        <v>3</v>
      </c>
    </row>
    <row r="3812" spans="1:6" ht="13.2">
      <c r="A3812" t="s">
        <v>4598</v>
      </c>
      <c r="B3812">
        <v>25</v>
      </c>
      <c r="C3812" s="44">
        <v>1400</v>
      </c>
      <c r="D3812" t="s">
        <v>291</v>
      </c>
      <c r="E3812" t="s">
        <v>4574</v>
      </c>
      <c r="F3812">
        <v>3</v>
      </c>
    </row>
    <row r="3813" spans="1:6" ht="13.2">
      <c r="A3813" t="s">
        <v>4599</v>
      </c>
      <c r="B3813">
        <v>25</v>
      </c>
      <c r="C3813" s="44">
        <v>1400</v>
      </c>
      <c r="D3813" t="s">
        <v>291</v>
      </c>
      <c r="E3813" t="s">
        <v>4574</v>
      </c>
      <c r="F3813">
        <v>3</v>
      </c>
    </row>
    <row r="3814" spans="1:6" ht="13.2">
      <c r="A3814" t="s">
        <v>6164</v>
      </c>
      <c r="B3814">
        <v>0</v>
      </c>
      <c r="C3814" s="44">
        <v>1400</v>
      </c>
      <c r="D3814" t="s">
        <v>291</v>
      </c>
      <c r="E3814" t="s">
        <v>256</v>
      </c>
      <c r="F3814">
        <v>1</v>
      </c>
    </row>
    <row r="3815" spans="1:6" ht="13.2">
      <c r="A3815" t="s">
        <v>6165</v>
      </c>
      <c r="B3815">
        <v>0</v>
      </c>
      <c r="C3815" s="44">
        <v>1400</v>
      </c>
      <c r="D3815" t="s">
        <v>291</v>
      </c>
      <c r="E3815" t="s">
        <v>256</v>
      </c>
      <c r="F3815">
        <v>1</v>
      </c>
    </row>
    <row r="3816" spans="1:6" ht="13.2">
      <c r="A3816" t="s">
        <v>6166</v>
      </c>
      <c r="B3816">
        <v>0</v>
      </c>
      <c r="C3816" s="44">
        <v>1400</v>
      </c>
      <c r="D3816" t="s">
        <v>291</v>
      </c>
      <c r="E3816" t="s">
        <v>256</v>
      </c>
      <c r="F3816">
        <v>1</v>
      </c>
    </row>
    <row r="3817" spans="1:6" ht="13.2">
      <c r="A3817" t="s">
        <v>6167</v>
      </c>
      <c r="B3817">
        <v>0</v>
      </c>
      <c r="C3817" s="44">
        <v>1400</v>
      </c>
      <c r="D3817" t="s">
        <v>291</v>
      </c>
      <c r="E3817" t="s">
        <v>256</v>
      </c>
      <c r="F3817">
        <v>1</v>
      </c>
    </row>
    <row r="3818" spans="1:6" ht="13.2">
      <c r="A3818" t="s">
        <v>6168</v>
      </c>
      <c r="B3818">
        <v>0</v>
      </c>
      <c r="C3818" s="44">
        <v>1400</v>
      </c>
      <c r="D3818" t="s">
        <v>291</v>
      </c>
      <c r="E3818" t="s">
        <v>256</v>
      </c>
      <c r="F3818">
        <v>1</v>
      </c>
    </row>
    <row r="3819" spans="1:6" ht="13.2">
      <c r="A3819" t="s">
        <v>6169</v>
      </c>
      <c r="B3819">
        <v>0</v>
      </c>
      <c r="C3819" s="44">
        <v>1400</v>
      </c>
      <c r="D3819" t="s">
        <v>291</v>
      </c>
      <c r="E3819" t="s">
        <v>256</v>
      </c>
      <c r="F3819">
        <v>1</v>
      </c>
    </row>
    <row r="3820" spans="1:6" ht="13.2">
      <c r="A3820" t="s">
        <v>6170</v>
      </c>
      <c r="B3820">
        <v>0</v>
      </c>
      <c r="C3820" s="44">
        <v>1400</v>
      </c>
      <c r="D3820" t="s">
        <v>291</v>
      </c>
      <c r="E3820" t="s">
        <v>256</v>
      </c>
      <c r="F3820">
        <v>1</v>
      </c>
    </row>
    <row r="3821" spans="1:6" ht="13.2">
      <c r="A3821" t="s">
        <v>6171</v>
      </c>
      <c r="B3821">
        <v>0</v>
      </c>
      <c r="C3821" s="44">
        <v>1400</v>
      </c>
      <c r="D3821" t="s">
        <v>291</v>
      </c>
      <c r="E3821" t="s">
        <v>256</v>
      </c>
      <c r="F3821">
        <v>1</v>
      </c>
    </row>
    <row r="3822" spans="1:6" ht="13.2">
      <c r="A3822" t="s">
        <v>6172</v>
      </c>
      <c r="B3822">
        <v>0</v>
      </c>
      <c r="C3822" s="44">
        <v>1400</v>
      </c>
      <c r="D3822" t="s">
        <v>291</v>
      </c>
      <c r="E3822" t="s">
        <v>256</v>
      </c>
      <c r="F3822">
        <v>1</v>
      </c>
    </row>
    <row r="3823" spans="1:6" ht="13.2">
      <c r="A3823" t="s">
        <v>6173</v>
      </c>
      <c r="B3823">
        <v>0</v>
      </c>
      <c r="C3823" s="44">
        <v>1400</v>
      </c>
      <c r="D3823" t="s">
        <v>291</v>
      </c>
      <c r="E3823" t="s">
        <v>256</v>
      </c>
      <c r="F3823">
        <v>1</v>
      </c>
    </row>
    <row r="3824" spans="1:6" ht="13.2">
      <c r="A3824" t="s">
        <v>6174</v>
      </c>
      <c r="B3824">
        <v>0</v>
      </c>
      <c r="C3824" s="44">
        <v>1400</v>
      </c>
      <c r="D3824" t="s">
        <v>291</v>
      </c>
      <c r="E3824" t="s">
        <v>256</v>
      </c>
      <c r="F3824">
        <v>1</v>
      </c>
    </row>
    <row r="3825" spans="1:6" ht="13.2">
      <c r="A3825" t="s">
        <v>6175</v>
      </c>
      <c r="B3825">
        <v>0</v>
      </c>
      <c r="C3825" s="44">
        <v>1400</v>
      </c>
      <c r="D3825" t="s">
        <v>291</v>
      </c>
      <c r="E3825" t="s">
        <v>256</v>
      </c>
      <c r="F3825">
        <v>1</v>
      </c>
    </row>
    <row r="3826" spans="1:6" ht="13.2">
      <c r="A3826" t="s">
        <v>6176</v>
      </c>
      <c r="B3826">
        <v>0</v>
      </c>
      <c r="C3826" s="44">
        <v>1400</v>
      </c>
      <c r="D3826" t="s">
        <v>291</v>
      </c>
      <c r="E3826" t="s">
        <v>256</v>
      </c>
      <c r="F3826">
        <v>1</v>
      </c>
    </row>
    <row r="3827" spans="1:6" ht="13.2">
      <c r="A3827" t="s">
        <v>6177</v>
      </c>
      <c r="B3827">
        <v>0</v>
      </c>
      <c r="C3827" s="44">
        <v>1400</v>
      </c>
      <c r="D3827" t="s">
        <v>291</v>
      </c>
      <c r="E3827" t="s">
        <v>256</v>
      </c>
      <c r="F3827">
        <v>1</v>
      </c>
    </row>
    <row r="3828" spans="1:6" ht="13.2">
      <c r="A3828" t="s">
        <v>6178</v>
      </c>
      <c r="B3828">
        <v>0</v>
      </c>
      <c r="C3828" s="44">
        <v>1400</v>
      </c>
      <c r="D3828" t="s">
        <v>291</v>
      </c>
      <c r="E3828" t="s">
        <v>256</v>
      </c>
      <c r="F3828">
        <v>1</v>
      </c>
    </row>
    <row r="3829" spans="1:6" ht="13.2">
      <c r="A3829" t="s">
        <v>6179</v>
      </c>
      <c r="B3829">
        <v>0</v>
      </c>
      <c r="C3829" s="44">
        <v>1400</v>
      </c>
      <c r="D3829" t="s">
        <v>291</v>
      </c>
      <c r="E3829" t="s">
        <v>256</v>
      </c>
      <c r="F3829">
        <v>1</v>
      </c>
    </row>
    <row r="3830" spans="1:6" ht="13.2">
      <c r="A3830" t="s">
        <v>6180</v>
      </c>
      <c r="B3830">
        <v>0</v>
      </c>
      <c r="C3830" s="44">
        <v>1400</v>
      </c>
      <c r="D3830" t="s">
        <v>291</v>
      </c>
      <c r="E3830" t="s">
        <v>256</v>
      </c>
      <c r="F3830">
        <v>1</v>
      </c>
    </row>
    <row r="3831" spans="1:6" ht="13.2">
      <c r="A3831" t="s">
        <v>6181</v>
      </c>
      <c r="B3831">
        <v>0</v>
      </c>
      <c r="C3831" s="44">
        <v>1400</v>
      </c>
      <c r="D3831" t="s">
        <v>291</v>
      </c>
      <c r="E3831" t="s">
        <v>256</v>
      </c>
      <c r="F3831">
        <v>1</v>
      </c>
    </row>
    <row r="3832" spans="1:6" ht="13.2">
      <c r="A3832" t="s">
        <v>6182</v>
      </c>
      <c r="B3832">
        <v>0</v>
      </c>
      <c r="C3832" s="44">
        <v>1400</v>
      </c>
      <c r="D3832" t="s">
        <v>291</v>
      </c>
      <c r="E3832" t="s">
        <v>256</v>
      </c>
      <c r="F3832">
        <v>1</v>
      </c>
    </row>
    <row r="3833" spans="1:6" ht="13.2">
      <c r="A3833" t="s">
        <v>6183</v>
      </c>
      <c r="B3833">
        <v>0</v>
      </c>
      <c r="C3833" s="44">
        <v>1400</v>
      </c>
      <c r="D3833" t="s">
        <v>291</v>
      </c>
      <c r="E3833" t="s">
        <v>256</v>
      </c>
      <c r="F3833">
        <v>1</v>
      </c>
    </row>
    <row r="3834" spans="1:6" ht="13.2">
      <c r="A3834" t="s">
        <v>6184</v>
      </c>
      <c r="B3834">
        <v>0</v>
      </c>
      <c r="C3834" s="44">
        <v>1400</v>
      </c>
      <c r="D3834" t="s">
        <v>291</v>
      </c>
      <c r="E3834" t="s">
        <v>256</v>
      </c>
      <c r="F3834">
        <v>1</v>
      </c>
    </row>
    <row r="3835" spans="1:6" ht="13.2">
      <c r="A3835" t="s">
        <v>6185</v>
      </c>
      <c r="B3835">
        <v>0</v>
      </c>
      <c r="C3835" s="44">
        <v>1400</v>
      </c>
      <c r="D3835" t="s">
        <v>291</v>
      </c>
      <c r="E3835" t="s">
        <v>256</v>
      </c>
      <c r="F3835">
        <v>1</v>
      </c>
    </row>
    <row r="3836" spans="1:6" ht="13.2">
      <c r="A3836" t="s">
        <v>6186</v>
      </c>
      <c r="B3836">
        <v>0</v>
      </c>
      <c r="C3836" s="44">
        <v>1400</v>
      </c>
      <c r="D3836" t="s">
        <v>291</v>
      </c>
      <c r="E3836" t="s">
        <v>256</v>
      </c>
      <c r="F3836">
        <v>1</v>
      </c>
    </row>
    <row r="3837" spans="1:6" ht="13.2">
      <c r="A3837" t="s">
        <v>6187</v>
      </c>
      <c r="B3837">
        <v>0</v>
      </c>
      <c r="C3837" s="44">
        <v>1400</v>
      </c>
      <c r="D3837" t="s">
        <v>291</v>
      </c>
      <c r="E3837" t="s">
        <v>256</v>
      </c>
      <c r="F3837">
        <v>1</v>
      </c>
    </row>
    <row r="3838" spans="1:6" ht="13.2">
      <c r="A3838" t="s">
        <v>6188</v>
      </c>
      <c r="B3838">
        <v>0</v>
      </c>
      <c r="C3838" s="44">
        <v>1400</v>
      </c>
      <c r="D3838" t="s">
        <v>291</v>
      </c>
      <c r="E3838" t="s">
        <v>256</v>
      </c>
      <c r="F3838">
        <v>1</v>
      </c>
    </row>
    <row r="3839" spans="1:6" ht="13.2">
      <c r="A3839" t="s">
        <v>6189</v>
      </c>
      <c r="B3839">
        <v>0</v>
      </c>
      <c r="C3839" s="44">
        <v>1400</v>
      </c>
      <c r="D3839" t="s">
        <v>291</v>
      </c>
      <c r="E3839" t="s">
        <v>256</v>
      </c>
      <c r="F3839">
        <v>1</v>
      </c>
    </row>
    <row r="3840" spans="1:6" ht="13.2">
      <c r="A3840" t="s">
        <v>6190</v>
      </c>
      <c r="B3840">
        <v>0</v>
      </c>
      <c r="C3840" s="44">
        <v>1400</v>
      </c>
      <c r="D3840" t="s">
        <v>291</v>
      </c>
      <c r="E3840" t="s">
        <v>256</v>
      </c>
      <c r="F3840">
        <v>1</v>
      </c>
    </row>
    <row r="3841" spans="1:6" ht="13.2">
      <c r="A3841" t="s">
        <v>6191</v>
      </c>
      <c r="B3841">
        <v>0</v>
      </c>
      <c r="C3841" s="44">
        <v>1400</v>
      </c>
      <c r="D3841" t="s">
        <v>291</v>
      </c>
      <c r="E3841" t="s">
        <v>256</v>
      </c>
      <c r="F3841">
        <v>1</v>
      </c>
    </row>
    <row r="3842" spans="1:6" ht="13.2">
      <c r="A3842" t="s">
        <v>4573</v>
      </c>
      <c r="B3842">
        <v>24</v>
      </c>
      <c r="C3842" s="44">
        <v>1400</v>
      </c>
      <c r="D3842" t="s">
        <v>291</v>
      </c>
      <c r="E3842" t="s">
        <v>4574</v>
      </c>
      <c r="F3842">
        <v>3</v>
      </c>
    </row>
    <row r="3843" spans="1:6" ht="13.2">
      <c r="A3843" t="s">
        <v>4575</v>
      </c>
      <c r="B3843">
        <v>24</v>
      </c>
      <c r="C3843" s="44">
        <v>1400</v>
      </c>
      <c r="D3843" t="s">
        <v>291</v>
      </c>
      <c r="E3843" t="s">
        <v>4574</v>
      </c>
      <c r="F3843">
        <v>3</v>
      </c>
    </row>
    <row r="3844" spans="1:6" ht="13.2">
      <c r="A3844" t="s">
        <v>4576</v>
      </c>
      <c r="B3844">
        <v>24</v>
      </c>
      <c r="C3844" s="44">
        <v>1400</v>
      </c>
      <c r="D3844" t="s">
        <v>291</v>
      </c>
      <c r="E3844" t="s">
        <v>4574</v>
      </c>
      <c r="F3844">
        <v>3</v>
      </c>
    </row>
    <row r="3845" spans="1:6" ht="13.2">
      <c r="A3845" t="s">
        <v>4577</v>
      </c>
      <c r="B3845">
        <v>24</v>
      </c>
      <c r="C3845" s="44">
        <v>1400</v>
      </c>
      <c r="D3845" t="s">
        <v>291</v>
      </c>
      <c r="E3845" t="s">
        <v>4574</v>
      </c>
      <c r="F3845">
        <v>3</v>
      </c>
    </row>
    <row r="3846" spans="1:6" ht="13.2">
      <c r="A3846" t="s">
        <v>4578</v>
      </c>
      <c r="B3846">
        <v>24</v>
      </c>
      <c r="C3846" s="44">
        <v>1400</v>
      </c>
      <c r="D3846" t="s">
        <v>291</v>
      </c>
      <c r="E3846" t="s">
        <v>4574</v>
      </c>
      <c r="F3846">
        <v>3</v>
      </c>
    </row>
    <row r="3847" spans="1:6" ht="13.2">
      <c r="A3847" t="s">
        <v>4579</v>
      </c>
      <c r="B3847">
        <v>24</v>
      </c>
      <c r="C3847" s="44">
        <v>1400</v>
      </c>
      <c r="D3847" t="s">
        <v>291</v>
      </c>
      <c r="E3847" t="s">
        <v>4574</v>
      </c>
      <c r="F3847">
        <v>3</v>
      </c>
    </row>
    <row r="3848" spans="1:6" ht="13.2">
      <c r="A3848" t="s">
        <v>4580</v>
      </c>
      <c r="B3848">
        <v>24</v>
      </c>
      <c r="C3848" s="44">
        <v>1400</v>
      </c>
      <c r="D3848" t="s">
        <v>291</v>
      </c>
      <c r="E3848" t="s">
        <v>4574</v>
      </c>
      <c r="F3848">
        <v>3</v>
      </c>
    </row>
    <row r="3849" spans="1:6" ht="13.2">
      <c r="A3849" t="s">
        <v>4581</v>
      </c>
      <c r="B3849">
        <v>24</v>
      </c>
      <c r="C3849" s="44">
        <v>1400</v>
      </c>
      <c r="D3849" t="s">
        <v>291</v>
      </c>
      <c r="E3849" t="s">
        <v>4574</v>
      </c>
      <c r="F3849">
        <v>3</v>
      </c>
    </row>
    <row r="3850" spans="1:6" ht="13.2">
      <c r="A3850" t="s">
        <v>4582</v>
      </c>
      <c r="B3850">
        <v>24</v>
      </c>
      <c r="C3850" s="44">
        <v>1400</v>
      </c>
      <c r="D3850" t="s">
        <v>291</v>
      </c>
      <c r="E3850" t="s">
        <v>4574</v>
      </c>
      <c r="F3850">
        <v>3</v>
      </c>
    </row>
    <row r="3851" spans="1:6" ht="13.2">
      <c r="A3851" t="s">
        <v>4583</v>
      </c>
      <c r="B3851">
        <v>24</v>
      </c>
      <c r="C3851" s="44">
        <v>1400</v>
      </c>
      <c r="D3851" t="s">
        <v>291</v>
      </c>
      <c r="E3851" t="s">
        <v>4574</v>
      </c>
      <c r="F3851">
        <v>3</v>
      </c>
    </row>
    <row r="3852" spans="1:6" ht="13.2">
      <c r="A3852" t="s">
        <v>4584</v>
      </c>
      <c r="B3852">
        <v>24</v>
      </c>
      <c r="C3852" s="44">
        <v>1400</v>
      </c>
      <c r="D3852" t="s">
        <v>291</v>
      </c>
      <c r="E3852" t="s">
        <v>4574</v>
      </c>
      <c r="F3852">
        <v>3</v>
      </c>
    </row>
    <row r="3853" spans="1:6" ht="13.2">
      <c r="A3853" t="s">
        <v>4585</v>
      </c>
      <c r="B3853">
        <v>24</v>
      </c>
      <c r="C3853" s="44">
        <v>1400</v>
      </c>
      <c r="D3853" t="s">
        <v>291</v>
      </c>
      <c r="E3853" t="s">
        <v>4574</v>
      </c>
      <c r="F3853">
        <v>3</v>
      </c>
    </row>
    <row r="3854" spans="1:6" ht="13.2">
      <c r="A3854" t="s">
        <v>4586</v>
      </c>
      <c r="B3854">
        <v>24</v>
      </c>
      <c r="C3854" s="44">
        <v>1400</v>
      </c>
      <c r="D3854" t="s">
        <v>291</v>
      </c>
      <c r="E3854" t="s">
        <v>4574</v>
      </c>
      <c r="F3854">
        <v>3</v>
      </c>
    </row>
    <row r="3855" spans="1:6" ht="13.2">
      <c r="A3855" t="s">
        <v>1499</v>
      </c>
      <c r="B3855">
        <v>0</v>
      </c>
      <c r="C3855" s="44">
        <v>3300</v>
      </c>
      <c r="D3855" t="s">
        <v>293</v>
      </c>
      <c r="E3855" t="s">
        <v>256</v>
      </c>
      <c r="F3855">
        <v>4</v>
      </c>
    </row>
    <row r="3856" spans="1:6" ht="13.2">
      <c r="A3856" t="s">
        <v>1500</v>
      </c>
      <c r="B3856">
        <v>0</v>
      </c>
      <c r="C3856" s="44">
        <v>3300</v>
      </c>
      <c r="D3856" t="s">
        <v>293</v>
      </c>
      <c r="E3856" t="s">
        <v>256</v>
      </c>
      <c r="F3856">
        <v>4</v>
      </c>
    </row>
    <row r="3857" spans="1:6" ht="13.2">
      <c r="A3857" t="s">
        <v>1501</v>
      </c>
      <c r="B3857">
        <v>0</v>
      </c>
      <c r="C3857" s="44">
        <v>3300</v>
      </c>
      <c r="D3857" t="s">
        <v>293</v>
      </c>
      <c r="E3857" t="s">
        <v>256</v>
      </c>
      <c r="F3857">
        <v>4</v>
      </c>
    </row>
    <row r="3858" spans="1:6" ht="13.2">
      <c r="A3858" t="s">
        <v>1502</v>
      </c>
      <c r="B3858">
        <v>0</v>
      </c>
      <c r="C3858" s="44">
        <v>3300</v>
      </c>
      <c r="D3858" t="s">
        <v>293</v>
      </c>
      <c r="E3858" t="s">
        <v>256</v>
      </c>
      <c r="F3858">
        <v>4</v>
      </c>
    </row>
    <row r="3859" spans="1:6" ht="13.2">
      <c r="A3859" t="s">
        <v>1503</v>
      </c>
      <c r="B3859">
        <v>0</v>
      </c>
      <c r="C3859" s="44">
        <v>3300</v>
      </c>
      <c r="D3859" t="s">
        <v>293</v>
      </c>
      <c r="E3859" t="s">
        <v>256</v>
      </c>
      <c r="F3859">
        <v>4</v>
      </c>
    </row>
    <row r="3860" spans="1:6" ht="13.2">
      <c r="A3860" t="s">
        <v>1504</v>
      </c>
      <c r="B3860">
        <v>0</v>
      </c>
      <c r="C3860" s="44">
        <v>3300</v>
      </c>
      <c r="D3860" t="s">
        <v>293</v>
      </c>
      <c r="E3860" t="s">
        <v>256</v>
      </c>
      <c r="F3860">
        <v>4</v>
      </c>
    </row>
    <row r="3861" spans="1:6" ht="13.2">
      <c r="A3861" t="s">
        <v>1505</v>
      </c>
      <c r="B3861">
        <v>0</v>
      </c>
      <c r="C3861" s="44">
        <v>3300</v>
      </c>
      <c r="D3861" t="s">
        <v>293</v>
      </c>
      <c r="E3861" t="s">
        <v>256</v>
      </c>
      <c r="F3861">
        <v>4</v>
      </c>
    </row>
    <row r="3862" spans="1:6" ht="13.2">
      <c r="A3862" t="s">
        <v>1506</v>
      </c>
      <c r="B3862">
        <v>0</v>
      </c>
      <c r="C3862" s="44">
        <v>3300</v>
      </c>
      <c r="D3862" t="s">
        <v>293</v>
      </c>
      <c r="E3862" t="s">
        <v>256</v>
      </c>
      <c r="F3862">
        <v>4</v>
      </c>
    </row>
    <row r="3863" spans="1:6" ht="13.2">
      <c r="A3863" t="s">
        <v>1507</v>
      </c>
      <c r="B3863">
        <v>0</v>
      </c>
      <c r="C3863" s="44">
        <v>3300</v>
      </c>
      <c r="D3863" t="s">
        <v>293</v>
      </c>
      <c r="E3863" t="s">
        <v>256</v>
      </c>
      <c r="F3863">
        <v>4</v>
      </c>
    </row>
    <row r="3864" spans="1:6" ht="13.2">
      <c r="A3864" t="s">
        <v>1508</v>
      </c>
      <c r="B3864">
        <v>0</v>
      </c>
      <c r="C3864" s="44">
        <v>3300</v>
      </c>
      <c r="D3864" t="s">
        <v>293</v>
      </c>
      <c r="E3864" t="s">
        <v>256</v>
      </c>
      <c r="F3864">
        <v>4</v>
      </c>
    </row>
    <row r="3865" spans="1:6" ht="13.2">
      <c r="A3865" t="s">
        <v>1509</v>
      </c>
      <c r="B3865">
        <v>0</v>
      </c>
      <c r="C3865" s="44">
        <v>3300</v>
      </c>
      <c r="D3865" t="s">
        <v>293</v>
      </c>
      <c r="E3865" t="s">
        <v>256</v>
      </c>
      <c r="F3865">
        <v>4</v>
      </c>
    </row>
    <row r="3866" spans="1:6" ht="13.2">
      <c r="A3866" t="s">
        <v>1510</v>
      </c>
      <c r="B3866">
        <v>0</v>
      </c>
      <c r="C3866" s="44">
        <v>3300</v>
      </c>
      <c r="D3866" t="s">
        <v>293</v>
      </c>
      <c r="E3866" t="s">
        <v>256</v>
      </c>
      <c r="F3866">
        <v>4</v>
      </c>
    </row>
    <row r="3867" spans="1:6" ht="13.2">
      <c r="A3867" t="s">
        <v>1511</v>
      </c>
      <c r="B3867">
        <v>0</v>
      </c>
      <c r="C3867" s="44">
        <v>3300</v>
      </c>
      <c r="D3867" t="s">
        <v>293</v>
      </c>
      <c r="E3867" t="s">
        <v>256</v>
      </c>
      <c r="F3867">
        <v>4</v>
      </c>
    </row>
    <row r="3868" spans="1:6" ht="13.2">
      <c r="A3868" t="s">
        <v>1512</v>
      </c>
      <c r="B3868">
        <v>0</v>
      </c>
      <c r="C3868" s="44">
        <v>3300</v>
      </c>
      <c r="D3868" t="s">
        <v>293</v>
      </c>
      <c r="E3868" t="s">
        <v>256</v>
      </c>
      <c r="F3868">
        <v>4</v>
      </c>
    </row>
    <row r="3869" spans="1:6" ht="13.2">
      <c r="A3869" t="s">
        <v>1513</v>
      </c>
      <c r="B3869">
        <v>0</v>
      </c>
      <c r="C3869" s="44">
        <v>3300</v>
      </c>
      <c r="D3869" t="s">
        <v>293</v>
      </c>
      <c r="E3869" t="s">
        <v>256</v>
      </c>
      <c r="F3869">
        <v>4</v>
      </c>
    </row>
    <row r="3870" spans="1:6" ht="13.2">
      <c r="A3870" t="s">
        <v>1514</v>
      </c>
      <c r="B3870">
        <v>0</v>
      </c>
      <c r="C3870" s="44">
        <v>3300</v>
      </c>
      <c r="D3870" t="s">
        <v>293</v>
      </c>
      <c r="E3870" t="s">
        <v>256</v>
      </c>
      <c r="F3870">
        <v>4</v>
      </c>
    </row>
    <row r="3871" spans="1:6" ht="13.2">
      <c r="A3871" t="s">
        <v>1515</v>
      </c>
      <c r="B3871">
        <v>0</v>
      </c>
      <c r="C3871" s="44">
        <v>3300</v>
      </c>
      <c r="D3871" t="s">
        <v>293</v>
      </c>
      <c r="E3871" t="s">
        <v>256</v>
      </c>
      <c r="F3871">
        <v>4</v>
      </c>
    </row>
    <row r="3872" spans="1:6" ht="13.2">
      <c r="A3872" t="s">
        <v>1516</v>
      </c>
      <c r="B3872">
        <v>0</v>
      </c>
      <c r="C3872" s="44">
        <v>3300</v>
      </c>
      <c r="D3872" t="s">
        <v>293</v>
      </c>
      <c r="E3872" t="s">
        <v>256</v>
      </c>
      <c r="F3872">
        <v>4</v>
      </c>
    </row>
    <row r="3873" spans="1:6" ht="13.2">
      <c r="A3873" t="s">
        <v>1517</v>
      </c>
      <c r="B3873">
        <v>0</v>
      </c>
      <c r="C3873" s="44">
        <v>3300</v>
      </c>
      <c r="D3873" t="s">
        <v>293</v>
      </c>
      <c r="E3873" t="s">
        <v>256</v>
      </c>
      <c r="F3873">
        <v>4</v>
      </c>
    </row>
    <row r="3874" spans="1:6" ht="13.2">
      <c r="A3874" t="s">
        <v>1518</v>
      </c>
      <c r="B3874">
        <v>0</v>
      </c>
      <c r="C3874" s="44">
        <v>3300</v>
      </c>
      <c r="D3874" t="s">
        <v>293</v>
      </c>
      <c r="E3874" t="s">
        <v>256</v>
      </c>
      <c r="F3874">
        <v>4</v>
      </c>
    </row>
    <row r="3875" spans="1:6" ht="13.2">
      <c r="A3875" t="s">
        <v>1520</v>
      </c>
      <c r="B3875">
        <v>0</v>
      </c>
      <c r="C3875" s="44">
        <v>3300</v>
      </c>
      <c r="D3875" t="s">
        <v>293</v>
      </c>
      <c r="E3875" t="s">
        <v>256</v>
      </c>
      <c r="F3875">
        <v>4</v>
      </c>
    </row>
    <row r="3876" spans="1:6" ht="13.2">
      <c r="A3876" t="s">
        <v>1519</v>
      </c>
      <c r="B3876">
        <v>0</v>
      </c>
      <c r="C3876" s="44">
        <v>3300</v>
      </c>
      <c r="D3876" t="s">
        <v>293</v>
      </c>
      <c r="E3876" t="s">
        <v>256</v>
      </c>
      <c r="F3876">
        <v>4</v>
      </c>
    </row>
    <row r="3877" spans="1:6" ht="13.2">
      <c r="A3877" t="s">
        <v>3312</v>
      </c>
      <c r="B3877">
        <v>0</v>
      </c>
      <c r="C3877" s="44">
        <v>1400</v>
      </c>
      <c r="D3877" t="s">
        <v>291</v>
      </c>
      <c r="E3877" t="s">
        <v>574</v>
      </c>
      <c r="F3877">
        <v>4</v>
      </c>
    </row>
    <row r="3878" spans="1:6" ht="13.2">
      <c r="A3878" t="s">
        <v>3313</v>
      </c>
      <c r="B3878">
        <v>0</v>
      </c>
      <c r="C3878" s="44">
        <v>1400</v>
      </c>
      <c r="D3878" t="s">
        <v>291</v>
      </c>
      <c r="E3878" t="s">
        <v>574</v>
      </c>
      <c r="F3878">
        <v>4</v>
      </c>
    </row>
    <row r="3879" spans="1:6" ht="13.2">
      <c r="A3879" t="s">
        <v>3314</v>
      </c>
      <c r="B3879">
        <v>0</v>
      </c>
      <c r="C3879" s="44">
        <v>1400</v>
      </c>
      <c r="D3879" t="s">
        <v>291</v>
      </c>
      <c r="E3879" t="s">
        <v>574</v>
      </c>
      <c r="F3879">
        <v>4</v>
      </c>
    </row>
    <row r="3880" spans="1:6" ht="13.2">
      <c r="A3880" t="s">
        <v>3315</v>
      </c>
      <c r="B3880">
        <v>0</v>
      </c>
      <c r="C3880" s="44">
        <v>1400</v>
      </c>
      <c r="D3880" t="s">
        <v>291</v>
      </c>
      <c r="E3880" t="s">
        <v>574</v>
      </c>
      <c r="F3880">
        <v>4</v>
      </c>
    </row>
    <row r="3881" spans="1:6" ht="13.2">
      <c r="A3881" t="s">
        <v>3316</v>
      </c>
      <c r="B3881">
        <v>0</v>
      </c>
      <c r="C3881" s="44">
        <v>1400</v>
      </c>
      <c r="D3881" t="s">
        <v>291</v>
      </c>
      <c r="E3881" t="s">
        <v>574</v>
      </c>
      <c r="F3881">
        <v>4</v>
      </c>
    </row>
    <row r="3882" spans="1:6" ht="13.2">
      <c r="A3882" t="s">
        <v>3317</v>
      </c>
      <c r="B3882">
        <v>0</v>
      </c>
      <c r="C3882" s="44">
        <v>1400</v>
      </c>
      <c r="D3882" t="s">
        <v>291</v>
      </c>
      <c r="E3882" t="s">
        <v>574</v>
      </c>
      <c r="F3882">
        <v>4</v>
      </c>
    </row>
    <row r="3883" spans="1:6" ht="13.2">
      <c r="A3883" t="s">
        <v>3318</v>
      </c>
      <c r="B3883">
        <v>0</v>
      </c>
      <c r="C3883" s="44">
        <v>1400</v>
      </c>
      <c r="D3883" t="s">
        <v>291</v>
      </c>
      <c r="E3883" t="s">
        <v>574</v>
      </c>
      <c r="F3883">
        <v>4</v>
      </c>
    </row>
    <row r="3884" spans="1:6" ht="13.2">
      <c r="A3884" t="s">
        <v>3319</v>
      </c>
      <c r="B3884">
        <v>0</v>
      </c>
      <c r="C3884" s="44">
        <v>1400</v>
      </c>
      <c r="D3884" t="s">
        <v>291</v>
      </c>
      <c r="E3884" t="s">
        <v>574</v>
      </c>
      <c r="F3884">
        <v>4</v>
      </c>
    </row>
    <row r="3885" spans="1:6" ht="13.2">
      <c r="A3885" t="s">
        <v>3320</v>
      </c>
      <c r="B3885">
        <v>0</v>
      </c>
      <c r="C3885" s="44">
        <v>1400</v>
      </c>
      <c r="D3885" t="s">
        <v>291</v>
      </c>
      <c r="E3885" t="s">
        <v>574</v>
      </c>
      <c r="F3885">
        <v>4</v>
      </c>
    </row>
    <row r="3886" spans="1:6" ht="13.2">
      <c r="A3886" t="s">
        <v>3321</v>
      </c>
      <c r="B3886">
        <v>0</v>
      </c>
      <c r="C3886" s="44">
        <v>1400</v>
      </c>
      <c r="D3886" t="s">
        <v>291</v>
      </c>
      <c r="E3886" t="s">
        <v>574</v>
      </c>
      <c r="F3886">
        <v>4</v>
      </c>
    </row>
    <row r="3887" spans="1:6" ht="13.2">
      <c r="A3887" t="s">
        <v>3323</v>
      </c>
      <c r="B3887">
        <v>0</v>
      </c>
      <c r="C3887" s="44">
        <v>1400</v>
      </c>
      <c r="D3887" t="s">
        <v>291</v>
      </c>
      <c r="E3887" t="s">
        <v>574</v>
      </c>
      <c r="F3887">
        <v>4</v>
      </c>
    </row>
    <row r="3888" spans="1:6" ht="13.2">
      <c r="A3888" t="s">
        <v>3324</v>
      </c>
      <c r="B3888">
        <v>0</v>
      </c>
      <c r="C3888" s="44">
        <v>1400</v>
      </c>
      <c r="D3888" t="s">
        <v>291</v>
      </c>
      <c r="E3888" t="s">
        <v>574</v>
      </c>
      <c r="F3888">
        <v>4</v>
      </c>
    </row>
    <row r="3889" spans="1:6" ht="13.2">
      <c r="A3889" t="s">
        <v>3325</v>
      </c>
      <c r="B3889">
        <v>0</v>
      </c>
      <c r="C3889" s="44">
        <v>1400</v>
      </c>
      <c r="D3889" t="s">
        <v>291</v>
      </c>
      <c r="E3889" t="s">
        <v>574</v>
      </c>
      <c r="F3889">
        <v>4</v>
      </c>
    </row>
    <row r="3890" spans="1:6" ht="13.2">
      <c r="A3890" t="s">
        <v>3326</v>
      </c>
      <c r="B3890">
        <v>0</v>
      </c>
      <c r="C3890" s="44">
        <v>1400</v>
      </c>
      <c r="D3890" t="s">
        <v>291</v>
      </c>
      <c r="E3890" t="s">
        <v>574</v>
      </c>
      <c r="F3890">
        <v>4</v>
      </c>
    </row>
    <row r="3891" spans="1:6" ht="13.2">
      <c r="A3891" t="s">
        <v>3327</v>
      </c>
      <c r="B3891">
        <v>0</v>
      </c>
      <c r="C3891" s="44">
        <v>1400</v>
      </c>
      <c r="D3891" t="s">
        <v>291</v>
      </c>
      <c r="E3891" t="s">
        <v>574</v>
      </c>
      <c r="F3891">
        <v>4</v>
      </c>
    </row>
    <row r="3892" spans="1:6" ht="13.2">
      <c r="A3892" t="s">
        <v>3328</v>
      </c>
      <c r="B3892">
        <v>0</v>
      </c>
      <c r="C3892" s="44">
        <v>1400</v>
      </c>
      <c r="D3892" t="s">
        <v>291</v>
      </c>
      <c r="E3892" t="s">
        <v>574</v>
      </c>
      <c r="F3892">
        <v>4</v>
      </c>
    </row>
    <row r="3893" spans="1:6" ht="13.2">
      <c r="A3893" t="s">
        <v>3329</v>
      </c>
      <c r="B3893">
        <v>0</v>
      </c>
      <c r="C3893" s="44">
        <v>1400</v>
      </c>
      <c r="D3893" t="s">
        <v>291</v>
      </c>
      <c r="E3893" t="s">
        <v>574</v>
      </c>
      <c r="F3893">
        <v>4</v>
      </c>
    </row>
    <row r="3894" spans="1:6" ht="13.2">
      <c r="A3894" t="s">
        <v>3330</v>
      </c>
      <c r="B3894">
        <v>0</v>
      </c>
      <c r="C3894" s="44">
        <v>1400</v>
      </c>
      <c r="D3894" t="s">
        <v>291</v>
      </c>
      <c r="E3894" t="s">
        <v>574</v>
      </c>
      <c r="F3894">
        <v>4</v>
      </c>
    </row>
    <row r="3895" spans="1:6" ht="13.2">
      <c r="A3895" t="s">
        <v>3331</v>
      </c>
      <c r="B3895">
        <v>0</v>
      </c>
      <c r="C3895" s="44">
        <v>1400</v>
      </c>
      <c r="D3895" t="s">
        <v>291</v>
      </c>
      <c r="E3895" t="s">
        <v>574</v>
      </c>
      <c r="F3895">
        <v>4</v>
      </c>
    </row>
    <row r="3896" spans="1:6" ht="13.2">
      <c r="A3896" t="s">
        <v>3332</v>
      </c>
      <c r="B3896">
        <v>0</v>
      </c>
      <c r="C3896" s="44">
        <v>1400</v>
      </c>
      <c r="D3896" t="s">
        <v>291</v>
      </c>
      <c r="E3896" t="s">
        <v>574</v>
      </c>
      <c r="F3896">
        <v>4</v>
      </c>
    </row>
    <row r="3897" spans="1:6" ht="13.2">
      <c r="A3897" t="s">
        <v>3333</v>
      </c>
      <c r="B3897">
        <v>0</v>
      </c>
      <c r="C3897" s="44">
        <v>1400</v>
      </c>
      <c r="D3897" t="s">
        <v>291</v>
      </c>
      <c r="E3897" t="s">
        <v>574</v>
      </c>
      <c r="F3897">
        <v>4</v>
      </c>
    </row>
    <row r="3898" spans="1:6" ht="13.2">
      <c r="A3898" t="s">
        <v>3311</v>
      </c>
      <c r="B3898">
        <v>0</v>
      </c>
      <c r="C3898" s="44">
        <v>1400</v>
      </c>
      <c r="D3898" t="s">
        <v>291</v>
      </c>
      <c r="E3898" t="s">
        <v>574</v>
      </c>
      <c r="F3898">
        <v>4</v>
      </c>
    </row>
    <row r="3899" spans="1:6" ht="13.2">
      <c r="A3899" t="s">
        <v>3334</v>
      </c>
      <c r="B3899">
        <v>0</v>
      </c>
      <c r="C3899" s="44">
        <v>1400</v>
      </c>
      <c r="D3899" t="s">
        <v>291</v>
      </c>
      <c r="E3899" t="s">
        <v>574</v>
      </c>
      <c r="F3899">
        <v>4</v>
      </c>
    </row>
    <row r="3900" spans="1:6" ht="13.2">
      <c r="A3900" t="s">
        <v>3322</v>
      </c>
      <c r="B3900">
        <v>0</v>
      </c>
      <c r="C3900" s="44">
        <v>1400</v>
      </c>
      <c r="D3900" t="s">
        <v>291</v>
      </c>
      <c r="E3900" t="s">
        <v>574</v>
      </c>
      <c r="F3900">
        <v>4</v>
      </c>
    </row>
    <row r="3901" spans="1:6" ht="13.2">
      <c r="A3901" t="s">
        <v>3335</v>
      </c>
      <c r="B3901">
        <v>0</v>
      </c>
      <c r="C3901" s="44">
        <v>1400</v>
      </c>
      <c r="D3901" t="s">
        <v>291</v>
      </c>
      <c r="E3901" t="s">
        <v>574</v>
      </c>
      <c r="F3901">
        <v>4</v>
      </c>
    </row>
    <row r="3902" spans="1:6" ht="13.2">
      <c r="A3902" t="s">
        <v>3336</v>
      </c>
      <c r="B3902">
        <v>0</v>
      </c>
      <c r="C3902" s="44">
        <v>1400</v>
      </c>
      <c r="D3902" t="s">
        <v>291</v>
      </c>
      <c r="E3902" t="s">
        <v>574</v>
      </c>
      <c r="F3902">
        <v>4</v>
      </c>
    </row>
    <row r="3903" spans="1:6" ht="13.2">
      <c r="A3903" t="s">
        <v>3337</v>
      </c>
      <c r="B3903">
        <v>0</v>
      </c>
      <c r="C3903" s="44">
        <v>1400</v>
      </c>
      <c r="D3903" t="s">
        <v>291</v>
      </c>
      <c r="E3903" t="s">
        <v>574</v>
      </c>
      <c r="F3903">
        <v>4</v>
      </c>
    </row>
    <row r="3904" spans="1:6" ht="13.2">
      <c r="A3904" t="s">
        <v>3339</v>
      </c>
      <c r="B3904">
        <v>0</v>
      </c>
      <c r="C3904" s="44">
        <v>1400</v>
      </c>
      <c r="D3904" t="s">
        <v>291</v>
      </c>
      <c r="E3904" t="s">
        <v>574</v>
      </c>
      <c r="F3904">
        <v>4</v>
      </c>
    </row>
    <row r="3905" spans="1:6" ht="13.2">
      <c r="A3905" t="s">
        <v>3338</v>
      </c>
      <c r="B3905">
        <v>0</v>
      </c>
      <c r="C3905" s="44">
        <v>1400</v>
      </c>
      <c r="D3905" t="s">
        <v>291</v>
      </c>
      <c r="E3905" t="s">
        <v>574</v>
      </c>
      <c r="F3905">
        <v>4</v>
      </c>
    </row>
    <row r="3906" spans="1:6" ht="13.2">
      <c r="A3906" t="s">
        <v>1521</v>
      </c>
      <c r="B3906">
        <v>0</v>
      </c>
      <c r="C3906" s="44">
        <v>3000</v>
      </c>
      <c r="D3906" t="s">
        <v>293</v>
      </c>
      <c r="E3906" t="s">
        <v>256</v>
      </c>
      <c r="F3906">
        <v>4</v>
      </c>
    </row>
    <row r="3907" spans="1:6" ht="13.2">
      <c r="A3907" t="s">
        <v>1522</v>
      </c>
      <c r="B3907">
        <v>0</v>
      </c>
      <c r="C3907" s="44">
        <v>3000</v>
      </c>
      <c r="D3907" t="s">
        <v>293</v>
      </c>
      <c r="E3907" t="s">
        <v>256</v>
      </c>
      <c r="F3907">
        <v>4</v>
      </c>
    </row>
    <row r="3908" spans="1:6" ht="13.2">
      <c r="A3908" t="s">
        <v>1523</v>
      </c>
      <c r="B3908">
        <v>0</v>
      </c>
      <c r="C3908" s="44">
        <v>3000</v>
      </c>
      <c r="D3908" t="s">
        <v>293</v>
      </c>
      <c r="E3908" t="s">
        <v>256</v>
      </c>
      <c r="F3908">
        <v>4</v>
      </c>
    </row>
    <row r="3909" spans="1:6" ht="13.2">
      <c r="A3909" t="s">
        <v>1524</v>
      </c>
      <c r="B3909">
        <v>0</v>
      </c>
      <c r="C3909" s="44">
        <v>3000</v>
      </c>
      <c r="D3909" t="s">
        <v>293</v>
      </c>
      <c r="E3909" t="s">
        <v>256</v>
      </c>
      <c r="F3909">
        <v>4</v>
      </c>
    </row>
    <row r="3910" spans="1:6" ht="13.2">
      <c r="A3910" t="s">
        <v>1525</v>
      </c>
      <c r="B3910">
        <v>0</v>
      </c>
      <c r="C3910" s="44">
        <v>3000</v>
      </c>
      <c r="D3910" t="s">
        <v>293</v>
      </c>
      <c r="E3910" t="s">
        <v>256</v>
      </c>
      <c r="F3910">
        <v>4</v>
      </c>
    </row>
    <row r="3911" spans="1:6" ht="13.2">
      <c r="A3911" t="s">
        <v>1526</v>
      </c>
      <c r="B3911">
        <v>0</v>
      </c>
      <c r="C3911" s="44">
        <v>3000</v>
      </c>
      <c r="D3911" t="s">
        <v>293</v>
      </c>
      <c r="E3911" t="s">
        <v>256</v>
      </c>
      <c r="F3911">
        <v>4</v>
      </c>
    </row>
    <row r="3912" spans="1:6" ht="13.2">
      <c r="A3912" t="s">
        <v>1527</v>
      </c>
      <c r="B3912">
        <v>0</v>
      </c>
      <c r="C3912" s="44">
        <v>3000</v>
      </c>
      <c r="D3912" t="s">
        <v>293</v>
      </c>
      <c r="E3912" t="s">
        <v>256</v>
      </c>
      <c r="F3912">
        <v>4</v>
      </c>
    </row>
    <row r="3913" spans="1:6" ht="13.2">
      <c r="A3913" t="s">
        <v>6238</v>
      </c>
      <c r="B3913">
        <v>0</v>
      </c>
      <c r="C3913" s="44" t="s">
        <v>201</v>
      </c>
      <c r="D3913" t="s">
        <v>293</v>
      </c>
      <c r="E3913" t="s">
        <v>6239</v>
      </c>
      <c r="F3913">
        <v>4</v>
      </c>
    </row>
    <row r="3914" spans="1:6" ht="13.2">
      <c r="A3914" t="s">
        <v>6240</v>
      </c>
      <c r="B3914">
        <v>0</v>
      </c>
      <c r="C3914" s="44" t="s">
        <v>201</v>
      </c>
      <c r="D3914" t="s">
        <v>293</v>
      </c>
      <c r="E3914" t="s">
        <v>6239</v>
      </c>
      <c r="F3914">
        <v>4</v>
      </c>
    </row>
    <row r="3915" spans="1:6" ht="13.2">
      <c r="A3915" t="s">
        <v>6241</v>
      </c>
      <c r="B3915">
        <v>0</v>
      </c>
      <c r="C3915" s="44" t="s">
        <v>201</v>
      </c>
      <c r="D3915" t="s">
        <v>293</v>
      </c>
      <c r="E3915" t="s">
        <v>6239</v>
      </c>
      <c r="F3915">
        <v>4</v>
      </c>
    </row>
    <row r="3916" spans="1:6" ht="13.2">
      <c r="A3916" t="s">
        <v>6242</v>
      </c>
      <c r="B3916">
        <v>0</v>
      </c>
      <c r="C3916" s="44" t="s">
        <v>201</v>
      </c>
      <c r="D3916" t="s">
        <v>293</v>
      </c>
      <c r="E3916" t="s">
        <v>6239</v>
      </c>
      <c r="F3916">
        <v>4</v>
      </c>
    </row>
    <row r="3917" spans="1:6" ht="13.2">
      <c r="A3917" t="s">
        <v>6243</v>
      </c>
      <c r="B3917">
        <v>0</v>
      </c>
      <c r="C3917" s="44" t="s">
        <v>201</v>
      </c>
      <c r="D3917" t="s">
        <v>293</v>
      </c>
      <c r="E3917" t="s">
        <v>6239</v>
      </c>
      <c r="F3917">
        <v>4</v>
      </c>
    </row>
    <row r="3918" spans="1:6" ht="13.2">
      <c r="A3918" t="s">
        <v>6244</v>
      </c>
      <c r="B3918">
        <v>0</v>
      </c>
      <c r="C3918" s="44" t="s">
        <v>201</v>
      </c>
      <c r="D3918" t="s">
        <v>293</v>
      </c>
      <c r="E3918" t="s">
        <v>6239</v>
      </c>
      <c r="F3918">
        <v>4</v>
      </c>
    </row>
    <row r="3919" spans="1:6" ht="13.2">
      <c r="A3919" t="s">
        <v>6245</v>
      </c>
      <c r="B3919">
        <v>0</v>
      </c>
      <c r="C3919" s="44" t="s">
        <v>201</v>
      </c>
      <c r="D3919" t="s">
        <v>293</v>
      </c>
      <c r="E3919" t="s">
        <v>6239</v>
      </c>
      <c r="F3919">
        <v>4</v>
      </c>
    </row>
    <row r="3920" spans="1:6" ht="13.2">
      <c r="A3920" t="s">
        <v>6246</v>
      </c>
      <c r="B3920">
        <v>0</v>
      </c>
      <c r="C3920" s="44" t="s">
        <v>201</v>
      </c>
      <c r="D3920" t="s">
        <v>293</v>
      </c>
      <c r="E3920" t="s">
        <v>6239</v>
      </c>
      <c r="F3920">
        <v>4</v>
      </c>
    </row>
    <row r="3921" spans="1:6" ht="13.2">
      <c r="A3921" t="s">
        <v>6248</v>
      </c>
      <c r="B3921">
        <v>0</v>
      </c>
      <c r="C3921" s="44" t="s">
        <v>201</v>
      </c>
      <c r="D3921" t="s">
        <v>293</v>
      </c>
      <c r="E3921" t="s">
        <v>6239</v>
      </c>
      <c r="F3921">
        <v>4</v>
      </c>
    </row>
    <row r="3922" spans="1:6" ht="13.2">
      <c r="A3922" t="s">
        <v>6247</v>
      </c>
      <c r="B3922">
        <v>0</v>
      </c>
      <c r="C3922" s="44" t="s">
        <v>201</v>
      </c>
      <c r="D3922" t="s">
        <v>293</v>
      </c>
      <c r="E3922" t="s">
        <v>6239</v>
      </c>
      <c r="F3922">
        <v>4</v>
      </c>
    </row>
    <row r="3923" spans="1:6" ht="13.2">
      <c r="A3923" t="s">
        <v>4345</v>
      </c>
      <c r="B3923">
        <v>0</v>
      </c>
      <c r="C3923" s="44">
        <v>1400</v>
      </c>
      <c r="D3923" t="s">
        <v>291</v>
      </c>
      <c r="E3923" t="s">
        <v>256</v>
      </c>
      <c r="F3923">
        <v>4</v>
      </c>
    </row>
    <row r="3924" spans="1:6" ht="13.2">
      <c r="A3924" t="s">
        <v>4346</v>
      </c>
      <c r="B3924">
        <v>0</v>
      </c>
      <c r="C3924" s="44">
        <v>1400</v>
      </c>
      <c r="D3924" t="s">
        <v>291</v>
      </c>
      <c r="E3924" t="s">
        <v>256</v>
      </c>
      <c r="F3924">
        <v>4</v>
      </c>
    </row>
    <row r="3925" spans="1:6" ht="13.2">
      <c r="A3925" t="s">
        <v>4347</v>
      </c>
      <c r="B3925">
        <v>0</v>
      </c>
      <c r="C3925" s="44">
        <v>1400</v>
      </c>
      <c r="D3925" t="s">
        <v>291</v>
      </c>
      <c r="E3925" t="s">
        <v>256</v>
      </c>
      <c r="F3925">
        <v>4</v>
      </c>
    </row>
    <row r="3926" spans="1:6" ht="13.2">
      <c r="A3926" t="s">
        <v>4348</v>
      </c>
      <c r="B3926">
        <v>0</v>
      </c>
      <c r="C3926" s="44">
        <v>1400</v>
      </c>
      <c r="D3926" t="s">
        <v>291</v>
      </c>
      <c r="E3926" t="s">
        <v>256</v>
      </c>
      <c r="F3926">
        <v>4</v>
      </c>
    </row>
    <row r="3927" spans="1:6" ht="13.2">
      <c r="A3927" t="s">
        <v>4349</v>
      </c>
      <c r="B3927">
        <v>0</v>
      </c>
      <c r="C3927" s="44">
        <v>1400</v>
      </c>
      <c r="D3927" t="s">
        <v>291</v>
      </c>
      <c r="E3927" t="s">
        <v>256</v>
      </c>
      <c r="F3927">
        <v>4</v>
      </c>
    </row>
    <row r="3928" spans="1:6" ht="13.2">
      <c r="A3928" t="s">
        <v>4350</v>
      </c>
      <c r="B3928">
        <v>0</v>
      </c>
      <c r="C3928" s="44">
        <v>1400</v>
      </c>
      <c r="D3928" t="s">
        <v>291</v>
      </c>
      <c r="E3928" t="s">
        <v>256</v>
      </c>
      <c r="F3928">
        <v>4</v>
      </c>
    </row>
    <row r="3929" spans="1:6" ht="13.2">
      <c r="A3929" t="s">
        <v>4351</v>
      </c>
      <c r="B3929">
        <v>0</v>
      </c>
      <c r="C3929" s="44">
        <v>1400</v>
      </c>
      <c r="D3929" t="s">
        <v>291</v>
      </c>
      <c r="E3929" t="s">
        <v>256</v>
      </c>
      <c r="F3929">
        <v>4</v>
      </c>
    </row>
    <row r="3930" spans="1:6" ht="13.2">
      <c r="A3930" t="s">
        <v>4352</v>
      </c>
      <c r="B3930">
        <v>0</v>
      </c>
      <c r="C3930" s="44">
        <v>1400</v>
      </c>
      <c r="D3930" t="s">
        <v>291</v>
      </c>
      <c r="E3930" t="s">
        <v>256</v>
      </c>
      <c r="F3930">
        <v>4</v>
      </c>
    </row>
    <row r="3931" spans="1:6" ht="13.2">
      <c r="A3931" t="s">
        <v>4353</v>
      </c>
      <c r="B3931">
        <v>0</v>
      </c>
      <c r="C3931" s="44">
        <v>1400</v>
      </c>
      <c r="D3931" t="s">
        <v>291</v>
      </c>
      <c r="E3931" t="s">
        <v>256</v>
      </c>
      <c r="F3931">
        <v>4</v>
      </c>
    </row>
    <row r="3932" spans="1:6" ht="13.2">
      <c r="A3932" t="s">
        <v>4354</v>
      </c>
      <c r="B3932">
        <v>0</v>
      </c>
      <c r="C3932" s="44">
        <v>1400</v>
      </c>
      <c r="D3932" t="s">
        <v>291</v>
      </c>
      <c r="E3932" t="s">
        <v>256</v>
      </c>
      <c r="F3932">
        <v>4</v>
      </c>
    </row>
    <row r="3933" spans="1:6" ht="13.2">
      <c r="A3933" t="s">
        <v>4355</v>
      </c>
      <c r="B3933">
        <v>0</v>
      </c>
      <c r="C3933" s="44">
        <v>1400</v>
      </c>
      <c r="D3933" t="s">
        <v>291</v>
      </c>
      <c r="E3933" t="s">
        <v>256</v>
      </c>
      <c r="F3933">
        <v>4</v>
      </c>
    </row>
    <row r="3934" spans="1:6" ht="13.2">
      <c r="A3934" t="s">
        <v>4356</v>
      </c>
      <c r="B3934">
        <v>0</v>
      </c>
      <c r="C3934" s="44">
        <v>1400</v>
      </c>
      <c r="D3934" t="s">
        <v>291</v>
      </c>
      <c r="E3934" t="s">
        <v>256</v>
      </c>
      <c r="F3934">
        <v>4</v>
      </c>
    </row>
    <row r="3935" spans="1:6" ht="13.2">
      <c r="A3935" t="s">
        <v>4357</v>
      </c>
      <c r="B3935">
        <v>0</v>
      </c>
      <c r="C3935" s="44">
        <v>1400</v>
      </c>
      <c r="D3935" t="s">
        <v>291</v>
      </c>
      <c r="E3935" t="s">
        <v>256</v>
      </c>
      <c r="F3935">
        <v>4</v>
      </c>
    </row>
    <row r="3936" spans="1:6" ht="13.2">
      <c r="A3936" t="s">
        <v>4358</v>
      </c>
      <c r="B3936">
        <v>0</v>
      </c>
      <c r="C3936" s="44">
        <v>1400</v>
      </c>
      <c r="D3936" t="s">
        <v>291</v>
      </c>
      <c r="E3936" t="s">
        <v>256</v>
      </c>
      <c r="F3936">
        <v>4</v>
      </c>
    </row>
    <row r="3937" spans="1:6" ht="13.2">
      <c r="A3937" t="s">
        <v>4359</v>
      </c>
      <c r="B3937">
        <v>0</v>
      </c>
      <c r="C3937" s="44">
        <v>1400</v>
      </c>
      <c r="D3937" t="s">
        <v>291</v>
      </c>
      <c r="E3937" t="s">
        <v>256</v>
      </c>
      <c r="F3937">
        <v>4</v>
      </c>
    </row>
    <row r="3938" spans="1:6" ht="13.2">
      <c r="A3938" t="s">
        <v>4360</v>
      </c>
      <c r="B3938">
        <v>0</v>
      </c>
      <c r="C3938" s="44">
        <v>1400</v>
      </c>
      <c r="D3938" t="s">
        <v>291</v>
      </c>
      <c r="E3938" t="s">
        <v>256</v>
      </c>
      <c r="F3938">
        <v>4</v>
      </c>
    </row>
    <row r="3939" spans="1:6" ht="13.2">
      <c r="A3939" t="s">
        <v>4361</v>
      </c>
      <c r="B3939">
        <v>0</v>
      </c>
      <c r="C3939" s="44">
        <v>1400</v>
      </c>
      <c r="D3939" t="s">
        <v>291</v>
      </c>
      <c r="E3939" t="s">
        <v>256</v>
      </c>
      <c r="F3939">
        <v>4</v>
      </c>
    </row>
    <row r="3940" spans="1:6" ht="13.2">
      <c r="A3940" t="s">
        <v>4362</v>
      </c>
      <c r="B3940">
        <v>0</v>
      </c>
      <c r="C3940" s="44">
        <v>1400</v>
      </c>
      <c r="D3940" t="s">
        <v>291</v>
      </c>
      <c r="E3940" t="s">
        <v>256</v>
      </c>
      <c r="F3940">
        <v>4</v>
      </c>
    </row>
    <row r="3941" spans="1:6" ht="13.2">
      <c r="A3941" t="s">
        <v>4363</v>
      </c>
      <c r="B3941">
        <v>0</v>
      </c>
      <c r="C3941" s="44">
        <v>1400</v>
      </c>
      <c r="D3941" t="s">
        <v>291</v>
      </c>
      <c r="E3941" t="s">
        <v>256</v>
      </c>
      <c r="F3941">
        <v>4</v>
      </c>
    </row>
    <row r="3942" spans="1:6" ht="13.2">
      <c r="A3942" t="s">
        <v>4364</v>
      </c>
      <c r="B3942">
        <v>0</v>
      </c>
      <c r="C3942" s="44">
        <v>1400</v>
      </c>
      <c r="D3942" t="s">
        <v>291</v>
      </c>
      <c r="E3942" t="s">
        <v>256</v>
      </c>
      <c r="F3942">
        <v>4</v>
      </c>
    </row>
    <row r="3943" spans="1:6" ht="13.2">
      <c r="A3943" t="s">
        <v>4365</v>
      </c>
      <c r="B3943">
        <v>0</v>
      </c>
      <c r="C3943" s="44">
        <v>1400</v>
      </c>
      <c r="D3943" t="s">
        <v>291</v>
      </c>
      <c r="E3943" t="s">
        <v>256</v>
      </c>
      <c r="F3943">
        <v>4</v>
      </c>
    </row>
    <row r="3944" spans="1:6" ht="13.2">
      <c r="A3944" t="s">
        <v>4366</v>
      </c>
      <c r="B3944">
        <v>0</v>
      </c>
      <c r="C3944" s="44">
        <v>1400</v>
      </c>
      <c r="D3944" t="s">
        <v>291</v>
      </c>
      <c r="E3944" t="s">
        <v>256</v>
      </c>
      <c r="F3944">
        <v>4</v>
      </c>
    </row>
    <row r="3945" spans="1:6" ht="13.2">
      <c r="A3945" t="s">
        <v>3463</v>
      </c>
      <c r="B3945">
        <v>0</v>
      </c>
      <c r="C3945" s="44">
        <v>1400</v>
      </c>
      <c r="D3945" t="s">
        <v>291</v>
      </c>
      <c r="E3945" t="s">
        <v>256</v>
      </c>
      <c r="F3945">
        <v>4</v>
      </c>
    </row>
    <row r="3946" spans="1:6" ht="13.2">
      <c r="A3946" t="s">
        <v>3464</v>
      </c>
      <c r="B3946">
        <v>0</v>
      </c>
      <c r="C3946" s="44">
        <v>1400</v>
      </c>
      <c r="D3946" t="s">
        <v>291</v>
      </c>
      <c r="E3946" t="s">
        <v>256</v>
      </c>
      <c r="F3946">
        <v>4</v>
      </c>
    </row>
    <row r="3947" spans="1:6" ht="13.2">
      <c r="A3947" t="s">
        <v>3465</v>
      </c>
      <c r="B3947">
        <v>0</v>
      </c>
      <c r="C3947" s="44">
        <v>1400</v>
      </c>
      <c r="D3947" t="s">
        <v>291</v>
      </c>
      <c r="E3947" t="s">
        <v>256</v>
      </c>
      <c r="F3947">
        <v>4</v>
      </c>
    </row>
    <row r="3948" spans="1:6" ht="13.2">
      <c r="A3948" t="s">
        <v>3466</v>
      </c>
      <c r="B3948">
        <v>0</v>
      </c>
      <c r="C3948" s="44">
        <v>1400</v>
      </c>
      <c r="D3948" t="s">
        <v>291</v>
      </c>
      <c r="E3948" t="s">
        <v>256</v>
      </c>
      <c r="F3948">
        <v>4</v>
      </c>
    </row>
    <row r="3949" spans="1:6" ht="13.2">
      <c r="A3949" t="s">
        <v>3467</v>
      </c>
      <c r="B3949">
        <v>0</v>
      </c>
      <c r="C3949" s="44">
        <v>1400</v>
      </c>
      <c r="D3949" t="s">
        <v>291</v>
      </c>
      <c r="E3949" t="s">
        <v>256</v>
      </c>
      <c r="F3949">
        <v>4</v>
      </c>
    </row>
    <row r="3950" spans="1:6" ht="13.2">
      <c r="A3950" t="s">
        <v>3468</v>
      </c>
      <c r="B3950">
        <v>0</v>
      </c>
      <c r="C3950" s="44">
        <v>1400</v>
      </c>
      <c r="D3950" t="s">
        <v>291</v>
      </c>
      <c r="E3950" t="s">
        <v>256</v>
      </c>
      <c r="F3950">
        <v>4</v>
      </c>
    </row>
    <row r="3951" spans="1:6" ht="13.2">
      <c r="A3951" t="s">
        <v>3469</v>
      </c>
      <c r="B3951">
        <v>0</v>
      </c>
      <c r="C3951" s="44">
        <v>1400</v>
      </c>
      <c r="D3951" t="s">
        <v>291</v>
      </c>
      <c r="E3951" t="s">
        <v>256</v>
      </c>
      <c r="F3951">
        <v>4</v>
      </c>
    </row>
    <row r="3952" spans="1:6" ht="13.2">
      <c r="A3952" t="s">
        <v>3878</v>
      </c>
      <c r="B3952">
        <v>12</v>
      </c>
      <c r="C3952" s="44">
        <v>1400</v>
      </c>
      <c r="D3952" t="s">
        <v>291</v>
      </c>
      <c r="E3952" t="s">
        <v>3879</v>
      </c>
      <c r="F3952">
        <v>3</v>
      </c>
    </row>
    <row r="3953" spans="1:6" ht="13.2">
      <c r="A3953" t="s">
        <v>3880</v>
      </c>
      <c r="B3953">
        <v>12</v>
      </c>
      <c r="C3953" s="44">
        <v>1400</v>
      </c>
      <c r="D3953" t="s">
        <v>291</v>
      </c>
      <c r="E3953" t="s">
        <v>3879</v>
      </c>
      <c r="F3953">
        <v>3</v>
      </c>
    </row>
    <row r="3954" spans="1:6" ht="13.2">
      <c r="A3954" t="s">
        <v>3881</v>
      </c>
      <c r="B3954">
        <v>12</v>
      </c>
      <c r="C3954" s="44">
        <v>1400</v>
      </c>
      <c r="D3954" t="s">
        <v>291</v>
      </c>
      <c r="E3954" t="s">
        <v>3879</v>
      </c>
      <c r="F3954">
        <v>3</v>
      </c>
    </row>
    <row r="3955" spans="1:6" ht="13.2">
      <c r="A3955" t="s">
        <v>3882</v>
      </c>
      <c r="B3955">
        <v>12</v>
      </c>
      <c r="C3955" s="44">
        <v>1400</v>
      </c>
      <c r="D3955" t="s">
        <v>291</v>
      </c>
      <c r="E3955" t="s">
        <v>3879</v>
      </c>
      <c r="F3955">
        <v>3</v>
      </c>
    </row>
    <row r="3956" spans="1:6" ht="13.2">
      <c r="A3956" t="s">
        <v>3883</v>
      </c>
      <c r="B3956">
        <v>12</v>
      </c>
      <c r="C3956" s="44">
        <v>1400</v>
      </c>
      <c r="D3956" t="s">
        <v>291</v>
      </c>
      <c r="E3956" t="s">
        <v>3879</v>
      </c>
      <c r="F3956">
        <v>3</v>
      </c>
    </row>
    <row r="3957" spans="1:6" ht="13.2">
      <c r="A3957" t="s">
        <v>3884</v>
      </c>
      <c r="B3957">
        <v>12</v>
      </c>
      <c r="C3957" s="44">
        <v>1400</v>
      </c>
      <c r="D3957" t="s">
        <v>291</v>
      </c>
      <c r="E3957" t="s">
        <v>3879</v>
      </c>
      <c r="F3957">
        <v>3</v>
      </c>
    </row>
    <row r="3958" spans="1:6" ht="13.2">
      <c r="A3958" t="s">
        <v>3885</v>
      </c>
      <c r="B3958">
        <v>12</v>
      </c>
      <c r="C3958" s="44">
        <v>1400</v>
      </c>
      <c r="D3958" t="s">
        <v>291</v>
      </c>
      <c r="E3958" t="s">
        <v>3879</v>
      </c>
      <c r="F3958">
        <v>3</v>
      </c>
    </row>
    <row r="3959" spans="1:6" ht="13.2">
      <c r="A3959" t="s">
        <v>3886</v>
      </c>
      <c r="B3959">
        <v>12</v>
      </c>
      <c r="C3959" s="44">
        <v>1400</v>
      </c>
      <c r="D3959" t="s">
        <v>291</v>
      </c>
      <c r="E3959" t="s">
        <v>3879</v>
      </c>
      <c r="F3959">
        <v>3</v>
      </c>
    </row>
    <row r="3960" spans="1:6" ht="13.2">
      <c r="A3960" t="s">
        <v>3887</v>
      </c>
      <c r="B3960">
        <v>12</v>
      </c>
      <c r="C3960" s="44">
        <v>1400</v>
      </c>
      <c r="D3960" t="s">
        <v>291</v>
      </c>
      <c r="E3960" t="s">
        <v>3879</v>
      </c>
      <c r="F3960">
        <v>3</v>
      </c>
    </row>
    <row r="3961" spans="1:6" ht="13.2">
      <c r="A3961" t="s">
        <v>3888</v>
      </c>
      <c r="B3961">
        <v>12</v>
      </c>
      <c r="C3961" s="44">
        <v>1400</v>
      </c>
      <c r="D3961" t="s">
        <v>291</v>
      </c>
      <c r="E3961" t="s">
        <v>3879</v>
      </c>
      <c r="F3961">
        <v>3</v>
      </c>
    </row>
    <row r="3962" spans="1:6" ht="13.2">
      <c r="A3962" t="s">
        <v>3889</v>
      </c>
      <c r="B3962">
        <v>12</v>
      </c>
      <c r="C3962" s="44">
        <v>1400</v>
      </c>
      <c r="D3962" t="s">
        <v>291</v>
      </c>
      <c r="E3962" t="s">
        <v>3879</v>
      </c>
      <c r="F3962">
        <v>3</v>
      </c>
    </row>
    <row r="3963" spans="1:6" ht="13.2">
      <c r="A3963" t="s">
        <v>3890</v>
      </c>
      <c r="B3963">
        <v>12</v>
      </c>
      <c r="C3963" s="44">
        <v>1400</v>
      </c>
      <c r="D3963" t="s">
        <v>291</v>
      </c>
      <c r="E3963" t="s">
        <v>3879</v>
      </c>
      <c r="F3963">
        <v>3</v>
      </c>
    </row>
    <row r="3964" spans="1:6" ht="13.2">
      <c r="A3964" t="s">
        <v>3891</v>
      </c>
      <c r="B3964">
        <v>12</v>
      </c>
      <c r="C3964" s="44">
        <v>1400</v>
      </c>
      <c r="D3964" t="s">
        <v>291</v>
      </c>
      <c r="E3964" t="s">
        <v>3879</v>
      </c>
      <c r="F3964">
        <v>3</v>
      </c>
    </row>
    <row r="3965" spans="1:6" ht="13.2">
      <c r="A3965" t="s">
        <v>1730</v>
      </c>
      <c r="B3965">
        <v>0</v>
      </c>
      <c r="C3965" s="44">
        <v>2950</v>
      </c>
      <c r="D3965" t="s">
        <v>293</v>
      </c>
      <c r="E3965" t="s">
        <v>364</v>
      </c>
      <c r="F3965">
        <v>2</v>
      </c>
    </row>
    <row r="3966" spans="1:6" ht="13.2">
      <c r="A3966" t="s">
        <v>1729</v>
      </c>
      <c r="B3966">
        <v>0</v>
      </c>
      <c r="C3966" s="44">
        <v>2950</v>
      </c>
      <c r="D3966" t="s">
        <v>293</v>
      </c>
      <c r="E3966" t="s">
        <v>364</v>
      </c>
      <c r="F3966">
        <v>2</v>
      </c>
    </row>
    <row r="3967" spans="1:6" ht="13.2">
      <c r="A3967" t="s">
        <v>1731</v>
      </c>
      <c r="B3967">
        <v>0</v>
      </c>
      <c r="C3967" s="44">
        <v>2950</v>
      </c>
      <c r="D3967" t="s">
        <v>293</v>
      </c>
      <c r="E3967" t="s">
        <v>364</v>
      </c>
      <c r="F3967">
        <v>2</v>
      </c>
    </row>
    <row r="3968" spans="1:6" ht="13.2">
      <c r="A3968" t="s">
        <v>3052</v>
      </c>
      <c r="B3968">
        <v>0</v>
      </c>
      <c r="C3968" s="44">
        <v>1370</v>
      </c>
      <c r="D3968" t="s">
        <v>291</v>
      </c>
      <c r="E3968" t="s">
        <v>655</v>
      </c>
      <c r="F3968">
        <v>4</v>
      </c>
    </row>
    <row r="3969" spans="1:6" ht="13.2">
      <c r="A3969" t="s">
        <v>3053</v>
      </c>
      <c r="B3969">
        <v>0</v>
      </c>
      <c r="C3969" s="44">
        <v>1370</v>
      </c>
      <c r="D3969" t="s">
        <v>291</v>
      </c>
      <c r="E3969" t="s">
        <v>655</v>
      </c>
      <c r="F3969">
        <v>4</v>
      </c>
    </row>
    <row r="3970" spans="1:6" ht="13.2">
      <c r="A3970" t="s">
        <v>3054</v>
      </c>
      <c r="B3970">
        <v>0</v>
      </c>
      <c r="C3970" s="44">
        <v>1370</v>
      </c>
      <c r="D3970" t="s">
        <v>291</v>
      </c>
      <c r="E3970" t="s">
        <v>655</v>
      </c>
      <c r="F3970">
        <v>4</v>
      </c>
    </row>
    <row r="3971" spans="1:6" ht="13.2">
      <c r="A3971" t="s">
        <v>3038</v>
      </c>
      <c r="B3971">
        <v>0</v>
      </c>
      <c r="C3971" s="44">
        <v>1370</v>
      </c>
      <c r="D3971" t="s">
        <v>291</v>
      </c>
      <c r="E3971" t="s">
        <v>364</v>
      </c>
      <c r="F3971">
        <v>2</v>
      </c>
    </row>
    <row r="3972" spans="1:6" ht="13.2">
      <c r="A3972" t="s">
        <v>3035</v>
      </c>
      <c r="B3972">
        <v>0</v>
      </c>
      <c r="C3972" s="44">
        <v>1370</v>
      </c>
      <c r="D3972" t="s">
        <v>291</v>
      </c>
      <c r="E3972" t="s">
        <v>364</v>
      </c>
      <c r="F3972">
        <v>2</v>
      </c>
    </row>
    <row r="3973" spans="1:6" ht="13.2">
      <c r="A3973" t="s">
        <v>3037</v>
      </c>
      <c r="B3973">
        <v>0</v>
      </c>
      <c r="C3973" s="44">
        <v>1370</v>
      </c>
      <c r="D3973" t="s">
        <v>291</v>
      </c>
      <c r="E3973" t="s">
        <v>364</v>
      </c>
      <c r="F3973">
        <v>2</v>
      </c>
    </row>
    <row r="3974" spans="1:6" ht="13.2">
      <c r="A3974" t="s">
        <v>3042</v>
      </c>
      <c r="B3974">
        <v>0</v>
      </c>
      <c r="C3974" s="44">
        <v>1370</v>
      </c>
      <c r="D3974" t="s">
        <v>291</v>
      </c>
      <c r="E3974" t="s">
        <v>364</v>
      </c>
      <c r="F3974">
        <v>2</v>
      </c>
    </row>
    <row r="3975" spans="1:6" ht="13.2">
      <c r="A3975" t="s">
        <v>3040</v>
      </c>
      <c r="B3975">
        <v>0</v>
      </c>
      <c r="C3975" s="44">
        <v>1370</v>
      </c>
      <c r="D3975" t="s">
        <v>291</v>
      </c>
      <c r="E3975" t="s">
        <v>364</v>
      </c>
      <c r="F3975">
        <v>2</v>
      </c>
    </row>
    <row r="3976" spans="1:6" ht="13.2">
      <c r="A3976" t="s">
        <v>3036</v>
      </c>
      <c r="B3976">
        <v>0</v>
      </c>
      <c r="C3976" s="44">
        <v>1370</v>
      </c>
      <c r="D3976" t="s">
        <v>291</v>
      </c>
      <c r="E3976" t="s">
        <v>364</v>
      </c>
      <c r="F3976">
        <v>2</v>
      </c>
    </row>
    <row r="3977" spans="1:6" ht="13.2">
      <c r="A3977" t="s">
        <v>3043</v>
      </c>
      <c r="B3977">
        <v>0</v>
      </c>
      <c r="C3977" s="44">
        <v>1370</v>
      </c>
      <c r="D3977" t="s">
        <v>291</v>
      </c>
      <c r="E3977" t="s">
        <v>364</v>
      </c>
      <c r="F3977">
        <v>2</v>
      </c>
    </row>
    <row r="3978" spans="1:6" ht="13.2">
      <c r="A3978" t="s">
        <v>3041</v>
      </c>
      <c r="B3978">
        <v>0</v>
      </c>
      <c r="C3978" s="44">
        <v>1370</v>
      </c>
      <c r="D3978" t="s">
        <v>291</v>
      </c>
      <c r="E3978" t="s">
        <v>364</v>
      </c>
      <c r="F3978">
        <v>2</v>
      </c>
    </row>
    <row r="3979" spans="1:6" ht="13.2">
      <c r="A3979" t="s">
        <v>3044</v>
      </c>
      <c r="B3979">
        <v>0</v>
      </c>
      <c r="C3979" s="44">
        <v>1370</v>
      </c>
      <c r="D3979" t="s">
        <v>291</v>
      </c>
      <c r="E3979" t="s">
        <v>364</v>
      </c>
      <c r="F3979">
        <v>2</v>
      </c>
    </row>
    <row r="3980" spans="1:6" ht="13.2">
      <c r="A3980" t="s">
        <v>3034</v>
      </c>
      <c r="B3980">
        <v>0</v>
      </c>
      <c r="C3980" s="44">
        <v>1370</v>
      </c>
      <c r="D3980" t="s">
        <v>291</v>
      </c>
      <c r="E3980" t="s">
        <v>364</v>
      </c>
      <c r="F3980">
        <v>2</v>
      </c>
    </row>
    <row r="3981" spans="1:6" ht="13.2">
      <c r="A3981" t="s">
        <v>3039</v>
      </c>
      <c r="B3981">
        <v>0</v>
      </c>
      <c r="C3981" s="44">
        <v>1370</v>
      </c>
      <c r="D3981" t="s">
        <v>291</v>
      </c>
      <c r="E3981" t="s">
        <v>364</v>
      </c>
      <c r="F3981">
        <v>2</v>
      </c>
    </row>
    <row r="3982" spans="1:6" ht="13.2">
      <c r="A3982" t="s">
        <v>3033</v>
      </c>
      <c r="B3982">
        <v>0</v>
      </c>
      <c r="C3982" s="44">
        <v>1370</v>
      </c>
      <c r="D3982" t="s">
        <v>291</v>
      </c>
      <c r="E3982" t="s">
        <v>364</v>
      </c>
      <c r="F3982">
        <v>2</v>
      </c>
    </row>
    <row r="3983" spans="1:6" ht="13.2">
      <c r="A3983" t="s">
        <v>3045</v>
      </c>
      <c r="B3983">
        <v>0</v>
      </c>
      <c r="C3983" s="44">
        <v>1370</v>
      </c>
      <c r="D3983" t="s">
        <v>291</v>
      </c>
      <c r="E3983" t="s">
        <v>364</v>
      </c>
      <c r="F3983">
        <v>2</v>
      </c>
    </row>
    <row r="3984" spans="1:6" ht="13.2">
      <c r="A3984" t="s">
        <v>6046</v>
      </c>
      <c r="B3984">
        <v>0</v>
      </c>
      <c r="C3984" s="44">
        <v>1370</v>
      </c>
      <c r="D3984" t="s">
        <v>291</v>
      </c>
      <c r="E3984" t="s">
        <v>577</v>
      </c>
      <c r="F3984" t="s">
        <v>622</v>
      </c>
    </row>
    <row r="3985" spans="1:5" ht="13.2">
      <c r="A3985" t="s">
        <v>2955</v>
      </c>
      <c r="B3985">
        <v>0</v>
      </c>
      <c r="C3985" s="44">
        <v>1370</v>
      </c>
      <c r="D3985" t="s">
        <v>291</v>
      </c>
      <c r="E3985" t="s">
        <v>629</v>
      </c>
    </row>
    <row r="3986" spans="1:5" ht="13.2">
      <c r="A3986" t="s">
        <v>2962</v>
      </c>
      <c r="B3986">
        <v>0</v>
      </c>
      <c r="C3986" s="44">
        <v>1370</v>
      </c>
      <c r="D3986" t="s">
        <v>291</v>
      </c>
      <c r="E3986" t="s">
        <v>629</v>
      </c>
    </row>
    <row r="3987" spans="1:5" ht="13.2">
      <c r="A3987" t="s">
        <v>2968</v>
      </c>
      <c r="B3987">
        <v>0</v>
      </c>
      <c r="C3987" s="44">
        <v>1370</v>
      </c>
      <c r="D3987" t="s">
        <v>291</v>
      </c>
      <c r="E3987" t="s">
        <v>629</v>
      </c>
    </row>
    <row r="3988" spans="1:5" ht="13.2">
      <c r="A3988" t="s">
        <v>2954</v>
      </c>
      <c r="B3988">
        <v>0</v>
      </c>
      <c r="C3988" s="44">
        <v>1370</v>
      </c>
      <c r="D3988" t="s">
        <v>291</v>
      </c>
      <c r="E3988" t="s">
        <v>629</v>
      </c>
    </row>
    <row r="3989" spans="1:5" ht="13.2">
      <c r="A3989" t="s">
        <v>2947</v>
      </c>
      <c r="B3989">
        <v>0</v>
      </c>
      <c r="C3989" s="44">
        <v>1370</v>
      </c>
      <c r="D3989" t="s">
        <v>291</v>
      </c>
      <c r="E3989" t="s">
        <v>629</v>
      </c>
    </row>
    <row r="3990" spans="1:5" ht="13.2">
      <c r="A3990" t="s">
        <v>2966</v>
      </c>
      <c r="B3990">
        <v>0</v>
      </c>
      <c r="C3990" s="44">
        <v>1370</v>
      </c>
      <c r="D3990" t="s">
        <v>291</v>
      </c>
      <c r="E3990" t="s">
        <v>629</v>
      </c>
    </row>
    <row r="3991" spans="1:5" ht="13.2">
      <c r="A3991" t="s">
        <v>2951</v>
      </c>
      <c r="B3991">
        <v>0</v>
      </c>
      <c r="C3991" s="44">
        <v>1370</v>
      </c>
      <c r="D3991" t="s">
        <v>291</v>
      </c>
      <c r="E3991" t="s">
        <v>629</v>
      </c>
    </row>
    <row r="3992" spans="1:5" ht="13.2">
      <c r="A3992" t="s">
        <v>2961</v>
      </c>
      <c r="B3992">
        <v>0</v>
      </c>
      <c r="C3992" s="44">
        <v>1370</v>
      </c>
      <c r="D3992" t="s">
        <v>291</v>
      </c>
      <c r="E3992" t="s">
        <v>629</v>
      </c>
    </row>
    <row r="3993" spans="1:5" ht="13.2">
      <c r="A3993" t="s">
        <v>2956</v>
      </c>
      <c r="B3993">
        <v>0</v>
      </c>
      <c r="C3993" s="44">
        <v>1370</v>
      </c>
      <c r="D3993" t="s">
        <v>291</v>
      </c>
      <c r="E3993" t="s">
        <v>629</v>
      </c>
    </row>
    <row r="3994" spans="1:5" ht="13.2">
      <c r="A3994" t="s">
        <v>2950</v>
      </c>
      <c r="B3994">
        <v>0</v>
      </c>
      <c r="C3994" s="44">
        <v>1370</v>
      </c>
      <c r="D3994" t="s">
        <v>291</v>
      </c>
      <c r="E3994" t="s">
        <v>629</v>
      </c>
    </row>
    <row r="3995" spans="1:5" ht="13.2">
      <c r="A3995" t="s">
        <v>2959</v>
      </c>
      <c r="B3995">
        <v>0</v>
      </c>
      <c r="C3995" s="44">
        <v>1370</v>
      </c>
      <c r="D3995" t="s">
        <v>291</v>
      </c>
      <c r="E3995" t="s">
        <v>629</v>
      </c>
    </row>
    <row r="3996" spans="1:5" ht="13.2">
      <c r="A3996" t="s">
        <v>2957</v>
      </c>
      <c r="B3996">
        <v>0</v>
      </c>
      <c r="C3996" s="44">
        <v>1370</v>
      </c>
      <c r="D3996" t="s">
        <v>291</v>
      </c>
      <c r="E3996" t="s">
        <v>629</v>
      </c>
    </row>
    <row r="3997" spans="1:5" ht="13.2">
      <c r="A3997" t="s">
        <v>2958</v>
      </c>
      <c r="B3997">
        <v>0</v>
      </c>
      <c r="C3997" s="44">
        <v>1370</v>
      </c>
      <c r="D3997" t="s">
        <v>291</v>
      </c>
      <c r="E3997" t="s">
        <v>629</v>
      </c>
    </row>
    <row r="3998" spans="1:5" ht="13.2">
      <c r="A3998" t="s">
        <v>2960</v>
      </c>
      <c r="B3998">
        <v>0</v>
      </c>
      <c r="C3998" s="44">
        <v>1370</v>
      </c>
      <c r="D3998" t="s">
        <v>291</v>
      </c>
      <c r="E3998" t="s">
        <v>629</v>
      </c>
    </row>
    <row r="3999" spans="1:5" ht="13.2">
      <c r="A3999" t="s">
        <v>2949</v>
      </c>
      <c r="B3999">
        <v>0</v>
      </c>
      <c r="C3999" s="44">
        <v>1370</v>
      </c>
      <c r="D3999" t="s">
        <v>291</v>
      </c>
      <c r="E3999" t="s">
        <v>629</v>
      </c>
    </row>
    <row r="4000" spans="1:5" ht="13.2">
      <c r="A4000" t="s">
        <v>2953</v>
      </c>
      <c r="B4000">
        <v>0</v>
      </c>
      <c r="C4000" s="44">
        <v>1370</v>
      </c>
      <c r="D4000" t="s">
        <v>291</v>
      </c>
      <c r="E4000" t="s">
        <v>629</v>
      </c>
    </row>
    <row r="4001" spans="1:5" ht="13.2">
      <c r="A4001" t="s">
        <v>2952</v>
      </c>
      <c r="B4001">
        <v>0</v>
      </c>
      <c r="C4001" s="44">
        <v>1370</v>
      </c>
      <c r="D4001" t="s">
        <v>291</v>
      </c>
      <c r="E4001" t="s">
        <v>629</v>
      </c>
    </row>
    <row r="4002" spans="1:5" ht="13.2">
      <c r="A4002" t="s">
        <v>2967</v>
      </c>
      <c r="B4002">
        <v>0</v>
      </c>
      <c r="C4002" s="44">
        <v>1370</v>
      </c>
      <c r="D4002" t="s">
        <v>291</v>
      </c>
      <c r="E4002" t="s">
        <v>629</v>
      </c>
    </row>
    <row r="4003" spans="1:5" ht="13.2">
      <c r="A4003" t="s">
        <v>2965</v>
      </c>
      <c r="B4003">
        <v>0</v>
      </c>
      <c r="C4003" s="44">
        <v>1370</v>
      </c>
      <c r="D4003" t="s">
        <v>291</v>
      </c>
      <c r="E4003" t="s">
        <v>629</v>
      </c>
    </row>
    <row r="4004" spans="1:5" ht="13.2">
      <c r="A4004" t="s">
        <v>2964</v>
      </c>
      <c r="B4004">
        <v>0</v>
      </c>
      <c r="C4004" s="44">
        <v>1370</v>
      </c>
      <c r="D4004" t="s">
        <v>291</v>
      </c>
      <c r="E4004" t="s">
        <v>629</v>
      </c>
    </row>
    <row r="4005" spans="1:5" ht="13.2">
      <c r="A4005" t="s">
        <v>2963</v>
      </c>
      <c r="B4005">
        <v>0</v>
      </c>
      <c r="C4005" s="44">
        <v>1370</v>
      </c>
      <c r="D4005" t="s">
        <v>291</v>
      </c>
      <c r="E4005" t="s">
        <v>629</v>
      </c>
    </row>
    <row r="4006" spans="1:5" ht="13.2">
      <c r="A4006" t="s">
        <v>2970</v>
      </c>
      <c r="B4006">
        <v>0</v>
      </c>
      <c r="C4006" s="44">
        <v>1370</v>
      </c>
      <c r="D4006" t="s">
        <v>291</v>
      </c>
      <c r="E4006" t="s">
        <v>629</v>
      </c>
    </row>
    <row r="4007" spans="1:5" ht="13.2">
      <c r="A4007" t="s">
        <v>2969</v>
      </c>
      <c r="B4007">
        <v>0</v>
      </c>
      <c r="C4007" s="44">
        <v>1370</v>
      </c>
      <c r="D4007" t="s">
        <v>291</v>
      </c>
      <c r="E4007" t="s">
        <v>629</v>
      </c>
    </row>
    <row r="4008" spans="1:5" ht="13.2">
      <c r="A4008" t="s">
        <v>2948</v>
      </c>
      <c r="B4008">
        <v>0</v>
      </c>
      <c r="C4008" s="44">
        <v>1370</v>
      </c>
      <c r="D4008" t="s">
        <v>291</v>
      </c>
      <c r="E4008" t="s">
        <v>629</v>
      </c>
    </row>
    <row r="4009" spans="1:6" ht="13.2">
      <c r="A4009" t="s">
        <v>3028</v>
      </c>
      <c r="B4009">
        <v>0</v>
      </c>
      <c r="C4009" s="44">
        <v>1370</v>
      </c>
      <c r="D4009" t="s">
        <v>291</v>
      </c>
      <c r="E4009" t="s">
        <v>577</v>
      </c>
      <c r="F4009" t="s">
        <v>622</v>
      </c>
    </row>
    <row r="4010" spans="1:6" ht="13.2">
      <c r="A4010" t="s">
        <v>3029</v>
      </c>
      <c r="B4010">
        <v>0</v>
      </c>
      <c r="C4010" s="44">
        <v>1370</v>
      </c>
      <c r="D4010" t="s">
        <v>291</v>
      </c>
      <c r="E4010" t="s">
        <v>577</v>
      </c>
      <c r="F4010" t="s">
        <v>622</v>
      </c>
    </row>
    <row r="4011" spans="1:6" ht="13.2">
      <c r="A4011" t="s">
        <v>3030</v>
      </c>
      <c r="B4011">
        <v>0</v>
      </c>
      <c r="C4011" s="44">
        <v>1370</v>
      </c>
      <c r="D4011" t="s">
        <v>291</v>
      </c>
      <c r="E4011" t="s">
        <v>577</v>
      </c>
      <c r="F4011" t="s">
        <v>622</v>
      </c>
    </row>
    <row r="4012" spans="1:6" ht="13.2">
      <c r="A4012" t="s">
        <v>3031</v>
      </c>
      <c r="B4012">
        <v>0</v>
      </c>
      <c r="C4012" s="44">
        <v>1370</v>
      </c>
      <c r="D4012" t="s">
        <v>291</v>
      </c>
      <c r="E4012" t="s">
        <v>577</v>
      </c>
      <c r="F4012" t="s">
        <v>622</v>
      </c>
    </row>
    <row r="4013" spans="1:6" ht="13.2">
      <c r="A4013" t="s">
        <v>3032</v>
      </c>
      <c r="B4013">
        <v>0</v>
      </c>
      <c r="C4013" s="44">
        <v>1370</v>
      </c>
      <c r="D4013" t="s">
        <v>291</v>
      </c>
      <c r="E4013" t="s">
        <v>577</v>
      </c>
      <c r="F4013" t="s">
        <v>622</v>
      </c>
    </row>
    <row r="4014" spans="1:6" ht="13.2">
      <c r="A4014" t="s">
        <v>3027</v>
      </c>
      <c r="B4014">
        <v>0</v>
      </c>
      <c r="C4014" s="44">
        <v>1370</v>
      </c>
      <c r="D4014" t="s">
        <v>291</v>
      </c>
      <c r="E4014" t="s">
        <v>577</v>
      </c>
      <c r="F4014" t="s">
        <v>622</v>
      </c>
    </row>
    <row r="4015" spans="1:6" ht="13.2">
      <c r="A4015" t="s">
        <v>4745</v>
      </c>
      <c r="B4015">
        <v>0</v>
      </c>
      <c r="C4015" s="44">
        <v>1400</v>
      </c>
      <c r="D4015" t="s">
        <v>291</v>
      </c>
      <c r="E4015" t="s">
        <v>256</v>
      </c>
      <c r="F4015">
        <v>4</v>
      </c>
    </row>
    <row r="4016" spans="1:6" ht="13.2">
      <c r="A4016" t="s">
        <v>4746</v>
      </c>
      <c r="B4016">
        <v>0</v>
      </c>
      <c r="C4016" s="44">
        <v>1400</v>
      </c>
      <c r="D4016" t="s">
        <v>291</v>
      </c>
      <c r="E4016" t="s">
        <v>256</v>
      </c>
      <c r="F4016">
        <v>4</v>
      </c>
    </row>
    <row r="4017" spans="1:6" ht="13.2">
      <c r="A4017" t="s">
        <v>4747</v>
      </c>
      <c r="B4017">
        <v>0</v>
      </c>
      <c r="C4017" s="44">
        <v>1400</v>
      </c>
      <c r="D4017" t="s">
        <v>291</v>
      </c>
      <c r="E4017" t="s">
        <v>256</v>
      </c>
      <c r="F4017">
        <v>4</v>
      </c>
    </row>
    <row r="4018" spans="1:6" ht="13.2">
      <c r="A4018" t="s">
        <v>4748</v>
      </c>
      <c r="B4018">
        <v>0</v>
      </c>
      <c r="C4018" s="44">
        <v>1400</v>
      </c>
      <c r="D4018" t="s">
        <v>291</v>
      </c>
      <c r="E4018" t="s">
        <v>256</v>
      </c>
      <c r="F4018">
        <v>4</v>
      </c>
    </row>
    <row r="4019" spans="1:6" ht="13.2">
      <c r="A4019" t="s">
        <v>4749</v>
      </c>
      <c r="B4019">
        <v>0</v>
      </c>
      <c r="C4019" s="44">
        <v>1400</v>
      </c>
      <c r="D4019" t="s">
        <v>291</v>
      </c>
      <c r="E4019" t="s">
        <v>256</v>
      </c>
      <c r="F4019">
        <v>4</v>
      </c>
    </row>
    <row r="4020" spans="1:6" ht="13.2">
      <c r="A4020" t="s">
        <v>4750</v>
      </c>
      <c r="B4020">
        <v>0</v>
      </c>
      <c r="C4020" s="44">
        <v>1400</v>
      </c>
      <c r="D4020" t="s">
        <v>291</v>
      </c>
      <c r="E4020" t="s">
        <v>256</v>
      </c>
      <c r="F4020">
        <v>4</v>
      </c>
    </row>
    <row r="4021" spans="1:6" ht="13.2">
      <c r="A4021" t="s">
        <v>4751</v>
      </c>
      <c r="B4021">
        <v>0</v>
      </c>
      <c r="C4021" s="44">
        <v>1400</v>
      </c>
      <c r="D4021" t="s">
        <v>291</v>
      </c>
      <c r="E4021" t="s">
        <v>256</v>
      </c>
      <c r="F4021">
        <v>4</v>
      </c>
    </row>
    <row r="4022" spans="1:6" ht="13.2">
      <c r="A4022" t="s">
        <v>4752</v>
      </c>
      <c r="B4022">
        <v>0</v>
      </c>
      <c r="C4022" s="44">
        <v>1400</v>
      </c>
      <c r="D4022" t="s">
        <v>291</v>
      </c>
      <c r="E4022" t="s">
        <v>256</v>
      </c>
      <c r="F4022">
        <v>4</v>
      </c>
    </row>
    <row r="4023" spans="1:6" ht="13.2">
      <c r="A4023" t="s">
        <v>4753</v>
      </c>
      <c r="B4023">
        <v>0</v>
      </c>
      <c r="C4023" s="44">
        <v>1400</v>
      </c>
      <c r="D4023" t="s">
        <v>291</v>
      </c>
      <c r="E4023" t="s">
        <v>256</v>
      </c>
      <c r="F4023">
        <v>4</v>
      </c>
    </row>
    <row r="4024" spans="1:6" ht="13.2">
      <c r="A4024" t="s">
        <v>4754</v>
      </c>
      <c r="B4024">
        <v>0</v>
      </c>
      <c r="C4024" s="44">
        <v>1400</v>
      </c>
      <c r="D4024" t="s">
        <v>291</v>
      </c>
      <c r="E4024" t="s">
        <v>256</v>
      </c>
      <c r="F4024">
        <v>4</v>
      </c>
    </row>
    <row r="4025" spans="1:6" ht="13.2">
      <c r="A4025" t="s">
        <v>4755</v>
      </c>
      <c r="B4025">
        <v>0</v>
      </c>
      <c r="C4025" s="44">
        <v>1400</v>
      </c>
      <c r="D4025" t="s">
        <v>291</v>
      </c>
      <c r="E4025" t="s">
        <v>256</v>
      </c>
      <c r="F4025">
        <v>4</v>
      </c>
    </row>
    <row r="4026" spans="1:6" ht="13.2">
      <c r="A4026" t="s">
        <v>4756</v>
      </c>
      <c r="B4026">
        <v>0</v>
      </c>
      <c r="C4026" s="44">
        <v>1400</v>
      </c>
      <c r="D4026" t="s">
        <v>291</v>
      </c>
      <c r="E4026" t="s">
        <v>256</v>
      </c>
      <c r="F4026">
        <v>4</v>
      </c>
    </row>
    <row r="4027" spans="1:6" ht="13.2">
      <c r="A4027" t="s">
        <v>4757</v>
      </c>
      <c r="B4027">
        <v>0</v>
      </c>
      <c r="C4027" s="44">
        <v>1400</v>
      </c>
      <c r="D4027" t="s">
        <v>291</v>
      </c>
      <c r="E4027" t="s">
        <v>256</v>
      </c>
      <c r="F4027">
        <v>4</v>
      </c>
    </row>
    <row r="4028" spans="1:6" ht="13.2">
      <c r="A4028" t="s">
        <v>4758</v>
      </c>
      <c r="B4028">
        <v>0</v>
      </c>
      <c r="C4028" s="44">
        <v>1400</v>
      </c>
      <c r="D4028" t="s">
        <v>291</v>
      </c>
      <c r="E4028" t="s">
        <v>256</v>
      </c>
      <c r="F4028">
        <v>4</v>
      </c>
    </row>
    <row r="4029" spans="1:6" ht="13.2">
      <c r="A4029" t="s">
        <v>1280</v>
      </c>
      <c r="B4029">
        <v>0</v>
      </c>
      <c r="C4029" s="44" t="s">
        <v>203</v>
      </c>
      <c r="D4029" t="s">
        <v>293</v>
      </c>
      <c r="E4029" t="s">
        <v>256</v>
      </c>
      <c r="F4029">
        <v>4</v>
      </c>
    </row>
    <row r="4030" spans="1:6" ht="13.2">
      <c r="A4030" t="s">
        <v>1281</v>
      </c>
      <c r="B4030">
        <v>0</v>
      </c>
      <c r="C4030" s="44" t="s">
        <v>203</v>
      </c>
      <c r="D4030" t="s">
        <v>293</v>
      </c>
      <c r="E4030" t="s">
        <v>256</v>
      </c>
      <c r="F4030">
        <v>4</v>
      </c>
    </row>
    <row r="4031" spans="1:6" ht="13.2">
      <c r="A4031" t="s">
        <v>1282</v>
      </c>
      <c r="B4031">
        <v>0</v>
      </c>
      <c r="C4031" s="44" t="s">
        <v>203</v>
      </c>
      <c r="D4031" t="s">
        <v>293</v>
      </c>
      <c r="E4031" t="s">
        <v>256</v>
      </c>
      <c r="F4031">
        <v>4</v>
      </c>
    </row>
    <row r="4032" spans="1:6" ht="13.2">
      <c r="A4032" t="s">
        <v>1283</v>
      </c>
      <c r="B4032">
        <v>0</v>
      </c>
      <c r="C4032" s="44" t="s">
        <v>203</v>
      </c>
      <c r="D4032" t="s">
        <v>293</v>
      </c>
      <c r="E4032" t="s">
        <v>256</v>
      </c>
      <c r="F4032">
        <v>4</v>
      </c>
    </row>
    <row r="4033" spans="1:6" ht="13.2">
      <c r="A4033" t="s">
        <v>1284</v>
      </c>
      <c r="B4033">
        <v>0</v>
      </c>
      <c r="C4033" s="44" t="s">
        <v>203</v>
      </c>
      <c r="D4033" t="s">
        <v>293</v>
      </c>
      <c r="E4033" t="s">
        <v>256</v>
      </c>
      <c r="F4033">
        <v>4</v>
      </c>
    </row>
    <row r="4034" spans="1:6" ht="13.2">
      <c r="A4034" t="s">
        <v>1285</v>
      </c>
      <c r="B4034">
        <v>0</v>
      </c>
      <c r="C4034" s="44" t="s">
        <v>203</v>
      </c>
      <c r="D4034" t="s">
        <v>293</v>
      </c>
      <c r="E4034" t="s">
        <v>256</v>
      </c>
      <c r="F4034">
        <v>4</v>
      </c>
    </row>
    <row r="4035" spans="1:6" ht="13.2">
      <c r="A4035" t="s">
        <v>1286</v>
      </c>
      <c r="B4035">
        <v>0</v>
      </c>
      <c r="C4035" s="44" t="s">
        <v>203</v>
      </c>
      <c r="D4035" t="s">
        <v>293</v>
      </c>
      <c r="E4035" t="s">
        <v>256</v>
      </c>
      <c r="F4035">
        <v>4</v>
      </c>
    </row>
    <row r="4036" spans="1:6" ht="13.2">
      <c r="A4036" t="s">
        <v>1287</v>
      </c>
      <c r="B4036">
        <v>0</v>
      </c>
      <c r="C4036" s="44" t="s">
        <v>203</v>
      </c>
      <c r="D4036" t="s">
        <v>293</v>
      </c>
      <c r="E4036" t="s">
        <v>256</v>
      </c>
      <c r="F4036">
        <v>4</v>
      </c>
    </row>
    <row r="4037" spans="1:6" ht="13.2">
      <c r="A4037" t="s">
        <v>1288</v>
      </c>
      <c r="B4037">
        <v>0</v>
      </c>
      <c r="C4037" s="44" t="s">
        <v>203</v>
      </c>
      <c r="D4037" t="s">
        <v>293</v>
      </c>
      <c r="E4037" t="s">
        <v>256</v>
      </c>
      <c r="F4037">
        <v>4</v>
      </c>
    </row>
    <row r="4038" spans="1:6" ht="13.2">
      <c r="A4038" t="s">
        <v>1289</v>
      </c>
      <c r="B4038">
        <v>0</v>
      </c>
      <c r="C4038" s="44" t="s">
        <v>204</v>
      </c>
      <c r="D4038" t="s">
        <v>293</v>
      </c>
      <c r="E4038" t="s">
        <v>256</v>
      </c>
      <c r="F4038">
        <v>4</v>
      </c>
    </row>
    <row r="4039" spans="1:6" ht="13.2">
      <c r="A4039" t="s">
        <v>1290</v>
      </c>
      <c r="B4039">
        <v>0</v>
      </c>
      <c r="C4039" s="44" t="s">
        <v>204</v>
      </c>
      <c r="D4039" s="45" t="s">
        <v>293</v>
      </c>
      <c r="E4039" t="s">
        <v>256</v>
      </c>
      <c r="F4039">
        <v>4</v>
      </c>
    </row>
    <row r="4040" spans="1:6" ht="13.2">
      <c r="A4040" t="s">
        <v>1291</v>
      </c>
      <c r="B4040">
        <v>0</v>
      </c>
      <c r="C4040" s="44" t="s">
        <v>204</v>
      </c>
      <c r="D4040" s="45" t="s">
        <v>293</v>
      </c>
      <c r="E4040" t="s">
        <v>256</v>
      </c>
      <c r="F4040">
        <v>4</v>
      </c>
    </row>
    <row r="4041" spans="1:6" ht="13.2">
      <c r="A4041" t="s">
        <v>1292</v>
      </c>
      <c r="B4041">
        <v>0</v>
      </c>
      <c r="C4041" s="44" t="s">
        <v>204</v>
      </c>
      <c r="D4041" s="45" t="s">
        <v>293</v>
      </c>
      <c r="E4041" t="s">
        <v>256</v>
      </c>
      <c r="F4041">
        <v>4</v>
      </c>
    </row>
    <row r="4042" spans="1:6" ht="13.2">
      <c r="A4042" t="s">
        <v>1293</v>
      </c>
      <c r="B4042">
        <v>0</v>
      </c>
      <c r="C4042" s="44" t="s">
        <v>204</v>
      </c>
      <c r="D4042" s="45" t="s">
        <v>293</v>
      </c>
      <c r="E4042" t="s">
        <v>256</v>
      </c>
      <c r="F4042">
        <v>4</v>
      </c>
    </row>
    <row r="4043" spans="1:6" ht="13.2">
      <c r="A4043" t="s">
        <v>1294</v>
      </c>
      <c r="B4043">
        <v>0</v>
      </c>
      <c r="C4043" s="44" t="s">
        <v>204</v>
      </c>
      <c r="D4043" s="45" t="s">
        <v>293</v>
      </c>
      <c r="E4043" t="s">
        <v>256</v>
      </c>
      <c r="F4043">
        <v>4</v>
      </c>
    </row>
    <row r="4044" spans="1:6" ht="13.2">
      <c r="A4044" t="s">
        <v>1295</v>
      </c>
      <c r="B4044">
        <v>0</v>
      </c>
      <c r="C4044" s="44" t="s">
        <v>204</v>
      </c>
      <c r="D4044" s="45" t="s">
        <v>293</v>
      </c>
      <c r="E4044" t="s">
        <v>256</v>
      </c>
      <c r="F4044">
        <v>4</v>
      </c>
    </row>
    <row r="4045" spans="1:6" ht="13.2">
      <c r="A4045" t="s">
        <v>1296</v>
      </c>
      <c r="B4045">
        <v>0</v>
      </c>
      <c r="C4045" s="44" t="s">
        <v>204</v>
      </c>
      <c r="D4045" s="45" t="s">
        <v>293</v>
      </c>
      <c r="E4045" t="s">
        <v>256</v>
      </c>
      <c r="F4045">
        <v>4</v>
      </c>
    </row>
    <row r="4046" spans="1:6" ht="13.2">
      <c r="A4046" t="s">
        <v>1297</v>
      </c>
      <c r="B4046">
        <v>0</v>
      </c>
      <c r="C4046" s="44" t="s">
        <v>204</v>
      </c>
      <c r="D4046" s="45" t="s">
        <v>293</v>
      </c>
      <c r="E4046" t="s">
        <v>256</v>
      </c>
      <c r="F4046">
        <v>4</v>
      </c>
    </row>
    <row r="4047" spans="1:6" ht="13.2">
      <c r="A4047" t="s">
        <v>1298</v>
      </c>
      <c r="B4047">
        <v>0</v>
      </c>
      <c r="C4047" s="44" t="s">
        <v>204</v>
      </c>
      <c r="D4047" s="45" t="s">
        <v>293</v>
      </c>
      <c r="E4047" t="s">
        <v>256</v>
      </c>
      <c r="F4047">
        <v>4</v>
      </c>
    </row>
    <row r="4048" spans="1:6" ht="13.2">
      <c r="A4048" t="s">
        <v>1299</v>
      </c>
      <c r="B4048">
        <v>0</v>
      </c>
      <c r="C4048" s="44" t="s">
        <v>204</v>
      </c>
      <c r="D4048" s="45" t="s">
        <v>293</v>
      </c>
      <c r="E4048" t="s">
        <v>256</v>
      </c>
      <c r="F4048">
        <v>4</v>
      </c>
    </row>
    <row r="4049" spans="1:6" ht="13.2">
      <c r="A4049" t="s">
        <v>1300</v>
      </c>
      <c r="B4049">
        <v>0</v>
      </c>
      <c r="C4049" s="44" t="s">
        <v>204</v>
      </c>
      <c r="D4049" s="45" t="s">
        <v>293</v>
      </c>
      <c r="E4049" t="s">
        <v>256</v>
      </c>
      <c r="F4049">
        <v>4</v>
      </c>
    </row>
    <row r="4050" spans="1:6" ht="13.2">
      <c r="A4050" t="s">
        <v>1301</v>
      </c>
      <c r="B4050">
        <v>0</v>
      </c>
      <c r="C4050" s="44" t="s">
        <v>204</v>
      </c>
      <c r="D4050" t="s">
        <v>293</v>
      </c>
      <c r="E4050" t="s">
        <v>256</v>
      </c>
      <c r="F4050">
        <v>4</v>
      </c>
    </row>
    <row r="4051" spans="1:6" ht="13.2">
      <c r="A4051" t="s">
        <v>1302</v>
      </c>
      <c r="B4051">
        <v>0</v>
      </c>
      <c r="C4051" s="44" t="s">
        <v>204</v>
      </c>
      <c r="D4051" t="s">
        <v>293</v>
      </c>
      <c r="E4051" t="s">
        <v>256</v>
      </c>
      <c r="F4051">
        <v>4</v>
      </c>
    </row>
    <row r="4052" spans="1:6" ht="13.2">
      <c r="A4052" t="s">
        <v>1303</v>
      </c>
      <c r="B4052">
        <v>0</v>
      </c>
      <c r="C4052" s="44" t="s">
        <v>204</v>
      </c>
      <c r="D4052" t="s">
        <v>293</v>
      </c>
      <c r="E4052" t="s">
        <v>256</v>
      </c>
      <c r="F4052">
        <v>4</v>
      </c>
    </row>
    <row r="4053" spans="1:6" ht="13.2">
      <c r="A4053" t="s">
        <v>6047</v>
      </c>
      <c r="B4053">
        <v>0</v>
      </c>
      <c r="C4053" s="44" t="s">
        <v>204</v>
      </c>
      <c r="D4053" t="s">
        <v>291</v>
      </c>
      <c r="E4053" t="s">
        <v>256</v>
      </c>
      <c r="F4053">
        <v>4</v>
      </c>
    </row>
    <row r="4054" spans="1:6" ht="13.2">
      <c r="A4054" t="s">
        <v>6048</v>
      </c>
      <c r="B4054">
        <v>0</v>
      </c>
      <c r="C4054" s="44" t="s">
        <v>204</v>
      </c>
      <c r="D4054" t="s">
        <v>291</v>
      </c>
      <c r="E4054" t="s">
        <v>256</v>
      </c>
      <c r="F4054">
        <v>4</v>
      </c>
    </row>
    <row r="4055" spans="1:6" ht="13.2">
      <c r="A4055" t="s">
        <v>6049</v>
      </c>
      <c r="B4055">
        <v>0</v>
      </c>
      <c r="C4055" s="44" t="s">
        <v>204</v>
      </c>
      <c r="D4055" t="s">
        <v>291</v>
      </c>
      <c r="E4055" t="s">
        <v>256</v>
      </c>
      <c r="F4055">
        <v>4</v>
      </c>
    </row>
    <row r="4056" spans="1:6" ht="13.2">
      <c r="A4056" t="s">
        <v>6050</v>
      </c>
      <c r="B4056">
        <v>0</v>
      </c>
      <c r="C4056" s="44" t="s">
        <v>204</v>
      </c>
      <c r="D4056" t="s">
        <v>291</v>
      </c>
      <c r="E4056" t="s">
        <v>256</v>
      </c>
      <c r="F4056">
        <v>4</v>
      </c>
    </row>
    <row r="4057" spans="1:6" ht="13.2">
      <c r="A4057" t="s">
        <v>6051</v>
      </c>
      <c r="B4057">
        <v>0</v>
      </c>
      <c r="C4057" s="44" t="s">
        <v>204</v>
      </c>
      <c r="D4057" t="s">
        <v>291</v>
      </c>
      <c r="E4057" t="s">
        <v>256</v>
      </c>
      <c r="F4057">
        <v>4</v>
      </c>
    </row>
    <row r="4058" spans="1:6" ht="13.2">
      <c r="A4058" t="s">
        <v>6052</v>
      </c>
      <c r="B4058">
        <v>0</v>
      </c>
      <c r="C4058" s="44" t="s">
        <v>204</v>
      </c>
      <c r="D4058" t="s">
        <v>291</v>
      </c>
      <c r="E4058" t="s">
        <v>256</v>
      </c>
      <c r="F4058">
        <v>4</v>
      </c>
    </row>
    <row r="4059" spans="1:6" ht="13.2">
      <c r="A4059" t="s">
        <v>6053</v>
      </c>
      <c r="B4059">
        <v>0</v>
      </c>
      <c r="C4059" s="44" t="s">
        <v>204</v>
      </c>
      <c r="D4059" t="s">
        <v>291</v>
      </c>
      <c r="E4059" t="s">
        <v>256</v>
      </c>
      <c r="F4059">
        <v>4</v>
      </c>
    </row>
    <row r="4060" spans="1:6" ht="13.2">
      <c r="A4060" t="s">
        <v>6054</v>
      </c>
      <c r="B4060">
        <v>0</v>
      </c>
      <c r="C4060" s="44" t="s">
        <v>204</v>
      </c>
      <c r="D4060" t="s">
        <v>291</v>
      </c>
      <c r="E4060" t="s">
        <v>256</v>
      </c>
      <c r="F4060">
        <v>4</v>
      </c>
    </row>
    <row r="4061" spans="1:6" ht="13.2">
      <c r="A4061" t="s">
        <v>6055</v>
      </c>
      <c r="B4061">
        <v>0</v>
      </c>
      <c r="C4061" s="44" t="s">
        <v>204</v>
      </c>
      <c r="D4061" t="s">
        <v>291</v>
      </c>
      <c r="E4061" t="s">
        <v>256</v>
      </c>
      <c r="F4061">
        <v>4</v>
      </c>
    </row>
    <row r="4062" spans="1:6" ht="13.2">
      <c r="A4062" t="s">
        <v>6056</v>
      </c>
      <c r="B4062">
        <v>0</v>
      </c>
      <c r="C4062" s="44" t="s">
        <v>204</v>
      </c>
      <c r="D4062" t="s">
        <v>291</v>
      </c>
      <c r="E4062" t="s">
        <v>256</v>
      </c>
      <c r="F4062">
        <v>4</v>
      </c>
    </row>
    <row r="4063" spans="1:6" ht="13.2">
      <c r="A4063" t="s">
        <v>6057</v>
      </c>
      <c r="B4063">
        <v>0</v>
      </c>
      <c r="C4063" s="44" t="s">
        <v>204</v>
      </c>
      <c r="D4063" t="s">
        <v>291</v>
      </c>
      <c r="E4063" t="s">
        <v>256</v>
      </c>
      <c r="F4063">
        <v>4</v>
      </c>
    </row>
    <row r="4064" spans="1:6" ht="13.2">
      <c r="A4064" t="s">
        <v>6058</v>
      </c>
      <c r="B4064">
        <v>0</v>
      </c>
      <c r="C4064" s="44" t="s">
        <v>204</v>
      </c>
      <c r="D4064" t="s">
        <v>291</v>
      </c>
      <c r="E4064" t="s">
        <v>256</v>
      </c>
      <c r="F4064">
        <v>4</v>
      </c>
    </row>
    <row r="4065" spans="1:6" ht="13.2">
      <c r="A4065" t="s">
        <v>6059</v>
      </c>
      <c r="B4065">
        <v>0</v>
      </c>
      <c r="C4065" s="44" t="s">
        <v>204</v>
      </c>
      <c r="D4065" t="s">
        <v>291</v>
      </c>
      <c r="E4065" t="s">
        <v>256</v>
      </c>
      <c r="F4065">
        <v>4</v>
      </c>
    </row>
    <row r="4066" spans="1:6" ht="13.2">
      <c r="A4066" t="s">
        <v>6060</v>
      </c>
      <c r="B4066">
        <v>0</v>
      </c>
      <c r="C4066" s="44" t="s">
        <v>204</v>
      </c>
      <c r="D4066" t="s">
        <v>291</v>
      </c>
      <c r="E4066" t="s">
        <v>256</v>
      </c>
      <c r="F4066">
        <v>4</v>
      </c>
    </row>
    <row r="4067" spans="1:6" ht="13.2">
      <c r="A4067" t="s">
        <v>1304</v>
      </c>
      <c r="B4067">
        <v>0</v>
      </c>
      <c r="C4067" s="44" t="s">
        <v>204</v>
      </c>
      <c r="D4067" t="s">
        <v>293</v>
      </c>
      <c r="E4067" t="s">
        <v>231</v>
      </c>
      <c r="F4067">
        <v>2</v>
      </c>
    </row>
    <row r="4068" spans="1:6" ht="13.2">
      <c r="A4068" t="s">
        <v>1305</v>
      </c>
      <c r="B4068">
        <v>0</v>
      </c>
      <c r="C4068" s="44" t="s">
        <v>204</v>
      </c>
      <c r="D4068" t="s">
        <v>293</v>
      </c>
      <c r="E4068" t="s">
        <v>231</v>
      </c>
      <c r="F4068">
        <v>2</v>
      </c>
    </row>
    <row r="4069" spans="1:6" ht="13.2">
      <c r="A4069" t="s">
        <v>1306</v>
      </c>
      <c r="B4069">
        <v>0</v>
      </c>
      <c r="C4069" s="44" t="s">
        <v>204</v>
      </c>
      <c r="D4069" t="s">
        <v>293</v>
      </c>
      <c r="E4069" t="s">
        <v>231</v>
      </c>
      <c r="F4069">
        <v>2</v>
      </c>
    </row>
    <row r="4070" spans="1:6" ht="13.2">
      <c r="A4070" t="s">
        <v>1307</v>
      </c>
      <c r="B4070">
        <v>0</v>
      </c>
      <c r="C4070" s="44" t="s">
        <v>204</v>
      </c>
      <c r="D4070" t="s">
        <v>293</v>
      </c>
      <c r="E4070" t="s">
        <v>231</v>
      </c>
      <c r="F4070">
        <v>2</v>
      </c>
    </row>
    <row r="4071" spans="1:6" ht="13.2">
      <c r="A4071" t="s">
        <v>1308</v>
      </c>
      <c r="B4071">
        <v>0</v>
      </c>
      <c r="C4071" s="44" t="s">
        <v>204</v>
      </c>
      <c r="D4071" t="s">
        <v>293</v>
      </c>
      <c r="E4071" t="s">
        <v>231</v>
      </c>
      <c r="F4071">
        <v>2</v>
      </c>
    </row>
    <row r="4072" spans="1:6" ht="13.2">
      <c r="A4072" t="s">
        <v>1309</v>
      </c>
      <c r="B4072">
        <v>0</v>
      </c>
      <c r="C4072" s="44" t="s">
        <v>204</v>
      </c>
      <c r="D4072" t="s">
        <v>293</v>
      </c>
      <c r="E4072" t="s">
        <v>231</v>
      </c>
      <c r="F4072">
        <v>2</v>
      </c>
    </row>
    <row r="4073" spans="1:6" ht="13.2">
      <c r="A4073" t="s">
        <v>1310</v>
      </c>
      <c r="B4073">
        <v>0</v>
      </c>
      <c r="C4073" s="44" t="s">
        <v>204</v>
      </c>
      <c r="D4073" t="s">
        <v>293</v>
      </c>
      <c r="E4073" t="s">
        <v>231</v>
      </c>
      <c r="F4073">
        <v>2</v>
      </c>
    </row>
    <row r="4074" spans="1:6" ht="13.2">
      <c r="A4074" t="s">
        <v>1311</v>
      </c>
      <c r="B4074">
        <v>0</v>
      </c>
      <c r="C4074" s="44" t="s">
        <v>204</v>
      </c>
      <c r="D4074" t="s">
        <v>293</v>
      </c>
      <c r="E4074" t="s">
        <v>231</v>
      </c>
      <c r="F4074">
        <v>2</v>
      </c>
    </row>
    <row r="4075" spans="1:6" ht="13.2">
      <c r="A4075" t="s">
        <v>1312</v>
      </c>
      <c r="B4075">
        <v>0</v>
      </c>
      <c r="C4075" s="44" t="s">
        <v>204</v>
      </c>
      <c r="D4075" t="s">
        <v>293</v>
      </c>
      <c r="E4075" t="s">
        <v>231</v>
      </c>
      <c r="F4075">
        <v>2</v>
      </c>
    </row>
    <row r="4076" spans="1:6" ht="13.2">
      <c r="A4076" t="s">
        <v>1313</v>
      </c>
      <c r="B4076">
        <v>0</v>
      </c>
      <c r="C4076" s="44" t="s">
        <v>204</v>
      </c>
      <c r="D4076" t="s">
        <v>293</v>
      </c>
      <c r="E4076" t="s">
        <v>231</v>
      </c>
      <c r="F4076">
        <v>2</v>
      </c>
    </row>
    <row r="4077" spans="1:6" ht="13.2">
      <c r="A4077" t="s">
        <v>1314</v>
      </c>
      <c r="B4077">
        <v>0</v>
      </c>
      <c r="C4077" s="44" t="s">
        <v>204</v>
      </c>
      <c r="D4077" t="s">
        <v>293</v>
      </c>
      <c r="E4077" t="s">
        <v>258</v>
      </c>
      <c r="F4077">
        <v>4</v>
      </c>
    </row>
    <row r="4078" spans="1:6" ht="13.2">
      <c r="A4078" t="s">
        <v>4941</v>
      </c>
      <c r="B4078">
        <v>0</v>
      </c>
      <c r="C4078" s="44" t="s">
        <v>204</v>
      </c>
      <c r="D4078" t="s">
        <v>293</v>
      </c>
      <c r="E4078" t="s">
        <v>258</v>
      </c>
      <c r="F4078">
        <v>4</v>
      </c>
    </row>
    <row r="4079" spans="1:6" ht="13.2">
      <c r="A4079" t="s">
        <v>1315</v>
      </c>
      <c r="B4079">
        <v>0</v>
      </c>
      <c r="C4079" s="44" t="s">
        <v>204</v>
      </c>
      <c r="D4079" t="s">
        <v>293</v>
      </c>
      <c r="E4079" t="s">
        <v>258</v>
      </c>
      <c r="F4079">
        <v>4</v>
      </c>
    </row>
    <row r="4080" spans="1:6" ht="13.2">
      <c r="A4080" t="s">
        <v>1316</v>
      </c>
      <c r="B4080">
        <v>0</v>
      </c>
      <c r="C4080" s="44" t="s">
        <v>204</v>
      </c>
      <c r="D4080" t="s">
        <v>293</v>
      </c>
      <c r="E4080" t="s">
        <v>258</v>
      </c>
      <c r="F4080">
        <v>4</v>
      </c>
    </row>
    <row r="4081" spans="1:6" ht="13.2">
      <c r="A4081" t="s">
        <v>1317</v>
      </c>
      <c r="B4081">
        <v>0</v>
      </c>
      <c r="C4081" s="44" t="s">
        <v>204</v>
      </c>
      <c r="D4081" t="s">
        <v>293</v>
      </c>
      <c r="E4081" t="s">
        <v>258</v>
      </c>
      <c r="F4081">
        <v>4</v>
      </c>
    </row>
    <row r="4082" spans="1:6" ht="13.2">
      <c r="A4082" t="s">
        <v>1318</v>
      </c>
      <c r="B4082">
        <v>0</v>
      </c>
      <c r="C4082" s="44" t="s">
        <v>204</v>
      </c>
      <c r="D4082" t="s">
        <v>293</v>
      </c>
      <c r="E4082" t="s">
        <v>258</v>
      </c>
      <c r="F4082">
        <v>4</v>
      </c>
    </row>
    <row r="4083" spans="1:6" ht="13.2">
      <c r="A4083" t="s">
        <v>1319</v>
      </c>
      <c r="B4083">
        <v>0</v>
      </c>
      <c r="C4083" s="44" t="s">
        <v>204</v>
      </c>
      <c r="D4083" t="s">
        <v>293</v>
      </c>
      <c r="E4083" t="s">
        <v>258</v>
      </c>
      <c r="F4083">
        <v>4</v>
      </c>
    </row>
    <row r="4084" spans="1:6" ht="13.2">
      <c r="A4084" t="s">
        <v>1320</v>
      </c>
      <c r="B4084">
        <v>0</v>
      </c>
      <c r="C4084" s="44" t="s">
        <v>204</v>
      </c>
      <c r="D4084" t="s">
        <v>293</v>
      </c>
      <c r="E4084" t="s">
        <v>258</v>
      </c>
      <c r="F4084">
        <v>4</v>
      </c>
    </row>
    <row r="4085" spans="1:6" ht="13.2">
      <c r="A4085" t="s">
        <v>4942</v>
      </c>
      <c r="B4085">
        <v>0</v>
      </c>
      <c r="C4085" s="44" t="s">
        <v>204</v>
      </c>
      <c r="D4085" t="s">
        <v>293</v>
      </c>
      <c r="E4085" t="s">
        <v>258</v>
      </c>
      <c r="F4085">
        <v>4</v>
      </c>
    </row>
    <row r="4086" spans="1:6" ht="13.2">
      <c r="A4086" t="s">
        <v>1321</v>
      </c>
      <c r="B4086">
        <v>0</v>
      </c>
      <c r="C4086" s="44" t="s">
        <v>204</v>
      </c>
      <c r="D4086" t="s">
        <v>293</v>
      </c>
      <c r="E4086" t="s">
        <v>258</v>
      </c>
      <c r="F4086">
        <v>4</v>
      </c>
    </row>
    <row r="4087" spans="1:6" ht="13.2">
      <c r="A4087" t="s">
        <v>4943</v>
      </c>
      <c r="B4087">
        <v>0</v>
      </c>
      <c r="C4087" s="44" t="s">
        <v>204</v>
      </c>
      <c r="D4087" t="s">
        <v>293</v>
      </c>
      <c r="E4087" t="s">
        <v>258</v>
      </c>
      <c r="F4087">
        <v>4</v>
      </c>
    </row>
    <row r="4088" spans="1:6" ht="13.2">
      <c r="A4088" t="s">
        <v>4944</v>
      </c>
      <c r="B4088">
        <v>0</v>
      </c>
      <c r="C4088" s="44" t="s">
        <v>204</v>
      </c>
      <c r="D4088" t="s">
        <v>293</v>
      </c>
      <c r="E4088" t="s">
        <v>258</v>
      </c>
      <c r="F4088">
        <v>4</v>
      </c>
    </row>
    <row r="4089" spans="1:6" ht="13.2">
      <c r="A4089" t="s">
        <v>1322</v>
      </c>
      <c r="B4089">
        <v>0</v>
      </c>
      <c r="C4089" s="44" t="s">
        <v>204</v>
      </c>
      <c r="D4089" t="s">
        <v>293</v>
      </c>
      <c r="E4089" t="s">
        <v>258</v>
      </c>
      <c r="F4089">
        <v>4</v>
      </c>
    </row>
    <row r="4090" spans="1:6" ht="13.2">
      <c r="A4090" t="s">
        <v>1323</v>
      </c>
      <c r="B4090">
        <v>0</v>
      </c>
      <c r="C4090" s="44" t="s">
        <v>204</v>
      </c>
      <c r="D4090" t="s">
        <v>293</v>
      </c>
      <c r="E4090" t="s">
        <v>258</v>
      </c>
      <c r="F4090">
        <v>4</v>
      </c>
    </row>
    <row r="4091" spans="1:6" ht="13.2">
      <c r="A4091" t="s">
        <v>1324</v>
      </c>
      <c r="B4091">
        <v>0</v>
      </c>
      <c r="C4091" s="44" t="s">
        <v>204</v>
      </c>
      <c r="D4091" t="s">
        <v>293</v>
      </c>
      <c r="E4091" t="s">
        <v>258</v>
      </c>
      <c r="F4091">
        <v>4</v>
      </c>
    </row>
    <row r="4092" spans="1:6" ht="13.2">
      <c r="A4092" t="s">
        <v>4945</v>
      </c>
      <c r="B4092">
        <v>0</v>
      </c>
      <c r="C4092" s="44" t="s">
        <v>204</v>
      </c>
      <c r="D4092" t="s">
        <v>293</v>
      </c>
      <c r="E4092" t="s">
        <v>258</v>
      </c>
      <c r="F4092">
        <v>4</v>
      </c>
    </row>
    <row r="4093" spans="1:6" ht="13.2">
      <c r="A4093" t="s">
        <v>4946</v>
      </c>
      <c r="B4093">
        <v>0</v>
      </c>
      <c r="C4093" s="44" t="s">
        <v>204</v>
      </c>
      <c r="D4093" t="s">
        <v>293</v>
      </c>
      <c r="E4093" t="s">
        <v>258</v>
      </c>
      <c r="F4093">
        <v>4</v>
      </c>
    </row>
    <row r="4094" spans="1:6" ht="13.2">
      <c r="A4094" t="s">
        <v>4947</v>
      </c>
      <c r="B4094">
        <v>0</v>
      </c>
      <c r="C4094" s="44" t="s">
        <v>204</v>
      </c>
      <c r="D4094" t="s">
        <v>293</v>
      </c>
      <c r="E4094" t="s">
        <v>258</v>
      </c>
      <c r="F4094">
        <v>4</v>
      </c>
    </row>
    <row r="4095" spans="1:6" ht="13.2">
      <c r="A4095" t="s">
        <v>1325</v>
      </c>
      <c r="B4095">
        <v>0</v>
      </c>
      <c r="C4095" s="44" t="s">
        <v>204</v>
      </c>
      <c r="D4095" t="s">
        <v>293</v>
      </c>
      <c r="E4095" t="s">
        <v>258</v>
      </c>
      <c r="F4095">
        <v>4</v>
      </c>
    </row>
    <row r="4096" spans="1:6" ht="13.2">
      <c r="A4096" t="s">
        <v>1326</v>
      </c>
      <c r="B4096">
        <v>0</v>
      </c>
      <c r="C4096" s="44" t="s">
        <v>204</v>
      </c>
      <c r="D4096" t="s">
        <v>293</v>
      </c>
      <c r="E4096" t="s">
        <v>258</v>
      </c>
      <c r="F4096">
        <v>4</v>
      </c>
    </row>
    <row r="4097" spans="1:6" ht="13.2">
      <c r="A4097" t="s">
        <v>1327</v>
      </c>
      <c r="B4097">
        <v>0</v>
      </c>
      <c r="C4097" s="44" t="s">
        <v>204</v>
      </c>
      <c r="D4097" t="s">
        <v>293</v>
      </c>
      <c r="E4097" t="s">
        <v>258</v>
      </c>
      <c r="F4097">
        <v>4</v>
      </c>
    </row>
    <row r="4098" spans="1:6" ht="13.2">
      <c r="A4098" t="s">
        <v>1328</v>
      </c>
      <c r="B4098">
        <v>0</v>
      </c>
      <c r="C4098" s="44" t="s">
        <v>204</v>
      </c>
      <c r="D4098" t="s">
        <v>293</v>
      </c>
      <c r="E4098" t="s">
        <v>258</v>
      </c>
      <c r="F4098">
        <v>4</v>
      </c>
    </row>
    <row r="4099" spans="1:6" ht="13.2">
      <c r="A4099" t="s">
        <v>1329</v>
      </c>
      <c r="B4099">
        <v>0</v>
      </c>
      <c r="C4099" s="44" t="s">
        <v>204</v>
      </c>
      <c r="D4099" s="45" t="s">
        <v>293</v>
      </c>
      <c r="E4099" t="s">
        <v>258</v>
      </c>
      <c r="F4099">
        <v>4</v>
      </c>
    </row>
    <row r="4100" spans="1:6" ht="13.2">
      <c r="A4100" t="s">
        <v>1330</v>
      </c>
      <c r="B4100">
        <v>0</v>
      </c>
      <c r="C4100" s="44" t="s">
        <v>204</v>
      </c>
      <c r="D4100" s="45" t="s">
        <v>293</v>
      </c>
      <c r="E4100" t="s">
        <v>258</v>
      </c>
      <c r="F4100">
        <v>4</v>
      </c>
    </row>
    <row r="4101" spans="1:6" ht="13.2">
      <c r="A4101" t="s">
        <v>1331</v>
      </c>
      <c r="B4101">
        <v>0</v>
      </c>
      <c r="C4101" s="44" t="s">
        <v>204</v>
      </c>
      <c r="D4101" s="45" t="s">
        <v>293</v>
      </c>
      <c r="E4101" t="s">
        <v>258</v>
      </c>
      <c r="F4101">
        <v>4</v>
      </c>
    </row>
    <row r="4102" spans="1:6" ht="13.2">
      <c r="A4102" t="s">
        <v>4948</v>
      </c>
      <c r="B4102">
        <v>0</v>
      </c>
      <c r="C4102" s="44" t="s">
        <v>204</v>
      </c>
      <c r="D4102" t="s">
        <v>293</v>
      </c>
      <c r="E4102" t="s">
        <v>258</v>
      </c>
      <c r="F4102">
        <v>4</v>
      </c>
    </row>
    <row r="4103" spans="1:6" ht="13.2">
      <c r="A4103" t="s">
        <v>1332</v>
      </c>
      <c r="B4103">
        <v>0</v>
      </c>
      <c r="C4103" s="44" t="s">
        <v>204</v>
      </c>
      <c r="D4103" t="s">
        <v>293</v>
      </c>
      <c r="E4103" t="s">
        <v>258</v>
      </c>
      <c r="F4103">
        <v>4</v>
      </c>
    </row>
    <row r="4104" spans="1:6" ht="13.2">
      <c r="A4104" t="s">
        <v>1333</v>
      </c>
      <c r="B4104">
        <v>0</v>
      </c>
      <c r="C4104" s="44" t="s">
        <v>204</v>
      </c>
      <c r="D4104" t="s">
        <v>293</v>
      </c>
      <c r="E4104" t="s">
        <v>258</v>
      </c>
      <c r="F4104">
        <v>4</v>
      </c>
    </row>
    <row r="4105" spans="1:6" ht="13.2">
      <c r="A4105" t="s">
        <v>3892</v>
      </c>
      <c r="B4105">
        <v>0</v>
      </c>
      <c r="C4105" s="44" t="s">
        <v>204</v>
      </c>
      <c r="D4105" t="s">
        <v>293</v>
      </c>
      <c r="E4105" t="s">
        <v>258</v>
      </c>
      <c r="F4105">
        <v>4</v>
      </c>
    </row>
    <row r="4106" spans="1:6" ht="13.2">
      <c r="A4106" t="s">
        <v>1334</v>
      </c>
      <c r="B4106">
        <v>0</v>
      </c>
      <c r="C4106" s="44" t="s">
        <v>204</v>
      </c>
      <c r="D4106" t="s">
        <v>293</v>
      </c>
      <c r="E4106" t="s">
        <v>258</v>
      </c>
      <c r="F4106">
        <v>4</v>
      </c>
    </row>
    <row r="4107" spans="1:6" ht="13.2">
      <c r="A4107" t="s">
        <v>1335</v>
      </c>
      <c r="B4107">
        <v>0</v>
      </c>
      <c r="C4107" s="44" t="s">
        <v>204</v>
      </c>
      <c r="D4107" t="s">
        <v>293</v>
      </c>
      <c r="E4107" t="s">
        <v>258</v>
      </c>
      <c r="F4107">
        <v>4</v>
      </c>
    </row>
    <row r="4108" spans="1:6" ht="13.2">
      <c r="A4108" t="s">
        <v>6061</v>
      </c>
      <c r="B4108">
        <v>0</v>
      </c>
      <c r="C4108" s="44" t="s">
        <v>204</v>
      </c>
      <c r="D4108" t="s">
        <v>291</v>
      </c>
      <c r="E4108" t="s">
        <v>258</v>
      </c>
      <c r="F4108">
        <v>4</v>
      </c>
    </row>
    <row r="4109" spans="1:6" ht="13.2">
      <c r="A4109" t="s">
        <v>4949</v>
      </c>
      <c r="B4109">
        <v>0</v>
      </c>
      <c r="C4109" s="44" t="s">
        <v>204</v>
      </c>
      <c r="D4109" t="s">
        <v>291</v>
      </c>
      <c r="E4109" t="s">
        <v>258</v>
      </c>
      <c r="F4109">
        <v>4</v>
      </c>
    </row>
    <row r="4110" spans="1:6" ht="13.2">
      <c r="A4110" t="s">
        <v>6062</v>
      </c>
      <c r="B4110">
        <v>0</v>
      </c>
      <c r="C4110" s="44" t="s">
        <v>204</v>
      </c>
      <c r="D4110" t="s">
        <v>291</v>
      </c>
      <c r="E4110" t="s">
        <v>258</v>
      </c>
      <c r="F4110">
        <v>4</v>
      </c>
    </row>
    <row r="4111" spans="1:6" ht="13.2">
      <c r="A4111" t="s">
        <v>6063</v>
      </c>
      <c r="B4111">
        <v>0</v>
      </c>
      <c r="C4111" s="44" t="s">
        <v>204</v>
      </c>
      <c r="D4111" t="s">
        <v>291</v>
      </c>
      <c r="E4111" t="s">
        <v>258</v>
      </c>
      <c r="F4111">
        <v>4</v>
      </c>
    </row>
    <row r="4112" spans="1:6" ht="13.2">
      <c r="A4112" t="s">
        <v>6064</v>
      </c>
      <c r="B4112">
        <v>0</v>
      </c>
      <c r="C4112" s="44" t="s">
        <v>204</v>
      </c>
      <c r="D4112" t="s">
        <v>291</v>
      </c>
      <c r="E4112" t="s">
        <v>258</v>
      </c>
      <c r="F4112">
        <v>4</v>
      </c>
    </row>
    <row r="4113" spans="1:6" ht="13.2">
      <c r="A4113" t="s">
        <v>6065</v>
      </c>
      <c r="B4113">
        <v>0</v>
      </c>
      <c r="C4113" s="44" t="s">
        <v>204</v>
      </c>
      <c r="D4113" t="s">
        <v>291</v>
      </c>
      <c r="E4113" t="s">
        <v>258</v>
      </c>
      <c r="F4113">
        <v>4</v>
      </c>
    </row>
    <row r="4114" spans="1:6" ht="13.2">
      <c r="A4114" t="s">
        <v>6066</v>
      </c>
      <c r="B4114">
        <v>0</v>
      </c>
      <c r="C4114" s="44" t="s">
        <v>204</v>
      </c>
      <c r="D4114" t="s">
        <v>291</v>
      </c>
      <c r="E4114" t="s">
        <v>258</v>
      </c>
      <c r="F4114">
        <v>4</v>
      </c>
    </row>
    <row r="4115" spans="1:6" ht="13.2">
      <c r="A4115" t="s">
        <v>6067</v>
      </c>
      <c r="B4115">
        <v>0</v>
      </c>
      <c r="C4115" s="44" t="s">
        <v>204</v>
      </c>
      <c r="D4115" t="s">
        <v>291</v>
      </c>
      <c r="E4115" t="s">
        <v>258</v>
      </c>
      <c r="F4115">
        <v>4</v>
      </c>
    </row>
    <row r="4116" spans="1:6" ht="13.2">
      <c r="A4116" t="s">
        <v>4950</v>
      </c>
      <c r="B4116">
        <v>0</v>
      </c>
      <c r="C4116" s="44" t="s">
        <v>204</v>
      </c>
      <c r="D4116" t="s">
        <v>291</v>
      </c>
      <c r="E4116" t="s">
        <v>258</v>
      </c>
      <c r="F4116">
        <v>4</v>
      </c>
    </row>
    <row r="4117" spans="1:6" ht="13.2">
      <c r="A4117" t="s">
        <v>6068</v>
      </c>
      <c r="B4117">
        <v>0</v>
      </c>
      <c r="C4117" s="44" t="s">
        <v>204</v>
      </c>
      <c r="D4117" t="s">
        <v>291</v>
      </c>
      <c r="E4117" t="s">
        <v>258</v>
      </c>
      <c r="F4117">
        <v>4</v>
      </c>
    </row>
    <row r="4118" spans="1:6" ht="13.2">
      <c r="A4118" t="s">
        <v>4951</v>
      </c>
      <c r="B4118">
        <v>0</v>
      </c>
      <c r="C4118" s="44" t="s">
        <v>204</v>
      </c>
      <c r="D4118" t="s">
        <v>291</v>
      </c>
      <c r="E4118" t="s">
        <v>258</v>
      </c>
      <c r="F4118">
        <v>4</v>
      </c>
    </row>
    <row r="4119" spans="1:6" ht="13.2">
      <c r="A4119" t="s">
        <v>4952</v>
      </c>
      <c r="B4119">
        <v>0</v>
      </c>
      <c r="C4119" s="44" t="s">
        <v>204</v>
      </c>
      <c r="D4119" t="s">
        <v>291</v>
      </c>
      <c r="E4119" t="s">
        <v>258</v>
      </c>
      <c r="F4119">
        <v>4</v>
      </c>
    </row>
    <row r="4120" spans="1:6" ht="13.2">
      <c r="A4120" t="s">
        <v>6069</v>
      </c>
      <c r="B4120">
        <v>0</v>
      </c>
      <c r="C4120" s="44" t="s">
        <v>204</v>
      </c>
      <c r="D4120" t="s">
        <v>291</v>
      </c>
      <c r="E4120" t="s">
        <v>258</v>
      </c>
      <c r="F4120">
        <v>4</v>
      </c>
    </row>
    <row r="4121" spans="1:6" ht="13.2">
      <c r="A4121" t="s">
        <v>6070</v>
      </c>
      <c r="B4121">
        <v>0</v>
      </c>
      <c r="C4121" s="44" t="s">
        <v>204</v>
      </c>
      <c r="D4121" t="s">
        <v>291</v>
      </c>
      <c r="E4121" t="s">
        <v>258</v>
      </c>
      <c r="F4121">
        <v>4</v>
      </c>
    </row>
    <row r="4122" spans="1:6" ht="13.2">
      <c r="A4122" t="s">
        <v>6071</v>
      </c>
      <c r="B4122">
        <v>0</v>
      </c>
      <c r="C4122" s="44" t="s">
        <v>204</v>
      </c>
      <c r="D4122" t="s">
        <v>291</v>
      </c>
      <c r="E4122" t="s">
        <v>258</v>
      </c>
      <c r="F4122">
        <v>4</v>
      </c>
    </row>
    <row r="4123" spans="1:6" ht="13.2">
      <c r="A4123" t="s">
        <v>4953</v>
      </c>
      <c r="B4123">
        <v>0</v>
      </c>
      <c r="C4123" s="44" t="s">
        <v>204</v>
      </c>
      <c r="D4123" t="s">
        <v>291</v>
      </c>
      <c r="E4123" t="s">
        <v>258</v>
      </c>
      <c r="F4123">
        <v>4</v>
      </c>
    </row>
    <row r="4124" spans="1:6" ht="13.2">
      <c r="A4124" t="s">
        <v>4954</v>
      </c>
      <c r="B4124">
        <v>0</v>
      </c>
      <c r="C4124" s="44" t="s">
        <v>204</v>
      </c>
      <c r="D4124" t="s">
        <v>291</v>
      </c>
      <c r="E4124" t="s">
        <v>258</v>
      </c>
      <c r="F4124">
        <v>4</v>
      </c>
    </row>
    <row r="4125" spans="1:6" ht="13.2">
      <c r="A4125" t="s">
        <v>4955</v>
      </c>
      <c r="B4125">
        <v>0</v>
      </c>
      <c r="C4125" s="44" t="s">
        <v>204</v>
      </c>
      <c r="D4125" t="s">
        <v>291</v>
      </c>
      <c r="E4125" t="s">
        <v>258</v>
      </c>
      <c r="F4125">
        <v>4</v>
      </c>
    </row>
    <row r="4126" spans="1:6" ht="13.2">
      <c r="A4126" t="s">
        <v>6072</v>
      </c>
      <c r="B4126">
        <v>0</v>
      </c>
      <c r="C4126" s="44" t="s">
        <v>204</v>
      </c>
      <c r="D4126" t="s">
        <v>291</v>
      </c>
      <c r="E4126" t="s">
        <v>258</v>
      </c>
      <c r="F4126">
        <v>4</v>
      </c>
    </row>
    <row r="4127" spans="1:6" ht="13.2">
      <c r="A4127" t="s">
        <v>6073</v>
      </c>
      <c r="B4127">
        <v>0</v>
      </c>
      <c r="C4127" s="44" t="s">
        <v>204</v>
      </c>
      <c r="D4127" t="s">
        <v>291</v>
      </c>
      <c r="E4127" t="s">
        <v>258</v>
      </c>
      <c r="F4127">
        <v>4</v>
      </c>
    </row>
    <row r="4128" spans="1:6" ht="13.2">
      <c r="A4128" t="s">
        <v>6074</v>
      </c>
      <c r="B4128">
        <v>0</v>
      </c>
      <c r="C4128" s="44" t="s">
        <v>204</v>
      </c>
      <c r="D4128" t="s">
        <v>291</v>
      </c>
      <c r="E4128" t="s">
        <v>258</v>
      </c>
      <c r="F4128">
        <v>4</v>
      </c>
    </row>
    <row r="4129" spans="1:6" ht="13.2">
      <c r="A4129" t="s">
        <v>6075</v>
      </c>
      <c r="B4129">
        <v>0</v>
      </c>
      <c r="C4129" s="44" t="s">
        <v>204</v>
      </c>
      <c r="D4129" t="s">
        <v>291</v>
      </c>
      <c r="E4129" t="s">
        <v>258</v>
      </c>
      <c r="F4129">
        <v>4</v>
      </c>
    </row>
    <row r="4130" spans="1:6" ht="13.2">
      <c r="A4130" t="s">
        <v>6076</v>
      </c>
      <c r="B4130">
        <v>0</v>
      </c>
      <c r="C4130" s="44" t="s">
        <v>204</v>
      </c>
      <c r="D4130" t="s">
        <v>291</v>
      </c>
      <c r="E4130" t="s">
        <v>258</v>
      </c>
      <c r="F4130">
        <v>4</v>
      </c>
    </row>
    <row r="4131" spans="1:6" ht="13.2">
      <c r="A4131" t="s">
        <v>6077</v>
      </c>
      <c r="B4131">
        <v>0</v>
      </c>
      <c r="C4131" s="44" t="s">
        <v>204</v>
      </c>
      <c r="D4131" t="s">
        <v>291</v>
      </c>
      <c r="E4131" t="s">
        <v>258</v>
      </c>
      <c r="F4131">
        <v>4</v>
      </c>
    </row>
    <row r="4132" spans="1:6" ht="13.2">
      <c r="A4132" t="s">
        <v>6078</v>
      </c>
      <c r="B4132">
        <v>0</v>
      </c>
      <c r="C4132" s="44" t="s">
        <v>204</v>
      </c>
      <c r="D4132" t="s">
        <v>291</v>
      </c>
      <c r="E4132" t="s">
        <v>258</v>
      </c>
      <c r="F4132">
        <v>4</v>
      </c>
    </row>
    <row r="4133" spans="1:6" ht="13.2">
      <c r="A4133" t="s">
        <v>4956</v>
      </c>
      <c r="B4133">
        <v>0</v>
      </c>
      <c r="C4133" s="44" t="s">
        <v>204</v>
      </c>
      <c r="D4133" t="s">
        <v>291</v>
      </c>
      <c r="E4133" t="s">
        <v>258</v>
      </c>
      <c r="F4133">
        <v>4</v>
      </c>
    </row>
    <row r="4134" spans="1:6" ht="13.2">
      <c r="A4134" t="s">
        <v>6079</v>
      </c>
      <c r="B4134">
        <v>0</v>
      </c>
      <c r="C4134" s="44" t="s">
        <v>204</v>
      </c>
      <c r="D4134" t="s">
        <v>291</v>
      </c>
      <c r="E4134" t="s">
        <v>258</v>
      </c>
      <c r="F4134">
        <v>4</v>
      </c>
    </row>
    <row r="4135" spans="1:6" ht="13.2">
      <c r="A4135" t="s">
        <v>6080</v>
      </c>
      <c r="B4135">
        <v>0</v>
      </c>
      <c r="C4135" s="44" t="s">
        <v>204</v>
      </c>
      <c r="D4135" t="s">
        <v>291</v>
      </c>
      <c r="E4135" t="s">
        <v>258</v>
      </c>
      <c r="F4135">
        <v>4</v>
      </c>
    </row>
    <row r="4136" spans="1:6" ht="13.2">
      <c r="A4136" t="s">
        <v>3877</v>
      </c>
      <c r="B4136">
        <v>0</v>
      </c>
      <c r="C4136" s="44" t="s">
        <v>204</v>
      </c>
      <c r="D4136" t="s">
        <v>291</v>
      </c>
      <c r="E4136" t="s">
        <v>258</v>
      </c>
      <c r="F4136">
        <v>4</v>
      </c>
    </row>
    <row r="4137" spans="1:6" ht="13.2">
      <c r="A4137" t="s">
        <v>6081</v>
      </c>
      <c r="B4137">
        <v>0</v>
      </c>
      <c r="C4137" s="44" t="s">
        <v>204</v>
      </c>
      <c r="D4137" t="s">
        <v>291</v>
      </c>
      <c r="E4137" t="s">
        <v>258</v>
      </c>
      <c r="F4137">
        <v>4</v>
      </c>
    </row>
    <row r="4138" spans="1:6" ht="13.2">
      <c r="A4138" t="s">
        <v>6082</v>
      </c>
      <c r="B4138">
        <v>0</v>
      </c>
      <c r="C4138" s="44" t="s">
        <v>204</v>
      </c>
      <c r="D4138" t="s">
        <v>291</v>
      </c>
      <c r="E4138" t="s">
        <v>258</v>
      </c>
      <c r="F4138">
        <v>4</v>
      </c>
    </row>
    <row r="4139" spans="1:6" ht="13.2">
      <c r="A4139" t="s">
        <v>1970</v>
      </c>
      <c r="B4139">
        <v>487</v>
      </c>
      <c r="C4139" s="44">
        <v>3000</v>
      </c>
      <c r="D4139" t="s">
        <v>293</v>
      </c>
      <c r="E4139" t="s">
        <v>256</v>
      </c>
      <c r="F4139">
        <v>15</v>
      </c>
    </row>
    <row r="4140" spans="1:6" ht="13.2">
      <c r="A4140" t="s">
        <v>1974</v>
      </c>
      <c r="B4140">
        <v>487</v>
      </c>
      <c r="C4140" s="44">
        <v>3000</v>
      </c>
      <c r="D4140" t="s">
        <v>293</v>
      </c>
      <c r="E4140" t="s">
        <v>256</v>
      </c>
      <c r="F4140">
        <v>15</v>
      </c>
    </row>
    <row r="4141" spans="1:6" ht="13.2">
      <c r="A4141" t="s">
        <v>1973</v>
      </c>
      <c r="B4141">
        <v>487</v>
      </c>
      <c r="C4141" s="44">
        <v>3000</v>
      </c>
      <c r="D4141" t="s">
        <v>293</v>
      </c>
      <c r="E4141" t="s">
        <v>256</v>
      </c>
      <c r="F4141">
        <v>15</v>
      </c>
    </row>
    <row r="4142" spans="1:6" ht="13.2">
      <c r="A4142" t="s">
        <v>1972</v>
      </c>
      <c r="B4142">
        <v>487</v>
      </c>
      <c r="C4142" s="44">
        <v>3000</v>
      </c>
      <c r="D4142" t="s">
        <v>293</v>
      </c>
      <c r="E4142" t="s">
        <v>256</v>
      </c>
      <c r="F4142">
        <v>15</v>
      </c>
    </row>
    <row r="4143" spans="1:6" ht="13.2">
      <c r="A4143" t="s">
        <v>1971</v>
      </c>
      <c r="B4143">
        <v>487</v>
      </c>
      <c r="C4143" s="44">
        <v>3000</v>
      </c>
      <c r="D4143" t="s">
        <v>293</v>
      </c>
      <c r="E4143" t="s">
        <v>256</v>
      </c>
      <c r="F4143">
        <v>15</v>
      </c>
    </row>
    <row r="4144" spans="1:6" ht="13.2">
      <c r="A4144" t="s">
        <v>1975</v>
      </c>
      <c r="B4144">
        <v>487</v>
      </c>
      <c r="C4144" s="44">
        <v>3000</v>
      </c>
      <c r="D4144" t="s">
        <v>293</v>
      </c>
      <c r="E4144" t="s">
        <v>256</v>
      </c>
      <c r="F4144">
        <v>15</v>
      </c>
    </row>
    <row r="4145" spans="1:6" ht="13.2">
      <c r="A4145" t="s">
        <v>4979</v>
      </c>
      <c r="B4145">
        <v>0</v>
      </c>
      <c r="C4145" s="44" t="s">
        <v>4092</v>
      </c>
      <c r="D4145" t="s">
        <v>293</v>
      </c>
      <c r="E4145" t="s">
        <v>256</v>
      </c>
      <c r="F4145">
        <v>4</v>
      </c>
    </row>
    <row r="4146" spans="1:6" ht="13.2">
      <c r="A4146" t="s">
        <v>4980</v>
      </c>
      <c r="B4146">
        <v>0</v>
      </c>
      <c r="C4146" s="44" t="s">
        <v>4092</v>
      </c>
      <c r="D4146" t="s">
        <v>293</v>
      </c>
      <c r="E4146" t="s">
        <v>256</v>
      </c>
      <c r="F4146">
        <v>4</v>
      </c>
    </row>
    <row r="4147" spans="1:6" ht="13.2">
      <c r="A4147" t="s">
        <v>4981</v>
      </c>
      <c r="B4147">
        <v>0</v>
      </c>
      <c r="C4147" s="44" t="s">
        <v>4092</v>
      </c>
      <c r="D4147" t="s">
        <v>293</v>
      </c>
      <c r="E4147" t="s">
        <v>256</v>
      </c>
      <c r="F4147">
        <v>4</v>
      </c>
    </row>
    <row r="4148" spans="1:6" ht="13.2">
      <c r="A4148" t="s">
        <v>4982</v>
      </c>
      <c r="B4148">
        <v>0</v>
      </c>
      <c r="C4148" s="44" t="s">
        <v>4092</v>
      </c>
      <c r="D4148" t="s">
        <v>293</v>
      </c>
      <c r="E4148" t="s">
        <v>256</v>
      </c>
      <c r="F4148">
        <v>4</v>
      </c>
    </row>
    <row r="4149" spans="1:6" ht="13.2">
      <c r="A4149" t="s">
        <v>4983</v>
      </c>
      <c r="B4149">
        <v>0</v>
      </c>
      <c r="C4149" s="44" t="s">
        <v>4092</v>
      </c>
      <c r="D4149" t="s">
        <v>293</v>
      </c>
      <c r="E4149" t="s">
        <v>256</v>
      </c>
      <c r="F4149">
        <v>4</v>
      </c>
    </row>
    <row r="4150" spans="1:6" ht="13.2">
      <c r="A4150" t="s">
        <v>4984</v>
      </c>
      <c r="B4150">
        <v>0</v>
      </c>
      <c r="C4150" s="44" t="s">
        <v>4092</v>
      </c>
      <c r="D4150" t="s">
        <v>293</v>
      </c>
      <c r="E4150" t="s">
        <v>256</v>
      </c>
      <c r="F4150">
        <v>4</v>
      </c>
    </row>
    <row r="4151" spans="1:6" ht="13.2">
      <c r="A4151" t="s">
        <v>4985</v>
      </c>
      <c r="B4151">
        <v>0</v>
      </c>
      <c r="C4151" s="44" t="s">
        <v>4092</v>
      </c>
      <c r="D4151" t="s">
        <v>293</v>
      </c>
      <c r="E4151" t="s">
        <v>256</v>
      </c>
      <c r="F4151">
        <v>4</v>
      </c>
    </row>
    <row r="4152" spans="1:6" ht="13.2">
      <c r="A4152" t="s">
        <v>4986</v>
      </c>
      <c r="B4152">
        <v>0</v>
      </c>
      <c r="C4152" s="44" t="s">
        <v>4092</v>
      </c>
      <c r="D4152" t="s">
        <v>293</v>
      </c>
      <c r="E4152" t="s">
        <v>256</v>
      </c>
      <c r="F4152">
        <v>4</v>
      </c>
    </row>
    <row r="4153" spans="1:6" ht="13.2">
      <c r="A4153" t="s">
        <v>4987</v>
      </c>
      <c r="B4153">
        <v>0</v>
      </c>
      <c r="C4153" s="44" t="s">
        <v>4092</v>
      </c>
      <c r="D4153" t="s">
        <v>293</v>
      </c>
      <c r="E4153" t="s">
        <v>256</v>
      </c>
      <c r="F4153">
        <v>4</v>
      </c>
    </row>
    <row r="4154" spans="1:6" ht="13.2">
      <c r="A4154" t="s">
        <v>4988</v>
      </c>
      <c r="B4154">
        <v>0</v>
      </c>
      <c r="C4154" s="44" t="s">
        <v>4092</v>
      </c>
      <c r="D4154" t="s">
        <v>293</v>
      </c>
      <c r="E4154" t="s">
        <v>256</v>
      </c>
      <c r="F4154">
        <v>4</v>
      </c>
    </row>
    <row r="4155" spans="1:6" ht="13.2">
      <c r="A4155" t="s">
        <v>4989</v>
      </c>
      <c r="B4155">
        <v>0</v>
      </c>
      <c r="C4155" s="44" t="s">
        <v>4092</v>
      </c>
      <c r="D4155" t="s">
        <v>293</v>
      </c>
      <c r="E4155" t="s">
        <v>256</v>
      </c>
      <c r="F4155">
        <v>4</v>
      </c>
    </row>
    <row r="4156" spans="1:6" ht="13.2">
      <c r="A4156" t="s">
        <v>4990</v>
      </c>
      <c r="B4156">
        <v>0</v>
      </c>
      <c r="C4156" s="44" t="s">
        <v>4092</v>
      </c>
      <c r="D4156" t="s">
        <v>293</v>
      </c>
      <c r="E4156" t="s">
        <v>256</v>
      </c>
      <c r="F4156">
        <v>4</v>
      </c>
    </row>
    <row r="4157" spans="1:6" ht="13.2">
      <c r="A4157" t="s">
        <v>2861</v>
      </c>
      <c r="B4157">
        <v>0</v>
      </c>
      <c r="C4157" s="44">
        <v>1400</v>
      </c>
      <c r="D4157" t="s">
        <v>291</v>
      </c>
      <c r="E4157" t="s">
        <v>579</v>
      </c>
      <c r="F4157">
        <v>4</v>
      </c>
    </row>
    <row r="4158" spans="1:6" ht="13.2">
      <c r="A4158" t="s">
        <v>2862</v>
      </c>
      <c r="B4158">
        <v>0</v>
      </c>
      <c r="C4158" s="44">
        <v>1400</v>
      </c>
      <c r="D4158" t="s">
        <v>291</v>
      </c>
      <c r="E4158" t="s">
        <v>579</v>
      </c>
      <c r="F4158">
        <v>4</v>
      </c>
    </row>
    <row r="4159" spans="1:6" ht="13.2">
      <c r="A4159" t="s">
        <v>2863</v>
      </c>
      <c r="B4159">
        <v>0</v>
      </c>
      <c r="C4159" s="44">
        <v>1400</v>
      </c>
      <c r="D4159" t="s">
        <v>291</v>
      </c>
      <c r="E4159" t="s">
        <v>579</v>
      </c>
      <c r="F4159">
        <v>4</v>
      </c>
    </row>
    <row r="4160" spans="1:6" ht="13.2">
      <c r="A4160" t="s">
        <v>2864</v>
      </c>
      <c r="B4160">
        <v>0</v>
      </c>
      <c r="C4160" s="44">
        <v>1400</v>
      </c>
      <c r="D4160" t="s">
        <v>291</v>
      </c>
      <c r="E4160" t="s">
        <v>579</v>
      </c>
      <c r="F4160">
        <v>4</v>
      </c>
    </row>
    <row r="4161" spans="1:6" ht="13.2">
      <c r="A4161" t="s">
        <v>1809</v>
      </c>
      <c r="B4161">
        <v>0</v>
      </c>
      <c r="C4161" s="44">
        <v>3040</v>
      </c>
      <c r="D4161" t="s">
        <v>293</v>
      </c>
      <c r="E4161" t="s">
        <v>256</v>
      </c>
      <c r="F4161">
        <v>11</v>
      </c>
    </row>
    <row r="4162" spans="1:6" ht="13.2">
      <c r="A4162" t="s">
        <v>1810</v>
      </c>
      <c r="B4162">
        <v>0</v>
      </c>
      <c r="C4162" s="44">
        <v>3040</v>
      </c>
      <c r="D4162" t="s">
        <v>293</v>
      </c>
      <c r="E4162" t="s">
        <v>256</v>
      </c>
      <c r="F4162">
        <v>11</v>
      </c>
    </row>
    <row r="4163" spans="1:6" ht="13.2">
      <c r="A4163" t="s">
        <v>1811</v>
      </c>
      <c r="B4163">
        <v>0</v>
      </c>
      <c r="C4163" s="44">
        <v>3040</v>
      </c>
      <c r="D4163" t="s">
        <v>293</v>
      </c>
      <c r="E4163" t="s">
        <v>256</v>
      </c>
      <c r="F4163">
        <v>11</v>
      </c>
    </row>
    <row r="4164" spans="1:6" ht="13.2">
      <c r="A4164" t="s">
        <v>1812</v>
      </c>
      <c r="B4164">
        <v>0</v>
      </c>
      <c r="C4164" s="44">
        <v>3040</v>
      </c>
      <c r="D4164" t="s">
        <v>293</v>
      </c>
      <c r="E4164" t="s">
        <v>256</v>
      </c>
      <c r="F4164">
        <v>11</v>
      </c>
    </row>
    <row r="4165" spans="1:6" ht="13.2">
      <c r="A4165" t="s">
        <v>1813</v>
      </c>
      <c r="B4165">
        <v>0</v>
      </c>
      <c r="C4165" s="44">
        <v>3040</v>
      </c>
      <c r="D4165" t="s">
        <v>293</v>
      </c>
      <c r="E4165" t="s">
        <v>256</v>
      </c>
      <c r="F4165">
        <v>11</v>
      </c>
    </row>
    <row r="4166" spans="1:6" ht="13.2">
      <c r="A4166" t="s">
        <v>1814</v>
      </c>
      <c r="B4166">
        <v>0</v>
      </c>
      <c r="C4166" s="44">
        <v>3040</v>
      </c>
      <c r="D4166" t="s">
        <v>293</v>
      </c>
      <c r="E4166" t="s">
        <v>256</v>
      </c>
      <c r="F4166">
        <v>11</v>
      </c>
    </row>
    <row r="4167" spans="1:6" ht="13.2">
      <c r="A4167" t="s">
        <v>1815</v>
      </c>
      <c r="B4167">
        <v>0</v>
      </c>
      <c r="C4167" s="44">
        <v>3040</v>
      </c>
      <c r="D4167" t="s">
        <v>293</v>
      </c>
      <c r="E4167" t="s">
        <v>256</v>
      </c>
      <c r="F4167">
        <v>11</v>
      </c>
    </row>
    <row r="4168" spans="1:6" ht="13.2">
      <c r="A4168" t="s">
        <v>1816</v>
      </c>
      <c r="B4168">
        <v>0</v>
      </c>
      <c r="C4168" s="44">
        <v>3040</v>
      </c>
      <c r="D4168" t="s">
        <v>293</v>
      </c>
      <c r="E4168" t="s">
        <v>256</v>
      </c>
      <c r="F4168">
        <v>11</v>
      </c>
    </row>
    <row r="4169" spans="1:6" ht="13.2">
      <c r="A4169" t="s">
        <v>1817</v>
      </c>
      <c r="B4169">
        <v>0</v>
      </c>
      <c r="C4169" s="44">
        <v>3040</v>
      </c>
      <c r="D4169" t="s">
        <v>293</v>
      </c>
      <c r="E4169" t="s">
        <v>256</v>
      </c>
      <c r="F4169">
        <v>11</v>
      </c>
    </row>
    <row r="4170" spans="1:6" ht="13.2">
      <c r="A4170" t="s">
        <v>1818</v>
      </c>
      <c r="B4170">
        <v>0</v>
      </c>
      <c r="C4170" s="44">
        <v>3040</v>
      </c>
      <c r="D4170" t="s">
        <v>293</v>
      </c>
      <c r="E4170" t="s">
        <v>256</v>
      </c>
      <c r="F4170">
        <v>11</v>
      </c>
    </row>
    <row r="4171" spans="1:6" ht="13.2">
      <c r="A4171" t="s">
        <v>1819</v>
      </c>
      <c r="B4171">
        <v>0</v>
      </c>
      <c r="C4171" s="44">
        <v>3040</v>
      </c>
      <c r="D4171" t="s">
        <v>293</v>
      </c>
      <c r="E4171" t="s">
        <v>256</v>
      </c>
      <c r="F4171">
        <v>11</v>
      </c>
    </row>
    <row r="4172" spans="1:6" ht="13.2">
      <c r="A4172" t="s">
        <v>1820</v>
      </c>
      <c r="B4172">
        <v>0</v>
      </c>
      <c r="C4172" s="44">
        <v>3040</v>
      </c>
      <c r="D4172" t="s">
        <v>293</v>
      </c>
      <c r="E4172" t="s">
        <v>256</v>
      </c>
      <c r="F4172">
        <v>11</v>
      </c>
    </row>
    <row r="4173" spans="1:6" ht="13.2">
      <c r="A4173" t="s">
        <v>1821</v>
      </c>
      <c r="B4173">
        <v>0</v>
      </c>
      <c r="C4173" s="44">
        <v>3040</v>
      </c>
      <c r="D4173" t="s">
        <v>293</v>
      </c>
      <c r="E4173" t="s">
        <v>256</v>
      </c>
      <c r="F4173">
        <v>11</v>
      </c>
    </row>
    <row r="4174" spans="1:6" ht="13.2">
      <c r="A4174" t="s">
        <v>1822</v>
      </c>
      <c r="B4174">
        <v>0</v>
      </c>
      <c r="C4174" s="44">
        <v>3040</v>
      </c>
      <c r="D4174" t="s">
        <v>293</v>
      </c>
      <c r="E4174" t="s">
        <v>256</v>
      </c>
      <c r="F4174">
        <v>11</v>
      </c>
    </row>
    <row r="4175" spans="1:6" ht="13.2">
      <c r="A4175" t="s">
        <v>1823</v>
      </c>
      <c r="B4175">
        <v>0</v>
      </c>
      <c r="C4175" s="44">
        <v>3040</v>
      </c>
      <c r="D4175" t="s">
        <v>293</v>
      </c>
      <c r="E4175" t="s">
        <v>256</v>
      </c>
      <c r="F4175">
        <v>11</v>
      </c>
    </row>
    <row r="4176" spans="1:6" ht="13.2">
      <c r="A4176" t="s">
        <v>1824</v>
      </c>
      <c r="B4176">
        <v>0</v>
      </c>
      <c r="C4176" s="44">
        <v>3040</v>
      </c>
      <c r="D4176" t="s">
        <v>293</v>
      </c>
      <c r="E4176" t="s">
        <v>256</v>
      </c>
      <c r="F4176">
        <v>11</v>
      </c>
    </row>
    <row r="4177" spans="1:6" ht="13.2">
      <c r="A4177" t="s">
        <v>1825</v>
      </c>
      <c r="B4177">
        <v>0</v>
      </c>
      <c r="C4177" s="44">
        <v>3040</v>
      </c>
      <c r="D4177" t="s">
        <v>293</v>
      </c>
      <c r="E4177" t="s">
        <v>256</v>
      </c>
      <c r="F4177">
        <v>11</v>
      </c>
    </row>
    <row r="4178" spans="1:6" ht="13.2">
      <c r="A4178" t="s">
        <v>1826</v>
      </c>
      <c r="B4178">
        <v>0</v>
      </c>
      <c r="C4178" s="44">
        <v>3040</v>
      </c>
      <c r="D4178" t="s">
        <v>293</v>
      </c>
      <c r="E4178" t="s">
        <v>256</v>
      </c>
      <c r="F4178">
        <v>11</v>
      </c>
    </row>
    <row r="4179" spans="1:6" ht="13.2">
      <c r="A4179" t="s">
        <v>1827</v>
      </c>
      <c r="B4179">
        <v>0</v>
      </c>
      <c r="C4179" s="44">
        <v>3040</v>
      </c>
      <c r="D4179" t="s">
        <v>293</v>
      </c>
      <c r="E4179" t="s">
        <v>256</v>
      </c>
      <c r="F4179">
        <v>11</v>
      </c>
    </row>
    <row r="4180" spans="1:6" ht="13.2">
      <c r="A4180" t="s">
        <v>1828</v>
      </c>
      <c r="B4180">
        <v>0</v>
      </c>
      <c r="C4180" s="44">
        <v>3040</v>
      </c>
      <c r="D4180" t="s">
        <v>293</v>
      </c>
      <c r="E4180" t="s">
        <v>256</v>
      </c>
      <c r="F4180">
        <v>11</v>
      </c>
    </row>
    <row r="4181" spans="1:6" ht="13.2">
      <c r="A4181" t="s">
        <v>1829</v>
      </c>
      <c r="B4181">
        <v>0</v>
      </c>
      <c r="C4181" s="44">
        <v>3040</v>
      </c>
      <c r="D4181" t="s">
        <v>293</v>
      </c>
      <c r="E4181" t="s">
        <v>256</v>
      </c>
      <c r="F4181">
        <v>11</v>
      </c>
    </row>
    <row r="4182" spans="1:6" ht="13.2">
      <c r="A4182" t="s">
        <v>1830</v>
      </c>
      <c r="B4182">
        <v>0</v>
      </c>
      <c r="C4182" s="44">
        <v>3040</v>
      </c>
      <c r="D4182" t="s">
        <v>293</v>
      </c>
      <c r="E4182" t="s">
        <v>256</v>
      </c>
      <c r="F4182">
        <v>11</v>
      </c>
    </row>
    <row r="4183" spans="1:6" ht="13.2">
      <c r="A4183" t="s">
        <v>1833</v>
      </c>
      <c r="B4183">
        <v>0</v>
      </c>
      <c r="C4183" s="44">
        <v>3040</v>
      </c>
      <c r="D4183" t="s">
        <v>293</v>
      </c>
      <c r="E4183" t="s">
        <v>256</v>
      </c>
      <c r="F4183">
        <v>11</v>
      </c>
    </row>
    <row r="4184" spans="1:6" ht="13.2">
      <c r="A4184" t="s">
        <v>1831</v>
      </c>
      <c r="B4184">
        <v>0</v>
      </c>
      <c r="C4184" s="44">
        <v>3040</v>
      </c>
      <c r="D4184" t="s">
        <v>293</v>
      </c>
      <c r="E4184" t="s">
        <v>256</v>
      </c>
      <c r="F4184">
        <v>11</v>
      </c>
    </row>
    <row r="4185" spans="1:6" ht="13.2">
      <c r="A4185" t="s">
        <v>1832</v>
      </c>
      <c r="B4185">
        <v>0</v>
      </c>
      <c r="C4185" s="44">
        <v>3040</v>
      </c>
      <c r="D4185" t="s">
        <v>293</v>
      </c>
      <c r="E4185" t="s">
        <v>256</v>
      </c>
      <c r="F4185">
        <v>11</v>
      </c>
    </row>
    <row r="4186" spans="1:6" ht="13.2">
      <c r="A4186" t="s">
        <v>2428</v>
      </c>
      <c r="B4186">
        <v>0</v>
      </c>
      <c r="C4186" s="44">
        <v>1400</v>
      </c>
      <c r="D4186" t="s">
        <v>291</v>
      </c>
      <c r="E4186" t="s">
        <v>356</v>
      </c>
      <c r="F4186">
        <v>55</v>
      </c>
    </row>
    <row r="4187" spans="1:6" ht="13.2">
      <c r="A4187" t="s">
        <v>2429</v>
      </c>
      <c r="B4187">
        <v>0</v>
      </c>
      <c r="C4187" s="44">
        <v>1400</v>
      </c>
      <c r="D4187" t="s">
        <v>291</v>
      </c>
      <c r="E4187" t="s">
        <v>356</v>
      </c>
      <c r="F4187">
        <v>55</v>
      </c>
    </row>
    <row r="4188" spans="1:6" ht="13.2">
      <c r="A4188" t="s">
        <v>2430</v>
      </c>
      <c r="B4188">
        <v>0</v>
      </c>
      <c r="C4188" s="44">
        <v>1400</v>
      </c>
      <c r="D4188" t="s">
        <v>291</v>
      </c>
      <c r="E4188" t="s">
        <v>356</v>
      </c>
      <c r="F4188">
        <v>55</v>
      </c>
    </row>
    <row r="4189" spans="1:6" ht="13.2">
      <c r="A4189" t="s">
        <v>2431</v>
      </c>
      <c r="B4189">
        <v>0</v>
      </c>
      <c r="C4189" s="44">
        <v>1400</v>
      </c>
      <c r="D4189" t="s">
        <v>291</v>
      </c>
      <c r="E4189" t="s">
        <v>356</v>
      </c>
      <c r="F4189">
        <v>55</v>
      </c>
    </row>
    <row r="4190" spans="1:6" ht="13.2">
      <c r="A4190" t="s">
        <v>2432</v>
      </c>
      <c r="B4190">
        <v>0</v>
      </c>
      <c r="C4190" s="44">
        <v>1400</v>
      </c>
      <c r="D4190" t="s">
        <v>291</v>
      </c>
      <c r="E4190" t="s">
        <v>356</v>
      </c>
      <c r="F4190">
        <v>55</v>
      </c>
    </row>
    <row r="4191" spans="1:6" ht="13.2">
      <c r="A4191" t="s">
        <v>2433</v>
      </c>
      <c r="B4191">
        <v>0</v>
      </c>
      <c r="C4191" s="44">
        <v>1400</v>
      </c>
      <c r="D4191" t="s">
        <v>291</v>
      </c>
      <c r="E4191" t="s">
        <v>356</v>
      </c>
      <c r="F4191">
        <v>55</v>
      </c>
    </row>
    <row r="4192" spans="1:6" ht="13.2">
      <c r="A4192" t="s">
        <v>2434</v>
      </c>
      <c r="B4192">
        <v>0</v>
      </c>
      <c r="C4192" s="44">
        <v>1400</v>
      </c>
      <c r="D4192" t="s">
        <v>291</v>
      </c>
      <c r="E4192" t="s">
        <v>356</v>
      </c>
      <c r="F4192">
        <v>55</v>
      </c>
    </row>
    <row r="4193" spans="1:6" ht="13.2">
      <c r="A4193" t="s">
        <v>2435</v>
      </c>
      <c r="B4193">
        <v>0</v>
      </c>
      <c r="C4193" s="44">
        <v>1400</v>
      </c>
      <c r="D4193" t="s">
        <v>291</v>
      </c>
      <c r="E4193" t="s">
        <v>356</v>
      </c>
      <c r="F4193">
        <v>55</v>
      </c>
    </row>
    <row r="4194" spans="1:6" ht="13.2">
      <c r="A4194" t="s">
        <v>2436</v>
      </c>
      <c r="B4194">
        <v>0</v>
      </c>
      <c r="C4194" s="44">
        <v>1400</v>
      </c>
      <c r="D4194" t="s">
        <v>291</v>
      </c>
      <c r="E4194" t="s">
        <v>356</v>
      </c>
      <c r="F4194">
        <v>55</v>
      </c>
    </row>
    <row r="4195" spans="1:6" ht="13.2">
      <c r="A4195" t="s">
        <v>2437</v>
      </c>
      <c r="B4195">
        <v>0</v>
      </c>
      <c r="C4195" s="44">
        <v>1400</v>
      </c>
      <c r="D4195" t="s">
        <v>291</v>
      </c>
      <c r="E4195" t="s">
        <v>356</v>
      </c>
      <c r="F4195">
        <v>55</v>
      </c>
    </row>
    <row r="4196" spans="1:6" ht="13.2">
      <c r="A4196" t="s">
        <v>2438</v>
      </c>
      <c r="B4196">
        <v>0</v>
      </c>
      <c r="C4196" s="44">
        <v>1400</v>
      </c>
      <c r="D4196" t="s">
        <v>291</v>
      </c>
      <c r="E4196" t="s">
        <v>356</v>
      </c>
      <c r="F4196">
        <v>55</v>
      </c>
    </row>
    <row r="4197" spans="1:6" ht="13.2">
      <c r="A4197" t="s">
        <v>2439</v>
      </c>
      <c r="B4197">
        <v>0</v>
      </c>
      <c r="C4197" s="44">
        <v>1400</v>
      </c>
      <c r="D4197" t="s">
        <v>291</v>
      </c>
      <c r="E4197" t="s">
        <v>356</v>
      </c>
      <c r="F4197">
        <v>55</v>
      </c>
    </row>
    <row r="4198" spans="1:6" ht="13.2">
      <c r="A4198" t="s">
        <v>2440</v>
      </c>
      <c r="B4198">
        <v>0</v>
      </c>
      <c r="C4198" s="44">
        <v>1400</v>
      </c>
      <c r="D4198" t="s">
        <v>291</v>
      </c>
      <c r="E4198" t="s">
        <v>356</v>
      </c>
      <c r="F4198">
        <v>55</v>
      </c>
    </row>
    <row r="4199" spans="1:6" ht="13.2">
      <c r="A4199" t="s">
        <v>2441</v>
      </c>
      <c r="B4199">
        <v>0</v>
      </c>
      <c r="C4199" s="44">
        <v>1400</v>
      </c>
      <c r="D4199" t="s">
        <v>291</v>
      </c>
      <c r="E4199" t="s">
        <v>356</v>
      </c>
      <c r="F4199">
        <v>55</v>
      </c>
    </row>
    <row r="4200" spans="1:6" ht="13.2">
      <c r="A4200" t="s">
        <v>2442</v>
      </c>
      <c r="B4200">
        <v>0</v>
      </c>
      <c r="C4200" s="44">
        <v>1400</v>
      </c>
      <c r="D4200" t="s">
        <v>291</v>
      </c>
      <c r="E4200" t="s">
        <v>356</v>
      </c>
      <c r="F4200">
        <v>55</v>
      </c>
    </row>
    <row r="4201" spans="1:6" ht="13.2">
      <c r="A4201" t="s">
        <v>2443</v>
      </c>
      <c r="B4201">
        <v>0</v>
      </c>
      <c r="C4201" s="44">
        <v>1400</v>
      </c>
      <c r="D4201" t="s">
        <v>291</v>
      </c>
      <c r="E4201" t="s">
        <v>356</v>
      </c>
      <c r="F4201">
        <v>55</v>
      </c>
    </row>
    <row r="4202" spans="1:6" ht="13.2">
      <c r="A4202" t="s">
        <v>2444</v>
      </c>
      <c r="B4202">
        <v>0</v>
      </c>
      <c r="C4202" s="44">
        <v>1400</v>
      </c>
      <c r="D4202" t="s">
        <v>291</v>
      </c>
      <c r="E4202" t="s">
        <v>356</v>
      </c>
      <c r="F4202">
        <v>55</v>
      </c>
    </row>
    <row r="4203" spans="1:6" ht="13.2">
      <c r="A4203" t="s">
        <v>2445</v>
      </c>
      <c r="B4203">
        <v>0</v>
      </c>
      <c r="C4203" s="44">
        <v>1400</v>
      </c>
      <c r="D4203" t="s">
        <v>291</v>
      </c>
      <c r="E4203" t="s">
        <v>356</v>
      </c>
      <c r="F4203">
        <v>55</v>
      </c>
    </row>
    <row r="4204" spans="1:6" ht="13.2">
      <c r="A4204" t="s">
        <v>2446</v>
      </c>
      <c r="B4204">
        <v>0</v>
      </c>
      <c r="C4204" s="44">
        <v>1400</v>
      </c>
      <c r="D4204" t="s">
        <v>291</v>
      </c>
      <c r="E4204" t="s">
        <v>356</v>
      </c>
      <c r="F4204">
        <v>55</v>
      </c>
    </row>
    <row r="4205" spans="1:6" ht="13.2">
      <c r="A4205" t="s">
        <v>2447</v>
      </c>
      <c r="B4205">
        <v>0</v>
      </c>
      <c r="C4205" s="44">
        <v>1400</v>
      </c>
      <c r="D4205" t="s">
        <v>291</v>
      </c>
      <c r="E4205" t="s">
        <v>356</v>
      </c>
      <c r="F4205">
        <v>55</v>
      </c>
    </row>
    <row r="4206" spans="1:6" ht="13.2">
      <c r="A4206" t="s">
        <v>2448</v>
      </c>
      <c r="B4206">
        <v>0</v>
      </c>
      <c r="C4206" s="44">
        <v>1400</v>
      </c>
      <c r="D4206" t="s">
        <v>291</v>
      </c>
      <c r="E4206" t="s">
        <v>356</v>
      </c>
      <c r="F4206">
        <v>55</v>
      </c>
    </row>
    <row r="4207" spans="1:6" ht="13.2">
      <c r="A4207" t="s">
        <v>2449</v>
      </c>
      <c r="B4207">
        <v>0</v>
      </c>
      <c r="C4207" s="44">
        <v>1400</v>
      </c>
      <c r="D4207" t="s">
        <v>291</v>
      </c>
      <c r="E4207" t="s">
        <v>356</v>
      </c>
      <c r="F4207">
        <v>55</v>
      </c>
    </row>
    <row r="4208" spans="1:6" ht="13.2">
      <c r="A4208" t="s">
        <v>2450</v>
      </c>
      <c r="B4208">
        <v>0</v>
      </c>
      <c r="C4208" s="44">
        <v>1400</v>
      </c>
      <c r="D4208" t="s">
        <v>291</v>
      </c>
      <c r="E4208" t="s">
        <v>356</v>
      </c>
      <c r="F4208">
        <v>55</v>
      </c>
    </row>
    <row r="4209" spans="1:6" ht="13.2">
      <c r="A4209" t="s">
        <v>2451</v>
      </c>
      <c r="B4209">
        <v>0</v>
      </c>
      <c r="C4209" s="44">
        <v>1400</v>
      </c>
      <c r="D4209" t="s">
        <v>291</v>
      </c>
      <c r="E4209" t="s">
        <v>356</v>
      </c>
      <c r="F4209">
        <v>55</v>
      </c>
    </row>
    <row r="4210" spans="1:6" ht="13.2">
      <c r="A4210" t="s">
        <v>2452</v>
      </c>
      <c r="B4210">
        <v>0</v>
      </c>
      <c r="C4210" s="44">
        <v>1400</v>
      </c>
      <c r="D4210" t="s">
        <v>291</v>
      </c>
      <c r="E4210" t="s">
        <v>356</v>
      </c>
      <c r="F4210">
        <v>55</v>
      </c>
    </row>
    <row r="4211" spans="1:6" ht="13.2">
      <c r="A4211" t="s">
        <v>2453</v>
      </c>
      <c r="B4211">
        <v>0</v>
      </c>
      <c r="C4211" s="44">
        <v>1400</v>
      </c>
      <c r="D4211" t="s">
        <v>291</v>
      </c>
      <c r="E4211" t="s">
        <v>356</v>
      </c>
      <c r="F4211">
        <v>55</v>
      </c>
    </row>
    <row r="4212" spans="1:6" ht="13.2">
      <c r="A4212" t="s">
        <v>2454</v>
      </c>
      <c r="B4212">
        <v>0</v>
      </c>
      <c r="C4212" s="44">
        <v>1400</v>
      </c>
      <c r="D4212" t="s">
        <v>291</v>
      </c>
      <c r="E4212" t="s">
        <v>356</v>
      </c>
      <c r="F4212">
        <v>55</v>
      </c>
    </row>
    <row r="4213" spans="1:6" ht="13.2">
      <c r="A4213" t="s">
        <v>2455</v>
      </c>
      <c r="B4213">
        <v>0</v>
      </c>
      <c r="C4213" s="44">
        <v>1400</v>
      </c>
      <c r="D4213" t="s">
        <v>291</v>
      </c>
      <c r="E4213" t="s">
        <v>356</v>
      </c>
      <c r="F4213">
        <v>55</v>
      </c>
    </row>
    <row r="4214" spans="1:6" ht="13.2">
      <c r="A4214" t="s">
        <v>2456</v>
      </c>
      <c r="B4214">
        <v>0</v>
      </c>
      <c r="C4214" s="44">
        <v>1400</v>
      </c>
      <c r="D4214" t="s">
        <v>291</v>
      </c>
      <c r="E4214" t="s">
        <v>356</v>
      </c>
      <c r="F4214">
        <v>55</v>
      </c>
    </row>
    <row r="4215" spans="1:6" ht="13.2">
      <c r="A4215" t="s">
        <v>2457</v>
      </c>
      <c r="B4215">
        <v>0</v>
      </c>
      <c r="C4215" s="44">
        <v>1400</v>
      </c>
      <c r="D4215" t="s">
        <v>291</v>
      </c>
      <c r="E4215" t="s">
        <v>356</v>
      </c>
      <c r="F4215">
        <v>55</v>
      </c>
    </row>
    <row r="4216" spans="1:6" ht="13.2">
      <c r="A4216" t="s">
        <v>2458</v>
      </c>
      <c r="B4216">
        <v>0</v>
      </c>
      <c r="C4216" s="44">
        <v>1400</v>
      </c>
      <c r="D4216" t="s">
        <v>291</v>
      </c>
      <c r="E4216" t="s">
        <v>356</v>
      </c>
      <c r="F4216">
        <v>55</v>
      </c>
    </row>
    <row r="4217" spans="1:6" ht="13.2">
      <c r="A4217" t="s">
        <v>2459</v>
      </c>
      <c r="B4217">
        <v>0</v>
      </c>
      <c r="C4217" s="44">
        <v>1400</v>
      </c>
      <c r="D4217" t="s">
        <v>291</v>
      </c>
      <c r="E4217" t="s">
        <v>356</v>
      </c>
      <c r="F4217">
        <v>55</v>
      </c>
    </row>
    <row r="4218" spans="1:6" ht="13.2">
      <c r="A4218" t="s">
        <v>2460</v>
      </c>
      <c r="B4218">
        <v>0</v>
      </c>
      <c r="C4218" s="44">
        <v>1400</v>
      </c>
      <c r="D4218" t="s">
        <v>291</v>
      </c>
      <c r="E4218" t="s">
        <v>356</v>
      </c>
      <c r="F4218">
        <v>55</v>
      </c>
    </row>
    <row r="4219" spans="1:6" ht="13.2">
      <c r="A4219" t="s">
        <v>2461</v>
      </c>
      <c r="B4219">
        <v>0</v>
      </c>
      <c r="C4219" s="44">
        <v>1400</v>
      </c>
      <c r="D4219" t="s">
        <v>291</v>
      </c>
      <c r="E4219" t="s">
        <v>356</v>
      </c>
      <c r="F4219">
        <v>55</v>
      </c>
    </row>
    <row r="4220" spans="1:6" ht="13.2">
      <c r="A4220" t="s">
        <v>2462</v>
      </c>
      <c r="B4220">
        <v>0</v>
      </c>
      <c r="C4220" s="44">
        <v>1400</v>
      </c>
      <c r="D4220" t="s">
        <v>291</v>
      </c>
      <c r="E4220" t="s">
        <v>356</v>
      </c>
      <c r="F4220">
        <v>55</v>
      </c>
    </row>
    <row r="4221" spans="1:6" ht="13.2">
      <c r="A4221" t="s">
        <v>2463</v>
      </c>
      <c r="B4221">
        <v>0</v>
      </c>
      <c r="C4221" s="44">
        <v>1400</v>
      </c>
      <c r="D4221" t="s">
        <v>291</v>
      </c>
      <c r="E4221" t="s">
        <v>356</v>
      </c>
      <c r="F4221">
        <v>55</v>
      </c>
    </row>
    <row r="4222" spans="1:6" ht="13.2">
      <c r="A4222" t="s">
        <v>2464</v>
      </c>
      <c r="B4222">
        <v>0</v>
      </c>
      <c r="C4222" s="44">
        <v>1400</v>
      </c>
      <c r="D4222" t="s">
        <v>291</v>
      </c>
      <c r="E4222" t="s">
        <v>356</v>
      </c>
      <c r="F4222">
        <v>55</v>
      </c>
    </row>
    <row r="4223" spans="1:6" ht="13.2">
      <c r="A4223" t="s">
        <v>2465</v>
      </c>
      <c r="B4223">
        <v>0</v>
      </c>
      <c r="C4223" s="44">
        <v>1400</v>
      </c>
      <c r="D4223" t="s">
        <v>291</v>
      </c>
      <c r="E4223" t="s">
        <v>356</v>
      </c>
      <c r="F4223">
        <v>55</v>
      </c>
    </row>
    <row r="4224" spans="1:6" ht="13.2">
      <c r="A4224" t="s">
        <v>2466</v>
      </c>
      <c r="B4224">
        <v>0</v>
      </c>
      <c r="C4224" s="44">
        <v>1400</v>
      </c>
      <c r="D4224" t="s">
        <v>291</v>
      </c>
      <c r="E4224" t="s">
        <v>356</v>
      </c>
      <c r="F4224">
        <v>55</v>
      </c>
    </row>
    <row r="4225" spans="1:6" ht="13.2">
      <c r="A4225" t="s">
        <v>2467</v>
      </c>
      <c r="B4225">
        <v>0</v>
      </c>
      <c r="C4225" s="44">
        <v>1400</v>
      </c>
      <c r="D4225" t="s">
        <v>291</v>
      </c>
      <c r="E4225" t="s">
        <v>356</v>
      </c>
      <c r="F4225">
        <v>55</v>
      </c>
    </row>
    <row r="4226" spans="1:6" ht="13.2">
      <c r="A4226" t="s">
        <v>2468</v>
      </c>
      <c r="B4226">
        <v>0</v>
      </c>
      <c r="C4226" s="44">
        <v>1400</v>
      </c>
      <c r="D4226" t="s">
        <v>291</v>
      </c>
      <c r="E4226" t="s">
        <v>356</v>
      </c>
      <c r="F4226">
        <v>55</v>
      </c>
    </row>
    <row r="4227" spans="1:6" ht="13.2">
      <c r="A4227" t="s">
        <v>2469</v>
      </c>
      <c r="B4227">
        <v>0</v>
      </c>
      <c r="C4227" s="44">
        <v>1400</v>
      </c>
      <c r="D4227" t="s">
        <v>291</v>
      </c>
      <c r="E4227" t="s">
        <v>356</v>
      </c>
      <c r="F4227">
        <v>55</v>
      </c>
    </row>
    <row r="4228" spans="1:6" ht="13.2">
      <c r="A4228" t="s">
        <v>2470</v>
      </c>
      <c r="B4228">
        <v>0</v>
      </c>
      <c r="C4228" s="44">
        <v>1400</v>
      </c>
      <c r="D4228" t="s">
        <v>291</v>
      </c>
      <c r="E4228" t="s">
        <v>356</v>
      </c>
      <c r="F4228">
        <v>55</v>
      </c>
    </row>
    <row r="4229" spans="1:6" ht="13.2">
      <c r="A4229" t="s">
        <v>2471</v>
      </c>
      <c r="B4229">
        <v>0</v>
      </c>
      <c r="C4229" s="44">
        <v>1400</v>
      </c>
      <c r="D4229" t="s">
        <v>291</v>
      </c>
      <c r="E4229" t="s">
        <v>356</v>
      </c>
      <c r="F4229">
        <v>55</v>
      </c>
    </row>
    <row r="4230" spans="1:6" ht="13.2">
      <c r="A4230" t="s">
        <v>2472</v>
      </c>
      <c r="B4230">
        <v>0</v>
      </c>
      <c r="C4230" s="44">
        <v>1400</v>
      </c>
      <c r="D4230" t="s">
        <v>291</v>
      </c>
      <c r="E4230" t="s">
        <v>356</v>
      </c>
      <c r="F4230">
        <v>55</v>
      </c>
    </row>
    <row r="4231" spans="1:6" ht="13.2">
      <c r="A4231" t="s">
        <v>2473</v>
      </c>
      <c r="B4231">
        <v>0</v>
      </c>
      <c r="C4231" s="44">
        <v>1400</v>
      </c>
      <c r="D4231" t="s">
        <v>291</v>
      </c>
      <c r="E4231" t="s">
        <v>356</v>
      </c>
      <c r="F4231">
        <v>55</v>
      </c>
    </row>
    <row r="4232" spans="1:6" ht="13.2">
      <c r="A4232" t="s">
        <v>2474</v>
      </c>
      <c r="B4232">
        <v>0</v>
      </c>
      <c r="C4232" s="44">
        <v>1400</v>
      </c>
      <c r="D4232" t="s">
        <v>291</v>
      </c>
      <c r="E4232" t="s">
        <v>356</v>
      </c>
      <c r="F4232">
        <v>55</v>
      </c>
    </row>
    <row r="4233" spans="1:6" ht="13.2">
      <c r="A4233" t="s">
        <v>2475</v>
      </c>
      <c r="B4233">
        <v>0</v>
      </c>
      <c r="C4233" s="44">
        <v>1400</v>
      </c>
      <c r="D4233" t="s">
        <v>291</v>
      </c>
      <c r="E4233" t="s">
        <v>356</v>
      </c>
      <c r="F4233">
        <v>55</v>
      </c>
    </row>
    <row r="4234" spans="1:6" ht="13.2">
      <c r="A4234" t="s">
        <v>2476</v>
      </c>
      <c r="B4234">
        <v>0</v>
      </c>
      <c r="C4234" s="44">
        <v>1400</v>
      </c>
      <c r="D4234" t="s">
        <v>291</v>
      </c>
      <c r="E4234" t="s">
        <v>356</v>
      </c>
      <c r="F4234">
        <v>55</v>
      </c>
    </row>
    <row r="4235" spans="1:6" ht="13.2">
      <c r="A4235" t="s">
        <v>2477</v>
      </c>
      <c r="B4235">
        <v>0</v>
      </c>
      <c r="C4235" s="44">
        <v>1400</v>
      </c>
      <c r="D4235" t="s">
        <v>291</v>
      </c>
      <c r="E4235" t="s">
        <v>356</v>
      </c>
      <c r="F4235">
        <v>55</v>
      </c>
    </row>
    <row r="4236" spans="1:6" ht="13.2">
      <c r="A4236" t="s">
        <v>2478</v>
      </c>
      <c r="B4236">
        <v>0</v>
      </c>
      <c r="C4236" s="44">
        <v>1400</v>
      </c>
      <c r="D4236" t="s">
        <v>291</v>
      </c>
      <c r="E4236" t="s">
        <v>356</v>
      </c>
      <c r="F4236">
        <v>55</v>
      </c>
    </row>
    <row r="4237" spans="1:6" ht="13.2">
      <c r="A4237" t="s">
        <v>2479</v>
      </c>
      <c r="B4237">
        <v>0</v>
      </c>
      <c r="C4237" s="44">
        <v>1400</v>
      </c>
      <c r="D4237" t="s">
        <v>291</v>
      </c>
      <c r="E4237" t="s">
        <v>356</v>
      </c>
      <c r="F4237">
        <v>55</v>
      </c>
    </row>
    <row r="4238" spans="1:6" ht="13.2">
      <c r="A4238" t="s">
        <v>2480</v>
      </c>
      <c r="B4238">
        <v>0</v>
      </c>
      <c r="C4238" s="44">
        <v>1400</v>
      </c>
      <c r="D4238" t="s">
        <v>291</v>
      </c>
      <c r="E4238" t="s">
        <v>356</v>
      </c>
      <c r="F4238">
        <v>55</v>
      </c>
    </row>
    <row r="4239" spans="1:6" ht="13.2">
      <c r="A4239" t="s">
        <v>2481</v>
      </c>
      <c r="B4239">
        <v>0</v>
      </c>
      <c r="C4239" s="44">
        <v>1400</v>
      </c>
      <c r="D4239" t="s">
        <v>291</v>
      </c>
      <c r="E4239" t="s">
        <v>356</v>
      </c>
      <c r="F4239">
        <v>55</v>
      </c>
    </row>
    <row r="4240" spans="1:6" ht="13.2">
      <c r="A4240" t="s">
        <v>2482</v>
      </c>
      <c r="B4240">
        <v>0</v>
      </c>
      <c r="C4240" s="44">
        <v>1400</v>
      </c>
      <c r="D4240" t="s">
        <v>291</v>
      </c>
      <c r="E4240" t="s">
        <v>356</v>
      </c>
      <c r="F4240">
        <v>55</v>
      </c>
    </row>
    <row r="4241" spans="1:6" ht="13.2">
      <c r="A4241" t="s">
        <v>2483</v>
      </c>
      <c r="B4241">
        <v>0</v>
      </c>
      <c r="C4241" s="44">
        <v>1400</v>
      </c>
      <c r="D4241" t="s">
        <v>291</v>
      </c>
      <c r="E4241" t="s">
        <v>356</v>
      </c>
      <c r="F4241">
        <v>55</v>
      </c>
    </row>
    <row r="4242" spans="1:6" ht="13.2">
      <c r="A4242" t="s">
        <v>2484</v>
      </c>
      <c r="B4242">
        <v>0</v>
      </c>
      <c r="C4242" s="44">
        <v>1400</v>
      </c>
      <c r="D4242" t="s">
        <v>291</v>
      </c>
      <c r="E4242" t="s">
        <v>356</v>
      </c>
      <c r="F4242">
        <v>55</v>
      </c>
    </row>
    <row r="4243" spans="1:6" ht="13.2">
      <c r="A4243" t="s">
        <v>2485</v>
      </c>
      <c r="B4243">
        <v>0</v>
      </c>
      <c r="C4243" s="44">
        <v>1400</v>
      </c>
      <c r="D4243" t="s">
        <v>291</v>
      </c>
      <c r="E4243" t="s">
        <v>356</v>
      </c>
      <c r="F4243">
        <v>55</v>
      </c>
    </row>
    <row r="4244" spans="1:6" ht="13.2">
      <c r="A4244" t="s">
        <v>2486</v>
      </c>
      <c r="B4244">
        <v>0</v>
      </c>
      <c r="C4244" s="44">
        <v>1400</v>
      </c>
      <c r="D4244" t="s">
        <v>291</v>
      </c>
      <c r="E4244" t="s">
        <v>356</v>
      </c>
      <c r="F4244">
        <v>55</v>
      </c>
    </row>
    <row r="4245" spans="1:6" ht="13.2">
      <c r="A4245" t="s">
        <v>2487</v>
      </c>
      <c r="B4245">
        <v>0</v>
      </c>
      <c r="C4245" s="44">
        <v>1400</v>
      </c>
      <c r="D4245" t="s">
        <v>291</v>
      </c>
      <c r="E4245" t="s">
        <v>356</v>
      </c>
      <c r="F4245">
        <v>55</v>
      </c>
    </row>
    <row r="4246" spans="1:6" ht="13.2">
      <c r="A4246" t="s">
        <v>2488</v>
      </c>
      <c r="B4246">
        <v>0</v>
      </c>
      <c r="C4246" s="44">
        <v>1400</v>
      </c>
      <c r="D4246" t="s">
        <v>291</v>
      </c>
      <c r="E4246" t="s">
        <v>364</v>
      </c>
      <c r="F4246">
        <v>10</v>
      </c>
    </row>
    <row r="4247" spans="1:6" ht="13.2">
      <c r="A4247" t="s">
        <v>2489</v>
      </c>
      <c r="B4247">
        <v>0</v>
      </c>
      <c r="C4247" s="44">
        <v>1400</v>
      </c>
      <c r="D4247" t="s">
        <v>291</v>
      </c>
      <c r="E4247" t="s">
        <v>364</v>
      </c>
      <c r="F4247">
        <v>10</v>
      </c>
    </row>
    <row r="4248" spans="1:6" ht="13.2">
      <c r="A4248" t="s">
        <v>2490</v>
      </c>
      <c r="B4248">
        <v>0</v>
      </c>
      <c r="C4248" s="44">
        <v>1400</v>
      </c>
      <c r="D4248" t="s">
        <v>291</v>
      </c>
      <c r="E4248" t="s">
        <v>364</v>
      </c>
      <c r="F4248">
        <v>10</v>
      </c>
    </row>
    <row r="4249" spans="1:6" ht="13.2">
      <c r="A4249" t="s">
        <v>2491</v>
      </c>
      <c r="B4249">
        <v>0</v>
      </c>
      <c r="C4249" s="44">
        <v>1400</v>
      </c>
      <c r="D4249" t="s">
        <v>291</v>
      </c>
      <c r="E4249" t="s">
        <v>364</v>
      </c>
      <c r="F4249">
        <v>10</v>
      </c>
    </row>
    <row r="4250" spans="1:6" ht="13.2">
      <c r="A4250" t="s">
        <v>2492</v>
      </c>
      <c r="B4250">
        <v>0</v>
      </c>
      <c r="C4250" s="44">
        <v>1400</v>
      </c>
      <c r="D4250" t="s">
        <v>291</v>
      </c>
      <c r="E4250" t="s">
        <v>364</v>
      </c>
      <c r="F4250">
        <v>10</v>
      </c>
    </row>
    <row r="4251" spans="1:6" ht="13.2">
      <c r="A4251" t="s">
        <v>2493</v>
      </c>
      <c r="B4251">
        <v>0</v>
      </c>
      <c r="C4251" s="44">
        <v>1400</v>
      </c>
      <c r="D4251" t="s">
        <v>291</v>
      </c>
      <c r="E4251" t="s">
        <v>364</v>
      </c>
      <c r="F4251">
        <v>10</v>
      </c>
    </row>
    <row r="4252" spans="1:6" ht="13.2">
      <c r="A4252" t="s">
        <v>2494</v>
      </c>
      <c r="B4252">
        <v>0</v>
      </c>
      <c r="C4252" s="44">
        <v>1400</v>
      </c>
      <c r="D4252" t="s">
        <v>291</v>
      </c>
      <c r="E4252" t="s">
        <v>364</v>
      </c>
      <c r="F4252">
        <v>10</v>
      </c>
    </row>
    <row r="4253" spans="1:6" ht="13.2">
      <c r="A4253" t="s">
        <v>2495</v>
      </c>
      <c r="B4253">
        <v>0</v>
      </c>
      <c r="C4253" s="44">
        <v>1400</v>
      </c>
      <c r="D4253" t="s">
        <v>291</v>
      </c>
      <c r="E4253" t="s">
        <v>364</v>
      </c>
      <c r="F4253">
        <v>10</v>
      </c>
    </row>
    <row r="4254" spans="1:6" ht="13.2">
      <c r="A4254" t="s">
        <v>2496</v>
      </c>
      <c r="B4254">
        <v>0</v>
      </c>
      <c r="C4254" s="44">
        <v>1400</v>
      </c>
      <c r="D4254" t="s">
        <v>291</v>
      </c>
      <c r="E4254" t="s">
        <v>364</v>
      </c>
      <c r="F4254">
        <v>10</v>
      </c>
    </row>
    <row r="4255" spans="1:6" ht="13.2">
      <c r="A4255" t="s">
        <v>2497</v>
      </c>
      <c r="B4255">
        <v>0</v>
      </c>
      <c r="C4255" s="44">
        <v>1400</v>
      </c>
      <c r="D4255" t="s">
        <v>291</v>
      </c>
      <c r="E4255" t="s">
        <v>364</v>
      </c>
      <c r="F4255">
        <v>10</v>
      </c>
    </row>
    <row r="4256" spans="1:6" ht="13.2">
      <c r="A4256" t="s">
        <v>2498</v>
      </c>
      <c r="B4256">
        <v>0</v>
      </c>
      <c r="C4256" s="44">
        <v>1400</v>
      </c>
      <c r="D4256" t="s">
        <v>291</v>
      </c>
      <c r="E4256" t="s">
        <v>364</v>
      </c>
      <c r="F4256">
        <v>10</v>
      </c>
    </row>
    <row r="4257" spans="1:6" ht="13.2">
      <c r="A4257" t="s">
        <v>2499</v>
      </c>
      <c r="B4257">
        <v>0</v>
      </c>
      <c r="C4257" s="44">
        <v>1400</v>
      </c>
      <c r="D4257" t="s">
        <v>291</v>
      </c>
      <c r="E4257" t="s">
        <v>364</v>
      </c>
      <c r="F4257">
        <v>10</v>
      </c>
    </row>
    <row r="4258" spans="1:6" ht="13.2">
      <c r="A4258" t="s">
        <v>2500</v>
      </c>
      <c r="B4258">
        <v>0</v>
      </c>
      <c r="C4258" s="44">
        <v>1400</v>
      </c>
      <c r="D4258" t="s">
        <v>291</v>
      </c>
      <c r="E4258" t="s">
        <v>364</v>
      </c>
      <c r="F4258">
        <v>10</v>
      </c>
    </row>
    <row r="4259" spans="1:6" ht="13.2">
      <c r="A4259" t="s">
        <v>2501</v>
      </c>
      <c r="B4259">
        <v>0</v>
      </c>
      <c r="C4259" s="44">
        <v>1400</v>
      </c>
      <c r="D4259" t="s">
        <v>291</v>
      </c>
      <c r="E4259" t="s">
        <v>364</v>
      </c>
      <c r="F4259">
        <v>10</v>
      </c>
    </row>
    <row r="4260" spans="1:6" ht="13.2">
      <c r="A4260" t="s">
        <v>2502</v>
      </c>
      <c r="B4260">
        <v>0</v>
      </c>
      <c r="C4260" s="44">
        <v>1400</v>
      </c>
      <c r="D4260" t="s">
        <v>291</v>
      </c>
      <c r="E4260" t="s">
        <v>364</v>
      </c>
      <c r="F4260">
        <v>10</v>
      </c>
    </row>
    <row r="4261" spans="1:6" ht="13.2">
      <c r="A4261" t="s">
        <v>2503</v>
      </c>
      <c r="B4261">
        <v>0</v>
      </c>
      <c r="C4261" s="44">
        <v>1400</v>
      </c>
      <c r="D4261" t="s">
        <v>291</v>
      </c>
      <c r="E4261" t="s">
        <v>364</v>
      </c>
      <c r="F4261">
        <v>10</v>
      </c>
    </row>
    <row r="4262" spans="1:6" ht="13.2">
      <c r="A4262" t="s">
        <v>2504</v>
      </c>
      <c r="B4262">
        <v>0</v>
      </c>
      <c r="C4262" s="44">
        <v>1400</v>
      </c>
      <c r="D4262" t="s">
        <v>291</v>
      </c>
      <c r="E4262" t="s">
        <v>364</v>
      </c>
      <c r="F4262">
        <v>10</v>
      </c>
    </row>
    <row r="4263" spans="1:6" ht="13.2">
      <c r="A4263" t="s">
        <v>2505</v>
      </c>
      <c r="B4263">
        <v>0</v>
      </c>
      <c r="C4263" s="44">
        <v>1400</v>
      </c>
      <c r="D4263" t="s">
        <v>291</v>
      </c>
      <c r="E4263" t="s">
        <v>364</v>
      </c>
      <c r="F4263">
        <v>10</v>
      </c>
    </row>
    <row r="4264" spans="1:6" ht="13.2">
      <c r="A4264" t="s">
        <v>2506</v>
      </c>
      <c r="B4264">
        <v>0</v>
      </c>
      <c r="C4264" s="44">
        <v>1400</v>
      </c>
      <c r="D4264" t="s">
        <v>291</v>
      </c>
      <c r="E4264" t="s">
        <v>364</v>
      </c>
      <c r="F4264">
        <v>10</v>
      </c>
    </row>
    <row r="4265" spans="1:6" ht="13.2">
      <c r="A4265" t="s">
        <v>2507</v>
      </c>
      <c r="B4265">
        <v>0</v>
      </c>
      <c r="C4265" s="44">
        <v>1400</v>
      </c>
      <c r="D4265" t="s">
        <v>291</v>
      </c>
      <c r="E4265" t="s">
        <v>364</v>
      </c>
      <c r="F4265">
        <v>10</v>
      </c>
    </row>
    <row r="4266" spans="1:6" ht="13.2">
      <c r="A4266" t="s">
        <v>2508</v>
      </c>
      <c r="B4266">
        <v>0</v>
      </c>
      <c r="C4266" s="44">
        <v>1400</v>
      </c>
      <c r="D4266" t="s">
        <v>291</v>
      </c>
      <c r="E4266" t="s">
        <v>364</v>
      </c>
      <c r="F4266">
        <v>10</v>
      </c>
    </row>
    <row r="4267" spans="1:6" ht="13.2">
      <c r="A4267" t="s">
        <v>2509</v>
      </c>
      <c r="B4267">
        <v>0</v>
      </c>
      <c r="C4267" s="44">
        <v>1400</v>
      </c>
      <c r="D4267" t="s">
        <v>291</v>
      </c>
      <c r="E4267" t="s">
        <v>364</v>
      </c>
      <c r="F4267">
        <v>10</v>
      </c>
    </row>
    <row r="4268" spans="1:6" ht="13.2">
      <c r="A4268" t="s">
        <v>3049</v>
      </c>
      <c r="B4268">
        <v>0</v>
      </c>
      <c r="C4268" s="44">
        <v>1380</v>
      </c>
      <c r="D4268" t="s">
        <v>291</v>
      </c>
      <c r="E4268" t="s">
        <v>654</v>
      </c>
      <c r="F4268">
        <v>4</v>
      </c>
    </row>
    <row r="4269" spans="1:6" ht="13.2">
      <c r="A4269" t="s">
        <v>3050</v>
      </c>
      <c r="B4269">
        <v>0</v>
      </c>
      <c r="C4269" s="44">
        <v>1380</v>
      </c>
      <c r="D4269" t="s">
        <v>291</v>
      </c>
      <c r="E4269" t="s">
        <v>654</v>
      </c>
      <c r="F4269">
        <v>4</v>
      </c>
    </row>
    <row r="4270" spans="1:6" ht="13.2">
      <c r="A4270" t="s">
        <v>3051</v>
      </c>
      <c r="B4270">
        <v>0</v>
      </c>
      <c r="C4270" s="44">
        <v>1380</v>
      </c>
      <c r="D4270" t="s">
        <v>291</v>
      </c>
      <c r="E4270" t="s">
        <v>654</v>
      </c>
      <c r="F4270">
        <v>4</v>
      </c>
    </row>
    <row r="4271" spans="1:6" ht="13.2">
      <c r="A4271" t="s">
        <v>1977</v>
      </c>
      <c r="B4271">
        <v>0</v>
      </c>
      <c r="C4271" s="44">
        <v>3000</v>
      </c>
      <c r="D4271" t="s">
        <v>293</v>
      </c>
      <c r="E4271" t="s">
        <v>256</v>
      </c>
      <c r="F4271">
        <v>15</v>
      </c>
    </row>
    <row r="4272" spans="1:6" ht="13.2">
      <c r="A4272" t="s">
        <v>1979</v>
      </c>
      <c r="B4272">
        <v>0</v>
      </c>
      <c r="C4272" s="44">
        <v>3000</v>
      </c>
      <c r="D4272" t="s">
        <v>293</v>
      </c>
      <c r="E4272" t="s">
        <v>256</v>
      </c>
      <c r="F4272">
        <v>15</v>
      </c>
    </row>
    <row r="4273" spans="1:6" ht="13.2">
      <c r="A4273" t="s">
        <v>1978</v>
      </c>
      <c r="B4273">
        <v>0</v>
      </c>
      <c r="C4273" s="44">
        <v>3000</v>
      </c>
      <c r="D4273" t="s">
        <v>293</v>
      </c>
      <c r="E4273" t="s">
        <v>256</v>
      </c>
      <c r="F4273">
        <v>15</v>
      </c>
    </row>
    <row r="4274" spans="1:6" ht="13.2">
      <c r="A4274" t="s">
        <v>1980</v>
      </c>
      <c r="B4274">
        <v>0</v>
      </c>
      <c r="C4274" s="44">
        <v>3000</v>
      </c>
      <c r="D4274" t="s">
        <v>293</v>
      </c>
      <c r="E4274" t="s">
        <v>256</v>
      </c>
      <c r="F4274">
        <v>15</v>
      </c>
    </row>
    <row r="4275" spans="1:6" ht="13.2">
      <c r="A4275" t="s">
        <v>1981</v>
      </c>
      <c r="B4275">
        <v>0</v>
      </c>
      <c r="C4275" s="44">
        <v>3000</v>
      </c>
      <c r="D4275" t="s">
        <v>293</v>
      </c>
      <c r="E4275" t="s">
        <v>256</v>
      </c>
      <c r="F4275">
        <v>15</v>
      </c>
    </row>
    <row r="4276" spans="1:6" ht="13.2">
      <c r="A4276" t="s">
        <v>1982</v>
      </c>
      <c r="B4276">
        <v>0</v>
      </c>
      <c r="C4276" s="44">
        <v>3000</v>
      </c>
      <c r="D4276" t="s">
        <v>293</v>
      </c>
      <c r="E4276" t="s">
        <v>256</v>
      </c>
      <c r="F4276">
        <v>15</v>
      </c>
    </row>
    <row r="4277" spans="1:6" ht="13.2">
      <c r="A4277" t="s">
        <v>1976</v>
      </c>
      <c r="B4277">
        <v>0</v>
      </c>
      <c r="C4277" s="44">
        <v>3000</v>
      </c>
      <c r="D4277" t="s">
        <v>293</v>
      </c>
      <c r="E4277" t="s">
        <v>256</v>
      </c>
      <c r="F4277">
        <v>15</v>
      </c>
    </row>
    <row r="4278" spans="1:6" ht="13.2">
      <c r="A4278" t="s">
        <v>1983</v>
      </c>
      <c r="B4278">
        <v>0</v>
      </c>
      <c r="C4278" s="44">
        <v>3000</v>
      </c>
      <c r="D4278" t="s">
        <v>293</v>
      </c>
      <c r="E4278" t="s">
        <v>256</v>
      </c>
      <c r="F4278">
        <v>15</v>
      </c>
    </row>
    <row r="4279" spans="1:6" ht="13.2">
      <c r="A4279" t="s">
        <v>3604</v>
      </c>
      <c r="B4279">
        <v>0</v>
      </c>
      <c r="C4279" s="44">
        <v>3000</v>
      </c>
      <c r="D4279" t="s">
        <v>293</v>
      </c>
      <c r="E4279" t="s">
        <v>256</v>
      </c>
      <c r="F4279">
        <v>11</v>
      </c>
    </row>
    <row r="4280" spans="1:6" ht="13.2">
      <c r="A4280" t="s">
        <v>3605</v>
      </c>
      <c r="B4280">
        <v>0</v>
      </c>
      <c r="C4280" s="44">
        <v>3000</v>
      </c>
      <c r="D4280" t="s">
        <v>293</v>
      </c>
      <c r="E4280" t="s">
        <v>256</v>
      </c>
      <c r="F4280">
        <v>11</v>
      </c>
    </row>
    <row r="4281" spans="1:6" ht="13.2">
      <c r="A4281" t="s">
        <v>3606</v>
      </c>
      <c r="B4281">
        <v>0</v>
      </c>
      <c r="C4281" s="44">
        <v>3000</v>
      </c>
      <c r="D4281" t="s">
        <v>293</v>
      </c>
      <c r="E4281" t="s">
        <v>256</v>
      </c>
      <c r="F4281">
        <v>11</v>
      </c>
    </row>
    <row r="4282" spans="1:6" ht="13.2">
      <c r="A4282" t="s">
        <v>3607</v>
      </c>
      <c r="B4282">
        <v>0</v>
      </c>
      <c r="C4282" s="44">
        <v>3000</v>
      </c>
      <c r="D4282" t="s">
        <v>293</v>
      </c>
      <c r="E4282" t="s">
        <v>256</v>
      </c>
      <c r="F4282">
        <v>11</v>
      </c>
    </row>
    <row r="4283" spans="1:6" ht="13.2">
      <c r="A4283" t="s">
        <v>3608</v>
      </c>
      <c r="B4283">
        <v>0</v>
      </c>
      <c r="C4283" s="44">
        <v>3000</v>
      </c>
      <c r="D4283" t="s">
        <v>293</v>
      </c>
      <c r="E4283" t="s">
        <v>256</v>
      </c>
      <c r="F4283">
        <v>11</v>
      </c>
    </row>
    <row r="4284" spans="1:6" ht="13.2">
      <c r="A4284" t="s">
        <v>3609</v>
      </c>
      <c r="B4284">
        <v>0</v>
      </c>
      <c r="C4284" s="44">
        <v>3000</v>
      </c>
      <c r="D4284" t="s">
        <v>293</v>
      </c>
      <c r="E4284" t="s">
        <v>256</v>
      </c>
      <c r="F4284">
        <v>11</v>
      </c>
    </row>
    <row r="4285" spans="1:6" ht="13.2">
      <c r="A4285" t="s">
        <v>3610</v>
      </c>
      <c r="B4285">
        <v>0</v>
      </c>
      <c r="C4285" s="44">
        <v>3000</v>
      </c>
      <c r="D4285" t="s">
        <v>293</v>
      </c>
      <c r="E4285" t="s">
        <v>256</v>
      </c>
      <c r="F4285">
        <v>11</v>
      </c>
    </row>
    <row r="4286" spans="1:6" ht="13.2">
      <c r="A4286" t="s">
        <v>3611</v>
      </c>
      <c r="B4286">
        <v>0</v>
      </c>
      <c r="C4286" s="44">
        <v>3000</v>
      </c>
      <c r="D4286" t="s">
        <v>293</v>
      </c>
      <c r="E4286" t="s">
        <v>256</v>
      </c>
      <c r="F4286">
        <v>11</v>
      </c>
    </row>
    <row r="4287" spans="1:6" ht="13.2">
      <c r="A4287" t="s">
        <v>3612</v>
      </c>
      <c r="B4287">
        <v>0</v>
      </c>
      <c r="C4287" s="44">
        <v>3000</v>
      </c>
      <c r="D4287" t="s">
        <v>293</v>
      </c>
      <c r="E4287" t="s">
        <v>256</v>
      </c>
      <c r="F4287">
        <v>11</v>
      </c>
    </row>
    <row r="4288" spans="1:6" ht="13.2">
      <c r="A4288" t="s">
        <v>3613</v>
      </c>
      <c r="B4288">
        <v>0</v>
      </c>
      <c r="C4288" s="44">
        <v>3000</v>
      </c>
      <c r="D4288" t="s">
        <v>293</v>
      </c>
      <c r="E4288" t="s">
        <v>256</v>
      </c>
      <c r="F4288">
        <v>11</v>
      </c>
    </row>
    <row r="4289" spans="1:6" ht="13.2">
      <c r="A4289" t="s">
        <v>3614</v>
      </c>
      <c r="B4289">
        <v>0</v>
      </c>
      <c r="C4289" s="44">
        <v>3000</v>
      </c>
      <c r="D4289" t="s">
        <v>293</v>
      </c>
      <c r="E4289" t="s">
        <v>256</v>
      </c>
      <c r="F4289">
        <v>11</v>
      </c>
    </row>
    <row r="4290" spans="1:6" ht="13.2">
      <c r="A4290" t="s">
        <v>3616</v>
      </c>
      <c r="B4290">
        <v>0</v>
      </c>
      <c r="C4290" s="44">
        <v>3000</v>
      </c>
      <c r="D4290" t="s">
        <v>293</v>
      </c>
      <c r="E4290" t="s">
        <v>256</v>
      </c>
      <c r="F4290">
        <v>11</v>
      </c>
    </row>
    <row r="4291" spans="1:6" ht="13.2">
      <c r="A4291" t="s">
        <v>3615</v>
      </c>
      <c r="B4291">
        <v>0</v>
      </c>
      <c r="C4291" s="44">
        <v>3000</v>
      </c>
      <c r="D4291" t="s">
        <v>293</v>
      </c>
      <c r="E4291" t="s">
        <v>256</v>
      </c>
      <c r="F4291">
        <v>11</v>
      </c>
    </row>
    <row r="4292" spans="1:5" ht="13.2">
      <c r="A4292" t="s">
        <v>5216</v>
      </c>
      <c r="B4292">
        <v>240</v>
      </c>
      <c r="C4292" s="44">
        <v>1440</v>
      </c>
      <c r="D4292" t="s">
        <v>291</v>
      </c>
      <c r="E4292" t="s">
        <v>5183</v>
      </c>
    </row>
    <row r="4293" spans="1:5" ht="13.2">
      <c r="A4293" t="s">
        <v>5217</v>
      </c>
      <c r="B4293">
        <v>240</v>
      </c>
      <c r="C4293" s="44">
        <v>1440</v>
      </c>
      <c r="D4293" t="s">
        <v>291</v>
      </c>
      <c r="E4293" t="s">
        <v>5183</v>
      </c>
    </row>
    <row r="4294" spans="1:5" ht="13.2">
      <c r="A4294" t="s">
        <v>5218</v>
      </c>
      <c r="B4294">
        <v>240</v>
      </c>
      <c r="C4294" s="44">
        <v>1440</v>
      </c>
      <c r="D4294" t="s">
        <v>291</v>
      </c>
      <c r="E4294" t="s">
        <v>5183</v>
      </c>
    </row>
    <row r="4295" spans="1:5" ht="13.2">
      <c r="A4295" t="s">
        <v>5219</v>
      </c>
      <c r="B4295">
        <v>240</v>
      </c>
      <c r="C4295" s="44">
        <v>1440</v>
      </c>
      <c r="D4295" t="s">
        <v>291</v>
      </c>
      <c r="E4295" t="s">
        <v>5183</v>
      </c>
    </row>
    <row r="4296" spans="1:5" ht="13.2">
      <c r="A4296" t="s">
        <v>5221</v>
      </c>
      <c r="B4296">
        <v>240</v>
      </c>
      <c r="C4296" s="44">
        <v>1440</v>
      </c>
      <c r="D4296" t="s">
        <v>291</v>
      </c>
      <c r="E4296" t="s">
        <v>5183</v>
      </c>
    </row>
    <row r="4297" spans="1:5" ht="13.2">
      <c r="A4297" t="s">
        <v>5220</v>
      </c>
      <c r="B4297">
        <v>240</v>
      </c>
      <c r="C4297" s="44">
        <v>1440</v>
      </c>
      <c r="D4297" t="s">
        <v>291</v>
      </c>
      <c r="E4297" t="s">
        <v>5183</v>
      </c>
    </row>
    <row r="4298" spans="1:6" ht="13.2">
      <c r="A4298" t="s">
        <v>844</v>
      </c>
      <c r="B4298">
        <v>0</v>
      </c>
      <c r="C4298" s="44">
        <v>3300</v>
      </c>
      <c r="D4298" t="s">
        <v>293</v>
      </c>
      <c r="E4298" t="s">
        <v>256</v>
      </c>
      <c r="F4298">
        <v>17</v>
      </c>
    </row>
    <row r="4299" spans="1:6" ht="13.2">
      <c r="A4299" t="s">
        <v>843</v>
      </c>
      <c r="B4299">
        <v>0</v>
      </c>
      <c r="C4299" s="44">
        <v>3300</v>
      </c>
      <c r="D4299" t="s">
        <v>293</v>
      </c>
      <c r="E4299" t="s">
        <v>256</v>
      </c>
      <c r="F4299">
        <v>17</v>
      </c>
    </row>
    <row r="4300" spans="1:6" ht="13.2">
      <c r="A4300" t="s">
        <v>842</v>
      </c>
      <c r="B4300">
        <v>0</v>
      </c>
      <c r="C4300" s="44">
        <v>3300</v>
      </c>
      <c r="D4300" t="s">
        <v>293</v>
      </c>
      <c r="E4300" t="s">
        <v>256</v>
      </c>
      <c r="F4300">
        <v>17</v>
      </c>
    </row>
    <row r="4301" spans="1:6" ht="13.2">
      <c r="A4301" t="s">
        <v>841</v>
      </c>
      <c r="B4301">
        <v>0</v>
      </c>
      <c r="C4301" s="44">
        <v>3300</v>
      </c>
      <c r="D4301" t="s">
        <v>293</v>
      </c>
      <c r="E4301" t="s">
        <v>256</v>
      </c>
      <c r="F4301">
        <v>17</v>
      </c>
    </row>
    <row r="4302" spans="1:6" ht="13.2">
      <c r="A4302" t="s">
        <v>840</v>
      </c>
      <c r="B4302">
        <v>0</v>
      </c>
      <c r="C4302" s="44">
        <v>3300</v>
      </c>
      <c r="D4302" t="s">
        <v>293</v>
      </c>
      <c r="E4302" t="s">
        <v>256</v>
      </c>
      <c r="F4302">
        <v>17</v>
      </c>
    </row>
    <row r="4303" spans="1:6" ht="13.2">
      <c r="A4303" t="s">
        <v>839</v>
      </c>
      <c r="B4303">
        <v>0</v>
      </c>
      <c r="C4303" s="44">
        <v>3300</v>
      </c>
      <c r="D4303" t="s">
        <v>293</v>
      </c>
      <c r="E4303" t="s">
        <v>256</v>
      </c>
      <c r="F4303">
        <v>17</v>
      </c>
    </row>
    <row r="4304" spans="1:6" ht="13.2">
      <c r="A4304" t="s">
        <v>838</v>
      </c>
      <c r="B4304">
        <v>0</v>
      </c>
      <c r="C4304" s="44">
        <v>3300</v>
      </c>
      <c r="D4304" t="s">
        <v>293</v>
      </c>
      <c r="E4304" t="s">
        <v>256</v>
      </c>
      <c r="F4304">
        <v>17</v>
      </c>
    </row>
    <row r="4305" spans="1:6" ht="13.2">
      <c r="A4305" t="s">
        <v>837</v>
      </c>
      <c r="B4305">
        <v>0</v>
      </c>
      <c r="C4305" s="44">
        <v>3300</v>
      </c>
      <c r="D4305" t="s">
        <v>293</v>
      </c>
      <c r="E4305" t="s">
        <v>256</v>
      </c>
      <c r="F4305">
        <v>17</v>
      </c>
    </row>
    <row r="4306" spans="1:6" ht="13.2">
      <c r="A4306" t="s">
        <v>836</v>
      </c>
      <c r="B4306">
        <v>0</v>
      </c>
      <c r="C4306" s="44">
        <v>3300</v>
      </c>
      <c r="D4306" t="s">
        <v>293</v>
      </c>
      <c r="E4306" t="s">
        <v>256</v>
      </c>
      <c r="F4306">
        <v>17</v>
      </c>
    </row>
    <row r="4307" spans="1:6" ht="13.2">
      <c r="A4307" t="s">
        <v>835</v>
      </c>
      <c r="B4307">
        <v>0</v>
      </c>
      <c r="C4307" s="44">
        <v>3300</v>
      </c>
      <c r="D4307" t="s">
        <v>293</v>
      </c>
      <c r="E4307" t="s">
        <v>256</v>
      </c>
      <c r="F4307">
        <v>17</v>
      </c>
    </row>
    <row r="4308" spans="1:6" ht="13.2">
      <c r="A4308" t="s">
        <v>845</v>
      </c>
      <c r="B4308">
        <v>0</v>
      </c>
      <c r="C4308" s="44">
        <v>3300</v>
      </c>
      <c r="D4308" t="s">
        <v>293</v>
      </c>
      <c r="E4308" t="s">
        <v>256</v>
      </c>
      <c r="F4308">
        <v>17</v>
      </c>
    </row>
    <row r="4309" spans="1:6" ht="13.2">
      <c r="A4309" t="s">
        <v>947</v>
      </c>
      <c r="B4309">
        <v>0</v>
      </c>
      <c r="C4309" s="44">
        <v>3300</v>
      </c>
      <c r="D4309" t="s">
        <v>291</v>
      </c>
      <c r="E4309" t="s">
        <v>256</v>
      </c>
      <c r="F4309">
        <v>17</v>
      </c>
    </row>
    <row r="4310" spans="1:6" ht="13.2">
      <c r="A4310" t="s">
        <v>946</v>
      </c>
      <c r="B4310">
        <v>0</v>
      </c>
      <c r="C4310" s="44">
        <v>3300</v>
      </c>
      <c r="D4310" t="s">
        <v>291</v>
      </c>
      <c r="E4310" t="s">
        <v>256</v>
      </c>
      <c r="F4310">
        <v>17</v>
      </c>
    </row>
    <row r="4311" spans="1:6" ht="13.2">
      <c r="A4311" t="s">
        <v>945</v>
      </c>
      <c r="B4311">
        <v>0</v>
      </c>
      <c r="C4311" s="44">
        <v>3300</v>
      </c>
      <c r="D4311" t="s">
        <v>291</v>
      </c>
      <c r="E4311" t="s">
        <v>256</v>
      </c>
      <c r="F4311">
        <v>17</v>
      </c>
    </row>
    <row r="4312" spans="1:6" ht="13.2">
      <c r="A4312" t="s">
        <v>944</v>
      </c>
      <c r="B4312">
        <v>0</v>
      </c>
      <c r="C4312" s="44">
        <v>3300</v>
      </c>
      <c r="D4312" t="s">
        <v>291</v>
      </c>
      <c r="E4312" t="s">
        <v>256</v>
      </c>
      <c r="F4312">
        <v>17</v>
      </c>
    </row>
    <row r="4313" spans="1:6" ht="13.2">
      <c r="A4313" t="s">
        <v>943</v>
      </c>
      <c r="B4313">
        <v>0</v>
      </c>
      <c r="C4313" s="44">
        <v>3300</v>
      </c>
      <c r="D4313" t="s">
        <v>291</v>
      </c>
      <c r="E4313" t="s">
        <v>256</v>
      </c>
      <c r="F4313">
        <v>17</v>
      </c>
    </row>
    <row r="4314" spans="1:6" ht="13.2">
      <c r="A4314" t="s">
        <v>942</v>
      </c>
      <c r="B4314">
        <v>0</v>
      </c>
      <c r="C4314" s="44">
        <v>3300</v>
      </c>
      <c r="D4314" t="s">
        <v>291</v>
      </c>
      <c r="E4314" t="s">
        <v>256</v>
      </c>
      <c r="F4314">
        <v>17</v>
      </c>
    </row>
    <row r="4315" spans="1:6" ht="13.2">
      <c r="A4315" t="s">
        <v>941</v>
      </c>
      <c r="B4315">
        <v>0</v>
      </c>
      <c r="C4315" s="44">
        <v>3300</v>
      </c>
      <c r="D4315" t="s">
        <v>291</v>
      </c>
      <c r="E4315" t="s">
        <v>256</v>
      </c>
      <c r="F4315">
        <v>17</v>
      </c>
    </row>
    <row r="4316" spans="1:6" ht="13.2">
      <c r="A4316" t="s">
        <v>940</v>
      </c>
      <c r="B4316">
        <v>0</v>
      </c>
      <c r="C4316" s="44">
        <v>3300</v>
      </c>
      <c r="D4316" t="s">
        <v>291</v>
      </c>
      <c r="E4316" t="s">
        <v>256</v>
      </c>
      <c r="F4316">
        <v>17</v>
      </c>
    </row>
    <row r="4317" spans="1:6" ht="13.2">
      <c r="A4317" t="s">
        <v>939</v>
      </c>
      <c r="B4317">
        <v>0</v>
      </c>
      <c r="C4317" s="44">
        <v>3300</v>
      </c>
      <c r="D4317" t="s">
        <v>291</v>
      </c>
      <c r="E4317" t="s">
        <v>256</v>
      </c>
      <c r="F4317">
        <v>17</v>
      </c>
    </row>
    <row r="4318" spans="1:6" ht="13.2">
      <c r="A4318" t="s">
        <v>938</v>
      </c>
      <c r="B4318">
        <v>0</v>
      </c>
      <c r="C4318" s="44">
        <v>3300</v>
      </c>
      <c r="D4318" t="s">
        <v>291</v>
      </c>
      <c r="E4318" t="s">
        <v>256</v>
      </c>
      <c r="F4318">
        <v>17</v>
      </c>
    </row>
    <row r="4319" spans="1:6" ht="13.2">
      <c r="A4319" t="s">
        <v>948</v>
      </c>
      <c r="B4319">
        <v>0</v>
      </c>
      <c r="C4319" s="44">
        <v>3300</v>
      </c>
      <c r="D4319" t="s">
        <v>291</v>
      </c>
      <c r="E4319" t="s">
        <v>256</v>
      </c>
      <c r="F4319">
        <v>17</v>
      </c>
    </row>
    <row r="4320" spans="1:6" ht="13.2">
      <c r="A4320" t="s">
        <v>1986</v>
      </c>
      <c r="B4320">
        <v>205</v>
      </c>
      <c r="C4320" s="44">
        <v>3000</v>
      </c>
      <c r="D4320" t="s">
        <v>293</v>
      </c>
      <c r="E4320" t="s">
        <v>256</v>
      </c>
      <c r="F4320">
        <v>15</v>
      </c>
    </row>
    <row r="4321" spans="1:6" ht="13.2">
      <c r="A4321" t="s">
        <v>1984</v>
      </c>
      <c r="B4321">
        <v>205</v>
      </c>
      <c r="C4321" s="44">
        <v>3000</v>
      </c>
      <c r="D4321" t="s">
        <v>293</v>
      </c>
      <c r="E4321" t="s">
        <v>256</v>
      </c>
      <c r="F4321">
        <v>15</v>
      </c>
    </row>
    <row r="4322" spans="1:6" ht="13.2">
      <c r="A4322" t="s">
        <v>1985</v>
      </c>
      <c r="B4322">
        <v>205</v>
      </c>
      <c r="C4322" s="44">
        <v>3000</v>
      </c>
      <c r="D4322" t="s">
        <v>293</v>
      </c>
      <c r="E4322" t="s">
        <v>256</v>
      </c>
      <c r="F4322">
        <v>15</v>
      </c>
    </row>
    <row r="4323" spans="1:6" ht="13.2">
      <c r="A4323" t="s">
        <v>1987</v>
      </c>
      <c r="B4323">
        <v>205</v>
      </c>
      <c r="C4323" s="44">
        <v>3000</v>
      </c>
      <c r="D4323" t="s">
        <v>293</v>
      </c>
      <c r="E4323" t="s">
        <v>256</v>
      </c>
      <c r="F4323">
        <v>15</v>
      </c>
    </row>
    <row r="4324" spans="1:6" ht="13.2">
      <c r="A4324" t="s">
        <v>2510</v>
      </c>
      <c r="B4324">
        <v>0</v>
      </c>
      <c r="C4324" s="44" t="s">
        <v>299</v>
      </c>
      <c r="D4324" t="s">
        <v>291</v>
      </c>
      <c r="E4324" t="s">
        <v>233</v>
      </c>
      <c r="F4324">
        <v>4</v>
      </c>
    </row>
    <row r="4325" spans="1:6" ht="13.2">
      <c r="A4325" t="s">
        <v>2511</v>
      </c>
      <c r="B4325">
        <v>0</v>
      </c>
      <c r="C4325" s="44" t="s">
        <v>299</v>
      </c>
      <c r="D4325" t="s">
        <v>291</v>
      </c>
      <c r="E4325" t="s">
        <v>233</v>
      </c>
      <c r="F4325">
        <v>4</v>
      </c>
    </row>
    <row r="4326" spans="1:6" ht="13.2">
      <c r="A4326" t="s">
        <v>2512</v>
      </c>
      <c r="B4326">
        <v>0</v>
      </c>
      <c r="C4326" s="44" t="s">
        <v>299</v>
      </c>
      <c r="D4326" t="s">
        <v>291</v>
      </c>
      <c r="E4326" t="s">
        <v>233</v>
      </c>
      <c r="F4326">
        <v>4</v>
      </c>
    </row>
    <row r="4327" spans="1:6" ht="13.2">
      <c r="A4327" t="s">
        <v>2513</v>
      </c>
      <c r="B4327">
        <v>0</v>
      </c>
      <c r="C4327" s="44" t="s">
        <v>299</v>
      </c>
      <c r="D4327" t="s">
        <v>291</v>
      </c>
      <c r="E4327" t="s">
        <v>233</v>
      </c>
      <c r="F4327">
        <v>4</v>
      </c>
    </row>
    <row r="4328" spans="1:6" ht="13.2">
      <c r="A4328" t="s">
        <v>2514</v>
      </c>
      <c r="B4328">
        <v>0</v>
      </c>
      <c r="C4328" s="44" t="s">
        <v>299</v>
      </c>
      <c r="D4328" t="s">
        <v>291</v>
      </c>
      <c r="E4328" t="s">
        <v>233</v>
      </c>
      <c r="F4328">
        <v>4</v>
      </c>
    </row>
    <row r="4329" spans="1:6" ht="13.2">
      <c r="A4329" t="s">
        <v>2515</v>
      </c>
      <c r="B4329">
        <v>0</v>
      </c>
      <c r="C4329" s="44" t="s">
        <v>299</v>
      </c>
      <c r="D4329" t="s">
        <v>291</v>
      </c>
      <c r="E4329" t="s">
        <v>233</v>
      </c>
      <c r="F4329">
        <v>4</v>
      </c>
    </row>
    <row r="4330" spans="1:6" ht="13.2">
      <c r="A4330" t="s">
        <v>2516</v>
      </c>
      <c r="B4330">
        <v>0</v>
      </c>
      <c r="C4330" s="44" t="s">
        <v>299</v>
      </c>
      <c r="D4330" t="s">
        <v>291</v>
      </c>
      <c r="E4330" t="s">
        <v>233</v>
      </c>
      <c r="F4330">
        <v>4</v>
      </c>
    </row>
    <row r="4331" spans="1:6" ht="13.2">
      <c r="A4331" t="s">
        <v>2517</v>
      </c>
      <c r="B4331">
        <v>0</v>
      </c>
      <c r="C4331" s="44" t="s">
        <v>299</v>
      </c>
      <c r="D4331" t="s">
        <v>291</v>
      </c>
      <c r="E4331" t="s">
        <v>233</v>
      </c>
      <c r="F4331">
        <v>4</v>
      </c>
    </row>
    <row r="4332" spans="1:6" ht="13.2">
      <c r="A4332" t="s">
        <v>2518</v>
      </c>
      <c r="B4332">
        <v>0</v>
      </c>
      <c r="C4332" s="44" t="s">
        <v>299</v>
      </c>
      <c r="D4332" t="s">
        <v>291</v>
      </c>
      <c r="E4332" t="s">
        <v>233</v>
      </c>
      <c r="F4332">
        <v>4</v>
      </c>
    </row>
    <row r="4333" spans="1:6" ht="13.2">
      <c r="A4333" t="s">
        <v>2519</v>
      </c>
      <c r="B4333">
        <v>0</v>
      </c>
      <c r="C4333" s="44" t="s">
        <v>299</v>
      </c>
      <c r="D4333" t="s">
        <v>291</v>
      </c>
      <c r="E4333" t="s">
        <v>233</v>
      </c>
      <c r="F4333">
        <v>4</v>
      </c>
    </row>
    <row r="4334" spans="1:6" ht="13.2">
      <c r="A4334" t="s">
        <v>2520</v>
      </c>
      <c r="B4334">
        <v>0</v>
      </c>
      <c r="C4334" s="44" t="s">
        <v>299</v>
      </c>
      <c r="D4334" t="s">
        <v>291</v>
      </c>
      <c r="E4334" t="s">
        <v>233</v>
      </c>
      <c r="F4334">
        <v>4</v>
      </c>
    </row>
    <row r="4335" spans="1:6" ht="13.2">
      <c r="A4335" t="s">
        <v>2521</v>
      </c>
      <c r="B4335">
        <v>0</v>
      </c>
      <c r="C4335" s="44" t="s">
        <v>299</v>
      </c>
      <c r="D4335" t="s">
        <v>291</v>
      </c>
      <c r="E4335" t="s">
        <v>233</v>
      </c>
      <c r="F4335">
        <v>4</v>
      </c>
    </row>
    <row r="4336" spans="1:6" ht="13.2">
      <c r="A4336" t="s">
        <v>2522</v>
      </c>
      <c r="B4336">
        <v>0</v>
      </c>
      <c r="C4336" s="44" t="s">
        <v>299</v>
      </c>
      <c r="D4336" t="s">
        <v>291</v>
      </c>
      <c r="E4336" t="s">
        <v>233</v>
      </c>
      <c r="F4336">
        <v>4</v>
      </c>
    </row>
    <row r="4337" spans="1:6" ht="13.2">
      <c r="A4337" t="s">
        <v>2523</v>
      </c>
      <c r="B4337">
        <v>0</v>
      </c>
      <c r="C4337" s="44" t="s">
        <v>299</v>
      </c>
      <c r="D4337" t="s">
        <v>291</v>
      </c>
      <c r="E4337" t="s">
        <v>233</v>
      </c>
      <c r="F4337">
        <v>4</v>
      </c>
    </row>
    <row r="4338" spans="1:6" ht="13.2">
      <c r="A4338" t="s">
        <v>2524</v>
      </c>
      <c r="B4338">
        <v>0</v>
      </c>
      <c r="C4338" s="44" t="s">
        <v>299</v>
      </c>
      <c r="D4338" t="s">
        <v>291</v>
      </c>
      <c r="E4338" t="s">
        <v>233</v>
      </c>
      <c r="F4338">
        <v>4</v>
      </c>
    </row>
    <row r="4339" spans="1:6" ht="13.2">
      <c r="A4339" t="s">
        <v>2525</v>
      </c>
      <c r="B4339">
        <v>0</v>
      </c>
      <c r="C4339" s="44" t="s">
        <v>299</v>
      </c>
      <c r="D4339" t="s">
        <v>291</v>
      </c>
      <c r="E4339" t="s">
        <v>233</v>
      </c>
      <c r="F4339">
        <v>4</v>
      </c>
    </row>
    <row r="4340" spans="1:6" ht="13.2">
      <c r="A4340" t="s">
        <v>2526</v>
      </c>
      <c r="B4340">
        <v>0</v>
      </c>
      <c r="C4340" s="44" t="s">
        <v>299</v>
      </c>
      <c r="D4340" t="s">
        <v>291</v>
      </c>
      <c r="E4340" t="s">
        <v>233</v>
      </c>
      <c r="F4340">
        <v>4</v>
      </c>
    </row>
    <row r="4341" spans="1:6" ht="13.2">
      <c r="A4341" t="s">
        <v>2527</v>
      </c>
      <c r="B4341">
        <v>0</v>
      </c>
      <c r="C4341" s="44" t="s">
        <v>299</v>
      </c>
      <c r="D4341" t="s">
        <v>291</v>
      </c>
      <c r="E4341" t="s">
        <v>233</v>
      </c>
      <c r="F4341">
        <v>4</v>
      </c>
    </row>
    <row r="4342" spans="1:6" ht="13.2">
      <c r="A4342" t="s">
        <v>2528</v>
      </c>
      <c r="B4342">
        <v>0</v>
      </c>
      <c r="C4342" s="44" t="s">
        <v>299</v>
      </c>
      <c r="D4342" t="s">
        <v>291</v>
      </c>
      <c r="E4342" t="s">
        <v>233</v>
      </c>
      <c r="F4342">
        <v>4</v>
      </c>
    </row>
    <row r="4343" spans="1:6" ht="13.2">
      <c r="A4343" t="s">
        <v>2529</v>
      </c>
      <c r="B4343">
        <v>0</v>
      </c>
      <c r="C4343" s="44" t="s">
        <v>299</v>
      </c>
      <c r="D4343" t="s">
        <v>291</v>
      </c>
      <c r="E4343" t="s">
        <v>233</v>
      </c>
      <c r="F4343">
        <v>4</v>
      </c>
    </row>
    <row r="4344" spans="1:6" ht="13.2">
      <c r="A4344" t="s">
        <v>2530</v>
      </c>
      <c r="B4344">
        <v>0</v>
      </c>
      <c r="C4344" s="44" t="s">
        <v>299</v>
      </c>
      <c r="D4344" t="s">
        <v>291</v>
      </c>
      <c r="E4344" t="s">
        <v>233</v>
      </c>
      <c r="F4344">
        <v>4</v>
      </c>
    </row>
    <row r="4345" spans="1:6" ht="13.2">
      <c r="A4345" t="s">
        <v>2531</v>
      </c>
      <c r="B4345">
        <v>0</v>
      </c>
      <c r="C4345" s="44" t="s">
        <v>299</v>
      </c>
      <c r="D4345" t="s">
        <v>291</v>
      </c>
      <c r="E4345" t="s">
        <v>233</v>
      </c>
      <c r="F4345">
        <v>4</v>
      </c>
    </row>
    <row r="4346" spans="1:6" ht="13.2">
      <c r="A4346" t="s">
        <v>2532</v>
      </c>
      <c r="B4346">
        <v>0</v>
      </c>
      <c r="C4346" s="44" t="s">
        <v>299</v>
      </c>
      <c r="D4346" t="s">
        <v>291</v>
      </c>
      <c r="E4346" t="s">
        <v>233</v>
      </c>
      <c r="F4346">
        <v>4</v>
      </c>
    </row>
    <row r="4347" spans="1:6" ht="13.2">
      <c r="A4347" t="s">
        <v>2533</v>
      </c>
      <c r="B4347">
        <v>0</v>
      </c>
      <c r="C4347" s="44" t="s">
        <v>299</v>
      </c>
      <c r="D4347" t="s">
        <v>291</v>
      </c>
      <c r="E4347" t="s">
        <v>233</v>
      </c>
      <c r="F4347">
        <v>4</v>
      </c>
    </row>
    <row r="4348" spans="1:6" ht="13.2">
      <c r="A4348" t="s">
        <v>2534</v>
      </c>
      <c r="B4348">
        <v>0</v>
      </c>
      <c r="C4348" s="44" t="s">
        <v>299</v>
      </c>
      <c r="D4348" t="s">
        <v>291</v>
      </c>
      <c r="E4348" t="s">
        <v>233</v>
      </c>
      <c r="F4348">
        <v>4</v>
      </c>
    </row>
    <row r="4349" spans="1:6" ht="13.2">
      <c r="A4349" t="s">
        <v>2535</v>
      </c>
      <c r="B4349">
        <v>0</v>
      </c>
      <c r="C4349" s="44" t="s">
        <v>299</v>
      </c>
      <c r="D4349" t="s">
        <v>291</v>
      </c>
      <c r="E4349" t="s">
        <v>233</v>
      </c>
      <c r="F4349">
        <v>4</v>
      </c>
    </row>
    <row r="4350" spans="1:6" ht="13.2">
      <c r="A4350" t="s">
        <v>2536</v>
      </c>
      <c r="B4350">
        <v>0</v>
      </c>
      <c r="C4350" s="44" t="s">
        <v>299</v>
      </c>
      <c r="D4350" t="s">
        <v>291</v>
      </c>
      <c r="E4350" t="s">
        <v>233</v>
      </c>
      <c r="F4350">
        <v>4</v>
      </c>
    </row>
    <row r="4351" spans="1:6" ht="13.2">
      <c r="A4351" t="s">
        <v>2537</v>
      </c>
      <c r="B4351">
        <v>0</v>
      </c>
      <c r="C4351" s="44" t="s">
        <v>299</v>
      </c>
      <c r="D4351" t="s">
        <v>291</v>
      </c>
      <c r="E4351" t="s">
        <v>233</v>
      </c>
      <c r="F4351">
        <v>4</v>
      </c>
    </row>
    <row r="4352" spans="1:6" ht="13.2">
      <c r="A4352" t="s">
        <v>2538</v>
      </c>
      <c r="B4352">
        <v>0</v>
      </c>
      <c r="C4352" s="44" t="s">
        <v>299</v>
      </c>
      <c r="D4352" t="s">
        <v>291</v>
      </c>
      <c r="E4352" t="s">
        <v>233</v>
      </c>
      <c r="F4352">
        <v>4</v>
      </c>
    </row>
    <row r="4353" spans="1:6" ht="13.2">
      <c r="A4353" t="s">
        <v>2539</v>
      </c>
      <c r="B4353">
        <v>0</v>
      </c>
      <c r="C4353" s="44" t="s">
        <v>299</v>
      </c>
      <c r="D4353" t="s">
        <v>291</v>
      </c>
      <c r="E4353" t="s">
        <v>233</v>
      </c>
      <c r="F4353">
        <v>4</v>
      </c>
    </row>
    <row r="4354" spans="1:6" ht="13.2">
      <c r="A4354" t="s">
        <v>2540</v>
      </c>
      <c r="B4354">
        <v>0</v>
      </c>
      <c r="C4354" s="44" t="s">
        <v>299</v>
      </c>
      <c r="D4354" t="s">
        <v>291</v>
      </c>
      <c r="E4354" t="s">
        <v>233</v>
      </c>
      <c r="F4354">
        <v>4</v>
      </c>
    </row>
    <row r="4355" spans="1:6" ht="13.2">
      <c r="A4355" t="s">
        <v>2541</v>
      </c>
      <c r="B4355">
        <v>0</v>
      </c>
      <c r="C4355" s="44" t="s">
        <v>299</v>
      </c>
      <c r="D4355" t="s">
        <v>291</v>
      </c>
      <c r="E4355" t="s">
        <v>233</v>
      </c>
      <c r="F4355">
        <v>4</v>
      </c>
    </row>
    <row r="4356" spans="1:6" ht="13.2">
      <c r="A4356" t="s">
        <v>2542</v>
      </c>
      <c r="B4356">
        <v>0</v>
      </c>
      <c r="C4356" s="44" t="s">
        <v>299</v>
      </c>
      <c r="D4356" t="s">
        <v>291</v>
      </c>
      <c r="E4356" t="s">
        <v>233</v>
      </c>
      <c r="F4356">
        <v>4</v>
      </c>
    </row>
    <row r="4357" spans="1:6" ht="13.2">
      <c r="A4357" t="s">
        <v>2543</v>
      </c>
      <c r="B4357">
        <v>0</v>
      </c>
      <c r="C4357" s="44" t="s">
        <v>299</v>
      </c>
      <c r="D4357" t="s">
        <v>291</v>
      </c>
      <c r="E4357" t="s">
        <v>233</v>
      </c>
      <c r="F4357">
        <v>4</v>
      </c>
    </row>
    <row r="4358" spans="1:6" ht="13.2">
      <c r="A4358" t="s">
        <v>2544</v>
      </c>
      <c r="B4358">
        <v>0</v>
      </c>
      <c r="C4358" s="44" t="s">
        <v>299</v>
      </c>
      <c r="D4358" t="s">
        <v>291</v>
      </c>
      <c r="E4358" t="s">
        <v>233</v>
      </c>
      <c r="F4358">
        <v>4</v>
      </c>
    </row>
    <row r="4359" spans="1:6" ht="13.2">
      <c r="A4359" t="s">
        <v>2545</v>
      </c>
      <c r="B4359">
        <v>0</v>
      </c>
      <c r="C4359" s="44" t="s">
        <v>299</v>
      </c>
      <c r="D4359" t="s">
        <v>291</v>
      </c>
      <c r="E4359" t="s">
        <v>233</v>
      </c>
      <c r="F4359">
        <v>4</v>
      </c>
    </row>
    <row r="4360" spans="1:6" ht="13.2">
      <c r="A4360" t="s">
        <v>2546</v>
      </c>
      <c r="B4360">
        <v>0</v>
      </c>
      <c r="C4360" s="44" t="s">
        <v>299</v>
      </c>
      <c r="D4360" t="s">
        <v>291</v>
      </c>
      <c r="E4360" t="s">
        <v>233</v>
      </c>
      <c r="F4360">
        <v>4</v>
      </c>
    </row>
    <row r="4361" spans="1:6" ht="13.2">
      <c r="A4361" t="s">
        <v>2547</v>
      </c>
      <c r="B4361">
        <v>0</v>
      </c>
      <c r="C4361" s="44" t="s">
        <v>299</v>
      </c>
      <c r="D4361" t="s">
        <v>291</v>
      </c>
      <c r="E4361" t="s">
        <v>233</v>
      </c>
      <c r="F4361">
        <v>4</v>
      </c>
    </row>
    <row r="4362" spans="1:6" ht="13.2">
      <c r="A4362" t="s">
        <v>2548</v>
      </c>
      <c r="B4362">
        <v>0</v>
      </c>
      <c r="C4362" s="44" t="s">
        <v>299</v>
      </c>
      <c r="D4362" t="s">
        <v>291</v>
      </c>
      <c r="E4362" t="s">
        <v>233</v>
      </c>
      <c r="F4362">
        <v>4</v>
      </c>
    </row>
    <row r="4363" spans="1:6" ht="13.2">
      <c r="A4363" t="s">
        <v>2549</v>
      </c>
      <c r="B4363">
        <v>0</v>
      </c>
      <c r="C4363" s="44" t="s">
        <v>299</v>
      </c>
      <c r="D4363" t="s">
        <v>291</v>
      </c>
      <c r="E4363" t="s">
        <v>233</v>
      </c>
      <c r="F4363">
        <v>4</v>
      </c>
    </row>
    <row r="4364" spans="1:6" ht="13.2">
      <c r="A4364" t="s">
        <v>2550</v>
      </c>
      <c r="B4364">
        <v>0</v>
      </c>
      <c r="C4364" s="44" t="s">
        <v>299</v>
      </c>
      <c r="D4364" t="s">
        <v>291</v>
      </c>
      <c r="E4364" t="s">
        <v>233</v>
      </c>
      <c r="F4364">
        <v>4</v>
      </c>
    </row>
    <row r="4365" spans="1:6" ht="13.2">
      <c r="A4365" t="s">
        <v>5260</v>
      </c>
      <c r="B4365">
        <v>0</v>
      </c>
      <c r="C4365" s="44">
        <v>3030</v>
      </c>
      <c r="D4365" t="s">
        <v>293</v>
      </c>
      <c r="E4365" t="s">
        <v>5261</v>
      </c>
      <c r="F4365">
        <v>6</v>
      </c>
    </row>
    <row r="4366" spans="1:6" ht="13.2">
      <c r="A4366" t="s">
        <v>5262</v>
      </c>
      <c r="B4366">
        <v>0</v>
      </c>
      <c r="C4366" s="44">
        <v>3030</v>
      </c>
      <c r="D4366" t="s">
        <v>293</v>
      </c>
      <c r="E4366" t="s">
        <v>5261</v>
      </c>
      <c r="F4366">
        <v>6</v>
      </c>
    </row>
    <row r="4367" spans="1:6" ht="13.2">
      <c r="A4367" t="s">
        <v>5263</v>
      </c>
      <c r="B4367">
        <v>0</v>
      </c>
      <c r="C4367" s="44">
        <v>3030</v>
      </c>
      <c r="D4367" t="s">
        <v>293</v>
      </c>
      <c r="E4367" t="s">
        <v>5261</v>
      </c>
      <c r="F4367">
        <v>6</v>
      </c>
    </row>
    <row r="4368" spans="1:6" ht="13.2">
      <c r="A4368" t="s">
        <v>5264</v>
      </c>
      <c r="B4368">
        <v>0</v>
      </c>
      <c r="C4368" s="44">
        <v>3030</v>
      </c>
      <c r="D4368" t="s">
        <v>293</v>
      </c>
      <c r="E4368" t="s">
        <v>5261</v>
      </c>
      <c r="F4368">
        <v>6</v>
      </c>
    </row>
    <row r="4369" spans="1:6" ht="13.2">
      <c r="A4369" t="s">
        <v>5265</v>
      </c>
      <c r="B4369">
        <v>0</v>
      </c>
      <c r="C4369" s="44">
        <v>3030</v>
      </c>
      <c r="D4369" t="s">
        <v>293</v>
      </c>
      <c r="E4369" t="s">
        <v>5261</v>
      </c>
      <c r="F4369">
        <v>6</v>
      </c>
    </row>
    <row r="4370" spans="1:6" ht="13.2">
      <c r="A4370" t="s">
        <v>5266</v>
      </c>
      <c r="B4370">
        <v>0</v>
      </c>
      <c r="C4370" s="44">
        <v>3030</v>
      </c>
      <c r="D4370" t="s">
        <v>293</v>
      </c>
      <c r="E4370" t="s">
        <v>5261</v>
      </c>
      <c r="F4370">
        <v>6</v>
      </c>
    </row>
    <row r="4371" spans="1:6" ht="13.2">
      <c r="A4371" t="s">
        <v>5267</v>
      </c>
      <c r="B4371">
        <v>0</v>
      </c>
      <c r="C4371" s="44">
        <v>3030</v>
      </c>
      <c r="D4371" t="s">
        <v>293</v>
      </c>
      <c r="E4371" t="s">
        <v>5261</v>
      </c>
      <c r="F4371">
        <v>6</v>
      </c>
    </row>
    <row r="4372" spans="1:6" ht="13.2">
      <c r="A4372" t="s">
        <v>5268</v>
      </c>
      <c r="B4372">
        <v>0</v>
      </c>
      <c r="C4372" s="44">
        <v>3030</v>
      </c>
      <c r="D4372" t="s">
        <v>293</v>
      </c>
      <c r="E4372" t="s">
        <v>5261</v>
      </c>
      <c r="F4372">
        <v>6</v>
      </c>
    </row>
    <row r="4373" spans="1:6" ht="13.2">
      <c r="A4373" t="s">
        <v>2551</v>
      </c>
      <c r="B4373">
        <v>0</v>
      </c>
      <c r="C4373" s="44" t="s">
        <v>206</v>
      </c>
      <c r="D4373" t="s">
        <v>291</v>
      </c>
      <c r="E4373" t="s">
        <v>214</v>
      </c>
      <c r="F4373">
        <v>4</v>
      </c>
    </row>
    <row r="4374" spans="1:6" ht="13.2">
      <c r="A4374" t="s">
        <v>2552</v>
      </c>
      <c r="B4374">
        <v>0</v>
      </c>
      <c r="C4374" s="44" t="s">
        <v>206</v>
      </c>
      <c r="D4374" t="s">
        <v>291</v>
      </c>
      <c r="E4374" t="s">
        <v>214</v>
      </c>
      <c r="F4374">
        <v>4</v>
      </c>
    </row>
    <row r="4375" spans="1:6" ht="13.2">
      <c r="A4375" t="s">
        <v>2553</v>
      </c>
      <c r="B4375">
        <v>0</v>
      </c>
      <c r="C4375" s="44" t="s">
        <v>206</v>
      </c>
      <c r="D4375" t="s">
        <v>291</v>
      </c>
      <c r="E4375" t="s">
        <v>214</v>
      </c>
      <c r="F4375">
        <v>4</v>
      </c>
    </row>
    <row r="4376" spans="1:6" ht="13.2">
      <c r="A4376" t="s">
        <v>2554</v>
      </c>
      <c r="B4376">
        <v>0</v>
      </c>
      <c r="C4376" s="44" t="s">
        <v>206</v>
      </c>
      <c r="D4376" t="s">
        <v>291</v>
      </c>
      <c r="E4376" t="s">
        <v>214</v>
      </c>
      <c r="F4376">
        <v>4</v>
      </c>
    </row>
    <row r="4377" spans="1:6" ht="13.2">
      <c r="A4377" t="s">
        <v>2555</v>
      </c>
      <c r="B4377">
        <v>0</v>
      </c>
      <c r="C4377" s="44" t="s">
        <v>206</v>
      </c>
      <c r="D4377" t="s">
        <v>291</v>
      </c>
      <c r="E4377" t="s">
        <v>214</v>
      </c>
      <c r="F4377">
        <v>4</v>
      </c>
    </row>
    <row r="4378" spans="1:6" ht="13.2">
      <c r="A4378" t="s">
        <v>2556</v>
      </c>
      <c r="B4378">
        <v>0</v>
      </c>
      <c r="C4378" s="44" t="s">
        <v>206</v>
      </c>
      <c r="D4378" t="s">
        <v>291</v>
      </c>
      <c r="E4378" t="s">
        <v>214</v>
      </c>
      <c r="F4378">
        <v>4</v>
      </c>
    </row>
    <row r="4379" spans="1:6" ht="13.2">
      <c r="A4379" t="s">
        <v>2557</v>
      </c>
      <c r="B4379">
        <v>0</v>
      </c>
      <c r="C4379" s="44" t="s">
        <v>206</v>
      </c>
      <c r="D4379" t="s">
        <v>291</v>
      </c>
      <c r="E4379" t="s">
        <v>214</v>
      </c>
      <c r="F4379">
        <v>4</v>
      </c>
    </row>
    <row r="4380" spans="1:6" ht="13.2">
      <c r="A4380" t="s">
        <v>2558</v>
      </c>
      <c r="B4380">
        <v>0</v>
      </c>
      <c r="C4380" s="44" t="s">
        <v>206</v>
      </c>
      <c r="D4380" t="s">
        <v>291</v>
      </c>
      <c r="E4380" t="s">
        <v>214</v>
      </c>
      <c r="F4380">
        <v>4</v>
      </c>
    </row>
    <row r="4381" spans="1:6" ht="13.2">
      <c r="A4381" t="s">
        <v>2559</v>
      </c>
      <c r="B4381">
        <v>0</v>
      </c>
      <c r="C4381" s="44" t="s">
        <v>206</v>
      </c>
      <c r="D4381" t="s">
        <v>291</v>
      </c>
      <c r="E4381" t="s">
        <v>214</v>
      </c>
      <c r="F4381">
        <v>4</v>
      </c>
    </row>
    <row r="4382" spans="1:6" ht="13.2">
      <c r="A4382" t="s">
        <v>2560</v>
      </c>
      <c r="B4382">
        <v>0</v>
      </c>
      <c r="C4382" s="44" t="s">
        <v>206</v>
      </c>
      <c r="D4382" t="s">
        <v>291</v>
      </c>
      <c r="E4382" t="s">
        <v>214</v>
      </c>
      <c r="F4382">
        <v>4</v>
      </c>
    </row>
    <row r="4383" spans="1:6" ht="13.2">
      <c r="A4383" t="s">
        <v>2561</v>
      </c>
      <c r="B4383">
        <v>0</v>
      </c>
      <c r="C4383" s="44" t="s">
        <v>206</v>
      </c>
      <c r="D4383" t="s">
        <v>291</v>
      </c>
      <c r="E4383" t="s">
        <v>214</v>
      </c>
      <c r="F4383">
        <v>4</v>
      </c>
    </row>
    <row r="4384" spans="1:6" ht="13.2">
      <c r="A4384" t="s">
        <v>2562</v>
      </c>
      <c r="B4384">
        <v>0</v>
      </c>
      <c r="C4384" s="44" t="s">
        <v>206</v>
      </c>
      <c r="D4384" t="s">
        <v>291</v>
      </c>
      <c r="E4384" t="s">
        <v>214</v>
      </c>
      <c r="F4384">
        <v>4</v>
      </c>
    </row>
    <row r="4385" spans="1:6" ht="13.2">
      <c r="A4385" t="s">
        <v>2563</v>
      </c>
      <c r="B4385">
        <v>0</v>
      </c>
      <c r="C4385" s="44" t="s">
        <v>206</v>
      </c>
      <c r="D4385" t="s">
        <v>291</v>
      </c>
      <c r="E4385" t="s">
        <v>214</v>
      </c>
      <c r="F4385">
        <v>4</v>
      </c>
    </row>
    <row r="4386" spans="1:6" ht="13.2">
      <c r="A4386" t="s">
        <v>2564</v>
      </c>
      <c r="B4386">
        <v>0</v>
      </c>
      <c r="C4386" s="44" t="s">
        <v>206</v>
      </c>
      <c r="D4386" t="s">
        <v>291</v>
      </c>
      <c r="E4386" t="s">
        <v>214</v>
      </c>
      <c r="F4386">
        <v>4</v>
      </c>
    </row>
    <row r="4387" spans="1:6" ht="13.2">
      <c r="A4387" t="s">
        <v>2565</v>
      </c>
      <c r="B4387">
        <v>0</v>
      </c>
      <c r="C4387" s="44" t="s">
        <v>206</v>
      </c>
      <c r="D4387" t="s">
        <v>291</v>
      </c>
      <c r="E4387" t="s">
        <v>214</v>
      </c>
      <c r="F4387">
        <v>4</v>
      </c>
    </row>
    <row r="4388" spans="1:6" ht="13.2">
      <c r="A4388" t="s">
        <v>2566</v>
      </c>
      <c r="B4388">
        <v>0</v>
      </c>
      <c r="C4388" s="44" t="s">
        <v>206</v>
      </c>
      <c r="D4388" t="s">
        <v>291</v>
      </c>
      <c r="E4388" t="s">
        <v>214</v>
      </c>
      <c r="F4388">
        <v>4</v>
      </c>
    </row>
    <row r="4389" spans="1:6" ht="13.2">
      <c r="A4389" t="s">
        <v>2567</v>
      </c>
      <c r="B4389">
        <v>0</v>
      </c>
      <c r="C4389" s="44" t="s">
        <v>206</v>
      </c>
      <c r="D4389" t="s">
        <v>291</v>
      </c>
      <c r="E4389" t="s">
        <v>214</v>
      </c>
      <c r="F4389">
        <v>4</v>
      </c>
    </row>
    <row r="4390" spans="1:6" ht="13.2">
      <c r="A4390" t="s">
        <v>2568</v>
      </c>
      <c r="B4390">
        <v>0</v>
      </c>
      <c r="C4390" s="44" t="s">
        <v>206</v>
      </c>
      <c r="D4390" t="s">
        <v>291</v>
      </c>
      <c r="E4390" t="s">
        <v>214</v>
      </c>
      <c r="F4390">
        <v>4</v>
      </c>
    </row>
    <row r="4391" spans="1:6" ht="13.2">
      <c r="A4391" t="s">
        <v>2569</v>
      </c>
      <c r="B4391">
        <v>0</v>
      </c>
      <c r="C4391" s="44" t="s">
        <v>206</v>
      </c>
      <c r="D4391" t="s">
        <v>291</v>
      </c>
      <c r="E4391" t="s">
        <v>214</v>
      </c>
      <c r="F4391">
        <v>4</v>
      </c>
    </row>
    <row r="4392" spans="1:6" ht="13.2">
      <c r="A4392" t="s">
        <v>2570</v>
      </c>
      <c r="B4392">
        <v>0</v>
      </c>
      <c r="C4392" s="44" t="s">
        <v>206</v>
      </c>
      <c r="D4392" t="s">
        <v>291</v>
      </c>
      <c r="E4392" t="s">
        <v>214</v>
      </c>
      <c r="F4392">
        <v>4</v>
      </c>
    </row>
    <row r="4393" spans="1:6" ht="13.2">
      <c r="A4393" t="s">
        <v>2571</v>
      </c>
      <c r="B4393">
        <v>0</v>
      </c>
      <c r="C4393" s="44" t="s">
        <v>206</v>
      </c>
      <c r="D4393" t="s">
        <v>291</v>
      </c>
      <c r="E4393" t="s">
        <v>214</v>
      </c>
      <c r="F4393">
        <v>4</v>
      </c>
    </row>
    <row r="4394" spans="1:6" ht="13.2">
      <c r="A4394" t="s">
        <v>2572</v>
      </c>
      <c r="B4394">
        <v>0</v>
      </c>
      <c r="C4394" s="44" t="s">
        <v>206</v>
      </c>
      <c r="D4394" t="s">
        <v>291</v>
      </c>
      <c r="E4394" t="s">
        <v>214</v>
      </c>
      <c r="F4394">
        <v>4</v>
      </c>
    </row>
    <row r="4395" spans="1:6" ht="13.2">
      <c r="A4395" t="s">
        <v>2573</v>
      </c>
      <c r="B4395">
        <v>0</v>
      </c>
      <c r="C4395" s="44" t="s">
        <v>206</v>
      </c>
      <c r="D4395" t="s">
        <v>291</v>
      </c>
      <c r="E4395" t="s">
        <v>214</v>
      </c>
      <c r="F4395">
        <v>4</v>
      </c>
    </row>
    <row r="4396" spans="1:6" ht="13.2">
      <c r="A4396" t="s">
        <v>2574</v>
      </c>
      <c r="B4396">
        <v>0</v>
      </c>
      <c r="C4396" s="44" t="s">
        <v>206</v>
      </c>
      <c r="D4396" t="s">
        <v>291</v>
      </c>
      <c r="E4396" t="s">
        <v>214</v>
      </c>
      <c r="F4396">
        <v>4</v>
      </c>
    </row>
    <row r="4397" spans="1:6" ht="13.2">
      <c r="A4397" t="s">
        <v>2575</v>
      </c>
      <c r="B4397">
        <v>0</v>
      </c>
      <c r="C4397" s="44" t="s">
        <v>206</v>
      </c>
      <c r="D4397" t="s">
        <v>291</v>
      </c>
      <c r="E4397" t="s">
        <v>214</v>
      </c>
      <c r="F4397">
        <v>4</v>
      </c>
    </row>
    <row r="4398" spans="1:6" ht="13.2">
      <c r="A4398" t="s">
        <v>2576</v>
      </c>
      <c r="B4398">
        <v>0</v>
      </c>
      <c r="C4398" s="44" t="s">
        <v>206</v>
      </c>
      <c r="D4398" t="s">
        <v>291</v>
      </c>
      <c r="E4398" t="s">
        <v>214</v>
      </c>
      <c r="F4398">
        <v>4</v>
      </c>
    </row>
    <row r="4399" spans="1:6" ht="13.2">
      <c r="A4399" t="s">
        <v>2577</v>
      </c>
      <c r="B4399">
        <v>0</v>
      </c>
      <c r="C4399" s="44" t="s">
        <v>206</v>
      </c>
      <c r="D4399" t="s">
        <v>291</v>
      </c>
      <c r="E4399" t="s">
        <v>214</v>
      </c>
      <c r="F4399">
        <v>4</v>
      </c>
    </row>
    <row r="4400" spans="1:6" ht="13.2">
      <c r="A4400" t="s">
        <v>2578</v>
      </c>
      <c r="B4400">
        <v>0</v>
      </c>
      <c r="C4400" s="44" t="s">
        <v>206</v>
      </c>
      <c r="D4400" t="s">
        <v>291</v>
      </c>
      <c r="E4400" t="s">
        <v>214</v>
      </c>
      <c r="F4400">
        <v>4</v>
      </c>
    </row>
    <row r="4401" spans="1:6" ht="13.2">
      <c r="A4401" t="s">
        <v>2579</v>
      </c>
      <c r="B4401">
        <v>0</v>
      </c>
      <c r="C4401" s="44" t="s">
        <v>206</v>
      </c>
      <c r="D4401" t="s">
        <v>291</v>
      </c>
      <c r="E4401" t="s">
        <v>214</v>
      </c>
      <c r="F4401">
        <v>4</v>
      </c>
    </row>
    <row r="4402" spans="1:6" ht="13.2">
      <c r="A4402" t="s">
        <v>2580</v>
      </c>
      <c r="B4402">
        <v>0</v>
      </c>
      <c r="C4402" s="44" t="s">
        <v>206</v>
      </c>
      <c r="D4402" t="s">
        <v>291</v>
      </c>
      <c r="E4402" t="s">
        <v>214</v>
      </c>
      <c r="F4402">
        <v>4</v>
      </c>
    </row>
    <row r="4403" spans="1:6" ht="13.2">
      <c r="A4403" t="s">
        <v>2581</v>
      </c>
      <c r="B4403">
        <v>0</v>
      </c>
      <c r="C4403" s="44" t="s">
        <v>206</v>
      </c>
      <c r="D4403" t="s">
        <v>291</v>
      </c>
      <c r="E4403" t="s">
        <v>214</v>
      </c>
      <c r="F4403">
        <v>4</v>
      </c>
    </row>
    <row r="4404" spans="1:6" ht="13.2">
      <c r="A4404" t="s">
        <v>2582</v>
      </c>
      <c r="B4404">
        <v>0</v>
      </c>
      <c r="C4404" s="44" t="s">
        <v>206</v>
      </c>
      <c r="D4404" t="s">
        <v>291</v>
      </c>
      <c r="E4404" t="s">
        <v>214</v>
      </c>
      <c r="F4404">
        <v>4</v>
      </c>
    </row>
    <row r="4405" spans="1:6" ht="13.2">
      <c r="A4405" t="s">
        <v>2583</v>
      </c>
      <c r="B4405">
        <v>0</v>
      </c>
      <c r="C4405" s="44" t="s">
        <v>206</v>
      </c>
      <c r="D4405" t="s">
        <v>291</v>
      </c>
      <c r="E4405" t="s">
        <v>214</v>
      </c>
      <c r="F4405">
        <v>4</v>
      </c>
    </row>
    <row r="4406" spans="1:6" ht="13.2">
      <c r="A4406" t="s">
        <v>2584</v>
      </c>
      <c r="B4406">
        <v>0</v>
      </c>
      <c r="C4406" s="44" t="s">
        <v>206</v>
      </c>
      <c r="D4406" t="s">
        <v>291</v>
      </c>
      <c r="E4406" t="s">
        <v>214</v>
      </c>
      <c r="F4406">
        <v>4</v>
      </c>
    </row>
    <row r="4407" spans="1:6" ht="13.2">
      <c r="A4407" t="s">
        <v>2585</v>
      </c>
      <c r="B4407">
        <v>0</v>
      </c>
      <c r="C4407" s="44" t="s">
        <v>206</v>
      </c>
      <c r="D4407" t="s">
        <v>291</v>
      </c>
      <c r="E4407" t="s">
        <v>214</v>
      </c>
      <c r="F4407">
        <v>4</v>
      </c>
    </row>
    <row r="4408" spans="1:6" ht="13.2">
      <c r="A4408" t="s">
        <v>2586</v>
      </c>
      <c r="B4408">
        <v>0</v>
      </c>
      <c r="C4408" s="44" t="s">
        <v>206</v>
      </c>
      <c r="D4408" t="s">
        <v>291</v>
      </c>
      <c r="E4408" t="s">
        <v>214</v>
      </c>
      <c r="F4408">
        <v>4</v>
      </c>
    </row>
    <row r="4409" spans="1:6" ht="13.2">
      <c r="A4409" t="s">
        <v>2587</v>
      </c>
      <c r="B4409">
        <v>0</v>
      </c>
      <c r="C4409" s="44" t="s">
        <v>206</v>
      </c>
      <c r="D4409" t="s">
        <v>291</v>
      </c>
      <c r="E4409" t="s">
        <v>214</v>
      </c>
      <c r="F4409">
        <v>4</v>
      </c>
    </row>
    <row r="4410" spans="1:6" ht="13.2">
      <c r="A4410" t="s">
        <v>2588</v>
      </c>
      <c r="B4410">
        <v>0</v>
      </c>
      <c r="C4410" s="44" t="s">
        <v>206</v>
      </c>
      <c r="D4410" t="s">
        <v>291</v>
      </c>
      <c r="E4410" t="s">
        <v>214</v>
      </c>
      <c r="F4410">
        <v>4</v>
      </c>
    </row>
    <row r="4411" spans="1:6" ht="13.2">
      <c r="A4411" t="s">
        <v>2589</v>
      </c>
      <c r="B4411">
        <v>0</v>
      </c>
      <c r="C4411" s="44" t="s">
        <v>206</v>
      </c>
      <c r="D4411" t="s">
        <v>291</v>
      </c>
      <c r="E4411" t="s">
        <v>214</v>
      </c>
      <c r="F4411">
        <v>4</v>
      </c>
    </row>
    <row r="4412" spans="1:6" ht="13.2">
      <c r="A4412" t="s">
        <v>2590</v>
      </c>
      <c r="B4412">
        <v>0</v>
      </c>
      <c r="C4412" s="44" t="s">
        <v>206</v>
      </c>
      <c r="D4412" t="s">
        <v>291</v>
      </c>
      <c r="E4412" t="s">
        <v>214</v>
      </c>
      <c r="F4412">
        <v>4</v>
      </c>
    </row>
    <row r="4413" spans="1:6" ht="13.2">
      <c r="A4413" t="s">
        <v>2591</v>
      </c>
      <c r="B4413">
        <v>0</v>
      </c>
      <c r="C4413" s="44" t="s">
        <v>206</v>
      </c>
      <c r="D4413" t="s">
        <v>291</v>
      </c>
      <c r="E4413" t="s">
        <v>214</v>
      </c>
      <c r="F4413">
        <v>4</v>
      </c>
    </row>
    <row r="4414" spans="1:6" ht="13.2">
      <c r="A4414" t="s">
        <v>2592</v>
      </c>
      <c r="B4414">
        <v>0</v>
      </c>
      <c r="C4414" s="44" t="s">
        <v>206</v>
      </c>
      <c r="D4414" t="s">
        <v>291</v>
      </c>
      <c r="E4414" t="s">
        <v>214</v>
      </c>
      <c r="F4414">
        <v>4</v>
      </c>
    </row>
    <row r="4415" spans="1:6" ht="13.2">
      <c r="A4415" t="s">
        <v>2593</v>
      </c>
      <c r="B4415">
        <v>0</v>
      </c>
      <c r="C4415" s="44" t="s">
        <v>206</v>
      </c>
      <c r="D4415" t="s">
        <v>291</v>
      </c>
      <c r="E4415" t="s">
        <v>214</v>
      </c>
      <c r="F4415">
        <v>4</v>
      </c>
    </row>
    <row r="4416" spans="1:6" ht="13.2">
      <c r="A4416" t="s">
        <v>2594</v>
      </c>
      <c r="B4416">
        <v>0</v>
      </c>
      <c r="C4416" s="44" t="s">
        <v>206</v>
      </c>
      <c r="D4416" t="s">
        <v>291</v>
      </c>
      <c r="E4416" t="s">
        <v>214</v>
      </c>
      <c r="F4416">
        <v>4</v>
      </c>
    </row>
    <row r="4417" spans="1:6" ht="13.2">
      <c r="A4417" t="s">
        <v>2595</v>
      </c>
      <c r="B4417">
        <v>0</v>
      </c>
      <c r="C4417" s="44" t="s">
        <v>206</v>
      </c>
      <c r="D4417" t="s">
        <v>291</v>
      </c>
      <c r="E4417" t="s">
        <v>214</v>
      </c>
      <c r="F4417">
        <v>4</v>
      </c>
    </row>
    <row r="4418" spans="1:6" ht="13.2">
      <c r="A4418" t="s">
        <v>2596</v>
      </c>
      <c r="B4418">
        <v>0</v>
      </c>
      <c r="C4418" s="44" t="s">
        <v>206</v>
      </c>
      <c r="D4418" t="s">
        <v>291</v>
      </c>
      <c r="E4418" t="s">
        <v>214</v>
      </c>
      <c r="F4418">
        <v>4</v>
      </c>
    </row>
    <row r="4419" spans="1:6" ht="13.2">
      <c r="A4419" t="s">
        <v>2597</v>
      </c>
      <c r="B4419">
        <v>0</v>
      </c>
      <c r="C4419" s="44" t="s">
        <v>206</v>
      </c>
      <c r="D4419" t="s">
        <v>291</v>
      </c>
      <c r="E4419" t="s">
        <v>214</v>
      </c>
      <c r="F4419">
        <v>4</v>
      </c>
    </row>
    <row r="4420" spans="1:6" ht="13.2">
      <c r="A4420" t="s">
        <v>1336</v>
      </c>
      <c r="B4420">
        <v>0</v>
      </c>
      <c r="C4420" s="44">
        <v>3000</v>
      </c>
      <c r="D4420" t="s">
        <v>293</v>
      </c>
      <c r="E4420" t="s">
        <v>480</v>
      </c>
      <c r="F4420">
        <v>4</v>
      </c>
    </row>
    <row r="4421" spans="1:6" ht="13.2">
      <c r="A4421" t="s">
        <v>1337</v>
      </c>
      <c r="B4421">
        <v>0</v>
      </c>
      <c r="C4421" s="44">
        <v>3000</v>
      </c>
      <c r="D4421" t="s">
        <v>293</v>
      </c>
      <c r="E4421" t="s">
        <v>480</v>
      </c>
      <c r="F4421">
        <v>4</v>
      </c>
    </row>
    <row r="4422" spans="1:6" ht="13.2">
      <c r="A4422" t="s">
        <v>1338</v>
      </c>
      <c r="B4422">
        <v>0</v>
      </c>
      <c r="C4422" s="44">
        <v>3000</v>
      </c>
      <c r="D4422" t="s">
        <v>293</v>
      </c>
      <c r="E4422" t="s">
        <v>480</v>
      </c>
      <c r="F4422">
        <v>4</v>
      </c>
    </row>
    <row r="4423" spans="1:6" ht="13.2">
      <c r="A4423" t="s">
        <v>1339</v>
      </c>
      <c r="B4423">
        <v>0</v>
      </c>
      <c r="C4423" s="44">
        <v>3000</v>
      </c>
      <c r="D4423" t="s">
        <v>293</v>
      </c>
      <c r="E4423" t="s">
        <v>480</v>
      </c>
      <c r="F4423">
        <v>4</v>
      </c>
    </row>
    <row r="4424" spans="1:6" ht="13.2">
      <c r="A4424" t="s">
        <v>1340</v>
      </c>
      <c r="B4424">
        <v>0</v>
      </c>
      <c r="C4424" s="44">
        <v>3000</v>
      </c>
      <c r="D4424" t="s">
        <v>293</v>
      </c>
      <c r="E4424" t="s">
        <v>480</v>
      </c>
      <c r="F4424">
        <v>4</v>
      </c>
    </row>
    <row r="4425" spans="1:6" ht="13.2">
      <c r="A4425" t="s">
        <v>1341</v>
      </c>
      <c r="B4425">
        <v>0</v>
      </c>
      <c r="C4425" s="44">
        <v>3000</v>
      </c>
      <c r="D4425" t="s">
        <v>293</v>
      </c>
      <c r="E4425" t="s">
        <v>480</v>
      </c>
      <c r="F4425">
        <v>4</v>
      </c>
    </row>
    <row r="4426" spans="1:6" ht="13.2">
      <c r="A4426" t="s">
        <v>1342</v>
      </c>
      <c r="B4426">
        <v>0</v>
      </c>
      <c r="C4426" s="44">
        <v>3000</v>
      </c>
      <c r="D4426" t="s">
        <v>293</v>
      </c>
      <c r="E4426" t="s">
        <v>480</v>
      </c>
      <c r="F4426">
        <v>4</v>
      </c>
    </row>
    <row r="4427" spans="1:6" ht="13.2">
      <c r="A4427" t="s">
        <v>1343</v>
      </c>
      <c r="B4427">
        <v>0</v>
      </c>
      <c r="C4427" s="44">
        <v>3000</v>
      </c>
      <c r="D4427" t="s">
        <v>293</v>
      </c>
      <c r="E4427" t="s">
        <v>480</v>
      </c>
      <c r="F4427">
        <v>4</v>
      </c>
    </row>
    <row r="4428" spans="1:6" ht="13.2">
      <c r="A4428" t="s">
        <v>1344</v>
      </c>
      <c r="B4428">
        <v>0</v>
      </c>
      <c r="C4428" s="44">
        <v>3000</v>
      </c>
      <c r="D4428" t="s">
        <v>293</v>
      </c>
      <c r="E4428" t="s">
        <v>480</v>
      </c>
      <c r="F4428">
        <v>4</v>
      </c>
    </row>
    <row r="4429" spans="1:6" ht="13.2">
      <c r="A4429" t="s">
        <v>1345</v>
      </c>
      <c r="B4429">
        <v>0</v>
      </c>
      <c r="C4429" s="44">
        <v>3000</v>
      </c>
      <c r="D4429" t="s">
        <v>293</v>
      </c>
      <c r="E4429" t="s">
        <v>480</v>
      </c>
      <c r="F4429">
        <v>4</v>
      </c>
    </row>
    <row r="4430" spans="1:6" ht="13.2">
      <c r="A4430" t="s">
        <v>1346</v>
      </c>
      <c r="B4430">
        <v>0</v>
      </c>
      <c r="C4430" s="44">
        <v>3000</v>
      </c>
      <c r="D4430" t="s">
        <v>293</v>
      </c>
      <c r="E4430" t="s">
        <v>480</v>
      </c>
      <c r="F4430">
        <v>4</v>
      </c>
    </row>
    <row r="4431" spans="1:6" ht="13.2">
      <c r="A4431" t="s">
        <v>1347</v>
      </c>
      <c r="B4431">
        <v>0</v>
      </c>
      <c r="C4431" s="44">
        <v>3000</v>
      </c>
      <c r="D4431" t="s">
        <v>293</v>
      </c>
      <c r="E4431" t="s">
        <v>480</v>
      </c>
      <c r="F4431">
        <v>4</v>
      </c>
    </row>
    <row r="4432" spans="1:6" ht="13.2">
      <c r="A4432" t="s">
        <v>1348</v>
      </c>
      <c r="B4432">
        <v>0</v>
      </c>
      <c r="C4432" s="44">
        <v>3000</v>
      </c>
      <c r="D4432" t="s">
        <v>293</v>
      </c>
      <c r="E4432" t="s">
        <v>480</v>
      </c>
      <c r="F4432">
        <v>4</v>
      </c>
    </row>
    <row r="4433" spans="1:6" ht="13.2">
      <c r="A4433" t="s">
        <v>1349</v>
      </c>
      <c r="B4433">
        <v>0</v>
      </c>
      <c r="C4433" s="44">
        <v>3000</v>
      </c>
      <c r="D4433" t="s">
        <v>293</v>
      </c>
      <c r="E4433" t="s">
        <v>480</v>
      </c>
      <c r="F4433">
        <v>4</v>
      </c>
    </row>
    <row r="4434" spans="1:6" ht="13.2">
      <c r="A4434" t="s">
        <v>1350</v>
      </c>
      <c r="B4434">
        <v>0</v>
      </c>
      <c r="C4434" s="44">
        <v>3000</v>
      </c>
      <c r="D4434" t="s">
        <v>293</v>
      </c>
      <c r="E4434" t="s">
        <v>480</v>
      </c>
      <c r="F4434">
        <v>4</v>
      </c>
    </row>
    <row r="4435" spans="1:6" ht="13.2">
      <c r="A4435" t="s">
        <v>1351</v>
      </c>
      <c r="B4435">
        <v>0</v>
      </c>
      <c r="C4435" s="44">
        <v>3000</v>
      </c>
      <c r="D4435" t="s">
        <v>293</v>
      </c>
      <c r="E4435" t="s">
        <v>480</v>
      </c>
      <c r="F4435">
        <v>4</v>
      </c>
    </row>
    <row r="4436" spans="1:6" ht="13.2">
      <c r="A4436" t="s">
        <v>1352</v>
      </c>
      <c r="B4436">
        <v>0</v>
      </c>
      <c r="C4436" s="44">
        <v>3000</v>
      </c>
      <c r="D4436" t="s">
        <v>293</v>
      </c>
      <c r="E4436" t="s">
        <v>480</v>
      </c>
      <c r="F4436">
        <v>4</v>
      </c>
    </row>
    <row r="4437" spans="1:6" ht="13.2">
      <c r="A4437" t="s">
        <v>1353</v>
      </c>
      <c r="B4437">
        <v>0</v>
      </c>
      <c r="C4437" s="44">
        <v>3000</v>
      </c>
      <c r="D4437" t="s">
        <v>293</v>
      </c>
      <c r="E4437" t="s">
        <v>480</v>
      </c>
      <c r="F4437">
        <v>4</v>
      </c>
    </row>
    <row r="4438" spans="1:6" ht="13.2">
      <c r="A4438" t="s">
        <v>1354</v>
      </c>
      <c r="B4438">
        <v>0</v>
      </c>
      <c r="C4438" s="44">
        <v>3000</v>
      </c>
      <c r="D4438" t="s">
        <v>293</v>
      </c>
      <c r="E4438" t="s">
        <v>480</v>
      </c>
      <c r="F4438">
        <v>4</v>
      </c>
    </row>
    <row r="4439" spans="1:6" ht="13.2">
      <c r="A4439" t="s">
        <v>2039</v>
      </c>
      <c r="B4439">
        <v>0</v>
      </c>
      <c r="C4439" s="44">
        <v>3000</v>
      </c>
      <c r="D4439" t="s">
        <v>291</v>
      </c>
      <c r="E4439" t="s">
        <v>480</v>
      </c>
      <c r="F4439">
        <v>4</v>
      </c>
    </row>
    <row r="4440" spans="1:6" ht="13.2">
      <c r="A4440" t="s">
        <v>2046</v>
      </c>
      <c r="B4440">
        <v>0</v>
      </c>
      <c r="C4440" s="44">
        <v>3000</v>
      </c>
      <c r="D4440" t="s">
        <v>291</v>
      </c>
      <c r="E4440" t="s">
        <v>480</v>
      </c>
      <c r="F4440">
        <v>4</v>
      </c>
    </row>
    <row r="4441" spans="1:6" ht="13.2">
      <c r="A4441" t="s">
        <v>2040</v>
      </c>
      <c r="B4441">
        <v>0</v>
      </c>
      <c r="C4441" s="44">
        <v>3000</v>
      </c>
      <c r="D4441" t="s">
        <v>291</v>
      </c>
      <c r="E4441" t="s">
        <v>480</v>
      </c>
      <c r="F4441">
        <v>4</v>
      </c>
    </row>
    <row r="4442" spans="1:6" ht="13.2">
      <c r="A4442" t="s">
        <v>2033</v>
      </c>
      <c r="B4442">
        <v>0</v>
      </c>
      <c r="C4442" s="44">
        <v>3000</v>
      </c>
      <c r="D4442" t="s">
        <v>291</v>
      </c>
      <c r="E4442" t="s">
        <v>480</v>
      </c>
      <c r="F4442">
        <v>4</v>
      </c>
    </row>
    <row r="4443" spans="1:6" ht="13.2">
      <c r="A4443" t="s">
        <v>2038</v>
      </c>
      <c r="B4443">
        <v>0</v>
      </c>
      <c r="C4443" s="44">
        <v>3000</v>
      </c>
      <c r="D4443" t="s">
        <v>291</v>
      </c>
      <c r="E4443" t="s">
        <v>480</v>
      </c>
      <c r="F4443">
        <v>4</v>
      </c>
    </row>
    <row r="4444" spans="1:6" ht="13.2">
      <c r="A4444" t="s">
        <v>2032</v>
      </c>
      <c r="B4444">
        <v>0</v>
      </c>
      <c r="C4444" s="44">
        <v>3000</v>
      </c>
      <c r="D4444" t="s">
        <v>291</v>
      </c>
      <c r="E4444" t="s">
        <v>480</v>
      </c>
      <c r="F4444">
        <v>4</v>
      </c>
    </row>
    <row r="4445" spans="1:6" ht="13.2">
      <c r="A4445" t="s">
        <v>2044</v>
      </c>
      <c r="B4445">
        <v>0</v>
      </c>
      <c r="C4445" s="44">
        <v>3000</v>
      </c>
      <c r="D4445" t="s">
        <v>291</v>
      </c>
      <c r="E4445" t="s">
        <v>480</v>
      </c>
      <c r="F4445">
        <v>4</v>
      </c>
    </row>
    <row r="4446" spans="1:6" ht="13.2">
      <c r="A4446" t="s">
        <v>2041</v>
      </c>
      <c r="B4446">
        <v>0</v>
      </c>
      <c r="C4446" s="44">
        <v>3000</v>
      </c>
      <c r="D4446" t="s">
        <v>291</v>
      </c>
      <c r="E4446" t="s">
        <v>480</v>
      </c>
      <c r="F4446">
        <v>4</v>
      </c>
    </row>
    <row r="4447" spans="1:6" ht="13.2">
      <c r="A4447" t="s">
        <v>2043</v>
      </c>
      <c r="B4447">
        <v>0</v>
      </c>
      <c r="C4447" s="44">
        <v>3000</v>
      </c>
      <c r="D4447" t="s">
        <v>291</v>
      </c>
      <c r="E4447" t="s">
        <v>480</v>
      </c>
      <c r="F4447">
        <v>4</v>
      </c>
    </row>
    <row r="4448" spans="1:6" ht="13.2">
      <c r="A4448" t="s">
        <v>2037</v>
      </c>
      <c r="B4448">
        <v>0</v>
      </c>
      <c r="C4448" s="44">
        <v>3000</v>
      </c>
      <c r="D4448" t="s">
        <v>291</v>
      </c>
      <c r="E4448" t="s">
        <v>480</v>
      </c>
      <c r="F4448">
        <v>4</v>
      </c>
    </row>
    <row r="4449" spans="1:6" ht="13.2">
      <c r="A4449" t="s">
        <v>2036</v>
      </c>
      <c r="B4449">
        <v>0</v>
      </c>
      <c r="C4449" s="44">
        <v>3000</v>
      </c>
      <c r="D4449" t="s">
        <v>291</v>
      </c>
      <c r="E4449" t="s">
        <v>480</v>
      </c>
      <c r="F4449">
        <v>4</v>
      </c>
    </row>
    <row r="4450" spans="1:6" ht="13.2">
      <c r="A4450" t="s">
        <v>2034</v>
      </c>
      <c r="B4450">
        <v>0</v>
      </c>
      <c r="C4450" s="44">
        <v>3000</v>
      </c>
      <c r="D4450" t="s">
        <v>291</v>
      </c>
      <c r="E4450" t="s">
        <v>480</v>
      </c>
      <c r="F4450">
        <v>4</v>
      </c>
    </row>
    <row r="4451" spans="1:6" ht="13.2">
      <c r="A4451" t="s">
        <v>2035</v>
      </c>
      <c r="B4451">
        <v>0</v>
      </c>
      <c r="C4451" s="44">
        <v>3000</v>
      </c>
      <c r="D4451" t="s">
        <v>291</v>
      </c>
      <c r="E4451" t="s">
        <v>480</v>
      </c>
      <c r="F4451">
        <v>4</v>
      </c>
    </row>
    <row r="4452" spans="1:6" ht="13.2">
      <c r="A4452" t="s">
        <v>2029</v>
      </c>
      <c r="B4452">
        <v>0</v>
      </c>
      <c r="C4452" s="44">
        <v>3000</v>
      </c>
      <c r="D4452" t="s">
        <v>291</v>
      </c>
      <c r="E4452" t="s">
        <v>480</v>
      </c>
      <c r="F4452">
        <v>4</v>
      </c>
    </row>
    <row r="4453" spans="1:6" ht="13.2">
      <c r="A4453" t="s">
        <v>2042</v>
      </c>
      <c r="B4453">
        <v>0</v>
      </c>
      <c r="C4453" s="44">
        <v>3000</v>
      </c>
      <c r="D4453" t="s">
        <v>291</v>
      </c>
      <c r="E4453" t="s">
        <v>480</v>
      </c>
      <c r="F4453">
        <v>4</v>
      </c>
    </row>
    <row r="4454" spans="1:6" ht="13.2">
      <c r="A4454" t="s">
        <v>2030</v>
      </c>
      <c r="B4454">
        <v>0</v>
      </c>
      <c r="C4454" s="44">
        <v>3000</v>
      </c>
      <c r="D4454" t="s">
        <v>291</v>
      </c>
      <c r="E4454" t="s">
        <v>480</v>
      </c>
      <c r="F4454">
        <v>4</v>
      </c>
    </row>
    <row r="4455" spans="1:6" ht="13.2">
      <c r="A4455" t="s">
        <v>2047</v>
      </c>
      <c r="B4455">
        <v>0</v>
      </c>
      <c r="C4455" s="44">
        <v>3000</v>
      </c>
      <c r="D4455" t="s">
        <v>291</v>
      </c>
      <c r="E4455" t="s">
        <v>480</v>
      </c>
      <c r="F4455">
        <v>4</v>
      </c>
    </row>
    <row r="4456" spans="1:6" ht="13.2">
      <c r="A4456" t="s">
        <v>2045</v>
      </c>
      <c r="B4456">
        <v>0</v>
      </c>
      <c r="C4456" s="44">
        <v>3000</v>
      </c>
      <c r="D4456" t="s">
        <v>291</v>
      </c>
      <c r="E4456" t="s">
        <v>480</v>
      </c>
      <c r="F4456">
        <v>4</v>
      </c>
    </row>
    <row r="4457" spans="1:6" ht="13.2">
      <c r="A4457" t="s">
        <v>2031</v>
      </c>
      <c r="B4457">
        <v>0</v>
      </c>
      <c r="C4457" s="44">
        <v>3000</v>
      </c>
      <c r="D4457" t="s">
        <v>291</v>
      </c>
      <c r="E4457" t="s">
        <v>480</v>
      </c>
      <c r="F4457">
        <v>4</v>
      </c>
    </row>
    <row r="4458" spans="1:6" ht="13.2">
      <c r="A4458" t="s">
        <v>1702</v>
      </c>
      <c r="B4458">
        <v>0</v>
      </c>
      <c r="C4458" s="44">
        <v>3000</v>
      </c>
      <c r="D4458" t="s">
        <v>293</v>
      </c>
      <c r="E4458" t="s">
        <v>364</v>
      </c>
      <c r="F4458">
        <v>17</v>
      </c>
    </row>
    <row r="4459" spans="1:6" ht="13.2">
      <c r="A4459" t="s">
        <v>1703</v>
      </c>
      <c r="B4459">
        <v>0</v>
      </c>
      <c r="C4459" s="44">
        <v>3000</v>
      </c>
      <c r="D4459" t="s">
        <v>293</v>
      </c>
      <c r="E4459" t="s">
        <v>364</v>
      </c>
      <c r="F4459">
        <v>17</v>
      </c>
    </row>
    <row r="4460" spans="1:6" ht="13.2">
      <c r="A4460" t="s">
        <v>1704</v>
      </c>
      <c r="B4460">
        <v>0</v>
      </c>
      <c r="C4460" s="44">
        <v>3000</v>
      </c>
      <c r="D4460" t="s">
        <v>293</v>
      </c>
      <c r="E4460" t="s">
        <v>364</v>
      </c>
      <c r="F4460">
        <v>17</v>
      </c>
    </row>
    <row r="4461" spans="1:6" ht="13.2">
      <c r="A4461" t="s">
        <v>1705</v>
      </c>
      <c r="B4461">
        <v>0</v>
      </c>
      <c r="C4461" s="44">
        <v>3000</v>
      </c>
      <c r="D4461" t="s">
        <v>293</v>
      </c>
      <c r="E4461" t="s">
        <v>364</v>
      </c>
      <c r="F4461">
        <v>17</v>
      </c>
    </row>
    <row r="4462" spans="1:6" ht="13.2">
      <c r="A4462" t="s">
        <v>1706</v>
      </c>
      <c r="B4462">
        <v>0</v>
      </c>
      <c r="C4462" s="44">
        <v>3000</v>
      </c>
      <c r="D4462" t="s">
        <v>293</v>
      </c>
      <c r="E4462" t="s">
        <v>364</v>
      </c>
      <c r="F4462">
        <v>17</v>
      </c>
    </row>
    <row r="4463" spans="1:6" ht="13.2">
      <c r="A4463" t="s">
        <v>1707</v>
      </c>
      <c r="B4463">
        <v>0</v>
      </c>
      <c r="C4463" s="44">
        <v>3000</v>
      </c>
      <c r="D4463" t="s">
        <v>293</v>
      </c>
      <c r="E4463" t="s">
        <v>364</v>
      </c>
      <c r="F4463">
        <v>17</v>
      </c>
    </row>
    <row r="4464" spans="1:6" ht="13.2">
      <c r="A4464" t="s">
        <v>1708</v>
      </c>
      <c r="B4464">
        <v>0</v>
      </c>
      <c r="C4464" s="44">
        <v>3000</v>
      </c>
      <c r="D4464" t="s">
        <v>293</v>
      </c>
      <c r="E4464" t="s">
        <v>364</v>
      </c>
      <c r="F4464">
        <v>17</v>
      </c>
    </row>
    <row r="4465" spans="1:6" ht="13.2">
      <c r="A4465" t="s">
        <v>949</v>
      </c>
      <c r="B4465">
        <v>0</v>
      </c>
      <c r="C4465" s="44">
        <v>3000</v>
      </c>
      <c r="D4465" t="s">
        <v>291</v>
      </c>
      <c r="E4465" t="s">
        <v>364</v>
      </c>
      <c r="F4465">
        <v>17</v>
      </c>
    </row>
    <row r="4466" spans="1:6" ht="13.2">
      <c r="A4466" t="s">
        <v>950</v>
      </c>
      <c r="B4466">
        <v>0</v>
      </c>
      <c r="C4466" s="44">
        <v>3000</v>
      </c>
      <c r="D4466" t="s">
        <v>291</v>
      </c>
      <c r="E4466" t="s">
        <v>364</v>
      </c>
      <c r="F4466">
        <v>17</v>
      </c>
    </row>
    <row r="4467" spans="1:6" ht="13.2">
      <c r="A4467" t="s">
        <v>951</v>
      </c>
      <c r="B4467">
        <v>0</v>
      </c>
      <c r="C4467" s="44">
        <v>3000</v>
      </c>
      <c r="D4467" t="s">
        <v>291</v>
      </c>
      <c r="E4467" t="s">
        <v>364</v>
      </c>
      <c r="F4467">
        <v>17</v>
      </c>
    </row>
    <row r="4468" spans="1:6" ht="13.2">
      <c r="A4468" t="s">
        <v>952</v>
      </c>
      <c r="B4468">
        <v>0</v>
      </c>
      <c r="C4468" s="44">
        <v>3000</v>
      </c>
      <c r="D4468" t="s">
        <v>291</v>
      </c>
      <c r="E4468" t="s">
        <v>364</v>
      </c>
      <c r="F4468">
        <v>17</v>
      </c>
    </row>
    <row r="4469" spans="1:6" ht="13.2">
      <c r="A4469" t="s">
        <v>953</v>
      </c>
      <c r="B4469">
        <v>0</v>
      </c>
      <c r="C4469" s="44">
        <v>3000</v>
      </c>
      <c r="D4469" t="s">
        <v>291</v>
      </c>
      <c r="E4469" t="s">
        <v>364</v>
      </c>
      <c r="F4469">
        <v>17</v>
      </c>
    </row>
    <row r="4470" spans="1:6" ht="13.2">
      <c r="A4470" t="s">
        <v>954</v>
      </c>
      <c r="B4470">
        <v>0</v>
      </c>
      <c r="C4470" s="44">
        <v>3000</v>
      </c>
      <c r="D4470" t="s">
        <v>291</v>
      </c>
      <c r="E4470" t="s">
        <v>364</v>
      </c>
      <c r="F4470">
        <v>17</v>
      </c>
    </row>
    <row r="4471" spans="1:6" ht="13.2">
      <c r="A4471" t="s">
        <v>955</v>
      </c>
      <c r="B4471">
        <v>0</v>
      </c>
      <c r="C4471" s="44">
        <v>3000</v>
      </c>
      <c r="D4471" t="s">
        <v>291</v>
      </c>
      <c r="E4471" t="s">
        <v>364</v>
      </c>
      <c r="F4471">
        <v>17</v>
      </c>
    </row>
    <row r="4472" spans="1:6" ht="13.2">
      <c r="A4472" t="s">
        <v>1994</v>
      </c>
      <c r="B4472">
        <v>250</v>
      </c>
      <c r="C4472" s="44">
        <v>3000</v>
      </c>
      <c r="D4472" t="s">
        <v>293</v>
      </c>
      <c r="E4472" t="s">
        <v>256</v>
      </c>
      <c r="F4472">
        <v>15</v>
      </c>
    </row>
    <row r="4473" spans="1:6" ht="13.2">
      <c r="A4473" t="s">
        <v>1995</v>
      </c>
      <c r="B4473">
        <v>250</v>
      </c>
      <c r="C4473" s="44">
        <v>3000</v>
      </c>
      <c r="D4473" t="s">
        <v>293</v>
      </c>
      <c r="E4473" t="s">
        <v>256</v>
      </c>
      <c r="F4473">
        <v>15</v>
      </c>
    </row>
    <row r="4474" spans="1:6" ht="13.2">
      <c r="A4474" t="s">
        <v>1996</v>
      </c>
      <c r="B4474">
        <v>250</v>
      </c>
      <c r="C4474" s="44">
        <v>3000</v>
      </c>
      <c r="D4474" t="s">
        <v>293</v>
      </c>
      <c r="E4474" t="s">
        <v>256</v>
      </c>
      <c r="F4474">
        <v>15</v>
      </c>
    </row>
    <row r="4475" spans="1:6" ht="13.2">
      <c r="A4475" t="s">
        <v>5007</v>
      </c>
      <c r="B4475">
        <v>0</v>
      </c>
      <c r="C4475" s="44">
        <v>3150</v>
      </c>
      <c r="D4475" t="s">
        <v>293</v>
      </c>
      <c r="E4475" t="s">
        <v>5010</v>
      </c>
      <c r="F4475">
        <v>15</v>
      </c>
    </row>
    <row r="4476" spans="1:6" ht="13.2">
      <c r="A4476" t="s">
        <v>5006</v>
      </c>
      <c r="B4476">
        <v>0</v>
      </c>
      <c r="C4476" s="44">
        <v>3150</v>
      </c>
      <c r="D4476" t="s">
        <v>293</v>
      </c>
      <c r="E4476" t="s">
        <v>5010</v>
      </c>
      <c r="F4476">
        <v>15</v>
      </c>
    </row>
    <row r="4477" spans="1:6" ht="13.2">
      <c r="A4477" t="s">
        <v>5008</v>
      </c>
      <c r="B4477">
        <v>0</v>
      </c>
      <c r="C4477" s="44">
        <v>3150</v>
      </c>
      <c r="D4477" t="s">
        <v>293</v>
      </c>
      <c r="E4477" t="s">
        <v>5010</v>
      </c>
      <c r="F4477">
        <v>15</v>
      </c>
    </row>
    <row r="4478" spans="1:6" ht="13.2">
      <c r="A4478" t="s">
        <v>5009</v>
      </c>
      <c r="B4478">
        <v>0</v>
      </c>
      <c r="C4478" s="44">
        <v>3150</v>
      </c>
      <c r="D4478" t="s">
        <v>293</v>
      </c>
      <c r="E4478" t="s">
        <v>5010</v>
      </c>
      <c r="F4478">
        <v>15</v>
      </c>
    </row>
    <row r="4479" spans="1:6" ht="13.2">
      <c r="A4479" t="s">
        <v>2019</v>
      </c>
      <c r="B4479">
        <v>0</v>
      </c>
      <c r="C4479" s="44">
        <v>3080</v>
      </c>
      <c r="D4479" t="s">
        <v>293</v>
      </c>
      <c r="E4479" t="s">
        <v>2020</v>
      </c>
      <c r="F4479">
        <v>45</v>
      </c>
    </row>
    <row r="4480" spans="1:6" ht="13.2">
      <c r="A4480" t="s">
        <v>2021</v>
      </c>
      <c r="B4480">
        <v>0</v>
      </c>
      <c r="C4480" s="44">
        <v>3080</v>
      </c>
      <c r="D4480" t="s">
        <v>293</v>
      </c>
      <c r="E4480" t="s">
        <v>2020</v>
      </c>
      <c r="F4480">
        <v>45</v>
      </c>
    </row>
    <row r="4481" spans="1:6" ht="13.2">
      <c r="A4481" t="s">
        <v>2022</v>
      </c>
      <c r="B4481">
        <v>0</v>
      </c>
      <c r="C4481" s="44">
        <v>3080</v>
      </c>
      <c r="D4481" t="s">
        <v>293</v>
      </c>
      <c r="E4481" t="s">
        <v>2020</v>
      </c>
      <c r="F4481">
        <v>45</v>
      </c>
    </row>
    <row r="4482" spans="1:6" ht="13.2">
      <c r="A4482" t="s">
        <v>2023</v>
      </c>
      <c r="B4482">
        <v>0</v>
      </c>
      <c r="C4482" s="44">
        <v>3080</v>
      </c>
      <c r="D4482" t="s">
        <v>293</v>
      </c>
      <c r="E4482" t="s">
        <v>2020</v>
      </c>
      <c r="F4482">
        <v>45</v>
      </c>
    </row>
    <row r="4483" spans="1:6" ht="13.2">
      <c r="A4483" t="s">
        <v>2024</v>
      </c>
      <c r="B4483">
        <v>0</v>
      </c>
      <c r="C4483" s="44">
        <v>3080</v>
      </c>
      <c r="D4483" t="s">
        <v>293</v>
      </c>
      <c r="E4483" t="s">
        <v>2020</v>
      </c>
      <c r="F4483">
        <v>45</v>
      </c>
    </row>
    <row r="4484" spans="1:6" ht="13.2">
      <c r="A4484" t="s">
        <v>3057</v>
      </c>
      <c r="B4484">
        <v>600</v>
      </c>
      <c r="C4484" s="44">
        <v>1380</v>
      </c>
      <c r="D4484" t="s">
        <v>291</v>
      </c>
      <c r="E4484" t="s">
        <v>656</v>
      </c>
      <c r="F4484">
        <v>19</v>
      </c>
    </row>
    <row r="4485" spans="1:6" ht="13.2">
      <c r="A4485" t="s">
        <v>3056</v>
      </c>
      <c r="B4485">
        <v>600</v>
      </c>
      <c r="C4485" s="44">
        <v>1380</v>
      </c>
      <c r="D4485" t="s">
        <v>291</v>
      </c>
      <c r="E4485" t="s">
        <v>656</v>
      </c>
      <c r="F4485">
        <v>19</v>
      </c>
    </row>
    <row r="4486" spans="1:6" ht="13.2">
      <c r="A4486" t="s">
        <v>3059</v>
      </c>
      <c r="B4486">
        <v>600</v>
      </c>
      <c r="C4486" s="44">
        <v>1380</v>
      </c>
      <c r="D4486" t="s">
        <v>291</v>
      </c>
      <c r="E4486" t="s">
        <v>656</v>
      </c>
      <c r="F4486">
        <v>19</v>
      </c>
    </row>
    <row r="4487" spans="1:6" ht="13.2">
      <c r="A4487" t="s">
        <v>3055</v>
      </c>
      <c r="B4487">
        <v>600</v>
      </c>
      <c r="C4487" s="44">
        <v>1380</v>
      </c>
      <c r="D4487" t="s">
        <v>291</v>
      </c>
      <c r="E4487" t="s">
        <v>656</v>
      </c>
      <c r="F4487">
        <v>19</v>
      </c>
    </row>
    <row r="4488" spans="1:6" ht="13.2">
      <c r="A4488" t="s">
        <v>3058</v>
      </c>
      <c r="B4488">
        <v>600</v>
      </c>
      <c r="C4488" s="44">
        <v>1380</v>
      </c>
      <c r="D4488" t="s">
        <v>291</v>
      </c>
      <c r="E4488" t="s">
        <v>656</v>
      </c>
      <c r="F4488">
        <v>19</v>
      </c>
    </row>
    <row r="4489" spans="1:6" ht="13.2">
      <c r="A4489" t="s">
        <v>3060</v>
      </c>
      <c r="B4489">
        <v>600</v>
      </c>
      <c r="C4489" s="44">
        <v>1380</v>
      </c>
      <c r="D4489" t="s">
        <v>291</v>
      </c>
      <c r="E4489" t="s">
        <v>656</v>
      </c>
      <c r="F4489">
        <v>19</v>
      </c>
    </row>
    <row r="4490" spans="1:6" ht="13.2">
      <c r="A4490" t="s">
        <v>789</v>
      </c>
      <c r="B4490">
        <v>0</v>
      </c>
      <c r="C4490" s="44" t="s">
        <v>209</v>
      </c>
      <c r="D4490" t="s">
        <v>293</v>
      </c>
      <c r="E4490" t="s">
        <v>212</v>
      </c>
      <c r="F4490">
        <v>4</v>
      </c>
    </row>
    <row r="4491" spans="1:6" ht="13.2">
      <c r="A4491" t="s">
        <v>790</v>
      </c>
      <c r="B4491">
        <v>0</v>
      </c>
      <c r="C4491" s="44" t="s">
        <v>209</v>
      </c>
      <c r="D4491" t="s">
        <v>293</v>
      </c>
      <c r="E4491" t="s">
        <v>212</v>
      </c>
      <c r="F4491">
        <v>4</v>
      </c>
    </row>
    <row r="4492" spans="1:6" ht="13.2">
      <c r="A4492" t="s">
        <v>791</v>
      </c>
      <c r="B4492">
        <v>0</v>
      </c>
      <c r="C4492" s="44" t="s">
        <v>209</v>
      </c>
      <c r="D4492" t="s">
        <v>293</v>
      </c>
      <c r="E4492" t="s">
        <v>212</v>
      </c>
      <c r="F4492">
        <v>4</v>
      </c>
    </row>
    <row r="4493" spans="1:6" ht="13.2">
      <c r="A4493" t="s">
        <v>792</v>
      </c>
      <c r="B4493">
        <v>0</v>
      </c>
      <c r="C4493" s="44" t="s">
        <v>209</v>
      </c>
      <c r="D4493" t="s">
        <v>293</v>
      </c>
      <c r="E4493" t="s">
        <v>212</v>
      </c>
      <c r="F4493">
        <v>4</v>
      </c>
    </row>
    <row r="4494" spans="1:6" ht="13.2">
      <c r="A4494" t="s">
        <v>793</v>
      </c>
      <c r="B4494">
        <v>0</v>
      </c>
      <c r="C4494" s="44" t="s">
        <v>209</v>
      </c>
      <c r="D4494" t="s">
        <v>293</v>
      </c>
      <c r="E4494" t="s">
        <v>212</v>
      </c>
      <c r="F4494">
        <v>4</v>
      </c>
    </row>
    <row r="4495" spans="1:6" ht="13.2">
      <c r="A4495" t="s">
        <v>794</v>
      </c>
      <c r="B4495">
        <v>0</v>
      </c>
      <c r="C4495" s="44" t="s">
        <v>209</v>
      </c>
      <c r="D4495" t="s">
        <v>293</v>
      </c>
      <c r="E4495" t="s">
        <v>212</v>
      </c>
      <c r="F4495">
        <v>4</v>
      </c>
    </row>
    <row r="4496" spans="1:6" ht="13.2">
      <c r="A4496" t="s">
        <v>795</v>
      </c>
      <c r="B4496">
        <v>0</v>
      </c>
      <c r="C4496" s="44" t="s">
        <v>209</v>
      </c>
      <c r="D4496" t="s">
        <v>293</v>
      </c>
      <c r="E4496" t="s">
        <v>212</v>
      </c>
      <c r="F4496">
        <v>4</v>
      </c>
    </row>
    <row r="4497" spans="1:6" ht="13.2">
      <c r="A4497" t="s">
        <v>796</v>
      </c>
      <c r="B4497">
        <v>0</v>
      </c>
      <c r="C4497" s="44" t="s">
        <v>209</v>
      </c>
      <c r="D4497" t="s">
        <v>293</v>
      </c>
      <c r="E4497" t="s">
        <v>212</v>
      </c>
      <c r="F4497">
        <v>4</v>
      </c>
    </row>
    <row r="4498" spans="1:6" ht="13.2">
      <c r="A4498" t="s">
        <v>797</v>
      </c>
      <c r="B4498">
        <v>0</v>
      </c>
      <c r="C4498" s="44" t="s">
        <v>209</v>
      </c>
      <c r="D4498" t="s">
        <v>293</v>
      </c>
      <c r="E4498" t="s">
        <v>212</v>
      </c>
      <c r="F4498">
        <v>4</v>
      </c>
    </row>
    <row r="4499" spans="1:6" ht="13.2">
      <c r="A4499" t="s">
        <v>798</v>
      </c>
      <c r="B4499">
        <v>0</v>
      </c>
      <c r="C4499" s="44" t="s">
        <v>209</v>
      </c>
      <c r="D4499" s="45" t="s">
        <v>293</v>
      </c>
      <c r="E4499" t="s">
        <v>212</v>
      </c>
      <c r="F4499">
        <v>4</v>
      </c>
    </row>
    <row r="4500" spans="1:6" ht="13.2">
      <c r="A4500" t="s">
        <v>799</v>
      </c>
      <c r="B4500">
        <v>0</v>
      </c>
      <c r="C4500" s="44" t="s">
        <v>209</v>
      </c>
      <c r="D4500" s="45" t="s">
        <v>293</v>
      </c>
      <c r="E4500" t="s">
        <v>212</v>
      </c>
      <c r="F4500">
        <v>4</v>
      </c>
    </row>
    <row r="4501" spans="1:6" ht="13.2">
      <c r="A4501" t="s">
        <v>800</v>
      </c>
      <c r="B4501">
        <v>0</v>
      </c>
      <c r="C4501" s="44" t="s">
        <v>209</v>
      </c>
      <c r="D4501" s="45" t="s">
        <v>293</v>
      </c>
      <c r="E4501" t="s">
        <v>212</v>
      </c>
      <c r="F4501">
        <v>4</v>
      </c>
    </row>
    <row r="4502" spans="1:6" ht="13.2">
      <c r="A4502" t="s">
        <v>801</v>
      </c>
      <c r="B4502">
        <v>0</v>
      </c>
      <c r="C4502" s="44" t="s">
        <v>209</v>
      </c>
      <c r="D4502" s="45" t="s">
        <v>293</v>
      </c>
      <c r="E4502" t="s">
        <v>212</v>
      </c>
      <c r="F4502">
        <v>4</v>
      </c>
    </row>
    <row r="4503" spans="1:6" ht="13.2">
      <c r="A4503" t="s">
        <v>802</v>
      </c>
      <c r="B4503">
        <v>0</v>
      </c>
      <c r="C4503" s="44" t="s">
        <v>209</v>
      </c>
      <c r="D4503" s="45" t="s">
        <v>293</v>
      </c>
      <c r="E4503" t="s">
        <v>212</v>
      </c>
      <c r="F4503">
        <v>4</v>
      </c>
    </row>
    <row r="4504" spans="1:6" ht="13.2">
      <c r="A4504" t="s">
        <v>803</v>
      </c>
      <c r="B4504">
        <v>0</v>
      </c>
      <c r="C4504" s="44" t="s">
        <v>209</v>
      </c>
      <c r="D4504" s="45" t="s">
        <v>293</v>
      </c>
      <c r="E4504" t="s">
        <v>212</v>
      </c>
      <c r="F4504">
        <v>4</v>
      </c>
    </row>
    <row r="4505" spans="1:6" ht="13.2">
      <c r="A4505" t="s">
        <v>804</v>
      </c>
      <c r="B4505">
        <v>0</v>
      </c>
      <c r="C4505" s="44" t="s">
        <v>209</v>
      </c>
      <c r="D4505" s="45" t="s">
        <v>293</v>
      </c>
      <c r="E4505" t="s">
        <v>212</v>
      </c>
      <c r="F4505">
        <v>4</v>
      </c>
    </row>
    <row r="4506" spans="1:6" ht="13.2">
      <c r="A4506" t="s">
        <v>805</v>
      </c>
      <c r="B4506">
        <v>0</v>
      </c>
      <c r="C4506" s="44" t="s">
        <v>209</v>
      </c>
      <c r="D4506" s="45" t="s">
        <v>293</v>
      </c>
      <c r="E4506" t="s">
        <v>212</v>
      </c>
      <c r="F4506">
        <v>4</v>
      </c>
    </row>
    <row r="4507" spans="1:6" ht="13.2">
      <c r="A4507" t="s">
        <v>806</v>
      </c>
      <c r="B4507">
        <v>0</v>
      </c>
      <c r="C4507" s="44" t="s">
        <v>209</v>
      </c>
      <c r="D4507" s="45" t="s">
        <v>293</v>
      </c>
      <c r="E4507" t="s">
        <v>212</v>
      </c>
      <c r="F4507">
        <v>4</v>
      </c>
    </row>
    <row r="4508" spans="1:6" ht="13.2">
      <c r="A4508" t="s">
        <v>807</v>
      </c>
      <c r="B4508">
        <v>0</v>
      </c>
      <c r="C4508" s="44" t="s">
        <v>209</v>
      </c>
      <c r="D4508" s="45" t="s">
        <v>293</v>
      </c>
      <c r="E4508" t="s">
        <v>212</v>
      </c>
      <c r="F4508">
        <v>4</v>
      </c>
    </row>
    <row r="4509" spans="1:6" ht="13.2">
      <c r="A4509" t="s">
        <v>808</v>
      </c>
      <c r="B4509">
        <v>0</v>
      </c>
      <c r="C4509" s="44" t="s">
        <v>209</v>
      </c>
      <c r="D4509" s="45" t="s">
        <v>293</v>
      </c>
      <c r="E4509" t="s">
        <v>212</v>
      </c>
      <c r="F4509">
        <v>4</v>
      </c>
    </row>
    <row r="4510" spans="1:6" ht="13.2">
      <c r="A4510" t="s">
        <v>809</v>
      </c>
      <c r="B4510">
        <v>0</v>
      </c>
      <c r="C4510" s="44" t="s">
        <v>209</v>
      </c>
      <c r="D4510" s="45" t="s">
        <v>293</v>
      </c>
      <c r="E4510" t="s">
        <v>212</v>
      </c>
      <c r="F4510">
        <v>4</v>
      </c>
    </row>
    <row r="4511" spans="1:6" ht="13.2">
      <c r="A4511" t="s">
        <v>810</v>
      </c>
      <c r="B4511">
        <v>0</v>
      </c>
      <c r="C4511" s="44" t="s">
        <v>209</v>
      </c>
      <c r="D4511" s="45" t="s">
        <v>293</v>
      </c>
      <c r="E4511" t="s">
        <v>212</v>
      </c>
      <c r="F4511">
        <v>4</v>
      </c>
    </row>
    <row r="4512" spans="1:6" ht="13.2">
      <c r="A4512" t="s">
        <v>811</v>
      </c>
      <c r="B4512">
        <v>0</v>
      </c>
      <c r="C4512" s="44" t="s">
        <v>209</v>
      </c>
      <c r="D4512" s="45" t="s">
        <v>293</v>
      </c>
      <c r="E4512" t="s">
        <v>212</v>
      </c>
      <c r="F4512">
        <v>4</v>
      </c>
    </row>
    <row r="4513" spans="1:6" ht="13.2">
      <c r="A4513" t="s">
        <v>812</v>
      </c>
      <c r="B4513">
        <v>0</v>
      </c>
      <c r="C4513" s="44" t="s">
        <v>209</v>
      </c>
      <c r="D4513" s="45" t="s">
        <v>293</v>
      </c>
      <c r="E4513" t="s">
        <v>212</v>
      </c>
      <c r="F4513">
        <v>4</v>
      </c>
    </row>
    <row r="4514" spans="1:6" ht="13.2">
      <c r="A4514" t="s">
        <v>813</v>
      </c>
      <c r="B4514">
        <v>0</v>
      </c>
      <c r="C4514" s="44" t="s">
        <v>209</v>
      </c>
      <c r="D4514" t="s">
        <v>293</v>
      </c>
      <c r="E4514" t="s">
        <v>212</v>
      </c>
      <c r="F4514">
        <v>4</v>
      </c>
    </row>
    <row r="4515" spans="1:6" ht="13.2">
      <c r="A4515" t="s">
        <v>814</v>
      </c>
      <c r="B4515">
        <v>0</v>
      </c>
      <c r="C4515" s="44" t="s">
        <v>209</v>
      </c>
      <c r="D4515" t="s">
        <v>293</v>
      </c>
      <c r="E4515" t="s">
        <v>212</v>
      </c>
      <c r="F4515">
        <v>4</v>
      </c>
    </row>
    <row r="4516" spans="1:6" ht="13.2">
      <c r="A4516" t="s">
        <v>815</v>
      </c>
      <c r="B4516">
        <v>0</v>
      </c>
      <c r="C4516" s="44" t="s">
        <v>209</v>
      </c>
      <c r="D4516" t="s">
        <v>293</v>
      </c>
      <c r="E4516" t="s">
        <v>212</v>
      </c>
      <c r="F4516">
        <v>4</v>
      </c>
    </row>
    <row r="4517" spans="1:6" ht="13.2">
      <c r="A4517" t="s">
        <v>816</v>
      </c>
      <c r="B4517">
        <v>0</v>
      </c>
      <c r="C4517" s="44" t="s">
        <v>209</v>
      </c>
      <c r="D4517" t="s">
        <v>293</v>
      </c>
      <c r="E4517" t="s">
        <v>212</v>
      </c>
      <c r="F4517">
        <v>4</v>
      </c>
    </row>
    <row r="4518" spans="1:6" ht="13.2">
      <c r="A4518" t="s">
        <v>817</v>
      </c>
      <c r="B4518">
        <v>0</v>
      </c>
      <c r="C4518" s="44" t="s">
        <v>209</v>
      </c>
      <c r="D4518" t="s">
        <v>293</v>
      </c>
      <c r="E4518" t="s">
        <v>212</v>
      </c>
      <c r="F4518">
        <v>4</v>
      </c>
    </row>
    <row r="4519" spans="1:6" ht="13.2">
      <c r="A4519" t="s">
        <v>818</v>
      </c>
      <c r="B4519">
        <v>0</v>
      </c>
      <c r="C4519" s="44" t="s">
        <v>209</v>
      </c>
      <c r="D4519" t="s">
        <v>293</v>
      </c>
      <c r="E4519" t="s">
        <v>212</v>
      </c>
      <c r="F4519">
        <v>4</v>
      </c>
    </row>
    <row r="4520" spans="1:6" ht="13.2">
      <c r="A4520" t="s">
        <v>819</v>
      </c>
      <c r="B4520">
        <v>0</v>
      </c>
      <c r="C4520" s="44" t="s">
        <v>209</v>
      </c>
      <c r="D4520" t="s">
        <v>293</v>
      </c>
      <c r="E4520" t="s">
        <v>212</v>
      </c>
      <c r="F4520">
        <v>4</v>
      </c>
    </row>
    <row r="4521" spans="1:6" ht="13.2">
      <c r="A4521" t="s">
        <v>820</v>
      </c>
      <c r="B4521">
        <v>0</v>
      </c>
      <c r="C4521" s="44" t="s">
        <v>209</v>
      </c>
      <c r="D4521" t="s">
        <v>293</v>
      </c>
      <c r="E4521" t="s">
        <v>212</v>
      </c>
      <c r="F4521">
        <v>4</v>
      </c>
    </row>
    <row r="4522" spans="1:6" ht="13.2">
      <c r="A4522" t="s">
        <v>821</v>
      </c>
      <c r="B4522">
        <v>0</v>
      </c>
      <c r="C4522" s="44" t="s">
        <v>209</v>
      </c>
      <c r="D4522" t="s">
        <v>293</v>
      </c>
      <c r="E4522" t="s">
        <v>212</v>
      </c>
      <c r="F4522">
        <v>4</v>
      </c>
    </row>
    <row r="4523" spans="1:6" ht="13.2">
      <c r="A4523" t="s">
        <v>822</v>
      </c>
      <c r="B4523">
        <v>0</v>
      </c>
      <c r="C4523" s="44" t="s">
        <v>209</v>
      </c>
      <c r="D4523" t="s">
        <v>293</v>
      </c>
      <c r="E4523" t="s">
        <v>212</v>
      </c>
      <c r="F4523">
        <v>4</v>
      </c>
    </row>
    <row r="4524" spans="1:6" ht="13.2">
      <c r="A4524" t="s">
        <v>823</v>
      </c>
      <c r="B4524">
        <v>0</v>
      </c>
      <c r="C4524" s="44" t="s">
        <v>209</v>
      </c>
      <c r="D4524" t="s">
        <v>293</v>
      </c>
      <c r="E4524" t="s">
        <v>212</v>
      </c>
      <c r="F4524">
        <v>4</v>
      </c>
    </row>
    <row r="4525" spans="1:6" ht="13.2">
      <c r="A4525" t="s">
        <v>824</v>
      </c>
      <c r="B4525">
        <v>0</v>
      </c>
      <c r="C4525" s="44" t="s">
        <v>209</v>
      </c>
      <c r="D4525" t="s">
        <v>293</v>
      </c>
      <c r="E4525" t="s">
        <v>212</v>
      </c>
      <c r="F4525">
        <v>4</v>
      </c>
    </row>
    <row r="4526" spans="1:6" ht="13.2">
      <c r="A4526" t="s">
        <v>825</v>
      </c>
      <c r="B4526">
        <v>0</v>
      </c>
      <c r="C4526" s="44" t="s">
        <v>209</v>
      </c>
      <c r="D4526" t="s">
        <v>293</v>
      </c>
      <c r="E4526" t="s">
        <v>212</v>
      </c>
      <c r="F4526">
        <v>4</v>
      </c>
    </row>
    <row r="4527" spans="1:6" ht="13.2">
      <c r="A4527" t="s">
        <v>826</v>
      </c>
      <c r="B4527">
        <v>0</v>
      </c>
      <c r="C4527" s="44" t="s">
        <v>209</v>
      </c>
      <c r="D4527" t="s">
        <v>293</v>
      </c>
      <c r="E4527" t="s">
        <v>212</v>
      </c>
      <c r="F4527">
        <v>4</v>
      </c>
    </row>
    <row r="4528" spans="1:6" ht="13.2">
      <c r="A4528" t="s">
        <v>827</v>
      </c>
      <c r="B4528">
        <v>0</v>
      </c>
      <c r="C4528" s="44" t="s">
        <v>209</v>
      </c>
      <c r="D4528" t="s">
        <v>293</v>
      </c>
      <c r="E4528" t="s">
        <v>212</v>
      </c>
      <c r="F4528">
        <v>4</v>
      </c>
    </row>
    <row r="4529" spans="1:6" ht="13.2">
      <c r="A4529" t="s">
        <v>828</v>
      </c>
      <c r="B4529">
        <v>0</v>
      </c>
      <c r="C4529" s="44" t="s">
        <v>209</v>
      </c>
      <c r="D4529" t="s">
        <v>293</v>
      </c>
      <c r="E4529" t="s">
        <v>212</v>
      </c>
      <c r="F4529">
        <v>4</v>
      </c>
    </row>
    <row r="4530" spans="1:6" ht="13.2">
      <c r="A4530" t="s">
        <v>829</v>
      </c>
      <c r="B4530">
        <v>0</v>
      </c>
      <c r="C4530" s="44" t="s">
        <v>209</v>
      </c>
      <c r="D4530" t="s">
        <v>293</v>
      </c>
      <c r="E4530" t="s">
        <v>212</v>
      </c>
      <c r="F4530">
        <v>4</v>
      </c>
    </row>
    <row r="4531" spans="1:6" ht="13.2">
      <c r="A4531" t="s">
        <v>887</v>
      </c>
      <c r="B4531">
        <v>0</v>
      </c>
      <c r="C4531" s="44" t="s">
        <v>209</v>
      </c>
      <c r="D4531" t="s">
        <v>291</v>
      </c>
      <c r="E4531" t="s">
        <v>713</v>
      </c>
      <c r="F4531">
        <v>4</v>
      </c>
    </row>
    <row r="4532" spans="1:6" ht="13.2">
      <c r="A4532" t="s">
        <v>888</v>
      </c>
      <c r="B4532">
        <v>0</v>
      </c>
      <c r="C4532" s="44" t="s">
        <v>209</v>
      </c>
      <c r="D4532" t="s">
        <v>291</v>
      </c>
      <c r="E4532" t="s">
        <v>713</v>
      </c>
      <c r="F4532">
        <v>4</v>
      </c>
    </row>
    <row r="4533" spans="1:6" ht="13.2">
      <c r="A4533" t="s">
        <v>889</v>
      </c>
      <c r="B4533">
        <v>0</v>
      </c>
      <c r="C4533" s="44" t="s">
        <v>209</v>
      </c>
      <c r="D4533" t="s">
        <v>291</v>
      </c>
      <c r="E4533" t="s">
        <v>713</v>
      </c>
      <c r="F4533">
        <v>4</v>
      </c>
    </row>
    <row r="4534" spans="1:6" ht="13.2">
      <c r="A4534" t="s">
        <v>890</v>
      </c>
      <c r="B4534">
        <v>0</v>
      </c>
      <c r="C4534" s="44" t="s">
        <v>209</v>
      </c>
      <c r="D4534" t="s">
        <v>291</v>
      </c>
      <c r="E4534" t="s">
        <v>713</v>
      </c>
      <c r="F4534">
        <v>4</v>
      </c>
    </row>
    <row r="4535" spans="1:6" ht="13.2">
      <c r="A4535" t="s">
        <v>891</v>
      </c>
      <c r="B4535">
        <v>0</v>
      </c>
      <c r="C4535" s="44" t="s">
        <v>209</v>
      </c>
      <c r="D4535" t="s">
        <v>291</v>
      </c>
      <c r="E4535" t="s">
        <v>713</v>
      </c>
      <c r="F4535">
        <v>4</v>
      </c>
    </row>
    <row r="4536" spans="1:6" ht="13.2">
      <c r="A4536" t="s">
        <v>892</v>
      </c>
      <c r="B4536">
        <v>0</v>
      </c>
      <c r="C4536" s="44" t="s">
        <v>209</v>
      </c>
      <c r="D4536" t="s">
        <v>291</v>
      </c>
      <c r="E4536" t="s">
        <v>713</v>
      </c>
      <c r="F4536">
        <v>4</v>
      </c>
    </row>
    <row r="4537" spans="1:6" ht="13.2">
      <c r="A4537" t="s">
        <v>893</v>
      </c>
      <c r="B4537">
        <v>0</v>
      </c>
      <c r="C4537" s="44" t="s">
        <v>209</v>
      </c>
      <c r="D4537" t="s">
        <v>291</v>
      </c>
      <c r="E4537" t="s">
        <v>713</v>
      </c>
      <c r="F4537">
        <v>4</v>
      </c>
    </row>
    <row r="4538" spans="1:6" ht="13.2">
      <c r="A4538" t="s">
        <v>894</v>
      </c>
      <c r="B4538">
        <v>0</v>
      </c>
      <c r="C4538" s="44" t="s">
        <v>209</v>
      </c>
      <c r="D4538" t="s">
        <v>291</v>
      </c>
      <c r="E4538" t="s">
        <v>713</v>
      </c>
      <c r="F4538">
        <v>4</v>
      </c>
    </row>
    <row r="4539" spans="1:6" ht="13.2">
      <c r="A4539" t="s">
        <v>895</v>
      </c>
      <c r="B4539">
        <v>0</v>
      </c>
      <c r="C4539" s="44" t="s">
        <v>209</v>
      </c>
      <c r="D4539" t="s">
        <v>291</v>
      </c>
      <c r="E4539" t="s">
        <v>713</v>
      </c>
      <c r="F4539">
        <v>4</v>
      </c>
    </row>
    <row r="4540" spans="1:6" ht="13.2">
      <c r="A4540" t="s">
        <v>896</v>
      </c>
      <c r="B4540">
        <v>0</v>
      </c>
      <c r="C4540" s="44" t="s">
        <v>209</v>
      </c>
      <c r="D4540" t="s">
        <v>291</v>
      </c>
      <c r="E4540" t="s">
        <v>713</v>
      </c>
      <c r="F4540">
        <v>4</v>
      </c>
    </row>
    <row r="4541" spans="1:6" ht="13.2">
      <c r="A4541" t="s">
        <v>897</v>
      </c>
      <c r="B4541">
        <v>0</v>
      </c>
      <c r="C4541" s="44" t="s">
        <v>209</v>
      </c>
      <c r="D4541" t="s">
        <v>291</v>
      </c>
      <c r="E4541" t="s">
        <v>713</v>
      </c>
      <c r="F4541">
        <v>4</v>
      </c>
    </row>
    <row r="4542" spans="1:6" ht="13.2">
      <c r="A4542" t="s">
        <v>898</v>
      </c>
      <c r="B4542">
        <v>0</v>
      </c>
      <c r="C4542" s="44" t="s">
        <v>209</v>
      </c>
      <c r="D4542" t="s">
        <v>291</v>
      </c>
      <c r="E4542" t="s">
        <v>713</v>
      </c>
      <c r="F4542">
        <v>4</v>
      </c>
    </row>
    <row r="4543" spans="1:6" ht="13.2">
      <c r="A4543" t="s">
        <v>899</v>
      </c>
      <c r="B4543">
        <v>0</v>
      </c>
      <c r="C4543" s="44" t="s">
        <v>209</v>
      </c>
      <c r="D4543" t="s">
        <v>291</v>
      </c>
      <c r="E4543" t="s">
        <v>713</v>
      </c>
      <c r="F4543">
        <v>4</v>
      </c>
    </row>
    <row r="4544" spans="1:6" ht="13.2">
      <c r="A4544" t="s">
        <v>900</v>
      </c>
      <c r="B4544">
        <v>0</v>
      </c>
      <c r="C4544" s="44" t="s">
        <v>209</v>
      </c>
      <c r="D4544" t="s">
        <v>291</v>
      </c>
      <c r="E4544" t="s">
        <v>713</v>
      </c>
      <c r="F4544">
        <v>4</v>
      </c>
    </row>
    <row r="4545" spans="1:6" ht="13.2">
      <c r="A4545" t="s">
        <v>901</v>
      </c>
      <c r="B4545">
        <v>0</v>
      </c>
      <c r="C4545" s="44" t="s">
        <v>209</v>
      </c>
      <c r="D4545" t="s">
        <v>291</v>
      </c>
      <c r="E4545" t="s">
        <v>713</v>
      </c>
      <c r="F4545">
        <v>4</v>
      </c>
    </row>
    <row r="4546" spans="1:6" ht="13.2">
      <c r="A4546" t="s">
        <v>902</v>
      </c>
      <c r="B4546">
        <v>0</v>
      </c>
      <c r="C4546" s="44" t="s">
        <v>209</v>
      </c>
      <c r="D4546" t="s">
        <v>291</v>
      </c>
      <c r="E4546" t="s">
        <v>713</v>
      </c>
      <c r="F4546">
        <v>4</v>
      </c>
    </row>
    <row r="4547" spans="1:6" ht="13.2">
      <c r="A4547" t="s">
        <v>903</v>
      </c>
      <c r="B4547">
        <v>0</v>
      </c>
      <c r="C4547" s="44" t="s">
        <v>209</v>
      </c>
      <c r="D4547" t="s">
        <v>291</v>
      </c>
      <c r="E4547" t="s">
        <v>713</v>
      </c>
      <c r="F4547">
        <v>4</v>
      </c>
    </row>
    <row r="4548" spans="1:6" ht="13.2">
      <c r="A4548" t="s">
        <v>904</v>
      </c>
      <c r="B4548">
        <v>0</v>
      </c>
      <c r="C4548" s="44" t="s">
        <v>209</v>
      </c>
      <c r="D4548" t="s">
        <v>291</v>
      </c>
      <c r="E4548" t="s">
        <v>713</v>
      </c>
      <c r="F4548">
        <v>4</v>
      </c>
    </row>
    <row r="4549" spans="1:6" ht="13.2">
      <c r="A4549" t="s">
        <v>905</v>
      </c>
      <c r="B4549">
        <v>0</v>
      </c>
      <c r="C4549" s="44" t="s">
        <v>209</v>
      </c>
      <c r="D4549" t="s">
        <v>291</v>
      </c>
      <c r="E4549" t="s">
        <v>713</v>
      </c>
      <c r="F4549">
        <v>4</v>
      </c>
    </row>
    <row r="4550" spans="1:6" ht="13.2">
      <c r="A4550" t="s">
        <v>906</v>
      </c>
      <c r="B4550">
        <v>0</v>
      </c>
      <c r="C4550" s="44" t="s">
        <v>209</v>
      </c>
      <c r="D4550" t="s">
        <v>291</v>
      </c>
      <c r="E4550" t="s">
        <v>713</v>
      </c>
      <c r="F4550">
        <v>4</v>
      </c>
    </row>
    <row r="4551" spans="1:6" ht="13.2">
      <c r="A4551" t="s">
        <v>907</v>
      </c>
      <c r="B4551">
        <v>0</v>
      </c>
      <c r="C4551" s="44" t="s">
        <v>209</v>
      </c>
      <c r="D4551" t="s">
        <v>291</v>
      </c>
      <c r="E4551" t="s">
        <v>713</v>
      </c>
      <c r="F4551">
        <v>4</v>
      </c>
    </row>
    <row r="4552" spans="1:6" ht="13.2">
      <c r="A4552" t="s">
        <v>908</v>
      </c>
      <c r="B4552">
        <v>0</v>
      </c>
      <c r="C4552" s="44" t="s">
        <v>209</v>
      </c>
      <c r="D4552" t="s">
        <v>291</v>
      </c>
      <c r="E4552" t="s">
        <v>713</v>
      </c>
      <c r="F4552">
        <v>4</v>
      </c>
    </row>
    <row r="4553" spans="1:6" ht="13.2">
      <c r="A4553" t="s">
        <v>909</v>
      </c>
      <c r="B4553">
        <v>0</v>
      </c>
      <c r="C4553" s="44" t="s">
        <v>209</v>
      </c>
      <c r="D4553" t="s">
        <v>291</v>
      </c>
      <c r="E4553" t="s">
        <v>713</v>
      </c>
      <c r="F4553">
        <v>4</v>
      </c>
    </row>
    <row r="4554" spans="1:6" ht="13.2">
      <c r="A4554" t="s">
        <v>910</v>
      </c>
      <c r="B4554">
        <v>0</v>
      </c>
      <c r="C4554" s="44" t="s">
        <v>209</v>
      </c>
      <c r="D4554" t="s">
        <v>291</v>
      </c>
      <c r="E4554" t="s">
        <v>713</v>
      </c>
      <c r="F4554">
        <v>4</v>
      </c>
    </row>
    <row r="4555" spans="1:6" ht="13.2">
      <c r="A4555" t="s">
        <v>911</v>
      </c>
      <c r="B4555">
        <v>0</v>
      </c>
      <c r="C4555" s="44" t="s">
        <v>209</v>
      </c>
      <c r="D4555" t="s">
        <v>291</v>
      </c>
      <c r="E4555" t="s">
        <v>713</v>
      </c>
      <c r="F4555">
        <v>4</v>
      </c>
    </row>
    <row r="4556" spans="1:6" ht="13.2">
      <c r="A4556" t="s">
        <v>912</v>
      </c>
      <c r="B4556">
        <v>0</v>
      </c>
      <c r="C4556" s="44" t="s">
        <v>209</v>
      </c>
      <c r="D4556" t="s">
        <v>291</v>
      </c>
      <c r="E4556" t="s">
        <v>713</v>
      </c>
      <c r="F4556">
        <v>4</v>
      </c>
    </row>
    <row r="4557" spans="1:6" ht="13.2">
      <c r="A4557" t="s">
        <v>913</v>
      </c>
      <c r="B4557">
        <v>0</v>
      </c>
      <c r="C4557" s="44" t="s">
        <v>209</v>
      </c>
      <c r="D4557" t="s">
        <v>291</v>
      </c>
      <c r="E4557" t="s">
        <v>713</v>
      </c>
      <c r="F4557">
        <v>4</v>
      </c>
    </row>
    <row r="4558" spans="1:6" ht="13.2">
      <c r="A4558" t="s">
        <v>914</v>
      </c>
      <c r="B4558">
        <v>0</v>
      </c>
      <c r="C4558" s="44" t="s">
        <v>209</v>
      </c>
      <c r="D4558" t="s">
        <v>291</v>
      </c>
      <c r="E4558" t="s">
        <v>713</v>
      </c>
      <c r="F4558">
        <v>4</v>
      </c>
    </row>
    <row r="4559" spans="1:6" ht="13.2">
      <c r="A4559" t="s">
        <v>915</v>
      </c>
      <c r="B4559">
        <v>0</v>
      </c>
      <c r="C4559" s="44" t="s">
        <v>209</v>
      </c>
      <c r="D4559" t="s">
        <v>291</v>
      </c>
      <c r="E4559" t="s">
        <v>713</v>
      </c>
      <c r="F4559">
        <v>4</v>
      </c>
    </row>
    <row r="4560" spans="1:6" ht="13.2">
      <c r="A4560" t="s">
        <v>916</v>
      </c>
      <c r="B4560">
        <v>0</v>
      </c>
      <c r="C4560" s="44" t="s">
        <v>209</v>
      </c>
      <c r="D4560" t="s">
        <v>291</v>
      </c>
      <c r="E4560" t="s">
        <v>713</v>
      </c>
      <c r="F4560">
        <v>4</v>
      </c>
    </row>
    <row r="4561" spans="1:6" ht="13.2">
      <c r="A4561" t="s">
        <v>917</v>
      </c>
      <c r="B4561">
        <v>0</v>
      </c>
      <c r="C4561" s="44" t="s">
        <v>209</v>
      </c>
      <c r="D4561" t="s">
        <v>291</v>
      </c>
      <c r="E4561" t="s">
        <v>713</v>
      </c>
      <c r="F4561">
        <v>4</v>
      </c>
    </row>
    <row r="4562" spans="1:6" ht="13.2">
      <c r="A4562" t="s">
        <v>918</v>
      </c>
      <c r="B4562">
        <v>0</v>
      </c>
      <c r="C4562" s="44" t="s">
        <v>209</v>
      </c>
      <c r="D4562" t="s">
        <v>291</v>
      </c>
      <c r="E4562" t="s">
        <v>713</v>
      </c>
      <c r="F4562">
        <v>4</v>
      </c>
    </row>
    <row r="4563" spans="1:6" ht="13.2">
      <c r="A4563" t="s">
        <v>919</v>
      </c>
      <c r="B4563">
        <v>0</v>
      </c>
      <c r="C4563" s="44" t="s">
        <v>209</v>
      </c>
      <c r="D4563" t="s">
        <v>291</v>
      </c>
      <c r="E4563" t="s">
        <v>713</v>
      </c>
      <c r="F4563">
        <v>4</v>
      </c>
    </row>
    <row r="4564" spans="1:6" ht="13.2">
      <c r="A4564" t="s">
        <v>920</v>
      </c>
      <c r="B4564">
        <v>0</v>
      </c>
      <c r="C4564" s="44" t="s">
        <v>209</v>
      </c>
      <c r="D4564" t="s">
        <v>291</v>
      </c>
      <c r="E4564" t="s">
        <v>713</v>
      </c>
      <c r="F4564">
        <v>4</v>
      </c>
    </row>
    <row r="4565" spans="1:6" ht="13.2">
      <c r="A4565" t="s">
        <v>921</v>
      </c>
      <c r="B4565">
        <v>0</v>
      </c>
      <c r="C4565" s="44" t="s">
        <v>209</v>
      </c>
      <c r="D4565" t="s">
        <v>291</v>
      </c>
      <c r="E4565" t="s">
        <v>713</v>
      </c>
      <c r="F4565">
        <v>4</v>
      </c>
    </row>
    <row r="4566" spans="1:6" ht="13.2">
      <c r="A4566" t="s">
        <v>922</v>
      </c>
      <c r="B4566">
        <v>0</v>
      </c>
      <c r="C4566" s="44" t="s">
        <v>209</v>
      </c>
      <c r="D4566" t="s">
        <v>291</v>
      </c>
      <c r="E4566" t="s">
        <v>713</v>
      </c>
      <c r="F4566">
        <v>4</v>
      </c>
    </row>
    <row r="4567" spans="1:6" ht="13.2">
      <c r="A4567" t="s">
        <v>923</v>
      </c>
      <c r="B4567">
        <v>0</v>
      </c>
      <c r="C4567" s="44" t="s">
        <v>209</v>
      </c>
      <c r="D4567" t="s">
        <v>291</v>
      </c>
      <c r="E4567" t="s">
        <v>713</v>
      </c>
      <c r="F4567">
        <v>4</v>
      </c>
    </row>
    <row r="4568" spans="1:6" ht="13.2">
      <c r="A4568" t="s">
        <v>924</v>
      </c>
      <c r="B4568">
        <v>0</v>
      </c>
      <c r="C4568" s="44" t="s">
        <v>209</v>
      </c>
      <c r="D4568" t="s">
        <v>291</v>
      </c>
      <c r="E4568" t="s">
        <v>713</v>
      </c>
      <c r="F4568">
        <v>4</v>
      </c>
    </row>
    <row r="4569" spans="1:6" ht="13.2">
      <c r="A4569" t="s">
        <v>925</v>
      </c>
      <c r="B4569">
        <v>0</v>
      </c>
      <c r="C4569" s="44" t="s">
        <v>209</v>
      </c>
      <c r="D4569" t="s">
        <v>291</v>
      </c>
      <c r="E4569" t="s">
        <v>713</v>
      </c>
      <c r="F4569">
        <v>4</v>
      </c>
    </row>
    <row r="4570" spans="1:6" ht="13.2">
      <c r="A4570" t="s">
        <v>926</v>
      </c>
      <c r="B4570">
        <v>0</v>
      </c>
      <c r="C4570" s="44" t="s">
        <v>209</v>
      </c>
      <c r="D4570" t="s">
        <v>291</v>
      </c>
      <c r="E4570" t="s">
        <v>713</v>
      </c>
      <c r="F4570">
        <v>4</v>
      </c>
    </row>
    <row r="4571" spans="1:6" ht="13.2">
      <c r="A4571" t="s">
        <v>927</v>
      </c>
      <c r="B4571">
        <v>0</v>
      </c>
      <c r="C4571" s="44" t="s">
        <v>209</v>
      </c>
      <c r="D4571" t="s">
        <v>291</v>
      </c>
      <c r="E4571" t="s">
        <v>713</v>
      </c>
      <c r="F4571">
        <v>4</v>
      </c>
    </row>
    <row r="4572" spans="1:5" ht="13.2">
      <c r="A4572" t="s">
        <v>5269</v>
      </c>
      <c r="B4572">
        <v>0</v>
      </c>
      <c r="C4572" s="44">
        <v>3020</v>
      </c>
      <c r="D4572" t="s">
        <v>293</v>
      </c>
      <c r="E4572" t="s">
        <v>5270</v>
      </c>
    </row>
    <row r="4573" spans="1:5" ht="13.2">
      <c r="A4573" t="s">
        <v>5271</v>
      </c>
      <c r="B4573">
        <v>0</v>
      </c>
      <c r="C4573" s="44">
        <v>3020</v>
      </c>
      <c r="D4573" t="s">
        <v>293</v>
      </c>
      <c r="E4573" t="s">
        <v>5270</v>
      </c>
    </row>
    <row r="4574" spans="1:5" ht="13.2">
      <c r="A4574" t="s">
        <v>5272</v>
      </c>
      <c r="B4574">
        <v>0</v>
      </c>
      <c r="C4574" s="44">
        <v>3020</v>
      </c>
      <c r="D4574" t="s">
        <v>293</v>
      </c>
      <c r="E4574" t="s">
        <v>5270</v>
      </c>
    </row>
    <row r="4575" spans="1:5" ht="13.2">
      <c r="A4575" t="s">
        <v>5273</v>
      </c>
      <c r="B4575">
        <v>0</v>
      </c>
      <c r="C4575" s="44">
        <v>3020</v>
      </c>
      <c r="D4575" t="s">
        <v>293</v>
      </c>
      <c r="E4575" t="s">
        <v>5270</v>
      </c>
    </row>
    <row r="4576" spans="1:5" ht="13.2">
      <c r="A4576" t="s">
        <v>5274</v>
      </c>
      <c r="B4576">
        <v>0</v>
      </c>
      <c r="C4576" s="44">
        <v>3020</v>
      </c>
      <c r="D4576" t="s">
        <v>293</v>
      </c>
      <c r="E4576" t="s">
        <v>5270</v>
      </c>
    </row>
    <row r="4577" spans="1:5" ht="13.2">
      <c r="A4577" t="s">
        <v>5275</v>
      </c>
      <c r="B4577">
        <v>0</v>
      </c>
      <c r="C4577" s="44">
        <v>3020</v>
      </c>
      <c r="D4577" t="s">
        <v>293</v>
      </c>
      <c r="E4577" t="s">
        <v>5270</v>
      </c>
    </row>
    <row r="4578" spans="1:5" ht="13.2">
      <c r="A4578" t="s">
        <v>5276</v>
      </c>
      <c r="B4578">
        <v>0</v>
      </c>
      <c r="C4578" s="44">
        <v>3020</v>
      </c>
      <c r="D4578" t="s">
        <v>293</v>
      </c>
      <c r="E4578" t="s">
        <v>5270</v>
      </c>
    </row>
    <row r="4579" spans="1:5" ht="13.2">
      <c r="A4579" t="s">
        <v>5277</v>
      </c>
      <c r="B4579">
        <v>0</v>
      </c>
      <c r="C4579" s="44">
        <v>3020</v>
      </c>
      <c r="D4579" t="s">
        <v>293</v>
      </c>
      <c r="E4579" t="s">
        <v>5270</v>
      </c>
    </row>
    <row r="4580" spans="1:5" ht="13.2">
      <c r="A4580" t="s">
        <v>5278</v>
      </c>
      <c r="B4580">
        <v>0</v>
      </c>
      <c r="C4580" s="44">
        <v>3020</v>
      </c>
      <c r="D4580" t="s">
        <v>293</v>
      </c>
      <c r="E4580" t="s">
        <v>5270</v>
      </c>
    </row>
    <row r="4581" spans="1:5" ht="13.2">
      <c r="A4581" t="s">
        <v>5279</v>
      </c>
      <c r="B4581">
        <v>0</v>
      </c>
      <c r="C4581" s="44">
        <v>3020</v>
      </c>
      <c r="D4581" t="s">
        <v>293</v>
      </c>
      <c r="E4581" t="s">
        <v>5270</v>
      </c>
    </row>
    <row r="4582" spans="1:5" ht="13.2">
      <c r="A4582" t="s">
        <v>5280</v>
      </c>
      <c r="B4582">
        <v>0</v>
      </c>
      <c r="C4582" s="44">
        <v>3020</v>
      </c>
      <c r="D4582" t="s">
        <v>293</v>
      </c>
      <c r="E4582" t="s">
        <v>5270</v>
      </c>
    </row>
    <row r="4583" spans="1:5" ht="13.2">
      <c r="A4583" t="s">
        <v>5281</v>
      </c>
      <c r="B4583">
        <v>0</v>
      </c>
      <c r="C4583" s="44">
        <v>3020</v>
      </c>
      <c r="D4583" t="s">
        <v>293</v>
      </c>
      <c r="E4583" t="s">
        <v>5270</v>
      </c>
    </row>
    <row r="4584" spans="1:5" ht="13.2">
      <c r="A4584" t="s">
        <v>5282</v>
      </c>
      <c r="B4584">
        <v>0</v>
      </c>
      <c r="C4584" s="44">
        <v>3020</v>
      </c>
      <c r="D4584" t="s">
        <v>293</v>
      </c>
      <c r="E4584" t="s">
        <v>5270</v>
      </c>
    </row>
    <row r="4585" spans="1:5" ht="13.2">
      <c r="A4585" t="s">
        <v>5283</v>
      </c>
      <c r="B4585">
        <v>0</v>
      </c>
      <c r="C4585" s="44">
        <v>3020</v>
      </c>
      <c r="D4585" t="s">
        <v>293</v>
      </c>
      <c r="E4585" t="s">
        <v>5270</v>
      </c>
    </row>
    <row r="4586" spans="1:5" ht="13.2">
      <c r="A4586" t="s">
        <v>5284</v>
      </c>
      <c r="B4586">
        <v>0</v>
      </c>
      <c r="C4586" s="44">
        <v>3020</v>
      </c>
      <c r="D4586" t="s">
        <v>293</v>
      </c>
      <c r="E4586" t="s">
        <v>5270</v>
      </c>
    </row>
    <row r="4587" spans="1:5" ht="13.2">
      <c r="A4587" t="s">
        <v>5285</v>
      </c>
      <c r="B4587">
        <v>0</v>
      </c>
      <c r="C4587" s="44">
        <v>3020</v>
      </c>
      <c r="D4587" t="s">
        <v>293</v>
      </c>
      <c r="E4587" t="s">
        <v>5270</v>
      </c>
    </row>
    <row r="4588" spans="1:5" ht="13.2">
      <c r="A4588" t="s">
        <v>5286</v>
      </c>
      <c r="B4588">
        <v>0</v>
      </c>
      <c r="C4588" s="44">
        <v>3020</v>
      </c>
      <c r="D4588" t="s">
        <v>293</v>
      </c>
      <c r="E4588" t="s">
        <v>5270</v>
      </c>
    </row>
    <row r="4589" spans="1:5" ht="13.2">
      <c r="A4589" t="s">
        <v>5287</v>
      </c>
      <c r="B4589">
        <v>0</v>
      </c>
      <c r="C4589" s="44">
        <v>3020</v>
      </c>
      <c r="D4589" t="s">
        <v>293</v>
      </c>
      <c r="E4589" t="s">
        <v>5270</v>
      </c>
    </row>
    <row r="4590" spans="1:5" ht="13.2">
      <c r="A4590" t="s">
        <v>5288</v>
      </c>
      <c r="B4590">
        <v>0</v>
      </c>
      <c r="C4590" s="44">
        <v>3020</v>
      </c>
      <c r="D4590" t="s">
        <v>293</v>
      </c>
      <c r="E4590" t="s">
        <v>5270</v>
      </c>
    </row>
    <row r="4591" spans="1:5" ht="13.2">
      <c r="A4591" t="s">
        <v>5290</v>
      </c>
      <c r="B4591">
        <v>0</v>
      </c>
      <c r="C4591" s="44">
        <v>3020</v>
      </c>
      <c r="D4591" t="s">
        <v>293</v>
      </c>
      <c r="E4591" t="s">
        <v>5270</v>
      </c>
    </row>
    <row r="4592" spans="1:5" ht="13.2">
      <c r="A4592" t="s">
        <v>5289</v>
      </c>
      <c r="B4592">
        <v>0</v>
      </c>
      <c r="C4592" s="44">
        <v>3020</v>
      </c>
      <c r="D4592" t="s">
        <v>293</v>
      </c>
      <c r="E4592" t="s">
        <v>5270</v>
      </c>
    </row>
    <row r="4593" spans="1:6" ht="13.2">
      <c r="A4593" t="s">
        <v>3385</v>
      </c>
      <c r="B4593">
        <v>0</v>
      </c>
      <c r="C4593" s="44">
        <v>1380</v>
      </c>
      <c r="D4593" t="s">
        <v>291</v>
      </c>
      <c r="E4593" t="s">
        <v>358</v>
      </c>
      <c r="F4593">
        <v>4</v>
      </c>
    </row>
    <row r="4594" spans="1:6" ht="13.2">
      <c r="A4594" t="s">
        <v>3386</v>
      </c>
      <c r="B4594">
        <v>0</v>
      </c>
      <c r="C4594" s="44">
        <v>1380</v>
      </c>
      <c r="D4594" t="s">
        <v>291</v>
      </c>
      <c r="E4594" t="s">
        <v>358</v>
      </c>
      <c r="F4594">
        <v>4</v>
      </c>
    </row>
    <row r="4595" spans="1:6" ht="13.2">
      <c r="A4595" t="s">
        <v>3387</v>
      </c>
      <c r="B4595">
        <v>0</v>
      </c>
      <c r="C4595" s="44">
        <v>1380</v>
      </c>
      <c r="D4595" t="s">
        <v>291</v>
      </c>
      <c r="E4595" t="s">
        <v>358</v>
      </c>
      <c r="F4595">
        <v>4</v>
      </c>
    </row>
    <row r="4596" spans="1:6" ht="13.2">
      <c r="A4596" t="s">
        <v>3384</v>
      </c>
      <c r="B4596">
        <v>0</v>
      </c>
      <c r="C4596" s="44">
        <v>1380</v>
      </c>
      <c r="D4596" t="s">
        <v>291</v>
      </c>
      <c r="E4596" t="s">
        <v>358</v>
      </c>
      <c r="F4596">
        <v>4</v>
      </c>
    </row>
    <row r="4597" spans="1:6" ht="13.2">
      <c r="A4597" t="s">
        <v>3388</v>
      </c>
      <c r="B4597">
        <v>0</v>
      </c>
      <c r="C4597" s="44">
        <v>1380</v>
      </c>
      <c r="D4597" t="s">
        <v>291</v>
      </c>
      <c r="E4597" t="s">
        <v>358</v>
      </c>
      <c r="F4597">
        <v>4</v>
      </c>
    </row>
    <row r="4598" spans="1:6" ht="13.2">
      <c r="A4598" t="s">
        <v>3389</v>
      </c>
      <c r="B4598">
        <v>0</v>
      </c>
      <c r="C4598" s="44">
        <v>1380</v>
      </c>
      <c r="D4598" t="s">
        <v>291</v>
      </c>
      <c r="E4598" t="s">
        <v>358</v>
      </c>
      <c r="F4598">
        <v>4</v>
      </c>
    </row>
    <row r="4599" spans="1:6" ht="13.2">
      <c r="A4599" t="s">
        <v>3390</v>
      </c>
      <c r="B4599">
        <v>0</v>
      </c>
      <c r="C4599" s="44">
        <v>1380</v>
      </c>
      <c r="D4599" t="s">
        <v>291</v>
      </c>
      <c r="E4599" t="s">
        <v>358</v>
      </c>
      <c r="F4599">
        <v>4</v>
      </c>
    </row>
    <row r="4600" spans="1:6" ht="13.2">
      <c r="A4600" t="s">
        <v>3391</v>
      </c>
      <c r="B4600">
        <v>0</v>
      </c>
      <c r="C4600" s="44">
        <v>1380</v>
      </c>
      <c r="D4600" t="s">
        <v>291</v>
      </c>
      <c r="E4600" t="s">
        <v>358</v>
      </c>
      <c r="F4600">
        <v>4</v>
      </c>
    </row>
    <row r="4601" spans="1:6" ht="13.2">
      <c r="A4601" t="s">
        <v>3392</v>
      </c>
      <c r="B4601">
        <v>0</v>
      </c>
      <c r="C4601" s="44">
        <v>1380</v>
      </c>
      <c r="D4601" t="s">
        <v>291</v>
      </c>
      <c r="E4601" t="s">
        <v>358</v>
      </c>
      <c r="F4601">
        <v>4</v>
      </c>
    </row>
    <row r="4602" spans="1:6" ht="13.2">
      <c r="A4602" t="s">
        <v>3393</v>
      </c>
      <c r="B4602">
        <v>0</v>
      </c>
      <c r="C4602" s="44">
        <v>1380</v>
      </c>
      <c r="D4602" t="s">
        <v>291</v>
      </c>
      <c r="E4602" t="s">
        <v>358</v>
      </c>
      <c r="F4602">
        <v>4</v>
      </c>
    </row>
    <row r="4603" spans="1:6" ht="13.2">
      <c r="A4603" t="s">
        <v>3394</v>
      </c>
      <c r="B4603">
        <v>0</v>
      </c>
      <c r="C4603" s="44">
        <v>1380</v>
      </c>
      <c r="D4603" t="s">
        <v>291</v>
      </c>
      <c r="E4603" t="s">
        <v>358</v>
      </c>
      <c r="F4603">
        <v>4</v>
      </c>
    </row>
    <row r="4604" spans="1:6" ht="13.2">
      <c r="A4604" t="s">
        <v>3395</v>
      </c>
      <c r="B4604">
        <v>0</v>
      </c>
      <c r="C4604" s="44">
        <v>1380</v>
      </c>
      <c r="D4604" t="s">
        <v>291</v>
      </c>
      <c r="E4604" t="s">
        <v>358</v>
      </c>
      <c r="F4604">
        <v>4</v>
      </c>
    </row>
    <row r="4605" spans="1:6" ht="13.2">
      <c r="A4605" t="s">
        <v>3396</v>
      </c>
      <c r="B4605">
        <v>0</v>
      </c>
      <c r="C4605" s="44">
        <v>1380</v>
      </c>
      <c r="D4605" t="s">
        <v>291</v>
      </c>
      <c r="E4605" t="s">
        <v>358</v>
      </c>
      <c r="F4605">
        <v>4</v>
      </c>
    </row>
    <row r="4606" spans="1:6" ht="13.2">
      <c r="A4606" t="s">
        <v>3397</v>
      </c>
      <c r="B4606">
        <v>0</v>
      </c>
      <c r="C4606" s="44">
        <v>1380</v>
      </c>
      <c r="D4606" t="s">
        <v>291</v>
      </c>
      <c r="E4606" t="s">
        <v>358</v>
      </c>
      <c r="F4606">
        <v>4</v>
      </c>
    </row>
    <row r="4607" spans="1:6" ht="13.2">
      <c r="A4607" t="s">
        <v>3398</v>
      </c>
      <c r="B4607">
        <v>0</v>
      </c>
      <c r="C4607" s="44">
        <v>1380</v>
      </c>
      <c r="D4607" t="s">
        <v>291</v>
      </c>
      <c r="E4607" t="s">
        <v>358</v>
      </c>
      <c r="F4607">
        <v>4</v>
      </c>
    </row>
    <row r="4608" spans="1:6" ht="13.2">
      <c r="A4608" t="s">
        <v>3399</v>
      </c>
      <c r="B4608">
        <v>0</v>
      </c>
      <c r="C4608" s="44">
        <v>1380</v>
      </c>
      <c r="D4608" t="s">
        <v>291</v>
      </c>
      <c r="E4608" t="s">
        <v>358</v>
      </c>
      <c r="F4608">
        <v>4</v>
      </c>
    </row>
    <row r="4609" spans="1:6" ht="13.2">
      <c r="A4609" t="s">
        <v>3400</v>
      </c>
      <c r="B4609">
        <v>0</v>
      </c>
      <c r="C4609" s="44">
        <v>1380</v>
      </c>
      <c r="D4609" t="s">
        <v>291</v>
      </c>
      <c r="E4609" t="s">
        <v>358</v>
      </c>
      <c r="F4609">
        <v>4</v>
      </c>
    </row>
    <row r="4610" spans="1:6" ht="13.2">
      <c r="A4610" t="s">
        <v>3401</v>
      </c>
      <c r="B4610">
        <v>0</v>
      </c>
      <c r="C4610" s="44">
        <v>1380</v>
      </c>
      <c r="D4610" t="s">
        <v>291</v>
      </c>
      <c r="E4610" t="s">
        <v>358</v>
      </c>
      <c r="F4610">
        <v>4</v>
      </c>
    </row>
    <row r="4611" spans="1:6" ht="13.2">
      <c r="A4611" t="s">
        <v>3402</v>
      </c>
      <c r="B4611">
        <v>0</v>
      </c>
      <c r="C4611" s="44">
        <v>1380</v>
      </c>
      <c r="D4611" t="s">
        <v>291</v>
      </c>
      <c r="E4611" t="s">
        <v>358</v>
      </c>
      <c r="F4611">
        <v>4</v>
      </c>
    </row>
    <row r="4612" spans="1:6" ht="13.2">
      <c r="A4612" t="s">
        <v>3403</v>
      </c>
      <c r="B4612">
        <v>0</v>
      </c>
      <c r="C4612" s="44">
        <v>1380</v>
      </c>
      <c r="D4612" t="s">
        <v>291</v>
      </c>
      <c r="E4612" t="s">
        <v>358</v>
      </c>
      <c r="F4612">
        <v>4</v>
      </c>
    </row>
    <row r="4613" spans="1:6" ht="13.2">
      <c r="A4613" t="s">
        <v>3404</v>
      </c>
      <c r="B4613">
        <v>0</v>
      </c>
      <c r="C4613" s="44">
        <v>1380</v>
      </c>
      <c r="D4613" t="s">
        <v>291</v>
      </c>
      <c r="E4613" t="s">
        <v>358</v>
      </c>
      <c r="F4613">
        <v>4</v>
      </c>
    </row>
    <row r="4614" spans="1:6" ht="13.2">
      <c r="A4614" t="s">
        <v>2598</v>
      </c>
      <c r="B4614">
        <v>0</v>
      </c>
      <c r="C4614" s="44">
        <v>1380</v>
      </c>
      <c r="D4614" t="s">
        <v>291</v>
      </c>
      <c r="E4614" t="s">
        <v>358</v>
      </c>
      <c r="F4614">
        <v>4</v>
      </c>
    </row>
    <row r="4615" spans="1:6" ht="13.2">
      <c r="A4615" t="s">
        <v>3405</v>
      </c>
      <c r="B4615">
        <v>0</v>
      </c>
      <c r="C4615" s="44">
        <v>1380</v>
      </c>
      <c r="D4615" t="s">
        <v>291</v>
      </c>
      <c r="E4615" t="s">
        <v>358</v>
      </c>
      <c r="F4615">
        <v>4</v>
      </c>
    </row>
    <row r="4616" spans="1:5" ht="13.2">
      <c r="A4616" t="s">
        <v>6124</v>
      </c>
      <c r="B4616">
        <v>0</v>
      </c>
      <c r="C4616" s="44">
        <v>3000</v>
      </c>
      <c r="D4616" t="s">
        <v>293</v>
      </c>
      <c r="E4616" t="s">
        <v>6125</v>
      </c>
    </row>
    <row r="4617" spans="1:5" ht="13.2">
      <c r="A4617" t="s">
        <v>6126</v>
      </c>
      <c r="B4617">
        <v>0</v>
      </c>
      <c r="C4617" s="44">
        <v>3000</v>
      </c>
      <c r="D4617" t="s">
        <v>293</v>
      </c>
      <c r="E4617" t="s">
        <v>6125</v>
      </c>
    </row>
    <row r="4618" spans="1:5" ht="13.2">
      <c r="A4618" t="s">
        <v>6127</v>
      </c>
      <c r="B4618">
        <v>0</v>
      </c>
      <c r="C4618" s="44">
        <v>3000</v>
      </c>
      <c r="D4618" t="s">
        <v>293</v>
      </c>
      <c r="E4618" t="s">
        <v>6125</v>
      </c>
    </row>
    <row r="4619" spans="1:5" ht="13.2">
      <c r="A4619" t="s">
        <v>6129</v>
      </c>
      <c r="B4619">
        <v>0</v>
      </c>
      <c r="C4619" s="44">
        <v>3000</v>
      </c>
      <c r="D4619" t="s">
        <v>293</v>
      </c>
      <c r="E4619" t="s">
        <v>6125</v>
      </c>
    </row>
    <row r="4620" spans="1:5" ht="13.2">
      <c r="A4620" t="s">
        <v>6128</v>
      </c>
      <c r="B4620">
        <v>0</v>
      </c>
      <c r="C4620" s="44">
        <v>3000</v>
      </c>
      <c r="D4620" t="s">
        <v>293</v>
      </c>
      <c r="E4620" t="s">
        <v>6125</v>
      </c>
    </row>
    <row r="4621" spans="1:6" ht="13.2">
      <c r="A4621" t="s">
        <v>2025</v>
      </c>
      <c r="B4621">
        <v>92</v>
      </c>
      <c r="C4621" s="44">
        <v>3100</v>
      </c>
      <c r="D4621" t="s">
        <v>293</v>
      </c>
      <c r="E4621" t="s">
        <v>2026</v>
      </c>
      <c r="F4621">
        <v>45</v>
      </c>
    </row>
    <row r="4622" spans="1:6" ht="13.2">
      <c r="A4622" t="s">
        <v>2011</v>
      </c>
      <c r="B4622">
        <v>92</v>
      </c>
      <c r="C4622" s="44">
        <v>3100</v>
      </c>
      <c r="D4622" t="s">
        <v>293</v>
      </c>
      <c r="E4622" t="s">
        <v>2026</v>
      </c>
      <c r="F4622">
        <v>45</v>
      </c>
    </row>
    <row r="4623" spans="1:6" ht="13.2">
      <c r="A4623" t="s">
        <v>2012</v>
      </c>
      <c r="B4623">
        <v>92</v>
      </c>
      <c r="C4623" s="44">
        <v>3100</v>
      </c>
      <c r="D4623" t="s">
        <v>293</v>
      </c>
      <c r="E4623" t="s">
        <v>2026</v>
      </c>
      <c r="F4623">
        <v>45</v>
      </c>
    </row>
    <row r="4624" spans="1:6" ht="13.2">
      <c r="A4624" t="s">
        <v>2013</v>
      </c>
      <c r="B4624">
        <v>92</v>
      </c>
      <c r="C4624" s="44">
        <v>3100</v>
      </c>
      <c r="D4624" t="s">
        <v>293</v>
      </c>
      <c r="E4624" t="s">
        <v>2026</v>
      </c>
      <c r="F4624">
        <v>45</v>
      </c>
    </row>
    <row r="4625" spans="1:6" ht="13.2">
      <c r="A4625" t="s">
        <v>2014</v>
      </c>
      <c r="B4625">
        <v>92</v>
      </c>
      <c r="C4625" s="44">
        <v>3100</v>
      </c>
      <c r="D4625" t="s">
        <v>293</v>
      </c>
      <c r="E4625" t="s">
        <v>2026</v>
      </c>
      <c r="F4625">
        <v>45</v>
      </c>
    </row>
    <row r="4626" spans="1:6" ht="13.2">
      <c r="A4626" t="s">
        <v>2599</v>
      </c>
      <c r="B4626">
        <v>0</v>
      </c>
      <c r="C4626" s="44" t="s">
        <v>205</v>
      </c>
      <c r="D4626" t="s">
        <v>291</v>
      </c>
      <c r="E4626" t="s">
        <v>252</v>
      </c>
      <c r="F4626">
        <v>3</v>
      </c>
    </row>
    <row r="4627" spans="1:6" ht="13.2">
      <c r="A4627" t="s">
        <v>2600</v>
      </c>
      <c r="B4627">
        <v>0</v>
      </c>
      <c r="C4627" s="44" t="s">
        <v>205</v>
      </c>
      <c r="D4627" t="s">
        <v>291</v>
      </c>
      <c r="E4627" t="s">
        <v>252</v>
      </c>
      <c r="F4627">
        <v>3</v>
      </c>
    </row>
    <row r="4628" spans="1:6" ht="13.2">
      <c r="A4628" t="s">
        <v>2601</v>
      </c>
      <c r="B4628">
        <v>0</v>
      </c>
      <c r="C4628" s="44" t="s">
        <v>205</v>
      </c>
      <c r="D4628" t="s">
        <v>291</v>
      </c>
      <c r="E4628" t="s">
        <v>252</v>
      </c>
      <c r="F4628">
        <v>3</v>
      </c>
    </row>
    <row r="4629" spans="1:6" ht="13.2">
      <c r="A4629" t="s">
        <v>2602</v>
      </c>
      <c r="B4629">
        <v>0</v>
      </c>
      <c r="C4629" s="44" t="s">
        <v>205</v>
      </c>
      <c r="D4629" t="s">
        <v>291</v>
      </c>
      <c r="E4629" t="s">
        <v>252</v>
      </c>
      <c r="F4629">
        <v>3</v>
      </c>
    </row>
    <row r="4630" spans="1:6" ht="13.2">
      <c r="A4630" t="s">
        <v>2603</v>
      </c>
      <c r="B4630">
        <v>0</v>
      </c>
      <c r="C4630" s="44" t="s">
        <v>205</v>
      </c>
      <c r="D4630" t="s">
        <v>291</v>
      </c>
      <c r="E4630" t="s">
        <v>252</v>
      </c>
      <c r="F4630">
        <v>3</v>
      </c>
    </row>
    <row r="4631" spans="1:6" ht="13.2">
      <c r="A4631" t="s">
        <v>2604</v>
      </c>
      <c r="B4631">
        <v>0</v>
      </c>
      <c r="C4631" s="44" t="s">
        <v>205</v>
      </c>
      <c r="D4631" t="s">
        <v>291</v>
      </c>
      <c r="E4631" t="s">
        <v>252</v>
      </c>
      <c r="F4631">
        <v>3</v>
      </c>
    </row>
    <row r="4632" spans="1:6" ht="13.2">
      <c r="A4632" t="s">
        <v>2605</v>
      </c>
      <c r="B4632">
        <v>0</v>
      </c>
      <c r="C4632" s="44" t="s">
        <v>205</v>
      </c>
      <c r="D4632" t="s">
        <v>291</v>
      </c>
      <c r="E4632" t="s">
        <v>252</v>
      </c>
      <c r="F4632">
        <v>3</v>
      </c>
    </row>
    <row r="4633" spans="1:6" ht="13.2">
      <c r="A4633" t="s">
        <v>2606</v>
      </c>
      <c r="B4633">
        <v>0</v>
      </c>
      <c r="C4633" s="44" t="s">
        <v>205</v>
      </c>
      <c r="D4633" t="s">
        <v>291</v>
      </c>
      <c r="E4633" t="s">
        <v>252</v>
      </c>
      <c r="F4633">
        <v>3</v>
      </c>
    </row>
    <row r="4634" spans="1:6" ht="13.2">
      <c r="A4634" t="s">
        <v>2607</v>
      </c>
      <c r="B4634">
        <v>0</v>
      </c>
      <c r="C4634" s="44" t="s">
        <v>205</v>
      </c>
      <c r="D4634" t="s">
        <v>291</v>
      </c>
      <c r="E4634" t="s">
        <v>252</v>
      </c>
      <c r="F4634">
        <v>3</v>
      </c>
    </row>
    <row r="4635" spans="1:6" ht="13.2">
      <c r="A4635" t="s">
        <v>2608</v>
      </c>
      <c r="B4635">
        <v>0</v>
      </c>
      <c r="C4635" s="44" t="s">
        <v>205</v>
      </c>
      <c r="D4635" t="s">
        <v>291</v>
      </c>
      <c r="E4635" t="s">
        <v>252</v>
      </c>
      <c r="F4635">
        <v>3</v>
      </c>
    </row>
    <row r="4636" spans="1:6" ht="13.2">
      <c r="A4636" t="s">
        <v>2609</v>
      </c>
      <c r="B4636">
        <v>0</v>
      </c>
      <c r="C4636" s="44" t="s">
        <v>205</v>
      </c>
      <c r="D4636" t="s">
        <v>291</v>
      </c>
      <c r="E4636" t="s">
        <v>252</v>
      </c>
      <c r="F4636">
        <v>3</v>
      </c>
    </row>
    <row r="4637" spans="1:6" ht="13.2">
      <c r="A4637" t="s">
        <v>2610</v>
      </c>
      <c r="B4637">
        <v>0</v>
      </c>
      <c r="C4637" s="44" t="s">
        <v>205</v>
      </c>
      <c r="D4637" t="s">
        <v>291</v>
      </c>
      <c r="E4637" t="s">
        <v>252</v>
      </c>
      <c r="F4637">
        <v>3</v>
      </c>
    </row>
    <row r="4638" spans="1:6" ht="13.2">
      <c r="A4638" t="s">
        <v>2611</v>
      </c>
      <c r="B4638">
        <v>0</v>
      </c>
      <c r="C4638" s="44" t="s">
        <v>205</v>
      </c>
      <c r="D4638" t="s">
        <v>291</v>
      </c>
      <c r="E4638" t="s">
        <v>252</v>
      </c>
      <c r="F4638">
        <v>3</v>
      </c>
    </row>
    <row r="4639" spans="1:6" ht="13.2">
      <c r="A4639" t="s">
        <v>2612</v>
      </c>
      <c r="B4639">
        <v>0</v>
      </c>
      <c r="C4639" s="44" t="s">
        <v>205</v>
      </c>
      <c r="D4639" t="s">
        <v>291</v>
      </c>
      <c r="E4639" t="s">
        <v>252</v>
      </c>
      <c r="F4639">
        <v>3</v>
      </c>
    </row>
    <row r="4640" spans="1:6" ht="13.2">
      <c r="A4640" t="s">
        <v>2613</v>
      </c>
      <c r="B4640">
        <v>0</v>
      </c>
      <c r="C4640" s="44" t="s">
        <v>205</v>
      </c>
      <c r="D4640" t="s">
        <v>291</v>
      </c>
      <c r="E4640" t="s">
        <v>252</v>
      </c>
      <c r="F4640">
        <v>3</v>
      </c>
    </row>
    <row r="4641" spans="1:6" ht="13.2">
      <c r="A4641" t="s">
        <v>2614</v>
      </c>
      <c r="B4641">
        <v>0</v>
      </c>
      <c r="C4641" s="44" t="s">
        <v>205</v>
      </c>
      <c r="D4641" t="s">
        <v>291</v>
      </c>
      <c r="E4641" t="s">
        <v>252</v>
      </c>
      <c r="F4641">
        <v>3</v>
      </c>
    </row>
    <row r="4642" spans="1:6" ht="13.2">
      <c r="A4642" t="s">
        <v>2615</v>
      </c>
      <c r="B4642">
        <v>0</v>
      </c>
      <c r="C4642" s="44" t="s">
        <v>205</v>
      </c>
      <c r="D4642" t="s">
        <v>291</v>
      </c>
      <c r="E4642" t="s">
        <v>252</v>
      </c>
      <c r="F4642">
        <v>3</v>
      </c>
    </row>
    <row r="4643" spans="1:6" ht="13.2">
      <c r="A4643" t="s">
        <v>2616</v>
      </c>
      <c r="B4643">
        <v>0</v>
      </c>
      <c r="C4643" s="44" t="s">
        <v>205</v>
      </c>
      <c r="D4643" t="s">
        <v>291</v>
      </c>
      <c r="E4643" t="s">
        <v>252</v>
      </c>
      <c r="F4643">
        <v>3</v>
      </c>
    </row>
    <row r="4644" spans="1:6" ht="13.2">
      <c r="A4644" t="s">
        <v>2617</v>
      </c>
      <c r="B4644">
        <v>0</v>
      </c>
      <c r="C4644" s="44" t="s">
        <v>205</v>
      </c>
      <c r="D4644" t="s">
        <v>291</v>
      </c>
      <c r="E4644" t="s">
        <v>252</v>
      </c>
      <c r="F4644">
        <v>3</v>
      </c>
    </row>
    <row r="4645" spans="1:6" ht="13.2">
      <c r="A4645" t="s">
        <v>2618</v>
      </c>
      <c r="B4645">
        <v>0</v>
      </c>
      <c r="C4645" s="44" t="s">
        <v>205</v>
      </c>
      <c r="D4645" t="s">
        <v>291</v>
      </c>
      <c r="E4645" t="s">
        <v>252</v>
      </c>
      <c r="F4645">
        <v>3</v>
      </c>
    </row>
    <row r="4646" spans="1:6" ht="13.2">
      <c r="A4646" t="s">
        <v>2619</v>
      </c>
      <c r="B4646">
        <v>0</v>
      </c>
      <c r="C4646" s="44" t="s">
        <v>205</v>
      </c>
      <c r="D4646" t="s">
        <v>291</v>
      </c>
      <c r="E4646" t="s">
        <v>252</v>
      </c>
      <c r="F4646">
        <v>3</v>
      </c>
    </row>
    <row r="4647" spans="1:6" ht="13.2">
      <c r="A4647" t="s">
        <v>2620</v>
      </c>
      <c r="B4647">
        <v>0</v>
      </c>
      <c r="C4647" s="44" t="s">
        <v>205</v>
      </c>
      <c r="D4647" t="s">
        <v>291</v>
      </c>
      <c r="E4647" t="s">
        <v>252</v>
      </c>
      <c r="F4647">
        <v>3</v>
      </c>
    </row>
    <row r="4648" spans="1:6" ht="13.2">
      <c r="A4648" t="s">
        <v>2621</v>
      </c>
      <c r="B4648">
        <v>0</v>
      </c>
      <c r="C4648" s="44" t="s">
        <v>205</v>
      </c>
      <c r="D4648" t="s">
        <v>291</v>
      </c>
      <c r="E4648" t="s">
        <v>252</v>
      </c>
      <c r="F4648">
        <v>3</v>
      </c>
    </row>
    <row r="4649" spans="1:6" ht="13.2">
      <c r="A4649" t="s">
        <v>2622</v>
      </c>
      <c r="B4649">
        <v>0</v>
      </c>
      <c r="C4649" s="44" t="s">
        <v>205</v>
      </c>
      <c r="D4649" t="s">
        <v>291</v>
      </c>
      <c r="E4649" t="s">
        <v>252</v>
      </c>
      <c r="F4649">
        <v>3</v>
      </c>
    </row>
    <row r="4650" spans="1:6" ht="13.2">
      <c r="A4650" t="s">
        <v>2623</v>
      </c>
      <c r="B4650">
        <v>0</v>
      </c>
      <c r="C4650" s="44" t="s">
        <v>205</v>
      </c>
      <c r="D4650" t="s">
        <v>291</v>
      </c>
      <c r="E4650" t="s">
        <v>252</v>
      </c>
      <c r="F4650">
        <v>3</v>
      </c>
    </row>
    <row r="4651" spans="1:6" ht="13.2">
      <c r="A4651" t="s">
        <v>2624</v>
      </c>
      <c r="B4651">
        <v>0</v>
      </c>
      <c r="C4651" s="44" t="s">
        <v>205</v>
      </c>
      <c r="D4651" t="s">
        <v>291</v>
      </c>
      <c r="E4651" t="s">
        <v>252</v>
      </c>
      <c r="F4651">
        <v>3</v>
      </c>
    </row>
    <row r="4652" spans="1:6" ht="13.2">
      <c r="A4652" t="s">
        <v>2625</v>
      </c>
      <c r="B4652">
        <v>0</v>
      </c>
      <c r="C4652" s="44" t="s">
        <v>205</v>
      </c>
      <c r="D4652" t="s">
        <v>291</v>
      </c>
      <c r="E4652" t="s">
        <v>252</v>
      </c>
      <c r="F4652">
        <v>3</v>
      </c>
    </row>
    <row r="4653" spans="1:6" ht="13.2">
      <c r="A4653" t="s">
        <v>2626</v>
      </c>
      <c r="B4653">
        <v>0</v>
      </c>
      <c r="C4653" s="44" t="s">
        <v>205</v>
      </c>
      <c r="D4653" t="s">
        <v>291</v>
      </c>
      <c r="E4653" t="s">
        <v>252</v>
      </c>
      <c r="F4653">
        <v>3</v>
      </c>
    </row>
    <row r="4654" spans="1:6" ht="13.2">
      <c r="A4654" t="s">
        <v>2627</v>
      </c>
      <c r="B4654">
        <v>0</v>
      </c>
      <c r="C4654" s="44" t="s">
        <v>205</v>
      </c>
      <c r="D4654" t="s">
        <v>291</v>
      </c>
      <c r="E4654" t="s">
        <v>252</v>
      </c>
      <c r="F4654">
        <v>3</v>
      </c>
    </row>
    <row r="4655" spans="1:6" ht="13.2">
      <c r="A4655" t="s">
        <v>1757</v>
      </c>
      <c r="B4655">
        <v>0</v>
      </c>
      <c r="C4655" s="44">
        <v>3000</v>
      </c>
      <c r="D4655" t="s">
        <v>293</v>
      </c>
      <c r="E4655" t="s">
        <v>256</v>
      </c>
      <c r="F4655">
        <v>4</v>
      </c>
    </row>
    <row r="4656" spans="1:6" ht="13.2">
      <c r="A4656" t="s">
        <v>1758</v>
      </c>
      <c r="B4656">
        <v>0</v>
      </c>
      <c r="C4656" s="44">
        <v>3000</v>
      </c>
      <c r="D4656" t="s">
        <v>293</v>
      </c>
      <c r="E4656" t="s">
        <v>256</v>
      </c>
      <c r="F4656">
        <v>4</v>
      </c>
    </row>
    <row r="4657" spans="1:6" ht="13.2">
      <c r="A4657" t="s">
        <v>1762</v>
      </c>
      <c r="B4657">
        <v>0</v>
      </c>
      <c r="C4657" s="44">
        <v>3000</v>
      </c>
      <c r="D4657" t="s">
        <v>293</v>
      </c>
      <c r="E4657" t="s">
        <v>256</v>
      </c>
      <c r="F4657">
        <v>4</v>
      </c>
    </row>
    <row r="4658" spans="1:6" ht="13.2">
      <c r="A4658" t="s">
        <v>1763</v>
      </c>
      <c r="B4658">
        <v>0</v>
      </c>
      <c r="C4658" s="44">
        <v>3000</v>
      </c>
      <c r="D4658" t="s">
        <v>293</v>
      </c>
      <c r="E4658" t="s">
        <v>256</v>
      </c>
      <c r="F4658">
        <v>4</v>
      </c>
    </row>
    <row r="4659" spans="1:6" ht="13.2">
      <c r="A4659" t="s">
        <v>1759</v>
      </c>
      <c r="B4659">
        <v>0</v>
      </c>
      <c r="C4659" s="44">
        <v>3000</v>
      </c>
      <c r="D4659" t="s">
        <v>293</v>
      </c>
      <c r="E4659" t="s">
        <v>256</v>
      </c>
      <c r="F4659">
        <v>4</v>
      </c>
    </row>
    <row r="4660" spans="1:6" ht="13.2">
      <c r="A4660" t="s">
        <v>1760</v>
      </c>
      <c r="B4660">
        <v>0</v>
      </c>
      <c r="C4660" s="44">
        <v>3000</v>
      </c>
      <c r="D4660" t="s">
        <v>293</v>
      </c>
      <c r="E4660" t="s">
        <v>256</v>
      </c>
      <c r="F4660">
        <v>4</v>
      </c>
    </row>
    <row r="4661" spans="1:6" ht="13.2">
      <c r="A4661" t="s">
        <v>1764</v>
      </c>
      <c r="B4661">
        <v>0</v>
      </c>
      <c r="C4661" s="44">
        <v>3000</v>
      </c>
      <c r="D4661" t="s">
        <v>293</v>
      </c>
      <c r="E4661" t="s">
        <v>256</v>
      </c>
      <c r="F4661">
        <v>4</v>
      </c>
    </row>
    <row r="4662" spans="1:6" ht="13.2">
      <c r="A4662" t="s">
        <v>1767</v>
      </c>
      <c r="B4662">
        <v>0</v>
      </c>
      <c r="C4662" s="44">
        <v>3000</v>
      </c>
      <c r="D4662" t="s">
        <v>293</v>
      </c>
      <c r="E4662" t="s">
        <v>256</v>
      </c>
      <c r="F4662">
        <v>4</v>
      </c>
    </row>
    <row r="4663" spans="1:6" ht="13.2">
      <c r="A4663" t="s">
        <v>1756</v>
      </c>
      <c r="B4663">
        <v>0</v>
      </c>
      <c r="C4663" s="44">
        <v>3000</v>
      </c>
      <c r="D4663" t="s">
        <v>293</v>
      </c>
      <c r="E4663" t="s">
        <v>256</v>
      </c>
      <c r="F4663">
        <v>4</v>
      </c>
    </row>
    <row r="4664" spans="1:6" ht="13.2">
      <c r="A4664" t="s">
        <v>1765</v>
      </c>
      <c r="B4664">
        <v>0</v>
      </c>
      <c r="C4664" s="44">
        <v>3000</v>
      </c>
      <c r="D4664" t="s">
        <v>293</v>
      </c>
      <c r="E4664" t="s">
        <v>256</v>
      </c>
      <c r="F4664">
        <v>4</v>
      </c>
    </row>
    <row r="4665" spans="1:6" ht="13.2">
      <c r="A4665" t="s">
        <v>1766</v>
      </c>
      <c r="B4665">
        <v>0</v>
      </c>
      <c r="C4665" s="44">
        <v>3000</v>
      </c>
      <c r="D4665" t="s">
        <v>293</v>
      </c>
      <c r="E4665" t="s">
        <v>256</v>
      </c>
      <c r="F4665">
        <v>4</v>
      </c>
    </row>
    <row r="4666" spans="1:6" ht="13.2">
      <c r="A4666" t="s">
        <v>1768</v>
      </c>
      <c r="B4666">
        <v>0</v>
      </c>
      <c r="C4666" s="44">
        <v>3000</v>
      </c>
      <c r="D4666" t="s">
        <v>293</v>
      </c>
      <c r="E4666" t="s">
        <v>256</v>
      </c>
      <c r="F4666">
        <v>4</v>
      </c>
    </row>
    <row r="4667" spans="1:6" ht="13.2">
      <c r="A4667" t="s">
        <v>1761</v>
      </c>
      <c r="B4667">
        <v>0</v>
      </c>
      <c r="C4667" s="44">
        <v>3000</v>
      </c>
      <c r="D4667" t="s">
        <v>293</v>
      </c>
      <c r="E4667" t="s">
        <v>256</v>
      </c>
      <c r="F4667">
        <v>4</v>
      </c>
    </row>
    <row r="4668" spans="1:6" ht="13.2">
      <c r="A4668" t="s">
        <v>1770</v>
      </c>
      <c r="B4668">
        <v>0</v>
      </c>
      <c r="C4668" s="44">
        <v>3000</v>
      </c>
      <c r="D4668" t="s">
        <v>293</v>
      </c>
      <c r="E4668" t="s">
        <v>256</v>
      </c>
      <c r="F4668">
        <v>4</v>
      </c>
    </row>
    <row r="4669" spans="1:6" ht="13.2">
      <c r="A4669" t="s">
        <v>1769</v>
      </c>
      <c r="B4669">
        <v>0</v>
      </c>
      <c r="C4669" s="44">
        <v>3000</v>
      </c>
      <c r="D4669" t="s">
        <v>293</v>
      </c>
      <c r="E4669" t="s">
        <v>256</v>
      </c>
      <c r="F4669">
        <v>4</v>
      </c>
    </row>
    <row r="4670" spans="1:6" ht="13.2">
      <c r="A4670" t="s">
        <v>2027</v>
      </c>
      <c r="B4670">
        <v>445</v>
      </c>
      <c r="C4670" s="44">
        <v>3000</v>
      </c>
      <c r="D4670" t="s">
        <v>293</v>
      </c>
      <c r="E4670" t="s">
        <v>256</v>
      </c>
      <c r="F4670">
        <v>45</v>
      </c>
    </row>
    <row r="4671" spans="1:6" ht="13.2">
      <c r="A4671" t="s">
        <v>2015</v>
      </c>
      <c r="B4671">
        <v>445</v>
      </c>
      <c r="C4671" s="44">
        <v>3000</v>
      </c>
      <c r="D4671" t="s">
        <v>293</v>
      </c>
      <c r="E4671" t="s">
        <v>256</v>
      </c>
      <c r="F4671">
        <v>45</v>
      </c>
    </row>
    <row r="4672" spans="1:6" ht="13.2">
      <c r="A4672" t="s">
        <v>2016</v>
      </c>
      <c r="B4672">
        <v>445</v>
      </c>
      <c r="C4672" s="44">
        <v>3000</v>
      </c>
      <c r="D4672" t="s">
        <v>293</v>
      </c>
      <c r="E4672" t="s">
        <v>256</v>
      </c>
      <c r="F4672">
        <v>45</v>
      </c>
    </row>
    <row r="4673" spans="1:6" ht="13.2">
      <c r="A4673" t="s">
        <v>2017</v>
      </c>
      <c r="B4673">
        <v>445</v>
      </c>
      <c r="C4673" s="44">
        <v>3000</v>
      </c>
      <c r="D4673" t="s">
        <v>293</v>
      </c>
      <c r="E4673" t="s">
        <v>256</v>
      </c>
      <c r="F4673">
        <v>45</v>
      </c>
    </row>
    <row r="4674" spans="1:6" ht="13.2">
      <c r="A4674" t="s">
        <v>2018</v>
      </c>
      <c r="B4674">
        <v>445</v>
      </c>
      <c r="C4674" s="44">
        <v>3000</v>
      </c>
      <c r="D4674" t="s">
        <v>293</v>
      </c>
      <c r="E4674" t="s">
        <v>256</v>
      </c>
      <c r="F4674">
        <v>45</v>
      </c>
    </row>
    <row r="4675" spans="1:6" ht="13.2">
      <c r="A4675" t="s">
        <v>4694</v>
      </c>
      <c r="B4675">
        <v>0</v>
      </c>
      <c r="C4675" s="44">
        <v>1400</v>
      </c>
      <c r="D4675" t="s">
        <v>291</v>
      </c>
      <c r="E4675" t="s">
        <v>577</v>
      </c>
      <c r="F4675" t="s">
        <v>622</v>
      </c>
    </row>
    <row r="4676" spans="1:6" ht="13.2">
      <c r="A4676" t="s">
        <v>4695</v>
      </c>
      <c r="B4676">
        <v>0</v>
      </c>
      <c r="C4676" s="44">
        <v>1400</v>
      </c>
      <c r="D4676" t="s">
        <v>291</v>
      </c>
      <c r="E4676" t="s">
        <v>577</v>
      </c>
      <c r="F4676" t="s">
        <v>622</v>
      </c>
    </row>
    <row r="4677" spans="1:6" ht="13.2">
      <c r="A4677" t="s">
        <v>4696</v>
      </c>
      <c r="B4677">
        <v>0</v>
      </c>
      <c r="C4677" s="44">
        <v>1400</v>
      </c>
      <c r="D4677" t="s">
        <v>291</v>
      </c>
      <c r="E4677" t="s">
        <v>577</v>
      </c>
      <c r="F4677" t="s">
        <v>622</v>
      </c>
    </row>
    <row r="4678" spans="1:6" ht="13.2">
      <c r="A4678" t="s">
        <v>4697</v>
      </c>
      <c r="B4678">
        <v>0</v>
      </c>
      <c r="C4678" s="44">
        <v>1400</v>
      </c>
      <c r="D4678" t="s">
        <v>291</v>
      </c>
      <c r="E4678" t="s">
        <v>577</v>
      </c>
      <c r="F4678" t="s">
        <v>622</v>
      </c>
    </row>
    <row r="4679" spans="1:6" ht="13.2">
      <c r="A4679" t="s">
        <v>4698</v>
      </c>
      <c r="B4679">
        <v>0</v>
      </c>
      <c r="C4679" s="44">
        <v>1400</v>
      </c>
      <c r="D4679" t="s">
        <v>291</v>
      </c>
      <c r="E4679" t="s">
        <v>577</v>
      </c>
      <c r="F4679" t="s">
        <v>622</v>
      </c>
    </row>
    <row r="4680" spans="1:6" ht="13.2">
      <c r="A4680" t="s">
        <v>4699</v>
      </c>
      <c r="B4680">
        <v>0</v>
      </c>
      <c r="C4680" s="44">
        <v>1400</v>
      </c>
      <c r="D4680" t="s">
        <v>291</v>
      </c>
      <c r="E4680" t="s">
        <v>577</v>
      </c>
      <c r="F4680" t="s">
        <v>622</v>
      </c>
    </row>
    <row r="4681" spans="1:6" ht="13.2">
      <c r="A4681" t="s">
        <v>4700</v>
      </c>
      <c r="B4681">
        <v>0</v>
      </c>
      <c r="C4681" s="44">
        <v>1400</v>
      </c>
      <c r="D4681" t="s">
        <v>291</v>
      </c>
      <c r="E4681" t="s">
        <v>577</v>
      </c>
      <c r="F4681" t="s">
        <v>622</v>
      </c>
    </row>
    <row r="4682" spans="1:6" ht="13.2">
      <c r="A4682" t="s">
        <v>4701</v>
      </c>
      <c r="B4682">
        <v>0</v>
      </c>
      <c r="C4682" s="44">
        <v>1400</v>
      </c>
      <c r="D4682" t="s">
        <v>291</v>
      </c>
      <c r="E4682" t="s">
        <v>577</v>
      </c>
      <c r="F4682" t="s">
        <v>622</v>
      </c>
    </row>
    <row r="4683" spans="1:6" ht="13.2">
      <c r="A4683" t="s">
        <v>4702</v>
      </c>
      <c r="B4683">
        <v>0</v>
      </c>
      <c r="C4683" s="44">
        <v>1400</v>
      </c>
      <c r="D4683" t="s">
        <v>291</v>
      </c>
      <c r="E4683" t="s">
        <v>577</v>
      </c>
      <c r="F4683" t="s">
        <v>622</v>
      </c>
    </row>
    <row r="4684" spans="1:6" ht="13.2">
      <c r="A4684" t="s">
        <v>4703</v>
      </c>
      <c r="B4684">
        <v>0</v>
      </c>
      <c r="C4684" s="44">
        <v>1400</v>
      </c>
      <c r="D4684" t="s">
        <v>291</v>
      </c>
      <c r="E4684" t="s">
        <v>577</v>
      </c>
      <c r="F4684" t="s">
        <v>622</v>
      </c>
    </row>
    <row r="4685" spans="1:6" ht="13.2">
      <c r="A4685" t="s">
        <v>4704</v>
      </c>
      <c r="B4685">
        <v>0</v>
      </c>
      <c r="C4685" s="44">
        <v>1400</v>
      </c>
      <c r="D4685" t="s">
        <v>291</v>
      </c>
      <c r="E4685" t="s">
        <v>577</v>
      </c>
      <c r="F4685" t="s">
        <v>622</v>
      </c>
    </row>
    <row r="4686" spans="1:6" ht="13.2">
      <c r="A4686" t="s">
        <v>4705</v>
      </c>
      <c r="B4686">
        <v>0</v>
      </c>
      <c r="C4686" s="44">
        <v>1400</v>
      </c>
      <c r="D4686" t="s">
        <v>291</v>
      </c>
      <c r="E4686" t="s">
        <v>577</v>
      </c>
      <c r="F4686" t="s">
        <v>622</v>
      </c>
    </row>
    <row r="4687" spans="1:6" ht="13.2">
      <c r="A4687" t="s">
        <v>4706</v>
      </c>
      <c r="B4687">
        <v>0</v>
      </c>
      <c r="C4687" s="44">
        <v>1400</v>
      </c>
      <c r="D4687" t="s">
        <v>291</v>
      </c>
      <c r="E4687" t="s">
        <v>577</v>
      </c>
      <c r="F4687" t="s">
        <v>622</v>
      </c>
    </row>
    <row r="4688" spans="1:6" ht="13.2">
      <c r="A4688" t="s">
        <v>4707</v>
      </c>
      <c r="B4688">
        <v>0</v>
      </c>
      <c r="C4688" s="44">
        <v>1400</v>
      </c>
      <c r="D4688" t="s">
        <v>291</v>
      </c>
      <c r="E4688" t="s">
        <v>577</v>
      </c>
      <c r="F4688" t="s">
        <v>622</v>
      </c>
    </row>
    <row r="4689" spans="1:6" ht="13.2">
      <c r="A4689" t="s">
        <v>4708</v>
      </c>
      <c r="B4689">
        <v>0</v>
      </c>
      <c r="C4689" s="44">
        <v>1400</v>
      </c>
      <c r="D4689" t="s">
        <v>291</v>
      </c>
      <c r="E4689" t="s">
        <v>577</v>
      </c>
      <c r="F4689" t="s">
        <v>622</v>
      </c>
    </row>
    <row r="4690" spans="1:6" ht="13.2">
      <c r="A4690" t="s">
        <v>4709</v>
      </c>
      <c r="B4690">
        <v>0</v>
      </c>
      <c r="C4690" s="44">
        <v>1400</v>
      </c>
      <c r="D4690" t="s">
        <v>291</v>
      </c>
      <c r="E4690" t="s">
        <v>577</v>
      </c>
      <c r="F4690" t="s">
        <v>622</v>
      </c>
    </row>
    <row r="4691" spans="1:6" ht="13.2">
      <c r="A4691" t="s">
        <v>4710</v>
      </c>
      <c r="B4691">
        <v>0</v>
      </c>
      <c r="C4691" s="44">
        <v>1400</v>
      </c>
      <c r="D4691" t="s">
        <v>291</v>
      </c>
      <c r="E4691" t="s">
        <v>577</v>
      </c>
      <c r="F4691" t="s">
        <v>622</v>
      </c>
    </row>
    <row r="4692" spans="1:6" ht="13.2">
      <c r="A4692" t="s">
        <v>4711</v>
      </c>
      <c r="B4692">
        <v>0</v>
      </c>
      <c r="C4692" s="44">
        <v>1400</v>
      </c>
      <c r="D4692" t="s">
        <v>291</v>
      </c>
      <c r="E4692" t="s">
        <v>577</v>
      </c>
      <c r="F4692" t="s">
        <v>622</v>
      </c>
    </row>
    <row r="4693" spans="1:6" ht="13.2">
      <c r="A4693" t="s">
        <v>4712</v>
      </c>
      <c r="B4693">
        <v>0</v>
      </c>
      <c r="C4693" s="44">
        <v>1400</v>
      </c>
      <c r="D4693" t="s">
        <v>291</v>
      </c>
      <c r="E4693" t="s">
        <v>577</v>
      </c>
      <c r="F4693" t="s">
        <v>622</v>
      </c>
    </row>
    <row r="4694" spans="1:6" ht="13.2">
      <c r="A4694" t="s">
        <v>4713</v>
      </c>
      <c r="B4694">
        <v>0</v>
      </c>
      <c r="C4694" s="44">
        <v>1400</v>
      </c>
      <c r="D4694" t="s">
        <v>291</v>
      </c>
      <c r="E4694" t="s">
        <v>577</v>
      </c>
      <c r="F4694" t="s">
        <v>622</v>
      </c>
    </row>
    <row r="4695" spans="1:6" ht="13.2">
      <c r="A4695" t="s">
        <v>4714</v>
      </c>
      <c r="B4695">
        <v>0</v>
      </c>
      <c r="C4695" s="44">
        <v>1400</v>
      </c>
      <c r="D4695" t="s">
        <v>291</v>
      </c>
      <c r="E4695" t="s">
        <v>577</v>
      </c>
      <c r="F4695" t="s">
        <v>622</v>
      </c>
    </row>
    <row r="4696" spans="1:6" ht="13.2">
      <c r="A4696" t="s">
        <v>4715</v>
      </c>
      <c r="B4696">
        <v>0</v>
      </c>
      <c r="C4696" s="44">
        <v>1400</v>
      </c>
      <c r="D4696" t="s">
        <v>291</v>
      </c>
      <c r="E4696" t="s">
        <v>577</v>
      </c>
      <c r="F4696" t="s">
        <v>622</v>
      </c>
    </row>
    <row r="4697" spans="1:6" ht="13.2">
      <c r="A4697" t="s">
        <v>4716</v>
      </c>
      <c r="B4697">
        <v>0</v>
      </c>
      <c r="C4697" s="44">
        <v>1400</v>
      </c>
      <c r="D4697" t="s">
        <v>291</v>
      </c>
      <c r="E4697" t="s">
        <v>577</v>
      </c>
      <c r="F4697" t="s">
        <v>622</v>
      </c>
    </row>
    <row r="4698" spans="1:6" ht="13.2">
      <c r="A4698" t="s">
        <v>4717</v>
      </c>
      <c r="B4698">
        <v>0</v>
      </c>
      <c r="C4698" s="44">
        <v>1400</v>
      </c>
      <c r="D4698" t="s">
        <v>291</v>
      </c>
      <c r="E4698" t="s">
        <v>577</v>
      </c>
      <c r="F4698" t="s">
        <v>622</v>
      </c>
    </row>
    <row r="4699" spans="1:6" ht="13.2">
      <c r="A4699" t="s">
        <v>4718</v>
      </c>
      <c r="B4699">
        <v>0</v>
      </c>
      <c r="C4699" s="44">
        <v>1400</v>
      </c>
      <c r="D4699" t="s">
        <v>291</v>
      </c>
      <c r="E4699" t="s">
        <v>577</v>
      </c>
      <c r="F4699" t="s">
        <v>622</v>
      </c>
    </row>
    <row r="4700" spans="1:6" ht="13.2">
      <c r="A4700" t="s">
        <v>4719</v>
      </c>
      <c r="B4700">
        <v>0</v>
      </c>
      <c r="C4700" s="44">
        <v>1400</v>
      </c>
      <c r="D4700" t="s">
        <v>291</v>
      </c>
      <c r="E4700" t="s">
        <v>577</v>
      </c>
      <c r="F4700" t="s">
        <v>622</v>
      </c>
    </row>
    <row r="4701" spans="1:6" ht="13.2">
      <c r="A4701" t="s">
        <v>4720</v>
      </c>
      <c r="B4701">
        <v>0</v>
      </c>
      <c r="C4701" s="44">
        <v>1400</v>
      </c>
      <c r="D4701" t="s">
        <v>291</v>
      </c>
      <c r="E4701" t="s">
        <v>577</v>
      </c>
      <c r="F4701" t="s">
        <v>622</v>
      </c>
    </row>
    <row r="4702" spans="1:6" ht="13.2">
      <c r="A4702" t="s">
        <v>4721</v>
      </c>
      <c r="B4702">
        <v>0</v>
      </c>
      <c r="C4702" s="44">
        <v>1400</v>
      </c>
      <c r="D4702" t="s">
        <v>291</v>
      </c>
      <c r="E4702" t="s">
        <v>577</v>
      </c>
      <c r="F4702" t="s">
        <v>622</v>
      </c>
    </row>
    <row r="4703" spans="1:6" ht="13.2">
      <c r="A4703" t="s">
        <v>4722</v>
      </c>
      <c r="B4703">
        <v>0</v>
      </c>
      <c r="C4703" s="44">
        <v>1400</v>
      </c>
      <c r="D4703" t="s">
        <v>291</v>
      </c>
      <c r="E4703" t="s">
        <v>577</v>
      </c>
      <c r="F4703" t="s">
        <v>622</v>
      </c>
    </row>
    <row r="4704" spans="1:6" ht="13.2">
      <c r="A4704" t="s">
        <v>4723</v>
      </c>
      <c r="B4704">
        <v>0</v>
      </c>
      <c r="C4704" s="44">
        <v>1400</v>
      </c>
      <c r="D4704" t="s">
        <v>291</v>
      </c>
      <c r="E4704" t="s">
        <v>577</v>
      </c>
      <c r="F4704" t="s">
        <v>622</v>
      </c>
    </row>
    <row r="4705" spans="1:6" ht="13.2">
      <c r="A4705" t="s">
        <v>4724</v>
      </c>
      <c r="B4705">
        <v>0</v>
      </c>
      <c r="C4705" s="44">
        <v>1400</v>
      </c>
      <c r="D4705" t="s">
        <v>291</v>
      </c>
      <c r="E4705" t="s">
        <v>577</v>
      </c>
      <c r="F4705" t="s">
        <v>622</v>
      </c>
    </row>
    <row r="4706" spans="1:6" ht="13.2">
      <c r="A4706" t="s">
        <v>4725</v>
      </c>
      <c r="B4706">
        <v>0</v>
      </c>
      <c r="C4706" s="44">
        <v>1400</v>
      </c>
      <c r="D4706" t="s">
        <v>291</v>
      </c>
      <c r="E4706" t="s">
        <v>577</v>
      </c>
      <c r="F4706" t="s">
        <v>622</v>
      </c>
    </row>
    <row r="4707" spans="1:6" ht="13.2">
      <c r="A4707" t="s">
        <v>4726</v>
      </c>
      <c r="B4707">
        <v>0</v>
      </c>
      <c r="C4707" s="44">
        <v>1400</v>
      </c>
      <c r="D4707" t="s">
        <v>291</v>
      </c>
      <c r="E4707" t="s">
        <v>577</v>
      </c>
      <c r="F4707" t="s">
        <v>622</v>
      </c>
    </row>
    <row r="4708" spans="1:6" ht="13.2">
      <c r="A4708" t="s">
        <v>4727</v>
      </c>
      <c r="B4708">
        <v>0</v>
      </c>
      <c r="C4708" s="44">
        <v>1400</v>
      </c>
      <c r="D4708" t="s">
        <v>291</v>
      </c>
      <c r="E4708" t="s">
        <v>577</v>
      </c>
      <c r="F4708" t="s">
        <v>622</v>
      </c>
    </row>
    <row r="4709" spans="1:6" ht="13.2">
      <c r="A4709" t="s">
        <v>4728</v>
      </c>
      <c r="B4709">
        <v>0</v>
      </c>
      <c r="C4709" s="44">
        <v>1400</v>
      </c>
      <c r="D4709" t="s">
        <v>291</v>
      </c>
      <c r="E4709" t="s">
        <v>577</v>
      </c>
      <c r="F4709" t="s">
        <v>622</v>
      </c>
    </row>
    <row r="4710" spans="1:6" ht="13.2">
      <c r="A4710" t="s">
        <v>4729</v>
      </c>
      <c r="B4710">
        <v>0</v>
      </c>
      <c r="C4710" s="44">
        <v>1400</v>
      </c>
      <c r="D4710" t="s">
        <v>291</v>
      </c>
      <c r="E4710" t="s">
        <v>577</v>
      </c>
      <c r="F4710" t="s">
        <v>622</v>
      </c>
    </row>
    <row r="4711" spans="1:6" ht="13.2">
      <c r="A4711" t="s">
        <v>4730</v>
      </c>
      <c r="B4711">
        <v>0</v>
      </c>
      <c r="C4711" s="44">
        <v>1400</v>
      </c>
      <c r="D4711" t="s">
        <v>291</v>
      </c>
      <c r="E4711" t="s">
        <v>577</v>
      </c>
      <c r="F4711" t="s">
        <v>622</v>
      </c>
    </row>
    <row r="4712" spans="1:6" ht="13.2">
      <c r="A4712" t="s">
        <v>4731</v>
      </c>
      <c r="B4712">
        <v>0</v>
      </c>
      <c r="C4712" s="44">
        <v>1400</v>
      </c>
      <c r="D4712" t="s">
        <v>291</v>
      </c>
      <c r="E4712" t="s">
        <v>577</v>
      </c>
      <c r="F4712" t="s">
        <v>622</v>
      </c>
    </row>
    <row r="4713" spans="1:6" ht="13.2">
      <c r="A4713" t="s">
        <v>4732</v>
      </c>
      <c r="B4713">
        <v>0</v>
      </c>
      <c r="C4713" s="44">
        <v>1400</v>
      </c>
      <c r="D4713" t="s">
        <v>291</v>
      </c>
      <c r="E4713" t="s">
        <v>577</v>
      </c>
      <c r="F4713" t="s">
        <v>622</v>
      </c>
    </row>
    <row r="4714" spans="1:6" ht="13.2">
      <c r="A4714" t="s">
        <v>4733</v>
      </c>
      <c r="B4714">
        <v>0</v>
      </c>
      <c r="C4714" s="44">
        <v>1400</v>
      </c>
      <c r="D4714" t="s">
        <v>291</v>
      </c>
      <c r="E4714" t="s">
        <v>577</v>
      </c>
      <c r="F4714" t="s">
        <v>622</v>
      </c>
    </row>
    <row r="4715" spans="1:6" ht="13.2">
      <c r="A4715" t="s">
        <v>4734</v>
      </c>
      <c r="B4715">
        <v>0</v>
      </c>
      <c r="C4715" s="44">
        <v>1400</v>
      </c>
      <c r="D4715" t="s">
        <v>291</v>
      </c>
      <c r="E4715" t="s">
        <v>577</v>
      </c>
      <c r="F4715" t="s">
        <v>622</v>
      </c>
    </row>
    <row r="4716" spans="1:6" ht="13.2">
      <c r="A4716" t="s">
        <v>4735</v>
      </c>
      <c r="B4716">
        <v>0</v>
      </c>
      <c r="C4716" s="44">
        <v>1400</v>
      </c>
      <c r="D4716" t="s">
        <v>291</v>
      </c>
      <c r="E4716" t="s">
        <v>577</v>
      </c>
      <c r="F4716" t="s">
        <v>622</v>
      </c>
    </row>
    <row r="4717" spans="1:6" ht="13.2">
      <c r="A4717" t="s">
        <v>4736</v>
      </c>
      <c r="B4717">
        <v>0</v>
      </c>
      <c r="C4717" s="44">
        <v>1400</v>
      </c>
      <c r="D4717" t="s">
        <v>291</v>
      </c>
      <c r="E4717" t="s">
        <v>577</v>
      </c>
      <c r="F4717" t="s">
        <v>622</v>
      </c>
    </row>
    <row r="4718" spans="1:6" ht="13.2">
      <c r="A4718" t="s">
        <v>4737</v>
      </c>
      <c r="B4718">
        <v>0</v>
      </c>
      <c r="C4718" s="44">
        <v>1400</v>
      </c>
      <c r="D4718" t="s">
        <v>291</v>
      </c>
      <c r="E4718" t="s">
        <v>577</v>
      </c>
      <c r="F4718" t="s">
        <v>622</v>
      </c>
    </row>
    <row r="4719" spans="1:6" ht="13.2">
      <c r="A4719" t="s">
        <v>4738</v>
      </c>
      <c r="B4719">
        <v>0</v>
      </c>
      <c r="C4719" s="44">
        <v>1400</v>
      </c>
      <c r="D4719" t="s">
        <v>291</v>
      </c>
      <c r="E4719" t="s">
        <v>577</v>
      </c>
      <c r="F4719" t="s">
        <v>622</v>
      </c>
    </row>
    <row r="4720" spans="1:6" ht="13.2">
      <c r="A4720" t="s">
        <v>4739</v>
      </c>
      <c r="B4720">
        <v>0</v>
      </c>
      <c r="C4720" s="44">
        <v>1400</v>
      </c>
      <c r="D4720" t="s">
        <v>291</v>
      </c>
      <c r="E4720" t="s">
        <v>577</v>
      </c>
      <c r="F4720" t="s">
        <v>622</v>
      </c>
    </row>
    <row r="4721" spans="1:6" ht="13.2">
      <c r="A4721" t="s">
        <v>4743</v>
      </c>
      <c r="B4721">
        <v>0</v>
      </c>
      <c r="C4721" s="44">
        <v>1400</v>
      </c>
      <c r="D4721" t="s">
        <v>291</v>
      </c>
      <c r="E4721" t="s">
        <v>577</v>
      </c>
      <c r="F4721" t="s">
        <v>622</v>
      </c>
    </row>
    <row r="4722" spans="1:6" ht="13.2">
      <c r="A4722" t="s">
        <v>4740</v>
      </c>
      <c r="B4722">
        <v>0</v>
      </c>
      <c r="C4722" s="44">
        <v>1400</v>
      </c>
      <c r="D4722" t="s">
        <v>291</v>
      </c>
      <c r="E4722" t="s">
        <v>577</v>
      </c>
      <c r="F4722" t="s">
        <v>622</v>
      </c>
    </row>
    <row r="4723" spans="1:6" ht="13.2">
      <c r="A4723" t="s">
        <v>4741</v>
      </c>
      <c r="B4723">
        <v>0</v>
      </c>
      <c r="C4723" s="44">
        <v>1400</v>
      </c>
      <c r="D4723" t="s">
        <v>291</v>
      </c>
      <c r="E4723" t="s">
        <v>577</v>
      </c>
      <c r="F4723" t="s">
        <v>622</v>
      </c>
    </row>
    <row r="4724" spans="1:6" ht="13.2">
      <c r="A4724" t="s">
        <v>4742</v>
      </c>
      <c r="B4724">
        <v>0</v>
      </c>
      <c r="C4724" s="44">
        <v>1400</v>
      </c>
      <c r="D4724" t="s">
        <v>291</v>
      </c>
      <c r="E4724" t="s">
        <v>577</v>
      </c>
      <c r="F4724" t="s">
        <v>622</v>
      </c>
    </row>
    <row r="4725" spans="1:6" ht="13.2">
      <c r="A4725" t="s">
        <v>1951</v>
      </c>
      <c r="B4725">
        <v>0</v>
      </c>
      <c r="C4725" s="44">
        <v>2800</v>
      </c>
      <c r="D4725" t="s">
        <v>293</v>
      </c>
      <c r="E4725" t="s">
        <v>256</v>
      </c>
      <c r="F4725">
        <v>4</v>
      </c>
    </row>
    <row r="4726" spans="1:6" ht="13.2">
      <c r="A4726" t="s">
        <v>1949</v>
      </c>
      <c r="B4726">
        <v>0</v>
      </c>
      <c r="C4726" s="44">
        <v>2800</v>
      </c>
      <c r="D4726" t="s">
        <v>293</v>
      </c>
      <c r="E4726" t="s">
        <v>256</v>
      </c>
      <c r="F4726">
        <v>4</v>
      </c>
    </row>
    <row r="4727" spans="1:6" ht="13.2">
      <c r="A4727" t="s">
        <v>1950</v>
      </c>
      <c r="B4727">
        <v>0</v>
      </c>
      <c r="C4727" s="44">
        <v>2800</v>
      </c>
      <c r="D4727" t="s">
        <v>293</v>
      </c>
      <c r="E4727" t="s">
        <v>256</v>
      </c>
      <c r="F4727">
        <v>4</v>
      </c>
    </row>
    <row r="4728" spans="1:6" ht="13.2">
      <c r="A4728" t="s">
        <v>1945</v>
      </c>
      <c r="B4728">
        <v>0</v>
      </c>
      <c r="C4728" s="44">
        <v>2800</v>
      </c>
      <c r="D4728" t="s">
        <v>293</v>
      </c>
      <c r="E4728" t="s">
        <v>256</v>
      </c>
      <c r="F4728">
        <v>4</v>
      </c>
    </row>
    <row r="4729" spans="1:6" ht="13.2">
      <c r="A4729" t="s">
        <v>1947</v>
      </c>
      <c r="B4729">
        <v>0</v>
      </c>
      <c r="C4729" s="44">
        <v>2800</v>
      </c>
      <c r="D4729" t="s">
        <v>293</v>
      </c>
      <c r="E4729" t="s">
        <v>256</v>
      </c>
      <c r="F4729">
        <v>4</v>
      </c>
    </row>
    <row r="4730" spans="1:6" ht="13.2">
      <c r="A4730" t="s">
        <v>1946</v>
      </c>
      <c r="B4730">
        <v>0</v>
      </c>
      <c r="C4730" s="44">
        <v>2800</v>
      </c>
      <c r="D4730" t="s">
        <v>293</v>
      </c>
      <c r="E4730" t="s">
        <v>256</v>
      </c>
      <c r="F4730">
        <v>4</v>
      </c>
    </row>
    <row r="4731" spans="1:6" ht="13.2">
      <c r="A4731" t="s">
        <v>1948</v>
      </c>
      <c r="B4731">
        <v>0</v>
      </c>
      <c r="C4731" s="44">
        <v>2800</v>
      </c>
      <c r="D4731" t="s">
        <v>293</v>
      </c>
      <c r="E4731" t="s">
        <v>256</v>
      </c>
      <c r="F4731">
        <v>4</v>
      </c>
    </row>
    <row r="4732" spans="1:6" ht="13.2">
      <c r="A4732" t="s">
        <v>1952</v>
      </c>
      <c r="B4732">
        <v>0</v>
      </c>
      <c r="C4732" s="44">
        <v>2800</v>
      </c>
      <c r="D4732" t="s">
        <v>293</v>
      </c>
      <c r="E4732" t="s">
        <v>256</v>
      </c>
      <c r="F4732">
        <v>4</v>
      </c>
    </row>
    <row r="4733" spans="1:6" ht="13.2">
      <c r="A4733" t="s">
        <v>2628</v>
      </c>
      <c r="B4733">
        <v>0</v>
      </c>
      <c r="C4733" s="44" t="s">
        <v>211</v>
      </c>
      <c r="D4733" t="s">
        <v>291</v>
      </c>
      <c r="E4733" t="s">
        <v>216</v>
      </c>
      <c r="F4733">
        <v>4</v>
      </c>
    </row>
    <row r="4734" spans="1:6" ht="13.2">
      <c r="A4734" t="s">
        <v>2629</v>
      </c>
      <c r="B4734">
        <v>0</v>
      </c>
      <c r="C4734" s="44" t="s">
        <v>211</v>
      </c>
      <c r="D4734" t="s">
        <v>291</v>
      </c>
      <c r="E4734" t="s">
        <v>216</v>
      </c>
      <c r="F4734">
        <v>4</v>
      </c>
    </row>
    <row r="4735" spans="1:6" ht="13.2">
      <c r="A4735" t="s">
        <v>2630</v>
      </c>
      <c r="B4735">
        <v>0</v>
      </c>
      <c r="C4735" s="44" t="s">
        <v>211</v>
      </c>
      <c r="D4735" t="s">
        <v>291</v>
      </c>
      <c r="E4735" t="s">
        <v>216</v>
      </c>
      <c r="F4735">
        <v>4</v>
      </c>
    </row>
    <row r="4736" spans="1:6" ht="13.2">
      <c r="A4736" t="s">
        <v>2631</v>
      </c>
      <c r="B4736">
        <v>0</v>
      </c>
      <c r="C4736" s="44" t="s">
        <v>211</v>
      </c>
      <c r="D4736" t="s">
        <v>291</v>
      </c>
      <c r="E4736" t="s">
        <v>216</v>
      </c>
      <c r="F4736">
        <v>4</v>
      </c>
    </row>
    <row r="4737" spans="1:6" ht="13.2">
      <c r="A4737" t="s">
        <v>2632</v>
      </c>
      <c r="B4737">
        <v>0</v>
      </c>
      <c r="C4737" s="44" t="s">
        <v>211</v>
      </c>
      <c r="D4737" t="s">
        <v>291</v>
      </c>
      <c r="E4737" t="s">
        <v>216</v>
      </c>
      <c r="F4737">
        <v>4</v>
      </c>
    </row>
    <row r="4738" spans="1:6" ht="13.2">
      <c r="A4738" t="s">
        <v>2633</v>
      </c>
      <c r="B4738">
        <v>0</v>
      </c>
      <c r="C4738" s="44" t="s">
        <v>211</v>
      </c>
      <c r="D4738" t="s">
        <v>291</v>
      </c>
      <c r="E4738" t="s">
        <v>216</v>
      </c>
      <c r="F4738">
        <v>4</v>
      </c>
    </row>
    <row r="4739" spans="1:6" ht="13.2">
      <c r="A4739" t="s">
        <v>2634</v>
      </c>
      <c r="B4739">
        <v>0</v>
      </c>
      <c r="C4739" s="44" t="s">
        <v>211</v>
      </c>
      <c r="D4739" t="s">
        <v>291</v>
      </c>
      <c r="E4739" t="s">
        <v>216</v>
      </c>
      <c r="F4739">
        <v>4</v>
      </c>
    </row>
    <row r="4740" spans="1:6" ht="13.2">
      <c r="A4740" t="s">
        <v>2635</v>
      </c>
      <c r="B4740">
        <v>0</v>
      </c>
      <c r="C4740" s="44" t="s">
        <v>211</v>
      </c>
      <c r="D4740" t="s">
        <v>291</v>
      </c>
      <c r="E4740" t="s">
        <v>216</v>
      </c>
      <c r="F4740">
        <v>4</v>
      </c>
    </row>
    <row r="4741" spans="1:6" ht="13.2">
      <c r="A4741" t="s">
        <v>2636</v>
      </c>
      <c r="B4741">
        <v>0</v>
      </c>
      <c r="C4741" s="44" t="s">
        <v>211</v>
      </c>
      <c r="D4741" t="s">
        <v>291</v>
      </c>
      <c r="E4741" t="s">
        <v>216</v>
      </c>
      <c r="F4741">
        <v>4</v>
      </c>
    </row>
    <row r="4742" spans="1:6" ht="13.2">
      <c r="A4742" t="s">
        <v>2637</v>
      </c>
      <c r="B4742">
        <v>0</v>
      </c>
      <c r="C4742" s="44" t="s">
        <v>211</v>
      </c>
      <c r="D4742" t="s">
        <v>291</v>
      </c>
      <c r="E4742" t="s">
        <v>216</v>
      </c>
      <c r="F4742">
        <v>4</v>
      </c>
    </row>
    <row r="4743" spans="1:6" ht="13.2">
      <c r="A4743" t="s">
        <v>2638</v>
      </c>
      <c r="B4743">
        <v>0</v>
      </c>
      <c r="C4743" s="44" t="s">
        <v>211</v>
      </c>
      <c r="D4743" t="s">
        <v>291</v>
      </c>
      <c r="E4743" t="s">
        <v>216</v>
      </c>
      <c r="F4743">
        <v>4</v>
      </c>
    </row>
    <row r="4744" spans="1:6" ht="13.2">
      <c r="A4744" t="s">
        <v>2639</v>
      </c>
      <c r="B4744">
        <v>0</v>
      </c>
      <c r="C4744" s="44" t="s">
        <v>211</v>
      </c>
      <c r="D4744" t="s">
        <v>291</v>
      </c>
      <c r="E4744" t="s">
        <v>216</v>
      </c>
      <c r="F4744">
        <v>4</v>
      </c>
    </row>
    <row r="4745" spans="1:6" ht="13.2">
      <c r="A4745" t="s">
        <v>2640</v>
      </c>
      <c r="B4745">
        <v>0</v>
      </c>
      <c r="C4745" s="44" t="s">
        <v>211</v>
      </c>
      <c r="D4745" t="s">
        <v>291</v>
      </c>
      <c r="E4745" t="s">
        <v>216</v>
      </c>
      <c r="F4745">
        <v>4</v>
      </c>
    </row>
    <row r="4746" spans="1:6" ht="13.2">
      <c r="A4746" t="s">
        <v>2641</v>
      </c>
      <c r="B4746">
        <v>0</v>
      </c>
      <c r="C4746" s="44" t="s">
        <v>211</v>
      </c>
      <c r="D4746" t="s">
        <v>291</v>
      </c>
      <c r="E4746" t="s">
        <v>216</v>
      </c>
      <c r="F4746">
        <v>4</v>
      </c>
    </row>
    <row r="4747" spans="1:6" ht="13.2">
      <c r="A4747" t="s">
        <v>2642</v>
      </c>
      <c r="B4747">
        <v>0</v>
      </c>
      <c r="C4747" s="44" t="s">
        <v>211</v>
      </c>
      <c r="D4747" t="s">
        <v>291</v>
      </c>
      <c r="E4747" t="s">
        <v>216</v>
      </c>
      <c r="F4747">
        <v>4</v>
      </c>
    </row>
    <row r="4748" spans="1:6" ht="13.2">
      <c r="A4748" t="s">
        <v>2643</v>
      </c>
      <c r="B4748">
        <v>0</v>
      </c>
      <c r="C4748" s="44" t="s">
        <v>211</v>
      </c>
      <c r="D4748" t="s">
        <v>291</v>
      </c>
      <c r="E4748" t="s">
        <v>216</v>
      </c>
      <c r="F4748">
        <v>4</v>
      </c>
    </row>
    <row r="4749" spans="1:6" ht="13.2">
      <c r="A4749" t="s">
        <v>2644</v>
      </c>
      <c r="B4749">
        <v>0</v>
      </c>
      <c r="C4749" s="44" t="s">
        <v>211</v>
      </c>
      <c r="D4749" t="s">
        <v>291</v>
      </c>
      <c r="E4749" t="s">
        <v>216</v>
      </c>
      <c r="F4749">
        <v>4</v>
      </c>
    </row>
    <row r="4750" spans="1:6" ht="13.2">
      <c r="A4750" t="s">
        <v>2645</v>
      </c>
      <c r="B4750">
        <v>0</v>
      </c>
      <c r="C4750" s="44" t="s">
        <v>211</v>
      </c>
      <c r="D4750" t="s">
        <v>291</v>
      </c>
      <c r="E4750" t="s">
        <v>216</v>
      </c>
      <c r="F4750">
        <v>4</v>
      </c>
    </row>
    <row r="4751" spans="1:6" ht="13.2">
      <c r="A4751" t="s">
        <v>2646</v>
      </c>
      <c r="B4751">
        <v>0</v>
      </c>
      <c r="C4751" s="44" t="s">
        <v>211</v>
      </c>
      <c r="D4751" t="s">
        <v>291</v>
      </c>
      <c r="E4751" t="s">
        <v>216</v>
      </c>
      <c r="F4751">
        <v>4</v>
      </c>
    </row>
    <row r="4752" spans="1:6" ht="13.2">
      <c r="A4752" t="s">
        <v>3091</v>
      </c>
      <c r="B4752">
        <v>0</v>
      </c>
      <c r="C4752" s="44" t="s">
        <v>211</v>
      </c>
      <c r="D4752" t="s">
        <v>291</v>
      </c>
      <c r="E4752" t="s">
        <v>216</v>
      </c>
      <c r="F4752">
        <v>4</v>
      </c>
    </row>
    <row r="4753" spans="1:6" ht="13.2">
      <c r="A4753" t="s">
        <v>2647</v>
      </c>
      <c r="B4753">
        <v>0</v>
      </c>
      <c r="C4753" s="44" t="s">
        <v>211</v>
      </c>
      <c r="D4753" t="s">
        <v>291</v>
      </c>
      <c r="E4753" t="s">
        <v>216</v>
      </c>
      <c r="F4753">
        <v>4</v>
      </c>
    </row>
    <row r="4754" spans="1:6" ht="13.2">
      <c r="A4754" t="s">
        <v>1741</v>
      </c>
      <c r="B4754">
        <v>0</v>
      </c>
      <c r="C4754" s="44">
        <v>3100</v>
      </c>
      <c r="D4754" t="s">
        <v>293</v>
      </c>
      <c r="E4754" t="s">
        <v>256</v>
      </c>
      <c r="F4754">
        <v>11</v>
      </c>
    </row>
    <row r="4755" spans="1:6" ht="13.2">
      <c r="A4755" t="s">
        <v>1754</v>
      </c>
      <c r="B4755">
        <v>0</v>
      </c>
      <c r="C4755" s="44">
        <v>3100</v>
      </c>
      <c r="D4755" t="s">
        <v>293</v>
      </c>
      <c r="E4755" t="s">
        <v>256</v>
      </c>
      <c r="F4755">
        <v>11</v>
      </c>
    </row>
    <row r="4756" spans="1:6" ht="13.2">
      <c r="A4756" t="s">
        <v>1735</v>
      </c>
      <c r="B4756">
        <v>0</v>
      </c>
      <c r="C4756" s="44">
        <v>3100</v>
      </c>
      <c r="D4756" t="s">
        <v>293</v>
      </c>
      <c r="E4756" t="s">
        <v>256</v>
      </c>
      <c r="F4756">
        <v>11</v>
      </c>
    </row>
    <row r="4757" spans="1:6" ht="13.2">
      <c r="A4757" t="s">
        <v>1750</v>
      </c>
      <c r="B4757">
        <v>0</v>
      </c>
      <c r="C4757" s="44">
        <v>3100</v>
      </c>
      <c r="D4757" t="s">
        <v>293</v>
      </c>
      <c r="E4757" t="s">
        <v>256</v>
      </c>
      <c r="F4757">
        <v>11</v>
      </c>
    </row>
    <row r="4758" spans="1:6" ht="13.2">
      <c r="A4758" t="s">
        <v>1738</v>
      </c>
      <c r="B4758">
        <v>0</v>
      </c>
      <c r="C4758" s="44">
        <v>3100</v>
      </c>
      <c r="D4758" t="s">
        <v>293</v>
      </c>
      <c r="E4758" t="s">
        <v>256</v>
      </c>
      <c r="F4758">
        <v>11</v>
      </c>
    </row>
    <row r="4759" spans="1:6" ht="13.2">
      <c r="A4759" t="s">
        <v>1751</v>
      </c>
      <c r="B4759">
        <v>0</v>
      </c>
      <c r="C4759" s="44">
        <v>3100</v>
      </c>
      <c r="D4759" t="s">
        <v>293</v>
      </c>
      <c r="E4759" t="s">
        <v>256</v>
      </c>
      <c r="F4759">
        <v>11</v>
      </c>
    </row>
    <row r="4760" spans="1:6" ht="13.2">
      <c r="A4760" t="s">
        <v>1745</v>
      </c>
      <c r="B4760">
        <v>0</v>
      </c>
      <c r="C4760" s="44">
        <v>3100</v>
      </c>
      <c r="D4760" t="s">
        <v>293</v>
      </c>
      <c r="E4760" t="s">
        <v>256</v>
      </c>
      <c r="F4760">
        <v>11</v>
      </c>
    </row>
    <row r="4761" spans="1:6" ht="13.2">
      <c r="A4761" t="s">
        <v>1748</v>
      </c>
      <c r="B4761">
        <v>0</v>
      </c>
      <c r="C4761" s="44">
        <v>3100</v>
      </c>
      <c r="D4761" t="s">
        <v>293</v>
      </c>
      <c r="E4761" t="s">
        <v>256</v>
      </c>
      <c r="F4761">
        <v>11</v>
      </c>
    </row>
    <row r="4762" spans="1:6" ht="13.2">
      <c r="A4762" t="s">
        <v>1743</v>
      </c>
      <c r="B4762">
        <v>0</v>
      </c>
      <c r="C4762" s="44">
        <v>3100</v>
      </c>
      <c r="D4762" t="s">
        <v>293</v>
      </c>
      <c r="E4762" t="s">
        <v>256</v>
      </c>
      <c r="F4762">
        <v>11</v>
      </c>
    </row>
    <row r="4763" spans="1:6" ht="13.2">
      <c r="A4763" t="s">
        <v>1752</v>
      </c>
      <c r="B4763">
        <v>0</v>
      </c>
      <c r="C4763" s="44">
        <v>3100</v>
      </c>
      <c r="D4763" t="s">
        <v>293</v>
      </c>
      <c r="E4763" t="s">
        <v>256</v>
      </c>
      <c r="F4763">
        <v>11</v>
      </c>
    </row>
    <row r="4764" spans="1:6" ht="13.2">
      <c r="A4764" t="s">
        <v>1739</v>
      </c>
      <c r="B4764">
        <v>0</v>
      </c>
      <c r="C4764" s="44">
        <v>3100</v>
      </c>
      <c r="D4764" t="s">
        <v>293</v>
      </c>
      <c r="E4764" t="s">
        <v>256</v>
      </c>
      <c r="F4764">
        <v>11</v>
      </c>
    </row>
    <row r="4765" spans="1:6" ht="13.2">
      <c r="A4765" t="s">
        <v>1747</v>
      </c>
      <c r="B4765">
        <v>0</v>
      </c>
      <c r="C4765" s="44">
        <v>3100</v>
      </c>
      <c r="D4765" t="s">
        <v>293</v>
      </c>
      <c r="E4765" t="s">
        <v>256</v>
      </c>
      <c r="F4765">
        <v>11</v>
      </c>
    </row>
    <row r="4766" spans="1:6" ht="13.2">
      <c r="A4766" t="s">
        <v>1733</v>
      </c>
      <c r="B4766">
        <v>0</v>
      </c>
      <c r="C4766" s="44">
        <v>3100</v>
      </c>
      <c r="D4766" t="s">
        <v>293</v>
      </c>
      <c r="E4766" t="s">
        <v>256</v>
      </c>
      <c r="F4766">
        <v>11</v>
      </c>
    </row>
    <row r="4767" spans="1:6" ht="13.2">
      <c r="A4767" t="s">
        <v>1746</v>
      </c>
      <c r="B4767">
        <v>0</v>
      </c>
      <c r="C4767" s="44">
        <v>3100</v>
      </c>
      <c r="D4767" t="s">
        <v>293</v>
      </c>
      <c r="E4767" t="s">
        <v>256</v>
      </c>
      <c r="F4767">
        <v>11</v>
      </c>
    </row>
    <row r="4768" spans="1:6" ht="13.2">
      <c r="A4768" t="s">
        <v>1736</v>
      </c>
      <c r="B4768">
        <v>0</v>
      </c>
      <c r="C4768" s="44">
        <v>3100</v>
      </c>
      <c r="D4768" t="s">
        <v>293</v>
      </c>
      <c r="E4768" t="s">
        <v>256</v>
      </c>
      <c r="F4768">
        <v>11</v>
      </c>
    </row>
    <row r="4769" spans="1:6" ht="13.2">
      <c r="A4769" t="s">
        <v>1744</v>
      </c>
      <c r="B4769">
        <v>0</v>
      </c>
      <c r="C4769" s="44">
        <v>3100</v>
      </c>
      <c r="D4769" t="s">
        <v>293</v>
      </c>
      <c r="E4769" t="s">
        <v>256</v>
      </c>
      <c r="F4769">
        <v>11</v>
      </c>
    </row>
    <row r="4770" spans="1:6" ht="13.2">
      <c r="A4770" t="s">
        <v>1734</v>
      </c>
      <c r="B4770">
        <v>0</v>
      </c>
      <c r="C4770" s="44">
        <v>3100</v>
      </c>
      <c r="D4770" t="s">
        <v>293</v>
      </c>
      <c r="E4770" t="s">
        <v>256</v>
      </c>
      <c r="F4770">
        <v>11</v>
      </c>
    </row>
    <row r="4771" spans="1:6" ht="13.2">
      <c r="A4771" t="s">
        <v>1742</v>
      </c>
      <c r="B4771">
        <v>0</v>
      </c>
      <c r="C4771" s="44">
        <v>3100</v>
      </c>
      <c r="D4771" t="s">
        <v>293</v>
      </c>
      <c r="E4771" t="s">
        <v>256</v>
      </c>
      <c r="F4771">
        <v>11</v>
      </c>
    </row>
    <row r="4772" spans="1:6" ht="13.2">
      <c r="A4772" t="s">
        <v>1753</v>
      </c>
      <c r="B4772">
        <v>0</v>
      </c>
      <c r="C4772" s="44">
        <v>3100</v>
      </c>
      <c r="D4772" t="s">
        <v>293</v>
      </c>
      <c r="E4772" t="s">
        <v>256</v>
      </c>
      <c r="F4772">
        <v>11</v>
      </c>
    </row>
    <row r="4773" spans="1:6" ht="13.2">
      <c r="A4773" t="s">
        <v>1749</v>
      </c>
      <c r="B4773">
        <v>0</v>
      </c>
      <c r="C4773" s="44">
        <v>3100</v>
      </c>
      <c r="D4773" t="s">
        <v>293</v>
      </c>
      <c r="E4773" t="s">
        <v>256</v>
      </c>
      <c r="F4773">
        <v>11</v>
      </c>
    </row>
    <row r="4774" spans="1:6" ht="13.2">
      <c r="A4774" t="s">
        <v>1732</v>
      </c>
      <c r="B4774">
        <v>0</v>
      </c>
      <c r="C4774" s="44">
        <v>3100</v>
      </c>
      <c r="D4774" t="s">
        <v>293</v>
      </c>
      <c r="E4774" t="s">
        <v>256</v>
      </c>
      <c r="F4774">
        <v>11</v>
      </c>
    </row>
    <row r="4775" spans="1:6" ht="13.2">
      <c r="A4775" t="s">
        <v>1755</v>
      </c>
      <c r="B4775">
        <v>0</v>
      </c>
      <c r="C4775" s="44">
        <v>3100</v>
      </c>
      <c r="D4775" t="s">
        <v>293</v>
      </c>
      <c r="E4775" t="s">
        <v>256</v>
      </c>
      <c r="F4775">
        <v>11</v>
      </c>
    </row>
    <row r="4776" spans="1:6" ht="13.2">
      <c r="A4776" t="s">
        <v>1737</v>
      </c>
      <c r="B4776">
        <v>0</v>
      </c>
      <c r="C4776" s="44">
        <v>3100</v>
      </c>
      <c r="D4776" t="s">
        <v>293</v>
      </c>
      <c r="E4776" t="s">
        <v>256</v>
      </c>
      <c r="F4776">
        <v>11</v>
      </c>
    </row>
    <row r="4777" spans="1:6" ht="13.2">
      <c r="A4777" t="s">
        <v>1740</v>
      </c>
      <c r="B4777">
        <v>0</v>
      </c>
      <c r="C4777" s="44">
        <v>3100</v>
      </c>
      <c r="D4777" t="s">
        <v>293</v>
      </c>
      <c r="E4777" t="s">
        <v>256</v>
      </c>
      <c r="F4777">
        <v>11</v>
      </c>
    </row>
    <row r="4778" spans="1:6" ht="13.2">
      <c r="A4778" t="s">
        <v>5184</v>
      </c>
      <c r="B4778">
        <v>0</v>
      </c>
      <c r="C4778" s="44">
        <v>3100</v>
      </c>
      <c r="D4778" t="s">
        <v>291</v>
      </c>
      <c r="E4778" t="s">
        <v>256</v>
      </c>
      <c r="F4778">
        <v>4</v>
      </c>
    </row>
    <row r="4779" spans="1:6" ht="13.2">
      <c r="A4779" t="s">
        <v>5185</v>
      </c>
      <c r="B4779">
        <v>0</v>
      </c>
      <c r="C4779" s="44">
        <v>3100</v>
      </c>
      <c r="D4779" t="s">
        <v>291</v>
      </c>
      <c r="E4779" t="s">
        <v>256</v>
      </c>
      <c r="F4779">
        <v>4</v>
      </c>
    </row>
    <row r="4780" spans="1:6" ht="13.2">
      <c r="A4780" t="s">
        <v>5186</v>
      </c>
      <c r="B4780">
        <v>0</v>
      </c>
      <c r="C4780" s="44">
        <v>3100</v>
      </c>
      <c r="D4780" t="s">
        <v>291</v>
      </c>
      <c r="E4780" t="s">
        <v>256</v>
      </c>
      <c r="F4780">
        <v>4</v>
      </c>
    </row>
    <row r="4781" spans="1:6" ht="13.2">
      <c r="A4781" t="s">
        <v>5187</v>
      </c>
      <c r="B4781">
        <v>0</v>
      </c>
      <c r="C4781" s="44">
        <v>3100</v>
      </c>
      <c r="D4781" t="s">
        <v>291</v>
      </c>
      <c r="E4781" t="s">
        <v>256</v>
      </c>
      <c r="F4781">
        <v>4</v>
      </c>
    </row>
    <row r="4782" spans="1:6" ht="13.2">
      <c r="A4782" t="s">
        <v>5188</v>
      </c>
      <c r="B4782">
        <v>0</v>
      </c>
      <c r="C4782" s="44">
        <v>3100</v>
      </c>
      <c r="D4782" t="s">
        <v>291</v>
      </c>
      <c r="E4782" t="s">
        <v>256</v>
      </c>
      <c r="F4782">
        <v>4</v>
      </c>
    </row>
    <row r="4783" spans="1:6" ht="13.2">
      <c r="A4783" t="s">
        <v>5189</v>
      </c>
      <c r="B4783">
        <v>0</v>
      </c>
      <c r="C4783" s="44">
        <v>3100</v>
      </c>
      <c r="D4783" t="s">
        <v>291</v>
      </c>
      <c r="E4783" t="s">
        <v>256</v>
      </c>
      <c r="F4783">
        <v>4</v>
      </c>
    </row>
    <row r="4784" spans="1:6" ht="13.2">
      <c r="A4784" t="s">
        <v>5190</v>
      </c>
      <c r="B4784">
        <v>0</v>
      </c>
      <c r="C4784" s="44">
        <v>3100</v>
      </c>
      <c r="D4784" t="s">
        <v>291</v>
      </c>
      <c r="E4784" t="s">
        <v>256</v>
      </c>
      <c r="F4784">
        <v>4</v>
      </c>
    </row>
    <row r="4785" spans="1:6" ht="13.2">
      <c r="A4785" t="s">
        <v>5191</v>
      </c>
      <c r="B4785">
        <v>0</v>
      </c>
      <c r="C4785" s="44">
        <v>3100</v>
      </c>
      <c r="D4785" t="s">
        <v>291</v>
      </c>
      <c r="E4785" t="s">
        <v>256</v>
      </c>
      <c r="F4785">
        <v>4</v>
      </c>
    </row>
    <row r="4786" spans="1:6" ht="13.2">
      <c r="A4786" t="s">
        <v>5192</v>
      </c>
      <c r="B4786">
        <v>0</v>
      </c>
      <c r="C4786" s="44">
        <v>3100</v>
      </c>
      <c r="D4786" t="s">
        <v>291</v>
      </c>
      <c r="E4786" t="s">
        <v>256</v>
      </c>
      <c r="F4786">
        <v>4</v>
      </c>
    </row>
    <row r="4787" spans="1:6" ht="13.2">
      <c r="A4787" t="s">
        <v>5193</v>
      </c>
      <c r="B4787">
        <v>0</v>
      </c>
      <c r="C4787" s="44">
        <v>3100</v>
      </c>
      <c r="D4787" t="s">
        <v>291</v>
      </c>
      <c r="E4787" t="s">
        <v>256</v>
      </c>
      <c r="F4787">
        <v>4</v>
      </c>
    </row>
    <row r="4788" spans="1:6" ht="13.2">
      <c r="A4788" t="s">
        <v>5194</v>
      </c>
      <c r="B4788">
        <v>0</v>
      </c>
      <c r="C4788" s="44">
        <v>3100</v>
      </c>
      <c r="D4788" t="s">
        <v>291</v>
      </c>
      <c r="E4788" t="s">
        <v>256</v>
      </c>
      <c r="F4788">
        <v>4</v>
      </c>
    </row>
    <row r="4789" spans="1:6" ht="13.2">
      <c r="A4789" t="s">
        <v>5195</v>
      </c>
      <c r="B4789">
        <v>0</v>
      </c>
      <c r="C4789" s="44">
        <v>3100</v>
      </c>
      <c r="D4789" t="s">
        <v>291</v>
      </c>
      <c r="E4789" t="s">
        <v>256</v>
      </c>
      <c r="F4789">
        <v>4</v>
      </c>
    </row>
    <row r="4790" spans="1:6" ht="13.2">
      <c r="A4790" t="s">
        <v>5196</v>
      </c>
      <c r="B4790">
        <v>0</v>
      </c>
      <c r="C4790" s="44">
        <v>3100</v>
      </c>
      <c r="D4790" t="s">
        <v>291</v>
      </c>
      <c r="E4790" t="s">
        <v>256</v>
      </c>
      <c r="F4790">
        <v>4</v>
      </c>
    </row>
    <row r="4791" spans="1:6" ht="13.2">
      <c r="A4791" t="s">
        <v>5197</v>
      </c>
      <c r="B4791">
        <v>0</v>
      </c>
      <c r="C4791" s="44">
        <v>3100</v>
      </c>
      <c r="D4791" t="s">
        <v>291</v>
      </c>
      <c r="E4791" t="s">
        <v>256</v>
      </c>
      <c r="F4791">
        <v>4</v>
      </c>
    </row>
    <row r="4792" spans="1:6" ht="13.2">
      <c r="A4792" t="s">
        <v>5198</v>
      </c>
      <c r="B4792">
        <v>0</v>
      </c>
      <c r="C4792" s="44">
        <v>3100</v>
      </c>
      <c r="D4792" t="s">
        <v>291</v>
      </c>
      <c r="E4792" t="s">
        <v>256</v>
      </c>
      <c r="F4792">
        <v>4</v>
      </c>
    </row>
    <row r="4793" spans="1:6" ht="13.2">
      <c r="A4793" t="s">
        <v>5199</v>
      </c>
      <c r="B4793">
        <v>0</v>
      </c>
      <c r="C4793" s="44">
        <v>3100</v>
      </c>
      <c r="D4793" t="s">
        <v>291</v>
      </c>
      <c r="E4793" t="s">
        <v>256</v>
      </c>
      <c r="F4793">
        <v>4</v>
      </c>
    </row>
    <row r="4794" spans="1:6" ht="13.2">
      <c r="A4794" t="s">
        <v>5200</v>
      </c>
      <c r="B4794">
        <v>0</v>
      </c>
      <c r="C4794" s="44">
        <v>3100</v>
      </c>
      <c r="D4794" t="s">
        <v>291</v>
      </c>
      <c r="E4794" t="s">
        <v>256</v>
      </c>
      <c r="F4794">
        <v>4</v>
      </c>
    </row>
    <row r="4795" spans="1:6" ht="13.2">
      <c r="A4795" t="s">
        <v>5201</v>
      </c>
      <c r="B4795">
        <v>0</v>
      </c>
      <c r="C4795" s="44">
        <v>3100</v>
      </c>
      <c r="D4795" t="s">
        <v>291</v>
      </c>
      <c r="E4795" t="s">
        <v>256</v>
      </c>
      <c r="F4795">
        <v>4</v>
      </c>
    </row>
    <row r="4796" spans="1:6" ht="13.2">
      <c r="A4796" t="s">
        <v>5202</v>
      </c>
      <c r="B4796">
        <v>0</v>
      </c>
      <c r="C4796" s="44">
        <v>3100</v>
      </c>
      <c r="D4796" t="s">
        <v>291</v>
      </c>
      <c r="E4796" t="s">
        <v>256</v>
      </c>
      <c r="F4796">
        <v>4</v>
      </c>
    </row>
    <row r="4797" spans="1:6" ht="13.2">
      <c r="A4797" t="s">
        <v>5203</v>
      </c>
      <c r="B4797">
        <v>0</v>
      </c>
      <c r="C4797" s="44">
        <v>3100</v>
      </c>
      <c r="D4797" t="s">
        <v>291</v>
      </c>
      <c r="E4797" t="s">
        <v>256</v>
      </c>
      <c r="F4797">
        <v>4</v>
      </c>
    </row>
    <row r="4798" spans="1:6" ht="13.2">
      <c r="A4798" t="s">
        <v>5204</v>
      </c>
      <c r="B4798">
        <v>0</v>
      </c>
      <c r="C4798" s="44">
        <v>3100</v>
      </c>
      <c r="D4798" t="s">
        <v>291</v>
      </c>
      <c r="E4798" t="s">
        <v>256</v>
      </c>
      <c r="F4798">
        <v>4</v>
      </c>
    </row>
    <row r="4799" spans="1:6" ht="13.2">
      <c r="A4799" t="s">
        <v>5205</v>
      </c>
      <c r="B4799">
        <v>0</v>
      </c>
      <c r="C4799" s="44">
        <v>3100</v>
      </c>
      <c r="D4799" t="s">
        <v>291</v>
      </c>
      <c r="E4799" t="s">
        <v>256</v>
      </c>
      <c r="F4799">
        <v>4</v>
      </c>
    </row>
    <row r="4800" spans="1:6" ht="13.2">
      <c r="A4800" t="s">
        <v>5206</v>
      </c>
      <c r="B4800">
        <v>0</v>
      </c>
      <c r="C4800" s="44">
        <v>3100</v>
      </c>
      <c r="D4800" t="s">
        <v>291</v>
      </c>
      <c r="E4800" t="s">
        <v>256</v>
      </c>
      <c r="F4800">
        <v>4</v>
      </c>
    </row>
    <row r="4801" spans="1:6" ht="13.2">
      <c r="A4801" t="s">
        <v>5207</v>
      </c>
      <c r="B4801">
        <v>0</v>
      </c>
      <c r="C4801" s="44">
        <v>3100</v>
      </c>
      <c r="D4801" t="s">
        <v>291</v>
      </c>
      <c r="E4801" t="s">
        <v>256</v>
      </c>
      <c r="F4801">
        <v>4</v>
      </c>
    </row>
    <row r="4802" spans="1:5" ht="13.2">
      <c r="A4802" t="s">
        <v>7169</v>
      </c>
      <c r="B4802">
        <v>0</v>
      </c>
      <c r="C4802" s="44">
        <v>1380</v>
      </c>
      <c r="D4802" t="s">
        <v>291</v>
      </c>
      <c r="E4802" t="s">
        <v>5116</v>
      </c>
    </row>
    <row r="4803" spans="1:5" ht="13.2">
      <c r="A4803" t="s">
        <v>7170</v>
      </c>
      <c r="B4803">
        <v>0</v>
      </c>
      <c r="C4803" s="44">
        <v>1380</v>
      </c>
      <c r="D4803" t="s">
        <v>291</v>
      </c>
      <c r="E4803" t="s">
        <v>5116</v>
      </c>
    </row>
    <row r="4804" spans="1:5" ht="13.2">
      <c r="A4804" t="s">
        <v>7171</v>
      </c>
      <c r="B4804">
        <v>0</v>
      </c>
      <c r="C4804" s="44">
        <v>1380</v>
      </c>
      <c r="D4804" t="s">
        <v>291</v>
      </c>
      <c r="E4804" t="s">
        <v>5116</v>
      </c>
    </row>
    <row r="4805" spans="1:5" ht="13.2">
      <c r="A4805" t="s">
        <v>7172</v>
      </c>
      <c r="B4805">
        <v>0</v>
      </c>
      <c r="C4805" s="44">
        <v>1380</v>
      </c>
      <c r="D4805" t="s">
        <v>291</v>
      </c>
      <c r="E4805" t="s">
        <v>5116</v>
      </c>
    </row>
    <row r="4806" spans="1:5" ht="13.2">
      <c r="A4806" t="s">
        <v>7173</v>
      </c>
      <c r="B4806">
        <v>0</v>
      </c>
      <c r="C4806" s="44">
        <v>1380</v>
      </c>
      <c r="D4806" t="s">
        <v>291</v>
      </c>
      <c r="E4806" t="s">
        <v>5116</v>
      </c>
    </row>
    <row r="4807" spans="1:5" ht="13.2">
      <c r="A4807" t="s">
        <v>7174</v>
      </c>
      <c r="B4807">
        <v>0</v>
      </c>
      <c r="C4807" s="44">
        <v>1380</v>
      </c>
      <c r="D4807" t="s">
        <v>291</v>
      </c>
      <c r="E4807" t="s">
        <v>5116</v>
      </c>
    </row>
    <row r="4808" spans="1:5" ht="13.2">
      <c r="A4808" t="s">
        <v>7175</v>
      </c>
      <c r="B4808">
        <v>0</v>
      </c>
      <c r="C4808" s="44">
        <v>1380</v>
      </c>
      <c r="D4808" t="s">
        <v>291</v>
      </c>
      <c r="E4808" t="s">
        <v>5116</v>
      </c>
    </row>
    <row r="4809" spans="1:5" ht="13.2">
      <c r="A4809" t="s">
        <v>7176</v>
      </c>
      <c r="B4809">
        <v>0</v>
      </c>
      <c r="C4809" s="44">
        <v>1380</v>
      </c>
      <c r="D4809" t="s">
        <v>291</v>
      </c>
      <c r="E4809" t="s">
        <v>5116</v>
      </c>
    </row>
    <row r="4810" spans="1:5" ht="13.2">
      <c r="A4810" t="s">
        <v>7177</v>
      </c>
      <c r="B4810">
        <v>0</v>
      </c>
      <c r="C4810" s="44">
        <v>1380</v>
      </c>
      <c r="D4810" t="s">
        <v>291</v>
      </c>
      <c r="E4810" t="s">
        <v>5116</v>
      </c>
    </row>
    <row r="4811" spans="1:5" ht="13.2">
      <c r="A4811" t="s">
        <v>7178</v>
      </c>
      <c r="B4811">
        <v>0</v>
      </c>
      <c r="C4811" s="44">
        <v>1380</v>
      </c>
      <c r="D4811" t="s">
        <v>291</v>
      </c>
      <c r="E4811" t="s">
        <v>5116</v>
      </c>
    </row>
    <row r="4812" spans="1:5" ht="13.2">
      <c r="A4812" t="s">
        <v>7179</v>
      </c>
      <c r="B4812">
        <v>0</v>
      </c>
      <c r="C4812" s="44">
        <v>1380</v>
      </c>
      <c r="D4812" t="s">
        <v>291</v>
      </c>
      <c r="E4812" t="s">
        <v>5116</v>
      </c>
    </row>
    <row r="4813" spans="1:5" ht="13.2">
      <c r="A4813" t="s">
        <v>7180</v>
      </c>
      <c r="B4813">
        <v>0</v>
      </c>
      <c r="C4813" s="44">
        <v>1380</v>
      </c>
      <c r="D4813" t="s">
        <v>291</v>
      </c>
      <c r="E4813" t="s">
        <v>5116</v>
      </c>
    </row>
    <row r="4814" spans="1:5" ht="13.2">
      <c r="A4814" t="s">
        <v>7181</v>
      </c>
      <c r="B4814">
        <v>0</v>
      </c>
      <c r="C4814" s="44">
        <v>1380</v>
      </c>
      <c r="D4814" t="s">
        <v>291</v>
      </c>
      <c r="E4814" t="s">
        <v>5116</v>
      </c>
    </row>
    <row r="4815" spans="1:5" ht="13.2">
      <c r="A4815" t="s">
        <v>7182</v>
      </c>
      <c r="B4815">
        <v>0</v>
      </c>
      <c r="C4815" s="44">
        <v>1380</v>
      </c>
      <c r="D4815" t="s">
        <v>291</v>
      </c>
      <c r="E4815" t="s">
        <v>5116</v>
      </c>
    </row>
    <row r="4816" spans="1:5" ht="13.2">
      <c r="A4816" t="s">
        <v>7183</v>
      </c>
      <c r="B4816">
        <v>0</v>
      </c>
      <c r="C4816" s="44">
        <v>1380</v>
      </c>
      <c r="D4816" t="s">
        <v>291</v>
      </c>
      <c r="E4816" t="s">
        <v>5116</v>
      </c>
    </row>
    <row r="4817" spans="1:5" ht="13.2">
      <c r="A4817" t="s">
        <v>7184</v>
      </c>
      <c r="B4817">
        <v>0</v>
      </c>
      <c r="C4817" s="44">
        <v>1380</v>
      </c>
      <c r="D4817" t="s">
        <v>291</v>
      </c>
      <c r="E4817" t="s">
        <v>5116</v>
      </c>
    </row>
    <row r="4818" spans="1:5" ht="13.2">
      <c r="A4818" t="s">
        <v>7185</v>
      </c>
      <c r="B4818">
        <v>0</v>
      </c>
      <c r="C4818" s="44">
        <v>1380</v>
      </c>
      <c r="D4818" t="s">
        <v>291</v>
      </c>
      <c r="E4818" t="s">
        <v>5116</v>
      </c>
    </row>
    <row r="4819" spans="1:5" ht="13.2">
      <c r="A4819" t="s">
        <v>7186</v>
      </c>
      <c r="B4819">
        <v>0</v>
      </c>
      <c r="C4819" s="44">
        <v>1380</v>
      </c>
      <c r="D4819" t="s">
        <v>291</v>
      </c>
      <c r="E4819" t="s">
        <v>5116</v>
      </c>
    </row>
    <row r="4820" spans="1:5" ht="13.2">
      <c r="A4820" t="s">
        <v>7187</v>
      </c>
      <c r="B4820">
        <v>0</v>
      </c>
      <c r="C4820" s="44">
        <v>1380</v>
      </c>
      <c r="D4820" t="s">
        <v>291</v>
      </c>
      <c r="E4820" t="s">
        <v>5116</v>
      </c>
    </row>
    <row r="4821" spans="1:5" ht="13.2">
      <c r="A4821" t="s">
        <v>7188</v>
      </c>
      <c r="B4821">
        <v>0</v>
      </c>
      <c r="C4821" s="44">
        <v>1380</v>
      </c>
      <c r="D4821" t="s">
        <v>291</v>
      </c>
      <c r="E4821" t="s">
        <v>5116</v>
      </c>
    </row>
    <row r="4822" spans="1:5" ht="13.2">
      <c r="A4822" t="s">
        <v>7189</v>
      </c>
      <c r="B4822">
        <v>0</v>
      </c>
      <c r="C4822" s="44">
        <v>1380</v>
      </c>
      <c r="D4822" t="s">
        <v>291</v>
      </c>
      <c r="E4822" t="s">
        <v>5116</v>
      </c>
    </row>
    <row r="4823" spans="1:5" ht="13.2">
      <c r="A4823" t="s">
        <v>7190</v>
      </c>
      <c r="B4823">
        <v>0</v>
      </c>
      <c r="C4823" s="44">
        <v>1380</v>
      </c>
      <c r="D4823" t="s">
        <v>291</v>
      </c>
      <c r="E4823" t="s">
        <v>5116</v>
      </c>
    </row>
    <row r="4824" spans="1:5" ht="13.2">
      <c r="A4824" t="s">
        <v>7191</v>
      </c>
      <c r="B4824">
        <v>0</v>
      </c>
      <c r="C4824" s="44">
        <v>1380</v>
      </c>
      <c r="D4824" t="s">
        <v>291</v>
      </c>
      <c r="E4824" t="s">
        <v>5116</v>
      </c>
    </row>
    <row r="4825" spans="1:5" ht="13.2">
      <c r="A4825" t="s">
        <v>7192</v>
      </c>
      <c r="B4825">
        <v>0</v>
      </c>
      <c r="C4825" s="44">
        <v>1380</v>
      </c>
      <c r="D4825" t="s">
        <v>291</v>
      </c>
      <c r="E4825" t="s">
        <v>5116</v>
      </c>
    </row>
    <row r="4826" spans="1:5" ht="13.2">
      <c r="A4826" t="s">
        <v>7193</v>
      </c>
      <c r="B4826">
        <v>0</v>
      </c>
      <c r="C4826" s="44">
        <v>1380</v>
      </c>
      <c r="D4826" t="s">
        <v>291</v>
      </c>
      <c r="E4826" t="s">
        <v>5116</v>
      </c>
    </row>
    <row r="4827" spans="1:5" ht="13.2">
      <c r="A4827" t="s">
        <v>7194</v>
      </c>
      <c r="B4827">
        <v>0</v>
      </c>
      <c r="C4827" s="44">
        <v>1380</v>
      </c>
      <c r="D4827" t="s">
        <v>291</v>
      </c>
      <c r="E4827" t="s">
        <v>5116</v>
      </c>
    </row>
    <row r="4828" spans="1:5" ht="13.2">
      <c r="A4828" t="s">
        <v>7195</v>
      </c>
      <c r="B4828">
        <v>0</v>
      </c>
      <c r="C4828" s="44">
        <v>1380</v>
      </c>
      <c r="D4828" t="s">
        <v>291</v>
      </c>
      <c r="E4828" t="s">
        <v>5116</v>
      </c>
    </row>
    <row r="4829" spans="1:5" ht="13.2">
      <c r="A4829" t="s">
        <v>7196</v>
      </c>
      <c r="B4829">
        <v>0</v>
      </c>
      <c r="C4829" s="44">
        <v>1380</v>
      </c>
      <c r="D4829" t="s">
        <v>291</v>
      </c>
      <c r="E4829" t="s">
        <v>5116</v>
      </c>
    </row>
    <row r="4830" spans="1:5" ht="13.2">
      <c r="A4830" t="s">
        <v>7197</v>
      </c>
      <c r="B4830">
        <v>0</v>
      </c>
      <c r="C4830" s="44">
        <v>1380</v>
      </c>
      <c r="D4830" t="s">
        <v>291</v>
      </c>
      <c r="E4830" t="s">
        <v>5116</v>
      </c>
    </row>
    <row r="4831" spans="1:5" ht="13.2">
      <c r="A4831" t="s">
        <v>7198</v>
      </c>
      <c r="B4831">
        <v>0</v>
      </c>
      <c r="C4831" s="44">
        <v>1380</v>
      </c>
      <c r="D4831" t="s">
        <v>291</v>
      </c>
      <c r="E4831" t="s">
        <v>5116</v>
      </c>
    </row>
    <row r="4832" spans="1:5" ht="13.2">
      <c r="A4832" t="s">
        <v>7199</v>
      </c>
      <c r="B4832">
        <v>0</v>
      </c>
      <c r="C4832" s="44">
        <v>1380</v>
      </c>
      <c r="D4832" t="s">
        <v>291</v>
      </c>
      <c r="E4832" t="s">
        <v>5116</v>
      </c>
    </row>
    <row r="4833" spans="1:5" ht="13.2">
      <c r="A4833" t="s">
        <v>7200</v>
      </c>
      <c r="B4833">
        <v>0</v>
      </c>
      <c r="C4833" s="44">
        <v>1380</v>
      </c>
      <c r="D4833" t="s">
        <v>291</v>
      </c>
      <c r="E4833" t="s">
        <v>5116</v>
      </c>
    </row>
    <row r="4834" spans="1:6" ht="13.2">
      <c r="A4834" t="s">
        <v>6083</v>
      </c>
      <c r="B4834">
        <v>0</v>
      </c>
      <c r="C4834" s="44" t="s">
        <v>200</v>
      </c>
      <c r="D4834" t="s">
        <v>291</v>
      </c>
      <c r="E4834" t="s">
        <v>257</v>
      </c>
      <c r="F4834">
        <v>4</v>
      </c>
    </row>
    <row r="4835" spans="1:6" ht="13.2">
      <c r="A4835" t="s">
        <v>6084</v>
      </c>
      <c r="B4835">
        <v>0</v>
      </c>
      <c r="C4835" s="44" t="s">
        <v>200</v>
      </c>
      <c r="D4835" t="s">
        <v>291</v>
      </c>
      <c r="E4835" t="s">
        <v>257</v>
      </c>
      <c r="F4835">
        <v>4</v>
      </c>
    </row>
    <row r="4836" spans="1:6" ht="13.2">
      <c r="A4836" t="s">
        <v>6085</v>
      </c>
      <c r="B4836">
        <v>0</v>
      </c>
      <c r="C4836" s="44" t="s">
        <v>200</v>
      </c>
      <c r="D4836" t="s">
        <v>291</v>
      </c>
      <c r="E4836" t="s">
        <v>257</v>
      </c>
      <c r="F4836">
        <v>4</v>
      </c>
    </row>
    <row r="4837" spans="1:6" ht="13.2">
      <c r="A4837" t="s">
        <v>6086</v>
      </c>
      <c r="B4837">
        <v>0</v>
      </c>
      <c r="C4837" s="44" t="s">
        <v>200</v>
      </c>
      <c r="D4837" t="s">
        <v>291</v>
      </c>
      <c r="E4837" t="s">
        <v>257</v>
      </c>
      <c r="F4837">
        <v>4</v>
      </c>
    </row>
    <row r="4838" spans="1:6" ht="13.2">
      <c r="A4838" t="s">
        <v>6087</v>
      </c>
      <c r="B4838">
        <v>0</v>
      </c>
      <c r="C4838" s="44" t="s">
        <v>200</v>
      </c>
      <c r="D4838" t="s">
        <v>291</v>
      </c>
      <c r="E4838" t="s">
        <v>257</v>
      </c>
      <c r="F4838">
        <v>4</v>
      </c>
    </row>
    <row r="4839" spans="1:6" ht="13.2">
      <c r="A4839" t="s">
        <v>6088</v>
      </c>
      <c r="B4839">
        <v>0</v>
      </c>
      <c r="C4839" s="44" t="s">
        <v>200</v>
      </c>
      <c r="D4839" t="s">
        <v>291</v>
      </c>
      <c r="E4839" t="s">
        <v>257</v>
      </c>
      <c r="F4839">
        <v>4</v>
      </c>
    </row>
    <row r="4840" spans="1:6" ht="13.2">
      <c r="A4840" t="s">
        <v>6089</v>
      </c>
      <c r="B4840">
        <v>0</v>
      </c>
      <c r="C4840" s="44" t="s">
        <v>200</v>
      </c>
      <c r="D4840" t="s">
        <v>291</v>
      </c>
      <c r="E4840" t="s">
        <v>257</v>
      </c>
      <c r="F4840">
        <v>4</v>
      </c>
    </row>
    <row r="4841" spans="1:6" ht="13.2">
      <c r="A4841" t="s">
        <v>6090</v>
      </c>
      <c r="B4841">
        <v>0</v>
      </c>
      <c r="C4841" s="44" t="s">
        <v>200</v>
      </c>
      <c r="D4841" t="s">
        <v>291</v>
      </c>
      <c r="E4841" t="s">
        <v>257</v>
      </c>
      <c r="F4841">
        <v>4</v>
      </c>
    </row>
    <row r="4842" spans="1:6" ht="13.2">
      <c r="A4842" t="s">
        <v>6091</v>
      </c>
      <c r="B4842">
        <v>0</v>
      </c>
      <c r="C4842" s="44" t="s">
        <v>200</v>
      </c>
      <c r="D4842" t="s">
        <v>291</v>
      </c>
      <c r="E4842" t="s">
        <v>257</v>
      </c>
      <c r="F4842">
        <v>4</v>
      </c>
    </row>
    <row r="4843" spans="1:6" ht="13.2">
      <c r="A4843" t="s">
        <v>6092</v>
      </c>
      <c r="B4843">
        <v>0</v>
      </c>
      <c r="C4843" s="44" t="s">
        <v>200</v>
      </c>
      <c r="D4843" t="s">
        <v>291</v>
      </c>
      <c r="E4843" t="s">
        <v>257</v>
      </c>
      <c r="F4843">
        <v>4</v>
      </c>
    </row>
    <row r="4844" spans="1:6" ht="13.2">
      <c r="A4844" t="s">
        <v>6093</v>
      </c>
      <c r="B4844">
        <v>0</v>
      </c>
      <c r="C4844" s="44" t="s">
        <v>200</v>
      </c>
      <c r="D4844" t="s">
        <v>291</v>
      </c>
      <c r="E4844" t="s">
        <v>257</v>
      </c>
      <c r="F4844">
        <v>4</v>
      </c>
    </row>
    <row r="4845" spans="1:6" ht="13.2">
      <c r="A4845" t="s">
        <v>6094</v>
      </c>
      <c r="B4845">
        <v>0</v>
      </c>
      <c r="C4845" s="44" t="s">
        <v>200</v>
      </c>
      <c r="D4845" t="s">
        <v>291</v>
      </c>
      <c r="E4845" t="s">
        <v>257</v>
      </c>
      <c r="F4845">
        <v>4</v>
      </c>
    </row>
    <row r="4846" spans="1:6" ht="13.2">
      <c r="A4846" t="s">
        <v>6095</v>
      </c>
      <c r="B4846">
        <v>0</v>
      </c>
      <c r="C4846" s="44" t="s">
        <v>200</v>
      </c>
      <c r="D4846" t="s">
        <v>291</v>
      </c>
      <c r="E4846" t="s">
        <v>257</v>
      </c>
      <c r="F4846">
        <v>4</v>
      </c>
    </row>
    <row r="4847" spans="1:6" ht="13.2">
      <c r="A4847" t="s">
        <v>6096</v>
      </c>
      <c r="B4847">
        <v>0</v>
      </c>
      <c r="C4847" s="44" t="s">
        <v>200</v>
      </c>
      <c r="D4847" t="s">
        <v>291</v>
      </c>
      <c r="E4847" t="s">
        <v>257</v>
      </c>
      <c r="F4847">
        <v>4</v>
      </c>
    </row>
    <row r="4848" spans="1:6" ht="13.2">
      <c r="A4848" t="s">
        <v>6097</v>
      </c>
      <c r="B4848">
        <v>0</v>
      </c>
      <c r="C4848" s="44" t="s">
        <v>200</v>
      </c>
      <c r="D4848" t="s">
        <v>291</v>
      </c>
      <c r="E4848" t="s">
        <v>257</v>
      </c>
      <c r="F4848">
        <v>4</v>
      </c>
    </row>
    <row r="4849" spans="1:6" ht="13.2">
      <c r="A4849" t="s">
        <v>6098</v>
      </c>
      <c r="B4849">
        <v>0</v>
      </c>
      <c r="C4849" s="44" t="s">
        <v>200</v>
      </c>
      <c r="D4849" t="s">
        <v>291</v>
      </c>
      <c r="E4849" t="s">
        <v>257</v>
      </c>
      <c r="F4849">
        <v>4</v>
      </c>
    </row>
    <row r="4850" spans="1:6" ht="13.2">
      <c r="A4850" t="s">
        <v>6099</v>
      </c>
      <c r="B4850">
        <v>0</v>
      </c>
      <c r="C4850" s="44" t="s">
        <v>200</v>
      </c>
      <c r="D4850" t="s">
        <v>291</v>
      </c>
      <c r="E4850" t="s">
        <v>257</v>
      </c>
      <c r="F4850">
        <v>4</v>
      </c>
    </row>
    <row r="4851" spans="1:6" ht="13.2">
      <c r="A4851" t="s">
        <v>6100</v>
      </c>
      <c r="B4851">
        <v>0</v>
      </c>
      <c r="C4851" s="44" t="s">
        <v>200</v>
      </c>
      <c r="D4851" t="s">
        <v>291</v>
      </c>
      <c r="E4851" t="s">
        <v>257</v>
      </c>
      <c r="F4851">
        <v>4</v>
      </c>
    </row>
    <row r="4852" spans="1:6" ht="13.2">
      <c r="A4852" t="s">
        <v>6101</v>
      </c>
      <c r="B4852">
        <v>0</v>
      </c>
      <c r="C4852" s="44" t="s">
        <v>200</v>
      </c>
      <c r="D4852" t="s">
        <v>291</v>
      </c>
      <c r="E4852" t="s">
        <v>257</v>
      </c>
      <c r="F4852">
        <v>4</v>
      </c>
    </row>
    <row r="4853" spans="1:6" ht="13.2">
      <c r="A4853" t="s">
        <v>6102</v>
      </c>
      <c r="B4853">
        <v>0</v>
      </c>
      <c r="C4853" s="44" t="s">
        <v>200</v>
      </c>
      <c r="D4853" t="s">
        <v>291</v>
      </c>
      <c r="E4853" t="s">
        <v>257</v>
      </c>
      <c r="F4853">
        <v>4</v>
      </c>
    </row>
    <row r="4854" spans="1:6" ht="13.2">
      <c r="A4854" t="s">
        <v>6103</v>
      </c>
      <c r="B4854">
        <v>0</v>
      </c>
      <c r="C4854" s="44" t="s">
        <v>200</v>
      </c>
      <c r="D4854" t="s">
        <v>291</v>
      </c>
      <c r="E4854" t="s">
        <v>257</v>
      </c>
      <c r="F4854">
        <v>4</v>
      </c>
    </row>
    <row r="4855" spans="1:6" ht="13.2">
      <c r="A4855" t="s">
        <v>6104</v>
      </c>
      <c r="B4855">
        <v>0</v>
      </c>
      <c r="C4855" s="44" t="s">
        <v>200</v>
      </c>
      <c r="D4855" t="s">
        <v>291</v>
      </c>
      <c r="E4855" t="s">
        <v>257</v>
      </c>
      <c r="F4855">
        <v>4</v>
      </c>
    </row>
    <row r="4856" spans="1:6" ht="13.2">
      <c r="A4856" t="s">
        <v>6105</v>
      </c>
      <c r="B4856">
        <v>0</v>
      </c>
      <c r="C4856" s="44" t="s">
        <v>200</v>
      </c>
      <c r="D4856" t="s">
        <v>291</v>
      </c>
      <c r="E4856" t="s">
        <v>257</v>
      </c>
      <c r="F4856">
        <v>4</v>
      </c>
    </row>
    <row r="4857" spans="1:6" ht="13.2">
      <c r="A4857" t="s">
        <v>6106</v>
      </c>
      <c r="B4857">
        <v>0</v>
      </c>
      <c r="C4857" s="44" t="s">
        <v>200</v>
      </c>
      <c r="D4857" t="s">
        <v>291</v>
      </c>
      <c r="E4857" t="s">
        <v>257</v>
      </c>
      <c r="F4857">
        <v>4</v>
      </c>
    </row>
    <row r="4858" spans="1:6" ht="13.2">
      <c r="A4858" t="s">
        <v>6107</v>
      </c>
      <c r="B4858">
        <v>0</v>
      </c>
      <c r="C4858" s="44" t="s">
        <v>200</v>
      </c>
      <c r="D4858" t="s">
        <v>291</v>
      </c>
      <c r="E4858" t="s">
        <v>257</v>
      </c>
      <c r="F4858">
        <v>4</v>
      </c>
    </row>
    <row r="4859" spans="1:6" ht="13.2">
      <c r="A4859" t="s">
        <v>6108</v>
      </c>
      <c r="B4859">
        <v>0</v>
      </c>
      <c r="C4859" s="44" t="s">
        <v>200</v>
      </c>
      <c r="D4859" t="s">
        <v>291</v>
      </c>
      <c r="E4859" t="s">
        <v>257</v>
      </c>
      <c r="F4859">
        <v>4</v>
      </c>
    </row>
    <row r="4860" spans="1:6" ht="13.2">
      <c r="A4860" t="s">
        <v>6109</v>
      </c>
      <c r="B4860">
        <v>0</v>
      </c>
      <c r="C4860" s="44" t="s">
        <v>200</v>
      </c>
      <c r="D4860" t="s">
        <v>291</v>
      </c>
      <c r="E4860" t="s">
        <v>257</v>
      </c>
      <c r="F4860">
        <v>4</v>
      </c>
    </row>
    <row r="4861" spans="1:6" ht="13.2">
      <c r="A4861" t="s">
        <v>6110</v>
      </c>
      <c r="B4861">
        <v>0</v>
      </c>
      <c r="C4861" s="44" t="s">
        <v>200</v>
      </c>
      <c r="D4861" t="s">
        <v>291</v>
      </c>
      <c r="E4861" t="s">
        <v>257</v>
      </c>
      <c r="F4861">
        <v>4</v>
      </c>
    </row>
    <row r="4862" spans="1:6" ht="13.2">
      <c r="A4862" t="s">
        <v>6111</v>
      </c>
      <c r="B4862">
        <v>0</v>
      </c>
      <c r="C4862" s="44" t="s">
        <v>200</v>
      </c>
      <c r="D4862" t="s">
        <v>291</v>
      </c>
      <c r="E4862" t="s">
        <v>257</v>
      </c>
      <c r="F4862">
        <v>4</v>
      </c>
    </row>
    <row r="4863" spans="1:6" ht="13.2">
      <c r="A4863" t="s">
        <v>6112</v>
      </c>
      <c r="B4863">
        <v>0</v>
      </c>
      <c r="C4863" s="44" t="s">
        <v>200</v>
      </c>
      <c r="D4863" t="s">
        <v>291</v>
      </c>
      <c r="E4863" t="s">
        <v>257</v>
      </c>
      <c r="F4863">
        <v>4</v>
      </c>
    </row>
    <row r="4864" spans="1:6" ht="13.2">
      <c r="A4864" t="s">
        <v>6113</v>
      </c>
      <c r="B4864">
        <v>0</v>
      </c>
      <c r="C4864" s="44" t="s">
        <v>200</v>
      </c>
      <c r="D4864" t="s">
        <v>291</v>
      </c>
      <c r="E4864" t="s">
        <v>257</v>
      </c>
      <c r="F4864">
        <v>4</v>
      </c>
    </row>
    <row r="4865" spans="1:6" ht="13.2">
      <c r="A4865" t="s">
        <v>6114</v>
      </c>
      <c r="B4865">
        <v>0</v>
      </c>
      <c r="C4865" s="44" t="s">
        <v>200</v>
      </c>
      <c r="D4865" t="s">
        <v>291</v>
      </c>
      <c r="E4865" t="s">
        <v>257</v>
      </c>
      <c r="F4865">
        <v>4</v>
      </c>
    </row>
    <row r="4866" spans="1:6" ht="13.2">
      <c r="A4866" t="s">
        <v>6115</v>
      </c>
      <c r="B4866">
        <v>0</v>
      </c>
      <c r="C4866" s="44" t="s">
        <v>200</v>
      </c>
      <c r="D4866" t="s">
        <v>291</v>
      </c>
      <c r="E4866" t="s">
        <v>257</v>
      </c>
      <c r="F4866">
        <v>4</v>
      </c>
    </row>
    <row r="4867" spans="1:6" ht="13.2">
      <c r="A4867" t="s">
        <v>6116</v>
      </c>
      <c r="B4867">
        <v>0</v>
      </c>
      <c r="C4867" s="44" t="s">
        <v>200</v>
      </c>
      <c r="D4867" t="s">
        <v>291</v>
      </c>
      <c r="E4867" t="s">
        <v>257</v>
      </c>
      <c r="F4867">
        <v>4</v>
      </c>
    </row>
    <row r="4868" spans="1:5" ht="13.2">
      <c r="A4868" t="s">
        <v>5657</v>
      </c>
      <c r="B4868">
        <v>0</v>
      </c>
      <c r="C4868" s="44">
        <v>3040</v>
      </c>
      <c r="D4868" t="s">
        <v>293</v>
      </c>
      <c r="E4868" t="s">
        <v>5658</v>
      </c>
    </row>
    <row r="4869" spans="1:5" ht="13.2">
      <c r="A4869" t="s">
        <v>5659</v>
      </c>
      <c r="B4869">
        <v>0</v>
      </c>
      <c r="C4869" s="44">
        <v>3040</v>
      </c>
      <c r="D4869" t="s">
        <v>293</v>
      </c>
      <c r="E4869" t="s">
        <v>5658</v>
      </c>
    </row>
    <row r="4870" spans="1:5" ht="13.2">
      <c r="A4870" t="s">
        <v>5660</v>
      </c>
      <c r="B4870">
        <v>0</v>
      </c>
      <c r="C4870" s="44">
        <v>3040</v>
      </c>
      <c r="D4870" t="s">
        <v>293</v>
      </c>
      <c r="E4870" t="s">
        <v>5658</v>
      </c>
    </row>
    <row r="4871" spans="1:5" ht="13.2">
      <c r="A4871" t="s">
        <v>5661</v>
      </c>
      <c r="B4871">
        <v>0</v>
      </c>
      <c r="C4871" s="44">
        <v>3040</v>
      </c>
      <c r="D4871" t="s">
        <v>293</v>
      </c>
      <c r="E4871" t="s">
        <v>5658</v>
      </c>
    </row>
    <row r="4872" spans="1:5" ht="13.2">
      <c r="A4872" t="s">
        <v>5662</v>
      </c>
      <c r="B4872">
        <v>0</v>
      </c>
      <c r="C4872" s="44">
        <v>3040</v>
      </c>
      <c r="D4872" t="s">
        <v>293</v>
      </c>
      <c r="E4872" t="s">
        <v>5658</v>
      </c>
    </row>
    <row r="4873" spans="1:5" ht="13.2">
      <c r="A4873" t="s">
        <v>5663</v>
      </c>
      <c r="B4873">
        <v>0</v>
      </c>
      <c r="C4873" s="44">
        <v>3040</v>
      </c>
      <c r="D4873" t="s">
        <v>293</v>
      </c>
      <c r="E4873" t="s">
        <v>5658</v>
      </c>
    </row>
    <row r="4874" spans="1:5" ht="13.2">
      <c r="A4874" t="s">
        <v>5664</v>
      </c>
      <c r="B4874">
        <v>0</v>
      </c>
      <c r="C4874" s="44">
        <v>3040</v>
      </c>
      <c r="D4874" t="s">
        <v>293</v>
      </c>
      <c r="E4874" t="s">
        <v>5658</v>
      </c>
    </row>
    <row r="4875" spans="1:5" ht="13.2">
      <c r="A4875" t="s">
        <v>5666</v>
      </c>
      <c r="B4875">
        <v>0</v>
      </c>
      <c r="C4875" s="44">
        <v>3040</v>
      </c>
      <c r="D4875" t="s">
        <v>293</v>
      </c>
      <c r="E4875" t="s">
        <v>5658</v>
      </c>
    </row>
    <row r="4876" spans="1:5" ht="13.2">
      <c r="A4876" t="s">
        <v>5665</v>
      </c>
      <c r="B4876">
        <v>0</v>
      </c>
      <c r="C4876" s="44">
        <v>3040</v>
      </c>
      <c r="D4876" t="s">
        <v>293</v>
      </c>
      <c r="E4876" t="s">
        <v>5658</v>
      </c>
    </row>
    <row r="4877" spans="1:5" ht="13.2">
      <c r="A4877" t="s">
        <v>5667</v>
      </c>
      <c r="B4877">
        <v>0</v>
      </c>
      <c r="C4877" s="44">
        <v>3040</v>
      </c>
      <c r="D4877" t="s">
        <v>293</v>
      </c>
      <c r="E4877" t="s">
        <v>5658</v>
      </c>
    </row>
    <row r="4878" spans="1:5" ht="13.2">
      <c r="A4878" t="s">
        <v>5668</v>
      </c>
      <c r="B4878">
        <v>0</v>
      </c>
      <c r="C4878" s="44">
        <v>3040</v>
      </c>
      <c r="D4878" t="s">
        <v>293</v>
      </c>
      <c r="E4878" t="s">
        <v>5658</v>
      </c>
    </row>
    <row r="4879" spans="1:5" ht="13.2">
      <c r="A4879" t="s">
        <v>5669</v>
      </c>
      <c r="B4879">
        <v>0</v>
      </c>
      <c r="C4879" s="44">
        <v>3040</v>
      </c>
      <c r="D4879" t="s">
        <v>293</v>
      </c>
      <c r="E4879" t="s">
        <v>5658</v>
      </c>
    </row>
    <row r="4880" spans="1:5" ht="13.2">
      <c r="A4880" t="s">
        <v>5670</v>
      </c>
      <c r="B4880">
        <v>0</v>
      </c>
      <c r="C4880" s="44">
        <v>3040</v>
      </c>
      <c r="D4880" t="s">
        <v>293</v>
      </c>
      <c r="E4880" t="s">
        <v>5658</v>
      </c>
    </row>
    <row r="4881" spans="1:5" ht="13.2">
      <c r="A4881" t="s">
        <v>5671</v>
      </c>
      <c r="B4881">
        <v>0</v>
      </c>
      <c r="C4881" s="44">
        <v>3040</v>
      </c>
      <c r="D4881" t="s">
        <v>293</v>
      </c>
      <c r="E4881" t="s">
        <v>5658</v>
      </c>
    </row>
    <row r="4882" spans="1:5" ht="13.2">
      <c r="A4882" t="s">
        <v>5672</v>
      </c>
      <c r="B4882">
        <v>0</v>
      </c>
      <c r="C4882" s="44">
        <v>3040</v>
      </c>
      <c r="D4882" t="s">
        <v>293</v>
      </c>
      <c r="E4882" t="s">
        <v>5658</v>
      </c>
    </row>
    <row r="4883" spans="1:5" ht="13.2">
      <c r="A4883" t="s">
        <v>5245</v>
      </c>
      <c r="B4883">
        <v>0</v>
      </c>
      <c r="C4883" s="44">
        <v>3040</v>
      </c>
      <c r="D4883" t="s">
        <v>293</v>
      </c>
      <c r="E4883" t="s">
        <v>256</v>
      </c>
    </row>
    <row r="4884" spans="1:5" ht="13.2">
      <c r="A4884" t="s">
        <v>5246</v>
      </c>
      <c r="B4884">
        <v>0</v>
      </c>
      <c r="C4884" s="44">
        <v>3040</v>
      </c>
      <c r="D4884" t="s">
        <v>293</v>
      </c>
      <c r="E4884" t="s">
        <v>256</v>
      </c>
    </row>
    <row r="4885" spans="1:5" ht="13.2">
      <c r="A4885" t="s">
        <v>5247</v>
      </c>
      <c r="B4885">
        <v>0</v>
      </c>
      <c r="C4885" s="44">
        <v>3040</v>
      </c>
      <c r="D4885" t="s">
        <v>293</v>
      </c>
      <c r="E4885" t="s">
        <v>256</v>
      </c>
    </row>
    <row r="4886" spans="1:5" ht="13.2">
      <c r="A4886" t="s">
        <v>5248</v>
      </c>
      <c r="B4886">
        <v>0</v>
      </c>
      <c r="C4886" s="44">
        <v>3040</v>
      </c>
      <c r="D4886" t="s">
        <v>293</v>
      </c>
      <c r="E4886" t="s">
        <v>256</v>
      </c>
    </row>
    <row r="4887" spans="1:5" ht="13.2">
      <c r="A4887" t="s">
        <v>5249</v>
      </c>
      <c r="B4887">
        <v>0</v>
      </c>
      <c r="C4887" s="44">
        <v>3040</v>
      </c>
      <c r="D4887" t="s">
        <v>293</v>
      </c>
      <c r="E4887" t="s">
        <v>256</v>
      </c>
    </row>
    <row r="4888" spans="1:5" ht="13.2">
      <c r="A4888" t="s">
        <v>5250</v>
      </c>
      <c r="B4888">
        <v>0</v>
      </c>
      <c r="C4888" s="44">
        <v>3040</v>
      </c>
      <c r="D4888" t="s">
        <v>293</v>
      </c>
      <c r="E4888" t="s">
        <v>256</v>
      </c>
    </row>
    <row r="4889" spans="1:5" ht="13.2">
      <c r="A4889" t="s">
        <v>5251</v>
      </c>
      <c r="B4889">
        <v>0</v>
      </c>
      <c r="C4889" s="44">
        <v>3040</v>
      </c>
      <c r="D4889" t="s">
        <v>293</v>
      </c>
      <c r="E4889" t="s">
        <v>256</v>
      </c>
    </row>
    <row r="4890" spans="1:5" ht="13.2">
      <c r="A4890" t="s">
        <v>5252</v>
      </c>
      <c r="B4890">
        <v>0</v>
      </c>
      <c r="C4890" s="44">
        <v>3040</v>
      </c>
      <c r="D4890" t="s">
        <v>293</v>
      </c>
      <c r="E4890" t="s">
        <v>256</v>
      </c>
    </row>
    <row r="4891" spans="1:5" ht="13.2">
      <c r="A4891" t="s">
        <v>5253</v>
      </c>
      <c r="B4891">
        <v>0</v>
      </c>
      <c r="C4891" s="44">
        <v>3040</v>
      </c>
      <c r="D4891" t="s">
        <v>293</v>
      </c>
      <c r="E4891" t="s">
        <v>256</v>
      </c>
    </row>
    <row r="4892" spans="1:5" ht="13.2">
      <c r="A4892" t="s">
        <v>5254</v>
      </c>
      <c r="B4892">
        <v>0</v>
      </c>
      <c r="C4892" s="44">
        <v>3040</v>
      </c>
      <c r="D4892" t="s">
        <v>293</v>
      </c>
      <c r="E4892" t="s">
        <v>256</v>
      </c>
    </row>
    <row r="4893" spans="1:5" ht="13.2">
      <c r="A4893" t="s">
        <v>5255</v>
      </c>
      <c r="B4893">
        <v>0</v>
      </c>
      <c r="C4893" s="44">
        <v>3040</v>
      </c>
      <c r="D4893" t="s">
        <v>293</v>
      </c>
      <c r="E4893" t="s">
        <v>256</v>
      </c>
    </row>
    <row r="4894" spans="1:5" ht="13.2">
      <c r="A4894" t="s">
        <v>5256</v>
      </c>
      <c r="B4894">
        <v>0</v>
      </c>
      <c r="C4894" s="44">
        <v>3040</v>
      </c>
      <c r="D4894" t="s">
        <v>293</v>
      </c>
      <c r="E4894" t="s">
        <v>256</v>
      </c>
    </row>
    <row r="4895" spans="1:5" ht="13.2">
      <c r="A4895" t="s">
        <v>5257</v>
      </c>
      <c r="B4895">
        <v>0</v>
      </c>
      <c r="C4895" s="44">
        <v>3040</v>
      </c>
      <c r="D4895" t="s">
        <v>293</v>
      </c>
      <c r="E4895" t="s">
        <v>256</v>
      </c>
    </row>
    <row r="4896" spans="1:5" ht="13.2">
      <c r="A4896" t="s">
        <v>5258</v>
      </c>
      <c r="B4896">
        <v>0</v>
      </c>
      <c r="C4896" s="44">
        <v>3040</v>
      </c>
      <c r="D4896" t="s">
        <v>293</v>
      </c>
      <c r="E4896" t="s">
        <v>256</v>
      </c>
    </row>
    <row r="4897" spans="1:5" ht="13.2">
      <c r="A4897" t="s">
        <v>5259</v>
      </c>
      <c r="B4897">
        <v>0</v>
      </c>
      <c r="C4897" s="44">
        <v>3040</v>
      </c>
      <c r="D4897" t="s">
        <v>293</v>
      </c>
      <c r="E4897" t="s">
        <v>256</v>
      </c>
    </row>
    <row r="4898" spans="1:6" ht="13.2">
      <c r="A4898" t="s">
        <v>3084</v>
      </c>
      <c r="B4898">
        <v>380</v>
      </c>
      <c r="C4898" s="44">
        <v>1400</v>
      </c>
      <c r="D4898" t="s">
        <v>291</v>
      </c>
      <c r="E4898" t="s">
        <v>657</v>
      </c>
      <c r="F4898">
        <v>14</v>
      </c>
    </row>
    <row r="4899" spans="1:6" ht="13.2">
      <c r="A4899" t="s">
        <v>3085</v>
      </c>
      <c r="B4899">
        <v>380</v>
      </c>
      <c r="C4899" s="44">
        <v>1400</v>
      </c>
      <c r="D4899" t="s">
        <v>291</v>
      </c>
      <c r="E4899" t="s">
        <v>657</v>
      </c>
      <c r="F4899">
        <v>14</v>
      </c>
    </row>
    <row r="4900" spans="1:6" ht="13.2">
      <c r="A4900" t="s">
        <v>3088</v>
      </c>
      <c r="B4900">
        <v>380</v>
      </c>
      <c r="C4900" s="44">
        <v>1400</v>
      </c>
      <c r="D4900" t="s">
        <v>291</v>
      </c>
      <c r="E4900" t="s">
        <v>657</v>
      </c>
      <c r="F4900">
        <v>14</v>
      </c>
    </row>
    <row r="4901" spans="1:6" ht="13.2">
      <c r="A4901" t="s">
        <v>3086</v>
      </c>
      <c r="B4901">
        <v>380</v>
      </c>
      <c r="C4901" s="44">
        <v>1400</v>
      </c>
      <c r="D4901" t="s">
        <v>291</v>
      </c>
      <c r="E4901" t="s">
        <v>657</v>
      </c>
      <c r="F4901">
        <v>14</v>
      </c>
    </row>
    <row r="4902" spans="1:6" ht="13.2">
      <c r="A4902" t="s">
        <v>3083</v>
      </c>
      <c r="B4902">
        <v>380</v>
      </c>
      <c r="C4902" s="44">
        <v>1400</v>
      </c>
      <c r="D4902" t="s">
        <v>291</v>
      </c>
      <c r="E4902" t="s">
        <v>657</v>
      </c>
      <c r="F4902">
        <v>14</v>
      </c>
    </row>
    <row r="4903" spans="1:6" ht="13.2">
      <c r="A4903" t="s">
        <v>3089</v>
      </c>
      <c r="B4903">
        <v>380</v>
      </c>
      <c r="C4903" s="44">
        <v>1400</v>
      </c>
      <c r="D4903" t="s">
        <v>291</v>
      </c>
      <c r="E4903" t="s">
        <v>657</v>
      </c>
      <c r="F4903">
        <v>14</v>
      </c>
    </row>
    <row r="4904" spans="1:6" ht="13.2">
      <c r="A4904" t="s">
        <v>3087</v>
      </c>
      <c r="B4904">
        <v>380</v>
      </c>
      <c r="C4904" s="44">
        <v>1400</v>
      </c>
      <c r="D4904" t="s">
        <v>291</v>
      </c>
      <c r="E4904" t="s">
        <v>657</v>
      </c>
      <c r="F4904">
        <v>14</v>
      </c>
    </row>
    <row r="4905" spans="1:6" ht="13.2">
      <c r="A4905" t="s">
        <v>3090</v>
      </c>
      <c r="B4905">
        <v>380</v>
      </c>
      <c r="C4905" s="44">
        <v>1400</v>
      </c>
      <c r="D4905" t="s">
        <v>291</v>
      </c>
      <c r="E4905" t="s">
        <v>657</v>
      </c>
      <c r="F4905">
        <v>14</v>
      </c>
    </row>
    <row r="4906" spans="1:6" ht="13.2">
      <c r="A4906" t="s">
        <v>3047</v>
      </c>
      <c r="B4906">
        <v>695</v>
      </c>
      <c r="C4906" s="44">
        <v>1380</v>
      </c>
      <c r="D4906" t="s">
        <v>291</v>
      </c>
      <c r="E4906" t="s">
        <v>577</v>
      </c>
      <c r="F4906" t="s">
        <v>622</v>
      </c>
    </row>
    <row r="4907" spans="1:6" ht="13.2">
      <c r="A4907" t="s">
        <v>3046</v>
      </c>
      <c r="B4907">
        <v>695</v>
      </c>
      <c r="C4907" s="44">
        <v>1380</v>
      </c>
      <c r="D4907" t="s">
        <v>291</v>
      </c>
      <c r="E4907" t="s">
        <v>577</v>
      </c>
      <c r="F4907" t="s">
        <v>622</v>
      </c>
    </row>
    <row r="4908" spans="1:6" ht="13.2">
      <c r="A4908" t="s">
        <v>3048</v>
      </c>
      <c r="B4908">
        <v>695</v>
      </c>
      <c r="C4908" s="44">
        <v>1380</v>
      </c>
      <c r="D4908" t="s">
        <v>291</v>
      </c>
      <c r="E4908" t="s">
        <v>577</v>
      </c>
      <c r="F4908" t="s">
        <v>622</v>
      </c>
    </row>
    <row r="4909" spans="1:6" ht="13.2">
      <c r="A4909" t="s">
        <v>1355</v>
      </c>
      <c r="B4909">
        <v>0</v>
      </c>
      <c r="C4909" s="44">
        <v>3000</v>
      </c>
      <c r="D4909" t="s">
        <v>293</v>
      </c>
      <c r="E4909" t="s">
        <v>364</v>
      </c>
      <c r="F4909">
        <v>3</v>
      </c>
    </row>
    <row r="4910" spans="1:6" ht="13.2">
      <c r="A4910" t="s">
        <v>1356</v>
      </c>
      <c r="B4910">
        <v>0</v>
      </c>
      <c r="C4910" s="44">
        <v>3000</v>
      </c>
      <c r="D4910" t="s">
        <v>293</v>
      </c>
      <c r="E4910" t="s">
        <v>364</v>
      </c>
      <c r="F4910">
        <v>3</v>
      </c>
    </row>
    <row r="4911" spans="1:6" ht="13.2">
      <c r="A4911" t="s">
        <v>1357</v>
      </c>
      <c r="B4911">
        <v>0</v>
      </c>
      <c r="C4911" s="44">
        <v>3000</v>
      </c>
      <c r="D4911" t="s">
        <v>293</v>
      </c>
      <c r="E4911" t="s">
        <v>364</v>
      </c>
      <c r="F4911">
        <v>3</v>
      </c>
    </row>
    <row r="4912" spans="1:6" ht="13.2">
      <c r="A4912" t="s">
        <v>1358</v>
      </c>
      <c r="B4912">
        <v>0</v>
      </c>
      <c r="C4912" s="44">
        <v>3000</v>
      </c>
      <c r="D4912" t="s">
        <v>293</v>
      </c>
      <c r="E4912" t="s">
        <v>364</v>
      </c>
      <c r="F4912">
        <v>3</v>
      </c>
    </row>
    <row r="4913" spans="1:6" ht="13.2">
      <c r="A4913" t="s">
        <v>1359</v>
      </c>
      <c r="B4913">
        <v>0</v>
      </c>
      <c r="C4913" s="44">
        <v>3000</v>
      </c>
      <c r="D4913" t="s">
        <v>293</v>
      </c>
      <c r="E4913" t="s">
        <v>364</v>
      </c>
      <c r="F4913">
        <v>3</v>
      </c>
    </row>
    <row r="4914" spans="1:6" ht="13.2">
      <c r="A4914" t="s">
        <v>1360</v>
      </c>
      <c r="B4914">
        <v>0</v>
      </c>
      <c r="C4914" s="44">
        <v>3000</v>
      </c>
      <c r="D4914" t="s">
        <v>293</v>
      </c>
      <c r="E4914" t="s">
        <v>364</v>
      </c>
      <c r="F4914">
        <v>3</v>
      </c>
    </row>
    <row r="4915" spans="1:6" ht="13.2">
      <c r="A4915" t="s">
        <v>1361</v>
      </c>
      <c r="B4915">
        <v>0</v>
      </c>
      <c r="C4915" s="44">
        <v>3000</v>
      </c>
      <c r="D4915" t="s">
        <v>293</v>
      </c>
      <c r="E4915" t="s">
        <v>364</v>
      </c>
      <c r="F4915">
        <v>3</v>
      </c>
    </row>
    <row r="4916" spans="1:6" ht="13.2">
      <c r="A4916" t="s">
        <v>1362</v>
      </c>
      <c r="B4916">
        <v>0</v>
      </c>
      <c r="C4916" s="44">
        <v>3000</v>
      </c>
      <c r="D4916" t="s">
        <v>293</v>
      </c>
      <c r="E4916" t="s">
        <v>364</v>
      </c>
      <c r="F4916">
        <v>3</v>
      </c>
    </row>
    <row r="4917" spans="1:6" ht="13.2">
      <c r="A4917" t="s">
        <v>1363</v>
      </c>
      <c r="B4917">
        <v>0</v>
      </c>
      <c r="C4917" s="44">
        <v>3000</v>
      </c>
      <c r="D4917" t="s">
        <v>293</v>
      </c>
      <c r="E4917" t="s">
        <v>364</v>
      </c>
      <c r="F4917">
        <v>3</v>
      </c>
    </row>
    <row r="4918" spans="1:6" ht="13.2">
      <c r="A4918" t="s">
        <v>1364</v>
      </c>
      <c r="B4918">
        <v>0</v>
      </c>
      <c r="C4918" s="44">
        <v>3000</v>
      </c>
      <c r="D4918" t="s">
        <v>293</v>
      </c>
      <c r="E4918" t="s">
        <v>364</v>
      </c>
      <c r="F4918">
        <v>3</v>
      </c>
    </row>
    <row r="4919" spans="1:6" ht="13.2">
      <c r="A4919" t="s">
        <v>1365</v>
      </c>
      <c r="B4919">
        <v>0</v>
      </c>
      <c r="C4919" s="44">
        <v>3000</v>
      </c>
      <c r="D4919" t="s">
        <v>293</v>
      </c>
      <c r="E4919" t="s">
        <v>364</v>
      </c>
      <c r="F4919">
        <v>3</v>
      </c>
    </row>
    <row r="4920" spans="1:6" ht="13.2">
      <c r="A4920" t="s">
        <v>1366</v>
      </c>
      <c r="B4920">
        <v>0</v>
      </c>
      <c r="C4920" s="44">
        <v>3000</v>
      </c>
      <c r="D4920" t="s">
        <v>293</v>
      </c>
      <c r="E4920" t="s">
        <v>364</v>
      </c>
      <c r="F4920">
        <v>3</v>
      </c>
    </row>
    <row r="4921" spans="1:6" ht="13.2">
      <c r="A4921" t="s">
        <v>1367</v>
      </c>
      <c r="B4921">
        <v>0</v>
      </c>
      <c r="C4921" s="44">
        <v>3000</v>
      </c>
      <c r="D4921" t="s">
        <v>293</v>
      </c>
      <c r="E4921" t="s">
        <v>364</v>
      </c>
      <c r="F4921">
        <v>3</v>
      </c>
    </row>
    <row r="4922" spans="1:6" ht="13.2">
      <c r="A4922" t="s">
        <v>1368</v>
      </c>
      <c r="B4922">
        <v>0</v>
      </c>
      <c r="C4922" s="44">
        <v>3000</v>
      </c>
      <c r="D4922" t="s">
        <v>293</v>
      </c>
      <c r="E4922" t="s">
        <v>364</v>
      </c>
      <c r="F4922">
        <v>3</v>
      </c>
    </row>
    <row r="4923" spans="1:6" ht="13.2">
      <c r="A4923" t="s">
        <v>1369</v>
      </c>
      <c r="B4923">
        <v>0</v>
      </c>
      <c r="C4923" s="44">
        <v>3000</v>
      </c>
      <c r="D4923" t="s">
        <v>293</v>
      </c>
      <c r="E4923" t="s">
        <v>364</v>
      </c>
      <c r="F4923">
        <v>3</v>
      </c>
    </row>
    <row r="4924" spans="1:6" ht="13.2">
      <c r="A4924" t="s">
        <v>1370</v>
      </c>
      <c r="B4924">
        <v>0</v>
      </c>
      <c r="C4924" s="44">
        <v>3000</v>
      </c>
      <c r="D4924" t="s">
        <v>293</v>
      </c>
      <c r="E4924" t="s">
        <v>364</v>
      </c>
      <c r="F4924">
        <v>3</v>
      </c>
    </row>
    <row r="4925" spans="1:6" ht="13.2">
      <c r="A4925" t="s">
        <v>1371</v>
      </c>
      <c r="B4925">
        <v>0</v>
      </c>
      <c r="C4925" s="44">
        <v>3000</v>
      </c>
      <c r="D4925" t="s">
        <v>293</v>
      </c>
      <c r="E4925" t="s">
        <v>364</v>
      </c>
      <c r="F4925">
        <v>3</v>
      </c>
    </row>
    <row r="4926" spans="1:6" ht="13.2">
      <c r="A4926" t="s">
        <v>1372</v>
      </c>
      <c r="B4926">
        <v>0</v>
      </c>
      <c r="C4926" s="44">
        <v>3000</v>
      </c>
      <c r="D4926" t="s">
        <v>293</v>
      </c>
      <c r="E4926" t="s">
        <v>364</v>
      </c>
      <c r="F4926">
        <v>3</v>
      </c>
    </row>
    <row r="4927" spans="1:6" ht="13.2">
      <c r="A4927" t="s">
        <v>1373</v>
      </c>
      <c r="B4927">
        <v>0</v>
      </c>
      <c r="C4927" s="44">
        <v>3000</v>
      </c>
      <c r="D4927" t="s">
        <v>293</v>
      </c>
      <c r="E4927" t="s">
        <v>364</v>
      </c>
      <c r="F4927">
        <v>3</v>
      </c>
    </row>
    <row r="4928" spans="1:6" ht="13.2">
      <c r="A4928" t="s">
        <v>1374</v>
      </c>
      <c r="B4928">
        <v>0</v>
      </c>
      <c r="C4928" s="44">
        <v>3000</v>
      </c>
      <c r="D4928" t="s">
        <v>293</v>
      </c>
      <c r="E4928" t="s">
        <v>364</v>
      </c>
      <c r="F4928">
        <v>3</v>
      </c>
    </row>
    <row r="4929" spans="1:6" ht="13.2">
      <c r="A4929" t="s">
        <v>1375</v>
      </c>
      <c r="B4929">
        <v>0</v>
      </c>
      <c r="C4929" s="44">
        <v>3000</v>
      </c>
      <c r="D4929" t="s">
        <v>293</v>
      </c>
      <c r="E4929" t="s">
        <v>364</v>
      </c>
      <c r="F4929">
        <v>3</v>
      </c>
    </row>
    <row r="4930" spans="1:6" ht="13.2">
      <c r="A4930" t="s">
        <v>1376</v>
      </c>
      <c r="B4930">
        <v>0</v>
      </c>
      <c r="C4930" s="44">
        <v>3000</v>
      </c>
      <c r="D4930" t="s">
        <v>293</v>
      </c>
      <c r="E4930" t="s">
        <v>364</v>
      </c>
      <c r="F4930">
        <v>3</v>
      </c>
    </row>
    <row r="4931" spans="1:6" ht="13.2">
      <c r="A4931" t="s">
        <v>1377</v>
      </c>
      <c r="B4931">
        <v>0</v>
      </c>
      <c r="C4931" s="44">
        <v>3000</v>
      </c>
      <c r="D4931" t="s">
        <v>293</v>
      </c>
      <c r="E4931" t="s">
        <v>364</v>
      </c>
      <c r="F4931">
        <v>3</v>
      </c>
    </row>
    <row r="4932" spans="1:6" ht="13.2">
      <c r="A4932" t="s">
        <v>1378</v>
      </c>
      <c r="B4932">
        <v>0</v>
      </c>
      <c r="C4932" s="44">
        <v>3000</v>
      </c>
      <c r="D4932" t="s">
        <v>293</v>
      </c>
      <c r="E4932" t="s">
        <v>364</v>
      </c>
      <c r="F4932">
        <v>3</v>
      </c>
    </row>
    <row r="4933" spans="1:6" ht="13.2">
      <c r="A4933" t="s">
        <v>2805</v>
      </c>
      <c r="B4933">
        <v>0</v>
      </c>
      <c r="C4933" s="44">
        <v>1380</v>
      </c>
      <c r="D4933" t="s">
        <v>291</v>
      </c>
      <c r="E4933" t="s">
        <v>576</v>
      </c>
      <c r="F4933">
        <v>4</v>
      </c>
    </row>
    <row r="4934" spans="1:6" ht="13.2">
      <c r="A4934" t="s">
        <v>2806</v>
      </c>
      <c r="B4934">
        <v>0</v>
      </c>
      <c r="C4934" s="44">
        <v>1380</v>
      </c>
      <c r="D4934" t="s">
        <v>291</v>
      </c>
      <c r="E4934" t="s">
        <v>576</v>
      </c>
      <c r="F4934">
        <v>4</v>
      </c>
    </row>
    <row r="4935" spans="1:6" ht="13.2">
      <c r="A4935" t="s">
        <v>2807</v>
      </c>
      <c r="B4935">
        <v>0</v>
      </c>
      <c r="C4935" s="44">
        <v>1380</v>
      </c>
      <c r="D4935" t="s">
        <v>291</v>
      </c>
      <c r="E4935" t="s">
        <v>576</v>
      </c>
      <c r="F4935">
        <v>4</v>
      </c>
    </row>
    <row r="4936" spans="1:6" ht="13.2">
      <c r="A4936" t="s">
        <v>2808</v>
      </c>
      <c r="B4936">
        <v>0</v>
      </c>
      <c r="C4936" s="44">
        <v>1380</v>
      </c>
      <c r="D4936" t="s">
        <v>291</v>
      </c>
      <c r="E4936" t="s">
        <v>576</v>
      </c>
      <c r="F4936">
        <v>4</v>
      </c>
    </row>
    <row r="4937" spans="1:6" ht="13.2">
      <c r="A4937" t="s">
        <v>2809</v>
      </c>
      <c r="B4937">
        <v>0</v>
      </c>
      <c r="C4937" s="44">
        <v>1380</v>
      </c>
      <c r="D4937" t="s">
        <v>291</v>
      </c>
      <c r="E4937" t="s">
        <v>576</v>
      </c>
      <c r="F4937">
        <v>4</v>
      </c>
    </row>
    <row r="4938" spans="1:6" ht="13.2">
      <c r="A4938" t="s">
        <v>2810</v>
      </c>
      <c r="B4938">
        <v>0</v>
      </c>
      <c r="C4938" s="44">
        <v>1380</v>
      </c>
      <c r="D4938" t="s">
        <v>291</v>
      </c>
      <c r="E4938" t="s">
        <v>576</v>
      </c>
      <c r="F4938">
        <v>4</v>
      </c>
    </row>
    <row r="4939" spans="1:6" ht="13.2">
      <c r="A4939" t="s">
        <v>2811</v>
      </c>
      <c r="B4939">
        <v>0</v>
      </c>
      <c r="C4939" s="44">
        <v>1380</v>
      </c>
      <c r="D4939" t="s">
        <v>291</v>
      </c>
      <c r="E4939" t="s">
        <v>576</v>
      </c>
      <c r="F4939">
        <v>4</v>
      </c>
    </row>
    <row r="4940" spans="1:6" ht="13.2">
      <c r="A4940" t="s">
        <v>2812</v>
      </c>
      <c r="B4940">
        <v>0</v>
      </c>
      <c r="C4940" s="44">
        <v>1380</v>
      </c>
      <c r="D4940" t="s">
        <v>291</v>
      </c>
      <c r="E4940" t="s">
        <v>576</v>
      </c>
      <c r="F4940">
        <v>4</v>
      </c>
    </row>
    <row r="4941" spans="1:6" ht="13.2">
      <c r="A4941" t="s">
        <v>2813</v>
      </c>
      <c r="B4941">
        <v>0</v>
      </c>
      <c r="C4941" s="44">
        <v>1380</v>
      </c>
      <c r="D4941" t="s">
        <v>291</v>
      </c>
      <c r="E4941" t="s">
        <v>576</v>
      </c>
      <c r="F4941">
        <v>4</v>
      </c>
    </row>
    <row r="4942" spans="1:6" ht="13.2">
      <c r="A4942" t="s">
        <v>2814</v>
      </c>
      <c r="B4942">
        <v>0</v>
      </c>
      <c r="C4942" s="44">
        <v>1380</v>
      </c>
      <c r="D4942" t="s">
        <v>291</v>
      </c>
      <c r="E4942" t="s">
        <v>576</v>
      </c>
      <c r="F4942">
        <v>4</v>
      </c>
    </row>
    <row r="4943" spans="1:6" ht="13.2">
      <c r="A4943" t="s">
        <v>2815</v>
      </c>
      <c r="B4943">
        <v>0</v>
      </c>
      <c r="C4943" s="44">
        <v>1380</v>
      </c>
      <c r="D4943" t="s">
        <v>291</v>
      </c>
      <c r="E4943" t="s">
        <v>576</v>
      </c>
      <c r="F4943">
        <v>4</v>
      </c>
    </row>
    <row r="4944" spans="1:6" ht="13.2">
      <c r="A4944" t="s">
        <v>2816</v>
      </c>
      <c r="B4944">
        <v>0</v>
      </c>
      <c r="C4944" s="44">
        <v>1380</v>
      </c>
      <c r="D4944" t="s">
        <v>291</v>
      </c>
      <c r="E4944" t="s">
        <v>576</v>
      </c>
      <c r="F4944">
        <v>4</v>
      </c>
    </row>
    <row r="4945" spans="1:6" ht="13.2">
      <c r="A4945" t="s">
        <v>2817</v>
      </c>
      <c r="B4945">
        <v>0</v>
      </c>
      <c r="C4945" s="44">
        <v>1380</v>
      </c>
      <c r="D4945" t="s">
        <v>291</v>
      </c>
      <c r="E4945" t="s">
        <v>576</v>
      </c>
      <c r="F4945">
        <v>4</v>
      </c>
    </row>
    <row r="4946" spans="1:6" ht="13.2">
      <c r="A4946" t="s">
        <v>2818</v>
      </c>
      <c r="B4946">
        <v>0</v>
      </c>
      <c r="C4946" s="44">
        <v>1380</v>
      </c>
      <c r="D4946" t="s">
        <v>291</v>
      </c>
      <c r="E4946" t="s">
        <v>576</v>
      </c>
      <c r="F4946">
        <v>4</v>
      </c>
    </row>
    <row r="4947" spans="1:6" ht="13.2">
      <c r="A4947" t="s">
        <v>2819</v>
      </c>
      <c r="B4947">
        <v>0</v>
      </c>
      <c r="C4947" s="44">
        <v>1380</v>
      </c>
      <c r="D4947" t="s">
        <v>291</v>
      </c>
      <c r="E4947" t="s">
        <v>576</v>
      </c>
      <c r="F4947">
        <v>4</v>
      </c>
    </row>
    <row r="4948" spans="1:6" ht="13.2">
      <c r="A4948" t="s">
        <v>2820</v>
      </c>
      <c r="B4948">
        <v>0</v>
      </c>
      <c r="C4948" s="44">
        <v>1380</v>
      </c>
      <c r="D4948" t="s">
        <v>291</v>
      </c>
      <c r="E4948" t="s">
        <v>576</v>
      </c>
      <c r="F4948">
        <v>4</v>
      </c>
    </row>
    <row r="4949" spans="1:6" ht="13.2">
      <c r="A4949" t="s">
        <v>2821</v>
      </c>
      <c r="B4949">
        <v>0</v>
      </c>
      <c r="C4949" s="44">
        <v>1380</v>
      </c>
      <c r="D4949" t="s">
        <v>291</v>
      </c>
      <c r="E4949" t="s">
        <v>576</v>
      </c>
      <c r="F4949">
        <v>4</v>
      </c>
    </row>
    <row r="4950" spans="1:6" ht="13.2">
      <c r="A4950" t="s">
        <v>2822</v>
      </c>
      <c r="B4950">
        <v>0</v>
      </c>
      <c r="C4950" s="44">
        <v>1380</v>
      </c>
      <c r="D4950" t="s">
        <v>291</v>
      </c>
      <c r="E4950" t="s">
        <v>576</v>
      </c>
      <c r="F4950">
        <v>4</v>
      </c>
    </row>
    <row r="4951" spans="1:6" ht="13.2">
      <c r="A4951" t="s">
        <v>2823</v>
      </c>
      <c r="B4951">
        <v>0</v>
      </c>
      <c r="C4951" s="44">
        <v>1380</v>
      </c>
      <c r="D4951" t="s">
        <v>291</v>
      </c>
      <c r="E4951" t="s">
        <v>576</v>
      </c>
      <c r="F4951">
        <v>4</v>
      </c>
    </row>
    <row r="4952" spans="1:6" ht="13.2">
      <c r="A4952" t="s">
        <v>2824</v>
      </c>
      <c r="B4952">
        <v>0</v>
      </c>
      <c r="C4952" s="44">
        <v>1380</v>
      </c>
      <c r="D4952" t="s">
        <v>291</v>
      </c>
      <c r="E4952" t="s">
        <v>576</v>
      </c>
      <c r="F4952">
        <v>4</v>
      </c>
    </row>
    <row r="4953" spans="1:6" ht="13.2">
      <c r="A4953" t="s">
        <v>2825</v>
      </c>
      <c r="B4953">
        <v>0</v>
      </c>
      <c r="C4953" s="44">
        <v>1380</v>
      </c>
      <c r="D4953" t="s">
        <v>291</v>
      </c>
      <c r="E4953" t="s">
        <v>576</v>
      </c>
      <c r="F4953">
        <v>4</v>
      </c>
    </row>
    <row r="4954" spans="1:6" ht="13.2">
      <c r="A4954" t="s">
        <v>2826</v>
      </c>
      <c r="B4954">
        <v>0</v>
      </c>
      <c r="C4954" s="44">
        <v>1380</v>
      </c>
      <c r="D4954" t="s">
        <v>291</v>
      </c>
      <c r="E4954" t="s">
        <v>576</v>
      </c>
      <c r="F4954">
        <v>4</v>
      </c>
    </row>
    <row r="4955" spans="1:6" ht="13.2">
      <c r="A4955" t="s">
        <v>2827</v>
      </c>
      <c r="B4955">
        <v>0</v>
      </c>
      <c r="C4955" s="44">
        <v>1380</v>
      </c>
      <c r="D4955" t="s">
        <v>291</v>
      </c>
      <c r="E4955" t="s">
        <v>576</v>
      </c>
      <c r="F4955">
        <v>4</v>
      </c>
    </row>
    <row r="4956" spans="1:6" ht="13.2">
      <c r="A4956" t="s">
        <v>2828</v>
      </c>
      <c r="B4956">
        <v>0</v>
      </c>
      <c r="C4956" s="44">
        <v>1380</v>
      </c>
      <c r="D4956" t="s">
        <v>291</v>
      </c>
      <c r="E4956" t="s">
        <v>576</v>
      </c>
      <c r="F4956">
        <v>4</v>
      </c>
    </row>
    <row r="4957" spans="1:6" ht="13.2">
      <c r="A4957" t="s">
        <v>2829</v>
      </c>
      <c r="B4957">
        <v>0</v>
      </c>
      <c r="C4957" s="44">
        <v>1380</v>
      </c>
      <c r="D4957" t="s">
        <v>291</v>
      </c>
      <c r="E4957" t="s">
        <v>576</v>
      </c>
      <c r="F4957">
        <v>4</v>
      </c>
    </row>
    <row r="4958" spans="1:6" ht="13.2">
      <c r="A4958" t="s">
        <v>2830</v>
      </c>
      <c r="B4958">
        <v>0</v>
      </c>
      <c r="C4958" s="44">
        <v>1380</v>
      </c>
      <c r="D4958" t="s">
        <v>291</v>
      </c>
      <c r="E4958" t="s">
        <v>576</v>
      </c>
      <c r="F4958">
        <v>4</v>
      </c>
    </row>
    <row r="4959" spans="1:6" ht="13.2">
      <c r="A4959" t="s">
        <v>2831</v>
      </c>
      <c r="B4959">
        <v>0</v>
      </c>
      <c r="C4959" s="44">
        <v>1380</v>
      </c>
      <c r="D4959" t="s">
        <v>291</v>
      </c>
      <c r="E4959" t="s">
        <v>576</v>
      </c>
      <c r="F4959">
        <v>4</v>
      </c>
    </row>
    <row r="4960" spans="1:6" ht="13.2">
      <c r="A4960" t="s">
        <v>2832</v>
      </c>
      <c r="B4960">
        <v>0</v>
      </c>
      <c r="C4960" s="44">
        <v>1380</v>
      </c>
      <c r="D4960" t="s">
        <v>291</v>
      </c>
      <c r="E4960" t="s">
        <v>576</v>
      </c>
      <c r="F4960">
        <v>4</v>
      </c>
    </row>
    <row r="4961" spans="1:6" ht="13.2">
      <c r="A4961" t="s">
        <v>2833</v>
      </c>
      <c r="B4961">
        <v>0</v>
      </c>
      <c r="C4961" s="44">
        <v>1380</v>
      </c>
      <c r="D4961" t="s">
        <v>291</v>
      </c>
      <c r="E4961" t="s">
        <v>576</v>
      </c>
      <c r="F4961">
        <v>4</v>
      </c>
    </row>
    <row r="4962" spans="1:6" ht="13.2">
      <c r="A4962" t="s">
        <v>2834</v>
      </c>
      <c r="B4962">
        <v>0</v>
      </c>
      <c r="C4962" s="44">
        <v>1380</v>
      </c>
      <c r="D4962" t="s">
        <v>291</v>
      </c>
      <c r="E4962" t="s">
        <v>576</v>
      </c>
      <c r="F4962">
        <v>4</v>
      </c>
    </row>
    <row r="4963" spans="1:6" ht="13.2">
      <c r="A4963" t="s">
        <v>2835</v>
      </c>
      <c r="B4963">
        <v>0</v>
      </c>
      <c r="C4963" s="44">
        <v>1380</v>
      </c>
      <c r="D4963" t="s">
        <v>291</v>
      </c>
      <c r="E4963" t="s">
        <v>576</v>
      </c>
      <c r="F4963">
        <v>4</v>
      </c>
    </row>
    <row r="4964" spans="1:6" ht="13.2">
      <c r="A4964" t="s">
        <v>2836</v>
      </c>
      <c r="B4964">
        <v>0</v>
      </c>
      <c r="C4964" s="44">
        <v>1380</v>
      </c>
      <c r="D4964" t="s">
        <v>291</v>
      </c>
      <c r="E4964" t="s">
        <v>576</v>
      </c>
      <c r="F4964">
        <v>4</v>
      </c>
    </row>
    <row r="4965" spans="1:6" ht="13.2">
      <c r="A4965" t="s">
        <v>2837</v>
      </c>
      <c r="B4965">
        <v>0</v>
      </c>
      <c r="C4965" s="44">
        <v>1380</v>
      </c>
      <c r="D4965" t="s">
        <v>291</v>
      </c>
      <c r="E4965" t="s">
        <v>576</v>
      </c>
      <c r="F4965">
        <v>4</v>
      </c>
    </row>
    <row r="4966" spans="1:6" ht="13.2">
      <c r="A4966" t="s">
        <v>2838</v>
      </c>
      <c r="B4966">
        <v>0</v>
      </c>
      <c r="C4966" s="44">
        <v>1380</v>
      </c>
      <c r="D4966" t="s">
        <v>291</v>
      </c>
      <c r="E4966" t="s">
        <v>576</v>
      </c>
      <c r="F4966">
        <v>4</v>
      </c>
    </row>
    <row r="4967" spans="1:6" ht="13.2">
      <c r="A4967" t="s">
        <v>2839</v>
      </c>
      <c r="B4967">
        <v>0</v>
      </c>
      <c r="C4967" s="44">
        <v>1380</v>
      </c>
      <c r="D4967" t="s">
        <v>291</v>
      </c>
      <c r="E4967" t="s">
        <v>576</v>
      </c>
      <c r="F4967">
        <v>4</v>
      </c>
    </row>
    <row r="4968" spans="1:6" ht="13.2">
      <c r="A4968" t="s">
        <v>2840</v>
      </c>
      <c r="B4968">
        <v>0</v>
      </c>
      <c r="C4968" s="44">
        <v>1380</v>
      </c>
      <c r="D4968" t="s">
        <v>291</v>
      </c>
      <c r="E4968" t="s">
        <v>576</v>
      </c>
      <c r="F4968">
        <v>4</v>
      </c>
    </row>
    <row r="4969" spans="1:6" ht="13.2">
      <c r="A4969" t="s">
        <v>2841</v>
      </c>
      <c r="B4969">
        <v>0</v>
      </c>
      <c r="C4969" s="44">
        <v>1380</v>
      </c>
      <c r="D4969" t="s">
        <v>291</v>
      </c>
      <c r="E4969" t="s">
        <v>576</v>
      </c>
      <c r="F4969">
        <v>4</v>
      </c>
    </row>
    <row r="4970" spans="1:6" ht="13.2">
      <c r="A4970" t="s">
        <v>2842</v>
      </c>
      <c r="B4970">
        <v>0</v>
      </c>
      <c r="C4970" s="44">
        <v>1380</v>
      </c>
      <c r="D4970" t="s">
        <v>291</v>
      </c>
      <c r="E4970" t="s">
        <v>576</v>
      </c>
      <c r="F4970">
        <v>4</v>
      </c>
    </row>
    <row r="4971" spans="1:6" ht="13.2">
      <c r="A4971" t="s">
        <v>2843</v>
      </c>
      <c r="B4971">
        <v>0</v>
      </c>
      <c r="C4971" s="44">
        <v>1380</v>
      </c>
      <c r="D4971" t="s">
        <v>291</v>
      </c>
      <c r="E4971" t="s">
        <v>576</v>
      </c>
      <c r="F4971">
        <v>4</v>
      </c>
    </row>
    <row r="4972" spans="1:6" ht="13.2">
      <c r="A4972" t="s">
        <v>2844</v>
      </c>
      <c r="B4972">
        <v>0</v>
      </c>
      <c r="C4972" s="44">
        <v>1380</v>
      </c>
      <c r="D4972" t="s">
        <v>291</v>
      </c>
      <c r="E4972" t="s">
        <v>576</v>
      </c>
      <c r="F4972">
        <v>4</v>
      </c>
    </row>
    <row r="4973" spans="1:6" ht="13.2">
      <c r="A4973" t="s">
        <v>2845</v>
      </c>
      <c r="B4973">
        <v>0</v>
      </c>
      <c r="C4973" s="44">
        <v>1380</v>
      </c>
      <c r="D4973" t="s">
        <v>291</v>
      </c>
      <c r="E4973" t="s">
        <v>576</v>
      </c>
      <c r="F4973">
        <v>4</v>
      </c>
    </row>
    <row r="4974" spans="1:6" ht="13.2">
      <c r="A4974" t="s">
        <v>2846</v>
      </c>
      <c r="B4974">
        <v>0</v>
      </c>
      <c r="C4974" s="44">
        <v>1380</v>
      </c>
      <c r="D4974" t="s">
        <v>291</v>
      </c>
      <c r="E4974" t="s">
        <v>576</v>
      </c>
      <c r="F4974">
        <v>4</v>
      </c>
    </row>
    <row r="4975" spans="1:6" ht="13.2">
      <c r="A4975" t="s">
        <v>2847</v>
      </c>
      <c r="B4975">
        <v>0</v>
      </c>
      <c r="C4975" s="44">
        <v>1380</v>
      </c>
      <c r="D4975" t="s">
        <v>291</v>
      </c>
      <c r="E4975" t="s">
        <v>576</v>
      </c>
      <c r="F4975">
        <v>4</v>
      </c>
    </row>
    <row r="4976" spans="1:6" ht="13.2">
      <c r="A4976" t="s">
        <v>2848</v>
      </c>
      <c r="B4976">
        <v>0</v>
      </c>
      <c r="C4976" s="44">
        <v>1380</v>
      </c>
      <c r="D4976" t="s">
        <v>291</v>
      </c>
      <c r="E4976" t="s">
        <v>576</v>
      </c>
      <c r="F4976">
        <v>4</v>
      </c>
    </row>
    <row r="4977" spans="1:6" ht="13.2">
      <c r="A4977" t="s">
        <v>2849</v>
      </c>
      <c r="B4977">
        <v>0</v>
      </c>
      <c r="C4977" s="44">
        <v>1380</v>
      </c>
      <c r="D4977" t="s">
        <v>291</v>
      </c>
      <c r="E4977" t="s">
        <v>576</v>
      </c>
      <c r="F4977">
        <v>4</v>
      </c>
    </row>
    <row r="4978" spans="1:6" ht="13.2">
      <c r="A4978" t="s">
        <v>2850</v>
      </c>
      <c r="B4978">
        <v>0</v>
      </c>
      <c r="C4978" s="44">
        <v>1380</v>
      </c>
      <c r="D4978" t="s">
        <v>291</v>
      </c>
      <c r="E4978" t="s">
        <v>576</v>
      </c>
      <c r="F4978">
        <v>4</v>
      </c>
    </row>
    <row r="4979" spans="1:6" ht="13.2">
      <c r="A4979" t="s">
        <v>2851</v>
      </c>
      <c r="B4979">
        <v>0</v>
      </c>
      <c r="C4979" s="44">
        <v>1380</v>
      </c>
      <c r="D4979" t="s">
        <v>291</v>
      </c>
      <c r="E4979" t="s">
        <v>576</v>
      </c>
      <c r="F4979">
        <v>4</v>
      </c>
    </row>
    <row r="4980" spans="1:6" ht="13.2">
      <c r="A4980" t="s">
        <v>2852</v>
      </c>
      <c r="B4980">
        <v>0</v>
      </c>
      <c r="C4980" s="44">
        <v>1380</v>
      </c>
      <c r="D4980" t="s">
        <v>291</v>
      </c>
      <c r="E4980" t="s">
        <v>576</v>
      </c>
      <c r="F4980">
        <v>4</v>
      </c>
    </row>
    <row r="4981" spans="1:6" ht="13.2">
      <c r="A4981" t="s">
        <v>2853</v>
      </c>
      <c r="B4981">
        <v>0</v>
      </c>
      <c r="C4981" s="44">
        <v>1380</v>
      </c>
      <c r="D4981" t="s">
        <v>291</v>
      </c>
      <c r="E4981" t="s">
        <v>576</v>
      </c>
      <c r="F4981">
        <v>4</v>
      </c>
    </row>
    <row r="4982" spans="1:6" ht="13.2">
      <c r="A4982" t="s">
        <v>2855</v>
      </c>
      <c r="B4982">
        <v>0</v>
      </c>
      <c r="C4982" s="44">
        <v>1380</v>
      </c>
      <c r="D4982" t="s">
        <v>291</v>
      </c>
      <c r="E4982" t="s">
        <v>576</v>
      </c>
      <c r="F4982">
        <v>4</v>
      </c>
    </row>
    <row r="4983" spans="1:6" ht="13.2">
      <c r="A4983" t="s">
        <v>2854</v>
      </c>
      <c r="B4983">
        <v>0</v>
      </c>
      <c r="C4983" s="44">
        <v>1380</v>
      </c>
      <c r="D4983" t="s">
        <v>291</v>
      </c>
      <c r="E4983" t="s">
        <v>576</v>
      </c>
      <c r="F4983">
        <v>4</v>
      </c>
    </row>
    <row r="4984" spans="1:6" ht="13.2">
      <c r="A4984" t="s">
        <v>1958</v>
      </c>
      <c r="B4984">
        <v>0</v>
      </c>
      <c r="C4984" s="44">
        <v>3000</v>
      </c>
      <c r="D4984" t="s">
        <v>293</v>
      </c>
      <c r="E4984" t="s">
        <v>256</v>
      </c>
      <c r="F4984">
        <v>18</v>
      </c>
    </row>
    <row r="4985" spans="1:6" ht="13.2">
      <c r="A4985" t="s">
        <v>1963</v>
      </c>
      <c r="B4985">
        <v>0</v>
      </c>
      <c r="C4985" s="44">
        <v>3000</v>
      </c>
      <c r="D4985" t="s">
        <v>293</v>
      </c>
      <c r="E4985" t="s">
        <v>256</v>
      </c>
      <c r="F4985">
        <v>18</v>
      </c>
    </row>
    <row r="4986" spans="1:6" ht="13.2">
      <c r="A4986" t="s">
        <v>1960</v>
      </c>
      <c r="B4986">
        <v>0</v>
      </c>
      <c r="C4986" s="44">
        <v>3000</v>
      </c>
      <c r="D4986" t="s">
        <v>293</v>
      </c>
      <c r="E4986" t="s">
        <v>256</v>
      </c>
      <c r="F4986">
        <v>18</v>
      </c>
    </row>
    <row r="4987" spans="1:6" ht="13.2">
      <c r="A4987" t="s">
        <v>1953</v>
      </c>
      <c r="B4987">
        <v>0</v>
      </c>
      <c r="C4987" s="44">
        <v>3000</v>
      </c>
      <c r="D4987" t="s">
        <v>293</v>
      </c>
      <c r="E4987" t="s">
        <v>256</v>
      </c>
      <c r="F4987">
        <v>18</v>
      </c>
    </row>
    <row r="4988" spans="1:6" ht="13.2">
      <c r="A4988" t="s">
        <v>1959</v>
      </c>
      <c r="B4988">
        <v>0</v>
      </c>
      <c r="C4988" s="44">
        <v>3000</v>
      </c>
      <c r="D4988" t="s">
        <v>293</v>
      </c>
      <c r="E4988" t="s">
        <v>256</v>
      </c>
      <c r="F4988">
        <v>18</v>
      </c>
    </row>
    <row r="4989" spans="1:6" ht="13.2">
      <c r="A4989" t="s">
        <v>1967</v>
      </c>
      <c r="B4989">
        <v>0</v>
      </c>
      <c r="C4989" s="44">
        <v>3000</v>
      </c>
      <c r="D4989" t="s">
        <v>293</v>
      </c>
      <c r="E4989" t="s">
        <v>256</v>
      </c>
      <c r="F4989">
        <v>18</v>
      </c>
    </row>
    <row r="4990" spans="1:6" ht="13.2">
      <c r="A4990" t="s">
        <v>1956</v>
      </c>
      <c r="B4990">
        <v>0</v>
      </c>
      <c r="C4990" s="44">
        <v>3000</v>
      </c>
      <c r="D4990" t="s">
        <v>293</v>
      </c>
      <c r="E4990" t="s">
        <v>256</v>
      </c>
      <c r="F4990">
        <v>18</v>
      </c>
    </row>
    <row r="4991" spans="1:6" ht="13.2">
      <c r="A4991" t="s">
        <v>1965</v>
      </c>
      <c r="B4991">
        <v>0</v>
      </c>
      <c r="C4991" s="44">
        <v>3000</v>
      </c>
      <c r="D4991" t="s">
        <v>293</v>
      </c>
      <c r="E4991" t="s">
        <v>256</v>
      </c>
      <c r="F4991">
        <v>18</v>
      </c>
    </row>
    <row r="4992" spans="1:6" ht="13.2">
      <c r="A4992" t="s">
        <v>1954</v>
      </c>
      <c r="B4992">
        <v>0</v>
      </c>
      <c r="C4992" s="44">
        <v>3000</v>
      </c>
      <c r="D4992" t="s">
        <v>293</v>
      </c>
      <c r="E4992" t="s">
        <v>256</v>
      </c>
      <c r="F4992">
        <v>18</v>
      </c>
    </row>
    <row r="4993" spans="1:6" ht="13.2">
      <c r="A4993" t="s">
        <v>1964</v>
      </c>
      <c r="B4993">
        <v>0</v>
      </c>
      <c r="C4993" s="44">
        <v>3000</v>
      </c>
      <c r="D4993" t="s">
        <v>293</v>
      </c>
      <c r="E4993" t="s">
        <v>256</v>
      </c>
      <c r="F4993">
        <v>18</v>
      </c>
    </row>
    <row r="4994" spans="1:6" ht="13.2">
      <c r="A4994" t="s">
        <v>1966</v>
      </c>
      <c r="B4994">
        <v>0</v>
      </c>
      <c r="C4994" s="44">
        <v>3000</v>
      </c>
      <c r="D4994" t="s">
        <v>293</v>
      </c>
      <c r="E4994" t="s">
        <v>256</v>
      </c>
      <c r="F4994">
        <v>18</v>
      </c>
    </row>
    <row r="4995" spans="1:6" ht="13.2">
      <c r="A4995" t="s">
        <v>1961</v>
      </c>
      <c r="B4995">
        <v>0</v>
      </c>
      <c r="C4995" s="44">
        <v>3000</v>
      </c>
      <c r="D4995" t="s">
        <v>293</v>
      </c>
      <c r="E4995" t="s">
        <v>256</v>
      </c>
      <c r="F4995">
        <v>18</v>
      </c>
    </row>
    <row r="4996" spans="1:6" ht="13.2">
      <c r="A4996" t="s">
        <v>1957</v>
      </c>
      <c r="B4996">
        <v>0</v>
      </c>
      <c r="C4996" s="44">
        <v>3000</v>
      </c>
      <c r="D4996" t="s">
        <v>293</v>
      </c>
      <c r="E4996" t="s">
        <v>256</v>
      </c>
      <c r="F4996">
        <v>18</v>
      </c>
    </row>
    <row r="4997" spans="1:6" ht="13.2">
      <c r="A4997" t="s">
        <v>1955</v>
      </c>
      <c r="B4997">
        <v>0</v>
      </c>
      <c r="C4997" s="44">
        <v>3000</v>
      </c>
      <c r="D4997" t="s">
        <v>293</v>
      </c>
      <c r="E4997" t="s">
        <v>256</v>
      </c>
      <c r="F4997">
        <v>18</v>
      </c>
    </row>
    <row r="4998" spans="1:6" ht="13.2">
      <c r="A4998" t="s">
        <v>1962</v>
      </c>
      <c r="B4998">
        <v>0</v>
      </c>
      <c r="C4998" s="44">
        <v>3000</v>
      </c>
      <c r="D4998" t="s">
        <v>293</v>
      </c>
      <c r="E4998" t="s">
        <v>256</v>
      </c>
      <c r="F4998">
        <v>18</v>
      </c>
    </row>
    <row r="4999" spans="1:6" ht="13.2">
      <c r="A4999" t="s">
        <v>1968</v>
      </c>
      <c r="B4999">
        <v>0</v>
      </c>
      <c r="C4999" s="44">
        <v>3000</v>
      </c>
      <c r="D4999" t="s">
        <v>293</v>
      </c>
      <c r="E4999" t="s">
        <v>256</v>
      </c>
      <c r="F4999">
        <v>18</v>
      </c>
    </row>
    <row r="5000" spans="1:6" ht="13.2">
      <c r="A5000" t="s">
        <v>1969</v>
      </c>
      <c r="B5000">
        <v>0</v>
      </c>
      <c r="C5000" s="44">
        <v>3000</v>
      </c>
      <c r="D5000" t="s">
        <v>293</v>
      </c>
      <c r="E5000" t="s">
        <v>256</v>
      </c>
      <c r="F5000">
        <v>18</v>
      </c>
    </row>
    <row r="5001" spans="1:5" ht="13.2">
      <c r="A5001" t="s">
        <v>4877</v>
      </c>
      <c r="B5001">
        <v>0</v>
      </c>
      <c r="C5001" s="44">
        <v>1410</v>
      </c>
      <c r="D5001" t="s">
        <v>291</v>
      </c>
      <c r="E5001" t="s">
        <v>4878</v>
      </c>
    </row>
    <row r="5002" spans="1:5" ht="13.2">
      <c r="A5002" t="s">
        <v>4879</v>
      </c>
      <c r="B5002">
        <v>0</v>
      </c>
      <c r="C5002" s="44">
        <v>1410</v>
      </c>
      <c r="D5002" t="s">
        <v>291</v>
      </c>
      <c r="E5002" t="s">
        <v>4878</v>
      </c>
    </row>
    <row r="5003" spans="1:5" ht="13.2">
      <c r="A5003" t="s">
        <v>4880</v>
      </c>
      <c r="B5003">
        <v>0</v>
      </c>
      <c r="C5003" s="44">
        <v>1410</v>
      </c>
      <c r="D5003" t="s">
        <v>291</v>
      </c>
      <c r="E5003" t="s">
        <v>4878</v>
      </c>
    </row>
    <row r="5004" spans="1:5" ht="13.2">
      <c r="A5004" t="s">
        <v>4881</v>
      </c>
      <c r="B5004">
        <v>0</v>
      </c>
      <c r="C5004" s="44">
        <v>1410</v>
      </c>
      <c r="D5004" t="s">
        <v>291</v>
      </c>
      <c r="E5004" t="s">
        <v>4878</v>
      </c>
    </row>
    <row r="5005" spans="1:5" ht="13.2">
      <c r="A5005" t="s">
        <v>4882</v>
      </c>
      <c r="B5005">
        <v>0</v>
      </c>
      <c r="C5005" s="44">
        <v>1410</v>
      </c>
      <c r="D5005" t="s">
        <v>291</v>
      </c>
      <c r="E5005" t="s">
        <v>4878</v>
      </c>
    </row>
    <row r="5006" spans="1:5" ht="13.2">
      <c r="A5006" t="s">
        <v>4883</v>
      </c>
      <c r="B5006">
        <v>0</v>
      </c>
      <c r="C5006" s="44">
        <v>1410</v>
      </c>
      <c r="D5006" t="s">
        <v>291</v>
      </c>
      <c r="E5006" t="s">
        <v>4878</v>
      </c>
    </row>
    <row r="5007" spans="1:5" ht="13.2">
      <c r="A5007" t="s">
        <v>4884</v>
      </c>
      <c r="B5007">
        <v>0</v>
      </c>
      <c r="C5007" s="44">
        <v>1410</v>
      </c>
      <c r="D5007" t="s">
        <v>291</v>
      </c>
      <c r="E5007" t="s">
        <v>4878</v>
      </c>
    </row>
    <row r="5008" spans="1:5" ht="13.2">
      <c r="A5008" t="s">
        <v>4885</v>
      </c>
      <c r="B5008">
        <v>0</v>
      </c>
      <c r="C5008" s="44">
        <v>1410</v>
      </c>
      <c r="D5008" t="s">
        <v>291</v>
      </c>
      <c r="E5008" t="s">
        <v>4878</v>
      </c>
    </row>
    <row r="5009" spans="1:5" ht="13.2">
      <c r="A5009" t="s">
        <v>4886</v>
      </c>
      <c r="B5009">
        <v>0</v>
      </c>
      <c r="C5009" s="44">
        <v>1410</v>
      </c>
      <c r="D5009" t="s">
        <v>291</v>
      </c>
      <c r="E5009" t="s">
        <v>4878</v>
      </c>
    </row>
    <row r="5010" spans="1:5" ht="13.2">
      <c r="A5010" t="s">
        <v>4887</v>
      </c>
      <c r="B5010">
        <v>0</v>
      </c>
      <c r="C5010" s="44">
        <v>1410</v>
      </c>
      <c r="D5010" t="s">
        <v>291</v>
      </c>
      <c r="E5010" t="s">
        <v>4878</v>
      </c>
    </row>
    <row r="5011" spans="1:5" ht="13.2">
      <c r="A5011" t="s">
        <v>4888</v>
      </c>
      <c r="B5011">
        <v>0</v>
      </c>
      <c r="C5011" s="44">
        <v>1410</v>
      </c>
      <c r="D5011" t="s">
        <v>291</v>
      </c>
      <c r="E5011" t="s">
        <v>4878</v>
      </c>
    </row>
    <row r="5012" spans="1:5" ht="13.2">
      <c r="A5012" t="s">
        <v>4889</v>
      </c>
      <c r="B5012">
        <v>0</v>
      </c>
      <c r="C5012" s="44">
        <v>1410</v>
      </c>
      <c r="D5012" t="s">
        <v>291</v>
      </c>
      <c r="E5012" t="s">
        <v>4878</v>
      </c>
    </row>
    <row r="5013" spans="1:5" ht="13.2">
      <c r="A5013" t="s">
        <v>4890</v>
      </c>
      <c r="B5013">
        <v>0</v>
      </c>
      <c r="C5013" s="44">
        <v>1410</v>
      </c>
      <c r="D5013" t="s">
        <v>291</v>
      </c>
      <c r="E5013" t="s">
        <v>4878</v>
      </c>
    </row>
    <row r="5014" spans="1:5" ht="13.2">
      <c r="A5014" t="s">
        <v>4891</v>
      </c>
      <c r="B5014">
        <v>0</v>
      </c>
      <c r="C5014" s="44">
        <v>1410</v>
      </c>
      <c r="D5014" t="s">
        <v>291</v>
      </c>
      <c r="E5014" t="s">
        <v>4878</v>
      </c>
    </row>
    <row r="5015" spans="1:5" ht="13.2">
      <c r="A5015" t="s">
        <v>4892</v>
      </c>
      <c r="B5015">
        <v>0</v>
      </c>
      <c r="C5015" s="44">
        <v>1410</v>
      </c>
      <c r="D5015" t="s">
        <v>291</v>
      </c>
      <c r="E5015" t="s">
        <v>4878</v>
      </c>
    </row>
    <row r="5016" spans="1:5" ht="13.2">
      <c r="A5016" t="s">
        <v>4893</v>
      </c>
      <c r="B5016">
        <v>0</v>
      </c>
      <c r="C5016" s="44">
        <v>1410</v>
      </c>
      <c r="D5016" t="s">
        <v>291</v>
      </c>
      <c r="E5016" t="s">
        <v>4878</v>
      </c>
    </row>
    <row r="5017" spans="1:5" ht="13.2">
      <c r="A5017" t="s">
        <v>4894</v>
      </c>
      <c r="B5017">
        <v>0</v>
      </c>
      <c r="C5017" s="44">
        <v>1410</v>
      </c>
      <c r="D5017" t="s">
        <v>291</v>
      </c>
      <c r="E5017" t="s">
        <v>4878</v>
      </c>
    </row>
    <row r="5018" spans="1:5" ht="13.2">
      <c r="A5018" t="s">
        <v>4895</v>
      </c>
      <c r="B5018">
        <v>0</v>
      </c>
      <c r="C5018" s="44">
        <v>1410</v>
      </c>
      <c r="D5018" t="s">
        <v>291</v>
      </c>
      <c r="E5018" t="s">
        <v>4878</v>
      </c>
    </row>
    <row r="5019" spans="1:5" ht="13.2">
      <c r="A5019" t="s">
        <v>4896</v>
      </c>
      <c r="B5019">
        <v>0</v>
      </c>
      <c r="C5019" s="44">
        <v>1410</v>
      </c>
      <c r="D5019" t="s">
        <v>291</v>
      </c>
      <c r="E5019" t="s">
        <v>4878</v>
      </c>
    </row>
    <row r="5020" spans="1:5" ht="13.2">
      <c r="A5020" t="s">
        <v>4897</v>
      </c>
      <c r="B5020">
        <v>0</v>
      </c>
      <c r="C5020" s="44">
        <v>1410</v>
      </c>
      <c r="D5020" t="s">
        <v>291</v>
      </c>
      <c r="E5020" t="s">
        <v>4878</v>
      </c>
    </row>
    <row r="5021" spans="1:5" ht="13.2">
      <c r="A5021" t="s">
        <v>4898</v>
      </c>
      <c r="B5021">
        <v>0</v>
      </c>
      <c r="C5021" s="44">
        <v>1410</v>
      </c>
      <c r="D5021" t="s">
        <v>291</v>
      </c>
      <c r="E5021" t="s">
        <v>4878</v>
      </c>
    </row>
    <row r="5022" spans="1:5" ht="13.2">
      <c r="A5022" t="s">
        <v>4899</v>
      </c>
      <c r="B5022">
        <v>0</v>
      </c>
      <c r="C5022" s="44">
        <v>1410</v>
      </c>
      <c r="D5022" t="s">
        <v>291</v>
      </c>
      <c r="E5022" t="s">
        <v>4878</v>
      </c>
    </row>
    <row r="5023" spans="1:5" ht="13.2">
      <c r="A5023" t="s">
        <v>4900</v>
      </c>
      <c r="B5023">
        <v>0</v>
      </c>
      <c r="C5023" s="44">
        <v>1410</v>
      </c>
      <c r="D5023" t="s">
        <v>291</v>
      </c>
      <c r="E5023" t="s">
        <v>4878</v>
      </c>
    </row>
    <row r="5024" spans="1:5" ht="13.2">
      <c r="A5024" t="s">
        <v>4901</v>
      </c>
      <c r="B5024">
        <v>0</v>
      </c>
      <c r="C5024" s="44">
        <v>1410</v>
      </c>
      <c r="D5024" t="s">
        <v>291</v>
      </c>
      <c r="E5024" t="s">
        <v>4878</v>
      </c>
    </row>
    <row r="5025" spans="1:5" ht="13.2">
      <c r="A5025" t="s">
        <v>4902</v>
      </c>
      <c r="B5025">
        <v>0</v>
      </c>
      <c r="C5025" s="44">
        <v>1410</v>
      </c>
      <c r="D5025" t="s">
        <v>291</v>
      </c>
      <c r="E5025" t="s">
        <v>4878</v>
      </c>
    </row>
    <row r="5026" spans="1:5" ht="13.2">
      <c r="A5026" t="s">
        <v>4903</v>
      </c>
      <c r="B5026">
        <v>0</v>
      </c>
      <c r="C5026" s="44">
        <v>1410</v>
      </c>
      <c r="D5026" t="s">
        <v>291</v>
      </c>
      <c r="E5026" t="s">
        <v>4878</v>
      </c>
    </row>
    <row r="5027" spans="1:6" ht="13.2">
      <c r="A5027" t="s">
        <v>1683</v>
      </c>
      <c r="B5027">
        <v>0</v>
      </c>
      <c r="C5027" s="44">
        <v>3020</v>
      </c>
      <c r="D5027" t="s">
        <v>293</v>
      </c>
      <c r="E5027" t="s">
        <v>256</v>
      </c>
      <c r="F5027">
        <v>11</v>
      </c>
    </row>
    <row r="5028" spans="1:6" ht="13.2">
      <c r="A5028" t="s">
        <v>1684</v>
      </c>
      <c r="B5028">
        <v>0</v>
      </c>
      <c r="C5028" s="44">
        <v>3020</v>
      </c>
      <c r="D5028" t="s">
        <v>293</v>
      </c>
      <c r="E5028" t="s">
        <v>256</v>
      </c>
      <c r="F5028">
        <v>11</v>
      </c>
    </row>
    <row r="5029" spans="1:6" ht="13.2">
      <c r="A5029" t="s">
        <v>1685</v>
      </c>
      <c r="B5029">
        <v>0</v>
      </c>
      <c r="C5029" s="44">
        <v>3020</v>
      </c>
      <c r="D5029" t="s">
        <v>293</v>
      </c>
      <c r="E5029" t="s">
        <v>256</v>
      </c>
      <c r="F5029">
        <v>11</v>
      </c>
    </row>
    <row r="5030" spans="1:6" ht="13.2">
      <c r="A5030" t="s">
        <v>1686</v>
      </c>
      <c r="B5030">
        <v>0</v>
      </c>
      <c r="C5030" s="44">
        <v>3020</v>
      </c>
      <c r="D5030" t="s">
        <v>293</v>
      </c>
      <c r="E5030" t="s">
        <v>256</v>
      </c>
      <c r="F5030">
        <v>11</v>
      </c>
    </row>
    <row r="5031" spans="1:6" ht="13.2">
      <c r="A5031" t="s">
        <v>1687</v>
      </c>
      <c r="B5031">
        <v>0</v>
      </c>
      <c r="C5031" s="44">
        <v>3020</v>
      </c>
      <c r="D5031" t="s">
        <v>293</v>
      </c>
      <c r="E5031" t="s">
        <v>256</v>
      </c>
      <c r="F5031">
        <v>11</v>
      </c>
    </row>
    <row r="5032" spans="1:6" ht="13.2">
      <c r="A5032" t="s">
        <v>1688</v>
      </c>
      <c r="B5032">
        <v>0</v>
      </c>
      <c r="C5032" s="44">
        <v>3020</v>
      </c>
      <c r="D5032" t="s">
        <v>293</v>
      </c>
      <c r="E5032" t="s">
        <v>256</v>
      </c>
      <c r="F5032">
        <v>11</v>
      </c>
    </row>
    <row r="5033" spans="1:6" ht="13.2">
      <c r="A5033" t="s">
        <v>1689</v>
      </c>
      <c r="B5033">
        <v>0</v>
      </c>
      <c r="C5033" s="44">
        <v>3020</v>
      </c>
      <c r="D5033" t="s">
        <v>293</v>
      </c>
      <c r="E5033" t="s">
        <v>256</v>
      </c>
      <c r="F5033">
        <v>11</v>
      </c>
    </row>
    <row r="5034" spans="1:6" ht="13.2">
      <c r="A5034" t="s">
        <v>1690</v>
      </c>
      <c r="B5034">
        <v>0</v>
      </c>
      <c r="C5034" s="44">
        <v>3020</v>
      </c>
      <c r="D5034" t="s">
        <v>293</v>
      </c>
      <c r="E5034" t="s">
        <v>256</v>
      </c>
      <c r="F5034">
        <v>11</v>
      </c>
    </row>
    <row r="5035" spans="1:6" ht="13.2">
      <c r="A5035" t="s">
        <v>1691</v>
      </c>
      <c r="B5035">
        <v>0</v>
      </c>
      <c r="C5035" s="44">
        <v>3020</v>
      </c>
      <c r="D5035" t="s">
        <v>293</v>
      </c>
      <c r="E5035" t="s">
        <v>256</v>
      </c>
      <c r="F5035">
        <v>11</v>
      </c>
    </row>
    <row r="5036" spans="1:6" ht="13.2">
      <c r="A5036" t="s">
        <v>1692</v>
      </c>
      <c r="B5036">
        <v>0</v>
      </c>
      <c r="C5036" s="44">
        <v>3020</v>
      </c>
      <c r="D5036" t="s">
        <v>293</v>
      </c>
      <c r="E5036" t="s">
        <v>256</v>
      </c>
      <c r="F5036">
        <v>11</v>
      </c>
    </row>
    <row r="5037" spans="1:6" ht="13.2">
      <c r="A5037" t="s">
        <v>1693</v>
      </c>
      <c r="B5037">
        <v>0</v>
      </c>
      <c r="C5037" s="44">
        <v>3020</v>
      </c>
      <c r="D5037" t="s">
        <v>293</v>
      </c>
      <c r="E5037" t="s">
        <v>256</v>
      </c>
      <c r="F5037">
        <v>11</v>
      </c>
    </row>
    <row r="5038" spans="1:6" ht="13.2">
      <c r="A5038" t="s">
        <v>1694</v>
      </c>
      <c r="B5038">
        <v>0</v>
      </c>
      <c r="C5038" s="44">
        <v>3020</v>
      </c>
      <c r="D5038" t="s">
        <v>293</v>
      </c>
      <c r="E5038" t="s">
        <v>256</v>
      </c>
      <c r="F5038">
        <v>11</v>
      </c>
    </row>
    <row r="5039" spans="1:6" ht="13.2">
      <c r="A5039" t="s">
        <v>1695</v>
      </c>
      <c r="B5039">
        <v>0</v>
      </c>
      <c r="C5039" s="44">
        <v>3020</v>
      </c>
      <c r="D5039" t="s">
        <v>293</v>
      </c>
      <c r="E5039" t="s">
        <v>256</v>
      </c>
      <c r="F5039">
        <v>11</v>
      </c>
    </row>
    <row r="5040" spans="1:6" ht="13.2">
      <c r="A5040" t="s">
        <v>1696</v>
      </c>
      <c r="B5040">
        <v>0</v>
      </c>
      <c r="C5040" s="44">
        <v>3020</v>
      </c>
      <c r="D5040" t="s">
        <v>293</v>
      </c>
      <c r="E5040" t="s">
        <v>256</v>
      </c>
      <c r="F5040">
        <v>11</v>
      </c>
    </row>
    <row r="5041" spans="1:6" ht="13.2">
      <c r="A5041" t="s">
        <v>1697</v>
      </c>
      <c r="B5041">
        <v>0</v>
      </c>
      <c r="C5041" s="44">
        <v>3020</v>
      </c>
      <c r="D5041" t="s">
        <v>293</v>
      </c>
      <c r="E5041" t="s">
        <v>256</v>
      </c>
      <c r="F5041">
        <v>11</v>
      </c>
    </row>
    <row r="5042" spans="1:6" ht="13.2">
      <c r="A5042" t="s">
        <v>1698</v>
      </c>
      <c r="B5042">
        <v>0</v>
      </c>
      <c r="C5042" s="44">
        <v>3020</v>
      </c>
      <c r="D5042" t="s">
        <v>293</v>
      </c>
      <c r="E5042" t="s">
        <v>256</v>
      </c>
      <c r="F5042">
        <v>11</v>
      </c>
    </row>
    <row r="5043" spans="1:6" ht="13.2">
      <c r="A5043" t="s">
        <v>1699</v>
      </c>
      <c r="B5043">
        <v>0</v>
      </c>
      <c r="C5043" s="44">
        <v>3020</v>
      </c>
      <c r="D5043" t="s">
        <v>293</v>
      </c>
      <c r="E5043" t="s">
        <v>256</v>
      </c>
      <c r="F5043">
        <v>11</v>
      </c>
    </row>
    <row r="5044" spans="1:6" ht="13.2">
      <c r="A5044" t="s">
        <v>1701</v>
      </c>
      <c r="B5044">
        <v>0</v>
      </c>
      <c r="C5044" s="44">
        <v>3020</v>
      </c>
      <c r="D5044" t="s">
        <v>293</v>
      </c>
      <c r="E5044" t="s">
        <v>256</v>
      </c>
      <c r="F5044">
        <v>11</v>
      </c>
    </row>
    <row r="5045" spans="1:6" ht="13.2">
      <c r="A5045" t="s">
        <v>1700</v>
      </c>
      <c r="B5045">
        <v>0</v>
      </c>
      <c r="C5045" s="44">
        <v>3020</v>
      </c>
      <c r="D5045" t="s">
        <v>293</v>
      </c>
      <c r="E5045" t="s">
        <v>256</v>
      </c>
      <c r="F5045">
        <v>11</v>
      </c>
    </row>
    <row r="5046" spans="1:6" ht="13.2">
      <c r="A5046" t="s">
        <v>4449</v>
      </c>
      <c r="B5046">
        <v>0</v>
      </c>
      <c r="C5046" s="44">
        <v>1520</v>
      </c>
      <c r="D5046" t="s">
        <v>291</v>
      </c>
      <c r="E5046" t="s">
        <v>256</v>
      </c>
      <c r="F5046">
        <v>4</v>
      </c>
    </row>
    <row r="5047" spans="1:6" ht="13.2">
      <c r="A5047" t="s">
        <v>4446</v>
      </c>
      <c r="B5047">
        <v>0</v>
      </c>
      <c r="C5047" s="44">
        <v>1520</v>
      </c>
      <c r="D5047" t="s">
        <v>291</v>
      </c>
      <c r="E5047" t="s">
        <v>256</v>
      </c>
      <c r="F5047">
        <v>4</v>
      </c>
    </row>
    <row r="5048" spans="1:6" ht="13.2">
      <c r="A5048" t="s">
        <v>4454</v>
      </c>
      <c r="B5048">
        <v>0</v>
      </c>
      <c r="C5048" s="44">
        <v>1520</v>
      </c>
      <c r="D5048" t="s">
        <v>291</v>
      </c>
      <c r="E5048" t="s">
        <v>256</v>
      </c>
      <c r="F5048">
        <v>4</v>
      </c>
    </row>
    <row r="5049" spans="1:6" ht="13.2">
      <c r="A5049" t="s">
        <v>4447</v>
      </c>
      <c r="B5049">
        <v>0</v>
      </c>
      <c r="C5049" s="44">
        <v>1520</v>
      </c>
      <c r="D5049" t="s">
        <v>291</v>
      </c>
      <c r="E5049" t="s">
        <v>256</v>
      </c>
      <c r="F5049">
        <v>4</v>
      </c>
    </row>
    <row r="5050" spans="1:6" ht="13.2">
      <c r="A5050" t="s">
        <v>4452</v>
      </c>
      <c r="B5050">
        <v>0</v>
      </c>
      <c r="C5050" s="44">
        <v>1520</v>
      </c>
      <c r="D5050" t="s">
        <v>291</v>
      </c>
      <c r="E5050" t="s">
        <v>256</v>
      </c>
      <c r="F5050">
        <v>4</v>
      </c>
    </row>
    <row r="5051" spans="1:6" ht="13.2">
      <c r="A5051" t="s">
        <v>4448</v>
      </c>
      <c r="B5051">
        <v>0</v>
      </c>
      <c r="C5051" s="44">
        <v>1520</v>
      </c>
      <c r="D5051" t="s">
        <v>291</v>
      </c>
      <c r="E5051" t="s">
        <v>256</v>
      </c>
      <c r="F5051">
        <v>4</v>
      </c>
    </row>
    <row r="5052" spans="1:6" ht="13.2">
      <c r="A5052" t="s">
        <v>4450</v>
      </c>
      <c r="B5052">
        <v>0</v>
      </c>
      <c r="C5052" s="44">
        <v>1520</v>
      </c>
      <c r="D5052" t="s">
        <v>291</v>
      </c>
      <c r="E5052" t="s">
        <v>256</v>
      </c>
      <c r="F5052">
        <v>4</v>
      </c>
    </row>
    <row r="5053" spans="1:6" ht="13.2">
      <c r="A5053" t="s">
        <v>4453</v>
      </c>
      <c r="B5053">
        <v>0</v>
      </c>
      <c r="C5053" s="44">
        <v>1520</v>
      </c>
      <c r="D5053" t="s">
        <v>291</v>
      </c>
      <c r="E5053" t="s">
        <v>256</v>
      </c>
      <c r="F5053">
        <v>4</v>
      </c>
    </row>
    <row r="5054" spans="1:6" ht="13.2">
      <c r="A5054" t="s">
        <v>4455</v>
      </c>
      <c r="B5054">
        <v>0</v>
      </c>
      <c r="C5054" s="44">
        <v>1520</v>
      </c>
      <c r="D5054" t="s">
        <v>291</v>
      </c>
      <c r="E5054" t="s">
        <v>256</v>
      </c>
      <c r="F5054">
        <v>4</v>
      </c>
    </row>
    <row r="5055" spans="1:6" ht="13.2">
      <c r="A5055" t="s">
        <v>4451</v>
      </c>
      <c r="B5055">
        <v>0</v>
      </c>
      <c r="C5055" s="44">
        <v>1520</v>
      </c>
      <c r="D5055" t="s">
        <v>291</v>
      </c>
      <c r="E5055" t="s">
        <v>256</v>
      </c>
      <c r="F5055">
        <v>4</v>
      </c>
    </row>
    <row r="5056" spans="1:6" ht="13.2">
      <c r="A5056" t="s">
        <v>4456</v>
      </c>
      <c r="B5056">
        <v>0</v>
      </c>
      <c r="C5056" s="44">
        <v>1520</v>
      </c>
      <c r="D5056" t="s">
        <v>291</v>
      </c>
      <c r="E5056" t="s">
        <v>256</v>
      </c>
      <c r="F5056">
        <v>4</v>
      </c>
    </row>
    <row r="5057" spans="1:6" ht="13.2">
      <c r="A5057" t="s">
        <v>2648</v>
      </c>
      <c r="B5057">
        <v>150</v>
      </c>
      <c r="C5057" s="44" t="s">
        <v>205</v>
      </c>
      <c r="D5057" t="s">
        <v>291</v>
      </c>
      <c r="E5057" t="s">
        <v>213</v>
      </c>
      <c r="F5057">
        <v>4</v>
      </c>
    </row>
    <row r="5058" spans="1:6" ht="13.2">
      <c r="A5058" t="s">
        <v>2649</v>
      </c>
      <c r="B5058">
        <v>150</v>
      </c>
      <c r="C5058" s="44" t="s">
        <v>205</v>
      </c>
      <c r="D5058" t="s">
        <v>291</v>
      </c>
      <c r="E5058" t="s">
        <v>213</v>
      </c>
      <c r="F5058">
        <v>4</v>
      </c>
    </row>
    <row r="5059" spans="1:6" ht="13.2">
      <c r="A5059" t="s">
        <v>2650</v>
      </c>
      <c r="B5059">
        <v>150</v>
      </c>
      <c r="C5059" s="44" t="s">
        <v>205</v>
      </c>
      <c r="D5059" t="s">
        <v>291</v>
      </c>
      <c r="E5059" t="s">
        <v>213</v>
      </c>
      <c r="F5059">
        <v>4</v>
      </c>
    </row>
    <row r="5060" spans="1:6" ht="13.2">
      <c r="A5060" t="s">
        <v>2651</v>
      </c>
      <c r="B5060">
        <v>150</v>
      </c>
      <c r="C5060" s="44" t="s">
        <v>205</v>
      </c>
      <c r="D5060" t="s">
        <v>291</v>
      </c>
      <c r="E5060" t="s">
        <v>213</v>
      </c>
      <c r="F5060">
        <v>4</v>
      </c>
    </row>
    <row r="5061" spans="1:6" ht="13.2">
      <c r="A5061" t="s">
        <v>2652</v>
      </c>
      <c r="B5061">
        <v>150</v>
      </c>
      <c r="C5061" s="44" t="s">
        <v>205</v>
      </c>
      <c r="D5061" t="s">
        <v>291</v>
      </c>
      <c r="E5061" t="s">
        <v>213</v>
      </c>
      <c r="F5061">
        <v>4</v>
      </c>
    </row>
    <row r="5062" spans="1:6" ht="13.2">
      <c r="A5062" t="s">
        <v>2653</v>
      </c>
      <c r="B5062">
        <v>183</v>
      </c>
      <c r="C5062" s="44" t="s">
        <v>205</v>
      </c>
      <c r="D5062" t="s">
        <v>291</v>
      </c>
      <c r="E5062" t="s">
        <v>213</v>
      </c>
      <c r="F5062">
        <v>4</v>
      </c>
    </row>
    <row r="5063" spans="1:6" ht="13.2">
      <c r="A5063" t="s">
        <v>2654</v>
      </c>
      <c r="B5063">
        <v>183</v>
      </c>
      <c r="C5063" s="44" t="s">
        <v>205</v>
      </c>
      <c r="D5063" t="s">
        <v>291</v>
      </c>
      <c r="E5063" t="s">
        <v>213</v>
      </c>
      <c r="F5063">
        <v>4</v>
      </c>
    </row>
    <row r="5064" spans="1:6" ht="13.2">
      <c r="A5064" t="s">
        <v>2655</v>
      </c>
      <c r="B5064">
        <v>183</v>
      </c>
      <c r="C5064" s="44" t="s">
        <v>205</v>
      </c>
      <c r="D5064" t="s">
        <v>291</v>
      </c>
      <c r="E5064" t="s">
        <v>213</v>
      </c>
      <c r="F5064">
        <v>4</v>
      </c>
    </row>
    <row r="5065" spans="1:6" ht="13.2">
      <c r="A5065" t="s">
        <v>2656</v>
      </c>
      <c r="B5065">
        <v>183</v>
      </c>
      <c r="C5065" s="44" t="s">
        <v>205</v>
      </c>
      <c r="D5065" t="s">
        <v>291</v>
      </c>
      <c r="E5065" t="s">
        <v>213</v>
      </c>
      <c r="F5065">
        <v>4</v>
      </c>
    </row>
    <row r="5066" spans="1:6" ht="13.2">
      <c r="A5066" t="s">
        <v>2657</v>
      </c>
      <c r="B5066">
        <v>183</v>
      </c>
      <c r="C5066" s="44" t="s">
        <v>205</v>
      </c>
      <c r="D5066" t="s">
        <v>291</v>
      </c>
      <c r="E5066" t="s">
        <v>213</v>
      </c>
      <c r="F5066">
        <v>4</v>
      </c>
    </row>
    <row r="5067" spans="1:6" ht="13.2">
      <c r="A5067" t="s">
        <v>2658</v>
      </c>
      <c r="B5067">
        <v>183</v>
      </c>
      <c r="C5067" s="44" t="s">
        <v>205</v>
      </c>
      <c r="D5067" t="s">
        <v>291</v>
      </c>
      <c r="E5067" t="s">
        <v>213</v>
      </c>
      <c r="F5067">
        <v>4</v>
      </c>
    </row>
    <row r="5068" spans="1:6" ht="13.2">
      <c r="A5068" t="s">
        <v>2659</v>
      </c>
      <c r="B5068">
        <v>183</v>
      </c>
      <c r="C5068" s="44" t="s">
        <v>205</v>
      </c>
      <c r="D5068" t="s">
        <v>291</v>
      </c>
      <c r="E5068" t="s">
        <v>213</v>
      </c>
      <c r="F5068">
        <v>4</v>
      </c>
    </row>
    <row r="5069" spans="1:6" ht="13.2">
      <c r="A5069" t="s">
        <v>2660</v>
      </c>
      <c r="B5069">
        <v>183</v>
      </c>
      <c r="C5069" s="44" t="s">
        <v>205</v>
      </c>
      <c r="D5069" t="s">
        <v>291</v>
      </c>
      <c r="E5069" t="s">
        <v>213</v>
      </c>
      <c r="F5069">
        <v>4</v>
      </c>
    </row>
    <row r="5070" spans="1:6" ht="13.2">
      <c r="A5070" t="s">
        <v>2661</v>
      </c>
      <c r="B5070">
        <v>183</v>
      </c>
      <c r="C5070" s="44" t="s">
        <v>205</v>
      </c>
      <c r="D5070" t="s">
        <v>291</v>
      </c>
      <c r="E5070" t="s">
        <v>213</v>
      </c>
      <c r="F5070">
        <v>4</v>
      </c>
    </row>
    <row r="5071" spans="1:6" ht="13.2">
      <c r="A5071" t="s">
        <v>2662</v>
      </c>
      <c r="B5071">
        <v>183</v>
      </c>
      <c r="C5071" s="44" t="s">
        <v>205</v>
      </c>
      <c r="D5071" t="s">
        <v>291</v>
      </c>
      <c r="E5071" t="s">
        <v>213</v>
      </c>
      <c r="F5071">
        <v>4</v>
      </c>
    </row>
    <row r="5072" spans="1:6" ht="13.2">
      <c r="A5072" t="s">
        <v>2663</v>
      </c>
      <c r="B5072">
        <v>183</v>
      </c>
      <c r="C5072" s="44" t="s">
        <v>205</v>
      </c>
      <c r="D5072" t="s">
        <v>291</v>
      </c>
      <c r="E5072" t="s">
        <v>213</v>
      </c>
      <c r="F5072">
        <v>4</v>
      </c>
    </row>
    <row r="5073" spans="1:6" ht="13.2">
      <c r="A5073" t="s">
        <v>933</v>
      </c>
      <c r="B5073">
        <v>615</v>
      </c>
      <c r="C5073" s="44">
        <v>3000</v>
      </c>
      <c r="D5073" t="s">
        <v>291</v>
      </c>
      <c r="E5073" t="s">
        <v>718</v>
      </c>
      <c r="F5073">
        <v>45</v>
      </c>
    </row>
    <row r="5074" spans="1:6" ht="13.2">
      <c r="A5074" t="s">
        <v>934</v>
      </c>
      <c r="B5074">
        <v>615</v>
      </c>
      <c r="C5074" s="44">
        <v>3000</v>
      </c>
      <c r="D5074" t="s">
        <v>291</v>
      </c>
      <c r="E5074" t="s">
        <v>718</v>
      </c>
      <c r="F5074">
        <v>45</v>
      </c>
    </row>
    <row r="5075" spans="1:6" ht="13.2">
      <c r="A5075" t="s">
        <v>935</v>
      </c>
      <c r="B5075">
        <v>615</v>
      </c>
      <c r="C5075" s="44">
        <v>3000</v>
      </c>
      <c r="D5075" t="s">
        <v>291</v>
      </c>
      <c r="E5075" t="s">
        <v>718</v>
      </c>
      <c r="F5075">
        <v>45</v>
      </c>
    </row>
    <row r="5076" spans="1:6" ht="13.2">
      <c r="A5076" t="s">
        <v>936</v>
      </c>
      <c r="B5076">
        <v>615</v>
      </c>
      <c r="C5076" s="44">
        <v>3000</v>
      </c>
      <c r="D5076" t="s">
        <v>291</v>
      </c>
      <c r="E5076" t="s">
        <v>718</v>
      </c>
      <c r="F5076">
        <v>45</v>
      </c>
    </row>
    <row r="5077" spans="1:6" ht="13.2">
      <c r="A5077" t="s">
        <v>937</v>
      </c>
      <c r="B5077">
        <v>615</v>
      </c>
      <c r="C5077" s="44">
        <v>3000</v>
      </c>
      <c r="D5077" t="s">
        <v>291</v>
      </c>
      <c r="E5077" t="s">
        <v>718</v>
      </c>
      <c r="F5077">
        <v>45</v>
      </c>
    </row>
    <row r="5078" spans="1:6" ht="13.2">
      <c r="A5078" t="s">
        <v>4457</v>
      </c>
      <c r="B5078">
        <v>0</v>
      </c>
      <c r="C5078" s="44" t="s">
        <v>211</v>
      </c>
      <c r="D5078" t="s">
        <v>291</v>
      </c>
      <c r="E5078" t="s">
        <v>256</v>
      </c>
      <c r="F5078">
        <v>15</v>
      </c>
    </row>
    <row r="5079" spans="1:6" ht="13.2">
      <c r="A5079" t="s">
        <v>4458</v>
      </c>
      <c r="B5079">
        <v>0</v>
      </c>
      <c r="C5079" s="44" t="s">
        <v>211</v>
      </c>
      <c r="D5079" t="s">
        <v>291</v>
      </c>
      <c r="E5079" t="s">
        <v>256</v>
      </c>
      <c r="F5079">
        <v>15</v>
      </c>
    </row>
    <row r="5080" spans="1:6" ht="13.2">
      <c r="A5080" t="s">
        <v>4460</v>
      </c>
      <c r="B5080">
        <v>0</v>
      </c>
      <c r="C5080" s="44" t="s">
        <v>211</v>
      </c>
      <c r="D5080" t="s">
        <v>291</v>
      </c>
      <c r="E5080" t="s">
        <v>256</v>
      </c>
      <c r="F5080">
        <v>15</v>
      </c>
    </row>
    <row r="5081" spans="1:6" ht="13.2">
      <c r="A5081" t="s">
        <v>4459</v>
      </c>
      <c r="B5081">
        <v>0</v>
      </c>
      <c r="C5081" s="44" t="s">
        <v>211</v>
      </c>
      <c r="D5081" t="s">
        <v>291</v>
      </c>
      <c r="E5081" t="s">
        <v>256</v>
      </c>
      <c r="F5081">
        <v>15</v>
      </c>
    </row>
    <row r="5082" spans="1:6" ht="13.2">
      <c r="A5082" t="s">
        <v>4461</v>
      </c>
      <c r="B5082">
        <v>0</v>
      </c>
      <c r="C5082" s="44" t="s">
        <v>211</v>
      </c>
      <c r="D5082" t="s">
        <v>291</v>
      </c>
      <c r="E5082" t="s">
        <v>256</v>
      </c>
      <c r="F5082">
        <v>15</v>
      </c>
    </row>
    <row r="5083" spans="1:6" ht="13.2">
      <c r="A5083" t="s">
        <v>4462</v>
      </c>
      <c r="B5083">
        <v>0</v>
      </c>
      <c r="C5083" s="44" t="s">
        <v>211</v>
      </c>
      <c r="D5083" t="s">
        <v>291</v>
      </c>
      <c r="E5083" t="s">
        <v>256</v>
      </c>
      <c r="F5083">
        <v>15</v>
      </c>
    </row>
    <row r="5084" spans="1:6" ht="13.2">
      <c r="A5084" t="s">
        <v>4463</v>
      </c>
      <c r="B5084">
        <v>0</v>
      </c>
      <c r="C5084" s="44" t="s">
        <v>211</v>
      </c>
      <c r="D5084" t="s">
        <v>291</v>
      </c>
      <c r="E5084" t="s">
        <v>256</v>
      </c>
      <c r="F5084">
        <v>15</v>
      </c>
    </row>
    <row r="5085" spans="1:6" ht="13.2">
      <c r="A5085" t="s">
        <v>4464</v>
      </c>
      <c r="B5085">
        <v>0</v>
      </c>
      <c r="C5085" s="44" t="s">
        <v>211</v>
      </c>
      <c r="D5085" t="s">
        <v>291</v>
      </c>
      <c r="E5085" t="s">
        <v>256</v>
      </c>
      <c r="F5085">
        <v>15</v>
      </c>
    </row>
    <row r="5086" spans="1:6" ht="13.2">
      <c r="A5086" t="s">
        <v>4465</v>
      </c>
      <c r="B5086">
        <v>0</v>
      </c>
      <c r="C5086" s="44" t="s">
        <v>211</v>
      </c>
      <c r="D5086" t="s">
        <v>291</v>
      </c>
      <c r="E5086" t="s">
        <v>256</v>
      </c>
      <c r="F5086">
        <v>15</v>
      </c>
    </row>
    <row r="5087" spans="1:6" ht="13.2">
      <c r="A5087" t="s">
        <v>4466</v>
      </c>
      <c r="B5087">
        <v>0</v>
      </c>
      <c r="C5087" s="44" t="s">
        <v>211</v>
      </c>
      <c r="D5087" t="s">
        <v>291</v>
      </c>
      <c r="E5087" t="s">
        <v>256</v>
      </c>
      <c r="F5087">
        <v>15</v>
      </c>
    </row>
    <row r="5088" spans="1:6" ht="13.2">
      <c r="A5088" t="s">
        <v>4467</v>
      </c>
      <c r="B5088">
        <v>0</v>
      </c>
      <c r="C5088" s="44" t="s">
        <v>211</v>
      </c>
      <c r="D5088" t="s">
        <v>291</v>
      </c>
      <c r="E5088" t="s">
        <v>256</v>
      </c>
      <c r="F5088">
        <v>15</v>
      </c>
    </row>
    <row r="5089" spans="1:6" ht="13.2">
      <c r="A5089" t="s">
        <v>1483</v>
      </c>
      <c r="B5089">
        <v>0</v>
      </c>
      <c r="C5089" s="44">
        <v>2980</v>
      </c>
      <c r="D5089" t="s">
        <v>293</v>
      </c>
      <c r="E5089" t="s">
        <v>256</v>
      </c>
      <c r="F5089">
        <v>4</v>
      </c>
    </row>
    <row r="5090" spans="1:6" ht="13.2">
      <c r="A5090" t="s">
        <v>1484</v>
      </c>
      <c r="B5090">
        <v>0</v>
      </c>
      <c r="C5090" s="44">
        <v>2980</v>
      </c>
      <c r="D5090" t="s">
        <v>293</v>
      </c>
      <c r="E5090" t="s">
        <v>256</v>
      </c>
      <c r="F5090">
        <v>4</v>
      </c>
    </row>
    <row r="5091" spans="1:6" ht="13.2">
      <c r="A5091" t="s">
        <v>1479</v>
      </c>
      <c r="B5091">
        <v>0</v>
      </c>
      <c r="C5091" s="44">
        <v>2980</v>
      </c>
      <c r="D5091" t="s">
        <v>293</v>
      </c>
      <c r="E5091" t="s">
        <v>256</v>
      </c>
      <c r="F5091">
        <v>4</v>
      </c>
    </row>
    <row r="5092" spans="1:6" ht="13.2">
      <c r="A5092" t="s">
        <v>1481</v>
      </c>
      <c r="B5092">
        <v>0</v>
      </c>
      <c r="C5092" s="44">
        <v>2980</v>
      </c>
      <c r="D5092" t="s">
        <v>293</v>
      </c>
      <c r="E5092" t="s">
        <v>256</v>
      </c>
      <c r="F5092">
        <v>4</v>
      </c>
    </row>
    <row r="5093" spans="1:6" ht="13.2">
      <c r="A5093" t="s">
        <v>1482</v>
      </c>
      <c r="B5093">
        <v>0</v>
      </c>
      <c r="C5093" s="44">
        <v>2980</v>
      </c>
      <c r="D5093" t="s">
        <v>293</v>
      </c>
      <c r="E5093" t="s">
        <v>256</v>
      </c>
      <c r="F5093">
        <v>4</v>
      </c>
    </row>
    <row r="5094" spans="1:6" ht="13.2">
      <c r="A5094" t="s">
        <v>1478</v>
      </c>
      <c r="B5094">
        <v>0</v>
      </c>
      <c r="C5094" s="44">
        <v>2980</v>
      </c>
      <c r="D5094" t="s">
        <v>293</v>
      </c>
      <c r="E5094" t="s">
        <v>256</v>
      </c>
      <c r="F5094">
        <v>4</v>
      </c>
    </row>
    <row r="5095" spans="1:6" ht="13.2">
      <c r="A5095" t="s">
        <v>1477</v>
      </c>
      <c r="B5095">
        <v>0</v>
      </c>
      <c r="C5095" s="44">
        <v>2980</v>
      </c>
      <c r="D5095" t="s">
        <v>293</v>
      </c>
      <c r="E5095" t="s">
        <v>256</v>
      </c>
      <c r="F5095">
        <v>4</v>
      </c>
    </row>
    <row r="5096" spans="1:6" ht="13.2">
      <c r="A5096" t="s">
        <v>1485</v>
      </c>
      <c r="B5096">
        <v>0</v>
      </c>
      <c r="C5096" s="44">
        <v>2980</v>
      </c>
      <c r="D5096" t="s">
        <v>293</v>
      </c>
      <c r="E5096" t="s">
        <v>256</v>
      </c>
      <c r="F5096">
        <v>4</v>
      </c>
    </row>
    <row r="5097" spans="1:6" ht="13.2">
      <c r="A5097" t="s">
        <v>1480</v>
      </c>
      <c r="B5097">
        <v>0</v>
      </c>
      <c r="C5097" s="44">
        <v>2980</v>
      </c>
      <c r="D5097" t="s">
        <v>293</v>
      </c>
      <c r="E5097" t="s">
        <v>256</v>
      </c>
      <c r="F5097">
        <v>4</v>
      </c>
    </row>
    <row r="5098" spans="1:6" ht="13.2">
      <c r="A5098" t="s">
        <v>3068</v>
      </c>
      <c r="B5098">
        <v>703</v>
      </c>
      <c r="C5098" s="44">
        <v>1420</v>
      </c>
      <c r="D5098" t="s">
        <v>291</v>
      </c>
      <c r="E5098" t="s">
        <v>574</v>
      </c>
      <c r="F5098">
        <v>17</v>
      </c>
    </row>
    <row r="5099" spans="1:6" ht="13.2">
      <c r="A5099" t="s">
        <v>3071</v>
      </c>
      <c r="B5099">
        <v>703</v>
      </c>
      <c r="C5099" s="44">
        <v>1420</v>
      </c>
      <c r="D5099" t="s">
        <v>291</v>
      </c>
      <c r="E5099" t="s">
        <v>574</v>
      </c>
      <c r="F5099">
        <v>17</v>
      </c>
    </row>
    <row r="5100" spans="1:6" ht="13.2">
      <c r="A5100" t="s">
        <v>3070</v>
      </c>
      <c r="B5100">
        <v>703</v>
      </c>
      <c r="C5100" s="44">
        <v>1420</v>
      </c>
      <c r="D5100" t="s">
        <v>291</v>
      </c>
      <c r="E5100" t="s">
        <v>574</v>
      </c>
      <c r="F5100">
        <v>17</v>
      </c>
    </row>
    <row r="5101" spans="1:6" ht="13.2">
      <c r="A5101" t="s">
        <v>3069</v>
      </c>
      <c r="B5101">
        <v>703</v>
      </c>
      <c r="C5101" s="44">
        <v>1420</v>
      </c>
      <c r="D5101" t="s">
        <v>291</v>
      </c>
      <c r="E5101" t="s">
        <v>574</v>
      </c>
      <c r="F5101">
        <v>17</v>
      </c>
    </row>
    <row r="5102" spans="1:6" ht="13.2">
      <c r="A5102" t="s">
        <v>3072</v>
      </c>
      <c r="B5102">
        <v>703</v>
      </c>
      <c r="C5102" s="44">
        <v>1420</v>
      </c>
      <c r="D5102" t="s">
        <v>291</v>
      </c>
      <c r="E5102" t="s">
        <v>574</v>
      </c>
      <c r="F5102">
        <v>17</v>
      </c>
    </row>
    <row r="5103" spans="1:6" ht="13.2">
      <c r="A5103" t="s">
        <v>1379</v>
      </c>
      <c r="B5103">
        <v>0</v>
      </c>
      <c r="C5103" s="44" t="s">
        <v>352</v>
      </c>
      <c r="D5103" t="s">
        <v>293</v>
      </c>
      <c r="E5103" t="s">
        <v>215</v>
      </c>
      <c r="F5103">
        <v>4</v>
      </c>
    </row>
    <row r="5104" spans="1:6" ht="13.2">
      <c r="A5104" t="s">
        <v>1380</v>
      </c>
      <c r="B5104">
        <v>0</v>
      </c>
      <c r="C5104" s="44" t="s">
        <v>352</v>
      </c>
      <c r="D5104" t="s">
        <v>293</v>
      </c>
      <c r="E5104" t="s">
        <v>215</v>
      </c>
      <c r="F5104">
        <v>4</v>
      </c>
    </row>
    <row r="5105" spans="1:6" ht="13.2">
      <c r="A5105" t="s">
        <v>1381</v>
      </c>
      <c r="B5105">
        <v>0</v>
      </c>
      <c r="C5105" s="44" t="s">
        <v>352</v>
      </c>
      <c r="D5105" t="s">
        <v>293</v>
      </c>
      <c r="E5105" t="s">
        <v>215</v>
      </c>
      <c r="F5105">
        <v>4</v>
      </c>
    </row>
    <row r="5106" spans="1:6" ht="13.2">
      <c r="A5106" t="s">
        <v>1382</v>
      </c>
      <c r="B5106">
        <v>0</v>
      </c>
      <c r="C5106" s="44" t="s">
        <v>352</v>
      </c>
      <c r="D5106" t="s">
        <v>293</v>
      </c>
      <c r="E5106" t="s">
        <v>215</v>
      </c>
      <c r="F5106">
        <v>4</v>
      </c>
    </row>
    <row r="5107" spans="1:6" ht="13.2">
      <c r="A5107" t="s">
        <v>1383</v>
      </c>
      <c r="B5107">
        <v>0</v>
      </c>
      <c r="C5107" s="44" t="s">
        <v>352</v>
      </c>
      <c r="D5107" t="s">
        <v>293</v>
      </c>
      <c r="E5107" t="s">
        <v>215</v>
      </c>
      <c r="F5107">
        <v>4</v>
      </c>
    </row>
    <row r="5108" spans="1:6" ht="13.2">
      <c r="A5108" t="s">
        <v>1384</v>
      </c>
      <c r="B5108">
        <v>0</v>
      </c>
      <c r="C5108" s="44" t="s">
        <v>352</v>
      </c>
      <c r="D5108" t="s">
        <v>293</v>
      </c>
      <c r="E5108" t="s">
        <v>215</v>
      </c>
      <c r="F5108">
        <v>4</v>
      </c>
    </row>
    <row r="5109" spans="1:6" ht="13.2">
      <c r="A5109" t="s">
        <v>1385</v>
      </c>
      <c r="B5109">
        <v>0</v>
      </c>
      <c r="C5109" s="44" t="s">
        <v>352</v>
      </c>
      <c r="D5109" t="s">
        <v>293</v>
      </c>
      <c r="E5109" t="s">
        <v>215</v>
      </c>
      <c r="F5109">
        <v>4</v>
      </c>
    </row>
    <row r="5110" spans="1:6" ht="13.2">
      <c r="A5110" t="s">
        <v>1386</v>
      </c>
      <c r="B5110">
        <v>0</v>
      </c>
      <c r="C5110" s="44" t="s">
        <v>352</v>
      </c>
      <c r="D5110" t="s">
        <v>293</v>
      </c>
      <c r="E5110" t="s">
        <v>215</v>
      </c>
      <c r="F5110">
        <v>4</v>
      </c>
    </row>
    <row r="5111" spans="1:6" ht="13.2">
      <c r="A5111" t="s">
        <v>1387</v>
      </c>
      <c r="B5111">
        <v>0</v>
      </c>
      <c r="C5111" s="44" t="s">
        <v>352</v>
      </c>
      <c r="D5111" t="s">
        <v>293</v>
      </c>
      <c r="E5111" t="s">
        <v>215</v>
      </c>
      <c r="F5111">
        <v>4</v>
      </c>
    </row>
    <row r="5112" spans="1:6" ht="13.2">
      <c r="A5112" t="s">
        <v>1388</v>
      </c>
      <c r="B5112">
        <v>0</v>
      </c>
      <c r="C5112" s="44" t="s">
        <v>352</v>
      </c>
      <c r="D5112" t="s">
        <v>293</v>
      </c>
      <c r="E5112" t="s">
        <v>215</v>
      </c>
      <c r="F5112">
        <v>4</v>
      </c>
    </row>
    <row r="5113" spans="1:6" ht="13.2">
      <c r="A5113" t="s">
        <v>1389</v>
      </c>
      <c r="B5113">
        <v>0</v>
      </c>
      <c r="C5113" s="44" t="s">
        <v>352</v>
      </c>
      <c r="D5113" t="s">
        <v>293</v>
      </c>
      <c r="E5113" t="s">
        <v>215</v>
      </c>
      <c r="F5113">
        <v>4</v>
      </c>
    </row>
    <row r="5114" spans="1:6" ht="13.2">
      <c r="A5114" t="s">
        <v>1390</v>
      </c>
      <c r="B5114">
        <v>0</v>
      </c>
      <c r="C5114" s="44" t="s">
        <v>352</v>
      </c>
      <c r="D5114" t="s">
        <v>293</v>
      </c>
      <c r="E5114" t="s">
        <v>215</v>
      </c>
      <c r="F5114">
        <v>4</v>
      </c>
    </row>
    <row r="5115" spans="1:6" ht="13.2">
      <c r="A5115" t="s">
        <v>1391</v>
      </c>
      <c r="B5115">
        <v>0</v>
      </c>
      <c r="C5115" s="44" t="s">
        <v>352</v>
      </c>
      <c r="D5115" t="s">
        <v>293</v>
      </c>
      <c r="E5115" t="s">
        <v>215</v>
      </c>
      <c r="F5115">
        <v>4</v>
      </c>
    </row>
    <row r="5116" spans="1:6" ht="13.2">
      <c r="A5116" t="s">
        <v>1392</v>
      </c>
      <c r="B5116">
        <v>0</v>
      </c>
      <c r="C5116" s="44" t="s">
        <v>352</v>
      </c>
      <c r="D5116" s="45" t="s">
        <v>293</v>
      </c>
      <c r="E5116" t="s">
        <v>215</v>
      </c>
      <c r="F5116">
        <v>4</v>
      </c>
    </row>
    <row r="5117" spans="1:6" ht="13.2">
      <c r="A5117" t="s">
        <v>1393</v>
      </c>
      <c r="B5117">
        <v>0</v>
      </c>
      <c r="C5117" s="44" t="s">
        <v>352</v>
      </c>
      <c r="D5117" s="45" t="s">
        <v>293</v>
      </c>
      <c r="E5117" t="s">
        <v>215</v>
      </c>
      <c r="F5117">
        <v>4</v>
      </c>
    </row>
    <row r="5118" spans="1:6" ht="13.2">
      <c r="A5118" t="s">
        <v>1394</v>
      </c>
      <c r="B5118">
        <v>0</v>
      </c>
      <c r="C5118" s="44" t="s">
        <v>352</v>
      </c>
      <c r="D5118" s="45" t="s">
        <v>293</v>
      </c>
      <c r="E5118" t="s">
        <v>215</v>
      </c>
      <c r="F5118">
        <v>4</v>
      </c>
    </row>
    <row r="5119" spans="1:6" ht="13.2">
      <c r="A5119" t="s">
        <v>1395</v>
      </c>
      <c r="B5119">
        <v>0</v>
      </c>
      <c r="C5119" s="44" t="s">
        <v>352</v>
      </c>
      <c r="D5119" s="45" t="s">
        <v>293</v>
      </c>
      <c r="E5119" t="s">
        <v>215</v>
      </c>
      <c r="F5119">
        <v>4</v>
      </c>
    </row>
    <row r="5120" spans="1:6" ht="13.2">
      <c r="A5120" t="s">
        <v>1396</v>
      </c>
      <c r="B5120">
        <v>0</v>
      </c>
      <c r="C5120" s="44" t="s">
        <v>352</v>
      </c>
      <c r="D5120" s="45" t="s">
        <v>293</v>
      </c>
      <c r="E5120" t="s">
        <v>215</v>
      </c>
      <c r="F5120">
        <v>4</v>
      </c>
    </row>
    <row r="5121" spans="1:6" ht="13.2">
      <c r="A5121" t="s">
        <v>1397</v>
      </c>
      <c r="B5121">
        <v>0</v>
      </c>
      <c r="C5121" s="44" t="s">
        <v>352</v>
      </c>
      <c r="D5121" s="45" t="s">
        <v>293</v>
      </c>
      <c r="E5121" t="s">
        <v>215</v>
      </c>
      <c r="F5121">
        <v>4</v>
      </c>
    </row>
    <row r="5122" spans="1:6" ht="13.2">
      <c r="A5122" t="s">
        <v>1398</v>
      </c>
      <c r="B5122">
        <v>0</v>
      </c>
      <c r="C5122" s="44" t="s">
        <v>352</v>
      </c>
      <c r="D5122" s="45" t="s">
        <v>293</v>
      </c>
      <c r="E5122" t="s">
        <v>215</v>
      </c>
      <c r="F5122">
        <v>4</v>
      </c>
    </row>
    <row r="5123" spans="1:6" ht="13.2">
      <c r="A5123" t="s">
        <v>1399</v>
      </c>
      <c r="B5123">
        <v>0</v>
      </c>
      <c r="C5123" s="44" t="s">
        <v>352</v>
      </c>
      <c r="D5123" s="45" t="s">
        <v>293</v>
      </c>
      <c r="E5123" t="s">
        <v>215</v>
      </c>
      <c r="F5123">
        <v>4</v>
      </c>
    </row>
    <row r="5124" spans="1:6" ht="13.2">
      <c r="A5124" t="s">
        <v>1400</v>
      </c>
      <c r="B5124">
        <v>0</v>
      </c>
      <c r="C5124" s="44" t="s">
        <v>352</v>
      </c>
      <c r="D5124" s="45" t="s">
        <v>293</v>
      </c>
      <c r="E5124" t="s">
        <v>215</v>
      </c>
      <c r="F5124">
        <v>4</v>
      </c>
    </row>
    <row r="5125" spans="1:6" ht="13.2">
      <c r="A5125" t="s">
        <v>1401</v>
      </c>
      <c r="B5125">
        <v>0</v>
      </c>
      <c r="C5125" s="44" t="s">
        <v>352</v>
      </c>
      <c r="D5125" s="45" t="s">
        <v>293</v>
      </c>
      <c r="E5125" t="s">
        <v>215</v>
      </c>
      <c r="F5125">
        <v>4</v>
      </c>
    </row>
    <row r="5126" spans="1:6" ht="13.2">
      <c r="A5126" t="s">
        <v>1402</v>
      </c>
      <c r="B5126">
        <v>0</v>
      </c>
      <c r="C5126" s="44" t="s">
        <v>352</v>
      </c>
      <c r="D5126" s="45" t="s">
        <v>293</v>
      </c>
      <c r="E5126" t="s">
        <v>215</v>
      </c>
      <c r="F5126">
        <v>4</v>
      </c>
    </row>
    <row r="5127" spans="1:6" ht="13.2">
      <c r="A5127" t="s">
        <v>1403</v>
      </c>
      <c r="B5127">
        <v>0</v>
      </c>
      <c r="C5127" s="44" t="s">
        <v>352</v>
      </c>
      <c r="D5127" s="45" t="s">
        <v>293</v>
      </c>
      <c r="E5127" t="s">
        <v>215</v>
      </c>
      <c r="F5127">
        <v>4</v>
      </c>
    </row>
    <row r="5128" spans="1:6" ht="13.2">
      <c r="A5128" t="s">
        <v>1404</v>
      </c>
      <c r="B5128">
        <v>0</v>
      </c>
      <c r="C5128" s="44" t="s">
        <v>353</v>
      </c>
      <c r="D5128" s="45" t="s">
        <v>293</v>
      </c>
      <c r="E5128" t="s">
        <v>257</v>
      </c>
      <c r="F5128">
        <v>4</v>
      </c>
    </row>
    <row r="5129" spans="1:6" ht="13.2">
      <c r="A5129" t="s">
        <v>1405</v>
      </c>
      <c r="B5129">
        <v>0</v>
      </c>
      <c r="C5129" s="44" t="s">
        <v>353</v>
      </c>
      <c r="D5129" s="45" t="s">
        <v>293</v>
      </c>
      <c r="E5129" t="s">
        <v>257</v>
      </c>
      <c r="F5129">
        <v>4</v>
      </c>
    </row>
    <row r="5130" spans="1:6" ht="13.2">
      <c r="A5130" t="s">
        <v>1406</v>
      </c>
      <c r="B5130">
        <v>0</v>
      </c>
      <c r="C5130" s="44" t="s">
        <v>353</v>
      </c>
      <c r="D5130" s="45" t="s">
        <v>293</v>
      </c>
      <c r="E5130" t="s">
        <v>257</v>
      </c>
      <c r="F5130">
        <v>4</v>
      </c>
    </row>
    <row r="5131" spans="1:6" ht="13.2">
      <c r="A5131" t="s">
        <v>1407</v>
      </c>
      <c r="B5131">
        <v>0</v>
      </c>
      <c r="C5131" s="44" t="s">
        <v>353</v>
      </c>
      <c r="D5131" s="45" t="s">
        <v>293</v>
      </c>
      <c r="E5131" t="s">
        <v>257</v>
      </c>
      <c r="F5131">
        <v>4</v>
      </c>
    </row>
    <row r="5132" spans="1:6" ht="13.2">
      <c r="A5132" t="s">
        <v>1408</v>
      </c>
      <c r="B5132">
        <v>0</v>
      </c>
      <c r="C5132" s="44" t="s">
        <v>353</v>
      </c>
      <c r="D5132" s="45" t="s">
        <v>293</v>
      </c>
      <c r="E5132" t="s">
        <v>257</v>
      </c>
      <c r="F5132">
        <v>4</v>
      </c>
    </row>
    <row r="5133" spans="1:6" ht="13.2">
      <c r="A5133" t="s">
        <v>1409</v>
      </c>
      <c r="B5133">
        <v>0</v>
      </c>
      <c r="C5133" s="44" t="s">
        <v>353</v>
      </c>
      <c r="D5133" s="45" t="s">
        <v>293</v>
      </c>
      <c r="E5133" t="s">
        <v>257</v>
      </c>
      <c r="F5133">
        <v>4</v>
      </c>
    </row>
    <row r="5134" spans="1:6" ht="13.2">
      <c r="A5134" t="s">
        <v>1410</v>
      </c>
      <c r="B5134">
        <v>0</v>
      </c>
      <c r="C5134" s="44" t="s">
        <v>353</v>
      </c>
      <c r="D5134" s="45" t="s">
        <v>293</v>
      </c>
      <c r="E5134" t="s">
        <v>257</v>
      </c>
      <c r="F5134">
        <v>4</v>
      </c>
    </row>
    <row r="5135" spans="1:6" ht="13.2">
      <c r="A5135" t="s">
        <v>1411</v>
      </c>
      <c r="B5135">
        <v>0</v>
      </c>
      <c r="C5135" s="44" t="s">
        <v>353</v>
      </c>
      <c r="D5135" s="45" t="s">
        <v>293</v>
      </c>
      <c r="E5135" t="s">
        <v>257</v>
      </c>
      <c r="F5135">
        <v>4</v>
      </c>
    </row>
    <row r="5136" spans="1:6" ht="13.2">
      <c r="A5136" t="s">
        <v>1412</v>
      </c>
      <c r="B5136">
        <v>0</v>
      </c>
      <c r="C5136" s="44" t="s">
        <v>353</v>
      </c>
      <c r="D5136" s="45" t="s">
        <v>293</v>
      </c>
      <c r="E5136" t="s">
        <v>257</v>
      </c>
      <c r="F5136">
        <v>4</v>
      </c>
    </row>
    <row r="5137" spans="1:6" ht="13.2">
      <c r="A5137" t="s">
        <v>1413</v>
      </c>
      <c r="B5137">
        <v>0</v>
      </c>
      <c r="C5137" s="44" t="s">
        <v>353</v>
      </c>
      <c r="D5137" s="45" t="s">
        <v>293</v>
      </c>
      <c r="E5137" t="s">
        <v>257</v>
      </c>
      <c r="F5137">
        <v>4</v>
      </c>
    </row>
    <row r="5138" spans="1:6" ht="13.2">
      <c r="A5138" t="s">
        <v>1414</v>
      </c>
      <c r="B5138">
        <v>0</v>
      </c>
      <c r="C5138" s="44" t="s">
        <v>353</v>
      </c>
      <c r="D5138" s="45" t="s">
        <v>293</v>
      </c>
      <c r="E5138" t="s">
        <v>257</v>
      </c>
      <c r="F5138">
        <v>4</v>
      </c>
    </row>
    <row r="5139" spans="1:6" ht="13.2">
      <c r="A5139" t="s">
        <v>1415</v>
      </c>
      <c r="B5139">
        <v>0</v>
      </c>
      <c r="C5139" s="44" t="s">
        <v>353</v>
      </c>
      <c r="D5139" s="45" t="s">
        <v>293</v>
      </c>
      <c r="E5139" t="s">
        <v>257</v>
      </c>
      <c r="F5139">
        <v>4</v>
      </c>
    </row>
    <row r="5140" spans="1:6" ht="13.2">
      <c r="A5140" t="s">
        <v>1416</v>
      </c>
      <c r="B5140">
        <v>0</v>
      </c>
      <c r="C5140" s="44" t="s">
        <v>353</v>
      </c>
      <c r="D5140" s="45" t="s">
        <v>293</v>
      </c>
      <c r="E5140" t="s">
        <v>257</v>
      </c>
      <c r="F5140">
        <v>4</v>
      </c>
    </row>
    <row r="5141" spans="1:6" ht="13.2">
      <c r="A5141" t="s">
        <v>1417</v>
      </c>
      <c r="B5141">
        <v>0</v>
      </c>
      <c r="C5141" s="44" t="s">
        <v>353</v>
      </c>
      <c r="D5141" s="45" t="s">
        <v>293</v>
      </c>
      <c r="E5141" t="s">
        <v>257</v>
      </c>
      <c r="F5141">
        <v>4</v>
      </c>
    </row>
    <row r="5142" spans="1:6" ht="13.2">
      <c r="A5142" t="s">
        <v>1418</v>
      </c>
      <c r="B5142">
        <v>0</v>
      </c>
      <c r="C5142" s="44" t="s">
        <v>353</v>
      </c>
      <c r="D5142" s="45" t="s">
        <v>293</v>
      </c>
      <c r="E5142" t="s">
        <v>257</v>
      </c>
      <c r="F5142">
        <v>4</v>
      </c>
    </row>
    <row r="5143" spans="1:6" ht="13.2">
      <c r="A5143" t="s">
        <v>1419</v>
      </c>
      <c r="B5143">
        <v>0</v>
      </c>
      <c r="C5143" s="44" t="s">
        <v>353</v>
      </c>
      <c r="D5143" s="45" t="s">
        <v>293</v>
      </c>
      <c r="E5143" t="s">
        <v>257</v>
      </c>
      <c r="F5143">
        <v>4</v>
      </c>
    </row>
    <row r="5144" spans="1:6" ht="13.2">
      <c r="A5144" t="s">
        <v>1420</v>
      </c>
      <c r="B5144">
        <v>0</v>
      </c>
      <c r="C5144" s="44" t="s">
        <v>353</v>
      </c>
      <c r="D5144" s="45" t="s">
        <v>293</v>
      </c>
      <c r="E5144" t="s">
        <v>257</v>
      </c>
      <c r="F5144">
        <v>4</v>
      </c>
    </row>
    <row r="5145" spans="1:6" ht="13.2">
      <c r="A5145" t="s">
        <v>1421</v>
      </c>
      <c r="B5145">
        <v>0</v>
      </c>
      <c r="C5145" s="44" t="s">
        <v>353</v>
      </c>
      <c r="D5145" t="s">
        <v>293</v>
      </c>
      <c r="E5145" t="s">
        <v>257</v>
      </c>
      <c r="F5145">
        <v>4</v>
      </c>
    </row>
    <row r="5146" spans="1:6" ht="13.2">
      <c r="A5146" t="s">
        <v>1422</v>
      </c>
      <c r="B5146">
        <v>0</v>
      </c>
      <c r="C5146" s="44" t="s">
        <v>353</v>
      </c>
      <c r="D5146" t="s">
        <v>293</v>
      </c>
      <c r="E5146" t="s">
        <v>257</v>
      </c>
      <c r="F5146">
        <v>4</v>
      </c>
    </row>
    <row r="5147" spans="1:6" ht="13.2">
      <c r="A5147" t="s">
        <v>1423</v>
      </c>
      <c r="B5147">
        <v>0</v>
      </c>
      <c r="C5147" s="44" t="s">
        <v>353</v>
      </c>
      <c r="D5147" t="s">
        <v>293</v>
      </c>
      <c r="E5147" t="s">
        <v>257</v>
      </c>
      <c r="F5147">
        <v>4</v>
      </c>
    </row>
    <row r="5148" spans="1:6" ht="13.2">
      <c r="A5148" t="s">
        <v>1424</v>
      </c>
      <c r="B5148">
        <v>0</v>
      </c>
      <c r="C5148" s="44" t="s">
        <v>353</v>
      </c>
      <c r="D5148" t="s">
        <v>293</v>
      </c>
      <c r="E5148" t="s">
        <v>257</v>
      </c>
      <c r="F5148">
        <v>4</v>
      </c>
    </row>
    <row r="5149" spans="1:6" ht="13.2">
      <c r="A5149" t="s">
        <v>1425</v>
      </c>
      <c r="B5149">
        <v>0</v>
      </c>
      <c r="C5149" s="44" t="s">
        <v>353</v>
      </c>
      <c r="D5149" t="s">
        <v>293</v>
      </c>
      <c r="E5149" t="s">
        <v>257</v>
      </c>
      <c r="F5149">
        <v>4</v>
      </c>
    </row>
    <row r="5150" spans="1:6" ht="13.2">
      <c r="A5150" t="s">
        <v>3231</v>
      </c>
      <c r="B5150">
        <v>0</v>
      </c>
      <c r="C5150" s="44">
        <v>1380</v>
      </c>
      <c r="D5150" t="s">
        <v>291</v>
      </c>
      <c r="E5150" t="s">
        <v>213</v>
      </c>
      <c r="F5150">
        <v>45</v>
      </c>
    </row>
    <row r="5151" spans="1:6" ht="13.2">
      <c r="A5151" t="s">
        <v>4468</v>
      </c>
      <c r="B5151">
        <v>0</v>
      </c>
      <c r="C5151" s="44">
        <v>1480</v>
      </c>
      <c r="D5151" t="s">
        <v>291</v>
      </c>
      <c r="E5151" t="s">
        <v>256</v>
      </c>
      <c r="F5151">
        <v>15</v>
      </c>
    </row>
    <row r="5152" spans="1:6" ht="13.2">
      <c r="A5152" t="s">
        <v>4469</v>
      </c>
      <c r="B5152">
        <v>0</v>
      </c>
      <c r="C5152" s="44">
        <v>1480</v>
      </c>
      <c r="D5152" t="s">
        <v>291</v>
      </c>
      <c r="E5152" t="s">
        <v>256</v>
      </c>
      <c r="F5152">
        <v>15</v>
      </c>
    </row>
    <row r="5153" spans="1:6" ht="13.2">
      <c r="A5153" t="s">
        <v>4470</v>
      </c>
      <c r="B5153">
        <v>0</v>
      </c>
      <c r="C5153" s="44">
        <v>1480</v>
      </c>
      <c r="D5153" t="s">
        <v>291</v>
      </c>
      <c r="E5153" t="s">
        <v>256</v>
      </c>
      <c r="F5153">
        <v>15</v>
      </c>
    </row>
    <row r="5154" spans="1:6" ht="13.2">
      <c r="A5154" t="s">
        <v>4471</v>
      </c>
      <c r="B5154">
        <v>0</v>
      </c>
      <c r="C5154" s="44">
        <v>1480</v>
      </c>
      <c r="D5154" t="s">
        <v>291</v>
      </c>
      <c r="E5154" t="s">
        <v>256</v>
      </c>
      <c r="F5154">
        <v>15</v>
      </c>
    </row>
    <row r="5155" spans="1:6" ht="13.2">
      <c r="A5155" t="s">
        <v>4472</v>
      </c>
      <c r="B5155">
        <v>0</v>
      </c>
      <c r="C5155" s="44">
        <v>1480</v>
      </c>
      <c r="D5155" t="s">
        <v>291</v>
      </c>
      <c r="E5155" t="s">
        <v>256</v>
      </c>
      <c r="F5155">
        <v>15</v>
      </c>
    </row>
    <row r="5156" spans="1:6" ht="13.2">
      <c r="A5156" t="s">
        <v>4473</v>
      </c>
      <c r="B5156">
        <v>0</v>
      </c>
      <c r="C5156" s="44">
        <v>1480</v>
      </c>
      <c r="D5156" t="s">
        <v>291</v>
      </c>
      <c r="E5156" t="s">
        <v>256</v>
      </c>
      <c r="F5156">
        <v>15</v>
      </c>
    </row>
    <row r="5157" spans="1:6" ht="13.2">
      <c r="A5157" t="s">
        <v>4474</v>
      </c>
      <c r="B5157">
        <v>0</v>
      </c>
      <c r="C5157" s="44">
        <v>1480</v>
      </c>
      <c r="D5157" t="s">
        <v>291</v>
      </c>
      <c r="E5157" t="s">
        <v>256</v>
      </c>
      <c r="F5157">
        <v>15</v>
      </c>
    </row>
    <row r="5158" spans="1:6" ht="13.2">
      <c r="A5158" t="s">
        <v>327</v>
      </c>
      <c r="B5158">
        <v>0</v>
      </c>
      <c r="C5158" s="44" t="s">
        <v>210</v>
      </c>
      <c r="D5158" t="s">
        <v>291</v>
      </c>
      <c r="E5158" t="s">
        <v>254</v>
      </c>
      <c r="F5158" t="s">
        <v>255</v>
      </c>
    </row>
    <row r="5159" spans="1:6" ht="13.2">
      <c r="A5159" t="s">
        <v>328</v>
      </c>
      <c r="B5159">
        <v>0</v>
      </c>
      <c r="C5159" s="44" t="s">
        <v>210</v>
      </c>
      <c r="D5159" t="s">
        <v>291</v>
      </c>
      <c r="E5159" t="s">
        <v>254</v>
      </c>
      <c r="F5159" t="s">
        <v>255</v>
      </c>
    </row>
    <row r="5160" spans="1:6" ht="13.2">
      <c r="A5160" t="s">
        <v>329</v>
      </c>
      <c r="B5160">
        <v>0</v>
      </c>
      <c r="C5160" s="44" t="s">
        <v>210</v>
      </c>
      <c r="D5160" t="s">
        <v>291</v>
      </c>
      <c r="E5160" t="s">
        <v>254</v>
      </c>
      <c r="F5160" t="s">
        <v>255</v>
      </c>
    </row>
    <row r="5161" spans="1:6" ht="13.2">
      <c r="A5161" t="s">
        <v>330</v>
      </c>
      <c r="B5161">
        <v>0</v>
      </c>
      <c r="C5161" s="44" t="s">
        <v>210</v>
      </c>
      <c r="D5161" t="s">
        <v>291</v>
      </c>
      <c r="E5161" t="s">
        <v>254</v>
      </c>
      <c r="F5161" t="s">
        <v>255</v>
      </c>
    </row>
    <row r="5162" spans="1:6" ht="13.2">
      <c r="A5162" t="s">
        <v>331</v>
      </c>
      <c r="B5162">
        <v>0</v>
      </c>
      <c r="C5162" s="44" t="s">
        <v>210</v>
      </c>
      <c r="D5162" t="s">
        <v>291</v>
      </c>
      <c r="E5162" t="s">
        <v>254</v>
      </c>
      <c r="F5162" t="s">
        <v>255</v>
      </c>
    </row>
    <row r="5163" spans="1:6" ht="13.2">
      <c r="A5163" t="s">
        <v>332</v>
      </c>
      <c r="B5163">
        <v>0</v>
      </c>
      <c r="C5163" s="44" t="s">
        <v>210</v>
      </c>
      <c r="D5163" t="s">
        <v>291</v>
      </c>
      <c r="E5163" t="s">
        <v>254</v>
      </c>
      <c r="F5163" t="s">
        <v>255</v>
      </c>
    </row>
    <row r="5164" spans="1:6" ht="13.2">
      <c r="A5164" t="s">
        <v>333</v>
      </c>
      <c r="B5164">
        <v>0</v>
      </c>
      <c r="C5164" s="44" t="s">
        <v>210</v>
      </c>
      <c r="D5164" t="s">
        <v>291</v>
      </c>
      <c r="E5164" t="s">
        <v>254</v>
      </c>
      <c r="F5164" t="s">
        <v>255</v>
      </c>
    </row>
    <row r="5165" spans="1:6" ht="13.2">
      <c r="A5165" t="s">
        <v>334</v>
      </c>
      <c r="B5165">
        <v>0</v>
      </c>
      <c r="C5165" s="44" t="s">
        <v>210</v>
      </c>
      <c r="D5165" t="s">
        <v>291</v>
      </c>
      <c r="E5165" t="s">
        <v>254</v>
      </c>
      <c r="F5165" t="s">
        <v>255</v>
      </c>
    </row>
    <row r="5166" spans="1:6" ht="13.2">
      <c r="A5166" t="s">
        <v>335</v>
      </c>
      <c r="B5166">
        <v>0</v>
      </c>
      <c r="C5166" s="44" t="s">
        <v>210</v>
      </c>
      <c r="D5166" t="s">
        <v>291</v>
      </c>
      <c r="E5166" t="s">
        <v>254</v>
      </c>
      <c r="F5166" t="s">
        <v>255</v>
      </c>
    </row>
    <row r="5167" spans="1:6" ht="13.2">
      <c r="A5167" t="s">
        <v>336</v>
      </c>
      <c r="B5167">
        <v>0</v>
      </c>
      <c r="C5167" s="44" t="s">
        <v>210</v>
      </c>
      <c r="D5167" t="s">
        <v>291</v>
      </c>
      <c r="E5167" t="s">
        <v>254</v>
      </c>
      <c r="F5167" t="s">
        <v>255</v>
      </c>
    </row>
    <row r="5168" spans="1:6" ht="13.2">
      <c r="A5168" t="s">
        <v>337</v>
      </c>
      <c r="B5168">
        <v>0</v>
      </c>
      <c r="C5168" s="44" t="s">
        <v>210</v>
      </c>
      <c r="D5168" t="s">
        <v>291</v>
      </c>
      <c r="E5168" t="s">
        <v>254</v>
      </c>
      <c r="F5168" t="s">
        <v>255</v>
      </c>
    </row>
    <row r="5169" spans="1:6" ht="13.2">
      <c r="A5169" t="s">
        <v>338</v>
      </c>
      <c r="B5169">
        <v>0</v>
      </c>
      <c r="C5169" s="44" t="s">
        <v>210</v>
      </c>
      <c r="D5169" t="s">
        <v>291</v>
      </c>
      <c r="E5169" t="s">
        <v>254</v>
      </c>
      <c r="F5169" t="s">
        <v>255</v>
      </c>
    </row>
    <row r="5170" spans="1:6" ht="13.2">
      <c r="A5170" t="s">
        <v>339</v>
      </c>
      <c r="B5170">
        <v>0</v>
      </c>
      <c r="C5170" s="44" t="s">
        <v>210</v>
      </c>
      <c r="D5170" t="s">
        <v>291</v>
      </c>
      <c r="E5170" t="s">
        <v>254</v>
      </c>
      <c r="F5170" t="s">
        <v>255</v>
      </c>
    </row>
    <row r="5171" spans="1:6" ht="13.2">
      <c r="A5171" t="s">
        <v>340</v>
      </c>
      <c r="B5171">
        <v>0</v>
      </c>
      <c r="C5171" s="44" t="s">
        <v>210</v>
      </c>
      <c r="D5171" t="s">
        <v>291</v>
      </c>
      <c r="E5171" t="s">
        <v>254</v>
      </c>
      <c r="F5171" t="s">
        <v>255</v>
      </c>
    </row>
    <row r="5172" spans="1:6" ht="13.2">
      <c r="A5172" t="s">
        <v>341</v>
      </c>
      <c r="B5172">
        <v>0</v>
      </c>
      <c r="C5172" s="44" t="s">
        <v>210</v>
      </c>
      <c r="D5172" t="s">
        <v>291</v>
      </c>
      <c r="E5172" t="s">
        <v>254</v>
      </c>
      <c r="F5172" t="s">
        <v>255</v>
      </c>
    </row>
    <row r="5173" spans="1:6" ht="13.2">
      <c r="A5173" t="s">
        <v>342</v>
      </c>
      <c r="B5173">
        <v>0</v>
      </c>
      <c r="C5173" s="44" t="s">
        <v>210</v>
      </c>
      <c r="D5173" t="s">
        <v>291</v>
      </c>
      <c r="E5173" t="s">
        <v>254</v>
      </c>
      <c r="F5173" t="s">
        <v>255</v>
      </c>
    </row>
    <row r="5174" spans="1:6" ht="13.2">
      <c r="A5174" t="s">
        <v>343</v>
      </c>
      <c r="B5174">
        <v>0</v>
      </c>
      <c r="C5174" s="44" t="s">
        <v>210</v>
      </c>
      <c r="D5174" t="s">
        <v>291</v>
      </c>
      <c r="E5174" t="s">
        <v>254</v>
      </c>
      <c r="F5174" t="s">
        <v>255</v>
      </c>
    </row>
    <row r="5175" spans="1:6" ht="13.2">
      <c r="A5175" t="s">
        <v>344</v>
      </c>
      <c r="B5175">
        <v>0</v>
      </c>
      <c r="C5175" s="44" t="s">
        <v>210</v>
      </c>
      <c r="D5175" t="s">
        <v>291</v>
      </c>
      <c r="E5175" t="s">
        <v>254</v>
      </c>
      <c r="F5175" t="s">
        <v>255</v>
      </c>
    </row>
    <row r="5176" spans="1:6" ht="13.2">
      <c r="A5176" t="s">
        <v>345</v>
      </c>
      <c r="B5176">
        <v>0</v>
      </c>
      <c r="C5176" s="44" t="s">
        <v>210</v>
      </c>
      <c r="D5176" t="s">
        <v>291</v>
      </c>
      <c r="E5176" t="s">
        <v>254</v>
      </c>
      <c r="F5176" t="s">
        <v>255</v>
      </c>
    </row>
    <row r="5177" spans="1:6" ht="13.2">
      <c r="A5177" t="s">
        <v>346</v>
      </c>
      <c r="B5177">
        <v>0</v>
      </c>
      <c r="C5177" s="44" t="s">
        <v>210</v>
      </c>
      <c r="D5177" t="s">
        <v>291</v>
      </c>
      <c r="E5177" t="s">
        <v>254</v>
      </c>
      <c r="F5177" t="s">
        <v>255</v>
      </c>
    </row>
    <row r="5178" spans="1:6" ht="13.2">
      <c r="A5178" t="s">
        <v>347</v>
      </c>
      <c r="B5178">
        <v>0</v>
      </c>
      <c r="C5178" s="44" t="s">
        <v>210</v>
      </c>
      <c r="D5178" t="s">
        <v>291</v>
      </c>
      <c r="E5178" t="s">
        <v>254</v>
      </c>
      <c r="F5178" t="s">
        <v>255</v>
      </c>
    </row>
    <row r="5179" spans="1:6" ht="13.2">
      <c r="A5179" t="s">
        <v>348</v>
      </c>
      <c r="B5179">
        <v>0</v>
      </c>
      <c r="C5179" s="44" t="s">
        <v>210</v>
      </c>
      <c r="D5179" t="s">
        <v>291</v>
      </c>
      <c r="E5179" t="s">
        <v>254</v>
      </c>
      <c r="F5179" t="s">
        <v>255</v>
      </c>
    </row>
    <row r="5180" spans="1:6" ht="13.2">
      <c r="A5180" t="s">
        <v>1426</v>
      </c>
      <c r="B5180">
        <v>0</v>
      </c>
      <c r="C5180" s="44">
        <v>3300</v>
      </c>
      <c r="D5180" t="s">
        <v>293</v>
      </c>
      <c r="E5180" t="s">
        <v>256</v>
      </c>
      <c r="F5180">
        <v>45</v>
      </c>
    </row>
    <row r="5181" spans="1:6" ht="13.2">
      <c r="A5181" t="s">
        <v>1427</v>
      </c>
      <c r="B5181">
        <v>0</v>
      </c>
      <c r="C5181" s="44">
        <v>3300</v>
      </c>
      <c r="D5181" t="s">
        <v>293</v>
      </c>
      <c r="E5181" t="s">
        <v>256</v>
      </c>
      <c r="F5181">
        <v>45</v>
      </c>
    </row>
    <row r="5182" spans="1:6" ht="13.2">
      <c r="A5182" t="s">
        <v>1428</v>
      </c>
      <c r="B5182">
        <v>0</v>
      </c>
      <c r="C5182" s="44">
        <v>3300</v>
      </c>
      <c r="D5182" t="s">
        <v>293</v>
      </c>
      <c r="E5182" t="s">
        <v>256</v>
      </c>
      <c r="F5182">
        <v>45</v>
      </c>
    </row>
    <row r="5183" spans="1:6" ht="13.2">
      <c r="A5183" t="s">
        <v>1429</v>
      </c>
      <c r="B5183">
        <v>0</v>
      </c>
      <c r="C5183" s="44">
        <v>3300</v>
      </c>
      <c r="D5183" t="s">
        <v>293</v>
      </c>
      <c r="E5183" t="s">
        <v>256</v>
      </c>
      <c r="F5183">
        <v>45</v>
      </c>
    </row>
    <row r="5184" spans="1:6" ht="13.2">
      <c r="A5184" t="s">
        <v>1430</v>
      </c>
      <c r="B5184">
        <v>0</v>
      </c>
      <c r="C5184" s="44">
        <v>3300</v>
      </c>
      <c r="D5184" t="s">
        <v>293</v>
      </c>
      <c r="E5184" t="s">
        <v>256</v>
      </c>
      <c r="F5184">
        <v>45</v>
      </c>
    </row>
    <row r="5185" spans="1:6" ht="13.2">
      <c r="A5185" t="s">
        <v>1431</v>
      </c>
      <c r="B5185">
        <v>0</v>
      </c>
      <c r="C5185" s="44">
        <v>3300</v>
      </c>
      <c r="D5185" t="s">
        <v>293</v>
      </c>
      <c r="E5185" t="s">
        <v>256</v>
      </c>
      <c r="F5185">
        <v>45</v>
      </c>
    </row>
    <row r="5186" spans="1:6" ht="13.2">
      <c r="A5186" t="s">
        <v>1432</v>
      </c>
      <c r="B5186">
        <v>0</v>
      </c>
      <c r="C5186" s="44">
        <v>3300</v>
      </c>
      <c r="D5186" t="s">
        <v>293</v>
      </c>
      <c r="E5186" t="s">
        <v>256</v>
      </c>
      <c r="F5186">
        <v>45</v>
      </c>
    </row>
    <row r="5187" spans="1:6" ht="13.2">
      <c r="A5187" t="s">
        <v>1433</v>
      </c>
      <c r="B5187">
        <v>0</v>
      </c>
      <c r="C5187" s="44">
        <v>3300</v>
      </c>
      <c r="D5187" t="s">
        <v>293</v>
      </c>
      <c r="E5187" t="s">
        <v>256</v>
      </c>
      <c r="F5187">
        <v>45</v>
      </c>
    </row>
    <row r="5188" spans="1:6" ht="13.2">
      <c r="A5188" t="s">
        <v>1434</v>
      </c>
      <c r="B5188">
        <v>0</v>
      </c>
      <c r="C5188" s="44">
        <v>3300</v>
      </c>
      <c r="D5188" t="s">
        <v>293</v>
      </c>
      <c r="E5188" t="s">
        <v>256</v>
      </c>
      <c r="F5188">
        <v>45</v>
      </c>
    </row>
    <row r="5189" spans="1:6" ht="13.2">
      <c r="A5189" t="s">
        <v>1435</v>
      </c>
      <c r="B5189">
        <v>0</v>
      </c>
      <c r="C5189" s="44">
        <v>3300</v>
      </c>
      <c r="D5189" t="s">
        <v>293</v>
      </c>
      <c r="E5189" t="s">
        <v>256</v>
      </c>
      <c r="F5189">
        <v>45</v>
      </c>
    </row>
    <row r="5190" spans="1:6" ht="13.2">
      <c r="A5190" t="s">
        <v>1436</v>
      </c>
      <c r="B5190">
        <v>0</v>
      </c>
      <c r="C5190" s="44">
        <v>3300</v>
      </c>
      <c r="D5190" t="s">
        <v>293</v>
      </c>
      <c r="E5190" t="s">
        <v>256</v>
      </c>
      <c r="F5190">
        <v>45</v>
      </c>
    </row>
    <row r="5191" spans="1:6" ht="13.2">
      <c r="A5191" t="s">
        <v>4475</v>
      </c>
      <c r="B5191">
        <v>0</v>
      </c>
      <c r="C5191" s="44" t="s">
        <v>207</v>
      </c>
      <c r="D5191" t="s">
        <v>291</v>
      </c>
      <c r="E5191" t="s">
        <v>256</v>
      </c>
      <c r="F5191">
        <v>15</v>
      </c>
    </row>
    <row r="5192" spans="1:6" ht="13.2">
      <c r="A5192" t="s">
        <v>4478</v>
      </c>
      <c r="B5192">
        <v>0</v>
      </c>
      <c r="C5192" s="44" t="s">
        <v>207</v>
      </c>
      <c r="D5192" t="s">
        <v>291</v>
      </c>
      <c r="E5192" t="s">
        <v>256</v>
      </c>
      <c r="F5192">
        <v>15</v>
      </c>
    </row>
    <row r="5193" spans="1:6" ht="13.2">
      <c r="A5193" t="s">
        <v>4476</v>
      </c>
      <c r="B5193">
        <v>0</v>
      </c>
      <c r="C5193" s="44" t="s">
        <v>207</v>
      </c>
      <c r="D5193" t="s">
        <v>291</v>
      </c>
      <c r="E5193" t="s">
        <v>256</v>
      </c>
      <c r="F5193">
        <v>15</v>
      </c>
    </row>
    <row r="5194" spans="1:6" ht="13.2">
      <c r="A5194" t="s">
        <v>4477</v>
      </c>
      <c r="B5194">
        <v>0</v>
      </c>
      <c r="C5194" s="44" t="s">
        <v>207</v>
      </c>
      <c r="D5194" t="s">
        <v>291</v>
      </c>
      <c r="E5194" t="s">
        <v>256</v>
      </c>
      <c r="F5194">
        <v>15</v>
      </c>
    </row>
    <row r="5195" spans="1:6" ht="13.2">
      <c r="A5195" t="s">
        <v>4479</v>
      </c>
      <c r="B5195">
        <v>0</v>
      </c>
      <c r="C5195" s="44" t="s">
        <v>207</v>
      </c>
      <c r="D5195" t="s">
        <v>291</v>
      </c>
      <c r="E5195" t="s">
        <v>256</v>
      </c>
      <c r="F5195">
        <v>15</v>
      </c>
    </row>
    <row r="5196" spans="1:6" ht="13.2">
      <c r="A5196" t="s">
        <v>4482</v>
      </c>
      <c r="B5196">
        <v>0</v>
      </c>
      <c r="C5196" s="44" t="s">
        <v>207</v>
      </c>
      <c r="D5196" t="s">
        <v>291</v>
      </c>
      <c r="E5196" t="s">
        <v>256</v>
      </c>
      <c r="F5196">
        <v>15</v>
      </c>
    </row>
    <row r="5197" spans="1:6" ht="13.2">
      <c r="A5197" t="s">
        <v>4480</v>
      </c>
      <c r="B5197">
        <v>0</v>
      </c>
      <c r="C5197" s="44" t="s">
        <v>207</v>
      </c>
      <c r="D5197" t="s">
        <v>291</v>
      </c>
      <c r="E5197" t="s">
        <v>256</v>
      </c>
      <c r="F5197">
        <v>15</v>
      </c>
    </row>
    <row r="5198" spans="1:6" ht="13.2">
      <c r="A5198" t="s">
        <v>4481</v>
      </c>
      <c r="B5198">
        <v>0</v>
      </c>
      <c r="C5198" s="44" t="s">
        <v>207</v>
      </c>
      <c r="D5198" t="s">
        <v>291</v>
      </c>
      <c r="E5198" t="s">
        <v>256</v>
      </c>
      <c r="F5198">
        <v>15</v>
      </c>
    </row>
    <row r="5199" spans="1:6" ht="13.2">
      <c r="A5199" t="s">
        <v>4483</v>
      </c>
      <c r="B5199">
        <v>0</v>
      </c>
      <c r="C5199" s="44" t="s">
        <v>207</v>
      </c>
      <c r="D5199" t="s">
        <v>291</v>
      </c>
      <c r="E5199" t="s">
        <v>256</v>
      </c>
      <c r="F5199">
        <v>15</v>
      </c>
    </row>
    <row r="5200" spans="1:6" ht="13.2">
      <c r="A5200" t="s">
        <v>4484</v>
      </c>
      <c r="B5200">
        <v>0</v>
      </c>
      <c r="C5200" s="44" t="s">
        <v>207</v>
      </c>
      <c r="D5200" t="s">
        <v>291</v>
      </c>
      <c r="E5200" t="s">
        <v>256</v>
      </c>
      <c r="F5200">
        <v>15</v>
      </c>
    </row>
    <row r="5201" spans="1:6" ht="13.2">
      <c r="A5201" t="s">
        <v>4485</v>
      </c>
      <c r="B5201">
        <v>0</v>
      </c>
      <c r="C5201" s="44" t="s">
        <v>207</v>
      </c>
      <c r="D5201" t="s">
        <v>291</v>
      </c>
      <c r="E5201" t="s">
        <v>256</v>
      </c>
      <c r="F5201">
        <v>15</v>
      </c>
    </row>
    <row r="5202" spans="1:6" ht="13.2">
      <c r="A5202" t="s">
        <v>4486</v>
      </c>
      <c r="B5202">
        <v>0</v>
      </c>
      <c r="C5202" s="44" t="s">
        <v>207</v>
      </c>
      <c r="D5202" t="s">
        <v>291</v>
      </c>
      <c r="E5202" t="s">
        <v>256</v>
      </c>
      <c r="F5202">
        <v>15</v>
      </c>
    </row>
    <row r="5203" spans="1:6" ht="13.2">
      <c r="A5203" t="s">
        <v>4487</v>
      </c>
      <c r="B5203">
        <v>0</v>
      </c>
      <c r="C5203" s="44" t="s">
        <v>207</v>
      </c>
      <c r="D5203" t="s">
        <v>291</v>
      </c>
      <c r="E5203" t="s">
        <v>256</v>
      </c>
      <c r="F5203">
        <v>15</v>
      </c>
    </row>
    <row r="5204" spans="1:6" ht="13.2">
      <c r="A5204" t="s">
        <v>4488</v>
      </c>
      <c r="B5204">
        <v>0</v>
      </c>
      <c r="C5204" s="44" t="s">
        <v>207</v>
      </c>
      <c r="D5204" t="s">
        <v>291</v>
      </c>
      <c r="E5204" t="s">
        <v>256</v>
      </c>
      <c r="F5204">
        <v>15</v>
      </c>
    </row>
    <row r="5205" spans="1:6" ht="13.2">
      <c r="A5205" t="s">
        <v>4489</v>
      </c>
      <c r="B5205">
        <v>0</v>
      </c>
      <c r="C5205" s="44" t="s">
        <v>207</v>
      </c>
      <c r="D5205" t="s">
        <v>291</v>
      </c>
      <c r="E5205" t="s">
        <v>256</v>
      </c>
      <c r="F5205">
        <v>15</v>
      </c>
    </row>
    <row r="5206" spans="1:6" ht="13.2">
      <c r="A5206" t="s">
        <v>4490</v>
      </c>
      <c r="B5206">
        <v>0</v>
      </c>
      <c r="C5206" s="44" t="s">
        <v>207</v>
      </c>
      <c r="D5206" t="s">
        <v>291</v>
      </c>
      <c r="E5206" t="s">
        <v>256</v>
      </c>
      <c r="F5206">
        <v>15</v>
      </c>
    </row>
    <row r="5207" spans="1:6" ht="13.2">
      <c r="A5207" t="s">
        <v>4491</v>
      </c>
      <c r="B5207">
        <v>0</v>
      </c>
      <c r="C5207" s="44" t="s">
        <v>207</v>
      </c>
      <c r="D5207" t="s">
        <v>291</v>
      </c>
      <c r="E5207" t="s">
        <v>256</v>
      </c>
      <c r="F5207">
        <v>15</v>
      </c>
    </row>
    <row r="5208" spans="1:6" ht="13.2">
      <c r="A5208" t="s">
        <v>4493</v>
      </c>
      <c r="B5208">
        <v>0</v>
      </c>
      <c r="C5208" s="44" t="s">
        <v>207</v>
      </c>
      <c r="D5208" t="s">
        <v>291</v>
      </c>
      <c r="E5208" t="s">
        <v>256</v>
      </c>
      <c r="F5208">
        <v>15</v>
      </c>
    </row>
    <row r="5209" spans="1:6" ht="13.2">
      <c r="A5209" t="s">
        <v>4492</v>
      </c>
      <c r="B5209">
        <v>0</v>
      </c>
      <c r="C5209" s="44" t="s">
        <v>207</v>
      </c>
      <c r="D5209" t="s">
        <v>291</v>
      </c>
      <c r="E5209" t="s">
        <v>256</v>
      </c>
      <c r="F5209">
        <v>15</v>
      </c>
    </row>
    <row r="5210" spans="1:6" ht="13.2">
      <c r="A5210" t="s">
        <v>4494</v>
      </c>
      <c r="B5210">
        <v>0</v>
      </c>
      <c r="C5210" s="44" t="s">
        <v>207</v>
      </c>
      <c r="D5210" t="s">
        <v>291</v>
      </c>
      <c r="E5210" t="s">
        <v>256</v>
      </c>
      <c r="F5210">
        <v>15</v>
      </c>
    </row>
    <row r="5211" spans="1:6" ht="13.2">
      <c r="A5211" t="s">
        <v>4499</v>
      </c>
      <c r="B5211">
        <v>0</v>
      </c>
      <c r="C5211" s="44" t="s">
        <v>207</v>
      </c>
      <c r="D5211" t="s">
        <v>291</v>
      </c>
      <c r="E5211" t="s">
        <v>256</v>
      </c>
      <c r="F5211">
        <v>15</v>
      </c>
    </row>
    <row r="5212" spans="1:6" ht="13.2">
      <c r="A5212" t="s">
        <v>4495</v>
      </c>
      <c r="B5212">
        <v>0</v>
      </c>
      <c r="C5212" s="44" t="s">
        <v>207</v>
      </c>
      <c r="D5212" t="s">
        <v>291</v>
      </c>
      <c r="E5212" t="s">
        <v>256</v>
      </c>
      <c r="F5212">
        <v>15</v>
      </c>
    </row>
    <row r="5213" spans="1:6" ht="13.2">
      <c r="A5213" t="s">
        <v>4496</v>
      </c>
      <c r="B5213">
        <v>0</v>
      </c>
      <c r="C5213" s="44" t="s">
        <v>207</v>
      </c>
      <c r="D5213" t="s">
        <v>291</v>
      </c>
      <c r="E5213" t="s">
        <v>256</v>
      </c>
      <c r="F5213">
        <v>15</v>
      </c>
    </row>
    <row r="5214" spans="1:6" ht="13.2">
      <c r="A5214" t="s">
        <v>4498</v>
      </c>
      <c r="B5214">
        <v>0</v>
      </c>
      <c r="C5214" s="44" t="s">
        <v>207</v>
      </c>
      <c r="D5214" t="s">
        <v>291</v>
      </c>
      <c r="E5214" t="s">
        <v>256</v>
      </c>
      <c r="F5214">
        <v>15</v>
      </c>
    </row>
    <row r="5215" spans="1:6" ht="13.2">
      <c r="A5215" t="s">
        <v>4497</v>
      </c>
      <c r="B5215">
        <v>0</v>
      </c>
      <c r="C5215" s="44" t="s">
        <v>207</v>
      </c>
      <c r="D5215" t="s">
        <v>291</v>
      </c>
      <c r="E5215" t="s">
        <v>256</v>
      </c>
      <c r="F5215">
        <v>15</v>
      </c>
    </row>
    <row r="5216" spans="1:6" ht="13.2">
      <c r="A5216" t="s">
        <v>4500</v>
      </c>
      <c r="B5216">
        <v>0</v>
      </c>
      <c r="C5216" s="44" t="s">
        <v>207</v>
      </c>
      <c r="D5216" t="s">
        <v>291</v>
      </c>
      <c r="E5216" t="s">
        <v>256</v>
      </c>
      <c r="F5216">
        <v>15</v>
      </c>
    </row>
    <row r="5217" spans="1:6" ht="13.2">
      <c r="A5217" t="s">
        <v>4502</v>
      </c>
      <c r="B5217">
        <v>0</v>
      </c>
      <c r="C5217" s="44" t="s">
        <v>207</v>
      </c>
      <c r="D5217" t="s">
        <v>291</v>
      </c>
      <c r="E5217" t="s">
        <v>256</v>
      </c>
      <c r="F5217">
        <v>15</v>
      </c>
    </row>
    <row r="5218" spans="1:6" ht="13.2">
      <c r="A5218" t="s">
        <v>4501</v>
      </c>
      <c r="B5218">
        <v>0</v>
      </c>
      <c r="C5218" s="44" t="s">
        <v>207</v>
      </c>
      <c r="D5218" t="s">
        <v>291</v>
      </c>
      <c r="E5218" t="s">
        <v>256</v>
      </c>
      <c r="F5218">
        <v>15</v>
      </c>
    </row>
    <row r="5219" spans="1:6" ht="13.2">
      <c r="A5219" t="s">
        <v>4503</v>
      </c>
      <c r="B5219">
        <v>0</v>
      </c>
      <c r="C5219" s="44" t="s">
        <v>207</v>
      </c>
      <c r="D5219" t="s">
        <v>291</v>
      </c>
      <c r="E5219" t="s">
        <v>256</v>
      </c>
      <c r="F5219">
        <v>15</v>
      </c>
    </row>
    <row r="5220" spans="1:6" ht="13.2">
      <c r="A5220" t="s">
        <v>4504</v>
      </c>
      <c r="B5220">
        <v>0</v>
      </c>
      <c r="C5220" s="44" t="s">
        <v>207</v>
      </c>
      <c r="D5220" t="s">
        <v>291</v>
      </c>
      <c r="E5220" t="s">
        <v>256</v>
      </c>
      <c r="F5220">
        <v>15</v>
      </c>
    </row>
    <row r="5221" spans="1:5" ht="13.2">
      <c r="A5221" t="s">
        <v>4843</v>
      </c>
      <c r="B5221">
        <v>0</v>
      </c>
      <c r="C5221" s="44">
        <v>3100</v>
      </c>
      <c r="D5221" t="s">
        <v>293</v>
      </c>
      <c r="E5221" t="s">
        <v>4844</v>
      </c>
    </row>
    <row r="5222" spans="1:5" ht="13.2">
      <c r="A5222" t="s">
        <v>4845</v>
      </c>
      <c r="B5222">
        <v>0</v>
      </c>
      <c r="C5222" s="44">
        <v>3100</v>
      </c>
      <c r="D5222" t="s">
        <v>293</v>
      </c>
      <c r="E5222" t="s">
        <v>4844</v>
      </c>
    </row>
    <row r="5223" spans="1:5" ht="13.2">
      <c r="A5223" t="s">
        <v>4846</v>
      </c>
      <c r="B5223">
        <v>0</v>
      </c>
      <c r="C5223" s="44">
        <v>3100</v>
      </c>
      <c r="D5223" t="s">
        <v>293</v>
      </c>
      <c r="E5223" t="s">
        <v>4844</v>
      </c>
    </row>
    <row r="5224" spans="1:5" ht="13.2">
      <c r="A5224" t="s">
        <v>4847</v>
      </c>
      <c r="B5224">
        <v>0</v>
      </c>
      <c r="C5224" s="44">
        <v>3100</v>
      </c>
      <c r="D5224" t="s">
        <v>293</v>
      </c>
      <c r="E5224" t="s">
        <v>4844</v>
      </c>
    </row>
    <row r="5225" spans="1:5" ht="13.2">
      <c r="A5225" t="s">
        <v>4848</v>
      </c>
      <c r="B5225">
        <v>0</v>
      </c>
      <c r="C5225" s="44">
        <v>3100</v>
      </c>
      <c r="D5225" t="s">
        <v>293</v>
      </c>
      <c r="E5225" t="s">
        <v>4844</v>
      </c>
    </row>
    <row r="5226" spans="1:5" ht="13.2">
      <c r="A5226" t="s">
        <v>4849</v>
      </c>
      <c r="B5226">
        <v>0</v>
      </c>
      <c r="C5226" s="44">
        <v>3100</v>
      </c>
      <c r="D5226" t="s">
        <v>293</v>
      </c>
      <c r="E5226" t="s">
        <v>4844</v>
      </c>
    </row>
    <row r="5227" spans="1:5" ht="13.2">
      <c r="A5227" t="s">
        <v>4850</v>
      </c>
      <c r="B5227">
        <v>0</v>
      </c>
      <c r="C5227" s="44">
        <v>3100</v>
      </c>
      <c r="D5227" t="s">
        <v>293</v>
      </c>
      <c r="E5227" t="s">
        <v>4844</v>
      </c>
    </row>
    <row r="5228" spans="1:5" ht="13.2">
      <c r="A5228" t="s">
        <v>4851</v>
      </c>
      <c r="B5228">
        <v>0</v>
      </c>
      <c r="C5228" s="44">
        <v>3100</v>
      </c>
      <c r="D5228" t="s">
        <v>293</v>
      </c>
      <c r="E5228" t="s">
        <v>4844</v>
      </c>
    </row>
    <row r="5229" spans="1:5" ht="13.2">
      <c r="A5229" t="s">
        <v>4852</v>
      </c>
      <c r="B5229">
        <v>0</v>
      </c>
      <c r="C5229" s="44">
        <v>3100</v>
      </c>
      <c r="D5229" t="s">
        <v>293</v>
      </c>
      <c r="E5229" t="s">
        <v>4844</v>
      </c>
    </row>
    <row r="5230" spans="1:5" ht="13.2">
      <c r="A5230" t="s">
        <v>4853</v>
      </c>
      <c r="B5230">
        <v>0</v>
      </c>
      <c r="C5230" s="44">
        <v>3100</v>
      </c>
      <c r="D5230" t="s">
        <v>293</v>
      </c>
      <c r="E5230" t="s">
        <v>4844</v>
      </c>
    </row>
    <row r="5231" spans="1:5" ht="13.2">
      <c r="A5231" t="s">
        <v>4854</v>
      </c>
      <c r="B5231">
        <v>0</v>
      </c>
      <c r="C5231" s="44">
        <v>3100</v>
      </c>
      <c r="D5231" t="s">
        <v>293</v>
      </c>
      <c r="E5231" t="s">
        <v>4844</v>
      </c>
    </row>
    <row r="5232" spans="1:5" ht="13.2">
      <c r="A5232" t="s">
        <v>4855</v>
      </c>
      <c r="B5232">
        <v>0</v>
      </c>
      <c r="C5232" s="44">
        <v>3100</v>
      </c>
      <c r="D5232" t="s">
        <v>293</v>
      </c>
      <c r="E5232" t="s">
        <v>4844</v>
      </c>
    </row>
    <row r="5233" spans="1:5" ht="13.2">
      <c r="A5233" t="s">
        <v>4856</v>
      </c>
      <c r="B5233">
        <v>0</v>
      </c>
      <c r="C5233" s="44">
        <v>3100</v>
      </c>
      <c r="D5233" t="s">
        <v>293</v>
      </c>
      <c r="E5233" t="s">
        <v>4844</v>
      </c>
    </row>
    <row r="5234" spans="1:5" ht="13.2">
      <c r="A5234" t="s">
        <v>4857</v>
      </c>
      <c r="B5234">
        <v>0</v>
      </c>
      <c r="C5234" s="44">
        <v>3100</v>
      </c>
      <c r="D5234" t="s">
        <v>293</v>
      </c>
      <c r="E5234" t="s">
        <v>4844</v>
      </c>
    </row>
    <row r="5235" spans="1:5" ht="13.2">
      <c r="A5235" t="s">
        <v>4858</v>
      </c>
      <c r="B5235">
        <v>0</v>
      </c>
      <c r="C5235" s="44">
        <v>3100</v>
      </c>
      <c r="D5235" t="s">
        <v>293</v>
      </c>
      <c r="E5235" t="s">
        <v>4844</v>
      </c>
    </row>
    <row r="5236" spans="1:5" ht="13.2">
      <c r="A5236" t="s">
        <v>4859</v>
      </c>
      <c r="B5236">
        <v>0</v>
      </c>
      <c r="C5236" s="44">
        <v>3100</v>
      </c>
      <c r="D5236" t="s">
        <v>293</v>
      </c>
      <c r="E5236" t="s">
        <v>4844</v>
      </c>
    </row>
    <row r="5237" spans="1:5" ht="13.2">
      <c r="A5237" t="s">
        <v>4860</v>
      </c>
      <c r="B5237">
        <v>0</v>
      </c>
      <c r="C5237" s="44">
        <v>3100</v>
      </c>
      <c r="D5237" t="s">
        <v>293</v>
      </c>
      <c r="E5237" t="s">
        <v>4844</v>
      </c>
    </row>
    <row r="5238" spans="1:5" ht="13.2">
      <c r="A5238" t="s">
        <v>4861</v>
      </c>
      <c r="B5238">
        <v>0</v>
      </c>
      <c r="C5238" s="44">
        <v>3100</v>
      </c>
      <c r="D5238" t="s">
        <v>293</v>
      </c>
      <c r="E5238" t="s">
        <v>4844</v>
      </c>
    </row>
    <row r="5239" spans="1:5" ht="13.2">
      <c r="A5239" t="s">
        <v>4862</v>
      </c>
      <c r="B5239">
        <v>0</v>
      </c>
      <c r="C5239" s="44">
        <v>3100</v>
      </c>
      <c r="D5239" t="s">
        <v>293</v>
      </c>
      <c r="E5239" t="s">
        <v>4844</v>
      </c>
    </row>
    <row r="5240" spans="1:5" ht="13.2">
      <c r="A5240" t="s">
        <v>4863</v>
      </c>
      <c r="B5240">
        <v>0</v>
      </c>
      <c r="C5240" s="44">
        <v>3100</v>
      </c>
      <c r="D5240" t="s">
        <v>293</v>
      </c>
      <c r="E5240" t="s">
        <v>4844</v>
      </c>
    </row>
    <row r="5241" spans="1:5" ht="13.2">
      <c r="A5241" t="s">
        <v>4864</v>
      </c>
      <c r="B5241">
        <v>0</v>
      </c>
      <c r="C5241" s="44">
        <v>3100</v>
      </c>
      <c r="D5241" t="s">
        <v>293</v>
      </c>
      <c r="E5241" t="s">
        <v>4844</v>
      </c>
    </row>
    <row r="5242" spans="1:6" ht="13.2">
      <c r="A5242" t="s">
        <v>1992</v>
      </c>
      <c r="B5242">
        <v>490</v>
      </c>
      <c r="C5242" s="44">
        <v>3000</v>
      </c>
      <c r="D5242" t="s">
        <v>293</v>
      </c>
      <c r="E5242" t="s">
        <v>256</v>
      </c>
      <c r="F5242">
        <v>15</v>
      </c>
    </row>
    <row r="5243" spans="1:6" ht="13.2">
      <c r="A5243" t="s">
        <v>1991</v>
      </c>
      <c r="B5243">
        <v>490</v>
      </c>
      <c r="C5243" s="44">
        <v>3000</v>
      </c>
      <c r="D5243" t="s">
        <v>293</v>
      </c>
      <c r="E5243" t="s">
        <v>256</v>
      </c>
      <c r="F5243">
        <v>15</v>
      </c>
    </row>
    <row r="5244" spans="1:6" ht="13.2">
      <c r="A5244" t="s">
        <v>1988</v>
      </c>
      <c r="B5244">
        <v>490</v>
      </c>
      <c r="C5244" s="44">
        <v>3000</v>
      </c>
      <c r="D5244" t="s">
        <v>293</v>
      </c>
      <c r="E5244" t="s">
        <v>256</v>
      </c>
      <c r="F5244">
        <v>15</v>
      </c>
    </row>
    <row r="5245" spans="1:6" ht="13.2">
      <c r="A5245" t="s">
        <v>1990</v>
      </c>
      <c r="B5245">
        <v>490</v>
      </c>
      <c r="C5245" s="44">
        <v>3000</v>
      </c>
      <c r="D5245" t="s">
        <v>293</v>
      </c>
      <c r="E5245" t="s">
        <v>256</v>
      </c>
      <c r="F5245">
        <v>15</v>
      </c>
    </row>
    <row r="5246" spans="1:6" ht="13.2">
      <c r="A5246" t="s">
        <v>1989</v>
      </c>
      <c r="B5246">
        <v>490</v>
      </c>
      <c r="C5246" s="44">
        <v>3000</v>
      </c>
      <c r="D5246" t="s">
        <v>293</v>
      </c>
      <c r="E5246" t="s">
        <v>256</v>
      </c>
      <c r="F5246">
        <v>15</v>
      </c>
    </row>
    <row r="5247" spans="1:6" ht="13.2">
      <c r="A5247" t="s">
        <v>1993</v>
      </c>
      <c r="B5247">
        <v>490</v>
      </c>
      <c r="C5247" s="44">
        <v>3000</v>
      </c>
      <c r="D5247" t="s">
        <v>293</v>
      </c>
      <c r="E5247" t="s">
        <v>256</v>
      </c>
      <c r="F5247">
        <v>15</v>
      </c>
    </row>
    <row r="5248" spans="1:6" ht="13.2">
      <c r="A5248" t="s">
        <v>2664</v>
      </c>
      <c r="B5248">
        <v>0</v>
      </c>
      <c r="C5248" s="44">
        <v>1430</v>
      </c>
      <c r="D5248" t="s">
        <v>291</v>
      </c>
      <c r="E5248" t="s">
        <v>256</v>
      </c>
      <c r="F5248">
        <v>17</v>
      </c>
    </row>
    <row r="5249" spans="1:6" ht="13.2">
      <c r="A5249" t="s">
        <v>2665</v>
      </c>
      <c r="B5249">
        <v>0</v>
      </c>
      <c r="C5249" s="44">
        <v>1430</v>
      </c>
      <c r="D5249" t="s">
        <v>291</v>
      </c>
      <c r="E5249" t="s">
        <v>256</v>
      </c>
      <c r="F5249">
        <v>17</v>
      </c>
    </row>
    <row r="5250" spans="1:6" ht="13.2">
      <c r="A5250" t="s">
        <v>2666</v>
      </c>
      <c r="B5250">
        <v>0</v>
      </c>
      <c r="C5250" s="44">
        <v>1430</v>
      </c>
      <c r="D5250" t="s">
        <v>291</v>
      </c>
      <c r="E5250" t="s">
        <v>256</v>
      </c>
      <c r="F5250">
        <v>17</v>
      </c>
    </row>
    <row r="5251" spans="1:6" ht="13.2">
      <c r="A5251" t="s">
        <v>2667</v>
      </c>
      <c r="B5251">
        <v>0</v>
      </c>
      <c r="C5251" s="44">
        <v>1430</v>
      </c>
      <c r="D5251" t="s">
        <v>291</v>
      </c>
      <c r="E5251" t="s">
        <v>256</v>
      </c>
      <c r="F5251">
        <v>17</v>
      </c>
    </row>
    <row r="5252" spans="1:6" ht="13.2">
      <c r="A5252" t="s">
        <v>2668</v>
      </c>
      <c r="B5252">
        <v>0</v>
      </c>
      <c r="C5252" s="44">
        <v>1430</v>
      </c>
      <c r="D5252" t="s">
        <v>291</v>
      </c>
      <c r="E5252" t="s">
        <v>256</v>
      </c>
      <c r="F5252">
        <v>17</v>
      </c>
    </row>
    <row r="5253" spans="1:6" ht="13.2">
      <c r="A5253" t="s">
        <v>2669</v>
      </c>
      <c r="B5253">
        <v>0</v>
      </c>
      <c r="C5253" s="44">
        <v>1430</v>
      </c>
      <c r="D5253" t="s">
        <v>291</v>
      </c>
      <c r="E5253" t="s">
        <v>256</v>
      </c>
      <c r="F5253">
        <v>17</v>
      </c>
    </row>
    <row r="5254" spans="1:6" ht="13.2">
      <c r="A5254" t="s">
        <v>2670</v>
      </c>
      <c r="B5254">
        <v>0</v>
      </c>
      <c r="C5254" s="44">
        <v>1430</v>
      </c>
      <c r="D5254" t="s">
        <v>291</v>
      </c>
      <c r="E5254" t="s">
        <v>256</v>
      </c>
      <c r="F5254">
        <v>17</v>
      </c>
    </row>
    <row r="5255" spans="1:6" ht="13.2">
      <c r="A5255" t="s">
        <v>2671</v>
      </c>
      <c r="B5255">
        <v>0</v>
      </c>
      <c r="C5255" s="44">
        <v>1430</v>
      </c>
      <c r="D5255" t="s">
        <v>291</v>
      </c>
      <c r="E5255" t="s">
        <v>256</v>
      </c>
      <c r="F5255">
        <v>17</v>
      </c>
    </row>
    <row r="5256" spans="1:6" ht="13.2">
      <c r="A5256" t="s">
        <v>2672</v>
      </c>
      <c r="B5256">
        <v>0</v>
      </c>
      <c r="C5256" s="44">
        <v>1430</v>
      </c>
      <c r="D5256" t="s">
        <v>291</v>
      </c>
      <c r="E5256" t="s">
        <v>256</v>
      </c>
      <c r="F5256">
        <v>17</v>
      </c>
    </row>
    <row r="5257" spans="1:6" ht="13.2">
      <c r="A5257" t="s">
        <v>2673</v>
      </c>
      <c r="B5257">
        <v>0</v>
      </c>
      <c r="C5257" s="44">
        <v>1430</v>
      </c>
      <c r="D5257" t="s">
        <v>291</v>
      </c>
      <c r="E5257" t="s">
        <v>256</v>
      </c>
      <c r="F5257">
        <v>17</v>
      </c>
    </row>
    <row r="5258" spans="1:6" ht="13.2">
      <c r="A5258" t="s">
        <v>2674</v>
      </c>
      <c r="B5258">
        <v>0</v>
      </c>
      <c r="C5258" s="44">
        <v>1430</v>
      </c>
      <c r="D5258" t="s">
        <v>291</v>
      </c>
      <c r="E5258" t="s">
        <v>256</v>
      </c>
      <c r="F5258">
        <v>17</v>
      </c>
    </row>
    <row r="5259" spans="1:6" ht="13.2">
      <c r="A5259" t="s">
        <v>2675</v>
      </c>
      <c r="B5259">
        <v>0</v>
      </c>
      <c r="C5259" s="44">
        <v>1430</v>
      </c>
      <c r="D5259" t="s">
        <v>291</v>
      </c>
      <c r="E5259" t="s">
        <v>256</v>
      </c>
      <c r="F5259">
        <v>17</v>
      </c>
    </row>
    <row r="5260" spans="1:6" ht="13.2">
      <c r="A5260" t="s">
        <v>2676</v>
      </c>
      <c r="B5260">
        <v>0</v>
      </c>
      <c r="C5260" s="44">
        <v>1430</v>
      </c>
      <c r="D5260" t="s">
        <v>291</v>
      </c>
      <c r="E5260" t="s">
        <v>256</v>
      </c>
      <c r="F5260">
        <v>17</v>
      </c>
    </row>
    <row r="5261" spans="1:6" ht="13.2">
      <c r="A5261" t="s">
        <v>2677</v>
      </c>
      <c r="B5261">
        <v>0</v>
      </c>
      <c r="C5261" s="44">
        <v>1430</v>
      </c>
      <c r="D5261" t="s">
        <v>291</v>
      </c>
      <c r="E5261" t="s">
        <v>256</v>
      </c>
      <c r="F5261">
        <v>17</v>
      </c>
    </row>
    <row r="5262" spans="1:6" ht="13.2">
      <c r="A5262" t="s">
        <v>2678</v>
      </c>
      <c r="B5262">
        <v>0</v>
      </c>
      <c r="C5262" s="44">
        <v>1430</v>
      </c>
      <c r="D5262" t="s">
        <v>291</v>
      </c>
      <c r="E5262" t="s">
        <v>256</v>
      </c>
      <c r="F5262">
        <v>17</v>
      </c>
    </row>
    <row r="5263" spans="1:6" ht="13.2">
      <c r="A5263" t="s">
        <v>2679</v>
      </c>
      <c r="B5263">
        <v>0</v>
      </c>
      <c r="C5263" s="44">
        <v>1430</v>
      </c>
      <c r="D5263" t="s">
        <v>291</v>
      </c>
      <c r="E5263" t="s">
        <v>256</v>
      </c>
      <c r="F5263">
        <v>17</v>
      </c>
    </row>
    <row r="5264" spans="1:6" ht="13.2">
      <c r="A5264" t="s">
        <v>2680</v>
      </c>
      <c r="B5264">
        <v>0</v>
      </c>
      <c r="C5264" s="44">
        <v>1430</v>
      </c>
      <c r="D5264" t="s">
        <v>291</v>
      </c>
      <c r="E5264" t="s">
        <v>256</v>
      </c>
      <c r="F5264">
        <v>17</v>
      </c>
    </row>
    <row r="5265" spans="1:6" ht="13.2">
      <c r="A5265" t="s">
        <v>2681</v>
      </c>
      <c r="B5265">
        <v>0</v>
      </c>
      <c r="C5265" s="44">
        <v>1430</v>
      </c>
      <c r="D5265" t="s">
        <v>291</v>
      </c>
      <c r="E5265" t="s">
        <v>256</v>
      </c>
      <c r="F5265">
        <v>17</v>
      </c>
    </row>
    <row r="5266" spans="1:6" ht="13.2">
      <c r="A5266" t="s">
        <v>2682</v>
      </c>
      <c r="B5266">
        <v>0</v>
      </c>
      <c r="C5266" s="44">
        <v>1430</v>
      </c>
      <c r="D5266" t="s">
        <v>291</v>
      </c>
      <c r="E5266" t="s">
        <v>256</v>
      </c>
      <c r="F5266">
        <v>17</v>
      </c>
    </row>
    <row r="5267" spans="1:6" ht="13.2">
      <c r="A5267" t="s">
        <v>2683</v>
      </c>
      <c r="B5267">
        <v>0</v>
      </c>
      <c r="C5267" s="44">
        <v>1430</v>
      </c>
      <c r="D5267" t="s">
        <v>291</v>
      </c>
      <c r="E5267" t="s">
        <v>256</v>
      </c>
      <c r="F5267">
        <v>17</v>
      </c>
    </row>
    <row r="5268" spans="1:6" ht="13.2">
      <c r="A5268" t="s">
        <v>2684</v>
      </c>
      <c r="B5268">
        <v>0</v>
      </c>
      <c r="C5268" s="44">
        <v>1430</v>
      </c>
      <c r="D5268" t="s">
        <v>291</v>
      </c>
      <c r="E5268" t="s">
        <v>256</v>
      </c>
      <c r="F5268">
        <v>17</v>
      </c>
    </row>
    <row r="5269" spans="1:6" ht="13.2">
      <c r="A5269" t="s">
        <v>2685</v>
      </c>
      <c r="B5269">
        <v>0</v>
      </c>
      <c r="C5269" s="44">
        <v>1430</v>
      </c>
      <c r="D5269" t="s">
        <v>291</v>
      </c>
      <c r="E5269" t="s">
        <v>256</v>
      </c>
      <c r="F5269">
        <v>17</v>
      </c>
    </row>
    <row r="5270" spans="1:6" ht="13.2">
      <c r="A5270" t="s">
        <v>2686</v>
      </c>
      <c r="B5270">
        <v>0</v>
      </c>
      <c r="C5270" s="44">
        <v>1430</v>
      </c>
      <c r="D5270" t="s">
        <v>291</v>
      </c>
      <c r="E5270" t="s">
        <v>256</v>
      </c>
      <c r="F5270">
        <v>17</v>
      </c>
    </row>
    <row r="5271" spans="1:6" ht="13.2">
      <c r="A5271" t="s">
        <v>2687</v>
      </c>
      <c r="B5271">
        <v>0</v>
      </c>
      <c r="C5271" s="44">
        <v>1430</v>
      </c>
      <c r="D5271" t="s">
        <v>291</v>
      </c>
      <c r="E5271" t="s">
        <v>256</v>
      </c>
      <c r="F5271">
        <v>17</v>
      </c>
    </row>
    <row r="5272" spans="1:6" ht="13.2">
      <c r="A5272" t="s">
        <v>2688</v>
      </c>
      <c r="B5272">
        <v>0</v>
      </c>
      <c r="C5272" s="44">
        <v>1430</v>
      </c>
      <c r="D5272" t="s">
        <v>291</v>
      </c>
      <c r="E5272" t="s">
        <v>256</v>
      </c>
      <c r="F5272">
        <v>17</v>
      </c>
    </row>
    <row r="5273" spans="1:6" ht="13.2">
      <c r="A5273" t="s">
        <v>2689</v>
      </c>
      <c r="B5273">
        <v>0</v>
      </c>
      <c r="C5273" s="44">
        <v>1430</v>
      </c>
      <c r="D5273" t="s">
        <v>291</v>
      </c>
      <c r="E5273" t="s">
        <v>256</v>
      </c>
      <c r="F5273">
        <v>17</v>
      </c>
    </row>
    <row r="5274" spans="1:6" ht="13.2">
      <c r="A5274" t="s">
        <v>2690</v>
      </c>
      <c r="B5274">
        <v>0</v>
      </c>
      <c r="C5274" s="44">
        <v>1430</v>
      </c>
      <c r="D5274" t="s">
        <v>291</v>
      </c>
      <c r="E5274" t="s">
        <v>256</v>
      </c>
      <c r="F5274">
        <v>17</v>
      </c>
    </row>
    <row r="5275" spans="1:6" ht="13.2">
      <c r="A5275" t="s">
        <v>2691</v>
      </c>
      <c r="B5275">
        <v>0</v>
      </c>
      <c r="C5275" s="44">
        <v>1430</v>
      </c>
      <c r="D5275" t="s">
        <v>291</v>
      </c>
      <c r="E5275" t="s">
        <v>256</v>
      </c>
      <c r="F5275">
        <v>17</v>
      </c>
    </row>
    <row r="5276" spans="1:6" ht="13.2">
      <c r="A5276" t="s">
        <v>2692</v>
      </c>
      <c r="B5276">
        <v>0</v>
      </c>
      <c r="C5276" s="44">
        <v>1430</v>
      </c>
      <c r="D5276" t="s">
        <v>291</v>
      </c>
      <c r="E5276" t="s">
        <v>256</v>
      </c>
      <c r="F5276">
        <v>17</v>
      </c>
    </row>
    <row r="5277" spans="1:6" ht="13.2">
      <c r="A5277" t="s">
        <v>2693</v>
      </c>
      <c r="B5277">
        <v>0</v>
      </c>
      <c r="C5277" s="44">
        <v>1430</v>
      </c>
      <c r="D5277" t="s">
        <v>291</v>
      </c>
      <c r="E5277" t="s">
        <v>256</v>
      </c>
      <c r="F5277">
        <v>17</v>
      </c>
    </row>
    <row r="5278" spans="1:6" ht="13.2">
      <c r="A5278" t="s">
        <v>2694</v>
      </c>
      <c r="B5278">
        <v>0</v>
      </c>
      <c r="C5278" s="44">
        <v>1430</v>
      </c>
      <c r="D5278" t="s">
        <v>291</v>
      </c>
      <c r="E5278" t="s">
        <v>256</v>
      </c>
      <c r="F5278">
        <v>17</v>
      </c>
    </row>
    <row r="5279" spans="1:6" ht="13.2">
      <c r="A5279" t="s">
        <v>3066</v>
      </c>
      <c r="B5279">
        <v>645</v>
      </c>
      <c r="C5279" s="44">
        <v>1380</v>
      </c>
      <c r="D5279" t="s">
        <v>291</v>
      </c>
      <c r="E5279" t="s">
        <v>571</v>
      </c>
      <c r="F5279">
        <v>19</v>
      </c>
    </row>
    <row r="5280" spans="1:6" ht="13.2">
      <c r="A5280" t="s">
        <v>3066</v>
      </c>
      <c r="B5280">
        <v>690</v>
      </c>
      <c r="C5280" s="44">
        <v>1380</v>
      </c>
      <c r="D5280" t="s">
        <v>291</v>
      </c>
      <c r="E5280" t="s">
        <v>5208</v>
      </c>
      <c r="F5280">
        <v>4</v>
      </c>
    </row>
    <row r="5281" spans="1:6" ht="13.2">
      <c r="A5281" t="s">
        <v>3061</v>
      </c>
      <c r="B5281">
        <v>645</v>
      </c>
      <c r="C5281" s="44">
        <v>1380</v>
      </c>
      <c r="D5281" t="s">
        <v>291</v>
      </c>
      <c r="E5281" t="s">
        <v>571</v>
      </c>
      <c r="F5281">
        <v>19</v>
      </c>
    </row>
    <row r="5282" spans="1:6" ht="13.2">
      <c r="A5282" t="s">
        <v>3061</v>
      </c>
      <c r="B5282">
        <v>690</v>
      </c>
      <c r="C5282" s="44">
        <v>1380</v>
      </c>
      <c r="D5282" t="s">
        <v>291</v>
      </c>
      <c r="E5282" t="s">
        <v>5208</v>
      </c>
      <c r="F5282">
        <v>4</v>
      </c>
    </row>
    <row r="5283" spans="1:6" ht="13.2">
      <c r="A5283" t="s">
        <v>3062</v>
      </c>
      <c r="B5283">
        <v>645</v>
      </c>
      <c r="C5283" s="44">
        <v>1380</v>
      </c>
      <c r="D5283" t="s">
        <v>291</v>
      </c>
      <c r="E5283" t="s">
        <v>571</v>
      </c>
      <c r="F5283">
        <v>19</v>
      </c>
    </row>
    <row r="5284" spans="1:6" ht="13.2">
      <c r="A5284" t="s">
        <v>3062</v>
      </c>
      <c r="B5284">
        <v>690</v>
      </c>
      <c r="C5284" s="44">
        <v>1380</v>
      </c>
      <c r="D5284" t="s">
        <v>291</v>
      </c>
      <c r="E5284" t="s">
        <v>5208</v>
      </c>
      <c r="F5284">
        <v>4</v>
      </c>
    </row>
    <row r="5285" spans="1:6" ht="13.2">
      <c r="A5285" t="s">
        <v>3064</v>
      </c>
      <c r="B5285">
        <v>645</v>
      </c>
      <c r="C5285" s="44">
        <v>1380</v>
      </c>
      <c r="D5285" t="s">
        <v>291</v>
      </c>
      <c r="E5285" t="s">
        <v>571</v>
      </c>
      <c r="F5285">
        <v>19</v>
      </c>
    </row>
    <row r="5286" spans="1:6" ht="13.2">
      <c r="A5286" t="s">
        <v>3064</v>
      </c>
      <c r="B5286">
        <v>690</v>
      </c>
      <c r="C5286" s="44">
        <v>1380</v>
      </c>
      <c r="D5286" t="s">
        <v>291</v>
      </c>
      <c r="E5286" t="s">
        <v>5208</v>
      </c>
      <c r="F5286">
        <v>4</v>
      </c>
    </row>
    <row r="5287" spans="1:6" ht="13.2">
      <c r="A5287" t="s">
        <v>3063</v>
      </c>
      <c r="B5287">
        <v>645</v>
      </c>
      <c r="C5287" s="44">
        <v>1380</v>
      </c>
      <c r="D5287" t="s">
        <v>291</v>
      </c>
      <c r="E5287" t="s">
        <v>571</v>
      </c>
      <c r="F5287">
        <v>19</v>
      </c>
    </row>
    <row r="5288" spans="1:6" ht="13.2">
      <c r="A5288" t="s">
        <v>3063</v>
      </c>
      <c r="B5288">
        <v>690</v>
      </c>
      <c r="C5288" s="44">
        <v>1380</v>
      </c>
      <c r="D5288" t="s">
        <v>291</v>
      </c>
      <c r="E5288" t="s">
        <v>5208</v>
      </c>
      <c r="F5288">
        <v>4</v>
      </c>
    </row>
    <row r="5289" spans="1:6" ht="13.2">
      <c r="A5289" t="s">
        <v>3065</v>
      </c>
      <c r="B5289">
        <v>645</v>
      </c>
      <c r="C5289" s="44">
        <v>1380</v>
      </c>
      <c r="D5289" t="s">
        <v>291</v>
      </c>
      <c r="E5289" t="s">
        <v>571</v>
      </c>
      <c r="F5289">
        <v>19</v>
      </c>
    </row>
    <row r="5290" spans="1:6" ht="13.2">
      <c r="A5290" t="s">
        <v>3065</v>
      </c>
      <c r="B5290">
        <v>690</v>
      </c>
      <c r="C5290" s="44">
        <v>1380</v>
      </c>
      <c r="D5290" t="s">
        <v>291</v>
      </c>
      <c r="E5290" t="s">
        <v>5208</v>
      </c>
      <c r="F5290">
        <v>4</v>
      </c>
    </row>
    <row r="5291" spans="1:6" ht="13.2">
      <c r="A5291" t="s">
        <v>3067</v>
      </c>
      <c r="B5291">
        <v>645</v>
      </c>
      <c r="C5291" s="44">
        <v>1380</v>
      </c>
      <c r="D5291" t="s">
        <v>291</v>
      </c>
      <c r="E5291" t="s">
        <v>571</v>
      </c>
      <c r="F5291">
        <v>19</v>
      </c>
    </row>
    <row r="5292" spans="1:6" ht="13.2">
      <c r="A5292" t="s">
        <v>3067</v>
      </c>
      <c r="B5292">
        <v>690</v>
      </c>
      <c r="C5292" s="44">
        <v>1380</v>
      </c>
      <c r="D5292" t="s">
        <v>291</v>
      </c>
      <c r="E5292" t="s">
        <v>5208</v>
      </c>
      <c r="F5292">
        <v>4</v>
      </c>
    </row>
    <row r="5293" spans="1:6" ht="13.2">
      <c r="A5293" t="s">
        <v>2695</v>
      </c>
      <c r="B5293">
        <v>0</v>
      </c>
      <c r="C5293" s="44" t="s">
        <v>299</v>
      </c>
      <c r="D5293" t="s">
        <v>291</v>
      </c>
      <c r="E5293" t="s">
        <v>256</v>
      </c>
      <c r="F5293">
        <v>4</v>
      </c>
    </row>
    <row r="5294" spans="1:6" ht="13.2">
      <c r="A5294" t="s">
        <v>2696</v>
      </c>
      <c r="B5294">
        <v>0</v>
      </c>
      <c r="C5294" s="44" t="s">
        <v>299</v>
      </c>
      <c r="D5294" t="s">
        <v>291</v>
      </c>
      <c r="E5294" t="s">
        <v>256</v>
      </c>
      <c r="F5294">
        <v>4</v>
      </c>
    </row>
    <row r="5295" spans="1:6" ht="13.2">
      <c r="A5295" t="s">
        <v>2697</v>
      </c>
      <c r="B5295">
        <v>0</v>
      </c>
      <c r="C5295" s="44" t="s">
        <v>299</v>
      </c>
      <c r="D5295" t="s">
        <v>291</v>
      </c>
      <c r="E5295" t="s">
        <v>256</v>
      </c>
      <c r="F5295">
        <v>4</v>
      </c>
    </row>
    <row r="5296" spans="1:6" ht="13.2">
      <c r="A5296" t="s">
        <v>2698</v>
      </c>
      <c r="B5296">
        <v>0</v>
      </c>
      <c r="C5296" s="44" t="s">
        <v>299</v>
      </c>
      <c r="D5296" t="s">
        <v>291</v>
      </c>
      <c r="E5296" t="s">
        <v>256</v>
      </c>
      <c r="F5296">
        <v>4</v>
      </c>
    </row>
    <row r="5297" spans="1:6" ht="13.2">
      <c r="A5297" t="s">
        <v>2699</v>
      </c>
      <c r="B5297">
        <v>0</v>
      </c>
      <c r="C5297" s="44" t="s">
        <v>299</v>
      </c>
      <c r="D5297" t="s">
        <v>291</v>
      </c>
      <c r="E5297" t="s">
        <v>256</v>
      </c>
      <c r="F5297">
        <v>4</v>
      </c>
    </row>
    <row r="5298" spans="1:6" ht="13.2">
      <c r="A5298" t="s">
        <v>2700</v>
      </c>
      <c r="B5298">
        <v>0</v>
      </c>
      <c r="C5298" s="44" t="s">
        <v>299</v>
      </c>
      <c r="D5298" t="s">
        <v>291</v>
      </c>
      <c r="E5298" t="s">
        <v>256</v>
      </c>
      <c r="F5298">
        <v>4</v>
      </c>
    </row>
    <row r="5299" spans="1:6" ht="13.2">
      <c r="A5299" t="s">
        <v>2701</v>
      </c>
      <c r="B5299">
        <v>0</v>
      </c>
      <c r="C5299" s="44" t="s">
        <v>299</v>
      </c>
      <c r="D5299" t="s">
        <v>291</v>
      </c>
      <c r="E5299" t="s">
        <v>256</v>
      </c>
      <c r="F5299">
        <v>4</v>
      </c>
    </row>
    <row r="5300" spans="1:6" ht="13.2">
      <c r="A5300" t="s">
        <v>2702</v>
      </c>
      <c r="B5300">
        <v>0</v>
      </c>
      <c r="C5300" s="44" t="s">
        <v>299</v>
      </c>
      <c r="D5300" t="s">
        <v>291</v>
      </c>
      <c r="E5300" t="s">
        <v>256</v>
      </c>
      <c r="F5300">
        <v>4</v>
      </c>
    </row>
    <row r="5301" spans="1:6" ht="13.2">
      <c r="A5301" t="s">
        <v>2703</v>
      </c>
      <c r="B5301">
        <v>0</v>
      </c>
      <c r="C5301" s="44" t="s">
        <v>299</v>
      </c>
      <c r="D5301" t="s">
        <v>291</v>
      </c>
      <c r="E5301" t="s">
        <v>256</v>
      </c>
      <c r="F5301">
        <v>4</v>
      </c>
    </row>
    <row r="5302" spans="1:6" ht="13.2">
      <c r="A5302" t="s">
        <v>2704</v>
      </c>
      <c r="B5302">
        <v>0</v>
      </c>
      <c r="C5302" s="44" t="s">
        <v>299</v>
      </c>
      <c r="D5302" t="s">
        <v>291</v>
      </c>
      <c r="E5302" t="s">
        <v>256</v>
      </c>
      <c r="F5302">
        <v>4</v>
      </c>
    </row>
    <row r="5303" spans="1:6" ht="13.2">
      <c r="A5303" t="s">
        <v>2705</v>
      </c>
      <c r="B5303">
        <v>0</v>
      </c>
      <c r="C5303" s="44" t="s">
        <v>299</v>
      </c>
      <c r="D5303" t="s">
        <v>291</v>
      </c>
      <c r="E5303" t="s">
        <v>256</v>
      </c>
      <c r="F5303">
        <v>4</v>
      </c>
    </row>
    <row r="5304" spans="1:6" ht="13.2">
      <c r="A5304" t="s">
        <v>2706</v>
      </c>
      <c r="B5304">
        <v>0</v>
      </c>
      <c r="C5304" s="44" t="s">
        <v>299</v>
      </c>
      <c r="D5304" t="s">
        <v>291</v>
      </c>
      <c r="E5304" t="s">
        <v>256</v>
      </c>
      <c r="F5304">
        <v>4</v>
      </c>
    </row>
    <row r="5305" spans="1:6" ht="13.2">
      <c r="A5305" t="s">
        <v>2707</v>
      </c>
      <c r="B5305">
        <v>0</v>
      </c>
      <c r="C5305" s="44" t="s">
        <v>299</v>
      </c>
      <c r="D5305" t="s">
        <v>291</v>
      </c>
      <c r="E5305" t="s">
        <v>256</v>
      </c>
      <c r="F5305">
        <v>4</v>
      </c>
    </row>
    <row r="5306" spans="1:6" ht="13.2">
      <c r="A5306" t="s">
        <v>2708</v>
      </c>
      <c r="B5306">
        <v>0</v>
      </c>
      <c r="C5306" s="44" t="s">
        <v>299</v>
      </c>
      <c r="D5306" t="s">
        <v>291</v>
      </c>
      <c r="E5306" t="s">
        <v>256</v>
      </c>
      <c r="F5306">
        <v>4</v>
      </c>
    </row>
    <row r="5307" spans="1:6" ht="13.2">
      <c r="A5307" t="s">
        <v>2709</v>
      </c>
      <c r="B5307">
        <v>0</v>
      </c>
      <c r="C5307" s="44" t="s">
        <v>299</v>
      </c>
      <c r="D5307" t="s">
        <v>291</v>
      </c>
      <c r="E5307" t="s">
        <v>256</v>
      </c>
      <c r="F5307">
        <v>4</v>
      </c>
    </row>
    <row r="5308" spans="1:6" ht="13.2">
      <c r="A5308" t="s">
        <v>2710</v>
      </c>
      <c r="B5308">
        <v>0</v>
      </c>
      <c r="C5308" s="44" t="s">
        <v>299</v>
      </c>
      <c r="D5308" t="s">
        <v>291</v>
      </c>
      <c r="E5308" t="s">
        <v>256</v>
      </c>
      <c r="F5308">
        <v>4</v>
      </c>
    </row>
    <row r="5309" spans="1:6" ht="13.2">
      <c r="A5309" t="s">
        <v>2711</v>
      </c>
      <c r="B5309">
        <v>0</v>
      </c>
      <c r="C5309" s="44" t="s">
        <v>299</v>
      </c>
      <c r="D5309" t="s">
        <v>291</v>
      </c>
      <c r="E5309" t="s">
        <v>256</v>
      </c>
      <c r="F5309">
        <v>4</v>
      </c>
    </row>
    <row r="5310" spans="1:6" ht="13.2">
      <c r="A5310" t="s">
        <v>2712</v>
      </c>
      <c r="B5310">
        <v>0</v>
      </c>
      <c r="C5310" s="44" t="s">
        <v>299</v>
      </c>
      <c r="D5310" t="s">
        <v>291</v>
      </c>
      <c r="E5310" t="s">
        <v>256</v>
      </c>
      <c r="F5310">
        <v>4</v>
      </c>
    </row>
    <row r="5311" spans="1:6" ht="13.2">
      <c r="A5311" t="s">
        <v>2713</v>
      </c>
      <c r="B5311">
        <v>0</v>
      </c>
      <c r="C5311" s="44" t="s">
        <v>299</v>
      </c>
      <c r="D5311" t="s">
        <v>291</v>
      </c>
      <c r="E5311" t="s">
        <v>256</v>
      </c>
      <c r="F5311">
        <v>4</v>
      </c>
    </row>
    <row r="5312" spans="1:6" ht="13.2">
      <c r="A5312" t="s">
        <v>2714</v>
      </c>
      <c r="B5312">
        <v>0</v>
      </c>
      <c r="C5312" s="44" t="s">
        <v>299</v>
      </c>
      <c r="D5312" t="s">
        <v>291</v>
      </c>
      <c r="E5312" t="s">
        <v>256</v>
      </c>
      <c r="F5312">
        <v>4</v>
      </c>
    </row>
    <row r="5313" spans="1:6" ht="13.2">
      <c r="A5313" t="s">
        <v>2715</v>
      </c>
      <c r="B5313">
        <v>0</v>
      </c>
      <c r="C5313" s="44" t="s">
        <v>299</v>
      </c>
      <c r="D5313" t="s">
        <v>291</v>
      </c>
      <c r="E5313" t="s">
        <v>256</v>
      </c>
      <c r="F5313">
        <v>4</v>
      </c>
    </row>
    <row r="5314" spans="1:6" ht="13.2">
      <c r="A5314" t="s">
        <v>2716</v>
      </c>
      <c r="B5314">
        <v>0</v>
      </c>
      <c r="C5314" s="44" t="s">
        <v>299</v>
      </c>
      <c r="D5314" t="s">
        <v>291</v>
      </c>
      <c r="E5314" t="s">
        <v>256</v>
      </c>
      <c r="F5314">
        <v>4</v>
      </c>
    </row>
    <row r="5315" spans="1:6" ht="13.2">
      <c r="A5315" t="s">
        <v>2717</v>
      </c>
      <c r="B5315">
        <v>0</v>
      </c>
      <c r="C5315" s="44" t="s">
        <v>299</v>
      </c>
      <c r="D5315" t="s">
        <v>291</v>
      </c>
      <c r="E5315" t="s">
        <v>256</v>
      </c>
      <c r="F5315">
        <v>4</v>
      </c>
    </row>
    <row r="5316" spans="1:6" ht="13.2">
      <c r="A5316" t="s">
        <v>2718</v>
      </c>
      <c r="B5316">
        <v>0</v>
      </c>
      <c r="C5316" s="44" t="s">
        <v>299</v>
      </c>
      <c r="D5316" t="s">
        <v>291</v>
      </c>
      <c r="E5316" t="s">
        <v>256</v>
      </c>
      <c r="F5316">
        <v>4</v>
      </c>
    </row>
    <row r="5317" spans="1:6" ht="13.2">
      <c r="A5317" t="s">
        <v>2719</v>
      </c>
      <c r="B5317">
        <v>0</v>
      </c>
      <c r="C5317" s="44" t="s">
        <v>299</v>
      </c>
      <c r="D5317" t="s">
        <v>291</v>
      </c>
      <c r="E5317" t="s">
        <v>256</v>
      </c>
      <c r="F5317">
        <v>4</v>
      </c>
    </row>
    <row r="5318" spans="1:6" ht="13.2">
      <c r="A5318" t="s">
        <v>2720</v>
      </c>
      <c r="B5318">
        <v>0</v>
      </c>
      <c r="C5318" s="44" t="s">
        <v>299</v>
      </c>
      <c r="D5318" t="s">
        <v>291</v>
      </c>
      <c r="E5318" t="s">
        <v>256</v>
      </c>
      <c r="F5318">
        <v>4</v>
      </c>
    </row>
    <row r="5319" spans="1:6" ht="13.2">
      <c r="A5319" t="s">
        <v>2721</v>
      </c>
      <c r="B5319">
        <v>0</v>
      </c>
      <c r="C5319" s="44" t="s">
        <v>299</v>
      </c>
      <c r="D5319" t="s">
        <v>291</v>
      </c>
      <c r="E5319" t="s">
        <v>256</v>
      </c>
      <c r="F5319">
        <v>4</v>
      </c>
    </row>
    <row r="5320" spans="1:6" ht="13.2">
      <c r="A5320" t="s">
        <v>2722</v>
      </c>
      <c r="B5320">
        <v>0</v>
      </c>
      <c r="C5320" s="44" t="s">
        <v>299</v>
      </c>
      <c r="D5320" t="s">
        <v>291</v>
      </c>
      <c r="E5320" t="s">
        <v>256</v>
      </c>
      <c r="F5320">
        <v>4</v>
      </c>
    </row>
    <row r="5321" spans="1:6" ht="13.2">
      <c r="A5321" t="s">
        <v>2723</v>
      </c>
      <c r="B5321">
        <v>0</v>
      </c>
      <c r="C5321" s="44" t="s">
        <v>299</v>
      </c>
      <c r="D5321" t="s">
        <v>291</v>
      </c>
      <c r="E5321" t="s">
        <v>256</v>
      </c>
      <c r="F5321">
        <v>4</v>
      </c>
    </row>
    <row r="5322" spans="1:6" ht="13.2">
      <c r="A5322" t="s">
        <v>2724</v>
      </c>
      <c r="B5322">
        <v>0</v>
      </c>
      <c r="C5322" s="44" t="s">
        <v>299</v>
      </c>
      <c r="D5322" t="s">
        <v>291</v>
      </c>
      <c r="E5322" t="s">
        <v>256</v>
      </c>
      <c r="F5322">
        <v>4</v>
      </c>
    </row>
    <row r="5323" spans="1:6" ht="13.2">
      <c r="A5323" t="s">
        <v>2725</v>
      </c>
      <c r="B5323">
        <v>0</v>
      </c>
      <c r="C5323" s="44" t="s">
        <v>299</v>
      </c>
      <c r="D5323" t="s">
        <v>291</v>
      </c>
      <c r="E5323" t="s">
        <v>256</v>
      </c>
      <c r="F5323">
        <v>4</v>
      </c>
    </row>
    <row r="5324" spans="1:6" ht="13.2">
      <c r="A5324" t="s">
        <v>2726</v>
      </c>
      <c r="B5324">
        <v>0</v>
      </c>
      <c r="C5324" s="44" t="s">
        <v>299</v>
      </c>
      <c r="D5324" t="s">
        <v>291</v>
      </c>
      <c r="E5324" t="s">
        <v>256</v>
      </c>
      <c r="F5324">
        <v>4</v>
      </c>
    </row>
    <row r="5325" spans="1:6" ht="13.2">
      <c r="A5325" t="s">
        <v>3080</v>
      </c>
      <c r="B5325">
        <v>462</v>
      </c>
      <c r="C5325" s="44">
        <v>1360</v>
      </c>
      <c r="D5325" t="s">
        <v>291</v>
      </c>
      <c r="E5325" t="s">
        <v>414</v>
      </c>
      <c r="F5325">
        <v>19</v>
      </c>
    </row>
    <row r="5326" spans="1:6" ht="13.2">
      <c r="A5326" t="s">
        <v>3078</v>
      </c>
      <c r="B5326">
        <v>462</v>
      </c>
      <c r="C5326" s="44">
        <v>1360</v>
      </c>
      <c r="D5326" t="s">
        <v>291</v>
      </c>
      <c r="E5326" t="s">
        <v>414</v>
      </c>
      <c r="F5326">
        <v>19</v>
      </c>
    </row>
    <row r="5327" spans="1:6" ht="13.2">
      <c r="A5327" t="s">
        <v>3079</v>
      </c>
      <c r="B5327">
        <v>462</v>
      </c>
      <c r="C5327" s="44">
        <v>1360</v>
      </c>
      <c r="D5327" t="s">
        <v>291</v>
      </c>
      <c r="E5327" t="s">
        <v>414</v>
      </c>
      <c r="F5327">
        <v>19</v>
      </c>
    </row>
    <row r="5328" spans="1:6" ht="13.2">
      <c r="A5328" t="s">
        <v>3081</v>
      </c>
      <c r="B5328">
        <v>462</v>
      </c>
      <c r="C5328" s="44">
        <v>1360</v>
      </c>
      <c r="D5328" t="s">
        <v>291</v>
      </c>
      <c r="E5328" t="s">
        <v>414</v>
      </c>
      <c r="F5328">
        <v>19</v>
      </c>
    </row>
    <row r="5329" spans="1:6" ht="13.2">
      <c r="A5329" t="s">
        <v>3082</v>
      </c>
      <c r="B5329">
        <v>462</v>
      </c>
      <c r="C5329" s="44">
        <v>1360</v>
      </c>
      <c r="D5329" t="s">
        <v>291</v>
      </c>
      <c r="E5329" t="s">
        <v>414</v>
      </c>
      <c r="F5329">
        <v>19</v>
      </c>
    </row>
    <row r="5330" spans="1:6" ht="13.2">
      <c r="A5330" t="s">
        <v>2727</v>
      </c>
      <c r="B5330">
        <v>0</v>
      </c>
      <c r="C5330" s="44" t="s">
        <v>298</v>
      </c>
      <c r="D5330" t="s">
        <v>291</v>
      </c>
      <c r="E5330" t="s">
        <v>256</v>
      </c>
      <c r="F5330">
        <v>4</v>
      </c>
    </row>
    <row r="5331" spans="1:6" ht="13.2">
      <c r="A5331" t="s">
        <v>2728</v>
      </c>
      <c r="B5331">
        <v>0</v>
      </c>
      <c r="C5331" s="44" t="s">
        <v>298</v>
      </c>
      <c r="D5331" t="s">
        <v>291</v>
      </c>
      <c r="E5331" t="s">
        <v>256</v>
      </c>
      <c r="F5331">
        <v>4</v>
      </c>
    </row>
    <row r="5332" spans="1:6" ht="13.2">
      <c r="A5332" t="s">
        <v>2729</v>
      </c>
      <c r="B5332">
        <v>0</v>
      </c>
      <c r="C5332" s="44" t="s">
        <v>298</v>
      </c>
      <c r="D5332" t="s">
        <v>291</v>
      </c>
      <c r="E5332" t="s">
        <v>256</v>
      </c>
      <c r="F5332">
        <v>4</v>
      </c>
    </row>
    <row r="5333" spans="1:6" ht="13.2">
      <c r="A5333" t="s">
        <v>2730</v>
      </c>
      <c r="B5333">
        <v>0</v>
      </c>
      <c r="C5333" s="44" t="s">
        <v>298</v>
      </c>
      <c r="D5333" t="s">
        <v>291</v>
      </c>
      <c r="E5333" t="s">
        <v>256</v>
      </c>
      <c r="F5333">
        <v>4</v>
      </c>
    </row>
    <row r="5334" spans="1:6" ht="13.2">
      <c r="A5334" t="s">
        <v>2731</v>
      </c>
      <c r="B5334">
        <v>0</v>
      </c>
      <c r="C5334" s="44" t="s">
        <v>298</v>
      </c>
      <c r="D5334" t="s">
        <v>291</v>
      </c>
      <c r="E5334" t="s">
        <v>256</v>
      </c>
      <c r="F5334">
        <v>4</v>
      </c>
    </row>
    <row r="5335" spans="1:6" ht="13.2">
      <c r="A5335" t="s">
        <v>2732</v>
      </c>
      <c r="B5335">
        <v>0</v>
      </c>
      <c r="C5335" s="44" t="s">
        <v>298</v>
      </c>
      <c r="D5335" t="s">
        <v>291</v>
      </c>
      <c r="E5335" t="s">
        <v>256</v>
      </c>
      <c r="F5335">
        <v>4</v>
      </c>
    </row>
    <row r="5336" spans="1:6" ht="13.2">
      <c r="A5336" t="s">
        <v>2733</v>
      </c>
      <c r="B5336">
        <v>0</v>
      </c>
      <c r="C5336" s="44" t="s">
        <v>298</v>
      </c>
      <c r="D5336" t="s">
        <v>291</v>
      </c>
      <c r="E5336" t="s">
        <v>256</v>
      </c>
      <c r="F5336">
        <v>4</v>
      </c>
    </row>
    <row r="5337" spans="1:6" ht="13.2">
      <c r="A5337" t="s">
        <v>2734</v>
      </c>
      <c r="B5337">
        <v>0</v>
      </c>
      <c r="C5337" s="44" t="s">
        <v>298</v>
      </c>
      <c r="D5337" t="s">
        <v>291</v>
      </c>
      <c r="E5337" t="s">
        <v>256</v>
      </c>
      <c r="F5337">
        <v>4</v>
      </c>
    </row>
    <row r="5338" spans="1:6" ht="13.2">
      <c r="A5338" t="s">
        <v>2735</v>
      </c>
      <c r="B5338">
        <v>0</v>
      </c>
      <c r="C5338" s="44" t="s">
        <v>298</v>
      </c>
      <c r="D5338" t="s">
        <v>291</v>
      </c>
      <c r="E5338" t="s">
        <v>256</v>
      </c>
      <c r="F5338">
        <v>4</v>
      </c>
    </row>
    <row r="5339" spans="1:6" ht="13.2">
      <c r="A5339" t="s">
        <v>2736</v>
      </c>
      <c r="B5339">
        <v>0</v>
      </c>
      <c r="C5339" s="44" t="s">
        <v>298</v>
      </c>
      <c r="D5339" t="s">
        <v>291</v>
      </c>
      <c r="E5339" t="s">
        <v>256</v>
      </c>
      <c r="F5339">
        <v>4</v>
      </c>
    </row>
    <row r="5340" spans="1:6" ht="13.2">
      <c r="A5340" t="s">
        <v>2737</v>
      </c>
      <c r="B5340">
        <v>0</v>
      </c>
      <c r="C5340" s="44" t="s">
        <v>298</v>
      </c>
      <c r="D5340" t="s">
        <v>291</v>
      </c>
      <c r="E5340" t="s">
        <v>256</v>
      </c>
      <c r="F5340">
        <v>4</v>
      </c>
    </row>
    <row r="5341" spans="1:6" ht="13.2">
      <c r="A5341" t="s">
        <v>2738</v>
      </c>
      <c r="B5341">
        <v>0</v>
      </c>
      <c r="C5341" s="44" t="s">
        <v>298</v>
      </c>
      <c r="D5341" t="s">
        <v>291</v>
      </c>
      <c r="E5341" t="s">
        <v>256</v>
      </c>
      <c r="F5341">
        <v>4</v>
      </c>
    </row>
    <row r="5342" spans="1:6" ht="13.2">
      <c r="A5342" t="s">
        <v>2739</v>
      </c>
      <c r="B5342">
        <v>0</v>
      </c>
      <c r="C5342" s="44" t="s">
        <v>298</v>
      </c>
      <c r="D5342" t="s">
        <v>291</v>
      </c>
      <c r="E5342" t="s">
        <v>256</v>
      </c>
      <c r="F5342">
        <v>4</v>
      </c>
    </row>
    <row r="5343" spans="1:6" ht="13.2">
      <c r="A5343" t="s">
        <v>2740</v>
      </c>
      <c r="B5343">
        <v>0</v>
      </c>
      <c r="C5343" s="44" t="s">
        <v>298</v>
      </c>
      <c r="D5343" t="s">
        <v>291</v>
      </c>
      <c r="E5343" t="s">
        <v>256</v>
      </c>
      <c r="F5343">
        <v>4</v>
      </c>
    </row>
    <row r="5344" spans="1:6" ht="13.2">
      <c r="A5344" t="s">
        <v>2741</v>
      </c>
      <c r="B5344">
        <v>0</v>
      </c>
      <c r="C5344" s="44" t="s">
        <v>298</v>
      </c>
      <c r="D5344" t="s">
        <v>291</v>
      </c>
      <c r="E5344" t="s">
        <v>256</v>
      </c>
      <c r="F5344">
        <v>4</v>
      </c>
    </row>
    <row r="5345" spans="1:6" ht="13.2">
      <c r="A5345" t="s">
        <v>2742</v>
      </c>
      <c r="B5345">
        <v>0</v>
      </c>
      <c r="C5345" s="44" t="s">
        <v>298</v>
      </c>
      <c r="D5345" t="s">
        <v>291</v>
      </c>
      <c r="E5345" t="s">
        <v>256</v>
      </c>
      <c r="F5345">
        <v>4</v>
      </c>
    </row>
    <row r="5346" spans="1:6" ht="13.2">
      <c r="A5346" t="s">
        <v>2743</v>
      </c>
      <c r="B5346">
        <v>0</v>
      </c>
      <c r="C5346" s="44" t="s">
        <v>298</v>
      </c>
      <c r="D5346" t="s">
        <v>291</v>
      </c>
      <c r="E5346" t="s">
        <v>256</v>
      </c>
      <c r="F5346">
        <v>4</v>
      </c>
    </row>
    <row r="5347" spans="1:6" ht="13.2">
      <c r="A5347" t="s">
        <v>2744</v>
      </c>
      <c r="B5347">
        <v>0</v>
      </c>
      <c r="C5347" s="44" t="s">
        <v>298</v>
      </c>
      <c r="D5347" t="s">
        <v>291</v>
      </c>
      <c r="E5347" t="s">
        <v>256</v>
      </c>
      <c r="F5347">
        <v>4</v>
      </c>
    </row>
    <row r="5348" spans="1:6" ht="13.2">
      <c r="A5348" t="s">
        <v>2745</v>
      </c>
      <c r="B5348">
        <v>0</v>
      </c>
      <c r="C5348" s="44" t="s">
        <v>298</v>
      </c>
      <c r="D5348" t="s">
        <v>291</v>
      </c>
      <c r="E5348" t="s">
        <v>256</v>
      </c>
      <c r="F5348">
        <v>4</v>
      </c>
    </row>
    <row r="5349" spans="1:6" ht="13.2">
      <c r="A5349" t="s">
        <v>2746</v>
      </c>
      <c r="B5349">
        <v>0</v>
      </c>
      <c r="C5349" s="44" t="s">
        <v>298</v>
      </c>
      <c r="D5349" t="s">
        <v>291</v>
      </c>
      <c r="E5349" t="s">
        <v>256</v>
      </c>
      <c r="F5349">
        <v>4</v>
      </c>
    </row>
    <row r="5350" spans="1:6" ht="13.2">
      <c r="A5350" t="s">
        <v>2747</v>
      </c>
      <c r="B5350">
        <v>0</v>
      </c>
      <c r="C5350" s="44" t="s">
        <v>298</v>
      </c>
      <c r="D5350" t="s">
        <v>291</v>
      </c>
      <c r="E5350" t="s">
        <v>256</v>
      </c>
      <c r="F5350">
        <v>4</v>
      </c>
    </row>
    <row r="5351" spans="1:6" ht="13.2">
      <c r="A5351" t="s">
        <v>2748</v>
      </c>
      <c r="B5351">
        <v>0</v>
      </c>
      <c r="C5351" s="44" t="s">
        <v>298</v>
      </c>
      <c r="D5351" t="s">
        <v>291</v>
      </c>
      <c r="E5351" t="s">
        <v>256</v>
      </c>
      <c r="F5351">
        <v>4</v>
      </c>
    </row>
    <row r="5352" spans="1:6" ht="13.2">
      <c r="A5352" t="s">
        <v>2749</v>
      </c>
      <c r="B5352">
        <v>0</v>
      </c>
      <c r="C5352" s="44" t="s">
        <v>298</v>
      </c>
      <c r="D5352" t="s">
        <v>291</v>
      </c>
      <c r="E5352" t="s">
        <v>256</v>
      </c>
      <c r="F5352">
        <v>4</v>
      </c>
    </row>
    <row r="5353" spans="1:6" ht="13.2">
      <c r="A5353" t="s">
        <v>2750</v>
      </c>
      <c r="B5353">
        <v>0</v>
      </c>
      <c r="C5353" s="44" t="s">
        <v>298</v>
      </c>
      <c r="D5353" t="s">
        <v>291</v>
      </c>
      <c r="E5353" t="s">
        <v>256</v>
      </c>
      <c r="F5353">
        <v>4</v>
      </c>
    </row>
    <row r="5354" spans="1:6" ht="13.2">
      <c r="A5354" t="s">
        <v>2751</v>
      </c>
      <c r="B5354">
        <v>0</v>
      </c>
      <c r="C5354" s="44" t="s">
        <v>298</v>
      </c>
      <c r="D5354" t="s">
        <v>291</v>
      </c>
      <c r="E5354" t="s">
        <v>256</v>
      </c>
      <c r="F5354">
        <v>4</v>
      </c>
    </row>
    <row r="5355" spans="1:6" ht="13.2">
      <c r="A5355" t="s">
        <v>2752</v>
      </c>
      <c r="B5355">
        <v>0</v>
      </c>
      <c r="C5355" s="44" t="s">
        <v>298</v>
      </c>
      <c r="D5355" t="s">
        <v>291</v>
      </c>
      <c r="E5355" t="s">
        <v>256</v>
      </c>
      <c r="F5355">
        <v>4</v>
      </c>
    </row>
    <row r="5356" spans="1:6" ht="13.2">
      <c r="A5356" t="s">
        <v>2753</v>
      </c>
      <c r="B5356">
        <v>0</v>
      </c>
      <c r="C5356" s="44" t="s">
        <v>298</v>
      </c>
      <c r="D5356" t="s">
        <v>291</v>
      </c>
      <c r="E5356" t="s">
        <v>256</v>
      </c>
      <c r="F5356">
        <v>4</v>
      </c>
    </row>
    <row r="5357" spans="1:6" ht="13.2">
      <c r="A5357" t="s">
        <v>2754</v>
      </c>
      <c r="B5357">
        <v>0</v>
      </c>
      <c r="C5357" s="44" t="s">
        <v>298</v>
      </c>
      <c r="D5357" t="s">
        <v>291</v>
      </c>
      <c r="E5357" t="s">
        <v>256</v>
      </c>
      <c r="F5357">
        <v>4</v>
      </c>
    </row>
    <row r="5358" spans="1:6" ht="13.2">
      <c r="A5358" t="s">
        <v>2755</v>
      </c>
      <c r="B5358">
        <v>0</v>
      </c>
      <c r="C5358" s="44" t="s">
        <v>298</v>
      </c>
      <c r="D5358" t="s">
        <v>291</v>
      </c>
      <c r="E5358" t="s">
        <v>256</v>
      </c>
      <c r="F5358">
        <v>4</v>
      </c>
    </row>
    <row r="5359" spans="1:6" ht="13.2">
      <c r="A5359" t="s">
        <v>2756</v>
      </c>
      <c r="B5359">
        <v>0</v>
      </c>
      <c r="C5359" s="44" t="s">
        <v>298</v>
      </c>
      <c r="D5359" t="s">
        <v>291</v>
      </c>
      <c r="E5359" t="s">
        <v>256</v>
      </c>
      <c r="F5359">
        <v>4</v>
      </c>
    </row>
    <row r="5360" spans="1:6" ht="13.2">
      <c r="A5360" t="s">
        <v>2757</v>
      </c>
      <c r="B5360">
        <v>0</v>
      </c>
      <c r="C5360" s="44" t="s">
        <v>298</v>
      </c>
      <c r="D5360" t="s">
        <v>291</v>
      </c>
      <c r="E5360" t="s">
        <v>256</v>
      </c>
      <c r="F5360">
        <v>4</v>
      </c>
    </row>
    <row r="5361" spans="1:6" ht="13.2">
      <c r="A5361" t="s">
        <v>2758</v>
      </c>
      <c r="B5361">
        <v>0</v>
      </c>
      <c r="C5361" s="44" t="s">
        <v>298</v>
      </c>
      <c r="D5361" t="s">
        <v>291</v>
      </c>
      <c r="E5361" t="s">
        <v>256</v>
      </c>
      <c r="F5361">
        <v>4</v>
      </c>
    </row>
    <row r="5362" spans="1:6" ht="13.2">
      <c r="A5362" t="s">
        <v>2759</v>
      </c>
      <c r="B5362">
        <v>0</v>
      </c>
      <c r="C5362" s="44" t="s">
        <v>298</v>
      </c>
      <c r="D5362" t="s">
        <v>291</v>
      </c>
      <c r="E5362" t="s">
        <v>256</v>
      </c>
      <c r="F5362">
        <v>4</v>
      </c>
    </row>
    <row r="5363" spans="1:6" ht="13.2">
      <c r="A5363" t="s">
        <v>2760</v>
      </c>
      <c r="B5363">
        <v>0</v>
      </c>
      <c r="C5363" s="44" t="s">
        <v>298</v>
      </c>
      <c r="D5363" t="s">
        <v>291</v>
      </c>
      <c r="E5363" t="s">
        <v>256</v>
      </c>
      <c r="F5363">
        <v>4</v>
      </c>
    </row>
    <row r="5364" spans="1:6" ht="13.2">
      <c r="A5364" t="s">
        <v>2761</v>
      </c>
      <c r="B5364">
        <v>0</v>
      </c>
      <c r="C5364" s="44" t="s">
        <v>298</v>
      </c>
      <c r="D5364" t="s">
        <v>291</v>
      </c>
      <c r="E5364" t="s">
        <v>256</v>
      </c>
      <c r="F5364">
        <v>4</v>
      </c>
    </row>
    <row r="5365" spans="1:6" ht="13.2">
      <c r="A5365" t="s">
        <v>2762</v>
      </c>
      <c r="B5365">
        <v>0</v>
      </c>
      <c r="C5365" s="44" t="s">
        <v>298</v>
      </c>
      <c r="D5365" t="s">
        <v>291</v>
      </c>
      <c r="E5365" t="s">
        <v>256</v>
      </c>
      <c r="F5365">
        <v>4</v>
      </c>
    </row>
    <row r="5366" spans="1:6" ht="13.2">
      <c r="A5366" t="s">
        <v>2763</v>
      </c>
      <c r="B5366">
        <v>0</v>
      </c>
      <c r="C5366" s="44" t="s">
        <v>298</v>
      </c>
      <c r="D5366" t="s">
        <v>291</v>
      </c>
      <c r="E5366" t="s">
        <v>256</v>
      </c>
      <c r="F5366">
        <v>4</v>
      </c>
    </row>
    <row r="5367" spans="1:6" ht="13.2">
      <c r="A5367" t="s">
        <v>2764</v>
      </c>
      <c r="B5367">
        <v>0</v>
      </c>
      <c r="C5367" s="44" t="s">
        <v>298</v>
      </c>
      <c r="D5367" t="s">
        <v>291</v>
      </c>
      <c r="E5367" t="s">
        <v>256</v>
      </c>
      <c r="F5367">
        <v>4</v>
      </c>
    </row>
    <row r="5368" spans="1:6" ht="13.2">
      <c r="A5368" t="s">
        <v>2765</v>
      </c>
      <c r="B5368">
        <v>0</v>
      </c>
      <c r="C5368" s="44" t="s">
        <v>298</v>
      </c>
      <c r="D5368" t="s">
        <v>291</v>
      </c>
      <c r="E5368" t="s">
        <v>256</v>
      </c>
      <c r="F5368">
        <v>4</v>
      </c>
    </row>
    <row r="5369" spans="1:6" ht="13.2">
      <c r="A5369" t="s">
        <v>2766</v>
      </c>
      <c r="B5369">
        <v>0</v>
      </c>
      <c r="C5369" s="44" t="s">
        <v>298</v>
      </c>
      <c r="D5369" t="s">
        <v>291</v>
      </c>
      <c r="E5369" t="s">
        <v>256</v>
      </c>
      <c r="F5369">
        <v>4</v>
      </c>
    </row>
    <row r="5370" spans="1:6" ht="13.2">
      <c r="A5370" t="s">
        <v>2767</v>
      </c>
      <c r="B5370">
        <v>0</v>
      </c>
      <c r="C5370" s="44" t="s">
        <v>298</v>
      </c>
      <c r="D5370" t="s">
        <v>291</v>
      </c>
      <c r="E5370" t="s">
        <v>256</v>
      </c>
      <c r="F5370">
        <v>4</v>
      </c>
    </row>
    <row r="5371" spans="1:6" ht="13.2">
      <c r="A5371" t="s">
        <v>3074</v>
      </c>
      <c r="B5371">
        <v>568</v>
      </c>
      <c r="C5371" s="44">
        <v>1380</v>
      </c>
      <c r="D5371" t="s">
        <v>291</v>
      </c>
      <c r="E5371" t="s">
        <v>574</v>
      </c>
      <c r="F5371">
        <v>14</v>
      </c>
    </row>
    <row r="5372" spans="1:6" ht="13.2">
      <c r="A5372" t="s">
        <v>3075</v>
      </c>
      <c r="B5372">
        <v>568</v>
      </c>
      <c r="C5372" s="44">
        <v>1380</v>
      </c>
      <c r="D5372" t="s">
        <v>291</v>
      </c>
      <c r="E5372" t="s">
        <v>574</v>
      </c>
      <c r="F5372">
        <v>14</v>
      </c>
    </row>
    <row r="5373" spans="1:6" ht="13.2">
      <c r="A5373" t="s">
        <v>3073</v>
      </c>
      <c r="B5373">
        <v>568</v>
      </c>
      <c r="C5373" s="44">
        <v>1380</v>
      </c>
      <c r="D5373" t="s">
        <v>291</v>
      </c>
      <c r="E5373" t="s">
        <v>574</v>
      </c>
      <c r="F5373">
        <v>14</v>
      </c>
    </row>
    <row r="5374" spans="1:6" ht="13.2">
      <c r="A5374" t="s">
        <v>3076</v>
      </c>
      <c r="B5374">
        <v>568</v>
      </c>
      <c r="C5374" s="44">
        <v>1380</v>
      </c>
      <c r="D5374" t="s">
        <v>291</v>
      </c>
      <c r="E5374" t="s">
        <v>574</v>
      </c>
      <c r="F5374">
        <v>14</v>
      </c>
    </row>
    <row r="5375" spans="1:6" ht="13.2">
      <c r="A5375" t="s">
        <v>3077</v>
      </c>
      <c r="B5375">
        <v>568</v>
      </c>
      <c r="C5375" s="44">
        <v>1380</v>
      </c>
      <c r="D5375" t="s">
        <v>291</v>
      </c>
      <c r="E5375" t="s">
        <v>574</v>
      </c>
      <c r="F5375">
        <v>14</v>
      </c>
    </row>
    <row r="5376" spans="1:6" ht="13.2">
      <c r="A5376" t="s">
        <v>6311</v>
      </c>
      <c r="B5376">
        <v>0</v>
      </c>
      <c r="C5376" s="44">
        <v>3300</v>
      </c>
      <c r="D5376" t="s">
        <v>293</v>
      </c>
      <c r="E5376" t="s">
        <v>256</v>
      </c>
      <c r="F5376">
        <v>9</v>
      </c>
    </row>
    <row r="5377" spans="1:6" ht="13.2">
      <c r="A5377" t="s">
        <v>6312</v>
      </c>
      <c r="B5377">
        <v>0</v>
      </c>
      <c r="C5377" s="44">
        <v>3300</v>
      </c>
      <c r="D5377" t="s">
        <v>293</v>
      </c>
      <c r="E5377" t="s">
        <v>256</v>
      </c>
      <c r="F5377">
        <v>9</v>
      </c>
    </row>
    <row r="5378" spans="1:6" ht="13.2">
      <c r="A5378" t="s">
        <v>6313</v>
      </c>
      <c r="B5378">
        <v>0</v>
      </c>
      <c r="C5378" s="44">
        <v>3300</v>
      </c>
      <c r="D5378" t="s">
        <v>293</v>
      </c>
      <c r="E5378" t="s">
        <v>256</v>
      </c>
      <c r="F5378">
        <v>9</v>
      </c>
    </row>
    <row r="5379" spans="1:6" ht="13.2">
      <c r="A5379" t="s">
        <v>6314</v>
      </c>
      <c r="B5379">
        <v>0</v>
      </c>
      <c r="C5379" s="44">
        <v>3300</v>
      </c>
      <c r="D5379" t="s">
        <v>293</v>
      </c>
      <c r="E5379" t="s">
        <v>256</v>
      </c>
      <c r="F5379">
        <v>9</v>
      </c>
    </row>
    <row r="5380" spans="1:6" ht="13.2">
      <c r="A5380" t="s">
        <v>6315</v>
      </c>
      <c r="B5380">
        <v>0</v>
      </c>
      <c r="C5380" s="44">
        <v>3300</v>
      </c>
      <c r="D5380" t="s">
        <v>293</v>
      </c>
      <c r="E5380" t="s">
        <v>256</v>
      </c>
      <c r="F5380">
        <v>9</v>
      </c>
    </row>
    <row r="5381" spans="1:6" ht="13.2">
      <c r="A5381" t="s">
        <v>6316</v>
      </c>
      <c r="B5381">
        <v>0</v>
      </c>
      <c r="C5381" s="44">
        <v>3300</v>
      </c>
      <c r="D5381" t="s">
        <v>293</v>
      </c>
      <c r="E5381" t="s">
        <v>256</v>
      </c>
      <c r="F5381">
        <v>9</v>
      </c>
    </row>
    <row r="5382" spans="1:6" ht="13.2">
      <c r="A5382" t="s">
        <v>6317</v>
      </c>
      <c r="B5382">
        <v>0</v>
      </c>
      <c r="C5382" s="44">
        <v>3300</v>
      </c>
      <c r="D5382" t="s">
        <v>293</v>
      </c>
      <c r="E5382" t="s">
        <v>256</v>
      </c>
      <c r="F5382">
        <v>9</v>
      </c>
    </row>
    <row r="5383" spans="1:6" ht="13.2">
      <c r="A5383" t="s">
        <v>6318</v>
      </c>
      <c r="B5383">
        <v>0</v>
      </c>
      <c r="C5383" s="44">
        <v>3300</v>
      </c>
      <c r="D5383" t="s">
        <v>293</v>
      </c>
      <c r="E5383" t="s">
        <v>256</v>
      </c>
      <c r="F5383">
        <v>9</v>
      </c>
    </row>
    <row r="5384" spans="1:6" ht="13.2">
      <c r="A5384" t="s">
        <v>6319</v>
      </c>
      <c r="B5384">
        <v>0</v>
      </c>
      <c r="C5384" s="44">
        <v>3300</v>
      </c>
      <c r="D5384" t="s">
        <v>293</v>
      </c>
      <c r="E5384" t="s">
        <v>256</v>
      </c>
      <c r="F5384">
        <v>9</v>
      </c>
    </row>
    <row r="5385" spans="1:6" ht="13.2">
      <c r="A5385" t="s">
        <v>6320</v>
      </c>
      <c r="B5385">
        <v>0</v>
      </c>
      <c r="C5385" s="44">
        <v>3300</v>
      </c>
      <c r="D5385" t="s">
        <v>293</v>
      </c>
      <c r="E5385" t="s">
        <v>256</v>
      </c>
      <c r="F5385">
        <v>9</v>
      </c>
    </row>
    <row r="5386" spans="1:6" ht="13.2">
      <c r="A5386" t="s">
        <v>6321</v>
      </c>
      <c r="B5386">
        <v>0</v>
      </c>
      <c r="C5386" s="44">
        <v>3300</v>
      </c>
      <c r="D5386" t="s">
        <v>293</v>
      </c>
      <c r="E5386" t="s">
        <v>256</v>
      </c>
      <c r="F5386">
        <v>9</v>
      </c>
    </row>
    <row r="5387" spans="1:6" ht="13.2">
      <c r="A5387" t="s">
        <v>6322</v>
      </c>
      <c r="B5387">
        <v>0</v>
      </c>
      <c r="C5387" s="44">
        <v>3300</v>
      </c>
      <c r="D5387" t="s">
        <v>293</v>
      </c>
      <c r="E5387" t="s">
        <v>256</v>
      </c>
      <c r="F5387">
        <v>9</v>
      </c>
    </row>
    <row r="5388" spans="1:6" ht="13.2">
      <c r="A5388" t="s">
        <v>6323</v>
      </c>
      <c r="B5388">
        <v>0</v>
      </c>
      <c r="C5388" s="44">
        <v>3300</v>
      </c>
      <c r="D5388" t="s">
        <v>293</v>
      </c>
      <c r="E5388" t="s">
        <v>256</v>
      </c>
      <c r="F5388">
        <v>9</v>
      </c>
    </row>
    <row r="5389" spans="1:6" ht="13.2">
      <c r="A5389" t="s">
        <v>6324</v>
      </c>
      <c r="B5389">
        <v>0</v>
      </c>
      <c r="C5389" s="44">
        <v>3300</v>
      </c>
      <c r="D5389" t="s">
        <v>293</v>
      </c>
      <c r="E5389" t="s">
        <v>256</v>
      </c>
      <c r="F5389">
        <v>9</v>
      </c>
    </row>
    <row r="5390" spans="1:6" ht="13.2">
      <c r="A5390" t="s">
        <v>6325</v>
      </c>
      <c r="B5390">
        <v>410</v>
      </c>
      <c r="C5390" s="44">
        <v>1400</v>
      </c>
      <c r="D5390" t="s">
        <v>291</v>
      </c>
      <c r="E5390" t="s">
        <v>6326</v>
      </c>
      <c r="F5390">
        <v>4</v>
      </c>
    </row>
    <row r="5391" spans="1:6" ht="13.2">
      <c r="A5391" t="s">
        <v>6327</v>
      </c>
      <c r="B5391">
        <v>22</v>
      </c>
      <c r="C5391" s="44">
        <v>1400</v>
      </c>
      <c r="D5391" t="s">
        <v>291</v>
      </c>
      <c r="E5391" t="s">
        <v>6328</v>
      </c>
      <c r="F5391">
        <v>4</v>
      </c>
    </row>
    <row r="5392" spans="1:6" ht="13.2">
      <c r="A5392" t="s">
        <v>6329</v>
      </c>
      <c r="B5392">
        <v>0</v>
      </c>
      <c r="C5392" s="44">
        <v>1400</v>
      </c>
      <c r="D5392" t="s">
        <v>291</v>
      </c>
      <c r="E5392" t="s">
        <v>6330</v>
      </c>
      <c r="F5392">
        <v>4</v>
      </c>
    </row>
    <row r="5393" spans="1:6" ht="13.2">
      <c r="A5393" t="s">
        <v>6331</v>
      </c>
      <c r="B5393">
        <v>0</v>
      </c>
      <c r="C5393" s="44">
        <v>1400</v>
      </c>
      <c r="D5393" t="s">
        <v>291</v>
      </c>
      <c r="E5393" t="s">
        <v>6332</v>
      </c>
      <c r="F5393">
        <v>4</v>
      </c>
    </row>
    <row r="5394" spans="1:6" ht="13.2">
      <c r="A5394" t="s">
        <v>6333</v>
      </c>
      <c r="B5394">
        <v>0</v>
      </c>
      <c r="C5394" s="44">
        <v>1400</v>
      </c>
      <c r="D5394" t="s">
        <v>291</v>
      </c>
      <c r="E5394" t="s">
        <v>6332</v>
      </c>
      <c r="F5394">
        <v>4</v>
      </c>
    </row>
    <row r="5395" spans="1:6" ht="13.2">
      <c r="A5395" t="s">
        <v>6334</v>
      </c>
      <c r="B5395">
        <v>400</v>
      </c>
      <c r="C5395" s="44">
        <v>1400</v>
      </c>
      <c r="D5395" t="s">
        <v>291</v>
      </c>
      <c r="E5395" t="s">
        <v>6326</v>
      </c>
      <c r="F5395">
        <v>4</v>
      </c>
    </row>
    <row r="5396" spans="1:6" ht="13.2">
      <c r="A5396" t="s">
        <v>6335</v>
      </c>
      <c r="B5396">
        <v>335</v>
      </c>
      <c r="C5396" s="44">
        <v>1400</v>
      </c>
      <c r="D5396" t="s">
        <v>291</v>
      </c>
      <c r="E5396" t="s">
        <v>6330</v>
      </c>
      <c r="F5396">
        <v>4</v>
      </c>
    </row>
    <row r="5397" spans="1:6" ht="13.2">
      <c r="A5397" t="s">
        <v>6336</v>
      </c>
      <c r="B5397">
        <v>600</v>
      </c>
      <c r="C5397" s="44">
        <v>1400</v>
      </c>
      <c r="D5397" t="s">
        <v>291</v>
      </c>
      <c r="E5397" t="s">
        <v>6326</v>
      </c>
      <c r="F5397">
        <v>4</v>
      </c>
    </row>
    <row r="5398" spans="1:6" ht="13.2">
      <c r="A5398" t="s">
        <v>6337</v>
      </c>
      <c r="B5398">
        <v>400</v>
      </c>
      <c r="C5398" s="44">
        <v>1400</v>
      </c>
      <c r="D5398" t="s">
        <v>291</v>
      </c>
      <c r="E5398" t="s">
        <v>6338</v>
      </c>
      <c r="F5398">
        <v>4</v>
      </c>
    </row>
    <row r="5399" spans="1:6" ht="13.2">
      <c r="A5399" t="s">
        <v>6339</v>
      </c>
      <c r="B5399">
        <v>39</v>
      </c>
      <c r="C5399" s="44">
        <v>1400</v>
      </c>
      <c r="D5399" t="s">
        <v>291</v>
      </c>
      <c r="E5399" t="s">
        <v>6328</v>
      </c>
      <c r="F5399">
        <v>4</v>
      </c>
    </row>
    <row r="5400" spans="1:6" ht="13.2">
      <c r="A5400" t="s">
        <v>6340</v>
      </c>
      <c r="B5400">
        <v>14</v>
      </c>
      <c r="C5400" s="44">
        <v>1400</v>
      </c>
      <c r="D5400" t="s">
        <v>291</v>
      </c>
      <c r="E5400" t="s">
        <v>6328</v>
      </c>
      <c r="F5400">
        <v>4</v>
      </c>
    </row>
    <row r="5401" spans="1:6" ht="13.2">
      <c r="A5401" t="s">
        <v>6341</v>
      </c>
      <c r="B5401">
        <v>220</v>
      </c>
      <c r="C5401" s="44">
        <v>1400</v>
      </c>
      <c r="D5401" t="s">
        <v>291</v>
      </c>
      <c r="E5401" t="s">
        <v>6328</v>
      </c>
      <c r="F5401">
        <v>4</v>
      </c>
    </row>
    <row r="5402" spans="1:6" ht="13.2">
      <c r="A5402" t="s">
        <v>6342</v>
      </c>
      <c r="B5402">
        <v>0</v>
      </c>
      <c r="C5402" s="44">
        <v>1400</v>
      </c>
      <c r="D5402" t="s">
        <v>291</v>
      </c>
      <c r="E5402" t="s">
        <v>6332</v>
      </c>
      <c r="F5402">
        <v>4</v>
      </c>
    </row>
    <row r="5403" spans="1:6" ht="13.2">
      <c r="A5403" t="s">
        <v>6343</v>
      </c>
      <c r="B5403">
        <v>0</v>
      </c>
      <c r="C5403" s="44">
        <v>1400</v>
      </c>
      <c r="D5403" t="s">
        <v>291</v>
      </c>
      <c r="E5403" t="s">
        <v>6328</v>
      </c>
      <c r="F5403">
        <v>4</v>
      </c>
    </row>
    <row r="5404" spans="1:6" ht="13.2">
      <c r="A5404" t="s">
        <v>6344</v>
      </c>
      <c r="B5404">
        <v>200</v>
      </c>
      <c r="C5404" s="44">
        <v>1400</v>
      </c>
      <c r="D5404" t="s">
        <v>291</v>
      </c>
      <c r="E5404" t="s">
        <v>6326</v>
      </c>
      <c r="F5404">
        <v>4</v>
      </c>
    </row>
    <row r="5405" spans="1:6" ht="13.2">
      <c r="A5405" t="s">
        <v>6345</v>
      </c>
      <c r="B5405">
        <v>140</v>
      </c>
      <c r="C5405" s="44">
        <v>1400</v>
      </c>
      <c r="D5405" t="s">
        <v>291</v>
      </c>
      <c r="E5405" t="s">
        <v>6326</v>
      </c>
      <c r="F5405">
        <v>4</v>
      </c>
    </row>
    <row r="5406" spans="1:6" ht="13.2">
      <c r="A5406" t="s">
        <v>6346</v>
      </c>
      <c r="B5406">
        <v>19</v>
      </c>
      <c r="C5406" s="44">
        <v>1400</v>
      </c>
      <c r="D5406" t="s">
        <v>291</v>
      </c>
      <c r="E5406" t="s">
        <v>6347</v>
      </c>
      <c r="F5406">
        <v>4</v>
      </c>
    </row>
    <row r="5407" spans="1:6" ht="13.2">
      <c r="A5407" t="s">
        <v>6348</v>
      </c>
      <c r="B5407">
        <v>320</v>
      </c>
      <c r="C5407" s="44">
        <v>1400</v>
      </c>
      <c r="D5407" t="s">
        <v>291</v>
      </c>
      <c r="E5407" t="s">
        <v>6347</v>
      </c>
      <c r="F5407">
        <v>4</v>
      </c>
    </row>
    <row r="5408" spans="1:6" ht="13.2">
      <c r="A5408" t="s">
        <v>6349</v>
      </c>
      <c r="B5408">
        <v>19</v>
      </c>
      <c r="C5408" s="44">
        <v>1400</v>
      </c>
      <c r="D5408" t="s">
        <v>291</v>
      </c>
      <c r="E5408" t="s">
        <v>6347</v>
      </c>
      <c r="F5408">
        <v>4</v>
      </c>
    </row>
    <row r="5409" spans="1:6" ht="13.2">
      <c r="A5409" t="s">
        <v>6350</v>
      </c>
      <c r="B5409">
        <v>300</v>
      </c>
      <c r="C5409" s="44">
        <v>1400</v>
      </c>
      <c r="D5409" t="s">
        <v>291</v>
      </c>
      <c r="E5409" t="s">
        <v>6326</v>
      </c>
      <c r="F5409">
        <v>4</v>
      </c>
    </row>
    <row r="5410" spans="1:6" ht="13.2">
      <c r="A5410" t="s">
        <v>6351</v>
      </c>
      <c r="B5410">
        <v>355</v>
      </c>
      <c r="C5410" s="44">
        <v>1400</v>
      </c>
      <c r="D5410" t="s">
        <v>291</v>
      </c>
      <c r="E5410" t="s">
        <v>6328</v>
      </c>
      <c r="F5410">
        <v>4</v>
      </c>
    </row>
    <row r="5411" spans="1:6" ht="13.2">
      <c r="A5411" t="s">
        <v>6352</v>
      </c>
      <c r="B5411">
        <v>0</v>
      </c>
      <c r="C5411" s="44">
        <v>1400</v>
      </c>
      <c r="D5411" t="s">
        <v>291</v>
      </c>
      <c r="E5411" t="s">
        <v>6326</v>
      </c>
      <c r="F5411">
        <v>4</v>
      </c>
    </row>
    <row r="5412" spans="1:6" ht="13.2">
      <c r="A5412" t="s">
        <v>6353</v>
      </c>
      <c r="B5412">
        <v>0</v>
      </c>
      <c r="C5412" s="44">
        <v>2760</v>
      </c>
      <c r="D5412" t="s">
        <v>293</v>
      </c>
      <c r="E5412" t="s">
        <v>256</v>
      </c>
      <c r="F5412" t="s">
        <v>6354</v>
      </c>
    </row>
    <row r="5413" spans="1:6" ht="13.2">
      <c r="A5413" t="s">
        <v>6355</v>
      </c>
      <c r="B5413">
        <v>0</v>
      </c>
      <c r="C5413" s="44">
        <v>2760</v>
      </c>
      <c r="D5413" t="s">
        <v>293</v>
      </c>
      <c r="E5413" t="s">
        <v>256</v>
      </c>
      <c r="F5413" t="s">
        <v>6354</v>
      </c>
    </row>
    <row r="5414" spans="1:6" ht="13.2">
      <c r="A5414" t="s">
        <v>6356</v>
      </c>
      <c r="B5414">
        <v>0</v>
      </c>
      <c r="C5414" s="44">
        <v>2760</v>
      </c>
      <c r="D5414" t="s">
        <v>293</v>
      </c>
      <c r="E5414" t="s">
        <v>256</v>
      </c>
      <c r="F5414" t="s">
        <v>6354</v>
      </c>
    </row>
    <row r="5415" spans="1:6" ht="13.2">
      <c r="A5415" t="s">
        <v>6357</v>
      </c>
      <c r="B5415">
        <v>0</v>
      </c>
      <c r="C5415" s="44">
        <v>2760</v>
      </c>
      <c r="D5415" t="s">
        <v>293</v>
      </c>
      <c r="E5415" t="s">
        <v>256</v>
      </c>
      <c r="F5415" t="s">
        <v>6354</v>
      </c>
    </row>
    <row r="5416" spans="1:6" ht="13.2">
      <c r="A5416" t="s">
        <v>6358</v>
      </c>
      <c r="B5416">
        <v>0</v>
      </c>
      <c r="C5416" s="44">
        <v>2760</v>
      </c>
      <c r="D5416" t="s">
        <v>293</v>
      </c>
      <c r="E5416" t="s">
        <v>256</v>
      </c>
      <c r="F5416" t="s">
        <v>6354</v>
      </c>
    </row>
    <row r="5417" spans="1:6" ht="13.2">
      <c r="A5417" t="s">
        <v>6359</v>
      </c>
      <c r="B5417">
        <v>0</v>
      </c>
      <c r="C5417" s="44">
        <v>2760</v>
      </c>
      <c r="D5417" t="s">
        <v>293</v>
      </c>
      <c r="E5417" t="s">
        <v>256</v>
      </c>
      <c r="F5417" t="s">
        <v>6354</v>
      </c>
    </row>
    <row r="5418" spans="1:6" ht="13.2">
      <c r="A5418" t="s">
        <v>6360</v>
      </c>
      <c r="B5418">
        <v>0</v>
      </c>
      <c r="C5418" s="44">
        <v>2760</v>
      </c>
      <c r="D5418" t="s">
        <v>293</v>
      </c>
      <c r="E5418" t="s">
        <v>256</v>
      </c>
      <c r="F5418" t="s">
        <v>6354</v>
      </c>
    </row>
    <row r="5419" spans="1:6" ht="13.2">
      <c r="A5419" t="s">
        <v>6361</v>
      </c>
      <c r="B5419">
        <v>0</v>
      </c>
      <c r="C5419" s="44">
        <v>2760</v>
      </c>
      <c r="D5419" t="s">
        <v>293</v>
      </c>
      <c r="E5419" t="s">
        <v>256</v>
      </c>
      <c r="F5419" t="s">
        <v>6354</v>
      </c>
    </row>
    <row r="5420" spans="1:6" ht="13.2">
      <c r="A5420" t="s">
        <v>6362</v>
      </c>
      <c r="B5420">
        <v>0</v>
      </c>
      <c r="C5420" s="44">
        <v>2760</v>
      </c>
      <c r="D5420" t="s">
        <v>293</v>
      </c>
      <c r="E5420" t="s">
        <v>256</v>
      </c>
      <c r="F5420" t="s">
        <v>6354</v>
      </c>
    </row>
    <row r="5421" spans="1:6" ht="13.2">
      <c r="A5421" t="s">
        <v>6363</v>
      </c>
      <c r="B5421">
        <v>0</v>
      </c>
      <c r="C5421" s="44">
        <v>2760</v>
      </c>
      <c r="D5421" t="s">
        <v>293</v>
      </c>
      <c r="E5421" t="s">
        <v>256</v>
      </c>
      <c r="F5421" t="s">
        <v>6354</v>
      </c>
    </row>
    <row r="5422" spans="1:6" ht="13.2">
      <c r="A5422" t="s">
        <v>6364</v>
      </c>
      <c r="B5422">
        <v>0</v>
      </c>
      <c r="C5422" s="44">
        <v>2760</v>
      </c>
      <c r="D5422" t="s">
        <v>293</v>
      </c>
      <c r="E5422" t="s">
        <v>256</v>
      </c>
      <c r="F5422" t="s">
        <v>6354</v>
      </c>
    </row>
    <row r="5423" spans="1:6" ht="13.2">
      <c r="A5423" t="s">
        <v>6365</v>
      </c>
      <c r="B5423">
        <v>0</v>
      </c>
      <c r="C5423" s="44">
        <v>2760</v>
      </c>
      <c r="D5423" t="s">
        <v>293</v>
      </c>
      <c r="E5423" t="s">
        <v>256</v>
      </c>
      <c r="F5423" t="s">
        <v>6354</v>
      </c>
    </row>
    <row r="5424" spans="1:6" ht="13.2">
      <c r="A5424" t="s">
        <v>6366</v>
      </c>
      <c r="B5424">
        <v>0</v>
      </c>
      <c r="C5424" s="44">
        <v>2760</v>
      </c>
      <c r="D5424" t="s">
        <v>293</v>
      </c>
      <c r="E5424" t="s">
        <v>256</v>
      </c>
      <c r="F5424" t="s">
        <v>6354</v>
      </c>
    </row>
    <row r="5425" spans="1:6" ht="13.2">
      <c r="A5425" t="s">
        <v>6367</v>
      </c>
      <c r="B5425">
        <v>0</v>
      </c>
      <c r="C5425" s="44">
        <v>2760</v>
      </c>
      <c r="D5425" t="s">
        <v>293</v>
      </c>
      <c r="E5425" t="s">
        <v>256</v>
      </c>
      <c r="F5425" t="s">
        <v>6354</v>
      </c>
    </row>
    <row r="5426" spans="1:6" ht="13.2">
      <c r="A5426" t="s">
        <v>6368</v>
      </c>
      <c r="B5426">
        <v>0</v>
      </c>
      <c r="C5426" s="44">
        <v>2760</v>
      </c>
      <c r="D5426" t="s">
        <v>293</v>
      </c>
      <c r="E5426" t="s">
        <v>256</v>
      </c>
      <c r="F5426" t="s">
        <v>6354</v>
      </c>
    </row>
    <row r="5427" spans="1:6" ht="13.2">
      <c r="A5427" t="s">
        <v>6369</v>
      </c>
      <c r="B5427">
        <v>0</v>
      </c>
      <c r="C5427" s="44">
        <v>2760</v>
      </c>
      <c r="D5427" t="s">
        <v>293</v>
      </c>
      <c r="E5427" t="s">
        <v>256</v>
      </c>
      <c r="F5427" t="s">
        <v>6354</v>
      </c>
    </row>
    <row r="5428" spans="1:6" ht="13.2">
      <c r="A5428" t="s">
        <v>6370</v>
      </c>
      <c r="B5428">
        <v>0</v>
      </c>
      <c r="C5428" s="44">
        <v>2760</v>
      </c>
      <c r="D5428" t="s">
        <v>293</v>
      </c>
      <c r="E5428" t="s">
        <v>256</v>
      </c>
      <c r="F5428" t="s">
        <v>6354</v>
      </c>
    </row>
    <row r="5429" spans="1:6" ht="13.2">
      <c r="A5429" t="s">
        <v>6371</v>
      </c>
      <c r="B5429">
        <v>0</v>
      </c>
      <c r="C5429" s="44">
        <v>2760</v>
      </c>
      <c r="D5429" t="s">
        <v>293</v>
      </c>
      <c r="E5429" t="s">
        <v>256</v>
      </c>
      <c r="F5429" t="s">
        <v>6354</v>
      </c>
    </row>
    <row r="5430" spans="1:6" ht="13.2">
      <c r="A5430" t="s">
        <v>6372</v>
      </c>
      <c r="B5430">
        <v>0</v>
      </c>
      <c r="C5430" s="44">
        <v>2760</v>
      </c>
      <c r="D5430" t="s">
        <v>293</v>
      </c>
      <c r="E5430" t="s">
        <v>256</v>
      </c>
      <c r="F5430" t="s">
        <v>6354</v>
      </c>
    </row>
    <row r="5431" spans="1:6" ht="13.2">
      <c r="A5431" t="s">
        <v>6373</v>
      </c>
      <c r="B5431">
        <v>0</v>
      </c>
      <c r="C5431" s="44">
        <v>2760</v>
      </c>
      <c r="D5431" t="s">
        <v>293</v>
      </c>
      <c r="E5431" t="s">
        <v>256</v>
      </c>
      <c r="F5431" t="s">
        <v>6354</v>
      </c>
    </row>
    <row r="5432" spans="1:6" ht="13.2">
      <c r="A5432" t="s">
        <v>6374</v>
      </c>
      <c r="B5432">
        <v>0</v>
      </c>
      <c r="C5432" s="44">
        <v>2760</v>
      </c>
      <c r="D5432" t="s">
        <v>293</v>
      </c>
      <c r="E5432" t="s">
        <v>256</v>
      </c>
      <c r="F5432" t="s">
        <v>6354</v>
      </c>
    </row>
    <row r="5433" spans="1:6" ht="13.2">
      <c r="A5433" t="s">
        <v>6375</v>
      </c>
      <c r="B5433">
        <v>0</v>
      </c>
      <c r="C5433" s="44">
        <v>2760</v>
      </c>
      <c r="D5433" t="s">
        <v>293</v>
      </c>
      <c r="E5433" t="s">
        <v>256</v>
      </c>
      <c r="F5433" t="s">
        <v>6354</v>
      </c>
    </row>
    <row r="5434" spans="1:6" ht="13.2">
      <c r="A5434" t="s">
        <v>6376</v>
      </c>
      <c r="B5434">
        <v>0</v>
      </c>
      <c r="C5434" s="44">
        <v>2760</v>
      </c>
      <c r="D5434" t="s">
        <v>293</v>
      </c>
      <c r="E5434" t="s">
        <v>256</v>
      </c>
      <c r="F5434" t="s">
        <v>6354</v>
      </c>
    </row>
    <row r="5435" spans="1:6" ht="13.2">
      <c r="A5435" t="s">
        <v>6377</v>
      </c>
      <c r="B5435">
        <v>0</v>
      </c>
      <c r="C5435" s="44">
        <v>2760</v>
      </c>
      <c r="D5435" t="s">
        <v>293</v>
      </c>
      <c r="E5435" t="s">
        <v>256</v>
      </c>
      <c r="F5435" t="s">
        <v>6354</v>
      </c>
    </row>
    <row r="5436" spans="1:6" ht="13.2">
      <c r="A5436" t="s">
        <v>6378</v>
      </c>
      <c r="B5436">
        <v>0</v>
      </c>
      <c r="C5436" s="44">
        <v>2760</v>
      </c>
      <c r="D5436" t="s">
        <v>291</v>
      </c>
      <c r="E5436" t="s">
        <v>256</v>
      </c>
      <c r="F5436" t="s">
        <v>6354</v>
      </c>
    </row>
    <row r="5437" spans="1:6" ht="13.2">
      <c r="A5437" t="s">
        <v>6379</v>
      </c>
      <c r="B5437">
        <v>0</v>
      </c>
      <c r="C5437" s="44">
        <v>2760</v>
      </c>
      <c r="D5437" t="s">
        <v>291</v>
      </c>
      <c r="E5437" t="s">
        <v>256</v>
      </c>
      <c r="F5437" t="s">
        <v>6354</v>
      </c>
    </row>
    <row r="5438" spans="1:6" ht="13.2">
      <c r="A5438" t="s">
        <v>6380</v>
      </c>
      <c r="B5438">
        <v>0</v>
      </c>
      <c r="C5438" s="44">
        <v>2760</v>
      </c>
      <c r="D5438" t="s">
        <v>291</v>
      </c>
      <c r="E5438" t="s">
        <v>256</v>
      </c>
      <c r="F5438" t="s">
        <v>6354</v>
      </c>
    </row>
    <row r="5439" spans="1:6" ht="13.2">
      <c r="A5439" t="s">
        <v>6381</v>
      </c>
      <c r="B5439">
        <v>0</v>
      </c>
      <c r="C5439" s="44">
        <v>2760</v>
      </c>
      <c r="D5439" t="s">
        <v>291</v>
      </c>
      <c r="E5439" t="s">
        <v>256</v>
      </c>
      <c r="F5439" t="s">
        <v>6354</v>
      </c>
    </row>
    <row r="5440" spans="1:6" ht="13.2">
      <c r="A5440" t="s">
        <v>6382</v>
      </c>
      <c r="B5440">
        <v>0</v>
      </c>
      <c r="C5440" s="44">
        <v>2760</v>
      </c>
      <c r="D5440" t="s">
        <v>291</v>
      </c>
      <c r="E5440" t="s">
        <v>256</v>
      </c>
      <c r="F5440" t="s">
        <v>6354</v>
      </c>
    </row>
    <row r="5441" spans="1:6" ht="13.2">
      <c r="A5441" t="s">
        <v>6383</v>
      </c>
      <c r="B5441">
        <v>0</v>
      </c>
      <c r="C5441" s="44">
        <v>2760</v>
      </c>
      <c r="D5441" t="s">
        <v>291</v>
      </c>
      <c r="E5441" t="s">
        <v>256</v>
      </c>
      <c r="F5441" t="s">
        <v>6354</v>
      </c>
    </row>
    <row r="5442" spans="1:6" ht="13.2">
      <c r="A5442" t="s">
        <v>6384</v>
      </c>
      <c r="B5442">
        <v>0</v>
      </c>
      <c r="C5442" s="44">
        <v>2760</v>
      </c>
      <c r="D5442" t="s">
        <v>291</v>
      </c>
      <c r="E5442" t="s">
        <v>256</v>
      </c>
      <c r="F5442" t="s">
        <v>6354</v>
      </c>
    </row>
    <row r="5443" spans="1:6" ht="13.2">
      <c r="A5443" t="s">
        <v>6385</v>
      </c>
      <c r="B5443">
        <v>0</v>
      </c>
      <c r="C5443" s="44">
        <v>2760</v>
      </c>
      <c r="D5443" t="s">
        <v>291</v>
      </c>
      <c r="E5443" t="s">
        <v>256</v>
      </c>
      <c r="F5443" t="s">
        <v>6354</v>
      </c>
    </row>
    <row r="5444" spans="1:6" ht="13.2">
      <c r="A5444" t="s">
        <v>6386</v>
      </c>
      <c r="B5444">
        <v>0</v>
      </c>
      <c r="C5444" s="44">
        <v>2760</v>
      </c>
      <c r="D5444" t="s">
        <v>291</v>
      </c>
      <c r="E5444" t="s">
        <v>256</v>
      </c>
      <c r="F5444" t="s">
        <v>6354</v>
      </c>
    </row>
    <row r="5445" spans="1:6" ht="13.2">
      <c r="A5445" t="s">
        <v>6387</v>
      </c>
      <c r="B5445">
        <v>0</v>
      </c>
      <c r="C5445" s="44">
        <v>2760</v>
      </c>
      <c r="D5445" t="s">
        <v>291</v>
      </c>
      <c r="E5445" t="s">
        <v>256</v>
      </c>
      <c r="F5445" t="s">
        <v>6354</v>
      </c>
    </row>
    <row r="5446" spans="1:6" ht="13.2">
      <c r="A5446" t="s">
        <v>6388</v>
      </c>
      <c r="B5446">
        <v>0</v>
      </c>
      <c r="C5446" s="44">
        <v>2760</v>
      </c>
      <c r="D5446" t="s">
        <v>291</v>
      </c>
      <c r="E5446" t="s">
        <v>256</v>
      </c>
      <c r="F5446" t="s">
        <v>6354</v>
      </c>
    </row>
    <row r="5447" spans="1:6" ht="13.2">
      <c r="A5447" t="s">
        <v>6389</v>
      </c>
      <c r="B5447">
        <v>0</v>
      </c>
      <c r="C5447" s="44">
        <v>2760</v>
      </c>
      <c r="D5447" t="s">
        <v>291</v>
      </c>
      <c r="E5447" t="s">
        <v>256</v>
      </c>
      <c r="F5447" t="s">
        <v>6354</v>
      </c>
    </row>
    <row r="5448" spans="1:6" ht="13.2">
      <c r="A5448" t="s">
        <v>6390</v>
      </c>
      <c r="B5448">
        <v>0</v>
      </c>
      <c r="C5448" s="44">
        <v>2760</v>
      </c>
      <c r="D5448" t="s">
        <v>291</v>
      </c>
      <c r="E5448" t="s">
        <v>256</v>
      </c>
      <c r="F5448" t="s">
        <v>6354</v>
      </c>
    </row>
    <row r="5449" spans="1:6" ht="13.2">
      <c r="A5449" t="s">
        <v>6391</v>
      </c>
      <c r="B5449">
        <v>0</v>
      </c>
      <c r="C5449" s="44">
        <v>2760</v>
      </c>
      <c r="D5449" t="s">
        <v>291</v>
      </c>
      <c r="E5449" t="s">
        <v>256</v>
      </c>
      <c r="F5449" t="s">
        <v>6354</v>
      </c>
    </row>
    <row r="5450" spans="1:6" ht="13.2">
      <c r="A5450" t="s">
        <v>6392</v>
      </c>
      <c r="B5450">
        <v>0</v>
      </c>
      <c r="C5450" s="44">
        <v>2760</v>
      </c>
      <c r="D5450" t="s">
        <v>291</v>
      </c>
      <c r="E5450" t="s">
        <v>256</v>
      </c>
      <c r="F5450" t="s">
        <v>6354</v>
      </c>
    </row>
    <row r="5451" spans="1:6" ht="13.2">
      <c r="A5451" t="s">
        <v>6393</v>
      </c>
      <c r="B5451">
        <v>0</v>
      </c>
      <c r="C5451" s="44">
        <v>2760</v>
      </c>
      <c r="D5451" t="s">
        <v>291</v>
      </c>
      <c r="E5451" t="s">
        <v>256</v>
      </c>
      <c r="F5451" t="s">
        <v>6354</v>
      </c>
    </row>
    <row r="5452" spans="1:6" ht="13.2">
      <c r="A5452" t="s">
        <v>6394</v>
      </c>
      <c r="B5452">
        <v>0</v>
      </c>
      <c r="C5452" s="44">
        <v>2760</v>
      </c>
      <c r="D5452" t="s">
        <v>291</v>
      </c>
      <c r="E5452" t="s">
        <v>256</v>
      </c>
      <c r="F5452" t="s">
        <v>6354</v>
      </c>
    </row>
    <row r="5453" spans="1:6" ht="13.2">
      <c r="A5453" t="s">
        <v>6395</v>
      </c>
      <c r="B5453">
        <v>0</v>
      </c>
      <c r="C5453" s="44">
        <v>2760</v>
      </c>
      <c r="D5453" t="s">
        <v>291</v>
      </c>
      <c r="E5453" t="s">
        <v>256</v>
      </c>
      <c r="F5453" t="s">
        <v>6354</v>
      </c>
    </row>
    <row r="5454" spans="1:6" ht="13.2">
      <c r="A5454" t="s">
        <v>6396</v>
      </c>
      <c r="B5454">
        <v>0</v>
      </c>
      <c r="C5454" s="44">
        <v>2760</v>
      </c>
      <c r="D5454" t="s">
        <v>291</v>
      </c>
      <c r="E5454" t="s">
        <v>256</v>
      </c>
      <c r="F5454" t="s">
        <v>6354</v>
      </c>
    </row>
    <row r="5455" spans="1:6" ht="13.2">
      <c r="A5455" t="s">
        <v>6397</v>
      </c>
      <c r="B5455">
        <v>0</v>
      </c>
      <c r="C5455" s="44">
        <v>2760</v>
      </c>
      <c r="D5455" t="s">
        <v>291</v>
      </c>
      <c r="E5455" t="s">
        <v>256</v>
      </c>
      <c r="F5455" t="s">
        <v>6354</v>
      </c>
    </row>
    <row r="5456" spans="1:6" ht="13.2">
      <c r="A5456" t="s">
        <v>6398</v>
      </c>
      <c r="B5456">
        <v>0</v>
      </c>
      <c r="C5456" s="44">
        <v>2760</v>
      </c>
      <c r="D5456" t="s">
        <v>291</v>
      </c>
      <c r="E5456" t="s">
        <v>256</v>
      </c>
      <c r="F5456" t="s">
        <v>6354</v>
      </c>
    </row>
    <row r="5457" spans="1:6" ht="13.2">
      <c r="A5457" t="s">
        <v>6399</v>
      </c>
      <c r="B5457">
        <v>0</v>
      </c>
      <c r="C5457" s="44">
        <v>2760</v>
      </c>
      <c r="D5457" t="s">
        <v>291</v>
      </c>
      <c r="E5457" t="s">
        <v>256</v>
      </c>
      <c r="F5457" t="s">
        <v>6354</v>
      </c>
    </row>
    <row r="5458" spans="1:6" ht="13.2">
      <c r="A5458" t="s">
        <v>6400</v>
      </c>
      <c r="B5458">
        <v>0</v>
      </c>
      <c r="C5458" s="44">
        <v>2760</v>
      </c>
      <c r="D5458" t="s">
        <v>291</v>
      </c>
      <c r="E5458" t="s">
        <v>256</v>
      </c>
      <c r="F5458" t="s">
        <v>6354</v>
      </c>
    </row>
    <row r="5459" spans="1:6" ht="13.2">
      <c r="A5459" t="s">
        <v>6401</v>
      </c>
      <c r="B5459">
        <v>0</v>
      </c>
      <c r="C5459" s="44">
        <v>2760</v>
      </c>
      <c r="D5459" t="s">
        <v>291</v>
      </c>
      <c r="E5459" t="s">
        <v>256</v>
      </c>
      <c r="F5459" t="s">
        <v>6354</v>
      </c>
    </row>
    <row r="5460" spans="1:6" ht="13.2">
      <c r="A5460" t="s">
        <v>6402</v>
      </c>
      <c r="B5460">
        <v>0</v>
      </c>
      <c r="C5460" s="44">
        <v>3300</v>
      </c>
      <c r="D5460" t="s">
        <v>293</v>
      </c>
      <c r="E5460" t="s">
        <v>256</v>
      </c>
      <c r="F5460" t="s">
        <v>532</v>
      </c>
    </row>
    <row r="5461" spans="1:6" ht="13.2">
      <c r="A5461" t="s">
        <v>6403</v>
      </c>
      <c r="B5461">
        <v>0</v>
      </c>
      <c r="C5461" s="44">
        <v>3300</v>
      </c>
      <c r="D5461" t="s">
        <v>293</v>
      </c>
      <c r="E5461" t="s">
        <v>256</v>
      </c>
      <c r="F5461" t="s">
        <v>532</v>
      </c>
    </row>
    <row r="5462" spans="1:6" ht="13.2">
      <c r="A5462" t="s">
        <v>6404</v>
      </c>
      <c r="B5462">
        <v>0</v>
      </c>
      <c r="C5462" s="44">
        <v>3300</v>
      </c>
      <c r="D5462" t="s">
        <v>293</v>
      </c>
      <c r="E5462" t="s">
        <v>256</v>
      </c>
      <c r="F5462" t="s">
        <v>532</v>
      </c>
    </row>
    <row r="5463" spans="1:6" ht="13.2">
      <c r="A5463" t="s">
        <v>6405</v>
      </c>
      <c r="B5463">
        <v>0</v>
      </c>
      <c r="C5463" s="44">
        <v>3300</v>
      </c>
      <c r="D5463" t="s">
        <v>293</v>
      </c>
      <c r="E5463" t="s">
        <v>256</v>
      </c>
      <c r="F5463" t="s">
        <v>532</v>
      </c>
    </row>
    <row r="5464" spans="1:6" ht="13.2">
      <c r="A5464" t="s">
        <v>6406</v>
      </c>
      <c r="B5464">
        <v>0</v>
      </c>
      <c r="C5464" s="44">
        <v>3300</v>
      </c>
      <c r="D5464" t="s">
        <v>293</v>
      </c>
      <c r="E5464" t="s">
        <v>256</v>
      </c>
      <c r="F5464" t="s">
        <v>532</v>
      </c>
    </row>
    <row r="5465" spans="1:6" ht="13.2">
      <c r="A5465" t="s">
        <v>6407</v>
      </c>
      <c r="B5465">
        <v>0</v>
      </c>
      <c r="C5465" s="44">
        <v>3300</v>
      </c>
      <c r="D5465" t="s">
        <v>293</v>
      </c>
      <c r="E5465" t="s">
        <v>256</v>
      </c>
      <c r="F5465" t="s">
        <v>532</v>
      </c>
    </row>
    <row r="5466" spans="1:6" ht="13.2">
      <c r="A5466" t="s">
        <v>6408</v>
      </c>
      <c r="B5466">
        <v>0</v>
      </c>
      <c r="C5466" s="44">
        <v>3300</v>
      </c>
      <c r="D5466" t="s">
        <v>293</v>
      </c>
      <c r="E5466" t="s">
        <v>256</v>
      </c>
      <c r="F5466" t="s">
        <v>532</v>
      </c>
    </row>
    <row r="5467" spans="1:6" ht="13.2">
      <c r="A5467" t="s">
        <v>6409</v>
      </c>
      <c r="B5467">
        <v>0</v>
      </c>
      <c r="C5467" s="44">
        <v>3300</v>
      </c>
      <c r="D5467" t="s">
        <v>293</v>
      </c>
      <c r="E5467" t="s">
        <v>256</v>
      </c>
      <c r="F5467" t="s">
        <v>532</v>
      </c>
    </row>
    <row r="5468" spans="1:6" ht="13.2">
      <c r="A5468" t="s">
        <v>6410</v>
      </c>
      <c r="B5468">
        <v>0</v>
      </c>
      <c r="C5468" s="44">
        <v>3300</v>
      </c>
      <c r="D5468" t="s">
        <v>293</v>
      </c>
      <c r="E5468" t="s">
        <v>256</v>
      </c>
      <c r="F5468" t="s">
        <v>532</v>
      </c>
    </row>
    <row r="5469" spans="1:6" ht="13.2">
      <c r="A5469" t="s">
        <v>6411</v>
      </c>
      <c r="B5469">
        <v>0</v>
      </c>
      <c r="C5469" s="44">
        <v>3300</v>
      </c>
      <c r="D5469" t="s">
        <v>293</v>
      </c>
      <c r="E5469" t="s">
        <v>256</v>
      </c>
      <c r="F5469" t="s">
        <v>532</v>
      </c>
    </row>
    <row r="5470" spans="1:6" ht="13.2">
      <c r="A5470" t="s">
        <v>6412</v>
      </c>
      <c r="B5470">
        <v>0</v>
      </c>
      <c r="C5470" s="44">
        <v>3300</v>
      </c>
      <c r="D5470" t="s">
        <v>293</v>
      </c>
      <c r="E5470" t="s">
        <v>256</v>
      </c>
      <c r="F5470" t="s">
        <v>532</v>
      </c>
    </row>
    <row r="5471" spans="1:6" ht="13.2">
      <c r="A5471" t="s">
        <v>6413</v>
      </c>
      <c r="B5471">
        <v>0</v>
      </c>
      <c r="C5471" s="44">
        <v>3300</v>
      </c>
      <c r="D5471" t="s">
        <v>293</v>
      </c>
      <c r="E5471" t="s">
        <v>256</v>
      </c>
      <c r="F5471" t="s">
        <v>532</v>
      </c>
    </row>
    <row r="5472" spans="1:6" ht="13.2">
      <c r="A5472" t="s">
        <v>6414</v>
      </c>
      <c r="B5472">
        <v>0</v>
      </c>
      <c r="C5472" s="44">
        <v>3300</v>
      </c>
      <c r="D5472" t="s">
        <v>293</v>
      </c>
      <c r="E5472" t="s">
        <v>256</v>
      </c>
      <c r="F5472" t="s">
        <v>532</v>
      </c>
    </row>
    <row r="5473" spans="1:6" ht="13.2">
      <c r="A5473" t="s">
        <v>6415</v>
      </c>
      <c r="B5473">
        <v>0</v>
      </c>
      <c r="C5473" s="44">
        <v>3300</v>
      </c>
      <c r="D5473" t="s">
        <v>293</v>
      </c>
      <c r="E5473" t="s">
        <v>256</v>
      </c>
      <c r="F5473" t="s">
        <v>532</v>
      </c>
    </row>
    <row r="5474" spans="1:6" ht="13.2">
      <c r="A5474" t="s">
        <v>6417</v>
      </c>
      <c r="B5474">
        <v>290</v>
      </c>
      <c r="C5474" s="44">
        <v>1400</v>
      </c>
      <c r="D5474" t="s">
        <v>291</v>
      </c>
      <c r="E5474" t="s">
        <v>6418</v>
      </c>
      <c r="F5474">
        <v>3</v>
      </c>
    </row>
    <row r="5475" spans="1:6" ht="13.2">
      <c r="A5475" t="s">
        <v>6419</v>
      </c>
      <c r="B5475">
        <v>290</v>
      </c>
      <c r="C5475" s="44">
        <v>1400</v>
      </c>
      <c r="D5475" t="s">
        <v>291</v>
      </c>
      <c r="E5475" t="s">
        <v>6418</v>
      </c>
      <c r="F5475">
        <v>3</v>
      </c>
    </row>
    <row r="5476" spans="1:6" ht="13.2">
      <c r="A5476" t="s">
        <v>6420</v>
      </c>
      <c r="B5476">
        <v>270</v>
      </c>
      <c r="C5476" s="44">
        <v>1400</v>
      </c>
      <c r="D5476" t="s">
        <v>291</v>
      </c>
      <c r="E5476" t="s">
        <v>6421</v>
      </c>
      <c r="F5476">
        <v>4</v>
      </c>
    </row>
    <row r="5477" spans="1:6" ht="13.2">
      <c r="A5477" t="s">
        <v>6422</v>
      </c>
      <c r="B5477">
        <v>0</v>
      </c>
      <c r="C5477" s="44">
        <v>3200</v>
      </c>
      <c r="D5477" t="s">
        <v>293</v>
      </c>
      <c r="E5477" t="s">
        <v>212</v>
      </c>
      <c r="F5477">
        <v>4</v>
      </c>
    </row>
    <row r="5478" spans="1:6" ht="13.2">
      <c r="A5478" t="s">
        <v>6423</v>
      </c>
      <c r="B5478">
        <v>0</v>
      </c>
      <c r="C5478" s="44">
        <v>3200</v>
      </c>
      <c r="D5478" t="s">
        <v>293</v>
      </c>
      <c r="E5478" t="s">
        <v>212</v>
      </c>
      <c r="F5478">
        <v>4</v>
      </c>
    </row>
    <row r="5479" spans="1:6" ht="13.2">
      <c r="A5479" t="s">
        <v>6424</v>
      </c>
      <c r="B5479">
        <v>0</v>
      </c>
      <c r="C5479" s="44">
        <v>3200</v>
      </c>
      <c r="D5479" t="s">
        <v>293</v>
      </c>
      <c r="E5479" t="s">
        <v>212</v>
      </c>
      <c r="F5479">
        <v>4</v>
      </c>
    </row>
    <row r="5480" spans="1:6" ht="13.2">
      <c r="A5480" t="s">
        <v>6425</v>
      </c>
      <c r="B5480">
        <v>0</v>
      </c>
      <c r="C5480" s="44">
        <v>3200</v>
      </c>
      <c r="D5480" t="s">
        <v>293</v>
      </c>
      <c r="E5480" t="s">
        <v>212</v>
      </c>
      <c r="F5480">
        <v>4</v>
      </c>
    </row>
    <row r="5481" spans="1:6" ht="13.2">
      <c r="A5481" t="s">
        <v>6426</v>
      </c>
      <c r="B5481">
        <v>0</v>
      </c>
      <c r="C5481" s="44">
        <v>3200</v>
      </c>
      <c r="D5481" t="s">
        <v>293</v>
      </c>
      <c r="E5481" t="s">
        <v>212</v>
      </c>
      <c r="F5481">
        <v>4</v>
      </c>
    </row>
    <row r="5482" spans="1:6" ht="13.2">
      <c r="A5482" t="s">
        <v>6427</v>
      </c>
      <c r="B5482">
        <v>0</v>
      </c>
      <c r="C5482" s="44">
        <v>3200</v>
      </c>
      <c r="D5482" t="s">
        <v>293</v>
      </c>
      <c r="E5482" t="s">
        <v>212</v>
      </c>
      <c r="F5482">
        <v>4</v>
      </c>
    </row>
    <row r="5483" spans="1:6" ht="13.2">
      <c r="A5483" t="s">
        <v>6428</v>
      </c>
      <c r="B5483">
        <v>0</v>
      </c>
      <c r="C5483" s="44">
        <v>3200</v>
      </c>
      <c r="D5483" t="s">
        <v>293</v>
      </c>
      <c r="E5483" t="s">
        <v>212</v>
      </c>
      <c r="F5483">
        <v>4</v>
      </c>
    </row>
    <row r="5484" spans="1:6" ht="13.2">
      <c r="A5484" t="s">
        <v>6429</v>
      </c>
      <c r="B5484">
        <v>0</v>
      </c>
      <c r="C5484" s="44">
        <v>3200</v>
      </c>
      <c r="D5484" t="s">
        <v>293</v>
      </c>
      <c r="E5484" t="s">
        <v>212</v>
      </c>
      <c r="F5484">
        <v>4</v>
      </c>
    </row>
    <row r="5485" spans="1:6" ht="13.2">
      <c r="A5485" t="s">
        <v>6430</v>
      </c>
      <c r="B5485">
        <v>0</v>
      </c>
      <c r="C5485" s="44">
        <v>3200</v>
      </c>
      <c r="D5485" t="s">
        <v>293</v>
      </c>
      <c r="E5485" t="s">
        <v>212</v>
      </c>
      <c r="F5485">
        <v>4</v>
      </c>
    </row>
    <row r="5486" spans="1:6" ht="13.2">
      <c r="A5486" t="s">
        <v>6431</v>
      </c>
      <c r="B5486">
        <v>0</v>
      </c>
      <c r="C5486" s="44">
        <v>3200</v>
      </c>
      <c r="D5486" t="s">
        <v>293</v>
      </c>
      <c r="E5486" t="s">
        <v>212</v>
      </c>
      <c r="F5486">
        <v>4</v>
      </c>
    </row>
    <row r="5487" spans="1:6" ht="13.2">
      <c r="A5487" t="s">
        <v>6432</v>
      </c>
      <c r="B5487">
        <v>0</v>
      </c>
      <c r="C5487" s="44">
        <v>3200</v>
      </c>
      <c r="D5487" t="s">
        <v>293</v>
      </c>
      <c r="E5487" t="s">
        <v>212</v>
      </c>
      <c r="F5487">
        <v>4</v>
      </c>
    </row>
    <row r="5488" spans="1:6" ht="13.2">
      <c r="A5488" t="s">
        <v>6433</v>
      </c>
      <c r="B5488">
        <v>0</v>
      </c>
      <c r="C5488" s="44">
        <v>3200</v>
      </c>
      <c r="D5488" t="s">
        <v>293</v>
      </c>
      <c r="E5488" t="s">
        <v>212</v>
      </c>
      <c r="F5488">
        <v>4</v>
      </c>
    </row>
    <row r="5489" spans="1:6" ht="13.2">
      <c r="A5489" t="s">
        <v>6434</v>
      </c>
      <c r="B5489">
        <v>0</v>
      </c>
      <c r="C5489" s="44">
        <v>3200</v>
      </c>
      <c r="D5489" t="s">
        <v>293</v>
      </c>
      <c r="E5489" t="s">
        <v>212</v>
      </c>
      <c r="F5489">
        <v>4</v>
      </c>
    </row>
    <row r="5490" spans="1:6" ht="13.2">
      <c r="A5490" t="s">
        <v>6435</v>
      </c>
      <c r="B5490">
        <v>0</v>
      </c>
      <c r="C5490" s="44">
        <v>3200</v>
      </c>
      <c r="D5490" t="s">
        <v>293</v>
      </c>
      <c r="E5490" t="s">
        <v>212</v>
      </c>
      <c r="F5490">
        <v>4</v>
      </c>
    </row>
    <row r="5491" spans="1:6" ht="13.2">
      <c r="A5491" t="s">
        <v>6436</v>
      </c>
      <c r="B5491">
        <v>0</v>
      </c>
      <c r="C5491" s="44">
        <v>3200</v>
      </c>
      <c r="D5491" t="s">
        <v>293</v>
      </c>
      <c r="E5491" t="s">
        <v>212</v>
      </c>
      <c r="F5491">
        <v>4</v>
      </c>
    </row>
    <row r="5492" spans="1:6" ht="13.2">
      <c r="A5492" t="s">
        <v>6437</v>
      </c>
      <c r="B5492">
        <v>0</v>
      </c>
      <c r="C5492" s="44">
        <v>3200</v>
      </c>
      <c r="D5492" t="s">
        <v>293</v>
      </c>
      <c r="E5492" t="s">
        <v>212</v>
      </c>
      <c r="F5492">
        <v>4</v>
      </c>
    </row>
    <row r="5493" spans="1:6" ht="13.2">
      <c r="A5493" t="s">
        <v>6439</v>
      </c>
      <c r="B5493">
        <v>625</v>
      </c>
      <c r="C5493" s="44">
        <v>1450</v>
      </c>
      <c r="D5493" t="s">
        <v>291</v>
      </c>
      <c r="E5493" t="s">
        <v>577</v>
      </c>
      <c r="F5493">
        <v>3</v>
      </c>
    </row>
    <row r="5494" spans="1:6" ht="13.2">
      <c r="A5494" t="s">
        <v>6440</v>
      </c>
      <c r="B5494">
        <v>625</v>
      </c>
      <c r="C5494" s="44">
        <v>1450</v>
      </c>
      <c r="D5494" t="s">
        <v>291</v>
      </c>
      <c r="E5494" t="s">
        <v>577</v>
      </c>
      <c r="F5494">
        <v>3</v>
      </c>
    </row>
    <row r="5495" spans="1:6" ht="13.2">
      <c r="A5495" t="s">
        <v>6441</v>
      </c>
      <c r="B5495">
        <v>625</v>
      </c>
      <c r="C5495" s="44">
        <v>1450</v>
      </c>
      <c r="D5495" t="s">
        <v>291</v>
      </c>
      <c r="E5495" t="s">
        <v>577</v>
      </c>
      <c r="F5495">
        <v>3</v>
      </c>
    </row>
    <row r="5496" spans="1:6" ht="13.2">
      <c r="A5496" t="s">
        <v>6442</v>
      </c>
      <c r="B5496">
        <v>625</v>
      </c>
      <c r="C5496" s="44">
        <v>1450</v>
      </c>
      <c r="D5496" t="s">
        <v>291</v>
      </c>
      <c r="E5496" t="s">
        <v>577</v>
      </c>
      <c r="F5496">
        <v>3</v>
      </c>
    </row>
    <row r="5497" spans="1:6" ht="13.2">
      <c r="A5497" t="s">
        <v>6443</v>
      </c>
      <c r="B5497">
        <v>625</v>
      </c>
      <c r="C5497" s="44">
        <v>1450</v>
      </c>
      <c r="D5497" t="s">
        <v>291</v>
      </c>
      <c r="E5497" t="s">
        <v>577</v>
      </c>
      <c r="F5497">
        <v>3</v>
      </c>
    </row>
    <row r="5498" spans="1:6" ht="13.2">
      <c r="A5498" t="s">
        <v>6444</v>
      </c>
      <c r="B5498">
        <v>625</v>
      </c>
      <c r="C5498" s="44">
        <v>1450</v>
      </c>
      <c r="D5498" t="s">
        <v>291</v>
      </c>
      <c r="E5498" t="s">
        <v>577</v>
      </c>
      <c r="F5498">
        <v>3</v>
      </c>
    </row>
    <row r="5499" spans="1:6" ht="13.2">
      <c r="A5499" t="s">
        <v>6445</v>
      </c>
      <c r="B5499">
        <v>0</v>
      </c>
      <c r="C5499" s="44" t="s">
        <v>204</v>
      </c>
      <c r="D5499" t="s">
        <v>293</v>
      </c>
      <c r="E5499" t="s">
        <v>364</v>
      </c>
      <c r="F5499" t="s">
        <v>6446</v>
      </c>
    </row>
    <row r="5500" spans="1:6" ht="13.2">
      <c r="A5500" t="s">
        <v>6447</v>
      </c>
      <c r="B5500">
        <v>0</v>
      </c>
      <c r="C5500" s="44" t="s">
        <v>204</v>
      </c>
      <c r="D5500" t="s">
        <v>293</v>
      </c>
      <c r="E5500" t="s">
        <v>364</v>
      </c>
      <c r="F5500" t="s">
        <v>6446</v>
      </c>
    </row>
    <row r="5501" spans="1:6" ht="13.2">
      <c r="A5501" t="s">
        <v>6448</v>
      </c>
      <c r="B5501">
        <v>0</v>
      </c>
      <c r="C5501" s="44" t="s">
        <v>204</v>
      </c>
      <c r="D5501" t="s">
        <v>293</v>
      </c>
      <c r="E5501" t="s">
        <v>364</v>
      </c>
      <c r="F5501" t="s">
        <v>6446</v>
      </c>
    </row>
    <row r="5502" spans="1:6" ht="13.2">
      <c r="A5502" t="s">
        <v>6449</v>
      </c>
      <c r="B5502">
        <v>0</v>
      </c>
      <c r="C5502" s="44" t="s">
        <v>204</v>
      </c>
      <c r="D5502" t="s">
        <v>293</v>
      </c>
      <c r="E5502" t="s">
        <v>364</v>
      </c>
      <c r="F5502" t="s">
        <v>6446</v>
      </c>
    </row>
    <row r="5503" spans="1:6" ht="13.2">
      <c r="A5503" t="s">
        <v>6450</v>
      </c>
      <c r="B5503">
        <v>0</v>
      </c>
      <c r="C5503" s="44" t="s">
        <v>204</v>
      </c>
      <c r="D5503" t="s">
        <v>293</v>
      </c>
      <c r="E5503" t="s">
        <v>364</v>
      </c>
      <c r="F5503" t="s">
        <v>6446</v>
      </c>
    </row>
    <row r="5504" spans="1:6" ht="13.2">
      <c r="A5504" t="s">
        <v>6451</v>
      </c>
      <c r="B5504">
        <v>0</v>
      </c>
      <c r="C5504" s="44" t="s">
        <v>204</v>
      </c>
      <c r="D5504" t="s">
        <v>293</v>
      </c>
      <c r="E5504" t="s">
        <v>364</v>
      </c>
      <c r="F5504" t="s">
        <v>6446</v>
      </c>
    </row>
    <row r="5505" spans="1:6" ht="13.2">
      <c r="A5505" t="s">
        <v>6452</v>
      </c>
      <c r="B5505">
        <v>0</v>
      </c>
      <c r="C5505" s="44" t="s">
        <v>204</v>
      </c>
      <c r="D5505" t="s">
        <v>293</v>
      </c>
      <c r="E5505" t="s">
        <v>364</v>
      </c>
      <c r="F5505" t="s">
        <v>6446</v>
      </c>
    </row>
    <row r="5506" spans="1:6" ht="13.2">
      <c r="A5506" t="s">
        <v>6453</v>
      </c>
      <c r="B5506">
        <v>0</v>
      </c>
      <c r="C5506" s="44" t="s">
        <v>204</v>
      </c>
      <c r="D5506" t="s">
        <v>293</v>
      </c>
      <c r="E5506" t="s">
        <v>364</v>
      </c>
      <c r="F5506" t="s">
        <v>6446</v>
      </c>
    </row>
    <row r="5507" spans="1:6" ht="13.2">
      <c r="A5507" t="s">
        <v>6454</v>
      </c>
      <c r="B5507">
        <v>0</v>
      </c>
      <c r="C5507" s="44" t="s">
        <v>204</v>
      </c>
      <c r="D5507" t="s">
        <v>293</v>
      </c>
      <c r="E5507" t="s">
        <v>364</v>
      </c>
      <c r="F5507" t="s">
        <v>6446</v>
      </c>
    </row>
    <row r="5508" spans="1:6" ht="13.2">
      <c r="A5508" t="s">
        <v>6455</v>
      </c>
      <c r="B5508">
        <v>0</v>
      </c>
      <c r="C5508" s="44" t="s">
        <v>204</v>
      </c>
      <c r="D5508" t="s">
        <v>293</v>
      </c>
      <c r="E5508" t="s">
        <v>364</v>
      </c>
      <c r="F5508" t="s">
        <v>6446</v>
      </c>
    </row>
    <row r="5509" spans="1:6" ht="13.2">
      <c r="A5509" t="s">
        <v>6456</v>
      </c>
      <c r="B5509">
        <v>0</v>
      </c>
      <c r="C5509" s="44" t="s">
        <v>204</v>
      </c>
      <c r="D5509" t="s">
        <v>293</v>
      </c>
      <c r="E5509" t="s">
        <v>364</v>
      </c>
      <c r="F5509" t="s">
        <v>6446</v>
      </c>
    </row>
    <row r="5510" spans="1:6" ht="13.2">
      <c r="A5510" t="s">
        <v>6457</v>
      </c>
      <c r="B5510">
        <v>0</v>
      </c>
      <c r="C5510" s="44" t="s">
        <v>204</v>
      </c>
      <c r="D5510" t="s">
        <v>291</v>
      </c>
      <c r="E5510" t="s">
        <v>364</v>
      </c>
      <c r="F5510" t="s">
        <v>6446</v>
      </c>
    </row>
    <row r="5511" spans="1:6" ht="13.2">
      <c r="A5511" t="s">
        <v>6458</v>
      </c>
      <c r="B5511">
        <v>0</v>
      </c>
      <c r="C5511" s="44" t="s">
        <v>204</v>
      </c>
      <c r="D5511" t="s">
        <v>291</v>
      </c>
      <c r="E5511" t="s">
        <v>364</v>
      </c>
      <c r="F5511" t="s">
        <v>6446</v>
      </c>
    </row>
    <row r="5512" spans="1:6" ht="13.2">
      <c r="A5512" t="s">
        <v>6459</v>
      </c>
      <c r="B5512">
        <v>0</v>
      </c>
      <c r="C5512" s="44" t="s">
        <v>204</v>
      </c>
      <c r="D5512" t="s">
        <v>291</v>
      </c>
      <c r="E5512" t="s">
        <v>364</v>
      </c>
      <c r="F5512" t="s">
        <v>6446</v>
      </c>
    </row>
    <row r="5513" spans="1:6" ht="13.2">
      <c r="A5513" t="s">
        <v>6460</v>
      </c>
      <c r="B5513">
        <v>0</v>
      </c>
      <c r="C5513" s="44" t="s">
        <v>204</v>
      </c>
      <c r="D5513" t="s">
        <v>291</v>
      </c>
      <c r="E5513" t="s">
        <v>364</v>
      </c>
      <c r="F5513" t="s">
        <v>6446</v>
      </c>
    </row>
    <row r="5514" spans="1:6" ht="13.2">
      <c r="A5514" t="s">
        <v>6461</v>
      </c>
      <c r="B5514">
        <v>0</v>
      </c>
      <c r="C5514" s="44" t="s">
        <v>204</v>
      </c>
      <c r="D5514" t="s">
        <v>291</v>
      </c>
      <c r="E5514" t="s">
        <v>364</v>
      </c>
      <c r="F5514" t="s">
        <v>6446</v>
      </c>
    </row>
    <row r="5515" spans="1:6" ht="13.2">
      <c r="A5515" t="s">
        <v>6462</v>
      </c>
      <c r="B5515">
        <v>0</v>
      </c>
      <c r="C5515" s="44" t="s">
        <v>204</v>
      </c>
      <c r="D5515" t="s">
        <v>291</v>
      </c>
      <c r="E5515" t="s">
        <v>364</v>
      </c>
      <c r="F5515" t="s">
        <v>6446</v>
      </c>
    </row>
    <row r="5516" spans="1:6" ht="13.2">
      <c r="A5516" t="s">
        <v>6463</v>
      </c>
      <c r="B5516">
        <v>0</v>
      </c>
      <c r="C5516" s="44" t="s">
        <v>204</v>
      </c>
      <c r="D5516" t="s">
        <v>291</v>
      </c>
      <c r="E5516" t="s">
        <v>364</v>
      </c>
      <c r="F5516" t="s">
        <v>6446</v>
      </c>
    </row>
    <row r="5517" spans="1:6" ht="13.2">
      <c r="A5517" t="s">
        <v>6464</v>
      </c>
      <c r="B5517">
        <v>0</v>
      </c>
      <c r="C5517" s="44" t="s">
        <v>204</v>
      </c>
      <c r="D5517" t="s">
        <v>291</v>
      </c>
      <c r="E5517" t="s">
        <v>364</v>
      </c>
      <c r="F5517" t="s">
        <v>6446</v>
      </c>
    </row>
    <row r="5518" spans="1:6" ht="13.2">
      <c r="A5518" t="s">
        <v>6465</v>
      </c>
      <c r="B5518">
        <v>0</v>
      </c>
      <c r="C5518" s="44" t="s">
        <v>204</v>
      </c>
      <c r="D5518" t="s">
        <v>291</v>
      </c>
      <c r="E5518" t="s">
        <v>364</v>
      </c>
      <c r="F5518" t="s">
        <v>6446</v>
      </c>
    </row>
    <row r="5519" spans="1:6" ht="13.2">
      <c r="A5519" t="s">
        <v>6466</v>
      </c>
      <c r="B5519">
        <v>0</v>
      </c>
      <c r="C5519" s="44" t="s">
        <v>204</v>
      </c>
      <c r="D5519" t="s">
        <v>291</v>
      </c>
      <c r="E5519" t="s">
        <v>364</v>
      </c>
      <c r="F5519" t="s">
        <v>6446</v>
      </c>
    </row>
    <row r="5520" spans="1:6" ht="13.2">
      <c r="A5520" t="s">
        <v>6467</v>
      </c>
      <c r="B5520">
        <v>0</v>
      </c>
      <c r="C5520" s="44" t="s">
        <v>204</v>
      </c>
      <c r="D5520" t="s">
        <v>291</v>
      </c>
      <c r="E5520" t="s">
        <v>364</v>
      </c>
      <c r="F5520" t="s">
        <v>6446</v>
      </c>
    </row>
    <row r="5521" spans="1:6" ht="13.2">
      <c r="A5521" t="s">
        <v>6469</v>
      </c>
      <c r="B5521">
        <v>640</v>
      </c>
      <c r="C5521" s="44">
        <v>1400</v>
      </c>
      <c r="D5521" t="s">
        <v>291</v>
      </c>
      <c r="E5521" t="s">
        <v>577</v>
      </c>
      <c r="F5521">
        <v>3</v>
      </c>
    </row>
    <row r="5522" spans="1:6" ht="13.2">
      <c r="A5522" t="s">
        <v>6470</v>
      </c>
      <c r="B5522">
        <v>0</v>
      </c>
      <c r="C5522" s="44" t="s">
        <v>349</v>
      </c>
      <c r="D5522" t="s">
        <v>293</v>
      </c>
      <c r="E5522" t="s">
        <v>256</v>
      </c>
      <c r="F5522">
        <v>4</v>
      </c>
    </row>
    <row r="5523" spans="1:6" ht="13.2">
      <c r="A5523" t="s">
        <v>6471</v>
      </c>
      <c r="B5523">
        <v>0</v>
      </c>
      <c r="C5523" s="44" t="s">
        <v>349</v>
      </c>
      <c r="D5523" t="s">
        <v>293</v>
      </c>
      <c r="E5523" t="s">
        <v>256</v>
      </c>
      <c r="F5523">
        <v>4</v>
      </c>
    </row>
    <row r="5524" spans="1:6" ht="13.2">
      <c r="A5524" t="s">
        <v>6472</v>
      </c>
      <c r="B5524">
        <v>0</v>
      </c>
      <c r="C5524" s="44" t="s">
        <v>349</v>
      </c>
      <c r="D5524" t="s">
        <v>293</v>
      </c>
      <c r="E5524" t="s">
        <v>256</v>
      </c>
      <c r="F5524">
        <v>4</v>
      </c>
    </row>
    <row r="5525" spans="1:6" ht="13.2">
      <c r="A5525" t="s">
        <v>6473</v>
      </c>
      <c r="B5525">
        <v>0</v>
      </c>
      <c r="C5525" s="44" t="s">
        <v>349</v>
      </c>
      <c r="D5525" t="s">
        <v>293</v>
      </c>
      <c r="E5525" t="s">
        <v>256</v>
      </c>
      <c r="F5525">
        <v>4</v>
      </c>
    </row>
    <row r="5526" spans="1:6" ht="13.2">
      <c r="A5526" t="s">
        <v>6474</v>
      </c>
      <c r="B5526">
        <v>0</v>
      </c>
      <c r="C5526" s="44" t="s">
        <v>349</v>
      </c>
      <c r="D5526" t="s">
        <v>293</v>
      </c>
      <c r="E5526" t="s">
        <v>256</v>
      </c>
      <c r="F5526">
        <v>4</v>
      </c>
    </row>
    <row r="5527" spans="1:6" ht="13.2">
      <c r="A5527" t="s">
        <v>6475</v>
      </c>
      <c r="B5527">
        <v>0</v>
      </c>
      <c r="C5527" s="44" t="s">
        <v>349</v>
      </c>
      <c r="D5527" t="s">
        <v>293</v>
      </c>
      <c r="E5527" t="s">
        <v>256</v>
      </c>
      <c r="F5527">
        <v>4</v>
      </c>
    </row>
    <row r="5528" spans="1:6" ht="13.2">
      <c r="A5528" t="s">
        <v>6476</v>
      </c>
      <c r="B5528">
        <v>0</v>
      </c>
      <c r="C5528" s="44" t="s">
        <v>349</v>
      </c>
      <c r="D5528" t="s">
        <v>293</v>
      </c>
      <c r="E5528" t="s">
        <v>256</v>
      </c>
      <c r="F5528">
        <v>4</v>
      </c>
    </row>
    <row r="5529" spans="1:6" ht="13.2">
      <c r="A5529" t="s">
        <v>6477</v>
      </c>
      <c r="B5529">
        <v>0</v>
      </c>
      <c r="C5529" s="44" t="s">
        <v>349</v>
      </c>
      <c r="D5529" t="s">
        <v>293</v>
      </c>
      <c r="E5529" t="s">
        <v>256</v>
      </c>
      <c r="F5529">
        <v>4</v>
      </c>
    </row>
    <row r="5530" spans="1:6" ht="13.2">
      <c r="A5530" t="s">
        <v>6478</v>
      </c>
      <c r="B5530">
        <v>0</v>
      </c>
      <c r="C5530" s="44" t="s">
        <v>349</v>
      </c>
      <c r="D5530" t="s">
        <v>293</v>
      </c>
      <c r="E5530" t="s">
        <v>256</v>
      </c>
      <c r="F5530">
        <v>4</v>
      </c>
    </row>
    <row r="5531" spans="1:6" ht="13.2">
      <c r="A5531" t="s">
        <v>6479</v>
      </c>
      <c r="B5531">
        <v>0</v>
      </c>
      <c r="C5531" s="44" t="s">
        <v>349</v>
      </c>
      <c r="D5531" t="s">
        <v>293</v>
      </c>
      <c r="E5531" t="s">
        <v>256</v>
      </c>
      <c r="F5531">
        <v>4</v>
      </c>
    </row>
    <row r="5532" spans="1:6" ht="13.2">
      <c r="A5532" t="s">
        <v>6480</v>
      </c>
      <c r="B5532">
        <v>0</v>
      </c>
      <c r="C5532" s="44" t="s">
        <v>349</v>
      </c>
      <c r="D5532" t="s">
        <v>293</v>
      </c>
      <c r="E5532" t="s">
        <v>256</v>
      </c>
      <c r="F5532">
        <v>4</v>
      </c>
    </row>
    <row r="5533" spans="1:6" ht="13.2">
      <c r="A5533" t="s">
        <v>6481</v>
      </c>
      <c r="B5533">
        <v>0</v>
      </c>
      <c r="C5533" s="44" t="s">
        <v>349</v>
      </c>
      <c r="D5533" t="s">
        <v>293</v>
      </c>
      <c r="E5533" t="s">
        <v>256</v>
      </c>
      <c r="F5533">
        <v>4</v>
      </c>
    </row>
    <row r="5534" spans="1:6" ht="13.2">
      <c r="A5534" t="s">
        <v>6482</v>
      </c>
      <c r="B5534">
        <v>0</v>
      </c>
      <c r="C5534" s="44" t="s">
        <v>349</v>
      </c>
      <c r="D5534" t="s">
        <v>293</v>
      </c>
      <c r="E5534" t="s">
        <v>256</v>
      </c>
      <c r="F5534">
        <v>4</v>
      </c>
    </row>
    <row r="5535" spans="1:6" ht="13.2">
      <c r="A5535" t="s">
        <v>6483</v>
      </c>
      <c r="B5535">
        <v>0</v>
      </c>
      <c r="C5535" s="44" t="s">
        <v>349</v>
      </c>
      <c r="D5535" t="s">
        <v>293</v>
      </c>
      <c r="E5535" t="s">
        <v>256</v>
      </c>
      <c r="F5535">
        <v>4</v>
      </c>
    </row>
    <row r="5536" spans="1:6" ht="13.2">
      <c r="A5536" t="s">
        <v>6484</v>
      </c>
      <c r="B5536">
        <v>0</v>
      </c>
      <c r="C5536" s="44" t="s">
        <v>349</v>
      </c>
      <c r="D5536" t="s">
        <v>293</v>
      </c>
      <c r="E5536" t="s">
        <v>256</v>
      </c>
      <c r="F5536">
        <v>4</v>
      </c>
    </row>
    <row r="5537" spans="1:6" ht="13.2">
      <c r="A5537" t="s">
        <v>6485</v>
      </c>
      <c r="B5537">
        <v>0</v>
      </c>
      <c r="C5537" s="44" t="s">
        <v>349</v>
      </c>
      <c r="D5537" t="s">
        <v>293</v>
      </c>
      <c r="E5537" t="s">
        <v>256</v>
      </c>
      <c r="F5537">
        <v>4</v>
      </c>
    </row>
    <row r="5538" spans="1:6" ht="13.2">
      <c r="A5538" t="s">
        <v>6486</v>
      </c>
      <c r="B5538">
        <v>0</v>
      </c>
      <c r="C5538" s="44" t="s">
        <v>349</v>
      </c>
      <c r="D5538" t="s">
        <v>293</v>
      </c>
      <c r="E5538" t="s">
        <v>256</v>
      </c>
      <c r="F5538">
        <v>4</v>
      </c>
    </row>
    <row r="5539" spans="1:6" ht="13.2">
      <c r="A5539" t="s">
        <v>6487</v>
      </c>
      <c r="B5539">
        <v>0</v>
      </c>
      <c r="C5539" s="44" t="s">
        <v>349</v>
      </c>
      <c r="D5539" t="s">
        <v>293</v>
      </c>
      <c r="E5539" t="s">
        <v>256</v>
      </c>
      <c r="F5539">
        <v>4</v>
      </c>
    </row>
    <row r="5540" spans="1:6" ht="13.2">
      <c r="A5540" t="s">
        <v>6488</v>
      </c>
      <c r="B5540">
        <v>0</v>
      </c>
      <c r="C5540" s="44" t="s">
        <v>349</v>
      </c>
      <c r="D5540" t="s">
        <v>293</v>
      </c>
      <c r="E5540" t="s">
        <v>256</v>
      </c>
      <c r="F5540">
        <v>4</v>
      </c>
    </row>
    <row r="5541" spans="1:6" ht="13.2">
      <c r="A5541" t="s">
        <v>6489</v>
      </c>
      <c r="B5541">
        <v>0</v>
      </c>
      <c r="C5541" s="44" t="s">
        <v>349</v>
      </c>
      <c r="D5541" t="s">
        <v>293</v>
      </c>
      <c r="E5541" t="s">
        <v>256</v>
      </c>
      <c r="F5541">
        <v>4</v>
      </c>
    </row>
    <row r="5542" spans="1:6" ht="13.2">
      <c r="A5542" t="s">
        <v>6490</v>
      </c>
      <c r="B5542">
        <v>0</v>
      </c>
      <c r="C5542" s="44" t="s">
        <v>349</v>
      </c>
      <c r="D5542" t="s">
        <v>293</v>
      </c>
      <c r="E5542" t="s">
        <v>256</v>
      </c>
      <c r="F5542">
        <v>4</v>
      </c>
    </row>
    <row r="5543" spans="1:6" ht="13.2">
      <c r="A5543" t="s">
        <v>6494</v>
      </c>
      <c r="B5543">
        <v>0</v>
      </c>
      <c r="C5543" s="44">
        <v>1370</v>
      </c>
      <c r="D5543" t="s">
        <v>291</v>
      </c>
      <c r="E5543" t="s">
        <v>577</v>
      </c>
      <c r="F5543">
        <v>3</v>
      </c>
    </row>
    <row r="5544" spans="1:6" ht="13.2">
      <c r="A5544" t="s">
        <v>6495</v>
      </c>
      <c r="B5544">
        <v>0</v>
      </c>
      <c r="C5544" s="44">
        <v>1370</v>
      </c>
      <c r="D5544" t="s">
        <v>291</v>
      </c>
      <c r="E5544" t="s">
        <v>577</v>
      </c>
      <c r="F5544">
        <v>3</v>
      </c>
    </row>
    <row r="5545" spans="1:6" ht="13.2">
      <c r="A5545" t="s">
        <v>6496</v>
      </c>
      <c r="B5545">
        <v>0</v>
      </c>
      <c r="C5545" s="44">
        <v>1370</v>
      </c>
      <c r="D5545" t="s">
        <v>291</v>
      </c>
      <c r="E5545" t="s">
        <v>577</v>
      </c>
      <c r="F5545">
        <v>3</v>
      </c>
    </row>
    <row r="5546" spans="1:6" ht="13.2">
      <c r="A5546" t="s">
        <v>6497</v>
      </c>
      <c r="B5546">
        <v>0</v>
      </c>
      <c r="C5546" s="44">
        <v>1370</v>
      </c>
      <c r="D5546" t="s">
        <v>291</v>
      </c>
      <c r="E5546" t="s">
        <v>577</v>
      </c>
      <c r="F5546">
        <v>3</v>
      </c>
    </row>
    <row r="5547" spans="1:6" ht="13.2">
      <c r="A5547" t="s">
        <v>6498</v>
      </c>
      <c r="B5547">
        <v>0</v>
      </c>
      <c r="C5547" s="44">
        <v>1370</v>
      </c>
      <c r="D5547" t="s">
        <v>291</v>
      </c>
      <c r="E5547" t="s">
        <v>577</v>
      </c>
      <c r="F5547">
        <v>3</v>
      </c>
    </row>
    <row r="5548" spans="1:6" ht="13.2">
      <c r="A5548" t="s">
        <v>6499</v>
      </c>
      <c r="B5548">
        <v>450</v>
      </c>
      <c r="C5548" s="44">
        <v>1380</v>
      </c>
      <c r="D5548" t="s">
        <v>291</v>
      </c>
      <c r="E5548" t="s">
        <v>577</v>
      </c>
      <c r="F5548">
        <v>3</v>
      </c>
    </row>
    <row r="5549" spans="1:6" ht="13.2">
      <c r="A5549" t="s">
        <v>6500</v>
      </c>
      <c r="B5549">
        <v>450</v>
      </c>
      <c r="C5549" s="44">
        <v>1380</v>
      </c>
      <c r="D5549" t="s">
        <v>291</v>
      </c>
      <c r="E5549" t="s">
        <v>577</v>
      </c>
      <c r="F5549">
        <v>3</v>
      </c>
    </row>
    <row r="5550" spans="1:6" ht="13.2">
      <c r="A5550" t="s">
        <v>6501</v>
      </c>
      <c r="B5550">
        <v>450</v>
      </c>
      <c r="C5550" s="44">
        <v>1380</v>
      </c>
      <c r="D5550" t="s">
        <v>291</v>
      </c>
      <c r="E5550" t="s">
        <v>577</v>
      </c>
      <c r="F5550">
        <v>3</v>
      </c>
    </row>
    <row r="5551" spans="1:6" ht="13.2">
      <c r="A5551" t="s">
        <v>6502</v>
      </c>
      <c r="B5551">
        <v>450</v>
      </c>
      <c r="C5551" s="44">
        <v>1380</v>
      </c>
      <c r="D5551" t="s">
        <v>291</v>
      </c>
      <c r="E5551" t="s">
        <v>577</v>
      </c>
      <c r="F5551">
        <v>3</v>
      </c>
    </row>
    <row r="5552" spans="1:6" ht="13.2">
      <c r="A5552" t="s">
        <v>6503</v>
      </c>
      <c r="B5552">
        <v>450</v>
      </c>
      <c r="C5552" s="44">
        <v>1380</v>
      </c>
      <c r="D5552" t="s">
        <v>291</v>
      </c>
      <c r="E5552" t="s">
        <v>577</v>
      </c>
      <c r="F5552">
        <v>3</v>
      </c>
    </row>
    <row r="5553" spans="1:6" ht="13.2">
      <c r="A5553" t="s">
        <v>6504</v>
      </c>
      <c r="B5553">
        <v>450</v>
      </c>
      <c r="C5553" s="44">
        <v>1380</v>
      </c>
      <c r="D5553" t="s">
        <v>291</v>
      </c>
      <c r="E5553" t="s">
        <v>577</v>
      </c>
      <c r="F5553">
        <v>3</v>
      </c>
    </row>
    <row r="5554" spans="1:6" ht="13.2">
      <c r="A5554" t="s">
        <v>6505</v>
      </c>
      <c r="B5554">
        <v>450</v>
      </c>
      <c r="C5554" s="44">
        <v>1380</v>
      </c>
      <c r="D5554" t="s">
        <v>291</v>
      </c>
      <c r="E5554" t="s">
        <v>577</v>
      </c>
      <c r="F5554">
        <v>3</v>
      </c>
    </row>
    <row r="5555" spans="1:6" ht="13.2">
      <c r="A5555" t="s">
        <v>2351</v>
      </c>
      <c r="B5555">
        <v>0</v>
      </c>
      <c r="C5555" s="44">
        <v>1380</v>
      </c>
      <c r="D5555" t="s">
        <v>291</v>
      </c>
      <c r="E5555" t="s">
        <v>359</v>
      </c>
      <c r="F5555">
        <v>4</v>
      </c>
    </row>
    <row r="5556" spans="1:6" ht="13.2">
      <c r="A5556" t="s">
        <v>2352</v>
      </c>
      <c r="B5556">
        <v>0</v>
      </c>
      <c r="C5556" s="44">
        <v>1380</v>
      </c>
      <c r="D5556" t="s">
        <v>291</v>
      </c>
      <c r="E5556" t="s">
        <v>359</v>
      </c>
      <c r="F5556">
        <v>4</v>
      </c>
    </row>
    <row r="5557" spans="1:6" ht="13.2">
      <c r="A5557" t="s">
        <v>6506</v>
      </c>
      <c r="B5557">
        <v>0</v>
      </c>
      <c r="C5557" s="44">
        <v>1380</v>
      </c>
      <c r="D5557" t="s">
        <v>291</v>
      </c>
      <c r="E5557" t="s">
        <v>359</v>
      </c>
      <c r="F5557">
        <v>4</v>
      </c>
    </row>
    <row r="5558" spans="1:6" ht="13.2">
      <c r="A5558" t="s">
        <v>6507</v>
      </c>
      <c r="B5558">
        <v>0</v>
      </c>
      <c r="C5558" s="44">
        <v>1380</v>
      </c>
      <c r="D5558" t="s">
        <v>291</v>
      </c>
      <c r="E5558" t="s">
        <v>359</v>
      </c>
      <c r="F5558">
        <v>4</v>
      </c>
    </row>
    <row r="5559" spans="1:6" ht="13.2">
      <c r="A5559" t="s">
        <v>2353</v>
      </c>
      <c r="B5559">
        <v>0</v>
      </c>
      <c r="C5559" s="44">
        <v>1380</v>
      </c>
      <c r="D5559" t="s">
        <v>291</v>
      </c>
      <c r="E5559" t="s">
        <v>359</v>
      </c>
      <c r="F5559">
        <v>4</v>
      </c>
    </row>
    <row r="5560" spans="1:6" ht="13.2">
      <c r="A5560" t="s">
        <v>2354</v>
      </c>
      <c r="B5560">
        <v>0</v>
      </c>
      <c r="C5560" s="44">
        <v>1380</v>
      </c>
      <c r="D5560" t="s">
        <v>291</v>
      </c>
      <c r="E5560" t="s">
        <v>359</v>
      </c>
      <c r="F5560">
        <v>4</v>
      </c>
    </row>
    <row r="5561" spans="1:6" ht="13.2">
      <c r="A5561" t="s">
        <v>6508</v>
      </c>
      <c r="B5561">
        <v>0</v>
      </c>
      <c r="C5561" s="44">
        <v>1380</v>
      </c>
      <c r="D5561" t="s">
        <v>291</v>
      </c>
      <c r="E5561" t="s">
        <v>359</v>
      </c>
      <c r="F5561">
        <v>4</v>
      </c>
    </row>
    <row r="5562" spans="1:6" ht="13.2">
      <c r="A5562" t="s">
        <v>2355</v>
      </c>
      <c r="B5562">
        <v>0</v>
      </c>
      <c r="C5562" s="44">
        <v>1380</v>
      </c>
      <c r="D5562" t="s">
        <v>291</v>
      </c>
      <c r="E5562" t="s">
        <v>359</v>
      </c>
      <c r="F5562">
        <v>4</v>
      </c>
    </row>
    <row r="5563" spans="1:6" ht="13.2">
      <c r="A5563" t="s">
        <v>2356</v>
      </c>
      <c r="B5563">
        <v>0</v>
      </c>
      <c r="C5563" s="44">
        <v>1380</v>
      </c>
      <c r="D5563" t="s">
        <v>291</v>
      </c>
      <c r="E5563" t="s">
        <v>359</v>
      </c>
      <c r="F5563">
        <v>4</v>
      </c>
    </row>
    <row r="5564" spans="1:6" ht="13.2">
      <c r="A5564" t="s">
        <v>6509</v>
      </c>
      <c r="B5564">
        <v>0</v>
      </c>
      <c r="C5564" s="44">
        <v>1380</v>
      </c>
      <c r="D5564" t="s">
        <v>291</v>
      </c>
      <c r="E5564" t="s">
        <v>359</v>
      </c>
      <c r="F5564">
        <v>4</v>
      </c>
    </row>
    <row r="5565" spans="1:6" ht="13.2">
      <c r="A5565" t="s">
        <v>2357</v>
      </c>
      <c r="B5565">
        <v>0</v>
      </c>
      <c r="C5565" s="44">
        <v>1380</v>
      </c>
      <c r="D5565" t="s">
        <v>291</v>
      </c>
      <c r="E5565" t="s">
        <v>359</v>
      </c>
      <c r="F5565">
        <v>4</v>
      </c>
    </row>
    <row r="5566" spans="1:6" ht="13.2">
      <c r="A5566" t="s">
        <v>2358</v>
      </c>
      <c r="B5566">
        <v>0</v>
      </c>
      <c r="C5566" s="44">
        <v>1380</v>
      </c>
      <c r="D5566" t="s">
        <v>291</v>
      </c>
      <c r="E5566" t="s">
        <v>359</v>
      </c>
      <c r="F5566">
        <v>4</v>
      </c>
    </row>
    <row r="5567" spans="1:6" ht="13.2">
      <c r="A5567" t="s">
        <v>2359</v>
      </c>
      <c r="B5567">
        <v>0</v>
      </c>
      <c r="C5567" s="44">
        <v>1380</v>
      </c>
      <c r="D5567" t="s">
        <v>291</v>
      </c>
      <c r="E5567" t="s">
        <v>359</v>
      </c>
      <c r="F5567">
        <v>4</v>
      </c>
    </row>
    <row r="5568" spans="1:6" ht="13.2">
      <c r="A5568" t="s">
        <v>6510</v>
      </c>
      <c r="B5568">
        <v>0</v>
      </c>
      <c r="C5568" s="44">
        <v>1380</v>
      </c>
      <c r="D5568" t="s">
        <v>291</v>
      </c>
      <c r="E5568" t="s">
        <v>359</v>
      </c>
      <c r="F5568">
        <v>4</v>
      </c>
    </row>
    <row r="5569" spans="1:6" ht="13.2">
      <c r="A5569" t="s">
        <v>2360</v>
      </c>
      <c r="B5569">
        <v>0</v>
      </c>
      <c r="C5569" s="44">
        <v>1380</v>
      </c>
      <c r="D5569" t="s">
        <v>291</v>
      </c>
      <c r="E5569" t="s">
        <v>359</v>
      </c>
      <c r="F5569">
        <v>4</v>
      </c>
    </row>
    <row r="5570" spans="1:6" ht="13.2">
      <c r="A5570" t="s">
        <v>6511</v>
      </c>
      <c r="B5570">
        <v>0</v>
      </c>
      <c r="C5570" s="44">
        <v>1380</v>
      </c>
      <c r="D5570" t="s">
        <v>291</v>
      </c>
      <c r="E5570" t="s">
        <v>359</v>
      </c>
      <c r="F5570">
        <v>4</v>
      </c>
    </row>
    <row r="5571" spans="1:6" ht="13.2">
      <c r="A5571" t="s">
        <v>2361</v>
      </c>
      <c r="B5571">
        <v>0</v>
      </c>
      <c r="C5571" s="44">
        <v>1380</v>
      </c>
      <c r="D5571" t="s">
        <v>291</v>
      </c>
      <c r="E5571" t="s">
        <v>359</v>
      </c>
      <c r="F5571">
        <v>4</v>
      </c>
    </row>
    <row r="5572" spans="1:6" ht="13.2">
      <c r="A5572" t="s">
        <v>2362</v>
      </c>
      <c r="B5572">
        <v>0</v>
      </c>
      <c r="C5572" s="44">
        <v>1380</v>
      </c>
      <c r="D5572" t="s">
        <v>291</v>
      </c>
      <c r="E5572" t="s">
        <v>359</v>
      </c>
      <c r="F5572">
        <v>4</v>
      </c>
    </row>
    <row r="5573" spans="1:6" ht="13.2">
      <c r="A5573" t="s">
        <v>2363</v>
      </c>
      <c r="B5573">
        <v>0</v>
      </c>
      <c r="C5573" s="44">
        <v>1380</v>
      </c>
      <c r="D5573" t="s">
        <v>291</v>
      </c>
      <c r="E5573" t="s">
        <v>359</v>
      </c>
      <c r="F5573">
        <v>4</v>
      </c>
    </row>
    <row r="5574" spans="1:6" ht="13.2">
      <c r="A5574" t="s">
        <v>2364</v>
      </c>
      <c r="B5574">
        <v>0</v>
      </c>
      <c r="C5574" s="44">
        <v>1380</v>
      </c>
      <c r="D5574" t="s">
        <v>291</v>
      </c>
      <c r="E5574" t="s">
        <v>359</v>
      </c>
      <c r="F5574">
        <v>4</v>
      </c>
    </row>
    <row r="5575" spans="1:6" ht="13.2">
      <c r="A5575" t="s">
        <v>6512</v>
      </c>
      <c r="B5575">
        <v>0</v>
      </c>
      <c r="C5575" s="44">
        <v>1380</v>
      </c>
      <c r="D5575" t="s">
        <v>291</v>
      </c>
      <c r="E5575" t="s">
        <v>359</v>
      </c>
      <c r="F5575">
        <v>4</v>
      </c>
    </row>
    <row r="5576" spans="1:6" ht="13.2">
      <c r="A5576" t="s">
        <v>2365</v>
      </c>
      <c r="B5576">
        <v>0</v>
      </c>
      <c r="C5576" s="44">
        <v>1380</v>
      </c>
      <c r="D5576" t="s">
        <v>291</v>
      </c>
      <c r="E5576" t="s">
        <v>359</v>
      </c>
      <c r="F5576">
        <v>4</v>
      </c>
    </row>
    <row r="5577" spans="1:6" ht="13.2">
      <c r="A5577" t="s">
        <v>6513</v>
      </c>
      <c r="B5577">
        <v>0</v>
      </c>
      <c r="C5577" s="44">
        <v>1380</v>
      </c>
      <c r="D5577" t="s">
        <v>291</v>
      </c>
      <c r="E5577" t="s">
        <v>359</v>
      </c>
      <c r="F5577">
        <v>4</v>
      </c>
    </row>
    <row r="5578" spans="1:6" ht="13.2">
      <c r="A5578" t="s">
        <v>6514</v>
      </c>
      <c r="B5578">
        <v>0</v>
      </c>
      <c r="C5578" s="44">
        <v>1380</v>
      </c>
      <c r="D5578" t="s">
        <v>291</v>
      </c>
      <c r="E5578" t="s">
        <v>359</v>
      </c>
      <c r="F5578">
        <v>4</v>
      </c>
    </row>
    <row r="5579" spans="1:6" ht="13.2">
      <c r="A5579" t="s">
        <v>2366</v>
      </c>
      <c r="B5579">
        <v>0</v>
      </c>
      <c r="C5579" s="44">
        <v>1380</v>
      </c>
      <c r="D5579" t="s">
        <v>291</v>
      </c>
      <c r="E5579" t="s">
        <v>359</v>
      </c>
      <c r="F5579">
        <v>4</v>
      </c>
    </row>
    <row r="5580" spans="1:6" ht="13.2">
      <c r="A5580" t="s">
        <v>6515</v>
      </c>
      <c r="B5580">
        <v>0</v>
      </c>
      <c r="C5580" s="44">
        <v>1380</v>
      </c>
      <c r="D5580" t="s">
        <v>291</v>
      </c>
      <c r="E5580" t="s">
        <v>359</v>
      </c>
      <c r="F5580">
        <v>4</v>
      </c>
    </row>
    <row r="5581" spans="1:6" ht="13.2">
      <c r="A5581" t="s">
        <v>6516</v>
      </c>
      <c r="B5581">
        <v>0</v>
      </c>
      <c r="C5581" s="44">
        <v>1380</v>
      </c>
      <c r="D5581" t="s">
        <v>291</v>
      </c>
      <c r="E5581" t="s">
        <v>359</v>
      </c>
      <c r="F5581">
        <v>4</v>
      </c>
    </row>
    <row r="5582" spans="1:6" ht="13.2">
      <c r="A5582" t="s">
        <v>6517</v>
      </c>
      <c r="B5582">
        <v>0</v>
      </c>
      <c r="C5582" s="44">
        <v>1380</v>
      </c>
      <c r="D5582" t="s">
        <v>291</v>
      </c>
      <c r="E5582" t="s">
        <v>359</v>
      </c>
      <c r="F5582">
        <v>4</v>
      </c>
    </row>
    <row r="5583" spans="1:6" ht="13.2">
      <c r="A5583" t="s">
        <v>2367</v>
      </c>
      <c r="B5583">
        <v>0</v>
      </c>
      <c r="C5583" s="44">
        <v>1380</v>
      </c>
      <c r="D5583" t="s">
        <v>291</v>
      </c>
      <c r="E5583" t="s">
        <v>359</v>
      </c>
      <c r="F5583">
        <v>4</v>
      </c>
    </row>
    <row r="5584" spans="1:6" ht="13.2">
      <c r="A5584" t="s">
        <v>6518</v>
      </c>
      <c r="B5584">
        <v>0</v>
      </c>
      <c r="C5584" s="44">
        <v>1380</v>
      </c>
      <c r="D5584" t="s">
        <v>291</v>
      </c>
      <c r="E5584" t="s">
        <v>359</v>
      </c>
      <c r="F5584">
        <v>4</v>
      </c>
    </row>
    <row r="5585" spans="1:6" ht="13.2">
      <c r="A5585" t="s">
        <v>6519</v>
      </c>
      <c r="B5585">
        <v>0</v>
      </c>
      <c r="C5585" s="44">
        <v>1380</v>
      </c>
      <c r="D5585" t="s">
        <v>291</v>
      </c>
      <c r="E5585" t="s">
        <v>359</v>
      </c>
      <c r="F5585">
        <v>4</v>
      </c>
    </row>
    <row r="5586" spans="1:6" ht="13.2">
      <c r="A5586" t="s">
        <v>2368</v>
      </c>
      <c r="B5586">
        <v>0</v>
      </c>
      <c r="C5586" s="44">
        <v>1380</v>
      </c>
      <c r="D5586" t="s">
        <v>291</v>
      </c>
      <c r="E5586" t="s">
        <v>359</v>
      </c>
      <c r="F5586">
        <v>4</v>
      </c>
    </row>
    <row r="5587" spans="1:6" ht="13.2">
      <c r="A5587" t="s">
        <v>6520</v>
      </c>
      <c r="B5587">
        <v>0</v>
      </c>
      <c r="C5587" s="44">
        <v>1380</v>
      </c>
      <c r="D5587" t="s">
        <v>291</v>
      </c>
      <c r="E5587" t="s">
        <v>359</v>
      </c>
      <c r="F5587">
        <v>4</v>
      </c>
    </row>
    <row r="5588" spans="1:6" ht="13.2">
      <c r="A5588" t="s">
        <v>2369</v>
      </c>
      <c r="B5588">
        <v>0</v>
      </c>
      <c r="C5588" s="44">
        <v>1380</v>
      </c>
      <c r="D5588" t="s">
        <v>291</v>
      </c>
      <c r="E5588" t="s">
        <v>359</v>
      </c>
      <c r="F5588">
        <v>4</v>
      </c>
    </row>
    <row r="5589" spans="1:6" ht="13.2">
      <c r="A5589" t="s">
        <v>2370</v>
      </c>
      <c r="B5589">
        <v>0</v>
      </c>
      <c r="C5589" s="44">
        <v>1380</v>
      </c>
      <c r="D5589" t="s">
        <v>291</v>
      </c>
      <c r="E5589" t="s">
        <v>359</v>
      </c>
      <c r="F5589">
        <v>4</v>
      </c>
    </row>
    <row r="5590" spans="1:6" ht="13.2">
      <c r="A5590" t="s">
        <v>2371</v>
      </c>
      <c r="B5590">
        <v>0</v>
      </c>
      <c r="C5590" s="44">
        <v>1380</v>
      </c>
      <c r="D5590" t="s">
        <v>291</v>
      </c>
      <c r="E5590" t="s">
        <v>359</v>
      </c>
      <c r="F5590">
        <v>4</v>
      </c>
    </row>
    <row r="5591" spans="1:6" ht="13.2">
      <c r="A5591" t="s">
        <v>2372</v>
      </c>
      <c r="B5591">
        <v>0</v>
      </c>
      <c r="C5591" s="44">
        <v>1380</v>
      </c>
      <c r="D5591" t="s">
        <v>291</v>
      </c>
      <c r="E5591" t="s">
        <v>359</v>
      </c>
      <c r="F5591">
        <v>4</v>
      </c>
    </row>
    <row r="5592" spans="1:6" ht="13.2">
      <c r="A5592" t="s">
        <v>6521</v>
      </c>
      <c r="B5592">
        <v>0</v>
      </c>
      <c r="C5592" s="44">
        <v>1380</v>
      </c>
      <c r="D5592" t="s">
        <v>291</v>
      </c>
      <c r="E5592" t="s">
        <v>359</v>
      </c>
      <c r="F5592">
        <v>4</v>
      </c>
    </row>
    <row r="5593" spans="1:6" ht="13.2">
      <c r="A5593" t="s">
        <v>6522</v>
      </c>
      <c r="B5593">
        <v>0</v>
      </c>
      <c r="C5593" s="44">
        <v>1380</v>
      </c>
      <c r="D5593" t="s">
        <v>291</v>
      </c>
      <c r="E5593" t="s">
        <v>359</v>
      </c>
      <c r="F5593">
        <v>4</v>
      </c>
    </row>
    <row r="5594" spans="1:6" ht="13.2">
      <c r="A5594" t="s">
        <v>2373</v>
      </c>
      <c r="B5594">
        <v>0</v>
      </c>
      <c r="C5594" s="44">
        <v>1380</v>
      </c>
      <c r="D5594" t="s">
        <v>291</v>
      </c>
      <c r="E5594" t="s">
        <v>359</v>
      </c>
      <c r="F5594">
        <v>4</v>
      </c>
    </row>
    <row r="5595" spans="1:6" ht="13.2">
      <c r="A5595" t="s">
        <v>6523</v>
      </c>
      <c r="B5595">
        <v>0</v>
      </c>
      <c r="C5595" s="44">
        <v>2800</v>
      </c>
      <c r="D5595" t="s">
        <v>293</v>
      </c>
      <c r="E5595" t="s">
        <v>256</v>
      </c>
      <c r="F5595">
        <v>4</v>
      </c>
    </row>
    <row r="5596" spans="1:6" ht="13.2">
      <c r="A5596" t="s">
        <v>6524</v>
      </c>
      <c r="B5596">
        <v>0</v>
      </c>
      <c r="C5596" s="44">
        <v>2800</v>
      </c>
      <c r="D5596" t="s">
        <v>293</v>
      </c>
      <c r="E5596" t="s">
        <v>256</v>
      </c>
      <c r="F5596">
        <v>4</v>
      </c>
    </row>
    <row r="5597" spans="1:6" ht="13.2">
      <c r="A5597" t="s">
        <v>6525</v>
      </c>
      <c r="B5597">
        <v>0</v>
      </c>
      <c r="C5597" s="44">
        <v>2800</v>
      </c>
      <c r="D5597" t="s">
        <v>293</v>
      </c>
      <c r="E5597" t="s">
        <v>256</v>
      </c>
      <c r="F5597">
        <v>4</v>
      </c>
    </row>
    <row r="5598" spans="1:6" ht="13.2">
      <c r="A5598" t="s">
        <v>6526</v>
      </c>
      <c r="B5598">
        <v>0</v>
      </c>
      <c r="C5598" s="44">
        <v>2800</v>
      </c>
      <c r="D5598" t="s">
        <v>293</v>
      </c>
      <c r="E5598" t="s">
        <v>256</v>
      </c>
      <c r="F5598">
        <v>4</v>
      </c>
    </row>
    <row r="5599" spans="1:6" ht="13.2">
      <c r="A5599" t="s">
        <v>6527</v>
      </c>
      <c r="B5599">
        <v>0</v>
      </c>
      <c r="C5599" s="44">
        <v>2800</v>
      </c>
      <c r="D5599" t="s">
        <v>293</v>
      </c>
      <c r="E5599" t="s">
        <v>256</v>
      </c>
      <c r="F5599">
        <v>4</v>
      </c>
    </row>
    <row r="5600" spans="1:6" ht="13.2">
      <c r="A5600" t="s">
        <v>6528</v>
      </c>
      <c r="B5600">
        <v>0</v>
      </c>
      <c r="C5600" s="44">
        <v>2800</v>
      </c>
      <c r="D5600" t="s">
        <v>293</v>
      </c>
      <c r="E5600" t="s">
        <v>256</v>
      </c>
      <c r="F5600">
        <v>4</v>
      </c>
    </row>
    <row r="5601" spans="1:6" ht="13.2">
      <c r="A5601" t="s">
        <v>6529</v>
      </c>
      <c r="B5601">
        <v>0</v>
      </c>
      <c r="C5601" s="44">
        <v>2800</v>
      </c>
      <c r="D5601" t="s">
        <v>293</v>
      </c>
      <c r="E5601" t="s">
        <v>256</v>
      </c>
      <c r="F5601">
        <v>4</v>
      </c>
    </row>
    <row r="5602" spans="1:6" ht="13.2">
      <c r="A5602" t="s">
        <v>6530</v>
      </c>
      <c r="B5602">
        <v>0</v>
      </c>
      <c r="C5602" s="44">
        <v>2800</v>
      </c>
      <c r="D5602" t="s">
        <v>293</v>
      </c>
      <c r="E5602" t="s">
        <v>256</v>
      </c>
      <c r="F5602">
        <v>4</v>
      </c>
    </row>
    <row r="5603" spans="1:6" ht="13.2">
      <c r="A5603" t="s">
        <v>6531</v>
      </c>
      <c r="B5603">
        <v>0</v>
      </c>
      <c r="C5603" s="44">
        <v>2800</v>
      </c>
      <c r="D5603" t="s">
        <v>293</v>
      </c>
      <c r="E5603" t="s">
        <v>256</v>
      </c>
      <c r="F5603">
        <v>4</v>
      </c>
    </row>
    <row r="5604" spans="1:6" ht="13.2">
      <c r="A5604" t="s">
        <v>6532</v>
      </c>
      <c r="B5604">
        <v>0</v>
      </c>
      <c r="C5604" s="44">
        <v>2800</v>
      </c>
      <c r="D5604" t="s">
        <v>293</v>
      </c>
      <c r="E5604" t="s">
        <v>256</v>
      </c>
      <c r="F5604">
        <v>4</v>
      </c>
    </row>
    <row r="5605" spans="1:6" ht="13.2">
      <c r="A5605" t="s">
        <v>6533</v>
      </c>
      <c r="B5605">
        <v>0</v>
      </c>
      <c r="C5605" s="44">
        <v>2800</v>
      </c>
      <c r="D5605" t="s">
        <v>293</v>
      </c>
      <c r="E5605" t="s">
        <v>256</v>
      </c>
      <c r="F5605">
        <v>4</v>
      </c>
    </row>
    <row r="5606" spans="1:6" ht="13.2">
      <c r="A5606" t="s">
        <v>6534</v>
      </c>
      <c r="B5606">
        <v>0</v>
      </c>
      <c r="C5606" s="44">
        <v>2800</v>
      </c>
      <c r="D5606" t="s">
        <v>293</v>
      </c>
      <c r="E5606" t="s">
        <v>256</v>
      </c>
      <c r="F5606">
        <v>4</v>
      </c>
    </row>
    <row r="5607" spans="1:6" ht="13.2">
      <c r="A5607" t="s">
        <v>6535</v>
      </c>
      <c r="B5607">
        <v>0</v>
      </c>
      <c r="C5607" s="44">
        <v>2800</v>
      </c>
      <c r="D5607" t="s">
        <v>293</v>
      </c>
      <c r="E5607" t="s">
        <v>256</v>
      </c>
      <c r="F5607">
        <v>4</v>
      </c>
    </row>
    <row r="5608" spans="1:6" ht="13.2">
      <c r="A5608" t="s">
        <v>6536</v>
      </c>
      <c r="B5608">
        <v>0</v>
      </c>
      <c r="C5608" s="44">
        <v>2800</v>
      </c>
      <c r="D5608" t="s">
        <v>293</v>
      </c>
      <c r="E5608" t="s">
        <v>256</v>
      </c>
      <c r="F5608">
        <v>4</v>
      </c>
    </row>
    <row r="5609" spans="1:6" ht="13.2">
      <c r="A5609" t="s">
        <v>6537</v>
      </c>
      <c r="B5609">
        <v>0</v>
      </c>
      <c r="C5609" s="44">
        <v>2800</v>
      </c>
      <c r="D5609" t="s">
        <v>293</v>
      </c>
      <c r="E5609" t="s">
        <v>256</v>
      </c>
      <c r="F5609">
        <v>4</v>
      </c>
    </row>
    <row r="5610" spans="1:6" ht="13.2">
      <c r="A5610" t="s">
        <v>6538</v>
      </c>
      <c r="B5610">
        <v>0</v>
      </c>
      <c r="C5610" s="44">
        <v>2800</v>
      </c>
      <c r="D5610" t="s">
        <v>293</v>
      </c>
      <c r="E5610" t="s">
        <v>256</v>
      </c>
      <c r="F5610">
        <v>4</v>
      </c>
    </row>
    <row r="5611" spans="1:6" ht="13.2">
      <c r="A5611" t="s">
        <v>6539</v>
      </c>
      <c r="B5611">
        <v>0</v>
      </c>
      <c r="C5611" s="44">
        <v>2800</v>
      </c>
      <c r="D5611" t="s">
        <v>293</v>
      </c>
      <c r="E5611" t="s">
        <v>256</v>
      </c>
      <c r="F5611">
        <v>4</v>
      </c>
    </row>
    <row r="5612" spans="1:6" ht="13.2">
      <c r="A5612" t="s">
        <v>6540</v>
      </c>
      <c r="B5612">
        <v>0</v>
      </c>
      <c r="C5612" s="44">
        <v>2800</v>
      </c>
      <c r="D5612" t="s">
        <v>293</v>
      </c>
      <c r="E5612" t="s">
        <v>256</v>
      </c>
      <c r="F5612">
        <v>4</v>
      </c>
    </row>
    <row r="5613" spans="1:6" ht="13.2">
      <c r="A5613" t="s">
        <v>6541</v>
      </c>
      <c r="B5613">
        <v>0</v>
      </c>
      <c r="C5613" s="44">
        <v>2800</v>
      </c>
      <c r="D5613" t="s">
        <v>293</v>
      </c>
      <c r="E5613" t="s">
        <v>256</v>
      </c>
      <c r="F5613">
        <v>4</v>
      </c>
    </row>
    <row r="5614" spans="1:6" ht="13.2">
      <c r="A5614" t="s">
        <v>6542</v>
      </c>
      <c r="B5614">
        <v>0</v>
      </c>
      <c r="C5614" s="44">
        <v>2800</v>
      </c>
      <c r="D5614" t="s">
        <v>293</v>
      </c>
      <c r="E5614" t="s">
        <v>256</v>
      </c>
      <c r="F5614">
        <v>4</v>
      </c>
    </row>
    <row r="5615" spans="1:6" ht="13.2">
      <c r="A5615" t="s">
        <v>6543</v>
      </c>
      <c r="B5615">
        <v>0</v>
      </c>
      <c r="C5615" s="44">
        <v>2800</v>
      </c>
      <c r="D5615" t="s">
        <v>293</v>
      </c>
      <c r="E5615" t="s">
        <v>256</v>
      </c>
      <c r="F5615">
        <v>4</v>
      </c>
    </row>
    <row r="5616" spans="1:6" ht="13.2">
      <c r="A5616" t="s">
        <v>6544</v>
      </c>
      <c r="B5616">
        <v>0</v>
      </c>
      <c r="C5616" s="44">
        <v>2800</v>
      </c>
      <c r="D5616" t="s">
        <v>293</v>
      </c>
      <c r="E5616" t="s">
        <v>256</v>
      </c>
      <c r="F5616">
        <v>4</v>
      </c>
    </row>
    <row r="5617" spans="1:6" ht="13.2">
      <c r="A5617" t="s">
        <v>6545</v>
      </c>
      <c r="B5617">
        <v>0</v>
      </c>
      <c r="C5617" s="44">
        <v>2800</v>
      </c>
      <c r="D5617" t="s">
        <v>293</v>
      </c>
      <c r="E5617" t="s">
        <v>256</v>
      </c>
      <c r="F5617">
        <v>4</v>
      </c>
    </row>
    <row r="5618" spans="1:6" ht="13.2">
      <c r="A5618" t="s">
        <v>6546</v>
      </c>
      <c r="B5618">
        <v>0</v>
      </c>
      <c r="C5618" s="44">
        <v>2800</v>
      </c>
      <c r="D5618" t="s">
        <v>293</v>
      </c>
      <c r="E5618" t="s">
        <v>256</v>
      </c>
      <c r="F5618">
        <v>4</v>
      </c>
    </row>
    <row r="5619" spans="1:6" ht="13.2">
      <c r="A5619" t="s">
        <v>6548</v>
      </c>
      <c r="B5619">
        <v>630</v>
      </c>
      <c r="C5619" s="44">
        <v>1370</v>
      </c>
      <c r="D5619" t="s">
        <v>291</v>
      </c>
      <c r="E5619" t="s">
        <v>6549</v>
      </c>
      <c r="F5619">
        <v>4</v>
      </c>
    </row>
    <row r="5620" spans="1:6" ht="13.2">
      <c r="A5620" t="s">
        <v>6550</v>
      </c>
      <c r="B5620">
        <v>630</v>
      </c>
      <c r="C5620" s="44">
        <v>1370</v>
      </c>
      <c r="D5620" t="s">
        <v>291</v>
      </c>
      <c r="E5620" t="s">
        <v>6549</v>
      </c>
      <c r="F5620">
        <v>4</v>
      </c>
    </row>
    <row r="5621" spans="1:6" ht="13.2">
      <c r="A5621" t="s">
        <v>6551</v>
      </c>
      <c r="B5621">
        <v>630</v>
      </c>
      <c r="C5621" s="44">
        <v>1370</v>
      </c>
      <c r="D5621" t="s">
        <v>291</v>
      </c>
      <c r="E5621" t="s">
        <v>6549</v>
      </c>
      <c r="F5621">
        <v>4</v>
      </c>
    </row>
    <row r="5622" spans="1:6" ht="13.2">
      <c r="A5622" t="s">
        <v>6552</v>
      </c>
      <c r="B5622">
        <v>630</v>
      </c>
      <c r="C5622" s="44">
        <v>1370</v>
      </c>
      <c r="D5622" t="s">
        <v>291</v>
      </c>
      <c r="E5622" t="s">
        <v>6549</v>
      </c>
      <c r="F5622">
        <v>4</v>
      </c>
    </row>
    <row r="5623" spans="1:6" ht="13.2">
      <c r="A5623" t="s">
        <v>6553</v>
      </c>
      <c r="B5623">
        <v>630</v>
      </c>
      <c r="C5623" s="44">
        <v>1370</v>
      </c>
      <c r="D5623" t="s">
        <v>291</v>
      </c>
      <c r="E5623" t="s">
        <v>6549</v>
      </c>
      <c r="F5623">
        <v>4</v>
      </c>
    </row>
    <row r="5624" spans="1:6" ht="13.2">
      <c r="A5624" t="s">
        <v>6554</v>
      </c>
      <c r="B5624">
        <v>630</v>
      </c>
      <c r="C5624" s="44">
        <v>1370</v>
      </c>
      <c r="D5624" t="s">
        <v>291</v>
      </c>
      <c r="E5624" t="s">
        <v>6549</v>
      </c>
      <c r="F5624">
        <v>4</v>
      </c>
    </row>
    <row r="5625" spans="1:6" ht="13.2">
      <c r="A5625" t="s">
        <v>6555</v>
      </c>
      <c r="B5625">
        <v>630</v>
      </c>
      <c r="C5625" s="44">
        <v>1370</v>
      </c>
      <c r="D5625" t="s">
        <v>291</v>
      </c>
      <c r="E5625" t="s">
        <v>6549</v>
      </c>
      <c r="F5625">
        <v>4</v>
      </c>
    </row>
    <row r="5626" spans="1:6" ht="13.2">
      <c r="A5626" t="s">
        <v>6556</v>
      </c>
      <c r="B5626">
        <v>630</v>
      </c>
      <c r="C5626" s="44">
        <v>1370</v>
      </c>
      <c r="D5626" t="s">
        <v>291</v>
      </c>
      <c r="E5626" t="s">
        <v>6549</v>
      </c>
      <c r="F5626">
        <v>4</v>
      </c>
    </row>
    <row r="5627" spans="1:6" ht="13.2">
      <c r="A5627" t="s">
        <v>6558</v>
      </c>
      <c r="B5627">
        <v>910</v>
      </c>
      <c r="C5627" s="44">
        <v>1400</v>
      </c>
      <c r="D5627" t="s">
        <v>291</v>
      </c>
      <c r="E5627" t="s">
        <v>577</v>
      </c>
      <c r="F5627">
        <v>3</v>
      </c>
    </row>
    <row r="5628" spans="1:6" ht="13.2">
      <c r="A5628" t="s">
        <v>6559</v>
      </c>
      <c r="B5628">
        <v>0</v>
      </c>
      <c r="C5628" s="44">
        <v>1370</v>
      </c>
      <c r="D5628" t="s">
        <v>291</v>
      </c>
      <c r="E5628" t="s">
        <v>256</v>
      </c>
      <c r="F5628">
        <v>3</v>
      </c>
    </row>
    <row r="5629" spans="1:6" ht="13.2">
      <c r="A5629" t="s">
        <v>6560</v>
      </c>
      <c r="B5629">
        <v>0</v>
      </c>
      <c r="C5629" s="44">
        <v>1370</v>
      </c>
      <c r="D5629" t="s">
        <v>291</v>
      </c>
      <c r="E5629" t="s">
        <v>256</v>
      </c>
      <c r="F5629">
        <v>3</v>
      </c>
    </row>
    <row r="5630" spans="1:6" ht="13.2">
      <c r="A5630" t="s">
        <v>6561</v>
      </c>
      <c r="B5630">
        <v>0</v>
      </c>
      <c r="C5630" s="44">
        <v>1370</v>
      </c>
      <c r="D5630" t="s">
        <v>291</v>
      </c>
      <c r="E5630" t="s">
        <v>256</v>
      </c>
      <c r="F5630">
        <v>3</v>
      </c>
    </row>
    <row r="5631" spans="1:6" ht="13.2">
      <c r="A5631" t="s">
        <v>6562</v>
      </c>
      <c r="B5631">
        <v>0</v>
      </c>
      <c r="C5631" s="44">
        <v>1500</v>
      </c>
      <c r="D5631" t="s">
        <v>291</v>
      </c>
      <c r="E5631" t="s">
        <v>256</v>
      </c>
      <c r="F5631">
        <v>3</v>
      </c>
    </row>
    <row r="5632" spans="1:6" ht="13.2">
      <c r="A5632" t="s">
        <v>6563</v>
      </c>
      <c r="B5632">
        <v>0</v>
      </c>
      <c r="C5632" s="44">
        <v>1500</v>
      </c>
      <c r="D5632" t="s">
        <v>291</v>
      </c>
      <c r="E5632" t="s">
        <v>256</v>
      </c>
      <c r="F5632">
        <v>3</v>
      </c>
    </row>
    <row r="5633" spans="1:6" ht="13.2">
      <c r="A5633" t="s">
        <v>6564</v>
      </c>
      <c r="B5633">
        <v>0</v>
      </c>
      <c r="C5633" s="44">
        <v>1500</v>
      </c>
      <c r="D5633" t="s">
        <v>291</v>
      </c>
      <c r="E5633" t="s">
        <v>256</v>
      </c>
      <c r="F5633">
        <v>3</v>
      </c>
    </row>
    <row r="5634" spans="1:6" ht="13.2">
      <c r="A5634" t="s">
        <v>6565</v>
      </c>
      <c r="B5634">
        <v>0</v>
      </c>
      <c r="C5634" s="44">
        <v>3000</v>
      </c>
      <c r="D5634" t="s">
        <v>291</v>
      </c>
      <c r="E5634" t="s">
        <v>256</v>
      </c>
      <c r="F5634">
        <v>3</v>
      </c>
    </row>
    <row r="5635" spans="1:6" ht="13.2">
      <c r="A5635" t="s">
        <v>6566</v>
      </c>
      <c r="B5635">
        <v>0</v>
      </c>
      <c r="C5635" s="44">
        <v>3000</v>
      </c>
      <c r="D5635" t="s">
        <v>291</v>
      </c>
      <c r="E5635" t="s">
        <v>256</v>
      </c>
      <c r="F5635">
        <v>3</v>
      </c>
    </row>
    <row r="5636" spans="1:6" ht="13.2">
      <c r="A5636" t="s">
        <v>6567</v>
      </c>
      <c r="B5636">
        <v>0</v>
      </c>
      <c r="C5636" s="44">
        <v>3000</v>
      </c>
      <c r="D5636" t="s">
        <v>291</v>
      </c>
      <c r="E5636" t="s">
        <v>256</v>
      </c>
      <c r="F5636">
        <v>3</v>
      </c>
    </row>
    <row r="5637" spans="1:6" ht="13.2">
      <c r="A5637" t="s">
        <v>6568</v>
      </c>
      <c r="B5637">
        <v>0</v>
      </c>
      <c r="C5637" s="44">
        <v>3000</v>
      </c>
      <c r="D5637" t="s">
        <v>293</v>
      </c>
      <c r="E5637" t="s">
        <v>256</v>
      </c>
      <c r="F5637">
        <v>3</v>
      </c>
    </row>
    <row r="5638" spans="1:6" ht="13.2">
      <c r="A5638" t="s">
        <v>6569</v>
      </c>
      <c r="B5638">
        <v>0</v>
      </c>
      <c r="C5638" s="44">
        <v>3000</v>
      </c>
      <c r="D5638" t="s">
        <v>293</v>
      </c>
      <c r="E5638" t="s">
        <v>256</v>
      </c>
      <c r="F5638">
        <v>3</v>
      </c>
    </row>
    <row r="5639" spans="1:6" ht="13.2">
      <c r="A5639" t="s">
        <v>6570</v>
      </c>
      <c r="B5639">
        <v>0</v>
      </c>
      <c r="C5639" s="44">
        <v>3000</v>
      </c>
      <c r="D5639" t="s">
        <v>293</v>
      </c>
      <c r="E5639" t="s">
        <v>256</v>
      </c>
      <c r="F5639">
        <v>3</v>
      </c>
    </row>
    <row r="5640" spans="1:6" ht="13.2">
      <c r="A5640" t="s">
        <v>6571</v>
      </c>
      <c r="B5640">
        <v>0</v>
      </c>
      <c r="C5640" s="44" t="s">
        <v>204</v>
      </c>
      <c r="D5640" t="s">
        <v>293</v>
      </c>
      <c r="E5640" t="s">
        <v>256</v>
      </c>
      <c r="F5640" t="s">
        <v>532</v>
      </c>
    </row>
    <row r="5641" spans="1:6" ht="13.2">
      <c r="A5641" t="s">
        <v>6572</v>
      </c>
      <c r="B5641">
        <v>0</v>
      </c>
      <c r="C5641" s="44" t="s">
        <v>204</v>
      </c>
      <c r="D5641" t="s">
        <v>293</v>
      </c>
      <c r="E5641" t="s">
        <v>256</v>
      </c>
      <c r="F5641" t="s">
        <v>532</v>
      </c>
    </row>
    <row r="5642" spans="1:6" ht="13.2">
      <c r="A5642" t="s">
        <v>6573</v>
      </c>
      <c r="B5642">
        <v>0</v>
      </c>
      <c r="C5642" s="44" t="s">
        <v>204</v>
      </c>
      <c r="D5642" t="s">
        <v>293</v>
      </c>
      <c r="E5642" t="s">
        <v>256</v>
      </c>
      <c r="F5642" t="s">
        <v>532</v>
      </c>
    </row>
    <row r="5643" spans="1:6" ht="13.2">
      <c r="A5643" t="s">
        <v>6574</v>
      </c>
      <c r="B5643">
        <v>0</v>
      </c>
      <c r="C5643" s="44" t="s">
        <v>204</v>
      </c>
      <c r="D5643" t="s">
        <v>293</v>
      </c>
      <c r="E5643" t="s">
        <v>256</v>
      </c>
      <c r="F5643" t="s">
        <v>532</v>
      </c>
    </row>
    <row r="5644" spans="1:6" ht="13.2">
      <c r="A5644" t="s">
        <v>6575</v>
      </c>
      <c r="B5644">
        <v>0</v>
      </c>
      <c r="C5644" s="44" t="s">
        <v>204</v>
      </c>
      <c r="D5644" t="s">
        <v>293</v>
      </c>
      <c r="E5644" t="s">
        <v>256</v>
      </c>
      <c r="F5644" t="s">
        <v>532</v>
      </c>
    </row>
    <row r="5645" spans="1:6" ht="13.2">
      <c r="A5645" t="s">
        <v>6576</v>
      </c>
      <c r="B5645">
        <v>0</v>
      </c>
      <c r="C5645" s="44" t="s">
        <v>204</v>
      </c>
      <c r="D5645" t="s">
        <v>293</v>
      </c>
      <c r="E5645" t="s">
        <v>256</v>
      </c>
      <c r="F5645" t="s">
        <v>532</v>
      </c>
    </row>
    <row r="5646" spans="1:6" ht="13.2">
      <c r="A5646" t="s">
        <v>6577</v>
      </c>
      <c r="B5646">
        <v>0</v>
      </c>
      <c r="C5646" s="44" t="s">
        <v>204</v>
      </c>
      <c r="D5646" t="s">
        <v>293</v>
      </c>
      <c r="E5646" t="s">
        <v>256</v>
      </c>
      <c r="F5646" t="s">
        <v>532</v>
      </c>
    </row>
    <row r="5647" spans="1:6" ht="13.2">
      <c r="A5647" t="s">
        <v>6578</v>
      </c>
      <c r="B5647">
        <v>0</v>
      </c>
      <c r="C5647" s="44" t="s">
        <v>204</v>
      </c>
      <c r="D5647" t="s">
        <v>293</v>
      </c>
      <c r="E5647" t="s">
        <v>256</v>
      </c>
      <c r="F5647" t="s">
        <v>532</v>
      </c>
    </row>
    <row r="5648" spans="1:6" ht="13.2">
      <c r="A5648" t="s">
        <v>6579</v>
      </c>
      <c r="B5648">
        <v>120</v>
      </c>
      <c r="C5648" s="44" t="s">
        <v>206</v>
      </c>
      <c r="D5648" t="s">
        <v>291</v>
      </c>
      <c r="E5648" t="s">
        <v>6150</v>
      </c>
      <c r="F5648">
        <v>3</v>
      </c>
    </row>
    <row r="5649" spans="1:6" ht="13.2">
      <c r="A5649" t="s">
        <v>6580</v>
      </c>
      <c r="B5649">
        <v>120</v>
      </c>
      <c r="C5649" s="44" t="s">
        <v>206</v>
      </c>
      <c r="D5649" t="s">
        <v>291</v>
      </c>
      <c r="E5649" t="s">
        <v>6150</v>
      </c>
      <c r="F5649">
        <v>3</v>
      </c>
    </row>
    <row r="5650" spans="1:6" ht="13.2">
      <c r="A5650" t="s">
        <v>6581</v>
      </c>
      <c r="B5650">
        <v>120</v>
      </c>
      <c r="C5650" s="44" t="s">
        <v>206</v>
      </c>
      <c r="D5650" t="s">
        <v>291</v>
      </c>
      <c r="E5650" t="s">
        <v>6150</v>
      </c>
      <c r="F5650">
        <v>3</v>
      </c>
    </row>
    <row r="5651" spans="1:6" ht="13.2">
      <c r="A5651" t="s">
        <v>6582</v>
      </c>
      <c r="B5651">
        <v>120</v>
      </c>
      <c r="C5651" s="44" t="s">
        <v>206</v>
      </c>
      <c r="D5651" t="s">
        <v>291</v>
      </c>
      <c r="E5651" t="s">
        <v>6150</v>
      </c>
      <c r="F5651">
        <v>3</v>
      </c>
    </row>
    <row r="5652" spans="1:6" ht="13.2">
      <c r="A5652" t="s">
        <v>6583</v>
      </c>
      <c r="B5652">
        <v>120</v>
      </c>
      <c r="C5652" s="44" t="s">
        <v>206</v>
      </c>
      <c r="D5652" t="s">
        <v>291</v>
      </c>
      <c r="E5652" t="s">
        <v>6150</v>
      </c>
      <c r="F5652">
        <v>3</v>
      </c>
    </row>
    <row r="5653" spans="1:4" ht="13.2">
      <c r="A5653" t="s">
        <v>6586</v>
      </c>
      <c r="B5653">
        <v>0</v>
      </c>
      <c r="C5653" s="44">
        <v>3000</v>
      </c>
      <c r="D5653" t="s">
        <v>293</v>
      </c>
    </row>
    <row r="5654" spans="1:6" ht="13.2">
      <c r="A5654" t="s">
        <v>6609</v>
      </c>
      <c r="B5654">
        <v>0</v>
      </c>
      <c r="C5654" s="44">
        <v>3100</v>
      </c>
      <c r="D5654" t="s">
        <v>291</v>
      </c>
      <c r="E5654" t="s">
        <v>412</v>
      </c>
      <c r="F5654">
        <v>5</v>
      </c>
    </row>
    <row r="5655" spans="1:6" ht="13.2">
      <c r="A5655" t="s">
        <v>6610</v>
      </c>
      <c r="B5655">
        <v>0</v>
      </c>
      <c r="C5655" s="44">
        <v>3100</v>
      </c>
      <c r="D5655" t="s">
        <v>291</v>
      </c>
      <c r="E5655" t="s">
        <v>412</v>
      </c>
      <c r="F5655">
        <v>5</v>
      </c>
    </row>
    <row r="5656" spans="1:6" ht="13.2">
      <c r="A5656" t="s">
        <v>6611</v>
      </c>
      <c r="B5656">
        <v>0</v>
      </c>
      <c r="C5656" s="44">
        <v>3100</v>
      </c>
      <c r="D5656" t="s">
        <v>291</v>
      </c>
      <c r="E5656" t="s">
        <v>412</v>
      </c>
      <c r="F5656">
        <v>5</v>
      </c>
    </row>
    <row r="5657" spans="1:6" ht="13.2">
      <c r="A5657" t="s">
        <v>6612</v>
      </c>
      <c r="B5657">
        <v>0</v>
      </c>
      <c r="C5657" s="44">
        <v>3100</v>
      </c>
      <c r="D5657" t="s">
        <v>291</v>
      </c>
      <c r="E5657" t="s">
        <v>412</v>
      </c>
      <c r="F5657">
        <v>5</v>
      </c>
    </row>
    <row r="5658" spans="1:6" ht="13.2">
      <c r="A5658" t="s">
        <v>6613</v>
      </c>
      <c r="B5658">
        <v>0</v>
      </c>
      <c r="C5658" s="44">
        <v>3100</v>
      </c>
      <c r="D5658" t="s">
        <v>291</v>
      </c>
      <c r="E5658" t="s">
        <v>412</v>
      </c>
      <c r="F5658">
        <v>5</v>
      </c>
    </row>
    <row r="5659" spans="1:6" ht="13.2">
      <c r="A5659" t="s">
        <v>6614</v>
      </c>
      <c r="B5659">
        <v>0</v>
      </c>
      <c r="C5659" s="44">
        <v>3100</v>
      </c>
      <c r="D5659" t="s">
        <v>291</v>
      </c>
      <c r="E5659" t="s">
        <v>412</v>
      </c>
      <c r="F5659">
        <v>5</v>
      </c>
    </row>
    <row r="5660" spans="1:6" ht="13.2">
      <c r="A5660" t="s">
        <v>6615</v>
      </c>
      <c r="B5660">
        <v>0</v>
      </c>
      <c r="C5660" s="44">
        <v>3100</v>
      </c>
      <c r="D5660" t="s">
        <v>291</v>
      </c>
      <c r="E5660" t="s">
        <v>412</v>
      </c>
      <c r="F5660">
        <v>5</v>
      </c>
    </row>
    <row r="5661" spans="1:6" ht="13.2">
      <c r="A5661" t="s">
        <v>6616</v>
      </c>
      <c r="B5661">
        <v>0</v>
      </c>
      <c r="C5661" s="44">
        <v>3100</v>
      </c>
      <c r="D5661" t="s">
        <v>291</v>
      </c>
      <c r="E5661" t="s">
        <v>412</v>
      </c>
      <c r="F5661">
        <v>5</v>
      </c>
    </row>
    <row r="5662" spans="1:6" ht="13.2">
      <c r="A5662" t="s">
        <v>6617</v>
      </c>
      <c r="B5662">
        <v>0</v>
      </c>
      <c r="C5662" s="44">
        <v>3100</v>
      </c>
      <c r="D5662" t="s">
        <v>291</v>
      </c>
      <c r="E5662" t="s">
        <v>412</v>
      </c>
      <c r="F5662">
        <v>5</v>
      </c>
    </row>
    <row r="5663" spans="1:6" ht="13.2">
      <c r="A5663" t="s">
        <v>6618</v>
      </c>
      <c r="B5663">
        <v>0</v>
      </c>
      <c r="C5663" s="44">
        <v>3100</v>
      </c>
      <c r="D5663" t="s">
        <v>291</v>
      </c>
      <c r="E5663" t="s">
        <v>412</v>
      </c>
      <c r="F5663">
        <v>5</v>
      </c>
    </row>
    <row r="5664" spans="1:6" ht="13.2">
      <c r="A5664" t="s">
        <v>6619</v>
      </c>
      <c r="B5664">
        <v>0</v>
      </c>
      <c r="C5664" s="44">
        <v>3100</v>
      </c>
      <c r="D5664" t="s">
        <v>291</v>
      </c>
      <c r="E5664" t="s">
        <v>412</v>
      </c>
      <c r="F5664">
        <v>5</v>
      </c>
    </row>
    <row r="5665" spans="1:6" ht="13.2">
      <c r="A5665" t="s">
        <v>6620</v>
      </c>
      <c r="B5665">
        <v>0</v>
      </c>
      <c r="C5665" s="44">
        <v>2950</v>
      </c>
      <c r="D5665" t="s">
        <v>293</v>
      </c>
      <c r="E5665" t="s">
        <v>6621</v>
      </c>
      <c r="F5665">
        <v>4</v>
      </c>
    </row>
    <row r="5666" spans="1:6" ht="13.2">
      <c r="A5666" t="s">
        <v>6622</v>
      </c>
      <c r="B5666">
        <v>0</v>
      </c>
      <c r="C5666" s="44">
        <v>2950</v>
      </c>
      <c r="D5666" t="s">
        <v>293</v>
      </c>
      <c r="E5666" t="s">
        <v>6621</v>
      </c>
      <c r="F5666">
        <v>4</v>
      </c>
    </row>
    <row r="5667" spans="1:6" ht="13.2">
      <c r="A5667" t="s">
        <v>6623</v>
      </c>
      <c r="B5667">
        <v>0</v>
      </c>
      <c r="C5667" s="44">
        <v>2950</v>
      </c>
      <c r="D5667" t="s">
        <v>293</v>
      </c>
      <c r="E5667" t="s">
        <v>6621</v>
      </c>
      <c r="F5667">
        <v>4</v>
      </c>
    </row>
    <row r="5668" spans="1:6" ht="13.2">
      <c r="A5668" t="s">
        <v>6624</v>
      </c>
      <c r="B5668">
        <v>0</v>
      </c>
      <c r="C5668" s="44">
        <v>2950</v>
      </c>
      <c r="D5668" t="s">
        <v>293</v>
      </c>
      <c r="E5668" t="s">
        <v>6621</v>
      </c>
      <c r="F5668">
        <v>4</v>
      </c>
    </row>
    <row r="5669" spans="1:6" ht="13.2">
      <c r="A5669" t="s">
        <v>6625</v>
      </c>
      <c r="B5669">
        <v>0</v>
      </c>
      <c r="C5669" s="44">
        <v>2950</v>
      </c>
      <c r="D5669" t="s">
        <v>293</v>
      </c>
      <c r="E5669" t="s">
        <v>6621</v>
      </c>
      <c r="F5669">
        <v>4</v>
      </c>
    </row>
    <row r="5670" spans="1:6" ht="13.2">
      <c r="A5670" t="s">
        <v>6626</v>
      </c>
      <c r="B5670">
        <v>0</v>
      </c>
      <c r="C5670" s="44">
        <v>2950</v>
      </c>
      <c r="D5670" t="s">
        <v>293</v>
      </c>
      <c r="E5670" t="s">
        <v>6621</v>
      </c>
      <c r="F5670">
        <v>4</v>
      </c>
    </row>
    <row r="5671" spans="1:6" ht="13.2">
      <c r="A5671" t="s">
        <v>6627</v>
      </c>
      <c r="B5671">
        <v>0</v>
      </c>
      <c r="C5671" s="44">
        <v>2950</v>
      </c>
      <c r="D5671" t="s">
        <v>293</v>
      </c>
      <c r="E5671" t="s">
        <v>6621</v>
      </c>
      <c r="F5671">
        <v>4</v>
      </c>
    </row>
    <row r="5672" spans="1:6" ht="13.2">
      <c r="A5672" t="s">
        <v>6628</v>
      </c>
      <c r="B5672">
        <v>0</v>
      </c>
      <c r="C5672" s="44">
        <v>2950</v>
      </c>
      <c r="D5672" t="s">
        <v>293</v>
      </c>
      <c r="E5672" t="s">
        <v>6621</v>
      </c>
      <c r="F5672">
        <v>4</v>
      </c>
    </row>
    <row r="5673" spans="1:6" ht="13.2">
      <c r="A5673" t="s">
        <v>6629</v>
      </c>
      <c r="B5673">
        <v>0</v>
      </c>
      <c r="C5673" s="44">
        <v>2950</v>
      </c>
      <c r="D5673" t="s">
        <v>293</v>
      </c>
      <c r="E5673" t="s">
        <v>6621</v>
      </c>
      <c r="F5673">
        <v>4</v>
      </c>
    </row>
    <row r="5674" spans="1:6" ht="13.2">
      <c r="A5674" t="s">
        <v>6630</v>
      </c>
      <c r="B5674">
        <v>0</v>
      </c>
      <c r="C5674" s="44">
        <v>2950</v>
      </c>
      <c r="D5674" t="s">
        <v>293</v>
      </c>
      <c r="E5674" t="s">
        <v>6621</v>
      </c>
      <c r="F5674">
        <v>4</v>
      </c>
    </row>
    <row r="5675" spans="1:6" ht="13.2">
      <c r="A5675" t="s">
        <v>6631</v>
      </c>
      <c r="B5675">
        <v>0</v>
      </c>
      <c r="C5675" s="44">
        <v>2950</v>
      </c>
      <c r="D5675" t="s">
        <v>293</v>
      </c>
      <c r="E5675" t="s">
        <v>6621</v>
      </c>
      <c r="F5675">
        <v>4</v>
      </c>
    </row>
    <row r="5676" spans="1:6" ht="13.2">
      <c r="A5676" t="s">
        <v>6632</v>
      </c>
      <c r="B5676">
        <v>0</v>
      </c>
      <c r="C5676" s="44">
        <v>2950</v>
      </c>
      <c r="D5676" t="s">
        <v>293</v>
      </c>
      <c r="E5676" t="s">
        <v>6621</v>
      </c>
      <c r="F5676">
        <v>4</v>
      </c>
    </row>
    <row r="5677" spans="1:6" ht="13.2">
      <c r="A5677" t="s">
        <v>6633</v>
      </c>
      <c r="B5677">
        <v>0</v>
      </c>
      <c r="C5677" s="44">
        <v>2950</v>
      </c>
      <c r="D5677" t="s">
        <v>293</v>
      </c>
      <c r="E5677" t="s">
        <v>6621</v>
      </c>
      <c r="F5677">
        <v>4</v>
      </c>
    </row>
    <row r="5678" spans="1:6" ht="13.2">
      <c r="A5678" t="s">
        <v>6634</v>
      </c>
      <c r="B5678">
        <v>0</v>
      </c>
      <c r="C5678" s="44">
        <v>2950</v>
      </c>
      <c r="D5678" t="s">
        <v>293</v>
      </c>
      <c r="E5678" t="s">
        <v>6621</v>
      </c>
      <c r="F5678">
        <v>4</v>
      </c>
    </row>
    <row r="5679" spans="1:6" ht="13.2">
      <c r="A5679" t="s">
        <v>6635</v>
      </c>
      <c r="B5679">
        <v>0</v>
      </c>
      <c r="C5679" s="44">
        <v>2950</v>
      </c>
      <c r="D5679" t="s">
        <v>293</v>
      </c>
      <c r="E5679" t="s">
        <v>6621</v>
      </c>
      <c r="F5679">
        <v>4</v>
      </c>
    </row>
    <row r="5680" spans="1:6" ht="13.2">
      <c r="A5680" t="s">
        <v>6636</v>
      </c>
      <c r="B5680">
        <v>0</v>
      </c>
      <c r="C5680" s="44">
        <v>2950</v>
      </c>
      <c r="D5680" t="s">
        <v>293</v>
      </c>
      <c r="E5680" t="s">
        <v>6621</v>
      </c>
      <c r="F5680">
        <v>4</v>
      </c>
    </row>
    <row r="5681" spans="1:6" ht="13.2">
      <c r="A5681" t="s">
        <v>6637</v>
      </c>
      <c r="B5681">
        <v>0</v>
      </c>
      <c r="C5681" s="44">
        <v>2950</v>
      </c>
      <c r="D5681" t="s">
        <v>293</v>
      </c>
      <c r="E5681" t="s">
        <v>6621</v>
      </c>
      <c r="F5681">
        <v>4</v>
      </c>
    </row>
    <row r="5682" spans="1:6" ht="13.2">
      <c r="A5682" t="s">
        <v>6638</v>
      </c>
      <c r="B5682">
        <v>0</v>
      </c>
      <c r="C5682" s="44">
        <v>2950</v>
      </c>
      <c r="D5682" t="s">
        <v>293</v>
      </c>
      <c r="E5682" t="s">
        <v>6621</v>
      </c>
      <c r="F5682">
        <v>4</v>
      </c>
    </row>
    <row r="5683" spans="1:6" ht="13.2">
      <c r="A5683" t="s">
        <v>6639</v>
      </c>
      <c r="B5683">
        <v>0</v>
      </c>
      <c r="C5683" s="44">
        <v>2950</v>
      </c>
      <c r="D5683" t="s">
        <v>293</v>
      </c>
      <c r="E5683" t="s">
        <v>6621</v>
      </c>
      <c r="F5683">
        <v>4</v>
      </c>
    </row>
    <row r="5684" spans="1:6" ht="13.2">
      <c r="A5684" t="s">
        <v>6640</v>
      </c>
      <c r="B5684">
        <v>0</v>
      </c>
      <c r="C5684" s="44">
        <v>2950</v>
      </c>
      <c r="D5684" t="s">
        <v>293</v>
      </c>
      <c r="E5684" t="s">
        <v>6621</v>
      </c>
      <c r="F5684">
        <v>4</v>
      </c>
    </row>
    <row r="5685" spans="1:6" ht="13.2">
      <c r="A5685" t="s">
        <v>6641</v>
      </c>
      <c r="B5685">
        <v>0</v>
      </c>
      <c r="C5685" s="44">
        <v>2950</v>
      </c>
      <c r="D5685" t="s">
        <v>293</v>
      </c>
      <c r="E5685" t="s">
        <v>6621</v>
      </c>
      <c r="F5685">
        <v>4</v>
      </c>
    </row>
    <row r="5686" spans="1:6" ht="13.2">
      <c r="A5686" t="s">
        <v>6642</v>
      </c>
      <c r="B5686">
        <v>0</v>
      </c>
      <c r="C5686" s="44">
        <v>2950</v>
      </c>
      <c r="D5686" t="s">
        <v>293</v>
      </c>
      <c r="E5686" t="s">
        <v>6621</v>
      </c>
      <c r="F5686">
        <v>4</v>
      </c>
    </row>
    <row r="5687" spans="1:6" ht="13.2">
      <c r="A5687" t="s">
        <v>6643</v>
      </c>
      <c r="B5687">
        <v>0</v>
      </c>
      <c r="C5687" s="44">
        <v>2950</v>
      </c>
      <c r="D5687" t="s">
        <v>293</v>
      </c>
      <c r="E5687" t="s">
        <v>6621</v>
      </c>
      <c r="F5687">
        <v>4</v>
      </c>
    </row>
    <row r="5688" spans="1:6" ht="13.2">
      <c r="A5688" t="s">
        <v>6644</v>
      </c>
      <c r="B5688">
        <v>0</v>
      </c>
      <c r="C5688" s="44">
        <v>2950</v>
      </c>
      <c r="D5688" t="s">
        <v>293</v>
      </c>
      <c r="E5688" t="s">
        <v>6621</v>
      </c>
      <c r="F5688">
        <v>4</v>
      </c>
    </row>
    <row r="5689" spans="1:6" ht="13.2">
      <c r="A5689" t="s">
        <v>6645</v>
      </c>
      <c r="B5689">
        <v>0</v>
      </c>
      <c r="C5689" s="44">
        <v>2950</v>
      </c>
      <c r="D5689" t="s">
        <v>293</v>
      </c>
      <c r="E5689" t="s">
        <v>6621</v>
      </c>
      <c r="F5689">
        <v>4</v>
      </c>
    </row>
    <row r="5690" spans="1:6" ht="13.2">
      <c r="A5690" t="s">
        <v>6646</v>
      </c>
      <c r="B5690">
        <v>0</v>
      </c>
      <c r="C5690" s="44">
        <v>2950</v>
      </c>
      <c r="D5690" t="s">
        <v>293</v>
      </c>
      <c r="E5690" t="s">
        <v>6621</v>
      </c>
      <c r="F5690">
        <v>4</v>
      </c>
    </row>
    <row r="5691" spans="1:6" ht="13.2">
      <c r="A5691" t="s">
        <v>6647</v>
      </c>
      <c r="B5691">
        <v>0</v>
      </c>
      <c r="C5691" s="44">
        <v>2950</v>
      </c>
      <c r="D5691" t="s">
        <v>293</v>
      </c>
      <c r="E5691" t="s">
        <v>6621</v>
      </c>
      <c r="F5691">
        <v>4</v>
      </c>
    </row>
    <row r="5692" spans="1:6" ht="13.2">
      <c r="A5692" t="s">
        <v>6648</v>
      </c>
      <c r="B5692">
        <v>0</v>
      </c>
      <c r="C5692" s="44">
        <v>2950</v>
      </c>
      <c r="D5692" t="s">
        <v>293</v>
      </c>
      <c r="E5692" t="s">
        <v>6621</v>
      </c>
      <c r="F5692">
        <v>4</v>
      </c>
    </row>
    <row r="5693" spans="1:6" ht="13.2">
      <c r="A5693" t="s">
        <v>6649</v>
      </c>
      <c r="B5693">
        <v>0</v>
      </c>
      <c r="C5693" s="44">
        <v>2950</v>
      </c>
      <c r="D5693" t="s">
        <v>293</v>
      </c>
      <c r="E5693" t="s">
        <v>6621</v>
      </c>
      <c r="F5693">
        <v>4</v>
      </c>
    </row>
    <row r="5694" spans="1:6" ht="13.2">
      <c r="A5694" t="s">
        <v>6650</v>
      </c>
      <c r="B5694">
        <v>0</v>
      </c>
      <c r="C5694" s="44">
        <v>2950</v>
      </c>
      <c r="D5694" t="s">
        <v>293</v>
      </c>
      <c r="E5694" t="s">
        <v>6621</v>
      </c>
      <c r="F5694">
        <v>4</v>
      </c>
    </row>
    <row r="5695" spans="1:6" ht="13.2">
      <c r="A5695" t="s">
        <v>6651</v>
      </c>
      <c r="B5695">
        <v>0</v>
      </c>
      <c r="C5695" s="44">
        <v>2950</v>
      </c>
      <c r="D5695" t="s">
        <v>293</v>
      </c>
      <c r="E5695" t="s">
        <v>6621</v>
      </c>
      <c r="F5695">
        <v>4</v>
      </c>
    </row>
    <row r="5696" spans="1:6" ht="13.2">
      <c r="A5696" t="s">
        <v>6652</v>
      </c>
      <c r="B5696">
        <v>0</v>
      </c>
      <c r="C5696" s="44">
        <v>2950</v>
      </c>
      <c r="D5696" t="s">
        <v>293</v>
      </c>
      <c r="E5696" t="s">
        <v>6621</v>
      </c>
      <c r="F5696">
        <v>4</v>
      </c>
    </row>
    <row r="5697" spans="1:6" ht="13.2">
      <c r="A5697" t="s">
        <v>6653</v>
      </c>
      <c r="B5697">
        <v>0</v>
      </c>
      <c r="C5697" s="44">
        <v>2950</v>
      </c>
      <c r="D5697" t="s">
        <v>293</v>
      </c>
      <c r="E5697" t="s">
        <v>6621</v>
      </c>
      <c r="F5697">
        <v>4</v>
      </c>
    </row>
    <row r="5698" spans="1:6" ht="13.2">
      <c r="A5698" t="s">
        <v>6654</v>
      </c>
      <c r="B5698">
        <v>0</v>
      </c>
      <c r="C5698" s="44">
        <v>2950</v>
      </c>
      <c r="D5698" t="s">
        <v>293</v>
      </c>
      <c r="E5698" t="s">
        <v>6621</v>
      </c>
      <c r="F5698">
        <v>4</v>
      </c>
    </row>
    <row r="5699" spans="1:6" ht="13.2">
      <c r="A5699" t="s">
        <v>6655</v>
      </c>
      <c r="B5699">
        <v>0</v>
      </c>
      <c r="C5699" s="44">
        <v>2950</v>
      </c>
      <c r="D5699" t="s">
        <v>293</v>
      </c>
      <c r="E5699" t="s">
        <v>6621</v>
      </c>
      <c r="F5699">
        <v>4</v>
      </c>
    </row>
    <row r="5700" spans="1:6" ht="13.2">
      <c r="A5700" t="s">
        <v>6656</v>
      </c>
      <c r="B5700">
        <v>0</v>
      </c>
      <c r="C5700" s="44">
        <v>2950</v>
      </c>
      <c r="D5700" t="s">
        <v>293</v>
      </c>
      <c r="E5700" t="s">
        <v>6621</v>
      </c>
      <c r="F5700">
        <v>4</v>
      </c>
    </row>
    <row r="5701" spans="1:6" ht="13.2">
      <c r="A5701" t="s">
        <v>6657</v>
      </c>
      <c r="B5701">
        <v>0</v>
      </c>
      <c r="C5701" s="44">
        <v>2950</v>
      </c>
      <c r="D5701" t="s">
        <v>293</v>
      </c>
      <c r="E5701" t="s">
        <v>6621</v>
      </c>
      <c r="F5701">
        <v>4</v>
      </c>
    </row>
    <row r="5702" spans="1:6" ht="13.2">
      <c r="A5702" t="s">
        <v>6658</v>
      </c>
      <c r="B5702">
        <v>0</v>
      </c>
      <c r="C5702" s="44">
        <v>2950</v>
      </c>
      <c r="D5702" t="s">
        <v>293</v>
      </c>
      <c r="E5702" t="s">
        <v>6621</v>
      </c>
      <c r="F5702">
        <v>4</v>
      </c>
    </row>
    <row r="5703" spans="1:6" ht="13.2">
      <c r="A5703" t="s">
        <v>6659</v>
      </c>
      <c r="B5703">
        <v>0</v>
      </c>
      <c r="C5703" s="44">
        <v>2950</v>
      </c>
      <c r="D5703" t="s">
        <v>293</v>
      </c>
      <c r="E5703" t="s">
        <v>6621</v>
      </c>
      <c r="F5703">
        <v>4</v>
      </c>
    </row>
    <row r="5704" spans="1:6" ht="13.2">
      <c r="A5704" t="s">
        <v>6660</v>
      </c>
      <c r="B5704">
        <v>0</v>
      </c>
      <c r="C5704" s="44">
        <v>2950</v>
      </c>
      <c r="D5704" t="s">
        <v>293</v>
      </c>
      <c r="E5704" t="s">
        <v>6621</v>
      </c>
      <c r="F5704">
        <v>4</v>
      </c>
    </row>
    <row r="5705" spans="1:6" ht="13.2">
      <c r="A5705" t="s">
        <v>6661</v>
      </c>
      <c r="B5705">
        <v>0</v>
      </c>
      <c r="C5705" s="44">
        <v>2950</v>
      </c>
      <c r="D5705" t="s">
        <v>293</v>
      </c>
      <c r="E5705" t="s">
        <v>6621</v>
      </c>
      <c r="F5705">
        <v>4</v>
      </c>
    </row>
    <row r="5706" spans="1:6" ht="13.2">
      <c r="A5706" t="s">
        <v>6662</v>
      </c>
      <c r="B5706">
        <v>0</v>
      </c>
      <c r="C5706" s="44">
        <v>2950</v>
      </c>
      <c r="D5706" t="s">
        <v>293</v>
      </c>
      <c r="E5706" t="s">
        <v>6621</v>
      </c>
      <c r="F5706">
        <v>4</v>
      </c>
    </row>
    <row r="5707" spans="1:6" ht="13.2">
      <c r="A5707" t="s">
        <v>6663</v>
      </c>
      <c r="B5707">
        <v>0</v>
      </c>
      <c r="C5707" s="44">
        <v>2950</v>
      </c>
      <c r="D5707" t="s">
        <v>293</v>
      </c>
      <c r="E5707" t="s">
        <v>6621</v>
      </c>
      <c r="F5707">
        <v>4</v>
      </c>
    </row>
    <row r="5708" spans="1:6" ht="13.2">
      <c r="A5708" t="s">
        <v>6664</v>
      </c>
      <c r="B5708">
        <v>0</v>
      </c>
      <c r="C5708" s="44">
        <v>3200</v>
      </c>
      <c r="D5708" t="s">
        <v>293</v>
      </c>
      <c r="E5708" t="s">
        <v>257</v>
      </c>
      <c r="F5708">
        <v>4</v>
      </c>
    </row>
    <row r="5709" spans="1:6" ht="13.2">
      <c r="A5709" t="s">
        <v>6665</v>
      </c>
      <c r="B5709">
        <v>0</v>
      </c>
      <c r="C5709" s="44">
        <v>3200</v>
      </c>
      <c r="D5709" t="s">
        <v>293</v>
      </c>
      <c r="E5709" t="s">
        <v>257</v>
      </c>
      <c r="F5709">
        <v>4</v>
      </c>
    </row>
    <row r="5710" spans="1:6" ht="13.2">
      <c r="A5710" t="s">
        <v>6666</v>
      </c>
      <c r="B5710">
        <v>0</v>
      </c>
      <c r="C5710" s="44">
        <v>3200</v>
      </c>
      <c r="D5710" t="s">
        <v>293</v>
      </c>
      <c r="E5710" t="s">
        <v>257</v>
      </c>
      <c r="F5710">
        <v>4</v>
      </c>
    </row>
    <row r="5711" spans="1:6" ht="13.2">
      <c r="A5711" t="s">
        <v>6667</v>
      </c>
      <c r="B5711">
        <v>0</v>
      </c>
      <c r="C5711" s="44">
        <v>3200</v>
      </c>
      <c r="D5711" t="s">
        <v>293</v>
      </c>
      <c r="E5711" t="s">
        <v>257</v>
      </c>
      <c r="F5711">
        <v>4</v>
      </c>
    </row>
    <row r="5712" spans="1:6" ht="13.2">
      <c r="A5712" t="s">
        <v>6668</v>
      </c>
      <c r="B5712">
        <v>0</v>
      </c>
      <c r="C5712" s="44">
        <v>3200</v>
      </c>
      <c r="D5712" t="s">
        <v>293</v>
      </c>
      <c r="E5712" t="s">
        <v>257</v>
      </c>
      <c r="F5712">
        <v>4</v>
      </c>
    </row>
    <row r="5713" spans="1:6" ht="13.2">
      <c r="A5713" t="s">
        <v>6669</v>
      </c>
      <c r="B5713">
        <v>0</v>
      </c>
      <c r="C5713" s="44">
        <v>3200</v>
      </c>
      <c r="D5713" t="s">
        <v>293</v>
      </c>
      <c r="E5713" t="s">
        <v>257</v>
      </c>
      <c r="F5713">
        <v>4</v>
      </c>
    </row>
    <row r="5714" spans="1:6" ht="13.2">
      <c r="A5714" t="s">
        <v>6670</v>
      </c>
      <c r="B5714">
        <v>0</v>
      </c>
      <c r="C5714" s="44">
        <v>3200</v>
      </c>
      <c r="D5714" t="s">
        <v>293</v>
      </c>
      <c r="E5714" t="s">
        <v>257</v>
      </c>
      <c r="F5714">
        <v>4</v>
      </c>
    </row>
    <row r="5715" spans="1:6" ht="13.2">
      <c r="A5715" t="s">
        <v>6671</v>
      </c>
      <c r="B5715">
        <v>0</v>
      </c>
      <c r="C5715" s="44">
        <v>3200</v>
      </c>
      <c r="D5715" t="s">
        <v>293</v>
      </c>
      <c r="E5715" t="s">
        <v>257</v>
      </c>
      <c r="F5715">
        <v>4</v>
      </c>
    </row>
    <row r="5716" spans="1:6" ht="13.2">
      <c r="A5716" t="s">
        <v>6672</v>
      </c>
      <c r="B5716">
        <v>0</v>
      </c>
      <c r="C5716" s="44">
        <v>3200</v>
      </c>
      <c r="D5716" t="s">
        <v>293</v>
      </c>
      <c r="E5716" t="s">
        <v>257</v>
      </c>
      <c r="F5716">
        <v>4</v>
      </c>
    </row>
    <row r="5717" spans="1:6" ht="13.2">
      <c r="A5717" t="s">
        <v>6673</v>
      </c>
      <c r="B5717">
        <v>0</v>
      </c>
      <c r="C5717" s="44">
        <v>3200</v>
      </c>
      <c r="D5717" t="s">
        <v>293</v>
      </c>
      <c r="E5717" t="s">
        <v>257</v>
      </c>
      <c r="F5717">
        <v>4</v>
      </c>
    </row>
    <row r="5718" spans="1:6" ht="13.2">
      <c r="A5718" t="s">
        <v>6674</v>
      </c>
      <c r="B5718">
        <v>0</v>
      </c>
      <c r="C5718" s="44">
        <v>3200</v>
      </c>
      <c r="D5718" t="s">
        <v>293</v>
      </c>
      <c r="E5718" t="s">
        <v>257</v>
      </c>
      <c r="F5718">
        <v>4</v>
      </c>
    </row>
    <row r="5719" spans="1:6" ht="13.2">
      <c r="A5719" t="s">
        <v>6675</v>
      </c>
      <c r="B5719">
        <v>0</v>
      </c>
      <c r="C5719" s="44">
        <v>3200</v>
      </c>
      <c r="D5719" t="s">
        <v>293</v>
      </c>
      <c r="E5719" t="s">
        <v>257</v>
      </c>
      <c r="F5719">
        <v>4</v>
      </c>
    </row>
    <row r="5720" spans="1:6" ht="13.2">
      <c r="A5720" t="s">
        <v>6676</v>
      </c>
      <c r="B5720">
        <v>0</v>
      </c>
      <c r="C5720" s="44">
        <v>3200</v>
      </c>
      <c r="D5720" t="s">
        <v>293</v>
      </c>
      <c r="E5720" t="s">
        <v>257</v>
      </c>
      <c r="F5720">
        <v>4</v>
      </c>
    </row>
    <row r="5721" spans="1:6" ht="13.2">
      <c r="A5721" t="s">
        <v>6677</v>
      </c>
      <c r="B5721">
        <v>0</v>
      </c>
      <c r="C5721" s="44">
        <v>3200</v>
      </c>
      <c r="D5721" t="s">
        <v>293</v>
      </c>
      <c r="E5721" t="s">
        <v>257</v>
      </c>
      <c r="F5721">
        <v>4</v>
      </c>
    </row>
    <row r="5722" spans="1:6" ht="13.2">
      <c r="A5722" t="s">
        <v>6678</v>
      </c>
      <c r="B5722">
        <v>0</v>
      </c>
      <c r="C5722" s="44">
        <v>3200</v>
      </c>
      <c r="D5722" t="s">
        <v>293</v>
      </c>
      <c r="E5722" t="s">
        <v>257</v>
      </c>
      <c r="F5722">
        <v>4</v>
      </c>
    </row>
    <row r="5723" spans="1:6" ht="13.2">
      <c r="A5723" t="s">
        <v>6679</v>
      </c>
      <c r="B5723">
        <v>0</v>
      </c>
      <c r="C5723" s="44">
        <v>3200</v>
      </c>
      <c r="D5723" t="s">
        <v>293</v>
      </c>
      <c r="E5723" t="s">
        <v>257</v>
      </c>
      <c r="F5723">
        <v>4</v>
      </c>
    </row>
    <row r="5724" spans="1:6" ht="13.2">
      <c r="A5724" t="s">
        <v>6680</v>
      </c>
      <c r="B5724">
        <v>0</v>
      </c>
      <c r="C5724" s="44">
        <v>3200</v>
      </c>
      <c r="D5724" t="s">
        <v>293</v>
      </c>
      <c r="E5724" t="s">
        <v>257</v>
      </c>
      <c r="F5724">
        <v>4</v>
      </c>
    </row>
    <row r="5725" spans="1:6" ht="13.2">
      <c r="A5725" t="s">
        <v>6681</v>
      </c>
      <c r="B5725">
        <v>0</v>
      </c>
      <c r="C5725" s="44">
        <v>3200</v>
      </c>
      <c r="D5725" t="s">
        <v>293</v>
      </c>
      <c r="E5725" t="s">
        <v>257</v>
      </c>
      <c r="F5725">
        <v>4</v>
      </c>
    </row>
    <row r="5726" spans="1:6" ht="13.2">
      <c r="A5726" t="s">
        <v>6685</v>
      </c>
      <c r="B5726">
        <v>0</v>
      </c>
      <c r="C5726" s="44">
        <v>3200</v>
      </c>
      <c r="D5726" t="s">
        <v>293</v>
      </c>
      <c r="E5726" t="s">
        <v>6686</v>
      </c>
      <c r="F5726">
        <v>4</v>
      </c>
    </row>
    <row r="5727" spans="1:6" ht="13.2">
      <c r="A5727" t="s">
        <v>6687</v>
      </c>
      <c r="B5727">
        <v>0</v>
      </c>
      <c r="C5727" s="44">
        <v>3200</v>
      </c>
      <c r="D5727" t="s">
        <v>293</v>
      </c>
      <c r="E5727" t="s">
        <v>6686</v>
      </c>
      <c r="F5727">
        <v>4</v>
      </c>
    </row>
    <row r="5728" spans="1:6" ht="13.2">
      <c r="A5728" t="s">
        <v>6688</v>
      </c>
      <c r="B5728">
        <v>0</v>
      </c>
      <c r="C5728" s="44">
        <v>3200</v>
      </c>
      <c r="D5728" t="s">
        <v>293</v>
      </c>
      <c r="E5728" t="s">
        <v>6686</v>
      </c>
      <c r="F5728">
        <v>4</v>
      </c>
    </row>
    <row r="5729" spans="1:6" ht="13.2">
      <c r="A5729" t="s">
        <v>6689</v>
      </c>
      <c r="B5729">
        <v>0</v>
      </c>
      <c r="C5729" s="44">
        <v>3200</v>
      </c>
      <c r="D5729" t="s">
        <v>293</v>
      </c>
      <c r="E5729" t="s">
        <v>6686</v>
      </c>
      <c r="F5729">
        <v>4</v>
      </c>
    </row>
    <row r="5730" spans="1:6" ht="13.2">
      <c r="A5730" t="s">
        <v>6690</v>
      </c>
      <c r="B5730">
        <v>0</v>
      </c>
      <c r="C5730" s="44">
        <v>3200</v>
      </c>
      <c r="D5730" t="s">
        <v>293</v>
      </c>
      <c r="E5730" t="s">
        <v>6686</v>
      </c>
      <c r="F5730">
        <v>4</v>
      </c>
    </row>
    <row r="5731" spans="1:6" ht="13.2">
      <c r="A5731" t="s">
        <v>6691</v>
      </c>
      <c r="B5731">
        <v>0</v>
      </c>
      <c r="C5731" s="44">
        <v>3200</v>
      </c>
      <c r="D5731" t="s">
        <v>293</v>
      </c>
      <c r="E5731" t="s">
        <v>6686</v>
      </c>
      <c r="F5731">
        <v>4</v>
      </c>
    </row>
    <row r="5732" spans="1:6" ht="13.2">
      <c r="A5732" t="s">
        <v>6692</v>
      </c>
      <c r="B5732">
        <v>0</v>
      </c>
      <c r="C5732" s="44">
        <v>3200</v>
      </c>
      <c r="D5732" t="s">
        <v>293</v>
      </c>
      <c r="E5732" t="s">
        <v>6686</v>
      </c>
      <c r="F5732">
        <v>4</v>
      </c>
    </row>
    <row r="5733" spans="1:6" ht="13.2">
      <c r="A5733" t="s">
        <v>6693</v>
      </c>
      <c r="B5733">
        <v>0</v>
      </c>
      <c r="C5733" s="44">
        <v>3200</v>
      </c>
      <c r="D5733" t="s">
        <v>293</v>
      </c>
      <c r="E5733" t="s">
        <v>6686</v>
      </c>
      <c r="F5733">
        <v>4</v>
      </c>
    </row>
    <row r="5734" spans="1:6" ht="13.2">
      <c r="A5734" t="s">
        <v>6694</v>
      </c>
      <c r="B5734">
        <v>0</v>
      </c>
      <c r="C5734" s="44">
        <v>3200</v>
      </c>
      <c r="D5734" t="s">
        <v>293</v>
      </c>
      <c r="E5734" t="s">
        <v>6686</v>
      </c>
      <c r="F5734">
        <v>4</v>
      </c>
    </row>
    <row r="5735" spans="1:6" ht="13.2">
      <c r="A5735" t="s">
        <v>6695</v>
      </c>
      <c r="B5735">
        <v>0</v>
      </c>
      <c r="C5735" s="44">
        <v>3200</v>
      </c>
      <c r="D5735" t="s">
        <v>293</v>
      </c>
      <c r="E5735" t="s">
        <v>6686</v>
      </c>
      <c r="F5735">
        <v>4</v>
      </c>
    </row>
    <row r="5736" spans="1:6" ht="13.2">
      <c r="A5736" t="s">
        <v>6696</v>
      </c>
      <c r="B5736">
        <v>0</v>
      </c>
      <c r="C5736" s="44">
        <v>3200</v>
      </c>
      <c r="D5736" t="s">
        <v>293</v>
      </c>
      <c r="E5736" t="s">
        <v>6686</v>
      </c>
      <c r="F5736">
        <v>4</v>
      </c>
    </row>
    <row r="5737" spans="1:5" ht="13.2">
      <c r="A5737" t="s">
        <v>6697</v>
      </c>
      <c r="B5737">
        <v>0</v>
      </c>
      <c r="C5737" s="44">
        <v>3000</v>
      </c>
      <c r="D5737" t="s">
        <v>293</v>
      </c>
      <c r="E5737" t="s">
        <v>5037</v>
      </c>
    </row>
    <row r="5738" spans="1:5" ht="13.2">
      <c r="A5738" t="s">
        <v>6698</v>
      </c>
      <c r="B5738">
        <v>0</v>
      </c>
      <c r="C5738" s="44">
        <v>3000</v>
      </c>
      <c r="D5738" t="s">
        <v>293</v>
      </c>
      <c r="E5738" t="s">
        <v>5037</v>
      </c>
    </row>
    <row r="5739" spans="1:5" ht="13.2">
      <c r="A5739" t="s">
        <v>6699</v>
      </c>
      <c r="B5739">
        <v>0</v>
      </c>
      <c r="C5739" s="44">
        <v>3000</v>
      </c>
      <c r="D5739" t="s">
        <v>293</v>
      </c>
      <c r="E5739" t="s">
        <v>5037</v>
      </c>
    </row>
    <row r="5740" spans="1:5" ht="13.2">
      <c r="A5740" t="s">
        <v>6700</v>
      </c>
      <c r="B5740">
        <v>0</v>
      </c>
      <c r="C5740" s="44">
        <v>3000</v>
      </c>
      <c r="D5740" t="s">
        <v>293</v>
      </c>
      <c r="E5740" t="s">
        <v>5037</v>
      </c>
    </row>
    <row r="5741" spans="1:5" ht="13.2">
      <c r="A5741" t="s">
        <v>6701</v>
      </c>
      <c r="B5741">
        <v>0</v>
      </c>
      <c r="C5741" s="44">
        <v>3000</v>
      </c>
      <c r="D5741" t="s">
        <v>293</v>
      </c>
      <c r="E5741" t="s">
        <v>5037</v>
      </c>
    </row>
    <row r="5742" spans="1:5" ht="13.2">
      <c r="A5742" t="s">
        <v>6702</v>
      </c>
      <c r="B5742">
        <v>0</v>
      </c>
      <c r="C5742" s="44">
        <v>3000</v>
      </c>
      <c r="D5742" t="s">
        <v>293</v>
      </c>
      <c r="E5742" t="s">
        <v>5037</v>
      </c>
    </row>
    <row r="5743" spans="1:5" ht="13.2">
      <c r="A5743" t="s">
        <v>6703</v>
      </c>
      <c r="B5743">
        <v>0</v>
      </c>
      <c r="C5743" s="44">
        <v>3000</v>
      </c>
      <c r="D5743" t="s">
        <v>293</v>
      </c>
      <c r="E5743" t="s">
        <v>5037</v>
      </c>
    </row>
    <row r="5744" spans="1:5" ht="13.2">
      <c r="A5744" t="s">
        <v>6704</v>
      </c>
      <c r="B5744">
        <v>0</v>
      </c>
      <c r="C5744" s="44">
        <v>3000</v>
      </c>
      <c r="D5744" t="s">
        <v>293</v>
      </c>
      <c r="E5744" t="s">
        <v>5037</v>
      </c>
    </row>
    <row r="5745" spans="1:5" ht="13.2">
      <c r="A5745" t="s">
        <v>6705</v>
      </c>
      <c r="B5745">
        <v>0</v>
      </c>
      <c r="C5745" s="44">
        <v>3000</v>
      </c>
      <c r="D5745" t="s">
        <v>293</v>
      </c>
      <c r="E5745" t="s">
        <v>5037</v>
      </c>
    </row>
    <row r="5746" spans="1:5" ht="13.2">
      <c r="A5746" t="s">
        <v>6706</v>
      </c>
      <c r="B5746">
        <v>0</v>
      </c>
      <c r="C5746" s="44">
        <v>3000</v>
      </c>
      <c r="D5746" t="s">
        <v>293</v>
      </c>
      <c r="E5746" t="s">
        <v>5037</v>
      </c>
    </row>
    <row r="5747" spans="1:5" ht="13.2">
      <c r="A5747" t="s">
        <v>6707</v>
      </c>
      <c r="B5747">
        <v>0</v>
      </c>
      <c r="C5747" s="44">
        <v>3000</v>
      </c>
      <c r="D5747" t="s">
        <v>293</v>
      </c>
      <c r="E5747" t="s">
        <v>5037</v>
      </c>
    </row>
    <row r="5748" spans="1:5" ht="13.2">
      <c r="A5748" t="s">
        <v>6708</v>
      </c>
      <c r="B5748">
        <v>0</v>
      </c>
      <c r="C5748" s="44">
        <v>3000</v>
      </c>
      <c r="D5748" t="s">
        <v>293</v>
      </c>
      <c r="E5748" t="s">
        <v>5037</v>
      </c>
    </row>
    <row r="5749" spans="1:5" ht="13.2">
      <c r="A5749" t="s">
        <v>6709</v>
      </c>
      <c r="B5749">
        <v>0</v>
      </c>
      <c r="C5749" s="44">
        <v>3000</v>
      </c>
      <c r="D5749" t="s">
        <v>293</v>
      </c>
      <c r="E5749" t="s">
        <v>5037</v>
      </c>
    </row>
    <row r="5750" spans="1:6" ht="13.2">
      <c r="A5750" t="s">
        <v>6712</v>
      </c>
      <c r="B5750">
        <v>0</v>
      </c>
      <c r="C5750" s="44">
        <v>1400</v>
      </c>
      <c r="D5750" t="s">
        <v>291</v>
      </c>
      <c r="E5750" t="s">
        <v>6710</v>
      </c>
      <c r="F5750">
        <v>4</v>
      </c>
    </row>
    <row r="5751" spans="1:6" ht="13.2">
      <c r="A5751" t="s">
        <v>6713</v>
      </c>
      <c r="B5751">
        <v>0</v>
      </c>
      <c r="C5751" s="44">
        <v>1400</v>
      </c>
      <c r="D5751" t="s">
        <v>291</v>
      </c>
      <c r="E5751" t="s">
        <v>6711</v>
      </c>
      <c r="F5751">
        <v>3</v>
      </c>
    </row>
    <row r="5752" spans="1:6" ht="13.2">
      <c r="A5752" t="s">
        <v>6716</v>
      </c>
      <c r="B5752">
        <v>0</v>
      </c>
      <c r="C5752" s="44">
        <v>3000</v>
      </c>
      <c r="D5752" t="s">
        <v>293</v>
      </c>
      <c r="E5752" t="s">
        <v>256</v>
      </c>
      <c r="F5752" t="s">
        <v>6717</v>
      </c>
    </row>
    <row r="5753" spans="1:6" ht="13.2">
      <c r="A5753" t="s">
        <v>6718</v>
      </c>
      <c r="B5753">
        <v>0</v>
      </c>
      <c r="C5753" s="44">
        <v>3000</v>
      </c>
      <c r="D5753" t="s">
        <v>293</v>
      </c>
      <c r="E5753" t="s">
        <v>256</v>
      </c>
      <c r="F5753" t="s">
        <v>6717</v>
      </c>
    </row>
    <row r="5754" spans="1:6" ht="13.2">
      <c r="A5754" t="s">
        <v>6719</v>
      </c>
      <c r="B5754">
        <v>0</v>
      </c>
      <c r="C5754" s="44">
        <v>3000</v>
      </c>
      <c r="D5754" t="s">
        <v>293</v>
      </c>
      <c r="E5754" t="s">
        <v>256</v>
      </c>
      <c r="F5754" t="s">
        <v>6717</v>
      </c>
    </row>
    <row r="5755" spans="1:6" ht="13.2">
      <c r="A5755" t="s">
        <v>6720</v>
      </c>
      <c r="B5755">
        <v>0</v>
      </c>
      <c r="C5755" s="44">
        <v>3000</v>
      </c>
      <c r="D5755" t="s">
        <v>293</v>
      </c>
      <c r="E5755" t="s">
        <v>256</v>
      </c>
      <c r="F5755" t="s">
        <v>6717</v>
      </c>
    </row>
    <row r="5756" spans="1:6" ht="13.2">
      <c r="A5756" t="s">
        <v>6721</v>
      </c>
      <c r="B5756">
        <v>0</v>
      </c>
      <c r="C5756" s="44">
        <v>3000</v>
      </c>
      <c r="D5756" t="s">
        <v>293</v>
      </c>
      <c r="E5756" t="s">
        <v>256</v>
      </c>
      <c r="F5756" t="s">
        <v>6717</v>
      </c>
    </row>
    <row r="5757" spans="1:6" ht="13.2">
      <c r="A5757" t="s">
        <v>6722</v>
      </c>
      <c r="B5757">
        <v>0</v>
      </c>
      <c r="C5757" s="44">
        <v>3000</v>
      </c>
      <c r="D5757" t="s">
        <v>293</v>
      </c>
      <c r="E5757" t="s">
        <v>256</v>
      </c>
      <c r="F5757" t="s">
        <v>6717</v>
      </c>
    </row>
    <row r="5758" spans="1:6" ht="13.2">
      <c r="A5758" t="s">
        <v>6723</v>
      </c>
      <c r="B5758">
        <v>0</v>
      </c>
      <c r="C5758" s="44">
        <v>3000</v>
      </c>
      <c r="D5758" t="s">
        <v>293</v>
      </c>
      <c r="E5758" t="s">
        <v>256</v>
      </c>
      <c r="F5758" t="s">
        <v>6717</v>
      </c>
    </row>
    <row r="5759" spans="1:6" ht="13.2">
      <c r="A5759" t="s">
        <v>6724</v>
      </c>
      <c r="B5759">
        <v>0</v>
      </c>
      <c r="C5759" s="44">
        <v>3000</v>
      </c>
      <c r="D5759" t="s">
        <v>293</v>
      </c>
      <c r="E5759" t="s">
        <v>256</v>
      </c>
      <c r="F5759" t="s">
        <v>6717</v>
      </c>
    </row>
    <row r="5760" spans="1:6" ht="13.2">
      <c r="A5760" t="s">
        <v>6725</v>
      </c>
      <c r="B5760">
        <v>0</v>
      </c>
      <c r="C5760" s="44">
        <v>3000</v>
      </c>
      <c r="D5760" t="s">
        <v>293</v>
      </c>
      <c r="E5760" t="s">
        <v>256</v>
      </c>
      <c r="F5760" t="s">
        <v>6717</v>
      </c>
    </row>
    <row r="5761" spans="1:6" ht="13.2">
      <c r="A5761" t="s">
        <v>6726</v>
      </c>
      <c r="B5761">
        <v>0</v>
      </c>
      <c r="C5761" s="44">
        <v>3000</v>
      </c>
      <c r="D5761" t="s">
        <v>293</v>
      </c>
      <c r="E5761" t="s">
        <v>256</v>
      </c>
      <c r="F5761" t="s">
        <v>6717</v>
      </c>
    </row>
    <row r="5762" spans="1:5" ht="13.2">
      <c r="A5762" t="s">
        <v>6727</v>
      </c>
      <c r="B5762">
        <v>325</v>
      </c>
      <c r="C5762" s="44">
        <v>1300</v>
      </c>
      <c r="D5762" t="s">
        <v>291</v>
      </c>
      <c r="E5762" t="s">
        <v>6728</v>
      </c>
    </row>
    <row r="5763" spans="1:5" ht="13.2">
      <c r="A5763" t="s">
        <v>6729</v>
      </c>
      <c r="B5763">
        <v>325</v>
      </c>
      <c r="C5763" s="44">
        <v>1300</v>
      </c>
      <c r="D5763" t="s">
        <v>291</v>
      </c>
      <c r="E5763" t="s">
        <v>6728</v>
      </c>
    </row>
    <row r="5764" spans="1:5" ht="13.2">
      <c r="A5764" t="s">
        <v>6730</v>
      </c>
      <c r="B5764">
        <v>325</v>
      </c>
      <c r="C5764" s="44">
        <v>1300</v>
      </c>
      <c r="D5764" t="s">
        <v>291</v>
      </c>
      <c r="E5764" t="s">
        <v>6728</v>
      </c>
    </row>
    <row r="5765" spans="1:5" ht="13.2">
      <c r="A5765" t="s">
        <v>6731</v>
      </c>
      <c r="B5765">
        <v>325</v>
      </c>
      <c r="C5765" s="44">
        <v>1300</v>
      </c>
      <c r="D5765" t="s">
        <v>291</v>
      </c>
      <c r="E5765" t="s">
        <v>6728</v>
      </c>
    </row>
    <row r="5766" spans="1:5" ht="13.2">
      <c r="A5766" t="s">
        <v>6732</v>
      </c>
      <c r="B5766">
        <v>325</v>
      </c>
      <c r="C5766" s="44">
        <v>1300</v>
      </c>
      <c r="D5766" t="s">
        <v>291</v>
      </c>
      <c r="E5766" t="s">
        <v>6728</v>
      </c>
    </row>
    <row r="5767" spans="1:6" ht="13.2">
      <c r="A5767" t="s">
        <v>7432</v>
      </c>
      <c r="B5767">
        <v>0</v>
      </c>
      <c r="C5767" s="44">
        <v>3500</v>
      </c>
      <c r="D5767" t="s">
        <v>293</v>
      </c>
      <c r="E5767" t="s">
        <v>6733</v>
      </c>
      <c r="F5767">
        <v>14</v>
      </c>
    </row>
    <row r="5768" spans="1:6" ht="13.2">
      <c r="A5768" t="s">
        <v>7433</v>
      </c>
      <c r="B5768">
        <v>0</v>
      </c>
      <c r="C5768" s="44">
        <v>3500</v>
      </c>
      <c r="D5768" t="s">
        <v>293</v>
      </c>
      <c r="E5768" t="s">
        <v>6733</v>
      </c>
      <c r="F5768">
        <v>14</v>
      </c>
    </row>
    <row r="5769" spans="1:6" ht="13.2">
      <c r="A5769" t="s">
        <v>7434</v>
      </c>
      <c r="B5769">
        <v>0</v>
      </c>
      <c r="C5769" s="44">
        <v>3500</v>
      </c>
      <c r="D5769" t="s">
        <v>293</v>
      </c>
      <c r="E5769" t="s">
        <v>6733</v>
      </c>
      <c r="F5769">
        <v>14</v>
      </c>
    </row>
    <row r="5770" spans="1:6" ht="13.2">
      <c r="A5770" t="s">
        <v>7435</v>
      </c>
      <c r="B5770">
        <v>0</v>
      </c>
      <c r="C5770" s="44">
        <v>3500</v>
      </c>
      <c r="D5770" t="s">
        <v>293</v>
      </c>
      <c r="E5770" t="s">
        <v>6733</v>
      </c>
      <c r="F5770">
        <v>14</v>
      </c>
    </row>
    <row r="5771" spans="1:6" ht="13.2">
      <c r="A5771" t="s">
        <v>7436</v>
      </c>
      <c r="B5771">
        <v>0</v>
      </c>
      <c r="C5771" s="44">
        <v>3500</v>
      </c>
      <c r="D5771" t="s">
        <v>293</v>
      </c>
      <c r="E5771" t="s">
        <v>6733</v>
      </c>
      <c r="F5771">
        <v>14</v>
      </c>
    </row>
    <row r="5772" spans="1:6" ht="13.2">
      <c r="A5772" t="s">
        <v>7437</v>
      </c>
      <c r="B5772">
        <v>0</v>
      </c>
      <c r="C5772" s="44">
        <v>3500</v>
      </c>
      <c r="D5772" t="s">
        <v>293</v>
      </c>
      <c r="E5772" t="s">
        <v>6733</v>
      </c>
      <c r="F5772">
        <v>14</v>
      </c>
    </row>
    <row r="5773" spans="1:6" ht="13.2">
      <c r="A5773" t="s">
        <v>7438</v>
      </c>
      <c r="B5773">
        <v>0</v>
      </c>
      <c r="C5773" s="44">
        <v>3500</v>
      </c>
      <c r="D5773" t="s">
        <v>293</v>
      </c>
      <c r="E5773" t="s">
        <v>6733</v>
      </c>
      <c r="F5773">
        <v>14</v>
      </c>
    </row>
    <row r="5774" spans="1:6" ht="13.2">
      <c r="A5774" t="s">
        <v>7439</v>
      </c>
      <c r="B5774">
        <v>0</v>
      </c>
      <c r="C5774" s="44">
        <v>3500</v>
      </c>
      <c r="D5774" t="s">
        <v>293</v>
      </c>
      <c r="E5774" t="s">
        <v>6733</v>
      </c>
      <c r="F5774">
        <v>14</v>
      </c>
    </row>
    <row r="5775" spans="1:6" ht="13.2">
      <c r="A5775" t="s">
        <v>7440</v>
      </c>
      <c r="B5775">
        <v>0</v>
      </c>
      <c r="C5775" s="44">
        <v>3500</v>
      </c>
      <c r="D5775" t="s">
        <v>293</v>
      </c>
      <c r="E5775" t="s">
        <v>6733</v>
      </c>
      <c r="F5775">
        <v>14</v>
      </c>
    </row>
    <row r="5776" spans="1:6" ht="13.2">
      <c r="A5776" t="s">
        <v>7441</v>
      </c>
      <c r="B5776">
        <v>0</v>
      </c>
      <c r="C5776" s="44">
        <v>3500</v>
      </c>
      <c r="D5776" t="s">
        <v>293</v>
      </c>
      <c r="E5776" t="s">
        <v>6733</v>
      </c>
      <c r="F5776">
        <v>14</v>
      </c>
    </row>
    <row r="5777" spans="1:6" ht="13.2">
      <c r="A5777" t="s">
        <v>7442</v>
      </c>
      <c r="B5777">
        <v>0</v>
      </c>
      <c r="C5777" s="44">
        <v>3500</v>
      </c>
      <c r="D5777" t="s">
        <v>293</v>
      </c>
      <c r="E5777" t="s">
        <v>6733</v>
      </c>
      <c r="F5777">
        <v>14</v>
      </c>
    </row>
    <row r="5778" spans="1:6" ht="13.2">
      <c r="A5778" t="s">
        <v>7443</v>
      </c>
      <c r="B5778">
        <v>0</v>
      </c>
      <c r="C5778" s="44">
        <v>3500</v>
      </c>
      <c r="D5778" t="s">
        <v>293</v>
      </c>
      <c r="E5778" t="s">
        <v>6733</v>
      </c>
      <c r="F5778">
        <v>14</v>
      </c>
    </row>
    <row r="5779" spans="1:6" ht="13.2">
      <c r="A5779" t="s">
        <v>7444</v>
      </c>
      <c r="B5779">
        <v>0</v>
      </c>
      <c r="C5779" s="44">
        <v>3500</v>
      </c>
      <c r="D5779" t="s">
        <v>293</v>
      </c>
      <c r="E5779" t="s">
        <v>6733</v>
      </c>
      <c r="F5779">
        <v>14</v>
      </c>
    </row>
    <row r="5780" spans="1:6" ht="13.2">
      <c r="A5780" t="s">
        <v>7446</v>
      </c>
      <c r="B5780">
        <v>0</v>
      </c>
      <c r="C5780" s="44">
        <v>3500</v>
      </c>
      <c r="D5780" t="s">
        <v>293</v>
      </c>
      <c r="E5780" t="s">
        <v>6733</v>
      </c>
      <c r="F5780">
        <v>14</v>
      </c>
    </row>
    <row r="5781" spans="1:6" ht="13.2">
      <c r="A5781" t="s">
        <v>7445</v>
      </c>
      <c r="B5781">
        <v>0</v>
      </c>
      <c r="C5781" s="44">
        <v>3500</v>
      </c>
      <c r="D5781" t="s">
        <v>293</v>
      </c>
      <c r="E5781" t="s">
        <v>6733</v>
      </c>
      <c r="F5781">
        <v>14</v>
      </c>
    </row>
    <row r="5782" spans="1:6" ht="13.2">
      <c r="A5782" t="s">
        <v>6734</v>
      </c>
      <c r="B5782">
        <v>0</v>
      </c>
      <c r="C5782" s="44">
        <v>3000</v>
      </c>
      <c r="D5782" t="s">
        <v>293</v>
      </c>
      <c r="E5782" t="s">
        <v>6735</v>
      </c>
      <c r="F5782">
        <v>3</v>
      </c>
    </row>
    <row r="5783" spans="1:6" ht="13.2">
      <c r="A5783" t="s">
        <v>6736</v>
      </c>
      <c r="B5783">
        <v>0</v>
      </c>
      <c r="C5783" s="44">
        <v>3000</v>
      </c>
      <c r="D5783" t="s">
        <v>293</v>
      </c>
      <c r="E5783" t="s">
        <v>6735</v>
      </c>
      <c r="F5783">
        <v>3</v>
      </c>
    </row>
    <row r="5784" spans="1:6" ht="13.2">
      <c r="A5784" t="s">
        <v>6737</v>
      </c>
      <c r="B5784">
        <v>0</v>
      </c>
      <c r="C5784" s="44">
        <v>3000</v>
      </c>
      <c r="D5784" t="s">
        <v>293</v>
      </c>
      <c r="E5784" t="s">
        <v>6735</v>
      </c>
      <c r="F5784">
        <v>3</v>
      </c>
    </row>
    <row r="5785" spans="1:6" ht="13.2">
      <c r="A5785" t="s">
        <v>6738</v>
      </c>
      <c r="B5785">
        <v>0</v>
      </c>
      <c r="C5785" s="44">
        <v>3000</v>
      </c>
      <c r="D5785" t="s">
        <v>293</v>
      </c>
      <c r="E5785" t="s">
        <v>6735</v>
      </c>
      <c r="F5785">
        <v>3</v>
      </c>
    </row>
    <row r="5786" spans="1:6" ht="13.2">
      <c r="A5786" t="s">
        <v>6739</v>
      </c>
      <c r="B5786">
        <v>0</v>
      </c>
      <c r="C5786" s="44">
        <v>3000</v>
      </c>
      <c r="D5786" t="s">
        <v>293</v>
      </c>
      <c r="E5786" t="s">
        <v>6735</v>
      </c>
      <c r="F5786">
        <v>3</v>
      </c>
    </row>
    <row r="5787" spans="1:6" ht="13.2">
      <c r="A5787" t="s">
        <v>6740</v>
      </c>
      <c r="B5787">
        <v>0</v>
      </c>
      <c r="C5787" s="44">
        <v>3000</v>
      </c>
      <c r="D5787" t="s">
        <v>293</v>
      </c>
      <c r="E5787" t="s">
        <v>6735</v>
      </c>
      <c r="F5787">
        <v>3</v>
      </c>
    </row>
    <row r="5788" spans="1:6" ht="13.2">
      <c r="A5788" t="s">
        <v>6741</v>
      </c>
      <c r="B5788">
        <v>345</v>
      </c>
      <c r="C5788" s="44">
        <v>2850</v>
      </c>
      <c r="D5788" t="s">
        <v>291</v>
      </c>
      <c r="E5788" t="s">
        <v>6742</v>
      </c>
      <c r="F5788">
        <v>4</v>
      </c>
    </row>
    <row r="5789" spans="1:6" ht="13.2">
      <c r="A5789" t="s">
        <v>6743</v>
      </c>
      <c r="B5789">
        <v>345</v>
      </c>
      <c r="C5789" s="44">
        <v>2850</v>
      </c>
      <c r="D5789" t="s">
        <v>291</v>
      </c>
      <c r="E5789" t="s">
        <v>6742</v>
      </c>
      <c r="F5789">
        <v>4</v>
      </c>
    </row>
    <row r="5790" spans="1:6" ht="13.2">
      <c r="A5790" t="s">
        <v>6744</v>
      </c>
      <c r="B5790">
        <v>345</v>
      </c>
      <c r="C5790" s="44">
        <v>2850</v>
      </c>
      <c r="D5790" t="s">
        <v>291</v>
      </c>
      <c r="E5790" t="s">
        <v>6742</v>
      </c>
      <c r="F5790">
        <v>4</v>
      </c>
    </row>
    <row r="5791" spans="1:6" ht="13.2">
      <c r="A5791" t="s">
        <v>6745</v>
      </c>
      <c r="B5791">
        <v>345</v>
      </c>
      <c r="C5791" s="44">
        <v>2850</v>
      </c>
      <c r="D5791" t="s">
        <v>291</v>
      </c>
      <c r="E5791" t="s">
        <v>6742</v>
      </c>
      <c r="F5791">
        <v>4</v>
      </c>
    </row>
    <row r="5792" spans="1:6" ht="13.2">
      <c r="A5792" t="s">
        <v>6746</v>
      </c>
      <c r="B5792">
        <v>345</v>
      </c>
      <c r="C5792" s="44">
        <v>2850</v>
      </c>
      <c r="D5792" t="s">
        <v>291</v>
      </c>
      <c r="E5792" t="s">
        <v>6742</v>
      </c>
      <c r="F5792">
        <v>4</v>
      </c>
    </row>
    <row r="5793" spans="1:6" ht="13.2">
      <c r="A5793" t="s">
        <v>6747</v>
      </c>
      <c r="B5793">
        <v>345</v>
      </c>
      <c r="C5793" s="44">
        <v>2850</v>
      </c>
      <c r="D5793" t="s">
        <v>293</v>
      </c>
      <c r="E5793" t="s">
        <v>6742</v>
      </c>
      <c r="F5793">
        <v>4</v>
      </c>
    </row>
    <row r="5794" spans="1:6" ht="13.2">
      <c r="A5794" t="s">
        <v>6748</v>
      </c>
      <c r="B5794">
        <v>345</v>
      </c>
      <c r="C5794" s="44">
        <v>2850</v>
      </c>
      <c r="D5794" t="s">
        <v>293</v>
      </c>
      <c r="E5794" t="s">
        <v>6742</v>
      </c>
      <c r="F5794">
        <v>4</v>
      </c>
    </row>
    <row r="5795" spans="1:6" ht="13.2">
      <c r="A5795" t="s">
        <v>6749</v>
      </c>
      <c r="B5795">
        <v>345</v>
      </c>
      <c r="C5795" s="44">
        <v>2850</v>
      </c>
      <c r="D5795" t="s">
        <v>293</v>
      </c>
      <c r="E5795" t="s">
        <v>6742</v>
      </c>
      <c r="F5795">
        <v>4</v>
      </c>
    </row>
    <row r="5796" spans="1:6" ht="13.2">
      <c r="A5796" t="s">
        <v>6750</v>
      </c>
      <c r="B5796">
        <v>345</v>
      </c>
      <c r="C5796" s="44">
        <v>2850</v>
      </c>
      <c r="D5796" t="s">
        <v>293</v>
      </c>
      <c r="E5796" t="s">
        <v>6742</v>
      </c>
      <c r="F5796">
        <v>4</v>
      </c>
    </row>
    <row r="5797" spans="1:6" ht="13.2">
      <c r="A5797" t="s">
        <v>6751</v>
      </c>
      <c r="B5797">
        <v>345</v>
      </c>
      <c r="C5797" s="44">
        <v>2850</v>
      </c>
      <c r="D5797" t="s">
        <v>293</v>
      </c>
      <c r="E5797" t="s">
        <v>6742</v>
      </c>
      <c r="F5797">
        <v>4</v>
      </c>
    </row>
    <row r="5798" spans="1:5" ht="13.2">
      <c r="A5798" t="s">
        <v>6752</v>
      </c>
      <c r="B5798">
        <v>0</v>
      </c>
      <c r="C5798" s="44">
        <v>3000</v>
      </c>
      <c r="D5798" t="s">
        <v>291</v>
      </c>
      <c r="E5798" t="s">
        <v>5037</v>
      </c>
    </row>
    <row r="5799" spans="1:5" ht="13.2">
      <c r="A5799" t="s">
        <v>6753</v>
      </c>
      <c r="B5799">
        <v>0</v>
      </c>
      <c r="C5799" s="44">
        <v>3000</v>
      </c>
      <c r="D5799" t="s">
        <v>291</v>
      </c>
      <c r="E5799" t="s">
        <v>5037</v>
      </c>
    </row>
    <row r="5800" spans="1:5" ht="13.2">
      <c r="A5800" t="s">
        <v>6754</v>
      </c>
      <c r="B5800">
        <v>0</v>
      </c>
      <c r="C5800" s="44">
        <v>3000</v>
      </c>
      <c r="D5800" t="s">
        <v>291</v>
      </c>
      <c r="E5800" t="s">
        <v>5037</v>
      </c>
    </row>
    <row r="5801" spans="1:5" ht="13.2">
      <c r="A5801" t="s">
        <v>6755</v>
      </c>
      <c r="B5801">
        <v>0</v>
      </c>
      <c r="C5801" s="44">
        <v>3000</v>
      </c>
      <c r="D5801" t="s">
        <v>291</v>
      </c>
      <c r="E5801" t="s">
        <v>5037</v>
      </c>
    </row>
    <row r="5802" spans="1:5" ht="13.2">
      <c r="A5802" t="s">
        <v>6756</v>
      </c>
      <c r="B5802">
        <v>0</v>
      </c>
      <c r="C5802" s="44">
        <v>3000</v>
      </c>
      <c r="D5802" t="s">
        <v>291</v>
      </c>
      <c r="E5802" t="s">
        <v>5037</v>
      </c>
    </row>
    <row r="5803" spans="1:5" ht="13.2">
      <c r="A5803" t="s">
        <v>6757</v>
      </c>
      <c r="B5803">
        <v>0</v>
      </c>
      <c r="C5803" s="44">
        <v>3000</v>
      </c>
      <c r="D5803" t="s">
        <v>291</v>
      </c>
      <c r="E5803" t="s">
        <v>5037</v>
      </c>
    </row>
    <row r="5804" spans="1:5" ht="13.2">
      <c r="A5804" t="s">
        <v>6758</v>
      </c>
      <c r="B5804">
        <v>0</v>
      </c>
      <c r="C5804" s="44">
        <v>3000</v>
      </c>
      <c r="D5804" t="s">
        <v>291</v>
      </c>
      <c r="E5804" t="s">
        <v>5037</v>
      </c>
    </row>
    <row r="5805" spans="1:5" ht="13.2">
      <c r="A5805" t="s">
        <v>6759</v>
      </c>
      <c r="B5805">
        <v>0</v>
      </c>
      <c r="C5805" s="44">
        <v>3000</v>
      </c>
      <c r="D5805" t="s">
        <v>291</v>
      </c>
      <c r="E5805" t="s">
        <v>5037</v>
      </c>
    </row>
    <row r="5806" spans="1:5" ht="13.2">
      <c r="A5806" t="s">
        <v>6760</v>
      </c>
      <c r="B5806">
        <v>0</v>
      </c>
      <c r="C5806" s="44">
        <v>3000</v>
      </c>
      <c r="D5806" t="s">
        <v>291</v>
      </c>
      <c r="E5806" t="s">
        <v>5037</v>
      </c>
    </row>
    <row r="5807" spans="1:5" ht="13.2">
      <c r="A5807" t="s">
        <v>6761</v>
      </c>
      <c r="B5807">
        <v>0</v>
      </c>
      <c r="C5807" s="44">
        <v>3000</v>
      </c>
      <c r="D5807" t="s">
        <v>291</v>
      </c>
      <c r="E5807" t="s">
        <v>5037</v>
      </c>
    </row>
    <row r="5808" spans="1:5" ht="13.2">
      <c r="A5808" t="s">
        <v>6762</v>
      </c>
      <c r="B5808">
        <v>0</v>
      </c>
      <c r="C5808" s="44">
        <v>3000</v>
      </c>
      <c r="D5808" t="s">
        <v>291</v>
      </c>
      <c r="E5808" t="s">
        <v>5037</v>
      </c>
    </row>
    <row r="5809" spans="1:5" ht="13.2">
      <c r="A5809" t="s">
        <v>6763</v>
      </c>
      <c r="B5809">
        <v>0</v>
      </c>
      <c r="C5809" s="44">
        <v>3000</v>
      </c>
      <c r="D5809" t="s">
        <v>291</v>
      </c>
      <c r="E5809" t="s">
        <v>5037</v>
      </c>
    </row>
    <row r="5810" spans="1:5" ht="13.2">
      <c r="A5810" t="s">
        <v>6764</v>
      </c>
      <c r="B5810">
        <v>0</v>
      </c>
      <c r="C5810" s="44">
        <v>3000</v>
      </c>
      <c r="D5810" t="s">
        <v>291</v>
      </c>
      <c r="E5810" t="s">
        <v>5037</v>
      </c>
    </row>
    <row r="5811" spans="1:5" ht="13.2">
      <c r="A5811" t="s">
        <v>6765</v>
      </c>
      <c r="B5811">
        <v>0</v>
      </c>
      <c r="C5811" s="44">
        <v>1380</v>
      </c>
      <c r="D5811" t="s">
        <v>291</v>
      </c>
      <c r="E5811" t="s">
        <v>6766</v>
      </c>
    </row>
    <row r="5812" spans="1:5" ht="13.2">
      <c r="A5812" t="s">
        <v>6767</v>
      </c>
      <c r="B5812">
        <v>0</v>
      </c>
      <c r="C5812" s="44">
        <v>1380</v>
      </c>
      <c r="D5812" t="s">
        <v>291</v>
      </c>
      <c r="E5812" t="s">
        <v>6766</v>
      </c>
    </row>
    <row r="5813" spans="1:5" ht="13.2">
      <c r="A5813" t="s">
        <v>6768</v>
      </c>
      <c r="B5813">
        <v>0</v>
      </c>
      <c r="C5813" s="44">
        <v>1380</v>
      </c>
      <c r="D5813" t="s">
        <v>291</v>
      </c>
      <c r="E5813" t="s">
        <v>6766</v>
      </c>
    </row>
    <row r="5814" spans="1:5" ht="13.2">
      <c r="A5814" t="s">
        <v>6769</v>
      </c>
      <c r="B5814">
        <v>0</v>
      </c>
      <c r="C5814" s="44">
        <v>1380</v>
      </c>
      <c r="D5814" t="s">
        <v>291</v>
      </c>
      <c r="E5814" t="s">
        <v>6766</v>
      </c>
    </row>
    <row r="5815" spans="1:5" ht="13.2">
      <c r="A5815" t="s">
        <v>6770</v>
      </c>
      <c r="B5815">
        <v>0</v>
      </c>
      <c r="C5815" s="44">
        <v>1380</v>
      </c>
      <c r="D5815" t="s">
        <v>291</v>
      </c>
      <c r="E5815" t="s">
        <v>6766</v>
      </c>
    </row>
    <row r="5816" spans="1:5" ht="13.2">
      <c r="A5816" t="s">
        <v>6771</v>
      </c>
      <c r="B5816">
        <v>0</v>
      </c>
      <c r="C5816" s="44">
        <v>1380</v>
      </c>
      <c r="D5816" t="s">
        <v>291</v>
      </c>
      <c r="E5816" t="s">
        <v>6766</v>
      </c>
    </row>
    <row r="5817" spans="1:5" ht="13.2">
      <c r="A5817" t="s">
        <v>6772</v>
      </c>
      <c r="B5817">
        <v>0</v>
      </c>
      <c r="C5817" s="44">
        <v>1380</v>
      </c>
      <c r="D5817" t="s">
        <v>291</v>
      </c>
      <c r="E5817" t="s">
        <v>6766</v>
      </c>
    </row>
    <row r="5818" spans="1:5" ht="13.2">
      <c r="A5818" t="s">
        <v>6773</v>
      </c>
      <c r="B5818">
        <v>0</v>
      </c>
      <c r="C5818" s="44">
        <v>1380</v>
      </c>
      <c r="D5818" t="s">
        <v>291</v>
      </c>
      <c r="E5818" t="s">
        <v>6766</v>
      </c>
    </row>
    <row r="5819" spans="1:5" ht="13.2">
      <c r="A5819" t="s">
        <v>6774</v>
      </c>
      <c r="B5819">
        <v>0</v>
      </c>
      <c r="C5819" s="44">
        <v>1380</v>
      </c>
      <c r="D5819" t="s">
        <v>291</v>
      </c>
      <c r="E5819" t="s">
        <v>6766</v>
      </c>
    </row>
    <row r="5820" spans="1:6" ht="13.2">
      <c r="A5820" t="s">
        <v>6775</v>
      </c>
      <c r="B5820">
        <v>0</v>
      </c>
      <c r="C5820" s="44">
        <v>3200</v>
      </c>
      <c r="D5820" t="s">
        <v>291</v>
      </c>
      <c r="E5820" t="s">
        <v>699</v>
      </c>
      <c r="F5820">
        <v>4</v>
      </c>
    </row>
    <row r="5821" spans="1:6" ht="13.2">
      <c r="A5821" t="s">
        <v>6776</v>
      </c>
      <c r="B5821">
        <v>0</v>
      </c>
      <c r="C5821" s="44">
        <v>3200</v>
      </c>
      <c r="D5821" t="s">
        <v>291</v>
      </c>
      <c r="E5821" t="s">
        <v>699</v>
      </c>
      <c r="F5821">
        <v>4</v>
      </c>
    </row>
    <row r="5822" spans="1:6" ht="13.2">
      <c r="A5822" t="s">
        <v>6777</v>
      </c>
      <c r="B5822">
        <v>0</v>
      </c>
      <c r="C5822" s="44">
        <v>3200</v>
      </c>
      <c r="D5822" t="s">
        <v>291</v>
      </c>
      <c r="E5822" t="s">
        <v>699</v>
      </c>
      <c r="F5822">
        <v>4</v>
      </c>
    </row>
    <row r="5823" spans="1:6" ht="13.2">
      <c r="A5823" t="s">
        <v>6778</v>
      </c>
      <c r="B5823">
        <v>0</v>
      </c>
      <c r="C5823" s="44">
        <v>3200</v>
      </c>
      <c r="D5823" t="s">
        <v>291</v>
      </c>
      <c r="E5823" t="s">
        <v>699</v>
      </c>
      <c r="F5823">
        <v>4</v>
      </c>
    </row>
    <row r="5824" spans="1:6" ht="13.2">
      <c r="A5824" t="s">
        <v>6779</v>
      </c>
      <c r="B5824">
        <v>0</v>
      </c>
      <c r="C5824" s="44">
        <v>3200</v>
      </c>
      <c r="D5824" t="s">
        <v>291</v>
      </c>
      <c r="E5824" t="s">
        <v>699</v>
      </c>
      <c r="F5824">
        <v>4</v>
      </c>
    </row>
    <row r="5825" spans="1:6" ht="13.2">
      <c r="A5825" t="s">
        <v>6780</v>
      </c>
      <c r="B5825">
        <v>0</v>
      </c>
      <c r="C5825" s="44">
        <v>3200</v>
      </c>
      <c r="D5825" t="s">
        <v>291</v>
      </c>
      <c r="E5825" t="s">
        <v>699</v>
      </c>
      <c r="F5825">
        <v>4</v>
      </c>
    </row>
    <row r="5826" spans="1:6" ht="13.2">
      <c r="A5826" t="s">
        <v>6781</v>
      </c>
      <c r="B5826">
        <v>0</v>
      </c>
      <c r="C5826" s="44">
        <v>3200</v>
      </c>
      <c r="D5826" t="s">
        <v>291</v>
      </c>
      <c r="E5826" t="s">
        <v>699</v>
      </c>
      <c r="F5826">
        <v>4</v>
      </c>
    </row>
    <row r="5827" spans="1:6" ht="13.2">
      <c r="A5827" t="s">
        <v>6782</v>
      </c>
      <c r="B5827">
        <v>0</v>
      </c>
      <c r="C5827" s="44">
        <v>3200</v>
      </c>
      <c r="D5827" t="s">
        <v>291</v>
      </c>
      <c r="E5827" t="s">
        <v>699</v>
      </c>
      <c r="F5827">
        <v>4</v>
      </c>
    </row>
    <row r="5828" spans="1:6" ht="13.2">
      <c r="A5828" t="s">
        <v>6783</v>
      </c>
      <c r="B5828">
        <v>0</v>
      </c>
      <c r="C5828" s="44">
        <v>3200</v>
      </c>
      <c r="D5828" t="s">
        <v>291</v>
      </c>
      <c r="E5828" t="s">
        <v>699</v>
      </c>
      <c r="F5828">
        <v>4</v>
      </c>
    </row>
    <row r="5829" spans="1:6" ht="13.2">
      <c r="A5829" t="s">
        <v>6784</v>
      </c>
      <c r="B5829">
        <v>0</v>
      </c>
      <c r="C5829" s="44">
        <v>3200</v>
      </c>
      <c r="D5829" t="s">
        <v>291</v>
      </c>
      <c r="E5829" t="s">
        <v>699</v>
      </c>
      <c r="F5829">
        <v>4</v>
      </c>
    </row>
    <row r="5830" spans="1:6" ht="13.2">
      <c r="A5830" t="s">
        <v>6785</v>
      </c>
      <c r="B5830">
        <v>0</v>
      </c>
      <c r="C5830" s="44">
        <v>3200</v>
      </c>
      <c r="D5830" t="s">
        <v>291</v>
      </c>
      <c r="E5830" t="s">
        <v>699</v>
      </c>
      <c r="F5830">
        <v>4</v>
      </c>
    </row>
    <row r="5831" spans="1:5" ht="13.2">
      <c r="A5831" t="s">
        <v>6786</v>
      </c>
      <c r="B5831">
        <v>230</v>
      </c>
      <c r="C5831" s="44">
        <v>1440</v>
      </c>
      <c r="D5831" t="s">
        <v>291</v>
      </c>
      <c r="E5831" t="s">
        <v>257</v>
      </c>
    </row>
    <row r="5832" spans="1:5" ht="13.2">
      <c r="A5832" t="s">
        <v>6787</v>
      </c>
      <c r="B5832">
        <v>230</v>
      </c>
      <c r="C5832" s="44">
        <v>1440</v>
      </c>
      <c r="D5832" t="s">
        <v>291</v>
      </c>
      <c r="E5832" t="s">
        <v>257</v>
      </c>
    </row>
    <row r="5833" spans="1:5" ht="13.2">
      <c r="A5833" t="s">
        <v>6788</v>
      </c>
      <c r="B5833">
        <v>230</v>
      </c>
      <c r="C5833" s="44">
        <v>1440</v>
      </c>
      <c r="D5833" t="s">
        <v>291</v>
      </c>
      <c r="E5833" t="s">
        <v>257</v>
      </c>
    </row>
    <row r="5834" spans="1:5" ht="13.2">
      <c r="A5834" t="s">
        <v>6789</v>
      </c>
      <c r="B5834">
        <v>230</v>
      </c>
      <c r="C5834" s="44">
        <v>1440</v>
      </c>
      <c r="D5834" t="s">
        <v>291</v>
      </c>
      <c r="E5834" t="s">
        <v>257</v>
      </c>
    </row>
    <row r="5835" spans="1:5" ht="13.2">
      <c r="A5835" t="s">
        <v>6790</v>
      </c>
      <c r="B5835">
        <v>230</v>
      </c>
      <c r="C5835" s="44">
        <v>1440</v>
      </c>
      <c r="D5835" t="s">
        <v>291</v>
      </c>
      <c r="E5835" t="s">
        <v>257</v>
      </c>
    </row>
    <row r="5836" spans="1:5" ht="13.2">
      <c r="A5836" t="s">
        <v>6791</v>
      </c>
      <c r="B5836">
        <v>170</v>
      </c>
      <c r="C5836" s="44">
        <v>1440</v>
      </c>
      <c r="D5836" t="s">
        <v>291</v>
      </c>
      <c r="E5836" t="s">
        <v>257</v>
      </c>
    </row>
    <row r="5837" spans="1:5" ht="13.2">
      <c r="A5837" t="s">
        <v>6792</v>
      </c>
      <c r="B5837">
        <v>170</v>
      </c>
      <c r="C5837" s="44">
        <v>1440</v>
      </c>
      <c r="D5837" t="s">
        <v>291</v>
      </c>
      <c r="E5837" t="s">
        <v>257</v>
      </c>
    </row>
    <row r="5838" spans="1:5" ht="13.2">
      <c r="A5838" t="s">
        <v>6793</v>
      </c>
      <c r="B5838">
        <v>170</v>
      </c>
      <c r="C5838" s="44">
        <v>1440</v>
      </c>
      <c r="D5838" t="s">
        <v>291</v>
      </c>
      <c r="E5838" t="s">
        <v>257</v>
      </c>
    </row>
    <row r="5839" spans="1:5" ht="13.2">
      <c r="A5839" t="s">
        <v>6794</v>
      </c>
      <c r="B5839">
        <v>170</v>
      </c>
      <c r="C5839" s="44">
        <v>1440</v>
      </c>
      <c r="D5839" t="s">
        <v>291</v>
      </c>
      <c r="E5839" t="s">
        <v>257</v>
      </c>
    </row>
    <row r="5840" spans="1:5" ht="13.2">
      <c r="A5840" t="s">
        <v>6795</v>
      </c>
      <c r="B5840">
        <v>170</v>
      </c>
      <c r="C5840" s="44">
        <v>1440</v>
      </c>
      <c r="D5840" t="s">
        <v>291</v>
      </c>
      <c r="E5840" t="s">
        <v>257</v>
      </c>
    </row>
    <row r="5841" spans="1:5" ht="13.2">
      <c r="A5841" t="s">
        <v>6796</v>
      </c>
      <c r="B5841">
        <v>775</v>
      </c>
      <c r="C5841" s="44">
        <v>1410</v>
      </c>
      <c r="D5841" t="s">
        <v>291</v>
      </c>
      <c r="E5841" t="s">
        <v>6797</v>
      </c>
    </row>
    <row r="5842" spans="1:5" ht="13.2">
      <c r="A5842" t="s">
        <v>6798</v>
      </c>
      <c r="B5842">
        <v>775</v>
      </c>
      <c r="C5842" s="44">
        <v>1410</v>
      </c>
      <c r="D5842" t="s">
        <v>291</v>
      </c>
      <c r="E5842" t="s">
        <v>6797</v>
      </c>
    </row>
    <row r="5843" spans="1:5" ht="13.2">
      <c r="A5843" t="s">
        <v>6799</v>
      </c>
      <c r="B5843">
        <v>775</v>
      </c>
      <c r="C5843" s="44">
        <v>1410</v>
      </c>
      <c r="D5843" t="s">
        <v>291</v>
      </c>
      <c r="E5843" t="s">
        <v>6797</v>
      </c>
    </row>
    <row r="5844" spans="1:5" ht="13.2">
      <c r="A5844" t="s">
        <v>6800</v>
      </c>
      <c r="B5844">
        <v>775</v>
      </c>
      <c r="C5844" s="44">
        <v>1410</v>
      </c>
      <c r="D5844" t="s">
        <v>291</v>
      </c>
      <c r="E5844" t="s">
        <v>6797</v>
      </c>
    </row>
    <row r="5845" spans="1:5" ht="13.2">
      <c r="A5845" t="s">
        <v>6801</v>
      </c>
      <c r="B5845">
        <v>775</v>
      </c>
      <c r="C5845" s="44">
        <v>1410</v>
      </c>
      <c r="D5845" t="s">
        <v>291</v>
      </c>
      <c r="E5845" t="s">
        <v>6797</v>
      </c>
    </row>
    <row r="5846" spans="1:5" ht="13.2">
      <c r="A5846" t="s">
        <v>6802</v>
      </c>
      <c r="B5846">
        <v>950</v>
      </c>
      <c r="C5846" s="44">
        <v>1370</v>
      </c>
      <c r="D5846" t="s">
        <v>291</v>
      </c>
      <c r="E5846" t="s">
        <v>6803</v>
      </c>
    </row>
    <row r="5847" spans="1:5" ht="13.2">
      <c r="A5847" t="s">
        <v>6804</v>
      </c>
      <c r="B5847">
        <v>950</v>
      </c>
      <c r="C5847" s="44">
        <v>1370</v>
      </c>
      <c r="D5847" t="s">
        <v>291</v>
      </c>
      <c r="E5847" t="s">
        <v>6803</v>
      </c>
    </row>
    <row r="5848" spans="1:5" ht="13.2">
      <c r="A5848" t="s">
        <v>6805</v>
      </c>
      <c r="B5848">
        <v>950</v>
      </c>
      <c r="C5848" s="44">
        <v>1370</v>
      </c>
      <c r="D5848" t="s">
        <v>291</v>
      </c>
      <c r="E5848" t="s">
        <v>6803</v>
      </c>
    </row>
    <row r="5849" spans="1:5" ht="13.2">
      <c r="A5849" t="s">
        <v>6806</v>
      </c>
      <c r="B5849">
        <v>950</v>
      </c>
      <c r="C5849" s="44">
        <v>1370</v>
      </c>
      <c r="D5849" t="s">
        <v>291</v>
      </c>
      <c r="E5849" t="s">
        <v>6803</v>
      </c>
    </row>
    <row r="5850" spans="1:5" ht="13.2">
      <c r="A5850" t="s">
        <v>6807</v>
      </c>
      <c r="B5850">
        <v>950</v>
      </c>
      <c r="C5850" s="44">
        <v>1370</v>
      </c>
      <c r="D5850" t="s">
        <v>291</v>
      </c>
      <c r="E5850" t="s">
        <v>6803</v>
      </c>
    </row>
    <row r="5851" spans="1:5" ht="13.2">
      <c r="A5851" t="s">
        <v>6808</v>
      </c>
      <c r="B5851">
        <v>950</v>
      </c>
      <c r="C5851" s="44">
        <v>1370</v>
      </c>
      <c r="D5851" t="s">
        <v>291</v>
      </c>
      <c r="E5851" t="s">
        <v>6803</v>
      </c>
    </row>
    <row r="5852" spans="1:5" ht="13.2">
      <c r="A5852" t="s">
        <v>6809</v>
      </c>
      <c r="B5852">
        <v>950</v>
      </c>
      <c r="C5852" s="44">
        <v>1370</v>
      </c>
      <c r="D5852" t="s">
        <v>291</v>
      </c>
      <c r="E5852" t="s">
        <v>6803</v>
      </c>
    </row>
    <row r="5853" spans="1:5" ht="13.2">
      <c r="A5853" t="s">
        <v>6810</v>
      </c>
      <c r="B5853">
        <v>950</v>
      </c>
      <c r="C5853" s="44">
        <v>1370</v>
      </c>
      <c r="D5853" t="s">
        <v>291</v>
      </c>
      <c r="E5853" t="s">
        <v>6803</v>
      </c>
    </row>
    <row r="5854" spans="1:5" ht="13.2">
      <c r="A5854" t="s">
        <v>6811</v>
      </c>
      <c r="B5854">
        <v>950</v>
      </c>
      <c r="C5854" s="44">
        <v>1370</v>
      </c>
      <c r="D5854" t="s">
        <v>291</v>
      </c>
      <c r="E5854" t="s">
        <v>6803</v>
      </c>
    </row>
    <row r="5855" spans="1:5" ht="13.2">
      <c r="A5855" t="s">
        <v>6812</v>
      </c>
      <c r="B5855">
        <v>950</v>
      </c>
      <c r="C5855" s="44">
        <v>1370</v>
      </c>
      <c r="D5855" t="s">
        <v>291</v>
      </c>
      <c r="E5855" t="s">
        <v>6803</v>
      </c>
    </row>
    <row r="5856" spans="1:5" ht="13.2">
      <c r="A5856" t="s">
        <v>6813</v>
      </c>
      <c r="B5856">
        <v>633</v>
      </c>
      <c r="C5856" s="44">
        <v>1370</v>
      </c>
      <c r="D5856" t="s">
        <v>291</v>
      </c>
      <c r="E5856" t="s">
        <v>6803</v>
      </c>
    </row>
    <row r="5857" spans="1:5" ht="13.2">
      <c r="A5857" t="s">
        <v>6814</v>
      </c>
      <c r="B5857">
        <v>633</v>
      </c>
      <c r="C5857" s="44">
        <v>1370</v>
      </c>
      <c r="D5857" t="s">
        <v>291</v>
      </c>
      <c r="E5857" t="s">
        <v>6803</v>
      </c>
    </row>
    <row r="5858" spans="1:5" ht="13.2">
      <c r="A5858" t="s">
        <v>6815</v>
      </c>
      <c r="B5858">
        <v>633</v>
      </c>
      <c r="C5858" s="44">
        <v>1370</v>
      </c>
      <c r="D5858" t="s">
        <v>291</v>
      </c>
      <c r="E5858" t="s">
        <v>6803</v>
      </c>
    </row>
    <row r="5859" spans="1:5" ht="13.2">
      <c r="A5859" t="s">
        <v>6816</v>
      </c>
      <c r="B5859">
        <v>633</v>
      </c>
      <c r="C5859" s="44">
        <v>1370</v>
      </c>
      <c r="D5859" t="s">
        <v>291</v>
      </c>
      <c r="E5859" t="s">
        <v>6803</v>
      </c>
    </row>
    <row r="5860" spans="1:5" ht="13.2">
      <c r="A5860" t="s">
        <v>6817</v>
      </c>
      <c r="B5860">
        <v>633</v>
      </c>
      <c r="C5860" s="44">
        <v>1370</v>
      </c>
      <c r="D5860" t="s">
        <v>291</v>
      </c>
      <c r="E5860" t="s">
        <v>6803</v>
      </c>
    </row>
    <row r="5861" spans="1:5" ht="13.2">
      <c r="A5861" t="s">
        <v>6818</v>
      </c>
      <c r="B5861">
        <v>633</v>
      </c>
      <c r="C5861" s="44">
        <v>1370</v>
      </c>
      <c r="D5861" t="s">
        <v>291</v>
      </c>
      <c r="E5861" t="s">
        <v>6803</v>
      </c>
    </row>
    <row r="5862" spans="1:5" ht="13.2">
      <c r="A5862" t="s">
        <v>6819</v>
      </c>
      <c r="B5862">
        <v>633</v>
      </c>
      <c r="C5862" s="44">
        <v>1370</v>
      </c>
      <c r="D5862" t="s">
        <v>291</v>
      </c>
      <c r="E5862" t="s">
        <v>6803</v>
      </c>
    </row>
    <row r="5863" spans="1:5" ht="13.2">
      <c r="A5863" t="s">
        <v>6820</v>
      </c>
      <c r="B5863">
        <v>633</v>
      </c>
      <c r="C5863" s="44">
        <v>1370</v>
      </c>
      <c r="D5863" t="s">
        <v>291</v>
      </c>
      <c r="E5863" t="s">
        <v>6803</v>
      </c>
    </row>
    <row r="5864" spans="1:5" ht="13.2">
      <c r="A5864" t="s">
        <v>6821</v>
      </c>
      <c r="B5864">
        <v>633</v>
      </c>
      <c r="C5864" s="44">
        <v>1370</v>
      </c>
      <c r="D5864" t="s">
        <v>291</v>
      </c>
      <c r="E5864" t="s">
        <v>6803</v>
      </c>
    </row>
    <row r="5865" spans="1:5" ht="13.2">
      <c r="A5865" t="s">
        <v>6822</v>
      </c>
      <c r="B5865">
        <v>633</v>
      </c>
      <c r="C5865" s="44">
        <v>1370</v>
      </c>
      <c r="D5865" t="s">
        <v>291</v>
      </c>
      <c r="E5865" t="s">
        <v>6803</v>
      </c>
    </row>
    <row r="5866" spans="1:5" ht="13.2">
      <c r="A5866" t="s">
        <v>6823</v>
      </c>
      <c r="B5866">
        <v>0</v>
      </c>
      <c r="C5866" s="44">
        <v>1860</v>
      </c>
      <c r="D5866" t="s">
        <v>291</v>
      </c>
      <c r="E5866" t="s">
        <v>6824</v>
      </c>
    </row>
    <row r="5867" spans="1:5" ht="13.2">
      <c r="A5867" t="s">
        <v>6825</v>
      </c>
      <c r="B5867">
        <v>0</v>
      </c>
      <c r="C5867" s="44">
        <v>1860</v>
      </c>
      <c r="D5867" t="s">
        <v>291</v>
      </c>
      <c r="E5867" t="s">
        <v>6824</v>
      </c>
    </row>
    <row r="5868" spans="1:5" ht="13.2">
      <c r="A5868" t="s">
        <v>6826</v>
      </c>
      <c r="B5868">
        <v>0</v>
      </c>
      <c r="C5868" s="44">
        <v>1860</v>
      </c>
      <c r="D5868" t="s">
        <v>291</v>
      </c>
      <c r="E5868" t="s">
        <v>6824</v>
      </c>
    </row>
    <row r="5869" spans="1:5" ht="13.2">
      <c r="A5869" t="s">
        <v>6827</v>
      </c>
      <c r="B5869">
        <v>0</v>
      </c>
      <c r="C5869" s="44">
        <v>1860</v>
      </c>
      <c r="D5869" t="s">
        <v>291</v>
      </c>
      <c r="E5869" t="s">
        <v>6824</v>
      </c>
    </row>
    <row r="5870" spans="1:5" ht="13.2">
      <c r="A5870" t="s">
        <v>6828</v>
      </c>
      <c r="B5870">
        <v>0</v>
      </c>
      <c r="C5870" s="44">
        <v>1860</v>
      </c>
      <c r="D5870" t="s">
        <v>291</v>
      </c>
      <c r="E5870" t="s">
        <v>6824</v>
      </c>
    </row>
    <row r="5871" spans="1:5" ht="13.2">
      <c r="A5871" t="s">
        <v>6829</v>
      </c>
      <c r="B5871">
        <v>0</v>
      </c>
      <c r="C5871" s="44">
        <v>1860</v>
      </c>
      <c r="D5871" t="s">
        <v>291</v>
      </c>
      <c r="E5871" t="s">
        <v>6824</v>
      </c>
    </row>
    <row r="5872" spans="1:5" ht="13.2">
      <c r="A5872" t="s">
        <v>6830</v>
      </c>
      <c r="B5872">
        <v>0</v>
      </c>
      <c r="C5872" s="44">
        <v>1860</v>
      </c>
      <c r="D5872" t="s">
        <v>291</v>
      </c>
      <c r="E5872" t="s">
        <v>6824</v>
      </c>
    </row>
    <row r="5873" spans="1:5" ht="13.2">
      <c r="A5873" t="s">
        <v>6831</v>
      </c>
      <c r="B5873">
        <v>0</v>
      </c>
      <c r="C5873" s="44">
        <v>1860</v>
      </c>
      <c r="D5873" t="s">
        <v>291</v>
      </c>
      <c r="E5873" t="s">
        <v>6824</v>
      </c>
    </row>
    <row r="5874" spans="1:5" ht="13.2">
      <c r="A5874" t="s">
        <v>6832</v>
      </c>
      <c r="B5874">
        <v>0</v>
      </c>
      <c r="C5874" s="44">
        <v>1860</v>
      </c>
      <c r="D5874" t="s">
        <v>291</v>
      </c>
      <c r="E5874" t="s">
        <v>6824</v>
      </c>
    </row>
    <row r="5875" spans="1:5" ht="13.2">
      <c r="A5875" t="s">
        <v>6833</v>
      </c>
      <c r="B5875">
        <v>0</v>
      </c>
      <c r="C5875" s="44">
        <v>1860</v>
      </c>
      <c r="D5875" t="s">
        <v>291</v>
      </c>
      <c r="E5875" t="s">
        <v>6824</v>
      </c>
    </row>
    <row r="5876" spans="1:5" ht="13.2">
      <c r="A5876" t="s">
        <v>6834</v>
      </c>
      <c r="B5876">
        <v>0</v>
      </c>
      <c r="C5876" s="44">
        <v>1860</v>
      </c>
      <c r="D5876" t="s">
        <v>291</v>
      </c>
      <c r="E5876" t="s">
        <v>6824</v>
      </c>
    </row>
    <row r="5877" spans="1:5" ht="13.2">
      <c r="A5877" t="s">
        <v>6835</v>
      </c>
      <c r="B5877">
        <v>0</v>
      </c>
      <c r="C5877" s="44">
        <v>1860</v>
      </c>
      <c r="D5877" t="s">
        <v>291</v>
      </c>
      <c r="E5877" t="s">
        <v>6824</v>
      </c>
    </row>
    <row r="5878" spans="1:5" ht="13.2">
      <c r="A5878" t="s">
        <v>6836</v>
      </c>
      <c r="B5878">
        <v>0</v>
      </c>
      <c r="C5878" s="44">
        <v>1860</v>
      </c>
      <c r="D5878" t="s">
        <v>291</v>
      </c>
      <c r="E5878" t="s">
        <v>6824</v>
      </c>
    </row>
    <row r="5879" spans="1:5" ht="13.2">
      <c r="A5879" t="s">
        <v>6837</v>
      </c>
      <c r="B5879">
        <v>0</v>
      </c>
      <c r="C5879" s="44">
        <v>1860</v>
      </c>
      <c r="D5879" t="s">
        <v>291</v>
      </c>
      <c r="E5879" t="s">
        <v>6824</v>
      </c>
    </row>
    <row r="5880" spans="1:5" ht="13.2">
      <c r="A5880" t="s">
        <v>6838</v>
      </c>
      <c r="B5880">
        <v>0</v>
      </c>
      <c r="C5880" s="44">
        <v>1860</v>
      </c>
      <c r="D5880" t="s">
        <v>291</v>
      </c>
      <c r="E5880" t="s">
        <v>6824</v>
      </c>
    </row>
    <row r="5881" spans="1:5" ht="13.2">
      <c r="A5881" t="s">
        <v>6839</v>
      </c>
      <c r="B5881">
        <v>0</v>
      </c>
      <c r="C5881" s="44">
        <v>1860</v>
      </c>
      <c r="D5881" t="s">
        <v>291</v>
      </c>
      <c r="E5881" t="s">
        <v>6824</v>
      </c>
    </row>
    <row r="5882" spans="1:5" ht="13.2">
      <c r="A5882" t="s">
        <v>6840</v>
      </c>
      <c r="B5882">
        <v>0</v>
      </c>
      <c r="C5882" s="44">
        <v>1860</v>
      </c>
      <c r="D5882" t="s">
        <v>291</v>
      </c>
      <c r="E5882" t="s">
        <v>6824</v>
      </c>
    </row>
    <row r="5883" spans="1:5" ht="13.2">
      <c r="A5883" t="s">
        <v>6841</v>
      </c>
      <c r="B5883">
        <v>0</v>
      </c>
      <c r="C5883" s="44">
        <v>1860</v>
      </c>
      <c r="D5883" t="s">
        <v>291</v>
      </c>
      <c r="E5883" t="s">
        <v>6824</v>
      </c>
    </row>
    <row r="5884" spans="1:5" ht="13.2">
      <c r="A5884" t="s">
        <v>6842</v>
      </c>
      <c r="B5884">
        <v>1410</v>
      </c>
      <c r="C5884" s="44">
        <v>1410</v>
      </c>
      <c r="D5884" t="s">
        <v>291</v>
      </c>
      <c r="E5884" t="s">
        <v>6797</v>
      </c>
    </row>
    <row r="5885" spans="1:6" ht="13.2">
      <c r="A5885" t="s">
        <v>6843</v>
      </c>
      <c r="B5885">
        <v>0</v>
      </c>
      <c r="C5885" s="44">
        <v>3000</v>
      </c>
      <c r="D5885" t="s">
        <v>293</v>
      </c>
      <c r="E5885" t="s">
        <v>657</v>
      </c>
      <c r="F5885">
        <v>4</v>
      </c>
    </row>
    <row r="5886" spans="1:6" ht="13.2">
      <c r="A5886" t="s">
        <v>6844</v>
      </c>
      <c r="B5886">
        <v>0</v>
      </c>
      <c r="C5886" s="44">
        <v>3000</v>
      </c>
      <c r="D5886" t="s">
        <v>293</v>
      </c>
      <c r="E5886" t="s">
        <v>657</v>
      </c>
      <c r="F5886">
        <v>4</v>
      </c>
    </row>
    <row r="5887" spans="1:6" ht="13.2">
      <c r="A5887" t="s">
        <v>6845</v>
      </c>
      <c r="B5887">
        <v>0</v>
      </c>
      <c r="C5887" s="44">
        <v>3000</v>
      </c>
      <c r="D5887" t="s">
        <v>293</v>
      </c>
      <c r="E5887" t="s">
        <v>657</v>
      </c>
      <c r="F5887">
        <v>4</v>
      </c>
    </row>
    <row r="5888" spans="1:6" ht="13.2">
      <c r="A5888" t="s">
        <v>6846</v>
      </c>
      <c r="B5888">
        <v>0</v>
      </c>
      <c r="C5888" s="44">
        <v>3000</v>
      </c>
      <c r="D5888" t="s">
        <v>293</v>
      </c>
      <c r="E5888" t="s">
        <v>657</v>
      </c>
      <c r="F5888">
        <v>4</v>
      </c>
    </row>
    <row r="5889" spans="1:6" ht="13.2">
      <c r="A5889" t="s">
        <v>6847</v>
      </c>
      <c r="B5889">
        <v>0</v>
      </c>
      <c r="C5889" s="44">
        <v>3000</v>
      </c>
      <c r="D5889" t="s">
        <v>293</v>
      </c>
      <c r="E5889" t="s">
        <v>657</v>
      </c>
      <c r="F5889">
        <v>4</v>
      </c>
    </row>
    <row r="5890" spans="1:6" ht="13.2">
      <c r="A5890" t="s">
        <v>6848</v>
      </c>
      <c r="B5890">
        <v>0</v>
      </c>
      <c r="C5890" s="44">
        <v>3000</v>
      </c>
      <c r="D5890" t="s">
        <v>293</v>
      </c>
      <c r="E5890" t="s">
        <v>657</v>
      </c>
      <c r="F5890">
        <v>4</v>
      </c>
    </row>
    <row r="5891" spans="1:6" ht="13.2">
      <c r="A5891" t="s">
        <v>6849</v>
      </c>
      <c r="B5891">
        <v>0</v>
      </c>
      <c r="C5891" s="44">
        <v>3000</v>
      </c>
      <c r="D5891" t="s">
        <v>293</v>
      </c>
      <c r="E5891" t="s">
        <v>657</v>
      </c>
      <c r="F5891">
        <v>4</v>
      </c>
    </row>
    <row r="5892" spans="1:6" ht="13.2">
      <c r="A5892" t="s">
        <v>6850</v>
      </c>
      <c r="B5892">
        <v>0</v>
      </c>
      <c r="C5892" s="44">
        <v>3000</v>
      </c>
      <c r="D5892" t="s">
        <v>293</v>
      </c>
      <c r="E5892" t="s">
        <v>657</v>
      </c>
      <c r="F5892">
        <v>4</v>
      </c>
    </row>
    <row r="5893" spans="1:6" ht="13.2">
      <c r="A5893" t="s">
        <v>6851</v>
      </c>
      <c r="B5893">
        <v>0</v>
      </c>
      <c r="C5893" s="44">
        <v>3000</v>
      </c>
      <c r="D5893" t="s">
        <v>293</v>
      </c>
      <c r="E5893" t="s">
        <v>657</v>
      </c>
      <c r="F5893">
        <v>4</v>
      </c>
    </row>
    <row r="5894" spans="1:6" ht="13.2">
      <c r="A5894" t="s">
        <v>6852</v>
      </c>
      <c r="B5894">
        <v>0</v>
      </c>
      <c r="C5894" s="44">
        <v>3000</v>
      </c>
      <c r="D5894" t="s">
        <v>293</v>
      </c>
      <c r="E5894" t="s">
        <v>657</v>
      </c>
      <c r="F5894">
        <v>4</v>
      </c>
    </row>
    <row r="5895" spans="1:6" ht="13.2">
      <c r="A5895" t="s">
        <v>6853</v>
      </c>
      <c r="B5895">
        <v>0</v>
      </c>
      <c r="C5895" s="44">
        <v>3000</v>
      </c>
      <c r="D5895" t="s">
        <v>293</v>
      </c>
      <c r="E5895" t="s">
        <v>657</v>
      </c>
      <c r="F5895">
        <v>4</v>
      </c>
    </row>
    <row r="5896" spans="1:6" ht="13.2">
      <c r="A5896" t="s">
        <v>6854</v>
      </c>
      <c r="B5896">
        <v>0</v>
      </c>
      <c r="C5896" s="44">
        <v>3000</v>
      </c>
      <c r="D5896" t="s">
        <v>293</v>
      </c>
      <c r="E5896" t="s">
        <v>657</v>
      </c>
      <c r="F5896">
        <v>4</v>
      </c>
    </row>
    <row r="5897" spans="1:6" ht="13.2">
      <c r="A5897" t="s">
        <v>6855</v>
      </c>
      <c r="B5897">
        <v>0</v>
      </c>
      <c r="C5897" s="44">
        <v>3000</v>
      </c>
      <c r="D5897" t="s">
        <v>293</v>
      </c>
      <c r="E5897" t="s">
        <v>657</v>
      </c>
      <c r="F5897">
        <v>4</v>
      </c>
    </row>
    <row r="5898" spans="1:6" ht="13.2">
      <c r="A5898" t="s">
        <v>6856</v>
      </c>
      <c r="B5898">
        <v>0</v>
      </c>
      <c r="C5898" s="44">
        <v>3000</v>
      </c>
      <c r="D5898" t="s">
        <v>293</v>
      </c>
      <c r="E5898" t="s">
        <v>657</v>
      </c>
      <c r="F5898">
        <v>4</v>
      </c>
    </row>
    <row r="5899" spans="1:6" ht="13.2">
      <c r="A5899" t="s">
        <v>6857</v>
      </c>
      <c r="B5899">
        <v>0</v>
      </c>
      <c r="C5899" s="44">
        <v>3000</v>
      </c>
      <c r="D5899" t="s">
        <v>293</v>
      </c>
      <c r="E5899" t="s">
        <v>657</v>
      </c>
      <c r="F5899">
        <v>4</v>
      </c>
    </row>
    <row r="5900" spans="1:6" ht="13.2">
      <c r="A5900" t="s">
        <v>6858</v>
      </c>
      <c r="B5900">
        <v>0</v>
      </c>
      <c r="C5900" s="44">
        <v>3000</v>
      </c>
      <c r="D5900" t="s">
        <v>291</v>
      </c>
      <c r="E5900" t="s">
        <v>657</v>
      </c>
      <c r="F5900">
        <v>4</v>
      </c>
    </row>
    <row r="5901" spans="1:6" ht="13.2">
      <c r="A5901" t="s">
        <v>6859</v>
      </c>
      <c r="B5901">
        <v>0</v>
      </c>
      <c r="C5901" s="44">
        <v>3000</v>
      </c>
      <c r="D5901" t="s">
        <v>291</v>
      </c>
      <c r="E5901" t="s">
        <v>657</v>
      </c>
      <c r="F5901">
        <v>4</v>
      </c>
    </row>
    <row r="5902" spans="1:6" ht="13.2">
      <c r="A5902" t="s">
        <v>6860</v>
      </c>
      <c r="B5902">
        <v>0</v>
      </c>
      <c r="C5902" s="44">
        <v>3000</v>
      </c>
      <c r="D5902" t="s">
        <v>291</v>
      </c>
      <c r="E5902" t="s">
        <v>657</v>
      </c>
      <c r="F5902">
        <v>4</v>
      </c>
    </row>
    <row r="5903" spans="1:6" ht="13.2">
      <c r="A5903" t="s">
        <v>6861</v>
      </c>
      <c r="B5903">
        <v>0</v>
      </c>
      <c r="C5903" s="44">
        <v>3000</v>
      </c>
      <c r="D5903" t="s">
        <v>291</v>
      </c>
      <c r="E5903" t="s">
        <v>657</v>
      </c>
      <c r="F5903">
        <v>4</v>
      </c>
    </row>
    <row r="5904" spans="1:6" ht="13.2">
      <c r="A5904" t="s">
        <v>6862</v>
      </c>
      <c r="B5904">
        <v>0</v>
      </c>
      <c r="C5904" s="44">
        <v>3000</v>
      </c>
      <c r="D5904" t="s">
        <v>291</v>
      </c>
      <c r="E5904" t="s">
        <v>657</v>
      </c>
      <c r="F5904">
        <v>4</v>
      </c>
    </row>
    <row r="5905" spans="1:6" ht="13.2">
      <c r="A5905" t="s">
        <v>6863</v>
      </c>
      <c r="B5905">
        <v>0</v>
      </c>
      <c r="C5905" s="44">
        <v>3000</v>
      </c>
      <c r="D5905" t="s">
        <v>291</v>
      </c>
      <c r="E5905" t="s">
        <v>657</v>
      </c>
      <c r="F5905">
        <v>4</v>
      </c>
    </row>
    <row r="5906" spans="1:6" ht="13.2">
      <c r="A5906" t="s">
        <v>6864</v>
      </c>
      <c r="B5906">
        <v>0</v>
      </c>
      <c r="C5906" s="44">
        <v>3000</v>
      </c>
      <c r="D5906" t="s">
        <v>291</v>
      </c>
      <c r="E5906" t="s">
        <v>657</v>
      </c>
      <c r="F5906">
        <v>4</v>
      </c>
    </row>
    <row r="5907" spans="1:6" ht="13.2">
      <c r="A5907" t="s">
        <v>6865</v>
      </c>
      <c r="B5907">
        <v>0</v>
      </c>
      <c r="C5907" s="44">
        <v>3000</v>
      </c>
      <c r="D5907" t="s">
        <v>291</v>
      </c>
      <c r="E5907" t="s">
        <v>657</v>
      </c>
      <c r="F5907">
        <v>4</v>
      </c>
    </row>
    <row r="5908" spans="1:6" ht="13.2">
      <c r="A5908" t="s">
        <v>6866</v>
      </c>
      <c r="B5908">
        <v>0</v>
      </c>
      <c r="C5908" s="44">
        <v>3000</v>
      </c>
      <c r="D5908" t="s">
        <v>291</v>
      </c>
      <c r="E5908" t="s">
        <v>657</v>
      </c>
      <c r="F5908">
        <v>4</v>
      </c>
    </row>
    <row r="5909" spans="1:6" ht="13.2">
      <c r="A5909" t="s">
        <v>6867</v>
      </c>
      <c r="B5909">
        <v>0</v>
      </c>
      <c r="C5909" s="44">
        <v>3000</v>
      </c>
      <c r="D5909" t="s">
        <v>291</v>
      </c>
      <c r="E5909" t="s">
        <v>657</v>
      </c>
      <c r="F5909">
        <v>4</v>
      </c>
    </row>
    <row r="5910" spans="1:6" ht="13.2">
      <c r="A5910" t="s">
        <v>6868</v>
      </c>
      <c r="B5910">
        <v>0</v>
      </c>
      <c r="C5910" s="44">
        <v>3000</v>
      </c>
      <c r="D5910" t="s">
        <v>291</v>
      </c>
      <c r="E5910" t="s">
        <v>657</v>
      </c>
      <c r="F5910">
        <v>4</v>
      </c>
    </row>
    <row r="5911" spans="1:6" ht="13.2">
      <c r="A5911" t="s">
        <v>6869</v>
      </c>
      <c r="B5911">
        <v>0</v>
      </c>
      <c r="C5911" s="44">
        <v>3000</v>
      </c>
      <c r="D5911" t="s">
        <v>291</v>
      </c>
      <c r="E5911" t="s">
        <v>657</v>
      </c>
      <c r="F5911">
        <v>4</v>
      </c>
    </row>
    <row r="5912" spans="1:6" ht="13.2">
      <c r="A5912" t="s">
        <v>6870</v>
      </c>
      <c r="B5912">
        <v>0</v>
      </c>
      <c r="C5912" s="44">
        <v>3000</v>
      </c>
      <c r="D5912" t="s">
        <v>291</v>
      </c>
      <c r="E5912" t="s">
        <v>657</v>
      </c>
      <c r="F5912">
        <v>4</v>
      </c>
    </row>
    <row r="5913" spans="1:6" ht="13.2">
      <c r="A5913" t="s">
        <v>6871</v>
      </c>
      <c r="B5913">
        <v>0</v>
      </c>
      <c r="C5913" s="44">
        <v>3000</v>
      </c>
      <c r="D5913" t="s">
        <v>291</v>
      </c>
      <c r="E5913" t="s">
        <v>657</v>
      </c>
      <c r="F5913">
        <v>4</v>
      </c>
    </row>
    <row r="5914" spans="1:6" ht="13.2">
      <c r="A5914" t="s">
        <v>6872</v>
      </c>
      <c r="B5914">
        <v>0</v>
      </c>
      <c r="C5914" s="44">
        <v>3000</v>
      </c>
      <c r="D5914" t="s">
        <v>291</v>
      </c>
      <c r="E5914" t="s">
        <v>657</v>
      </c>
      <c r="F5914">
        <v>4</v>
      </c>
    </row>
    <row r="5915" spans="1:6" ht="13.2">
      <c r="A5915" t="s">
        <v>6873</v>
      </c>
      <c r="B5915">
        <v>0</v>
      </c>
      <c r="C5915" s="44">
        <v>3200</v>
      </c>
      <c r="D5915" t="s">
        <v>293</v>
      </c>
      <c r="E5915" t="s">
        <v>5182</v>
      </c>
      <c r="F5915">
        <v>11</v>
      </c>
    </row>
    <row r="5916" spans="1:6" ht="13.2">
      <c r="A5916" t="s">
        <v>6874</v>
      </c>
      <c r="B5916">
        <v>0</v>
      </c>
      <c r="C5916" s="44">
        <v>3200</v>
      </c>
      <c r="D5916" t="s">
        <v>293</v>
      </c>
      <c r="E5916" t="s">
        <v>5182</v>
      </c>
      <c r="F5916">
        <v>11</v>
      </c>
    </row>
    <row r="5917" spans="1:6" ht="13.2">
      <c r="A5917" t="s">
        <v>6875</v>
      </c>
      <c r="B5917">
        <v>0</v>
      </c>
      <c r="C5917" s="44">
        <v>3200</v>
      </c>
      <c r="D5917" t="s">
        <v>293</v>
      </c>
      <c r="E5917" t="s">
        <v>5182</v>
      </c>
      <c r="F5917">
        <v>11</v>
      </c>
    </row>
    <row r="5918" spans="1:6" ht="13.2">
      <c r="A5918" t="s">
        <v>6876</v>
      </c>
      <c r="B5918">
        <v>0</v>
      </c>
      <c r="C5918" s="44">
        <v>3200</v>
      </c>
      <c r="D5918" t="s">
        <v>293</v>
      </c>
      <c r="E5918" t="s">
        <v>5182</v>
      </c>
      <c r="F5918">
        <v>11</v>
      </c>
    </row>
    <row r="5919" spans="1:6" ht="13.2">
      <c r="A5919" t="s">
        <v>6877</v>
      </c>
      <c r="B5919">
        <v>0</v>
      </c>
      <c r="C5919" s="44">
        <v>3200</v>
      </c>
      <c r="D5919" t="s">
        <v>293</v>
      </c>
      <c r="E5919" t="s">
        <v>5182</v>
      </c>
      <c r="F5919">
        <v>11</v>
      </c>
    </row>
    <row r="5920" spans="1:6" ht="13.2">
      <c r="A5920" t="s">
        <v>6878</v>
      </c>
      <c r="B5920">
        <v>0</v>
      </c>
      <c r="C5920" s="44">
        <v>3200</v>
      </c>
      <c r="D5920" t="s">
        <v>293</v>
      </c>
      <c r="E5920" t="s">
        <v>5182</v>
      </c>
      <c r="F5920">
        <v>11</v>
      </c>
    </row>
    <row r="5921" spans="1:6" ht="13.2">
      <c r="A5921" t="s">
        <v>6879</v>
      </c>
      <c r="B5921">
        <v>0</v>
      </c>
      <c r="C5921" s="44">
        <v>3200</v>
      </c>
      <c r="D5921" t="s">
        <v>293</v>
      </c>
      <c r="E5921" t="s">
        <v>5182</v>
      </c>
      <c r="F5921">
        <v>11</v>
      </c>
    </row>
    <row r="5922" spans="1:6" ht="13.2">
      <c r="A5922" t="s">
        <v>6880</v>
      </c>
      <c r="B5922">
        <v>0</v>
      </c>
      <c r="C5922" s="44">
        <v>3200</v>
      </c>
      <c r="D5922" t="s">
        <v>293</v>
      </c>
      <c r="E5922" t="s">
        <v>5182</v>
      </c>
      <c r="F5922">
        <v>11</v>
      </c>
    </row>
    <row r="5923" spans="1:6" ht="13.2">
      <c r="A5923" t="s">
        <v>6881</v>
      </c>
      <c r="B5923">
        <v>0</v>
      </c>
      <c r="C5923" s="44">
        <v>3200</v>
      </c>
      <c r="D5923" t="s">
        <v>293</v>
      </c>
      <c r="E5923" t="s">
        <v>5182</v>
      </c>
      <c r="F5923">
        <v>11</v>
      </c>
    </row>
    <row r="5924" spans="1:6" ht="13.2">
      <c r="A5924" t="s">
        <v>6882</v>
      </c>
      <c r="B5924">
        <v>0</v>
      </c>
      <c r="C5924" s="44">
        <v>3200</v>
      </c>
      <c r="D5924" t="s">
        <v>293</v>
      </c>
      <c r="E5924" t="s">
        <v>5182</v>
      </c>
      <c r="F5924">
        <v>11</v>
      </c>
    </row>
    <row r="5925" spans="1:6" ht="13.2">
      <c r="A5925" t="s">
        <v>6883</v>
      </c>
      <c r="B5925">
        <v>0</v>
      </c>
      <c r="C5925" s="44">
        <v>3200</v>
      </c>
      <c r="D5925" t="s">
        <v>293</v>
      </c>
      <c r="E5925" t="s">
        <v>5182</v>
      </c>
      <c r="F5925">
        <v>11</v>
      </c>
    </row>
    <row r="5926" spans="1:6" ht="13.2">
      <c r="A5926" t="s">
        <v>6884</v>
      </c>
      <c r="B5926">
        <v>0</v>
      </c>
      <c r="C5926" s="44">
        <v>3200</v>
      </c>
      <c r="D5926" t="s">
        <v>293</v>
      </c>
      <c r="E5926" t="s">
        <v>5182</v>
      </c>
      <c r="F5926">
        <v>11</v>
      </c>
    </row>
    <row r="5927" spans="1:6" ht="13.2">
      <c r="A5927" t="s">
        <v>6885</v>
      </c>
      <c r="B5927">
        <v>0</v>
      </c>
      <c r="C5927" s="44">
        <v>3200</v>
      </c>
      <c r="D5927" t="s">
        <v>293</v>
      </c>
      <c r="E5927" t="s">
        <v>5182</v>
      </c>
      <c r="F5927">
        <v>11</v>
      </c>
    </row>
    <row r="5928" spans="1:6" ht="13.2">
      <c r="A5928" t="s">
        <v>6886</v>
      </c>
      <c r="B5928">
        <v>0</v>
      </c>
      <c r="C5928" s="44">
        <v>3200</v>
      </c>
      <c r="D5928" t="s">
        <v>293</v>
      </c>
      <c r="E5928" t="s">
        <v>5182</v>
      </c>
      <c r="F5928">
        <v>11</v>
      </c>
    </row>
    <row r="5929" spans="1:6" ht="13.2">
      <c r="A5929" t="s">
        <v>6887</v>
      </c>
      <c r="B5929">
        <v>0</v>
      </c>
      <c r="C5929" s="44">
        <v>3200</v>
      </c>
      <c r="D5929" t="s">
        <v>293</v>
      </c>
      <c r="E5929" t="s">
        <v>256</v>
      </c>
      <c r="F5929">
        <v>4</v>
      </c>
    </row>
    <row r="5930" spans="1:6" ht="13.2">
      <c r="A5930" t="s">
        <v>6888</v>
      </c>
      <c r="B5930">
        <v>0</v>
      </c>
      <c r="C5930" s="44">
        <v>3200</v>
      </c>
      <c r="D5930" t="s">
        <v>293</v>
      </c>
      <c r="E5930" t="s">
        <v>256</v>
      </c>
      <c r="F5930">
        <v>4</v>
      </c>
    </row>
    <row r="5931" spans="1:6" ht="13.2">
      <c r="A5931" t="s">
        <v>6889</v>
      </c>
      <c r="B5931">
        <v>0</v>
      </c>
      <c r="C5931" s="44">
        <v>3200</v>
      </c>
      <c r="D5931" t="s">
        <v>293</v>
      </c>
      <c r="E5931" t="s">
        <v>256</v>
      </c>
      <c r="F5931">
        <v>4</v>
      </c>
    </row>
    <row r="5932" spans="1:6" ht="13.2">
      <c r="A5932" t="s">
        <v>6890</v>
      </c>
      <c r="B5932">
        <v>0</v>
      </c>
      <c r="C5932" s="44">
        <v>3200</v>
      </c>
      <c r="D5932" t="s">
        <v>293</v>
      </c>
      <c r="E5932" t="s">
        <v>256</v>
      </c>
      <c r="F5932">
        <v>4</v>
      </c>
    </row>
    <row r="5933" spans="1:6" ht="13.2">
      <c r="A5933" t="s">
        <v>6891</v>
      </c>
      <c r="B5933">
        <v>0</v>
      </c>
      <c r="C5933" s="44">
        <v>3200</v>
      </c>
      <c r="D5933" t="s">
        <v>293</v>
      </c>
      <c r="E5933" t="s">
        <v>256</v>
      </c>
      <c r="F5933">
        <v>4</v>
      </c>
    </row>
    <row r="5934" spans="1:6" ht="13.2">
      <c r="A5934" t="s">
        <v>6892</v>
      </c>
      <c r="B5934">
        <v>0</v>
      </c>
      <c r="C5934" s="44">
        <v>3200</v>
      </c>
      <c r="D5934" t="s">
        <v>293</v>
      </c>
      <c r="E5934" t="s">
        <v>256</v>
      </c>
      <c r="F5934">
        <v>4</v>
      </c>
    </row>
    <row r="5935" spans="1:6" ht="13.2">
      <c r="A5935" t="s">
        <v>6893</v>
      </c>
      <c r="B5935">
        <v>0</v>
      </c>
      <c r="C5935" s="44">
        <v>3200</v>
      </c>
      <c r="D5935" t="s">
        <v>293</v>
      </c>
      <c r="E5935" t="s">
        <v>256</v>
      </c>
      <c r="F5935">
        <v>4</v>
      </c>
    </row>
    <row r="5936" spans="1:6" ht="13.2">
      <c r="A5936" t="s">
        <v>6894</v>
      </c>
      <c r="B5936">
        <v>0</v>
      </c>
      <c r="C5936" s="44">
        <v>3200</v>
      </c>
      <c r="D5936" t="s">
        <v>293</v>
      </c>
      <c r="E5936" t="s">
        <v>256</v>
      </c>
      <c r="F5936">
        <v>4</v>
      </c>
    </row>
    <row r="5937" spans="1:6" ht="13.2">
      <c r="A5937" t="s">
        <v>6895</v>
      </c>
      <c r="B5937">
        <v>0</v>
      </c>
      <c r="C5937" s="44">
        <v>3200</v>
      </c>
      <c r="D5937" t="s">
        <v>293</v>
      </c>
      <c r="E5937" t="s">
        <v>256</v>
      </c>
      <c r="F5937">
        <v>4</v>
      </c>
    </row>
    <row r="5938" spans="1:6" ht="13.2">
      <c r="A5938" t="s">
        <v>6896</v>
      </c>
      <c r="B5938">
        <v>0</v>
      </c>
      <c r="C5938" s="44">
        <v>3200</v>
      </c>
      <c r="D5938" t="s">
        <v>293</v>
      </c>
      <c r="E5938" t="s">
        <v>256</v>
      </c>
      <c r="F5938">
        <v>4</v>
      </c>
    </row>
    <row r="5939" spans="1:6" ht="13.2">
      <c r="A5939" t="s">
        <v>6897</v>
      </c>
      <c r="B5939">
        <v>0</v>
      </c>
      <c r="C5939" s="44">
        <v>3200</v>
      </c>
      <c r="D5939" t="s">
        <v>293</v>
      </c>
      <c r="E5939" t="s">
        <v>256</v>
      </c>
      <c r="F5939">
        <v>4</v>
      </c>
    </row>
    <row r="5940" spans="1:6" ht="13.2">
      <c r="A5940" t="s">
        <v>6898</v>
      </c>
      <c r="B5940">
        <v>0</v>
      </c>
      <c r="C5940" s="44">
        <v>3200</v>
      </c>
      <c r="D5940" t="s">
        <v>293</v>
      </c>
      <c r="E5940" t="s">
        <v>256</v>
      </c>
      <c r="F5940">
        <v>4</v>
      </c>
    </row>
    <row r="5941" spans="1:6" ht="13.2">
      <c r="A5941" t="s">
        <v>6899</v>
      </c>
      <c r="B5941">
        <v>0</v>
      </c>
      <c r="C5941" s="44">
        <v>3200</v>
      </c>
      <c r="D5941" t="s">
        <v>293</v>
      </c>
      <c r="E5941" t="s">
        <v>256</v>
      </c>
      <c r="F5941">
        <v>4</v>
      </c>
    </row>
    <row r="5942" spans="1:6" ht="13.2">
      <c r="A5942" t="s">
        <v>6900</v>
      </c>
      <c r="B5942">
        <v>0</v>
      </c>
      <c r="C5942" s="44">
        <v>3200</v>
      </c>
      <c r="D5942" t="s">
        <v>293</v>
      </c>
      <c r="E5942" t="s">
        <v>256</v>
      </c>
      <c r="F5942">
        <v>4</v>
      </c>
    </row>
    <row r="5943" spans="1:6" ht="13.2">
      <c r="A5943" t="s">
        <v>6901</v>
      </c>
      <c r="B5943">
        <v>0</v>
      </c>
      <c r="C5943" s="44">
        <v>1480</v>
      </c>
      <c r="D5943" t="s">
        <v>291</v>
      </c>
      <c r="E5943" t="s">
        <v>256</v>
      </c>
      <c r="F5943">
        <v>4</v>
      </c>
    </row>
    <row r="5944" spans="1:6" ht="13.2">
      <c r="A5944" t="s">
        <v>6902</v>
      </c>
      <c r="B5944">
        <v>0</v>
      </c>
      <c r="C5944" s="44">
        <v>1480</v>
      </c>
      <c r="D5944" t="s">
        <v>291</v>
      </c>
      <c r="E5944" t="s">
        <v>256</v>
      </c>
      <c r="F5944">
        <v>4</v>
      </c>
    </row>
    <row r="5945" spans="1:6" ht="13.2">
      <c r="A5945" t="s">
        <v>6903</v>
      </c>
      <c r="B5945">
        <v>0</v>
      </c>
      <c r="C5945" s="44">
        <v>1480</v>
      </c>
      <c r="D5945" t="s">
        <v>291</v>
      </c>
      <c r="E5945" t="s">
        <v>256</v>
      </c>
      <c r="F5945">
        <v>4</v>
      </c>
    </row>
    <row r="5946" spans="1:6" ht="13.2">
      <c r="A5946" t="s">
        <v>6904</v>
      </c>
      <c r="B5946">
        <v>0</v>
      </c>
      <c r="C5946" s="44">
        <v>1480</v>
      </c>
      <c r="D5946" t="s">
        <v>291</v>
      </c>
      <c r="E5946" t="s">
        <v>256</v>
      </c>
      <c r="F5946">
        <v>4</v>
      </c>
    </row>
    <row r="5947" spans="1:6" ht="13.2">
      <c r="A5947" t="s">
        <v>6905</v>
      </c>
      <c r="B5947">
        <v>0</v>
      </c>
      <c r="C5947" s="44">
        <v>1480</v>
      </c>
      <c r="D5947" t="s">
        <v>291</v>
      </c>
      <c r="E5947" t="s">
        <v>256</v>
      </c>
      <c r="F5947">
        <v>4</v>
      </c>
    </row>
    <row r="5948" spans="1:6" ht="13.2">
      <c r="A5948" t="s">
        <v>6906</v>
      </c>
      <c r="B5948">
        <v>0</v>
      </c>
      <c r="C5948" s="44">
        <v>1480</v>
      </c>
      <c r="D5948" t="s">
        <v>291</v>
      </c>
      <c r="E5948" t="s">
        <v>256</v>
      </c>
      <c r="F5948">
        <v>4</v>
      </c>
    </row>
    <row r="5949" spans="1:6" ht="13.2">
      <c r="A5949" t="s">
        <v>6907</v>
      </c>
      <c r="B5949">
        <v>0</v>
      </c>
      <c r="C5949" s="44">
        <v>1480</v>
      </c>
      <c r="D5949" t="s">
        <v>291</v>
      </c>
      <c r="E5949" t="s">
        <v>256</v>
      </c>
      <c r="F5949">
        <v>4</v>
      </c>
    </row>
    <row r="5950" spans="1:6" ht="13.2">
      <c r="A5950" t="s">
        <v>6908</v>
      </c>
      <c r="B5950">
        <v>0</v>
      </c>
      <c r="C5950" s="44">
        <v>1480</v>
      </c>
      <c r="D5950" t="s">
        <v>291</v>
      </c>
      <c r="E5950" t="s">
        <v>256</v>
      </c>
      <c r="F5950">
        <v>4</v>
      </c>
    </row>
    <row r="5951" spans="1:6" ht="13.2">
      <c r="A5951" t="s">
        <v>6909</v>
      </c>
      <c r="B5951">
        <v>0</v>
      </c>
      <c r="C5951" s="44">
        <v>1480</v>
      </c>
      <c r="D5951" t="s">
        <v>291</v>
      </c>
      <c r="E5951" t="s">
        <v>256</v>
      </c>
      <c r="F5951">
        <v>4</v>
      </c>
    </row>
    <row r="5952" spans="1:6" ht="13.2">
      <c r="A5952" t="s">
        <v>6910</v>
      </c>
      <c r="B5952">
        <v>0</v>
      </c>
      <c r="C5952" s="44">
        <v>1480</v>
      </c>
      <c r="D5952" t="s">
        <v>291</v>
      </c>
      <c r="E5952" t="s">
        <v>256</v>
      </c>
      <c r="F5952">
        <v>4</v>
      </c>
    </row>
    <row r="5953" spans="1:6" ht="13.2">
      <c r="A5953" t="s">
        <v>6911</v>
      </c>
      <c r="B5953">
        <v>0</v>
      </c>
      <c r="C5953" s="44">
        <v>1480</v>
      </c>
      <c r="D5953" t="s">
        <v>291</v>
      </c>
      <c r="E5953" t="s">
        <v>256</v>
      </c>
      <c r="F5953">
        <v>4</v>
      </c>
    </row>
    <row r="5954" spans="1:6" ht="13.2">
      <c r="A5954" t="s">
        <v>6912</v>
      </c>
      <c r="B5954">
        <v>0</v>
      </c>
      <c r="C5954" s="44">
        <v>1480</v>
      </c>
      <c r="D5954" t="s">
        <v>291</v>
      </c>
      <c r="E5954" t="s">
        <v>256</v>
      </c>
      <c r="F5954">
        <v>4</v>
      </c>
    </row>
    <row r="5955" spans="1:6" ht="13.2">
      <c r="A5955" t="s">
        <v>6913</v>
      </c>
      <c r="B5955">
        <v>0</v>
      </c>
      <c r="C5955" s="44">
        <v>1480</v>
      </c>
      <c r="D5955" t="s">
        <v>291</v>
      </c>
      <c r="E5955" t="s">
        <v>256</v>
      </c>
      <c r="F5955">
        <v>4</v>
      </c>
    </row>
    <row r="5956" spans="1:6" ht="13.2">
      <c r="A5956" t="s">
        <v>6914</v>
      </c>
      <c r="B5956">
        <v>0</v>
      </c>
      <c r="C5956" s="44">
        <v>1480</v>
      </c>
      <c r="D5956" t="s">
        <v>291</v>
      </c>
      <c r="E5956" t="s">
        <v>256</v>
      </c>
      <c r="F5956">
        <v>4</v>
      </c>
    </row>
    <row r="5957" spans="1:6" ht="13.2">
      <c r="A5957" t="s">
        <v>6915</v>
      </c>
      <c r="B5957">
        <v>0</v>
      </c>
      <c r="C5957" s="44">
        <v>1480</v>
      </c>
      <c r="D5957" t="s">
        <v>291</v>
      </c>
      <c r="E5957" t="s">
        <v>256</v>
      </c>
      <c r="F5957">
        <v>4</v>
      </c>
    </row>
    <row r="5958" spans="1:6" ht="13.2">
      <c r="A5958" t="s">
        <v>6916</v>
      </c>
      <c r="B5958">
        <v>0</v>
      </c>
      <c r="C5958" s="44">
        <v>1480</v>
      </c>
      <c r="D5958" t="s">
        <v>291</v>
      </c>
      <c r="E5958" t="s">
        <v>256</v>
      </c>
      <c r="F5958">
        <v>4</v>
      </c>
    </row>
    <row r="5959" spans="1:6" ht="13.2">
      <c r="A5959" t="s">
        <v>6917</v>
      </c>
      <c r="B5959">
        <v>0</v>
      </c>
      <c r="C5959" s="44">
        <v>1480</v>
      </c>
      <c r="D5959" t="s">
        <v>291</v>
      </c>
      <c r="E5959" t="s">
        <v>256</v>
      </c>
      <c r="F5959">
        <v>4</v>
      </c>
    </row>
    <row r="5960" spans="1:6" ht="13.2">
      <c r="A5960" t="s">
        <v>6918</v>
      </c>
      <c r="B5960">
        <v>0</v>
      </c>
      <c r="C5960" s="44">
        <v>1480</v>
      </c>
      <c r="D5960" t="s">
        <v>291</v>
      </c>
      <c r="E5960" t="s">
        <v>256</v>
      </c>
      <c r="F5960">
        <v>4</v>
      </c>
    </row>
    <row r="5961" spans="1:6" ht="13.2">
      <c r="A5961" t="s">
        <v>6919</v>
      </c>
      <c r="B5961">
        <v>0</v>
      </c>
      <c r="C5961" s="44">
        <v>1480</v>
      </c>
      <c r="D5961" t="s">
        <v>291</v>
      </c>
      <c r="E5961" t="s">
        <v>256</v>
      </c>
      <c r="F5961">
        <v>4</v>
      </c>
    </row>
    <row r="5962" spans="1:6" ht="13.2">
      <c r="A5962" t="s">
        <v>6920</v>
      </c>
      <c r="B5962">
        <v>0</v>
      </c>
      <c r="C5962" s="44">
        <v>1480</v>
      </c>
      <c r="D5962" t="s">
        <v>291</v>
      </c>
      <c r="E5962" t="s">
        <v>256</v>
      </c>
      <c r="F5962">
        <v>4</v>
      </c>
    </row>
    <row r="5963" spans="1:6" ht="13.2">
      <c r="A5963" t="s">
        <v>6921</v>
      </c>
      <c r="B5963">
        <v>0</v>
      </c>
      <c r="C5963" s="44">
        <v>1480</v>
      </c>
      <c r="D5963" t="s">
        <v>291</v>
      </c>
      <c r="E5963" t="s">
        <v>256</v>
      </c>
      <c r="F5963">
        <v>4</v>
      </c>
    </row>
    <row r="5964" spans="1:6" ht="13.2">
      <c r="A5964" t="s">
        <v>6922</v>
      </c>
      <c r="B5964">
        <v>0</v>
      </c>
      <c r="C5964" s="44">
        <v>1480</v>
      </c>
      <c r="D5964" t="s">
        <v>291</v>
      </c>
      <c r="E5964" t="s">
        <v>256</v>
      </c>
      <c r="F5964">
        <v>4</v>
      </c>
    </row>
    <row r="5965" spans="1:6" ht="13.2">
      <c r="A5965" t="s">
        <v>6923</v>
      </c>
      <c r="B5965">
        <v>0</v>
      </c>
      <c r="C5965" s="44">
        <v>1480</v>
      </c>
      <c r="D5965" t="s">
        <v>291</v>
      </c>
      <c r="E5965" t="s">
        <v>256</v>
      </c>
      <c r="F5965">
        <v>4</v>
      </c>
    </row>
    <row r="5966" spans="1:6" ht="13.2">
      <c r="A5966" t="s">
        <v>6924</v>
      </c>
      <c r="B5966">
        <v>0</v>
      </c>
      <c r="C5966" s="44">
        <v>1480</v>
      </c>
      <c r="D5966" t="s">
        <v>291</v>
      </c>
      <c r="E5966" t="s">
        <v>256</v>
      </c>
      <c r="F5966">
        <v>4</v>
      </c>
    </row>
    <row r="5967" spans="1:6" ht="13.2">
      <c r="A5967" t="s">
        <v>6925</v>
      </c>
      <c r="B5967">
        <v>0</v>
      </c>
      <c r="C5967" s="44">
        <v>1480</v>
      </c>
      <c r="D5967" t="s">
        <v>291</v>
      </c>
      <c r="E5967" t="s">
        <v>256</v>
      </c>
      <c r="F5967">
        <v>4</v>
      </c>
    </row>
    <row r="5968" spans="1:6" ht="13.2">
      <c r="A5968" t="s">
        <v>6926</v>
      </c>
      <c r="B5968">
        <v>0</v>
      </c>
      <c r="C5968" s="44">
        <v>1480</v>
      </c>
      <c r="D5968" t="s">
        <v>291</v>
      </c>
      <c r="E5968" t="s">
        <v>256</v>
      </c>
      <c r="F5968">
        <v>4</v>
      </c>
    </row>
    <row r="5969" spans="1:6" ht="13.2">
      <c r="A5969" t="s">
        <v>6927</v>
      </c>
      <c r="B5969">
        <v>0</v>
      </c>
      <c r="C5969" s="44">
        <v>1480</v>
      </c>
      <c r="D5969" t="s">
        <v>291</v>
      </c>
      <c r="E5969" t="s">
        <v>256</v>
      </c>
      <c r="F5969">
        <v>4</v>
      </c>
    </row>
    <row r="5970" spans="1:6" ht="13.2">
      <c r="A5970" t="s">
        <v>6928</v>
      </c>
      <c r="B5970">
        <v>0</v>
      </c>
      <c r="C5970" s="44">
        <v>1480</v>
      </c>
      <c r="D5970" t="s">
        <v>291</v>
      </c>
      <c r="E5970" t="s">
        <v>256</v>
      </c>
      <c r="F5970">
        <v>4</v>
      </c>
    </row>
    <row r="5971" spans="1:6" ht="13.2">
      <c r="A5971" t="s">
        <v>6929</v>
      </c>
      <c r="B5971">
        <v>0</v>
      </c>
      <c r="C5971" s="44">
        <v>1480</v>
      </c>
      <c r="D5971" t="s">
        <v>291</v>
      </c>
      <c r="E5971" t="s">
        <v>256</v>
      </c>
      <c r="F5971">
        <v>4</v>
      </c>
    </row>
    <row r="5972" spans="1:6" ht="13.2">
      <c r="A5972" t="s">
        <v>6930</v>
      </c>
      <c r="B5972">
        <v>0</v>
      </c>
      <c r="C5972" s="44">
        <v>1480</v>
      </c>
      <c r="D5972" t="s">
        <v>291</v>
      </c>
      <c r="E5972" t="s">
        <v>256</v>
      </c>
      <c r="F5972">
        <v>4</v>
      </c>
    </row>
    <row r="5973" spans="1:6" ht="13.2">
      <c r="A5973" t="s">
        <v>6931</v>
      </c>
      <c r="B5973">
        <v>0</v>
      </c>
      <c r="C5973" s="44">
        <v>1480</v>
      </c>
      <c r="D5973" t="s">
        <v>291</v>
      </c>
      <c r="E5973" t="s">
        <v>256</v>
      </c>
      <c r="F5973">
        <v>4</v>
      </c>
    </row>
    <row r="5974" spans="1:5" ht="13.2">
      <c r="A5974" t="s">
        <v>6933</v>
      </c>
      <c r="B5974">
        <v>0</v>
      </c>
      <c r="C5974" s="44">
        <v>1400</v>
      </c>
      <c r="D5974" t="s">
        <v>291</v>
      </c>
      <c r="E5974" t="s">
        <v>6934</v>
      </c>
    </row>
    <row r="5975" spans="1:5" ht="13.2">
      <c r="A5975" t="s">
        <v>6935</v>
      </c>
      <c r="B5975">
        <v>0</v>
      </c>
      <c r="C5975" s="44">
        <v>1400</v>
      </c>
      <c r="D5975" t="s">
        <v>291</v>
      </c>
      <c r="E5975" t="s">
        <v>6934</v>
      </c>
    </row>
    <row r="5976" spans="1:5" ht="13.2">
      <c r="A5976" t="s">
        <v>6936</v>
      </c>
      <c r="B5976">
        <v>0</v>
      </c>
      <c r="C5976" s="44">
        <v>1400</v>
      </c>
      <c r="D5976" t="s">
        <v>291</v>
      </c>
      <c r="E5976" t="s">
        <v>6934</v>
      </c>
    </row>
    <row r="5977" spans="1:5" ht="13.2">
      <c r="A5977" t="s">
        <v>6937</v>
      </c>
      <c r="B5977">
        <v>0</v>
      </c>
      <c r="C5977" s="44">
        <v>1400</v>
      </c>
      <c r="D5977" t="s">
        <v>291</v>
      </c>
      <c r="E5977" t="s">
        <v>6934</v>
      </c>
    </row>
    <row r="5978" spans="1:5" ht="13.2">
      <c r="A5978" t="s">
        <v>6938</v>
      </c>
      <c r="B5978">
        <v>0</v>
      </c>
      <c r="C5978" s="44">
        <v>1400</v>
      </c>
      <c r="D5978" t="s">
        <v>291</v>
      </c>
      <c r="E5978" t="s">
        <v>6934</v>
      </c>
    </row>
    <row r="5979" spans="1:5" ht="13.2">
      <c r="A5979" t="s">
        <v>6939</v>
      </c>
      <c r="B5979">
        <v>0</v>
      </c>
      <c r="C5979" s="44">
        <v>1400</v>
      </c>
      <c r="D5979" t="s">
        <v>291</v>
      </c>
      <c r="E5979" t="s">
        <v>6934</v>
      </c>
    </row>
    <row r="5980" spans="1:5" ht="13.2">
      <c r="A5980" t="s">
        <v>6940</v>
      </c>
      <c r="B5980">
        <v>0</v>
      </c>
      <c r="C5980" s="44">
        <v>1400</v>
      </c>
      <c r="D5980" t="s">
        <v>291</v>
      </c>
      <c r="E5980" t="s">
        <v>6934</v>
      </c>
    </row>
    <row r="5981" spans="1:5" ht="13.2">
      <c r="A5981" t="s">
        <v>6941</v>
      </c>
      <c r="B5981">
        <v>0</v>
      </c>
      <c r="C5981" s="44">
        <v>1400</v>
      </c>
      <c r="D5981" t="s">
        <v>291</v>
      </c>
      <c r="E5981" t="s">
        <v>6934</v>
      </c>
    </row>
    <row r="5982" spans="1:5" ht="13.2">
      <c r="A5982" t="s">
        <v>6942</v>
      </c>
      <c r="B5982">
        <v>0</v>
      </c>
      <c r="C5982" s="44">
        <v>1400</v>
      </c>
      <c r="D5982" t="s">
        <v>291</v>
      </c>
      <c r="E5982" t="s">
        <v>6934</v>
      </c>
    </row>
    <row r="5983" spans="1:5" ht="13.2">
      <c r="A5983" t="s">
        <v>6943</v>
      </c>
      <c r="B5983">
        <v>0</v>
      </c>
      <c r="C5983" s="44">
        <v>1400</v>
      </c>
      <c r="D5983" t="s">
        <v>291</v>
      </c>
      <c r="E5983" t="s">
        <v>6934</v>
      </c>
    </row>
    <row r="5984" spans="1:5" ht="13.2">
      <c r="A5984" t="s">
        <v>6944</v>
      </c>
      <c r="B5984">
        <v>0</v>
      </c>
      <c r="C5984" s="44">
        <v>1400</v>
      </c>
      <c r="D5984" t="s">
        <v>291</v>
      </c>
      <c r="E5984" t="s">
        <v>6934</v>
      </c>
    </row>
    <row r="5985" spans="1:5" ht="13.2">
      <c r="A5985" t="s">
        <v>6945</v>
      </c>
      <c r="B5985">
        <v>0</v>
      </c>
      <c r="C5985" s="44">
        <v>1400</v>
      </c>
      <c r="D5985" t="s">
        <v>291</v>
      </c>
      <c r="E5985" t="s">
        <v>6934</v>
      </c>
    </row>
    <row r="5986" spans="1:5" ht="13.2">
      <c r="A5986" t="s">
        <v>6946</v>
      </c>
      <c r="B5986">
        <v>0</v>
      </c>
      <c r="C5986" s="44">
        <v>1400</v>
      </c>
      <c r="D5986" t="s">
        <v>291</v>
      </c>
      <c r="E5986" t="s">
        <v>6934</v>
      </c>
    </row>
    <row r="5987" spans="1:5" ht="13.2">
      <c r="A5987" t="s">
        <v>6947</v>
      </c>
      <c r="B5987">
        <v>0</v>
      </c>
      <c r="C5987" s="44">
        <v>1400</v>
      </c>
      <c r="D5987" t="s">
        <v>291</v>
      </c>
      <c r="E5987" t="s">
        <v>6934</v>
      </c>
    </row>
    <row r="5988" spans="1:5" ht="13.2">
      <c r="A5988" t="s">
        <v>6948</v>
      </c>
      <c r="B5988">
        <v>0</v>
      </c>
      <c r="C5988" s="44">
        <v>1400</v>
      </c>
      <c r="D5988" t="s">
        <v>291</v>
      </c>
      <c r="E5988" t="s">
        <v>6934</v>
      </c>
    </row>
    <row r="5989" spans="1:5" ht="13.2">
      <c r="A5989" t="s">
        <v>6949</v>
      </c>
      <c r="B5989">
        <v>0</v>
      </c>
      <c r="C5989" s="44">
        <v>1400</v>
      </c>
      <c r="D5989" t="s">
        <v>291</v>
      </c>
      <c r="E5989" t="s">
        <v>6934</v>
      </c>
    </row>
    <row r="5990" spans="1:5" ht="13.2">
      <c r="A5990" t="s">
        <v>6950</v>
      </c>
      <c r="B5990">
        <v>0</v>
      </c>
      <c r="C5990" s="44">
        <v>1400</v>
      </c>
      <c r="D5990" t="s">
        <v>291</v>
      </c>
      <c r="E5990" t="s">
        <v>6934</v>
      </c>
    </row>
    <row r="5991" spans="1:5" ht="13.2">
      <c r="A5991" t="s">
        <v>6951</v>
      </c>
      <c r="B5991">
        <v>0</v>
      </c>
      <c r="C5991" s="44">
        <v>1400</v>
      </c>
      <c r="D5991" t="s">
        <v>291</v>
      </c>
      <c r="E5991" t="s">
        <v>6934</v>
      </c>
    </row>
    <row r="5992" spans="1:5" ht="13.2">
      <c r="A5992" t="s">
        <v>6952</v>
      </c>
      <c r="B5992">
        <v>0</v>
      </c>
      <c r="C5992" s="44">
        <v>1400</v>
      </c>
      <c r="D5992" t="s">
        <v>291</v>
      </c>
      <c r="E5992" t="s">
        <v>6934</v>
      </c>
    </row>
    <row r="5993" spans="1:5" ht="13.2">
      <c r="A5993" t="s">
        <v>6953</v>
      </c>
      <c r="B5993">
        <v>0</v>
      </c>
      <c r="C5993" s="44">
        <v>1400</v>
      </c>
      <c r="D5993" t="s">
        <v>291</v>
      </c>
      <c r="E5993" t="s">
        <v>6934</v>
      </c>
    </row>
    <row r="5994" spans="1:5" ht="13.2">
      <c r="A5994" t="s">
        <v>6954</v>
      </c>
      <c r="B5994">
        <v>0</v>
      </c>
      <c r="C5994" s="44">
        <v>1400</v>
      </c>
      <c r="D5994" t="s">
        <v>291</v>
      </c>
      <c r="E5994" t="s">
        <v>6934</v>
      </c>
    </row>
    <row r="5995" spans="1:5" ht="13.2">
      <c r="A5995" t="s">
        <v>6955</v>
      </c>
      <c r="B5995">
        <v>0</v>
      </c>
      <c r="C5995" s="44">
        <v>1400</v>
      </c>
      <c r="D5995" t="s">
        <v>291</v>
      </c>
      <c r="E5995" t="s">
        <v>6934</v>
      </c>
    </row>
    <row r="5996" spans="1:5" ht="13.2">
      <c r="A5996" t="s">
        <v>6956</v>
      </c>
      <c r="B5996">
        <v>0</v>
      </c>
      <c r="C5996" s="44">
        <v>1400</v>
      </c>
      <c r="D5996" t="s">
        <v>291</v>
      </c>
      <c r="E5996" t="s">
        <v>6934</v>
      </c>
    </row>
    <row r="5997" spans="1:5" ht="13.2">
      <c r="A5997" t="s">
        <v>6957</v>
      </c>
      <c r="B5997">
        <v>87</v>
      </c>
      <c r="C5997" s="44">
        <v>1370</v>
      </c>
      <c r="D5997" t="s">
        <v>291</v>
      </c>
      <c r="E5997" t="s">
        <v>6958</v>
      </c>
    </row>
    <row r="5998" spans="1:5" ht="13.2">
      <c r="A5998" t="s">
        <v>6959</v>
      </c>
      <c r="B5998">
        <v>87</v>
      </c>
      <c r="C5998" s="44">
        <v>1370</v>
      </c>
      <c r="D5998" t="s">
        <v>291</v>
      </c>
      <c r="E5998" t="s">
        <v>6958</v>
      </c>
    </row>
    <row r="5999" spans="1:5" ht="13.2">
      <c r="A5999" t="s">
        <v>6960</v>
      </c>
      <c r="B5999">
        <v>87</v>
      </c>
      <c r="C5999" s="44">
        <v>1370</v>
      </c>
      <c r="D5999" t="s">
        <v>291</v>
      </c>
      <c r="E5999" t="s">
        <v>6958</v>
      </c>
    </row>
    <row r="6000" spans="1:5" ht="13.2">
      <c r="A6000" t="s">
        <v>6961</v>
      </c>
      <c r="B6000">
        <v>87</v>
      </c>
      <c r="C6000" s="44">
        <v>1370</v>
      </c>
      <c r="D6000" t="s">
        <v>291</v>
      </c>
      <c r="E6000" t="s">
        <v>6958</v>
      </c>
    </row>
    <row r="6001" spans="1:5" ht="13.2">
      <c r="A6001" t="s">
        <v>6962</v>
      </c>
      <c r="B6001">
        <v>87</v>
      </c>
      <c r="C6001" s="44">
        <v>1370</v>
      </c>
      <c r="D6001" t="s">
        <v>291</v>
      </c>
      <c r="E6001" t="s">
        <v>6958</v>
      </c>
    </row>
    <row r="6002" spans="1:5" ht="13.2">
      <c r="A6002" t="s">
        <v>6963</v>
      </c>
      <c r="B6002">
        <v>87</v>
      </c>
      <c r="C6002" s="44">
        <v>1370</v>
      </c>
      <c r="D6002" t="s">
        <v>291</v>
      </c>
      <c r="E6002" t="s">
        <v>6958</v>
      </c>
    </row>
    <row r="6003" spans="1:5" ht="13.2">
      <c r="A6003" t="s">
        <v>6964</v>
      </c>
      <c r="B6003">
        <v>87</v>
      </c>
      <c r="C6003" s="44">
        <v>1370</v>
      </c>
      <c r="D6003" t="s">
        <v>291</v>
      </c>
      <c r="E6003" t="s">
        <v>6958</v>
      </c>
    </row>
    <row r="6004" spans="1:6" ht="13.2">
      <c r="A6004" t="s">
        <v>6965</v>
      </c>
      <c r="B6004">
        <v>890</v>
      </c>
      <c r="C6004" s="44">
        <v>3000</v>
      </c>
      <c r="D6004" t="s">
        <v>293</v>
      </c>
      <c r="E6004" t="s">
        <v>256</v>
      </c>
      <c r="F6004">
        <v>4</v>
      </c>
    </row>
    <row r="6005" spans="1:6" ht="13.2">
      <c r="A6005" t="s">
        <v>6966</v>
      </c>
      <c r="B6005">
        <v>890</v>
      </c>
      <c r="C6005" s="44">
        <v>3000</v>
      </c>
      <c r="D6005" t="s">
        <v>293</v>
      </c>
      <c r="E6005" t="s">
        <v>256</v>
      </c>
      <c r="F6005">
        <v>4</v>
      </c>
    </row>
    <row r="6006" spans="1:6" ht="13.2">
      <c r="A6006" t="s">
        <v>6967</v>
      </c>
      <c r="B6006">
        <v>890</v>
      </c>
      <c r="C6006" s="44">
        <v>3000</v>
      </c>
      <c r="D6006" t="s">
        <v>293</v>
      </c>
      <c r="E6006" t="s">
        <v>256</v>
      </c>
      <c r="F6006">
        <v>4</v>
      </c>
    </row>
    <row r="6007" spans="1:6" ht="13.2">
      <c r="A6007" t="s">
        <v>6968</v>
      </c>
      <c r="B6007">
        <v>890</v>
      </c>
      <c r="C6007" s="44">
        <v>3000</v>
      </c>
      <c r="D6007" t="s">
        <v>291</v>
      </c>
      <c r="E6007" t="s">
        <v>256</v>
      </c>
      <c r="F6007">
        <v>4</v>
      </c>
    </row>
    <row r="6008" spans="1:6" ht="13.2">
      <c r="A6008" t="s">
        <v>6969</v>
      </c>
      <c r="B6008">
        <v>890</v>
      </c>
      <c r="C6008" s="44">
        <v>3000</v>
      </c>
      <c r="D6008" t="s">
        <v>291</v>
      </c>
      <c r="E6008" t="s">
        <v>256</v>
      </c>
      <c r="F6008">
        <v>4</v>
      </c>
    </row>
    <row r="6009" spans="1:6" ht="13.2">
      <c r="A6009" t="s">
        <v>6970</v>
      </c>
      <c r="B6009">
        <v>890</v>
      </c>
      <c r="C6009" s="44">
        <v>3000</v>
      </c>
      <c r="D6009" t="s">
        <v>291</v>
      </c>
      <c r="E6009" t="s">
        <v>256</v>
      </c>
      <c r="F6009">
        <v>4</v>
      </c>
    </row>
    <row r="6010" spans="1:6" ht="13.2">
      <c r="A6010" t="s">
        <v>6971</v>
      </c>
      <c r="B6010">
        <v>585</v>
      </c>
      <c r="C6010" s="44">
        <v>1370</v>
      </c>
      <c r="D6010" t="s">
        <v>291</v>
      </c>
      <c r="E6010" t="s">
        <v>6972</v>
      </c>
      <c r="F6010">
        <v>2</v>
      </c>
    </row>
    <row r="6011" spans="1:6" ht="13.2">
      <c r="A6011" t="s">
        <v>6973</v>
      </c>
      <c r="B6011">
        <v>585</v>
      </c>
      <c r="C6011" s="44">
        <v>1370</v>
      </c>
      <c r="D6011" t="s">
        <v>291</v>
      </c>
      <c r="E6011" t="s">
        <v>6972</v>
      </c>
      <c r="F6011">
        <v>2</v>
      </c>
    </row>
    <row r="6012" spans="1:6" ht="13.2">
      <c r="A6012" t="s">
        <v>6974</v>
      </c>
      <c r="B6012">
        <v>585</v>
      </c>
      <c r="C6012" s="44">
        <v>1370</v>
      </c>
      <c r="D6012" t="s">
        <v>291</v>
      </c>
      <c r="E6012" t="s">
        <v>6972</v>
      </c>
      <c r="F6012">
        <v>2</v>
      </c>
    </row>
    <row r="6013" spans="1:6" ht="13.2">
      <c r="A6013" t="s">
        <v>6975</v>
      </c>
      <c r="B6013">
        <v>585</v>
      </c>
      <c r="C6013" s="44">
        <v>1370</v>
      </c>
      <c r="D6013" t="s">
        <v>291</v>
      </c>
      <c r="E6013" t="s">
        <v>6972</v>
      </c>
      <c r="F6013">
        <v>2</v>
      </c>
    </row>
    <row r="6014" spans="1:6" ht="13.2">
      <c r="A6014" t="s">
        <v>6976</v>
      </c>
      <c r="B6014">
        <v>585</v>
      </c>
      <c r="C6014" s="44">
        <v>1370</v>
      </c>
      <c r="D6014" t="s">
        <v>291</v>
      </c>
      <c r="E6014" t="s">
        <v>6972</v>
      </c>
      <c r="F6014">
        <v>2</v>
      </c>
    </row>
    <row r="6015" spans="1:6" ht="13.2">
      <c r="A6015" t="s">
        <v>6977</v>
      </c>
      <c r="B6015">
        <v>585</v>
      </c>
      <c r="C6015" s="44">
        <v>1370</v>
      </c>
      <c r="D6015" t="s">
        <v>291</v>
      </c>
      <c r="E6015" t="s">
        <v>6972</v>
      </c>
      <c r="F6015">
        <v>2</v>
      </c>
    </row>
    <row r="6016" spans="1:6" ht="13.2">
      <c r="A6016" t="s">
        <v>6978</v>
      </c>
      <c r="B6016">
        <v>0</v>
      </c>
      <c r="C6016" s="44">
        <v>1390</v>
      </c>
      <c r="D6016" t="s">
        <v>291</v>
      </c>
      <c r="E6016" t="s">
        <v>6998</v>
      </c>
      <c r="F6016">
        <v>2</v>
      </c>
    </row>
    <row r="6017" spans="1:6" ht="13.2">
      <c r="A6017" t="s">
        <v>6979</v>
      </c>
      <c r="B6017">
        <v>0</v>
      </c>
      <c r="C6017" s="44">
        <v>1390</v>
      </c>
      <c r="D6017" t="s">
        <v>291</v>
      </c>
      <c r="E6017" t="s">
        <v>6998</v>
      </c>
      <c r="F6017">
        <v>2</v>
      </c>
    </row>
    <row r="6018" spans="1:6" ht="13.2">
      <c r="A6018" t="s">
        <v>6980</v>
      </c>
      <c r="B6018">
        <v>0</v>
      </c>
      <c r="C6018" s="44">
        <v>1390</v>
      </c>
      <c r="D6018" t="s">
        <v>291</v>
      </c>
      <c r="E6018" t="s">
        <v>6998</v>
      </c>
      <c r="F6018">
        <v>2</v>
      </c>
    </row>
    <row r="6019" spans="1:6" ht="13.2">
      <c r="A6019" t="s">
        <v>6981</v>
      </c>
      <c r="B6019">
        <v>0</v>
      </c>
      <c r="C6019" s="44">
        <v>1390</v>
      </c>
      <c r="D6019" t="s">
        <v>291</v>
      </c>
      <c r="E6019" t="s">
        <v>6998</v>
      </c>
      <c r="F6019">
        <v>2</v>
      </c>
    </row>
    <row r="6020" spans="1:6" ht="13.2">
      <c r="A6020" t="s">
        <v>6982</v>
      </c>
      <c r="B6020">
        <v>0</v>
      </c>
      <c r="C6020" s="44">
        <v>1390</v>
      </c>
      <c r="D6020" t="s">
        <v>291</v>
      </c>
      <c r="E6020" t="s">
        <v>6998</v>
      </c>
      <c r="F6020">
        <v>2</v>
      </c>
    </row>
    <row r="6021" spans="1:6" ht="13.2">
      <c r="A6021" t="s">
        <v>6983</v>
      </c>
      <c r="B6021">
        <v>0</v>
      </c>
      <c r="C6021" s="44">
        <v>1390</v>
      </c>
      <c r="D6021" t="s">
        <v>291</v>
      </c>
      <c r="E6021" t="s">
        <v>6998</v>
      </c>
      <c r="F6021">
        <v>2</v>
      </c>
    </row>
    <row r="6022" spans="1:6" ht="13.2">
      <c r="A6022" t="s">
        <v>6984</v>
      </c>
      <c r="B6022">
        <v>0</v>
      </c>
      <c r="C6022" s="44">
        <v>1390</v>
      </c>
      <c r="D6022" t="s">
        <v>291</v>
      </c>
      <c r="E6022" t="s">
        <v>6998</v>
      </c>
      <c r="F6022">
        <v>2</v>
      </c>
    </row>
    <row r="6023" spans="1:6" ht="13.2">
      <c r="A6023" t="s">
        <v>6985</v>
      </c>
      <c r="B6023">
        <v>0</v>
      </c>
      <c r="C6023" s="44">
        <v>1390</v>
      </c>
      <c r="D6023" t="s">
        <v>291</v>
      </c>
      <c r="E6023" t="s">
        <v>6998</v>
      </c>
      <c r="F6023">
        <v>2</v>
      </c>
    </row>
    <row r="6024" spans="1:6" ht="13.2">
      <c r="A6024" t="s">
        <v>6986</v>
      </c>
      <c r="B6024">
        <v>0</v>
      </c>
      <c r="C6024" s="44">
        <v>1390</v>
      </c>
      <c r="D6024" t="s">
        <v>291</v>
      </c>
      <c r="E6024" t="s">
        <v>6998</v>
      </c>
      <c r="F6024">
        <v>2</v>
      </c>
    </row>
    <row r="6025" spans="1:6" ht="13.2">
      <c r="A6025" t="s">
        <v>6987</v>
      </c>
      <c r="B6025">
        <v>0</v>
      </c>
      <c r="C6025" s="44">
        <v>1390</v>
      </c>
      <c r="D6025" t="s">
        <v>291</v>
      </c>
      <c r="E6025" t="s">
        <v>6998</v>
      </c>
      <c r="F6025">
        <v>2</v>
      </c>
    </row>
    <row r="6026" spans="1:6" ht="13.2">
      <c r="A6026" t="s">
        <v>6988</v>
      </c>
      <c r="B6026">
        <v>0</v>
      </c>
      <c r="C6026" s="44">
        <v>1390</v>
      </c>
      <c r="D6026" t="s">
        <v>291</v>
      </c>
      <c r="E6026" t="s">
        <v>6998</v>
      </c>
      <c r="F6026">
        <v>2</v>
      </c>
    </row>
    <row r="6027" spans="1:6" ht="13.2">
      <c r="A6027" t="s">
        <v>6989</v>
      </c>
      <c r="B6027">
        <v>0</v>
      </c>
      <c r="C6027" s="44">
        <v>1390</v>
      </c>
      <c r="D6027" t="s">
        <v>291</v>
      </c>
      <c r="E6027" t="s">
        <v>6998</v>
      </c>
      <c r="F6027">
        <v>2</v>
      </c>
    </row>
    <row r="6028" spans="1:6" ht="13.2">
      <c r="A6028" t="s">
        <v>6990</v>
      </c>
      <c r="B6028">
        <v>0</v>
      </c>
      <c r="C6028" s="44">
        <v>1390</v>
      </c>
      <c r="D6028" t="s">
        <v>291</v>
      </c>
      <c r="E6028" t="s">
        <v>6998</v>
      </c>
      <c r="F6028">
        <v>2</v>
      </c>
    </row>
    <row r="6029" spans="1:6" ht="13.2">
      <c r="A6029" t="s">
        <v>6991</v>
      </c>
      <c r="B6029">
        <v>0</v>
      </c>
      <c r="C6029" s="44">
        <v>1390</v>
      </c>
      <c r="D6029" t="s">
        <v>291</v>
      </c>
      <c r="E6029" t="s">
        <v>6998</v>
      </c>
      <c r="F6029">
        <v>2</v>
      </c>
    </row>
    <row r="6030" spans="1:6" ht="13.2">
      <c r="A6030" t="s">
        <v>6992</v>
      </c>
      <c r="B6030">
        <v>0</v>
      </c>
      <c r="C6030" s="44">
        <v>1390</v>
      </c>
      <c r="D6030" t="s">
        <v>291</v>
      </c>
      <c r="E6030" t="s">
        <v>6998</v>
      </c>
      <c r="F6030">
        <v>2</v>
      </c>
    </row>
    <row r="6031" spans="1:6" ht="13.2">
      <c r="A6031" t="s">
        <v>6993</v>
      </c>
      <c r="B6031">
        <v>0</v>
      </c>
      <c r="C6031" s="44">
        <v>1390</v>
      </c>
      <c r="D6031" t="s">
        <v>291</v>
      </c>
      <c r="E6031" t="s">
        <v>6998</v>
      </c>
      <c r="F6031">
        <v>2</v>
      </c>
    </row>
    <row r="6032" spans="1:6" ht="13.2">
      <c r="A6032" t="s">
        <v>6994</v>
      </c>
      <c r="B6032">
        <v>0</v>
      </c>
      <c r="C6032" s="44">
        <v>1390</v>
      </c>
      <c r="D6032" t="s">
        <v>291</v>
      </c>
      <c r="E6032" t="s">
        <v>6998</v>
      </c>
      <c r="F6032">
        <v>2</v>
      </c>
    </row>
    <row r="6033" spans="1:6" ht="13.2">
      <c r="A6033" t="s">
        <v>6995</v>
      </c>
      <c r="B6033">
        <v>0</v>
      </c>
      <c r="C6033" s="44">
        <v>1390</v>
      </c>
      <c r="D6033" t="s">
        <v>291</v>
      </c>
      <c r="E6033" t="s">
        <v>6998</v>
      </c>
      <c r="F6033">
        <v>2</v>
      </c>
    </row>
    <row r="6034" spans="1:6" ht="13.2">
      <c r="A6034" t="s">
        <v>6996</v>
      </c>
      <c r="B6034">
        <v>0</v>
      </c>
      <c r="C6034" s="44">
        <v>1390</v>
      </c>
      <c r="D6034" t="s">
        <v>291</v>
      </c>
      <c r="E6034" t="s">
        <v>6998</v>
      </c>
      <c r="F6034">
        <v>2</v>
      </c>
    </row>
    <row r="6035" spans="1:6" ht="13.2">
      <c r="A6035" t="s">
        <v>6997</v>
      </c>
      <c r="B6035">
        <v>0</v>
      </c>
      <c r="C6035" s="44">
        <v>1390</v>
      </c>
      <c r="D6035" t="s">
        <v>291</v>
      </c>
      <c r="E6035" t="s">
        <v>6998</v>
      </c>
      <c r="F6035">
        <v>2</v>
      </c>
    </row>
    <row r="6036" spans="1:5" ht="13.2">
      <c r="A6036" t="s">
        <v>6999</v>
      </c>
      <c r="B6036">
        <v>200</v>
      </c>
      <c r="C6036" s="44">
        <v>1400</v>
      </c>
      <c r="D6036" t="s">
        <v>291</v>
      </c>
      <c r="E6036" t="s">
        <v>7000</v>
      </c>
    </row>
    <row r="6037" spans="1:5" ht="13.2">
      <c r="A6037" t="s">
        <v>7001</v>
      </c>
      <c r="B6037">
        <v>200</v>
      </c>
      <c r="C6037" s="44">
        <v>1400</v>
      </c>
      <c r="D6037" t="s">
        <v>291</v>
      </c>
      <c r="E6037" t="s">
        <v>7000</v>
      </c>
    </row>
    <row r="6038" spans="1:5" ht="13.2">
      <c r="A6038" t="s">
        <v>7002</v>
      </c>
      <c r="B6038">
        <v>200</v>
      </c>
      <c r="C6038" s="44">
        <v>1400</v>
      </c>
      <c r="D6038" t="s">
        <v>291</v>
      </c>
      <c r="E6038" t="s">
        <v>7000</v>
      </c>
    </row>
    <row r="6039" spans="1:5" ht="13.2">
      <c r="A6039" t="s">
        <v>7003</v>
      </c>
      <c r="B6039">
        <v>200</v>
      </c>
      <c r="C6039" s="44">
        <v>1400</v>
      </c>
      <c r="D6039" t="s">
        <v>291</v>
      </c>
      <c r="E6039" t="s">
        <v>7000</v>
      </c>
    </row>
    <row r="6040" spans="1:5" ht="13.2">
      <c r="A6040" t="s">
        <v>7004</v>
      </c>
      <c r="B6040">
        <v>200</v>
      </c>
      <c r="C6040" s="44">
        <v>1400</v>
      </c>
      <c r="D6040" t="s">
        <v>291</v>
      </c>
      <c r="E6040" t="s">
        <v>7000</v>
      </c>
    </row>
    <row r="6041" spans="1:5" ht="13.2">
      <c r="A6041" t="s">
        <v>7005</v>
      </c>
      <c r="B6041">
        <v>200</v>
      </c>
      <c r="C6041" s="44">
        <v>1400</v>
      </c>
      <c r="D6041" t="s">
        <v>291</v>
      </c>
      <c r="E6041" t="s">
        <v>7000</v>
      </c>
    </row>
    <row r="6042" spans="1:5" ht="13.2">
      <c r="A6042" t="s">
        <v>7006</v>
      </c>
      <c r="B6042">
        <v>200</v>
      </c>
      <c r="C6042" s="44">
        <v>1400</v>
      </c>
      <c r="D6042" t="s">
        <v>291</v>
      </c>
      <c r="E6042" t="s">
        <v>7000</v>
      </c>
    </row>
    <row r="6043" spans="1:5" ht="13.2">
      <c r="A6043" t="s">
        <v>7007</v>
      </c>
      <c r="B6043">
        <v>285</v>
      </c>
      <c r="C6043" s="44">
        <v>1400</v>
      </c>
      <c r="D6043" t="s">
        <v>291</v>
      </c>
      <c r="E6043" t="s">
        <v>7000</v>
      </c>
    </row>
    <row r="6044" spans="1:5" ht="13.2">
      <c r="A6044" t="s">
        <v>7008</v>
      </c>
      <c r="B6044">
        <v>285</v>
      </c>
      <c r="C6044" s="44">
        <v>1400</v>
      </c>
      <c r="D6044" t="s">
        <v>291</v>
      </c>
      <c r="E6044" t="s">
        <v>7000</v>
      </c>
    </row>
    <row r="6045" spans="1:5" ht="13.2">
      <c r="A6045" t="s">
        <v>7009</v>
      </c>
      <c r="B6045">
        <v>285</v>
      </c>
      <c r="C6045" s="44">
        <v>1400</v>
      </c>
      <c r="D6045" t="s">
        <v>291</v>
      </c>
      <c r="E6045" t="s">
        <v>7000</v>
      </c>
    </row>
    <row r="6046" spans="1:5" ht="13.2">
      <c r="A6046" t="s">
        <v>7010</v>
      </c>
      <c r="B6046">
        <v>285</v>
      </c>
      <c r="C6046" s="44">
        <v>1400</v>
      </c>
      <c r="D6046" t="s">
        <v>291</v>
      </c>
      <c r="E6046" t="s">
        <v>7000</v>
      </c>
    </row>
    <row r="6047" spans="1:5" ht="13.2">
      <c r="A6047" t="s">
        <v>7011</v>
      </c>
      <c r="B6047">
        <v>285</v>
      </c>
      <c r="C6047" s="44">
        <v>1400</v>
      </c>
      <c r="D6047" t="s">
        <v>291</v>
      </c>
      <c r="E6047" t="s">
        <v>7000</v>
      </c>
    </row>
    <row r="6048" spans="1:5" ht="13.2">
      <c r="A6048" t="s">
        <v>7012</v>
      </c>
      <c r="B6048">
        <v>285</v>
      </c>
      <c r="C6048" s="44">
        <v>1400</v>
      </c>
      <c r="D6048" t="s">
        <v>291</v>
      </c>
      <c r="E6048" t="s">
        <v>7000</v>
      </c>
    </row>
    <row r="6049" spans="1:5" ht="13.2">
      <c r="A6049" t="s">
        <v>7013</v>
      </c>
      <c r="B6049">
        <v>285</v>
      </c>
      <c r="C6049" s="44">
        <v>1400</v>
      </c>
      <c r="D6049" t="s">
        <v>291</v>
      </c>
      <c r="E6049" t="s">
        <v>7000</v>
      </c>
    </row>
    <row r="6050" spans="1:5" ht="13.2">
      <c r="A6050" t="s">
        <v>7014</v>
      </c>
      <c r="B6050">
        <v>24</v>
      </c>
      <c r="C6050" s="44">
        <v>1400</v>
      </c>
      <c r="D6050" t="s">
        <v>291</v>
      </c>
      <c r="E6050" t="s">
        <v>7000</v>
      </c>
    </row>
    <row r="6051" spans="1:5" ht="13.2">
      <c r="A6051" t="s">
        <v>7015</v>
      </c>
      <c r="B6051">
        <v>24</v>
      </c>
      <c r="C6051" s="44">
        <v>1400</v>
      </c>
      <c r="D6051" t="s">
        <v>291</v>
      </c>
      <c r="E6051" t="s">
        <v>7000</v>
      </c>
    </row>
    <row r="6052" spans="1:5" ht="13.2">
      <c r="A6052" t="s">
        <v>7016</v>
      </c>
      <c r="B6052">
        <v>24</v>
      </c>
      <c r="C6052" s="44">
        <v>1400</v>
      </c>
      <c r="D6052" t="s">
        <v>291</v>
      </c>
      <c r="E6052" t="s">
        <v>7000</v>
      </c>
    </row>
    <row r="6053" spans="1:5" ht="13.2">
      <c r="A6053" t="s">
        <v>7017</v>
      </c>
      <c r="B6053">
        <v>24</v>
      </c>
      <c r="C6053" s="44">
        <v>1400</v>
      </c>
      <c r="D6053" t="s">
        <v>291</v>
      </c>
      <c r="E6053" t="s">
        <v>7000</v>
      </c>
    </row>
    <row r="6054" spans="1:5" ht="13.2">
      <c r="A6054" t="s">
        <v>7018</v>
      </c>
      <c r="B6054">
        <v>24</v>
      </c>
      <c r="C6054" s="44">
        <v>1400</v>
      </c>
      <c r="D6054" t="s">
        <v>291</v>
      </c>
      <c r="E6054" t="s">
        <v>7000</v>
      </c>
    </row>
    <row r="6055" spans="1:5" ht="13.2">
      <c r="A6055" t="s">
        <v>7019</v>
      </c>
      <c r="B6055">
        <v>24</v>
      </c>
      <c r="C6055" s="44">
        <v>1400</v>
      </c>
      <c r="D6055" t="s">
        <v>291</v>
      </c>
      <c r="E6055" t="s">
        <v>7000</v>
      </c>
    </row>
    <row r="6056" spans="1:5" ht="13.2">
      <c r="A6056" t="s">
        <v>7020</v>
      </c>
      <c r="B6056">
        <v>24</v>
      </c>
      <c r="C6056" s="44">
        <v>1400</v>
      </c>
      <c r="D6056" t="s">
        <v>291</v>
      </c>
      <c r="E6056" t="s">
        <v>7000</v>
      </c>
    </row>
    <row r="6057" spans="1:5" ht="13.2">
      <c r="A6057" t="s">
        <v>7021</v>
      </c>
      <c r="B6057">
        <v>0</v>
      </c>
      <c r="C6057" s="44">
        <v>1400</v>
      </c>
      <c r="D6057" t="s">
        <v>291</v>
      </c>
      <c r="E6057" t="s">
        <v>7000</v>
      </c>
    </row>
    <row r="6058" spans="1:5" ht="13.2">
      <c r="A6058" t="s">
        <v>7022</v>
      </c>
      <c r="B6058">
        <v>0</v>
      </c>
      <c r="C6058" s="44">
        <v>1400</v>
      </c>
      <c r="D6058" t="s">
        <v>291</v>
      </c>
      <c r="E6058" t="s">
        <v>7000</v>
      </c>
    </row>
    <row r="6059" spans="1:5" ht="13.2">
      <c r="A6059" t="s">
        <v>7023</v>
      </c>
      <c r="B6059">
        <v>0</v>
      </c>
      <c r="C6059" s="44">
        <v>1400</v>
      </c>
      <c r="D6059" t="s">
        <v>291</v>
      </c>
      <c r="E6059" t="s">
        <v>7000</v>
      </c>
    </row>
    <row r="6060" spans="1:5" ht="13.2">
      <c r="A6060" t="s">
        <v>7024</v>
      </c>
      <c r="B6060">
        <v>0</v>
      </c>
      <c r="C6060" s="44">
        <v>1400</v>
      </c>
      <c r="D6060" t="s">
        <v>291</v>
      </c>
      <c r="E6060" t="s">
        <v>7000</v>
      </c>
    </row>
    <row r="6061" spans="1:5" ht="13.2">
      <c r="A6061" t="s">
        <v>7025</v>
      </c>
      <c r="B6061">
        <v>0</v>
      </c>
      <c r="C6061" s="44">
        <v>1400</v>
      </c>
      <c r="D6061" t="s">
        <v>291</v>
      </c>
      <c r="E6061" t="s">
        <v>7000</v>
      </c>
    </row>
    <row r="6062" spans="1:5" ht="13.2">
      <c r="A6062" t="s">
        <v>7026</v>
      </c>
      <c r="B6062">
        <v>0</v>
      </c>
      <c r="C6062" s="44">
        <v>1400</v>
      </c>
      <c r="D6062" t="s">
        <v>291</v>
      </c>
      <c r="E6062" t="s">
        <v>7000</v>
      </c>
    </row>
    <row r="6063" spans="1:5" ht="13.2">
      <c r="A6063" t="s">
        <v>7027</v>
      </c>
      <c r="B6063">
        <v>0</v>
      </c>
      <c r="C6063" s="44">
        <v>1400</v>
      </c>
      <c r="D6063" t="s">
        <v>291</v>
      </c>
      <c r="E6063" t="s">
        <v>7000</v>
      </c>
    </row>
    <row r="6064" spans="1:5" ht="13.2">
      <c r="A6064" t="s">
        <v>7028</v>
      </c>
      <c r="B6064">
        <v>0</v>
      </c>
      <c r="C6064" s="44">
        <v>1400</v>
      </c>
      <c r="D6064" t="s">
        <v>291</v>
      </c>
      <c r="E6064" t="s">
        <v>7000</v>
      </c>
    </row>
    <row r="6065" spans="1:5" ht="13.2">
      <c r="A6065" t="s">
        <v>7029</v>
      </c>
      <c r="B6065">
        <v>0</v>
      </c>
      <c r="C6065" s="44">
        <v>1400</v>
      </c>
      <c r="D6065" t="s">
        <v>291</v>
      </c>
      <c r="E6065" t="s">
        <v>7000</v>
      </c>
    </row>
    <row r="6066" spans="1:5" ht="13.2">
      <c r="A6066" t="s">
        <v>7030</v>
      </c>
      <c r="B6066">
        <v>0</v>
      </c>
      <c r="C6066" s="44">
        <v>1400</v>
      </c>
      <c r="D6066" t="s">
        <v>291</v>
      </c>
      <c r="E6066" t="s">
        <v>7000</v>
      </c>
    </row>
    <row r="6067" spans="1:5" ht="13.2">
      <c r="A6067" t="s">
        <v>7031</v>
      </c>
      <c r="B6067">
        <v>54</v>
      </c>
      <c r="C6067" s="44">
        <v>1400</v>
      </c>
      <c r="D6067" t="s">
        <v>291</v>
      </c>
      <c r="E6067" t="s">
        <v>7000</v>
      </c>
    </row>
    <row r="6068" spans="1:5" ht="13.2">
      <c r="A6068" t="s">
        <v>7032</v>
      </c>
      <c r="B6068">
        <v>54</v>
      </c>
      <c r="C6068" s="44">
        <v>1400</v>
      </c>
      <c r="D6068" t="s">
        <v>291</v>
      </c>
      <c r="E6068" t="s">
        <v>7000</v>
      </c>
    </row>
    <row r="6069" spans="1:5" ht="13.2">
      <c r="A6069" t="s">
        <v>7033</v>
      </c>
      <c r="B6069">
        <v>54</v>
      </c>
      <c r="C6069" s="44">
        <v>1400</v>
      </c>
      <c r="D6069" t="s">
        <v>291</v>
      </c>
      <c r="E6069" t="s">
        <v>7000</v>
      </c>
    </row>
    <row r="6070" spans="1:5" ht="13.2">
      <c r="A6070" t="s">
        <v>7034</v>
      </c>
      <c r="B6070">
        <v>54</v>
      </c>
      <c r="C6070" s="44">
        <v>1400</v>
      </c>
      <c r="D6070" t="s">
        <v>291</v>
      </c>
      <c r="E6070" t="s">
        <v>7000</v>
      </c>
    </row>
    <row r="6071" spans="1:5" ht="13.2">
      <c r="A6071" t="s">
        <v>7035</v>
      </c>
      <c r="B6071">
        <v>54</v>
      </c>
      <c r="C6071" s="44">
        <v>1400</v>
      </c>
      <c r="D6071" t="s">
        <v>291</v>
      </c>
      <c r="E6071" t="s">
        <v>7000</v>
      </c>
    </row>
    <row r="6072" spans="1:5" ht="13.2">
      <c r="A6072" t="s">
        <v>7036</v>
      </c>
      <c r="B6072">
        <v>54</v>
      </c>
      <c r="C6072" s="44">
        <v>1400</v>
      </c>
      <c r="D6072" t="s">
        <v>291</v>
      </c>
      <c r="E6072" t="s">
        <v>7000</v>
      </c>
    </row>
    <row r="6073" spans="1:5" ht="13.2">
      <c r="A6073" t="s">
        <v>7037</v>
      </c>
      <c r="B6073">
        <v>54</v>
      </c>
      <c r="C6073" s="44">
        <v>1400</v>
      </c>
      <c r="D6073" t="s">
        <v>291</v>
      </c>
      <c r="E6073" t="s">
        <v>7000</v>
      </c>
    </row>
    <row r="6074" spans="1:6" ht="13.2">
      <c r="A6074" t="s">
        <v>7038</v>
      </c>
      <c r="B6074">
        <v>0</v>
      </c>
      <c r="C6074" s="44">
        <v>3000</v>
      </c>
      <c r="D6074" t="s">
        <v>293</v>
      </c>
      <c r="E6074" t="s">
        <v>256</v>
      </c>
      <c r="F6074">
        <v>4</v>
      </c>
    </row>
    <row r="6075" spans="1:6" ht="13.2">
      <c r="A6075" t="s">
        <v>7039</v>
      </c>
      <c r="B6075">
        <v>0</v>
      </c>
      <c r="C6075" s="44">
        <v>3000</v>
      </c>
      <c r="D6075" t="s">
        <v>293</v>
      </c>
      <c r="E6075" t="s">
        <v>256</v>
      </c>
      <c r="F6075">
        <v>4</v>
      </c>
    </row>
    <row r="6076" spans="1:6" ht="13.2">
      <c r="A6076" t="s">
        <v>7040</v>
      </c>
      <c r="B6076">
        <v>0</v>
      </c>
      <c r="C6076" s="44">
        <v>3000</v>
      </c>
      <c r="D6076" t="s">
        <v>293</v>
      </c>
      <c r="E6076" t="s">
        <v>256</v>
      </c>
      <c r="F6076">
        <v>4</v>
      </c>
    </row>
    <row r="6077" spans="1:6" ht="13.2">
      <c r="A6077" t="s">
        <v>7041</v>
      </c>
      <c r="B6077">
        <v>0</v>
      </c>
      <c r="C6077" s="44">
        <v>3000</v>
      </c>
      <c r="D6077" t="s">
        <v>293</v>
      </c>
      <c r="E6077" t="s">
        <v>256</v>
      </c>
      <c r="F6077">
        <v>4</v>
      </c>
    </row>
    <row r="6078" spans="1:6" ht="13.2">
      <c r="A6078" t="s">
        <v>7042</v>
      </c>
      <c r="B6078">
        <v>0</v>
      </c>
      <c r="C6078" s="44">
        <v>3000</v>
      </c>
      <c r="D6078" t="s">
        <v>293</v>
      </c>
      <c r="E6078" t="s">
        <v>256</v>
      </c>
      <c r="F6078">
        <v>4</v>
      </c>
    </row>
    <row r="6079" spans="1:6" ht="13.2">
      <c r="A6079" t="s">
        <v>7043</v>
      </c>
      <c r="B6079">
        <v>0</v>
      </c>
      <c r="C6079" s="44">
        <v>3000</v>
      </c>
      <c r="D6079" t="s">
        <v>293</v>
      </c>
      <c r="E6079" t="s">
        <v>256</v>
      </c>
      <c r="F6079">
        <v>4</v>
      </c>
    </row>
    <row r="6080" spans="1:6" ht="13.2">
      <c r="A6080" t="s">
        <v>7044</v>
      </c>
      <c r="B6080">
        <v>0</v>
      </c>
      <c r="C6080" s="44">
        <v>3000</v>
      </c>
      <c r="D6080" t="s">
        <v>293</v>
      </c>
      <c r="E6080" t="s">
        <v>256</v>
      </c>
      <c r="F6080">
        <v>4</v>
      </c>
    </row>
    <row r="6081" spans="1:6" ht="13.2">
      <c r="A6081" t="s">
        <v>7045</v>
      </c>
      <c r="B6081">
        <v>0</v>
      </c>
      <c r="C6081" s="44">
        <v>3000</v>
      </c>
      <c r="D6081" t="s">
        <v>293</v>
      </c>
      <c r="E6081" t="s">
        <v>256</v>
      </c>
      <c r="F6081">
        <v>4</v>
      </c>
    </row>
    <row r="6082" spans="1:6" ht="13.2">
      <c r="A6082" t="s">
        <v>7046</v>
      </c>
      <c r="B6082">
        <v>0</v>
      </c>
      <c r="C6082" s="44">
        <v>3000</v>
      </c>
      <c r="D6082" t="s">
        <v>293</v>
      </c>
      <c r="E6082" t="s">
        <v>256</v>
      </c>
      <c r="F6082">
        <v>4</v>
      </c>
    </row>
    <row r="6083" spans="1:6" ht="13.2">
      <c r="A6083" t="s">
        <v>7047</v>
      </c>
      <c r="B6083">
        <v>0</v>
      </c>
      <c r="C6083" s="44">
        <v>3000</v>
      </c>
      <c r="D6083" t="s">
        <v>293</v>
      </c>
      <c r="E6083" t="s">
        <v>256</v>
      </c>
      <c r="F6083">
        <v>4</v>
      </c>
    </row>
    <row r="6084" spans="1:6" ht="13.2">
      <c r="A6084" t="s">
        <v>7048</v>
      </c>
      <c r="B6084">
        <v>0</v>
      </c>
      <c r="C6084" s="44">
        <v>3000</v>
      </c>
      <c r="D6084" t="s">
        <v>293</v>
      </c>
      <c r="E6084" t="s">
        <v>256</v>
      </c>
      <c r="F6084">
        <v>4</v>
      </c>
    </row>
    <row r="6085" spans="1:6" ht="13.2">
      <c r="A6085" t="s">
        <v>7049</v>
      </c>
      <c r="B6085">
        <v>0</v>
      </c>
      <c r="C6085" s="44">
        <v>1500</v>
      </c>
      <c r="D6085" t="s">
        <v>291</v>
      </c>
      <c r="E6085" t="s">
        <v>7050</v>
      </c>
      <c r="F6085">
        <v>4</v>
      </c>
    </row>
    <row r="6086" spans="1:6" ht="13.2">
      <c r="A6086" t="s">
        <v>7051</v>
      </c>
      <c r="B6086">
        <v>0</v>
      </c>
      <c r="C6086" s="44">
        <v>1500</v>
      </c>
      <c r="D6086" t="s">
        <v>291</v>
      </c>
      <c r="E6086" t="s">
        <v>7050</v>
      </c>
      <c r="F6086">
        <v>4</v>
      </c>
    </row>
    <row r="6087" spans="1:6" ht="13.2">
      <c r="A6087" t="s">
        <v>7052</v>
      </c>
      <c r="B6087">
        <v>0</v>
      </c>
      <c r="C6087" s="44">
        <v>1500</v>
      </c>
      <c r="D6087" t="s">
        <v>291</v>
      </c>
      <c r="E6087" t="s">
        <v>7050</v>
      </c>
      <c r="F6087">
        <v>4</v>
      </c>
    </row>
    <row r="6088" spans="1:6" ht="13.2">
      <c r="A6088" t="s">
        <v>7053</v>
      </c>
      <c r="B6088">
        <v>0</v>
      </c>
      <c r="C6088" s="44">
        <v>1500</v>
      </c>
      <c r="D6088" t="s">
        <v>291</v>
      </c>
      <c r="E6088" t="s">
        <v>7050</v>
      </c>
      <c r="F6088">
        <v>4</v>
      </c>
    </row>
    <row r="6089" spans="1:6" ht="13.2">
      <c r="A6089" t="s">
        <v>7054</v>
      </c>
      <c r="B6089">
        <v>0</v>
      </c>
      <c r="C6089" s="44">
        <v>1500</v>
      </c>
      <c r="D6089" t="s">
        <v>291</v>
      </c>
      <c r="E6089" t="s">
        <v>7050</v>
      </c>
      <c r="F6089">
        <v>4</v>
      </c>
    </row>
    <row r="6090" spans="1:6" ht="13.2">
      <c r="A6090" t="s">
        <v>7055</v>
      </c>
      <c r="B6090">
        <v>0</v>
      </c>
      <c r="C6090" s="44">
        <v>1500</v>
      </c>
      <c r="D6090" t="s">
        <v>291</v>
      </c>
      <c r="E6090" t="s">
        <v>7050</v>
      </c>
      <c r="F6090">
        <v>4</v>
      </c>
    </row>
    <row r="6091" spans="1:6" ht="13.2">
      <c r="A6091" t="s">
        <v>7056</v>
      </c>
      <c r="B6091">
        <v>0</v>
      </c>
      <c r="C6091" s="44">
        <v>1500</v>
      </c>
      <c r="D6091" t="s">
        <v>291</v>
      </c>
      <c r="E6091" t="s">
        <v>7050</v>
      </c>
      <c r="F6091">
        <v>4</v>
      </c>
    </row>
    <row r="6092" spans="1:6" ht="13.2">
      <c r="A6092" t="s">
        <v>7057</v>
      </c>
      <c r="B6092">
        <v>0</v>
      </c>
      <c r="C6092" s="44">
        <v>1500</v>
      </c>
      <c r="D6092" t="s">
        <v>291</v>
      </c>
      <c r="E6092" t="s">
        <v>7050</v>
      </c>
      <c r="F6092">
        <v>4</v>
      </c>
    </row>
    <row r="6093" spans="1:6" ht="13.2">
      <c r="A6093" t="s">
        <v>7058</v>
      </c>
      <c r="B6093">
        <v>0</v>
      </c>
      <c r="C6093" s="44">
        <v>1500</v>
      </c>
      <c r="D6093" t="s">
        <v>291</v>
      </c>
      <c r="E6093" t="s">
        <v>7050</v>
      </c>
      <c r="F6093">
        <v>4</v>
      </c>
    </row>
    <row r="6094" spans="1:6" ht="13.2">
      <c r="A6094" t="s">
        <v>7059</v>
      </c>
      <c r="B6094">
        <v>0</v>
      </c>
      <c r="C6094" s="44">
        <v>1500</v>
      </c>
      <c r="D6094" t="s">
        <v>291</v>
      </c>
      <c r="E6094" t="s">
        <v>7050</v>
      </c>
      <c r="F6094">
        <v>4</v>
      </c>
    </row>
    <row r="6095" spans="1:6" ht="13.2">
      <c r="A6095" t="s">
        <v>7060</v>
      </c>
      <c r="B6095">
        <v>0</v>
      </c>
      <c r="C6095" s="44">
        <v>1500</v>
      </c>
      <c r="D6095" t="s">
        <v>291</v>
      </c>
      <c r="E6095" t="s">
        <v>7050</v>
      </c>
      <c r="F6095">
        <v>4</v>
      </c>
    </row>
    <row r="6096" spans="1:6" ht="13.2">
      <c r="A6096" t="s">
        <v>7061</v>
      </c>
      <c r="B6096">
        <v>0</v>
      </c>
      <c r="C6096" s="44">
        <v>1500</v>
      </c>
      <c r="D6096" t="s">
        <v>291</v>
      </c>
      <c r="E6096" t="s">
        <v>7050</v>
      </c>
      <c r="F6096">
        <v>4</v>
      </c>
    </row>
    <row r="6097" spans="1:6" ht="13.2">
      <c r="A6097" t="s">
        <v>7062</v>
      </c>
      <c r="B6097">
        <v>0</v>
      </c>
      <c r="C6097" s="44">
        <v>1500</v>
      </c>
      <c r="D6097" t="s">
        <v>291</v>
      </c>
      <c r="E6097" t="s">
        <v>7050</v>
      </c>
      <c r="F6097">
        <v>4</v>
      </c>
    </row>
    <row r="6098" spans="1:6" ht="13.2">
      <c r="A6098" t="s">
        <v>7063</v>
      </c>
      <c r="B6098">
        <v>0</v>
      </c>
      <c r="C6098" s="44">
        <v>1500</v>
      </c>
      <c r="D6098" t="s">
        <v>291</v>
      </c>
      <c r="E6098" t="s">
        <v>7050</v>
      </c>
      <c r="F6098">
        <v>4</v>
      </c>
    </row>
    <row r="6099" spans="1:6" ht="13.2">
      <c r="A6099" t="s">
        <v>7064</v>
      </c>
      <c r="B6099">
        <v>0</v>
      </c>
      <c r="C6099" s="44">
        <v>1500</v>
      </c>
      <c r="D6099" t="s">
        <v>291</v>
      </c>
      <c r="E6099" t="s">
        <v>7050</v>
      </c>
      <c r="F6099">
        <v>4</v>
      </c>
    </row>
    <row r="6100" spans="1:6" ht="13.2">
      <c r="A6100" t="s">
        <v>7065</v>
      </c>
      <c r="B6100">
        <v>0</v>
      </c>
      <c r="C6100" s="44">
        <v>1500</v>
      </c>
      <c r="D6100" t="s">
        <v>291</v>
      </c>
      <c r="E6100" t="s">
        <v>7050</v>
      </c>
      <c r="F6100">
        <v>4</v>
      </c>
    </row>
    <row r="6101" spans="1:6" ht="13.2">
      <c r="A6101" t="s">
        <v>7066</v>
      </c>
      <c r="B6101">
        <v>0</v>
      </c>
      <c r="C6101" s="44">
        <v>1500</v>
      </c>
      <c r="D6101" t="s">
        <v>291</v>
      </c>
      <c r="E6101" t="s">
        <v>7050</v>
      </c>
      <c r="F6101">
        <v>4</v>
      </c>
    </row>
    <row r="6102" spans="1:6" ht="13.2">
      <c r="A6102" t="s">
        <v>7067</v>
      </c>
      <c r="B6102">
        <v>0</v>
      </c>
      <c r="C6102" s="44">
        <v>1500</v>
      </c>
      <c r="D6102" t="s">
        <v>291</v>
      </c>
      <c r="E6102" t="s">
        <v>7050</v>
      </c>
      <c r="F6102">
        <v>4</v>
      </c>
    </row>
    <row r="6103" spans="1:6" ht="13.2">
      <c r="A6103" t="s">
        <v>7068</v>
      </c>
      <c r="B6103">
        <v>0</v>
      </c>
      <c r="C6103" s="44">
        <v>1500</v>
      </c>
      <c r="D6103" t="s">
        <v>291</v>
      </c>
      <c r="E6103" t="s">
        <v>7050</v>
      </c>
      <c r="F6103">
        <v>4</v>
      </c>
    </row>
    <row r="6104" spans="1:6" ht="13.2">
      <c r="A6104" t="s">
        <v>7069</v>
      </c>
      <c r="B6104">
        <v>0</v>
      </c>
      <c r="C6104" s="44">
        <v>1500</v>
      </c>
      <c r="D6104" t="s">
        <v>291</v>
      </c>
      <c r="E6104" t="s">
        <v>7050</v>
      </c>
      <c r="F6104">
        <v>4</v>
      </c>
    </row>
    <row r="6105" spans="1:6" ht="13.2">
      <c r="A6105" t="s">
        <v>7070</v>
      </c>
      <c r="B6105">
        <v>0</v>
      </c>
      <c r="C6105" s="44">
        <v>1500</v>
      </c>
      <c r="D6105" t="s">
        <v>291</v>
      </c>
      <c r="E6105" t="s">
        <v>7050</v>
      </c>
      <c r="F6105">
        <v>4</v>
      </c>
    </row>
    <row r="6106" spans="1:6" ht="13.2">
      <c r="A6106" t="s">
        <v>7071</v>
      </c>
      <c r="B6106">
        <v>0</v>
      </c>
      <c r="C6106" s="44">
        <v>1500</v>
      </c>
      <c r="D6106" t="s">
        <v>291</v>
      </c>
      <c r="E6106" t="s">
        <v>7050</v>
      </c>
      <c r="F6106">
        <v>4</v>
      </c>
    </row>
    <row r="6107" spans="1:6" ht="13.2">
      <c r="A6107" t="s">
        <v>7072</v>
      </c>
      <c r="B6107">
        <v>0</v>
      </c>
      <c r="C6107" s="44">
        <v>1500</v>
      </c>
      <c r="D6107" t="s">
        <v>291</v>
      </c>
      <c r="E6107" t="s">
        <v>7050</v>
      </c>
      <c r="F6107">
        <v>4</v>
      </c>
    </row>
    <row r="6108" spans="1:6" ht="13.2">
      <c r="A6108" t="s">
        <v>7073</v>
      </c>
      <c r="B6108">
        <v>0</v>
      </c>
      <c r="C6108" s="44">
        <v>1500</v>
      </c>
      <c r="D6108" t="s">
        <v>291</v>
      </c>
      <c r="E6108" t="s">
        <v>7050</v>
      </c>
      <c r="F6108">
        <v>4</v>
      </c>
    </row>
    <row r="6109" spans="1:6" ht="13.2">
      <c r="A6109" t="s">
        <v>7074</v>
      </c>
      <c r="B6109">
        <v>0</v>
      </c>
      <c r="C6109" s="44">
        <v>1500</v>
      </c>
      <c r="D6109" t="s">
        <v>291</v>
      </c>
      <c r="E6109" t="s">
        <v>256</v>
      </c>
      <c r="F6109">
        <v>4</v>
      </c>
    </row>
    <row r="6110" spans="1:6" ht="13.2">
      <c r="A6110" t="s">
        <v>7075</v>
      </c>
      <c r="B6110">
        <v>0</v>
      </c>
      <c r="C6110" s="44">
        <v>1500</v>
      </c>
      <c r="D6110" t="s">
        <v>291</v>
      </c>
      <c r="E6110" t="s">
        <v>256</v>
      </c>
      <c r="F6110">
        <v>4</v>
      </c>
    </row>
    <row r="6111" spans="1:6" ht="13.2">
      <c r="A6111" t="s">
        <v>7076</v>
      </c>
      <c r="B6111">
        <v>0</v>
      </c>
      <c r="C6111" s="44">
        <v>1500</v>
      </c>
      <c r="D6111" t="s">
        <v>291</v>
      </c>
      <c r="E6111" t="s">
        <v>256</v>
      </c>
      <c r="F6111">
        <v>4</v>
      </c>
    </row>
    <row r="6112" spans="1:6" ht="13.2">
      <c r="A6112" t="s">
        <v>7077</v>
      </c>
      <c r="B6112">
        <v>0</v>
      </c>
      <c r="C6112" s="44">
        <v>1500</v>
      </c>
      <c r="D6112" t="s">
        <v>291</v>
      </c>
      <c r="E6112" t="s">
        <v>256</v>
      </c>
      <c r="F6112">
        <v>4</v>
      </c>
    </row>
    <row r="6113" spans="1:6" ht="13.2">
      <c r="A6113" t="s">
        <v>7078</v>
      </c>
      <c r="B6113">
        <v>0</v>
      </c>
      <c r="C6113" s="44">
        <v>1500</v>
      </c>
      <c r="D6113" t="s">
        <v>291</v>
      </c>
      <c r="E6113" t="s">
        <v>256</v>
      </c>
      <c r="F6113">
        <v>4</v>
      </c>
    </row>
    <row r="6114" spans="1:6" ht="13.2">
      <c r="A6114" t="s">
        <v>7079</v>
      </c>
      <c r="B6114">
        <v>0</v>
      </c>
      <c r="C6114" s="44">
        <v>1500</v>
      </c>
      <c r="D6114" t="s">
        <v>291</v>
      </c>
      <c r="E6114" t="s">
        <v>256</v>
      </c>
      <c r="F6114">
        <v>4</v>
      </c>
    </row>
    <row r="6115" spans="1:6" ht="13.2">
      <c r="A6115" t="s">
        <v>7080</v>
      </c>
      <c r="B6115">
        <v>0</v>
      </c>
      <c r="C6115" s="44">
        <v>1500</v>
      </c>
      <c r="D6115" t="s">
        <v>291</v>
      </c>
      <c r="E6115" t="s">
        <v>256</v>
      </c>
      <c r="F6115">
        <v>4</v>
      </c>
    </row>
    <row r="6116" spans="1:6" ht="13.2">
      <c r="A6116" t="s">
        <v>7081</v>
      </c>
      <c r="B6116">
        <v>0</v>
      </c>
      <c r="C6116" s="44">
        <v>1500</v>
      </c>
      <c r="D6116" t="s">
        <v>291</v>
      </c>
      <c r="E6116" t="s">
        <v>256</v>
      </c>
      <c r="F6116">
        <v>4</v>
      </c>
    </row>
    <row r="6117" spans="1:6" ht="13.2">
      <c r="A6117" t="s">
        <v>7082</v>
      </c>
      <c r="B6117">
        <v>0</v>
      </c>
      <c r="C6117" s="44">
        <v>1500</v>
      </c>
      <c r="D6117" t="s">
        <v>291</v>
      </c>
      <c r="E6117" t="s">
        <v>256</v>
      </c>
      <c r="F6117">
        <v>4</v>
      </c>
    </row>
    <row r="6118" spans="1:6" ht="13.2">
      <c r="A6118" t="s">
        <v>7083</v>
      </c>
      <c r="B6118">
        <v>0</v>
      </c>
      <c r="C6118" s="44">
        <v>1500</v>
      </c>
      <c r="D6118" t="s">
        <v>291</v>
      </c>
      <c r="E6118" t="s">
        <v>256</v>
      </c>
      <c r="F6118">
        <v>4</v>
      </c>
    </row>
    <row r="6119" spans="1:6" ht="13.2">
      <c r="A6119" t="s">
        <v>7084</v>
      </c>
      <c r="B6119">
        <v>0</v>
      </c>
      <c r="C6119" s="44">
        <v>1500</v>
      </c>
      <c r="D6119" t="s">
        <v>291</v>
      </c>
      <c r="E6119" t="s">
        <v>256</v>
      </c>
      <c r="F6119">
        <v>4</v>
      </c>
    </row>
    <row r="6120" spans="1:6" ht="13.2">
      <c r="A6120" t="s">
        <v>7085</v>
      </c>
      <c r="B6120">
        <v>0</v>
      </c>
      <c r="C6120" s="44">
        <v>1500</v>
      </c>
      <c r="D6120" t="s">
        <v>291</v>
      </c>
      <c r="E6120" t="s">
        <v>256</v>
      </c>
      <c r="F6120">
        <v>4</v>
      </c>
    </row>
    <row r="6121" spans="1:6" ht="13.2">
      <c r="A6121" t="s">
        <v>7086</v>
      </c>
      <c r="B6121">
        <v>0</v>
      </c>
      <c r="C6121" s="44">
        <v>1500</v>
      </c>
      <c r="D6121" t="s">
        <v>291</v>
      </c>
      <c r="E6121" t="s">
        <v>256</v>
      </c>
      <c r="F6121">
        <v>4</v>
      </c>
    </row>
    <row r="6122" spans="1:6" ht="13.2">
      <c r="A6122" t="s">
        <v>7087</v>
      </c>
      <c r="B6122">
        <v>0</v>
      </c>
      <c r="C6122" s="44">
        <v>1500</v>
      </c>
      <c r="D6122" t="s">
        <v>291</v>
      </c>
      <c r="E6122" t="s">
        <v>256</v>
      </c>
      <c r="F6122">
        <v>4</v>
      </c>
    </row>
    <row r="6123" spans="1:6" ht="13.2">
      <c r="A6123" t="s">
        <v>7088</v>
      </c>
      <c r="B6123">
        <v>0</v>
      </c>
      <c r="C6123" s="44">
        <v>1500</v>
      </c>
      <c r="D6123" t="s">
        <v>291</v>
      </c>
      <c r="E6123" t="s">
        <v>256</v>
      </c>
      <c r="F6123">
        <v>4</v>
      </c>
    </row>
    <row r="6124" spans="1:6" ht="13.2">
      <c r="A6124" t="s">
        <v>7089</v>
      </c>
      <c r="B6124">
        <v>0</v>
      </c>
      <c r="C6124" s="44">
        <v>1500</v>
      </c>
      <c r="D6124" t="s">
        <v>291</v>
      </c>
      <c r="E6124" t="s">
        <v>256</v>
      </c>
      <c r="F6124">
        <v>4</v>
      </c>
    </row>
    <row r="6125" spans="1:6" ht="13.2">
      <c r="A6125" t="s">
        <v>7090</v>
      </c>
      <c r="B6125">
        <v>0</v>
      </c>
      <c r="C6125" s="44">
        <v>1500</v>
      </c>
      <c r="D6125" t="s">
        <v>291</v>
      </c>
      <c r="E6125" t="s">
        <v>256</v>
      </c>
      <c r="F6125">
        <v>4</v>
      </c>
    </row>
    <row r="6126" spans="1:6" ht="13.2">
      <c r="A6126" t="s">
        <v>7091</v>
      </c>
      <c r="B6126">
        <v>0</v>
      </c>
      <c r="C6126" s="44">
        <v>1500</v>
      </c>
      <c r="D6126" t="s">
        <v>291</v>
      </c>
      <c r="E6126" t="s">
        <v>256</v>
      </c>
      <c r="F6126">
        <v>4</v>
      </c>
    </row>
    <row r="6127" spans="1:6" ht="13.2">
      <c r="A6127" t="s">
        <v>7092</v>
      </c>
      <c r="B6127">
        <v>0</v>
      </c>
      <c r="C6127" s="44">
        <v>1500</v>
      </c>
      <c r="D6127" t="s">
        <v>291</v>
      </c>
      <c r="E6127" t="s">
        <v>256</v>
      </c>
      <c r="F6127">
        <v>4</v>
      </c>
    </row>
    <row r="6128" spans="1:6" ht="13.2">
      <c r="A6128" t="s">
        <v>7093</v>
      </c>
      <c r="B6128">
        <v>0</v>
      </c>
      <c r="C6128" s="44">
        <v>1500</v>
      </c>
      <c r="D6128" t="s">
        <v>291</v>
      </c>
      <c r="E6128" t="s">
        <v>256</v>
      </c>
      <c r="F6128">
        <v>4</v>
      </c>
    </row>
    <row r="6129" spans="1:6" ht="13.2">
      <c r="A6129" t="s">
        <v>7094</v>
      </c>
      <c r="B6129">
        <v>0</v>
      </c>
      <c r="C6129" s="44">
        <v>1500</v>
      </c>
      <c r="D6129" t="s">
        <v>291</v>
      </c>
      <c r="E6129" t="s">
        <v>256</v>
      </c>
      <c r="F6129">
        <v>4</v>
      </c>
    </row>
    <row r="6130" spans="1:6" ht="13.2">
      <c r="A6130" t="s">
        <v>7095</v>
      </c>
      <c r="B6130">
        <v>0</v>
      </c>
      <c r="C6130" s="44">
        <v>1500</v>
      </c>
      <c r="D6130" t="s">
        <v>291</v>
      </c>
      <c r="E6130" t="s">
        <v>256</v>
      </c>
      <c r="F6130">
        <v>4</v>
      </c>
    </row>
    <row r="6131" spans="1:6" ht="13.2">
      <c r="A6131" t="s">
        <v>7096</v>
      </c>
      <c r="B6131">
        <v>0</v>
      </c>
      <c r="C6131" s="44">
        <v>1500</v>
      </c>
      <c r="D6131" t="s">
        <v>291</v>
      </c>
      <c r="E6131" t="s">
        <v>256</v>
      </c>
      <c r="F6131">
        <v>4</v>
      </c>
    </row>
    <row r="6132" spans="1:6" ht="13.2">
      <c r="A6132" t="s">
        <v>7097</v>
      </c>
      <c r="B6132">
        <v>0</v>
      </c>
      <c r="C6132" s="44">
        <v>1500</v>
      </c>
      <c r="D6132" t="s">
        <v>291</v>
      </c>
      <c r="E6132" t="s">
        <v>256</v>
      </c>
      <c r="F6132">
        <v>4</v>
      </c>
    </row>
    <row r="6133" spans="1:5" ht="13.2">
      <c r="A6133" t="s">
        <v>7169</v>
      </c>
      <c r="B6133">
        <v>0</v>
      </c>
      <c r="C6133" s="44">
        <v>1380</v>
      </c>
      <c r="D6133" t="s">
        <v>291</v>
      </c>
      <c r="E6133" t="s">
        <v>7104</v>
      </c>
    </row>
    <row r="6134" spans="1:5" ht="13.2">
      <c r="A6134" t="s">
        <v>7170</v>
      </c>
      <c r="B6134">
        <v>0</v>
      </c>
      <c r="C6134" s="44">
        <v>1380</v>
      </c>
      <c r="D6134" t="s">
        <v>291</v>
      </c>
      <c r="E6134" t="s">
        <v>7104</v>
      </c>
    </row>
    <row r="6135" spans="1:5" ht="13.2">
      <c r="A6135" t="s">
        <v>7171</v>
      </c>
      <c r="B6135">
        <v>0</v>
      </c>
      <c r="C6135" s="44">
        <v>1380</v>
      </c>
      <c r="D6135" t="s">
        <v>291</v>
      </c>
      <c r="E6135" t="s">
        <v>7104</v>
      </c>
    </row>
    <row r="6136" spans="1:5" ht="13.2">
      <c r="A6136" t="s">
        <v>7172</v>
      </c>
      <c r="B6136">
        <v>0</v>
      </c>
      <c r="C6136" s="44">
        <v>1380</v>
      </c>
      <c r="D6136" t="s">
        <v>291</v>
      </c>
      <c r="E6136" t="s">
        <v>7104</v>
      </c>
    </row>
    <row r="6137" spans="1:5" ht="13.2">
      <c r="A6137" t="s">
        <v>7173</v>
      </c>
      <c r="B6137">
        <v>0</v>
      </c>
      <c r="C6137" s="44">
        <v>1380</v>
      </c>
      <c r="D6137" t="s">
        <v>291</v>
      </c>
      <c r="E6137" t="s">
        <v>7104</v>
      </c>
    </row>
    <row r="6138" spans="1:5" ht="13.2">
      <c r="A6138" t="s">
        <v>7174</v>
      </c>
      <c r="B6138">
        <v>0</v>
      </c>
      <c r="C6138" s="44">
        <v>1380</v>
      </c>
      <c r="D6138" t="s">
        <v>291</v>
      </c>
      <c r="E6138" t="s">
        <v>7104</v>
      </c>
    </row>
    <row r="6139" spans="1:5" ht="13.2">
      <c r="A6139" t="s">
        <v>7175</v>
      </c>
      <c r="B6139">
        <v>0</v>
      </c>
      <c r="C6139" s="44">
        <v>1380</v>
      </c>
      <c r="D6139" t="s">
        <v>291</v>
      </c>
      <c r="E6139" t="s">
        <v>7104</v>
      </c>
    </row>
    <row r="6140" spans="1:5" ht="13.2">
      <c r="A6140" t="s">
        <v>7176</v>
      </c>
      <c r="B6140">
        <v>0</v>
      </c>
      <c r="C6140" s="44">
        <v>1380</v>
      </c>
      <c r="D6140" t="s">
        <v>291</v>
      </c>
      <c r="E6140" t="s">
        <v>7104</v>
      </c>
    </row>
    <row r="6141" spans="1:5" ht="13.2">
      <c r="A6141" t="s">
        <v>7177</v>
      </c>
      <c r="B6141">
        <v>0</v>
      </c>
      <c r="C6141" s="44">
        <v>1380</v>
      </c>
      <c r="D6141" t="s">
        <v>291</v>
      </c>
      <c r="E6141" t="s">
        <v>7104</v>
      </c>
    </row>
    <row r="6142" spans="1:5" ht="13.2">
      <c r="A6142" t="s">
        <v>7178</v>
      </c>
      <c r="B6142">
        <v>0</v>
      </c>
      <c r="C6142" s="44">
        <v>1380</v>
      </c>
      <c r="D6142" t="s">
        <v>291</v>
      </c>
      <c r="E6142" t="s">
        <v>7104</v>
      </c>
    </row>
    <row r="6143" spans="1:5" ht="13.2">
      <c r="A6143" t="s">
        <v>7179</v>
      </c>
      <c r="B6143">
        <v>0</v>
      </c>
      <c r="C6143" s="44">
        <v>1380</v>
      </c>
      <c r="D6143" t="s">
        <v>291</v>
      </c>
      <c r="E6143" t="s">
        <v>7104</v>
      </c>
    </row>
    <row r="6144" spans="1:5" ht="13.2">
      <c r="A6144" t="s">
        <v>7180</v>
      </c>
      <c r="B6144">
        <v>0</v>
      </c>
      <c r="C6144" s="44">
        <v>1380</v>
      </c>
      <c r="D6144" t="s">
        <v>291</v>
      </c>
      <c r="E6144" t="s">
        <v>7104</v>
      </c>
    </row>
    <row r="6145" spans="1:5" ht="13.2">
      <c r="A6145" t="s">
        <v>7181</v>
      </c>
      <c r="B6145">
        <v>0</v>
      </c>
      <c r="C6145" s="44">
        <v>1380</v>
      </c>
      <c r="D6145" t="s">
        <v>291</v>
      </c>
      <c r="E6145" t="s">
        <v>7104</v>
      </c>
    </row>
    <row r="6146" spans="1:5" ht="13.2">
      <c r="A6146" t="s">
        <v>7182</v>
      </c>
      <c r="B6146">
        <v>0</v>
      </c>
      <c r="C6146" s="44">
        <v>1380</v>
      </c>
      <c r="D6146" t="s">
        <v>291</v>
      </c>
      <c r="E6146" t="s">
        <v>7104</v>
      </c>
    </row>
    <row r="6147" spans="1:5" ht="13.2">
      <c r="A6147" t="s">
        <v>7183</v>
      </c>
      <c r="B6147">
        <v>0</v>
      </c>
      <c r="C6147" s="44">
        <v>1380</v>
      </c>
      <c r="D6147" t="s">
        <v>291</v>
      </c>
      <c r="E6147" t="s">
        <v>7104</v>
      </c>
    </row>
    <row r="6148" spans="1:5" ht="13.2">
      <c r="A6148" t="s">
        <v>7184</v>
      </c>
      <c r="B6148">
        <v>0</v>
      </c>
      <c r="C6148" s="44">
        <v>1380</v>
      </c>
      <c r="D6148" t="s">
        <v>291</v>
      </c>
      <c r="E6148" t="s">
        <v>7104</v>
      </c>
    </row>
    <row r="6149" spans="1:5" ht="13.2">
      <c r="A6149" t="s">
        <v>7185</v>
      </c>
      <c r="B6149">
        <v>0</v>
      </c>
      <c r="C6149" s="44">
        <v>1380</v>
      </c>
      <c r="D6149" t="s">
        <v>291</v>
      </c>
      <c r="E6149" t="s">
        <v>7104</v>
      </c>
    </row>
    <row r="6150" spans="1:5" ht="13.2">
      <c r="A6150" t="s">
        <v>7186</v>
      </c>
      <c r="B6150">
        <v>0</v>
      </c>
      <c r="C6150" s="44">
        <v>1380</v>
      </c>
      <c r="D6150" t="s">
        <v>291</v>
      </c>
      <c r="E6150" t="s">
        <v>7104</v>
      </c>
    </row>
    <row r="6151" spans="1:5" ht="13.2">
      <c r="A6151" t="s">
        <v>7187</v>
      </c>
      <c r="B6151">
        <v>0</v>
      </c>
      <c r="C6151" s="44">
        <v>1380</v>
      </c>
      <c r="D6151" t="s">
        <v>291</v>
      </c>
      <c r="E6151" t="s">
        <v>7104</v>
      </c>
    </row>
    <row r="6152" spans="1:5" ht="13.2">
      <c r="A6152" t="s">
        <v>7188</v>
      </c>
      <c r="B6152">
        <v>0</v>
      </c>
      <c r="C6152" s="44">
        <v>1380</v>
      </c>
      <c r="D6152" t="s">
        <v>291</v>
      </c>
      <c r="E6152" t="s">
        <v>7104</v>
      </c>
    </row>
    <row r="6153" spans="1:5" ht="13.2">
      <c r="A6153" t="s">
        <v>7189</v>
      </c>
      <c r="B6153">
        <v>0</v>
      </c>
      <c r="C6153" s="44">
        <v>1380</v>
      </c>
      <c r="D6153" t="s">
        <v>291</v>
      </c>
      <c r="E6153" t="s">
        <v>7104</v>
      </c>
    </row>
    <row r="6154" spans="1:5" ht="13.2">
      <c r="A6154" t="s">
        <v>7190</v>
      </c>
      <c r="B6154">
        <v>0</v>
      </c>
      <c r="C6154" s="44">
        <v>1380</v>
      </c>
      <c r="D6154" t="s">
        <v>291</v>
      </c>
      <c r="E6154" t="s">
        <v>7104</v>
      </c>
    </row>
    <row r="6155" spans="1:5" ht="13.2">
      <c r="A6155" t="s">
        <v>7191</v>
      </c>
      <c r="B6155">
        <v>0</v>
      </c>
      <c r="C6155" s="44">
        <v>1380</v>
      </c>
      <c r="D6155" t="s">
        <v>291</v>
      </c>
      <c r="E6155" t="s">
        <v>7104</v>
      </c>
    </row>
    <row r="6156" spans="1:5" ht="13.2">
      <c r="A6156" t="s">
        <v>7192</v>
      </c>
      <c r="B6156">
        <v>0</v>
      </c>
      <c r="C6156" s="44">
        <v>1380</v>
      </c>
      <c r="D6156" t="s">
        <v>291</v>
      </c>
      <c r="E6156" t="s">
        <v>7104</v>
      </c>
    </row>
    <row r="6157" spans="1:5" ht="13.2">
      <c r="A6157" t="s">
        <v>7193</v>
      </c>
      <c r="B6157">
        <v>0</v>
      </c>
      <c r="C6157" s="44">
        <v>1380</v>
      </c>
      <c r="D6157" t="s">
        <v>291</v>
      </c>
      <c r="E6157" t="s">
        <v>7104</v>
      </c>
    </row>
    <row r="6158" spans="1:5" ht="13.2">
      <c r="A6158" t="s">
        <v>7194</v>
      </c>
      <c r="B6158">
        <v>0</v>
      </c>
      <c r="C6158" s="44">
        <v>1380</v>
      </c>
      <c r="D6158" t="s">
        <v>291</v>
      </c>
      <c r="E6158" t="s">
        <v>7104</v>
      </c>
    </row>
    <row r="6159" spans="1:5" ht="13.2">
      <c r="A6159" t="s">
        <v>7195</v>
      </c>
      <c r="B6159">
        <v>0</v>
      </c>
      <c r="C6159" s="44">
        <v>1380</v>
      </c>
      <c r="D6159" t="s">
        <v>291</v>
      </c>
      <c r="E6159" t="s">
        <v>7104</v>
      </c>
    </row>
    <row r="6160" spans="1:5" ht="13.2">
      <c r="A6160" t="s">
        <v>7196</v>
      </c>
      <c r="B6160">
        <v>0</v>
      </c>
      <c r="C6160" s="44">
        <v>1380</v>
      </c>
      <c r="D6160" t="s">
        <v>291</v>
      </c>
      <c r="E6160" t="s">
        <v>7104</v>
      </c>
    </row>
    <row r="6161" spans="1:5" ht="13.2">
      <c r="A6161" t="s">
        <v>7197</v>
      </c>
      <c r="B6161">
        <v>0</v>
      </c>
      <c r="C6161" s="44">
        <v>1380</v>
      </c>
      <c r="D6161" t="s">
        <v>291</v>
      </c>
      <c r="E6161" t="s">
        <v>7104</v>
      </c>
    </row>
    <row r="6162" spans="1:5" ht="13.2">
      <c r="A6162" t="s">
        <v>7198</v>
      </c>
      <c r="B6162">
        <v>0</v>
      </c>
      <c r="C6162" s="44">
        <v>1380</v>
      </c>
      <c r="D6162" t="s">
        <v>291</v>
      </c>
      <c r="E6162" t="s">
        <v>7104</v>
      </c>
    </row>
    <row r="6163" spans="1:5" ht="13.2">
      <c r="A6163" t="s">
        <v>7199</v>
      </c>
      <c r="B6163">
        <v>0</v>
      </c>
      <c r="C6163" s="44">
        <v>1380</v>
      </c>
      <c r="D6163" t="s">
        <v>291</v>
      </c>
      <c r="E6163" t="s">
        <v>7104</v>
      </c>
    </row>
    <row r="6164" spans="1:5" ht="13.2">
      <c r="A6164" t="s">
        <v>7200</v>
      </c>
      <c r="B6164">
        <v>0</v>
      </c>
      <c r="C6164" s="44">
        <v>1380</v>
      </c>
      <c r="D6164" t="s">
        <v>291</v>
      </c>
      <c r="E6164" t="s">
        <v>7104</v>
      </c>
    </row>
    <row r="6165" spans="1:6" ht="13.2">
      <c r="A6165" t="s">
        <v>7105</v>
      </c>
      <c r="B6165">
        <v>0</v>
      </c>
      <c r="C6165" s="44">
        <v>3200</v>
      </c>
      <c r="D6165" t="s">
        <v>293</v>
      </c>
      <c r="E6165" t="s">
        <v>256</v>
      </c>
      <c r="F6165">
        <v>6</v>
      </c>
    </row>
    <row r="6166" spans="1:6" ht="13.2">
      <c r="A6166" t="s">
        <v>7106</v>
      </c>
      <c r="B6166">
        <v>0</v>
      </c>
      <c r="C6166" s="44">
        <v>3200</v>
      </c>
      <c r="D6166" t="s">
        <v>293</v>
      </c>
      <c r="E6166" t="s">
        <v>256</v>
      </c>
      <c r="F6166">
        <v>6</v>
      </c>
    </row>
    <row r="6167" spans="1:6" ht="13.2">
      <c r="A6167" t="s">
        <v>7107</v>
      </c>
      <c r="B6167">
        <v>0</v>
      </c>
      <c r="C6167" s="44">
        <v>3200</v>
      </c>
      <c r="D6167" t="s">
        <v>293</v>
      </c>
      <c r="E6167" t="s">
        <v>256</v>
      </c>
      <c r="F6167">
        <v>6</v>
      </c>
    </row>
    <row r="6168" spans="1:6" ht="13.2">
      <c r="A6168" t="s">
        <v>7108</v>
      </c>
      <c r="B6168">
        <v>0</v>
      </c>
      <c r="C6168" s="44">
        <v>3200</v>
      </c>
      <c r="D6168" t="s">
        <v>293</v>
      </c>
      <c r="E6168" t="s">
        <v>256</v>
      </c>
      <c r="F6168">
        <v>6</v>
      </c>
    </row>
    <row r="6169" spans="1:5" ht="13.2">
      <c r="A6169" t="s">
        <v>7109</v>
      </c>
      <c r="B6169">
        <v>0</v>
      </c>
      <c r="C6169" s="44">
        <v>3200</v>
      </c>
      <c r="D6169" t="s">
        <v>293</v>
      </c>
      <c r="E6169" t="s">
        <v>7110</v>
      </c>
    </row>
    <row r="6170" spans="1:5" ht="13.2">
      <c r="A6170" t="s">
        <v>7111</v>
      </c>
      <c r="B6170">
        <v>0</v>
      </c>
      <c r="C6170" s="44">
        <v>3200</v>
      </c>
      <c r="D6170" t="s">
        <v>293</v>
      </c>
      <c r="E6170" t="s">
        <v>7110</v>
      </c>
    </row>
    <row r="6171" spans="1:5" ht="13.2">
      <c r="A6171" t="s">
        <v>7112</v>
      </c>
      <c r="B6171">
        <v>0</v>
      </c>
      <c r="C6171" s="44">
        <v>3200</v>
      </c>
      <c r="D6171" t="s">
        <v>293</v>
      </c>
      <c r="E6171" t="s">
        <v>7110</v>
      </c>
    </row>
    <row r="6172" spans="1:5" ht="13.2">
      <c r="A6172" t="s">
        <v>7113</v>
      </c>
      <c r="B6172">
        <v>0</v>
      </c>
      <c r="C6172" s="44">
        <v>3200</v>
      </c>
      <c r="D6172" t="s">
        <v>293</v>
      </c>
      <c r="E6172" t="s">
        <v>7110</v>
      </c>
    </row>
    <row r="6173" spans="1:5" ht="13.2">
      <c r="A6173" t="s">
        <v>7114</v>
      </c>
      <c r="B6173">
        <v>0</v>
      </c>
      <c r="C6173" s="44">
        <v>3200</v>
      </c>
      <c r="D6173" t="s">
        <v>293</v>
      </c>
      <c r="E6173" t="s">
        <v>7110</v>
      </c>
    </row>
    <row r="6174" spans="1:5" ht="13.2">
      <c r="A6174" t="s">
        <v>7311</v>
      </c>
      <c r="B6174">
        <v>0</v>
      </c>
      <c r="C6174" s="44">
        <v>1380</v>
      </c>
      <c r="D6174" t="s">
        <v>291</v>
      </c>
      <c r="E6174" t="s">
        <v>7115</v>
      </c>
    </row>
    <row r="6175" spans="1:5" ht="13.2">
      <c r="A6175" t="s">
        <v>7312</v>
      </c>
      <c r="B6175">
        <v>0</v>
      </c>
      <c r="C6175" s="44">
        <v>1380</v>
      </c>
      <c r="D6175" t="s">
        <v>291</v>
      </c>
      <c r="E6175" t="s">
        <v>7115</v>
      </c>
    </row>
    <row r="6176" spans="1:5" ht="13.2">
      <c r="A6176" t="s">
        <v>7313</v>
      </c>
      <c r="B6176">
        <v>0</v>
      </c>
      <c r="C6176" s="44">
        <v>1380</v>
      </c>
      <c r="D6176" t="s">
        <v>291</v>
      </c>
      <c r="E6176" t="s">
        <v>7115</v>
      </c>
    </row>
    <row r="6177" spans="1:5" ht="13.2">
      <c r="A6177" t="s">
        <v>7314</v>
      </c>
      <c r="B6177">
        <v>0</v>
      </c>
      <c r="C6177" s="44">
        <v>1380</v>
      </c>
      <c r="D6177" t="s">
        <v>291</v>
      </c>
      <c r="E6177" t="s">
        <v>7115</v>
      </c>
    </row>
    <row r="6178" spans="1:5" ht="13.2">
      <c r="A6178" t="s">
        <v>7315</v>
      </c>
      <c r="B6178">
        <v>0</v>
      </c>
      <c r="C6178" s="44">
        <v>1380</v>
      </c>
      <c r="D6178" t="s">
        <v>291</v>
      </c>
      <c r="E6178" t="s">
        <v>7115</v>
      </c>
    </row>
    <row r="6179" spans="1:5" ht="13.2">
      <c r="A6179" t="s">
        <v>7316</v>
      </c>
      <c r="B6179">
        <v>0</v>
      </c>
      <c r="C6179" s="44">
        <v>1380</v>
      </c>
      <c r="D6179" t="s">
        <v>291</v>
      </c>
      <c r="E6179" t="s">
        <v>7115</v>
      </c>
    </row>
    <row r="6180" spans="1:5" ht="13.2">
      <c r="A6180" t="s">
        <v>7317</v>
      </c>
      <c r="B6180">
        <v>0</v>
      </c>
      <c r="C6180" s="44">
        <v>1380</v>
      </c>
      <c r="D6180" t="s">
        <v>291</v>
      </c>
      <c r="E6180" t="s">
        <v>7115</v>
      </c>
    </row>
    <row r="6181" spans="1:5" ht="13.2">
      <c r="A6181" t="s">
        <v>7318</v>
      </c>
      <c r="B6181">
        <v>0</v>
      </c>
      <c r="C6181" s="44">
        <v>1380</v>
      </c>
      <c r="D6181" t="s">
        <v>291</v>
      </c>
      <c r="E6181" t="s">
        <v>7115</v>
      </c>
    </row>
    <row r="6182" spans="1:5" ht="13.2">
      <c r="A6182" t="s">
        <v>7319</v>
      </c>
      <c r="B6182">
        <v>0</v>
      </c>
      <c r="C6182" s="44">
        <v>1380</v>
      </c>
      <c r="D6182" t="s">
        <v>291</v>
      </c>
      <c r="E6182" t="s">
        <v>7115</v>
      </c>
    </row>
    <row r="6183" spans="1:5" ht="13.2">
      <c r="A6183" t="s">
        <v>7320</v>
      </c>
      <c r="B6183">
        <v>0</v>
      </c>
      <c r="C6183" s="44">
        <v>1380</v>
      </c>
      <c r="D6183" t="s">
        <v>291</v>
      </c>
      <c r="E6183" t="s">
        <v>7115</v>
      </c>
    </row>
    <row r="6184" spans="1:5" ht="13.2">
      <c r="A6184" t="s">
        <v>7321</v>
      </c>
      <c r="B6184">
        <v>0</v>
      </c>
      <c r="C6184" s="44">
        <v>1380</v>
      </c>
      <c r="D6184" t="s">
        <v>291</v>
      </c>
      <c r="E6184" t="s">
        <v>7115</v>
      </c>
    </row>
    <row r="6185" spans="1:5" ht="13.2">
      <c r="A6185" t="s">
        <v>7322</v>
      </c>
      <c r="B6185">
        <v>0</v>
      </c>
      <c r="C6185" s="44">
        <v>1380</v>
      </c>
      <c r="D6185" t="s">
        <v>291</v>
      </c>
      <c r="E6185" t="s">
        <v>7115</v>
      </c>
    </row>
    <row r="6186" spans="1:5" ht="13.2">
      <c r="A6186" t="s">
        <v>7323</v>
      </c>
      <c r="B6186">
        <v>0</v>
      </c>
      <c r="C6186" s="44">
        <v>1380</v>
      </c>
      <c r="D6186" t="s">
        <v>291</v>
      </c>
      <c r="E6186" t="s">
        <v>7115</v>
      </c>
    </row>
    <row r="6187" spans="1:5" ht="13.2">
      <c r="A6187" t="s">
        <v>7324</v>
      </c>
      <c r="B6187">
        <v>0</v>
      </c>
      <c r="C6187" s="44">
        <v>1380</v>
      </c>
      <c r="D6187" t="s">
        <v>291</v>
      </c>
      <c r="E6187" t="s">
        <v>7115</v>
      </c>
    </row>
    <row r="6188" spans="1:5" ht="13.2">
      <c r="A6188" t="s">
        <v>7325</v>
      </c>
      <c r="B6188">
        <v>0</v>
      </c>
      <c r="C6188" s="44">
        <v>1380</v>
      </c>
      <c r="D6188" t="s">
        <v>291</v>
      </c>
      <c r="E6188" t="s">
        <v>7115</v>
      </c>
    </row>
    <row r="6189" spans="1:5" ht="13.2">
      <c r="A6189" t="s">
        <v>7326</v>
      </c>
      <c r="B6189">
        <v>0</v>
      </c>
      <c r="C6189" s="44">
        <v>1380</v>
      </c>
      <c r="D6189" t="s">
        <v>291</v>
      </c>
      <c r="E6189" t="s">
        <v>7115</v>
      </c>
    </row>
    <row r="6190" spans="1:5" ht="13.2">
      <c r="A6190" t="s">
        <v>7327</v>
      </c>
      <c r="B6190">
        <v>0</v>
      </c>
      <c r="C6190" s="44">
        <v>1380</v>
      </c>
      <c r="D6190" t="s">
        <v>291</v>
      </c>
      <c r="E6190" t="s">
        <v>7115</v>
      </c>
    </row>
    <row r="6191" spans="1:5" ht="13.2">
      <c r="A6191" t="s">
        <v>7328</v>
      </c>
      <c r="B6191">
        <v>0</v>
      </c>
      <c r="C6191" s="44">
        <v>1380</v>
      </c>
      <c r="D6191" t="s">
        <v>291</v>
      </c>
      <c r="E6191" t="s">
        <v>7115</v>
      </c>
    </row>
    <row r="6192" spans="1:5" ht="13.2">
      <c r="A6192" t="s">
        <v>7329</v>
      </c>
      <c r="B6192">
        <v>0</v>
      </c>
      <c r="C6192" s="44">
        <v>1380</v>
      </c>
      <c r="D6192" t="s">
        <v>291</v>
      </c>
      <c r="E6192" t="s">
        <v>7115</v>
      </c>
    </row>
    <row r="6193" spans="1:5" ht="13.2">
      <c r="A6193" t="s">
        <v>7330</v>
      </c>
      <c r="B6193">
        <v>0</v>
      </c>
      <c r="C6193" s="44">
        <v>1380</v>
      </c>
      <c r="D6193" t="s">
        <v>291</v>
      </c>
      <c r="E6193" t="s">
        <v>7115</v>
      </c>
    </row>
    <row r="6194" spans="1:5" ht="13.2">
      <c r="A6194" t="s">
        <v>7331</v>
      </c>
      <c r="B6194">
        <v>0</v>
      </c>
      <c r="C6194" s="44">
        <v>1380</v>
      </c>
      <c r="D6194" t="s">
        <v>291</v>
      </c>
      <c r="E6194" t="s">
        <v>7115</v>
      </c>
    </row>
    <row r="6195" spans="1:5" ht="13.2">
      <c r="A6195" t="s">
        <v>7332</v>
      </c>
      <c r="B6195">
        <v>0</v>
      </c>
      <c r="C6195" s="44">
        <v>1380</v>
      </c>
      <c r="D6195" t="s">
        <v>291</v>
      </c>
      <c r="E6195" t="s">
        <v>7115</v>
      </c>
    </row>
    <row r="6196" spans="1:5" ht="13.2">
      <c r="A6196" t="s">
        <v>7333</v>
      </c>
      <c r="B6196">
        <v>0</v>
      </c>
      <c r="C6196" s="44">
        <v>1380</v>
      </c>
      <c r="D6196" t="s">
        <v>291</v>
      </c>
      <c r="E6196" t="s">
        <v>7115</v>
      </c>
    </row>
    <row r="6197" spans="1:5" ht="13.2">
      <c r="A6197" t="s">
        <v>7334</v>
      </c>
      <c r="B6197">
        <v>0</v>
      </c>
      <c r="C6197" s="44">
        <v>1380</v>
      </c>
      <c r="D6197" t="s">
        <v>291</v>
      </c>
      <c r="E6197" t="s">
        <v>7115</v>
      </c>
    </row>
    <row r="6198" spans="1:5" ht="13.2">
      <c r="A6198" t="s">
        <v>7335</v>
      </c>
      <c r="B6198">
        <v>0</v>
      </c>
      <c r="C6198" s="44">
        <v>1380</v>
      </c>
      <c r="D6198" t="s">
        <v>291</v>
      </c>
      <c r="E6198" t="s">
        <v>7115</v>
      </c>
    </row>
    <row r="6199" spans="1:6" ht="13.2">
      <c r="A6199" t="s">
        <v>7116</v>
      </c>
      <c r="B6199">
        <v>0</v>
      </c>
      <c r="C6199" s="44">
        <v>1500</v>
      </c>
      <c r="D6199" t="s">
        <v>291</v>
      </c>
      <c r="E6199" t="s">
        <v>256</v>
      </c>
      <c r="F6199">
        <v>6</v>
      </c>
    </row>
    <row r="6200" spans="1:6" ht="13.2">
      <c r="A6200" t="s">
        <v>7117</v>
      </c>
      <c r="B6200">
        <v>0</v>
      </c>
      <c r="C6200" s="44">
        <v>1500</v>
      </c>
      <c r="D6200" t="s">
        <v>291</v>
      </c>
      <c r="E6200" t="s">
        <v>256</v>
      </c>
      <c r="F6200">
        <v>6</v>
      </c>
    </row>
    <row r="6201" spans="1:6" ht="13.2">
      <c r="A6201" t="s">
        <v>7118</v>
      </c>
      <c r="B6201">
        <v>0</v>
      </c>
      <c r="C6201" s="44">
        <v>1500</v>
      </c>
      <c r="D6201" t="s">
        <v>291</v>
      </c>
      <c r="E6201" t="s">
        <v>256</v>
      </c>
      <c r="F6201">
        <v>6</v>
      </c>
    </row>
    <row r="6202" spans="1:6" ht="13.2">
      <c r="A6202" t="s">
        <v>7119</v>
      </c>
      <c r="B6202">
        <v>0</v>
      </c>
      <c r="C6202" s="44">
        <v>2800</v>
      </c>
      <c r="D6202" t="s">
        <v>293</v>
      </c>
      <c r="E6202" t="s">
        <v>256</v>
      </c>
      <c r="F6202">
        <v>6</v>
      </c>
    </row>
    <row r="6203" spans="1:6" ht="13.2">
      <c r="A6203" t="s">
        <v>7120</v>
      </c>
      <c r="B6203">
        <v>0</v>
      </c>
      <c r="C6203" s="44">
        <v>2800</v>
      </c>
      <c r="D6203" t="s">
        <v>293</v>
      </c>
      <c r="E6203" t="s">
        <v>256</v>
      </c>
      <c r="F6203">
        <v>6</v>
      </c>
    </row>
    <row r="6204" spans="1:6" ht="13.2">
      <c r="A6204" t="s">
        <v>7121</v>
      </c>
      <c r="B6204">
        <v>0</v>
      </c>
      <c r="C6204" s="44">
        <v>2800</v>
      </c>
      <c r="D6204" t="s">
        <v>293</v>
      </c>
      <c r="E6204" t="s">
        <v>256</v>
      </c>
      <c r="F6204">
        <v>6</v>
      </c>
    </row>
    <row r="6205" spans="1:6" ht="13.2">
      <c r="A6205" t="s">
        <v>7122</v>
      </c>
      <c r="B6205">
        <v>0</v>
      </c>
      <c r="C6205" s="44">
        <v>2800</v>
      </c>
      <c r="D6205" t="s">
        <v>291</v>
      </c>
      <c r="E6205" t="s">
        <v>256</v>
      </c>
      <c r="F6205">
        <v>6</v>
      </c>
    </row>
    <row r="6206" spans="1:6" ht="13.2">
      <c r="A6206" t="s">
        <v>7123</v>
      </c>
      <c r="B6206">
        <v>0</v>
      </c>
      <c r="C6206" s="44">
        <v>2800</v>
      </c>
      <c r="D6206" t="s">
        <v>291</v>
      </c>
      <c r="E6206" t="s">
        <v>256</v>
      </c>
      <c r="F6206">
        <v>6</v>
      </c>
    </row>
    <row r="6207" spans="1:6" ht="13.2">
      <c r="A6207" t="s">
        <v>7124</v>
      </c>
      <c r="B6207">
        <v>0</v>
      </c>
      <c r="C6207" s="44">
        <v>2800</v>
      </c>
      <c r="D6207" t="s">
        <v>291</v>
      </c>
      <c r="E6207" t="s">
        <v>256</v>
      </c>
      <c r="F6207">
        <v>6</v>
      </c>
    </row>
    <row r="6208" spans="1:6" ht="13.2">
      <c r="A6208" t="s">
        <v>7125</v>
      </c>
      <c r="B6208">
        <v>640</v>
      </c>
      <c r="C6208" s="44">
        <v>1400</v>
      </c>
      <c r="D6208" t="s">
        <v>291</v>
      </c>
      <c r="E6208" t="s">
        <v>577</v>
      </c>
      <c r="F6208">
        <v>3</v>
      </c>
    </row>
    <row r="6209" spans="1:6" ht="13.2">
      <c r="A6209" t="s">
        <v>7126</v>
      </c>
      <c r="B6209">
        <v>640</v>
      </c>
      <c r="C6209" s="44">
        <v>1400</v>
      </c>
      <c r="D6209" t="s">
        <v>291</v>
      </c>
      <c r="E6209" t="s">
        <v>577</v>
      </c>
      <c r="F6209">
        <v>3</v>
      </c>
    </row>
    <row r="6210" spans="1:6" ht="13.2">
      <c r="A6210" t="s">
        <v>7127</v>
      </c>
      <c r="B6210">
        <v>640</v>
      </c>
      <c r="C6210" s="44">
        <v>1400</v>
      </c>
      <c r="D6210" t="s">
        <v>291</v>
      </c>
      <c r="E6210" t="s">
        <v>577</v>
      </c>
      <c r="F6210">
        <v>3</v>
      </c>
    </row>
    <row r="6211" spans="1:6" ht="13.2">
      <c r="A6211" t="s">
        <v>7128</v>
      </c>
      <c r="B6211">
        <v>640</v>
      </c>
      <c r="C6211" s="44">
        <v>1400</v>
      </c>
      <c r="D6211" t="s">
        <v>291</v>
      </c>
      <c r="E6211" t="s">
        <v>577</v>
      </c>
      <c r="F6211">
        <v>3</v>
      </c>
    </row>
    <row r="6212" spans="1:6" ht="13.2">
      <c r="A6212" t="s">
        <v>7129</v>
      </c>
      <c r="B6212">
        <v>0</v>
      </c>
      <c r="C6212" s="44">
        <v>3200</v>
      </c>
      <c r="D6212" t="s">
        <v>293</v>
      </c>
      <c r="E6212" t="s">
        <v>256</v>
      </c>
      <c r="F6212">
        <v>6</v>
      </c>
    </row>
    <row r="6213" spans="1:6" ht="13.2">
      <c r="A6213" t="s">
        <v>7130</v>
      </c>
      <c r="B6213">
        <v>0</v>
      </c>
      <c r="C6213" s="44">
        <v>3200</v>
      </c>
      <c r="D6213" t="s">
        <v>293</v>
      </c>
      <c r="E6213" t="s">
        <v>256</v>
      </c>
      <c r="F6213">
        <v>6</v>
      </c>
    </row>
    <row r="6214" spans="1:6" ht="13.2">
      <c r="A6214" t="s">
        <v>7131</v>
      </c>
      <c r="B6214">
        <v>0</v>
      </c>
      <c r="C6214" s="44">
        <v>3200</v>
      </c>
      <c r="D6214" t="s">
        <v>293</v>
      </c>
      <c r="E6214" t="s">
        <v>256</v>
      </c>
      <c r="F6214">
        <v>6</v>
      </c>
    </row>
    <row r="6215" spans="1:6" ht="13.2">
      <c r="A6215" t="s">
        <v>7132</v>
      </c>
      <c r="B6215">
        <v>0</v>
      </c>
      <c r="C6215" s="44">
        <v>1500</v>
      </c>
      <c r="D6215" t="s">
        <v>291</v>
      </c>
      <c r="E6215" t="s">
        <v>256</v>
      </c>
      <c r="F6215">
        <v>6</v>
      </c>
    </row>
    <row r="6216" spans="1:6" ht="13.2">
      <c r="A6216" t="s">
        <v>7133</v>
      </c>
      <c r="B6216">
        <v>0</v>
      </c>
      <c r="C6216" s="44">
        <v>1500</v>
      </c>
      <c r="D6216" t="s">
        <v>291</v>
      </c>
      <c r="E6216" t="s">
        <v>256</v>
      </c>
      <c r="F6216">
        <v>6</v>
      </c>
    </row>
    <row r="6217" spans="1:6" ht="13.2">
      <c r="A6217" t="s">
        <v>7134</v>
      </c>
      <c r="B6217">
        <v>0</v>
      </c>
      <c r="C6217" s="44">
        <v>1500</v>
      </c>
      <c r="D6217" t="s">
        <v>291</v>
      </c>
      <c r="E6217" t="s">
        <v>256</v>
      </c>
      <c r="F6217">
        <v>6</v>
      </c>
    </row>
    <row r="6218" spans="1:6" ht="13.2">
      <c r="A6218" t="s">
        <v>7135</v>
      </c>
      <c r="B6218">
        <v>0</v>
      </c>
      <c r="C6218" s="44">
        <v>2800</v>
      </c>
      <c r="D6218" t="s">
        <v>293</v>
      </c>
      <c r="E6218" t="s">
        <v>256</v>
      </c>
      <c r="F6218">
        <v>6</v>
      </c>
    </row>
    <row r="6219" spans="1:6" ht="13.2">
      <c r="A6219" t="s">
        <v>7136</v>
      </c>
      <c r="B6219">
        <v>0</v>
      </c>
      <c r="C6219" s="44">
        <v>2800</v>
      </c>
      <c r="D6219" t="s">
        <v>293</v>
      </c>
      <c r="E6219" t="s">
        <v>256</v>
      </c>
      <c r="F6219">
        <v>6</v>
      </c>
    </row>
    <row r="6220" spans="1:6" ht="13.2">
      <c r="A6220" t="s">
        <v>7137</v>
      </c>
      <c r="B6220">
        <v>0</v>
      </c>
      <c r="C6220" s="44">
        <v>2800</v>
      </c>
      <c r="D6220" t="s">
        <v>293</v>
      </c>
      <c r="E6220" t="s">
        <v>256</v>
      </c>
      <c r="F6220">
        <v>6</v>
      </c>
    </row>
    <row r="6221" spans="1:6" ht="13.2">
      <c r="A6221" t="s">
        <v>7138</v>
      </c>
      <c r="B6221">
        <v>0</v>
      </c>
      <c r="C6221" s="44">
        <v>2800</v>
      </c>
      <c r="D6221" t="s">
        <v>291</v>
      </c>
      <c r="E6221" t="s">
        <v>256</v>
      </c>
      <c r="F6221">
        <v>6</v>
      </c>
    </row>
    <row r="6222" spans="1:6" ht="13.2">
      <c r="A6222" t="s">
        <v>7139</v>
      </c>
      <c r="B6222">
        <v>0</v>
      </c>
      <c r="C6222" s="44">
        <v>2800</v>
      </c>
      <c r="D6222" t="s">
        <v>291</v>
      </c>
      <c r="E6222" t="s">
        <v>256</v>
      </c>
      <c r="F6222">
        <v>6</v>
      </c>
    </row>
    <row r="6223" spans="1:6" ht="13.2">
      <c r="A6223" t="s">
        <v>7140</v>
      </c>
      <c r="B6223">
        <v>0</v>
      </c>
      <c r="C6223" s="44">
        <v>2800</v>
      </c>
      <c r="D6223" t="s">
        <v>291</v>
      </c>
      <c r="E6223" t="s">
        <v>256</v>
      </c>
      <c r="F6223">
        <v>6</v>
      </c>
    </row>
    <row r="6224" spans="1:6" ht="13.2">
      <c r="A6224" t="s">
        <v>7141</v>
      </c>
      <c r="B6224">
        <v>0</v>
      </c>
      <c r="C6224" s="44">
        <v>3200</v>
      </c>
      <c r="D6224" t="s">
        <v>293</v>
      </c>
      <c r="E6224" t="s">
        <v>256</v>
      </c>
      <c r="F6224">
        <v>4</v>
      </c>
    </row>
    <row r="6225" spans="1:6" ht="13.2">
      <c r="A6225" t="s">
        <v>7142</v>
      </c>
      <c r="B6225">
        <v>0</v>
      </c>
      <c r="C6225" s="44">
        <v>3200</v>
      </c>
      <c r="D6225" t="s">
        <v>293</v>
      </c>
      <c r="E6225" t="s">
        <v>256</v>
      </c>
      <c r="F6225">
        <v>4</v>
      </c>
    </row>
    <row r="6226" spans="1:6" ht="13.2">
      <c r="A6226" t="s">
        <v>7143</v>
      </c>
      <c r="B6226">
        <v>0</v>
      </c>
      <c r="C6226" s="44">
        <v>3200</v>
      </c>
      <c r="D6226" t="s">
        <v>293</v>
      </c>
      <c r="E6226" t="s">
        <v>256</v>
      </c>
      <c r="F6226">
        <v>4</v>
      </c>
    </row>
    <row r="6227" spans="1:6" ht="13.2">
      <c r="A6227" t="s">
        <v>7144</v>
      </c>
      <c r="B6227">
        <v>0</v>
      </c>
      <c r="C6227" s="44">
        <v>3200</v>
      </c>
      <c r="D6227" t="s">
        <v>293</v>
      </c>
      <c r="E6227" t="s">
        <v>256</v>
      </c>
      <c r="F6227">
        <v>4</v>
      </c>
    </row>
    <row r="6228" spans="1:6" ht="13.2">
      <c r="A6228" t="s">
        <v>7145</v>
      </c>
      <c r="B6228">
        <v>0</v>
      </c>
      <c r="C6228" s="44">
        <v>3200</v>
      </c>
      <c r="D6228" t="s">
        <v>293</v>
      </c>
      <c r="E6228" t="s">
        <v>256</v>
      </c>
      <c r="F6228">
        <v>4</v>
      </c>
    </row>
    <row r="6229" spans="1:6" ht="13.2">
      <c r="A6229" t="s">
        <v>7146</v>
      </c>
      <c r="B6229">
        <v>0</v>
      </c>
      <c r="C6229" s="44">
        <v>3200</v>
      </c>
      <c r="D6229" t="s">
        <v>293</v>
      </c>
      <c r="E6229" t="s">
        <v>256</v>
      </c>
      <c r="F6229">
        <v>4</v>
      </c>
    </row>
    <row r="6230" spans="1:6" ht="13.2">
      <c r="A6230" t="s">
        <v>7147</v>
      </c>
      <c r="B6230">
        <v>0</v>
      </c>
      <c r="C6230" s="44">
        <v>3200</v>
      </c>
      <c r="D6230" t="s">
        <v>293</v>
      </c>
      <c r="E6230" t="s">
        <v>256</v>
      </c>
      <c r="F6230">
        <v>4</v>
      </c>
    </row>
    <row r="6231" spans="1:6" ht="13.2">
      <c r="A6231" t="s">
        <v>7148</v>
      </c>
      <c r="B6231">
        <v>0</v>
      </c>
      <c r="C6231" s="44">
        <v>3200</v>
      </c>
      <c r="D6231" t="s">
        <v>293</v>
      </c>
      <c r="E6231" t="s">
        <v>256</v>
      </c>
      <c r="F6231">
        <v>4</v>
      </c>
    </row>
    <row r="6232" spans="1:6" ht="13.2">
      <c r="A6232" t="s">
        <v>7149</v>
      </c>
      <c r="B6232">
        <v>0</v>
      </c>
      <c r="C6232" s="44">
        <v>3200</v>
      </c>
      <c r="D6232" t="s">
        <v>293</v>
      </c>
      <c r="E6232" t="s">
        <v>256</v>
      </c>
      <c r="F6232">
        <v>4</v>
      </c>
    </row>
    <row r="6233" spans="1:6" ht="13.2">
      <c r="A6233" t="s">
        <v>7150</v>
      </c>
      <c r="B6233">
        <v>0</v>
      </c>
      <c r="C6233" s="44">
        <v>3200</v>
      </c>
      <c r="D6233" t="s">
        <v>293</v>
      </c>
      <c r="E6233" t="s">
        <v>256</v>
      </c>
      <c r="F6233">
        <v>4</v>
      </c>
    </row>
    <row r="6234" spans="1:6" ht="13.2">
      <c r="A6234" t="s">
        <v>7151</v>
      </c>
      <c r="B6234">
        <v>0</v>
      </c>
      <c r="C6234" s="44">
        <v>3200</v>
      </c>
      <c r="D6234" t="s">
        <v>293</v>
      </c>
      <c r="E6234" t="s">
        <v>256</v>
      </c>
      <c r="F6234">
        <v>4</v>
      </c>
    </row>
    <row r="6235" spans="1:6" ht="13.2">
      <c r="A6235" t="s">
        <v>7152</v>
      </c>
      <c r="B6235">
        <v>0</v>
      </c>
      <c r="C6235" s="44">
        <v>3200</v>
      </c>
      <c r="D6235" t="s">
        <v>293</v>
      </c>
      <c r="E6235" t="s">
        <v>256</v>
      </c>
      <c r="F6235">
        <v>4</v>
      </c>
    </row>
    <row r="6236" spans="1:6" ht="13.2">
      <c r="A6236" t="s">
        <v>7153</v>
      </c>
      <c r="B6236">
        <v>0</v>
      </c>
      <c r="C6236" s="44">
        <v>3200</v>
      </c>
      <c r="D6236" t="s">
        <v>293</v>
      </c>
      <c r="E6236" t="s">
        <v>256</v>
      </c>
      <c r="F6236">
        <v>4</v>
      </c>
    </row>
    <row r="6237" spans="1:6" ht="13.2">
      <c r="A6237" t="s">
        <v>7154</v>
      </c>
      <c r="B6237">
        <v>0</v>
      </c>
      <c r="C6237" s="44">
        <v>3200</v>
      </c>
      <c r="D6237" t="s">
        <v>293</v>
      </c>
      <c r="E6237" t="s">
        <v>256</v>
      </c>
      <c r="F6237">
        <v>4</v>
      </c>
    </row>
    <row r="6238" spans="1:6" ht="13.2">
      <c r="A6238" t="s">
        <v>7155</v>
      </c>
      <c r="B6238">
        <v>0</v>
      </c>
      <c r="C6238" s="44">
        <v>3200</v>
      </c>
      <c r="D6238" t="s">
        <v>293</v>
      </c>
      <c r="E6238" t="s">
        <v>256</v>
      </c>
      <c r="F6238">
        <v>4</v>
      </c>
    </row>
    <row r="6239" spans="1:6" ht="13.2">
      <c r="A6239" t="s">
        <v>7156</v>
      </c>
      <c r="B6239">
        <v>0</v>
      </c>
      <c r="C6239" s="44">
        <v>3200</v>
      </c>
      <c r="D6239" t="s">
        <v>293</v>
      </c>
      <c r="E6239" t="s">
        <v>256</v>
      </c>
      <c r="F6239">
        <v>4</v>
      </c>
    </row>
    <row r="6240" spans="1:6" ht="13.2">
      <c r="A6240" t="s">
        <v>7157</v>
      </c>
      <c r="B6240">
        <v>0</v>
      </c>
      <c r="C6240" s="44">
        <v>3200</v>
      </c>
      <c r="D6240" t="s">
        <v>293</v>
      </c>
      <c r="E6240" t="s">
        <v>256</v>
      </c>
      <c r="F6240">
        <v>4</v>
      </c>
    </row>
    <row r="6241" spans="1:5" ht="13.2">
      <c r="A6241" t="s">
        <v>7158</v>
      </c>
      <c r="B6241">
        <v>0</v>
      </c>
      <c r="C6241" s="44">
        <v>3000</v>
      </c>
      <c r="D6241" t="s">
        <v>293</v>
      </c>
      <c r="E6241" t="s">
        <v>7159</v>
      </c>
    </row>
    <row r="6242" spans="1:5" ht="13.2">
      <c r="A6242" t="s">
        <v>7160</v>
      </c>
      <c r="B6242">
        <v>0</v>
      </c>
      <c r="C6242" s="44">
        <v>3000</v>
      </c>
      <c r="D6242" t="s">
        <v>293</v>
      </c>
      <c r="E6242" t="s">
        <v>7159</v>
      </c>
    </row>
    <row r="6243" spans="1:5" ht="13.2">
      <c r="A6243" t="s">
        <v>7161</v>
      </c>
      <c r="B6243">
        <v>0</v>
      </c>
      <c r="C6243" s="44">
        <v>3000</v>
      </c>
      <c r="D6243" t="s">
        <v>293</v>
      </c>
      <c r="E6243" t="s">
        <v>7159</v>
      </c>
    </row>
    <row r="6244" spans="1:5" ht="13.2">
      <c r="A6244" t="s">
        <v>7162</v>
      </c>
      <c r="B6244">
        <v>0</v>
      </c>
      <c r="C6244" s="44">
        <v>3000</v>
      </c>
      <c r="D6244" t="s">
        <v>293</v>
      </c>
      <c r="E6244" t="s">
        <v>7159</v>
      </c>
    </row>
    <row r="6245" spans="1:5" ht="13.2">
      <c r="A6245" t="s">
        <v>7163</v>
      </c>
      <c r="B6245">
        <v>0</v>
      </c>
      <c r="C6245" s="44">
        <v>3000</v>
      </c>
      <c r="D6245" t="s">
        <v>293</v>
      </c>
      <c r="E6245" t="s">
        <v>7159</v>
      </c>
    </row>
    <row r="6246" spans="1:5" ht="13.2">
      <c r="A6246" t="s">
        <v>7164</v>
      </c>
      <c r="B6246">
        <v>675</v>
      </c>
      <c r="C6246" s="44">
        <v>1370</v>
      </c>
      <c r="D6246" t="s">
        <v>291</v>
      </c>
      <c r="E6246" t="s">
        <v>6715</v>
      </c>
    </row>
    <row r="6247" spans="1:5" ht="13.2">
      <c r="A6247" t="s">
        <v>7165</v>
      </c>
      <c r="B6247">
        <v>675</v>
      </c>
      <c r="C6247" s="44">
        <v>1370</v>
      </c>
      <c r="D6247" t="s">
        <v>291</v>
      </c>
      <c r="E6247" t="s">
        <v>6715</v>
      </c>
    </row>
    <row r="6248" spans="1:5" ht="13.2">
      <c r="A6248" t="s">
        <v>7166</v>
      </c>
      <c r="B6248">
        <v>675</v>
      </c>
      <c r="C6248" s="44">
        <v>1370</v>
      </c>
      <c r="D6248" t="s">
        <v>291</v>
      </c>
      <c r="E6248" t="s">
        <v>6715</v>
      </c>
    </row>
    <row r="6249" spans="1:5" ht="13.2">
      <c r="A6249" t="s">
        <v>7167</v>
      </c>
      <c r="B6249">
        <v>675</v>
      </c>
      <c r="C6249" s="44">
        <v>1370</v>
      </c>
      <c r="D6249" t="s">
        <v>291</v>
      </c>
      <c r="E6249" t="s">
        <v>6715</v>
      </c>
    </row>
    <row r="6250" spans="1:5" ht="13.2">
      <c r="A6250" t="s">
        <v>7168</v>
      </c>
      <c r="B6250">
        <v>675</v>
      </c>
      <c r="C6250" s="44">
        <v>1370</v>
      </c>
      <c r="D6250" t="s">
        <v>291</v>
      </c>
      <c r="E6250" t="s">
        <v>6715</v>
      </c>
    </row>
    <row r="6251" spans="1:5" ht="13.2">
      <c r="A6251" t="s">
        <v>7227</v>
      </c>
      <c r="B6251">
        <v>685</v>
      </c>
      <c r="C6251" s="44">
        <v>1380</v>
      </c>
      <c r="D6251" t="s">
        <v>291</v>
      </c>
      <c r="E6251" t="s">
        <v>256</v>
      </c>
    </row>
    <row r="6252" spans="1:5" ht="13.2">
      <c r="A6252" t="s">
        <v>7228</v>
      </c>
      <c r="B6252">
        <v>685</v>
      </c>
      <c r="C6252" s="44">
        <v>1380</v>
      </c>
      <c r="D6252" t="s">
        <v>291</v>
      </c>
      <c r="E6252" t="s">
        <v>256</v>
      </c>
    </row>
    <row r="6253" spans="1:6" ht="13.2">
      <c r="A6253" t="s">
        <v>7229</v>
      </c>
      <c r="B6253">
        <v>0</v>
      </c>
      <c r="C6253" s="44">
        <v>3200</v>
      </c>
      <c r="D6253" t="s">
        <v>293</v>
      </c>
      <c r="E6253" t="s">
        <v>7230</v>
      </c>
      <c r="F6253">
        <v>4</v>
      </c>
    </row>
    <row r="6254" spans="1:6" ht="13.2">
      <c r="A6254" t="s">
        <v>7231</v>
      </c>
      <c r="B6254">
        <v>0</v>
      </c>
      <c r="C6254" s="44">
        <v>3200</v>
      </c>
      <c r="D6254" t="s">
        <v>293</v>
      </c>
      <c r="E6254" t="s">
        <v>7230</v>
      </c>
      <c r="F6254">
        <v>4</v>
      </c>
    </row>
    <row r="6255" spans="1:6" ht="13.2">
      <c r="A6255" t="s">
        <v>7232</v>
      </c>
      <c r="B6255">
        <v>0</v>
      </c>
      <c r="C6255" s="44">
        <v>3200</v>
      </c>
      <c r="D6255" t="s">
        <v>293</v>
      </c>
      <c r="E6255" t="s">
        <v>7230</v>
      </c>
      <c r="F6255">
        <v>4</v>
      </c>
    </row>
    <row r="6256" spans="1:6" ht="13.2">
      <c r="A6256" t="s">
        <v>7233</v>
      </c>
      <c r="B6256">
        <v>0</v>
      </c>
      <c r="C6256" s="44">
        <v>3200</v>
      </c>
      <c r="D6256" t="s">
        <v>293</v>
      </c>
      <c r="E6256" t="s">
        <v>7230</v>
      </c>
      <c r="F6256">
        <v>4</v>
      </c>
    </row>
    <row r="6257" spans="1:6" ht="13.2">
      <c r="A6257" t="s">
        <v>7234</v>
      </c>
      <c r="B6257">
        <v>0</v>
      </c>
      <c r="C6257" s="44">
        <v>3200</v>
      </c>
      <c r="D6257" t="s">
        <v>293</v>
      </c>
      <c r="E6257" t="s">
        <v>7230</v>
      </c>
      <c r="F6257">
        <v>4</v>
      </c>
    </row>
    <row r="6258" spans="1:6" ht="13.2">
      <c r="A6258" t="s">
        <v>7235</v>
      </c>
      <c r="B6258">
        <v>0</v>
      </c>
      <c r="C6258" s="44">
        <v>3200</v>
      </c>
      <c r="D6258" t="s">
        <v>293</v>
      </c>
      <c r="E6258" t="s">
        <v>7230</v>
      </c>
      <c r="F6258">
        <v>4</v>
      </c>
    </row>
    <row r="6259" spans="1:6" ht="13.2">
      <c r="A6259" t="s">
        <v>7236</v>
      </c>
      <c r="B6259">
        <v>0</v>
      </c>
      <c r="C6259" s="44">
        <v>3200</v>
      </c>
      <c r="D6259" t="s">
        <v>293</v>
      </c>
      <c r="E6259" t="s">
        <v>7230</v>
      </c>
      <c r="F6259">
        <v>4</v>
      </c>
    </row>
    <row r="6260" spans="1:6" ht="13.2">
      <c r="A6260" t="s">
        <v>7237</v>
      </c>
      <c r="B6260">
        <v>0</v>
      </c>
      <c r="C6260" s="44">
        <v>3200</v>
      </c>
      <c r="D6260" t="s">
        <v>293</v>
      </c>
      <c r="E6260" t="s">
        <v>7230</v>
      </c>
      <c r="F6260">
        <v>4</v>
      </c>
    </row>
    <row r="6261" spans="1:6" ht="13.2">
      <c r="A6261" t="s">
        <v>7238</v>
      </c>
      <c r="B6261">
        <v>0</v>
      </c>
      <c r="C6261" s="44">
        <v>3200</v>
      </c>
      <c r="D6261" t="s">
        <v>293</v>
      </c>
      <c r="E6261" t="s">
        <v>7230</v>
      </c>
      <c r="F6261">
        <v>4</v>
      </c>
    </row>
    <row r="6262" spans="1:6" ht="13.2">
      <c r="A6262" t="s">
        <v>7239</v>
      </c>
      <c r="B6262">
        <v>0</v>
      </c>
      <c r="C6262" s="44">
        <v>3200</v>
      </c>
      <c r="D6262" t="s">
        <v>293</v>
      </c>
      <c r="E6262" t="s">
        <v>7230</v>
      </c>
      <c r="F6262">
        <v>4</v>
      </c>
    </row>
    <row r="6263" spans="1:6" ht="13.2">
      <c r="A6263" t="s">
        <v>7240</v>
      </c>
      <c r="B6263">
        <v>0</v>
      </c>
      <c r="C6263" s="44">
        <v>3200</v>
      </c>
      <c r="D6263" t="s">
        <v>293</v>
      </c>
      <c r="E6263" t="s">
        <v>7230</v>
      </c>
      <c r="F6263">
        <v>4</v>
      </c>
    </row>
    <row r="6264" spans="1:6" ht="13.2">
      <c r="A6264" t="s">
        <v>7241</v>
      </c>
      <c r="B6264">
        <v>0</v>
      </c>
      <c r="C6264" s="44">
        <v>3200</v>
      </c>
      <c r="D6264" t="s">
        <v>293</v>
      </c>
      <c r="E6264" t="s">
        <v>7230</v>
      </c>
      <c r="F6264">
        <v>4</v>
      </c>
    </row>
    <row r="6265" spans="1:6" ht="13.2">
      <c r="A6265" t="s">
        <v>7242</v>
      </c>
      <c r="B6265">
        <v>0</v>
      </c>
      <c r="C6265" s="44">
        <v>3200</v>
      </c>
      <c r="D6265" t="s">
        <v>293</v>
      </c>
      <c r="E6265" t="s">
        <v>7230</v>
      </c>
      <c r="F6265">
        <v>4</v>
      </c>
    </row>
    <row r="6266" spans="1:6" ht="13.2">
      <c r="A6266" t="s">
        <v>7243</v>
      </c>
      <c r="B6266">
        <v>0</v>
      </c>
      <c r="C6266" s="44">
        <v>3200</v>
      </c>
      <c r="D6266" t="s">
        <v>291</v>
      </c>
      <c r="E6266" t="s">
        <v>7230</v>
      </c>
      <c r="F6266">
        <v>4</v>
      </c>
    </row>
    <row r="6267" spans="1:6" ht="13.2">
      <c r="A6267" t="s">
        <v>7244</v>
      </c>
      <c r="B6267">
        <v>0</v>
      </c>
      <c r="C6267" s="44">
        <v>3200</v>
      </c>
      <c r="D6267" t="s">
        <v>291</v>
      </c>
      <c r="E6267" t="s">
        <v>7230</v>
      </c>
      <c r="F6267">
        <v>4</v>
      </c>
    </row>
    <row r="6268" spans="1:6" ht="13.2">
      <c r="A6268" t="s">
        <v>7245</v>
      </c>
      <c r="B6268">
        <v>0</v>
      </c>
      <c r="C6268" s="44">
        <v>3200</v>
      </c>
      <c r="D6268" t="s">
        <v>291</v>
      </c>
      <c r="E6268" t="s">
        <v>7230</v>
      </c>
      <c r="F6268">
        <v>4</v>
      </c>
    </row>
    <row r="6269" spans="1:6" ht="13.2">
      <c r="A6269" t="s">
        <v>7246</v>
      </c>
      <c r="B6269">
        <v>0</v>
      </c>
      <c r="C6269" s="44">
        <v>3200</v>
      </c>
      <c r="D6269" t="s">
        <v>291</v>
      </c>
      <c r="E6269" t="s">
        <v>7230</v>
      </c>
      <c r="F6269">
        <v>4</v>
      </c>
    </row>
    <row r="6270" spans="1:6" ht="13.2">
      <c r="A6270" t="s">
        <v>7247</v>
      </c>
      <c r="B6270">
        <v>0</v>
      </c>
      <c r="C6270" s="44">
        <v>3200</v>
      </c>
      <c r="D6270" t="s">
        <v>291</v>
      </c>
      <c r="E6270" t="s">
        <v>7230</v>
      </c>
      <c r="F6270">
        <v>4</v>
      </c>
    </row>
    <row r="6271" spans="1:6" ht="13.2">
      <c r="A6271" t="s">
        <v>7248</v>
      </c>
      <c r="B6271">
        <v>0</v>
      </c>
      <c r="C6271" s="44">
        <v>3200</v>
      </c>
      <c r="D6271" t="s">
        <v>291</v>
      </c>
      <c r="E6271" t="s">
        <v>7230</v>
      </c>
      <c r="F6271">
        <v>4</v>
      </c>
    </row>
    <row r="6272" spans="1:6" ht="13.2">
      <c r="A6272" t="s">
        <v>7249</v>
      </c>
      <c r="B6272">
        <v>0</v>
      </c>
      <c r="C6272" s="44">
        <v>3200</v>
      </c>
      <c r="D6272" t="s">
        <v>291</v>
      </c>
      <c r="E6272" t="s">
        <v>7230</v>
      </c>
      <c r="F6272">
        <v>4</v>
      </c>
    </row>
    <row r="6273" spans="1:6" ht="13.2">
      <c r="A6273" t="s">
        <v>7250</v>
      </c>
      <c r="B6273">
        <v>0</v>
      </c>
      <c r="C6273" s="44">
        <v>3200</v>
      </c>
      <c r="D6273" t="s">
        <v>291</v>
      </c>
      <c r="E6273" t="s">
        <v>7230</v>
      </c>
      <c r="F6273">
        <v>4</v>
      </c>
    </row>
    <row r="6274" spans="1:6" ht="13.2">
      <c r="A6274" t="s">
        <v>7251</v>
      </c>
      <c r="B6274">
        <v>0</v>
      </c>
      <c r="C6274" s="44">
        <v>3200</v>
      </c>
      <c r="D6274" t="s">
        <v>291</v>
      </c>
      <c r="E6274" t="s">
        <v>7230</v>
      </c>
      <c r="F6274">
        <v>4</v>
      </c>
    </row>
    <row r="6275" spans="1:6" ht="13.2">
      <c r="A6275" t="s">
        <v>7252</v>
      </c>
      <c r="B6275">
        <v>0</v>
      </c>
      <c r="C6275" s="44">
        <v>3200</v>
      </c>
      <c r="D6275" t="s">
        <v>291</v>
      </c>
      <c r="E6275" t="s">
        <v>7230</v>
      </c>
      <c r="F6275">
        <v>4</v>
      </c>
    </row>
    <row r="6276" spans="1:6" ht="13.2">
      <c r="A6276" t="s">
        <v>7253</v>
      </c>
      <c r="B6276">
        <v>0</v>
      </c>
      <c r="C6276" s="44">
        <v>3200</v>
      </c>
      <c r="D6276" t="s">
        <v>291</v>
      </c>
      <c r="E6276" t="s">
        <v>7230</v>
      </c>
      <c r="F6276">
        <v>4</v>
      </c>
    </row>
    <row r="6277" spans="1:6" ht="13.2">
      <c r="A6277" t="s">
        <v>7254</v>
      </c>
      <c r="B6277">
        <v>0</v>
      </c>
      <c r="C6277" s="44">
        <v>3200</v>
      </c>
      <c r="D6277" t="s">
        <v>291</v>
      </c>
      <c r="E6277" t="s">
        <v>7230</v>
      </c>
      <c r="F6277">
        <v>4</v>
      </c>
    </row>
    <row r="6278" spans="1:6" ht="13.2">
      <c r="A6278" t="s">
        <v>7255</v>
      </c>
      <c r="B6278">
        <v>0</v>
      </c>
      <c r="C6278" s="44">
        <v>3200</v>
      </c>
      <c r="D6278" t="s">
        <v>291</v>
      </c>
      <c r="E6278" t="s">
        <v>7230</v>
      </c>
      <c r="F6278">
        <v>4</v>
      </c>
    </row>
    <row r="6279" spans="1:6" ht="13.2">
      <c r="A6279" t="s">
        <v>7256</v>
      </c>
      <c r="B6279">
        <v>625</v>
      </c>
      <c r="C6279" s="44">
        <v>1400</v>
      </c>
      <c r="D6279" t="s">
        <v>291</v>
      </c>
      <c r="E6279" t="s">
        <v>577</v>
      </c>
      <c r="F6279">
        <v>3</v>
      </c>
    </row>
    <row r="6280" spans="1:6" ht="13.2">
      <c r="A6280" t="s">
        <v>7257</v>
      </c>
      <c r="B6280">
        <v>625</v>
      </c>
      <c r="C6280" s="44">
        <v>1400</v>
      </c>
      <c r="D6280" t="s">
        <v>291</v>
      </c>
      <c r="E6280" t="s">
        <v>577</v>
      </c>
      <c r="F6280">
        <v>3</v>
      </c>
    </row>
    <row r="6281" spans="1:6" ht="13.2">
      <c r="A6281" t="s">
        <v>7258</v>
      </c>
      <c r="B6281">
        <v>625</v>
      </c>
      <c r="C6281" s="44">
        <v>1400</v>
      </c>
      <c r="D6281" t="s">
        <v>291</v>
      </c>
      <c r="E6281" t="s">
        <v>577</v>
      </c>
      <c r="F6281">
        <v>3</v>
      </c>
    </row>
    <row r="6282" spans="1:6" ht="13.2">
      <c r="A6282" t="s">
        <v>7259</v>
      </c>
      <c r="B6282">
        <v>625</v>
      </c>
      <c r="C6282" s="44">
        <v>1400</v>
      </c>
      <c r="D6282" t="s">
        <v>291</v>
      </c>
      <c r="E6282" t="s">
        <v>577</v>
      </c>
      <c r="F6282">
        <v>3</v>
      </c>
    </row>
    <row r="6283" spans="1:6" ht="13.2">
      <c r="A6283" t="s">
        <v>7260</v>
      </c>
      <c r="B6283">
        <v>625</v>
      </c>
      <c r="C6283" s="44">
        <v>1400</v>
      </c>
      <c r="D6283" t="s">
        <v>291</v>
      </c>
      <c r="E6283" t="s">
        <v>577</v>
      </c>
      <c r="F6283">
        <v>3</v>
      </c>
    </row>
    <row r="6284" spans="1:6" ht="13.2">
      <c r="A6284" t="s">
        <v>7261</v>
      </c>
      <c r="B6284">
        <v>625</v>
      </c>
      <c r="C6284" s="44">
        <v>1400</v>
      </c>
      <c r="D6284" t="s">
        <v>291</v>
      </c>
      <c r="E6284" t="s">
        <v>577</v>
      </c>
      <c r="F6284">
        <v>3</v>
      </c>
    </row>
    <row r="6285" spans="1:6" ht="13.2">
      <c r="A6285" t="s">
        <v>7262</v>
      </c>
      <c r="B6285">
        <v>0</v>
      </c>
      <c r="C6285" s="44">
        <v>3300</v>
      </c>
      <c r="D6285" t="s">
        <v>293</v>
      </c>
      <c r="E6285" t="s">
        <v>7263</v>
      </c>
      <c r="F6285">
        <v>4</v>
      </c>
    </row>
    <row r="6286" spans="1:6" ht="13.2">
      <c r="A6286" t="s">
        <v>7264</v>
      </c>
      <c r="B6286">
        <v>0</v>
      </c>
      <c r="C6286" s="44">
        <v>3300</v>
      </c>
      <c r="D6286" t="s">
        <v>293</v>
      </c>
      <c r="E6286" t="s">
        <v>7263</v>
      </c>
      <c r="F6286">
        <v>4</v>
      </c>
    </row>
    <row r="6287" spans="1:6" ht="13.2">
      <c r="A6287" t="s">
        <v>7265</v>
      </c>
      <c r="B6287">
        <v>0</v>
      </c>
      <c r="C6287" s="44">
        <v>3300</v>
      </c>
      <c r="D6287" t="s">
        <v>293</v>
      </c>
      <c r="E6287" t="s">
        <v>7263</v>
      </c>
      <c r="F6287">
        <v>4</v>
      </c>
    </row>
    <row r="6288" spans="1:6" ht="13.2">
      <c r="A6288" t="s">
        <v>7266</v>
      </c>
      <c r="B6288">
        <v>0</v>
      </c>
      <c r="C6288" s="44">
        <v>3300</v>
      </c>
      <c r="D6288" t="s">
        <v>293</v>
      </c>
      <c r="E6288" t="s">
        <v>7263</v>
      </c>
      <c r="F6288">
        <v>4</v>
      </c>
    </row>
    <row r="6289" spans="1:6" ht="13.2">
      <c r="A6289" t="s">
        <v>7267</v>
      </c>
      <c r="B6289">
        <v>0</v>
      </c>
      <c r="C6289" s="44">
        <v>3300</v>
      </c>
      <c r="D6289" t="s">
        <v>293</v>
      </c>
      <c r="E6289" t="s">
        <v>7263</v>
      </c>
      <c r="F6289">
        <v>4</v>
      </c>
    </row>
    <row r="6290" spans="1:6" ht="13.2">
      <c r="A6290" t="s">
        <v>7268</v>
      </c>
      <c r="B6290">
        <v>0</v>
      </c>
      <c r="C6290" s="44">
        <v>3300</v>
      </c>
      <c r="D6290" t="s">
        <v>293</v>
      </c>
      <c r="E6290" t="s">
        <v>7263</v>
      </c>
      <c r="F6290">
        <v>4</v>
      </c>
    </row>
    <row r="6291" spans="1:6" ht="13.2">
      <c r="A6291" t="s">
        <v>7269</v>
      </c>
      <c r="B6291">
        <v>0</v>
      </c>
      <c r="C6291" s="44">
        <v>3300</v>
      </c>
      <c r="D6291" t="s">
        <v>293</v>
      </c>
      <c r="E6291" t="s">
        <v>7263</v>
      </c>
      <c r="F6291">
        <v>4</v>
      </c>
    </row>
    <row r="6292" spans="1:6" ht="13.2">
      <c r="A6292" t="s">
        <v>7270</v>
      </c>
      <c r="B6292">
        <v>0</v>
      </c>
      <c r="C6292" s="44">
        <v>3300</v>
      </c>
      <c r="D6292" t="s">
        <v>293</v>
      </c>
      <c r="E6292" t="s">
        <v>7263</v>
      </c>
      <c r="F6292">
        <v>4</v>
      </c>
    </row>
    <row r="6293" spans="1:6" ht="13.2">
      <c r="A6293" t="s">
        <v>7271</v>
      </c>
      <c r="B6293">
        <v>0</v>
      </c>
      <c r="C6293" s="44">
        <v>3300</v>
      </c>
      <c r="D6293" t="s">
        <v>293</v>
      </c>
      <c r="E6293" t="s">
        <v>7263</v>
      </c>
      <c r="F6293">
        <v>4</v>
      </c>
    </row>
    <row r="6294" spans="1:6" ht="13.2">
      <c r="A6294" t="s">
        <v>7272</v>
      </c>
      <c r="B6294">
        <v>0</v>
      </c>
      <c r="C6294" s="44">
        <v>3300</v>
      </c>
      <c r="D6294" t="s">
        <v>293</v>
      </c>
      <c r="E6294" t="s">
        <v>7263</v>
      </c>
      <c r="F6294">
        <v>4</v>
      </c>
    </row>
    <row r="6295" spans="1:6" ht="13.2">
      <c r="A6295" t="s">
        <v>7273</v>
      </c>
      <c r="B6295">
        <v>0</v>
      </c>
      <c r="C6295" s="44">
        <v>3300</v>
      </c>
      <c r="D6295" t="s">
        <v>293</v>
      </c>
      <c r="E6295" t="s">
        <v>7263</v>
      </c>
      <c r="F6295">
        <v>4</v>
      </c>
    </row>
    <row r="6296" spans="1:6" ht="13.2">
      <c r="A6296" t="s">
        <v>7274</v>
      </c>
      <c r="B6296">
        <v>0</v>
      </c>
      <c r="C6296" s="44">
        <v>3300</v>
      </c>
      <c r="D6296" t="s">
        <v>291</v>
      </c>
      <c r="E6296" t="s">
        <v>7263</v>
      </c>
      <c r="F6296">
        <v>4</v>
      </c>
    </row>
    <row r="6297" spans="1:6" ht="13.2">
      <c r="A6297" t="s">
        <v>7275</v>
      </c>
      <c r="B6297">
        <v>0</v>
      </c>
      <c r="C6297" s="44">
        <v>3300</v>
      </c>
      <c r="D6297" t="s">
        <v>291</v>
      </c>
      <c r="E6297" t="s">
        <v>7263</v>
      </c>
      <c r="F6297">
        <v>4</v>
      </c>
    </row>
    <row r="6298" spans="1:6" ht="13.2">
      <c r="A6298" t="s">
        <v>7276</v>
      </c>
      <c r="B6298">
        <v>0</v>
      </c>
      <c r="C6298" s="44">
        <v>3300</v>
      </c>
      <c r="D6298" t="s">
        <v>291</v>
      </c>
      <c r="E6298" t="s">
        <v>7263</v>
      </c>
      <c r="F6298">
        <v>4</v>
      </c>
    </row>
    <row r="6299" spans="1:6" ht="13.2">
      <c r="A6299" t="s">
        <v>7277</v>
      </c>
      <c r="B6299">
        <v>0</v>
      </c>
      <c r="C6299" s="44">
        <v>3300</v>
      </c>
      <c r="D6299" t="s">
        <v>291</v>
      </c>
      <c r="E6299" t="s">
        <v>7263</v>
      </c>
      <c r="F6299">
        <v>4</v>
      </c>
    </row>
    <row r="6300" spans="1:6" ht="13.2">
      <c r="A6300" t="s">
        <v>7278</v>
      </c>
      <c r="B6300">
        <v>0</v>
      </c>
      <c r="C6300" s="44">
        <v>3300</v>
      </c>
      <c r="D6300" t="s">
        <v>291</v>
      </c>
      <c r="E6300" t="s">
        <v>7263</v>
      </c>
      <c r="F6300">
        <v>4</v>
      </c>
    </row>
    <row r="6301" spans="1:6" ht="13.2">
      <c r="A6301" t="s">
        <v>7279</v>
      </c>
      <c r="B6301">
        <v>0</v>
      </c>
      <c r="C6301" s="44">
        <v>3300</v>
      </c>
      <c r="D6301" t="s">
        <v>291</v>
      </c>
      <c r="E6301" t="s">
        <v>7263</v>
      </c>
      <c r="F6301">
        <v>4</v>
      </c>
    </row>
    <row r="6302" spans="1:6" ht="13.2">
      <c r="A6302" t="s">
        <v>7280</v>
      </c>
      <c r="B6302">
        <v>0</v>
      </c>
      <c r="C6302" s="44">
        <v>3300</v>
      </c>
      <c r="D6302" t="s">
        <v>291</v>
      </c>
      <c r="E6302" t="s">
        <v>7263</v>
      </c>
      <c r="F6302">
        <v>4</v>
      </c>
    </row>
    <row r="6303" spans="1:6" ht="13.2">
      <c r="A6303" t="s">
        <v>7281</v>
      </c>
      <c r="B6303">
        <v>0</v>
      </c>
      <c r="C6303" s="44">
        <v>3300</v>
      </c>
      <c r="D6303" t="s">
        <v>291</v>
      </c>
      <c r="E6303" t="s">
        <v>7263</v>
      </c>
      <c r="F6303">
        <v>4</v>
      </c>
    </row>
    <row r="6304" spans="1:6" ht="13.2">
      <c r="A6304" t="s">
        <v>7282</v>
      </c>
      <c r="B6304">
        <v>0</v>
      </c>
      <c r="C6304" s="44">
        <v>3300</v>
      </c>
      <c r="D6304" t="s">
        <v>291</v>
      </c>
      <c r="E6304" t="s">
        <v>7263</v>
      </c>
      <c r="F6304">
        <v>4</v>
      </c>
    </row>
    <row r="6305" spans="1:6" ht="13.2">
      <c r="A6305" t="s">
        <v>7283</v>
      </c>
      <c r="B6305">
        <v>0</v>
      </c>
      <c r="C6305" s="44">
        <v>3300</v>
      </c>
      <c r="D6305" t="s">
        <v>291</v>
      </c>
      <c r="E6305" t="s">
        <v>7263</v>
      </c>
      <c r="F6305">
        <v>4</v>
      </c>
    </row>
    <row r="6306" spans="1:6" ht="13.2">
      <c r="A6306" t="s">
        <v>7284</v>
      </c>
      <c r="B6306">
        <v>0</v>
      </c>
      <c r="C6306" s="44">
        <v>3300</v>
      </c>
      <c r="D6306" t="s">
        <v>291</v>
      </c>
      <c r="E6306" t="s">
        <v>7263</v>
      </c>
      <c r="F6306">
        <v>4</v>
      </c>
    </row>
    <row r="6307" spans="1:5" ht="13.2">
      <c r="A6307" t="s">
        <v>7285</v>
      </c>
      <c r="B6307">
        <v>685</v>
      </c>
      <c r="C6307" s="44">
        <v>1370</v>
      </c>
      <c r="D6307" t="s">
        <v>291</v>
      </c>
      <c r="E6307" t="s">
        <v>577</v>
      </c>
    </row>
    <row r="6308" spans="1:5" ht="13.2">
      <c r="A6308" t="s">
        <v>7286</v>
      </c>
      <c r="B6308">
        <v>685</v>
      </c>
      <c r="C6308" s="44">
        <v>1370</v>
      </c>
      <c r="D6308" t="s">
        <v>291</v>
      </c>
      <c r="E6308" t="s">
        <v>577</v>
      </c>
    </row>
    <row r="6309" spans="1:5" ht="13.2">
      <c r="A6309" t="s">
        <v>7287</v>
      </c>
      <c r="B6309">
        <v>685</v>
      </c>
      <c r="C6309" s="44">
        <v>1370</v>
      </c>
      <c r="D6309" t="s">
        <v>291</v>
      </c>
      <c r="E6309" t="s">
        <v>577</v>
      </c>
    </row>
    <row r="6310" spans="1:5" ht="13.2">
      <c r="A6310" t="s">
        <v>7288</v>
      </c>
      <c r="B6310">
        <v>685</v>
      </c>
      <c r="C6310" s="44">
        <v>1370</v>
      </c>
      <c r="D6310" t="s">
        <v>291</v>
      </c>
      <c r="E6310" t="s">
        <v>577</v>
      </c>
    </row>
    <row r="6311" spans="1:5" ht="13.2">
      <c r="A6311" t="s">
        <v>7289</v>
      </c>
      <c r="B6311">
        <v>685</v>
      </c>
      <c r="C6311" s="44">
        <v>1370</v>
      </c>
      <c r="D6311" t="s">
        <v>291</v>
      </c>
      <c r="E6311" t="s">
        <v>577</v>
      </c>
    </row>
    <row r="6312" spans="1:5" ht="13.2">
      <c r="A6312" t="s">
        <v>7290</v>
      </c>
      <c r="B6312">
        <v>685</v>
      </c>
      <c r="C6312" s="44">
        <v>1370</v>
      </c>
      <c r="D6312" t="s">
        <v>291</v>
      </c>
      <c r="E6312" t="s">
        <v>577</v>
      </c>
    </row>
    <row r="6313" spans="1:5" ht="13.2">
      <c r="A6313" t="s">
        <v>7291</v>
      </c>
      <c r="B6313">
        <v>685</v>
      </c>
      <c r="C6313" s="44">
        <v>1370</v>
      </c>
      <c r="D6313" t="s">
        <v>291</v>
      </c>
      <c r="E6313" t="s">
        <v>577</v>
      </c>
    </row>
    <row r="6314" spans="1:5" ht="13.2">
      <c r="A6314" t="s">
        <v>7297</v>
      </c>
      <c r="B6314">
        <v>0</v>
      </c>
      <c r="C6314" s="44">
        <v>3150</v>
      </c>
      <c r="D6314" t="s">
        <v>293</v>
      </c>
      <c r="E6314" t="s">
        <v>364</v>
      </c>
    </row>
    <row r="6315" spans="1:5" ht="13.2">
      <c r="A6315" t="s">
        <v>7298</v>
      </c>
      <c r="B6315">
        <v>0</v>
      </c>
      <c r="C6315" s="44">
        <v>3150</v>
      </c>
      <c r="D6315" t="s">
        <v>293</v>
      </c>
      <c r="E6315" t="s">
        <v>364</v>
      </c>
    </row>
    <row r="6316" spans="1:5" ht="13.2">
      <c r="A6316" t="s">
        <v>7299</v>
      </c>
      <c r="B6316">
        <v>0</v>
      </c>
      <c r="C6316" s="44">
        <v>3150</v>
      </c>
      <c r="D6316" t="s">
        <v>293</v>
      </c>
      <c r="E6316" t="s">
        <v>364</v>
      </c>
    </row>
    <row r="6317" spans="1:5" ht="13.2">
      <c r="A6317" t="s">
        <v>7300</v>
      </c>
      <c r="B6317">
        <v>0</v>
      </c>
      <c r="C6317" s="44">
        <v>3150</v>
      </c>
      <c r="D6317" t="s">
        <v>293</v>
      </c>
      <c r="E6317" t="s">
        <v>364</v>
      </c>
    </row>
    <row r="6318" spans="1:5" ht="13.2">
      <c r="A6318" t="s">
        <v>7301</v>
      </c>
      <c r="B6318">
        <v>0</v>
      </c>
      <c r="C6318" s="44">
        <v>3150</v>
      </c>
      <c r="D6318" t="s">
        <v>293</v>
      </c>
      <c r="E6318" t="s">
        <v>364</v>
      </c>
    </row>
    <row r="6319" spans="1:5" ht="13.2">
      <c r="A6319" t="s">
        <v>7302</v>
      </c>
      <c r="B6319">
        <v>0</v>
      </c>
      <c r="C6319" s="44">
        <v>3150</v>
      </c>
      <c r="D6319" t="s">
        <v>293</v>
      </c>
      <c r="E6319" t="s">
        <v>364</v>
      </c>
    </row>
    <row r="6320" spans="1:5" ht="13.2">
      <c r="A6320" t="s">
        <v>7303</v>
      </c>
      <c r="B6320">
        <v>0</v>
      </c>
      <c r="C6320" s="44">
        <v>3150</v>
      </c>
      <c r="D6320" t="s">
        <v>293</v>
      </c>
      <c r="E6320" t="s">
        <v>364</v>
      </c>
    </row>
    <row r="6321" spans="1:5" ht="13.2">
      <c r="A6321" t="s">
        <v>7304</v>
      </c>
      <c r="B6321">
        <v>0</v>
      </c>
      <c r="C6321" s="44">
        <v>3150</v>
      </c>
      <c r="D6321" t="s">
        <v>293</v>
      </c>
      <c r="E6321" t="s">
        <v>364</v>
      </c>
    </row>
    <row r="6322" spans="1:5" ht="13.2">
      <c r="A6322" t="s">
        <v>7305</v>
      </c>
      <c r="B6322">
        <v>0</v>
      </c>
      <c r="C6322" s="44">
        <v>3150</v>
      </c>
      <c r="D6322" t="s">
        <v>293</v>
      </c>
      <c r="E6322" t="s">
        <v>364</v>
      </c>
    </row>
    <row r="6323" spans="1:5" ht="13.2">
      <c r="A6323" t="s">
        <v>7306</v>
      </c>
      <c r="B6323">
        <v>0</v>
      </c>
      <c r="C6323" s="44">
        <v>3150</v>
      </c>
      <c r="D6323" t="s">
        <v>293</v>
      </c>
      <c r="E6323" t="s">
        <v>364</v>
      </c>
    </row>
    <row r="6324" spans="1:5" ht="13.2">
      <c r="A6324" t="s">
        <v>7307</v>
      </c>
      <c r="B6324">
        <v>0</v>
      </c>
      <c r="C6324" s="44">
        <v>3150</v>
      </c>
      <c r="D6324" t="s">
        <v>293</v>
      </c>
      <c r="E6324" t="s">
        <v>364</v>
      </c>
    </row>
    <row r="6325" spans="1:5" ht="13.2">
      <c r="A6325" t="s">
        <v>7308</v>
      </c>
      <c r="B6325">
        <v>0</v>
      </c>
      <c r="C6325" s="44">
        <v>3150</v>
      </c>
      <c r="D6325" t="s">
        <v>293</v>
      </c>
      <c r="E6325" t="s">
        <v>364</v>
      </c>
    </row>
    <row r="6326" spans="1:5" ht="13.2">
      <c r="A6326" t="s">
        <v>7309</v>
      </c>
      <c r="B6326">
        <v>0</v>
      </c>
      <c r="C6326" s="44">
        <v>3150</v>
      </c>
      <c r="D6326" t="s">
        <v>293</v>
      </c>
      <c r="E6326" t="s">
        <v>364</v>
      </c>
    </row>
    <row r="6327" spans="1:5" ht="13.2">
      <c r="A6327" t="s">
        <v>7310</v>
      </c>
      <c r="B6327">
        <v>0</v>
      </c>
      <c r="C6327" s="44">
        <v>3150</v>
      </c>
      <c r="D6327" t="s">
        <v>293</v>
      </c>
      <c r="E6327" t="s">
        <v>364</v>
      </c>
    </row>
    <row r="6328" spans="1:6" ht="13.2">
      <c r="A6328" t="s">
        <v>7336</v>
      </c>
      <c r="B6328">
        <v>0</v>
      </c>
      <c r="C6328" s="44">
        <v>1400</v>
      </c>
      <c r="D6328" t="s">
        <v>291</v>
      </c>
      <c r="E6328" t="s">
        <v>7337</v>
      </c>
      <c r="F6328">
        <v>4</v>
      </c>
    </row>
    <row r="6329" spans="1:6" ht="13.2">
      <c r="A6329" t="s">
        <v>7338</v>
      </c>
      <c r="B6329">
        <v>0</v>
      </c>
      <c r="C6329" s="44">
        <v>1400</v>
      </c>
      <c r="D6329" t="s">
        <v>291</v>
      </c>
      <c r="E6329" t="s">
        <v>7337</v>
      </c>
      <c r="F6329">
        <v>4</v>
      </c>
    </row>
    <row r="6330" spans="1:6" ht="13.2">
      <c r="A6330" t="s">
        <v>7339</v>
      </c>
      <c r="B6330">
        <v>0</v>
      </c>
      <c r="C6330" s="44">
        <v>1400</v>
      </c>
      <c r="D6330" t="s">
        <v>291</v>
      </c>
      <c r="E6330" t="s">
        <v>7337</v>
      </c>
      <c r="F6330">
        <v>4</v>
      </c>
    </row>
    <row r="6331" spans="1:6" ht="13.2">
      <c r="A6331" t="s">
        <v>7340</v>
      </c>
      <c r="B6331">
        <v>0</v>
      </c>
      <c r="C6331" s="44">
        <v>1400</v>
      </c>
      <c r="D6331" t="s">
        <v>291</v>
      </c>
      <c r="E6331" t="s">
        <v>7337</v>
      </c>
      <c r="F6331">
        <v>4</v>
      </c>
    </row>
    <row r="6332" spans="1:6" ht="13.2">
      <c r="A6332" t="s">
        <v>7341</v>
      </c>
      <c r="B6332">
        <v>0</v>
      </c>
      <c r="C6332" s="44">
        <v>1400</v>
      </c>
      <c r="D6332" t="s">
        <v>291</v>
      </c>
      <c r="E6332" t="s">
        <v>7337</v>
      </c>
      <c r="F6332">
        <v>4</v>
      </c>
    </row>
    <row r="6333" spans="1:5" ht="13.2">
      <c r="A6333" t="s">
        <v>7342</v>
      </c>
      <c r="B6333">
        <v>0</v>
      </c>
      <c r="C6333" s="44">
        <v>1400</v>
      </c>
      <c r="D6333" t="s">
        <v>291</v>
      </c>
      <c r="E6333" t="s">
        <v>256</v>
      </c>
    </row>
    <row r="6334" spans="1:5" ht="13.2">
      <c r="A6334" t="s">
        <v>7343</v>
      </c>
      <c r="B6334">
        <v>0</v>
      </c>
      <c r="C6334" s="44">
        <v>1400</v>
      </c>
      <c r="D6334" t="s">
        <v>291</v>
      </c>
      <c r="E6334" t="s">
        <v>256</v>
      </c>
    </row>
    <row r="6335" spans="1:5" ht="13.2">
      <c r="A6335" t="s">
        <v>7344</v>
      </c>
      <c r="B6335">
        <v>0</v>
      </c>
      <c r="C6335" s="44">
        <v>1400</v>
      </c>
      <c r="D6335" t="s">
        <v>291</v>
      </c>
      <c r="E6335" t="s">
        <v>256</v>
      </c>
    </row>
    <row r="6336" spans="1:5" ht="13.2">
      <c r="A6336" t="s">
        <v>7345</v>
      </c>
      <c r="B6336">
        <v>0</v>
      </c>
      <c r="C6336" s="44">
        <v>1400</v>
      </c>
      <c r="D6336" t="s">
        <v>291</v>
      </c>
      <c r="E6336" t="s">
        <v>256</v>
      </c>
    </row>
    <row r="6337" spans="1:5" ht="13.2">
      <c r="A6337" t="s">
        <v>7346</v>
      </c>
      <c r="B6337">
        <v>0</v>
      </c>
      <c r="C6337" s="44">
        <v>1400</v>
      </c>
      <c r="D6337" t="s">
        <v>291</v>
      </c>
      <c r="E6337" t="s">
        <v>256</v>
      </c>
    </row>
    <row r="6338" spans="1:5" ht="13.2">
      <c r="A6338" t="s">
        <v>7347</v>
      </c>
      <c r="B6338">
        <v>0</v>
      </c>
      <c r="C6338" s="44">
        <v>1400</v>
      </c>
      <c r="D6338" t="s">
        <v>291</v>
      </c>
      <c r="E6338" t="s">
        <v>256</v>
      </c>
    </row>
    <row r="6339" spans="1:5" ht="13.2">
      <c r="A6339" t="s">
        <v>7348</v>
      </c>
      <c r="B6339">
        <v>0</v>
      </c>
      <c r="C6339" s="44">
        <v>1400</v>
      </c>
      <c r="D6339" t="s">
        <v>291</v>
      </c>
      <c r="E6339" t="s">
        <v>256</v>
      </c>
    </row>
    <row r="6340" spans="1:5" ht="13.2">
      <c r="A6340" t="s">
        <v>7349</v>
      </c>
      <c r="B6340">
        <v>0</v>
      </c>
      <c r="C6340" s="44">
        <v>1400</v>
      </c>
      <c r="D6340" t="s">
        <v>291</v>
      </c>
      <c r="E6340" t="s">
        <v>256</v>
      </c>
    </row>
    <row r="6341" spans="1:5" ht="13.2">
      <c r="A6341" t="s">
        <v>7350</v>
      </c>
      <c r="B6341">
        <v>0</v>
      </c>
      <c r="C6341" s="44">
        <v>1400</v>
      </c>
      <c r="D6341" t="s">
        <v>291</v>
      </c>
      <c r="E6341" t="s">
        <v>256</v>
      </c>
    </row>
    <row r="6342" spans="1:5" ht="13.2">
      <c r="A6342" t="s">
        <v>7351</v>
      </c>
      <c r="B6342">
        <v>0</v>
      </c>
      <c r="C6342" s="44">
        <v>1400</v>
      </c>
      <c r="D6342" t="s">
        <v>291</v>
      </c>
      <c r="E6342" t="s">
        <v>256</v>
      </c>
    </row>
    <row r="6343" spans="1:5" ht="13.2">
      <c r="A6343" t="s">
        <v>7352</v>
      </c>
      <c r="B6343">
        <v>0</v>
      </c>
      <c r="C6343" s="44">
        <v>1400</v>
      </c>
      <c r="D6343" t="s">
        <v>291</v>
      </c>
      <c r="E6343" t="s">
        <v>256</v>
      </c>
    </row>
    <row r="6344" spans="1:5" ht="13.2">
      <c r="A6344" t="s">
        <v>7353</v>
      </c>
      <c r="B6344">
        <v>0</v>
      </c>
      <c r="C6344" s="44">
        <v>1400</v>
      </c>
      <c r="D6344" t="s">
        <v>291</v>
      </c>
      <c r="E6344" t="s">
        <v>256</v>
      </c>
    </row>
    <row r="6345" spans="1:6" ht="13.2">
      <c r="A6345" t="s">
        <v>7354</v>
      </c>
      <c r="B6345">
        <v>125</v>
      </c>
      <c r="C6345" s="44">
        <v>1400</v>
      </c>
      <c r="D6345" t="s">
        <v>291</v>
      </c>
      <c r="E6345" t="s">
        <v>359</v>
      </c>
      <c r="F6345">
        <v>4</v>
      </c>
    </row>
    <row r="6346" spans="1:6" ht="13.2">
      <c r="A6346" t="s">
        <v>7355</v>
      </c>
      <c r="B6346">
        <v>125</v>
      </c>
      <c r="C6346" s="44">
        <v>1400</v>
      </c>
      <c r="D6346" t="s">
        <v>291</v>
      </c>
      <c r="E6346" t="s">
        <v>359</v>
      </c>
      <c r="F6346">
        <v>4</v>
      </c>
    </row>
    <row r="6347" spans="1:6" ht="13.2">
      <c r="A6347" t="s">
        <v>7356</v>
      </c>
      <c r="B6347">
        <v>125</v>
      </c>
      <c r="C6347" s="44">
        <v>1400</v>
      </c>
      <c r="D6347" t="s">
        <v>291</v>
      </c>
      <c r="E6347" t="s">
        <v>359</v>
      </c>
      <c r="F6347">
        <v>4</v>
      </c>
    </row>
    <row r="6348" spans="1:6" ht="13.2">
      <c r="A6348" t="s">
        <v>7357</v>
      </c>
      <c r="B6348">
        <v>125</v>
      </c>
      <c r="C6348" s="44">
        <v>1400</v>
      </c>
      <c r="D6348" t="s">
        <v>291</v>
      </c>
      <c r="E6348" t="s">
        <v>359</v>
      </c>
      <c r="F6348">
        <v>4</v>
      </c>
    </row>
    <row r="6349" spans="1:6" ht="13.2">
      <c r="A6349" t="s">
        <v>7358</v>
      </c>
      <c r="B6349">
        <v>125</v>
      </c>
      <c r="C6349" s="44">
        <v>1400</v>
      </c>
      <c r="D6349" t="s">
        <v>291</v>
      </c>
      <c r="E6349" t="s">
        <v>359</v>
      </c>
      <c r="F6349">
        <v>4</v>
      </c>
    </row>
    <row r="6350" spans="1:6" ht="13.2">
      <c r="A6350" t="s">
        <v>7359</v>
      </c>
      <c r="B6350">
        <v>725</v>
      </c>
      <c r="C6350" s="44">
        <v>1370</v>
      </c>
      <c r="D6350" t="s">
        <v>291</v>
      </c>
      <c r="E6350" t="s">
        <v>577</v>
      </c>
      <c r="F6350">
        <v>2</v>
      </c>
    </row>
    <row r="6351" spans="1:6" ht="13.2">
      <c r="A6351" t="s">
        <v>7360</v>
      </c>
      <c r="B6351">
        <v>725</v>
      </c>
      <c r="C6351" s="44">
        <v>1370</v>
      </c>
      <c r="D6351" t="s">
        <v>291</v>
      </c>
      <c r="E6351" t="s">
        <v>577</v>
      </c>
      <c r="F6351">
        <v>2</v>
      </c>
    </row>
    <row r="6352" spans="1:6" ht="13.2">
      <c r="A6352" t="s">
        <v>7361</v>
      </c>
      <c r="B6352">
        <v>725</v>
      </c>
      <c r="C6352" s="44">
        <v>1370</v>
      </c>
      <c r="D6352" t="s">
        <v>291</v>
      </c>
      <c r="E6352" t="s">
        <v>577</v>
      </c>
      <c r="F6352">
        <v>2</v>
      </c>
    </row>
    <row r="6353" spans="1:6" ht="13.2">
      <c r="A6353" t="s">
        <v>7362</v>
      </c>
      <c r="B6353">
        <v>725</v>
      </c>
      <c r="C6353" s="44">
        <v>1370</v>
      </c>
      <c r="D6353" t="s">
        <v>291</v>
      </c>
      <c r="E6353" t="s">
        <v>577</v>
      </c>
      <c r="F6353">
        <v>2</v>
      </c>
    </row>
    <row r="6354" spans="1:6" ht="13.2">
      <c r="A6354" t="s">
        <v>7363</v>
      </c>
      <c r="B6354">
        <v>725</v>
      </c>
      <c r="C6354" s="44">
        <v>1370</v>
      </c>
      <c r="D6354" t="s">
        <v>291</v>
      </c>
      <c r="E6354" t="s">
        <v>577</v>
      </c>
      <c r="F6354">
        <v>2</v>
      </c>
    </row>
    <row r="6355" spans="1:5" ht="13.2">
      <c r="A6355" t="s">
        <v>7364</v>
      </c>
      <c r="B6355">
        <v>480</v>
      </c>
      <c r="C6355" s="44">
        <v>1370</v>
      </c>
      <c r="D6355" t="s">
        <v>291</v>
      </c>
      <c r="E6355" t="s">
        <v>7365</v>
      </c>
    </row>
    <row r="6356" spans="1:5" ht="13.2">
      <c r="A6356" t="s">
        <v>7366</v>
      </c>
      <c r="B6356">
        <v>480</v>
      </c>
      <c r="C6356" s="44">
        <v>1370</v>
      </c>
      <c r="D6356" t="s">
        <v>291</v>
      </c>
      <c r="E6356" t="s">
        <v>7365</v>
      </c>
    </row>
    <row r="6357" spans="1:5" ht="13.2">
      <c r="A6357" t="s">
        <v>7367</v>
      </c>
      <c r="B6357">
        <v>480</v>
      </c>
      <c r="C6357" s="44">
        <v>1370</v>
      </c>
      <c r="D6357" t="s">
        <v>291</v>
      </c>
      <c r="E6357" t="s">
        <v>7365</v>
      </c>
    </row>
    <row r="6358" spans="1:5" ht="13.2">
      <c r="A6358" t="s">
        <v>7368</v>
      </c>
      <c r="B6358">
        <v>480</v>
      </c>
      <c r="C6358" s="44">
        <v>1370</v>
      </c>
      <c r="D6358" t="s">
        <v>291</v>
      </c>
      <c r="E6358" t="s">
        <v>7365</v>
      </c>
    </row>
    <row r="6359" spans="1:5" ht="13.2">
      <c r="A6359" t="s">
        <v>7369</v>
      </c>
      <c r="B6359">
        <v>480</v>
      </c>
      <c r="C6359" s="44">
        <v>1370</v>
      </c>
      <c r="D6359" t="s">
        <v>291</v>
      </c>
      <c r="E6359" t="s">
        <v>7365</v>
      </c>
    </row>
    <row r="6360" spans="1:5" ht="13.2">
      <c r="A6360" t="s">
        <v>7370</v>
      </c>
      <c r="B6360">
        <v>480</v>
      </c>
      <c r="C6360" s="44">
        <v>1370</v>
      </c>
      <c r="D6360" t="s">
        <v>291</v>
      </c>
      <c r="E6360" t="s">
        <v>7365</v>
      </c>
    </row>
    <row r="6361" spans="1:6" ht="13.2">
      <c r="A6361" t="s">
        <v>7371</v>
      </c>
      <c r="B6361">
        <v>10</v>
      </c>
      <c r="C6361" s="44">
        <v>1400</v>
      </c>
      <c r="D6361" t="s">
        <v>291</v>
      </c>
      <c r="E6361" t="s">
        <v>256</v>
      </c>
      <c r="F6361">
        <v>4</v>
      </c>
    </row>
    <row r="6362" spans="1:6" ht="13.2">
      <c r="A6362" t="s">
        <v>7372</v>
      </c>
      <c r="B6362">
        <v>10</v>
      </c>
      <c r="C6362" s="44">
        <v>1400</v>
      </c>
      <c r="D6362" t="s">
        <v>291</v>
      </c>
      <c r="E6362" t="s">
        <v>256</v>
      </c>
      <c r="F6362">
        <v>4</v>
      </c>
    </row>
    <row r="6363" spans="1:6" ht="13.2">
      <c r="A6363" t="s">
        <v>7373</v>
      </c>
      <c r="B6363">
        <v>10</v>
      </c>
      <c r="C6363" s="44">
        <v>1400</v>
      </c>
      <c r="D6363" t="s">
        <v>291</v>
      </c>
      <c r="E6363" t="s">
        <v>256</v>
      </c>
      <c r="F6363">
        <v>4</v>
      </c>
    </row>
    <row r="6364" spans="1:6" ht="13.2">
      <c r="A6364" t="s">
        <v>7374</v>
      </c>
      <c r="B6364">
        <v>10</v>
      </c>
      <c r="C6364" s="44">
        <v>1400</v>
      </c>
      <c r="D6364" t="s">
        <v>291</v>
      </c>
      <c r="E6364" t="s">
        <v>256</v>
      </c>
      <c r="F6364">
        <v>4</v>
      </c>
    </row>
    <row r="6365" spans="1:6" ht="13.2">
      <c r="A6365" t="s">
        <v>7375</v>
      </c>
      <c r="B6365">
        <v>10</v>
      </c>
      <c r="C6365" s="44">
        <v>1400</v>
      </c>
      <c r="D6365" t="s">
        <v>291</v>
      </c>
      <c r="E6365" t="s">
        <v>256</v>
      </c>
      <c r="F6365">
        <v>4</v>
      </c>
    </row>
    <row r="6366" spans="1:6" ht="13.2">
      <c r="A6366" t="s">
        <v>7376</v>
      </c>
      <c r="B6366">
        <v>10</v>
      </c>
      <c r="C6366" s="44">
        <v>1400</v>
      </c>
      <c r="D6366" t="s">
        <v>291</v>
      </c>
      <c r="E6366" t="s">
        <v>256</v>
      </c>
      <c r="F6366">
        <v>4</v>
      </c>
    </row>
    <row r="6367" spans="1:6" ht="13.2">
      <c r="A6367" t="s">
        <v>7377</v>
      </c>
      <c r="B6367">
        <v>10</v>
      </c>
      <c r="C6367" s="44">
        <v>1400</v>
      </c>
      <c r="D6367" t="s">
        <v>291</v>
      </c>
      <c r="E6367" t="s">
        <v>256</v>
      </c>
      <c r="F6367">
        <v>4</v>
      </c>
    </row>
    <row r="6368" spans="1:6" ht="13.2">
      <c r="A6368" t="s">
        <v>7378</v>
      </c>
      <c r="B6368">
        <v>10</v>
      </c>
      <c r="C6368" s="44">
        <v>1400</v>
      </c>
      <c r="D6368" t="s">
        <v>291</v>
      </c>
      <c r="E6368" t="s">
        <v>256</v>
      </c>
      <c r="F6368">
        <v>4</v>
      </c>
    </row>
    <row r="6369" spans="1:6" ht="13.2">
      <c r="A6369" t="s">
        <v>7379</v>
      </c>
      <c r="B6369">
        <v>0</v>
      </c>
      <c r="C6369" s="44">
        <v>3200</v>
      </c>
      <c r="D6369" t="s">
        <v>293</v>
      </c>
      <c r="E6369" t="s">
        <v>256</v>
      </c>
      <c r="F6369">
        <v>4</v>
      </c>
    </row>
    <row r="6370" spans="1:6" ht="13.2">
      <c r="A6370" t="s">
        <v>7380</v>
      </c>
      <c r="B6370">
        <v>0</v>
      </c>
      <c r="C6370" s="44">
        <v>3200</v>
      </c>
      <c r="D6370" t="s">
        <v>293</v>
      </c>
      <c r="E6370" t="s">
        <v>256</v>
      </c>
      <c r="F6370">
        <v>4</v>
      </c>
    </row>
    <row r="6371" spans="1:6" ht="13.2">
      <c r="A6371" t="s">
        <v>7381</v>
      </c>
      <c r="B6371">
        <v>0</v>
      </c>
      <c r="C6371" s="44">
        <v>3200</v>
      </c>
      <c r="D6371" t="s">
        <v>293</v>
      </c>
      <c r="E6371" t="s">
        <v>256</v>
      </c>
      <c r="F6371">
        <v>4</v>
      </c>
    </row>
    <row r="6372" spans="1:6" ht="13.2">
      <c r="A6372" t="s">
        <v>7382</v>
      </c>
      <c r="B6372">
        <v>0</v>
      </c>
      <c r="C6372" s="44">
        <v>3200</v>
      </c>
      <c r="D6372" t="s">
        <v>293</v>
      </c>
      <c r="E6372" t="s">
        <v>256</v>
      </c>
      <c r="F6372">
        <v>4</v>
      </c>
    </row>
    <row r="6373" spans="1:6" ht="13.2">
      <c r="A6373" t="s">
        <v>7383</v>
      </c>
      <c r="B6373">
        <v>0</v>
      </c>
      <c r="C6373" s="44">
        <v>3200</v>
      </c>
      <c r="D6373" t="s">
        <v>293</v>
      </c>
      <c r="E6373" t="s">
        <v>256</v>
      </c>
      <c r="F6373">
        <v>4</v>
      </c>
    </row>
    <row r="6374" spans="1:6" ht="13.2">
      <c r="A6374" t="s">
        <v>7384</v>
      </c>
      <c r="B6374">
        <v>0</v>
      </c>
      <c r="C6374" s="44">
        <v>3200</v>
      </c>
      <c r="D6374" t="s">
        <v>293</v>
      </c>
      <c r="E6374" t="s">
        <v>256</v>
      </c>
      <c r="F6374">
        <v>4</v>
      </c>
    </row>
    <row r="6375" spans="1:6" ht="13.2">
      <c r="A6375" t="s">
        <v>7385</v>
      </c>
      <c r="B6375">
        <v>0</v>
      </c>
      <c r="C6375" s="44">
        <v>3200</v>
      </c>
      <c r="D6375" t="s">
        <v>293</v>
      </c>
      <c r="E6375" t="s">
        <v>256</v>
      </c>
      <c r="F6375">
        <v>4</v>
      </c>
    </row>
    <row r="6376" spans="1:6" ht="13.2">
      <c r="A6376" t="s">
        <v>7386</v>
      </c>
      <c r="B6376">
        <v>0</v>
      </c>
      <c r="C6376" s="44">
        <v>3200</v>
      </c>
      <c r="D6376" t="s">
        <v>293</v>
      </c>
      <c r="E6376" t="s">
        <v>256</v>
      </c>
      <c r="F6376">
        <v>4</v>
      </c>
    </row>
    <row r="6377" spans="1:6" ht="13.2">
      <c r="A6377" t="s">
        <v>7387</v>
      </c>
      <c r="B6377">
        <v>0</v>
      </c>
      <c r="C6377" s="44">
        <v>3200</v>
      </c>
      <c r="D6377" t="s">
        <v>293</v>
      </c>
      <c r="E6377" t="s">
        <v>256</v>
      </c>
      <c r="F6377">
        <v>4</v>
      </c>
    </row>
    <row r="6378" spans="1:6" ht="13.2">
      <c r="A6378" t="s">
        <v>7388</v>
      </c>
      <c r="B6378">
        <v>0</v>
      </c>
      <c r="C6378" s="44">
        <v>3200</v>
      </c>
      <c r="D6378" t="s">
        <v>293</v>
      </c>
      <c r="E6378" t="s">
        <v>256</v>
      </c>
      <c r="F6378">
        <v>4</v>
      </c>
    </row>
    <row r="6379" spans="1:6" ht="13.2">
      <c r="A6379" t="s">
        <v>7389</v>
      </c>
      <c r="B6379">
        <v>0</v>
      </c>
      <c r="C6379" s="44">
        <v>3200</v>
      </c>
      <c r="D6379" t="s">
        <v>293</v>
      </c>
      <c r="E6379" t="s">
        <v>256</v>
      </c>
      <c r="F6379">
        <v>4</v>
      </c>
    </row>
    <row r="6380" spans="1:6" ht="13.2">
      <c r="A6380" t="s">
        <v>7390</v>
      </c>
      <c r="B6380">
        <v>0</v>
      </c>
      <c r="C6380" s="44">
        <v>3200</v>
      </c>
      <c r="D6380" t="s">
        <v>293</v>
      </c>
      <c r="E6380" t="s">
        <v>256</v>
      </c>
      <c r="F6380">
        <v>4</v>
      </c>
    </row>
    <row r="6381" spans="1:6" ht="13.2">
      <c r="A6381" t="s">
        <v>7391</v>
      </c>
      <c r="B6381">
        <v>0</v>
      </c>
      <c r="C6381" s="44">
        <v>3200</v>
      </c>
      <c r="D6381" t="s">
        <v>293</v>
      </c>
      <c r="E6381" t="s">
        <v>256</v>
      </c>
      <c r="F6381">
        <v>4</v>
      </c>
    </row>
    <row r="6382" spans="1:6" ht="13.2">
      <c r="A6382" t="s">
        <v>7392</v>
      </c>
      <c r="B6382">
        <v>0</v>
      </c>
      <c r="C6382" s="44">
        <v>3200</v>
      </c>
      <c r="D6382" t="s">
        <v>293</v>
      </c>
      <c r="E6382" t="s">
        <v>256</v>
      </c>
      <c r="F6382">
        <v>4</v>
      </c>
    </row>
    <row r="6383" spans="1:6" ht="13.2">
      <c r="A6383" t="s">
        <v>7393</v>
      </c>
      <c r="B6383">
        <v>0</v>
      </c>
      <c r="C6383" s="44">
        <v>3200</v>
      </c>
      <c r="D6383" t="s">
        <v>293</v>
      </c>
      <c r="E6383" t="s">
        <v>256</v>
      </c>
      <c r="F6383">
        <v>4</v>
      </c>
    </row>
    <row r="6384" spans="1:6" ht="13.2">
      <c r="A6384" t="s">
        <v>7394</v>
      </c>
      <c r="B6384">
        <v>0</v>
      </c>
      <c r="C6384" s="44">
        <v>3200</v>
      </c>
      <c r="D6384" t="s">
        <v>293</v>
      </c>
      <c r="E6384" t="s">
        <v>256</v>
      </c>
      <c r="F6384">
        <v>4</v>
      </c>
    </row>
    <row r="6385" spans="1:6" ht="13.2">
      <c r="A6385" t="s">
        <v>7395</v>
      </c>
      <c r="B6385">
        <v>0</v>
      </c>
      <c r="C6385" s="44">
        <v>3200</v>
      </c>
      <c r="D6385" t="s">
        <v>291</v>
      </c>
      <c r="E6385" t="s">
        <v>256</v>
      </c>
      <c r="F6385">
        <v>4</v>
      </c>
    </row>
    <row r="6386" spans="1:6" ht="13.2">
      <c r="A6386" t="s">
        <v>7396</v>
      </c>
      <c r="B6386">
        <v>0</v>
      </c>
      <c r="C6386" s="44">
        <v>3200</v>
      </c>
      <c r="D6386" t="s">
        <v>291</v>
      </c>
      <c r="E6386" t="s">
        <v>256</v>
      </c>
      <c r="F6386">
        <v>4</v>
      </c>
    </row>
    <row r="6387" spans="1:6" ht="13.2">
      <c r="A6387" t="s">
        <v>7397</v>
      </c>
      <c r="B6387">
        <v>0</v>
      </c>
      <c r="C6387" s="44">
        <v>3200</v>
      </c>
      <c r="D6387" t="s">
        <v>291</v>
      </c>
      <c r="E6387" t="s">
        <v>256</v>
      </c>
      <c r="F6387">
        <v>4</v>
      </c>
    </row>
    <row r="6388" spans="1:6" ht="13.2">
      <c r="A6388" t="s">
        <v>7398</v>
      </c>
      <c r="B6388">
        <v>0</v>
      </c>
      <c r="C6388" s="44">
        <v>3200</v>
      </c>
      <c r="D6388" t="s">
        <v>291</v>
      </c>
      <c r="E6388" t="s">
        <v>256</v>
      </c>
      <c r="F6388">
        <v>4</v>
      </c>
    </row>
    <row r="6389" spans="1:6" ht="13.2">
      <c r="A6389" t="s">
        <v>7399</v>
      </c>
      <c r="B6389">
        <v>0</v>
      </c>
      <c r="C6389" s="44">
        <v>3200</v>
      </c>
      <c r="D6389" t="s">
        <v>291</v>
      </c>
      <c r="E6389" t="s">
        <v>256</v>
      </c>
      <c r="F6389">
        <v>4</v>
      </c>
    </row>
    <row r="6390" spans="1:6" ht="13.2">
      <c r="A6390" t="s">
        <v>7400</v>
      </c>
      <c r="B6390">
        <v>0</v>
      </c>
      <c r="C6390" s="44">
        <v>3200</v>
      </c>
      <c r="D6390" t="s">
        <v>291</v>
      </c>
      <c r="E6390" t="s">
        <v>256</v>
      </c>
      <c r="F6390">
        <v>4</v>
      </c>
    </row>
    <row r="6391" spans="1:6" ht="13.2">
      <c r="A6391" t="s">
        <v>7401</v>
      </c>
      <c r="B6391">
        <v>0</v>
      </c>
      <c r="C6391" s="44">
        <v>3200</v>
      </c>
      <c r="D6391" t="s">
        <v>291</v>
      </c>
      <c r="E6391" t="s">
        <v>256</v>
      </c>
      <c r="F6391">
        <v>4</v>
      </c>
    </row>
    <row r="6392" spans="1:6" ht="13.2">
      <c r="A6392" t="s">
        <v>7402</v>
      </c>
      <c r="B6392">
        <v>0</v>
      </c>
      <c r="C6392" s="44">
        <v>3200</v>
      </c>
      <c r="D6392" t="s">
        <v>291</v>
      </c>
      <c r="E6392" t="s">
        <v>256</v>
      </c>
      <c r="F6392">
        <v>4</v>
      </c>
    </row>
    <row r="6393" spans="1:6" ht="13.2">
      <c r="A6393" t="s">
        <v>7403</v>
      </c>
      <c r="B6393">
        <v>0</v>
      </c>
      <c r="C6393" s="44">
        <v>3200</v>
      </c>
      <c r="D6393" t="s">
        <v>291</v>
      </c>
      <c r="E6393" t="s">
        <v>256</v>
      </c>
      <c r="F6393">
        <v>4</v>
      </c>
    </row>
    <row r="6394" spans="1:6" ht="13.2">
      <c r="A6394" t="s">
        <v>7404</v>
      </c>
      <c r="B6394">
        <v>0</v>
      </c>
      <c r="C6394" s="44">
        <v>3200</v>
      </c>
      <c r="D6394" t="s">
        <v>291</v>
      </c>
      <c r="E6394" t="s">
        <v>256</v>
      </c>
      <c r="F6394">
        <v>4</v>
      </c>
    </row>
    <row r="6395" spans="1:6" ht="13.2">
      <c r="A6395" t="s">
        <v>7405</v>
      </c>
      <c r="B6395">
        <v>0</v>
      </c>
      <c r="C6395" s="44">
        <v>3200</v>
      </c>
      <c r="D6395" t="s">
        <v>291</v>
      </c>
      <c r="E6395" t="s">
        <v>256</v>
      </c>
      <c r="F6395">
        <v>4</v>
      </c>
    </row>
    <row r="6396" spans="1:6" ht="13.2">
      <c r="A6396" t="s">
        <v>7406</v>
      </c>
      <c r="B6396">
        <v>0</v>
      </c>
      <c r="C6396" s="44">
        <v>3200</v>
      </c>
      <c r="D6396" t="s">
        <v>291</v>
      </c>
      <c r="E6396" t="s">
        <v>256</v>
      </c>
      <c r="F6396">
        <v>4</v>
      </c>
    </row>
    <row r="6397" spans="1:6" ht="13.2">
      <c r="A6397" t="s">
        <v>7407</v>
      </c>
      <c r="B6397">
        <v>0</v>
      </c>
      <c r="C6397" s="44">
        <v>3200</v>
      </c>
      <c r="D6397" t="s">
        <v>291</v>
      </c>
      <c r="E6397" t="s">
        <v>256</v>
      </c>
      <c r="F6397">
        <v>4</v>
      </c>
    </row>
    <row r="6398" spans="1:6" ht="13.2">
      <c r="A6398" t="s">
        <v>7408</v>
      </c>
      <c r="B6398">
        <v>0</v>
      </c>
      <c r="C6398" s="44">
        <v>3200</v>
      </c>
      <c r="D6398" t="s">
        <v>291</v>
      </c>
      <c r="E6398" t="s">
        <v>256</v>
      </c>
      <c r="F6398">
        <v>4</v>
      </c>
    </row>
    <row r="6399" spans="1:6" ht="13.2">
      <c r="A6399" t="s">
        <v>7409</v>
      </c>
      <c r="B6399">
        <v>0</v>
      </c>
      <c r="C6399" s="44">
        <v>3200</v>
      </c>
      <c r="D6399" t="s">
        <v>291</v>
      </c>
      <c r="E6399" t="s">
        <v>256</v>
      </c>
      <c r="F6399">
        <v>4</v>
      </c>
    </row>
    <row r="6400" spans="1:6" ht="13.2">
      <c r="A6400" t="s">
        <v>7410</v>
      </c>
      <c r="B6400">
        <v>0</v>
      </c>
      <c r="C6400" s="44">
        <v>3200</v>
      </c>
      <c r="D6400" t="s">
        <v>291</v>
      </c>
      <c r="E6400" t="s">
        <v>256</v>
      </c>
      <c r="F6400">
        <v>4</v>
      </c>
    </row>
    <row r="6401" spans="1:5" ht="13.2">
      <c r="A6401" t="s">
        <v>7411</v>
      </c>
      <c r="B6401">
        <v>0</v>
      </c>
      <c r="C6401" s="44">
        <v>2980</v>
      </c>
      <c r="D6401" t="s">
        <v>293</v>
      </c>
      <c r="E6401" t="s">
        <v>7412</v>
      </c>
    </row>
    <row r="6402" spans="1:5" ht="13.2">
      <c r="A6402" t="s">
        <v>7413</v>
      </c>
      <c r="B6402">
        <v>0</v>
      </c>
      <c r="C6402" s="44">
        <v>2980</v>
      </c>
      <c r="D6402" t="s">
        <v>291</v>
      </c>
      <c r="E6402" t="s">
        <v>7412</v>
      </c>
    </row>
    <row r="6403" spans="1:6" ht="13.2">
      <c r="A6403" t="s">
        <v>7414</v>
      </c>
      <c r="B6403">
        <v>0</v>
      </c>
      <c r="C6403" s="44">
        <v>1430</v>
      </c>
      <c r="D6403" t="s">
        <v>291</v>
      </c>
      <c r="E6403" t="s">
        <v>6250</v>
      </c>
      <c r="F6403">
        <v>4</v>
      </c>
    </row>
    <row r="6404" spans="1:6" ht="13.2">
      <c r="A6404" t="s">
        <v>7415</v>
      </c>
      <c r="B6404">
        <v>0</v>
      </c>
      <c r="C6404" s="44">
        <v>1430</v>
      </c>
      <c r="D6404" t="s">
        <v>291</v>
      </c>
      <c r="E6404" t="s">
        <v>6250</v>
      </c>
      <c r="F6404">
        <v>4</v>
      </c>
    </row>
    <row r="6405" spans="1:6" ht="13.2">
      <c r="A6405" t="s">
        <v>7416</v>
      </c>
      <c r="B6405">
        <v>0</v>
      </c>
      <c r="C6405" s="44">
        <v>1430</v>
      </c>
      <c r="D6405" t="s">
        <v>291</v>
      </c>
      <c r="E6405" t="s">
        <v>6250</v>
      </c>
      <c r="F6405">
        <v>4</v>
      </c>
    </row>
    <row r="6406" spans="1:6" ht="13.2">
      <c r="A6406" t="s">
        <v>7417</v>
      </c>
      <c r="B6406">
        <v>0</v>
      </c>
      <c r="C6406" s="44">
        <v>1430</v>
      </c>
      <c r="D6406" t="s">
        <v>291</v>
      </c>
      <c r="E6406" t="s">
        <v>6250</v>
      </c>
      <c r="F6406">
        <v>4</v>
      </c>
    </row>
    <row r="6407" spans="1:6" ht="13.2">
      <c r="A6407" t="s">
        <v>7418</v>
      </c>
      <c r="B6407">
        <v>0</v>
      </c>
      <c r="C6407" s="44">
        <v>1430</v>
      </c>
      <c r="D6407" t="s">
        <v>291</v>
      </c>
      <c r="E6407" t="s">
        <v>6250</v>
      </c>
      <c r="F6407">
        <v>4</v>
      </c>
    </row>
    <row r="6408" spans="1:6" ht="13.2">
      <c r="A6408" t="s">
        <v>7419</v>
      </c>
      <c r="B6408">
        <v>0</v>
      </c>
      <c r="C6408" s="44">
        <v>2800</v>
      </c>
      <c r="D6408" t="s">
        <v>291</v>
      </c>
      <c r="E6408" t="s">
        <v>256</v>
      </c>
      <c r="F6408" t="s">
        <v>280</v>
      </c>
    </row>
    <row r="6409" spans="1:6" ht="13.2">
      <c r="A6409" t="s">
        <v>7420</v>
      </c>
      <c r="B6409">
        <v>0</v>
      </c>
      <c r="C6409" s="44">
        <v>2800</v>
      </c>
      <c r="D6409" t="s">
        <v>291</v>
      </c>
      <c r="E6409" t="s">
        <v>256</v>
      </c>
      <c r="F6409" t="s">
        <v>280</v>
      </c>
    </row>
    <row r="6410" spans="1:6" ht="13.2">
      <c r="A6410" t="s">
        <v>7421</v>
      </c>
      <c r="B6410">
        <v>0</v>
      </c>
      <c r="C6410" s="44">
        <v>2800</v>
      </c>
      <c r="D6410" t="s">
        <v>291</v>
      </c>
      <c r="E6410" t="s">
        <v>256</v>
      </c>
      <c r="F6410" t="s">
        <v>280</v>
      </c>
    </row>
    <row r="6411" spans="1:6" ht="13.2">
      <c r="A6411" t="s">
        <v>7422</v>
      </c>
      <c r="B6411">
        <v>0</v>
      </c>
      <c r="C6411" s="44">
        <v>2800</v>
      </c>
      <c r="D6411" t="s">
        <v>291</v>
      </c>
      <c r="E6411" t="s">
        <v>256</v>
      </c>
      <c r="F6411" t="s">
        <v>280</v>
      </c>
    </row>
    <row r="6412" spans="1:6" ht="13.2">
      <c r="A6412" t="s">
        <v>7423</v>
      </c>
      <c r="B6412">
        <v>0</v>
      </c>
      <c r="C6412" s="44">
        <v>2800</v>
      </c>
      <c r="D6412" t="s">
        <v>291</v>
      </c>
      <c r="E6412" t="s">
        <v>256</v>
      </c>
      <c r="F6412" t="s">
        <v>280</v>
      </c>
    </row>
    <row r="6413" spans="1:6" ht="13.2">
      <c r="A6413" t="s">
        <v>7424</v>
      </c>
      <c r="B6413">
        <v>0</v>
      </c>
      <c r="C6413" s="44">
        <v>2800</v>
      </c>
      <c r="D6413" t="s">
        <v>291</v>
      </c>
      <c r="E6413" t="s">
        <v>256</v>
      </c>
      <c r="F6413" t="s">
        <v>280</v>
      </c>
    </row>
    <row r="6414" spans="1:6" ht="13.2">
      <c r="A6414" t="s">
        <v>7425</v>
      </c>
      <c r="B6414">
        <v>0</v>
      </c>
      <c r="C6414" s="44">
        <v>2800</v>
      </c>
      <c r="D6414" t="s">
        <v>291</v>
      </c>
      <c r="E6414" t="s">
        <v>256</v>
      </c>
      <c r="F6414" t="s">
        <v>280</v>
      </c>
    </row>
    <row r="6415" spans="1:6" ht="13.2">
      <c r="A6415" t="s">
        <v>7426</v>
      </c>
      <c r="B6415">
        <v>0</v>
      </c>
      <c r="C6415" s="44">
        <v>2800</v>
      </c>
      <c r="D6415" t="s">
        <v>291</v>
      </c>
      <c r="E6415" t="s">
        <v>256</v>
      </c>
      <c r="F6415" t="s">
        <v>280</v>
      </c>
    </row>
    <row r="6416" spans="1:6" ht="13.2">
      <c r="A6416" t="s">
        <v>7427</v>
      </c>
      <c r="B6416">
        <v>0</v>
      </c>
      <c r="C6416" s="44">
        <v>2800</v>
      </c>
      <c r="D6416" t="s">
        <v>291</v>
      </c>
      <c r="E6416" t="s">
        <v>256</v>
      </c>
      <c r="F6416" t="s">
        <v>280</v>
      </c>
    </row>
    <row r="6417" spans="1:6" ht="13.2">
      <c r="A6417" t="s">
        <v>7428</v>
      </c>
      <c r="B6417">
        <v>0</v>
      </c>
      <c r="C6417" s="44">
        <v>2800</v>
      </c>
      <c r="D6417" t="s">
        <v>291</v>
      </c>
      <c r="E6417" t="s">
        <v>256</v>
      </c>
      <c r="F6417" t="s">
        <v>280</v>
      </c>
    </row>
    <row r="6418" spans="1:6" ht="13.2">
      <c r="A6418" t="s">
        <v>7429</v>
      </c>
      <c r="B6418">
        <v>0</v>
      </c>
      <c r="C6418" s="44">
        <v>2800</v>
      </c>
      <c r="D6418" t="s">
        <v>291</v>
      </c>
      <c r="E6418" t="s">
        <v>256</v>
      </c>
      <c r="F6418" t="s">
        <v>280</v>
      </c>
    </row>
    <row r="6419" spans="1:6" ht="13.2">
      <c r="A6419" t="s">
        <v>7430</v>
      </c>
      <c r="B6419">
        <v>0</v>
      </c>
      <c r="C6419" s="44">
        <v>2800</v>
      </c>
      <c r="D6419" t="s">
        <v>291</v>
      </c>
      <c r="E6419" t="s">
        <v>256</v>
      </c>
      <c r="F6419" t="s">
        <v>280</v>
      </c>
    </row>
    <row r="6420" spans="1:6" ht="13.2">
      <c r="A6420" t="s">
        <v>7447</v>
      </c>
      <c r="B6420">
        <v>0</v>
      </c>
      <c r="C6420" s="44">
        <v>1400</v>
      </c>
      <c r="D6420" t="s">
        <v>291</v>
      </c>
      <c r="E6420" t="s">
        <v>7448</v>
      </c>
      <c r="F6420">
        <v>4</v>
      </c>
    </row>
    <row r="6421" spans="1:6" ht="13.2">
      <c r="A6421" t="s">
        <v>7449</v>
      </c>
      <c r="B6421">
        <v>0</v>
      </c>
      <c r="C6421" s="44">
        <v>1400</v>
      </c>
      <c r="D6421" t="s">
        <v>291</v>
      </c>
      <c r="E6421" t="s">
        <v>7448</v>
      </c>
      <c r="F6421">
        <v>4</v>
      </c>
    </row>
    <row r="6422" spans="1:6" ht="13.2">
      <c r="A6422" t="s">
        <v>7450</v>
      </c>
      <c r="B6422">
        <v>0</v>
      </c>
      <c r="C6422" s="44">
        <v>1400</v>
      </c>
      <c r="D6422" t="s">
        <v>291</v>
      </c>
      <c r="E6422" t="s">
        <v>7448</v>
      </c>
      <c r="F6422">
        <v>4</v>
      </c>
    </row>
    <row r="6423" spans="1:6" ht="13.2">
      <c r="A6423" t="s">
        <v>7451</v>
      </c>
      <c r="B6423">
        <v>0</v>
      </c>
      <c r="C6423" s="44">
        <v>1400</v>
      </c>
      <c r="D6423" t="s">
        <v>291</v>
      </c>
      <c r="E6423" t="s">
        <v>7448</v>
      </c>
      <c r="F6423">
        <v>4</v>
      </c>
    </row>
    <row r="6424" spans="1:6" ht="13.2">
      <c r="A6424" t="s">
        <v>7452</v>
      </c>
      <c r="B6424">
        <v>0</v>
      </c>
      <c r="C6424" s="44">
        <v>1400</v>
      </c>
      <c r="D6424" t="s">
        <v>291</v>
      </c>
      <c r="E6424" t="s">
        <v>7448</v>
      </c>
      <c r="F6424">
        <v>4</v>
      </c>
    </row>
    <row r="6425" spans="1:6" ht="13.2">
      <c r="A6425" t="s">
        <v>7453</v>
      </c>
      <c r="B6425">
        <v>0</v>
      </c>
      <c r="C6425" s="44">
        <v>1400</v>
      </c>
      <c r="D6425" t="s">
        <v>291</v>
      </c>
      <c r="E6425" t="s">
        <v>7448</v>
      </c>
      <c r="F6425">
        <v>4</v>
      </c>
    </row>
    <row r="6426" spans="1:6" ht="13.2">
      <c r="A6426" t="s">
        <v>7454</v>
      </c>
      <c r="B6426">
        <v>318</v>
      </c>
      <c r="C6426" s="44">
        <v>1390</v>
      </c>
      <c r="D6426" t="s">
        <v>291</v>
      </c>
      <c r="E6426" t="s">
        <v>213</v>
      </c>
      <c r="F6426" t="s">
        <v>3824</v>
      </c>
    </row>
    <row r="6427" spans="1:6" ht="13.2">
      <c r="A6427" t="s">
        <v>7455</v>
      </c>
      <c r="B6427">
        <v>0</v>
      </c>
      <c r="C6427" s="44">
        <v>3000</v>
      </c>
      <c r="D6427" t="s">
        <v>293</v>
      </c>
      <c r="E6427" t="s">
        <v>577</v>
      </c>
      <c r="F6427">
        <v>10</v>
      </c>
    </row>
    <row r="6428" spans="1:6" ht="13.2">
      <c r="A6428" t="s">
        <v>7456</v>
      </c>
      <c r="B6428">
        <v>0</v>
      </c>
      <c r="C6428" s="44">
        <v>3000</v>
      </c>
      <c r="D6428" t="s">
        <v>293</v>
      </c>
      <c r="E6428" t="s">
        <v>577</v>
      </c>
      <c r="F6428">
        <v>10</v>
      </c>
    </row>
    <row r="6429" spans="1:6" ht="13.2">
      <c r="A6429" t="s">
        <v>7457</v>
      </c>
      <c r="B6429">
        <v>0</v>
      </c>
      <c r="C6429" s="44">
        <v>3000</v>
      </c>
      <c r="D6429" t="s">
        <v>293</v>
      </c>
      <c r="E6429" t="s">
        <v>577</v>
      </c>
      <c r="F6429">
        <v>10</v>
      </c>
    </row>
    <row r="6430" spans="1:6" ht="13.2">
      <c r="A6430" t="s">
        <v>7458</v>
      </c>
      <c r="B6430">
        <v>0</v>
      </c>
      <c r="C6430" s="44">
        <v>3000</v>
      </c>
      <c r="D6430" t="s">
        <v>293</v>
      </c>
      <c r="E6430" t="s">
        <v>577</v>
      </c>
      <c r="F6430">
        <v>10</v>
      </c>
    </row>
    <row r="6431" spans="1:6" ht="13.2">
      <c r="A6431" t="s">
        <v>7459</v>
      </c>
      <c r="B6431">
        <v>0</v>
      </c>
      <c r="C6431" s="44">
        <v>3000</v>
      </c>
      <c r="D6431" t="s">
        <v>293</v>
      </c>
      <c r="E6431" t="s">
        <v>577</v>
      </c>
      <c r="F6431">
        <v>10</v>
      </c>
    </row>
    <row r="6432" spans="1:6" ht="13.2">
      <c r="A6432" t="s">
        <v>7460</v>
      </c>
      <c r="B6432">
        <v>0</v>
      </c>
      <c r="C6432" s="44">
        <v>3000</v>
      </c>
      <c r="D6432" t="s">
        <v>293</v>
      </c>
      <c r="E6432" t="s">
        <v>577</v>
      </c>
      <c r="F6432">
        <v>10</v>
      </c>
    </row>
    <row r="6433" spans="1:6" ht="13.2">
      <c r="A6433" t="s">
        <v>7461</v>
      </c>
      <c r="B6433">
        <v>0</v>
      </c>
      <c r="C6433" s="44">
        <v>3000</v>
      </c>
      <c r="D6433" t="s">
        <v>293</v>
      </c>
      <c r="E6433" t="s">
        <v>577</v>
      </c>
      <c r="F6433">
        <v>10</v>
      </c>
    </row>
    <row r="6434" spans="1:6" ht="13.2">
      <c r="A6434" t="s">
        <v>7462</v>
      </c>
      <c r="B6434">
        <v>0</v>
      </c>
      <c r="C6434" s="44">
        <v>3000</v>
      </c>
      <c r="D6434" t="s">
        <v>293</v>
      </c>
      <c r="E6434" t="s">
        <v>577</v>
      </c>
      <c r="F6434">
        <v>10</v>
      </c>
    </row>
    <row r="6435" spans="1:6" ht="13.2">
      <c r="A6435" t="s">
        <v>7463</v>
      </c>
      <c r="B6435">
        <v>0</v>
      </c>
      <c r="C6435" s="44">
        <v>3000</v>
      </c>
      <c r="D6435" t="s">
        <v>293</v>
      </c>
      <c r="E6435" t="s">
        <v>577</v>
      </c>
      <c r="F6435">
        <v>10</v>
      </c>
    </row>
    <row r="6436" spans="1:6" ht="13.2">
      <c r="A6436" t="s">
        <v>7464</v>
      </c>
      <c r="B6436">
        <v>0</v>
      </c>
      <c r="C6436" s="44">
        <v>3000</v>
      </c>
      <c r="D6436" t="s">
        <v>293</v>
      </c>
      <c r="E6436" t="s">
        <v>577</v>
      </c>
      <c r="F6436">
        <v>10</v>
      </c>
    </row>
    <row r="6437" spans="1:6" ht="13.2">
      <c r="A6437" t="s">
        <v>7465</v>
      </c>
      <c r="B6437">
        <v>0</v>
      </c>
      <c r="C6437" s="44">
        <v>3000</v>
      </c>
      <c r="D6437" t="s">
        <v>293</v>
      </c>
      <c r="E6437" t="s">
        <v>577</v>
      </c>
      <c r="F6437">
        <v>10</v>
      </c>
    </row>
    <row r="6438" spans="1:6" ht="13.2">
      <c r="A6438" t="s">
        <v>7466</v>
      </c>
      <c r="B6438">
        <v>0</v>
      </c>
      <c r="C6438" s="44">
        <v>3000</v>
      </c>
      <c r="D6438" t="s">
        <v>293</v>
      </c>
      <c r="E6438" t="s">
        <v>577</v>
      </c>
      <c r="F6438">
        <v>10</v>
      </c>
    </row>
    <row r="6439" spans="1:6" ht="13.2">
      <c r="A6439" t="s">
        <v>7467</v>
      </c>
      <c r="B6439">
        <v>0</v>
      </c>
      <c r="C6439" s="44">
        <v>3000</v>
      </c>
      <c r="D6439" t="s">
        <v>293</v>
      </c>
      <c r="E6439" t="s">
        <v>577</v>
      </c>
      <c r="F6439">
        <v>10</v>
      </c>
    </row>
    <row r="6440" spans="1:6" ht="13.2">
      <c r="A6440" t="s">
        <v>7468</v>
      </c>
      <c r="B6440">
        <v>0</v>
      </c>
      <c r="C6440" s="44">
        <v>3000</v>
      </c>
      <c r="D6440" t="s">
        <v>293</v>
      </c>
      <c r="E6440" t="s">
        <v>577</v>
      </c>
      <c r="F6440">
        <v>10</v>
      </c>
    </row>
    <row r="6441" spans="1:6" ht="13.2">
      <c r="A6441" t="s">
        <v>7490</v>
      </c>
      <c r="B6441">
        <v>0</v>
      </c>
      <c r="C6441" s="44">
        <v>3000</v>
      </c>
      <c r="D6441" t="s">
        <v>291</v>
      </c>
      <c r="E6441" t="s">
        <v>256</v>
      </c>
      <c r="F6441">
        <v>4</v>
      </c>
    </row>
    <row r="6442" spans="1:6" ht="13.2">
      <c r="A6442" t="s">
        <v>7491</v>
      </c>
      <c r="B6442">
        <v>0</v>
      </c>
      <c r="C6442" s="44">
        <v>3000</v>
      </c>
      <c r="D6442" t="s">
        <v>291</v>
      </c>
      <c r="E6442" t="s">
        <v>256</v>
      </c>
      <c r="F6442">
        <v>4</v>
      </c>
    </row>
    <row r="6443" spans="1:6" ht="13.2">
      <c r="A6443" t="s">
        <v>7492</v>
      </c>
      <c r="B6443">
        <v>0</v>
      </c>
      <c r="C6443" s="44">
        <v>3000</v>
      </c>
      <c r="D6443" t="s">
        <v>291</v>
      </c>
      <c r="E6443" t="s">
        <v>256</v>
      </c>
      <c r="F6443">
        <v>4</v>
      </c>
    </row>
    <row r="6444" spans="1:6" ht="13.2">
      <c r="A6444" t="s">
        <v>7493</v>
      </c>
      <c r="B6444">
        <v>0</v>
      </c>
      <c r="C6444" s="44">
        <v>3000</v>
      </c>
      <c r="D6444" t="s">
        <v>291</v>
      </c>
      <c r="E6444" t="s">
        <v>256</v>
      </c>
      <c r="F6444">
        <v>4</v>
      </c>
    </row>
    <row r="6445" spans="1:6" ht="13.2">
      <c r="A6445" t="s">
        <v>7495</v>
      </c>
      <c r="B6445">
        <v>0</v>
      </c>
      <c r="C6445" s="44" t="s">
        <v>349</v>
      </c>
      <c r="D6445" t="s">
        <v>291</v>
      </c>
      <c r="E6445" t="s">
        <v>256</v>
      </c>
      <c r="F6445" t="s">
        <v>532</v>
      </c>
    </row>
    <row r="6446" spans="1:6" ht="13.2">
      <c r="A6446" t="s">
        <v>7496</v>
      </c>
      <c r="B6446">
        <v>0</v>
      </c>
      <c r="C6446" s="44" t="s">
        <v>349</v>
      </c>
      <c r="D6446" t="s">
        <v>291</v>
      </c>
      <c r="E6446" t="s">
        <v>256</v>
      </c>
      <c r="F6446" t="s">
        <v>532</v>
      </c>
    </row>
    <row r="6447" spans="1:6" ht="13.2">
      <c r="A6447" t="s">
        <v>7497</v>
      </c>
      <c r="B6447">
        <v>0</v>
      </c>
      <c r="C6447" s="44" t="s">
        <v>349</v>
      </c>
      <c r="D6447" t="s">
        <v>291</v>
      </c>
      <c r="E6447" t="s">
        <v>256</v>
      </c>
      <c r="F6447" t="s">
        <v>532</v>
      </c>
    </row>
    <row r="6448" spans="1:6" ht="13.2">
      <c r="A6448" t="s">
        <v>7498</v>
      </c>
      <c r="B6448">
        <v>0</v>
      </c>
      <c r="C6448" s="44" t="s">
        <v>349</v>
      </c>
      <c r="D6448" t="s">
        <v>291</v>
      </c>
      <c r="E6448" t="s">
        <v>256</v>
      </c>
      <c r="F6448" t="s">
        <v>532</v>
      </c>
    </row>
    <row r="6449" spans="1:6" ht="13.2">
      <c r="A6449" t="s">
        <v>7499</v>
      </c>
      <c r="B6449">
        <v>0</v>
      </c>
      <c r="C6449" s="44" t="s">
        <v>349</v>
      </c>
      <c r="D6449" t="s">
        <v>291</v>
      </c>
      <c r="E6449" t="s">
        <v>256</v>
      </c>
      <c r="F6449" t="s">
        <v>532</v>
      </c>
    </row>
    <row r="6450" spans="1:6" ht="13.2">
      <c r="A6450" t="s">
        <v>7500</v>
      </c>
      <c r="B6450">
        <v>0</v>
      </c>
      <c r="C6450" s="44" t="s">
        <v>349</v>
      </c>
      <c r="D6450" t="s">
        <v>291</v>
      </c>
      <c r="E6450" t="s">
        <v>256</v>
      </c>
      <c r="F6450" t="s">
        <v>532</v>
      </c>
    </row>
    <row r="6451" spans="1:6" ht="13.2">
      <c r="A6451" t="s">
        <v>7501</v>
      </c>
      <c r="B6451">
        <v>0</v>
      </c>
      <c r="C6451" s="44" t="s">
        <v>349</v>
      </c>
      <c r="D6451" t="s">
        <v>291</v>
      </c>
      <c r="E6451" t="s">
        <v>256</v>
      </c>
      <c r="F6451" t="s">
        <v>532</v>
      </c>
    </row>
    <row r="6452" spans="1:6" ht="13.2">
      <c r="A6452" t="s">
        <v>7502</v>
      </c>
      <c r="B6452">
        <v>0</v>
      </c>
      <c r="C6452" s="44" t="s">
        <v>349</v>
      </c>
      <c r="D6452" t="s">
        <v>291</v>
      </c>
      <c r="E6452" t="s">
        <v>256</v>
      </c>
      <c r="F6452" t="s">
        <v>532</v>
      </c>
    </row>
    <row r="6453" spans="1:6" ht="13.2">
      <c r="A6453" t="s">
        <v>7503</v>
      </c>
      <c r="B6453">
        <v>0</v>
      </c>
      <c r="C6453" s="44" t="s">
        <v>349</v>
      </c>
      <c r="D6453" t="s">
        <v>291</v>
      </c>
      <c r="E6453" t="s">
        <v>256</v>
      </c>
      <c r="F6453" t="s">
        <v>532</v>
      </c>
    </row>
    <row r="6454" spans="1:6" ht="13.2">
      <c r="A6454" t="s">
        <v>7504</v>
      </c>
      <c r="B6454">
        <v>0</v>
      </c>
      <c r="C6454" s="44" t="s">
        <v>349</v>
      </c>
      <c r="D6454" t="s">
        <v>291</v>
      </c>
      <c r="E6454" t="s">
        <v>256</v>
      </c>
      <c r="F6454" t="s">
        <v>532</v>
      </c>
    </row>
    <row r="6455" spans="1:6" ht="13.2">
      <c r="A6455" t="s">
        <v>7505</v>
      </c>
      <c r="B6455">
        <v>0</v>
      </c>
      <c r="C6455" s="44" t="s">
        <v>349</v>
      </c>
      <c r="D6455" t="s">
        <v>291</v>
      </c>
      <c r="E6455" t="s">
        <v>256</v>
      </c>
      <c r="F6455" t="s">
        <v>532</v>
      </c>
    </row>
    <row r="6456" spans="1:6" ht="13.2">
      <c r="A6456" t="s">
        <v>7506</v>
      </c>
      <c r="B6456">
        <v>0</v>
      </c>
      <c r="C6456" s="44" t="s">
        <v>349</v>
      </c>
      <c r="D6456" t="s">
        <v>291</v>
      </c>
      <c r="E6456" t="s">
        <v>256</v>
      </c>
      <c r="F6456" t="s">
        <v>532</v>
      </c>
    </row>
    <row r="6457" spans="1:6" ht="13.2">
      <c r="A6457" t="s">
        <v>7507</v>
      </c>
      <c r="B6457">
        <v>0</v>
      </c>
      <c r="C6457" s="44" t="s">
        <v>349</v>
      </c>
      <c r="D6457" t="s">
        <v>291</v>
      </c>
      <c r="E6457" t="s">
        <v>256</v>
      </c>
      <c r="F6457" t="s">
        <v>532</v>
      </c>
    </row>
    <row r="6458" spans="1:6" ht="13.2">
      <c r="A6458" t="s">
        <v>7508</v>
      </c>
      <c r="B6458">
        <v>0</v>
      </c>
      <c r="C6458" s="44" t="s">
        <v>349</v>
      </c>
      <c r="D6458" t="s">
        <v>291</v>
      </c>
      <c r="E6458" t="s">
        <v>256</v>
      </c>
      <c r="F6458" t="s">
        <v>532</v>
      </c>
    </row>
    <row r="6459" spans="1:6" ht="13.2">
      <c r="A6459" t="s">
        <v>7509</v>
      </c>
      <c r="B6459">
        <v>200</v>
      </c>
      <c r="C6459" s="44">
        <v>1440</v>
      </c>
      <c r="D6459" t="s">
        <v>291</v>
      </c>
      <c r="E6459" t="s">
        <v>256</v>
      </c>
      <c r="F6459" t="s">
        <v>532</v>
      </c>
    </row>
    <row r="6460" spans="1:6" ht="13.2">
      <c r="A6460" t="s">
        <v>7510</v>
      </c>
      <c r="B6460">
        <v>200</v>
      </c>
      <c r="C6460" s="44">
        <v>1440</v>
      </c>
      <c r="D6460" t="s">
        <v>291</v>
      </c>
      <c r="E6460" t="s">
        <v>256</v>
      </c>
      <c r="F6460" t="s">
        <v>532</v>
      </c>
    </row>
    <row r="6461" spans="1:6" ht="13.2">
      <c r="A6461" t="s">
        <v>7511</v>
      </c>
      <c r="B6461">
        <v>200</v>
      </c>
      <c r="C6461" s="44">
        <v>1440</v>
      </c>
      <c r="D6461" t="s">
        <v>291</v>
      </c>
      <c r="E6461" t="s">
        <v>256</v>
      </c>
      <c r="F6461" t="s">
        <v>532</v>
      </c>
    </row>
    <row r="6462" spans="1:6" ht="13.2">
      <c r="A6462" t="s">
        <v>7512</v>
      </c>
      <c r="B6462">
        <v>200</v>
      </c>
      <c r="C6462" s="44">
        <v>1440</v>
      </c>
      <c r="D6462" t="s">
        <v>291</v>
      </c>
      <c r="E6462" t="s">
        <v>256</v>
      </c>
      <c r="F6462" t="s">
        <v>532</v>
      </c>
    </row>
    <row r="6463" spans="1:6" ht="13.2">
      <c r="A6463" t="s">
        <v>7513</v>
      </c>
      <c r="B6463">
        <v>200</v>
      </c>
      <c r="C6463" s="44">
        <v>1440</v>
      </c>
      <c r="D6463" t="s">
        <v>291</v>
      </c>
      <c r="E6463" t="s">
        <v>256</v>
      </c>
      <c r="F6463" t="s">
        <v>532</v>
      </c>
    </row>
    <row r="6464" spans="1:6" ht="13.2">
      <c r="A6464" t="s">
        <v>7520</v>
      </c>
      <c r="B6464">
        <v>0</v>
      </c>
      <c r="C6464" s="44">
        <v>2850</v>
      </c>
      <c r="D6464" t="s">
        <v>293</v>
      </c>
      <c r="E6464" t="s">
        <v>7521</v>
      </c>
      <c r="F6464">
        <v>4</v>
      </c>
    </row>
    <row r="6465" spans="1:6" ht="13.2">
      <c r="A6465" t="s">
        <v>7522</v>
      </c>
      <c r="B6465">
        <v>0</v>
      </c>
      <c r="C6465" s="44">
        <v>2850</v>
      </c>
      <c r="D6465" t="s">
        <v>293</v>
      </c>
      <c r="E6465" t="s">
        <v>7521</v>
      </c>
      <c r="F6465">
        <v>4</v>
      </c>
    </row>
    <row r="6466" spans="1:6" ht="13.2">
      <c r="A6466" t="s">
        <v>7523</v>
      </c>
      <c r="B6466">
        <v>0</v>
      </c>
      <c r="C6466" s="44">
        <v>2850</v>
      </c>
      <c r="D6466" t="s">
        <v>293</v>
      </c>
      <c r="E6466" t="s">
        <v>7521</v>
      </c>
      <c r="F6466">
        <v>4</v>
      </c>
    </row>
    <row r="6467" spans="1:6" ht="13.2">
      <c r="A6467" t="s">
        <v>7527</v>
      </c>
      <c r="B6467">
        <v>1010</v>
      </c>
      <c r="C6467" s="44">
        <v>1340</v>
      </c>
      <c r="D6467" t="s">
        <v>291</v>
      </c>
      <c r="E6467" t="s">
        <v>364</v>
      </c>
      <c r="F6467">
        <v>3</v>
      </c>
    </row>
    <row r="6468" spans="1:6" ht="13.2">
      <c r="A6468" t="s">
        <v>7528</v>
      </c>
      <c r="B6468">
        <v>1010</v>
      </c>
      <c r="C6468" s="44">
        <v>1340</v>
      </c>
      <c r="D6468" t="s">
        <v>291</v>
      </c>
      <c r="E6468" t="s">
        <v>364</v>
      </c>
      <c r="F6468">
        <v>3</v>
      </c>
    </row>
    <row r="6469" spans="1:6" ht="13.2">
      <c r="A6469" t="s">
        <v>7529</v>
      </c>
      <c r="B6469">
        <v>1010</v>
      </c>
      <c r="C6469" s="44">
        <v>1340</v>
      </c>
      <c r="D6469" t="s">
        <v>291</v>
      </c>
      <c r="E6469" t="s">
        <v>364</v>
      </c>
      <c r="F6469">
        <v>3</v>
      </c>
    </row>
    <row r="6470" spans="1:6" ht="13.2">
      <c r="A6470" t="s">
        <v>7530</v>
      </c>
      <c r="B6470">
        <v>0</v>
      </c>
      <c r="C6470" s="44">
        <v>2800</v>
      </c>
      <c r="D6470" t="s">
        <v>293</v>
      </c>
      <c r="E6470" t="s">
        <v>7531</v>
      </c>
      <c r="F6470">
        <v>4</v>
      </c>
    </row>
    <row r="6471" spans="1:6" ht="13.2">
      <c r="A6471" t="s">
        <v>7532</v>
      </c>
      <c r="B6471">
        <v>0</v>
      </c>
      <c r="C6471" s="44">
        <v>2800</v>
      </c>
      <c r="D6471" t="s">
        <v>293</v>
      </c>
      <c r="E6471" t="s">
        <v>7531</v>
      </c>
      <c r="F6471">
        <v>4</v>
      </c>
    </row>
    <row r="6472" spans="1:6" ht="13.2">
      <c r="A6472" t="s">
        <v>7533</v>
      </c>
      <c r="B6472">
        <v>0</v>
      </c>
      <c r="C6472" s="44">
        <v>2800</v>
      </c>
      <c r="D6472" t="s">
        <v>293</v>
      </c>
      <c r="E6472" t="s">
        <v>7531</v>
      </c>
      <c r="F6472">
        <v>4</v>
      </c>
    </row>
    <row r="6473" spans="1:6" ht="13.2">
      <c r="A6473" t="s">
        <v>7534</v>
      </c>
      <c r="B6473">
        <v>0</v>
      </c>
      <c r="C6473" s="44">
        <v>2800</v>
      </c>
      <c r="D6473" t="s">
        <v>293</v>
      </c>
      <c r="E6473" t="s">
        <v>7531</v>
      </c>
      <c r="F6473">
        <v>4</v>
      </c>
    </row>
    <row r="6474" spans="1:6" ht="13.2">
      <c r="A6474" t="s">
        <v>7535</v>
      </c>
      <c r="B6474">
        <v>0</v>
      </c>
      <c r="C6474" s="44">
        <v>2800</v>
      </c>
      <c r="D6474" t="s">
        <v>293</v>
      </c>
      <c r="E6474" t="s">
        <v>7531</v>
      </c>
      <c r="F6474">
        <v>4</v>
      </c>
    </row>
    <row r="6475" spans="1:6" ht="13.2">
      <c r="A6475" t="s">
        <v>7536</v>
      </c>
      <c r="B6475">
        <v>0</v>
      </c>
      <c r="C6475" s="44">
        <v>2800</v>
      </c>
      <c r="D6475" t="s">
        <v>293</v>
      </c>
      <c r="E6475" t="s">
        <v>7531</v>
      </c>
      <c r="F6475">
        <v>4</v>
      </c>
    </row>
    <row r="6476" spans="1:6" ht="13.2">
      <c r="A6476" t="s">
        <v>7537</v>
      </c>
      <c r="B6476">
        <v>0</v>
      </c>
      <c r="C6476" s="44">
        <v>2800</v>
      </c>
      <c r="D6476" t="s">
        <v>293</v>
      </c>
      <c r="E6476" t="s">
        <v>7531</v>
      </c>
      <c r="F6476">
        <v>4</v>
      </c>
    </row>
    <row r="6477" spans="1:6" ht="13.2">
      <c r="A6477" t="s">
        <v>7538</v>
      </c>
      <c r="B6477">
        <v>0</v>
      </c>
      <c r="C6477" s="44">
        <v>2800</v>
      </c>
      <c r="D6477" t="s">
        <v>293</v>
      </c>
      <c r="E6477" t="s">
        <v>7531</v>
      </c>
      <c r="F6477">
        <v>4</v>
      </c>
    </row>
    <row r="6478" spans="1:6" ht="13.2">
      <c r="A6478" t="s">
        <v>7539</v>
      </c>
      <c r="B6478">
        <v>0</v>
      </c>
      <c r="C6478" s="44">
        <v>2800</v>
      </c>
      <c r="D6478" t="s">
        <v>293</v>
      </c>
      <c r="E6478" t="s">
        <v>7531</v>
      </c>
      <c r="F6478">
        <v>4</v>
      </c>
    </row>
    <row r="6479" spans="1:6" ht="13.2">
      <c r="A6479" t="s">
        <v>7544</v>
      </c>
      <c r="B6479">
        <v>0</v>
      </c>
      <c r="C6479" s="44">
        <v>1380</v>
      </c>
      <c r="D6479" t="s">
        <v>291</v>
      </c>
      <c r="E6479" t="s">
        <v>256</v>
      </c>
      <c r="F6479">
        <v>4</v>
      </c>
    </row>
    <row r="6480" spans="1:6" ht="13.2">
      <c r="A6480" t="s">
        <v>7545</v>
      </c>
      <c r="B6480">
        <v>0</v>
      </c>
      <c r="C6480" s="44">
        <v>1380</v>
      </c>
      <c r="D6480" t="s">
        <v>291</v>
      </c>
      <c r="E6480" t="s">
        <v>256</v>
      </c>
      <c r="F6480">
        <v>4</v>
      </c>
    </row>
    <row r="6481" spans="1:6" ht="13.2">
      <c r="A6481" t="s">
        <v>7546</v>
      </c>
      <c r="B6481">
        <v>0</v>
      </c>
      <c r="C6481" s="44">
        <v>1380</v>
      </c>
      <c r="D6481" t="s">
        <v>291</v>
      </c>
      <c r="E6481" t="s">
        <v>256</v>
      </c>
      <c r="F6481">
        <v>4</v>
      </c>
    </row>
    <row r="6482" spans="1:6" ht="13.2">
      <c r="A6482" t="s">
        <v>7547</v>
      </c>
      <c r="B6482">
        <v>0</v>
      </c>
      <c r="C6482" s="44">
        <v>1380</v>
      </c>
      <c r="D6482" t="s">
        <v>291</v>
      </c>
      <c r="E6482" t="s">
        <v>256</v>
      </c>
      <c r="F6482">
        <v>4</v>
      </c>
    </row>
    <row r="6483" spans="1:6" ht="13.2">
      <c r="A6483" t="s">
        <v>7548</v>
      </c>
      <c r="B6483">
        <v>0</v>
      </c>
      <c r="C6483" s="44">
        <v>1380</v>
      </c>
      <c r="D6483" t="s">
        <v>291</v>
      </c>
      <c r="E6483" t="s">
        <v>256</v>
      </c>
      <c r="F6483">
        <v>4</v>
      </c>
    </row>
    <row r="6484" spans="1:6" ht="13.2">
      <c r="A6484" t="s">
        <v>7549</v>
      </c>
      <c r="B6484">
        <v>0</v>
      </c>
      <c r="C6484" s="44">
        <v>1380</v>
      </c>
      <c r="D6484" t="s">
        <v>291</v>
      </c>
      <c r="E6484" t="s">
        <v>256</v>
      </c>
      <c r="F6484">
        <v>4</v>
      </c>
    </row>
    <row r="6485" spans="1:6" ht="13.2">
      <c r="A6485" t="s">
        <v>7550</v>
      </c>
      <c r="B6485">
        <v>0</v>
      </c>
      <c r="C6485" s="44">
        <v>1380</v>
      </c>
      <c r="D6485" t="s">
        <v>291</v>
      </c>
      <c r="E6485" t="s">
        <v>256</v>
      </c>
      <c r="F6485">
        <v>4</v>
      </c>
    </row>
    <row r="6486" spans="1:6" ht="13.2">
      <c r="A6486" t="s">
        <v>7551</v>
      </c>
      <c r="B6486">
        <v>0</v>
      </c>
      <c r="C6486" s="44">
        <v>1380</v>
      </c>
      <c r="D6486" t="s">
        <v>291</v>
      </c>
      <c r="E6486" t="s">
        <v>256</v>
      </c>
      <c r="F6486">
        <v>4</v>
      </c>
    </row>
    <row r="6487" spans="1:6" ht="13.2">
      <c r="A6487" t="s">
        <v>7552</v>
      </c>
      <c r="B6487">
        <v>0</v>
      </c>
      <c r="C6487" s="44">
        <v>1380</v>
      </c>
      <c r="D6487" t="s">
        <v>291</v>
      </c>
      <c r="E6487" t="s">
        <v>256</v>
      </c>
      <c r="F6487">
        <v>4</v>
      </c>
    </row>
    <row r="6488" spans="1:6" ht="13.2">
      <c r="A6488" t="s">
        <v>7553</v>
      </c>
      <c r="B6488">
        <v>0</v>
      </c>
      <c r="C6488" s="44">
        <v>1380</v>
      </c>
      <c r="D6488" t="s">
        <v>291</v>
      </c>
      <c r="E6488" t="s">
        <v>256</v>
      </c>
      <c r="F6488">
        <v>4</v>
      </c>
    </row>
    <row r="6489" spans="1:6" ht="13.2">
      <c r="A6489" t="s">
        <v>7554</v>
      </c>
      <c r="B6489">
        <v>0</v>
      </c>
      <c r="C6489" s="44">
        <v>1380</v>
      </c>
      <c r="D6489" t="s">
        <v>291</v>
      </c>
      <c r="E6489" t="s">
        <v>256</v>
      </c>
      <c r="F6489">
        <v>4</v>
      </c>
    </row>
    <row r="6490" spans="1:6" ht="13.2">
      <c r="A6490" t="s">
        <v>7555</v>
      </c>
      <c r="B6490">
        <v>0</v>
      </c>
      <c r="C6490" s="44">
        <v>1380</v>
      </c>
      <c r="D6490" t="s">
        <v>291</v>
      </c>
      <c r="E6490" t="s">
        <v>256</v>
      </c>
      <c r="F6490">
        <v>4</v>
      </c>
    </row>
    <row r="6491" spans="1:6" ht="13.2">
      <c r="A6491" t="s">
        <v>7556</v>
      </c>
      <c r="B6491">
        <v>0</v>
      </c>
      <c r="C6491" s="44">
        <v>1380</v>
      </c>
      <c r="D6491" t="s">
        <v>291</v>
      </c>
      <c r="E6491" t="s">
        <v>256</v>
      </c>
      <c r="F6491">
        <v>4</v>
      </c>
    </row>
    <row r="6492" spans="1:6" ht="13.2">
      <c r="A6492" t="s">
        <v>7557</v>
      </c>
      <c r="B6492">
        <v>0</v>
      </c>
      <c r="C6492" s="44">
        <v>1380</v>
      </c>
      <c r="D6492" t="s">
        <v>291</v>
      </c>
      <c r="E6492" t="s">
        <v>256</v>
      </c>
      <c r="F6492">
        <v>4</v>
      </c>
    </row>
    <row r="6493" spans="1:6" ht="13.2">
      <c r="A6493" t="s">
        <v>7558</v>
      </c>
      <c r="B6493">
        <v>0</v>
      </c>
      <c r="C6493" s="44">
        <v>1380</v>
      </c>
      <c r="D6493" t="s">
        <v>291</v>
      </c>
      <c r="E6493" t="s">
        <v>256</v>
      </c>
      <c r="F6493">
        <v>4</v>
      </c>
    </row>
    <row r="6494" spans="1:6" ht="13.2">
      <c r="A6494" t="s">
        <v>7559</v>
      </c>
      <c r="B6494">
        <v>0</v>
      </c>
      <c r="C6494" s="44">
        <v>1380</v>
      </c>
      <c r="D6494" t="s">
        <v>291</v>
      </c>
      <c r="E6494" t="s">
        <v>256</v>
      </c>
      <c r="F6494">
        <v>4</v>
      </c>
    </row>
    <row r="6495" spans="1:6" ht="13.2">
      <c r="A6495" t="s">
        <v>7560</v>
      </c>
      <c r="B6495">
        <v>0</v>
      </c>
      <c r="C6495" s="44">
        <v>1380</v>
      </c>
      <c r="D6495" t="s">
        <v>291</v>
      </c>
      <c r="E6495" t="s">
        <v>256</v>
      </c>
      <c r="F6495">
        <v>4</v>
      </c>
    </row>
    <row r="6496" spans="1:6" ht="13.2">
      <c r="A6496" t="s">
        <v>7561</v>
      </c>
      <c r="B6496">
        <v>315</v>
      </c>
      <c r="C6496" s="44">
        <v>1370</v>
      </c>
      <c r="D6496" t="s">
        <v>291</v>
      </c>
      <c r="E6496" t="s">
        <v>7562</v>
      </c>
      <c r="F6496" t="s">
        <v>7563</v>
      </c>
    </row>
    <row r="6497" spans="1:6" ht="13.2">
      <c r="A6497" t="s">
        <v>7564</v>
      </c>
      <c r="B6497">
        <v>315</v>
      </c>
      <c r="C6497" s="44">
        <v>1370</v>
      </c>
      <c r="D6497" t="s">
        <v>291</v>
      </c>
      <c r="E6497" t="s">
        <v>7562</v>
      </c>
      <c r="F6497" t="s">
        <v>7563</v>
      </c>
    </row>
    <row r="6498" spans="1:6" ht="13.2">
      <c r="A6498" t="s">
        <v>7565</v>
      </c>
      <c r="B6498">
        <v>315</v>
      </c>
      <c r="C6498" s="44">
        <v>1370</v>
      </c>
      <c r="D6498" t="s">
        <v>291</v>
      </c>
      <c r="E6498" t="s">
        <v>7562</v>
      </c>
      <c r="F6498" t="s">
        <v>7563</v>
      </c>
    </row>
    <row r="6499" spans="1:6" ht="13.2">
      <c r="A6499" t="s">
        <v>7566</v>
      </c>
      <c r="B6499">
        <v>315</v>
      </c>
      <c r="C6499" s="44">
        <v>1370</v>
      </c>
      <c r="D6499" t="s">
        <v>291</v>
      </c>
      <c r="E6499" t="s">
        <v>7562</v>
      </c>
      <c r="F6499" t="s">
        <v>7563</v>
      </c>
    </row>
    <row r="6500" spans="1:6" ht="13.2">
      <c r="A6500" t="s">
        <v>7567</v>
      </c>
      <c r="B6500">
        <v>315</v>
      </c>
      <c r="C6500" s="44">
        <v>1370</v>
      </c>
      <c r="D6500" t="s">
        <v>291</v>
      </c>
      <c r="E6500" t="s">
        <v>7562</v>
      </c>
      <c r="F6500" t="s">
        <v>7563</v>
      </c>
    </row>
    <row r="6501" spans="1:6" ht="13.2">
      <c r="A6501" t="s">
        <v>7568</v>
      </c>
      <c r="B6501">
        <v>214</v>
      </c>
      <c r="C6501" s="44">
        <v>1380</v>
      </c>
      <c r="D6501" t="s">
        <v>291</v>
      </c>
      <c r="E6501" t="s">
        <v>256</v>
      </c>
      <c r="F6501" t="s">
        <v>532</v>
      </c>
    </row>
    <row r="6502" spans="1:6" ht="13.2">
      <c r="A6502" t="s">
        <v>7569</v>
      </c>
      <c r="B6502">
        <v>214</v>
      </c>
      <c r="C6502" s="44">
        <v>1380</v>
      </c>
      <c r="D6502" t="s">
        <v>291</v>
      </c>
      <c r="E6502" t="s">
        <v>256</v>
      </c>
      <c r="F6502" t="s">
        <v>532</v>
      </c>
    </row>
    <row r="6503" spans="1:6" ht="13.2">
      <c r="A6503" t="s">
        <v>7570</v>
      </c>
      <c r="B6503">
        <v>214</v>
      </c>
      <c r="C6503" s="44">
        <v>1380</v>
      </c>
      <c r="D6503" t="s">
        <v>291</v>
      </c>
      <c r="E6503" t="s">
        <v>256</v>
      </c>
      <c r="F6503" t="s">
        <v>532</v>
      </c>
    </row>
    <row r="6504" spans="1:6" ht="13.2">
      <c r="A6504" t="s">
        <v>7571</v>
      </c>
      <c r="B6504">
        <v>214</v>
      </c>
      <c r="C6504" s="44">
        <v>1380</v>
      </c>
      <c r="D6504" t="s">
        <v>291</v>
      </c>
      <c r="E6504" t="s">
        <v>256</v>
      </c>
      <c r="F6504" t="s">
        <v>532</v>
      </c>
    </row>
    <row r="6505" spans="1:6" ht="13.2">
      <c r="A6505" t="s">
        <v>7572</v>
      </c>
      <c r="B6505">
        <v>214</v>
      </c>
      <c r="C6505" s="44">
        <v>1380</v>
      </c>
      <c r="D6505" t="s">
        <v>291</v>
      </c>
      <c r="E6505" t="s">
        <v>256</v>
      </c>
      <c r="F6505" t="s">
        <v>532</v>
      </c>
    </row>
    <row r="6506" spans="1:6" ht="13.2">
      <c r="A6506" t="s">
        <v>7573</v>
      </c>
      <c r="B6506">
        <v>700</v>
      </c>
      <c r="C6506" s="44">
        <v>1390</v>
      </c>
      <c r="D6506" t="s">
        <v>291</v>
      </c>
      <c r="E6506" t="s">
        <v>256</v>
      </c>
      <c r="F6506" t="s">
        <v>532</v>
      </c>
    </row>
    <row r="6507" spans="1:6" ht="13.2">
      <c r="A6507" t="s">
        <v>7574</v>
      </c>
      <c r="B6507">
        <v>700</v>
      </c>
      <c r="C6507" s="44">
        <v>1390</v>
      </c>
      <c r="D6507" t="s">
        <v>291</v>
      </c>
      <c r="E6507" t="s">
        <v>256</v>
      </c>
      <c r="F6507" t="s">
        <v>532</v>
      </c>
    </row>
    <row r="6508" spans="1:6" ht="13.2">
      <c r="A6508" t="s">
        <v>7575</v>
      </c>
      <c r="B6508">
        <v>700</v>
      </c>
      <c r="C6508" s="44">
        <v>1390</v>
      </c>
      <c r="D6508" t="s">
        <v>291</v>
      </c>
      <c r="E6508" t="s">
        <v>256</v>
      </c>
      <c r="F6508" t="s">
        <v>532</v>
      </c>
    </row>
    <row r="6509" spans="1:6" ht="13.2">
      <c r="A6509" t="s">
        <v>7576</v>
      </c>
      <c r="B6509">
        <v>700</v>
      </c>
      <c r="C6509" s="44">
        <v>1390</v>
      </c>
      <c r="D6509" t="s">
        <v>291</v>
      </c>
      <c r="E6509" t="s">
        <v>256</v>
      </c>
      <c r="F6509" t="s">
        <v>532</v>
      </c>
    </row>
    <row r="6510" spans="1:6" ht="13.2">
      <c r="A6510" t="s">
        <v>7577</v>
      </c>
      <c r="B6510">
        <v>700</v>
      </c>
      <c r="C6510" s="44">
        <v>1390</v>
      </c>
      <c r="D6510" t="s">
        <v>291</v>
      </c>
      <c r="E6510" t="s">
        <v>256</v>
      </c>
      <c r="F6510" t="s">
        <v>532</v>
      </c>
    </row>
    <row r="6511" spans="1:6" ht="13.2">
      <c r="A6511" t="s">
        <v>7591</v>
      </c>
      <c r="B6511">
        <v>0</v>
      </c>
      <c r="C6511" s="44">
        <v>1380</v>
      </c>
      <c r="D6511" t="s">
        <v>291</v>
      </c>
      <c r="E6511" t="s">
        <v>6714</v>
      </c>
      <c r="F6511" t="s">
        <v>532</v>
      </c>
    </row>
    <row r="6512" spans="1:6" ht="13.2">
      <c r="A6512" t="s">
        <v>7592</v>
      </c>
      <c r="B6512">
        <v>0</v>
      </c>
      <c r="C6512" s="44">
        <v>1380</v>
      </c>
      <c r="D6512" t="s">
        <v>291</v>
      </c>
      <c r="E6512" t="s">
        <v>6714</v>
      </c>
      <c r="F6512" t="s">
        <v>532</v>
      </c>
    </row>
    <row r="6513" spans="1:6" ht="13.2">
      <c r="A6513" t="s">
        <v>7593</v>
      </c>
      <c r="B6513">
        <v>0</v>
      </c>
      <c r="C6513" s="44">
        <v>1380</v>
      </c>
      <c r="D6513" t="s">
        <v>291</v>
      </c>
      <c r="E6513" t="s">
        <v>6714</v>
      </c>
      <c r="F6513" t="s">
        <v>532</v>
      </c>
    </row>
    <row r="6514" spans="1:6" ht="13.2">
      <c r="A6514" t="s">
        <v>7594</v>
      </c>
      <c r="B6514">
        <v>0</v>
      </c>
      <c r="C6514" s="44">
        <v>1380</v>
      </c>
      <c r="D6514" t="s">
        <v>291</v>
      </c>
      <c r="E6514" t="s">
        <v>6714</v>
      </c>
      <c r="F6514" t="s">
        <v>532</v>
      </c>
    </row>
    <row r="6515" spans="1:6" ht="13.2">
      <c r="A6515" t="s">
        <v>7595</v>
      </c>
      <c r="B6515">
        <v>0</v>
      </c>
      <c r="C6515" s="44">
        <v>1380</v>
      </c>
      <c r="D6515" t="s">
        <v>291</v>
      </c>
      <c r="E6515" t="s">
        <v>6714</v>
      </c>
      <c r="F6515" t="s">
        <v>532</v>
      </c>
    </row>
    <row r="6516" spans="1:6" ht="13.2">
      <c r="A6516" t="s">
        <v>7596</v>
      </c>
      <c r="B6516">
        <v>0</v>
      </c>
      <c r="C6516" s="44">
        <v>1380</v>
      </c>
      <c r="D6516" t="s">
        <v>291</v>
      </c>
      <c r="E6516" t="s">
        <v>6714</v>
      </c>
      <c r="F6516" t="s">
        <v>532</v>
      </c>
    </row>
    <row r="6517" spans="1:6" ht="13.2">
      <c r="A6517" t="s">
        <v>7597</v>
      </c>
      <c r="B6517">
        <v>0</v>
      </c>
      <c r="C6517" s="44">
        <v>1380</v>
      </c>
      <c r="D6517" t="s">
        <v>291</v>
      </c>
      <c r="E6517" t="s">
        <v>6714</v>
      </c>
      <c r="F6517" t="s">
        <v>532</v>
      </c>
    </row>
    <row r="6518" spans="1:6" ht="13.2">
      <c r="A6518" t="s">
        <v>7598</v>
      </c>
      <c r="B6518">
        <v>0</v>
      </c>
      <c r="C6518" s="44">
        <v>1380</v>
      </c>
      <c r="D6518" t="s">
        <v>291</v>
      </c>
      <c r="E6518" t="s">
        <v>6714</v>
      </c>
      <c r="F6518" t="s">
        <v>532</v>
      </c>
    </row>
    <row r="6519" spans="1:6" ht="13.2">
      <c r="A6519" t="s">
        <v>7599</v>
      </c>
      <c r="B6519">
        <v>0</v>
      </c>
      <c r="C6519" s="44">
        <v>1380</v>
      </c>
      <c r="D6519" t="s">
        <v>291</v>
      </c>
      <c r="E6519" t="s">
        <v>6714</v>
      </c>
      <c r="F6519" t="s">
        <v>532</v>
      </c>
    </row>
    <row r="6520" spans="1:6" ht="13.2">
      <c r="A6520" t="s">
        <v>7600</v>
      </c>
      <c r="B6520">
        <v>0</v>
      </c>
      <c r="C6520" s="44">
        <v>1380</v>
      </c>
      <c r="D6520" t="s">
        <v>291</v>
      </c>
      <c r="E6520" t="s">
        <v>6714</v>
      </c>
      <c r="F6520" t="s">
        <v>532</v>
      </c>
    </row>
    <row r="6521" spans="1:6" ht="13.2">
      <c r="A6521" t="s">
        <v>7601</v>
      </c>
      <c r="B6521">
        <v>0</v>
      </c>
      <c r="C6521" s="44">
        <v>1380</v>
      </c>
      <c r="D6521" t="s">
        <v>291</v>
      </c>
      <c r="E6521" t="s">
        <v>6714</v>
      </c>
      <c r="F6521" t="s">
        <v>532</v>
      </c>
    </row>
    <row r="6522" spans="1:6" ht="13.2">
      <c r="A6522" t="s">
        <v>7602</v>
      </c>
      <c r="B6522">
        <v>0</v>
      </c>
      <c r="C6522" s="44">
        <v>1380</v>
      </c>
      <c r="D6522" t="s">
        <v>291</v>
      </c>
      <c r="E6522" t="s">
        <v>6714</v>
      </c>
      <c r="F6522" t="s">
        <v>532</v>
      </c>
    </row>
    <row r="6523" spans="1:6" ht="13.2">
      <c r="A6523" t="s">
        <v>7603</v>
      </c>
      <c r="B6523">
        <v>0</v>
      </c>
      <c r="C6523" s="44">
        <v>1380</v>
      </c>
      <c r="D6523" t="s">
        <v>291</v>
      </c>
      <c r="E6523" t="s">
        <v>6714</v>
      </c>
      <c r="F6523" t="s">
        <v>532</v>
      </c>
    </row>
    <row r="6524" spans="1:6" ht="13.2">
      <c r="A6524" t="s">
        <v>7604</v>
      </c>
      <c r="B6524">
        <v>0</v>
      </c>
      <c r="C6524" s="44">
        <v>1380</v>
      </c>
      <c r="D6524" t="s">
        <v>291</v>
      </c>
      <c r="E6524" t="s">
        <v>6714</v>
      </c>
      <c r="F6524" t="s">
        <v>532</v>
      </c>
    </row>
    <row r="6525" spans="1:6" ht="13.2">
      <c r="A6525" t="s">
        <v>7605</v>
      </c>
      <c r="B6525">
        <v>0</v>
      </c>
      <c r="C6525" s="44">
        <v>1380</v>
      </c>
      <c r="D6525" t="s">
        <v>291</v>
      </c>
      <c r="E6525" t="s">
        <v>6714</v>
      </c>
      <c r="F6525" t="s">
        <v>532</v>
      </c>
    </row>
    <row r="6526" spans="1:6" ht="13.2">
      <c r="A6526" t="s">
        <v>7606</v>
      </c>
      <c r="B6526">
        <v>0</v>
      </c>
      <c r="C6526" s="44">
        <v>1380</v>
      </c>
      <c r="D6526" t="s">
        <v>291</v>
      </c>
      <c r="E6526" t="s">
        <v>6714</v>
      </c>
      <c r="F6526" t="s">
        <v>532</v>
      </c>
    </row>
    <row r="6527" spans="1:6" ht="13.2">
      <c r="A6527" t="s">
        <v>7607</v>
      </c>
      <c r="B6527">
        <v>0</v>
      </c>
      <c r="C6527" s="44">
        <v>1380</v>
      </c>
      <c r="D6527" t="s">
        <v>291</v>
      </c>
      <c r="E6527" t="s">
        <v>6714</v>
      </c>
      <c r="F6527" t="s">
        <v>532</v>
      </c>
    </row>
    <row r="6528" spans="1:6" ht="13.2">
      <c r="A6528" t="s">
        <v>7608</v>
      </c>
      <c r="B6528">
        <v>0</v>
      </c>
      <c r="C6528" s="44">
        <v>1380</v>
      </c>
      <c r="D6528" t="s">
        <v>291</v>
      </c>
      <c r="E6528" t="s">
        <v>6714</v>
      </c>
      <c r="F6528" t="s">
        <v>532</v>
      </c>
    </row>
    <row r="6529" spans="1:6" ht="13.2">
      <c r="A6529" t="s">
        <v>7609</v>
      </c>
      <c r="B6529">
        <v>0</v>
      </c>
      <c r="C6529" s="44">
        <v>1380</v>
      </c>
      <c r="D6529" t="s">
        <v>291</v>
      </c>
      <c r="E6529" t="s">
        <v>6714</v>
      </c>
      <c r="F6529" t="s">
        <v>532</v>
      </c>
    </row>
    <row r="6530" spans="1:6" ht="13.2">
      <c r="A6530" t="s">
        <v>7610</v>
      </c>
      <c r="B6530">
        <v>0</v>
      </c>
      <c r="C6530" s="44">
        <v>1380</v>
      </c>
      <c r="D6530" t="s">
        <v>291</v>
      </c>
      <c r="E6530" t="s">
        <v>6714</v>
      </c>
      <c r="F6530" t="s">
        <v>532</v>
      </c>
    </row>
    <row r="6531" spans="1:6" ht="13.2">
      <c r="A6531" t="s">
        <v>7611</v>
      </c>
      <c r="B6531">
        <v>0</v>
      </c>
      <c r="C6531" s="44">
        <v>1380</v>
      </c>
      <c r="D6531" t="s">
        <v>291</v>
      </c>
      <c r="E6531" t="s">
        <v>6714</v>
      </c>
      <c r="F6531" t="s">
        <v>532</v>
      </c>
    </row>
    <row r="6532" spans="1:6" ht="13.2">
      <c r="A6532" t="s">
        <v>7612</v>
      </c>
      <c r="B6532">
        <v>0</v>
      </c>
      <c r="C6532" s="44">
        <v>1380</v>
      </c>
      <c r="D6532" t="s">
        <v>291</v>
      </c>
      <c r="E6532" t="s">
        <v>6714</v>
      </c>
      <c r="F6532" t="s">
        <v>532</v>
      </c>
    </row>
    <row r="6533" spans="1:6" ht="13.2">
      <c r="A6533" t="s">
        <v>7613</v>
      </c>
      <c r="B6533">
        <v>0</v>
      </c>
      <c r="C6533" s="44">
        <v>1380</v>
      </c>
      <c r="D6533" t="s">
        <v>291</v>
      </c>
      <c r="E6533" t="s">
        <v>6714</v>
      </c>
      <c r="F6533" t="s">
        <v>532</v>
      </c>
    </row>
    <row r="6534" spans="1:6" ht="13.2">
      <c r="A6534" t="s">
        <v>7614</v>
      </c>
      <c r="B6534">
        <v>0</v>
      </c>
      <c r="C6534" s="44">
        <v>1380</v>
      </c>
      <c r="D6534" t="s">
        <v>291</v>
      </c>
      <c r="E6534" t="s">
        <v>6714</v>
      </c>
      <c r="F6534" t="s">
        <v>532</v>
      </c>
    </row>
    <row r="6535" spans="1:6" ht="13.2">
      <c r="A6535" t="s">
        <v>7615</v>
      </c>
      <c r="B6535">
        <v>0</v>
      </c>
      <c r="C6535" s="44">
        <v>1380</v>
      </c>
      <c r="D6535" t="s">
        <v>291</v>
      </c>
      <c r="E6535" t="s">
        <v>6714</v>
      </c>
      <c r="F6535" t="s">
        <v>532</v>
      </c>
    </row>
    <row r="6536" spans="1:6" ht="13.2">
      <c r="A6536" t="s">
        <v>7616</v>
      </c>
      <c r="B6536">
        <v>0</v>
      </c>
      <c r="C6536" s="44">
        <v>1380</v>
      </c>
      <c r="D6536" t="s">
        <v>291</v>
      </c>
      <c r="E6536" t="s">
        <v>6714</v>
      </c>
      <c r="F6536" t="s">
        <v>532</v>
      </c>
    </row>
    <row r="6537" spans="1:6" ht="13.2">
      <c r="A6537" t="s">
        <v>7617</v>
      </c>
      <c r="B6537">
        <v>0</v>
      </c>
      <c r="C6537" s="44">
        <v>1380</v>
      </c>
      <c r="D6537" t="s">
        <v>291</v>
      </c>
      <c r="E6537" t="s">
        <v>6714</v>
      </c>
      <c r="F6537" t="s">
        <v>532</v>
      </c>
    </row>
    <row r="6538" spans="1:6" ht="13.2">
      <c r="A6538" t="s">
        <v>4694</v>
      </c>
      <c r="B6538">
        <v>0</v>
      </c>
      <c r="C6538" s="44">
        <v>1400</v>
      </c>
      <c r="D6538" t="s">
        <v>291</v>
      </c>
      <c r="E6538" t="s">
        <v>6715</v>
      </c>
      <c r="F6538" t="s">
        <v>532</v>
      </c>
    </row>
    <row r="6539" spans="1:6" ht="13.2">
      <c r="A6539" t="s">
        <v>4695</v>
      </c>
      <c r="B6539">
        <v>0</v>
      </c>
      <c r="C6539" s="44">
        <v>1400</v>
      </c>
      <c r="D6539" t="s">
        <v>291</v>
      </c>
      <c r="E6539" t="s">
        <v>6715</v>
      </c>
      <c r="F6539" t="s">
        <v>532</v>
      </c>
    </row>
    <row r="6540" spans="1:6" ht="13.2">
      <c r="A6540" t="s">
        <v>4696</v>
      </c>
      <c r="B6540">
        <v>0</v>
      </c>
      <c r="C6540" s="44">
        <v>1400</v>
      </c>
      <c r="D6540" t="s">
        <v>291</v>
      </c>
      <c r="E6540" t="s">
        <v>6715</v>
      </c>
      <c r="F6540" t="s">
        <v>532</v>
      </c>
    </row>
    <row r="6541" spans="1:6" ht="13.2">
      <c r="A6541" t="s">
        <v>4697</v>
      </c>
      <c r="B6541">
        <v>0</v>
      </c>
      <c r="C6541" s="44">
        <v>1400</v>
      </c>
      <c r="D6541" t="s">
        <v>291</v>
      </c>
      <c r="E6541" t="s">
        <v>6715</v>
      </c>
      <c r="F6541" t="s">
        <v>532</v>
      </c>
    </row>
    <row r="6542" spans="1:6" ht="13.2">
      <c r="A6542" t="s">
        <v>4698</v>
      </c>
      <c r="B6542">
        <v>0</v>
      </c>
      <c r="C6542" s="44">
        <v>1400</v>
      </c>
      <c r="D6542" t="s">
        <v>291</v>
      </c>
      <c r="E6542" t="s">
        <v>6715</v>
      </c>
      <c r="F6542" t="s">
        <v>532</v>
      </c>
    </row>
    <row r="6543" spans="1:6" ht="13.2">
      <c r="A6543" t="s">
        <v>4699</v>
      </c>
      <c r="B6543">
        <v>0</v>
      </c>
      <c r="C6543" s="44">
        <v>1400</v>
      </c>
      <c r="D6543" t="s">
        <v>291</v>
      </c>
      <c r="E6543" t="s">
        <v>6715</v>
      </c>
      <c r="F6543" t="s">
        <v>532</v>
      </c>
    </row>
    <row r="6544" spans="1:6" ht="13.2">
      <c r="A6544" t="s">
        <v>4700</v>
      </c>
      <c r="B6544">
        <v>0</v>
      </c>
      <c r="C6544" s="44">
        <v>1400</v>
      </c>
      <c r="D6544" t="s">
        <v>291</v>
      </c>
      <c r="E6544" t="s">
        <v>6715</v>
      </c>
      <c r="F6544" t="s">
        <v>532</v>
      </c>
    </row>
    <row r="6545" spans="1:6" ht="13.2">
      <c r="A6545" t="s">
        <v>4701</v>
      </c>
      <c r="B6545">
        <v>0</v>
      </c>
      <c r="C6545" s="44">
        <v>1400</v>
      </c>
      <c r="D6545" t="s">
        <v>291</v>
      </c>
      <c r="E6545" t="s">
        <v>6715</v>
      </c>
      <c r="F6545" t="s">
        <v>532</v>
      </c>
    </row>
    <row r="6546" spans="1:6" ht="13.2">
      <c r="A6546" t="s">
        <v>4702</v>
      </c>
      <c r="B6546">
        <v>0</v>
      </c>
      <c r="C6546" s="44">
        <v>1400</v>
      </c>
      <c r="D6546" t="s">
        <v>291</v>
      </c>
      <c r="E6546" t="s">
        <v>6715</v>
      </c>
      <c r="F6546" t="s">
        <v>532</v>
      </c>
    </row>
    <row r="6547" spans="1:6" ht="13.2">
      <c r="A6547" t="s">
        <v>4703</v>
      </c>
      <c r="B6547">
        <v>0</v>
      </c>
      <c r="C6547" s="44">
        <v>1400</v>
      </c>
      <c r="D6547" t="s">
        <v>291</v>
      </c>
      <c r="E6547" t="s">
        <v>6715</v>
      </c>
      <c r="F6547" t="s">
        <v>532</v>
      </c>
    </row>
    <row r="6548" spans="1:6" ht="13.2">
      <c r="A6548" t="s">
        <v>4704</v>
      </c>
      <c r="B6548">
        <v>0</v>
      </c>
      <c r="C6548" s="44">
        <v>1400</v>
      </c>
      <c r="D6548" t="s">
        <v>291</v>
      </c>
      <c r="E6548" t="s">
        <v>6715</v>
      </c>
      <c r="F6548" t="s">
        <v>532</v>
      </c>
    </row>
    <row r="6549" spans="1:6" ht="13.2">
      <c r="A6549" t="s">
        <v>4705</v>
      </c>
      <c r="B6549">
        <v>0</v>
      </c>
      <c r="C6549" s="44">
        <v>1400</v>
      </c>
      <c r="D6549" t="s">
        <v>291</v>
      </c>
      <c r="E6549" t="s">
        <v>6715</v>
      </c>
      <c r="F6549" t="s">
        <v>532</v>
      </c>
    </row>
    <row r="6550" spans="1:6" ht="13.2">
      <c r="A6550" t="s">
        <v>4706</v>
      </c>
      <c r="B6550">
        <v>0</v>
      </c>
      <c r="C6550" s="44">
        <v>1400</v>
      </c>
      <c r="D6550" t="s">
        <v>291</v>
      </c>
      <c r="E6550" t="s">
        <v>6715</v>
      </c>
      <c r="F6550" t="s">
        <v>532</v>
      </c>
    </row>
    <row r="6551" spans="1:6" ht="13.2">
      <c r="A6551" t="s">
        <v>4707</v>
      </c>
      <c r="B6551">
        <v>0</v>
      </c>
      <c r="C6551" s="44">
        <v>1400</v>
      </c>
      <c r="D6551" t="s">
        <v>291</v>
      </c>
      <c r="E6551" t="s">
        <v>6715</v>
      </c>
      <c r="F6551" t="s">
        <v>532</v>
      </c>
    </row>
    <row r="6552" spans="1:6" ht="13.2">
      <c r="A6552" t="s">
        <v>7618</v>
      </c>
      <c r="B6552">
        <v>0</v>
      </c>
      <c r="C6552" s="44">
        <v>1400</v>
      </c>
      <c r="D6552" t="s">
        <v>291</v>
      </c>
      <c r="E6552" t="s">
        <v>6715</v>
      </c>
      <c r="F6552" t="s">
        <v>532</v>
      </c>
    </row>
    <row r="6553" spans="1:6" ht="13.2">
      <c r="A6553" t="s">
        <v>4709</v>
      </c>
      <c r="B6553">
        <v>0</v>
      </c>
      <c r="C6553" s="44">
        <v>1400</v>
      </c>
      <c r="D6553" t="s">
        <v>291</v>
      </c>
      <c r="E6553" t="s">
        <v>6715</v>
      </c>
      <c r="F6553" t="s">
        <v>532</v>
      </c>
    </row>
    <row r="6554" spans="1:6" ht="13.2">
      <c r="A6554" t="s">
        <v>4710</v>
      </c>
      <c r="B6554">
        <v>0</v>
      </c>
      <c r="C6554" s="44">
        <v>1400</v>
      </c>
      <c r="D6554" t="s">
        <v>291</v>
      </c>
      <c r="E6554" t="s">
        <v>6715</v>
      </c>
      <c r="F6554" t="s">
        <v>532</v>
      </c>
    </row>
    <row r="6555" spans="1:6" ht="13.2">
      <c r="A6555" t="s">
        <v>4711</v>
      </c>
      <c r="B6555">
        <v>0</v>
      </c>
      <c r="C6555" s="44">
        <v>1400</v>
      </c>
      <c r="D6555" t="s">
        <v>291</v>
      </c>
      <c r="E6555" t="s">
        <v>6715</v>
      </c>
      <c r="F6555" t="s">
        <v>532</v>
      </c>
    </row>
    <row r="6556" spans="1:6" ht="13.2">
      <c r="A6556" t="s">
        <v>4713</v>
      </c>
      <c r="B6556">
        <v>0</v>
      </c>
      <c r="C6556" s="44">
        <v>1400</v>
      </c>
      <c r="D6556" t="s">
        <v>291</v>
      </c>
      <c r="E6556" t="s">
        <v>6715</v>
      </c>
      <c r="F6556" t="s">
        <v>532</v>
      </c>
    </row>
    <row r="6557" spans="1:6" ht="13.2">
      <c r="A6557" t="s">
        <v>4714</v>
      </c>
      <c r="B6557">
        <v>0</v>
      </c>
      <c r="C6557" s="44">
        <v>1400</v>
      </c>
      <c r="D6557" t="s">
        <v>291</v>
      </c>
      <c r="E6557" t="s">
        <v>6715</v>
      </c>
      <c r="F6557" t="s">
        <v>532</v>
      </c>
    </row>
    <row r="6558" spans="1:6" ht="13.2">
      <c r="A6558" t="s">
        <v>4715</v>
      </c>
      <c r="B6558">
        <v>0</v>
      </c>
      <c r="C6558" s="44">
        <v>1400</v>
      </c>
      <c r="D6558" t="s">
        <v>291</v>
      </c>
      <c r="E6558" t="s">
        <v>6715</v>
      </c>
      <c r="F6558" t="s">
        <v>532</v>
      </c>
    </row>
    <row r="6559" spans="1:6" ht="13.2">
      <c r="A6559" t="s">
        <v>4716</v>
      </c>
      <c r="B6559">
        <v>0</v>
      </c>
      <c r="C6559" s="44">
        <v>1400</v>
      </c>
      <c r="D6559" t="s">
        <v>291</v>
      </c>
      <c r="E6559" t="s">
        <v>6715</v>
      </c>
      <c r="F6559" t="s">
        <v>532</v>
      </c>
    </row>
    <row r="6560" spans="1:6" ht="13.2">
      <c r="A6560" t="s">
        <v>4717</v>
      </c>
      <c r="B6560">
        <v>0</v>
      </c>
      <c r="C6560" s="44">
        <v>1400</v>
      </c>
      <c r="D6560" t="s">
        <v>291</v>
      </c>
      <c r="E6560" t="s">
        <v>6715</v>
      </c>
      <c r="F6560" t="s">
        <v>532</v>
      </c>
    </row>
    <row r="6561" spans="1:6" ht="13.2">
      <c r="A6561" t="s">
        <v>4718</v>
      </c>
      <c r="B6561">
        <v>0</v>
      </c>
      <c r="C6561" s="44">
        <v>1400</v>
      </c>
      <c r="D6561" t="s">
        <v>291</v>
      </c>
      <c r="E6561" t="s">
        <v>6715</v>
      </c>
      <c r="F6561" t="s">
        <v>532</v>
      </c>
    </row>
    <row r="6562" spans="1:6" ht="13.2">
      <c r="A6562" t="s">
        <v>4719</v>
      </c>
      <c r="B6562">
        <v>0</v>
      </c>
      <c r="C6562" s="44">
        <v>1400</v>
      </c>
      <c r="D6562" t="s">
        <v>291</v>
      </c>
      <c r="E6562" t="s">
        <v>6715</v>
      </c>
      <c r="F6562" t="s">
        <v>532</v>
      </c>
    </row>
    <row r="6563" spans="1:6" ht="13.2">
      <c r="A6563" t="s">
        <v>4720</v>
      </c>
      <c r="B6563">
        <v>0</v>
      </c>
      <c r="C6563" s="44">
        <v>1400</v>
      </c>
      <c r="D6563" t="s">
        <v>291</v>
      </c>
      <c r="E6563" t="s">
        <v>6715</v>
      </c>
      <c r="F6563" t="s">
        <v>532</v>
      </c>
    </row>
    <row r="6564" spans="1:6" ht="13.2">
      <c r="A6564" t="s">
        <v>4721</v>
      </c>
      <c r="B6564">
        <v>0</v>
      </c>
      <c r="C6564" s="44">
        <v>1400</v>
      </c>
      <c r="D6564" t="s">
        <v>291</v>
      </c>
      <c r="E6564" t="s">
        <v>6715</v>
      </c>
      <c r="F6564" t="s">
        <v>532</v>
      </c>
    </row>
    <row r="6565" spans="1:6" ht="13.2">
      <c r="A6565" t="s">
        <v>4722</v>
      </c>
      <c r="B6565">
        <v>0</v>
      </c>
      <c r="C6565" s="44">
        <v>1400</v>
      </c>
      <c r="D6565" t="s">
        <v>291</v>
      </c>
      <c r="E6565" t="s">
        <v>6715</v>
      </c>
      <c r="F6565" t="s">
        <v>532</v>
      </c>
    </row>
    <row r="6566" spans="1:6" ht="13.2">
      <c r="A6566" t="s">
        <v>4723</v>
      </c>
      <c r="B6566">
        <v>0</v>
      </c>
      <c r="C6566" s="44">
        <v>1400</v>
      </c>
      <c r="D6566" t="s">
        <v>291</v>
      </c>
      <c r="E6566" t="s">
        <v>6715</v>
      </c>
      <c r="F6566" t="s">
        <v>532</v>
      </c>
    </row>
    <row r="6567" spans="1:6" ht="13.2">
      <c r="A6567" t="s">
        <v>4724</v>
      </c>
      <c r="B6567">
        <v>0</v>
      </c>
      <c r="C6567" s="44">
        <v>1400</v>
      </c>
      <c r="D6567" t="s">
        <v>291</v>
      </c>
      <c r="E6567" t="s">
        <v>6715</v>
      </c>
      <c r="F6567" t="s">
        <v>532</v>
      </c>
    </row>
    <row r="6568" spans="1:6" ht="13.2">
      <c r="A6568" t="s">
        <v>4725</v>
      </c>
      <c r="B6568">
        <v>0</v>
      </c>
      <c r="C6568" s="44">
        <v>1400</v>
      </c>
      <c r="D6568" t="s">
        <v>291</v>
      </c>
      <c r="E6568" t="s">
        <v>6715</v>
      </c>
      <c r="F6568" t="s">
        <v>532</v>
      </c>
    </row>
    <row r="6569" spans="1:6" ht="13.2">
      <c r="A6569" t="s">
        <v>4726</v>
      </c>
      <c r="B6569">
        <v>0</v>
      </c>
      <c r="C6569" s="44">
        <v>1400</v>
      </c>
      <c r="D6569" t="s">
        <v>291</v>
      </c>
      <c r="E6569" t="s">
        <v>6715</v>
      </c>
      <c r="F6569" t="s">
        <v>532</v>
      </c>
    </row>
    <row r="6570" spans="1:6" ht="13.2">
      <c r="A6570" t="s">
        <v>4727</v>
      </c>
      <c r="B6570">
        <v>0</v>
      </c>
      <c r="C6570" s="44">
        <v>1400</v>
      </c>
      <c r="D6570" t="s">
        <v>291</v>
      </c>
      <c r="E6570" t="s">
        <v>6715</v>
      </c>
      <c r="F6570" t="s">
        <v>532</v>
      </c>
    </row>
    <row r="6571" spans="1:6" ht="13.2">
      <c r="A6571" t="s">
        <v>4728</v>
      </c>
      <c r="B6571">
        <v>0</v>
      </c>
      <c r="C6571" s="44">
        <v>1400</v>
      </c>
      <c r="D6571" t="s">
        <v>291</v>
      </c>
      <c r="E6571" t="s">
        <v>6715</v>
      </c>
      <c r="F6571" t="s">
        <v>532</v>
      </c>
    </row>
    <row r="6572" spans="1:6" ht="13.2">
      <c r="A6572" t="s">
        <v>4729</v>
      </c>
      <c r="B6572">
        <v>0</v>
      </c>
      <c r="C6572" s="44">
        <v>1400</v>
      </c>
      <c r="D6572" t="s">
        <v>291</v>
      </c>
      <c r="E6572" t="s">
        <v>6715</v>
      </c>
      <c r="F6572" t="s">
        <v>532</v>
      </c>
    </row>
    <row r="6573" spans="1:6" ht="13.2">
      <c r="A6573" t="s">
        <v>4730</v>
      </c>
      <c r="B6573">
        <v>0</v>
      </c>
      <c r="C6573" s="44">
        <v>1400</v>
      </c>
      <c r="D6573" t="s">
        <v>291</v>
      </c>
      <c r="E6573" t="s">
        <v>6715</v>
      </c>
      <c r="F6573" t="s">
        <v>532</v>
      </c>
    </row>
    <row r="6574" spans="1:6" ht="13.2">
      <c r="A6574" t="s">
        <v>4731</v>
      </c>
      <c r="B6574">
        <v>0</v>
      </c>
      <c r="C6574" s="44">
        <v>1400</v>
      </c>
      <c r="D6574" t="s">
        <v>291</v>
      </c>
      <c r="E6574" t="s">
        <v>6715</v>
      </c>
      <c r="F6574" t="s">
        <v>532</v>
      </c>
    </row>
    <row r="6575" spans="1:6" ht="13.2">
      <c r="A6575" t="s">
        <v>4732</v>
      </c>
      <c r="B6575">
        <v>0</v>
      </c>
      <c r="C6575" s="44">
        <v>1400</v>
      </c>
      <c r="D6575" t="s">
        <v>291</v>
      </c>
      <c r="E6575" t="s">
        <v>6715</v>
      </c>
      <c r="F6575" t="s">
        <v>532</v>
      </c>
    </row>
    <row r="6576" spans="1:6" ht="13.2">
      <c r="A6576" t="s">
        <v>4733</v>
      </c>
      <c r="B6576">
        <v>0</v>
      </c>
      <c r="C6576" s="44">
        <v>1400</v>
      </c>
      <c r="D6576" t="s">
        <v>291</v>
      </c>
      <c r="E6576" t="s">
        <v>6715</v>
      </c>
      <c r="F6576" t="s">
        <v>532</v>
      </c>
    </row>
    <row r="6577" spans="1:6" ht="13.2">
      <c r="A6577" t="s">
        <v>4734</v>
      </c>
      <c r="B6577">
        <v>0</v>
      </c>
      <c r="C6577" s="44">
        <v>1400</v>
      </c>
      <c r="D6577" t="s">
        <v>291</v>
      </c>
      <c r="E6577" t="s">
        <v>6715</v>
      </c>
      <c r="F6577" t="s">
        <v>532</v>
      </c>
    </row>
    <row r="6578" spans="1:6" ht="13.2">
      <c r="A6578" t="s">
        <v>4735</v>
      </c>
      <c r="B6578">
        <v>0</v>
      </c>
      <c r="C6578" s="44">
        <v>1400</v>
      </c>
      <c r="D6578" t="s">
        <v>291</v>
      </c>
      <c r="E6578" t="s">
        <v>6715</v>
      </c>
      <c r="F6578" t="s">
        <v>532</v>
      </c>
    </row>
    <row r="6579" spans="1:6" ht="13.2">
      <c r="A6579" t="s">
        <v>4736</v>
      </c>
      <c r="B6579">
        <v>0</v>
      </c>
      <c r="C6579" s="44">
        <v>1400</v>
      </c>
      <c r="D6579" t="s">
        <v>291</v>
      </c>
      <c r="E6579" t="s">
        <v>6715</v>
      </c>
      <c r="F6579" t="s">
        <v>532</v>
      </c>
    </row>
    <row r="6580" spans="1:6" ht="13.2">
      <c r="A6580" t="s">
        <v>4737</v>
      </c>
      <c r="B6580">
        <v>0</v>
      </c>
      <c r="C6580" s="44">
        <v>1400</v>
      </c>
      <c r="D6580" t="s">
        <v>291</v>
      </c>
      <c r="E6580" t="s">
        <v>6715</v>
      </c>
      <c r="F6580" t="s">
        <v>532</v>
      </c>
    </row>
    <row r="6581" spans="1:6" ht="13.2">
      <c r="A6581" t="s">
        <v>4738</v>
      </c>
      <c r="B6581">
        <v>0</v>
      </c>
      <c r="C6581" s="44">
        <v>1400</v>
      </c>
      <c r="D6581" t="s">
        <v>291</v>
      </c>
      <c r="E6581" t="s">
        <v>6715</v>
      </c>
      <c r="F6581" t="s">
        <v>532</v>
      </c>
    </row>
    <row r="6582" spans="1:6" ht="13.2">
      <c r="A6582" t="s">
        <v>4739</v>
      </c>
      <c r="B6582">
        <v>0</v>
      </c>
      <c r="C6582" s="44">
        <v>1400</v>
      </c>
      <c r="D6582" t="s">
        <v>291</v>
      </c>
      <c r="E6582" t="s">
        <v>6715</v>
      </c>
      <c r="F6582" t="s">
        <v>532</v>
      </c>
    </row>
    <row r="6583" spans="1:6" ht="13.2">
      <c r="A6583" t="s">
        <v>4740</v>
      </c>
      <c r="B6583">
        <v>0</v>
      </c>
      <c r="C6583" s="44">
        <v>1400</v>
      </c>
      <c r="D6583" t="s">
        <v>291</v>
      </c>
      <c r="E6583" t="s">
        <v>6715</v>
      </c>
      <c r="F6583" t="s">
        <v>532</v>
      </c>
    </row>
    <row r="6584" spans="1:6" ht="13.2">
      <c r="A6584" t="s">
        <v>4741</v>
      </c>
      <c r="B6584">
        <v>0</v>
      </c>
      <c r="C6584" s="44">
        <v>1400</v>
      </c>
      <c r="D6584" t="s">
        <v>291</v>
      </c>
      <c r="E6584" t="s">
        <v>6715</v>
      </c>
      <c r="F6584" t="s">
        <v>532</v>
      </c>
    </row>
    <row r="6585" spans="1:6" ht="13.2">
      <c r="A6585" t="s">
        <v>7619</v>
      </c>
      <c r="B6585">
        <v>0</v>
      </c>
      <c r="C6585" s="44">
        <v>1400</v>
      </c>
      <c r="D6585" t="s">
        <v>291</v>
      </c>
      <c r="E6585" t="s">
        <v>6715</v>
      </c>
      <c r="F6585" t="s">
        <v>532</v>
      </c>
    </row>
    <row r="6586" spans="1:6" ht="13.2">
      <c r="A6586" t="s">
        <v>4742</v>
      </c>
      <c r="B6586">
        <v>0</v>
      </c>
      <c r="C6586" s="44">
        <v>1400</v>
      </c>
      <c r="D6586" t="s">
        <v>291</v>
      </c>
      <c r="E6586" t="s">
        <v>6715</v>
      </c>
      <c r="F6586" t="s">
        <v>532</v>
      </c>
    </row>
    <row r="6587" spans="1:6" ht="13.2">
      <c r="A6587" t="s">
        <v>4743</v>
      </c>
      <c r="B6587">
        <v>0</v>
      </c>
      <c r="C6587" s="44">
        <v>1400</v>
      </c>
      <c r="D6587" t="s">
        <v>291</v>
      </c>
      <c r="E6587" t="s">
        <v>6715</v>
      </c>
      <c r="F6587" t="s">
        <v>532</v>
      </c>
    </row>
    <row r="6588" spans="1:6" ht="13.2">
      <c r="A6588" t="s">
        <v>7620</v>
      </c>
      <c r="B6588">
        <v>0</v>
      </c>
      <c r="C6588" s="44">
        <v>3050</v>
      </c>
      <c r="D6588" t="s">
        <v>293</v>
      </c>
      <c r="E6588" t="s">
        <v>5658</v>
      </c>
      <c r="F6588" t="s">
        <v>532</v>
      </c>
    </row>
    <row r="6589" spans="1:6" ht="13.2">
      <c r="A6589" t="s">
        <v>7621</v>
      </c>
      <c r="B6589">
        <v>0</v>
      </c>
      <c r="C6589" s="44">
        <v>3050</v>
      </c>
      <c r="D6589" t="s">
        <v>293</v>
      </c>
      <c r="E6589" t="s">
        <v>5658</v>
      </c>
      <c r="F6589" t="s">
        <v>532</v>
      </c>
    </row>
    <row r="6590" spans="1:6" ht="13.2">
      <c r="A6590" t="s">
        <v>7622</v>
      </c>
      <c r="B6590">
        <v>0</v>
      </c>
      <c r="C6590" s="44">
        <v>3050</v>
      </c>
      <c r="D6590" t="s">
        <v>293</v>
      </c>
      <c r="E6590" t="s">
        <v>5658</v>
      </c>
      <c r="F6590" t="s">
        <v>532</v>
      </c>
    </row>
    <row r="6591" spans="1:6" ht="13.2">
      <c r="A6591" t="s">
        <v>7623</v>
      </c>
      <c r="B6591">
        <v>0</v>
      </c>
      <c r="C6591" s="44">
        <v>3050</v>
      </c>
      <c r="D6591" t="s">
        <v>293</v>
      </c>
      <c r="E6591" t="s">
        <v>5658</v>
      </c>
      <c r="F6591" t="s">
        <v>532</v>
      </c>
    </row>
    <row r="6592" spans="1:6" ht="13.2">
      <c r="A6592" t="s">
        <v>7624</v>
      </c>
      <c r="B6592">
        <v>0</v>
      </c>
      <c r="C6592" s="44">
        <v>3050</v>
      </c>
      <c r="D6592" t="s">
        <v>293</v>
      </c>
      <c r="E6592" t="s">
        <v>5658</v>
      </c>
      <c r="F6592" t="s">
        <v>532</v>
      </c>
    </row>
    <row r="6593" spans="1:6" ht="13.2">
      <c r="A6593" t="s">
        <v>7625</v>
      </c>
      <c r="B6593">
        <v>0</v>
      </c>
      <c r="C6593" s="44">
        <v>3050</v>
      </c>
      <c r="D6593" t="s">
        <v>293</v>
      </c>
      <c r="E6593" t="s">
        <v>5658</v>
      </c>
      <c r="F6593" t="s">
        <v>532</v>
      </c>
    </row>
    <row r="6594" spans="1:6" ht="13.2">
      <c r="A6594" t="s">
        <v>7626</v>
      </c>
      <c r="B6594">
        <v>0</v>
      </c>
      <c r="C6594" s="44">
        <v>3050</v>
      </c>
      <c r="D6594" t="s">
        <v>293</v>
      </c>
      <c r="E6594" t="s">
        <v>5658</v>
      </c>
      <c r="F6594" t="s">
        <v>532</v>
      </c>
    </row>
    <row r="6595" spans="1:6" ht="13.2">
      <c r="A6595" t="s">
        <v>7627</v>
      </c>
      <c r="B6595">
        <v>0</v>
      </c>
      <c r="C6595" s="44">
        <v>3050</v>
      </c>
      <c r="D6595" t="s">
        <v>293</v>
      </c>
      <c r="E6595" t="s">
        <v>5658</v>
      </c>
      <c r="F6595" t="s">
        <v>532</v>
      </c>
    </row>
    <row r="6596" spans="1:6" ht="13.2">
      <c r="A6596" t="s">
        <v>7628</v>
      </c>
      <c r="B6596">
        <v>0</v>
      </c>
      <c r="C6596" s="44">
        <v>3050</v>
      </c>
      <c r="D6596" t="s">
        <v>293</v>
      </c>
      <c r="E6596" t="s">
        <v>5658</v>
      </c>
      <c r="F6596" t="s">
        <v>532</v>
      </c>
    </row>
    <row r="6597" spans="1:6" ht="13.2">
      <c r="A6597" t="s">
        <v>7629</v>
      </c>
      <c r="B6597">
        <v>0</v>
      </c>
      <c r="C6597" s="44">
        <v>3050</v>
      </c>
      <c r="D6597" t="s">
        <v>293</v>
      </c>
      <c r="E6597" t="s">
        <v>5658</v>
      </c>
      <c r="F6597" t="s">
        <v>532</v>
      </c>
    </row>
    <row r="6598" spans="1:6" ht="13.2">
      <c r="A6598" t="s">
        <v>7630</v>
      </c>
      <c r="B6598">
        <v>0</v>
      </c>
      <c r="C6598" s="44">
        <v>3050</v>
      </c>
      <c r="D6598" t="s">
        <v>293</v>
      </c>
      <c r="E6598" t="s">
        <v>5658</v>
      </c>
      <c r="F6598" t="s">
        <v>532</v>
      </c>
    </row>
    <row r="6599" spans="1:6" ht="13.2">
      <c r="A6599" t="s">
        <v>7631</v>
      </c>
      <c r="B6599">
        <v>0</v>
      </c>
      <c r="C6599" s="44">
        <v>3050</v>
      </c>
      <c r="D6599" t="s">
        <v>293</v>
      </c>
      <c r="E6599" t="s">
        <v>5658</v>
      </c>
      <c r="F6599" t="s">
        <v>532</v>
      </c>
    </row>
    <row r="6600" spans="1:6" ht="13.2">
      <c r="A6600" t="s">
        <v>7632</v>
      </c>
      <c r="B6600">
        <v>0</v>
      </c>
      <c r="C6600" s="44">
        <v>3050</v>
      </c>
      <c r="D6600" t="s">
        <v>293</v>
      </c>
      <c r="E6600" t="s">
        <v>5658</v>
      </c>
      <c r="F6600" t="s">
        <v>532</v>
      </c>
    </row>
    <row r="6601" spans="1:6" ht="13.2">
      <c r="A6601" t="s">
        <v>7633</v>
      </c>
      <c r="B6601">
        <v>0</v>
      </c>
      <c r="C6601" s="44">
        <v>3050</v>
      </c>
      <c r="D6601" t="s">
        <v>293</v>
      </c>
      <c r="E6601" t="s">
        <v>5658</v>
      </c>
      <c r="F6601" t="s">
        <v>532</v>
      </c>
    </row>
    <row r="6602" spans="1:6" ht="13.2">
      <c r="A6602" t="s">
        <v>7634</v>
      </c>
      <c r="B6602">
        <v>0</v>
      </c>
      <c r="C6602" s="44">
        <v>3050</v>
      </c>
      <c r="D6602" t="s">
        <v>293</v>
      </c>
      <c r="E6602" t="s">
        <v>5658</v>
      </c>
      <c r="F6602" t="s">
        <v>532</v>
      </c>
    </row>
    <row r="6603" spans="1:6" ht="13.2">
      <c r="A6603" t="s">
        <v>7635</v>
      </c>
      <c r="B6603">
        <v>0</v>
      </c>
      <c r="C6603" s="44">
        <v>3050</v>
      </c>
      <c r="D6603" t="s">
        <v>293</v>
      </c>
      <c r="E6603" t="s">
        <v>5658</v>
      </c>
      <c r="F6603" t="s">
        <v>532</v>
      </c>
    </row>
    <row r="6604" spans="1:6" ht="13.2">
      <c r="A6604" t="s">
        <v>7636</v>
      </c>
      <c r="B6604">
        <v>0</v>
      </c>
      <c r="C6604" s="44">
        <v>3050</v>
      </c>
      <c r="D6604" t="s">
        <v>293</v>
      </c>
      <c r="E6604" t="s">
        <v>5658</v>
      </c>
      <c r="F6604" t="s">
        <v>532</v>
      </c>
    </row>
    <row r="6605" spans="1:6" ht="13.2">
      <c r="A6605" t="s">
        <v>7637</v>
      </c>
      <c r="B6605">
        <v>0</v>
      </c>
      <c r="C6605" s="44">
        <v>3050</v>
      </c>
      <c r="D6605" t="s">
        <v>293</v>
      </c>
      <c r="E6605" t="s">
        <v>5658</v>
      </c>
      <c r="F6605" t="s">
        <v>532</v>
      </c>
    </row>
    <row r="6606" spans="1:6" ht="13.2">
      <c r="A6606" t="s">
        <v>7638</v>
      </c>
      <c r="B6606">
        <v>0</v>
      </c>
      <c r="C6606" s="44">
        <v>3050</v>
      </c>
      <c r="D6606" t="s">
        <v>293</v>
      </c>
      <c r="E6606" t="s">
        <v>5658</v>
      </c>
      <c r="F6606" t="s">
        <v>532</v>
      </c>
    </row>
    <row r="6607" spans="1:6" ht="13.2">
      <c r="A6607" t="s">
        <v>7639</v>
      </c>
      <c r="B6607">
        <v>0</v>
      </c>
      <c r="C6607" s="44">
        <v>3050</v>
      </c>
      <c r="D6607" t="s">
        <v>293</v>
      </c>
      <c r="E6607" t="s">
        <v>5658</v>
      </c>
      <c r="F6607" t="s">
        <v>532</v>
      </c>
    </row>
    <row r="6608" spans="1:6" ht="13.2">
      <c r="A6608" t="s">
        <v>7640</v>
      </c>
      <c r="B6608">
        <v>0</v>
      </c>
      <c r="C6608" s="44">
        <v>3050</v>
      </c>
      <c r="D6608" t="s">
        <v>293</v>
      </c>
      <c r="E6608" t="s">
        <v>5658</v>
      </c>
      <c r="F6608" t="s">
        <v>532</v>
      </c>
    </row>
    <row r="6609" spans="1:6" ht="13.2">
      <c r="A6609" t="s">
        <v>7641</v>
      </c>
      <c r="B6609">
        <v>0</v>
      </c>
      <c r="C6609" s="44">
        <v>3050</v>
      </c>
      <c r="D6609" t="s">
        <v>291</v>
      </c>
      <c r="E6609" t="s">
        <v>5658</v>
      </c>
      <c r="F6609" t="s">
        <v>532</v>
      </c>
    </row>
    <row r="6610" spans="1:6" ht="13.2">
      <c r="A6610" t="s">
        <v>7642</v>
      </c>
      <c r="B6610">
        <v>0</v>
      </c>
      <c r="C6610" s="44">
        <v>3050</v>
      </c>
      <c r="D6610" t="s">
        <v>291</v>
      </c>
      <c r="E6610" t="s">
        <v>5658</v>
      </c>
      <c r="F6610" t="s">
        <v>532</v>
      </c>
    </row>
    <row r="6611" spans="1:6" ht="13.2">
      <c r="A6611" t="s">
        <v>7643</v>
      </c>
      <c r="B6611">
        <v>0</v>
      </c>
      <c r="C6611" s="44">
        <v>3050</v>
      </c>
      <c r="D6611" t="s">
        <v>291</v>
      </c>
      <c r="E6611" t="s">
        <v>5658</v>
      </c>
      <c r="F6611" t="s">
        <v>532</v>
      </c>
    </row>
    <row r="6612" spans="1:6" ht="13.2">
      <c r="A6612" t="s">
        <v>7644</v>
      </c>
      <c r="B6612">
        <v>0</v>
      </c>
      <c r="C6612" s="44">
        <v>3050</v>
      </c>
      <c r="D6612" t="s">
        <v>291</v>
      </c>
      <c r="E6612" t="s">
        <v>5658</v>
      </c>
      <c r="F6612" t="s">
        <v>532</v>
      </c>
    </row>
    <row r="6613" spans="1:6" ht="13.2">
      <c r="A6613" t="s">
        <v>7645</v>
      </c>
      <c r="B6613">
        <v>0</v>
      </c>
      <c r="C6613" s="44">
        <v>3050</v>
      </c>
      <c r="D6613" t="s">
        <v>291</v>
      </c>
      <c r="E6613" t="s">
        <v>5658</v>
      </c>
      <c r="F6613" t="s">
        <v>532</v>
      </c>
    </row>
    <row r="6614" spans="1:6" ht="13.2">
      <c r="A6614" t="s">
        <v>7646</v>
      </c>
      <c r="B6614">
        <v>0</v>
      </c>
      <c r="C6614" s="44">
        <v>3050</v>
      </c>
      <c r="D6614" t="s">
        <v>291</v>
      </c>
      <c r="E6614" t="s">
        <v>5658</v>
      </c>
      <c r="F6614" t="s">
        <v>532</v>
      </c>
    </row>
    <row r="6615" spans="1:6" ht="13.2">
      <c r="A6615" t="s">
        <v>7647</v>
      </c>
      <c r="B6615">
        <v>0</v>
      </c>
      <c r="C6615" s="44">
        <v>3050</v>
      </c>
      <c r="D6615" t="s">
        <v>291</v>
      </c>
      <c r="E6615" t="s">
        <v>5658</v>
      </c>
      <c r="F6615" t="s">
        <v>532</v>
      </c>
    </row>
    <row r="6616" spans="1:6" ht="13.2">
      <c r="A6616" t="s">
        <v>7648</v>
      </c>
      <c r="B6616">
        <v>0</v>
      </c>
      <c r="C6616" s="44">
        <v>3050</v>
      </c>
      <c r="D6616" t="s">
        <v>291</v>
      </c>
      <c r="E6616" t="s">
        <v>5658</v>
      </c>
      <c r="F6616" t="s">
        <v>532</v>
      </c>
    </row>
    <row r="6617" spans="1:6" ht="13.2">
      <c r="A6617" t="s">
        <v>7649</v>
      </c>
      <c r="B6617">
        <v>0</v>
      </c>
      <c r="C6617" s="44">
        <v>3050</v>
      </c>
      <c r="D6617" t="s">
        <v>291</v>
      </c>
      <c r="E6617" t="s">
        <v>5658</v>
      </c>
      <c r="F6617" t="s">
        <v>532</v>
      </c>
    </row>
    <row r="6618" spans="1:6" ht="13.2">
      <c r="A6618" t="s">
        <v>7650</v>
      </c>
      <c r="B6618">
        <v>0</v>
      </c>
      <c r="C6618" s="44">
        <v>3050</v>
      </c>
      <c r="D6618" t="s">
        <v>291</v>
      </c>
      <c r="E6618" t="s">
        <v>5658</v>
      </c>
      <c r="F6618" t="s">
        <v>532</v>
      </c>
    </row>
    <row r="6619" spans="1:6" ht="13.2">
      <c r="A6619" t="s">
        <v>7651</v>
      </c>
      <c r="B6619">
        <v>0</v>
      </c>
      <c r="C6619" s="44">
        <v>3050</v>
      </c>
      <c r="D6619" t="s">
        <v>291</v>
      </c>
      <c r="E6619" t="s">
        <v>5658</v>
      </c>
      <c r="F6619" t="s">
        <v>532</v>
      </c>
    </row>
    <row r="6620" spans="1:6" ht="13.2">
      <c r="A6620" t="s">
        <v>7652</v>
      </c>
      <c r="B6620">
        <v>0</v>
      </c>
      <c r="C6620" s="44">
        <v>3050</v>
      </c>
      <c r="D6620" t="s">
        <v>291</v>
      </c>
      <c r="E6620" t="s">
        <v>5658</v>
      </c>
      <c r="F6620" t="s">
        <v>532</v>
      </c>
    </row>
    <row r="6621" spans="1:6" ht="13.2">
      <c r="A6621" t="s">
        <v>7653</v>
      </c>
      <c r="B6621">
        <v>0</v>
      </c>
      <c r="C6621" s="44">
        <v>3050</v>
      </c>
      <c r="D6621" t="s">
        <v>291</v>
      </c>
      <c r="E6621" t="s">
        <v>5658</v>
      </c>
      <c r="F6621" t="s">
        <v>532</v>
      </c>
    </row>
    <row r="6622" spans="1:6" ht="13.2">
      <c r="A6622" t="s">
        <v>7654</v>
      </c>
      <c r="B6622">
        <v>0</v>
      </c>
      <c r="C6622" s="44">
        <v>3050</v>
      </c>
      <c r="D6622" t="s">
        <v>291</v>
      </c>
      <c r="E6622" t="s">
        <v>5658</v>
      </c>
      <c r="F6622" t="s">
        <v>532</v>
      </c>
    </row>
    <row r="6623" spans="1:6" ht="13.2">
      <c r="A6623" t="s">
        <v>7655</v>
      </c>
      <c r="B6623">
        <v>0</v>
      </c>
      <c r="C6623" s="44">
        <v>3050</v>
      </c>
      <c r="D6623" t="s">
        <v>291</v>
      </c>
      <c r="E6623" t="s">
        <v>5658</v>
      </c>
      <c r="F6623" t="s">
        <v>532</v>
      </c>
    </row>
    <row r="6624" spans="1:6" ht="13.2">
      <c r="A6624" t="s">
        <v>7656</v>
      </c>
      <c r="B6624">
        <v>0</v>
      </c>
      <c r="C6624" s="44">
        <v>3050</v>
      </c>
      <c r="D6624" t="s">
        <v>291</v>
      </c>
      <c r="E6624" t="s">
        <v>5658</v>
      </c>
      <c r="F6624" t="s">
        <v>532</v>
      </c>
    </row>
    <row r="6625" spans="1:6" ht="13.2">
      <c r="A6625" t="s">
        <v>7657</v>
      </c>
      <c r="B6625">
        <v>0</v>
      </c>
      <c r="C6625" s="44">
        <v>3050</v>
      </c>
      <c r="D6625" t="s">
        <v>291</v>
      </c>
      <c r="E6625" t="s">
        <v>5658</v>
      </c>
      <c r="F6625" t="s">
        <v>532</v>
      </c>
    </row>
    <row r="6626" spans="1:6" ht="13.2">
      <c r="A6626" t="s">
        <v>7658</v>
      </c>
      <c r="B6626">
        <v>0</v>
      </c>
      <c r="C6626" s="44">
        <v>3050</v>
      </c>
      <c r="D6626" t="s">
        <v>291</v>
      </c>
      <c r="E6626" t="s">
        <v>5658</v>
      </c>
      <c r="F6626" t="s">
        <v>532</v>
      </c>
    </row>
    <row r="6627" spans="1:6" ht="13.2">
      <c r="A6627" t="s">
        <v>7659</v>
      </c>
      <c r="B6627">
        <v>0</v>
      </c>
      <c r="C6627" s="44">
        <v>3050</v>
      </c>
      <c r="D6627" t="s">
        <v>291</v>
      </c>
      <c r="E6627" t="s">
        <v>5658</v>
      </c>
      <c r="F6627" t="s">
        <v>532</v>
      </c>
    </row>
    <row r="6628" spans="1:6" ht="13.2">
      <c r="A6628" t="s">
        <v>7660</v>
      </c>
      <c r="B6628">
        <v>0</v>
      </c>
      <c r="C6628" s="44">
        <v>3050</v>
      </c>
      <c r="D6628" t="s">
        <v>291</v>
      </c>
      <c r="E6628" t="s">
        <v>5658</v>
      </c>
      <c r="F6628" t="s">
        <v>532</v>
      </c>
    </row>
    <row r="6629" spans="1:6" ht="13.2">
      <c r="A6629" t="s">
        <v>7661</v>
      </c>
      <c r="B6629">
        <v>0</v>
      </c>
      <c r="C6629" s="44">
        <v>3050</v>
      </c>
      <c r="D6629" t="s">
        <v>291</v>
      </c>
      <c r="E6629" t="s">
        <v>5658</v>
      </c>
      <c r="F6629" t="s">
        <v>532</v>
      </c>
    </row>
    <row r="6630" spans="1:5" ht="13.2">
      <c r="A6630" t="s">
        <v>7662</v>
      </c>
      <c r="B6630">
        <v>0</v>
      </c>
      <c r="C6630" s="44">
        <v>2985</v>
      </c>
      <c r="D6630" t="s">
        <v>293</v>
      </c>
      <c r="E6630" t="s">
        <v>7663</v>
      </c>
    </row>
    <row r="6631" spans="1:5" ht="13.2">
      <c r="A6631" t="s">
        <v>7664</v>
      </c>
      <c r="B6631">
        <v>0</v>
      </c>
      <c r="C6631" s="44">
        <v>2985</v>
      </c>
      <c r="D6631" t="s">
        <v>293</v>
      </c>
      <c r="E6631" t="s">
        <v>7663</v>
      </c>
    </row>
    <row r="6632" spans="1:5" ht="13.2">
      <c r="A6632" t="s">
        <v>7665</v>
      </c>
      <c r="B6632">
        <v>0</v>
      </c>
      <c r="C6632" s="44">
        <v>2985</v>
      </c>
      <c r="D6632" t="s">
        <v>293</v>
      </c>
      <c r="E6632" t="s">
        <v>7663</v>
      </c>
    </row>
    <row r="6633" spans="1:5" ht="13.2">
      <c r="A6633" t="s">
        <v>7666</v>
      </c>
      <c r="B6633">
        <v>0</v>
      </c>
      <c r="C6633" s="44">
        <v>2985</v>
      </c>
      <c r="D6633" t="s">
        <v>293</v>
      </c>
      <c r="E6633" t="s">
        <v>7663</v>
      </c>
    </row>
    <row r="6634" spans="1:5" ht="13.2">
      <c r="A6634" t="s">
        <v>7667</v>
      </c>
      <c r="B6634">
        <v>0</v>
      </c>
      <c r="C6634" s="44">
        <v>2985</v>
      </c>
      <c r="D6634" t="s">
        <v>293</v>
      </c>
      <c r="E6634" t="s">
        <v>7663</v>
      </c>
    </row>
    <row r="6635" spans="1:5" ht="13.2">
      <c r="A6635" t="s">
        <v>7668</v>
      </c>
      <c r="B6635">
        <v>0</v>
      </c>
      <c r="C6635" s="44">
        <v>2985</v>
      </c>
      <c r="D6635" t="s">
        <v>293</v>
      </c>
      <c r="E6635" t="s">
        <v>7663</v>
      </c>
    </row>
    <row r="6636" spans="1:5" ht="13.2">
      <c r="A6636" t="s">
        <v>7669</v>
      </c>
      <c r="B6636">
        <v>0</v>
      </c>
      <c r="C6636" s="44">
        <v>2985</v>
      </c>
      <c r="D6636" t="s">
        <v>293</v>
      </c>
      <c r="E6636" t="s">
        <v>7663</v>
      </c>
    </row>
    <row r="6637" spans="1:5" ht="13.2">
      <c r="A6637" t="s">
        <v>7670</v>
      </c>
      <c r="B6637">
        <v>0</v>
      </c>
      <c r="C6637" s="44">
        <v>2985</v>
      </c>
      <c r="D6637" t="s">
        <v>293</v>
      </c>
      <c r="E6637" t="s">
        <v>7663</v>
      </c>
    </row>
    <row r="6638" spans="1:5" ht="13.2">
      <c r="A6638" t="s">
        <v>7671</v>
      </c>
      <c r="B6638">
        <v>0</v>
      </c>
      <c r="C6638" s="44">
        <v>2985</v>
      </c>
      <c r="D6638" t="s">
        <v>293</v>
      </c>
      <c r="E6638" t="s">
        <v>7663</v>
      </c>
    </row>
    <row r="6639" spans="1:5" ht="13.2">
      <c r="A6639" t="s">
        <v>7672</v>
      </c>
      <c r="B6639">
        <v>0</v>
      </c>
      <c r="C6639" s="44">
        <v>2985</v>
      </c>
      <c r="D6639" t="s">
        <v>293</v>
      </c>
      <c r="E6639" t="s">
        <v>7663</v>
      </c>
    </row>
    <row r="6640" spans="1:5" ht="13.2">
      <c r="A6640" t="s">
        <v>7673</v>
      </c>
      <c r="B6640">
        <v>0</v>
      </c>
      <c r="C6640" s="44">
        <v>2985</v>
      </c>
      <c r="D6640" t="s">
        <v>293</v>
      </c>
      <c r="E6640" t="s">
        <v>7663</v>
      </c>
    </row>
    <row r="6641" spans="1:6" ht="13.2">
      <c r="A6641" t="s">
        <v>7675</v>
      </c>
      <c r="B6641">
        <v>0</v>
      </c>
      <c r="C6641" s="44" t="s">
        <v>201</v>
      </c>
      <c r="D6641" t="s">
        <v>291</v>
      </c>
      <c r="E6641" t="s">
        <v>7674</v>
      </c>
      <c r="F6641">
        <v>4</v>
      </c>
    </row>
    <row r="6642" spans="1:6" ht="13.2">
      <c r="A6642" t="s">
        <v>7676</v>
      </c>
      <c r="B6642">
        <v>0</v>
      </c>
      <c r="C6642" s="44" t="s">
        <v>201</v>
      </c>
      <c r="D6642" t="s">
        <v>291</v>
      </c>
      <c r="E6642" t="s">
        <v>7674</v>
      </c>
      <c r="F6642">
        <v>4</v>
      </c>
    </row>
    <row r="6643" spans="1:6" ht="13.2">
      <c r="A6643" t="s">
        <v>7677</v>
      </c>
      <c r="B6643">
        <v>0</v>
      </c>
      <c r="C6643" s="44" t="s">
        <v>201</v>
      </c>
      <c r="D6643" t="s">
        <v>291</v>
      </c>
      <c r="E6643" t="s">
        <v>7674</v>
      </c>
      <c r="F6643">
        <v>4</v>
      </c>
    </row>
    <row r="6644" spans="1:6" ht="13.2">
      <c r="A6644" t="s">
        <v>7678</v>
      </c>
      <c r="B6644">
        <v>0</v>
      </c>
      <c r="C6644" s="44" t="s">
        <v>201</v>
      </c>
      <c r="D6644" t="s">
        <v>291</v>
      </c>
      <c r="E6644" t="s">
        <v>7674</v>
      </c>
      <c r="F6644">
        <v>4</v>
      </c>
    </row>
    <row r="6645" spans="1:6" ht="13.2">
      <c r="A6645" t="s">
        <v>7679</v>
      </c>
      <c r="B6645">
        <v>0</v>
      </c>
      <c r="C6645" s="44" t="s">
        <v>201</v>
      </c>
      <c r="D6645" t="s">
        <v>291</v>
      </c>
      <c r="E6645" t="s">
        <v>7674</v>
      </c>
      <c r="F6645">
        <v>4</v>
      </c>
    </row>
    <row r="6646" spans="1:6" ht="13.2">
      <c r="A6646" t="s">
        <v>7680</v>
      </c>
      <c r="B6646">
        <v>0</v>
      </c>
      <c r="C6646" s="44" t="s">
        <v>201</v>
      </c>
      <c r="D6646" t="s">
        <v>291</v>
      </c>
      <c r="E6646" t="s">
        <v>7674</v>
      </c>
      <c r="F6646">
        <v>4</v>
      </c>
    </row>
    <row r="6647" spans="1:6" ht="13.2">
      <c r="A6647" t="s">
        <v>7681</v>
      </c>
      <c r="B6647">
        <v>0</v>
      </c>
      <c r="C6647" s="44" t="s">
        <v>201</v>
      </c>
      <c r="D6647" t="s">
        <v>291</v>
      </c>
      <c r="E6647" t="s">
        <v>7674</v>
      </c>
      <c r="F6647">
        <v>4</v>
      </c>
    </row>
    <row r="6648" spans="1:6" ht="13.2">
      <c r="A6648" t="s">
        <v>7682</v>
      </c>
      <c r="B6648">
        <v>0</v>
      </c>
      <c r="C6648" s="44" t="s">
        <v>201</v>
      </c>
      <c r="D6648" t="s">
        <v>291</v>
      </c>
      <c r="E6648" t="s">
        <v>7674</v>
      </c>
      <c r="F6648">
        <v>4</v>
      </c>
    </row>
    <row r="6649" spans="1:6" ht="13.2">
      <c r="A6649" t="s">
        <v>7683</v>
      </c>
      <c r="B6649">
        <v>0</v>
      </c>
      <c r="C6649" s="44" t="s">
        <v>201</v>
      </c>
      <c r="D6649" t="s">
        <v>291</v>
      </c>
      <c r="E6649" t="s">
        <v>7674</v>
      </c>
      <c r="F6649">
        <v>4</v>
      </c>
    </row>
    <row r="6650" spans="1:6" ht="13.2">
      <c r="A6650" t="s">
        <v>7684</v>
      </c>
      <c r="B6650">
        <v>0</v>
      </c>
      <c r="C6650" s="44" t="s">
        <v>201</v>
      </c>
      <c r="D6650" t="s">
        <v>291</v>
      </c>
      <c r="E6650" t="s">
        <v>7674</v>
      </c>
      <c r="F6650">
        <v>4</v>
      </c>
    </row>
    <row r="6651" spans="1:6" ht="13.2">
      <c r="A6651" t="s">
        <v>7685</v>
      </c>
      <c r="B6651">
        <v>0</v>
      </c>
      <c r="C6651" s="44" t="s">
        <v>201</v>
      </c>
      <c r="D6651" t="s">
        <v>291</v>
      </c>
      <c r="E6651" t="s">
        <v>7674</v>
      </c>
      <c r="F6651">
        <v>4</v>
      </c>
    </row>
    <row r="6652" spans="1:6" ht="13.2">
      <c r="A6652" t="s">
        <v>7686</v>
      </c>
      <c r="B6652">
        <v>0</v>
      </c>
      <c r="C6652" s="44" t="s">
        <v>201</v>
      </c>
      <c r="D6652" t="s">
        <v>293</v>
      </c>
      <c r="E6652" t="s">
        <v>7674</v>
      </c>
      <c r="F6652">
        <v>4</v>
      </c>
    </row>
    <row r="6653" spans="1:6" ht="13.2">
      <c r="A6653" t="s">
        <v>7687</v>
      </c>
      <c r="B6653">
        <v>0</v>
      </c>
      <c r="C6653" s="44" t="s">
        <v>201</v>
      </c>
      <c r="D6653" t="s">
        <v>293</v>
      </c>
      <c r="E6653" t="s">
        <v>7674</v>
      </c>
      <c r="F6653">
        <v>4</v>
      </c>
    </row>
    <row r="6654" spans="1:6" ht="13.2">
      <c r="A6654" t="s">
        <v>7688</v>
      </c>
      <c r="B6654">
        <v>0</v>
      </c>
      <c r="C6654" s="44" t="s">
        <v>201</v>
      </c>
      <c r="D6654" t="s">
        <v>293</v>
      </c>
      <c r="E6654" t="s">
        <v>7674</v>
      </c>
      <c r="F6654">
        <v>4</v>
      </c>
    </row>
    <row r="6655" spans="1:6" ht="13.2">
      <c r="A6655" t="s">
        <v>7689</v>
      </c>
      <c r="B6655">
        <v>0</v>
      </c>
      <c r="C6655" s="44" t="s">
        <v>201</v>
      </c>
      <c r="D6655" t="s">
        <v>293</v>
      </c>
      <c r="E6655" t="s">
        <v>7674</v>
      </c>
      <c r="F6655">
        <v>4</v>
      </c>
    </row>
    <row r="6656" spans="1:6" ht="13.2">
      <c r="A6656" t="s">
        <v>7690</v>
      </c>
      <c r="B6656">
        <v>0</v>
      </c>
      <c r="C6656" s="44" t="s">
        <v>201</v>
      </c>
      <c r="D6656" t="s">
        <v>293</v>
      </c>
      <c r="E6656" t="s">
        <v>7674</v>
      </c>
      <c r="F6656">
        <v>4</v>
      </c>
    </row>
    <row r="6657" spans="1:6" ht="13.2">
      <c r="A6657" t="s">
        <v>7691</v>
      </c>
      <c r="B6657">
        <v>0</v>
      </c>
      <c r="C6657" s="44" t="s">
        <v>201</v>
      </c>
      <c r="D6657" t="s">
        <v>293</v>
      </c>
      <c r="E6657" t="s">
        <v>7674</v>
      </c>
      <c r="F6657">
        <v>4</v>
      </c>
    </row>
    <row r="6658" spans="1:6" ht="13.2">
      <c r="A6658" t="s">
        <v>7692</v>
      </c>
      <c r="B6658">
        <v>0</v>
      </c>
      <c r="C6658" s="44" t="s">
        <v>201</v>
      </c>
      <c r="D6658" t="s">
        <v>293</v>
      </c>
      <c r="E6658" t="s">
        <v>7674</v>
      </c>
      <c r="F6658">
        <v>4</v>
      </c>
    </row>
    <row r="6659" spans="1:6" ht="13.2">
      <c r="A6659" t="s">
        <v>7693</v>
      </c>
      <c r="B6659">
        <v>0</v>
      </c>
      <c r="C6659" s="44" t="s">
        <v>201</v>
      </c>
      <c r="D6659" t="s">
        <v>293</v>
      </c>
      <c r="E6659" t="s">
        <v>7674</v>
      </c>
      <c r="F6659">
        <v>4</v>
      </c>
    </row>
    <row r="6660" spans="1:6" ht="13.2">
      <c r="A6660" t="s">
        <v>7694</v>
      </c>
      <c r="B6660">
        <v>0</v>
      </c>
      <c r="C6660" s="44" t="s">
        <v>201</v>
      </c>
      <c r="D6660" t="s">
        <v>293</v>
      </c>
      <c r="E6660" t="s">
        <v>7674</v>
      </c>
      <c r="F6660">
        <v>4</v>
      </c>
    </row>
    <row r="6661" spans="1:6" ht="13.2">
      <c r="A6661" t="s">
        <v>7695</v>
      </c>
      <c r="B6661">
        <v>0</v>
      </c>
      <c r="C6661" s="44" t="s">
        <v>201</v>
      </c>
      <c r="D6661" t="s">
        <v>293</v>
      </c>
      <c r="E6661" t="s">
        <v>7674</v>
      </c>
      <c r="F6661">
        <v>4</v>
      </c>
    </row>
    <row r="6662" spans="1:6" ht="13.2">
      <c r="A6662" t="s">
        <v>7696</v>
      </c>
      <c r="B6662">
        <v>0</v>
      </c>
      <c r="C6662" s="44" t="s">
        <v>201</v>
      </c>
      <c r="D6662" t="s">
        <v>293</v>
      </c>
      <c r="E6662" t="s">
        <v>7674</v>
      </c>
      <c r="F6662">
        <v>4</v>
      </c>
    </row>
    <row r="6663" spans="1:6" ht="13.2">
      <c r="A6663" t="s">
        <v>7697</v>
      </c>
      <c r="B6663">
        <v>0</v>
      </c>
      <c r="C6663" s="44" t="s">
        <v>349</v>
      </c>
      <c r="D6663" t="s">
        <v>291</v>
      </c>
      <c r="E6663" t="s">
        <v>7674</v>
      </c>
      <c r="F6663">
        <v>4</v>
      </c>
    </row>
    <row r="6664" spans="1:6" ht="13.2">
      <c r="A6664" t="s">
        <v>7698</v>
      </c>
      <c r="B6664">
        <v>0</v>
      </c>
      <c r="C6664" s="44" t="s">
        <v>349</v>
      </c>
      <c r="D6664" t="s">
        <v>291</v>
      </c>
      <c r="E6664" t="s">
        <v>7674</v>
      </c>
      <c r="F6664">
        <v>4</v>
      </c>
    </row>
    <row r="6665" spans="1:6" ht="13.2">
      <c r="A6665" t="s">
        <v>7699</v>
      </c>
      <c r="B6665">
        <v>0</v>
      </c>
      <c r="C6665" s="44" t="s">
        <v>349</v>
      </c>
      <c r="D6665" t="s">
        <v>291</v>
      </c>
      <c r="E6665" t="s">
        <v>7674</v>
      </c>
      <c r="F6665">
        <v>4</v>
      </c>
    </row>
    <row r="6666" spans="1:6" ht="13.2">
      <c r="A6666" t="s">
        <v>7700</v>
      </c>
      <c r="B6666">
        <v>0</v>
      </c>
      <c r="C6666" s="44" t="s">
        <v>349</v>
      </c>
      <c r="D6666" t="s">
        <v>291</v>
      </c>
      <c r="E6666" t="s">
        <v>7674</v>
      </c>
      <c r="F6666">
        <v>4</v>
      </c>
    </row>
    <row r="6667" spans="1:6" ht="13.2">
      <c r="A6667" t="s">
        <v>7701</v>
      </c>
      <c r="B6667">
        <v>0</v>
      </c>
      <c r="C6667" s="44" t="s">
        <v>349</v>
      </c>
      <c r="D6667" t="s">
        <v>291</v>
      </c>
      <c r="E6667" t="s">
        <v>7674</v>
      </c>
      <c r="F6667">
        <v>4</v>
      </c>
    </row>
    <row r="6668" spans="1:6" ht="13.2">
      <c r="A6668" t="s">
        <v>7702</v>
      </c>
      <c r="B6668">
        <v>0</v>
      </c>
      <c r="C6668" s="44" t="s">
        <v>349</v>
      </c>
      <c r="D6668" t="s">
        <v>291</v>
      </c>
      <c r="E6668" t="s">
        <v>7674</v>
      </c>
      <c r="F6668">
        <v>4</v>
      </c>
    </row>
    <row r="6669" spans="1:6" ht="13.2">
      <c r="A6669" t="s">
        <v>7703</v>
      </c>
      <c r="B6669">
        <v>0</v>
      </c>
      <c r="C6669" s="44" t="s">
        <v>349</v>
      </c>
      <c r="D6669" t="s">
        <v>291</v>
      </c>
      <c r="E6669" t="s">
        <v>7674</v>
      </c>
      <c r="F6669">
        <v>4</v>
      </c>
    </row>
    <row r="6670" spans="1:6" ht="13.2">
      <c r="A6670" t="s">
        <v>7704</v>
      </c>
      <c r="B6670">
        <v>0</v>
      </c>
      <c r="C6670" s="44" t="s">
        <v>349</v>
      </c>
      <c r="D6670" t="s">
        <v>291</v>
      </c>
      <c r="E6670" t="s">
        <v>7674</v>
      </c>
      <c r="F6670">
        <v>4</v>
      </c>
    </row>
    <row r="6671" spans="1:6" ht="13.2">
      <c r="A6671" t="s">
        <v>7705</v>
      </c>
      <c r="B6671">
        <v>0</v>
      </c>
      <c r="C6671" s="44" t="s">
        <v>349</v>
      </c>
      <c r="D6671" t="s">
        <v>291</v>
      </c>
      <c r="E6671" t="s">
        <v>7674</v>
      </c>
      <c r="F6671">
        <v>4</v>
      </c>
    </row>
    <row r="6672" spans="1:6" ht="13.2">
      <c r="A6672" t="s">
        <v>7706</v>
      </c>
      <c r="B6672">
        <v>0</v>
      </c>
      <c r="C6672" s="44" t="s">
        <v>349</v>
      </c>
      <c r="D6672" t="s">
        <v>291</v>
      </c>
      <c r="E6672" t="s">
        <v>7674</v>
      </c>
      <c r="F6672">
        <v>4</v>
      </c>
    </row>
    <row r="6673" spans="1:6" ht="13.2">
      <c r="A6673" t="s">
        <v>7707</v>
      </c>
      <c r="B6673">
        <v>0</v>
      </c>
      <c r="C6673" s="44" t="s">
        <v>349</v>
      </c>
      <c r="D6673" t="s">
        <v>291</v>
      </c>
      <c r="E6673" t="s">
        <v>7674</v>
      </c>
      <c r="F6673">
        <v>4</v>
      </c>
    </row>
    <row r="6674" spans="1:6" ht="13.2">
      <c r="A6674" t="s">
        <v>7708</v>
      </c>
      <c r="B6674">
        <v>0</v>
      </c>
      <c r="C6674" s="44" t="s">
        <v>349</v>
      </c>
      <c r="D6674" t="s">
        <v>291</v>
      </c>
      <c r="E6674" t="s">
        <v>7674</v>
      </c>
      <c r="F6674">
        <v>4</v>
      </c>
    </row>
    <row r="6675" spans="1:6" ht="13.2">
      <c r="A6675" t="s">
        <v>7709</v>
      </c>
      <c r="B6675">
        <v>290</v>
      </c>
      <c r="C6675" s="44">
        <v>2900</v>
      </c>
      <c r="D6675" t="s">
        <v>291</v>
      </c>
      <c r="E6675" t="s">
        <v>256</v>
      </c>
      <c r="F6675">
        <v>4</v>
      </c>
    </row>
    <row r="6676" spans="1:6" ht="13.2">
      <c r="A6676" t="s">
        <v>7710</v>
      </c>
      <c r="B6676">
        <v>290</v>
      </c>
      <c r="C6676" s="44">
        <v>2900</v>
      </c>
      <c r="D6676" t="s">
        <v>291</v>
      </c>
      <c r="E6676" t="s">
        <v>256</v>
      </c>
      <c r="F6676">
        <v>4</v>
      </c>
    </row>
    <row r="6677" spans="1:6" ht="13.2">
      <c r="A6677" t="s">
        <v>7711</v>
      </c>
      <c r="B6677">
        <v>290</v>
      </c>
      <c r="C6677" s="44">
        <v>2900</v>
      </c>
      <c r="D6677" t="s">
        <v>291</v>
      </c>
      <c r="E6677" t="s">
        <v>256</v>
      </c>
      <c r="F6677">
        <v>4</v>
      </c>
    </row>
    <row r="6678" spans="1:6" ht="13.2">
      <c r="A6678" t="s">
        <v>7712</v>
      </c>
      <c r="B6678">
        <v>290</v>
      </c>
      <c r="C6678" s="44">
        <v>2900</v>
      </c>
      <c r="D6678" t="s">
        <v>291</v>
      </c>
      <c r="E6678" t="s">
        <v>256</v>
      </c>
      <c r="F6678">
        <v>4</v>
      </c>
    </row>
    <row r="6679" spans="1:6" ht="13.2">
      <c r="A6679" t="s">
        <v>7713</v>
      </c>
      <c r="B6679">
        <v>290</v>
      </c>
      <c r="C6679" s="44">
        <v>2900</v>
      </c>
      <c r="D6679" t="s">
        <v>291</v>
      </c>
      <c r="E6679" t="s">
        <v>256</v>
      </c>
      <c r="F6679">
        <v>4</v>
      </c>
    </row>
    <row r="6680" spans="1:6" ht="13.2">
      <c r="A6680" t="s">
        <v>7714</v>
      </c>
      <c r="B6680">
        <v>290</v>
      </c>
      <c r="C6680" s="44">
        <v>2900</v>
      </c>
      <c r="D6680" t="s">
        <v>291</v>
      </c>
      <c r="E6680" t="s">
        <v>256</v>
      </c>
      <c r="F6680">
        <v>4</v>
      </c>
    </row>
    <row r="6681" spans="1:6" ht="13.2">
      <c r="A6681" t="s">
        <v>7715</v>
      </c>
      <c r="B6681">
        <v>290</v>
      </c>
      <c r="C6681" s="44">
        <v>2900</v>
      </c>
      <c r="D6681" t="s">
        <v>291</v>
      </c>
      <c r="E6681" t="s">
        <v>256</v>
      </c>
      <c r="F6681">
        <v>4</v>
      </c>
    </row>
    <row r="6682" spans="1:6" ht="13.2">
      <c r="A6682" t="s">
        <v>7716</v>
      </c>
      <c r="B6682">
        <v>290</v>
      </c>
      <c r="C6682" s="44">
        <v>2900</v>
      </c>
      <c r="D6682" t="s">
        <v>291</v>
      </c>
      <c r="E6682" t="s">
        <v>256</v>
      </c>
      <c r="F6682">
        <v>4</v>
      </c>
    </row>
    <row r="6683" spans="1:6" ht="13.2">
      <c r="A6683" t="s">
        <v>7717</v>
      </c>
      <c r="B6683">
        <v>290</v>
      </c>
      <c r="C6683" s="44">
        <v>2900</v>
      </c>
      <c r="D6683" t="s">
        <v>291</v>
      </c>
      <c r="E6683" t="s">
        <v>256</v>
      </c>
      <c r="F6683">
        <v>4</v>
      </c>
    </row>
    <row r="6684" spans="1:6" ht="13.2">
      <c r="A6684" t="s">
        <v>7718</v>
      </c>
      <c r="B6684">
        <v>160</v>
      </c>
      <c r="C6684" s="44">
        <v>1370</v>
      </c>
      <c r="D6684" t="s">
        <v>291</v>
      </c>
      <c r="E6684" t="s">
        <v>5528</v>
      </c>
      <c r="F6684">
        <v>4</v>
      </c>
    </row>
    <row r="6685" spans="1:6" ht="13.2">
      <c r="A6685" t="s">
        <v>7719</v>
      </c>
      <c r="B6685">
        <v>160</v>
      </c>
      <c r="C6685" s="44">
        <v>1370</v>
      </c>
      <c r="D6685" t="s">
        <v>291</v>
      </c>
      <c r="E6685" t="s">
        <v>5528</v>
      </c>
      <c r="F6685">
        <v>4</v>
      </c>
    </row>
    <row r="6686" spans="1:6" ht="13.2">
      <c r="A6686" t="s">
        <v>7720</v>
      </c>
      <c r="B6686">
        <v>160</v>
      </c>
      <c r="C6686" s="44">
        <v>1370</v>
      </c>
      <c r="D6686" t="s">
        <v>291</v>
      </c>
      <c r="E6686" t="s">
        <v>5528</v>
      </c>
      <c r="F6686">
        <v>4</v>
      </c>
    </row>
    <row r="6687" spans="1:6" ht="13.2">
      <c r="A6687" t="s">
        <v>7721</v>
      </c>
      <c r="B6687">
        <v>670</v>
      </c>
      <c r="C6687" s="44">
        <v>1370</v>
      </c>
      <c r="D6687" t="s">
        <v>291</v>
      </c>
      <c r="E6687" t="s">
        <v>6958</v>
      </c>
      <c r="F6687">
        <v>4</v>
      </c>
    </row>
    <row r="6688" spans="1:6" ht="13.2">
      <c r="A6688" t="s">
        <v>7722</v>
      </c>
      <c r="B6688">
        <v>670</v>
      </c>
      <c r="C6688" s="44">
        <v>1370</v>
      </c>
      <c r="D6688" t="s">
        <v>291</v>
      </c>
      <c r="E6688" t="s">
        <v>6958</v>
      </c>
      <c r="F6688">
        <v>4</v>
      </c>
    </row>
    <row r="6689" spans="1:6" ht="13.2">
      <c r="A6689" t="s">
        <v>7723</v>
      </c>
      <c r="B6689">
        <v>670</v>
      </c>
      <c r="C6689" s="44">
        <v>1370</v>
      </c>
      <c r="D6689" t="s">
        <v>291</v>
      </c>
      <c r="E6689" t="s">
        <v>6958</v>
      </c>
      <c r="F6689">
        <v>4</v>
      </c>
    </row>
    <row r="6690" spans="1:6" ht="13.2">
      <c r="A6690" t="s">
        <v>7724</v>
      </c>
      <c r="B6690">
        <v>670</v>
      </c>
      <c r="C6690" s="44">
        <v>1370</v>
      </c>
      <c r="D6690" t="s">
        <v>291</v>
      </c>
      <c r="E6690" t="s">
        <v>6958</v>
      </c>
      <c r="F6690">
        <v>4</v>
      </c>
    </row>
    <row r="6691" spans="1:6" ht="13.2">
      <c r="A6691" t="s">
        <v>7725</v>
      </c>
      <c r="B6691">
        <v>640</v>
      </c>
      <c r="C6691" s="44">
        <v>1370</v>
      </c>
      <c r="D6691" t="s">
        <v>291</v>
      </c>
      <c r="E6691" t="s">
        <v>7726</v>
      </c>
      <c r="F6691">
        <v>4</v>
      </c>
    </row>
    <row r="6692" spans="1:6" ht="13.2">
      <c r="A6692" t="s">
        <v>7727</v>
      </c>
      <c r="B6692">
        <v>640</v>
      </c>
      <c r="C6692" s="44">
        <v>1370</v>
      </c>
      <c r="D6692" t="s">
        <v>291</v>
      </c>
      <c r="E6692" t="s">
        <v>7726</v>
      </c>
      <c r="F6692">
        <v>4</v>
      </c>
    </row>
    <row r="6693" spans="1:6" ht="13.2">
      <c r="A6693" t="s">
        <v>7728</v>
      </c>
      <c r="B6693">
        <v>640</v>
      </c>
      <c r="C6693" s="44">
        <v>1370</v>
      </c>
      <c r="D6693" t="s">
        <v>291</v>
      </c>
      <c r="E6693" t="s">
        <v>7726</v>
      </c>
      <c r="F6693">
        <v>4</v>
      </c>
    </row>
    <row r="6694" spans="1:6" ht="13.2">
      <c r="A6694" t="s">
        <v>7729</v>
      </c>
      <c r="B6694">
        <v>640</v>
      </c>
      <c r="C6694" s="44">
        <v>1370</v>
      </c>
      <c r="D6694" t="s">
        <v>291</v>
      </c>
      <c r="E6694" t="s">
        <v>7726</v>
      </c>
      <c r="F6694">
        <v>4</v>
      </c>
    </row>
    <row r="6695" spans="1:6" ht="13.2">
      <c r="A6695" t="s">
        <v>7730</v>
      </c>
      <c r="B6695">
        <v>640</v>
      </c>
      <c r="C6695" s="44">
        <v>1370</v>
      </c>
      <c r="D6695" t="s">
        <v>291</v>
      </c>
      <c r="E6695" t="s">
        <v>7726</v>
      </c>
      <c r="F6695">
        <v>4</v>
      </c>
    </row>
    <row r="6696" spans="1:6" ht="13.2">
      <c r="A6696" t="s">
        <v>7731</v>
      </c>
      <c r="B6696">
        <v>0</v>
      </c>
      <c r="C6696" s="44">
        <v>2800</v>
      </c>
      <c r="D6696" t="s">
        <v>293</v>
      </c>
      <c r="E6696" t="s">
        <v>256</v>
      </c>
      <c r="F6696">
        <v>4</v>
      </c>
    </row>
    <row r="6697" spans="1:6" ht="13.2">
      <c r="A6697" t="s">
        <v>7732</v>
      </c>
      <c r="B6697">
        <v>0</v>
      </c>
      <c r="C6697" s="44">
        <v>2800</v>
      </c>
      <c r="D6697" t="s">
        <v>293</v>
      </c>
      <c r="E6697" t="s">
        <v>256</v>
      </c>
      <c r="F6697">
        <v>4</v>
      </c>
    </row>
    <row r="6698" spans="1:6" ht="13.2">
      <c r="A6698" t="s">
        <v>7733</v>
      </c>
      <c r="B6698">
        <v>0</v>
      </c>
      <c r="C6698" s="44">
        <v>2800</v>
      </c>
      <c r="D6698" t="s">
        <v>293</v>
      </c>
      <c r="E6698" t="s">
        <v>256</v>
      </c>
      <c r="F6698">
        <v>4</v>
      </c>
    </row>
    <row r="6699" spans="1:6" ht="13.2">
      <c r="A6699" t="s">
        <v>7734</v>
      </c>
      <c r="B6699">
        <v>0</v>
      </c>
      <c r="C6699" s="44">
        <v>2800</v>
      </c>
      <c r="D6699" t="s">
        <v>293</v>
      </c>
      <c r="E6699" t="s">
        <v>256</v>
      </c>
      <c r="F6699">
        <v>4</v>
      </c>
    </row>
    <row r="6700" spans="1:6" ht="13.2">
      <c r="A6700" t="s">
        <v>7735</v>
      </c>
      <c r="B6700">
        <v>0</v>
      </c>
      <c r="C6700" s="44">
        <v>2800</v>
      </c>
      <c r="D6700" t="s">
        <v>293</v>
      </c>
      <c r="E6700" t="s">
        <v>256</v>
      </c>
      <c r="F6700">
        <v>4</v>
      </c>
    </row>
    <row r="6701" spans="1:6" ht="13.2">
      <c r="A6701" t="s">
        <v>7736</v>
      </c>
      <c r="B6701">
        <v>0</v>
      </c>
      <c r="C6701" s="44">
        <v>2800</v>
      </c>
      <c r="D6701" t="s">
        <v>293</v>
      </c>
      <c r="E6701" t="s">
        <v>256</v>
      </c>
      <c r="F6701">
        <v>4</v>
      </c>
    </row>
    <row r="6702" spans="1:6" ht="13.2">
      <c r="A6702" t="s">
        <v>7737</v>
      </c>
      <c r="B6702">
        <v>0</v>
      </c>
      <c r="C6702" s="44">
        <v>2800</v>
      </c>
      <c r="D6702" t="s">
        <v>293</v>
      </c>
      <c r="E6702" t="s">
        <v>256</v>
      </c>
      <c r="F6702">
        <v>4</v>
      </c>
    </row>
    <row r="6703" spans="1:6" ht="13.2">
      <c r="A6703" t="s">
        <v>7738</v>
      </c>
      <c r="B6703">
        <v>0</v>
      </c>
      <c r="C6703" s="44">
        <v>2800</v>
      </c>
      <c r="D6703" t="s">
        <v>293</v>
      </c>
      <c r="E6703" t="s">
        <v>256</v>
      </c>
      <c r="F6703">
        <v>4</v>
      </c>
    </row>
    <row r="6704" spans="1:6" ht="13.2">
      <c r="A6704" t="s">
        <v>7739</v>
      </c>
      <c r="B6704">
        <v>0</v>
      </c>
      <c r="C6704" s="44">
        <v>2800</v>
      </c>
      <c r="D6704" t="s">
        <v>293</v>
      </c>
      <c r="E6704" t="s">
        <v>256</v>
      </c>
      <c r="F6704">
        <v>4</v>
      </c>
    </row>
    <row r="6705" spans="1:6" ht="13.2">
      <c r="A6705" t="s">
        <v>7740</v>
      </c>
      <c r="B6705">
        <v>0</v>
      </c>
      <c r="C6705" s="44">
        <v>2800</v>
      </c>
      <c r="D6705" t="s">
        <v>293</v>
      </c>
      <c r="E6705" t="s">
        <v>256</v>
      </c>
      <c r="F6705">
        <v>4</v>
      </c>
    </row>
    <row r="6706" spans="1:6" ht="13.2">
      <c r="A6706" t="s">
        <v>7741</v>
      </c>
      <c r="B6706">
        <v>0</v>
      </c>
      <c r="C6706" s="44">
        <v>2800</v>
      </c>
      <c r="D6706" t="s">
        <v>293</v>
      </c>
      <c r="E6706" t="s">
        <v>256</v>
      </c>
      <c r="F6706">
        <v>4</v>
      </c>
    </row>
    <row r="6707" spans="1:6" ht="13.2">
      <c r="A6707" t="s">
        <v>7742</v>
      </c>
      <c r="B6707">
        <v>0</v>
      </c>
      <c r="C6707" s="44">
        <v>2800</v>
      </c>
      <c r="D6707" t="s">
        <v>293</v>
      </c>
      <c r="E6707" t="s">
        <v>256</v>
      </c>
      <c r="F6707">
        <v>4</v>
      </c>
    </row>
    <row r="6708" spans="1:6" ht="13.2">
      <c r="A6708" t="s">
        <v>7743</v>
      </c>
      <c r="B6708">
        <v>0</v>
      </c>
      <c r="C6708" s="44">
        <v>2800</v>
      </c>
      <c r="D6708" t="s">
        <v>293</v>
      </c>
      <c r="E6708" t="s">
        <v>256</v>
      </c>
      <c r="F6708">
        <v>4</v>
      </c>
    </row>
    <row r="6709" spans="1:6" ht="13.2">
      <c r="A6709" t="s">
        <v>7744</v>
      </c>
      <c r="B6709">
        <v>0</v>
      </c>
      <c r="C6709" s="44">
        <v>2800</v>
      </c>
      <c r="D6709" t="s">
        <v>293</v>
      </c>
      <c r="E6709" t="s">
        <v>256</v>
      </c>
      <c r="F6709">
        <v>4</v>
      </c>
    </row>
    <row r="6710" spans="1:6" ht="13.2">
      <c r="A6710" t="s">
        <v>7745</v>
      </c>
      <c r="B6710">
        <v>0</v>
      </c>
      <c r="C6710" s="44">
        <v>2800</v>
      </c>
      <c r="D6710" t="s">
        <v>291</v>
      </c>
      <c r="E6710" t="s">
        <v>256</v>
      </c>
      <c r="F6710">
        <v>4</v>
      </c>
    </row>
    <row r="6711" spans="1:6" ht="13.2">
      <c r="A6711" t="s">
        <v>7746</v>
      </c>
      <c r="B6711">
        <v>0</v>
      </c>
      <c r="C6711" s="44">
        <v>2800</v>
      </c>
      <c r="D6711" t="s">
        <v>291</v>
      </c>
      <c r="E6711" t="s">
        <v>256</v>
      </c>
      <c r="F6711">
        <v>4</v>
      </c>
    </row>
    <row r="6712" spans="1:6" ht="13.2">
      <c r="A6712" t="s">
        <v>7747</v>
      </c>
      <c r="B6712">
        <v>0</v>
      </c>
      <c r="C6712" s="44">
        <v>2800</v>
      </c>
      <c r="D6712" t="s">
        <v>291</v>
      </c>
      <c r="E6712" t="s">
        <v>256</v>
      </c>
      <c r="F6712">
        <v>4</v>
      </c>
    </row>
    <row r="6713" spans="1:6" ht="13.2">
      <c r="A6713" t="s">
        <v>7748</v>
      </c>
      <c r="B6713">
        <v>0</v>
      </c>
      <c r="C6713" s="44">
        <v>2800</v>
      </c>
      <c r="D6713" t="s">
        <v>291</v>
      </c>
      <c r="E6713" t="s">
        <v>256</v>
      </c>
      <c r="F6713">
        <v>4</v>
      </c>
    </row>
    <row r="6714" spans="1:6" ht="13.2">
      <c r="A6714" t="s">
        <v>7749</v>
      </c>
      <c r="B6714">
        <v>0</v>
      </c>
      <c r="C6714" s="44">
        <v>2800</v>
      </c>
      <c r="D6714" t="s">
        <v>291</v>
      </c>
      <c r="E6714" t="s">
        <v>256</v>
      </c>
      <c r="F6714">
        <v>4</v>
      </c>
    </row>
    <row r="6715" spans="1:6" ht="13.2">
      <c r="A6715" t="s">
        <v>7750</v>
      </c>
      <c r="B6715">
        <v>0</v>
      </c>
      <c r="C6715" s="44">
        <v>2800</v>
      </c>
      <c r="D6715" t="s">
        <v>291</v>
      </c>
      <c r="E6715" t="s">
        <v>256</v>
      </c>
      <c r="F6715">
        <v>4</v>
      </c>
    </row>
    <row r="6716" spans="1:6" ht="13.2">
      <c r="A6716" t="s">
        <v>7751</v>
      </c>
      <c r="B6716">
        <v>0</v>
      </c>
      <c r="C6716" s="44">
        <v>2800</v>
      </c>
      <c r="D6716" t="s">
        <v>291</v>
      </c>
      <c r="E6716" t="s">
        <v>256</v>
      </c>
      <c r="F6716">
        <v>4</v>
      </c>
    </row>
    <row r="6717" spans="1:6" ht="13.2">
      <c r="A6717" t="s">
        <v>7752</v>
      </c>
      <c r="B6717">
        <v>0</v>
      </c>
      <c r="C6717" s="44">
        <v>2800</v>
      </c>
      <c r="D6717" t="s">
        <v>291</v>
      </c>
      <c r="E6717" t="s">
        <v>256</v>
      </c>
      <c r="F6717">
        <v>4</v>
      </c>
    </row>
    <row r="6718" spans="1:6" ht="13.2">
      <c r="A6718" t="s">
        <v>7753</v>
      </c>
      <c r="B6718">
        <v>0</v>
      </c>
      <c r="C6718" s="44">
        <v>2800</v>
      </c>
      <c r="D6718" t="s">
        <v>291</v>
      </c>
      <c r="E6718" t="s">
        <v>256</v>
      </c>
      <c r="F6718">
        <v>4</v>
      </c>
    </row>
    <row r="6719" spans="1:6" ht="13.2">
      <c r="A6719" t="s">
        <v>7754</v>
      </c>
      <c r="B6719">
        <v>0</v>
      </c>
      <c r="C6719" s="44">
        <v>2800</v>
      </c>
      <c r="D6719" t="s">
        <v>291</v>
      </c>
      <c r="E6719" t="s">
        <v>256</v>
      </c>
      <c r="F6719">
        <v>4</v>
      </c>
    </row>
    <row r="6720" spans="1:6" ht="13.2">
      <c r="A6720" t="s">
        <v>7755</v>
      </c>
      <c r="B6720">
        <v>0</v>
      </c>
      <c r="C6720" s="44">
        <v>2800</v>
      </c>
      <c r="D6720" t="s">
        <v>291</v>
      </c>
      <c r="E6720" t="s">
        <v>256</v>
      </c>
      <c r="F6720">
        <v>4</v>
      </c>
    </row>
    <row r="6721" spans="1:6" ht="13.2">
      <c r="A6721" t="s">
        <v>7756</v>
      </c>
      <c r="B6721">
        <v>0</v>
      </c>
      <c r="C6721" s="44">
        <v>2800</v>
      </c>
      <c r="D6721" t="s">
        <v>291</v>
      </c>
      <c r="E6721" t="s">
        <v>256</v>
      </c>
      <c r="F6721">
        <v>4</v>
      </c>
    </row>
    <row r="6722" spans="1:6" ht="13.2">
      <c r="A6722" t="s">
        <v>7757</v>
      </c>
      <c r="B6722">
        <v>0</v>
      </c>
      <c r="C6722" s="44">
        <v>2800</v>
      </c>
      <c r="D6722" t="s">
        <v>291</v>
      </c>
      <c r="E6722" t="s">
        <v>256</v>
      </c>
      <c r="F6722">
        <v>4</v>
      </c>
    </row>
    <row r="6723" spans="1:6" ht="13.2">
      <c r="A6723" t="s">
        <v>7758</v>
      </c>
      <c r="B6723">
        <v>0</v>
      </c>
      <c r="C6723" s="44">
        <v>2800</v>
      </c>
      <c r="D6723" t="s">
        <v>291</v>
      </c>
      <c r="E6723" t="s">
        <v>256</v>
      </c>
      <c r="F6723">
        <v>4</v>
      </c>
    </row>
    <row r="6724" spans="1:6" ht="13.2">
      <c r="A6724" t="s">
        <v>7760</v>
      </c>
      <c r="B6724">
        <v>440</v>
      </c>
      <c r="C6724" s="44">
        <v>1400</v>
      </c>
      <c r="D6724" t="s">
        <v>291</v>
      </c>
      <c r="E6724" t="s">
        <v>7759</v>
      </c>
      <c r="F6724">
        <v>4</v>
      </c>
    </row>
    <row r="6725" spans="1:6" ht="13.2">
      <c r="A6725" t="s">
        <v>7761</v>
      </c>
      <c r="B6725">
        <v>440</v>
      </c>
      <c r="C6725" s="44">
        <v>1400</v>
      </c>
      <c r="D6725" t="s">
        <v>291</v>
      </c>
      <c r="E6725" t="s">
        <v>7759</v>
      </c>
      <c r="F6725">
        <v>4</v>
      </c>
    </row>
    <row r="6726" spans="1:6" ht="13.2">
      <c r="A6726" t="s">
        <v>7762</v>
      </c>
      <c r="B6726">
        <v>440</v>
      </c>
      <c r="C6726" s="44">
        <v>1400</v>
      </c>
      <c r="D6726" t="s">
        <v>291</v>
      </c>
      <c r="E6726" t="s">
        <v>7759</v>
      </c>
      <c r="F6726">
        <v>4</v>
      </c>
    </row>
    <row r="6727" spans="1:6" ht="13.2">
      <c r="A6727" t="s">
        <v>7763</v>
      </c>
      <c r="B6727">
        <v>440</v>
      </c>
      <c r="C6727" s="44">
        <v>1400</v>
      </c>
      <c r="D6727" t="s">
        <v>291</v>
      </c>
      <c r="E6727" t="s">
        <v>7759</v>
      </c>
      <c r="F6727">
        <v>4</v>
      </c>
    </row>
    <row r="6728" spans="1:6" ht="13.2">
      <c r="A6728" t="s">
        <v>7764</v>
      </c>
      <c r="B6728">
        <v>440</v>
      </c>
      <c r="C6728" s="44">
        <v>1400</v>
      </c>
      <c r="D6728" t="s">
        <v>291</v>
      </c>
      <c r="E6728" t="s">
        <v>7759</v>
      </c>
      <c r="F6728">
        <v>4</v>
      </c>
    </row>
    <row r="6729" spans="1:6" ht="13.2">
      <c r="A6729" t="s">
        <v>7765</v>
      </c>
      <c r="B6729">
        <v>440</v>
      </c>
      <c r="C6729" s="44">
        <v>1400</v>
      </c>
      <c r="D6729" t="s">
        <v>291</v>
      </c>
      <c r="E6729" t="s">
        <v>7759</v>
      </c>
      <c r="F6729">
        <v>4</v>
      </c>
    </row>
    <row r="6730" spans="1:6" ht="13.2">
      <c r="A6730" t="s">
        <v>7766</v>
      </c>
      <c r="B6730">
        <v>440</v>
      </c>
      <c r="C6730" s="44">
        <v>1400</v>
      </c>
      <c r="D6730" t="s">
        <v>291</v>
      </c>
      <c r="E6730" t="s">
        <v>7759</v>
      </c>
      <c r="F6730">
        <v>4</v>
      </c>
    </row>
    <row r="6731" spans="1:6" ht="13.2">
      <c r="A6731" t="s">
        <v>7767</v>
      </c>
      <c r="B6731">
        <v>440</v>
      </c>
      <c r="C6731" s="44">
        <v>1400</v>
      </c>
      <c r="D6731" t="s">
        <v>291</v>
      </c>
      <c r="E6731" t="s">
        <v>7759</v>
      </c>
      <c r="F6731">
        <v>4</v>
      </c>
    </row>
    <row r="6732" spans="1:6" ht="13.2">
      <c r="A6732" t="s">
        <v>7768</v>
      </c>
      <c r="B6732">
        <v>440</v>
      </c>
      <c r="C6732" s="44">
        <v>1400</v>
      </c>
      <c r="D6732" t="s">
        <v>291</v>
      </c>
      <c r="E6732" t="s">
        <v>7759</v>
      </c>
      <c r="F6732">
        <v>4</v>
      </c>
    </row>
    <row r="6733" spans="1:6" ht="13.2">
      <c r="A6733" t="s">
        <v>7769</v>
      </c>
      <c r="B6733">
        <v>0</v>
      </c>
      <c r="C6733" s="44">
        <v>1400</v>
      </c>
      <c r="D6733" t="s">
        <v>291</v>
      </c>
      <c r="E6733" t="s">
        <v>7759</v>
      </c>
      <c r="F6733">
        <v>4</v>
      </c>
    </row>
    <row r="6734" spans="1:6" ht="13.2">
      <c r="A6734" t="s">
        <v>7770</v>
      </c>
      <c r="B6734">
        <v>0</v>
      </c>
      <c r="C6734" s="44">
        <v>1400</v>
      </c>
      <c r="D6734" t="s">
        <v>291</v>
      </c>
      <c r="E6734" t="s">
        <v>7759</v>
      </c>
      <c r="F6734">
        <v>4</v>
      </c>
    </row>
    <row r="6735" spans="1:6" ht="13.2">
      <c r="A6735" t="s">
        <v>7771</v>
      </c>
      <c r="B6735">
        <v>0</v>
      </c>
      <c r="C6735" s="44">
        <v>1400</v>
      </c>
      <c r="D6735" t="s">
        <v>291</v>
      </c>
      <c r="E6735" t="s">
        <v>7759</v>
      </c>
      <c r="F6735">
        <v>4</v>
      </c>
    </row>
    <row r="6736" spans="1:6" ht="13.2">
      <c r="A6736" t="s">
        <v>7772</v>
      </c>
      <c r="B6736">
        <v>0</v>
      </c>
      <c r="C6736" s="44">
        <v>1400</v>
      </c>
      <c r="D6736" t="s">
        <v>291</v>
      </c>
      <c r="E6736" t="s">
        <v>7759</v>
      </c>
      <c r="F6736">
        <v>4</v>
      </c>
    </row>
    <row r="6737" spans="1:6" ht="13.2">
      <c r="A6737" t="s">
        <v>7773</v>
      </c>
      <c r="B6737">
        <v>0</v>
      </c>
      <c r="C6737" s="44">
        <v>1400</v>
      </c>
      <c r="D6737" t="s">
        <v>291</v>
      </c>
      <c r="E6737" t="s">
        <v>7759</v>
      </c>
      <c r="F6737">
        <v>4</v>
      </c>
    </row>
    <row r="6738" spans="1:6" ht="13.2">
      <c r="A6738" t="s">
        <v>7774</v>
      </c>
      <c r="B6738">
        <v>0</v>
      </c>
      <c r="C6738" s="44">
        <v>1400</v>
      </c>
      <c r="D6738" t="s">
        <v>291</v>
      </c>
      <c r="E6738" t="s">
        <v>7759</v>
      </c>
      <c r="F6738">
        <v>4</v>
      </c>
    </row>
    <row r="6739" spans="1:6" ht="13.2">
      <c r="A6739" t="s">
        <v>7775</v>
      </c>
      <c r="B6739">
        <v>0</v>
      </c>
      <c r="C6739" s="44">
        <v>1400</v>
      </c>
      <c r="D6739" t="s">
        <v>291</v>
      </c>
      <c r="E6739" t="s">
        <v>7759</v>
      </c>
      <c r="F6739">
        <v>4</v>
      </c>
    </row>
    <row r="6740" spans="1:6" ht="13.2">
      <c r="A6740" t="s">
        <v>7776</v>
      </c>
      <c r="B6740">
        <v>0</v>
      </c>
      <c r="C6740" s="44">
        <v>1400</v>
      </c>
      <c r="D6740" t="s">
        <v>291</v>
      </c>
      <c r="E6740" t="s">
        <v>7759</v>
      </c>
      <c r="F6740">
        <v>4</v>
      </c>
    </row>
    <row r="6741" spans="1:6" ht="13.2">
      <c r="A6741" t="s">
        <v>7777</v>
      </c>
      <c r="B6741">
        <v>0</v>
      </c>
      <c r="C6741" s="44">
        <v>1400</v>
      </c>
      <c r="D6741" t="s">
        <v>291</v>
      </c>
      <c r="E6741" t="s">
        <v>7759</v>
      </c>
      <c r="F6741">
        <v>4</v>
      </c>
    </row>
    <row r="6742" spans="1:6" ht="13.2">
      <c r="A6742" t="s">
        <v>7778</v>
      </c>
      <c r="B6742">
        <v>310</v>
      </c>
      <c r="C6742" s="44">
        <v>1400</v>
      </c>
      <c r="D6742" t="s">
        <v>291</v>
      </c>
      <c r="E6742" t="s">
        <v>7759</v>
      </c>
      <c r="F6742">
        <v>4</v>
      </c>
    </row>
    <row r="6743" spans="1:6" ht="13.2">
      <c r="A6743" t="s">
        <v>7779</v>
      </c>
      <c r="B6743">
        <v>310</v>
      </c>
      <c r="C6743" s="44">
        <v>1400</v>
      </c>
      <c r="D6743" t="s">
        <v>291</v>
      </c>
      <c r="E6743" t="s">
        <v>7759</v>
      </c>
      <c r="F6743">
        <v>4</v>
      </c>
    </row>
    <row r="6744" spans="1:6" ht="13.2">
      <c r="A6744" t="s">
        <v>7780</v>
      </c>
      <c r="B6744">
        <v>310</v>
      </c>
      <c r="C6744" s="44">
        <v>1400</v>
      </c>
      <c r="D6744" t="s">
        <v>291</v>
      </c>
      <c r="E6744" t="s">
        <v>7759</v>
      </c>
      <c r="F6744">
        <v>4</v>
      </c>
    </row>
    <row r="6745" spans="1:6" ht="13.2">
      <c r="A6745" t="s">
        <v>7781</v>
      </c>
      <c r="B6745">
        <v>310</v>
      </c>
      <c r="C6745" s="44">
        <v>1400</v>
      </c>
      <c r="D6745" t="s">
        <v>291</v>
      </c>
      <c r="E6745" t="s">
        <v>7759</v>
      </c>
      <c r="F6745">
        <v>4</v>
      </c>
    </row>
    <row r="6746" spans="1:6" ht="13.2">
      <c r="A6746" t="s">
        <v>7782</v>
      </c>
      <c r="B6746">
        <v>310</v>
      </c>
      <c r="C6746" s="44">
        <v>1400</v>
      </c>
      <c r="D6746" t="s">
        <v>291</v>
      </c>
      <c r="E6746" t="s">
        <v>7759</v>
      </c>
      <c r="F6746">
        <v>4</v>
      </c>
    </row>
    <row r="6747" spans="1:6" ht="13.2">
      <c r="A6747" t="s">
        <v>7783</v>
      </c>
      <c r="B6747">
        <v>310</v>
      </c>
      <c r="C6747" s="44">
        <v>1400</v>
      </c>
      <c r="D6747" t="s">
        <v>291</v>
      </c>
      <c r="E6747" t="s">
        <v>7759</v>
      </c>
      <c r="F6747">
        <v>4</v>
      </c>
    </row>
    <row r="6748" spans="1:6" ht="13.2">
      <c r="A6748" t="s">
        <v>7784</v>
      </c>
      <c r="B6748">
        <v>310</v>
      </c>
      <c r="C6748" s="44">
        <v>1400</v>
      </c>
      <c r="D6748" t="s">
        <v>291</v>
      </c>
      <c r="E6748" t="s">
        <v>7759</v>
      </c>
      <c r="F6748">
        <v>4</v>
      </c>
    </row>
    <row r="6749" spans="1:6" ht="13.2">
      <c r="A6749" t="s">
        <v>7785</v>
      </c>
      <c r="B6749">
        <v>310</v>
      </c>
      <c r="C6749" s="44">
        <v>1400</v>
      </c>
      <c r="D6749" t="s">
        <v>291</v>
      </c>
      <c r="E6749" t="s">
        <v>7759</v>
      </c>
      <c r="F6749">
        <v>4</v>
      </c>
    </row>
    <row r="6750" spans="1:6" ht="13.2">
      <c r="A6750" t="s">
        <v>7786</v>
      </c>
      <c r="B6750">
        <v>310</v>
      </c>
      <c r="C6750" s="44">
        <v>1400</v>
      </c>
      <c r="D6750" t="s">
        <v>291</v>
      </c>
      <c r="E6750" t="s">
        <v>7759</v>
      </c>
      <c r="F6750">
        <v>4</v>
      </c>
    </row>
    <row r="6751" spans="1:6" ht="13.2">
      <c r="A6751" t="s">
        <v>7787</v>
      </c>
      <c r="B6751">
        <v>85</v>
      </c>
      <c r="C6751" s="44">
        <v>1400</v>
      </c>
      <c r="D6751" t="s">
        <v>291</v>
      </c>
      <c r="E6751" t="s">
        <v>7759</v>
      </c>
      <c r="F6751">
        <v>4</v>
      </c>
    </row>
    <row r="6752" spans="1:6" ht="13.2">
      <c r="A6752" t="s">
        <v>7788</v>
      </c>
      <c r="B6752">
        <v>85</v>
      </c>
      <c r="C6752" s="44">
        <v>1400</v>
      </c>
      <c r="D6752" t="s">
        <v>291</v>
      </c>
      <c r="E6752" t="s">
        <v>7759</v>
      </c>
      <c r="F6752">
        <v>4</v>
      </c>
    </row>
    <row r="6753" spans="1:6" ht="13.2">
      <c r="A6753" t="s">
        <v>7789</v>
      </c>
      <c r="B6753">
        <v>85</v>
      </c>
      <c r="C6753" s="44">
        <v>1400</v>
      </c>
      <c r="D6753" t="s">
        <v>291</v>
      </c>
      <c r="E6753" t="s">
        <v>7759</v>
      </c>
      <c r="F6753">
        <v>4</v>
      </c>
    </row>
    <row r="6754" spans="1:6" ht="13.2">
      <c r="A6754" t="s">
        <v>7790</v>
      </c>
      <c r="B6754">
        <v>85</v>
      </c>
      <c r="C6754" s="44">
        <v>1400</v>
      </c>
      <c r="D6754" t="s">
        <v>291</v>
      </c>
      <c r="E6754" t="s">
        <v>7759</v>
      </c>
      <c r="F6754">
        <v>4</v>
      </c>
    </row>
    <row r="6755" spans="1:6" ht="13.2">
      <c r="A6755" t="s">
        <v>7791</v>
      </c>
      <c r="B6755">
        <v>85</v>
      </c>
      <c r="C6755" s="44">
        <v>1400</v>
      </c>
      <c r="D6755" t="s">
        <v>291</v>
      </c>
      <c r="E6755" t="s">
        <v>7759</v>
      </c>
      <c r="F6755">
        <v>4</v>
      </c>
    </row>
    <row r="6756" spans="1:6" ht="13.2">
      <c r="A6756" t="s">
        <v>7792</v>
      </c>
      <c r="B6756">
        <v>85</v>
      </c>
      <c r="C6756" s="44">
        <v>1400</v>
      </c>
      <c r="D6756" t="s">
        <v>291</v>
      </c>
      <c r="E6756" t="s">
        <v>7759</v>
      </c>
      <c r="F6756">
        <v>4</v>
      </c>
    </row>
    <row r="6757" spans="1:6" ht="13.2">
      <c r="A6757" t="s">
        <v>7793</v>
      </c>
      <c r="B6757">
        <v>85</v>
      </c>
      <c r="C6757" s="44">
        <v>1400</v>
      </c>
      <c r="D6757" t="s">
        <v>291</v>
      </c>
      <c r="E6757" t="s">
        <v>7759</v>
      </c>
      <c r="F6757">
        <v>4</v>
      </c>
    </row>
    <row r="6758" spans="1:6" ht="13.2">
      <c r="A6758" t="s">
        <v>7794</v>
      </c>
      <c r="B6758">
        <v>85</v>
      </c>
      <c r="C6758" s="44">
        <v>1400</v>
      </c>
      <c r="D6758" t="s">
        <v>291</v>
      </c>
      <c r="E6758" t="s">
        <v>7759</v>
      </c>
      <c r="F6758">
        <v>4</v>
      </c>
    </row>
    <row r="6759" spans="1:6" ht="13.2">
      <c r="A6759" t="s">
        <v>7795</v>
      </c>
      <c r="B6759">
        <v>85</v>
      </c>
      <c r="C6759" s="44">
        <v>1400</v>
      </c>
      <c r="D6759" t="s">
        <v>291</v>
      </c>
      <c r="E6759" t="s">
        <v>7759</v>
      </c>
      <c r="F6759">
        <v>4</v>
      </c>
    </row>
    <row r="6760" spans="1:6" ht="13.2">
      <c r="A6760" t="s">
        <v>7799</v>
      </c>
      <c r="B6760">
        <v>0</v>
      </c>
      <c r="C6760" s="44" t="s">
        <v>201</v>
      </c>
      <c r="D6760" t="s">
        <v>291</v>
      </c>
      <c r="E6760" t="s">
        <v>7674</v>
      </c>
      <c r="F6760">
        <v>4</v>
      </c>
    </row>
    <row r="6761" spans="1:6" ht="13.2">
      <c r="A6761" t="s">
        <v>7800</v>
      </c>
      <c r="B6761">
        <v>0</v>
      </c>
      <c r="C6761" s="44" t="s">
        <v>201</v>
      </c>
      <c r="D6761" t="s">
        <v>291</v>
      </c>
      <c r="E6761" t="s">
        <v>7674</v>
      </c>
      <c r="F6761">
        <v>4</v>
      </c>
    </row>
    <row r="6762" spans="1:6" ht="13.2">
      <c r="A6762" t="s">
        <v>7801</v>
      </c>
      <c r="B6762">
        <v>0</v>
      </c>
      <c r="C6762" s="44" t="s">
        <v>201</v>
      </c>
      <c r="D6762" t="s">
        <v>291</v>
      </c>
      <c r="E6762" t="s">
        <v>7674</v>
      </c>
      <c r="F6762">
        <v>4</v>
      </c>
    </row>
    <row r="6763" spans="1:6" ht="13.2">
      <c r="A6763" t="s">
        <v>7802</v>
      </c>
      <c r="B6763">
        <v>0</v>
      </c>
      <c r="C6763" s="44" t="s">
        <v>201</v>
      </c>
      <c r="D6763" t="s">
        <v>291</v>
      </c>
      <c r="E6763" t="s">
        <v>7674</v>
      </c>
      <c r="F6763">
        <v>4</v>
      </c>
    </row>
    <row r="6764" spans="1:6" ht="13.2">
      <c r="A6764" t="s">
        <v>7803</v>
      </c>
      <c r="B6764">
        <v>0</v>
      </c>
      <c r="C6764" s="44" t="s">
        <v>201</v>
      </c>
      <c r="D6764" t="s">
        <v>291</v>
      </c>
      <c r="E6764" t="s">
        <v>7674</v>
      </c>
      <c r="F6764">
        <v>4</v>
      </c>
    </row>
    <row r="6765" spans="1:6" ht="13.2">
      <c r="A6765" t="s">
        <v>7804</v>
      </c>
      <c r="B6765">
        <v>0</v>
      </c>
      <c r="C6765" s="44" t="s">
        <v>201</v>
      </c>
      <c r="D6765" t="s">
        <v>291</v>
      </c>
      <c r="E6765" t="s">
        <v>7674</v>
      </c>
      <c r="F6765">
        <v>4</v>
      </c>
    </row>
    <row r="6766" spans="1:6" ht="13.2">
      <c r="A6766" t="s">
        <v>7805</v>
      </c>
      <c r="B6766">
        <v>0</v>
      </c>
      <c r="C6766" s="44" t="s">
        <v>201</v>
      </c>
      <c r="D6766" t="s">
        <v>291</v>
      </c>
      <c r="E6766" t="s">
        <v>7674</v>
      </c>
      <c r="F6766">
        <v>4</v>
      </c>
    </row>
    <row r="6767" spans="1:6" ht="13.2">
      <c r="A6767" t="s">
        <v>7806</v>
      </c>
      <c r="B6767">
        <v>0</v>
      </c>
      <c r="C6767" s="44" t="s">
        <v>204</v>
      </c>
      <c r="D6767" t="s">
        <v>293</v>
      </c>
      <c r="E6767" t="s">
        <v>7674</v>
      </c>
      <c r="F6767">
        <v>4</v>
      </c>
    </row>
    <row r="6768" spans="1:6" ht="13.2">
      <c r="A6768" t="s">
        <v>7807</v>
      </c>
      <c r="B6768">
        <v>0</v>
      </c>
      <c r="C6768" s="44" t="s">
        <v>204</v>
      </c>
      <c r="D6768" t="s">
        <v>293</v>
      </c>
      <c r="E6768" t="s">
        <v>7674</v>
      </c>
      <c r="F6768">
        <v>4</v>
      </c>
    </row>
    <row r="6769" spans="1:6" ht="13.2">
      <c r="A6769" t="s">
        <v>7808</v>
      </c>
      <c r="B6769">
        <v>0</v>
      </c>
      <c r="C6769" s="44" t="s">
        <v>204</v>
      </c>
      <c r="D6769" t="s">
        <v>293</v>
      </c>
      <c r="E6769" t="s">
        <v>7674</v>
      </c>
      <c r="F6769">
        <v>4</v>
      </c>
    </row>
    <row r="6770" spans="1:6" ht="13.2">
      <c r="A6770" t="s">
        <v>7809</v>
      </c>
      <c r="B6770">
        <v>0</v>
      </c>
      <c r="C6770" s="44" t="s">
        <v>204</v>
      </c>
      <c r="D6770" t="s">
        <v>293</v>
      </c>
      <c r="E6770" t="s">
        <v>7674</v>
      </c>
      <c r="F6770">
        <v>4</v>
      </c>
    </row>
    <row r="6771" spans="1:6" ht="13.2">
      <c r="A6771" t="s">
        <v>7810</v>
      </c>
      <c r="B6771">
        <v>0</v>
      </c>
      <c r="C6771" s="44" t="s">
        <v>204</v>
      </c>
      <c r="D6771" t="s">
        <v>293</v>
      </c>
      <c r="E6771" t="s">
        <v>7674</v>
      </c>
      <c r="F6771">
        <v>4</v>
      </c>
    </row>
    <row r="6772" spans="1:6" ht="13.2">
      <c r="A6772" t="s">
        <v>7811</v>
      </c>
      <c r="B6772">
        <v>0</v>
      </c>
      <c r="C6772" s="44" t="s">
        <v>204</v>
      </c>
      <c r="D6772" t="s">
        <v>293</v>
      </c>
      <c r="E6772" t="s">
        <v>7674</v>
      </c>
      <c r="F6772">
        <v>4</v>
      </c>
    </row>
    <row r="6773" spans="1:6" ht="13.2">
      <c r="A6773" t="s">
        <v>7812</v>
      </c>
      <c r="B6773">
        <v>0</v>
      </c>
      <c r="C6773" s="44" t="s">
        <v>204</v>
      </c>
      <c r="D6773" t="s">
        <v>293</v>
      </c>
      <c r="E6773" t="s">
        <v>7674</v>
      </c>
      <c r="F6773">
        <v>4</v>
      </c>
    </row>
    <row r="6774" spans="1:6" ht="13.2">
      <c r="A6774" t="s">
        <v>7813</v>
      </c>
      <c r="B6774">
        <v>0</v>
      </c>
      <c r="C6774" s="44" t="s">
        <v>204</v>
      </c>
      <c r="D6774" t="s">
        <v>293</v>
      </c>
      <c r="E6774" t="s">
        <v>7674</v>
      </c>
      <c r="F6774">
        <v>4</v>
      </c>
    </row>
    <row r="6775" spans="1:6" ht="13.2">
      <c r="A6775" t="s">
        <v>7814</v>
      </c>
      <c r="B6775">
        <v>0</v>
      </c>
      <c r="C6775" s="44" t="s">
        <v>204</v>
      </c>
      <c r="D6775" t="s">
        <v>291</v>
      </c>
      <c r="E6775" t="s">
        <v>7674</v>
      </c>
      <c r="F6775">
        <v>4</v>
      </c>
    </row>
    <row r="6776" spans="1:6" ht="13.2">
      <c r="A6776" t="s">
        <v>7815</v>
      </c>
      <c r="B6776">
        <v>0</v>
      </c>
      <c r="C6776" s="44" t="s">
        <v>204</v>
      </c>
      <c r="D6776" t="s">
        <v>291</v>
      </c>
      <c r="E6776" t="s">
        <v>7674</v>
      </c>
      <c r="F6776">
        <v>4</v>
      </c>
    </row>
    <row r="6777" spans="1:6" ht="13.2">
      <c r="A6777" t="s">
        <v>7816</v>
      </c>
      <c r="B6777">
        <v>0</v>
      </c>
      <c r="C6777" s="44" t="s">
        <v>204</v>
      </c>
      <c r="D6777" t="s">
        <v>291</v>
      </c>
      <c r="E6777" t="s">
        <v>7674</v>
      </c>
      <c r="F6777">
        <v>4</v>
      </c>
    </row>
    <row r="6778" spans="1:6" ht="13.2">
      <c r="A6778" t="s">
        <v>7817</v>
      </c>
      <c r="B6778">
        <v>0</v>
      </c>
      <c r="C6778" s="44" t="s">
        <v>204</v>
      </c>
      <c r="D6778" t="s">
        <v>291</v>
      </c>
      <c r="E6778" t="s">
        <v>7674</v>
      </c>
      <c r="F6778">
        <v>4</v>
      </c>
    </row>
    <row r="6779" spans="1:6" ht="13.2">
      <c r="A6779" t="s">
        <v>7818</v>
      </c>
      <c r="B6779">
        <v>0</v>
      </c>
      <c r="C6779" s="44" t="s">
        <v>204</v>
      </c>
      <c r="D6779" t="s">
        <v>291</v>
      </c>
      <c r="E6779" t="s">
        <v>7674</v>
      </c>
      <c r="F6779">
        <v>4</v>
      </c>
    </row>
    <row r="6780" spans="1:6" ht="13.2">
      <c r="A6780" t="s">
        <v>7819</v>
      </c>
      <c r="B6780">
        <v>0</v>
      </c>
      <c r="C6780" s="44" t="s">
        <v>204</v>
      </c>
      <c r="D6780" t="s">
        <v>291</v>
      </c>
      <c r="E6780" t="s">
        <v>7674</v>
      </c>
      <c r="F6780">
        <v>4</v>
      </c>
    </row>
    <row r="6781" spans="1:6" ht="13.2">
      <c r="A6781" t="s">
        <v>7820</v>
      </c>
      <c r="B6781">
        <v>0</v>
      </c>
      <c r="C6781" s="44" t="s">
        <v>204</v>
      </c>
      <c r="D6781" t="s">
        <v>291</v>
      </c>
      <c r="E6781" t="s">
        <v>7674</v>
      </c>
      <c r="F6781">
        <v>4</v>
      </c>
    </row>
    <row r="6782" spans="1:6" ht="13.2">
      <c r="A6782" t="s">
        <v>7821</v>
      </c>
      <c r="B6782">
        <v>0</v>
      </c>
      <c r="C6782" s="44" t="s">
        <v>204</v>
      </c>
      <c r="D6782" t="s">
        <v>291</v>
      </c>
      <c r="E6782" t="s">
        <v>7674</v>
      </c>
      <c r="F6782">
        <v>4</v>
      </c>
    </row>
    <row r="6783" spans="1:6" ht="13.2">
      <c r="A6783" t="s">
        <v>7836</v>
      </c>
      <c r="B6783">
        <v>650</v>
      </c>
      <c r="C6783" s="44">
        <v>1400</v>
      </c>
      <c r="D6783" t="s">
        <v>291</v>
      </c>
      <c r="E6783" t="s">
        <v>577</v>
      </c>
      <c r="F6783">
        <v>3</v>
      </c>
    </row>
    <row r="6784" spans="1:6" ht="13.2">
      <c r="A6784" t="s">
        <v>7837</v>
      </c>
      <c r="B6784">
        <v>650</v>
      </c>
      <c r="C6784" s="44">
        <v>1400</v>
      </c>
      <c r="D6784" t="s">
        <v>291</v>
      </c>
      <c r="E6784" t="s">
        <v>577</v>
      </c>
      <c r="F6784">
        <v>3</v>
      </c>
    </row>
    <row r="6785" spans="1:6" ht="13.2">
      <c r="A6785" t="s">
        <v>7838</v>
      </c>
      <c r="B6785">
        <v>650</v>
      </c>
      <c r="C6785" s="44">
        <v>1400</v>
      </c>
      <c r="D6785" t="s">
        <v>291</v>
      </c>
      <c r="E6785" t="s">
        <v>577</v>
      </c>
      <c r="F6785">
        <v>3</v>
      </c>
    </row>
    <row r="6786" spans="1:6" ht="13.2">
      <c r="A6786" t="s">
        <v>7839</v>
      </c>
      <c r="B6786">
        <v>650</v>
      </c>
      <c r="C6786" s="44">
        <v>1400</v>
      </c>
      <c r="D6786" t="s">
        <v>291</v>
      </c>
      <c r="E6786" t="s">
        <v>577</v>
      </c>
      <c r="F6786">
        <v>3</v>
      </c>
    </row>
    <row r="6787" spans="1:6" ht="13.2">
      <c r="A6787" t="s">
        <v>7840</v>
      </c>
      <c r="B6787">
        <v>650</v>
      </c>
      <c r="C6787" s="44">
        <v>1400</v>
      </c>
      <c r="D6787" t="s">
        <v>291</v>
      </c>
      <c r="E6787" t="s">
        <v>577</v>
      </c>
      <c r="F6787">
        <v>3</v>
      </c>
    </row>
    <row r="6788" spans="1:6" ht="13.2">
      <c r="A6788" t="s">
        <v>7841</v>
      </c>
      <c r="B6788">
        <v>0</v>
      </c>
      <c r="C6788" s="44" t="s">
        <v>204</v>
      </c>
      <c r="D6788" t="s">
        <v>293</v>
      </c>
      <c r="E6788" t="s">
        <v>364</v>
      </c>
      <c r="F6788">
        <v>3</v>
      </c>
    </row>
    <row r="6789" spans="1:6" ht="13.2">
      <c r="A6789" t="s">
        <v>7842</v>
      </c>
      <c r="B6789">
        <v>0</v>
      </c>
      <c r="C6789" s="44" t="s">
        <v>204</v>
      </c>
      <c r="D6789" t="s">
        <v>293</v>
      </c>
      <c r="E6789" t="s">
        <v>364</v>
      </c>
      <c r="F6789">
        <v>3</v>
      </c>
    </row>
    <row r="6790" spans="1:6" ht="13.2">
      <c r="A6790" t="s">
        <v>7843</v>
      </c>
      <c r="B6790">
        <v>0</v>
      </c>
      <c r="C6790" s="44" t="s">
        <v>204</v>
      </c>
      <c r="D6790" t="s">
        <v>293</v>
      </c>
      <c r="E6790" t="s">
        <v>364</v>
      </c>
      <c r="F6790">
        <v>3</v>
      </c>
    </row>
    <row r="6791" spans="1:6" ht="13.2">
      <c r="A6791" t="s">
        <v>7844</v>
      </c>
      <c r="B6791">
        <v>0</v>
      </c>
      <c r="C6791" s="44" t="s">
        <v>204</v>
      </c>
      <c r="D6791" t="s">
        <v>293</v>
      </c>
      <c r="E6791" t="s">
        <v>364</v>
      </c>
      <c r="F6791">
        <v>3</v>
      </c>
    </row>
    <row r="6792" spans="1:6" ht="13.2">
      <c r="A6792" t="s">
        <v>7845</v>
      </c>
      <c r="B6792">
        <v>0</v>
      </c>
      <c r="C6792" s="44" t="s">
        <v>204</v>
      </c>
      <c r="D6792" t="s">
        <v>293</v>
      </c>
      <c r="E6792" t="s">
        <v>364</v>
      </c>
      <c r="F6792">
        <v>3</v>
      </c>
    </row>
    <row r="6793" spans="1:6" ht="13.2">
      <c r="A6793" t="s">
        <v>7846</v>
      </c>
      <c r="B6793">
        <v>0</v>
      </c>
      <c r="C6793" s="44" t="s">
        <v>204</v>
      </c>
      <c r="D6793" t="s">
        <v>293</v>
      </c>
      <c r="E6793" t="s">
        <v>364</v>
      </c>
      <c r="F6793">
        <v>3</v>
      </c>
    </row>
    <row r="6794" spans="1:6" ht="13.2">
      <c r="A6794" t="s">
        <v>7847</v>
      </c>
      <c r="B6794">
        <v>0</v>
      </c>
      <c r="C6794" s="44">
        <v>3200</v>
      </c>
      <c r="D6794" t="s">
        <v>291</v>
      </c>
      <c r="E6794" t="s">
        <v>256</v>
      </c>
      <c r="F6794">
        <v>4</v>
      </c>
    </row>
    <row r="6795" spans="1:6" ht="13.2">
      <c r="A6795" t="s">
        <v>7848</v>
      </c>
      <c r="B6795">
        <v>0</v>
      </c>
      <c r="C6795" s="44">
        <v>3200</v>
      </c>
      <c r="D6795" t="s">
        <v>291</v>
      </c>
      <c r="E6795" t="s">
        <v>256</v>
      </c>
      <c r="F6795">
        <v>4</v>
      </c>
    </row>
    <row r="6796" spans="1:6" ht="13.2">
      <c r="A6796" t="s">
        <v>7849</v>
      </c>
      <c r="B6796">
        <v>0</v>
      </c>
      <c r="C6796" s="44">
        <v>3200</v>
      </c>
      <c r="D6796" t="s">
        <v>291</v>
      </c>
      <c r="E6796" t="s">
        <v>256</v>
      </c>
      <c r="F6796">
        <v>4</v>
      </c>
    </row>
    <row r="6797" spans="1:6" ht="13.2">
      <c r="A6797" t="s">
        <v>7850</v>
      </c>
      <c r="B6797">
        <v>0</v>
      </c>
      <c r="C6797" s="44">
        <v>3200</v>
      </c>
      <c r="D6797" t="s">
        <v>291</v>
      </c>
      <c r="E6797" t="s">
        <v>256</v>
      </c>
      <c r="F6797">
        <v>4</v>
      </c>
    </row>
    <row r="6798" spans="1:6" ht="13.2">
      <c r="A6798" t="s">
        <v>7851</v>
      </c>
      <c r="B6798">
        <v>0</v>
      </c>
      <c r="C6798" s="44">
        <v>3200</v>
      </c>
      <c r="D6798" t="s">
        <v>291</v>
      </c>
      <c r="E6798" t="s">
        <v>256</v>
      </c>
      <c r="F6798">
        <v>4</v>
      </c>
    </row>
    <row r="6799" spans="1:6" ht="13.2">
      <c r="A6799" t="s">
        <v>7852</v>
      </c>
      <c r="B6799">
        <v>0</v>
      </c>
      <c r="C6799" s="44">
        <v>3200</v>
      </c>
      <c r="D6799" t="s">
        <v>291</v>
      </c>
      <c r="E6799" t="s">
        <v>256</v>
      </c>
      <c r="F6799">
        <v>4</v>
      </c>
    </row>
    <row r="6800" spans="1:6" ht="13.2">
      <c r="A6800" t="s">
        <v>7853</v>
      </c>
      <c r="B6800">
        <v>0</v>
      </c>
      <c r="C6800" s="44">
        <v>3200</v>
      </c>
      <c r="D6800" t="s">
        <v>291</v>
      </c>
      <c r="E6800" t="s">
        <v>256</v>
      </c>
      <c r="F6800">
        <v>4</v>
      </c>
    </row>
    <row r="6801" spans="1:6" ht="13.2">
      <c r="A6801" t="s">
        <v>7854</v>
      </c>
      <c r="B6801">
        <v>0</v>
      </c>
      <c r="C6801" s="44">
        <v>3200</v>
      </c>
      <c r="D6801" t="s">
        <v>291</v>
      </c>
      <c r="E6801" t="s">
        <v>256</v>
      </c>
      <c r="F6801">
        <v>4</v>
      </c>
    </row>
    <row r="6802" spans="1:6" ht="13.2">
      <c r="A6802" t="s">
        <v>7855</v>
      </c>
      <c r="B6802">
        <v>0</v>
      </c>
      <c r="C6802" s="44">
        <v>3200</v>
      </c>
      <c r="D6802" t="s">
        <v>291</v>
      </c>
      <c r="E6802" t="s">
        <v>256</v>
      </c>
      <c r="F6802">
        <v>4</v>
      </c>
    </row>
    <row r="6803" spans="1:6" ht="13.2">
      <c r="A6803" t="s">
        <v>7856</v>
      </c>
      <c r="B6803">
        <v>0</v>
      </c>
      <c r="C6803" s="44">
        <v>3200</v>
      </c>
      <c r="D6803" t="s">
        <v>291</v>
      </c>
      <c r="E6803" t="s">
        <v>256</v>
      </c>
      <c r="F6803">
        <v>4</v>
      </c>
    </row>
    <row r="6804" spans="1:6" ht="13.2">
      <c r="A6804" t="s">
        <v>7857</v>
      </c>
      <c r="B6804">
        <v>0</v>
      </c>
      <c r="C6804" s="44">
        <v>3200</v>
      </c>
      <c r="D6804" t="s">
        <v>291</v>
      </c>
      <c r="E6804" t="s">
        <v>256</v>
      </c>
      <c r="F6804">
        <v>4</v>
      </c>
    </row>
    <row r="6805" spans="1:6" ht="13.2">
      <c r="A6805" t="s">
        <v>7858</v>
      </c>
      <c r="B6805">
        <v>0</v>
      </c>
      <c r="C6805" s="44">
        <v>3200</v>
      </c>
      <c r="D6805" t="s">
        <v>291</v>
      </c>
      <c r="E6805" t="s">
        <v>256</v>
      </c>
      <c r="F6805">
        <v>4</v>
      </c>
    </row>
    <row r="6806" spans="1:6" ht="13.2">
      <c r="A6806" t="s">
        <v>7859</v>
      </c>
      <c r="B6806">
        <v>0</v>
      </c>
      <c r="C6806" s="44">
        <v>3200</v>
      </c>
      <c r="D6806" t="s">
        <v>291</v>
      </c>
      <c r="E6806" t="s">
        <v>256</v>
      </c>
      <c r="F6806">
        <v>4</v>
      </c>
    </row>
    <row r="6807" spans="1:6" ht="13.2">
      <c r="A6807" t="s">
        <v>7860</v>
      </c>
      <c r="B6807">
        <v>0</v>
      </c>
      <c r="C6807" s="44">
        <v>3200</v>
      </c>
      <c r="D6807" t="s">
        <v>291</v>
      </c>
      <c r="E6807" t="s">
        <v>256</v>
      </c>
      <c r="F6807">
        <v>4</v>
      </c>
    </row>
    <row r="6808" spans="1:6" ht="13.2">
      <c r="A6808" t="s">
        <v>7861</v>
      </c>
      <c r="B6808">
        <v>0</v>
      </c>
      <c r="C6808" s="44">
        <v>3200</v>
      </c>
      <c r="D6808" t="s">
        <v>291</v>
      </c>
      <c r="E6808" t="s">
        <v>256</v>
      </c>
      <c r="F6808">
        <v>4</v>
      </c>
    </row>
    <row r="6809" spans="1:6" ht="13.2">
      <c r="A6809" t="s">
        <v>7862</v>
      </c>
      <c r="B6809">
        <v>0</v>
      </c>
      <c r="C6809" s="44">
        <v>3200</v>
      </c>
      <c r="D6809" t="s">
        <v>291</v>
      </c>
      <c r="E6809" t="s">
        <v>256</v>
      </c>
      <c r="F6809">
        <v>4</v>
      </c>
    </row>
    <row r="6810" spans="1:6" ht="13.2">
      <c r="A6810" t="s">
        <v>7863</v>
      </c>
      <c r="B6810">
        <v>0</v>
      </c>
      <c r="C6810" s="44" t="s">
        <v>203</v>
      </c>
      <c r="D6810" t="s">
        <v>293</v>
      </c>
      <c r="E6810" t="s">
        <v>5010</v>
      </c>
      <c r="F6810">
        <v>3</v>
      </c>
    </row>
    <row r="6811" spans="1:6" ht="13.2">
      <c r="A6811" t="s">
        <v>7864</v>
      </c>
      <c r="B6811">
        <v>0</v>
      </c>
      <c r="C6811" s="44" t="s">
        <v>203</v>
      </c>
      <c r="D6811" t="s">
        <v>293</v>
      </c>
      <c r="E6811" t="s">
        <v>5010</v>
      </c>
      <c r="F6811">
        <v>3</v>
      </c>
    </row>
    <row r="6812" spans="1:6" ht="13.2">
      <c r="A6812" t="s">
        <v>7865</v>
      </c>
      <c r="B6812">
        <v>0</v>
      </c>
      <c r="C6812" s="44" t="s">
        <v>203</v>
      </c>
      <c r="D6812" t="s">
        <v>293</v>
      </c>
      <c r="E6812" t="s">
        <v>5010</v>
      </c>
      <c r="F6812">
        <v>3</v>
      </c>
    </row>
    <row r="6813" spans="1:6" ht="13.2">
      <c r="A6813" t="s">
        <v>7866</v>
      </c>
      <c r="B6813">
        <v>0</v>
      </c>
      <c r="C6813" s="44" t="s">
        <v>203</v>
      </c>
      <c r="D6813" t="s">
        <v>293</v>
      </c>
      <c r="E6813" t="s">
        <v>5010</v>
      </c>
      <c r="F6813">
        <v>3</v>
      </c>
    </row>
    <row r="6814" spans="1:6" ht="13.2">
      <c r="A6814" t="s">
        <v>7867</v>
      </c>
      <c r="B6814">
        <v>0</v>
      </c>
      <c r="C6814" s="44" t="s">
        <v>203</v>
      </c>
      <c r="D6814" t="s">
        <v>293</v>
      </c>
      <c r="E6814" t="s">
        <v>5010</v>
      </c>
      <c r="F6814">
        <v>3</v>
      </c>
    </row>
    <row r="6815" spans="1:6" ht="13.2">
      <c r="A6815" t="s">
        <v>7868</v>
      </c>
      <c r="B6815">
        <v>0</v>
      </c>
      <c r="C6815" s="44" t="s">
        <v>203</v>
      </c>
      <c r="D6815" t="s">
        <v>293</v>
      </c>
      <c r="E6815" t="s">
        <v>5010</v>
      </c>
      <c r="F6815">
        <v>3</v>
      </c>
    </row>
    <row r="6816" spans="1:6" ht="13.2">
      <c r="A6816" t="s">
        <v>7869</v>
      </c>
      <c r="B6816">
        <v>0</v>
      </c>
      <c r="C6816" s="44" t="s">
        <v>203</v>
      </c>
      <c r="D6816" t="s">
        <v>293</v>
      </c>
      <c r="E6816" t="s">
        <v>5010</v>
      </c>
      <c r="F6816">
        <v>3</v>
      </c>
    </row>
    <row r="6817" spans="1:6" ht="13.2">
      <c r="A6817" t="s">
        <v>7870</v>
      </c>
      <c r="B6817">
        <v>0</v>
      </c>
      <c r="C6817" s="44" t="s">
        <v>203</v>
      </c>
      <c r="D6817" t="s">
        <v>293</v>
      </c>
      <c r="E6817" t="s">
        <v>5010</v>
      </c>
      <c r="F6817">
        <v>3</v>
      </c>
    </row>
    <row r="6818" spans="1:6" ht="13.2">
      <c r="A6818" t="s">
        <v>7871</v>
      </c>
      <c r="B6818">
        <v>0</v>
      </c>
      <c r="C6818" s="44" t="s">
        <v>203</v>
      </c>
      <c r="D6818" t="s">
        <v>293</v>
      </c>
      <c r="E6818" t="s">
        <v>5010</v>
      </c>
      <c r="F6818">
        <v>3</v>
      </c>
    </row>
    <row r="6819" spans="1:6" ht="13.2">
      <c r="A6819" t="s">
        <v>7872</v>
      </c>
      <c r="B6819">
        <v>0</v>
      </c>
      <c r="C6819" s="44" t="s">
        <v>203</v>
      </c>
      <c r="D6819" t="s">
        <v>293</v>
      </c>
      <c r="E6819" t="s">
        <v>5010</v>
      </c>
      <c r="F6819">
        <v>3</v>
      </c>
    </row>
    <row r="6820" spans="1:6" ht="13.2">
      <c r="A6820" t="s">
        <v>7873</v>
      </c>
      <c r="B6820">
        <v>0</v>
      </c>
      <c r="C6820" s="44">
        <v>1390</v>
      </c>
      <c r="D6820" t="s">
        <v>291</v>
      </c>
      <c r="E6820" t="s">
        <v>577</v>
      </c>
      <c r="F6820">
        <v>3</v>
      </c>
    </row>
    <row r="6821" spans="1:6" ht="13.2">
      <c r="A6821" t="s">
        <v>7874</v>
      </c>
      <c r="B6821">
        <v>0</v>
      </c>
      <c r="C6821" s="44">
        <v>1390</v>
      </c>
      <c r="D6821" t="s">
        <v>291</v>
      </c>
      <c r="E6821" t="s">
        <v>577</v>
      </c>
      <c r="F6821">
        <v>3</v>
      </c>
    </row>
    <row r="6822" spans="1:6" ht="13.2">
      <c r="A6822" t="s">
        <v>7875</v>
      </c>
      <c r="B6822">
        <v>0</v>
      </c>
      <c r="C6822" s="44">
        <v>1390</v>
      </c>
      <c r="D6822" t="s">
        <v>291</v>
      </c>
      <c r="E6822" t="s">
        <v>577</v>
      </c>
      <c r="F6822">
        <v>3</v>
      </c>
    </row>
    <row r="6823" spans="1:6" ht="13.2">
      <c r="A6823" t="s">
        <v>7876</v>
      </c>
      <c r="B6823">
        <v>0</v>
      </c>
      <c r="C6823" s="44">
        <v>1390</v>
      </c>
      <c r="D6823" t="s">
        <v>291</v>
      </c>
      <c r="E6823" t="s">
        <v>577</v>
      </c>
      <c r="F6823">
        <v>3</v>
      </c>
    </row>
    <row r="6824" spans="1:6" ht="13.2">
      <c r="A6824" t="s">
        <v>7877</v>
      </c>
      <c r="B6824">
        <v>0</v>
      </c>
      <c r="C6824" s="44">
        <v>1390</v>
      </c>
      <c r="D6824" t="s">
        <v>291</v>
      </c>
      <c r="E6824" t="s">
        <v>577</v>
      </c>
      <c r="F6824">
        <v>3</v>
      </c>
    </row>
    <row r="6825" spans="1:6" ht="13.2">
      <c r="A6825" t="s">
        <v>7878</v>
      </c>
      <c r="B6825">
        <v>320</v>
      </c>
      <c r="C6825" s="44">
        <v>1430</v>
      </c>
      <c r="D6825" t="s">
        <v>291</v>
      </c>
      <c r="E6825" t="s">
        <v>577</v>
      </c>
      <c r="F6825">
        <v>3</v>
      </c>
    </row>
    <row r="6826" spans="1:6" ht="13.2">
      <c r="A6826" t="s">
        <v>7879</v>
      </c>
      <c r="B6826">
        <v>320</v>
      </c>
      <c r="C6826" s="44">
        <v>1430</v>
      </c>
      <c r="D6826" t="s">
        <v>291</v>
      </c>
      <c r="E6826" t="s">
        <v>577</v>
      </c>
      <c r="F6826">
        <v>3</v>
      </c>
    </row>
    <row r="6827" spans="1:6" ht="13.2">
      <c r="A6827" t="s">
        <v>7880</v>
      </c>
      <c r="B6827">
        <v>320</v>
      </c>
      <c r="C6827" s="44">
        <v>1430</v>
      </c>
      <c r="D6827" t="s">
        <v>291</v>
      </c>
      <c r="E6827" t="s">
        <v>577</v>
      </c>
      <c r="F6827">
        <v>3</v>
      </c>
    </row>
    <row r="6828" spans="1:6" ht="13.2">
      <c r="A6828" t="s">
        <v>7881</v>
      </c>
      <c r="B6828">
        <v>320</v>
      </c>
      <c r="C6828" s="44">
        <v>1430</v>
      </c>
      <c r="D6828" t="s">
        <v>291</v>
      </c>
      <c r="E6828" t="s">
        <v>577</v>
      </c>
      <c r="F6828">
        <v>3</v>
      </c>
    </row>
    <row r="6829" spans="1:6" ht="13.2">
      <c r="A6829" t="s">
        <v>7882</v>
      </c>
      <c r="B6829">
        <v>320</v>
      </c>
      <c r="C6829" s="44">
        <v>1430</v>
      </c>
      <c r="D6829" t="s">
        <v>291</v>
      </c>
      <c r="E6829" t="s">
        <v>577</v>
      </c>
      <c r="F6829">
        <v>3</v>
      </c>
    </row>
    <row r="6830" spans="1:6" ht="13.2">
      <c r="A6830" t="s">
        <v>7883</v>
      </c>
      <c r="B6830">
        <v>320</v>
      </c>
      <c r="C6830" s="44">
        <v>1430</v>
      </c>
      <c r="D6830" t="s">
        <v>291</v>
      </c>
      <c r="E6830" t="s">
        <v>577</v>
      </c>
      <c r="F6830">
        <v>3</v>
      </c>
    </row>
    <row r="6831" spans="1:6" ht="13.2">
      <c r="A6831" t="s">
        <v>7884</v>
      </c>
      <c r="B6831">
        <v>320</v>
      </c>
      <c r="C6831" s="44">
        <v>1430</v>
      </c>
      <c r="D6831" t="s">
        <v>291</v>
      </c>
      <c r="E6831" t="s">
        <v>577</v>
      </c>
      <c r="F6831">
        <v>3</v>
      </c>
    </row>
    <row r="6832" spans="1:6" ht="13.2">
      <c r="A6832" t="s">
        <v>7885</v>
      </c>
      <c r="B6832">
        <v>320</v>
      </c>
      <c r="C6832" s="44">
        <v>1430</v>
      </c>
      <c r="D6832" t="s">
        <v>291</v>
      </c>
      <c r="E6832" t="s">
        <v>577</v>
      </c>
      <c r="F6832">
        <v>3</v>
      </c>
    </row>
    <row r="6833" spans="1:6" ht="13.2">
      <c r="A6833" t="s">
        <v>7886</v>
      </c>
      <c r="B6833">
        <v>0</v>
      </c>
      <c r="C6833" s="44" t="s">
        <v>201</v>
      </c>
      <c r="D6833" t="s">
        <v>293</v>
      </c>
      <c r="E6833" t="s">
        <v>4373</v>
      </c>
      <c r="F6833">
        <v>3</v>
      </c>
    </row>
    <row r="6834" spans="1:6" ht="13.2">
      <c r="A6834" t="s">
        <v>7887</v>
      </c>
      <c r="B6834">
        <v>0</v>
      </c>
      <c r="C6834" s="44" t="s">
        <v>201</v>
      </c>
      <c r="D6834" t="s">
        <v>293</v>
      </c>
      <c r="E6834" t="s">
        <v>4373</v>
      </c>
      <c r="F6834">
        <v>3</v>
      </c>
    </row>
    <row r="6835" spans="1:6" ht="13.2">
      <c r="A6835" t="s">
        <v>7888</v>
      </c>
      <c r="B6835">
        <v>0</v>
      </c>
      <c r="C6835" s="44" t="s">
        <v>201</v>
      </c>
      <c r="D6835" t="s">
        <v>293</v>
      </c>
      <c r="E6835" t="s">
        <v>4373</v>
      </c>
      <c r="F6835">
        <v>3</v>
      </c>
    </row>
    <row r="6836" spans="1:6" ht="13.2">
      <c r="A6836" t="s">
        <v>7889</v>
      </c>
      <c r="B6836">
        <v>0</v>
      </c>
      <c r="C6836" s="44" t="s">
        <v>201</v>
      </c>
      <c r="D6836" t="s">
        <v>293</v>
      </c>
      <c r="E6836" t="s">
        <v>4373</v>
      </c>
      <c r="F6836">
        <v>3</v>
      </c>
    </row>
    <row r="6837" spans="1:6" ht="13.2">
      <c r="A6837" t="s">
        <v>7890</v>
      </c>
      <c r="B6837">
        <v>0</v>
      </c>
      <c r="C6837" s="44" t="s">
        <v>201</v>
      </c>
      <c r="D6837" t="s">
        <v>293</v>
      </c>
      <c r="E6837" t="s">
        <v>4373</v>
      </c>
      <c r="F6837">
        <v>3</v>
      </c>
    </row>
    <row r="6838" spans="1:6" ht="13.2">
      <c r="A6838" t="s">
        <v>7891</v>
      </c>
      <c r="B6838">
        <v>0</v>
      </c>
      <c r="C6838" s="44" t="s">
        <v>201</v>
      </c>
      <c r="D6838" t="s">
        <v>293</v>
      </c>
      <c r="E6838" t="s">
        <v>4373</v>
      </c>
      <c r="F6838">
        <v>3</v>
      </c>
    </row>
    <row r="6839" spans="1:6" ht="13.2">
      <c r="A6839" t="s">
        <v>7892</v>
      </c>
      <c r="B6839">
        <v>0</v>
      </c>
      <c r="C6839" s="44" t="s">
        <v>201</v>
      </c>
      <c r="D6839" t="s">
        <v>293</v>
      </c>
      <c r="E6839" t="s">
        <v>4373</v>
      </c>
      <c r="F6839">
        <v>3</v>
      </c>
    </row>
    <row r="6840" spans="1:6" ht="13.2">
      <c r="A6840" t="s">
        <v>7893</v>
      </c>
      <c r="B6840">
        <v>0</v>
      </c>
      <c r="C6840" s="44" t="s">
        <v>201</v>
      </c>
      <c r="D6840" t="s">
        <v>293</v>
      </c>
      <c r="E6840" t="s">
        <v>4373</v>
      </c>
      <c r="F6840">
        <v>3</v>
      </c>
    </row>
    <row r="6841" spans="1:6" ht="13.2">
      <c r="A6841" t="s">
        <v>7894</v>
      </c>
      <c r="B6841">
        <v>0</v>
      </c>
      <c r="C6841" s="44" t="s">
        <v>201</v>
      </c>
      <c r="D6841" t="s">
        <v>293</v>
      </c>
      <c r="E6841" t="s">
        <v>4373</v>
      </c>
      <c r="F6841">
        <v>3</v>
      </c>
    </row>
    <row r="6842" spans="1:6" ht="13.2">
      <c r="A6842" t="s">
        <v>7895</v>
      </c>
      <c r="B6842">
        <v>0</v>
      </c>
      <c r="C6842" s="44" t="s">
        <v>201</v>
      </c>
      <c r="D6842" t="s">
        <v>293</v>
      </c>
      <c r="E6842" t="s">
        <v>4373</v>
      </c>
      <c r="F6842">
        <v>3</v>
      </c>
    </row>
    <row r="6843" spans="1:6" ht="13.2">
      <c r="A6843" t="s">
        <v>7896</v>
      </c>
      <c r="B6843">
        <v>0</v>
      </c>
      <c r="C6843" s="44" t="s">
        <v>201</v>
      </c>
      <c r="D6843" t="s">
        <v>293</v>
      </c>
      <c r="E6843" t="s">
        <v>4373</v>
      </c>
      <c r="F6843">
        <v>3</v>
      </c>
    </row>
    <row r="6844" spans="1:6" ht="13.2">
      <c r="A6844" t="s">
        <v>7897</v>
      </c>
      <c r="B6844">
        <v>0</v>
      </c>
      <c r="C6844" s="44" t="s">
        <v>201</v>
      </c>
      <c r="D6844" t="s">
        <v>293</v>
      </c>
      <c r="E6844" t="s">
        <v>4373</v>
      </c>
      <c r="F6844">
        <v>3</v>
      </c>
    </row>
    <row r="6845" spans="1:6" ht="13.2">
      <c r="A6845" t="s">
        <v>7898</v>
      </c>
      <c r="B6845">
        <v>0</v>
      </c>
      <c r="C6845" s="44" t="s">
        <v>201</v>
      </c>
      <c r="D6845" t="s">
        <v>293</v>
      </c>
      <c r="E6845" t="s">
        <v>4373</v>
      </c>
      <c r="F6845">
        <v>3</v>
      </c>
    </row>
    <row r="6846" spans="1:6" ht="13.2">
      <c r="A6846" t="s">
        <v>7899</v>
      </c>
      <c r="B6846">
        <v>0</v>
      </c>
      <c r="C6846" s="44" t="s">
        <v>201</v>
      </c>
      <c r="D6846" t="s">
        <v>293</v>
      </c>
      <c r="E6846" t="s">
        <v>4373</v>
      </c>
      <c r="F6846">
        <v>3</v>
      </c>
    </row>
    <row r="6847" spans="1:6" ht="13.2">
      <c r="A6847" t="s">
        <v>7900</v>
      </c>
      <c r="B6847">
        <v>0</v>
      </c>
      <c r="C6847" s="44" t="s">
        <v>201</v>
      </c>
      <c r="D6847" t="s">
        <v>293</v>
      </c>
      <c r="E6847" t="s">
        <v>4373</v>
      </c>
      <c r="F6847">
        <v>3</v>
      </c>
    </row>
    <row r="6848" spans="1:6" ht="13.2">
      <c r="A6848" t="s">
        <v>7901</v>
      </c>
      <c r="B6848">
        <v>0</v>
      </c>
      <c r="C6848" s="44" t="s">
        <v>201</v>
      </c>
      <c r="D6848" t="s">
        <v>293</v>
      </c>
      <c r="E6848" t="s">
        <v>4373</v>
      </c>
      <c r="F6848">
        <v>3</v>
      </c>
    </row>
    <row r="6849" spans="1:6" ht="13.2">
      <c r="A6849" t="s">
        <v>7902</v>
      </c>
      <c r="B6849">
        <v>0</v>
      </c>
      <c r="C6849" s="44" t="s">
        <v>201</v>
      </c>
      <c r="D6849" t="s">
        <v>293</v>
      </c>
      <c r="E6849" t="s">
        <v>4373</v>
      </c>
      <c r="F6849">
        <v>3</v>
      </c>
    </row>
    <row r="6850" spans="1:6" ht="13.2">
      <c r="A6850" t="s">
        <v>7903</v>
      </c>
      <c r="B6850">
        <v>0</v>
      </c>
      <c r="C6850" s="44" t="s">
        <v>201</v>
      </c>
      <c r="D6850" t="s">
        <v>293</v>
      </c>
      <c r="E6850" t="s">
        <v>4373</v>
      </c>
      <c r="F6850">
        <v>3</v>
      </c>
    </row>
    <row r="6851" spans="1:6" ht="13.2">
      <c r="A6851" t="s">
        <v>7904</v>
      </c>
      <c r="B6851">
        <v>0</v>
      </c>
      <c r="C6851" s="44" t="s">
        <v>201</v>
      </c>
      <c r="D6851" t="s">
        <v>293</v>
      </c>
      <c r="E6851" t="s">
        <v>4373</v>
      </c>
      <c r="F6851">
        <v>3</v>
      </c>
    </row>
    <row r="6852" spans="1:6" ht="13.2">
      <c r="A6852" t="s">
        <v>7905</v>
      </c>
      <c r="B6852">
        <v>0</v>
      </c>
      <c r="C6852" s="44" t="s">
        <v>201</v>
      </c>
      <c r="D6852" t="s">
        <v>293</v>
      </c>
      <c r="E6852" t="s">
        <v>4373</v>
      </c>
      <c r="F6852">
        <v>3</v>
      </c>
    </row>
    <row r="6853" spans="1:6" ht="13.2">
      <c r="A6853" t="s">
        <v>7906</v>
      </c>
      <c r="B6853">
        <v>0</v>
      </c>
      <c r="C6853" s="44" t="s">
        <v>201</v>
      </c>
      <c r="D6853" t="s">
        <v>293</v>
      </c>
      <c r="E6853" t="s">
        <v>4373</v>
      </c>
      <c r="F6853">
        <v>3</v>
      </c>
    </row>
    <row r="6854" spans="1:6" ht="13.2">
      <c r="A6854" t="s">
        <v>7907</v>
      </c>
      <c r="B6854">
        <v>0</v>
      </c>
      <c r="C6854" s="44" t="s">
        <v>201</v>
      </c>
      <c r="D6854" t="s">
        <v>293</v>
      </c>
      <c r="E6854" t="s">
        <v>4373</v>
      </c>
      <c r="F6854">
        <v>3</v>
      </c>
    </row>
    <row r="6855" spans="1:6" ht="13.2">
      <c r="A6855" t="s">
        <v>7908</v>
      </c>
      <c r="B6855">
        <v>0</v>
      </c>
      <c r="C6855" s="44" t="s">
        <v>201</v>
      </c>
      <c r="D6855" t="s">
        <v>293</v>
      </c>
      <c r="E6855" t="s">
        <v>4373</v>
      </c>
      <c r="F6855">
        <v>3</v>
      </c>
    </row>
    <row r="6856" spans="1:6" ht="13.2">
      <c r="A6856" t="s">
        <v>7909</v>
      </c>
      <c r="B6856">
        <v>625</v>
      </c>
      <c r="C6856" s="44">
        <v>1400</v>
      </c>
      <c r="D6856" t="s">
        <v>291</v>
      </c>
      <c r="E6856" t="s">
        <v>577</v>
      </c>
      <c r="F6856">
        <v>7</v>
      </c>
    </row>
    <row r="6857" spans="1:6" ht="13.2">
      <c r="A6857" t="s">
        <v>7910</v>
      </c>
      <c r="B6857">
        <v>625</v>
      </c>
      <c r="C6857" s="44">
        <v>1400</v>
      </c>
      <c r="D6857" t="s">
        <v>291</v>
      </c>
      <c r="E6857" t="s">
        <v>577</v>
      </c>
      <c r="F6857">
        <v>7</v>
      </c>
    </row>
    <row r="6858" spans="1:6" ht="13.2">
      <c r="A6858" t="s">
        <v>7911</v>
      </c>
      <c r="B6858">
        <v>625</v>
      </c>
      <c r="C6858" s="44">
        <v>1400</v>
      </c>
      <c r="D6858" t="s">
        <v>291</v>
      </c>
      <c r="E6858" t="s">
        <v>577</v>
      </c>
      <c r="F6858">
        <v>7</v>
      </c>
    </row>
    <row r="6859" spans="1:6" ht="13.2">
      <c r="A6859" t="s">
        <v>7912</v>
      </c>
      <c r="B6859">
        <v>625</v>
      </c>
      <c r="C6859" s="44">
        <v>1400</v>
      </c>
      <c r="D6859" t="s">
        <v>291</v>
      </c>
      <c r="E6859" t="s">
        <v>577</v>
      </c>
      <c r="F6859">
        <v>7</v>
      </c>
    </row>
    <row r="6860" spans="1:6" ht="13.2">
      <c r="A6860" t="s">
        <v>7913</v>
      </c>
      <c r="B6860">
        <v>625</v>
      </c>
      <c r="C6860" s="44">
        <v>1400</v>
      </c>
      <c r="D6860" t="s">
        <v>291</v>
      </c>
      <c r="E6860" t="s">
        <v>577</v>
      </c>
      <c r="F6860">
        <v>7</v>
      </c>
    </row>
    <row r="6861" spans="1:6" ht="13.2">
      <c r="A6861" t="s">
        <v>7914</v>
      </c>
      <c r="B6861">
        <v>625</v>
      </c>
      <c r="C6861" s="44">
        <v>1400</v>
      </c>
      <c r="D6861" t="s">
        <v>291</v>
      </c>
      <c r="E6861" t="s">
        <v>577</v>
      </c>
      <c r="F6861">
        <v>7</v>
      </c>
    </row>
    <row r="6862" spans="1:6" ht="13.2">
      <c r="A6862" t="s">
        <v>7915</v>
      </c>
      <c r="B6862">
        <v>160</v>
      </c>
      <c r="C6862" s="44">
        <v>1400</v>
      </c>
      <c r="D6862" t="s">
        <v>291</v>
      </c>
      <c r="E6862" t="s">
        <v>577</v>
      </c>
      <c r="F6862">
        <v>4</v>
      </c>
    </row>
    <row r="6863" spans="1:6" ht="13.2">
      <c r="A6863" t="s">
        <v>7916</v>
      </c>
      <c r="B6863">
        <v>160</v>
      </c>
      <c r="C6863" s="44">
        <v>1400</v>
      </c>
      <c r="D6863" t="s">
        <v>291</v>
      </c>
      <c r="E6863" t="s">
        <v>577</v>
      </c>
      <c r="F6863">
        <v>4</v>
      </c>
    </row>
    <row r="6864" spans="1:6" ht="13.2">
      <c r="A6864" t="s">
        <v>7917</v>
      </c>
      <c r="B6864">
        <v>160</v>
      </c>
      <c r="C6864" s="44">
        <v>1400</v>
      </c>
      <c r="D6864" t="s">
        <v>291</v>
      </c>
      <c r="E6864" t="s">
        <v>577</v>
      </c>
      <c r="F6864">
        <v>4</v>
      </c>
    </row>
    <row r="6865" spans="1:6" ht="13.2">
      <c r="A6865" t="s">
        <v>7918</v>
      </c>
      <c r="B6865">
        <v>160</v>
      </c>
      <c r="C6865" s="44">
        <v>1400</v>
      </c>
      <c r="D6865" t="s">
        <v>291</v>
      </c>
      <c r="E6865" t="s">
        <v>577</v>
      </c>
      <c r="F6865">
        <v>4</v>
      </c>
    </row>
    <row r="6866" spans="1:6" ht="13.2">
      <c r="A6866" t="s">
        <v>7919</v>
      </c>
      <c r="B6866">
        <v>160</v>
      </c>
      <c r="C6866" s="44">
        <v>1400</v>
      </c>
      <c r="D6866" t="s">
        <v>291</v>
      </c>
      <c r="E6866" t="s">
        <v>577</v>
      </c>
      <c r="F6866">
        <v>4</v>
      </c>
    </row>
    <row r="6867" spans="1:6" ht="13.2">
      <c r="A6867" t="s">
        <v>7920</v>
      </c>
      <c r="B6867">
        <v>160</v>
      </c>
      <c r="C6867" s="44">
        <v>1400</v>
      </c>
      <c r="D6867" t="s">
        <v>291</v>
      </c>
      <c r="E6867" t="s">
        <v>577</v>
      </c>
      <c r="F6867">
        <v>4</v>
      </c>
    </row>
    <row r="6868" spans="1:6" ht="13.2">
      <c r="A6868" t="s">
        <v>7921</v>
      </c>
      <c r="B6868">
        <v>160</v>
      </c>
      <c r="C6868" s="44">
        <v>1400</v>
      </c>
      <c r="D6868" t="s">
        <v>291</v>
      </c>
      <c r="E6868" t="s">
        <v>577</v>
      </c>
      <c r="F6868">
        <v>4</v>
      </c>
    </row>
    <row r="6869" spans="1:6" ht="13.2">
      <c r="A6869" t="s">
        <v>7922</v>
      </c>
      <c r="B6869">
        <v>160</v>
      </c>
      <c r="C6869" s="44">
        <v>1400</v>
      </c>
      <c r="D6869" t="s">
        <v>291</v>
      </c>
      <c r="E6869" t="s">
        <v>577</v>
      </c>
      <c r="F6869">
        <v>4</v>
      </c>
    </row>
    <row r="6870" spans="1:6" ht="13.2">
      <c r="A6870" t="s">
        <v>7923</v>
      </c>
      <c r="B6870">
        <v>160</v>
      </c>
      <c r="C6870" s="44">
        <v>1400</v>
      </c>
      <c r="D6870" t="s">
        <v>291</v>
      </c>
      <c r="E6870" t="s">
        <v>577</v>
      </c>
      <c r="F6870">
        <v>4</v>
      </c>
    </row>
    <row r="6871" spans="1:6" ht="13.2">
      <c r="A6871" t="s">
        <v>8165</v>
      </c>
      <c r="B6871">
        <v>11</v>
      </c>
      <c r="C6871" s="44">
        <v>3200</v>
      </c>
      <c r="D6871" t="s">
        <v>293</v>
      </c>
      <c r="E6871" t="s">
        <v>7674</v>
      </c>
      <c r="F6871">
        <v>4</v>
      </c>
    </row>
    <row r="6872" spans="1:6" ht="13.2">
      <c r="A6872" t="s">
        <v>8166</v>
      </c>
      <c r="B6872">
        <v>11</v>
      </c>
      <c r="C6872" s="44">
        <v>3200</v>
      </c>
      <c r="D6872" t="s">
        <v>293</v>
      </c>
      <c r="E6872" t="s">
        <v>7674</v>
      </c>
      <c r="F6872">
        <v>4</v>
      </c>
    </row>
    <row r="6873" spans="1:6" ht="13.2">
      <c r="A6873" t="s">
        <v>8167</v>
      </c>
      <c r="B6873">
        <v>11</v>
      </c>
      <c r="C6873" s="44">
        <v>3200</v>
      </c>
      <c r="D6873" t="s">
        <v>293</v>
      </c>
      <c r="E6873" t="s">
        <v>7674</v>
      </c>
      <c r="F6873">
        <v>4</v>
      </c>
    </row>
    <row r="6874" spans="1:6" ht="13.2">
      <c r="A6874" t="s">
        <v>8168</v>
      </c>
      <c r="B6874">
        <v>11</v>
      </c>
      <c r="C6874" s="44">
        <v>3200</v>
      </c>
      <c r="D6874" t="s">
        <v>293</v>
      </c>
      <c r="E6874" t="s">
        <v>7674</v>
      </c>
      <c r="F6874">
        <v>4</v>
      </c>
    </row>
    <row r="6875" spans="1:6" ht="13.2">
      <c r="A6875" t="s">
        <v>8169</v>
      </c>
      <c r="B6875">
        <v>11</v>
      </c>
      <c r="C6875" s="44">
        <v>3200</v>
      </c>
      <c r="D6875" t="s">
        <v>293</v>
      </c>
      <c r="E6875" t="s">
        <v>7674</v>
      </c>
      <c r="F6875">
        <v>4</v>
      </c>
    </row>
    <row r="6876" spans="1:6" ht="13.2">
      <c r="A6876" t="s">
        <v>8170</v>
      </c>
      <c r="B6876">
        <v>11</v>
      </c>
      <c r="C6876" s="44">
        <v>3200</v>
      </c>
      <c r="D6876" t="s">
        <v>293</v>
      </c>
      <c r="E6876" t="s">
        <v>7674</v>
      </c>
      <c r="F6876">
        <v>4</v>
      </c>
    </row>
    <row r="6877" spans="1:6" ht="13.2">
      <c r="A6877" t="s">
        <v>8171</v>
      </c>
      <c r="B6877">
        <v>11</v>
      </c>
      <c r="C6877" s="44">
        <v>3200</v>
      </c>
      <c r="D6877" t="s">
        <v>293</v>
      </c>
      <c r="E6877" t="s">
        <v>7674</v>
      </c>
      <c r="F6877">
        <v>4</v>
      </c>
    </row>
    <row r="6878" spans="1:6" ht="13.2">
      <c r="A6878" t="s">
        <v>8172</v>
      </c>
      <c r="B6878">
        <v>11</v>
      </c>
      <c r="C6878" s="44">
        <v>3200</v>
      </c>
      <c r="D6878" t="s">
        <v>293</v>
      </c>
      <c r="E6878" t="s">
        <v>7674</v>
      </c>
      <c r="F6878">
        <v>4</v>
      </c>
    </row>
    <row r="6879" spans="1:6" ht="13.2">
      <c r="A6879" t="s">
        <v>8173</v>
      </c>
      <c r="B6879">
        <v>11</v>
      </c>
      <c r="C6879" s="44">
        <v>3200</v>
      </c>
      <c r="D6879" t="s">
        <v>293</v>
      </c>
      <c r="E6879" t="s">
        <v>7674</v>
      </c>
      <c r="F6879">
        <v>4</v>
      </c>
    </row>
    <row r="6880" spans="1:6" ht="13.2">
      <c r="A6880" t="s">
        <v>8174</v>
      </c>
      <c r="B6880">
        <v>695</v>
      </c>
      <c r="C6880" s="44">
        <v>1400</v>
      </c>
      <c r="D6880" t="s">
        <v>291</v>
      </c>
      <c r="E6880" t="s">
        <v>8175</v>
      </c>
      <c r="F6880">
        <v>3</v>
      </c>
    </row>
    <row r="6881" spans="1:6" ht="13.2">
      <c r="A6881" t="s">
        <v>8176</v>
      </c>
      <c r="B6881">
        <v>695</v>
      </c>
      <c r="C6881" s="44">
        <v>1400</v>
      </c>
      <c r="D6881" t="s">
        <v>291</v>
      </c>
      <c r="E6881" t="s">
        <v>8175</v>
      </c>
      <c r="F6881">
        <v>3</v>
      </c>
    </row>
    <row r="6882" spans="1:6" ht="13.2">
      <c r="A6882" t="s">
        <v>8177</v>
      </c>
      <c r="B6882">
        <v>170</v>
      </c>
      <c r="C6882" s="44">
        <v>1380</v>
      </c>
      <c r="D6882" t="s">
        <v>291</v>
      </c>
      <c r="E6882" t="s">
        <v>8178</v>
      </c>
      <c r="F6882">
        <v>4</v>
      </c>
    </row>
    <row r="6883" spans="1:6" ht="13.2">
      <c r="A6883" t="s">
        <v>8179</v>
      </c>
      <c r="B6883">
        <v>170</v>
      </c>
      <c r="C6883" s="44">
        <v>1380</v>
      </c>
      <c r="D6883" t="s">
        <v>291</v>
      </c>
      <c r="E6883" t="s">
        <v>8178</v>
      </c>
      <c r="F6883">
        <v>4</v>
      </c>
    </row>
    <row r="6884" spans="1:6" ht="13.2">
      <c r="A6884" t="s">
        <v>8180</v>
      </c>
      <c r="B6884">
        <v>170</v>
      </c>
      <c r="C6884" s="44">
        <v>1380</v>
      </c>
      <c r="D6884" t="s">
        <v>291</v>
      </c>
      <c r="E6884" t="s">
        <v>8178</v>
      </c>
      <c r="F6884">
        <v>4</v>
      </c>
    </row>
    <row r="6885" spans="1:6" ht="13.2">
      <c r="A6885" t="s">
        <v>8181</v>
      </c>
      <c r="B6885">
        <v>170</v>
      </c>
      <c r="C6885" s="44">
        <v>1380</v>
      </c>
      <c r="D6885" t="s">
        <v>291</v>
      </c>
      <c r="E6885" t="s">
        <v>8178</v>
      </c>
      <c r="F6885">
        <v>4</v>
      </c>
    </row>
    <row r="6886" spans="1:6" ht="13.2">
      <c r="A6886" t="s">
        <v>8182</v>
      </c>
      <c r="B6886">
        <v>170</v>
      </c>
      <c r="C6886" s="44">
        <v>1380</v>
      </c>
      <c r="D6886" t="s">
        <v>291</v>
      </c>
      <c r="E6886" t="s">
        <v>8178</v>
      </c>
      <c r="F6886">
        <v>4</v>
      </c>
    </row>
    <row r="6887" spans="1:6" ht="13.2">
      <c r="A6887" t="s">
        <v>8183</v>
      </c>
      <c r="B6887">
        <v>170</v>
      </c>
      <c r="C6887" s="44">
        <v>1380</v>
      </c>
      <c r="D6887" t="s">
        <v>291</v>
      </c>
      <c r="E6887" t="s">
        <v>8178</v>
      </c>
      <c r="F6887">
        <v>4</v>
      </c>
    </row>
    <row r="6888" spans="1:6" ht="13.2">
      <c r="A6888" t="s">
        <v>8184</v>
      </c>
      <c r="B6888">
        <v>170</v>
      </c>
      <c r="C6888" s="44">
        <v>1380</v>
      </c>
      <c r="D6888" t="s">
        <v>291</v>
      </c>
      <c r="E6888" t="s">
        <v>8178</v>
      </c>
      <c r="F6888">
        <v>4</v>
      </c>
    </row>
    <row r="6889" spans="1:6" ht="13.2">
      <c r="A6889" t="s">
        <v>8185</v>
      </c>
      <c r="B6889">
        <v>300</v>
      </c>
      <c r="C6889" s="44" t="s">
        <v>204</v>
      </c>
      <c r="D6889" t="s">
        <v>291</v>
      </c>
      <c r="E6889" t="s">
        <v>364</v>
      </c>
      <c r="F6889">
        <v>3</v>
      </c>
    </row>
    <row r="6890" spans="1:6" ht="13.2">
      <c r="A6890" t="s">
        <v>8186</v>
      </c>
      <c r="B6890">
        <v>300</v>
      </c>
      <c r="C6890" s="44" t="s">
        <v>204</v>
      </c>
      <c r="D6890" t="s">
        <v>291</v>
      </c>
      <c r="E6890" t="s">
        <v>364</v>
      </c>
      <c r="F6890">
        <v>3</v>
      </c>
    </row>
    <row r="6891" spans="1:6" ht="13.2">
      <c r="A6891" t="s">
        <v>8188</v>
      </c>
      <c r="B6891">
        <v>0</v>
      </c>
      <c r="C6891" s="44" t="s">
        <v>201</v>
      </c>
      <c r="D6891" t="s">
        <v>293</v>
      </c>
      <c r="E6891" t="s">
        <v>7674</v>
      </c>
      <c r="F6891">
        <v>4</v>
      </c>
    </row>
    <row r="6892" spans="1:6" ht="13.2">
      <c r="A6892" t="s">
        <v>8189</v>
      </c>
      <c r="B6892">
        <v>0</v>
      </c>
      <c r="C6892" s="44" t="s">
        <v>201</v>
      </c>
      <c r="D6892" t="s">
        <v>293</v>
      </c>
      <c r="E6892" t="s">
        <v>7674</v>
      </c>
      <c r="F6892">
        <v>4</v>
      </c>
    </row>
    <row r="6893" spans="1:6" ht="13.2">
      <c r="A6893" t="s">
        <v>8190</v>
      </c>
      <c r="B6893">
        <v>0</v>
      </c>
      <c r="C6893" s="44" t="s">
        <v>201</v>
      </c>
      <c r="D6893" t="s">
        <v>293</v>
      </c>
      <c r="E6893" t="s">
        <v>7674</v>
      </c>
      <c r="F6893">
        <v>4</v>
      </c>
    </row>
    <row r="6894" spans="1:6" ht="13.2">
      <c r="A6894" t="s">
        <v>8191</v>
      </c>
      <c r="B6894">
        <v>0</v>
      </c>
      <c r="C6894" s="44" t="s">
        <v>201</v>
      </c>
      <c r="D6894" t="s">
        <v>293</v>
      </c>
      <c r="E6894" t="s">
        <v>7674</v>
      </c>
      <c r="F6894">
        <v>4</v>
      </c>
    </row>
    <row r="6895" spans="1:6" ht="13.2">
      <c r="A6895" t="s">
        <v>8192</v>
      </c>
      <c r="B6895">
        <v>0</v>
      </c>
      <c r="C6895" s="44" t="s">
        <v>201</v>
      </c>
      <c r="D6895" t="s">
        <v>293</v>
      </c>
      <c r="E6895" t="s">
        <v>7674</v>
      </c>
      <c r="F6895">
        <v>4</v>
      </c>
    </row>
    <row r="6896" spans="1:6" ht="13.2">
      <c r="A6896" t="s">
        <v>8193</v>
      </c>
      <c r="B6896">
        <v>0</v>
      </c>
      <c r="C6896" s="44" t="s">
        <v>201</v>
      </c>
      <c r="D6896" t="s">
        <v>293</v>
      </c>
      <c r="E6896" t="s">
        <v>7674</v>
      </c>
      <c r="F6896">
        <v>4</v>
      </c>
    </row>
    <row r="6897" spans="1:6" ht="13.2">
      <c r="A6897" t="s">
        <v>8194</v>
      </c>
      <c r="B6897">
        <v>0</v>
      </c>
      <c r="C6897" s="44" t="s">
        <v>201</v>
      </c>
      <c r="D6897" t="s">
        <v>293</v>
      </c>
      <c r="E6897" t="s">
        <v>7674</v>
      </c>
      <c r="F6897">
        <v>4</v>
      </c>
    </row>
    <row r="6898" spans="1:6" ht="13.2">
      <c r="A6898" t="s">
        <v>8195</v>
      </c>
      <c r="B6898">
        <v>0</v>
      </c>
      <c r="C6898" s="44" t="s">
        <v>201</v>
      </c>
      <c r="D6898" t="s">
        <v>293</v>
      </c>
      <c r="E6898" t="s">
        <v>7674</v>
      </c>
      <c r="F6898">
        <v>4</v>
      </c>
    </row>
    <row r="6899" spans="1:6" ht="13.2">
      <c r="A6899" t="s">
        <v>8196</v>
      </c>
      <c r="B6899">
        <v>200</v>
      </c>
      <c r="C6899" s="44">
        <v>1380</v>
      </c>
      <c r="D6899" t="s">
        <v>291</v>
      </c>
      <c r="E6899" t="s">
        <v>7674</v>
      </c>
      <c r="F6899">
        <v>4</v>
      </c>
    </row>
    <row r="6900" spans="1:6" ht="13.2">
      <c r="A6900" t="s">
        <v>8197</v>
      </c>
      <c r="B6900">
        <v>200</v>
      </c>
      <c r="C6900" s="44">
        <v>1380</v>
      </c>
      <c r="D6900" t="s">
        <v>291</v>
      </c>
      <c r="E6900" t="s">
        <v>7674</v>
      </c>
      <c r="F6900">
        <v>4</v>
      </c>
    </row>
    <row r="6901" spans="1:6" ht="13.2">
      <c r="A6901" t="s">
        <v>8198</v>
      </c>
      <c r="B6901">
        <v>200</v>
      </c>
      <c r="C6901" s="44">
        <v>1380</v>
      </c>
      <c r="D6901" t="s">
        <v>291</v>
      </c>
      <c r="E6901" t="s">
        <v>7674</v>
      </c>
      <c r="F6901">
        <v>4</v>
      </c>
    </row>
    <row r="6902" spans="1:6" ht="13.2">
      <c r="A6902" t="s">
        <v>8199</v>
      </c>
      <c r="B6902">
        <v>200</v>
      </c>
      <c r="C6902" s="44">
        <v>1380</v>
      </c>
      <c r="D6902" t="s">
        <v>291</v>
      </c>
      <c r="E6902" t="s">
        <v>7674</v>
      </c>
      <c r="F6902">
        <v>4</v>
      </c>
    </row>
    <row r="6903" spans="1:6" ht="13.2">
      <c r="A6903" t="s">
        <v>8200</v>
      </c>
      <c r="B6903">
        <v>200</v>
      </c>
      <c r="C6903" s="44">
        <v>1380</v>
      </c>
      <c r="D6903" t="s">
        <v>291</v>
      </c>
      <c r="E6903" t="s">
        <v>7674</v>
      </c>
      <c r="F6903">
        <v>4</v>
      </c>
    </row>
    <row r="6904" spans="1:6" ht="13.2">
      <c r="A6904" t="s">
        <v>8201</v>
      </c>
      <c r="B6904">
        <v>0</v>
      </c>
      <c r="C6904" s="44">
        <v>3000</v>
      </c>
      <c r="D6904" t="s">
        <v>293</v>
      </c>
      <c r="E6904" t="s">
        <v>8202</v>
      </c>
      <c r="F6904">
        <v>4</v>
      </c>
    </row>
    <row r="6905" spans="1:6" ht="13.2">
      <c r="A6905" t="s">
        <v>8203</v>
      </c>
      <c r="B6905">
        <v>0</v>
      </c>
      <c r="C6905" s="44">
        <v>3000</v>
      </c>
      <c r="D6905" t="s">
        <v>293</v>
      </c>
      <c r="E6905" t="s">
        <v>8202</v>
      </c>
      <c r="F6905">
        <v>4</v>
      </c>
    </row>
    <row r="6906" spans="1:6" ht="13.2">
      <c r="A6906" t="s">
        <v>8204</v>
      </c>
      <c r="B6906">
        <v>0</v>
      </c>
      <c r="C6906" s="44">
        <v>3000</v>
      </c>
      <c r="D6906" t="s">
        <v>293</v>
      </c>
      <c r="E6906" t="s">
        <v>8202</v>
      </c>
      <c r="F6906">
        <v>4</v>
      </c>
    </row>
    <row r="6907" spans="1:6" ht="13.2">
      <c r="A6907" t="s">
        <v>8205</v>
      </c>
      <c r="B6907">
        <v>0</v>
      </c>
      <c r="C6907" s="44">
        <v>3000</v>
      </c>
      <c r="D6907" t="s">
        <v>293</v>
      </c>
      <c r="E6907" t="s">
        <v>8202</v>
      </c>
      <c r="F6907">
        <v>4</v>
      </c>
    </row>
    <row r="6908" spans="1:6" ht="13.2">
      <c r="A6908" t="s">
        <v>8206</v>
      </c>
      <c r="B6908">
        <v>0</v>
      </c>
      <c r="C6908" s="44">
        <v>3000</v>
      </c>
      <c r="D6908" t="s">
        <v>293</v>
      </c>
      <c r="E6908" t="s">
        <v>8202</v>
      </c>
      <c r="F6908">
        <v>4</v>
      </c>
    </row>
    <row r="6909" spans="1:6" ht="13.2">
      <c r="A6909" t="s">
        <v>8207</v>
      </c>
      <c r="B6909">
        <v>0</v>
      </c>
      <c r="C6909" s="44">
        <v>3000</v>
      </c>
      <c r="D6909" t="s">
        <v>293</v>
      </c>
      <c r="E6909" t="s">
        <v>8202</v>
      </c>
      <c r="F6909">
        <v>4</v>
      </c>
    </row>
    <row r="6910" spans="1:6" ht="13.2">
      <c r="A6910" t="s">
        <v>8208</v>
      </c>
      <c r="B6910">
        <v>0</v>
      </c>
      <c r="C6910" s="44">
        <v>3000</v>
      </c>
      <c r="D6910" t="s">
        <v>293</v>
      </c>
      <c r="E6910" t="s">
        <v>8202</v>
      </c>
      <c r="F6910">
        <v>4</v>
      </c>
    </row>
    <row r="6911" spans="1:6" ht="13.2">
      <c r="A6911" t="s">
        <v>8209</v>
      </c>
      <c r="B6911">
        <v>0</v>
      </c>
      <c r="C6911" s="44">
        <v>3000</v>
      </c>
      <c r="D6911" t="s">
        <v>293</v>
      </c>
      <c r="E6911" t="s">
        <v>8202</v>
      </c>
      <c r="F6911">
        <v>4</v>
      </c>
    </row>
    <row r="6912" spans="1:6" ht="13.2">
      <c r="A6912" t="s">
        <v>8210</v>
      </c>
      <c r="B6912">
        <v>0</v>
      </c>
      <c r="C6912" s="44">
        <v>3000</v>
      </c>
      <c r="D6912" t="s">
        <v>293</v>
      </c>
      <c r="E6912" t="s">
        <v>8202</v>
      </c>
      <c r="F6912">
        <v>4</v>
      </c>
    </row>
    <row r="6913" spans="1:6" ht="13.2">
      <c r="A6913" t="s">
        <v>8211</v>
      </c>
      <c r="B6913">
        <v>0</v>
      </c>
      <c r="C6913" s="44">
        <v>3000</v>
      </c>
      <c r="D6913" t="s">
        <v>293</v>
      </c>
      <c r="E6913" t="s">
        <v>8202</v>
      </c>
      <c r="F6913">
        <v>4</v>
      </c>
    </row>
    <row r="6914" spans="1:6" ht="13.2">
      <c r="A6914" t="s">
        <v>8212</v>
      </c>
      <c r="B6914">
        <v>0</v>
      </c>
      <c r="C6914" s="44">
        <v>3000</v>
      </c>
      <c r="D6914" t="s">
        <v>293</v>
      </c>
      <c r="E6914" t="s">
        <v>8202</v>
      </c>
      <c r="F6914">
        <v>4</v>
      </c>
    </row>
    <row r="6915" spans="1:6" ht="13.2">
      <c r="A6915" t="s">
        <v>8213</v>
      </c>
      <c r="B6915">
        <v>0</v>
      </c>
      <c r="C6915" s="44">
        <v>3000</v>
      </c>
      <c r="D6915" t="s">
        <v>293</v>
      </c>
      <c r="E6915" t="s">
        <v>8202</v>
      </c>
      <c r="F6915">
        <v>4</v>
      </c>
    </row>
    <row r="6916" spans="1:6" ht="13.2">
      <c r="A6916" t="s">
        <v>8214</v>
      </c>
      <c r="B6916">
        <v>0</v>
      </c>
      <c r="C6916" s="44">
        <v>3000</v>
      </c>
      <c r="D6916" t="s">
        <v>293</v>
      </c>
      <c r="E6916" t="s">
        <v>8202</v>
      </c>
      <c r="F6916">
        <v>4</v>
      </c>
    </row>
    <row r="6917" spans="1:6" ht="13.2">
      <c r="A6917" t="s">
        <v>8215</v>
      </c>
      <c r="B6917">
        <v>0</v>
      </c>
      <c r="C6917" s="44">
        <v>3000</v>
      </c>
      <c r="D6917" t="s">
        <v>293</v>
      </c>
      <c r="E6917" t="s">
        <v>8202</v>
      </c>
      <c r="F6917">
        <v>4</v>
      </c>
    </row>
    <row r="6918" spans="1:6" ht="13.2">
      <c r="A6918" t="s">
        <v>8216</v>
      </c>
      <c r="B6918">
        <v>0</v>
      </c>
      <c r="C6918" s="44">
        <v>3000</v>
      </c>
      <c r="D6918" t="s">
        <v>293</v>
      </c>
      <c r="E6918" t="s">
        <v>8202</v>
      </c>
      <c r="F6918">
        <v>4</v>
      </c>
    </row>
    <row r="6919" spans="1:6" ht="13.2">
      <c r="A6919" t="s">
        <v>8217</v>
      </c>
      <c r="B6919">
        <v>0</v>
      </c>
      <c r="C6919" s="44">
        <v>3000</v>
      </c>
      <c r="D6919" t="s">
        <v>293</v>
      </c>
      <c r="E6919" t="s">
        <v>8202</v>
      </c>
      <c r="F6919">
        <v>4</v>
      </c>
    </row>
    <row r="6920" spans="1:6" ht="13.2">
      <c r="A6920" t="s">
        <v>8218</v>
      </c>
      <c r="B6920">
        <v>0</v>
      </c>
      <c r="C6920" s="44">
        <v>2760</v>
      </c>
      <c r="D6920" t="s">
        <v>291</v>
      </c>
      <c r="E6920" t="s">
        <v>7674</v>
      </c>
      <c r="F6920">
        <v>4</v>
      </c>
    </row>
    <row r="6921" spans="1:6" ht="13.2">
      <c r="A6921" t="s">
        <v>8219</v>
      </c>
      <c r="B6921">
        <v>0</v>
      </c>
      <c r="C6921" s="44">
        <v>2760</v>
      </c>
      <c r="D6921" t="s">
        <v>291</v>
      </c>
      <c r="E6921" t="s">
        <v>7674</v>
      </c>
      <c r="F6921">
        <v>4</v>
      </c>
    </row>
    <row r="6922" spans="1:6" ht="13.2">
      <c r="A6922" t="s">
        <v>8220</v>
      </c>
      <c r="B6922">
        <v>0</v>
      </c>
      <c r="C6922" s="44">
        <v>2760</v>
      </c>
      <c r="D6922" t="s">
        <v>291</v>
      </c>
      <c r="E6922" t="s">
        <v>7674</v>
      </c>
      <c r="F6922">
        <v>4</v>
      </c>
    </row>
    <row r="6923" spans="1:6" ht="13.2">
      <c r="A6923" t="s">
        <v>8221</v>
      </c>
      <c r="B6923">
        <v>0</v>
      </c>
      <c r="C6923" s="44">
        <v>2760</v>
      </c>
      <c r="D6923" t="s">
        <v>291</v>
      </c>
      <c r="E6923" t="s">
        <v>7674</v>
      </c>
      <c r="F6923">
        <v>4</v>
      </c>
    </row>
    <row r="6924" spans="1:6" ht="13.2">
      <c r="A6924" t="s">
        <v>8222</v>
      </c>
      <c r="B6924">
        <v>0</v>
      </c>
      <c r="C6924" s="44">
        <v>2760</v>
      </c>
      <c r="D6924" t="s">
        <v>291</v>
      </c>
      <c r="E6924" t="s">
        <v>7674</v>
      </c>
      <c r="F6924">
        <v>4</v>
      </c>
    </row>
    <row r="6925" spans="1:6" ht="13.2">
      <c r="A6925" t="s">
        <v>8223</v>
      </c>
      <c r="B6925">
        <v>0</v>
      </c>
      <c r="C6925" s="44">
        <v>2760</v>
      </c>
      <c r="D6925" t="s">
        <v>291</v>
      </c>
      <c r="E6925" t="s">
        <v>7674</v>
      </c>
      <c r="F6925">
        <v>4</v>
      </c>
    </row>
    <row r="6926" spans="1:6" ht="13.2">
      <c r="A6926" t="s">
        <v>8224</v>
      </c>
      <c r="B6926">
        <v>0</v>
      </c>
      <c r="C6926" s="44">
        <v>2760</v>
      </c>
      <c r="D6926" t="s">
        <v>291</v>
      </c>
      <c r="E6926" t="s">
        <v>7674</v>
      </c>
      <c r="F6926">
        <v>4</v>
      </c>
    </row>
    <row r="6927" spans="1:6" ht="13.2">
      <c r="A6927" t="s">
        <v>8225</v>
      </c>
      <c r="B6927">
        <v>0</v>
      </c>
      <c r="C6927" s="44">
        <v>2760</v>
      </c>
      <c r="D6927" t="s">
        <v>291</v>
      </c>
      <c r="E6927" t="s">
        <v>7674</v>
      </c>
      <c r="F6927">
        <v>4</v>
      </c>
    </row>
    <row r="6928" spans="1:6" ht="13.2">
      <c r="A6928" t="s">
        <v>8226</v>
      </c>
      <c r="B6928">
        <v>0</v>
      </c>
      <c r="C6928" s="44">
        <v>2760</v>
      </c>
      <c r="D6928" t="s">
        <v>291</v>
      </c>
      <c r="E6928" t="s">
        <v>7674</v>
      </c>
      <c r="F6928">
        <v>4</v>
      </c>
    </row>
    <row r="6929" spans="1:6" ht="13.2">
      <c r="A6929" t="s">
        <v>8227</v>
      </c>
      <c r="B6929">
        <v>0</v>
      </c>
      <c r="C6929" s="44">
        <v>2760</v>
      </c>
      <c r="D6929" t="s">
        <v>291</v>
      </c>
      <c r="E6929" t="s">
        <v>7674</v>
      </c>
      <c r="F6929">
        <v>4</v>
      </c>
    </row>
    <row r="6930" spans="1:6" ht="13.2">
      <c r="A6930" t="s">
        <v>8228</v>
      </c>
      <c r="B6930">
        <v>0</v>
      </c>
      <c r="C6930" s="44">
        <v>2760</v>
      </c>
      <c r="D6930" t="s">
        <v>291</v>
      </c>
      <c r="E6930" t="s">
        <v>7674</v>
      </c>
      <c r="F6930">
        <v>4</v>
      </c>
    </row>
    <row r="6931" spans="1:6" ht="13.2">
      <c r="A6931" t="s">
        <v>8229</v>
      </c>
      <c r="B6931">
        <v>0</v>
      </c>
      <c r="C6931" s="44">
        <v>2760</v>
      </c>
      <c r="D6931" t="s">
        <v>291</v>
      </c>
      <c r="E6931" t="s">
        <v>7674</v>
      </c>
      <c r="F6931">
        <v>4</v>
      </c>
    </row>
    <row r="6932" spans="1:6" ht="13.2">
      <c r="A6932" t="s">
        <v>8230</v>
      </c>
      <c r="B6932">
        <v>0</v>
      </c>
      <c r="C6932" s="44">
        <v>2760</v>
      </c>
      <c r="D6932" t="s">
        <v>291</v>
      </c>
      <c r="E6932" t="s">
        <v>7674</v>
      </c>
      <c r="F6932">
        <v>4</v>
      </c>
    </row>
    <row r="6933" spans="1:6" ht="13.2">
      <c r="A6933" t="s">
        <v>8231</v>
      </c>
      <c r="B6933">
        <v>0</v>
      </c>
      <c r="C6933" s="44">
        <v>2760</v>
      </c>
      <c r="D6933" t="s">
        <v>291</v>
      </c>
      <c r="E6933" t="s">
        <v>7674</v>
      </c>
      <c r="F6933">
        <v>4</v>
      </c>
    </row>
    <row r="6934" spans="1:6" ht="13.2">
      <c r="A6934" t="s">
        <v>8232</v>
      </c>
      <c r="B6934">
        <v>0</v>
      </c>
      <c r="C6934" s="44">
        <v>2760</v>
      </c>
      <c r="D6934" t="s">
        <v>291</v>
      </c>
      <c r="E6934" t="s">
        <v>7674</v>
      </c>
      <c r="F6934">
        <v>4</v>
      </c>
    </row>
    <row r="6935" spans="1:6" ht="13.2">
      <c r="A6935" t="s">
        <v>8233</v>
      </c>
      <c r="B6935">
        <v>0</v>
      </c>
      <c r="C6935" s="44">
        <v>2760</v>
      </c>
      <c r="D6935" t="s">
        <v>291</v>
      </c>
      <c r="E6935" t="s">
        <v>7674</v>
      </c>
      <c r="F6935">
        <v>4</v>
      </c>
    </row>
    <row r="6936" spans="1:6" ht="13.2">
      <c r="A6936" t="s">
        <v>8234</v>
      </c>
      <c r="B6936">
        <v>0</v>
      </c>
      <c r="C6936" s="44">
        <v>2760</v>
      </c>
      <c r="D6936" t="s">
        <v>291</v>
      </c>
      <c r="E6936" t="s">
        <v>7674</v>
      </c>
      <c r="F6936">
        <v>4</v>
      </c>
    </row>
    <row r="6937" spans="1:6" ht="13.2">
      <c r="A6937" t="s">
        <v>8235</v>
      </c>
      <c r="B6937">
        <v>0</v>
      </c>
      <c r="C6937" s="44">
        <v>2760</v>
      </c>
      <c r="D6937" t="s">
        <v>291</v>
      </c>
      <c r="E6937" t="s">
        <v>7674</v>
      </c>
      <c r="F6937">
        <v>4</v>
      </c>
    </row>
    <row r="6938" spans="1:6" ht="13.2">
      <c r="A6938" t="s">
        <v>8236</v>
      </c>
      <c r="B6938">
        <v>0</v>
      </c>
      <c r="C6938" s="44">
        <v>2760</v>
      </c>
      <c r="D6938" t="s">
        <v>291</v>
      </c>
      <c r="E6938" t="s">
        <v>7674</v>
      </c>
      <c r="F6938">
        <v>4</v>
      </c>
    </row>
    <row r="6939" spans="1:6" ht="13.2">
      <c r="A6939" t="s">
        <v>8237</v>
      </c>
      <c r="B6939">
        <v>0</v>
      </c>
      <c r="C6939" s="44">
        <v>2760</v>
      </c>
      <c r="D6939" t="s">
        <v>291</v>
      </c>
      <c r="E6939" t="s">
        <v>7674</v>
      </c>
      <c r="F6939">
        <v>4</v>
      </c>
    </row>
    <row r="6940" spans="1:6" ht="13.2">
      <c r="A6940" t="s">
        <v>8238</v>
      </c>
      <c r="B6940">
        <v>0</v>
      </c>
      <c r="C6940" s="44">
        <v>2760</v>
      </c>
      <c r="D6940" t="s">
        <v>291</v>
      </c>
      <c r="E6940" t="s">
        <v>7674</v>
      </c>
      <c r="F6940">
        <v>4</v>
      </c>
    </row>
    <row r="6941" spans="1:6" ht="13.2">
      <c r="A6941" t="s">
        <v>8239</v>
      </c>
      <c r="B6941">
        <v>0</v>
      </c>
      <c r="C6941" s="44">
        <v>2760</v>
      </c>
      <c r="D6941" t="s">
        <v>291</v>
      </c>
      <c r="E6941" t="s">
        <v>7674</v>
      </c>
      <c r="F6941">
        <v>4</v>
      </c>
    </row>
    <row r="6942" spans="1:6" ht="13.2">
      <c r="A6942" t="s">
        <v>8240</v>
      </c>
      <c r="B6942">
        <v>0</v>
      </c>
      <c r="C6942" s="44">
        <v>2760</v>
      </c>
      <c r="D6942" t="s">
        <v>291</v>
      </c>
      <c r="E6942" t="s">
        <v>7674</v>
      </c>
      <c r="F6942">
        <v>4</v>
      </c>
    </row>
    <row r="6943" spans="1:6" ht="13.2">
      <c r="A6943" t="s">
        <v>8241</v>
      </c>
      <c r="B6943">
        <v>0</v>
      </c>
      <c r="C6943" s="44">
        <v>2760</v>
      </c>
      <c r="D6943" t="s">
        <v>291</v>
      </c>
      <c r="E6943" t="s">
        <v>7674</v>
      </c>
      <c r="F6943">
        <v>4</v>
      </c>
    </row>
    <row r="6944" spans="1:6" ht="13.2">
      <c r="A6944" t="s">
        <v>8242</v>
      </c>
      <c r="B6944">
        <v>350</v>
      </c>
      <c r="C6944" s="44">
        <v>1400</v>
      </c>
      <c r="D6944" t="s">
        <v>291</v>
      </c>
      <c r="E6944" t="s">
        <v>8243</v>
      </c>
      <c r="F6944">
        <v>3</v>
      </c>
    </row>
    <row r="6945" spans="1:6" ht="13.2">
      <c r="A6945" t="s">
        <v>8244</v>
      </c>
      <c r="B6945">
        <v>350</v>
      </c>
      <c r="C6945" s="44">
        <v>1400</v>
      </c>
      <c r="D6945" t="s">
        <v>291</v>
      </c>
      <c r="E6945" t="s">
        <v>8243</v>
      </c>
      <c r="F6945">
        <v>3</v>
      </c>
    </row>
    <row r="6946" spans="1:6" ht="13.2">
      <c r="A6946" t="s">
        <v>8481</v>
      </c>
      <c r="B6946">
        <v>0</v>
      </c>
      <c r="C6946" s="44" t="s">
        <v>201</v>
      </c>
      <c r="D6946" t="s">
        <v>293</v>
      </c>
      <c r="E6946" t="s">
        <v>7674</v>
      </c>
      <c r="F6946">
        <v>4</v>
      </c>
    </row>
    <row r="6947" spans="1:6" ht="13.2">
      <c r="A6947" t="s">
        <v>8482</v>
      </c>
      <c r="B6947">
        <v>0</v>
      </c>
      <c r="C6947" s="44" t="s">
        <v>201</v>
      </c>
      <c r="D6947" t="s">
        <v>293</v>
      </c>
      <c r="E6947" t="s">
        <v>7674</v>
      </c>
      <c r="F6947">
        <v>4</v>
      </c>
    </row>
    <row r="6948" spans="1:6" ht="13.2">
      <c r="A6948" t="s">
        <v>8483</v>
      </c>
      <c r="B6948">
        <v>0</v>
      </c>
      <c r="C6948" s="44" t="s">
        <v>201</v>
      </c>
      <c r="D6948" t="s">
        <v>293</v>
      </c>
      <c r="E6948" t="s">
        <v>7674</v>
      </c>
      <c r="F6948">
        <v>4</v>
      </c>
    </row>
    <row r="6949" spans="1:6" ht="13.2">
      <c r="A6949" t="s">
        <v>8484</v>
      </c>
      <c r="B6949">
        <v>0</v>
      </c>
      <c r="C6949" s="44" t="s">
        <v>201</v>
      </c>
      <c r="D6949" t="s">
        <v>293</v>
      </c>
      <c r="E6949" t="s">
        <v>7674</v>
      </c>
      <c r="F6949">
        <v>4</v>
      </c>
    </row>
    <row r="6950" spans="1:6" ht="13.2">
      <c r="A6950" t="s">
        <v>8485</v>
      </c>
      <c r="B6950">
        <v>0</v>
      </c>
      <c r="C6950" s="44" t="s">
        <v>201</v>
      </c>
      <c r="D6950" t="s">
        <v>293</v>
      </c>
      <c r="E6950" t="s">
        <v>7674</v>
      </c>
      <c r="F6950">
        <v>4</v>
      </c>
    </row>
    <row r="6951" spans="1:6" ht="13.2">
      <c r="A6951" t="s">
        <v>8486</v>
      </c>
      <c r="B6951">
        <v>0</v>
      </c>
      <c r="C6951" s="44" t="s">
        <v>201</v>
      </c>
      <c r="D6951" t="s">
        <v>293</v>
      </c>
      <c r="E6951" t="s">
        <v>7674</v>
      </c>
      <c r="F6951">
        <v>4</v>
      </c>
    </row>
    <row r="6952" spans="1:6" ht="13.2">
      <c r="A6952" t="s">
        <v>8487</v>
      </c>
      <c r="B6952">
        <v>0</v>
      </c>
      <c r="C6952" s="44" t="s">
        <v>201</v>
      </c>
      <c r="D6952" t="s">
        <v>293</v>
      </c>
      <c r="E6952" t="s">
        <v>7674</v>
      </c>
      <c r="F6952">
        <v>4</v>
      </c>
    </row>
    <row r="6953" spans="1:6" ht="13.2">
      <c r="A6953" t="s">
        <v>8488</v>
      </c>
      <c r="B6953">
        <v>0</v>
      </c>
      <c r="C6953" s="44" t="s">
        <v>201</v>
      </c>
      <c r="D6953" t="s">
        <v>293</v>
      </c>
      <c r="E6953" t="s">
        <v>7674</v>
      </c>
      <c r="F6953">
        <v>4</v>
      </c>
    </row>
    <row r="6954" spans="1:6" ht="13.2">
      <c r="A6954" t="s">
        <v>8489</v>
      </c>
      <c r="B6954">
        <v>0</v>
      </c>
      <c r="C6954" s="44" t="s">
        <v>201</v>
      </c>
      <c r="D6954" t="s">
        <v>293</v>
      </c>
      <c r="E6954" t="s">
        <v>7674</v>
      </c>
      <c r="F6954">
        <v>4</v>
      </c>
    </row>
    <row r="6955" spans="1:6" ht="13.2">
      <c r="A6955" t="s">
        <v>8490</v>
      </c>
      <c r="B6955">
        <v>0</v>
      </c>
      <c r="C6955" s="44" t="s">
        <v>201</v>
      </c>
      <c r="D6955" t="s">
        <v>293</v>
      </c>
      <c r="E6955" t="s">
        <v>7674</v>
      </c>
      <c r="F6955">
        <v>4</v>
      </c>
    </row>
    <row r="6956" spans="1:6" ht="13.2">
      <c r="A6956" t="s">
        <v>8491</v>
      </c>
      <c r="B6956">
        <v>0</v>
      </c>
      <c r="C6956" s="44" t="s">
        <v>201</v>
      </c>
      <c r="D6956" t="s">
        <v>293</v>
      </c>
      <c r="E6956" t="s">
        <v>7674</v>
      </c>
      <c r="F6956">
        <v>4</v>
      </c>
    </row>
    <row r="6957" spans="1:6" ht="13.2">
      <c r="A6957" t="s">
        <v>8492</v>
      </c>
      <c r="B6957">
        <v>0</v>
      </c>
      <c r="C6957" s="44" t="s">
        <v>201</v>
      </c>
      <c r="D6957" t="s">
        <v>293</v>
      </c>
      <c r="E6957" t="s">
        <v>7674</v>
      </c>
      <c r="F6957">
        <v>4</v>
      </c>
    </row>
    <row r="6958" spans="1:6" ht="13.2">
      <c r="A6958" t="s">
        <v>8245</v>
      </c>
      <c r="B6958">
        <v>0</v>
      </c>
      <c r="C6958" s="44">
        <v>3000</v>
      </c>
      <c r="D6958" t="s">
        <v>293</v>
      </c>
      <c r="E6958" t="s">
        <v>258</v>
      </c>
      <c r="F6958">
        <v>14</v>
      </c>
    </row>
    <row r="6959" spans="1:6" ht="13.2">
      <c r="A6959" t="s">
        <v>8246</v>
      </c>
      <c r="B6959">
        <v>0</v>
      </c>
      <c r="C6959" s="44">
        <v>3000</v>
      </c>
      <c r="D6959" t="s">
        <v>293</v>
      </c>
      <c r="E6959" t="s">
        <v>258</v>
      </c>
      <c r="F6959">
        <v>14</v>
      </c>
    </row>
    <row r="6960" spans="1:6" ht="13.2">
      <c r="A6960" t="s">
        <v>8596</v>
      </c>
      <c r="B6960">
        <v>0</v>
      </c>
      <c r="C6960" s="44">
        <v>3000</v>
      </c>
      <c r="D6960" t="s">
        <v>293</v>
      </c>
      <c r="E6960" t="s">
        <v>258</v>
      </c>
      <c r="F6960">
        <v>14</v>
      </c>
    </row>
    <row r="6961" spans="1:6" ht="13.2">
      <c r="A6961" t="s">
        <v>8247</v>
      </c>
      <c r="B6961">
        <v>0</v>
      </c>
      <c r="C6961" s="44">
        <v>3000</v>
      </c>
      <c r="D6961" t="s">
        <v>293</v>
      </c>
      <c r="E6961" t="s">
        <v>258</v>
      </c>
      <c r="F6961">
        <v>14</v>
      </c>
    </row>
    <row r="6962" spans="1:6" ht="13.2">
      <c r="A6962" t="s">
        <v>8248</v>
      </c>
      <c r="B6962">
        <v>0</v>
      </c>
      <c r="C6962" s="44">
        <v>3000</v>
      </c>
      <c r="D6962" t="s">
        <v>293</v>
      </c>
      <c r="E6962" t="s">
        <v>258</v>
      </c>
      <c r="F6962">
        <v>14</v>
      </c>
    </row>
    <row r="6963" spans="1:6" ht="13.2">
      <c r="A6963" t="s">
        <v>8249</v>
      </c>
      <c r="B6963">
        <v>0</v>
      </c>
      <c r="C6963" s="44">
        <v>3000</v>
      </c>
      <c r="D6963" t="s">
        <v>293</v>
      </c>
      <c r="E6963" t="s">
        <v>258</v>
      </c>
      <c r="F6963">
        <v>14</v>
      </c>
    </row>
    <row r="6964" spans="1:6" ht="13.2">
      <c r="A6964" t="s">
        <v>8250</v>
      </c>
      <c r="B6964">
        <v>0</v>
      </c>
      <c r="C6964" s="44">
        <v>3000</v>
      </c>
      <c r="D6964" t="s">
        <v>293</v>
      </c>
      <c r="E6964" t="s">
        <v>258</v>
      </c>
      <c r="F6964">
        <v>14</v>
      </c>
    </row>
    <row r="6965" spans="1:6" ht="13.2">
      <c r="A6965" t="s">
        <v>8251</v>
      </c>
      <c r="B6965">
        <v>0</v>
      </c>
      <c r="C6965" s="44">
        <v>3000</v>
      </c>
      <c r="D6965" t="s">
        <v>293</v>
      </c>
      <c r="E6965" t="s">
        <v>258</v>
      </c>
      <c r="F6965">
        <v>14</v>
      </c>
    </row>
    <row r="6966" spans="1:6" ht="13.2">
      <c r="A6966" t="s">
        <v>8252</v>
      </c>
      <c r="B6966">
        <v>0</v>
      </c>
      <c r="C6966" s="44">
        <v>3000</v>
      </c>
      <c r="D6966" t="s">
        <v>293</v>
      </c>
      <c r="E6966" t="s">
        <v>258</v>
      </c>
      <c r="F6966">
        <v>14</v>
      </c>
    </row>
    <row r="6967" spans="1:6" ht="13.2">
      <c r="A6967" t="s">
        <v>8253</v>
      </c>
      <c r="B6967">
        <v>0</v>
      </c>
      <c r="C6967" s="44">
        <v>3000</v>
      </c>
      <c r="D6967" t="s">
        <v>293</v>
      </c>
      <c r="E6967" t="s">
        <v>258</v>
      </c>
      <c r="F6967">
        <v>14</v>
      </c>
    </row>
    <row r="6968" spans="1:6" ht="13.2">
      <c r="A6968" t="s">
        <v>8254</v>
      </c>
      <c r="B6968">
        <v>0</v>
      </c>
      <c r="C6968" s="44">
        <v>3000</v>
      </c>
      <c r="D6968" t="s">
        <v>293</v>
      </c>
      <c r="E6968" t="s">
        <v>258</v>
      </c>
      <c r="F6968">
        <v>14</v>
      </c>
    </row>
    <row r="6969" spans="1:6" ht="13.2">
      <c r="A6969" t="s">
        <v>8255</v>
      </c>
      <c r="B6969">
        <v>0</v>
      </c>
      <c r="C6969" s="44">
        <v>3000</v>
      </c>
      <c r="D6969" t="s">
        <v>293</v>
      </c>
      <c r="E6969" t="s">
        <v>258</v>
      </c>
      <c r="F6969">
        <v>14</v>
      </c>
    </row>
    <row r="6970" spans="1:6" ht="13.2">
      <c r="A6970" t="s">
        <v>8256</v>
      </c>
      <c r="B6970">
        <v>0</v>
      </c>
      <c r="C6970" s="44">
        <v>3000</v>
      </c>
      <c r="D6970" t="s">
        <v>293</v>
      </c>
      <c r="E6970" t="s">
        <v>258</v>
      </c>
      <c r="F6970">
        <v>14</v>
      </c>
    </row>
    <row r="6971" spans="1:6" ht="13.2">
      <c r="A6971" t="s">
        <v>8257</v>
      </c>
      <c r="B6971">
        <v>0</v>
      </c>
      <c r="C6971" s="44">
        <v>3000</v>
      </c>
      <c r="D6971" t="s">
        <v>293</v>
      </c>
      <c r="E6971" t="s">
        <v>258</v>
      </c>
      <c r="F6971">
        <v>14</v>
      </c>
    </row>
    <row r="6972" spans="1:6" ht="13.2">
      <c r="A6972" t="s">
        <v>8258</v>
      </c>
      <c r="B6972">
        <v>0</v>
      </c>
      <c r="C6972" s="44">
        <v>3000</v>
      </c>
      <c r="D6972" t="s">
        <v>293</v>
      </c>
      <c r="E6972" t="s">
        <v>258</v>
      </c>
      <c r="F6972">
        <v>14</v>
      </c>
    </row>
    <row r="6973" spans="1:6" ht="13.2">
      <c r="A6973" t="s">
        <v>8259</v>
      </c>
      <c r="B6973">
        <v>0</v>
      </c>
      <c r="C6973" s="44">
        <v>3000</v>
      </c>
      <c r="D6973" t="s">
        <v>293</v>
      </c>
      <c r="E6973" t="s">
        <v>258</v>
      </c>
      <c r="F6973">
        <v>14</v>
      </c>
    </row>
    <row r="6974" spans="1:6" ht="13.2">
      <c r="A6974" t="s">
        <v>8260</v>
      </c>
      <c r="B6974">
        <v>0</v>
      </c>
      <c r="C6974" s="44">
        <v>3000</v>
      </c>
      <c r="D6974" t="s">
        <v>293</v>
      </c>
      <c r="E6974" t="s">
        <v>258</v>
      </c>
      <c r="F6974">
        <v>14</v>
      </c>
    </row>
    <row r="6975" spans="1:6" ht="13.2">
      <c r="A6975" t="s">
        <v>8261</v>
      </c>
      <c r="B6975">
        <v>0</v>
      </c>
      <c r="C6975" s="44">
        <v>3000</v>
      </c>
      <c r="D6975" t="s">
        <v>293</v>
      </c>
      <c r="E6975" t="s">
        <v>258</v>
      </c>
      <c r="F6975">
        <v>14</v>
      </c>
    </row>
    <row r="6976" spans="1:6" ht="13.2">
      <c r="A6976" t="s">
        <v>8262</v>
      </c>
      <c r="B6976">
        <v>0</v>
      </c>
      <c r="C6976" s="44">
        <v>3000</v>
      </c>
      <c r="D6976" t="s">
        <v>293</v>
      </c>
      <c r="E6976" t="s">
        <v>258</v>
      </c>
      <c r="F6976">
        <v>14</v>
      </c>
    </row>
    <row r="6977" spans="1:6" ht="13.2">
      <c r="A6977" t="s">
        <v>8263</v>
      </c>
      <c r="B6977">
        <v>0</v>
      </c>
      <c r="C6977" s="44">
        <v>3000</v>
      </c>
      <c r="D6977" t="s">
        <v>293</v>
      </c>
      <c r="E6977" t="s">
        <v>258</v>
      </c>
      <c r="F6977">
        <v>14</v>
      </c>
    </row>
    <row r="6978" spans="1:6" ht="13.2">
      <c r="A6978" t="s">
        <v>8597</v>
      </c>
      <c r="B6978">
        <v>0</v>
      </c>
      <c r="C6978" s="44">
        <v>3000</v>
      </c>
      <c r="D6978" t="s">
        <v>293</v>
      </c>
      <c r="E6978" t="s">
        <v>258</v>
      </c>
      <c r="F6978">
        <v>14</v>
      </c>
    </row>
    <row r="6979" spans="1:6" ht="13.2">
      <c r="A6979" t="s">
        <v>8264</v>
      </c>
      <c r="B6979">
        <v>0</v>
      </c>
      <c r="C6979" s="44">
        <v>3000</v>
      </c>
      <c r="D6979" t="s">
        <v>293</v>
      </c>
      <c r="E6979" t="s">
        <v>258</v>
      </c>
      <c r="F6979">
        <v>14</v>
      </c>
    </row>
    <row r="6980" spans="1:6" ht="13.2">
      <c r="A6980" t="s">
        <v>8265</v>
      </c>
      <c r="B6980">
        <v>0</v>
      </c>
      <c r="C6980" s="44">
        <v>3000</v>
      </c>
      <c r="D6980" t="s">
        <v>293</v>
      </c>
      <c r="E6980" t="s">
        <v>258</v>
      </c>
      <c r="F6980">
        <v>14</v>
      </c>
    </row>
    <row r="6981" spans="1:6" ht="13.2">
      <c r="A6981" t="s">
        <v>8266</v>
      </c>
      <c r="B6981">
        <v>0</v>
      </c>
      <c r="C6981" s="44">
        <v>3000</v>
      </c>
      <c r="D6981" t="s">
        <v>293</v>
      </c>
      <c r="E6981" t="s">
        <v>258</v>
      </c>
      <c r="F6981">
        <v>14</v>
      </c>
    </row>
    <row r="6982" spans="1:6" ht="13.2">
      <c r="A6982" t="s">
        <v>8267</v>
      </c>
      <c r="B6982">
        <v>0</v>
      </c>
      <c r="C6982" s="44">
        <v>3000</v>
      </c>
      <c r="D6982" t="s">
        <v>293</v>
      </c>
      <c r="E6982" t="s">
        <v>258</v>
      </c>
      <c r="F6982">
        <v>14</v>
      </c>
    </row>
    <row r="6983" spans="1:6" ht="13.2">
      <c r="A6983" t="s">
        <v>8268</v>
      </c>
      <c r="B6983">
        <v>0</v>
      </c>
      <c r="C6983" s="44">
        <v>3000</v>
      </c>
      <c r="D6983" t="s">
        <v>293</v>
      </c>
      <c r="E6983" t="s">
        <v>258</v>
      </c>
      <c r="F6983">
        <v>14</v>
      </c>
    </row>
    <row r="6984" spans="1:6" ht="13.2">
      <c r="A6984" t="s">
        <v>8269</v>
      </c>
      <c r="B6984">
        <v>0</v>
      </c>
      <c r="C6984" s="44">
        <v>3000</v>
      </c>
      <c r="D6984" t="s">
        <v>293</v>
      </c>
      <c r="E6984" t="s">
        <v>258</v>
      </c>
      <c r="F6984">
        <v>14</v>
      </c>
    </row>
    <row r="6985" spans="1:6" ht="13.2">
      <c r="A6985" t="s">
        <v>8270</v>
      </c>
      <c r="B6985">
        <v>0</v>
      </c>
      <c r="C6985" s="44">
        <v>3000</v>
      </c>
      <c r="D6985" t="s">
        <v>293</v>
      </c>
      <c r="E6985" t="s">
        <v>258</v>
      </c>
      <c r="F6985">
        <v>14</v>
      </c>
    </row>
    <row r="6986" spans="1:6" ht="13.2">
      <c r="A6986" t="s">
        <v>8598</v>
      </c>
      <c r="B6986">
        <v>0</v>
      </c>
      <c r="C6986" s="44">
        <v>3000</v>
      </c>
      <c r="D6986" t="s">
        <v>293</v>
      </c>
      <c r="E6986" t="s">
        <v>258</v>
      </c>
      <c r="F6986">
        <v>14</v>
      </c>
    </row>
    <row r="6987" spans="1:6" ht="13.2">
      <c r="A6987" t="s">
        <v>8271</v>
      </c>
      <c r="B6987">
        <v>0</v>
      </c>
      <c r="C6987" s="44">
        <v>3000</v>
      </c>
      <c r="D6987" t="s">
        <v>293</v>
      </c>
      <c r="E6987" t="s">
        <v>258</v>
      </c>
      <c r="F6987">
        <v>14</v>
      </c>
    </row>
    <row r="6988" spans="1:6" ht="13.2">
      <c r="A6988" t="s">
        <v>8272</v>
      </c>
      <c r="B6988">
        <v>0</v>
      </c>
      <c r="C6988" s="44">
        <v>3000</v>
      </c>
      <c r="D6988" t="s">
        <v>293</v>
      </c>
      <c r="E6988" t="s">
        <v>258</v>
      </c>
      <c r="F6988">
        <v>14</v>
      </c>
    </row>
    <row r="6989" spans="1:6" ht="13.2">
      <c r="A6989" t="s">
        <v>8273</v>
      </c>
      <c r="B6989">
        <v>0</v>
      </c>
      <c r="C6989" s="44">
        <v>3000</v>
      </c>
      <c r="D6989" t="s">
        <v>293</v>
      </c>
      <c r="E6989" t="s">
        <v>258</v>
      </c>
      <c r="F6989">
        <v>14</v>
      </c>
    </row>
    <row r="6990" spans="1:6" ht="13.2">
      <c r="A6990" t="s">
        <v>8274</v>
      </c>
      <c r="B6990">
        <v>0</v>
      </c>
      <c r="C6990" s="44" t="s">
        <v>201</v>
      </c>
      <c r="D6990" t="s">
        <v>293</v>
      </c>
      <c r="E6990" t="s">
        <v>7674</v>
      </c>
      <c r="F6990">
        <v>4</v>
      </c>
    </row>
    <row r="6991" spans="1:6" ht="13.2">
      <c r="A6991" t="s">
        <v>8275</v>
      </c>
      <c r="B6991">
        <v>0</v>
      </c>
      <c r="C6991" s="44" t="s">
        <v>201</v>
      </c>
      <c r="D6991" t="s">
        <v>293</v>
      </c>
      <c r="E6991" t="s">
        <v>7674</v>
      </c>
      <c r="F6991">
        <v>4</v>
      </c>
    </row>
    <row r="6992" spans="1:6" ht="13.2">
      <c r="A6992" t="s">
        <v>8276</v>
      </c>
      <c r="B6992">
        <v>0</v>
      </c>
      <c r="C6992" s="44" t="s">
        <v>201</v>
      </c>
      <c r="D6992" t="s">
        <v>293</v>
      </c>
      <c r="E6992" t="s">
        <v>7674</v>
      </c>
      <c r="F6992">
        <v>4</v>
      </c>
    </row>
    <row r="6993" spans="1:6" ht="13.2">
      <c r="A6993" t="s">
        <v>8277</v>
      </c>
      <c r="B6993">
        <v>0</v>
      </c>
      <c r="C6993" s="44" t="s">
        <v>201</v>
      </c>
      <c r="D6993" t="s">
        <v>293</v>
      </c>
      <c r="E6993" t="s">
        <v>7674</v>
      </c>
      <c r="F6993">
        <v>4</v>
      </c>
    </row>
    <row r="6994" spans="1:6" ht="13.2">
      <c r="A6994" t="s">
        <v>8278</v>
      </c>
      <c r="B6994">
        <v>0</v>
      </c>
      <c r="C6994" s="44" t="s">
        <v>201</v>
      </c>
      <c r="D6994" t="s">
        <v>293</v>
      </c>
      <c r="E6994" t="s">
        <v>7674</v>
      </c>
      <c r="F6994">
        <v>4</v>
      </c>
    </row>
    <row r="6995" spans="1:6" ht="13.2">
      <c r="A6995" t="s">
        <v>8279</v>
      </c>
      <c r="B6995">
        <v>0</v>
      </c>
      <c r="C6995" s="44" t="s">
        <v>201</v>
      </c>
      <c r="D6995" t="s">
        <v>293</v>
      </c>
      <c r="E6995" t="s">
        <v>7674</v>
      </c>
      <c r="F6995">
        <v>4</v>
      </c>
    </row>
    <row r="6996" spans="1:6" ht="13.2">
      <c r="A6996" t="s">
        <v>8280</v>
      </c>
      <c r="B6996">
        <v>0</v>
      </c>
      <c r="C6996" s="44" t="s">
        <v>201</v>
      </c>
      <c r="D6996" t="s">
        <v>293</v>
      </c>
      <c r="E6996" t="s">
        <v>7674</v>
      </c>
      <c r="F6996">
        <v>4</v>
      </c>
    </row>
    <row r="6997" spans="1:6" ht="13.2">
      <c r="A6997" t="s">
        <v>8281</v>
      </c>
      <c r="B6997">
        <v>0</v>
      </c>
      <c r="C6997" s="44" t="s">
        <v>201</v>
      </c>
      <c r="D6997" t="s">
        <v>293</v>
      </c>
      <c r="E6997" t="s">
        <v>7674</v>
      </c>
      <c r="F6997">
        <v>4</v>
      </c>
    </row>
    <row r="6998" spans="1:6" ht="13.2">
      <c r="A6998" t="s">
        <v>8282</v>
      </c>
      <c r="B6998">
        <v>0</v>
      </c>
      <c r="C6998" s="44" t="s">
        <v>201</v>
      </c>
      <c r="D6998" t="s">
        <v>293</v>
      </c>
      <c r="E6998" t="s">
        <v>7674</v>
      </c>
      <c r="F6998">
        <v>4</v>
      </c>
    </row>
    <row r="6999" spans="1:6" ht="13.2">
      <c r="A6999" t="s">
        <v>8283</v>
      </c>
      <c r="B6999">
        <v>0</v>
      </c>
      <c r="C6999" s="44" t="s">
        <v>201</v>
      </c>
      <c r="D6999" t="s">
        <v>293</v>
      </c>
      <c r="E6999" t="s">
        <v>7674</v>
      </c>
      <c r="F6999">
        <v>4</v>
      </c>
    </row>
    <row r="7000" spans="1:6" ht="13.2">
      <c r="A7000" t="s">
        <v>8284</v>
      </c>
      <c r="B7000">
        <v>0</v>
      </c>
      <c r="C7000" s="44" t="s">
        <v>201</v>
      </c>
      <c r="D7000" t="s">
        <v>293</v>
      </c>
      <c r="E7000" t="s">
        <v>7674</v>
      </c>
      <c r="F7000">
        <v>4</v>
      </c>
    </row>
    <row r="7001" spans="1:6" ht="13.2">
      <c r="A7001" t="s">
        <v>8285</v>
      </c>
      <c r="B7001">
        <v>0</v>
      </c>
      <c r="C7001" s="44" t="s">
        <v>201</v>
      </c>
      <c r="D7001" t="s">
        <v>293</v>
      </c>
      <c r="E7001" t="s">
        <v>7674</v>
      </c>
      <c r="F7001">
        <v>4</v>
      </c>
    </row>
    <row r="7002" spans="1:6" ht="13.2">
      <c r="A7002" t="s">
        <v>8286</v>
      </c>
      <c r="B7002">
        <v>0</v>
      </c>
      <c r="C7002" s="44" t="s">
        <v>201</v>
      </c>
      <c r="D7002" t="s">
        <v>293</v>
      </c>
      <c r="E7002" t="s">
        <v>6239</v>
      </c>
      <c r="F7002">
        <v>4</v>
      </c>
    </row>
    <row r="7003" spans="1:5" ht="13.2">
      <c r="A7003" t="s">
        <v>8287</v>
      </c>
      <c r="B7003">
        <v>0</v>
      </c>
      <c r="C7003" s="44" t="s">
        <v>8288</v>
      </c>
      <c r="D7003" t="s">
        <v>293</v>
      </c>
      <c r="E7003" t="s">
        <v>8289</v>
      </c>
    </row>
    <row r="7004" spans="1:5" ht="13.2">
      <c r="A7004" t="s">
        <v>8290</v>
      </c>
      <c r="B7004">
        <v>0</v>
      </c>
      <c r="C7004" s="44" t="s">
        <v>8288</v>
      </c>
      <c r="D7004" t="s">
        <v>293</v>
      </c>
      <c r="E7004" t="s">
        <v>8289</v>
      </c>
    </row>
    <row r="7005" spans="1:5" ht="13.2">
      <c r="A7005" t="s">
        <v>8291</v>
      </c>
      <c r="B7005">
        <v>0</v>
      </c>
      <c r="C7005" s="44" t="s">
        <v>8288</v>
      </c>
      <c r="D7005" t="s">
        <v>293</v>
      </c>
      <c r="E7005" t="s">
        <v>8289</v>
      </c>
    </row>
    <row r="7006" spans="1:5" ht="13.2">
      <c r="A7006" t="s">
        <v>8292</v>
      </c>
      <c r="B7006">
        <v>0</v>
      </c>
      <c r="C7006" s="44" t="s">
        <v>8288</v>
      </c>
      <c r="D7006" t="s">
        <v>293</v>
      </c>
      <c r="E7006" t="s">
        <v>8289</v>
      </c>
    </row>
    <row r="7007" spans="1:5" ht="13.2">
      <c r="A7007" t="s">
        <v>8293</v>
      </c>
      <c r="B7007">
        <v>0</v>
      </c>
      <c r="C7007" s="44" t="s">
        <v>8288</v>
      </c>
      <c r="D7007" t="s">
        <v>293</v>
      </c>
      <c r="E7007" t="s">
        <v>8289</v>
      </c>
    </row>
    <row r="7008" spans="1:5" ht="13.2">
      <c r="A7008" t="s">
        <v>8294</v>
      </c>
      <c r="B7008">
        <v>0</v>
      </c>
      <c r="C7008" s="44" t="s">
        <v>8288</v>
      </c>
      <c r="D7008" t="s">
        <v>293</v>
      </c>
      <c r="E7008" t="s">
        <v>8289</v>
      </c>
    </row>
    <row r="7009" spans="1:5" ht="13.2">
      <c r="A7009" t="s">
        <v>8295</v>
      </c>
      <c r="B7009">
        <v>0</v>
      </c>
      <c r="C7009" s="44" t="s">
        <v>8288</v>
      </c>
      <c r="D7009" t="s">
        <v>293</v>
      </c>
      <c r="E7009" t="s">
        <v>8289</v>
      </c>
    </row>
    <row r="7010" spans="1:5" ht="13.2">
      <c r="A7010" t="s">
        <v>8296</v>
      </c>
      <c r="B7010">
        <v>0</v>
      </c>
      <c r="C7010" s="44" t="s">
        <v>8288</v>
      </c>
      <c r="D7010" t="s">
        <v>293</v>
      </c>
      <c r="E7010" t="s">
        <v>8289</v>
      </c>
    </row>
    <row r="7011" spans="1:5" ht="13.2">
      <c r="A7011" t="s">
        <v>8297</v>
      </c>
      <c r="B7011">
        <v>0</v>
      </c>
      <c r="C7011" s="44" t="s">
        <v>8288</v>
      </c>
      <c r="D7011" t="s">
        <v>293</v>
      </c>
      <c r="E7011" t="s">
        <v>8289</v>
      </c>
    </row>
    <row r="7012" spans="1:5" ht="13.2">
      <c r="A7012" t="s">
        <v>8298</v>
      </c>
      <c r="B7012">
        <v>0</v>
      </c>
      <c r="C7012" s="44" t="s">
        <v>8288</v>
      </c>
      <c r="D7012" t="s">
        <v>293</v>
      </c>
      <c r="E7012" t="s">
        <v>8289</v>
      </c>
    </row>
    <row r="7013" spans="1:5" ht="13.2">
      <c r="A7013" t="s">
        <v>8299</v>
      </c>
      <c r="B7013">
        <v>0</v>
      </c>
      <c r="C7013" s="44" t="s">
        <v>8288</v>
      </c>
      <c r="D7013" t="s">
        <v>293</v>
      </c>
      <c r="E7013" t="s">
        <v>8289</v>
      </c>
    </row>
    <row r="7014" spans="1:5" ht="13.2">
      <c r="A7014" t="s">
        <v>8300</v>
      </c>
      <c r="B7014">
        <v>0</v>
      </c>
      <c r="C7014" s="44" t="s">
        <v>8288</v>
      </c>
      <c r="D7014" t="s">
        <v>293</v>
      </c>
      <c r="E7014" t="s">
        <v>8289</v>
      </c>
    </row>
    <row r="7015" spans="1:5" ht="13.2">
      <c r="A7015" t="s">
        <v>8301</v>
      </c>
      <c r="B7015">
        <v>0</v>
      </c>
      <c r="C7015" s="44" t="s">
        <v>8288</v>
      </c>
      <c r="D7015" t="s">
        <v>293</v>
      </c>
      <c r="E7015" t="s">
        <v>8289</v>
      </c>
    </row>
    <row r="7016" spans="1:5" ht="13.2">
      <c r="A7016" t="s">
        <v>8302</v>
      </c>
      <c r="B7016">
        <v>0</v>
      </c>
      <c r="C7016" s="44" t="s">
        <v>8288</v>
      </c>
      <c r="D7016" t="s">
        <v>293</v>
      </c>
      <c r="E7016" t="s">
        <v>8289</v>
      </c>
    </row>
    <row r="7017" spans="1:5" ht="13.2">
      <c r="A7017" t="s">
        <v>8303</v>
      </c>
      <c r="B7017">
        <v>0</v>
      </c>
      <c r="C7017" s="44" t="s">
        <v>8288</v>
      </c>
      <c r="D7017" t="s">
        <v>293</v>
      </c>
      <c r="E7017" t="s">
        <v>8289</v>
      </c>
    </row>
    <row r="7018" spans="1:5" ht="13.2">
      <c r="A7018" t="s">
        <v>8304</v>
      </c>
      <c r="B7018">
        <v>0</v>
      </c>
      <c r="C7018" s="44" t="s">
        <v>8288</v>
      </c>
      <c r="D7018" t="s">
        <v>293</v>
      </c>
      <c r="E7018" t="s">
        <v>8289</v>
      </c>
    </row>
    <row r="7019" spans="1:5" ht="13.2">
      <c r="A7019" t="s">
        <v>8305</v>
      </c>
      <c r="B7019">
        <v>0</v>
      </c>
      <c r="C7019" s="44" t="s">
        <v>8288</v>
      </c>
      <c r="D7019" t="s">
        <v>293</v>
      </c>
      <c r="E7019" t="s">
        <v>8289</v>
      </c>
    </row>
    <row r="7020" spans="1:5" ht="13.2">
      <c r="A7020" t="s">
        <v>8306</v>
      </c>
      <c r="B7020">
        <v>0</v>
      </c>
      <c r="C7020" s="44" t="s">
        <v>8288</v>
      </c>
      <c r="D7020" t="s">
        <v>293</v>
      </c>
      <c r="E7020" t="s">
        <v>8289</v>
      </c>
    </row>
    <row r="7021" spans="1:5" ht="13.2">
      <c r="A7021" t="s">
        <v>8307</v>
      </c>
      <c r="B7021">
        <v>0</v>
      </c>
      <c r="C7021" s="44" t="s">
        <v>8288</v>
      </c>
      <c r="D7021" t="s">
        <v>293</v>
      </c>
      <c r="E7021" t="s">
        <v>8289</v>
      </c>
    </row>
    <row r="7022" spans="1:5" ht="13.2">
      <c r="A7022" t="s">
        <v>8308</v>
      </c>
      <c r="B7022">
        <v>0</v>
      </c>
      <c r="C7022" s="44" t="s">
        <v>8288</v>
      </c>
      <c r="D7022" t="s">
        <v>293</v>
      </c>
      <c r="E7022" t="s">
        <v>8289</v>
      </c>
    </row>
    <row r="7023" spans="1:5" ht="13.2">
      <c r="A7023" t="s">
        <v>8309</v>
      </c>
      <c r="B7023">
        <v>0</v>
      </c>
      <c r="C7023" s="44" t="s">
        <v>204</v>
      </c>
      <c r="D7023" t="s">
        <v>293</v>
      </c>
      <c r="E7023" t="s">
        <v>8310</v>
      </c>
    </row>
    <row r="7024" spans="1:5" ht="13.2">
      <c r="A7024" t="s">
        <v>8311</v>
      </c>
      <c r="B7024">
        <v>0</v>
      </c>
      <c r="C7024" s="44" t="s">
        <v>204</v>
      </c>
      <c r="D7024" t="s">
        <v>293</v>
      </c>
      <c r="E7024" t="s">
        <v>8310</v>
      </c>
    </row>
    <row r="7025" spans="1:5" ht="13.2">
      <c r="A7025" t="s">
        <v>8312</v>
      </c>
      <c r="B7025">
        <v>0</v>
      </c>
      <c r="C7025" s="44" t="s">
        <v>204</v>
      </c>
      <c r="D7025" t="s">
        <v>293</v>
      </c>
      <c r="E7025" t="s">
        <v>8310</v>
      </c>
    </row>
    <row r="7026" spans="1:6" ht="13.2">
      <c r="A7026" t="s">
        <v>8313</v>
      </c>
      <c r="B7026">
        <v>170</v>
      </c>
      <c r="C7026" s="44">
        <v>1400</v>
      </c>
      <c r="D7026" t="s">
        <v>291</v>
      </c>
      <c r="E7026" t="s">
        <v>8314</v>
      </c>
      <c r="F7026">
        <v>3</v>
      </c>
    </row>
    <row r="7027" spans="1:6" ht="13.2">
      <c r="A7027" t="s">
        <v>8315</v>
      </c>
      <c r="B7027">
        <v>170</v>
      </c>
      <c r="C7027" s="44">
        <v>1400</v>
      </c>
      <c r="D7027" t="s">
        <v>291</v>
      </c>
      <c r="E7027" t="s">
        <v>8314</v>
      </c>
      <c r="F7027">
        <v>3</v>
      </c>
    </row>
    <row r="7028" spans="1:6" ht="13.2">
      <c r="A7028" t="s">
        <v>8316</v>
      </c>
      <c r="B7028">
        <v>170</v>
      </c>
      <c r="C7028" s="44">
        <v>1400</v>
      </c>
      <c r="D7028" t="s">
        <v>291</v>
      </c>
      <c r="E7028" t="s">
        <v>8314</v>
      </c>
      <c r="F7028">
        <v>3</v>
      </c>
    </row>
    <row r="7029" spans="1:6" ht="13.2">
      <c r="A7029" t="s">
        <v>8317</v>
      </c>
      <c r="B7029">
        <v>170</v>
      </c>
      <c r="C7029" s="44">
        <v>1400</v>
      </c>
      <c r="D7029" t="s">
        <v>291</v>
      </c>
      <c r="E7029" t="s">
        <v>8314</v>
      </c>
      <c r="F7029">
        <v>3</v>
      </c>
    </row>
    <row r="7030" spans="1:6" ht="13.2">
      <c r="A7030" t="s">
        <v>8318</v>
      </c>
      <c r="B7030">
        <v>170</v>
      </c>
      <c r="C7030" s="44">
        <v>1400</v>
      </c>
      <c r="D7030" t="s">
        <v>291</v>
      </c>
      <c r="E7030" t="s">
        <v>8314</v>
      </c>
      <c r="F7030">
        <v>3</v>
      </c>
    </row>
    <row r="7031" spans="1:6" ht="13.2">
      <c r="A7031" t="s">
        <v>8319</v>
      </c>
      <c r="B7031">
        <v>170</v>
      </c>
      <c r="C7031" s="44">
        <v>1400</v>
      </c>
      <c r="D7031" t="s">
        <v>291</v>
      </c>
      <c r="E7031" t="s">
        <v>8314</v>
      </c>
      <c r="F7031">
        <v>3</v>
      </c>
    </row>
    <row r="7032" spans="1:6" ht="13.2">
      <c r="A7032" t="s">
        <v>8320</v>
      </c>
      <c r="B7032">
        <v>170</v>
      </c>
      <c r="C7032" s="44">
        <v>1400</v>
      </c>
      <c r="D7032" t="s">
        <v>291</v>
      </c>
      <c r="E7032" t="s">
        <v>8314</v>
      </c>
      <c r="F7032">
        <v>3</v>
      </c>
    </row>
    <row r="7033" spans="1:6" ht="13.2">
      <c r="A7033" t="s">
        <v>8321</v>
      </c>
      <c r="B7033">
        <v>170</v>
      </c>
      <c r="C7033" s="44">
        <v>1400</v>
      </c>
      <c r="D7033" t="s">
        <v>291</v>
      </c>
      <c r="E7033" t="s">
        <v>8314</v>
      </c>
      <c r="F7033">
        <v>3</v>
      </c>
    </row>
    <row r="7034" spans="1:6" ht="13.2">
      <c r="A7034" t="s">
        <v>8322</v>
      </c>
      <c r="B7034">
        <v>0</v>
      </c>
      <c r="C7034" s="44">
        <v>1370</v>
      </c>
      <c r="D7034" t="s">
        <v>291</v>
      </c>
      <c r="E7034" t="s">
        <v>8323</v>
      </c>
      <c r="F7034">
        <v>4</v>
      </c>
    </row>
    <row r="7035" spans="1:6" ht="13.2">
      <c r="A7035" t="s">
        <v>8324</v>
      </c>
      <c r="B7035">
        <v>0</v>
      </c>
      <c r="C7035" s="44">
        <v>1370</v>
      </c>
      <c r="D7035" t="s">
        <v>291</v>
      </c>
      <c r="E7035" t="s">
        <v>8323</v>
      </c>
      <c r="F7035">
        <v>4</v>
      </c>
    </row>
    <row r="7036" spans="1:6" ht="13.2">
      <c r="A7036" t="s">
        <v>8325</v>
      </c>
      <c r="B7036">
        <v>0</v>
      </c>
      <c r="C7036" s="44">
        <v>1370</v>
      </c>
      <c r="D7036" t="s">
        <v>291</v>
      </c>
      <c r="E7036" t="s">
        <v>8323</v>
      </c>
      <c r="F7036">
        <v>4</v>
      </c>
    </row>
    <row r="7037" spans="1:6" ht="13.2">
      <c r="A7037" t="s">
        <v>8326</v>
      </c>
      <c r="B7037">
        <v>0</v>
      </c>
      <c r="C7037" s="44">
        <v>1370</v>
      </c>
      <c r="D7037" t="s">
        <v>291</v>
      </c>
      <c r="E7037" t="s">
        <v>8323</v>
      </c>
      <c r="F7037">
        <v>4</v>
      </c>
    </row>
    <row r="7038" spans="1:6" ht="13.2">
      <c r="A7038" t="s">
        <v>8327</v>
      </c>
      <c r="B7038">
        <v>0</v>
      </c>
      <c r="C7038" s="44">
        <v>1370</v>
      </c>
      <c r="D7038" t="s">
        <v>291</v>
      </c>
      <c r="E7038" t="s">
        <v>8323</v>
      </c>
      <c r="F7038">
        <v>4</v>
      </c>
    </row>
    <row r="7039" spans="1:6" ht="13.2">
      <c r="A7039" t="s">
        <v>8328</v>
      </c>
      <c r="B7039">
        <v>0</v>
      </c>
      <c r="C7039" s="44">
        <v>1370</v>
      </c>
      <c r="D7039" t="s">
        <v>291</v>
      </c>
      <c r="E7039" t="s">
        <v>8323</v>
      </c>
      <c r="F7039">
        <v>4</v>
      </c>
    </row>
    <row r="7040" spans="1:6" ht="13.2">
      <c r="A7040" t="s">
        <v>8329</v>
      </c>
      <c r="B7040">
        <v>0</v>
      </c>
      <c r="C7040" s="44">
        <v>1370</v>
      </c>
      <c r="D7040" t="s">
        <v>291</v>
      </c>
      <c r="E7040" t="s">
        <v>8323</v>
      </c>
      <c r="F7040">
        <v>4</v>
      </c>
    </row>
    <row r="7041" spans="1:6" ht="13.2">
      <c r="A7041" t="s">
        <v>8330</v>
      </c>
      <c r="B7041">
        <v>0</v>
      </c>
      <c r="C7041" s="44">
        <v>1370</v>
      </c>
      <c r="D7041" t="s">
        <v>291</v>
      </c>
      <c r="E7041" t="s">
        <v>8323</v>
      </c>
      <c r="F7041">
        <v>4</v>
      </c>
    </row>
    <row r="7042" spans="1:6" ht="13.2">
      <c r="A7042" t="s">
        <v>8331</v>
      </c>
      <c r="B7042">
        <v>0</v>
      </c>
      <c r="C7042" s="44">
        <v>1370</v>
      </c>
      <c r="D7042" t="s">
        <v>291</v>
      </c>
      <c r="E7042" t="s">
        <v>8323</v>
      </c>
      <c r="F7042">
        <v>4</v>
      </c>
    </row>
    <row r="7043" spans="1:6" ht="13.2">
      <c r="A7043" t="s">
        <v>8332</v>
      </c>
      <c r="B7043">
        <v>0</v>
      </c>
      <c r="C7043" s="44">
        <v>1370</v>
      </c>
      <c r="D7043" t="s">
        <v>291</v>
      </c>
      <c r="E7043" t="s">
        <v>8323</v>
      </c>
      <c r="F7043">
        <v>4</v>
      </c>
    </row>
    <row r="7044" spans="1:6" ht="13.2">
      <c r="A7044" t="s">
        <v>8333</v>
      </c>
      <c r="B7044">
        <v>0</v>
      </c>
      <c r="C7044" s="44">
        <v>1370</v>
      </c>
      <c r="D7044" t="s">
        <v>291</v>
      </c>
      <c r="E7044" t="s">
        <v>8323</v>
      </c>
      <c r="F7044">
        <v>4</v>
      </c>
    </row>
    <row r="7045" spans="1:6" ht="13.2">
      <c r="A7045" t="s">
        <v>8334</v>
      </c>
      <c r="B7045">
        <v>0</v>
      </c>
      <c r="C7045" s="44">
        <v>1370</v>
      </c>
      <c r="D7045" t="s">
        <v>291</v>
      </c>
      <c r="E7045" t="s">
        <v>8323</v>
      </c>
      <c r="F7045">
        <v>4</v>
      </c>
    </row>
    <row r="7046" spans="1:6" ht="13.2">
      <c r="A7046" t="s">
        <v>8335</v>
      </c>
      <c r="B7046">
        <v>0</v>
      </c>
      <c r="C7046" s="44" t="s">
        <v>4092</v>
      </c>
      <c r="D7046" t="s">
        <v>293</v>
      </c>
      <c r="E7046" t="s">
        <v>256</v>
      </c>
      <c r="F7046">
        <v>4</v>
      </c>
    </row>
    <row r="7047" spans="1:6" ht="13.2">
      <c r="A7047" t="s">
        <v>8336</v>
      </c>
      <c r="B7047">
        <v>0</v>
      </c>
      <c r="C7047" s="44" t="s">
        <v>4092</v>
      </c>
      <c r="D7047" t="s">
        <v>293</v>
      </c>
      <c r="E7047" t="s">
        <v>256</v>
      </c>
      <c r="F7047">
        <v>4</v>
      </c>
    </row>
    <row r="7048" spans="1:6" ht="13.2">
      <c r="A7048" t="s">
        <v>8337</v>
      </c>
      <c r="B7048">
        <v>0</v>
      </c>
      <c r="C7048" s="44" t="s">
        <v>4092</v>
      </c>
      <c r="D7048" t="s">
        <v>293</v>
      </c>
      <c r="E7048" t="s">
        <v>256</v>
      </c>
      <c r="F7048">
        <v>4</v>
      </c>
    </row>
    <row r="7049" spans="1:6" ht="13.2">
      <c r="A7049" t="s">
        <v>8338</v>
      </c>
      <c r="B7049">
        <v>0</v>
      </c>
      <c r="C7049" s="44" t="s">
        <v>4092</v>
      </c>
      <c r="D7049" t="s">
        <v>293</v>
      </c>
      <c r="E7049" t="s">
        <v>256</v>
      </c>
      <c r="F7049">
        <v>4</v>
      </c>
    </row>
    <row r="7050" spans="1:6" ht="13.2">
      <c r="A7050" t="s">
        <v>8339</v>
      </c>
      <c r="B7050">
        <v>0</v>
      </c>
      <c r="C7050" s="44" t="s">
        <v>4092</v>
      </c>
      <c r="D7050" t="s">
        <v>293</v>
      </c>
      <c r="E7050" t="s">
        <v>256</v>
      </c>
      <c r="F7050">
        <v>4</v>
      </c>
    </row>
    <row r="7051" spans="1:6" ht="13.2">
      <c r="A7051" t="s">
        <v>8340</v>
      </c>
      <c r="B7051">
        <v>0</v>
      </c>
      <c r="C7051" s="44" t="s">
        <v>4092</v>
      </c>
      <c r="D7051" t="s">
        <v>293</v>
      </c>
      <c r="E7051" t="s">
        <v>256</v>
      </c>
      <c r="F7051">
        <v>4</v>
      </c>
    </row>
    <row r="7052" spans="1:6" ht="13.2">
      <c r="A7052" t="s">
        <v>8341</v>
      </c>
      <c r="B7052">
        <v>0</v>
      </c>
      <c r="C7052" s="44" t="s">
        <v>4092</v>
      </c>
      <c r="D7052" t="s">
        <v>293</v>
      </c>
      <c r="E7052" t="s">
        <v>256</v>
      </c>
      <c r="F7052">
        <v>4</v>
      </c>
    </row>
    <row r="7053" spans="1:6" ht="13.2">
      <c r="A7053" t="s">
        <v>8342</v>
      </c>
      <c r="B7053">
        <v>0</v>
      </c>
      <c r="C7053" s="44" t="s">
        <v>4092</v>
      </c>
      <c r="D7053" t="s">
        <v>293</v>
      </c>
      <c r="E7053" t="s">
        <v>256</v>
      </c>
      <c r="F7053">
        <v>4</v>
      </c>
    </row>
    <row r="7054" spans="1:6" ht="13.2">
      <c r="A7054" t="s">
        <v>8343</v>
      </c>
      <c r="B7054">
        <v>0</v>
      </c>
      <c r="C7054" s="44" t="s">
        <v>4092</v>
      </c>
      <c r="D7054" t="s">
        <v>293</v>
      </c>
      <c r="E7054" t="s">
        <v>256</v>
      </c>
      <c r="F7054">
        <v>4</v>
      </c>
    </row>
    <row r="7055" spans="1:6" ht="13.2">
      <c r="A7055" t="s">
        <v>8344</v>
      </c>
      <c r="B7055">
        <v>0</v>
      </c>
      <c r="C7055" s="44" t="s">
        <v>4092</v>
      </c>
      <c r="D7055" t="s">
        <v>293</v>
      </c>
      <c r="E7055" t="s">
        <v>256</v>
      </c>
      <c r="F7055">
        <v>4</v>
      </c>
    </row>
    <row r="7056" spans="1:6" ht="13.2">
      <c r="A7056" t="s">
        <v>8345</v>
      </c>
      <c r="B7056">
        <v>0</v>
      </c>
      <c r="C7056" s="44" t="s">
        <v>4092</v>
      </c>
      <c r="D7056" t="s">
        <v>293</v>
      </c>
      <c r="E7056" t="s">
        <v>256</v>
      </c>
      <c r="F7056">
        <v>4</v>
      </c>
    </row>
    <row r="7057" spans="1:4" ht="13.2">
      <c r="A7057" t="s">
        <v>4334</v>
      </c>
      <c r="B7057">
        <v>0</v>
      </c>
      <c r="C7057" s="44" t="s">
        <v>200</v>
      </c>
      <c r="D7057" t="s">
        <v>291</v>
      </c>
    </row>
    <row r="7058" spans="1:4" ht="13.2">
      <c r="A7058" t="s">
        <v>8346</v>
      </c>
      <c r="B7058">
        <v>0</v>
      </c>
      <c r="C7058" s="44" t="s">
        <v>200</v>
      </c>
      <c r="D7058" t="s">
        <v>291</v>
      </c>
    </row>
    <row r="7059" spans="1:4" ht="13.2">
      <c r="A7059" t="s">
        <v>4335</v>
      </c>
      <c r="B7059">
        <v>0</v>
      </c>
      <c r="C7059" s="44">
        <v>1400</v>
      </c>
      <c r="D7059" t="s">
        <v>291</v>
      </c>
    </row>
    <row r="7060" spans="1:4" ht="13.2">
      <c r="A7060" t="s">
        <v>4336</v>
      </c>
      <c r="B7060">
        <v>0</v>
      </c>
      <c r="C7060" s="44">
        <v>1400</v>
      </c>
      <c r="D7060" t="s">
        <v>291</v>
      </c>
    </row>
    <row r="7061" spans="1:4" ht="13.2">
      <c r="A7061" t="s">
        <v>4333</v>
      </c>
      <c r="B7061">
        <v>0</v>
      </c>
      <c r="C7061" s="44" t="s">
        <v>204</v>
      </c>
      <c r="D7061" t="s">
        <v>293</v>
      </c>
    </row>
    <row r="7062" spans="1:4" ht="13.2">
      <c r="A7062" t="s">
        <v>4332</v>
      </c>
      <c r="B7062">
        <v>0</v>
      </c>
      <c r="C7062" s="44" t="s">
        <v>204</v>
      </c>
      <c r="D7062" t="s">
        <v>291</v>
      </c>
    </row>
    <row r="7063" spans="1:4" ht="13.2">
      <c r="A7063" t="s">
        <v>8347</v>
      </c>
      <c r="B7063">
        <v>0</v>
      </c>
      <c r="C7063" s="44" t="s">
        <v>204</v>
      </c>
      <c r="D7063" t="s">
        <v>293</v>
      </c>
    </row>
    <row r="7064" spans="1:4" ht="13.2">
      <c r="A7064" t="s">
        <v>8348</v>
      </c>
      <c r="B7064">
        <v>0</v>
      </c>
      <c r="C7064" s="44" t="s">
        <v>204</v>
      </c>
      <c r="D7064" t="s">
        <v>291</v>
      </c>
    </row>
    <row r="7065" spans="1:4" ht="13.2">
      <c r="A7065" t="s">
        <v>4326</v>
      </c>
      <c r="B7065">
        <v>0</v>
      </c>
      <c r="C7065" s="44" t="s">
        <v>204</v>
      </c>
      <c r="D7065" t="s">
        <v>293</v>
      </c>
    </row>
    <row r="7066" spans="1:4" ht="13.2">
      <c r="A7066" t="s">
        <v>4327</v>
      </c>
      <c r="B7066">
        <v>0</v>
      </c>
      <c r="C7066" s="44" t="s">
        <v>204</v>
      </c>
      <c r="D7066" t="s">
        <v>291</v>
      </c>
    </row>
    <row r="7067" spans="1:4" ht="13.2">
      <c r="A7067" t="s">
        <v>4328</v>
      </c>
      <c r="B7067">
        <v>0</v>
      </c>
      <c r="C7067" s="44">
        <v>3000</v>
      </c>
      <c r="D7067" t="s">
        <v>291</v>
      </c>
    </row>
    <row r="7068" spans="1:4" ht="13.2">
      <c r="A7068" t="s">
        <v>4329</v>
      </c>
      <c r="B7068">
        <v>0</v>
      </c>
      <c r="C7068" s="44" t="s">
        <v>204</v>
      </c>
      <c r="D7068" t="s">
        <v>293</v>
      </c>
    </row>
    <row r="7069" spans="1:4" ht="13.2">
      <c r="A7069" t="s">
        <v>4330</v>
      </c>
      <c r="B7069">
        <v>0</v>
      </c>
      <c r="C7069" s="44">
        <v>3000</v>
      </c>
      <c r="D7069" t="s">
        <v>291</v>
      </c>
    </row>
    <row r="7070" spans="1:4" ht="13.2">
      <c r="A7070" t="s">
        <v>4331</v>
      </c>
      <c r="B7070">
        <v>0</v>
      </c>
      <c r="C7070" s="44" t="s">
        <v>204</v>
      </c>
      <c r="D7070" t="s">
        <v>293</v>
      </c>
    </row>
    <row r="7071" spans="1:4" ht="13.2">
      <c r="A7071" t="s">
        <v>6586</v>
      </c>
      <c r="B7071">
        <v>0</v>
      </c>
      <c r="C7071" s="44">
        <v>3000</v>
      </c>
      <c r="D7071" t="s">
        <v>293</v>
      </c>
    </row>
    <row r="7072" spans="1:6" ht="13.2">
      <c r="A7072" t="s">
        <v>8349</v>
      </c>
      <c r="B7072">
        <v>0</v>
      </c>
      <c r="C7072" s="44" t="s">
        <v>201</v>
      </c>
      <c r="D7072" t="s">
        <v>293</v>
      </c>
      <c r="E7072" t="s">
        <v>256</v>
      </c>
      <c r="F7072">
        <v>4</v>
      </c>
    </row>
    <row r="7073" spans="1:6" ht="13.2">
      <c r="A7073" t="s">
        <v>8350</v>
      </c>
      <c r="B7073">
        <v>0</v>
      </c>
      <c r="C7073" s="44" t="s">
        <v>201</v>
      </c>
      <c r="D7073" t="s">
        <v>293</v>
      </c>
      <c r="E7073" t="s">
        <v>256</v>
      </c>
      <c r="F7073">
        <v>4</v>
      </c>
    </row>
    <row r="7074" spans="1:6" ht="13.2">
      <c r="A7074" t="s">
        <v>8351</v>
      </c>
      <c r="B7074">
        <v>0</v>
      </c>
      <c r="C7074" s="44" t="s">
        <v>201</v>
      </c>
      <c r="D7074" t="s">
        <v>293</v>
      </c>
      <c r="E7074" t="s">
        <v>256</v>
      </c>
      <c r="F7074">
        <v>4</v>
      </c>
    </row>
    <row r="7075" spans="1:6" ht="13.2">
      <c r="A7075" t="s">
        <v>8352</v>
      </c>
      <c r="B7075">
        <v>0</v>
      </c>
      <c r="C7075" s="44" t="s">
        <v>201</v>
      </c>
      <c r="D7075" t="s">
        <v>293</v>
      </c>
      <c r="E7075" t="s">
        <v>256</v>
      </c>
      <c r="F7075">
        <v>4</v>
      </c>
    </row>
    <row r="7076" spans="1:6" ht="13.2">
      <c r="A7076" t="s">
        <v>8353</v>
      </c>
      <c r="B7076">
        <v>0</v>
      </c>
      <c r="C7076" s="44" t="s">
        <v>201</v>
      </c>
      <c r="D7076" t="s">
        <v>293</v>
      </c>
      <c r="E7076" t="s">
        <v>256</v>
      </c>
      <c r="F7076">
        <v>4</v>
      </c>
    </row>
    <row r="7077" spans="1:6" ht="13.2">
      <c r="A7077" t="s">
        <v>8354</v>
      </c>
      <c r="B7077">
        <v>0</v>
      </c>
      <c r="C7077" s="44" t="s">
        <v>201</v>
      </c>
      <c r="D7077" t="s">
        <v>293</v>
      </c>
      <c r="E7077" t="s">
        <v>256</v>
      </c>
      <c r="F7077">
        <v>4</v>
      </c>
    </row>
    <row r="7078" spans="1:6" ht="13.2">
      <c r="A7078" t="s">
        <v>8355</v>
      </c>
      <c r="B7078">
        <v>0</v>
      </c>
      <c r="C7078" s="44" t="s">
        <v>201</v>
      </c>
      <c r="D7078" t="s">
        <v>293</v>
      </c>
      <c r="E7078" t="s">
        <v>256</v>
      </c>
      <c r="F7078">
        <v>4</v>
      </c>
    </row>
    <row r="7079" spans="1:6" ht="13.2">
      <c r="A7079" t="s">
        <v>8356</v>
      </c>
      <c r="B7079">
        <v>0</v>
      </c>
      <c r="C7079" s="44" t="s">
        <v>201</v>
      </c>
      <c r="D7079" t="s">
        <v>293</v>
      </c>
      <c r="E7079" t="s">
        <v>256</v>
      </c>
      <c r="F7079">
        <v>4</v>
      </c>
    </row>
    <row r="7080" spans="1:6" ht="13.2">
      <c r="A7080" t="s">
        <v>8357</v>
      </c>
      <c r="B7080">
        <v>0</v>
      </c>
      <c r="C7080" s="44" t="s">
        <v>201</v>
      </c>
      <c r="D7080" t="s">
        <v>293</v>
      </c>
      <c r="E7080" t="s">
        <v>256</v>
      </c>
      <c r="F7080">
        <v>4</v>
      </c>
    </row>
    <row r="7081" spans="1:6" ht="13.2">
      <c r="A7081" t="s">
        <v>8358</v>
      </c>
      <c r="B7081">
        <v>0</v>
      </c>
      <c r="C7081" s="44" t="s">
        <v>204</v>
      </c>
      <c r="D7081" t="s">
        <v>293</v>
      </c>
      <c r="E7081" t="s">
        <v>256</v>
      </c>
      <c r="F7081">
        <v>4</v>
      </c>
    </row>
    <row r="7082" spans="1:6" ht="13.2">
      <c r="A7082" t="s">
        <v>8359</v>
      </c>
      <c r="B7082">
        <v>0</v>
      </c>
      <c r="C7082" s="44" t="s">
        <v>204</v>
      </c>
      <c r="D7082" t="s">
        <v>293</v>
      </c>
      <c r="E7082" t="s">
        <v>256</v>
      </c>
      <c r="F7082">
        <v>4</v>
      </c>
    </row>
    <row r="7083" spans="1:6" ht="13.2">
      <c r="A7083" t="s">
        <v>8360</v>
      </c>
      <c r="B7083">
        <v>0</v>
      </c>
      <c r="C7083" s="44" t="s">
        <v>204</v>
      </c>
      <c r="D7083" t="s">
        <v>293</v>
      </c>
      <c r="E7083" t="s">
        <v>256</v>
      </c>
      <c r="F7083">
        <v>4</v>
      </c>
    </row>
    <row r="7084" spans="1:6" ht="13.2">
      <c r="A7084" t="s">
        <v>8361</v>
      </c>
      <c r="B7084">
        <v>0</v>
      </c>
      <c r="C7084" s="44" t="s">
        <v>204</v>
      </c>
      <c r="D7084" t="s">
        <v>293</v>
      </c>
      <c r="E7084" t="s">
        <v>256</v>
      </c>
      <c r="F7084">
        <v>4</v>
      </c>
    </row>
    <row r="7085" spans="1:6" ht="13.2">
      <c r="A7085" t="s">
        <v>8362</v>
      </c>
      <c r="B7085">
        <v>0</v>
      </c>
      <c r="C7085" s="44" t="s">
        <v>204</v>
      </c>
      <c r="D7085" t="s">
        <v>293</v>
      </c>
      <c r="E7085" t="s">
        <v>256</v>
      </c>
      <c r="F7085">
        <v>4</v>
      </c>
    </row>
    <row r="7086" spans="1:6" ht="13.2">
      <c r="A7086" t="s">
        <v>8363</v>
      </c>
      <c r="B7086">
        <v>0</v>
      </c>
      <c r="C7086" s="44" t="s">
        <v>204</v>
      </c>
      <c r="D7086" t="s">
        <v>293</v>
      </c>
      <c r="E7086" t="s">
        <v>256</v>
      </c>
      <c r="F7086">
        <v>4</v>
      </c>
    </row>
    <row r="7087" spans="1:6" ht="13.2">
      <c r="A7087" t="s">
        <v>8364</v>
      </c>
      <c r="B7087">
        <v>0</v>
      </c>
      <c r="C7087" s="44" t="s">
        <v>204</v>
      </c>
      <c r="D7087" t="s">
        <v>293</v>
      </c>
      <c r="E7087" t="s">
        <v>256</v>
      </c>
      <c r="F7087">
        <v>4</v>
      </c>
    </row>
    <row r="7088" spans="1:6" ht="13.2">
      <c r="A7088" t="s">
        <v>8365</v>
      </c>
      <c r="B7088">
        <v>0</v>
      </c>
      <c r="C7088" s="44" t="s">
        <v>204</v>
      </c>
      <c r="D7088" t="s">
        <v>293</v>
      </c>
      <c r="E7088" t="s">
        <v>256</v>
      </c>
      <c r="F7088">
        <v>4</v>
      </c>
    </row>
    <row r="7089" spans="1:6" ht="13.2">
      <c r="A7089" t="s">
        <v>8366</v>
      </c>
      <c r="B7089">
        <v>0</v>
      </c>
      <c r="C7089" s="44" t="s">
        <v>204</v>
      </c>
      <c r="D7089" t="s">
        <v>293</v>
      </c>
      <c r="E7089" t="s">
        <v>256</v>
      </c>
      <c r="F7089">
        <v>4</v>
      </c>
    </row>
    <row r="7090" spans="1:6" ht="13.2">
      <c r="A7090" t="s">
        <v>8367</v>
      </c>
      <c r="B7090">
        <v>0</v>
      </c>
      <c r="C7090" s="44" t="s">
        <v>8368</v>
      </c>
      <c r="D7090" t="s">
        <v>293</v>
      </c>
      <c r="E7090" t="s">
        <v>8369</v>
      </c>
      <c r="F7090">
        <v>4</v>
      </c>
    </row>
    <row r="7091" spans="1:6" ht="13.2">
      <c r="A7091" t="s">
        <v>8370</v>
      </c>
      <c r="B7091">
        <v>0</v>
      </c>
      <c r="C7091" s="44" t="s">
        <v>8368</v>
      </c>
      <c r="D7091" t="s">
        <v>293</v>
      </c>
      <c r="E7091" t="s">
        <v>8369</v>
      </c>
      <c r="F7091">
        <v>4</v>
      </c>
    </row>
    <row r="7092" spans="1:6" ht="13.2">
      <c r="A7092" t="s">
        <v>8371</v>
      </c>
      <c r="B7092">
        <v>0</v>
      </c>
      <c r="C7092" s="44" t="s">
        <v>8368</v>
      </c>
      <c r="D7092" t="s">
        <v>293</v>
      </c>
      <c r="E7092" t="s">
        <v>8369</v>
      </c>
      <c r="F7092">
        <v>4</v>
      </c>
    </row>
    <row r="7093" spans="1:6" ht="13.2">
      <c r="A7093" t="s">
        <v>8372</v>
      </c>
      <c r="B7093">
        <v>0</v>
      </c>
      <c r="C7093" s="44" t="s">
        <v>8368</v>
      </c>
      <c r="D7093" t="s">
        <v>293</v>
      </c>
      <c r="E7093" t="s">
        <v>8369</v>
      </c>
      <c r="F7093">
        <v>4</v>
      </c>
    </row>
    <row r="7094" spans="1:6" ht="13.2">
      <c r="A7094" t="s">
        <v>8373</v>
      </c>
      <c r="B7094">
        <v>0</v>
      </c>
      <c r="C7094" s="44" t="s">
        <v>8368</v>
      </c>
      <c r="D7094" t="s">
        <v>293</v>
      </c>
      <c r="E7094" t="s">
        <v>8369</v>
      </c>
      <c r="F7094">
        <v>4</v>
      </c>
    </row>
    <row r="7095" spans="1:6" ht="13.2">
      <c r="A7095" t="s">
        <v>8374</v>
      </c>
      <c r="B7095">
        <v>0</v>
      </c>
      <c r="C7095" s="44" t="s">
        <v>8368</v>
      </c>
      <c r="D7095" t="s">
        <v>293</v>
      </c>
      <c r="E7095" t="s">
        <v>8369</v>
      </c>
      <c r="F7095">
        <v>4</v>
      </c>
    </row>
    <row r="7096" spans="1:6" ht="13.2">
      <c r="A7096" t="s">
        <v>8375</v>
      </c>
      <c r="B7096">
        <v>0</v>
      </c>
      <c r="C7096" s="44" t="s">
        <v>8368</v>
      </c>
      <c r="D7096" t="s">
        <v>293</v>
      </c>
      <c r="E7096" t="s">
        <v>8369</v>
      </c>
      <c r="F7096">
        <v>4</v>
      </c>
    </row>
    <row r="7097" spans="1:6" ht="13.2">
      <c r="A7097" t="s">
        <v>8376</v>
      </c>
      <c r="B7097">
        <v>0</v>
      </c>
      <c r="C7097" s="44" t="s">
        <v>8368</v>
      </c>
      <c r="D7097" t="s">
        <v>293</v>
      </c>
      <c r="E7097" t="s">
        <v>8369</v>
      </c>
      <c r="F7097">
        <v>4</v>
      </c>
    </row>
    <row r="7098" spans="1:6" ht="13.2">
      <c r="A7098" t="s">
        <v>8377</v>
      </c>
      <c r="B7098">
        <v>0</v>
      </c>
      <c r="C7098" s="44" t="s">
        <v>8368</v>
      </c>
      <c r="D7098" t="s">
        <v>293</v>
      </c>
      <c r="E7098" t="s">
        <v>8369</v>
      </c>
      <c r="F7098">
        <v>4</v>
      </c>
    </row>
    <row r="7099" spans="1:6" ht="13.2">
      <c r="A7099" t="s">
        <v>8378</v>
      </c>
      <c r="B7099">
        <v>0</v>
      </c>
      <c r="C7099" s="44" t="s">
        <v>8368</v>
      </c>
      <c r="D7099" t="s">
        <v>293</v>
      </c>
      <c r="E7099" t="s">
        <v>8369</v>
      </c>
      <c r="F7099">
        <v>4</v>
      </c>
    </row>
    <row r="7100" spans="1:6" ht="13.2">
      <c r="A7100" t="s">
        <v>8379</v>
      </c>
      <c r="B7100">
        <v>0</v>
      </c>
      <c r="C7100" s="44" t="s">
        <v>8368</v>
      </c>
      <c r="D7100" t="s">
        <v>293</v>
      </c>
      <c r="E7100" t="s">
        <v>8369</v>
      </c>
      <c r="F7100">
        <v>4</v>
      </c>
    </row>
    <row r="7101" spans="1:6" ht="13.2">
      <c r="A7101" t="s">
        <v>8380</v>
      </c>
      <c r="B7101">
        <v>0</v>
      </c>
      <c r="C7101" s="44" t="s">
        <v>8368</v>
      </c>
      <c r="D7101" t="s">
        <v>293</v>
      </c>
      <c r="E7101" t="s">
        <v>8369</v>
      </c>
      <c r="F7101">
        <v>4</v>
      </c>
    </row>
    <row r="7102" spans="1:6" ht="13.2">
      <c r="A7102" t="s">
        <v>8381</v>
      </c>
      <c r="B7102">
        <v>0</v>
      </c>
      <c r="C7102" s="44" t="s">
        <v>8368</v>
      </c>
      <c r="D7102" t="s">
        <v>293</v>
      </c>
      <c r="E7102" t="s">
        <v>8369</v>
      </c>
      <c r="F7102">
        <v>4</v>
      </c>
    </row>
    <row r="7103" spans="1:6" ht="13.2">
      <c r="A7103" t="s">
        <v>8382</v>
      </c>
      <c r="B7103">
        <v>0</v>
      </c>
      <c r="C7103" s="44" t="s">
        <v>8368</v>
      </c>
      <c r="D7103" t="s">
        <v>293</v>
      </c>
      <c r="E7103" t="s">
        <v>8369</v>
      </c>
      <c r="F7103">
        <v>4</v>
      </c>
    </row>
    <row r="7104" spans="1:6" ht="13.2">
      <c r="A7104" t="s">
        <v>8383</v>
      </c>
      <c r="B7104">
        <v>0</v>
      </c>
      <c r="C7104" s="44" t="s">
        <v>8368</v>
      </c>
      <c r="D7104" t="s">
        <v>293</v>
      </c>
      <c r="E7104" t="s">
        <v>8369</v>
      </c>
      <c r="F7104">
        <v>4</v>
      </c>
    </row>
    <row r="7105" spans="1:6" ht="13.2">
      <c r="A7105" t="s">
        <v>8384</v>
      </c>
      <c r="B7105">
        <v>0</v>
      </c>
      <c r="C7105" s="44">
        <v>1480</v>
      </c>
      <c r="D7105" t="s">
        <v>291</v>
      </c>
      <c r="E7105" t="s">
        <v>364</v>
      </c>
      <c r="F7105">
        <v>4</v>
      </c>
    </row>
    <row r="7106" spans="1:6" ht="13.2">
      <c r="A7106" t="s">
        <v>8385</v>
      </c>
      <c r="B7106">
        <v>0</v>
      </c>
      <c r="C7106" s="44">
        <v>1480</v>
      </c>
      <c r="D7106" t="s">
        <v>291</v>
      </c>
      <c r="E7106" t="s">
        <v>364</v>
      </c>
      <c r="F7106">
        <v>4</v>
      </c>
    </row>
    <row r="7107" spans="1:6" ht="13.2">
      <c r="A7107" t="s">
        <v>8386</v>
      </c>
      <c r="B7107">
        <v>0</v>
      </c>
      <c r="C7107" s="44">
        <v>1370</v>
      </c>
      <c r="D7107" t="s">
        <v>291</v>
      </c>
      <c r="E7107" t="s">
        <v>364</v>
      </c>
      <c r="F7107">
        <v>4</v>
      </c>
    </row>
    <row r="7108" spans="1:6" ht="13.2">
      <c r="A7108" t="s">
        <v>8387</v>
      </c>
      <c r="B7108">
        <v>0</v>
      </c>
      <c r="C7108" s="44">
        <v>1370</v>
      </c>
      <c r="D7108" t="s">
        <v>291</v>
      </c>
      <c r="E7108" t="s">
        <v>364</v>
      </c>
      <c r="F7108">
        <v>4</v>
      </c>
    </row>
    <row r="7109" spans="1:6" ht="13.2">
      <c r="A7109" t="s">
        <v>8388</v>
      </c>
      <c r="B7109">
        <v>0</v>
      </c>
      <c r="C7109" s="44">
        <v>1370</v>
      </c>
      <c r="D7109" t="s">
        <v>291</v>
      </c>
      <c r="E7109" t="s">
        <v>364</v>
      </c>
      <c r="F7109">
        <v>4</v>
      </c>
    </row>
    <row r="7110" spans="1:6" ht="13.2">
      <c r="A7110" t="s">
        <v>8389</v>
      </c>
      <c r="B7110">
        <v>0</v>
      </c>
      <c r="C7110" s="44">
        <v>1370</v>
      </c>
      <c r="D7110" t="s">
        <v>291</v>
      </c>
      <c r="E7110" t="s">
        <v>364</v>
      </c>
      <c r="F7110">
        <v>4</v>
      </c>
    </row>
    <row r="7111" spans="1:6" ht="13.2">
      <c r="A7111" t="s">
        <v>8390</v>
      </c>
      <c r="B7111">
        <v>0</v>
      </c>
      <c r="C7111" s="44">
        <v>1450</v>
      </c>
      <c r="D7111" t="s">
        <v>291</v>
      </c>
      <c r="E7111" t="s">
        <v>364</v>
      </c>
      <c r="F7111">
        <v>4</v>
      </c>
    </row>
    <row r="7112" spans="1:6" ht="13.2">
      <c r="A7112" t="s">
        <v>8391</v>
      </c>
      <c r="B7112">
        <v>0</v>
      </c>
      <c r="C7112" s="44">
        <v>1450</v>
      </c>
      <c r="D7112" t="s">
        <v>291</v>
      </c>
      <c r="E7112" t="s">
        <v>364</v>
      </c>
      <c r="F7112">
        <v>4</v>
      </c>
    </row>
    <row r="7113" spans="1:6" ht="13.2">
      <c r="A7113" t="s">
        <v>8392</v>
      </c>
      <c r="B7113">
        <v>0</v>
      </c>
      <c r="C7113" s="44">
        <v>1480</v>
      </c>
      <c r="D7113" t="s">
        <v>291</v>
      </c>
      <c r="E7113" t="s">
        <v>364</v>
      </c>
      <c r="F7113">
        <v>4</v>
      </c>
    </row>
    <row r="7114" spans="1:6" ht="13.2">
      <c r="A7114" t="s">
        <v>8393</v>
      </c>
      <c r="B7114">
        <v>0</v>
      </c>
      <c r="C7114" s="44">
        <v>1480</v>
      </c>
      <c r="D7114" t="s">
        <v>291</v>
      </c>
      <c r="E7114" t="s">
        <v>364</v>
      </c>
      <c r="F7114">
        <v>4</v>
      </c>
    </row>
    <row r="7115" spans="1:6" ht="13.2">
      <c r="A7115" t="s">
        <v>8394</v>
      </c>
      <c r="B7115">
        <v>0</v>
      </c>
      <c r="C7115" s="44">
        <v>1480</v>
      </c>
      <c r="D7115" t="s">
        <v>291</v>
      </c>
      <c r="E7115" t="s">
        <v>364</v>
      </c>
      <c r="F7115">
        <v>4</v>
      </c>
    </row>
    <row r="7116" spans="1:6" ht="13.2">
      <c r="A7116" t="s">
        <v>8395</v>
      </c>
      <c r="B7116">
        <v>0</v>
      </c>
      <c r="C7116" s="44">
        <v>1480</v>
      </c>
      <c r="D7116" t="s">
        <v>291</v>
      </c>
      <c r="E7116" t="s">
        <v>364</v>
      </c>
      <c r="F7116">
        <v>4</v>
      </c>
    </row>
    <row r="7117" spans="1:6" ht="13.2">
      <c r="A7117" t="s">
        <v>8396</v>
      </c>
      <c r="B7117">
        <v>0</v>
      </c>
      <c r="C7117" s="44">
        <v>1480</v>
      </c>
      <c r="D7117" t="s">
        <v>291</v>
      </c>
      <c r="E7117" t="s">
        <v>364</v>
      </c>
      <c r="F7117">
        <v>4</v>
      </c>
    </row>
    <row r="7118" spans="1:6" ht="13.2">
      <c r="A7118" t="s">
        <v>8397</v>
      </c>
      <c r="B7118">
        <v>50</v>
      </c>
      <c r="C7118" s="44">
        <v>1370</v>
      </c>
      <c r="D7118" t="s">
        <v>291</v>
      </c>
      <c r="E7118" t="s">
        <v>364</v>
      </c>
      <c r="F7118">
        <v>4</v>
      </c>
    </row>
    <row r="7119" spans="1:6" ht="13.2">
      <c r="A7119" t="s">
        <v>8398</v>
      </c>
      <c r="B7119">
        <v>50</v>
      </c>
      <c r="C7119" s="44">
        <v>1370</v>
      </c>
      <c r="D7119" t="s">
        <v>291</v>
      </c>
      <c r="E7119" t="s">
        <v>364</v>
      </c>
      <c r="F7119">
        <v>4</v>
      </c>
    </row>
    <row r="7120" spans="1:6" ht="13.2">
      <c r="A7120" t="s">
        <v>8399</v>
      </c>
      <c r="B7120">
        <v>80</v>
      </c>
      <c r="C7120" s="44">
        <v>1480</v>
      </c>
      <c r="D7120" t="s">
        <v>291</v>
      </c>
      <c r="E7120" t="s">
        <v>364</v>
      </c>
      <c r="F7120">
        <v>4</v>
      </c>
    </row>
    <row r="7121" spans="1:6" ht="13.2">
      <c r="A7121" t="s">
        <v>8400</v>
      </c>
      <c r="B7121">
        <v>80</v>
      </c>
      <c r="C7121" s="44">
        <v>1480</v>
      </c>
      <c r="D7121" t="s">
        <v>291</v>
      </c>
      <c r="E7121" t="s">
        <v>364</v>
      </c>
      <c r="F7121">
        <v>4</v>
      </c>
    </row>
    <row r="7122" spans="1:6" ht="13.2">
      <c r="A7122" t="s">
        <v>8401</v>
      </c>
      <c r="B7122">
        <v>80</v>
      </c>
      <c r="C7122" s="44">
        <v>1480</v>
      </c>
      <c r="D7122" t="s">
        <v>291</v>
      </c>
      <c r="E7122" t="s">
        <v>364</v>
      </c>
      <c r="F7122">
        <v>4</v>
      </c>
    </row>
    <row r="7123" spans="1:6" ht="13.2">
      <c r="A7123" t="s">
        <v>8402</v>
      </c>
      <c r="B7123">
        <v>0</v>
      </c>
      <c r="C7123" s="44">
        <v>1380</v>
      </c>
      <c r="D7123" t="s">
        <v>291</v>
      </c>
      <c r="E7123" t="s">
        <v>8403</v>
      </c>
      <c r="F7123">
        <v>3</v>
      </c>
    </row>
    <row r="7124" spans="1:6" ht="13.2">
      <c r="A7124" t="s">
        <v>8404</v>
      </c>
      <c r="B7124">
        <v>0</v>
      </c>
      <c r="C7124" s="44">
        <v>1380</v>
      </c>
      <c r="D7124" t="s">
        <v>291</v>
      </c>
      <c r="E7124" t="s">
        <v>8403</v>
      </c>
      <c r="F7124">
        <v>3</v>
      </c>
    </row>
    <row r="7125" spans="1:6" ht="13.2">
      <c r="A7125" t="s">
        <v>8405</v>
      </c>
      <c r="B7125">
        <v>0</v>
      </c>
      <c r="C7125" s="44">
        <v>1380</v>
      </c>
      <c r="D7125" t="s">
        <v>291</v>
      </c>
      <c r="E7125" t="s">
        <v>8403</v>
      </c>
      <c r="F7125">
        <v>3</v>
      </c>
    </row>
    <row r="7126" spans="1:6" ht="13.2">
      <c r="A7126" t="s">
        <v>8406</v>
      </c>
      <c r="B7126">
        <v>0</v>
      </c>
      <c r="C7126" s="44">
        <v>1380</v>
      </c>
      <c r="D7126" t="s">
        <v>291</v>
      </c>
      <c r="E7126" t="s">
        <v>8403</v>
      </c>
      <c r="F7126">
        <v>3</v>
      </c>
    </row>
    <row r="7127" spans="1:6" ht="13.2">
      <c r="A7127" t="s">
        <v>8407</v>
      </c>
      <c r="B7127">
        <v>0</v>
      </c>
      <c r="C7127" s="44">
        <v>1380</v>
      </c>
      <c r="D7127" t="s">
        <v>291</v>
      </c>
      <c r="E7127" t="s">
        <v>8403</v>
      </c>
      <c r="F7127">
        <v>3</v>
      </c>
    </row>
    <row r="7128" spans="1:6" ht="13.2">
      <c r="A7128" t="s">
        <v>8408</v>
      </c>
      <c r="B7128">
        <v>0</v>
      </c>
      <c r="C7128" s="44">
        <v>1380</v>
      </c>
      <c r="D7128" t="s">
        <v>291</v>
      </c>
      <c r="E7128" t="s">
        <v>8403</v>
      </c>
      <c r="F7128">
        <v>3</v>
      </c>
    </row>
    <row r="7129" spans="1:6" ht="13.2">
      <c r="A7129" t="s">
        <v>8409</v>
      </c>
      <c r="B7129">
        <v>0</v>
      </c>
      <c r="C7129" s="44">
        <v>1380</v>
      </c>
      <c r="D7129" t="s">
        <v>291</v>
      </c>
      <c r="E7129" t="s">
        <v>8403</v>
      </c>
      <c r="F7129">
        <v>3</v>
      </c>
    </row>
    <row r="7130" spans="1:6" ht="13.2">
      <c r="A7130" t="s">
        <v>8410</v>
      </c>
      <c r="B7130">
        <v>0</v>
      </c>
      <c r="C7130" s="44">
        <v>1380</v>
      </c>
      <c r="D7130" t="s">
        <v>291</v>
      </c>
      <c r="E7130" t="s">
        <v>8403</v>
      </c>
      <c r="F7130">
        <v>3</v>
      </c>
    </row>
    <row r="7131" spans="1:6" ht="13.2">
      <c r="A7131" t="s">
        <v>8411</v>
      </c>
      <c r="B7131">
        <v>0</v>
      </c>
      <c r="C7131" s="44">
        <v>1380</v>
      </c>
      <c r="D7131" t="s">
        <v>291</v>
      </c>
      <c r="E7131" t="s">
        <v>8403</v>
      </c>
      <c r="F7131">
        <v>3</v>
      </c>
    </row>
    <row r="7132" spans="1:6" ht="13.2">
      <c r="A7132" t="s">
        <v>8412</v>
      </c>
      <c r="B7132">
        <v>0</v>
      </c>
      <c r="C7132" s="44">
        <v>1380</v>
      </c>
      <c r="D7132" t="s">
        <v>291</v>
      </c>
      <c r="E7132" t="s">
        <v>8403</v>
      </c>
      <c r="F7132">
        <v>3</v>
      </c>
    </row>
    <row r="7133" spans="1:6" ht="13.2">
      <c r="A7133" t="s">
        <v>8413</v>
      </c>
      <c r="B7133">
        <v>0</v>
      </c>
      <c r="C7133" s="44">
        <v>1470</v>
      </c>
      <c r="D7133" t="s">
        <v>291</v>
      </c>
      <c r="E7133" t="s">
        <v>7674</v>
      </c>
      <c r="F7133">
        <v>4</v>
      </c>
    </row>
    <row r="7134" spans="1:6" ht="13.2">
      <c r="A7134" t="s">
        <v>8414</v>
      </c>
      <c r="B7134">
        <v>0</v>
      </c>
      <c r="C7134" s="44">
        <v>1470</v>
      </c>
      <c r="D7134" t="s">
        <v>291</v>
      </c>
      <c r="E7134" t="s">
        <v>7674</v>
      </c>
      <c r="F7134">
        <v>4</v>
      </c>
    </row>
    <row r="7135" spans="1:6" ht="13.2">
      <c r="A7135" t="s">
        <v>8415</v>
      </c>
      <c r="B7135">
        <v>0</v>
      </c>
      <c r="C7135" s="44">
        <v>1470</v>
      </c>
      <c r="D7135" t="s">
        <v>291</v>
      </c>
      <c r="E7135" t="s">
        <v>7674</v>
      </c>
      <c r="F7135">
        <v>4</v>
      </c>
    </row>
    <row r="7136" spans="1:6" ht="13.2">
      <c r="A7136" t="s">
        <v>8416</v>
      </c>
      <c r="B7136">
        <v>0</v>
      </c>
      <c r="C7136" s="44">
        <v>1470</v>
      </c>
      <c r="D7136" t="s">
        <v>291</v>
      </c>
      <c r="E7136" t="s">
        <v>7674</v>
      </c>
      <c r="F7136">
        <v>4</v>
      </c>
    </row>
    <row r="7137" spans="1:6" ht="13.2">
      <c r="A7137" t="s">
        <v>8417</v>
      </c>
      <c r="B7137">
        <v>0</v>
      </c>
      <c r="C7137" s="44">
        <v>1470</v>
      </c>
      <c r="D7137" t="s">
        <v>291</v>
      </c>
      <c r="E7137" t="s">
        <v>7674</v>
      </c>
      <c r="F7137">
        <v>4</v>
      </c>
    </row>
    <row r="7138" spans="1:6" ht="13.2">
      <c r="A7138" t="s">
        <v>8418</v>
      </c>
      <c r="B7138">
        <v>0</v>
      </c>
      <c r="C7138" s="44">
        <v>1470</v>
      </c>
      <c r="D7138" t="s">
        <v>291</v>
      </c>
      <c r="E7138" t="s">
        <v>7674</v>
      </c>
      <c r="F7138">
        <v>4</v>
      </c>
    </row>
    <row r="7139" spans="1:6" ht="13.2">
      <c r="A7139" t="s">
        <v>8419</v>
      </c>
      <c r="B7139">
        <v>0</v>
      </c>
      <c r="C7139" s="44">
        <v>1470</v>
      </c>
      <c r="D7139" t="s">
        <v>291</v>
      </c>
      <c r="E7139" t="s">
        <v>7674</v>
      </c>
      <c r="F7139">
        <v>4</v>
      </c>
    </row>
    <row r="7140" spans="1:6" ht="13.2">
      <c r="A7140" t="s">
        <v>8420</v>
      </c>
      <c r="B7140">
        <v>0</v>
      </c>
      <c r="C7140" s="44">
        <v>1470</v>
      </c>
      <c r="D7140" t="s">
        <v>291</v>
      </c>
      <c r="E7140" t="s">
        <v>7674</v>
      </c>
      <c r="F7140">
        <v>4</v>
      </c>
    </row>
    <row r="7141" spans="1:6" ht="13.2">
      <c r="A7141" t="s">
        <v>8421</v>
      </c>
      <c r="B7141">
        <v>0</v>
      </c>
      <c r="C7141" s="44">
        <v>1470</v>
      </c>
      <c r="D7141" t="s">
        <v>291</v>
      </c>
      <c r="E7141" t="s">
        <v>7674</v>
      </c>
      <c r="F7141">
        <v>4</v>
      </c>
    </row>
    <row r="7142" spans="1:6" ht="13.2">
      <c r="A7142" t="s">
        <v>8422</v>
      </c>
      <c r="B7142">
        <v>0</v>
      </c>
      <c r="C7142" s="44">
        <v>1470</v>
      </c>
      <c r="D7142" t="s">
        <v>291</v>
      </c>
      <c r="E7142" t="s">
        <v>7674</v>
      </c>
      <c r="F7142">
        <v>4</v>
      </c>
    </row>
    <row r="7143" spans="1:6" ht="13.2">
      <c r="A7143" t="s">
        <v>8423</v>
      </c>
      <c r="B7143">
        <v>0</v>
      </c>
      <c r="C7143" s="44">
        <v>1470</v>
      </c>
      <c r="D7143" t="s">
        <v>291</v>
      </c>
      <c r="E7143" t="s">
        <v>7674</v>
      </c>
      <c r="F7143">
        <v>4</v>
      </c>
    </row>
    <row r="7144" spans="1:6" ht="13.2">
      <c r="A7144" t="s">
        <v>8424</v>
      </c>
      <c r="B7144">
        <v>0</v>
      </c>
      <c r="C7144" s="44">
        <v>1470</v>
      </c>
      <c r="D7144" t="s">
        <v>291</v>
      </c>
      <c r="E7144" t="s">
        <v>7674</v>
      </c>
      <c r="F7144">
        <v>4</v>
      </c>
    </row>
    <row r="7145" spans="1:6" ht="13.2">
      <c r="A7145" t="s">
        <v>8425</v>
      </c>
      <c r="B7145">
        <v>0</v>
      </c>
      <c r="C7145" s="44">
        <v>1470</v>
      </c>
      <c r="D7145" t="s">
        <v>291</v>
      </c>
      <c r="E7145" t="s">
        <v>7674</v>
      </c>
      <c r="F7145">
        <v>4</v>
      </c>
    </row>
    <row r="7146" spans="1:6" ht="13.2">
      <c r="A7146" t="s">
        <v>8426</v>
      </c>
      <c r="B7146">
        <v>0</v>
      </c>
      <c r="C7146" s="44">
        <v>1470</v>
      </c>
      <c r="D7146" t="s">
        <v>291</v>
      </c>
      <c r="E7146" t="s">
        <v>7674</v>
      </c>
      <c r="F7146">
        <v>4</v>
      </c>
    </row>
    <row r="7147" spans="1:6" ht="13.2">
      <c r="A7147" t="s">
        <v>8427</v>
      </c>
      <c r="B7147">
        <v>0</v>
      </c>
      <c r="C7147" s="44">
        <v>1470</v>
      </c>
      <c r="D7147" t="s">
        <v>291</v>
      </c>
      <c r="E7147" t="s">
        <v>7674</v>
      </c>
      <c r="F7147">
        <v>4</v>
      </c>
    </row>
    <row r="7148" spans="1:6" ht="13.2">
      <c r="A7148" t="s">
        <v>8428</v>
      </c>
      <c r="B7148">
        <v>0</v>
      </c>
      <c r="C7148" s="44">
        <v>3000</v>
      </c>
      <c r="D7148" t="s">
        <v>291</v>
      </c>
      <c r="E7148" t="s">
        <v>7674</v>
      </c>
      <c r="F7148">
        <v>4</v>
      </c>
    </row>
    <row r="7149" spans="1:6" ht="13.2">
      <c r="A7149" t="s">
        <v>8429</v>
      </c>
      <c r="B7149">
        <v>0</v>
      </c>
      <c r="C7149" s="44">
        <v>3000</v>
      </c>
      <c r="D7149" t="s">
        <v>291</v>
      </c>
      <c r="E7149" t="s">
        <v>7674</v>
      </c>
      <c r="F7149">
        <v>4</v>
      </c>
    </row>
    <row r="7150" spans="1:6" ht="13.2">
      <c r="A7150" t="s">
        <v>8430</v>
      </c>
      <c r="B7150">
        <v>0</v>
      </c>
      <c r="C7150" s="44">
        <v>3000</v>
      </c>
      <c r="D7150" t="s">
        <v>291</v>
      </c>
      <c r="E7150" t="s">
        <v>7674</v>
      </c>
      <c r="F7150">
        <v>4</v>
      </c>
    </row>
    <row r="7151" spans="1:6" ht="13.2">
      <c r="A7151" t="s">
        <v>8431</v>
      </c>
      <c r="B7151">
        <v>0</v>
      </c>
      <c r="C7151" s="44">
        <v>3000</v>
      </c>
      <c r="D7151" t="s">
        <v>291</v>
      </c>
      <c r="E7151" t="s">
        <v>7674</v>
      </c>
      <c r="F7151">
        <v>4</v>
      </c>
    </row>
    <row r="7152" spans="1:6" ht="13.2">
      <c r="A7152" t="s">
        <v>8432</v>
      </c>
      <c r="B7152">
        <v>0</v>
      </c>
      <c r="C7152" s="44">
        <v>3000</v>
      </c>
      <c r="D7152" t="s">
        <v>291</v>
      </c>
      <c r="E7152" t="s">
        <v>7674</v>
      </c>
      <c r="F7152">
        <v>4</v>
      </c>
    </row>
    <row r="7153" spans="1:6" ht="13.2">
      <c r="A7153" t="s">
        <v>8433</v>
      </c>
      <c r="B7153">
        <v>0</v>
      </c>
      <c r="C7153" s="44">
        <v>3000</v>
      </c>
      <c r="D7153" t="s">
        <v>291</v>
      </c>
      <c r="E7153" t="s">
        <v>7674</v>
      </c>
      <c r="F7153">
        <v>4</v>
      </c>
    </row>
    <row r="7154" spans="1:6" ht="13.2">
      <c r="A7154" t="s">
        <v>8434</v>
      </c>
      <c r="B7154">
        <v>0</v>
      </c>
      <c r="C7154" s="44">
        <v>3000</v>
      </c>
      <c r="D7154" t="s">
        <v>291</v>
      </c>
      <c r="E7154" t="s">
        <v>7674</v>
      </c>
      <c r="F7154">
        <v>4</v>
      </c>
    </row>
    <row r="7155" spans="1:6" ht="13.2">
      <c r="A7155" t="s">
        <v>8435</v>
      </c>
      <c r="B7155">
        <v>0</v>
      </c>
      <c r="C7155" s="44">
        <v>3000</v>
      </c>
      <c r="D7155" t="s">
        <v>291</v>
      </c>
      <c r="E7155" t="s">
        <v>7674</v>
      </c>
      <c r="F7155">
        <v>4</v>
      </c>
    </row>
    <row r="7156" spans="1:6" ht="13.2">
      <c r="A7156" t="s">
        <v>8436</v>
      </c>
      <c r="B7156">
        <v>0</v>
      </c>
      <c r="C7156" s="44">
        <v>3000</v>
      </c>
      <c r="D7156" t="s">
        <v>291</v>
      </c>
      <c r="E7156" t="s">
        <v>7674</v>
      </c>
      <c r="F7156">
        <v>4</v>
      </c>
    </row>
    <row r="7157" spans="1:6" ht="13.2">
      <c r="A7157" t="s">
        <v>8437</v>
      </c>
      <c r="B7157">
        <v>0</v>
      </c>
      <c r="C7157" s="44">
        <v>3000</v>
      </c>
      <c r="D7157" t="s">
        <v>291</v>
      </c>
      <c r="E7157" t="s">
        <v>7674</v>
      </c>
      <c r="F7157">
        <v>4</v>
      </c>
    </row>
    <row r="7158" spans="1:6" ht="13.2">
      <c r="A7158" t="s">
        <v>8438</v>
      </c>
      <c r="B7158">
        <v>0</v>
      </c>
      <c r="C7158" s="44">
        <v>3000</v>
      </c>
      <c r="D7158" t="s">
        <v>291</v>
      </c>
      <c r="E7158" t="s">
        <v>7674</v>
      </c>
      <c r="F7158">
        <v>4</v>
      </c>
    </row>
    <row r="7159" spans="1:6" ht="13.2">
      <c r="A7159" t="s">
        <v>8439</v>
      </c>
      <c r="B7159">
        <v>0</v>
      </c>
      <c r="C7159" s="44">
        <v>3000</v>
      </c>
      <c r="D7159" t="s">
        <v>291</v>
      </c>
      <c r="E7159" t="s">
        <v>7674</v>
      </c>
      <c r="F7159">
        <v>4</v>
      </c>
    </row>
    <row r="7160" spans="1:6" ht="13.2">
      <c r="A7160" t="s">
        <v>8440</v>
      </c>
      <c r="B7160">
        <v>0</v>
      </c>
      <c r="C7160" s="44">
        <v>3000</v>
      </c>
      <c r="D7160" t="s">
        <v>291</v>
      </c>
      <c r="E7160" t="s">
        <v>7674</v>
      </c>
      <c r="F7160">
        <v>4</v>
      </c>
    </row>
    <row r="7161" spans="1:6" ht="13.2">
      <c r="A7161" t="s">
        <v>8441</v>
      </c>
      <c r="B7161">
        <v>0</v>
      </c>
      <c r="C7161" s="44">
        <v>3200</v>
      </c>
      <c r="D7161" t="s">
        <v>293</v>
      </c>
      <c r="E7161" t="s">
        <v>7674</v>
      </c>
      <c r="F7161">
        <v>4</v>
      </c>
    </row>
    <row r="7162" spans="1:6" ht="13.2">
      <c r="A7162" t="s">
        <v>8442</v>
      </c>
      <c r="B7162">
        <v>0</v>
      </c>
      <c r="C7162" s="44">
        <v>3200</v>
      </c>
      <c r="D7162" t="s">
        <v>293</v>
      </c>
      <c r="E7162" t="s">
        <v>7674</v>
      </c>
      <c r="F7162">
        <v>4</v>
      </c>
    </row>
    <row r="7163" spans="1:6" ht="13.2">
      <c r="A7163" t="s">
        <v>8443</v>
      </c>
      <c r="B7163">
        <v>0</v>
      </c>
      <c r="C7163" s="44">
        <v>3200</v>
      </c>
      <c r="D7163" t="s">
        <v>293</v>
      </c>
      <c r="E7163" t="s">
        <v>7674</v>
      </c>
      <c r="F7163">
        <v>4</v>
      </c>
    </row>
    <row r="7164" spans="1:6" ht="13.2">
      <c r="A7164" t="s">
        <v>8444</v>
      </c>
      <c r="B7164">
        <v>0</v>
      </c>
      <c r="C7164" s="44">
        <v>3200</v>
      </c>
      <c r="D7164" t="s">
        <v>293</v>
      </c>
      <c r="E7164" t="s">
        <v>7674</v>
      </c>
      <c r="F7164">
        <v>4</v>
      </c>
    </row>
    <row r="7165" spans="1:6" ht="13.2">
      <c r="A7165" t="s">
        <v>8445</v>
      </c>
      <c r="B7165">
        <v>0</v>
      </c>
      <c r="C7165" s="44">
        <v>3200</v>
      </c>
      <c r="D7165" t="s">
        <v>293</v>
      </c>
      <c r="E7165" t="s">
        <v>7674</v>
      </c>
      <c r="F7165">
        <v>4</v>
      </c>
    </row>
    <row r="7166" spans="1:6" ht="13.2">
      <c r="A7166" t="s">
        <v>8446</v>
      </c>
      <c r="B7166">
        <v>0</v>
      </c>
      <c r="C7166" s="44">
        <v>3200</v>
      </c>
      <c r="D7166" t="s">
        <v>293</v>
      </c>
      <c r="E7166" t="s">
        <v>7674</v>
      </c>
      <c r="F7166">
        <v>4</v>
      </c>
    </row>
    <row r="7167" spans="1:6" ht="13.2">
      <c r="A7167" t="s">
        <v>8447</v>
      </c>
      <c r="B7167">
        <v>0</v>
      </c>
      <c r="C7167" s="44">
        <v>3200</v>
      </c>
      <c r="D7167" t="s">
        <v>293</v>
      </c>
      <c r="E7167" t="s">
        <v>7674</v>
      </c>
      <c r="F7167">
        <v>4</v>
      </c>
    </row>
    <row r="7168" spans="1:6" ht="13.2">
      <c r="A7168" t="s">
        <v>8448</v>
      </c>
      <c r="B7168">
        <v>0</v>
      </c>
      <c r="C7168" s="44">
        <v>3200</v>
      </c>
      <c r="D7168" t="s">
        <v>293</v>
      </c>
      <c r="E7168" t="s">
        <v>7674</v>
      </c>
      <c r="F7168">
        <v>4</v>
      </c>
    </row>
    <row r="7169" spans="1:6" ht="13.2">
      <c r="A7169" t="s">
        <v>8449</v>
      </c>
      <c r="B7169">
        <v>0</v>
      </c>
      <c r="C7169" s="44">
        <v>3200</v>
      </c>
      <c r="D7169" t="s">
        <v>293</v>
      </c>
      <c r="E7169" t="s">
        <v>7674</v>
      </c>
      <c r="F7169">
        <v>4</v>
      </c>
    </row>
    <row r="7170" spans="1:6" ht="13.2">
      <c r="A7170" t="s">
        <v>8450</v>
      </c>
      <c r="B7170">
        <v>0</v>
      </c>
      <c r="C7170" s="44">
        <v>3200</v>
      </c>
      <c r="D7170" t="s">
        <v>293</v>
      </c>
      <c r="E7170" t="s">
        <v>7674</v>
      </c>
      <c r="F7170">
        <v>4</v>
      </c>
    </row>
    <row r="7171" spans="1:6" ht="13.2">
      <c r="A7171" t="s">
        <v>8451</v>
      </c>
      <c r="B7171">
        <v>0</v>
      </c>
      <c r="C7171" s="44">
        <v>3200</v>
      </c>
      <c r="D7171" t="s">
        <v>293</v>
      </c>
      <c r="E7171" t="s">
        <v>7674</v>
      </c>
      <c r="F7171">
        <v>4</v>
      </c>
    </row>
    <row r="7172" spans="1:6" ht="13.2">
      <c r="A7172" t="s">
        <v>8452</v>
      </c>
      <c r="B7172">
        <v>57</v>
      </c>
      <c r="C7172" s="44">
        <v>3150</v>
      </c>
      <c r="D7172" t="s">
        <v>293</v>
      </c>
      <c r="E7172" t="s">
        <v>7674</v>
      </c>
      <c r="F7172">
        <v>4</v>
      </c>
    </row>
    <row r="7173" spans="1:6" ht="13.2">
      <c r="A7173" t="s">
        <v>8453</v>
      </c>
      <c r="B7173">
        <v>57</v>
      </c>
      <c r="C7173" s="44">
        <v>3150</v>
      </c>
      <c r="D7173" t="s">
        <v>293</v>
      </c>
      <c r="E7173" t="s">
        <v>7674</v>
      </c>
      <c r="F7173">
        <v>4</v>
      </c>
    </row>
    <row r="7174" spans="1:6" ht="13.2">
      <c r="A7174" t="s">
        <v>8454</v>
      </c>
      <c r="B7174">
        <v>57</v>
      </c>
      <c r="C7174" s="44">
        <v>3150</v>
      </c>
      <c r="D7174" t="s">
        <v>293</v>
      </c>
      <c r="E7174" t="s">
        <v>7674</v>
      </c>
      <c r="F7174">
        <v>4</v>
      </c>
    </row>
    <row r="7175" spans="1:6" ht="13.2">
      <c r="A7175" t="s">
        <v>8455</v>
      </c>
      <c r="B7175">
        <v>57</v>
      </c>
      <c r="C7175" s="44">
        <v>3150</v>
      </c>
      <c r="D7175" t="s">
        <v>293</v>
      </c>
      <c r="E7175" t="s">
        <v>7674</v>
      </c>
      <c r="F7175">
        <v>4</v>
      </c>
    </row>
    <row r="7176" spans="1:6" ht="13.2">
      <c r="A7176" t="s">
        <v>8456</v>
      </c>
      <c r="B7176">
        <v>57</v>
      </c>
      <c r="C7176" s="44">
        <v>3150</v>
      </c>
      <c r="D7176" t="s">
        <v>293</v>
      </c>
      <c r="E7176" t="s">
        <v>7674</v>
      </c>
      <c r="F7176">
        <v>4</v>
      </c>
    </row>
    <row r="7177" spans="1:6" ht="13.2">
      <c r="A7177" t="s">
        <v>8457</v>
      </c>
      <c r="B7177">
        <v>57</v>
      </c>
      <c r="C7177" s="44">
        <v>3150</v>
      </c>
      <c r="D7177" t="s">
        <v>293</v>
      </c>
      <c r="E7177" t="s">
        <v>7674</v>
      </c>
      <c r="F7177">
        <v>4</v>
      </c>
    </row>
    <row r="7178" spans="1:6" ht="13.2">
      <c r="A7178" t="s">
        <v>8458</v>
      </c>
      <c r="B7178">
        <v>57</v>
      </c>
      <c r="C7178" s="44">
        <v>3150</v>
      </c>
      <c r="D7178" t="s">
        <v>293</v>
      </c>
      <c r="E7178" t="s">
        <v>7674</v>
      </c>
      <c r="F7178">
        <v>4</v>
      </c>
    </row>
    <row r="7179" spans="1:6" ht="13.2">
      <c r="A7179" t="s">
        <v>8459</v>
      </c>
      <c r="B7179">
        <v>57</v>
      </c>
      <c r="C7179" s="44">
        <v>3150</v>
      </c>
      <c r="D7179" t="s">
        <v>293</v>
      </c>
      <c r="E7179" t="s">
        <v>7674</v>
      </c>
      <c r="F7179">
        <v>4</v>
      </c>
    </row>
    <row r="7180" spans="1:6" ht="13.2">
      <c r="A7180" t="s">
        <v>8460</v>
      </c>
      <c r="B7180">
        <v>62</v>
      </c>
      <c r="C7180" s="44">
        <v>1400</v>
      </c>
      <c r="D7180" t="s">
        <v>291</v>
      </c>
      <c r="E7180" t="s">
        <v>7674</v>
      </c>
      <c r="F7180">
        <v>4</v>
      </c>
    </row>
    <row r="7181" spans="1:6" ht="13.2">
      <c r="A7181" t="s">
        <v>8461</v>
      </c>
      <c r="B7181">
        <v>62</v>
      </c>
      <c r="C7181" s="44">
        <v>1400</v>
      </c>
      <c r="D7181" t="s">
        <v>291</v>
      </c>
      <c r="E7181" t="s">
        <v>7674</v>
      </c>
      <c r="F7181">
        <v>4</v>
      </c>
    </row>
    <row r="7182" spans="1:6" ht="13.2">
      <c r="A7182" t="s">
        <v>8462</v>
      </c>
      <c r="B7182">
        <v>0</v>
      </c>
      <c r="C7182" s="44">
        <v>1400</v>
      </c>
      <c r="D7182" t="s">
        <v>291</v>
      </c>
      <c r="E7182" t="s">
        <v>7674</v>
      </c>
      <c r="F7182">
        <v>4</v>
      </c>
    </row>
    <row r="7183" spans="1:6" ht="13.2">
      <c r="A7183" t="s">
        <v>8463</v>
      </c>
      <c r="B7183">
        <v>0</v>
      </c>
      <c r="C7183" s="44">
        <v>1400</v>
      </c>
      <c r="D7183" t="s">
        <v>291</v>
      </c>
      <c r="E7183" t="s">
        <v>7674</v>
      </c>
      <c r="F7183">
        <v>4</v>
      </c>
    </row>
    <row r="7184" spans="1:6" ht="13.2">
      <c r="A7184" t="s">
        <v>8464</v>
      </c>
      <c r="B7184">
        <v>0</v>
      </c>
      <c r="C7184" s="44">
        <v>1400</v>
      </c>
      <c r="D7184" t="s">
        <v>291</v>
      </c>
      <c r="E7184" t="s">
        <v>7674</v>
      </c>
      <c r="F7184">
        <v>4</v>
      </c>
    </row>
    <row r="7185" spans="1:6" ht="13.2">
      <c r="A7185" t="s">
        <v>8465</v>
      </c>
      <c r="B7185">
        <v>0</v>
      </c>
      <c r="C7185" s="44">
        <v>1400</v>
      </c>
      <c r="D7185" t="s">
        <v>291</v>
      </c>
      <c r="E7185" t="s">
        <v>7674</v>
      </c>
      <c r="F7185">
        <v>4</v>
      </c>
    </row>
    <row r="7186" spans="1:6" ht="13.2">
      <c r="A7186" t="s">
        <v>8466</v>
      </c>
      <c r="B7186">
        <v>0</v>
      </c>
      <c r="C7186" s="44">
        <v>1400</v>
      </c>
      <c r="D7186" t="s">
        <v>291</v>
      </c>
      <c r="E7186" t="s">
        <v>7674</v>
      </c>
      <c r="F7186">
        <v>4</v>
      </c>
    </row>
    <row r="7187" spans="1:6" ht="13.2">
      <c r="A7187" t="s">
        <v>8467</v>
      </c>
      <c r="B7187">
        <v>0</v>
      </c>
      <c r="C7187" s="44">
        <v>1400</v>
      </c>
      <c r="D7187" t="s">
        <v>291</v>
      </c>
      <c r="E7187" t="s">
        <v>7674</v>
      </c>
      <c r="F7187">
        <v>4</v>
      </c>
    </row>
    <row r="7188" spans="1:6" ht="13.2">
      <c r="A7188" t="s">
        <v>8468</v>
      </c>
      <c r="B7188">
        <v>0</v>
      </c>
      <c r="C7188" s="44">
        <v>1400</v>
      </c>
      <c r="D7188" t="s">
        <v>291</v>
      </c>
      <c r="E7188" t="s">
        <v>7674</v>
      </c>
      <c r="F7188">
        <v>4</v>
      </c>
    </row>
    <row r="7189" spans="1:6" ht="13.2">
      <c r="A7189" t="s">
        <v>8469</v>
      </c>
      <c r="B7189">
        <v>0</v>
      </c>
      <c r="C7189" s="44">
        <v>1400</v>
      </c>
      <c r="D7189" t="s">
        <v>291</v>
      </c>
      <c r="E7189" t="s">
        <v>7674</v>
      </c>
      <c r="F7189">
        <v>4</v>
      </c>
    </row>
    <row r="7190" spans="1:6" ht="13.2">
      <c r="A7190" t="s">
        <v>8470</v>
      </c>
      <c r="B7190">
        <v>0</v>
      </c>
      <c r="C7190" s="44">
        <v>1400</v>
      </c>
      <c r="D7190" t="s">
        <v>291</v>
      </c>
      <c r="E7190" t="s">
        <v>7674</v>
      </c>
      <c r="F7190">
        <v>4</v>
      </c>
    </row>
    <row r="7191" spans="1:6" ht="13.2">
      <c r="A7191" t="s">
        <v>8471</v>
      </c>
      <c r="B7191">
        <v>0</v>
      </c>
      <c r="C7191" s="44">
        <v>1400</v>
      </c>
      <c r="D7191" t="s">
        <v>291</v>
      </c>
      <c r="E7191" t="s">
        <v>7674</v>
      </c>
      <c r="F7191">
        <v>4</v>
      </c>
    </row>
    <row r="7192" spans="1:6" ht="13.2">
      <c r="A7192" t="s">
        <v>8472</v>
      </c>
      <c r="B7192">
        <v>0</v>
      </c>
      <c r="C7192" s="44">
        <v>1400</v>
      </c>
      <c r="D7192" t="s">
        <v>291</v>
      </c>
      <c r="E7192" t="s">
        <v>7674</v>
      </c>
      <c r="F7192">
        <v>4</v>
      </c>
    </row>
    <row r="7193" spans="1:6" ht="13.2">
      <c r="A7193" t="s">
        <v>8473</v>
      </c>
      <c r="B7193">
        <v>0</v>
      </c>
      <c r="C7193" s="44">
        <v>1400</v>
      </c>
      <c r="D7193" t="s">
        <v>291</v>
      </c>
      <c r="E7193" t="s">
        <v>7674</v>
      </c>
      <c r="F7193">
        <v>4</v>
      </c>
    </row>
    <row r="7194" spans="1:6" ht="13.2">
      <c r="A7194" t="s">
        <v>8474</v>
      </c>
      <c r="B7194">
        <v>0</v>
      </c>
      <c r="C7194" s="44">
        <v>1400</v>
      </c>
      <c r="D7194" t="s">
        <v>291</v>
      </c>
      <c r="E7194" t="s">
        <v>7674</v>
      </c>
      <c r="F7194">
        <v>4</v>
      </c>
    </row>
    <row r="7195" spans="1:6" ht="13.2">
      <c r="A7195" t="s">
        <v>8475</v>
      </c>
      <c r="B7195">
        <v>0</v>
      </c>
      <c r="C7195" s="44">
        <v>1400</v>
      </c>
      <c r="D7195" t="s">
        <v>291</v>
      </c>
      <c r="E7195" t="s">
        <v>7674</v>
      </c>
      <c r="F7195">
        <v>4</v>
      </c>
    </row>
    <row r="7196" spans="1:6" ht="13.2">
      <c r="A7196" t="s">
        <v>8476</v>
      </c>
      <c r="B7196">
        <v>0</v>
      </c>
      <c r="C7196" s="44">
        <v>1400</v>
      </c>
      <c r="D7196" t="s">
        <v>291</v>
      </c>
      <c r="E7196" t="s">
        <v>7674</v>
      </c>
      <c r="F7196">
        <v>4</v>
      </c>
    </row>
    <row r="7197" spans="1:6" ht="13.2">
      <c r="A7197" t="s">
        <v>8477</v>
      </c>
      <c r="B7197">
        <v>0</v>
      </c>
      <c r="C7197" s="44">
        <v>1400</v>
      </c>
      <c r="D7197" t="s">
        <v>291</v>
      </c>
      <c r="E7197" t="s">
        <v>7674</v>
      </c>
      <c r="F7197">
        <v>4</v>
      </c>
    </row>
    <row r="7198" spans="1:6" ht="13.2">
      <c r="A7198" t="s">
        <v>8478</v>
      </c>
      <c r="B7198">
        <v>0</v>
      </c>
      <c r="C7198" s="44">
        <v>1400</v>
      </c>
      <c r="D7198" t="s">
        <v>291</v>
      </c>
      <c r="E7198" t="s">
        <v>7674</v>
      </c>
      <c r="F7198">
        <v>4</v>
      </c>
    </row>
    <row r="7199" spans="1:6" ht="13.2">
      <c r="A7199" t="s">
        <v>8479</v>
      </c>
      <c r="B7199">
        <v>4</v>
      </c>
      <c r="C7199" s="44">
        <v>1400</v>
      </c>
      <c r="D7199" t="s">
        <v>291</v>
      </c>
      <c r="E7199" t="s">
        <v>213</v>
      </c>
      <c r="F7199">
        <v>4</v>
      </c>
    </row>
    <row r="7200" spans="1:6" ht="13.2">
      <c r="A7200" t="s">
        <v>8480</v>
      </c>
      <c r="B7200">
        <v>4</v>
      </c>
      <c r="C7200" s="44">
        <v>1400</v>
      </c>
      <c r="D7200" t="s">
        <v>291</v>
      </c>
      <c r="E7200" t="s">
        <v>213</v>
      </c>
      <c r="F7200">
        <v>4</v>
      </c>
    </row>
    <row r="7201" spans="1:6" ht="13.2">
      <c r="A7201" t="s">
        <v>8493</v>
      </c>
      <c r="B7201">
        <v>0</v>
      </c>
      <c r="C7201" s="44">
        <v>1400</v>
      </c>
      <c r="D7201" t="s">
        <v>291</v>
      </c>
      <c r="E7201" t="s">
        <v>359</v>
      </c>
      <c r="F7201">
        <v>4</v>
      </c>
    </row>
    <row r="7202" spans="1:6" ht="13.2">
      <c r="A7202" t="s">
        <v>8494</v>
      </c>
      <c r="B7202">
        <v>0</v>
      </c>
      <c r="C7202" s="44">
        <v>1400</v>
      </c>
      <c r="D7202" t="s">
        <v>291</v>
      </c>
      <c r="E7202" t="s">
        <v>359</v>
      </c>
      <c r="F7202">
        <v>4</v>
      </c>
    </row>
    <row r="7203" spans="1:6" ht="13.2">
      <c r="A7203" t="s">
        <v>8495</v>
      </c>
      <c r="B7203">
        <v>0</v>
      </c>
      <c r="C7203" s="44" t="s">
        <v>4092</v>
      </c>
      <c r="D7203" t="s">
        <v>293</v>
      </c>
      <c r="E7203" t="s">
        <v>256</v>
      </c>
      <c r="F7203">
        <v>4</v>
      </c>
    </row>
    <row r="7204" spans="1:6" ht="13.2">
      <c r="A7204" t="s">
        <v>8496</v>
      </c>
      <c r="B7204">
        <v>0</v>
      </c>
      <c r="C7204" s="44" t="s">
        <v>8497</v>
      </c>
      <c r="D7204" t="s">
        <v>293</v>
      </c>
      <c r="E7204" t="s">
        <v>256</v>
      </c>
      <c r="F7204">
        <v>4</v>
      </c>
    </row>
    <row r="7205" spans="1:6" ht="13.2">
      <c r="A7205" t="s">
        <v>8498</v>
      </c>
      <c r="B7205">
        <v>0</v>
      </c>
      <c r="C7205" s="44" t="s">
        <v>8497</v>
      </c>
      <c r="D7205" t="s">
        <v>293</v>
      </c>
      <c r="E7205" t="s">
        <v>256</v>
      </c>
      <c r="F7205">
        <v>4</v>
      </c>
    </row>
    <row r="7206" spans="1:6" ht="13.2">
      <c r="A7206" t="s">
        <v>8499</v>
      </c>
      <c r="B7206">
        <v>0</v>
      </c>
      <c r="C7206" s="44" t="s">
        <v>8497</v>
      </c>
      <c r="D7206" t="s">
        <v>293</v>
      </c>
      <c r="E7206" t="s">
        <v>256</v>
      </c>
      <c r="F7206">
        <v>4</v>
      </c>
    </row>
    <row r="7207" spans="1:6" ht="13.2">
      <c r="A7207" t="s">
        <v>8500</v>
      </c>
      <c r="B7207">
        <v>0</v>
      </c>
      <c r="C7207" s="44" t="s">
        <v>8497</v>
      </c>
      <c r="D7207" t="s">
        <v>293</v>
      </c>
      <c r="E7207" t="s">
        <v>256</v>
      </c>
      <c r="F7207">
        <v>4</v>
      </c>
    </row>
    <row r="7208" spans="1:6" ht="13.2">
      <c r="A7208" t="s">
        <v>8501</v>
      </c>
      <c r="B7208">
        <v>0</v>
      </c>
      <c r="C7208" s="44" t="s">
        <v>8497</v>
      </c>
      <c r="D7208" t="s">
        <v>293</v>
      </c>
      <c r="E7208" t="s">
        <v>256</v>
      </c>
      <c r="F7208">
        <v>4</v>
      </c>
    </row>
    <row r="7209" spans="1:6" ht="13.2">
      <c r="A7209" t="s">
        <v>8502</v>
      </c>
      <c r="B7209">
        <v>0</v>
      </c>
      <c r="C7209" s="44" t="s">
        <v>8497</v>
      </c>
      <c r="D7209" t="s">
        <v>293</v>
      </c>
      <c r="E7209" t="s">
        <v>256</v>
      </c>
      <c r="F7209">
        <v>4</v>
      </c>
    </row>
    <row r="7210" spans="1:6" ht="13.2">
      <c r="A7210" t="s">
        <v>8503</v>
      </c>
      <c r="B7210">
        <v>0</v>
      </c>
      <c r="C7210" s="44" t="s">
        <v>8497</v>
      </c>
      <c r="D7210" t="s">
        <v>293</v>
      </c>
      <c r="E7210" t="s">
        <v>256</v>
      </c>
      <c r="F7210">
        <v>4</v>
      </c>
    </row>
    <row r="7211" spans="1:6" ht="13.2">
      <c r="A7211" t="s">
        <v>8504</v>
      </c>
      <c r="B7211">
        <v>0</v>
      </c>
      <c r="C7211" s="44" t="s">
        <v>8497</v>
      </c>
      <c r="D7211" t="s">
        <v>293</v>
      </c>
      <c r="E7211" t="s">
        <v>256</v>
      </c>
      <c r="F7211">
        <v>4</v>
      </c>
    </row>
    <row r="7212" spans="1:6" ht="13.2">
      <c r="A7212" t="s">
        <v>8505</v>
      </c>
      <c r="B7212">
        <v>0</v>
      </c>
      <c r="C7212" s="44" t="s">
        <v>8497</v>
      </c>
      <c r="D7212" t="s">
        <v>293</v>
      </c>
      <c r="E7212" t="s">
        <v>256</v>
      </c>
      <c r="F7212">
        <v>4</v>
      </c>
    </row>
    <row r="7213" spans="1:6" ht="13.2">
      <c r="A7213" t="s">
        <v>8506</v>
      </c>
      <c r="B7213">
        <v>0</v>
      </c>
      <c r="C7213" s="44" t="s">
        <v>8497</v>
      </c>
      <c r="D7213" t="s">
        <v>293</v>
      </c>
      <c r="E7213" t="s">
        <v>256</v>
      </c>
      <c r="F7213">
        <v>4</v>
      </c>
    </row>
    <row r="7214" spans="1:6" ht="13.2">
      <c r="A7214" t="s">
        <v>8507</v>
      </c>
      <c r="B7214">
        <v>0</v>
      </c>
      <c r="C7214" s="44" t="s">
        <v>8497</v>
      </c>
      <c r="D7214" t="s">
        <v>293</v>
      </c>
      <c r="E7214" t="s">
        <v>256</v>
      </c>
      <c r="F7214">
        <v>4</v>
      </c>
    </row>
    <row r="7215" spans="1:6" ht="13.2">
      <c r="A7215" t="s">
        <v>8508</v>
      </c>
      <c r="B7215">
        <v>0</v>
      </c>
      <c r="C7215" s="44">
        <v>3040</v>
      </c>
      <c r="D7215" t="s">
        <v>291</v>
      </c>
      <c r="E7215" t="s">
        <v>8509</v>
      </c>
      <c r="F7215">
        <v>4</v>
      </c>
    </row>
    <row r="7216" spans="1:6" ht="13.2">
      <c r="A7216" t="s">
        <v>8510</v>
      </c>
      <c r="B7216">
        <v>0</v>
      </c>
      <c r="C7216" s="44">
        <v>3040</v>
      </c>
      <c r="D7216" t="s">
        <v>291</v>
      </c>
      <c r="E7216" t="s">
        <v>8509</v>
      </c>
      <c r="F7216">
        <v>4</v>
      </c>
    </row>
    <row r="7217" spans="1:6" ht="13.2">
      <c r="A7217" t="s">
        <v>8511</v>
      </c>
      <c r="B7217">
        <v>0</v>
      </c>
      <c r="C7217" s="44">
        <v>3040</v>
      </c>
      <c r="D7217" t="s">
        <v>291</v>
      </c>
      <c r="E7217" t="s">
        <v>8509</v>
      </c>
      <c r="F7217">
        <v>4</v>
      </c>
    </row>
    <row r="7218" spans="1:6" ht="13.2">
      <c r="A7218" t="s">
        <v>8512</v>
      </c>
      <c r="B7218">
        <v>0</v>
      </c>
      <c r="C7218" s="44">
        <v>3040</v>
      </c>
      <c r="D7218" t="s">
        <v>291</v>
      </c>
      <c r="E7218" t="s">
        <v>8509</v>
      </c>
      <c r="F7218">
        <v>4</v>
      </c>
    </row>
    <row r="7219" spans="1:6" ht="13.2">
      <c r="A7219" t="s">
        <v>8513</v>
      </c>
      <c r="B7219">
        <v>0</v>
      </c>
      <c r="C7219" s="44">
        <v>3040</v>
      </c>
      <c r="D7219" t="s">
        <v>291</v>
      </c>
      <c r="E7219" t="s">
        <v>8509</v>
      </c>
      <c r="F7219">
        <v>4</v>
      </c>
    </row>
    <row r="7220" spans="1:6" ht="13.2">
      <c r="A7220" t="s">
        <v>8514</v>
      </c>
      <c r="B7220">
        <v>0</v>
      </c>
      <c r="C7220" s="44">
        <v>3040</v>
      </c>
      <c r="D7220" t="s">
        <v>291</v>
      </c>
      <c r="E7220" t="s">
        <v>8509</v>
      </c>
      <c r="F7220">
        <v>4</v>
      </c>
    </row>
    <row r="7221" spans="1:6" ht="13.2">
      <c r="A7221" t="s">
        <v>8515</v>
      </c>
      <c r="B7221">
        <v>0</v>
      </c>
      <c r="C7221" s="44">
        <v>3040</v>
      </c>
      <c r="D7221" t="s">
        <v>291</v>
      </c>
      <c r="E7221" t="s">
        <v>8509</v>
      </c>
      <c r="F7221">
        <v>4</v>
      </c>
    </row>
    <row r="7222" spans="1:6" ht="13.2">
      <c r="A7222" t="s">
        <v>8516</v>
      </c>
      <c r="B7222">
        <v>0</v>
      </c>
      <c r="C7222" s="44">
        <v>3040</v>
      </c>
      <c r="D7222" t="s">
        <v>291</v>
      </c>
      <c r="E7222" t="s">
        <v>8509</v>
      </c>
      <c r="F7222">
        <v>4</v>
      </c>
    </row>
    <row r="7223" spans="1:6" ht="13.2">
      <c r="A7223" t="s">
        <v>8517</v>
      </c>
      <c r="B7223">
        <v>0</v>
      </c>
      <c r="C7223" s="44">
        <v>3040</v>
      </c>
      <c r="D7223" t="s">
        <v>291</v>
      </c>
      <c r="E7223" t="s">
        <v>8509</v>
      </c>
      <c r="F7223">
        <v>4</v>
      </c>
    </row>
    <row r="7224" spans="1:6" ht="13.2">
      <c r="A7224" t="s">
        <v>8518</v>
      </c>
      <c r="B7224">
        <v>0</v>
      </c>
      <c r="C7224" s="44">
        <v>3040</v>
      </c>
      <c r="D7224" t="s">
        <v>291</v>
      </c>
      <c r="E7224" t="s">
        <v>8509</v>
      </c>
      <c r="F7224">
        <v>4</v>
      </c>
    </row>
    <row r="7225" spans="1:6" ht="13.2">
      <c r="A7225" t="s">
        <v>8519</v>
      </c>
      <c r="B7225">
        <v>0</v>
      </c>
      <c r="C7225" s="44">
        <v>3040</v>
      </c>
      <c r="D7225" t="s">
        <v>291</v>
      </c>
      <c r="E7225" t="s">
        <v>8509</v>
      </c>
      <c r="F7225">
        <v>4</v>
      </c>
    </row>
    <row r="7226" spans="1:6" ht="13.2">
      <c r="A7226" t="s">
        <v>8520</v>
      </c>
      <c r="B7226">
        <v>0</v>
      </c>
      <c r="C7226" s="44">
        <v>3040</v>
      </c>
      <c r="D7226" t="s">
        <v>291</v>
      </c>
      <c r="E7226" t="s">
        <v>8509</v>
      </c>
      <c r="F7226">
        <v>4</v>
      </c>
    </row>
    <row r="7227" spans="1:6" ht="13.2">
      <c r="A7227" t="s">
        <v>8521</v>
      </c>
      <c r="B7227">
        <v>0</v>
      </c>
      <c r="C7227" s="44">
        <v>3040</v>
      </c>
      <c r="D7227" t="s">
        <v>291</v>
      </c>
      <c r="E7227" t="s">
        <v>8509</v>
      </c>
      <c r="F7227">
        <v>4</v>
      </c>
    </row>
    <row r="7228" spans="1:6" ht="13.2">
      <c r="A7228" t="s">
        <v>8522</v>
      </c>
      <c r="B7228">
        <v>0</v>
      </c>
      <c r="C7228" s="44">
        <v>3040</v>
      </c>
      <c r="D7228" t="s">
        <v>291</v>
      </c>
      <c r="E7228" t="s">
        <v>8509</v>
      </c>
      <c r="F7228">
        <v>4</v>
      </c>
    </row>
    <row r="7229" spans="1:6" ht="13.2">
      <c r="A7229" t="s">
        <v>8523</v>
      </c>
      <c r="B7229">
        <v>0</v>
      </c>
      <c r="C7229" s="44">
        <v>3040</v>
      </c>
      <c r="D7229" t="s">
        <v>291</v>
      </c>
      <c r="E7229" t="s">
        <v>8509</v>
      </c>
      <c r="F7229">
        <v>4</v>
      </c>
    </row>
    <row r="7230" spans="1:6" ht="13.2">
      <c r="A7230" t="s">
        <v>8524</v>
      </c>
      <c r="B7230">
        <v>0</v>
      </c>
      <c r="C7230" s="44">
        <v>3040</v>
      </c>
      <c r="D7230" t="s">
        <v>293</v>
      </c>
      <c r="E7230" t="s">
        <v>8509</v>
      </c>
      <c r="F7230">
        <v>4</v>
      </c>
    </row>
    <row r="7231" spans="1:6" ht="13.2">
      <c r="A7231" t="s">
        <v>8525</v>
      </c>
      <c r="B7231">
        <v>0</v>
      </c>
      <c r="C7231" s="44">
        <v>3040</v>
      </c>
      <c r="D7231" t="s">
        <v>293</v>
      </c>
      <c r="E7231" t="s">
        <v>8509</v>
      </c>
      <c r="F7231">
        <v>4</v>
      </c>
    </row>
    <row r="7232" spans="1:6" ht="13.2">
      <c r="A7232" t="s">
        <v>8526</v>
      </c>
      <c r="B7232">
        <v>0</v>
      </c>
      <c r="C7232" s="44">
        <v>3040</v>
      </c>
      <c r="D7232" t="s">
        <v>293</v>
      </c>
      <c r="E7232" t="s">
        <v>8509</v>
      </c>
      <c r="F7232">
        <v>4</v>
      </c>
    </row>
    <row r="7233" spans="1:6" ht="13.2">
      <c r="A7233" t="s">
        <v>8527</v>
      </c>
      <c r="B7233">
        <v>0</v>
      </c>
      <c r="C7233" s="44">
        <v>3040</v>
      </c>
      <c r="D7233" t="s">
        <v>293</v>
      </c>
      <c r="E7233" t="s">
        <v>8509</v>
      </c>
      <c r="F7233">
        <v>4</v>
      </c>
    </row>
    <row r="7234" spans="1:6" ht="13.2">
      <c r="A7234" t="s">
        <v>8528</v>
      </c>
      <c r="B7234">
        <v>0</v>
      </c>
      <c r="C7234" s="44">
        <v>3040</v>
      </c>
      <c r="D7234" t="s">
        <v>293</v>
      </c>
      <c r="E7234" t="s">
        <v>8509</v>
      </c>
      <c r="F7234">
        <v>4</v>
      </c>
    </row>
    <row r="7235" spans="1:6" ht="13.2">
      <c r="A7235" t="s">
        <v>8529</v>
      </c>
      <c r="B7235">
        <v>0</v>
      </c>
      <c r="C7235" s="44">
        <v>3040</v>
      </c>
      <c r="D7235" t="s">
        <v>293</v>
      </c>
      <c r="E7235" t="s">
        <v>8509</v>
      </c>
      <c r="F7235">
        <v>4</v>
      </c>
    </row>
    <row r="7236" spans="1:6" ht="13.2">
      <c r="A7236" t="s">
        <v>8530</v>
      </c>
      <c r="B7236">
        <v>0</v>
      </c>
      <c r="C7236" s="44">
        <v>3040</v>
      </c>
      <c r="D7236" t="s">
        <v>293</v>
      </c>
      <c r="E7236" t="s">
        <v>8509</v>
      </c>
      <c r="F7236">
        <v>4</v>
      </c>
    </row>
    <row r="7237" spans="1:6" ht="13.2">
      <c r="A7237" t="s">
        <v>8531</v>
      </c>
      <c r="B7237">
        <v>0</v>
      </c>
      <c r="C7237" s="44">
        <v>3040</v>
      </c>
      <c r="D7237" t="s">
        <v>293</v>
      </c>
      <c r="E7237" t="s">
        <v>8509</v>
      </c>
      <c r="F7237">
        <v>4</v>
      </c>
    </row>
    <row r="7238" spans="1:6" ht="13.2">
      <c r="A7238" t="s">
        <v>8532</v>
      </c>
      <c r="B7238">
        <v>0</v>
      </c>
      <c r="C7238" s="44">
        <v>3040</v>
      </c>
      <c r="D7238" t="s">
        <v>293</v>
      </c>
      <c r="E7238" t="s">
        <v>8509</v>
      </c>
      <c r="F7238">
        <v>4</v>
      </c>
    </row>
    <row r="7239" spans="1:6" ht="13.2">
      <c r="A7239" t="s">
        <v>8533</v>
      </c>
      <c r="B7239">
        <v>0</v>
      </c>
      <c r="C7239" s="44">
        <v>3040</v>
      </c>
      <c r="D7239" t="s">
        <v>293</v>
      </c>
      <c r="E7239" t="s">
        <v>8509</v>
      </c>
      <c r="F7239">
        <v>4</v>
      </c>
    </row>
    <row r="7240" spans="1:6" ht="13.2">
      <c r="A7240" t="s">
        <v>8534</v>
      </c>
      <c r="B7240">
        <v>0</v>
      </c>
      <c r="C7240" s="44">
        <v>3040</v>
      </c>
      <c r="D7240" t="s">
        <v>293</v>
      </c>
      <c r="E7240" t="s">
        <v>8509</v>
      </c>
      <c r="F7240">
        <v>4</v>
      </c>
    </row>
    <row r="7241" spans="1:6" ht="13.2">
      <c r="A7241" t="s">
        <v>8535</v>
      </c>
      <c r="B7241">
        <v>0</v>
      </c>
      <c r="C7241" s="44">
        <v>3040</v>
      </c>
      <c r="D7241" t="s">
        <v>293</v>
      </c>
      <c r="E7241" t="s">
        <v>8509</v>
      </c>
      <c r="F7241">
        <v>4</v>
      </c>
    </row>
    <row r="7242" spans="1:6" ht="13.2">
      <c r="A7242" t="s">
        <v>8536</v>
      </c>
      <c r="B7242">
        <v>0</v>
      </c>
      <c r="C7242" s="44">
        <v>3040</v>
      </c>
      <c r="D7242" t="s">
        <v>293</v>
      </c>
      <c r="E7242" t="s">
        <v>8509</v>
      </c>
      <c r="F7242">
        <v>4</v>
      </c>
    </row>
    <row r="7243" spans="1:6" ht="13.2">
      <c r="A7243" t="s">
        <v>8537</v>
      </c>
      <c r="B7243">
        <v>0</v>
      </c>
      <c r="C7243" s="44">
        <v>3040</v>
      </c>
      <c r="D7243" t="s">
        <v>293</v>
      </c>
      <c r="E7243" t="s">
        <v>8509</v>
      </c>
      <c r="F7243">
        <v>4</v>
      </c>
    </row>
    <row r="7244" spans="1:6" ht="13.2">
      <c r="A7244" t="s">
        <v>8538</v>
      </c>
      <c r="B7244">
        <v>0</v>
      </c>
      <c r="C7244" s="44">
        <v>3040</v>
      </c>
      <c r="D7244" t="s">
        <v>293</v>
      </c>
      <c r="E7244" t="s">
        <v>8509</v>
      </c>
      <c r="F7244">
        <v>4</v>
      </c>
    </row>
    <row r="7245" spans="1:6" ht="13.2">
      <c r="A7245" t="s">
        <v>8539</v>
      </c>
      <c r="B7245">
        <v>630</v>
      </c>
      <c r="C7245" s="44">
        <v>1370</v>
      </c>
      <c r="D7245" t="s">
        <v>291</v>
      </c>
      <c r="E7245" t="s">
        <v>577</v>
      </c>
      <c r="F7245">
        <v>3</v>
      </c>
    </row>
    <row r="7246" spans="1:6" ht="13.2">
      <c r="A7246" t="s">
        <v>8540</v>
      </c>
      <c r="B7246">
        <v>630</v>
      </c>
      <c r="C7246" s="44">
        <v>1370</v>
      </c>
      <c r="D7246" t="s">
        <v>291</v>
      </c>
      <c r="E7246" t="s">
        <v>577</v>
      </c>
      <c r="F7246">
        <v>3</v>
      </c>
    </row>
    <row r="7247" spans="1:6" ht="13.2">
      <c r="A7247" t="s">
        <v>8541</v>
      </c>
      <c r="B7247">
        <v>630</v>
      </c>
      <c r="C7247" s="44">
        <v>1370</v>
      </c>
      <c r="D7247" t="s">
        <v>291</v>
      </c>
      <c r="E7247" t="s">
        <v>577</v>
      </c>
      <c r="F7247">
        <v>3</v>
      </c>
    </row>
    <row r="7248" spans="1:6" ht="13.2">
      <c r="A7248" t="s">
        <v>8542</v>
      </c>
      <c r="B7248">
        <v>630</v>
      </c>
      <c r="C7248" s="44">
        <v>1370</v>
      </c>
      <c r="D7248" t="s">
        <v>291</v>
      </c>
      <c r="E7248" t="s">
        <v>577</v>
      </c>
      <c r="F7248">
        <v>3</v>
      </c>
    </row>
    <row r="7249" spans="1:6" ht="13.2">
      <c r="A7249" t="s">
        <v>8543</v>
      </c>
      <c r="B7249">
        <v>630</v>
      </c>
      <c r="C7249" s="44">
        <v>1370</v>
      </c>
      <c r="D7249" t="s">
        <v>291</v>
      </c>
      <c r="E7249" t="s">
        <v>577</v>
      </c>
      <c r="F7249">
        <v>3</v>
      </c>
    </row>
    <row r="7250" spans="1:6" ht="13.2">
      <c r="A7250" t="s">
        <v>8544</v>
      </c>
      <c r="B7250">
        <v>0</v>
      </c>
      <c r="C7250" s="44">
        <v>2800</v>
      </c>
      <c r="D7250" t="s">
        <v>293</v>
      </c>
      <c r="E7250" t="s">
        <v>256</v>
      </c>
      <c r="F7250">
        <v>4</v>
      </c>
    </row>
    <row r="7251" spans="1:6" ht="13.2">
      <c r="A7251" t="s">
        <v>8545</v>
      </c>
      <c r="B7251">
        <v>0</v>
      </c>
      <c r="C7251" s="44">
        <v>2800</v>
      </c>
      <c r="D7251" t="s">
        <v>293</v>
      </c>
      <c r="E7251" t="s">
        <v>256</v>
      </c>
      <c r="F7251">
        <v>4</v>
      </c>
    </row>
    <row r="7252" spans="1:6" ht="13.2">
      <c r="A7252" t="s">
        <v>8546</v>
      </c>
      <c r="B7252">
        <v>0</v>
      </c>
      <c r="C7252" s="44">
        <v>2800</v>
      </c>
      <c r="D7252" t="s">
        <v>293</v>
      </c>
      <c r="E7252" t="s">
        <v>256</v>
      </c>
      <c r="F7252">
        <v>4</v>
      </c>
    </row>
    <row r="7253" spans="1:6" ht="13.2">
      <c r="A7253" t="s">
        <v>8547</v>
      </c>
      <c r="B7253">
        <v>0</v>
      </c>
      <c r="C7253" s="44">
        <v>2800</v>
      </c>
      <c r="D7253" t="s">
        <v>293</v>
      </c>
      <c r="E7253" t="s">
        <v>256</v>
      </c>
      <c r="F7253">
        <v>4</v>
      </c>
    </row>
    <row r="7254" spans="1:6" ht="13.2">
      <c r="A7254" t="s">
        <v>8548</v>
      </c>
      <c r="B7254">
        <v>0</v>
      </c>
      <c r="C7254" s="44">
        <v>2800</v>
      </c>
      <c r="D7254" t="s">
        <v>293</v>
      </c>
      <c r="E7254" t="s">
        <v>256</v>
      </c>
      <c r="F7254">
        <v>4</v>
      </c>
    </row>
    <row r="7255" spans="1:6" ht="13.2">
      <c r="A7255" t="s">
        <v>8549</v>
      </c>
      <c r="B7255">
        <v>0</v>
      </c>
      <c r="C7255" s="44">
        <v>2800</v>
      </c>
      <c r="D7255" t="s">
        <v>293</v>
      </c>
      <c r="E7255" t="s">
        <v>256</v>
      </c>
      <c r="F7255">
        <v>4</v>
      </c>
    </row>
    <row r="7256" spans="1:6" ht="13.2">
      <c r="A7256" t="s">
        <v>8550</v>
      </c>
      <c r="B7256">
        <v>0</v>
      </c>
      <c r="C7256" s="44">
        <v>2800</v>
      </c>
      <c r="D7256" t="s">
        <v>293</v>
      </c>
      <c r="E7256" t="s">
        <v>256</v>
      </c>
      <c r="F7256">
        <v>4</v>
      </c>
    </row>
    <row r="7257" spans="1:6" ht="13.2">
      <c r="A7257" t="s">
        <v>8551</v>
      </c>
      <c r="B7257">
        <v>0</v>
      </c>
      <c r="C7257" s="44">
        <v>2800</v>
      </c>
      <c r="D7257" t="s">
        <v>293</v>
      </c>
      <c r="E7257" t="s">
        <v>256</v>
      </c>
      <c r="F7257">
        <v>4</v>
      </c>
    </row>
    <row r="7258" spans="1:6" ht="13.2">
      <c r="A7258" t="s">
        <v>8552</v>
      </c>
      <c r="B7258">
        <v>0</v>
      </c>
      <c r="C7258" s="44">
        <v>2800</v>
      </c>
      <c r="D7258" t="s">
        <v>293</v>
      </c>
      <c r="E7258" t="s">
        <v>256</v>
      </c>
      <c r="F7258">
        <v>4</v>
      </c>
    </row>
    <row r="7259" spans="1:6" ht="13.2">
      <c r="A7259" t="s">
        <v>8555</v>
      </c>
      <c r="B7259">
        <v>0</v>
      </c>
      <c r="C7259" s="44" t="s">
        <v>204</v>
      </c>
      <c r="D7259" t="s">
        <v>293</v>
      </c>
      <c r="E7259" t="s">
        <v>8554</v>
      </c>
      <c r="F7259">
        <v>3</v>
      </c>
    </row>
    <row r="7260" spans="1:6" ht="13.2">
      <c r="A7260" t="s">
        <v>8556</v>
      </c>
      <c r="B7260">
        <v>0</v>
      </c>
      <c r="C7260" s="44" t="s">
        <v>204</v>
      </c>
      <c r="D7260" t="s">
        <v>293</v>
      </c>
      <c r="E7260" t="s">
        <v>8554</v>
      </c>
      <c r="F7260">
        <v>3</v>
      </c>
    </row>
    <row r="7261" spans="1:6" ht="13.2">
      <c r="A7261" t="s">
        <v>8557</v>
      </c>
      <c r="B7261">
        <v>0</v>
      </c>
      <c r="C7261" s="44" t="s">
        <v>204</v>
      </c>
      <c r="D7261" t="s">
        <v>293</v>
      </c>
      <c r="E7261" t="s">
        <v>8554</v>
      </c>
      <c r="F7261">
        <v>3</v>
      </c>
    </row>
    <row r="7262" spans="1:6" ht="13.2">
      <c r="A7262" t="s">
        <v>8558</v>
      </c>
      <c r="B7262">
        <v>0</v>
      </c>
      <c r="C7262" s="44" t="s">
        <v>204</v>
      </c>
      <c r="D7262" t="s">
        <v>293</v>
      </c>
      <c r="E7262" t="s">
        <v>8554</v>
      </c>
      <c r="F7262">
        <v>3</v>
      </c>
    </row>
    <row r="7263" spans="1:6" ht="13.2">
      <c r="A7263" t="s">
        <v>8559</v>
      </c>
      <c r="B7263">
        <v>0</v>
      </c>
      <c r="C7263" s="44" t="s">
        <v>204</v>
      </c>
      <c r="D7263" t="s">
        <v>293</v>
      </c>
      <c r="E7263" t="s">
        <v>8554</v>
      </c>
      <c r="F7263">
        <v>3</v>
      </c>
    </row>
    <row r="7264" spans="1:6" ht="13.2">
      <c r="A7264" t="s">
        <v>8560</v>
      </c>
      <c r="B7264">
        <v>0</v>
      </c>
      <c r="C7264" s="44" t="s">
        <v>204</v>
      </c>
      <c r="D7264" t="s">
        <v>293</v>
      </c>
      <c r="E7264" t="s">
        <v>8554</v>
      </c>
      <c r="F7264">
        <v>3</v>
      </c>
    </row>
    <row r="7265" spans="1:6" ht="13.2">
      <c r="A7265" t="s">
        <v>8561</v>
      </c>
      <c r="B7265">
        <v>0</v>
      </c>
      <c r="C7265" s="44" t="s">
        <v>204</v>
      </c>
      <c r="D7265" t="s">
        <v>293</v>
      </c>
      <c r="E7265" t="s">
        <v>8554</v>
      </c>
      <c r="F7265">
        <v>3</v>
      </c>
    </row>
    <row r="7266" spans="1:6" ht="13.2">
      <c r="A7266" t="s">
        <v>8562</v>
      </c>
      <c r="B7266">
        <v>0</v>
      </c>
      <c r="C7266" s="44" t="s">
        <v>204</v>
      </c>
      <c r="D7266" t="s">
        <v>293</v>
      </c>
      <c r="E7266" t="s">
        <v>8554</v>
      </c>
      <c r="F7266">
        <v>3</v>
      </c>
    </row>
    <row r="7267" spans="1:6" ht="13.2">
      <c r="A7267" t="s">
        <v>8563</v>
      </c>
      <c r="B7267">
        <v>0</v>
      </c>
      <c r="C7267" s="44" t="s">
        <v>204</v>
      </c>
      <c r="D7267" t="s">
        <v>293</v>
      </c>
      <c r="E7267" t="s">
        <v>8554</v>
      </c>
      <c r="F7267">
        <v>3</v>
      </c>
    </row>
    <row r="7268" spans="1:6" ht="13.2">
      <c r="A7268" t="s">
        <v>8564</v>
      </c>
      <c r="B7268">
        <v>0</v>
      </c>
      <c r="C7268" s="44">
        <v>3200</v>
      </c>
      <c r="D7268" t="s">
        <v>291</v>
      </c>
      <c r="E7268" t="s">
        <v>8565</v>
      </c>
      <c r="F7268">
        <v>4</v>
      </c>
    </row>
    <row r="7269" spans="1:6" ht="13.2">
      <c r="A7269" t="s">
        <v>8566</v>
      </c>
      <c r="B7269">
        <v>0</v>
      </c>
      <c r="C7269" s="44">
        <v>3200</v>
      </c>
      <c r="D7269" t="s">
        <v>291</v>
      </c>
      <c r="E7269" t="s">
        <v>8565</v>
      </c>
      <c r="F7269">
        <v>4</v>
      </c>
    </row>
    <row r="7270" spans="1:6" ht="13.2">
      <c r="A7270" t="s">
        <v>8567</v>
      </c>
      <c r="B7270">
        <v>0</v>
      </c>
      <c r="C7270" s="44">
        <v>3200</v>
      </c>
      <c r="D7270" t="s">
        <v>291</v>
      </c>
      <c r="E7270" t="s">
        <v>8565</v>
      </c>
      <c r="F7270">
        <v>4</v>
      </c>
    </row>
    <row r="7271" spans="1:6" ht="13.2">
      <c r="A7271" t="s">
        <v>8568</v>
      </c>
      <c r="B7271">
        <v>0</v>
      </c>
      <c r="C7271" s="44">
        <v>3200</v>
      </c>
      <c r="D7271" t="s">
        <v>291</v>
      </c>
      <c r="E7271" t="s">
        <v>8565</v>
      </c>
      <c r="F7271">
        <v>4</v>
      </c>
    </row>
    <row r="7272" spans="1:6" ht="13.2">
      <c r="A7272" t="s">
        <v>8569</v>
      </c>
      <c r="B7272">
        <v>0</v>
      </c>
      <c r="C7272" s="44">
        <v>3200</v>
      </c>
      <c r="D7272" t="s">
        <v>291</v>
      </c>
      <c r="E7272" t="s">
        <v>8565</v>
      </c>
      <c r="F7272">
        <v>4</v>
      </c>
    </row>
    <row r="7273" spans="1:6" ht="13.2">
      <c r="A7273" t="s">
        <v>8570</v>
      </c>
      <c r="B7273">
        <v>0</v>
      </c>
      <c r="C7273" s="44">
        <v>3200</v>
      </c>
      <c r="D7273" t="s">
        <v>291</v>
      </c>
      <c r="E7273" t="s">
        <v>8565</v>
      </c>
      <c r="F7273">
        <v>4</v>
      </c>
    </row>
    <row r="7274" spans="1:6" ht="13.2">
      <c r="A7274" t="s">
        <v>8571</v>
      </c>
      <c r="B7274">
        <v>0</v>
      </c>
      <c r="C7274" s="44">
        <v>3200</v>
      </c>
      <c r="D7274" t="s">
        <v>291</v>
      </c>
      <c r="E7274" t="s">
        <v>8565</v>
      </c>
      <c r="F7274">
        <v>4</v>
      </c>
    </row>
    <row r="7275" spans="1:6" ht="13.2">
      <c r="A7275" t="s">
        <v>12112</v>
      </c>
      <c r="B7275">
        <v>0</v>
      </c>
      <c r="C7275" s="44">
        <v>3200</v>
      </c>
      <c r="D7275" t="s">
        <v>293</v>
      </c>
      <c r="E7275" t="s">
        <v>8565</v>
      </c>
      <c r="F7275">
        <v>4</v>
      </c>
    </row>
    <row r="7276" spans="1:6" ht="13.2">
      <c r="A7276" t="s">
        <v>12113</v>
      </c>
      <c r="B7276">
        <v>0</v>
      </c>
      <c r="C7276" s="44">
        <v>3200</v>
      </c>
      <c r="D7276" t="s">
        <v>293</v>
      </c>
      <c r="E7276" t="s">
        <v>8565</v>
      </c>
      <c r="F7276">
        <v>4</v>
      </c>
    </row>
    <row r="7277" spans="1:6" ht="13.2">
      <c r="A7277" t="s">
        <v>12114</v>
      </c>
      <c r="B7277">
        <v>0</v>
      </c>
      <c r="C7277" s="44">
        <v>3200</v>
      </c>
      <c r="D7277" t="s">
        <v>293</v>
      </c>
      <c r="E7277" t="s">
        <v>8565</v>
      </c>
      <c r="F7277">
        <v>4</v>
      </c>
    </row>
    <row r="7278" spans="1:6" ht="13.2">
      <c r="A7278" t="s">
        <v>12115</v>
      </c>
      <c r="B7278">
        <v>0</v>
      </c>
      <c r="C7278" s="44">
        <v>3200</v>
      </c>
      <c r="D7278" t="s">
        <v>293</v>
      </c>
      <c r="E7278" t="s">
        <v>8565</v>
      </c>
      <c r="F7278">
        <v>4</v>
      </c>
    </row>
    <row r="7279" spans="1:6" ht="13.2">
      <c r="A7279" t="s">
        <v>12116</v>
      </c>
      <c r="B7279">
        <v>0</v>
      </c>
      <c r="C7279" s="44">
        <v>3200</v>
      </c>
      <c r="D7279" t="s">
        <v>293</v>
      </c>
      <c r="E7279" t="s">
        <v>8565</v>
      </c>
      <c r="F7279">
        <v>4</v>
      </c>
    </row>
    <row r="7280" spans="1:6" ht="13.2">
      <c r="A7280" t="s">
        <v>12117</v>
      </c>
      <c r="B7280">
        <v>0</v>
      </c>
      <c r="C7280" s="44">
        <v>3200</v>
      </c>
      <c r="D7280" t="s">
        <v>293</v>
      </c>
      <c r="E7280" t="s">
        <v>8565</v>
      </c>
      <c r="F7280">
        <v>4</v>
      </c>
    </row>
    <row r="7281" spans="1:6" ht="13.2">
      <c r="A7281" t="s">
        <v>12118</v>
      </c>
      <c r="B7281">
        <v>0</v>
      </c>
      <c r="C7281" s="44">
        <v>3200</v>
      </c>
      <c r="D7281" t="s">
        <v>293</v>
      </c>
      <c r="E7281" t="s">
        <v>8565</v>
      </c>
      <c r="F7281">
        <v>4</v>
      </c>
    </row>
    <row r="7282" spans="1:6" ht="13.2">
      <c r="A7282" t="s">
        <v>8572</v>
      </c>
      <c r="B7282">
        <v>32</v>
      </c>
      <c r="C7282" s="44">
        <v>1400</v>
      </c>
      <c r="D7282" t="s">
        <v>293</v>
      </c>
      <c r="E7282" t="s">
        <v>577</v>
      </c>
      <c r="F7282">
        <v>3</v>
      </c>
    </row>
    <row r="7283" spans="1:6" ht="13.2">
      <c r="A7283" t="s">
        <v>8573</v>
      </c>
      <c r="B7283">
        <v>32</v>
      </c>
      <c r="C7283" s="44">
        <v>1400</v>
      </c>
      <c r="D7283" t="s">
        <v>293</v>
      </c>
      <c r="E7283" t="s">
        <v>577</v>
      </c>
      <c r="F7283">
        <v>3</v>
      </c>
    </row>
    <row r="7284" spans="1:6" ht="13.2">
      <c r="A7284" t="s">
        <v>8574</v>
      </c>
      <c r="B7284">
        <v>6</v>
      </c>
      <c r="C7284" s="44">
        <v>1370</v>
      </c>
      <c r="D7284" t="s">
        <v>293</v>
      </c>
      <c r="E7284" t="s">
        <v>8575</v>
      </c>
      <c r="F7284">
        <v>1</v>
      </c>
    </row>
    <row r="7285" spans="1:6" ht="13.2">
      <c r="A7285" t="s">
        <v>8576</v>
      </c>
      <c r="B7285">
        <v>6</v>
      </c>
      <c r="C7285" s="44">
        <v>1370</v>
      </c>
      <c r="D7285" t="s">
        <v>293</v>
      </c>
      <c r="E7285" t="s">
        <v>8575</v>
      </c>
      <c r="F7285">
        <v>1</v>
      </c>
    </row>
    <row r="7286" spans="1:6" ht="13.2">
      <c r="A7286" t="s">
        <v>8577</v>
      </c>
      <c r="B7286">
        <v>6</v>
      </c>
      <c r="C7286" s="44">
        <v>1370</v>
      </c>
      <c r="D7286" t="s">
        <v>293</v>
      </c>
      <c r="E7286" t="s">
        <v>8575</v>
      </c>
      <c r="F7286">
        <v>1</v>
      </c>
    </row>
    <row r="7287" spans="1:6" ht="13.2">
      <c r="A7287" t="s">
        <v>8579</v>
      </c>
      <c r="B7287">
        <v>61</v>
      </c>
      <c r="C7287" s="44">
        <v>1380</v>
      </c>
      <c r="D7287" t="s">
        <v>293</v>
      </c>
      <c r="E7287" t="s">
        <v>8580</v>
      </c>
      <c r="F7287">
        <v>2</v>
      </c>
    </row>
    <row r="7288" spans="1:6" ht="13.2">
      <c r="A7288" t="s">
        <v>8581</v>
      </c>
      <c r="B7288">
        <v>61</v>
      </c>
      <c r="C7288" s="44">
        <v>1380</v>
      </c>
      <c r="D7288" t="s">
        <v>293</v>
      </c>
      <c r="E7288" t="s">
        <v>8580</v>
      </c>
      <c r="F7288">
        <v>2</v>
      </c>
    </row>
    <row r="7289" spans="1:6" ht="13.2">
      <c r="A7289" t="s">
        <v>8582</v>
      </c>
      <c r="B7289">
        <v>61</v>
      </c>
      <c r="C7289" s="44">
        <v>1380</v>
      </c>
      <c r="D7289" t="s">
        <v>293</v>
      </c>
      <c r="E7289" t="s">
        <v>8580</v>
      </c>
      <c r="F7289">
        <v>2</v>
      </c>
    </row>
    <row r="7290" spans="1:6" ht="13.2">
      <c r="A7290" t="s">
        <v>8583</v>
      </c>
      <c r="B7290">
        <v>61</v>
      </c>
      <c r="C7290" s="44">
        <v>1380</v>
      </c>
      <c r="D7290" t="s">
        <v>293</v>
      </c>
      <c r="E7290" t="s">
        <v>8580</v>
      </c>
      <c r="F7290">
        <v>2</v>
      </c>
    </row>
    <row r="7291" spans="1:6" ht="13.2">
      <c r="A7291" t="s">
        <v>8584</v>
      </c>
      <c r="B7291">
        <v>61</v>
      </c>
      <c r="C7291" s="44">
        <v>1380</v>
      </c>
      <c r="D7291" t="s">
        <v>293</v>
      </c>
      <c r="E7291" t="s">
        <v>8580</v>
      </c>
      <c r="F7291">
        <v>2</v>
      </c>
    </row>
    <row r="7292" spans="1:6" ht="13.2">
      <c r="A7292" t="s">
        <v>8585</v>
      </c>
      <c r="B7292">
        <v>61</v>
      </c>
      <c r="C7292" s="44">
        <v>1380</v>
      </c>
      <c r="D7292" t="s">
        <v>293</v>
      </c>
      <c r="E7292" t="s">
        <v>8580</v>
      </c>
      <c r="F7292">
        <v>2</v>
      </c>
    </row>
    <row r="7293" spans="1:6" ht="13.2">
      <c r="A7293" t="s">
        <v>8586</v>
      </c>
      <c r="B7293">
        <v>61</v>
      </c>
      <c r="C7293" s="44">
        <v>1380</v>
      </c>
      <c r="D7293" t="s">
        <v>293</v>
      </c>
      <c r="E7293" t="s">
        <v>8580</v>
      </c>
      <c r="F7293">
        <v>2</v>
      </c>
    </row>
    <row r="7294" spans="1:6" ht="13.2">
      <c r="A7294" t="s">
        <v>8587</v>
      </c>
      <c r="B7294">
        <v>915</v>
      </c>
      <c r="C7294" s="44">
        <v>1380</v>
      </c>
      <c r="D7294" t="s">
        <v>291</v>
      </c>
      <c r="E7294" t="s">
        <v>8588</v>
      </c>
      <c r="F7294">
        <v>3</v>
      </c>
    </row>
    <row r="7295" spans="1:6" ht="13.2">
      <c r="A7295" t="s">
        <v>8589</v>
      </c>
      <c r="B7295">
        <v>915</v>
      </c>
      <c r="C7295" s="44">
        <v>1380</v>
      </c>
      <c r="D7295" t="s">
        <v>291</v>
      </c>
      <c r="E7295" t="s">
        <v>8588</v>
      </c>
      <c r="F7295">
        <v>3</v>
      </c>
    </row>
    <row r="7296" spans="1:6" ht="13.2">
      <c r="A7296" t="s">
        <v>8590</v>
      </c>
      <c r="B7296">
        <v>915</v>
      </c>
      <c r="C7296" s="44">
        <v>1380</v>
      </c>
      <c r="D7296" t="s">
        <v>291</v>
      </c>
      <c r="E7296" t="s">
        <v>8588</v>
      </c>
      <c r="F7296">
        <v>3</v>
      </c>
    </row>
    <row r="7297" spans="1:6" ht="13.2">
      <c r="A7297" t="s">
        <v>8591</v>
      </c>
      <c r="B7297">
        <v>915</v>
      </c>
      <c r="C7297" s="44">
        <v>1380</v>
      </c>
      <c r="D7297" t="s">
        <v>291</v>
      </c>
      <c r="E7297" t="s">
        <v>8588</v>
      </c>
      <c r="F7297">
        <v>3</v>
      </c>
    </row>
    <row r="7298" spans="1:6" ht="13.2">
      <c r="A7298" t="s">
        <v>8592</v>
      </c>
      <c r="B7298">
        <v>0</v>
      </c>
      <c r="C7298" s="44" t="s">
        <v>4092</v>
      </c>
      <c r="D7298" t="s">
        <v>293</v>
      </c>
      <c r="E7298" t="s">
        <v>256</v>
      </c>
      <c r="F7298">
        <v>4</v>
      </c>
    </row>
    <row r="7299" spans="1:6" ht="13.2">
      <c r="A7299" t="s">
        <v>8593</v>
      </c>
      <c r="B7299">
        <v>6</v>
      </c>
      <c r="C7299" s="44">
        <v>1370</v>
      </c>
      <c r="D7299" t="s">
        <v>293</v>
      </c>
      <c r="E7299" t="s">
        <v>8575</v>
      </c>
      <c r="F7299">
        <v>1</v>
      </c>
    </row>
    <row r="7300" spans="1:6" ht="13.2">
      <c r="A7300" t="s">
        <v>8594</v>
      </c>
      <c r="B7300">
        <v>6</v>
      </c>
      <c r="C7300" s="44">
        <v>1370</v>
      </c>
      <c r="D7300" t="s">
        <v>293</v>
      </c>
      <c r="E7300" t="s">
        <v>8575</v>
      </c>
      <c r="F7300">
        <v>1</v>
      </c>
    </row>
    <row r="7301" spans="1:6" ht="13.2">
      <c r="A7301" t="s">
        <v>8595</v>
      </c>
      <c r="B7301">
        <v>6</v>
      </c>
      <c r="C7301" s="44">
        <v>1370</v>
      </c>
      <c r="D7301" t="s">
        <v>293</v>
      </c>
      <c r="E7301" t="s">
        <v>8575</v>
      </c>
      <c r="F7301">
        <v>1</v>
      </c>
    </row>
    <row r="7302" spans="1:6" ht="13.2">
      <c r="A7302" t="s">
        <v>8599</v>
      </c>
      <c r="B7302">
        <v>0</v>
      </c>
      <c r="C7302" s="44" t="s">
        <v>203</v>
      </c>
      <c r="D7302" t="s">
        <v>293</v>
      </c>
      <c r="E7302" t="s">
        <v>364</v>
      </c>
      <c r="F7302">
        <v>3</v>
      </c>
    </row>
    <row r="7303" spans="1:6" ht="13.2">
      <c r="A7303" t="s">
        <v>8600</v>
      </c>
      <c r="B7303">
        <v>0</v>
      </c>
      <c r="C7303" s="44" t="s">
        <v>203</v>
      </c>
      <c r="D7303" t="s">
        <v>293</v>
      </c>
      <c r="E7303" t="s">
        <v>364</v>
      </c>
      <c r="F7303">
        <v>3</v>
      </c>
    </row>
    <row r="7304" spans="1:6" ht="13.2">
      <c r="A7304" t="s">
        <v>8601</v>
      </c>
      <c r="B7304">
        <v>0</v>
      </c>
      <c r="C7304" s="44" t="s">
        <v>203</v>
      </c>
      <c r="D7304" t="s">
        <v>293</v>
      </c>
      <c r="E7304" t="s">
        <v>364</v>
      </c>
      <c r="F7304">
        <v>3</v>
      </c>
    </row>
    <row r="7305" spans="1:6" ht="13.2">
      <c r="A7305" t="s">
        <v>8602</v>
      </c>
      <c r="B7305">
        <v>0</v>
      </c>
      <c r="C7305" s="44" t="s">
        <v>203</v>
      </c>
      <c r="D7305" t="s">
        <v>293</v>
      </c>
      <c r="E7305" t="s">
        <v>364</v>
      </c>
      <c r="F7305">
        <v>3</v>
      </c>
    </row>
    <row r="7306" spans="1:6" ht="13.2">
      <c r="A7306" t="s">
        <v>8603</v>
      </c>
      <c r="B7306">
        <v>0</v>
      </c>
      <c r="C7306" s="44" t="s">
        <v>203</v>
      </c>
      <c r="D7306" t="s">
        <v>293</v>
      </c>
      <c r="E7306" t="s">
        <v>364</v>
      </c>
      <c r="F7306">
        <v>3</v>
      </c>
    </row>
    <row r="7307" spans="1:6" ht="13.2">
      <c r="A7307" t="s">
        <v>8604</v>
      </c>
      <c r="B7307">
        <v>0</v>
      </c>
      <c r="C7307" s="44" t="s">
        <v>203</v>
      </c>
      <c r="D7307" t="s">
        <v>293</v>
      </c>
      <c r="E7307" t="s">
        <v>364</v>
      </c>
      <c r="F7307">
        <v>3</v>
      </c>
    </row>
    <row r="7308" spans="1:6" ht="13.2">
      <c r="A7308" t="s">
        <v>8605</v>
      </c>
      <c r="B7308">
        <v>0</v>
      </c>
      <c r="C7308" s="44" t="s">
        <v>203</v>
      </c>
      <c r="D7308" t="s">
        <v>293</v>
      </c>
      <c r="E7308" t="s">
        <v>364</v>
      </c>
      <c r="F7308">
        <v>3</v>
      </c>
    </row>
    <row r="7309" spans="1:6" ht="13.2">
      <c r="A7309" t="s">
        <v>8606</v>
      </c>
      <c r="B7309">
        <v>0</v>
      </c>
      <c r="C7309" s="44" t="s">
        <v>203</v>
      </c>
      <c r="D7309" t="s">
        <v>293</v>
      </c>
      <c r="E7309" t="s">
        <v>364</v>
      </c>
      <c r="F7309">
        <v>3</v>
      </c>
    </row>
    <row r="7310" spans="1:6" ht="13.2">
      <c r="A7310" t="s">
        <v>8607</v>
      </c>
      <c r="B7310">
        <v>0</v>
      </c>
      <c r="C7310" s="44" t="s">
        <v>203</v>
      </c>
      <c r="D7310" t="s">
        <v>293</v>
      </c>
      <c r="E7310" t="s">
        <v>364</v>
      </c>
      <c r="F7310">
        <v>3</v>
      </c>
    </row>
    <row r="7311" spans="1:6" ht="13.2">
      <c r="A7311" t="s">
        <v>8608</v>
      </c>
      <c r="B7311">
        <v>0</v>
      </c>
      <c r="C7311" s="44" t="s">
        <v>203</v>
      </c>
      <c r="D7311" t="s">
        <v>293</v>
      </c>
      <c r="E7311" t="s">
        <v>364</v>
      </c>
      <c r="F7311">
        <v>3</v>
      </c>
    </row>
    <row r="7312" spans="1:6" ht="13.2">
      <c r="A7312" t="s">
        <v>3946</v>
      </c>
      <c r="B7312">
        <v>0</v>
      </c>
      <c r="C7312" s="44" t="s">
        <v>201</v>
      </c>
      <c r="D7312" t="s">
        <v>293</v>
      </c>
      <c r="E7312" t="s">
        <v>8609</v>
      </c>
      <c r="F7312">
        <v>3</v>
      </c>
    </row>
    <row r="7313" spans="1:6" ht="13.2">
      <c r="A7313" t="s">
        <v>3953</v>
      </c>
      <c r="B7313">
        <v>0</v>
      </c>
      <c r="C7313" s="44" t="s">
        <v>201</v>
      </c>
      <c r="D7313" t="s">
        <v>293</v>
      </c>
      <c r="E7313" t="s">
        <v>8609</v>
      </c>
      <c r="F7313">
        <v>3</v>
      </c>
    </row>
    <row r="7314" spans="1:6" ht="13.2">
      <c r="A7314" t="s">
        <v>3948</v>
      </c>
      <c r="B7314">
        <v>0</v>
      </c>
      <c r="C7314" s="44" t="s">
        <v>201</v>
      </c>
      <c r="D7314" t="s">
        <v>293</v>
      </c>
      <c r="E7314" t="s">
        <v>8609</v>
      </c>
      <c r="F7314">
        <v>3</v>
      </c>
    </row>
    <row r="7315" spans="1:6" ht="13.2">
      <c r="A7315" t="s">
        <v>3955</v>
      </c>
      <c r="B7315">
        <v>0</v>
      </c>
      <c r="C7315" s="44" t="s">
        <v>201</v>
      </c>
      <c r="D7315" t="s">
        <v>293</v>
      </c>
      <c r="E7315" t="s">
        <v>8609</v>
      </c>
      <c r="F7315">
        <v>3</v>
      </c>
    </row>
    <row r="7316" spans="1:6" ht="13.2">
      <c r="A7316" t="s">
        <v>3951</v>
      </c>
      <c r="B7316">
        <v>0</v>
      </c>
      <c r="C7316" s="44" t="s">
        <v>201</v>
      </c>
      <c r="D7316" t="s">
        <v>293</v>
      </c>
      <c r="E7316" t="s">
        <v>8609</v>
      </c>
      <c r="F7316">
        <v>3</v>
      </c>
    </row>
    <row r="7317" spans="1:6" ht="13.2">
      <c r="A7317" t="s">
        <v>3950</v>
      </c>
      <c r="B7317">
        <v>0</v>
      </c>
      <c r="C7317" s="44" t="s">
        <v>201</v>
      </c>
      <c r="D7317" t="s">
        <v>293</v>
      </c>
      <c r="E7317" t="s">
        <v>8609</v>
      </c>
      <c r="F7317">
        <v>3</v>
      </c>
    </row>
    <row r="7318" spans="1:6" ht="13.2">
      <c r="A7318" t="s">
        <v>3952</v>
      </c>
      <c r="B7318">
        <v>0</v>
      </c>
      <c r="C7318" s="44" t="s">
        <v>201</v>
      </c>
      <c r="D7318" t="s">
        <v>293</v>
      </c>
      <c r="E7318" t="s">
        <v>8609</v>
      </c>
      <c r="F7318">
        <v>3</v>
      </c>
    </row>
    <row r="7319" spans="1:6" ht="13.2">
      <c r="A7319" t="s">
        <v>3947</v>
      </c>
      <c r="B7319">
        <v>0</v>
      </c>
      <c r="C7319" s="44" t="s">
        <v>201</v>
      </c>
      <c r="D7319" t="s">
        <v>293</v>
      </c>
      <c r="E7319" t="s">
        <v>8609</v>
      </c>
      <c r="F7319">
        <v>3</v>
      </c>
    </row>
    <row r="7320" spans="1:6" ht="13.2">
      <c r="A7320" t="s">
        <v>3949</v>
      </c>
      <c r="B7320">
        <v>0</v>
      </c>
      <c r="C7320" s="44" t="s">
        <v>201</v>
      </c>
      <c r="D7320" t="s">
        <v>293</v>
      </c>
      <c r="E7320" t="s">
        <v>8609</v>
      </c>
      <c r="F7320">
        <v>3</v>
      </c>
    </row>
    <row r="7321" spans="1:6" ht="13.2">
      <c r="A7321" t="s">
        <v>3954</v>
      </c>
      <c r="B7321">
        <v>0</v>
      </c>
      <c r="C7321" s="44" t="s">
        <v>201</v>
      </c>
      <c r="D7321" t="s">
        <v>293</v>
      </c>
      <c r="E7321" t="s">
        <v>8609</v>
      </c>
      <c r="F7321">
        <v>3</v>
      </c>
    </row>
    <row r="7322" spans="1:6" ht="13.2">
      <c r="A7322" t="s">
        <v>1459</v>
      </c>
      <c r="B7322">
        <v>0</v>
      </c>
      <c r="C7322" s="44" t="s">
        <v>201</v>
      </c>
      <c r="D7322" t="s">
        <v>293</v>
      </c>
      <c r="E7322" t="s">
        <v>256</v>
      </c>
      <c r="F7322">
        <v>4</v>
      </c>
    </row>
    <row r="7323" spans="1:6" ht="13.2">
      <c r="A7323" t="s">
        <v>1457</v>
      </c>
      <c r="B7323">
        <v>0</v>
      </c>
      <c r="C7323" s="44" t="s">
        <v>201</v>
      </c>
      <c r="D7323" t="s">
        <v>293</v>
      </c>
      <c r="E7323" t="s">
        <v>256</v>
      </c>
      <c r="F7323">
        <v>4</v>
      </c>
    </row>
    <row r="7324" spans="1:6" ht="13.2">
      <c r="A7324" t="s">
        <v>1461</v>
      </c>
      <c r="B7324">
        <v>0</v>
      </c>
      <c r="C7324" s="44" t="s">
        <v>201</v>
      </c>
      <c r="D7324" t="s">
        <v>293</v>
      </c>
      <c r="E7324" t="s">
        <v>256</v>
      </c>
      <c r="F7324">
        <v>4</v>
      </c>
    </row>
    <row r="7325" spans="1:6" ht="13.2">
      <c r="A7325" t="s">
        <v>1458</v>
      </c>
      <c r="B7325">
        <v>0</v>
      </c>
      <c r="C7325" s="44" t="s">
        <v>201</v>
      </c>
      <c r="D7325" t="s">
        <v>293</v>
      </c>
      <c r="E7325" t="s">
        <v>256</v>
      </c>
      <c r="F7325">
        <v>4</v>
      </c>
    </row>
    <row r="7326" spans="1:6" ht="13.2">
      <c r="A7326" t="s">
        <v>1460</v>
      </c>
      <c r="B7326">
        <v>0</v>
      </c>
      <c r="C7326" s="44" t="s">
        <v>201</v>
      </c>
      <c r="D7326" t="s">
        <v>293</v>
      </c>
      <c r="E7326" t="s">
        <v>256</v>
      </c>
      <c r="F7326">
        <v>4</v>
      </c>
    </row>
    <row r="7327" spans="1:6" ht="13.2">
      <c r="A7327" t="s">
        <v>1455</v>
      </c>
      <c r="B7327">
        <v>0</v>
      </c>
      <c r="C7327" s="44" t="s">
        <v>201</v>
      </c>
      <c r="D7327" t="s">
        <v>293</v>
      </c>
      <c r="E7327" t="s">
        <v>256</v>
      </c>
      <c r="F7327">
        <v>4</v>
      </c>
    </row>
    <row r="7328" spans="1:6" ht="13.2">
      <c r="A7328" t="s">
        <v>1454</v>
      </c>
      <c r="B7328">
        <v>0</v>
      </c>
      <c r="C7328" s="44" t="s">
        <v>201</v>
      </c>
      <c r="D7328" t="s">
        <v>293</v>
      </c>
      <c r="E7328" t="s">
        <v>256</v>
      </c>
      <c r="F7328">
        <v>4</v>
      </c>
    </row>
    <row r="7329" spans="1:6" ht="13.2">
      <c r="A7329" t="s">
        <v>1456</v>
      </c>
      <c r="B7329">
        <v>0</v>
      </c>
      <c r="C7329" s="44" t="s">
        <v>201</v>
      </c>
      <c r="D7329" t="s">
        <v>293</v>
      </c>
      <c r="E7329" t="s">
        <v>256</v>
      </c>
      <c r="F7329">
        <v>4</v>
      </c>
    </row>
    <row r="7330" spans="1:6" ht="13.2">
      <c r="A7330" t="s">
        <v>1462</v>
      </c>
      <c r="B7330">
        <v>0</v>
      </c>
      <c r="C7330" s="44" t="s">
        <v>201</v>
      </c>
      <c r="D7330" t="s">
        <v>293</v>
      </c>
      <c r="E7330" t="s">
        <v>256</v>
      </c>
      <c r="F7330">
        <v>4</v>
      </c>
    </row>
    <row r="7331" spans="1:6" ht="13.2">
      <c r="A7331" t="s">
        <v>8610</v>
      </c>
      <c r="B7331">
        <v>0</v>
      </c>
      <c r="C7331" s="44">
        <v>3000</v>
      </c>
      <c r="D7331" t="s">
        <v>291</v>
      </c>
      <c r="E7331" t="s">
        <v>8611</v>
      </c>
      <c r="F7331">
        <v>4</v>
      </c>
    </row>
    <row r="7332" spans="1:6" ht="13.2">
      <c r="A7332" t="s">
        <v>8612</v>
      </c>
      <c r="B7332">
        <v>0</v>
      </c>
      <c r="C7332" s="44">
        <v>3000</v>
      </c>
      <c r="D7332" t="s">
        <v>291</v>
      </c>
      <c r="E7332" t="s">
        <v>8611</v>
      </c>
      <c r="F7332">
        <v>4</v>
      </c>
    </row>
    <row r="7333" spans="1:6" ht="13.2">
      <c r="A7333" t="s">
        <v>8613</v>
      </c>
      <c r="B7333">
        <v>0</v>
      </c>
      <c r="C7333" s="44">
        <v>3000</v>
      </c>
      <c r="D7333" t="s">
        <v>291</v>
      </c>
      <c r="E7333" t="s">
        <v>8611</v>
      </c>
      <c r="F7333">
        <v>4</v>
      </c>
    </row>
    <row r="7334" spans="1:6" ht="13.2">
      <c r="A7334" t="s">
        <v>8614</v>
      </c>
      <c r="B7334">
        <v>0</v>
      </c>
      <c r="C7334" s="44">
        <v>3000</v>
      </c>
      <c r="D7334" t="s">
        <v>291</v>
      </c>
      <c r="E7334" t="s">
        <v>8611</v>
      </c>
      <c r="F7334">
        <v>4</v>
      </c>
    </row>
    <row r="7335" spans="1:6" ht="13.2">
      <c r="A7335" t="s">
        <v>8615</v>
      </c>
      <c r="B7335">
        <v>0</v>
      </c>
      <c r="C7335" s="44">
        <v>3000</v>
      </c>
      <c r="D7335" t="s">
        <v>291</v>
      </c>
      <c r="E7335" t="s">
        <v>8611</v>
      </c>
      <c r="F7335">
        <v>4</v>
      </c>
    </row>
    <row r="7336" spans="1:6" ht="13.2">
      <c r="A7336" t="s">
        <v>8616</v>
      </c>
      <c r="B7336">
        <v>0</v>
      </c>
      <c r="C7336" s="44">
        <v>3000</v>
      </c>
      <c r="D7336" t="s">
        <v>291</v>
      </c>
      <c r="E7336" t="s">
        <v>8611</v>
      </c>
      <c r="F7336">
        <v>4</v>
      </c>
    </row>
    <row r="7337" spans="1:6" ht="13.2">
      <c r="A7337" t="s">
        <v>8617</v>
      </c>
      <c r="B7337">
        <v>0</v>
      </c>
      <c r="C7337" s="44">
        <v>3000</v>
      </c>
      <c r="D7337" t="s">
        <v>291</v>
      </c>
      <c r="E7337" t="s">
        <v>8611</v>
      </c>
      <c r="F7337">
        <v>4</v>
      </c>
    </row>
    <row r="7338" spans="1:6" ht="13.2">
      <c r="A7338" t="s">
        <v>8618</v>
      </c>
      <c r="B7338">
        <v>0</v>
      </c>
      <c r="C7338" s="44">
        <v>3000</v>
      </c>
      <c r="D7338" t="s">
        <v>291</v>
      </c>
      <c r="E7338" t="s">
        <v>8611</v>
      </c>
      <c r="F7338">
        <v>4</v>
      </c>
    </row>
    <row r="7339" spans="1:6" ht="13.2">
      <c r="A7339" t="s">
        <v>8619</v>
      </c>
      <c r="B7339">
        <v>0</v>
      </c>
      <c r="C7339" s="44">
        <v>3000</v>
      </c>
      <c r="D7339" t="s">
        <v>291</v>
      </c>
      <c r="E7339" t="s">
        <v>8611</v>
      </c>
      <c r="F7339">
        <v>4</v>
      </c>
    </row>
    <row r="7340" spans="1:6" ht="13.2">
      <c r="A7340" t="s">
        <v>8620</v>
      </c>
      <c r="B7340">
        <v>0</v>
      </c>
      <c r="C7340" s="44">
        <v>3000</v>
      </c>
      <c r="D7340" t="s">
        <v>291</v>
      </c>
      <c r="E7340" t="s">
        <v>8611</v>
      </c>
      <c r="F7340">
        <v>4</v>
      </c>
    </row>
    <row r="7341" spans="1:6" ht="13.2">
      <c r="A7341" t="s">
        <v>8621</v>
      </c>
      <c r="B7341">
        <v>0</v>
      </c>
      <c r="C7341" s="44">
        <v>3000</v>
      </c>
      <c r="D7341" t="s">
        <v>293</v>
      </c>
      <c r="E7341" t="s">
        <v>8611</v>
      </c>
      <c r="F7341">
        <v>4</v>
      </c>
    </row>
    <row r="7342" spans="1:6" ht="13.2">
      <c r="A7342" t="s">
        <v>8622</v>
      </c>
      <c r="B7342">
        <v>0</v>
      </c>
      <c r="C7342" s="44">
        <v>3000</v>
      </c>
      <c r="D7342" t="s">
        <v>293</v>
      </c>
      <c r="E7342" t="s">
        <v>8611</v>
      </c>
      <c r="F7342">
        <v>4</v>
      </c>
    </row>
    <row r="7343" spans="1:6" ht="13.2">
      <c r="A7343" t="s">
        <v>8623</v>
      </c>
      <c r="B7343">
        <v>0</v>
      </c>
      <c r="C7343" s="44">
        <v>3000</v>
      </c>
      <c r="D7343" t="s">
        <v>293</v>
      </c>
      <c r="E7343" t="s">
        <v>8611</v>
      </c>
      <c r="F7343">
        <v>4</v>
      </c>
    </row>
    <row r="7344" spans="1:6" ht="13.2">
      <c r="A7344" t="s">
        <v>8624</v>
      </c>
      <c r="B7344">
        <v>0</v>
      </c>
      <c r="C7344" s="44">
        <v>3000</v>
      </c>
      <c r="D7344" t="s">
        <v>293</v>
      </c>
      <c r="E7344" t="s">
        <v>8611</v>
      </c>
      <c r="F7344">
        <v>4</v>
      </c>
    </row>
    <row r="7345" spans="1:6" ht="13.2">
      <c r="A7345" t="s">
        <v>8625</v>
      </c>
      <c r="B7345">
        <v>0</v>
      </c>
      <c r="C7345" s="44">
        <v>3000</v>
      </c>
      <c r="D7345" t="s">
        <v>293</v>
      </c>
      <c r="E7345" t="s">
        <v>8611</v>
      </c>
      <c r="F7345">
        <v>4</v>
      </c>
    </row>
    <row r="7346" spans="1:6" ht="13.2">
      <c r="A7346" t="s">
        <v>8626</v>
      </c>
      <c r="B7346">
        <v>0</v>
      </c>
      <c r="C7346" s="44">
        <v>3000</v>
      </c>
      <c r="D7346" t="s">
        <v>293</v>
      </c>
      <c r="E7346" t="s">
        <v>8611</v>
      </c>
      <c r="F7346">
        <v>4</v>
      </c>
    </row>
    <row r="7347" spans="1:6" ht="13.2">
      <c r="A7347" t="s">
        <v>8627</v>
      </c>
      <c r="B7347">
        <v>0</v>
      </c>
      <c r="C7347" s="44">
        <v>3000</v>
      </c>
      <c r="D7347" t="s">
        <v>293</v>
      </c>
      <c r="E7347" t="s">
        <v>8611</v>
      </c>
      <c r="F7347">
        <v>4</v>
      </c>
    </row>
    <row r="7348" spans="1:6" ht="13.2">
      <c r="A7348" t="s">
        <v>8628</v>
      </c>
      <c r="B7348">
        <v>0</v>
      </c>
      <c r="C7348" s="44">
        <v>3000</v>
      </c>
      <c r="D7348" t="s">
        <v>293</v>
      </c>
      <c r="E7348" t="s">
        <v>8611</v>
      </c>
      <c r="F7348">
        <v>4</v>
      </c>
    </row>
    <row r="7349" spans="1:6" ht="13.2">
      <c r="A7349" t="s">
        <v>8629</v>
      </c>
      <c r="B7349">
        <v>0</v>
      </c>
      <c r="C7349" s="44">
        <v>3000</v>
      </c>
      <c r="D7349" t="s">
        <v>293</v>
      </c>
      <c r="E7349" t="s">
        <v>8611</v>
      </c>
      <c r="F7349">
        <v>4</v>
      </c>
    </row>
    <row r="7350" spans="1:6" ht="13.2">
      <c r="A7350" t="s">
        <v>8710</v>
      </c>
      <c r="B7350">
        <v>0</v>
      </c>
      <c r="C7350" s="44">
        <v>3000</v>
      </c>
      <c r="D7350" t="s">
        <v>291</v>
      </c>
      <c r="E7350" t="s">
        <v>8611</v>
      </c>
      <c r="F7350">
        <v>4</v>
      </c>
    </row>
    <row r="7351" spans="1:6" ht="13.2">
      <c r="A7351" t="s">
        <v>8711</v>
      </c>
      <c r="B7351">
        <v>0</v>
      </c>
      <c r="C7351" s="44">
        <v>3000</v>
      </c>
      <c r="D7351" t="s">
        <v>291</v>
      </c>
      <c r="E7351" t="s">
        <v>8611</v>
      </c>
      <c r="F7351">
        <v>4</v>
      </c>
    </row>
    <row r="7352" spans="1:6" ht="13.2">
      <c r="A7352" t="s">
        <v>8630</v>
      </c>
      <c r="B7352">
        <v>0</v>
      </c>
      <c r="C7352" s="44">
        <v>3000</v>
      </c>
      <c r="D7352" t="s">
        <v>293</v>
      </c>
      <c r="E7352" t="s">
        <v>8611</v>
      </c>
      <c r="F7352">
        <v>4</v>
      </c>
    </row>
    <row r="7353" spans="1:6" ht="13.2">
      <c r="A7353" t="s">
        <v>8631</v>
      </c>
      <c r="B7353">
        <v>320</v>
      </c>
      <c r="C7353" s="44">
        <v>1380</v>
      </c>
      <c r="D7353" t="s">
        <v>291</v>
      </c>
      <c r="E7353" t="s">
        <v>8632</v>
      </c>
      <c r="F7353">
        <v>4</v>
      </c>
    </row>
    <row r="7354" spans="1:6" ht="13.2">
      <c r="A7354" t="s">
        <v>8633</v>
      </c>
      <c r="B7354">
        <v>320</v>
      </c>
      <c r="C7354" s="44">
        <v>1380</v>
      </c>
      <c r="D7354" t="s">
        <v>291</v>
      </c>
      <c r="E7354" t="s">
        <v>8632</v>
      </c>
      <c r="F7354">
        <v>4</v>
      </c>
    </row>
    <row r="7355" spans="1:6" ht="13.2">
      <c r="A7355" t="s">
        <v>8634</v>
      </c>
      <c r="B7355">
        <v>320</v>
      </c>
      <c r="C7355" s="44">
        <v>1380</v>
      </c>
      <c r="D7355" t="s">
        <v>291</v>
      </c>
      <c r="E7355" t="s">
        <v>8632</v>
      </c>
      <c r="F7355">
        <v>4</v>
      </c>
    </row>
    <row r="7356" spans="1:6" ht="13.2">
      <c r="A7356" t="s">
        <v>8635</v>
      </c>
      <c r="B7356">
        <v>320</v>
      </c>
      <c r="C7356" s="44">
        <v>1380</v>
      </c>
      <c r="D7356" t="s">
        <v>291</v>
      </c>
      <c r="E7356" t="s">
        <v>8632</v>
      </c>
      <c r="F7356">
        <v>4</v>
      </c>
    </row>
    <row r="7357" spans="1:6" ht="13.2">
      <c r="A7357" t="s">
        <v>8636</v>
      </c>
      <c r="B7357">
        <v>0</v>
      </c>
      <c r="C7357" s="44">
        <v>3000</v>
      </c>
      <c r="D7357" t="s">
        <v>291</v>
      </c>
      <c r="E7357" t="s">
        <v>364</v>
      </c>
      <c r="F7357">
        <v>3</v>
      </c>
    </row>
    <row r="7358" spans="1:6" ht="13.2">
      <c r="A7358" t="s">
        <v>8637</v>
      </c>
      <c r="B7358">
        <v>0</v>
      </c>
      <c r="C7358" s="44">
        <v>3000</v>
      </c>
      <c r="D7358" t="s">
        <v>291</v>
      </c>
      <c r="E7358" t="s">
        <v>364</v>
      </c>
      <c r="F7358">
        <v>3</v>
      </c>
    </row>
    <row r="7359" spans="1:6" ht="13.2">
      <c r="A7359" t="s">
        <v>8638</v>
      </c>
      <c r="B7359">
        <v>0</v>
      </c>
      <c r="C7359" s="44">
        <v>3000</v>
      </c>
      <c r="D7359" t="s">
        <v>291</v>
      </c>
      <c r="E7359" t="s">
        <v>364</v>
      </c>
      <c r="F7359">
        <v>3</v>
      </c>
    </row>
    <row r="7360" spans="1:6" ht="13.2">
      <c r="A7360" t="s">
        <v>8639</v>
      </c>
      <c r="B7360">
        <v>0</v>
      </c>
      <c r="C7360" s="44">
        <v>3000</v>
      </c>
      <c r="D7360" t="s">
        <v>291</v>
      </c>
      <c r="E7360" t="s">
        <v>364</v>
      </c>
      <c r="F7360">
        <v>3</v>
      </c>
    </row>
    <row r="7361" spans="1:6" ht="13.2">
      <c r="A7361" t="s">
        <v>8640</v>
      </c>
      <c r="B7361">
        <v>0</v>
      </c>
      <c r="C7361" s="44">
        <v>3000</v>
      </c>
      <c r="D7361" t="s">
        <v>291</v>
      </c>
      <c r="E7361" t="s">
        <v>364</v>
      </c>
      <c r="F7361">
        <v>3</v>
      </c>
    </row>
    <row r="7362" spans="1:6" ht="13.2">
      <c r="A7362" t="s">
        <v>8641</v>
      </c>
      <c r="B7362">
        <v>0</v>
      </c>
      <c r="C7362" s="44">
        <v>3000</v>
      </c>
      <c r="D7362" t="s">
        <v>291</v>
      </c>
      <c r="E7362" t="s">
        <v>364</v>
      </c>
      <c r="F7362">
        <v>3</v>
      </c>
    </row>
    <row r="7363" spans="1:6" ht="13.2">
      <c r="A7363" t="s">
        <v>8642</v>
      </c>
      <c r="B7363">
        <v>0</v>
      </c>
      <c r="C7363" s="44">
        <v>3000</v>
      </c>
      <c r="D7363" t="s">
        <v>291</v>
      </c>
      <c r="E7363" t="s">
        <v>364</v>
      </c>
      <c r="F7363">
        <v>3</v>
      </c>
    </row>
    <row r="7364" spans="1:6" ht="13.2">
      <c r="A7364" t="s">
        <v>8643</v>
      </c>
      <c r="B7364">
        <v>0</v>
      </c>
      <c r="C7364" s="44">
        <v>3000</v>
      </c>
      <c r="D7364" t="s">
        <v>291</v>
      </c>
      <c r="E7364" t="s">
        <v>364</v>
      </c>
      <c r="F7364">
        <v>3</v>
      </c>
    </row>
    <row r="7365" spans="1:6" ht="13.2">
      <c r="A7365" t="s">
        <v>8644</v>
      </c>
      <c r="B7365">
        <v>0</v>
      </c>
      <c r="C7365" s="44">
        <v>3000</v>
      </c>
      <c r="D7365" t="s">
        <v>291</v>
      </c>
      <c r="E7365" t="s">
        <v>364</v>
      </c>
      <c r="F7365">
        <v>3</v>
      </c>
    </row>
    <row r="7366" spans="1:6" ht="13.2">
      <c r="A7366" t="s">
        <v>8645</v>
      </c>
      <c r="B7366">
        <v>0</v>
      </c>
      <c r="C7366" s="44">
        <v>3000</v>
      </c>
      <c r="D7366" t="s">
        <v>291</v>
      </c>
      <c r="E7366" t="s">
        <v>364</v>
      </c>
      <c r="F7366">
        <v>3</v>
      </c>
    </row>
    <row r="7367" spans="1:6" ht="13.2">
      <c r="A7367" t="s">
        <v>8646</v>
      </c>
      <c r="B7367">
        <v>0</v>
      </c>
      <c r="C7367" s="44">
        <v>3000</v>
      </c>
      <c r="D7367" t="s">
        <v>291</v>
      </c>
      <c r="E7367" t="s">
        <v>364</v>
      </c>
      <c r="F7367">
        <v>3</v>
      </c>
    </row>
    <row r="7368" spans="1:6" ht="13.2">
      <c r="A7368" t="s">
        <v>8647</v>
      </c>
      <c r="B7368">
        <v>0</v>
      </c>
      <c r="C7368" s="44">
        <v>3000</v>
      </c>
      <c r="D7368" t="s">
        <v>291</v>
      </c>
      <c r="E7368" t="s">
        <v>364</v>
      </c>
      <c r="F7368">
        <v>3</v>
      </c>
    </row>
    <row r="7369" spans="1:6" ht="13.2">
      <c r="A7369" t="s">
        <v>8648</v>
      </c>
      <c r="B7369">
        <v>0</v>
      </c>
      <c r="C7369" s="44">
        <v>3000</v>
      </c>
      <c r="D7369" t="s">
        <v>291</v>
      </c>
      <c r="E7369" t="s">
        <v>364</v>
      </c>
      <c r="F7369">
        <v>3</v>
      </c>
    </row>
    <row r="7370" spans="1:6" ht="13.2">
      <c r="A7370" t="s">
        <v>8649</v>
      </c>
      <c r="B7370">
        <v>0</v>
      </c>
      <c r="C7370" s="44">
        <v>3000</v>
      </c>
      <c r="D7370" t="s">
        <v>291</v>
      </c>
      <c r="E7370" t="s">
        <v>364</v>
      </c>
      <c r="F7370">
        <v>3</v>
      </c>
    </row>
    <row r="7371" spans="1:6" ht="13.2">
      <c r="A7371" t="s">
        <v>8650</v>
      </c>
      <c r="B7371">
        <v>0</v>
      </c>
      <c r="C7371" s="44">
        <v>3000</v>
      </c>
      <c r="D7371" t="s">
        <v>291</v>
      </c>
      <c r="E7371" t="s">
        <v>364</v>
      </c>
      <c r="F7371">
        <v>3</v>
      </c>
    </row>
    <row r="7372" spans="1:6" ht="13.2">
      <c r="A7372" t="s">
        <v>8651</v>
      </c>
      <c r="B7372">
        <v>0</v>
      </c>
      <c r="C7372" s="44">
        <v>3000</v>
      </c>
      <c r="D7372" t="s">
        <v>291</v>
      </c>
      <c r="E7372" t="s">
        <v>364</v>
      </c>
      <c r="F7372">
        <v>3</v>
      </c>
    </row>
    <row r="7373" spans="1:6" ht="13.2">
      <c r="A7373" t="s">
        <v>8652</v>
      </c>
      <c r="B7373">
        <v>0</v>
      </c>
      <c r="C7373" s="44">
        <v>3000</v>
      </c>
      <c r="D7373" t="s">
        <v>291</v>
      </c>
      <c r="E7373" t="s">
        <v>364</v>
      </c>
      <c r="F7373">
        <v>3</v>
      </c>
    </row>
    <row r="7374" spans="1:6" ht="13.2">
      <c r="A7374" t="s">
        <v>8653</v>
      </c>
      <c r="B7374">
        <v>0</v>
      </c>
      <c r="C7374" s="44">
        <v>3000</v>
      </c>
      <c r="D7374" t="s">
        <v>291</v>
      </c>
      <c r="E7374" t="s">
        <v>364</v>
      </c>
      <c r="F7374">
        <v>3</v>
      </c>
    </row>
    <row r="7375" spans="1:6" ht="13.2">
      <c r="A7375" t="s">
        <v>8654</v>
      </c>
      <c r="B7375">
        <v>0</v>
      </c>
      <c r="C7375" s="44">
        <v>3000</v>
      </c>
      <c r="D7375" t="s">
        <v>291</v>
      </c>
      <c r="E7375" t="s">
        <v>364</v>
      </c>
      <c r="F7375">
        <v>3</v>
      </c>
    </row>
    <row r="7376" spans="1:6" ht="13.2">
      <c r="A7376" t="s">
        <v>8655</v>
      </c>
      <c r="B7376">
        <v>0</v>
      </c>
      <c r="C7376" s="44">
        <v>3000</v>
      </c>
      <c r="D7376" t="s">
        <v>291</v>
      </c>
      <c r="E7376" t="s">
        <v>364</v>
      </c>
      <c r="F7376">
        <v>3</v>
      </c>
    </row>
    <row r="7377" spans="1:6" ht="13.2">
      <c r="A7377" t="s">
        <v>8656</v>
      </c>
      <c r="B7377">
        <v>0</v>
      </c>
      <c r="C7377" s="44">
        <v>3000</v>
      </c>
      <c r="D7377" t="s">
        <v>291</v>
      </c>
      <c r="E7377" t="s">
        <v>364</v>
      </c>
      <c r="F7377">
        <v>3</v>
      </c>
    </row>
    <row r="7378" spans="1:6" ht="13.2">
      <c r="A7378" t="s">
        <v>8657</v>
      </c>
      <c r="B7378">
        <v>0</v>
      </c>
      <c r="C7378" s="44">
        <v>3000</v>
      </c>
      <c r="D7378" t="s">
        <v>293</v>
      </c>
      <c r="E7378" t="s">
        <v>364</v>
      </c>
      <c r="F7378">
        <v>3</v>
      </c>
    </row>
    <row r="7379" spans="1:6" ht="13.2">
      <c r="A7379" t="s">
        <v>8658</v>
      </c>
      <c r="B7379">
        <v>0</v>
      </c>
      <c r="C7379" s="44">
        <v>3000</v>
      </c>
      <c r="D7379" t="s">
        <v>293</v>
      </c>
      <c r="E7379" t="s">
        <v>364</v>
      </c>
      <c r="F7379">
        <v>3</v>
      </c>
    </row>
    <row r="7380" spans="1:6" ht="13.2">
      <c r="A7380" t="s">
        <v>8659</v>
      </c>
      <c r="B7380">
        <v>0</v>
      </c>
      <c r="C7380" s="44">
        <v>3000</v>
      </c>
      <c r="D7380" t="s">
        <v>293</v>
      </c>
      <c r="E7380" t="s">
        <v>364</v>
      </c>
      <c r="F7380">
        <v>3</v>
      </c>
    </row>
    <row r="7381" spans="1:6" ht="13.2">
      <c r="A7381" t="s">
        <v>8660</v>
      </c>
      <c r="B7381">
        <v>0</v>
      </c>
      <c r="C7381" s="44">
        <v>3000</v>
      </c>
      <c r="D7381" t="s">
        <v>293</v>
      </c>
      <c r="E7381" t="s">
        <v>364</v>
      </c>
      <c r="F7381">
        <v>3</v>
      </c>
    </row>
    <row r="7382" spans="1:6" ht="13.2">
      <c r="A7382" t="s">
        <v>8661</v>
      </c>
      <c r="B7382">
        <v>0</v>
      </c>
      <c r="C7382" s="44">
        <v>3000</v>
      </c>
      <c r="D7382" t="s">
        <v>293</v>
      </c>
      <c r="E7382" t="s">
        <v>364</v>
      </c>
      <c r="F7382">
        <v>3</v>
      </c>
    </row>
    <row r="7383" spans="1:6" ht="13.2">
      <c r="A7383" t="s">
        <v>8662</v>
      </c>
      <c r="B7383">
        <v>0</v>
      </c>
      <c r="C7383" s="44">
        <v>3000</v>
      </c>
      <c r="D7383" t="s">
        <v>293</v>
      </c>
      <c r="E7383" t="s">
        <v>364</v>
      </c>
      <c r="F7383">
        <v>3</v>
      </c>
    </row>
    <row r="7384" spans="1:6" ht="13.2">
      <c r="A7384" t="s">
        <v>8663</v>
      </c>
      <c r="B7384">
        <v>0</v>
      </c>
      <c r="C7384" s="44">
        <v>3000</v>
      </c>
      <c r="D7384" t="s">
        <v>293</v>
      </c>
      <c r="E7384" t="s">
        <v>364</v>
      </c>
      <c r="F7384">
        <v>3</v>
      </c>
    </row>
    <row r="7385" spans="1:6" ht="13.2">
      <c r="A7385" t="s">
        <v>8664</v>
      </c>
      <c r="B7385">
        <v>0</v>
      </c>
      <c r="C7385" s="44">
        <v>3000</v>
      </c>
      <c r="D7385" t="s">
        <v>293</v>
      </c>
      <c r="E7385" t="s">
        <v>364</v>
      </c>
      <c r="F7385">
        <v>3</v>
      </c>
    </row>
    <row r="7386" spans="1:6" ht="13.2">
      <c r="A7386" t="s">
        <v>8665</v>
      </c>
      <c r="B7386">
        <v>0</v>
      </c>
      <c r="C7386" s="44">
        <v>3000</v>
      </c>
      <c r="D7386" t="s">
        <v>293</v>
      </c>
      <c r="E7386" t="s">
        <v>364</v>
      </c>
      <c r="F7386">
        <v>3</v>
      </c>
    </row>
    <row r="7387" spans="1:6" ht="13.2">
      <c r="A7387" t="s">
        <v>8666</v>
      </c>
      <c r="B7387">
        <v>0</v>
      </c>
      <c r="C7387" s="44">
        <v>3000</v>
      </c>
      <c r="D7387" t="s">
        <v>293</v>
      </c>
      <c r="E7387" t="s">
        <v>364</v>
      </c>
      <c r="F7387">
        <v>3</v>
      </c>
    </row>
    <row r="7388" spans="1:6" ht="13.2">
      <c r="A7388" t="s">
        <v>8667</v>
      </c>
      <c r="B7388">
        <v>0</v>
      </c>
      <c r="C7388" s="44">
        <v>3000</v>
      </c>
      <c r="D7388" t="s">
        <v>293</v>
      </c>
      <c r="E7388" t="s">
        <v>364</v>
      </c>
      <c r="F7388">
        <v>3</v>
      </c>
    </row>
    <row r="7389" spans="1:6" ht="13.2">
      <c r="A7389" t="s">
        <v>8668</v>
      </c>
      <c r="B7389">
        <v>0</v>
      </c>
      <c r="C7389" s="44">
        <v>3000</v>
      </c>
      <c r="D7389" t="s">
        <v>293</v>
      </c>
      <c r="E7389" t="s">
        <v>364</v>
      </c>
      <c r="F7389">
        <v>3</v>
      </c>
    </row>
    <row r="7390" spans="1:6" ht="13.2">
      <c r="A7390" t="s">
        <v>8669</v>
      </c>
      <c r="B7390">
        <v>0</v>
      </c>
      <c r="C7390" s="44">
        <v>3000</v>
      </c>
      <c r="D7390" t="s">
        <v>293</v>
      </c>
      <c r="E7390" t="s">
        <v>364</v>
      </c>
      <c r="F7390">
        <v>3</v>
      </c>
    </row>
    <row r="7391" spans="1:6" ht="13.2">
      <c r="A7391" t="s">
        <v>8670</v>
      </c>
      <c r="B7391">
        <v>0</v>
      </c>
      <c r="C7391" s="44">
        <v>3000</v>
      </c>
      <c r="D7391" t="s">
        <v>293</v>
      </c>
      <c r="E7391" t="s">
        <v>364</v>
      </c>
      <c r="F7391">
        <v>3</v>
      </c>
    </row>
    <row r="7392" spans="1:6" ht="13.2">
      <c r="A7392" t="s">
        <v>8671</v>
      </c>
      <c r="B7392">
        <v>0</v>
      </c>
      <c r="C7392" s="44">
        <v>3000</v>
      </c>
      <c r="D7392" t="s">
        <v>293</v>
      </c>
      <c r="E7392" t="s">
        <v>364</v>
      </c>
      <c r="F7392">
        <v>3</v>
      </c>
    </row>
    <row r="7393" spans="1:6" ht="13.2">
      <c r="A7393" t="s">
        <v>8672</v>
      </c>
      <c r="B7393">
        <v>0</v>
      </c>
      <c r="C7393" s="44">
        <v>3000</v>
      </c>
      <c r="D7393" t="s">
        <v>293</v>
      </c>
      <c r="E7393" t="s">
        <v>364</v>
      </c>
      <c r="F7393">
        <v>3</v>
      </c>
    </row>
    <row r="7394" spans="1:6" ht="13.2">
      <c r="A7394" t="s">
        <v>8673</v>
      </c>
      <c r="B7394">
        <v>0</v>
      </c>
      <c r="C7394" s="44">
        <v>3000</v>
      </c>
      <c r="D7394" t="s">
        <v>293</v>
      </c>
      <c r="E7394" t="s">
        <v>364</v>
      </c>
      <c r="F7394">
        <v>3</v>
      </c>
    </row>
    <row r="7395" spans="1:6" ht="13.2">
      <c r="A7395" t="s">
        <v>8674</v>
      </c>
      <c r="B7395">
        <v>0</v>
      </c>
      <c r="C7395" s="44">
        <v>3000</v>
      </c>
      <c r="D7395" t="s">
        <v>293</v>
      </c>
      <c r="E7395" t="s">
        <v>364</v>
      </c>
      <c r="F7395">
        <v>3</v>
      </c>
    </row>
    <row r="7396" spans="1:6" ht="13.2">
      <c r="A7396" t="s">
        <v>8675</v>
      </c>
      <c r="B7396">
        <v>0</v>
      </c>
      <c r="C7396" s="44">
        <v>3000</v>
      </c>
      <c r="D7396" t="s">
        <v>293</v>
      </c>
      <c r="E7396" t="s">
        <v>364</v>
      </c>
      <c r="F7396">
        <v>3</v>
      </c>
    </row>
    <row r="7397" spans="1:6" ht="13.2">
      <c r="A7397" t="s">
        <v>8676</v>
      </c>
      <c r="B7397">
        <v>0</v>
      </c>
      <c r="C7397" s="44">
        <v>3000</v>
      </c>
      <c r="D7397" t="s">
        <v>293</v>
      </c>
      <c r="E7397" t="s">
        <v>364</v>
      </c>
      <c r="F7397">
        <v>3</v>
      </c>
    </row>
    <row r="7398" spans="1:6" ht="13.2">
      <c r="A7398" t="s">
        <v>8677</v>
      </c>
      <c r="B7398">
        <v>0</v>
      </c>
      <c r="C7398" s="44">
        <v>3000</v>
      </c>
      <c r="D7398" t="s">
        <v>293</v>
      </c>
      <c r="E7398" t="s">
        <v>364</v>
      </c>
      <c r="F7398">
        <v>3</v>
      </c>
    </row>
    <row r="7399" spans="1:6" ht="13.2">
      <c r="A7399" t="s">
        <v>8678</v>
      </c>
      <c r="B7399">
        <v>0</v>
      </c>
      <c r="C7399" s="44" t="s">
        <v>349</v>
      </c>
      <c r="D7399" t="s">
        <v>293</v>
      </c>
      <c r="E7399" t="s">
        <v>256</v>
      </c>
      <c r="F7399">
        <v>4</v>
      </c>
    </row>
    <row r="7400" spans="1:6" ht="13.2">
      <c r="A7400" t="s">
        <v>8679</v>
      </c>
      <c r="B7400">
        <v>0</v>
      </c>
      <c r="C7400" s="44" t="s">
        <v>349</v>
      </c>
      <c r="D7400" t="s">
        <v>293</v>
      </c>
      <c r="E7400" t="s">
        <v>212</v>
      </c>
      <c r="F7400">
        <v>4</v>
      </c>
    </row>
    <row r="7401" spans="1:6" ht="13.2">
      <c r="A7401" t="s">
        <v>8680</v>
      </c>
      <c r="B7401">
        <v>0</v>
      </c>
      <c r="C7401" s="44" t="s">
        <v>349</v>
      </c>
      <c r="D7401" t="s">
        <v>293</v>
      </c>
      <c r="E7401" t="s">
        <v>212</v>
      </c>
      <c r="F7401">
        <v>4</v>
      </c>
    </row>
    <row r="7402" spans="1:6" ht="13.2">
      <c r="A7402" t="s">
        <v>8681</v>
      </c>
      <c r="B7402">
        <v>0</v>
      </c>
      <c r="C7402" s="44" t="s">
        <v>349</v>
      </c>
      <c r="D7402" t="s">
        <v>293</v>
      </c>
      <c r="E7402" t="s">
        <v>212</v>
      </c>
      <c r="F7402">
        <v>4</v>
      </c>
    </row>
    <row r="7403" spans="1:6" ht="13.2">
      <c r="A7403" t="s">
        <v>8682</v>
      </c>
      <c r="B7403">
        <v>0</v>
      </c>
      <c r="C7403" s="44" t="s">
        <v>349</v>
      </c>
      <c r="D7403" t="s">
        <v>293</v>
      </c>
      <c r="E7403" t="s">
        <v>212</v>
      </c>
      <c r="F7403">
        <v>4</v>
      </c>
    </row>
    <row r="7404" spans="1:6" ht="13.2">
      <c r="A7404" t="s">
        <v>8683</v>
      </c>
      <c r="B7404">
        <v>0</v>
      </c>
      <c r="C7404" s="44" t="s">
        <v>349</v>
      </c>
      <c r="D7404" t="s">
        <v>293</v>
      </c>
      <c r="E7404" t="s">
        <v>212</v>
      </c>
      <c r="F7404">
        <v>4</v>
      </c>
    </row>
    <row r="7405" spans="1:6" ht="13.2">
      <c r="A7405" t="s">
        <v>8684</v>
      </c>
      <c r="B7405">
        <v>0</v>
      </c>
      <c r="C7405" s="44" t="s">
        <v>349</v>
      </c>
      <c r="D7405" t="s">
        <v>293</v>
      </c>
      <c r="E7405" t="s">
        <v>212</v>
      </c>
      <c r="F7405">
        <v>4</v>
      </c>
    </row>
    <row r="7406" spans="1:6" ht="13.2">
      <c r="A7406" t="s">
        <v>8685</v>
      </c>
      <c r="B7406">
        <v>0</v>
      </c>
      <c r="C7406" s="44" t="s">
        <v>349</v>
      </c>
      <c r="D7406" t="s">
        <v>293</v>
      </c>
      <c r="E7406" t="s">
        <v>212</v>
      </c>
      <c r="F7406">
        <v>4</v>
      </c>
    </row>
    <row r="7407" spans="1:6" ht="13.2">
      <c r="A7407" t="s">
        <v>8686</v>
      </c>
      <c r="B7407">
        <v>0</v>
      </c>
      <c r="C7407" s="44" t="s">
        <v>349</v>
      </c>
      <c r="D7407" t="s">
        <v>293</v>
      </c>
      <c r="E7407" t="s">
        <v>212</v>
      </c>
      <c r="F7407">
        <v>4</v>
      </c>
    </row>
    <row r="7408" spans="1:6" ht="13.2">
      <c r="A7408" t="s">
        <v>8687</v>
      </c>
      <c r="B7408">
        <v>0</v>
      </c>
      <c r="C7408" s="44" t="s">
        <v>349</v>
      </c>
      <c r="D7408" t="s">
        <v>293</v>
      </c>
      <c r="E7408" t="s">
        <v>212</v>
      </c>
      <c r="F7408">
        <v>4</v>
      </c>
    </row>
    <row r="7409" spans="1:6" ht="13.2">
      <c r="A7409" t="s">
        <v>8688</v>
      </c>
      <c r="B7409">
        <v>0</v>
      </c>
      <c r="C7409" s="44" t="s">
        <v>349</v>
      </c>
      <c r="D7409" t="s">
        <v>293</v>
      </c>
      <c r="E7409" t="s">
        <v>212</v>
      </c>
      <c r="F7409">
        <v>4</v>
      </c>
    </row>
    <row r="7410" spans="1:6" ht="13.2">
      <c r="A7410" t="s">
        <v>8689</v>
      </c>
      <c r="B7410">
        <v>0</v>
      </c>
      <c r="C7410" s="44" t="s">
        <v>349</v>
      </c>
      <c r="D7410" t="s">
        <v>293</v>
      </c>
      <c r="E7410" t="s">
        <v>212</v>
      </c>
      <c r="F7410">
        <v>4</v>
      </c>
    </row>
    <row r="7411" spans="1:6" ht="13.2">
      <c r="A7411" t="s">
        <v>8690</v>
      </c>
      <c r="B7411">
        <v>0</v>
      </c>
      <c r="C7411" s="44" t="s">
        <v>349</v>
      </c>
      <c r="D7411" t="s">
        <v>293</v>
      </c>
      <c r="E7411" t="s">
        <v>212</v>
      </c>
      <c r="F7411">
        <v>4</v>
      </c>
    </row>
    <row r="7412" spans="1:6" ht="13.2">
      <c r="A7412" t="s">
        <v>8691</v>
      </c>
      <c r="B7412">
        <v>0</v>
      </c>
      <c r="C7412" s="44" t="s">
        <v>349</v>
      </c>
      <c r="D7412" t="s">
        <v>293</v>
      </c>
      <c r="E7412" t="s">
        <v>212</v>
      </c>
      <c r="F7412">
        <v>4</v>
      </c>
    </row>
    <row r="7413" spans="1:6" ht="13.2">
      <c r="A7413" t="s">
        <v>8692</v>
      </c>
      <c r="B7413">
        <v>0</v>
      </c>
      <c r="C7413" s="44" t="s">
        <v>349</v>
      </c>
      <c r="D7413" t="s">
        <v>293</v>
      </c>
      <c r="E7413" t="s">
        <v>212</v>
      </c>
      <c r="F7413">
        <v>4</v>
      </c>
    </row>
    <row r="7414" spans="1:6" ht="13.2">
      <c r="A7414" t="s">
        <v>8693</v>
      </c>
      <c r="B7414">
        <v>0</v>
      </c>
      <c r="C7414" s="44" t="s">
        <v>349</v>
      </c>
      <c r="D7414" t="s">
        <v>293</v>
      </c>
      <c r="E7414" t="s">
        <v>212</v>
      </c>
      <c r="F7414">
        <v>4</v>
      </c>
    </row>
    <row r="7415" spans="1:6" ht="13.2">
      <c r="A7415" t="s">
        <v>8694</v>
      </c>
      <c r="B7415">
        <v>0</v>
      </c>
      <c r="C7415" s="44" t="s">
        <v>349</v>
      </c>
      <c r="D7415" t="s">
        <v>293</v>
      </c>
      <c r="E7415" t="s">
        <v>212</v>
      </c>
      <c r="F7415">
        <v>4</v>
      </c>
    </row>
    <row r="7416" spans="1:6" ht="13.2">
      <c r="A7416" t="s">
        <v>8695</v>
      </c>
      <c r="B7416">
        <v>0</v>
      </c>
      <c r="C7416" s="44" t="s">
        <v>349</v>
      </c>
      <c r="D7416" t="s">
        <v>293</v>
      </c>
      <c r="E7416" t="s">
        <v>212</v>
      </c>
      <c r="F7416">
        <v>4</v>
      </c>
    </row>
    <row r="7417" spans="1:6" ht="13.2">
      <c r="A7417" t="s">
        <v>8696</v>
      </c>
      <c r="B7417">
        <v>0</v>
      </c>
      <c r="C7417" s="44" t="s">
        <v>349</v>
      </c>
      <c r="D7417" t="s">
        <v>293</v>
      </c>
      <c r="E7417" t="s">
        <v>212</v>
      </c>
      <c r="F7417">
        <v>4</v>
      </c>
    </row>
    <row r="7418" spans="1:6" ht="13.2">
      <c r="A7418" t="s">
        <v>8697</v>
      </c>
      <c r="B7418">
        <v>0</v>
      </c>
      <c r="C7418" s="44" t="s">
        <v>349</v>
      </c>
      <c r="D7418" t="s">
        <v>293</v>
      </c>
      <c r="E7418" t="s">
        <v>212</v>
      </c>
      <c r="F7418">
        <v>4</v>
      </c>
    </row>
    <row r="7419" spans="1:6" ht="13.2">
      <c r="A7419" t="s">
        <v>8698</v>
      </c>
      <c r="B7419">
        <v>0</v>
      </c>
      <c r="C7419" s="44" t="s">
        <v>349</v>
      </c>
      <c r="D7419" t="s">
        <v>293</v>
      </c>
      <c r="E7419" t="s">
        <v>212</v>
      </c>
      <c r="F7419">
        <v>4</v>
      </c>
    </row>
    <row r="7420" spans="1:6" ht="13.2">
      <c r="A7420" t="s">
        <v>8699</v>
      </c>
      <c r="B7420">
        <v>0</v>
      </c>
      <c r="C7420" s="44" t="s">
        <v>349</v>
      </c>
      <c r="D7420" t="s">
        <v>293</v>
      </c>
      <c r="E7420" t="s">
        <v>212</v>
      </c>
      <c r="F7420">
        <v>4</v>
      </c>
    </row>
    <row r="7421" spans="1:6" ht="13.2">
      <c r="A7421" t="s">
        <v>8700</v>
      </c>
      <c r="B7421">
        <v>0</v>
      </c>
      <c r="C7421" s="44" t="s">
        <v>349</v>
      </c>
      <c r="D7421" t="s">
        <v>293</v>
      </c>
      <c r="E7421" t="s">
        <v>212</v>
      </c>
      <c r="F7421">
        <v>4</v>
      </c>
    </row>
    <row r="7422" spans="1:6" ht="13.2">
      <c r="A7422" t="s">
        <v>8701</v>
      </c>
      <c r="B7422">
        <v>0</v>
      </c>
      <c r="C7422" s="44" t="s">
        <v>349</v>
      </c>
      <c r="D7422" t="s">
        <v>293</v>
      </c>
      <c r="E7422" t="s">
        <v>212</v>
      </c>
      <c r="F7422">
        <v>4</v>
      </c>
    </row>
    <row r="7423" spans="1:6" ht="13.2">
      <c r="A7423" t="s">
        <v>8702</v>
      </c>
      <c r="B7423">
        <v>0</v>
      </c>
      <c r="C7423" s="44" t="s">
        <v>349</v>
      </c>
      <c r="D7423" t="s">
        <v>293</v>
      </c>
      <c r="E7423" t="s">
        <v>212</v>
      </c>
      <c r="F7423">
        <v>4</v>
      </c>
    </row>
    <row r="7424" spans="1:6" ht="13.2">
      <c r="A7424" t="s">
        <v>8703</v>
      </c>
      <c r="B7424">
        <v>0</v>
      </c>
      <c r="C7424" s="44" t="s">
        <v>349</v>
      </c>
      <c r="D7424" t="s">
        <v>293</v>
      </c>
      <c r="E7424" t="s">
        <v>212</v>
      </c>
      <c r="F7424">
        <v>4</v>
      </c>
    </row>
    <row r="7425" spans="1:6" ht="13.2">
      <c r="A7425" t="s">
        <v>8704</v>
      </c>
      <c r="B7425">
        <v>0</v>
      </c>
      <c r="C7425" s="44" t="s">
        <v>349</v>
      </c>
      <c r="D7425" t="s">
        <v>293</v>
      </c>
      <c r="E7425" t="s">
        <v>212</v>
      </c>
      <c r="F7425">
        <v>4</v>
      </c>
    </row>
    <row r="7426" spans="1:6" ht="13.2">
      <c r="A7426" t="s">
        <v>8705</v>
      </c>
      <c r="B7426">
        <v>0</v>
      </c>
      <c r="C7426" s="44" t="s">
        <v>349</v>
      </c>
      <c r="D7426" t="s">
        <v>293</v>
      </c>
      <c r="E7426" t="s">
        <v>212</v>
      </c>
      <c r="F7426">
        <v>4</v>
      </c>
    </row>
    <row r="7427" spans="1:6" ht="13.2">
      <c r="A7427" t="s">
        <v>8706</v>
      </c>
      <c r="B7427">
        <v>0</v>
      </c>
      <c r="C7427" s="44" t="s">
        <v>349</v>
      </c>
      <c r="D7427" t="s">
        <v>293</v>
      </c>
      <c r="E7427" t="s">
        <v>212</v>
      </c>
      <c r="F7427">
        <v>4</v>
      </c>
    </row>
    <row r="7428" spans="1:6" ht="13.2">
      <c r="A7428" t="s">
        <v>8707</v>
      </c>
      <c r="B7428">
        <v>0</v>
      </c>
      <c r="C7428" s="44" t="s">
        <v>349</v>
      </c>
      <c r="D7428" t="s">
        <v>293</v>
      </c>
      <c r="E7428" t="s">
        <v>212</v>
      </c>
      <c r="F7428">
        <v>4</v>
      </c>
    </row>
    <row r="7429" spans="1:6" ht="13.2">
      <c r="A7429" t="s">
        <v>8708</v>
      </c>
      <c r="B7429">
        <v>0</v>
      </c>
      <c r="C7429" s="44" t="s">
        <v>349</v>
      </c>
      <c r="D7429" t="s">
        <v>293</v>
      </c>
      <c r="E7429" t="s">
        <v>212</v>
      </c>
      <c r="F7429">
        <v>4</v>
      </c>
    </row>
    <row r="7430" spans="1:6" ht="13.2">
      <c r="A7430" t="s">
        <v>8709</v>
      </c>
      <c r="B7430">
        <v>0</v>
      </c>
      <c r="C7430" s="44" t="s">
        <v>349</v>
      </c>
      <c r="D7430" t="s">
        <v>293</v>
      </c>
      <c r="E7430" t="s">
        <v>212</v>
      </c>
      <c r="F7430">
        <v>4</v>
      </c>
    </row>
    <row r="7431" spans="1:6" ht="13.2">
      <c r="A7431" t="s">
        <v>1027</v>
      </c>
      <c r="B7431">
        <v>0</v>
      </c>
      <c r="C7431" s="44" t="s">
        <v>201</v>
      </c>
      <c r="D7431" t="s">
        <v>293</v>
      </c>
      <c r="E7431" t="s">
        <v>256</v>
      </c>
      <c r="F7431">
        <v>4</v>
      </c>
    </row>
    <row r="7432" spans="1:6" ht="13.2">
      <c r="A7432" t="s">
        <v>1028</v>
      </c>
      <c r="B7432">
        <v>0</v>
      </c>
      <c r="C7432" s="44" t="s">
        <v>201</v>
      </c>
      <c r="D7432" t="s">
        <v>293</v>
      </c>
      <c r="E7432" t="s">
        <v>256</v>
      </c>
      <c r="F7432">
        <v>4</v>
      </c>
    </row>
    <row r="7433" spans="1:6" ht="13.2">
      <c r="A7433" t="s">
        <v>1029</v>
      </c>
      <c r="B7433">
        <v>0</v>
      </c>
      <c r="C7433" s="44" t="s">
        <v>201</v>
      </c>
      <c r="D7433" t="s">
        <v>293</v>
      </c>
      <c r="E7433" t="s">
        <v>256</v>
      </c>
      <c r="F7433">
        <v>4</v>
      </c>
    </row>
    <row r="7434" spans="1:6" ht="13.2">
      <c r="A7434" t="s">
        <v>1030</v>
      </c>
      <c r="B7434">
        <v>0</v>
      </c>
      <c r="C7434" s="44" t="s">
        <v>201</v>
      </c>
      <c r="D7434" t="s">
        <v>293</v>
      </c>
      <c r="E7434" t="s">
        <v>256</v>
      </c>
      <c r="F7434">
        <v>4</v>
      </c>
    </row>
    <row r="7435" spans="1:6" ht="13.2">
      <c r="A7435" t="s">
        <v>1031</v>
      </c>
      <c r="B7435">
        <v>0</v>
      </c>
      <c r="C7435" s="44" t="s">
        <v>201</v>
      </c>
      <c r="D7435" t="s">
        <v>293</v>
      </c>
      <c r="E7435" t="s">
        <v>256</v>
      </c>
      <c r="F7435">
        <v>4</v>
      </c>
    </row>
    <row r="7436" spans="1:6" ht="13.2">
      <c r="A7436" t="s">
        <v>1032</v>
      </c>
      <c r="B7436">
        <v>0</v>
      </c>
      <c r="C7436" s="44" t="s">
        <v>201</v>
      </c>
      <c r="D7436" t="s">
        <v>293</v>
      </c>
      <c r="E7436" t="s">
        <v>256</v>
      </c>
      <c r="F7436">
        <v>4</v>
      </c>
    </row>
    <row r="7437" spans="1:6" ht="13.2">
      <c r="A7437" t="s">
        <v>1033</v>
      </c>
      <c r="B7437">
        <v>0</v>
      </c>
      <c r="C7437" s="44" t="s">
        <v>201</v>
      </c>
      <c r="D7437" t="s">
        <v>293</v>
      </c>
      <c r="E7437" t="s">
        <v>256</v>
      </c>
      <c r="F7437">
        <v>4</v>
      </c>
    </row>
    <row r="7438" spans="1:6" ht="13.2">
      <c r="A7438" t="s">
        <v>1034</v>
      </c>
      <c r="B7438">
        <v>0</v>
      </c>
      <c r="C7438" s="44" t="s">
        <v>201</v>
      </c>
      <c r="D7438" t="s">
        <v>293</v>
      </c>
      <c r="E7438" t="s">
        <v>256</v>
      </c>
      <c r="F7438">
        <v>4</v>
      </c>
    </row>
    <row r="7439" spans="1:6" ht="13.2">
      <c r="A7439" t="s">
        <v>1035</v>
      </c>
      <c r="B7439">
        <v>0</v>
      </c>
      <c r="C7439" s="44" t="s">
        <v>201</v>
      </c>
      <c r="D7439" t="s">
        <v>293</v>
      </c>
      <c r="E7439" t="s">
        <v>256</v>
      </c>
      <c r="F7439">
        <v>4</v>
      </c>
    </row>
    <row r="7440" spans="1:6" ht="13.2">
      <c r="A7440" t="s">
        <v>1036</v>
      </c>
      <c r="B7440">
        <v>0</v>
      </c>
      <c r="C7440" s="44" t="s">
        <v>201</v>
      </c>
      <c r="D7440" t="s">
        <v>293</v>
      </c>
      <c r="E7440" t="s">
        <v>256</v>
      </c>
      <c r="F7440">
        <v>4</v>
      </c>
    </row>
    <row r="7441" spans="1:6" ht="13.2">
      <c r="A7441" t="s">
        <v>1037</v>
      </c>
      <c r="B7441">
        <v>0</v>
      </c>
      <c r="C7441" s="44" t="s">
        <v>201</v>
      </c>
      <c r="D7441" t="s">
        <v>293</v>
      </c>
      <c r="E7441" t="s">
        <v>256</v>
      </c>
      <c r="F7441">
        <v>4</v>
      </c>
    </row>
    <row r="7442" spans="1:6" ht="13.2">
      <c r="A7442" t="s">
        <v>1038</v>
      </c>
      <c r="B7442">
        <v>0</v>
      </c>
      <c r="C7442" s="44" t="s">
        <v>201</v>
      </c>
      <c r="D7442" t="s">
        <v>293</v>
      </c>
      <c r="E7442" t="s">
        <v>256</v>
      </c>
      <c r="F7442">
        <v>4</v>
      </c>
    </row>
    <row r="7443" spans="1:6" ht="13.2">
      <c r="A7443" t="s">
        <v>1039</v>
      </c>
      <c r="B7443">
        <v>0</v>
      </c>
      <c r="C7443" s="44" t="s">
        <v>201</v>
      </c>
      <c r="D7443" t="s">
        <v>293</v>
      </c>
      <c r="E7443" t="s">
        <v>256</v>
      </c>
      <c r="F7443">
        <v>4</v>
      </c>
    </row>
    <row r="7444" spans="1:6" ht="13.2">
      <c r="A7444" t="s">
        <v>1040</v>
      </c>
      <c r="B7444">
        <v>0</v>
      </c>
      <c r="C7444" s="44" t="s">
        <v>201</v>
      </c>
      <c r="D7444" t="s">
        <v>293</v>
      </c>
      <c r="E7444" t="s">
        <v>256</v>
      </c>
      <c r="F7444">
        <v>4</v>
      </c>
    </row>
    <row r="7445" spans="1:6" ht="13.2">
      <c r="A7445" t="s">
        <v>1041</v>
      </c>
      <c r="B7445">
        <v>0</v>
      </c>
      <c r="C7445" s="44" t="s">
        <v>201</v>
      </c>
      <c r="D7445" t="s">
        <v>293</v>
      </c>
      <c r="E7445" t="s">
        <v>256</v>
      </c>
      <c r="F7445">
        <v>4</v>
      </c>
    </row>
    <row r="7446" spans="1:6" ht="13.2">
      <c r="A7446" t="s">
        <v>1042</v>
      </c>
      <c r="B7446">
        <v>0</v>
      </c>
      <c r="C7446" s="44" t="s">
        <v>201</v>
      </c>
      <c r="D7446" t="s">
        <v>293</v>
      </c>
      <c r="E7446" t="s">
        <v>256</v>
      </c>
      <c r="F7446">
        <v>4</v>
      </c>
    </row>
    <row r="7447" spans="1:6" ht="13.2">
      <c r="A7447" t="s">
        <v>1043</v>
      </c>
      <c r="B7447">
        <v>0</v>
      </c>
      <c r="C7447" s="44" t="s">
        <v>201</v>
      </c>
      <c r="D7447" t="s">
        <v>293</v>
      </c>
      <c r="E7447" t="s">
        <v>256</v>
      </c>
      <c r="F7447">
        <v>4</v>
      </c>
    </row>
    <row r="7448" spans="1:6" ht="13.2">
      <c r="A7448" t="s">
        <v>1044</v>
      </c>
      <c r="B7448">
        <v>0</v>
      </c>
      <c r="C7448" s="44" t="s">
        <v>201</v>
      </c>
      <c r="D7448" t="s">
        <v>293</v>
      </c>
      <c r="E7448" t="s">
        <v>256</v>
      </c>
      <c r="F7448">
        <v>4</v>
      </c>
    </row>
    <row r="7449" spans="1:6" ht="13.2">
      <c r="A7449" t="s">
        <v>1045</v>
      </c>
      <c r="B7449">
        <v>0</v>
      </c>
      <c r="C7449" s="44" t="s">
        <v>201</v>
      </c>
      <c r="D7449" t="s">
        <v>293</v>
      </c>
      <c r="E7449" t="s">
        <v>256</v>
      </c>
      <c r="F7449">
        <v>4</v>
      </c>
    </row>
    <row r="7450" spans="1:6" ht="13.2">
      <c r="A7450" t="s">
        <v>1046</v>
      </c>
      <c r="B7450">
        <v>0</v>
      </c>
      <c r="C7450" s="44" t="s">
        <v>201</v>
      </c>
      <c r="D7450" t="s">
        <v>293</v>
      </c>
      <c r="E7450" t="s">
        <v>256</v>
      </c>
      <c r="F7450">
        <v>4</v>
      </c>
    </row>
    <row r="7451" spans="1:6" ht="13.2">
      <c r="A7451" t="s">
        <v>1047</v>
      </c>
      <c r="B7451">
        <v>0</v>
      </c>
      <c r="C7451" s="44" t="s">
        <v>201</v>
      </c>
      <c r="D7451" t="s">
        <v>293</v>
      </c>
      <c r="E7451" t="s">
        <v>256</v>
      </c>
      <c r="F7451">
        <v>4</v>
      </c>
    </row>
    <row r="7452" spans="1:6" ht="13.2">
      <c r="A7452" t="s">
        <v>1048</v>
      </c>
      <c r="B7452">
        <v>0</v>
      </c>
      <c r="C7452" s="44" t="s">
        <v>201</v>
      </c>
      <c r="D7452" t="s">
        <v>293</v>
      </c>
      <c r="E7452" t="s">
        <v>256</v>
      </c>
      <c r="F7452">
        <v>4</v>
      </c>
    </row>
    <row r="7453" spans="1:6" ht="13.2">
      <c r="A7453" t="s">
        <v>1049</v>
      </c>
      <c r="B7453">
        <v>0</v>
      </c>
      <c r="C7453" s="44" t="s">
        <v>201</v>
      </c>
      <c r="D7453" t="s">
        <v>293</v>
      </c>
      <c r="E7453" t="s">
        <v>256</v>
      </c>
      <c r="F7453">
        <v>4</v>
      </c>
    </row>
    <row r="7454" spans="1:6" ht="13.2">
      <c r="A7454" t="s">
        <v>1050</v>
      </c>
      <c r="B7454">
        <v>0</v>
      </c>
      <c r="C7454" s="44" t="s">
        <v>201</v>
      </c>
      <c r="D7454" t="s">
        <v>293</v>
      </c>
      <c r="E7454" t="s">
        <v>256</v>
      </c>
      <c r="F7454">
        <v>4</v>
      </c>
    </row>
    <row r="7455" spans="1:6" ht="13.2">
      <c r="A7455" t="s">
        <v>1051</v>
      </c>
      <c r="B7455">
        <v>0</v>
      </c>
      <c r="C7455" s="44" t="s">
        <v>201</v>
      </c>
      <c r="D7455" t="s">
        <v>293</v>
      </c>
      <c r="E7455" t="s">
        <v>256</v>
      </c>
      <c r="F7455">
        <v>4</v>
      </c>
    </row>
    <row r="7456" spans="1:6" ht="13.2">
      <c r="A7456" t="s">
        <v>1052</v>
      </c>
      <c r="B7456">
        <v>0</v>
      </c>
      <c r="C7456" s="44" t="s">
        <v>201</v>
      </c>
      <c r="D7456" t="s">
        <v>293</v>
      </c>
      <c r="E7456" t="s">
        <v>256</v>
      </c>
      <c r="F7456">
        <v>4</v>
      </c>
    </row>
    <row r="7457" spans="1:6" ht="13.2">
      <c r="A7457" t="s">
        <v>1032</v>
      </c>
      <c r="B7457">
        <v>0</v>
      </c>
      <c r="C7457" s="44" t="s">
        <v>201</v>
      </c>
      <c r="D7457" t="s">
        <v>293</v>
      </c>
      <c r="E7457" t="s">
        <v>256</v>
      </c>
      <c r="F7457">
        <v>4</v>
      </c>
    </row>
    <row r="7458" spans="1:6" ht="13.2">
      <c r="A7458" t="s">
        <v>1047</v>
      </c>
      <c r="B7458">
        <v>0</v>
      </c>
      <c r="C7458" s="44" t="s">
        <v>201</v>
      </c>
      <c r="D7458" t="s">
        <v>293</v>
      </c>
      <c r="E7458" t="s">
        <v>256</v>
      </c>
      <c r="F7458">
        <v>4</v>
      </c>
    </row>
    <row r="7459" spans="1:6" ht="13.2">
      <c r="A7459" t="s">
        <v>1043</v>
      </c>
      <c r="B7459">
        <v>0</v>
      </c>
      <c r="C7459" s="44" t="s">
        <v>201</v>
      </c>
      <c r="D7459" t="s">
        <v>293</v>
      </c>
      <c r="E7459" t="s">
        <v>256</v>
      </c>
      <c r="F7459">
        <v>4</v>
      </c>
    </row>
    <row r="7460" spans="1:6" ht="13.2">
      <c r="A7460" t="s">
        <v>1048</v>
      </c>
      <c r="B7460">
        <v>0</v>
      </c>
      <c r="C7460" s="44" t="s">
        <v>201</v>
      </c>
      <c r="D7460" t="s">
        <v>293</v>
      </c>
      <c r="E7460" t="s">
        <v>256</v>
      </c>
      <c r="F7460">
        <v>4</v>
      </c>
    </row>
    <row r="7461" spans="1:6" ht="13.2">
      <c r="A7461" t="s">
        <v>1027</v>
      </c>
      <c r="B7461">
        <v>0</v>
      </c>
      <c r="C7461" s="44" t="s">
        <v>201</v>
      </c>
      <c r="D7461" t="s">
        <v>293</v>
      </c>
      <c r="E7461" t="s">
        <v>256</v>
      </c>
      <c r="F7461">
        <v>4</v>
      </c>
    </row>
    <row r="7462" spans="1:6" ht="13.2">
      <c r="A7462" t="s">
        <v>1051</v>
      </c>
      <c r="B7462">
        <v>0</v>
      </c>
      <c r="C7462" s="44" t="s">
        <v>201</v>
      </c>
      <c r="D7462" t="s">
        <v>293</v>
      </c>
      <c r="E7462" t="s">
        <v>256</v>
      </c>
      <c r="F7462">
        <v>4</v>
      </c>
    </row>
    <row r="7463" spans="1:6" ht="13.2">
      <c r="A7463" t="s">
        <v>1041</v>
      </c>
      <c r="B7463">
        <v>0</v>
      </c>
      <c r="C7463" s="44" t="s">
        <v>201</v>
      </c>
      <c r="D7463" t="s">
        <v>293</v>
      </c>
      <c r="E7463" t="s">
        <v>256</v>
      </c>
      <c r="F7463">
        <v>4</v>
      </c>
    </row>
    <row r="7464" spans="1:6" ht="13.2">
      <c r="A7464" t="s">
        <v>1033</v>
      </c>
      <c r="B7464">
        <v>0</v>
      </c>
      <c r="C7464" s="44" t="s">
        <v>201</v>
      </c>
      <c r="D7464" t="s">
        <v>293</v>
      </c>
      <c r="E7464" t="s">
        <v>256</v>
      </c>
      <c r="F7464">
        <v>4</v>
      </c>
    </row>
    <row r="7465" spans="1:6" ht="13.2">
      <c r="A7465" t="s">
        <v>1038</v>
      </c>
      <c r="B7465">
        <v>0</v>
      </c>
      <c r="C7465" s="44" t="s">
        <v>201</v>
      </c>
      <c r="D7465" t="s">
        <v>293</v>
      </c>
      <c r="E7465" t="s">
        <v>256</v>
      </c>
      <c r="F7465">
        <v>4</v>
      </c>
    </row>
    <row r="7466" spans="1:6" ht="13.2">
      <c r="A7466" t="s">
        <v>5160</v>
      </c>
      <c r="B7466">
        <v>0</v>
      </c>
      <c r="C7466" s="44" t="s">
        <v>201</v>
      </c>
      <c r="D7466" t="s">
        <v>293</v>
      </c>
      <c r="E7466" t="s">
        <v>256</v>
      </c>
      <c r="F7466">
        <v>4</v>
      </c>
    </row>
    <row r="7467" spans="1:6" ht="13.2">
      <c r="A7467" t="s">
        <v>1046</v>
      </c>
      <c r="B7467">
        <v>0</v>
      </c>
      <c r="C7467" s="44" t="s">
        <v>201</v>
      </c>
      <c r="D7467" t="s">
        <v>293</v>
      </c>
      <c r="E7467" t="s">
        <v>256</v>
      </c>
      <c r="F7467">
        <v>4</v>
      </c>
    </row>
    <row r="7468" spans="1:6" ht="13.2">
      <c r="A7468" t="s">
        <v>1029</v>
      </c>
      <c r="B7468">
        <v>0</v>
      </c>
      <c r="C7468" s="44" t="s">
        <v>201</v>
      </c>
      <c r="D7468" t="s">
        <v>293</v>
      </c>
      <c r="E7468" t="s">
        <v>256</v>
      </c>
      <c r="F7468">
        <v>4</v>
      </c>
    </row>
    <row r="7469" spans="1:6" ht="13.2">
      <c r="A7469" t="s">
        <v>1030</v>
      </c>
      <c r="B7469">
        <v>0</v>
      </c>
      <c r="C7469" s="44" t="s">
        <v>201</v>
      </c>
      <c r="D7469" t="s">
        <v>293</v>
      </c>
      <c r="E7469" t="s">
        <v>256</v>
      </c>
      <c r="F7469">
        <v>4</v>
      </c>
    </row>
    <row r="7470" spans="1:6" ht="13.2">
      <c r="A7470" t="s">
        <v>1040</v>
      </c>
      <c r="B7470">
        <v>0</v>
      </c>
      <c r="C7470" s="44" t="s">
        <v>201</v>
      </c>
      <c r="D7470" t="s">
        <v>293</v>
      </c>
      <c r="E7470" t="s">
        <v>256</v>
      </c>
      <c r="F7470">
        <v>4</v>
      </c>
    </row>
    <row r="7471" spans="1:6" ht="13.2">
      <c r="A7471" t="s">
        <v>1035</v>
      </c>
      <c r="B7471">
        <v>0</v>
      </c>
      <c r="C7471" s="44" t="s">
        <v>201</v>
      </c>
      <c r="D7471" t="s">
        <v>293</v>
      </c>
      <c r="E7471" t="s">
        <v>256</v>
      </c>
      <c r="F7471">
        <v>4</v>
      </c>
    </row>
    <row r="7472" spans="1:6" ht="13.2">
      <c r="A7472" t="s">
        <v>1049</v>
      </c>
      <c r="B7472">
        <v>0</v>
      </c>
      <c r="C7472" s="44" t="s">
        <v>201</v>
      </c>
      <c r="D7472" t="s">
        <v>293</v>
      </c>
      <c r="E7472" t="s">
        <v>256</v>
      </c>
      <c r="F7472">
        <v>4</v>
      </c>
    </row>
    <row r="7473" spans="1:6" ht="13.2">
      <c r="A7473" t="s">
        <v>1028</v>
      </c>
      <c r="B7473">
        <v>0</v>
      </c>
      <c r="C7473" s="44" t="s">
        <v>201</v>
      </c>
      <c r="D7473" t="s">
        <v>293</v>
      </c>
      <c r="E7473" t="s">
        <v>256</v>
      </c>
      <c r="F7473">
        <v>4</v>
      </c>
    </row>
    <row r="7474" spans="1:6" ht="13.2">
      <c r="A7474" t="s">
        <v>1037</v>
      </c>
      <c r="B7474">
        <v>0</v>
      </c>
      <c r="C7474" s="44" t="s">
        <v>201</v>
      </c>
      <c r="D7474" t="s">
        <v>293</v>
      </c>
      <c r="E7474" t="s">
        <v>256</v>
      </c>
      <c r="F7474">
        <v>4</v>
      </c>
    </row>
    <row r="7475" spans="1:6" ht="13.2">
      <c r="A7475" t="s">
        <v>5161</v>
      </c>
      <c r="B7475">
        <v>0</v>
      </c>
      <c r="C7475" s="44" t="s">
        <v>201</v>
      </c>
      <c r="D7475" t="s">
        <v>293</v>
      </c>
      <c r="E7475" t="s">
        <v>256</v>
      </c>
      <c r="F7475">
        <v>4</v>
      </c>
    </row>
    <row r="7476" spans="1:6" ht="13.2">
      <c r="A7476" t="s">
        <v>5162</v>
      </c>
      <c r="B7476">
        <v>0</v>
      </c>
      <c r="C7476" s="44" t="s">
        <v>201</v>
      </c>
      <c r="D7476" t="s">
        <v>293</v>
      </c>
      <c r="E7476" t="s">
        <v>256</v>
      </c>
      <c r="F7476">
        <v>4</v>
      </c>
    </row>
    <row r="7477" spans="1:6" ht="13.2">
      <c r="A7477" t="s">
        <v>1050</v>
      </c>
      <c r="B7477">
        <v>0</v>
      </c>
      <c r="C7477" s="44" t="s">
        <v>201</v>
      </c>
      <c r="D7477" t="s">
        <v>293</v>
      </c>
      <c r="E7477" t="s">
        <v>256</v>
      </c>
      <c r="F7477">
        <v>4</v>
      </c>
    </row>
    <row r="7478" spans="1:6" ht="13.2">
      <c r="A7478" t="s">
        <v>8714</v>
      </c>
      <c r="B7478">
        <v>0</v>
      </c>
      <c r="C7478" s="44">
        <v>3200</v>
      </c>
      <c r="D7478" t="s">
        <v>293</v>
      </c>
      <c r="E7478" t="s">
        <v>8565</v>
      </c>
      <c r="F7478">
        <v>4</v>
      </c>
    </row>
    <row r="7479" spans="1:6" ht="13.2">
      <c r="A7479" t="s">
        <v>8715</v>
      </c>
      <c r="B7479">
        <v>0</v>
      </c>
      <c r="C7479" s="44">
        <v>3200</v>
      </c>
      <c r="D7479" t="s">
        <v>293</v>
      </c>
      <c r="E7479" t="s">
        <v>8565</v>
      </c>
      <c r="F7479">
        <v>4</v>
      </c>
    </row>
    <row r="7480" spans="1:6" ht="13.2">
      <c r="A7480" t="s">
        <v>8716</v>
      </c>
      <c r="B7480">
        <v>0</v>
      </c>
      <c r="C7480" s="44">
        <v>3200</v>
      </c>
      <c r="D7480" t="s">
        <v>293</v>
      </c>
      <c r="E7480" t="s">
        <v>8565</v>
      </c>
      <c r="F7480">
        <v>4</v>
      </c>
    </row>
    <row r="7481" spans="1:6" ht="13.2">
      <c r="A7481" t="s">
        <v>8717</v>
      </c>
      <c r="B7481">
        <v>0</v>
      </c>
      <c r="C7481" s="44">
        <v>3200</v>
      </c>
      <c r="D7481" t="s">
        <v>293</v>
      </c>
      <c r="E7481" t="s">
        <v>8565</v>
      </c>
      <c r="F7481">
        <v>4</v>
      </c>
    </row>
    <row r="7482" spans="1:6" ht="13.2">
      <c r="A7482" t="s">
        <v>8718</v>
      </c>
      <c r="B7482">
        <v>0</v>
      </c>
      <c r="C7482" s="44">
        <v>3200</v>
      </c>
      <c r="D7482" t="s">
        <v>293</v>
      </c>
      <c r="E7482" t="s">
        <v>8565</v>
      </c>
      <c r="F7482">
        <v>4</v>
      </c>
    </row>
    <row r="7483" spans="1:6" ht="13.2">
      <c r="A7483" t="s">
        <v>8719</v>
      </c>
      <c r="B7483">
        <v>0</v>
      </c>
      <c r="C7483" s="44">
        <v>3200</v>
      </c>
      <c r="D7483" t="s">
        <v>293</v>
      </c>
      <c r="E7483" t="s">
        <v>8565</v>
      </c>
      <c r="F7483">
        <v>4</v>
      </c>
    </row>
    <row r="7484" spans="1:6" ht="13.2">
      <c r="A7484" t="s">
        <v>8720</v>
      </c>
      <c r="B7484">
        <v>0</v>
      </c>
      <c r="C7484" s="44">
        <v>3200</v>
      </c>
      <c r="D7484" t="s">
        <v>291</v>
      </c>
      <c r="E7484" t="s">
        <v>8565</v>
      </c>
      <c r="F7484">
        <v>4</v>
      </c>
    </row>
    <row r="7485" spans="1:6" ht="13.2">
      <c r="A7485" t="s">
        <v>8721</v>
      </c>
      <c r="B7485">
        <v>0</v>
      </c>
      <c r="C7485" s="44">
        <v>3200</v>
      </c>
      <c r="D7485" t="s">
        <v>291</v>
      </c>
      <c r="E7485" t="s">
        <v>8565</v>
      </c>
      <c r="F7485">
        <v>4</v>
      </c>
    </row>
    <row r="7486" spans="1:6" ht="13.2">
      <c r="A7486" t="s">
        <v>8722</v>
      </c>
      <c r="B7486">
        <v>0</v>
      </c>
      <c r="C7486" s="44">
        <v>3200</v>
      </c>
      <c r="D7486" t="s">
        <v>291</v>
      </c>
      <c r="E7486" t="s">
        <v>8565</v>
      </c>
      <c r="F7486">
        <v>4</v>
      </c>
    </row>
    <row r="7487" spans="1:6" ht="13.2">
      <c r="A7487" t="s">
        <v>8723</v>
      </c>
      <c r="B7487">
        <v>0</v>
      </c>
      <c r="C7487" s="44">
        <v>3200</v>
      </c>
      <c r="D7487" t="s">
        <v>291</v>
      </c>
      <c r="E7487" t="s">
        <v>8565</v>
      </c>
      <c r="F7487">
        <v>4</v>
      </c>
    </row>
    <row r="7488" spans="1:6" ht="13.2">
      <c r="A7488" t="s">
        <v>8724</v>
      </c>
      <c r="B7488">
        <v>0</v>
      </c>
      <c r="C7488" s="44">
        <v>3200</v>
      </c>
      <c r="D7488" t="s">
        <v>291</v>
      </c>
      <c r="E7488" t="s">
        <v>8565</v>
      </c>
      <c r="F7488">
        <v>4</v>
      </c>
    </row>
    <row r="7489" spans="1:6" ht="13.2">
      <c r="A7489" t="s">
        <v>8725</v>
      </c>
      <c r="B7489">
        <v>0</v>
      </c>
      <c r="C7489" s="44">
        <v>3200</v>
      </c>
      <c r="D7489" t="s">
        <v>291</v>
      </c>
      <c r="E7489" t="s">
        <v>8565</v>
      </c>
      <c r="F7489">
        <v>4</v>
      </c>
    </row>
    <row r="7490" spans="1:6" ht="13.2">
      <c r="A7490" t="s">
        <v>8726</v>
      </c>
      <c r="B7490">
        <v>0</v>
      </c>
      <c r="C7490" s="44">
        <v>3000</v>
      </c>
      <c r="D7490" t="s">
        <v>291</v>
      </c>
      <c r="E7490" t="s">
        <v>574</v>
      </c>
      <c r="F7490">
        <v>3</v>
      </c>
    </row>
    <row r="7491" spans="1:6" ht="13.2">
      <c r="A7491" t="s">
        <v>8727</v>
      </c>
      <c r="B7491">
        <v>0</v>
      </c>
      <c r="C7491" s="44">
        <v>3000</v>
      </c>
      <c r="D7491" t="s">
        <v>291</v>
      </c>
      <c r="E7491" t="s">
        <v>574</v>
      </c>
      <c r="F7491">
        <v>3</v>
      </c>
    </row>
    <row r="7492" spans="1:6" ht="13.2">
      <c r="A7492" t="s">
        <v>8728</v>
      </c>
      <c r="B7492">
        <v>0</v>
      </c>
      <c r="C7492" s="44">
        <v>3000</v>
      </c>
      <c r="D7492" t="s">
        <v>291</v>
      </c>
      <c r="E7492" t="s">
        <v>574</v>
      </c>
      <c r="F7492">
        <v>3</v>
      </c>
    </row>
    <row r="7493" spans="1:6" ht="13.2">
      <c r="A7493" t="s">
        <v>8729</v>
      </c>
      <c r="B7493">
        <v>0</v>
      </c>
      <c r="C7493" s="44">
        <v>3000</v>
      </c>
      <c r="D7493" t="s">
        <v>291</v>
      </c>
      <c r="E7493" t="s">
        <v>574</v>
      </c>
      <c r="F7493">
        <v>3</v>
      </c>
    </row>
    <row r="7494" spans="1:6" ht="13.2">
      <c r="A7494" t="s">
        <v>8730</v>
      </c>
      <c r="B7494">
        <v>0</v>
      </c>
      <c r="C7494" s="44">
        <v>3000</v>
      </c>
      <c r="D7494" t="s">
        <v>291</v>
      </c>
      <c r="E7494" t="s">
        <v>574</v>
      </c>
      <c r="F7494">
        <v>3</v>
      </c>
    </row>
    <row r="7495" spans="1:6" ht="13.2">
      <c r="A7495" t="s">
        <v>8731</v>
      </c>
      <c r="B7495">
        <v>0</v>
      </c>
      <c r="C7495" s="44">
        <v>3000</v>
      </c>
      <c r="D7495" t="s">
        <v>291</v>
      </c>
      <c r="E7495" t="s">
        <v>574</v>
      </c>
      <c r="F7495">
        <v>3</v>
      </c>
    </row>
    <row r="7496" spans="1:6" ht="13.2">
      <c r="A7496" t="s">
        <v>8732</v>
      </c>
      <c r="B7496">
        <v>0</v>
      </c>
      <c r="C7496" s="44">
        <v>3000</v>
      </c>
      <c r="D7496" t="s">
        <v>291</v>
      </c>
      <c r="E7496" t="s">
        <v>574</v>
      </c>
      <c r="F7496">
        <v>3</v>
      </c>
    </row>
    <row r="7497" spans="1:6" ht="13.2">
      <c r="A7497" t="s">
        <v>8733</v>
      </c>
      <c r="B7497">
        <v>0</v>
      </c>
      <c r="C7497" s="44">
        <v>3000</v>
      </c>
      <c r="D7497" t="s">
        <v>291</v>
      </c>
      <c r="E7497" t="s">
        <v>574</v>
      </c>
      <c r="F7497">
        <v>3</v>
      </c>
    </row>
    <row r="7498" spans="1:6" ht="13.2">
      <c r="A7498" t="s">
        <v>8734</v>
      </c>
      <c r="B7498">
        <v>0</v>
      </c>
      <c r="C7498" s="44">
        <v>3000</v>
      </c>
      <c r="D7498" t="s">
        <v>291</v>
      </c>
      <c r="E7498" t="s">
        <v>574</v>
      </c>
      <c r="F7498">
        <v>3</v>
      </c>
    </row>
    <row r="7499" spans="1:6" ht="13.2">
      <c r="A7499" t="s">
        <v>8735</v>
      </c>
      <c r="B7499">
        <v>0</v>
      </c>
      <c r="C7499" s="44">
        <v>3000</v>
      </c>
      <c r="D7499" t="s">
        <v>291</v>
      </c>
      <c r="E7499" t="s">
        <v>574</v>
      </c>
      <c r="F7499">
        <v>3</v>
      </c>
    </row>
    <row r="7500" spans="1:6" ht="13.2">
      <c r="A7500" t="s">
        <v>8736</v>
      </c>
      <c r="B7500">
        <v>0</v>
      </c>
      <c r="C7500" s="44">
        <v>3000</v>
      </c>
      <c r="D7500" t="s">
        <v>291</v>
      </c>
      <c r="E7500" t="s">
        <v>574</v>
      </c>
      <c r="F7500">
        <v>3</v>
      </c>
    </row>
    <row r="7501" spans="1:6" ht="13.2">
      <c r="A7501" t="s">
        <v>8737</v>
      </c>
      <c r="B7501">
        <v>0</v>
      </c>
      <c r="C7501" s="44">
        <v>3000</v>
      </c>
      <c r="D7501" t="s">
        <v>291</v>
      </c>
      <c r="E7501" t="s">
        <v>574</v>
      </c>
      <c r="F7501">
        <v>3</v>
      </c>
    </row>
    <row r="7502" spans="1:6" ht="13.2">
      <c r="A7502" t="s">
        <v>8738</v>
      </c>
      <c r="B7502">
        <v>0</v>
      </c>
      <c r="C7502" s="44">
        <v>3000</v>
      </c>
      <c r="D7502" t="s">
        <v>291</v>
      </c>
      <c r="E7502" t="s">
        <v>574</v>
      </c>
      <c r="F7502">
        <v>3</v>
      </c>
    </row>
    <row r="7503" spans="1:6" ht="13.2">
      <c r="A7503" t="s">
        <v>8739</v>
      </c>
      <c r="B7503">
        <v>0</v>
      </c>
      <c r="C7503" s="44">
        <v>3000</v>
      </c>
      <c r="D7503" t="s">
        <v>291</v>
      </c>
      <c r="E7503" t="s">
        <v>574</v>
      </c>
      <c r="F7503">
        <v>3</v>
      </c>
    </row>
    <row r="7504" spans="1:6" ht="13.2">
      <c r="A7504" t="s">
        <v>8740</v>
      </c>
      <c r="B7504">
        <v>0</v>
      </c>
      <c r="C7504" s="44">
        <v>3000</v>
      </c>
      <c r="D7504" t="s">
        <v>291</v>
      </c>
      <c r="E7504" t="s">
        <v>574</v>
      </c>
      <c r="F7504">
        <v>3</v>
      </c>
    </row>
    <row r="7505" spans="1:6" ht="13.2">
      <c r="A7505" t="s">
        <v>8741</v>
      </c>
      <c r="B7505">
        <v>0</v>
      </c>
      <c r="C7505" s="44">
        <v>3000</v>
      </c>
      <c r="D7505" t="s">
        <v>291</v>
      </c>
      <c r="E7505" t="s">
        <v>574</v>
      </c>
      <c r="F7505">
        <v>3</v>
      </c>
    </row>
    <row r="7506" spans="1:6" ht="13.2">
      <c r="A7506" t="s">
        <v>8742</v>
      </c>
      <c r="B7506">
        <v>0</v>
      </c>
      <c r="C7506" s="44">
        <v>3000</v>
      </c>
      <c r="D7506" t="s">
        <v>291</v>
      </c>
      <c r="E7506" t="s">
        <v>574</v>
      </c>
      <c r="F7506">
        <v>3</v>
      </c>
    </row>
    <row r="7507" spans="1:6" ht="13.2">
      <c r="A7507" t="s">
        <v>8743</v>
      </c>
      <c r="B7507">
        <v>0</v>
      </c>
      <c r="C7507" s="44">
        <v>3000</v>
      </c>
      <c r="D7507" t="s">
        <v>291</v>
      </c>
      <c r="E7507" t="s">
        <v>574</v>
      </c>
      <c r="F7507">
        <v>3</v>
      </c>
    </row>
    <row r="7508" spans="1:6" ht="13.2">
      <c r="A7508" t="s">
        <v>8744</v>
      </c>
      <c r="B7508">
        <v>0</v>
      </c>
      <c r="C7508" s="44">
        <v>3000</v>
      </c>
      <c r="D7508" t="s">
        <v>291</v>
      </c>
      <c r="E7508" t="s">
        <v>574</v>
      </c>
      <c r="F7508">
        <v>3</v>
      </c>
    </row>
    <row r="7509" spans="1:6" ht="13.2">
      <c r="A7509" t="s">
        <v>8745</v>
      </c>
      <c r="B7509">
        <v>0</v>
      </c>
      <c r="C7509" s="44">
        <v>3000</v>
      </c>
      <c r="D7509" t="s">
        <v>291</v>
      </c>
      <c r="E7509" t="s">
        <v>574</v>
      </c>
      <c r="F7509">
        <v>3</v>
      </c>
    </row>
    <row r="7510" spans="1:6" ht="13.2">
      <c r="A7510" t="s">
        <v>8746</v>
      </c>
      <c r="B7510">
        <v>0</v>
      </c>
      <c r="C7510" s="44">
        <v>3000</v>
      </c>
      <c r="D7510" t="s">
        <v>291</v>
      </c>
      <c r="E7510" t="s">
        <v>574</v>
      </c>
      <c r="F7510">
        <v>3</v>
      </c>
    </row>
    <row r="7511" spans="1:6" ht="13.2">
      <c r="A7511" t="s">
        <v>8747</v>
      </c>
      <c r="B7511">
        <v>0</v>
      </c>
      <c r="C7511" s="44">
        <v>3000</v>
      </c>
      <c r="D7511" t="s">
        <v>291</v>
      </c>
      <c r="E7511" t="s">
        <v>574</v>
      </c>
      <c r="F7511">
        <v>3</v>
      </c>
    </row>
    <row r="7512" spans="1:6" ht="13.2">
      <c r="A7512" t="s">
        <v>8748</v>
      </c>
      <c r="B7512">
        <v>0</v>
      </c>
      <c r="C7512" s="44">
        <v>3000</v>
      </c>
      <c r="D7512" t="s">
        <v>291</v>
      </c>
      <c r="E7512" t="s">
        <v>574</v>
      </c>
      <c r="F7512">
        <v>3</v>
      </c>
    </row>
    <row r="7513" spans="1:6" ht="13.2">
      <c r="A7513" t="s">
        <v>8749</v>
      </c>
      <c r="B7513">
        <v>0</v>
      </c>
      <c r="C7513" s="44">
        <v>3000</v>
      </c>
      <c r="D7513" t="s">
        <v>291</v>
      </c>
      <c r="E7513" t="s">
        <v>574</v>
      </c>
      <c r="F7513">
        <v>3</v>
      </c>
    </row>
    <row r="7514" spans="1:6" ht="13.2">
      <c r="A7514" t="s">
        <v>8750</v>
      </c>
      <c r="B7514">
        <v>0</v>
      </c>
      <c r="C7514" s="44">
        <v>3000</v>
      </c>
      <c r="D7514" t="s">
        <v>291</v>
      </c>
      <c r="E7514" t="s">
        <v>574</v>
      </c>
      <c r="F7514">
        <v>3</v>
      </c>
    </row>
    <row r="7515" spans="1:6" ht="13.2">
      <c r="A7515" t="s">
        <v>8751</v>
      </c>
      <c r="B7515">
        <v>0</v>
      </c>
      <c r="C7515" s="44">
        <v>3000</v>
      </c>
      <c r="D7515" t="s">
        <v>291</v>
      </c>
      <c r="E7515" t="s">
        <v>574</v>
      </c>
      <c r="F7515">
        <v>3</v>
      </c>
    </row>
    <row r="7516" spans="1:6" ht="13.2">
      <c r="A7516" t="s">
        <v>8752</v>
      </c>
      <c r="B7516">
        <v>0</v>
      </c>
      <c r="C7516" s="44">
        <v>3000</v>
      </c>
      <c r="D7516" t="s">
        <v>291</v>
      </c>
      <c r="E7516" t="s">
        <v>574</v>
      </c>
      <c r="F7516">
        <v>3</v>
      </c>
    </row>
    <row r="7517" spans="1:6" ht="13.2">
      <c r="A7517" t="s">
        <v>8753</v>
      </c>
      <c r="B7517">
        <v>0</v>
      </c>
      <c r="C7517" s="44">
        <v>3200</v>
      </c>
      <c r="D7517" t="s">
        <v>293</v>
      </c>
      <c r="E7517" t="s">
        <v>8565</v>
      </c>
      <c r="F7517">
        <v>4</v>
      </c>
    </row>
    <row r="7518" spans="1:6" ht="13.2">
      <c r="A7518" t="s">
        <v>8754</v>
      </c>
      <c r="B7518">
        <v>0</v>
      </c>
      <c r="C7518" s="44">
        <v>3200</v>
      </c>
      <c r="D7518" t="s">
        <v>293</v>
      </c>
      <c r="E7518" t="s">
        <v>8565</v>
      </c>
      <c r="F7518">
        <v>4</v>
      </c>
    </row>
    <row r="7519" spans="1:6" ht="13.2">
      <c r="A7519" t="s">
        <v>8755</v>
      </c>
      <c r="B7519">
        <v>0</v>
      </c>
      <c r="C7519" s="44">
        <v>3200</v>
      </c>
      <c r="D7519" t="s">
        <v>293</v>
      </c>
      <c r="E7519" t="s">
        <v>8565</v>
      </c>
      <c r="F7519">
        <v>4</v>
      </c>
    </row>
    <row r="7520" spans="1:6" ht="13.2">
      <c r="A7520" t="s">
        <v>8756</v>
      </c>
      <c r="B7520">
        <v>0</v>
      </c>
      <c r="C7520" s="44">
        <v>3200</v>
      </c>
      <c r="D7520" t="s">
        <v>293</v>
      </c>
      <c r="E7520" t="s">
        <v>8565</v>
      </c>
      <c r="F7520">
        <v>4</v>
      </c>
    </row>
    <row r="7521" spans="1:6" ht="13.2">
      <c r="A7521" t="s">
        <v>8757</v>
      </c>
      <c r="B7521">
        <v>0</v>
      </c>
      <c r="C7521" s="44">
        <v>3200</v>
      </c>
      <c r="D7521" t="s">
        <v>293</v>
      </c>
      <c r="E7521" t="s">
        <v>8565</v>
      </c>
      <c r="F7521">
        <v>4</v>
      </c>
    </row>
    <row r="7522" spans="1:6" ht="13.2">
      <c r="A7522" t="s">
        <v>8758</v>
      </c>
      <c r="B7522">
        <v>0</v>
      </c>
      <c r="C7522" s="44">
        <v>3200</v>
      </c>
      <c r="D7522" t="s">
        <v>293</v>
      </c>
      <c r="E7522" t="s">
        <v>8565</v>
      </c>
      <c r="F7522">
        <v>4</v>
      </c>
    </row>
    <row r="7523" spans="1:6" ht="13.2">
      <c r="A7523" t="s">
        <v>8759</v>
      </c>
      <c r="B7523">
        <v>0</v>
      </c>
      <c r="C7523" s="44">
        <v>3200</v>
      </c>
      <c r="D7523" t="s">
        <v>293</v>
      </c>
      <c r="E7523" t="s">
        <v>8565</v>
      </c>
      <c r="F7523">
        <v>4</v>
      </c>
    </row>
    <row r="7524" spans="1:6" ht="13.2">
      <c r="A7524" t="s">
        <v>8760</v>
      </c>
      <c r="B7524">
        <v>0</v>
      </c>
      <c r="C7524" s="44">
        <v>3000</v>
      </c>
      <c r="D7524" t="s">
        <v>291</v>
      </c>
      <c r="E7524" t="s">
        <v>8565</v>
      </c>
      <c r="F7524">
        <v>4</v>
      </c>
    </row>
    <row r="7525" spans="1:6" ht="13.2">
      <c r="A7525" t="s">
        <v>8761</v>
      </c>
      <c r="B7525">
        <v>0</v>
      </c>
      <c r="C7525" s="44">
        <v>3000</v>
      </c>
      <c r="D7525" t="s">
        <v>291</v>
      </c>
      <c r="E7525" t="s">
        <v>8565</v>
      </c>
      <c r="F7525">
        <v>4</v>
      </c>
    </row>
    <row r="7526" spans="1:6" ht="13.2">
      <c r="A7526" t="s">
        <v>8762</v>
      </c>
      <c r="B7526">
        <v>0</v>
      </c>
      <c r="C7526" s="44">
        <v>3000</v>
      </c>
      <c r="D7526" t="s">
        <v>291</v>
      </c>
      <c r="E7526" t="s">
        <v>8565</v>
      </c>
      <c r="F7526">
        <v>4</v>
      </c>
    </row>
    <row r="7527" spans="1:6" ht="13.2">
      <c r="A7527" t="s">
        <v>8763</v>
      </c>
      <c r="B7527">
        <v>0</v>
      </c>
      <c r="C7527" s="44">
        <v>3000</v>
      </c>
      <c r="D7527" t="s">
        <v>291</v>
      </c>
      <c r="E7527" t="s">
        <v>8565</v>
      </c>
      <c r="F7527">
        <v>4</v>
      </c>
    </row>
    <row r="7528" spans="1:6" ht="13.2">
      <c r="A7528" t="s">
        <v>8764</v>
      </c>
      <c r="B7528">
        <v>0</v>
      </c>
      <c r="C7528" s="44">
        <v>3000</v>
      </c>
      <c r="D7528" t="s">
        <v>291</v>
      </c>
      <c r="E7528" t="s">
        <v>8565</v>
      </c>
      <c r="F7528">
        <v>4</v>
      </c>
    </row>
    <row r="7529" spans="1:6" ht="13.2">
      <c r="A7529" t="s">
        <v>8765</v>
      </c>
      <c r="B7529">
        <v>0</v>
      </c>
      <c r="C7529" s="44">
        <v>3000</v>
      </c>
      <c r="D7529" t="s">
        <v>291</v>
      </c>
      <c r="E7529" t="s">
        <v>8565</v>
      </c>
      <c r="F7529">
        <v>4</v>
      </c>
    </row>
    <row r="7530" spans="1:6" ht="13.2">
      <c r="A7530" t="s">
        <v>8766</v>
      </c>
      <c r="B7530">
        <v>0</v>
      </c>
      <c r="C7530" s="44">
        <v>3000</v>
      </c>
      <c r="D7530" t="s">
        <v>291</v>
      </c>
      <c r="E7530" t="s">
        <v>8565</v>
      </c>
      <c r="F7530">
        <v>4</v>
      </c>
    </row>
    <row r="7531" spans="1:6" ht="13.2">
      <c r="A7531" t="s">
        <v>8767</v>
      </c>
      <c r="B7531">
        <v>0</v>
      </c>
      <c r="C7531" s="44">
        <v>3000</v>
      </c>
      <c r="D7531" t="s">
        <v>291</v>
      </c>
      <c r="E7531" t="s">
        <v>8565</v>
      </c>
      <c r="F7531">
        <v>4</v>
      </c>
    </row>
    <row r="7532" spans="1:6" ht="13.2">
      <c r="A7532" t="s">
        <v>8768</v>
      </c>
      <c r="B7532">
        <v>0</v>
      </c>
      <c r="C7532" s="44">
        <v>3000</v>
      </c>
      <c r="D7532" t="s">
        <v>291</v>
      </c>
      <c r="E7532" t="s">
        <v>8565</v>
      </c>
      <c r="F7532">
        <v>4</v>
      </c>
    </row>
    <row r="7533" spans="1:6" ht="13.2">
      <c r="A7533" t="s">
        <v>8769</v>
      </c>
      <c r="B7533">
        <v>0</v>
      </c>
      <c r="C7533" s="44">
        <v>3000</v>
      </c>
      <c r="D7533" t="s">
        <v>291</v>
      </c>
      <c r="E7533" t="s">
        <v>8565</v>
      </c>
      <c r="F7533">
        <v>4</v>
      </c>
    </row>
    <row r="7534" spans="1:6" ht="13.2">
      <c r="A7534" t="s">
        <v>8770</v>
      </c>
      <c r="B7534">
        <v>0</v>
      </c>
      <c r="C7534" s="44">
        <v>3000</v>
      </c>
      <c r="D7534" t="s">
        <v>291</v>
      </c>
      <c r="E7534" t="s">
        <v>8565</v>
      </c>
      <c r="F7534">
        <v>4</v>
      </c>
    </row>
    <row r="7535" spans="1:6" ht="13.2">
      <c r="A7535" t="s">
        <v>8772</v>
      </c>
      <c r="B7535">
        <v>890</v>
      </c>
      <c r="C7535" s="44">
        <v>1370</v>
      </c>
      <c r="D7535" t="s">
        <v>291</v>
      </c>
      <c r="E7535" t="s">
        <v>8773</v>
      </c>
      <c r="F7535">
        <v>10</v>
      </c>
    </row>
    <row r="7536" spans="1:6" ht="13.2">
      <c r="A7536" t="s">
        <v>8774</v>
      </c>
      <c r="B7536">
        <v>890</v>
      </c>
      <c r="C7536" s="44">
        <v>1370</v>
      </c>
      <c r="D7536" t="s">
        <v>291</v>
      </c>
      <c r="E7536" t="s">
        <v>8773</v>
      </c>
      <c r="F7536">
        <v>10</v>
      </c>
    </row>
    <row r="7537" spans="1:6" ht="13.2">
      <c r="A7537" t="s">
        <v>8775</v>
      </c>
      <c r="B7537">
        <v>890</v>
      </c>
      <c r="C7537" s="44">
        <v>1370</v>
      </c>
      <c r="D7537" t="s">
        <v>291</v>
      </c>
      <c r="E7537" t="s">
        <v>8773</v>
      </c>
      <c r="F7537">
        <v>10</v>
      </c>
    </row>
    <row r="7538" spans="1:6" ht="13.2">
      <c r="A7538" t="s">
        <v>8776</v>
      </c>
      <c r="B7538">
        <v>890</v>
      </c>
      <c r="C7538" s="44">
        <v>1370</v>
      </c>
      <c r="D7538" t="s">
        <v>291</v>
      </c>
      <c r="E7538" t="s">
        <v>8773</v>
      </c>
      <c r="F7538">
        <v>10</v>
      </c>
    </row>
    <row r="7539" spans="1:6" ht="13.2">
      <c r="A7539" t="s">
        <v>8777</v>
      </c>
      <c r="B7539">
        <v>235</v>
      </c>
      <c r="C7539" s="44">
        <v>1370</v>
      </c>
      <c r="D7539" t="s">
        <v>291</v>
      </c>
      <c r="E7539" t="s">
        <v>8778</v>
      </c>
      <c r="F7539">
        <v>4</v>
      </c>
    </row>
    <row r="7540" spans="1:6" ht="13.2">
      <c r="A7540" t="s">
        <v>8779</v>
      </c>
      <c r="B7540">
        <v>235</v>
      </c>
      <c r="C7540" s="44">
        <v>1370</v>
      </c>
      <c r="D7540" t="s">
        <v>291</v>
      </c>
      <c r="E7540" t="s">
        <v>8778</v>
      </c>
      <c r="F7540">
        <v>4</v>
      </c>
    </row>
    <row r="7541" spans="1:6" ht="13.2">
      <c r="A7541" t="s">
        <v>8780</v>
      </c>
      <c r="B7541">
        <v>235</v>
      </c>
      <c r="C7541" s="44">
        <v>1370</v>
      </c>
      <c r="D7541" t="s">
        <v>291</v>
      </c>
      <c r="E7541" t="s">
        <v>8778</v>
      </c>
      <c r="F7541">
        <v>4</v>
      </c>
    </row>
    <row r="7542" spans="1:6" ht="13.2">
      <c r="A7542" t="s">
        <v>8781</v>
      </c>
      <c r="B7542">
        <v>235</v>
      </c>
      <c r="C7542" s="44">
        <v>1370</v>
      </c>
      <c r="D7542" t="s">
        <v>291</v>
      </c>
      <c r="E7542" t="s">
        <v>8778</v>
      </c>
      <c r="F7542">
        <v>4</v>
      </c>
    </row>
    <row r="7543" spans="1:6" ht="13.2">
      <c r="A7543" t="s">
        <v>8782</v>
      </c>
      <c r="B7543">
        <v>235</v>
      </c>
      <c r="C7543" s="44">
        <v>1370</v>
      </c>
      <c r="D7543" t="s">
        <v>291</v>
      </c>
      <c r="E7543" t="s">
        <v>8778</v>
      </c>
      <c r="F7543">
        <v>4</v>
      </c>
    </row>
    <row r="7544" spans="1:6" ht="13.2">
      <c r="A7544" t="s">
        <v>8783</v>
      </c>
      <c r="B7544">
        <v>235</v>
      </c>
      <c r="C7544" s="44">
        <v>1370</v>
      </c>
      <c r="D7544" t="s">
        <v>291</v>
      </c>
      <c r="E7544" t="s">
        <v>8778</v>
      </c>
      <c r="F7544">
        <v>4</v>
      </c>
    </row>
    <row r="7545" spans="1:6" ht="13.2">
      <c r="A7545" t="s">
        <v>8784</v>
      </c>
      <c r="B7545">
        <v>235</v>
      </c>
      <c r="C7545" s="44">
        <v>1370</v>
      </c>
      <c r="D7545" t="s">
        <v>291</v>
      </c>
      <c r="E7545" t="s">
        <v>8778</v>
      </c>
      <c r="F7545">
        <v>4</v>
      </c>
    </row>
    <row r="7546" spans="1:6" ht="13.2">
      <c r="A7546" t="s">
        <v>8785</v>
      </c>
      <c r="B7546">
        <v>235</v>
      </c>
      <c r="C7546" s="44">
        <v>1370</v>
      </c>
      <c r="D7546" t="s">
        <v>291</v>
      </c>
      <c r="E7546" t="s">
        <v>8778</v>
      </c>
      <c r="F7546">
        <v>4</v>
      </c>
    </row>
    <row r="7547" spans="1:6" ht="13.2">
      <c r="A7547" t="s">
        <v>8786</v>
      </c>
      <c r="B7547">
        <v>0</v>
      </c>
      <c r="C7547" s="44" t="s">
        <v>204</v>
      </c>
      <c r="D7547" t="s">
        <v>293</v>
      </c>
      <c r="E7547" t="s">
        <v>8565</v>
      </c>
      <c r="F7547">
        <v>4</v>
      </c>
    </row>
    <row r="7548" spans="1:6" ht="13.2">
      <c r="A7548" t="s">
        <v>8787</v>
      </c>
      <c r="B7548">
        <v>0</v>
      </c>
      <c r="C7548" s="44" t="s">
        <v>204</v>
      </c>
      <c r="D7548" t="s">
        <v>293</v>
      </c>
      <c r="E7548" t="s">
        <v>8565</v>
      </c>
      <c r="F7548">
        <v>4</v>
      </c>
    </row>
    <row r="7549" spans="1:6" ht="13.2">
      <c r="A7549" t="s">
        <v>8788</v>
      </c>
      <c r="B7549">
        <v>0</v>
      </c>
      <c r="C7549" s="44" t="s">
        <v>204</v>
      </c>
      <c r="D7549" t="s">
        <v>293</v>
      </c>
      <c r="E7549" t="s">
        <v>8565</v>
      </c>
      <c r="F7549">
        <v>4</v>
      </c>
    </row>
    <row r="7550" spans="1:6" ht="13.2">
      <c r="A7550" t="s">
        <v>8789</v>
      </c>
      <c r="B7550">
        <v>0</v>
      </c>
      <c r="C7550" s="44" t="s">
        <v>204</v>
      </c>
      <c r="D7550" t="s">
        <v>293</v>
      </c>
      <c r="E7550" t="s">
        <v>8565</v>
      </c>
      <c r="F7550">
        <v>4</v>
      </c>
    </row>
    <row r="7551" spans="1:6" ht="13.2">
      <c r="A7551" t="s">
        <v>8790</v>
      </c>
      <c r="B7551">
        <v>0</v>
      </c>
      <c r="C7551" s="44" t="s">
        <v>204</v>
      </c>
      <c r="D7551" t="s">
        <v>293</v>
      </c>
      <c r="E7551" t="s">
        <v>8565</v>
      </c>
      <c r="F7551">
        <v>4</v>
      </c>
    </row>
    <row r="7552" spans="1:6" ht="13.2">
      <c r="A7552" t="s">
        <v>8791</v>
      </c>
      <c r="B7552">
        <v>0</v>
      </c>
      <c r="C7552" s="44" t="s">
        <v>204</v>
      </c>
      <c r="D7552" t="s">
        <v>293</v>
      </c>
      <c r="E7552" t="s">
        <v>8565</v>
      </c>
      <c r="F7552">
        <v>4</v>
      </c>
    </row>
    <row r="7553" spans="1:6" ht="13.2">
      <c r="A7553" t="s">
        <v>8792</v>
      </c>
      <c r="B7553">
        <v>0</v>
      </c>
      <c r="C7553" s="44" t="s">
        <v>204</v>
      </c>
      <c r="D7553" t="s">
        <v>293</v>
      </c>
      <c r="E7553" t="s">
        <v>8565</v>
      </c>
      <c r="F7553">
        <v>4</v>
      </c>
    </row>
    <row r="7554" spans="1:6" ht="13.2">
      <c r="A7554" t="s">
        <v>8793</v>
      </c>
      <c r="B7554">
        <v>0</v>
      </c>
      <c r="C7554" s="44" t="s">
        <v>204</v>
      </c>
      <c r="D7554" t="s">
        <v>293</v>
      </c>
      <c r="E7554" t="s">
        <v>8565</v>
      </c>
      <c r="F7554">
        <v>4</v>
      </c>
    </row>
    <row r="7555" spans="1:6" ht="13.2">
      <c r="A7555" t="s">
        <v>8794</v>
      </c>
      <c r="B7555">
        <v>0</v>
      </c>
      <c r="C7555" s="44" t="s">
        <v>204</v>
      </c>
      <c r="D7555" t="s">
        <v>293</v>
      </c>
      <c r="E7555" t="s">
        <v>8565</v>
      </c>
      <c r="F7555">
        <v>4</v>
      </c>
    </row>
    <row r="7556" spans="1:6" ht="13.2">
      <c r="A7556" t="s">
        <v>8795</v>
      </c>
      <c r="B7556">
        <v>0</v>
      </c>
      <c r="C7556" s="44" t="s">
        <v>204</v>
      </c>
      <c r="D7556" t="s">
        <v>293</v>
      </c>
      <c r="E7556" t="s">
        <v>8565</v>
      </c>
      <c r="F7556">
        <v>4</v>
      </c>
    </row>
    <row r="7557" spans="1:6" ht="13.2">
      <c r="A7557" t="s">
        <v>8777</v>
      </c>
      <c r="B7557">
        <v>235</v>
      </c>
      <c r="C7557" s="44">
        <v>1370</v>
      </c>
      <c r="D7557" t="s">
        <v>291</v>
      </c>
      <c r="E7557" t="s">
        <v>8778</v>
      </c>
      <c r="F7557">
        <v>4</v>
      </c>
    </row>
    <row r="7558" spans="1:6" ht="13.2">
      <c r="A7558" t="s">
        <v>8779</v>
      </c>
      <c r="B7558">
        <v>235</v>
      </c>
      <c r="C7558" s="44">
        <v>1370</v>
      </c>
      <c r="D7558" t="s">
        <v>291</v>
      </c>
      <c r="E7558" t="s">
        <v>8778</v>
      </c>
      <c r="F7558">
        <v>4</v>
      </c>
    </row>
    <row r="7559" spans="1:6" ht="13.2">
      <c r="A7559" t="s">
        <v>8780</v>
      </c>
      <c r="B7559">
        <v>235</v>
      </c>
      <c r="C7559" s="44">
        <v>1370</v>
      </c>
      <c r="D7559" t="s">
        <v>291</v>
      </c>
      <c r="E7559" t="s">
        <v>8778</v>
      </c>
      <c r="F7559">
        <v>4</v>
      </c>
    </row>
    <row r="7560" spans="1:6" ht="13.2">
      <c r="A7560" t="s">
        <v>8781</v>
      </c>
      <c r="B7560">
        <v>235</v>
      </c>
      <c r="C7560" s="44">
        <v>1370</v>
      </c>
      <c r="D7560" t="s">
        <v>291</v>
      </c>
      <c r="E7560" t="s">
        <v>8778</v>
      </c>
      <c r="F7560">
        <v>4</v>
      </c>
    </row>
    <row r="7561" spans="1:6" ht="13.2">
      <c r="A7561" t="s">
        <v>8782</v>
      </c>
      <c r="B7561">
        <v>235</v>
      </c>
      <c r="C7561" s="44">
        <v>1370</v>
      </c>
      <c r="D7561" t="s">
        <v>291</v>
      </c>
      <c r="E7561" t="s">
        <v>8778</v>
      </c>
      <c r="F7561">
        <v>4</v>
      </c>
    </row>
    <row r="7562" spans="1:6" ht="13.2">
      <c r="A7562" t="s">
        <v>8783</v>
      </c>
      <c r="B7562">
        <v>235</v>
      </c>
      <c r="C7562" s="44">
        <v>1370</v>
      </c>
      <c r="D7562" t="s">
        <v>291</v>
      </c>
      <c r="E7562" t="s">
        <v>8778</v>
      </c>
      <c r="F7562">
        <v>4</v>
      </c>
    </row>
    <row r="7563" spans="1:6" ht="13.2">
      <c r="A7563" t="s">
        <v>8784</v>
      </c>
      <c r="B7563">
        <v>235</v>
      </c>
      <c r="C7563" s="44">
        <v>1370</v>
      </c>
      <c r="D7563" t="s">
        <v>291</v>
      </c>
      <c r="E7563" t="s">
        <v>8778</v>
      </c>
      <c r="F7563">
        <v>4</v>
      </c>
    </row>
    <row r="7564" spans="1:6" ht="13.2">
      <c r="A7564" t="s">
        <v>8785</v>
      </c>
      <c r="B7564">
        <v>235</v>
      </c>
      <c r="C7564" s="44">
        <v>1370</v>
      </c>
      <c r="D7564" t="s">
        <v>291</v>
      </c>
      <c r="E7564" t="s">
        <v>8778</v>
      </c>
      <c r="F7564">
        <v>4</v>
      </c>
    </row>
    <row r="7565" spans="1:6" ht="13.2">
      <c r="A7565" t="s">
        <v>8798</v>
      </c>
      <c r="B7565">
        <v>620</v>
      </c>
      <c r="C7565" s="44">
        <v>1400</v>
      </c>
      <c r="D7565" t="s">
        <v>291</v>
      </c>
      <c r="E7565" t="s">
        <v>577</v>
      </c>
      <c r="F7565">
        <v>3</v>
      </c>
    </row>
    <row r="7566" spans="1:6" ht="13.2">
      <c r="A7566" t="s">
        <v>8799</v>
      </c>
      <c r="B7566">
        <v>620</v>
      </c>
      <c r="C7566" s="44">
        <v>1400</v>
      </c>
      <c r="D7566" t="s">
        <v>291</v>
      </c>
      <c r="E7566" t="s">
        <v>577</v>
      </c>
      <c r="F7566">
        <v>3</v>
      </c>
    </row>
    <row r="7567" spans="1:6" ht="13.2">
      <c r="A7567" t="s">
        <v>8800</v>
      </c>
      <c r="B7567">
        <v>620</v>
      </c>
      <c r="C7567" s="44">
        <v>1400</v>
      </c>
      <c r="D7567" t="s">
        <v>291</v>
      </c>
      <c r="E7567" t="s">
        <v>577</v>
      </c>
      <c r="F7567">
        <v>3</v>
      </c>
    </row>
    <row r="7568" spans="1:6" ht="13.2">
      <c r="A7568" t="s">
        <v>8801</v>
      </c>
      <c r="B7568">
        <v>620</v>
      </c>
      <c r="C7568" s="44">
        <v>1400</v>
      </c>
      <c r="D7568" t="s">
        <v>291</v>
      </c>
      <c r="E7568" t="s">
        <v>577</v>
      </c>
      <c r="F7568">
        <v>3</v>
      </c>
    </row>
    <row r="7569" spans="1:6" ht="13.2">
      <c r="A7569" t="s">
        <v>8802</v>
      </c>
      <c r="B7569">
        <v>620</v>
      </c>
      <c r="C7569" s="44">
        <v>1400</v>
      </c>
      <c r="D7569" t="s">
        <v>291</v>
      </c>
      <c r="E7569" t="s">
        <v>577</v>
      </c>
      <c r="F7569">
        <v>3</v>
      </c>
    </row>
    <row r="7570" spans="1:6" ht="13.2">
      <c r="A7570" t="s">
        <v>8803</v>
      </c>
      <c r="B7570">
        <v>620</v>
      </c>
      <c r="C7570" s="44">
        <v>1400</v>
      </c>
      <c r="D7570" t="s">
        <v>291</v>
      </c>
      <c r="E7570" t="s">
        <v>577</v>
      </c>
      <c r="F7570">
        <v>3</v>
      </c>
    </row>
    <row r="7571" spans="1:6" ht="13.2">
      <c r="A7571" t="s">
        <v>8804</v>
      </c>
      <c r="B7571">
        <v>112</v>
      </c>
      <c r="C7571" s="44">
        <v>1380</v>
      </c>
      <c r="D7571" t="s">
        <v>291</v>
      </c>
      <c r="E7571" t="s">
        <v>8805</v>
      </c>
      <c r="F7571">
        <v>1</v>
      </c>
    </row>
    <row r="7572" spans="1:6" ht="13.2">
      <c r="A7572" t="s">
        <v>8806</v>
      </c>
      <c r="B7572">
        <v>112</v>
      </c>
      <c r="C7572" s="44">
        <v>1380</v>
      </c>
      <c r="D7572" t="s">
        <v>291</v>
      </c>
      <c r="E7572" t="s">
        <v>8805</v>
      </c>
      <c r="F7572">
        <v>1</v>
      </c>
    </row>
    <row r="7573" spans="1:6" ht="13.2">
      <c r="A7573" t="s">
        <v>8807</v>
      </c>
      <c r="B7573">
        <v>112</v>
      </c>
      <c r="C7573" s="44">
        <v>1380</v>
      </c>
      <c r="D7573" t="s">
        <v>291</v>
      </c>
      <c r="E7573" t="s">
        <v>8805</v>
      </c>
      <c r="F7573">
        <v>1</v>
      </c>
    </row>
    <row r="7574" spans="1:5" ht="13.2">
      <c r="A7574" t="s">
        <v>8808</v>
      </c>
      <c r="B7574">
        <v>360</v>
      </c>
      <c r="C7574" s="44" t="s">
        <v>208</v>
      </c>
      <c r="D7574" t="s">
        <v>293</v>
      </c>
      <c r="E7574" t="s">
        <v>212</v>
      </c>
    </row>
    <row r="7575" spans="1:5" ht="13.2">
      <c r="A7575" t="s">
        <v>8809</v>
      </c>
      <c r="B7575">
        <v>360</v>
      </c>
      <c r="C7575" s="44" t="s">
        <v>208</v>
      </c>
      <c r="D7575" t="s">
        <v>293</v>
      </c>
      <c r="E7575" t="s">
        <v>212</v>
      </c>
    </row>
    <row r="7576" spans="1:5" ht="13.2">
      <c r="A7576" t="s">
        <v>8810</v>
      </c>
      <c r="B7576">
        <v>360</v>
      </c>
      <c r="C7576" s="44" t="s">
        <v>208</v>
      </c>
      <c r="D7576" t="s">
        <v>293</v>
      </c>
      <c r="E7576" t="s">
        <v>212</v>
      </c>
    </row>
    <row r="7577" spans="1:5" ht="13.2">
      <c r="A7577" t="s">
        <v>8811</v>
      </c>
      <c r="B7577">
        <v>360</v>
      </c>
      <c r="C7577" s="44" t="s">
        <v>208</v>
      </c>
      <c r="D7577" t="s">
        <v>293</v>
      </c>
      <c r="E7577" t="s">
        <v>212</v>
      </c>
    </row>
    <row r="7578" spans="1:5" ht="13.2">
      <c r="A7578" t="s">
        <v>8812</v>
      </c>
      <c r="B7578">
        <v>360</v>
      </c>
      <c r="C7578" s="44" t="s">
        <v>208</v>
      </c>
      <c r="D7578" t="s">
        <v>293</v>
      </c>
      <c r="E7578" t="s">
        <v>212</v>
      </c>
    </row>
    <row r="7579" spans="1:5" ht="13.2">
      <c r="A7579" t="s">
        <v>8813</v>
      </c>
      <c r="B7579">
        <v>360</v>
      </c>
      <c r="C7579" s="44" t="s">
        <v>208</v>
      </c>
      <c r="D7579" t="s">
        <v>293</v>
      </c>
      <c r="E7579" t="s">
        <v>212</v>
      </c>
    </row>
    <row r="7580" spans="1:5" ht="13.2">
      <c r="A7580" t="s">
        <v>8814</v>
      </c>
      <c r="B7580">
        <v>360</v>
      </c>
      <c r="C7580" s="44" t="s">
        <v>208</v>
      </c>
      <c r="D7580" t="s">
        <v>293</v>
      </c>
      <c r="E7580" t="s">
        <v>212</v>
      </c>
    </row>
    <row r="7581" spans="1:5" ht="13.2">
      <c r="A7581" t="s">
        <v>8815</v>
      </c>
      <c r="B7581">
        <v>360</v>
      </c>
      <c r="C7581" s="44" t="s">
        <v>208</v>
      </c>
      <c r="D7581" t="s">
        <v>293</v>
      </c>
      <c r="E7581" t="s">
        <v>212</v>
      </c>
    </row>
    <row r="7582" spans="1:5" ht="13.2">
      <c r="A7582" t="s">
        <v>8816</v>
      </c>
      <c r="B7582">
        <v>360</v>
      </c>
      <c r="C7582" s="44" t="s">
        <v>208</v>
      </c>
      <c r="D7582" t="s">
        <v>293</v>
      </c>
      <c r="E7582" t="s">
        <v>212</v>
      </c>
    </row>
    <row r="7583" spans="1:5" ht="13.2">
      <c r="A7583" t="s">
        <v>8817</v>
      </c>
      <c r="B7583">
        <v>360</v>
      </c>
      <c r="C7583" s="44" t="s">
        <v>208</v>
      </c>
      <c r="D7583" t="s">
        <v>293</v>
      </c>
      <c r="E7583" t="s">
        <v>212</v>
      </c>
    </row>
    <row r="7584" spans="1:5" ht="13.2">
      <c r="A7584" t="s">
        <v>8818</v>
      </c>
      <c r="B7584">
        <v>360</v>
      </c>
      <c r="C7584" s="44" t="s">
        <v>208</v>
      </c>
      <c r="D7584" t="s">
        <v>293</v>
      </c>
      <c r="E7584" t="s">
        <v>212</v>
      </c>
    </row>
    <row r="7585" spans="1:5" ht="13.2">
      <c r="A7585" t="s">
        <v>8819</v>
      </c>
      <c r="B7585">
        <v>360</v>
      </c>
      <c r="C7585" s="44" t="s">
        <v>208</v>
      </c>
      <c r="D7585" t="s">
        <v>293</v>
      </c>
      <c r="E7585" t="s">
        <v>212</v>
      </c>
    </row>
    <row r="7586" spans="1:6" ht="13.2">
      <c r="A7586" t="s">
        <v>8820</v>
      </c>
      <c r="B7586">
        <v>0</v>
      </c>
      <c r="C7586" s="44">
        <v>3000</v>
      </c>
      <c r="D7586" t="s">
        <v>291</v>
      </c>
      <c r="E7586" t="s">
        <v>8821</v>
      </c>
      <c r="F7586">
        <v>4</v>
      </c>
    </row>
    <row r="7587" spans="1:6" ht="13.2">
      <c r="A7587" t="s">
        <v>8822</v>
      </c>
      <c r="B7587">
        <v>0</v>
      </c>
      <c r="C7587" s="44">
        <v>3000</v>
      </c>
      <c r="D7587" t="s">
        <v>291</v>
      </c>
      <c r="E7587" t="s">
        <v>8821</v>
      </c>
      <c r="F7587">
        <v>4</v>
      </c>
    </row>
    <row r="7588" spans="1:6" ht="13.2">
      <c r="A7588" t="s">
        <v>8823</v>
      </c>
      <c r="B7588">
        <v>0</v>
      </c>
      <c r="C7588" s="44">
        <v>3000</v>
      </c>
      <c r="D7588" t="s">
        <v>291</v>
      </c>
      <c r="E7588" t="s">
        <v>8821</v>
      </c>
      <c r="F7588">
        <v>4</v>
      </c>
    </row>
    <row r="7589" spans="1:6" ht="13.2">
      <c r="A7589" t="s">
        <v>8824</v>
      </c>
      <c r="B7589">
        <v>0</v>
      </c>
      <c r="C7589" s="44">
        <v>3000</v>
      </c>
      <c r="D7589" t="s">
        <v>291</v>
      </c>
      <c r="E7589" t="s">
        <v>8821</v>
      </c>
      <c r="F7589">
        <v>4</v>
      </c>
    </row>
    <row r="7590" spans="1:6" ht="13.2">
      <c r="A7590" t="s">
        <v>8825</v>
      </c>
      <c r="B7590">
        <v>0</v>
      </c>
      <c r="C7590" s="44">
        <v>3000</v>
      </c>
      <c r="D7590" t="s">
        <v>291</v>
      </c>
      <c r="E7590" t="s">
        <v>8821</v>
      </c>
      <c r="F7590">
        <v>4</v>
      </c>
    </row>
    <row r="7591" spans="1:6" ht="13.2">
      <c r="A7591" t="s">
        <v>8826</v>
      </c>
      <c r="B7591">
        <v>0</v>
      </c>
      <c r="C7591" s="44">
        <v>3000</v>
      </c>
      <c r="D7591" t="s">
        <v>291</v>
      </c>
      <c r="E7591" t="s">
        <v>8821</v>
      </c>
      <c r="F7591">
        <v>4</v>
      </c>
    </row>
    <row r="7592" spans="1:6" ht="13.2">
      <c r="A7592" t="s">
        <v>8827</v>
      </c>
      <c r="B7592">
        <v>0</v>
      </c>
      <c r="C7592" s="44">
        <v>3000</v>
      </c>
      <c r="D7592" t="s">
        <v>291</v>
      </c>
      <c r="E7592" t="s">
        <v>8821</v>
      </c>
      <c r="F7592">
        <v>4</v>
      </c>
    </row>
    <row r="7593" spans="1:6" ht="13.2">
      <c r="A7593" t="s">
        <v>8828</v>
      </c>
      <c r="B7593">
        <v>0</v>
      </c>
      <c r="C7593" s="44">
        <v>3000</v>
      </c>
      <c r="D7593" t="s">
        <v>291</v>
      </c>
      <c r="E7593" t="s">
        <v>8821</v>
      </c>
      <c r="F7593">
        <v>4</v>
      </c>
    </row>
    <row r="7594" spans="1:6" ht="13.2">
      <c r="A7594" t="s">
        <v>8829</v>
      </c>
      <c r="B7594">
        <v>0</v>
      </c>
      <c r="C7594" s="44">
        <v>3000</v>
      </c>
      <c r="D7594" t="s">
        <v>291</v>
      </c>
      <c r="E7594" t="s">
        <v>8821</v>
      </c>
      <c r="F7594">
        <v>4</v>
      </c>
    </row>
    <row r="7595" spans="1:6" ht="13.2">
      <c r="A7595" t="s">
        <v>8830</v>
      </c>
      <c r="B7595">
        <v>0</v>
      </c>
      <c r="C7595" s="44">
        <v>3000</v>
      </c>
      <c r="D7595" t="s">
        <v>291</v>
      </c>
      <c r="E7595" t="s">
        <v>8821</v>
      </c>
      <c r="F7595">
        <v>4</v>
      </c>
    </row>
    <row r="7596" spans="1:6" ht="13.2">
      <c r="A7596" t="s">
        <v>8831</v>
      </c>
      <c r="B7596">
        <v>0</v>
      </c>
      <c r="C7596" s="44">
        <v>3000</v>
      </c>
      <c r="D7596" t="s">
        <v>291</v>
      </c>
      <c r="E7596" t="s">
        <v>8821</v>
      </c>
      <c r="F7596">
        <v>4</v>
      </c>
    </row>
    <row r="7597" spans="1:6" ht="13.2">
      <c r="A7597" t="s">
        <v>8832</v>
      </c>
      <c r="B7597">
        <v>0</v>
      </c>
      <c r="C7597" s="44">
        <v>3000</v>
      </c>
      <c r="D7597" t="s">
        <v>291</v>
      </c>
      <c r="E7597" t="s">
        <v>8821</v>
      </c>
      <c r="F7597">
        <v>4</v>
      </c>
    </row>
    <row r="7598" spans="1:6" ht="13.2">
      <c r="A7598" t="s">
        <v>8833</v>
      </c>
      <c r="B7598">
        <v>0</v>
      </c>
      <c r="C7598" s="44">
        <v>3000</v>
      </c>
      <c r="D7598" t="s">
        <v>291</v>
      </c>
      <c r="E7598" t="s">
        <v>8821</v>
      </c>
      <c r="F7598">
        <v>4</v>
      </c>
    </row>
    <row r="7599" spans="1:6" ht="13.2">
      <c r="A7599" t="s">
        <v>8834</v>
      </c>
      <c r="B7599">
        <v>0</v>
      </c>
      <c r="C7599" s="44">
        <v>3000</v>
      </c>
      <c r="D7599" t="s">
        <v>291</v>
      </c>
      <c r="E7599" t="s">
        <v>8821</v>
      </c>
      <c r="F7599">
        <v>4</v>
      </c>
    </row>
    <row r="7600" spans="1:6" ht="13.2">
      <c r="A7600" t="s">
        <v>8835</v>
      </c>
      <c r="B7600">
        <v>0</v>
      </c>
      <c r="C7600" s="44">
        <v>3000</v>
      </c>
      <c r="D7600" t="s">
        <v>291</v>
      </c>
      <c r="E7600" t="s">
        <v>8821</v>
      </c>
      <c r="F7600">
        <v>4</v>
      </c>
    </row>
    <row r="7601" spans="1:6" ht="13.2">
      <c r="A7601" t="s">
        <v>8836</v>
      </c>
      <c r="B7601">
        <v>0</v>
      </c>
      <c r="C7601" s="44">
        <v>3000</v>
      </c>
      <c r="D7601" t="s">
        <v>291</v>
      </c>
      <c r="E7601" t="s">
        <v>8821</v>
      </c>
      <c r="F7601">
        <v>4</v>
      </c>
    </row>
    <row r="7602" spans="1:6" ht="13.2">
      <c r="A7602" t="s">
        <v>8837</v>
      </c>
      <c r="B7602">
        <v>0</v>
      </c>
      <c r="C7602" s="44">
        <v>3000</v>
      </c>
      <c r="D7602" t="s">
        <v>291</v>
      </c>
      <c r="E7602" t="s">
        <v>8821</v>
      </c>
      <c r="F7602">
        <v>4</v>
      </c>
    </row>
    <row r="7603" spans="1:6" ht="13.2">
      <c r="A7603" t="s">
        <v>8838</v>
      </c>
      <c r="B7603">
        <v>0</v>
      </c>
      <c r="C7603" s="44">
        <v>3000</v>
      </c>
      <c r="D7603" t="s">
        <v>293</v>
      </c>
      <c r="E7603" t="s">
        <v>8821</v>
      </c>
      <c r="F7603">
        <v>4</v>
      </c>
    </row>
    <row r="7604" spans="1:6" ht="13.2">
      <c r="A7604" t="s">
        <v>8839</v>
      </c>
      <c r="B7604">
        <v>0</v>
      </c>
      <c r="C7604" s="44">
        <v>3000</v>
      </c>
      <c r="D7604" t="s">
        <v>293</v>
      </c>
      <c r="E7604" t="s">
        <v>8821</v>
      </c>
      <c r="F7604">
        <v>4</v>
      </c>
    </row>
    <row r="7605" spans="1:6" ht="13.2">
      <c r="A7605" t="s">
        <v>8840</v>
      </c>
      <c r="B7605">
        <v>0</v>
      </c>
      <c r="C7605" s="44">
        <v>3000</v>
      </c>
      <c r="D7605" t="s">
        <v>293</v>
      </c>
      <c r="E7605" t="s">
        <v>8821</v>
      </c>
      <c r="F7605">
        <v>4</v>
      </c>
    </row>
    <row r="7606" spans="1:6" ht="13.2">
      <c r="A7606" t="s">
        <v>8841</v>
      </c>
      <c r="B7606">
        <v>0</v>
      </c>
      <c r="C7606" s="44">
        <v>3000</v>
      </c>
      <c r="D7606" t="s">
        <v>293</v>
      </c>
      <c r="E7606" t="s">
        <v>8821</v>
      </c>
      <c r="F7606">
        <v>4</v>
      </c>
    </row>
    <row r="7607" spans="1:6" ht="13.2">
      <c r="A7607" t="s">
        <v>8842</v>
      </c>
      <c r="B7607">
        <v>0</v>
      </c>
      <c r="C7607" s="44">
        <v>3000</v>
      </c>
      <c r="D7607" t="s">
        <v>293</v>
      </c>
      <c r="E7607" t="s">
        <v>8821</v>
      </c>
      <c r="F7607">
        <v>4</v>
      </c>
    </row>
    <row r="7608" spans="1:6" ht="13.2">
      <c r="A7608" t="s">
        <v>8843</v>
      </c>
      <c r="B7608">
        <v>0</v>
      </c>
      <c r="C7608" s="44">
        <v>3000</v>
      </c>
      <c r="D7608" t="s">
        <v>293</v>
      </c>
      <c r="E7608" t="s">
        <v>8821</v>
      </c>
      <c r="F7608">
        <v>4</v>
      </c>
    </row>
    <row r="7609" spans="1:6" ht="13.2">
      <c r="A7609" t="s">
        <v>8844</v>
      </c>
      <c r="B7609">
        <v>0</v>
      </c>
      <c r="C7609" s="44">
        <v>3000</v>
      </c>
      <c r="D7609" t="s">
        <v>293</v>
      </c>
      <c r="E7609" t="s">
        <v>8821</v>
      </c>
      <c r="F7609">
        <v>4</v>
      </c>
    </row>
    <row r="7610" spans="1:6" ht="13.2">
      <c r="A7610" t="s">
        <v>8845</v>
      </c>
      <c r="B7610">
        <v>0</v>
      </c>
      <c r="C7610" s="44">
        <v>3000</v>
      </c>
      <c r="D7610" t="s">
        <v>293</v>
      </c>
      <c r="E7610" t="s">
        <v>8821</v>
      </c>
      <c r="F7610">
        <v>4</v>
      </c>
    </row>
    <row r="7611" spans="1:6" ht="13.2">
      <c r="A7611" t="s">
        <v>8846</v>
      </c>
      <c r="B7611">
        <v>0</v>
      </c>
      <c r="C7611" s="44">
        <v>3000</v>
      </c>
      <c r="D7611" t="s">
        <v>293</v>
      </c>
      <c r="E7611" t="s">
        <v>8821</v>
      </c>
      <c r="F7611">
        <v>4</v>
      </c>
    </row>
    <row r="7612" spans="1:6" ht="13.2">
      <c r="A7612" t="s">
        <v>8847</v>
      </c>
      <c r="B7612">
        <v>0</v>
      </c>
      <c r="C7612" s="44">
        <v>3000</v>
      </c>
      <c r="D7612" t="s">
        <v>293</v>
      </c>
      <c r="E7612" t="s">
        <v>8821</v>
      </c>
      <c r="F7612">
        <v>4</v>
      </c>
    </row>
    <row r="7613" spans="1:6" ht="13.2">
      <c r="A7613" t="s">
        <v>8848</v>
      </c>
      <c r="B7613">
        <v>0</v>
      </c>
      <c r="C7613" s="44">
        <v>3000</v>
      </c>
      <c r="D7613" t="s">
        <v>293</v>
      </c>
      <c r="E7613" t="s">
        <v>8821</v>
      </c>
      <c r="F7613">
        <v>4</v>
      </c>
    </row>
    <row r="7614" spans="1:6" ht="13.2">
      <c r="A7614" t="s">
        <v>8849</v>
      </c>
      <c r="B7614">
        <v>0</v>
      </c>
      <c r="C7614" s="44">
        <v>3000</v>
      </c>
      <c r="D7614" t="s">
        <v>293</v>
      </c>
      <c r="E7614" t="s">
        <v>8821</v>
      </c>
      <c r="F7614">
        <v>4</v>
      </c>
    </row>
    <row r="7615" spans="1:6" ht="13.2">
      <c r="A7615" t="s">
        <v>8850</v>
      </c>
      <c r="B7615">
        <v>0</v>
      </c>
      <c r="C7615" s="44">
        <v>3000</v>
      </c>
      <c r="D7615" t="s">
        <v>293</v>
      </c>
      <c r="E7615" t="s">
        <v>8821</v>
      </c>
      <c r="F7615">
        <v>4</v>
      </c>
    </row>
    <row r="7616" spans="1:6" ht="13.2">
      <c r="A7616" t="s">
        <v>8851</v>
      </c>
      <c r="B7616">
        <v>0</v>
      </c>
      <c r="C7616" s="44">
        <v>3000</v>
      </c>
      <c r="D7616" t="s">
        <v>293</v>
      </c>
      <c r="E7616" t="s">
        <v>8821</v>
      </c>
      <c r="F7616">
        <v>4</v>
      </c>
    </row>
    <row r="7617" spans="1:6" ht="13.2">
      <c r="A7617" t="s">
        <v>8852</v>
      </c>
      <c r="B7617">
        <v>0</v>
      </c>
      <c r="C7617" s="44">
        <v>3000</v>
      </c>
      <c r="D7617" t="s">
        <v>293</v>
      </c>
      <c r="E7617" t="s">
        <v>8821</v>
      </c>
      <c r="F7617">
        <v>4</v>
      </c>
    </row>
    <row r="7618" spans="1:6" ht="13.2">
      <c r="A7618" t="s">
        <v>8853</v>
      </c>
      <c r="B7618">
        <v>0</v>
      </c>
      <c r="C7618" s="44">
        <v>3000</v>
      </c>
      <c r="D7618" t="s">
        <v>293</v>
      </c>
      <c r="E7618" t="s">
        <v>8821</v>
      </c>
      <c r="F7618">
        <v>4</v>
      </c>
    </row>
    <row r="7619" spans="1:6" ht="13.2">
      <c r="A7619" t="s">
        <v>8854</v>
      </c>
      <c r="B7619">
        <v>0</v>
      </c>
      <c r="C7619" s="44">
        <v>3000</v>
      </c>
      <c r="D7619" t="s">
        <v>293</v>
      </c>
      <c r="E7619" t="s">
        <v>8821</v>
      </c>
      <c r="F7619">
        <v>4</v>
      </c>
    </row>
    <row r="7620" spans="1:6" ht="13.2">
      <c r="A7620" t="s">
        <v>8855</v>
      </c>
      <c r="B7620">
        <v>0</v>
      </c>
      <c r="C7620" s="44">
        <v>1450</v>
      </c>
      <c r="D7620" t="s">
        <v>291</v>
      </c>
      <c r="E7620" t="s">
        <v>256</v>
      </c>
      <c r="F7620">
        <v>4</v>
      </c>
    </row>
    <row r="7621" spans="1:6" ht="13.2">
      <c r="A7621" t="s">
        <v>8856</v>
      </c>
      <c r="B7621">
        <v>0</v>
      </c>
      <c r="C7621" s="44">
        <v>1450</v>
      </c>
      <c r="D7621" t="s">
        <v>291</v>
      </c>
      <c r="E7621" t="s">
        <v>256</v>
      </c>
      <c r="F7621">
        <v>4</v>
      </c>
    </row>
    <row r="7622" spans="1:6" ht="13.2">
      <c r="A7622" t="s">
        <v>8857</v>
      </c>
      <c r="B7622">
        <v>0</v>
      </c>
      <c r="C7622" s="44">
        <v>1450</v>
      </c>
      <c r="D7622" t="s">
        <v>291</v>
      </c>
      <c r="E7622" t="s">
        <v>256</v>
      </c>
      <c r="F7622">
        <v>4</v>
      </c>
    </row>
    <row r="7623" spans="1:6" ht="13.2">
      <c r="A7623" t="s">
        <v>8858</v>
      </c>
      <c r="B7623">
        <v>0</v>
      </c>
      <c r="C7623" s="44">
        <v>1450</v>
      </c>
      <c r="D7623" t="s">
        <v>291</v>
      </c>
      <c r="E7623" t="s">
        <v>256</v>
      </c>
      <c r="F7623">
        <v>4</v>
      </c>
    </row>
    <row r="7624" spans="1:6" ht="13.2">
      <c r="A7624" t="s">
        <v>8859</v>
      </c>
      <c r="B7624">
        <v>0</v>
      </c>
      <c r="C7624" s="44">
        <v>1450</v>
      </c>
      <c r="D7624" t="s">
        <v>291</v>
      </c>
      <c r="E7624" t="s">
        <v>256</v>
      </c>
      <c r="F7624">
        <v>4</v>
      </c>
    </row>
    <row r="7625" spans="1:6" ht="13.2">
      <c r="A7625" t="s">
        <v>8860</v>
      </c>
      <c r="B7625">
        <v>0</v>
      </c>
      <c r="C7625" s="44">
        <v>1450</v>
      </c>
      <c r="D7625" t="s">
        <v>291</v>
      </c>
      <c r="E7625" t="s">
        <v>256</v>
      </c>
      <c r="F7625">
        <v>4</v>
      </c>
    </row>
    <row r="7626" spans="1:6" ht="13.2">
      <c r="A7626" t="s">
        <v>8861</v>
      </c>
      <c r="B7626">
        <v>0</v>
      </c>
      <c r="C7626" s="44">
        <v>1450</v>
      </c>
      <c r="D7626" t="s">
        <v>291</v>
      </c>
      <c r="E7626" t="s">
        <v>256</v>
      </c>
      <c r="F7626">
        <v>4</v>
      </c>
    </row>
    <row r="7627" spans="1:6" ht="13.2">
      <c r="A7627" t="s">
        <v>8862</v>
      </c>
      <c r="B7627">
        <v>0</v>
      </c>
      <c r="C7627" s="44">
        <v>1450</v>
      </c>
      <c r="D7627" t="s">
        <v>291</v>
      </c>
      <c r="E7627" t="s">
        <v>256</v>
      </c>
      <c r="F7627">
        <v>4</v>
      </c>
    </row>
    <row r="7628" spans="1:6" ht="13.2">
      <c r="A7628" t="s">
        <v>8863</v>
      </c>
      <c r="B7628">
        <v>0</v>
      </c>
      <c r="C7628" s="44">
        <v>1450</v>
      </c>
      <c r="D7628" t="s">
        <v>291</v>
      </c>
      <c r="E7628" t="s">
        <v>256</v>
      </c>
      <c r="F7628">
        <v>4</v>
      </c>
    </row>
    <row r="7629" spans="1:6" ht="13.2">
      <c r="A7629" t="s">
        <v>8864</v>
      </c>
      <c r="B7629">
        <v>0</v>
      </c>
      <c r="C7629" s="44">
        <v>1450</v>
      </c>
      <c r="D7629" t="s">
        <v>291</v>
      </c>
      <c r="E7629" t="s">
        <v>256</v>
      </c>
      <c r="F7629">
        <v>4</v>
      </c>
    </row>
    <row r="7630" spans="1:6" ht="13.2">
      <c r="A7630" t="s">
        <v>8865</v>
      </c>
      <c r="B7630">
        <v>0</v>
      </c>
      <c r="C7630" s="44">
        <v>1400</v>
      </c>
      <c r="D7630" t="s">
        <v>293</v>
      </c>
      <c r="E7630" t="s">
        <v>212</v>
      </c>
      <c r="F7630">
        <v>6</v>
      </c>
    </row>
    <row r="7631" spans="1:6" ht="13.2">
      <c r="A7631" t="s">
        <v>8866</v>
      </c>
      <c r="B7631">
        <v>0</v>
      </c>
      <c r="C7631" s="44">
        <v>1400</v>
      </c>
      <c r="D7631" t="s">
        <v>293</v>
      </c>
      <c r="E7631" t="s">
        <v>212</v>
      </c>
      <c r="F7631">
        <v>6</v>
      </c>
    </row>
    <row r="7632" spans="1:6" ht="13.2">
      <c r="A7632" t="s">
        <v>8867</v>
      </c>
      <c r="B7632">
        <v>0</v>
      </c>
      <c r="C7632" s="44">
        <v>1400</v>
      </c>
      <c r="D7632" t="s">
        <v>293</v>
      </c>
      <c r="E7632" t="s">
        <v>212</v>
      </c>
      <c r="F7632">
        <v>6</v>
      </c>
    </row>
    <row r="7633" spans="1:6" ht="13.2">
      <c r="A7633" t="s">
        <v>8868</v>
      </c>
      <c r="B7633">
        <v>0</v>
      </c>
      <c r="C7633" s="44">
        <v>1400</v>
      </c>
      <c r="D7633" t="s">
        <v>291</v>
      </c>
      <c r="E7633" t="s">
        <v>212</v>
      </c>
      <c r="F7633">
        <v>6</v>
      </c>
    </row>
    <row r="7634" spans="1:6" ht="13.2">
      <c r="A7634" t="s">
        <v>8869</v>
      </c>
      <c r="B7634">
        <v>0</v>
      </c>
      <c r="C7634" s="44">
        <v>1400</v>
      </c>
      <c r="D7634" t="s">
        <v>291</v>
      </c>
      <c r="E7634" t="s">
        <v>212</v>
      </c>
      <c r="F7634">
        <v>6</v>
      </c>
    </row>
    <row r="7635" spans="1:6" ht="13.2">
      <c r="A7635" t="s">
        <v>8870</v>
      </c>
      <c r="B7635">
        <v>0</v>
      </c>
      <c r="C7635" s="44">
        <v>1400</v>
      </c>
      <c r="D7635" t="s">
        <v>291</v>
      </c>
      <c r="E7635" t="s">
        <v>212</v>
      </c>
      <c r="F7635">
        <v>6</v>
      </c>
    </row>
    <row r="7636" spans="1:6" ht="13.2">
      <c r="A7636" t="s">
        <v>8188</v>
      </c>
      <c r="B7636">
        <v>0</v>
      </c>
      <c r="C7636" s="44">
        <v>3200</v>
      </c>
      <c r="D7636" t="s">
        <v>291</v>
      </c>
      <c r="E7636" t="s">
        <v>256</v>
      </c>
      <c r="F7636">
        <v>4</v>
      </c>
    </row>
    <row r="7637" spans="1:6" ht="13.2">
      <c r="A7637" t="s">
        <v>8189</v>
      </c>
      <c r="B7637">
        <v>0</v>
      </c>
      <c r="C7637" s="44">
        <v>3200</v>
      </c>
      <c r="D7637" t="s">
        <v>291</v>
      </c>
      <c r="E7637" t="s">
        <v>256</v>
      </c>
      <c r="F7637">
        <v>4</v>
      </c>
    </row>
    <row r="7638" spans="1:6" ht="13.2">
      <c r="A7638" t="s">
        <v>8190</v>
      </c>
      <c r="B7638">
        <v>0</v>
      </c>
      <c r="C7638" s="44">
        <v>3200</v>
      </c>
      <c r="D7638" t="s">
        <v>291</v>
      </c>
      <c r="E7638" t="s">
        <v>256</v>
      </c>
      <c r="F7638">
        <v>4</v>
      </c>
    </row>
    <row r="7639" spans="1:6" ht="13.2">
      <c r="A7639" t="s">
        <v>8191</v>
      </c>
      <c r="B7639">
        <v>0</v>
      </c>
      <c r="C7639" s="44">
        <v>3200</v>
      </c>
      <c r="D7639" t="s">
        <v>291</v>
      </c>
      <c r="E7639" t="s">
        <v>256</v>
      </c>
      <c r="F7639">
        <v>4</v>
      </c>
    </row>
    <row r="7640" spans="1:6" ht="13.2">
      <c r="A7640" t="s">
        <v>8192</v>
      </c>
      <c r="B7640">
        <v>0</v>
      </c>
      <c r="C7640" s="44">
        <v>3200</v>
      </c>
      <c r="D7640" t="s">
        <v>291</v>
      </c>
      <c r="E7640" t="s">
        <v>256</v>
      </c>
      <c r="F7640">
        <v>4</v>
      </c>
    </row>
    <row r="7641" spans="1:6" ht="13.2">
      <c r="A7641" t="s">
        <v>8193</v>
      </c>
      <c r="B7641">
        <v>0</v>
      </c>
      <c r="C7641" s="44">
        <v>3200</v>
      </c>
      <c r="D7641" t="s">
        <v>291</v>
      </c>
      <c r="E7641" t="s">
        <v>256</v>
      </c>
      <c r="F7641">
        <v>4</v>
      </c>
    </row>
    <row r="7642" spans="1:6" ht="13.2">
      <c r="A7642" t="s">
        <v>8194</v>
      </c>
      <c r="B7642">
        <v>0</v>
      </c>
      <c r="C7642" s="44">
        <v>3200</v>
      </c>
      <c r="D7642" t="s">
        <v>291</v>
      </c>
      <c r="E7642" t="s">
        <v>256</v>
      </c>
      <c r="F7642">
        <v>4</v>
      </c>
    </row>
    <row r="7643" spans="1:6" ht="13.2">
      <c r="A7643" t="s">
        <v>8195</v>
      </c>
      <c r="B7643">
        <v>0</v>
      </c>
      <c r="C7643" s="44">
        <v>3200</v>
      </c>
      <c r="D7643" t="s">
        <v>291</v>
      </c>
      <c r="E7643" t="s">
        <v>256</v>
      </c>
      <c r="F7643">
        <v>4</v>
      </c>
    </row>
    <row r="7644" spans="1:6" ht="13.2">
      <c r="A7644" t="s">
        <v>8874</v>
      </c>
      <c r="B7644">
        <v>0</v>
      </c>
      <c r="C7644" s="44">
        <v>1400</v>
      </c>
      <c r="D7644" t="s">
        <v>291</v>
      </c>
      <c r="E7644" t="s">
        <v>363</v>
      </c>
      <c r="F7644">
        <v>4</v>
      </c>
    </row>
    <row r="7645" spans="1:6" ht="13.2">
      <c r="A7645" t="s">
        <v>8875</v>
      </c>
      <c r="B7645">
        <v>0</v>
      </c>
      <c r="C7645" s="44">
        <v>1400</v>
      </c>
      <c r="D7645" t="s">
        <v>291</v>
      </c>
      <c r="E7645" t="s">
        <v>363</v>
      </c>
      <c r="F7645">
        <v>4</v>
      </c>
    </row>
    <row r="7646" spans="1:6" ht="13.2">
      <c r="A7646" t="s">
        <v>8876</v>
      </c>
      <c r="B7646">
        <v>0</v>
      </c>
      <c r="C7646" s="44">
        <v>1400</v>
      </c>
      <c r="D7646" t="s">
        <v>291</v>
      </c>
      <c r="E7646" t="s">
        <v>363</v>
      </c>
      <c r="F7646">
        <v>4</v>
      </c>
    </row>
    <row r="7647" spans="1:6" ht="13.2">
      <c r="A7647" t="s">
        <v>8877</v>
      </c>
      <c r="B7647">
        <v>0</v>
      </c>
      <c r="C7647" s="44">
        <v>1400</v>
      </c>
      <c r="D7647" t="s">
        <v>291</v>
      </c>
      <c r="E7647" t="s">
        <v>363</v>
      </c>
      <c r="F7647">
        <v>4</v>
      </c>
    </row>
    <row r="7648" spans="1:6" ht="13.2">
      <c r="A7648" t="s">
        <v>8878</v>
      </c>
      <c r="B7648">
        <v>0</v>
      </c>
      <c r="C7648" s="44">
        <v>1400</v>
      </c>
      <c r="D7648" t="s">
        <v>291</v>
      </c>
      <c r="E7648" t="s">
        <v>363</v>
      </c>
      <c r="F7648">
        <v>4</v>
      </c>
    </row>
    <row r="7649" spans="1:6" ht="13.2">
      <c r="A7649" t="s">
        <v>8879</v>
      </c>
      <c r="B7649">
        <v>0</v>
      </c>
      <c r="C7649" s="44">
        <v>1400</v>
      </c>
      <c r="D7649" t="s">
        <v>291</v>
      </c>
      <c r="E7649" t="s">
        <v>363</v>
      </c>
      <c r="F7649">
        <v>4</v>
      </c>
    </row>
    <row r="7650" spans="1:6" ht="13.2">
      <c r="A7650" t="s">
        <v>8880</v>
      </c>
      <c r="B7650">
        <v>0</v>
      </c>
      <c r="C7650" s="44">
        <v>1400</v>
      </c>
      <c r="D7650" t="s">
        <v>291</v>
      </c>
      <c r="E7650" t="s">
        <v>363</v>
      </c>
      <c r="F7650">
        <v>4</v>
      </c>
    </row>
    <row r="7651" spans="1:6" ht="13.2">
      <c r="A7651" t="s">
        <v>8881</v>
      </c>
      <c r="B7651">
        <v>0</v>
      </c>
      <c r="C7651" s="44">
        <v>1400</v>
      </c>
      <c r="D7651" t="s">
        <v>291</v>
      </c>
      <c r="E7651" t="s">
        <v>363</v>
      </c>
      <c r="F7651">
        <v>4</v>
      </c>
    </row>
    <row r="7652" spans="1:6" ht="13.2">
      <c r="A7652" t="s">
        <v>8882</v>
      </c>
      <c r="B7652">
        <v>0</v>
      </c>
      <c r="C7652" s="44">
        <v>1400</v>
      </c>
      <c r="D7652" t="s">
        <v>291</v>
      </c>
      <c r="E7652" t="s">
        <v>363</v>
      </c>
      <c r="F7652">
        <v>4</v>
      </c>
    </row>
    <row r="7653" spans="1:6" ht="13.2">
      <c r="A7653" t="s">
        <v>8883</v>
      </c>
      <c r="B7653">
        <v>0</v>
      </c>
      <c r="C7653" s="44">
        <v>1400</v>
      </c>
      <c r="D7653" t="s">
        <v>291</v>
      </c>
      <c r="E7653" t="s">
        <v>363</v>
      </c>
      <c r="F7653">
        <v>4</v>
      </c>
    </row>
    <row r="7654" spans="1:6" ht="13.2">
      <c r="A7654" t="s">
        <v>8884</v>
      </c>
      <c r="B7654">
        <v>0</v>
      </c>
      <c r="C7654" s="44">
        <v>1400</v>
      </c>
      <c r="D7654" t="s">
        <v>291</v>
      </c>
      <c r="E7654" t="s">
        <v>363</v>
      </c>
      <c r="F7654">
        <v>4</v>
      </c>
    </row>
    <row r="7655" spans="1:6" ht="13.2">
      <c r="A7655" t="s">
        <v>8885</v>
      </c>
      <c r="B7655">
        <v>0</v>
      </c>
      <c r="C7655" s="44">
        <v>1400</v>
      </c>
      <c r="D7655" t="s">
        <v>291</v>
      </c>
      <c r="E7655" t="s">
        <v>363</v>
      </c>
      <c r="F7655">
        <v>4</v>
      </c>
    </row>
    <row r="7656" spans="1:6" ht="13.2">
      <c r="A7656" t="s">
        <v>8886</v>
      </c>
      <c r="B7656">
        <v>0</v>
      </c>
      <c r="C7656" s="44">
        <v>1400</v>
      </c>
      <c r="D7656" t="s">
        <v>291</v>
      </c>
      <c r="E7656" t="s">
        <v>363</v>
      </c>
      <c r="F7656">
        <v>4</v>
      </c>
    </row>
    <row r="7657" spans="1:6" ht="13.2">
      <c r="A7657" t="s">
        <v>8887</v>
      </c>
      <c r="B7657">
        <v>0</v>
      </c>
      <c r="C7657" s="44">
        <v>1400</v>
      </c>
      <c r="D7657" t="s">
        <v>291</v>
      </c>
      <c r="E7657" t="s">
        <v>363</v>
      </c>
      <c r="F7657">
        <v>4</v>
      </c>
    </row>
    <row r="7658" spans="1:6" ht="13.2">
      <c r="A7658" t="s">
        <v>8888</v>
      </c>
      <c r="B7658">
        <v>0</v>
      </c>
      <c r="C7658" s="44">
        <v>1400</v>
      </c>
      <c r="D7658" t="s">
        <v>291</v>
      </c>
      <c r="E7658" t="s">
        <v>363</v>
      </c>
      <c r="F7658">
        <v>4</v>
      </c>
    </row>
    <row r="7659" spans="1:6" ht="13.2">
      <c r="A7659" t="s">
        <v>8889</v>
      </c>
      <c r="B7659">
        <v>0</v>
      </c>
      <c r="C7659" s="44">
        <v>3000</v>
      </c>
      <c r="D7659" t="s">
        <v>293</v>
      </c>
      <c r="E7659" t="s">
        <v>8890</v>
      </c>
      <c r="F7659">
        <v>11</v>
      </c>
    </row>
    <row r="7660" spans="1:6" ht="13.2">
      <c r="A7660" t="s">
        <v>8891</v>
      </c>
      <c r="B7660">
        <v>0</v>
      </c>
      <c r="C7660" s="44">
        <v>3000</v>
      </c>
      <c r="D7660" t="s">
        <v>293</v>
      </c>
      <c r="E7660" t="s">
        <v>8890</v>
      </c>
      <c r="F7660">
        <v>11</v>
      </c>
    </row>
    <row r="7661" spans="1:6" ht="13.2">
      <c r="A7661" t="s">
        <v>8892</v>
      </c>
      <c r="B7661">
        <v>0</v>
      </c>
      <c r="C7661" s="44">
        <v>3000</v>
      </c>
      <c r="D7661" t="s">
        <v>293</v>
      </c>
      <c r="E7661" t="s">
        <v>8890</v>
      </c>
      <c r="F7661">
        <v>11</v>
      </c>
    </row>
    <row r="7662" spans="1:6" ht="13.2">
      <c r="A7662" t="s">
        <v>8893</v>
      </c>
      <c r="B7662">
        <v>0</v>
      </c>
      <c r="C7662" s="44">
        <v>3000</v>
      </c>
      <c r="D7662" t="s">
        <v>293</v>
      </c>
      <c r="E7662" t="s">
        <v>8890</v>
      </c>
      <c r="F7662">
        <v>11</v>
      </c>
    </row>
    <row r="7663" spans="1:6" ht="13.2">
      <c r="A7663" t="s">
        <v>8894</v>
      </c>
      <c r="B7663">
        <v>0</v>
      </c>
      <c r="C7663" s="44">
        <v>3000</v>
      </c>
      <c r="D7663" t="s">
        <v>293</v>
      </c>
      <c r="E7663" t="s">
        <v>8890</v>
      </c>
      <c r="F7663">
        <v>11</v>
      </c>
    </row>
    <row r="7664" spans="1:6" ht="13.2">
      <c r="A7664" t="s">
        <v>8895</v>
      </c>
      <c r="B7664">
        <v>0</v>
      </c>
      <c r="C7664" s="44">
        <v>3000</v>
      </c>
      <c r="D7664" t="s">
        <v>293</v>
      </c>
      <c r="E7664" t="s">
        <v>8890</v>
      </c>
      <c r="F7664">
        <v>11</v>
      </c>
    </row>
    <row r="7665" spans="1:6" ht="13.2">
      <c r="A7665" t="s">
        <v>8896</v>
      </c>
      <c r="B7665">
        <v>0</v>
      </c>
      <c r="C7665" s="44">
        <v>3000</v>
      </c>
      <c r="D7665" t="s">
        <v>293</v>
      </c>
      <c r="E7665" t="s">
        <v>8890</v>
      </c>
      <c r="F7665">
        <v>11</v>
      </c>
    </row>
    <row r="7666" spans="1:6" ht="13.2">
      <c r="A7666" t="s">
        <v>8897</v>
      </c>
      <c r="B7666">
        <v>0</v>
      </c>
      <c r="C7666" s="44">
        <v>3000</v>
      </c>
      <c r="D7666" t="s">
        <v>293</v>
      </c>
      <c r="E7666" t="s">
        <v>8890</v>
      </c>
      <c r="F7666">
        <v>11</v>
      </c>
    </row>
    <row r="7667" spans="1:6" ht="13.2">
      <c r="A7667" t="s">
        <v>8898</v>
      </c>
      <c r="B7667">
        <v>0</v>
      </c>
      <c r="C7667" s="44">
        <v>3000</v>
      </c>
      <c r="D7667" t="s">
        <v>293</v>
      </c>
      <c r="E7667" t="s">
        <v>8890</v>
      </c>
      <c r="F7667">
        <v>11</v>
      </c>
    </row>
    <row r="7668" spans="1:6" ht="13.2">
      <c r="A7668" t="s">
        <v>8899</v>
      </c>
      <c r="B7668">
        <v>0</v>
      </c>
      <c r="C7668" s="44">
        <v>3000</v>
      </c>
      <c r="D7668" t="s">
        <v>293</v>
      </c>
      <c r="E7668" t="s">
        <v>8890</v>
      </c>
      <c r="F7668">
        <v>11</v>
      </c>
    </row>
    <row r="7669" spans="1:6" ht="13.2">
      <c r="A7669" t="s">
        <v>8900</v>
      </c>
      <c r="B7669">
        <v>0</v>
      </c>
      <c r="C7669" s="44">
        <v>3000</v>
      </c>
      <c r="D7669" t="s">
        <v>293</v>
      </c>
      <c r="E7669" t="s">
        <v>8890</v>
      </c>
      <c r="F7669">
        <v>11</v>
      </c>
    </row>
    <row r="7670" spans="1:6" ht="13.2">
      <c r="A7670" t="s">
        <v>8901</v>
      </c>
      <c r="B7670">
        <v>0</v>
      </c>
      <c r="C7670" s="44">
        <v>3000</v>
      </c>
      <c r="D7670" t="s">
        <v>293</v>
      </c>
      <c r="E7670" t="s">
        <v>8890</v>
      </c>
      <c r="F7670">
        <v>11</v>
      </c>
    </row>
    <row r="7671" spans="1:6" ht="13.2">
      <c r="A7671" t="s">
        <v>8902</v>
      </c>
      <c r="B7671">
        <v>0</v>
      </c>
      <c r="C7671" s="44">
        <v>3000</v>
      </c>
      <c r="D7671" t="s">
        <v>293</v>
      </c>
      <c r="E7671" t="s">
        <v>8890</v>
      </c>
      <c r="F7671">
        <v>11</v>
      </c>
    </row>
    <row r="7672" spans="1:6" ht="13.2">
      <c r="A7672" t="s">
        <v>8903</v>
      </c>
      <c r="B7672">
        <v>0</v>
      </c>
      <c r="C7672" s="44">
        <v>3000</v>
      </c>
      <c r="D7672" t="s">
        <v>293</v>
      </c>
      <c r="E7672" t="s">
        <v>8890</v>
      </c>
      <c r="F7672">
        <v>11</v>
      </c>
    </row>
    <row r="7673" spans="1:6" ht="13.2">
      <c r="A7673" t="s">
        <v>8904</v>
      </c>
      <c r="B7673">
        <v>0</v>
      </c>
      <c r="C7673" s="44">
        <v>3000</v>
      </c>
      <c r="D7673" t="s">
        <v>293</v>
      </c>
      <c r="E7673" t="s">
        <v>8890</v>
      </c>
      <c r="F7673">
        <v>11</v>
      </c>
    </row>
    <row r="7674" spans="1:6" ht="13.2">
      <c r="A7674" t="s">
        <v>8905</v>
      </c>
      <c r="B7674">
        <v>0</v>
      </c>
      <c r="C7674" s="44">
        <v>3000</v>
      </c>
      <c r="D7674" t="s">
        <v>293</v>
      </c>
      <c r="E7674" t="s">
        <v>8890</v>
      </c>
      <c r="F7674">
        <v>11</v>
      </c>
    </row>
    <row r="7675" spans="1:6" ht="13.2">
      <c r="A7675" t="s">
        <v>8906</v>
      </c>
      <c r="B7675">
        <v>0</v>
      </c>
      <c r="C7675" s="44">
        <v>3000</v>
      </c>
      <c r="D7675" t="s">
        <v>293</v>
      </c>
      <c r="E7675" t="s">
        <v>8890</v>
      </c>
      <c r="F7675">
        <v>11</v>
      </c>
    </row>
    <row r="7676" spans="1:5" ht="13.2">
      <c r="A7676" t="s">
        <v>8915</v>
      </c>
      <c r="B7676">
        <v>0</v>
      </c>
      <c r="C7676" s="44">
        <v>1410</v>
      </c>
      <c r="D7676" t="s">
        <v>291</v>
      </c>
      <c r="E7676" t="s">
        <v>8916</v>
      </c>
    </row>
    <row r="7677" spans="1:5" ht="13.2">
      <c r="A7677" t="s">
        <v>8917</v>
      </c>
      <c r="B7677">
        <v>0</v>
      </c>
      <c r="C7677" s="44">
        <v>1410</v>
      </c>
      <c r="D7677" t="s">
        <v>291</v>
      </c>
      <c r="E7677" t="s">
        <v>8916</v>
      </c>
    </row>
    <row r="7678" spans="1:5" ht="13.2">
      <c r="A7678" t="s">
        <v>8918</v>
      </c>
      <c r="B7678">
        <v>0</v>
      </c>
      <c r="C7678" s="44">
        <v>1410</v>
      </c>
      <c r="D7678" t="s">
        <v>291</v>
      </c>
      <c r="E7678" t="s">
        <v>8916</v>
      </c>
    </row>
    <row r="7679" spans="1:5" ht="13.2">
      <c r="A7679" t="s">
        <v>8919</v>
      </c>
      <c r="B7679">
        <v>0</v>
      </c>
      <c r="C7679" s="44">
        <v>1410</v>
      </c>
      <c r="D7679" t="s">
        <v>291</v>
      </c>
      <c r="E7679" t="s">
        <v>8916</v>
      </c>
    </row>
    <row r="7680" spans="1:5" ht="13.2">
      <c r="A7680" t="s">
        <v>8920</v>
      </c>
      <c r="B7680">
        <v>0</v>
      </c>
      <c r="C7680" s="44">
        <v>1410</v>
      </c>
      <c r="D7680" t="s">
        <v>291</v>
      </c>
      <c r="E7680" t="s">
        <v>8916</v>
      </c>
    </row>
    <row r="7681" spans="1:5" ht="13.2">
      <c r="A7681" t="s">
        <v>8921</v>
      </c>
      <c r="B7681">
        <v>0</v>
      </c>
      <c r="C7681" s="44">
        <v>1410</v>
      </c>
      <c r="D7681" t="s">
        <v>291</v>
      </c>
      <c r="E7681" t="s">
        <v>8916</v>
      </c>
    </row>
    <row r="7682" spans="1:5" ht="13.2">
      <c r="A7682" t="s">
        <v>8922</v>
      </c>
      <c r="B7682">
        <v>0</v>
      </c>
      <c r="C7682" s="44">
        <v>1410</v>
      </c>
      <c r="D7682" t="s">
        <v>293</v>
      </c>
      <c r="E7682" t="s">
        <v>8916</v>
      </c>
    </row>
    <row r="7683" spans="1:5" ht="13.2">
      <c r="A7683" t="s">
        <v>8923</v>
      </c>
      <c r="B7683">
        <v>0</v>
      </c>
      <c r="C7683" s="44">
        <v>1410</v>
      </c>
      <c r="D7683" t="s">
        <v>293</v>
      </c>
      <c r="E7683" t="s">
        <v>8916</v>
      </c>
    </row>
    <row r="7684" spans="1:5" ht="13.2">
      <c r="A7684" t="s">
        <v>8924</v>
      </c>
      <c r="B7684">
        <v>0</v>
      </c>
      <c r="C7684" s="44">
        <v>1410</v>
      </c>
      <c r="D7684" t="s">
        <v>293</v>
      </c>
      <c r="E7684" t="s">
        <v>8916</v>
      </c>
    </row>
    <row r="7685" spans="1:5" ht="13.2">
      <c r="A7685" t="s">
        <v>8925</v>
      </c>
      <c r="B7685">
        <v>0</v>
      </c>
      <c r="C7685" s="44">
        <v>1410</v>
      </c>
      <c r="D7685" t="s">
        <v>293</v>
      </c>
      <c r="E7685" t="s">
        <v>8916</v>
      </c>
    </row>
    <row r="7686" spans="1:5" ht="13.2">
      <c r="A7686" t="s">
        <v>8926</v>
      </c>
      <c r="B7686">
        <v>0</v>
      </c>
      <c r="C7686" s="44">
        <v>1410</v>
      </c>
      <c r="D7686" t="s">
        <v>293</v>
      </c>
      <c r="E7686" t="s">
        <v>8916</v>
      </c>
    </row>
    <row r="7687" spans="1:5" ht="13.2">
      <c r="A7687" t="s">
        <v>8927</v>
      </c>
      <c r="B7687">
        <v>0</v>
      </c>
      <c r="C7687" s="44">
        <v>1410</v>
      </c>
      <c r="D7687" t="s">
        <v>293</v>
      </c>
      <c r="E7687" t="s">
        <v>8916</v>
      </c>
    </row>
    <row r="7688" spans="1:5" ht="13.2">
      <c r="A7688" t="s">
        <v>8928</v>
      </c>
      <c r="B7688">
        <v>0</v>
      </c>
      <c r="C7688" s="44">
        <v>1410</v>
      </c>
      <c r="D7688" t="s">
        <v>293</v>
      </c>
      <c r="E7688" t="s">
        <v>8916</v>
      </c>
    </row>
    <row r="7689" spans="1:6" ht="13.2">
      <c r="A7689" t="s">
        <v>8929</v>
      </c>
      <c r="B7689">
        <v>0</v>
      </c>
      <c r="C7689" s="44">
        <v>1750</v>
      </c>
      <c r="D7689" t="s">
        <v>291</v>
      </c>
      <c r="E7689" t="s">
        <v>8930</v>
      </c>
      <c r="F7689">
        <v>4</v>
      </c>
    </row>
    <row r="7690" spans="1:6" ht="13.2">
      <c r="A7690" t="s">
        <v>8931</v>
      </c>
      <c r="B7690">
        <v>0</v>
      </c>
      <c r="C7690" s="44">
        <v>1750</v>
      </c>
      <c r="D7690" t="s">
        <v>291</v>
      </c>
      <c r="E7690" t="s">
        <v>8930</v>
      </c>
      <c r="F7690">
        <v>4</v>
      </c>
    </row>
    <row r="7691" spans="1:6" ht="13.2">
      <c r="A7691" t="s">
        <v>8932</v>
      </c>
      <c r="B7691">
        <v>0</v>
      </c>
      <c r="C7691" s="44">
        <v>1750</v>
      </c>
      <c r="D7691" t="s">
        <v>291</v>
      </c>
      <c r="E7691" t="s">
        <v>8930</v>
      </c>
      <c r="F7691">
        <v>4</v>
      </c>
    </row>
    <row r="7692" spans="1:6" ht="13.2">
      <c r="A7692" t="s">
        <v>8933</v>
      </c>
      <c r="B7692">
        <v>0</v>
      </c>
      <c r="C7692" s="44">
        <v>1750</v>
      </c>
      <c r="D7692" t="s">
        <v>291</v>
      </c>
      <c r="E7692" t="s">
        <v>8930</v>
      </c>
      <c r="F7692">
        <v>4</v>
      </c>
    </row>
    <row r="7693" spans="1:6" ht="13.2">
      <c r="A7693" t="s">
        <v>8934</v>
      </c>
      <c r="B7693">
        <v>0</v>
      </c>
      <c r="C7693" s="44">
        <v>1750</v>
      </c>
      <c r="D7693" t="s">
        <v>291</v>
      </c>
      <c r="E7693" t="s">
        <v>8930</v>
      </c>
      <c r="F7693">
        <v>4</v>
      </c>
    </row>
    <row r="7694" spans="1:6" ht="13.2">
      <c r="A7694" t="s">
        <v>8935</v>
      </c>
      <c r="B7694">
        <v>0</v>
      </c>
      <c r="C7694" s="44">
        <v>1750</v>
      </c>
      <c r="D7694" t="s">
        <v>291</v>
      </c>
      <c r="E7694" t="s">
        <v>8930</v>
      </c>
      <c r="F7694">
        <v>4</v>
      </c>
    </row>
    <row r="7695" spans="1:6" ht="13.2">
      <c r="A7695" t="s">
        <v>8936</v>
      </c>
      <c r="B7695">
        <v>0</v>
      </c>
      <c r="C7695" s="44">
        <v>1750</v>
      </c>
      <c r="D7695" t="s">
        <v>291</v>
      </c>
      <c r="E7695" t="s">
        <v>8930</v>
      </c>
      <c r="F7695">
        <v>4</v>
      </c>
    </row>
    <row r="7696" spans="1:6" ht="13.2">
      <c r="A7696" t="s">
        <v>8937</v>
      </c>
      <c r="B7696">
        <v>0</v>
      </c>
      <c r="C7696" s="44">
        <v>1750</v>
      </c>
      <c r="D7696" t="s">
        <v>291</v>
      </c>
      <c r="E7696" t="s">
        <v>8930</v>
      </c>
      <c r="F7696">
        <v>4</v>
      </c>
    </row>
    <row r="7697" spans="1:6" ht="13.2">
      <c r="A7697" t="s">
        <v>8938</v>
      </c>
      <c r="B7697">
        <v>0</v>
      </c>
      <c r="C7697" s="44">
        <v>1750</v>
      </c>
      <c r="D7697" t="s">
        <v>291</v>
      </c>
      <c r="E7697" t="s">
        <v>8930</v>
      </c>
      <c r="F7697">
        <v>4</v>
      </c>
    </row>
    <row r="7698" spans="1:6" ht="13.2">
      <c r="A7698" t="s">
        <v>8939</v>
      </c>
      <c r="B7698">
        <v>0</v>
      </c>
      <c r="C7698" s="44">
        <v>1750</v>
      </c>
      <c r="D7698" t="s">
        <v>291</v>
      </c>
      <c r="E7698" t="s">
        <v>8930</v>
      </c>
      <c r="F7698">
        <v>4</v>
      </c>
    </row>
    <row r="7699" spans="1:6" ht="13.2">
      <c r="A7699" t="s">
        <v>8940</v>
      </c>
      <c r="B7699">
        <v>0</v>
      </c>
      <c r="C7699" s="44">
        <v>1750</v>
      </c>
      <c r="D7699" t="s">
        <v>291</v>
      </c>
      <c r="E7699" t="s">
        <v>8930</v>
      </c>
      <c r="F7699">
        <v>4</v>
      </c>
    </row>
    <row r="7700" spans="1:6" ht="13.2">
      <c r="A7700" t="s">
        <v>8941</v>
      </c>
      <c r="B7700">
        <v>0</v>
      </c>
      <c r="C7700" s="44">
        <v>1750</v>
      </c>
      <c r="D7700" t="s">
        <v>291</v>
      </c>
      <c r="E7700" t="s">
        <v>8930</v>
      </c>
      <c r="F7700">
        <v>4</v>
      </c>
    </row>
    <row r="7701" spans="1:6" ht="13.2">
      <c r="A7701" t="s">
        <v>8942</v>
      </c>
      <c r="B7701">
        <v>0</v>
      </c>
      <c r="C7701" s="44">
        <v>1750</v>
      </c>
      <c r="D7701" t="s">
        <v>291</v>
      </c>
      <c r="E7701" t="s">
        <v>8930</v>
      </c>
      <c r="F7701">
        <v>4</v>
      </c>
    </row>
    <row r="7702" spans="1:6" ht="13.2">
      <c r="A7702" t="s">
        <v>8943</v>
      </c>
      <c r="B7702">
        <v>0</v>
      </c>
      <c r="C7702" s="44">
        <v>1750</v>
      </c>
      <c r="D7702" t="s">
        <v>291</v>
      </c>
      <c r="E7702" t="s">
        <v>8930</v>
      </c>
      <c r="F7702">
        <v>4</v>
      </c>
    </row>
    <row r="7703" spans="1:6" ht="13.2">
      <c r="A7703" t="s">
        <v>8944</v>
      </c>
      <c r="B7703">
        <v>0</v>
      </c>
      <c r="C7703" s="44">
        <v>1750</v>
      </c>
      <c r="D7703" t="s">
        <v>291</v>
      </c>
      <c r="E7703" t="s">
        <v>8930</v>
      </c>
      <c r="F7703">
        <v>4</v>
      </c>
    </row>
    <row r="7704" spans="1:6" ht="13.2">
      <c r="A7704" t="s">
        <v>8945</v>
      </c>
      <c r="B7704">
        <v>0</v>
      </c>
      <c r="C7704" s="44" t="s">
        <v>4092</v>
      </c>
      <c r="D7704" t="s">
        <v>293</v>
      </c>
      <c r="E7704" t="s">
        <v>8946</v>
      </c>
      <c r="F7704">
        <v>3</v>
      </c>
    </row>
    <row r="7705" spans="1:6" ht="13.2">
      <c r="A7705" t="s">
        <v>8947</v>
      </c>
      <c r="B7705">
        <v>0</v>
      </c>
      <c r="C7705" s="44" t="s">
        <v>4092</v>
      </c>
      <c r="D7705" t="s">
        <v>293</v>
      </c>
      <c r="E7705" t="s">
        <v>8946</v>
      </c>
      <c r="F7705">
        <v>3</v>
      </c>
    </row>
    <row r="7706" spans="1:6" ht="13.2">
      <c r="A7706" t="s">
        <v>8948</v>
      </c>
      <c r="B7706">
        <v>0</v>
      </c>
      <c r="C7706" s="44" t="s">
        <v>4092</v>
      </c>
      <c r="D7706" t="s">
        <v>293</v>
      </c>
      <c r="E7706" t="s">
        <v>8946</v>
      </c>
      <c r="F7706">
        <v>3</v>
      </c>
    </row>
    <row r="7707" spans="1:6" ht="13.2">
      <c r="A7707" t="s">
        <v>8949</v>
      </c>
      <c r="B7707">
        <v>0</v>
      </c>
      <c r="C7707" s="44" t="s">
        <v>4092</v>
      </c>
      <c r="D7707" t="s">
        <v>293</v>
      </c>
      <c r="E7707" t="s">
        <v>8946</v>
      </c>
      <c r="F7707">
        <v>3</v>
      </c>
    </row>
    <row r="7708" spans="1:6" ht="13.2">
      <c r="A7708" t="s">
        <v>8950</v>
      </c>
      <c r="B7708">
        <v>0</v>
      </c>
      <c r="C7708" s="44" t="s">
        <v>4092</v>
      </c>
      <c r="D7708" t="s">
        <v>293</v>
      </c>
      <c r="E7708" t="s">
        <v>8946</v>
      </c>
      <c r="F7708">
        <v>3</v>
      </c>
    </row>
    <row r="7709" spans="1:6" ht="13.2">
      <c r="A7709" t="s">
        <v>8951</v>
      </c>
      <c r="B7709">
        <v>0</v>
      </c>
      <c r="C7709" s="44" t="s">
        <v>4092</v>
      </c>
      <c r="D7709" t="s">
        <v>293</v>
      </c>
      <c r="E7709" t="s">
        <v>8946</v>
      </c>
      <c r="F7709">
        <v>3</v>
      </c>
    </row>
    <row r="7710" spans="1:6" ht="13.2">
      <c r="A7710" t="s">
        <v>8952</v>
      </c>
      <c r="B7710">
        <v>0</v>
      </c>
      <c r="C7710" s="44" t="s">
        <v>4092</v>
      </c>
      <c r="D7710" t="s">
        <v>293</v>
      </c>
      <c r="E7710" t="s">
        <v>8946</v>
      </c>
      <c r="F7710">
        <v>3</v>
      </c>
    </row>
    <row r="7711" spans="1:6" ht="13.2">
      <c r="A7711" t="s">
        <v>8953</v>
      </c>
      <c r="B7711">
        <v>0</v>
      </c>
      <c r="C7711" s="44" t="s">
        <v>4092</v>
      </c>
      <c r="D7711" t="s">
        <v>293</v>
      </c>
      <c r="E7711" t="s">
        <v>8946</v>
      </c>
      <c r="F7711">
        <v>3</v>
      </c>
    </row>
    <row r="7712" spans="1:6" ht="13.2">
      <c r="A7712" t="s">
        <v>8954</v>
      </c>
      <c r="B7712">
        <v>0</v>
      </c>
      <c r="C7712" s="44" t="s">
        <v>4092</v>
      </c>
      <c r="D7712" t="s">
        <v>293</v>
      </c>
      <c r="E7712" t="s">
        <v>8946</v>
      </c>
      <c r="F7712">
        <v>3</v>
      </c>
    </row>
    <row r="7713" spans="1:6" ht="13.2">
      <c r="A7713" t="s">
        <v>8955</v>
      </c>
      <c r="B7713">
        <v>0</v>
      </c>
      <c r="C7713" s="44" t="s">
        <v>4092</v>
      </c>
      <c r="D7713" t="s">
        <v>293</v>
      </c>
      <c r="E7713" t="s">
        <v>8946</v>
      </c>
      <c r="F7713">
        <v>3</v>
      </c>
    </row>
    <row r="7714" spans="1:6" ht="13.2">
      <c r="A7714" t="s">
        <v>8956</v>
      </c>
      <c r="B7714">
        <v>0</v>
      </c>
      <c r="C7714" s="44" t="s">
        <v>4092</v>
      </c>
      <c r="D7714" t="s">
        <v>293</v>
      </c>
      <c r="E7714" t="s">
        <v>8946</v>
      </c>
      <c r="F7714">
        <v>3</v>
      </c>
    </row>
    <row r="7715" spans="1:6" ht="13.2">
      <c r="A7715" t="s">
        <v>8957</v>
      </c>
      <c r="B7715">
        <v>0</v>
      </c>
      <c r="C7715" s="44" t="s">
        <v>4092</v>
      </c>
      <c r="D7715" t="s">
        <v>293</v>
      </c>
      <c r="E7715" t="s">
        <v>8946</v>
      </c>
      <c r="F7715">
        <v>3</v>
      </c>
    </row>
    <row r="7716" spans="1:6" ht="13.2">
      <c r="A7716" t="s">
        <v>8958</v>
      </c>
      <c r="B7716">
        <v>0</v>
      </c>
      <c r="C7716" s="44" t="s">
        <v>4092</v>
      </c>
      <c r="D7716" t="s">
        <v>293</v>
      </c>
      <c r="E7716" t="s">
        <v>8946</v>
      </c>
      <c r="F7716">
        <v>3</v>
      </c>
    </row>
    <row r="7717" spans="1:6" ht="13.2">
      <c r="A7717" t="s">
        <v>8959</v>
      </c>
      <c r="B7717">
        <v>227</v>
      </c>
      <c r="C7717" s="44">
        <v>1400</v>
      </c>
      <c r="D7717" t="s">
        <v>291</v>
      </c>
      <c r="E7717" t="s">
        <v>8960</v>
      </c>
      <c r="F7717">
        <v>4</v>
      </c>
    </row>
    <row r="7718" spans="1:6" ht="13.2">
      <c r="A7718" t="s">
        <v>8961</v>
      </c>
      <c r="B7718">
        <v>227</v>
      </c>
      <c r="C7718" s="44">
        <v>1400</v>
      </c>
      <c r="D7718" t="s">
        <v>291</v>
      </c>
      <c r="E7718" t="s">
        <v>8960</v>
      </c>
      <c r="F7718">
        <v>4</v>
      </c>
    </row>
    <row r="7719" spans="1:6" ht="13.2">
      <c r="A7719" t="s">
        <v>8962</v>
      </c>
      <c r="B7719">
        <v>227</v>
      </c>
      <c r="C7719" s="44">
        <v>1400</v>
      </c>
      <c r="D7719" t="s">
        <v>291</v>
      </c>
      <c r="E7719" t="s">
        <v>8960</v>
      </c>
      <c r="F7719">
        <v>4</v>
      </c>
    </row>
    <row r="7720" spans="1:6" ht="13.2">
      <c r="A7720" t="s">
        <v>8963</v>
      </c>
      <c r="B7720">
        <v>227</v>
      </c>
      <c r="C7720" s="44">
        <v>1400</v>
      </c>
      <c r="D7720" t="s">
        <v>291</v>
      </c>
      <c r="E7720" t="s">
        <v>8960</v>
      </c>
      <c r="F7720">
        <v>4</v>
      </c>
    </row>
    <row r="7721" spans="1:6" ht="13.2">
      <c r="A7721" t="s">
        <v>8964</v>
      </c>
      <c r="B7721">
        <v>227</v>
      </c>
      <c r="C7721" s="44">
        <v>1400</v>
      </c>
      <c r="D7721" t="s">
        <v>291</v>
      </c>
      <c r="E7721" t="s">
        <v>8960</v>
      </c>
      <c r="F7721">
        <v>4</v>
      </c>
    </row>
    <row r="7722" spans="1:6" ht="13.2">
      <c r="A7722" t="s">
        <v>8965</v>
      </c>
      <c r="B7722">
        <v>227</v>
      </c>
      <c r="C7722" s="44">
        <v>1400</v>
      </c>
      <c r="D7722" t="s">
        <v>291</v>
      </c>
      <c r="E7722" t="s">
        <v>8960</v>
      </c>
      <c r="F7722">
        <v>4</v>
      </c>
    </row>
    <row r="7723" spans="1:6" ht="13.2">
      <c r="A7723" t="s">
        <v>8966</v>
      </c>
      <c r="B7723">
        <v>227</v>
      </c>
      <c r="C7723" s="44">
        <v>1400</v>
      </c>
      <c r="D7723" t="s">
        <v>291</v>
      </c>
      <c r="E7723" t="s">
        <v>8960</v>
      </c>
      <c r="F7723">
        <v>4</v>
      </c>
    </row>
    <row r="7724" spans="1:6" ht="13.2">
      <c r="A7724" t="s">
        <v>8967</v>
      </c>
      <c r="B7724">
        <v>227</v>
      </c>
      <c r="C7724" s="44">
        <v>1400</v>
      </c>
      <c r="D7724" t="s">
        <v>291</v>
      </c>
      <c r="E7724" t="s">
        <v>8960</v>
      </c>
      <c r="F7724">
        <v>4</v>
      </c>
    </row>
    <row r="7725" spans="1:6" ht="13.2">
      <c r="A7725" t="s">
        <v>8968</v>
      </c>
      <c r="B7725">
        <v>227</v>
      </c>
      <c r="C7725" s="44">
        <v>1400</v>
      </c>
      <c r="D7725" t="s">
        <v>291</v>
      </c>
      <c r="E7725" t="s">
        <v>8960</v>
      </c>
      <c r="F7725">
        <v>4</v>
      </c>
    </row>
    <row r="7726" spans="1:6" ht="13.2">
      <c r="A7726" t="s">
        <v>8969</v>
      </c>
      <c r="B7726">
        <v>227</v>
      </c>
      <c r="C7726" s="44">
        <v>1400</v>
      </c>
      <c r="D7726" t="s">
        <v>293</v>
      </c>
      <c r="E7726" t="s">
        <v>8960</v>
      </c>
      <c r="F7726">
        <v>4</v>
      </c>
    </row>
    <row r="7727" spans="1:6" ht="13.2">
      <c r="A7727" t="s">
        <v>8970</v>
      </c>
      <c r="B7727">
        <v>227</v>
      </c>
      <c r="C7727" s="44">
        <v>1400</v>
      </c>
      <c r="D7727" t="s">
        <v>293</v>
      </c>
      <c r="E7727" t="s">
        <v>8960</v>
      </c>
      <c r="F7727">
        <v>4</v>
      </c>
    </row>
    <row r="7728" spans="1:6" ht="13.2">
      <c r="A7728" t="s">
        <v>8971</v>
      </c>
      <c r="B7728">
        <v>227</v>
      </c>
      <c r="C7728" s="44">
        <v>1400</v>
      </c>
      <c r="D7728" t="s">
        <v>293</v>
      </c>
      <c r="E7728" t="s">
        <v>8960</v>
      </c>
      <c r="F7728">
        <v>4</v>
      </c>
    </row>
    <row r="7729" spans="1:6" ht="13.2">
      <c r="A7729" t="s">
        <v>8972</v>
      </c>
      <c r="B7729">
        <v>227</v>
      </c>
      <c r="C7729" s="44">
        <v>1400</v>
      </c>
      <c r="D7729" t="s">
        <v>293</v>
      </c>
      <c r="E7729" t="s">
        <v>8960</v>
      </c>
      <c r="F7729">
        <v>4</v>
      </c>
    </row>
    <row r="7730" spans="1:6" ht="13.2">
      <c r="A7730" t="s">
        <v>8973</v>
      </c>
      <c r="B7730">
        <v>227</v>
      </c>
      <c r="C7730" s="44">
        <v>1400</v>
      </c>
      <c r="D7730" t="s">
        <v>293</v>
      </c>
      <c r="E7730" t="s">
        <v>8960</v>
      </c>
      <c r="F7730">
        <v>4</v>
      </c>
    </row>
    <row r="7731" spans="1:6" ht="13.2">
      <c r="A7731" t="s">
        <v>8974</v>
      </c>
      <c r="B7731">
        <v>227</v>
      </c>
      <c r="C7731" s="44">
        <v>1400</v>
      </c>
      <c r="D7731" t="s">
        <v>293</v>
      </c>
      <c r="E7731" t="s">
        <v>8960</v>
      </c>
      <c r="F7731">
        <v>4</v>
      </c>
    </row>
    <row r="7732" spans="1:6" ht="13.2">
      <c r="A7732" t="s">
        <v>8975</v>
      </c>
      <c r="B7732">
        <v>227</v>
      </c>
      <c r="C7732" s="44">
        <v>1400</v>
      </c>
      <c r="D7732" t="s">
        <v>293</v>
      </c>
      <c r="E7732" t="s">
        <v>8960</v>
      </c>
      <c r="F7732">
        <v>4</v>
      </c>
    </row>
    <row r="7733" spans="1:6" ht="13.2">
      <c r="A7733" t="s">
        <v>8976</v>
      </c>
      <c r="B7733">
        <v>227</v>
      </c>
      <c r="C7733" s="44">
        <v>1400</v>
      </c>
      <c r="D7733" t="s">
        <v>293</v>
      </c>
      <c r="E7733" t="s">
        <v>8960</v>
      </c>
      <c r="F7733">
        <v>4</v>
      </c>
    </row>
    <row r="7734" spans="1:6" ht="13.2">
      <c r="A7734" t="s">
        <v>8977</v>
      </c>
      <c r="B7734">
        <v>227</v>
      </c>
      <c r="C7734" s="44">
        <v>1400</v>
      </c>
      <c r="D7734" t="s">
        <v>293</v>
      </c>
      <c r="E7734" t="s">
        <v>8960</v>
      </c>
      <c r="F7734">
        <v>4</v>
      </c>
    </row>
    <row r="7735" spans="1:6" ht="13.2">
      <c r="A7735" t="s">
        <v>8978</v>
      </c>
      <c r="B7735">
        <v>227</v>
      </c>
      <c r="C7735" s="44">
        <v>1400</v>
      </c>
      <c r="D7735" t="s">
        <v>293</v>
      </c>
      <c r="E7735" t="s">
        <v>8960</v>
      </c>
      <c r="F7735">
        <v>4</v>
      </c>
    </row>
    <row r="7736" spans="1:6" ht="13.2">
      <c r="A7736" t="s">
        <v>8979</v>
      </c>
      <c r="B7736">
        <v>370</v>
      </c>
      <c r="C7736" s="44">
        <v>1420</v>
      </c>
      <c r="D7736" t="s">
        <v>293</v>
      </c>
      <c r="E7736" t="s">
        <v>8980</v>
      </c>
      <c r="F7736">
        <v>4</v>
      </c>
    </row>
    <row r="7737" spans="1:6" ht="13.2">
      <c r="A7737" t="s">
        <v>8981</v>
      </c>
      <c r="B7737">
        <v>370</v>
      </c>
      <c r="C7737" s="44">
        <v>1420</v>
      </c>
      <c r="D7737" t="s">
        <v>293</v>
      </c>
      <c r="E7737" t="s">
        <v>8980</v>
      </c>
      <c r="F7737">
        <v>4</v>
      </c>
    </row>
    <row r="7738" spans="1:6" ht="13.2">
      <c r="A7738" t="s">
        <v>8982</v>
      </c>
      <c r="B7738">
        <v>370</v>
      </c>
      <c r="C7738" s="44">
        <v>1420</v>
      </c>
      <c r="D7738" t="s">
        <v>293</v>
      </c>
      <c r="E7738" t="s">
        <v>8980</v>
      </c>
      <c r="F7738">
        <v>4</v>
      </c>
    </row>
    <row r="7739" spans="1:6" ht="13.2">
      <c r="A7739" t="s">
        <v>8983</v>
      </c>
      <c r="B7739">
        <v>370</v>
      </c>
      <c r="C7739" s="44">
        <v>1420</v>
      </c>
      <c r="D7739" t="s">
        <v>293</v>
      </c>
      <c r="E7739" t="s">
        <v>8980</v>
      </c>
      <c r="F7739">
        <v>4</v>
      </c>
    </row>
    <row r="7740" spans="1:6" ht="13.2">
      <c r="A7740" t="s">
        <v>8984</v>
      </c>
      <c r="B7740">
        <v>370</v>
      </c>
      <c r="C7740" s="44">
        <v>1420</v>
      </c>
      <c r="D7740" t="s">
        <v>293</v>
      </c>
      <c r="E7740" t="s">
        <v>8980</v>
      </c>
      <c r="F7740">
        <v>4</v>
      </c>
    </row>
    <row r="7741" spans="1:6" ht="13.2">
      <c r="A7741" t="s">
        <v>8985</v>
      </c>
      <c r="B7741">
        <v>370</v>
      </c>
      <c r="C7741" s="44">
        <v>1420</v>
      </c>
      <c r="D7741" t="s">
        <v>293</v>
      </c>
      <c r="E7741" t="s">
        <v>8980</v>
      </c>
      <c r="F7741">
        <v>4</v>
      </c>
    </row>
    <row r="7742" spans="1:6" ht="13.2">
      <c r="A7742" t="s">
        <v>8986</v>
      </c>
      <c r="B7742">
        <v>370</v>
      </c>
      <c r="C7742" s="44">
        <v>1420</v>
      </c>
      <c r="D7742" t="s">
        <v>293</v>
      </c>
      <c r="E7742" t="s">
        <v>8980</v>
      </c>
      <c r="F7742">
        <v>4</v>
      </c>
    </row>
    <row r="7743" spans="1:6" ht="13.2">
      <c r="A7743" t="s">
        <v>8987</v>
      </c>
      <c r="B7743">
        <v>370</v>
      </c>
      <c r="C7743" s="44">
        <v>1420</v>
      </c>
      <c r="D7743" t="s">
        <v>293</v>
      </c>
      <c r="E7743" t="s">
        <v>8980</v>
      </c>
      <c r="F7743">
        <v>4</v>
      </c>
    </row>
    <row r="7744" spans="1:6" ht="13.2">
      <c r="A7744" t="s">
        <v>8988</v>
      </c>
      <c r="B7744">
        <v>370</v>
      </c>
      <c r="C7744" s="44">
        <v>1420</v>
      </c>
      <c r="D7744" t="s">
        <v>293</v>
      </c>
      <c r="E7744" t="s">
        <v>8980</v>
      </c>
      <c r="F7744">
        <v>4</v>
      </c>
    </row>
    <row r="7745" spans="1:6" ht="13.2">
      <c r="A7745" t="s">
        <v>8989</v>
      </c>
      <c r="B7745">
        <v>370</v>
      </c>
      <c r="C7745" s="44">
        <v>1420</v>
      </c>
      <c r="D7745" t="s">
        <v>293</v>
      </c>
      <c r="E7745" t="s">
        <v>8980</v>
      </c>
      <c r="F7745">
        <v>4</v>
      </c>
    </row>
    <row r="7746" spans="1:6" ht="13.2">
      <c r="A7746" t="s">
        <v>8990</v>
      </c>
      <c r="B7746">
        <v>370</v>
      </c>
      <c r="C7746" s="44">
        <v>1420</v>
      </c>
      <c r="D7746" t="s">
        <v>293</v>
      </c>
      <c r="E7746" t="s">
        <v>8980</v>
      </c>
      <c r="F7746">
        <v>4</v>
      </c>
    </row>
    <row r="7747" spans="1:6" ht="13.2">
      <c r="A7747" t="s">
        <v>8991</v>
      </c>
      <c r="B7747">
        <v>370</v>
      </c>
      <c r="C7747" s="44">
        <v>1420</v>
      </c>
      <c r="D7747" t="s">
        <v>291</v>
      </c>
      <c r="E7747" t="s">
        <v>8960</v>
      </c>
      <c r="F7747">
        <v>4</v>
      </c>
    </row>
    <row r="7748" spans="1:6" ht="13.2">
      <c r="A7748" t="s">
        <v>8992</v>
      </c>
      <c r="B7748">
        <v>370</v>
      </c>
      <c r="C7748" s="44">
        <v>1420</v>
      </c>
      <c r="D7748" t="s">
        <v>291</v>
      </c>
      <c r="E7748" t="s">
        <v>8960</v>
      </c>
      <c r="F7748">
        <v>4</v>
      </c>
    </row>
    <row r="7749" spans="1:6" ht="13.2">
      <c r="A7749" t="s">
        <v>8993</v>
      </c>
      <c r="B7749">
        <v>370</v>
      </c>
      <c r="C7749" s="44">
        <v>1420</v>
      </c>
      <c r="D7749" t="s">
        <v>291</v>
      </c>
      <c r="E7749" t="s">
        <v>8960</v>
      </c>
      <c r="F7749">
        <v>4</v>
      </c>
    </row>
    <row r="7750" spans="1:6" ht="13.2">
      <c r="A7750" t="s">
        <v>8994</v>
      </c>
      <c r="B7750">
        <v>370</v>
      </c>
      <c r="C7750" s="44">
        <v>1420</v>
      </c>
      <c r="D7750" t="s">
        <v>291</v>
      </c>
      <c r="E7750" t="s">
        <v>8960</v>
      </c>
      <c r="F7750">
        <v>4</v>
      </c>
    </row>
    <row r="7751" spans="1:6" ht="13.2">
      <c r="A7751" t="s">
        <v>8995</v>
      </c>
      <c r="B7751">
        <v>370</v>
      </c>
      <c r="C7751" s="44">
        <v>1420</v>
      </c>
      <c r="D7751" t="s">
        <v>291</v>
      </c>
      <c r="E7751" t="s">
        <v>8960</v>
      </c>
      <c r="F7751">
        <v>4</v>
      </c>
    </row>
    <row r="7752" spans="1:6" ht="13.2">
      <c r="A7752" t="s">
        <v>8996</v>
      </c>
      <c r="B7752">
        <v>370</v>
      </c>
      <c r="C7752" s="44">
        <v>1420</v>
      </c>
      <c r="D7752" t="s">
        <v>291</v>
      </c>
      <c r="E7752" t="s">
        <v>8960</v>
      </c>
      <c r="F7752">
        <v>4</v>
      </c>
    </row>
    <row r="7753" spans="1:6" ht="13.2">
      <c r="A7753" t="s">
        <v>8997</v>
      </c>
      <c r="B7753">
        <v>370</v>
      </c>
      <c r="C7753" s="44">
        <v>1420</v>
      </c>
      <c r="D7753" t="s">
        <v>291</v>
      </c>
      <c r="E7753" t="s">
        <v>8960</v>
      </c>
      <c r="F7753">
        <v>4</v>
      </c>
    </row>
    <row r="7754" spans="1:6" ht="13.2">
      <c r="A7754" t="s">
        <v>8998</v>
      </c>
      <c r="B7754">
        <v>370</v>
      </c>
      <c r="C7754" s="44">
        <v>1420</v>
      </c>
      <c r="D7754" t="s">
        <v>291</v>
      </c>
      <c r="E7754" t="s">
        <v>8960</v>
      </c>
      <c r="F7754">
        <v>4</v>
      </c>
    </row>
    <row r="7755" spans="1:6" ht="13.2">
      <c r="A7755" t="s">
        <v>8999</v>
      </c>
      <c r="B7755">
        <v>370</v>
      </c>
      <c r="C7755" s="44">
        <v>1420</v>
      </c>
      <c r="D7755" t="s">
        <v>291</v>
      </c>
      <c r="E7755" t="s">
        <v>8960</v>
      </c>
      <c r="F7755">
        <v>4</v>
      </c>
    </row>
    <row r="7756" spans="1:6" ht="13.2">
      <c r="A7756" t="s">
        <v>9000</v>
      </c>
      <c r="B7756">
        <v>370</v>
      </c>
      <c r="C7756" s="44">
        <v>1420</v>
      </c>
      <c r="D7756" t="s">
        <v>291</v>
      </c>
      <c r="E7756" t="s">
        <v>8960</v>
      </c>
      <c r="F7756">
        <v>4</v>
      </c>
    </row>
    <row r="7757" spans="1:6" ht="13.2">
      <c r="A7757" t="s">
        <v>9001</v>
      </c>
      <c r="B7757">
        <v>370</v>
      </c>
      <c r="C7757" s="44">
        <v>1420</v>
      </c>
      <c r="D7757" t="s">
        <v>291</v>
      </c>
      <c r="E7757" t="s">
        <v>8960</v>
      </c>
      <c r="F7757">
        <v>4</v>
      </c>
    </row>
    <row r="7758" spans="1:6" ht="13.2">
      <c r="A7758" t="s">
        <v>9002</v>
      </c>
      <c r="B7758">
        <v>0</v>
      </c>
      <c r="C7758" s="44" t="s">
        <v>9003</v>
      </c>
      <c r="D7758" t="s">
        <v>293</v>
      </c>
      <c r="E7758" t="s">
        <v>713</v>
      </c>
      <c r="F7758">
        <v>4</v>
      </c>
    </row>
    <row r="7759" spans="1:6" ht="13.2">
      <c r="A7759" t="s">
        <v>9004</v>
      </c>
      <c r="B7759">
        <v>0</v>
      </c>
      <c r="C7759" s="44" t="s">
        <v>9003</v>
      </c>
      <c r="D7759" t="s">
        <v>293</v>
      </c>
      <c r="E7759" t="s">
        <v>713</v>
      </c>
      <c r="F7759">
        <v>4</v>
      </c>
    </row>
    <row r="7760" spans="1:6" ht="13.2">
      <c r="A7760" t="s">
        <v>9005</v>
      </c>
      <c r="B7760">
        <v>0</v>
      </c>
      <c r="C7760" s="44" t="s">
        <v>9003</v>
      </c>
      <c r="D7760" t="s">
        <v>293</v>
      </c>
      <c r="E7760" t="s">
        <v>713</v>
      </c>
      <c r="F7760">
        <v>4</v>
      </c>
    </row>
    <row r="7761" spans="1:6" ht="13.2">
      <c r="A7761" t="s">
        <v>9006</v>
      </c>
      <c r="B7761">
        <v>0</v>
      </c>
      <c r="C7761" s="44" t="s">
        <v>9003</v>
      </c>
      <c r="D7761" t="s">
        <v>293</v>
      </c>
      <c r="E7761" t="s">
        <v>713</v>
      </c>
      <c r="F7761">
        <v>4</v>
      </c>
    </row>
    <row r="7762" spans="1:6" ht="13.2">
      <c r="A7762" t="s">
        <v>9007</v>
      </c>
      <c r="B7762">
        <v>0</v>
      </c>
      <c r="C7762" s="44" t="s">
        <v>9003</v>
      </c>
      <c r="D7762" t="s">
        <v>293</v>
      </c>
      <c r="E7762" t="s">
        <v>713</v>
      </c>
      <c r="F7762">
        <v>4</v>
      </c>
    </row>
    <row r="7763" spans="1:6" ht="13.2">
      <c r="A7763" t="s">
        <v>9008</v>
      </c>
      <c r="B7763">
        <v>0</v>
      </c>
      <c r="C7763" s="44" t="s">
        <v>9003</v>
      </c>
      <c r="D7763" t="s">
        <v>293</v>
      </c>
      <c r="E7763" t="s">
        <v>713</v>
      </c>
      <c r="F7763">
        <v>4</v>
      </c>
    </row>
    <row r="7764" spans="1:6" ht="13.2">
      <c r="A7764" t="s">
        <v>9009</v>
      </c>
      <c r="B7764">
        <v>0</v>
      </c>
      <c r="C7764" s="44" t="s">
        <v>9003</v>
      </c>
      <c r="D7764" t="s">
        <v>293</v>
      </c>
      <c r="E7764" t="s">
        <v>713</v>
      </c>
      <c r="F7764">
        <v>4</v>
      </c>
    </row>
    <row r="7765" spans="1:6" ht="13.2">
      <c r="A7765" t="s">
        <v>9010</v>
      </c>
      <c r="B7765">
        <v>0</v>
      </c>
      <c r="C7765" s="44" t="s">
        <v>9003</v>
      </c>
      <c r="D7765" t="s">
        <v>293</v>
      </c>
      <c r="E7765" t="s">
        <v>713</v>
      </c>
      <c r="F7765">
        <v>4</v>
      </c>
    </row>
    <row r="7766" spans="1:6" ht="13.2">
      <c r="A7766" t="s">
        <v>9011</v>
      </c>
      <c r="B7766">
        <v>0</v>
      </c>
      <c r="C7766" s="44" t="s">
        <v>9003</v>
      </c>
      <c r="D7766" t="s">
        <v>293</v>
      </c>
      <c r="E7766" t="s">
        <v>713</v>
      </c>
      <c r="F7766">
        <v>4</v>
      </c>
    </row>
    <row r="7767" spans="1:6" ht="13.2">
      <c r="A7767" t="s">
        <v>9012</v>
      </c>
      <c r="B7767">
        <v>0</v>
      </c>
      <c r="C7767" s="44" t="s">
        <v>9003</v>
      </c>
      <c r="D7767" t="s">
        <v>293</v>
      </c>
      <c r="E7767" t="s">
        <v>713</v>
      </c>
      <c r="F7767">
        <v>4</v>
      </c>
    </row>
    <row r="7768" spans="1:6" ht="13.2">
      <c r="A7768" t="s">
        <v>9013</v>
      </c>
      <c r="B7768">
        <v>0</v>
      </c>
      <c r="C7768" s="44" t="s">
        <v>9003</v>
      </c>
      <c r="D7768" t="s">
        <v>293</v>
      </c>
      <c r="E7768" t="s">
        <v>713</v>
      </c>
      <c r="F7768">
        <v>4</v>
      </c>
    </row>
    <row r="7769" spans="1:6" ht="13.2">
      <c r="A7769" t="s">
        <v>9014</v>
      </c>
      <c r="B7769">
        <v>0</v>
      </c>
      <c r="C7769" s="44" t="s">
        <v>9003</v>
      </c>
      <c r="D7769" t="s">
        <v>293</v>
      </c>
      <c r="E7769" t="s">
        <v>713</v>
      </c>
      <c r="F7769">
        <v>4</v>
      </c>
    </row>
    <row r="7770" spans="1:6" ht="13.2">
      <c r="A7770" t="s">
        <v>9015</v>
      </c>
      <c r="B7770">
        <v>0</v>
      </c>
      <c r="C7770" s="44" t="s">
        <v>9003</v>
      </c>
      <c r="D7770" t="s">
        <v>293</v>
      </c>
      <c r="E7770" t="s">
        <v>713</v>
      </c>
      <c r="F7770">
        <v>4</v>
      </c>
    </row>
    <row r="7771" spans="1:6" ht="13.2">
      <c r="A7771" t="s">
        <v>9016</v>
      </c>
      <c r="B7771">
        <v>0</v>
      </c>
      <c r="C7771" s="44" t="s">
        <v>9003</v>
      </c>
      <c r="D7771" t="s">
        <v>293</v>
      </c>
      <c r="E7771" t="s">
        <v>713</v>
      </c>
      <c r="F7771">
        <v>4</v>
      </c>
    </row>
    <row r="7772" spans="1:6" ht="13.2">
      <c r="A7772" t="s">
        <v>9017</v>
      </c>
      <c r="B7772">
        <v>0</v>
      </c>
      <c r="C7772" s="44" t="s">
        <v>9003</v>
      </c>
      <c r="D7772" t="s">
        <v>293</v>
      </c>
      <c r="E7772" t="s">
        <v>713</v>
      </c>
      <c r="F7772">
        <v>4</v>
      </c>
    </row>
    <row r="7773" spans="1:6" ht="13.2">
      <c r="A7773" t="s">
        <v>9018</v>
      </c>
      <c r="B7773">
        <v>0</v>
      </c>
      <c r="C7773" s="44" t="s">
        <v>9003</v>
      </c>
      <c r="D7773" t="s">
        <v>293</v>
      </c>
      <c r="E7773" t="s">
        <v>713</v>
      </c>
      <c r="F7773">
        <v>4</v>
      </c>
    </row>
    <row r="7774" spans="1:6" ht="13.2">
      <c r="A7774" t="s">
        <v>9020</v>
      </c>
      <c r="B7774">
        <v>0</v>
      </c>
      <c r="C7774" s="44" t="s">
        <v>9021</v>
      </c>
      <c r="D7774" t="s">
        <v>291</v>
      </c>
      <c r="E7774" t="s">
        <v>256</v>
      </c>
      <c r="F7774">
        <v>4</v>
      </c>
    </row>
    <row r="7775" spans="1:6" ht="13.2">
      <c r="A7775" t="s">
        <v>9022</v>
      </c>
      <c r="B7775">
        <v>0</v>
      </c>
      <c r="C7775" s="44" t="s">
        <v>9021</v>
      </c>
      <c r="D7775" t="s">
        <v>291</v>
      </c>
      <c r="E7775" t="s">
        <v>256</v>
      </c>
      <c r="F7775">
        <v>4</v>
      </c>
    </row>
    <row r="7776" spans="1:6" ht="13.2">
      <c r="A7776" t="s">
        <v>9023</v>
      </c>
      <c r="B7776">
        <v>0</v>
      </c>
      <c r="C7776" s="44" t="s">
        <v>9021</v>
      </c>
      <c r="D7776" t="s">
        <v>291</v>
      </c>
      <c r="E7776" t="s">
        <v>256</v>
      </c>
      <c r="F7776">
        <v>4</v>
      </c>
    </row>
    <row r="7777" spans="1:6" ht="13.2">
      <c r="A7777" t="s">
        <v>9024</v>
      </c>
      <c r="B7777">
        <v>0</v>
      </c>
      <c r="C7777" s="44" t="s">
        <v>9021</v>
      </c>
      <c r="D7777" t="s">
        <v>291</v>
      </c>
      <c r="E7777" t="s">
        <v>256</v>
      </c>
      <c r="F7777">
        <v>4</v>
      </c>
    </row>
    <row r="7778" spans="1:6" ht="13.2">
      <c r="A7778" t="s">
        <v>9025</v>
      </c>
      <c r="B7778">
        <v>0</v>
      </c>
      <c r="C7778" s="44" t="s">
        <v>9021</v>
      </c>
      <c r="D7778" t="s">
        <v>291</v>
      </c>
      <c r="E7778" t="s">
        <v>256</v>
      </c>
      <c r="F7778">
        <v>4</v>
      </c>
    </row>
    <row r="7779" spans="1:6" ht="13.2">
      <c r="A7779" t="s">
        <v>9026</v>
      </c>
      <c r="B7779">
        <v>0</v>
      </c>
      <c r="C7779" s="44" t="s">
        <v>9021</v>
      </c>
      <c r="D7779" t="s">
        <v>291</v>
      </c>
      <c r="E7779" t="s">
        <v>256</v>
      </c>
      <c r="F7779">
        <v>4</v>
      </c>
    </row>
    <row r="7780" spans="1:6" ht="13.2">
      <c r="A7780" t="s">
        <v>9027</v>
      </c>
      <c r="B7780">
        <v>0</v>
      </c>
      <c r="C7780" s="44" t="s">
        <v>9021</v>
      </c>
      <c r="D7780" t="s">
        <v>291</v>
      </c>
      <c r="E7780" t="s">
        <v>256</v>
      </c>
      <c r="F7780">
        <v>4</v>
      </c>
    </row>
    <row r="7781" spans="1:6" ht="13.2">
      <c r="A7781" t="s">
        <v>9028</v>
      </c>
      <c r="B7781">
        <v>0</v>
      </c>
      <c r="C7781" s="44" t="s">
        <v>9021</v>
      </c>
      <c r="D7781" t="s">
        <v>291</v>
      </c>
      <c r="E7781" t="s">
        <v>256</v>
      </c>
      <c r="F7781">
        <v>4</v>
      </c>
    </row>
    <row r="7782" spans="1:6" ht="13.2">
      <c r="A7782" t="s">
        <v>9029</v>
      </c>
      <c r="B7782">
        <v>0</v>
      </c>
      <c r="C7782" s="44" t="s">
        <v>9021</v>
      </c>
      <c r="D7782" t="s">
        <v>291</v>
      </c>
      <c r="E7782" t="s">
        <v>256</v>
      </c>
      <c r="F7782">
        <v>4</v>
      </c>
    </row>
    <row r="7783" spans="1:6" ht="13.2">
      <c r="A7783" t="s">
        <v>9030</v>
      </c>
      <c r="B7783">
        <v>0</v>
      </c>
      <c r="C7783" s="44" t="s">
        <v>9021</v>
      </c>
      <c r="D7783" t="s">
        <v>291</v>
      </c>
      <c r="E7783" t="s">
        <v>256</v>
      </c>
      <c r="F7783">
        <v>4</v>
      </c>
    </row>
    <row r="7784" spans="1:6" ht="13.2">
      <c r="A7784" t="s">
        <v>9031</v>
      </c>
      <c r="B7784">
        <v>0</v>
      </c>
      <c r="C7784" s="44" t="s">
        <v>9021</v>
      </c>
      <c r="D7784" t="s">
        <v>291</v>
      </c>
      <c r="E7784" t="s">
        <v>256</v>
      </c>
      <c r="F7784">
        <v>4</v>
      </c>
    </row>
    <row r="7785" spans="1:6" ht="13.2">
      <c r="A7785" t="s">
        <v>9032</v>
      </c>
      <c r="B7785">
        <v>0</v>
      </c>
      <c r="C7785" s="44" t="s">
        <v>9021</v>
      </c>
      <c r="D7785" t="s">
        <v>291</v>
      </c>
      <c r="E7785" t="s">
        <v>256</v>
      </c>
      <c r="F7785">
        <v>4</v>
      </c>
    </row>
    <row r="7786" spans="1:6" ht="13.2">
      <c r="A7786" t="s">
        <v>9033</v>
      </c>
      <c r="B7786">
        <v>0</v>
      </c>
      <c r="C7786" s="44" t="s">
        <v>9021</v>
      </c>
      <c r="D7786" t="s">
        <v>291</v>
      </c>
      <c r="E7786" t="s">
        <v>256</v>
      </c>
      <c r="F7786">
        <v>4</v>
      </c>
    </row>
    <row r="7787" spans="1:6" ht="13.2">
      <c r="A7787" t="s">
        <v>9034</v>
      </c>
      <c r="B7787">
        <v>0</v>
      </c>
      <c r="C7787" s="44" t="s">
        <v>9021</v>
      </c>
      <c r="D7787" t="s">
        <v>291</v>
      </c>
      <c r="E7787" t="s">
        <v>256</v>
      </c>
      <c r="F7787">
        <v>4</v>
      </c>
    </row>
    <row r="7788" spans="1:6" ht="13.2">
      <c r="A7788" t="s">
        <v>9035</v>
      </c>
      <c r="B7788">
        <v>0</v>
      </c>
      <c r="C7788" s="44" t="s">
        <v>9021</v>
      </c>
      <c r="D7788" t="s">
        <v>291</v>
      </c>
      <c r="E7788" t="s">
        <v>256</v>
      </c>
      <c r="F7788">
        <v>4</v>
      </c>
    </row>
    <row r="7789" spans="1:6" ht="13.2">
      <c r="A7789" t="s">
        <v>9036</v>
      </c>
      <c r="B7789">
        <v>0</v>
      </c>
      <c r="C7789" s="44" t="s">
        <v>9021</v>
      </c>
      <c r="D7789" t="s">
        <v>291</v>
      </c>
      <c r="E7789" t="s">
        <v>256</v>
      </c>
      <c r="F7789">
        <v>4</v>
      </c>
    </row>
    <row r="7790" spans="1:6" ht="13.2">
      <c r="A7790" t="s">
        <v>9037</v>
      </c>
      <c r="B7790">
        <v>0</v>
      </c>
      <c r="C7790" s="44" t="s">
        <v>9021</v>
      </c>
      <c r="D7790" t="s">
        <v>291</v>
      </c>
      <c r="E7790" t="s">
        <v>256</v>
      </c>
      <c r="F7790">
        <v>4</v>
      </c>
    </row>
    <row r="7791" spans="1:6" ht="13.2">
      <c r="A7791" t="s">
        <v>9038</v>
      </c>
      <c r="B7791">
        <v>0</v>
      </c>
      <c r="C7791" s="44" t="s">
        <v>9021</v>
      </c>
      <c r="D7791" t="s">
        <v>291</v>
      </c>
      <c r="E7791" t="s">
        <v>256</v>
      </c>
      <c r="F7791">
        <v>4</v>
      </c>
    </row>
    <row r="7792" spans="1:6" ht="13.2">
      <c r="A7792" t="s">
        <v>9039</v>
      </c>
      <c r="B7792">
        <v>0</v>
      </c>
      <c r="C7792" s="44" t="s">
        <v>9021</v>
      </c>
      <c r="D7792" t="s">
        <v>291</v>
      </c>
      <c r="E7792" t="s">
        <v>256</v>
      </c>
      <c r="F7792">
        <v>4</v>
      </c>
    </row>
    <row r="7793" spans="1:5" ht="13.2">
      <c r="A7793" t="s">
        <v>9040</v>
      </c>
      <c r="B7793">
        <v>0</v>
      </c>
      <c r="C7793" s="44">
        <v>3030</v>
      </c>
      <c r="D7793" t="s">
        <v>291</v>
      </c>
      <c r="E7793" t="s">
        <v>9041</v>
      </c>
    </row>
    <row r="7794" spans="1:5" ht="13.2">
      <c r="A7794" t="s">
        <v>9042</v>
      </c>
      <c r="B7794">
        <v>0</v>
      </c>
      <c r="C7794" s="44">
        <v>3030</v>
      </c>
      <c r="D7794" t="s">
        <v>291</v>
      </c>
      <c r="E7794" t="s">
        <v>9041</v>
      </c>
    </row>
    <row r="7795" spans="1:5" ht="13.2">
      <c r="A7795" t="s">
        <v>9043</v>
      </c>
      <c r="B7795">
        <v>0</v>
      </c>
      <c r="C7795" s="44">
        <v>3030</v>
      </c>
      <c r="D7795" t="s">
        <v>291</v>
      </c>
      <c r="E7795" t="s">
        <v>9041</v>
      </c>
    </row>
    <row r="7796" spans="1:5" ht="13.2">
      <c r="A7796" t="s">
        <v>9044</v>
      </c>
      <c r="B7796">
        <v>0</v>
      </c>
      <c r="C7796" s="44">
        <v>3030</v>
      </c>
      <c r="D7796" t="s">
        <v>291</v>
      </c>
      <c r="E7796" t="s">
        <v>9041</v>
      </c>
    </row>
    <row r="7797" spans="1:5" ht="13.2">
      <c r="A7797" t="s">
        <v>9045</v>
      </c>
      <c r="B7797">
        <v>0</v>
      </c>
      <c r="C7797" s="44">
        <v>3030</v>
      </c>
      <c r="D7797" t="s">
        <v>291</v>
      </c>
      <c r="E7797" t="s">
        <v>9041</v>
      </c>
    </row>
    <row r="7798" spans="1:5" ht="13.2">
      <c r="A7798" t="s">
        <v>9046</v>
      </c>
      <c r="B7798">
        <v>0</v>
      </c>
      <c r="C7798" s="44">
        <v>3030</v>
      </c>
      <c r="D7798" t="s">
        <v>291</v>
      </c>
      <c r="E7798" t="s">
        <v>9041</v>
      </c>
    </row>
    <row r="7799" spans="1:5" ht="13.2">
      <c r="A7799" t="s">
        <v>9047</v>
      </c>
      <c r="B7799">
        <v>0</v>
      </c>
      <c r="C7799" s="44">
        <v>3030</v>
      </c>
      <c r="D7799" t="s">
        <v>291</v>
      </c>
      <c r="E7799" t="s">
        <v>9041</v>
      </c>
    </row>
    <row r="7800" spans="1:5" ht="13.2">
      <c r="A7800" t="s">
        <v>9048</v>
      </c>
      <c r="B7800">
        <v>0</v>
      </c>
      <c r="C7800" s="44">
        <v>3030</v>
      </c>
      <c r="D7800" t="s">
        <v>291</v>
      </c>
      <c r="E7800" t="s">
        <v>9041</v>
      </c>
    </row>
    <row r="7801" spans="1:5" ht="13.2">
      <c r="A7801" t="s">
        <v>9049</v>
      </c>
      <c r="B7801">
        <v>0</v>
      </c>
      <c r="C7801" s="44">
        <v>3030</v>
      </c>
      <c r="D7801" t="s">
        <v>291</v>
      </c>
      <c r="E7801" t="s">
        <v>9041</v>
      </c>
    </row>
    <row r="7802" spans="1:5" ht="13.2">
      <c r="A7802" t="s">
        <v>9050</v>
      </c>
      <c r="B7802">
        <v>0</v>
      </c>
      <c r="C7802" s="44">
        <v>3030</v>
      </c>
      <c r="D7802" t="s">
        <v>291</v>
      </c>
      <c r="E7802" t="s">
        <v>9041</v>
      </c>
    </row>
    <row r="7803" spans="1:5" ht="13.2">
      <c r="A7803" t="s">
        <v>9051</v>
      </c>
      <c r="B7803">
        <v>0</v>
      </c>
      <c r="C7803" s="44">
        <v>3030</v>
      </c>
      <c r="D7803" t="s">
        <v>291</v>
      </c>
      <c r="E7803" t="s">
        <v>9041</v>
      </c>
    </row>
    <row r="7804" spans="1:5" ht="13.2">
      <c r="A7804" t="s">
        <v>9052</v>
      </c>
      <c r="B7804">
        <v>0</v>
      </c>
      <c r="C7804" s="44">
        <v>3030</v>
      </c>
      <c r="D7804" t="s">
        <v>291</v>
      </c>
      <c r="E7804" t="s">
        <v>9041</v>
      </c>
    </row>
    <row r="7805" spans="1:5" ht="13.2">
      <c r="A7805" t="s">
        <v>9053</v>
      </c>
      <c r="B7805">
        <v>0</v>
      </c>
      <c r="C7805" s="44">
        <v>3030</v>
      </c>
      <c r="D7805" t="s">
        <v>291</v>
      </c>
      <c r="E7805" t="s">
        <v>9041</v>
      </c>
    </row>
    <row r="7806" spans="1:5" ht="13.2">
      <c r="A7806" t="s">
        <v>9054</v>
      </c>
      <c r="B7806">
        <v>0</v>
      </c>
      <c r="C7806" s="44">
        <v>3030</v>
      </c>
      <c r="D7806" t="s">
        <v>291</v>
      </c>
      <c r="E7806" t="s">
        <v>9041</v>
      </c>
    </row>
    <row r="7807" spans="1:5" ht="13.2">
      <c r="A7807" t="s">
        <v>9055</v>
      </c>
      <c r="B7807">
        <v>0</v>
      </c>
      <c r="C7807" s="44">
        <v>3030</v>
      </c>
      <c r="D7807" t="s">
        <v>291</v>
      </c>
      <c r="E7807" t="s">
        <v>9041</v>
      </c>
    </row>
    <row r="7808" spans="1:5" ht="13.2">
      <c r="A7808" t="s">
        <v>9056</v>
      </c>
      <c r="B7808">
        <v>0</v>
      </c>
      <c r="C7808" s="44">
        <v>3030</v>
      </c>
      <c r="D7808" t="s">
        <v>291</v>
      </c>
      <c r="E7808" t="s">
        <v>9041</v>
      </c>
    </row>
    <row r="7809" spans="1:5" ht="13.2">
      <c r="A7809" t="s">
        <v>9057</v>
      </c>
      <c r="B7809">
        <v>0</v>
      </c>
      <c r="C7809" s="44">
        <v>3030</v>
      </c>
      <c r="D7809" t="s">
        <v>291</v>
      </c>
      <c r="E7809" t="s">
        <v>9041</v>
      </c>
    </row>
    <row r="7810" spans="1:5" ht="13.2">
      <c r="A7810" t="s">
        <v>9058</v>
      </c>
      <c r="B7810">
        <v>0</v>
      </c>
      <c r="C7810" s="44">
        <v>3030</v>
      </c>
      <c r="D7810" t="s">
        <v>291</v>
      </c>
      <c r="E7810" t="s">
        <v>9041</v>
      </c>
    </row>
    <row r="7811" spans="1:5" ht="13.2">
      <c r="A7811" t="s">
        <v>9059</v>
      </c>
      <c r="B7811">
        <v>0</v>
      </c>
      <c r="C7811" s="44">
        <v>3030</v>
      </c>
      <c r="D7811" t="s">
        <v>291</v>
      </c>
      <c r="E7811" t="s">
        <v>9041</v>
      </c>
    </row>
    <row r="7812" spans="1:5" ht="13.2">
      <c r="A7812" t="s">
        <v>9060</v>
      </c>
      <c r="B7812">
        <v>0</v>
      </c>
      <c r="C7812" s="44">
        <v>3030</v>
      </c>
      <c r="D7812" t="s">
        <v>291</v>
      </c>
      <c r="E7812" t="s">
        <v>9041</v>
      </c>
    </row>
    <row r="7813" spans="1:5" ht="13.2">
      <c r="A7813" t="s">
        <v>9061</v>
      </c>
      <c r="B7813">
        <v>0</v>
      </c>
      <c r="C7813" s="44">
        <v>3030</v>
      </c>
      <c r="D7813" t="s">
        <v>291</v>
      </c>
      <c r="E7813" t="s">
        <v>9041</v>
      </c>
    </row>
    <row r="7814" spans="1:5" ht="13.2">
      <c r="A7814" t="s">
        <v>9062</v>
      </c>
      <c r="B7814">
        <v>0</v>
      </c>
      <c r="C7814" s="44">
        <v>3030</v>
      </c>
      <c r="D7814" t="s">
        <v>291</v>
      </c>
      <c r="E7814" t="s">
        <v>9041</v>
      </c>
    </row>
    <row r="7815" spans="1:5" ht="13.2">
      <c r="A7815" t="s">
        <v>9063</v>
      </c>
      <c r="B7815">
        <v>0</v>
      </c>
      <c r="C7815" s="44">
        <v>3030</v>
      </c>
      <c r="D7815" t="s">
        <v>291</v>
      </c>
      <c r="E7815" t="s">
        <v>9041</v>
      </c>
    </row>
    <row r="7816" spans="1:5" ht="13.2">
      <c r="A7816" t="s">
        <v>9064</v>
      </c>
      <c r="B7816">
        <v>0</v>
      </c>
      <c r="C7816" s="44">
        <v>3030</v>
      </c>
      <c r="D7816" t="s">
        <v>291</v>
      </c>
      <c r="E7816" t="s">
        <v>9041</v>
      </c>
    </row>
    <row r="7817" spans="1:5" ht="13.2">
      <c r="A7817" t="s">
        <v>9065</v>
      </c>
      <c r="B7817">
        <v>0</v>
      </c>
      <c r="C7817" s="44">
        <v>3030</v>
      </c>
      <c r="D7817" t="s">
        <v>291</v>
      </c>
      <c r="E7817" t="s">
        <v>9041</v>
      </c>
    </row>
    <row r="7818" spans="1:5" ht="13.2">
      <c r="A7818" t="s">
        <v>9066</v>
      </c>
      <c r="B7818">
        <v>0</v>
      </c>
      <c r="C7818" s="44">
        <v>3030</v>
      </c>
      <c r="D7818" t="s">
        <v>291</v>
      </c>
      <c r="E7818" t="s">
        <v>9041</v>
      </c>
    </row>
    <row r="7819" spans="1:5" ht="13.2">
      <c r="A7819" t="s">
        <v>9067</v>
      </c>
      <c r="B7819">
        <v>0</v>
      </c>
      <c r="C7819" s="44">
        <v>3030</v>
      </c>
      <c r="D7819" t="s">
        <v>291</v>
      </c>
      <c r="E7819" t="s">
        <v>9041</v>
      </c>
    </row>
    <row r="7820" spans="1:5" ht="13.2">
      <c r="A7820" t="s">
        <v>9068</v>
      </c>
      <c r="B7820">
        <v>0</v>
      </c>
      <c r="C7820" s="44">
        <v>3030</v>
      </c>
      <c r="D7820" t="s">
        <v>291</v>
      </c>
      <c r="E7820" t="s">
        <v>9041</v>
      </c>
    </row>
    <row r="7821" spans="1:5" ht="13.2">
      <c r="A7821" t="s">
        <v>9069</v>
      </c>
      <c r="B7821">
        <v>0</v>
      </c>
      <c r="C7821" s="44">
        <v>3030</v>
      </c>
      <c r="D7821" t="s">
        <v>291</v>
      </c>
      <c r="E7821" t="s">
        <v>9041</v>
      </c>
    </row>
    <row r="7822" spans="1:5" ht="13.2">
      <c r="A7822" t="s">
        <v>9070</v>
      </c>
      <c r="B7822">
        <v>0</v>
      </c>
      <c r="C7822" s="44">
        <v>3030</v>
      </c>
      <c r="D7822" t="s">
        <v>291</v>
      </c>
      <c r="E7822" t="s">
        <v>9041</v>
      </c>
    </row>
    <row r="7823" spans="1:5" ht="13.2">
      <c r="A7823" t="s">
        <v>9071</v>
      </c>
      <c r="B7823">
        <v>0</v>
      </c>
      <c r="C7823" s="44">
        <v>3030</v>
      </c>
      <c r="D7823" t="s">
        <v>291</v>
      </c>
      <c r="E7823" t="s">
        <v>9041</v>
      </c>
    </row>
    <row r="7824" spans="1:5" ht="13.2">
      <c r="A7824" t="s">
        <v>9072</v>
      </c>
      <c r="B7824">
        <v>0</v>
      </c>
      <c r="C7824" s="44">
        <v>3030</v>
      </c>
      <c r="D7824" t="s">
        <v>291</v>
      </c>
      <c r="E7824" t="s">
        <v>9041</v>
      </c>
    </row>
    <row r="7825" spans="1:5" ht="13.2">
      <c r="A7825" t="s">
        <v>9073</v>
      </c>
      <c r="B7825">
        <v>0</v>
      </c>
      <c r="C7825" s="44">
        <v>3030</v>
      </c>
      <c r="D7825" t="s">
        <v>291</v>
      </c>
      <c r="E7825" t="s">
        <v>9041</v>
      </c>
    </row>
    <row r="7826" spans="1:5" ht="13.2">
      <c r="A7826" t="s">
        <v>9074</v>
      </c>
      <c r="B7826">
        <v>0</v>
      </c>
      <c r="C7826" s="44">
        <v>3030</v>
      </c>
      <c r="D7826" t="s">
        <v>291</v>
      </c>
      <c r="E7826" t="s">
        <v>9041</v>
      </c>
    </row>
    <row r="7827" spans="1:5" ht="13.2">
      <c r="A7827" t="s">
        <v>9075</v>
      </c>
      <c r="B7827">
        <v>0</v>
      </c>
      <c r="C7827" s="44">
        <v>3030</v>
      </c>
      <c r="D7827" t="s">
        <v>291</v>
      </c>
      <c r="E7827" t="s">
        <v>9041</v>
      </c>
    </row>
    <row r="7828" spans="1:5" ht="13.2">
      <c r="A7828" t="s">
        <v>9076</v>
      </c>
      <c r="B7828">
        <v>0</v>
      </c>
      <c r="C7828" s="44">
        <v>3030</v>
      </c>
      <c r="D7828" t="s">
        <v>291</v>
      </c>
      <c r="E7828" t="s">
        <v>9041</v>
      </c>
    </row>
    <row r="7829" spans="1:5" ht="13.2">
      <c r="A7829" t="s">
        <v>9077</v>
      </c>
      <c r="B7829">
        <v>0</v>
      </c>
      <c r="C7829" s="44">
        <v>3030</v>
      </c>
      <c r="D7829" t="s">
        <v>291</v>
      </c>
      <c r="E7829" t="s">
        <v>9041</v>
      </c>
    </row>
    <row r="7830" spans="1:5" ht="13.2">
      <c r="A7830" t="s">
        <v>9078</v>
      </c>
      <c r="B7830">
        <v>0</v>
      </c>
      <c r="C7830" s="44">
        <v>3030</v>
      </c>
      <c r="D7830" t="s">
        <v>291</v>
      </c>
      <c r="E7830" t="s">
        <v>9041</v>
      </c>
    </row>
    <row r="7831" spans="1:5" ht="13.2">
      <c r="A7831" t="s">
        <v>9079</v>
      </c>
      <c r="B7831">
        <v>0</v>
      </c>
      <c r="C7831" s="44">
        <v>3030</v>
      </c>
      <c r="D7831" t="s">
        <v>293</v>
      </c>
      <c r="E7831" t="s">
        <v>9041</v>
      </c>
    </row>
    <row r="7832" spans="1:5" ht="13.2">
      <c r="A7832" t="s">
        <v>9080</v>
      </c>
      <c r="B7832">
        <v>0</v>
      </c>
      <c r="C7832" s="44">
        <v>3030</v>
      </c>
      <c r="D7832" t="s">
        <v>293</v>
      </c>
      <c r="E7832" t="s">
        <v>9041</v>
      </c>
    </row>
    <row r="7833" spans="1:5" ht="13.2">
      <c r="A7833" t="s">
        <v>9081</v>
      </c>
      <c r="B7833">
        <v>0</v>
      </c>
      <c r="C7833" s="44">
        <v>3030</v>
      </c>
      <c r="D7833" t="s">
        <v>293</v>
      </c>
      <c r="E7833" t="s">
        <v>9041</v>
      </c>
    </row>
    <row r="7834" spans="1:5" ht="13.2">
      <c r="A7834" t="s">
        <v>9082</v>
      </c>
      <c r="B7834">
        <v>0</v>
      </c>
      <c r="C7834" s="44">
        <v>3030</v>
      </c>
      <c r="D7834" t="s">
        <v>293</v>
      </c>
      <c r="E7834" t="s">
        <v>9041</v>
      </c>
    </row>
    <row r="7835" spans="1:5" ht="13.2">
      <c r="A7835" t="s">
        <v>9083</v>
      </c>
      <c r="B7835">
        <v>0</v>
      </c>
      <c r="C7835" s="44">
        <v>3030</v>
      </c>
      <c r="D7835" t="s">
        <v>293</v>
      </c>
      <c r="E7835" t="s">
        <v>9041</v>
      </c>
    </row>
    <row r="7836" spans="1:5" ht="13.2">
      <c r="A7836" t="s">
        <v>9084</v>
      </c>
      <c r="B7836">
        <v>0</v>
      </c>
      <c r="C7836" s="44">
        <v>3030</v>
      </c>
      <c r="D7836" t="s">
        <v>293</v>
      </c>
      <c r="E7836" t="s">
        <v>9041</v>
      </c>
    </row>
    <row r="7837" spans="1:5" ht="13.2">
      <c r="A7837" t="s">
        <v>9085</v>
      </c>
      <c r="B7837">
        <v>0</v>
      </c>
      <c r="C7837" s="44">
        <v>3030</v>
      </c>
      <c r="D7837" t="s">
        <v>293</v>
      </c>
      <c r="E7837" t="s">
        <v>9041</v>
      </c>
    </row>
    <row r="7838" spans="1:5" ht="13.2">
      <c r="A7838" t="s">
        <v>9086</v>
      </c>
      <c r="B7838">
        <v>0</v>
      </c>
      <c r="C7838" s="44">
        <v>3030</v>
      </c>
      <c r="D7838" t="s">
        <v>293</v>
      </c>
      <c r="E7838" t="s">
        <v>9041</v>
      </c>
    </row>
    <row r="7839" spans="1:5" ht="13.2">
      <c r="A7839" t="s">
        <v>9087</v>
      </c>
      <c r="B7839">
        <v>0</v>
      </c>
      <c r="C7839" s="44">
        <v>3030</v>
      </c>
      <c r="D7839" t="s">
        <v>293</v>
      </c>
      <c r="E7839" t="s">
        <v>9041</v>
      </c>
    </row>
    <row r="7840" spans="1:5" ht="13.2">
      <c r="A7840" t="s">
        <v>9088</v>
      </c>
      <c r="B7840">
        <v>0</v>
      </c>
      <c r="C7840" s="44">
        <v>3030</v>
      </c>
      <c r="D7840" t="s">
        <v>293</v>
      </c>
      <c r="E7840" t="s">
        <v>9041</v>
      </c>
    </row>
    <row r="7841" spans="1:5" ht="13.2">
      <c r="A7841" t="s">
        <v>9089</v>
      </c>
      <c r="B7841">
        <v>0</v>
      </c>
      <c r="C7841" s="44">
        <v>3030</v>
      </c>
      <c r="D7841" t="s">
        <v>293</v>
      </c>
      <c r="E7841" t="s">
        <v>9041</v>
      </c>
    </row>
    <row r="7842" spans="1:5" ht="13.2">
      <c r="A7842" t="s">
        <v>9090</v>
      </c>
      <c r="B7842">
        <v>0</v>
      </c>
      <c r="C7842" s="44">
        <v>3030</v>
      </c>
      <c r="D7842" t="s">
        <v>293</v>
      </c>
      <c r="E7842" t="s">
        <v>9041</v>
      </c>
    </row>
    <row r="7843" spans="1:5" ht="13.2">
      <c r="A7843" t="s">
        <v>9091</v>
      </c>
      <c r="B7843">
        <v>0</v>
      </c>
      <c r="C7843" s="44">
        <v>3030</v>
      </c>
      <c r="D7843" t="s">
        <v>293</v>
      </c>
      <c r="E7843" t="s">
        <v>9041</v>
      </c>
    </row>
    <row r="7844" spans="1:5" ht="13.2">
      <c r="A7844" t="s">
        <v>9092</v>
      </c>
      <c r="B7844">
        <v>0</v>
      </c>
      <c r="C7844" s="44">
        <v>3030</v>
      </c>
      <c r="D7844" t="s">
        <v>293</v>
      </c>
      <c r="E7844" t="s">
        <v>9041</v>
      </c>
    </row>
    <row r="7845" spans="1:5" ht="13.2">
      <c r="A7845" t="s">
        <v>9093</v>
      </c>
      <c r="B7845">
        <v>0</v>
      </c>
      <c r="C7845" s="44">
        <v>3030</v>
      </c>
      <c r="D7845" t="s">
        <v>293</v>
      </c>
      <c r="E7845" t="s">
        <v>9041</v>
      </c>
    </row>
    <row r="7846" spans="1:5" ht="13.2">
      <c r="A7846" t="s">
        <v>9094</v>
      </c>
      <c r="B7846">
        <v>0</v>
      </c>
      <c r="C7846" s="44">
        <v>3030</v>
      </c>
      <c r="D7846" t="s">
        <v>293</v>
      </c>
      <c r="E7846" t="s">
        <v>9041</v>
      </c>
    </row>
    <row r="7847" spans="1:5" ht="13.2">
      <c r="A7847" t="s">
        <v>9095</v>
      </c>
      <c r="B7847">
        <v>0</v>
      </c>
      <c r="C7847" s="44">
        <v>3030</v>
      </c>
      <c r="D7847" t="s">
        <v>293</v>
      </c>
      <c r="E7847" t="s">
        <v>9041</v>
      </c>
    </row>
    <row r="7848" spans="1:5" ht="13.2">
      <c r="A7848" t="s">
        <v>9096</v>
      </c>
      <c r="B7848">
        <v>0</v>
      </c>
      <c r="C7848" s="44">
        <v>3030</v>
      </c>
      <c r="D7848" t="s">
        <v>293</v>
      </c>
      <c r="E7848" t="s">
        <v>9041</v>
      </c>
    </row>
    <row r="7849" spans="1:5" ht="13.2">
      <c r="A7849" t="s">
        <v>9097</v>
      </c>
      <c r="B7849">
        <v>0</v>
      </c>
      <c r="C7849" s="44">
        <v>3030</v>
      </c>
      <c r="D7849" t="s">
        <v>293</v>
      </c>
      <c r="E7849" t="s">
        <v>9041</v>
      </c>
    </row>
    <row r="7850" spans="1:5" ht="13.2">
      <c r="A7850" t="s">
        <v>9098</v>
      </c>
      <c r="B7850">
        <v>0</v>
      </c>
      <c r="C7850" s="44">
        <v>3030</v>
      </c>
      <c r="D7850" t="s">
        <v>293</v>
      </c>
      <c r="E7850" t="s">
        <v>9041</v>
      </c>
    </row>
    <row r="7851" spans="1:5" ht="13.2">
      <c r="A7851" t="s">
        <v>9099</v>
      </c>
      <c r="B7851">
        <v>0</v>
      </c>
      <c r="C7851" s="44">
        <v>3030</v>
      </c>
      <c r="D7851" t="s">
        <v>293</v>
      </c>
      <c r="E7851" t="s">
        <v>9041</v>
      </c>
    </row>
    <row r="7852" spans="1:5" ht="13.2">
      <c r="A7852" t="s">
        <v>9100</v>
      </c>
      <c r="B7852">
        <v>0</v>
      </c>
      <c r="C7852" s="44">
        <v>3030</v>
      </c>
      <c r="D7852" t="s">
        <v>293</v>
      </c>
      <c r="E7852" t="s">
        <v>9041</v>
      </c>
    </row>
    <row r="7853" spans="1:5" ht="13.2">
      <c r="A7853" t="s">
        <v>9101</v>
      </c>
      <c r="B7853">
        <v>0</v>
      </c>
      <c r="C7853" s="44">
        <v>3030</v>
      </c>
      <c r="D7853" t="s">
        <v>293</v>
      </c>
      <c r="E7853" t="s">
        <v>9041</v>
      </c>
    </row>
    <row r="7854" spans="1:5" ht="13.2">
      <c r="A7854" t="s">
        <v>9102</v>
      </c>
      <c r="B7854">
        <v>0</v>
      </c>
      <c r="C7854" s="44">
        <v>3030</v>
      </c>
      <c r="D7854" t="s">
        <v>293</v>
      </c>
      <c r="E7854" t="s">
        <v>9041</v>
      </c>
    </row>
    <row r="7855" spans="1:5" ht="13.2">
      <c r="A7855" t="s">
        <v>9103</v>
      </c>
      <c r="B7855">
        <v>0</v>
      </c>
      <c r="C7855" s="44">
        <v>3030</v>
      </c>
      <c r="D7855" t="s">
        <v>293</v>
      </c>
      <c r="E7855" t="s">
        <v>9041</v>
      </c>
    </row>
    <row r="7856" spans="1:5" ht="13.2">
      <c r="A7856" t="s">
        <v>9104</v>
      </c>
      <c r="B7856">
        <v>0</v>
      </c>
      <c r="C7856" s="44">
        <v>3030</v>
      </c>
      <c r="D7856" t="s">
        <v>293</v>
      </c>
      <c r="E7856" t="s">
        <v>9041</v>
      </c>
    </row>
    <row r="7857" spans="1:5" ht="13.2">
      <c r="A7857" t="s">
        <v>9105</v>
      </c>
      <c r="B7857">
        <v>0</v>
      </c>
      <c r="C7857" s="44">
        <v>3030</v>
      </c>
      <c r="D7857" t="s">
        <v>293</v>
      </c>
      <c r="E7857" t="s">
        <v>9041</v>
      </c>
    </row>
    <row r="7858" spans="1:5" ht="13.2">
      <c r="A7858" t="s">
        <v>9106</v>
      </c>
      <c r="B7858">
        <v>0</v>
      </c>
      <c r="C7858" s="44">
        <v>3030</v>
      </c>
      <c r="D7858" t="s">
        <v>293</v>
      </c>
      <c r="E7858" t="s">
        <v>9041</v>
      </c>
    </row>
    <row r="7859" spans="1:5" ht="13.2">
      <c r="A7859" t="s">
        <v>9107</v>
      </c>
      <c r="B7859">
        <v>0</v>
      </c>
      <c r="C7859" s="44">
        <v>3030</v>
      </c>
      <c r="D7859" t="s">
        <v>293</v>
      </c>
      <c r="E7859" t="s">
        <v>9041</v>
      </c>
    </row>
    <row r="7860" spans="1:5" ht="13.2">
      <c r="A7860" t="s">
        <v>9108</v>
      </c>
      <c r="B7860">
        <v>0</v>
      </c>
      <c r="C7860" s="44">
        <v>3030</v>
      </c>
      <c r="D7860" t="s">
        <v>293</v>
      </c>
      <c r="E7860" t="s">
        <v>9041</v>
      </c>
    </row>
    <row r="7861" spans="1:5" ht="13.2">
      <c r="A7861" t="s">
        <v>9109</v>
      </c>
      <c r="B7861">
        <v>0</v>
      </c>
      <c r="C7861" s="44">
        <v>3030</v>
      </c>
      <c r="D7861" t="s">
        <v>293</v>
      </c>
      <c r="E7861" t="s">
        <v>9041</v>
      </c>
    </row>
    <row r="7862" spans="1:5" ht="13.2">
      <c r="A7862" t="s">
        <v>9110</v>
      </c>
      <c r="B7862">
        <v>0</v>
      </c>
      <c r="C7862" s="44">
        <v>3030</v>
      </c>
      <c r="D7862" t="s">
        <v>293</v>
      </c>
      <c r="E7862" t="s">
        <v>9041</v>
      </c>
    </row>
    <row r="7863" spans="1:5" ht="13.2">
      <c r="A7863" t="s">
        <v>9111</v>
      </c>
      <c r="B7863">
        <v>0</v>
      </c>
      <c r="C7863" s="44">
        <v>3030</v>
      </c>
      <c r="D7863" t="s">
        <v>293</v>
      </c>
      <c r="E7863" t="s">
        <v>9041</v>
      </c>
    </row>
    <row r="7864" spans="1:5" ht="13.2">
      <c r="A7864" t="s">
        <v>9112</v>
      </c>
      <c r="B7864">
        <v>0</v>
      </c>
      <c r="C7864" s="44">
        <v>3030</v>
      </c>
      <c r="D7864" t="s">
        <v>293</v>
      </c>
      <c r="E7864" t="s">
        <v>9041</v>
      </c>
    </row>
    <row r="7865" spans="1:5" ht="13.2">
      <c r="A7865" t="s">
        <v>9113</v>
      </c>
      <c r="B7865">
        <v>0</v>
      </c>
      <c r="C7865" s="44">
        <v>3030</v>
      </c>
      <c r="D7865" t="s">
        <v>293</v>
      </c>
      <c r="E7865" t="s">
        <v>9041</v>
      </c>
    </row>
    <row r="7866" spans="1:5" ht="13.2">
      <c r="A7866" t="s">
        <v>9114</v>
      </c>
      <c r="B7866">
        <v>0</v>
      </c>
      <c r="C7866" s="44">
        <v>3030</v>
      </c>
      <c r="D7866" t="s">
        <v>293</v>
      </c>
      <c r="E7866" t="s">
        <v>9041</v>
      </c>
    </row>
    <row r="7867" spans="1:5" ht="13.2">
      <c r="A7867" t="s">
        <v>9115</v>
      </c>
      <c r="B7867">
        <v>0</v>
      </c>
      <c r="C7867" s="44">
        <v>3030</v>
      </c>
      <c r="D7867" t="s">
        <v>293</v>
      </c>
      <c r="E7867" t="s">
        <v>9041</v>
      </c>
    </row>
    <row r="7868" spans="1:5" ht="13.2">
      <c r="A7868" t="s">
        <v>9116</v>
      </c>
      <c r="B7868">
        <v>0</v>
      </c>
      <c r="C7868" s="44">
        <v>3030</v>
      </c>
      <c r="D7868" t="s">
        <v>293</v>
      </c>
      <c r="E7868" t="s">
        <v>9041</v>
      </c>
    </row>
    <row r="7869" spans="1:6" ht="13.2">
      <c r="A7869" t="s">
        <v>8309</v>
      </c>
      <c r="B7869">
        <v>0</v>
      </c>
      <c r="C7869" s="44" t="s">
        <v>204</v>
      </c>
      <c r="D7869" t="s">
        <v>293</v>
      </c>
      <c r="E7869" t="s">
        <v>8310</v>
      </c>
      <c r="F7869" t="s">
        <v>9117</v>
      </c>
    </row>
    <row r="7870" spans="1:6" ht="13.2">
      <c r="A7870" t="s">
        <v>8311</v>
      </c>
      <c r="B7870">
        <v>0</v>
      </c>
      <c r="C7870" s="44" t="s">
        <v>204</v>
      </c>
      <c r="D7870" t="s">
        <v>293</v>
      </c>
      <c r="E7870" t="s">
        <v>8310</v>
      </c>
      <c r="F7870" t="s">
        <v>9117</v>
      </c>
    </row>
    <row r="7871" spans="1:6" ht="13.2">
      <c r="A7871" t="s">
        <v>9118</v>
      </c>
      <c r="B7871">
        <v>0</v>
      </c>
      <c r="C7871" s="44" t="s">
        <v>204</v>
      </c>
      <c r="D7871" t="s">
        <v>293</v>
      </c>
      <c r="E7871" t="s">
        <v>8310</v>
      </c>
      <c r="F7871" t="s">
        <v>9117</v>
      </c>
    </row>
    <row r="7872" spans="1:6" ht="13.2">
      <c r="A7872" t="s">
        <v>8312</v>
      </c>
      <c r="B7872">
        <v>0</v>
      </c>
      <c r="C7872" s="44" t="s">
        <v>204</v>
      </c>
      <c r="D7872" t="s">
        <v>293</v>
      </c>
      <c r="E7872" t="s">
        <v>8310</v>
      </c>
      <c r="F7872" t="s">
        <v>9117</v>
      </c>
    </row>
    <row r="7873" spans="1:6" ht="13.2">
      <c r="A7873" t="s">
        <v>12006</v>
      </c>
      <c r="B7873">
        <v>0</v>
      </c>
      <c r="C7873" s="44">
        <v>2950</v>
      </c>
      <c r="D7873" t="s">
        <v>293</v>
      </c>
      <c r="E7873" t="s">
        <v>9119</v>
      </c>
      <c r="F7873" t="s">
        <v>9120</v>
      </c>
    </row>
    <row r="7874" spans="1:6" ht="13.2">
      <c r="A7874" t="s">
        <v>12007</v>
      </c>
      <c r="B7874">
        <v>0</v>
      </c>
      <c r="C7874" s="44">
        <v>2950</v>
      </c>
      <c r="D7874" t="s">
        <v>293</v>
      </c>
      <c r="E7874" t="s">
        <v>9119</v>
      </c>
      <c r="F7874" t="s">
        <v>9120</v>
      </c>
    </row>
    <row r="7875" spans="1:6" ht="13.2">
      <c r="A7875" t="s">
        <v>12008</v>
      </c>
      <c r="B7875">
        <v>0</v>
      </c>
      <c r="C7875" s="44">
        <v>2950</v>
      </c>
      <c r="D7875" t="s">
        <v>293</v>
      </c>
      <c r="E7875" t="s">
        <v>9119</v>
      </c>
      <c r="F7875" t="s">
        <v>9120</v>
      </c>
    </row>
    <row r="7876" spans="1:6" ht="13.2">
      <c r="A7876" t="s">
        <v>12009</v>
      </c>
      <c r="B7876">
        <v>0</v>
      </c>
      <c r="C7876" s="44">
        <v>2950</v>
      </c>
      <c r="D7876" t="s">
        <v>293</v>
      </c>
      <c r="E7876" t="s">
        <v>9119</v>
      </c>
      <c r="F7876" t="s">
        <v>9120</v>
      </c>
    </row>
    <row r="7877" spans="1:6" ht="13.2">
      <c r="A7877" t="s">
        <v>12010</v>
      </c>
      <c r="B7877">
        <v>0</v>
      </c>
      <c r="C7877" s="44">
        <v>2950</v>
      </c>
      <c r="D7877" t="s">
        <v>293</v>
      </c>
      <c r="E7877" t="s">
        <v>9119</v>
      </c>
      <c r="F7877" t="s">
        <v>9120</v>
      </c>
    </row>
    <row r="7878" spans="1:6" ht="13.2">
      <c r="A7878" t="s">
        <v>12011</v>
      </c>
      <c r="B7878">
        <v>0</v>
      </c>
      <c r="C7878" s="44">
        <v>2950</v>
      </c>
      <c r="D7878" t="s">
        <v>293</v>
      </c>
      <c r="E7878" t="s">
        <v>9119</v>
      </c>
      <c r="F7878" t="s">
        <v>9120</v>
      </c>
    </row>
    <row r="7879" spans="1:6" ht="13.2">
      <c r="A7879" t="s">
        <v>12012</v>
      </c>
      <c r="B7879">
        <v>0</v>
      </c>
      <c r="C7879" s="44">
        <v>2950</v>
      </c>
      <c r="D7879" t="s">
        <v>293</v>
      </c>
      <c r="E7879" t="s">
        <v>9119</v>
      </c>
      <c r="F7879" t="s">
        <v>9120</v>
      </c>
    </row>
    <row r="7880" spans="1:6" ht="13.2">
      <c r="A7880" t="s">
        <v>9121</v>
      </c>
      <c r="B7880">
        <v>0</v>
      </c>
      <c r="C7880" s="44" t="s">
        <v>201</v>
      </c>
      <c r="D7880" t="s">
        <v>293</v>
      </c>
      <c r="E7880" t="s">
        <v>256</v>
      </c>
      <c r="F7880" t="s">
        <v>3824</v>
      </c>
    </row>
    <row r="7881" spans="1:6" ht="13.2">
      <c r="A7881" t="s">
        <v>9122</v>
      </c>
      <c r="B7881">
        <v>0</v>
      </c>
      <c r="C7881" s="44" t="s">
        <v>201</v>
      </c>
      <c r="D7881" t="s">
        <v>293</v>
      </c>
      <c r="E7881" t="s">
        <v>256</v>
      </c>
      <c r="F7881" t="s">
        <v>3824</v>
      </c>
    </row>
    <row r="7882" spans="1:6" ht="13.2">
      <c r="A7882" t="s">
        <v>9123</v>
      </c>
      <c r="B7882">
        <v>0</v>
      </c>
      <c r="C7882" s="44" t="s">
        <v>201</v>
      </c>
      <c r="D7882" t="s">
        <v>293</v>
      </c>
      <c r="E7882" t="s">
        <v>256</v>
      </c>
      <c r="F7882" t="s">
        <v>3824</v>
      </c>
    </row>
    <row r="7883" spans="1:6" ht="13.2">
      <c r="A7883" t="s">
        <v>9124</v>
      </c>
      <c r="B7883">
        <v>0</v>
      </c>
      <c r="C7883" s="44" t="s">
        <v>201</v>
      </c>
      <c r="D7883" t="s">
        <v>293</v>
      </c>
      <c r="E7883" t="s">
        <v>256</v>
      </c>
      <c r="F7883" t="s">
        <v>3824</v>
      </c>
    </row>
    <row r="7884" spans="1:6" ht="13.2">
      <c r="A7884" t="s">
        <v>9125</v>
      </c>
      <c r="B7884">
        <v>0</v>
      </c>
      <c r="C7884" s="44" t="s">
        <v>201</v>
      </c>
      <c r="D7884" t="s">
        <v>293</v>
      </c>
      <c r="E7884" t="s">
        <v>256</v>
      </c>
      <c r="F7884" t="s">
        <v>3824</v>
      </c>
    </row>
    <row r="7885" spans="1:6" ht="13.2">
      <c r="A7885" t="s">
        <v>9126</v>
      </c>
      <c r="B7885">
        <v>0</v>
      </c>
      <c r="C7885" s="44" t="s">
        <v>201</v>
      </c>
      <c r="D7885" t="s">
        <v>293</v>
      </c>
      <c r="E7885" t="s">
        <v>256</v>
      </c>
      <c r="F7885" t="s">
        <v>3824</v>
      </c>
    </row>
    <row r="7886" spans="1:6" ht="13.2">
      <c r="A7886" t="s">
        <v>9127</v>
      </c>
      <c r="B7886">
        <v>0</v>
      </c>
      <c r="C7886" s="44" t="s">
        <v>201</v>
      </c>
      <c r="D7886" t="s">
        <v>293</v>
      </c>
      <c r="E7886" t="s">
        <v>256</v>
      </c>
      <c r="F7886" t="s">
        <v>3824</v>
      </c>
    </row>
    <row r="7887" spans="1:6" ht="13.2">
      <c r="A7887" t="s">
        <v>9128</v>
      </c>
      <c r="B7887">
        <v>0</v>
      </c>
      <c r="C7887" s="44" t="s">
        <v>201</v>
      </c>
      <c r="D7887" t="s">
        <v>293</v>
      </c>
      <c r="E7887" t="s">
        <v>256</v>
      </c>
      <c r="F7887" t="s">
        <v>3824</v>
      </c>
    </row>
    <row r="7888" spans="1:6" ht="13.2">
      <c r="A7888" t="s">
        <v>9129</v>
      </c>
      <c r="B7888">
        <v>0</v>
      </c>
      <c r="C7888" s="44" t="s">
        <v>201</v>
      </c>
      <c r="D7888" t="s">
        <v>293</v>
      </c>
      <c r="E7888" t="s">
        <v>256</v>
      </c>
      <c r="F7888" t="s">
        <v>3824</v>
      </c>
    </row>
    <row r="7889" spans="1:6" ht="13.2">
      <c r="A7889" t="s">
        <v>9130</v>
      </c>
      <c r="B7889">
        <v>0</v>
      </c>
      <c r="C7889" s="44" t="s">
        <v>349</v>
      </c>
      <c r="D7889" t="s">
        <v>293</v>
      </c>
      <c r="E7889" t="s">
        <v>256</v>
      </c>
      <c r="F7889" t="s">
        <v>3824</v>
      </c>
    </row>
    <row r="7890" spans="1:6" ht="13.2">
      <c r="A7890" t="s">
        <v>9131</v>
      </c>
      <c r="B7890">
        <v>0</v>
      </c>
      <c r="C7890" s="44" t="s">
        <v>349</v>
      </c>
      <c r="D7890" t="s">
        <v>293</v>
      </c>
      <c r="E7890" t="s">
        <v>256</v>
      </c>
      <c r="F7890" t="s">
        <v>3824</v>
      </c>
    </row>
    <row r="7891" spans="1:6" ht="13.2">
      <c r="A7891" t="s">
        <v>9132</v>
      </c>
      <c r="B7891">
        <v>0</v>
      </c>
      <c r="C7891" s="44" t="s">
        <v>349</v>
      </c>
      <c r="D7891" t="s">
        <v>293</v>
      </c>
      <c r="E7891" t="s">
        <v>256</v>
      </c>
      <c r="F7891" t="s">
        <v>3824</v>
      </c>
    </row>
    <row r="7892" spans="1:6" ht="13.2">
      <c r="A7892" t="s">
        <v>9133</v>
      </c>
      <c r="B7892">
        <v>0</v>
      </c>
      <c r="C7892" s="44" t="s">
        <v>349</v>
      </c>
      <c r="D7892" t="s">
        <v>293</v>
      </c>
      <c r="E7892" t="s">
        <v>256</v>
      </c>
      <c r="F7892" t="s">
        <v>3824</v>
      </c>
    </row>
    <row r="7893" spans="1:6" ht="13.2">
      <c r="A7893" t="s">
        <v>9134</v>
      </c>
      <c r="B7893">
        <v>0</v>
      </c>
      <c r="C7893" s="44" t="s">
        <v>349</v>
      </c>
      <c r="D7893" t="s">
        <v>293</v>
      </c>
      <c r="E7893" t="s">
        <v>256</v>
      </c>
      <c r="F7893" t="s">
        <v>3824</v>
      </c>
    </row>
    <row r="7894" spans="1:6" ht="13.2">
      <c r="A7894" t="s">
        <v>9135</v>
      </c>
      <c r="B7894">
        <v>0</v>
      </c>
      <c r="C7894" s="44" t="s">
        <v>349</v>
      </c>
      <c r="D7894" t="s">
        <v>293</v>
      </c>
      <c r="E7894" t="s">
        <v>256</v>
      </c>
      <c r="F7894" t="s">
        <v>3824</v>
      </c>
    </row>
    <row r="7895" spans="1:6" ht="13.2">
      <c r="A7895" t="s">
        <v>9136</v>
      </c>
      <c r="B7895">
        <v>0</v>
      </c>
      <c r="C7895" s="44" t="s">
        <v>349</v>
      </c>
      <c r="D7895" t="s">
        <v>293</v>
      </c>
      <c r="E7895" t="s">
        <v>256</v>
      </c>
      <c r="F7895" t="s">
        <v>3824</v>
      </c>
    </row>
    <row r="7896" spans="1:6" ht="13.2">
      <c r="A7896" t="s">
        <v>9137</v>
      </c>
      <c r="B7896">
        <v>0</v>
      </c>
      <c r="C7896" s="44" t="s">
        <v>349</v>
      </c>
      <c r="D7896" t="s">
        <v>293</v>
      </c>
      <c r="E7896" t="s">
        <v>256</v>
      </c>
      <c r="F7896" t="s">
        <v>3824</v>
      </c>
    </row>
    <row r="7897" spans="1:6" ht="13.2">
      <c r="A7897" t="s">
        <v>9138</v>
      </c>
      <c r="B7897">
        <v>0</v>
      </c>
      <c r="C7897" s="44" t="s">
        <v>349</v>
      </c>
      <c r="D7897" t="s">
        <v>293</v>
      </c>
      <c r="E7897" t="s">
        <v>256</v>
      </c>
      <c r="F7897" t="s">
        <v>3824</v>
      </c>
    </row>
    <row r="7898" spans="1:6" ht="13.2">
      <c r="A7898" t="s">
        <v>9139</v>
      </c>
      <c r="B7898">
        <v>0</v>
      </c>
      <c r="C7898" s="44" t="s">
        <v>349</v>
      </c>
      <c r="D7898" t="s">
        <v>293</v>
      </c>
      <c r="E7898" t="s">
        <v>256</v>
      </c>
      <c r="F7898" t="s">
        <v>3824</v>
      </c>
    </row>
    <row r="7899" spans="1:6" ht="13.2">
      <c r="A7899" t="s">
        <v>9140</v>
      </c>
      <c r="B7899">
        <v>0</v>
      </c>
      <c r="C7899" s="44" t="s">
        <v>349</v>
      </c>
      <c r="D7899" t="s">
        <v>293</v>
      </c>
      <c r="E7899" t="s">
        <v>256</v>
      </c>
      <c r="F7899" t="s">
        <v>3824</v>
      </c>
    </row>
    <row r="7900" spans="1:6" ht="13.2">
      <c r="A7900" t="s">
        <v>9141</v>
      </c>
      <c r="B7900">
        <v>0</v>
      </c>
      <c r="C7900" s="44" t="s">
        <v>349</v>
      </c>
      <c r="D7900" t="s">
        <v>293</v>
      </c>
      <c r="E7900" t="s">
        <v>256</v>
      </c>
      <c r="F7900" t="s">
        <v>3824</v>
      </c>
    </row>
    <row r="7901" spans="1:6" ht="13.2">
      <c r="A7901" t="s">
        <v>9142</v>
      </c>
      <c r="B7901">
        <v>4600</v>
      </c>
      <c r="C7901" s="44">
        <v>1400</v>
      </c>
      <c r="D7901" t="s">
        <v>291</v>
      </c>
      <c r="E7901" t="s">
        <v>8314</v>
      </c>
      <c r="F7901">
        <v>3</v>
      </c>
    </row>
    <row r="7902" spans="1:6" ht="13.2">
      <c r="A7902" t="s">
        <v>9143</v>
      </c>
      <c r="B7902">
        <v>4600</v>
      </c>
      <c r="C7902" s="44">
        <v>1400</v>
      </c>
      <c r="D7902" t="s">
        <v>291</v>
      </c>
      <c r="E7902" t="s">
        <v>8314</v>
      </c>
      <c r="F7902">
        <v>3</v>
      </c>
    </row>
    <row r="7903" spans="1:6" ht="13.2">
      <c r="A7903" t="s">
        <v>9144</v>
      </c>
      <c r="B7903">
        <v>4600</v>
      </c>
      <c r="C7903" s="44">
        <v>1400</v>
      </c>
      <c r="D7903" t="s">
        <v>291</v>
      </c>
      <c r="E7903" t="s">
        <v>8314</v>
      </c>
      <c r="F7903">
        <v>3</v>
      </c>
    </row>
    <row r="7904" spans="1:6" ht="13.2">
      <c r="A7904" t="s">
        <v>9145</v>
      </c>
      <c r="B7904">
        <v>4600</v>
      </c>
      <c r="C7904" s="44">
        <v>1400</v>
      </c>
      <c r="D7904" t="s">
        <v>291</v>
      </c>
      <c r="E7904" t="s">
        <v>8314</v>
      </c>
      <c r="F7904">
        <v>3</v>
      </c>
    </row>
    <row r="7905" spans="1:6" ht="13.2">
      <c r="A7905" t="s">
        <v>9146</v>
      </c>
      <c r="B7905">
        <v>4600</v>
      </c>
      <c r="C7905" s="44">
        <v>1400</v>
      </c>
      <c r="D7905" t="s">
        <v>291</v>
      </c>
      <c r="E7905" t="s">
        <v>8314</v>
      </c>
      <c r="F7905">
        <v>3</v>
      </c>
    </row>
    <row r="7906" spans="1:6" ht="13.2">
      <c r="A7906" t="s">
        <v>9147</v>
      </c>
      <c r="B7906">
        <v>4600</v>
      </c>
      <c r="C7906" s="44">
        <v>1400</v>
      </c>
      <c r="D7906" t="s">
        <v>291</v>
      </c>
      <c r="E7906" t="s">
        <v>8314</v>
      </c>
      <c r="F7906">
        <v>3</v>
      </c>
    </row>
    <row r="7907" spans="1:6" ht="13.2">
      <c r="A7907" t="s">
        <v>9148</v>
      </c>
      <c r="B7907">
        <v>4600</v>
      </c>
      <c r="C7907" s="44">
        <v>1400</v>
      </c>
      <c r="D7907" t="s">
        <v>291</v>
      </c>
      <c r="E7907" t="s">
        <v>8314</v>
      </c>
      <c r="F7907">
        <v>3</v>
      </c>
    </row>
    <row r="7908" spans="1:6" ht="13.2">
      <c r="A7908" t="s">
        <v>9149</v>
      </c>
      <c r="B7908">
        <v>4600</v>
      </c>
      <c r="C7908" s="44">
        <v>1400</v>
      </c>
      <c r="D7908" t="s">
        <v>291</v>
      </c>
      <c r="E7908" t="s">
        <v>8314</v>
      </c>
      <c r="F7908">
        <v>3</v>
      </c>
    </row>
    <row r="7909" spans="1:6" ht="13.2">
      <c r="A7909" t="s">
        <v>9150</v>
      </c>
      <c r="B7909">
        <v>625</v>
      </c>
      <c r="C7909" s="44">
        <v>1430</v>
      </c>
      <c r="D7909" t="s">
        <v>291</v>
      </c>
      <c r="E7909" t="s">
        <v>721</v>
      </c>
      <c r="F7909">
        <v>3</v>
      </c>
    </row>
    <row r="7910" spans="1:6" ht="13.2">
      <c r="A7910" t="s">
        <v>9151</v>
      </c>
      <c r="B7910">
        <v>625</v>
      </c>
      <c r="C7910" s="44">
        <v>1430</v>
      </c>
      <c r="D7910" t="s">
        <v>291</v>
      </c>
      <c r="E7910" t="s">
        <v>721</v>
      </c>
      <c r="F7910">
        <v>3</v>
      </c>
    </row>
    <row r="7911" spans="1:6" ht="13.2">
      <c r="A7911" t="s">
        <v>9152</v>
      </c>
      <c r="B7911">
        <v>625</v>
      </c>
      <c r="C7911" s="44">
        <v>1430</v>
      </c>
      <c r="D7911" t="s">
        <v>291</v>
      </c>
      <c r="E7911" t="s">
        <v>721</v>
      </c>
      <c r="F7911">
        <v>3</v>
      </c>
    </row>
    <row r="7912" spans="1:6" ht="13.2">
      <c r="A7912" t="s">
        <v>9153</v>
      </c>
      <c r="B7912">
        <v>625</v>
      </c>
      <c r="C7912" s="44">
        <v>1430</v>
      </c>
      <c r="D7912" t="s">
        <v>291</v>
      </c>
      <c r="E7912" t="s">
        <v>721</v>
      </c>
      <c r="F7912">
        <v>3</v>
      </c>
    </row>
    <row r="7913" spans="1:6" ht="13.2">
      <c r="A7913" t="s">
        <v>9154</v>
      </c>
      <c r="B7913">
        <v>625</v>
      </c>
      <c r="C7913" s="44">
        <v>1430</v>
      </c>
      <c r="D7913" t="s">
        <v>291</v>
      </c>
      <c r="E7913" t="s">
        <v>721</v>
      </c>
      <c r="F7913">
        <v>3</v>
      </c>
    </row>
    <row r="7914" spans="1:6" ht="13.2">
      <c r="A7914" t="s">
        <v>9155</v>
      </c>
      <c r="B7914">
        <v>50</v>
      </c>
      <c r="C7914" s="44">
        <v>1400</v>
      </c>
      <c r="D7914" t="s">
        <v>291</v>
      </c>
      <c r="E7914" t="s">
        <v>721</v>
      </c>
      <c r="F7914">
        <v>10</v>
      </c>
    </row>
    <row r="7915" spans="1:6" ht="13.2">
      <c r="A7915" t="s">
        <v>9156</v>
      </c>
      <c r="B7915">
        <v>50</v>
      </c>
      <c r="C7915" s="44">
        <v>1400</v>
      </c>
      <c r="D7915" t="s">
        <v>291</v>
      </c>
      <c r="E7915" t="s">
        <v>721</v>
      </c>
      <c r="F7915">
        <v>10</v>
      </c>
    </row>
    <row r="7916" spans="1:6" ht="13.2">
      <c r="A7916" t="s">
        <v>9158</v>
      </c>
      <c r="B7916">
        <v>0</v>
      </c>
      <c r="C7916" s="44">
        <v>3000</v>
      </c>
      <c r="D7916" t="s">
        <v>293</v>
      </c>
      <c r="E7916" t="s">
        <v>574</v>
      </c>
      <c r="F7916">
        <v>4</v>
      </c>
    </row>
    <row r="7917" spans="1:6" ht="13.2">
      <c r="A7917" t="s">
        <v>9159</v>
      </c>
      <c r="B7917">
        <v>0</v>
      </c>
      <c r="C7917" s="44">
        <v>3000</v>
      </c>
      <c r="D7917" t="s">
        <v>293</v>
      </c>
      <c r="E7917" t="s">
        <v>574</v>
      </c>
      <c r="F7917">
        <v>4</v>
      </c>
    </row>
    <row r="7918" spans="1:6" ht="13.2">
      <c r="A7918" t="s">
        <v>9160</v>
      </c>
      <c r="B7918">
        <v>0</v>
      </c>
      <c r="C7918" s="44">
        <v>3000</v>
      </c>
      <c r="D7918" t="s">
        <v>293</v>
      </c>
      <c r="E7918" t="s">
        <v>574</v>
      </c>
      <c r="F7918">
        <v>4</v>
      </c>
    </row>
    <row r="7919" spans="1:6" ht="13.2">
      <c r="A7919" t="s">
        <v>9161</v>
      </c>
      <c r="B7919">
        <v>0</v>
      </c>
      <c r="C7919" s="44">
        <v>3000</v>
      </c>
      <c r="D7919" t="s">
        <v>293</v>
      </c>
      <c r="E7919" t="s">
        <v>574</v>
      </c>
      <c r="F7919">
        <v>4</v>
      </c>
    </row>
    <row r="7920" spans="1:6" ht="13.2">
      <c r="A7920" t="s">
        <v>9162</v>
      </c>
      <c r="B7920">
        <v>0</v>
      </c>
      <c r="C7920" s="44">
        <v>3000</v>
      </c>
      <c r="D7920" t="s">
        <v>293</v>
      </c>
      <c r="E7920" t="s">
        <v>574</v>
      </c>
      <c r="F7920">
        <v>4</v>
      </c>
    </row>
    <row r="7921" spans="1:6" ht="13.2">
      <c r="A7921" t="s">
        <v>9163</v>
      </c>
      <c r="B7921">
        <v>0</v>
      </c>
      <c r="C7921" s="44">
        <v>3000</v>
      </c>
      <c r="D7921" t="s">
        <v>293</v>
      </c>
      <c r="E7921" t="s">
        <v>574</v>
      </c>
      <c r="F7921">
        <v>4</v>
      </c>
    </row>
    <row r="7922" spans="1:6" ht="13.2">
      <c r="A7922" t="s">
        <v>9164</v>
      </c>
      <c r="B7922">
        <v>0</v>
      </c>
      <c r="C7922" s="44">
        <v>3000</v>
      </c>
      <c r="D7922" t="s">
        <v>293</v>
      </c>
      <c r="E7922" t="s">
        <v>574</v>
      </c>
      <c r="F7922">
        <v>4</v>
      </c>
    </row>
    <row r="7923" spans="1:6" ht="13.2">
      <c r="A7923" t="s">
        <v>9165</v>
      </c>
      <c r="B7923">
        <v>0</v>
      </c>
      <c r="C7923" s="44">
        <v>3000</v>
      </c>
      <c r="D7923" t="s">
        <v>293</v>
      </c>
      <c r="E7923" t="s">
        <v>574</v>
      </c>
      <c r="F7923">
        <v>4</v>
      </c>
    </row>
    <row r="7924" spans="1:6" ht="13.2">
      <c r="A7924" t="s">
        <v>9166</v>
      </c>
      <c r="B7924">
        <v>0</v>
      </c>
      <c r="C7924" s="44">
        <v>3000</v>
      </c>
      <c r="D7924" t="s">
        <v>293</v>
      </c>
      <c r="E7924" t="s">
        <v>574</v>
      </c>
      <c r="F7924">
        <v>4</v>
      </c>
    </row>
    <row r="7925" spans="1:6" ht="13.2">
      <c r="A7925" t="s">
        <v>9167</v>
      </c>
      <c r="B7925">
        <v>0</v>
      </c>
      <c r="C7925" s="44">
        <v>3000</v>
      </c>
      <c r="D7925" t="s">
        <v>293</v>
      </c>
      <c r="E7925" t="s">
        <v>574</v>
      </c>
      <c r="F7925">
        <v>4</v>
      </c>
    </row>
    <row r="7926" spans="1:6" ht="13.2">
      <c r="A7926" t="s">
        <v>9168</v>
      </c>
      <c r="B7926">
        <v>0</v>
      </c>
      <c r="C7926" s="44">
        <v>3000</v>
      </c>
      <c r="D7926" t="s">
        <v>293</v>
      </c>
      <c r="E7926" t="s">
        <v>574</v>
      </c>
      <c r="F7926">
        <v>4</v>
      </c>
    </row>
    <row r="7927" spans="1:6" ht="13.2">
      <c r="A7927" t="s">
        <v>9169</v>
      </c>
      <c r="B7927">
        <v>0</v>
      </c>
      <c r="C7927" s="44">
        <v>3000</v>
      </c>
      <c r="D7927" t="s">
        <v>293</v>
      </c>
      <c r="E7927" t="s">
        <v>574</v>
      </c>
      <c r="F7927">
        <v>4</v>
      </c>
    </row>
    <row r="7928" spans="1:6" ht="13.2">
      <c r="A7928" t="s">
        <v>9170</v>
      </c>
      <c r="B7928">
        <v>0</v>
      </c>
      <c r="C7928" s="44">
        <v>3000</v>
      </c>
      <c r="D7928" t="s">
        <v>293</v>
      </c>
      <c r="E7928" t="s">
        <v>574</v>
      </c>
      <c r="F7928">
        <v>4</v>
      </c>
    </row>
    <row r="7929" spans="1:6" ht="13.2">
      <c r="A7929" t="s">
        <v>9171</v>
      </c>
      <c r="B7929">
        <v>0</v>
      </c>
      <c r="C7929" s="44">
        <v>3000</v>
      </c>
      <c r="D7929" t="s">
        <v>293</v>
      </c>
      <c r="E7929" t="s">
        <v>574</v>
      </c>
      <c r="F7929">
        <v>4</v>
      </c>
    </row>
    <row r="7930" spans="1:6" ht="13.2">
      <c r="A7930" t="s">
        <v>9172</v>
      </c>
      <c r="B7930">
        <v>0</v>
      </c>
      <c r="C7930" s="44">
        <v>3000</v>
      </c>
      <c r="D7930" t="s">
        <v>293</v>
      </c>
      <c r="E7930" t="s">
        <v>574</v>
      </c>
      <c r="F7930">
        <v>4</v>
      </c>
    </row>
    <row r="7931" spans="1:6" ht="13.2">
      <c r="A7931" t="s">
        <v>9173</v>
      </c>
      <c r="B7931">
        <v>0</v>
      </c>
      <c r="C7931" s="44">
        <v>3000</v>
      </c>
      <c r="D7931" t="s">
        <v>293</v>
      </c>
      <c r="E7931" t="s">
        <v>574</v>
      </c>
      <c r="F7931">
        <v>4</v>
      </c>
    </row>
    <row r="7932" spans="1:6" ht="13.2">
      <c r="A7932" t="s">
        <v>9174</v>
      </c>
      <c r="B7932">
        <v>0</v>
      </c>
      <c r="C7932" s="44">
        <v>3000</v>
      </c>
      <c r="D7932" t="s">
        <v>293</v>
      </c>
      <c r="E7932" t="s">
        <v>574</v>
      </c>
      <c r="F7932">
        <v>4</v>
      </c>
    </row>
    <row r="7933" spans="1:6" ht="13.2">
      <c r="A7933" t="s">
        <v>9175</v>
      </c>
      <c r="B7933">
        <v>0</v>
      </c>
      <c r="C7933" s="44">
        <v>3000</v>
      </c>
      <c r="D7933" t="s">
        <v>293</v>
      </c>
      <c r="E7933" t="s">
        <v>574</v>
      </c>
      <c r="F7933">
        <v>4</v>
      </c>
    </row>
    <row r="7934" spans="1:6" ht="13.2">
      <c r="A7934" t="s">
        <v>9176</v>
      </c>
      <c r="B7934">
        <v>0</v>
      </c>
      <c r="C7934" s="44">
        <v>3000</v>
      </c>
      <c r="D7934" t="s">
        <v>293</v>
      </c>
      <c r="E7934" t="s">
        <v>574</v>
      </c>
      <c r="F7934">
        <v>4</v>
      </c>
    </row>
    <row r="7935" spans="1:6" ht="13.2">
      <c r="A7935" t="s">
        <v>9177</v>
      </c>
      <c r="B7935">
        <v>0</v>
      </c>
      <c r="C7935" s="44">
        <v>3000</v>
      </c>
      <c r="D7935" t="s">
        <v>293</v>
      </c>
      <c r="E7935" t="s">
        <v>574</v>
      </c>
      <c r="F7935">
        <v>4</v>
      </c>
    </row>
    <row r="7936" spans="1:6" ht="13.2">
      <c r="A7936" t="s">
        <v>9178</v>
      </c>
      <c r="B7936">
        <v>0</v>
      </c>
      <c r="C7936" s="44">
        <v>3000</v>
      </c>
      <c r="D7936" t="s">
        <v>293</v>
      </c>
      <c r="E7936" t="s">
        <v>574</v>
      </c>
      <c r="F7936">
        <v>4</v>
      </c>
    </row>
    <row r="7937" spans="1:6" ht="13.2">
      <c r="A7937" t="s">
        <v>9179</v>
      </c>
      <c r="B7937">
        <v>0</v>
      </c>
      <c r="C7937" s="44">
        <v>3000</v>
      </c>
      <c r="D7937" t="s">
        <v>293</v>
      </c>
      <c r="E7937" t="s">
        <v>574</v>
      </c>
      <c r="F7937">
        <v>4</v>
      </c>
    </row>
    <row r="7938" spans="1:6" ht="13.2">
      <c r="A7938" t="s">
        <v>9180</v>
      </c>
      <c r="B7938">
        <v>0</v>
      </c>
      <c r="C7938" s="44">
        <v>3000</v>
      </c>
      <c r="D7938" t="s">
        <v>293</v>
      </c>
      <c r="E7938" t="s">
        <v>574</v>
      </c>
      <c r="F7938">
        <v>4</v>
      </c>
    </row>
    <row r="7939" spans="1:6" ht="13.2">
      <c r="A7939" t="s">
        <v>9181</v>
      </c>
      <c r="B7939">
        <v>0</v>
      </c>
      <c r="C7939" s="44">
        <v>3000</v>
      </c>
      <c r="D7939" t="s">
        <v>293</v>
      </c>
      <c r="E7939" t="s">
        <v>574</v>
      </c>
      <c r="F7939">
        <v>4</v>
      </c>
    </row>
    <row r="7940" spans="1:6" ht="13.2">
      <c r="A7940" t="s">
        <v>9182</v>
      </c>
      <c r="B7940">
        <v>0</v>
      </c>
      <c r="C7940" s="44">
        <v>3000</v>
      </c>
      <c r="D7940" t="s">
        <v>293</v>
      </c>
      <c r="E7940" t="s">
        <v>574</v>
      </c>
      <c r="F7940">
        <v>4</v>
      </c>
    </row>
    <row r="7941" spans="1:6" ht="13.2">
      <c r="A7941" t="s">
        <v>9183</v>
      </c>
      <c r="B7941">
        <v>0</v>
      </c>
      <c r="C7941" s="44">
        <v>3000</v>
      </c>
      <c r="D7941" t="s">
        <v>293</v>
      </c>
      <c r="E7941" t="s">
        <v>574</v>
      </c>
      <c r="F7941">
        <v>4</v>
      </c>
    </row>
    <row r="7942" spans="1:6" ht="13.2">
      <c r="A7942" t="s">
        <v>9184</v>
      </c>
      <c r="B7942">
        <v>0</v>
      </c>
      <c r="C7942" s="44">
        <v>3000</v>
      </c>
      <c r="D7942" t="s">
        <v>293</v>
      </c>
      <c r="E7942" t="s">
        <v>574</v>
      </c>
      <c r="F7942">
        <v>4</v>
      </c>
    </row>
    <row r="7943" spans="1:6" ht="13.2">
      <c r="A7943" t="s">
        <v>9187</v>
      </c>
      <c r="B7943">
        <v>0</v>
      </c>
      <c r="C7943" s="44">
        <v>3250</v>
      </c>
      <c r="D7943" t="s">
        <v>293</v>
      </c>
      <c r="E7943" t="s">
        <v>9185</v>
      </c>
      <c r="F7943">
        <v>4</v>
      </c>
    </row>
    <row r="7944" spans="1:6" ht="13.2">
      <c r="A7944" t="s">
        <v>8907</v>
      </c>
      <c r="B7944">
        <v>0</v>
      </c>
      <c r="C7944" s="44">
        <v>3250</v>
      </c>
      <c r="D7944" t="s">
        <v>293</v>
      </c>
      <c r="E7944" t="s">
        <v>9185</v>
      </c>
      <c r="F7944">
        <v>4</v>
      </c>
    </row>
    <row r="7945" spans="1:6" ht="13.2">
      <c r="A7945" t="s">
        <v>8908</v>
      </c>
      <c r="B7945">
        <v>0</v>
      </c>
      <c r="C7945" s="44">
        <v>3250</v>
      </c>
      <c r="D7945" t="s">
        <v>293</v>
      </c>
      <c r="E7945" t="s">
        <v>9185</v>
      </c>
      <c r="F7945">
        <v>4</v>
      </c>
    </row>
    <row r="7946" spans="1:6" ht="13.2">
      <c r="A7946" t="s">
        <v>8909</v>
      </c>
      <c r="B7946">
        <v>0</v>
      </c>
      <c r="C7946" s="44">
        <v>3250</v>
      </c>
      <c r="D7946" t="s">
        <v>293</v>
      </c>
      <c r="E7946" t="s">
        <v>9185</v>
      </c>
      <c r="F7946">
        <v>4</v>
      </c>
    </row>
    <row r="7947" spans="1:6" ht="13.2">
      <c r="A7947" t="s">
        <v>8910</v>
      </c>
      <c r="B7947">
        <v>0</v>
      </c>
      <c r="C7947" s="44">
        <v>3250</v>
      </c>
      <c r="D7947" t="s">
        <v>293</v>
      </c>
      <c r="E7947" t="s">
        <v>9185</v>
      </c>
      <c r="F7947">
        <v>4</v>
      </c>
    </row>
    <row r="7948" spans="1:6" ht="13.2">
      <c r="A7948" t="s">
        <v>8911</v>
      </c>
      <c r="B7948">
        <v>0</v>
      </c>
      <c r="C7948" s="44">
        <v>3250</v>
      </c>
      <c r="D7948" t="s">
        <v>293</v>
      </c>
      <c r="E7948" t="s">
        <v>9185</v>
      </c>
      <c r="F7948">
        <v>4</v>
      </c>
    </row>
    <row r="7949" spans="1:6" ht="13.2">
      <c r="A7949" t="s">
        <v>8912</v>
      </c>
      <c r="B7949">
        <v>0</v>
      </c>
      <c r="C7949" s="44">
        <v>3250</v>
      </c>
      <c r="D7949" t="s">
        <v>293</v>
      </c>
      <c r="E7949" t="s">
        <v>9185</v>
      </c>
      <c r="F7949">
        <v>4</v>
      </c>
    </row>
    <row r="7950" spans="1:6" ht="13.2">
      <c r="A7950" t="s">
        <v>9186</v>
      </c>
      <c r="B7950">
        <v>0</v>
      </c>
      <c r="C7950" s="44">
        <v>3250</v>
      </c>
      <c r="D7950" t="s">
        <v>293</v>
      </c>
      <c r="E7950" t="s">
        <v>9185</v>
      </c>
      <c r="F7950">
        <v>4</v>
      </c>
    </row>
    <row r="7951" spans="1:6" ht="13.2">
      <c r="A7951" t="s">
        <v>8913</v>
      </c>
      <c r="B7951">
        <v>0</v>
      </c>
      <c r="C7951" s="44">
        <v>3250</v>
      </c>
      <c r="D7951" t="s">
        <v>293</v>
      </c>
      <c r="E7951" t="s">
        <v>9185</v>
      </c>
      <c r="F7951">
        <v>4</v>
      </c>
    </row>
    <row r="7952" spans="1:6" ht="13.2">
      <c r="A7952" t="s">
        <v>8914</v>
      </c>
      <c r="B7952">
        <v>0</v>
      </c>
      <c r="C7952" s="44">
        <v>3250</v>
      </c>
      <c r="D7952" t="s">
        <v>293</v>
      </c>
      <c r="E7952" t="s">
        <v>9185</v>
      </c>
      <c r="F7952">
        <v>4</v>
      </c>
    </row>
    <row r="7953" spans="1:6" ht="13.2">
      <c r="A7953" t="s">
        <v>9191</v>
      </c>
      <c r="B7953">
        <v>0</v>
      </c>
      <c r="C7953" s="44" t="s">
        <v>203</v>
      </c>
      <c r="D7953" t="s">
        <v>293</v>
      </c>
      <c r="E7953" t="s">
        <v>9190</v>
      </c>
      <c r="F7953" t="s">
        <v>9117</v>
      </c>
    </row>
    <row r="7954" spans="1:6" ht="13.2">
      <c r="A7954" t="s">
        <v>9192</v>
      </c>
      <c r="B7954">
        <v>0</v>
      </c>
      <c r="C7954" s="44" t="s">
        <v>203</v>
      </c>
      <c r="D7954" t="s">
        <v>293</v>
      </c>
      <c r="E7954" t="s">
        <v>9190</v>
      </c>
      <c r="F7954" t="s">
        <v>9117</v>
      </c>
    </row>
    <row r="7955" spans="1:6" ht="13.2">
      <c r="A7955" t="s">
        <v>9193</v>
      </c>
      <c r="B7955">
        <v>0</v>
      </c>
      <c r="C7955" s="44" t="s">
        <v>203</v>
      </c>
      <c r="D7955" t="s">
        <v>293</v>
      </c>
      <c r="E7955" t="s">
        <v>9190</v>
      </c>
      <c r="F7955" t="s">
        <v>9117</v>
      </c>
    </row>
    <row r="7956" spans="1:6" ht="13.2">
      <c r="A7956" t="s">
        <v>9194</v>
      </c>
      <c r="B7956">
        <v>0</v>
      </c>
      <c r="C7956" s="44" t="s">
        <v>203</v>
      </c>
      <c r="D7956" t="s">
        <v>293</v>
      </c>
      <c r="E7956" t="s">
        <v>9190</v>
      </c>
      <c r="F7956" t="s">
        <v>9117</v>
      </c>
    </row>
    <row r="7957" spans="1:6" ht="13.2">
      <c r="A7957" t="s">
        <v>9195</v>
      </c>
      <c r="B7957">
        <v>0</v>
      </c>
      <c r="C7957" s="44" t="s">
        <v>203</v>
      </c>
      <c r="D7957" t="s">
        <v>293</v>
      </c>
      <c r="E7957" t="s">
        <v>9190</v>
      </c>
      <c r="F7957" t="s">
        <v>9117</v>
      </c>
    </row>
    <row r="7958" spans="1:6" ht="13.2">
      <c r="A7958" t="s">
        <v>9196</v>
      </c>
      <c r="B7958">
        <v>0</v>
      </c>
      <c r="C7958" s="44" t="s">
        <v>203</v>
      </c>
      <c r="D7958" t="s">
        <v>293</v>
      </c>
      <c r="E7958" t="s">
        <v>9190</v>
      </c>
      <c r="F7958" t="s">
        <v>9117</v>
      </c>
    </row>
    <row r="7959" spans="1:6" ht="13.2">
      <c r="A7959" t="s">
        <v>9197</v>
      </c>
      <c r="B7959">
        <v>0</v>
      </c>
      <c r="C7959" s="44">
        <v>3000</v>
      </c>
      <c r="D7959" t="s">
        <v>291</v>
      </c>
      <c r="E7959" t="s">
        <v>653</v>
      </c>
      <c r="F7959">
        <v>11</v>
      </c>
    </row>
    <row r="7960" spans="1:6" ht="13.2">
      <c r="A7960" t="s">
        <v>9198</v>
      </c>
      <c r="B7960">
        <v>0</v>
      </c>
      <c r="C7960" s="44">
        <v>3000</v>
      </c>
      <c r="D7960" t="s">
        <v>291</v>
      </c>
      <c r="E7960" t="s">
        <v>653</v>
      </c>
      <c r="F7960">
        <v>11</v>
      </c>
    </row>
    <row r="7961" spans="1:6" ht="13.2">
      <c r="A7961" t="s">
        <v>9199</v>
      </c>
      <c r="B7961">
        <v>0</v>
      </c>
      <c r="C7961" s="44">
        <v>3000</v>
      </c>
      <c r="D7961" t="s">
        <v>291</v>
      </c>
      <c r="E7961" t="s">
        <v>653</v>
      </c>
      <c r="F7961">
        <v>11</v>
      </c>
    </row>
    <row r="7962" spans="1:6" ht="13.2">
      <c r="A7962" t="s">
        <v>9200</v>
      </c>
      <c r="B7962">
        <v>0</v>
      </c>
      <c r="C7962" s="44">
        <v>3000</v>
      </c>
      <c r="D7962" t="s">
        <v>291</v>
      </c>
      <c r="E7962" t="s">
        <v>653</v>
      </c>
      <c r="F7962">
        <v>11</v>
      </c>
    </row>
    <row r="7963" spans="1:6" ht="13.2">
      <c r="A7963" t="s">
        <v>9201</v>
      </c>
      <c r="B7963">
        <v>0</v>
      </c>
      <c r="C7963" s="44">
        <v>3000</v>
      </c>
      <c r="D7963" t="s">
        <v>291</v>
      </c>
      <c r="E7963" t="s">
        <v>653</v>
      </c>
      <c r="F7963">
        <v>11</v>
      </c>
    </row>
    <row r="7964" spans="1:6" ht="13.2">
      <c r="A7964" t="s">
        <v>9202</v>
      </c>
      <c r="B7964">
        <v>0</v>
      </c>
      <c r="C7964" s="44">
        <v>3000</v>
      </c>
      <c r="D7964" t="s">
        <v>291</v>
      </c>
      <c r="E7964" t="s">
        <v>653</v>
      </c>
      <c r="F7964">
        <v>11</v>
      </c>
    </row>
    <row r="7965" spans="1:6" ht="13.2">
      <c r="A7965" t="s">
        <v>9203</v>
      </c>
      <c r="B7965">
        <v>0</v>
      </c>
      <c r="C7965" s="44">
        <v>3000</v>
      </c>
      <c r="D7965" t="s">
        <v>291</v>
      </c>
      <c r="E7965" t="s">
        <v>653</v>
      </c>
      <c r="F7965">
        <v>11</v>
      </c>
    </row>
    <row r="7966" spans="1:6" ht="13.2">
      <c r="A7966" t="s">
        <v>9204</v>
      </c>
      <c r="B7966">
        <v>0</v>
      </c>
      <c r="C7966" s="44">
        <v>3000</v>
      </c>
      <c r="D7966" t="s">
        <v>291</v>
      </c>
      <c r="E7966" t="s">
        <v>653</v>
      </c>
      <c r="F7966">
        <v>11</v>
      </c>
    </row>
    <row r="7967" spans="1:6" ht="13.2">
      <c r="A7967" t="s">
        <v>9205</v>
      </c>
      <c r="B7967">
        <v>0</v>
      </c>
      <c r="C7967" s="44">
        <v>3000</v>
      </c>
      <c r="D7967" t="s">
        <v>291</v>
      </c>
      <c r="E7967" t="s">
        <v>653</v>
      </c>
      <c r="F7967">
        <v>11</v>
      </c>
    </row>
    <row r="7968" spans="1:6" ht="13.2">
      <c r="A7968" t="s">
        <v>9206</v>
      </c>
      <c r="B7968">
        <v>0</v>
      </c>
      <c r="C7968" s="44">
        <v>3000</v>
      </c>
      <c r="D7968" t="s">
        <v>291</v>
      </c>
      <c r="E7968" t="s">
        <v>653</v>
      </c>
      <c r="F7968">
        <v>11</v>
      </c>
    </row>
    <row r="7969" spans="1:6" ht="13.2">
      <c r="A7969" t="s">
        <v>9207</v>
      </c>
      <c r="B7969">
        <v>0</v>
      </c>
      <c r="C7969" s="44">
        <v>3000</v>
      </c>
      <c r="D7969" t="s">
        <v>291</v>
      </c>
      <c r="E7969" t="s">
        <v>653</v>
      </c>
      <c r="F7969">
        <v>11</v>
      </c>
    </row>
    <row r="7970" spans="1:6" ht="13.2">
      <c r="A7970" t="s">
        <v>9208</v>
      </c>
      <c r="B7970">
        <v>0</v>
      </c>
      <c r="C7970" s="44">
        <v>3000</v>
      </c>
      <c r="D7970" t="s">
        <v>291</v>
      </c>
      <c r="E7970" t="s">
        <v>653</v>
      </c>
      <c r="F7970">
        <v>11</v>
      </c>
    </row>
    <row r="7971" spans="1:6" ht="13.2">
      <c r="A7971" t="s">
        <v>9209</v>
      </c>
      <c r="B7971">
        <v>0</v>
      </c>
      <c r="C7971" s="44">
        <v>3000</v>
      </c>
      <c r="D7971" t="s">
        <v>291</v>
      </c>
      <c r="E7971" t="s">
        <v>653</v>
      </c>
      <c r="F7971">
        <v>11</v>
      </c>
    </row>
    <row r="7972" spans="1:6" ht="13.2">
      <c r="A7972" t="s">
        <v>9210</v>
      </c>
      <c r="B7972">
        <v>0</v>
      </c>
      <c r="C7972" s="44">
        <v>3000</v>
      </c>
      <c r="D7972" t="s">
        <v>291</v>
      </c>
      <c r="E7972" t="s">
        <v>653</v>
      </c>
      <c r="F7972">
        <v>11</v>
      </c>
    </row>
    <row r="7973" spans="1:6" ht="13.2">
      <c r="A7973" t="s">
        <v>9211</v>
      </c>
      <c r="B7973">
        <v>0</v>
      </c>
      <c r="C7973" s="44">
        <v>3000</v>
      </c>
      <c r="D7973" t="s">
        <v>291</v>
      </c>
      <c r="E7973" t="s">
        <v>653</v>
      </c>
      <c r="F7973">
        <v>11</v>
      </c>
    </row>
    <row r="7974" spans="1:6" ht="13.2">
      <c r="A7974" t="s">
        <v>9212</v>
      </c>
      <c r="B7974">
        <v>0</v>
      </c>
      <c r="C7974" s="44">
        <v>3000</v>
      </c>
      <c r="D7974" t="s">
        <v>291</v>
      </c>
      <c r="E7974" t="s">
        <v>653</v>
      </c>
      <c r="F7974">
        <v>11</v>
      </c>
    </row>
    <row r="7975" spans="1:6" ht="13.2">
      <c r="A7975" t="s">
        <v>9213</v>
      </c>
      <c r="B7975">
        <v>0</v>
      </c>
      <c r="C7975" s="44">
        <v>3000</v>
      </c>
      <c r="D7975" t="s">
        <v>291</v>
      </c>
      <c r="E7975" t="s">
        <v>653</v>
      </c>
      <c r="F7975">
        <v>11</v>
      </c>
    </row>
    <row r="7976" spans="1:6" ht="13.2">
      <c r="A7976" t="s">
        <v>9214</v>
      </c>
      <c r="B7976">
        <v>0</v>
      </c>
      <c r="C7976" s="44">
        <v>3000</v>
      </c>
      <c r="D7976" t="s">
        <v>291</v>
      </c>
      <c r="E7976" t="s">
        <v>653</v>
      </c>
      <c r="F7976">
        <v>11</v>
      </c>
    </row>
    <row r="7977" spans="1:6" ht="13.2">
      <c r="A7977" t="s">
        <v>9215</v>
      </c>
      <c r="B7977">
        <v>0</v>
      </c>
      <c r="C7977" s="44">
        <v>3000</v>
      </c>
      <c r="D7977" t="s">
        <v>291</v>
      </c>
      <c r="E7977" t="s">
        <v>653</v>
      </c>
      <c r="F7977">
        <v>11</v>
      </c>
    </row>
    <row r="7978" spans="1:6" ht="13.2">
      <c r="A7978" t="s">
        <v>9216</v>
      </c>
      <c r="B7978">
        <v>0</v>
      </c>
      <c r="C7978" s="44">
        <v>3000</v>
      </c>
      <c r="D7978" t="s">
        <v>291</v>
      </c>
      <c r="E7978" t="s">
        <v>653</v>
      </c>
      <c r="F7978">
        <v>11</v>
      </c>
    </row>
    <row r="7979" spans="1:6" ht="13.2">
      <c r="A7979" t="s">
        <v>9217</v>
      </c>
      <c r="B7979">
        <v>0</v>
      </c>
      <c r="C7979" s="44">
        <v>3000</v>
      </c>
      <c r="D7979" t="s">
        <v>291</v>
      </c>
      <c r="E7979" t="s">
        <v>653</v>
      </c>
      <c r="F7979">
        <v>11</v>
      </c>
    </row>
    <row r="7980" spans="1:6" ht="13.2">
      <c r="A7980" t="s">
        <v>9218</v>
      </c>
      <c r="B7980">
        <v>0</v>
      </c>
      <c r="C7980" s="44">
        <v>3000</v>
      </c>
      <c r="D7980" t="s">
        <v>291</v>
      </c>
      <c r="E7980" t="s">
        <v>653</v>
      </c>
      <c r="F7980">
        <v>11</v>
      </c>
    </row>
    <row r="7981" spans="1:6" ht="13.2">
      <c r="A7981" t="s">
        <v>9219</v>
      </c>
      <c r="B7981">
        <v>0</v>
      </c>
      <c r="C7981" s="44">
        <v>3000</v>
      </c>
      <c r="D7981" t="s">
        <v>291</v>
      </c>
      <c r="E7981" t="s">
        <v>653</v>
      </c>
      <c r="F7981">
        <v>11</v>
      </c>
    </row>
    <row r="7982" spans="1:6" ht="13.2">
      <c r="A7982" t="s">
        <v>9220</v>
      </c>
      <c r="B7982">
        <v>0</v>
      </c>
      <c r="C7982" s="44">
        <v>3000</v>
      </c>
      <c r="D7982" t="s">
        <v>291</v>
      </c>
      <c r="E7982" t="s">
        <v>653</v>
      </c>
      <c r="F7982">
        <v>11</v>
      </c>
    </row>
    <row r="7983" spans="1:6" ht="13.2">
      <c r="A7983" t="s">
        <v>9221</v>
      </c>
      <c r="B7983">
        <v>0</v>
      </c>
      <c r="C7983" s="44">
        <v>3000</v>
      </c>
      <c r="D7983" t="s">
        <v>291</v>
      </c>
      <c r="E7983" t="s">
        <v>653</v>
      </c>
      <c r="F7983">
        <v>11</v>
      </c>
    </row>
    <row r="7984" spans="1:6" ht="13.2">
      <c r="A7984" t="s">
        <v>9222</v>
      </c>
      <c r="B7984">
        <v>0</v>
      </c>
      <c r="C7984" s="44">
        <v>3000</v>
      </c>
      <c r="D7984" t="s">
        <v>291</v>
      </c>
      <c r="E7984" t="s">
        <v>653</v>
      </c>
      <c r="F7984">
        <v>11</v>
      </c>
    </row>
    <row r="7985" spans="1:6" ht="13.2">
      <c r="A7985" t="s">
        <v>9223</v>
      </c>
      <c r="B7985">
        <v>0</v>
      </c>
      <c r="C7985" s="44">
        <v>3000</v>
      </c>
      <c r="D7985" t="s">
        <v>291</v>
      </c>
      <c r="E7985" t="s">
        <v>653</v>
      </c>
      <c r="F7985">
        <v>11</v>
      </c>
    </row>
    <row r="7986" spans="1:6" ht="13.2">
      <c r="A7986" t="s">
        <v>9224</v>
      </c>
      <c r="B7986">
        <v>0</v>
      </c>
      <c r="C7986" s="44">
        <v>3000</v>
      </c>
      <c r="D7986" t="s">
        <v>291</v>
      </c>
      <c r="E7986" t="s">
        <v>653</v>
      </c>
      <c r="F7986">
        <v>11</v>
      </c>
    </row>
    <row r="7987" spans="1:6" ht="13.2">
      <c r="A7987" t="s">
        <v>9225</v>
      </c>
      <c r="B7987">
        <v>0</v>
      </c>
      <c r="C7987" s="44">
        <v>3000</v>
      </c>
      <c r="D7987" t="s">
        <v>291</v>
      </c>
      <c r="E7987" t="s">
        <v>653</v>
      </c>
      <c r="F7987">
        <v>11</v>
      </c>
    </row>
    <row r="7988" spans="1:6" ht="13.2">
      <c r="A7988" t="s">
        <v>9226</v>
      </c>
      <c r="B7988">
        <v>0</v>
      </c>
      <c r="C7988" s="44">
        <v>3000</v>
      </c>
      <c r="D7988" t="s">
        <v>291</v>
      </c>
      <c r="E7988" t="s">
        <v>653</v>
      </c>
      <c r="F7988">
        <v>11</v>
      </c>
    </row>
    <row r="7989" spans="1:6" ht="13.2">
      <c r="A7989" t="s">
        <v>9227</v>
      </c>
      <c r="B7989">
        <v>0</v>
      </c>
      <c r="C7989" s="44">
        <v>3000</v>
      </c>
      <c r="D7989" t="s">
        <v>291</v>
      </c>
      <c r="E7989" t="s">
        <v>653</v>
      </c>
      <c r="F7989">
        <v>11</v>
      </c>
    </row>
    <row r="7990" spans="1:6" ht="13.2">
      <c r="A7990" t="s">
        <v>9228</v>
      </c>
      <c r="B7990">
        <v>0</v>
      </c>
      <c r="C7990" s="44">
        <v>3000</v>
      </c>
      <c r="D7990" t="s">
        <v>291</v>
      </c>
      <c r="E7990" t="s">
        <v>653</v>
      </c>
      <c r="F7990">
        <v>11</v>
      </c>
    </row>
    <row r="7991" spans="1:6" ht="13.2">
      <c r="A7991" t="s">
        <v>9229</v>
      </c>
      <c r="B7991">
        <v>0</v>
      </c>
      <c r="C7991" s="44">
        <v>3000</v>
      </c>
      <c r="D7991" t="s">
        <v>291</v>
      </c>
      <c r="E7991" t="s">
        <v>653</v>
      </c>
      <c r="F7991">
        <v>11</v>
      </c>
    </row>
    <row r="7992" spans="1:6" ht="13.2">
      <c r="A7992" t="s">
        <v>9230</v>
      </c>
      <c r="B7992">
        <v>0</v>
      </c>
      <c r="C7992" s="44">
        <v>3000</v>
      </c>
      <c r="D7992" t="s">
        <v>291</v>
      </c>
      <c r="E7992" t="s">
        <v>653</v>
      </c>
      <c r="F7992">
        <v>11</v>
      </c>
    </row>
    <row r="7993" spans="1:6" ht="13.2">
      <c r="A7993" t="s">
        <v>9231</v>
      </c>
      <c r="B7993">
        <v>0</v>
      </c>
      <c r="C7993" s="44">
        <v>3000</v>
      </c>
      <c r="D7993" t="s">
        <v>291</v>
      </c>
      <c r="E7993" t="s">
        <v>653</v>
      </c>
      <c r="F7993">
        <v>11</v>
      </c>
    </row>
    <row r="7994" spans="1:6" ht="13.2">
      <c r="A7994" t="s">
        <v>9232</v>
      </c>
      <c r="B7994">
        <v>0</v>
      </c>
      <c r="C7994" s="44">
        <v>3000</v>
      </c>
      <c r="D7994" t="s">
        <v>291</v>
      </c>
      <c r="E7994" t="s">
        <v>653</v>
      </c>
      <c r="F7994">
        <v>11</v>
      </c>
    </row>
    <row r="7995" spans="1:6" ht="13.2">
      <c r="A7995" t="s">
        <v>9233</v>
      </c>
      <c r="B7995">
        <v>0</v>
      </c>
      <c r="C7995" s="44">
        <v>3000</v>
      </c>
      <c r="D7995" t="s">
        <v>293</v>
      </c>
      <c r="E7995" t="s">
        <v>653</v>
      </c>
      <c r="F7995">
        <v>11</v>
      </c>
    </row>
    <row r="7996" spans="1:6" ht="13.2">
      <c r="A7996" t="s">
        <v>9234</v>
      </c>
      <c r="B7996">
        <v>0</v>
      </c>
      <c r="C7996" s="44">
        <v>3000</v>
      </c>
      <c r="D7996" t="s">
        <v>293</v>
      </c>
      <c r="E7996" t="s">
        <v>653</v>
      </c>
      <c r="F7996">
        <v>11</v>
      </c>
    </row>
    <row r="7997" spans="1:6" ht="13.2">
      <c r="A7997" t="s">
        <v>9235</v>
      </c>
      <c r="B7997">
        <v>0</v>
      </c>
      <c r="C7997" s="44">
        <v>3000</v>
      </c>
      <c r="D7997" t="s">
        <v>293</v>
      </c>
      <c r="E7997" t="s">
        <v>653</v>
      </c>
      <c r="F7997">
        <v>11</v>
      </c>
    </row>
    <row r="7998" spans="1:6" ht="13.2">
      <c r="A7998" t="s">
        <v>9236</v>
      </c>
      <c r="B7998">
        <v>0</v>
      </c>
      <c r="C7998" s="44">
        <v>3000</v>
      </c>
      <c r="D7998" t="s">
        <v>293</v>
      </c>
      <c r="E7998" t="s">
        <v>653</v>
      </c>
      <c r="F7998">
        <v>11</v>
      </c>
    </row>
    <row r="7999" spans="1:6" ht="13.2">
      <c r="A7999" t="s">
        <v>9237</v>
      </c>
      <c r="B7999">
        <v>0</v>
      </c>
      <c r="C7999" s="44">
        <v>3000</v>
      </c>
      <c r="D7999" t="s">
        <v>293</v>
      </c>
      <c r="E7999" t="s">
        <v>653</v>
      </c>
      <c r="F7999">
        <v>11</v>
      </c>
    </row>
    <row r="8000" spans="1:6" ht="13.2">
      <c r="A8000" t="s">
        <v>9238</v>
      </c>
      <c r="B8000">
        <v>0</v>
      </c>
      <c r="C8000" s="44">
        <v>3000</v>
      </c>
      <c r="D8000" t="s">
        <v>293</v>
      </c>
      <c r="E8000" t="s">
        <v>653</v>
      </c>
      <c r="F8000">
        <v>11</v>
      </c>
    </row>
    <row r="8001" spans="1:6" ht="13.2">
      <c r="A8001" t="s">
        <v>9239</v>
      </c>
      <c r="B8001">
        <v>0</v>
      </c>
      <c r="C8001" s="44">
        <v>3000</v>
      </c>
      <c r="D8001" t="s">
        <v>293</v>
      </c>
      <c r="E8001" t="s">
        <v>653</v>
      </c>
      <c r="F8001">
        <v>11</v>
      </c>
    </row>
    <row r="8002" spans="1:6" ht="13.2">
      <c r="A8002" t="s">
        <v>9240</v>
      </c>
      <c r="B8002">
        <v>0</v>
      </c>
      <c r="C8002" s="44">
        <v>3000</v>
      </c>
      <c r="D8002" t="s">
        <v>293</v>
      </c>
      <c r="E8002" t="s">
        <v>653</v>
      </c>
      <c r="F8002">
        <v>11</v>
      </c>
    </row>
    <row r="8003" spans="1:6" ht="13.2">
      <c r="A8003" t="s">
        <v>9241</v>
      </c>
      <c r="B8003">
        <v>0</v>
      </c>
      <c r="C8003" s="44">
        <v>3000</v>
      </c>
      <c r="D8003" t="s">
        <v>293</v>
      </c>
      <c r="E8003" t="s">
        <v>653</v>
      </c>
      <c r="F8003">
        <v>11</v>
      </c>
    </row>
    <row r="8004" spans="1:6" ht="13.2">
      <c r="A8004" t="s">
        <v>9242</v>
      </c>
      <c r="B8004">
        <v>0</v>
      </c>
      <c r="C8004" s="44">
        <v>3000</v>
      </c>
      <c r="D8004" t="s">
        <v>293</v>
      </c>
      <c r="E8004" t="s">
        <v>653</v>
      </c>
      <c r="F8004">
        <v>11</v>
      </c>
    </row>
    <row r="8005" spans="1:6" ht="13.2">
      <c r="A8005" t="s">
        <v>9243</v>
      </c>
      <c r="B8005">
        <v>0</v>
      </c>
      <c r="C8005" s="44">
        <v>3000</v>
      </c>
      <c r="D8005" t="s">
        <v>293</v>
      </c>
      <c r="E8005" t="s">
        <v>653</v>
      </c>
      <c r="F8005">
        <v>11</v>
      </c>
    </row>
    <row r="8006" spans="1:6" ht="13.2">
      <c r="A8006" t="s">
        <v>9244</v>
      </c>
      <c r="B8006">
        <v>0</v>
      </c>
      <c r="C8006" s="44">
        <v>3000</v>
      </c>
      <c r="D8006" t="s">
        <v>293</v>
      </c>
      <c r="E8006" t="s">
        <v>653</v>
      </c>
      <c r="F8006">
        <v>11</v>
      </c>
    </row>
    <row r="8007" spans="1:6" ht="13.2">
      <c r="A8007" t="s">
        <v>9245</v>
      </c>
      <c r="B8007">
        <v>0</v>
      </c>
      <c r="C8007" s="44">
        <v>3000</v>
      </c>
      <c r="D8007" t="s">
        <v>293</v>
      </c>
      <c r="E8007" t="s">
        <v>653</v>
      </c>
      <c r="F8007">
        <v>11</v>
      </c>
    </row>
    <row r="8008" spans="1:6" ht="13.2">
      <c r="A8008" t="s">
        <v>9246</v>
      </c>
      <c r="B8008">
        <v>0</v>
      </c>
      <c r="C8008" s="44">
        <v>3000</v>
      </c>
      <c r="D8008" t="s">
        <v>293</v>
      </c>
      <c r="E8008" t="s">
        <v>653</v>
      </c>
      <c r="F8008">
        <v>11</v>
      </c>
    </row>
    <row r="8009" spans="1:6" ht="13.2">
      <c r="A8009" t="s">
        <v>9247</v>
      </c>
      <c r="B8009">
        <v>0</v>
      </c>
      <c r="C8009" s="44">
        <v>3000</v>
      </c>
      <c r="D8009" t="s">
        <v>293</v>
      </c>
      <c r="E8009" t="s">
        <v>653</v>
      </c>
      <c r="F8009">
        <v>11</v>
      </c>
    </row>
    <row r="8010" spans="1:6" ht="13.2">
      <c r="A8010" t="s">
        <v>9248</v>
      </c>
      <c r="B8010">
        <v>0</v>
      </c>
      <c r="C8010" s="44">
        <v>3000</v>
      </c>
      <c r="D8010" t="s">
        <v>293</v>
      </c>
      <c r="E8010" t="s">
        <v>653</v>
      </c>
      <c r="F8010">
        <v>11</v>
      </c>
    </row>
    <row r="8011" spans="1:6" ht="13.2">
      <c r="A8011" t="s">
        <v>9249</v>
      </c>
      <c r="B8011">
        <v>0</v>
      </c>
      <c r="C8011" s="44">
        <v>3000</v>
      </c>
      <c r="D8011" t="s">
        <v>293</v>
      </c>
      <c r="E8011" t="s">
        <v>653</v>
      </c>
      <c r="F8011">
        <v>11</v>
      </c>
    </row>
    <row r="8012" spans="1:6" ht="13.2">
      <c r="A8012" t="s">
        <v>9250</v>
      </c>
      <c r="B8012">
        <v>0</v>
      </c>
      <c r="C8012" s="44">
        <v>3000</v>
      </c>
      <c r="D8012" t="s">
        <v>293</v>
      </c>
      <c r="E8012" t="s">
        <v>653</v>
      </c>
      <c r="F8012">
        <v>11</v>
      </c>
    </row>
    <row r="8013" spans="1:6" ht="13.2">
      <c r="A8013" t="s">
        <v>9251</v>
      </c>
      <c r="B8013">
        <v>0</v>
      </c>
      <c r="C8013" s="44">
        <v>3000</v>
      </c>
      <c r="D8013" t="s">
        <v>293</v>
      </c>
      <c r="E8013" t="s">
        <v>653</v>
      </c>
      <c r="F8013">
        <v>11</v>
      </c>
    </row>
    <row r="8014" spans="1:6" ht="13.2">
      <c r="A8014" t="s">
        <v>9252</v>
      </c>
      <c r="B8014">
        <v>0</v>
      </c>
      <c r="C8014" s="44">
        <v>3000</v>
      </c>
      <c r="D8014" t="s">
        <v>293</v>
      </c>
      <c r="E8014" t="s">
        <v>653</v>
      </c>
      <c r="F8014">
        <v>11</v>
      </c>
    </row>
    <row r="8015" spans="1:6" ht="13.2">
      <c r="A8015" t="s">
        <v>9253</v>
      </c>
      <c r="B8015">
        <v>0</v>
      </c>
      <c r="C8015" s="44">
        <v>3000</v>
      </c>
      <c r="D8015" t="s">
        <v>293</v>
      </c>
      <c r="E8015" t="s">
        <v>653</v>
      </c>
      <c r="F8015">
        <v>11</v>
      </c>
    </row>
    <row r="8016" spans="1:6" ht="13.2">
      <c r="A8016" t="s">
        <v>9254</v>
      </c>
      <c r="B8016">
        <v>0</v>
      </c>
      <c r="C8016" s="44">
        <v>3000</v>
      </c>
      <c r="D8016" t="s">
        <v>293</v>
      </c>
      <c r="E8016" t="s">
        <v>653</v>
      </c>
      <c r="F8016">
        <v>11</v>
      </c>
    </row>
    <row r="8017" spans="1:6" ht="13.2">
      <c r="A8017" t="s">
        <v>9255</v>
      </c>
      <c r="B8017">
        <v>0</v>
      </c>
      <c r="C8017" s="44">
        <v>3000</v>
      </c>
      <c r="D8017" t="s">
        <v>293</v>
      </c>
      <c r="E8017" t="s">
        <v>653</v>
      </c>
      <c r="F8017">
        <v>11</v>
      </c>
    </row>
    <row r="8018" spans="1:6" ht="13.2">
      <c r="A8018" t="s">
        <v>9256</v>
      </c>
      <c r="B8018">
        <v>0</v>
      </c>
      <c r="C8018" s="44">
        <v>3000</v>
      </c>
      <c r="D8018" t="s">
        <v>293</v>
      </c>
      <c r="E8018" t="s">
        <v>653</v>
      </c>
      <c r="F8018">
        <v>11</v>
      </c>
    </row>
    <row r="8019" spans="1:6" ht="13.2">
      <c r="A8019" t="s">
        <v>9257</v>
      </c>
      <c r="B8019">
        <v>0</v>
      </c>
      <c r="C8019" s="44">
        <v>3000</v>
      </c>
      <c r="D8019" t="s">
        <v>293</v>
      </c>
      <c r="E8019" t="s">
        <v>653</v>
      </c>
      <c r="F8019">
        <v>11</v>
      </c>
    </row>
    <row r="8020" spans="1:6" ht="13.2">
      <c r="A8020" t="s">
        <v>9258</v>
      </c>
      <c r="B8020">
        <v>0</v>
      </c>
      <c r="C8020" s="44">
        <v>3000</v>
      </c>
      <c r="D8020" t="s">
        <v>293</v>
      </c>
      <c r="E8020" t="s">
        <v>653</v>
      </c>
      <c r="F8020">
        <v>11</v>
      </c>
    </row>
    <row r="8021" spans="1:6" ht="13.2">
      <c r="A8021" t="s">
        <v>9259</v>
      </c>
      <c r="B8021">
        <v>0</v>
      </c>
      <c r="C8021" s="44">
        <v>3000</v>
      </c>
      <c r="D8021" t="s">
        <v>293</v>
      </c>
      <c r="E8021" t="s">
        <v>653</v>
      </c>
      <c r="F8021">
        <v>11</v>
      </c>
    </row>
    <row r="8022" spans="1:6" ht="13.2">
      <c r="A8022" t="s">
        <v>9260</v>
      </c>
      <c r="B8022">
        <v>0</v>
      </c>
      <c r="C8022" s="44">
        <v>3000</v>
      </c>
      <c r="D8022" t="s">
        <v>293</v>
      </c>
      <c r="E8022" t="s">
        <v>653</v>
      </c>
      <c r="F8022">
        <v>11</v>
      </c>
    </row>
    <row r="8023" spans="1:6" ht="13.2">
      <c r="A8023" t="s">
        <v>9261</v>
      </c>
      <c r="B8023">
        <v>0</v>
      </c>
      <c r="C8023" s="44">
        <v>3000</v>
      </c>
      <c r="D8023" t="s">
        <v>293</v>
      </c>
      <c r="E8023" t="s">
        <v>653</v>
      </c>
      <c r="F8023">
        <v>11</v>
      </c>
    </row>
    <row r="8024" spans="1:6" ht="13.2">
      <c r="A8024" t="s">
        <v>9262</v>
      </c>
      <c r="B8024">
        <v>0</v>
      </c>
      <c r="C8024" s="44">
        <v>3000</v>
      </c>
      <c r="D8024" t="s">
        <v>293</v>
      </c>
      <c r="E8024" t="s">
        <v>653</v>
      </c>
      <c r="F8024">
        <v>11</v>
      </c>
    </row>
    <row r="8025" spans="1:6" ht="13.2">
      <c r="A8025" t="s">
        <v>9263</v>
      </c>
      <c r="B8025">
        <v>0</v>
      </c>
      <c r="C8025" s="44">
        <v>3000</v>
      </c>
      <c r="D8025" t="s">
        <v>293</v>
      </c>
      <c r="E8025" t="s">
        <v>653</v>
      </c>
      <c r="F8025">
        <v>11</v>
      </c>
    </row>
    <row r="8026" spans="1:6" ht="13.2">
      <c r="A8026" t="s">
        <v>9264</v>
      </c>
      <c r="B8026">
        <v>0</v>
      </c>
      <c r="C8026" s="44">
        <v>3000</v>
      </c>
      <c r="D8026" t="s">
        <v>293</v>
      </c>
      <c r="E8026" t="s">
        <v>653</v>
      </c>
      <c r="F8026">
        <v>11</v>
      </c>
    </row>
    <row r="8027" spans="1:6" ht="13.2">
      <c r="A8027" t="s">
        <v>9265</v>
      </c>
      <c r="B8027">
        <v>0</v>
      </c>
      <c r="C8027" s="44">
        <v>3000</v>
      </c>
      <c r="D8027" t="s">
        <v>293</v>
      </c>
      <c r="E8027" t="s">
        <v>653</v>
      </c>
      <c r="F8027">
        <v>11</v>
      </c>
    </row>
    <row r="8028" spans="1:6" ht="13.2">
      <c r="A8028" t="s">
        <v>9266</v>
      </c>
      <c r="B8028">
        <v>0</v>
      </c>
      <c r="C8028" s="44">
        <v>3000</v>
      </c>
      <c r="D8028" t="s">
        <v>293</v>
      </c>
      <c r="E8028" t="s">
        <v>653</v>
      </c>
      <c r="F8028">
        <v>11</v>
      </c>
    </row>
    <row r="8029" spans="1:6" ht="13.2">
      <c r="A8029" t="s">
        <v>9267</v>
      </c>
      <c r="B8029">
        <v>0</v>
      </c>
      <c r="C8029" s="44">
        <v>3000</v>
      </c>
      <c r="D8029" t="s">
        <v>293</v>
      </c>
      <c r="E8029" t="s">
        <v>653</v>
      </c>
      <c r="F8029">
        <v>11</v>
      </c>
    </row>
    <row r="8030" spans="1:6" ht="13.2">
      <c r="A8030" t="s">
        <v>9268</v>
      </c>
      <c r="B8030">
        <v>0</v>
      </c>
      <c r="C8030" s="44">
        <v>3000</v>
      </c>
      <c r="D8030" t="s">
        <v>293</v>
      </c>
      <c r="E8030" t="s">
        <v>653</v>
      </c>
      <c r="F8030">
        <v>11</v>
      </c>
    </row>
    <row r="8031" spans="1:5" ht="13.2">
      <c r="A8031" t="s">
        <v>9269</v>
      </c>
      <c r="B8031">
        <v>310</v>
      </c>
      <c r="C8031" s="44">
        <v>1290</v>
      </c>
      <c r="D8031" t="s">
        <v>291</v>
      </c>
      <c r="E8031" t="s">
        <v>749</v>
      </c>
    </row>
    <row r="8032" spans="1:5" ht="13.2">
      <c r="A8032" t="s">
        <v>9270</v>
      </c>
      <c r="B8032">
        <v>310</v>
      </c>
      <c r="C8032" s="44">
        <v>1290</v>
      </c>
      <c r="D8032" t="s">
        <v>291</v>
      </c>
      <c r="E8032" t="s">
        <v>749</v>
      </c>
    </row>
    <row r="8033" spans="1:5" ht="13.2">
      <c r="A8033" t="s">
        <v>9271</v>
      </c>
      <c r="B8033">
        <v>310</v>
      </c>
      <c r="C8033" s="44">
        <v>1290</v>
      </c>
      <c r="D8033" t="s">
        <v>291</v>
      </c>
      <c r="E8033" t="s">
        <v>749</v>
      </c>
    </row>
    <row r="8034" spans="1:5" ht="13.2">
      <c r="A8034" t="s">
        <v>9272</v>
      </c>
      <c r="B8034">
        <v>310</v>
      </c>
      <c r="C8034" s="44">
        <v>1290</v>
      </c>
      <c r="D8034" t="s">
        <v>291</v>
      </c>
      <c r="E8034" t="s">
        <v>749</v>
      </c>
    </row>
    <row r="8035" spans="1:5" ht="13.2">
      <c r="A8035" t="s">
        <v>9273</v>
      </c>
      <c r="B8035">
        <v>310</v>
      </c>
      <c r="C8035" s="44">
        <v>1290</v>
      </c>
      <c r="D8035" t="s">
        <v>291</v>
      </c>
      <c r="E8035" t="s">
        <v>749</v>
      </c>
    </row>
    <row r="8036" spans="1:5" ht="13.2">
      <c r="A8036" t="s">
        <v>9274</v>
      </c>
      <c r="B8036">
        <v>310</v>
      </c>
      <c r="C8036" s="44">
        <v>1290</v>
      </c>
      <c r="D8036" t="s">
        <v>291</v>
      </c>
      <c r="E8036" t="s">
        <v>749</v>
      </c>
    </row>
    <row r="8037" spans="1:5" ht="13.2">
      <c r="A8037" t="s">
        <v>9275</v>
      </c>
      <c r="B8037">
        <v>310</v>
      </c>
      <c r="C8037" s="44">
        <v>1290</v>
      </c>
      <c r="D8037" t="s">
        <v>291</v>
      </c>
      <c r="E8037" t="s">
        <v>749</v>
      </c>
    </row>
    <row r="8038" spans="1:6" ht="13.2">
      <c r="A8038" t="s">
        <v>9276</v>
      </c>
      <c r="B8038">
        <v>0</v>
      </c>
      <c r="C8038" s="44">
        <v>3050</v>
      </c>
      <c r="D8038" t="s">
        <v>293</v>
      </c>
      <c r="E8038" t="s">
        <v>9277</v>
      </c>
      <c r="F8038">
        <v>100425</v>
      </c>
    </row>
    <row r="8039" spans="1:6" ht="13.2">
      <c r="A8039" t="s">
        <v>9278</v>
      </c>
      <c r="B8039">
        <v>0</v>
      </c>
      <c r="C8039" s="44">
        <v>3050</v>
      </c>
      <c r="D8039" t="s">
        <v>293</v>
      </c>
      <c r="E8039" t="s">
        <v>9277</v>
      </c>
      <c r="F8039">
        <v>100425</v>
      </c>
    </row>
    <row r="8040" spans="1:6" ht="13.2">
      <c r="A8040" t="s">
        <v>9279</v>
      </c>
      <c r="B8040">
        <v>0</v>
      </c>
      <c r="C8040" s="44">
        <v>3050</v>
      </c>
      <c r="D8040" t="s">
        <v>293</v>
      </c>
      <c r="E8040" t="s">
        <v>9277</v>
      </c>
      <c r="F8040">
        <v>100425</v>
      </c>
    </row>
    <row r="8041" spans="1:6" ht="13.2">
      <c r="A8041" t="s">
        <v>9280</v>
      </c>
      <c r="B8041">
        <v>0</v>
      </c>
      <c r="C8041" s="44">
        <v>3050</v>
      </c>
      <c r="D8041" t="s">
        <v>293</v>
      </c>
      <c r="E8041" t="s">
        <v>9277</v>
      </c>
      <c r="F8041">
        <v>100425</v>
      </c>
    </row>
    <row r="8042" spans="1:6" ht="13.2">
      <c r="A8042" t="s">
        <v>9281</v>
      </c>
      <c r="B8042">
        <v>0</v>
      </c>
      <c r="C8042" s="44">
        <v>3050</v>
      </c>
      <c r="D8042" t="s">
        <v>293</v>
      </c>
      <c r="E8042" t="s">
        <v>9277</v>
      </c>
      <c r="F8042">
        <v>100425</v>
      </c>
    </row>
    <row r="8043" spans="1:6" ht="13.2">
      <c r="A8043" t="s">
        <v>9282</v>
      </c>
      <c r="B8043">
        <v>0</v>
      </c>
      <c r="C8043" s="44">
        <v>3050</v>
      </c>
      <c r="D8043" t="s">
        <v>293</v>
      </c>
      <c r="E8043" t="s">
        <v>9277</v>
      </c>
      <c r="F8043">
        <v>100425</v>
      </c>
    </row>
    <row r="8044" spans="1:6" ht="13.2">
      <c r="A8044" t="s">
        <v>9283</v>
      </c>
      <c r="B8044">
        <v>0</v>
      </c>
      <c r="C8044" s="44">
        <v>3050</v>
      </c>
      <c r="D8044" t="s">
        <v>293</v>
      </c>
      <c r="E8044" t="s">
        <v>9277</v>
      </c>
      <c r="F8044">
        <v>100425</v>
      </c>
    </row>
    <row r="8045" spans="1:6" ht="13.2">
      <c r="A8045" t="s">
        <v>9284</v>
      </c>
      <c r="B8045">
        <v>0</v>
      </c>
      <c r="C8045" s="44">
        <v>3050</v>
      </c>
      <c r="D8045" t="s">
        <v>293</v>
      </c>
      <c r="E8045" t="s">
        <v>9277</v>
      </c>
      <c r="F8045">
        <v>100425</v>
      </c>
    </row>
    <row r="8046" spans="1:6" ht="13.2">
      <c r="A8046" t="s">
        <v>9285</v>
      </c>
      <c r="B8046">
        <v>0</v>
      </c>
      <c r="C8046" s="44">
        <v>3050</v>
      </c>
      <c r="D8046" t="s">
        <v>293</v>
      </c>
      <c r="E8046" t="s">
        <v>9277</v>
      </c>
      <c r="F8046">
        <v>100425</v>
      </c>
    </row>
    <row r="8047" spans="1:6" ht="13.2">
      <c r="A8047" t="s">
        <v>9286</v>
      </c>
      <c r="B8047">
        <v>0</v>
      </c>
      <c r="C8047" s="44">
        <v>3050</v>
      </c>
      <c r="D8047" t="s">
        <v>293</v>
      </c>
      <c r="E8047" t="s">
        <v>9277</v>
      </c>
      <c r="F8047">
        <v>100425</v>
      </c>
    </row>
    <row r="8048" spans="1:6" ht="13.2">
      <c r="A8048" t="s">
        <v>9287</v>
      </c>
      <c r="B8048">
        <v>0</v>
      </c>
      <c r="C8048" s="44">
        <v>3050</v>
      </c>
      <c r="D8048" t="s">
        <v>293</v>
      </c>
      <c r="E8048" t="s">
        <v>9277</v>
      </c>
      <c r="F8048">
        <v>100425</v>
      </c>
    </row>
    <row r="8049" spans="1:6" ht="13.2">
      <c r="A8049" t="s">
        <v>9288</v>
      </c>
      <c r="B8049">
        <v>0</v>
      </c>
      <c r="C8049" s="44">
        <v>3050</v>
      </c>
      <c r="D8049" t="s">
        <v>293</v>
      </c>
      <c r="E8049" t="s">
        <v>9277</v>
      </c>
      <c r="F8049">
        <v>100425</v>
      </c>
    </row>
    <row r="8050" spans="1:6" ht="13.2">
      <c r="A8050" t="s">
        <v>9289</v>
      </c>
      <c r="B8050">
        <v>0</v>
      </c>
      <c r="C8050" s="44">
        <v>3050</v>
      </c>
      <c r="D8050" t="s">
        <v>293</v>
      </c>
      <c r="E8050" t="s">
        <v>9277</v>
      </c>
      <c r="F8050">
        <v>100425</v>
      </c>
    </row>
    <row r="8051" spans="1:6" ht="13.2">
      <c r="A8051" t="s">
        <v>9290</v>
      </c>
      <c r="B8051">
        <v>0</v>
      </c>
      <c r="C8051" s="44">
        <v>3050</v>
      </c>
      <c r="D8051" t="s">
        <v>293</v>
      </c>
      <c r="E8051" t="s">
        <v>9277</v>
      </c>
      <c r="F8051">
        <v>100425</v>
      </c>
    </row>
    <row r="8052" spans="1:6" ht="13.2">
      <c r="A8052" t="s">
        <v>9291</v>
      </c>
      <c r="B8052">
        <v>0</v>
      </c>
      <c r="C8052" s="44">
        <v>3050</v>
      </c>
      <c r="D8052" t="s">
        <v>293</v>
      </c>
      <c r="E8052" t="s">
        <v>9277</v>
      </c>
      <c r="F8052">
        <v>100425</v>
      </c>
    </row>
    <row r="8053" spans="1:6" ht="13.2">
      <c r="A8053" t="s">
        <v>9292</v>
      </c>
      <c r="B8053">
        <v>50</v>
      </c>
      <c r="C8053" s="44">
        <v>1400</v>
      </c>
      <c r="D8053" t="s">
        <v>291</v>
      </c>
      <c r="E8053" t="s">
        <v>256</v>
      </c>
      <c r="F8053" t="s">
        <v>532</v>
      </c>
    </row>
    <row r="8054" spans="1:6" ht="13.2">
      <c r="A8054" t="s">
        <v>9293</v>
      </c>
      <c r="B8054">
        <v>50</v>
      </c>
      <c r="C8054" s="44">
        <v>1400</v>
      </c>
      <c r="D8054" t="s">
        <v>291</v>
      </c>
      <c r="E8054" t="s">
        <v>256</v>
      </c>
      <c r="F8054" t="s">
        <v>532</v>
      </c>
    </row>
    <row r="8055" spans="1:6" ht="13.2">
      <c r="A8055" t="s">
        <v>9294</v>
      </c>
      <c r="B8055">
        <v>50</v>
      </c>
      <c r="C8055" s="44">
        <v>1400</v>
      </c>
      <c r="D8055" t="s">
        <v>291</v>
      </c>
      <c r="E8055" t="s">
        <v>256</v>
      </c>
      <c r="F8055" t="s">
        <v>532</v>
      </c>
    </row>
    <row r="8056" spans="1:6" ht="13.2">
      <c r="A8056" t="s">
        <v>9295</v>
      </c>
      <c r="B8056">
        <v>50</v>
      </c>
      <c r="C8056" s="44">
        <v>1400</v>
      </c>
      <c r="D8056" t="s">
        <v>291</v>
      </c>
      <c r="E8056" t="s">
        <v>256</v>
      </c>
      <c r="F8056" t="s">
        <v>532</v>
      </c>
    </row>
    <row r="8057" spans="1:6" ht="13.2">
      <c r="A8057" t="s">
        <v>9296</v>
      </c>
      <c r="B8057">
        <v>50</v>
      </c>
      <c r="C8057" s="44">
        <v>1400</v>
      </c>
      <c r="D8057" t="s">
        <v>291</v>
      </c>
      <c r="E8057" t="s">
        <v>256</v>
      </c>
      <c r="F8057" t="s">
        <v>532</v>
      </c>
    </row>
    <row r="8058" spans="1:6" ht="13.2">
      <c r="A8058" t="s">
        <v>9297</v>
      </c>
      <c r="B8058">
        <v>50</v>
      </c>
      <c r="C8058" s="44">
        <v>1400</v>
      </c>
      <c r="D8058" t="s">
        <v>291</v>
      </c>
      <c r="E8058" t="s">
        <v>256</v>
      </c>
      <c r="F8058" t="s">
        <v>532</v>
      </c>
    </row>
    <row r="8059" spans="1:6" ht="13.2">
      <c r="A8059" t="s">
        <v>9298</v>
      </c>
      <c r="B8059">
        <v>50</v>
      </c>
      <c r="C8059" s="44">
        <v>1400</v>
      </c>
      <c r="D8059" t="s">
        <v>291</v>
      </c>
      <c r="E8059" t="s">
        <v>256</v>
      </c>
      <c r="F8059" t="s">
        <v>532</v>
      </c>
    </row>
    <row r="8060" spans="1:5" ht="13.2">
      <c r="A8060" t="s">
        <v>9308</v>
      </c>
      <c r="B8060">
        <v>0</v>
      </c>
      <c r="C8060" s="44" t="s">
        <v>352</v>
      </c>
      <c r="D8060" t="s">
        <v>291</v>
      </c>
      <c r="E8060" t="s">
        <v>256</v>
      </c>
    </row>
    <row r="8061" spans="1:5" ht="13.2">
      <c r="A8061" t="s">
        <v>9309</v>
      </c>
      <c r="B8061">
        <v>0</v>
      </c>
      <c r="C8061" s="44" t="s">
        <v>352</v>
      </c>
      <c r="D8061" t="s">
        <v>291</v>
      </c>
      <c r="E8061" t="s">
        <v>256</v>
      </c>
    </row>
    <row r="8062" spans="1:5" ht="13.2">
      <c r="A8062" t="s">
        <v>9310</v>
      </c>
      <c r="B8062">
        <v>0</v>
      </c>
      <c r="C8062" s="44" t="s">
        <v>352</v>
      </c>
      <c r="D8062" t="s">
        <v>291</v>
      </c>
      <c r="E8062" t="s">
        <v>256</v>
      </c>
    </row>
    <row r="8063" spans="1:5" ht="13.2">
      <c r="A8063" t="s">
        <v>9311</v>
      </c>
      <c r="B8063">
        <v>0</v>
      </c>
      <c r="C8063" s="44" t="s">
        <v>352</v>
      </c>
      <c r="D8063" t="s">
        <v>291</v>
      </c>
      <c r="E8063" t="s">
        <v>256</v>
      </c>
    </row>
    <row r="8064" spans="1:5" ht="13.2">
      <c r="A8064" t="s">
        <v>9312</v>
      </c>
      <c r="B8064">
        <v>0</v>
      </c>
      <c r="C8064" s="44" t="s">
        <v>352</v>
      </c>
      <c r="D8064" t="s">
        <v>291</v>
      </c>
      <c r="E8064" t="s">
        <v>256</v>
      </c>
    </row>
    <row r="8065" spans="1:5" ht="13.2">
      <c r="A8065" t="s">
        <v>9313</v>
      </c>
      <c r="B8065">
        <v>0</v>
      </c>
      <c r="C8065" s="44" t="s">
        <v>352</v>
      </c>
      <c r="D8065" t="s">
        <v>291</v>
      </c>
      <c r="E8065" t="s">
        <v>256</v>
      </c>
    </row>
    <row r="8066" spans="1:5" ht="13.2">
      <c r="A8066" t="s">
        <v>9314</v>
      </c>
      <c r="B8066">
        <v>0</v>
      </c>
      <c r="C8066" s="44" t="s">
        <v>352</v>
      </c>
      <c r="D8066" t="s">
        <v>291</v>
      </c>
      <c r="E8066" t="s">
        <v>256</v>
      </c>
    </row>
    <row r="8067" spans="1:5" ht="13.2">
      <c r="A8067" t="s">
        <v>9315</v>
      </c>
      <c r="B8067">
        <v>0</v>
      </c>
      <c r="C8067" s="44" t="s">
        <v>352</v>
      </c>
      <c r="D8067" t="s">
        <v>291</v>
      </c>
      <c r="E8067" t="s">
        <v>256</v>
      </c>
    </row>
    <row r="8068" spans="1:5" ht="13.2">
      <c r="A8068" t="s">
        <v>9316</v>
      </c>
      <c r="B8068">
        <v>0</v>
      </c>
      <c r="C8068" s="44" t="s">
        <v>352</v>
      </c>
      <c r="D8068" t="s">
        <v>291</v>
      </c>
      <c r="E8068" t="s">
        <v>256</v>
      </c>
    </row>
    <row r="8069" spans="1:5" ht="13.2">
      <c r="A8069" t="s">
        <v>9317</v>
      </c>
      <c r="B8069">
        <v>0</v>
      </c>
      <c r="C8069" s="44" t="s">
        <v>352</v>
      </c>
      <c r="D8069" t="s">
        <v>291</v>
      </c>
      <c r="E8069" t="s">
        <v>256</v>
      </c>
    </row>
    <row r="8070" spans="1:5" ht="13.2">
      <c r="A8070" t="s">
        <v>9318</v>
      </c>
      <c r="B8070">
        <v>0</v>
      </c>
      <c r="C8070" s="44" t="s">
        <v>352</v>
      </c>
      <c r="D8070" t="s">
        <v>291</v>
      </c>
      <c r="E8070" t="s">
        <v>256</v>
      </c>
    </row>
    <row r="8071" spans="1:5" ht="13.2">
      <c r="A8071" t="s">
        <v>9319</v>
      </c>
      <c r="B8071">
        <v>0</v>
      </c>
      <c r="C8071" s="44" t="s">
        <v>352</v>
      </c>
      <c r="D8071" t="s">
        <v>291</v>
      </c>
      <c r="E8071" t="s">
        <v>256</v>
      </c>
    </row>
    <row r="8072" spans="1:5" ht="13.2">
      <c r="A8072" t="s">
        <v>9320</v>
      </c>
      <c r="B8072">
        <v>0</v>
      </c>
      <c r="C8072" s="44" t="s">
        <v>352</v>
      </c>
      <c r="D8072" t="s">
        <v>291</v>
      </c>
      <c r="E8072" t="s">
        <v>256</v>
      </c>
    </row>
    <row r="8073" spans="1:5" ht="13.2">
      <c r="A8073" t="s">
        <v>9321</v>
      </c>
      <c r="B8073">
        <v>0</v>
      </c>
      <c r="C8073" s="44" t="s">
        <v>352</v>
      </c>
      <c r="D8073" t="s">
        <v>291</v>
      </c>
      <c r="E8073" t="s">
        <v>256</v>
      </c>
    </row>
    <row r="8074" spans="1:5" ht="13.2">
      <c r="A8074" t="s">
        <v>9322</v>
      </c>
      <c r="B8074">
        <v>0</v>
      </c>
      <c r="C8074" s="44" t="s">
        <v>352</v>
      </c>
      <c r="D8074" t="s">
        <v>291</v>
      </c>
      <c r="E8074" t="s">
        <v>256</v>
      </c>
    </row>
    <row r="8075" spans="1:5" ht="13.2">
      <c r="A8075" t="s">
        <v>9323</v>
      </c>
      <c r="B8075">
        <v>0</v>
      </c>
      <c r="C8075" s="44" t="s">
        <v>352</v>
      </c>
      <c r="D8075" t="s">
        <v>291</v>
      </c>
      <c r="E8075" t="s">
        <v>256</v>
      </c>
    </row>
    <row r="8076" spans="1:5" ht="13.2">
      <c r="A8076" t="s">
        <v>9324</v>
      </c>
      <c r="B8076">
        <v>0</v>
      </c>
      <c r="C8076" s="44" t="s">
        <v>352</v>
      </c>
      <c r="D8076" t="s">
        <v>291</v>
      </c>
      <c r="E8076" t="s">
        <v>256</v>
      </c>
    </row>
    <row r="8077" spans="1:5" ht="13.2">
      <c r="A8077" t="s">
        <v>9325</v>
      </c>
      <c r="B8077">
        <v>0</v>
      </c>
      <c r="C8077" s="44" t="s">
        <v>352</v>
      </c>
      <c r="D8077" t="s">
        <v>291</v>
      </c>
      <c r="E8077" t="s">
        <v>256</v>
      </c>
    </row>
    <row r="8078" spans="1:5" ht="13.2">
      <c r="A8078" t="s">
        <v>9326</v>
      </c>
      <c r="B8078">
        <v>0</v>
      </c>
      <c r="C8078" s="44" t="s">
        <v>352</v>
      </c>
      <c r="D8078" t="s">
        <v>291</v>
      </c>
      <c r="E8078" t="s">
        <v>256</v>
      </c>
    </row>
    <row r="8079" spans="1:5" ht="13.2">
      <c r="A8079" t="s">
        <v>9327</v>
      </c>
      <c r="B8079">
        <v>0</v>
      </c>
      <c r="C8079" s="44" t="s">
        <v>352</v>
      </c>
      <c r="D8079" t="s">
        <v>291</v>
      </c>
      <c r="E8079" t="s">
        <v>256</v>
      </c>
    </row>
    <row r="8080" spans="1:5" ht="13.2">
      <c r="A8080" t="s">
        <v>9328</v>
      </c>
      <c r="B8080">
        <v>0</v>
      </c>
      <c r="C8080" s="44" t="s">
        <v>352</v>
      </c>
      <c r="D8080" t="s">
        <v>291</v>
      </c>
      <c r="E8080" t="s">
        <v>256</v>
      </c>
    </row>
    <row r="8081" spans="1:5" ht="13.2">
      <c r="A8081" t="s">
        <v>9329</v>
      </c>
      <c r="B8081">
        <v>0</v>
      </c>
      <c r="C8081" s="44" t="s">
        <v>352</v>
      </c>
      <c r="D8081" t="s">
        <v>291</v>
      </c>
      <c r="E8081" t="s">
        <v>256</v>
      </c>
    </row>
    <row r="8082" spans="1:5" ht="13.2">
      <c r="A8082" t="s">
        <v>9330</v>
      </c>
      <c r="B8082">
        <v>0</v>
      </c>
      <c r="C8082" s="44" t="s">
        <v>352</v>
      </c>
      <c r="D8082" t="s">
        <v>291</v>
      </c>
      <c r="E8082" t="s">
        <v>256</v>
      </c>
    </row>
    <row r="8083" spans="1:5" ht="13.2">
      <c r="A8083" t="s">
        <v>9331</v>
      </c>
      <c r="B8083">
        <v>0</v>
      </c>
      <c r="C8083" s="44" t="s">
        <v>352</v>
      </c>
      <c r="D8083" t="s">
        <v>291</v>
      </c>
      <c r="E8083" t="s">
        <v>256</v>
      </c>
    </row>
    <row r="8084" spans="1:5" ht="13.2">
      <c r="A8084" t="s">
        <v>9332</v>
      </c>
      <c r="B8084">
        <v>0</v>
      </c>
      <c r="C8084" s="44" t="s">
        <v>352</v>
      </c>
      <c r="D8084" t="s">
        <v>291</v>
      </c>
      <c r="E8084" t="s">
        <v>256</v>
      </c>
    </row>
    <row r="8085" spans="1:5" ht="13.2">
      <c r="A8085" t="s">
        <v>9333</v>
      </c>
      <c r="B8085">
        <v>0</v>
      </c>
      <c r="C8085" s="44" t="s">
        <v>352</v>
      </c>
      <c r="D8085" t="s">
        <v>291</v>
      </c>
      <c r="E8085" t="s">
        <v>256</v>
      </c>
    </row>
    <row r="8086" spans="1:5" ht="13.2">
      <c r="A8086" t="s">
        <v>9334</v>
      </c>
      <c r="B8086">
        <v>0</v>
      </c>
      <c r="C8086" s="44" t="s">
        <v>352</v>
      </c>
      <c r="D8086" t="s">
        <v>291</v>
      </c>
      <c r="E8086" t="s">
        <v>256</v>
      </c>
    </row>
    <row r="8087" spans="1:5" ht="13.2">
      <c r="A8087" t="s">
        <v>9335</v>
      </c>
      <c r="B8087">
        <v>0</v>
      </c>
      <c r="C8087" s="44" t="s">
        <v>352</v>
      </c>
      <c r="D8087" t="s">
        <v>291</v>
      </c>
      <c r="E8087" t="s">
        <v>256</v>
      </c>
    </row>
    <row r="8088" spans="1:5" ht="13.2">
      <c r="A8088" t="s">
        <v>9336</v>
      </c>
      <c r="B8088">
        <v>0</v>
      </c>
      <c r="C8088" s="44" t="s">
        <v>352</v>
      </c>
      <c r="D8088" t="s">
        <v>291</v>
      </c>
      <c r="E8088" t="s">
        <v>256</v>
      </c>
    </row>
    <row r="8089" spans="1:5" ht="13.2">
      <c r="A8089" t="s">
        <v>9337</v>
      </c>
      <c r="B8089">
        <v>0</v>
      </c>
      <c r="C8089" s="44" t="s">
        <v>352</v>
      </c>
      <c r="D8089" t="s">
        <v>291</v>
      </c>
      <c r="E8089" t="s">
        <v>256</v>
      </c>
    </row>
    <row r="8090" spans="1:5" ht="13.2">
      <c r="A8090" t="s">
        <v>9338</v>
      </c>
      <c r="B8090">
        <v>0</v>
      </c>
      <c r="C8090" s="44" t="s">
        <v>352</v>
      </c>
      <c r="D8090" t="s">
        <v>291</v>
      </c>
      <c r="E8090" t="s">
        <v>256</v>
      </c>
    </row>
    <row r="8091" spans="1:5" ht="13.2">
      <c r="A8091" t="s">
        <v>9339</v>
      </c>
      <c r="B8091">
        <v>0</v>
      </c>
      <c r="C8091" s="44" t="s">
        <v>352</v>
      </c>
      <c r="D8091" t="s">
        <v>291</v>
      </c>
      <c r="E8091" t="s">
        <v>256</v>
      </c>
    </row>
    <row r="8092" spans="1:5" ht="13.2">
      <c r="A8092" t="s">
        <v>9340</v>
      </c>
      <c r="B8092">
        <v>0</v>
      </c>
      <c r="C8092" s="44" t="s">
        <v>352</v>
      </c>
      <c r="D8092" t="s">
        <v>291</v>
      </c>
      <c r="E8092" t="s">
        <v>256</v>
      </c>
    </row>
    <row r="8093" spans="1:5" ht="13.2">
      <c r="A8093" t="s">
        <v>9341</v>
      </c>
      <c r="B8093">
        <v>0</v>
      </c>
      <c r="C8093" s="44" t="s">
        <v>352</v>
      </c>
      <c r="D8093" t="s">
        <v>291</v>
      </c>
      <c r="E8093" t="s">
        <v>256</v>
      </c>
    </row>
    <row r="8094" spans="1:5" ht="13.2">
      <c r="A8094" t="s">
        <v>9342</v>
      </c>
      <c r="B8094">
        <v>0</v>
      </c>
      <c r="C8094" s="44" t="s">
        <v>352</v>
      </c>
      <c r="D8094" t="s">
        <v>291</v>
      </c>
      <c r="E8094" t="s">
        <v>256</v>
      </c>
    </row>
    <row r="8095" spans="1:5" ht="13.2">
      <c r="A8095" t="s">
        <v>9343</v>
      </c>
      <c r="B8095">
        <v>0</v>
      </c>
      <c r="C8095" s="44" t="s">
        <v>352</v>
      </c>
      <c r="D8095" t="s">
        <v>291</v>
      </c>
      <c r="E8095" t="s">
        <v>256</v>
      </c>
    </row>
    <row r="8096" spans="1:5" ht="13.2">
      <c r="A8096" t="s">
        <v>9344</v>
      </c>
      <c r="B8096">
        <v>0</v>
      </c>
      <c r="C8096" s="44" t="s">
        <v>352</v>
      </c>
      <c r="D8096" t="s">
        <v>291</v>
      </c>
      <c r="E8096" t="s">
        <v>256</v>
      </c>
    </row>
    <row r="8097" spans="1:5" ht="13.2">
      <c r="A8097" t="s">
        <v>9345</v>
      </c>
      <c r="B8097">
        <v>0</v>
      </c>
      <c r="C8097" s="44" t="s">
        <v>352</v>
      </c>
      <c r="D8097" t="s">
        <v>291</v>
      </c>
      <c r="E8097" t="s">
        <v>256</v>
      </c>
    </row>
    <row r="8098" spans="1:5" ht="13.2">
      <c r="A8098" t="s">
        <v>9346</v>
      </c>
      <c r="B8098">
        <v>0</v>
      </c>
      <c r="C8098" s="44" t="s">
        <v>352</v>
      </c>
      <c r="D8098" t="s">
        <v>291</v>
      </c>
      <c r="E8098" t="s">
        <v>256</v>
      </c>
    </row>
    <row r="8099" spans="1:5" ht="13.2">
      <c r="A8099" t="s">
        <v>9347</v>
      </c>
      <c r="B8099">
        <v>0</v>
      </c>
      <c r="C8099" s="44" t="s">
        <v>352</v>
      </c>
      <c r="D8099" t="s">
        <v>291</v>
      </c>
      <c r="E8099" t="s">
        <v>256</v>
      </c>
    </row>
    <row r="8100" spans="1:5" ht="13.2">
      <c r="A8100" t="s">
        <v>9348</v>
      </c>
      <c r="B8100">
        <v>0</v>
      </c>
      <c r="C8100" s="44" t="s">
        <v>352</v>
      </c>
      <c r="D8100" t="s">
        <v>291</v>
      </c>
      <c r="E8100" t="s">
        <v>256</v>
      </c>
    </row>
    <row r="8101" spans="1:5" ht="13.2">
      <c r="A8101" t="s">
        <v>9349</v>
      </c>
      <c r="B8101">
        <v>0</v>
      </c>
      <c r="C8101" s="44" t="s">
        <v>352</v>
      </c>
      <c r="D8101" t="s">
        <v>291</v>
      </c>
      <c r="E8101" t="s">
        <v>256</v>
      </c>
    </row>
    <row r="8102" spans="1:5" ht="13.2">
      <c r="A8102" t="s">
        <v>9350</v>
      </c>
      <c r="B8102">
        <v>0</v>
      </c>
      <c r="C8102" s="44" t="s">
        <v>352</v>
      </c>
      <c r="D8102" t="s">
        <v>291</v>
      </c>
      <c r="E8102" t="s">
        <v>256</v>
      </c>
    </row>
    <row r="8103" spans="1:5" ht="13.2">
      <c r="A8103" t="s">
        <v>9351</v>
      </c>
      <c r="B8103">
        <v>0</v>
      </c>
      <c r="C8103" s="44" t="s">
        <v>352</v>
      </c>
      <c r="D8103" t="s">
        <v>291</v>
      </c>
      <c r="E8103" t="s">
        <v>256</v>
      </c>
    </row>
    <row r="8104" spans="1:5" ht="13.2">
      <c r="A8104" t="s">
        <v>9352</v>
      </c>
      <c r="B8104">
        <v>0</v>
      </c>
      <c r="C8104" s="44" t="s">
        <v>352</v>
      </c>
      <c r="D8104" t="s">
        <v>291</v>
      </c>
      <c r="E8104" t="s">
        <v>256</v>
      </c>
    </row>
    <row r="8105" spans="1:5" ht="13.2">
      <c r="A8105" t="s">
        <v>9353</v>
      </c>
      <c r="B8105">
        <v>0</v>
      </c>
      <c r="C8105" s="44" t="s">
        <v>352</v>
      </c>
      <c r="D8105" t="s">
        <v>291</v>
      </c>
      <c r="E8105" t="s">
        <v>256</v>
      </c>
    </row>
    <row r="8106" spans="1:5" ht="13.2">
      <c r="A8106" t="s">
        <v>9354</v>
      </c>
      <c r="B8106">
        <v>0</v>
      </c>
      <c r="C8106" s="44" t="s">
        <v>352</v>
      </c>
      <c r="D8106" t="s">
        <v>291</v>
      </c>
      <c r="E8106" t="s">
        <v>256</v>
      </c>
    </row>
    <row r="8107" spans="1:5" ht="13.2">
      <c r="A8107" t="s">
        <v>9355</v>
      </c>
      <c r="B8107">
        <v>0</v>
      </c>
      <c r="C8107" s="44" t="s">
        <v>352</v>
      </c>
      <c r="D8107" t="s">
        <v>291</v>
      </c>
      <c r="E8107" t="s">
        <v>256</v>
      </c>
    </row>
    <row r="8108" spans="1:5" ht="13.2">
      <c r="A8108" t="s">
        <v>9356</v>
      </c>
      <c r="B8108">
        <v>0</v>
      </c>
      <c r="C8108" s="44" t="s">
        <v>352</v>
      </c>
      <c r="D8108" t="s">
        <v>291</v>
      </c>
      <c r="E8108" t="s">
        <v>256</v>
      </c>
    </row>
    <row r="8109" spans="1:6" ht="13.2">
      <c r="A8109" t="s">
        <v>9357</v>
      </c>
      <c r="B8109">
        <v>0</v>
      </c>
      <c r="C8109" s="44">
        <v>3000</v>
      </c>
      <c r="D8109" t="s">
        <v>291</v>
      </c>
      <c r="E8109" t="s">
        <v>9358</v>
      </c>
      <c r="F8109">
        <v>3</v>
      </c>
    </row>
    <row r="8110" spans="1:6" ht="13.2">
      <c r="A8110" t="s">
        <v>9359</v>
      </c>
      <c r="B8110">
        <v>0</v>
      </c>
      <c r="C8110" s="44">
        <v>3000</v>
      </c>
      <c r="D8110" t="s">
        <v>291</v>
      </c>
      <c r="E8110" t="s">
        <v>9358</v>
      </c>
      <c r="F8110">
        <v>3</v>
      </c>
    </row>
    <row r="8111" spans="1:6" ht="13.2">
      <c r="A8111" t="s">
        <v>9360</v>
      </c>
      <c r="B8111">
        <v>0</v>
      </c>
      <c r="C8111" s="44">
        <v>3000</v>
      </c>
      <c r="D8111" t="s">
        <v>291</v>
      </c>
      <c r="E8111" t="s">
        <v>9358</v>
      </c>
      <c r="F8111">
        <v>3</v>
      </c>
    </row>
    <row r="8112" spans="1:6" ht="13.2">
      <c r="A8112" t="s">
        <v>9361</v>
      </c>
      <c r="B8112">
        <v>0</v>
      </c>
      <c r="C8112" s="44">
        <v>3000</v>
      </c>
      <c r="D8112" t="s">
        <v>291</v>
      </c>
      <c r="E8112" t="s">
        <v>9358</v>
      </c>
      <c r="F8112">
        <v>3</v>
      </c>
    </row>
    <row r="8113" spans="1:6" ht="13.2">
      <c r="A8113" t="s">
        <v>9362</v>
      </c>
      <c r="B8113">
        <v>0</v>
      </c>
      <c r="C8113" s="44">
        <v>3000</v>
      </c>
      <c r="D8113" t="s">
        <v>291</v>
      </c>
      <c r="E8113" t="s">
        <v>9358</v>
      </c>
      <c r="F8113">
        <v>3</v>
      </c>
    </row>
    <row r="8114" spans="1:6" ht="13.2">
      <c r="A8114" t="s">
        <v>9363</v>
      </c>
      <c r="B8114">
        <v>0</v>
      </c>
      <c r="C8114" s="44">
        <v>3000</v>
      </c>
      <c r="D8114" t="s">
        <v>291</v>
      </c>
      <c r="E8114" t="s">
        <v>9358</v>
      </c>
      <c r="F8114">
        <v>3</v>
      </c>
    </row>
    <row r="8115" spans="1:6" ht="13.2">
      <c r="A8115" t="s">
        <v>9364</v>
      </c>
      <c r="B8115">
        <v>0</v>
      </c>
      <c r="C8115" s="44">
        <v>3000</v>
      </c>
      <c r="D8115" t="s">
        <v>291</v>
      </c>
      <c r="E8115" t="s">
        <v>9358</v>
      </c>
      <c r="F8115">
        <v>3</v>
      </c>
    </row>
    <row r="8116" spans="1:6" ht="13.2">
      <c r="A8116" t="s">
        <v>9365</v>
      </c>
      <c r="B8116">
        <v>0</v>
      </c>
      <c r="C8116" s="44">
        <v>3000</v>
      </c>
      <c r="D8116" t="s">
        <v>291</v>
      </c>
      <c r="E8116" t="s">
        <v>9358</v>
      </c>
      <c r="F8116">
        <v>3</v>
      </c>
    </row>
    <row r="8117" spans="1:6" ht="13.2">
      <c r="A8117" t="s">
        <v>9366</v>
      </c>
      <c r="B8117">
        <v>0</v>
      </c>
      <c r="C8117" s="44">
        <v>3000</v>
      </c>
      <c r="D8117" t="s">
        <v>291</v>
      </c>
      <c r="E8117" t="s">
        <v>9358</v>
      </c>
      <c r="F8117">
        <v>3</v>
      </c>
    </row>
    <row r="8118" spans="1:6" ht="13.2">
      <c r="A8118" t="s">
        <v>9367</v>
      </c>
      <c r="B8118">
        <v>0</v>
      </c>
      <c r="C8118" s="44">
        <v>3000</v>
      </c>
      <c r="D8118" t="s">
        <v>291</v>
      </c>
      <c r="E8118" t="s">
        <v>9358</v>
      </c>
      <c r="F8118">
        <v>3</v>
      </c>
    </row>
    <row r="8119" spans="1:6" ht="13.2">
      <c r="A8119" t="s">
        <v>9368</v>
      </c>
      <c r="B8119">
        <v>0</v>
      </c>
      <c r="C8119" s="44">
        <v>3000</v>
      </c>
      <c r="D8119" t="s">
        <v>291</v>
      </c>
      <c r="E8119" t="s">
        <v>9358</v>
      </c>
      <c r="F8119">
        <v>3</v>
      </c>
    </row>
    <row r="8120" spans="1:6" ht="13.2">
      <c r="A8120" t="s">
        <v>9369</v>
      </c>
      <c r="B8120">
        <v>0</v>
      </c>
      <c r="C8120" s="44">
        <v>3000</v>
      </c>
      <c r="D8120" t="s">
        <v>291</v>
      </c>
      <c r="E8120" t="s">
        <v>9358</v>
      </c>
      <c r="F8120">
        <v>3</v>
      </c>
    </row>
    <row r="8121" spans="1:6" ht="13.2">
      <c r="A8121" t="s">
        <v>9370</v>
      </c>
      <c r="B8121">
        <v>0</v>
      </c>
      <c r="C8121" s="44">
        <v>3000</v>
      </c>
      <c r="D8121" t="s">
        <v>291</v>
      </c>
      <c r="E8121" t="s">
        <v>9358</v>
      </c>
      <c r="F8121">
        <v>3</v>
      </c>
    </row>
    <row r="8122" spans="1:6" ht="13.2">
      <c r="A8122" t="s">
        <v>9371</v>
      </c>
      <c r="B8122">
        <v>0</v>
      </c>
      <c r="C8122" s="44">
        <v>3000</v>
      </c>
      <c r="D8122" t="s">
        <v>291</v>
      </c>
      <c r="E8122" t="s">
        <v>9358</v>
      </c>
      <c r="F8122">
        <v>3</v>
      </c>
    </row>
    <row r="8123" spans="1:6" ht="13.2">
      <c r="A8123" t="s">
        <v>9372</v>
      </c>
      <c r="B8123">
        <v>0</v>
      </c>
      <c r="C8123" s="44">
        <v>3000</v>
      </c>
      <c r="D8123" t="s">
        <v>291</v>
      </c>
      <c r="E8123" t="s">
        <v>9358</v>
      </c>
      <c r="F8123">
        <v>3</v>
      </c>
    </row>
    <row r="8124" spans="1:6" ht="13.2">
      <c r="A8124" t="s">
        <v>9373</v>
      </c>
      <c r="B8124">
        <v>0</v>
      </c>
      <c r="C8124" s="44">
        <v>3000</v>
      </c>
      <c r="D8124" t="s">
        <v>291</v>
      </c>
      <c r="E8124" t="s">
        <v>9358</v>
      </c>
      <c r="F8124">
        <v>3</v>
      </c>
    </row>
    <row r="8125" spans="1:6" ht="13.2">
      <c r="A8125" t="s">
        <v>9374</v>
      </c>
      <c r="B8125">
        <v>0</v>
      </c>
      <c r="C8125" s="44">
        <v>3000</v>
      </c>
      <c r="D8125" t="s">
        <v>291</v>
      </c>
      <c r="E8125" t="s">
        <v>9358</v>
      </c>
      <c r="F8125">
        <v>3</v>
      </c>
    </row>
    <row r="8126" spans="1:6" ht="13.2">
      <c r="A8126" t="s">
        <v>9375</v>
      </c>
      <c r="B8126">
        <v>0</v>
      </c>
      <c r="C8126" s="44">
        <v>3000</v>
      </c>
      <c r="D8126" t="s">
        <v>291</v>
      </c>
      <c r="E8126" t="s">
        <v>9358</v>
      </c>
      <c r="F8126">
        <v>3</v>
      </c>
    </row>
    <row r="8127" spans="1:6" ht="13.2">
      <c r="A8127" t="s">
        <v>9376</v>
      </c>
      <c r="B8127">
        <v>0</v>
      </c>
      <c r="C8127" s="44">
        <v>3000</v>
      </c>
      <c r="D8127" t="s">
        <v>291</v>
      </c>
      <c r="E8127" t="s">
        <v>9358</v>
      </c>
      <c r="F8127">
        <v>3</v>
      </c>
    </row>
    <row r="8128" spans="1:6" ht="13.2">
      <c r="A8128" t="s">
        <v>9377</v>
      </c>
      <c r="B8128">
        <v>0</v>
      </c>
      <c r="C8128" s="44">
        <v>3000</v>
      </c>
      <c r="D8128" t="s">
        <v>291</v>
      </c>
      <c r="E8128" t="s">
        <v>9358</v>
      </c>
      <c r="F8128">
        <v>3</v>
      </c>
    </row>
    <row r="8129" spans="1:6" ht="13.2">
      <c r="A8129" t="s">
        <v>9378</v>
      </c>
      <c r="B8129">
        <v>0</v>
      </c>
      <c r="C8129" s="44">
        <v>3000</v>
      </c>
      <c r="D8129" t="s">
        <v>291</v>
      </c>
      <c r="E8129" t="s">
        <v>9358</v>
      </c>
      <c r="F8129">
        <v>3</v>
      </c>
    </row>
    <row r="8130" spans="1:6" ht="13.2">
      <c r="A8130" t="s">
        <v>9379</v>
      </c>
      <c r="B8130">
        <v>0</v>
      </c>
      <c r="C8130" s="44" t="s">
        <v>204</v>
      </c>
      <c r="D8130" t="s">
        <v>293</v>
      </c>
      <c r="E8130" t="s">
        <v>4373</v>
      </c>
      <c r="F8130" t="s">
        <v>9380</v>
      </c>
    </row>
    <row r="8131" spans="1:6" ht="13.2">
      <c r="A8131" t="s">
        <v>9381</v>
      </c>
      <c r="B8131">
        <v>0</v>
      </c>
      <c r="C8131" s="44" t="s">
        <v>204</v>
      </c>
      <c r="D8131" t="s">
        <v>293</v>
      </c>
      <c r="E8131" t="s">
        <v>4373</v>
      </c>
      <c r="F8131" t="s">
        <v>9380</v>
      </c>
    </row>
    <row r="8132" spans="1:6" ht="13.2">
      <c r="A8132" t="s">
        <v>9382</v>
      </c>
      <c r="B8132">
        <v>0</v>
      </c>
      <c r="C8132" s="44" t="s">
        <v>204</v>
      </c>
      <c r="D8132" t="s">
        <v>293</v>
      </c>
      <c r="E8132" t="s">
        <v>4373</v>
      </c>
      <c r="F8132" t="s">
        <v>9380</v>
      </c>
    </row>
    <row r="8133" spans="1:6" ht="13.2">
      <c r="A8133" t="s">
        <v>9383</v>
      </c>
      <c r="B8133">
        <v>0</v>
      </c>
      <c r="C8133" s="44" t="s">
        <v>204</v>
      </c>
      <c r="D8133" t="s">
        <v>293</v>
      </c>
      <c r="E8133" t="s">
        <v>4373</v>
      </c>
      <c r="F8133" t="s">
        <v>9380</v>
      </c>
    </row>
    <row r="8134" spans="1:6" ht="13.2">
      <c r="A8134" t="s">
        <v>9384</v>
      </c>
      <c r="B8134">
        <v>0</v>
      </c>
      <c r="C8134" s="44" t="s">
        <v>201</v>
      </c>
      <c r="D8134" t="s">
        <v>293</v>
      </c>
      <c r="E8134" t="s">
        <v>256</v>
      </c>
      <c r="F8134">
        <v>4</v>
      </c>
    </row>
    <row r="8135" spans="1:6" ht="13.2">
      <c r="A8135" t="s">
        <v>9385</v>
      </c>
      <c r="B8135">
        <v>0</v>
      </c>
      <c r="C8135" s="44" t="s">
        <v>201</v>
      </c>
      <c r="D8135" t="s">
        <v>293</v>
      </c>
      <c r="E8135" t="s">
        <v>256</v>
      </c>
      <c r="F8135">
        <v>4</v>
      </c>
    </row>
    <row r="8136" spans="1:6" ht="13.2">
      <c r="A8136" t="s">
        <v>9386</v>
      </c>
      <c r="B8136">
        <v>0</v>
      </c>
      <c r="C8136" s="44" t="s">
        <v>201</v>
      </c>
      <c r="D8136" t="s">
        <v>293</v>
      </c>
      <c r="E8136" t="s">
        <v>256</v>
      </c>
      <c r="F8136">
        <v>4</v>
      </c>
    </row>
    <row r="8137" spans="1:6" ht="13.2">
      <c r="A8137" t="s">
        <v>9387</v>
      </c>
      <c r="B8137">
        <v>0</v>
      </c>
      <c r="C8137" s="44" t="s">
        <v>201</v>
      </c>
      <c r="D8137" t="s">
        <v>293</v>
      </c>
      <c r="E8137" t="s">
        <v>256</v>
      </c>
      <c r="F8137">
        <v>4</v>
      </c>
    </row>
    <row r="8138" spans="1:6" ht="13.2">
      <c r="A8138" t="s">
        <v>9388</v>
      </c>
      <c r="B8138">
        <v>0</v>
      </c>
      <c r="C8138" s="44" t="s">
        <v>201</v>
      </c>
      <c r="D8138" t="s">
        <v>293</v>
      </c>
      <c r="E8138" t="s">
        <v>256</v>
      </c>
      <c r="F8138">
        <v>4</v>
      </c>
    </row>
    <row r="8139" spans="1:6" ht="13.2">
      <c r="A8139" t="s">
        <v>9389</v>
      </c>
      <c r="B8139">
        <v>0</v>
      </c>
      <c r="C8139" s="44" t="s">
        <v>201</v>
      </c>
      <c r="D8139" t="s">
        <v>293</v>
      </c>
      <c r="E8139" t="s">
        <v>256</v>
      </c>
      <c r="F8139">
        <v>4</v>
      </c>
    </row>
    <row r="8140" spans="1:6" ht="13.2">
      <c r="A8140" t="s">
        <v>9390</v>
      </c>
      <c r="B8140">
        <v>0</v>
      </c>
      <c r="C8140" s="44" t="s">
        <v>201</v>
      </c>
      <c r="D8140" t="s">
        <v>293</v>
      </c>
      <c r="E8140" t="s">
        <v>256</v>
      </c>
      <c r="F8140">
        <v>4</v>
      </c>
    </row>
    <row r="8141" spans="1:6" ht="13.2">
      <c r="A8141" t="s">
        <v>9391</v>
      </c>
      <c r="B8141">
        <v>0</v>
      </c>
      <c r="C8141" s="44" t="s">
        <v>201</v>
      </c>
      <c r="D8141" t="s">
        <v>293</v>
      </c>
      <c r="E8141" t="s">
        <v>256</v>
      </c>
      <c r="F8141">
        <v>4</v>
      </c>
    </row>
    <row r="8142" spans="1:6" ht="13.2">
      <c r="A8142" t="s">
        <v>9392</v>
      </c>
      <c r="B8142">
        <v>0</v>
      </c>
      <c r="C8142" s="44" t="s">
        <v>201</v>
      </c>
      <c r="D8142" t="s">
        <v>293</v>
      </c>
      <c r="E8142" t="s">
        <v>256</v>
      </c>
      <c r="F8142">
        <v>4</v>
      </c>
    </row>
    <row r="8143" spans="1:6" ht="13.2">
      <c r="A8143" t="s">
        <v>9393</v>
      </c>
      <c r="B8143">
        <v>0</v>
      </c>
      <c r="C8143" s="44" t="s">
        <v>201</v>
      </c>
      <c r="D8143" t="s">
        <v>293</v>
      </c>
      <c r="E8143" t="s">
        <v>256</v>
      </c>
      <c r="F8143">
        <v>4</v>
      </c>
    </row>
    <row r="8144" spans="1:6" ht="13.2">
      <c r="A8144" t="s">
        <v>9394</v>
      </c>
      <c r="B8144">
        <v>0</v>
      </c>
      <c r="C8144" s="44" t="s">
        <v>201</v>
      </c>
      <c r="D8144" t="s">
        <v>293</v>
      </c>
      <c r="E8144" t="s">
        <v>256</v>
      </c>
      <c r="F8144">
        <v>4</v>
      </c>
    </row>
    <row r="8145" spans="1:6" ht="13.2">
      <c r="A8145" t="s">
        <v>9395</v>
      </c>
      <c r="B8145">
        <v>0</v>
      </c>
      <c r="C8145" s="44" t="s">
        <v>201</v>
      </c>
      <c r="D8145" t="s">
        <v>293</v>
      </c>
      <c r="E8145" t="s">
        <v>256</v>
      </c>
      <c r="F8145">
        <v>4</v>
      </c>
    </row>
    <row r="8146" spans="1:6" ht="13.2">
      <c r="A8146" t="s">
        <v>9396</v>
      </c>
      <c r="B8146">
        <v>0</v>
      </c>
      <c r="C8146" s="44" t="s">
        <v>201</v>
      </c>
      <c r="D8146" t="s">
        <v>293</v>
      </c>
      <c r="E8146" t="s">
        <v>256</v>
      </c>
      <c r="F8146">
        <v>4</v>
      </c>
    </row>
    <row r="8147" spans="1:6" ht="13.2">
      <c r="A8147" t="s">
        <v>9397</v>
      </c>
      <c r="B8147">
        <v>0</v>
      </c>
      <c r="C8147" s="44" t="s">
        <v>201</v>
      </c>
      <c r="D8147" t="s">
        <v>293</v>
      </c>
      <c r="E8147" t="s">
        <v>256</v>
      </c>
      <c r="F8147">
        <v>4</v>
      </c>
    </row>
    <row r="8148" spans="1:6" ht="13.2">
      <c r="A8148" t="s">
        <v>9398</v>
      </c>
      <c r="B8148">
        <v>0</v>
      </c>
      <c r="C8148" s="44" t="s">
        <v>201</v>
      </c>
      <c r="D8148" t="s">
        <v>293</v>
      </c>
      <c r="E8148" t="s">
        <v>256</v>
      </c>
      <c r="F8148">
        <v>4</v>
      </c>
    </row>
    <row r="8149" spans="1:6" ht="13.2">
      <c r="A8149" t="s">
        <v>9399</v>
      </c>
      <c r="B8149">
        <v>0</v>
      </c>
      <c r="C8149" s="44" t="s">
        <v>201</v>
      </c>
      <c r="D8149" t="s">
        <v>293</v>
      </c>
      <c r="E8149" t="s">
        <v>256</v>
      </c>
      <c r="F8149">
        <v>4</v>
      </c>
    </row>
    <row r="8150" spans="1:6" ht="13.2">
      <c r="A8150" t="s">
        <v>9400</v>
      </c>
      <c r="B8150">
        <v>0</v>
      </c>
      <c r="C8150" s="44" t="s">
        <v>201</v>
      </c>
      <c r="D8150" t="s">
        <v>293</v>
      </c>
      <c r="E8150" t="s">
        <v>256</v>
      </c>
      <c r="F8150">
        <v>4</v>
      </c>
    </row>
    <row r="8151" spans="1:6" ht="13.2">
      <c r="A8151" t="s">
        <v>9401</v>
      </c>
      <c r="B8151">
        <v>0</v>
      </c>
      <c r="C8151" s="44" t="s">
        <v>201</v>
      </c>
      <c r="D8151" t="s">
        <v>293</v>
      </c>
      <c r="E8151" t="s">
        <v>256</v>
      </c>
      <c r="F8151">
        <v>4</v>
      </c>
    </row>
    <row r="8152" spans="1:6" ht="13.2">
      <c r="A8152" t="s">
        <v>9402</v>
      </c>
      <c r="B8152">
        <v>0</v>
      </c>
      <c r="C8152" s="44" t="s">
        <v>201</v>
      </c>
      <c r="D8152" t="s">
        <v>293</v>
      </c>
      <c r="E8152" t="s">
        <v>256</v>
      </c>
      <c r="F8152">
        <v>4</v>
      </c>
    </row>
    <row r="8153" spans="1:6" ht="13.2">
      <c r="A8153" t="s">
        <v>9403</v>
      </c>
      <c r="B8153">
        <v>0</v>
      </c>
      <c r="C8153" s="44" t="s">
        <v>201</v>
      </c>
      <c r="D8153" t="s">
        <v>293</v>
      </c>
      <c r="E8153" t="s">
        <v>256</v>
      </c>
      <c r="F8153">
        <v>4</v>
      </c>
    </row>
    <row r="8154" spans="1:6" ht="13.2">
      <c r="A8154" t="s">
        <v>9404</v>
      </c>
      <c r="B8154">
        <v>0</v>
      </c>
      <c r="C8154" s="44" t="s">
        <v>201</v>
      </c>
      <c r="D8154" t="s">
        <v>293</v>
      </c>
      <c r="E8154" t="s">
        <v>256</v>
      </c>
      <c r="F8154">
        <v>4</v>
      </c>
    </row>
    <row r="8155" spans="1:6" ht="13.2">
      <c r="A8155" t="s">
        <v>9405</v>
      </c>
      <c r="B8155">
        <v>0</v>
      </c>
      <c r="C8155" s="44" t="s">
        <v>201</v>
      </c>
      <c r="D8155" t="s">
        <v>293</v>
      </c>
      <c r="E8155" t="s">
        <v>256</v>
      </c>
      <c r="F8155">
        <v>4</v>
      </c>
    </row>
    <row r="8156" spans="1:6" ht="13.2">
      <c r="A8156" t="s">
        <v>9406</v>
      </c>
      <c r="B8156">
        <v>0</v>
      </c>
      <c r="C8156" s="44" t="s">
        <v>201</v>
      </c>
      <c r="D8156" t="s">
        <v>293</v>
      </c>
      <c r="E8156" t="s">
        <v>256</v>
      </c>
      <c r="F8156">
        <v>4</v>
      </c>
    </row>
    <row r="8157" spans="1:6" ht="13.2">
      <c r="A8157" t="s">
        <v>9407</v>
      </c>
      <c r="B8157">
        <v>0</v>
      </c>
      <c r="C8157" s="44" t="s">
        <v>201</v>
      </c>
      <c r="D8157" t="s">
        <v>293</v>
      </c>
      <c r="E8157" t="s">
        <v>256</v>
      </c>
      <c r="F8157">
        <v>4</v>
      </c>
    </row>
    <row r="8158" spans="1:6" ht="13.2">
      <c r="A8158" t="s">
        <v>9408</v>
      </c>
      <c r="B8158">
        <v>0</v>
      </c>
      <c r="C8158" s="44" t="s">
        <v>201</v>
      </c>
      <c r="D8158" t="s">
        <v>293</v>
      </c>
      <c r="E8158" t="s">
        <v>256</v>
      </c>
      <c r="F8158">
        <v>4</v>
      </c>
    </row>
    <row r="8159" spans="1:6" ht="13.2">
      <c r="A8159" t="s">
        <v>9409</v>
      </c>
      <c r="B8159">
        <v>0</v>
      </c>
      <c r="C8159" s="44" t="s">
        <v>201</v>
      </c>
      <c r="D8159" t="s">
        <v>293</v>
      </c>
      <c r="E8159" t="s">
        <v>256</v>
      </c>
      <c r="F8159">
        <v>4</v>
      </c>
    </row>
    <row r="8160" spans="1:6" ht="13.2">
      <c r="A8160" t="s">
        <v>9410</v>
      </c>
      <c r="B8160">
        <v>0</v>
      </c>
      <c r="C8160" s="44" t="s">
        <v>201</v>
      </c>
      <c r="D8160" t="s">
        <v>293</v>
      </c>
      <c r="E8160" t="s">
        <v>256</v>
      </c>
      <c r="F8160">
        <v>4</v>
      </c>
    </row>
    <row r="8161" spans="1:6" ht="13.2">
      <c r="A8161" t="s">
        <v>9411</v>
      </c>
      <c r="B8161">
        <v>0</v>
      </c>
      <c r="C8161" s="44" t="s">
        <v>201</v>
      </c>
      <c r="D8161" t="s">
        <v>293</v>
      </c>
      <c r="E8161" t="s">
        <v>256</v>
      </c>
      <c r="F8161">
        <v>4</v>
      </c>
    </row>
    <row r="8162" spans="1:6" ht="13.2">
      <c r="A8162" t="s">
        <v>9412</v>
      </c>
      <c r="B8162">
        <v>0</v>
      </c>
      <c r="C8162" s="44" t="s">
        <v>201</v>
      </c>
      <c r="D8162" t="s">
        <v>293</v>
      </c>
      <c r="E8162" t="s">
        <v>256</v>
      </c>
      <c r="F8162">
        <v>4</v>
      </c>
    </row>
    <row r="8163" spans="1:6" ht="13.2">
      <c r="A8163" t="s">
        <v>9413</v>
      </c>
      <c r="B8163">
        <v>0</v>
      </c>
      <c r="C8163" s="44" t="s">
        <v>201</v>
      </c>
      <c r="D8163" t="s">
        <v>293</v>
      </c>
      <c r="E8163" t="s">
        <v>256</v>
      </c>
      <c r="F8163">
        <v>4</v>
      </c>
    </row>
    <row r="8164" spans="1:6" ht="13.2">
      <c r="A8164" t="s">
        <v>9414</v>
      </c>
      <c r="B8164">
        <v>0</v>
      </c>
      <c r="C8164" s="44" t="s">
        <v>201</v>
      </c>
      <c r="D8164" t="s">
        <v>293</v>
      </c>
      <c r="E8164" t="s">
        <v>256</v>
      </c>
      <c r="F8164">
        <v>4</v>
      </c>
    </row>
    <row r="8165" spans="1:6" ht="13.2">
      <c r="A8165" t="s">
        <v>9415</v>
      </c>
      <c r="B8165">
        <v>0</v>
      </c>
      <c r="C8165" s="44" t="s">
        <v>201</v>
      </c>
      <c r="D8165" t="s">
        <v>293</v>
      </c>
      <c r="E8165" t="s">
        <v>256</v>
      </c>
      <c r="F8165">
        <v>4</v>
      </c>
    </row>
    <row r="8166" spans="1:6" ht="13.2">
      <c r="A8166" t="s">
        <v>9416</v>
      </c>
      <c r="B8166">
        <v>310</v>
      </c>
      <c r="C8166" s="44">
        <v>1400</v>
      </c>
      <c r="D8166" t="s">
        <v>291</v>
      </c>
      <c r="E8166" t="s">
        <v>721</v>
      </c>
      <c r="F8166">
        <v>3</v>
      </c>
    </row>
    <row r="8167" spans="1:6" ht="13.2">
      <c r="A8167" t="s">
        <v>9417</v>
      </c>
      <c r="B8167">
        <v>310</v>
      </c>
      <c r="C8167" s="44">
        <v>1400</v>
      </c>
      <c r="D8167" t="s">
        <v>291</v>
      </c>
      <c r="E8167" t="s">
        <v>721</v>
      </c>
      <c r="F8167">
        <v>3</v>
      </c>
    </row>
    <row r="8168" spans="1:6" ht="13.2">
      <c r="A8168" t="s">
        <v>9418</v>
      </c>
      <c r="B8168">
        <v>310</v>
      </c>
      <c r="C8168" s="44">
        <v>1400</v>
      </c>
      <c r="D8168" t="s">
        <v>291</v>
      </c>
      <c r="E8168" t="s">
        <v>721</v>
      </c>
      <c r="F8168">
        <v>3</v>
      </c>
    </row>
    <row r="8169" spans="1:6" ht="13.2">
      <c r="A8169" t="s">
        <v>9419</v>
      </c>
      <c r="B8169">
        <v>615</v>
      </c>
      <c r="C8169" s="44">
        <v>1400</v>
      </c>
      <c r="D8169" t="s">
        <v>291</v>
      </c>
      <c r="E8169" t="s">
        <v>721</v>
      </c>
      <c r="F8169">
        <v>3</v>
      </c>
    </row>
    <row r="8170" spans="1:6" ht="13.2">
      <c r="A8170" t="s">
        <v>9420</v>
      </c>
      <c r="B8170">
        <v>615</v>
      </c>
      <c r="C8170" s="44">
        <v>1400</v>
      </c>
      <c r="D8170" t="s">
        <v>291</v>
      </c>
      <c r="E8170" t="s">
        <v>721</v>
      </c>
      <c r="F8170">
        <v>3</v>
      </c>
    </row>
    <row r="8171" spans="1:6" ht="13.2">
      <c r="A8171" t="s">
        <v>9421</v>
      </c>
      <c r="B8171">
        <v>615</v>
      </c>
      <c r="C8171" s="44">
        <v>1400</v>
      </c>
      <c r="D8171" t="s">
        <v>291</v>
      </c>
      <c r="E8171" t="s">
        <v>721</v>
      </c>
      <c r="F8171">
        <v>3</v>
      </c>
    </row>
    <row r="8172" spans="1:6" ht="13.2">
      <c r="A8172" t="s">
        <v>9422</v>
      </c>
      <c r="B8172">
        <v>310</v>
      </c>
      <c r="C8172" s="44">
        <v>1400</v>
      </c>
      <c r="D8172" t="s">
        <v>291</v>
      </c>
      <c r="E8172" t="s">
        <v>721</v>
      </c>
      <c r="F8172">
        <v>3</v>
      </c>
    </row>
    <row r="8173" spans="1:6" ht="13.2">
      <c r="A8173" t="s">
        <v>9423</v>
      </c>
      <c r="B8173">
        <v>310</v>
      </c>
      <c r="C8173" s="44">
        <v>1400</v>
      </c>
      <c r="D8173" t="s">
        <v>291</v>
      </c>
      <c r="E8173" t="s">
        <v>721</v>
      </c>
      <c r="F8173">
        <v>3</v>
      </c>
    </row>
    <row r="8174" spans="1:6" ht="13.2">
      <c r="A8174" t="s">
        <v>9424</v>
      </c>
      <c r="B8174">
        <v>310</v>
      </c>
      <c r="C8174" s="44">
        <v>1400</v>
      </c>
      <c r="D8174" t="s">
        <v>291</v>
      </c>
      <c r="E8174" t="s">
        <v>721</v>
      </c>
      <c r="F8174">
        <v>3</v>
      </c>
    </row>
    <row r="8175" spans="1:6" ht="13.2">
      <c r="A8175" t="s">
        <v>9425</v>
      </c>
      <c r="B8175">
        <v>360</v>
      </c>
      <c r="C8175" s="44" t="s">
        <v>208</v>
      </c>
      <c r="D8175" t="s">
        <v>291</v>
      </c>
      <c r="E8175" t="s">
        <v>256</v>
      </c>
      <c r="F8175">
        <v>4</v>
      </c>
    </row>
    <row r="8176" spans="1:6" ht="13.2">
      <c r="A8176" t="s">
        <v>9426</v>
      </c>
      <c r="B8176">
        <v>360</v>
      </c>
      <c r="C8176" s="44" t="s">
        <v>208</v>
      </c>
      <c r="D8176" t="s">
        <v>291</v>
      </c>
      <c r="E8176" t="s">
        <v>256</v>
      </c>
      <c r="F8176">
        <v>4</v>
      </c>
    </row>
    <row r="8177" spans="1:6" ht="13.2">
      <c r="A8177" t="s">
        <v>9427</v>
      </c>
      <c r="B8177">
        <v>360</v>
      </c>
      <c r="C8177" s="44" t="s">
        <v>208</v>
      </c>
      <c r="D8177" t="s">
        <v>291</v>
      </c>
      <c r="E8177" t="s">
        <v>256</v>
      </c>
      <c r="F8177">
        <v>4</v>
      </c>
    </row>
    <row r="8178" spans="1:6" ht="13.2">
      <c r="A8178" t="s">
        <v>9428</v>
      </c>
      <c r="B8178">
        <v>360</v>
      </c>
      <c r="C8178" s="44" t="s">
        <v>208</v>
      </c>
      <c r="D8178" t="s">
        <v>291</v>
      </c>
      <c r="E8178" t="s">
        <v>256</v>
      </c>
      <c r="F8178">
        <v>4</v>
      </c>
    </row>
    <row r="8179" spans="1:6" ht="13.2">
      <c r="A8179" t="s">
        <v>9429</v>
      </c>
      <c r="B8179">
        <v>360</v>
      </c>
      <c r="C8179" s="44" t="s">
        <v>208</v>
      </c>
      <c r="D8179" t="s">
        <v>291</v>
      </c>
      <c r="E8179" t="s">
        <v>256</v>
      </c>
      <c r="F8179">
        <v>4</v>
      </c>
    </row>
    <row r="8180" spans="1:6" ht="13.2">
      <c r="A8180" t="s">
        <v>9430</v>
      </c>
      <c r="B8180">
        <v>360</v>
      </c>
      <c r="C8180" s="44" t="s">
        <v>208</v>
      </c>
      <c r="D8180" t="s">
        <v>291</v>
      </c>
      <c r="E8180" t="s">
        <v>256</v>
      </c>
      <c r="F8180">
        <v>4</v>
      </c>
    </row>
    <row r="8181" spans="1:6" ht="13.2">
      <c r="A8181" t="s">
        <v>9431</v>
      </c>
      <c r="B8181">
        <v>360</v>
      </c>
      <c r="C8181" s="44" t="s">
        <v>208</v>
      </c>
      <c r="D8181" t="s">
        <v>291</v>
      </c>
      <c r="E8181" t="s">
        <v>256</v>
      </c>
      <c r="F8181">
        <v>4</v>
      </c>
    </row>
    <row r="8182" spans="1:6" ht="13.2">
      <c r="A8182" t="s">
        <v>9432</v>
      </c>
      <c r="B8182">
        <v>360</v>
      </c>
      <c r="C8182" s="44" t="s">
        <v>208</v>
      </c>
      <c r="D8182" t="s">
        <v>291</v>
      </c>
      <c r="E8182" t="s">
        <v>256</v>
      </c>
      <c r="F8182">
        <v>4</v>
      </c>
    </row>
    <row r="8183" spans="1:6" ht="13.2">
      <c r="A8183" t="s">
        <v>9433</v>
      </c>
      <c r="B8183">
        <v>360</v>
      </c>
      <c r="C8183" s="44" t="s">
        <v>208</v>
      </c>
      <c r="D8183" t="s">
        <v>291</v>
      </c>
      <c r="E8183" t="s">
        <v>256</v>
      </c>
      <c r="F8183">
        <v>4</v>
      </c>
    </row>
    <row r="8184" spans="1:6" ht="13.2">
      <c r="A8184" t="s">
        <v>9434</v>
      </c>
      <c r="B8184">
        <v>0</v>
      </c>
      <c r="C8184" s="44">
        <v>1470</v>
      </c>
      <c r="D8184" t="s">
        <v>293</v>
      </c>
      <c r="E8184" t="s">
        <v>256</v>
      </c>
      <c r="F8184">
        <v>4</v>
      </c>
    </row>
    <row r="8185" spans="1:6" ht="13.2">
      <c r="A8185" t="s">
        <v>9435</v>
      </c>
      <c r="B8185">
        <v>0</v>
      </c>
      <c r="C8185" s="44">
        <v>1470</v>
      </c>
      <c r="D8185" t="s">
        <v>293</v>
      </c>
      <c r="E8185" t="s">
        <v>256</v>
      </c>
      <c r="F8185">
        <v>4</v>
      </c>
    </row>
    <row r="8186" spans="1:6" ht="13.2">
      <c r="A8186" t="s">
        <v>9436</v>
      </c>
      <c r="B8186">
        <v>0</v>
      </c>
      <c r="C8186" s="44">
        <v>1470</v>
      </c>
      <c r="D8186" t="s">
        <v>293</v>
      </c>
      <c r="E8186" t="s">
        <v>256</v>
      </c>
      <c r="F8186">
        <v>4</v>
      </c>
    </row>
    <row r="8187" spans="1:6" ht="13.2">
      <c r="A8187" t="s">
        <v>9437</v>
      </c>
      <c r="B8187">
        <v>0</v>
      </c>
      <c r="C8187" s="44">
        <v>1470</v>
      </c>
      <c r="D8187" t="s">
        <v>293</v>
      </c>
      <c r="E8187" t="s">
        <v>256</v>
      </c>
      <c r="F8187">
        <v>4</v>
      </c>
    </row>
    <row r="8188" spans="1:6" ht="13.2">
      <c r="A8188" t="s">
        <v>9438</v>
      </c>
      <c r="B8188">
        <v>0</v>
      </c>
      <c r="C8188" s="44">
        <v>1470</v>
      </c>
      <c r="D8188" t="s">
        <v>293</v>
      </c>
      <c r="E8188" t="s">
        <v>256</v>
      </c>
      <c r="F8188">
        <v>4</v>
      </c>
    </row>
    <row r="8189" spans="1:6" ht="13.2">
      <c r="A8189" t="s">
        <v>9439</v>
      </c>
      <c r="B8189">
        <v>0</v>
      </c>
      <c r="C8189" s="44">
        <v>1470</v>
      </c>
      <c r="D8189" t="s">
        <v>293</v>
      </c>
      <c r="E8189" t="s">
        <v>256</v>
      </c>
      <c r="F8189">
        <v>4</v>
      </c>
    </row>
    <row r="8190" spans="1:6" ht="13.2">
      <c r="A8190" t="s">
        <v>9440</v>
      </c>
      <c r="B8190">
        <v>0</v>
      </c>
      <c r="C8190" s="44">
        <v>1470</v>
      </c>
      <c r="D8190" t="s">
        <v>293</v>
      </c>
      <c r="E8190" t="s">
        <v>256</v>
      </c>
      <c r="F8190">
        <v>4</v>
      </c>
    </row>
    <row r="8191" spans="1:6" ht="13.2">
      <c r="A8191" t="s">
        <v>9441</v>
      </c>
      <c r="B8191">
        <v>0</v>
      </c>
      <c r="C8191" s="44">
        <v>1470</v>
      </c>
      <c r="D8191" t="s">
        <v>293</v>
      </c>
      <c r="E8191" t="s">
        <v>256</v>
      </c>
      <c r="F8191">
        <v>4</v>
      </c>
    </row>
    <row r="8192" spans="1:6" ht="13.2">
      <c r="A8192" t="s">
        <v>9442</v>
      </c>
      <c r="B8192">
        <v>0</v>
      </c>
      <c r="C8192" s="44">
        <v>1470</v>
      </c>
      <c r="D8192" t="s">
        <v>293</v>
      </c>
      <c r="E8192" t="s">
        <v>256</v>
      </c>
      <c r="F8192">
        <v>4</v>
      </c>
    </row>
    <row r="8193" spans="1:6" ht="13.2">
      <c r="A8193" t="s">
        <v>9443</v>
      </c>
      <c r="B8193">
        <v>0</v>
      </c>
      <c r="C8193" s="44">
        <v>1470</v>
      </c>
      <c r="D8193" t="s">
        <v>293</v>
      </c>
      <c r="E8193" t="s">
        <v>256</v>
      </c>
      <c r="F8193">
        <v>4</v>
      </c>
    </row>
    <row r="8194" spans="1:6" ht="13.2">
      <c r="A8194" t="s">
        <v>9444</v>
      </c>
      <c r="B8194">
        <v>0</v>
      </c>
      <c r="C8194" s="44">
        <v>1470</v>
      </c>
      <c r="D8194" t="s">
        <v>293</v>
      </c>
      <c r="E8194" t="s">
        <v>256</v>
      </c>
      <c r="F8194">
        <v>4</v>
      </c>
    </row>
    <row r="8195" spans="1:6" ht="13.2">
      <c r="A8195" t="s">
        <v>9445</v>
      </c>
      <c r="B8195">
        <v>0</v>
      </c>
      <c r="C8195" s="44">
        <v>1470</v>
      </c>
      <c r="D8195" t="s">
        <v>293</v>
      </c>
      <c r="E8195" t="s">
        <v>256</v>
      </c>
      <c r="F8195">
        <v>4</v>
      </c>
    </row>
    <row r="8196" spans="1:6" ht="13.2">
      <c r="A8196" t="s">
        <v>9446</v>
      </c>
      <c r="B8196">
        <v>0</v>
      </c>
      <c r="C8196" s="44">
        <v>1470</v>
      </c>
      <c r="D8196" t="s">
        <v>293</v>
      </c>
      <c r="E8196" t="s">
        <v>256</v>
      </c>
      <c r="F8196">
        <v>4</v>
      </c>
    </row>
    <row r="8197" spans="1:6" ht="13.2">
      <c r="A8197" t="s">
        <v>9447</v>
      </c>
      <c r="B8197">
        <v>0</v>
      </c>
      <c r="C8197" s="44">
        <v>1470</v>
      </c>
      <c r="D8197" t="s">
        <v>293</v>
      </c>
      <c r="E8197" t="s">
        <v>256</v>
      </c>
      <c r="F8197">
        <v>4</v>
      </c>
    </row>
    <row r="8198" spans="1:6" ht="13.2">
      <c r="A8198" t="s">
        <v>9448</v>
      </c>
      <c r="B8198">
        <v>0</v>
      </c>
      <c r="C8198" s="44">
        <v>1470</v>
      </c>
      <c r="D8198" t="s">
        <v>293</v>
      </c>
      <c r="E8198" t="s">
        <v>256</v>
      </c>
      <c r="F8198">
        <v>4</v>
      </c>
    </row>
    <row r="8199" spans="1:6" ht="13.2">
      <c r="A8199" t="s">
        <v>9449</v>
      </c>
      <c r="B8199">
        <v>0</v>
      </c>
      <c r="C8199" s="44">
        <v>1470</v>
      </c>
      <c r="D8199" t="s">
        <v>293</v>
      </c>
      <c r="E8199" t="s">
        <v>256</v>
      </c>
      <c r="F8199">
        <v>4</v>
      </c>
    </row>
    <row r="8200" spans="1:6" ht="13.2">
      <c r="A8200" t="s">
        <v>9450</v>
      </c>
      <c r="B8200">
        <v>0</v>
      </c>
      <c r="C8200" s="44">
        <v>1470</v>
      </c>
      <c r="D8200" t="s">
        <v>293</v>
      </c>
      <c r="E8200" t="s">
        <v>256</v>
      </c>
      <c r="F8200">
        <v>4</v>
      </c>
    </row>
    <row r="8201" spans="1:6" ht="13.2">
      <c r="A8201" t="s">
        <v>9451</v>
      </c>
      <c r="B8201">
        <v>0</v>
      </c>
      <c r="C8201" s="44">
        <v>1470</v>
      </c>
      <c r="D8201" t="s">
        <v>293</v>
      </c>
      <c r="E8201" t="s">
        <v>256</v>
      </c>
      <c r="F8201">
        <v>4</v>
      </c>
    </row>
    <row r="8202" spans="1:6" ht="13.2">
      <c r="A8202" t="s">
        <v>9452</v>
      </c>
      <c r="B8202">
        <v>0</v>
      </c>
      <c r="C8202" s="44">
        <v>1470</v>
      </c>
      <c r="D8202" t="s">
        <v>293</v>
      </c>
      <c r="E8202" t="s">
        <v>256</v>
      </c>
      <c r="F8202">
        <v>4</v>
      </c>
    </row>
    <row r="8203" spans="1:6" ht="13.2">
      <c r="A8203" t="s">
        <v>9453</v>
      </c>
      <c r="B8203">
        <v>0</v>
      </c>
      <c r="C8203" s="44">
        <v>1470</v>
      </c>
      <c r="D8203" t="s">
        <v>293</v>
      </c>
      <c r="E8203" t="s">
        <v>256</v>
      </c>
      <c r="F8203">
        <v>4</v>
      </c>
    </row>
    <row r="8204" spans="1:6" ht="13.2">
      <c r="A8204" t="s">
        <v>9454</v>
      </c>
      <c r="B8204">
        <v>0</v>
      </c>
      <c r="C8204" s="44">
        <v>1470</v>
      </c>
      <c r="D8204" t="s">
        <v>293</v>
      </c>
      <c r="E8204" t="s">
        <v>256</v>
      </c>
      <c r="F8204">
        <v>4</v>
      </c>
    </row>
    <row r="8205" spans="1:6" ht="13.2">
      <c r="A8205" t="s">
        <v>9455</v>
      </c>
      <c r="B8205">
        <v>0</v>
      </c>
      <c r="C8205" s="44">
        <v>1470</v>
      </c>
      <c r="D8205" t="s">
        <v>293</v>
      </c>
      <c r="E8205" t="s">
        <v>256</v>
      </c>
      <c r="F8205">
        <v>4</v>
      </c>
    </row>
    <row r="8206" spans="1:6" ht="13.2">
      <c r="A8206" t="s">
        <v>9456</v>
      </c>
      <c r="B8206">
        <v>0</v>
      </c>
      <c r="C8206" s="44">
        <v>1470</v>
      </c>
      <c r="D8206" t="s">
        <v>293</v>
      </c>
      <c r="E8206" t="s">
        <v>256</v>
      </c>
      <c r="F8206">
        <v>4</v>
      </c>
    </row>
    <row r="8207" spans="1:6" ht="13.2">
      <c r="A8207" t="s">
        <v>9457</v>
      </c>
      <c r="B8207">
        <v>0</v>
      </c>
      <c r="C8207" s="44">
        <v>1470</v>
      </c>
      <c r="D8207" t="s">
        <v>293</v>
      </c>
      <c r="E8207" t="s">
        <v>256</v>
      </c>
      <c r="F8207">
        <v>4</v>
      </c>
    </row>
    <row r="8208" spans="1:6" ht="13.2">
      <c r="A8208" t="s">
        <v>9458</v>
      </c>
      <c r="B8208">
        <v>0</v>
      </c>
      <c r="C8208" s="44">
        <v>1470</v>
      </c>
      <c r="D8208" t="s">
        <v>293</v>
      </c>
      <c r="E8208" t="s">
        <v>256</v>
      </c>
      <c r="F8208">
        <v>4</v>
      </c>
    </row>
    <row r="8209" spans="1:6" ht="13.2">
      <c r="A8209" t="s">
        <v>9459</v>
      </c>
      <c r="B8209">
        <v>0</v>
      </c>
      <c r="C8209" s="44">
        <v>1470</v>
      </c>
      <c r="D8209" t="s">
        <v>293</v>
      </c>
      <c r="E8209" t="s">
        <v>256</v>
      </c>
      <c r="F8209">
        <v>4</v>
      </c>
    </row>
    <row r="8210" spans="1:6" ht="13.2">
      <c r="A8210" t="s">
        <v>9460</v>
      </c>
      <c r="B8210">
        <v>0</v>
      </c>
      <c r="C8210" s="44">
        <v>1470</v>
      </c>
      <c r="D8210" t="s">
        <v>293</v>
      </c>
      <c r="E8210" t="s">
        <v>256</v>
      </c>
      <c r="F8210">
        <v>4</v>
      </c>
    </row>
    <row r="8211" spans="1:6" ht="13.2">
      <c r="A8211" t="s">
        <v>9461</v>
      </c>
      <c r="B8211">
        <v>0</v>
      </c>
      <c r="C8211" s="44">
        <v>1470</v>
      </c>
      <c r="D8211" t="s">
        <v>293</v>
      </c>
      <c r="E8211" t="s">
        <v>256</v>
      </c>
      <c r="F8211">
        <v>4</v>
      </c>
    </row>
    <row r="8212" spans="1:6" ht="13.2">
      <c r="A8212" t="s">
        <v>9462</v>
      </c>
      <c r="B8212">
        <v>0</v>
      </c>
      <c r="C8212" s="44">
        <v>1470</v>
      </c>
      <c r="D8212" t="s">
        <v>293</v>
      </c>
      <c r="E8212" t="s">
        <v>256</v>
      </c>
      <c r="F8212">
        <v>4</v>
      </c>
    </row>
    <row r="8213" spans="1:6" ht="13.2">
      <c r="A8213" t="s">
        <v>9463</v>
      </c>
      <c r="B8213">
        <v>0</v>
      </c>
      <c r="C8213" s="44">
        <v>1470</v>
      </c>
      <c r="D8213" t="s">
        <v>293</v>
      </c>
      <c r="E8213" t="s">
        <v>256</v>
      </c>
      <c r="F8213">
        <v>4</v>
      </c>
    </row>
    <row r="8214" spans="1:6" ht="13.2">
      <c r="A8214" t="s">
        <v>9464</v>
      </c>
      <c r="B8214">
        <v>0</v>
      </c>
      <c r="C8214" s="44">
        <v>1470</v>
      </c>
      <c r="D8214" t="s">
        <v>293</v>
      </c>
      <c r="E8214" t="s">
        <v>256</v>
      </c>
      <c r="F8214">
        <v>4</v>
      </c>
    </row>
    <row r="8215" spans="1:6" ht="13.2">
      <c r="A8215" t="s">
        <v>9465</v>
      </c>
      <c r="B8215">
        <v>0</v>
      </c>
      <c r="C8215" s="44">
        <v>1470</v>
      </c>
      <c r="D8215" t="s">
        <v>293</v>
      </c>
      <c r="E8215" t="s">
        <v>256</v>
      </c>
      <c r="F8215">
        <v>4</v>
      </c>
    </row>
    <row r="8216" spans="1:6" ht="13.2">
      <c r="A8216" t="s">
        <v>9466</v>
      </c>
      <c r="B8216">
        <v>0</v>
      </c>
      <c r="C8216" s="44">
        <v>1470</v>
      </c>
      <c r="D8216" t="s">
        <v>293</v>
      </c>
      <c r="E8216" t="s">
        <v>256</v>
      </c>
      <c r="F8216">
        <v>4</v>
      </c>
    </row>
    <row r="8217" spans="1:6" ht="13.2">
      <c r="A8217" t="s">
        <v>9467</v>
      </c>
      <c r="B8217">
        <v>0</v>
      </c>
      <c r="C8217" s="44">
        <v>1470</v>
      </c>
      <c r="D8217" t="s">
        <v>293</v>
      </c>
      <c r="E8217" t="s">
        <v>256</v>
      </c>
      <c r="F8217">
        <v>4</v>
      </c>
    </row>
    <row r="8218" spans="1:6" ht="13.2">
      <c r="A8218" t="s">
        <v>9468</v>
      </c>
      <c r="B8218">
        <v>0</v>
      </c>
      <c r="C8218" s="44">
        <v>1470</v>
      </c>
      <c r="D8218" t="s">
        <v>293</v>
      </c>
      <c r="E8218" t="s">
        <v>256</v>
      </c>
      <c r="F8218">
        <v>4</v>
      </c>
    </row>
    <row r="8219" spans="1:6" ht="13.2">
      <c r="A8219" t="s">
        <v>9469</v>
      </c>
      <c r="B8219">
        <v>0</v>
      </c>
      <c r="C8219" s="44">
        <v>1470</v>
      </c>
      <c r="D8219" t="s">
        <v>293</v>
      </c>
      <c r="E8219" t="s">
        <v>256</v>
      </c>
      <c r="F8219">
        <v>4</v>
      </c>
    </row>
    <row r="8220" spans="1:6" ht="13.2">
      <c r="A8220" t="s">
        <v>9470</v>
      </c>
      <c r="B8220">
        <v>0</v>
      </c>
      <c r="C8220" s="44">
        <v>1470</v>
      </c>
      <c r="D8220" t="s">
        <v>293</v>
      </c>
      <c r="E8220" t="s">
        <v>256</v>
      </c>
      <c r="F8220">
        <v>4</v>
      </c>
    </row>
    <row r="8221" spans="1:6" ht="13.2">
      <c r="A8221" t="s">
        <v>9471</v>
      </c>
      <c r="B8221">
        <v>0</v>
      </c>
      <c r="C8221" s="44">
        <v>1470</v>
      </c>
      <c r="D8221" t="s">
        <v>293</v>
      </c>
      <c r="E8221" t="s">
        <v>256</v>
      </c>
      <c r="F8221">
        <v>4</v>
      </c>
    </row>
    <row r="8222" spans="1:6" ht="13.2">
      <c r="A8222" t="s">
        <v>9472</v>
      </c>
      <c r="B8222">
        <v>0</v>
      </c>
      <c r="C8222" s="44">
        <v>1470</v>
      </c>
      <c r="D8222" t="s">
        <v>293</v>
      </c>
      <c r="E8222" t="s">
        <v>256</v>
      </c>
      <c r="F8222">
        <v>4</v>
      </c>
    </row>
    <row r="8223" spans="1:6" ht="13.2">
      <c r="A8223" t="s">
        <v>9473</v>
      </c>
      <c r="B8223">
        <v>0</v>
      </c>
      <c r="C8223" s="44">
        <v>1470</v>
      </c>
      <c r="D8223" t="s">
        <v>293</v>
      </c>
      <c r="E8223" t="s">
        <v>256</v>
      </c>
      <c r="F8223">
        <v>4</v>
      </c>
    </row>
    <row r="8224" spans="1:6" ht="13.2">
      <c r="A8224" t="s">
        <v>9474</v>
      </c>
      <c r="B8224">
        <v>0</v>
      </c>
      <c r="C8224" s="44">
        <v>1470</v>
      </c>
      <c r="D8224" t="s">
        <v>293</v>
      </c>
      <c r="E8224" t="s">
        <v>256</v>
      </c>
      <c r="F8224">
        <v>4</v>
      </c>
    </row>
    <row r="8225" spans="1:6" ht="13.2">
      <c r="A8225" t="s">
        <v>9475</v>
      </c>
      <c r="B8225">
        <v>0</v>
      </c>
      <c r="C8225" s="44">
        <v>1470</v>
      </c>
      <c r="D8225" t="s">
        <v>293</v>
      </c>
      <c r="E8225" t="s">
        <v>256</v>
      </c>
      <c r="F8225">
        <v>4</v>
      </c>
    </row>
    <row r="8226" spans="1:6" ht="13.2">
      <c r="A8226" t="s">
        <v>9476</v>
      </c>
      <c r="B8226">
        <v>0</v>
      </c>
      <c r="C8226" s="44" t="s">
        <v>6256</v>
      </c>
      <c r="D8226" t="s">
        <v>293</v>
      </c>
      <c r="E8226" t="s">
        <v>364</v>
      </c>
      <c r="F8226" t="s">
        <v>9477</v>
      </c>
    </row>
    <row r="8227" spans="1:6" ht="13.2">
      <c r="A8227" t="s">
        <v>9478</v>
      </c>
      <c r="B8227">
        <v>0</v>
      </c>
      <c r="C8227" s="44" t="s">
        <v>6256</v>
      </c>
      <c r="D8227" t="s">
        <v>293</v>
      </c>
      <c r="E8227" t="s">
        <v>364</v>
      </c>
      <c r="F8227" t="s">
        <v>9477</v>
      </c>
    </row>
    <row r="8228" spans="1:6" ht="13.2">
      <c r="A8228" t="s">
        <v>9479</v>
      </c>
      <c r="B8228">
        <v>0</v>
      </c>
      <c r="C8228" s="44" t="s">
        <v>6256</v>
      </c>
      <c r="D8228" t="s">
        <v>293</v>
      </c>
      <c r="E8228" t="s">
        <v>364</v>
      </c>
      <c r="F8228" t="s">
        <v>9477</v>
      </c>
    </row>
    <row r="8229" spans="1:6" ht="13.2">
      <c r="A8229" t="s">
        <v>9480</v>
      </c>
      <c r="B8229">
        <v>0</v>
      </c>
      <c r="C8229" s="44" t="s">
        <v>6256</v>
      </c>
      <c r="D8229" t="s">
        <v>293</v>
      </c>
      <c r="E8229" t="s">
        <v>364</v>
      </c>
      <c r="F8229" t="s">
        <v>9477</v>
      </c>
    </row>
    <row r="8230" spans="1:6" ht="13.2">
      <c r="A8230" t="s">
        <v>9481</v>
      </c>
      <c r="B8230">
        <v>0</v>
      </c>
      <c r="C8230" s="44" t="s">
        <v>6256</v>
      </c>
      <c r="D8230" t="s">
        <v>293</v>
      </c>
      <c r="E8230" t="s">
        <v>364</v>
      </c>
      <c r="F8230" t="s">
        <v>9477</v>
      </c>
    </row>
    <row r="8231" spans="1:6" ht="13.2">
      <c r="A8231" t="s">
        <v>9482</v>
      </c>
      <c r="B8231">
        <v>0</v>
      </c>
      <c r="C8231" s="44" t="s">
        <v>6256</v>
      </c>
      <c r="D8231" t="s">
        <v>293</v>
      </c>
      <c r="E8231" t="s">
        <v>364</v>
      </c>
      <c r="F8231" t="s">
        <v>9477</v>
      </c>
    </row>
    <row r="8232" spans="1:6" ht="13.2">
      <c r="A8232" t="s">
        <v>9483</v>
      </c>
      <c r="B8232">
        <v>333</v>
      </c>
      <c r="C8232" s="44">
        <v>1420</v>
      </c>
      <c r="D8232" t="s">
        <v>291</v>
      </c>
      <c r="E8232" t="s">
        <v>9484</v>
      </c>
      <c r="F8232" t="s">
        <v>532</v>
      </c>
    </row>
    <row r="8233" spans="1:6" ht="13.2">
      <c r="A8233" t="s">
        <v>9485</v>
      </c>
      <c r="B8233">
        <v>0</v>
      </c>
      <c r="C8233" s="44">
        <v>1420</v>
      </c>
      <c r="D8233" t="s">
        <v>291</v>
      </c>
      <c r="E8233" t="s">
        <v>9484</v>
      </c>
      <c r="F8233" t="s">
        <v>532</v>
      </c>
    </row>
    <row r="8234" spans="1:6" ht="13.2">
      <c r="A8234" t="s">
        <v>9486</v>
      </c>
      <c r="B8234">
        <v>333</v>
      </c>
      <c r="C8234" s="44">
        <v>1420</v>
      </c>
      <c r="D8234" t="s">
        <v>291</v>
      </c>
      <c r="E8234" t="s">
        <v>9484</v>
      </c>
      <c r="F8234" t="s">
        <v>532</v>
      </c>
    </row>
    <row r="8235" spans="1:6" ht="13.2">
      <c r="A8235" t="s">
        <v>9487</v>
      </c>
      <c r="B8235">
        <v>0</v>
      </c>
      <c r="C8235" s="44">
        <v>1420</v>
      </c>
      <c r="D8235" t="s">
        <v>291</v>
      </c>
      <c r="E8235" t="s">
        <v>9484</v>
      </c>
      <c r="F8235" t="s">
        <v>532</v>
      </c>
    </row>
    <row r="8236" spans="1:6" ht="13.2">
      <c r="A8236" t="s">
        <v>9488</v>
      </c>
      <c r="B8236">
        <v>333</v>
      </c>
      <c r="C8236" s="44">
        <v>1420</v>
      </c>
      <c r="D8236" t="s">
        <v>291</v>
      </c>
      <c r="E8236" t="s">
        <v>9484</v>
      </c>
      <c r="F8236" t="s">
        <v>532</v>
      </c>
    </row>
    <row r="8237" spans="1:6" ht="13.2">
      <c r="A8237" t="s">
        <v>9489</v>
      </c>
      <c r="B8237">
        <v>0</v>
      </c>
      <c r="C8237" s="44">
        <v>1420</v>
      </c>
      <c r="D8237" t="s">
        <v>291</v>
      </c>
      <c r="E8237" t="s">
        <v>9484</v>
      </c>
      <c r="F8237" t="s">
        <v>532</v>
      </c>
    </row>
    <row r="8238" spans="1:6" ht="13.2">
      <c r="A8238" t="s">
        <v>9490</v>
      </c>
      <c r="B8238">
        <v>333</v>
      </c>
      <c r="C8238" s="44">
        <v>1420</v>
      </c>
      <c r="D8238" t="s">
        <v>291</v>
      </c>
      <c r="E8238" t="s">
        <v>9484</v>
      </c>
      <c r="F8238" t="s">
        <v>532</v>
      </c>
    </row>
    <row r="8239" spans="1:6" ht="13.2">
      <c r="A8239" t="s">
        <v>9491</v>
      </c>
      <c r="B8239">
        <v>0</v>
      </c>
      <c r="C8239" s="44">
        <v>1420</v>
      </c>
      <c r="D8239" t="s">
        <v>291</v>
      </c>
      <c r="E8239" t="s">
        <v>9484</v>
      </c>
      <c r="F8239" t="s">
        <v>532</v>
      </c>
    </row>
    <row r="8240" spans="1:6" ht="13.2">
      <c r="A8240" t="s">
        <v>9492</v>
      </c>
      <c r="B8240">
        <v>333</v>
      </c>
      <c r="C8240" s="44">
        <v>1420</v>
      </c>
      <c r="D8240" t="s">
        <v>291</v>
      </c>
      <c r="E8240" t="s">
        <v>9484</v>
      </c>
      <c r="F8240" t="s">
        <v>532</v>
      </c>
    </row>
    <row r="8241" spans="1:6" ht="13.2">
      <c r="A8241" t="s">
        <v>9493</v>
      </c>
      <c r="B8241">
        <v>0</v>
      </c>
      <c r="C8241" s="44">
        <v>1420</v>
      </c>
      <c r="D8241" t="s">
        <v>291</v>
      </c>
      <c r="E8241" t="s">
        <v>9484</v>
      </c>
      <c r="F8241" t="s">
        <v>532</v>
      </c>
    </row>
    <row r="8242" spans="1:6" ht="13.2">
      <c r="A8242" t="s">
        <v>9494</v>
      </c>
      <c r="B8242">
        <v>0</v>
      </c>
      <c r="C8242" s="44">
        <v>1420</v>
      </c>
      <c r="D8242" t="s">
        <v>291</v>
      </c>
      <c r="E8242" t="s">
        <v>9484</v>
      </c>
      <c r="F8242" t="s">
        <v>532</v>
      </c>
    </row>
    <row r="8243" spans="1:6" ht="13.2">
      <c r="A8243" t="s">
        <v>9495</v>
      </c>
      <c r="B8243">
        <v>333</v>
      </c>
      <c r="C8243" s="44">
        <v>1420</v>
      </c>
      <c r="D8243" t="s">
        <v>293</v>
      </c>
      <c r="E8243" t="s">
        <v>9484</v>
      </c>
      <c r="F8243" t="s">
        <v>532</v>
      </c>
    </row>
    <row r="8244" spans="1:6" ht="13.2">
      <c r="A8244" t="s">
        <v>9496</v>
      </c>
      <c r="B8244">
        <v>0</v>
      </c>
      <c r="C8244" s="44">
        <v>1420</v>
      </c>
      <c r="D8244" t="s">
        <v>293</v>
      </c>
      <c r="E8244" t="s">
        <v>9484</v>
      </c>
      <c r="F8244" t="s">
        <v>532</v>
      </c>
    </row>
    <row r="8245" spans="1:6" ht="13.2">
      <c r="A8245" t="s">
        <v>9497</v>
      </c>
      <c r="B8245">
        <v>333</v>
      </c>
      <c r="C8245" s="44">
        <v>1420</v>
      </c>
      <c r="D8245" t="s">
        <v>293</v>
      </c>
      <c r="E8245" t="s">
        <v>9484</v>
      </c>
      <c r="F8245" t="s">
        <v>532</v>
      </c>
    </row>
    <row r="8246" spans="1:6" ht="13.2">
      <c r="A8246" t="s">
        <v>9498</v>
      </c>
      <c r="B8246">
        <v>0</v>
      </c>
      <c r="C8246" s="44">
        <v>1420</v>
      </c>
      <c r="D8246" t="s">
        <v>293</v>
      </c>
      <c r="E8246" t="s">
        <v>9484</v>
      </c>
      <c r="F8246" t="s">
        <v>532</v>
      </c>
    </row>
    <row r="8247" spans="1:6" ht="13.2">
      <c r="A8247" t="s">
        <v>9499</v>
      </c>
      <c r="B8247">
        <v>333</v>
      </c>
      <c r="C8247" s="44">
        <v>1420</v>
      </c>
      <c r="D8247" t="s">
        <v>293</v>
      </c>
      <c r="E8247" t="s">
        <v>9484</v>
      </c>
      <c r="F8247" t="s">
        <v>532</v>
      </c>
    </row>
    <row r="8248" spans="1:6" ht="13.2">
      <c r="A8248" t="s">
        <v>9500</v>
      </c>
      <c r="B8248">
        <v>0</v>
      </c>
      <c r="C8248" s="44">
        <v>1420</v>
      </c>
      <c r="D8248" t="s">
        <v>293</v>
      </c>
      <c r="E8248" t="s">
        <v>9484</v>
      </c>
      <c r="F8248" t="s">
        <v>532</v>
      </c>
    </row>
    <row r="8249" spans="1:6" ht="13.2">
      <c r="A8249" t="s">
        <v>9501</v>
      </c>
      <c r="B8249">
        <v>333</v>
      </c>
      <c r="C8249" s="44">
        <v>1420</v>
      </c>
      <c r="D8249" t="s">
        <v>293</v>
      </c>
      <c r="E8249" t="s">
        <v>9484</v>
      </c>
      <c r="F8249" t="s">
        <v>532</v>
      </c>
    </row>
    <row r="8250" spans="1:6" ht="13.2">
      <c r="A8250" t="s">
        <v>9502</v>
      </c>
      <c r="B8250">
        <v>0</v>
      </c>
      <c r="C8250" s="44">
        <v>1420</v>
      </c>
      <c r="D8250" t="s">
        <v>293</v>
      </c>
      <c r="E8250" t="s">
        <v>9484</v>
      </c>
      <c r="F8250" t="s">
        <v>532</v>
      </c>
    </row>
    <row r="8251" spans="1:6" ht="13.2">
      <c r="A8251" t="s">
        <v>9503</v>
      </c>
      <c r="B8251">
        <v>333</v>
      </c>
      <c r="C8251" s="44">
        <v>1420</v>
      </c>
      <c r="D8251" t="s">
        <v>293</v>
      </c>
      <c r="E8251" t="s">
        <v>9484</v>
      </c>
      <c r="F8251" t="s">
        <v>532</v>
      </c>
    </row>
    <row r="8252" spans="1:6" ht="13.2">
      <c r="A8252" t="s">
        <v>9504</v>
      </c>
      <c r="B8252">
        <v>0</v>
      </c>
      <c r="C8252" s="44">
        <v>1420</v>
      </c>
      <c r="D8252" t="s">
        <v>293</v>
      </c>
      <c r="E8252" t="s">
        <v>9484</v>
      </c>
      <c r="F8252" t="s">
        <v>532</v>
      </c>
    </row>
    <row r="8253" spans="1:6" ht="13.2">
      <c r="A8253" t="s">
        <v>9505</v>
      </c>
      <c r="B8253">
        <v>0</v>
      </c>
      <c r="C8253" s="44">
        <v>1420</v>
      </c>
      <c r="D8253" t="s">
        <v>293</v>
      </c>
      <c r="E8253" t="s">
        <v>9484</v>
      </c>
      <c r="F8253" t="s">
        <v>532</v>
      </c>
    </row>
    <row r="8254" spans="1:6" ht="13.2">
      <c r="A8254" t="s">
        <v>9506</v>
      </c>
      <c r="B8254">
        <v>0</v>
      </c>
      <c r="C8254" s="44">
        <v>1380</v>
      </c>
      <c r="D8254" t="s">
        <v>291</v>
      </c>
      <c r="E8254" t="s">
        <v>359</v>
      </c>
      <c r="F8254">
        <v>4</v>
      </c>
    </row>
    <row r="8255" spans="1:6" ht="13.2">
      <c r="A8255" t="s">
        <v>9507</v>
      </c>
      <c r="B8255">
        <v>0</v>
      </c>
      <c r="C8255" s="44" t="s">
        <v>9508</v>
      </c>
      <c r="D8255" t="s">
        <v>293</v>
      </c>
      <c r="E8255" t="s">
        <v>256</v>
      </c>
      <c r="F8255">
        <v>4</v>
      </c>
    </row>
    <row r="8256" spans="1:6" ht="13.2">
      <c r="A8256" t="s">
        <v>9509</v>
      </c>
      <c r="B8256">
        <v>0</v>
      </c>
      <c r="C8256" s="44" t="s">
        <v>9508</v>
      </c>
      <c r="D8256" t="s">
        <v>293</v>
      </c>
      <c r="E8256" t="s">
        <v>256</v>
      </c>
      <c r="F8256">
        <v>4</v>
      </c>
    </row>
    <row r="8257" spans="1:6" ht="13.2">
      <c r="A8257" t="s">
        <v>9510</v>
      </c>
      <c r="B8257">
        <v>0</v>
      </c>
      <c r="C8257" s="44" t="s">
        <v>9508</v>
      </c>
      <c r="D8257" t="s">
        <v>293</v>
      </c>
      <c r="E8257" t="s">
        <v>256</v>
      </c>
      <c r="F8257">
        <v>4</v>
      </c>
    </row>
    <row r="8258" spans="1:6" ht="13.2">
      <c r="A8258" t="s">
        <v>9511</v>
      </c>
      <c r="B8258">
        <v>0</v>
      </c>
      <c r="C8258" s="44" t="s">
        <v>9508</v>
      </c>
      <c r="D8258" t="s">
        <v>293</v>
      </c>
      <c r="E8258" t="s">
        <v>256</v>
      </c>
      <c r="F8258">
        <v>4</v>
      </c>
    </row>
    <row r="8259" spans="1:6" ht="13.2">
      <c r="A8259" t="s">
        <v>9512</v>
      </c>
      <c r="B8259">
        <v>0</v>
      </c>
      <c r="C8259" s="44" t="s">
        <v>9508</v>
      </c>
      <c r="D8259" t="s">
        <v>293</v>
      </c>
      <c r="E8259" t="s">
        <v>256</v>
      </c>
      <c r="F8259">
        <v>4</v>
      </c>
    </row>
    <row r="8260" spans="1:6" ht="13.2">
      <c r="A8260" t="s">
        <v>9513</v>
      </c>
      <c r="B8260">
        <v>0</v>
      </c>
      <c r="C8260" s="44" t="s">
        <v>9508</v>
      </c>
      <c r="D8260" t="s">
        <v>293</v>
      </c>
      <c r="E8260" t="s">
        <v>256</v>
      </c>
      <c r="F8260">
        <v>4</v>
      </c>
    </row>
    <row r="8261" spans="1:6" ht="13.2">
      <c r="A8261" t="s">
        <v>9514</v>
      </c>
      <c r="B8261">
        <v>0</v>
      </c>
      <c r="C8261" s="44" t="s">
        <v>9508</v>
      </c>
      <c r="D8261" t="s">
        <v>293</v>
      </c>
      <c r="E8261" t="s">
        <v>256</v>
      </c>
      <c r="F8261">
        <v>4</v>
      </c>
    </row>
    <row r="8262" spans="1:6" ht="13.2">
      <c r="A8262" t="s">
        <v>9515</v>
      </c>
      <c r="B8262">
        <v>0</v>
      </c>
      <c r="C8262" s="44" t="s">
        <v>9508</v>
      </c>
      <c r="D8262" t="s">
        <v>293</v>
      </c>
      <c r="E8262" t="s">
        <v>256</v>
      </c>
      <c r="F8262">
        <v>4</v>
      </c>
    </row>
    <row r="8263" spans="1:6" ht="13.2">
      <c r="A8263" t="s">
        <v>9516</v>
      </c>
      <c r="B8263">
        <v>0</v>
      </c>
      <c r="C8263" s="44">
        <v>3000</v>
      </c>
      <c r="D8263" t="s">
        <v>293</v>
      </c>
      <c r="E8263" t="s">
        <v>653</v>
      </c>
      <c r="F8263">
        <v>11</v>
      </c>
    </row>
    <row r="8264" spans="1:6" ht="13.2">
      <c r="A8264" t="s">
        <v>9517</v>
      </c>
      <c r="B8264">
        <v>0</v>
      </c>
      <c r="C8264" s="44">
        <v>3000</v>
      </c>
      <c r="D8264" t="s">
        <v>293</v>
      </c>
      <c r="E8264" t="s">
        <v>653</v>
      </c>
      <c r="F8264">
        <v>11</v>
      </c>
    </row>
    <row r="8265" spans="1:6" ht="13.2">
      <c r="A8265" t="s">
        <v>9518</v>
      </c>
      <c r="B8265">
        <v>0</v>
      </c>
      <c r="C8265" s="44">
        <v>3000</v>
      </c>
      <c r="D8265" t="s">
        <v>293</v>
      </c>
      <c r="E8265" t="s">
        <v>653</v>
      </c>
      <c r="F8265">
        <v>11</v>
      </c>
    </row>
    <row r="8266" spans="1:6" ht="13.2">
      <c r="A8266" t="s">
        <v>9519</v>
      </c>
      <c r="B8266">
        <v>0</v>
      </c>
      <c r="C8266" s="44">
        <v>3000</v>
      </c>
      <c r="D8266" t="s">
        <v>293</v>
      </c>
      <c r="E8266" t="s">
        <v>653</v>
      </c>
      <c r="F8266">
        <v>11</v>
      </c>
    </row>
    <row r="8267" spans="1:6" ht="13.2">
      <c r="A8267" t="s">
        <v>9520</v>
      </c>
      <c r="B8267">
        <v>0</v>
      </c>
      <c r="C8267" s="44">
        <v>3000</v>
      </c>
      <c r="D8267" t="s">
        <v>293</v>
      </c>
      <c r="E8267" t="s">
        <v>653</v>
      </c>
      <c r="F8267">
        <v>11</v>
      </c>
    </row>
    <row r="8268" spans="1:6" ht="13.2">
      <c r="A8268" t="s">
        <v>9521</v>
      </c>
      <c r="B8268">
        <v>0</v>
      </c>
      <c r="C8268" s="44">
        <v>3000</v>
      </c>
      <c r="D8268" t="s">
        <v>293</v>
      </c>
      <c r="E8268" t="s">
        <v>653</v>
      </c>
      <c r="F8268">
        <v>11</v>
      </c>
    </row>
    <row r="8269" spans="1:6" ht="13.2">
      <c r="A8269" t="s">
        <v>9522</v>
      </c>
      <c r="B8269">
        <v>0</v>
      </c>
      <c r="C8269" s="44">
        <v>3000</v>
      </c>
      <c r="D8269" t="s">
        <v>293</v>
      </c>
      <c r="E8269" t="s">
        <v>653</v>
      </c>
      <c r="F8269">
        <v>11</v>
      </c>
    </row>
    <row r="8270" spans="1:6" ht="13.2">
      <c r="A8270" t="s">
        <v>9523</v>
      </c>
      <c r="B8270">
        <v>0</v>
      </c>
      <c r="C8270" s="44">
        <v>3000</v>
      </c>
      <c r="D8270" t="s">
        <v>293</v>
      </c>
      <c r="E8270" t="s">
        <v>653</v>
      </c>
      <c r="F8270">
        <v>11</v>
      </c>
    </row>
    <row r="8271" spans="1:6" ht="13.2">
      <c r="A8271" t="s">
        <v>9524</v>
      </c>
      <c r="B8271">
        <v>0</v>
      </c>
      <c r="C8271" s="44">
        <v>3000</v>
      </c>
      <c r="D8271" t="s">
        <v>293</v>
      </c>
      <c r="E8271" t="s">
        <v>653</v>
      </c>
      <c r="F8271">
        <v>11</v>
      </c>
    </row>
    <row r="8272" spans="1:6" ht="13.2">
      <c r="A8272" t="s">
        <v>9525</v>
      </c>
      <c r="B8272">
        <v>0</v>
      </c>
      <c r="C8272" s="44">
        <v>3000</v>
      </c>
      <c r="D8272" t="s">
        <v>293</v>
      </c>
      <c r="E8272" t="s">
        <v>653</v>
      </c>
      <c r="F8272">
        <v>11</v>
      </c>
    </row>
    <row r="8273" spans="1:6" ht="13.2">
      <c r="A8273" t="s">
        <v>9526</v>
      </c>
      <c r="B8273">
        <v>0</v>
      </c>
      <c r="C8273" s="44">
        <v>3000</v>
      </c>
      <c r="D8273" t="s">
        <v>293</v>
      </c>
      <c r="E8273" t="s">
        <v>653</v>
      </c>
      <c r="F8273">
        <v>11</v>
      </c>
    </row>
    <row r="8274" spans="1:6" ht="13.2">
      <c r="A8274" t="s">
        <v>9527</v>
      </c>
      <c r="B8274">
        <v>0</v>
      </c>
      <c r="C8274" s="44">
        <v>3000</v>
      </c>
      <c r="D8274" t="s">
        <v>293</v>
      </c>
      <c r="E8274" t="s">
        <v>653</v>
      </c>
      <c r="F8274">
        <v>11</v>
      </c>
    </row>
    <row r="8275" spans="1:6" ht="13.2">
      <c r="A8275" t="s">
        <v>9528</v>
      </c>
      <c r="B8275">
        <v>0</v>
      </c>
      <c r="C8275" s="44">
        <v>3000</v>
      </c>
      <c r="D8275" t="s">
        <v>293</v>
      </c>
      <c r="E8275" t="s">
        <v>9529</v>
      </c>
      <c r="F8275">
        <v>11</v>
      </c>
    </row>
    <row r="8276" spans="1:6" ht="13.2">
      <c r="A8276" t="s">
        <v>9530</v>
      </c>
      <c r="B8276">
        <v>0</v>
      </c>
      <c r="C8276" s="44">
        <v>1400</v>
      </c>
      <c r="D8276" t="s">
        <v>291</v>
      </c>
      <c r="E8276" t="s">
        <v>9529</v>
      </c>
      <c r="F8276">
        <v>11</v>
      </c>
    </row>
    <row r="8277" spans="1:6" ht="13.2">
      <c r="A8277" t="s">
        <v>9531</v>
      </c>
      <c r="B8277">
        <v>690</v>
      </c>
      <c r="C8277" s="44">
        <v>1400</v>
      </c>
      <c r="D8277" t="s">
        <v>291</v>
      </c>
      <c r="E8277" t="s">
        <v>256</v>
      </c>
      <c r="F8277">
        <v>4</v>
      </c>
    </row>
    <row r="8278" spans="1:6" ht="13.2">
      <c r="A8278" t="s">
        <v>9532</v>
      </c>
      <c r="B8278">
        <v>690</v>
      </c>
      <c r="C8278" s="44">
        <v>1400</v>
      </c>
      <c r="D8278" t="s">
        <v>291</v>
      </c>
      <c r="E8278" t="s">
        <v>256</v>
      </c>
      <c r="F8278">
        <v>4</v>
      </c>
    </row>
    <row r="8279" spans="1:6" ht="13.2">
      <c r="A8279" t="s">
        <v>9533</v>
      </c>
      <c r="B8279">
        <v>690</v>
      </c>
      <c r="C8279" s="44">
        <v>1400</v>
      </c>
      <c r="D8279" t="s">
        <v>291</v>
      </c>
      <c r="E8279" t="s">
        <v>256</v>
      </c>
      <c r="F8279">
        <v>4</v>
      </c>
    </row>
    <row r="8280" spans="1:6" ht="13.2">
      <c r="A8280" t="s">
        <v>9534</v>
      </c>
      <c r="B8280">
        <v>690</v>
      </c>
      <c r="C8280" s="44">
        <v>1400</v>
      </c>
      <c r="D8280" t="s">
        <v>291</v>
      </c>
      <c r="E8280" t="s">
        <v>256</v>
      </c>
      <c r="F8280">
        <v>4</v>
      </c>
    </row>
    <row r="8281" spans="1:6" ht="13.2">
      <c r="A8281" t="s">
        <v>9535</v>
      </c>
      <c r="B8281">
        <v>690</v>
      </c>
      <c r="C8281" s="44">
        <v>1400</v>
      </c>
      <c r="D8281" t="s">
        <v>291</v>
      </c>
      <c r="E8281" t="s">
        <v>256</v>
      </c>
      <c r="F8281">
        <v>4</v>
      </c>
    </row>
    <row r="8282" spans="1:6" ht="13.2">
      <c r="A8282" t="s">
        <v>9536</v>
      </c>
      <c r="B8282">
        <v>690</v>
      </c>
      <c r="C8282" s="44">
        <v>1400</v>
      </c>
      <c r="D8282" t="s">
        <v>291</v>
      </c>
      <c r="E8282" t="s">
        <v>256</v>
      </c>
      <c r="F8282">
        <v>4</v>
      </c>
    </row>
    <row r="8283" spans="1:6" ht="13.2">
      <c r="A8283" t="s">
        <v>9537</v>
      </c>
      <c r="B8283">
        <v>690</v>
      </c>
      <c r="C8283" s="44">
        <v>1400</v>
      </c>
      <c r="D8283" t="s">
        <v>291</v>
      </c>
      <c r="E8283" t="s">
        <v>256</v>
      </c>
      <c r="F8283">
        <v>4</v>
      </c>
    </row>
    <row r="8284" spans="1:6" ht="13.2">
      <c r="A8284" t="s">
        <v>9538</v>
      </c>
      <c r="B8284">
        <v>0</v>
      </c>
      <c r="C8284" s="44">
        <v>2900</v>
      </c>
      <c r="D8284" t="s">
        <v>293</v>
      </c>
      <c r="E8284" t="s">
        <v>256</v>
      </c>
      <c r="F8284" t="s">
        <v>9120</v>
      </c>
    </row>
    <row r="8285" spans="1:6" ht="13.2">
      <c r="A8285" t="s">
        <v>9539</v>
      </c>
      <c r="B8285">
        <v>0</v>
      </c>
      <c r="C8285" s="44">
        <v>2900</v>
      </c>
      <c r="D8285" t="s">
        <v>293</v>
      </c>
      <c r="E8285" t="s">
        <v>256</v>
      </c>
      <c r="F8285" t="s">
        <v>9120</v>
      </c>
    </row>
    <row r="8286" spans="1:6" ht="13.2">
      <c r="A8286" t="s">
        <v>9540</v>
      </c>
      <c r="B8286">
        <v>0</v>
      </c>
      <c r="C8286" s="44">
        <v>2900</v>
      </c>
      <c r="D8286" t="s">
        <v>293</v>
      </c>
      <c r="E8286" t="s">
        <v>256</v>
      </c>
      <c r="F8286" t="s">
        <v>9120</v>
      </c>
    </row>
    <row r="8287" spans="1:6" ht="13.2">
      <c r="A8287" t="s">
        <v>9541</v>
      </c>
      <c r="B8287">
        <v>0</v>
      </c>
      <c r="C8287" s="44">
        <v>2900</v>
      </c>
      <c r="D8287" t="s">
        <v>293</v>
      </c>
      <c r="E8287" t="s">
        <v>256</v>
      </c>
      <c r="F8287" t="s">
        <v>9120</v>
      </c>
    </row>
    <row r="8288" spans="1:6" ht="13.2">
      <c r="A8288" t="s">
        <v>9542</v>
      </c>
      <c r="B8288">
        <v>0</v>
      </c>
      <c r="C8288" s="44">
        <v>2900</v>
      </c>
      <c r="D8288" t="s">
        <v>293</v>
      </c>
      <c r="E8288" t="s">
        <v>256</v>
      </c>
      <c r="F8288" t="s">
        <v>9120</v>
      </c>
    </row>
    <row r="8289" spans="1:6" ht="13.2">
      <c r="A8289" t="s">
        <v>9543</v>
      </c>
      <c r="B8289">
        <v>0</v>
      </c>
      <c r="C8289" s="44">
        <v>2900</v>
      </c>
      <c r="D8289" t="s">
        <v>293</v>
      </c>
      <c r="E8289" t="s">
        <v>256</v>
      </c>
      <c r="F8289" t="s">
        <v>9120</v>
      </c>
    </row>
    <row r="8290" spans="1:6" ht="13.2">
      <c r="A8290" t="s">
        <v>9544</v>
      </c>
      <c r="B8290">
        <v>0</v>
      </c>
      <c r="C8290" s="44">
        <v>2900</v>
      </c>
      <c r="D8290" t="s">
        <v>293</v>
      </c>
      <c r="E8290" t="s">
        <v>256</v>
      </c>
      <c r="F8290" t="s">
        <v>9120</v>
      </c>
    </row>
    <row r="8291" spans="1:6" ht="13.2">
      <c r="A8291" t="s">
        <v>9545</v>
      </c>
      <c r="B8291">
        <v>0</v>
      </c>
      <c r="C8291" s="44">
        <v>2900</v>
      </c>
      <c r="D8291" t="s">
        <v>293</v>
      </c>
      <c r="E8291" t="s">
        <v>256</v>
      </c>
      <c r="F8291" t="s">
        <v>9120</v>
      </c>
    </row>
    <row r="8292" spans="1:6" ht="13.2">
      <c r="A8292" t="s">
        <v>9546</v>
      </c>
      <c r="B8292">
        <v>0</v>
      </c>
      <c r="C8292" s="44">
        <v>2900</v>
      </c>
      <c r="D8292" t="s">
        <v>293</v>
      </c>
      <c r="E8292" t="s">
        <v>256</v>
      </c>
      <c r="F8292" t="s">
        <v>9120</v>
      </c>
    </row>
    <row r="8293" spans="1:6" ht="13.2">
      <c r="A8293" t="s">
        <v>9547</v>
      </c>
      <c r="B8293">
        <v>0</v>
      </c>
      <c r="C8293" s="44">
        <v>2900</v>
      </c>
      <c r="D8293" t="s">
        <v>293</v>
      </c>
      <c r="E8293" t="s">
        <v>256</v>
      </c>
      <c r="F8293" t="s">
        <v>9120</v>
      </c>
    </row>
    <row r="8294" spans="1:6" ht="13.2">
      <c r="A8294" t="s">
        <v>9548</v>
      </c>
      <c r="B8294">
        <v>0</v>
      </c>
      <c r="C8294" s="44">
        <v>1400</v>
      </c>
      <c r="D8294" t="s">
        <v>291</v>
      </c>
      <c r="E8294" t="s">
        <v>9549</v>
      </c>
      <c r="F8294" t="s">
        <v>3824</v>
      </c>
    </row>
    <row r="8295" spans="1:6" ht="13.2">
      <c r="A8295" t="s">
        <v>9550</v>
      </c>
      <c r="B8295">
        <v>0</v>
      </c>
      <c r="C8295" s="44">
        <v>1400</v>
      </c>
      <c r="D8295" t="s">
        <v>291</v>
      </c>
      <c r="E8295" t="s">
        <v>9549</v>
      </c>
      <c r="F8295" t="s">
        <v>3824</v>
      </c>
    </row>
    <row r="8296" spans="1:6" ht="13.2">
      <c r="A8296" t="s">
        <v>9551</v>
      </c>
      <c r="B8296">
        <v>0</v>
      </c>
      <c r="C8296" s="44">
        <v>1400</v>
      </c>
      <c r="D8296" t="s">
        <v>291</v>
      </c>
      <c r="E8296" t="s">
        <v>9549</v>
      </c>
      <c r="F8296" t="s">
        <v>3824</v>
      </c>
    </row>
    <row r="8297" spans="1:6" ht="13.2">
      <c r="A8297" t="s">
        <v>9552</v>
      </c>
      <c r="B8297">
        <v>0</v>
      </c>
      <c r="C8297" s="44">
        <v>1400</v>
      </c>
      <c r="D8297" t="s">
        <v>291</v>
      </c>
      <c r="E8297" t="s">
        <v>9549</v>
      </c>
      <c r="F8297" t="s">
        <v>3824</v>
      </c>
    </row>
    <row r="8298" spans="1:6" ht="13.2">
      <c r="A8298" t="s">
        <v>9553</v>
      </c>
      <c r="B8298">
        <v>0</v>
      </c>
      <c r="C8298" s="44">
        <v>1400</v>
      </c>
      <c r="D8298" t="s">
        <v>291</v>
      </c>
      <c r="E8298" t="s">
        <v>9549</v>
      </c>
      <c r="F8298" t="s">
        <v>3824</v>
      </c>
    </row>
    <row r="8299" spans="1:6" ht="13.2">
      <c r="A8299" t="s">
        <v>9554</v>
      </c>
      <c r="B8299">
        <v>0</v>
      </c>
      <c r="C8299" s="44">
        <v>1400</v>
      </c>
      <c r="D8299" t="s">
        <v>291</v>
      </c>
      <c r="E8299" t="s">
        <v>9549</v>
      </c>
      <c r="F8299" t="s">
        <v>3824</v>
      </c>
    </row>
    <row r="8300" spans="1:6" ht="13.2">
      <c r="A8300" t="s">
        <v>9555</v>
      </c>
      <c r="B8300">
        <v>0</v>
      </c>
      <c r="C8300" s="44">
        <v>1400</v>
      </c>
      <c r="D8300" t="s">
        <v>291</v>
      </c>
      <c r="E8300" t="s">
        <v>9549</v>
      </c>
      <c r="F8300" t="s">
        <v>3824</v>
      </c>
    </row>
    <row r="8301" spans="1:6" ht="13.2">
      <c r="A8301" t="s">
        <v>9556</v>
      </c>
      <c r="B8301">
        <v>335</v>
      </c>
      <c r="C8301" s="44">
        <v>1400</v>
      </c>
      <c r="D8301" t="s">
        <v>291</v>
      </c>
      <c r="E8301" t="s">
        <v>9549</v>
      </c>
      <c r="F8301" t="s">
        <v>3824</v>
      </c>
    </row>
    <row r="8302" spans="1:6" ht="13.2">
      <c r="A8302" t="s">
        <v>9557</v>
      </c>
      <c r="B8302">
        <v>335</v>
      </c>
      <c r="C8302" s="44">
        <v>1400</v>
      </c>
      <c r="D8302" t="s">
        <v>291</v>
      </c>
      <c r="E8302" t="s">
        <v>9549</v>
      </c>
      <c r="F8302" t="s">
        <v>3824</v>
      </c>
    </row>
    <row r="8303" spans="1:6" ht="13.2">
      <c r="A8303" t="s">
        <v>9558</v>
      </c>
      <c r="B8303">
        <v>335</v>
      </c>
      <c r="C8303" s="44">
        <v>1400</v>
      </c>
      <c r="D8303" t="s">
        <v>291</v>
      </c>
      <c r="E8303" t="s">
        <v>9549</v>
      </c>
      <c r="F8303" t="s">
        <v>3824</v>
      </c>
    </row>
    <row r="8304" spans="1:6" ht="13.2">
      <c r="A8304" t="s">
        <v>9559</v>
      </c>
      <c r="B8304">
        <v>335</v>
      </c>
      <c r="C8304" s="44">
        <v>1400</v>
      </c>
      <c r="D8304" t="s">
        <v>291</v>
      </c>
      <c r="E8304" t="s">
        <v>9549</v>
      </c>
      <c r="F8304" t="s">
        <v>3824</v>
      </c>
    </row>
    <row r="8305" spans="1:6" ht="13.2">
      <c r="A8305" t="s">
        <v>9560</v>
      </c>
      <c r="B8305">
        <v>335</v>
      </c>
      <c r="C8305" s="44">
        <v>1400</v>
      </c>
      <c r="D8305" t="s">
        <v>291</v>
      </c>
      <c r="E8305" t="s">
        <v>9549</v>
      </c>
      <c r="F8305" t="s">
        <v>3824</v>
      </c>
    </row>
    <row r="8306" spans="1:6" ht="13.2">
      <c r="A8306" t="s">
        <v>9561</v>
      </c>
      <c r="B8306">
        <v>335</v>
      </c>
      <c r="C8306" s="44">
        <v>1400</v>
      </c>
      <c r="D8306" t="s">
        <v>291</v>
      </c>
      <c r="E8306" t="s">
        <v>9549</v>
      </c>
      <c r="F8306" t="s">
        <v>3824</v>
      </c>
    </row>
    <row r="8307" spans="1:6" ht="13.2">
      <c r="A8307" t="s">
        <v>9562</v>
      </c>
      <c r="B8307">
        <v>335</v>
      </c>
      <c r="C8307" s="44">
        <v>1400</v>
      </c>
      <c r="D8307" t="s">
        <v>291</v>
      </c>
      <c r="E8307" t="s">
        <v>9549</v>
      </c>
      <c r="F8307" t="s">
        <v>3824</v>
      </c>
    </row>
    <row r="8308" spans="1:6" ht="13.2">
      <c r="A8308" t="s">
        <v>9563</v>
      </c>
      <c r="B8308">
        <v>460</v>
      </c>
      <c r="C8308" s="44">
        <v>1400</v>
      </c>
      <c r="D8308" t="s">
        <v>291</v>
      </c>
      <c r="E8308" t="s">
        <v>9549</v>
      </c>
      <c r="F8308" t="s">
        <v>3824</v>
      </c>
    </row>
    <row r="8309" spans="1:6" ht="13.2">
      <c r="A8309" t="s">
        <v>9564</v>
      </c>
      <c r="B8309">
        <v>460</v>
      </c>
      <c r="C8309" s="44">
        <v>1400</v>
      </c>
      <c r="D8309" t="s">
        <v>291</v>
      </c>
      <c r="E8309" t="s">
        <v>9549</v>
      </c>
      <c r="F8309" t="s">
        <v>3824</v>
      </c>
    </row>
    <row r="8310" spans="1:6" ht="13.2">
      <c r="A8310" t="s">
        <v>9565</v>
      </c>
      <c r="B8310">
        <v>460</v>
      </c>
      <c r="C8310" s="44">
        <v>1400</v>
      </c>
      <c r="D8310" t="s">
        <v>291</v>
      </c>
      <c r="E8310" t="s">
        <v>9549</v>
      </c>
      <c r="F8310" t="s">
        <v>3824</v>
      </c>
    </row>
    <row r="8311" spans="1:6" ht="13.2">
      <c r="A8311" t="s">
        <v>9566</v>
      </c>
      <c r="B8311">
        <v>460</v>
      </c>
      <c r="C8311" s="44">
        <v>1400</v>
      </c>
      <c r="D8311" t="s">
        <v>291</v>
      </c>
      <c r="E8311" t="s">
        <v>9549</v>
      </c>
      <c r="F8311" t="s">
        <v>3824</v>
      </c>
    </row>
    <row r="8312" spans="1:6" ht="13.2">
      <c r="A8312" t="s">
        <v>9567</v>
      </c>
      <c r="B8312">
        <v>460</v>
      </c>
      <c r="C8312" s="44">
        <v>1400</v>
      </c>
      <c r="D8312" t="s">
        <v>291</v>
      </c>
      <c r="E8312" t="s">
        <v>9549</v>
      </c>
      <c r="F8312" t="s">
        <v>3824</v>
      </c>
    </row>
    <row r="8313" spans="1:6" ht="13.2">
      <c r="A8313" t="s">
        <v>9568</v>
      </c>
      <c r="B8313">
        <v>460</v>
      </c>
      <c r="C8313" s="44">
        <v>1400</v>
      </c>
      <c r="D8313" t="s">
        <v>291</v>
      </c>
      <c r="E8313" t="s">
        <v>9549</v>
      </c>
      <c r="F8313" t="s">
        <v>3824</v>
      </c>
    </row>
    <row r="8314" spans="1:6" ht="13.2">
      <c r="A8314" t="s">
        <v>9569</v>
      </c>
      <c r="B8314">
        <v>460</v>
      </c>
      <c r="C8314" s="44">
        <v>1400</v>
      </c>
      <c r="D8314" t="s">
        <v>291</v>
      </c>
      <c r="E8314" t="s">
        <v>9549</v>
      </c>
      <c r="F8314" t="s">
        <v>3824</v>
      </c>
    </row>
    <row r="8315" spans="1:6" ht="13.2">
      <c r="A8315" t="s">
        <v>9570</v>
      </c>
      <c r="B8315">
        <v>0</v>
      </c>
      <c r="C8315" s="44">
        <v>2900</v>
      </c>
      <c r="D8315" t="s">
        <v>293</v>
      </c>
      <c r="E8315" t="s">
        <v>256</v>
      </c>
      <c r="F8315" t="s">
        <v>9120</v>
      </c>
    </row>
    <row r="8316" spans="1:6" ht="13.2">
      <c r="A8316" t="s">
        <v>9571</v>
      </c>
      <c r="B8316">
        <v>0</v>
      </c>
      <c r="C8316" s="44">
        <v>2900</v>
      </c>
      <c r="D8316" t="s">
        <v>293</v>
      </c>
      <c r="E8316" t="s">
        <v>256</v>
      </c>
      <c r="F8316" t="s">
        <v>9120</v>
      </c>
    </row>
    <row r="8317" spans="1:6" ht="13.2">
      <c r="A8317" t="s">
        <v>9572</v>
      </c>
      <c r="B8317">
        <v>0</v>
      </c>
      <c r="C8317" s="44">
        <v>2900</v>
      </c>
      <c r="D8317" t="s">
        <v>293</v>
      </c>
      <c r="E8317" t="s">
        <v>256</v>
      </c>
      <c r="F8317" t="s">
        <v>9120</v>
      </c>
    </row>
    <row r="8318" spans="1:6" ht="13.2">
      <c r="A8318" t="s">
        <v>9573</v>
      </c>
      <c r="B8318">
        <v>0</v>
      </c>
      <c r="C8318" s="44">
        <v>2900</v>
      </c>
      <c r="D8318" t="s">
        <v>293</v>
      </c>
      <c r="E8318" t="s">
        <v>256</v>
      </c>
      <c r="F8318" t="s">
        <v>9120</v>
      </c>
    </row>
    <row r="8319" spans="1:6" ht="13.2">
      <c r="A8319" t="s">
        <v>9574</v>
      </c>
      <c r="B8319">
        <v>0</v>
      </c>
      <c r="C8319" s="44">
        <v>2900</v>
      </c>
      <c r="D8319" t="s">
        <v>293</v>
      </c>
      <c r="E8319" t="s">
        <v>256</v>
      </c>
      <c r="F8319" t="s">
        <v>9120</v>
      </c>
    </row>
    <row r="8320" spans="1:6" ht="13.2">
      <c r="A8320" t="s">
        <v>9575</v>
      </c>
      <c r="B8320">
        <v>0</v>
      </c>
      <c r="C8320" s="44">
        <v>2900</v>
      </c>
      <c r="D8320" t="s">
        <v>293</v>
      </c>
      <c r="E8320" t="s">
        <v>256</v>
      </c>
      <c r="F8320" t="s">
        <v>9120</v>
      </c>
    </row>
    <row r="8321" spans="1:6" ht="13.2">
      <c r="A8321" t="s">
        <v>9576</v>
      </c>
      <c r="B8321">
        <v>0</v>
      </c>
      <c r="C8321" s="44">
        <v>2900</v>
      </c>
      <c r="D8321" t="s">
        <v>293</v>
      </c>
      <c r="E8321" t="s">
        <v>256</v>
      </c>
      <c r="F8321" t="s">
        <v>9120</v>
      </c>
    </row>
    <row r="8322" spans="1:6" ht="13.2">
      <c r="A8322" t="s">
        <v>9577</v>
      </c>
      <c r="B8322">
        <v>0</v>
      </c>
      <c r="C8322" s="44">
        <v>2900</v>
      </c>
      <c r="D8322" t="s">
        <v>293</v>
      </c>
      <c r="E8322" t="s">
        <v>256</v>
      </c>
      <c r="F8322" t="s">
        <v>9120</v>
      </c>
    </row>
    <row r="8323" spans="1:6" ht="13.2">
      <c r="A8323" t="s">
        <v>9578</v>
      </c>
      <c r="B8323">
        <v>0</v>
      </c>
      <c r="C8323" s="44">
        <v>2900</v>
      </c>
      <c r="D8323" t="s">
        <v>293</v>
      </c>
      <c r="E8323" t="s">
        <v>256</v>
      </c>
      <c r="F8323" t="s">
        <v>9120</v>
      </c>
    </row>
    <row r="8324" spans="1:6" ht="13.2">
      <c r="A8324" t="s">
        <v>9579</v>
      </c>
      <c r="B8324">
        <v>0</v>
      </c>
      <c r="C8324" s="44">
        <v>2950</v>
      </c>
      <c r="D8324" t="s">
        <v>293</v>
      </c>
      <c r="E8324" t="s">
        <v>256</v>
      </c>
      <c r="F8324" t="s">
        <v>9120</v>
      </c>
    </row>
    <row r="8325" spans="1:6" ht="13.2">
      <c r="A8325" t="s">
        <v>9580</v>
      </c>
      <c r="B8325">
        <v>0</v>
      </c>
      <c r="C8325" s="44">
        <v>2950</v>
      </c>
      <c r="D8325" t="s">
        <v>293</v>
      </c>
      <c r="E8325" t="s">
        <v>256</v>
      </c>
      <c r="F8325" t="s">
        <v>9120</v>
      </c>
    </row>
    <row r="8326" spans="1:6" ht="13.2">
      <c r="A8326" t="s">
        <v>9581</v>
      </c>
      <c r="B8326">
        <v>0</v>
      </c>
      <c r="C8326" s="44">
        <v>2950</v>
      </c>
      <c r="D8326" t="s">
        <v>293</v>
      </c>
      <c r="E8326" t="s">
        <v>256</v>
      </c>
      <c r="F8326" t="s">
        <v>9120</v>
      </c>
    </row>
    <row r="8327" spans="1:6" ht="13.2">
      <c r="A8327" t="s">
        <v>9582</v>
      </c>
      <c r="B8327">
        <v>0</v>
      </c>
      <c r="C8327" s="44">
        <v>2950</v>
      </c>
      <c r="D8327" t="s">
        <v>293</v>
      </c>
      <c r="E8327" t="s">
        <v>256</v>
      </c>
      <c r="F8327" t="s">
        <v>9120</v>
      </c>
    </row>
    <row r="8328" spans="1:6" ht="13.2">
      <c r="A8328" t="s">
        <v>9583</v>
      </c>
      <c r="B8328">
        <v>0</v>
      </c>
      <c r="C8328" s="44">
        <v>2950</v>
      </c>
      <c r="D8328" t="s">
        <v>293</v>
      </c>
      <c r="E8328" t="s">
        <v>256</v>
      </c>
      <c r="F8328" t="s">
        <v>9120</v>
      </c>
    </row>
    <row r="8329" spans="1:6" ht="13.2">
      <c r="A8329" t="s">
        <v>9584</v>
      </c>
      <c r="B8329">
        <v>0</v>
      </c>
      <c r="C8329" s="44">
        <v>2950</v>
      </c>
      <c r="D8329" t="s">
        <v>293</v>
      </c>
      <c r="E8329" t="s">
        <v>256</v>
      </c>
      <c r="F8329" t="s">
        <v>9120</v>
      </c>
    </row>
    <row r="8330" spans="1:6" ht="13.2">
      <c r="A8330" t="s">
        <v>9585</v>
      </c>
      <c r="B8330">
        <v>0</v>
      </c>
      <c r="C8330" s="44">
        <v>2950</v>
      </c>
      <c r="D8330" t="s">
        <v>293</v>
      </c>
      <c r="E8330" t="s">
        <v>256</v>
      </c>
      <c r="F8330" t="s">
        <v>9120</v>
      </c>
    </row>
    <row r="8331" spans="1:6" ht="13.2">
      <c r="A8331" t="s">
        <v>9586</v>
      </c>
      <c r="B8331">
        <v>0</v>
      </c>
      <c r="C8331" s="44">
        <v>2950</v>
      </c>
      <c r="D8331" t="s">
        <v>293</v>
      </c>
      <c r="E8331" t="s">
        <v>256</v>
      </c>
      <c r="F8331" t="s">
        <v>9120</v>
      </c>
    </row>
    <row r="8332" spans="1:6" ht="13.2">
      <c r="A8332" t="s">
        <v>9587</v>
      </c>
      <c r="B8332">
        <v>0</v>
      </c>
      <c r="C8332" s="44">
        <v>2950</v>
      </c>
      <c r="D8332" t="s">
        <v>293</v>
      </c>
      <c r="E8332" t="s">
        <v>256</v>
      </c>
      <c r="F8332" t="s">
        <v>9120</v>
      </c>
    </row>
    <row r="8333" spans="1:6" ht="13.2">
      <c r="A8333" t="s">
        <v>9588</v>
      </c>
      <c r="B8333">
        <v>0</v>
      </c>
      <c r="C8333" s="44">
        <v>2950</v>
      </c>
      <c r="D8333" t="s">
        <v>293</v>
      </c>
      <c r="E8333" t="s">
        <v>256</v>
      </c>
      <c r="F8333" t="s">
        <v>9120</v>
      </c>
    </row>
    <row r="8334" spans="1:6" ht="13.2">
      <c r="A8334" t="s">
        <v>9589</v>
      </c>
      <c r="B8334">
        <v>0</v>
      </c>
      <c r="C8334" s="44">
        <v>2900</v>
      </c>
      <c r="D8334" t="s">
        <v>293</v>
      </c>
      <c r="E8334" t="s">
        <v>256</v>
      </c>
      <c r="F8334" t="s">
        <v>9120</v>
      </c>
    </row>
    <row r="8335" spans="1:6" ht="13.2">
      <c r="A8335" t="s">
        <v>9590</v>
      </c>
      <c r="B8335">
        <v>0</v>
      </c>
      <c r="C8335" s="44">
        <v>2900</v>
      </c>
      <c r="D8335" t="s">
        <v>293</v>
      </c>
      <c r="E8335" t="s">
        <v>256</v>
      </c>
      <c r="F8335" t="s">
        <v>9120</v>
      </c>
    </row>
    <row r="8336" spans="1:6" ht="13.2">
      <c r="A8336" t="s">
        <v>9591</v>
      </c>
      <c r="B8336">
        <v>0</v>
      </c>
      <c r="C8336" s="44">
        <v>2900</v>
      </c>
      <c r="D8336" t="s">
        <v>293</v>
      </c>
      <c r="E8336" t="s">
        <v>256</v>
      </c>
      <c r="F8336" t="s">
        <v>9120</v>
      </c>
    </row>
    <row r="8337" spans="1:6" ht="13.2">
      <c r="A8337" t="s">
        <v>9592</v>
      </c>
      <c r="B8337">
        <v>0</v>
      </c>
      <c r="C8337" s="44">
        <v>2900</v>
      </c>
      <c r="D8337" t="s">
        <v>293</v>
      </c>
      <c r="E8337" t="s">
        <v>256</v>
      </c>
      <c r="F8337" t="s">
        <v>9120</v>
      </c>
    </row>
    <row r="8338" spans="1:6" ht="13.2">
      <c r="A8338" t="s">
        <v>9593</v>
      </c>
      <c r="B8338">
        <v>0</v>
      </c>
      <c r="C8338" s="44">
        <v>2900</v>
      </c>
      <c r="D8338" t="s">
        <v>293</v>
      </c>
      <c r="E8338" t="s">
        <v>256</v>
      </c>
      <c r="F8338" t="s">
        <v>9120</v>
      </c>
    </row>
    <row r="8339" spans="1:6" ht="13.2">
      <c r="A8339" t="s">
        <v>9594</v>
      </c>
      <c r="B8339">
        <v>0</v>
      </c>
      <c r="C8339" s="44">
        <v>2900</v>
      </c>
      <c r="D8339" t="s">
        <v>293</v>
      </c>
      <c r="E8339" t="s">
        <v>256</v>
      </c>
      <c r="F8339" t="s">
        <v>9120</v>
      </c>
    </row>
    <row r="8340" spans="1:6" ht="13.2">
      <c r="A8340" t="s">
        <v>9595</v>
      </c>
      <c r="B8340">
        <v>0</v>
      </c>
      <c r="C8340" s="44">
        <v>2900</v>
      </c>
      <c r="D8340" t="s">
        <v>293</v>
      </c>
      <c r="E8340" t="s">
        <v>256</v>
      </c>
      <c r="F8340" t="s">
        <v>9120</v>
      </c>
    </row>
    <row r="8341" spans="1:6" ht="13.2">
      <c r="A8341" t="s">
        <v>9596</v>
      </c>
      <c r="B8341">
        <v>0</v>
      </c>
      <c r="C8341" s="44">
        <v>2900</v>
      </c>
      <c r="D8341" t="s">
        <v>293</v>
      </c>
      <c r="E8341" t="s">
        <v>256</v>
      </c>
      <c r="F8341" t="s">
        <v>9120</v>
      </c>
    </row>
    <row r="8342" spans="1:6" ht="13.2">
      <c r="A8342" t="s">
        <v>9597</v>
      </c>
      <c r="B8342">
        <v>0</v>
      </c>
      <c r="C8342" s="44">
        <v>2900</v>
      </c>
      <c r="D8342" t="s">
        <v>293</v>
      </c>
      <c r="E8342" t="s">
        <v>256</v>
      </c>
      <c r="F8342" t="s">
        <v>9120</v>
      </c>
    </row>
    <row r="8343" spans="1:6" ht="13.2">
      <c r="A8343" t="s">
        <v>9598</v>
      </c>
      <c r="B8343">
        <v>0</v>
      </c>
      <c r="C8343" s="44">
        <v>2900</v>
      </c>
      <c r="D8343" t="s">
        <v>293</v>
      </c>
      <c r="E8343" t="s">
        <v>256</v>
      </c>
      <c r="F8343" t="s">
        <v>9120</v>
      </c>
    </row>
    <row r="8344" spans="1:6" ht="13.2">
      <c r="A8344" t="s">
        <v>9599</v>
      </c>
      <c r="B8344">
        <v>0</v>
      </c>
      <c r="C8344" s="44">
        <v>2900</v>
      </c>
      <c r="D8344" t="s">
        <v>293</v>
      </c>
      <c r="E8344" t="s">
        <v>256</v>
      </c>
      <c r="F8344" t="s">
        <v>9120</v>
      </c>
    </row>
    <row r="8345" spans="1:6" ht="13.2">
      <c r="A8345" t="s">
        <v>9600</v>
      </c>
      <c r="B8345">
        <v>0</v>
      </c>
      <c r="C8345" s="44">
        <v>2900</v>
      </c>
      <c r="D8345" t="s">
        <v>293</v>
      </c>
      <c r="E8345" t="s">
        <v>256</v>
      </c>
      <c r="F8345" t="s">
        <v>9120</v>
      </c>
    </row>
    <row r="8346" spans="1:6" ht="13.2">
      <c r="A8346" t="s">
        <v>9601</v>
      </c>
      <c r="B8346">
        <v>0</v>
      </c>
      <c r="C8346" s="44">
        <v>2900</v>
      </c>
      <c r="D8346" t="s">
        <v>293</v>
      </c>
      <c r="E8346" t="s">
        <v>256</v>
      </c>
      <c r="F8346" t="s">
        <v>9120</v>
      </c>
    </row>
    <row r="8347" spans="1:6" ht="13.2">
      <c r="A8347" t="s">
        <v>9602</v>
      </c>
      <c r="B8347">
        <v>0</v>
      </c>
      <c r="C8347" s="44">
        <v>2900</v>
      </c>
      <c r="D8347" t="s">
        <v>293</v>
      </c>
      <c r="E8347" t="s">
        <v>256</v>
      </c>
      <c r="F8347" t="s">
        <v>9120</v>
      </c>
    </row>
    <row r="8348" spans="1:6" ht="13.2">
      <c r="A8348" t="s">
        <v>9603</v>
      </c>
      <c r="B8348">
        <v>0</v>
      </c>
      <c r="C8348" s="44">
        <v>2900</v>
      </c>
      <c r="D8348" t="s">
        <v>293</v>
      </c>
      <c r="E8348" t="s">
        <v>256</v>
      </c>
      <c r="F8348" t="s">
        <v>9120</v>
      </c>
    </row>
    <row r="8349" spans="1:6" ht="13.2">
      <c r="A8349" t="s">
        <v>9604</v>
      </c>
      <c r="B8349">
        <v>0</v>
      </c>
      <c r="C8349" s="44">
        <v>2900</v>
      </c>
      <c r="D8349" t="s">
        <v>293</v>
      </c>
      <c r="E8349" t="s">
        <v>256</v>
      </c>
      <c r="F8349" t="s">
        <v>9120</v>
      </c>
    </row>
    <row r="8350" spans="1:6" ht="13.2">
      <c r="A8350" t="s">
        <v>9605</v>
      </c>
      <c r="B8350">
        <v>0</v>
      </c>
      <c r="C8350" s="44">
        <v>2900</v>
      </c>
      <c r="D8350" t="s">
        <v>293</v>
      </c>
      <c r="E8350" t="s">
        <v>256</v>
      </c>
      <c r="F8350" t="s">
        <v>9120</v>
      </c>
    </row>
    <row r="8351" spans="1:6" ht="13.2">
      <c r="A8351" t="s">
        <v>9606</v>
      </c>
      <c r="B8351">
        <v>0</v>
      </c>
      <c r="C8351" s="44">
        <v>2900</v>
      </c>
      <c r="D8351" t="s">
        <v>293</v>
      </c>
      <c r="E8351" t="s">
        <v>256</v>
      </c>
      <c r="F8351" t="s">
        <v>9120</v>
      </c>
    </row>
    <row r="8352" spans="1:6" ht="13.2">
      <c r="A8352" t="s">
        <v>9607</v>
      </c>
      <c r="B8352">
        <v>0</v>
      </c>
      <c r="C8352" s="44">
        <v>2900</v>
      </c>
      <c r="D8352" t="s">
        <v>293</v>
      </c>
      <c r="E8352" t="s">
        <v>256</v>
      </c>
      <c r="F8352" t="s">
        <v>9120</v>
      </c>
    </row>
    <row r="8353" spans="1:6" ht="13.2">
      <c r="A8353" t="s">
        <v>9608</v>
      </c>
      <c r="B8353">
        <v>640</v>
      </c>
      <c r="C8353" s="44">
        <v>2900</v>
      </c>
      <c r="D8353" t="s">
        <v>293</v>
      </c>
      <c r="E8353" t="s">
        <v>256</v>
      </c>
      <c r="F8353" t="s">
        <v>3824</v>
      </c>
    </row>
    <row r="8354" spans="1:6" ht="13.2">
      <c r="A8354" t="s">
        <v>9609</v>
      </c>
      <c r="B8354">
        <v>640</v>
      </c>
      <c r="C8354" s="44">
        <v>2900</v>
      </c>
      <c r="D8354" t="s">
        <v>293</v>
      </c>
      <c r="E8354" t="s">
        <v>256</v>
      </c>
      <c r="F8354" t="s">
        <v>3824</v>
      </c>
    </row>
    <row r="8355" spans="1:6" ht="13.2">
      <c r="A8355" t="s">
        <v>9610</v>
      </c>
      <c r="B8355">
        <v>0</v>
      </c>
      <c r="C8355" s="44" t="s">
        <v>201</v>
      </c>
      <c r="D8355" t="s">
        <v>293</v>
      </c>
      <c r="E8355" t="s">
        <v>256</v>
      </c>
      <c r="F8355" t="s">
        <v>3824</v>
      </c>
    </row>
    <row r="8356" spans="1:6" ht="13.2">
      <c r="A8356" t="s">
        <v>9611</v>
      </c>
      <c r="B8356">
        <v>0</v>
      </c>
      <c r="C8356" s="44" t="s">
        <v>201</v>
      </c>
      <c r="D8356" t="s">
        <v>293</v>
      </c>
      <c r="E8356" t="s">
        <v>256</v>
      </c>
      <c r="F8356" t="s">
        <v>3824</v>
      </c>
    </row>
    <row r="8357" spans="1:6" ht="13.2">
      <c r="A8357" t="s">
        <v>9612</v>
      </c>
      <c r="B8357">
        <v>0</v>
      </c>
      <c r="C8357" s="44" t="s">
        <v>201</v>
      </c>
      <c r="D8357" t="s">
        <v>293</v>
      </c>
      <c r="E8357" t="s">
        <v>256</v>
      </c>
      <c r="F8357" t="s">
        <v>3824</v>
      </c>
    </row>
    <row r="8358" spans="1:6" ht="13.2">
      <c r="A8358" t="s">
        <v>9613</v>
      </c>
      <c r="B8358">
        <v>0</v>
      </c>
      <c r="C8358" s="44" t="s">
        <v>201</v>
      </c>
      <c r="D8358" t="s">
        <v>293</v>
      </c>
      <c r="E8358" t="s">
        <v>256</v>
      </c>
      <c r="F8358" t="s">
        <v>3824</v>
      </c>
    </row>
    <row r="8359" spans="1:6" ht="13.2">
      <c r="A8359" t="s">
        <v>9614</v>
      </c>
      <c r="B8359">
        <v>0</v>
      </c>
      <c r="C8359" s="44" t="s">
        <v>201</v>
      </c>
      <c r="D8359" t="s">
        <v>293</v>
      </c>
      <c r="E8359" t="s">
        <v>256</v>
      </c>
      <c r="F8359" t="s">
        <v>3824</v>
      </c>
    </row>
    <row r="8360" spans="1:6" ht="13.2">
      <c r="A8360" t="s">
        <v>9615</v>
      </c>
      <c r="B8360">
        <v>0</v>
      </c>
      <c r="C8360" s="44" t="s">
        <v>201</v>
      </c>
      <c r="D8360" t="s">
        <v>293</v>
      </c>
      <c r="E8360" t="s">
        <v>256</v>
      </c>
      <c r="F8360" t="s">
        <v>3824</v>
      </c>
    </row>
    <row r="8361" spans="1:6" ht="13.2">
      <c r="A8361" t="s">
        <v>9616</v>
      </c>
      <c r="B8361">
        <v>0</v>
      </c>
      <c r="C8361" s="44" t="s">
        <v>201</v>
      </c>
      <c r="D8361" t="s">
        <v>293</v>
      </c>
      <c r="E8361" t="s">
        <v>256</v>
      </c>
      <c r="F8361" t="s">
        <v>3824</v>
      </c>
    </row>
    <row r="8362" spans="1:6" ht="13.2">
      <c r="A8362" t="s">
        <v>9617</v>
      </c>
      <c r="B8362">
        <v>0</v>
      </c>
      <c r="C8362" s="44" t="s">
        <v>201</v>
      </c>
      <c r="D8362" t="s">
        <v>291</v>
      </c>
      <c r="E8362" t="s">
        <v>256</v>
      </c>
      <c r="F8362" t="s">
        <v>3824</v>
      </c>
    </row>
    <row r="8363" spans="1:6" ht="13.2">
      <c r="A8363" t="s">
        <v>9618</v>
      </c>
      <c r="B8363">
        <v>0</v>
      </c>
      <c r="C8363" s="44" t="s">
        <v>201</v>
      </c>
      <c r="D8363" t="s">
        <v>291</v>
      </c>
      <c r="E8363" t="s">
        <v>256</v>
      </c>
      <c r="F8363" t="s">
        <v>3824</v>
      </c>
    </row>
    <row r="8364" spans="1:6" ht="13.2">
      <c r="A8364" t="s">
        <v>9619</v>
      </c>
      <c r="B8364">
        <v>0</v>
      </c>
      <c r="C8364" s="44" t="s">
        <v>201</v>
      </c>
      <c r="D8364" t="s">
        <v>291</v>
      </c>
      <c r="E8364" t="s">
        <v>256</v>
      </c>
      <c r="F8364" t="s">
        <v>3824</v>
      </c>
    </row>
    <row r="8365" spans="1:6" ht="13.2">
      <c r="A8365" t="s">
        <v>9620</v>
      </c>
      <c r="B8365">
        <v>0</v>
      </c>
      <c r="C8365" s="44" t="s">
        <v>201</v>
      </c>
      <c r="D8365" t="s">
        <v>291</v>
      </c>
      <c r="E8365" t="s">
        <v>256</v>
      </c>
      <c r="F8365" t="s">
        <v>3824</v>
      </c>
    </row>
    <row r="8366" spans="1:6" ht="13.2">
      <c r="A8366" t="s">
        <v>9621</v>
      </c>
      <c r="B8366">
        <v>0</v>
      </c>
      <c r="C8366" s="44" t="s">
        <v>201</v>
      </c>
      <c r="D8366" t="s">
        <v>291</v>
      </c>
      <c r="E8366" t="s">
        <v>256</v>
      </c>
      <c r="F8366" t="s">
        <v>3824</v>
      </c>
    </row>
    <row r="8367" spans="1:6" ht="13.2">
      <c r="A8367" t="s">
        <v>9622</v>
      </c>
      <c r="B8367">
        <v>0</v>
      </c>
      <c r="C8367" s="44" t="s">
        <v>201</v>
      </c>
      <c r="D8367" t="s">
        <v>291</v>
      </c>
      <c r="E8367" t="s">
        <v>256</v>
      </c>
      <c r="F8367" t="s">
        <v>3824</v>
      </c>
    </row>
    <row r="8368" spans="1:6" ht="13.2">
      <c r="A8368" t="s">
        <v>9623</v>
      </c>
      <c r="B8368">
        <v>0</v>
      </c>
      <c r="C8368" s="44" t="s">
        <v>201</v>
      </c>
      <c r="D8368" t="s">
        <v>291</v>
      </c>
      <c r="E8368" t="s">
        <v>256</v>
      </c>
      <c r="F8368" t="s">
        <v>3824</v>
      </c>
    </row>
    <row r="8369" spans="1:6" ht="13.2">
      <c r="A8369" t="s">
        <v>9624</v>
      </c>
      <c r="B8369">
        <v>0</v>
      </c>
      <c r="C8369" s="44" t="s">
        <v>4092</v>
      </c>
      <c r="D8369" t="s">
        <v>293</v>
      </c>
      <c r="E8369" t="s">
        <v>256</v>
      </c>
      <c r="F8369" t="s">
        <v>3824</v>
      </c>
    </row>
    <row r="8370" spans="1:6" ht="13.2">
      <c r="A8370" t="s">
        <v>9625</v>
      </c>
      <c r="B8370">
        <v>0</v>
      </c>
      <c r="C8370" s="44" t="s">
        <v>4092</v>
      </c>
      <c r="D8370" t="s">
        <v>293</v>
      </c>
      <c r="E8370" t="s">
        <v>256</v>
      </c>
      <c r="F8370" t="s">
        <v>3824</v>
      </c>
    </row>
    <row r="8371" spans="1:6" ht="13.2">
      <c r="A8371" t="s">
        <v>9626</v>
      </c>
      <c r="B8371">
        <v>0</v>
      </c>
      <c r="C8371" s="44" t="s">
        <v>4092</v>
      </c>
      <c r="D8371" t="s">
        <v>293</v>
      </c>
      <c r="E8371" t="s">
        <v>256</v>
      </c>
      <c r="F8371" t="s">
        <v>3824</v>
      </c>
    </row>
    <row r="8372" spans="1:6" ht="13.2">
      <c r="A8372" t="s">
        <v>9627</v>
      </c>
      <c r="B8372">
        <v>0</v>
      </c>
      <c r="C8372" s="44" t="s">
        <v>4092</v>
      </c>
      <c r="D8372" t="s">
        <v>293</v>
      </c>
      <c r="E8372" t="s">
        <v>256</v>
      </c>
      <c r="F8372" t="s">
        <v>3824</v>
      </c>
    </row>
    <row r="8373" spans="1:6" ht="13.2">
      <c r="A8373" t="s">
        <v>9628</v>
      </c>
      <c r="B8373">
        <v>0</v>
      </c>
      <c r="C8373" s="44" t="s">
        <v>4092</v>
      </c>
      <c r="D8373" t="s">
        <v>293</v>
      </c>
      <c r="E8373" t="s">
        <v>256</v>
      </c>
      <c r="F8373" t="s">
        <v>3824</v>
      </c>
    </row>
    <row r="8374" spans="1:6" ht="13.2">
      <c r="A8374" t="s">
        <v>9629</v>
      </c>
      <c r="B8374">
        <v>0</v>
      </c>
      <c r="C8374" s="44" t="s">
        <v>4092</v>
      </c>
      <c r="D8374" t="s">
        <v>293</v>
      </c>
      <c r="E8374" t="s">
        <v>256</v>
      </c>
      <c r="F8374" t="s">
        <v>3824</v>
      </c>
    </row>
    <row r="8375" spans="1:6" ht="13.2">
      <c r="A8375" t="s">
        <v>9630</v>
      </c>
      <c r="B8375">
        <v>0</v>
      </c>
      <c r="C8375" s="44" t="s">
        <v>4092</v>
      </c>
      <c r="D8375" t="s">
        <v>293</v>
      </c>
      <c r="E8375" t="s">
        <v>256</v>
      </c>
      <c r="F8375" t="s">
        <v>3824</v>
      </c>
    </row>
    <row r="8376" spans="1:6" ht="13.2">
      <c r="A8376" t="s">
        <v>9631</v>
      </c>
      <c r="B8376">
        <v>0</v>
      </c>
      <c r="C8376" s="44" t="s">
        <v>201</v>
      </c>
      <c r="D8376" t="s">
        <v>293</v>
      </c>
      <c r="E8376" t="s">
        <v>256</v>
      </c>
      <c r="F8376" t="s">
        <v>3824</v>
      </c>
    </row>
    <row r="8377" spans="1:6" ht="13.2">
      <c r="A8377" t="s">
        <v>9632</v>
      </c>
      <c r="B8377">
        <v>0</v>
      </c>
      <c r="C8377" s="44" t="s">
        <v>201</v>
      </c>
      <c r="D8377" t="s">
        <v>293</v>
      </c>
      <c r="E8377" t="s">
        <v>256</v>
      </c>
      <c r="F8377" t="s">
        <v>3824</v>
      </c>
    </row>
    <row r="8378" spans="1:6" ht="13.2">
      <c r="A8378" t="s">
        <v>9633</v>
      </c>
      <c r="B8378">
        <v>0</v>
      </c>
      <c r="C8378" s="44" t="s">
        <v>201</v>
      </c>
      <c r="D8378" t="s">
        <v>293</v>
      </c>
      <c r="E8378" t="s">
        <v>256</v>
      </c>
      <c r="F8378" t="s">
        <v>3824</v>
      </c>
    </row>
    <row r="8379" spans="1:6" ht="13.2">
      <c r="A8379" t="s">
        <v>9634</v>
      </c>
      <c r="B8379">
        <v>0</v>
      </c>
      <c r="C8379" s="44" t="s">
        <v>201</v>
      </c>
      <c r="D8379" t="s">
        <v>293</v>
      </c>
      <c r="E8379" t="s">
        <v>256</v>
      </c>
      <c r="F8379" t="s">
        <v>3824</v>
      </c>
    </row>
    <row r="8380" spans="1:6" ht="13.2">
      <c r="A8380" t="s">
        <v>9635</v>
      </c>
      <c r="B8380">
        <v>0</v>
      </c>
      <c r="C8380" s="44" t="s">
        <v>201</v>
      </c>
      <c r="D8380" t="s">
        <v>293</v>
      </c>
      <c r="E8380" t="s">
        <v>256</v>
      </c>
      <c r="F8380" t="s">
        <v>3824</v>
      </c>
    </row>
    <row r="8381" spans="1:6" ht="13.2">
      <c r="A8381" t="s">
        <v>9636</v>
      </c>
      <c r="B8381">
        <v>0</v>
      </c>
      <c r="C8381" s="44" t="s">
        <v>201</v>
      </c>
      <c r="D8381" t="s">
        <v>293</v>
      </c>
      <c r="E8381" t="s">
        <v>256</v>
      </c>
      <c r="F8381" t="s">
        <v>3824</v>
      </c>
    </row>
    <row r="8382" spans="1:6" ht="13.2">
      <c r="A8382" t="s">
        <v>9637</v>
      </c>
      <c r="B8382">
        <v>0</v>
      </c>
      <c r="C8382" s="44" t="s">
        <v>201</v>
      </c>
      <c r="D8382" t="s">
        <v>293</v>
      </c>
      <c r="E8382" t="s">
        <v>256</v>
      </c>
      <c r="F8382" t="s">
        <v>3824</v>
      </c>
    </row>
    <row r="8383" spans="1:6" ht="13.2">
      <c r="A8383" t="s">
        <v>9638</v>
      </c>
      <c r="B8383">
        <v>0</v>
      </c>
      <c r="C8383" s="44" t="s">
        <v>201</v>
      </c>
      <c r="D8383" t="s">
        <v>293</v>
      </c>
      <c r="E8383" t="s">
        <v>256</v>
      </c>
      <c r="F8383" t="s">
        <v>3824</v>
      </c>
    </row>
    <row r="8384" spans="1:6" ht="13.2">
      <c r="A8384" t="s">
        <v>9639</v>
      </c>
      <c r="B8384">
        <v>0</v>
      </c>
      <c r="C8384" s="44" t="s">
        <v>201</v>
      </c>
      <c r="D8384" t="s">
        <v>293</v>
      </c>
      <c r="E8384" t="s">
        <v>256</v>
      </c>
      <c r="F8384" t="s">
        <v>3824</v>
      </c>
    </row>
    <row r="8385" spans="1:6" ht="13.2">
      <c r="A8385" t="s">
        <v>9640</v>
      </c>
      <c r="B8385">
        <v>0</v>
      </c>
      <c r="C8385" s="44" t="s">
        <v>201</v>
      </c>
      <c r="D8385" t="s">
        <v>293</v>
      </c>
      <c r="E8385" t="s">
        <v>256</v>
      </c>
      <c r="F8385" t="s">
        <v>3824</v>
      </c>
    </row>
    <row r="8386" spans="1:6" ht="13.2">
      <c r="A8386" t="s">
        <v>9641</v>
      </c>
      <c r="B8386">
        <v>0</v>
      </c>
      <c r="C8386" s="44" t="s">
        <v>201</v>
      </c>
      <c r="D8386" t="s">
        <v>293</v>
      </c>
      <c r="E8386" t="s">
        <v>256</v>
      </c>
      <c r="F8386" t="s">
        <v>3824</v>
      </c>
    </row>
    <row r="8387" spans="1:6" ht="13.2">
      <c r="A8387" t="s">
        <v>9642</v>
      </c>
      <c r="B8387">
        <v>0</v>
      </c>
      <c r="C8387" s="44" t="s">
        <v>201</v>
      </c>
      <c r="D8387" t="s">
        <v>293</v>
      </c>
      <c r="E8387" t="s">
        <v>256</v>
      </c>
      <c r="F8387" t="s">
        <v>3824</v>
      </c>
    </row>
    <row r="8388" spans="1:6" ht="13.2">
      <c r="A8388" t="s">
        <v>9643</v>
      </c>
      <c r="B8388">
        <v>0</v>
      </c>
      <c r="C8388" s="44" t="s">
        <v>201</v>
      </c>
      <c r="D8388" t="s">
        <v>293</v>
      </c>
      <c r="E8388" t="s">
        <v>256</v>
      </c>
      <c r="F8388" t="s">
        <v>3824</v>
      </c>
    </row>
    <row r="8389" spans="1:6" ht="13.2">
      <c r="A8389" t="s">
        <v>9644</v>
      </c>
      <c r="B8389">
        <v>0</v>
      </c>
      <c r="C8389" s="44" t="s">
        <v>201</v>
      </c>
      <c r="D8389" t="s">
        <v>293</v>
      </c>
      <c r="E8389" t="s">
        <v>256</v>
      </c>
      <c r="F8389" t="s">
        <v>3824</v>
      </c>
    </row>
    <row r="8390" spans="1:6" ht="13.2">
      <c r="A8390" t="s">
        <v>9645</v>
      </c>
      <c r="B8390">
        <v>0</v>
      </c>
      <c r="C8390" s="44" t="s">
        <v>201</v>
      </c>
      <c r="D8390" t="s">
        <v>293</v>
      </c>
      <c r="E8390" t="s">
        <v>256</v>
      </c>
      <c r="F8390" t="s">
        <v>3824</v>
      </c>
    </row>
    <row r="8391" spans="1:6" ht="13.2">
      <c r="A8391" t="s">
        <v>9646</v>
      </c>
      <c r="B8391">
        <v>0</v>
      </c>
      <c r="C8391" s="44" t="s">
        <v>201</v>
      </c>
      <c r="D8391" t="s">
        <v>293</v>
      </c>
      <c r="E8391" t="s">
        <v>256</v>
      </c>
      <c r="F8391" t="s">
        <v>3824</v>
      </c>
    </row>
    <row r="8392" spans="1:6" ht="13.2">
      <c r="A8392" t="s">
        <v>9647</v>
      </c>
      <c r="B8392">
        <v>0</v>
      </c>
      <c r="C8392" s="44" t="s">
        <v>9648</v>
      </c>
      <c r="D8392" t="s">
        <v>293</v>
      </c>
      <c r="E8392" t="s">
        <v>256</v>
      </c>
      <c r="F8392" t="s">
        <v>3824</v>
      </c>
    </row>
    <row r="8393" spans="1:6" ht="13.2">
      <c r="A8393" t="s">
        <v>9649</v>
      </c>
      <c r="B8393">
        <v>0</v>
      </c>
      <c r="C8393" s="44" t="s">
        <v>9648</v>
      </c>
      <c r="D8393" t="s">
        <v>293</v>
      </c>
      <c r="E8393" t="s">
        <v>256</v>
      </c>
      <c r="F8393" t="s">
        <v>3824</v>
      </c>
    </row>
    <row r="8394" spans="1:6" ht="13.2">
      <c r="A8394" t="s">
        <v>9650</v>
      </c>
      <c r="B8394">
        <v>0</v>
      </c>
      <c r="C8394" s="44" t="s">
        <v>9648</v>
      </c>
      <c r="D8394" t="s">
        <v>293</v>
      </c>
      <c r="E8394" t="s">
        <v>256</v>
      </c>
      <c r="F8394" t="s">
        <v>3824</v>
      </c>
    </row>
    <row r="8395" spans="1:6" ht="13.2">
      <c r="A8395" t="s">
        <v>9651</v>
      </c>
      <c r="B8395">
        <v>0</v>
      </c>
      <c r="C8395" s="44" t="s">
        <v>9648</v>
      </c>
      <c r="D8395" t="s">
        <v>293</v>
      </c>
      <c r="E8395" t="s">
        <v>256</v>
      </c>
      <c r="F8395" t="s">
        <v>3824</v>
      </c>
    </row>
    <row r="8396" spans="1:6" ht="13.2">
      <c r="A8396" t="s">
        <v>9652</v>
      </c>
      <c r="B8396">
        <v>0</v>
      </c>
      <c r="C8396" s="44" t="s">
        <v>9648</v>
      </c>
      <c r="D8396" t="s">
        <v>293</v>
      </c>
      <c r="E8396" t="s">
        <v>256</v>
      </c>
      <c r="F8396" t="s">
        <v>3824</v>
      </c>
    </row>
    <row r="8397" spans="1:6" ht="13.2">
      <c r="A8397" t="s">
        <v>9653</v>
      </c>
      <c r="B8397">
        <v>0</v>
      </c>
      <c r="C8397" s="44" t="s">
        <v>9648</v>
      </c>
      <c r="D8397" t="s">
        <v>293</v>
      </c>
      <c r="E8397" t="s">
        <v>256</v>
      </c>
      <c r="F8397" t="s">
        <v>3824</v>
      </c>
    </row>
    <row r="8398" spans="1:6" ht="13.2">
      <c r="A8398" t="s">
        <v>9654</v>
      </c>
      <c r="B8398">
        <v>0</v>
      </c>
      <c r="C8398" s="44" t="s">
        <v>9648</v>
      </c>
      <c r="D8398" t="s">
        <v>293</v>
      </c>
      <c r="E8398" t="s">
        <v>256</v>
      </c>
      <c r="F8398" t="s">
        <v>3824</v>
      </c>
    </row>
    <row r="8399" spans="1:6" ht="13.2">
      <c r="A8399" t="s">
        <v>9655</v>
      </c>
      <c r="B8399">
        <v>0</v>
      </c>
      <c r="C8399" s="44" t="s">
        <v>9648</v>
      </c>
      <c r="D8399" t="s">
        <v>293</v>
      </c>
      <c r="E8399" t="s">
        <v>256</v>
      </c>
      <c r="F8399" t="s">
        <v>3824</v>
      </c>
    </row>
    <row r="8400" spans="1:6" ht="13.2">
      <c r="A8400" t="s">
        <v>9656</v>
      </c>
      <c r="B8400">
        <v>0</v>
      </c>
      <c r="C8400" s="44" t="s">
        <v>9648</v>
      </c>
      <c r="D8400" t="s">
        <v>293</v>
      </c>
      <c r="E8400" t="s">
        <v>256</v>
      </c>
      <c r="F8400" t="s">
        <v>3824</v>
      </c>
    </row>
    <row r="8401" spans="1:6" ht="13.2">
      <c r="A8401" t="s">
        <v>9657</v>
      </c>
      <c r="B8401">
        <v>0</v>
      </c>
      <c r="C8401" s="44" t="s">
        <v>9648</v>
      </c>
      <c r="D8401" t="s">
        <v>293</v>
      </c>
      <c r="E8401" t="s">
        <v>256</v>
      </c>
      <c r="F8401" t="s">
        <v>3824</v>
      </c>
    </row>
    <row r="8402" spans="1:6" ht="13.2">
      <c r="A8402" t="s">
        <v>9658</v>
      </c>
      <c r="B8402">
        <v>0</v>
      </c>
      <c r="C8402" s="44" t="s">
        <v>9648</v>
      </c>
      <c r="D8402" t="s">
        <v>293</v>
      </c>
      <c r="E8402" t="s">
        <v>256</v>
      </c>
      <c r="F8402" t="s">
        <v>3824</v>
      </c>
    </row>
    <row r="8403" spans="1:6" ht="13.2">
      <c r="A8403" t="s">
        <v>9659</v>
      </c>
      <c r="B8403">
        <v>0</v>
      </c>
      <c r="C8403" s="44" t="s">
        <v>9648</v>
      </c>
      <c r="D8403" t="s">
        <v>293</v>
      </c>
      <c r="E8403" t="s">
        <v>256</v>
      </c>
      <c r="F8403" t="s">
        <v>3824</v>
      </c>
    </row>
    <row r="8404" spans="1:6" ht="13.2">
      <c r="A8404" t="s">
        <v>9660</v>
      </c>
      <c r="B8404">
        <v>0</v>
      </c>
      <c r="C8404" s="44" t="s">
        <v>9648</v>
      </c>
      <c r="D8404" t="s">
        <v>293</v>
      </c>
      <c r="E8404" t="s">
        <v>256</v>
      </c>
      <c r="F8404" t="s">
        <v>3824</v>
      </c>
    </row>
    <row r="8405" spans="1:6" ht="13.2">
      <c r="A8405" t="s">
        <v>9661</v>
      </c>
      <c r="B8405">
        <v>0</v>
      </c>
      <c r="C8405" s="44" t="s">
        <v>9648</v>
      </c>
      <c r="D8405" t="s">
        <v>293</v>
      </c>
      <c r="E8405" t="s">
        <v>256</v>
      </c>
      <c r="F8405" t="s">
        <v>3824</v>
      </c>
    </row>
    <row r="8406" spans="1:6" ht="13.2">
      <c r="A8406" t="s">
        <v>9662</v>
      </c>
      <c r="B8406">
        <v>0</v>
      </c>
      <c r="C8406" s="44" t="s">
        <v>9648</v>
      </c>
      <c r="D8406" t="s">
        <v>293</v>
      </c>
      <c r="E8406" t="s">
        <v>256</v>
      </c>
      <c r="F8406" t="s">
        <v>3824</v>
      </c>
    </row>
    <row r="8407" spans="1:6" ht="13.2">
      <c r="A8407" t="s">
        <v>9663</v>
      </c>
      <c r="B8407">
        <v>0</v>
      </c>
      <c r="C8407" s="44" t="s">
        <v>9648</v>
      </c>
      <c r="D8407" t="s">
        <v>293</v>
      </c>
      <c r="E8407" t="s">
        <v>256</v>
      </c>
      <c r="F8407" t="s">
        <v>3824</v>
      </c>
    </row>
    <row r="8408" spans="1:6" ht="13.2">
      <c r="A8408" t="s">
        <v>9664</v>
      </c>
      <c r="B8408">
        <v>0</v>
      </c>
      <c r="C8408" s="44" t="s">
        <v>9648</v>
      </c>
      <c r="D8408" t="s">
        <v>293</v>
      </c>
      <c r="E8408" t="s">
        <v>256</v>
      </c>
      <c r="F8408" t="s">
        <v>3824</v>
      </c>
    </row>
    <row r="8409" spans="1:6" ht="13.2">
      <c r="A8409" t="s">
        <v>9665</v>
      </c>
      <c r="B8409">
        <v>0</v>
      </c>
      <c r="C8409" s="44" t="s">
        <v>9648</v>
      </c>
      <c r="D8409" t="s">
        <v>293</v>
      </c>
      <c r="E8409" t="s">
        <v>256</v>
      </c>
      <c r="F8409" t="s">
        <v>3824</v>
      </c>
    </row>
    <row r="8410" spans="1:6" ht="13.2">
      <c r="A8410" t="s">
        <v>9666</v>
      </c>
      <c r="B8410">
        <v>0</v>
      </c>
      <c r="C8410" s="44" t="s">
        <v>294</v>
      </c>
      <c r="D8410" t="s">
        <v>293</v>
      </c>
      <c r="E8410" t="s">
        <v>256</v>
      </c>
      <c r="F8410" t="s">
        <v>3824</v>
      </c>
    </row>
    <row r="8411" spans="1:6" ht="13.2">
      <c r="A8411" t="s">
        <v>9667</v>
      </c>
      <c r="B8411">
        <v>0</v>
      </c>
      <c r="C8411" s="44" t="s">
        <v>294</v>
      </c>
      <c r="D8411" t="s">
        <v>293</v>
      </c>
      <c r="E8411" t="s">
        <v>256</v>
      </c>
      <c r="F8411" t="s">
        <v>3824</v>
      </c>
    </row>
    <row r="8412" spans="1:6" ht="13.2">
      <c r="A8412" t="s">
        <v>9668</v>
      </c>
      <c r="B8412">
        <v>0</v>
      </c>
      <c r="C8412" s="44" t="s">
        <v>294</v>
      </c>
      <c r="D8412" t="s">
        <v>293</v>
      </c>
      <c r="E8412" t="s">
        <v>256</v>
      </c>
      <c r="F8412" t="s">
        <v>3824</v>
      </c>
    </row>
    <row r="8413" spans="1:6" ht="13.2">
      <c r="A8413" t="s">
        <v>9669</v>
      </c>
      <c r="B8413">
        <v>0</v>
      </c>
      <c r="C8413" s="44" t="s">
        <v>294</v>
      </c>
      <c r="D8413" t="s">
        <v>293</v>
      </c>
      <c r="E8413" t="s">
        <v>256</v>
      </c>
      <c r="F8413" t="s">
        <v>3824</v>
      </c>
    </row>
    <row r="8414" spans="1:6" ht="13.2">
      <c r="A8414" t="s">
        <v>9670</v>
      </c>
      <c r="B8414">
        <v>0</v>
      </c>
      <c r="C8414" s="44" t="s">
        <v>294</v>
      </c>
      <c r="D8414" t="s">
        <v>293</v>
      </c>
      <c r="E8414" t="s">
        <v>256</v>
      </c>
      <c r="F8414" t="s">
        <v>3824</v>
      </c>
    </row>
    <row r="8415" spans="1:6" ht="13.2">
      <c r="A8415" t="s">
        <v>9671</v>
      </c>
      <c r="B8415">
        <v>0</v>
      </c>
      <c r="C8415" s="44" t="s">
        <v>294</v>
      </c>
      <c r="D8415" t="s">
        <v>293</v>
      </c>
      <c r="E8415" t="s">
        <v>256</v>
      </c>
      <c r="F8415" t="s">
        <v>3824</v>
      </c>
    </row>
    <row r="8416" spans="1:6" ht="13.2">
      <c r="A8416" t="s">
        <v>9672</v>
      </c>
      <c r="B8416">
        <v>640</v>
      </c>
      <c r="C8416" s="44" t="s">
        <v>294</v>
      </c>
      <c r="D8416" t="s">
        <v>293</v>
      </c>
      <c r="E8416" t="s">
        <v>256</v>
      </c>
      <c r="F8416" t="s">
        <v>3824</v>
      </c>
    </row>
    <row r="8417" spans="1:6" ht="13.2">
      <c r="A8417" t="s">
        <v>9673</v>
      </c>
      <c r="B8417">
        <v>640</v>
      </c>
      <c r="C8417" s="44" t="s">
        <v>294</v>
      </c>
      <c r="D8417" t="s">
        <v>293</v>
      </c>
      <c r="E8417" t="s">
        <v>256</v>
      </c>
      <c r="F8417" t="s">
        <v>3824</v>
      </c>
    </row>
    <row r="8418" spans="1:6" ht="13.2">
      <c r="A8418" t="s">
        <v>9674</v>
      </c>
      <c r="B8418">
        <v>640</v>
      </c>
      <c r="C8418" s="44" t="s">
        <v>294</v>
      </c>
      <c r="D8418" t="s">
        <v>293</v>
      </c>
      <c r="E8418" t="s">
        <v>256</v>
      </c>
      <c r="F8418" t="s">
        <v>3824</v>
      </c>
    </row>
    <row r="8419" spans="1:6" ht="13.2">
      <c r="A8419" t="s">
        <v>9675</v>
      </c>
      <c r="B8419">
        <v>640</v>
      </c>
      <c r="C8419" s="44" t="s">
        <v>294</v>
      </c>
      <c r="D8419" t="s">
        <v>293</v>
      </c>
      <c r="E8419" t="s">
        <v>256</v>
      </c>
      <c r="F8419" t="s">
        <v>3824</v>
      </c>
    </row>
    <row r="8420" spans="1:6" ht="13.2">
      <c r="A8420" t="s">
        <v>9676</v>
      </c>
      <c r="B8420">
        <v>423</v>
      </c>
      <c r="C8420" s="44" t="s">
        <v>294</v>
      </c>
      <c r="D8420" t="s">
        <v>293</v>
      </c>
      <c r="E8420" t="s">
        <v>256</v>
      </c>
      <c r="F8420" t="s">
        <v>3824</v>
      </c>
    </row>
    <row r="8421" spans="1:6" ht="13.2">
      <c r="A8421" t="s">
        <v>9677</v>
      </c>
      <c r="B8421">
        <v>423</v>
      </c>
      <c r="C8421" s="44" t="s">
        <v>294</v>
      </c>
      <c r="D8421" t="s">
        <v>293</v>
      </c>
      <c r="E8421" t="s">
        <v>256</v>
      </c>
      <c r="F8421" t="s">
        <v>3824</v>
      </c>
    </row>
    <row r="8422" spans="1:6" ht="13.2">
      <c r="A8422" t="s">
        <v>9678</v>
      </c>
      <c r="B8422">
        <v>423</v>
      </c>
      <c r="C8422" s="44" t="s">
        <v>294</v>
      </c>
      <c r="D8422" t="s">
        <v>293</v>
      </c>
      <c r="E8422" t="s">
        <v>256</v>
      </c>
      <c r="F8422" t="s">
        <v>3824</v>
      </c>
    </row>
    <row r="8423" spans="1:6" ht="13.2">
      <c r="A8423" t="s">
        <v>9679</v>
      </c>
      <c r="B8423">
        <v>423</v>
      </c>
      <c r="C8423" s="44" t="s">
        <v>294</v>
      </c>
      <c r="D8423" t="s">
        <v>293</v>
      </c>
      <c r="E8423" t="s">
        <v>256</v>
      </c>
      <c r="F8423" t="s">
        <v>3824</v>
      </c>
    </row>
    <row r="8424" spans="1:6" ht="13.2">
      <c r="A8424" t="s">
        <v>9680</v>
      </c>
      <c r="B8424">
        <v>423</v>
      </c>
      <c r="C8424" s="44" t="s">
        <v>294</v>
      </c>
      <c r="D8424" t="s">
        <v>293</v>
      </c>
      <c r="E8424" t="s">
        <v>256</v>
      </c>
      <c r="F8424" t="s">
        <v>3824</v>
      </c>
    </row>
    <row r="8425" spans="1:6" ht="13.2">
      <c r="A8425" t="s">
        <v>9681</v>
      </c>
      <c r="B8425">
        <v>423</v>
      </c>
      <c r="C8425" s="44" t="s">
        <v>294</v>
      </c>
      <c r="D8425" t="s">
        <v>293</v>
      </c>
      <c r="E8425" t="s">
        <v>256</v>
      </c>
      <c r="F8425" t="s">
        <v>3824</v>
      </c>
    </row>
    <row r="8426" spans="1:6" ht="13.2">
      <c r="A8426" t="s">
        <v>9682</v>
      </c>
      <c r="B8426">
        <v>423</v>
      </c>
      <c r="C8426" s="44" t="s">
        <v>294</v>
      </c>
      <c r="D8426" t="s">
        <v>293</v>
      </c>
      <c r="E8426" t="s">
        <v>256</v>
      </c>
      <c r="F8426" t="s">
        <v>3824</v>
      </c>
    </row>
    <row r="8427" spans="1:6" ht="13.2">
      <c r="A8427" t="s">
        <v>9683</v>
      </c>
      <c r="B8427">
        <v>423</v>
      </c>
      <c r="C8427" s="44" t="s">
        <v>294</v>
      </c>
      <c r="D8427" t="s">
        <v>293</v>
      </c>
      <c r="E8427" t="s">
        <v>256</v>
      </c>
      <c r="F8427" t="s">
        <v>3824</v>
      </c>
    </row>
    <row r="8428" spans="1:6" ht="13.2">
      <c r="A8428" t="s">
        <v>9684</v>
      </c>
      <c r="B8428">
        <v>423</v>
      </c>
      <c r="C8428" s="44" t="s">
        <v>294</v>
      </c>
      <c r="D8428" t="s">
        <v>293</v>
      </c>
      <c r="E8428" t="s">
        <v>256</v>
      </c>
      <c r="F8428" t="s">
        <v>3824</v>
      </c>
    </row>
    <row r="8429" spans="1:6" ht="13.2">
      <c r="A8429" t="s">
        <v>9685</v>
      </c>
      <c r="B8429">
        <v>0</v>
      </c>
      <c r="C8429" s="44">
        <v>3000</v>
      </c>
      <c r="D8429" t="s">
        <v>291</v>
      </c>
      <c r="E8429" t="s">
        <v>8202</v>
      </c>
      <c r="F8429">
        <v>4</v>
      </c>
    </row>
    <row r="8430" spans="1:6" ht="13.2">
      <c r="A8430" t="s">
        <v>9686</v>
      </c>
      <c r="B8430">
        <v>0</v>
      </c>
      <c r="C8430" s="44">
        <v>3000</v>
      </c>
      <c r="D8430" t="s">
        <v>291</v>
      </c>
      <c r="E8430" t="s">
        <v>8202</v>
      </c>
      <c r="F8430">
        <v>4</v>
      </c>
    </row>
    <row r="8431" spans="1:6" ht="13.2">
      <c r="A8431" t="s">
        <v>9687</v>
      </c>
      <c r="B8431">
        <v>0</v>
      </c>
      <c r="C8431" s="44">
        <v>3000</v>
      </c>
      <c r="D8431" t="s">
        <v>291</v>
      </c>
      <c r="E8431" t="s">
        <v>8202</v>
      </c>
      <c r="F8431">
        <v>4</v>
      </c>
    </row>
    <row r="8432" spans="1:6" ht="13.2">
      <c r="A8432" t="s">
        <v>9688</v>
      </c>
      <c r="B8432">
        <v>0</v>
      </c>
      <c r="C8432" s="44">
        <v>3000</v>
      </c>
      <c r="D8432" t="s">
        <v>291</v>
      </c>
      <c r="E8432" t="s">
        <v>8202</v>
      </c>
      <c r="F8432">
        <v>4</v>
      </c>
    </row>
    <row r="8433" spans="1:6" ht="13.2">
      <c r="A8433" t="s">
        <v>9689</v>
      </c>
      <c r="B8433">
        <v>0</v>
      </c>
      <c r="C8433" s="44">
        <v>3000</v>
      </c>
      <c r="D8433" t="s">
        <v>291</v>
      </c>
      <c r="E8433" t="s">
        <v>8202</v>
      </c>
      <c r="F8433">
        <v>4</v>
      </c>
    </row>
    <row r="8434" spans="1:6" ht="13.2">
      <c r="A8434" t="s">
        <v>9690</v>
      </c>
      <c r="B8434">
        <v>0</v>
      </c>
      <c r="C8434" s="44">
        <v>3000</v>
      </c>
      <c r="D8434" t="s">
        <v>291</v>
      </c>
      <c r="E8434" t="s">
        <v>8202</v>
      </c>
      <c r="F8434">
        <v>4</v>
      </c>
    </row>
    <row r="8435" spans="1:6" ht="13.2">
      <c r="A8435" t="s">
        <v>9691</v>
      </c>
      <c r="B8435">
        <v>0</v>
      </c>
      <c r="C8435" s="44">
        <v>3000</v>
      </c>
      <c r="D8435" t="s">
        <v>291</v>
      </c>
      <c r="E8435" t="s">
        <v>8202</v>
      </c>
      <c r="F8435">
        <v>4</v>
      </c>
    </row>
    <row r="8436" spans="1:6" ht="13.2">
      <c r="A8436" t="s">
        <v>9692</v>
      </c>
      <c r="B8436">
        <v>0</v>
      </c>
      <c r="C8436" s="44">
        <v>3000</v>
      </c>
      <c r="D8436" t="s">
        <v>291</v>
      </c>
      <c r="E8436" t="s">
        <v>8202</v>
      </c>
      <c r="F8436">
        <v>4</v>
      </c>
    </row>
    <row r="8437" spans="1:6" ht="13.2">
      <c r="A8437" t="s">
        <v>9693</v>
      </c>
      <c r="B8437">
        <v>0</v>
      </c>
      <c r="C8437" s="44">
        <v>3000</v>
      </c>
      <c r="D8437" t="s">
        <v>291</v>
      </c>
      <c r="E8437" t="s">
        <v>8202</v>
      </c>
      <c r="F8437">
        <v>4</v>
      </c>
    </row>
    <row r="8438" spans="1:6" ht="13.2">
      <c r="A8438" t="s">
        <v>9694</v>
      </c>
      <c r="B8438">
        <v>0</v>
      </c>
      <c r="C8438" s="44">
        <v>3000</v>
      </c>
      <c r="D8438" t="s">
        <v>291</v>
      </c>
      <c r="E8438" t="s">
        <v>8202</v>
      </c>
      <c r="F8438">
        <v>4</v>
      </c>
    </row>
    <row r="8439" spans="1:6" ht="13.2">
      <c r="A8439" t="s">
        <v>9695</v>
      </c>
      <c r="B8439">
        <v>0</v>
      </c>
      <c r="C8439" s="44">
        <v>3000</v>
      </c>
      <c r="D8439" t="s">
        <v>291</v>
      </c>
      <c r="E8439" t="s">
        <v>8202</v>
      </c>
      <c r="F8439">
        <v>4</v>
      </c>
    </row>
    <row r="8440" spans="1:6" ht="13.2">
      <c r="A8440" t="s">
        <v>9696</v>
      </c>
      <c r="B8440">
        <v>0</v>
      </c>
      <c r="C8440" s="44">
        <v>3000</v>
      </c>
      <c r="D8440" t="s">
        <v>291</v>
      </c>
      <c r="E8440" t="s">
        <v>8202</v>
      </c>
      <c r="F8440">
        <v>4</v>
      </c>
    </row>
    <row r="8441" spans="1:6" ht="13.2">
      <c r="A8441" t="s">
        <v>9697</v>
      </c>
      <c r="B8441">
        <v>0</v>
      </c>
      <c r="C8441" s="44">
        <v>3000</v>
      </c>
      <c r="D8441" t="s">
        <v>291</v>
      </c>
      <c r="E8441" t="s">
        <v>8202</v>
      </c>
      <c r="F8441">
        <v>4</v>
      </c>
    </row>
    <row r="8442" spans="1:6" ht="13.2">
      <c r="A8442" t="s">
        <v>9698</v>
      </c>
      <c r="B8442">
        <v>0</v>
      </c>
      <c r="C8442" s="44">
        <v>3000</v>
      </c>
      <c r="D8442" t="s">
        <v>291</v>
      </c>
      <c r="E8442" t="s">
        <v>8202</v>
      </c>
      <c r="F8442">
        <v>4</v>
      </c>
    </row>
    <row r="8443" spans="1:6" ht="13.2">
      <c r="A8443" t="s">
        <v>9699</v>
      </c>
      <c r="B8443">
        <v>0</v>
      </c>
      <c r="C8443" s="44">
        <v>3000</v>
      </c>
      <c r="D8443" t="s">
        <v>291</v>
      </c>
      <c r="E8443" t="s">
        <v>8202</v>
      </c>
      <c r="F8443">
        <v>4</v>
      </c>
    </row>
    <row r="8444" spans="1:6" ht="13.2">
      <c r="A8444" t="s">
        <v>9700</v>
      </c>
      <c r="B8444">
        <v>0</v>
      </c>
      <c r="C8444" s="44">
        <v>3000</v>
      </c>
      <c r="D8444" t="s">
        <v>291</v>
      </c>
      <c r="E8444" t="s">
        <v>8202</v>
      </c>
      <c r="F8444">
        <v>4</v>
      </c>
    </row>
    <row r="8445" spans="1:6" ht="13.2">
      <c r="A8445" t="s">
        <v>9705</v>
      </c>
      <c r="B8445">
        <v>0</v>
      </c>
      <c r="C8445" s="44" t="s">
        <v>9706</v>
      </c>
      <c r="D8445" t="s">
        <v>293</v>
      </c>
      <c r="E8445" t="s">
        <v>256</v>
      </c>
      <c r="F8445" t="s">
        <v>3824</v>
      </c>
    </row>
    <row r="8446" spans="1:6" ht="13.2">
      <c r="A8446" t="s">
        <v>9707</v>
      </c>
      <c r="B8446">
        <v>0</v>
      </c>
      <c r="C8446" s="44" t="s">
        <v>9706</v>
      </c>
      <c r="D8446" t="s">
        <v>293</v>
      </c>
      <c r="E8446" t="s">
        <v>256</v>
      </c>
      <c r="F8446" t="s">
        <v>3824</v>
      </c>
    </row>
    <row r="8447" spans="1:6" ht="13.2">
      <c r="A8447" t="s">
        <v>9708</v>
      </c>
      <c r="B8447">
        <v>0</v>
      </c>
      <c r="C8447" s="44" t="s">
        <v>9706</v>
      </c>
      <c r="D8447" t="s">
        <v>293</v>
      </c>
      <c r="E8447" t="s">
        <v>256</v>
      </c>
      <c r="F8447" t="s">
        <v>3824</v>
      </c>
    </row>
    <row r="8448" spans="1:6" ht="13.2">
      <c r="A8448" t="s">
        <v>9709</v>
      </c>
      <c r="B8448">
        <v>0</v>
      </c>
      <c r="C8448" s="44" t="s">
        <v>9706</v>
      </c>
      <c r="D8448" t="s">
        <v>293</v>
      </c>
      <c r="E8448" t="s">
        <v>256</v>
      </c>
      <c r="F8448" t="s">
        <v>3824</v>
      </c>
    </row>
    <row r="8449" spans="1:6" ht="13.2">
      <c r="A8449" t="s">
        <v>9710</v>
      </c>
      <c r="B8449">
        <v>0</v>
      </c>
      <c r="C8449" s="44" t="s">
        <v>9706</v>
      </c>
      <c r="D8449" t="s">
        <v>293</v>
      </c>
      <c r="E8449" t="s">
        <v>256</v>
      </c>
      <c r="F8449" t="s">
        <v>3824</v>
      </c>
    </row>
    <row r="8450" spans="1:6" ht="13.2">
      <c r="A8450" t="s">
        <v>9711</v>
      </c>
      <c r="B8450">
        <v>0</v>
      </c>
      <c r="C8450" s="44" t="s">
        <v>9706</v>
      </c>
      <c r="D8450" t="s">
        <v>293</v>
      </c>
      <c r="E8450" t="s">
        <v>256</v>
      </c>
      <c r="F8450" t="s">
        <v>3824</v>
      </c>
    </row>
    <row r="8451" spans="1:6" ht="13.2">
      <c r="A8451" t="s">
        <v>9714</v>
      </c>
      <c r="B8451">
        <v>0</v>
      </c>
      <c r="C8451" s="44">
        <v>3200</v>
      </c>
      <c r="D8451" t="s">
        <v>291</v>
      </c>
      <c r="E8451" t="s">
        <v>256</v>
      </c>
      <c r="F8451">
        <v>4</v>
      </c>
    </row>
    <row r="8452" spans="1:6" ht="13.2">
      <c r="A8452" t="s">
        <v>9715</v>
      </c>
      <c r="B8452">
        <v>0</v>
      </c>
      <c r="C8452" s="44">
        <v>3200</v>
      </c>
      <c r="D8452" t="s">
        <v>291</v>
      </c>
      <c r="E8452" t="s">
        <v>256</v>
      </c>
      <c r="F8452">
        <v>4</v>
      </c>
    </row>
    <row r="8453" spans="1:6" ht="13.2">
      <c r="A8453" t="s">
        <v>9716</v>
      </c>
      <c r="B8453">
        <v>0</v>
      </c>
      <c r="C8453" s="44">
        <v>3200</v>
      </c>
      <c r="D8453" t="s">
        <v>291</v>
      </c>
      <c r="E8453" t="s">
        <v>256</v>
      </c>
      <c r="F8453">
        <v>4</v>
      </c>
    </row>
    <row r="8454" spans="1:6" ht="13.2">
      <c r="A8454" t="s">
        <v>9717</v>
      </c>
      <c r="B8454">
        <v>0</v>
      </c>
      <c r="C8454" s="44">
        <v>3200</v>
      </c>
      <c r="D8454" t="s">
        <v>291</v>
      </c>
      <c r="E8454" t="s">
        <v>256</v>
      </c>
      <c r="F8454">
        <v>4</v>
      </c>
    </row>
    <row r="8455" spans="1:6" ht="13.2">
      <c r="A8455" t="s">
        <v>9718</v>
      </c>
      <c r="B8455">
        <v>0</v>
      </c>
      <c r="C8455" s="44">
        <v>3200</v>
      </c>
      <c r="D8455" t="s">
        <v>291</v>
      </c>
      <c r="E8455" t="s">
        <v>256</v>
      </c>
      <c r="F8455">
        <v>4</v>
      </c>
    </row>
    <row r="8456" spans="1:6" ht="13.2">
      <c r="A8456" t="s">
        <v>9719</v>
      </c>
      <c r="B8456">
        <v>0</v>
      </c>
      <c r="C8456" s="44">
        <v>3200</v>
      </c>
      <c r="D8456" t="s">
        <v>291</v>
      </c>
      <c r="E8456" t="s">
        <v>256</v>
      </c>
      <c r="F8456">
        <v>4</v>
      </c>
    </row>
    <row r="8457" spans="1:6" ht="13.2">
      <c r="A8457" t="s">
        <v>9720</v>
      </c>
      <c r="B8457">
        <v>0</v>
      </c>
      <c r="C8457" s="44">
        <v>3200</v>
      </c>
      <c r="D8457" t="s">
        <v>291</v>
      </c>
      <c r="E8457" t="s">
        <v>256</v>
      </c>
      <c r="F8457">
        <v>4</v>
      </c>
    </row>
    <row r="8458" spans="1:6" ht="13.2">
      <c r="A8458" t="s">
        <v>9721</v>
      </c>
      <c r="B8458">
        <v>0</v>
      </c>
      <c r="C8458" s="44">
        <v>3200</v>
      </c>
      <c r="D8458" t="s">
        <v>291</v>
      </c>
      <c r="E8458" t="s">
        <v>256</v>
      </c>
      <c r="F8458">
        <v>4</v>
      </c>
    </row>
    <row r="8459" spans="1:6" ht="13.2">
      <c r="A8459" t="s">
        <v>9722</v>
      </c>
      <c r="B8459">
        <v>0</v>
      </c>
      <c r="C8459" s="44">
        <v>3200</v>
      </c>
      <c r="D8459" t="s">
        <v>291</v>
      </c>
      <c r="E8459" t="s">
        <v>256</v>
      </c>
      <c r="F8459">
        <v>4</v>
      </c>
    </row>
    <row r="8460" spans="1:6" ht="13.2">
      <c r="A8460" t="s">
        <v>9723</v>
      </c>
      <c r="B8460">
        <v>0</v>
      </c>
      <c r="C8460" s="44">
        <v>3200</v>
      </c>
      <c r="D8460" t="s">
        <v>291</v>
      </c>
      <c r="E8460" t="s">
        <v>256</v>
      </c>
      <c r="F8460">
        <v>4</v>
      </c>
    </row>
    <row r="8461" spans="1:6" ht="13.2">
      <c r="A8461" t="s">
        <v>9724</v>
      </c>
      <c r="B8461">
        <v>0</v>
      </c>
      <c r="C8461" s="44">
        <v>3200</v>
      </c>
      <c r="D8461" t="s">
        <v>291</v>
      </c>
      <c r="E8461" t="s">
        <v>256</v>
      </c>
      <c r="F8461">
        <v>4</v>
      </c>
    </row>
    <row r="8462" spans="1:6" ht="13.2">
      <c r="A8462" t="s">
        <v>11155</v>
      </c>
      <c r="B8462">
        <v>0</v>
      </c>
      <c r="C8462" s="44">
        <v>3000</v>
      </c>
      <c r="D8462" t="s">
        <v>293</v>
      </c>
      <c r="E8462" t="s">
        <v>653</v>
      </c>
      <c r="F8462">
        <v>11</v>
      </c>
    </row>
    <row r="8463" spans="1:6" ht="13.2">
      <c r="A8463" t="s">
        <v>11156</v>
      </c>
      <c r="B8463">
        <v>0</v>
      </c>
      <c r="C8463" s="44">
        <v>3000</v>
      </c>
      <c r="D8463" t="s">
        <v>293</v>
      </c>
      <c r="E8463" t="s">
        <v>653</v>
      </c>
      <c r="F8463">
        <v>11</v>
      </c>
    </row>
    <row r="8464" spans="1:6" ht="13.2">
      <c r="A8464" t="s">
        <v>11157</v>
      </c>
      <c r="B8464">
        <v>0</v>
      </c>
      <c r="C8464" s="44">
        <v>3000</v>
      </c>
      <c r="D8464" t="s">
        <v>293</v>
      </c>
      <c r="E8464" t="s">
        <v>653</v>
      </c>
      <c r="F8464">
        <v>11</v>
      </c>
    </row>
    <row r="8465" spans="1:6" ht="13.2">
      <c r="A8465" t="s">
        <v>11158</v>
      </c>
      <c r="B8465">
        <v>0</v>
      </c>
      <c r="C8465" s="44">
        <v>3000</v>
      </c>
      <c r="D8465" t="s">
        <v>293</v>
      </c>
      <c r="E8465" t="s">
        <v>653</v>
      </c>
      <c r="F8465">
        <v>11</v>
      </c>
    </row>
    <row r="8466" spans="1:6" ht="13.2">
      <c r="A8466" t="s">
        <v>11159</v>
      </c>
      <c r="B8466">
        <v>0</v>
      </c>
      <c r="C8466" s="44">
        <v>3000</v>
      </c>
      <c r="D8466" t="s">
        <v>293</v>
      </c>
      <c r="E8466" t="s">
        <v>653</v>
      </c>
      <c r="F8466">
        <v>11</v>
      </c>
    </row>
    <row r="8467" spans="1:6" ht="13.2">
      <c r="A8467" t="s">
        <v>11160</v>
      </c>
      <c r="B8467">
        <v>0</v>
      </c>
      <c r="C8467" s="44">
        <v>3000</v>
      </c>
      <c r="D8467" t="s">
        <v>293</v>
      </c>
      <c r="E8467" t="s">
        <v>653</v>
      </c>
      <c r="F8467">
        <v>11</v>
      </c>
    </row>
    <row r="8468" spans="1:6" ht="13.2">
      <c r="A8468" t="s">
        <v>11161</v>
      </c>
      <c r="B8468">
        <v>0</v>
      </c>
      <c r="C8468" s="44">
        <v>3000</v>
      </c>
      <c r="D8468" t="s">
        <v>293</v>
      </c>
      <c r="E8468" t="s">
        <v>653</v>
      </c>
      <c r="F8468">
        <v>11</v>
      </c>
    </row>
    <row r="8469" spans="1:6" ht="13.2">
      <c r="A8469" t="s">
        <v>11162</v>
      </c>
      <c r="B8469">
        <v>0</v>
      </c>
      <c r="C8469" s="44">
        <v>3000</v>
      </c>
      <c r="D8469" t="s">
        <v>293</v>
      </c>
      <c r="E8469" t="s">
        <v>653</v>
      </c>
      <c r="F8469">
        <v>11</v>
      </c>
    </row>
    <row r="8470" spans="1:6" ht="13.2">
      <c r="A8470" t="s">
        <v>11163</v>
      </c>
      <c r="B8470">
        <v>0</v>
      </c>
      <c r="C8470" s="44">
        <v>3000</v>
      </c>
      <c r="D8470" t="s">
        <v>293</v>
      </c>
      <c r="E8470" t="s">
        <v>653</v>
      </c>
      <c r="F8470">
        <v>11</v>
      </c>
    </row>
    <row r="8471" spans="1:6" ht="13.2">
      <c r="A8471" t="s">
        <v>11164</v>
      </c>
      <c r="B8471">
        <v>0</v>
      </c>
      <c r="C8471" s="44">
        <v>3000</v>
      </c>
      <c r="D8471" t="s">
        <v>293</v>
      </c>
      <c r="E8471" t="s">
        <v>653</v>
      </c>
      <c r="F8471">
        <v>11</v>
      </c>
    </row>
    <row r="8472" spans="1:6" ht="13.2">
      <c r="A8472" t="s">
        <v>11165</v>
      </c>
      <c r="B8472">
        <v>0</v>
      </c>
      <c r="C8472" s="44">
        <v>3000</v>
      </c>
      <c r="D8472" t="s">
        <v>293</v>
      </c>
      <c r="E8472" t="s">
        <v>653</v>
      </c>
      <c r="F8472">
        <v>11</v>
      </c>
    </row>
    <row r="8473" spans="1:6" ht="13.2">
      <c r="A8473" t="s">
        <v>11166</v>
      </c>
      <c r="B8473">
        <v>0</v>
      </c>
      <c r="C8473" s="44">
        <v>3000</v>
      </c>
      <c r="D8473" t="s">
        <v>293</v>
      </c>
      <c r="E8473" t="s">
        <v>653</v>
      </c>
      <c r="F8473">
        <v>11</v>
      </c>
    </row>
    <row r="8474" spans="1:6" ht="13.2">
      <c r="A8474" t="s">
        <v>11167</v>
      </c>
      <c r="B8474">
        <v>0</v>
      </c>
      <c r="C8474" s="44">
        <v>3000</v>
      </c>
      <c r="D8474" t="s">
        <v>293</v>
      </c>
      <c r="E8474" t="s">
        <v>653</v>
      </c>
      <c r="F8474">
        <v>11</v>
      </c>
    </row>
    <row r="8475" spans="1:6" ht="13.2">
      <c r="A8475" t="s">
        <v>11168</v>
      </c>
      <c r="B8475">
        <v>0</v>
      </c>
      <c r="C8475" s="44">
        <v>3000</v>
      </c>
      <c r="D8475" t="s">
        <v>293</v>
      </c>
      <c r="E8475" t="s">
        <v>653</v>
      </c>
      <c r="F8475">
        <v>11</v>
      </c>
    </row>
    <row r="8476" spans="1:6" ht="13.2">
      <c r="A8476" t="s">
        <v>11169</v>
      </c>
      <c r="B8476">
        <v>0</v>
      </c>
      <c r="C8476" s="44">
        <v>3000</v>
      </c>
      <c r="D8476" t="s">
        <v>293</v>
      </c>
      <c r="E8476" t="s">
        <v>653</v>
      </c>
      <c r="F8476">
        <v>11</v>
      </c>
    </row>
    <row r="8477" spans="1:6" ht="13.2">
      <c r="A8477" t="s">
        <v>11170</v>
      </c>
      <c r="B8477">
        <v>0</v>
      </c>
      <c r="C8477" s="44">
        <v>3000</v>
      </c>
      <c r="D8477" t="s">
        <v>293</v>
      </c>
      <c r="E8477" t="s">
        <v>653</v>
      </c>
      <c r="F8477">
        <v>11</v>
      </c>
    </row>
    <row r="8478" spans="1:6" ht="13.2">
      <c r="A8478" t="s">
        <v>11171</v>
      </c>
      <c r="B8478">
        <v>0</v>
      </c>
      <c r="C8478" s="44">
        <v>3000</v>
      </c>
      <c r="D8478" t="s">
        <v>293</v>
      </c>
      <c r="E8478" t="s">
        <v>653</v>
      </c>
      <c r="F8478">
        <v>11</v>
      </c>
    </row>
    <row r="8479" spans="1:6" ht="13.2">
      <c r="A8479" t="s">
        <v>11172</v>
      </c>
      <c r="B8479">
        <v>0</v>
      </c>
      <c r="C8479" s="44">
        <v>3000</v>
      </c>
      <c r="D8479" t="s">
        <v>293</v>
      </c>
      <c r="E8479" t="s">
        <v>653</v>
      </c>
      <c r="F8479">
        <v>11</v>
      </c>
    </row>
    <row r="8480" spans="1:6" ht="13.2">
      <c r="A8480" t="s">
        <v>11173</v>
      </c>
      <c r="B8480">
        <v>0</v>
      </c>
      <c r="C8480" s="44">
        <v>3000</v>
      </c>
      <c r="D8480" t="s">
        <v>291</v>
      </c>
      <c r="E8480" t="s">
        <v>653</v>
      </c>
      <c r="F8480">
        <v>11</v>
      </c>
    </row>
    <row r="8481" spans="1:6" ht="13.2">
      <c r="A8481" t="s">
        <v>11174</v>
      </c>
      <c r="B8481">
        <v>0</v>
      </c>
      <c r="C8481" s="44">
        <v>3000</v>
      </c>
      <c r="D8481" t="s">
        <v>291</v>
      </c>
      <c r="E8481" t="s">
        <v>653</v>
      </c>
      <c r="F8481">
        <v>11</v>
      </c>
    </row>
    <row r="8482" spans="1:6" ht="13.2">
      <c r="A8482" t="s">
        <v>11175</v>
      </c>
      <c r="B8482">
        <v>0</v>
      </c>
      <c r="C8482" s="44">
        <v>3000</v>
      </c>
      <c r="D8482" t="s">
        <v>291</v>
      </c>
      <c r="E8482" t="s">
        <v>653</v>
      </c>
      <c r="F8482">
        <v>11</v>
      </c>
    </row>
    <row r="8483" spans="1:6" ht="13.2">
      <c r="A8483" t="s">
        <v>11176</v>
      </c>
      <c r="B8483">
        <v>0</v>
      </c>
      <c r="C8483" s="44">
        <v>3000</v>
      </c>
      <c r="D8483" t="s">
        <v>291</v>
      </c>
      <c r="E8483" t="s">
        <v>653</v>
      </c>
      <c r="F8483">
        <v>11</v>
      </c>
    </row>
    <row r="8484" spans="1:6" ht="13.2">
      <c r="A8484" t="s">
        <v>11177</v>
      </c>
      <c r="B8484">
        <v>0</v>
      </c>
      <c r="C8484" s="44">
        <v>3000</v>
      </c>
      <c r="D8484" t="s">
        <v>291</v>
      </c>
      <c r="E8484" t="s">
        <v>653</v>
      </c>
      <c r="F8484">
        <v>11</v>
      </c>
    </row>
    <row r="8485" spans="1:6" ht="13.2">
      <c r="A8485" t="s">
        <v>11178</v>
      </c>
      <c r="B8485">
        <v>0</v>
      </c>
      <c r="C8485" s="44">
        <v>3000</v>
      </c>
      <c r="D8485" t="s">
        <v>291</v>
      </c>
      <c r="E8485" t="s">
        <v>653</v>
      </c>
      <c r="F8485">
        <v>11</v>
      </c>
    </row>
    <row r="8486" spans="1:6" ht="13.2">
      <c r="A8486" t="s">
        <v>11179</v>
      </c>
      <c r="B8486">
        <v>0</v>
      </c>
      <c r="C8486" s="44">
        <v>3000</v>
      </c>
      <c r="D8486" t="s">
        <v>291</v>
      </c>
      <c r="E8486" t="s">
        <v>653</v>
      </c>
      <c r="F8486">
        <v>11</v>
      </c>
    </row>
    <row r="8487" spans="1:6" ht="13.2">
      <c r="A8487" t="s">
        <v>11180</v>
      </c>
      <c r="B8487">
        <v>0</v>
      </c>
      <c r="C8487" s="44">
        <v>3000</v>
      </c>
      <c r="D8487" t="s">
        <v>291</v>
      </c>
      <c r="E8487" t="s">
        <v>653</v>
      </c>
      <c r="F8487">
        <v>11</v>
      </c>
    </row>
    <row r="8488" spans="1:6" ht="13.2">
      <c r="A8488" t="s">
        <v>11181</v>
      </c>
      <c r="B8488">
        <v>0</v>
      </c>
      <c r="C8488" s="44">
        <v>3000</v>
      </c>
      <c r="D8488" t="s">
        <v>291</v>
      </c>
      <c r="E8488" t="s">
        <v>653</v>
      </c>
      <c r="F8488">
        <v>11</v>
      </c>
    </row>
    <row r="8489" spans="1:6" ht="13.2">
      <c r="A8489" t="s">
        <v>11182</v>
      </c>
      <c r="B8489">
        <v>0</v>
      </c>
      <c r="C8489" s="44">
        <v>3000</v>
      </c>
      <c r="D8489" t="s">
        <v>291</v>
      </c>
      <c r="E8489" t="s">
        <v>653</v>
      </c>
      <c r="F8489">
        <v>11</v>
      </c>
    </row>
    <row r="8490" spans="1:6" ht="13.2">
      <c r="A8490" t="s">
        <v>11183</v>
      </c>
      <c r="B8490">
        <v>0</v>
      </c>
      <c r="C8490" s="44">
        <v>3000</v>
      </c>
      <c r="D8490" t="s">
        <v>291</v>
      </c>
      <c r="E8490" t="s">
        <v>653</v>
      </c>
      <c r="F8490">
        <v>11</v>
      </c>
    </row>
    <row r="8491" spans="1:6" ht="13.2">
      <c r="A8491" t="s">
        <v>11184</v>
      </c>
      <c r="B8491">
        <v>0</v>
      </c>
      <c r="C8491" s="44">
        <v>3000</v>
      </c>
      <c r="D8491" t="s">
        <v>291</v>
      </c>
      <c r="E8491" t="s">
        <v>653</v>
      </c>
      <c r="F8491">
        <v>11</v>
      </c>
    </row>
    <row r="8492" spans="1:6" ht="13.2">
      <c r="A8492" t="s">
        <v>11185</v>
      </c>
      <c r="B8492">
        <v>0</v>
      </c>
      <c r="C8492" s="44">
        <v>3000</v>
      </c>
      <c r="D8492" t="s">
        <v>291</v>
      </c>
      <c r="E8492" t="s">
        <v>653</v>
      </c>
      <c r="F8492">
        <v>11</v>
      </c>
    </row>
    <row r="8493" spans="1:6" ht="13.2">
      <c r="A8493" t="s">
        <v>11186</v>
      </c>
      <c r="B8493">
        <v>0</v>
      </c>
      <c r="C8493" s="44">
        <v>3000</v>
      </c>
      <c r="D8493" t="s">
        <v>291</v>
      </c>
      <c r="E8493" t="s">
        <v>653</v>
      </c>
      <c r="F8493">
        <v>11</v>
      </c>
    </row>
    <row r="8494" spans="1:6" ht="13.2">
      <c r="A8494" t="s">
        <v>11187</v>
      </c>
      <c r="B8494">
        <v>0</v>
      </c>
      <c r="C8494" s="44">
        <v>3000</v>
      </c>
      <c r="D8494" t="s">
        <v>291</v>
      </c>
      <c r="E8494" t="s">
        <v>653</v>
      </c>
      <c r="F8494">
        <v>11</v>
      </c>
    </row>
    <row r="8495" spans="1:6" ht="13.2">
      <c r="A8495" t="s">
        <v>11188</v>
      </c>
      <c r="B8495">
        <v>0</v>
      </c>
      <c r="C8495" s="44">
        <v>3000</v>
      </c>
      <c r="D8495" t="s">
        <v>291</v>
      </c>
      <c r="E8495" t="s">
        <v>653</v>
      </c>
      <c r="F8495">
        <v>11</v>
      </c>
    </row>
    <row r="8496" spans="1:6" ht="13.2">
      <c r="A8496" t="s">
        <v>11189</v>
      </c>
      <c r="B8496">
        <v>0</v>
      </c>
      <c r="C8496" s="44">
        <v>3000</v>
      </c>
      <c r="D8496" t="s">
        <v>291</v>
      </c>
      <c r="E8496" t="s">
        <v>653</v>
      </c>
      <c r="F8496">
        <v>11</v>
      </c>
    </row>
    <row r="8497" spans="1:6" ht="13.2">
      <c r="A8497" t="s">
        <v>11190</v>
      </c>
      <c r="B8497">
        <v>0</v>
      </c>
      <c r="C8497" s="44">
        <v>3000</v>
      </c>
      <c r="D8497" t="s">
        <v>291</v>
      </c>
      <c r="E8497" t="s">
        <v>653</v>
      </c>
      <c r="F8497">
        <v>11</v>
      </c>
    </row>
    <row r="8498" spans="1:6" ht="13.2">
      <c r="A8498" t="s">
        <v>9725</v>
      </c>
      <c r="B8498">
        <v>0</v>
      </c>
      <c r="C8498" s="44">
        <v>3150</v>
      </c>
      <c r="D8498" t="s">
        <v>293</v>
      </c>
      <c r="E8498" t="s">
        <v>9726</v>
      </c>
      <c r="F8498">
        <v>15</v>
      </c>
    </row>
    <row r="8499" spans="1:6" ht="13.2">
      <c r="A8499" t="s">
        <v>9727</v>
      </c>
      <c r="B8499">
        <v>0</v>
      </c>
      <c r="C8499" s="44">
        <v>3150</v>
      </c>
      <c r="D8499" t="s">
        <v>293</v>
      </c>
      <c r="E8499" t="s">
        <v>9726</v>
      </c>
      <c r="F8499">
        <v>15</v>
      </c>
    </row>
    <row r="8500" spans="1:6" ht="13.2">
      <c r="A8500" t="s">
        <v>9728</v>
      </c>
      <c r="B8500">
        <v>0</v>
      </c>
      <c r="C8500" s="44">
        <v>3150</v>
      </c>
      <c r="D8500" t="s">
        <v>293</v>
      </c>
      <c r="E8500" t="s">
        <v>9726</v>
      </c>
      <c r="F8500">
        <v>15</v>
      </c>
    </row>
    <row r="8501" spans="1:6" ht="13.2">
      <c r="A8501" t="s">
        <v>9729</v>
      </c>
      <c r="B8501">
        <v>0</v>
      </c>
      <c r="C8501" s="44">
        <v>3150</v>
      </c>
      <c r="D8501" t="s">
        <v>293</v>
      </c>
      <c r="E8501" t="s">
        <v>9726</v>
      </c>
      <c r="F8501">
        <v>15</v>
      </c>
    </row>
    <row r="8502" spans="1:6" ht="13.2">
      <c r="A8502" t="s">
        <v>9730</v>
      </c>
      <c r="B8502">
        <v>0</v>
      </c>
      <c r="C8502" s="44">
        <v>3150</v>
      </c>
      <c r="D8502" t="s">
        <v>293</v>
      </c>
      <c r="E8502" t="s">
        <v>9726</v>
      </c>
      <c r="F8502">
        <v>15</v>
      </c>
    </row>
    <row r="8503" spans="1:6" ht="13.2">
      <c r="A8503" t="s">
        <v>9731</v>
      </c>
      <c r="B8503">
        <v>0</v>
      </c>
      <c r="C8503" s="44">
        <v>3150</v>
      </c>
      <c r="D8503" t="s">
        <v>293</v>
      </c>
      <c r="E8503" t="s">
        <v>9726</v>
      </c>
      <c r="F8503">
        <v>15</v>
      </c>
    </row>
    <row r="8504" spans="1:6" ht="13.2">
      <c r="A8504" t="s">
        <v>9732</v>
      </c>
      <c r="B8504">
        <v>0</v>
      </c>
      <c r="C8504" s="44">
        <v>3150</v>
      </c>
      <c r="D8504" t="s">
        <v>293</v>
      </c>
      <c r="E8504" t="s">
        <v>9726</v>
      </c>
      <c r="F8504">
        <v>15</v>
      </c>
    </row>
    <row r="8505" spans="1:6" ht="13.2">
      <c r="A8505" t="s">
        <v>9733</v>
      </c>
      <c r="B8505">
        <v>0</v>
      </c>
      <c r="C8505" s="44">
        <v>3150</v>
      </c>
      <c r="D8505" t="s">
        <v>293</v>
      </c>
      <c r="E8505" t="s">
        <v>9726</v>
      </c>
      <c r="F8505">
        <v>15</v>
      </c>
    </row>
    <row r="8506" spans="1:6" ht="13.2">
      <c r="A8506" t="s">
        <v>9734</v>
      </c>
      <c r="B8506">
        <v>0</v>
      </c>
      <c r="C8506" s="44">
        <v>3150</v>
      </c>
      <c r="D8506" t="s">
        <v>293</v>
      </c>
      <c r="E8506" t="s">
        <v>9726</v>
      </c>
      <c r="F8506">
        <v>15</v>
      </c>
    </row>
    <row r="8507" spans="1:6" ht="13.2">
      <c r="A8507" t="s">
        <v>9735</v>
      </c>
      <c r="B8507">
        <v>0</v>
      </c>
      <c r="C8507" s="44">
        <v>3150</v>
      </c>
      <c r="D8507" t="s">
        <v>293</v>
      </c>
      <c r="E8507" t="s">
        <v>9726</v>
      </c>
      <c r="F8507">
        <v>15</v>
      </c>
    </row>
    <row r="8508" spans="1:6" ht="13.2">
      <c r="A8508" t="s">
        <v>9736</v>
      </c>
      <c r="B8508">
        <v>0</v>
      </c>
      <c r="C8508" s="44">
        <v>3150</v>
      </c>
      <c r="D8508" t="s">
        <v>293</v>
      </c>
      <c r="E8508" t="s">
        <v>9726</v>
      </c>
      <c r="F8508">
        <v>15</v>
      </c>
    </row>
    <row r="8509" spans="1:6" ht="13.2">
      <c r="A8509" t="s">
        <v>9737</v>
      </c>
      <c r="B8509">
        <v>0</v>
      </c>
      <c r="C8509" s="44">
        <v>3150</v>
      </c>
      <c r="D8509" t="s">
        <v>293</v>
      </c>
      <c r="E8509" t="s">
        <v>9726</v>
      </c>
      <c r="F8509">
        <v>15</v>
      </c>
    </row>
    <row r="8510" spans="1:6" ht="13.2">
      <c r="A8510" t="s">
        <v>9738</v>
      </c>
      <c r="B8510">
        <v>0</v>
      </c>
      <c r="C8510" s="44">
        <v>3150</v>
      </c>
      <c r="D8510" t="s">
        <v>293</v>
      </c>
      <c r="E8510" t="s">
        <v>9726</v>
      </c>
      <c r="F8510">
        <v>15</v>
      </c>
    </row>
    <row r="8511" spans="1:6" ht="13.2">
      <c r="A8511" t="s">
        <v>9739</v>
      </c>
      <c r="B8511">
        <v>0</v>
      </c>
      <c r="C8511" s="44">
        <v>3150</v>
      </c>
      <c r="D8511" t="s">
        <v>293</v>
      </c>
      <c r="E8511" t="s">
        <v>9726</v>
      </c>
      <c r="F8511">
        <v>15</v>
      </c>
    </row>
    <row r="8512" spans="1:6" ht="13.2">
      <c r="A8512" t="s">
        <v>9740</v>
      </c>
      <c r="B8512">
        <v>0</v>
      </c>
      <c r="C8512" s="44">
        <v>3150</v>
      </c>
      <c r="D8512" t="s">
        <v>293</v>
      </c>
      <c r="E8512" t="s">
        <v>9726</v>
      </c>
      <c r="F8512">
        <v>15</v>
      </c>
    </row>
    <row r="8513" spans="1:6" ht="13.2">
      <c r="A8513" t="s">
        <v>9741</v>
      </c>
      <c r="B8513">
        <v>0</v>
      </c>
      <c r="C8513" s="44">
        <v>3150</v>
      </c>
      <c r="D8513" t="s">
        <v>293</v>
      </c>
      <c r="E8513" t="s">
        <v>9726</v>
      </c>
      <c r="F8513">
        <v>15</v>
      </c>
    </row>
    <row r="8514" spans="1:6" ht="13.2">
      <c r="A8514" t="s">
        <v>9742</v>
      </c>
      <c r="B8514">
        <v>0</v>
      </c>
      <c r="C8514" s="44">
        <v>3150</v>
      </c>
      <c r="D8514" t="s">
        <v>293</v>
      </c>
      <c r="E8514" t="s">
        <v>9726</v>
      </c>
      <c r="F8514">
        <v>15</v>
      </c>
    </row>
    <row r="8515" spans="1:6" ht="13.2">
      <c r="A8515" t="s">
        <v>9743</v>
      </c>
      <c r="B8515">
        <v>0</v>
      </c>
      <c r="C8515" s="44">
        <v>3150</v>
      </c>
      <c r="D8515" t="s">
        <v>293</v>
      </c>
      <c r="E8515" t="s">
        <v>9726</v>
      </c>
      <c r="F8515">
        <v>15</v>
      </c>
    </row>
    <row r="8516" spans="1:6" ht="13.2">
      <c r="A8516" t="s">
        <v>9744</v>
      </c>
      <c r="B8516">
        <v>0</v>
      </c>
      <c r="C8516" s="44">
        <v>3150</v>
      </c>
      <c r="D8516" t="s">
        <v>293</v>
      </c>
      <c r="E8516" t="s">
        <v>9726</v>
      </c>
      <c r="F8516">
        <v>15</v>
      </c>
    </row>
    <row r="8517" spans="1:6" ht="13.2">
      <c r="A8517" t="s">
        <v>9745</v>
      </c>
      <c r="B8517">
        <v>0</v>
      </c>
      <c r="C8517" s="44">
        <v>3150</v>
      </c>
      <c r="D8517" t="s">
        <v>293</v>
      </c>
      <c r="E8517" t="s">
        <v>9726</v>
      </c>
      <c r="F8517">
        <v>15</v>
      </c>
    </row>
    <row r="8518" spans="1:6" ht="13.2">
      <c r="A8518" t="s">
        <v>9746</v>
      </c>
      <c r="B8518">
        <v>0</v>
      </c>
      <c r="C8518" s="44">
        <v>3150</v>
      </c>
      <c r="D8518" t="s">
        <v>293</v>
      </c>
      <c r="E8518" t="s">
        <v>9726</v>
      </c>
      <c r="F8518">
        <v>15</v>
      </c>
    </row>
    <row r="8519" spans="1:6" ht="13.2">
      <c r="A8519" t="s">
        <v>9747</v>
      </c>
      <c r="B8519">
        <v>0</v>
      </c>
      <c r="C8519" s="44">
        <v>3150</v>
      </c>
      <c r="D8519" t="s">
        <v>293</v>
      </c>
      <c r="E8519" t="s">
        <v>9726</v>
      </c>
      <c r="F8519">
        <v>15</v>
      </c>
    </row>
    <row r="8520" spans="1:6" ht="13.2">
      <c r="A8520" t="s">
        <v>9748</v>
      </c>
      <c r="B8520">
        <v>0</v>
      </c>
      <c r="C8520" s="44">
        <v>3150</v>
      </c>
      <c r="D8520" t="s">
        <v>293</v>
      </c>
      <c r="E8520" t="s">
        <v>9726</v>
      </c>
      <c r="F8520">
        <v>15</v>
      </c>
    </row>
    <row r="8521" spans="1:6" ht="13.2">
      <c r="A8521" t="s">
        <v>8335</v>
      </c>
      <c r="B8521">
        <v>0</v>
      </c>
      <c r="C8521" s="44" t="s">
        <v>4092</v>
      </c>
      <c r="D8521" t="s">
        <v>293</v>
      </c>
      <c r="E8521" t="s">
        <v>256</v>
      </c>
      <c r="F8521" t="s">
        <v>3824</v>
      </c>
    </row>
    <row r="8522" spans="1:6" ht="13.2">
      <c r="A8522" t="s">
        <v>8337</v>
      </c>
      <c r="B8522">
        <v>0</v>
      </c>
      <c r="C8522" s="44" t="s">
        <v>4092</v>
      </c>
      <c r="D8522" t="s">
        <v>293</v>
      </c>
      <c r="E8522" t="s">
        <v>256</v>
      </c>
      <c r="F8522" t="s">
        <v>3824</v>
      </c>
    </row>
    <row r="8523" spans="1:6" ht="13.2">
      <c r="A8523" t="s">
        <v>9749</v>
      </c>
      <c r="B8523">
        <v>0</v>
      </c>
      <c r="C8523" s="44" t="s">
        <v>4092</v>
      </c>
      <c r="D8523" t="s">
        <v>293</v>
      </c>
      <c r="E8523" t="s">
        <v>256</v>
      </c>
      <c r="F8523" t="s">
        <v>3824</v>
      </c>
    </row>
    <row r="8524" spans="1:6" ht="13.2">
      <c r="A8524" t="s">
        <v>8339</v>
      </c>
      <c r="B8524">
        <v>0</v>
      </c>
      <c r="C8524" s="44" t="s">
        <v>4092</v>
      </c>
      <c r="D8524" t="s">
        <v>293</v>
      </c>
      <c r="E8524" t="s">
        <v>256</v>
      </c>
      <c r="F8524" t="s">
        <v>3824</v>
      </c>
    </row>
    <row r="8525" spans="1:6" ht="13.2">
      <c r="A8525" t="s">
        <v>8592</v>
      </c>
      <c r="B8525">
        <v>0</v>
      </c>
      <c r="C8525" s="44" t="s">
        <v>4092</v>
      </c>
      <c r="D8525" t="s">
        <v>293</v>
      </c>
      <c r="E8525" t="s">
        <v>256</v>
      </c>
      <c r="F8525" t="s">
        <v>3824</v>
      </c>
    </row>
    <row r="8526" spans="1:6" ht="13.2">
      <c r="A8526" t="s">
        <v>8340</v>
      </c>
      <c r="B8526">
        <v>0</v>
      </c>
      <c r="C8526" s="44" t="s">
        <v>4092</v>
      </c>
      <c r="D8526" t="s">
        <v>293</v>
      </c>
      <c r="E8526" t="s">
        <v>256</v>
      </c>
      <c r="F8526" t="s">
        <v>3824</v>
      </c>
    </row>
    <row r="8527" spans="1:6" ht="13.2">
      <c r="A8527" t="s">
        <v>8336</v>
      </c>
      <c r="B8527">
        <v>0</v>
      </c>
      <c r="C8527" s="44" t="s">
        <v>4092</v>
      </c>
      <c r="D8527" t="s">
        <v>293</v>
      </c>
      <c r="E8527" t="s">
        <v>256</v>
      </c>
      <c r="F8527" t="s">
        <v>3824</v>
      </c>
    </row>
    <row r="8528" spans="1:6" ht="13.2">
      <c r="A8528" t="s">
        <v>8341</v>
      </c>
      <c r="B8528">
        <v>0</v>
      </c>
      <c r="C8528" s="44" t="s">
        <v>4092</v>
      </c>
      <c r="D8528" t="s">
        <v>293</v>
      </c>
      <c r="E8528" t="s">
        <v>256</v>
      </c>
      <c r="F8528" t="s">
        <v>3824</v>
      </c>
    </row>
    <row r="8529" spans="1:6" ht="13.2">
      <c r="A8529" t="s">
        <v>8343</v>
      </c>
      <c r="B8529">
        <v>0</v>
      </c>
      <c r="C8529" s="44" t="s">
        <v>4092</v>
      </c>
      <c r="D8529" t="s">
        <v>293</v>
      </c>
      <c r="E8529" t="s">
        <v>256</v>
      </c>
      <c r="F8529" t="s">
        <v>3824</v>
      </c>
    </row>
    <row r="8530" spans="1:6" ht="13.2">
      <c r="A8530" t="s">
        <v>8495</v>
      </c>
      <c r="B8530">
        <v>0</v>
      </c>
      <c r="C8530" s="44" t="s">
        <v>4092</v>
      </c>
      <c r="D8530" t="s">
        <v>293</v>
      </c>
      <c r="E8530" t="s">
        <v>256</v>
      </c>
      <c r="F8530" t="s">
        <v>3824</v>
      </c>
    </row>
    <row r="8531" spans="1:6" ht="13.2">
      <c r="A8531" t="s">
        <v>8344</v>
      </c>
      <c r="B8531">
        <v>0</v>
      </c>
      <c r="C8531" s="44" t="s">
        <v>4092</v>
      </c>
      <c r="D8531" t="s">
        <v>293</v>
      </c>
      <c r="E8531" t="s">
        <v>256</v>
      </c>
      <c r="F8531" t="s">
        <v>3824</v>
      </c>
    </row>
    <row r="8532" spans="1:6" ht="13.2">
      <c r="A8532" t="s">
        <v>8342</v>
      </c>
      <c r="B8532">
        <v>0</v>
      </c>
      <c r="C8532" s="44" t="s">
        <v>4092</v>
      </c>
      <c r="D8532" t="s">
        <v>293</v>
      </c>
      <c r="E8532" t="s">
        <v>256</v>
      </c>
      <c r="F8532" t="s">
        <v>3824</v>
      </c>
    </row>
    <row r="8533" spans="1:6" ht="13.2">
      <c r="A8533" t="s">
        <v>8345</v>
      </c>
      <c r="B8533">
        <v>0</v>
      </c>
      <c r="C8533" s="44" t="s">
        <v>4092</v>
      </c>
      <c r="D8533" t="s">
        <v>293</v>
      </c>
      <c r="E8533" t="s">
        <v>256</v>
      </c>
      <c r="F8533" t="s">
        <v>3824</v>
      </c>
    </row>
    <row r="8534" spans="1:6" ht="13.2">
      <c r="A8534" t="s">
        <v>9750</v>
      </c>
      <c r="B8534">
        <v>0</v>
      </c>
      <c r="C8534" s="44" t="s">
        <v>4092</v>
      </c>
      <c r="D8534" t="s">
        <v>293</v>
      </c>
      <c r="E8534" t="s">
        <v>256</v>
      </c>
      <c r="F8534" t="s">
        <v>3824</v>
      </c>
    </row>
    <row r="8535" spans="1:6" ht="13.2">
      <c r="A8535" t="s">
        <v>9751</v>
      </c>
      <c r="B8535">
        <v>0</v>
      </c>
      <c r="C8535" s="44">
        <v>3200</v>
      </c>
      <c r="D8535" t="s">
        <v>291</v>
      </c>
      <c r="E8535" t="s">
        <v>256</v>
      </c>
      <c r="F8535">
        <v>4</v>
      </c>
    </row>
    <row r="8536" spans="1:6" ht="13.2">
      <c r="A8536" t="s">
        <v>9752</v>
      </c>
      <c r="B8536">
        <v>0</v>
      </c>
      <c r="C8536" s="44">
        <v>3200</v>
      </c>
      <c r="D8536" t="s">
        <v>291</v>
      </c>
      <c r="E8536" t="s">
        <v>256</v>
      </c>
      <c r="F8536">
        <v>4</v>
      </c>
    </row>
    <row r="8537" spans="1:6" ht="13.2">
      <c r="A8537" t="s">
        <v>9753</v>
      </c>
      <c r="B8537">
        <v>0</v>
      </c>
      <c r="C8537" s="44">
        <v>3200</v>
      </c>
      <c r="D8537" t="s">
        <v>291</v>
      </c>
      <c r="E8537" t="s">
        <v>256</v>
      </c>
      <c r="F8537">
        <v>4</v>
      </c>
    </row>
    <row r="8538" spans="1:6" ht="13.2">
      <c r="A8538" t="s">
        <v>9754</v>
      </c>
      <c r="B8538">
        <v>0</v>
      </c>
      <c r="C8538" s="44">
        <v>3200</v>
      </c>
      <c r="D8538" t="s">
        <v>291</v>
      </c>
      <c r="E8538" t="s">
        <v>256</v>
      </c>
      <c r="F8538">
        <v>4</v>
      </c>
    </row>
    <row r="8539" spans="1:6" ht="13.2">
      <c r="A8539" t="s">
        <v>9755</v>
      </c>
      <c r="B8539">
        <v>0</v>
      </c>
      <c r="C8539" s="44">
        <v>3200</v>
      </c>
      <c r="D8539" t="s">
        <v>291</v>
      </c>
      <c r="E8539" t="s">
        <v>256</v>
      </c>
      <c r="F8539">
        <v>4</v>
      </c>
    </row>
    <row r="8540" spans="1:6" ht="13.2">
      <c r="A8540" t="s">
        <v>9756</v>
      </c>
      <c r="B8540">
        <v>0</v>
      </c>
      <c r="C8540" s="44">
        <v>3200</v>
      </c>
      <c r="D8540" t="s">
        <v>291</v>
      </c>
      <c r="E8540" t="s">
        <v>256</v>
      </c>
      <c r="F8540">
        <v>4</v>
      </c>
    </row>
    <row r="8541" spans="1:6" ht="13.2">
      <c r="A8541" t="s">
        <v>9757</v>
      </c>
      <c r="B8541">
        <v>0</v>
      </c>
      <c r="C8541" s="44">
        <v>3200</v>
      </c>
      <c r="D8541" t="s">
        <v>291</v>
      </c>
      <c r="E8541" t="s">
        <v>256</v>
      </c>
      <c r="F8541">
        <v>4</v>
      </c>
    </row>
    <row r="8542" spans="1:6" ht="13.2">
      <c r="A8542" t="s">
        <v>9758</v>
      </c>
      <c r="B8542">
        <v>0</v>
      </c>
      <c r="C8542" s="44">
        <v>3200</v>
      </c>
      <c r="D8542" t="s">
        <v>291</v>
      </c>
      <c r="E8542" t="s">
        <v>256</v>
      </c>
      <c r="F8542">
        <v>4</v>
      </c>
    </row>
    <row r="8543" spans="1:6" ht="13.2">
      <c r="A8543" t="s">
        <v>9759</v>
      </c>
      <c r="B8543">
        <v>0</v>
      </c>
      <c r="C8543" s="44">
        <v>3200</v>
      </c>
      <c r="D8543" t="s">
        <v>291</v>
      </c>
      <c r="E8543" t="s">
        <v>256</v>
      </c>
      <c r="F8543">
        <v>4</v>
      </c>
    </row>
    <row r="8544" spans="1:6" ht="13.2">
      <c r="A8544" t="s">
        <v>9760</v>
      </c>
      <c r="B8544">
        <v>0</v>
      </c>
      <c r="C8544" s="44">
        <v>3200</v>
      </c>
      <c r="D8544" t="s">
        <v>291</v>
      </c>
      <c r="E8544" t="s">
        <v>256</v>
      </c>
      <c r="F8544">
        <v>4</v>
      </c>
    </row>
    <row r="8545" spans="1:6" ht="13.2">
      <c r="A8545" t="s">
        <v>9761</v>
      </c>
      <c r="B8545">
        <v>0</v>
      </c>
      <c r="C8545" s="44">
        <v>3200</v>
      </c>
      <c r="D8545" t="s">
        <v>291</v>
      </c>
      <c r="E8545" t="s">
        <v>256</v>
      </c>
      <c r="F8545">
        <v>4</v>
      </c>
    </row>
    <row r="8546" spans="1:6" ht="13.2">
      <c r="A8546" t="s">
        <v>9763</v>
      </c>
      <c r="B8546">
        <v>460</v>
      </c>
      <c r="C8546" s="44">
        <v>1400</v>
      </c>
      <c r="D8546" t="s">
        <v>291</v>
      </c>
      <c r="E8546" t="s">
        <v>9762</v>
      </c>
      <c r="F8546">
        <v>3</v>
      </c>
    </row>
    <row r="8547" spans="1:6" ht="13.2">
      <c r="A8547" t="s">
        <v>9764</v>
      </c>
      <c r="B8547">
        <v>460</v>
      </c>
      <c r="C8547" s="44">
        <v>1400</v>
      </c>
      <c r="D8547" t="s">
        <v>291</v>
      </c>
      <c r="E8547" t="s">
        <v>9762</v>
      </c>
      <c r="F8547">
        <v>3</v>
      </c>
    </row>
    <row r="8548" spans="1:6" ht="13.2">
      <c r="A8548" t="s">
        <v>9765</v>
      </c>
      <c r="B8548">
        <v>460</v>
      </c>
      <c r="C8548" s="44">
        <v>1400</v>
      </c>
      <c r="D8548" t="s">
        <v>291</v>
      </c>
      <c r="E8548" t="s">
        <v>9762</v>
      </c>
      <c r="F8548">
        <v>3</v>
      </c>
    </row>
    <row r="8549" spans="1:6" ht="13.2">
      <c r="A8549" t="s">
        <v>9766</v>
      </c>
      <c r="B8549">
        <v>460</v>
      </c>
      <c r="C8549" s="44">
        <v>1400</v>
      </c>
      <c r="D8549" t="s">
        <v>291</v>
      </c>
      <c r="E8549" t="s">
        <v>9762</v>
      </c>
      <c r="F8549">
        <v>3</v>
      </c>
    </row>
    <row r="8550" spans="1:6" ht="13.2">
      <c r="A8550" t="s">
        <v>9767</v>
      </c>
      <c r="B8550">
        <v>460</v>
      </c>
      <c r="C8550" s="44">
        <v>1400</v>
      </c>
      <c r="D8550" t="s">
        <v>291</v>
      </c>
      <c r="E8550" t="s">
        <v>9762</v>
      </c>
      <c r="F8550">
        <v>3</v>
      </c>
    </row>
    <row r="8551" spans="1:6" ht="13.2">
      <c r="A8551" t="s">
        <v>9772</v>
      </c>
      <c r="B8551">
        <v>845</v>
      </c>
      <c r="C8551" s="44">
        <v>1370</v>
      </c>
      <c r="D8551" t="s">
        <v>291</v>
      </c>
      <c r="E8551" t="s">
        <v>418</v>
      </c>
      <c r="F8551">
        <v>14</v>
      </c>
    </row>
    <row r="8552" spans="1:6" ht="13.2">
      <c r="A8552" t="s">
        <v>9773</v>
      </c>
      <c r="B8552">
        <v>845</v>
      </c>
      <c r="C8552" s="44">
        <v>1370</v>
      </c>
      <c r="D8552" t="s">
        <v>291</v>
      </c>
      <c r="E8552" t="s">
        <v>418</v>
      </c>
      <c r="F8552">
        <v>14</v>
      </c>
    </row>
    <row r="8553" spans="1:6" ht="13.2">
      <c r="A8553" t="s">
        <v>9774</v>
      </c>
      <c r="B8553">
        <v>845</v>
      </c>
      <c r="C8553" s="44">
        <v>1370</v>
      </c>
      <c r="D8553" t="s">
        <v>291</v>
      </c>
      <c r="E8553" t="s">
        <v>418</v>
      </c>
      <c r="F8553">
        <v>14</v>
      </c>
    </row>
    <row r="8554" spans="1:6" ht="13.2">
      <c r="A8554" t="s">
        <v>9775</v>
      </c>
      <c r="B8554">
        <v>845</v>
      </c>
      <c r="C8554" s="44">
        <v>1370</v>
      </c>
      <c r="D8554" t="s">
        <v>291</v>
      </c>
      <c r="E8554" t="s">
        <v>418</v>
      </c>
      <c r="F8554">
        <v>14</v>
      </c>
    </row>
    <row r="8555" spans="1:6" ht="13.2">
      <c r="A8555" t="s">
        <v>9776</v>
      </c>
      <c r="B8555">
        <v>845</v>
      </c>
      <c r="C8555" s="44">
        <v>1370</v>
      </c>
      <c r="D8555" t="s">
        <v>291</v>
      </c>
      <c r="E8555" t="s">
        <v>418</v>
      </c>
      <c r="F8555">
        <v>14</v>
      </c>
    </row>
    <row r="8556" spans="1:6" ht="13.2">
      <c r="A8556" t="s">
        <v>9777</v>
      </c>
      <c r="B8556">
        <v>845</v>
      </c>
      <c r="C8556" s="44">
        <v>1370</v>
      </c>
      <c r="D8556" t="s">
        <v>291</v>
      </c>
      <c r="E8556" t="s">
        <v>418</v>
      </c>
      <c r="F8556">
        <v>14</v>
      </c>
    </row>
    <row r="8557" spans="1:6" ht="13.2">
      <c r="A8557" t="s">
        <v>9778</v>
      </c>
      <c r="B8557">
        <v>845</v>
      </c>
      <c r="C8557" s="44">
        <v>1370</v>
      </c>
      <c r="D8557" t="s">
        <v>291</v>
      </c>
      <c r="E8557" t="s">
        <v>418</v>
      </c>
      <c r="F8557">
        <v>14</v>
      </c>
    </row>
    <row r="8558" spans="1:6" ht="13.2">
      <c r="A8558" t="s">
        <v>9779</v>
      </c>
      <c r="B8558">
        <v>0</v>
      </c>
      <c r="C8558" s="44">
        <v>1420</v>
      </c>
      <c r="D8558" t="s">
        <v>291</v>
      </c>
      <c r="E8558" t="s">
        <v>9780</v>
      </c>
      <c r="F8558">
        <v>4</v>
      </c>
    </row>
    <row r="8559" spans="1:6" ht="13.2">
      <c r="A8559" t="s">
        <v>9781</v>
      </c>
      <c r="B8559">
        <v>0</v>
      </c>
      <c r="C8559" s="44">
        <v>1420</v>
      </c>
      <c r="D8559" t="s">
        <v>291</v>
      </c>
      <c r="E8559" t="s">
        <v>9780</v>
      </c>
      <c r="F8559">
        <v>4</v>
      </c>
    </row>
    <row r="8560" spans="1:6" ht="13.2">
      <c r="A8560" t="s">
        <v>9782</v>
      </c>
      <c r="B8560">
        <v>0</v>
      </c>
      <c r="C8560" s="44">
        <v>1420</v>
      </c>
      <c r="D8560" t="s">
        <v>291</v>
      </c>
      <c r="E8560" t="s">
        <v>9780</v>
      </c>
      <c r="F8560">
        <v>4</v>
      </c>
    </row>
    <row r="8561" spans="1:6" ht="13.2">
      <c r="A8561" t="s">
        <v>9783</v>
      </c>
      <c r="B8561">
        <v>0</v>
      </c>
      <c r="C8561" s="44">
        <v>1420</v>
      </c>
      <c r="D8561" t="s">
        <v>291</v>
      </c>
      <c r="E8561" t="s">
        <v>9780</v>
      </c>
      <c r="F8561">
        <v>4</v>
      </c>
    </row>
    <row r="8562" spans="1:6" ht="13.2">
      <c r="A8562" t="s">
        <v>9784</v>
      </c>
      <c r="B8562">
        <v>0</v>
      </c>
      <c r="C8562" s="44">
        <v>1420</v>
      </c>
      <c r="D8562" t="s">
        <v>291</v>
      </c>
      <c r="E8562" t="s">
        <v>9780</v>
      </c>
      <c r="F8562">
        <v>4</v>
      </c>
    </row>
    <row r="8563" spans="1:6" ht="13.2">
      <c r="A8563" t="s">
        <v>9785</v>
      </c>
      <c r="B8563">
        <v>0</v>
      </c>
      <c r="C8563" s="44">
        <v>1420</v>
      </c>
      <c r="D8563" t="s">
        <v>291</v>
      </c>
      <c r="E8563" t="s">
        <v>9780</v>
      </c>
      <c r="F8563">
        <v>4</v>
      </c>
    </row>
    <row r="8564" spans="1:6" ht="13.2">
      <c r="A8564" t="s">
        <v>9786</v>
      </c>
      <c r="B8564">
        <v>0</v>
      </c>
      <c r="C8564" s="44">
        <v>1420</v>
      </c>
      <c r="D8564" t="s">
        <v>291</v>
      </c>
      <c r="E8564" t="s">
        <v>9780</v>
      </c>
      <c r="F8564">
        <v>4</v>
      </c>
    </row>
    <row r="8565" spans="1:6" ht="13.2">
      <c r="A8565" t="s">
        <v>9787</v>
      </c>
      <c r="B8565">
        <v>0</v>
      </c>
      <c r="C8565" s="44">
        <v>1420</v>
      </c>
      <c r="D8565" t="s">
        <v>291</v>
      </c>
      <c r="E8565" t="s">
        <v>9780</v>
      </c>
      <c r="F8565">
        <v>4</v>
      </c>
    </row>
    <row r="8566" spans="1:6" ht="13.2">
      <c r="A8566" t="s">
        <v>9788</v>
      </c>
      <c r="B8566">
        <v>0</v>
      </c>
      <c r="C8566" s="44">
        <v>1420</v>
      </c>
      <c r="D8566" t="s">
        <v>291</v>
      </c>
      <c r="E8566" t="s">
        <v>9780</v>
      </c>
      <c r="F8566">
        <v>4</v>
      </c>
    </row>
    <row r="8567" spans="1:6" ht="13.2">
      <c r="A8567" t="s">
        <v>9789</v>
      </c>
      <c r="B8567">
        <v>0</v>
      </c>
      <c r="C8567" s="44">
        <v>1420</v>
      </c>
      <c r="D8567" t="s">
        <v>291</v>
      </c>
      <c r="E8567" t="s">
        <v>9780</v>
      </c>
      <c r="F8567">
        <v>4</v>
      </c>
    </row>
    <row r="8568" spans="1:6" ht="13.2">
      <c r="A8568" t="s">
        <v>9790</v>
      </c>
      <c r="B8568">
        <v>0</v>
      </c>
      <c r="C8568" s="44">
        <v>1420</v>
      </c>
      <c r="D8568" t="s">
        <v>291</v>
      </c>
      <c r="E8568" t="s">
        <v>9780</v>
      </c>
      <c r="F8568">
        <v>4</v>
      </c>
    </row>
    <row r="8569" spans="1:6" ht="13.2">
      <c r="A8569" t="s">
        <v>9791</v>
      </c>
      <c r="B8569">
        <v>0</v>
      </c>
      <c r="C8569" s="44">
        <v>1420</v>
      </c>
      <c r="D8569" t="s">
        <v>291</v>
      </c>
      <c r="E8569" t="s">
        <v>9780</v>
      </c>
      <c r="F8569">
        <v>4</v>
      </c>
    </row>
    <row r="8570" spans="1:6" ht="13.2">
      <c r="A8570" t="s">
        <v>9792</v>
      </c>
      <c r="B8570">
        <v>0</v>
      </c>
      <c r="C8570" s="44">
        <v>1420</v>
      </c>
      <c r="D8570" t="s">
        <v>291</v>
      </c>
      <c r="E8570" t="s">
        <v>9780</v>
      </c>
      <c r="F8570">
        <v>4</v>
      </c>
    </row>
    <row r="8571" spans="1:6" ht="13.2">
      <c r="A8571" t="s">
        <v>9793</v>
      </c>
      <c r="B8571">
        <v>0</v>
      </c>
      <c r="C8571" s="44">
        <v>1420</v>
      </c>
      <c r="D8571" t="s">
        <v>291</v>
      </c>
      <c r="E8571" t="s">
        <v>9780</v>
      </c>
      <c r="F8571">
        <v>4</v>
      </c>
    </row>
    <row r="8572" spans="1:6" ht="13.2">
      <c r="A8572" t="s">
        <v>9794</v>
      </c>
      <c r="B8572">
        <v>0</v>
      </c>
      <c r="C8572" s="44">
        <v>1420</v>
      </c>
      <c r="D8572" t="s">
        <v>291</v>
      </c>
      <c r="E8572" t="s">
        <v>9780</v>
      </c>
      <c r="F8572">
        <v>4</v>
      </c>
    </row>
    <row r="8573" spans="1:6" ht="13.2">
      <c r="A8573" t="s">
        <v>9795</v>
      </c>
      <c r="B8573">
        <v>0</v>
      </c>
      <c r="C8573" s="44">
        <v>1420</v>
      </c>
      <c r="D8573" t="s">
        <v>291</v>
      </c>
      <c r="E8573" t="s">
        <v>9780</v>
      </c>
      <c r="F8573">
        <v>4</v>
      </c>
    </row>
    <row r="8574" spans="1:6" ht="13.2">
      <c r="A8574" t="s">
        <v>9796</v>
      </c>
      <c r="B8574">
        <v>0</v>
      </c>
      <c r="C8574" s="44">
        <v>1420</v>
      </c>
      <c r="D8574" t="s">
        <v>291</v>
      </c>
      <c r="E8574" t="s">
        <v>9780</v>
      </c>
      <c r="F8574">
        <v>4</v>
      </c>
    </row>
    <row r="8575" spans="1:6" ht="13.2">
      <c r="A8575" t="s">
        <v>9797</v>
      </c>
      <c r="B8575">
        <v>0</v>
      </c>
      <c r="C8575" s="44">
        <v>1420</v>
      </c>
      <c r="D8575" t="s">
        <v>291</v>
      </c>
      <c r="E8575" t="s">
        <v>9780</v>
      </c>
      <c r="F8575">
        <v>4</v>
      </c>
    </row>
    <row r="8576" spans="1:6" ht="13.2">
      <c r="A8576" t="s">
        <v>9798</v>
      </c>
      <c r="B8576">
        <v>0</v>
      </c>
      <c r="C8576" s="44">
        <v>1420</v>
      </c>
      <c r="D8576" t="s">
        <v>291</v>
      </c>
      <c r="E8576" t="s">
        <v>9780</v>
      </c>
      <c r="F8576">
        <v>4</v>
      </c>
    </row>
    <row r="8577" spans="1:6" ht="13.2">
      <c r="A8577" t="s">
        <v>9799</v>
      </c>
      <c r="B8577">
        <v>0</v>
      </c>
      <c r="C8577" s="44">
        <v>1420</v>
      </c>
      <c r="D8577" t="s">
        <v>291</v>
      </c>
      <c r="E8577" t="s">
        <v>9780</v>
      </c>
      <c r="F8577">
        <v>4</v>
      </c>
    </row>
    <row r="8578" spans="1:6" ht="13.2">
      <c r="A8578" t="s">
        <v>9800</v>
      </c>
      <c r="B8578">
        <v>0</v>
      </c>
      <c r="C8578" s="44">
        <v>1420</v>
      </c>
      <c r="D8578" t="s">
        <v>291</v>
      </c>
      <c r="E8578" t="s">
        <v>9780</v>
      </c>
      <c r="F8578">
        <v>4</v>
      </c>
    </row>
    <row r="8579" spans="1:6" ht="13.2">
      <c r="A8579" t="s">
        <v>9801</v>
      </c>
      <c r="B8579">
        <v>0</v>
      </c>
      <c r="C8579" s="44">
        <v>1420</v>
      </c>
      <c r="D8579" t="s">
        <v>291</v>
      </c>
      <c r="E8579" t="s">
        <v>9780</v>
      </c>
      <c r="F8579">
        <v>4</v>
      </c>
    </row>
    <row r="8580" spans="1:6" ht="13.2">
      <c r="A8580" t="s">
        <v>9802</v>
      </c>
      <c r="B8580">
        <v>0</v>
      </c>
      <c r="C8580" s="44">
        <v>1420</v>
      </c>
      <c r="D8580" t="s">
        <v>291</v>
      </c>
      <c r="E8580" t="s">
        <v>9780</v>
      </c>
      <c r="F8580">
        <v>4</v>
      </c>
    </row>
    <row r="8581" spans="1:6" ht="13.2">
      <c r="A8581" t="s">
        <v>9803</v>
      </c>
      <c r="B8581">
        <v>0</v>
      </c>
      <c r="C8581" s="44">
        <v>1420</v>
      </c>
      <c r="D8581" t="s">
        <v>291</v>
      </c>
      <c r="E8581" t="s">
        <v>9780</v>
      </c>
      <c r="F8581">
        <v>4</v>
      </c>
    </row>
    <row r="8582" spans="1:6" ht="13.2">
      <c r="A8582" t="s">
        <v>9804</v>
      </c>
      <c r="B8582">
        <v>0</v>
      </c>
      <c r="C8582" s="44">
        <v>1420</v>
      </c>
      <c r="D8582" t="s">
        <v>291</v>
      </c>
      <c r="E8582" t="s">
        <v>9780</v>
      </c>
      <c r="F8582">
        <v>4</v>
      </c>
    </row>
    <row r="8583" spans="1:6" ht="13.2">
      <c r="A8583" t="s">
        <v>9805</v>
      </c>
      <c r="B8583">
        <v>0</v>
      </c>
      <c r="C8583" s="44">
        <v>1420</v>
      </c>
      <c r="D8583" t="s">
        <v>291</v>
      </c>
      <c r="E8583" t="s">
        <v>9780</v>
      </c>
      <c r="F8583">
        <v>4</v>
      </c>
    </row>
    <row r="8584" spans="1:6" ht="13.2">
      <c r="A8584" t="s">
        <v>9806</v>
      </c>
      <c r="B8584">
        <v>0</v>
      </c>
      <c r="C8584" s="44">
        <v>1420</v>
      </c>
      <c r="D8584" t="s">
        <v>291</v>
      </c>
      <c r="E8584" t="s">
        <v>9780</v>
      </c>
      <c r="F8584">
        <v>4</v>
      </c>
    </row>
    <row r="8585" spans="1:6" ht="13.2">
      <c r="A8585" t="s">
        <v>9807</v>
      </c>
      <c r="B8585">
        <v>0</v>
      </c>
      <c r="C8585" s="44">
        <v>1420</v>
      </c>
      <c r="D8585" t="s">
        <v>291</v>
      </c>
      <c r="E8585" t="s">
        <v>9780</v>
      </c>
      <c r="F8585">
        <v>4</v>
      </c>
    </row>
    <row r="8586" spans="1:6" ht="13.2">
      <c r="A8586" t="s">
        <v>9808</v>
      </c>
      <c r="B8586">
        <v>0</v>
      </c>
      <c r="C8586" s="44">
        <v>1420</v>
      </c>
      <c r="D8586" t="s">
        <v>291</v>
      </c>
      <c r="E8586" t="s">
        <v>9780</v>
      </c>
      <c r="F8586">
        <v>4</v>
      </c>
    </row>
    <row r="8587" spans="1:6" ht="13.2">
      <c r="A8587" t="s">
        <v>9809</v>
      </c>
      <c r="B8587">
        <v>0</v>
      </c>
      <c r="C8587" s="44">
        <v>1420</v>
      </c>
      <c r="D8587" t="s">
        <v>291</v>
      </c>
      <c r="E8587" t="s">
        <v>9780</v>
      </c>
      <c r="F8587">
        <v>4</v>
      </c>
    </row>
    <row r="8588" spans="1:6" ht="13.2">
      <c r="A8588" t="s">
        <v>9810</v>
      </c>
      <c r="B8588">
        <v>0</v>
      </c>
      <c r="C8588" s="44">
        <v>1420</v>
      </c>
      <c r="D8588" t="s">
        <v>291</v>
      </c>
      <c r="E8588" t="s">
        <v>9780</v>
      </c>
      <c r="F8588">
        <v>4</v>
      </c>
    </row>
    <row r="8589" spans="1:6" ht="13.2">
      <c r="A8589" t="s">
        <v>9811</v>
      </c>
      <c r="B8589">
        <v>0</v>
      </c>
      <c r="C8589" s="44">
        <v>1420</v>
      </c>
      <c r="D8589" t="s">
        <v>291</v>
      </c>
      <c r="E8589" t="s">
        <v>9780</v>
      </c>
      <c r="F8589">
        <v>4</v>
      </c>
    </row>
    <row r="8590" spans="1:6" ht="13.2">
      <c r="A8590" t="s">
        <v>9812</v>
      </c>
      <c r="B8590">
        <v>0</v>
      </c>
      <c r="C8590" s="44">
        <v>1420</v>
      </c>
      <c r="D8590" t="s">
        <v>291</v>
      </c>
      <c r="E8590" t="s">
        <v>9780</v>
      </c>
      <c r="F8590">
        <v>4</v>
      </c>
    </row>
    <row r="8591" spans="1:6" ht="13.2">
      <c r="A8591" t="s">
        <v>9813</v>
      </c>
      <c r="B8591">
        <v>0</v>
      </c>
      <c r="C8591" s="44">
        <v>1420</v>
      </c>
      <c r="D8591" t="s">
        <v>291</v>
      </c>
      <c r="E8591" t="s">
        <v>9780</v>
      </c>
      <c r="F8591">
        <v>4</v>
      </c>
    </row>
    <row r="8592" spans="1:6" ht="13.2">
      <c r="A8592" t="s">
        <v>9814</v>
      </c>
      <c r="B8592">
        <v>0</v>
      </c>
      <c r="C8592" s="44">
        <v>1420</v>
      </c>
      <c r="D8592" t="s">
        <v>291</v>
      </c>
      <c r="E8592" t="s">
        <v>9780</v>
      </c>
      <c r="F8592">
        <v>4</v>
      </c>
    </row>
    <row r="8593" spans="1:6" ht="13.2">
      <c r="A8593" t="s">
        <v>9815</v>
      </c>
      <c r="B8593">
        <v>0</v>
      </c>
      <c r="C8593" s="44">
        <v>1420</v>
      </c>
      <c r="D8593" t="s">
        <v>291</v>
      </c>
      <c r="E8593" t="s">
        <v>9780</v>
      </c>
      <c r="F8593">
        <v>4</v>
      </c>
    </row>
    <row r="8594" spans="1:6" ht="13.2">
      <c r="A8594" t="s">
        <v>9816</v>
      </c>
      <c r="B8594">
        <v>0</v>
      </c>
      <c r="C8594" s="44">
        <v>1420</v>
      </c>
      <c r="D8594" t="s">
        <v>291</v>
      </c>
      <c r="E8594" t="s">
        <v>9780</v>
      </c>
      <c r="F8594">
        <v>4</v>
      </c>
    </row>
    <row r="8595" spans="1:6" ht="13.2">
      <c r="A8595" t="s">
        <v>9817</v>
      </c>
      <c r="B8595">
        <v>0</v>
      </c>
      <c r="C8595" s="44">
        <v>1420</v>
      </c>
      <c r="D8595" t="s">
        <v>291</v>
      </c>
      <c r="E8595" t="s">
        <v>9780</v>
      </c>
      <c r="F8595">
        <v>4</v>
      </c>
    </row>
    <row r="8596" spans="1:6" ht="13.2">
      <c r="A8596" t="s">
        <v>9818</v>
      </c>
      <c r="B8596">
        <v>0</v>
      </c>
      <c r="C8596" s="44">
        <v>1420</v>
      </c>
      <c r="D8596" t="s">
        <v>291</v>
      </c>
      <c r="E8596" t="s">
        <v>9780</v>
      </c>
      <c r="F8596">
        <v>4</v>
      </c>
    </row>
    <row r="8597" spans="1:6" ht="13.2">
      <c r="A8597" t="s">
        <v>9819</v>
      </c>
      <c r="B8597">
        <v>0</v>
      </c>
      <c r="C8597" s="44">
        <v>1420</v>
      </c>
      <c r="D8597" t="s">
        <v>291</v>
      </c>
      <c r="E8597" t="s">
        <v>9780</v>
      </c>
      <c r="F8597">
        <v>4</v>
      </c>
    </row>
    <row r="8598" spans="1:6" ht="13.2">
      <c r="A8598" t="s">
        <v>9820</v>
      </c>
      <c r="B8598">
        <v>0</v>
      </c>
      <c r="C8598" s="44">
        <v>1420</v>
      </c>
      <c r="D8598" t="s">
        <v>291</v>
      </c>
      <c r="E8598" t="s">
        <v>9780</v>
      </c>
      <c r="F8598">
        <v>4</v>
      </c>
    </row>
    <row r="8599" spans="1:6" ht="13.2">
      <c r="A8599" t="s">
        <v>9821</v>
      </c>
      <c r="B8599">
        <v>0</v>
      </c>
      <c r="C8599" s="44">
        <v>1420</v>
      </c>
      <c r="D8599" t="s">
        <v>291</v>
      </c>
      <c r="E8599" t="s">
        <v>9780</v>
      </c>
      <c r="F8599">
        <v>4</v>
      </c>
    </row>
    <row r="8600" spans="1:6" ht="13.2">
      <c r="A8600" t="s">
        <v>9822</v>
      </c>
      <c r="B8600">
        <v>0</v>
      </c>
      <c r="C8600" s="44">
        <v>1420</v>
      </c>
      <c r="D8600" t="s">
        <v>291</v>
      </c>
      <c r="E8600" t="s">
        <v>9780</v>
      </c>
      <c r="F8600">
        <v>4</v>
      </c>
    </row>
    <row r="8601" spans="1:6" ht="13.2">
      <c r="A8601" t="s">
        <v>9823</v>
      </c>
      <c r="B8601">
        <v>0</v>
      </c>
      <c r="C8601" s="44">
        <v>1420</v>
      </c>
      <c r="D8601" t="s">
        <v>291</v>
      </c>
      <c r="E8601" t="s">
        <v>9780</v>
      </c>
      <c r="F8601">
        <v>4</v>
      </c>
    </row>
    <row r="8602" spans="1:6" ht="13.2">
      <c r="A8602" t="s">
        <v>9824</v>
      </c>
      <c r="B8602">
        <v>0</v>
      </c>
      <c r="C8602" s="44">
        <v>1420</v>
      </c>
      <c r="D8602" t="s">
        <v>291</v>
      </c>
      <c r="E8602" t="s">
        <v>9780</v>
      </c>
      <c r="F8602">
        <v>4</v>
      </c>
    </row>
    <row r="8603" spans="1:6" ht="13.2">
      <c r="A8603" t="s">
        <v>9825</v>
      </c>
      <c r="B8603">
        <v>0</v>
      </c>
      <c r="C8603" s="44">
        <v>1420</v>
      </c>
      <c r="D8603" t="s">
        <v>291</v>
      </c>
      <c r="E8603" t="s">
        <v>9780</v>
      </c>
      <c r="F8603">
        <v>4</v>
      </c>
    </row>
    <row r="8604" spans="1:6" ht="13.2">
      <c r="A8604" t="s">
        <v>9826</v>
      </c>
      <c r="B8604">
        <v>0</v>
      </c>
      <c r="C8604" s="44">
        <v>1420</v>
      </c>
      <c r="D8604" t="s">
        <v>291</v>
      </c>
      <c r="E8604" t="s">
        <v>9780</v>
      </c>
      <c r="F8604">
        <v>4</v>
      </c>
    </row>
    <row r="8605" spans="1:6" ht="13.2">
      <c r="A8605" t="s">
        <v>9827</v>
      </c>
      <c r="B8605">
        <v>0</v>
      </c>
      <c r="C8605" s="44">
        <v>1420</v>
      </c>
      <c r="D8605" t="s">
        <v>291</v>
      </c>
      <c r="E8605" t="s">
        <v>9780</v>
      </c>
      <c r="F8605">
        <v>4</v>
      </c>
    </row>
    <row r="8606" spans="1:6" ht="13.2">
      <c r="A8606" t="s">
        <v>9828</v>
      </c>
      <c r="B8606">
        <v>0</v>
      </c>
      <c r="C8606" s="44">
        <v>1420</v>
      </c>
      <c r="D8606" t="s">
        <v>291</v>
      </c>
      <c r="E8606" t="s">
        <v>9780</v>
      </c>
      <c r="F8606">
        <v>4</v>
      </c>
    </row>
    <row r="8607" spans="1:6" ht="13.2">
      <c r="A8607" t="s">
        <v>9829</v>
      </c>
      <c r="B8607">
        <v>0</v>
      </c>
      <c r="C8607" s="44">
        <v>1420</v>
      </c>
      <c r="D8607" t="s">
        <v>291</v>
      </c>
      <c r="E8607" t="s">
        <v>9780</v>
      </c>
      <c r="F8607">
        <v>4</v>
      </c>
    </row>
    <row r="8608" spans="1:6" ht="13.2">
      <c r="A8608" t="s">
        <v>9830</v>
      </c>
      <c r="B8608">
        <v>0</v>
      </c>
      <c r="C8608" s="44">
        <v>1420</v>
      </c>
      <c r="D8608" t="s">
        <v>291</v>
      </c>
      <c r="E8608" t="s">
        <v>9780</v>
      </c>
      <c r="F8608">
        <v>4</v>
      </c>
    </row>
    <row r="8609" spans="1:6" ht="13.2">
      <c r="A8609" t="s">
        <v>9831</v>
      </c>
      <c r="B8609">
        <v>0</v>
      </c>
      <c r="C8609" s="44">
        <v>1420</v>
      </c>
      <c r="D8609" t="s">
        <v>291</v>
      </c>
      <c r="E8609" t="s">
        <v>9780</v>
      </c>
      <c r="F8609">
        <v>4</v>
      </c>
    </row>
    <row r="8610" spans="1:6" ht="13.2">
      <c r="A8610" t="s">
        <v>9833</v>
      </c>
      <c r="B8610">
        <v>0</v>
      </c>
      <c r="C8610" s="44" t="s">
        <v>9834</v>
      </c>
      <c r="D8610" t="s">
        <v>293</v>
      </c>
      <c r="E8610" t="s">
        <v>8872</v>
      </c>
      <c r="F8610" t="s">
        <v>3824</v>
      </c>
    </row>
    <row r="8611" spans="1:6" ht="13.2">
      <c r="A8611" t="s">
        <v>9835</v>
      </c>
      <c r="B8611">
        <v>0</v>
      </c>
      <c r="C8611" s="44" t="s">
        <v>9834</v>
      </c>
      <c r="D8611" t="s">
        <v>293</v>
      </c>
      <c r="E8611" t="s">
        <v>8872</v>
      </c>
      <c r="F8611" t="s">
        <v>3824</v>
      </c>
    </row>
    <row r="8612" spans="1:6" ht="13.2">
      <c r="A8612" t="s">
        <v>9836</v>
      </c>
      <c r="B8612">
        <v>0</v>
      </c>
      <c r="C8612" s="44" t="s">
        <v>9834</v>
      </c>
      <c r="D8612" t="s">
        <v>293</v>
      </c>
      <c r="E8612" t="s">
        <v>8872</v>
      </c>
      <c r="F8612" t="s">
        <v>3824</v>
      </c>
    </row>
    <row r="8613" spans="1:6" ht="13.2">
      <c r="A8613" t="s">
        <v>9837</v>
      </c>
      <c r="B8613">
        <v>0</v>
      </c>
      <c r="C8613" s="44" t="s">
        <v>9834</v>
      </c>
      <c r="D8613" t="s">
        <v>293</v>
      </c>
      <c r="E8613" t="s">
        <v>8872</v>
      </c>
      <c r="F8613" t="s">
        <v>3824</v>
      </c>
    </row>
    <row r="8614" spans="1:6" ht="13.2">
      <c r="A8614" t="s">
        <v>9838</v>
      </c>
      <c r="B8614">
        <v>0</v>
      </c>
      <c r="C8614" s="44" t="s">
        <v>9834</v>
      </c>
      <c r="D8614" t="s">
        <v>293</v>
      </c>
      <c r="E8614" t="s">
        <v>8872</v>
      </c>
      <c r="F8614" t="s">
        <v>3824</v>
      </c>
    </row>
    <row r="8615" spans="1:6" ht="13.2">
      <c r="A8615" t="s">
        <v>9839</v>
      </c>
      <c r="B8615">
        <v>0</v>
      </c>
      <c r="C8615" s="44" t="s">
        <v>9834</v>
      </c>
      <c r="D8615" t="s">
        <v>293</v>
      </c>
      <c r="E8615" t="s">
        <v>8872</v>
      </c>
      <c r="F8615" t="s">
        <v>3824</v>
      </c>
    </row>
    <row r="8616" spans="1:6" ht="13.2">
      <c r="A8616" t="s">
        <v>9840</v>
      </c>
      <c r="B8616">
        <v>0</v>
      </c>
      <c r="C8616" s="44" t="s">
        <v>9834</v>
      </c>
      <c r="D8616" t="s">
        <v>293</v>
      </c>
      <c r="E8616" t="s">
        <v>8872</v>
      </c>
      <c r="F8616" t="s">
        <v>3824</v>
      </c>
    </row>
    <row r="8617" spans="1:6" ht="13.2">
      <c r="A8617" t="s">
        <v>9841</v>
      </c>
      <c r="B8617">
        <v>0</v>
      </c>
      <c r="C8617" s="44" t="s">
        <v>9834</v>
      </c>
      <c r="D8617" t="s">
        <v>293</v>
      </c>
      <c r="E8617" t="s">
        <v>8872</v>
      </c>
      <c r="F8617" t="s">
        <v>3824</v>
      </c>
    </row>
    <row r="8618" spans="1:6" ht="13.2">
      <c r="A8618" t="s">
        <v>9842</v>
      </c>
      <c r="B8618">
        <v>0</v>
      </c>
      <c r="C8618" s="44" t="s">
        <v>9834</v>
      </c>
      <c r="D8618" t="s">
        <v>293</v>
      </c>
      <c r="E8618" t="s">
        <v>8872</v>
      </c>
      <c r="F8618" t="s">
        <v>3824</v>
      </c>
    </row>
    <row r="8619" spans="1:6" ht="13.2">
      <c r="A8619" t="s">
        <v>9843</v>
      </c>
      <c r="B8619">
        <v>0</v>
      </c>
      <c r="C8619" s="44" t="s">
        <v>9834</v>
      </c>
      <c r="D8619" t="s">
        <v>293</v>
      </c>
      <c r="E8619" t="s">
        <v>8872</v>
      </c>
      <c r="F8619" t="s">
        <v>3824</v>
      </c>
    </row>
    <row r="8620" spans="1:6" ht="13.2">
      <c r="A8620" t="s">
        <v>9844</v>
      </c>
      <c r="B8620">
        <v>0</v>
      </c>
      <c r="C8620" s="44" t="s">
        <v>9834</v>
      </c>
      <c r="D8620" t="s">
        <v>293</v>
      </c>
      <c r="E8620" t="s">
        <v>8872</v>
      </c>
      <c r="F8620" t="s">
        <v>3824</v>
      </c>
    </row>
    <row r="8621" spans="1:6" ht="13.2">
      <c r="A8621" t="s">
        <v>9845</v>
      </c>
      <c r="B8621">
        <v>0</v>
      </c>
      <c r="C8621" s="44" t="s">
        <v>9834</v>
      </c>
      <c r="D8621" t="s">
        <v>293</v>
      </c>
      <c r="E8621" t="s">
        <v>8872</v>
      </c>
      <c r="F8621" t="s">
        <v>3824</v>
      </c>
    </row>
    <row r="8622" spans="1:6" ht="13.2">
      <c r="A8622" t="s">
        <v>9846</v>
      </c>
      <c r="B8622">
        <v>0</v>
      </c>
      <c r="C8622" s="44" t="s">
        <v>9834</v>
      </c>
      <c r="D8622" t="s">
        <v>293</v>
      </c>
      <c r="E8622" t="s">
        <v>8872</v>
      </c>
      <c r="F8622" t="s">
        <v>3824</v>
      </c>
    </row>
    <row r="8623" spans="1:6" ht="13.2">
      <c r="A8623" t="s">
        <v>9847</v>
      </c>
      <c r="B8623">
        <v>0</v>
      </c>
      <c r="C8623" s="44" t="s">
        <v>9834</v>
      </c>
      <c r="D8623" t="s">
        <v>293</v>
      </c>
      <c r="E8623" t="s">
        <v>8872</v>
      </c>
      <c r="F8623" t="s">
        <v>3824</v>
      </c>
    </row>
    <row r="8624" spans="1:6" ht="13.2">
      <c r="A8624" t="s">
        <v>9848</v>
      </c>
      <c r="B8624">
        <v>0</v>
      </c>
      <c r="C8624" s="44" t="s">
        <v>9834</v>
      </c>
      <c r="D8624" t="s">
        <v>293</v>
      </c>
      <c r="E8624" t="s">
        <v>8872</v>
      </c>
      <c r="F8624" t="s">
        <v>3824</v>
      </c>
    </row>
    <row r="8625" spans="1:6" ht="13.2">
      <c r="A8625" t="s">
        <v>9849</v>
      </c>
      <c r="B8625">
        <v>0</v>
      </c>
      <c r="C8625" s="44" t="s">
        <v>9834</v>
      </c>
      <c r="D8625" t="s">
        <v>293</v>
      </c>
      <c r="E8625" t="s">
        <v>8872</v>
      </c>
      <c r="F8625" t="s">
        <v>3824</v>
      </c>
    </row>
    <row r="8626" spans="1:6" ht="13.2">
      <c r="A8626" t="s">
        <v>9850</v>
      </c>
      <c r="B8626">
        <v>0</v>
      </c>
      <c r="C8626" s="44" t="s">
        <v>9834</v>
      </c>
      <c r="D8626" t="s">
        <v>293</v>
      </c>
      <c r="E8626" t="s">
        <v>8872</v>
      </c>
      <c r="F8626" t="s">
        <v>3824</v>
      </c>
    </row>
    <row r="8627" spans="1:6" ht="13.2">
      <c r="A8627" t="s">
        <v>9851</v>
      </c>
      <c r="B8627">
        <v>0</v>
      </c>
      <c r="C8627" s="44" t="s">
        <v>9834</v>
      </c>
      <c r="D8627" t="s">
        <v>293</v>
      </c>
      <c r="E8627" t="s">
        <v>8872</v>
      </c>
      <c r="F8627" t="s">
        <v>3824</v>
      </c>
    </row>
    <row r="8628" spans="1:6" ht="13.2">
      <c r="A8628" t="s">
        <v>9852</v>
      </c>
      <c r="B8628">
        <v>0</v>
      </c>
      <c r="C8628" s="44" t="s">
        <v>9834</v>
      </c>
      <c r="D8628" t="s">
        <v>293</v>
      </c>
      <c r="E8628" t="s">
        <v>8872</v>
      </c>
      <c r="F8628" t="s">
        <v>3824</v>
      </c>
    </row>
    <row r="8629" spans="1:6" ht="13.2">
      <c r="A8629" t="s">
        <v>9853</v>
      </c>
      <c r="B8629">
        <v>0</v>
      </c>
      <c r="C8629" s="44" t="s">
        <v>9834</v>
      </c>
      <c r="D8629" t="s">
        <v>293</v>
      </c>
      <c r="E8629" t="s">
        <v>8872</v>
      </c>
      <c r="F8629" t="s">
        <v>3824</v>
      </c>
    </row>
    <row r="8630" spans="1:6" ht="13.2">
      <c r="A8630" t="s">
        <v>9854</v>
      </c>
      <c r="B8630">
        <v>0</v>
      </c>
      <c r="C8630" s="44" t="s">
        <v>9834</v>
      </c>
      <c r="D8630" t="s">
        <v>293</v>
      </c>
      <c r="E8630" t="s">
        <v>8872</v>
      </c>
      <c r="F8630" t="s">
        <v>3824</v>
      </c>
    </row>
    <row r="8631" spans="1:6" ht="13.2">
      <c r="A8631" t="s">
        <v>9855</v>
      </c>
      <c r="B8631">
        <v>0</v>
      </c>
      <c r="C8631" s="44" t="s">
        <v>9856</v>
      </c>
      <c r="D8631" t="s">
        <v>293</v>
      </c>
      <c r="E8631" t="s">
        <v>9857</v>
      </c>
      <c r="F8631" t="s">
        <v>3824</v>
      </c>
    </row>
    <row r="8632" spans="1:6" ht="13.2">
      <c r="A8632" t="s">
        <v>9858</v>
      </c>
      <c r="B8632">
        <v>0</v>
      </c>
      <c r="C8632" s="44" t="s">
        <v>9856</v>
      </c>
      <c r="D8632" t="s">
        <v>293</v>
      </c>
      <c r="E8632" t="s">
        <v>9857</v>
      </c>
      <c r="F8632" t="s">
        <v>3824</v>
      </c>
    </row>
    <row r="8633" spans="1:6" ht="13.2">
      <c r="A8633" t="s">
        <v>9859</v>
      </c>
      <c r="B8633">
        <v>0</v>
      </c>
      <c r="C8633" s="44" t="s">
        <v>9856</v>
      </c>
      <c r="D8633" t="s">
        <v>293</v>
      </c>
      <c r="E8633" t="s">
        <v>9857</v>
      </c>
      <c r="F8633" t="s">
        <v>3824</v>
      </c>
    </row>
    <row r="8634" spans="1:6" ht="13.2">
      <c r="A8634" t="s">
        <v>9860</v>
      </c>
      <c r="B8634">
        <v>0</v>
      </c>
      <c r="C8634" s="44" t="s">
        <v>9856</v>
      </c>
      <c r="D8634" t="s">
        <v>293</v>
      </c>
      <c r="E8634" t="s">
        <v>9857</v>
      </c>
      <c r="F8634" t="s">
        <v>3824</v>
      </c>
    </row>
    <row r="8635" spans="1:6" ht="13.2">
      <c r="A8635" t="s">
        <v>9861</v>
      </c>
      <c r="B8635">
        <v>0</v>
      </c>
      <c r="C8635" s="44" t="s">
        <v>9856</v>
      </c>
      <c r="D8635" t="s">
        <v>293</v>
      </c>
      <c r="E8635" t="s">
        <v>9857</v>
      </c>
      <c r="F8635" t="s">
        <v>3824</v>
      </c>
    </row>
    <row r="8636" spans="1:6" ht="13.2">
      <c r="A8636" t="s">
        <v>9862</v>
      </c>
      <c r="B8636">
        <v>0</v>
      </c>
      <c r="C8636" s="44" t="s">
        <v>9856</v>
      </c>
      <c r="D8636" t="s">
        <v>293</v>
      </c>
      <c r="E8636" t="s">
        <v>9857</v>
      </c>
      <c r="F8636" t="s">
        <v>3824</v>
      </c>
    </row>
    <row r="8637" spans="1:6" ht="13.2">
      <c r="A8637" t="s">
        <v>9863</v>
      </c>
      <c r="B8637">
        <v>0</v>
      </c>
      <c r="C8637" s="44" t="s">
        <v>9856</v>
      </c>
      <c r="D8637" t="s">
        <v>293</v>
      </c>
      <c r="E8637" t="s">
        <v>9857</v>
      </c>
      <c r="F8637" t="s">
        <v>3824</v>
      </c>
    </row>
    <row r="8638" spans="1:6" ht="13.2">
      <c r="A8638" t="s">
        <v>9864</v>
      </c>
      <c r="B8638">
        <v>0</v>
      </c>
      <c r="C8638" s="44" t="s">
        <v>9856</v>
      </c>
      <c r="D8638" t="s">
        <v>293</v>
      </c>
      <c r="E8638" t="s">
        <v>9857</v>
      </c>
      <c r="F8638" t="s">
        <v>3824</v>
      </c>
    </row>
    <row r="8639" spans="1:6" ht="13.2">
      <c r="A8639" t="s">
        <v>9865</v>
      </c>
      <c r="B8639">
        <v>0</v>
      </c>
      <c r="C8639" s="44" t="s">
        <v>9856</v>
      </c>
      <c r="D8639" t="s">
        <v>293</v>
      </c>
      <c r="E8639" t="s">
        <v>9857</v>
      </c>
      <c r="F8639" t="s">
        <v>3824</v>
      </c>
    </row>
    <row r="8640" spans="1:6" ht="13.2">
      <c r="A8640" t="s">
        <v>9866</v>
      </c>
      <c r="B8640">
        <v>0</v>
      </c>
      <c r="C8640" s="44" t="s">
        <v>9856</v>
      </c>
      <c r="D8640" t="s">
        <v>293</v>
      </c>
      <c r="E8640" t="s">
        <v>9857</v>
      </c>
      <c r="F8640" t="s">
        <v>3824</v>
      </c>
    </row>
    <row r="8641" spans="1:6" ht="13.2">
      <c r="A8641" t="s">
        <v>9867</v>
      </c>
      <c r="B8641">
        <v>0</v>
      </c>
      <c r="C8641" s="44" t="s">
        <v>9856</v>
      </c>
      <c r="D8641" t="s">
        <v>293</v>
      </c>
      <c r="E8641" t="s">
        <v>9857</v>
      </c>
      <c r="F8641" t="s">
        <v>3824</v>
      </c>
    </row>
    <row r="8642" spans="1:6" ht="13.2">
      <c r="A8642" t="s">
        <v>9868</v>
      </c>
      <c r="B8642">
        <v>0</v>
      </c>
      <c r="C8642" s="44" t="s">
        <v>9856</v>
      </c>
      <c r="D8642" t="s">
        <v>293</v>
      </c>
      <c r="E8642" t="s">
        <v>9857</v>
      </c>
      <c r="F8642" t="s">
        <v>3824</v>
      </c>
    </row>
    <row r="8643" spans="1:6" ht="13.2">
      <c r="A8643" t="s">
        <v>9869</v>
      </c>
      <c r="B8643">
        <v>0</v>
      </c>
      <c r="C8643" s="44" t="s">
        <v>9856</v>
      </c>
      <c r="D8643" t="s">
        <v>293</v>
      </c>
      <c r="E8643" t="s">
        <v>9857</v>
      </c>
      <c r="F8643" t="s">
        <v>3824</v>
      </c>
    </row>
    <row r="8644" spans="1:6" ht="13.2">
      <c r="A8644" t="s">
        <v>9870</v>
      </c>
      <c r="B8644">
        <v>0</v>
      </c>
      <c r="C8644" s="44" t="s">
        <v>9856</v>
      </c>
      <c r="D8644" t="s">
        <v>293</v>
      </c>
      <c r="E8644" t="s">
        <v>9857</v>
      </c>
      <c r="F8644" t="s">
        <v>3824</v>
      </c>
    </row>
    <row r="8645" spans="1:6" ht="13.2">
      <c r="A8645" t="s">
        <v>9871</v>
      </c>
      <c r="B8645">
        <v>0</v>
      </c>
      <c r="C8645" s="44" t="s">
        <v>9856</v>
      </c>
      <c r="D8645" t="s">
        <v>293</v>
      </c>
      <c r="E8645" t="s">
        <v>9857</v>
      </c>
      <c r="F8645" t="s">
        <v>3824</v>
      </c>
    </row>
    <row r="8646" spans="1:6" ht="13.2">
      <c r="A8646" t="s">
        <v>9872</v>
      </c>
      <c r="B8646">
        <v>0</v>
      </c>
      <c r="C8646" s="44" t="s">
        <v>9856</v>
      </c>
      <c r="D8646" t="s">
        <v>293</v>
      </c>
      <c r="E8646" t="s">
        <v>9857</v>
      </c>
      <c r="F8646" t="s">
        <v>3824</v>
      </c>
    </row>
    <row r="8647" spans="1:6" ht="13.2">
      <c r="A8647" t="s">
        <v>9873</v>
      </c>
      <c r="B8647">
        <v>0</v>
      </c>
      <c r="C8647" s="44" t="s">
        <v>9856</v>
      </c>
      <c r="D8647" t="s">
        <v>293</v>
      </c>
      <c r="E8647" t="s">
        <v>9857</v>
      </c>
      <c r="F8647" t="s">
        <v>3824</v>
      </c>
    </row>
    <row r="8648" spans="1:6" ht="13.2">
      <c r="A8648" t="s">
        <v>9874</v>
      </c>
      <c r="B8648">
        <v>0</v>
      </c>
      <c r="C8648" s="44" t="s">
        <v>9856</v>
      </c>
      <c r="D8648" t="s">
        <v>293</v>
      </c>
      <c r="E8648" t="s">
        <v>9857</v>
      </c>
      <c r="F8648" t="s">
        <v>3824</v>
      </c>
    </row>
    <row r="8649" spans="1:6" ht="13.2">
      <c r="A8649" t="s">
        <v>9875</v>
      </c>
      <c r="B8649">
        <v>0</v>
      </c>
      <c r="C8649" s="44" t="s">
        <v>9856</v>
      </c>
      <c r="D8649" t="s">
        <v>293</v>
      </c>
      <c r="E8649" t="s">
        <v>9857</v>
      </c>
      <c r="F8649" t="s">
        <v>3824</v>
      </c>
    </row>
    <row r="8650" spans="1:6" ht="13.2">
      <c r="A8650" t="s">
        <v>9876</v>
      </c>
      <c r="B8650">
        <v>0</v>
      </c>
      <c r="C8650" s="44" t="s">
        <v>9856</v>
      </c>
      <c r="D8650" t="s">
        <v>293</v>
      </c>
      <c r="E8650" t="s">
        <v>9857</v>
      </c>
      <c r="F8650" t="s">
        <v>3824</v>
      </c>
    </row>
    <row r="8651" spans="1:6" ht="13.2">
      <c r="A8651" t="s">
        <v>9877</v>
      </c>
      <c r="B8651">
        <v>0</v>
      </c>
      <c r="C8651" s="44" t="s">
        <v>9856</v>
      </c>
      <c r="D8651" t="s">
        <v>293</v>
      </c>
      <c r="E8651" t="s">
        <v>9857</v>
      </c>
      <c r="F8651" t="s">
        <v>3824</v>
      </c>
    </row>
    <row r="8652" spans="1:6" ht="13.2">
      <c r="A8652" t="s">
        <v>9878</v>
      </c>
      <c r="B8652">
        <v>0</v>
      </c>
      <c r="C8652" s="44" t="s">
        <v>9856</v>
      </c>
      <c r="D8652" t="s">
        <v>293</v>
      </c>
      <c r="E8652" t="s">
        <v>9857</v>
      </c>
      <c r="F8652" t="s">
        <v>3824</v>
      </c>
    </row>
    <row r="8653" spans="1:6" ht="13.2">
      <c r="A8653" t="s">
        <v>9879</v>
      </c>
      <c r="B8653">
        <v>0</v>
      </c>
      <c r="C8653" s="44" t="s">
        <v>9856</v>
      </c>
      <c r="D8653" t="s">
        <v>293</v>
      </c>
      <c r="E8653" t="s">
        <v>9857</v>
      </c>
      <c r="F8653" t="s">
        <v>3824</v>
      </c>
    </row>
    <row r="8654" spans="1:6" ht="13.2">
      <c r="A8654" t="s">
        <v>9880</v>
      </c>
      <c r="B8654">
        <v>0</v>
      </c>
      <c r="C8654" s="44" t="s">
        <v>9856</v>
      </c>
      <c r="D8654" t="s">
        <v>293</v>
      </c>
      <c r="E8654" t="s">
        <v>9857</v>
      </c>
      <c r="F8654" t="s">
        <v>3824</v>
      </c>
    </row>
    <row r="8655" spans="1:6" ht="13.2">
      <c r="A8655" t="s">
        <v>9881</v>
      </c>
      <c r="B8655">
        <v>0</v>
      </c>
      <c r="C8655" s="44" t="s">
        <v>9856</v>
      </c>
      <c r="D8655" t="s">
        <v>293</v>
      </c>
      <c r="E8655" t="s">
        <v>9857</v>
      </c>
      <c r="F8655" t="s">
        <v>3824</v>
      </c>
    </row>
    <row r="8656" spans="1:6" ht="13.2">
      <c r="A8656" t="s">
        <v>9882</v>
      </c>
      <c r="B8656">
        <v>0</v>
      </c>
      <c r="C8656" s="44" t="s">
        <v>9856</v>
      </c>
      <c r="D8656" t="s">
        <v>293</v>
      </c>
      <c r="E8656" t="s">
        <v>9857</v>
      </c>
      <c r="F8656" t="s">
        <v>3824</v>
      </c>
    </row>
    <row r="8657" spans="1:6" ht="13.2">
      <c r="A8657" t="s">
        <v>9883</v>
      </c>
      <c r="B8657">
        <v>0</v>
      </c>
      <c r="C8657" s="44" t="s">
        <v>9856</v>
      </c>
      <c r="D8657" t="s">
        <v>293</v>
      </c>
      <c r="E8657" t="s">
        <v>9857</v>
      </c>
      <c r="F8657" t="s">
        <v>3824</v>
      </c>
    </row>
    <row r="8658" spans="1:6" ht="13.2">
      <c r="A8658" t="s">
        <v>9884</v>
      </c>
      <c r="B8658">
        <v>0</v>
      </c>
      <c r="C8658" s="44" t="s">
        <v>9856</v>
      </c>
      <c r="D8658" t="s">
        <v>293</v>
      </c>
      <c r="E8658" t="s">
        <v>9857</v>
      </c>
      <c r="F8658" t="s">
        <v>3824</v>
      </c>
    </row>
    <row r="8659" spans="1:6" ht="13.2">
      <c r="A8659" t="s">
        <v>9885</v>
      </c>
      <c r="B8659">
        <v>0</v>
      </c>
      <c r="C8659" s="44" t="s">
        <v>9856</v>
      </c>
      <c r="D8659" t="s">
        <v>293</v>
      </c>
      <c r="E8659" t="s">
        <v>9857</v>
      </c>
      <c r="F8659" t="s">
        <v>3824</v>
      </c>
    </row>
    <row r="8660" spans="1:6" ht="13.2">
      <c r="A8660" t="s">
        <v>9886</v>
      </c>
      <c r="B8660">
        <v>0</v>
      </c>
      <c r="C8660" s="44" t="s">
        <v>9834</v>
      </c>
      <c r="D8660" t="s">
        <v>293</v>
      </c>
      <c r="E8660" t="s">
        <v>9726</v>
      </c>
      <c r="F8660" t="s">
        <v>3824</v>
      </c>
    </row>
    <row r="8661" spans="1:6" ht="13.2">
      <c r="A8661" t="s">
        <v>9887</v>
      </c>
      <c r="B8661">
        <v>0</v>
      </c>
      <c r="C8661" s="44" t="s">
        <v>9834</v>
      </c>
      <c r="D8661" t="s">
        <v>293</v>
      </c>
      <c r="E8661" t="s">
        <v>9726</v>
      </c>
      <c r="F8661" t="s">
        <v>3824</v>
      </c>
    </row>
    <row r="8662" spans="1:6" ht="13.2">
      <c r="A8662" t="s">
        <v>9888</v>
      </c>
      <c r="B8662">
        <v>0</v>
      </c>
      <c r="C8662" s="44" t="s">
        <v>9834</v>
      </c>
      <c r="D8662" t="s">
        <v>293</v>
      </c>
      <c r="E8662" t="s">
        <v>9726</v>
      </c>
      <c r="F8662" t="s">
        <v>3824</v>
      </c>
    </row>
    <row r="8663" spans="1:6" ht="13.2">
      <c r="A8663" t="s">
        <v>9889</v>
      </c>
      <c r="B8663">
        <v>0</v>
      </c>
      <c r="C8663" s="44" t="s">
        <v>9834</v>
      </c>
      <c r="D8663" t="s">
        <v>293</v>
      </c>
      <c r="E8663" t="s">
        <v>9726</v>
      </c>
      <c r="F8663" t="s">
        <v>3824</v>
      </c>
    </row>
    <row r="8664" spans="1:6" ht="13.2">
      <c r="A8664" t="s">
        <v>9890</v>
      </c>
      <c r="B8664">
        <v>0</v>
      </c>
      <c r="C8664" s="44" t="s">
        <v>9834</v>
      </c>
      <c r="D8664" t="s">
        <v>293</v>
      </c>
      <c r="E8664" t="s">
        <v>9726</v>
      </c>
      <c r="F8664" t="s">
        <v>3824</v>
      </c>
    </row>
    <row r="8665" spans="1:6" ht="13.2">
      <c r="A8665" t="s">
        <v>9891</v>
      </c>
      <c r="B8665">
        <v>0</v>
      </c>
      <c r="C8665" s="44" t="s">
        <v>9834</v>
      </c>
      <c r="D8665" t="s">
        <v>293</v>
      </c>
      <c r="E8665" t="s">
        <v>9726</v>
      </c>
      <c r="F8665" t="s">
        <v>3824</v>
      </c>
    </row>
    <row r="8666" spans="1:6" ht="13.2">
      <c r="A8666" t="s">
        <v>9892</v>
      </c>
      <c r="B8666">
        <v>0</v>
      </c>
      <c r="C8666" s="44" t="s">
        <v>9834</v>
      </c>
      <c r="D8666" t="s">
        <v>293</v>
      </c>
      <c r="E8666" t="s">
        <v>9726</v>
      </c>
      <c r="F8666" t="s">
        <v>3824</v>
      </c>
    </row>
    <row r="8667" spans="1:6" ht="13.2">
      <c r="A8667" t="s">
        <v>9893</v>
      </c>
      <c r="B8667">
        <v>0</v>
      </c>
      <c r="C8667" s="44" t="s">
        <v>9834</v>
      </c>
      <c r="D8667" t="s">
        <v>293</v>
      </c>
      <c r="E8667" t="s">
        <v>9726</v>
      </c>
      <c r="F8667" t="s">
        <v>3824</v>
      </c>
    </row>
    <row r="8668" spans="1:6" ht="13.2">
      <c r="A8668" t="s">
        <v>9894</v>
      </c>
      <c r="B8668">
        <v>0</v>
      </c>
      <c r="C8668" s="44" t="s">
        <v>9834</v>
      </c>
      <c r="D8668" t="s">
        <v>293</v>
      </c>
      <c r="E8668" t="s">
        <v>9726</v>
      </c>
      <c r="F8668" t="s">
        <v>3824</v>
      </c>
    </row>
    <row r="8669" spans="1:6" ht="13.2">
      <c r="A8669" t="s">
        <v>9895</v>
      </c>
      <c r="B8669">
        <v>0</v>
      </c>
      <c r="C8669" s="44" t="s">
        <v>9834</v>
      </c>
      <c r="D8669" t="s">
        <v>293</v>
      </c>
      <c r="E8669" t="s">
        <v>9726</v>
      </c>
      <c r="F8669" t="s">
        <v>3824</v>
      </c>
    </row>
    <row r="8670" spans="1:6" ht="13.2">
      <c r="A8670" t="s">
        <v>9896</v>
      </c>
      <c r="B8670">
        <v>0</v>
      </c>
      <c r="C8670" s="44" t="s">
        <v>9834</v>
      </c>
      <c r="D8670" t="s">
        <v>293</v>
      </c>
      <c r="E8670" t="s">
        <v>9726</v>
      </c>
      <c r="F8670" t="s">
        <v>3824</v>
      </c>
    </row>
    <row r="8671" spans="1:6" ht="13.2">
      <c r="A8671" t="s">
        <v>9897</v>
      </c>
      <c r="B8671">
        <v>0</v>
      </c>
      <c r="C8671" s="44" t="s">
        <v>9834</v>
      </c>
      <c r="D8671" t="s">
        <v>293</v>
      </c>
      <c r="E8671" t="s">
        <v>9726</v>
      </c>
      <c r="F8671" t="s">
        <v>3824</v>
      </c>
    </row>
    <row r="8672" spans="1:6" ht="13.2">
      <c r="A8672" t="s">
        <v>9898</v>
      </c>
      <c r="B8672">
        <v>0</v>
      </c>
      <c r="C8672" s="44" t="s">
        <v>9834</v>
      </c>
      <c r="D8672" t="s">
        <v>293</v>
      </c>
      <c r="E8672" t="s">
        <v>9726</v>
      </c>
      <c r="F8672" t="s">
        <v>3824</v>
      </c>
    </row>
    <row r="8673" spans="1:6" ht="13.2">
      <c r="A8673" t="s">
        <v>9899</v>
      </c>
      <c r="B8673">
        <v>0</v>
      </c>
      <c r="C8673" s="44" t="s">
        <v>9834</v>
      </c>
      <c r="D8673" t="s">
        <v>293</v>
      </c>
      <c r="E8673" t="s">
        <v>9726</v>
      </c>
      <c r="F8673" t="s">
        <v>3824</v>
      </c>
    </row>
    <row r="8674" spans="1:6" ht="13.2">
      <c r="A8674" t="s">
        <v>9900</v>
      </c>
      <c r="B8674">
        <v>0</v>
      </c>
      <c r="C8674" s="44" t="s">
        <v>9834</v>
      </c>
      <c r="D8674" t="s">
        <v>293</v>
      </c>
      <c r="E8674" t="s">
        <v>9726</v>
      </c>
      <c r="F8674" t="s">
        <v>3824</v>
      </c>
    </row>
    <row r="8675" spans="1:6" ht="13.2">
      <c r="A8675" t="s">
        <v>9901</v>
      </c>
      <c r="B8675">
        <v>0</v>
      </c>
      <c r="C8675" s="44" t="s">
        <v>9834</v>
      </c>
      <c r="D8675" t="s">
        <v>293</v>
      </c>
      <c r="E8675" t="s">
        <v>9726</v>
      </c>
      <c r="F8675" t="s">
        <v>3824</v>
      </c>
    </row>
    <row r="8676" spans="1:6" ht="13.2">
      <c r="A8676" t="s">
        <v>9902</v>
      </c>
      <c r="B8676">
        <v>0</v>
      </c>
      <c r="C8676" s="44" t="s">
        <v>9834</v>
      </c>
      <c r="D8676" t="s">
        <v>293</v>
      </c>
      <c r="E8676" t="s">
        <v>9726</v>
      </c>
      <c r="F8676" t="s">
        <v>3824</v>
      </c>
    </row>
    <row r="8677" spans="1:6" ht="13.2">
      <c r="A8677" t="s">
        <v>9903</v>
      </c>
      <c r="B8677">
        <v>0</v>
      </c>
      <c r="C8677" s="44" t="s">
        <v>9834</v>
      </c>
      <c r="D8677" t="s">
        <v>293</v>
      </c>
      <c r="E8677" t="s">
        <v>9726</v>
      </c>
      <c r="F8677" t="s">
        <v>3824</v>
      </c>
    </row>
    <row r="8678" spans="1:6" ht="13.2">
      <c r="A8678" t="s">
        <v>9904</v>
      </c>
      <c r="B8678">
        <v>0</v>
      </c>
      <c r="C8678" s="44" t="s">
        <v>9834</v>
      </c>
      <c r="D8678" t="s">
        <v>293</v>
      </c>
      <c r="E8678" t="s">
        <v>9726</v>
      </c>
      <c r="F8678" t="s">
        <v>3824</v>
      </c>
    </row>
    <row r="8679" spans="1:6" ht="13.2">
      <c r="A8679" t="s">
        <v>9905</v>
      </c>
      <c r="B8679">
        <v>0</v>
      </c>
      <c r="C8679" s="44" t="s">
        <v>9834</v>
      </c>
      <c r="D8679" t="s">
        <v>293</v>
      </c>
      <c r="E8679" t="s">
        <v>9726</v>
      </c>
      <c r="F8679" t="s">
        <v>3824</v>
      </c>
    </row>
    <row r="8680" spans="1:6" ht="13.2">
      <c r="A8680" t="s">
        <v>9906</v>
      </c>
      <c r="B8680">
        <v>0</v>
      </c>
      <c r="C8680" s="44" t="s">
        <v>9834</v>
      </c>
      <c r="D8680" t="s">
        <v>293</v>
      </c>
      <c r="E8680" t="s">
        <v>9726</v>
      </c>
      <c r="F8680" t="s">
        <v>3824</v>
      </c>
    </row>
    <row r="8681" spans="1:6" ht="13.2">
      <c r="A8681" t="s">
        <v>9907</v>
      </c>
      <c r="B8681">
        <v>0</v>
      </c>
      <c r="C8681" s="44" t="s">
        <v>9834</v>
      </c>
      <c r="D8681" t="s">
        <v>293</v>
      </c>
      <c r="E8681" t="s">
        <v>9726</v>
      </c>
      <c r="F8681" t="s">
        <v>3824</v>
      </c>
    </row>
    <row r="8682" spans="1:6" ht="13.2">
      <c r="A8682" t="s">
        <v>9908</v>
      </c>
      <c r="B8682">
        <v>0</v>
      </c>
      <c r="C8682" s="44" t="s">
        <v>9834</v>
      </c>
      <c r="D8682" t="s">
        <v>293</v>
      </c>
      <c r="E8682" t="s">
        <v>9726</v>
      </c>
      <c r="F8682" t="s">
        <v>3824</v>
      </c>
    </row>
    <row r="8683" spans="1:6" ht="13.2">
      <c r="A8683" t="s">
        <v>9909</v>
      </c>
      <c r="B8683">
        <v>0</v>
      </c>
      <c r="C8683" s="44" t="s">
        <v>204</v>
      </c>
      <c r="D8683" t="s">
        <v>293</v>
      </c>
      <c r="E8683" t="s">
        <v>9910</v>
      </c>
      <c r="F8683" t="s">
        <v>3824</v>
      </c>
    </row>
    <row r="8684" spans="1:6" ht="13.2">
      <c r="A8684" t="s">
        <v>9911</v>
      </c>
      <c r="B8684">
        <v>0</v>
      </c>
      <c r="C8684" s="44" t="s">
        <v>204</v>
      </c>
      <c r="D8684" t="s">
        <v>293</v>
      </c>
      <c r="E8684" t="s">
        <v>9910</v>
      </c>
      <c r="F8684" t="s">
        <v>3824</v>
      </c>
    </row>
    <row r="8685" spans="1:6" ht="13.2">
      <c r="A8685" t="s">
        <v>9912</v>
      </c>
      <c r="B8685">
        <v>0</v>
      </c>
      <c r="C8685" s="44" t="s">
        <v>204</v>
      </c>
      <c r="D8685" t="s">
        <v>293</v>
      </c>
      <c r="E8685" t="s">
        <v>9910</v>
      </c>
      <c r="F8685" t="s">
        <v>3824</v>
      </c>
    </row>
    <row r="8686" spans="1:6" ht="13.2">
      <c r="A8686" t="s">
        <v>9913</v>
      </c>
      <c r="B8686">
        <v>0</v>
      </c>
      <c r="C8686" s="44" t="s">
        <v>204</v>
      </c>
      <c r="D8686" t="s">
        <v>293</v>
      </c>
      <c r="E8686" t="s">
        <v>9910</v>
      </c>
      <c r="F8686" t="s">
        <v>3824</v>
      </c>
    </row>
    <row r="8687" spans="1:6" ht="13.2">
      <c r="A8687" t="s">
        <v>9914</v>
      </c>
      <c r="B8687">
        <v>0</v>
      </c>
      <c r="C8687" s="44" t="s">
        <v>204</v>
      </c>
      <c r="D8687" t="s">
        <v>293</v>
      </c>
      <c r="E8687" t="s">
        <v>9910</v>
      </c>
      <c r="F8687" t="s">
        <v>3824</v>
      </c>
    </row>
    <row r="8688" spans="1:6" ht="13.2">
      <c r="A8688" t="s">
        <v>9915</v>
      </c>
      <c r="B8688">
        <v>0</v>
      </c>
      <c r="C8688" s="44" t="s">
        <v>204</v>
      </c>
      <c r="D8688" t="s">
        <v>293</v>
      </c>
      <c r="E8688" t="s">
        <v>9910</v>
      </c>
      <c r="F8688" t="s">
        <v>3824</v>
      </c>
    </row>
    <row r="8689" spans="1:6" ht="13.2">
      <c r="A8689" t="s">
        <v>9916</v>
      </c>
      <c r="B8689">
        <v>0</v>
      </c>
      <c r="C8689" s="44" t="s">
        <v>204</v>
      </c>
      <c r="D8689" t="s">
        <v>293</v>
      </c>
      <c r="E8689" t="s">
        <v>9910</v>
      </c>
      <c r="F8689" t="s">
        <v>3824</v>
      </c>
    </row>
    <row r="8690" spans="1:6" ht="13.2">
      <c r="A8690" t="s">
        <v>9917</v>
      </c>
      <c r="B8690">
        <v>0</v>
      </c>
      <c r="C8690" s="44" t="s">
        <v>204</v>
      </c>
      <c r="D8690" t="s">
        <v>293</v>
      </c>
      <c r="E8690" t="s">
        <v>9910</v>
      </c>
      <c r="F8690" t="s">
        <v>3824</v>
      </c>
    </row>
    <row r="8691" spans="1:6" ht="13.2">
      <c r="A8691" t="s">
        <v>9918</v>
      </c>
      <c r="B8691">
        <v>0</v>
      </c>
      <c r="C8691" s="44" t="s">
        <v>204</v>
      </c>
      <c r="D8691" t="s">
        <v>293</v>
      </c>
      <c r="E8691" t="s">
        <v>9910</v>
      </c>
      <c r="F8691" t="s">
        <v>3824</v>
      </c>
    </row>
    <row r="8692" spans="1:6" ht="13.2">
      <c r="A8692" t="s">
        <v>9919</v>
      </c>
      <c r="B8692">
        <v>0</v>
      </c>
      <c r="C8692" s="44" t="s">
        <v>204</v>
      </c>
      <c r="D8692" t="s">
        <v>293</v>
      </c>
      <c r="E8692" t="s">
        <v>9910</v>
      </c>
      <c r="F8692" t="s">
        <v>3824</v>
      </c>
    </row>
    <row r="8693" spans="1:6" ht="13.2">
      <c r="A8693" t="s">
        <v>9920</v>
      </c>
      <c r="B8693">
        <v>0</v>
      </c>
      <c r="C8693" s="44" t="s">
        <v>204</v>
      </c>
      <c r="D8693" t="s">
        <v>293</v>
      </c>
      <c r="E8693" t="s">
        <v>9910</v>
      </c>
      <c r="F8693" t="s">
        <v>3824</v>
      </c>
    </row>
    <row r="8694" spans="1:6" ht="13.2">
      <c r="A8694" t="s">
        <v>9921</v>
      </c>
      <c r="B8694">
        <v>0</v>
      </c>
      <c r="C8694" s="44" t="s">
        <v>204</v>
      </c>
      <c r="D8694" t="s">
        <v>293</v>
      </c>
      <c r="E8694" t="s">
        <v>9910</v>
      </c>
      <c r="F8694" t="s">
        <v>3824</v>
      </c>
    </row>
    <row r="8695" spans="1:6" ht="13.2">
      <c r="A8695" t="s">
        <v>9922</v>
      </c>
      <c r="B8695">
        <v>0</v>
      </c>
      <c r="C8695" s="44" t="s">
        <v>204</v>
      </c>
      <c r="D8695" t="s">
        <v>293</v>
      </c>
      <c r="E8695" t="s">
        <v>9910</v>
      </c>
      <c r="F8695" t="s">
        <v>3824</v>
      </c>
    </row>
    <row r="8696" spans="1:6" ht="13.2">
      <c r="A8696" t="s">
        <v>9923</v>
      </c>
      <c r="B8696">
        <v>0</v>
      </c>
      <c r="C8696" s="44" t="s">
        <v>204</v>
      </c>
      <c r="D8696" t="s">
        <v>293</v>
      </c>
      <c r="E8696" t="s">
        <v>9910</v>
      </c>
      <c r="F8696" t="s">
        <v>3824</v>
      </c>
    </row>
    <row r="8697" spans="1:6" ht="13.2">
      <c r="A8697" t="s">
        <v>9924</v>
      </c>
      <c r="B8697">
        <v>0</v>
      </c>
      <c r="C8697" s="44" t="s">
        <v>204</v>
      </c>
      <c r="D8697" t="s">
        <v>293</v>
      </c>
      <c r="E8697" t="s">
        <v>9910</v>
      </c>
      <c r="F8697" t="s">
        <v>3824</v>
      </c>
    </row>
    <row r="8698" spans="1:6" ht="13.2">
      <c r="A8698" t="s">
        <v>9925</v>
      </c>
      <c r="B8698">
        <v>0</v>
      </c>
      <c r="C8698" s="44" t="s">
        <v>204</v>
      </c>
      <c r="D8698" t="s">
        <v>293</v>
      </c>
      <c r="E8698" t="s">
        <v>9910</v>
      </c>
      <c r="F8698" t="s">
        <v>3824</v>
      </c>
    </row>
    <row r="8699" spans="1:6" ht="13.2">
      <c r="A8699" t="s">
        <v>9926</v>
      </c>
      <c r="B8699">
        <v>0</v>
      </c>
      <c r="C8699" s="44" t="s">
        <v>204</v>
      </c>
      <c r="D8699" t="s">
        <v>293</v>
      </c>
      <c r="E8699" t="s">
        <v>9910</v>
      </c>
      <c r="F8699" t="s">
        <v>3824</v>
      </c>
    </row>
    <row r="8700" spans="1:6" ht="13.2">
      <c r="A8700" t="s">
        <v>9927</v>
      </c>
      <c r="B8700">
        <v>0</v>
      </c>
      <c r="C8700" s="44" t="s">
        <v>204</v>
      </c>
      <c r="D8700" t="s">
        <v>293</v>
      </c>
      <c r="E8700" t="s">
        <v>9910</v>
      </c>
      <c r="F8700" t="s">
        <v>3824</v>
      </c>
    </row>
    <row r="8701" spans="1:6" ht="13.2">
      <c r="A8701" t="s">
        <v>9928</v>
      </c>
      <c r="B8701">
        <v>0</v>
      </c>
      <c r="C8701" s="44" t="s">
        <v>204</v>
      </c>
      <c r="D8701" t="s">
        <v>293</v>
      </c>
      <c r="E8701" t="s">
        <v>9910</v>
      </c>
      <c r="F8701" t="s">
        <v>3824</v>
      </c>
    </row>
    <row r="8702" spans="1:6" ht="13.2">
      <c r="A8702" t="s">
        <v>9929</v>
      </c>
      <c r="B8702">
        <v>0</v>
      </c>
      <c r="C8702" s="44" t="s">
        <v>204</v>
      </c>
      <c r="D8702" t="s">
        <v>293</v>
      </c>
      <c r="E8702" t="s">
        <v>9910</v>
      </c>
      <c r="F8702" t="s">
        <v>3824</v>
      </c>
    </row>
    <row r="8703" spans="1:6" ht="13.2">
      <c r="A8703" t="s">
        <v>9930</v>
      </c>
      <c r="B8703">
        <v>0</v>
      </c>
      <c r="C8703" s="44" t="s">
        <v>204</v>
      </c>
      <c r="D8703" t="s">
        <v>293</v>
      </c>
      <c r="E8703" t="s">
        <v>9910</v>
      </c>
      <c r="F8703" t="s">
        <v>3824</v>
      </c>
    </row>
    <row r="8704" spans="1:6" ht="13.2">
      <c r="A8704" t="s">
        <v>9931</v>
      </c>
      <c r="B8704">
        <v>0</v>
      </c>
      <c r="C8704" s="44" t="s">
        <v>204</v>
      </c>
      <c r="D8704" t="s">
        <v>293</v>
      </c>
      <c r="E8704" t="s">
        <v>9910</v>
      </c>
      <c r="F8704" t="s">
        <v>3824</v>
      </c>
    </row>
    <row r="8705" spans="1:6" ht="13.2">
      <c r="A8705" t="s">
        <v>9932</v>
      </c>
      <c r="B8705">
        <v>0</v>
      </c>
      <c r="C8705" s="44" t="s">
        <v>204</v>
      </c>
      <c r="D8705" t="s">
        <v>293</v>
      </c>
      <c r="E8705" t="s">
        <v>9910</v>
      </c>
      <c r="F8705" t="s">
        <v>3824</v>
      </c>
    </row>
    <row r="8706" spans="1:6" ht="13.2">
      <c r="A8706" t="s">
        <v>9933</v>
      </c>
      <c r="B8706">
        <v>0</v>
      </c>
      <c r="C8706" s="44" t="s">
        <v>204</v>
      </c>
      <c r="D8706" t="s">
        <v>293</v>
      </c>
      <c r="E8706" t="s">
        <v>9910</v>
      </c>
      <c r="F8706" t="s">
        <v>3824</v>
      </c>
    </row>
    <row r="8707" spans="1:6" ht="13.2">
      <c r="A8707" t="s">
        <v>9934</v>
      </c>
      <c r="B8707">
        <v>0</v>
      </c>
      <c r="C8707" s="44" t="s">
        <v>204</v>
      </c>
      <c r="D8707" t="s">
        <v>293</v>
      </c>
      <c r="E8707" t="s">
        <v>9910</v>
      </c>
      <c r="F8707" t="s">
        <v>3824</v>
      </c>
    </row>
    <row r="8708" spans="1:6" ht="13.2">
      <c r="A8708" t="s">
        <v>9935</v>
      </c>
      <c r="B8708">
        <v>0</v>
      </c>
      <c r="C8708" s="44" t="s">
        <v>204</v>
      </c>
      <c r="D8708" t="s">
        <v>293</v>
      </c>
      <c r="E8708" t="s">
        <v>9910</v>
      </c>
      <c r="F8708" t="s">
        <v>3824</v>
      </c>
    </row>
    <row r="8709" spans="1:6" ht="13.2">
      <c r="A8709" t="s">
        <v>9936</v>
      </c>
      <c r="B8709">
        <v>0</v>
      </c>
      <c r="C8709" s="44">
        <v>3030</v>
      </c>
      <c r="D8709" t="s">
        <v>293</v>
      </c>
      <c r="E8709" t="s">
        <v>9937</v>
      </c>
      <c r="F8709" t="s">
        <v>3824</v>
      </c>
    </row>
    <row r="8710" spans="1:6" ht="13.2">
      <c r="A8710" t="s">
        <v>9938</v>
      </c>
      <c r="B8710">
        <v>0</v>
      </c>
      <c r="C8710" s="44">
        <v>3030</v>
      </c>
      <c r="D8710" t="s">
        <v>293</v>
      </c>
      <c r="E8710" t="s">
        <v>9937</v>
      </c>
      <c r="F8710" t="s">
        <v>3824</v>
      </c>
    </row>
    <row r="8711" spans="1:6" ht="13.2">
      <c r="A8711" t="s">
        <v>9939</v>
      </c>
      <c r="B8711">
        <v>0</v>
      </c>
      <c r="C8711" s="44">
        <v>3030</v>
      </c>
      <c r="D8711" t="s">
        <v>293</v>
      </c>
      <c r="E8711" t="s">
        <v>9937</v>
      </c>
      <c r="F8711" t="s">
        <v>3824</v>
      </c>
    </row>
    <row r="8712" spans="1:6" ht="13.2">
      <c r="A8712" t="s">
        <v>9940</v>
      </c>
      <c r="B8712">
        <v>0</v>
      </c>
      <c r="C8712" s="44">
        <v>3030</v>
      </c>
      <c r="D8712" t="s">
        <v>293</v>
      </c>
      <c r="E8712" t="s">
        <v>9937</v>
      </c>
      <c r="F8712" t="s">
        <v>3824</v>
      </c>
    </row>
    <row r="8713" spans="1:6" ht="13.2">
      <c r="A8713" t="s">
        <v>9941</v>
      </c>
      <c r="B8713">
        <v>0</v>
      </c>
      <c r="C8713" s="44">
        <v>3030</v>
      </c>
      <c r="D8713" t="s">
        <v>293</v>
      </c>
      <c r="E8713" t="s">
        <v>9937</v>
      </c>
      <c r="F8713" t="s">
        <v>3824</v>
      </c>
    </row>
    <row r="8714" spans="1:6" ht="13.2">
      <c r="A8714" t="s">
        <v>9942</v>
      </c>
      <c r="B8714">
        <v>0</v>
      </c>
      <c r="C8714" s="44">
        <v>3030</v>
      </c>
      <c r="D8714" t="s">
        <v>293</v>
      </c>
      <c r="E8714" t="s">
        <v>9937</v>
      </c>
      <c r="F8714" t="s">
        <v>3824</v>
      </c>
    </row>
    <row r="8715" spans="1:6" ht="13.2">
      <c r="A8715" t="s">
        <v>9943</v>
      </c>
      <c r="B8715">
        <v>0</v>
      </c>
      <c r="C8715" s="44">
        <v>3030</v>
      </c>
      <c r="D8715" t="s">
        <v>293</v>
      </c>
      <c r="E8715" t="s">
        <v>9937</v>
      </c>
      <c r="F8715" t="s">
        <v>3824</v>
      </c>
    </row>
    <row r="8716" spans="1:6" ht="13.2">
      <c r="A8716" t="s">
        <v>9944</v>
      </c>
      <c r="B8716">
        <v>0</v>
      </c>
      <c r="C8716" s="44">
        <v>3030</v>
      </c>
      <c r="D8716" t="s">
        <v>293</v>
      </c>
      <c r="E8716" t="s">
        <v>9937</v>
      </c>
      <c r="F8716" t="s">
        <v>3824</v>
      </c>
    </row>
    <row r="8717" spans="1:6" ht="13.2">
      <c r="A8717" t="s">
        <v>9945</v>
      </c>
      <c r="B8717">
        <v>0</v>
      </c>
      <c r="C8717" s="44">
        <v>3030</v>
      </c>
      <c r="D8717" t="s">
        <v>293</v>
      </c>
      <c r="E8717" t="s">
        <v>9937</v>
      </c>
      <c r="F8717" t="s">
        <v>3824</v>
      </c>
    </row>
    <row r="8718" spans="1:6" ht="13.2">
      <c r="A8718" t="s">
        <v>9946</v>
      </c>
      <c r="B8718">
        <v>0</v>
      </c>
      <c r="C8718" s="44">
        <v>3030</v>
      </c>
      <c r="D8718" t="s">
        <v>293</v>
      </c>
      <c r="E8718" t="s">
        <v>9937</v>
      </c>
      <c r="F8718" t="s">
        <v>3824</v>
      </c>
    </row>
    <row r="8719" spans="1:6" ht="13.2">
      <c r="A8719" t="s">
        <v>9947</v>
      </c>
      <c r="B8719">
        <v>0</v>
      </c>
      <c r="C8719" s="44">
        <v>3030</v>
      </c>
      <c r="D8719" t="s">
        <v>293</v>
      </c>
      <c r="E8719" t="s">
        <v>9937</v>
      </c>
      <c r="F8719" t="s">
        <v>3824</v>
      </c>
    </row>
    <row r="8720" spans="1:6" ht="13.2">
      <c r="A8720" t="s">
        <v>9948</v>
      </c>
      <c r="B8720">
        <v>0</v>
      </c>
      <c r="C8720" s="44">
        <v>3030</v>
      </c>
      <c r="D8720" t="s">
        <v>293</v>
      </c>
      <c r="E8720" t="s">
        <v>9937</v>
      </c>
      <c r="F8720" t="s">
        <v>3824</v>
      </c>
    </row>
    <row r="8721" spans="1:6" ht="13.2">
      <c r="A8721" t="s">
        <v>9949</v>
      </c>
      <c r="B8721">
        <v>0</v>
      </c>
      <c r="C8721" s="44">
        <v>3030</v>
      </c>
      <c r="D8721" t="s">
        <v>293</v>
      </c>
      <c r="E8721" t="s">
        <v>9937</v>
      </c>
      <c r="F8721" t="s">
        <v>3824</v>
      </c>
    </row>
    <row r="8722" spans="1:6" ht="13.2">
      <c r="A8722" t="s">
        <v>9950</v>
      </c>
      <c r="B8722">
        <v>0</v>
      </c>
      <c r="C8722" s="44">
        <v>3030</v>
      </c>
      <c r="D8722" t="s">
        <v>293</v>
      </c>
      <c r="E8722" t="s">
        <v>9937</v>
      </c>
      <c r="F8722" t="s">
        <v>3824</v>
      </c>
    </row>
    <row r="8723" spans="1:6" ht="13.2">
      <c r="A8723" t="s">
        <v>9951</v>
      </c>
      <c r="B8723">
        <v>0</v>
      </c>
      <c r="C8723" s="44">
        <v>3030</v>
      </c>
      <c r="D8723" t="s">
        <v>293</v>
      </c>
      <c r="E8723" t="s">
        <v>9937</v>
      </c>
      <c r="F8723" t="s">
        <v>3824</v>
      </c>
    </row>
    <row r="8724" spans="1:6" ht="13.2">
      <c r="A8724" t="s">
        <v>9952</v>
      </c>
      <c r="B8724">
        <v>0</v>
      </c>
      <c r="C8724" s="44">
        <v>3030</v>
      </c>
      <c r="D8724" t="s">
        <v>293</v>
      </c>
      <c r="E8724" t="s">
        <v>9937</v>
      </c>
      <c r="F8724" t="s">
        <v>3824</v>
      </c>
    </row>
    <row r="8725" spans="1:6" ht="13.2">
      <c r="A8725" t="s">
        <v>9953</v>
      </c>
      <c r="B8725">
        <v>0</v>
      </c>
      <c r="C8725" s="44">
        <v>3030</v>
      </c>
      <c r="D8725" t="s">
        <v>293</v>
      </c>
      <c r="E8725" t="s">
        <v>9937</v>
      </c>
      <c r="F8725" t="s">
        <v>3824</v>
      </c>
    </row>
    <row r="8726" spans="1:6" ht="13.2">
      <c r="A8726" t="s">
        <v>9954</v>
      </c>
      <c r="B8726">
        <v>0</v>
      </c>
      <c r="C8726" s="44">
        <v>3030</v>
      </c>
      <c r="D8726" t="s">
        <v>293</v>
      </c>
      <c r="E8726" t="s">
        <v>9937</v>
      </c>
      <c r="F8726" t="s">
        <v>3824</v>
      </c>
    </row>
    <row r="8727" spans="1:6" ht="13.2">
      <c r="A8727" t="s">
        <v>9955</v>
      </c>
      <c r="B8727">
        <v>0</v>
      </c>
      <c r="C8727" s="44">
        <v>3030</v>
      </c>
      <c r="D8727" t="s">
        <v>293</v>
      </c>
      <c r="E8727" t="s">
        <v>9937</v>
      </c>
      <c r="F8727" t="s">
        <v>3824</v>
      </c>
    </row>
    <row r="8728" spans="1:6" ht="13.2">
      <c r="A8728" t="s">
        <v>9956</v>
      </c>
      <c r="B8728">
        <v>0</v>
      </c>
      <c r="C8728" s="44">
        <v>3030</v>
      </c>
      <c r="D8728" t="s">
        <v>293</v>
      </c>
      <c r="E8728" t="s">
        <v>9937</v>
      </c>
      <c r="F8728" t="s">
        <v>3824</v>
      </c>
    </row>
    <row r="8729" spans="1:6" ht="13.2">
      <c r="A8729" t="s">
        <v>9957</v>
      </c>
      <c r="B8729">
        <v>0</v>
      </c>
      <c r="C8729" s="44">
        <v>3030</v>
      </c>
      <c r="D8729" t="s">
        <v>293</v>
      </c>
      <c r="E8729" t="s">
        <v>9937</v>
      </c>
      <c r="F8729" t="s">
        <v>3824</v>
      </c>
    </row>
    <row r="8730" spans="1:6" ht="13.2">
      <c r="A8730" t="s">
        <v>9958</v>
      </c>
      <c r="B8730">
        <v>0</v>
      </c>
      <c r="C8730" s="44">
        <v>3030</v>
      </c>
      <c r="D8730" t="s">
        <v>293</v>
      </c>
      <c r="E8730" t="s">
        <v>9937</v>
      </c>
      <c r="F8730" t="s">
        <v>3824</v>
      </c>
    </row>
    <row r="8731" spans="1:6" ht="13.2">
      <c r="A8731" t="s">
        <v>9959</v>
      </c>
      <c r="B8731">
        <v>0</v>
      </c>
      <c r="C8731" s="44">
        <v>3030</v>
      </c>
      <c r="D8731" t="s">
        <v>293</v>
      </c>
      <c r="E8731" t="s">
        <v>9937</v>
      </c>
      <c r="F8731" t="s">
        <v>3824</v>
      </c>
    </row>
    <row r="8732" spans="1:6" ht="13.2">
      <c r="A8732" t="s">
        <v>9960</v>
      </c>
      <c r="B8732">
        <v>0</v>
      </c>
      <c r="C8732" s="44">
        <v>3030</v>
      </c>
      <c r="D8732" t="s">
        <v>293</v>
      </c>
      <c r="E8732" t="s">
        <v>9937</v>
      </c>
      <c r="F8732" t="s">
        <v>3824</v>
      </c>
    </row>
    <row r="8733" spans="1:6" ht="13.2">
      <c r="A8733" t="s">
        <v>9961</v>
      </c>
      <c r="B8733">
        <v>0</v>
      </c>
      <c r="C8733" s="44">
        <v>3030</v>
      </c>
      <c r="D8733" t="s">
        <v>293</v>
      </c>
      <c r="E8733" t="s">
        <v>9937</v>
      </c>
      <c r="F8733" t="s">
        <v>3824</v>
      </c>
    </row>
    <row r="8734" spans="1:6" ht="13.2">
      <c r="A8734" t="s">
        <v>9962</v>
      </c>
      <c r="B8734">
        <v>0</v>
      </c>
      <c r="C8734" s="44">
        <v>3030</v>
      </c>
      <c r="D8734" t="s">
        <v>293</v>
      </c>
      <c r="E8734" t="s">
        <v>9937</v>
      </c>
      <c r="F8734" t="s">
        <v>3824</v>
      </c>
    </row>
    <row r="8735" spans="1:6" ht="13.2">
      <c r="A8735" t="s">
        <v>9963</v>
      </c>
      <c r="B8735">
        <v>0</v>
      </c>
      <c r="C8735" s="44">
        <v>3030</v>
      </c>
      <c r="D8735" t="s">
        <v>293</v>
      </c>
      <c r="E8735" t="s">
        <v>9937</v>
      </c>
      <c r="F8735" t="s">
        <v>3824</v>
      </c>
    </row>
    <row r="8736" spans="1:6" ht="13.2">
      <c r="A8736" t="s">
        <v>9964</v>
      </c>
      <c r="B8736">
        <v>0</v>
      </c>
      <c r="C8736" s="44">
        <v>3030</v>
      </c>
      <c r="D8736" t="s">
        <v>293</v>
      </c>
      <c r="E8736" t="s">
        <v>9937</v>
      </c>
      <c r="F8736" t="s">
        <v>3824</v>
      </c>
    </row>
    <row r="8737" spans="1:6" ht="13.2">
      <c r="A8737" t="s">
        <v>9965</v>
      </c>
      <c r="B8737">
        <v>0</v>
      </c>
      <c r="C8737" s="44">
        <v>3030</v>
      </c>
      <c r="D8737" t="s">
        <v>293</v>
      </c>
      <c r="E8737" t="s">
        <v>9937</v>
      </c>
      <c r="F8737" t="s">
        <v>3824</v>
      </c>
    </row>
    <row r="8738" spans="1:6" ht="13.2">
      <c r="A8738" t="s">
        <v>9966</v>
      </c>
      <c r="B8738">
        <v>0</v>
      </c>
      <c r="C8738" s="44">
        <v>3030</v>
      </c>
      <c r="D8738" t="s">
        <v>293</v>
      </c>
      <c r="E8738" t="s">
        <v>9937</v>
      </c>
      <c r="F8738" t="s">
        <v>3824</v>
      </c>
    </row>
    <row r="8739" spans="1:6" ht="13.2">
      <c r="A8739" t="s">
        <v>9967</v>
      </c>
      <c r="B8739">
        <v>0</v>
      </c>
      <c r="C8739" s="44">
        <v>3030</v>
      </c>
      <c r="D8739" t="s">
        <v>293</v>
      </c>
      <c r="E8739" t="s">
        <v>9937</v>
      </c>
      <c r="F8739" t="s">
        <v>3824</v>
      </c>
    </row>
    <row r="8740" spans="1:6" ht="13.2">
      <c r="A8740" t="s">
        <v>9968</v>
      </c>
      <c r="B8740">
        <v>0</v>
      </c>
      <c r="C8740" s="44">
        <v>3030</v>
      </c>
      <c r="D8740" t="s">
        <v>293</v>
      </c>
      <c r="E8740" t="s">
        <v>9937</v>
      </c>
      <c r="F8740" t="s">
        <v>3824</v>
      </c>
    </row>
    <row r="8741" spans="1:6" ht="13.2">
      <c r="A8741" t="s">
        <v>9969</v>
      </c>
      <c r="B8741">
        <v>0</v>
      </c>
      <c r="C8741" s="44">
        <v>3030</v>
      </c>
      <c r="D8741" t="s">
        <v>293</v>
      </c>
      <c r="E8741" t="s">
        <v>9937</v>
      </c>
      <c r="F8741" t="s">
        <v>3824</v>
      </c>
    </row>
    <row r="8742" spans="1:6" ht="13.2">
      <c r="A8742" t="s">
        <v>9970</v>
      </c>
      <c r="B8742">
        <v>0</v>
      </c>
      <c r="C8742" s="44">
        <v>3030</v>
      </c>
      <c r="D8742" t="s">
        <v>293</v>
      </c>
      <c r="E8742" t="s">
        <v>9937</v>
      </c>
      <c r="F8742" t="s">
        <v>3824</v>
      </c>
    </row>
    <row r="8743" spans="1:6" ht="13.2">
      <c r="A8743" t="s">
        <v>9971</v>
      </c>
      <c r="B8743">
        <v>0</v>
      </c>
      <c r="C8743" s="44">
        <v>3030</v>
      </c>
      <c r="D8743" t="s">
        <v>293</v>
      </c>
      <c r="E8743" t="s">
        <v>9937</v>
      </c>
      <c r="F8743" t="s">
        <v>3824</v>
      </c>
    </row>
    <row r="8744" spans="1:6" ht="13.2">
      <c r="A8744" t="s">
        <v>9972</v>
      </c>
      <c r="B8744">
        <v>0</v>
      </c>
      <c r="C8744" s="44">
        <v>3030</v>
      </c>
      <c r="D8744" t="s">
        <v>293</v>
      </c>
      <c r="E8744" t="s">
        <v>9937</v>
      </c>
      <c r="F8744" t="s">
        <v>3824</v>
      </c>
    </row>
    <row r="8745" spans="1:6" ht="13.2">
      <c r="A8745" t="s">
        <v>9973</v>
      </c>
      <c r="B8745">
        <v>0</v>
      </c>
      <c r="C8745" s="44">
        <v>3030</v>
      </c>
      <c r="D8745" t="s">
        <v>293</v>
      </c>
      <c r="E8745" t="s">
        <v>9937</v>
      </c>
      <c r="F8745" t="s">
        <v>3824</v>
      </c>
    </row>
    <row r="8746" spans="1:6" ht="13.2">
      <c r="A8746" t="s">
        <v>9974</v>
      </c>
      <c r="B8746">
        <v>0</v>
      </c>
      <c r="C8746" s="44">
        <v>3030</v>
      </c>
      <c r="D8746" t="s">
        <v>293</v>
      </c>
      <c r="E8746" t="s">
        <v>9937</v>
      </c>
      <c r="F8746" t="s">
        <v>3824</v>
      </c>
    </row>
    <row r="8747" spans="1:6" ht="13.2">
      <c r="A8747" t="s">
        <v>9975</v>
      </c>
      <c r="B8747">
        <v>0</v>
      </c>
      <c r="C8747" s="44">
        <v>1380</v>
      </c>
      <c r="D8747" t="s">
        <v>291</v>
      </c>
      <c r="E8747" t="s">
        <v>9976</v>
      </c>
      <c r="F8747" t="s">
        <v>3824</v>
      </c>
    </row>
    <row r="8748" spans="1:6" ht="13.2">
      <c r="A8748" t="s">
        <v>9977</v>
      </c>
      <c r="B8748">
        <v>0</v>
      </c>
      <c r="C8748" s="44">
        <v>1380</v>
      </c>
      <c r="D8748" t="s">
        <v>291</v>
      </c>
      <c r="E8748" t="s">
        <v>9976</v>
      </c>
      <c r="F8748" t="s">
        <v>3824</v>
      </c>
    </row>
    <row r="8749" spans="1:6" ht="13.2">
      <c r="A8749" t="s">
        <v>9978</v>
      </c>
      <c r="B8749">
        <v>0</v>
      </c>
      <c r="C8749" s="44">
        <v>1380</v>
      </c>
      <c r="D8749" t="s">
        <v>291</v>
      </c>
      <c r="E8749" t="s">
        <v>9976</v>
      </c>
      <c r="F8749" t="s">
        <v>3824</v>
      </c>
    </row>
    <row r="8750" spans="1:6" ht="13.2">
      <c r="A8750" t="s">
        <v>9979</v>
      </c>
      <c r="B8750">
        <v>0</v>
      </c>
      <c r="C8750" s="44">
        <v>1380</v>
      </c>
      <c r="D8750" t="s">
        <v>291</v>
      </c>
      <c r="E8750" t="s">
        <v>9976</v>
      </c>
      <c r="F8750" t="s">
        <v>3824</v>
      </c>
    </row>
    <row r="8751" spans="1:6" ht="13.2">
      <c r="A8751" t="s">
        <v>9980</v>
      </c>
      <c r="B8751">
        <v>0</v>
      </c>
      <c r="C8751" s="44">
        <v>1380</v>
      </c>
      <c r="D8751" t="s">
        <v>291</v>
      </c>
      <c r="E8751" t="s">
        <v>9976</v>
      </c>
      <c r="F8751" t="s">
        <v>3824</v>
      </c>
    </row>
    <row r="8752" spans="1:6" ht="13.2">
      <c r="A8752" t="s">
        <v>9981</v>
      </c>
      <c r="B8752">
        <v>0</v>
      </c>
      <c r="C8752" s="44">
        <v>1380</v>
      </c>
      <c r="D8752" t="s">
        <v>291</v>
      </c>
      <c r="E8752" t="s">
        <v>9976</v>
      </c>
      <c r="F8752" t="s">
        <v>3824</v>
      </c>
    </row>
    <row r="8753" spans="1:6" ht="13.2">
      <c r="A8753" t="s">
        <v>9982</v>
      </c>
      <c r="B8753">
        <v>0</v>
      </c>
      <c r="C8753" s="44">
        <v>1380</v>
      </c>
      <c r="D8753" t="s">
        <v>291</v>
      </c>
      <c r="E8753" t="s">
        <v>9976</v>
      </c>
      <c r="F8753" t="s">
        <v>3824</v>
      </c>
    </row>
    <row r="8754" spans="1:6" ht="13.2">
      <c r="A8754" t="s">
        <v>9983</v>
      </c>
      <c r="B8754">
        <v>0</v>
      </c>
      <c r="C8754" s="44">
        <v>1380</v>
      </c>
      <c r="D8754" t="s">
        <v>291</v>
      </c>
      <c r="E8754" t="s">
        <v>9976</v>
      </c>
      <c r="F8754" t="s">
        <v>3824</v>
      </c>
    </row>
    <row r="8755" spans="1:6" ht="13.2">
      <c r="A8755" t="s">
        <v>9984</v>
      </c>
      <c r="B8755">
        <v>0</v>
      </c>
      <c r="C8755" s="44">
        <v>1380</v>
      </c>
      <c r="D8755" t="s">
        <v>291</v>
      </c>
      <c r="E8755" t="s">
        <v>9976</v>
      </c>
      <c r="F8755" t="s">
        <v>3824</v>
      </c>
    </row>
    <row r="8756" spans="1:6" ht="13.2">
      <c r="A8756" t="s">
        <v>9985</v>
      </c>
      <c r="B8756">
        <v>0</v>
      </c>
      <c r="C8756" s="44">
        <v>1380</v>
      </c>
      <c r="D8756" t="s">
        <v>291</v>
      </c>
      <c r="E8756" t="s">
        <v>9976</v>
      </c>
      <c r="F8756" t="s">
        <v>3824</v>
      </c>
    </row>
    <row r="8757" spans="1:6" ht="13.2">
      <c r="A8757" t="s">
        <v>9986</v>
      </c>
      <c r="B8757">
        <v>0</v>
      </c>
      <c r="C8757" s="44">
        <v>1380</v>
      </c>
      <c r="D8757" t="s">
        <v>291</v>
      </c>
      <c r="E8757" t="s">
        <v>9976</v>
      </c>
      <c r="F8757" t="s">
        <v>3824</v>
      </c>
    </row>
    <row r="8758" spans="1:6" ht="13.2">
      <c r="A8758" t="s">
        <v>9987</v>
      </c>
      <c r="B8758">
        <v>0</v>
      </c>
      <c r="C8758" s="44">
        <v>1380</v>
      </c>
      <c r="D8758" t="s">
        <v>291</v>
      </c>
      <c r="E8758" t="s">
        <v>9976</v>
      </c>
      <c r="F8758" t="s">
        <v>3824</v>
      </c>
    </row>
    <row r="8759" spans="1:6" ht="13.2">
      <c r="A8759" t="s">
        <v>9988</v>
      </c>
      <c r="B8759">
        <v>0</v>
      </c>
      <c r="C8759" s="44">
        <v>1380</v>
      </c>
      <c r="D8759" t="s">
        <v>291</v>
      </c>
      <c r="E8759" t="s">
        <v>9976</v>
      </c>
      <c r="F8759" t="s">
        <v>3824</v>
      </c>
    </row>
    <row r="8760" spans="1:6" ht="13.2">
      <c r="A8760" t="s">
        <v>9989</v>
      </c>
      <c r="B8760">
        <v>0</v>
      </c>
      <c r="C8760" s="44">
        <v>1380</v>
      </c>
      <c r="D8760" t="s">
        <v>291</v>
      </c>
      <c r="E8760" t="s">
        <v>9976</v>
      </c>
      <c r="F8760" t="s">
        <v>3824</v>
      </c>
    </row>
    <row r="8761" spans="1:6" ht="13.2">
      <c r="A8761" t="s">
        <v>9990</v>
      </c>
      <c r="B8761">
        <v>0</v>
      </c>
      <c r="C8761" s="44">
        <v>1380</v>
      </c>
      <c r="D8761" t="s">
        <v>291</v>
      </c>
      <c r="E8761" t="s">
        <v>9976</v>
      </c>
      <c r="F8761" t="s">
        <v>3824</v>
      </c>
    </row>
    <row r="8762" spans="1:6" ht="13.2">
      <c r="A8762" t="s">
        <v>9991</v>
      </c>
      <c r="B8762">
        <v>0</v>
      </c>
      <c r="C8762" s="44">
        <v>1380</v>
      </c>
      <c r="D8762" t="s">
        <v>291</v>
      </c>
      <c r="E8762" t="s">
        <v>9976</v>
      </c>
      <c r="F8762" t="s">
        <v>3824</v>
      </c>
    </row>
    <row r="8763" spans="1:6" ht="13.2">
      <c r="A8763" t="s">
        <v>9992</v>
      </c>
      <c r="B8763">
        <v>0</v>
      </c>
      <c r="C8763" s="44">
        <v>1380</v>
      </c>
      <c r="D8763" t="s">
        <v>291</v>
      </c>
      <c r="E8763" t="s">
        <v>9976</v>
      </c>
      <c r="F8763" t="s">
        <v>3824</v>
      </c>
    </row>
    <row r="8764" spans="1:6" ht="13.2">
      <c r="A8764" t="s">
        <v>9993</v>
      </c>
      <c r="B8764">
        <v>0</v>
      </c>
      <c r="C8764" s="44">
        <v>1380</v>
      </c>
      <c r="D8764" t="s">
        <v>291</v>
      </c>
      <c r="E8764" t="s">
        <v>9976</v>
      </c>
      <c r="F8764" t="s">
        <v>3824</v>
      </c>
    </row>
    <row r="8765" spans="1:6" ht="13.2">
      <c r="A8765" t="s">
        <v>9994</v>
      </c>
      <c r="B8765">
        <v>0</v>
      </c>
      <c r="C8765" s="44">
        <v>1380</v>
      </c>
      <c r="D8765" t="s">
        <v>291</v>
      </c>
      <c r="E8765" t="s">
        <v>9976</v>
      </c>
      <c r="F8765" t="s">
        <v>3824</v>
      </c>
    </row>
    <row r="8766" spans="1:6" ht="13.2">
      <c r="A8766" t="s">
        <v>9995</v>
      </c>
      <c r="B8766">
        <v>0</v>
      </c>
      <c r="C8766" s="44">
        <v>1380</v>
      </c>
      <c r="D8766" t="s">
        <v>291</v>
      </c>
      <c r="E8766" t="s">
        <v>9976</v>
      </c>
      <c r="F8766" t="s">
        <v>3824</v>
      </c>
    </row>
    <row r="8767" spans="1:6" ht="13.2">
      <c r="A8767" t="s">
        <v>9996</v>
      </c>
      <c r="B8767">
        <v>0</v>
      </c>
      <c r="C8767" s="44">
        <v>1380</v>
      </c>
      <c r="D8767" t="s">
        <v>291</v>
      </c>
      <c r="E8767" t="s">
        <v>9976</v>
      </c>
      <c r="F8767" t="s">
        <v>3824</v>
      </c>
    </row>
    <row r="8768" spans="1:6" ht="13.2">
      <c r="A8768" t="s">
        <v>9997</v>
      </c>
      <c r="B8768">
        <v>0</v>
      </c>
      <c r="C8768" s="44">
        <v>1380</v>
      </c>
      <c r="D8768" t="s">
        <v>291</v>
      </c>
      <c r="E8768" t="s">
        <v>9976</v>
      </c>
      <c r="F8768" t="s">
        <v>3824</v>
      </c>
    </row>
    <row r="8769" spans="1:6" ht="13.2">
      <c r="A8769" t="s">
        <v>9998</v>
      </c>
      <c r="B8769">
        <v>0</v>
      </c>
      <c r="C8769" s="44">
        <v>1380</v>
      </c>
      <c r="D8769" t="s">
        <v>291</v>
      </c>
      <c r="E8769" t="s">
        <v>9976</v>
      </c>
      <c r="F8769" t="s">
        <v>3824</v>
      </c>
    </row>
    <row r="8770" spans="1:6" ht="13.2">
      <c r="A8770" t="s">
        <v>9999</v>
      </c>
      <c r="B8770">
        <v>0</v>
      </c>
      <c r="C8770" s="44">
        <v>1380</v>
      </c>
      <c r="D8770" t="s">
        <v>291</v>
      </c>
      <c r="E8770" t="s">
        <v>9976</v>
      </c>
      <c r="F8770" t="s">
        <v>3824</v>
      </c>
    </row>
    <row r="8771" spans="1:6" ht="13.2">
      <c r="A8771" t="s">
        <v>10000</v>
      </c>
      <c r="B8771">
        <v>0</v>
      </c>
      <c r="C8771" s="44">
        <v>1380</v>
      </c>
      <c r="D8771" t="s">
        <v>291</v>
      </c>
      <c r="E8771" t="s">
        <v>9976</v>
      </c>
      <c r="F8771" t="s">
        <v>3824</v>
      </c>
    </row>
    <row r="8772" spans="1:6" ht="13.2">
      <c r="A8772" t="s">
        <v>10001</v>
      </c>
      <c r="B8772">
        <v>0</v>
      </c>
      <c r="C8772" s="44">
        <v>1380</v>
      </c>
      <c r="D8772" t="s">
        <v>291</v>
      </c>
      <c r="E8772" t="s">
        <v>9976</v>
      </c>
      <c r="F8772" t="s">
        <v>3824</v>
      </c>
    </row>
    <row r="8773" spans="1:6" ht="13.2">
      <c r="A8773" t="s">
        <v>10002</v>
      </c>
      <c r="B8773">
        <v>0</v>
      </c>
      <c r="C8773" s="44">
        <v>1380</v>
      </c>
      <c r="D8773" t="s">
        <v>291</v>
      </c>
      <c r="E8773" t="s">
        <v>9976</v>
      </c>
      <c r="F8773" t="s">
        <v>3824</v>
      </c>
    </row>
    <row r="8774" spans="1:6" ht="13.2">
      <c r="A8774" t="s">
        <v>10003</v>
      </c>
      <c r="B8774">
        <v>0</v>
      </c>
      <c r="C8774" s="44">
        <v>1380</v>
      </c>
      <c r="D8774" t="s">
        <v>291</v>
      </c>
      <c r="E8774" t="s">
        <v>9976</v>
      </c>
      <c r="F8774" t="s">
        <v>3824</v>
      </c>
    </row>
    <row r="8775" spans="1:6" ht="13.2">
      <c r="A8775" t="s">
        <v>10004</v>
      </c>
      <c r="B8775">
        <v>0</v>
      </c>
      <c r="C8775" s="44">
        <v>1380</v>
      </c>
      <c r="D8775" t="s">
        <v>291</v>
      </c>
      <c r="E8775" t="s">
        <v>9976</v>
      </c>
      <c r="F8775" t="s">
        <v>3824</v>
      </c>
    </row>
    <row r="8776" spans="1:6" ht="13.2">
      <c r="A8776" t="s">
        <v>10005</v>
      </c>
      <c r="B8776">
        <v>0</v>
      </c>
      <c r="C8776" s="44">
        <v>1380</v>
      </c>
      <c r="D8776" t="s">
        <v>291</v>
      </c>
      <c r="E8776" t="s">
        <v>9976</v>
      </c>
      <c r="F8776" t="s">
        <v>3824</v>
      </c>
    </row>
    <row r="8777" spans="1:5" ht="13.2">
      <c r="A8777" t="s">
        <v>10006</v>
      </c>
      <c r="B8777">
        <v>0</v>
      </c>
      <c r="C8777" s="44">
        <v>1400</v>
      </c>
      <c r="D8777" t="s">
        <v>291</v>
      </c>
      <c r="E8777" t="s">
        <v>10007</v>
      </c>
    </row>
    <row r="8778" spans="1:5" ht="13.2">
      <c r="A8778" t="s">
        <v>10008</v>
      </c>
      <c r="B8778">
        <v>0</v>
      </c>
      <c r="C8778" s="44">
        <v>1400</v>
      </c>
      <c r="D8778" t="s">
        <v>291</v>
      </c>
      <c r="E8778" t="s">
        <v>10007</v>
      </c>
    </row>
    <row r="8779" spans="1:5" ht="13.2">
      <c r="A8779" t="s">
        <v>10009</v>
      </c>
      <c r="B8779">
        <v>0</v>
      </c>
      <c r="C8779" s="44">
        <v>1400</v>
      </c>
      <c r="D8779" t="s">
        <v>291</v>
      </c>
      <c r="E8779" t="s">
        <v>10007</v>
      </c>
    </row>
    <row r="8780" spans="1:5" ht="13.2">
      <c r="A8780" t="s">
        <v>10010</v>
      </c>
      <c r="B8780">
        <v>0</v>
      </c>
      <c r="C8780" s="44">
        <v>1400</v>
      </c>
      <c r="D8780" t="s">
        <v>291</v>
      </c>
      <c r="E8780" t="s">
        <v>10007</v>
      </c>
    </row>
    <row r="8781" spans="1:5" ht="13.2">
      <c r="A8781" t="s">
        <v>10011</v>
      </c>
      <c r="B8781">
        <v>0</v>
      </c>
      <c r="C8781" s="44">
        <v>1400</v>
      </c>
      <c r="D8781" t="s">
        <v>291</v>
      </c>
      <c r="E8781" t="s">
        <v>10007</v>
      </c>
    </row>
    <row r="8782" spans="1:5" ht="13.2">
      <c r="A8782" t="s">
        <v>10012</v>
      </c>
      <c r="B8782">
        <v>0</v>
      </c>
      <c r="C8782" s="44">
        <v>1400</v>
      </c>
      <c r="D8782" t="s">
        <v>291</v>
      </c>
      <c r="E8782" t="s">
        <v>10007</v>
      </c>
    </row>
    <row r="8783" spans="1:5" ht="13.2">
      <c r="A8783" t="s">
        <v>10013</v>
      </c>
      <c r="B8783">
        <v>0</v>
      </c>
      <c r="C8783" s="44">
        <v>1400</v>
      </c>
      <c r="D8783" t="s">
        <v>291</v>
      </c>
      <c r="E8783" t="s">
        <v>10007</v>
      </c>
    </row>
    <row r="8784" spans="1:5" ht="13.2">
      <c r="A8784" t="s">
        <v>10014</v>
      </c>
      <c r="B8784">
        <v>0</v>
      </c>
      <c r="C8784" s="44">
        <v>1400</v>
      </c>
      <c r="D8784" t="s">
        <v>291</v>
      </c>
      <c r="E8784" t="s">
        <v>10007</v>
      </c>
    </row>
    <row r="8785" spans="1:5" ht="13.2">
      <c r="A8785" t="s">
        <v>10015</v>
      </c>
      <c r="B8785">
        <v>0</v>
      </c>
      <c r="C8785" s="44">
        <v>1400</v>
      </c>
      <c r="D8785" t="s">
        <v>291</v>
      </c>
      <c r="E8785" t="s">
        <v>10007</v>
      </c>
    </row>
    <row r="8786" spans="1:5" ht="13.2">
      <c r="A8786" t="s">
        <v>10016</v>
      </c>
      <c r="B8786">
        <v>0</v>
      </c>
      <c r="C8786" s="44">
        <v>1400</v>
      </c>
      <c r="D8786" t="s">
        <v>291</v>
      </c>
      <c r="E8786" t="s">
        <v>10007</v>
      </c>
    </row>
    <row r="8787" spans="1:5" ht="13.2">
      <c r="A8787" t="s">
        <v>10017</v>
      </c>
      <c r="B8787">
        <v>0</v>
      </c>
      <c r="C8787" s="44">
        <v>1400</v>
      </c>
      <c r="D8787" t="s">
        <v>291</v>
      </c>
      <c r="E8787" t="s">
        <v>10007</v>
      </c>
    </row>
    <row r="8788" spans="1:5" ht="13.2">
      <c r="A8788" t="s">
        <v>10018</v>
      </c>
      <c r="B8788">
        <v>0</v>
      </c>
      <c r="C8788" s="44">
        <v>1400</v>
      </c>
      <c r="D8788" t="s">
        <v>291</v>
      </c>
      <c r="E8788" t="s">
        <v>10007</v>
      </c>
    </row>
    <row r="8789" spans="1:5" ht="13.2">
      <c r="A8789" t="s">
        <v>10019</v>
      </c>
      <c r="B8789">
        <v>0</v>
      </c>
      <c r="C8789" s="44">
        <v>1400</v>
      </c>
      <c r="D8789" t="s">
        <v>291</v>
      </c>
      <c r="E8789" t="s">
        <v>10007</v>
      </c>
    </row>
    <row r="8790" spans="1:5" ht="13.2">
      <c r="A8790" t="s">
        <v>10020</v>
      </c>
      <c r="B8790">
        <v>0</v>
      </c>
      <c r="C8790" s="44">
        <v>1400</v>
      </c>
      <c r="D8790" t="s">
        <v>291</v>
      </c>
      <c r="E8790" t="s">
        <v>10007</v>
      </c>
    </row>
    <row r="8791" spans="1:5" ht="13.2">
      <c r="A8791" t="s">
        <v>10021</v>
      </c>
      <c r="B8791">
        <v>0</v>
      </c>
      <c r="C8791" s="44">
        <v>1400</v>
      </c>
      <c r="D8791" t="s">
        <v>291</v>
      </c>
      <c r="E8791" t="s">
        <v>10007</v>
      </c>
    </row>
    <row r="8792" spans="1:5" ht="13.2">
      <c r="A8792" t="s">
        <v>10022</v>
      </c>
      <c r="B8792">
        <v>0</v>
      </c>
      <c r="C8792" s="44">
        <v>1400</v>
      </c>
      <c r="D8792" t="s">
        <v>291</v>
      </c>
      <c r="E8792" t="s">
        <v>10007</v>
      </c>
    </row>
    <row r="8793" spans="1:5" ht="13.2">
      <c r="A8793" t="s">
        <v>10023</v>
      </c>
      <c r="B8793">
        <v>0</v>
      </c>
      <c r="C8793" s="44">
        <v>1400</v>
      </c>
      <c r="D8793" t="s">
        <v>291</v>
      </c>
      <c r="E8793" t="s">
        <v>10007</v>
      </c>
    </row>
    <row r="8794" spans="1:5" ht="13.2">
      <c r="A8794" t="s">
        <v>10024</v>
      </c>
      <c r="B8794">
        <v>0</v>
      </c>
      <c r="C8794" s="44">
        <v>1400</v>
      </c>
      <c r="D8794" t="s">
        <v>291</v>
      </c>
      <c r="E8794" t="s">
        <v>10007</v>
      </c>
    </row>
    <row r="8795" spans="1:5" ht="13.2">
      <c r="A8795" t="s">
        <v>10025</v>
      </c>
      <c r="B8795">
        <v>0</v>
      </c>
      <c r="C8795" s="44">
        <v>1400</v>
      </c>
      <c r="D8795" t="s">
        <v>291</v>
      </c>
      <c r="E8795" t="s">
        <v>10007</v>
      </c>
    </row>
    <row r="8796" spans="1:5" ht="13.2">
      <c r="A8796" t="s">
        <v>10026</v>
      </c>
      <c r="B8796">
        <v>0</v>
      </c>
      <c r="C8796" s="44">
        <v>1400</v>
      </c>
      <c r="D8796" t="s">
        <v>291</v>
      </c>
      <c r="E8796" t="s">
        <v>10007</v>
      </c>
    </row>
    <row r="8797" spans="1:5" ht="13.2">
      <c r="A8797" t="s">
        <v>10027</v>
      </c>
      <c r="B8797">
        <v>0</v>
      </c>
      <c r="C8797" s="44">
        <v>1400</v>
      </c>
      <c r="D8797" t="s">
        <v>291</v>
      </c>
      <c r="E8797" t="s">
        <v>10007</v>
      </c>
    </row>
    <row r="8798" spans="1:5" ht="13.2">
      <c r="A8798" t="s">
        <v>10028</v>
      </c>
      <c r="B8798">
        <v>0</v>
      </c>
      <c r="C8798" s="44">
        <v>1400</v>
      </c>
      <c r="D8798" t="s">
        <v>291</v>
      </c>
      <c r="E8798" t="s">
        <v>10007</v>
      </c>
    </row>
    <row r="8799" spans="1:5" ht="13.2">
      <c r="A8799" t="s">
        <v>10029</v>
      </c>
      <c r="B8799">
        <v>0</v>
      </c>
      <c r="C8799" s="44">
        <v>1400</v>
      </c>
      <c r="D8799" t="s">
        <v>291</v>
      </c>
      <c r="E8799" t="s">
        <v>10007</v>
      </c>
    </row>
    <row r="8800" spans="1:5" ht="13.2">
      <c r="A8800" t="s">
        <v>10030</v>
      </c>
      <c r="B8800">
        <v>0</v>
      </c>
      <c r="C8800" s="44">
        <v>1400</v>
      </c>
      <c r="D8800" t="s">
        <v>291</v>
      </c>
      <c r="E8800" t="s">
        <v>10007</v>
      </c>
    </row>
    <row r="8801" spans="1:5" ht="13.2">
      <c r="A8801" t="s">
        <v>10031</v>
      </c>
      <c r="B8801">
        <v>0</v>
      </c>
      <c r="C8801" s="44">
        <v>1400</v>
      </c>
      <c r="D8801" t="s">
        <v>291</v>
      </c>
      <c r="E8801" t="s">
        <v>10007</v>
      </c>
    </row>
    <row r="8802" spans="1:5" ht="13.2">
      <c r="A8802" t="s">
        <v>10032</v>
      </c>
      <c r="B8802">
        <v>0</v>
      </c>
      <c r="C8802" s="44">
        <v>1400</v>
      </c>
      <c r="D8802" t="s">
        <v>291</v>
      </c>
      <c r="E8802" t="s">
        <v>10007</v>
      </c>
    </row>
    <row r="8803" spans="1:5" ht="13.2">
      <c r="A8803" t="s">
        <v>10033</v>
      </c>
      <c r="B8803">
        <v>0</v>
      </c>
      <c r="C8803" s="44">
        <v>1400</v>
      </c>
      <c r="D8803" t="s">
        <v>291</v>
      </c>
      <c r="E8803" t="s">
        <v>10007</v>
      </c>
    </row>
    <row r="8804" spans="1:5" ht="13.2">
      <c r="A8804" t="s">
        <v>10034</v>
      </c>
      <c r="B8804">
        <v>0</v>
      </c>
      <c r="C8804" s="44">
        <v>1400</v>
      </c>
      <c r="D8804" t="s">
        <v>291</v>
      </c>
      <c r="E8804" t="s">
        <v>10007</v>
      </c>
    </row>
    <row r="8805" spans="1:6" ht="13.2">
      <c r="A8805" t="s">
        <v>10035</v>
      </c>
      <c r="B8805">
        <v>0</v>
      </c>
      <c r="C8805" s="44">
        <v>3070</v>
      </c>
      <c r="D8805" t="s">
        <v>293</v>
      </c>
      <c r="E8805" t="s">
        <v>10036</v>
      </c>
      <c r="F8805" t="s">
        <v>3824</v>
      </c>
    </row>
    <row r="8806" spans="1:6" ht="13.2">
      <c r="A8806" t="s">
        <v>10037</v>
      </c>
      <c r="B8806">
        <v>0</v>
      </c>
      <c r="C8806" s="44">
        <v>3070</v>
      </c>
      <c r="D8806" t="s">
        <v>293</v>
      </c>
      <c r="E8806" t="s">
        <v>10036</v>
      </c>
      <c r="F8806" t="s">
        <v>3824</v>
      </c>
    </row>
    <row r="8807" spans="1:6" ht="13.2">
      <c r="A8807" t="s">
        <v>10038</v>
      </c>
      <c r="B8807">
        <v>0</v>
      </c>
      <c r="C8807" s="44">
        <v>3070</v>
      </c>
      <c r="D8807" t="s">
        <v>293</v>
      </c>
      <c r="E8807" t="s">
        <v>10036</v>
      </c>
      <c r="F8807" t="s">
        <v>3824</v>
      </c>
    </row>
    <row r="8808" spans="1:6" ht="13.2">
      <c r="A8808" t="s">
        <v>10039</v>
      </c>
      <c r="B8808">
        <v>0</v>
      </c>
      <c r="C8808" s="44">
        <v>3070</v>
      </c>
      <c r="D8808" t="s">
        <v>293</v>
      </c>
      <c r="E8808" t="s">
        <v>10036</v>
      </c>
      <c r="F8808" t="s">
        <v>3824</v>
      </c>
    </row>
    <row r="8809" spans="1:6" ht="13.2">
      <c r="A8809" t="s">
        <v>10040</v>
      </c>
      <c r="B8809">
        <v>0</v>
      </c>
      <c r="C8809" s="44">
        <v>3070</v>
      </c>
      <c r="D8809" t="s">
        <v>293</v>
      </c>
      <c r="E8809" t="s">
        <v>10036</v>
      </c>
      <c r="F8809" t="s">
        <v>3824</v>
      </c>
    </row>
    <row r="8810" spans="1:6" ht="13.2">
      <c r="A8810" t="s">
        <v>10041</v>
      </c>
      <c r="B8810">
        <v>0</v>
      </c>
      <c r="C8810" s="44">
        <v>3070</v>
      </c>
      <c r="D8810" t="s">
        <v>293</v>
      </c>
      <c r="E8810" t="s">
        <v>10036</v>
      </c>
      <c r="F8810" t="s">
        <v>3824</v>
      </c>
    </row>
    <row r="8811" spans="1:6" ht="13.2">
      <c r="A8811" t="s">
        <v>10042</v>
      </c>
      <c r="B8811">
        <v>0</v>
      </c>
      <c r="C8811" s="44">
        <v>3070</v>
      </c>
      <c r="D8811" t="s">
        <v>293</v>
      </c>
      <c r="E8811" t="s">
        <v>10036</v>
      </c>
      <c r="F8811" t="s">
        <v>3824</v>
      </c>
    </row>
    <row r="8812" spans="1:6" ht="13.2">
      <c r="A8812" t="s">
        <v>10043</v>
      </c>
      <c r="B8812">
        <v>0</v>
      </c>
      <c r="C8812" s="44">
        <v>3070</v>
      </c>
      <c r="D8812" t="s">
        <v>293</v>
      </c>
      <c r="E8812" t="s">
        <v>10036</v>
      </c>
      <c r="F8812" t="s">
        <v>3824</v>
      </c>
    </row>
    <row r="8813" spans="1:6" ht="13.2">
      <c r="A8813" t="s">
        <v>10044</v>
      </c>
      <c r="B8813">
        <v>0</v>
      </c>
      <c r="C8813" s="44">
        <v>3070</v>
      </c>
      <c r="D8813" t="s">
        <v>293</v>
      </c>
      <c r="E8813" t="s">
        <v>10036</v>
      </c>
      <c r="F8813" t="s">
        <v>3824</v>
      </c>
    </row>
    <row r="8814" spans="1:6" ht="13.2">
      <c r="A8814" t="s">
        <v>10045</v>
      </c>
      <c r="B8814">
        <v>0</v>
      </c>
      <c r="C8814" s="44">
        <v>3070</v>
      </c>
      <c r="D8814" t="s">
        <v>293</v>
      </c>
      <c r="E8814" t="s">
        <v>10036</v>
      </c>
      <c r="F8814" t="s">
        <v>3824</v>
      </c>
    </row>
    <row r="8815" spans="1:6" ht="13.2">
      <c r="A8815" t="s">
        <v>10046</v>
      </c>
      <c r="B8815">
        <v>0</v>
      </c>
      <c r="C8815" s="44">
        <v>3070</v>
      </c>
      <c r="D8815" t="s">
        <v>293</v>
      </c>
      <c r="E8815" t="s">
        <v>10036</v>
      </c>
      <c r="F8815" t="s">
        <v>3824</v>
      </c>
    </row>
    <row r="8816" spans="1:6" ht="13.2">
      <c r="A8816" t="s">
        <v>10047</v>
      </c>
      <c r="B8816">
        <v>0</v>
      </c>
      <c r="C8816" s="44">
        <v>3070</v>
      </c>
      <c r="D8816" t="s">
        <v>293</v>
      </c>
      <c r="E8816" t="s">
        <v>10036</v>
      </c>
      <c r="F8816" t="s">
        <v>3824</v>
      </c>
    </row>
    <row r="8817" spans="1:6" ht="13.2">
      <c r="A8817" t="s">
        <v>10048</v>
      </c>
      <c r="B8817">
        <v>0</v>
      </c>
      <c r="C8817" s="44">
        <v>3070</v>
      </c>
      <c r="D8817" t="s">
        <v>293</v>
      </c>
      <c r="E8817" t="s">
        <v>10036</v>
      </c>
      <c r="F8817" t="s">
        <v>3824</v>
      </c>
    </row>
    <row r="8818" spans="1:6" ht="13.2">
      <c r="A8818" t="s">
        <v>10049</v>
      </c>
      <c r="B8818">
        <v>0</v>
      </c>
      <c r="C8818" s="44">
        <v>3070</v>
      </c>
      <c r="D8818" t="s">
        <v>293</v>
      </c>
      <c r="E8818" t="s">
        <v>10036</v>
      </c>
      <c r="F8818" t="s">
        <v>3824</v>
      </c>
    </row>
    <row r="8819" spans="1:6" ht="13.2">
      <c r="A8819" t="s">
        <v>10050</v>
      </c>
      <c r="B8819">
        <v>0</v>
      </c>
      <c r="C8819" s="44">
        <v>3070</v>
      </c>
      <c r="D8819" t="s">
        <v>293</v>
      </c>
      <c r="E8819" t="s">
        <v>10036</v>
      </c>
      <c r="F8819" t="s">
        <v>3824</v>
      </c>
    </row>
    <row r="8820" spans="1:6" ht="13.2">
      <c r="A8820" t="s">
        <v>10051</v>
      </c>
      <c r="B8820">
        <v>0</v>
      </c>
      <c r="C8820" s="44">
        <v>3070</v>
      </c>
      <c r="D8820" t="s">
        <v>293</v>
      </c>
      <c r="E8820" t="s">
        <v>10036</v>
      </c>
      <c r="F8820" t="s">
        <v>3824</v>
      </c>
    </row>
    <row r="8821" spans="1:6" ht="13.2">
      <c r="A8821" t="s">
        <v>10052</v>
      </c>
      <c r="B8821">
        <v>0</v>
      </c>
      <c r="C8821" s="44">
        <v>3070</v>
      </c>
      <c r="D8821" t="s">
        <v>293</v>
      </c>
      <c r="E8821" t="s">
        <v>10036</v>
      </c>
      <c r="F8821" t="s">
        <v>3824</v>
      </c>
    </row>
    <row r="8822" spans="1:6" ht="13.2">
      <c r="A8822" t="s">
        <v>10053</v>
      </c>
      <c r="B8822">
        <v>0</v>
      </c>
      <c r="C8822" s="44">
        <v>3070</v>
      </c>
      <c r="D8822" t="s">
        <v>293</v>
      </c>
      <c r="E8822" t="s">
        <v>10036</v>
      </c>
      <c r="F8822" t="s">
        <v>3824</v>
      </c>
    </row>
    <row r="8823" spans="1:6" ht="13.2">
      <c r="A8823" t="s">
        <v>10054</v>
      </c>
      <c r="B8823">
        <v>0</v>
      </c>
      <c r="C8823" s="44">
        <v>3070</v>
      </c>
      <c r="D8823" t="s">
        <v>293</v>
      </c>
      <c r="E8823" t="s">
        <v>10036</v>
      </c>
      <c r="F8823" t="s">
        <v>3824</v>
      </c>
    </row>
    <row r="8824" spans="1:6" ht="13.2">
      <c r="A8824" t="s">
        <v>10055</v>
      </c>
      <c r="B8824">
        <v>0</v>
      </c>
      <c r="C8824" s="44">
        <v>3070</v>
      </c>
      <c r="D8824" t="s">
        <v>293</v>
      </c>
      <c r="E8824" t="s">
        <v>10036</v>
      </c>
      <c r="F8824" t="s">
        <v>3824</v>
      </c>
    </row>
    <row r="8825" spans="1:6" ht="13.2">
      <c r="A8825" t="s">
        <v>10056</v>
      </c>
      <c r="B8825">
        <v>0</v>
      </c>
      <c r="C8825" s="44">
        <v>3070</v>
      </c>
      <c r="D8825" t="s">
        <v>293</v>
      </c>
      <c r="E8825" t="s">
        <v>10036</v>
      </c>
      <c r="F8825" t="s">
        <v>3824</v>
      </c>
    </row>
    <row r="8826" spans="1:6" ht="13.2">
      <c r="A8826" t="s">
        <v>10057</v>
      </c>
      <c r="B8826">
        <v>0</v>
      </c>
      <c r="C8826" s="44">
        <v>3070</v>
      </c>
      <c r="D8826" t="s">
        <v>293</v>
      </c>
      <c r="E8826" t="s">
        <v>10036</v>
      </c>
      <c r="F8826" t="s">
        <v>3824</v>
      </c>
    </row>
    <row r="8827" spans="1:6" ht="13.2">
      <c r="A8827" t="s">
        <v>10058</v>
      </c>
      <c r="B8827">
        <v>0</v>
      </c>
      <c r="C8827" s="44">
        <v>3070</v>
      </c>
      <c r="D8827" t="s">
        <v>293</v>
      </c>
      <c r="E8827" t="s">
        <v>10036</v>
      </c>
      <c r="F8827" t="s">
        <v>3824</v>
      </c>
    </row>
    <row r="8828" spans="1:6" ht="13.2">
      <c r="A8828" t="s">
        <v>10059</v>
      </c>
      <c r="B8828">
        <v>0</v>
      </c>
      <c r="C8828" s="44">
        <v>3070</v>
      </c>
      <c r="D8828" t="s">
        <v>293</v>
      </c>
      <c r="E8828" t="s">
        <v>10036</v>
      </c>
      <c r="F8828" t="s">
        <v>3824</v>
      </c>
    </row>
    <row r="8829" spans="1:6" ht="13.2">
      <c r="A8829" t="s">
        <v>10060</v>
      </c>
      <c r="B8829">
        <v>0</v>
      </c>
      <c r="C8829" s="44">
        <v>3070</v>
      </c>
      <c r="D8829" t="s">
        <v>293</v>
      </c>
      <c r="E8829" t="s">
        <v>10036</v>
      </c>
      <c r="F8829" t="s">
        <v>3824</v>
      </c>
    </row>
    <row r="8830" spans="1:6" ht="13.2">
      <c r="A8830" t="s">
        <v>10061</v>
      </c>
      <c r="B8830">
        <v>0</v>
      </c>
      <c r="C8830" s="44">
        <v>1420</v>
      </c>
      <c r="D8830" t="s">
        <v>291</v>
      </c>
      <c r="E8830" t="s">
        <v>10062</v>
      </c>
      <c r="F8830" t="s">
        <v>3824</v>
      </c>
    </row>
    <row r="8831" spans="1:6" ht="13.2">
      <c r="A8831" t="s">
        <v>10063</v>
      </c>
      <c r="B8831">
        <v>0</v>
      </c>
      <c r="C8831" s="44">
        <v>1420</v>
      </c>
      <c r="D8831" t="s">
        <v>291</v>
      </c>
      <c r="E8831" t="s">
        <v>10062</v>
      </c>
      <c r="F8831" t="s">
        <v>3824</v>
      </c>
    </row>
    <row r="8832" spans="1:6" ht="13.2">
      <c r="A8832" t="s">
        <v>10064</v>
      </c>
      <c r="B8832">
        <v>0</v>
      </c>
      <c r="C8832" s="44">
        <v>1420</v>
      </c>
      <c r="D8832" t="s">
        <v>291</v>
      </c>
      <c r="E8832" t="s">
        <v>10062</v>
      </c>
      <c r="F8832" t="s">
        <v>3824</v>
      </c>
    </row>
    <row r="8833" spans="1:6" ht="13.2">
      <c r="A8833" t="s">
        <v>10065</v>
      </c>
      <c r="B8833">
        <v>0</v>
      </c>
      <c r="C8833" s="44">
        <v>1420</v>
      </c>
      <c r="D8833" t="s">
        <v>291</v>
      </c>
      <c r="E8833" t="s">
        <v>10062</v>
      </c>
      <c r="F8833" t="s">
        <v>3824</v>
      </c>
    </row>
    <row r="8834" spans="1:6" ht="13.2">
      <c r="A8834" t="s">
        <v>10066</v>
      </c>
      <c r="B8834">
        <v>0</v>
      </c>
      <c r="C8834" s="44">
        <v>1420</v>
      </c>
      <c r="D8834" t="s">
        <v>291</v>
      </c>
      <c r="E8834" t="s">
        <v>10062</v>
      </c>
      <c r="F8834" t="s">
        <v>3824</v>
      </c>
    </row>
    <row r="8835" spans="1:6" ht="13.2">
      <c r="A8835" t="s">
        <v>10067</v>
      </c>
      <c r="B8835">
        <v>0</v>
      </c>
      <c r="C8835" s="44">
        <v>1420</v>
      </c>
      <c r="D8835" t="s">
        <v>291</v>
      </c>
      <c r="E8835" t="s">
        <v>10062</v>
      </c>
      <c r="F8835" t="s">
        <v>3824</v>
      </c>
    </row>
    <row r="8836" spans="1:6" ht="13.2">
      <c r="A8836" t="s">
        <v>10068</v>
      </c>
      <c r="B8836">
        <v>0</v>
      </c>
      <c r="C8836" s="44">
        <v>1420</v>
      </c>
      <c r="D8836" t="s">
        <v>291</v>
      </c>
      <c r="E8836" t="s">
        <v>10062</v>
      </c>
      <c r="F8836" t="s">
        <v>3824</v>
      </c>
    </row>
    <row r="8837" spans="1:6" ht="13.2">
      <c r="A8837" t="s">
        <v>10069</v>
      </c>
      <c r="B8837">
        <v>0</v>
      </c>
      <c r="C8837" s="44">
        <v>1420</v>
      </c>
      <c r="D8837" t="s">
        <v>291</v>
      </c>
      <c r="E8837" t="s">
        <v>10062</v>
      </c>
      <c r="F8837" t="s">
        <v>3824</v>
      </c>
    </row>
    <row r="8838" spans="1:6" ht="13.2">
      <c r="A8838" t="s">
        <v>10070</v>
      </c>
      <c r="B8838">
        <v>0</v>
      </c>
      <c r="C8838" s="44">
        <v>1420</v>
      </c>
      <c r="D8838" t="s">
        <v>291</v>
      </c>
      <c r="E8838" t="s">
        <v>10062</v>
      </c>
      <c r="F8838" t="s">
        <v>3824</v>
      </c>
    </row>
    <row r="8839" spans="1:6" ht="13.2">
      <c r="A8839" t="s">
        <v>10071</v>
      </c>
      <c r="B8839">
        <v>0</v>
      </c>
      <c r="C8839" s="44">
        <v>1420</v>
      </c>
      <c r="D8839" t="s">
        <v>291</v>
      </c>
      <c r="E8839" t="s">
        <v>10062</v>
      </c>
      <c r="F8839" t="s">
        <v>3824</v>
      </c>
    </row>
    <row r="8840" spans="1:6" ht="13.2">
      <c r="A8840" t="s">
        <v>10072</v>
      </c>
      <c r="B8840">
        <v>0</v>
      </c>
      <c r="C8840" s="44">
        <v>1420</v>
      </c>
      <c r="D8840" t="s">
        <v>291</v>
      </c>
      <c r="E8840" t="s">
        <v>10062</v>
      </c>
      <c r="F8840" t="s">
        <v>3824</v>
      </c>
    </row>
    <row r="8841" spans="1:6" ht="13.2">
      <c r="A8841" t="s">
        <v>10073</v>
      </c>
      <c r="B8841">
        <v>0</v>
      </c>
      <c r="C8841" s="44">
        <v>1420</v>
      </c>
      <c r="D8841" t="s">
        <v>291</v>
      </c>
      <c r="E8841" t="s">
        <v>10062</v>
      </c>
      <c r="F8841" t="s">
        <v>3824</v>
      </c>
    </row>
    <row r="8842" spans="1:6" ht="13.2">
      <c r="A8842" t="s">
        <v>10074</v>
      </c>
      <c r="B8842">
        <v>0</v>
      </c>
      <c r="C8842" s="44">
        <v>1420</v>
      </c>
      <c r="D8842" t="s">
        <v>291</v>
      </c>
      <c r="E8842" t="s">
        <v>10062</v>
      </c>
      <c r="F8842" t="s">
        <v>3824</v>
      </c>
    </row>
    <row r="8843" spans="1:6" ht="13.2">
      <c r="A8843" t="s">
        <v>10075</v>
      </c>
      <c r="B8843">
        <v>0</v>
      </c>
      <c r="C8843" s="44">
        <v>1420</v>
      </c>
      <c r="D8843" t="s">
        <v>291</v>
      </c>
      <c r="E8843" t="s">
        <v>10062</v>
      </c>
      <c r="F8843" t="s">
        <v>3824</v>
      </c>
    </row>
    <row r="8844" spans="1:6" ht="13.2">
      <c r="A8844" t="s">
        <v>10076</v>
      </c>
      <c r="B8844">
        <v>0</v>
      </c>
      <c r="C8844" s="44">
        <v>1420</v>
      </c>
      <c r="D8844" t="s">
        <v>291</v>
      </c>
      <c r="E8844" t="s">
        <v>10062</v>
      </c>
      <c r="F8844" t="s">
        <v>3824</v>
      </c>
    </row>
    <row r="8845" spans="1:6" ht="13.2">
      <c r="A8845" t="s">
        <v>10077</v>
      </c>
      <c r="B8845">
        <v>0</v>
      </c>
      <c r="C8845" s="44">
        <v>1420</v>
      </c>
      <c r="D8845" t="s">
        <v>291</v>
      </c>
      <c r="E8845" t="s">
        <v>10062</v>
      </c>
      <c r="F8845" t="s">
        <v>3824</v>
      </c>
    </row>
    <row r="8846" spans="1:6" ht="13.2">
      <c r="A8846" t="s">
        <v>10078</v>
      </c>
      <c r="B8846">
        <v>0</v>
      </c>
      <c r="C8846" s="44">
        <v>1420</v>
      </c>
      <c r="D8846" t="s">
        <v>291</v>
      </c>
      <c r="E8846" t="s">
        <v>10062</v>
      </c>
      <c r="F8846" t="s">
        <v>3824</v>
      </c>
    </row>
    <row r="8847" spans="1:6" ht="13.2">
      <c r="A8847" t="s">
        <v>10079</v>
      </c>
      <c r="B8847">
        <v>0</v>
      </c>
      <c r="C8847" s="44">
        <v>1420</v>
      </c>
      <c r="D8847" t="s">
        <v>291</v>
      </c>
      <c r="E8847" t="s">
        <v>10062</v>
      </c>
      <c r="F8847" t="s">
        <v>3824</v>
      </c>
    </row>
    <row r="8848" spans="1:6" ht="13.2">
      <c r="A8848" t="s">
        <v>10080</v>
      </c>
      <c r="B8848">
        <v>0</v>
      </c>
      <c r="C8848" s="44">
        <v>1420</v>
      </c>
      <c r="D8848" t="s">
        <v>291</v>
      </c>
      <c r="E8848" t="s">
        <v>10062</v>
      </c>
      <c r="F8848" t="s">
        <v>3824</v>
      </c>
    </row>
    <row r="8849" spans="1:6" ht="13.2">
      <c r="A8849" t="s">
        <v>12111</v>
      </c>
      <c r="B8849">
        <v>0</v>
      </c>
      <c r="C8849" s="44">
        <v>1420</v>
      </c>
      <c r="D8849" t="s">
        <v>291</v>
      </c>
      <c r="E8849" t="s">
        <v>10062</v>
      </c>
      <c r="F8849" t="s">
        <v>3824</v>
      </c>
    </row>
    <row r="8850" spans="1:6" ht="13.2">
      <c r="A8850" t="s">
        <v>12110</v>
      </c>
      <c r="B8850">
        <v>0</v>
      </c>
      <c r="C8850" s="44">
        <v>1420</v>
      </c>
      <c r="D8850" t="s">
        <v>291</v>
      </c>
      <c r="E8850" t="s">
        <v>10062</v>
      </c>
      <c r="F8850" t="s">
        <v>3824</v>
      </c>
    </row>
    <row r="8851" spans="1:6" ht="13.2">
      <c r="A8851" t="s">
        <v>10081</v>
      </c>
      <c r="B8851">
        <v>0</v>
      </c>
      <c r="C8851" s="44">
        <v>1420</v>
      </c>
      <c r="D8851" t="s">
        <v>291</v>
      </c>
      <c r="E8851" t="s">
        <v>10062</v>
      </c>
      <c r="F8851" t="s">
        <v>3824</v>
      </c>
    </row>
    <row r="8852" spans="1:6" ht="13.2">
      <c r="A8852" t="s">
        <v>10082</v>
      </c>
      <c r="B8852">
        <v>0</v>
      </c>
      <c r="C8852" s="44">
        <v>1420</v>
      </c>
      <c r="D8852" t="s">
        <v>291</v>
      </c>
      <c r="E8852" t="s">
        <v>10062</v>
      </c>
      <c r="F8852" t="s">
        <v>3824</v>
      </c>
    </row>
    <row r="8853" spans="1:6" ht="13.2">
      <c r="A8853" t="s">
        <v>10083</v>
      </c>
      <c r="B8853">
        <v>0</v>
      </c>
      <c r="C8853" s="44">
        <v>1420</v>
      </c>
      <c r="D8853" t="s">
        <v>291</v>
      </c>
      <c r="E8853" t="s">
        <v>10062</v>
      </c>
      <c r="F8853" t="s">
        <v>3824</v>
      </c>
    </row>
    <row r="8854" spans="1:6" ht="13.2">
      <c r="A8854" t="s">
        <v>10084</v>
      </c>
      <c r="B8854">
        <v>0</v>
      </c>
      <c r="C8854" s="44">
        <v>1420</v>
      </c>
      <c r="D8854" t="s">
        <v>291</v>
      </c>
      <c r="E8854" t="s">
        <v>10062</v>
      </c>
      <c r="F8854" t="s">
        <v>3824</v>
      </c>
    </row>
    <row r="8855" spans="1:6" ht="13.2">
      <c r="A8855" t="s">
        <v>10085</v>
      </c>
      <c r="B8855">
        <v>0</v>
      </c>
      <c r="C8855" s="44">
        <v>1420</v>
      </c>
      <c r="D8855" t="s">
        <v>291</v>
      </c>
      <c r="E8855" t="s">
        <v>10062</v>
      </c>
      <c r="F8855" t="s">
        <v>3824</v>
      </c>
    </row>
    <row r="8856" spans="1:6" ht="13.2">
      <c r="A8856" t="s">
        <v>10086</v>
      </c>
      <c r="B8856">
        <v>0</v>
      </c>
      <c r="C8856" s="44">
        <v>1420</v>
      </c>
      <c r="D8856" t="s">
        <v>291</v>
      </c>
      <c r="E8856" t="s">
        <v>10062</v>
      </c>
      <c r="F8856" t="s">
        <v>3824</v>
      </c>
    </row>
    <row r="8857" spans="1:6" ht="13.2">
      <c r="A8857" t="s">
        <v>10087</v>
      </c>
      <c r="B8857">
        <v>0</v>
      </c>
      <c r="C8857" s="44">
        <v>1420</v>
      </c>
      <c r="D8857" t="s">
        <v>291</v>
      </c>
      <c r="E8857" t="s">
        <v>10062</v>
      </c>
      <c r="F8857" t="s">
        <v>3824</v>
      </c>
    </row>
    <row r="8858" spans="1:6" ht="13.2">
      <c r="A8858" t="s">
        <v>10088</v>
      </c>
      <c r="B8858">
        <v>0</v>
      </c>
      <c r="C8858" s="44">
        <v>1420</v>
      </c>
      <c r="D8858" t="s">
        <v>291</v>
      </c>
      <c r="E8858" t="s">
        <v>10062</v>
      </c>
      <c r="F8858" t="s">
        <v>3824</v>
      </c>
    </row>
    <row r="8859" spans="1:6" ht="13.2">
      <c r="A8859" t="s">
        <v>10089</v>
      </c>
      <c r="B8859">
        <v>0</v>
      </c>
      <c r="C8859" s="44">
        <v>1420</v>
      </c>
      <c r="D8859" t="s">
        <v>291</v>
      </c>
      <c r="E8859" t="s">
        <v>10062</v>
      </c>
      <c r="F8859" t="s">
        <v>3824</v>
      </c>
    </row>
    <row r="8860" spans="1:6" ht="13.2">
      <c r="A8860" t="s">
        <v>10090</v>
      </c>
      <c r="B8860">
        <v>0</v>
      </c>
      <c r="C8860" s="44">
        <v>1420</v>
      </c>
      <c r="D8860" t="s">
        <v>291</v>
      </c>
      <c r="E8860" t="s">
        <v>10062</v>
      </c>
      <c r="F8860" t="s">
        <v>3824</v>
      </c>
    </row>
    <row r="8861" spans="1:6" ht="13.2">
      <c r="A8861" t="s">
        <v>10091</v>
      </c>
      <c r="B8861">
        <v>0</v>
      </c>
      <c r="C8861" s="44">
        <v>1420</v>
      </c>
      <c r="D8861" t="s">
        <v>291</v>
      </c>
      <c r="E8861" t="s">
        <v>10062</v>
      </c>
      <c r="F8861" t="s">
        <v>3824</v>
      </c>
    </row>
    <row r="8862" spans="1:6" ht="13.2">
      <c r="A8862" t="s">
        <v>10092</v>
      </c>
      <c r="B8862">
        <v>0</v>
      </c>
      <c r="C8862" s="44">
        <v>1420</v>
      </c>
      <c r="D8862" t="s">
        <v>291</v>
      </c>
      <c r="E8862" t="s">
        <v>10062</v>
      </c>
      <c r="F8862" t="s">
        <v>3824</v>
      </c>
    </row>
    <row r="8863" spans="1:6" ht="13.2">
      <c r="A8863" t="s">
        <v>10093</v>
      </c>
      <c r="B8863">
        <v>0</v>
      </c>
      <c r="C8863" s="44">
        <v>1420</v>
      </c>
      <c r="D8863" t="s">
        <v>291</v>
      </c>
      <c r="E8863" t="s">
        <v>10062</v>
      </c>
      <c r="F8863" t="s">
        <v>3824</v>
      </c>
    </row>
    <row r="8864" spans="1:6" ht="13.2">
      <c r="A8864" t="s">
        <v>10094</v>
      </c>
      <c r="B8864">
        <v>0</v>
      </c>
      <c r="C8864" s="44">
        <v>1420</v>
      </c>
      <c r="D8864" t="s">
        <v>291</v>
      </c>
      <c r="E8864" t="s">
        <v>10062</v>
      </c>
      <c r="F8864" t="s">
        <v>3824</v>
      </c>
    </row>
    <row r="8865" spans="1:6" ht="13.2">
      <c r="A8865" t="s">
        <v>10095</v>
      </c>
      <c r="B8865">
        <v>0</v>
      </c>
      <c r="C8865" s="44">
        <v>1420</v>
      </c>
      <c r="D8865" t="s">
        <v>291</v>
      </c>
      <c r="E8865" t="s">
        <v>10062</v>
      </c>
      <c r="F8865" t="s">
        <v>3824</v>
      </c>
    </row>
    <row r="8866" spans="1:6" ht="13.2">
      <c r="A8866" t="s">
        <v>10096</v>
      </c>
      <c r="B8866">
        <v>0</v>
      </c>
      <c r="C8866" s="44" t="s">
        <v>201</v>
      </c>
      <c r="D8866" t="s">
        <v>293</v>
      </c>
      <c r="E8866" t="s">
        <v>10097</v>
      </c>
      <c r="F8866" t="s">
        <v>7563</v>
      </c>
    </row>
    <row r="8867" spans="1:6" ht="13.2">
      <c r="A8867" t="s">
        <v>10098</v>
      </c>
      <c r="B8867">
        <v>0</v>
      </c>
      <c r="C8867" s="44" t="s">
        <v>201</v>
      </c>
      <c r="D8867" t="s">
        <v>293</v>
      </c>
      <c r="E8867" t="s">
        <v>10097</v>
      </c>
      <c r="F8867" t="s">
        <v>7563</v>
      </c>
    </row>
    <row r="8868" spans="1:6" ht="13.2">
      <c r="A8868" t="s">
        <v>10099</v>
      </c>
      <c r="B8868">
        <v>0</v>
      </c>
      <c r="C8868" s="44" t="s">
        <v>201</v>
      </c>
      <c r="D8868" t="s">
        <v>293</v>
      </c>
      <c r="E8868" t="s">
        <v>10097</v>
      </c>
      <c r="F8868" t="s">
        <v>7563</v>
      </c>
    </row>
    <row r="8869" spans="1:6" ht="13.2">
      <c r="A8869" t="s">
        <v>10100</v>
      </c>
      <c r="B8869">
        <v>0</v>
      </c>
      <c r="C8869" s="44" t="s">
        <v>201</v>
      </c>
      <c r="D8869" t="s">
        <v>293</v>
      </c>
      <c r="E8869" t="s">
        <v>10097</v>
      </c>
      <c r="F8869" t="s">
        <v>7563</v>
      </c>
    </row>
    <row r="8870" spans="1:6" ht="13.2">
      <c r="A8870" t="s">
        <v>10101</v>
      </c>
      <c r="B8870">
        <v>0</v>
      </c>
      <c r="C8870" s="44" t="s">
        <v>201</v>
      </c>
      <c r="D8870" t="s">
        <v>293</v>
      </c>
      <c r="E8870" t="s">
        <v>10097</v>
      </c>
      <c r="F8870" t="s">
        <v>7563</v>
      </c>
    </row>
    <row r="8871" spans="1:6" ht="13.2">
      <c r="A8871" t="s">
        <v>10102</v>
      </c>
      <c r="B8871">
        <v>0</v>
      </c>
      <c r="C8871" s="44" t="s">
        <v>201</v>
      </c>
      <c r="D8871" t="s">
        <v>293</v>
      </c>
      <c r="E8871" t="s">
        <v>10097</v>
      </c>
      <c r="F8871" t="s">
        <v>7563</v>
      </c>
    </row>
    <row r="8872" spans="1:6" ht="13.2">
      <c r="A8872" t="s">
        <v>10103</v>
      </c>
      <c r="B8872">
        <v>0</v>
      </c>
      <c r="C8872" s="44" t="s">
        <v>201</v>
      </c>
      <c r="D8872" t="s">
        <v>293</v>
      </c>
      <c r="E8872" t="s">
        <v>10097</v>
      </c>
      <c r="F8872" t="s">
        <v>7563</v>
      </c>
    </row>
    <row r="8873" spans="1:6" ht="13.2">
      <c r="A8873" t="s">
        <v>10104</v>
      </c>
      <c r="B8873">
        <v>0</v>
      </c>
      <c r="C8873" s="44" t="s">
        <v>201</v>
      </c>
      <c r="D8873" t="s">
        <v>293</v>
      </c>
      <c r="E8873" t="s">
        <v>10097</v>
      </c>
      <c r="F8873" t="s">
        <v>7563</v>
      </c>
    </row>
    <row r="8874" spans="1:6" ht="13.2">
      <c r="A8874" t="s">
        <v>10105</v>
      </c>
      <c r="B8874">
        <v>0</v>
      </c>
      <c r="C8874" s="44" t="s">
        <v>201</v>
      </c>
      <c r="D8874" t="s">
        <v>293</v>
      </c>
      <c r="E8874" t="s">
        <v>10097</v>
      </c>
      <c r="F8874" t="s">
        <v>7563</v>
      </c>
    </row>
    <row r="8875" spans="1:6" ht="13.2">
      <c r="A8875" t="s">
        <v>10106</v>
      </c>
      <c r="B8875">
        <v>0</v>
      </c>
      <c r="C8875" s="44" t="s">
        <v>201</v>
      </c>
      <c r="D8875" t="s">
        <v>293</v>
      </c>
      <c r="E8875" t="s">
        <v>10097</v>
      </c>
      <c r="F8875" t="s">
        <v>7563</v>
      </c>
    </row>
    <row r="8876" spans="1:6" ht="13.2">
      <c r="A8876" t="s">
        <v>10107</v>
      </c>
      <c r="B8876">
        <v>0</v>
      </c>
      <c r="C8876" s="44" t="s">
        <v>201</v>
      </c>
      <c r="D8876" t="s">
        <v>293</v>
      </c>
      <c r="E8876" t="s">
        <v>10097</v>
      </c>
      <c r="F8876" t="s">
        <v>7563</v>
      </c>
    </row>
    <row r="8877" spans="1:6" ht="13.2">
      <c r="A8877" t="s">
        <v>10108</v>
      </c>
      <c r="B8877">
        <v>0</v>
      </c>
      <c r="C8877" s="44" t="s">
        <v>201</v>
      </c>
      <c r="D8877" t="s">
        <v>293</v>
      </c>
      <c r="E8877" t="s">
        <v>10097</v>
      </c>
      <c r="F8877" t="s">
        <v>7563</v>
      </c>
    </row>
    <row r="8878" spans="1:6" ht="13.2">
      <c r="A8878" t="s">
        <v>10109</v>
      </c>
      <c r="B8878">
        <v>0</v>
      </c>
      <c r="C8878" s="44" t="s">
        <v>201</v>
      </c>
      <c r="D8878" t="s">
        <v>293</v>
      </c>
      <c r="E8878" t="s">
        <v>10097</v>
      </c>
      <c r="F8878" t="s">
        <v>7563</v>
      </c>
    </row>
    <row r="8879" spans="1:6" ht="13.2">
      <c r="A8879" t="s">
        <v>10110</v>
      </c>
      <c r="B8879">
        <v>230</v>
      </c>
      <c r="C8879" s="44">
        <v>1340</v>
      </c>
      <c r="D8879" t="s">
        <v>291</v>
      </c>
      <c r="E8879" t="s">
        <v>10111</v>
      </c>
      <c r="F8879" t="s">
        <v>3824</v>
      </c>
    </row>
    <row r="8880" spans="1:6" ht="13.2">
      <c r="A8880" t="s">
        <v>10112</v>
      </c>
      <c r="B8880">
        <v>230</v>
      </c>
      <c r="C8880" s="44">
        <v>1340</v>
      </c>
      <c r="D8880" t="s">
        <v>291</v>
      </c>
      <c r="E8880" t="s">
        <v>10111</v>
      </c>
      <c r="F8880" t="s">
        <v>3824</v>
      </c>
    </row>
    <row r="8881" spans="1:6" ht="13.2">
      <c r="A8881" t="s">
        <v>10113</v>
      </c>
      <c r="B8881">
        <v>230</v>
      </c>
      <c r="C8881" s="44">
        <v>1340</v>
      </c>
      <c r="D8881" t="s">
        <v>291</v>
      </c>
      <c r="E8881" t="s">
        <v>10111</v>
      </c>
      <c r="F8881" t="s">
        <v>3824</v>
      </c>
    </row>
    <row r="8882" spans="1:6" ht="13.2">
      <c r="A8882" t="s">
        <v>10114</v>
      </c>
      <c r="B8882">
        <v>230</v>
      </c>
      <c r="C8882" s="44">
        <v>1340</v>
      </c>
      <c r="D8882" t="s">
        <v>291</v>
      </c>
      <c r="E8882" t="s">
        <v>10111</v>
      </c>
      <c r="F8882" t="s">
        <v>3824</v>
      </c>
    </row>
    <row r="8883" spans="1:6" ht="13.2">
      <c r="A8883" t="s">
        <v>10115</v>
      </c>
      <c r="B8883">
        <v>230</v>
      </c>
      <c r="C8883" s="44">
        <v>1340</v>
      </c>
      <c r="D8883" t="s">
        <v>291</v>
      </c>
      <c r="E8883" t="s">
        <v>10111</v>
      </c>
      <c r="F8883" t="s">
        <v>3824</v>
      </c>
    </row>
    <row r="8884" spans="1:6" ht="13.2">
      <c r="A8884" t="s">
        <v>10116</v>
      </c>
      <c r="B8884">
        <v>230</v>
      </c>
      <c r="C8884" s="44">
        <v>1340</v>
      </c>
      <c r="D8884" t="s">
        <v>291</v>
      </c>
      <c r="E8884" t="s">
        <v>10111</v>
      </c>
      <c r="F8884" t="s">
        <v>3824</v>
      </c>
    </row>
    <row r="8885" spans="1:6" ht="13.2">
      <c r="A8885" t="s">
        <v>10118</v>
      </c>
      <c r="B8885">
        <v>0</v>
      </c>
      <c r="C8885" s="44" t="s">
        <v>201</v>
      </c>
      <c r="D8885" t="s">
        <v>293</v>
      </c>
      <c r="E8885" t="s">
        <v>7674</v>
      </c>
      <c r="F8885" t="s">
        <v>3824</v>
      </c>
    </row>
    <row r="8886" spans="1:6" ht="13.2">
      <c r="A8886" t="s">
        <v>10119</v>
      </c>
      <c r="B8886">
        <v>0</v>
      </c>
      <c r="C8886" s="44" t="s">
        <v>201</v>
      </c>
      <c r="D8886" t="s">
        <v>293</v>
      </c>
      <c r="E8886" t="s">
        <v>7674</v>
      </c>
      <c r="F8886" t="s">
        <v>3824</v>
      </c>
    </row>
    <row r="8887" spans="1:6" ht="13.2">
      <c r="A8887" t="s">
        <v>10120</v>
      </c>
      <c r="B8887">
        <v>0</v>
      </c>
      <c r="C8887" s="44" t="s">
        <v>201</v>
      </c>
      <c r="D8887" t="s">
        <v>293</v>
      </c>
      <c r="E8887" t="s">
        <v>7674</v>
      </c>
      <c r="F8887" t="s">
        <v>3824</v>
      </c>
    </row>
    <row r="8888" spans="1:6" ht="13.2">
      <c r="A8888" t="s">
        <v>10121</v>
      </c>
      <c r="B8888">
        <v>0</v>
      </c>
      <c r="C8888" s="44" t="s">
        <v>201</v>
      </c>
      <c r="D8888" t="s">
        <v>293</v>
      </c>
      <c r="E8888" t="s">
        <v>7674</v>
      </c>
      <c r="F8888" t="s">
        <v>3824</v>
      </c>
    </row>
    <row r="8889" spans="1:6" ht="13.2">
      <c r="A8889" t="s">
        <v>10122</v>
      </c>
      <c r="B8889">
        <v>0</v>
      </c>
      <c r="C8889" s="44" t="s">
        <v>201</v>
      </c>
      <c r="D8889" t="s">
        <v>293</v>
      </c>
      <c r="E8889" t="s">
        <v>7674</v>
      </c>
      <c r="F8889" t="s">
        <v>3824</v>
      </c>
    </row>
    <row r="8890" spans="1:6" ht="13.2">
      <c r="A8890" t="s">
        <v>10123</v>
      </c>
      <c r="B8890">
        <v>0</v>
      </c>
      <c r="C8890" s="44" t="s">
        <v>201</v>
      </c>
      <c r="D8890" t="s">
        <v>293</v>
      </c>
      <c r="E8890" t="s">
        <v>7674</v>
      </c>
      <c r="F8890" t="s">
        <v>3824</v>
      </c>
    </row>
    <row r="8891" spans="1:6" ht="13.2">
      <c r="A8891" t="s">
        <v>10124</v>
      </c>
      <c r="B8891">
        <v>0</v>
      </c>
      <c r="C8891" s="44" t="s">
        <v>201</v>
      </c>
      <c r="D8891" t="s">
        <v>293</v>
      </c>
      <c r="E8891" t="s">
        <v>7674</v>
      </c>
      <c r="F8891" t="s">
        <v>3824</v>
      </c>
    </row>
    <row r="8892" spans="1:6" ht="13.2">
      <c r="A8892" t="s">
        <v>10125</v>
      </c>
      <c r="B8892">
        <v>0</v>
      </c>
      <c r="C8892" s="44" t="s">
        <v>201</v>
      </c>
      <c r="D8892" t="s">
        <v>293</v>
      </c>
      <c r="E8892" t="s">
        <v>7674</v>
      </c>
      <c r="F8892" t="s">
        <v>3824</v>
      </c>
    </row>
    <row r="8893" spans="1:6" ht="13.2">
      <c r="A8893" t="s">
        <v>10126</v>
      </c>
      <c r="B8893">
        <v>0</v>
      </c>
      <c r="C8893" s="44" t="s">
        <v>201</v>
      </c>
      <c r="D8893" t="s">
        <v>293</v>
      </c>
      <c r="E8893" t="s">
        <v>7674</v>
      </c>
      <c r="F8893" t="s">
        <v>3824</v>
      </c>
    </row>
    <row r="8894" spans="1:6" ht="13.2">
      <c r="A8894" t="s">
        <v>10127</v>
      </c>
      <c r="B8894">
        <v>0</v>
      </c>
      <c r="C8894" s="44" t="s">
        <v>201</v>
      </c>
      <c r="D8894" t="s">
        <v>293</v>
      </c>
      <c r="E8894" t="s">
        <v>7674</v>
      </c>
      <c r="F8894" t="s">
        <v>3824</v>
      </c>
    </row>
    <row r="8895" spans="1:6" ht="13.2">
      <c r="A8895" t="s">
        <v>10128</v>
      </c>
      <c r="B8895">
        <v>0</v>
      </c>
      <c r="C8895" s="44" t="s">
        <v>201</v>
      </c>
      <c r="D8895" t="s">
        <v>293</v>
      </c>
      <c r="E8895" t="s">
        <v>7674</v>
      </c>
      <c r="F8895" t="s">
        <v>3824</v>
      </c>
    </row>
    <row r="8896" spans="1:6" ht="13.2">
      <c r="A8896" t="s">
        <v>10129</v>
      </c>
      <c r="B8896">
        <v>0</v>
      </c>
      <c r="C8896" s="44" t="s">
        <v>201</v>
      </c>
      <c r="D8896" t="s">
        <v>293</v>
      </c>
      <c r="E8896" t="s">
        <v>7674</v>
      </c>
      <c r="F8896" t="s">
        <v>3824</v>
      </c>
    </row>
    <row r="8897" spans="1:6" ht="13.2">
      <c r="A8897" t="s">
        <v>10130</v>
      </c>
      <c r="B8897">
        <v>0</v>
      </c>
      <c r="C8897" s="44" t="s">
        <v>201</v>
      </c>
      <c r="D8897" t="s">
        <v>293</v>
      </c>
      <c r="E8897" t="s">
        <v>7674</v>
      </c>
      <c r="F8897" t="s">
        <v>3824</v>
      </c>
    </row>
    <row r="8898" spans="1:6" ht="13.2">
      <c r="A8898" t="s">
        <v>10131</v>
      </c>
      <c r="B8898">
        <v>0</v>
      </c>
      <c r="C8898" s="44" t="s">
        <v>201</v>
      </c>
      <c r="D8898" t="s">
        <v>293</v>
      </c>
      <c r="E8898" t="s">
        <v>7674</v>
      </c>
      <c r="F8898" t="s">
        <v>3824</v>
      </c>
    </row>
    <row r="8899" spans="1:6" ht="13.2">
      <c r="A8899" t="s">
        <v>10132</v>
      </c>
      <c r="B8899">
        <v>0</v>
      </c>
      <c r="C8899" s="44" t="s">
        <v>201</v>
      </c>
      <c r="D8899" t="s">
        <v>293</v>
      </c>
      <c r="E8899" t="s">
        <v>7674</v>
      </c>
      <c r="F8899" t="s">
        <v>3824</v>
      </c>
    </row>
    <row r="8900" spans="1:6" ht="13.2">
      <c r="A8900" t="s">
        <v>6238</v>
      </c>
      <c r="B8900">
        <v>0</v>
      </c>
      <c r="C8900" s="44" t="s">
        <v>201</v>
      </c>
      <c r="D8900" t="s">
        <v>293</v>
      </c>
      <c r="E8900" t="s">
        <v>6239</v>
      </c>
      <c r="F8900" t="s">
        <v>3824</v>
      </c>
    </row>
    <row r="8901" spans="1:6" ht="13.2">
      <c r="A8901" t="s">
        <v>6240</v>
      </c>
      <c r="B8901">
        <v>0</v>
      </c>
      <c r="C8901" s="44" t="s">
        <v>201</v>
      </c>
      <c r="D8901" t="s">
        <v>293</v>
      </c>
      <c r="E8901" t="s">
        <v>6239</v>
      </c>
      <c r="F8901" t="s">
        <v>3824</v>
      </c>
    </row>
    <row r="8902" spans="1:6" ht="13.2">
      <c r="A8902" t="s">
        <v>6241</v>
      </c>
      <c r="B8902">
        <v>0</v>
      </c>
      <c r="C8902" s="44" t="s">
        <v>201</v>
      </c>
      <c r="D8902" t="s">
        <v>293</v>
      </c>
      <c r="E8902" t="s">
        <v>6239</v>
      </c>
      <c r="F8902" t="s">
        <v>3824</v>
      </c>
    </row>
    <row r="8903" spans="1:6" ht="13.2">
      <c r="A8903" t="s">
        <v>6242</v>
      </c>
      <c r="B8903">
        <v>0</v>
      </c>
      <c r="C8903" s="44" t="s">
        <v>201</v>
      </c>
      <c r="D8903" t="s">
        <v>293</v>
      </c>
      <c r="E8903" t="s">
        <v>6239</v>
      </c>
      <c r="F8903" t="s">
        <v>3824</v>
      </c>
    </row>
    <row r="8904" spans="1:6" ht="13.2">
      <c r="A8904" t="s">
        <v>10133</v>
      </c>
      <c r="B8904">
        <v>0</v>
      </c>
      <c r="C8904" s="44" t="s">
        <v>201</v>
      </c>
      <c r="D8904" t="s">
        <v>293</v>
      </c>
      <c r="E8904" t="s">
        <v>6239</v>
      </c>
      <c r="F8904" t="s">
        <v>3824</v>
      </c>
    </row>
    <row r="8905" spans="1:6" ht="13.2">
      <c r="A8905" t="s">
        <v>6244</v>
      </c>
      <c r="B8905">
        <v>0</v>
      </c>
      <c r="C8905" s="44" t="s">
        <v>201</v>
      </c>
      <c r="D8905" t="s">
        <v>293</v>
      </c>
      <c r="E8905" t="s">
        <v>6239</v>
      </c>
      <c r="F8905" t="s">
        <v>3824</v>
      </c>
    </row>
    <row r="8906" spans="1:6" ht="13.2">
      <c r="A8906" t="s">
        <v>6245</v>
      </c>
      <c r="B8906">
        <v>0</v>
      </c>
      <c r="C8906" s="44" t="s">
        <v>201</v>
      </c>
      <c r="D8906" t="s">
        <v>293</v>
      </c>
      <c r="E8906" t="s">
        <v>6239</v>
      </c>
      <c r="F8906" t="s">
        <v>3824</v>
      </c>
    </row>
    <row r="8907" spans="1:6" ht="13.2">
      <c r="A8907" t="s">
        <v>8286</v>
      </c>
      <c r="B8907">
        <v>0</v>
      </c>
      <c r="C8907" s="44" t="s">
        <v>201</v>
      </c>
      <c r="D8907" t="s">
        <v>293</v>
      </c>
      <c r="E8907" t="s">
        <v>6239</v>
      </c>
      <c r="F8907" t="s">
        <v>3824</v>
      </c>
    </row>
    <row r="8908" spans="1:6" ht="13.2">
      <c r="A8908" t="s">
        <v>6246</v>
      </c>
      <c r="B8908">
        <v>0</v>
      </c>
      <c r="C8908" s="44" t="s">
        <v>201</v>
      </c>
      <c r="D8908" t="s">
        <v>293</v>
      </c>
      <c r="E8908" t="s">
        <v>6239</v>
      </c>
      <c r="F8908" t="s">
        <v>3824</v>
      </c>
    </row>
    <row r="8909" spans="1:6" ht="13.2">
      <c r="A8909" t="s">
        <v>6247</v>
      </c>
      <c r="B8909">
        <v>0</v>
      </c>
      <c r="C8909" s="44" t="s">
        <v>201</v>
      </c>
      <c r="D8909" t="s">
        <v>293</v>
      </c>
      <c r="E8909" t="s">
        <v>6239</v>
      </c>
      <c r="F8909" t="s">
        <v>3824</v>
      </c>
    </row>
    <row r="8910" spans="1:6" ht="13.2">
      <c r="A8910" t="s">
        <v>6248</v>
      </c>
      <c r="B8910">
        <v>0</v>
      </c>
      <c r="C8910" s="44" t="s">
        <v>201</v>
      </c>
      <c r="D8910" t="s">
        <v>293</v>
      </c>
      <c r="E8910" t="s">
        <v>6239</v>
      </c>
      <c r="F8910" t="s">
        <v>3824</v>
      </c>
    </row>
    <row r="8911" spans="1:6" ht="13.2">
      <c r="A8911" t="s">
        <v>4091</v>
      </c>
      <c r="B8911">
        <v>0</v>
      </c>
      <c r="C8911" s="44" t="s">
        <v>4092</v>
      </c>
      <c r="D8911" t="s">
        <v>293</v>
      </c>
      <c r="E8911" t="s">
        <v>10134</v>
      </c>
      <c r="F8911" t="s">
        <v>10135</v>
      </c>
    </row>
    <row r="8912" spans="1:6" ht="13.2">
      <c r="A8912" t="s">
        <v>4093</v>
      </c>
      <c r="B8912">
        <v>0</v>
      </c>
      <c r="C8912" s="44" t="s">
        <v>4092</v>
      </c>
      <c r="D8912" t="s">
        <v>293</v>
      </c>
      <c r="E8912" t="s">
        <v>10134</v>
      </c>
      <c r="F8912" t="s">
        <v>10135</v>
      </c>
    </row>
    <row r="8913" spans="1:6" ht="13.2">
      <c r="A8913" t="s">
        <v>4094</v>
      </c>
      <c r="B8913">
        <v>0</v>
      </c>
      <c r="C8913" s="44" t="s">
        <v>4092</v>
      </c>
      <c r="D8913" t="s">
        <v>293</v>
      </c>
      <c r="E8913" t="s">
        <v>10134</v>
      </c>
      <c r="F8913" t="s">
        <v>10135</v>
      </c>
    </row>
    <row r="8914" spans="1:6" ht="13.2">
      <c r="A8914" t="s">
        <v>4095</v>
      </c>
      <c r="B8914">
        <v>0</v>
      </c>
      <c r="C8914" s="44" t="s">
        <v>4092</v>
      </c>
      <c r="D8914" t="s">
        <v>293</v>
      </c>
      <c r="E8914" t="s">
        <v>10134</v>
      </c>
      <c r="F8914" t="s">
        <v>10135</v>
      </c>
    </row>
    <row r="8915" spans="1:6" ht="13.2">
      <c r="A8915" t="s">
        <v>4096</v>
      </c>
      <c r="B8915">
        <v>0</v>
      </c>
      <c r="C8915" s="44" t="s">
        <v>4092</v>
      </c>
      <c r="D8915" t="s">
        <v>293</v>
      </c>
      <c r="E8915" t="s">
        <v>10134</v>
      </c>
      <c r="F8915" t="s">
        <v>10135</v>
      </c>
    </row>
    <row r="8916" spans="1:6" ht="13.2">
      <c r="A8916" t="s">
        <v>10136</v>
      </c>
      <c r="B8916">
        <v>0</v>
      </c>
      <c r="C8916" s="44" t="s">
        <v>4092</v>
      </c>
      <c r="D8916" t="s">
        <v>293</v>
      </c>
      <c r="E8916" t="s">
        <v>10134</v>
      </c>
      <c r="F8916" t="s">
        <v>10135</v>
      </c>
    </row>
    <row r="8917" spans="1:6" ht="13.2">
      <c r="A8917" t="s">
        <v>4098</v>
      </c>
      <c r="B8917">
        <v>0</v>
      </c>
      <c r="C8917" s="44" t="s">
        <v>4092</v>
      </c>
      <c r="D8917" t="s">
        <v>293</v>
      </c>
      <c r="E8917" t="s">
        <v>10134</v>
      </c>
      <c r="F8917" t="s">
        <v>10135</v>
      </c>
    </row>
    <row r="8918" spans="1:6" ht="13.2">
      <c r="A8918" t="s">
        <v>4099</v>
      </c>
      <c r="B8918">
        <v>0</v>
      </c>
      <c r="C8918" s="44" t="s">
        <v>4092</v>
      </c>
      <c r="D8918" t="s">
        <v>293</v>
      </c>
      <c r="E8918" t="s">
        <v>10134</v>
      </c>
      <c r="F8918" t="s">
        <v>10135</v>
      </c>
    </row>
    <row r="8919" spans="1:6" ht="13.2">
      <c r="A8919" t="s">
        <v>10137</v>
      </c>
      <c r="B8919">
        <v>0</v>
      </c>
      <c r="C8919" s="44" t="s">
        <v>4092</v>
      </c>
      <c r="D8919" t="s">
        <v>293</v>
      </c>
      <c r="E8919" t="s">
        <v>10134</v>
      </c>
      <c r="F8919" t="s">
        <v>10135</v>
      </c>
    </row>
    <row r="8920" spans="1:6" ht="13.2">
      <c r="A8920" t="s">
        <v>4101</v>
      </c>
      <c r="B8920">
        <v>0</v>
      </c>
      <c r="C8920" s="44" t="s">
        <v>4092</v>
      </c>
      <c r="D8920" t="s">
        <v>293</v>
      </c>
      <c r="E8920" t="s">
        <v>10134</v>
      </c>
      <c r="F8920" t="s">
        <v>10135</v>
      </c>
    </row>
    <row r="8921" spans="1:6" ht="13.2">
      <c r="A8921" t="s">
        <v>4102</v>
      </c>
      <c r="B8921">
        <v>0</v>
      </c>
      <c r="C8921" s="44" t="s">
        <v>4092</v>
      </c>
      <c r="D8921" t="s">
        <v>293</v>
      </c>
      <c r="E8921" t="s">
        <v>10134</v>
      </c>
      <c r="F8921" t="s">
        <v>10135</v>
      </c>
    </row>
    <row r="8922" spans="1:6" ht="13.2">
      <c r="A8922" t="s">
        <v>4103</v>
      </c>
      <c r="B8922">
        <v>0</v>
      </c>
      <c r="C8922" s="44" t="s">
        <v>4092</v>
      </c>
      <c r="D8922" t="s">
        <v>293</v>
      </c>
      <c r="E8922" t="s">
        <v>10134</v>
      </c>
      <c r="F8922" t="s">
        <v>10135</v>
      </c>
    </row>
    <row r="8923" spans="1:6" ht="13.2">
      <c r="A8923" t="s">
        <v>4104</v>
      </c>
      <c r="B8923">
        <v>0</v>
      </c>
      <c r="C8923" s="44" t="s">
        <v>4092</v>
      </c>
      <c r="D8923" t="s">
        <v>293</v>
      </c>
      <c r="E8923" t="s">
        <v>10134</v>
      </c>
      <c r="F8923" t="s">
        <v>10135</v>
      </c>
    </row>
    <row r="8924" spans="1:6" ht="13.2">
      <c r="A8924" t="s">
        <v>4105</v>
      </c>
      <c r="B8924">
        <v>0</v>
      </c>
      <c r="C8924" s="44" t="s">
        <v>4092</v>
      </c>
      <c r="D8924" t="s">
        <v>293</v>
      </c>
      <c r="E8924" t="s">
        <v>10134</v>
      </c>
      <c r="F8924" t="s">
        <v>10135</v>
      </c>
    </row>
    <row r="8925" spans="1:6" ht="13.2">
      <c r="A8925" t="s">
        <v>4106</v>
      </c>
      <c r="B8925">
        <v>0</v>
      </c>
      <c r="C8925" s="44" t="s">
        <v>4092</v>
      </c>
      <c r="D8925" t="s">
        <v>293</v>
      </c>
      <c r="E8925" t="s">
        <v>10134</v>
      </c>
      <c r="F8925" t="s">
        <v>10135</v>
      </c>
    </row>
    <row r="8926" spans="1:6" ht="13.2">
      <c r="A8926" t="s">
        <v>4107</v>
      </c>
      <c r="B8926">
        <v>0</v>
      </c>
      <c r="C8926" s="44" t="s">
        <v>4092</v>
      </c>
      <c r="D8926" t="s">
        <v>293</v>
      </c>
      <c r="E8926" t="s">
        <v>10134</v>
      </c>
      <c r="F8926" t="s">
        <v>10135</v>
      </c>
    </row>
    <row r="8927" spans="1:6" ht="13.2">
      <c r="A8927" t="s">
        <v>4108</v>
      </c>
      <c r="B8927">
        <v>0</v>
      </c>
      <c r="C8927" s="44" t="s">
        <v>4092</v>
      </c>
      <c r="D8927" t="s">
        <v>293</v>
      </c>
      <c r="E8927" t="s">
        <v>10134</v>
      </c>
      <c r="F8927" t="s">
        <v>10135</v>
      </c>
    </row>
    <row r="8928" spans="1:6" ht="13.2">
      <c r="A8928" t="s">
        <v>4109</v>
      </c>
      <c r="B8928">
        <v>0</v>
      </c>
      <c r="C8928" s="44" t="s">
        <v>4092</v>
      </c>
      <c r="D8928" t="s">
        <v>293</v>
      </c>
      <c r="E8928" t="s">
        <v>10134</v>
      </c>
      <c r="F8928" t="s">
        <v>10135</v>
      </c>
    </row>
    <row r="8929" spans="1:6" ht="13.2">
      <c r="A8929" t="s">
        <v>10138</v>
      </c>
      <c r="B8929">
        <v>0</v>
      </c>
      <c r="C8929" s="44" t="s">
        <v>204</v>
      </c>
      <c r="D8929" t="s">
        <v>293</v>
      </c>
      <c r="E8929" t="s">
        <v>10139</v>
      </c>
      <c r="F8929">
        <v>3</v>
      </c>
    </row>
    <row r="8930" spans="1:6" ht="13.2">
      <c r="A8930" t="s">
        <v>10140</v>
      </c>
      <c r="B8930">
        <v>0</v>
      </c>
      <c r="C8930" s="44" t="s">
        <v>204</v>
      </c>
      <c r="D8930" t="s">
        <v>293</v>
      </c>
      <c r="E8930" t="s">
        <v>10139</v>
      </c>
      <c r="F8930">
        <v>3</v>
      </c>
    </row>
    <row r="8931" spans="1:6" ht="13.2">
      <c r="A8931" t="s">
        <v>10141</v>
      </c>
      <c r="B8931">
        <v>0</v>
      </c>
      <c r="C8931" s="44" t="s">
        <v>204</v>
      </c>
      <c r="D8931" t="s">
        <v>293</v>
      </c>
      <c r="E8931" t="s">
        <v>10139</v>
      </c>
      <c r="F8931">
        <v>3</v>
      </c>
    </row>
    <row r="8932" spans="1:6" ht="13.2">
      <c r="A8932" t="s">
        <v>10142</v>
      </c>
      <c r="B8932">
        <v>0</v>
      </c>
      <c r="C8932" s="44" t="s">
        <v>204</v>
      </c>
      <c r="D8932" t="s">
        <v>293</v>
      </c>
      <c r="E8932" t="s">
        <v>10139</v>
      </c>
      <c r="F8932">
        <v>3</v>
      </c>
    </row>
    <row r="8933" spans="1:6" ht="13.2">
      <c r="A8933" t="s">
        <v>10143</v>
      </c>
      <c r="B8933">
        <v>0</v>
      </c>
      <c r="C8933" s="44" t="s">
        <v>204</v>
      </c>
      <c r="D8933" t="s">
        <v>293</v>
      </c>
      <c r="E8933" t="s">
        <v>10139</v>
      </c>
      <c r="F8933">
        <v>3</v>
      </c>
    </row>
    <row r="8934" spans="1:6" ht="13.2">
      <c r="A8934" t="s">
        <v>10144</v>
      </c>
      <c r="B8934">
        <v>0</v>
      </c>
      <c r="C8934" s="44" t="s">
        <v>204</v>
      </c>
      <c r="D8934" t="s">
        <v>293</v>
      </c>
      <c r="E8934" t="s">
        <v>10139</v>
      </c>
      <c r="F8934">
        <v>3</v>
      </c>
    </row>
    <row r="8935" spans="1:6" ht="13.2">
      <c r="A8935" t="s">
        <v>10145</v>
      </c>
      <c r="B8935">
        <v>0</v>
      </c>
      <c r="C8935" s="44" t="s">
        <v>204</v>
      </c>
      <c r="D8935" t="s">
        <v>293</v>
      </c>
      <c r="E8935" t="s">
        <v>10139</v>
      </c>
      <c r="F8935">
        <v>3</v>
      </c>
    </row>
    <row r="8936" spans="1:6" ht="13.2">
      <c r="A8936" t="s">
        <v>10146</v>
      </c>
      <c r="B8936">
        <v>0</v>
      </c>
      <c r="C8936" s="44" t="s">
        <v>204</v>
      </c>
      <c r="D8936" t="s">
        <v>293</v>
      </c>
      <c r="E8936" t="s">
        <v>10139</v>
      </c>
      <c r="F8936">
        <v>3</v>
      </c>
    </row>
    <row r="8937" spans="1:6" ht="13.2">
      <c r="A8937" t="s">
        <v>10147</v>
      </c>
      <c r="B8937">
        <v>0</v>
      </c>
      <c r="C8937" s="44" t="s">
        <v>204</v>
      </c>
      <c r="D8937" t="s">
        <v>293</v>
      </c>
      <c r="E8937" t="s">
        <v>10139</v>
      </c>
      <c r="F8937">
        <v>3</v>
      </c>
    </row>
    <row r="8938" spans="1:6" ht="13.2">
      <c r="A8938" t="s">
        <v>10148</v>
      </c>
      <c r="B8938">
        <v>0</v>
      </c>
      <c r="C8938" s="44" t="s">
        <v>204</v>
      </c>
      <c r="D8938" t="s">
        <v>293</v>
      </c>
      <c r="E8938" t="s">
        <v>10139</v>
      </c>
      <c r="F8938">
        <v>3</v>
      </c>
    </row>
    <row r="8939" spans="1:6" ht="13.2">
      <c r="A8939" t="s">
        <v>10149</v>
      </c>
      <c r="B8939">
        <v>0</v>
      </c>
      <c r="C8939" s="44" t="s">
        <v>204</v>
      </c>
      <c r="D8939" t="s">
        <v>293</v>
      </c>
      <c r="E8939" t="s">
        <v>10139</v>
      </c>
      <c r="F8939">
        <v>3</v>
      </c>
    </row>
    <row r="8940" spans="1:6" ht="13.2">
      <c r="A8940" t="s">
        <v>10150</v>
      </c>
      <c r="B8940">
        <v>0</v>
      </c>
      <c r="C8940" s="44" t="s">
        <v>204</v>
      </c>
      <c r="D8940" t="s">
        <v>293</v>
      </c>
      <c r="E8940" t="s">
        <v>10139</v>
      </c>
      <c r="F8940">
        <v>3</v>
      </c>
    </row>
    <row r="8941" spans="1:6" ht="13.2">
      <c r="A8941" t="s">
        <v>10151</v>
      </c>
      <c r="B8941">
        <v>0</v>
      </c>
      <c r="C8941" s="44" t="s">
        <v>204</v>
      </c>
      <c r="D8941" t="s">
        <v>293</v>
      </c>
      <c r="E8941" t="s">
        <v>10139</v>
      </c>
      <c r="F8941">
        <v>3</v>
      </c>
    </row>
    <row r="8942" spans="1:6" ht="13.2">
      <c r="A8942" t="s">
        <v>10152</v>
      </c>
      <c r="B8942">
        <v>0</v>
      </c>
      <c r="C8942" s="44" t="s">
        <v>204</v>
      </c>
      <c r="D8942" t="s">
        <v>293</v>
      </c>
      <c r="E8942" t="s">
        <v>10139</v>
      </c>
      <c r="F8942">
        <v>3</v>
      </c>
    </row>
    <row r="8943" spans="1:6" ht="13.2">
      <c r="A8943" t="s">
        <v>10153</v>
      </c>
      <c r="B8943">
        <v>0</v>
      </c>
      <c r="C8943" s="44" t="s">
        <v>204</v>
      </c>
      <c r="D8943" t="s">
        <v>293</v>
      </c>
      <c r="E8943" t="s">
        <v>10139</v>
      </c>
      <c r="F8943">
        <v>3</v>
      </c>
    </row>
    <row r="8944" spans="1:6" ht="13.2">
      <c r="A8944" t="s">
        <v>10154</v>
      </c>
      <c r="B8944">
        <v>0</v>
      </c>
      <c r="C8944" s="44" t="s">
        <v>204</v>
      </c>
      <c r="D8944" t="s">
        <v>293</v>
      </c>
      <c r="E8944" t="s">
        <v>10139</v>
      </c>
      <c r="F8944">
        <v>3</v>
      </c>
    </row>
    <row r="8945" spans="1:6" ht="13.2">
      <c r="A8945" t="s">
        <v>10155</v>
      </c>
      <c r="B8945">
        <v>0</v>
      </c>
      <c r="C8945" s="44" t="s">
        <v>204</v>
      </c>
      <c r="D8945" t="s">
        <v>293</v>
      </c>
      <c r="E8945" t="s">
        <v>10139</v>
      </c>
      <c r="F8945">
        <v>3</v>
      </c>
    </row>
    <row r="8946" spans="1:6" ht="13.2">
      <c r="A8946" t="s">
        <v>10156</v>
      </c>
      <c r="B8946">
        <v>0</v>
      </c>
      <c r="C8946" s="44" t="s">
        <v>204</v>
      </c>
      <c r="D8946" t="s">
        <v>293</v>
      </c>
      <c r="E8946" t="s">
        <v>10139</v>
      </c>
      <c r="F8946">
        <v>3</v>
      </c>
    </row>
    <row r="8947" spans="1:6" ht="13.2">
      <c r="A8947" t="s">
        <v>10157</v>
      </c>
      <c r="B8947">
        <v>0</v>
      </c>
      <c r="C8947" s="44" t="s">
        <v>204</v>
      </c>
      <c r="D8947" t="s">
        <v>293</v>
      </c>
      <c r="E8947" t="s">
        <v>10139</v>
      </c>
      <c r="F8947">
        <v>3</v>
      </c>
    </row>
    <row r="8948" spans="1:6" ht="13.2">
      <c r="A8948" t="s">
        <v>10158</v>
      </c>
      <c r="B8948">
        <v>0</v>
      </c>
      <c r="C8948" s="44" t="s">
        <v>8288</v>
      </c>
      <c r="D8948" t="s">
        <v>293</v>
      </c>
      <c r="E8948" t="s">
        <v>10036</v>
      </c>
      <c r="F8948" t="s">
        <v>3824</v>
      </c>
    </row>
    <row r="8949" spans="1:6" ht="13.2">
      <c r="A8949" t="s">
        <v>10159</v>
      </c>
      <c r="B8949">
        <v>0</v>
      </c>
      <c r="C8949" s="44" t="s">
        <v>8288</v>
      </c>
      <c r="D8949" t="s">
        <v>293</v>
      </c>
      <c r="E8949" t="s">
        <v>10036</v>
      </c>
      <c r="F8949" t="s">
        <v>3824</v>
      </c>
    </row>
    <row r="8950" spans="1:6" ht="13.2">
      <c r="A8950" t="s">
        <v>10160</v>
      </c>
      <c r="B8950">
        <v>0</v>
      </c>
      <c r="C8950" s="44" t="s">
        <v>8288</v>
      </c>
      <c r="D8950" t="s">
        <v>293</v>
      </c>
      <c r="E8950" t="s">
        <v>10036</v>
      </c>
      <c r="F8950" t="s">
        <v>3824</v>
      </c>
    </row>
    <row r="8951" spans="1:6" ht="13.2">
      <c r="A8951" t="s">
        <v>10161</v>
      </c>
      <c r="B8951">
        <v>0</v>
      </c>
      <c r="C8951" s="44" t="s">
        <v>8288</v>
      </c>
      <c r="D8951" t="s">
        <v>293</v>
      </c>
      <c r="E8951" t="s">
        <v>10036</v>
      </c>
      <c r="F8951" t="s">
        <v>3824</v>
      </c>
    </row>
    <row r="8952" spans="1:6" ht="13.2">
      <c r="A8952" t="s">
        <v>10162</v>
      </c>
      <c r="B8952">
        <v>0</v>
      </c>
      <c r="C8952" s="44" t="s">
        <v>8288</v>
      </c>
      <c r="D8952" t="s">
        <v>293</v>
      </c>
      <c r="E8952" t="s">
        <v>10036</v>
      </c>
      <c r="F8952" t="s">
        <v>3824</v>
      </c>
    </row>
    <row r="8953" spans="1:6" ht="13.2">
      <c r="A8953" t="s">
        <v>10163</v>
      </c>
      <c r="B8953">
        <v>0</v>
      </c>
      <c r="C8953" s="44" t="s">
        <v>8288</v>
      </c>
      <c r="D8953" t="s">
        <v>293</v>
      </c>
      <c r="E8953" t="s">
        <v>10036</v>
      </c>
      <c r="F8953" t="s">
        <v>3824</v>
      </c>
    </row>
    <row r="8954" spans="1:6" ht="13.2">
      <c r="A8954" t="s">
        <v>10164</v>
      </c>
      <c r="B8954">
        <v>0</v>
      </c>
      <c r="C8954" s="44" t="s">
        <v>8288</v>
      </c>
      <c r="D8954" t="s">
        <v>293</v>
      </c>
      <c r="E8954" t="s">
        <v>10036</v>
      </c>
      <c r="F8954" t="s">
        <v>3824</v>
      </c>
    </row>
    <row r="8955" spans="1:6" ht="13.2">
      <c r="A8955" t="s">
        <v>10165</v>
      </c>
      <c r="B8955">
        <v>0</v>
      </c>
      <c r="C8955" s="44" t="s">
        <v>8288</v>
      </c>
      <c r="D8955" t="s">
        <v>293</v>
      </c>
      <c r="E8955" t="s">
        <v>10036</v>
      </c>
      <c r="F8955" t="s">
        <v>3824</v>
      </c>
    </row>
    <row r="8956" spans="1:6" ht="13.2">
      <c r="A8956" t="s">
        <v>10166</v>
      </c>
      <c r="B8956">
        <v>0</v>
      </c>
      <c r="C8956" s="44" t="s">
        <v>8288</v>
      </c>
      <c r="D8956" t="s">
        <v>293</v>
      </c>
      <c r="E8956" t="s">
        <v>10036</v>
      </c>
      <c r="F8956" t="s">
        <v>3824</v>
      </c>
    </row>
    <row r="8957" spans="1:6" ht="13.2">
      <c r="A8957" t="s">
        <v>10167</v>
      </c>
      <c r="B8957">
        <v>0</v>
      </c>
      <c r="C8957" s="44" t="s">
        <v>8288</v>
      </c>
      <c r="D8957" t="s">
        <v>293</v>
      </c>
      <c r="E8957" t="s">
        <v>10036</v>
      </c>
      <c r="F8957" t="s">
        <v>3824</v>
      </c>
    </row>
    <row r="8958" spans="1:6" ht="13.2">
      <c r="A8958" t="s">
        <v>10168</v>
      </c>
      <c r="B8958">
        <v>0</v>
      </c>
      <c r="C8958" s="44" t="s">
        <v>8288</v>
      </c>
      <c r="D8958" t="s">
        <v>293</v>
      </c>
      <c r="E8958" t="s">
        <v>10036</v>
      </c>
      <c r="F8958" t="s">
        <v>3824</v>
      </c>
    </row>
    <row r="8959" spans="1:6" ht="13.2">
      <c r="A8959" t="s">
        <v>10169</v>
      </c>
      <c r="B8959">
        <v>0</v>
      </c>
      <c r="C8959" s="44" t="s">
        <v>8288</v>
      </c>
      <c r="D8959" t="s">
        <v>293</v>
      </c>
      <c r="E8959" t="s">
        <v>10036</v>
      </c>
      <c r="F8959" t="s">
        <v>3824</v>
      </c>
    </row>
    <row r="8960" spans="1:6" ht="13.2">
      <c r="A8960" t="s">
        <v>10170</v>
      </c>
      <c r="B8960">
        <v>0</v>
      </c>
      <c r="C8960" s="44" t="s">
        <v>8288</v>
      </c>
      <c r="D8960" t="s">
        <v>293</v>
      </c>
      <c r="E8960" t="s">
        <v>10036</v>
      </c>
      <c r="F8960" t="s">
        <v>3824</v>
      </c>
    </row>
    <row r="8961" spans="1:6" ht="13.2">
      <c r="A8961" t="s">
        <v>10171</v>
      </c>
      <c r="B8961">
        <v>0</v>
      </c>
      <c r="C8961" s="44" t="s">
        <v>8288</v>
      </c>
      <c r="D8961" t="s">
        <v>293</v>
      </c>
      <c r="E8961" t="s">
        <v>10036</v>
      </c>
      <c r="F8961" t="s">
        <v>3824</v>
      </c>
    </row>
    <row r="8962" spans="1:6" ht="13.2">
      <c r="A8962" t="s">
        <v>10172</v>
      </c>
      <c r="B8962">
        <v>0</v>
      </c>
      <c r="C8962" s="44" t="s">
        <v>8288</v>
      </c>
      <c r="D8962" t="s">
        <v>293</v>
      </c>
      <c r="E8962" t="s">
        <v>10036</v>
      </c>
      <c r="F8962" t="s">
        <v>3824</v>
      </c>
    </row>
    <row r="8963" spans="1:6" ht="13.2">
      <c r="A8963" t="s">
        <v>10173</v>
      </c>
      <c r="B8963">
        <v>0</v>
      </c>
      <c r="C8963" s="44" t="s">
        <v>8288</v>
      </c>
      <c r="D8963" t="s">
        <v>293</v>
      </c>
      <c r="E8963" t="s">
        <v>10036</v>
      </c>
      <c r="F8963" t="s">
        <v>3824</v>
      </c>
    </row>
    <row r="8964" spans="1:6" ht="13.2">
      <c r="A8964" t="s">
        <v>10174</v>
      </c>
      <c r="B8964">
        <v>0</v>
      </c>
      <c r="C8964" s="44" t="s">
        <v>8288</v>
      </c>
      <c r="D8964" t="s">
        <v>293</v>
      </c>
      <c r="E8964" t="s">
        <v>10036</v>
      </c>
      <c r="F8964" t="s">
        <v>3824</v>
      </c>
    </row>
    <row r="8965" spans="1:6" ht="13.2">
      <c r="A8965" t="s">
        <v>10175</v>
      </c>
      <c r="B8965">
        <v>0</v>
      </c>
      <c r="C8965" s="44">
        <v>1400</v>
      </c>
      <c r="D8965" t="s">
        <v>291</v>
      </c>
      <c r="E8965" t="s">
        <v>5047</v>
      </c>
      <c r="F8965" t="s">
        <v>10176</v>
      </c>
    </row>
    <row r="8966" spans="1:6" ht="13.2">
      <c r="A8966" t="s">
        <v>10177</v>
      </c>
      <c r="B8966">
        <v>0</v>
      </c>
      <c r="C8966" s="44">
        <v>1400</v>
      </c>
      <c r="D8966" t="s">
        <v>291</v>
      </c>
      <c r="E8966" t="s">
        <v>5047</v>
      </c>
      <c r="F8966" t="s">
        <v>10176</v>
      </c>
    </row>
    <row r="8967" spans="1:6" ht="13.2">
      <c r="A8967" t="s">
        <v>10178</v>
      </c>
      <c r="B8967">
        <v>0</v>
      </c>
      <c r="C8967" s="44">
        <v>1400</v>
      </c>
      <c r="D8967" t="s">
        <v>291</v>
      </c>
      <c r="E8967" t="s">
        <v>5047</v>
      </c>
      <c r="F8967" t="s">
        <v>10176</v>
      </c>
    </row>
    <row r="8968" spans="1:6" ht="13.2">
      <c r="A8968" t="s">
        <v>10179</v>
      </c>
      <c r="B8968">
        <v>0</v>
      </c>
      <c r="C8968" s="44">
        <v>1400</v>
      </c>
      <c r="D8968" t="s">
        <v>291</v>
      </c>
      <c r="E8968" t="s">
        <v>5047</v>
      </c>
      <c r="F8968" t="s">
        <v>10176</v>
      </c>
    </row>
    <row r="8969" spans="1:6" ht="13.2">
      <c r="A8969" t="s">
        <v>10180</v>
      </c>
      <c r="B8969">
        <v>0</v>
      </c>
      <c r="C8969" s="44">
        <v>1400</v>
      </c>
      <c r="D8969" t="s">
        <v>291</v>
      </c>
      <c r="E8969" t="s">
        <v>5047</v>
      </c>
      <c r="F8969" t="s">
        <v>10176</v>
      </c>
    </row>
    <row r="8970" spans="1:6" ht="13.2">
      <c r="A8970" t="s">
        <v>10181</v>
      </c>
      <c r="B8970">
        <v>0</v>
      </c>
      <c r="C8970" s="44">
        <v>1400</v>
      </c>
      <c r="D8970" t="s">
        <v>291</v>
      </c>
      <c r="E8970" t="s">
        <v>5047</v>
      </c>
      <c r="F8970" t="s">
        <v>10176</v>
      </c>
    </row>
    <row r="8971" spans="1:6" ht="13.2">
      <c r="A8971" t="s">
        <v>10182</v>
      </c>
      <c r="B8971">
        <v>0</v>
      </c>
      <c r="C8971" s="44">
        <v>1400</v>
      </c>
      <c r="D8971" t="s">
        <v>291</v>
      </c>
      <c r="E8971" t="s">
        <v>5047</v>
      </c>
      <c r="F8971" t="s">
        <v>10176</v>
      </c>
    </row>
    <row r="8972" spans="1:6" ht="13.2">
      <c r="A8972" t="s">
        <v>10183</v>
      </c>
      <c r="B8972">
        <v>92</v>
      </c>
      <c r="C8972" s="44">
        <v>1400</v>
      </c>
      <c r="D8972" t="s">
        <v>291</v>
      </c>
      <c r="E8972" t="s">
        <v>362</v>
      </c>
      <c r="F8972" t="s">
        <v>10184</v>
      </c>
    </row>
    <row r="8973" spans="1:6" ht="13.2">
      <c r="A8973" t="s">
        <v>10185</v>
      </c>
      <c r="B8973">
        <v>92</v>
      </c>
      <c r="C8973" s="44">
        <v>1400</v>
      </c>
      <c r="D8973" t="s">
        <v>291</v>
      </c>
      <c r="E8973" t="s">
        <v>362</v>
      </c>
      <c r="F8973" t="s">
        <v>10184</v>
      </c>
    </row>
    <row r="8974" spans="1:6" ht="13.2">
      <c r="A8974" t="s">
        <v>10186</v>
      </c>
      <c r="B8974">
        <v>92</v>
      </c>
      <c r="C8974" s="44">
        <v>1400</v>
      </c>
      <c r="D8974" t="s">
        <v>291</v>
      </c>
      <c r="E8974" t="s">
        <v>362</v>
      </c>
      <c r="F8974" t="s">
        <v>10184</v>
      </c>
    </row>
    <row r="8975" spans="1:6" ht="13.2">
      <c r="A8975" t="s">
        <v>10187</v>
      </c>
      <c r="B8975">
        <v>92</v>
      </c>
      <c r="C8975" s="44">
        <v>1400</v>
      </c>
      <c r="D8975" t="s">
        <v>291</v>
      </c>
      <c r="E8975" t="s">
        <v>362</v>
      </c>
      <c r="F8975" t="s">
        <v>10184</v>
      </c>
    </row>
    <row r="8976" spans="1:6" ht="13.2">
      <c r="A8976" t="s">
        <v>10188</v>
      </c>
      <c r="B8976">
        <v>92</v>
      </c>
      <c r="C8976" s="44">
        <v>1400</v>
      </c>
      <c r="D8976" t="s">
        <v>291</v>
      </c>
      <c r="E8976" t="s">
        <v>362</v>
      </c>
      <c r="F8976" t="s">
        <v>10184</v>
      </c>
    </row>
    <row r="8977" spans="1:6" ht="13.2">
      <c r="A8977" t="s">
        <v>10189</v>
      </c>
      <c r="B8977">
        <v>92</v>
      </c>
      <c r="C8977" s="44">
        <v>1400</v>
      </c>
      <c r="D8977" t="s">
        <v>291</v>
      </c>
      <c r="E8977" t="s">
        <v>362</v>
      </c>
      <c r="F8977" t="s">
        <v>10184</v>
      </c>
    </row>
    <row r="8978" spans="1:6" ht="13.2">
      <c r="A8978" t="s">
        <v>10190</v>
      </c>
      <c r="B8978">
        <v>92</v>
      </c>
      <c r="C8978" s="44">
        <v>1400</v>
      </c>
      <c r="D8978" t="s">
        <v>291</v>
      </c>
      <c r="E8978" t="s">
        <v>362</v>
      </c>
      <c r="F8978" t="s">
        <v>10184</v>
      </c>
    </row>
    <row r="8979" spans="1:6" ht="13.2">
      <c r="A8979" t="s">
        <v>10191</v>
      </c>
      <c r="B8979">
        <v>0</v>
      </c>
      <c r="C8979" s="44">
        <v>1420</v>
      </c>
      <c r="D8979" t="s">
        <v>291</v>
      </c>
      <c r="E8979" t="s">
        <v>10192</v>
      </c>
      <c r="F8979" t="s">
        <v>10193</v>
      </c>
    </row>
    <row r="8980" spans="1:6" ht="13.2">
      <c r="A8980" t="s">
        <v>10194</v>
      </c>
      <c r="B8980">
        <v>0</v>
      </c>
      <c r="C8980" s="44">
        <v>1420</v>
      </c>
      <c r="D8980" t="s">
        <v>291</v>
      </c>
      <c r="E8980" t="s">
        <v>10192</v>
      </c>
      <c r="F8980" t="s">
        <v>10193</v>
      </c>
    </row>
    <row r="8981" spans="1:6" ht="13.2">
      <c r="A8981" t="s">
        <v>10195</v>
      </c>
      <c r="B8981">
        <v>0</v>
      </c>
      <c r="C8981" s="44">
        <v>1420</v>
      </c>
      <c r="D8981" t="s">
        <v>291</v>
      </c>
      <c r="E8981" t="s">
        <v>10192</v>
      </c>
      <c r="F8981" t="s">
        <v>10193</v>
      </c>
    </row>
    <row r="8982" spans="1:6" ht="13.2">
      <c r="A8982" t="s">
        <v>10196</v>
      </c>
      <c r="B8982">
        <v>0</v>
      </c>
      <c r="C8982" s="44">
        <v>1420</v>
      </c>
      <c r="D8982" t="s">
        <v>291</v>
      </c>
      <c r="E8982" t="s">
        <v>10192</v>
      </c>
      <c r="F8982" t="s">
        <v>10193</v>
      </c>
    </row>
    <row r="8983" spans="1:6" ht="13.2">
      <c r="A8983" t="s">
        <v>10197</v>
      </c>
      <c r="B8983">
        <v>0</v>
      </c>
      <c r="C8983" s="44">
        <v>1420</v>
      </c>
      <c r="D8983" t="s">
        <v>291</v>
      </c>
      <c r="E8983" t="s">
        <v>10192</v>
      </c>
      <c r="F8983" t="s">
        <v>10193</v>
      </c>
    </row>
    <row r="8984" spans="1:6" ht="13.2">
      <c r="A8984" t="s">
        <v>10198</v>
      </c>
      <c r="B8984">
        <v>0</v>
      </c>
      <c r="C8984" s="44">
        <v>1420</v>
      </c>
      <c r="D8984" t="s">
        <v>291</v>
      </c>
      <c r="E8984" t="s">
        <v>10192</v>
      </c>
      <c r="F8984" t="s">
        <v>10193</v>
      </c>
    </row>
    <row r="8985" spans="1:6" ht="13.2">
      <c r="A8985" t="s">
        <v>10199</v>
      </c>
      <c r="B8985">
        <v>0</v>
      </c>
      <c r="C8985" s="44">
        <v>1420</v>
      </c>
      <c r="D8985" t="s">
        <v>291</v>
      </c>
      <c r="E8985" t="s">
        <v>10192</v>
      </c>
      <c r="F8985" t="s">
        <v>10193</v>
      </c>
    </row>
    <row r="8986" spans="1:6" ht="13.2">
      <c r="A8986" t="s">
        <v>10200</v>
      </c>
      <c r="B8986">
        <v>110</v>
      </c>
      <c r="C8986" s="44">
        <v>1380</v>
      </c>
      <c r="D8986" t="s">
        <v>291</v>
      </c>
      <c r="E8986" t="s">
        <v>10201</v>
      </c>
      <c r="F8986">
        <v>4</v>
      </c>
    </row>
    <row r="8987" spans="1:6" ht="13.2">
      <c r="A8987" t="s">
        <v>10202</v>
      </c>
      <c r="B8987">
        <v>110</v>
      </c>
      <c r="C8987" s="44">
        <v>1380</v>
      </c>
      <c r="D8987" t="s">
        <v>291</v>
      </c>
      <c r="E8987" t="s">
        <v>10201</v>
      </c>
      <c r="F8987">
        <v>4</v>
      </c>
    </row>
    <row r="8988" spans="1:6" ht="13.2">
      <c r="A8988" t="s">
        <v>10203</v>
      </c>
      <c r="B8988">
        <v>110</v>
      </c>
      <c r="C8988" s="44">
        <v>1380</v>
      </c>
      <c r="D8988" t="s">
        <v>291</v>
      </c>
      <c r="E8988" t="s">
        <v>10201</v>
      </c>
      <c r="F8988">
        <v>4</v>
      </c>
    </row>
    <row r="8989" spans="1:6" ht="13.2">
      <c r="A8989" t="s">
        <v>10204</v>
      </c>
      <c r="B8989">
        <v>110</v>
      </c>
      <c r="C8989" s="44">
        <v>1380</v>
      </c>
      <c r="D8989" t="s">
        <v>291</v>
      </c>
      <c r="E8989" t="s">
        <v>10201</v>
      </c>
      <c r="F8989">
        <v>4</v>
      </c>
    </row>
    <row r="8990" spans="1:6" ht="13.2">
      <c r="A8990" t="s">
        <v>10205</v>
      </c>
      <c r="B8990">
        <v>110</v>
      </c>
      <c r="C8990" s="44">
        <v>1380</v>
      </c>
      <c r="D8990" t="s">
        <v>291</v>
      </c>
      <c r="E8990" t="s">
        <v>10201</v>
      </c>
      <c r="F8990">
        <v>4</v>
      </c>
    </row>
    <row r="8991" spans="1:6" ht="13.2">
      <c r="A8991" t="s">
        <v>10206</v>
      </c>
      <c r="B8991">
        <v>110</v>
      </c>
      <c r="C8991" s="44">
        <v>1380</v>
      </c>
      <c r="D8991" t="s">
        <v>291</v>
      </c>
      <c r="E8991" t="s">
        <v>10201</v>
      </c>
      <c r="F8991">
        <v>4</v>
      </c>
    </row>
    <row r="8992" spans="1:6" ht="13.2">
      <c r="A8992" t="s">
        <v>10207</v>
      </c>
      <c r="B8992">
        <v>110</v>
      </c>
      <c r="C8992" s="44">
        <v>1380</v>
      </c>
      <c r="D8992" t="s">
        <v>291</v>
      </c>
      <c r="E8992" t="s">
        <v>10201</v>
      </c>
      <c r="F8992">
        <v>4</v>
      </c>
    </row>
    <row r="8993" spans="1:6" ht="13.2">
      <c r="A8993" t="s">
        <v>10208</v>
      </c>
      <c r="B8993">
        <v>0</v>
      </c>
      <c r="C8993" s="44">
        <v>1390</v>
      </c>
      <c r="D8993" t="s">
        <v>291</v>
      </c>
      <c r="E8993" t="s">
        <v>10209</v>
      </c>
      <c r="F8993">
        <v>4</v>
      </c>
    </row>
    <row r="8994" spans="1:6" ht="13.2">
      <c r="A8994" t="s">
        <v>10210</v>
      </c>
      <c r="B8994">
        <v>0</v>
      </c>
      <c r="C8994" s="44">
        <v>1390</v>
      </c>
      <c r="D8994" t="s">
        <v>291</v>
      </c>
      <c r="E8994" t="s">
        <v>10209</v>
      </c>
      <c r="F8994">
        <v>4</v>
      </c>
    </row>
    <row r="8995" spans="1:6" ht="13.2">
      <c r="A8995" t="s">
        <v>10211</v>
      </c>
      <c r="B8995">
        <v>0</v>
      </c>
      <c r="C8995" s="44">
        <v>1390</v>
      </c>
      <c r="D8995" t="s">
        <v>291</v>
      </c>
      <c r="E8995" t="s">
        <v>10209</v>
      </c>
      <c r="F8995">
        <v>4</v>
      </c>
    </row>
    <row r="8996" spans="1:6" ht="13.2">
      <c r="A8996" t="s">
        <v>10212</v>
      </c>
      <c r="B8996">
        <v>0</v>
      </c>
      <c r="C8996" s="44">
        <v>1390</v>
      </c>
      <c r="D8996" t="s">
        <v>291</v>
      </c>
      <c r="E8996" t="s">
        <v>10209</v>
      </c>
      <c r="F8996">
        <v>4</v>
      </c>
    </row>
    <row r="8997" spans="1:6" ht="13.2">
      <c r="A8997" t="s">
        <v>10213</v>
      </c>
      <c r="B8997">
        <v>0</v>
      </c>
      <c r="C8997" s="44">
        <v>1390</v>
      </c>
      <c r="D8997" t="s">
        <v>291</v>
      </c>
      <c r="E8997" t="s">
        <v>10209</v>
      </c>
      <c r="F8997">
        <v>4</v>
      </c>
    </row>
    <row r="8998" spans="1:6" ht="13.2">
      <c r="A8998" t="s">
        <v>10214</v>
      </c>
      <c r="B8998">
        <v>0</v>
      </c>
      <c r="C8998" s="44">
        <v>1390</v>
      </c>
      <c r="D8998" t="s">
        <v>291</v>
      </c>
      <c r="E8998" t="s">
        <v>10209</v>
      </c>
      <c r="F8998">
        <v>4</v>
      </c>
    </row>
    <row r="8999" spans="1:6" ht="13.2">
      <c r="A8999" t="s">
        <v>10215</v>
      </c>
      <c r="B8999">
        <v>0</v>
      </c>
      <c r="C8999" s="44">
        <v>1390</v>
      </c>
      <c r="D8999" t="s">
        <v>291</v>
      </c>
      <c r="E8999" t="s">
        <v>10209</v>
      </c>
      <c r="F8999">
        <v>4</v>
      </c>
    </row>
    <row r="9000" spans="1:6" ht="13.2">
      <c r="A9000" t="s">
        <v>10216</v>
      </c>
      <c r="B9000">
        <v>0</v>
      </c>
      <c r="C9000" s="44">
        <v>2950</v>
      </c>
      <c r="D9000" t="s">
        <v>291</v>
      </c>
      <c r="E9000" t="s">
        <v>10217</v>
      </c>
      <c r="F9000">
        <v>10</v>
      </c>
    </row>
    <row r="9001" spans="1:6" ht="13.2">
      <c r="A9001" t="s">
        <v>10218</v>
      </c>
      <c r="B9001">
        <v>0</v>
      </c>
      <c r="C9001" s="44">
        <v>2950</v>
      </c>
      <c r="D9001" t="s">
        <v>291</v>
      </c>
      <c r="E9001" t="s">
        <v>10217</v>
      </c>
      <c r="F9001">
        <v>10</v>
      </c>
    </row>
    <row r="9002" spans="1:6" ht="13.2">
      <c r="A9002" t="s">
        <v>10219</v>
      </c>
      <c r="B9002">
        <v>0</v>
      </c>
      <c r="C9002" s="44">
        <v>2950</v>
      </c>
      <c r="D9002" t="s">
        <v>291</v>
      </c>
      <c r="E9002" t="s">
        <v>10217</v>
      </c>
      <c r="F9002">
        <v>10</v>
      </c>
    </row>
    <row r="9003" spans="1:6" ht="13.2">
      <c r="A9003" t="s">
        <v>10220</v>
      </c>
      <c r="B9003">
        <v>0</v>
      </c>
      <c r="C9003" s="44">
        <v>2950</v>
      </c>
      <c r="D9003" t="s">
        <v>291</v>
      </c>
      <c r="E9003" t="s">
        <v>10217</v>
      </c>
      <c r="F9003">
        <v>10</v>
      </c>
    </row>
    <row r="9004" spans="1:6" ht="13.2">
      <c r="A9004" t="s">
        <v>10221</v>
      </c>
      <c r="B9004">
        <v>0</v>
      </c>
      <c r="C9004" s="44">
        <v>2950</v>
      </c>
      <c r="D9004" t="s">
        <v>291</v>
      </c>
      <c r="E9004" t="s">
        <v>10217</v>
      </c>
      <c r="F9004">
        <v>10</v>
      </c>
    </row>
    <row r="9005" spans="1:6" ht="13.2">
      <c r="A9005" t="s">
        <v>10222</v>
      </c>
      <c r="B9005">
        <v>0</v>
      </c>
      <c r="C9005" s="44">
        <v>2950</v>
      </c>
      <c r="D9005" t="s">
        <v>291</v>
      </c>
      <c r="E9005" t="s">
        <v>10217</v>
      </c>
      <c r="F9005">
        <v>10</v>
      </c>
    </row>
    <row r="9006" spans="1:6" ht="13.2">
      <c r="A9006" t="s">
        <v>10223</v>
      </c>
      <c r="B9006">
        <v>0</v>
      </c>
      <c r="C9006" s="44">
        <v>2950</v>
      </c>
      <c r="D9006" t="s">
        <v>291</v>
      </c>
      <c r="E9006" t="s">
        <v>10217</v>
      </c>
      <c r="F9006">
        <v>10</v>
      </c>
    </row>
    <row r="9007" spans="1:6" ht="13.2">
      <c r="A9007" t="s">
        <v>10224</v>
      </c>
      <c r="B9007">
        <v>0</v>
      </c>
      <c r="C9007" s="44">
        <v>2950</v>
      </c>
      <c r="D9007" t="s">
        <v>291</v>
      </c>
      <c r="E9007" t="s">
        <v>10217</v>
      </c>
      <c r="F9007">
        <v>10</v>
      </c>
    </row>
    <row r="9008" spans="1:6" ht="13.2">
      <c r="A9008" t="s">
        <v>10225</v>
      </c>
      <c r="B9008">
        <v>0</v>
      </c>
      <c r="C9008" s="44">
        <v>2950</v>
      </c>
      <c r="D9008" t="s">
        <v>291</v>
      </c>
      <c r="E9008" t="s">
        <v>10217</v>
      </c>
      <c r="F9008">
        <v>10</v>
      </c>
    </row>
    <row r="9009" spans="1:6" ht="13.2">
      <c r="A9009" t="s">
        <v>10226</v>
      </c>
      <c r="B9009">
        <v>0</v>
      </c>
      <c r="C9009" s="44">
        <v>2950</v>
      </c>
      <c r="D9009" t="s">
        <v>291</v>
      </c>
      <c r="E9009" t="s">
        <v>10217</v>
      </c>
      <c r="F9009">
        <v>10</v>
      </c>
    </row>
    <row r="9010" spans="1:6" ht="13.2">
      <c r="A9010" t="s">
        <v>10227</v>
      </c>
      <c r="B9010">
        <v>0</v>
      </c>
      <c r="C9010" s="44">
        <v>2950</v>
      </c>
      <c r="D9010" t="s">
        <v>291</v>
      </c>
      <c r="E9010" t="s">
        <v>10217</v>
      </c>
      <c r="F9010">
        <v>10</v>
      </c>
    </row>
    <row r="9011" spans="1:6" ht="13.2">
      <c r="A9011" t="s">
        <v>10228</v>
      </c>
      <c r="B9011">
        <v>0</v>
      </c>
      <c r="C9011" s="44">
        <v>3000</v>
      </c>
      <c r="D9011" t="s">
        <v>293</v>
      </c>
      <c r="E9011" t="s">
        <v>7674</v>
      </c>
      <c r="F9011" t="s">
        <v>3824</v>
      </c>
    </row>
    <row r="9012" spans="1:6" ht="13.2">
      <c r="A9012" t="s">
        <v>10229</v>
      </c>
      <c r="B9012">
        <v>0</v>
      </c>
      <c r="C9012" s="44">
        <v>3000</v>
      </c>
      <c r="D9012" t="s">
        <v>293</v>
      </c>
      <c r="E9012" t="s">
        <v>7674</v>
      </c>
      <c r="F9012" t="s">
        <v>3824</v>
      </c>
    </row>
    <row r="9013" spans="1:6" ht="13.2">
      <c r="A9013" t="s">
        <v>10230</v>
      </c>
      <c r="B9013">
        <v>0</v>
      </c>
      <c r="C9013" s="44">
        <v>3000</v>
      </c>
      <c r="D9013" t="s">
        <v>293</v>
      </c>
      <c r="E9013" t="s">
        <v>7674</v>
      </c>
      <c r="F9013" t="s">
        <v>3824</v>
      </c>
    </row>
    <row r="9014" spans="1:6" ht="13.2">
      <c r="A9014" t="s">
        <v>10231</v>
      </c>
      <c r="B9014">
        <v>0</v>
      </c>
      <c r="C9014" s="44">
        <v>3000</v>
      </c>
      <c r="D9014" t="s">
        <v>293</v>
      </c>
      <c r="E9014" t="s">
        <v>7674</v>
      </c>
      <c r="F9014" t="s">
        <v>3824</v>
      </c>
    </row>
    <row r="9015" spans="1:6" ht="13.2">
      <c r="A9015" t="s">
        <v>10232</v>
      </c>
      <c r="B9015">
        <v>0</v>
      </c>
      <c r="C9015" s="44">
        <v>3000</v>
      </c>
      <c r="D9015" t="s">
        <v>293</v>
      </c>
      <c r="E9015" t="s">
        <v>7674</v>
      </c>
      <c r="F9015" t="s">
        <v>3824</v>
      </c>
    </row>
    <row r="9016" spans="1:6" ht="13.2">
      <c r="A9016" t="s">
        <v>10233</v>
      </c>
      <c r="B9016">
        <v>0</v>
      </c>
      <c r="C9016" s="44">
        <v>3000</v>
      </c>
      <c r="D9016" t="s">
        <v>293</v>
      </c>
      <c r="E9016" t="s">
        <v>7674</v>
      </c>
      <c r="F9016" t="s">
        <v>3824</v>
      </c>
    </row>
    <row r="9017" spans="1:6" ht="13.2">
      <c r="A9017" t="s">
        <v>10234</v>
      </c>
      <c r="B9017">
        <v>0</v>
      </c>
      <c r="C9017" s="44">
        <v>3000</v>
      </c>
      <c r="D9017" t="s">
        <v>293</v>
      </c>
      <c r="E9017" t="s">
        <v>7674</v>
      </c>
      <c r="F9017" t="s">
        <v>3824</v>
      </c>
    </row>
    <row r="9018" spans="1:6" ht="13.2">
      <c r="A9018" t="s">
        <v>10235</v>
      </c>
      <c r="B9018">
        <v>0</v>
      </c>
      <c r="C9018" s="44">
        <v>3000</v>
      </c>
      <c r="D9018" t="s">
        <v>293</v>
      </c>
      <c r="E9018" t="s">
        <v>7674</v>
      </c>
      <c r="F9018" t="s">
        <v>3824</v>
      </c>
    </row>
    <row r="9019" spans="1:6" ht="13.2">
      <c r="A9019" t="s">
        <v>10236</v>
      </c>
      <c r="B9019">
        <v>0</v>
      </c>
      <c r="C9019" s="44">
        <v>3000</v>
      </c>
      <c r="D9019" t="s">
        <v>293</v>
      </c>
      <c r="E9019" t="s">
        <v>7674</v>
      </c>
      <c r="F9019" t="s">
        <v>3824</v>
      </c>
    </row>
    <row r="9020" spans="1:6" ht="13.2">
      <c r="A9020" t="s">
        <v>10237</v>
      </c>
      <c r="B9020">
        <v>0</v>
      </c>
      <c r="C9020" s="44">
        <v>3000</v>
      </c>
      <c r="D9020" t="s">
        <v>293</v>
      </c>
      <c r="E9020" t="s">
        <v>7674</v>
      </c>
      <c r="F9020" t="s">
        <v>3824</v>
      </c>
    </row>
    <row r="9021" spans="1:6" ht="13.2">
      <c r="A9021" t="s">
        <v>10238</v>
      </c>
      <c r="B9021">
        <v>0</v>
      </c>
      <c r="C9021" s="44">
        <v>3000</v>
      </c>
      <c r="D9021" t="s">
        <v>293</v>
      </c>
      <c r="E9021" t="s">
        <v>7674</v>
      </c>
      <c r="F9021" t="s">
        <v>3824</v>
      </c>
    </row>
    <row r="9022" spans="1:6" ht="13.2">
      <c r="A9022" t="s">
        <v>10239</v>
      </c>
      <c r="B9022">
        <v>0</v>
      </c>
      <c r="C9022" s="44">
        <v>3000</v>
      </c>
      <c r="D9022" t="s">
        <v>293</v>
      </c>
      <c r="E9022" t="s">
        <v>7674</v>
      </c>
      <c r="F9022" t="s">
        <v>3824</v>
      </c>
    </row>
    <row r="9023" spans="1:6" ht="13.2">
      <c r="A9023" t="s">
        <v>10240</v>
      </c>
      <c r="B9023">
        <v>0</v>
      </c>
      <c r="C9023" s="44">
        <v>3000</v>
      </c>
      <c r="D9023" t="s">
        <v>293</v>
      </c>
      <c r="E9023" t="s">
        <v>7674</v>
      </c>
      <c r="F9023" t="s">
        <v>3824</v>
      </c>
    </row>
    <row r="9024" spans="1:6" ht="13.2">
      <c r="A9024" t="s">
        <v>10241</v>
      </c>
      <c r="B9024">
        <v>0</v>
      </c>
      <c r="C9024" s="44">
        <v>3000</v>
      </c>
      <c r="D9024" t="s">
        <v>293</v>
      </c>
      <c r="E9024" t="s">
        <v>7674</v>
      </c>
      <c r="F9024" t="s">
        <v>3824</v>
      </c>
    </row>
    <row r="9025" spans="1:6" ht="13.2">
      <c r="A9025" t="s">
        <v>10242</v>
      </c>
      <c r="B9025">
        <v>0</v>
      </c>
      <c r="C9025" s="44">
        <v>3000</v>
      </c>
      <c r="D9025" t="s">
        <v>293</v>
      </c>
      <c r="E9025" t="s">
        <v>7674</v>
      </c>
      <c r="F9025" t="s">
        <v>3824</v>
      </c>
    </row>
    <row r="9026" spans="1:6" ht="13.2">
      <c r="A9026" t="s">
        <v>10243</v>
      </c>
      <c r="B9026">
        <v>0</v>
      </c>
      <c r="C9026" s="44">
        <v>3000</v>
      </c>
      <c r="D9026" t="s">
        <v>293</v>
      </c>
      <c r="E9026" t="s">
        <v>7674</v>
      </c>
      <c r="F9026" t="s">
        <v>3824</v>
      </c>
    </row>
    <row r="9027" spans="1:6" ht="13.2">
      <c r="A9027" t="s">
        <v>10244</v>
      </c>
      <c r="B9027">
        <v>1610</v>
      </c>
      <c r="C9027" s="44">
        <v>2800</v>
      </c>
      <c r="D9027" t="s">
        <v>293</v>
      </c>
      <c r="E9027" t="s">
        <v>10245</v>
      </c>
      <c r="F9027" t="s">
        <v>10135</v>
      </c>
    </row>
    <row r="9028" spans="1:6" ht="13.2">
      <c r="A9028" t="s">
        <v>10246</v>
      </c>
      <c r="B9028">
        <v>1610</v>
      </c>
      <c r="C9028" s="44">
        <v>2800</v>
      </c>
      <c r="D9028" t="s">
        <v>293</v>
      </c>
      <c r="E9028" t="s">
        <v>10245</v>
      </c>
      <c r="F9028" t="s">
        <v>10135</v>
      </c>
    </row>
    <row r="9029" spans="1:6" ht="13.2">
      <c r="A9029" t="s">
        <v>10247</v>
      </c>
      <c r="B9029">
        <v>640</v>
      </c>
      <c r="C9029" s="44">
        <v>1380</v>
      </c>
      <c r="D9029" t="s">
        <v>291</v>
      </c>
      <c r="E9029" t="s">
        <v>577</v>
      </c>
      <c r="F9029">
        <v>4</v>
      </c>
    </row>
    <row r="9030" spans="1:6" ht="13.2">
      <c r="A9030" t="s">
        <v>10248</v>
      </c>
      <c r="B9030">
        <v>640</v>
      </c>
      <c r="C9030" s="44">
        <v>1380</v>
      </c>
      <c r="D9030" t="s">
        <v>291</v>
      </c>
      <c r="E9030" t="s">
        <v>577</v>
      </c>
      <c r="F9030">
        <v>4</v>
      </c>
    </row>
    <row r="9031" spans="1:6" ht="13.2">
      <c r="A9031" t="s">
        <v>10249</v>
      </c>
      <c r="B9031">
        <v>640</v>
      </c>
      <c r="C9031" s="44">
        <v>1380</v>
      </c>
      <c r="D9031" t="s">
        <v>291</v>
      </c>
      <c r="E9031" t="s">
        <v>577</v>
      </c>
      <c r="F9031">
        <v>4</v>
      </c>
    </row>
    <row r="9032" spans="1:6" ht="13.2">
      <c r="A9032" t="s">
        <v>10250</v>
      </c>
      <c r="B9032">
        <v>640</v>
      </c>
      <c r="C9032" s="44">
        <v>1380</v>
      </c>
      <c r="D9032" t="s">
        <v>291</v>
      </c>
      <c r="E9032" t="s">
        <v>577</v>
      </c>
      <c r="F9032">
        <v>4</v>
      </c>
    </row>
    <row r="9033" spans="1:6" ht="13.2">
      <c r="A9033" t="s">
        <v>10251</v>
      </c>
      <c r="B9033">
        <v>640</v>
      </c>
      <c r="C9033" s="44">
        <v>1380</v>
      </c>
      <c r="D9033" t="s">
        <v>291</v>
      </c>
      <c r="E9033" t="s">
        <v>577</v>
      </c>
      <c r="F9033">
        <v>4</v>
      </c>
    </row>
    <row r="9034" spans="1:6" ht="13.2">
      <c r="A9034" t="s">
        <v>10252</v>
      </c>
      <c r="B9034">
        <v>640</v>
      </c>
      <c r="C9034" s="44">
        <v>1380</v>
      </c>
      <c r="D9034" t="s">
        <v>291</v>
      </c>
      <c r="E9034" t="s">
        <v>577</v>
      </c>
      <c r="F9034">
        <v>4</v>
      </c>
    </row>
    <row r="9035" spans="1:6" ht="13.2">
      <c r="A9035" t="s">
        <v>10253</v>
      </c>
      <c r="B9035">
        <v>640</v>
      </c>
      <c r="C9035" s="44">
        <v>1380</v>
      </c>
      <c r="D9035" t="s">
        <v>291</v>
      </c>
      <c r="E9035" t="s">
        <v>577</v>
      </c>
      <c r="F9035">
        <v>4</v>
      </c>
    </row>
    <row r="9036" spans="1:6" ht="13.2">
      <c r="A9036" t="s">
        <v>10254</v>
      </c>
      <c r="B9036">
        <v>640</v>
      </c>
      <c r="C9036" s="44">
        <v>1380</v>
      </c>
      <c r="D9036" t="s">
        <v>291</v>
      </c>
      <c r="E9036" t="s">
        <v>577</v>
      </c>
      <c r="F9036">
        <v>4</v>
      </c>
    </row>
    <row r="9037" spans="1:6" ht="13.2">
      <c r="A9037" t="s">
        <v>10257</v>
      </c>
      <c r="B9037">
        <v>234</v>
      </c>
      <c r="C9037" s="44">
        <v>1420</v>
      </c>
      <c r="D9037" t="s">
        <v>291</v>
      </c>
      <c r="E9037" t="s">
        <v>10258</v>
      </c>
      <c r="F9037">
        <v>14</v>
      </c>
    </row>
    <row r="9038" spans="1:6" ht="13.2">
      <c r="A9038" t="s">
        <v>10259</v>
      </c>
      <c r="B9038">
        <v>234</v>
      </c>
      <c r="C9038" s="44">
        <v>1420</v>
      </c>
      <c r="D9038" t="s">
        <v>291</v>
      </c>
      <c r="E9038" t="s">
        <v>10258</v>
      </c>
      <c r="F9038">
        <v>14</v>
      </c>
    </row>
    <row r="9039" spans="1:6" ht="13.2">
      <c r="A9039" t="s">
        <v>10260</v>
      </c>
      <c r="B9039">
        <v>234</v>
      </c>
      <c r="C9039" s="44">
        <v>1420</v>
      </c>
      <c r="D9039" t="s">
        <v>291</v>
      </c>
      <c r="E9039" t="s">
        <v>10258</v>
      </c>
      <c r="F9039">
        <v>14</v>
      </c>
    </row>
    <row r="9040" spans="1:6" ht="13.2">
      <c r="A9040" t="s">
        <v>10261</v>
      </c>
      <c r="B9040">
        <v>234</v>
      </c>
      <c r="C9040" s="44">
        <v>1420</v>
      </c>
      <c r="D9040" t="s">
        <v>291</v>
      </c>
      <c r="E9040" t="s">
        <v>10258</v>
      </c>
      <c r="F9040">
        <v>14</v>
      </c>
    </row>
    <row r="9041" spans="1:6" ht="13.2">
      <c r="A9041" t="s">
        <v>10262</v>
      </c>
      <c r="B9041">
        <v>234</v>
      </c>
      <c r="C9041" s="44">
        <v>1420</v>
      </c>
      <c r="D9041" t="s">
        <v>291</v>
      </c>
      <c r="E9041" t="s">
        <v>10258</v>
      </c>
      <c r="F9041">
        <v>14</v>
      </c>
    </row>
    <row r="9042" spans="1:6" ht="13.2">
      <c r="A9042" t="s">
        <v>10263</v>
      </c>
      <c r="B9042">
        <v>234</v>
      </c>
      <c r="C9042" s="44">
        <v>1420</v>
      </c>
      <c r="D9042" t="s">
        <v>291</v>
      </c>
      <c r="E9042" t="s">
        <v>10258</v>
      </c>
      <c r="F9042">
        <v>14</v>
      </c>
    </row>
    <row r="9043" spans="1:6" ht="13.2">
      <c r="A9043" t="s">
        <v>10264</v>
      </c>
      <c r="B9043">
        <v>234</v>
      </c>
      <c r="C9043" s="44">
        <v>1420</v>
      </c>
      <c r="D9043" t="s">
        <v>291</v>
      </c>
      <c r="E9043" t="s">
        <v>10258</v>
      </c>
      <c r="F9043">
        <v>14</v>
      </c>
    </row>
    <row r="9044" spans="1:6" ht="13.2">
      <c r="A9044" t="s">
        <v>10265</v>
      </c>
      <c r="B9044">
        <v>234</v>
      </c>
      <c r="C9044" s="44">
        <v>1420</v>
      </c>
      <c r="D9044" t="s">
        <v>291</v>
      </c>
      <c r="E9044" t="s">
        <v>10258</v>
      </c>
      <c r="F9044">
        <v>14</v>
      </c>
    </row>
    <row r="9045" spans="1:6" ht="13.2">
      <c r="A9045" t="s">
        <v>2239</v>
      </c>
      <c r="B9045">
        <v>600</v>
      </c>
      <c r="C9045" s="44">
        <v>1370</v>
      </c>
      <c r="D9045" t="s">
        <v>291</v>
      </c>
      <c r="E9045" t="s">
        <v>10266</v>
      </c>
      <c r="F9045">
        <v>4</v>
      </c>
    </row>
    <row r="9046" spans="1:6" ht="13.2">
      <c r="A9046" t="s">
        <v>2240</v>
      </c>
      <c r="B9046">
        <v>600</v>
      </c>
      <c r="C9046" s="44">
        <v>1370</v>
      </c>
      <c r="D9046" t="s">
        <v>291</v>
      </c>
      <c r="E9046" t="s">
        <v>10266</v>
      </c>
      <c r="F9046">
        <v>4</v>
      </c>
    </row>
    <row r="9047" spans="1:6" ht="13.2">
      <c r="A9047" t="s">
        <v>2241</v>
      </c>
      <c r="B9047">
        <v>600</v>
      </c>
      <c r="C9047" s="44">
        <v>1370</v>
      </c>
      <c r="D9047" t="s">
        <v>291</v>
      </c>
      <c r="E9047" t="s">
        <v>10266</v>
      </c>
      <c r="F9047">
        <v>4</v>
      </c>
    </row>
    <row r="9048" spans="1:6" ht="13.2">
      <c r="A9048" t="s">
        <v>2242</v>
      </c>
      <c r="B9048">
        <v>600</v>
      </c>
      <c r="C9048" s="44">
        <v>1370</v>
      </c>
      <c r="D9048" t="s">
        <v>291</v>
      </c>
      <c r="E9048" t="s">
        <v>10266</v>
      </c>
      <c r="F9048">
        <v>4</v>
      </c>
    </row>
    <row r="9049" spans="1:6" ht="13.2">
      <c r="A9049" t="s">
        <v>2243</v>
      </c>
      <c r="B9049">
        <v>600</v>
      </c>
      <c r="C9049" s="44">
        <v>1370</v>
      </c>
      <c r="D9049" t="s">
        <v>291</v>
      </c>
      <c r="E9049" t="s">
        <v>10266</v>
      </c>
      <c r="F9049">
        <v>4</v>
      </c>
    </row>
    <row r="9050" spans="1:6" ht="13.2">
      <c r="A9050" t="s">
        <v>2244</v>
      </c>
      <c r="B9050">
        <v>600</v>
      </c>
      <c r="C9050" s="44">
        <v>1370</v>
      </c>
      <c r="D9050" t="s">
        <v>291</v>
      </c>
      <c r="E9050" t="s">
        <v>10266</v>
      </c>
      <c r="F9050">
        <v>4</v>
      </c>
    </row>
    <row r="9051" spans="1:6" ht="13.2">
      <c r="A9051" t="s">
        <v>2245</v>
      </c>
      <c r="B9051">
        <v>600</v>
      </c>
      <c r="C9051" s="44">
        <v>1370</v>
      </c>
      <c r="D9051" t="s">
        <v>291</v>
      </c>
      <c r="E9051" t="s">
        <v>10266</v>
      </c>
      <c r="F9051">
        <v>4</v>
      </c>
    </row>
    <row r="9052" spans="1:6" ht="13.2">
      <c r="A9052" t="s">
        <v>2246</v>
      </c>
      <c r="B9052">
        <v>600</v>
      </c>
      <c r="C9052" s="44">
        <v>1370</v>
      </c>
      <c r="D9052" t="s">
        <v>291</v>
      </c>
      <c r="E9052" t="s">
        <v>10266</v>
      </c>
      <c r="F9052">
        <v>4</v>
      </c>
    </row>
    <row r="9053" spans="1:6" ht="13.2">
      <c r="A9053" t="s">
        <v>2247</v>
      </c>
      <c r="B9053">
        <v>600</v>
      </c>
      <c r="C9053" s="44">
        <v>1370</v>
      </c>
      <c r="D9053" t="s">
        <v>291</v>
      </c>
      <c r="E9053" t="s">
        <v>10266</v>
      </c>
      <c r="F9053">
        <v>4</v>
      </c>
    </row>
    <row r="9054" spans="1:6" ht="13.2">
      <c r="A9054" t="s">
        <v>2248</v>
      </c>
      <c r="B9054">
        <v>600</v>
      </c>
      <c r="C9054" s="44">
        <v>1370</v>
      </c>
      <c r="D9054" t="s">
        <v>291</v>
      </c>
      <c r="E9054" t="s">
        <v>10266</v>
      </c>
      <c r="F9054">
        <v>4</v>
      </c>
    </row>
    <row r="9055" spans="1:6" ht="13.2">
      <c r="A9055" t="s">
        <v>10267</v>
      </c>
      <c r="B9055">
        <v>600</v>
      </c>
      <c r="C9055" s="44">
        <v>1370</v>
      </c>
      <c r="D9055" t="s">
        <v>291</v>
      </c>
      <c r="E9055" t="s">
        <v>10266</v>
      </c>
      <c r="F9055">
        <v>4</v>
      </c>
    </row>
    <row r="9056" spans="1:6" ht="13.2">
      <c r="A9056" t="s">
        <v>10268</v>
      </c>
      <c r="B9056">
        <v>0</v>
      </c>
      <c r="C9056" s="44">
        <v>3000</v>
      </c>
      <c r="D9056" t="s">
        <v>293</v>
      </c>
      <c r="E9056" t="s">
        <v>256</v>
      </c>
      <c r="F9056" t="s">
        <v>3824</v>
      </c>
    </row>
    <row r="9057" spans="1:6" ht="13.2">
      <c r="A9057" t="s">
        <v>10269</v>
      </c>
      <c r="B9057">
        <v>0</v>
      </c>
      <c r="C9057" s="44">
        <v>3000</v>
      </c>
      <c r="D9057" t="s">
        <v>293</v>
      </c>
      <c r="E9057" t="s">
        <v>256</v>
      </c>
      <c r="F9057" t="s">
        <v>3824</v>
      </c>
    </row>
    <row r="9058" spans="1:6" ht="13.2">
      <c r="A9058" t="s">
        <v>10270</v>
      </c>
      <c r="B9058">
        <v>0</v>
      </c>
      <c r="C9058" s="44">
        <v>3000</v>
      </c>
      <c r="D9058" t="s">
        <v>293</v>
      </c>
      <c r="E9058" t="s">
        <v>256</v>
      </c>
      <c r="F9058" t="s">
        <v>3824</v>
      </c>
    </row>
    <row r="9059" spans="1:6" ht="13.2">
      <c r="A9059" t="s">
        <v>10271</v>
      </c>
      <c r="B9059">
        <v>0</v>
      </c>
      <c r="C9059" s="44">
        <v>3000</v>
      </c>
      <c r="D9059" t="s">
        <v>293</v>
      </c>
      <c r="E9059" t="s">
        <v>256</v>
      </c>
      <c r="F9059" t="s">
        <v>3824</v>
      </c>
    </row>
    <row r="9060" spans="1:6" ht="13.2">
      <c r="A9060" t="s">
        <v>10272</v>
      </c>
      <c r="B9060">
        <v>0</v>
      </c>
      <c r="C9060" s="44">
        <v>3000</v>
      </c>
      <c r="D9060" t="s">
        <v>293</v>
      </c>
      <c r="E9060" t="s">
        <v>256</v>
      </c>
      <c r="F9060" t="s">
        <v>3824</v>
      </c>
    </row>
    <row r="9061" spans="1:6" ht="13.2">
      <c r="A9061" t="s">
        <v>10273</v>
      </c>
      <c r="B9061">
        <v>0</v>
      </c>
      <c r="C9061" s="44">
        <v>3000</v>
      </c>
      <c r="D9061" t="s">
        <v>293</v>
      </c>
      <c r="E9061" t="s">
        <v>256</v>
      </c>
      <c r="F9061" t="s">
        <v>3824</v>
      </c>
    </row>
    <row r="9062" spans="1:6" ht="13.2">
      <c r="A9062" t="s">
        <v>10274</v>
      </c>
      <c r="B9062">
        <v>0</v>
      </c>
      <c r="C9062" s="44">
        <v>3000</v>
      </c>
      <c r="D9062" t="s">
        <v>293</v>
      </c>
      <c r="E9062" t="s">
        <v>256</v>
      </c>
      <c r="F9062" t="s">
        <v>3824</v>
      </c>
    </row>
    <row r="9063" spans="1:6" ht="13.2">
      <c r="A9063" t="s">
        <v>10275</v>
      </c>
      <c r="B9063">
        <v>0</v>
      </c>
      <c r="C9063" s="44">
        <v>3000</v>
      </c>
      <c r="D9063" t="s">
        <v>293</v>
      </c>
      <c r="E9063" t="s">
        <v>256</v>
      </c>
      <c r="F9063" t="s">
        <v>3824</v>
      </c>
    </row>
    <row r="9064" spans="1:6" ht="13.2">
      <c r="A9064" t="s">
        <v>10276</v>
      </c>
      <c r="B9064">
        <v>0</v>
      </c>
      <c r="C9064" s="44">
        <v>3000</v>
      </c>
      <c r="D9064" t="s">
        <v>293</v>
      </c>
      <c r="E9064" t="s">
        <v>256</v>
      </c>
      <c r="F9064" t="s">
        <v>3824</v>
      </c>
    </row>
    <row r="9065" spans="1:6" ht="13.2">
      <c r="A9065" t="s">
        <v>10277</v>
      </c>
      <c r="B9065">
        <v>0</v>
      </c>
      <c r="C9065" s="44">
        <v>3000</v>
      </c>
      <c r="D9065" t="s">
        <v>293</v>
      </c>
      <c r="E9065" t="s">
        <v>256</v>
      </c>
      <c r="F9065" t="s">
        <v>3824</v>
      </c>
    </row>
    <row r="9066" spans="1:6" ht="13.2">
      <c r="A9066" t="s">
        <v>10278</v>
      </c>
      <c r="B9066">
        <v>0</v>
      </c>
      <c r="C9066" s="44">
        <v>3000</v>
      </c>
      <c r="D9066" t="s">
        <v>293</v>
      </c>
      <c r="E9066" t="s">
        <v>256</v>
      </c>
      <c r="F9066" t="s">
        <v>3824</v>
      </c>
    </row>
    <row r="9067" spans="1:6" ht="13.2">
      <c r="A9067" t="s">
        <v>10279</v>
      </c>
      <c r="B9067">
        <v>0</v>
      </c>
      <c r="C9067" s="44">
        <v>3000</v>
      </c>
      <c r="D9067" t="s">
        <v>293</v>
      </c>
      <c r="E9067" t="s">
        <v>256</v>
      </c>
      <c r="F9067" t="s">
        <v>3824</v>
      </c>
    </row>
    <row r="9068" spans="1:6" ht="13.2">
      <c r="A9068" t="s">
        <v>10280</v>
      </c>
      <c r="B9068">
        <v>0</v>
      </c>
      <c r="C9068" s="44">
        <v>3000</v>
      </c>
      <c r="D9068" t="s">
        <v>293</v>
      </c>
      <c r="E9068" t="s">
        <v>256</v>
      </c>
      <c r="F9068" t="s">
        <v>3824</v>
      </c>
    </row>
    <row r="9069" spans="1:6" ht="13.2">
      <c r="A9069" t="s">
        <v>10281</v>
      </c>
      <c r="B9069">
        <v>0</v>
      </c>
      <c r="C9069" s="44">
        <v>3000</v>
      </c>
      <c r="D9069" t="s">
        <v>293</v>
      </c>
      <c r="E9069" t="s">
        <v>256</v>
      </c>
      <c r="F9069" t="s">
        <v>3824</v>
      </c>
    </row>
    <row r="9070" spans="1:6" ht="13.2">
      <c r="A9070" t="s">
        <v>10282</v>
      </c>
      <c r="B9070">
        <v>0</v>
      </c>
      <c r="C9070" s="44">
        <v>3000</v>
      </c>
      <c r="D9070" t="s">
        <v>293</v>
      </c>
      <c r="E9070" t="s">
        <v>256</v>
      </c>
      <c r="F9070" t="s">
        <v>3824</v>
      </c>
    </row>
    <row r="9071" spans="1:6" ht="13.2">
      <c r="A9071" t="s">
        <v>10290</v>
      </c>
      <c r="B9071">
        <v>0</v>
      </c>
      <c r="C9071" s="44" t="s">
        <v>4092</v>
      </c>
      <c r="D9071" t="s">
        <v>291</v>
      </c>
      <c r="E9071" t="s">
        <v>256</v>
      </c>
      <c r="F9071" t="s">
        <v>3824</v>
      </c>
    </row>
    <row r="9072" spans="1:6" ht="13.2">
      <c r="A9072" t="s">
        <v>10291</v>
      </c>
      <c r="B9072">
        <v>0</v>
      </c>
      <c r="C9072" s="44" t="s">
        <v>4092</v>
      </c>
      <c r="D9072" t="s">
        <v>291</v>
      </c>
      <c r="E9072" t="s">
        <v>256</v>
      </c>
      <c r="F9072" t="s">
        <v>3824</v>
      </c>
    </row>
    <row r="9073" spans="1:6" ht="13.2">
      <c r="A9073" t="s">
        <v>10292</v>
      </c>
      <c r="B9073">
        <v>0</v>
      </c>
      <c r="C9073" s="44" t="s">
        <v>4092</v>
      </c>
      <c r="D9073" t="s">
        <v>291</v>
      </c>
      <c r="E9073" t="s">
        <v>256</v>
      </c>
      <c r="F9073" t="s">
        <v>3824</v>
      </c>
    </row>
    <row r="9074" spans="1:6" ht="13.2">
      <c r="A9074" t="s">
        <v>10293</v>
      </c>
      <c r="B9074">
        <v>0</v>
      </c>
      <c r="C9074" s="44" t="s">
        <v>4092</v>
      </c>
      <c r="D9074" t="s">
        <v>291</v>
      </c>
      <c r="E9074" t="s">
        <v>256</v>
      </c>
      <c r="F9074" t="s">
        <v>3824</v>
      </c>
    </row>
    <row r="9075" spans="1:6" ht="13.2">
      <c r="A9075" t="s">
        <v>10294</v>
      </c>
      <c r="B9075">
        <v>0</v>
      </c>
      <c r="C9075" s="44" t="s">
        <v>4092</v>
      </c>
      <c r="D9075" t="s">
        <v>291</v>
      </c>
      <c r="E9075" t="s">
        <v>256</v>
      </c>
      <c r="F9075" t="s">
        <v>3824</v>
      </c>
    </row>
    <row r="9076" spans="1:6" ht="13.2">
      <c r="A9076" t="s">
        <v>10295</v>
      </c>
      <c r="B9076">
        <v>0</v>
      </c>
      <c r="C9076" s="44" t="s">
        <v>4092</v>
      </c>
      <c r="D9076" t="s">
        <v>291</v>
      </c>
      <c r="E9076" t="s">
        <v>256</v>
      </c>
      <c r="F9076" t="s">
        <v>3824</v>
      </c>
    </row>
    <row r="9077" spans="1:6" ht="13.2">
      <c r="A9077" t="s">
        <v>10296</v>
      </c>
      <c r="B9077">
        <v>0</v>
      </c>
      <c r="C9077" s="44" t="s">
        <v>4092</v>
      </c>
      <c r="D9077" t="s">
        <v>291</v>
      </c>
      <c r="E9077" t="s">
        <v>256</v>
      </c>
      <c r="F9077" t="s">
        <v>3824</v>
      </c>
    </row>
    <row r="9078" spans="1:6" ht="13.2">
      <c r="A9078" t="s">
        <v>10297</v>
      </c>
      <c r="B9078">
        <v>0</v>
      </c>
      <c r="C9078" s="44" t="s">
        <v>4092</v>
      </c>
      <c r="D9078" t="s">
        <v>291</v>
      </c>
      <c r="E9078" t="s">
        <v>256</v>
      </c>
      <c r="F9078" t="s">
        <v>3824</v>
      </c>
    </row>
    <row r="9079" spans="1:6" ht="13.2">
      <c r="A9079" t="s">
        <v>10298</v>
      </c>
      <c r="B9079">
        <v>0</v>
      </c>
      <c r="C9079" s="44" t="s">
        <v>4092</v>
      </c>
      <c r="D9079" t="s">
        <v>291</v>
      </c>
      <c r="E9079" t="s">
        <v>256</v>
      </c>
      <c r="F9079" t="s">
        <v>3824</v>
      </c>
    </row>
    <row r="9080" spans="1:6" ht="13.2">
      <c r="A9080" t="s">
        <v>10299</v>
      </c>
      <c r="B9080">
        <v>0</v>
      </c>
      <c r="C9080" s="44" t="s">
        <v>4092</v>
      </c>
      <c r="D9080" t="s">
        <v>291</v>
      </c>
      <c r="E9080" t="s">
        <v>256</v>
      </c>
      <c r="F9080" t="s">
        <v>3824</v>
      </c>
    </row>
    <row r="9081" spans="1:6" ht="13.2">
      <c r="A9081" t="s">
        <v>10300</v>
      </c>
      <c r="B9081">
        <v>0</v>
      </c>
      <c r="C9081" s="44" t="s">
        <v>4092</v>
      </c>
      <c r="D9081" t="s">
        <v>291</v>
      </c>
      <c r="E9081" t="s">
        <v>256</v>
      </c>
      <c r="F9081" t="s">
        <v>3824</v>
      </c>
    </row>
    <row r="9082" spans="1:6" ht="13.2">
      <c r="A9082" t="s">
        <v>10301</v>
      </c>
      <c r="B9082">
        <v>0</v>
      </c>
      <c r="C9082" s="44" t="s">
        <v>4092</v>
      </c>
      <c r="D9082" t="s">
        <v>291</v>
      </c>
      <c r="E9082" t="s">
        <v>256</v>
      </c>
      <c r="F9082" t="s">
        <v>3824</v>
      </c>
    </row>
    <row r="9083" spans="1:6" ht="13.2">
      <c r="A9083" t="s">
        <v>10302</v>
      </c>
      <c r="B9083">
        <v>0</v>
      </c>
      <c r="C9083" s="44" t="s">
        <v>4092</v>
      </c>
      <c r="D9083" t="s">
        <v>291</v>
      </c>
      <c r="E9083" t="s">
        <v>256</v>
      </c>
      <c r="F9083" t="s">
        <v>3824</v>
      </c>
    </row>
    <row r="9084" spans="1:6" ht="13.2">
      <c r="A9084" t="s">
        <v>10303</v>
      </c>
      <c r="B9084">
        <v>0</v>
      </c>
      <c r="C9084" s="44" t="s">
        <v>4092</v>
      </c>
      <c r="D9084" t="s">
        <v>291</v>
      </c>
      <c r="E9084" t="s">
        <v>256</v>
      </c>
      <c r="F9084" t="s">
        <v>3824</v>
      </c>
    </row>
    <row r="9085" spans="1:6" ht="13.2">
      <c r="A9085" t="s">
        <v>10283</v>
      </c>
      <c r="B9085">
        <v>0</v>
      </c>
      <c r="C9085" s="44" t="s">
        <v>201</v>
      </c>
      <c r="D9085" t="s">
        <v>291</v>
      </c>
      <c r="E9085" t="s">
        <v>257</v>
      </c>
      <c r="F9085">
        <v>4</v>
      </c>
    </row>
    <row r="9086" spans="1:6" ht="13.2">
      <c r="A9086" t="s">
        <v>10284</v>
      </c>
      <c r="B9086">
        <v>0</v>
      </c>
      <c r="C9086" s="44" t="s">
        <v>201</v>
      </c>
      <c r="D9086" t="s">
        <v>291</v>
      </c>
      <c r="E9086" t="s">
        <v>257</v>
      </c>
      <c r="F9086">
        <v>4</v>
      </c>
    </row>
    <row r="9087" spans="1:6" ht="13.2">
      <c r="A9087" t="s">
        <v>10285</v>
      </c>
      <c r="B9087">
        <v>0</v>
      </c>
      <c r="C9087" s="44" t="s">
        <v>201</v>
      </c>
      <c r="D9087" t="s">
        <v>291</v>
      </c>
      <c r="E9087" t="s">
        <v>257</v>
      </c>
      <c r="F9087">
        <v>4</v>
      </c>
    </row>
    <row r="9088" spans="1:6" ht="13.2">
      <c r="A9088" t="s">
        <v>10286</v>
      </c>
      <c r="B9088">
        <v>0</v>
      </c>
      <c r="C9088" s="44" t="s">
        <v>201</v>
      </c>
      <c r="D9088" t="s">
        <v>291</v>
      </c>
      <c r="E9088" t="s">
        <v>257</v>
      </c>
      <c r="F9088">
        <v>4</v>
      </c>
    </row>
    <row r="9089" spans="1:6" ht="13.2">
      <c r="A9089" t="s">
        <v>10287</v>
      </c>
      <c r="B9089">
        <v>0</v>
      </c>
      <c r="C9089" s="44" t="s">
        <v>201</v>
      </c>
      <c r="D9089" t="s">
        <v>291</v>
      </c>
      <c r="E9089" t="s">
        <v>257</v>
      </c>
      <c r="F9089">
        <v>4</v>
      </c>
    </row>
    <row r="9090" spans="1:6" ht="13.2">
      <c r="A9090" t="s">
        <v>10288</v>
      </c>
      <c r="B9090">
        <v>0</v>
      </c>
      <c r="C9090" s="44" t="s">
        <v>201</v>
      </c>
      <c r="D9090" t="s">
        <v>291</v>
      </c>
      <c r="E9090" t="s">
        <v>257</v>
      </c>
      <c r="F9090">
        <v>4</v>
      </c>
    </row>
    <row r="9091" spans="1:6" ht="13.2">
      <c r="A9091" t="s">
        <v>10289</v>
      </c>
      <c r="B9091">
        <v>0</v>
      </c>
      <c r="C9091" s="44" t="s">
        <v>201</v>
      </c>
      <c r="D9091" t="s">
        <v>291</v>
      </c>
      <c r="E9091" t="s">
        <v>257</v>
      </c>
      <c r="F9091">
        <v>4</v>
      </c>
    </row>
    <row r="9092" spans="1:6" ht="13.2">
      <c r="A9092" t="s">
        <v>10304</v>
      </c>
      <c r="B9092">
        <v>0</v>
      </c>
      <c r="C9092" s="44" t="s">
        <v>201</v>
      </c>
      <c r="D9092" t="s">
        <v>291</v>
      </c>
      <c r="E9092" t="s">
        <v>257</v>
      </c>
      <c r="F9092">
        <v>4</v>
      </c>
    </row>
    <row r="9093" spans="1:6" ht="13.2">
      <c r="A9093" t="s">
        <v>10305</v>
      </c>
      <c r="B9093">
        <v>0</v>
      </c>
      <c r="C9093" s="44" t="s">
        <v>201</v>
      </c>
      <c r="D9093" t="s">
        <v>291</v>
      </c>
      <c r="E9093" t="s">
        <v>257</v>
      </c>
      <c r="F9093">
        <v>4</v>
      </c>
    </row>
    <row r="9094" spans="1:6" ht="13.2">
      <c r="A9094" t="s">
        <v>10306</v>
      </c>
      <c r="B9094">
        <v>0</v>
      </c>
      <c r="C9094" s="44" t="s">
        <v>201</v>
      </c>
      <c r="D9094" t="s">
        <v>291</v>
      </c>
      <c r="E9094" t="s">
        <v>257</v>
      </c>
      <c r="F9094">
        <v>4</v>
      </c>
    </row>
    <row r="9095" spans="1:6" ht="13.2">
      <c r="A9095" t="s">
        <v>10307</v>
      </c>
      <c r="B9095">
        <v>0</v>
      </c>
      <c r="C9095" s="44" t="s">
        <v>201</v>
      </c>
      <c r="D9095" t="s">
        <v>291</v>
      </c>
      <c r="E9095" t="s">
        <v>257</v>
      </c>
      <c r="F9095">
        <v>4</v>
      </c>
    </row>
    <row r="9096" spans="1:6" ht="13.2">
      <c r="A9096" t="s">
        <v>10308</v>
      </c>
      <c r="B9096">
        <v>0</v>
      </c>
      <c r="C9096" s="44" t="s">
        <v>201</v>
      </c>
      <c r="D9096" t="s">
        <v>291</v>
      </c>
      <c r="E9096" t="s">
        <v>257</v>
      </c>
      <c r="F9096">
        <v>4</v>
      </c>
    </row>
    <row r="9097" spans="1:6" ht="13.2">
      <c r="A9097" t="s">
        <v>10309</v>
      </c>
      <c r="B9097">
        <v>0</v>
      </c>
      <c r="C9097" s="44" t="s">
        <v>201</v>
      </c>
      <c r="D9097" t="s">
        <v>291</v>
      </c>
      <c r="E9097" t="s">
        <v>257</v>
      </c>
      <c r="F9097">
        <v>4</v>
      </c>
    </row>
    <row r="9098" spans="1:6" ht="13.2">
      <c r="A9098" t="s">
        <v>10310</v>
      </c>
      <c r="B9098">
        <v>0</v>
      </c>
      <c r="C9098" s="44" t="s">
        <v>201</v>
      </c>
      <c r="D9098" t="s">
        <v>291</v>
      </c>
      <c r="E9098" t="s">
        <v>257</v>
      </c>
      <c r="F9098">
        <v>4</v>
      </c>
    </row>
    <row r="9099" spans="1:6" ht="13.2">
      <c r="A9099" t="s">
        <v>10311</v>
      </c>
      <c r="B9099">
        <v>0</v>
      </c>
      <c r="C9099" s="44" t="s">
        <v>201</v>
      </c>
      <c r="D9099" t="s">
        <v>291</v>
      </c>
      <c r="E9099" t="s">
        <v>257</v>
      </c>
      <c r="F9099">
        <v>4</v>
      </c>
    </row>
    <row r="9100" spans="1:6" ht="13.2">
      <c r="A9100" t="s">
        <v>10312</v>
      </c>
      <c r="B9100">
        <v>0</v>
      </c>
      <c r="C9100" s="44" t="s">
        <v>201</v>
      </c>
      <c r="D9100" t="s">
        <v>291</v>
      </c>
      <c r="E9100" t="s">
        <v>257</v>
      </c>
      <c r="F9100">
        <v>4</v>
      </c>
    </row>
    <row r="9101" spans="1:6" ht="13.2">
      <c r="A9101" t="s">
        <v>10313</v>
      </c>
      <c r="B9101">
        <v>0</v>
      </c>
      <c r="C9101" s="44" t="s">
        <v>201</v>
      </c>
      <c r="D9101" t="s">
        <v>291</v>
      </c>
      <c r="E9101" t="s">
        <v>257</v>
      </c>
      <c r="F9101">
        <v>4</v>
      </c>
    </row>
    <row r="9102" spans="1:6" ht="13.2">
      <c r="A9102" t="s">
        <v>10314</v>
      </c>
      <c r="B9102">
        <v>0</v>
      </c>
      <c r="C9102" s="44" t="s">
        <v>201</v>
      </c>
      <c r="D9102" t="s">
        <v>291</v>
      </c>
      <c r="E9102" t="s">
        <v>257</v>
      </c>
      <c r="F9102">
        <v>4</v>
      </c>
    </row>
    <row r="9103" spans="1:6" ht="13.2">
      <c r="A9103" t="s">
        <v>10315</v>
      </c>
      <c r="B9103">
        <v>0</v>
      </c>
      <c r="C9103" s="44" t="s">
        <v>201</v>
      </c>
      <c r="D9103" t="s">
        <v>291</v>
      </c>
      <c r="E9103" t="s">
        <v>257</v>
      </c>
      <c r="F9103">
        <v>4</v>
      </c>
    </row>
    <row r="9104" spans="1:6" ht="13.2">
      <c r="A9104" t="s">
        <v>10316</v>
      </c>
      <c r="B9104">
        <v>0</v>
      </c>
      <c r="C9104" s="44" t="s">
        <v>201</v>
      </c>
      <c r="D9104" t="s">
        <v>291</v>
      </c>
      <c r="E9104" t="s">
        <v>257</v>
      </c>
      <c r="F9104">
        <v>4</v>
      </c>
    </row>
    <row r="9105" spans="1:6" ht="13.2">
      <c r="A9105" t="s">
        <v>10317</v>
      </c>
      <c r="B9105">
        <v>0</v>
      </c>
      <c r="C9105" s="44" t="s">
        <v>201</v>
      </c>
      <c r="D9105" t="s">
        <v>291</v>
      </c>
      <c r="E9105" t="s">
        <v>257</v>
      </c>
      <c r="F9105">
        <v>4</v>
      </c>
    </row>
    <row r="9106" spans="1:6" ht="13.2">
      <c r="A9106" t="s">
        <v>10318</v>
      </c>
      <c r="B9106">
        <v>0</v>
      </c>
      <c r="C9106" s="44" t="s">
        <v>201</v>
      </c>
      <c r="D9106" t="s">
        <v>291</v>
      </c>
      <c r="E9106" t="s">
        <v>257</v>
      </c>
      <c r="F9106">
        <v>4</v>
      </c>
    </row>
    <row r="9107" spans="1:6" ht="13.2">
      <c r="A9107" t="s">
        <v>10330</v>
      </c>
      <c r="B9107">
        <v>0</v>
      </c>
      <c r="C9107" s="44" t="s">
        <v>203</v>
      </c>
      <c r="D9107" t="s">
        <v>293</v>
      </c>
      <c r="E9107" t="s">
        <v>555</v>
      </c>
      <c r="F9107" t="s">
        <v>9117</v>
      </c>
    </row>
    <row r="9108" spans="1:6" ht="13.2">
      <c r="A9108" t="s">
        <v>10331</v>
      </c>
      <c r="B9108">
        <v>0</v>
      </c>
      <c r="C9108" s="44" t="s">
        <v>203</v>
      </c>
      <c r="D9108" t="s">
        <v>293</v>
      </c>
      <c r="E9108" t="s">
        <v>555</v>
      </c>
      <c r="F9108" t="s">
        <v>9117</v>
      </c>
    </row>
    <row r="9109" spans="1:6" ht="13.2">
      <c r="A9109" t="s">
        <v>10332</v>
      </c>
      <c r="B9109">
        <v>0</v>
      </c>
      <c r="C9109" s="44" t="s">
        <v>203</v>
      </c>
      <c r="D9109" t="s">
        <v>293</v>
      </c>
      <c r="E9109" t="s">
        <v>555</v>
      </c>
      <c r="F9109" t="s">
        <v>9117</v>
      </c>
    </row>
    <row r="9110" spans="1:6" ht="13.2">
      <c r="A9110" t="s">
        <v>10333</v>
      </c>
      <c r="B9110">
        <v>0</v>
      </c>
      <c r="C9110" s="44" t="s">
        <v>203</v>
      </c>
      <c r="D9110" t="s">
        <v>293</v>
      </c>
      <c r="E9110" t="s">
        <v>555</v>
      </c>
      <c r="F9110" t="s">
        <v>9117</v>
      </c>
    </row>
    <row r="9111" spans="1:6" ht="13.2">
      <c r="A9111" t="s">
        <v>10334</v>
      </c>
      <c r="B9111">
        <v>0</v>
      </c>
      <c r="C9111" s="44" t="s">
        <v>203</v>
      </c>
      <c r="D9111" t="s">
        <v>293</v>
      </c>
      <c r="E9111" t="s">
        <v>555</v>
      </c>
      <c r="F9111" t="s">
        <v>9117</v>
      </c>
    </row>
    <row r="9112" spans="1:6" ht="13.2">
      <c r="A9112" t="s">
        <v>10335</v>
      </c>
      <c r="B9112">
        <v>0</v>
      </c>
      <c r="C9112" s="44" t="s">
        <v>203</v>
      </c>
      <c r="D9112" t="s">
        <v>291</v>
      </c>
      <c r="E9112" t="s">
        <v>555</v>
      </c>
      <c r="F9112" t="s">
        <v>9117</v>
      </c>
    </row>
    <row r="9113" spans="1:6" ht="13.2">
      <c r="A9113" t="s">
        <v>10336</v>
      </c>
      <c r="B9113">
        <v>0</v>
      </c>
      <c r="C9113" s="44" t="s">
        <v>203</v>
      </c>
      <c r="D9113" t="s">
        <v>291</v>
      </c>
      <c r="E9113" t="s">
        <v>555</v>
      </c>
      <c r="F9113" t="s">
        <v>9117</v>
      </c>
    </row>
    <row r="9114" spans="1:6" ht="13.2">
      <c r="A9114" t="s">
        <v>10337</v>
      </c>
      <c r="B9114">
        <v>0</v>
      </c>
      <c r="C9114" s="44" t="s">
        <v>203</v>
      </c>
      <c r="D9114" t="s">
        <v>291</v>
      </c>
      <c r="E9114" t="s">
        <v>555</v>
      </c>
      <c r="F9114" t="s">
        <v>9117</v>
      </c>
    </row>
    <row r="9115" spans="1:6" ht="13.2">
      <c r="A9115" t="s">
        <v>10338</v>
      </c>
      <c r="B9115">
        <v>0</v>
      </c>
      <c r="C9115" s="44" t="s">
        <v>203</v>
      </c>
      <c r="D9115" t="s">
        <v>291</v>
      </c>
      <c r="E9115" t="s">
        <v>555</v>
      </c>
      <c r="F9115" t="s">
        <v>9117</v>
      </c>
    </row>
    <row r="9116" spans="1:6" ht="13.2">
      <c r="A9116" t="s">
        <v>10339</v>
      </c>
      <c r="B9116">
        <v>0</v>
      </c>
      <c r="C9116" s="44" t="s">
        <v>203</v>
      </c>
      <c r="D9116" t="s">
        <v>291</v>
      </c>
      <c r="E9116" t="s">
        <v>555</v>
      </c>
      <c r="F9116" t="s">
        <v>9117</v>
      </c>
    </row>
    <row r="9117" spans="1:6" ht="13.2">
      <c r="A9117" t="s">
        <v>10341</v>
      </c>
      <c r="B9117">
        <v>685</v>
      </c>
      <c r="C9117" s="44">
        <v>1370</v>
      </c>
      <c r="D9117" t="s">
        <v>291</v>
      </c>
      <c r="E9117" t="s">
        <v>577</v>
      </c>
      <c r="F9117">
        <v>10</v>
      </c>
    </row>
    <row r="9118" spans="1:6" ht="13.2">
      <c r="A9118" t="s">
        <v>10342</v>
      </c>
      <c r="B9118">
        <v>685</v>
      </c>
      <c r="C9118" s="44">
        <v>1370</v>
      </c>
      <c r="D9118" t="s">
        <v>291</v>
      </c>
      <c r="E9118" t="s">
        <v>577</v>
      </c>
      <c r="F9118">
        <v>10</v>
      </c>
    </row>
    <row r="9119" spans="1:6" ht="13.2">
      <c r="A9119" t="s">
        <v>10343</v>
      </c>
      <c r="B9119">
        <v>0</v>
      </c>
      <c r="C9119" s="44" t="s">
        <v>9706</v>
      </c>
      <c r="D9119" t="s">
        <v>293</v>
      </c>
      <c r="E9119" t="s">
        <v>10344</v>
      </c>
      <c r="F9119" t="s">
        <v>3824</v>
      </c>
    </row>
    <row r="9120" spans="1:6" ht="13.2">
      <c r="A9120" t="s">
        <v>10345</v>
      </c>
      <c r="B9120">
        <v>0</v>
      </c>
      <c r="C9120" s="44" t="s">
        <v>9706</v>
      </c>
      <c r="D9120" t="s">
        <v>293</v>
      </c>
      <c r="E9120" t="s">
        <v>10344</v>
      </c>
      <c r="F9120" t="s">
        <v>3824</v>
      </c>
    </row>
    <row r="9121" spans="1:6" ht="13.2">
      <c r="A9121" t="s">
        <v>10346</v>
      </c>
      <c r="B9121">
        <v>0</v>
      </c>
      <c r="C9121" s="44" t="s">
        <v>9706</v>
      </c>
      <c r="D9121" t="s">
        <v>293</v>
      </c>
      <c r="E9121" t="s">
        <v>10344</v>
      </c>
      <c r="F9121" t="s">
        <v>3824</v>
      </c>
    </row>
    <row r="9122" spans="1:6" ht="13.2">
      <c r="A9122" t="s">
        <v>10347</v>
      </c>
      <c r="B9122">
        <v>0</v>
      </c>
      <c r="C9122" s="44" t="s">
        <v>9706</v>
      </c>
      <c r="D9122" t="s">
        <v>293</v>
      </c>
      <c r="E9122" t="s">
        <v>10344</v>
      </c>
      <c r="F9122" t="s">
        <v>3824</v>
      </c>
    </row>
    <row r="9123" spans="1:6" ht="13.2">
      <c r="A9123" t="s">
        <v>10348</v>
      </c>
      <c r="B9123">
        <v>0</v>
      </c>
      <c r="C9123" s="44" t="s">
        <v>9706</v>
      </c>
      <c r="D9123" t="s">
        <v>293</v>
      </c>
      <c r="E9123" t="s">
        <v>10344</v>
      </c>
      <c r="F9123" t="s">
        <v>3824</v>
      </c>
    </row>
    <row r="9124" spans="1:6" ht="13.2">
      <c r="A9124" t="s">
        <v>10349</v>
      </c>
      <c r="B9124">
        <v>0</v>
      </c>
      <c r="C9124" s="44" t="s">
        <v>9706</v>
      </c>
      <c r="D9124" t="s">
        <v>293</v>
      </c>
      <c r="E9124" t="s">
        <v>10344</v>
      </c>
      <c r="F9124" t="s">
        <v>3824</v>
      </c>
    </row>
    <row r="9125" spans="1:6" ht="13.2">
      <c r="A9125" t="s">
        <v>10350</v>
      </c>
      <c r="B9125">
        <v>0</v>
      </c>
      <c r="C9125" s="44" t="s">
        <v>9706</v>
      </c>
      <c r="D9125" t="s">
        <v>293</v>
      </c>
      <c r="E9125" t="s">
        <v>10344</v>
      </c>
      <c r="F9125" t="s">
        <v>3824</v>
      </c>
    </row>
    <row r="9126" spans="1:6" ht="13.2">
      <c r="A9126" t="s">
        <v>10351</v>
      </c>
      <c r="B9126">
        <v>0</v>
      </c>
      <c r="C9126" s="44" t="s">
        <v>9706</v>
      </c>
      <c r="D9126" t="s">
        <v>293</v>
      </c>
      <c r="E9126" t="s">
        <v>10344</v>
      </c>
      <c r="F9126" t="s">
        <v>3824</v>
      </c>
    </row>
    <row r="9127" spans="1:6" ht="13.2">
      <c r="A9127" t="s">
        <v>10352</v>
      </c>
      <c r="B9127">
        <v>0</v>
      </c>
      <c r="C9127" s="44" t="s">
        <v>9706</v>
      </c>
      <c r="D9127" t="s">
        <v>293</v>
      </c>
      <c r="E9127" t="s">
        <v>10344</v>
      </c>
      <c r="F9127" t="s">
        <v>3824</v>
      </c>
    </row>
    <row r="9128" spans="1:6" ht="13.2">
      <c r="A9128" t="s">
        <v>10353</v>
      </c>
      <c r="B9128">
        <v>0</v>
      </c>
      <c r="C9128" s="44" t="s">
        <v>9706</v>
      </c>
      <c r="D9128" t="s">
        <v>293</v>
      </c>
      <c r="E9128" t="s">
        <v>10344</v>
      </c>
      <c r="F9128" t="s">
        <v>3824</v>
      </c>
    </row>
    <row r="9129" spans="1:6" ht="13.2">
      <c r="A9129" t="s">
        <v>10354</v>
      </c>
      <c r="B9129">
        <v>0</v>
      </c>
      <c r="C9129" s="44" t="s">
        <v>9706</v>
      </c>
      <c r="D9129" t="s">
        <v>293</v>
      </c>
      <c r="E9129" t="s">
        <v>10344</v>
      </c>
      <c r="F9129" t="s">
        <v>3824</v>
      </c>
    </row>
    <row r="9130" spans="1:6" ht="13.2">
      <c r="A9130" t="s">
        <v>10355</v>
      </c>
      <c r="B9130">
        <v>0</v>
      </c>
      <c r="C9130" s="44" t="s">
        <v>351</v>
      </c>
      <c r="D9130" t="s">
        <v>293</v>
      </c>
      <c r="E9130" t="s">
        <v>10356</v>
      </c>
      <c r="F9130" t="s">
        <v>3824</v>
      </c>
    </row>
    <row r="9131" spans="1:6" ht="13.2">
      <c r="A9131" t="s">
        <v>10357</v>
      </c>
      <c r="B9131">
        <v>0</v>
      </c>
      <c r="C9131" s="44" t="s">
        <v>351</v>
      </c>
      <c r="D9131" t="s">
        <v>293</v>
      </c>
      <c r="E9131" t="s">
        <v>10356</v>
      </c>
      <c r="F9131" t="s">
        <v>3824</v>
      </c>
    </row>
    <row r="9132" spans="1:6" ht="13.2">
      <c r="A9132" t="s">
        <v>10358</v>
      </c>
      <c r="B9132">
        <v>0</v>
      </c>
      <c r="C9132" s="44" t="s">
        <v>351</v>
      </c>
      <c r="D9132" t="s">
        <v>293</v>
      </c>
      <c r="E9132" t="s">
        <v>10356</v>
      </c>
      <c r="F9132" t="s">
        <v>3824</v>
      </c>
    </row>
    <row r="9133" spans="1:6" ht="13.2">
      <c r="A9133" t="s">
        <v>10359</v>
      </c>
      <c r="B9133">
        <v>0</v>
      </c>
      <c r="C9133" s="44" t="s">
        <v>351</v>
      </c>
      <c r="D9133" t="s">
        <v>293</v>
      </c>
      <c r="E9133" t="s">
        <v>10356</v>
      </c>
      <c r="F9133" t="s">
        <v>3824</v>
      </c>
    </row>
    <row r="9134" spans="1:6" ht="13.2">
      <c r="A9134" t="s">
        <v>10360</v>
      </c>
      <c r="B9134">
        <v>0</v>
      </c>
      <c r="C9134" s="44" t="s">
        <v>351</v>
      </c>
      <c r="D9134" t="s">
        <v>293</v>
      </c>
      <c r="E9134" t="s">
        <v>10356</v>
      </c>
      <c r="F9134" t="s">
        <v>3824</v>
      </c>
    </row>
    <row r="9135" spans="1:6" ht="13.2">
      <c r="A9135" t="s">
        <v>10361</v>
      </c>
      <c r="B9135">
        <v>0</v>
      </c>
      <c r="C9135" s="44" t="s">
        <v>351</v>
      </c>
      <c r="D9135" t="s">
        <v>293</v>
      </c>
      <c r="E9135" t="s">
        <v>10356</v>
      </c>
      <c r="F9135" t="s">
        <v>3824</v>
      </c>
    </row>
    <row r="9136" spans="1:6" ht="13.2">
      <c r="A9136" t="s">
        <v>10362</v>
      </c>
      <c r="B9136">
        <v>0</v>
      </c>
      <c r="C9136" s="44" t="s">
        <v>351</v>
      </c>
      <c r="D9136" t="s">
        <v>293</v>
      </c>
      <c r="E9136" t="s">
        <v>10356</v>
      </c>
      <c r="F9136" t="s">
        <v>3824</v>
      </c>
    </row>
    <row r="9137" spans="1:6" ht="13.2">
      <c r="A9137" t="s">
        <v>10363</v>
      </c>
      <c r="B9137">
        <v>300</v>
      </c>
      <c r="C9137" s="44" t="s">
        <v>9648</v>
      </c>
      <c r="D9137" t="s">
        <v>293</v>
      </c>
      <c r="E9137" t="s">
        <v>256</v>
      </c>
      <c r="F9137" t="s">
        <v>3824</v>
      </c>
    </row>
    <row r="9138" spans="1:6" ht="13.2">
      <c r="A9138" t="s">
        <v>10364</v>
      </c>
      <c r="B9138">
        <v>300</v>
      </c>
      <c r="C9138" s="44" t="s">
        <v>9648</v>
      </c>
      <c r="D9138" t="s">
        <v>293</v>
      </c>
      <c r="E9138" t="s">
        <v>256</v>
      </c>
      <c r="F9138" t="s">
        <v>3824</v>
      </c>
    </row>
    <row r="9139" spans="1:6" ht="13.2">
      <c r="A9139" t="s">
        <v>10365</v>
      </c>
      <c r="B9139">
        <v>357</v>
      </c>
      <c r="C9139" s="44" t="s">
        <v>9648</v>
      </c>
      <c r="D9139" t="s">
        <v>293</v>
      </c>
      <c r="E9139" t="s">
        <v>256</v>
      </c>
      <c r="F9139" t="s">
        <v>3824</v>
      </c>
    </row>
    <row r="9140" spans="1:6" ht="13.2">
      <c r="A9140" t="s">
        <v>10366</v>
      </c>
      <c r="B9140">
        <v>357</v>
      </c>
      <c r="C9140" s="44" t="s">
        <v>9648</v>
      </c>
      <c r="D9140" t="s">
        <v>293</v>
      </c>
      <c r="E9140" t="s">
        <v>256</v>
      </c>
      <c r="F9140" t="s">
        <v>3824</v>
      </c>
    </row>
    <row r="9141" spans="1:6" ht="13.2">
      <c r="A9141" t="s">
        <v>10367</v>
      </c>
      <c r="B9141">
        <v>470</v>
      </c>
      <c r="C9141" s="44" t="s">
        <v>9648</v>
      </c>
      <c r="D9141" t="s">
        <v>293</v>
      </c>
      <c r="E9141" t="s">
        <v>256</v>
      </c>
      <c r="F9141" t="s">
        <v>3824</v>
      </c>
    </row>
    <row r="9142" spans="1:6" ht="13.2">
      <c r="A9142" t="s">
        <v>10368</v>
      </c>
      <c r="B9142">
        <v>470</v>
      </c>
      <c r="C9142" s="44" t="s">
        <v>9648</v>
      </c>
      <c r="D9142" t="s">
        <v>293</v>
      </c>
      <c r="E9142" t="s">
        <v>256</v>
      </c>
      <c r="F9142" t="s">
        <v>3824</v>
      </c>
    </row>
    <row r="9143" spans="1:6" ht="13.2">
      <c r="A9143" t="s">
        <v>10369</v>
      </c>
      <c r="B9143">
        <v>470</v>
      </c>
      <c r="C9143" s="44" t="s">
        <v>9648</v>
      </c>
      <c r="D9143" t="s">
        <v>293</v>
      </c>
      <c r="E9143" t="s">
        <v>256</v>
      </c>
      <c r="F9143" t="s">
        <v>3824</v>
      </c>
    </row>
    <row r="9144" spans="1:6" ht="13.2">
      <c r="A9144" t="s">
        <v>10370</v>
      </c>
      <c r="B9144">
        <v>470</v>
      </c>
      <c r="C9144" s="44" t="s">
        <v>9648</v>
      </c>
      <c r="D9144" t="s">
        <v>293</v>
      </c>
      <c r="E9144" t="s">
        <v>256</v>
      </c>
      <c r="F9144" t="s">
        <v>3824</v>
      </c>
    </row>
    <row r="9145" spans="1:6" ht="13.2">
      <c r="A9145" t="s">
        <v>10371</v>
      </c>
      <c r="B9145">
        <v>365</v>
      </c>
      <c r="C9145" s="44" t="s">
        <v>9648</v>
      </c>
      <c r="D9145" t="s">
        <v>293</v>
      </c>
      <c r="E9145" t="s">
        <v>256</v>
      </c>
      <c r="F9145" t="s">
        <v>3824</v>
      </c>
    </row>
    <row r="9146" spans="1:6" ht="13.2">
      <c r="A9146" t="s">
        <v>10372</v>
      </c>
      <c r="B9146">
        <v>365</v>
      </c>
      <c r="C9146" s="44" t="s">
        <v>9648</v>
      </c>
      <c r="D9146" t="s">
        <v>293</v>
      </c>
      <c r="E9146" t="s">
        <v>256</v>
      </c>
      <c r="F9146" t="s">
        <v>3824</v>
      </c>
    </row>
    <row r="9147" spans="1:6" ht="13.2">
      <c r="A9147" t="s">
        <v>10373</v>
      </c>
      <c r="B9147">
        <v>0</v>
      </c>
      <c r="C9147" s="44" t="s">
        <v>201</v>
      </c>
      <c r="D9147" t="s">
        <v>293</v>
      </c>
      <c r="E9147" t="s">
        <v>256</v>
      </c>
      <c r="F9147">
        <v>4</v>
      </c>
    </row>
    <row r="9148" spans="1:6" ht="13.2">
      <c r="A9148" t="s">
        <v>10374</v>
      </c>
      <c r="B9148">
        <v>0</v>
      </c>
      <c r="C9148" s="44" t="s">
        <v>201</v>
      </c>
      <c r="D9148" t="s">
        <v>293</v>
      </c>
      <c r="E9148" t="s">
        <v>256</v>
      </c>
      <c r="F9148">
        <v>4</v>
      </c>
    </row>
    <row r="9149" spans="1:6" ht="13.2">
      <c r="A9149" t="s">
        <v>10375</v>
      </c>
      <c r="B9149">
        <v>0</v>
      </c>
      <c r="C9149" s="44" t="s">
        <v>201</v>
      </c>
      <c r="D9149" t="s">
        <v>293</v>
      </c>
      <c r="E9149" t="s">
        <v>256</v>
      </c>
      <c r="F9149">
        <v>4</v>
      </c>
    </row>
    <row r="9150" spans="1:6" ht="13.2">
      <c r="A9150" t="s">
        <v>10376</v>
      </c>
      <c r="B9150">
        <v>0</v>
      </c>
      <c r="C9150" s="44" t="s">
        <v>201</v>
      </c>
      <c r="D9150" t="s">
        <v>293</v>
      </c>
      <c r="E9150" t="s">
        <v>256</v>
      </c>
      <c r="F9150">
        <v>4</v>
      </c>
    </row>
    <row r="9151" spans="1:6" ht="13.2">
      <c r="A9151" t="s">
        <v>10377</v>
      </c>
      <c r="B9151">
        <v>0</v>
      </c>
      <c r="C9151" s="44" t="s">
        <v>201</v>
      </c>
      <c r="D9151" t="s">
        <v>293</v>
      </c>
      <c r="E9151" t="s">
        <v>256</v>
      </c>
      <c r="F9151">
        <v>4</v>
      </c>
    </row>
    <row r="9152" spans="1:6" ht="13.2">
      <c r="A9152" t="s">
        <v>10378</v>
      </c>
      <c r="B9152">
        <v>0</v>
      </c>
      <c r="C9152" s="44" t="s">
        <v>201</v>
      </c>
      <c r="D9152" t="s">
        <v>293</v>
      </c>
      <c r="E9152" t="s">
        <v>256</v>
      </c>
      <c r="F9152">
        <v>4</v>
      </c>
    </row>
    <row r="9153" spans="1:6" ht="13.2">
      <c r="A9153" t="s">
        <v>10379</v>
      </c>
      <c r="B9153">
        <v>0</v>
      </c>
      <c r="C9153" s="44" t="s">
        <v>201</v>
      </c>
      <c r="D9153" t="s">
        <v>293</v>
      </c>
      <c r="E9153" t="s">
        <v>256</v>
      </c>
      <c r="F9153">
        <v>4</v>
      </c>
    </row>
    <row r="9154" spans="1:6" ht="13.2">
      <c r="A9154" t="s">
        <v>10380</v>
      </c>
      <c r="B9154">
        <v>0</v>
      </c>
      <c r="C9154" s="44" t="s">
        <v>9021</v>
      </c>
      <c r="D9154" t="s">
        <v>293</v>
      </c>
      <c r="E9154" t="s">
        <v>10381</v>
      </c>
      <c r="F9154">
        <v>142474</v>
      </c>
    </row>
    <row r="9155" spans="1:6" ht="13.2">
      <c r="A9155" t="s">
        <v>10382</v>
      </c>
      <c r="B9155">
        <v>0</v>
      </c>
      <c r="C9155" s="44" t="s">
        <v>9021</v>
      </c>
      <c r="D9155" t="s">
        <v>293</v>
      </c>
      <c r="E9155" t="s">
        <v>10381</v>
      </c>
      <c r="F9155">
        <v>142474</v>
      </c>
    </row>
    <row r="9156" spans="1:6" ht="13.2">
      <c r="A9156" t="s">
        <v>10383</v>
      </c>
      <c r="B9156">
        <v>0</v>
      </c>
      <c r="C9156" s="44" t="s">
        <v>9021</v>
      </c>
      <c r="D9156" t="s">
        <v>293</v>
      </c>
      <c r="E9156" t="s">
        <v>10381</v>
      </c>
      <c r="F9156">
        <v>142474</v>
      </c>
    </row>
    <row r="9157" spans="1:6" ht="13.2">
      <c r="A9157" t="s">
        <v>10384</v>
      </c>
      <c r="B9157">
        <v>0</v>
      </c>
      <c r="C9157" s="44" t="s">
        <v>9021</v>
      </c>
      <c r="D9157" t="s">
        <v>293</v>
      </c>
      <c r="E9157" t="s">
        <v>10381</v>
      </c>
      <c r="F9157">
        <v>142474</v>
      </c>
    </row>
    <row r="9158" spans="1:6" ht="13.2">
      <c r="A9158" t="s">
        <v>10385</v>
      </c>
      <c r="B9158">
        <v>0</v>
      </c>
      <c r="C9158" s="44" t="s">
        <v>9021</v>
      </c>
      <c r="D9158" t="s">
        <v>293</v>
      </c>
      <c r="E9158" t="s">
        <v>10381</v>
      </c>
      <c r="F9158">
        <v>142474</v>
      </c>
    </row>
    <row r="9159" spans="1:6" ht="13.2">
      <c r="A9159" t="s">
        <v>10386</v>
      </c>
      <c r="B9159">
        <v>730</v>
      </c>
      <c r="C9159" s="44" t="s">
        <v>204</v>
      </c>
      <c r="D9159" t="s">
        <v>293</v>
      </c>
      <c r="E9159" t="s">
        <v>256</v>
      </c>
      <c r="F9159">
        <v>14</v>
      </c>
    </row>
    <row r="9160" spans="1:6" ht="13.2">
      <c r="A9160" t="s">
        <v>10387</v>
      </c>
      <c r="B9160">
        <v>730</v>
      </c>
      <c r="C9160" s="44" t="s">
        <v>204</v>
      </c>
      <c r="D9160" t="s">
        <v>293</v>
      </c>
      <c r="E9160" t="s">
        <v>256</v>
      </c>
      <c r="F9160">
        <v>14</v>
      </c>
    </row>
    <row r="9161" spans="1:6" ht="13.2">
      <c r="A9161" t="s">
        <v>10388</v>
      </c>
      <c r="B9161">
        <v>730</v>
      </c>
      <c r="C9161" s="44" t="s">
        <v>204</v>
      </c>
      <c r="D9161" t="s">
        <v>293</v>
      </c>
      <c r="E9161" t="s">
        <v>256</v>
      </c>
      <c r="F9161">
        <v>14</v>
      </c>
    </row>
    <row r="9162" spans="1:6" ht="13.2">
      <c r="A9162" t="s">
        <v>10389</v>
      </c>
      <c r="B9162">
        <v>730</v>
      </c>
      <c r="C9162" s="44" t="s">
        <v>204</v>
      </c>
      <c r="D9162" t="s">
        <v>293</v>
      </c>
      <c r="E9162" t="s">
        <v>256</v>
      </c>
      <c r="F9162">
        <v>14</v>
      </c>
    </row>
    <row r="9163" spans="1:6" ht="13.2">
      <c r="A9163" t="s">
        <v>10390</v>
      </c>
      <c r="B9163">
        <v>0</v>
      </c>
      <c r="C9163" s="44" t="s">
        <v>204</v>
      </c>
      <c r="D9163" t="s">
        <v>293</v>
      </c>
      <c r="E9163" t="s">
        <v>364</v>
      </c>
      <c r="F9163">
        <v>4</v>
      </c>
    </row>
    <row r="9164" spans="1:6" ht="13.2">
      <c r="A9164" t="s">
        <v>1236</v>
      </c>
      <c r="B9164">
        <v>0</v>
      </c>
      <c r="C9164" s="44" t="s">
        <v>204</v>
      </c>
      <c r="D9164" t="s">
        <v>293</v>
      </c>
      <c r="E9164" t="s">
        <v>364</v>
      </c>
      <c r="F9164">
        <v>4</v>
      </c>
    </row>
    <row r="9165" spans="1:6" ht="13.2">
      <c r="A9165" t="s">
        <v>1237</v>
      </c>
      <c r="B9165">
        <v>0</v>
      </c>
      <c r="C9165" s="44" t="s">
        <v>204</v>
      </c>
      <c r="D9165" t="s">
        <v>293</v>
      </c>
      <c r="E9165" t="s">
        <v>364</v>
      </c>
      <c r="F9165">
        <v>4</v>
      </c>
    </row>
    <row r="9166" spans="1:6" ht="13.2">
      <c r="A9166" t="s">
        <v>1238</v>
      </c>
      <c r="B9166">
        <v>0</v>
      </c>
      <c r="C9166" s="44" t="s">
        <v>204</v>
      </c>
      <c r="D9166" t="s">
        <v>293</v>
      </c>
      <c r="E9166" t="s">
        <v>364</v>
      </c>
      <c r="F9166">
        <v>4</v>
      </c>
    </row>
    <row r="9167" spans="1:6" ht="13.2">
      <c r="A9167" t="s">
        <v>1239</v>
      </c>
      <c r="B9167">
        <v>0</v>
      </c>
      <c r="C9167" s="44" t="s">
        <v>204</v>
      </c>
      <c r="D9167" t="s">
        <v>293</v>
      </c>
      <c r="E9167" t="s">
        <v>364</v>
      </c>
      <c r="F9167">
        <v>4</v>
      </c>
    </row>
    <row r="9168" spans="1:6" ht="13.2">
      <c r="A9168" t="s">
        <v>1240</v>
      </c>
      <c r="B9168">
        <v>0</v>
      </c>
      <c r="C9168" s="44" t="s">
        <v>204</v>
      </c>
      <c r="D9168" t="s">
        <v>293</v>
      </c>
      <c r="E9168" t="s">
        <v>364</v>
      </c>
      <c r="F9168">
        <v>4</v>
      </c>
    </row>
    <row r="9169" spans="1:6" ht="13.2">
      <c r="A9169" t="s">
        <v>1241</v>
      </c>
      <c r="B9169">
        <v>0</v>
      </c>
      <c r="C9169" s="44" t="s">
        <v>204</v>
      </c>
      <c r="D9169" t="s">
        <v>293</v>
      </c>
      <c r="E9169" t="s">
        <v>364</v>
      </c>
      <c r="F9169">
        <v>4</v>
      </c>
    </row>
    <row r="9170" spans="1:6" ht="13.2">
      <c r="A9170" t="s">
        <v>10391</v>
      </c>
      <c r="B9170">
        <v>0</v>
      </c>
      <c r="C9170" s="44" t="s">
        <v>204</v>
      </c>
      <c r="D9170" t="s">
        <v>293</v>
      </c>
      <c r="E9170" t="s">
        <v>364</v>
      </c>
      <c r="F9170">
        <v>4</v>
      </c>
    </row>
    <row r="9171" spans="1:6" ht="13.2">
      <c r="A9171" t="s">
        <v>10392</v>
      </c>
      <c r="B9171">
        <v>0</v>
      </c>
      <c r="C9171" s="44" t="s">
        <v>204</v>
      </c>
      <c r="D9171" t="s">
        <v>293</v>
      </c>
      <c r="E9171" t="s">
        <v>364</v>
      </c>
      <c r="F9171">
        <v>4</v>
      </c>
    </row>
    <row r="9172" spans="1:6" ht="13.2">
      <c r="A9172" t="s">
        <v>10393</v>
      </c>
      <c r="B9172">
        <v>0</v>
      </c>
      <c r="C9172" s="44" t="s">
        <v>204</v>
      </c>
      <c r="D9172" t="s">
        <v>293</v>
      </c>
      <c r="E9172" t="s">
        <v>364</v>
      </c>
      <c r="F9172">
        <v>4</v>
      </c>
    </row>
    <row r="9173" spans="1:6" ht="13.2">
      <c r="A9173" t="s">
        <v>10394</v>
      </c>
      <c r="B9173">
        <v>0</v>
      </c>
      <c r="C9173" s="44" t="s">
        <v>204</v>
      </c>
      <c r="D9173" t="s">
        <v>293</v>
      </c>
      <c r="E9173" t="s">
        <v>364</v>
      </c>
      <c r="F9173">
        <v>4</v>
      </c>
    </row>
    <row r="9174" spans="1:6" ht="13.2">
      <c r="A9174" t="s">
        <v>10395</v>
      </c>
      <c r="B9174">
        <v>0</v>
      </c>
      <c r="C9174" s="44" t="s">
        <v>204</v>
      </c>
      <c r="D9174" t="s">
        <v>293</v>
      </c>
      <c r="E9174" t="s">
        <v>364</v>
      </c>
      <c r="F9174">
        <v>4</v>
      </c>
    </row>
    <row r="9175" spans="1:6" ht="13.2">
      <c r="A9175" t="s">
        <v>10396</v>
      </c>
      <c r="B9175">
        <v>0</v>
      </c>
      <c r="C9175" s="44" t="s">
        <v>204</v>
      </c>
      <c r="D9175" t="s">
        <v>293</v>
      </c>
      <c r="E9175" t="s">
        <v>364</v>
      </c>
      <c r="F9175">
        <v>4</v>
      </c>
    </row>
    <row r="9176" spans="1:6" ht="13.2">
      <c r="A9176" t="s">
        <v>10397</v>
      </c>
      <c r="B9176">
        <v>0</v>
      </c>
      <c r="C9176" s="44" t="s">
        <v>204</v>
      </c>
      <c r="D9176" t="s">
        <v>293</v>
      </c>
      <c r="E9176" t="s">
        <v>364</v>
      </c>
      <c r="F9176">
        <v>4</v>
      </c>
    </row>
    <row r="9177" spans="1:6" ht="13.2">
      <c r="A9177" t="s">
        <v>10398</v>
      </c>
      <c r="B9177">
        <v>0</v>
      </c>
      <c r="C9177" s="44" t="s">
        <v>204</v>
      </c>
      <c r="D9177" t="s">
        <v>293</v>
      </c>
      <c r="E9177" t="s">
        <v>364</v>
      </c>
      <c r="F9177">
        <v>4</v>
      </c>
    </row>
    <row r="9178" spans="1:6" ht="13.2">
      <c r="A9178" t="s">
        <v>10399</v>
      </c>
      <c r="B9178">
        <v>0</v>
      </c>
      <c r="C9178" s="44" t="s">
        <v>204</v>
      </c>
      <c r="D9178" t="s">
        <v>293</v>
      </c>
      <c r="E9178" t="s">
        <v>364</v>
      </c>
      <c r="F9178">
        <v>4</v>
      </c>
    </row>
    <row r="9179" spans="1:6" ht="13.2">
      <c r="A9179" t="s">
        <v>10400</v>
      </c>
      <c r="B9179">
        <v>0</v>
      </c>
      <c r="C9179" s="44" t="s">
        <v>204</v>
      </c>
      <c r="D9179" t="s">
        <v>293</v>
      </c>
      <c r="E9179" t="s">
        <v>364</v>
      </c>
      <c r="F9179">
        <v>4</v>
      </c>
    </row>
    <row r="9180" spans="1:6" ht="13.2">
      <c r="A9180" t="s">
        <v>1227</v>
      </c>
      <c r="B9180">
        <v>0</v>
      </c>
      <c r="C9180" s="44" t="s">
        <v>204</v>
      </c>
      <c r="D9180" t="s">
        <v>293</v>
      </c>
      <c r="E9180" t="s">
        <v>364</v>
      </c>
      <c r="F9180">
        <v>4</v>
      </c>
    </row>
    <row r="9181" spans="1:6" ht="13.2">
      <c r="A9181" t="s">
        <v>1228</v>
      </c>
      <c r="B9181">
        <v>0</v>
      </c>
      <c r="C9181" s="44" t="s">
        <v>204</v>
      </c>
      <c r="D9181" t="s">
        <v>293</v>
      </c>
      <c r="E9181" t="s">
        <v>364</v>
      </c>
      <c r="F9181">
        <v>4</v>
      </c>
    </row>
    <row r="9182" spans="1:6" ht="13.2">
      <c r="A9182" t="s">
        <v>1229</v>
      </c>
      <c r="B9182">
        <v>0</v>
      </c>
      <c r="C9182" s="44" t="s">
        <v>204</v>
      </c>
      <c r="D9182" t="s">
        <v>293</v>
      </c>
      <c r="E9182" t="s">
        <v>364</v>
      </c>
      <c r="F9182">
        <v>4</v>
      </c>
    </row>
    <row r="9183" spans="1:6" ht="13.2">
      <c r="A9183" t="s">
        <v>1230</v>
      </c>
      <c r="B9183">
        <v>0</v>
      </c>
      <c r="C9183" s="44" t="s">
        <v>204</v>
      </c>
      <c r="D9183" t="s">
        <v>293</v>
      </c>
      <c r="E9183" t="s">
        <v>364</v>
      </c>
      <c r="F9183">
        <v>4</v>
      </c>
    </row>
    <row r="9184" spans="1:6" ht="13.2">
      <c r="A9184" t="s">
        <v>1231</v>
      </c>
      <c r="B9184">
        <v>0</v>
      </c>
      <c r="C9184" s="44" t="s">
        <v>204</v>
      </c>
      <c r="D9184" t="s">
        <v>293</v>
      </c>
      <c r="E9184" t="s">
        <v>364</v>
      </c>
      <c r="F9184">
        <v>4</v>
      </c>
    </row>
    <row r="9185" spans="1:6" ht="13.2">
      <c r="A9185" t="s">
        <v>1232</v>
      </c>
      <c r="B9185">
        <v>0</v>
      </c>
      <c r="C9185" s="44" t="s">
        <v>204</v>
      </c>
      <c r="D9185" t="s">
        <v>293</v>
      </c>
      <c r="E9185" t="s">
        <v>364</v>
      </c>
      <c r="F9185">
        <v>4</v>
      </c>
    </row>
    <row r="9186" spans="1:6" ht="13.2">
      <c r="A9186" t="s">
        <v>1233</v>
      </c>
      <c r="B9186">
        <v>0</v>
      </c>
      <c r="C9186" s="44" t="s">
        <v>204</v>
      </c>
      <c r="D9186" t="s">
        <v>293</v>
      </c>
      <c r="E9186" t="s">
        <v>364</v>
      </c>
      <c r="F9186">
        <v>4</v>
      </c>
    </row>
    <row r="9187" spans="1:6" ht="13.2">
      <c r="A9187" t="s">
        <v>1242</v>
      </c>
      <c r="B9187">
        <v>0</v>
      </c>
      <c r="C9187" s="44" t="s">
        <v>204</v>
      </c>
      <c r="D9187" t="s">
        <v>293</v>
      </c>
      <c r="E9187" t="s">
        <v>364</v>
      </c>
      <c r="F9187">
        <v>4</v>
      </c>
    </row>
    <row r="9188" spans="1:6" ht="13.2">
      <c r="A9188" t="s">
        <v>1243</v>
      </c>
      <c r="B9188">
        <v>0</v>
      </c>
      <c r="C9188" s="44" t="s">
        <v>204</v>
      </c>
      <c r="D9188" t="s">
        <v>293</v>
      </c>
      <c r="E9188" t="s">
        <v>364</v>
      </c>
      <c r="F9188">
        <v>4</v>
      </c>
    </row>
    <row r="9189" spans="1:6" ht="13.2">
      <c r="A9189" t="s">
        <v>1244</v>
      </c>
      <c r="B9189">
        <v>0</v>
      </c>
      <c r="C9189" s="44" t="s">
        <v>204</v>
      </c>
      <c r="D9189" t="s">
        <v>293</v>
      </c>
      <c r="E9189" t="s">
        <v>364</v>
      </c>
      <c r="F9189">
        <v>4</v>
      </c>
    </row>
    <row r="9190" spans="1:6" ht="13.2">
      <c r="A9190" t="s">
        <v>1245</v>
      </c>
      <c r="B9190">
        <v>0</v>
      </c>
      <c r="C9190" s="44" t="s">
        <v>204</v>
      </c>
      <c r="D9190" t="s">
        <v>293</v>
      </c>
      <c r="E9190" t="s">
        <v>364</v>
      </c>
      <c r="F9190">
        <v>4</v>
      </c>
    </row>
    <row r="9191" spans="1:6" ht="13.2">
      <c r="A9191" t="s">
        <v>1234</v>
      </c>
      <c r="B9191">
        <v>0</v>
      </c>
      <c r="C9191" s="44" t="s">
        <v>204</v>
      </c>
      <c r="D9191" t="s">
        <v>293</v>
      </c>
      <c r="E9191" t="s">
        <v>364</v>
      </c>
      <c r="F9191">
        <v>4</v>
      </c>
    </row>
    <row r="9192" spans="1:6" ht="13.2">
      <c r="A9192" t="s">
        <v>1235</v>
      </c>
      <c r="B9192">
        <v>0</v>
      </c>
      <c r="C9192" s="44" t="s">
        <v>204</v>
      </c>
      <c r="D9192" t="s">
        <v>293</v>
      </c>
      <c r="E9192" t="s">
        <v>364</v>
      </c>
      <c r="F9192">
        <v>4</v>
      </c>
    </row>
    <row r="9193" spans="1:6" ht="13.2">
      <c r="A9193" t="s">
        <v>10401</v>
      </c>
      <c r="B9193">
        <v>0</v>
      </c>
      <c r="C9193" s="44" t="s">
        <v>204</v>
      </c>
      <c r="D9193" t="s">
        <v>293</v>
      </c>
      <c r="E9193" t="s">
        <v>364</v>
      </c>
      <c r="F9193">
        <v>4</v>
      </c>
    </row>
    <row r="9194" spans="1:6" ht="13.2">
      <c r="A9194" t="s">
        <v>10402</v>
      </c>
      <c r="B9194">
        <v>0</v>
      </c>
      <c r="C9194" s="44" t="s">
        <v>204</v>
      </c>
      <c r="D9194" t="s">
        <v>293</v>
      </c>
      <c r="E9194" t="s">
        <v>364</v>
      </c>
      <c r="F9194">
        <v>4</v>
      </c>
    </row>
    <row r="9195" spans="1:6" ht="13.2">
      <c r="A9195" t="s">
        <v>1246</v>
      </c>
      <c r="B9195">
        <v>0</v>
      </c>
      <c r="C9195" s="44" t="s">
        <v>204</v>
      </c>
      <c r="D9195" t="s">
        <v>293</v>
      </c>
      <c r="E9195" t="s">
        <v>364</v>
      </c>
      <c r="F9195">
        <v>4</v>
      </c>
    </row>
    <row r="9196" spans="1:6" ht="13.2">
      <c r="A9196" t="s">
        <v>10403</v>
      </c>
      <c r="B9196">
        <v>0</v>
      </c>
      <c r="C9196" s="44" t="s">
        <v>204</v>
      </c>
      <c r="D9196" t="s">
        <v>291</v>
      </c>
      <c r="E9196" t="s">
        <v>364</v>
      </c>
      <c r="F9196">
        <v>4</v>
      </c>
    </row>
    <row r="9197" spans="1:6" ht="13.2">
      <c r="A9197" t="s">
        <v>3866</v>
      </c>
      <c r="B9197">
        <v>0</v>
      </c>
      <c r="C9197" s="44" t="s">
        <v>204</v>
      </c>
      <c r="D9197" t="s">
        <v>291</v>
      </c>
      <c r="E9197" t="s">
        <v>364</v>
      </c>
      <c r="F9197">
        <v>4</v>
      </c>
    </row>
    <row r="9198" spans="1:6" ht="13.2">
      <c r="A9198" t="s">
        <v>3867</v>
      </c>
      <c r="B9198">
        <v>0</v>
      </c>
      <c r="C9198" s="44" t="s">
        <v>204</v>
      </c>
      <c r="D9198" t="s">
        <v>291</v>
      </c>
      <c r="E9198" t="s">
        <v>364</v>
      </c>
      <c r="F9198">
        <v>4</v>
      </c>
    </row>
    <row r="9199" spans="1:6" ht="13.2">
      <c r="A9199" t="s">
        <v>3868</v>
      </c>
      <c r="B9199">
        <v>0</v>
      </c>
      <c r="C9199" s="44" t="s">
        <v>204</v>
      </c>
      <c r="D9199" t="s">
        <v>291</v>
      </c>
      <c r="E9199" t="s">
        <v>364</v>
      </c>
      <c r="F9199">
        <v>4</v>
      </c>
    </row>
    <row r="9200" spans="1:6" ht="13.2">
      <c r="A9200" t="s">
        <v>3869</v>
      </c>
      <c r="B9200">
        <v>0</v>
      </c>
      <c r="C9200" s="44" t="s">
        <v>204</v>
      </c>
      <c r="D9200" t="s">
        <v>291</v>
      </c>
      <c r="E9200" t="s">
        <v>364</v>
      </c>
      <c r="F9200">
        <v>4</v>
      </c>
    </row>
    <row r="9201" spans="1:6" ht="13.2">
      <c r="A9201" t="s">
        <v>3870</v>
      </c>
      <c r="B9201">
        <v>0</v>
      </c>
      <c r="C9201" s="44" t="s">
        <v>204</v>
      </c>
      <c r="D9201" t="s">
        <v>291</v>
      </c>
      <c r="E9201" t="s">
        <v>364</v>
      </c>
      <c r="F9201">
        <v>4</v>
      </c>
    </row>
    <row r="9202" spans="1:6" ht="13.2">
      <c r="A9202" t="s">
        <v>3871</v>
      </c>
      <c r="B9202">
        <v>0</v>
      </c>
      <c r="C9202" s="44" t="s">
        <v>204</v>
      </c>
      <c r="D9202" t="s">
        <v>291</v>
      </c>
      <c r="E9202" t="s">
        <v>364</v>
      </c>
      <c r="F9202">
        <v>4</v>
      </c>
    </row>
    <row r="9203" spans="1:6" ht="13.2">
      <c r="A9203" t="s">
        <v>10404</v>
      </c>
      <c r="B9203">
        <v>0</v>
      </c>
      <c r="C9203" s="44" t="s">
        <v>204</v>
      </c>
      <c r="D9203" t="s">
        <v>291</v>
      </c>
      <c r="E9203" t="s">
        <v>364</v>
      </c>
      <c r="F9203">
        <v>4</v>
      </c>
    </row>
    <row r="9204" spans="1:6" ht="13.2">
      <c r="A9204" t="s">
        <v>10405</v>
      </c>
      <c r="B9204">
        <v>0</v>
      </c>
      <c r="C9204" s="44" t="s">
        <v>204</v>
      </c>
      <c r="D9204" t="s">
        <v>291</v>
      </c>
      <c r="E9204" t="s">
        <v>364</v>
      </c>
      <c r="F9204">
        <v>4</v>
      </c>
    </row>
    <row r="9205" spans="1:6" ht="13.2">
      <c r="A9205" t="s">
        <v>10406</v>
      </c>
      <c r="B9205">
        <v>0</v>
      </c>
      <c r="C9205" s="44" t="s">
        <v>204</v>
      </c>
      <c r="D9205" t="s">
        <v>291</v>
      </c>
      <c r="E9205" t="s">
        <v>364</v>
      </c>
      <c r="F9205">
        <v>4</v>
      </c>
    </row>
    <row r="9206" spans="1:6" ht="13.2">
      <c r="A9206" t="s">
        <v>10407</v>
      </c>
      <c r="B9206">
        <v>0</v>
      </c>
      <c r="C9206" s="44" t="s">
        <v>204</v>
      </c>
      <c r="D9206" t="s">
        <v>291</v>
      </c>
      <c r="E9206" t="s">
        <v>364</v>
      </c>
      <c r="F9206">
        <v>4</v>
      </c>
    </row>
    <row r="9207" spans="1:6" ht="13.2">
      <c r="A9207" t="s">
        <v>10408</v>
      </c>
      <c r="B9207">
        <v>0</v>
      </c>
      <c r="C9207" s="44" t="s">
        <v>204</v>
      </c>
      <c r="D9207" t="s">
        <v>291</v>
      </c>
      <c r="E9207" t="s">
        <v>364</v>
      </c>
      <c r="F9207">
        <v>4</v>
      </c>
    </row>
    <row r="9208" spans="1:6" ht="13.2">
      <c r="A9208" t="s">
        <v>10409</v>
      </c>
      <c r="B9208">
        <v>0</v>
      </c>
      <c r="C9208" s="44" t="s">
        <v>204</v>
      </c>
      <c r="D9208" t="s">
        <v>291</v>
      </c>
      <c r="E9208" t="s">
        <v>364</v>
      </c>
      <c r="F9208">
        <v>4</v>
      </c>
    </row>
    <row r="9209" spans="1:6" ht="13.2">
      <c r="A9209" t="s">
        <v>10410</v>
      </c>
      <c r="B9209">
        <v>0</v>
      </c>
      <c r="C9209" s="44" t="s">
        <v>204</v>
      </c>
      <c r="D9209" t="s">
        <v>291</v>
      </c>
      <c r="E9209" t="s">
        <v>364</v>
      </c>
      <c r="F9209">
        <v>4</v>
      </c>
    </row>
    <row r="9210" spans="1:6" ht="13.2">
      <c r="A9210" t="s">
        <v>10411</v>
      </c>
      <c r="B9210">
        <v>0</v>
      </c>
      <c r="C9210" s="44" t="s">
        <v>204</v>
      </c>
      <c r="D9210" t="s">
        <v>291</v>
      </c>
      <c r="E9210" t="s">
        <v>364</v>
      </c>
      <c r="F9210">
        <v>4</v>
      </c>
    </row>
    <row r="9211" spans="1:6" ht="13.2">
      <c r="A9211" t="s">
        <v>10412</v>
      </c>
      <c r="B9211">
        <v>0</v>
      </c>
      <c r="C9211" s="44" t="s">
        <v>204</v>
      </c>
      <c r="D9211" t="s">
        <v>291</v>
      </c>
      <c r="E9211" t="s">
        <v>364</v>
      </c>
      <c r="F9211">
        <v>4</v>
      </c>
    </row>
    <row r="9212" spans="1:6" ht="13.2">
      <c r="A9212" t="s">
        <v>10413</v>
      </c>
      <c r="B9212">
        <v>0</v>
      </c>
      <c r="C9212" s="44" t="s">
        <v>204</v>
      </c>
      <c r="D9212" t="s">
        <v>291</v>
      </c>
      <c r="E9212" t="s">
        <v>364</v>
      </c>
      <c r="F9212">
        <v>4</v>
      </c>
    </row>
    <row r="9213" spans="1:6" ht="13.2">
      <c r="A9213" t="s">
        <v>3857</v>
      </c>
      <c r="B9213">
        <v>0</v>
      </c>
      <c r="C9213" s="44" t="s">
        <v>204</v>
      </c>
      <c r="D9213" t="s">
        <v>291</v>
      </c>
      <c r="E9213" t="s">
        <v>364</v>
      </c>
      <c r="F9213">
        <v>4</v>
      </c>
    </row>
    <row r="9214" spans="1:6" ht="13.2">
      <c r="A9214" t="s">
        <v>3858</v>
      </c>
      <c r="B9214">
        <v>0</v>
      </c>
      <c r="C9214" s="44" t="s">
        <v>204</v>
      </c>
      <c r="D9214" t="s">
        <v>291</v>
      </c>
      <c r="E9214" t="s">
        <v>364</v>
      </c>
      <c r="F9214">
        <v>4</v>
      </c>
    </row>
    <row r="9215" spans="1:6" ht="13.2">
      <c r="A9215" t="s">
        <v>3859</v>
      </c>
      <c r="B9215">
        <v>0</v>
      </c>
      <c r="C9215" s="44" t="s">
        <v>204</v>
      </c>
      <c r="D9215" t="s">
        <v>291</v>
      </c>
      <c r="E9215" t="s">
        <v>364</v>
      </c>
      <c r="F9215">
        <v>4</v>
      </c>
    </row>
    <row r="9216" spans="1:6" ht="13.2">
      <c r="A9216" t="s">
        <v>3860</v>
      </c>
      <c r="B9216">
        <v>0</v>
      </c>
      <c r="C9216" s="44" t="s">
        <v>204</v>
      </c>
      <c r="D9216" t="s">
        <v>291</v>
      </c>
      <c r="E9216" t="s">
        <v>364</v>
      </c>
      <c r="F9216">
        <v>4</v>
      </c>
    </row>
    <row r="9217" spans="1:6" ht="13.2">
      <c r="A9217" t="s">
        <v>3861</v>
      </c>
      <c r="B9217">
        <v>0</v>
      </c>
      <c r="C9217" s="44" t="s">
        <v>204</v>
      </c>
      <c r="D9217" t="s">
        <v>291</v>
      </c>
      <c r="E9217" t="s">
        <v>364</v>
      </c>
      <c r="F9217">
        <v>4</v>
      </c>
    </row>
    <row r="9218" spans="1:6" ht="13.2">
      <c r="A9218" t="s">
        <v>3862</v>
      </c>
      <c r="B9218">
        <v>0</v>
      </c>
      <c r="C9218" s="44" t="s">
        <v>204</v>
      </c>
      <c r="D9218" t="s">
        <v>291</v>
      </c>
      <c r="E9218" t="s">
        <v>364</v>
      </c>
      <c r="F9218">
        <v>4</v>
      </c>
    </row>
    <row r="9219" spans="1:6" ht="13.2">
      <c r="A9219" t="s">
        <v>3863</v>
      </c>
      <c r="B9219">
        <v>0</v>
      </c>
      <c r="C9219" s="44" t="s">
        <v>204</v>
      </c>
      <c r="D9219" t="s">
        <v>291</v>
      </c>
      <c r="E9219" t="s">
        <v>364</v>
      </c>
      <c r="F9219">
        <v>4</v>
      </c>
    </row>
    <row r="9220" spans="1:6" ht="13.2">
      <c r="A9220" t="s">
        <v>3872</v>
      </c>
      <c r="B9220">
        <v>0</v>
      </c>
      <c r="C9220" s="44" t="s">
        <v>204</v>
      </c>
      <c r="D9220" t="s">
        <v>291</v>
      </c>
      <c r="E9220" t="s">
        <v>364</v>
      </c>
      <c r="F9220">
        <v>4</v>
      </c>
    </row>
    <row r="9221" spans="1:6" ht="13.2">
      <c r="A9221" t="s">
        <v>3873</v>
      </c>
      <c r="B9221">
        <v>0</v>
      </c>
      <c r="C9221" s="44" t="s">
        <v>204</v>
      </c>
      <c r="D9221" t="s">
        <v>291</v>
      </c>
      <c r="E9221" t="s">
        <v>364</v>
      </c>
      <c r="F9221">
        <v>4</v>
      </c>
    </row>
    <row r="9222" spans="1:6" ht="13.2">
      <c r="A9222" t="s">
        <v>3874</v>
      </c>
      <c r="B9222">
        <v>0</v>
      </c>
      <c r="C9222" s="44" t="s">
        <v>204</v>
      </c>
      <c r="D9222" t="s">
        <v>291</v>
      </c>
      <c r="E9222" t="s">
        <v>364</v>
      </c>
      <c r="F9222">
        <v>4</v>
      </c>
    </row>
    <row r="9223" spans="1:6" ht="13.2">
      <c r="A9223" t="s">
        <v>3875</v>
      </c>
      <c r="B9223">
        <v>0</v>
      </c>
      <c r="C9223" s="44" t="s">
        <v>204</v>
      </c>
      <c r="D9223" t="s">
        <v>291</v>
      </c>
      <c r="E9223" t="s">
        <v>364</v>
      </c>
      <c r="F9223">
        <v>4</v>
      </c>
    </row>
    <row r="9224" spans="1:6" ht="13.2">
      <c r="A9224" t="s">
        <v>3864</v>
      </c>
      <c r="B9224">
        <v>0</v>
      </c>
      <c r="C9224" s="44" t="s">
        <v>204</v>
      </c>
      <c r="D9224" t="s">
        <v>291</v>
      </c>
      <c r="E9224" t="s">
        <v>364</v>
      </c>
      <c r="F9224">
        <v>4</v>
      </c>
    </row>
    <row r="9225" spans="1:6" ht="13.2">
      <c r="A9225" t="s">
        <v>3865</v>
      </c>
      <c r="B9225">
        <v>0</v>
      </c>
      <c r="C9225" s="44" t="s">
        <v>204</v>
      </c>
      <c r="D9225" t="s">
        <v>291</v>
      </c>
      <c r="E9225" t="s">
        <v>364</v>
      </c>
      <c r="F9225">
        <v>4</v>
      </c>
    </row>
    <row r="9226" spans="1:6" ht="13.2">
      <c r="A9226" t="s">
        <v>10414</v>
      </c>
      <c r="B9226">
        <v>0</v>
      </c>
      <c r="C9226" s="44" t="s">
        <v>204</v>
      </c>
      <c r="D9226" t="s">
        <v>291</v>
      </c>
      <c r="E9226" t="s">
        <v>364</v>
      </c>
      <c r="F9226">
        <v>4</v>
      </c>
    </row>
    <row r="9227" spans="1:6" ht="13.2">
      <c r="A9227" t="s">
        <v>10415</v>
      </c>
      <c r="B9227">
        <v>0</v>
      </c>
      <c r="C9227" s="44" t="s">
        <v>204</v>
      </c>
      <c r="D9227" t="s">
        <v>291</v>
      </c>
      <c r="E9227" t="s">
        <v>364</v>
      </c>
      <c r="F9227">
        <v>4</v>
      </c>
    </row>
    <row r="9228" spans="1:6" ht="13.2">
      <c r="A9228" t="s">
        <v>3876</v>
      </c>
      <c r="B9228">
        <v>0</v>
      </c>
      <c r="C9228" s="44" t="s">
        <v>204</v>
      </c>
      <c r="D9228" t="s">
        <v>291</v>
      </c>
      <c r="E9228" t="s">
        <v>364</v>
      </c>
      <c r="F9228">
        <v>4</v>
      </c>
    </row>
    <row r="9229" spans="1:6" ht="13.2">
      <c r="A9229" t="s">
        <v>10416</v>
      </c>
      <c r="B9229">
        <v>300</v>
      </c>
      <c r="C9229" s="44" t="s">
        <v>204</v>
      </c>
      <c r="D9229" t="s">
        <v>291</v>
      </c>
      <c r="E9229" t="s">
        <v>364</v>
      </c>
      <c r="F9229">
        <v>4</v>
      </c>
    </row>
    <row r="9230" spans="1:6" ht="13.2">
      <c r="A9230" t="s">
        <v>10417</v>
      </c>
      <c r="B9230">
        <v>300</v>
      </c>
      <c r="C9230" s="44" t="s">
        <v>204</v>
      </c>
      <c r="D9230" t="s">
        <v>291</v>
      </c>
      <c r="E9230" t="s">
        <v>364</v>
      </c>
      <c r="F9230">
        <v>4</v>
      </c>
    </row>
    <row r="9231" spans="1:6" ht="13.2">
      <c r="A9231" t="s">
        <v>10418</v>
      </c>
      <c r="B9231">
        <v>300</v>
      </c>
      <c r="C9231" s="44" t="s">
        <v>204</v>
      </c>
      <c r="D9231" t="s">
        <v>291</v>
      </c>
      <c r="E9231" t="s">
        <v>364</v>
      </c>
      <c r="F9231">
        <v>4</v>
      </c>
    </row>
    <row r="9232" spans="1:6" ht="13.2">
      <c r="A9232" t="s">
        <v>10419</v>
      </c>
      <c r="B9232">
        <v>300</v>
      </c>
      <c r="C9232" s="44" t="s">
        <v>204</v>
      </c>
      <c r="D9232" t="s">
        <v>291</v>
      </c>
      <c r="E9232" t="s">
        <v>364</v>
      </c>
      <c r="F9232">
        <v>4</v>
      </c>
    </row>
    <row r="9233" spans="1:6" ht="13.2">
      <c r="A9233" t="s">
        <v>10420</v>
      </c>
      <c r="B9233">
        <v>300</v>
      </c>
      <c r="C9233" s="44" t="s">
        <v>204</v>
      </c>
      <c r="D9233" t="s">
        <v>291</v>
      </c>
      <c r="E9233" t="s">
        <v>364</v>
      </c>
      <c r="F9233">
        <v>4</v>
      </c>
    </row>
    <row r="9234" spans="1:6" ht="13.2">
      <c r="A9234" t="s">
        <v>10421</v>
      </c>
      <c r="B9234">
        <v>300</v>
      </c>
      <c r="C9234" s="44" t="s">
        <v>204</v>
      </c>
      <c r="D9234" t="s">
        <v>291</v>
      </c>
      <c r="E9234" t="s">
        <v>364</v>
      </c>
      <c r="F9234">
        <v>4</v>
      </c>
    </row>
    <row r="9235" spans="1:6" ht="13.2">
      <c r="A9235" t="s">
        <v>10422</v>
      </c>
      <c r="B9235">
        <v>300</v>
      </c>
      <c r="C9235" s="44" t="s">
        <v>204</v>
      </c>
      <c r="D9235" t="s">
        <v>293</v>
      </c>
      <c r="E9235" t="s">
        <v>364</v>
      </c>
      <c r="F9235">
        <v>4</v>
      </c>
    </row>
    <row r="9236" spans="1:6" ht="13.2">
      <c r="A9236" t="s">
        <v>10423</v>
      </c>
      <c r="B9236">
        <v>300</v>
      </c>
      <c r="C9236" s="44" t="s">
        <v>204</v>
      </c>
      <c r="D9236" t="s">
        <v>293</v>
      </c>
      <c r="E9236" t="s">
        <v>364</v>
      </c>
      <c r="F9236">
        <v>4</v>
      </c>
    </row>
    <row r="9237" spans="1:6" ht="13.2">
      <c r="A9237" t="s">
        <v>10424</v>
      </c>
      <c r="B9237">
        <v>300</v>
      </c>
      <c r="C9237" s="44" t="s">
        <v>204</v>
      </c>
      <c r="D9237" t="s">
        <v>293</v>
      </c>
      <c r="E9237" t="s">
        <v>364</v>
      </c>
      <c r="F9237">
        <v>4</v>
      </c>
    </row>
    <row r="9238" spans="1:6" ht="13.2">
      <c r="A9238" t="s">
        <v>10425</v>
      </c>
      <c r="B9238">
        <v>300</v>
      </c>
      <c r="C9238" s="44" t="s">
        <v>204</v>
      </c>
      <c r="D9238" t="s">
        <v>293</v>
      </c>
      <c r="E9238" t="s">
        <v>364</v>
      </c>
      <c r="F9238">
        <v>4</v>
      </c>
    </row>
    <row r="9239" spans="1:6" ht="13.2">
      <c r="A9239" t="s">
        <v>10426</v>
      </c>
      <c r="B9239">
        <v>300</v>
      </c>
      <c r="C9239" s="44" t="s">
        <v>204</v>
      </c>
      <c r="D9239" t="s">
        <v>293</v>
      </c>
      <c r="E9239" t="s">
        <v>364</v>
      </c>
      <c r="F9239">
        <v>4</v>
      </c>
    </row>
    <row r="9240" spans="1:6" ht="13.2">
      <c r="A9240" t="s">
        <v>10427</v>
      </c>
      <c r="B9240">
        <v>300</v>
      </c>
      <c r="C9240" s="44" t="s">
        <v>204</v>
      </c>
      <c r="D9240" t="s">
        <v>293</v>
      </c>
      <c r="E9240" t="s">
        <v>364</v>
      </c>
      <c r="F9240">
        <v>4</v>
      </c>
    </row>
    <row r="9241" spans="1:6" ht="13.2">
      <c r="A9241" t="s">
        <v>10428</v>
      </c>
      <c r="B9241">
        <v>0</v>
      </c>
      <c r="C9241" s="44">
        <v>3200</v>
      </c>
      <c r="D9241" t="s">
        <v>293</v>
      </c>
      <c r="E9241" t="s">
        <v>8578</v>
      </c>
      <c r="F9241">
        <v>4</v>
      </c>
    </row>
    <row r="9242" spans="1:6" ht="13.2">
      <c r="A9242" t="s">
        <v>10429</v>
      </c>
      <c r="B9242">
        <v>0</v>
      </c>
      <c r="C9242" s="44">
        <v>3200</v>
      </c>
      <c r="D9242" t="s">
        <v>293</v>
      </c>
      <c r="E9242" t="s">
        <v>8578</v>
      </c>
      <c r="F9242">
        <v>4</v>
      </c>
    </row>
    <row r="9243" spans="1:6" ht="13.2">
      <c r="A9243" t="s">
        <v>10430</v>
      </c>
      <c r="B9243">
        <v>0</v>
      </c>
      <c r="C9243" s="44">
        <v>3200</v>
      </c>
      <c r="D9243" t="s">
        <v>293</v>
      </c>
      <c r="E9243" t="s">
        <v>8578</v>
      </c>
      <c r="F9243">
        <v>4</v>
      </c>
    </row>
    <row r="9244" spans="1:6" ht="13.2">
      <c r="A9244" t="s">
        <v>10431</v>
      </c>
      <c r="B9244">
        <v>0</v>
      </c>
      <c r="C9244" s="44">
        <v>3200</v>
      </c>
      <c r="D9244" t="s">
        <v>293</v>
      </c>
      <c r="E9244" t="s">
        <v>8578</v>
      </c>
      <c r="F9244">
        <v>4</v>
      </c>
    </row>
    <row r="9245" spans="1:6" ht="13.2">
      <c r="A9245" t="s">
        <v>10432</v>
      </c>
      <c r="B9245">
        <v>0</v>
      </c>
      <c r="C9245" s="44">
        <v>3200</v>
      </c>
      <c r="D9245" t="s">
        <v>293</v>
      </c>
      <c r="E9245" t="s">
        <v>8578</v>
      </c>
      <c r="F9245">
        <v>4</v>
      </c>
    </row>
    <row r="9246" spans="1:6" ht="13.2">
      <c r="A9246" t="s">
        <v>10433</v>
      </c>
      <c r="B9246">
        <v>0</v>
      </c>
      <c r="C9246" s="44">
        <v>3200</v>
      </c>
      <c r="D9246" t="s">
        <v>293</v>
      </c>
      <c r="E9246" t="s">
        <v>8578</v>
      </c>
      <c r="F9246">
        <v>4</v>
      </c>
    </row>
    <row r="9247" spans="1:6" ht="13.2">
      <c r="A9247" t="s">
        <v>10434</v>
      </c>
      <c r="B9247">
        <v>0</v>
      </c>
      <c r="C9247" s="44">
        <v>3200</v>
      </c>
      <c r="D9247" t="s">
        <v>293</v>
      </c>
      <c r="E9247" t="s">
        <v>8578</v>
      </c>
      <c r="F9247">
        <v>4</v>
      </c>
    </row>
    <row r="9248" spans="1:6" ht="13.2">
      <c r="A9248" t="s">
        <v>10435</v>
      </c>
      <c r="B9248">
        <v>0</v>
      </c>
      <c r="C9248" s="44">
        <v>3200</v>
      </c>
      <c r="D9248" t="s">
        <v>293</v>
      </c>
      <c r="E9248" t="s">
        <v>8578</v>
      </c>
      <c r="F9248">
        <v>4</v>
      </c>
    </row>
    <row r="9249" spans="1:6" ht="13.2">
      <c r="A9249" t="s">
        <v>10436</v>
      </c>
      <c r="B9249">
        <v>0</v>
      </c>
      <c r="C9249" s="44">
        <v>3200</v>
      </c>
      <c r="D9249" t="s">
        <v>293</v>
      </c>
      <c r="E9249" t="s">
        <v>8578</v>
      </c>
      <c r="F9249">
        <v>4</v>
      </c>
    </row>
    <row r="9250" spans="1:6" ht="13.2">
      <c r="A9250" t="s">
        <v>10437</v>
      </c>
      <c r="B9250">
        <v>0</v>
      </c>
      <c r="C9250" s="44">
        <v>3200</v>
      </c>
      <c r="D9250" t="s">
        <v>293</v>
      </c>
      <c r="E9250" t="s">
        <v>8578</v>
      </c>
      <c r="F9250">
        <v>4</v>
      </c>
    </row>
    <row r="9251" spans="1:6" ht="13.2">
      <c r="A9251" t="s">
        <v>10438</v>
      </c>
      <c r="B9251">
        <v>0</v>
      </c>
      <c r="C9251" s="44">
        <v>3200</v>
      </c>
      <c r="D9251" t="s">
        <v>293</v>
      </c>
      <c r="E9251" t="s">
        <v>8578</v>
      </c>
      <c r="F9251">
        <v>4</v>
      </c>
    </row>
    <row r="9252" spans="1:6" ht="13.2">
      <c r="A9252" t="s">
        <v>10439</v>
      </c>
      <c r="B9252">
        <v>0</v>
      </c>
      <c r="C9252" s="44">
        <v>3200</v>
      </c>
      <c r="D9252" t="s">
        <v>293</v>
      </c>
      <c r="E9252" t="s">
        <v>8578</v>
      </c>
      <c r="F9252">
        <v>4</v>
      </c>
    </row>
    <row r="9253" spans="1:6" ht="13.2">
      <c r="A9253" t="s">
        <v>10440</v>
      </c>
      <c r="B9253">
        <v>0</v>
      </c>
      <c r="C9253" s="44">
        <v>3200</v>
      </c>
      <c r="D9253" t="s">
        <v>293</v>
      </c>
      <c r="E9253" t="s">
        <v>8578</v>
      </c>
      <c r="F9253">
        <v>4</v>
      </c>
    </row>
    <row r="9254" spans="1:6" ht="13.2">
      <c r="A9254" t="s">
        <v>10441</v>
      </c>
      <c r="B9254">
        <v>0</v>
      </c>
      <c r="C9254" s="44">
        <v>3200</v>
      </c>
      <c r="D9254" t="s">
        <v>293</v>
      </c>
      <c r="E9254" t="s">
        <v>8578</v>
      </c>
      <c r="F9254">
        <v>4</v>
      </c>
    </row>
    <row r="9255" spans="1:6" ht="13.2">
      <c r="A9255" t="s">
        <v>10442</v>
      </c>
      <c r="B9255">
        <v>0</v>
      </c>
      <c r="C9255" s="44">
        <v>3200</v>
      </c>
      <c r="D9255" t="s">
        <v>293</v>
      </c>
      <c r="E9255" t="s">
        <v>8578</v>
      </c>
      <c r="F9255">
        <v>4</v>
      </c>
    </row>
    <row r="9256" spans="1:6" ht="13.2">
      <c r="A9256" t="s">
        <v>10443</v>
      </c>
      <c r="B9256">
        <v>0</v>
      </c>
      <c r="C9256" s="44">
        <v>3200</v>
      </c>
      <c r="D9256" t="s">
        <v>293</v>
      </c>
      <c r="E9256" t="s">
        <v>8578</v>
      </c>
      <c r="F9256">
        <v>4</v>
      </c>
    </row>
    <row r="9257" spans="1:6" ht="13.2">
      <c r="A9257" t="s">
        <v>10444</v>
      </c>
      <c r="B9257">
        <v>0</v>
      </c>
      <c r="C9257" s="44">
        <v>1400</v>
      </c>
      <c r="D9257" t="s">
        <v>291</v>
      </c>
      <c r="E9257" t="s">
        <v>213</v>
      </c>
      <c r="F9257">
        <v>14</v>
      </c>
    </row>
    <row r="9258" spans="1:6" ht="13.2">
      <c r="A9258" t="s">
        <v>10445</v>
      </c>
      <c r="B9258">
        <v>0</v>
      </c>
      <c r="C9258" s="44">
        <v>1400</v>
      </c>
      <c r="D9258" t="s">
        <v>291</v>
      </c>
      <c r="E9258" t="s">
        <v>213</v>
      </c>
      <c r="F9258">
        <v>14</v>
      </c>
    </row>
    <row r="9259" spans="1:6" ht="13.2">
      <c r="A9259" t="s">
        <v>10446</v>
      </c>
      <c r="B9259">
        <v>0</v>
      </c>
      <c r="C9259" s="44">
        <v>1400</v>
      </c>
      <c r="D9259" t="s">
        <v>291</v>
      </c>
      <c r="E9259" t="s">
        <v>213</v>
      </c>
      <c r="F9259">
        <v>14</v>
      </c>
    </row>
    <row r="9260" spans="1:6" ht="13.2">
      <c r="A9260" t="s">
        <v>10447</v>
      </c>
      <c r="B9260">
        <v>0</v>
      </c>
      <c r="C9260" s="44">
        <v>1400</v>
      </c>
      <c r="D9260" t="s">
        <v>291</v>
      </c>
      <c r="E9260" t="s">
        <v>213</v>
      </c>
      <c r="F9260">
        <v>14</v>
      </c>
    </row>
    <row r="9261" spans="1:6" ht="13.2">
      <c r="A9261" t="s">
        <v>10448</v>
      </c>
      <c r="B9261">
        <v>0</v>
      </c>
      <c r="C9261" s="44">
        <v>1400</v>
      </c>
      <c r="D9261" t="s">
        <v>291</v>
      </c>
      <c r="E9261" t="s">
        <v>213</v>
      </c>
      <c r="F9261">
        <v>14</v>
      </c>
    </row>
    <row r="9262" spans="1:6" ht="13.2">
      <c r="A9262" t="s">
        <v>10449</v>
      </c>
      <c r="B9262">
        <v>0</v>
      </c>
      <c r="C9262" s="44">
        <v>1400</v>
      </c>
      <c r="D9262" t="s">
        <v>291</v>
      </c>
      <c r="E9262" t="s">
        <v>213</v>
      </c>
      <c r="F9262">
        <v>14</v>
      </c>
    </row>
    <row r="9263" spans="1:6" ht="13.2">
      <c r="A9263" t="s">
        <v>10450</v>
      </c>
      <c r="B9263">
        <v>0</v>
      </c>
      <c r="C9263" s="44">
        <v>1400</v>
      </c>
      <c r="D9263" t="s">
        <v>291</v>
      </c>
      <c r="E9263" t="s">
        <v>213</v>
      </c>
      <c r="F9263">
        <v>14</v>
      </c>
    </row>
    <row r="9264" spans="1:6" ht="13.2">
      <c r="A9264" t="s">
        <v>10451</v>
      </c>
      <c r="B9264">
        <v>0</v>
      </c>
      <c r="C9264" s="44">
        <v>1400</v>
      </c>
      <c r="D9264" t="s">
        <v>291</v>
      </c>
      <c r="E9264" t="s">
        <v>213</v>
      </c>
      <c r="F9264">
        <v>14</v>
      </c>
    </row>
    <row r="9265" spans="1:6" ht="13.2">
      <c r="A9265" t="s">
        <v>10452</v>
      </c>
      <c r="B9265">
        <v>0</v>
      </c>
      <c r="C9265" s="44">
        <v>1400</v>
      </c>
      <c r="D9265" t="s">
        <v>291</v>
      </c>
      <c r="E9265" t="s">
        <v>213</v>
      </c>
      <c r="F9265">
        <v>14</v>
      </c>
    </row>
    <row r="9266" spans="1:6" ht="13.2">
      <c r="A9266" t="s">
        <v>10453</v>
      </c>
      <c r="B9266">
        <v>0</v>
      </c>
      <c r="C9266" s="44">
        <v>1400</v>
      </c>
      <c r="D9266" t="s">
        <v>291</v>
      </c>
      <c r="E9266" t="s">
        <v>213</v>
      </c>
      <c r="F9266">
        <v>14</v>
      </c>
    </row>
    <row r="9267" spans="1:6" ht="13.2">
      <c r="A9267" t="s">
        <v>10454</v>
      </c>
      <c r="B9267">
        <v>0</v>
      </c>
      <c r="C9267" s="44">
        <v>1400</v>
      </c>
      <c r="D9267" t="s">
        <v>291</v>
      </c>
      <c r="E9267" t="s">
        <v>213</v>
      </c>
      <c r="F9267">
        <v>14</v>
      </c>
    </row>
    <row r="9268" spans="1:6" ht="13.2">
      <c r="A9268" t="s">
        <v>10455</v>
      </c>
      <c r="B9268">
        <v>0</v>
      </c>
      <c r="C9268" s="44">
        <v>1400</v>
      </c>
      <c r="D9268" t="s">
        <v>291</v>
      </c>
      <c r="E9268" t="s">
        <v>213</v>
      </c>
      <c r="F9268">
        <v>14</v>
      </c>
    </row>
    <row r="9269" spans="1:6" ht="13.2">
      <c r="A9269" t="s">
        <v>10456</v>
      </c>
      <c r="B9269">
        <v>0</v>
      </c>
      <c r="C9269" s="44">
        <v>1400</v>
      </c>
      <c r="D9269" t="s">
        <v>291</v>
      </c>
      <c r="E9269" t="s">
        <v>213</v>
      </c>
      <c r="F9269">
        <v>14</v>
      </c>
    </row>
    <row r="9270" spans="1:6" ht="13.2">
      <c r="A9270" t="s">
        <v>10457</v>
      </c>
      <c r="B9270">
        <v>0</v>
      </c>
      <c r="C9270" s="44">
        <v>1400</v>
      </c>
      <c r="D9270" t="s">
        <v>291</v>
      </c>
      <c r="E9270" t="s">
        <v>213</v>
      </c>
      <c r="F9270">
        <v>14</v>
      </c>
    </row>
    <row r="9271" spans="1:6" ht="13.2">
      <c r="A9271" t="s">
        <v>10458</v>
      </c>
      <c r="B9271">
        <v>0</v>
      </c>
      <c r="C9271" s="44">
        <v>1400</v>
      </c>
      <c r="D9271" t="s">
        <v>291</v>
      </c>
      <c r="E9271" t="s">
        <v>213</v>
      </c>
      <c r="F9271">
        <v>14</v>
      </c>
    </row>
    <row r="9272" spans="1:6" ht="13.2">
      <c r="A9272" t="s">
        <v>10459</v>
      </c>
      <c r="B9272">
        <v>0</v>
      </c>
      <c r="C9272" s="44">
        <v>1400</v>
      </c>
      <c r="D9272" t="s">
        <v>291</v>
      </c>
      <c r="E9272" t="s">
        <v>213</v>
      </c>
      <c r="F9272">
        <v>14</v>
      </c>
    </row>
    <row r="9273" spans="1:6" ht="13.2">
      <c r="A9273" t="s">
        <v>10460</v>
      </c>
      <c r="B9273">
        <v>0</v>
      </c>
      <c r="C9273" s="44">
        <v>1400</v>
      </c>
      <c r="D9273" t="s">
        <v>291</v>
      </c>
      <c r="E9273" t="s">
        <v>213</v>
      </c>
      <c r="F9273">
        <v>14</v>
      </c>
    </row>
    <row r="9274" spans="1:6" ht="13.2">
      <c r="A9274" t="s">
        <v>10461</v>
      </c>
      <c r="B9274">
        <v>0</v>
      </c>
      <c r="C9274" s="44">
        <v>1400</v>
      </c>
      <c r="D9274" t="s">
        <v>291</v>
      </c>
      <c r="E9274" t="s">
        <v>213</v>
      </c>
      <c r="F9274">
        <v>14</v>
      </c>
    </row>
    <row r="9275" spans="1:6" ht="13.2">
      <c r="A9275" t="s">
        <v>10462</v>
      </c>
      <c r="B9275">
        <v>0</v>
      </c>
      <c r="C9275" s="44">
        <v>1400</v>
      </c>
      <c r="D9275" t="s">
        <v>291</v>
      </c>
      <c r="E9275" t="s">
        <v>213</v>
      </c>
      <c r="F9275">
        <v>14</v>
      </c>
    </row>
    <row r="9276" spans="1:6" ht="13.2">
      <c r="A9276" t="s">
        <v>10463</v>
      </c>
      <c r="B9276">
        <v>0</v>
      </c>
      <c r="C9276" s="44">
        <v>1400</v>
      </c>
      <c r="D9276" t="s">
        <v>291</v>
      </c>
      <c r="E9276" t="s">
        <v>213</v>
      </c>
      <c r="F9276">
        <v>14</v>
      </c>
    </row>
    <row r="9277" spans="1:6" ht="13.2">
      <c r="A9277" t="s">
        <v>10464</v>
      </c>
      <c r="B9277">
        <v>0</v>
      </c>
      <c r="C9277" s="44">
        <v>1400</v>
      </c>
      <c r="D9277" t="s">
        <v>291</v>
      </c>
      <c r="E9277" t="s">
        <v>213</v>
      </c>
      <c r="F9277">
        <v>14</v>
      </c>
    </row>
    <row r="9278" spans="1:6" ht="13.2">
      <c r="A9278" t="s">
        <v>10465</v>
      </c>
      <c r="B9278">
        <v>0</v>
      </c>
      <c r="C9278" s="44">
        <v>1400</v>
      </c>
      <c r="D9278" t="s">
        <v>291</v>
      </c>
      <c r="E9278" t="s">
        <v>213</v>
      </c>
      <c r="F9278">
        <v>14</v>
      </c>
    </row>
    <row r="9279" spans="1:6" ht="13.2">
      <c r="A9279" t="s">
        <v>10466</v>
      </c>
      <c r="B9279">
        <v>0</v>
      </c>
      <c r="C9279" s="44">
        <v>1400</v>
      </c>
      <c r="D9279" t="s">
        <v>291</v>
      </c>
      <c r="E9279" t="s">
        <v>213</v>
      </c>
      <c r="F9279">
        <v>14</v>
      </c>
    </row>
    <row r="9280" spans="1:6" ht="13.2">
      <c r="A9280" t="s">
        <v>10467</v>
      </c>
      <c r="B9280">
        <v>0</v>
      </c>
      <c r="C9280" s="44">
        <v>1400</v>
      </c>
      <c r="D9280" t="s">
        <v>291</v>
      </c>
      <c r="E9280" t="s">
        <v>213</v>
      </c>
      <c r="F9280">
        <v>14</v>
      </c>
    </row>
    <row r="9281" spans="1:6" ht="13.2">
      <c r="A9281" t="s">
        <v>10468</v>
      </c>
      <c r="B9281">
        <v>0</v>
      </c>
      <c r="C9281" s="44">
        <v>1400</v>
      </c>
      <c r="D9281" t="s">
        <v>291</v>
      </c>
      <c r="E9281" t="s">
        <v>213</v>
      </c>
      <c r="F9281">
        <v>14</v>
      </c>
    </row>
    <row r="9282" spans="1:6" ht="13.2">
      <c r="A9282" t="s">
        <v>10469</v>
      </c>
      <c r="B9282">
        <v>0</v>
      </c>
      <c r="C9282" s="44">
        <v>1400</v>
      </c>
      <c r="D9282" t="s">
        <v>291</v>
      </c>
      <c r="E9282" t="s">
        <v>213</v>
      </c>
      <c r="F9282">
        <v>14</v>
      </c>
    </row>
    <row r="9283" spans="1:6" ht="13.2">
      <c r="A9283" t="s">
        <v>10470</v>
      </c>
      <c r="B9283">
        <v>0</v>
      </c>
      <c r="C9283" s="44">
        <v>1400</v>
      </c>
      <c r="D9283" t="s">
        <v>291</v>
      </c>
      <c r="E9283" t="s">
        <v>213</v>
      </c>
      <c r="F9283">
        <v>14</v>
      </c>
    </row>
    <row r="9284" spans="1:6" ht="13.2">
      <c r="A9284" t="s">
        <v>10471</v>
      </c>
      <c r="B9284">
        <v>0</v>
      </c>
      <c r="C9284" s="44">
        <v>1400</v>
      </c>
      <c r="D9284" t="s">
        <v>291</v>
      </c>
      <c r="E9284" t="s">
        <v>213</v>
      </c>
      <c r="F9284">
        <v>14</v>
      </c>
    </row>
    <row r="9285" spans="1:6" ht="13.2">
      <c r="A9285" t="s">
        <v>10472</v>
      </c>
      <c r="B9285">
        <v>0</v>
      </c>
      <c r="C9285" s="44">
        <v>1400</v>
      </c>
      <c r="D9285" t="s">
        <v>291</v>
      </c>
      <c r="E9285" t="s">
        <v>213</v>
      </c>
      <c r="F9285">
        <v>14</v>
      </c>
    </row>
    <row r="9286" spans="1:6" ht="13.2">
      <c r="A9286" t="s">
        <v>10473</v>
      </c>
      <c r="B9286">
        <v>0</v>
      </c>
      <c r="C9286" s="44">
        <v>1400</v>
      </c>
      <c r="D9286" t="s">
        <v>291</v>
      </c>
      <c r="E9286" t="s">
        <v>213</v>
      </c>
      <c r="F9286">
        <v>14</v>
      </c>
    </row>
    <row r="9287" spans="1:6" ht="13.2">
      <c r="A9287" t="s">
        <v>10474</v>
      </c>
      <c r="B9287">
        <v>0</v>
      </c>
      <c r="C9287" s="44">
        <v>1400</v>
      </c>
      <c r="D9287" t="s">
        <v>291</v>
      </c>
      <c r="E9287" t="s">
        <v>213</v>
      </c>
      <c r="F9287">
        <v>14</v>
      </c>
    </row>
    <row r="9288" spans="1:6" ht="13.2">
      <c r="A9288" t="s">
        <v>10475</v>
      </c>
      <c r="B9288">
        <v>0</v>
      </c>
      <c r="C9288" s="44">
        <v>1400</v>
      </c>
      <c r="D9288" t="s">
        <v>291</v>
      </c>
      <c r="E9288" t="s">
        <v>213</v>
      </c>
      <c r="F9288">
        <v>14</v>
      </c>
    </row>
    <row r="9289" spans="1:5" ht="13.2">
      <c r="A9289" t="s">
        <v>10476</v>
      </c>
      <c r="B9289">
        <v>0</v>
      </c>
      <c r="C9289" s="44" t="s">
        <v>201</v>
      </c>
      <c r="D9289" t="s">
        <v>293</v>
      </c>
      <c r="E9289" t="s">
        <v>8871</v>
      </c>
    </row>
    <row r="9290" spans="1:5" ht="13.2">
      <c r="A9290" t="s">
        <v>10477</v>
      </c>
      <c r="B9290">
        <v>0</v>
      </c>
      <c r="C9290" s="44" t="s">
        <v>201</v>
      </c>
      <c r="D9290" t="s">
        <v>293</v>
      </c>
      <c r="E9290" t="s">
        <v>8871</v>
      </c>
    </row>
    <row r="9291" spans="1:5" ht="13.2">
      <c r="A9291" t="s">
        <v>10478</v>
      </c>
      <c r="B9291">
        <v>0</v>
      </c>
      <c r="C9291" s="44" t="s">
        <v>201</v>
      </c>
      <c r="D9291" t="s">
        <v>293</v>
      </c>
      <c r="E9291" t="s">
        <v>8871</v>
      </c>
    </row>
    <row r="9292" spans="1:5" ht="13.2">
      <c r="A9292" t="s">
        <v>10479</v>
      </c>
      <c r="B9292">
        <v>0</v>
      </c>
      <c r="C9292" s="44" t="s">
        <v>201</v>
      </c>
      <c r="D9292" t="s">
        <v>293</v>
      </c>
      <c r="E9292" t="s">
        <v>8871</v>
      </c>
    </row>
    <row r="9293" spans="1:5" ht="13.2">
      <c r="A9293" t="s">
        <v>10480</v>
      </c>
      <c r="B9293">
        <v>0</v>
      </c>
      <c r="C9293" s="44" t="s">
        <v>201</v>
      </c>
      <c r="D9293" t="s">
        <v>293</v>
      </c>
      <c r="E9293" t="s">
        <v>8871</v>
      </c>
    </row>
    <row r="9294" spans="1:5" ht="13.2">
      <c r="A9294" t="s">
        <v>10481</v>
      </c>
      <c r="B9294">
        <v>0</v>
      </c>
      <c r="C9294" s="44" t="s">
        <v>201</v>
      </c>
      <c r="D9294" t="s">
        <v>293</v>
      </c>
      <c r="E9294" t="s">
        <v>8871</v>
      </c>
    </row>
    <row r="9295" spans="1:5" ht="13.2">
      <c r="A9295" t="s">
        <v>10482</v>
      </c>
      <c r="B9295">
        <v>0</v>
      </c>
      <c r="C9295" s="44" t="s">
        <v>201</v>
      </c>
      <c r="D9295" t="s">
        <v>293</v>
      </c>
      <c r="E9295" t="s">
        <v>8871</v>
      </c>
    </row>
    <row r="9296" spans="1:5" ht="13.2">
      <c r="A9296" t="s">
        <v>10483</v>
      </c>
      <c r="B9296">
        <v>0</v>
      </c>
      <c r="C9296" s="44" t="s">
        <v>201</v>
      </c>
      <c r="D9296" t="s">
        <v>293</v>
      </c>
      <c r="E9296" t="s">
        <v>8871</v>
      </c>
    </row>
    <row r="9297" spans="1:5" ht="13.2">
      <c r="A9297" t="s">
        <v>10484</v>
      </c>
      <c r="B9297">
        <v>0</v>
      </c>
      <c r="C9297" s="44" t="s">
        <v>201</v>
      </c>
      <c r="D9297" t="s">
        <v>293</v>
      </c>
      <c r="E9297" t="s">
        <v>8871</v>
      </c>
    </row>
    <row r="9298" spans="1:5" ht="13.2">
      <c r="A9298" t="s">
        <v>10485</v>
      </c>
      <c r="B9298">
        <v>0</v>
      </c>
      <c r="C9298" s="44" t="s">
        <v>201</v>
      </c>
      <c r="D9298" t="s">
        <v>293</v>
      </c>
      <c r="E9298" t="s">
        <v>8871</v>
      </c>
    </row>
    <row r="9299" spans="1:5" ht="13.2">
      <c r="A9299" t="s">
        <v>10486</v>
      </c>
      <c r="B9299">
        <v>0</v>
      </c>
      <c r="C9299" s="44" t="s">
        <v>201</v>
      </c>
      <c r="D9299" t="s">
        <v>293</v>
      </c>
      <c r="E9299" t="s">
        <v>8871</v>
      </c>
    </row>
    <row r="9300" spans="1:5" ht="13.2">
      <c r="A9300" t="s">
        <v>10487</v>
      </c>
      <c r="B9300">
        <v>0</v>
      </c>
      <c r="C9300" s="44" t="s">
        <v>201</v>
      </c>
      <c r="D9300" t="s">
        <v>293</v>
      </c>
      <c r="E9300" t="s">
        <v>8871</v>
      </c>
    </row>
    <row r="9301" spans="1:5" ht="13.2">
      <c r="A9301" t="s">
        <v>10488</v>
      </c>
      <c r="B9301">
        <v>0</v>
      </c>
      <c r="C9301" s="44" t="s">
        <v>201</v>
      </c>
      <c r="D9301" t="s">
        <v>293</v>
      </c>
      <c r="E9301" t="s">
        <v>8871</v>
      </c>
    </row>
    <row r="9302" spans="1:5" ht="13.2">
      <c r="A9302" t="s">
        <v>10489</v>
      </c>
      <c r="B9302">
        <v>0</v>
      </c>
      <c r="C9302" s="44" t="s">
        <v>201</v>
      </c>
      <c r="D9302" t="s">
        <v>293</v>
      </c>
      <c r="E9302" t="s">
        <v>8871</v>
      </c>
    </row>
    <row r="9303" spans="1:5" ht="13.2">
      <c r="A9303" t="s">
        <v>10490</v>
      </c>
      <c r="B9303">
        <v>0</v>
      </c>
      <c r="C9303" s="44" t="s">
        <v>201</v>
      </c>
      <c r="D9303" t="s">
        <v>293</v>
      </c>
      <c r="E9303" t="s">
        <v>8871</v>
      </c>
    </row>
    <row r="9304" spans="1:5" ht="13.2">
      <c r="A9304" t="s">
        <v>10491</v>
      </c>
      <c r="B9304">
        <v>0</v>
      </c>
      <c r="C9304" s="44" t="s">
        <v>201</v>
      </c>
      <c r="D9304" t="s">
        <v>293</v>
      </c>
      <c r="E9304" t="s">
        <v>8871</v>
      </c>
    </row>
    <row r="9305" spans="1:5" ht="13.2">
      <c r="A9305" t="s">
        <v>10492</v>
      </c>
      <c r="B9305">
        <v>0</v>
      </c>
      <c r="C9305" s="44" t="s">
        <v>201</v>
      </c>
      <c r="D9305" t="s">
        <v>293</v>
      </c>
      <c r="E9305" t="s">
        <v>8871</v>
      </c>
    </row>
    <row r="9306" spans="1:5" ht="13.2">
      <c r="A9306" t="s">
        <v>10493</v>
      </c>
      <c r="B9306">
        <v>0</v>
      </c>
      <c r="C9306" s="44" t="s">
        <v>201</v>
      </c>
      <c r="D9306" t="s">
        <v>293</v>
      </c>
      <c r="E9306" t="s">
        <v>8871</v>
      </c>
    </row>
    <row r="9307" spans="1:6" ht="13.2">
      <c r="A9307" t="s">
        <v>10494</v>
      </c>
      <c r="B9307">
        <v>0</v>
      </c>
      <c r="C9307" s="44" t="s">
        <v>204</v>
      </c>
      <c r="D9307" t="s">
        <v>293</v>
      </c>
      <c r="E9307" t="s">
        <v>8872</v>
      </c>
      <c r="F9307">
        <v>14</v>
      </c>
    </row>
    <row r="9308" spans="1:6" ht="13.2">
      <c r="A9308" t="s">
        <v>10495</v>
      </c>
      <c r="B9308">
        <v>0</v>
      </c>
      <c r="C9308" s="44" t="s">
        <v>204</v>
      </c>
      <c r="D9308" t="s">
        <v>293</v>
      </c>
      <c r="E9308" t="s">
        <v>8872</v>
      </c>
      <c r="F9308">
        <v>14</v>
      </c>
    </row>
    <row r="9309" spans="1:6" ht="13.2">
      <c r="A9309" t="s">
        <v>10496</v>
      </c>
      <c r="B9309">
        <v>0</v>
      </c>
      <c r="C9309" s="44" t="s">
        <v>204</v>
      </c>
      <c r="D9309" t="s">
        <v>293</v>
      </c>
      <c r="E9309" t="s">
        <v>8872</v>
      </c>
      <c r="F9309">
        <v>14</v>
      </c>
    </row>
    <row r="9310" spans="1:6" ht="13.2">
      <c r="A9310" t="s">
        <v>10497</v>
      </c>
      <c r="B9310">
        <v>0</v>
      </c>
      <c r="C9310" s="44" t="s">
        <v>204</v>
      </c>
      <c r="D9310" t="s">
        <v>293</v>
      </c>
      <c r="E9310" t="s">
        <v>8872</v>
      </c>
      <c r="F9310">
        <v>14</v>
      </c>
    </row>
    <row r="9311" spans="1:6" ht="13.2">
      <c r="A9311" t="s">
        <v>10498</v>
      </c>
      <c r="B9311">
        <v>0</v>
      </c>
      <c r="C9311" s="44" t="s">
        <v>204</v>
      </c>
      <c r="D9311" t="s">
        <v>293</v>
      </c>
      <c r="E9311" t="s">
        <v>8872</v>
      </c>
      <c r="F9311">
        <v>14</v>
      </c>
    </row>
    <row r="9312" spans="1:6" ht="13.2">
      <c r="A9312" t="s">
        <v>10499</v>
      </c>
      <c r="B9312">
        <v>0</v>
      </c>
      <c r="C9312" s="44" t="s">
        <v>204</v>
      </c>
      <c r="D9312" t="s">
        <v>293</v>
      </c>
      <c r="E9312" t="s">
        <v>8872</v>
      </c>
      <c r="F9312">
        <v>14</v>
      </c>
    </row>
    <row r="9313" spans="1:6" ht="13.2">
      <c r="A9313" t="s">
        <v>10500</v>
      </c>
      <c r="B9313">
        <v>0</v>
      </c>
      <c r="C9313" s="44" t="s">
        <v>204</v>
      </c>
      <c r="D9313" t="s">
        <v>293</v>
      </c>
      <c r="E9313" t="s">
        <v>8872</v>
      </c>
      <c r="F9313">
        <v>14</v>
      </c>
    </row>
    <row r="9314" spans="1:6" ht="13.2">
      <c r="A9314" t="s">
        <v>10501</v>
      </c>
      <c r="B9314">
        <v>0</v>
      </c>
      <c r="C9314" s="44" t="s">
        <v>204</v>
      </c>
      <c r="D9314" t="s">
        <v>293</v>
      </c>
      <c r="E9314" t="s">
        <v>8872</v>
      </c>
      <c r="F9314">
        <v>14</v>
      </c>
    </row>
    <row r="9315" spans="1:6" ht="13.2">
      <c r="A9315" t="s">
        <v>10502</v>
      </c>
      <c r="B9315">
        <v>0</v>
      </c>
      <c r="C9315" s="44" t="s">
        <v>204</v>
      </c>
      <c r="D9315" t="s">
        <v>293</v>
      </c>
      <c r="E9315" t="s">
        <v>8872</v>
      </c>
      <c r="F9315">
        <v>14</v>
      </c>
    </row>
    <row r="9316" spans="1:6" ht="13.2">
      <c r="A9316" t="s">
        <v>10503</v>
      </c>
      <c r="B9316">
        <v>0</v>
      </c>
      <c r="C9316" s="44" t="s">
        <v>204</v>
      </c>
      <c r="D9316" t="s">
        <v>293</v>
      </c>
      <c r="E9316" t="s">
        <v>8872</v>
      </c>
      <c r="F9316">
        <v>14</v>
      </c>
    </row>
    <row r="9317" spans="1:6" ht="13.2">
      <c r="A9317" t="s">
        <v>10504</v>
      </c>
      <c r="B9317">
        <v>0</v>
      </c>
      <c r="C9317" s="44" t="s">
        <v>204</v>
      </c>
      <c r="D9317" t="s">
        <v>293</v>
      </c>
      <c r="E9317" t="s">
        <v>8872</v>
      </c>
      <c r="F9317">
        <v>14</v>
      </c>
    </row>
    <row r="9318" spans="1:6" ht="13.2">
      <c r="A9318" t="s">
        <v>10505</v>
      </c>
      <c r="B9318">
        <v>0</v>
      </c>
      <c r="C9318" s="44" t="s">
        <v>204</v>
      </c>
      <c r="D9318" t="s">
        <v>293</v>
      </c>
      <c r="E9318" t="s">
        <v>8872</v>
      </c>
      <c r="F9318">
        <v>14</v>
      </c>
    </row>
    <row r="9319" spans="1:6" ht="13.2">
      <c r="A9319" t="s">
        <v>10506</v>
      </c>
      <c r="B9319">
        <v>0</v>
      </c>
      <c r="C9319" s="44" t="s">
        <v>204</v>
      </c>
      <c r="D9319" t="s">
        <v>293</v>
      </c>
      <c r="E9319" t="s">
        <v>8872</v>
      </c>
      <c r="F9319">
        <v>14</v>
      </c>
    </row>
    <row r="9320" spans="1:6" ht="13.2">
      <c r="A9320" t="s">
        <v>10507</v>
      </c>
      <c r="B9320">
        <v>0</v>
      </c>
      <c r="C9320" s="44" t="s">
        <v>204</v>
      </c>
      <c r="D9320" t="s">
        <v>293</v>
      </c>
      <c r="E9320" t="s">
        <v>8872</v>
      </c>
      <c r="F9320">
        <v>14</v>
      </c>
    </row>
    <row r="9321" spans="1:6" ht="13.2">
      <c r="A9321" t="s">
        <v>10508</v>
      </c>
      <c r="B9321">
        <v>0</v>
      </c>
      <c r="C9321" s="44" t="s">
        <v>204</v>
      </c>
      <c r="D9321" t="s">
        <v>293</v>
      </c>
      <c r="E9321" t="s">
        <v>8872</v>
      </c>
      <c r="F9321">
        <v>14</v>
      </c>
    </row>
    <row r="9322" spans="1:6" ht="13.2">
      <c r="A9322" t="s">
        <v>10509</v>
      </c>
      <c r="B9322">
        <v>0</v>
      </c>
      <c r="C9322" s="44" t="s">
        <v>204</v>
      </c>
      <c r="D9322" t="s">
        <v>293</v>
      </c>
      <c r="E9322" t="s">
        <v>8872</v>
      </c>
      <c r="F9322">
        <v>14</v>
      </c>
    </row>
    <row r="9323" spans="1:5" ht="13.2">
      <c r="A9323" t="s">
        <v>10510</v>
      </c>
      <c r="B9323">
        <v>0</v>
      </c>
      <c r="C9323" s="44">
        <v>1450</v>
      </c>
      <c r="D9323" t="s">
        <v>291</v>
      </c>
      <c r="E9323" t="s">
        <v>256</v>
      </c>
    </row>
    <row r="9324" spans="1:5" ht="13.2">
      <c r="A9324" t="s">
        <v>10511</v>
      </c>
      <c r="B9324">
        <v>0</v>
      </c>
      <c r="C9324" s="44">
        <v>1450</v>
      </c>
      <c r="D9324" t="s">
        <v>291</v>
      </c>
      <c r="E9324" t="s">
        <v>256</v>
      </c>
    </row>
    <row r="9325" spans="1:5" ht="13.2">
      <c r="A9325" t="s">
        <v>10512</v>
      </c>
      <c r="B9325">
        <v>0</v>
      </c>
      <c r="C9325" s="44">
        <v>1450</v>
      </c>
      <c r="D9325" t="s">
        <v>291</v>
      </c>
      <c r="E9325" t="s">
        <v>256</v>
      </c>
    </row>
    <row r="9326" spans="1:5" ht="13.2">
      <c r="A9326" t="s">
        <v>10513</v>
      </c>
      <c r="B9326">
        <v>0</v>
      </c>
      <c r="C9326" s="44">
        <v>1450</v>
      </c>
      <c r="D9326" t="s">
        <v>291</v>
      </c>
      <c r="E9326" t="s">
        <v>256</v>
      </c>
    </row>
    <row r="9327" spans="1:5" ht="13.2">
      <c r="A9327" t="s">
        <v>10514</v>
      </c>
      <c r="B9327">
        <v>0</v>
      </c>
      <c r="C9327" s="44">
        <v>1450</v>
      </c>
      <c r="D9327" t="s">
        <v>291</v>
      </c>
      <c r="E9327" t="s">
        <v>256</v>
      </c>
    </row>
    <row r="9328" spans="1:5" ht="13.2">
      <c r="A9328" t="s">
        <v>10515</v>
      </c>
      <c r="B9328">
        <v>0</v>
      </c>
      <c r="C9328" s="44">
        <v>1450</v>
      </c>
      <c r="D9328" t="s">
        <v>291</v>
      </c>
      <c r="E9328" t="s">
        <v>256</v>
      </c>
    </row>
    <row r="9329" spans="1:5" ht="13.2">
      <c r="A9329" t="s">
        <v>10516</v>
      </c>
      <c r="B9329">
        <v>0</v>
      </c>
      <c r="C9329" s="44">
        <v>1450</v>
      </c>
      <c r="D9329" t="s">
        <v>291</v>
      </c>
      <c r="E9329" t="s">
        <v>256</v>
      </c>
    </row>
    <row r="9330" spans="1:5" ht="13.2">
      <c r="A9330" t="s">
        <v>10517</v>
      </c>
      <c r="B9330">
        <v>0</v>
      </c>
      <c r="C9330" s="44">
        <v>1450</v>
      </c>
      <c r="D9330" t="s">
        <v>291</v>
      </c>
      <c r="E9330" t="s">
        <v>256</v>
      </c>
    </row>
    <row r="9331" spans="1:5" ht="13.2">
      <c r="A9331" t="s">
        <v>10518</v>
      </c>
      <c r="B9331">
        <v>0</v>
      </c>
      <c r="C9331" s="44">
        <v>1450</v>
      </c>
      <c r="D9331" t="s">
        <v>291</v>
      </c>
      <c r="E9331" t="s">
        <v>256</v>
      </c>
    </row>
    <row r="9332" spans="1:5" ht="13.2">
      <c r="A9332" t="s">
        <v>10519</v>
      </c>
      <c r="B9332">
        <v>0</v>
      </c>
      <c r="C9332" s="44">
        <v>1450</v>
      </c>
      <c r="D9332" t="s">
        <v>291</v>
      </c>
      <c r="E9332" t="s">
        <v>256</v>
      </c>
    </row>
    <row r="9333" spans="1:5" ht="13.2">
      <c r="A9333" t="s">
        <v>10520</v>
      </c>
      <c r="B9333">
        <v>0</v>
      </c>
      <c r="C9333" s="44">
        <v>1450</v>
      </c>
      <c r="D9333" t="s">
        <v>291</v>
      </c>
      <c r="E9333" t="s">
        <v>256</v>
      </c>
    </row>
    <row r="9334" spans="1:5" ht="13.2">
      <c r="A9334" t="s">
        <v>10521</v>
      </c>
      <c r="B9334">
        <v>0</v>
      </c>
      <c r="C9334" s="44">
        <v>1450</v>
      </c>
      <c r="D9334" t="s">
        <v>291</v>
      </c>
      <c r="E9334" t="s">
        <v>256</v>
      </c>
    </row>
    <row r="9335" spans="1:5" ht="13.2">
      <c r="A9335" t="s">
        <v>10522</v>
      </c>
      <c r="B9335">
        <v>0</v>
      </c>
      <c r="C9335" s="44">
        <v>1450</v>
      </c>
      <c r="D9335" t="s">
        <v>291</v>
      </c>
      <c r="E9335" t="s">
        <v>256</v>
      </c>
    </row>
    <row r="9336" spans="1:5" ht="13.2">
      <c r="A9336" t="s">
        <v>10523</v>
      </c>
      <c r="B9336">
        <v>0</v>
      </c>
      <c r="C9336" s="44">
        <v>1450</v>
      </c>
      <c r="D9336" t="s">
        <v>291</v>
      </c>
      <c r="E9336" t="s">
        <v>256</v>
      </c>
    </row>
    <row r="9337" spans="1:5" ht="13.2">
      <c r="A9337" t="s">
        <v>10524</v>
      </c>
      <c r="B9337">
        <v>0</v>
      </c>
      <c r="C9337" s="44">
        <v>1450</v>
      </c>
      <c r="D9337" t="s">
        <v>291</v>
      </c>
      <c r="E9337" t="s">
        <v>256</v>
      </c>
    </row>
    <row r="9338" spans="1:5" ht="13.2">
      <c r="A9338" t="s">
        <v>10525</v>
      </c>
      <c r="B9338">
        <v>0</v>
      </c>
      <c r="C9338" s="44">
        <v>1450</v>
      </c>
      <c r="D9338" t="s">
        <v>291</v>
      </c>
      <c r="E9338" t="s">
        <v>256</v>
      </c>
    </row>
    <row r="9339" spans="1:5" ht="13.2">
      <c r="A9339" t="s">
        <v>10458</v>
      </c>
      <c r="B9339">
        <v>0</v>
      </c>
      <c r="C9339" s="44">
        <v>1450</v>
      </c>
      <c r="D9339" t="s">
        <v>291</v>
      </c>
      <c r="E9339" t="s">
        <v>256</v>
      </c>
    </row>
    <row r="9340" spans="1:5" ht="13.2">
      <c r="A9340" t="s">
        <v>10526</v>
      </c>
      <c r="B9340">
        <v>0</v>
      </c>
      <c r="C9340" s="44">
        <v>1450</v>
      </c>
      <c r="D9340" t="s">
        <v>291</v>
      </c>
      <c r="E9340" t="s">
        <v>256</v>
      </c>
    </row>
    <row r="9341" spans="1:5" ht="13.2">
      <c r="A9341" t="s">
        <v>10463</v>
      </c>
      <c r="B9341">
        <v>0</v>
      </c>
      <c r="C9341" s="44">
        <v>1450</v>
      </c>
      <c r="D9341" t="s">
        <v>291</v>
      </c>
      <c r="E9341" t="s">
        <v>256</v>
      </c>
    </row>
    <row r="9342" spans="1:5" ht="13.2">
      <c r="A9342" t="s">
        <v>10527</v>
      </c>
      <c r="B9342">
        <v>0</v>
      </c>
      <c r="C9342" s="44">
        <v>1450</v>
      </c>
      <c r="D9342" t="s">
        <v>291</v>
      </c>
      <c r="E9342" t="s">
        <v>256</v>
      </c>
    </row>
    <row r="9343" spans="1:5" ht="13.2">
      <c r="A9343" t="s">
        <v>10528</v>
      </c>
      <c r="B9343">
        <v>0</v>
      </c>
      <c r="C9343" s="44">
        <v>1450</v>
      </c>
      <c r="D9343" t="s">
        <v>291</v>
      </c>
      <c r="E9343" t="s">
        <v>256</v>
      </c>
    </row>
    <row r="9344" spans="1:5" ht="13.2">
      <c r="A9344" t="s">
        <v>10529</v>
      </c>
      <c r="B9344">
        <v>0</v>
      </c>
      <c r="C9344" s="44">
        <v>1450</v>
      </c>
      <c r="D9344" t="s">
        <v>291</v>
      </c>
      <c r="E9344" t="s">
        <v>256</v>
      </c>
    </row>
    <row r="9345" spans="1:5" ht="13.2">
      <c r="A9345" t="s">
        <v>10530</v>
      </c>
      <c r="B9345">
        <v>0</v>
      </c>
      <c r="C9345" s="44">
        <v>1450</v>
      </c>
      <c r="D9345" t="s">
        <v>291</v>
      </c>
      <c r="E9345" t="s">
        <v>256</v>
      </c>
    </row>
    <row r="9346" spans="1:5" ht="13.2">
      <c r="A9346" t="s">
        <v>10531</v>
      </c>
      <c r="B9346">
        <v>0</v>
      </c>
      <c r="C9346" s="44">
        <v>1450</v>
      </c>
      <c r="D9346" t="s">
        <v>291</v>
      </c>
      <c r="E9346" t="s">
        <v>256</v>
      </c>
    </row>
    <row r="9347" spans="1:5" ht="13.2">
      <c r="A9347" t="s">
        <v>10532</v>
      </c>
      <c r="B9347">
        <v>0</v>
      </c>
      <c r="C9347" s="44">
        <v>1450</v>
      </c>
      <c r="D9347" t="s">
        <v>291</v>
      </c>
      <c r="E9347" t="s">
        <v>256</v>
      </c>
    </row>
    <row r="9348" spans="1:5" ht="13.2">
      <c r="A9348" t="s">
        <v>10533</v>
      </c>
      <c r="B9348">
        <v>0</v>
      </c>
      <c r="C9348" s="44">
        <v>1450</v>
      </c>
      <c r="D9348" t="s">
        <v>291</v>
      </c>
      <c r="E9348" t="s">
        <v>256</v>
      </c>
    </row>
    <row r="9349" spans="1:5" ht="13.2">
      <c r="A9349" t="s">
        <v>10472</v>
      </c>
      <c r="B9349">
        <v>0</v>
      </c>
      <c r="C9349" s="44">
        <v>1450</v>
      </c>
      <c r="D9349" t="s">
        <v>291</v>
      </c>
      <c r="E9349" t="s">
        <v>256</v>
      </c>
    </row>
    <row r="9350" spans="1:5" ht="13.2">
      <c r="A9350" t="s">
        <v>10534</v>
      </c>
      <c r="B9350">
        <v>0</v>
      </c>
      <c r="C9350" s="44">
        <v>1450</v>
      </c>
      <c r="D9350" t="s">
        <v>291</v>
      </c>
      <c r="E9350" t="s">
        <v>256</v>
      </c>
    </row>
    <row r="9351" spans="1:5" ht="13.2">
      <c r="A9351" t="s">
        <v>10535</v>
      </c>
      <c r="B9351">
        <v>0</v>
      </c>
      <c r="C9351" s="44">
        <v>1450</v>
      </c>
      <c r="D9351" t="s">
        <v>291</v>
      </c>
      <c r="E9351" t="s">
        <v>256</v>
      </c>
    </row>
    <row r="9352" spans="1:5" ht="13.2">
      <c r="A9352" t="s">
        <v>10536</v>
      </c>
      <c r="B9352">
        <v>0</v>
      </c>
      <c r="C9352" s="44">
        <v>1450</v>
      </c>
      <c r="D9352" t="s">
        <v>291</v>
      </c>
      <c r="E9352" t="s">
        <v>256</v>
      </c>
    </row>
    <row r="9353" spans="1:5" ht="13.2">
      <c r="A9353" t="s">
        <v>10537</v>
      </c>
      <c r="B9353">
        <v>0</v>
      </c>
      <c r="C9353" s="44">
        <v>1450</v>
      </c>
      <c r="D9353" t="s">
        <v>291</v>
      </c>
      <c r="E9353" t="s">
        <v>256</v>
      </c>
    </row>
    <row r="9354" spans="1:5" ht="13.2">
      <c r="A9354" t="s">
        <v>10538</v>
      </c>
      <c r="B9354">
        <v>0</v>
      </c>
      <c r="C9354" s="44">
        <v>1450</v>
      </c>
      <c r="D9354" t="s">
        <v>291</v>
      </c>
      <c r="E9354" t="s">
        <v>256</v>
      </c>
    </row>
    <row r="9355" spans="1:5" ht="13.2">
      <c r="A9355" t="s">
        <v>10539</v>
      </c>
      <c r="B9355">
        <v>0</v>
      </c>
      <c r="C9355" s="44">
        <v>1450</v>
      </c>
      <c r="D9355" t="s">
        <v>291</v>
      </c>
      <c r="E9355" t="s">
        <v>256</v>
      </c>
    </row>
    <row r="9356" spans="1:5" ht="13.2">
      <c r="A9356" t="s">
        <v>10540</v>
      </c>
      <c r="B9356">
        <v>0</v>
      </c>
      <c r="C9356" s="44">
        <v>1450</v>
      </c>
      <c r="D9356" t="s">
        <v>291</v>
      </c>
      <c r="E9356" t="s">
        <v>256</v>
      </c>
    </row>
    <row r="9357" spans="1:5" ht="13.2">
      <c r="A9357" t="s">
        <v>10475</v>
      </c>
      <c r="B9357">
        <v>0</v>
      </c>
      <c r="C9357" s="44">
        <v>1450</v>
      </c>
      <c r="D9357" t="s">
        <v>291</v>
      </c>
      <c r="E9357" t="s">
        <v>256</v>
      </c>
    </row>
    <row r="9358" spans="1:6" ht="13.2">
      <c r="A9358" t="s">
        <v>10541</v>
      </c>
      <c r="B9358">
        <v>0</v>
      </c>
      <c r="C9358" s="44" t="s">
        <v>350</v>
      </c>
      <c r="D9358" t="s">
        <v>293</v>
      </c>
      <c r="E9358" t="s">
        <v>9019</v>
      </c>
      <c r="F9358">
        <v>3</v>
      </c>
    </row>
    <row r="9359" spans="1:6" ht="13.2">
      <c r="A9359" t="s">
        <v>10542</v>
      </c>
      <c r="B9359">
        <v>0</v>
      </c>
      <c r="C9359" s="44" t="s">
        <v>350</v>
      </c>
      <c r="D9359" t="s">
        <v>293</v>
      </c>
      <c r="E9359" t="s">
        <v>9019</v>
      </c>
      <c r="F9359">
        <v>3</v>
      </c>
    </row>
    <row r="9360" spans="1:6" ht="13.2">
      <c r="A9360" t="s">
        <v>10543</v>
      </c>
      <c r="B9360">
        <v>0</v>
      </c>
      <c r="C9360" s="44" t="s">
        <v>350</v>
      </c>
      <c r="D9360" t="s">
        <v>293</v>
      </c>
      <c r="E9360" t="s">
        <v>9019</v>
      </c>
      <c r="F9360">
        <v>3</v>
      </c>
    </row>
    <row r="9361" spans="1:6" ht="13.2">
      <c r="A9361" t="s">
        <v>10544</v>
      </c>
      <c r="B9361">
        <v>0</v>
      </c>
      <c r="C9361" s="44" t="s">
        <v>350</v>
      </c>
      <c r="D9361" t="s">
        <v>293</v>
      </c>
      <c r="E9361" t="s">
        <v>9019</v>
      </c>
      <c r="F9361">
        <v>3</v>
      </c>
    </row>
    <row r="9362" spans="1:6" ht="13.2">
      <c r="A9362" t="s">
        <v>10545</v>
      </c>
      <c r="B9362">
        <v>0</v>
      </c>
      <c r="C9362" s="44" t="s">
        <v>350</v>
      </c>
      <c r="D9362" t="s">
        <v>293</v>
      </c>
      <c r="E9362" t="s">
        <v>9019</v>
      </c>
      <c r="F9362">
        <v>3</v>
      </c>
    </row>
    <row r="9363" spans="1:6" ht="13.2">
      <c r="A9363" t="s">
        <v>10546</v>
      </c>
      <c r="B9363">
        <v>0</v>
      </c>
      <c r="C9363" s="44" t="s">
        <v>350</v>
      </c>
      <c r="D9363" t="s">
        <v>293</v>
      </c>
      <c r="E9363" t="s">
        <v>9019</v>
      </c>
      <c r="F9363">
        <v>3</v>
      </c>
    </row>
    <row r="9364" spans="1:6" ht="13.2">
      <c r="A9364" t="s">
        <v>10547</v>
      </c>
      <c r="B9364">
        <v>0</v>
      </c>
      <c r="C9364" s="44" t="s">
        <v>350</v>
      </c>
      <c r="D9364" t="s">
        <v>293</v>
      </c>
      <c r="E9364" t="s">
        <v>9019</v>
      </c>
      <c r="F9364">
        <v>3</v>
      </c>
    </row>
    <row r="9365" spans="1:6" ht="13.2">
      <c r="A9365" t="s">
        <v>10548</v>
      </c>
      <c r="B9365">
        <v>0</v>
      </c>
      <c r="C9365" s="44" t="s">
        <v>350</v>
      </c>
      <c r="D9365" t="s">
        <v>293</v>
      </c>
      <c r="E9365" t="s">
        <v>9019</v>
      </c>
      <c r="F9365">
        <v>3</v>
      </c>
    </row>
    <row r="9366" spans="1:6" ht="13.2">
      <c r="A9366" t="s">
        <v>10549</v>
      </c>
      <c r="B9366">
        <v>0</v>
      </c>
      <c r="C9366" s="44" t="s">
        <v>350</v>
      </c>
      <c r="D9366" t="s">
        <v>293</v>
      </c>
      <c r="E9366" t="s">
        <v>9019</v>
      </c>
      <c r="F9366">
        <v>3</v>
      </c>
    </row>
    <row r="9367" spans="1:6" ht="13.2">
      <c r="A9367" t="s">
        <v>10550</v>
      </c>
      <c r="B9367">
        <v>0</v>
      </c>
      <c r="C9367" s="44" t="s">
        <v>350</v>
      </c>
      <c r="D9367" t="s">
        <v>293</v>
      </c>
      <c r="E9367" t="s">
        <v>9019</v>
      </c>
      <c r="F9367">
        <v>3</v>
      </c>
    </row>
    <row r="9368" spans="1:6" ht="13.2">
      <c r="A9368" t="s">
        <v>10551</v>
      </c>
      <c r="B9368">
        <v>0</v>
      </c>
      <c r="C9368" s="44" t="s">
        <v>350</v>
      </c>
      <c r="D9368" t="s">
        <v>293</v>
      </c>
      <c r="E9368" t="s">
        <v>9019</v>
      </c>
      <c r="F9368">
        <v>3</v>
      </c>
    </row>
    <row r="9369" spans="1:6" ht="13.2">
      <c r="A9369" t="s">
        <v>10552</v>
      </c>
      <c r="B9369">
        <v>0</v>
      </c>
      <c r="C9369" s="44">
        <v>1400</v>
      </c>
      <c r="D9369" t="s">
        <v>291</v>
      </c>
      <c r="E9369" t="s">
        <v>9157</v>
      </c>
      <c r="F9369">
        <v>1</v>
      </c>
    </row>
    <row r="9370" spans="1:6" ht="13.2">
      <c r="A9370" t="s">
        <v>10553</v>
      </c>
      <c r="B9370">
        <v>0</v>
      </c>
      <c r="C9370" s="44">
        <v>1400</v>
      </c>
      <c r="D9370" t="s">
        <v>291</v>
      </c>
      <c r="E9370" t="s">
        <v>9157</v>
      </c>
      <c r="F9370">
        <v>1</v>
      </c>
    </row>
    <row r="9371" spans="1:6" ht="13.2">
      <c r="A9371" t="s">
        <v>10554</v>
      </c>
      <c r="B9371">
        <v>0</v>
      </c>
      <c r="C9371" s="44">
        <v>1400</v>
      </c>
      <c r="D9371" t="s">
        <v>291</v>
      </c>
      <c r="E9371" t="s">
        <v>9157</v>
      </c>
      <c r="F9371">
        <v>1</v>
      </c>
    </row>
    <row r="9372" spans="1:6" ht="13.2">
      <c r="A9372" t="s">
        <v>10450</v>
      </c>
      <c r="B9372">
        <v>0</v>
      </c>
      <c r="C9372" s="44">
        <v>1400</v>
      </c>
      <c r="D9372" t="s">
        <v>291</v>
      </c>
      <c r="E9372" t="s">
        <v>9157</v>
      </c>
      <c r="F9372">
        <v>1</v>
      </c>
    </row>
    <row r="9373" spans="1:6" ht="13.2">
      <c r="A9373" t="s">
        <v>10555</v>
      </c>
      <c r="B9373">
        <v>0</v>
      </c>
      <c r="C9373" s="44">
        <v>1400</v>
      </c>
      <c r="D9373" t="s">
        <v>291</v>
      </c>
      <c r="E9373" t="s">
        <v>9157</v>
      </c>
      <c r="F9373">
        <v>1</v>
      </c>
    </row>
    <row r="9374" spans="1:6" ht="13.2">
      <c r="A9374" t="s">
        <v>10556</v>
      </c>
      <c r="B9374">
        <v>0</v>
      </c>
      <c r="C9374" s="44">
        <v>1400</v>
      </c>
      <c r="D9374" t="s">
        <v>291</v>
      </c>
      <c r="E9374" t="s">
        <v>9157</v>
      </c>
      <c r="F9374">
        <v>1</v>
      </c>
    </row>
    <row r="9375" spans="1:6" ht="13.2">
      <c r="A9375" t="s">
        <v>10557</v>
      </c>
      <c r="B9375">
        <v>0</v>
      </c>
      <c r="C9375" s="44">
        <v>1400</v>
      </c>
      <c r="D9375" t="s">
        <v>291</v>
      </c>
      <c r="E9375" t="s">
        <v>9157</v>
      </c>
      <c r="F9375">
        <v>1</v>
      </c>
    </row>
    <row r="9376" spans="1:6" ht="13.2">
      <c r="A9376" t="s">
        <v>10558</v>
      </c>
      <c r="B9376">
        <v>0</v>
      </c>
      <c r="C9376" s="44">
        <v>1400</v>
      </c>
      <c r="D9376" t="s">
        <v>291</v>
      </c>
      <c r="E9376" t="s">
        <v>9157</v>
      </c>
      <c r="F9376">
        <v>1</v>
      </c>
    </row>
    <row r="9377" spans="1:6" ht="13.2">
      <c r="A9377" t="s">
        <v>10559</v>
      </c>
      <c r="B9377">
        <v>0</v>
      </c>
      <c r="C9377" s="44">
        <v>1400</v>
      </c>
      <c r="D9377" t="s">
        <v>291</v>
      </c>
      <c r="E9377" t="s">
        <v>9157</v>
      </c>
      <c r="F9377">
        <v>1</v>
      </c>
    </row>
    <row r="9378" spans="1:6" ht="13.2">
      <c r="A9378" t="s">
        <v>10560</v>
      </c>
      <c r="B9378">
        <v>0</v>
      </c>
      <c r="C9378" s="44">
        <v>1400</v>
      </c>
      <c r="D9378" t="s">
        <v>291</v>
      </c>
      <c r="E9378" t="s">
        <v>9157</v>
      </c>
      <c r="F9378">
        <v>1</v>
      </c>
    </row>
    <row r="9379" spans="1:6" ht="13.2">
      <c r="A9379" t="s">
        <v>10561</v>
      </c>
      <c r="B9379">
        <v>0</v>
      </c>
      <c r="C9379" s="44">
        <v>1400</v>
      </c>
      <c r="D9379" t="s">
        <v>291</v>
      </c>
      <c r="E9379" t="s">
        <v>9157</v>
      </c>
      <c r="F9379">
        <v>1</v>
      </c>
    </row>
    <row r="9380" spans="1:6" ht="13.2">
      <c r="A9380" t="s">
        <v>10562</v>
      </c>
      <c r="B9380">
        <v>0</v>
      </c>
      <c r="C9380" s="44">
        <v>1400</v>
      </c>
      <c r="D9380" t="s">
        <v>291</v>
      </c>
      <c r="E9380" t="s">
        <v>9157</v>
      </c>
      <c r="F9380">
        <v>1</v>
      </c>
    </row>
    <row r="9381" spans="1:6" ht="13.2">
      <c r="A9381" t="s">
        <v>10563</v>
      </c>
      <c r="B9381">
        <v>0</v>
      </c>
      <c r="C9381" s="44">
        <v>1400</v>
      </c>
      <c r="D9381" t="s">
        <v>291</v>
      </c>
      <c r="E9381" t="s">
        <v>9157</v>
      </c>
      <c r="F9381">
        <v>1</v>
      </c>
    </row>
    <row r="9382" spans="1:6" ht="13.2">
      <c r="A9382" t="s">
        <v>10564</v>
      </c>
      <c r="B9382">
        <v>0</v>
      </c>
      <c r="C9382" s="44">
        <v>1400</v>
      </c>
      <c r="D9382" t="s">
        <v>291</v>
      </c>
      <c r="E9382" t="s">
        <v>9157</v>
      </c>
      <c r="F9382">
        <v>1</v>
      </c>
    </row>
    <row r="9383" spans="1:6" ht="13.2">
      <c r="A9383" t="s">
        <v>10565</v>
      </c>
      <c r="B9383">
        <v>0</v>
      </c>
      <c r="C9383" s="44">
        <v>1400</v>
      </c>
      <c r="D9383" t="s">
        <v>291</v>
      </c>
      <c r="E9383" t="s">
        <v>9157</v>
      </c>
      <c r="F9383">
        <v>1</v>
      </c>
    </row>
    <row r="9384" spans="1:6" ht="13.2">
      <c r="A9384" t="s">
        <v>10566</v>
      </c>
      <c r="B9384">
        <v>0</v>
      </c>
      <c r="C9384" s="44">
        <v>1400</v>
      </c>
      <c r="D9384" t="s">
        <v>291</v>
      </c>
      <c r="E9384" t="s">
        <v>9157</v>
      </c>
      <c r="F9384">
        <v>1</v>
      </c>
    </row>
    <row r="9385" spans="1:6" ht="13.2">
      <c r="A9385" t="s">
        <v>10469</v>
      </c>
      <c r="B9385">
        <v>0</v>
      </c>
      <c r="C9385" s="44">
        <v>1400</v>
      </c>
      <c r="D9385" t="s">
        <v>291</v>
      </c>
      <c r="E9385" t="s">
        <v>9157</v>
      </c>
      <c r="F9385">
        <v>1</v>
      </c>
    </row>
    <row r="9386" spans="1:6" ht="13.2">
      <c r="A9386" t="s">
        <v>10567</v>
      </c>
      <c r="B9386">
        <v>0</v>
      </c>
      <c r="C9386" s="44">
        <v>1400</v>
      </c>
      <c r="D9386" t="s">
        <v>291</v>
      </c>
      <c r="E9386" t="s">
        <v>9157</v>
      </c>
      <c r="F9386">
        <v>1</v>
      </c>
    </row>
    <row r="9387" spans="1:6" ht="13.2">
      <c r="A9387" t="s">
        <v>10568</v>
      </c>
      <c r="B9387">
        <v>0</v>
      </c>
      <c r="C9387" s="44">
        <v>1400</v>
      </c>
      <c r="D9387" t="s">
        <v>291</v>
      </c>
      <c r="E9387" t="s">
        <v>9157</v>
      </c>
      <c r="F9387">
        <v>1</v>
      </c>
    </row>
    <row r="9388" spans="1:6" ht="13.2">
      <c r="A9388" t="s">
        <v>10569</v>
      </c>
      <c r="B9388">
        <v>0</v>
      </c>
      <c r="C9388" s="44">
        <v>1400</v>
      </c>
      <c r="D9388" t="s">
        <v>291</v>
      </c>
      <c r="E9388" t="s">
        <v>9157</v>
      </c>
      <c r="F9388">
        <v>1</v>
      </c>
    </row>
    <row r="9389" spans="1:6" ht="13.2">
      <c r="A9389" t="s">
        <v>10570</v>
      </c>
      <c r="B9389">
        <v>0</v>
      </c>
      <c r="C9389" s="44">
        <v>1400</v>
      </c>
      <c r="D9389" t="s">
        <v>291</v>
      </c>
      <c r="E9389" t="s">
        <v>9157</v>
      </c>
      <c r="F9389">
        <v>1</v>
      </c>
    </row>
    <row r="9390" spans="1:6" ht="13.2">
      <c r="A9390" t="s">
        <v>10475</v>
      </c>
      <c r="B9390">
        <v>0</v>
      </c>
      <c r="C9390" s="44">
        <v>1400</v>
      </c>
      <c r="D9390" t="s">
        <v>291</v>
      </c>
      <c r="E9390" t="s">
        <v>9157</v>
      </c>
      <c r="F9390">
        <v>1</v>
      </c>
    </row>
    <row r="9391" spans="1:5" ht="13.2">
      <c r="A9391" t="s">
        <v>10571</v>
      </c>
      <c r="B9391">
        <v>0</v>
      </c>
      <c r="C9391" s="44">
        <v>3000</v>
      </c>
      <c r="D9391" t="s">
        <v>293</v>
      </c>
      <c r="E9391" t="s">
        <v>9307</v>
      </c>
    </row>
    <row r="9392" spans="1:5" ht="13.2">
      <c r="A9392" t="s">
        <v>10572</v>
      </c>
      <c r="B9392">
        <v>0</v>
      </c>
      <c r="C9392" s="44">
        <v>3000</v>
      </c>
      <c r="D9392" t="s">
        <v>293</v>
      </c>
      <c r="E9392" t="s">
        <v>9307</v>
      </c>
    </row>
    <row r="9393" spans="1:5" ht="13.2">
      <c r="A9393" t="s">
        <v>10573</v>
      </c>
      <c r="B9393">
        <v>0</v>
      </c>
      <c r="C9393" s="44">
        <v>3000</v>
      </c>
      <c r="D9393" t="s">
        <v>293</v>
      </c>
      <c r="E9393" t="s">
        <v>9307</v>
      </c>
    </row>
    <row r="9394" spans="1:5" ht="13.2">
      <c r="A9394" t="s">
        <v>10574</v>
      </c>
      <c r="B9394">
        <v>0</v>
      </c>
      <c r="C9394" s="44">
        <v>3000</v>
      </c>
      <c r="D9394" t="s">
        <v>293</v>
      </c>
      <c r="E9394" t="s">
        <v>9307</v>
      </c>
    </row>
    <row r="9395" spans="1:5" ht="13.2">
      <c r="A9395" t="s">
        <v>10575</v>
      </c>
      <c r="B9395">
        <v>0</v>
      </c>
      <c r="C9395" s="44">
        <v>3000</v>
      </c>
      <c r="D9395" t="s">
        <v>293</v>
      </c>
      <c r="E9395" t="s">
        <v>9307</v>
      </c>
    </row>
    <row r="9396" spans="1:5" ht="13.2">
      <c r="A9396" t="s">
        <v>10576</v>
      </c>
      <c r="B9396">
        <v>0</v>
      </c>
      <c r="C9396" s="44">
        <v>3000</v>
      </c>
      <c r="D9396" t="s">
        <v>293</v>
      </c>
      <c r="E9396" t="s">
        <v>9307</v>
      </c>
    </row>
    <row r="9397" spans="1:5" ht="13.2">
      <c r="A9397" t="s">
        <v>10577</v>
      </c>
      <c r="B9397">
        <v>0</v>
      </c>
      <c r="C9397" s="44">
        <v>3000</v>
      </c>
      <c r="D9397" t="s">
        <v>293</v>
      </c>
      <c r="E9397" t="s">
        <v>9307</v>
      </c>
    </row>
    <row r="9398" spans="1:5" ht="13.2">
      <c r="A9398" t="s">
        <v>10578</v>
      </c>
      <c r="B9398">
        <v>0</v>
      </c>
      <c r="C9398" s="44">
        <v>3000</v>
      </c>
      <c r="D9398" t="s">
        <v>293</v>
      </c>
      <c r="E9398" t="s">
        <v>9307</v>
      </c>
    </row>
    <row r="9399" spans="1:5" ht="13.2">
      <c r="A9399" t="s">
        <v>10579</v>
      </c>
      <c r="B9399">
        <v>0</v>
      </c>
      <c r="C9399" s="44">
        <v>3000</v>
      </c>
      <c r="D9399" t="s">
        <v>293</v>
      </c>
      <c r="E9399" t="s">
        <v>9307</v>
      </c>
    </row>
    <row r="9400" spans="1:5" ht="13.2">
      <c r="A9400" t="s">
        <v>10580</v>
      </c>
      <c r="B9400">
        <v>0</v>
      </c>
      <c r="C9400" s="44">
        <v>3000</v>
      </c>
      <c r="D9400" t="s">
        <v>293</v>
      </c>
      <c r="E9400" t="s">
        <v>9307</v>
      </c>
    </row>
    <row r="9401" spans="1:5" ht="13.2">
      <c r="A9401" t="s">
        <v>10581</v>
      </c>
      <c r="B9401">
        <v>0</v>
      </c>
      <c r="C9401" s="44" t="s">
        <v>204</v>
      </c>
      <c r="D9401" t="s">
        <v>293</v>
      </c>
      <c r="E9401" t="s">
        <v>9307</v>
      </c>
    </row>
    <row r="9402" spans="1:5" ht="13.2">
      <c r="A9402" t="s">
        <v>10582</v>
      </c>
      <c r="B9402">
        <v>0</v>
      </c>
      <c r="C9402" s="44" t="s">
        <v>204</v>
      </c>
      <c r="D9402" t="s">
        <v>293</v>
      </c>
      <c r="E9402" t="s">
        <v>9307</v>
      </c>
    </row>
    <row r="9403" spans="1:5" ht="13.2">
      <c r="A9403" t="s">
        <v>10583</v>
      </c>
      <c r="B9403">
        <v>0</v>
      </c>
      <c r="C9403" s="44" t="s">
        <v>204</v>
      </c>
      <c r="D9403" t="s">
        <v>293</v>
      </c>
      <c r="E9403" t="s">
        <v>9307</v>
      </c>
    </row>
    <row r="9404" spans="1:5" ht="13.2">
      <c r="A9404" t="s">
        <v>10584</v>
      </c>
      <c r="B9404">
        <v>0</v>
      </c>
      <c r="C9404" s="44" t="s">
        <v>204</v>
      </c>
      <c r="D9404" t="s">
        <v>293</v>
      </c>
      <c r="E9404" t="s">
        <v>9307</v>
      </c>
    </row>
    <row r="9405" spans="1:5" ht="13.2">
      <c r="A9405" t="s">
        <v>10585</v>
      </c>
      <c r="B9405">
        <v>0</v>
      </c>
      <c r="C9405" s="44" t="s">
        <v>204</v>
      </c>
      <c r="D9405" t="s">
        <v>293</v>
      </c>
      <c r="E9405" t="s">
        <v>9307</v>
      </c>
    </row>
    <row r="9406" spans="1:5" ht="13.2">
      <c r="A9406" t="s">
        <v>10586</v>
      </c>
      <c r="B9406">
        <v>0</v>
      </c>
      <c r="C9406" s="44" t="s">
        <v>204</v>
      </c>
      <c r="D9406" t="s">
        <v>293</v>
      </c>
      <c r="E9406" t="s">
        <v>9307</v>
      </c>
    </row>
    <row r="9407" spans="1:5" ht="13.2">
      <c r="A9407" t="s">
        <v>10587</v>
      </c>
      <c r="B9407">
        <v>0</v>
      </c>
      <c r="C9407" s="44" t="s">
        <v>204</v>
      </c>
      <c r="D9407" t="s">
        <v>293</v>
      </c>
      <c r="E9407" t="s">
        <v>9307</v>
      </c>
    </row>
    <row r="9408" spans="1:5" ht="13.2">
      <c r="A9408" t="s">
        <v>10588</v>
      </c>
      <c r="B9408">
        <v>0</v>
      </c>
      <c r="C9408" s="44" t="s">
        <v>204</v>
      </c>
      <c r="D9408" t="s">
        <v>293</v>
      </c>
      <c r="E9408" t="s">
        <v>9307</v>
      </c>
    </row>
    <row r="9409" spans="1:5" ht="13.2">
      <c r="A9409" t="s">
        <v>10589</v>
      </c>
      <c r="B9409">
        <v>0</v>
      </c>
      <c r="C9409" s="44" t="s">
        <v>204</v>
      </c>
      <c r="D9409" t="s">
        <v>293</v>
      </c>
      <c r="E9409" t="s">
        <v>9307</v>
      </c>
    </row>
    <row r="9410" spans="1:5" ht="13.2">
      <c r="A9410" t="s">
        <v>10590</v>
      </c>
      <c r="B9410">
        <v>0</v>
      </c>
      <c r="C9410" s="44" t="s">
        <v>204</v>
      </c>
      <c r="D9410" t="s">
        <v>293</v>
      </c>
      <c r="E9410" t="s">
        <v>9307</v>
      </c>
    </row>
    <row r="9411" spans="1:5" ht="13.2">
      <c r="A9411" t="s">
        <v>10591</v>
      </c>
      <c r="B9411">
        <v>0</v>
      </c>
      <c r="C9411" s="44">
        <v>1450</v>
      </c>
      <c r="D9411" t="s">
        <v>291</v>
      </c>
      <c r="E9411" t="s">
        <v>256</v>
      </c>
    </row>
    <row r="9412" spans="1:5" ht="13.2">
      <c r="A9412" t="s">
        <v>10592</v>
      </c>
      <c r="B9412">
        <v>0</v>
      </c>
      <c r="C9412" s="44">
        <v>1450</v>
      </c>
      <c r="D9412" t="s">
        <v>291</v>
      </c>
      <c r="E9412" t="s">
        <v>256</v>
      </c>
    </row>
    <row r="9413" spans="1:5" ht="13.2">
      <c r="A9413" t="s">
        <v>10593</v>
      </c>
      <c r="B9413">
        <v>0</v>
      </c>
      <c r="C9413" s="44">
        <v>1450</v>
      </c>
      <c r="D9413" t="s">
        <v>291</v>
      </c>
      <c r="E9413" t="s">
        <v>256</v>
      </c>
    </row>
    <row r="9414" spans="1:5" ht="13.2">
      <c r="A9414" t="s">
        <v>10594</v>
      </c>
      <c r="B9414">
        <v>0</v>
      </c>
      <c r="C9414" s="44">
        <v>1450</v>
      </c>
      <c r="D9414" t="s">
        <v>291</v>
      </c>
      <c r="E9414" t="s">
        <v>256</v>
      </c>
    </row>
    <row r="9415" spans="1:5" ht="13.2">
      <c r="A9415" t="s">
        <v>10595</v>
      </c>
      <c r="B9415">
        <v>0</v>
      </c>
      <c r="C9415" s="44">
        <v>1450</v>
      </c>
      <c r="D9415" t="s">
        <v>291</v>
      </c>
      <c r="E9415" t="s">
        <v>256</v>
      </c>
    </row>
    <row r="9416" spans="1:5" ht="13.2">
      <c r="A9416" t="s">
        <v>10596</v>
      </c>
      <c r="B9416">
        <v>0</v>
      </c>
      <c r="C9416" s="44">
        <v>1450</v>
      </c>
      <c r="D9416" t="s">
        <v>291</v>
      </c>
      <c r="E9416" t="s">
        <v>256</v>
      </c>
    </row>
    <row r="9417" spans="1:5" ht="13.2">
      <c r="A9417" t="s">
        <v>10597</v>
      </c>
      <c r="B9417">
        <v>0</v>
      </c>
      <c r="C9417" s="44">
        <v>1450</v>
      </c>
      <c r="D9417" t="s">
        <v>291</v>
      </c>
      <c r="E9417" t="s">
        <v>256</v>
      </c>
    </row>
    <row r="9418" spans="1:5" ht="13.2">
      <c r="A9418" t="s">
        <v>10598</v>
      </c>
      <c r="B9418">
        <v>0</v>
      </c>
      <c r="C9418" s="44">
        <v>1450</v>
      </c>
      <c r="D9418" t="s">
        <v>291</v>
      </c>
      <c r="E9418" t="s">
        <v>256</v>
      </c>
    </row>
    <row r="9419" spans="1:5" ht="13.2">
      <c r="A9419" t="s">
        <v>10599</v>
      </c>
      <c r="B9419">
        <v>0</v>
      </c>
      <c r="C9419" s="44">
        <v>1450</v>
      </c>
      <c r="D9419" t="s">
        <v>291</v>
      </c>
      <c r="E9419" t="s">
        <v>256</v>
      </c>
    </row>
    <row r="9420" spans="1:5" ht="13.2">
      <c r="A9420" t="s">
        <v>10600</v>
      </c>
      <c r="B9420">
        <v>0</v>
      </c>
      <c r="C9420" s="44">
        <v>1450</v>
      </c>
      <c r="D9420" t="s">
        <v>291</v>
      </c>
      <c r="E9420" t="s">
        <v>256</v>
      </c>
    </row>
    <row r="9421" spans="1:5" ht="13.2">
      <c r="A9421" t="s">
        <v>10601</v>
      </c>
      <c r="B9421">
        <v>0</v>
      </c>
      <c r="C9421" s="44">
        <v>1450</v>
      </c>
      <c r="D9421" t="s">
        <v>291</v>
      </c>
      <c r="E9421" t="s">
        <v>256</v>
      </c>
    </row>
    <row r="9422" spans="1:5" ht="13.2">
      <c r="A9422" t="s">
        <v>10602</v>
      </c>
      <c r="B9422">
        <v>0</v>
      </c>
      <c r="C9422" s="44">
        <v>1450</v>
      </c>
      <c r="D9422" t="s">
        <v>291</v>
      </c>
      <c r="E9422" t="s">
        <v>256</v>
      </c>
    </row>
    <row r="9423" spans="1:5" ht="13.2">
      <c r="A9423" t="s">
        <v>10603</v>
      </c>
      <c r="B9423">
        <v>0</v>
      </c>
      <c r="C9423" s="44">
        <v>1450</v>
      </c>
      <c r="D9423" t="s">
        <v>291</v>
      </c>
      <c r="E9423" t="s">
        <v>256</v>
      </c>
    </row>
    <row r="9424" spans="1:5" ht="13.2">
      <c r="A9424" t="s">
        <v>10604</v>
      </c>
      <c r="B9424">
        <v>0</v>
      </c>
      <c r="C9424" s="44">
        <v>1450</v>
      </c>
      <c r="D9424" t="s">
        <v>291</v>
      </c>
      <c r="E9424" t="s">
        <v>256</v>
      </c>
    </row>
    <row r="9425" spans="1:5" ht="13.2">
      <c r="A9425" t="s">
        <v>10605</v>
      </c>
      <c r="B9425">
        <v>0</v>
      </c>
      <c r="C9425" s="44">
        <v>1450</v>
      </c>
      <c r="D9425" t="s">
        <v>291</v>
      </c>
      <c r="E9425" t="s">
        <v>256</v>
      </c>
    </row>
    <row r="9426" spans="1:5" ht="13.2">
      <c r="A9426" t="s">
        <v>10606</v>
      </c>
      <c r="B9426">
        <v>0</v>
      </c>
      <c r="C9426" s="44">
        <v>1450</v>
      </c>
      <c r="D9426" t="s">
        <v>291</v>
      </c>
      <c r="E9426" t="s">
        <v>256</v>
      </c>
    </row>
    <row r="9427" spans="1:5" ht="13.2">
      <c r="A9427" t="s">
        <v>10607</v>
      </c>
      <c r="B9427">
        <v>0</v>
      </c>
      <c r="C9427" s="44">
        <v>1450</v>
      </c>
      <c r="D9427" t="s">
        <v>291</v>
      </c>
      <c r="E9427" t="s">
        <v>256</v>
      </c>
    </row>
    <row r="9428" spans="1:5" ht="13.2">
      <c r="A9428" t="s">
        <v>10608</v>
      </c>
      <c r="B9428">
        <v>0</v>
      </c>
      <c r="C9428" s="44">
        <v>1450</v>
      </c>
      <c r="D9428" t="s">
        <v>291</v>
      </c>
      <c r="E9428" t="s">
        <v>256</v>
      </c>
    </row>
    <row r="9429" spans="1:5" ht="13.2">
      <c r="A9429" t="s">
        <v>10609</v>
      </c>
      <c r="B9429">
        <v>0</v>
      </c>
      <c r="C9429" s="44">
        <v>1450</v>
      </c>
      <c r="D9429" t="s">
        <v>291</v>
      </c>
      <c r="E9429" t="s">
        <v>256</v>
      </c>
    </row>
    <row r="9430" spans="1:5" ht="13.2">
      <c r="A9430" t="s">
        <v>10610</v>
      </c>
      <c r="B9430">
        <v>0</v>
      </c>
      <c r="C9430" s="44">
        <v>1450</v>
      </c>
      <c r="D9430" t="s">
        <v>291</v>
      </c>
      <c r="E9430" t="s">
        <v>256</v>
      </c>
    </row>
    <row r="9431" spans="1:5" ht="13.2">
      <c r="A9431" t="s">
        <v>10611</v>
      </c>
      <c r="B9431">
        <v>0</v>
      </c>
      <c r="C9431" s="44">
        <v>1450</v>
      </c>
      <c r="D9431" t="s">
        <v>291</v>
      </c>
      <c r="E9431" t="s">
        <v>256</v>
      </c>
    </row>
    <row r="9432" spans="1:5" ht="13.2">
      <c r="A9432" t="s">
        <v>10612</v>
      </c>
      <c r="B9432">
        <v>0</v>
      </c>
      <c r="C9432" s="44">
        <v>1450</v>
      </c>
      <c r="D9432" t="s">
        <v>291</v>
      </c>
      <c r="E9432" t="s">
        <v>256</v>
      </c>
    </row>
    <row r="9433" spans="1:5" ht="13.2">
      <c r="A9433" t="s">
        <v>10613</v>
      </c>
      <c r="B9433">
        <v>0</v>
      </c>
      <c r="C9433" s="44">
        <v>1450</v>
      </c>
      <c r="D9433" t="s">
        <v>291</v>
      </c>
      <c r="E9433" t="s">
        <v>256</v>
      </c>
    </row>
    <row r="9434" spans="1:5" ht="13.2">
      <c r="A9434" t="s">
        <v>10614</v>
      </c>
      <c r="B9434">
        <v>0</v>
      </c>
      <c r="C9434" s="44">
        <v>1450</v>
      </c>
      <c r="D9434" t="s">
        <v>291</v>
      </c>
      <c r="E9434" t="s">
        <v>256</v>
      </c>
    </row>
    <row r="9435" spans="1:5" ht="13.2">
      <c r="A9435" t="s">
        <v>10615</v>
      </c>
      <c r="B9435">
        <v>0</v>
      </c>
      <c r="C9435" s="44">
        <v>1450</v>
      </c>
      <c r="D9435" t="s">
        <v>291</v>
      </c>
      <c r="E9435" t="s">
        <v>256</v>
      </c>
    </row>
    <row r="9436" spans="1:5" ht="13.2">
      <c r="A9436" t="s">
        <v>10616</v>
      </c>
      <c r="B9436">
        <v>0</v>
      </c>
      <c r="C9436" s="44">
        <v>1450</v>
      </c>
      <c r="D9436" t="s">
        <v>291</v>
      </c>
      <c r="E9436" t="s">
        <v>256</v>
      </c>
    </row>
    <row r="9437" spans="1:5" ht="13.2">
      <c r="A9437" t="s">
        <v>10617</v>
      </c>
      <c r="B9437">
        <v>0</v>
      </c>
      <c r="C9437" s="44">
        <v>1450</v>
      </c>
      <c r="D9437" t="s">
        <v>291</v>
      </c>
      <c r="E9437" t="s">
        <v>256</v>
      </c>
    </row>
    <row r="9438" spans="1:5" ht="13.2">
      <c r="A9438" t="s">
        <v>10618</v>
      </c>
      <c r="B9438">
        <v>0</v>
      </c>
      <c r="C9438" s="44">
        <v>1450</v>
      </c>
      <c r="D9438" t="s">
        <v>291</v>
      </c>
      <c r="E9438" t="s">
        <v>256</v>
      </c>
    </row>
    <row r="9439" spans="1:5" ht="13.2">
      <c r="A9439" t="s">
        <v>10619</v>
      </c>
      <c r="B9439">
        <v>0</v>
      </c>
      <c r="C9439" s="44">
        <v>1450</v>
      </c>
      <c r="D9439" t="s">
        <v>291</v>
      </c>
      <c r="E9439" t="s">
        <v>256</v>
      </c>
    </row>
    <row r="9440" spans="1:5" ht="13.2">
      <c r="A9440" t="s">
        <v>10620</v>
      </c>
      <c r="B9440">
        <v>0</v>
      </c>
      <c r="C9440" s="44">
        <v>1450</v>
      </c>
      <c r="D9440" t="s">
        <v>291</v>
      </c>
      <c r="E9440" t="s">
        <v>256</v>
      </c>
    </row>
    <row r="9441" spans="1:5" ht="13.2">
      <c r="A9441" t="s">
        <v>10621</v>
      </c>
      <c r="B9441">
        <v>570</v>
      </c>
      <c r="C9441" s="44">
        <v>1400</v>
      </c>
      <c r="D9441" t="s">
        <v>293</v>
      </c>
      <c r="E9441" t="s">
        <v>364</v>
      </c>
    </row>
    <row r="9442" spans="1:5" ht="13.2">
      <c r="A9442" t="s">
        <v>10622</v>
      </c>
      <c r="B9442">
        <v>570</v>
      </c>
      <c r="C9442" s="44">
        <v>1400</v>
      </c>
      <c r="D9442" t="s">
        <v>293</v>
      </c>
      <c r="E9442" t="s">
        <v>364</v>
      </c>
    </row>
    <row r="9443" spans="1:5" ht="13.2">
      <c r="A9443" t="s">
        <v>10623</v>
      </c>
      <c r="B9443">
        <v>570</v>
      </c>
      <c r="C9443" s="44">
        <v>1400</v>
      </c>
      <c r="D9443" t="s">
        <v>293</v>
      </c>
      <c r="E9443" t="s">
        <v>364</v>
      </c>
    </row>
    <row r="9444" spans="1:5" ht="13.2">
      <c r="A9444" t="s">
        <v>10624</v>
      </c>
      <c r="B9444">
        <v>570</v>
      </c>
      <c r="C9444" s="44">
        <v>1400</v>
      </c>
      <c r="D9444" t="s">
        <v>293</v>
      </c>
      <c r="E9444" t="s">
        <v>364</v>
      </c>
    </row>
    <row r="9445" spans="1:5" ht="13.2">
      <c r="A9445" t="s">
        <v>10625</v>
      </c>
      <c r="B9445">
        <v>570</v>
      </c>
      <c r="C9445" s="44">
        <v>1400</v>
      </c>
      <c r="D9445" t="s">
        <v>293</v>
      </c>
      <c r="E9445" t="s">
        <v>364</v>
      </c>
    </row>
    <row r="9446" spans="1:5" ht="13.2">
      <c r="A9446" t="s">
        <v>10626</v>
      </c>
      <c r="B9446">
        <v>570</v>
      </c>
      <c r="C9446" s="44">
        <v>1400</v>
      </c>
      <c r="D9446" t="s">
        <v>293</v>
      </c>
      <c r="E9446" t="s">
        <v>364</v>
      </c>
    </row>
    <row r="9447" spans="1:6" ht="13.2">
      <c r="A9447" t="s">
        <v>10627</v>
      </c>
      <c r="B9447">
        <v>960</v>
      </c>
      <c r="C9447" s="44">
        <v>1370</v>
      </c>
      <c r="D9447" t="s">
        <v>291</v>
      </c>
      <c r="E9447" t="s">
        <v>577</v>
      </c>
      <c r="F9447">
        <v>14</v>
      </c>
    </row>
    <row r="9448" spans="1:6" ht="13.2">
      <c r="A9448" t="s">
        <v>10628</v>
      </c>
      <c r="B9448">
        <v>960</v>
      </c>
      <c r="C9448" s="44">
        <v>1370</v>
      </c>
      <c r="D9448" t="s">
        <v>291</v>
      </c>
      <c r="E9448" t="s">
        <v>577</v>
      </c>
      <c r="F9448">
        <v>14</v>
      </c>
    </row>
    <row r="9449" spans="1:6" ht="13.2">
      <c r="A9449" t="s">
        <v>10629</v>
      </c>
      <c r="B9449">
        <v>960</v>
      </c>
      <c r="C9449" s="44">
        <v>1370</v>
      </c>
      <c r="D9449" t="s">
        <v>291</v>
      </c>
      <c r="E9449" t="s">
        <v>577</v>
      </c>
      <c r="F9449">
        <v>14</v>
      </c>
    </row>
    <row r="9450" spans="1:6" ht="13.2">
      <c r="A9450" t="s">
        <v>10630</v>
      </c>
      <c r="B9450">
        <v>960</v>
      </c>
      <c r="C9450" s="44">
        <v>1370</v>
      </c>
      <c r="D9450" t="s">
        <v>291</v>
      </c>
      <c r="E9450" t="s">
        <v>577</v>
      </c>
      <c r="F9450">
        <v>14</v>
      </c>
    </row>
    <row r="9451" spans="1:5" ht="13.2">
      <c r="A9451" t="s">
        <v>10631</v>
      </c>
      <c r="B9451">
        <v>0</v>
      </c>
      <c r="C9451" s="44">
        <v>3050</v>
      </c>
      <c r="D9451" t="s">
        <v>293</v>
      </c>
      <c r="E9451" t="s">
        <v>9703</v>
      </c>
    </row>
    <row r="9452" spans="1:5" ht="13.2">
      <c r="A9452" t="s">
        <v>10632</v>
      </c>
      <c r="B9452">
        <v>0</v>
      </c>
      <c r="C9452" s="44">
        <v>3050</v>
      </c>
      <c r="D9452" t="s">
        <v>293</v>
      </c>
      <c r="E9452" t="s">
        <v>9703</v>
      </c>
    </row>
    <row r="9453" spans="1:5" ht="13.2">
      <c r="A9453" t="s">
        <v>10633</v>
      </c>
      <c r="B9453">
        <v>0</v>
      </c>
      <c r="C9453" s="44">
        <v>3050</v>
      </c>
      <c r="D9453" t="s">
        <v>293</v>
      </c>
      <c r="E9453" t="s">
        <v>9703</v>
      </c>
    </row>
    <row r="9454" spans="1:5" ht="13.2">
      <c r="A9454" t="s">
        <v>10634</v>
      </c>
      <c r="B9454">
        <v>0</v>
      </c>
      <c r="C9454" s="44">
        <v>3050</v>
      </c>
      <c r="D9454" t="s">
        <v>293</v>
      </c>
      <c r="E9454" t="s">
        <v>9703</v>
      </c>
    </row>
    <row r="9455" spans="1:5" ht="13.2">
      <c r="A9455" t="s">
        <v>10635</v>
      </c>
      <c r="B9455">
        <v>0</v>
      </c>
      <c r="C9455" s="44">
        <v>3050</v>
      </c>
      <c r="D9455" t="s">
        <v>293</v>
      </c>
      <c r="E9455" t="s">
        <v>9703</v>
      </c>
    </row>
    <row r="9456" spans="1:5" ht="13.2">
      <c r="A9456" t="s">
        <v>10636</v>
      </c>
      <c r="B9456">
        <v>0</v>
      </c>
      <c r="C9456" s="44">
        <v>3050</v>
      </c>
      <c r="D9456" t="s">
        <v>293</v>
      </c>
      <c r="E9456" t="s">
        <v>9703</v>
      </c>
    </row>
    <row r="9457" spans="1:5" ht="13.2">
      <c r="A9457" t="s">
        <v>10637</v>
      </c>
      <c r="B9457">
        <v>0</v>
      </c>
      <c r="C9457" s="44">
        <v>3050</v>
      </c>
      <c r="D9457" t="s">
        <v>293</v>
      </c>
      <c r="E9457" t="s">
        <v>9703</v>
      </c>
    </row>
    <row r="9458" spans="1:5" ht="13.2">
      <c r="A9458" t="s">
        <v>10638</v>
      </c>
      <c r="B9458">
        <v>0</v>
      </c>
      <c r="C9458" s="44">
        <v>3050</v>
      </c>
      <c r="D9458" t="s">
        <v>293</v>
      </c>
      <c r="E9458" t="s">
        <v>9703</v>
      </c>
    </row>
    <row r="9459" spans="1:5" ht="13.2">
      <c r="A9459" t="s">
        <v>10639</v>
      </c>
      <c r="B9459">
        <v>0</v>
      </c>
      <c r="C9459" s="44">
        <v>3050</v>
      </c>
      <c r="D9459" t="s">
        <v>293</v>
      </c>
      <c r="E9459" t="s">
        <v>9703</v>
      </c>
    </row>
    <row r="9460" spans="1:5" ht="13.2">
      <c r="A9460" t="s">
        <v>10640</v>
      </c>
      <c r="B9460">
        <v>0</v>
      </c>
      <c r="C9460" s="44">
        <v>3050</v>
      </c>
      <c r="D9460" t="s">
        <v>293</v>
      </c>
      <c r="E9460" t="s">
        <v>9703</v>
      </c>
    </row>
    <row r="9461" spans="1:5" ht="13.2">
      <c r="A9461" t="s">
        <v>10641</v>
      </c>
      <c r="B9461">
        <v>0</v>
      </c>
      <c r="C9461" s="44">
        <v>3050</v>
      </c>
      <c r="D9461" t="s">
        <v>293</v>
      </c>
      <c r="E9461" t="s">
        <v>9703</v>
      </c>
    </row>
    <row r="9462" spans="1:5" ht="13.2">
      <c r="A9462" t="s">
        <v>10642</v>
      </c>
      <c r="B9462">
        <v>0</v>
      </c>
      <c r="C9462" s="44">
        <v>3050</v>
      </c>
      <c r="D9462" t="s">
        <v>293</v>
      </c>
      <c r="E9462" t="s">
        <v>9703</v>
      </c>
    </row>
    <row r="9463" spans="1:5" ht="13.2">
      <c r="A9463" t="s">
        <v>10643</v>
      </c>
      <c r="B9463">
        <v>0</v>
      </c>
      <c r="C9463" s="44">
        <v>3050</v>
      </c>
      <c r="D9463" t="s">
        <v>293</v>
      </c>
      <c r="E9463" t="s">
        <v>9703</v>
      </c>
    </row>
    <row r="9464" spans="1:5" ht="13.2">
      <c r="A9464" t="s">
        <v>10644</v>
      </c>
      <c r="B9464">
        <v>0</v>
      </c>
      <c r="C9464" s="44">
        <v>3050</v>
      </c>
      <c r="D9464" t="s">
        <v>293</v>
      </c>
      <c r="E9464" t="s">
        <v>9703</v>
      </c>
    </row>
    <row r="9465" spans="1:5" ht="13.2">
      <c r="A9465" t="s">
        <v>10645</v>
      </c>
      <c r="B9465">
        <v>0</v>
      </c>
      <c r="C9465" s="44">
        <v>3050</v>
      </c>
      <c r="D9465" t="s">
        <v>293</v>
      </c>
      <c r="E9465" t="s">
        <v>9703</v>
      </c>
    </row>
    <row r="9466" spans="1:5" ht="13.2">
      <c r="A9466" t="s">
        <v>10646</v>
      </c>
      <c r="B9466">
        <v>0</v>
      </c>
      <c r="C9466" s="44">
        <v>3050</v>
      </c>
      <c r="D9466" t="s">
        <v>293</v>
      </c>
      <c r="E9466" t="s">
        <v>9703</v>
      </c>
    </row>
    <row r="9467" spans="1:5" ht="13.2">
      <c r="A9467" t="s">
        <v>10647</v>
      </c>
      <c r="B9467">
        <v>0</v>
      </c>
      <c r="C9467" s="44">
        <v>3050</v>
      </c>
      <c r="D9467" t="s">
        <v>293</v>
      </c>
      <c r="E9467" t="s">
        <v>9703</v>
      </c>
    </row>
    <row r="9468" spans="1:5" ht="13.2">
      <c r="A9468" t="s">
        <v>10648</v>
      </c>
      <c r="B9468">
        <v>0</v>
      </c>
      <c r="C9468" s="44">
        <v>3050</v>
      </c>
      <c r="D9468" t="s">
        <v>293</v>
      </c>
      <c r="E9468" t="s">
        <v>9703</v>
      </c>
    </row>
    <row r="9469" spans="1:5" ht="13.2">
      <c r="A9469" t="s">
        <v>10649</v>
      </c>
      <c r="B9469">
        <v>0</v>
      </c>
      <c r="C9469" s="44">
        <v>3050</v>
      </c>
      <c r="D9469" t="s">
        <v>293</v>
      </c>
      <c r="E9469" t="s">
        <v>9703</v>
      </c>
    </row>
    <row r="9470" spans="1:5" ht="13.2">
      <c r="A9470" t="s">
        <v>10650</v>
      </c>
      <c r="B9470">
        <v>0</v>
      </c>
      <c r="C9470" s="44">
        <v>3050</v>
      </c>
      <c r="D9470" t="s">
        <v>293</v>
      </c>
      <c r="E9470" t="s">
        <v>9703</v>
      </c>
    </row>
    <row r="9471" spans="1:5" ht="13.2">
      <c r="A9471" t="s">
        <v>10651</v>
      </c>
      <c r="B9471">
        <v>0</v>
      </c>
      <c r="C9471" s="44">
        <v>3050</v>
      </c>
      <c r="D9471" t="s">
        <v>293</v>
      </c>
      <c r="E9471" t="s">
        <v>9703</v>
      </c>
    </row>
    <row r="9472" spans="1:5" ht="13.2">
      <c r="A9472" t="s">
        <v>10652</v>
      </c>
      <c r="B9472">
        <v>0</v>
      </c>
      <c r="C9472" s="44">
        <v>3050</v>
      </c>
      <c r="D9472" t="s">
        <v>293</v>
      </c>
      <c r="E9472" t="s">
        <v>9703</v>
      </c>
    </row>
    <row r="9473" spans="1:5" ht="13.2">
      <c r="A9473" t="s">
        <v>10653</v>
      </c>
      <c r="B9473">
        <v>0</v>
      </c>
      <c r="C9473" s="44">
        <v>3050</v>
      </c>
      <c r="D9473" t="s">
        <v>293</v>
      </c>
      <c r="E9473" t="s">
        <v>9703</v>
      </c>
    </row>
    <row r="9474" spans="1:6" ht="13.2">
      <c r="A9474" t="s">
        <v>10654</v>
      </c>
      <c r="B9474">
        <v>0</v>
      </c>
      <c r="C9474" s="44">
        <v>3000</v>
      </c>
      <c r="D9474" t="s">
        <v>293</v>
      </c>
      <c r="E9474" t="s">
        <v>653</v>
      </c>
      <c r="F9474" t="s">
        <v>3824</v>
      </c>
    </row>
    <row r="9475" spans="1:6" ht="13.2">
      <c r="A9475" t="s">
        <v>10655</v>
      </c>
      <c r="B9475">
        <v>0</v>
      </c>
      <c r="C9475" s="44">
        <v>3000</v>
      </c>
      <c r="D9475" t="s">
        <v>293</v>
      </c>
      <c r="E9475" t="s">
        <v>653</v>
      </c>
      <c r="F9475" t="s">
        <v>3824</v>
      </c>
    </row>
    <row r="9476" spans="1:6" ht="13.2">
      <c r="A9476" t="s">
        <v>10656</v>
      </c>
      <c r="B9476">
        <v>0</v>
      </c>
      <c r="C9476" s="44">
        <v>3000</v>
      </c>
      <c r="D9476" t="s">
        <v>293</v>
      </c>
      <c r="E9476" t="s">
        <v>653</v>
      </c>
      <c r="F9476" t="s">
        <v>3824</v>
      </c>
    </row>
    <row r="9477" spans="1:6" ht="13.2">
      <c r="A9477" t="s">
        <v>10657</v>
      </c>
      <c r="B9477">
        <v>0</v>
      </c>
      <c r="C9477" s="44">
        <v>3000</v>
      </c>
      <c r="D9477" t="s">
        <v>293</v>
      </c>
      <c r="E9477" t="s">
        <v>653</v>
      </c>
      <c r="F9477" t="s">
        <v>3824</v>
      </c>
    </row>
    <row r="9478" spans="1:6" ht="13.2">
      <c r="A9478" t="s">
        <v>10633</v>
      </c>
      <c r="B9478">
        <v>0</v>
      </c>
      <c r="C9478" s="44">
        <v>3000</v>
      </c>
      <c r="D9478" t="s">
        <v>293</v>
      </c>
      <c r="E9478" t="s">
        <v>653</v>
      </c>
      <c r="F9478" t="s">
        <v>3824</v>
      </c>
    </row>
    <row r="9479" spans="1:6" ht="13.2">
      <c r="A9479" t="s">
        <v>10658</v>
      </c>
      <c r="B9479">
        <v>0</v>
      </c>
      <c r="C9479" s="44">
        <v>3000</v>
      </c>
      <c r="D9479" t="s">
        <v>293</v>
      </c>
      <c r="E9479" t="s">
        <v>653</v>
      </c>
      <c r="F9479" t="s">
        <v>3824</v>
      </c>
    </row>
    <row r="9480" spans="1:6" ht="13.2">
      <c r="A9480" t="s">
        <v>10659</v>
      </c>
      <c r="B9480">
        <v>0</v>
      </c>
      <c r="C9480" s="44">
        <v>3000</v>
      </c>
      <c r="D9480" t="s">
        <v>293</v>
      </c>
      <c r="E9480" t="s">
        <v>653</v>
      </c>
      <c r="F9480" t="s">
        <v>3824</v>
      </c>
    </row>
    <row r="9481" spans="1:6" ht="13.2">
      <c r="A9481" t="s">
        <v>10660</v>
      </c>
      <c r="B9481">
        <v>0</v>
      </c>
      <c r="C9481" s="44">
        <v>3000</v>
      </c>
      <c r="D9481" t="s">
        <v>293</v>
      </c>
      <c r="E9481" t="s">
        <v>653</v>
      </c>
      <c r="F9481" t="s">
        <v>3824</v>
      </c>
    </row>
    <row r="9482" spans="1:6" ht="13.2">
      <c r="A9482" t="s">
        <v>10661</v>
      </c>
      <c r="B9482">
        <v>0</v>
      </c>
      <c r="C9482" s="44">
        <v>3000</v>
      </c>
      <c r="D9482" t="s">
        <v>293</v>
      </c>
      <c r="E9482" t="s">
        <v>653</v>
      </c>
      <c r="F9482" t="s">
        <v>3824</v>
      </c>
    </row>
    <row r="9483" spans="1:6" ht="13.2">
      <c r="A9483" t="s">
        <v>10662</v>
      </c>
      <c r="B9483">
        <v>0</v>
      </c>
      <c r="C9483" s="44">
        <v>3000</v>
      </c>
      <c r="D9483" t="s">
        <v>293</v>
      </c>
      <c r="E9483" t="s">
        <v>653</v>
      </c>
      <c r="F9483" t="s">
        <v>3824</v>
      </c>
    </row>
    <row r="9484" spans="1:6" ht="13.2">
      <c r="A9484" t="s">
        <v>10663</v>
      </c>
      <c r="B9484">
        <v>0</v>
      </c>
      <c r="C9484" s="44">
        <v>3000</v>
      </c>
      <c r="D9484" t="s">
        <v>293</v>
      </c>
      <c r="E9484" t="s">
        <v>653</v>
      </c>
      <c r="F9484" t="s">
        <v>3824</v>
      </c>
    </row>
    <row r="9485" spans="1:6" ht="13.2">
      <c r="A9485" t="s">
        <v>10664</v>
      </c>
      <c r="B9485">
        <v>0</v>
      </c>
      <c r="C9485" s="44">
        <v>3000</v>
      </c>
      <c r="D9485" t="s">
        <v>293</v>
      </c>
      <c r="E9485" t="s">
        <v>653</v>
      </c>
      <c r="F9485" t="s">
        <v>3824</v>
      </c>
    </row>
    <row r="9486" spans="1:6" ht="13.2">
      <c r="A9486" t="s">
        <v>10665</v>
      </c>
      <c r="B9486">
        <v>0</v>
      </c>
      <c r="C9486" s="44">
        <v>3000</v>
      </c>
      <c r="D9486" t="s">
        <v>293</v>
      </c>
      <c r="E9486" t="s">
        <v>653</v>
      </c>
      <c r="F9486" t="s">
        <v>3824</v>
      </c>
    </row>
    <row r="9487" spans="1:6" ht="13.2">
      <c r="A9487" t="s">
        <v>10666</v>
      </c>
      <c r="B9487">
        <v>0</v>
      </c>
      <c r="C9487" s="44">
        <v>3000</v>
      </c>
      <c r="D9487" t="s">
        <v>293</v>
      </c>
      <c r="E9487" t="s">
        <v>653</v>
      </c>
      <c r="F9487" t="s">
        <v>3824</v>
      </c>
    </row>
    <row r="9488" spans="1:6" ht="13.2">
      <c r="A9488" t="s">
        <v>10667</v>
      </c>
      <c r="B9488">
        <v>0</v>
      </c>
      <c r="C9488" s="44">
        <v>3000</v>
      </c>
      <c r="D9488" t="s">
        <v>293</v>
      </c>
      <c r="E9488" t="s">
        <v>653</v>
      </c>
      <c r="F9488" t="s">
        <v>3824</v>
      </c>
    </row>
    <row r="9489" spans="1:6" ht="13.2">
      <c r="A9489" t="s">
        <v>10649</v>
      </c>
      <c r="B9489">
        <v>0</v>
      </c>
      <c r="C9489" s="44">
        <v>3000</v>
      </c>
      <c r="D9489" t="s">
        <v>293</v>
      </c>
      <c r="E9489" t="s">
        <v>653</v>
      </c>
      <c r="F9489" t="s">
        <v>3824</v>
      </c>
    </row>
    <row r="9490" spans="1:6" ht="13.2">
      <c r="A9490" t="s">
        <v>10668</v>
      </c>
      <c r="B9490">
        <v>0</v>
      </c>
      <c r="C9490" s="44">
        <v>3000</v>
      </c>
      <c r="D9490" t="s">
        <v>293</v>
      </c>
      <c r="E9490" t="s">
        <v>653</v>
      </c>
      <c r="F9490" t="s">
        <v>3824</v>
      </c>
    </row>
    <row r="9491" spans="1:6" ht="13.2">
      <c r="A9491" t="s">
        <v>10669</v>
      </c>
      <c r="B9491">
        <v>0</v>
      </c>
      <c r="C9491" s="44">
        <v>3000</v>
      </c>
      <c r="D9491" t="s">
        <v>293</v>
      </c>
      <c r="E9491" t="s">
        <v>653</v>
      </c>
      <c r="F9491" t="s">
        <v>3824</v>
      </c>
    </row>
    <row r="9492" spans="1:6" ht="13.2">
      <c r="A9492" t="s">
        <v>10670</v>
      </c>
      <c r="B9492">
        <v>0</v>
      </c>
      <c r="C9492" s="44">
        <v>3000</v>
      </c>
      <c r="D9492" t="s">
        <v>293</v>
      </c>
      <c r="E9492" t="s">
        <v>653</v>
      </c>
      <c r="F9492" t="s">
        <v>3824</v>
      </c>
    </row>
    <row r="9493" spans="1:6" ht="13.2">
      <c r="A9493" t="s">
        <v>10653</v>
      </c>
      <c r="B9493">
        <v>0</v>
      </c>
      <c r="C9493" s="44">
        <v>3000</v>
      </c>
      <c r="D9493" t="s">
        <v>293</v>
      </c>
      <c r="E9493" t="s">
        <v>653</v>
      </c>
      <c r="F9493" t="s">
        <v>3824</v>
      </c>
    </row>
    <row r="9494" spans="1:5" ht="13.2">
      <c r="A9494" t="s">
        <v>10671</v>
      </c>
      <c r="B9494">
        <v>500</v>
      </c>
      <c r="C9494" s="44" t="s">
        <v>204</v>
      </c>
      <c r="D9494" t="s">
        <v>293</v>
      </c>
      <c r="E9494" t="s">
        <v>9704</v>
      </c>
    </row>
    <row r="9495" spans="1:5" ht="13.2">
      <c r="A9495" t="s">
        <v>10672</v>
      </c>
      <c r="B9495">
        <v>500</v>
      </c>
      <c r="C9495" s="44" t="s">
        <v>204</v>
      </c>
      <c r="D9495" t="s">
        <v>293</v>
      </c>
      <c r="E9495" t="s">
        <v>9704</v>
      </c>
    </row>
    <row r="9496" spans="1:5" ht="13.2">
      <c r="A9496" t="s">
        <v>10673</v>
      </c>
      <c r="B9496">
        <v>500</v>
      </c>
      <c r="C9496" s="44" t="s">
        <v>204</v>
      </c>
      <c r="D9496" t="s">
        <v>293</v>
      </c>
      <c r="E9496" t="s">
        <v>9704</v>
      </c>
    </row>
    <row r="9497" spans="1:5" ht="13.2">
      <c r="A9497" t="s">
        <v>10674</v>
      </c>
      <c r="B9497">
        <v>500</v>
      </c>
      <c r="C9497" s="44" t="s">
        <v>204</v>
      </c>
      <c r="D9497" t="s">
        <v>293</v>
      </c>
      <c r="E9497" t="s">
        <v>9704</v>
      </c>
    </row>
    <row r="9498" spans="1:5" ht="13.2">
      <c r="A9498" t="s">
        <v>10675</v>
      </c>
      <c r="B9498">
        <v>500</v>
      </c>
      <c r="C9498" s="44">
        <v>1400</v>
      </c>
      <c r="D9498" t="s">
        <v>291</v>
      </c>
      <c r="E9498" t="s">
        <v>9712</v>
      </c>
    </row>
    <row r="9499" spans="1:5" ht="13.2">
      <c r="A9499" t="s">
        <v>10676</v>
      </c>
      <c r="B9499">
        <v>500</v>
      </c>
      <c r="C9499" s="44">
        <v>1400</v>
      </c>
      <c r="D9499" t="s">
        <v>291</v>
      </c>
      <c r="E9499" t="s">
        <v>9712</v>
      </c>
    </row>
    <row r="9500" spans="1:5" ht="13.2">
      <c r="A9500" t="s">
        <v>10677</v>
      </c>
      <c r="B9500">
        <v>500</v>
      </c>
      <c r="C9500" s="44">
        <v>1400</v>
      </c>
      <c r="D9500" t="s">
        <v>291</v>
      </c>
      <c r="E9500" t="s">
        <v>9712</v>
      </c>
    </row>
    <row r="9501" spans="1:5" ht="13.2">
      <c r="A9501" t="s">
        <v>10678</v>
      </c>
      <c r="B9501">
        <v>500</v>
      </c>
      <c r="C9501" s="44">
        <v>1400</v>
      </c>
      <c r="D9501" t="s">
        <v>291</v>
      </c>
      <c r="E9501" t="s">
        <v>9712</v>
      </c>
    </row>
    <row r="9502" spans="1:5" ht="13.2">
      <c r="A9502" t="s">
        <v>10679</v>
      </c>
      <c r="B9502">
        <v>500</v>
      </c>
      <c r="C9502" s="44">
        <v>1400</v>
      </c>
      <c r="D9502" t="s">
        <v>291</v>
      </c>
      <c r="E9502" t="s">
        <v>9712</v>
      </c>
    </row>
    <row r="9503" spans="1:5" ht="13.2">
      <c r="A9503" t="s">
        <v>10680</v>
      </c>
      <c r="B9503">
        <v>500</v>
      </c>
      <c r="C9503" s="44">
        <v>1400</v>
      </c>
      <c r="D9503" t="s">
        <v>291</v>
      </c>
      <c r="E9503" t="s">
        <v>9712</v>
      </c>
    </row>
    <row r="9504" spans="1:5" ht="13.2">
      <c r="A9504" t="s">
        <v>10630</v>
      </c>
      <c r="B9504">
        <v>500</v>
      </c>
      <c r="C9504" s="44">
        <v>1400</v>
      </c>
      <c r="D9504" t="s">
        <v>291</v>
      </c>
      <c r="E9504" t="s">
        <v>9712</v>
      </c>
    </row>
    <row r="9505" spans="1:5" ht="13.2">
      <c r="A9505" t="s">
        <v>10675</v>
      </c>
      <c r="B9505">
        <v>0</v>
      </c>
      <c r="C9505" s="44">
        <v>1400</v>
      </c>
      <c r="D9505" t="s">
        <v>291</v>
      </c>
      <c r="E9505" t="s">
        <v>9713</v>
      </c>
    </row>
    <row r="9506" spans="1:5" ht="13.2">
      <c r="A9506" t="s">
        <v>10676</v>
      </c>
      <c r="B9506">
        <v>0</v>
      </c>
      <c r="C9506" s="44">
        <v>1400</v>
      </c>
      <c r="D9506" t="s">
        <v>291</v>
      </c>
      <c r="E9506" t="s">
        <v>9713</v>
      </c>
    </row>
    <row r="9507" spans="1:5" ht="13.2">
      <c r="A9507" t="s">
        <v>10677</v>
      </c>
      <c r="B9507">
        <v>0</v>
      </c>
      <c r="C9507" s="44">
        <v>1400</v>
      </c>
      <c r="D9507" t="s">
        <v>291</v>
      </c>
      <c r="E9507" t="s">
        <v>9713</v>
      </c>
    </row>
    <row r="9508" spans="1:5" ht="13.2">
      <c r="A9508" t="s">
        <v>10678</v>
      </c>
      <c r="B9508">
        <v>0</v>
      </c>
      <c r="C9508" s="44">
        <v>1400</v>
      </c>
      <c r="D9508" t="s">
        <v>291</v>
      </c>
      <c r="E9508" t="s">
        <v>9713</v>
      </c>
    </row>
    <row r="9509" spans="1:5" ht="13.2">
      <c r="A9509" t="s">
        <v>10679</v>
      </c>
      <c r="B9509">
        <v>0</v>
      </c>
      <c r="C9509" s="44">
        <v>1400</v>
      </c>
      <c r="D9509" t="s">
        <v>291</v>
      </c>
      <c r="E9509" t="s">
        <v>9713</v>
      </c>
    </row>
    <row r="9510" spans="1:5" ht="13.2">
      <c r="A9510" t="s">
        <v>10680</v>
      </c>
      <c r="B9510">
        <v>0</v>
      </c>
      <c r="C9510" s="44">
        <v>1400</v>
      </c>
      <c r="D9510" t="s">
        <v>291</v>
      </c>
      <c r="E9510" t="s">
        <v>9713</v>
      </c>
    </row>
    <row r="9511" spans="1:5" ht="13.2">
      <c r="A9511" t="s">
        <v>10681</v>
      </c>
      <c r="B9511">
        <v>0</v>
      </c>
      <c r="C9511" s="44">
        <v>1400</v>
      </c>
      <c r="D9511" t="s">
        <v>291</v>
      </c>
      <c r="E9511" t="s">
        <v>9713</v>
      </c>
    </row>
    <row r="9512" spans="1:5" ht="13.2">
      <c r="A9512" t="s">
        <v>10630</v>
      </c>
      <c r="B9512">
        <v>0</v>
      </c>
      <c r="C9512" s="44">
        <v>1400</v>
      </c>
      <c r="D9512" t="s">
        <v>291</v>
      </c>
      <c r="E9512" t="s">
        <v>9713</v>
      </c>
    </row>
    <row r="9513" spans="1:5" ht="13.2">
      <c r="A9513" t="s">
        <v>10675</v>
      </c>
      <c r="B9513">
        <v>170</v>
      </c>
      <c r="C9513" s="44">
        <v>1400</v>
      </c>
      <c r="D9513" t="s">
        <v>291</v>
      </c>
      <c r="E9513" t="s">
        <v>9713</v>
      </c>
    </row>
    <row r="9514" spans="1:5" ht="13.2">
      <c r="A9514" t="s">
        <v>10677</v>
      </c>
      <c r="B9514">
        <v>170</v>
      </c>
      <c r="C9514" s="44">
        <v>1400</v>
      </c>
      <c r="D9514" t="s">
        <v>291</v>
      </c>
      <c r="E9514" t="s">
        <v>9713</v>
      </c>
    </row>
    <row r="9515" spans="1:5" ht="13.2">
      <c r="A9515" t="s">
        <v>10682</v>
      </c>
      <c r="B9515">
        <v>170</v>
      </c>
      <c r="C9515" s="44">
        <v>1400</v>
      </c>
      <c r="D9515" t="s">
        <v>291</v>
      </c>
      <c r="E9515" t="s">
        <v>9713</v>
      </c>
    </row>
    <row r="9516" spans="1:5" ht="13.2">
      <c r="A9516" t="s">
        <v>10680</v>
      </c>
      <c r="B9516">
        <v>170</v>
      </c>
      <c r="C9516" s="44">
        <v>1400</v>
      </c>
      <c r="D9516" t="s">
        <v>291</v>
      </c>
      <c r="E9516" t="s">
        <v>9713</v>
      </c>
    </row>
    <row r="9517" spans="1:5" ht="13.2">
      <c r="A9517" t="s">
        <v>10630</v>
      </c>
      <c r="B9517">
        <v>170</v>
      </c>
      <c r="C9517" s="44">
        <v>1400</v>
      </c>
      <c r="D9517" t="s">
        <v>291</v>
      </c>
      <c r="E9517" t="s">
        <v>9713</v>
      </c>
    </row>
    <row r="9518" spans="1:6" ht="13.2">
      <c r="A9518" t="s">
        <v>10683</v>
      </c>
      <c r="B9518">
        <v>0</v>
      </c>
      <c r="C9518" s="44" t="s">
        <v>203</v>
      </c>
      <c r="D9518" t="s">
        <v>293</v>
      </c>
      <c r="E9518" t="s">
        <v>6416</v>
      </c>
      <c r="F9518">
        <v>14</v>
      </c>
    </row>
    <row r="9519" spans="1:6" ht="13.2">
      <c r="A9519" t="s">
        <v>10684</v>
      </c>
      <c r="B9519">
        <v>0</v>
      </c>
      <c r="C9519" s="44" t="s">
        <v>203</v>
      </c>
      <c r="D9519" t="s">
        <v>293</v>
      </c>
      <c r="E9519" t="s">
        <v>6416</v>
      </c>
      <c r="F9519">
        <v>14</v>
      </c>
    </row>
    <row r="9520" spans="1:6" ht="13.2">
      <c r="A9520" t="s">
        <v>10685</v>
      </c>
      <c r="B9520">
        <v>0</v>
      </c>
      <c r="C9520" s="44" t="s">
        <v>203</v>
      </c>
      <c r="D9520" t="s">
        <v>293</v>
      </c>
      <c r="E9520" t="s">
        <v>6416</v>
      </c>
      <c r="F9520">
        <v>14</v>
      </c>
    </row>
    <row r="9521" spans="1:6" ht="13.2">
      <c r="A9521" t="s">
        <v>10671</v>
      </c>
      <c r="B9521">
        <v>0</v>
      </c>
      <c r="C9521" s="44" t="s">
        <v>203</v>
      </c>
      <c r="D9521" t="s">
        <v>293</v>
      </c>
      <c r="E9521" t="s">
        <v>6416</v>
      </c>
      <c r="F9521">
        <v>14</v>
      </c>
    </row>
    <row r="9522" spans="1:6" ht="13.2">
      <c r="A9522" t="s">
        <v>10686</v>
      </c>
      <c r="B9522">
        <v>0</v>
      </c>
      <c r="C9522" s="44" t="s">
        <v>203</v>
      </c>
      <c r="D9522" t="s">
        <v>293</v>
      </c>
      <c r="E9522" t="s">
        <v>6416</v>
      </c>
      <c r="F9522">
        <v>14</v>
      </c>
    </row>
    <row r="9523" spans="1:6" ht="13.2">
      <c r="A9523" t="s">
        <v>10687</v>
      </c>
      <c r="B9523">
        <v>0</v>
      </c>
      <c r="C9523" s="44" t="s">
        <v>203</v>
      </c>
      <c r="D9523" t="s">
        <v>293</v>
      </c>
      <c r="E9523" t="s">
        <v>6416</v>
      </c>
      <c r="F9523">
        <v>14</v>
      </c>
    </row>
    <row r="9524" spans="1:6" ht="13.2">
      <c r="A9524" t="s">
        <v>10688</v>
      </c>
      <c r="B9524">
        <v>0</v>
      </c>
      <c r="C9524" s="44" t="s">
        <v>203</v>
      </c>
      <c r="D9524" t="s">
        <v>293</v>
      </c>
      <c r="E9524" t="s">
        <v>6416</v>
      </c>
      <c r="F9524">
        <v>14</v>
      </c>
    </row>
    <row r="9525" spans="1:6" ht="13.2">
      <c r="A9525" t="s">
        <v>10672</v>
      </c>
      <c r="B9525">
        <v>0</v>
      </c>
      <c r="C9525" s="44" t="s">
        <v>203</v>
      </c>
      <c r="D9525" t="s">
        <v>293</v>
      </c>
      <c r="E9525" t="s">
        <v>6416</v>
      </c>
      <c r="F9525">
        <v>14</v>
      </c>
    </row>
    <row r="9526" spans="1:6" ht="13.2">
      <c r="A9526" t="s">
        <v>10689</v>
      </c>
      <c r="B9526">
        <v>0</v>
      </c>
      <c r="C9526" s="44" t="s">
        <v>203</v>
      </c>
      <c r="D9526" t="s">
        <v>293</v>
      </c>
      <c r="E9526" t="s">
        <v>6416</v>
      </c>
      <c r="F9526">
        <v>14</v>
      </c>
    </row>
    <row r="9527" spans="1:6" ht="13.2">
      <c r="A9527" t="s">
        <v>10690</v>
      </c>
      <c r="B9527">
        <v>0</v>
      </c>
      <c r="C9527" s="44" t="s">
        <v>203</v>
      </c>
      <c r="D9527" t="s">
        <v>293</v>
      </c>
      <c r="E9527" t="s">
        <v>6416</v>
      </c>
      <c r="F9527">
        <v>14</v>
      </c>
    </row>
    <row r="9528" spans="1:6" ht="13.2">
      <c r="A9528" t="s">
        <v>10691</v>
      </c>
      <c r="B9528">
        <v>0</v>
      </c>
      <c r="C9528" s="44" t="s">
        <v>203</v>
      </c>
      <c r="D9528" t="s">
        <v>293</v>
      </c>
      <c r="E9528" t="s">
        <v>6416</v>
      </c>
      <c r="F9528">
        <v>14</v>
      </c>
    </row>
    <row r="9529" spans="1:6" ht="13.2">
      <c r="A9529" t="s">
        <v>10692</v>
      </c>
      <c r="B9529">
        <v>0</v>
      </c>
      <c r="C9529" s="44" t="s">
        <v>203</v>
      </c>
      <c r="D9529" t="s">
        <v>293</v>
      </c>
      <c r="E9529" t="s">
        <v>6416</v>
      </c>
      <c r="F9529">
        <v>14</v>
      </c>
    </row>
    <row r="9530" spans="1:6" ht="13.2">
      <c r="A9530" t="s">
        <v>10673</v>
      </c>
      <c r="B9530">
        <v>0</v>
      </c>
      <c r="C9530" s="44" t="s">
        <v>203</v>
      </c>
      <c r="D9530" t="s">
        <v>293</v>
      </c>
      <c r="E9530" t="s">
        <v>6416</v>
      </c>
      <c r="F9530">
        <v>14</v>
      </c>
    </row>
    <row r="9531" spans="1:6" ht="13.2">
      <c r="A9531" t="s">
        <v>10674</v>
      </c>
      <c r="B9531">
        <v>0</v>
      </c>
      <c r="C9531" s="44" t="s">
        <v>203</v>
      </c>
      <c r="D9531" t="s">
        <v>293</v>
      </c>
      <c r="E9531" t="s">
        <v>6416</v>
      </c>
      <c r="F9531">
        <v>14</v>
      </c>
    </row>
    <row r="9532" spans="1:6" ht="13.2">
      <c r="A9532" t="s">
        <v>10693</v>
      </c>
      <c r="B9532">
        <v>0</v>
      </c>
      <c r="C9532" s="44" t="s">
        <v>9832</v>
      </c>
      <c r="D9532" t="s">
        <v>293</v>
      </c>
      <c r="E9532" t="s">
        <v>256</v>
      </c>
      <c r="F9532">
        <v>4</v>
      </c>
    </row>
    <row r="9533" spans="1:6" ht="13.2">
      <c r="A9533" t="s">
        <v>10694</v>
      </c>
      <c r="B9533">
        <v>0</v>
      </c>
      <c r="C9533" s="44" t="s">
        <v>9832</v>
      </c>
      <c r="D9533" t="s">
        <v>293</v>
      </c>
      <c r="E9533" t="s">
        <v>256</v>
      </c>
      <c r="F9533">
        <v>4</v>
      </c>
    </row>
    <row r="9534" spans="1:6" ht="13.2">
      <c r="A9534" t="s">
        <v>10683</v>
      </c>
      <c r="B9534">
        <v>0</v>
      </c>
      <c r="C9534" s="44" t="s">
        <v>9832</v>
      </c>
      <c r="D9534" t="s">
        <v>293</v>
      </c>
      <c r="E9534" t="s">
        <v>256</v>
      </c>
      <c r="F9534">
        <v>4</v>
      </c>
    </row>
    <row r="9535" spans="1:6" ht="13.2">
      <c r="A9535" t="s">
        <v>10695</v>
      </c>
      <c r="B9535">
        <v>0</v>
      </c>
      <c r="C9535" s="44" t="s">
        <v>9832</v>
      </c>
      <c r="D9535" t="s">
        <v>293</v>
      </c>
      <c r="E9535" t="s">
        <v>256</v>
      </c>
      <c r="F9535">
        <v>4</v>
      </c>
    </row>
    <row r="9536" spans="1:6" ht="13.2">
      <c r="A9536" t="s">
        <v>10696</v>
      </c>
      <c r="B9536">
        <v>0</v>
      </c>
      <c r="C9536" s="44" t="s">
        <v>9832</v>
      </c>
      <c r="D9536" t="s">
        <v>293</v>
      </c>
      <c r="E9536" t="s">
        <v>256</v>
      </c>
      <c r="F9536">
        <v>4</v>
      </c>
    </row>
    <row r="9537" spans="1:6" ht="13.2">
      <c r="A9537" t="s">
        <v>10671</v>
      </c>
      <c r="B9537">
        <v>0</v>
      </c>
      <c r="C9537" s="44" t="s">
        <v>9832</v>
      </c>
      <c r="D9537" t="s">
        <v>293</v>
      </c>
      <c r="E9537" t="s">
        <v>256</v>
      </c>
      <c r="F9537">
        <v>4</v>
      </c>
    </row>
    <row r="9538" spans="1:6" ht="13.2">
      <c r="A9538" t="s">
        <v>10687</v>
      </c>
      <c r="B9538">
        <v>0</v>
      </c>
      <c r="C9538" s="44" t="s">
        <v>9832</v>
      </c>
      <c r="D9538" t="s">
        <v>293</v>
      </c>
      <c r="E9538" t="s">
        <v>256</v>
      </c>
      <c r="F9538">
        <v>4</v>
      </c>
    </row>
    <row r="9539" spans="1:6" ht="13.2">
      <c r="A9539" t="s">
        <v>10697</v>
      </c>
      <c r="B9539">
        <v>0</v>
      </c>
      <c r="C9539" s="44" t="s">
        <v>9832</v>
      </c>
      <c r="D9539" t="s">
        <v>293</v>
      </c>
      <c r="E9539" t="s">
        <v>256</v>
      </c>
      <c r="F9539">
        <v>4</v>
      </c>
    </row>
    <row r="9540" spans="1:6" ht="13.2">
      <c r="A9540" t="s">
        <v>10698</v>
      </c>
      <c r="B9540">
        <v>0</v>
      </c>
      <c r="C9540" s="44" t="s">
        <v>9832</v>
      </c>
      <c r="D9540" t="s">
        <v>293</v>
      </c>
      <c r="E9540" t="s">
        <v>256</v>
      </c>
      <c r="F9540">
        <v>4</v>
      </c>
    </row>
    <row r="9541" spans="1:6" ht="13.2">
      <c r="A9541" t="s">
        <v>10690</v>
      </c>
      <c r="B9541">
        <v>0</v>
      </c>
      <c r="C9541" s="44" t="s">
        <v>9832</v>
      </c>
      <c r="D9541" t="s">
        <v>293</v>
      </c>
      <c r="E9541" t="s">
        <v>256</v>
      </c>
      <c r="F9541">
        <v>4</v>
      </c>
    </row>
    <row r="9542" spans="1:6" ht="13.2">
      <c r="A9542" t="s">
        <v>10691</v>
      </c>
      <c r="B9542">
        <v>0</v>
      </c>
      <c r="C9542" s="44" t="s">
        <v>9832</v>
      </c>
      <c r="D9542" t="s">
        <v>293</v>
      </c>
      <c r="E9542" t="s">
        <v>256</v>
      </c>
      <c r="F9542">
        <v>4</v>
      </c>
    </row>
    <row r="9543" spans="1:6" ht="13.2">
      <c r="A9543" t="s">
        <v>10699</v>
      </c>
      <c r="B9543">
        <v>0</v>
      </c>
      <c r="C9543" s="44" t="s">
        <v>9832</v>
      </c>
      <c r="D9543" t="s">
        <v>293</v>
      </c>
      <c r="E9543" t="s">
        <v>256</v>
      </c>
      <c r="F9543">
        <v>4</v>
      </c>
    </row>
    <row r="9544" spans="1:6" ht="13.2">
      <c r="A9544" t="s">
        <v>10674</v>
      </c>
      <c r="B9544">
        <v>0</v>
      </c>
      <c r="C9544" s="44" t="s">
        <v>9832</v>
      </c>
      <c r="D9544" t="s">
        <v>293</v>
      </c>
      <c r="E9544" t="s">
        <v>256</v>
      </c>
      <c r="F9544">
        <v>4</v>
      </c>
    </row>
    <row r="9545" spans="1:6" ht="13.2">
      <c r="A9545" t="s">
        <v>10700</v>
      </c>
      <c r="B9545">
        <v>320</v>
      </c>
      <c r="C9545" s="44">
        <v>1400</v>
      </c>
      <c r="D9545" t="s">
        <v>291</v>
      </c>
      <c r="E9545" t="s">
        <v>10117</v>
      </c>
      <c r="F9545" t="s">
        <v>3824</v>
      </c>
    </row>
    <row r="9546" spans="1:6" ht="13.2">
      <c r="A9546" t="s">
        <v>10701</v>
      </c>
      <c r="B9546">
        <v>320</v>
      </c>
      <c r="C9546" s="44">
        <v>1400</v>
      </c>
      <c r="D9546" t="s">
        <v>291</v>
      </c>
      <c r="E9546" t="s">
        <v>10117</v>
      </c>
      <c r="F9546" t="s">
        <v>3824</v>
      </c>
    </row>
    <row r="9547" spans="1:6" ht="13.2">
      <c r="A9547" t="s">
        <v>10702</v>
      </c>
      <c r="B9547">
        <v>320</v>
      </c>
      <c r="C9547" s="44">
        <v>1400</v>
      </c>
      <c r="D9547" t="s">
        <v>291</v>
      </c>
      <c r="E9547" t="s">
        <v>10117</v>
      </c>
      <c r="F9547" t="s">
        <v>3824</v>
      </c>
    </row>
    <row r="9548" spans="1:6" ht="13.2">
      <c r="A9548" t="s">
        <v>10703</v>
      </c>
      <c r="B9548">
        <v>320</v>
      </c>
      <c r="C9548" s="44">
        <v>1400</v>
      </c>
      <c r="D9548" t="s">
        <v>291</v>
      </c>
      <c r="E9548" t="s">
        <v>10117</v>
      </c>
      <c r="F9548" t="s">
        <v>3824</v>
      </c>
    </row>
    <row r="9549" spans="1:6" ht="13.2">
      <c r="A9549" t="s">
        <v>10704</v>
      </c>
      <c r="B9549">
        <v>320</v>
      </c>
      <c r="C9549" s="44">
        <v>1400</v>
      </c>
      <c r="D9549" t="s">
        <v>291</v>
      </c>
      <c r="E9549" t="s">
        <v>10117</v>
      </c>
      <c r="F9549" t="s">
        <v>3824</v>
      </c>
    </row>
    <row r="9550" spans="1:6" ht="13.2">
      <c r="A9550" t="s">
        <v>10705</v>
      </c>
      <c r="B9550">
        <v>320</v>
      </c>
      <c r="C9550" s="44">
        <v>1400</v>
      </c>
      <c r="D9550" t="s">
        <v>291</v>
      </c>
      <c r="E9550" t="s">
        <v>10117</v>
      </c>
      <c r="F9550" t="s">
        <v>3824</v>
      </c>
    </row>
    <row r="9551" spans="1:6" ht="13.2">
      <c r="A9551" t="s">
        <v>10706</v>
      </c>
      <c r="B9551">
        <v>0</v>
      </c>
      <c r="C9551" s="44" t="s">
        <v>204</v>
      </c>
      <c r="D9551" t="s">
        <v>293</v>
      </c>
      <c r="E9551" t="s">
        <v>364</v>
      </c>
      <c r="F9551">
        <v>4</v>
      </c>
    </row>
    <row r="9552" spans="1:6" ht="13.2">
      <c r="A9552" t="s">
        <v>10683</v>
      </c>
      <c r="B9552">
        <v>0</v>
      </c>
      <c r="C9552" s="44" t="s">
        <v>204</v>
      </c>
      <c r="D9552" t="s">
        <v>293</v>
      </c>
      <c r="E9552" t="s">
        <v>364</v>
      </c>
      <c r="F9552">
        <v>4</v>
      </c>
    </row>
    <row r="9553" spans="1:6" ht="13.2">
      <c r="A9553" t="s">
        <v>10707</v>
      </c>
      <c r="B9553">
        <v>0</v>
      </c>
      <c r="C9553" s="44" t="s">
        <v>204</v>
      </c>
      <c r="D9553" t="s">
        <v>293</v>
      </c>
      <c r="E9553" t="s">
        <v>364</v>
      </c>
      <c r="F9553">
        <v>4</v>
      </c>
    </row>
    <row r="9554" spans="1:6" ht="13.2">
      <c r="A9554" t="s">
        <v>10685</v>
      </c>
      <c r="B9554">
        <v>0</v>
      </c>
      <c r="C9554" s="44" t="s">
        <v>204</v>
      </c>
      <c r="D9554" t="s">
        <v>293</v>
      </c>
      <c r="E9554" t="s">
        <v>364</v>
      </c>
      <c r="F9554">
        <v>4</v>
      </c>
    </row>
    <row r="9555" spans="1:6" ht="13.2">
      <c r="A9555" t="s">
        <v>10708</v>
      </c>
      <c r="B9555">
        <v>0</v>
      </c>
      <c r="C9555" s="44" t="s">
        <v>204</v>
      </c>
      <c r="D9555" t="s">
        <v>293</v>
      </c>
      <c r="E9555" t="s">
        <v>364</v>
      </c>
      <c r="F9555">
        <v>4</v>
      </c>
    </row>
    <row r="9556" spans="1:6" ht="13.2">
      <c r="A9556" t="s">
        <v>10709</v>
      </c>
      <c r="B9556">
        <v>0</v>
      </c>
      <c r="C9556" s="44" t="s">
        <v>204</v>
      </c>
      <c r="D9556" t="s">
        <v>293</v>
      </c>
      <c r="E9556" t="s">
        <v>364</v>
      </c>
      <c r="F9556">
        <v>4</v>
      </c>
    </row>
    <row r="9557" spans="1:6" ht="13.2">
      <c r="A9557" t="s">
        <v>10710</v>
      </c>
      <c r="B9557">
        <v>0</v>
      </c>
      <c r="C9557" s="44" t="s">
        <v>204</v>
      </c>
      <c r="D9557" t="s">
        <v>293</v>
      </c>
      <c r="E9557" t="s">
        <v>364</v>
      </c>
      <c r="F9557">
        <v>4</v>
      </c>
    </row>
    <row r="9558" spans="1:6" ht="13.2">
      <c r="A9558" t="s">
        <v>10711</v>
      </c>
      <c r="B9558">
        <v>0</v>
      </c>
      <c r="C9558" s="44" t="s">
        <v>204</v>
      </c>
      <c r="D9558" t="s">
        <v>293</v>
      </c>
      <c r="E9558" t="s">
        <v>364</v>
      </c>
      <c r="F9558">
        <v>4</v>
      </c>
    </row>
    <row r="9559" spans="1:6" ht="13.2">
      <c r="A9559" t="s">
        <v>10671</v>
      </c>
      <c r="B9559">
        <v>0</v>
      </c>
      <c r="C9559" s="44" t="s">
        <v>204</v>
      </c>
      <c r="D9559" t="s">
        <v>293</v>
      </c>
      <c r="E9559" t="s">
        <v>364</v>
      </c>
      <c r="F9559">
        <v>4</v>
      </c>
    </row>
    <row r="9560" spans="1:6" ht="13.2">
      <c r="A9560" t="s">
        <v>10712</v>
      </c>
      <c r="B9560">
        <v>0</v>
      </c>
      <c r="C9560" s="44" t="s">
        <v>204</v>
      </c>
      <c r="D9560" t="s">
        <v>293</v>
      </c>
      <c r="E9560" t="s">
        <v>364</v>
      </c>
      <c r="F9560">
        <v>4</v>
      </c>
    </row>
    <row r="9561" spans="1:6" ht="13.2">
      <c r="A9561" t="s">
        <v>10687</v>
      </c>
      <c r="B9561">
        <v>0</v>
      </c>
      <c r="C9561" s="44" t="s">
        <v>204</v>
      </c>
      <c r="D9561" t="s">
        <v>293</v>
      </c>
      <c r="E9561" t="s">
        <v>364</v>
      </c>
      <c r="F9561">
        <v>4</v>
      </c>
    </row>
    <row r="9562" spans="1:6" ht="13.2">
      <c r="A9562" t="s">
        <v>10713</v>
      </c>
      <c r="B9562">
        <v>0</v>
      </c>
      <c r="C9562" s="44" t="s">
        <v>204</v>
      </c>
      <c r="D9562" t="s">
        <v>293</v>
      </c>
      <c r="E9562" t="s">
        <v>364</v>
      </c>
      <c r="F9562">
        <v>4</v>
      </c>
    </row>
    <row r="9563" spans="1:6" ht="13.2">
      <c r="A9563" t="s">
        <v>10714</v>
      </c>
      <c r="B9563">
        <v>0</v>
      </c>
      <c r="C9563" s="44" t="s">
        <v>204</v>
      </c>
      <c r="D9563" t="s">
        <v>293</v>
      </c>
      <c r="E9563" t="s">
        <v>364</v>
      </c>
      <c r="F9563">
        <v>4</v>
      </c>
    </row>
    <row r="9564" spans="1:6" ht="13.2">
      <c r="A9564" t="s">
        <v>10697</v>
      </c>
      <c r="B9564">
        <v>0</v>
      </c>
      <c r="C9564" s="44" t="s">
        <v>204</v>
      </c>
      <c r="D9564" t="s">
        <v>293</v>
      </c>
      <c r="E9564" t="s">
        <v>364</v>
      </c>
      <c r="F9564">
        <v>4</v>
      </c>
    </row>
    <row r="9565" spans="1:6" ht="13.2">
      <c r="A9565" t="s">
        <v>10691</v>
      </c>
      <c r="B9565">
        <v>0</v>
      </c>
      <c r="C9565" s="44" t="s">
        <v>204</v>
      </c>
      <c r="D9565" t="s">
        <v>293</v>
      </c>
      <c r="E9565" t="s">
        <v>364</v>
      </c>
      <c r="F9565">
        <v>4</v>
      </c>
    </row>
    <row r="9566" spans="1:6" ht="13.2">
      <c r="A9566" t="s">
        <v>10715</v>
      </c>
      <c r="B9566">
        <v>0</v>
      </c>
      <c r="C9566" s="44" t="s">
        <v>204</v>
      </c>
      <c r="D9566" t="s">
        <v>293</v>
      </c>
      <c r="E9566" t="s">
        <v>364</v>
      </c>
      <c r="F9566">
        <v>4</v>
      </c>
    </row>
    <row r="9567" spans="1:6" ht="13.2">
      <c r="A9567" t="s">
        <v>10699</v>
      </c>
      <c r="B9567">
        <v>0</v>
      </c>
      <c r="C9567" s="44" t="s">
        <v>204</v>
      </c>
      <c r="D9567" t="s">
        <v>293</v>
      </c>
      <c r="E9567" t="s">
        <v>364</v>
      </c>
      <c r="F9567">
        <v>4</v>
      </c>
    </row>
    <row r="9568" spans="1:6" ht="13.2">
      <c r="A9568" t="s">
        <v>10716</v>
      </c>
      <c r="B9568">
        <v>0</v>
      </c>
      <c r="C9568" s="44" t="s">
        <v>204</v>
      </c>
      <c r="D9568" t="s">
        <v>293</v>
      </c>
      <c r="E9568" t="s">
        <v>364</v>
      </c>
      <c r="F9568">
        <v>4</v>
      </c>
    </row>
    <row r="9569" spans="1:6" ht="13.2">
      <c r="A9569" t="s">
        <v>10674</v>
      </c>
      <c r="B9569">
        <v>0</v>
      </c>
      <c r="C9569" s="44" t="s">
        <v>204</v>
      </c>
      <c r="D9569" t="s">
        <v>293</v>
      </c>
      <c r="E9569" t="s">
        <v>364</v>
      </c>
      <c r="F9569">
        <v>4</v>
      </c>
    </row>
    <row r="9570" spans="1:6" ht="13.2">
      <c r="A9570" t="s">
        <v>10717</v>
      </c>
      <c r="B9570">
        <v>0</v>
      </c>
      <c r="C9570" s="44" t="s">
        <v>204</v>
      </c>
      <c r="D9570" t="s">
        <v>291</v>
      </c>
      <c r="E9570" t="s">
        <v>364</v>
      </c>
      <c r="F9570">
        <v>4</v>
      </c>
    </row>
    <row r="9571" spans="1:6" ht="13.2">
      <c r="A9571" t="s">
        <v>10718</v>
      </c>
      <c r="B9571">
        <v>0</v>
      </c>
      <c r="C9571" s="44" t="s">
        <v>204</v>
      </c>
      <c r="D9571" t="s">
        <v>291</v>
      </c>
      <c r="E9571" t="s">
        <v>364</v>
      </c>
      <c r="F9571">
        <v>4</v>
      </c>
    </row>
    <row r="9572" spans="1:6" ht="13.2">
      <c r="A9572" t="s">
        <v>10719</v>
      </c>
      <c r="B9572">
        <v>0</v>
      </c>
      <c r="C9572" s="44" t="s">
        <v>204</v>
      </c>
      <c r="D9572" t="s">
        <v>291</v>
      </c>
      <c r="E9572" t="s">
        <v>364</v>
      </c>
      <c r="F9572">
        <v>4</v>
      </c>
    </row>
    <row r="9573" spans="1:6" ht="13.2">
      <c r="A9573" t="s">
        <v>10720</v>
      </c>
      <c r="B9573">
        <v>0</v>
      </c>
      <c r="C9573" s="44" t="s">
        <v>204</v>
      </c>
      <c r="D9573" t="s">
        <v>291</v>
      </c>
      <c r="E9573" t="s">
        <v>364</v>
      </c>
      <c r="F9573">
        <v>4</v>
      </c>
    </row>
    <row r="9574" spans="1:6" ht="13.2">
      <c r="A9574" t="s">
        <v>10721</v>
      </c>
      <c r="B9574">
        <v>0</v>
      </c>
      <c r="C9574" s="44" t="s">
        <v>204</v>
      </c>
      <c r="D9574" t="s">
        <v>291</v>
      </c>
      <c r="E9574" t="s">
        <v>364</v>
      </c>
      <c r="F9574">
        <v>4</v>
      </c>
    </row>
    <row r="9575" spans="1:6" ht="13.2">
      <c r="A9575" t="s">
        <v>10722</v>
      </c>
      <c r="B9575">
        <v>0</v>
      </c>
      <c r="C9575" s="44" t="s">
        <v>204</v>
      </c>
      <c r="D9575" t="s">
        <v>291</v>
      </c>
      <c r="E9575" t="s">
        <v>364</v>
      </c>
      <c r="F9575">
        <v>4</v>
      </c>
    </row>
    <row r="9576" spans="1:6" ht="13.2">
      <c r="A9576" t="s">
        <v>10723</v>
      </c>
      <c r="B9576">
        <v>0</v>
      </c>
      <c r="C9576" s="44" t="s">
        <v>204</v>
      </c>
      <c r="D9576" t="s">
        <v>291</v>
      </c>
      <c r="E9576" t="s">
        <v>364</v>
      </c>
      <c r="F9576">
        <v>4</v>
      </c>
    </row>
    <row r="9577" spans="1:6" ht="13.2">
      <c r="A9577" t="s">
        <v>10724</v>
      </c>
      <c r="B9577">
        <v>0</v>
      </c>
      <c r="C9577" s="44" t="s">
        <v>204</v>
      </c>
      <c r="D9577" t="s">
        <v>291</v>
      </c>
      <c r="E9577" t="s">
        <v>364</v>
      </c>
      <c r="F9577">
        <v>4</v>
      </c>
    </row>
    <row r="9578" spans="1:6" ht="13.2">
      <c r="A9578" t="s">
        <v>10725</v>
      </c>
      <c r="B9578">
        <v>0</v>
      </c>
      <c r="C9578" s="44" t="s">
        <v>204</v>
      </c>
      <c r="D9578" t="s">
        <v>291</v>
      </c>
      <c r="E9578" t="s">
        <v>364</v>
      </c>
      <c r="F9578">
        <v>4</v>
      </c>
    </row>
    <row r="9579" spans="1:6" ht="13.2">
      <c r="A9579" t="s">
        <v>10726</v>
      </c>
      <c r="B9579">
        <v>0</v>
      </c>
      <c r="C9579" s="44" t="s">
        <v>204</v>
      </c>
      <c r="D9579" t="s">
        <v>291</v>
      </c>
      <c r="E9579" t="s">
        <v>364</v>
      </c>
      <c r="F9579">
        <v>4</v>
      </c>
    </row>
    <row r="9580" spans="1:6" ht="13.2">
      <c r="A9580" t="s">
        <v>10727</v>
      </c>
      <c r="B9580">
        <v>0</v>
      </c>
      <c r="C9580" s="44" t="s">
        <v>204</v>
      </c>
      <c r="D9580" t="s">
        <v>291</v>
      </c>
      <c r="E9580" t="s">
        <v>364</v>
      </c>
      <c r="F9580">
        <v>4</v>
      </c>
    </row>
    <row r="9581" spans="1:6" ht="13.2">
      <c r="A9581" t="s">
        <v>10728</v>
      </c>
      <c r="B9581">
        <v>0</v>
      </c>
      <c r="C9581" s="44" t="s">
        <v>204</v>
      </c>
      <c r="D9581" t="s">
        <v>291</v>
      </c>
      <c r="E9581" t="s">
        <v>364</v>
      </c>
      <c r="F9581">
        <v>4</v>
      </c>
    </row>
    <row r="9582" spans="1:6" ht="13.2">
      <c r="A9582" t="s">
        <v>10729</v>
      </c>
      <c r="B9582">
        <v>0</v>
      </c>
      <c r="C9582" s="44" t="s">
        <v>204</v>
      </c>
      <c r="D9582" t="s">
        <v>291</v>
      </c>
      <c r="E9582" t="s">
        <v>364</v>
      </c>
      <c r="F9582">
        <v>4</v>
      </c>
    </row>
    <row r="9583" spans="1:6" ht="13.2">
      <c r="A9583" t="s">
        <v>10730</v>
      </c>
      <c r="B9583">
        <v>0</v>
      </c>
      <c r="C9583" s="44" t="s">
        <v>204</v>
      </c>
      <c r="D9583" t="s">
        <v>291</v>
      </c>
      <c r="E9583" t="s">
        <v>364</v>
      </c>
      <c r="F9583">
        <v>4</v>
      </c>
    </row>
    <row r="9584" spans="1:6" ht="13.2">
      <c r="A9584" t="s">
        <v>10731</v>
      </c>
      <c r="B9584">
        <v>0</v>
      </c>
      <c r="C9584" s="44" t="s">
        <v>204</v>
      </c>
      <c r="D9584" t="s">
        <v>291</v>
      </c>
      <c r="E9584" t="s">
        <v>364</v>
      </c>
      <c r="F9584">
        <v>4</v>
      </c>
    </row>
    <row r="9585" spans="1:6" ht="13.2">
      <c r="A9585" t="s">
        <v>10732</v>
      </c>
      <c r="B9585">
        <v>0</v>
      </c>
      <c r="C9585" s="44" t="s">
        <v>204</v>
      </c>
      <c r="D9585" t="s">
        <v>291</v>
      </c>
      <c r="E9585" t="s">
        <v>364</v>
      </c>
      <c r="F9585">
        <v>4</v>
      </c>
    </row>
    <row r="9586" spans="1:6" ht="13.2">
      <c r="A9586" t="s">
        <v>10733</v>
      </c>
      <c r="B9586">
        <v>0</v>
      </c>
      <c r="C9586" s="44" t="s">
        <v>204</v>
      </c>
      <c r="D9586" t="s">
        <v>291</v>
      </c>
      <c r="E9586" t="s">
        <v>364</v>
      </c>
      <c r="F9586">
        <v>4</v>
      </c>
    </row>
    <row r="9587" spans="1:6" ht="13.2">
      <c r="A9587" t="s">
        <v>10734</v>
      </c>
      <c r="B9587">
        <v>0</v>
      </c>
      <c r="C9587" s="44" t="s">
        <v>204</v>
      </c>
      <c r="D9587" t="s">
        <v>291</v>
      </c>
      <c r="E9587" t="s">
        <v>364</v>
      </c>
      <c r="F9587">
        <v>4</v>
      </c>
    </row>
    <row r="9588" spans="1:6" ht="13.2">
      <c r="A9588" t="s">
        <v>10735</v>
      </c>
      <c r="B9588">
        <v>0</v>
      </c>
      <c r="C9588" s="44" t="s">
        <v>204</v>
      </c>
      <c r="D9588" t="s">
        <v>291</v>
      </c>
      <c r="E9588" t="s">
        <v>364</v>
      </c>
      <c r="F9588">
        <v>4</v>
      </c>
    </row>
    <row r="9589" spans="1:5" ht="13.2">
      <c r="A9589" t="s">
        <v>10736</v>
      </c>
      <c r="B9589">
        <v>570</v>
      </c>
      <c r="C9589" s="44">
        <v>1400</v>
      </c>
      <c r="D9589" t="s">
        <v>291</v>
      </c>
      <c r="E9589" t="s">
        <v>364</v>
      </c>
    </row>
    <row r="9590" spans="1:5" ht="13.2">
      <c r="A9590" t="s">
        <v>10737</v>
      </c>
      <c r="B9590">
        <v>570</v>
      </c>
      <c r="C9590" s="44">
        <v>1400</v>
      </c>
      <c r="D9590" t="s">
        <v>291</v>
      </c>
      <c r="E9590" t="s">
        <v>364</v>
      </c>
    </row>
    <row r="9591" spans="1:5" ht="13.2">
      <c r="A9591" t="s">
        <v>10738</v>
      </c>
      <c r="B9591">
        <v>570</v>
      </c>
      <c r="C9591" s="44">
        <v>1400</v>
      </c>
      <c r="D9591" t="s">
        <v>291</v>
      </c>
      <c r="E9591" t="s">
        <v>364</v>
      </c>
    </row>
    <row r="9592" spans="1:5" ht="13.2">
      <c r="A9592" t="s">
        <v>10739</v>
      </c>
      <c r="B9592">
        <v>570</v>
      </c>
      <c r="C9592" s="44">
        <v>1400</v>
      </c>
      <c r="D9592" t="s">
        <v>291</v>
      </c>
      <c r="E9592" t="s">
        <v>364</v>
      </c>
    </row>
    <row r="9593" spans="1:5" ht="13.2">
      <c r="A9593" t="s">
        <v>10740</v>
      </c>
      <c r="B9593">
        <v>570</v>
      </c>
      <c r="C9593" s="44">
        <v>1400</v>
      </c>
      <c r="D9593" t="s">
        <v>291</v>
      </c>
      <c r="E9593" t="s">
        <v>364</v>
      </c>
    </row>
    <row r="9594" spans="1:5" ht="13.2">
      <c r="A9594" t="s">
        <v>10741</v>
      </c>
      <c r="B9594">
        <v>570</v>
      </c>
      <c r="C9594" s="44">
        <v>1400</v>
      </c>
      <c r="D9594" t="s">
        <v>291</v>
      </c>
      <c r="E9594" t="s">
        <v>364</v>
      </c>
    </row>
    <row r="9595" spans="1:6" ht="13.2">
      <c r="A9595" t="s">
        <v>10742</v>
      </c>
      <c r="B9595">
        <v>0</v>
      </c>
      <c r="C9595" s="44">
        <v>3200</v>
      </c>
      <c r="D9595" t="s">
        <v>291</v>
      </c>
      <c r="E9595" t="s">
        <v>7674</v>
      </c>
      <c r="F9595">
        <v>4</v>
      </c>
    </row>
    <row r="9596" spans="1:6" ht="13.2">
      <c r="A9596" t="s">
        <v>10743</v>
      </c>
      <c r="B9596">
        <v>0</v>
      </c>
      <c r="C9596" s="44">
        <v>3200</v>
      </c>
      <c r="D9596" t="s">
        <v>291</v>
      </c>
      <c r="E9596" t="s">
        <v>7674</v>
      </c>
      <c r="F9596">
        <v>4</v>
      </c>
    </row>
    <row r="9597" spans="1:6" ht="13.2">
      <c r="A9597" t="s">
        <v>10744</v>
      </c>
      <c r="B9597">
        <v>0</v>
      </c>
      <c r="C9597" s="44">
        <v>3200</v>
      </c>
      <c r="D9597" t="s">
        <v>291</v>
      </c>
      <c r="E9597" t="s">
        <v>7674</v>
      </c>
      <c r="F9597">
        <v>4</v>
      </c>
    </row>
    <row r="9598" spans="1:6" ht="13.2">
      <c r="A9598" t="s">
        <v>10745</v>
      </c>
      <c r="B9598">
        <v>0</v>
      </c>
      <c r="C9598" s="44">
        <v>3200</v>
      </c>
      <c r="D9598" t="s">
        <v>291</v>
      </c>
      <c r="E9598" t="s">
        <v>7674</v>
      </c>
      <c r="F9598">
        <v>4</v>
      </c>
    </row>
    <row r="9599" spans="1:6" ht="13.2">
      <c r="A9599" t="s">
        <v>10746</v>
      </c>
      <c r="B9599">
        <v>0</v>
      </c>
      <c r="C9599" s="44">
        <v>3200</v>
      </c>
      <c r="D9599" t="s">
        <v>291</v>
      </c>
      <c r="E9599" t="s">
        <v>7674</v>
      </c>
      <c r="F9599">
        <v>4</v>
      </c>
    </row>
    <row r="9600" spans="1:6" ht="13.2">
      <c r="A9600" t="s">
        <v>10747</v>
      </c>
      <c r="B9600">
        <v>0</v>
      </c>
      <c r="C9600" s="44">
        <v>3200</v>
      </c>
      <c r="D9600" t="s">
        <v>291</v>
      </c>
      <c r="E9600" t="s">
        <v>7674</v>
      </c>
      <c r="F9600">
        <v>4</v>
      </c>
    </row>
    <row r="9601" spans="1:6" ht="13.2">
      <c r="A9601" t="s">
        <v>10748</v>
      </c>
      <c r="B9601">
        <v>0</v>
      </c>
      <c r="C9601" s="44">
        <v>3200</v>
      </c>
      <c r="D9601" t="s">
        <v>291</v>
      </c>
      <c r="E9601" t="s">
        <v>7674</v>
      </c>
      <c r="F9601">
        <v>4</v>
      </c>
    </row>
    <row r="9602" spans="1:6" ht="13.2">
      <c r="A9602" t="s">
        <v>10749</v>
      </c>
      <c r="B9602">
        <v>0</v>
      </c>
      <c r="C9602" s="44">
        <v>3200</v>
      </c>
      <c r="D9602" t="s">
        <v>291</v>
      </c>
      <c r="E9602" t="s">
        <v>7674</v>
      </c>
      <c r="F9602">
        <v>4</v>
      </c>
    </row>
    <row r="9603" spans="1:6" ht="13.2">
      <c r="A9603" t="s">
        <v>10750</v>
      </c>
      <c r="B9603">
        <v>0</v>
      </c>
      <c r="C9603" s="44">
        <v>3200</v>
      </c>
      <c r="D9603" t="s">
        <v>291</v>
      </c>
      <c r="E9603" t="s">
        <v>7674</v>
      </c>
      <c r="F9603">
        <v>4</v>
      </c>
    </row>
    <row r="9604" spans="1:6" ht="13.2">
      <c r="A9604" t="s">
        <v>10751</v>
      </c>
      <c r="B9604">
        <v>0</v>
      </c>
      <c r="C9604" s="44">
        <v>3200</v>
      </c>
      <c r="D9604" t="s">
        <v>291</v>
      </c>
      <c r="E9604" t="s">
        <v>7674</v>
      </c>
      <c r="F9604">
        <v>4</v>
      </c>
    </row>
    <row r="9605" spans="1:6" ht="13.2">
      <c r="A9605" t="s">
        <v>10752</v>
      </c>
      <c r="B9605">
        <v>0</v>
      </c>
      <c r="C9605" s="44">
        <v>3200</v>
      </c>
      <c r="D9605" t="s">
        <v>291</v>
      </c>
      <c r="E9605" t="s">
        <v>7674</v>
      </c>
      <c r="F9605">
        <v>4</v>
      </c>
    </row>
    <row r="9606" spans="1:6" ht="13.2">
      <c r="A9606" t="s">
        <v>10753</v>
      </c>
      <c r="B9606">
        <v>0</v>
      </c>
      <c r="C9606" s="44">
        <v>3200</v>
      </c>
      <c r="D9606" t="s">
        <v>291</v>
      </c>
      <c r="E9606" t="s">
        <v>7674</v>
      </c>
      <c r="F9606">
        <v>4</v>
      </c>
    </row>
    <row r="9607" spans="1:6" ht="13.2">
      <c r="A9607" t="s">
        <v>10754</v>
      </c>
      <c r="B9607">
        <v>0</v>
      </c>
      <c r="C9607" s="44">
        <v>3200</v>
      </c>
      <c r="D9607" t="s">
        <v>291</v>
      </c>
      <c r="E9607" t="s">
        <v>7674</v>
      </c>
      <c r="F9607">
        <v>4</v>
      </c>
    </row>
    <row r="9608" spans="1:6" ht="13.2">
      <c r="A9608" t="s">
        <v>10755</v>
      </c>
      <c r="B9608">
        <v>0</v>
      </c>
      <c r="C9608" s="44">
        <v>3200</v>
      </c>
      <c r="D9608" t="s">
        <v>291</v>
      </c>
      <c r="E9608" t="s">
        <v>7674</v>
      </c>
      <c r="F9608">
        <v>4</v>
      </c>
    </row>
    <row r="9609" spans="1:6" ht="13.2">
      <c r="A9609" t="s">
        <v>10756</v>
      </c>
      <c r="B9609">
        <v>0</v>
      </c>
      <c r="C9609" s="44">
        <v>3200</v>
      </c>
      <c r="D9609" t="s">
        <v>291</v>
      </c>
      <c r="E9609" t="s">
        <v>7674</v>
      </c>
      <c r="F9609">
        <v>4</v>
      </c>
    </row>
    <row r="9610" spans="1:6" ht="13.2">
      <c r="A9610" t="s">
        <v>10757</v>
      </c>
      <c r="B9610">
        <v>0</v>
      </c>
      <c r="C9610" s="44">
        <v>3200</v>
      </c>
      <c r="D9610" t="s">
        <v>291</v>
      </c>
      <c r="E9610" t="s">
        <v>7674</v>
      </c>
      <c r="F9610">
        <v>4</v>
      </c>
    </row>
    <row r="9611" spans="1:6" ht="13.2">
      <c r="A9611" t="s">
        <v>10758</v>
      </c>
      <c r="B9611">
        <v>0</v>
      </c>
      <c r="C9611" s="44">
        <v>3200</v>
      </c>
      <c r="D9611" t="s">
        <v>291</v>
      </c>
      <c r="E9611" t="s">
        <v>7674</v>
      </c>
      <c r="F9611">
        <v>4</v>
      </c>
    </row>
    <row r="9612" spans="1:6" ht="13.2">
      <c r="A9612" t="s">
        <v>10759</v>
      </c>
      <c r="B9612">
        <v>0</v>
      </c>
      <c r="C9612" s="44">
        <v>3200</v>
      </c>
      <c r="D9612" t="s">
        <v>291</v>
      </c>
      <c r="E9612" t="s">
        <v>7674</v>
      </c>
      <c r="F9612">
        <v>4</v>
      </c>
    </row>
    <row r="9613" spans="1:6" ht="13.2">
      <c r="A9613" t="s">
        <v>10760</v>
      </c>
      <c r="B9613">
        <v>0</v>
      </c>
      <c r="C9613" s="44">
        <v>3200</v>
      </c>
      <c r="D9613" t="s">
        <v>291</v>
      </c>
      <c r="E9613" t="s">
        <v>7674</v>
      </c>
      <c r="F9613">
        <v>4</v>
      </c>
    </row>
    <row r="9614" spans="1:6" ht="13.2">
      <c r="A9614" t="s">
        <v>10761</v>
      </c>
      <c r="B9614">
        <v>0</v>
      </c>
      <c r="C9614" s="44">
        <v>3200</v>
      </c>
      <c r="D9614" t="s">
        <v>291</v>
      </c>
      <c r="E9614" t="s">
        <v>7674</v>
      </c>
      <c r="F9614">
        <v>4</v>
      </c>
    </row>
    <row r="9615" spans="1:6" ht="13.2">
      <c r="A9615" t="s">
        <v>10762</v>
      </c>
      <c r="B9615">
        <v>0</v>
      </c>
      <c r="C9615" s="44">
        <v>3200</v>
      </c>
      <c r="D9615" t="s">
        <v>291</v>
      </c>
      <c r="E9615" t="s">
        <v>7674</v>
      </c>
      <c r="F9615">
        <v>4</v>
      </c>
    </row>
    <row r="9616" spans="1:6" ht="13.2">
      <c r="A9616" t="s">
        <v>10763</v>
      </c>
      <c r="B9616">
        <v>0</v>
      </c>
      <c r="C9616" s="44">
        <v>3200</v>
      </c>
      <c r="D9616" t="s">
        <v>291</v>
      </c>
      <c r="E9616" t="s">
        <v>7674</v>
      </c>
      <c r="F9616">
        <v>4</v>
      </c>
    </row>
    <row r="9617" spans="1:6" ht="13.2">
      <c r="A9617" t="s">
        <v>10764</v>
      </c>
      <c r="B9617">
        <v>0</v>
      </c>
      <c r="C9617" s="44">
        <v>3200</v>
      </c>
      <c r="D9617" t="s">
        <v>291</v>
      </c>
      <c r="E9617" t="s">
        <v>7674</v>
      </c>
      <c r="F9617">
        <v>4</v>
      </c>
    </row>
    <row r="9618" spans="1:6" ht="13.2">
      <c r="A9618" t="s">
        <v>10765</v>
      </c>
      <c r="B9618">
        <v>0</v>
      </c>
      <c r="C9618" s="44">
        <v>3200</v>
      </c>
      <c r="D9618" t="s">
        <v>293</v>
      </c>
      <c r="E9618" t="s">
        <v>7674</v>
      </c>
      <c r="F9618">
        <v>4</v>
      </c>
    </row>
    <row r="9619" spans="1:6" ht="13.2">
      <c r="A9619" t="s">
        <v>10766</v>
      </c>
      <c r="B9619">
        <v>0</v>
      </c>
      <c r="C9619" s="44">
        <v>3200</v>
      </c>
      <c r="D9619" t="s">
        <v>293</v>
      </c>
      <c r="E9619" t="s">
        <v>7674</v>
      </c>
      <c r="F9619">
        <v>4</v>
      </c>
    </row>
    <row r="9620" spans="1:6" ht="13.2">
      <c r="A9620" t="s">
        <v>10767</v>
      </c>
      <c r="B9620">
        <v>0</v>
      </c>
      <c r="C9620" s="44">
        <v>3200</v>
      </c>
      <c r="D9620" t="s">
        <v>293</v>
      </c>
      <c r="E9620" t="s">
        <v>7674</v>
      </c>
      <c r="F9620">
        <v>4</v>
      </c>
    </row>
    <row r="9621" spans="1:6" ht="13.2">
      <c r="A9621" t="s">
        <v>10768</v>
      </c>
      <c r="B9621">
        <v>0</v>
      </c>
      <c r="C9621" s="44">
        <v>3200</v>
      </c>
      <c r="D9621" t="s">
        <v>293</v>
      </c>
      <c r="E9621" t="s">
        <v>7674</v>
      </c>
      <c r="F9621">
        <v>4</v>
      </c>
    </row>
    <row r="9622" spans="1:6" ht="13.2">
      <c r="A9622" t="s">
        <v>10769</v>
      </c>
      <c r="B9622">
        <v>0</v>
      </c>
      <c r="C9622" s="44">
        <v>3200</v>
      </c>
      <c r="D9622" t="s">
        <v>293</v>
      </c>
      <c r="E9622" t="s">
        <v>7674</v>
      </c>
      <c r="F9622">
        <v>4</v>
      </c>
    </row>
    <row r="9623" spans="1:6" ht="13.2">
      <c r="A9623" t="s">
        <v>10770</v>
      </c>
      <c r="B9623">
        <v>0</v>
      </c>
      <c r="C9623" s="44">
        <v>3200</v>
      </c>
      <c r="D9623" t="s">
        <v>293</v>
      </c>
      <c r="E9623" t="s">
        <v>7674</v>
      </c>
      <c r="F9623">
        <v>4</v>
      </c>
    </row>
    <row r="9624" spans="1:6" ht="13.2">
      <c r="A9624" t="s">
        <v>10771</v>
      </c>
      <c r="B9624">
        <v>0</v>
      </c>
      <c r="C9624" s="44">
        <v>3200</v>
      </c>
      <c r="D9624" t="s">
        <v>293</v>
      </c>
      <c r="E9624" t="s">
        <v>7674</v>
      </c>
      <c r="F9624">
        <v>4</v>
      </c>
    </row>
    <row r="9625" spans="1:6" ht="13.2">
      <c r="A9625" t="s">
        <v>10772</v>
      </c>
      <c r="B9625">
        <v>0</v>
      </c>
      <c r="C9625" s="44">
        <v>3200</v>
      </c>
      <c r="D9625" t="s">
        <v>293</v>
      </c>
      <c r="E9625" t="s">
        <v>7674</v>
      </c>
      <c r="F9625">
        <v>4</v>
      </c>
    </row>
    <row r="9626" spans="1:6" ht="13.2">
      <c r="A9626" t="s">
        <v>10773</v>
      </c>
      <c r="B9626">
        <v>0</v>
      </c>
      <c r="C9626" s="44">
        <v>3200</v>
      </c>
      <c r="D9626" t="s">
        <v>293</v>
      </c>
      <c r="E9626" t="s">
        <v>7674</v>
      </c>
      <c r="F9626">
        <v>4</v>
      </c>
    </row>
    <row r="9627" spans="1:6" ht="13.2">
      <c r="A9627" t="s">
        <v>10774</v>
      </c>
      <c r="B9627">
        <v>0</v>
      </c>
      <c r="C9627" s="44">
        <v>3200</v>
      </c>
      <c r="D9627" t="s">
        <v>293</v>
      </c>
      <c r="E9627" t="s">
        <v>7674</v>
      </c>
      <c r="F9627">
        <v>4</v>
      </c>
    </row>
    <row r="9628" spans="1:6" ht="13.2">
      <c r="A9628" t="s">
        <v>10775</v>
      </c>
      <c r="B9628">
        <v>0</v>
      </c>
      <c r="C9628" s="44">
        <v>3200</v>
      </c>
      <c r="D9628" t="s">
        <v>293</v>
      </c>
      <c r="E9628" t="s">
        <v>7674</v>
      </c>
      <c r="F9628">
        <v>4</v>
      </c>
    </row>
    <row r="9629" spans="1:6" ht="13.2">
      <c r="A9629" t="s">
        <v>10776</v>
      </c>
      <c r="B9629">
        <v>0</v>
      </c>
      <c r="C9629" s="44">
        <v>3200</v>
      </c>
      <c r="D9629" t="s">
        <v>293</v>
      </c>
      <c r="E9629" t="s">
        <v>7674</v>
      </c>
      <c r="F9629">
        <v>4</v>
      </c>
    </row>
    <row r="9630" spans="1:6" ht="13.2">
      <c r="A9630" t="s">
        <v>10777</v>
      </c>
      <c r="B9630">
        <v>0</v>
      </c>
      <c r="C9630" s="44">
        <v>3200</v>
      </c>
      <c r="D9630" t="s">
        <v>293</v>
      </c>
      <c r="E9630" t="s">
        <v>7674</v>
      </c>
      <c r="F9630">
        <v>4</v>
      </c>
    </row>
    <row r="9631" spans="1:6" ht="13.2">
      <c r="A9631" t="s">
        <v>10778</v>
      </c>
      <c r="B9631">
        <v>0</v>
      </c>
      <c r="C9631" s="44">
        <v>3200</v>
      </c>
      <c r="D9631" t="s">
        <v>293</v>
      </c>
      <c r="E9631" t="s">
        <v>7674</v>
      </c>
      <c r="F9631">
        <v>4</v>
      </c>
    </row>
    <row r="9632" spans="1:6" ht="13.2">
      <c r="A9632" t="s">
        <v>10779</v>
      </c>
      <c r="B9632">
        <v>0</v>
      </c>
      <c r="C9632" s="44">
        <v>3200</v>
      </c>
      <c r="D9632" t="s">
        <v>293</v>
      </c>
      <c r="E9632" t="s">
        <v>7674</v>
      </c>
      <c r="F9632">
        <v>4</v>
      </c>
    </row>
    <row r="9633" spans="1:6" ht="13.2">
      <c r="A9633" t="s">
        <v>10780</v>
      </c>
      <c r="B9633">
        <v>0</v>
      </c>
      <c r="C9633" s="44">
        <v>3200</v>
      </c>
      <c r="D9633" t="s">
        <v>293</v>
      </c>
      <c r="E9633" t="s">
        <v>7674</v>
      </c>
      <c r="F9633">
        <v>4</v>
      </c>
    </row>
    <row r="9634" spans="1:6" ht="13.2">
      <c r="A9634" t="s">
        <v>10781</v>
      </c>
      <c r="B9634">
        <v>0</v>
      </c>
      <c r="C9634" s="44">
        <v>3200</v>
      </c>
      <c r="D9634" t="s">
        <v>293</v>
      </c>
      <c r="E9634" t="s">
        <v>7674</v>
      </c>
      <c r="F9634">
        <v>4</v>
      </c>
    </row>
    <row r="9635" spans="1:6" ht="13.2">
      <c r="A9635" t="s">
        <v>10782</v>
      </c>
      <c r="B9635">
        <v>0</v>
      </c>
      <c r="C9635" s="44">
        <v>3200</v>
      </c>
      <c r="D9635" t="s">
        <v>293</v>
      </c>
      <c r="E9635" t="s">
        <v>7674</v>
      </c>
      <c r="F9635">
        <v>4</v>
      </c>
    </row>
    <row r="9636" spans="1:6" ht="13.2">
      <c r="A9636" t="s">
        <v>10783</v>
      </c>
      <c r="B9636">
        <v>0</v>
      </c>
      <c r="C9636" s="44">
        <v>3200</v>
      </c>
      <c r="D9636" t="s">
        <v>293</v>
      </c>
      <c r="E9636" t="s">
        <v>7674</v>
      </c>
      <c r="F9636">
        <v>4</v>
      </c>
    </row>
    <row r="9637" spans="1:6" ht="13.2">
      <c r="A9637" t="s">
        <v>10784</v>
      </c>
      <c r="B9637">
        <v>0</v>
      </c>
      <c r="C9637" s="44">
        <v>3200</v>
      </c>
      <c r="D9637" t="s">
        <v>293</v>
      </c>
      <c r="E9637" t="s">
        <v>7674</v>
      </c>
      <c r="F9637">
        <v>4</v>
      </c>
    </row>
    <row r="9638" spans="1:6" ht="13.2">
      <c r="A9638" t="s">
        <v>10785</v>
      </c>
      <c r="B9638">
        <v>0</v>
      </c>
      <c r="C9638" s="44">
        <v>3200</v>
      </c>
      <c r="D9638" t="s">
        <v>293</v>
      </c>
      <c r="E9638" t="s">
        <v>7674</v>
      </c>
      <c r="F9638">
        <v>4</v>
      </c>
    </row>
    <row r="9639" spans="1:6" ht="13.2">
      <c r="A9639" t="s">
        <v>10786</v>
      </c>
      <c r="B9639">
        <v>0</v>
      </c>
      <c r="C9639" s="44">
        <v>3200</v>
      </c>
      <c r="D9639" t="s">
        <v>293</v>
      </c>
      <c r="E9639" t="s">
        <v>7674</v>
      </c>
      <c r="F9639">
        <v>4</v>
      </c>
    </row>
    <row r="9640" spans="1:6" ht="13.2">
      <c r="A9640" t="s">
        <v>10787</v>
      </c>
      <c r="B9640">
        <v>0</v>
      </c>
      <c r="C9640" s="44">
        <v>3200</v>
      </c>
      <c r="D9640" t="s">
        <v>293</v>
      </c>
      <c r="E9640" t="s">
        <v>7674</v>
      </c>
      <c r="F9640">
        <v>4</v>
      </c>
    </row>
    <row r="9641" spans="1:6" ht="13.2">
      <c r="A9641" t="s">
        <v>10788</v>
      </c>
      <c r="B9641">
        <v>0</v>
      </c>
      <c r="C9641" s="44">
        <v>3200</v>
      </c>
      <c r="D9641" t="s">
        <v>293</v>
      </c>
      <c r="E9641" t="s">
        <v>7674</v>
      </c>
      <c r="F9641">
        <v>4</v>
      </c>
    </row>
    <row r="9642" spans="1:6" ht="13.2">
      <c r="A9642" t="s">
        <v>10789</v>
      </c>
      <c r="B9642">
        <v>0</v>
      </c>
      <c r="C9642" s="44">
        <v>3200</v>
      </c>
      <c r="D9642" t="s">
        <v>293</v>
      </c>
      <c r="E9642" t="s">
        <v>7674</v>
      </c>
      <c r="F9642">
        <v>4</v>
      </c>
    </row>
    <row r="9643" spans="1:6" ht="13.2">
      <c r="A9643" t="s">
        <v>10791</v>
      </c>
      <c r="B9643">
        <v>455</v>
      </c>
      <c r="C9643" s="44">
        <v>1500</v>
      </c>
      <c r="D9643" t="s">
        <v>291</v>
      </c>
      <c r="E9643" t="s">
        <v>364</v>
      </c>
      <c r="F9643" t="s">
        <v>10792</v>
      </c>
    </row>
    <row r="9644" spans="1:6" ht="13.2">
      <c r="A9644" t="s">
        <v>10793</v>
      </c>
      <c r="B9644">
        <v>455</v>
      </c>
      <c r="C9644" s="44">
        <v>1500</v>
      </c>
      <c r="D9644" t="s">
        <v>291</v>
      </c>
      <c r="E9644" t="s">
        <v>364</v>
      </c>
      <c r="F9644" t="s">
        <v>10792</v>
      </c>
    </row>
    <row r="9645" spans="1:6" ht="13.2">
      <c r="A9645" t="s">
        <v>10794</v>
      </c>
      <c r="B9645">
        <v>455</v>
      </c>
      <c r="C9645" s="44">
        <v>1500</v>
      </c>
      <c r="D9645" t="s">
        <v>291</v>
      </c>
      <c r="E9645" t="s">
        <v>364</v>
      </c>
      <c r="F9645" t="s">
        <v>10792</v>
      </c>
    </row>
    <row r="9646" spans="1:6" ht="13.2">
      <c r="A9646" t="s">
        <v>10795</v>
      </c>
      <c r="B9646">
        <v>455</v>
      </c>
      <c r="C9646" s="44">
        <v>1500</v>
      </c>
      <c r="D9646" t="s">
        <v>291</v>
      </c>
      <c r="E9646" t="s">
        <v>364</v>
      </c>
      <c r="F9646" t="s">
        <v>10792</v>
      </c>
    </row>
    <row r="9647" spans="1:6" ht="13.2">
      <c r="A9647" t="s">
        <v>10796</v>
      </c>
      <c r="B9647">
        <v>455</v>
      </c>
      <c r="C9647" s="44">
        <v>1500</v>
      </c>
      <c r="D9647" t="s">
        <v>291</v>
      </c>
      <c r="E9647" t="s">
        <v>364</v>
      </c>
      <c r="F9647" t="s">
        <v>10792</v>
      </c>
    </row>
    <row r="9648" spans="1:6" ht="13.2">
      <c r="A9648" t="s">
        <v>10386</v>
      </c>
      <c r="B9648">
        <v>730</v>
      </c>
      <c r="C9648" s="44" t="s">
        <v>204</v>
      </c>
      <c r="D9648" t="s">
        <v>293</v>
      </c>
      <c r="E9648" t="s">
        <v>256</v>
      </c>
      <c r="F9648">
        <v>14</v>
      </c>
    </row>
    <row r="9649" spans="1:6" ht="13.2">
      <c r="A9649" t="s">
        <v>10387</v>
      </c>
      <c r="B9649">
        <v>730</v>
      </c>
      <c r="C9649" s="44" t="s">
        <v>204</v>
      </c>
      <c r="D9649" t="s">
        <v>293</v>
      </c>
      <c r="E9649" t="s">
        <v>256</v>
      </c>
      <c r="F9649">
        <v>14</v>
      </c>
    </row>
    <row r="9650" spans="1:6" ht="13.2">
      <c r="A9650" t="s">
        <v>10388</v>
      </c>
      <c r="B9650">
        <v>730</v>
      </c>
      <c r="C9650" s="44" t="s">
        <v>204</v>
      </c>
      <c r="D9650" t="s">
        <v>293</v>
      </c>
      <c r="E9650" t="s">
        <v>256</v>
      </c>
      <c r="F9650">
        <v>14</v>
      </c>
    </row>
    <row r="9651" spans="1:6" ht="13.2">
      <c r="A9651" t="s">
        <v>10389</v>
      </c>
      <c r="B9651">
        <v>730</v>
      </c>
      <c r="C9651" s="44" t="s">
        <v>204</v>
      </c>
      <c r="D9651" t="s">
        <v>293</v>
      </c>
      <c r="E9651" t="s">
        <v>256</v>
      </c>
      <c r="F9651">
        <v>14</v>
      </c>
    </row>
    <row r="9652" spans="1:6" ht="13.2">
      <c r="A9652" t="s">
        <v>10390</v>
      </c>
      <c r="B9652">
        <v>0</v>
      </c>
      <c r="C9652" s="44" t="s">
        <v>204</v>
      </c>
      <c r="D9652" t="s">
        <v>293</v>
      </c>
      <c r="E9652" t="s">
        <v>364</v>
      </c>
      <c r="F9652">
        <v>4</v>
      </c>
    </row>
    <row r="9653" spans="1:6" ht="13.2">
      <c r="A9653" t="s">
        <v>1236</v>
      </c>
      <c r="B9653">
        <v>0</v>
      </c>
      <c r="C9653" s="44" t="s">
        <v>204</v>
      </c>
      <c r="D9653" t="s">
        <v>293</v>
      </c>
      <c r="E9653" t="s">
        <v>364</v>
      </c>
      <c r="F9653">
        <v>4</v>
      </c>
    </row>
    <row r="9654" spans="1:6" ht="13.2">
      <c r="A9654" t="s">
        <v>1237</v>
      </c>
      <c r="B9654">
        <v>0</v>
      </c>
      <c r="C9654" s="44" t="s">
        <v>204</v>
      </c>
      <c r="D9654" t="s">
        <v>293</v>
      </c>
      <c r="E9654" t="s">
        <v>364</v>
      </c>
      <c r="F9654">
        <v>4</v>
      </c>
    </row>
    <row r="9655" spans="1:6" ht="13.2">
      <c r="A9655" t="s">
        <v>1238</v>
      </c>
      <c r="B9655">
        <v>0</v>
      </c>
      <c r="C9655" s="44" t="s">
        <v>204</v>
      </c>
      <c r="D9655" t="s">
        <v>293</v>
      </c>
      <c r="E9655" t="s">
        <v>364</v>
      </c>
      <c r="F9655">
        <v>4</v>
      </c>
    </row>
    <row r="9656" spans="1:6" ht="13.2">
      <c r="A9656" t="s">
        <v>1239</v>
      </c>
      <c r="B9656">
        <v>0</v>
      </c>
      <c r="C9656" s="44" t="s">
        <v>204</v>
      </c>
      <c r="D9656" t="s">
        <v>293</v>
      </c>
      <c r="E9656" t="s">
        <v>364</v>
      </c>
      <c r="F9656">
        <v>4</v>
      </c>
    </row>
    <row r="9657" spans="1:6" ht="13.2">
      <c r="A9657" t="s">
        <v>1240</v>
      </c>
      <c r="B9657">
        <v>0</v>
      </c>
      <c r="C9657" s="44" t="s">
        <v>204</v>
      </c>
      <c r="D9657" t="s">
        <v>293</v>
      </c>
      <c r="E9657" t="s">
        <v>364</v>
      </c>
      <c r="F9657">
        <v>4</v>
      </c>
    </row>
    <row r="9658" spans="1:6" ht="13.2">
      <c r="A9658" t="s">
        <v>1241</v>
      </c>
      <c r="B9658">
        <v>0</v>
      </c>
      <c r="C9658" s="44" t="s">
        <v>204</v>
      </c>
      <c r="D9658" t="s">
        <v>293</v>
      </c>
      <c r="E9658" t="s">
        <v>364</v>
      </c>
      <c r="F9658">
        <v>4</v>
      </c>
    </row>
    <row r="9659" spans="1:6" ht="13.2">
      <c r="A9659" t="s">
        <v>10391</v>
      </c>
      <c r="B9659">
        <v>0</v>
      </c>
      <c r="C9659" s="44" t="s">
        <v>204</v>
      </c>
      <c r="D9659" t="s">
        <v>293</v>
      </c>
      <c r="E9659" t="s">
        <v>364</v>
      </c>
      <c r="F9659">
        <v>4</v>
      </c>
    </row>
    <row r="9660" spans="1:6" ht="13.2">
      <c r="A9660" t="s">
        <v>10392</v>
      </c>
      <c r="B9660">
        <v>0</v>
      </c>
      <c r="C9660" s="44" t="s">
        <v>204</v>
      </c>
      <c r="D9660" t="s">
        <v>293</v>
      </c>
      <c r="E9660" t="s">
        <v>364</v>
      </c>
      <c r="F9660">
        <v>4</v>
      </c>
    </row>
    <row r="9661" spans="1:6" ht="13.2">
      <c r="A9661" t="s">
        <v>10393</v>
      </c>
      <c r="B9661">
        <v>0</v>
      </c>
      <c r="C9661" s="44" t="s">
        <v>204</v>
      </c>
      <c r="D9661" t="s">
        <v>293</v>
      </c>
      <c r="E9661" t="s">
        <v>364</v>
      </c>
      <c r="F9661">
        <v>4</v>
      </c>
    </row>
    <row r="9662" spans="1:6" ht="13.2">
      <c r="A9662" t="s">
        <v>10394</v>
      </c>
      <c r="B9662">
        <v>0</v>
      </c>
      <c r="C9662" s="44" t="s">
        <v>204</v>
      </c>
      <c r="D9662" t="s">
        <v>293</v>
      </c>
      <c r="E9662" t="s">
        <v>364</v>
      </c>
      <c r="F9662">
        <v>4</v>
      </c>
    </row>
    <row r="9663" spans="1:6" ht="13.2">
      <c r="A9663" t="s">
        <v>10395</v>
      </c>
      <c r="B9663">
        <v>0</v>
      </c>
      <c r="C9663" s="44" t="s">
        <v>204</v>
      </c>
      <c r="D9663" t="s">
        <v>293</v>
      </c>
      <c r="E9663" t="s">
        <v>364</v>
      </c>
      <c r="F9663">
        <v>4</v>
      </c>
    </row>
    <row r="9664" spans="1:6" ht="13.2">
      <c r="A9664" t="s">
        <v>10396</v>
      </c>
      <c r="B9664">
        <v>0</v>
      </c>
      <c r="C9664" s="44" t="s">
        <v>204</v>
      </c>
      <c r="D9664" t="s">
        <v>293</v>
      </c>
      <c r="E9664" t="s">
        <v>364</v>
      </c>
      <c r="F9664">
        <v>4</v>
      </c>
    </row>
    <row r="9665" spans="1:6" ht="13.2">
      <c r="A9665" t="s">
        <v>10397</v>
      </c>
      <c r="B9665">
        <v>0</v>
      </c>
      <c r="C9665" s="44" t="s">
        <v>204</v>
      </c>
      <c r="D9665" t="s">
        <v>293</v>
      </c>
      <c r="E9665" t="s">
        <v>364</v>
      </c>
      <c r="F9665">
        <v>4</v>
      </c>
    </row>
    <row r="9666" spans="1:6" ht="13.2">
      <c r="A9666" t="s">
        <v>10398</v>
      </c>
      <c r="B9666">
        <v>0</v>
      </c>
      <c r="C9666" s="44" t="s">
        <v>204</v>
      </c>
      <c r="D9666" t="s">
        <v>293</v>
      </c>
      <c r="E9666" t="s">
        <v>364</v>
      </c>
      <c r="F9666">
        <v>4</v>
      </c>
    </row>
    <row r="9667" spans="1:6" ht="13.2">
      <c r="A9667" t="s">
        <v>10399</v>
      </c>
      <c r="B9667">
        <v>0</v>
      </c>
      <c r="C9667" s="44" t="s">
        <v>204</v>
      </c>
      <c r="D9667" t="s">
        <v>293</v>
      </c>
      <c r="E9667" t="s">
        <v>364</v>
      </c>
      <c r="F9667">
        <v>4</v>
      </c>
    </row>
    <row r="9668" spans="1:6" ht="13.2">
      <c r="A9668" t="s">
        <v>10400</v>
      </c>
      <c r="B9668">
        <v>0</v>
      </c>
      <c r="C9668" s="44" t="s">
        <v>204</v>
      </c>
      <c r="D9668" t="s">
        <v>293</v>
      </c>
      <c r="E9668" t="s">
        <v>364</v>
      </c>
      <c r="F9668">
        <v>4</v>
      </c>
    </row>
    <row r="9669" spans="1:6" ht="13.2">
      <c r="A9669" t="s">
        <v>1227</v>
      </c>
      <c r="B9669">
        <v>0</v>
      </c>
      <c r="C9669" s="44" t="s">
        <v>204</v>
      </c>
      <c r="D9669" t="s">
        <v>293</v>
      </c>
      <c r="E9669" t="s">
        <v>364</v>
      </c>
      <c r="F9669">
        <v>4</v>
      </c>
    </row>
    <row r="9670" spans="1:6" ht="13.2">
      <c r="A9670" t="s">
        <v>1228</v>
      </c>
      <c r="B9670">
        <v>0</v>
      </c>
      <c r="C9670" s="44" t="s">
        <v>204</v>
      </c>
      <c r="D9670" t="s">
        <v>293</v>
      </c>
      <c r="E9670" t="s">
        <v>364</v>
      </c>
      <c r="F9670">
        <v>4</v>
      </c>
    </row>
    <row r="9671" spans="1:6" ht="13.2">
      <c r="A9671" t="s">
        <v>1229</v>
      </c>
      <c r="B9671">
        <v>0</v>
      </c>
      <c r="C9671" s="44" t="s">
        <v>204</v>
      </c>
      <c r="D9671" t="s">
        <v>293</v>
      </c>
      <c r="E9671" t="s">
        <v>364</v>
      </c>
      <c r="F9671">
        <v>4</v>
      </c>
    </row>
    <row r="9672" spans="1:6" ht="13.2">
      <c r="A9672" t="s">
        <v>1230</v>
      </c>
      <c r="B9672">
        <v>0</v>
      </c>
      <c r="C9672" s="44" t="s">
        <v>204</v>
      </c>
      <c r="D9672" t="s">
        <v>293</v>
      </c>
      <c r="E9672" t="s">
        <v>364</v>
      </c>
      <c r="F9672">
        <v>4</v>
      </c>
    </row>
    <row r="9673" spans="1:6" ht="13.2">
      <c r="A9673" t="s">
        <v>1231</v>
      </c>
      <c r="B9673">
        <v>0</v>
      </c>
      <c r="C9673" s="44" t="s">
        <v>204</v>
      </c>
      <c r="D9673" t="s">
        <v>293</v>
      </c>
      <c r="E9673" t="s">
        <v>364</v>
      </c>
      <c r="F9673">
        <v>4</v>
      </c>
    </row>
    <row r="9674" spans="1:6" ht="13.2">
      <c r="A9674" t="s">
        <v>1232</v>
      </c>
      <c r="B9674">
        <v>0</v>
      </c>
      <c r="C9674" s="44" t="s">
        <v>204</v>
      </c>
      <c r="D9674" t="s">
        <v>293</v>
      </c>
      <c r="E9674" t="s">
        <v>364</v>
      </c>
      <c r="F9674">
        <v>4</v>
      </c>
    </row>
    <row r="9675" spans="1:6" ht="13.2">
      <c r="A9675" t="s">
        <v>1233</v>
      </c>
      <c r="B9675">
        <v>0</v>
      </c>
      <c r="C9675" s="44" t="s">
        <v>204</v>
      </c>
      <c r="D9675" t="s">
        <v>293</v>
      </c>
      <c r="E9675" t="s">
        <v>364</v>
      </c>
      <c r="F9675">
        <v>4</v>
      </c>
    </row>
    <row r="9676" spans="1:6" ht="13.2">
      <c r="A9676" t="s">
        <v>1242</v>
      </c>
      <c r="B9676">
        <v>0</v>
      </c>
      <c r="C9676" s="44" t="s">
        <v>204</v>
      </c>
      <c r="D9676" t="s">
        <v>293</v>
      </c>
      <c r="E9676" t="s">
        <v>364</v>
      </c>
      <c r="F9676">
        <v>4</v>
      </c>
    </row>
    <row r="9677" spans="1:6" ht="13.2">
      <c r="A9677" t="s">
        <v>1243</v>
      </c>
      <c r="B9677">
        <v>0</v>
      </c>
      <c r="C9677" s="44" t="s">
        <v>204</v>
      </c>
      <c r="D9677" t="s">
        <v>293</v>
      </c>
      <c r="E9677" t="s">
        <v>364</v>
      </c>
      <c r="F9677">
        <v>4</v>
      </c>
    </row>
    <row r="9678" spans="1:6" ht="13.2">
      <c r="A9678" t="s">
        <v>1244</v>
      </c>
      <c r="B9678">
        <v>0</v>
      </c>
      <c r="C9678" s="44" t="s">
        <v>204</v>
      </c>
      <c r="D9678" t="s">
        <v>293</v>
      </c>
      <c r="E9678" t="s">
        <v>364</v>
      </c>
      <c r="F9678">
        <v>4</v>
      </c>
    </row>
    <row r="9679" spans="1:6" ht="13.2">
      <c r="A9679" t="s">
        <v>1245</v>
      </c>
      <c r="B9679">
        <v>0</v>
      </c>
      <c r="C9679" s="44" t="s">
        <v>204</v>
      </c>
      <c r="D9679" t="s">
        <v>293</v>
      </c>
      <c r="E9679" t="s">
        <v>364</v>
      </c>
      <c r="F9679">
        <v>4</v>
      </c>
    </row>
    <row r="9680" spans="1:6" ht="13.2">
      <c r="A9680" t="s">
        <v>1234</v>
      </c>
      <c r="B9680">
        <v>0</v>
      </c>
      <c r="C9680" s="44" t="s">
        <v>204</v>
      </c>
      <c r="D9680" t="s">
        <v>293</v>
      </c>
      <c r="E9680" t="s">
        <v>364</v>
      </c>
      <c r="F9680">
        <v>4</v>
      </c>
    </row>
    <row r="9681" spans="1:6" ht="13.2">
      <c r="A9681" t="s">
        <v>1235</v>
      </c>
      <c r="B9681">
        <v>0</v>
      </c>
      <c r="C9681" s="44" t="s">
        <v>204</v>
      </c>
      <c r="D9681" t="s">
        <v>293</v>
      </c>
      <c r="E9681" t="s">
        <v>364</v>
      </c>
      <c r="F9681">
        <v>4</v>
      </c>
    </row>
    <row r="9682" spans="1:6" ht="13.2">
      <c r="A9682" t="s">
        <v>10401</v>
      </c>
      <c r="B9682">
        <v>0</v>
      </c>
      <c r="C9682" s="44" t="s">
        <v>204</v>
      </c>
      <c r="D9682" t="s">
        <v>293</v>
      </c>
      <c r="E9682" t="s">
        <v>364</v>
      </c>
      <c r="F9682">
        <v>4</v>
      </c>
    </row>
    <row r="9683" spans="1:6" ht="13.2">
      <c r="A9683" t="s">
        <v>10402</v>
      </c>
      <c r="B9683">
        <v>0</v>
      </c>
      <c r="C9683" s="44" t="s">
        <v>204</v>
      </c>
      <c r="D9683" t="s">
        <v>293</v>
      </c>
      <c r="E9683" t="s">
        <v>364</v>
      </c>
      <c r="F9683">
        <v>4</v>
      </c>
    </row>
    <row r="9684" spans="1:6" ht="13.2">
      <c r="A9684" t="s">
        <v>1246</v>
      </c>
      <c r="B9684">
        <v>0</v>
      </c>
      <c r="C9684" s="44" t="s">
        <v>204</v>
      </c>
      <c r="D9684" t="s">
        <v>293</v>
      </c>
      <c r="E9684" t="s">
        <v>364</v>
      </c>
      <c r="F9684">
        <v>4</v>
      </c>
    </row>
    <row r="9685" spans="1:6" ht="13.2">
      <c r="A9685" t="s">
        <v>10403</v>
      </c>
      <c r="B9685">
        <v>0</v>
      </c>
      <c r="C9685" s="44" t="s">
        <v>204</v>
      </c>
      <c r="D9685" t="s">
        <v>291</v>
      </c>
      <c r="E9685" t="s">
        <v>364</v>
      </c>
      <c r="F9685">
        <v>4</v>
      </c>
    </row>
    <row r="9686" spans="1:6" ht="13.2">
      <c r="A9686" t="s">
        <v>3866</v>
      </c>
      <c r="B9686">
        <v>0</v>
      </c>
      <c r="C9686" s="44" t="s">
        <v>204</v>
      </c>
      <c r="D9686" t="s">
        <v>291</v>
      </c>
      <c r="E9686" t="s">
        <v>364</v>
      </c>
      <c r="F9686">
        <v>4</v>
      </c>
    </row>
    <row r="9687" spans="1:6" ht="13.2">
      <c r="A9687" t="s">
        <v>3867</v>
      </c>
      <c r="B9687">
        <v>0</v>
      </c>
      <c r="C9687" s="44" t="s">
        <v>204</v>
      </c>
      <c r="D9687" t="s">
        <v>291</v>
      </c>
      <c r="E9687" t="s">
        <v>364</v>
      </c>
      <c r="F9687">
        <v>4</v>
      </c>
    </row>
    <row r="9688" spans="1:6" ht="13.2">
      <c r="A9688" t="s">
        <v>3868</v>
      </c>
      <c r="B9688">
        <v>0</v>
      </c>
      <c r="C9688" s="44" t="s">
        <v>204</v>
      </c>
      <c r="D9688" t="s">
        <v>291</v>
      </c>
      <c r="E9688" t="s">
        <v>364</v>
      </c>
      <c r="F9688">
        <v>4</v>
      </c>
    </row>
    <row r="9689" spans="1:6" ht="13.2">
      <c r="A9689" t="s">
        <v>3869</v>
      </c>
      <c r="B9689">
        <v>0</v>
      </c>
      <c r="C9689" s="44" t="s">
        <v>204</v>
      </c>
      <c r="D9689" t="s">
        <v>291</v>
      </c>
      <c r="E9689" t="s">
        <v>364</v>
      </c>
      <c r="F9689">
        <v>4</v>
      </c>
    </row>
    <row r="9690" spans="1:6" ht="13.2">
      <c r="A9690" t="s">
        <v>3870</v>
      </c>
      <c r="B9690">
        <v>0</v>
      </c>
      <c r="C9690" s="44" t="s">
        <v>204</v>
      </c>
      <c r="D9690" t="s">
        <v>291</v>
      </c>
      <c r="E9690" t="s">
        <v>364</v>
      </c>
      <c r="F9690">
        <v>4</v>
      </c>
    </row>
    <row r="9691" spans="1:6" ht="13.2">
      <c r="A9691" t="s">
        <v>3871</v>
      </c>
      <c r="B9691">
        <v>0</v>
      </c>
      <c r="C9691" s="44" t="s">
        <v>204</v>
      </c>
      <c r="D9691" t="s">
        <v>291</v>
      </c>
      <c r="E9691" t="s">
        <v>364</v>
      </c>
      <c r="F9691">
        <v>4</v>
      </c>
    </row>
    <row r="9692" spans="1:6" ht="13.2">
      <c r="A9692" t="s">
        <v>10404</v>
      </c>
      <c r="B9692">
        <v>0</v>
      </c>
      <c r="C9692" s="44" t="s">
        <v>204</v>
      </c>
      <c r="D9692" t="s">
        <v>291</v>
      </c>
      <c r="E9692" t="s">
        <v>364</v>
      </c>
      <c r="F9692">
        <v>4</v>
      </c>
    </row>
    <row r="9693" spans="1:6" ht="13.2">
      <c r="A9693" t="s">
        <v>10405</v>
      </c>
      <c r="B9693">
        <v>0</v>
      </c>
      <c r="C9693" s="44" t="s">
        <v>204</v>
      </c>
      <c r="D9693" t="s">
        <v>291</v>
      </c>
      <c r="E9693" t="s">
        <v>364</v>
      </c>
      <c r="F9693">
        <v>4</v>
      </c>
    </row>
    <row r="9694" spans="1:6" ht="13.2">
      <c r="A9694" t="s">
        <v>10406</v>
      </c>
      <c r="B9694">
        <v>0</v>
      </c>
      <c r="C9694" s="44" t="s">
        <v>204</v>
      </c>
      <c r="D9694" t="s">
        <v>291</v>
      </c>
      <c r="E9694" t="s">
        <v>364</v>
      </c>
      <c r="F9694">
        <v>4</v>
      </c>
    </row>
    <row r="9695" spans="1:6" ht="13.2">
      <c r="A9695" t="s">
        <v>10407</v>
      </c>
      <c r="B9695">
        <v>0</v>
      </c>
      <c r="C9695" s="44" t="s">
        <v>204</v>
      </c>
      <c r="D9695" t="s">
        <v>291</v>
      </c>
      <c r="E9695" t="s">
        <v>364</v>
      </c>
      <c r="F9695">
        <v>4</v>
      </c>
    </row>
    <row r="9696" spans="1:6" ht="13.2">
      <c r="A9696" t="s">
        <v>10408</v>
      </c>
      <c r="B9696">
        <v>0</v>
      </c>
      <c r="C9696" s="44" t="s">
        <v>204</v>
      </c>
      <c r="D9696" t="s">
        <v>291</v>
      </c>
      <c r="E9696" t="s">
        <v>364</v>
      </c>
      <c r="F9696">
        <v>4</v>
      </c>
    </row>
    <row r="9697" spans="1:6" ht="13.2">
      <c r="A9697" t="s">
        <v>10409</v>
      </c>
      <c r="B9697">
        <v>0</v>
      </c>
      <c r="C9697" s="44" t="s">
        <v>204</v>
      </c>
      <c r="D9697" t="s">
        <v>291</v>
      </c>
      <c r="E9697" t="s">
        <v>364</v>
      </c>
      <c r="F9697">
        <v>4</v>
      </c>
    </row>
    <row r="9698" spans="1:6" ht="13.2">
      <c r="A9698" t="s">
        <v>10410</v>
      </c>
      <c r="B9698">
        <v>0</v>
      </c>
      <c r="C9698" s="44" t="s">
        <v>204</v>
      </c>
      <c r="D9698" t="s">
        <v>291</v>
      </c>
      <c r="E9698" t="s">
        <v>364</v>
      </c>
      <c r="F9698">
        <v>4</v>
      </c>
    </row>
    <row r="9699" spans="1:6" ht="13.2">
      <c r="A9699" t="s">
        <v>10411</v>
      </c>
      <c r="B9699">
        <v>0</v>
      </c>
      <c r="C9699" s="44" t="s">
        <v>204</v>
      </c>
      <c r="D9699" t="s">
        <v>291</v>
      </c>
      <c r="E9699" t="s">
        <v>364</v>
      </c>
      <c r="F9699">
        <v>4</v>
      </c>
    </row>
    <row r="9700" spans="1:6" ht="13.2">
      <c r="A9700" t="s">
        <v>10412</v>
      </c>
      <c r="B9700">
        <v>0</v>
      </c>
      <c r="C9700" s="44" t="s">
        <v>204</v>
      </c>
      <c r="D9700" t="s">
        <v>291</v>
      </c>
      <c r="E9700" t="s">
        <v>364</v>
      </c>
      <c r="F9700">
        <v>4</v>
      </c>
    </row>
    <row r="9701" spans="1:6" ht="13.2">
      <c r="A9701" t="s">
        <v>10413</v>
      </c>
      <c r="B9701">
        <v>0</v>
      </c>
      <c r="C9701" s="44" t="s">
        <v>204</v>
      </c>
      <c r="D9701" t="s">
        <v>291</v>
      </c>
      <c r="E9701" t="s">
        <v>364</v>
      </c>
      <c r="F9701">
        <v>4</v>
      </c>
    </row>
    <row r="9702" spans="1:6" ht="13.2">
      <c r="A9702" t="s">
        <v>3857</v>
      </c>
      <c r="B9702">
        <v>0</v>
      </c>
      <c r="C9702" s="44" t="s">
        <v>204</v>
      </c>
      <c r="D9702" t="s">
        <v>291</v>
      </c>
      <c r="E9702" t="s">
        <v>364</v>
      </c>
      <c r="F9702">
        <v>4</v>
      </c>
    </row>
    <row r="9703" spans="1:6" ht="13.2">
      <c r="A9703" t="s">
        <v>3858</v>
      </c>
      <c r="B9703">
        <v>0</v>
      </c>
      <c r="C9703" s="44" t="s">
        <v>204</v>
      </c>
      <c r="D9703" t="s">
        <v>291</v>
      </c>
      <c r="E9703" t="s">
        <v>364</v>
      </c>
      <c r="F9703">
        <v>4</v>
      </c>
    </row>
    <row r="9704" spans="1:6" ht="13.2">
      <c r="A9704" t="s">
        <v>3859</v>
      </c>
      <c r="B9704">
        <v>0</v>
      </c>
      <c r="C9704" s="44" t="s">
        <v>204</v>
      </c>
      <c r="D9704" t="s">
        <v>291</v>
      </c>
      <c r="E9704" t="s">
        <v>364</v>
      </c>
      <c r="F9704">
        <v>4</v>
      </c>
    </row>
    <row r="9705" spans="1:6" ht="13.2">
      <c r="A9705" t="s">
        <v>3860</v>
      </c>
      <c r="B9705">
        <v>0</v>
      </c>
      <c r="C9705" s="44" t="s">
        <v>204</v>
      </c>
      <c r="D9705" t="s">
        <v>291</v>
      </c>
      <c r="E9705" t="s">
        <v>364</v>
      </c>
      <c r="F9705">
        <v>4</v>
      </c>
    </row>
    <row r="9706" spans="1:6" ht="13.2">
      <c r="A9706" t="s">
        <v>3861</v>
      </c>
      <c r="B9706">
        <v>0</v>
      </c>
      <c r="C9706" s="44" t="s">
        <v>204</v>
      </c>
      <c r="D9706" t="s">
        <v>291</v>
      </c>
      <c r="E9706" t="s">
        <v>364</v>
      </c>
      <c r="F9706">
        <v>4</v>
      </c>
    </row>
    <row r="9707" spans="1:6" ht="13.2">
      <c r="A9707" t="s">
        <v>3862</v>
      </c>
      <c r="B9707">
        <v>0</v>
      </c>
      <c r="C9707" s="44" t="s">
        <v>204</v>
      </c>
      <c r="D9707" t="s">
        <v>291</v>
      </c>
      <c r="E9707" t="s">
        <v>364</v>
      </c>
      <c r="F9707">
        <v>4</v>
      </c>
    </row>
    <row r="9708" spans="1:6" ht="13.2">
      <c r="A9708" t="s">
        <v>3863</v>
      </c>
      <c r="B9708">
        <v>0</v>
      </c>
      <c r="C9708" s="44" t="s">
        <v>204</v>
      </c>
      <c r="D9708" t="s">
        <v>291</v>
      </c>
      <c r="E9708" t="s">
        <v>364</v>
      </c>
      <c r="F9708">
        <v>4</v>
      </c>
    </row>
    <row r="9709" spans="1:6" ht="13.2">
      <c r="A9709" t="s">
        <v>3872</v>
      </c>
      <c r="B9709">
        <v>0</v>
      </c>
      <c r="C9709" s="44" t="s">
        <v>204</v>
      </c>
      <c r="D9709" t="s">
        <v>291</v>
      </c>
      <c r="E9709" t="s">
        <v>364</v>
      </c>
      <c r="F9709">
        <v>4</v>
      </c>
    </row>
    <row r="9710" spans="1:6" ht="13.2">
      <c r="A9710" t="s">
        <v>3873</v>
      </c>
      <c r="B9710">
        <v>0</v>
      </c>
      <c r="C9710" s="44" t="s">
        <v>204</v>
      </c>
      <c r="D9710" t="s">
        <v>291</v>
      </c>
      <c r="E9710" t="s">
        <v>364</v>
      </c>
      <c r="F9710">
        <v>4</v>
      </c>
    </row>
    <row r="9711" spans="1:6" ht="13.2">
      <c r="A9711" t="s">
        <v>3874</v>
      </c>
      <c r="B9711">
        <v>0</v>
      </c>
      <c r="C9711" s="44" t="s">
        <v>204</v>
      </c>
      <c r="D9711" t="s">
        <v>291</v>
      </c>
      <c r="E9711" t="s">
        <v>364</v>
      </c>
      <c r="F9711">
        <v>4</v>
      </c>
    </row>
    <row r="9712" spans="1:6" ht="13.2">
      <c r="A9712" t="s">
        <v>3875</v>
      </c>
      <c r="B9712">
        <v>0</v>
      </c>
      <c r="C9712" s="44" t="s">
        <v>204</v>
      </c>
      <c r="D9712" t="s">
        <v>291</v>
      </c>
      <c r="E9712" t="s">
        <v>364</v>
      </c>
      <c r="F9712">
        <v>4</v>
      </c>
    </row>
    <row r="9713" spans="1:6" ht="13.2">
      <c r="A9713" t="s">
        <v>3864</v>
      </c>
      <c r="B9713">
        <v>0</v>
      </c>
      <c r="C9713" s="44" t="s">
        <v>204</v>
      </c>
      <c r="D9713" t="s">
        <v>291</v>
      </c>
      <c r="E9713" t="s">
        <v>364</v>
      </c>
      <c r="F9713">
        <v>4</v>
      </c>
    </row>
    <row r="9714" spans="1:6" ht="13.2">
      <c r="A9714" t="s">
        <v>3865</v>
      </c>
      <c r="B9714">
        <v>0</v>
      </c>
      <c r="C9714" s="44" t="s">
        <v>204</v>
      </c>
      <c r="D9714" t="s">
        <v>291</v>
      </c>
      <c r="E9714" t="s">
        <v>364</v>
      </c>
      <c r="F9714">
        <v>4</v>
      </c>
    </row>
    <row r="9715" spans="1:6" ht="13.2">
      <c r="A9715" t="s">
        <v>10414</v>
      </c>
      <c r="B9715">
        <v>0</v>
      </c>
      <c r="C9715" s="44" t="s">
        <v>204</v>
      </c>
      <c r="D9715" t="s">
        <v>291</v>
      </c>
      <c r="E9715" t="s">
        <v>364</v>
      </c>
      <c r="F9715">
        <v>4</v>
      </c>
    </row>
    <row r="9716" spans="1:6" ht="13.2">
      <c r="A9716" t="s">
        <v>10415</v>
      </c>
      <c r="B9716">
        <v>0</v>
      </c>
      <c r="C9716" s="44" t="s">
        <v>204</v>
      </c>
      <c r="D9716" t="s">
        <v>291</v>
      </c>
      <c r="E9716" t="s">
        <v>364</v>
      </c>
      <c r="F9716">
        <v>4</v>
      </c>
    </row>
    <row r="9717" spans="1:6" ht="13.2">
      <c r="A9717" t="s">
        <v>3876</v>
      </c>
      <c r="B9717">
        <v>0</v>
      </c>
      <c r="C9717" s="44" t="s">
        <v>204</v>
      </c>
      <c r="D9717" t="s">
        <v>291</v>
      </c>
      <c r="E9717" t="s">
        <v>364</v>
      </c>
      <c r="F9717">
        <v>4</v>
      </c>
    </row>
    <row r="9718" spans="1:6" ht="13.2">
      <c r="A9718" t="s">
        <v>10416</v>
      </c>
      <c r="B9718">
        <v>300</v>
      </c>
      <c r="C9718" s="44" t="s">
        <v>204</v>
      </c>
      <c r="D9718" t="s">
        <v>291</v>
      </c>
      <c r="E9718" t="s">
        <v>364</v>
      </c>
      <c r="F9718">
        <v>4</v>
      </c>
    </row>
    <row r="9719" spans="1:6" ht="13.2">
      <c r="A9719" t="s">
        <v>10417</v>
      </c>
      <c r="B9719">
        <v>300</v>
      </c>
      <c r="C9719" s="44" t="s">
        <v>204</v>
      </c>
      <c r="D9719" t="s">
        <v>291</v>
      </c>
      <c r="E9719" t="s">
        <v>364</v>
      </c>
      <c r="F9719">
        <v>4</v>
      </c>
    </row>
    <row r="9720" spans="1:6" ht="13.2">
      <c r="A9720" t="s">
        <v>10418</v>
      </c>
      <c r="B9720">
        <v>300</v>
      </c>
      <c r="C9720" s="44" t="s">
        <v>204</v>
      </c>
      <c r="D9720" t="s">
        <v>291</v>
      </c>
      <c r="E9720" t="s">
        <v>364</v>
      </c>
      <c r="F9720">
        <v>4</v>
      </c>
    </row>
    <row r="9721" spans="1:6" ht="13.2">
      <c r="A9721" t="s">
        <v>10419</v>
      </c>
      <c r="B9721">
        <v>300</v>
      </c>
      <c r="C9721" s="44" t="s">
        <v>204</v>
      </c>
      <c r="D9721" t="s">
        <v>291</v>
      </c>
      <c r="E9721" t="s">
        <v>364</v>
      </c>
      <c r="F9721">
        <v>4</v>
      </c>
    </row>
    <row r="9722" spans="1:6" ht="13.2">
      <c r="A9722" t="s">
        <v>10420</v>
      </c>
      <c r="B9722">
        <v>300</v>
      </c>
      <c r="C9722" s="44" t="s">
        <v>204</v>
      </c>
      <c r="D9722" t="s">
        <v>291</v>
      </c>
      <c r="E9722" t="s">
        <v>364</v>
      </c>
      <c r="F9722">
        <v>4</v>
      </c>
    </row>
    <row r="9723" spans="1:6" ht="13.2">
      <c r="A9723" t="s">
        <v>10421</v>
      </c>
      <c r="B9723">
        <v>300</v>
      </c>
      <c r="C9723" s="44" t="s">
        <v>204</v>
      </c>
      <c r="D9723" t="s">
        <v>291</v>
      </c>
      <c r="E9723" t="s">
        <v>364</v>
      </c>
      <c r="F9723">
        <v>4</v>
      </c>
    </row>
    <row r="9724" spans="1:6" ht="13.2">
      <c r="A9724" t="s">
        <v>10422</v>
      </c>
      <c r="B9724">
        <v>300</v>
      </c>
      <c r="C9724" s="44" t="s">
        <v>204</v>
      </c>
      <c r="D9724" t="s">
        <v>293</v>
      </c>
      <c r="E9724" t="s">
        <v>364</v>
      </c>
      <c r="F9724">
        <v>4</v>
      </c>
    </row>
    <row r="9725" spans="1:6" ht="13.2">
      <c r="A9725" t="s">
        <v>10423</v>
      </c>
      <c r="B9725">
        <v>300</v>
      </c>
      <c r="C9725" s="44" t="s">
        <v>204</v>
      </c>
      <c r="D9725" t="s">
        <v>293</v>
      </c>
      <c r="E9725" t="s">
        <v>364</v>
      </c>
      <c r="F9725">
        <v>4</v>
      </c>
    </row>
    <row r="9726" spans="1:6" ht="13.2">
      <c r="A9726" t="s">
        <v>10424</v>
      </c>
      <c r="B9726">
        <v>300</v>
      </c>
      <c r="C9726" s="44" t="s">
        <v>204</v>
      </c>
      <c r="D9726" t="s">
        <v>293</v>
      </c>
      <c r="E9726" t="s">
        <v>364</v>
      </c>
      <c r="F9726">
        <v>4</v>
      </c>
    </row>
    <row r="9727" spans="1:6" ht="13.2">
      <c r="A9727" t="s">
        <v>10425</v>
      </c>
      <c r="B9727">
        <v>300</v>
      </c>
      <c r="C9727" s="44" t="s">
        <v>204</v>
      </c>
      <c r="D9727" t="s">
        <v>293</v>
      </c>
      <c r="E9727" t="s">
        <v>364</v>
      </c>
      <c r="F9727">
        <v>4</v>
      </c>
    </row>
    <row r="9728" spans="1:6" ht="13.2">
      <c r="A9728" t="s">
        <v>10426</v>
      </c>
      <c r="B9728">
        <v>300</v>
      </c>
      <c r="C9728" s="44" t="s">
        <v>204</v>
      </c>
      <c r="D9728" t="s">
        <v>293</v>
      </c>
      <c r="E9728" t="s">
        <v>364</v>
      </c>
      <c r="F9728">
        <v>4</v>
      </c>
    </row>
    <row r="9729" spans="1:6" ht="13.2">
      <c r="A9729" t="s">
        <v>10427</v>
      </c>
      <c r="B9729">
        <v>300</v>
      </c>
      <c r="C9729" s="44" t="s">
        <v>204</v>
      </c>
      <c r="D9729" t="s">
        <v>293</v>
      </c>
      <c r="E9729" t="s">
        <v>364</v>
      </c>
      <c r="F9729">
        <v>4</v>
      </c>
    </row>
    <row r="9730" spans="1:6" ht="13.2">
      <c r="A9730" t="s">
        <v>10797</v>
      </c>
      <c r="B9730">
        <v>0</v>
      </c>
      <c r="C9730" s="44">
        <v>3200</v>
      </c>
      <c r="D9730" t="s">
        <v>293</v>
      </c>
      <c r="E9730" t="s">
        <v>8578</v>
      </c>
      <c r="F9730">
        <v>4</v>
      </c>
    </row>
    <row r="9731" spans="1:6" ht="13.2">
      <c r="A9731" t="s">
        <v>10798</v>
      </c>
      <c r="B9731">
        <v>0</v>
      </c>
      <c r="C9731" s="44">
        <v>3200</v>
      </c>
      <c r="D9731" t="s">
        <v>293</v>
      </c>
      <c r="E9731" t="s">
        <v>8578</v>
      </c>
      <c r="F9731">
        <v>4</v>
      </c>
    </row>
    <row r="9732" spans="1:6" ht="13.2">
      <c r="A9732" t="s">
        <v>10799</v>
      </c>
      <c r="B9732">
        <v>0</v>
      </c>
      <c r="C9732" s="44">
        <v>3200</v>
      </c>
      <c r="D9732" t="s">
        <v>293</v>
      </c>
      <c r="E9732" t="s">
        <v>8578</v>
      </c>
      <c r="F9732">
        <v>4</v>
      </c>
    </row>
    <row r="9733" spans="1:6" ht="13.2">
      <c r="A9733" t="s">
        <v>10800</v>
      </c>
      <c r="B9733">
        <v>0</v>
      </c>
      <c r="C9733" s="44">
        <v>3200</v>
      </c>
      <c r="D9733" t="s">
        <v>293</v>
      </c>
      <c r="E9733" t="s">
        <v>8578</v>
      </c>
      <c r="F9733">
        <v>4</v>
      </c>
    </row>
    <row r="9734" spans="1:6" ht="13.2">
      <c r="A9734" t="s">
        <v>10801</v>
      </c>
      <c r="B9734">
        <v>0</v>
      </c>
      <c r="C9734" s="44">
        <v>3200</v>
      </c>
      <c r="D9734" t="s">
        <v>293</v>
      </c>
      <c r="E9734" t="s">
        <v>8578</v>
      </c>
      <c r="F9734">
        <v>4</v>
      </c>
    </row>
    <row r="9735" spans="1:6" ht="13.2">
      <c r="A9735" t="s">
        <v>10802</v>
      </c>
      <c r="B9735">
        <v>0</v>
      </c>
      <c r="C9735" s="44">
        <v>3200</v>
      </c>
      <c r="D9735" t="s">
        <v>293</v>
      </c>
      <c r="E9735" t="s">
        <v>8578</v>
      </c>
      <c r="F9735">
        <v>4</v>
      </c>
    </row>
    <row r="9736" spans="1:6" ht="13.2">
      <c r="A9736" t="s">
        <v>10803</v>
      </c>
      <c r="B9736">
        <v>0</v>
      </c>
      <c r="C9736" s="44">
        <v>3200</v>
      </c>
      <c r="D9736" t="s">
        <v>293</v>
      </c>
      <c r="E9736" t="s">
        <v>8578</v>
      </c>
      <c r="F9736">
        <v>4</v>
      </c>
    </row>
    <row r="9737" spans="1:6" ht="13.2">
      <c r="A9737" t="s">
        <v>10804</v>
      </c>
      <c r="B9737">
        <v>0</v>
      </c>
      <c r="C9737" s="44">
        <v>3200</v>
      </c>
      <c r="D9737" t="s">
        <v>293</v>
      </c>
      <c r="E9737" t="s">
        <v>8578</v>
      </c>
      <c r="F9737">
        <v>4</v>
      </c>
    </row>
    <row r="9738" spans="1:6" ht="13.2">
      <c r="A9738" t="s">
        <v>10805</v>
      </c>
      <c r="B9738">
        <v>0</v>
      </c>
      <c r="C9738" s="44">
        <v>3200</v>
      </c>
      <c r="D9738" t="s">
        <v>293</v>
      </c>
      <c r="E9738" t="s">
        <v>8578</v>
      </c>
      <c r="F9738">
        <v>4</v>
      </c>
    </row>
    <row r="9739" spans="1:6" ht="13.2">
      <c r="A9739" t="s">
        <v>10806</v>
      </c>
      <c r="B9739">
        <v>0</v>
      </c>
      <c r="C9739" s="44">
        <v>3200</v>
      </c>
      <c r="D9739" t="s">
        <v>293</v>
      </c>
      <c r="E9739" t="s">
        <v>8578</v>
      </c>
      <c r="F9739">
        <v>4</v>
      </c>
    </row>
    <row r="9740" spans="1:6" ht="13.2">
      <c r="A9740" t="s">
        <v>10807</v>
      </c>
      <c r="B9740">
        <v>0</v>
      </c>
      <c r="C9740" s="44">
        <v>3200</v>
      </c>
      <c r="D9740" t="s">
        <v>293</v>
      </c>
      <c r="E9740" t="s">
        <v>8578</v>
      </c>
      <c r="F9740">
        <v>4</v>
      </c>
    </row>
    <row r="9741" spans="1:6" ht="13.2">
      <c r="A9741" t="s">
        <v>10808</v>
      </c>
      <c r="B9741">
        <v>0</v>
      </c>
      <c r="C9741" s="44">
        <v>3200</v>
      </c>
      <c r="D9741" t="s">
        <v>293</v>
      </c>
      <c r="E9741" t="s">
        <v>8578</v>
      </c>
      <c r="F9741">
        <v>4</v>
      </c>
    </row>
    <row r="9742" spans="1:6" ht="13.2">
      <c r="A9742" t="s">
        <v>10809</v>
      </c>
      <c r="B9742">
        <v>0</v>
      </c>
      <c r="C9742" s="44">
        <v>3200</v>
      </c>
      <c r="D9742" t="s">
        <v>293</v>
      </c>
      <c r="E9742" t="s">
        <v>8578</v>
      </c>
      <c r="F9742">
        <v>4</v>
      </c>
    </row>
    <row r="9743" spans="1:6" ht="13.2">
      <c r="A9743" t="s">
        <v>10810</v>
      </c>
      <c r="B9743">
        <v>0</v>
      </c>
      <c r="C9743" s="44">
        <v>3200</v>
      </c>
      <c r="D9743" t="s">
        <v>293</v>
      </c>
      <c r="E9743" t="s">
        <v>8578</v>
      </c>
      <c r="F9743">
        <v>4</v>
      </c>
    </row>
    <row r="9744" spans="1:6" ht="13.2">
      <c r="A9744" t="s">
        <v>10811</v>
      </c>
      <c r="B9744">
        <v>0</v>
      </c>
      <c r="C9744" s="44">
        <v>3200</v>
      </c>
      <c r="D9744" t="s">
        <v>293</v>
      </c>
      <c r="E9744" t="s">
        <v>8578</v>
      </c>
      <c r="F9744">
        <v>4</v>
      </c>
    </row>
    <row r="9745" spans="1:6" ht="13.2">
      <c r="A9745" t="s">
        <v>10812</v>
      </c>
      <c r="B9745">
        <v>0</v>
      </c>
      <c r="C9745" s="44">
        <v>3200</v>
      </c>
      <c r="D9745" t="s">
        <v>293</v>
      </c>
      <c r="E9745" t="s">
        <v>8578</v>
      </c>
      <c r="F9745">
        <v>4</v>
      </c>
    </row>
    <row r="9746" spans="1:6" ht="13.2">
      <c r="A9746" t="s">
        <v>10813</v>
      </c>
      <c r="B9746">
        <v>0</v>
      </c>
      <c r="C9746" s="44">
        <v>1400</v>
      </c>
      <c r="D9746" t="s">
        <v>291</v>
      </c>
      <c r="E9746" t="s">
        <v>213</v>
      </c>
      <c r="F9746">
        <v>14</v>
      </c>
    </row>
    <row r="9747" spans="1:6" ht="13.2">
      <c r="A9747" t="s">
        <v>10814</v>
      </c>
      <c r="B9747">
        <v>0</v>
      </c>
      <c r="C9747" s="44">
        <v>1400</v>
      </c>
      <c r="D9747" t="s">
        <v>291</v>
      </c>
      <c r="E9747" t="s">
        <v>213</v>
      </c>
      <c r="F9747">
        <v>14</v>
      </c>
    </row>
    <row r="9748" spans="1:6" ht="13.2">
      <c r="A9748" t="s">
        <v>10815</v>
      </c>
      <c r="B9748">
        <v>0</v>
      </c>
      <c r="C9748" s="44">
        <v>1400</v>
      </c>
      <c r="D9748" t="s">
        <v>291</v>
      </c>
      <c r="E9748" t="s">
        <v>213</v>
      </c>
      <c r="F9748">
        <v>14</v>
      </c>
    </row>
    <row r="9749" spans="1:6" ht="13.2">
      <c r="A9749" t="s">
        <v>10816</v>
      </c>
      <c r="B9749">
        <v>0</v>
      </c>
      <c r="C9749" s="44">
        <v>1400</v>
      </c>
      <c r="D9749" t="s">
        <v>291</v>
      </c>
      <c r="E9749" t="s">
        <v>213</v>
      </c>
      <c r="F9749">
        <v>14</v>
      </c>
    </row>
    <row r="9750" spans="1:6" ht="13.2">
      <c r="A9750" t="s">
        <v>10817</v>
      </c>
      <c r="B9750">
        <v>0</v>
      </c>
      <c r="C9750" s="44">
        <v>1400</v>
      </c>
      <c r="D9750" t="s">
        <v>291</v>
      </c>
      <c r="E9750" t="s">
        <v>213</v>
      </c>
      <c r="F9750">
        <v>14</v>
      </c>
    </row>
    <row r="9751" spans="1:6" ht="13.2">
      <c r="A9751" t="s">
        <v>10818</v>
      </c>
      <c r="B9751">
        <v>0</v>
      </c>
      <c r="C9751" s="44">
        <v>1400</v>
      </c>
      <c r="D9751" t="s">
        <v>291</v>
      </c>
      <c r="E9751" t="s">
        <v>213</v>
      </c>
      <c r="F9751">
        <v>14</v>
      </c>
    </row>
    <row r="9752" spans="1:6" ht="13.2">
      <c r="A9752" t="s">
        <v>10819</v>
      </c>
      <c r="B9752">
        <v>0</v>
      </c>
      <c r="C9752" s="44">
        <v>1400</v>
      </c>
      <c r="D9752" t="s">
        <v>291</v>
      </c>
      <c r="E9752" t="s">
        <v>213</v>
      </c>
      <c r="F9752">
        <v>14</v>
      </c>
    </row>
    <row r="9753" spans="1:6" ht="13.2">
      <c r="A9753" t="s">
        <v>10820</v>
      </c>
      <c r="B9753">
        <v>0</v>
      </c>
      <c r="C9753" s="44">
        <v>1400</v>
      </c>
      <c r="D9753" t="s">
        <v>291</v>
      </c>
      <c r="E9753" t="s">
        <v>213</v>
      </c>
      <c r="F9753">
        <v>14</v>
      </c>
    </row>
    <row r="9754" spans="1:6" ht="13.2">
      <c r="A9754" t="s">
        <v>10821</v>
      </c>
      <c r="B9754">
        <v>0</v>
      </c>
      <c r="C9754" s="44">
        <v>1400</v>
      </c>
      <c r="D9754" t="s">
        <v>291</v>
      </c>
      <c r="E9754" t="s">
        <v>213</v>
      </c>
      <c r="F9754">
        <v>14</v>
      </c>
    </row>
    <row r="9755" spans="1:6" ht="13.2">
      <c r="A9755" t="s">
        <v>10822</v>
      </c>
      <c r="B9755">
        <v>0</v>
      </c>
      <c r="C9755" s="44">
        <v>1400</v>
      </c>
      <c r="D9755" t="s">
        <v>291</v>
      </c>
      <c r="E9755" t="s">
        <v>213</v>
      </c>
      <c r="F9755">
        <v>14</v>
      </c>
    </row>
    <row r="9756" spans="1:6" ht="13.2">
      <c r="A9756" t="s">
        <v>10823</v>
      </c>
      <c r="B9756">
        <v>0</v>
      </c>
      <c r="C9756" s="44">
        <v>1400</v>
      </c>
      <c r="D9756" t="s">
        <v>291</v>
      </c>
      <c r="E9756" t="s">
        <v>213</v>
      </c>
      <c r="F9756">
        <v>14</v>
      </c>
    </row>
    <row r="9757" spans="1:6" ht="13.2">
      <c r="A9757" t="s">
        <v>10824</v>
      </c>
      <c r="B9757">
        <v>0</v>
      </c>
      <c r="C9757" s="44">
        <v>1400</v>
      </c>
      <c r="D9757" t="s">
        <v>291</v>
      </c>
      <c r="E9757" t="s">
        <v>213</v>
      </c>
      <c r="F9757">
        <v>14</v>
      </c>
    </row>
    <row r="9758" spans="1:6" ht="13.2">
      <c r="A9758" t="s">
        <v>10825</v>
      </c>
      <c r="B9758">
        <v>0</v>
      </c>
      <c r="C9758" s="44">
        <v>1400</v>
      </c>
      <c r="D9758" t="s">
        <v>291</v>
      </c>
      <c r="E9758" t="s">
        <v>213</v>
      </c>
      <c r="F9758">
        <v>14</v>
      </c>
    </row>
    <row r="9759" spans="1:6" ht="13.2">
      <c r="A9759" t="s">
        <v>10826</v>
      </c>
      <c r="B9759">
        <v>0</v>
      </c>
      <c r="C9759" s="44">
        <v>1400</v>
      </c>
      <c r="D9759" t="s">
        <v>291</v>
      </c>
      <c r="E9759" t="s">
        <v>213</v>
      </c>
      <c r="F9759">
        <v>14</v>
      </c>
    </row>
    <row r="9760" spans="1:6" ht="13.2">
      <c r="A9760" t="s">
        <v>10827</v>
      </c>
      <c r="B9760">
        <v>0</v>
      </c>
      <c r="C9760" s="44">
        <v>1400</v>
      </c>
      <c r="D9760" t="s">
        <v>291</v>
      </c>
      <c r="E9760" t="s">
        <v>213</v>
      </c>
      <c r="F9760">
        <v>14</v>
      </c>
    </row>
    <row r="9761" spans="1:6" ht="13.2">
      <c r="A9761" t="s">
        <v>10828</v>
      </c>
      <c r="B9761">
        <v>0</v>
      </c>
      <c r="C9761" s="44">
        <v>1400</v>
      </c>
      <c r="D9761" t="s">
        <v>291</v>
      </c>
      <c r="E9761" t="s">
        <v>213</v>
      </c>
      <c r="F9761">
        <v>14</v>
      </c>
    </row>
    <row r="9762" spans="1:6" ht="13.2">
      <c r="A9762" t="s">
        <v>10829</v>
      </c>
      <c r="B9762">
        <v>0</v>
      </c>
      <c r="C9762" s="44">
        <v>1400</v>
      </c>
      <c r="D9762" t="s">
        <v>291</v>
      </c>
      <c r="E9762" t="s">
        <v>213</v>
      </c>
      <c r="F9762">
        <v>14</v>
      </c>
    </row>
    <row r="9763" spans="1:6" ht="13.2">
      <c r="A9763" t="s">
        <v>10830</v>
      </c>
      <c r="B9763">
        <v>0</v>
      </c>
      <c r="C9763" s="44">
        <v>1400</v>
      </c>
      <c r="D9763" t="s">
        <v>291</v>
      </c>
      <c r="E9763" t="s">
        <v>213</v>
      </c>
      <c r="F9763">
        <v>14</v>
      </c>
    </row>
    <row r="9764" spans="1:6" ht="13.2">
      <c r="A9764" t="s">
        <v>10831</v>
      </c>
      <c r="B9764">
        <v>0</v>
      </c>
      <c r="C9764" s="44">
        <v>1400</v>
      </c>
      <c r="D9764" t="s">
        <v>291</v>
      </c>
      <c r="E9764" t="s">
        <v>213</v>
      </c>
      <c r="F9764">
        <v>14</v>
      </c>
    </row>
    <row r="9765" spans="1:6" ht="13.2">
      <c r="A9765" t="s">
        <v>10832</v>
      </c>
      <c r="B9765">
        <v>0</v>
      </c>
      <c r="C9765" s="44">
        <v>1400</v>
      </c>
      <c r="D9765" t="s">
        <v>291</v>
      </c>
      <c r="E9765" t="s">
        <v>213</v>
      </c>
      <c r="F9765">
        <v>14</v>
      </c>
    </row>
    <row r="9766" spans="1:6" ht="13.2">
      <c r="A9766" t="s">
        <v>10833</v>
      </c>
      <c r="B9766">
        <v>0</v>
      </c>
      <c r="C9766" s="44">
        <v>1400</v>
      </c>
      <c r="D9766" t="s">
        <v>291</v>
      </c>
      <c r="E9766" t="s">
        <v>213</v>
      </c>
      <c r="F9766">
        <v>14</v>
      </c>
    </row>
    <row r="9767" spans="1:6" ht="13.2">
      <c r="A9767" t="s">
        <v>10834</v>
      </c>
      <c r="B9767">
        <v>0</v>
      </c>
      <c r="C9767" s="44">
        <v>1400</v>
      </c>
      <c r="D9767" t="s">
        <v>291</v>
      </c>
      <c r="E9767" t="s">
        <v>213</v>
      </c>
      <c r="F9767">
        <v>14</v>
      </c>
    </row>
    <row r="9768" spans="1:6" ht="13.2">
      <c r="A9768" t="s">
        <v>10835</v>
      </c>
      <c r="B9768">
        <v>0</v>
      </c>
      <c r="C9768" s="44">
        <v>1400</v>
      </c>
      <c r="D9768" t="s">
        <v>291</v>
      </c>
      <c r="E9768" t="s">
        <v>213</v>
      </c>
      <c r="F9768">
        <v>14</v>
      </c>
    </row>
    <row r="9769" spans="1:6" ht="13.2">
      <c r="A9769" t="s">
        <v>10836</v>
      </c>
      <c r="B9769">
        <v>0</v>
      </c>
      <c r="C9769" s="44">
        <v>1400</v>
      </c>
      <c r="D9769" t="s">
        <v>291</v>
      </c>
      <c r="E9769" t="s">
        <v>213</v>
      </c>
      <c r="F9769">
        <v>14</v>
      </c>
    </row>
    <row r="9770" spans="1:6" ht="13.2">
      <c r="A9770" t="s">
        <v>10837</v>
      </c>
      <c r="B9770">
        <v>0</v>
      </c>
      <c r="C9770" s="44">
        <v>1400</v>
      </c>
      <c r="D9770" t="s">
        <v>291</v>
      </c>
      <c r="E9770" t="s">
        <v>213</v>
      </c>
      <c r="F9770">
        <v>14</v>
      </c>
    </row>
    <row r="9771" spans="1:6" ht="13.2">
      <c r="A9771" t="s">
        <v>10838</v>
      </c>
      <c r="B9771">
        <v>0</v>
      </c>
      <c r="C9771" s="44">
        <v>1400</v>
      </c>
      <c r="D9771" t="s">
        <v>291</v>
      </c>
      <c r="E9771" t="s">
        <v>213</v>
      </c>
      <c r="F9771">
        <v>14</v>
      </c>
    </row>
    <row r="9772" spans="1:6" ht="13.2">
      <c r="A9772" t="s">
        <v>10839</v>
      </c>
      <c r="B9772">
        <v>0</v>
      </c>
      <c r="C9772" s="44">
        <v>1400</v>
      </c>
      <c r="D9772" t="s">
        <v>291</v>
      </c>
      <c r="E9772" t="s">
        <v>213</v>
      </c>
      <c r="F9772">
        <v>14</v>
      </c>
    </row>
    <row r="9773" spans="1:6" ht="13.2">
      <c r="A9773" t="s">
        <v>10840</v>
      </c>
      <c r="B9773">
        <v>0</v>
      </c>
      <c r="C9773" s="44">
        <v>1400</v>
      </c>
      <c r="D9773" t="s">
        <v>291</v>
      </c>
      <c r="E9773" t="s">
        <v>213</v>
      </c>
      <c r="F9773">
        <v>14</v>
      </c>
    </row>
    <row r="9774" spans="1:6" ht="13.2">
      <c r="A9774" t="s">
        <v>10841</v>
      </c>
      <c r="B9774">
        <v>0</v>
      </c>
      <c r="C9774" s="44">
        <v>1400</v>
      </c>
      <c r="D9774" t="s">
        <v>291</v>
      </c>
      <c r="E9774" t="s">
        <v>213</v>
      </c>
      <c r="F9774">
        <v>14</v>
      </c>
    </row>
    <row r="9775" spans="1:6" ht="13.2">
      <c r="A9775" t="s">
        <v>10842</v>
      </c>
      <c r="B9775">
        <v>0</v>
      </c>
      <c r="C9775" s="44">
        <v>1400</v>
      </c>
      <c r="D9775" t="s">
        <v>291</v>
      </c>
      <c r="E9775" t="s">
        <v>213</v>
      </c>
      <c r="F9775">
        <v>14</v>
      </c>
    </row>
    <row r="9776" spans="1:6" ht="13.2">
      <c r="A9776" t="s">
        <v>10843</v>
      </c>
      <c r="B9776">
        <v>0</v>
      </c>
      <c r="C9776" s="44">
        <v>1400</v>
      </c>
      <c r="D9776" t="s">
        <v>291</v>
      </c>
      <c r="E9776" t="s">
        <v>213</v>
      </c>
      <c r="F9776">
        <v>14</v>
      </c>
    </row>
    <row r="9777" spans="1:6" ht="13.2">
      <c r="A9777" t="s">
        <v>10844</v>
      </c>
      <c r="B9777">
        <v>0</v>
      </c>
      <c r="C9777" s="44">
        <v>1400</v>
      </c>
      <c r="D9777" t="s">
        <v>291</v>
      </c>
      <c r="E9777" t="s">
        <v>213</v>
      </c>
      <c r="F9777">
        <v>14</v>
      </c>
    </row>
    <row r="9778" spans="1:5" ht="13.2">
      <c r="A9778" t="s">
        <v>10476</v>
      </c>
      <c r="B9778">
        <v>0</v>
      </c>
      <c r="C9778" s="44" t="s">
        <v>201</v>
      </c>
      <c r="D9778" t="s">
        <v>293</v>
      </c>
      <c r="E9778" t="s">
        <v>8871</v>
      </c>
    </row>
    <row r="9779" spans="1:5" ht="13.2">
      <c r="A9779" t="s">
        <v>10477</v>
      </c>
      <c r="B9779">
        <v>0</v>
      </c>
      <c r="C9779" s="44" t="s">
        <v>201</v>
      </c>
      <c r="D9779" t="s">
        <v>293</v>
      </c>
      <c r="E9779" t="s">
        <v>8871</v>
      </c>
    </row>
    <row r="9780" spans="1:5" ht="13.2">
      <c r="A9780" t="s">
        <v>10478</v>
      </c>
      <c r="B9780">
        <v>0</v>
      </c>
      <c r="C9780" s="44" t="s">
        <v>201</v>
      </c>
      <c r="D9780" t="s">
        <v>293</v>
      </c>
      <c r="E9780" t="s">
        <v>8871</v>
      </c>
    </row>
    <row r="9781" spans="1:5" ht="13.2">
      <c r="A9781" t="s">
        <v>10479</v>
      </c>
      <c r="B9781">
        <v>0</v>
      </c>
      <c r="C9781" s="44" t="s">
        <v>201</v>
      </c>
      <c r="D9781" t="s">
        <v>293</v>
      </c>
      <c r="E9781" t="s">
        <v>8871</v>
      </c>
    </row>
    <row r="9782" spans="1:5" ht="13.2">
      <c r="A9782" t="s">
        <v>10480</v>
      </c>
      <c r="B9782">
        <v>0</v>
      </c>
      <c r="C9782" s="44" t="s">
        <v>201</v>
      </c>
      <c r="D9782" t="s">
        <v>293</v>
      </c>
      <c r="E9782" t="s">
        <v>8871</v>
      </c>
    </row>
    <row r="9783" spans="1:5" ht="13.2">
      <c r="A9783" t="s">
        <v>10481</v>
      </c>
      <c r="B9783">
        <v>0</v>
      </c>
      <c r="C9783" s="44" t="s">
        <v>201</v>
      </c>
      <c r="D9783" t="s">
        <v>293</v>
      </c>
      <c r="E9783" t="s">
        <v>8871</v>
      </c>
    </row>
    <row r="9784" spans="1:5" ht="13.2">
      <c r="A9784" t="s">
        <v>10482</v>
      </c>
      <c r="B9784">
        <v>0</v>
      </c>
      <c r="C9784" s="44" t="s">
        <v>201</v>
      </c>
      <c r="D9784" t="s">
        <v>293</v>
      </c>
      <c r="E9784" t="s">
        <v>8871</v>
      </c>
    </row>
    <row r="9785" spans="1:5" ht="13.2">
      <c r="A9785" t="s">
        <v>10483</v>
      </c>
      <c r="B9785">
        <v>0</v>
      </c>
      <c r="C9785" s="44" t="s">
        <v>201</v>
      </c>
      <c r="D9785" t="s">
        <v>293</v>
      </c>
      <c r="E9785" t="s">
        <v>8871</v>
      </c>
    </row>
    <row r="9786" spans="1:5" ht="13.2">
      <c r="A9786" t="s">
        <v>10484</v>
      </c>
      <c r="B9786">
        <v>0</v>
      </c>
      <c r="C9786" s="44" t="s">
        <v>201</v>
      </c>
      <c r="D9786" t="s">
        <v>293</v>
      </c>
      <c r="E9786" t="s">
        <v>8871</v>
      </c>
    </row>
    <row r="9787" spans="1:5" ht="13.2">
      <c r="A9787" t="s">
        <v>10485</v>
      </c>
      <c r="B9787">
        <v>0</v>
      </c>
      <c r="C9787" s="44" t="s">
        <v>201</v>
      </c>
      <c r="D9787" t="s">
        <v>293</v>
      </c>
      <c r="E9787" t="s">
        <v>8871</v>
      </c>
    </row>
    <row r="9788" spans="1:5" ht="13.2">
      <c r="A9788" t="s">
        <v>10486</v>
      </c>
      <c r="B9788">
        <v>0</v>
      </c>
      <c r="C9788" s="44" t="s">
        <v>201</v>
      </c>
      <c r="D9788" t="s">
        <v>293</v>
      </c>
      <c r="E9788" t="s">
        <v>8871</v>
      </c>
    </row>
    <row r="9789" spans="1:5" ht="13.2">
      <c r="A9789" t="s">
        <v>10487</v>
      </c>
      <c r="B9789">
        <v>0</v>
      </c>
      <c r="C9789" s="44" t="s">
        <v>201</v>
      </c>
      <c r="D9789" t="s">
        <v>293</v>
      </c>
      <c r="E9789" t="s">
        <v>8871</v>
      </c>
    </row>
    <row r="9790" spans="1:5" ht="13.2">
      <c r="A9790" t="s">
        <v>10488</v>
      </c>
      <c r="B9790">
        <v>0</v>
      </c>
      <c r="C9790" s="44" t="s">
        <v>201</v>
      </c>
      <c r="D9790" t="s">
        <v>293</v>
      </c>
      <c r="E9790" t="s">
        <v>8871</v>
      </c>
    </row>
    <row r="9791" spans="1:5" ht="13.2">
      <c r="A9791" t="s">
        <v>10489</v>
      </c>
      <c r="B9791">
        <v>0</v>
      </c>
      <c r="C9791" s="44" t="s">
        <v>201</v>
      </c>
      <c r="D9791" t="s">
        <v>293</v>
      </c>
      <c r="E9791" t="s">
        <v>8871</v>
      </c>
    </row>
    <row r="9792" spans="1:5" ht="13.2">
      <c r="A9792" t="s">
        <v>10490</v>
      </c>
      <c r="B9792">
        <v>0</v>
      </c>
      <c r="C9792" s="44" t="s">
        <v>201</v>
      </c>
      <c r="D9792" t="s">
        <v>293</v>
      </c>
      <c r="E9792" t="s">
        <v>8871</v>
      </c>
    </row>
    <row r="9793" spans="1:5" ht="13.2">
      <c r="A9793" t="s">
        <v>10491</v>
      </c>
      <c r="B9793">
        <v>0</v>
      </c>
      <c r="C9793" s="44" t="s">
        <v>201</v>
      </c>
      <c r="D9793" t="s">
        <v>293</v>
      </c>
      <c r="E9793" t="s">
        <v>8871</v>
      </c>
    </row>
    <row r="9794" spans="1:5" ht="13.2">
      <c r="A9794" t="s">
        <v>10492</v>
      </c>
      <c r="B9794">
        <v>0</v>
      </c>
      <c r="C9794" s="44" t="s">
        <v>201</v>
      </c>
      <c r="D9794" t="s">
        <v>293</v>
      </c>
      <c r="E9794" t="s">
        <v>8871</v>
      </c>
    </row>
    <row r="9795" spans="1:5" ht="13.2">
      <c r="A9795" t="s">
        <v>10493</v>
      </c>
      <c r="B9795">
        <v>0</v>
      </c>
      <c r="C9795" s="44" t="s">
        <v>201</v>
      </c>
      <c r="D9795" t="s">
        <v>293</v>
      </c>
      <c r="E9795" t="s">
        <v>8871</v>
      </c>
    </row>
    <row r="9796" spans="1:6" ht="13.2">
      <c r="A9796" t="s">
        <v>10494</v>
      </c>
      <c r="B9796">
        <v>0</v>
      </c>
      <c r="C9796" s="44" t="s">
        <v>204</v>
      </c>
      <c r="D9796" t="s">
        <v>293</v>
      </c>
      <c r="E9796" t="s">
        <v>8872</v>
      </c>
      <c r="F9796">
        <v>14</v>
      </c>
    </row>
    <row r="9797" spans="1:6" ht="13.2">
      <c r="A9797" t="s">
        <v>10495</v>
      </c>
      <c r="B9797">
        <v>0</v>
      </c>
      <c r="C9797" s="44" t="s">
        <v>204</v>
      </c>
      <c r="D9797" t="s">
        <v>293</v>
      </c>
      <c r="E9797" t="s">
        <v>8872</v>
      </c>
      <c r="F9797">
        <v>14</v>
      </c>
    </row>
    <row r="9798" spans="1:6" ht="13.2">
      <c r="A9798" t="s">
        <v>10496</v>
      </c>
      <c r="B9798">
        <v>0</v>
      </c>
      <c r="C9798" s="44" t="s">
        <v>204</v>
      </c>
      <c r="D9798" t="s">
        <v>293</v>
      </c>
      <c r="E9798" t="s">
        <v>8872</v>
      </c>
      <c r="F9798">
        <v>14</v>
      </c>
    </row>
    <row r="9799" spans="1:6" ht="13.2">
      <c r="A9799" t="s">
        <v>10497</v>
      </c>
      <c r="B9799">
        <v>0</v>
      </c>
      <c r="C9799" s="44" t="s">
        <v>204</v>
      </c>
      <c r="D9799" t="s">
        <v>293</v>
      </c>
      <c r="E9799" t="s">
        <v>8872</v>
      </c>
      <c r="F9799">
        <v>14</v>
      </c>
    </row>
    <row r="9800" spans="1:6" ht="13.2">
      <c r="A9800" t="s">
        <v>10498</v>
      </c>
      <c r="B9800">
        <v>0</v>
      </c>
      <c r="C9800" s="44" t="s">
        <v>204</v>
      </c>
      <c r="D9800" t="s">
        <v>293</v>
      </c>
      <c r="E9800" t="s">
        <v>8872</v>
      </c>
      <c r="F9800">
        <v>14</v>
      </c>
    </row>
    <row r="9801" spans="1:6" ht="13.2">
      <c r="A9801" t="s">
        <v>10499</v>
      </c>
      <c r="B9801">
        <v>0</v>
      </c>
      <c r="C9801" s="44" t="s">
        <v>204</v>
      </c>
      <c r="D9801" t="s">
        <v>293</v>
      </c>
      <c r="E9801" t="s">
        <v>8872</v>
      </c>
      <c r="F9801">
        <v>14</v>
      </c>
    </row>
    <row r="9802" spans="1:6" ht="13.2">
      <c r="A9802" t="s">
        <v>10500</v>
      </c>
      <c r="B9802">
        <v>0</v>
      </c>
      <c r="C9802" s="44" t="s">
        <v>204</v>
      </c>
      <c r="D9802" t="s">
        <v>293</v>
      </c>
      <c r="E9802" t="s">
        <v>8872</v>
      </c>
      <c r="F9802">
        <v>14</v>
      </c>
    </row>
    <row r="9803" spans="1:6" ht="13.2">
      <c r="A9803" t="s">
        <v>10501</v>
      </c>
      <c r="B9803">
        <v>0</v>
      </c>
      <c r="C9803" s="44" t="s">
        <v>204</v>
      </c>
      <c r="D9803" t="s">
        <v>293</v>
      </c>
      <c r="E9803" t="s">
        <v>8872</v>
      </c>
      <c r="F9803">
        <v>14</v>
      </c>
    </row>
    <row r="9804" spans="1:6" ht="13.2">
      <c r="A9804" t="s">
        <v>10502</v>
      </c>
      <c r="B9804">
        <v>0</v>
      </c>
      <c r="C9804" s="44" t="s">
        <v>204</v>
      </c>
      <c r="D9804" t="s">
        <v>293</v>
      </c>
      <c r="E9804" t="s">
        <v>8872</v>
      </c>
      <c r="F9804">
        <v>14</v>
      </c>
    </row>
    <row r="9805" spans="1:6" ht="13.2">
      <c r="A9805" t="s">
        <v>10503</v>
      </c>
      <c r="B9805">
        <v>0</v>
      </c>
      <c r="C9805" s="44" t="s">
        <v>204</v>
      </c>
      <c r="D9805" t="s">
        <v>293</v>
      </c>
      <c r="E9805" t="s">
        <v>8872</v>
      </c>
      <c r="F9805">
        <v>14</v>
      </c>
    </row>
    <row r="9806" spans="1:6" ht="13.2">
      <c r="A9806" t="s">
        <v>10504</v>
      </c>
      <c r="B9806">
        <v>0</v>
      </c>
      <c r="C9806" s="44" t="s">
        <v>204</v>
      </c>
      <c r="D9806" t="s">
        <v>293</v>
      </c>
      <c r="E9806" t="s">
        <v>8872</v>
      </c>
      <c r="F9806">
        <v>14</v>
      </c>
    </row>
    <row r="9807" spans="1:6" ht="13.2">
      <c r="A9807" t="s">
        <v>10505</v>
      </c>
      <c r="B9807">
        <v>0</v>
      </c>
      <c r="C9807" s="44" t="s">
        <v>204</v>
      </c>
      <c r="D9807" t="s">
        <v>293</v>
      </c>
      <c r="E9807" t="s">
        <v>8872</v>
      </c>
      <c r="F9807">
        <v>14</v>
      </c>
    </row>
    <row r="9808" spans="1:6" ht="13.2">
      <c r="A9808" t="s">
        <v>10506</v>
      </c>
      <c r="B9808">
        <v>0</v>
      </c>
      <c r="C9808" s="44" t="s">
        <v>204</v>
      </c>
      <c r="D9808" t="s">
        <v>293</v>
      </c>
      <c r="E9808" t="s">
        <v>8872</v>
      </c>
      <c r="F9808">
        <v>14</v>
      </c>
    </row>
    <row r="9809" spans="1:6" ht="13.2">
      <c r="A9809" t="s">
        <v>10507</v>
      </c>
      <c r="B9809">
        <v>0</v>
      </c>
      <c r="C9809" s="44" t="s">
        <v>204</v>
      </c>
      <c r="D9809" t="s">
        <v>293</v>
      </c>
      <c r="E9809" t="s">
        <v>8872</v>
      </c>
      <c r="F9809">
        <v>14</v>
      </c>
    </row>
    <row r="9810" spans="1:6" ht="13.2">
      <c r="A9810" t="s">
        <v>10508</v>
      </c>
      <c r="B9810">
        <v>0</v>
      </c>
      <c r="C9810" s="44" t="s">
        <v>204</v>
      </c>
      <c r="D9810" t="s">
        <v>293</v>
      </c>
      <c r="E9810" t="s">
        <v>8872</v>
      </c>
      <c r="F9810">
        <v>14</v>
      </c>
    </row>
    <row r="9811" spans="1:6" ht="13.2">
      <c r="A9811" t="s">
        <v>10509</v>
      </c>
      <c r="B9811">
        <v>0</v>
      </c>
      <c r="C9811" s="44" t="s">
        <v>204</v>
      </c>
      <c r="D9811" t="s">
        <v>293</v>
      </c>
      <c r="E9811" t="s">
        <v>8872</v>
      </c>
      <c r="F9811">
        <v>14</v>
      </c>
    </row>
    <row r="9812" spans="1:5" ht="13.2">
      <c r="A9812" t="s">
        <v>10845</v>
      </c>
      <c r="B9812">
        <v>0</v>
      </c>
      <c r="C9812" s="44">
        <v>1450</v>
      </c>
      <c r="D9812" t="s">
        <v>291</v>
      </c>
      <c r="E9812" t="s">
        <v>256</v>
      </c>
    </row>
    <row r="9813" spans="1:5" ht="13.2">
      <c r="A9813" t="s">
        <v>10846</v>
      </c>
      <c r="B9813">
        <v>0</v>
      </c>
      <c r="C9813" s="44">
        <v>1450</v>
      </c>
      <c r="D9813" t="s">
        <v>291</v>
      </c>
      <c r="E9813" t="s">
        <v>256</v>
      </c>
    </row>
    <row r="9814" spans="1:5" ht="13.2">
      <c r="A9814" t="s">
        <v>10847</v>
      </c>
      <c r="B9814">
        <v>0</v>
      </c>
      <c r="C9814" s="44">
        <v>1450</v>
      </c>
      <c r="D9814" t="s">
        <v>291</v>
      </c>
      <c r="E9814" t="s">
        <v>256</v>
      </c>
    </row>
    <row r="9815" spans="1:5" ht="13.2">
      <c r="A9815" t="s">
        <v>10848</v>
      </c>
      <c r="B9815">
        <v>0</v>
      </c>
      <c r="C9815" s="44">
        <v>1450</v>
      </c>
      <c r="D9815" t="s">
        <v>291</v>
      </c>
      <c r="E9815" t="s">
        <v>256</v>
      </c>
    </row>
    <row r="9816" spans="1:5" ht="13.2">
      <c r="A9816" t="s">
        <v>10849</v>
      </c>
      <c r="B9816">
        <v>0</v>
      </c>
      <c r="C9816" s="44">
        <v>1450</v>
      </c>
      <c r="D9816" t="s">
        <v>291</v>
      </c>
      <c r="E9816" t="s">
        <v>256</v>
      </c>
    </row>
    <row r="9817" spans="1:5" ht="13.2">
      <c r="A9817" t="s">
        <v>10850</v>
      </c>
      <c r="B9817">
        <v>0</v>
      </c>
      <c r="C9817" s="44">
        <v>1450</v>
      </c>
      <c r="D9817" t="s">
        <v>291</v>
      </c>
      <c r="E9817" t="s">
        <v>256</v>
      </c>
    </row>
    <row r="9818" spans="1:5" ht="13.2">
      <c r="A9818" t="s">
        <v>10851</v>
      </c>
      <c r="B9818">
        <v>0</v>
      </c>
      <c r="C9818" s="44">
        <v>1450</v>
      </c>
      <c r="D9818" t="s">
        <v>291</v>
      </c>
      <c r="E9818" t="s">
        <v>256</v>
      </c>
    </row>
    <row r="9819" spans="1:5" ht="13.2">
      <c r="A9819" t="s">
        <v>10852</v>
      </c>
      <c r="B9819">
        <v>0</v>
      </c>
      <c r="C9819" s="44">
        <v>1450</v>
      </c>
      <c r="D9819" t="s">
        <v>291</v>
      </c>
      <c r="E9819" t="s">
        <v>256</v>
      </c>
    </row>
    <row r="9820" spans="1:5" ht="13.2">
      <c r="A9820" t="s">
        <v>10853</v>
      </c>
      <c r="B9820">
        <v>0</v>
      </c>
      <c r="C9820" s="44">
        <v>1450</v>
      </c>
      <c r="D9820" t="s">
        <v>291</v>
      </c>
      <c r="E9820" t="s">
        <v>256</v>
      </c>
    </row>
    <row r="9821" spans="1:5" ht="13.2">
      <c r="A9821" t="s">
        <v>10854</v>
      </c>
      <c r="B9821">
        <v>0</v>
      </c>
      <c r="C9821" s="44">
        <v>1450</v>
      </c>
      <c r="D9821" t="s">
        <v>291</v>
      </c>
      <c r="E9821" t="s">
        <v>256</v>
      </c>
    </row>
    <row r="9822" spans="1:5" ht="13.2">
      <c r="A9822" t="s">
        <v>10855</v>
      </c>
      <c r="B9822">
        <v>0</v>
      </c>
      <c r="C9822" s="44">
        <v>1450</v>
      </c>
      <c r="D9822" t="s">
        <v>291</v>
      </c>
      <c r="E9822" t="s">
        <v>256</v>
      </c>
    </row>
    <row r="9823" spans="1:5" ht="13.2">
      <c r="A9823" t="s">
        <v>10856</v>
      </c>
      <c r="B9823">
        <v>0</v>
      </c>
      <c r="C9823" s="44">
        <v>1450</v>
      </c>
      <c r="D9823" t="s">
        <v>291</v>
      </c>
      <c r="E9823" t="s">
        <v>256</v>
      </c>
    </row>
    <row r="9824" spans="1:5" ht="13.2">
      <c r="A9824" t="s">
        <v>10857</v>
      </c>
      <c r="B9824">
        <v>0</v>
      </c>
      <c r="C9824" s="44">
        <v>1450</v>
      </c>
      <c r="D9824" t="s">
        <v>291</v>
      </c>
      <c r="E9824" t="s">
        <v>256</v>
      </c>
    </row>
    <row r="9825" spans="1:5" ht="13.2">
      <c r="A9825" t="s">
        <v>10858</v>
      </c>
      <c r="B9825">
        <v>0</v>
      </c>
      <c r="C9825" s="44">
        <v>1450</v>
      </c>
      <c r="D9825" t="s">
        <v>291</v>
      </c>
      <c r="E9825" t="s">
        <v>256</v>
      </c>
    </row>
    <row r="9826" spans="1:5" ht="13.2">
      <c r="A9826" t="s">
        <v>10859</v>
      </c>
      <c r="B9826">
        <v>0</v>
      </c>
      <c r="C9826" s="44">
        <v>1450</v>
      </c>
      <c r="D9826" t="s">
        <v>291</v>
      </c>
      <c r="E9826" t="s">
        <v>256</v>
      </c>
    </row>
    <row r="9827" spans="1:5" ht="13.2">
      <c r="A9827" t="s">
        <v>10860</v>
      </c>
      <c r="B9827">
        <v>0</v>
      </c>
      <c r="C9827" s="44">
        <v>1450</v>
      </c>
      <c r="D9827" t="s">
        <v>291</v>
      </c>
      <c r="E9827" t="s">
        <v>256</v>
      </c>
    </row>
    <row r="9828" spans="1:5" ht="13.2">
      <c r="A9828" t="s">
        <v>10861</v>
      </c>
      <c r="B9828">
        <v>0</v>
      </c>
      <c r="C9828" s="44">
        <v>1450</v>
      </c>
      <c r="D9828" t="s">
        <v>291</v>
      </c>
      <c r="E9828" t="s">
        <v>256</v>
      </c>
    </row>
    <row r="9829" spans="1:5" ht="13.2">
      <c r="A9829" t="s">
        <v>10862</v>
      </c>
      <c r="B9829">
        <v>0</v>
      </c>
      <c r="C9829" s="44">
        <v>1450</v>
      </c>
      <c r="D9829" t="s">
        <v>291</v>
      </c>
      <c r="E9829" t="s">
        <v>256</v>
      </c>
    </row>
    <row r="9830" spans="1:5" ht="13.2">
      <c r="A9830" t="s">
        <v>10863</v>
      </c>
      <c r="B9830">
        <v>0</v>
      </c>
      <c r="C9830" s="44">
        <v>1450</v>
      </c>
      <c r="D9830" t="s">
        <v>291</v>
      </c>
      <c r="E9830" t="s">
        <v>256</v>
      </c>
    </row>
    <row r="9831" spans="1:5" ht="13.2">
      <c r="A9831" t="s">
        <v>10864</v>
      </c>
      <c r="B9831">
        <v>0</v>
      </c>
      <c r="C9831" s="44">
        <v>1450</v>
      </c>
      <c r="D9831" t="s">
        <v>291</v>
      </c>
      <c r="E9831" t="s">
        <v>256</v>
      </c>
    </row>
    <row r="9832" spans="1:5" ht="13.2">
      <c r="A9832" t="s">
        <v>10865</v>
      </c>
      <c r="B9832">
        <v>0</v>
      </c>
      <c r="C9832" s="44">
        <v>1450</v>
      </c>
      <c r="D9832" t="s">
        <v>291</v>
      </c>
      <c r="E9832" t="s">
        <v>256</v>
      </c>
    </row>
    <row r="9833" spans="1:5" ht="13.2">
      <c r="A9833" t="s">
        <v>10866</v>
      </c>
      <c r="B9833">
        <v>0</v>
      </c>
      <c r="C9833" s="44">
        <v>1450</v>
      </c>
      <c r="D9833" t="s">
        <v>291</v>
      </c>
      <c r="E9833" t="s">
        <v>256</v>
      </c>
    </row>
    <row r="9834" spans="1:5" ht="13.2">
      <c r="A9834" t="s">
        <v>10867</v>
      </c>
      <c r="B9834">
        <v>0</v>
      </c>
      <c r="C9834" s="44">
        <v>1450</v>
      </c>
      <c r="D9834" t="s">
        <v>291</v>
      </c>
      <c r="E9834" t="s">
        <v>256</v>
      </c>
    </row>
    <row r="9835" spans="1:5" ht="13.2">
      <c r="A9835" t="s">
        <v>10868</v>
      </c>
      <c r="B9835">
        <v>0</v>
      </c>
      <c r="C9835" s="44">
        <v>1450</v>
      </c>
      <c r="D9835" t="s">
        <v>291</v>
      </c>
      <c r="E9835" t="s">
        <v>256</v>
      </c>
    </row>
    <row r="9836" spans="1:5" ht="13.2">
      <c r="A9836" t="s">
        <v>10869</v>
      </c>
      <c r="B9836">
        <v>0</v>
      </c>
      <c r="C9836" s="44">
        <v>1450</v>
      </c>
      <c r="D9836" t="s">
        <v>291</v>
      </c>
      <c r="E9836" t="s">
        <v>256</v>
      </c>
    </row>
    <row r="9837" spans="1:5" ht="13.2">
      <c r="A9837" t="s">
        <v>10870</v>
      </c>
      <c r="B9837">
        <v>0</v>
      </c>
      <c r="C9837" s="44">
        <v>1450</v>
      </c>
      <c r="D9837" t="s">
        <v>291</v>
      </c>
      <c r="E9837" t="s">
        <v>256</v>
      </c>
    </row>
    <row r="9838" spans="1:5" ht="13.2">
      <c r="A9838" t="s">
        <v>10871</v>
      </c>
      <c r="B9838">
        <v>0</v>
      </c>
      <c r="C9838" s="44">
        <v>1450</v>
      </c>
      <c r="D9838" t="s">
        <v>291</v>
      </c>
      <c r="E9838" t="s">
        <v>256</v>
      </c>
    </row>
    <row r="9839" spans="1:5" ht="13.2">
      <c r="A9839" t="s">
        <v>10872</v>
      </c>
      <c r="B9839">
        <v>0</v>
      </c>
      <c r="C9839" s="44">
        <v>1450</v>
      </c>
      <c r="D9839" t="s">
        <v>291</v>
      </c>
      <c r="E9839" t="s">
        <v>256</v>
      </c>
    </row>
    <row r="9840" spans="1:5" ht="13.2">
      <c r="A9840" t="s">
        <v>10873</v>
      </c>
      <c r="B9840">
        <v>0</v>
      </c>
      <c r="C9840" s="44">
        <v>1450</v>
      </c>
      <c r="D9840" t="s">
        <v>291</v>
      </c>
      <c r="E9840" t="s">
        <v>256</v>
      </c>
    </row>
    <row r="9841" spans="1:5" ht="13.2">
      <c r="A9841" t="s">
        <v>10874</v>
      </c>
      <c r="B9841">
        <v>0</v>
      </c>
      <c r="C9841" s="44">
        <v>1450</v>
      </c>
      <c r="D9841" t="s">
        <v>291</v>
      </c>
      <c r="E9841" t="s">
        <v>256</v>
      </c>
    </row>
    <row r="9842" spans="1:5" ht="13.2">
      <c r="A9842" t="s">
        <v>10875</v>
      </c>
      <c r="B9842">
        <v>0</v>
      </c>
      <c r="C9842" s="44">
        <v>1450</v>
      </c>
      <c r="D9842" t="s">
        <v>291</v>
      </c>
      <c r="E9842" t="s">
        <v>256</v>
      </c>
    </row>
    <row r="9843" spans="1:5" ht="13.2">
      <c r="A9843" t="s">
        <v>10876</v>
      </c>
      <c r="B9843">
        <v>0</v>
      </c>
      <c r="C9843" s="44">
        <v>1450</v>
      </c>
      <c r="D9843" t="s">
        <v>291</v>
      </c>
      <c r="E9843" t="s">
        <v>256</v>
      </c>
    </row>
    <row r="9844" spans="1:5" ht="13.2">
      <c r="A9844" t="s">
        <v>10877</v>
      </c>
      <c r="B9844">
        <v>0</v>
      </c>
      <c r="C9844" s="44">
        <v>1450</v>
      </c>
      <c r="D9844" t="s">
        <v>291</v>
      </c>
      <c r="E9844" t="s">
        <v>256</v>
      </c>
    </row>
    <row r="9845" spans="1:5" ht="13.2">
      <c r="A9845" t="s">
        <v>10878</v>
      </c>
      <c r="B9845">
        <v>0</v>
      </c>
      <c r="C9845" s="44">
        <v>1450</v>
      </c>
      <c r="D9845" t="s">
        <v>291</v>
      </c>
      <c r="E9845" t="s">
        <v>256</v>
      </c>
    </row>
    <row r="9846" spans="1:5" ht="13.2">
      <c r="A9846" t="s">
        <v>10879</v>
      </c>
      <c r="B9846">
        <v>0</v>
      </c>
      <c r="C9846" s="44">
        <v>1450</v>
      </c>
      <c r="D9846" t="s">
        <v>291</v>
      </c>
      <c r="E9846" t="s">
        <v>256</v>
      </c>
    </row>
    <row r="9847" spans="1:6" ht="13.2">
      <c r="A9847" t="s">
        <v>10541</v>
      </c>
      <c r="B9847">
        <v>0</v>
      </c>
      <c r="C9847" s="44" t="s">
        <v>350</v>
      </c>
      <c r="D9847" t="s">
        <v>293</v>
      </c>
      <c r="E9847" t="s">
        <v>9019</v>
      </c>
      <c r="F9847">
        <v>3</v>
      </c>
    </row>
    <row r="9848" spans="1:6" ht="13.2">
      <c r="A9848" t="s">
        <v>10542</v>
      </c>
      <c r="B9848">
        <v>0</v>
      </c>
      <c r="C9848" s="44" t="s">
        <v>350</v>
      </c>
      <c r="D9848" t="s">
        <v>293</v>
      </c>
      <c r="E9848" t="s">
        <v>9019</v>
      </c>
      <c r="F9848">
        <v>3</v>
      </c>
    </row>
    <row r="9849" spans="1:6" ht="13.2">
      <c r="A9849" t="s">
        <v>10543</v>
      </c>
      <c r="B9849">
        <v>0</v>
      </c>
      <c r="C9849" s="44" t="s">
        <v>350</v>
      </c>
      <c r="D9849" t="s">
        <v>293</v>
      </c>
      <c r="E9849" t="s">
        <v>9019</v>
      </c>
      <c r="F9849">
        <v>3</v>
      </c>
    </row>
    <row r="9850" spans="1:6" ht="13.2">
      <c r="A9850" t="s">
        <v>10544</v>
      </c>
      <c r="B9850">
        <v>0</v>
      </c>
      <c r="C9850" s="44" t="s">
        <v>350</v>
      </c>
      <c r="D9850" t="s">
        <v>293</v>
      </c>
      <c r="E9850" t="s">
        <v>9019</v>
      </c>
      <c r="F9850">
        <v>3</v>
      </c>
    </row>
    <row r="9851" spans="1:6" ht="13.2">
      <c r="A9851" t="s">
        <v>10545</v>
      </c>
      <c r="B9851">
        <v>0</v>
      </c>
      <c r="C9851" s="44" t="s">
        <v>350</v>
      </c>
      <c r="D9851" t="s">
        <v>293</v>
      </c>
      <c r="E9851" t="s">
        <v>9019</v>
      </c>
      <c r="F9851">
        <v>3</v>
      </c>
    </row>
    <row r="9852" spans="1:6" ht="13.2">
      <c r="A9852" t="s">
        <v>10546</v>
      </c>
      <c r="B9852">
        <v>0</v>
      </c>
      <c r="C9852" s="44" t="s">
        <v>350</v>
      </c>
      <c r="D9852" t="s">
        <v>293</v>
      </c>
      <c r="E9852" t="s">
        <v>9019</v>
      </c>
      <c r="F9852">
        <v>3</v>
      </c>
    </row>
    <row r="9853" spans="1:6" ht="13.2">
      <c r="A9853" t="s">
        <v>10547</v>
      </c>
      <c r="B9853">
        <v>0</v>
      </c>
      <c r="C9853" s="44" t="s">
        <v>350</v>
      </c>
      <c r="D9853" t="s">
        <v>293</v>
      </c>
      <c r="E9853" t="s">
        <v>9019</v>
      </c>
      <c r="F9853">
        <v>3</v>
      </c>
    </row>
    <row r="9854" spans="1:6" ht="13.2">
      <c r="A9854" t="s">
        <v>10548</v>
      </c>
      <c r="B9854">
        <v>0</v>
      </c>
      <c r="C9854" s="44" t="s">
        <v>350</v>
      </c>
      <c r="D9854" t="s">
        <v>293</v>
      </c>
      <c r="E9854" t="s">
        <v>9019</v>
      </c>
      <c r="F9854">
        <v>3</v>
      </c>
    </row>
    <row r="9855" spans="1:6" ht="13.2">
      <c r="A9855" t="s">
        <v>10549</v>
      </c>
      <c r="B9855">
        <v>0</v>
      </c>
      <c r="C9855" s="44" t="s">
        <v>350</v>
      </c>
      <c r="D9855" t="s">
        <v>293</v>
      </c>
      <c r="E9855" t="s">
        <v>9019</v>
      </c>
      <c r="F9855">
        <v>3</v>
      </c>
    </row>
    <row r="9856" spans="1:6" ht="13.2">
      <c r="A9856" t="s">
        <v>10550</v>
      </c>
      <c r="B9856">
        <v>0</v>
      </c>
      <c r="C9856" s="44" t="s">
        <v>350</v>
      </c>
      <c r="D9856" t="s">
        <v>293</v>
      </c>
      <c r="E9856" t="s">
        <v>9019</v>
      </c>
      <c r="F9856">
        <v>3</v>
      </c>
    </row>
    <row r="9857" spans="1:6" ht="13.2">
      <c r="A9857" t="s">
        <v>10551</v>
      </c>
      <c r="B9857">
        <v>0</v>
      </c>
      <c r="C9857" s="44" t="s">
        <v>350</v>
      </c>
      <c r="D9857" t="s">
        <v>293</v>
      </c>
      <c r="E9857" t="s">
        <v>9019</v>
      </c>
      <c r="F9857">
        <v>3</v>
      </c>
    </row>
    <row r="9858" spans="1:6" ht="13.2">
      <c r="A9858" t="s">
        <v>10880</v>
      </c>
      <c r="B9858">
        <v>0</v>
      </c>
      <c r="C9858" s="44">
        <v>1400</v>
      </c>
      <c r="D9858" t="s">
        <v>291</v>
      </c>
      <c r="E9858" t="s">
        <v>9157</v>
      </c>
      <c r="F9858">
        <v>1</v>
      </c>
    </row>
    <row r="9859" spans="1:6" ht="13.2">
      <c r="A9859" t="s">
        <v>10881</v>
      </c>
      <c r="B9859">
        <v>0</v>
      </c>
      <c r="C9859" s="44">
        <v>1400</v>
      </c>
      <c r="D9859" t="s">
        <v>291</v>
      </c>
      <c r="E9859" t="s">
        <v>9157</v>
      </c>
      <c r="F9859">
        <v>1</v>
      </c>
    </row>
    <row r="9860" spans="1:6" ht="13.2">
      <c r="A9860" t="s">
        <v>10882</v>
      </c>
      <c r="B9860">
        <v>0</v>
      </c>
      <c r="C9860" s="44">
        <v>1400</v>
      </c>
      <c r="D9860" t="s">
        <v>291</v>
      </c>
      <c r="E9860" t="s">
        <v>9157</v>
      </c>
      <c r="F9860">
        <v>1</v>
      </c>
    </row>
    <row r="9861" spans="1:6" ht="13.2">
      <c r="A9861" t="s">
        <v>10883</v>
      </c>
      <c r="B9861">
        <v>0</v>
      </c>
      <c r="C9861" s="44">
        <v>1400</v>
      </c>
      <c r="D9861" t="s">
        <v>291</v>
      </c>
      <c r="E9861" t="s">
        <v>9157</v>
      </c>
      <c r="F9861">
        <v>1</v>
      </c>
    </row>
    <row r="9862" spans="1:6" ht="13.2">
      <c r="A9862" t="s">
        <v>10884</v>
      </c>
      <c r="B9862">
        <v>0</v>
      </c>
      <c r="C9862" s="44">
        <v>1400</v>
      </c>
      <c r="D9862" t="s">
        <v>291</v>
      </c>
      <c r="E9862" t="s">
        <v>9157</v>
      </c>
      <c r="F9862">
        <v>1</v>
      </c>
    </row>
    <row r="9863" spans="1:6" ht="13.2">
      <c r="A9863" t="s">
        <v>10885</v>
      </c>
      <c r="B9863">
        <v>0</v>
      </c>
      <c r="C9863" s="44">
        <v>1400</v>
      </c>
      <c r="D9863" t="s">
        <v>291</v>
      </c>
      <c r="E9863" t="s">
        <v>9157</v>
      </c>
      <c r="F9863">
        <v>1</v>
      </c>
    </row>
    <row r="9864" spans="1:6" ht="13.2">
      <c r="A9864" t="s">
        <v>10886</v>
      </c>
      <c r="B9864">
        <v>0</v>
      </c>
      <c r="C9864" s="44">
        <v>1400</v>
      </c>
      <c r="D9864" t="s">
        <v>291</v>
      </c>
      <c r="E9864" t="s">
        <v>9157</v>
      </c>
      <c r="F9864">
        <v>1</v>
      </c>
    </row>
    <row r="9865" spans="1:6" ht="13.2">
      <c r="A9865" t="s">
        <v>10887</v>
      </c>
      <c r="B9865">
        <v>0</v>
      </c>
      <c r="C9865" s="44">
        <v>1400</v>
      </c>
      <c r="D9865" t="s">
        <v>291</v>
      </c>
      <c r="E9865" t="s">
        <v>9157</v>
      </c>
      <c r="F9865">
        <v>1</v>
      </c>
    </row>
    <row r="9866" spans="1:6" ht="13.2">
      <c r="A9866" t="s">
        <v>10888</v>
      </c>
      <c r="B9866">
        <v>0</v>
      </c>
      <c r="C9866" s="44">
        <v>1400</v>
      </c>
      <c r="D9866" t="s">
        <v>291</v>
      </c>
      <c r="E9866" t="s">
        <v>9157</v>
      </c>
      <c r="F9866">
        <v>1</v>
      </c>
    </row>
    <row r="9867" spans="1:6" ht="13.2">
      <c r="A9867" t="s">
        <v>10889</v>
      </c>
      <c r="B9867">
        <v>0</v>
      </c>
      <c r="C9867" s="44">
        <v>1400</v>
      </c>
      <c r="D9867" t="s">
        <v>291</v>
      </c>
      <c r="E9867" t="s">
        <v>9157</v>
      </c>
      <c r="F9867">
        <v>1</v>
      </c>
    </row>
    <row r="9868" spans="1:6" ht="13.2">
      <c r="A9868" t="s">
        <v>10890</v>
      </c>
      <c r="B9868">
        <v>0</v>
      </c>
      <c r="C9868" s="44">
        <v>1400</v>
      </c>
      <c r="D9868" t="s">
        <v>291</v>
      </c>
      <c r="E9868" t="s">
        <v>9157</v>
      </c>
      <c r="F9868">
        <v>1</v>
      </c>
    </row>
    <row r="9869" spans="1:6" ht="13.2">
      <c r="A9869" t="s">
        <v>10891</v>
      </c>
      <c r="B9869">
        <v>0</v>
      </c>
      <c r="C9869" s="44">
        <v>1400</v>
      </c>
      <c r="D9869" t="s">
        <v>291</v>
      </c>
      <c r="E9869" t="s">
        <v>9157</v>
      </c>
      <c r="F9869">
        <v>1</v>
      </c>
    </row>
    <row r="9870" spans="1:6" ht="13.2">
      <c r="A9870" t="s">
        <v>10892</v>
      </c>
      <c r="B9870">
        <v>0</v>
      </c>
      <c r="C9870" s="44">
        <v>1400</v>
      </c>
      <c r="D9870" t="s">
        <v>291</v>
      </c>
      <c r="E9870" t="s">
        <v>9157</v>
      </c>
      <c r="F9870">
        <v>1</v>
      </c>
    </row>
    <row r="9871" spans="1:6" ht="13.2">
      <c r="A9871" t="s">
        <v>10893</v>
      </c>
      <c r="B9871">
        <v>0</v>
      </c>
      <c r="C9871" s="44">
        <v>1400</v>
      </c>
      <c r="D9871" t="s">
        <v>291</v>
      </c>
      <c r="E9871" t="s">
        <v>9157</v>
      </c>
      <c r="F9871">
        <v>1</v>
      </c>
    </row>
    <row r="9872" spans="1:6" ht="13.2">
      <c r="A9872" t="s">
        <v>10894</v>
      </c>
      <c r="B9872">
        <v>0</v>
      </c>
      <c r="C9872" s="44">
        <v>1400</v>
      </c>
      <c r="D9872" t="s">
        <v>291</v>
      </c>
      <c r="E9872" t="s">
        <v>9157</v>
      </c>
      <c r="F9872">
        <v>1</v>
      </c>
    </row>
    <row r="9873" spans="1:6" ht="13.2">
      <c r="A9873" t="s">
        <v>10895</v>
      </c>
      <c r="B9873">
        <v>0</v>
      </c>
      <c r="C9873" s="44">
        <v>1400</v>
      </c>
      <c r="D9873" t="s">
        <v>291</v>
      </c>
      <c r="E9873" t="s">
        <v>9157</v>
      </c>
      <c r="F9873">
        <v>1</v>
      </c>
    </row>
    <row r="9874" spans="1:6" ht="13.2">
      <c r="A9874" t="s">
        <v>10896</v>
      </c>
      <c r="B9874">
        <v>0</v>
      </c>
      <c r="C9874" s="44">
        <v>1400</v>
      </c>
      <c r="D9874" t="s">
        <v>291</v>
      </c>
      <c r="E9874" t="s">
        <v>9157</v>
      </c>
      <c r="F9874">
        <v>1</v>
      </c>
    </row>
    <row r="9875" spans="1:6" ht="13.2">
      <c r="A9875" t="s">
        <v>10897</v>
      </c>
      <c r="B9875">
        <v>0</v>
      </c>
      <c r="C9875" s="44">
        <v>1400</v>
      </c>
      <c r="D9875" t="s">
        <v>291</v>
      </c>
      <c r="E9875" t="s">
        <v>9157</v>
      </c>
      <c r="F9875">
        <v>1</v>
      </c>
    </row>
    <row r="9876" spans="1:6" ht="13.2">
      <c r="A9876" t="s">
        <v>10898</v>
      </c>
      <c r="B9876">
        <v>0</v>
      </c>
      <c r="C9876" s="44">
        <v>1400</v>
      </c>
      <c r="D9876" t="s">
        <v>291</v>
      </c>
      <c r="E9876" t="s">
        <v>9157</v>
      </c>
      <c r="F9876">
        <v>1</v>
      </c>
    </row>
    <row r="9877" spans="1:6" ht="13.2">
      <c r="A9877" t="s">
        <v>10899</v>
      </c>
      <c r="B9877">
        <v>0</v>
      </c>
      <c r="C9877" s="44">
        <v>1400</v>
      </c>
      <c r="D9877" t="s">
        <v>291</v>
      </c>
      <c r="E9877" t="s">
        <v>9157</v>
      </c>
      <c r="F9877">
        <v>1</v>
      </c>
    </row>
    <row r="9878" spans="1:6" ht="13.2">
      <c r="A9878" t="s">
        <v>10900</v>
      </c>
      <c r="B9878">
        <v>0</v>
      </c>
      <c r="C9878" s="44">
        <v>1400</v>
      </c>
      <c r="D9878" t="s">
        <v>291</v>
      </c>
      <c r="E9878" t="s">
        <v>9157</v>
      </c>
      <c r="F9878">
        <v>1</v>
      </c>
    </row>
    <row r="9879" spans="1:6" ht="13.2">
      <c r="A9879" t="s">
        <v>10901</v>
      </c>
      <c r="B9879">
        <v>0</v>
      </c>
      <c r="C9879" s="44">
        <v>1400</v>
      </c>
      <c r="D9879" t="s">
        <v>291</v>
      </c>
      <c r="E9879" t="s">
        <v>9157</v>
      </c>
      <c r="F9879">
        <v>1</v>
      </c>
    </row>
    <row r="9880" spans="1:5" ht="13.2">
      <c r="A9880" t="s">
        <v>10902</v>
      </c>
      <c r="B9880">
        <v>0</v>
      </c>
      <c r="C9880" s="44">
        <v>3000</v>
      </c>
      <c r="D9880" t="s">
        <v>293</v>
      </c>
      <c r="E9880" t="s">
        <v>9307</v>
      </c>
    </row>
    <row r="9881" spans="1:5" ht="13.2">
      <c r="A9881" t="s">
        <v>10903</v>
      </c>
      <c r="B9881">
        <v>0</v>
      </c>
      <c r="C9881" s="44">
        <v>3000</v>
      </c>
      <c r="D9881" t="s">
        <v>293</v>
      </c>
      <c r="E9881" t="s">
        <v>9307</v>
      </c>
    </row>
    <row r="9882" spans="1:5" ht="13.2">
      <c r="A9882" t="s">
        <v>10904</v>
      </c>
      <c r="B9882">
        <v>0</v>
      </c>
      <c r="C9882" s="44">
        <v>3000</v>
      </c>
      <c r="D9882" t="s">
        <v>293</v>
      </c>
      <c r="E9882" t="s">
        <v>9307</v>
      </c>
    </row>
    <row r="9883" spans="1:5" ht="13.2">
      <c r="A9883" t="s">
        <v>10905</v>
      </c>
      <c r="B9883">
        <v>0</v>
      </c>
      <c r="C9883" s="44">
        <v>3000</v>
      </c>
      <c r="D9883" t="s">
        <v>293</v>
      </c>
      <c r="E9883" t="s">
        <v>9307</v>
      </c>
    </row>
    <row r="9884" spans="1:5" ht="13.2">
      <c r="A9884" t="s">
        <v>10906</v>
      </c>
      <c r="B9884">
        <v>0</v>
      </c>
      <c r="C9884" s="44">
        <v>3000</v>
      </c>
      <c r="D9884" t="s">
        <v>293</v>
      </c>
      <c r="E9884" t="s">
        <v>9307</v>
      </c>
    </row>
    <row r="9885" spans="1:5" ht="13.2">
      <c r="A9885" t="s">
        <v>10907</v>
      </c>
      <c r="B9885">
        <v>0</v>
      </c>
      <c r="C9885" s="44">
        <v>3000</v>
      </c>
      <c r="D9885" t="s">
        <v>293</v>
      </c>
      <c r="E9885" t="s">
        <v>9307</v>
      </c>
    </row>
    <row r="9886" spans="1:5" ht="13.2">
      <c r="A9886" t="s">
        <v>10908</v>
      </c>
      <c r="B9886">
        <v>0</v>
      </c>
      <c r="C9886" s="44">
        <v>3000</v>
      </c>
      <c r="D9886" t="s">
        <v>293</v>
      </c>
      <c r="E9886" t="s">
        <v>9307</v>
      </c>
    </row>
    <row r="9887" spans="1:5" ht="13.2">
      <c r="A9887" t="s">
        <v>10909</v>
      </c>
      <c r="B9887">
        <v>0</v>
      </c>
      <c r="C9887" s="44">
        <v>3000</v>
      </c>
      <c r="D9887" t="s">
        <v>293</v>
      </c>
      <c r="E9887" t="s">
        <v>9307</v>
      </c>
    </row>
    <row r="9888" spans="1:5" ht="13.2">
      <c r="A9888" t="s">
        <v>10910</v>
      </c>
      <c r="B9888">
        <v>0</v>
      </c>
      <c r="C9888" s="44">
        <v>3000</v>
      </c>
      <c r="D9888" t="s">
        <v>293</v>
      </c>
      <c r="E9888" t="s">
        <v>9307</v>
      </c>
    </row>
    <row r="9889" spans="1:5" ht="13.2">
      <c r="A9889" t="s">
        <v>10911</v>
      </c>
      <c r="B9889">
        <v>0</v>
      </c>
      <c r="C9889" s="44">
        <v>3000</v>
      </c>
      <c r="D9889" t="s">
        <v>293</v>
      </c>
      <c r="E9889" t="s">
        <v>9307</v>
      </c>
    </row>
    <row r="9890" spans="1:5" ht="13.2">
      <c r="A9890" t="s">
        <v>10912</v>
      </c>
      <c r="B9890">
        <v>0</v>
      </c>
      <c r="C9890" s="44" t="s">
        <v>204</v>
      </c>
      <c r="D9890" t="s">
        <v>293</v>
      </c>
      <c r="E9890" t="s">
        <v>9307</v>
      </c>
    </row>
    <row r="9891" spans="1:5" ht="13.2">
      <c r="A9891" t="s">
        <v>10913</v>
      </c>
      <c r="B9891">
        <v>0</v>
      </c>
      <c r="C9891" s="44" t="s">
        <v>204</v>
      </c>
      <c r="D9891" t="s">
        <v>293</v>
      </c>
      <c r="E9891" t="s">
        <v>9307</v>
      </c>
    </row>
    <row r="9892" spans="1:5" ht="13.2">
      <c r="A9892" t="s">
        <v>10914</v>
      </c>
      <c r="B9892">
        <v>0</v>
      </c>
      <c r="C9892" s="44" t="s">
        <v>204</v>
      </c>
      <c r="D9892" t="s">
        <v>293</v>
      </c>
      <c r="E9892" t="s">
        <v>9307</v>
      </c>
    </row>
    <row r="9893" spans="1:5" ht="13.2">
      <c r="A9893" t="s">
        <v>10915</v>
      </c>
      <c r="B9893">
        <v>0</v>
      </c>
      <c r="C9893" s="44" t="s">
        <v>204</v>
      </c>
      <c r="D9893" t="s">
        <v>293</v>
      </c>
      <c r="E9893" t="s">
        <v>9307</v>
      </c>
    </row>
    <row r="9894" spans="1:5" ht="13.2">
      <c r="A9894" t="s">
        <v>10916</v>
      </c>
      <c r="B9894">
        <v>0</v>
      </c>
      <c r="C9894" s="44" t="s">
        <v>204</v>
      </c>
      <c r="D9894" t="s">
        <v>293</v>
      </c>
      <c r="E9894" t="s">
        <v>9307</v>
      </c>
    </row>
    <row r="9895" spans="1:5" ht="13.2">
      <c r="A9895" t="s">
        <v>10917</v>
      </c>
      <c r="B9895">
        <v>0</v>
      </c>
      <c r="C9895" s="44" t="s">
        <v>204</v>
      </c>
      <c r="D9895" t="s">
        <v>293</v>
      </c>
      <c r="E9895" t="s">
        <v>9307</v>
      </c>
    </row>
    <row r="9896" spans="1:5" ht="13.2">
      <c r="A9896" t="s">
        <v>10918</v>
      </c>
      <c r="B9896">
        <v>0</v>
      </c>
      <c r="C9896" s="44" t="s">
        <v>204</v>
      </c>
      <c r="D9896" t="s">
        <v>293</v>
      </c>
      <c r="E9896" t="s">
        <v>9307</v>
      </c>
    </row>
    <row r="9897" spans="1:5" ht="13.2">
      <c r="A9897" t="s">
        <v>10919</v>
      </c>
      <c r="B9897">
        <v>0</v>
      </c>
      <c r="C9897" s="44" t="s">
        <v>204</v>
      </c>
      <c r="D9897" t="s">
        <v>293</v>
      </c>
      <c r="E9897" t="s">
        <v>9307</v>
      </c>
    </row>
    <row r="9898" spans="1:5" ht="13.2">
      <c r="A9898" t="s">
        <v>10920</v>
      </c>
      <c r="B9898">
        <v>0</v>
      </c>
      <c r="C9898" s="44" t="s">
        <v>204</v>
      </c>
      <c r="D9898" t="s">
        <v>293</v>
      </c>
      <c r="E9898" t="s">
        <v>9307</v>
      </c>
    </row>
    <row r="9899" spans="1:5" ht="13.2">
      <c r="A9899" t="s">
        <v>10921</v>
      </c>
      <c r="B9899">
        <v>0</v>
      </c>
      <c r="C9899" s="44" t="s">
        <v>204</v>
      </c>
      <c r="D9899" t="s">
        <v>293</v>
      </c>
      <c r="E9899" t="s">
        <v>9307</v>
      </c>
    </row>
    <row r="9900" spans="1:5" ht="13.2">
      <c r="A9900" t="s">
        <v>10922</v>
      </c>
      <c r="B9900">
        <v>0</v>
      </c>
      <c r="C9900" s="44">
        <v>1450</v>
      </c>
      <c r="D9900" t="s">
        <v>291</v>
      </c>
      <c r="E9900" t="s">
        <v>256</v>
      </c>
    </row>
    <row r="9901" spans="1:5" ht="13.2">
      <c r="A9901" t="s">
        <v>10923</v>
      </c>
      <c r="B9901">
        <v>0</v>
      </c>
      <c r="C9901" s="44">
        <v>1450</v>
      </c>
      <c r="D9901" t="s">
        <v>291</v>
      </c>
      <c r="E9901" t="s">
        <v>256</v>
      </c>
    </row>
    <row r="9902" spans="1:5" ht="13.2">
      <c r="A9902" t="s">
        <v>10924</v>
      </c>
      <c r="B9902">
        <v>0</v>
      </c>
      <c r="C9902" s="44">
        <v>1450</v>
      </c>
      <c r="D9902" t="s">
        <v>291</v>
      </c>
      <c r="E9902" t="s">
        <v>256</v>
      </c>
    </row>
    <row r="9903" spans="1:5" ht="13.2">
      <c r="A9903" t="s">
        <v>10925</v>
      </c>
      <c r="B9903">
        <v>0</v>
      </c>
      <c r="C9903" s="44">
        <v>1450</v>
      </c>
      <c r="D9903" t="s">
        <v>291</v>
      </c>
      <c r="E9903" t="s">
        <v>256</v>
      </c>
    </row>
    <row r="9904" spans="1:5" ht="13.2">
      <c r="A9904" t="s">
        <v>10926</v>
      </c>
      <c r="B9904">
        <v>0</v>
      </c>
      <c r="C9904" s="44">
        <v>1450</v>
      </c>
      <c r="D9904" t="s">
        <v>291</v>
      </c>
      <c r="E9904" t="s">
        <v>256</v>
      </c>
    </row>
    <row r="9905" spans="1:5" ht="13.2">
      <c r="A9905" t="s">
        <v>10927</v>
      </c>
      <c r="B9905">
        <v>0</v>
      </c>
      <c r="C9905" s="44">
        <v>1450</v>
      </c>
      <c r="D9905" t="s">
        <v>291</v>
      </c>
      <c r="E9905" t="s">
        <v>256</v>
      </c>
    </row>
    <row r="9906" spans="1:5" ht="13.2">
      <c r="A9906" t="s">
        <v>10928</v>
      </c>
      <c r="B9906">
        <v>0</v>
      </c>
      <c r="C9906" s="44">
        <v>1450</v>
      </c>
      <c r="D9906" t="s">
        <v>291</v>
      </c>
      <c r="E9906" t="s">
        <v>256</v>
      </c>
    </row>
    <row r="9907" spans="1:5" ht="13.2">
      <c r="A9907" t="s">
        <v>10929</v>
      </c>
      <c r="B9907">
        <v>0</v>
      </c>
      <c r="C9907" s="44">
        <v>1450</v>
      </c>
      <c r="D9907" t="s">
        <v>291</v>
      </c>
      <c r="E9907" t="s">
        <v>256</v>
      </c>
    </row>
    <row r="9908" spans="1:5" ht="13.2">
      <c r="A9908" t="s">
        <v>10930</v>
      </c>
      <c r="B9908">
        <v>0</v>
      </c>
      <c r="C9908" s="44">
        <v>1450</v>
      </c>
      <c r="D9908" t="s">
        <v>291</v>
      </c>
      <c r="E9908" t="s">
        <v>256</v>
      </c>
    </row>
    <row r="9909" spans="1:5" ht="13.2">
      <c r="A9909" t="s">
        <v>10931</v>
      </c>
      <c r="B9909">
        <v>0</v>
      </c>
      <c r="C9909" s="44">
        <v>1450</v>
      </c>
      <c r="D9909" t="s">
        <v>291</v>
      </c>
      <c r="E9909" t="s">
        <v>256</v>
      </c>
    </row>
    <row r="9910" spans="1:5" ht="13.2">
      <c r="A9910" t="s">
        <v>10932</v>
      </c>
      <c r="B9910">
        <v>0</v>
      </c>
      <c r="C9910" s="44">
        <v>1450</v>
      </c>
      <c r="D9910" t="s">
        <v>291</v>
      </c>
      <c r="E9910" t="s">
        <v>256</v>
      </c>
    </row>
    <row r="9911" spans="1:5" ht="13.2">
      <c r="A9911" t="s">
        <v>10933</v>
      </c>
      <c r="B9911">
        <v>0</v>
      </c>
      <c r="C9911" s="44">
        <v>1450</v>
      </c>
      <c r="D9911" t="s">
        <v>291</v>
      </c>
      <c r="E9911" t="s">
        <v>256</v>
      </c>
    </row>
    <row r="9912" spans="1:5" ht="13.2">
      <c r="A9912" t="s">
        <v>10934</v>
      </c>
      <c r="B9912">
        <v>0</v>
      </c>
      <c r="C9912" s="44">
        <v>1450</v>
      </c>
      <c r="D9912" t="s">
        <v>291</v>
      </c>
      <c r="E9912" t="s">
        <v>256</v>
      </c>
    </row>
    <row r="9913" spans="1:5" ht="13.2">
      <c r="A9913" t="s">
        <v>10935</v>
      </c>
      <c r="B9913">
        <v>0</v>
      </c>
      <c r="C9913" s="44">
        <v>1450</v>
      </c>
      <c r="D9913" t="s">
        <v>291</v>
      </c>
      <c r="E9913" t="s">
        <v>256</v>
      </c>
    </row>
    <row r="9914" spans="1:5" ht="13.2">
      <c r="A9914" t="s">
        <v>10936</v>
      </c>
      <c r="B9914">
        <v>0</v>
      </c>
      <c r="C9914" s="44">
        <v>1450</v>
      </c>
      <c r="D9914" t="s">
        <v>291</v>
      </c>
      <c r="E9914" t="s">
        <v>256</v>
      </c>
    </row>
    <row r="9915" spans="1:5" ht="13.2">
      <c r="A9915" t="s">
        <v>10937</v>
      </c>
      <c r="B9915">
        <v>0</v>
      </c>
      <c r="C9915" s="44">
        <v>1450</v>
      </c>
      <c r="D9915" t="s">
        <v>291</v>
      </c>
      <c r="E9915" t="s">
        <v>256</v>
      </c>
    </row>
    <row r="9916" spans="1:5" ht="13.2">
      <c r="A9916" t="s">
        <v>10938</v>
      </c>
      <c r="B9916">
        <v>0</v>
      </c>
      <c r="C9916" s="44">
        <v>1450</v>
      </c>
      <c r="D9916" t="s">
        <v>291</v>
      </c>
      <c r="E9916" t="s">
        <v>256</v>
      </c>
    </row>
    <row r="9917" spans="1:5" ht="13.2">
      <c r="A9917" t="s">
        <v>10939</v>
      </c>
      <c r="B9917">
        <v>0</v>
      </c>
      <c r="C9917" s="44">
        <v>1450</v>
      </c>
      <c r="D9917" t="s">
        <v>291</v>
      </c>
      <c r="E9917" t="s">
        <v>256</v>
      </c>
    </row>
    <row r="9918" spans="1:5" ht="13.2">
      <c r="A9918" t="s">
        <v>10940</v>
      </c>
      <c r="B9918">
        <v>0</v>
      </c>
      <c r="C9918" s="44">
        <v>1450</v>
      </c>
      <c r="D9918" t="s">
        <v>291</v>
      </c>
      <c r="E9918" t="s">
        <v>256</v>
      </c>
    </row>
    <row r="9919" spans="1:5" ht="13.2">
      <c r="A9919" t="s">
        <v>10941</v>
      </c>
      <c r="B9919">
        <v>0</v>
      </c>
      <c r="C9919" s="44">
        <v>1450</v>
      </c>
      <c r="D9919" t="s">
        <v>291</v>
      </c>
      <c r="E9919" t="s">
        <v>256</v>
      </c>
    </row>
    <row r="9920" spans="1:5" ht="13.2">
      <c r="A9920" t="s">
        <v>10942</v>
      </c>
      <c r="B9920">
        <v>0</v>
      </c>
      <c r="C9920" s="44">
        <v>1450</v>
      </c>
      <c r="D9920" t="s">
        <v>291</v>
      </c>
      <c r="E9920" t="s">
        <v>256</v>
      </c>
    </row>
    <row r="9921" spans="1:5" ht="13.2">
      <c r="A9921" t="s">
        <v>10943</v>
      </c>
      <c r="B9921">
        <v>0</v>
      </c>
      <c r="C9921" s="44">
        <v>1450</v>
      </c>
      <c r="D9921" t="s">
        <v>291</v>
      </c>
      <c r="E9921" t="s">
        <v>256</v>
      </c>
    </row>
    <row r="9922" spans="1:5" ht="13.2">
      <c r="A9922" t="s">
        <v>10944</v>
      </c>
      <c r="B9922">
        <v>0</v>
      </c>
      <c r="C9922" s="44">
        <v>1450</v>
      </c>
      <c r="D9922" t="s">
        <v>291</v>
      </c>
      <c r="E9922" t="s">
        <v>256</v>
      </c>
    </row>
    <row r="9923" spans="1:5" ht="13.2">
      <c r="A9923" t="s">
        <v>10945</v>
      </c>
      <c r="B9923">
        <v>0</v>
      </c>
      <c r="C9923" s="44">
        <v>1450</v>
      </c>
      <c r="D9923" t="s">
        <v>291</v>
      </c>
      <c r="E9923" t="s">
        <v>256</v>
      </c>
    </row>
    <row r="9924" spans="1:5" ht="13.2">
      <c r="A9924" t="s">
        <v>10946</v>
      </c>
      <c r="B9924">
        <v>0</v>
      </c>
      <c r="C9924" s="44">
        <v>1450</v>
      </c>
      <c r="D9924" t="s">
        <v>291</v>
      </c>
      <c r="E9924" t="s">
        <v>256</v>
      </c>
    </row>
    <row r="9925" spans="1:5" ht="13.2">
      <c r="A9925" t="s">
        <v>10947</v>
      </c>
      <c r="B9925">
        <v>0</v>
      </c>
      <c r="C9925" s="44">
        <v>1450</v>
      </c>
      <c r="D9925" t="s">
        <v>291</v>
      </c>
      <c r="E9925" t="s">
        <v>256</v>
      </c>
    </row>
    <row r="9926" spans="1:5" ht="13.2">
      <c r="A9926" t="s">
        <v>10948</v>
      </c>
      <c r="B9926">
        <v>0</v>
      </c>
      <c r="C9926" s="44">
        <v>1450</v>
      </c>
      <c r="D9926" t="s">
        <v>291</v>
      </c>
      <c r="E9926" t="s">
        <v>256</v>
      </c>
    </row>
    <row r="9927" spans="1:5" ht="13.2">
      <c r="A9927" t="s">
        <v>10949</v>
      </c>
      <c r="B9927">
        <v>0</v>
      </c>
      <c r="C9927" s="44">
        <v>1450</v>
      </c>
      <c r="D9927" t="s">
        <v>291</v>
      </c>
      <c r="E9927" t="s">
        <v>256</v>
      </c>
    </row>
    <row r="9928" spans="1:5" ht="13.2">
      <c r="A9928" t="s">
        <v>10950</v>
      </c>
      <c r="B9928">
        <v>0</v>
      </c>
      <c r="C9928" s="44">
        <v>1450</v>
      </c>
      <c r="D9928" t="s">
        <v>291</v>
      </c>
      <c r="E9928" t="s">
        <v>256</v>
      </c>
    </row>
    <row r="9929" spans="1:5" ht="13.2">
      <c r="A9929" t="s">
        <v>10951</v>
      </c>
      <c r="B9929">
        <v>0</v>
      </c>
      <c r="C9929" s="44">
        <v>1450</v>
      </c>
      <c r="D9929" t="s">
        <v>291</v>
      </c>
      <c r="E9929" t="s">
        <v>256</v>
      </c>
    </row>
    <row r="9930" spans="1:5" ht="13.2">
      <c r="A9930" t="s">
        <v>10952</v>
      </c>
      <c r="B9930">
        <v>570</v>
      </c>
      <c r="C9930" s="44">
        <v>1400</v>
      </c>
      <c r="D9930" t="s">
        <v>293</v>
      </c>
      <c r="E9930" t="s">
        <v>364</v>
      </c>
    </row>
    <row r="9931" spans="1:5" ht="13.2">
      <c r="A9931" t="s">
        <v>10953</v>
      </c>
      <c r="B9931">
        <v>570</v>
      </c>
      <c r="C9931" s="44">
        <v>1400</v>
      </c>
      <c r="D9931" t="s">
        <v>293</v>
      </c>
      <c r="E9931" t="s">
        <v>364</v>
      </c>
    </row>
    <row r="9932" spans="1:5" ht="13.2">
      <c r="A9932" t="s">
        <v>10954</v>
      </c>
      <c r="B9932">
        <v>570</v>
      </c>
      <c r="C9932" s="44">
        <v>1400</v>
      </c>
      <c r="D9932" t="s">
        <v>293</v>
      </c>
      <c r="E9932" t="s">
        <v>364</v>
      </c>
    </row>
    <row r="9933" spans="1:5" ht="13.2">
      <c r="A9933" t="s">
        <v>10955</v>
      </c>
      <c r="B9933">
        <v>570</v>
      </c>
      <c r="C9933" s="44">
        <v>1400</v>
      </c>
      <c r="D9933" t="s">
        <v>293</v>
      </c>
      <c r="E9933" t="s">
        <v>364</v>
      </c>
    </row>
    <row r="9934" spans="1:5" ht="13.2">
      <c r="A9934" t="s">
        <v>10956</v>
      </c>
      <c r="B9934">
        <v>570</v>
      </c>
      <c r="C9934" s="44">
        <v>1400</v>
      </c>
      <c r="D9934" t="s">
        <v>293</v>
      </c>
      <c r="E9934" t="s">
        <v>364</v>
      </c>
    </row>
    <row r="9935" spans="1:5" ht="13.2">
      <c r="A9935" t="s">
        <v>10957</v>
      </c>
      <c r="B9935">
        <v>570</v>
      </c>
      <c r="C9935" s="44">
        <v>1400</v>
      </c>
      <c r="D9935" t="s">
        <v>293</v>
      </c>
      <c r="E9935" t="s">
        <v>364</v>
      </c>
    </row>
    <row r="9936" spans="1:6" ht="13.2">
      <c r="A9936" t="s">
        <v>10958</v>
      </c>
      <c r="B9936">
        <v>960</v>
      </c>
      <c r="C9936" s="44">
        <v>1370</v>
      </c>
      <c r="D9936" t="s">
        <v>291</v>
      </c>
      <c r="E9936" t="s">
        <v>577</v>
      </c>
      <c r="F9936">
        <v>14</v>
      </c>
    </row>
    <row r="9937" spans="1:6" ht="13.2">
      <c r="A9937" t="s">
        <v>10959</v>
      </c>
      <c r="B9937">
        <v>960</v>
      </c>
      <c r="C9937" s="44">
        <v>1370</v>
      </c>
      <c r="D9937" t="s">
        <v>291</v>
      </c>
      <c r="E9937" t="s">
        <v>577</v>
      </c>
      <c r="F9937">
        <v>14</v>
      </c>
    </row>
    <row r="9938" spans="1:6" ht="13.2">
      <c r="A9938" t="s">
        <v>10960</v>
      </c>
      <c r="B9938">
        <v>960</v>
      </c>
      <c r="C9938" s="44">
        <v>1370</v>
      </c>
      <c r="D9938" t="s">
        <v>291</v>
      </c>
      <c r="E9938" t="s">
        <v>577</v>
      </c>
      <c r="F9938">
        <v>14</v>
      </c>
    </row>
    <row r="9939" spans="1:6" ht="13.2">
      <c r="A9939" t="s">
        <v>10961</v>
      </c>
      <c r="B9939">
        <v>960</v>
      </c>
      <c r="C9939" s="44">
        <v>1370</v>
      </c>
      <c r="D9939" t="s">
        <v>291</v>
      </c>
      <c r="E9939" t="s">
        <v>577</v>
      </c>
      <c r="F9939">
        <v>14</v>
      </c>
    </row>
    <row r="9940" spans="1:5" ht="13.2">
      <c r="A9940" t="s">
        <v>10962</v>
      </c>
      <c r="B9940">
        <v>0</v>
      </c>
      <c r="C9940" s="44">
        <v>3050</v>
      </c>
      <c r="D9940" t="s">
        <v>293</v>
      </c>
      <c r="E9940" t="s">
        <v>9703</v>
      </c>
    </row>
    <row r="9941" spans="1:5" ht="13.2">
      <c r="A9941" t="s">
        <v>10963</v>
      </c>
      <c r="B9941">
        <v>0</v>
      </c>
      <c r="C9941" s="44">
        <v>3050</v>
      </c>
      <c r="D9941" t="s">
        <v>293</v>
      </c>
      <c r="E9941" t="s">
        <v>9703</v>
      </c>
    </row>
    <row r="9942" spans="1:5" ht="13.2">
      <c r="A9942" t="s">
        <v>10964</v>
      </c>
      <c r="B9942">
        <v>0</v>
      </c>
      <c r="C9942" s="44">
        <v>3050</v>
      </c>
      <c r="D9942" t="s">
        <v>293</v>
      </c>
      <c r="E9942" t="s">
        <v>9703</v>
      </c>
    </row>
    <row r="9943" spans="1:5" ht="13.2">
      <c r="A9943" t="s">
        <v>10965</v>
      </c>
      <c r="B9943">
        <v>0</v>
      </c>
      <c r="C9943" s="44">
        <v>3050</v>
      </c>
      <c r="D9943" t="s">
        <v>293</v>
      </c>
      <c r="E9943" t="s">
        <v>9703</v>
      </c>
    </row>
    <row r="9944" spans="1:5" ht="13.2">
      <c r="A9944" t="s">
        <v>10966</v>
      </c>
      <c r="B9944">
        <v>0</v>
      </c>
      <c r="C9944" s="44">
        <v>3050</v>
      </c>
      <c r="D9944" t="s">
        <v>293</v>
      </c>
      <c r="E9944" t="s">
        <v>9703</v>
      </c>
    </row>
    <row r="9945" spans="1:5" ht="13.2">
      <c r="A9945" t="s">
        <v>10967</v>
      </c>
      <c r="B9945">
        <v>0</v>
      </c>
      <c r="C9945" s="44">
        <v>3050</v>
      </c>
      <c r="D9945" t="s">
        <v>293</v>
      </c>
      <c r="E9945" t="s">
        <v>9703</v>
      </c>
    </row>
    <row r="9946" spans="1:5" ht="13.2">
      <c r="A9946" t="s">
        <v>10968</v>
      </c>
      <c r="B9946">
        <v>0</v>
      </c>
      <c r="C9946" s="44">
        <v>3050</v>
      </c>
      <c r="D9946" t="s">
        <v>293</v>
      </c>
      <c r="E9946" t="s">
        <v>9703</v>
      </c>
    </row>
    <row r="9947" spans="1:5" ht="13.2">
      <c r="A9947" t="s">
        <v>10969</v>
      </c>
      <c r="B9947">
        <v>0</v>
      </c>
      <c r="C9947" s="44">
        <v>3050</v>
      </c>
      <c r="D9947" t="s">
        <v>293</v>
      </c>
      <c r="E9947" t="s">
        <v>9703</v>
      </c>
    </row>
    <row r="9948" spans="1:5" ht="13.2">
      <c r="A9948" t="s">
        <v>10970</v>
      </c>
      <c r="B9948">
        <v>0</v>
      </c>
      <c r="C9948" s="44">
        <v>3050</v>
      </c>
      <c r="D9948" t="s">
        <v>293</v>
      </c>
      <c r="E9948" t="s">
        <v>9703</v>
      </c>
    </row>
    <row r="9949" spans="1:5" ht="13.2">
      <c r="A9949" t="s">
        <v>10971</v>
      </c>
      <c r="B9949">
        <v>0</v>
      </c>
      <c r="C9949" s="44">
        <v>3050</v>
      </c>
      <c r="D9949" t="s">
        <v>293</v>
      </c>
      <c r="E9949" t="s">
        <v>9703</v>
      </c>
    </row>
    <row r="9950" spans="1:5" ht="13.2">
      <c r="A9950" t="s">
        <v>10972</v>
      </c>
      <c r="B9950">
        <v>0</v>
      </c>
      <c r="C9950" s="44">
        <v>3050</v>
      </c>
      <c r="D9950" t="s">
        <v>293</v>
      </c>
      <c r="E9950" t="s">
        <v>9703</v>
      </c>
    </row>
    <row r="9951" spans="1:5" ht="13.2">
      <c r="A9951" t="s">
        <v>10973</v>
      </c>
      <c r="B9951">
        <v>0</v>
      </c>
      <c r="C9951" s="44">
        <v>3050</v>
      </c>
      <c r="D9951" t="s">
        <v>293</v>
      </c>
      <c r="E9951" t="s">
        <v>9703</v>
      </c>
    </row>
    <row r="9952" spans="1:5" ht="13.2">
      <c r="A9952" t="s">
        <v>10974</v>
      </c>
      <c r="B9952">
        <v>0</v>
      </c>
      <c r="C9952" s="44">
        <v>3050</v>
      </c>
      <c r="D9952" t="s">
        <v>293</v>
      </c>
      <c r="E9952" t="s">
        <v>9703</v>
      </c>
    </row>
    <row r="9953" spans="1:5" ht="13.2">
      <c r="A9953" t="s">
        <v>10975</v>
      </c>
      <c r="B9953">
        <v>0</v>
      </c>
      <c r="C9953" s="44">
        <v>3050</v>
      </c>
      <c r="D9953" t="s">
        <v>293</v>
      </c>
      <c r="E9953" t="s">
        <v>9703</v>
      </c>
    </row>
    <row r="9954" spans="1:5" ht="13.2">
      <c r="A9954" t="s">
        <v>10976</v>
      </c>
      <c r="B9954">
        <v>0</v>
      </c>
      <c r="C9954" s="44">
        <v>3050</v>
      </c>
      <c r="D9954" t="s">
        <v>293</v>
      </c>
      <c r="E9954" t="s">
        <v>9703</v>
      </c>
    </row>
    <row r="9955" spans="1:5" ht="13.2">
      <c r="A9955" t="s">
        <v>10977</v>
      </c>
      <c r="B9955">
        <v>0</v>
      </c>
      <c r="C9955" s="44">
        <v>3050</v>
      </c>
      <c r="D9955" t="s">
        <v>293</v>
      </c>
      <c r="E9955" t="s">
        <v>9703</v>
      </c>
    </row>
    <row r="9956" spans="1:5" ht="13.2">
      <c r="A9956" t="s">
        <v>10978</v>
      </c>
      <c r="B9956">
        <v>0</v>
      </c>
      <c r="C9956" s="44">
        <v>3050</v>
      </c>
      <c r="D9956" t="s">
        <v>293</v>
      </c>
      <c r="E9956" t="s">
        <v>9703</v>
      </c>
    </row>
    <row r="9957" spans="1:5" ht="13.2">
      <c r="A9957" t="s">
        <v>10979</v>
      </c>
      <c r="B9957">
        <v>0</v>
      </c>
      <c r="C9957" s="44">
        <v>3050</v>
      </c>
      <c r="D9957" t="s">
        <v>293</v>
      </c>
      <c r="E9957" t="s">
        <v>9703</v>
      </c>
    </row>
    <row r="9958" spans="1:5" ht="13.2">
      <c r="A9958" t="s">
        <v>10980</v>
      </c>
      <c r="B9958">
        <v>0</v>
      </c>
      <c r="C9958" s="44">
        <v>3050</v>
      </c>
      <c r="D9958" t="s">
        <v>293</v>
      </c>
      <c r="E9958" t="s">
        <v>9703</v>
      </c>
    </row>
    <row r="9959" spans="1:5" ht="13.2">
      <c r="A9959" t="s">
        <v>10981</v>
      </c>
      <c r="B9959">
        <v>0</v>
      </c>
      <c r="C9959" s="44">
        <v>3050</v>
      </c>
      <c r="D9959" t="s">
        <v>293</v>
      </c>
      <c r="E9959" t="s">
        <v>9703</v>
      </c>
    </row>
    <row r="9960" spans="1:5" ht="13.2">
      <c r="A9960" t="s">
        <v>10982</v>
      </c>
      <c r="B9960">
        <v>0</v>
      </c>
      <c r="C9960" s="44">
        <v>3050</v>
      </c>
      <c r="D9960" t="s">
        <v>293</v>
      </c>
      <c r="E9960" t="s">
        <v>9703</v>
      </c>
    </row>
    <row r="9961" spans="1:5" ht="13.2">
      <c r="A9961" t="s">
        <v>10983</v>
      </c>
      <c r="B9961">
        <v>0</v>
      </c>
      <c r="C9961" s="44">
        <v>3050</v>
      </c>
      <c r="D9961" t="s">
        <v>293</v>
      </c>
      <c r="E9961" t="s">
        <v>9703</v>
      </c>
    </row>
    <row r="9962" spans="1:5" ht="13.2">
      <c r="A9962" t="s">
        <v>10984</v>
      </c>
      <c r="B9962">
        <v>0</v>
      </c>
      <c r="C9962" s="44">
        <v>3050</v>
      </c>
      <c r="D9962" t="s">
        <v>293</v>
      </c>
      <c r="E9962" t="s">
        <v>9703</v>
      </c>
    </row>
    <row r="9963" spans="1:6" ht="13.2">
      <c r="A9963" t="s">
        <v>10985</v>
      </c>
      <c r="B9963">
        <v>0</v>
      </c>
      <c r="C9963" s="44">
        <v>3000</v>
      </c>
      <c r="D9963" t="s">
        <v>293</v>
      </c>
      <c r="E9963" t="s">
        <v>653</v>
      </c>
      <c r="F9963" t="s">
        <v>3824</v>
      </c>
    </row>
    <row r="9964" spans="1:6" ht="13.2">
      <c r="A9964" t="s">
        <v>10986</v>
      </c>
      <c r="B9964">
        <v>0</v>
      </c>
      <c r="C9964" s="44">
        <v>3000</v>
      </c>
      <c r="D9964" t="s">
        <v>293</v>
      </c>
      <c r="E9964" t="s">
        <v>653</v>
      </c>
      <c r="F9964" t="s">
        <v>3824</v>
      </c>
    </row>
    <row r="9965" spans="1:6" ht="13.2">
      <c r="A9965" t="s">
        <v>10987</v>
      </c>
      <c r="B9965">
        <v>0</v>
      </c>
      <c r="C9965" s="44">
        <v>3000</v>
      </c>
      <c r="D9965" t="s">
        <v>293</v>
      </c>
      <c r="E9965" t="s">
        <v>653</v>
      </c>
      <c r="F9965" t="s">
        <v>3824</v>
      </c>
    </row>
    <row r="9966" spans="1:6" ht="13.2">
      <c r="A9966" t="s">
        <v>10988</v>
      </c>
      <c r="B9966">
        <v>0</v>
      </c>
      <c r="C9966" s="44">
        <v>3000</v>
      </c>
      <c r="D9966" t="s">
        <v>293</v>
      </c>
      <c r="E9966" t="s">
        <v>653</v>
      </c>
      <c r="F9966" t="s">
        <v>3824</v>
      </c>
    </row>
    <row r="9967" spans="1:6" ht="13.2">
      <c r="A9967" t="s">
        <v>10989</v>
      </c>
      <c r="B9967">
        <v>0</v>
      </c>
      <c r="C9967" s="44">
        <v>3000</v>
      </c>
      <c r="D9967" t="s">
        <v>293</v>
      </c>
      <c r="E9967" t="s">
        <v>653</v>
      </c>
      <c r="F9967" t="s">
        <v>3824</v>
      </c>
    </row>
    <row r="9968" spans="1:6" ht="13.2">
      <c r="A9968" t="s">
        <v>10990</v>
      </c>
      <c r="B9968">
        <v>0</v>
      </c>
      <c r="C9968" s="44">
        <v>3000</v>
      </c>
      <c r="D9968" t="s">
        <v>293</v>
      </c>
      <c r="E9968" t="s">
        <v>653</v>
      </c>
      <c r="F9968" t="s">
        <v>3824</v>
      </c>
    </row>
    <row r="9969" spans="1:6" ht="13.2">
      <c r="A9969" t="s">
        <v>10991</v>
      </c>
      <c r="B9969">
        <v>0</v>
      </c>
      <c r="C9969" s="44">
        <v>3000</v>
      </c>
      <c r="D9969" t="s">
        <v>293</v>
      </c>
      <c r="E9969" t="s">
        <v>653</v>
      </c>
      <c r="F9969" t="s">
        <v>3824</v>
      </c>
    </row>
    <row r="9970" spans="1:6" ht="13.2">
      <c r="A9970" t="s">
        <v>10992</v>
      </c>
      <c r="B9970">
        <v>0</v>
      </c>
      <c r="C9970" s="44">
        <v>3000</v>
      </c>
      <c r="D9970" t="s">
        <v>293</v>
      </c>
      <c r="E9970" t="s">
        <v>653</v>
      </c>
      <c r="F9970" t="s">
        <v>3824</v>
      </c>
    </row>
    <row r="9971" spans="1:6" ht="13.2">
      <c r="A9971" t="s">
        <v>10993</v>
      </c>
      <c r="B9971">
        <v>0</v>
      </c>
      <c r="C9971" s="44">
        <v>3000</v>
      </c>
      <c r="D9971" t="s">
        <v>293</v>
      </c>
      <c r="E9971" t="s">
        <v>653</v>
      </c>
      <c r="F9971" t="s">
        <v>3824</v>
      </c>
    </row>
    <row r="9972" spans="1:6" ht="13.2">
      <c r="A9972" t="s">
        <v>10994</v>
      </c>
      <c r="B9972">
        <v>0</v>
      </c>
      <c r="C9972" s="44">
        <v>3000</v>
      </c>
      <c r="D9972" t="s">
        <v>293</v>
      </c>
      <c r="E9972" t="s">
        <v>653</v>
      </c>
      <c r="F9972" t="s">
        <v>3824</v>
      </c>
    </row>
    <row r="9973" spans="1:6" ht="13.2">
      <c r="A9973" t="s">
        <v>10995</v>
      </c>
      <c r="B9973">
        <v>0</v>
      </c>
      <c r="C9973" s="44">
        <v>3000</v>
      </c>
      <c r="D9973" t="s">
        <v>293</v>
      </c>
      <c r="E9973" t="s">
        <v>653</v>
      </c>
      <c r="F9973" t="s">
        <v>3824</v>
      </c>
    </row>
    <row r="9974" spans="1:6" ht="13.2">
      <c r="A9974" t="s">
        <v>10996</v>
      </c>
      <c r="B9974">
        <v>0</v>
      </c>
      <c r="C9974" s="44">
        <v>3000</v>
      </c>
      <c r="D9974" t="s">
        <v>293</v>
      </c>
      <c r="E9974" t="s">
        <v>653</v>
      </c>
      <c r="F9974" t="s">
        <v>3824</v>
      </c>
    </row>
    <row r="9975" spans="1:6" ht="13.2">
      <c r="A9975" t="s">
        <v>10997</v>
      </c>
      <c r="B9975">
        <v>0</v>
      </c>
      <c r="C9975" s="44">
        <v>3000</v>
      </c>
      <c r="D9975" t="s">
        <v>293</v>
      </c>
      <c r="E9975" t="s">
        <v>653</v>
      </c>
      <c r="F9975" t="s">
        <v>3824</v>
      </c>
    </row>
    <row r="9976" spans="1:6" ht="13.2">
      <c r="A9976" t="s">
        <v>10998</v>
      </c>
      <c r="B9976">
        <v>0</v>
      </c>
      <c r="C9976" s="44">
        <v>3000</v>
      </c>
      <c r="D9976" t="s">
        <v>293</v>
      </c>
      <c r="E9976" t="s">
        <v>653</v>
      </c>
      <c r="F9976" t="s">
        <v>3824</v>
      </c>
    </row>
    <row r="9977" spans="1:6" ht="13.2">
      <c r="A9977" t="s">
        <v>10999</v>
      </c>
      <c r="B9977">
        <v>0</v>
      </c>
      <c r="C9977" s="44">
        <v>3000</v>
      </c>
      <c r="D9977" t="s">
        <v>293</v>
      </c>
      <c r="E9977" t="s">
        <v>653</v>
      </c>
      <c r="F9977" t="s">
        <v>3824</v>
      </c>
    </row>
    <row r="9978" spans="1:6" ht="13.2">
      <c r="A9978" t="s">
        <v>11000</v>
      </c>
      <c r="B9978">
        <v>0</v>
      </c>
      <c r="C9978" s="44">
        <v>3000</v>
      </c>
      <c r="D9978" t="s">
        <v>293</v>
      </c>
      <c r="E9978" t="s">
        <v>653</v>
      </c>
      <c r="F9978" t="s">
        <v>3824</v>
      </c>
    </row>
    <row r="9979" spans="1:6" ht="13.2">
      <c r="A9979" t="s">
        <v>11001</v>
      </c>
      <c r="B9979">
        <v>0</v>
      </c>
      <c r="C9979" s="44">
        <v>3000</v>
      </c>
      <c r="D9979" t="s">
        <v>293</v>
      </c>
      <c r="E9979" t="s">
        <v>653</v>
      </c>
      <c r="F9979" t="s">
        <v>3824</v>
      </c>
    </row>
    <row r="9980" spans="1:6" ht="13.2">
      <c r="A9980" t="s">
        <v>11002</v>
      </c>
      <c r="B9980">
        <v>0</v>
      </c>
      <c r="C9980" s="44">
        <v>3000</v>
      </c>
      <c r="D9980" t="s">
        <v>293</v>
      </c>
      <c r="E9980" t="s">
        <v>653</v>
      </c>
      <c r="F9980" t="s">
        <v>3824</v>
      </c>
    </row>
    <row r="9981" spans="1:6" ht="13.2">
      <c r="A9981" t="s">
        <v>11003</v>
      </c>
      <c r="B9981">
        <v>0</v>
      </c>
      <c r="C9981" s="44">
        <v>3000</v>
      </c>
      <c r="D9981" t="s">
        <v>293</v>
      </c>
      <c r="E9981" t="s">
        <v>653</v>
      </c>
      <c r="F9981" t="s">
        <v>3824</v>
      </c>
    </row>
    <row r="9982" spans="1:6" ht="13.2">
      <c r="A9982" t="s">
        <v>11004</v>
      </c>
      <c r="B9982">
        <v>0</v>
      </c>
      <c r="C9982" s="44">
        <v>3000</v>
      </c>
      <c r="D9982" t="s">
        <v>293</v>
      </c>
      <c r="E9982" t="s">
        <v>653</v>
      </c>
      <c r="F9982" t="s">
        <v>3824</v>
      </c>
    </row>
    <row r="9983" spans="1:5" ht="13.2">
      <c r="A9983" t="s">
        <v>11005</v>
      </c>
      <c r="B9983">
        <v>500</v>
      </c>
      <c r="C9983" s="44" t="s">
        <v>204</v>
      </c>
      <c r="D9983" t="s">
        <v>293</v>
      </c>
      <c r="E9983" t="s">
        <v>9704</v>
      </c>
    </row>
    <row r="9984" spans="1:5" ht="13.2">
      <c r="A9984" t="s">
        <v>11006</v>
      </c>
      <c r="B9984">
        <v>500</v>
      </c>
      <c r="C9984" s="44" t="s">
        <v>204</v>
      </c>
      <c r="D9984" t="s">
        <v>293</v>
      </c>
      <c r="E9984" t="s">
        <v>9704</v>
      </c>
    </row>
    <row r="9985" spans="1:5" ht="13.2">
      <c r="A9985" t="s">
        <v>11007</v>
      </c>
      <c r="B9985">
        <v>500</v>
      </c>
      <c r="C9985" s="44" t="s">
        <v>204</v>
      </c>
      <c r="D9985" t="s">
        <v>293</v>
      </c>
      <c r="E9985" t="s">
        <v>9704</v>
      </c>
    </row>
    <row r="9986" spans="1:5" ht="13.2">
      <c r="A9986" t="s">
        <v>11008</v>
      </c>
      <c r="B9986">
        <v>500</v>
      </c>
      <c r="C9986" s="44" t="s">
        <v>204</v>
      </c>
      <c r="D9986" t="s">
        <v>293</v>
      </c>
      <c r="E9986" t="s">
        <v>9704</v>
      </c>
    </row>
    <row r="9987" spans="1:5" ht="13.2">
      <c r="A9987" t="s">
        <v>11009</v>
      </c>
      <c r="B9987">
        <v>500</v>
      </c>
      <c r="C9987" s="44">
        <v>1400</v>
      </c>
      <c r="D9987" t="s">
        <v>291</v>
      </c>
      <c r="E9987" t="s">
        <v>9712</v>
      </c>
    </row>
    <row r="9988" spans="1:5" ht="13.2">
      <c r="A9988" t="s">
        <v>11010</v>
      </c>
      <c r="B9988">
        <v>500</v>
      </c>
      <c r="C9988" s="44">
        <v>1400</v>
      </c>
      <c r="D9988" t="s">
        <v>291</v>
      </c>
      <c r="E9988" t="s">
        <v>9712</v>
      </c>
    </row>
    <row r="9989" spans="1:5" ht="13.2">
      <c r="A9989" t="s">
        <v>11011</v>
      </c>
      <c r="B9989">
        <v>500</v>
      </c>
      <c r="C9989" s="44">
        <v>1400</v>
      </c>
      <c r="D9989" t="s">
        <v>291</v>
      </c>
      <c r="E9989" t="s">
        <v>9712</v>
      </c>
    </row>
    <row r="9990" spans="1:5" ht="13.2">
      <c r="A9990" t="s">
        <v>11012</v>
      </c>
      <c r="B9990">
        <v>500</v>
      </c>
      <c r="C9990" s="44">
        <v>1400</v>
      </c>
      <c r="D9990" t="s">
        <v>291</v>
      </c>
      <c r="E9990" t="s">
        <v>9712</v>
      </c>
    </row>
    <row r="9991" spans="1:5" ht="13.2">
      <c r="A9991" t="s">
        <v>11013</v>
      </c>
      <c r="B9991">
        <v>500</v>
      </c>
      <c r="C9991" s="44">
        <v>1400</v>
      </c>
      <c r="D9991" t="s">
        <v>291</v>
      </c>
      <c r="E9991" t="s">
        <v>9712</v>
      </c>
    </row>
    <row r="9992" spans="1:5" ht="13.2">
      <c r="A9992" t="s">
        <v>11014</v>
      </c>
      <c r="B9992">
        <v>500</v>
      </c>
      <c r="C9992" s="44">
        <v>1400</v>
      </c>
      <c r="D9992" t="s">
        <v>291</v>
      </c>
      <c r="E9992" t="s">
        <v>9712</v>
      </c>
    </row>
    <row r="9993" spans="1:5" ht="13.2">
      <c r="A9993" t="s">
        <v>11015</v>
      </c>
      <c r="B9993">
        <v>500</v>
      </c>
      <c r="C9993" s="44">
        <v>1400</v>
      </c>
      <c r="D9993" t="s">
        <v>291</v>
      </c>
      <c r="E9993" t="s">
        <v>9712</v>
      </c>
    </row>
    <row r="9994" spans="1:5" ht="13.2">
      <c r="A9994" t="s">
        <v>11016</v>
      </c>
      <c r="B9994">
        <v>0</v>
      </c>
      <c r="C9994" s="44">
        <v>1400</v>
      </c>
      <c r="D9994" t="s">
        <v>291</v>
      </c>
      <c r="E9994" t="s">
        <v>9713</v>
      </c>
    </row>
    <row r="9995" spans="1:5" ht="13.2">
      <c r="A9995" t="s">
        <v>11017</v>
      </c>
      <c r="B9995">
        <v>0</v>
      </c>
      <c r="C9995" s="44">
        <v>1400</v>
      </c>
      <c r="D9995" t="s">
        <v>291</v>
      </c>
      <c r="E9995" t="s">
        <v>9713</v>
      </c>
    </row>
    <row r="9996" spans="1:5" ht="13.2">
      <c r="A9996" t="s">
        <v>11018</v>
      </c>
      <c r="B9996">
        <v>0</v>
      </c>
      <c r="C9996" s="44">
        <v>1400</v>
      </c>
      <c r="D9996" t="s">
        <v>291</v>
      </c>
      <c r="E9996" t="s">
        <v>9713</v>
      </c>
    </row>
    <row r="9997" spans="1:5" ht="13.2">
      <c r="A9997" t="s">
        <v>11019</v>
      </c>
      <c r="B9997">
        <v>0</v>
      </c>
      <c r="C9997" s="44">
        <v>1400</v>
      </c>
      <c r="D9997" t="s">
        <v>291</v>
      </c>
      <c r="E9997" t="s">
        <v>9713</v>
      </c>
    </row>
    <row r="9998" spans="1:5" ht="13.2">
      <c r="A9998" t="s">
        <v>11020</v>
      </c>
      <c r="B9998">
        <v>0</v>
      </c>
      <c r="C9998" s="44">
        <v>1400</v>
      </c>
      <c r="D9998" t="s">
        <v>291</v>
      </c>
      <c r="E9998" t="s">
        <v>9713</v>
      </c>
    </row>
    <row r="9999" spans="1:5" ht="13.2">
      <c r="A9999" t="s">
        <v>11021</v>
      </c>
      <c r="B9999">
        <v>0</v>
      </c>
      <c r="C9999" s="44">
        <v>1400</v>
      </c>
      <c r="D9999" t="s">
        <v>291</v>
      </c>
      <c r="E9999" t="s">
        <v>9713</v>
      </c>
    </row>
    <row r="10000" spans="1:5" ht="13.2">
      <c r="A10000" t="s">
        <v>11022</v>
      </c>
      <c r="B10000">
        <v>0</v>
      </c>
      <c r="C10000" s="44">
        <v>1400</v>
      </c>
      <c r="D10000" t="s">
        <v>291</v>
      </c>
      <c r="E10000" t="s">
        <v>9713</v>
      </c>
    </row>
    <row r="10001" spans="1:5" ht="13.2">
      <c r="A10001" t="s">
        <v>11023</v>
      </c>
      <c r="B10001">
        <v>0</v>
      </c>
      <c r="C10001" s="44">
        <v>1400</v>
      </c>
      <c r="D10001" t="s">
        <v>291</v>
      </c>
      <c r="E10001" t="s">
        <v>9713</v>
      </c>
    </row>
    <row r="10002" spans="1:5" ht="13.2">
      <c r="A10002" t="s">
        <v>11024</v>
      </c>
      <c r="B10002">
        <v>170</v>
      </c>
      <c r="C10002" s="44">
        <v>1400</v>
      </c>
      <c r="D10002" t="s">
        <v>291</v>
      </c>
      <c r="E10002" t="s">
        <v>9713</v>
      </c>
    </row>
    <row r="10003" spans="1:5" ht="13.2">
      <c r="A10003" t="s">
        <v>11025</v>
      </c>
      <c r="B10003">
        <v>170</v>
      </c>
      <c r="C10003" s="44">
        <v>1400</v>
      </c>
      <c r="D10003" t="s">
        <v>291</v>
      </c>
      <c r="E10003" t="s">
        <v>9713</v>
      </c>
    </row>
    <row r="10004" spans="1:5" ht="13.2">
      <c r="A10004" t="s">
        <v>11026</v>
      </c>
      <c r="B10004">
        <v>170</v>
      </c>
      <c r="C10004" s="44">
        <v>1400</v>
      </c>
      <c r="D10004" t="s">
        <v>291</v>
      </c>
      <c r="E10004" t="s">
        <v>9713</v>
      </c>
    </row>
    <row r="10005" spans="1:5" ht="13.2">
      <c r="A10005" t="s">
        <v>11027</v>
      </c>
      <c r="B10005">
        <v>170</v>
      </c>
      <c r="C10005" s="44">
        <v>1400</v>
      </c>
      <c r="D10005" t="s">
        <v>291</v>
      </c>
      <c r="E10005" t="s">
        <v>9713</v>
      </c>
    </row>
    <row r="10006" spans="1:5" ht="13.2">
      <c r="A10006" t="s">
        <v>11028</v>
      </c>
      <c r="B10006">
        <v>170</v>
      </c>
      <c r="C10006" s="44">
        <v>1400</v>
      </c>
      <c r="D10006" t="s">
        <v>291</v>
      </c>
      <c r="E10006" t="s">
        <v>9713</v>
      </c>
    </row>
    <row r="10007" spans="1:6" ht="13.2">
      <c r="A10007" t="s">
        <v>11029</v>
      </c>
      <c r="B10007">
        <v>0</v>
      </c>
      <c r="C10007" s="44" t="s">
        <v>203</v>
      </c>
      <c r="D10007" t="s">
        <v>293</v>
      </c>
      <c r="E10007" t="s">
        <v>6416</v>
      </c>
      <c r="F10007">
        <v>14</v>
      </c>
    </row>
    <row r="10008" spans="1:6" ht="13.2">
      <c r="A10008" t="s">
        <v>11030</v>
      </c>
      <c r="B10008">
        <v>0</v>
      </c>
      <c r="C10008" s="44" t="s">
        <v>203</v>
      </c>
      <c r="D10008" t="s">
        <v>293</v>
      </c>
      <c r="E10008" t="s">
        <v>6416</v>
      </c>
      <c r="F10008">
        <v>14</v>
      </c>
    </row>
    <row r="10009" spans="1:6" ht="13.2">
      <c r="A10009" t="s">
        <v>11031</v>
      </c>
      <c r="B10009">
        <v>0</v>
      </c>
      <c r="C10009" s="44" t="s">
        <v>203</v>
      </c>
      <c r="D10009" t="s">
        <v>293</v>
      </c>
      <c r="E10009" t="s">
        <v>6416</v>
      </c>
      <c r="F10009">
        <v>14</v>
      </c>
    </row>
    <row r="10010" spans="1:6" ht="13.2">
      <c r="A10010" t="s">
        <v>11032</v>
      </c>
      <c r="B10010">
        <v>0</v>
      </c>
      <c r="C10010" s="44" t="s">
        <v>203</v>
      </c>
      <c r="D10010" t="s">
        <v>293</v>
      </c>
      <c r="E10010" t="s">
        <v>6416</v>
      </c>
      <c r="F10010">
        <v>14</v>
      </c>
    </row>
    <row r="10011" spans="1:6" ht="13.2">
      <c r="A10011" t="s">
        <v>11033</v>
      </c>
      <c r="B10011">
        <v>0</v>
      </c>
      <c r="C10011" s="44" t="s">
        <v>203</v>
      </c>
      <c r="D10011" t="s">
        <v>293</v>
      </c>
      <c r="E10011" t="s">
        <v>6416</v>
      </c>
      <c r="F10011">
        <v>14</v>
      </c>
    </row>
    <row r="10012" spans="1:6" ht="13.2">
      <c r="A10012" t="s">
        <v>11034</v>
      </c>
      <c r="B10012">
        <v>0</v>
      </c>
      <c r="C10012" s="44" t="s">
        <v>203</v>
      </c>
      <c r="D10012" t="s">
        <v>293</v>
      </c>
      <c r="E10012" t="s">
        <v>6416</v>
      </c>
      <c r="F10012">
        <v>14</v>
      </c>
    </row>
    <row r="10013" spans="1:6" ht="13.2">
      <c r="A10013" t="s">
        <v>11035</v>
      </c>
      <c r="B10013">
        <v>0</v>
      </c>
      <c r="C10013" s="44" t="s">
        <v>203</v>
      </c>
      <c r="D10013" t="s">
        <v>293</v>
      </c>
      <c r="E10013" t="s">
        <v>6416</v>
      </c>
      <c r="F10013">
        <v>14</v>
      </c>
    </row>
    <row r="10014" spans="1:6" ht="13.2">
      <c r="A10014" t="s">
        <v>11036</v>
      </c>
      <c r="B10014">
        <v>0</v>
      </c>
      <c r="C10014" s="44" t="s">
        <v>203</v>
      </c>
      <c r="D10014" t="s">
        <v>293</v>
      </c>
      <c r="E10014" t="s">
        <v>6416</v>
      </c>
      <c r="F10014">
        <v>14</v>
      </c>
    </row>
    <row r="10015" spans="1:6" ht="13.2">
      <c r="A10015" t="s">
        <v>11037</v>
      </c>
      <c r="B10015">
        <v>0</v>
      </c>
      <c r="C10015" s="44" t="s">
        <v>203</v>
      </c>
      <c r="D10015" t="s">
        <v>293</v>
      </c>
      <c r="E10015" t="s">
        <v>6416</v>
      </c>
      <c r="F10015">
        <v>14</v>
      </c>
    </row>
    <row r="10016" spans="1:6" ht="13.2">
      <c r="A10016" t="s">
        <v>11038</v>
      </c>
      <c r="B10016">
        <v>0</v>
      </c>
      <c r="C10016" s="44" t="s">
        <v>203</v>
      </c>
      <c r="D10016" t="s">
        <v>293</v>
      </c>
      <c r="E10016" t="s">
        <v>6416</v>
      </c>
      <c r="F10016">
        <v>14</v>
      </c>
    </row>
    <row r="10017" spans="1:6" ht="13.2">
      <c r="A10017" t="s">
        <v>11039</v>
      </c>
      <c r="B10017">
        <v>0</v>
      </c>
      <c r="C10017" s="44" t="s">
        <v>203</v>
      </c>
      <c r="D10017" t="s">
        <v>293</v>
      </c>
      <c r="E10017" t="s">
        <v>6416</v>
      </c>
      <c r="F10017">
        <v>14</v>
      </c>
    </row>
    <row r="10018" spans="1:6" ht="13.2">
      <c r="A10018" t="s">
        <v>11040</v>
      </c>
      <c r="B10018">
        <v>0</v>
      </c>
      <c r="C10018" s="44" t="s">
        <v>203</v>
      </c>
      <c r="D10018" t="s">
        <v>293</v>
      </c>
      <c r="E10018" t="s">
        <v>6416</v>
      </c>
      <c r="F10018">
        <v>14</v>
      </c>
    </row>
    <row r="10019" spans="1:6" ht="13.2">
      <c r="A10019" t="s">
        <v>11041</v>
      </c>
      <c r="B10019">
        <v>0</v>
      </c>
      <c r="C10019" s="44" t="s">
        <v>203</v>
      </c>
      <c r="D10019" t="s">
        <v>293</v>
      </c>
      <c r="E10019" t="s">
        <v>6416</v>
      </c>
      <c r="F10019">
        <v>14</v>
      </c>
    </row>
    <row r="10020" spans="1:6" ht="13.2">
      <c r="A10020" t="s">
        <v>11042</v>
      </c>
      <c r="B10020">
        <v>0</v>
      </c>
      <c r="C10020" s="44" t="s">
        <v>203</v>
      </c>
      <c r="D10020" t="s">
        <v>293</v>
      </c>
      <c r="E10020" t="s">
        <v>6416</v>
      </c>
      <c r="F10020">
        <v>14</v>
      </c>
    </row>
    <row r="10021" spans="1:6" ht="13.2">
      <c r="A10021" t="s">
        <v>11043</v>
      </c>
      <c r="B10021">
        <v>0</v>
      </c>
      <c r="C10021" s="44" t="s">
        <v>9832</v>
      </c>
      <c r="D10021" t="s">
        <v>293</v>
      </c>
      <c r="E10021" t="s">
        <v>256</v>
      </c>
      <c r="F10021">
        <v>4</v>
      </c>
    </row>
    <row r="10022" spans="1:6" ht="13.2">
      <c r="A10022" t="s">
        <v>11044</v>
      </c>
      <c r="B10022">
        <v>0</v>
      </c>
      <c r="C10022" s="44" t="s">
        <v>9832</v>
      </c>
      <c r="D10022" t="s">
        <v>293</v>
      </c>
      <c r="E10022" t="s">
        <v>256</v>
      </c>
      <c r="F10022">
        <v>4</v>
      </c>
    </row>
    <row r="10023" spans="1:6" ht="13.2">
      <c r="A10023" t="s">
        <v>11045</v>
      </c>
      <c r="B10023">
        <v>0</v>
      </c>
      <c r="C10023" s="44" t="s">
        <v>9832</v>
      </c>
      <c r="D10023" t="s">
        <v>293</v>
      </c>
      <c r="E10023" t="s">
        <v>256</v>
      </c>
      <c r="F10023">
        <v>4</v>
      </c>
    </row>
    <row r="10024" spans="1:6" ht="13.2">
      <c r="A10024" t="s">
        <v>11046</v>
      </c>
      <c r="B10024">
        <v>0</v>
      </c>
      <c r="C10024" s="44" t="s">
        <v>9832</v>
      </c>
      <c r="D10024" t="s">
        <v>293</v>
      </c>
      <c r="E10024" t="s">
        <v>256</v>
      </c>
      <c r="F10024">
        <v>4</v>
      </c>
    </row>
    <row r="10025" spans="1:6" ht="13.2">
      <c r="A10025" t="s">
        <v>11047</v>
      </c>
      <c r="B10025">
        <v>0</v>
      </c>
      <c r="C10025" s="44" t="s">
        <v>9832</v>
      </c>
      <c r="D10025" t="s">
        <v>293</v>
      </c>
      <c r="E10025" t="s">
        <v>256</v>
      </c>
      <c r="F10025">
        <v>4</v>
      </c>
    </row>
    <row r="10026" spans="1:6" ht="13.2">
      <c r="A10026" t="s">
        <v>11048</v>
      </c>
      <c r="B10026">
        <v>0</v>
      </c>
      <c r="C10026" s="44" t="s">
        <v>9832</v>
      </c>
      <c r="D10026" t="s">
        <v>293</v>
      </c>
      <c r="E10026" t="s">
        <v>256</v>
      </c>
      <c r="F10026">
        <v>4</v>
      </c>
    </row>
    <row r="10027" spans="1:6" ht="13.2">
      <c r="A10027" t="s">
        <v>11049</v>
      </c>
      <c r="B10027">
        <v>0</v>
      </c>
      <c r="C10027" s="44" t="s">
        <v>9832</v>
      </c>
      <c r="D10027" t="s">
        <v>293</v>
      </c>
      <c r="E10027" t="s">
        <v>256</v>
      </c>
      <c r="F10027">
        <v>4</v>
      </c>
    </row>
    <row r="10028" spans="1:6" ht="13.2">
      <c r="A10028" t="s">
        <v>11050</v>
      </c>
      <c r="B10028">
        <v>0</v>
      </c>
      <c r="C10028" s="44" t="s">
        <v>9832</v>
      </c>
      <c r="D10028" t="s">
        <v>293</v>
      </c>
      <c r="E10028" t="s">
        <v>256</v>
      </c>
      <c r="F10028">
        <v>4</v>
      </c>
    </row>
    <row r="10029" spans="1:6" ht="13.2">
      <c r="A10029" t="s">
        <v>11051</v>
      </c>
      <c r="B10029">
        <v>0</v>
      </c>
      <c r="C10029" s="44" t="s">
        <v>9832</v>
      </c>
      <c r="D10029" t="s">
        <v>293</v>
      </c>
      <c r="E10029" t="s">
        <v>256</v>
      </c>
      <c r="F10029">
        <v>4</v>
      </c>
    </row>
    <row r="10030" spans="1:6" ht="13.2">
      <c r="A10030" t="s">
        <v>11052</v>
      </c>
      <c r="B10030">
        <v>0</v>
      </c>
      <c r="C10030" s="44" t="s">
        <v>9832</v>
      </c>
      <c r="D10030" t="s">
        <v>293</v>
      </c>
      <c r="E10030" t="s">
        <v>256</v>
      </c>
      <c r="F10030">
        <v>4</v>
      </c>
    </row>
    <row r="10031" spans="1:6" ht="13.2">
      <c r="A10031" t="s">
        <v>11053</v>
      </c>
      <c r="B10031">
        <v>0</v>
      </c>
      <c r="C10031" s="44" t="s">
        <v>9832</v>
      </c>
      <c r="D10031" t="s">
        <v>293</v>
      </c>
      <c r="E10031" t="s">
        <v>256</v>
      </c>
      <c r="F10031">
        <v>4</v>
      </c>
    </row>
    <row r="10032" spans="1:6" ht="13.2">
      <c r="A10032" t="s">
        <v>11054</v>
      </c>
      <c r="B10032">
        <v>0</v>
      </c>
      <c r="C10032" s="44" t="s">
        <v>9832</v>
      </c>
      <c r="D10032" t="s">
        <v>293</v>
      </c>
      <c r="E10032" t="s">
        <v>256</v>
      </c>
      <c r="F10032">
        <v>4</v>
      </c>
    </row>
    <row r="10033" spans="1:6" ht="13.2">
      <c r="A10033" t="s">
        <v>11055</v>
      </c>
      <c r="B10033">
        <v>0</v>
      </c>
      <c r="C10033" s="44" t="s">
        <v>9832</v>
      </c>
      <c r="D10033" t="s">
        <v>293</v>
      </c>
      <c r="E10033" t="s">
        <v>256</v>
      </c>
      <c r="F10033">
        <v>4</v>
      </c>
    </row>
    <row r="10034" spans="1:6" ht="13.2">
      <c r="A10034" t="s">
        <v>11056</v>
      </c>
      <c r="B10034">
        <v>320</v>
      </c>
      <c r="C10034" s="44">
        <v>1400</v>
      </c>
      <c r="D10034" t="s">
        <v>291</v>
      </c>
      <c r="E10034" t="s">
        <v>10117</v>
      </c>
      <c r="F10034" t="s">
        <v>3824</v>
      </c>
    </row>
    <row r="10035" spans="1:6" ht="13.2">
      <c r="A10035" t="s">
        <v>11057</v>
      </c>
      <c r="B10035">
        <v>320</v>
      </c>
      <c r="C10035" s="44">
        <v>1400</v>
      </c>
      <c r="D10035" t="s">
        <v>291</v>
      </c>
      <c r="E10035" t="s">
        <v>10117</v>
      </c>
      <c r="F10035" t="s">
        <v>3824</v>
      </c>
    </row>
    <row r="10036" spans="1:6" ht="13.2">
      <c r="A10036" t="s">
        <v>11058</v>
      </c>
      <c r="B10036">
        <v>320</v>
      </c>
      <c r="C10036" s="44">
        <v>1400</v>
      </c>
      <c r="D10036" t="s">
        <v>291</v>
      </c>
      <c r="E10036" t="s">
        <v>10117</v>
      </c>
      <c r="F10036" t="s">
        <v>3824</v>
      </c>
    </row>
    <row r="10037" spans="1:6" ht="13.2">
      <c r="A10037" t="s">
        <v>11059</v>
      </c>
      <c r="B10037">
        <v>320</v>
      </c>
      <c r="C10037" s="44">
        <v>1400</v>
      </c>
      <c r="D10037" t="s">
        <v>291</v>
      </c>
      <c r="E10037" t="s">
        <v>10117</v>
      </c>
      <c r="F10037" t="s">
        <v>3824</v>
      </c>
    </row>
    <row r="10038" spans="1:6" ht="13.2">
      <c r="A10038" t="s">
        <v>11060</v>
      </c>
      <c r="B10038">
        <v>320</v>
      </c>
      <c r="C10038" s="44">
        <v>1400</v>
      </c>
      <c r="D10038" t="s">
        <v>291</v>
      </c>
      <c r="E10038" t="s">
        <v>10117</v>
      </c>
      <c r="F10038" t="s">
        <v>3824</v>
      </c>
    </row>
    <row r="10039" spans="1:6" ht="13.2">
      <c r="A10039" t="s">
        <v>11061</v>
      </c>
      <c r="B10039">
        <v>320</v>
      </c>
      <c r="C10039" s="44">
        <v>1400</v>
      </c>
      <c r="D10039" t="s">
        <v>291</v>
      </c>
      <c r="E10039" t="s">
        <v>10117</v>
      </c>
      <c r="F10039" t="s">
        <v>3824</v>
      </c>
    </row>
    <row r="10040" spans="1:6" ht="13.2">
      <c r="A10040" t="s">
        <v>11062</v>
      </c>
      <c r="B10040">
        <v>0</v>
      </c>
      <c r="C10040" s="44" t="s">
        <v>204</v>
      </c>
      <c r="D10040" t="s">
        <v>293</v>
      </c>
      <c r="E10040" t="s">
        <v>364</v>
      </c>
      <c r="F10040">
        <v>4</v>
      </c>
    </row>
    <row r="10041" spans="1:6" ht="13.2">
      <c r="A10041" t="s">
        <v>11063</v>
      </c>
      <c r="B10041">
        <v>0</v>
      </c>
      <c r="C10041" s="44" t="s">
        <v>204</v>
      </c>
      <c r="D10041" t="s">
        <v>293</v>
      </c>
      <c r="E10041" t="s">
        <v>364</v>
      </c>
      <c r="F10041">
        <v>4</v>
      </c>
    </row>
    <row r="10042" spans="1:6" ht="13.2">
      <c r="A10042" t="s">
        <v>11064</v>
      </c>
      <c r="B10042">
        <v>0</v>
      </c>
      <c r="C10042" s="44" t="s">
        <v>204</v>
      </c>
      <c r="D10042" t="s">
        <v>293</v>
      </c>
      <c r="E10042" t="s">
        <v>364</v>
      </c>
      <c r="F10042">
        <v>4</v>
      </c>
    </row>
    <row r="10043" spans="1:6" ht="13.2">
      <c r="A10043" t="s">
        <v>11065</v>
      </c>
      <c r="B10043">
        <v>0</v>
      </c>
      <c r="C10043" s="44" t="s">
        <v>204</v>
      </c>
      <c r="D10043" t="s">
        <v>293</v>
      </c>
      <c r="E10043" t="s">
        <v>364</v>
      </c>
      <c r="F10043">
        <v>4</v>
      </c>
    </row>
    <row r="10044" spans="1:6" ht="13.2">
      <c r="A10044" t="s">
        <v>11066</v>
      </c>
      <c r="B10044">
        <v>0</v>
      </c>
      <c r="C10044" s="44" t="s">
        <v>204</v>
      </c>
      <c r="D10044" t="s">
        <v>293</v>
      </c>
      <c r="E10044" t="s">
        <v>364</v>
      </c>
      <c r="F10044">
        <v>4</v>
      </c>
    </row>
    <row r="10045" spans="1:6" ht="13.2">
      <c r="A10045" t="s">
        <v>11067</v>
      </c>
      <c r="B10045">
        <v>0</v>
      </c>
      <c r="C10045" s="44" t="s">
        <v>204</v>
      </c>
      <c r="D10045" t="s">
        <v>293</v>
      </c>
      <c r="E10045" t="s">
        <v>364</v>
      </c>
      <c r="F10045">
        <v>4</v>
      </c>
    </row>
    <row r="10046" spans="1:6" ht="13.2">
      <c r="A10046" t="s">
        <v>11068</v>
      </c>
      <c r="B10046">
        <v>0</v>
      </c>
      <c r="C10046" s="44" t="s">
        <v>204</v>
      </c>
      <c r="D10046" t="s">
        <v>293</v>
      </c>
      <c r="E10046" t="s">
        <v>364</v>
      </c>
      <c r="F10046">
        <v>4</v>
      </c>
    </row>
    <row r="10047" spans="1:6" ht="13.2">
      <c r="A10047" t="s">
        <v>11069</v>
      </c>
      <c r="B10047">
        <v>0</v>
      </c>
      <c r="C10047" s="44" t="s">
        <v>204</v>
      </c>
      <c r="D10047" t="s">
        <v>293</v>
      </c>
      <c r="E10047" t="s">
        <v>364</v>
      </c>
      <c r="F10047">
        <v>4</v>
      </c>
    </row>
    <row r="10048" spans="1:6" ht="13.2">
      <c r="A10048" t="s">
        <v>11070</v>
      </c>
      <c r="B10048">
        <v>0</v>
      </c>
      <c r="C10048" s="44" t="s">
        <v>204</v>
      </c>
      <c r="D10048" t="s">
        <v>293</v>
      </c>
      <c r="E10048" t="s">
        <v>364</v>
      </c>
      <c r="F10048">
        <v>4</v>
      </c>
    </row>
    <row r="10049" spans="1:6" ht="13.2">
      <c r="A10049" t="s">
        <v>11071</v>
      </c>
      <c r="B10049">
        <v>0</v>
      </c>
      <c r="C10049" s="44" t="s">
        <v>204</v>
      </c>
      <c r="D10049" t="s">
        <v>293</v>
      </c>
      <c r="E10049" t="s">
        <v>364</v>
      </c>
      <c r="F10049">
        <v>4</v>
      </c>
    </row>
    <row r="10050" spans="1:6" ht="13.2">
      <c r="A10050" t="s">
        <v>11072</v>
      </c>
      <c r="B10050">
        <v>0</v>
      </c>
      <c r="C10050" s="44" t="s">
        <v>204</v>
      </c>
      <c r="D10050" t="s">
        <v>293</v>
      </c>
      <c r="E10050" t="s">
        <v>364</v>
      </c>
      <c r="F10050">
        <v>4</v>
      </c>
    </row>
    <row r="10051" spans="1:6" ht="13.2">
      <c r="A10051" t="s">
        <v>11073</v>
      </c>
      <c r="B10051">
        <v>0</v>
      </c>
      <c r="C10051" s="44" t="s">
        <v>204</v>
      </c>
      <c r="D10051" t="s">
        <v>293</v>
      </c>
      <c r="E10051" t="s">
        <v>364</v>
      </c>
      <c r="F10051">
        <v>4</v>
      </c>
    </row>
    <row r="10052" spans="1:6" ht="13.2">
      <c r="A10052" t="s">
        <v>11074</v>
      </c>
      <c r="B10052">
        <v>0</v>
      </c>
      <c r="C10052" s="44" t="s">
        <v>204</v>
      </c>
      <c r="D10052" t="s">
        <v>293</v>
      </c>
      <c r="E10052" t="s">
        <v>364</v>
      </c>
      <c r="F10052">
        <v>4</v>
      </c>
    </row>
    <row r="10053" spans="1:6" ht="13.2">
      <c r="A10053" t="s">
        <v>11075</v>
      </c>
      <c r="B10053">
        <v>0</v>
      </c>
      <c r="C10053" s="44" t="s">
        <v>204</v>
      </c>
      <c r="D10053" t="s">
        <v>293</v>
      </c>
      <c r="E10053" t="s">
        <v>364</v>
      </c>
      <c r="F10053">
        <v>4</v>
      </c>
    </row>
    <row r="10054" spans="1:6" ht="13.2">
      <c r="A10054" t="s">
        <v>11076</v>
      </c>
      <c r="B10054">
        <v>0</v>
      </c>
      <c r="C10054" s="44" t="s">
        <v>204</v>
      </c>
      <c r="D10054" t="s">
        <v>293</v>
      </c>
      <c r="E10054" t="s">
        <v>364</v>
      </c>
      <c r="F10054">
        <v>4</v>
      </c>
    </row>
    <row r="10055" spans="1:6" ht="13.2">
      <c r="A10055" t="s">
        <v>11077</v>
      </c>
      <c r="B10055">
        <v>0</v>
      </c>
      <c r="C10055" s="44" t="s">
        <v>204</v>
      </c>
      <c r="D10055" t="s">
        <v>293</v>
      </c>
      <c r="E10055" t="s">
        <v>364</v>
      </c>
      <c r="F10055">
        <v>4</v>
      </c>
    </row>
    <row r="10056" spans="1:6" ht="13.2">
      <c r="A10056" t="s">
        <v>11078</v>
      </c>
      <c r="B10056">
        <v>0</v>
      </c>
      <c r="C10056" s="44" t="s">
        <v>204</v>
      </c>
      <c r="D10056" t="s">
        <v>293</v>
      </c>
      <c r="E10056" t="s">
        <v>364</v>
      </c>
      <c r="F10056">
        <v>4</v>
      </c>
    </row>
    <row r="10057" spans="1:6" ht="13.2">
      <c r="A10057" t="s">
        <v>11079</v>
      </c>
      <c r="B10057">
        <v>0</v>
      </c>
      <c r="C10057" s="44" t="s">
        <v>204</v>
      </c>
      <c r="D10057" t="s">
        <v>293</v>
      </c>
      <c r="E10057" t="s">
        <v>364</v>
      </c>
      <c r="F10057">
        <v>4</v>
      </c>
    </row>
    <row r="10058" spans="1:6" ht="13.2">
      <c r="A10058" t="s">
        <v>11080</v>
      </c>
      <c r="B10058">
        <v>0</v>
      </c>
      <c r="C10058" s="44" t="s">
        <v>204</v>
      </c>
      <c r="D10058" t="s">
        <v>293</v>
      </c>
      <c r="E10058" t="s">
        <v>364</v>
      </c>
      <c r="F10058">
        <v>4</v>
      </c>
    </row>
    <row r="10059" spans="1:6" ht="13.2">
      <c r="A10059" t="s">
        <v>11081</v>
      </c>
      <c r="B10059">
        <v>0</v>
      </c>
      <c r="C10059" s="44" t="s">
        <v>204</v>
      </c>
      <c r="D10059" t="s">
        <v>291</v>
      </c>
      <c r="E10059" t="s">
        <v>364</v>
      </c>
      <c r="F10059">
        <v>4</v>
      </c>
    </row>
    <row r="10060" spans="1:6" ht="13.2">
      <c r="A10060" t="s">
        <v>11082</v>
      </c>
      <c r="B10060">
        <v>0</v>
      </c>
      <c r="C10060" s="44" t="s">
        <v>204</v>
      </c>
      <c r="D10060" t="s">
        <v>291</v>
      </c>
      <c r="E10060" t="s">
        <v>364</v>
      </c>
      <c r="F10060">
        <v>4</v>
      </c>
    </row>
    <row r="10061" spans="1:6" ht="13.2">
      <c r="A10061" t="s">
        <v>11083</v>
      </c>
      <c r="B10061">
        <v>0</v>
      </c>
      <c r="C10061" s="44" t="s">
        <v>204</v>
      </c>
      <c r="D10061" t="s">
        <v>291</v>
      </c>
      <c r="E10061" t="s">
        <v>364</v>
      </c>
      <c r="F10061">
        <v>4</v>
      </c>
    </row>
    <row r="10062" spans="1:6" ht="13.2">
      <c r="A10062" t="s">
        <v>11084</v>
      </c>
      <c r="B10062">
        <v>0</v>
      </c>
      <c r="C10062" s="44" t="s">
        <v>204</v>
      </c>
      <c r="D10062" t="s">
        <v>291</v>
      </c>
      <c r="E10062" t="s">
        <v>364</v>
      </c>
      <c r="F10062">
        <v>4</v>
      </c>
    </row>
    <row r="10063" spans="1:6" ht="13.2">
      <c r="A10063" t="s">
        <v>11085</v>
      </c>
      <c r="B10063">
        <v>0</v>
      </c>
      <c r="C10063" s="44" t="s">
        <v>204</v>
      </c>
      <c r="D10063" t="s">
        <v>291</v>
      </c>
      <c r="E10063" t="s">
        <v>364</v>
      </c>
      <c r="F10063">
        <v>4</v>
      </c>
    </row>
    <row r="10064" spans="1:6" ht="13.2">
      <c r="A10064" t="s">
        <v>11086</v>
      </c>
      <c r="B10064">
        <v>0</v>
      </c>
      <c r="C10064" s="44" t="s">
        <v>204</v>
      </c>
      <c r="D10064" t="s">
        <v>291</v>
      </c>
      <c r="E10064" t="s">
        <v>364</v>
      </c>
      <c r="F10064">
        <v>4</v>
      </c>
    </row>
    <row r="10065" spans="1:6" ht="13.2">
      <c r="A10065" t="s">
        <v>11087</v>
      </c>
      <c r="B10065">
        <v>0</v>
      </c>
      <c r="C10065" s="44" t="s">
        <v>204</v>
      </c>
      <c r="D10065" t="s">
        <v>291</v>
      </c>
      <c r="E10065" t="s">
        <v>364</v>
      </c>
      <c r="F10065">
        <v>4</v>
      </c>
    </row>
    <row r="10066" spans="1:6" ht="13.2">
      <c r="A10066" t="s">
        <v>11088</v>
      </c>
      <c r="B10066">
        <v>0</v>
      </c>
      <c r="C10066" s="44" t="s">
        <v>204</v>
      </c>
      <c r="D10066" t="s">
        <v>291</v>
      </c>
      <c r="E10066" t="s">
        <v>364</v>
      </c>
      <c r="F10066">
        <v>4</v>
      </c>
    </row>
    <row r="10067" spans="1:6" ht="13.2">
      <c r="A10067" t="s">
        <v>11089</v>
      </c>
      <c r="B10067">
        <v>0</v>
      </c>
      <c r="C10067" s="44" t="s">
        <v>204</v>
      </c>
      <c r="D10067" t="s">
        <v>291</v>
      </c>
      <c r="E10067" t="s">
        <v>364</v>
      </c>
      <c r="F10067">
        <v>4</v>
      </c>
    </row>
    <row r="10068" spans="1:6" ht="13.2">
      <c r="A10068" t="s">
        <v>11090</v>
      </c>
      <c r="B10068">
        <v>0</v>
      </c>
      <c r="C10068" s="44" t="s">
        <v>204</v>
      </c>
      <c r="D10068" t="s">
        <v>291</v>
      </c>
      <c r="E10068" t="s">
        <v>364</v>
      </c>
      <c r="F10068">
        <v>4</v>
      </c>
    </row>
    <row r="10069" spans="1:6" ht="13.2">
      <c r="A10069" t="s">
        <v>11091</v>
      </c>
      <c r="B10069">
        <v>0</v>
      </c>
      <c r="C10069" s="44" t="s">
        <v>204</v>
      </c>
      <c r="D10069" t="s">
        <v>291</v>
      </c>
      <c r="E10069" t="s">
        <v>364</v>
      </c>
      <c r="F10069">
        <v>4</v>
      </c>
    </row>
    <row r="10070" spans="1:6" ht="13.2">
      <c r="A10070" t="s">
        <v>11092</v>
      </c>
      <c r="B10070">
        <v>0</v>
      </c>
      <c r="C10070" s="44" t="s">
        <v>204</v>
      </c>
      <c r="D10070" t="s">
        <v>291</v>
      </c>
      <c r="E10070" t="s">
        <v>364</v>
      </c>
      <c r="F10070">
        <v>4</v>
      </c>
    </row>
    <row r="10071" spans="1:6" ht="13.2">
      <c r="A10071" t="s">
        <v>11093</v>
      </c>
      <c r="B10071">
        <v>0</v>
      </c>
      <c r="C10071" s="44" t="s">
        <v>204</v>
      </c>
      <c r="D10071" t="s">
        <v>291</v>
      </c>
      <c r="E10071" t="s">
        <v>364</v>
      </c>
      <c r="F10071">
        <v>4</v>
      </c>
    </row>
    <row r="10072" spans="1:6" ht="13.2">
      <c r="A10072" t="s">
        <v>11094</v>
      </c>
      <c r="B10072">
        <v>0</v>
      </c>
      <c r="C10072" s="44" t="s">
        <v>204</v>
      </c>
      <c r="D10072" t="s">
        <v>291</v>
      </c>
      <c r="E10072" t="s">
        <v>364</v>
      </c>
      <c r="F10072">
        <v>4</v>
      </c>
    </row>
    <row r="10073" spans="1:6" ht="13.2">
      <c r="A10073" t="s">
        <v>11095</v>
      </c>
      <c r="B10073">
        <v>0</v>
      </c>
      <c r="C10073" s="44" t="s">
        <v>204</v>
      </c>
      <c r="D10073" t="s">
        <v>291</v>
      </c>
      <c r="E10073" t="s">
        <v>364</v>
      </c>
      <c r="F10073">
        <v>4</v>
      </c>
    </row>
    <row r="10074" spans="1:6" ht="13.2">
      <c r="A10074" t="s">
        <v>11096</v>
      </c>
      <c r="B10074">
        <v>0</v>
      </c>
      <c r="C10074" s="44" t="s">
        <v>204</v>
      </c>
      <c r="D10074" t="s">
        <v>291</v>
      </c>
      <c r="E10074" t="s">
        <v>364</v>
      </c>
      <c r="F10074">
        <v>4</v>
      </c>
    </row>
    <row r="10075" spans="1:6" ht="13.2">
      <c r="A10075" t="s">
        <v>11097</v>
      </c>
      <c r="B10075">
        <v>0</v>
      </c>
      <c r="C10075" s="44" t="s">
        <v>204</v>
      </c>
      <c r="D10075" t="s">
        <v>291</v>
      </c>
      <c r="E10075" t="s">
        <v>364</v>
      </c>
      <c r="F10075">
        <v>4</v>
      </c>
    </row>
    <row r="10076" spans="1:6" ht="13.2">
      <c r="A10076" t="s">
        <v>11098</v>
      </c>
      <c r="B10076">
        <v>0</v>
      </c>
      <c r="C10076" s="44" t="s">
        <v>204</v>
      </c>
      <c r="D10076" t="s">
        <v>291</v>
      </c>
      <c r="E10076" t="s">
        <v>364</v>
      </c>
      <c r="F10076">
        <v>4</v>
      </c>
    </row>
    <row r="10077" spans="1:6" ht="13.2">
      <c r="A10077" t="s">
        <v>11099</v>
      </c>
      <c r="B10077">
        <v>0</v>
      </c>
      <c r="C10077" s="44" t="s">
        <v>204</v>
      </c>
      <c r="D10077" t="s">
        <v>291</v>
      </c>
      <c r="E10077" t="s">
        <v>364</v>
      </c>
      <c r="F10077">
        <v>4</v>
      </c>
    </row>
    <row r="10078" spans="1:5" ht="13.2">
      <c r="A10078" t="s">
        <v>11100</v>
      </c>
      <c r="B10078">
        <v>570</v>
      </c>
      <c r="C10078" s="44">
        <v>1400</v>
      </c>
      <c r="D10078" t="s">
        <v>291</v>
      </c>
      <c r="E10078" t="s">
        <v>364</v>
      </c>
    </row>
    <row r="10079" spans="1:5" ht="13.2">
      <c r="A10079" t="s">
        <v>11101</v>
      </c>
      <c r="B10079">
        <v>570</v>
      </c>
      <c r="C10079" s="44">
        <v>1400</v>
      </c>
      <c r="D10079" t="s">
        <v>291</v>
      </c>
      <c r="E10079" t="s">
        <v>364</v>
      </c>
    </row>
    <row r="10080" spans="1:5" ht="13.2">
      <c r="A10080" t="s">
        <v>11102</v>
      </c>
      <c r="B10080">
        <v>570</v>
      </c>
      <c r="C10080" s="44">
        <v>1400</v>
      </c>
      <c r="D10080" t="s">
        <v>291</v>
      </c>
      <c r="E10080" t="s">
        <v>364</v>
      </c>
    </row>
    <row r="10081" spans="1:5" ht="13.2">
      <c r="A10081" t="s">
        <v>11103</v>
      </c>
      <c r="B10081">
        <v>570</v>
      </c>
      <c r="C10081" s="44">
        <v>1400</v>
      </c>
      <c r="D10081" t="s">
        <v>291</v>
      </c>
      <c r="E10081" t="s">
        <v>364</v>
      </c>
    </row>
    <row r="10082" spans="1:5" ht="13.2">
      <c r="A10082" t="s">
        <v>11104</v>
      </c>
      <c r="B10082">
        <v>570</v>
      </c>
      <c r="C10082" s="44">
        <v>1400</v>
      </c>
      <c r="D10082" t="s">
        <v>291</v>
      </c>
      <c r="E10082" t="s">
        <v>364</v>
      </c>
    </row>
    <row r="10083" spans="1:5" ht="13.2">
      <c r="A10083" t="s">
        <v>11105</v>
      </c>
      <c r="B10083">
        <v>570</v>
      </c>
      <c r="C10083" s="44">
        <v>1400</v>
      </c>
      <c r="D10083" t="s">
        <v>291</v>
      </c>
      <c r="E10083" t="s">
        <v>364</v>
      </c>
    </row>
    <row r="10084" spans="1:6" ht="13.2">
      <c r="A10084" t="s">
        <v>11141</v>
      </c>
      <c r="B10084">
        <v>430</v>
      </c>
      <c r="C10084" s="44">
        <v>1390</v>
      </c>
      <c r="D10084" t="s">
        <v>291</v>
      </c>
      <c r="E10084" t="s">
        <v>11142</v>
      </c>
      <c r="F10084">
        <v>4</v>
      </c>
    </row>
    <row r="10085" spans="1:6" ht="13.2">
      <c r="A10085" t="s">
        <v>11143</v>
      </c>
      <c r="B10085">
        <v>430</v>
      </c>
      <c r="C10085" s="44">
        <v>1390</v>
      </c>
      <c r="D10085" t="s">
        <v>291</v>
      </c>
      <c r="E10085" t="s">
        <v>11142</v>
      </c>
      <c r="F10085">
        <v>4</v>
      </c>
    </row>
    <row r="10086" spans="1:6" ht="13.2">
      <c r="A10086" t="s">
        <v>11144</v>
      </c>
      <c r="B10086">
        <v>430</v>
      </c>
      <c r="C10086" s="44">
        <v>1390</v>
      </c>
      <c r="D10086" t="s">
        <v>291</v>
      </c>
      <c r="E10086" t="s">
        <v>11142</v>
      </c>
      <c r="F10086">
        <v>4</v>
      </c>
    </row>
    <row r="10087" spans="1:6" ht="13.2">
      <c r="A10087" t="s">
        <v>11145</v>
      </c>
      <c r="B10087">
        <v>430</v>
      </c>
      <c r="C10087" s="44">
        <v>1390</v>
      </c>
      <c r="D10087" t="s">
        <v>291</v>
      </c>
      <c r="E10087" t="s">
        <v>11142</v>
      </c>
      <c r="F10087">
        <v>4</v>
      </c>
    </row>
    <row r="10088" spans="1:6" ht="13.2">
      <c r="A10088" t="s">
        <v>11146</v>
      </c>
      <c r="B10088">
        <v>430</v>
      </c>
      <c r="C10088" s="44">
        <v>1390</v>
      </c>
      <c r="D10088" t="s">
        <v>291</v>
      </c>
      <c r="E10088" t="s">
        <v>11142</v>
      </c>
      <c r="F10088">
        <v>4</v>
      </c>
    </row>
    <row r="10089" spans="1:6" ht="13.2">
      <c r="A10089" t="s">
        <v>11147</v>
      </c>
      <c r="B10089">
        <v>430</v>
      </c>
      <c r="C10089" s="44">
        <v>1390</v>
      </c>
      <c r="D10089" t="s">
        <v>291</v>
      </c>
      <c r="E10089" t="s">
        <v>11142</v>
      </c>
      <c r="F10089">
        <v>4</v>
      </c>
    </row>
    <row r="10090" spans="1:6" ht="13.2">
      <c r="A10090" t="s">
        <v>11148</v>
      </c>
      <c r="B10090">
        <v>430</v>
      </c>
      <c r="C10090" s="44">
        <v>1390</v>
      </c>
      <c r="D10090" t="s">
        <v>291</v>
      </c>
      <c r="E10090" t="s">
        <v>11142</v>
      </c>
      <c r="F10090">
        <v>4</v>
      </c>
    </row>
    <row r="10091" spans="1:6" ht="13.2">
      <c r="A10091" t="s">
        <v>11149</v>
      </c>
      <c r="B10091">
        <v>430</v>
      </c>
      <c r="C10091" s="44">
        <v>1390</v>
      </c>
      <c r="D10091" t="s">
        <v>291</v>
      </c>
      <c r="E10091" t="s">
        <v>11142</v>
      </c>
      <c r="F10091">
        <v>4</v>
      </c>
    </row>
    <row r="10092" spans="1:6" ht="13.2">
      <c r="A10092" t="s">
        <v>11151</v>
      </c>
      <c r="B10092">
        <v>0</v>
      </c>
      <c r="C10092" s="44">
        <v>3200</v>
      </c>
      <c r="D10092" t="s">
        <v>293</v>
      </c>
      <c r="E10092" t="s">
        <v>7674</v>
      </c>
      <c r="F10092">
        <v>4</v>
      </c>
    </row>
    <row r="10093" spans="1:6" ht="13.2">
      <c r="A10093" t="s">
        <v>11154</v>
      </c>
      <c r="B10093">
        <v>0</v>
      </c>
      <c r="C10093" s="44">
        <v>1380</v>
      </c>
      <c r="D10093" t="s">
        <v>291</v>
      </c>
      <c r="E10093" t="s">
        <v>359</v>
      </c>
      <c r="F10093">
        <v>4</v>
      </c>
    </row>
    <row r="10094" spans="1:6" ht="13.2">
      <c r="A10094" t="s">
        <v>11191</v>
      </c>
      <c r="B10094">
        <v>0</v>
      </c>
      <c r="C10094" s="44" t="s">
        <v>201</v>
      </c>
      <c r="D10094" t="s">
        <v>293</v>
      </c>
      <c r="E10094" t="s">
        <v>11192</v>
      </c>
      <c r="F10094">
        <v>4</v>
      </c>
    </row>
    <row r="10095" spans="1:6" ht="13.2">
      <c r="A10095" t="s">
        <v>11193</v>
      </c>
      <c r="B10095">
        <v>0</v>
      </c>
      <c r="C10095" s="44" t="s">
        <v>201</v>
      </c>
      <c r="D10095" t="s">
        <v>293</v>
      </c>
      <c r="E10095" t="s">
        <v>11192</v>
      </c>
      <c r="F10095">
        <v>4</v>
      </c>
    </row>
    <row r="10096" spans="1:6" ht="13.2">
      <c r="A10096" t="s">
        <v>11678</v>
      </c>
      <c r="B10096">
        <v>0</v>
      </c>
      <c r="C10096" s="44">
        <v>3200</v>
      </c>
      <c r="D10096" t="s">
        <v>293</v>
      </c>
      <c r="E10096" t="s">
        <v>11192</v>
      </c>
      <c r="F10096">
        <v>5</v>
      </c>
    </row>
    <row r="10097" spans="1:6" ht="13.2">
      <c r="A10097" t="s">
        <v>11194</v>
      </c>
      <c r="B10097">
        <v>0</v>
      </c>
      <c r="C10097" s="44" t="s">
        <v>201</v>
      </c>
      <c r="D10097" t="s">
        <v>293</v>
      </c>
      <c r="E10097" t="s">
        <v>11192</v>
      </c>
      <c r="F10097">
        <v>4</v>
      </c>
    </row>
    <row r="10098" spans="1:6" ht="13.2">
      <c r="A10098" t="s">
        <v>11195</v>
      </c>
      <c r="B10098">
        <v>0</v>
      </c>
      <c r="C10098" s="44" t="s">
        <v>201</v>
      </c>
      <c r="D10098" t="s">
        <v>293</v>
      </c>
      <c r="E10098" t="s">
        <v>11192</v>
      </c>
      <c r="F10098">
        <v>4</v>
      </c>
    </row>
    <row r="10099" spans="1:6" ht="13.2">
      <c r="A10099" t="s">
        <v>11196</v>
      </c>
      <c r="B10099">
        <v>0</v>
      </c>
      <c r="C10099" s="44" t="s">
        <v>201</v>
      </c>
      <c r="D10099" t="s">
        <v>293</v>
      </c>
      <c r="E10099" t="s">
        <v>11192</v>
      </c>
      <c r="F10099">
        <v>4</v>
      </c>
    </row>
    <row r="10100" spans="1:6" ht="13.2">
      <c r="A10100" t="s">
        <v>11197</v>
      </c>
      <c r="B10100">
        <v>0</v>
      </c>
      <c r="C10100" s="44" t="s">
        <v>201</v>
      </c>
      <c r="D10100" t="s">
        <v>293</v>
      </c>
      <c r="E10100" t="s">
        <v>11192</v>
      </c>
      <c r="F10100">
        <v>4</v>
      </c>
    </row>
    <row r="10101" spans="1:6" ht="13.2">
      <c r="A10101" t="s">
        <v>11198</v>
      </c>
      <c r="B10101">
        <v>0</v>
      </c>
      <c r="C10101" s="44" t="s">
        <v>201</v>
      </c>
      <c r="D10101" t="s">
        <v>293</v>
      </c>
      <c r="E10101" t="s">
        <v>11192</v>
      </c>
      <c r="F10101">
        <v>4</v>
      </c>
    </row>
    <row r="10102" spans="1:6" ht="13.2">
      <c r="A10102" t="s">
        <v>11199</v>
      </c>
      <c r="B10102">
        <v>0</v>
      </c>
      <c r="C10102" s="44" t="s">
        <v>201</v>
      </c>
      <c r="D10102" t="s">
        <v>293</v>
      </c>
      <c r="E10102" t="s">
        <v>11192</v>
      </c>
      <c r="F10102">
        <v>4</v>
      </c>
    </row>
    <row r="10103" spans="1:6" ht="13.2">
      <c r="A10103" t="s">
        <v>11200</v>
      </c>
      <c r="B10103">
        <v>0</v>
      </c>
      <c r="C10103" s="44" t="s">
        <v>201</v>
      </c>
      <c r="D10103" t="s">
        <v>293</v>
      </c>
      <c r="E10103" t="s">
        <v>11192</v>
      </c>
      <c r="F10103">
        <v>4</v>
      </c>
    </row>
    <row r="10104" spans="1:6" ht="13.2">
      <c r="A10104" t="s">
        <v>11201</v>
      </c>
      <c r="B10104">
        <v>0</v>
      </c>
      <c r="C10104" s="44" t="s">
        <v>201</v>
      </c>
      <c r="D10104" t="s">
        <v>293</v>
      </c>
      <c r="E10104" t="s">
        <v>11192</v>
      </c>
      <c r="F10104">
        <v>4</v>
      </c>
    </row>
    <row r="10105" spans="1:6" ht="13.2">
      <c r="A10105" t="s">
        <v>11202</v>
      </c>
      <c r="B10105">
        <v>0</v>
      </c>
      <c r="C10105" s="44">
        <v>3200</v>
      </c>
      <c r="D10105" t="s">
        <v>293</v>
      </c>
      <c r="E10105" t="s">
        <v>11192</v>
      </c>
      <c r="F10105">
        <v>4</v>
      </c>
    </row>
    <row r="10106" spans="1:6" ht="13.2">
      <c r="A10106" t="s">
        <v>11203</v>
      </c>
      <c r="B10106">
        <v>0</v>
      </c>
      <c r="C10106" s="44">
        <v>3200</v>
      </c>
      <c r="D10106" t="s">
        <v>293</v>
      </c>
      <c r="E10106" t="s">
        <v>11192</v>
      </c>
      <c r="F10106">
        <v>4</v>
      </c>
    </row>
    <row r="10107" spans="1:6" ht="13.2">
      <c r="A10107" t="s">
        <v>11204</v>
      </c>
      <c r="B10107">
        <v>0</v>
      </c>
      <c r="C10107" s="44" t="s">
        <v>201</v>
      </c>
      <c r="D10107" t="s">
        <v>291</v>
      </c>
      <c r="E10107" t="s">
        <v>11192</v>
      </c>
      <c r="F10107">
        <v>4</v>
      </c>
    </row>
    <row r="10108" spans="1:6" ht="13.2">
      <c r="A10108" t="s">
        <v>11205</v>
      </c>
      <c r="B10108">
        <v>0</v>
      </c>
      <c r="C10108" s="44" t="s">
        <v>201</v>
      </c>
      <c r="D10108" t="s">
        <v>291</v>
      </c>
      <c r="E10108" t="s">
        <v>11192</v>
      </c>
      <c r="F10108">
        <v>4</v>
      </c>
    </row>
    <row r="10109" spans="1:6" ht="13.2">
      <c r="A10109" t="s">
        <v>11206</v>
      </c>
      <c r="B10109">
        <v>0</v>
      </c>
      <c r="C10109" s="44" t="s">
        <v>201</v>
      </c>
      <c r="D10109" t="s">
        <v>291</v>
      </c>
      <c r="E10109" t="s">
        <v>11192</v>
      </c>
      <c r="F10109">
        <v>4</v>
      </c>
    </row>
    <row r="10110" spans="1:6" ht="13.2">
      <c r="A10110" t="s">
        <v>11207</v>
      </c>
      <c r="B10110">
        <v>0</v>
      </c>
      <c r="C10110" s="44" t="s">
        <v>201</v>
      </c>
      <c r="D10110" t="s">
        <v>291</v>
      </c>
      <c r="E10110" t="s">
        <v>11192</v>
      </c>
      <c r="F10110">
        <v>4</v>
      </c>
    </row>
    <row r="10111" spans="1:6" ht="13.2">
      <c r="A10111" t="s">
        <v>11208</v>
      </c>
      <c r="B10111">
        <v>0</v>
      </c>
      <c r="C10111" s="44" t="s">
        <v>201</v>
      </c>
      <c r="D10111" t="s">
        <v>291</v>
      </c>
      <c r="E10111" t="s">
        <v>11192</v>
      </c>
      <c r="F10111">
        <v>4</v>
      </c>
    </row>
    <row r="10112" spans="1:6" ht="13.2">
      <c r="A10112" t="s">
        <v>11209</v>
      </c>
      <c r="B10112">
        <v>0</v>
      </c>
      <c r="C10112" s="44" t="s">
        <v>201</v>
      </c>
      <c r="D10112" t="s">
        <v>291</v>
      </c>
      <c r="E10112" t="s">
        <v>11192</v>
      </c>
      <c r="F10112">
        <v>4</v>
      </c>
    </row>
    <row r="10113" spans="1:6" ht="13.2">
      <c r="A10113" t="s">
        <v>11210</v>
      </c>
      <c r="B10113">
        <v>0</v>
      </c>
      <c r="C10113" s="44" t="s">
        <v>201</v>
      </c>
      <c r="D10113" t="s">
        <v>291</v>
      </c>
      <c r="E10113" t="s">
        <v>11192</v>
      </c>
      <c r="F10113">
        <v>4</v>
      </c>
    </row>
    <row r="10114" spans="1:6" ht="13.2">
      <c r="A10114" t="s">
        <v>11211</v>
      </c>
      <c r="B10114">
        <v>0</v>
      </c>
      <c r="C10114" s="44" t="s">
        <v>201</v>
      </c>
      <c r="D10114" t="s">
        <v>291</v>
      </c>
      <c r="E10114" t="s">
        <v>11192</v>
      </c>
      <c r="F10114">
        <v>4</v>
      </c>
    </row>
    <row r="10115" spans="1:6" ht="13.2">
      <c r="A10115" t="s">
        <v>11212</v>
      </c>
      <c r="B10115">
        <v>0</v>
      </c>
      <c r="C10115" s="44" t="s">
        <v>201</v>
      </c>
      <c r="D10115" t="s">
        <v>291</v>
      </c>
      <c r="E10115" t="s">
        <v>11192</v>
      </c>
      <c r="F10115">
        <v>4</v>
      </c>
    </row>
    <row r="10116" spans="1:6" ht="13.2">
      <c r="A10116" t="s">
        <v>11213</v>
      </c>
      <c r="B10116">
        <v>0</v>
      </c>
      <c r="C10116" s="44" t="s">
        <v>201</v>
      </c>
      <c r="D10116" t="s">
        <v>291</v>
      </c>
      <c r="E10116" t="s">
        <v>11192</v>
      </c>
      <c r="F10116">
        <v>4</v>
      </c>
    </row>
    <row r="10117" spans="1:6" ht="13.2">
      <c r="A10117" t="s">
        <v>11214</v>
      </c>
      <c r="B10117">
        <v>0</v>
      </c>
      <c r="C10117" s="44">
        <v>3200</v>
      </c>
      <c r="D10117" t="s">
        <v>291</v>
      </c>
      <c r="E10117" t="s">
        <v>11192</v>
      </c>
      <c r="F10117">
        <v>4</v>
      </c>
    </row>
    <row r="10118" spans="1:6" ht="13.2">
      <c r="A10118" t="s">
        <v>11215</v>
      </c>
      <c r="B10118">
        <v>0</v>
      </c>
      <c r="C10118" s="44">
        <v>3200</v>
      </c>
      <c r="D10118" t="s">
        <v>291</v>
      </c>
      <c r="E10118" t="s">
        <v>11192</v>
      </c>
      <c r="F10118">
        <v>4</v>
      </c>
    </row>
    <row r="10119" spans="1:5" ht="13.2">
      <c r="A10119" t="s">
        <v>11216</v>
      </c>
      <c r="B10119">
        <v>0</v>
      </c>
      <c r="C10119" s="44" t="s">
        <v>204</v>
      </c>
      <c r="D10119" t="s">
        <v>293</v>
      </c>
      <c r="E10119" t="s">
        <v>364</v>
      </c>
    </row>
    <row r="10120" spans="1:5" ht="13.2">
      <c r="A10120" t="s">
        <v>11217</v>
      </c>
      <c r="B10120">
        <v>0</v>
      </c>
      <c r="C10120" s="44" t="s">
        <v>204</v>
      </c>
      <c r="D10120" t="s">
        <v>293</v>
      </c>
      <c r="E10120" t="s">
        <v>364</v>
      </c>
    </row>
    <row r="10121" spans="1:5" ht="13.2">
      <c r="A10121" t="s">
        <v>11218</v>
      </c>
      <c r="B10121">
        <v>0</v>
      </c>
      <c r="C10121" s="44" t="s">
        <v>204</v>
      </c>
      <c r="D10121" t="s">
        <v>293</v>
      </c>
      <c r="E10121" t="s">
        <v>364</v>
      </c>
    </row>
    <row r="10122" spans="1:5" ht="13.2">
      <c r="A10122" t="s">
        <v>11219</v>
      </c>
      <c r="B10122">
        <v>0</v>
      </c>
      <c r="C10122" s="44" t="s">
        <v>204</v>
      </c>
      <c r="D10122" t="s">
        <v>293</v>
      </c>
      <c r="E10122" t="s">
        <v>364</v>
      </c>
    </row>
    <row r="10123" spans="1:5" ht="13.2">
      <c r="A10123" t="s">
        <v>11220</v>
      </c>
      <c r="B10123">
        <v>0</v>
      </c>
      <c r="C10123" s="44" t="s">
        <v>204</v>
      </c>
      <c r="D10123" t="s">
        <v>293</v>
      </c>
      <c r="E10123" t="s">
        <v>364</v>
      </c>
    </row>
    <row r="10124" spans="1:5" ht="13.2">
      <c r="A10124" t="s">
        <v>11221</v>
      </c>
      <c r="B10124">
        <v>0</v>
      </c>
      <c r="C10124" s="44" t="s">
        <v>204</v>
      </c>
      <c r="D10124" t="s">
        <v>293</v>
      </c>
      <c r="E10124" t="s">
        <v>364</v>
      </c>
    </row>
    <row r="10125" spans="1:5" ht="13.2">
      <c r="A10125" t="s">
        <v>11222</v>
      </c>
      <c r="B10125">
        <v>0</v>
      </c>
      <c r="C10125" s="44" t="s">
        <v>204</v>
      </c>
      <c r="D10125" t="s">
        <v>293</v>
      </c>
      <c r="E10125" t="s">
        <v>364</v>
      </c>
    </row>
    <row r="10126" spans="1:5" ht="13.2">
      <c r="A10126" t="s">
        <v>11223</v>
      </c>
      <c r="B10126">
        <v>0</v>
      </c>
      <c r="C10126" s="44" t="s">
        <v>204</v>
      </c>
      <c r="D10126" t="s">
        <v>293</v>
      </c>
      <c r="E10126" t="s">
        <v>364</v>
      </c>
    </row>
    <row r="10127" spans="1:5" ht="13.2">
      <c r="A10127" t="s">
        <v>11224</v>
      </c>
      <c r="B10127">
        <v>0</v>
      </c>
      <c r="C10127" s="44" t="s">
        <v>204</v>
      </c>
      <c r="D10127" t="s">
        <v>293</v>
      </c>
      <c r="E10127" t="s">
        <v>364</v>
      </c>
    </row>
    <row r="10128" spans="1:5" ht="13.2">
      <c r="A10128" t="s">
        <v>11225</v>
      </c>
      <c r="B10128">
        <v>0</v>
      </c>
      <c r="C10128" s="44" t="s">
        <v>204</v>
      </c>
      <c r="D10128" t="s">
        <v>293</v>
      </c>
      <c r="E10128" t="s">
        <v>364</v>
      </c>
    </row>
    <row r="10129" spans="1:5" ht="13.2">
      <c r="A10129" t="s">
        <v>11226</v>
      </c>
      <c r="B10129">
        <v>0</v>
      </c>
      <c r="C10129" s="44" t="s">
        <v>204</v>
      </c>
      <c r="D10129" t="s">
        <v>293</v>
      </c>
      <c r="E10129" t="s">
        <v>364</v>
      </c>
    </row>
    <row r="10130" spans="1:5" ht="13.2">
      <c r="A10130" t="s">
        <v>11227</v>
      </c>
      <c r="B10130">
        <v>0</v>
      </c>
      <c r="C10130" s="44" t="s">
        <v>204</v>
      </c>
      <c r="D10130" t="s">
        <v>293</v>
      </c>
      <c r="E10130" t="s">
        <v>364</v>
      </c>
    </row>
    <row r="10131" spans="1:5" ht="13.2">
      <c r="A10131" t="s">
        <v>11228</v>
      </c>
      <c r="B10131">
        <v>0</v>
      </c>
      <c r="C10131" s="44" t="s">
        <v>204</v>
      </c>
      <c r="D10131" t="s">
        <v>293</v>
      </c>
      <c r="E10131" t="s">
        <v>364</v>
      </c>
    </row>
    <row r="10132" spans="1:5" ht="13.2">
      <c r="A10132" t="s">
        <v>11229</v>
      </c>
      <c r="B10132">
        <v>0</v>
      </c>
      <c r="C10132" s="44" t="s">
        <v>204</v>
      </c>
      <c r="D10132" t="s">
        <v>293</v>
      </c>
      <c r="E10132" t="s">
        <v>364</v>
      </c>
    </row>
    <row r="10133" spans="1:5" ht="13.2">
      <c r="A10133" t="s">
        <v>11230</v>
      </c>
      <c r="B10133">
        <v>0</v>
      </c>
      <c r="C10133" s="44" t="s">
        <v>204</v>
      </c>
      <c r="D10133" t="s">
        <v>293</v>
      </c>
      <c r="E10133" t="s">
        <v>364</v>
      </c>
    </row>
    <row r="10134" spans="1:5" ht="13.2">
      <c r="A10134" t="s">
        <v>11231</v>
      </c>
      <c r="B10134">
        <v>0</v>
      </c>
      <c r="C10134" s="44" t="s">
        <v>204</v>
      </c>
      <c r="D10134" t="s">
        <v>293</v>
      </c>
      <c r="E10134" t="s">
        <v>364</v>
      </c>
    </row>
    <row r="10135" spans="1:5" ht="13.2">
      <c r="A10135" t="s">
        <v>11232</v>
      </c>
      <c r="B10135">
        <v>0</v>
      </c>
      <c r="C10135" s="44" t="s">
        <v>204</v>
      </c>
      <c r="D10135" t="s">
        <v>293</v>
      </c>
      <c r="E10135" t="s">
        <v>364</v>
      </c>
    </row>
    <row r="10136" spans="1:5" ht="13.2">
      <c r="A10136" t="s">
        <v>11233</v>
      </c>
      <c r="B10136">
        <v>0</v>
      </c>
      <c r="C10136" s="44" t="s">
        <v>204</v>
      </c>
      <c r="D10136" t="s">
        <v>293</v>
      </c>
      <c r="E10136" t="s">
        <v>364</v>
      </c>
    </row>
    <row r="10137" spans="1:5" ht="13.2">
      <c r="A10137" t="s">
        <v>11234</v>
      </c>
      <c r="B10137">
        <v>0</v>
      </c>
      <c r="C10137" s="44" t="s">
        <v>204</v>
      </c>
      <c r="D10137" t="s">
        <v>293</v>
      </c>
      <c r="E10137" t="s">
        <v>364</v>
      </c>
    </row>
    <row r="10138" spans="1:5" ht="13.2">
      <c r="A10138" t="s">
        <v>11235</v>
      </c>
      <c r="B10138">
        <v>0</v>
      </c>
      <c r="C10138" s="44" t="s">
        <v>204</v>
      </c>
      <c r="D10138" t="s">
        <v>291</v>
      </c>
      <c r="E10138" t="s">
        <v>364</v>
      </c>
    </row>
    <row r="10139" spans="1:5" ht="13.2">
      <c r="A10139" t="s">
        <v>11236</v>
      </c>
      <c r="B10139">
        <v>0</v>
      </c>
      <c r="C10139" s="44" t="s">
        <v>204</v>
      </c>
      <c r="D10139" t="s">
        <v>291</v>
      </c>
      <c r="E10139" t="s">
        <v>364</v>
      </c>
    </row>
    <row r="10140" spans="1:5" ht="13.2">
      <c r="A10140" t="s">
        <v>11237</v>
      </c>
      <c r="B10140">
        <v>0</v>
      </c>
      <c r="C10140" s="44" t="s">
        <v>204</v>
      </c>
      <c r="D10140" t="s">
        <v>291</v>
      </c>
      <c r="E10140" t="s">
        <v>364</v>
      </c>
    </row>
    <row r="10141" spans="1:5" ht="13.2">
      <c r="A10141" t="s">
        <v>11238</v>
      </c>
      <c r="B10141">
        <v>0</v>
      </c>
      <c r="C10141" s="44" t="s">
        <v>204</v>
      </c>
      <c r="D10141" t="s">
        <v>291</v>
      </c>
      <c r="E10141" t="s">
        <v>364</v>
      </c>
    </row>
    <row r="10142" spans="1:5" ht="13.2">
      <c r="A10142" t="s">
        <v>11239</v>
      </c>
      <c r="B10142">
        <v>0</v>
      </c>
      <c r="C10142" s="44" t="s">
        <v>204</v>
      </c>
      <c r="D10142" t="s">
        <v>291</v>
      </c>
      <c r="E10142" t="s">
        <v>364</v>
      </c>
    </row>
    <row r="10143" spans="1:5" ht="13.2">
      <c r="A10143" t="s">
        <v>11240</v>
      </c>
      <c r="B10143">
        <v>0</v>
      </c>
      <c r="C10143" s="44" t="s">
        <v>204</v>
      </c>
      <c r="D10143" t="s">
        <v>291</v>
      </c>
      <c r="E10143" t="s">
        <v>364</v>
      </c>
    </row>
    <row r="10144" spans="1:5" ht="13.2">
      <c r="A10144" t="s">
        <v>11241</v>
      </c>
      <c r="B10144">
        <v>0</v>
      </c>
      <c r="C10144" s="44" t="s">
        <v>204</v>
      </c>
      <c r="D10144" t="s">
        <v>291</v>
      </c>
      <c r="E10144" t="s">
        <v>364</v>
      </c>
    </row>
    <row r="10145" spans="1:5" ht="13.2">
      <c r="A10145" t="s">
        <v>11242</v>
      </c>
      <c r="B10145">
        <v>0</v>
      </c>
      <c r="C10145" s="44" t="s">
        <v>204</v>
      </c>
      <c r="D10145" t="s">
        <v>291</v>
      </c>
      <c r="E10145" t="s">
        <v>364</v>
      </c>
    </row>
    <row r="10146" spans="1:5" ht="13.2">
      <c r="A10146" t="s">
        <v>11243</v>
      </c>
      <c r="B10146">
        <v>0</v>
      </c>
      <c r="C10146" s="44" t="s">
        <v>204</v>
      </c>
      <c r="D10146" t="s">
        <v>291</v>
      </c>
      <c r="E10146" t="s">
        <v>364</v>
      </c>
    </row>
    <row r="10147" spans="1:5" ht="13.2">
      <c r="A10147" t="s">
        <v>11244</v>
      </c>
      <c r="B10147">
        <v>0</v>
      </c>
      <c r="C10147" s="44" t="s">
        <v>204</v>
      </c>
      <c r="D10147" t="s">
        <v>291</v>
      </c>
      <c r="E10147" t="s">
        <v>364</v>
      </c>
    </row>
    <row r="10148" spans="1:5" ht="13.2">
      <c r="A10148" t="s">
        <v>11245</v>
      </c>
      <c r="B10148">
        <v>0</v>
      </c>
      <c r="C10148" s="44" t="s">
        <v>204</v>
      </c>
      <c r="D10148" t="s">
        <v>291</v>
      </c>
      <c r="E10148" t="s">
        <v>364</v>
      </c>
    </row>
    <row r="10149" spans="1:5" ht="13.2">
      <c r="A10149" t="s">
        <v>11246</v>
      </c>
      <c r="B10149">
        <v>0</v>
      </c>
      <c r="C10149" s="44" t="s">
        <v>204</v>
      </c>
      <c r="D10149" t="s">
        <v>291</v>
      </c>
      <c r="E10149" t="s">
        <v>364</v>
      </c>
    </row>
    <row r="10150" spans="1:5" ht="13.2">
      <c r="A10150" t="s">
        <v>11247</v>
      </c>
      <c r="B10150">
        <v>0</v>
      </c>
      <c r="C10150" s="44" t="s">
        <v>204</v>
      </c>
      <c r="D10150" t="s">
        <v>291</v>
      </c>
      <c r="E10150" t="s">
        <v>364</v>
      </c>
    </row>
    <row r="10151" spans="1:5" ht="13.2">
      <c r="A10151" t="s">
        <v>11248</v>
      </c>
      <c r="B10151">
        <v>0</v>
      </c>
      <c r="C10151" s="44" t="s">
        <v>204</v>
      </c>
      <c r="D10151" t="s">
        <v>291</v>
      </c>
      <c r="E10151" t="s">
        <v>364</v>
      </c>
    </row>
    <row r="10152" spans="1:5" ht="13.2">
      <c r="A10152" t="s">
        <v>11249</v>
      </c>
      <c r="B10152">
        <v>0</v>
      </c>
      <c r="C10152" s="44" t="s">
        <v>204</v>
      </c>
      <c r="D10152" t="s">
        <v>291</v>
      </c>
      <c r="E10152" t="s">
        <v>364</v>
      </c>
    </row>
    <row r="10153" spans="1:5" ht="13.2">
      <c r="A10153" t="s">
        <v>11250</v>
      </c>
      <c r="B10153">
        <v>0</v>
      </c>
      <c r="C10153" s="44" t="s">
        <v>204</v>
      </c>
      <c r="D10153" t="s">
        <v>291</v>
      </c>
      <c r="E10153" t="s">
        <v>364</v>
      </c>
    </row>
    <row r="10154" spans="1:5" ht="13.2">
      <c r="A10154" t="s">
        <v>11251</v>
      </c>
      <c r="B10154">
        <v>0</v>
      </c>
      <c r="C10154" s="44" t="s">
        <v>204</v>
      </c>
      <c r="D10154" t="s">
        <v>291</v>
      </c>
      <c r="E10154" t="s">
        <v>364</v>
      </c>
    </row>
    <row r="10155" spans="1:5" ht="13.2">
      <c r="A10155" t="s">
        <v>11252</v>
      </c>
      <c r="B10155">
        <v>0</v>
      </c>
      <c r="C10155" s="44" t="s">
        <v>204</v>
      </c>
      <c r="D10155" t="s">
        <v>291</v>
      </c>
      <c r="E10155" t="s">
        <v>364</v>
      </c>
    </row>
    <row r="10156" spans="1:5" ht="13.2">
      <c r="A10156" t="s">
        <v>11253</v>
      </c>
      <c r="B10156">
        <v>0</v>
      </c>
      <c r="C10156" s="44" t="s">
        <v>204</v>
      </c>
      <c r="D10156" t="s">
        <v>291</v>
      </c>
      <c r="E10156" t="s">
        <v>364</v>
      </c>
    </row>
    <row r="10157" spans="1:6" ht="13.2">
      <c r="A10157" t="s">
        <v>11254</v>
      </c>
      <c r="B10157">
        <v>0</v>
      </c>
      <c r="C10157" s="44">
        <v>1400</v>
      </c>
      <c r="D10157" t="s">
        <v>291</v>
      </c>
      <c r="E10157" t="s">
        <v>11255</v>
      </c>
      <c r="F10157">
        <v>1</v>
      </c>
    </row>
    <row r="10158" spans="1:6" ht="13.2">
      <c r="A10158" t="s">
        <v>11256</v>
      </c>
      <c r="B10158">
        <v>0</v>
      </c>
      <c r="C10158" s="44">
        <v>1400</v>
      </c>
      <c r="D10158" t="s">
        <v>291</v>
      </c>
      <c r="E10158" t="s">
        <v>11255</v>
      </c>
      <c r="F10158">
        <v>1</v>
      </c>
    </row>
    <row r="10159" spans="1:6" ht="13.2">
      <c r="A10159" t="s">
        <v>11257</v>
      </c>
      <c r="B10159">
        <v>0</v>
      </c>
      <c r="C10159" s="44">
        <v>1400</v>
      </c>
      <c r="D10159" t="s">
        <v>291</v>
      </c>
      <c r="E10159" t="s">
        <v>11255</v>
      </c>
      <c r="F10159">
        <v>1</v>
      </c>
    </row>
    <row r="10160" spans="1:6" ht="13.2">
      <c r="A10160" t="s">
        <v>11258</v>
      </c>
      <c r="B10160">
        <v>0</v>
      </c>
      <c r="C10160" s="44">
        <v>1400</v>
      </c>
      <c r="D10160" t="s">
        <v>291</v>
      </c>
      <c r="E10160" t="s">
        <v>11255</v>
      </c>
      <c r="F10160">
        <v>1</v>
      </c>
    </row>
    <row r="10161" spans="1:6" ht="13.2">
      <c r="A10161" t="s">
        <v>11259</v>
      </c>
      <c r="B10161">
        <v>0</v>
      </c>
      <c r="C10161" s="44">
        <v>1400</v>
      </c>
      <c r="D10161" t="s">
        <v>291</v>
      </c>
      <c r="E10161" t="s">
        <v>11255</v>
      </c>
      <c r="F10161">
        <v>1</v>
      </c>
    </row>
    <row r="10162" spans="1:6" ht="13.2">
      <c r="A10162" t="s">
        <v>11260</v>
      </c>
      <c r="B10162">
        <v>0</v>
      </c>
      <c r="C10162" s="44">
        <v>1400</v>
      </c>
      <c r="D10162" t="s">
        <v>291</v>
      </c>
      <c r="E10162" t="s">
        <v>11255</v>
      </c>
      <c r="F10162">
        <v>1</v>
      </c>
    </row>
    <row r="10163" spans="1:6" ht="13.2">
      <c r="A10163" t="s">
        <v>11261</v>
      </c>
      <c r="B10163">
        <v>0</v>
      </c>
      <c r="C10163" s="44">
        <v>1400</v>
      </c>
      <c r="D10163" t="s">
        <v>291</v>
      </c>
      <c r="E10163" t="s">
        <v>11255</v>
      </c>
      <c r="F10163">
        <v>1</v>
      </c>
    </row>
    <row r="10164" spans="1:6" ht="13.2">
      <c r="A10164" t="s">
        <v>11262</v>
      </c>
      <c r="B10164">
        <v>0</v>
      </c>
      <c r="C10164" s="44">
        <v>1400</v>
      </c>
      <c r="D10164" t="s">
        <v>291</v>
      </c>
      <c r="E10164" t="s">
        <v>11255</v>
      </c>
      <c r="F10164">
        <v>1</v>
      </c>
    </row>
    <row r="10165" spans="1:6" ht="13.2">
      <c r="A10165" t="s">
        <v>11263</v>
      </c>
      <c r="B10165">
        <v>0</v>
      </c>
      <c r="C10165" s="44">
        <v>1400</v>
      </c>
      <c r="D10165" t="s">
        <v>291</v>
      </c>
      <c r="E10165" t="s">
        <v>11255</v>
      </c>
      <c r="F10165">
        <v>1</v>
      </c>
    </row>
    <row r="10166" spans="1:6" ht="13.2">
      <c r="A10166" t="s">
        <v>11264</v>
      </c>
      <c r="B10166">
        <v>0</v>
      </c>
      <c r="C10166" s="44">
        <v>1400</v>
      </c>
      <c r="D10166" t="s">
        <v>291</v>
      </c>
      <c r="E10166" t="s">
        <v>11255</v>
      </c>
      <c r="F10166">
        <v>1</v>
      </c>
    </row>
    <row r="10167" spans="1:6" ht="13.2">
      <c r="A10167" t="s">
        <v>11265</v>
      </c>
      <c r="B10167">
        <v>0</v>
      </c>
      <c r="C10167" s="44">
        <v>1400</v>
      </c>
      <c r="D10167" t="s">
        <v>291</v>
      </c>
      <c r="E10167" t="s">
        <v>11255</v>
      </c>
      <c r="F10167">
        <v>1</v>
      </c>
    </row>
    <row r="10168" spans="1:6" ht="13.2">
      <c r="A10168" t="s">
        <v>11266</v>
      </c>
      <c r="B10168">
        <v>0</v>
      </c>
      <c r="C10168" s="44">
        <v>1400</v>
      </c>
      <c r="D10168" t="s">
        <v>291</v>
      </c>
      <c r="E10168" t="s">
        <v>11255</v>
      </c>
      <c r="F10168">
        <v>1</v>
      </c>
    </row>
    <row r="10169" spans="1:6" ht="13.2">
      <c r="A10169" t="s">
        <v>11267</v>
      </c>
      <c r="B10169">
        <v>0</v>
      </c>
      <c r="C10169" s="44">
        <v>1400</v>
      </c>
      <c r="D10169" t="s">
        <v>291</v>
      </c>
      <c r="E10169" t="s">
        <v>11255</v>
      </c>
      <c r="F10169">
        <v>1</v>
      </c>
    </row>
    <row r="10170" spans="1:6" ht="13.2">
      <c r="A10170" t="s">
        <v>11268</v>
      </c>
      <c r="B10170">
        <v>0</v>
      </c>
      <c r="C10170" s="44">
        <v>1400</v>
      </c>
      <c r="D10170" t="s">
        <v>291</v>
      </c>
      <c r="E10170" t="s">
        <v>11255</v>
      </c>
      <c r="F10170">
        <v>1</v>
      </c>
    </row>
    <row r="10171" spans="1:6" ht="13.2">
      <c r="A10171" t="s">
        <v>11269</v>
      </c>
      <c r="B10171">
        <v>0</v>
      </c>
      <c r="C10171" s="44">
        <v>1400</v>
      </c>
      <c r="D10171" t="s">
        <v>291</v>
      </c>
      <c r="E10171" t="s">
        <v>11255</v>
      </c>
      <c r="F10171">
        <v>1</v>
      </c>
    </row>
    <row r="10172" spans="1:6" ht="13.2">
      <c r="A10172" t="s">
        <v>11270</v>
      </c>
      <c r="B10172">
        <v>0</v>
      </c>
      <c r="C10172" s="44">
        <v>1400</v>
      </c>
      <c r="D10172" t="s">
        <v>291</v>
      </c>
      <c r="E10172" t="s">
        <v>11255</v>
      </c>
      <c r="F10172">
        <v>1</v>
      </c>
    </row>
    <row r="10173" spans="1:6" ht="13.2">
      <c r="A10173" t="s">
        <v>11271</v>
      </c>
      <c r="B10173">
        <v>0</v>
      </c>
      <c r="C10173" s="44">
        <v>1400</v>
      </c>
      <c r="D10173" t="s">
        <v>291</v>
      </c>
      <c r="E10173" t="s">
        <v>11255</v>
      </c>
      <c r="F10173">
        <v>1</v>
      </c>
    </row>
    <row r="10174" spans="1:6" ht="13.2">
      <c r="A10174" t="s">
        <v>11272</v>
      </c>
      <c r="B10174">
        <v>0</v>
      </c>
      <c r="C10174" s="44">
        <v>1400</v>
      </c>
      <c r="D10174" t="s">
        <v>291</v>
      </c>
      <c r="E10174" t="s">
        <v>11255</v>
      </c>
      <c r="F10174">
        <v>1</v>
      </c>
    </row>
    <row r="10175" spans="1:6" ht="13.2">
      <c r="A10175" t="s">
        <v>11273</v>
      </c>
      <c r="B10175">
        <v>0</v>
      </c>
      <c r="C10175" s="44">
        <v>1400</v>
      </c>
      <c r="D10175" t="s">
        <v>291</v>
      </c>
      <c r="E10175" t="s">
        <v>11255</v>
      </c>
      <c r="F10175">
        <v>1</v>
      </c>
    </row>
    <row r="10176" spans="1:6" ht="13.2">
      <c r="A10176" t="s">
        <v>11274</v>
      </c>
      <c r="B10176">
        <v>0</v>
      </c>
      <c r="C10176" s="44">
        <v>1400</v>
      </c>
      <c r="D10176" t="s">
        <v>291</v>
      </c>
      <c r="E10176" t="s">
        <v>11255</v>
      </c>
      <c r="F10176">
        <v>1</v>
      </c>
    </row>
    <row r="10177" spans="1:6" ht="13.2">
      <c r="A10177" t="s">
        <v>11275</v>
      </c>
      <c r="B10177">
        <v>0</v>
      </c>
      <c r="C10177" s="44">
        <v>1400</v>
      </c>
      <c r="D10177" t="s">
        <v>291</v>
      </c>
      <c r="E10177" t="s">
        <v>11255</v>
      </c>
      <c r="F10177">
        <v>1</v>
      </c>
    </row>
    <row r="10178" spans="1:6" ht="13.2">
      <c r="A10178" t="s">
        <v>11276</v>
      </c>
      <c r="B10178">
        <v>0</v>
      </c>
      <c r="C10178" s="44">
        <v>1400</v>
      </c>
      <c r="D10178" t="s">
        <v>291</v>
      </c>
      <c r="E10178" t="s">
        <v>11255</v>
      </c>
      <c r="F10178">
        <v>1</v>
      </c>
    </row>
    <row r="10179" spans="1:6" ht="13.2">
      <c r="A10179" t="s">
        <v>11277</v>
      </c>
      <c r="B10179">
        <v>0</v>
      </c>
      <c r="C10179" s="44">
        <v>1400</v>
      </c>
      <c r="D10179" t="s">
        <v>291</v>
      </c>
      <c r="E10179" t="s">
        <v>11255</v>
      </c>
      <c r="F10179">
        <v>1</v>
      </c>
    </row>
    <row r="10180" spans="1:6" ht="13.2">
      <c r="A10180" t="s">
        <v>11278</v>
      </c>
      <c r="B10180">
        <v>0</v>
      </c>
      <c r="C10180" s="44">
        <v>1400</v>
      </c>
      <c r="D10180" t="s">
        <v>291</v>
      </c>
      <c r="E10180" t="s">
        <v>11255</v>
      </c>
      <c r="F10180">
        <v>1</v>
      </c>
    </row>
    <row r="10181" spans="1:6" ht="13.2">
      <c r="A10181" t="s">
        <v>11279</v>
      </c>
      <c r="B10181">
        <v>0</v>
      </c>
      <c r="C10181" s="44">
        <v>1400</v>
      </c>
      <c r="D10181" t="s">
        <v>291</v>
      </c>
      <c r="E10181" t="s">
        <v>11255</v>
      </c>
      <c r="F10181">
        <v>1</v>
      </c>
    </row>
    <row r="10182" spans="1:6" ht="13.2">
      <c r="A10182" t="s">
        <v>11280</v>
      </c>
      <c r="B10182">
        <v>0</v>
      </c>
      <c r="C10182" s="44">
        <v>1400</v>
      </c>
      <c r="D10182" t="s">
        <v>291</v>
      </c>
      <c r="E10182" t="s">
        <v>11255</v>
      </c>
      <c r="F10182">
        <v>1</v>
      </c>
    </row>
    <row r="10183" spans="1:6" ht="13.2">
      <c r="A10183" t="s">
        <v>11281</v>
      </c>
      <c r="B10183">
        <v>0</v>
      </c>
      <c r="C10183" s="44">
        <v>1400</v>
      </c>
      <c r="D10183" t="s">
        <v>291</v>
      </c>
      <c r="E10183" t="s">
        <v>11255</v>
      </c>
      <c r="F10183">
        <v>1</v>
      </c>
    </row>
    <row r="10184" spans="1:6" ht="13.2">
      <c r="A10184" t="s">
        <v>11282</v>
      </c>
      <c r="B10184">
        <v>740</v>
      </c>
      <c r="C10184" s="44">
        <v>1380</v>
      </c>
      <c r="D10184" t="s">
        <v>291</v>
      </c>
      <c r="E10184" t="s">
        <v>7674</v>
      </c>
      <c r="F10184">
        <v>4</v>
      </c>
    </row>
    <row r="10185" spans="1:6" ht="13.2">
      <c r="A10185" t="s">
        <v>11283</v>
      </c>
      <c r="B10185">
        <v>740</v>
      </c>
      <c r="C10185" s="44">
        <v>1380</v>
      </c>
      <c r="D10185" t="s">
        <v>291</v>
      </c>
      <c r="E10185" t="s">
        <v>7674</v>
      </c>
      <c r="F10185">
        <v>4</v>
      </c>
    </row>
    <row r="10186" spans="1:6" ht="13.2">
      <c r="A10186" t="s">
        <v>11284</v>
      </c>
      <c r="B10186">
        <v>740</v>
      </c>
      <c r="C10186" s="44">
        <v>1380</v>
      </c>
      <c r="D10186" t="s">
        <v>291</v>
      </c>
      <c r="E10186" t="s">
        <v>7674</v>
      </c>
      <c r="F10186">
        <v>4</v>
      </c>
    </row>
    <row r="10187" spans="1:6" ht="13.2">
      <c r="A10187" t="s">
        <v>11285</v>
      </c>
      <c r="B10187">
        <v>740</v>
      </c>
      <c r="C10187" s="44">
        <v>1380</v>
      </c>
      <c r="D10187" t="s">
        <v>291</v>
      </c>
      <c r="E10187" t="s">
        <v>7674</v>
      </c>
      <c r="F10187">
        <v>4</v>
      </c>
    </row>
    <row r="10188" spans="1:6" ht="13.2">
      <c r="A10188" t="s">
        <v>11286</v>
      </c>
      <c r="B10188">
        <v>740</v>
      </c>
      <c r="C10188" s="44">
        <v>1380</v>
      </c>
      <c r="D10188" t="s">
        <v>291</v>
      </c>
      <c r="E10188" t="s">
        <v>7674</v>
      </c>
      <c r="F10188">
        <v>4</v>
      </c>
    </row>
    <row r="10189" spans="1:6" ht="13.2">
      <c r="A10189" t="s">
        <v>11287</v>
      </c>
      <c r="B10189">
        <v>0</v>
      </c>
      <c r="C10189" s="44">
        <v>1450</v>
      </c>
      <c r="D10189" t="s">
        <v>291</v>
      </c>
      <c r="E10189" t="s">
        <v>7674</v>
      </c>
      <c r="F10189">
        <v>4</v>
      </c>
    </row>
    <row r="10190" spans="1:6" ht="13.2">
      <c r="A10190" t="s">
        <v>11288</v>
      </c>
      <c r="B10190">
        <v>0</v>
      </c>
      <c r="C10190" s="44">
        <v>1450</v>
      </c>
      <c r="D10190" t="s">
        <v>291</v>
      </c>
      <c r="E10190" t="s">
        <v>7674</v>
      </c>
      <c r="F10190">
        <v>4</v>
      </c>
    </row>
    <row r="10191" spans="1:6" ht="13.2">
      <c r="A10191" t="s">
        <v>11289</v>
      </c>
      <c r="B10191">
        <v>0</v>
      </c>
      <c r="C10191" s="44">
        <v>1450</v>
      </c>
      <c r="D10191" t="s">
        <v>291</v>
      </c>
      <c r="E10191" t="s">
        <v>7674</v>
      </c>
      <c r="F10191">
        <v>4</v>
      </c>
    </row>
    <row r="10192" spans="1:6" ht="13.2">
      <c r="A10192" t="s">
        <v>11290</v>
      </c>
      <c r="B10192">
        <v>0</v>
      </c>
      <c r="C10192" s="44">
        <v>1450</v>
      </c>
      <c r="D10192" t="s">
        <v>291</v>
      </c>
      <c r="E10192" t="s">
        <v>7674</v>
      </c>
      <c r="F10192">
        <v>4</v>
      </c>
    </row>
    <row r="10193" spans="1:6" ht="13.2">
      <c r="A10193" t="s">
        <v>11291</v>
      </c>
      <c r="B10193">
        <v>0</v>
      </c>
      <c r="C10193" s="44">
        <v>1450</v>
      </c>
      <c r="D10193" t="s">
        <v>291</v>
      </c>
      <c r="E10193" t="s">
        <v>7674</v>
      </c>
      <c r="F10193">
        <v>4</v>
      </c>
    </row>
    <row r="10194" spans="1:6" ht="13.2">
      <c r="A10194" t="s">
        <v>11292</v>
      </c>
      <c r="B10194">
        <v>0</v>
      </c>
      <c r="C10194" s="44">
        <v>1450</v>
      </c>
      <c r="D10194" t="s">
        <v>291</v>
      </c>
      <c r="E10194" t="s">
        <v>7674</v>
      </c>
      <c r="F10194">
        <v>4</v>
      </c>
    </row>
    <row r="10195" spans="1:6" ht="13.2">
      <c r="A10195" t="s">
        <v>11293</v>
      </c>
      <c r="B10195">
        <v>0</v>
      </c>
      <c r="C10195" s="44">
        <v>1450</v>
      </c>
      <c r="D10195" t="s">
        <v>291</v>
      </c>
      <c r="E10195" t="s">
        <v>7674</v>
      </c>
      <c r="F10195">
        <v>4</v>
      </c>
    </row>
    <row r="10196" spans="1:6" ht="13.2">
      <c r="A10196" t="s">
        <v>11294</v>
      </c>
      <c r="B10196">
        <v>0</v>
      </c>
      <c r="C10196" s="44">
        <v>1450</v>
      </c>
      <c r="D10196" t="s">
        <v>291</v>
      </c>
      <c r="E10196" t="s">
        <v>7674</v>
      </c>
      <c r="F10196">
        <v>4</v>
      </c>
    </row>
    <row r="10197" spans="1:6" ht="13.2">
      <c r="A10197" t="s">
        <v>11295</v>
      </c>
      <c r="B10197">
        <v>0</v>
      </c>
      <c r="C10197" s="44">
        <v>1450</v>
      </c>
      <c r="D10197" t="s">
        <v>291</v>
      </c>
      <c r="E10197" t="s">
        <v>7674</v>
      </c>
      <c r="F10197">
        <v>4</v>
      </c>
    </row>
    <row r="10198" spans="1:6" ht="13.2">
      <c r="A10198" t="s">
        <v>11296</v>
      </c>
      <c r="B10198">
        <v>0</v>
      </c>
      <c r="C10198" s="44">
        <v>1450</v>
      </c>
      <c r="D10198" t="s">
        <v>291</v>
      </c>
      <c r="E10198" t="s">
        <v>7674</v>
      </c>
      <c r="F10198">
        <v>4</v>
      </c>
    </row>
    <row r="10199" spans="1:6" ht="13.2">
      <c r="A10199" t="s">
        <v>11297</v>
      </c>
      <c r="B10199">
        <v>0</v>
      </c>
      <c r="C10199" s="44">
        <v>1450</v>
      </c>
      <c r="D10199" t="s">
        <v>291</v>
      </c>
      <c r="E10199" t="s">
        <v>7674</v>
      </c>
      <c r="F10199">
        <v>4</v>
      </c>
    </row>
    <row r="10200" spans="1:6" ht="13.2">
      <c r="A10200" t="s">
        <v>11298</v>
      </c>
      <c r="B10200">
        <v>0</v>
      </c>
      <c r="C10200" s="44">
        <v>1450</v>
      </c>
      <c r="D10200" t="s">
        <v>291</v>
      </c>
      <c r="E10200" t="s">
        <v>7674</v>
      </c>
      <c r="F10200">
        <v>4</v>
      </c>
    </row>
    <row r="10201" spans="1:6" ht="13.2">
      <c r="A10201" t="s">
        <v>11299</v>
      </c>
      <c r="B10201">
        <v>0</v>
      </c>
      <c r="C10201" s="44">
        <v>1450</v>
      </c>
      <c r="D10201" t="s">
        <v>291</v>
      </c>
      <c r="E10201" t="s">
        <v>7674</v>
      </c>
      <c r="F10201">
        <v>4</v>
      </c>
    </row>
    <row r="10202" spans="1:6" ht="13.2">
      <c r="A10202" t="s">
        <v>11300</v>
      </c>
      <c r="B10202">
        <v>0</v>
      </c>
      <c r="C10202" s="44">
        <v>1450</v>
      </c>
      <c r="D10202" t="s">
        <v>291</v>
      </c>
      <c r="E10202" t="s">
        <v>7674</v>
      </c>
      <c r="F10202">
        <v>4</v>
      </c>
    </row>
    <row r="10203" spans="1:6" ht="13.2">
      <c r="A10203" t="s">
        <v>11301</v>
      </c>
      <c r="B10203">
        <v>0</v>
      </c>
      <c r="C10203" s="44">
        <v>1450</v>
      </c>
      <c r="D10203" t="s">
        <v>291</v>
      </c>
      <c r="E10203" t="s">
        <v>7674</v>
      </c>
      <c r="F10203">
        <v>4</v>
      </c>
    </row>
    <row r="10204" spans="1:6" ht="13.2">
      <c r="A10204" t="s">
        <v>11302</v>
      </c>
      <c r="B10204">
        <v>0</v>
      </c>
      <c r="C10204" s="44">
        <v>1450</v>
      </c>
      <c r="D10204" t="s">
        <v>291</v>
      </c>
      <c r="E10204" t="s">
        <v>7674</v>
      </c>
      <c r="F10204">
        <v>4</v>
      </c>
    </row>
    <row r="10205" spans="1:6" ht="13.2">
      <c r="A10205" t="s">
        <v>11303</v>
      </c>
      <c r="B10205">
        <v>0</v>
      </c>
      <c r="C10205" s="44">
        <v>1450</v>
      </c>
      <c r="D10205" t="s">
        <v>291</v>
      </c>
      <c r="E10205" t="s">
        <v>7674</v>
      </c>
      <c r="F10205">
        <v>4</v>
      </c>
    </row>
    <row r="10206" spans="1:6" ht="13.2">
      <c r="A10206" t="s">
        <v>11304</v>
      </c>
      <c r="B10206">
        <v>0</v>
      </c>
      <c r="C10206" s="44">
        <v>1450</v>
      </c>
      <c r="D10206" t="s">
        <v>291</v>
      </c>
      <c r="E10206" t="s">
        <v>7674</v>
      </c>
      <c r="F10206">
        <v>4</v>
      </c>
    </row>
    <row r="10207" spans="1:6" ht="13.2">
      <c r="A10207" t="s">
        <v>11305</v>
      </c>
      <c r="B10207">
        <v>0</v>
      </c>
      <c r="C10207" s="44">
        <v>1450</v>
      </c>
      <c r="D10207" t="s">
        <v>291</v>
      </c>
      <c r="E10207" t="s">
        <v>7674</v>
      </c>
      <c r="F10207">
        <v>4</v>
      </c>
    </row>
    <row r="10208" spans="1:6" ht="13.2">
      <c r="A10208" t="s">
        <v>11306</v>
      </c>
      <c r="B10208">
        <v>0</v>
      </c>
      <c r="C10208" s="44">
        <v>1450</v>
      </c>
      <c r="D10208" t="s">
        <v>291</v>
      </c>
      <c r="E10208" t="s">
        <v>7674</v>
      </c>
      <c r="F10208">
        <v>4</v>
      </c>
    </row>
    <row r="10209" spans="1:6" ht="13.2">
      <c r="A10209" t="s">
        <v>11307</v>
      </c>
      <c r="B10209">
        <v>0</v>
      </c>
      <c r="C10209" s="44">
        <v>1450</v>
      </c>
      <c r="D10209" t="s">
        <v>291</v>
      </c>
      <c r="E10209" t="s">
        <v>7674</v>
      </c>
      <c r="F10209">
        <v>4</v>
      </c>
    </row>
    <row r="10210" spans="1:6" ht="13.2">
      <c r="A10210" t="s">
        <v>11308</v>
      </c>
      <c r="B10210">
        <v>0</v>
      </c>
      <c r="C10210" s="44">
        <v>1450</v>
      </c>
      <c r="D10210" t="s">
        <v>291</v>
      </c>
      <c r="E10210" t="s">
        <v>7674</v>
      </c>
      <c r="F10210">
        <v>4</v>
      </c>
    </row>
    <row r="10211" spans="1:6" ht="13.2">
      <c r="A10211" t="s">
        <v>11309</v>
      </c>
      <c r="B10211">
        <v>0</v>
      </c>
      <c r="C10211" s="44">
        <v>1450</v>
      </c>
      <c r="D10211" t="s">
        <v>291</v>
      </c>
      <c r="E10211" t="s">
        <v>7674</v>
      </c>
      <c r="F10211">
        <v>4</v>
      </c>
    </row>
    <row r="10212" spans="1:6" ht="13.2">
      <c r="A10212" t="s">
        <v>11310</v>
      </c>
      <c r="B10212">
        <v>0</v>
      </c>
      <c r="C10212" s="44">
        <v>1450</v>
      </c>
      <c r="D10212" t="s">
        <v>291</v>
      </c>
      <c r="E10212" t="s">
        <v>7674</v>
      </c>
      <c r="F10212">
        <v>4</v>
      </c>
    </row>
    <row r="10213" spans="1:6" ht="13.2">
      <c r="A10213" t="s">
        <v>11311</v>
      </c>
      <c r="B10213">
        <v>0</v>
      </c>
      <c r="C10213" s="44">
        <v>1450</v>
      </c>
      <c r="D10213" t="s">
        <v>291</v>
      </c>
      <c r="E10213" t="s">
        <v>7674</v>
      </c>
      <c r="F10213">
        <v>4</v>
      </c>
    </row>
    <row r="10214" spans="1:6" ht="13.2">
      <c r="A10214" t="s">
        <v>11312</v>
      </c>
      <c r="B10214">
        <v>0</v>
      </c>
      <c r="C10214" s="44">
        <v>1450</v>
      </c>
      <c r="D10214" t="s">
        <v>291</v>
      </c>
      <c r="E10214" t="s">
        <v>7674</v>
      </c>
      <c r="F10214">
        <v>4</v>
      </c>
    </row>
    <row r="10215" spans="1:6" ht="13.2">
      <c r="A10215" t="s">
        <v>11313</v>
      </c>
      <c r="B10215">
        <v>0</v>
      </c>
      <c r="C10215" s="44">
        <v>1450</v>
      </c>
      <c r="D10215" t="s">
        <v>291</v>
      </c>
      <c r="E10215" t="s">
        <v>7674</v>
      </c>
      <c r="F10215">
        <v>4</v>
      </c>
    </row>
    <row r="10216" spans="1:6" ht="13.2">
      <c r="A10216" t="s">
        <v>11314</v>
      </c>
      <c r="B10216">
        <v>0</v>
      </c>
      <c r="C10216" s="44">
        <v>1450</v>
      </c>
      <c r="D10216" t="s">
        <v>291</v>
      </c>
      <c r="E10216" t="s">
        <v>7674</v>
      </c>
      <c r="F10216">
        <v>4</v>
      </c>
    </row>
    <row r="10217" spans="1:6" ht="13.2">
      <c r="A10217" t="s">
        <v>11315</v>
      </c>
      <c r="B10217">
        <v>0</v>
      </c>
      <c r="C10217" s="44">
        <v>1450</v>
      </c>
      <c r="D10217" t="s">
        <v>291</v>
      </c>
      <c r="E10217" t="s">
        <v>7674</v>
      </c>
      <c r="F10217">
        <v>4</v>
      </c>
    </row>
    <row r="10218" spans="1:6" ht="13.2">
      <c r="A10218" t="s">
        <v>11316</v>
      </c>
      <c r="B10218">
        <v>0</v>
      </c>
      <c r="C10218" s="44">
        <v>1450</v>
      </c>
      <c r="D10218" t="s">
        <v>291</v>
      </c>
      <c r="E10218" t="s">
        <v>7674</v>
      </c>
      <c r="F10218">
        <v>4</v>
      </c>
    </row>
    <row r="10219" spans="1:6" ht="13.2">
      <c r="A10219" t="s">
        <v>11317</v>
      </c>
      <c r="B10219">
        <v>0</v>
      </c>
      <c r="C10219" s="44">
        <v>1450</v>
      </c>
      <c r="D10219" t="s">
        <v>291</v>
      </c>
      <c r="E10219" t="s">
        <v>7674</v>
      </c>
      <c r="F10219">
        <v>4</v>
      </c>
    </row>
    <row r="10220" spans="1:6" ht="13.2">
      <c r="A10220" t="s">
        <v>11318</v>
      </c>
      <c r="B10220">
        <v>0</v>
      </c>
      <c r="C10220" s="44">
        <v>1450</v>
      </c>
      <c r="D10220" t="s">
        <v>291</v>
      </c>
      <c r="E10220" t="s">
        <v>7674</v>
      </c>
      <c r="F10220">
        <v>4</v>
      </c>
    </row>
    <row r="10221" spans="1:6" ht="13.2">
      <c r="A10221" t="s">
        <v>11319</v>
      </c>
      <c r="B10221">
        <v>0</v>
      </c>
      <c r="C10221" s="44">
        <v>1450</v>
      </c>
      <c r="D10221" t="s">
        <v>291</v>
      </c>
      <c r="E10221" t="s">
        <v>7674</v>
      </c>
      <c r="F10221">
        <v>4</v>
      </c>
    </row>
    <row r="10222" spans="1:6" ht="13.2">
      <c r="A10222" t="s">
        <v>11320</v>
      </c>
      <c r="B10222">
        <v>0</v>
      </c>
      <c r="C10222" s="44">
        <v>1450</v>
      </c>
      <c r="D10222" t="s">
        <v>291</v>
      </c>
      <c r="E10222" t="s">
        <v>7674</v>
      </c>
      <c r="F10222">
        <v>4</v>
      </c>
    </row>
    <row r="10223" spans="1:6" ht="13.2">
      <c r="A10223" t="s">
        <v>11321</v>
      </c>
      <c r="B10223">
        <v>0</v>
      </c>
      <c r="C10223" s="44">
        <v>1450</v>
      </c>
      <c r="D10223" t="s">
        <v>291</v>
      </c>
      <c r="E10223" t="s">
        <v>7674</v>
      </c>
      <c r="F10223">
        <v>4</v>
      </c>
    </row>
    <row r="10224" spans="1:6" ht="13.2">
      <c r="A10224" t="s">
        <v>11322</v>
      </c>
      <c r="B10224">
        <v>0</v>
      </c>
      <c r="C10224" s="44">
        <v>1450</v>
      </c>
      <c r="D10224" t="s">
        <v>291</v>
      </c>
      <c r="E10224" t="s">
        <v>7674</v>
      </c>
      <c r="F10224">
        <v>4</v>
      </c>
    </row>
    <row r="10225" spans="1:6" ht="13.2">
      <c r="A10225" t="s">
        <v>11323</v>
      </c>
      <c r="B10225">
        <v>0</v>
      </c>
      <c r="C10225" s="44">
        <v>1450</v>
      </c>
      <c r="D10225" t="s">
        <v>291</v>
      </c>
      <c r="E10225" t="s">
        <v>7674</v>
      </c>
      <c r="F10225">
        <v>4</v>
      </c>
    </row>
    <row r="10226" spans="1:6" ht="13.2">
      <c r="A10226" t="s">
        <v>11324</v>
      </c>
      <c r="B10226">
        <v>0</v>
      </c>
      <c r="C10226" s="44">
        <v>1450</v>
      </c>
      <c r="D10226" t="s">
        <v>291</v>
      </c>
      <c r="E10226" t="s">
        <v>7674</v>
      </c>
      <c r="F10226">
        <v>4</v>
      </c>
    </row>
    <row r="10227" spans="1:6" ht="13.2">
      <c r="A10227" t="s">
        <v>11325</v>
      </c>
      <c r="B10227">
        <v>0</v>
      </c>
      <c r="C10227" s="44">
        <v>1450</v>
      </c>
      <c r="D10227" t="s">
        <v>291</v>
      </c>
      <c r="E10227" t="s">
        <v>7674</v>
      </c>
      <c r="F10227">
        <v>4</v>
      </c>
    </row>
    <row r="10228" spans="1:6" ht="13.2">
      <c r="A10228" t="s">
        <v>11326</v>
      </c>
      <c r="B10228">
        <v>0</v>
      </c>
      <c r="C10228" s="44">
        <v>1450</v>
      </c>
      <c r="D10228" t="s">
        <v>291</v>
      </c>
      <c r="E10228" t="s">
        <v>7674</v>
      </c>
      <c r="F10228">
        <v>4</v>
      </c>
    </row>
    <row r="10229" spans="1:6" ht="13.2">
      <c r="A10229" t="s">
        <v>11327</v>
      </c>
      <c r="B10229">
        <v>0</v>
      </c>
      <c r="C10229" s="44">
        <v>1450</v>
      </c>
      <c r="D10229" t="s">
        <v>291</v>
      </c>
      <c r="E10229" t="s">
        <v>7674</v>
      </c>
      <c r="F10229">
        <v>4</v>
      </c>
    </row>
    <row r="10230" spans="1:6" ht="13.2">
      <c r="A10230" t="s">
        <v>11328</v>
      </c>
      <c r="B10230">
        <v>0</v>
      </c>
      <c r="C10230" s="44">
        <v>1450</v>
      </c>
      <c r="D10230" t="s">
        <v>291</v>
      </c>
      <c r="E10230" t="s">
        <v>7674</v>
      </c>
      <c r="F10230">
        <v>4</v>
      </c>
    </row>
    <row r="10231" spans="1:6" ht="13.2">
      <c r="A10231" t="s">
        <v>11329</v>
      </c>
      <c r="B10231">
        <v>640</v>
      </c>
      <c r="C10231" s="44">
        <v>1380</v>
      </c>
      <c r="D10231" t="s">
        <v>291</v>
      </c>
      <c r="E10231" t="s">
        <v>11330</v>
      </c>
      <c r="F10231">
        <v>4</v>
      </c>
    </row>
    <row r="10232" spans="1:6" ht="13.2">
      <c r="A10232" t="s">
        <v>11331</v>
      </c>
      <c r="B10232">
        <v>640</v>
      </c>
      <c r="C10232" s="44">
        <v>1380</v>
      </c>
      <c r="D10232" t="s">
        <v>291</v>
      </c>
      <c r="E10232" t="s">
        <v>11330</v>
      </c>
      <c r="F10232">
        <v>4</v>
      </c>
    </row>
    <row r="10233" spans="1:6" ht="13.2">
      <c r="A10233" t="s">
        <v>11332</v>
      </c>
      <c r="B10233">
        <v>640</v>
      </c>
      <c r="C10233" s="44">
        <v>1380</v>
      </c>
      <c r="D10233" t="s">
        <v>291</v>
      </c>
      <c r="E10233" t="s">
        <v>11330</v>
      </c>
      <c r="F10233">
        <v>4</v>
      </c>
    </row>
    <row r="10234" spans="1:6" ht="13.2">
      <c r="A10234" t="s">
        <v>11333</v>
      </c>
      <c r="B10234">
        <v>640</v>
      </c>
      <c r="C10234" s="44">
        <v>1380</v>
      </c>
      <c r="D10234" t="s">
        <v>291</v>
      </c>
      <c r="E10234" t="s">
        <v>11330</v>
      </c>
      <c r="F10234">
        <v>4</v>
      </c>
    </row>
    <row r="10235" spans="1:6" ht="13.2">
      <c r="A10235" t="s">
        <v>11334</v>
      </c>
      <c r="B10235">
        <v>640</v>
      </c>
      <c r="C10235" s="44">
        <v>1380</v>
      </c>
      <c r="D10235" t="s">
        <v>291</v>
      </c>
      <c r="E10235" t="s">
        <v>11330</v>
      </c>
      <c r="F10235">
        <v>4</v>
      </c>
    </row>
    <row r="10236" spans="1:6" ht="13.2">
      <c r="A10236" t="s">
        <v>11335</v>
      </c>
      <c r="B10236">
        <v>640</v>
      </c>
      <c r="C10236" s="44">
        <v>1380</v>
      </c>
      <c r="D10236" t="s">
        <v>291</v>
      </c>
      <c r="E10236" t="s">
        <v>11330</v>
      </c>
      <c r="F10236">
        <v>4</v>
      </c>
    </row>
    <row r="10237" spans="1:6" ht="13.2">
      <c r="A10237" t="s">
        <v>11337</v>
      </c>
      <c r="B10237">
        <v>0</v>
      </c>
      <c r="C10237" s="44" t="s">
        <v>204</v>
      </c>
      <c r="D10237" t="s">
        <v>293</v>
      </c>
      <c r="E10237" t="s">
        <v>11338</v>
      </c>
      <c r="F10237">
        <v>4</v>
      </c>
    </row>
    <row r="10238" spans="1:6" ht="13.2">
      <c r="A10238" t="s">
        <v>11339</v>
      </c>
      <c r="B10238">
        <v>0</v>
      </c>
      <c r="C10238" s="44" t="s">
        <v>204</v>
      </c>
      <c r="D10238" t="s">
        <v>293</v>
      </c>
      <c r="E10238" t="s">
        <v>11338</v>
      </c>
      <c r="F10238">
        <v>4</v>
      </c>
    </row>
    <row r="10239" spans="1:6" ht="13.2">
      <c r="A10239" t="s">
        <v>11340</v>
      </c>
      <c r="B10239">
        <v>0</v>
      </c>
      <c r="C10239" s="44" t="s">
        <v>204</v>
      </c>
      <c r="D10239" t="s">
        <v>293</v>
      </c>
      <c r="E10239" t="s">
        <v>11338</v>
      </c>
      <c r="F10239">
        <v>4</v>
      </c>
    </row>
    <row r="10240" spans="1:6" ht="13.2">
      <c r="A10240" t="s">
        <v>11341</v>
      </c>
      <c r="B10240">
        <v>0</v>
      </c>
      <c r="C10240" s="44" t="s">
        <v>204</v>
      </c>
      <c r="D10240" t="s">
        <v>293</v>
      </c>
      <c r="E10240" t="s">
        <v>11338</v>
      </c>
      <c r="F10240">
        <v>4</v>
      </c>
    </row>
    <row r="10241" spans="1:6" ht="13.2">
      <c r="A10241" t="s">
        <v>11191</v>
      </c>
      <c r="B10241">
        <v>0</v>
      </c>
      <c r="C10241" s="44" t="s">
        <v>201</v>
      </c>
      <c r="D10241" t="s">
        <v>293</v>
      </c>
      <c r="E10241" t="s">
        <v>11192</v>
      </c>
      <c r="F10241">
        <v>4</v>
      </c>
    </row>
    <row r="10242" spans="1:6" ht="13.2">
      <c r="A10242" t="s">
        <v>11193</v>
      </c>
      <c r="B10242">
        <v>0</v>
      </c>
      <c r="C10242" s="44" t="s">
        <v>201</v>
      </c>
      <c r="D10242" t="s">
        <v>293</v>
      </c>
      <c r="E10242" t="s">
        <v>11192</v>
      </c>
      <c r="F10242">
        <v>4</v>
      </c>
    </row>
    <row r="10243" spans="1:6" ht="13.2">
      <c r="A10243" t="s">
        <v>11194</v>
      </c>
      <c r="B10243">
        <v>0</v>
      </c>
      <c r="C10243" s="44" t="s">
        <v>201</v>
      </c>
      <c r="D10243" t="s">
        <v>293</v>
      </c>
      <c r="E10243" t="s">
        <v>11192</v>
      </c>
      <c r="F10243">
        <v>4</v>
      </c>
    </row>
    <row r="10244" spans="1:6" ht="13.2">
      <c r="A10244" t="s">
        <v>11195</v>
      </c>
      <c r="B10244">
        <v>0</v>
      </c>
      <c r="C10244" s="44" t="s">
        <v>201</v>
      </c>
      <c r="D10244" t="s">
        <v>293</v>
      </c>
      <c r="E10244" t="s">
        <v>11192</v>
      </c>
      <c r="F10244">
        <v>4</v>
      </c>
    </row>
    <row r="10245" spans="1:6" ht="13.2">
      <c r="A10245" t="s">
        <v>11196</v>
      </c>
      <c r="B10245">
        <v>0</v>
      </c>
      <c r="C10245" s="44" t="s">
        <v>201</v>
      </c>
      <c r="D10245" t="s">
        <v>293</v>
      </c>
      <c r="E10245" t="s">
        <v>11192</v>
      </c>
      <c r="F10245">
        <v>4</v>
      </c>
    </row>
    <row r="10246" spans="1:6" ht="13.2">
      <c r="A10246" t="s">
        <v>11197</v>
      </c>
      <c r="B10246">
        <v>0</v>
      </c>
      <c r="C10246" s="44" t="s">
        <v>201</v>
      </c>
      <c r="D10246" t="s">
        <v>293</v>
      </c>
      <c r="E10246" t="s">
        <v>11192</v>
      </c>
      <c r="F10246">
        <v>4</v>
      </c>
    </row>
    <row r="10247" spans="1:6" ht="13.2">
      <c r="A10247" t="s">
        <v>11198</v>
      </c>
      <c r="B10247">
        <v>0</v>
      </c>
      <c r="C10247" s="44" t="s">
        <v>201</v>
      </c>
      <c r="D10247" t="s">
        <v>293</v>
      </c>
      <c r="E10247" t="s">
        <v>11192</v>
      </c>
      <c r="F10247">
        <v>4</v>
      </c>
    </row>
    <row r="10248" spans="1:6" ht="13.2">
      <c r="A10248" t="s">
        <v>11199</v>
      </c>
      <c r="B10248">
        <v>0</v>
      </c>
      <c r="C10248" s="44" t="s">
        <v>201</v>
      </c>
      <c r="D10248" t="s">
        <v>293</v>
      </c>
      <c r="E10248" t="s">
        <v>11192</v>
      </c>
      <c r="F10248">
        <v>4</v>
      </c>
    </row>
    <row r="10249" spans="1:6" ht="13.2">
      <c r="A10249" t="s">
        <v>11200</v>
      </c>
      <c r="B10249">
        <v>0</v>
      </c>
      <c r="C10249" s="44" t="s">
        <v>201</v>
      </c>
      <c r="D10249" t="s">
        <v>293</v>
      </c>
      <c r="E10249" t="s">
        <v>11192</v>
      </c>
      <c r="F10249">
        <v>4</v>
      </c>
    </row>
    <row r="10250" spans="1:6" ht="13.2">
      <c r="A10250" t="s">
        <v>11201</v>
      </c>
      <c r="B10250">
        <v>0</v>
      </c>
      <c r="C10250" s="44" t="s">
        <v>201</v>
      </c>
      <c r="D10250" t="s">
        <v>293</v>
      </c>
      <c r="E10250" t="s">
        <v>11192</v>
      </c>
      <c r="F10250">
        <v>4</v>
      </c>
    </row>
    <row r="10251" spans="1:6" ht="13.2">
      <c r="A10251" t="s">
        <v>11202</v>
      </c>
      <c r="B10251">
        <v>0</v>
      </c>
      <c r="C10251" s="44">
        <v>3200</v>
      </c>
      <c r="D10251" t="s">
        <v>293</v>
      </c>
      <c r="E10251" t="s">
        <v>11192</v>
      </c>
      <c r="F10251">
        <v>4</v>
      </c>
    </row>
    <row r="10252" spans="1:6" ht="13.2">
      <c r="A10252" t="s">
        <v>11203</v>
      </c>
      <c r="B10252">
        <v>0</v>
      </c>
      <c r="C10252" s="44">
        <v>3200</v>
      </c>
      <c r="D10252" t="s">
        <v>293</v>
      </c>
      <c r="E10252" t="s">
        <v>11192</v>
      </c>
      <c r="F10252">
        <v>4</v>
      </c>
    </row>
    <row r="10253" spans="1:6" ht="13.2">
      <c r="A10253" t="s">
        <v>11204</v>
      </c>
      <c r="B10253">
        <v>0</v>
      </c>
      <c r="C10253" s="44" t="s">
        <v>201</v>
      </c>
      <c r="D10253" t="s">
        <v>291</v>
      </c>
      <c r="E10253" t="s">
        <v>11192</v>
      </c>
      <c r="F10253">
        <v>4</v>
      </c>
    </row>
    <row r="10254" spans="1:6" ht="13.2">
      <c r="A10254" t="s">
        <v>11205</v>
      </c>
      <c r="B10254">
        <v>0</v>
      </c>
      <c r="C10254" s="44" t="s">
        <v>201</v>
      </c>
      <c r="D10254" t="s">
        <v>291</v>
      </c>
      <c r="E10254" t="s">
        <v>11192</v>
      </c>
      <c r="F10254">
        <v>4</v>
      </c>
    </row>
    <row r="10255" spans="1:6" ht="13.2">
      <c r="A10255" t="s">
        <v>11206</v>
      </c>
      <c r="B10255">
        <v>0</v>
      </c>
      <c r="C10255" s="44" t="s">
        <v>201</v>
      </c>
      <c r="D10255" t="s">
        <v>291</v>
      </c>
      <c r="E10255" t="s">
        <v>11192</v>
      </c>
      <c r="F10255">
        <v>4</v>
      </c>
    </row>
    <row r="10256" spans="1:6" ht="13.2">
      <c r="A10256" t="s">
        <v>11207</v>
      </c>
      <c r="B10256">
        <v>0</v>
      </c>
      <c r="C10256" s="44" t="s">
        <v>201</v>
      </c>
      <c r="D10256" t="s">
        <v>291</v>
      </c>
      <c r="E10256" t="s">
        <v>11192</v>
      </c>
      <c r="F10256">
        <v>4</v>
      </c>
    </row>
    <row r="10257" spans="1:6" ht="13.2">
      <c r="A10257" t="s">
        <v>11208</v>
      </c>
      <c r="B10257">
        <v>0</v>
      </c>
      <c r="C10257" s="44" t="s">
        <v>201</v>
      </c>
      <c r="D10257" t="s">
        <v>291</v>
      </c>
      <c r="E10257" t="s">
        <v>11192</v>
      </c>
      <c r="F10257">
        <v>4</v>
      </c>
    </row>
    <row r="10258" spans="1:6" ht="13.2">
      <c r="A10258" t="s">
        <v>11209</v>
      </c>
      <c r="B10258">
        <v>0</v>
      </c>
      <c r="C10258" s="44" t="s">
        <v>201</v>
      </c>
      <c r="D10258" t="s">
        <v>291</v>
      </c>
      <c r="E10258" t="s">
        <v>11192</v>
      </c>
      <c r="F10258">
        <v>4</v>
      </c>
    </row>
    <row r="10259" spans="1:6" ht="13.2">
      <c r="A10259" t="s">
        <v>11210</v>
      </c>
      <c r="B10259">
        <v>0</v>
      </c>
      <c r="C10259" s="44" t="s">
        <v>201</v>
      </c>
      <c r="D10259" t="s">
        <v>291</v>
      </c>
      <c r="E10259" t="s">
        <v>11192</v>
      </c>
      <c r="F10259">
        <v>4</v>
      </c>
    </row>
    <row r="10260" spans="1:6" ht="13.2">
      <c r="A10260" t="s">
        <v>11211</v>
      </c>
      <c r="B10260">
        <v>0</v>
      </c>
      <c r="C10260" s="44" t="s">
        <v>201</v>
      </c>
      <c r="D10260" t="s">
        <v>291</v>
      </c>
      <c r="E10260" t="s">
        <v>11192</v>
      </c>
      <c r="F10260">
        <v>4</v>
      </c>
    </row>
    <row r="10261" spans="1:6" ht="13.2">
      <c r="A10261" t="s">
        <v>11212</v>
      </c>
      <c r="B10261">
        <v>0</v>
      </c>
      <c r="C10261" s="44" t="s">
        <v>201</v>
      </c>
      <c r="D10261" t="s">
        <v>291</v>
      </c>
      <c r="E10261" t="s">
        <v>11192</v>
      </c>
      <c r="F10261">
        <v>4</v>
      </c>
    </row>
    <row r="10262" spans="1:6" ht="13.2">
      <c r="A10262" t="s">
        <v>11213</v>
      </c>
      <c r="B10262">
        <v>0</v>
      </c>
      <c r="C10262" s="44" t="s">
        <v>201</v>
      </c>
      <c r="D10262" t="s">
        <v>291</v>
      </c>
      <c r="E10262" t="s">
        <v>11192</v>
      </c>
      <c r="F10262">
        <v>4</v>
      </c>
    </row>
    <row r="10263" spans="1:6" ht="13.2">
      <c r="A10263" t="s">
        <v>11214</v>
      </c>
      <c r="B10263">
        <v>0</v>
      </c>
      <c r="C10263" s="44">
        <v>3200</v>
      </c>
      <c r="D10263" t="s">
        <v>291</v>
      </c>
      <c r="E10263" t="s">
        <v>11192</v>
      </c>
      <c r="F10263">
        <v>4</v>
      </c>
    </row>
    <row r="10264" spans="1:6" ht="13.2">
      <c r="A10264" t="s">
        <v>11215</v>
      </c>
      <c r="B10264">
        <v>0</v>
      </c>
      <c r="C10264" s="44">
        <v>3200</v>
      </c>
      <c r="D10264" t="s">
        <v>291</v>
      </c>
      <c r="E10264" t="s">
        <v>11192</v>
      </c>
      <c r="F10264">
        <v>4</v>
      </c>
    </row>
    <row r="10265" spans="1:6" ht="13.2">
      <c r="A10265" t="s">
        <v>11342</v>
      </c>
      <c r="B10265">
        <v>320</v>
      </c>
      <c r="C10265" s="44">
        <v>1380</v>
      </c>
      <c r="D10265" t="s">
        <v>291</v>
      </c>
      <c r="E10265" t="s">
        <v>11343</v>
      </c>
      <c r="F10265">
        <v>4</v>
      </c>
    </row>
    <row r="10266" spans="1:6" ht="13.2">
      <c r="A10266" t="s">
        <v>11344</v>
      </c>
      <c r="B10266">
        <v>320</v>
      </c>
      <c r="C10266" s="44">
        <v>1380</v>
      </c>
      <c r="D10266" t="s">
        <v>291</v>
      </c>
      <c r="E10266" t="s">
        <v>11343</v>
      </c>
      <c r="F10266">
        <v>4</v>
      </c>
    </row>
    <row r="10267" spans="1:6" ht="13.2">
      <c r="A10267" t="s">
        <v>11345</v>
      </c>
      <c r="B10267">
        <v>0</v>
      </c>
      <c r="C10267" s="44" t="s">
        <v>201</v>
      </c>
      <c r="D10267" t="s">
        <v>293</v>
      </c>
      <c r="E10267" t="s">
        <v>11192</v>
      </c>
      <c r="F10267">
        <v>4</v>
      </c>
    </row>
    <row r="10268" spans="1:6" ht="13.2">
      <c r="A10268" t="s">
        <v>11346</v>
      </c>
      <c r="B10268">
        <v>0</v>
      </c>
      <c r="C10268" s="44" t="s">
        <v>201</v>
      </c>
      <c r="D10268" t="s">
        <v>293</v>
      </c>
      <c r="E10268" t="s">
        <v>11192</v>
      </c>
      <c r="F10268">
        <v>4</v>
      </c>
    </row>
    <row r="10269" spans="1:5" ht="13.2">
      <c r="A10269" t="s">
        <v>11391</v>
      </c>
      <c r="B10269">
        <v>0</v>
      </c>
      <c r="C10269" s="44">
        <v>3000</v>
      </c>
      <c r="D10269" t="s">
        <v>293</v>
      </c>
      <c r="E10269" t="s">
        <v>11392</v>
      </c>
    </row>
    <row r="10270" spans="1:5" ht="13.2">
      <c r="A10270" t="s">
        <v>11393</v>
      </c>
      <c r="B10270">
        <v>0</v>
      </c>
      <c r="C10270" s="44">
        <v>3000</v>
      </c>
      <c r="D10270" t="s">
        <v>293</v>
      </c>
      <c r="E10270" t="s">
        <v>11392</v>
      </c>
    </row>
    <row r="10271" spans="1:5" ht="13.2">
      <c r="A10271" t="s">
        <v>11394</v>
      </c>
      <c r="B10271">
        <v>0</v>
      </c>
      <c r="C10271" s="44">
        <v>3000</v>
      </c>
      <c r="D10271" t="s">
        <v>293</v>
      </c>
      <c r="E10271" t="s">
        <v>11392</v>
      </c>
    </row>
    <row r="10272" spans="1:5" ht="13.2">
      <c r="A10272" t="s">
        <v>11395</v>
      </c>
      <c r="B10272">
        <v>0</v>
      </c>
      <c r="C10272" s="44">
        <v>3000</v>
      </c>
      <c r="D10272" t="s">
        <v>293</v>
      </c>
      <c r="E10272" t="s">
        <v>11392</v>
      </c>
    </row>
    <row r="10273" spans="1:5" ht="13.2">
      <c r="A10273" t="s">
        <v>11396</v>
      </c>
      <c r="B10273">
        <v>0</v>
      </c>
      <c r="C10273" s="44">
        <v>3000</v>
      </c>
      <c r="D10273" t="s">
        <v>293</v>
      </c>
      <c r="E10273" t="s">
        <v>11392</v>
      </c>
    </row>
    <row r="10274" spans="1:5" ht="13.2">
      <c r="A10274" t="s">
        <v>11397</v>
      </c>
      <c r="B10274">
        <v>0</v>
      </c>
      <c r="C10274" s="44">
        <v>3000</v>
      </c>
      <c r="D10274" t="s">
        <v>293</v>
      </c>
      <c r="E10274" t="s">
        <v>11392</v>
      </c>
    </row>
    <row r="10275" spans="1:5" ht="13.2">
      <c r="A10275" t="s">
        <v>11398</v>
      </c>
      <c r="B10275">
        <v>0</v>
      </c>
      <c r="C10275" s="44">
        <v>3000</v>
      </c>
      <c r="D10275" t="s">
        <v>293</v>
      </c>
      <c r="E10275" t="s">
        <v>11392</v>
      </c>
    </row>
    <row r="10276" spans="1:5" ht="13.2">
      <c r="A10276" t="s">
        <v>11399</v>
      </c>
      <c r="B10276">
        <v>0</v>
      </c>
      <c r="C10276" s="44">
        <v>3000</v>
      </c>
      <c r="D10276" t="s">
        <v>293</v>
      </c>
      <c r="E10276" t="s">
        <v>11392</v>
      </c>
    </row>
    <row r="10277" spans="1:5" ht="13.2">
      <c r="A10277" t="s">
        <v>11400</v>
      </c>
      <c r="B10277">
        <v>0</v>
      </c>
      <c r="C10277" s="44">
        <v>3000</v>
      </c>
      <c r="D10277" t="s">
        <v>293</v>
      </c>
      <c r="E10277" t="s">
        <v>11392</v>
      </c>
    </row>
    <row r="10278" spans="1:6" ht="13.2">
      <c r="A10278" t="s">
        <v>11401</v>
      </c>
      <c r="B10278">
        <v>0</v>
      </c>
      <c r="C10278" s="44">
        <v>3000</v>
      </c>
      <c r="D10278" t="s">
        <v>291</v>
      </c>
      <c r="E10278" t="s">
        <v>10329</v>
      </c>
      <c r="F10278">
        <v>4</v>
      </c>
    </row>
    <row r="10279" spans="1:6" ht="13.2">
      <c r="A10279" t="s">
        <v>11402</v>
      </c>
      <c r="B10279">
        <v>0</v>
      </c>
      <c r="C10279" s="44">
        <v>3000</v>
      </c>
      <c r="D10279" t="s">
        <v>291</v>
      </c>
      <c r="E10279" t="s">
        <v>10329</v>
      </c>
      <c r="F10279">
        <v>4</v>
      </c>
    </row>
    <row r="10280" spans="1:6" ht="13.2">
      <c r="A10280" t="s">
        <v>11403</v>
      </c>
      <c r="B10280">
        <v>0</v>
      </c>
      <c r="C10280" s="44">
        <v>3000</v>
      </c>
      <c r="D10280" t="s">
        <v>291</v>
      </c>
      <c r="E10280" t="s">
        <v>10329</v>
      </c>
      <c r="F10280">
        <v>4</v>
      </c>
    </row>
    <row r="10281" spans="1:6" ht="13.2">
      <c r="A10281" t="s">
        <v>11404</v>
      </c>
      <c r="B10281">
        <v>0</v>
      </c>
      <c r="C10281" s="44">
        <v>3000</v>
      </c>
      <c r="D10281" t="s">
        <v>291</v>
      </c>
      <c r="E10281" t="s">
        <v>10329</v>
      </c>
      <c r="F10281">
        <v>4</v>
      </c>
    </row>
    <row r="10282" spans="1:6" ht="13.2">
      <c r="A10282" t="s">
        <v>11405</v>
      </c>
      <c r="B10282">
        <v>0</v>
      </c>
      <c r="C10282" s="44">
        <v>3000</v>
      </c>
      <c r="D10282" t="s">
        <v>291</v>
      </c>
      <c r="E10282" t="s">
        <v>10329</v>
      </c>
      <c r="F10282">
        <v>4</v>
      </c>
    </row>
    <row r="10283" spans="1:6" ht="13.2">
      <c r="A10283" t="s">
        <v>11406</v>
      </c>
      <c r="B10283">
        <v>0</v>
      </c>
      <c r="C10283" s="44">
        <v>3000</v>
      </c>
      <c r="D10283" t="s">
        <v>291</v>
      </c>
      <c r="E10283" t="s">
        <v>10329</v>
      </c>
      <c r="F10283">
        <v>4</v>
      </c>
    </row>
    <row r="10284" spans="1:6" ht="13.2">
      <c r="A10284" t="s">
        <v>11407</v>
      </c>
      <c r="B10284">
        <v>0</v>
      </c>
      <c r="C10284" s="44">
        <v>3000</v>
      </c>
      <c r="D10284" t="s">
        <v>291</v>
      </c>
      <c r="E10284" t="s">
        <v>10329</v>
      </c>
      <c r="F10284">
        <v>4</v>
      </c>
    </row>
    <row r="10285" spans="1:6" ht="13.2">
      <c r="A10285" t="s">
        <v>11408</v>
      </c>
      <c r="B10285">
        <v>0</v>
      </c>
      <c r="C10285" s="44">
        <v>3000</v>
      </c>
      <c r="D10285" t="s">
        <v>291</v>
      </c>
      <c r="E10285" t="s">
        <v>10329</v>
      </c>
      <c r="F10285">
        <v>4</v>
      </c>
    </row>
    <row r="10286" spans="1:6" ht="13.2">
      <c r="A10286" t="s">
        <v>11409</v>
      </c>
      <c r="B10286">
        <v>0</v>
      </c>
      <c r="C10286" s="44">
        <v>3000</v>
      </c>
      <c r="D10286" t="s">
        <v>291</v>
      </c>
      <c r="E10286" t="s">
        <v>10329</v>
      </c>
      <c r="F10286">
        <v>4</v>
      </c>
    </row>
    <row r="10287" spans="1:6" ht="13.2">
      <c r="A10287" t="s">
        <v>11410</v>
      </c>
      <c r="B10287">
        <v>0</v>
      </c>
      <c r="C10287" s="44">
        <v>3000</v>
      </c>
      <c r="D10287" t="s">
        <v>291</v>
      </c>
      <c r="E10287" t="s">
        <v>10329</v>
      </c>
      <c r="F10287">
        <v>4</v>
      </c>
    </row>
    <row r="10288" spans="1:6" ht="13.2">
      <c r="A10288" t="s">
        <v>11411</v>
      </c>
      <c r="B10288">
        <v>0</v>
      </c>
      <c r="C10288" s="44">
        <v>3000</v>
      </c>
      <c r="D10288" t="s">
        <v>291</v>
      </c>
      <c r="E10288" t="s">
        <v>10329</v>
      </c>
      <c r="F10288">
        <v>4</v>
      </c>
    </row>
    <row r="10289" spans="1:6" ht="13.2">
      <c r="A10289" t="s">
        <v>11412</v>
      </c>
      <c r="B10289">
        <v>0</v>
      </c>
      <c r="C10289" s="44">
        <v>3000</v>
      </c>
      <c r="D10289" t="s">
        <v>291</v>
      </c>
      <c r="E10289" t="s">
        <v>10329</v>
      </c>
      <c r="F10289">
        <v>4</v>
      </c>
    </row>
    <row r="10290" spans="1:6" ht="13.2">
      <c r="A10290" t="s">
        <v>11413</v>
      </c>
      <c r="B10290">
        <v>0</v>
      </c>
      <c r="C10290" s="44">
        <v>3000</v>
      </c>
      <c r="D10290" t="s">
        <v>291</v>
      </c>
      <c r="E10290" t="s">
        <v>10329</v>
      </c>
      <c r="F10290">
        <v>4</v>
      </c>
    </row>
    <row r="10291" spans="1:6" ht="13.2">
      <c r="A10291" t="s">
        <v>11414</v>
      </c>
      <c r="B10291">
        <v>0</v>
      </c>
      <c r="C10291" s="44">
        <v>3000</v>
      </c>
      <c r="D10291" t="s">
        <v>291</v>
      </c>
      <c r="E10291" t="s">
        <v>10329</v>
      </c>
      <c r="F10291">
        <v>4</v>
      </c>
    </row>
    <row r="10292" spans="1:6" ht="13.2">
      <c r="A10292" t="s">
        <v>11415</v>
      </c>
      <c r="B10292">
        <v>0</v>
      </c>
      <c r="C10292" s="44">
        <v>3000</v>
      </c>
      <c r="D10292" t="s">
        <v>291</v>
      </c>
      <c r="E10292" t="s">
        <v>10329</v>
      </c>
      <c r="F10292">
        <v>4</v>
      </c>
    </row>
    <row r="10293" spans="1:6" ht="13.2">
      <c r="A10293" t="s">
        <v>11416</v>
      </c>
      <c r="B10293">
        <v>0</v>
      </c>
      <c r="C10293" s="44">
        <v>3000</v>
      </c>
      <c r="D10293" t="s">
        <v>293</v>
      </c>
      <c r="E10293" t="s">
        <v>10329</v>
      </c>
      <c r="F10293">
        <v>4</v>
      </c>
    </row>
    <row r="10294" spans="1:6" ht="13.2">
      <c r="A10294" t="s">
        <v>11417</v>
      </c>
      <c r="B10294">
        <v>0</v>
      </c>
      <c r="C10294" s="44">
        <v>3000</v>
      </c>
      <c r="D10294" t="s">
        <v>293</v>
      </c>
      <c r="E10294" t="s">
        <v>10329</v>
      </c>
      <c r="F10294">
        <v>4</v>
      </c>
    </row>
    <row r="10295" spans="1:6" ht="13.2">
      <c r="A10295" t="s">
        <v>11418</v>
      </c>
      <c r="B10295">
        <v>0</v>
      </c>
      <c r="C10295" s="44">
        <v>3000</v>
      </c>
      <c r="D10295" t="s">
        <v>293</v>
      </c>
      <c r="E10295" t="s">
        <v>10329</v>
      </c>
      <c r="F10295">
        <v>4</v>
      </c>
    </row>
    <row r="10296" spans="1:6" ht="13.2">
      <c r="A10296" t="s">
        <v>11419</v>
      </c>
      <c r="B10296">
        <v>0</v>
      </c>
      <c r="C10296" s="44">
        <v>3000</v>
      </c>
      <c r="D10296" t="s">
        <v>293</v>
      </c>
      <c r="E10296" t="s">
        <v>10329</v>
      </c>
      <c r="F10296">
        <v>4</v>
      </c>
    </row>
    <row r="10297" spans="1:6" ht="13.2">
      <c r="A10297" t="s">
        <v>11420</v>
      </c>
      <c r="B10297">
        <v>0</v>
      </c>
      <c r="C10297" s="44">
        <v>3000</v>
      </c>
      <c r="D10297" t="s">
        <v>293</v>
      </c>
      <c r="E10297" t="s">
        <v>10329</v>
      </c>
      <c r="F10297">
        <v>4</v>
      </c>
    </row>
    <row r="10298" spans="1:6" ht="13.2">
      <c r="A10298" t="s">
        <v>11421</v>
      </c>
      <c r="B10298">
        <v>0</v>
      </c>
      <c r="C10298" s="44">
        <v>3000</v>
      </c>
      <c r="D10298" t="s">
        <v>293</v>
      </c>
      <c r="E10298" t="s">
        <v>10329</v>
      </c>
      <c r="F10298">
        <v>4</v>
      </c>
    </row>
    <row r="10299" spans="1:6" ht="13.2">
      <c r="A10299" t="s">
        <v>11422</v>
      </c>
      <c r="B10299">
        <v>0</v>
      </c>
      <c r="C10299" s="44">
        <v>3000</v>
      </c>
      <c r="D10299" t="s">
        <v>293</v>
      </c>
      <c r="E10299" t="s">
        <v>10329</v>
      </c>
      <c r="F10299">
        <v>4</v>
      </c>
    </row>
    <row r="10300" spans="1:6" ht="13.2">
      <c r="A10300" t="s">
        <v>11423</v>
      </c>
      <c r="B10300">
        <v>0</v>
      </c>
      <c r="C10300" s="44">
        <v>3000</v>
      </c>
      <c r="D10300" t="s">
        <v>293</v>
      </c>
      <c r="E10300" t="s">
        <v>10329</v>
      </c>
      <c r="F10300">
        <v>4</v>
      </c>
    </row>
    <row r="10301" spans="1:6" ht="13.2">
      <c r="A10301" t="s">
        <v>11424</v>
      </c>
      <c r="B10301">
        <v>0</v>
      </c>
      <c r="C10301" s="44">
        <v>3000</v>
      </c>
      <c r="D10301" t="s">
        <v>293</v>
      </c>
      <c r="E10301" t="s">
        <v>10329</v>
      </c>
      <c r="F10301">
        <v>4</v>
      </c>
    </row>
    <row r="10302" spans="1:6" ht="13.2">
      <c r="A10302" t="s">
        <v>11425</v>
      </c>
      <c r="B10302">
        <v>0</v>
      </c>
      <c r="C10302" s="44">
        <v>3000</v>
      </c>
      <c r="D10302" t="s">
        <v>293</v>
      </c>
      <c r="E10302" t="s">
        <v>10329</v>
      </c>
      <c r="F10302">
        <v>4</v>
      </c>
    </row>
    <row r="10303" spans="1:6" ht="13.2">
      <c r="A10303" t="s">
        <v>11426</v>
      </c>
      <c r="B10303">
        <v>0</v>
      </c>
      <c r="C10303" s="44">
        <v>3000</v>
      </c>
      <c r="D10303" t="s">
        <v>293</v>
      </c>
      <c r="E10303" t="s">
        <v>10329</v>
      </c>
      <c r="F10303">
        <v>4</v>
      </c>
    </row>
    <row r="10304" spans="1:6" ht="13.2">
      <c r="A10304" t="s">
        <v>11427</v>
      </c>
      <c r="B10304">
        <v>0</v>
      </c>
      <c r="C10304" s="44">
        <v>3000</v>
      </c>
      <c r="D10304" t="s">
        <v>293</v>
      </c>
      <c r="E10304" t="s">
        <v>10329</v>
      </c>
      <c r="F10304">
        <v>4</v>
      </c>
    </row>
    <row r="10305" spans="1:6" ht="13.2">
      <c r="A10305" t="s">
        <v>11428</v>
      </c>
      <c r="B10305">
        <v>0</v>
      </c>
      <c r="C10305" s="44">
        <v>3000</v>
      </c>
      <c r="D10305" t="s">
        <v>293</v>
      </c>
      <c r="E10305" t="s">
        <v>10329</v>
      </c>
      <c r="F10305">
        <v>4</v>
      </c>
    </row>
    <row r="10306" spans="1:6" ht="13.2">
      <c r="A10306" t="s">
        <v>11429</v>
      </c>
      <c r="B10306">
        <v>0</v>
      </c>
      <c r="C10306" s="44">
        <v>3000</v>
      </c>
      <c r="D10306" t="s">
        <v>293</v>
      </c>
      <c r="E10306" t="s">
        <v>10329</v>
      </c>
      <c r="F10306">
        <v>4</v>
      </c>
    </row>
    <row r="10307" spans="1:5" ht="13.2">
      <c r="A10307" t="s">
        <v>11430</v>
      </c>
      <c r="B10307">
        <v>0</v>
      </c>
      <c r="C10307" s="44" t="s">
        <v>204</v>
      </c>
      <c r="D10307" t="s">
        <v>293</v>
      </c>
      <c r="E10307" t="s">
        <v>5658</v>
      </c>
    </row>
    <row r="10308" spans="1:5" ht="13.2">
      <c r="A10308" t="s">
        <v>11431</v>
      </c>
      <c r="B10308">
        <v>0</v>
      </c>
      <c r="C10308" s="44" t="s">
        <v>204</v>
      </c>
      <c r="D10308" t="s">
        <v>293</v>
      </c>
      <c r="E10308" t="s">
        <v>5658</v>
      </c>
    </row>
    <row r="10309" spans="1:5" ht="13.2">
      <c r="A10309" t="s">
        <v>11432</v>
      </c>
      <c r="B10309">
        <v>0</v>
      </c>
      <c r="C10309" s="44" t="s">
        <v>204</v>
      </c>
      <c r="D10309" t="s">
        <v>293</v>
      </c>
      <c r="E10309" t="s">
        <v>5658</v>
      </c>
    </row>
    <row r="10310" spans="1:5" ht="13.2">
      <c r="A10310" t="s">
        <v>11433</v>
      </c>
      <c r="B10310">
        <v>0</v>
      </c>
      <c r="C10310" s="44" t="s">
        <v>204</v>
      </c>
      <c r="D10310" t="s">
        <v>293</v>
      </c>
      <c r="E10310" t="s">
        <v>5658</v>
      </c>
    </row>
    <row r="10311" spans="1:5" ht="13.2">
      <c r="A10311" t="s">
        <v>11434</v>
      </c>
      <c r="B10311">
        <v>0</v>
      </c>
      <c r="C10311" s="44" t="s">
        <v>204</v>
      </c>
      <c r="D10311" t="s">
        <v>293</v>
      </c>
      <c r="E10311" t="s">
        <v>5658</v>
      </c>
    </row>
    <row r="10312" spans="1:5" ht="13.2">
      <c r="A10312" t="s">
        <v>11435</v>
      </c>
      <c r="B10312">
        <v>0</v>
      </c>
      <c r="C10312" s="44" t="s">
        <v>204</v>
      </c>
      <c r="D10312" t="s">
        <v>293</v>
      </c>
      <c r="E10312" t="s">
        <v>5658</v>
      </c>
    </row>
    <row r="10313" spans="1:5" ht="13.2">
      <c r="A10313" t="s">
        <v>11436</v>
      </c>
      <c r="B10313">
        <v>0</v>
      </c>
      <c r="C10313" s="44" t="s">
        <v>204</v>
      </c>
      <c r="D10313" t="s">
        <v>293</v>
      </c>
      <c r="E10313" t="s">
        <v>5658</v>
      </c>
    </row>
    <row r="10314" spans="1:5" ht="13.2">
      <c r="A10314" t="s">
        <v>11437</v>
      </c>
      <c r="B10314">
        <v>0</v>
      </c>
      <c r="C10314" s="44" t="s">
        <v>204</v>
      </c>
      <c r="D10314" t="s">
        <v>291</v>
      </c>
      <c r="E10314" t="s">
        <v>5658</v>
      </c>
    </row>
    <row r="10315" spans="1:5" ht="13.2">
      <c r="A10315" t="s">
        <v>11438</v>
      </c>
      <c r="B10315">
        <v>0</v>
      </c>
      <c r="C10315" s="44" t="s">
        <v>204</v>
      </c>
      <c r="D10315" t="s">
        <v>291</v>
      </c>
      <c r="E10315" t="s">
        <v>5658</v>
      </c>
    </row>
    <row r="10316" spans="1:5" ht="13.2">
      <c r="A10316" t="s">
        <v>11439</v>
      </c>
      <c r="B10316">
        <v>0</v>
      </c>
      <c r="C10316" s="44" t="s">
        <v>204</v>
      </c>
      <c r="D10316" t="s">
        <v>291</v>
      </c>
      <c r="E10316" t="s">
        <v>5658</v>
      </c>
    </row>
    <row r="10317" spans="1:5" ht="13.2">
      <c r="A10317" t="s">
        <v>11440</v>
      </c>
      <c r="B10317">
        <v>0</v>
      </c>
      <c r="C10317" s="44" t="s">
        <v>204</v>
      </c>
      <c r="D10317" t="s">
        <v>291</v>
      </c>
      <c r="E10317" t="s">
        <v>5658</v>
      </c>
    </row>
    <row r="10318" spans="1:5" ht="13.2">
      <c r="A10318" t="s">
        <v>11441</v>
      </c>
      <c r="B10318">
        <v>0</v>
      </c>
      <c r="C10318" s="44" t="s">
        <v>204</v>
      </c>
      <c r="D10318" t="s">
        <v>291</v>
      </c>
      <c r="E10318" t="s">
        <v>5658</v>
      </c>
    </row>
    <row r="10319" spans="1:5" ht="13.2">
      <c r="A10319" t="s">
        <v>11442</v>
      </c>
      <c r="B10319">
        <v>0</v>
      </c>
      <c r="C10319" s="44" t="s">
        <v>204</v>
      </c>
      <c r="D10319" t="s">
        <v>291</v>
      </c>
      <c r="E10319" t="s">
        <v>5658</v>
      </c>
    </row>
    <row r="10320" spans="1:5" ht="13.2">
      <c r="A10320" t="s">
        <v>11443</v>
      </c>
      <c r="B10320">
        <v>0</v>
      </c>
      <c r="C10320" s="44" t="s">
        <v>204</v>
      </c>
      <c r="D10320" t="s">
        <v>291</v>
      </c>
      <c r="E10320" t="s">
        <v>5658</v>
      </c>
    </row>
    <row r="10321" spans="1:6" ht="13.2">
      <c r="A10321" t="s">
        <v>11444</v>
      </c>
      <c r="B10321">
        <v>0</v>
      </c>
      <c r="C10321" s="44">
        <v>1400</v>
      </c>
      <c r="D10321" t="s">
        <v>291</v>
      </c>
      <c r="E10321" t="s">
        <v>577</v>
      </c>
      <c r="F10321">
        <v>4</v>
      </c>
    </row>
    <row r="10322" spans="1:6" ht="13.2">
      <c r="A10322" t="s">
        <v>11445</v>
      </c>
      <c r="B10322">
        <v>0</v>
      </c>
      <c r="C10322" s="44">
        <v>1400</v>
      </c>
      <c r="D10322" t="s">
        <v>291</v>
      </c>
      <c r="E10322" t="s">
        <v>577</v>
      </c>
      <c r="F10322">
        <v>4</v>
      </c>
    </row>
    <row r="10323" spans="1:6" ht="13.2">
      <c r="A10323" t="s">
        <v>11446</v>
      </c>
      <c r="B10323">
        <v>0</v>
      </c>
      <c r="C10323" s="44">
        <v>1400</v>
      </c>
      <c r="D10323" t="s">
        <v>291</v>
      </c>
      <c r="E10323" t="s">
        <v>577</v>
      </c>
      <c r="F10323">
        <v>4</v>
      </c>
    </row>
    <row r="10324" spans="1:6" ht="13.2">
      <c r="A10324" t="s">
        <v>11447</v>
      </c>
      <c r="B10324">
        <v>0</v>
      </c>
      <c r="C10324" s="44">
        <v>1400</v>
      </c>
      <c r="D10324" t="s">
        <v>291</v>
      </c>
      <c r="E10324" t="s">
        <v>577</v>
      </c>
      <c r="F10324">
        <v>4</v>
      </c>
    </row>
    <row r="10325" spans="1:6" ht="13.2">
      <c r="A10325" t="s">
        <v>11448</v>
      </c>
      <c r="B10325">
        <v>0</v>
      </c>
      <c r="C10325" s="44">
        <v>1400</v>
      </c>
      <c r="D10325" t="s">
        <v>291</v>
      </c>
      <c r="E10325" t="s">
        <v>577</v>
      </c>
      <c r="F10325">
        <v>4</v>
      </c>
    </row>
    <row r="10326" spans="1:6" ht="13.2">
      <c r="A10326" t="s">
        <v>11449</v>
      </c>
      <c r="B10326">
        <v>0</v>
      </c>
      <c r="C10326" s="44">
        <v>1400</v>
      </c>
      <c r="D10326" t="s">
        <v>291</v>
      </c>
      <c r="E10326" t="s">
        <v>577</v>
      </c>
      <c r="F10326">
        <v>4</v>
      </c>
    </row>
    <row r="10327" spans="1:6" ht="13.2">
      <c r="A10327" t="s">
        <v>11450</v>
      </c>
      <c r="B10327">
        <v>0</v>
      </c>
      <c r="C10327" s="44">
        <v>1400</v>
      </c>
      <c r="D10327" t="s">
        <v>291</v>
      </c>
      <c r="E10327" t="s">
        <v>577</v>
      </c>
      <c r="F10327">
        <v>4</v>
      </c>
    </row>
    <row r="10328" spans="1:6" ht="13.2">
      <c r="A10328" t="s">
        <v>11451</v>
      </c>
      <c r="B10328">
        <v>0</v>
      </c>
      <c r="C10328" s="44">
        <v>1400</v>
      </c>
      <c r="D10328" t="s">
        <v>291</v>
      </c>
      <c r="E10328" t="s">
        <v>577</v>
      </c>
      <c r="F10328">
        <v>4</v>
      </c>
    </row>
    <row r="10329" spans="1:6" ht="13.2">
      <c r="A10329" t="s">
        <v>11452</v>
      </c>
      <c r="B10329">
        <v>0</v>
      </c>
      <c r="C10329" s="44">
        <v>1400</v>
      </c>
      <c r="D10329" t="s">
        <v>291</v>
      </c>
      <c r="E10329" t="s">
        <v>577</v>
      </c>
      <c r="F10329">
        <v>4</v>
      </c>
    </row>
    <row r="10330" spans="1:6" ht="13.2">
      <c r="A10330" t="s">
        <v>11453</v>
      </c>
      <c r="B10330">
        <v>0</v>
      </c>
      <c r="C10330" s="44">
        <v>1400</v>
      </c>
      <c r="D10330" t="s">
        <v>291</v>
      </c>
      <c r="E10330" t="s">
        <v>577</v>
      </c>
      <c r="F10330">
        <v>4</v>
      </c>
    </row>
    <row r="10331" spans="1:6" ht="13.2">
      <c r="A10331" t="s">
        <v>11454</v>
      </c>
      <c r="B10331">
        <v>0</v>
      </c>
      <c r="C10331" s="44">
        <v>1400</v>
      </c>
      <c r="D10331" t="s">
        <v>291</v>
      </c>
      <c r="E10331" t="s">
        <v>577</v>
      </c>
      <c r="F10331">
        <v>4</v>
      </c>
    </row>
    <row r="10332" spans="1:6" ht="13.2">
      <c r="A10332" t="s">
        <v>11455</v>
      </c>
      <c r="B10332">
        <v>0</v>
      </c>
      <c r="C10332" s="44">
        <v>1400</v>
      </c>
      <c r="D10332" t="s">
        <v>291</v>
      </c>
      <c r="E10332" t="s">
        <v>577</v>
      </c>
      <c r="F10332">
        <v>4</v>
      </c>
    </row>
    <row r="10333" spans="1:6" ht="13.2">
      <c r="A10333" t="s">
        <v>11456</v>
      </c>
      <c r="B10333">
        <v>0</v>
      </c>
      <c r="C10333" s="44">
        <v>1400</v>
      </c>
      <c r="D10333" t="s">
        <v>291</v>
      </c>
      <c r="E10333" t="s">
        <v>577</v>
      </c>
      <c r="F10333">
        <v>4</v>
      </c>
    </row>
    <row r="10334" spans="1:6" ht="13.2">
      <c r="A10334" t="s">
        <v>11457</v>
      </c>
      <c r="B10334">
        <v>0</v>
      </c>
      <c r="C10334" s="44" t="s">
        <v>9648</v>
      </c>
      <c r="D10334" t="s">
        <v>291</v>
      </c>
      <c r="E10334" t="s">
        <v>256</v>
      </c>
      <c r="F10334" t="s">
        <v>3824</v>
      </c>
    </row>
    <row r="10335" spans="1:6" ht="13.2">
      <c r="A10335" t="s">
        <v>11458</v>
      </c>
      <c r="B10335">
        <v>0</v>
      </c>
      <c r="C10335" s="44" t="s">
        <v>9648</v>
      </c>
      <c r="D10335" t="s">
        <v>291</v>
      </c>
      <c r="E10335" t="s">
        <v>256</v>
      </c>
      <c r="F10335" t="s">
        <v>3824</v>
      </c>
    </row>
    <row r="10336" spans="1:6" ht="13.2">
      <c r="A10336" t="s">
        <v>11459</v>
      </c>
      <c r="B10336">
        <v>0</v>
      </c>
      <c r="C10336" s="44" t="s">
        <v>9648</v>
      </c>
      <c r="D10336" t="s">
        <v>291</v>
      </c>
      <c r="E10336" t="s">
        <v>256</v>
      </c>
      <c r="F10336" t="s">
        <v>3824</v>
      </c>
    </row>
    <row r="10337" spans="1:6" ht="13.2">
      <c r="A10337" t="s">
        <v>11460</v>
      </c>
      <c r="B10337">
        <v>0</v>
      </c>
      <c r="C10337" s="44" t="s">
        <v>9648</v>
      </c>
      <c r="D10337" t="s">
        <v>291</v>
      </c>
      <c r="E10337" t="s">
        <v>256</v>
      </c>
      <c r="F10337" t="s">
        <v>3824</v>
      </c>
    </row>
    <row r="10338" spans="1:6" ht="13.2">
      <c r="A10338" t="s">
        <v>11461</v>
      </c>
      <c r="B10338">
        <v>0</v>
      </c>
      <c r="C10338" s="44" t="s">
        <v>9648</v>
      </c>
      <c r="D10338" t="s">
        <v>291</v>
      </c>
      <c r="E10338" t="s">
        <v>256</v>
      </c>
      <c r="F10338" t="s">
        <v>3824</v>
      </c>
    </row>
    <row r="10339" spans="1:6" ht="13.2">
      <c r="A10339" t="s">
        <v>11462</v>
      </c>
      <c r="B10339">
        <v>0</v>
      </c>
      <c r="C10339" s="44" t="s">
        <v>9648</v>
      </c>
      <c r="D10339" t="s">
        <v>291</v>
      </c>
      <c r="E10339" t="s">
        <v>256</v>
      </c>
      <c r="F10339" t="s">
        <v>3824</v>
      </c>
    </row>
    <row r="10340" spans="1:6" ht="13.2">
      <c r="A10340" t="s">
        <v>11463</v>
      </c>
      <c r="B10340">
        <v>0</v>
      </c>
      <c r="C10340" s="44" t="s">
        <v>9648</v>
      </c>
      <c r="D10340" t="s">
        <v>291</v>
      </c>
      <c r="E10340" t="s">
        <v>256</v>
      </c>
      <c r="F10340" t="s">
        <v>3824</v>
      </c>
    </row>
    <row r="10341" spans="1:6" ht="13.2">
      <c r="A10341" t="s">
        <v>11464</v>
      </c>
      <c r="B10341">
        <v>0</v>
      </c>
      <c r="C10341" s="44" t="s">
        <v>9648</v>
      </c>
      <c r="D10341" t="s">
        <v>291</v>
      </c>
      <c r="E10341" t="s">
        <v>256</v>
      </c>
      <c r="F10341" t="s">
        <v>3824</v>
      </c>
    </row>
    <row r="10342" spans="1:6" ht="13.2">
      <c r="A10342" t="s">
        <v>11465</v>
      </c>
      <c r="B10342">
        <v>0</v>
      </c>
      <c r="C10342" s="44" t="s">
        <v>9648</v>
      </c>
      <c r="D10342" t="s">
        <v>291</v>
      </c>
      <c r="E10342" t="s">
        <v>256</v>
      </c>
      <c r="F10342" t="s">
        <v>3824</v>
      </c>
    </row>
    <row r="10343" spans="1:6" ht="13.2">
      <c r="A10343" t="s">
        <v>11466</v>
      </c>
      <c r="B10343">
        <v>0</v>
      </c>
      <c r="C10343" s="44" t="s">
        <v>9648</v>
      </c>
      <c r="D10343" t="s">
        <v>291</v>
      </c>
      <c r="E10343" t="s">
        <v>256</v>
      </c>
      <c r="F10343" t="s">
        <v>3824</v>
      </c>
    </row>
    <row r="10344" spans="1:6" ht="13.2">
      <c r="A10344" t="s">
        <v>11467</v>
      </c>
      <c r="B10344">
        <v>0</v>
      </c>
      <c r="C10344" s="44" t="s">
        <v>9648</v>
      </c>
      <c r="D10344" t="s">
        <v>291</v>
      </c>
      <c r="E10344" t="s">
        <v>256</v>
      </c>
      <c r="F10344" t="s">
        <v>3824</v>
      </c>
    </row>
    <row r="10345" spans="1:6" ht="13.2">
      <c r="A10345" t="s">
        <v>11468</v>
      </c>
      <c r="B10345">
        <v>0</v>
      </c>
      <c r="C10345" s="44" t="s">
        <v>9648</v>
      </c>
      <c r="D10345" t="s">
        <v>291</v>
      </c>
      <c r="E10345" t="s">
        <v>256</v>
      </c>
      <c r="F10345" t="s">
        <v>3824</v>
      </c>
    </row>
    <row r="10346" spans="1:6" ht="13.2">
      <c r="A10346" t="s">
        <v>11469</v>
      </c>
      <c r="B10346">
        <v>0</v>
      </c>
      <c r="C10346" s="44" t="s">
        <v>9648</v>
      </c>
      <c r="D10346" t="s">
        <v>291</v>
      </c>
      <c r="E10346" t="s">
        <v>256</v>
      </c>
      <c r="F10346" t="s">
        <v>3824</v>
      </c>
    </row>
    <row r="10347" spans="1:6" ht="13.2">
      <c r="A10347" t="s">
        <v>11470</v>
      </c>
      <c r="B10347">
        <v>0</v>
      </c>
      <c r="C10347" s="44" t="s">
        <v>9648</v>
      </c>
      <c r="D10347" t="s">
        <v>291</v>
      </c>
      <c r="E10347" t="s">
        <v>256</v>
      </c>
      <c r="F10347" t="s">
        <v>3824</v>
      </c>
    </row>
    <row r="10348" spans="1:6" ht="13.2">
      <c r="A10348" t="s">
        <v>11471</v>
      </c>
      <c r="B10348">
        <v>0</v>
      </c>
      <c r="C10348" s="44" t="s">
        <v>9648</v>
      </c>
      <c r="D10348" t="s">
        <v>291</v>
      </c>
      <c r="E10348" t="s">
        <v>256</v>
      </c>
      <c r="F10348" t="s">
        <v>3824</v>
      </c>
    </row>
    <row r="10349" spans="1:6" ht="13.2">
      <c r="A10349" t="s">
        <v>11472</v>
      </c>
      <c r="B10349">
        <v>0</v>
      </c>
      <c r="C10349" s="44" t="s">
        <v>9648</v>
      </c>
      <c r="D10349" t="s">
        <v>291</v>
      </c>
      <c r="E10349" t="s">
        <v>256</v>
      </c>
      <c r="F10349" t="s">
        <v>3824</v>
      </c>
    </row>
    <row r="10350" spans="1:6" ht="13.2">
      <c r="A10350" t="s">
        <v>11473</v>
      </c>
      <c r="B10350">
        <v>0</v>
      </c>
      <c r="C10350" s="44" t="s">
        <v>9648</v>
      </c>
      <c r="D10350" t="s">
        <v>291</v>
      </c>
      <c r="E10350" t="s">
        <v>256</v>
      </c>
      <c r="F10350" t="s">
        <v>3824</v>
      </c>
    </row>
    <row r="10351" spans="1:6" ht="13.2">
      <c r="A10351" t="s">
        <v>11474</v>
      </c>
      <c r="B10351">
        <v>0</v>
      </c>
      <c r="C10351" s="44" t="s">
        <v>9648</v>
      </c>
      <c r="D10351" t="s">
        <v>291</v>
      </c>
      <c r="E10351" t="s">
        <v>256</v>
      </c>
      <c r="F10351" t="s">
        <v>3824</v>
      </c>
    </row>
    <row r="10352" spans="1:6" ht="13.2">
      <c r="A10352" t="s">
        <v>11475</v>
      </c>
      <c r="B10352">
        <v>320</v>
      </c>
      <c r="C10352" s="44">
        <v>1390</v>
      </c>
      <c r="D10352" t="s">
        <v>291</v>
      </c>
      <c r="E10352" t="s">
        <v>577</v>
      </c>
      <c r="F10352">
        <v>4</v>
      </c>
    </row>
    <row r="10353" spans="1:6" ht="13.2">
      <c r="A10353" t="s">
        <v>11476</v>
      </c>
      <c r="B10353">
        <v>320</v>
      </c>
      <c r="C10353" s="44">
        <v>1390</v>
      </c>
      <c r="D10353" t="s">
        <v>291</v>
      </c>
      <c r="E10353" t="s">
        <v>577</v>
      </c>
      <c r="F10353">
        <v>4</v>
      </c>
    </row>
    <row r="10354" spans="1:6" ht="13.2">
      <c r="A10354" t="s">
        <v>11477</v>
      </c>
      <c r="B10354">
        <v>320</v>
      </c>
      <c r="C10354" s="44">
        <v>1390</v>
      </c>
      <c r="D10354" t="s">
        <v>291</v>
      </c>
      <c r="E10354" t="s">
        <v>577</v>
      </c>
      <c r="F10354">
        <v>4</v>
      </c>
    </row>
    <row r="10355" spans="1:6" ht="13.2">
      <c r="A10355" t="s">
        <v>11478</v>
      </c>
      <c r="B10355">
        <v>320</v>
      </c>
      <c r="C10355" s="44">
        <v>1390</v>
      </c>
      <c r="D10355" t="s">
        <v>291</v>
      </c>
      <c r="E10355" t="s">
        <v>577</v>
      </c>
      <c r="F10355">
        <v>4</v>
      </c>
    </row>
    <row r="10356" spans="1:6" ht="13.2">
      <c r="A10356" t="s">
        <v>11479</v>
      </c>
      <c r="B10356">
        <v>320</v>
      </c>
      <c r="C10356" s="44">
        <v>1390</v>
      </c>
      <c r="D10356" t="s">
        <v>291</v>
      </c>
      <c r="E10356" t="s">
        <v>577</v>
      </c>
      <c r="F10356">
        <v>4</v>
      </c>
    </row>
    <row r="10357" spans="1:6" ht="13.2">
      <c r="A10357" t="s">
        <v>11480</v>
      </c>
      <c r="B10357">
        <v>320</v>
      </c>
      <c r="C10357" s="44">
        <v>1390</v>
      </c>
      <c r="D10357" t="s">
        <v>291</v>
      </c>
      <c r="E10357" t="s">
        <v>577</v>
      </c>
      <c r="F10357">
        <v>4</v>
      </c>
    </row>
    <row r="10358" spans="1:6" ht="13.2">
      <c r="A10358" t="s">
        <v>11481</v>
      </c>
      <c r="B10358">
        <v>320</v>
      </c>
      <c r="C10358" s="44">
        <v>1390</v>
      </c>
      <c r="D10358" t="s">
        <v>291</v>
      </c>
      <c r="E10358" t="s">
        <v>577</v>
      </c>
      <c r="F10358">
        <v>4</v>
      </c>
    </row>
    <row r="10359" spans="1:6" ht="13.2">
      <c r="A10359" t="s">
        <v>11482</v>
      </c>
      <c r="B10359">
        <v>320</v>
      </c>
      <c r="C10359" s="44">
        <v>1390</v>
      </c>
      <c r="D10359" t="s">
        <v>291</v>
      </c>
      <c r="E10359" t="s">
        <v>577</v>
      </c>
      <c r="F10359">
        <v>4</v>
      </c>
    </row>
    <row r="10360" spans="1:6" ht="13.2">
      <c r="A10360" t="s">
        <v>11483</v>
      </c>
      <c r="B10360">
        <v>320</v>
      </c>
      <c r="C10360" s="44">
        <v>1390</v>
      </c>
      <c r="D10360" t="s">
        <v>291</v>
      </c>
      <c r="E10360" t="s">
        <v>577</v>
      </c>
      <c r="F10360">
        <v>4</v>
      </c>
    </row>
    <row r="10361" spans="1:6" ht="13.2">
      <c r="A10361" t="s">
        <v>11484</v>
      </c>
      <c r="B10361">
        <v>320</v>
      </c>
      <c r="C10361" s="44">
        <v>1390</v>
      </c>
      <c r="D10361" t="s">
        <v>291</v>
      </c>
      <c r="E10361" t="s">
        <v>577</v>
      </c>
      <c r="F10361">
        <v>4</v>
      </c>
    </row>
    <row r="10362" spans="1:6" ht="13.2">
      <c r="A10362" t="s">
        <v>11485</v>
      </c>
      <c r="B10362">
        <v>320</v>
      </c>
      <c r="C10362" s="44">
        <v>1390</v>
      </c>
      <c r="D10362" t="s">
        <v>291</v>
      </c>
      <c r="E10362" t="s">
        <v>577</v>
      </c>
      <c r="F10362">
        <v>4</v>
      </c>
    </row>
    <row r="10363" spans="1:6" ht="13.2">
      <c r="A10363" t="s">
        <v>11486</v>
      </c>
      <c r="B10363">
        <v>320</v>
      </c>
      <c r="C10363" s="44">
        <v>1390</v>
      </c>
      <c r="D10363" t="s">
        <v>291</v>
      </c>
      <c r="E10363" t="s">
        <v>577</v>
      </c>
      <c r="F10363">
        <v>4</v>
      </c>
    </row>
    <row r="10364" spans="1:6" ht="13.2">
      <c r="A10364" t="s">
        <v>11487</v>
      </c>
      <c r="B10364">
        <v>320</v>
      </c>
      <c r="C10364" s="44">
        <v>1390</v>
      </c>
      <c r="D10364" t="s">
        <v>291</v>
      </c>
      <c r="E10364" t="s">
        <v>577</v>
      </c>
      <c r="F10364">
        <v>4</v>
      </c>
    </row>
    <row r="10365" spans="1:6" ht="13.2">
      <c r="A10365" t="s">
        <v>11488</v>
      </c>
      <c r="B10365">
        <v>320</v>
      </c>
      <c r="C10365" s="44">
        <v>1390</v>
      </c>
      <c r="D10365" t="s">
        <v>291</v>
      </c>
      <c r="E10365" t="s">
        <v>577</v>
      </c>
      <c r="F10365">
        <v>4</v>
      </c>
    </row>
    <row r="10366" spans="1:6" ht="13.2">
      <c r="A10366" t="s">
        <v>11489</v>
      </c>
      <c r="B10366">
        <v>320</v>
      </c>
      <c r="C10366" s="44">
        <v>1390</v>
      </c>
      <c r="D10366" t="s">
        <v>291</v>
      </c>
      <c r="E10366" t="s">
        <v>577</v>
      </c>
      <c r="F10366">
        <v>4</v>
      </c>
    </row>
    <row r="10367" spans="1:6" ht="13.2">
      <c r="A10367" t="s">
        <v>11490</v>
      </c>
      <c r="B10367">
        <v>320</v>
      </c>
      <c r="C10367" s="44">
        <v>1390</v>
      </c>
      <c r="D10367" t="s">
        <v>291</v>
      </c>
      <c r="E10367" t="s">
        <v>577</v>
      </c>
      <c r="F10367">
        <v>4</v>
      </c>
    </row>
    <row r="10368" spans="1:6" ht="13.2">
      <c r="A10368" t="s">
        <v>11491</v>
      </c>
      <c r="B10368">
        <v>320</v>
      </c>
      <c r="C10368" s="44">
        <v>1390</v>
      </c>
      <c r="D10368" t="s">
        <v>291</v>
      </c>
      <c r="E10368" t="s">
        <v>577</v>
      </c>
      <c r="F10368">
        <v>4</v>
      </c>
    </row>
    <row r="10369" spans="1:6" ht="13.2">
      <c r="A10369" t="s">
        <v>11492</v>
      </c>
      <c r="B10369">
        <v>320</v>
      </c>
      <c r="C10369" s="44">
        <v>1390</v>
      </c>
      <c r="D10369" t="s">
        <v>291</v>
      </c>
      <c r="E10369" t="s">
        <v>577</v>
      </c>
      <c r="F10369">
        <v>4</v>
      </c>
    </row>
    <row r="10370" spans="1:6" ht="13.2">
      <c r="A10370" t="s">
        <v>11493</v>
      </c>
      <c r="B10370">
        <v>320</v>
      </c>
      <c r="C10370" s="44">
        <v>1390</v>
      </c>
      <c r="D10370" t="s">
        <v>291</v>
      </c>
      <c r="E10370" t="s">
        <v>577</v>
      </c>
      <c r="F10370">
        <v>4</v>
      </c>
    </row>
    <row r="10371" spans="1:6" ht="13.2">
      <c r="A10371" t="s">
        <v>11494</v>
      </c>
      <c r="B10371">
        <v>320</v>
      </c>
      <c r="C10371" s="44">
        <v>1390</v>
      </c>
      <c r="D10371" t="s">
        <v>291</v>
      </c>
      <c r="E10371" t="s">
        <v>577</v>
      </c>
      <c r="F10371">
        <v>4</v>
      </c>
    </row>
    <row r="10372" spans="1:6" ht="13.2">
      <c r="A10372" t="s">
        <v>11495</v>
      </c>
      <c r="B10372">
        <v>320</v>
      </c>
      <c r="C10372" s="44">
        <v>1390</v>
      </c>
      <c r="D10372" t="s">
        <v>291</v>
      </c>
      <c r="E10372" t="s">
        <v>577</v>
      </c>
      <c r="F10372">
        <v>4</v>
      </c>
    </row>
    <row r="10373" spans="1:6" ht="13.2">
      <c r="A10373" t="s">
        <v>11496</v>
      </c>
      <c r="B10373">
        <v>320</v>
      </c>
      <c r="C10373" s="44">
        <v>1390</v>
      </c>
      <c r="D10373" t="s">
        <v>291</v>
      </c>
      <c r="E10373" t="s">
        <v>577</v>
      </c>
      <c r="F10373">
        <v>4</v>
      </c>
    </row>
    <row r="10374" spans="1:6" ht="13.2">
      <c r="A10374" t="s">
        <v>11497</v>
      </c>
      <c r="B10374">
        <v>320</v>
      </c>
      <c r="C10374" s="44">
        <v>1390</v>
      </c>
      <c r="D10374" t="s">
        <v>291</v>
      </c>
      <c r="E10374" t="s">
        <v>577</v>
      </c>
      <c r="F10374">
        <v>4</v>
      </c>
    </row>
    <row r="10375" spans="1:6" ht="13.2">
      <c r="A10375" t="s">
        <v>11498</v>
      </c>
      <c r="B10375">
        <v>320</v>
      </c>
      <c r="C10375" s="44">
        <v>1390</v>
      </c>
      <c r="D10375" t="s">
        <v>291</v>
      </c>
      <c r="E10375" t="s">
        <v>577</v>
      </c>
      <c r="F10375">
        <v>4</v>
      </c>
    </row>
    <row r="10376" spans="1:6" ht="13.2">
      <c r="A10376" t="s">
        <v>11499</v>
      </c>
      <c r="B10376">
        <v>320</v>
      </c>
      <c r="C10376" s="44">
        <v>1390</v>
      </c>
      <c r="D10376" t="s">
        <v>291</v>
      </c>
      <c r="E10376" t="s">
        <v>577</v>
      </c>
      <c r="F10376">
        <v>4</v>
      </c>
    </row>
    <row r="10377" spans="1:6" ht="13.2">
      <c r="A10377" t="s">
        <v>11500</v>
      </c>
      <c r="B10377">
        <v>140</v>
      </c>
      <c r="C10377" s="44">
        <v>1400</v>
      </c>
      <c r="D10377" t="s">
        <v>291</v>
      </c>
      <c r="E10377" t="s">
        <v>7674</v>
      </c>
      <c r="F10377">
        <v>4</v>
      </c>
    </row>
    <row r="10378" spans="1:6" ht="13.2">
      <c r="A10378" t="s">
        <v>11501</v>
      </c>
      <c r="B10378">
        <v>140</v>
      </c>
      <c r="C10378" s="44">
        <v>1400</v>
      </c>
      <c r="D10378" t="s">
        <v>291</v>
      </c>
      <c r="E10378" t="s">
        <v>7674</v>
      </c>
      <c r="F10378">
        <v>4</v>
      </c>
    </row>
    <row r="10379" spans="1:6" ht="13.2">
      <c r="A10379" t="s">
        <v>11502</v>
      </c>
      <c r="B10379">
        <v>140</v>
      </c>
      <c r="C10379" s="44">
        <v>1400</v>
      </c>
      <c r="D10379" t="s">
        <v>291</v>
      </c>
      <c r="E10379" t="s">
        <v>7674</v>
      </c>
      <c r="F10379">
        <v>4</v>
      </c>
    </row>
    <row r="10380" spans="1:6" ht="13.2">
      <c r="A10380" t="s">
        <v>11503</v>
      </c>
      <c r="B10380">
        <v>140</v>
      </c>
      <c r="C10380" s="44">
        <v>1400</v>
      </c>
      <c r="D10380" t="s">
        <v>291</v>
      </c>
      <c r="E10380" t="s">
        <v>7674</v>
      </c>
      <c r="F10380">
        <v>4</v>
      </c>
    </row>
    <row r="10381" spans="1:6" ht="13.2">
      <c r="A10381" t="s">
        <v>11504</v>
      </c>
      <c r="B10381">
        <v>140</v>
      </c>
      <c r="C10381" s="44">
        <v>1400</v>
      </c>
      <c r="D10381" t="s">
        <v>291</v>
      </c>
      <c r="E10381" t="s">
        <v>7674</v>
      </c>
      <c r="F10381">
        <v>4</v>
      </c>
    </row>
    <row r="10382" spans="1:6" ht="13.2">
      <c r="A10382" t="s">
        <v>11505</v>
      </c>
      <c r="B10382">
        <v>140</v>
      </c>
      <c r="C10382" s="44">
        <v>1400</v>
      </c>
      <c r="D10382" t="s">
        <v>291</v>
      </c>
      <c r="E10382" t="s">
        <v>7674</v>
      </c>
      <c r="F10382">
        <v>4</v>
      </c>
    </row>
    <row r="10383" spans="1:6" ht="13.2">
      <c r="A10383" t="s">
        <v>11506</v>
      </c>
      <c r="B10383">
        <v>140</v>
      </c>
      <c r="C10383" s="44">
        <v>1400</v>
      </c>
      <c r="D10383" t="s">
        <v>291</v>
      </c>
      <c r="E10383" t="s">
        <v>7674</v>
      </c>
      <c r="F10383">
        <v>4</v>
      </c>
    </row>
    <row r="10384" spans="1:6" ht="13.2">
      <c r="A10384" t="s">
        <v>11507</v>
      </c>
      <c r="B10384">
        <v>140</v>
      </c>
      <c r="C10384" s="44">
        <v>1400</v>
      </c>
      <c r="D10384" t="s">
        <v>291</v>
      </c>
      <c r="E10384" t="s">
        <v>7674</v>
      </c>
      <c r="F10384">
        <v>4</v>
      </c>
    </row>
    <row r="10385" spans="1:6" ht="13.2">
      <c r="A10385" t="s">
        <v>4587</v>
      </c>
      <c r="B10385">
        <v>0</v>
      </c>
      <c r="C10385" s="44">
        <v>1400</v>
      </c>
      <c r="D10385" t="s">
        <v>291</v>
      </c>
      <c r="E10385" t="s">
        <v>3879</v>
      </c>
      <c r="F10385">
        <v>3</v>
      </c>
    </row>
    <row r="10386" spans="1:6" ht="13.2">
      <c r="A10386" t="s">
        <v>4588</v>
      </c>
      <c r="B10386">
        <v>0</v>
      </c>
      <c r="C10386" s="44">
        <v>1400</v>
      </c>
      <c r="D10386" t="s">
        <v>291</v>
      </c>
      <c r="E10386" t="s">
        <v>3879</v>
      </c>
      <c r="F10386">
        <v>3</v>
      </c>
    </row>
    <row r="10387" spans="1:6" ht="13.2">
      <c r="A10387" t="s">
        <v>4589</v>
      </c>
      <c r="B10387">
        <v>0</v>
      </c>
      <c r="C10387" s="44">
        <v>1400</v>
      </c>
      <c r="D10387" t="s">
        <v>291</v>
      </c>
      <c r="E10387" t="s">
        <v>3879</v>
      </c>
      <c r="F10387">
        <v>3</v>
      </c>
    </row>
    <row r="10388" spans="1:6" ht="13.2">
      <c r="A10388" t="s">
        <v>4590</v>
      </c>
      <c r="B10388">
        <v>0</v>
      </c>
      <c r="C10388" s="44">
        <v>1400</v>
      </c>
      <c r="D10388" t="s">
        <v>291</v>
      </c>
      <c r="E10388" t="s">
        <v>3879</v>
      </c>
      <c r="F10388">
        <v>3</v>
      </c>
    </row>
    <row r="10389" spans="1:6" ht="13.2">
      <c r="A10389" t="s">
        <v>4591</v>
      </c>
      <c r="B10389">
        <v>0</v>
      </c>
      <c r="C10389" s="44">
        <v>1400</v>
      </c>
      <c r="D10389" t="s">
        <v>291</v>
      </c>
      <c r="E10389" t="s">
        <v>3879</v>
      </c>
      <c r="F10389">
        <v>3</v>
      </c>
    </row>
    <row r="10390" spans="1:6" ht="13.2">
      <c r="A10390" t="s">
        <v>4592</v>
      </c>
      <c r="B10390">
        <v>0</v>
      </c>
      <c r="C10390" s="44">
        <v>1400</v>
      </c>
      <c r="D10390" t="s">
        <v>291</v>
      </c>
      <c r="E10390" t="s">
        <v>3879</v>
      </c>
      <c r="F10390">
        <v>3</v>
      </c>
    </row>
    <row r="10391" spans="1:6" ht="13.2">
      <c r="A10391" t="s">
        <v>4593</v>
      </c>
      <c r="B10391">
        <v>0</v>
      </c>
      <c r="C10391" s="44">
        <v>1400</v>
      </c>
      <c r="D10391" t="s">
        <v>291</v>
      </c>
      <c r="E10391" t="s">
        <v>3879</v>
      </c>
      <c r="F10391">
        <v>3</v>
      </c>
    </row>
    <row r="10392" spans="1:6" ht="13.2">
      <c r="A10392" t="s">
        <v>4594</v>
      </c>
      <c r="B10392">
        <v>0</v>
      </c>
      <c r="C10392" s="44">
        <v>1400</v>
      </c>
      <c r="D10392" t="s">
        <v>291</v>
      </c>
      <c r="E10392" t="s">
        <v>3879</v>
      </c>
      <c r="F10392">
        <v>3</v>
      </c>
    </row>
    <row r="10393" spans="1:6" ht="13.2">
      <c r="A10393" t="s">
        <v>4595</v>
      </c>
      <c r="B10393">
        <v>0</v>
      </c>
      <c r="C10393" s="44">
        <v>1400</v>
      </c>
      <c r="D10393" t="s">
        <v>291</v>
      </c>
      <c r="E10393" t="s">
        <v>3879</v>
      </c>
      <c r="F10393">
        <v>3</v>
      </c>
    </row>
    <row r="10394" spans="1:6" ht="13.2">
      <c r="A10394" t="s">
        <v>4596</v>
      </c>
      <c r="B10394">
        <v>0</v>
      </c>
      <c r="C10394" s="44">
        <v>1400</v>
      </c>
      <c r="D10394" t="s">
        <v>291</v>
      </c>
      <c r="E10394" t="s">
        <v>3879</v>
      </c>
      <c r="F10394">
        <v>3</v>
      </c>
    </row>
    <row r="10395" spans="1:6" ht="13.2">
      <c r="A10395" t="s">
        <v>4597</v>
      </c>
      <c r="B10395">
        <v>0</v>
      </c>
      <c r="C10395" s="44">
        <v>1400</v>
      </c>
      <c r="D10395" t="s">
        <v>291</v>
      </c>
      <c r="E10395" t="s">
        <v>3879</v>
      </c>
      <c r="F10395">
        <v>3</v>
      </c>
    </row>
    <row r="10396" spans="1:6" ht="13.2">
      <c r="A10396" t="s">
        <v>4598</v>
      </c>
      <c r="B10396">
        <v>0</v>
      </c>
      <c r="C10396" s="44">
        <v>1400</v>
      </c>
      <c r="D10396" t="s">
        <v>291</v>
      </c>
      <c r="E10396" t="s">
        <v>3879</v>
      </c>
      <c r="F10396">
        <v>3</v>
      </c>
    </row>
    <row r="10397" spans="1:6" ht="13.2">
      <c r="A10397" t="s">
        <v>4599</v>
      </c>
      <c r="B10397">
        <v>0</v>
      </c>
      <c r="C10397" s="44">
        <v>1400</v>
      </c>
      <c r="D10397" t="s">
        <v>291</v>
      </c>
      <c r="E10397" t="s">
        <v>3879</v>
      </c>
      <c r="F10397">
        <v>3</v>
      </c>
    </row>
    <row r="10398" spans="1:6" ht="13.2">
      <c r="A10398" t="s">
        <v>11508</v>
      </c>
      <c r="B10398">
        <v>320</v>
      </c>
      <c r="C10398" s="44">
        <v>1390</v>
      </c>
      <c r="D10398" t="s">
        <v>291</v>
      </c>
      <c r="E10398" t="s">
        <v>577</v>
      </c>
      <c r="F10398">
        <v>4</v>
      </c>
    </row>
    <row r="10399" spans="1:6" ht="13.2">
      <c r="A10399" t="s">
        <v>11509</v>
      </c>
      <c r="B10399">
        <v>320</v>
      </c>
      <c r="C10399" s="44">
        <v>1390</v>
      </c>
      <c r="D10399" t="s">
        <v>291</v>
      </c>
      <c r="E10399" t="s">
        <v>577</v>
      </c>
      <c r="F10399">
        <v>4</v>
      </c>
    </row>
    <row r="10400" spans="1:6" ht="13.2">
      <c r="A10400" t="s">
        <v>11510</v>
      </c>
      <c r="B10400">
        <v>320</v>
      </c>
      <c r="C10400" s="44">
        <v>1390</v>
      </c>
      <c r="D10400" t="s">
        <v>291</v>
      </c>
      <c r="E10400" t="s">
        <v>577</v>
      </c>
      <c r="F10400">
        <v>4</v>
      </c>
    </row>
    <row r="10401" spans="1:6" ht="13.2">
      <c r="A10401" t="s">
        <v>11511</v>
      </c>
      <c r="B10401">
        <v>320</v>
      </c>
      <c r="C10401" s="44">
        <v>1390</v>
      </c>
      <c r="D10401" t="s">
        <v>291</v>
      </c>
      <c r="E10401" t="s">
        <v>577</v>
      </c>
      <c r="F10401">
        <v>4</v>
      </c>
    </row>
    <row r="10402" spans="1:6" ht="13.2">
      <c r="A10402" t="s">
        <v>11512</v>
      </c>
      <c r="B10402">
        <v>320</v>
      </c>
      <c r="C10402" s="44">
        <v>1390</v>
      </c>
      <c r="D10402" t="s">
        <v>291</v>
      </c>
      <c r="E10402" t="s">
        <v>577</v>
      </c>
      <c r="F10402">
        <v>4</v>
      </c>
    </row>
    <row r="10403" spans="1:6" ht="13.2">
      <c r="A10403" t="s">
        <v>11513</v>
      </c>
      <c r="B10403">
        <v>320</v>
      </c>
      <c r="C10403" s="44">
        <v>1390</v>
      </c>
      <c r="D10403" t="s">
        <v>291</v>
      </c>
      <c r="E10403" t="s">
        <v>577</v>
      </c>
      <c r="F10403">
        <v>4</v>
      </c>
    </row>
    <row r="10404" spans="1:6" ht="13.2">
      <c r="A10404" t="s">
        <v>11514</v>
      </c>
      <c r="B10404">
        <v>320</v>
      </c>
      <c r="C10404" s="44">
        <v>1390</v>
      </c>
      <c r="D10404" t="s">
        <v>291</v>
      </c>
      <c r="E10404" t="s">
        <v>577</v>
      </c>
      <c r="F10404">
        <v>4</v>
      </c>
    </row>
    <row r="10405" spans="1:6" ht="13.2">
      <c r="A10405" t="s">
        <v>11515</v>
      </c>
      <c r="B10405">
        <v>320</v>
      </c>
      <c r="C10405" s="44">
        <v>1390</v>
      </c>
      <c r="D10405" t="s">
        <v>291</v>
      </c>
      <c r="E10405" t="s">
        <v>577</v>
      </c>
      <c r="F10405">
        <v>4</v>
      </c>
    </row>
    <row r="10406" spans="1:6" ht="13.2">
      <c r="A10406" t="s">
        <v>11516</v>
      </c>
      <c r="B10406">
        <v>320</v>
      </c>
      <c r="C10406" s="44">
        <v>1390</v>
      </c>
      <c r="D10406" t="s">
        <v>291</v>
      </c>
      <c r="E10406" t="s">
        <v>577</v>
      </c>
      <c r="F10406">
        <v>4</v>
      </c>
    </row>
    <row r="10407" spans="1:6" ht="13.2">
      <c r="A10407" t="s">
        <v>11517</v>
      </c>
      <c r="B10407">
        <v>320</v>
      </c>
      <c r="C10407" s="44">
        <v>1390</v>
      </c>
      <c r="D10407" t="s">
        <v>291</v>
      </c>
      <c r="E10407" t="s">
        <v>577</v>
      </c>
      <c r="F10407">
        <v>4</v>
      </c>
    </row>
    <row r="10408" spans="1:6" ht="13.2">
      <c r="A10408" t="s">
        <v>11518</v>
      </c>
      <c r="B10408">
        <v>320</v>
      </c>
      <c r="C10408" s="44">
        <v>1390</v>
      </c>
      <c r="D10408" t="s">
        <v>291</v>
      </c>
      <c r="E10408" t="s">
        <v>577</v>
      </c>
      <c r="F10408">
        <v>4</v>
      </c>
    </row>
    <row r="10409" spans="1:6" ht="13.2">
      <c r="A10409" t="s">
        <v>11519</v>
      </c>
      <c r="B10409">
        <v>320</v>
      </c>
      <c r="C10409" s="44">
        <v>1390</v>
      </c>
      <c r="D10409" t="s">
        <v>291</v>
      </c>
      <c r="E10409" t="s">
        <v>577</v>
      </c>
      <c r="F10409">
        <v>4</v>
      </c>
    </row>
    <row r="10410" spans="1:6" ht="13.2">
      <c r="A10410" t="s">
        <v>11520</v>
      </c>
      <c r="B10410">
        <v>320</v>
      </c>
      <c r="C10410" s="44">
        <v>1390</v>
      </c>
      <c r="D10410" t="s">
        <v>291</v>
      </c>
      <c r="E10410" t="s">
        <v>577</v>
      </c>
      <c r="F10410">
        <v>4</v>
      </c>
    </row>
    <row r="10411" spans="1:6" ht="13.2">
      <c r="A10411" t="s">
        <v>11521</v>
      </c>
      <c r="B10411">
        <v>320</v>
      </c>
      <c r="C10411" s="44">
        <v>1390</v>
      </c>
      <c r="D10411" t="s">
        <v>291</v>
      </c>
      <c r="E10411" t="s">
        <v>577</v>
      </c>
      <c r="F10411">
        <v>4</v>
      </c>
    </row>
    <row r="10412" spans="1:6" ht="13.2">
      <c r="A10412" t="s">
        <v>11522</v>
      </c>
      <c r="B10412">
        <v>320</v>
      </c>
      <c r="C10412" s="44">
        <v>1390</v>
      </c>
      <c r="D10412" t="s">
        <v>291</v>
      </c>
      <c r="E10412" t="s">
        <v>577</v>
      </c>
      <c r="F10412">
        <v>4</v>
      </c>
    </row>
    <row r="10413" spans="1:6" ht="13.2">
      <c r="A10413" t="s">
        <v>11523</v>
      </c>
      <c r="B10413">
        <v>320</v>
      </c>
      <c r="C10413" s="44">
        <v>1390</v>
      </c>
      <c r="D10413" t="s">
        <v>291</v>
      </c>
      <c r="E10413" t="s">
        <v>577</v>
      </c>
      <c r="F10413">
        <v>4</v>
      </c>
    </row>
    <row r="10414" spans="1:6" ht="13.2">
      <c r="A10414" t="s">
        <v>11524</v>
      </c>
      <c r="B10414">
        <v>320</v>
      </c>
      <c r="C10414" s="44">
        <v>1390</v>
      </c>
      <c r="D10414" t="s">
        <v>291</v>
      </c>
      <c r="E10414" t="s">
        <v>577</v>
      </c>
      <c r="F10414">
        <v>4</v>
      </c>
    </row>
    <row r="10415" spans="1:6" ht="13.2">
      <c r="A10415" t="s">
        <v>11525</v>
      </c>
      <c r="B10415">
        <v>320</v>
      </c>
      <c r="C10415" s="44">
        <v>1390</v>
      </c>
      <c r="D10415" t="s">
        <v>291</v>
      </c>
      <c r="E10415" t="s">
        <v>577</v>
      </c>
      <c r="F10415">
        <v>4</v>
      </c>
    </row>
    <row r="10416" spans="1:6" ht="13.2">
      <c r="A10416" t="s">
        <v>11526</v>
      </c>
      <c r="B10416">
        <v>320</v>
      </c>
      <c r="C10416" s="44">
        <v>1390</v>
      </c>
      <c r="D10416" t="s">
        <v>291</v>
      </c>
      <c r="E10416" t="s">
        <v>577</v>
      </c>
      <c r="F10416">
        <v>4</v>
      </c>
    </row>
    <row r="10417" spans="1:6" ht="13.2">
      <c r="A10417" t="s">
        <v>11527</v>
      </c>
      <c r="B10417">
        <v>320</v>
      </c>
      <c r="C10417" s="44">
        <v>1390</v>
      </c>
      <c r="D10417" t="s">
        <v>291</v>
      </c>
      <c r="E10417" t="s">
        <v>577</v>
      </c>
      <c r="F10417">
        <v>4</v>
      </c>
    </row>
    <row r="10418" spans="1:6" ht="13.2">
      <c r="A10418" t="s">
        <v>11528</v>
      </c>
      <c r="B10418">
        <v>320</v>
      </c>
      <c r="C10418" s="44">
        <v>1390</v>
      </c>
      <c r="D10418" t="s">
        <v>291</v>
      </c>
      <c r="E10418" t="s">
        <v>577</v>
      </c>
      <c r="F10418">
        <v>4</v>
      </c>
    </row>
    <row r="10419" spans="1:6" ht="13.2">
      <c r="A10419" t="s">
        <v>11529</v>
      </c>
      <c r="B10419">
        <v>320</v>
      </c>
      <c r="C10419" s="44">
        <v>1390</v>
      </c>
      <c r="D10419" t="s">
        <v>291</v>
      </c>
      <c r="E10419" t="s">
        <v>577</v>
      </c>
      <c r="F10419">
        <v>4</v>
      </c>
    </row>
    <row r="10420" spans="1:6" ht="13.2">
      <c r="A10420" t="s">
        <v>11530</v>
      </c>
      <c r="B10420">
        <v>320</v>
      </c>
      <c r="C10420" s="44">
        <v>1390</v>
      </c>
      <c r="D10420" t="s">
        <v>291</v>
      </c>
      <c r="E10420" t="s">
        <v>577</v>
      </c>
      <c r="F10420">
        <v>4</v>
      </c>
    </row>
    <row r="10421" spans="1:6" ht="13.2">
      <c r="A10421" t="s">
        <v>11531</v>
      </c>
      <c r="B10421">
        <v>320</v>
      </c>
      <c r="C10421" s="44">
        <v>1390</v>
      </c>
      <c r="D10421" t="s">
        <v>291</v>
      </c>
      <c r="E10421" t="s">
        <v>577</v>
      </c>
      <c r="F10421">
        <v>4</v>
      </c>
    </row>
    <row r="10422" spans="1:6" ht="13.2">
      <c r="A10422" t="s">
        <v>11532</v>
      </c>
      <c r="B10422">
        <v>320</v>
      </c>
      <c r="C10422" s="44">
        <v>1390</v>
      </c>
      <c r="D10422" t="s">
        <v>291</v>
      </c>
      <c r="E10422" t="s">
        <v>577</v>
      </c>
      <c r="F10422">
        <v>4</v>
      </c>
    </row>
    <row r="10423" spans="1:6" ht="13.2">
      <c r="A10423" t="s">
        <v>11533</v>
      </c>
      <c r="B10423">
        <v>642</v>
      </c>
      <c r="C10423" s="44">
        <v>3000</v>
      </c>
      <c r="D10423" t="s">
        <v>291</v>
      </c>
      <c r="E10423" t="s">
        <v>577</v>
      </c>
      <c r="F10423">
        <v>4</v>
      </c>
    </row>
    <row r="10424" spans="1:6" ht="13.2">
      <c r="A10424" t="s">
        <v>11534</v>
      </c>
      <c r="B10424">
        <v>642</v>
      </c>
      <c r="C10424" s="44">
        <v>3000</v>
      </c>
      <c r="D10424" t="s">
        <v>291</v>
      </c>
      <c r="E10424" t="s">
        <v>577</v>
      </c>
      <c r="F10424">
        <v>4</v>
      </c>
    </row>
    <row r="10425" spans="1:6" ht="13.2">
      <c r="A10425" t="s">
        <v>11535</v>
      </c>
      <c r="B10425">
        <v>642</v>
      </c>
      <c r="C10425" s="44">
        <v>3000</v>
      </c>
      <c r="D10425" t="s">
        <v>291</v>
      </c>
      <c r="E10425" t="s">
        <v>577</v>
      </c>
      <c r="F10425">
        <v>4</v>
      </c>
    </row>
    <row r="10426" spans="1:6" ht="13.2">
      <c r="A10426" t="s">
        <v>11536</v>
      </c>
      <c r="B10426">
        <v>642</v>
      </c>
      <c r="C10426" s="44">
        <v>3000</v>
      </c>
      <c r="D10426" t="s">
        <v>291</v>
      </c>
      <c r="E10426" t="s">
        <v>577</v>
      </c>
      <c r="F10426">
        <v>4</v>
      </c>
    </row>
    <row r="10427" spans="1:6" ht="13.2">
      <c r="A10427" t="s">
        <v>11537</v>
      </c>
      <c r="B10427">
        <v>0</v>
      </c>
      <c r="C10427" s="44" t="s">
        <v>204</v>
      </c>
      <c r="D10427" t="s">
        <v>293</v>
      </c>
      <c r="E10427" t="s">
        <v>11538</v>
      </c>
      <c r="F10427">
        <v>4</v>
      </c>
    </row>
    <row r="10428" spans="1:6" ht="13.2">
      <c r="A10428" t="s">
        <v>11539</v>
      </c>
      <c r="B10428">
        <v>0</v>
      </c>
      <c r="C10428" s="44" t="s">
        <v>204</v>
      </c>
      <c r="D10428" t="s">
        <v>293</v>
      </c>
      <c r="E10428" t="s">
        <v>11538</v>
      </c>
      <c r="F10428">
        <v>4</v>
      </c>
    </row>
    <row r="10429" spans="1:6" ht="13.2">
      <c r="A10429" t="s">
        <v>11540</v>
      </c>
      <c r="B10429">
        <v>0</v>
      </c>
      <c r="C10429" s="44" t="s">
        <v>204</v>
      </c>
      <c r="D10429" t="s">
        <v>293</v>
      </c>
      <c r="E10429" t="s">
        <v>11538</v>
      </c>
      <c r="F10429">
        <v>4</v>
      </c>
    </row>
    <row r="10430" spans="1:6" ht="13.2">
      <c r="A10430" t="s">
        <v>11541</v>
      </c>
      <c r="B10430">
        <v>0</v>
      </c>
      <c r="C10430" s="44" t="s">
        <v>204</v>
      </c>
      <c r="D10430" t="s">
        <v>293</v>
      </c>
      <c r="E10430" t="s">
        <v>11538</v>
      </c>
      <c r="F10430">
        <v>4</v>
      </c>
    </row>
    <row r="10431" spans="1:6" ht="13.2">
      <c r="A10431" t="s">
        <v>11542</v>
      </c>
      <c r="B10431">
        <v>0</v>
      </c>
      <c r="C10431" s="44" t="s">
        <v>204</v>
      </c>
      <c r="D10431" t="s">
        <v>293</v>
      </c>
      <c r="E10431" t="s">
        <v>11538</v>
      </c>
      <c r="F10431">
        <v>4</v>
      </c>
    </row>
    <row r="10432" spans="1:6" ht="13.2">
      <c r="A10432" t="s">
        <v>11543</v>
      </c>
      <c r="B10432">
        <v>0</v>
      </c>
      <c r="C10432" s="44" t="s">
        <v>204</v>
      </c>
      <c r="D10432" t="s">
        <v>293</v>
      </c>
      <c r="E10432" t="s">
        <v>11538</v>
      </c>
      <c r="F10432">
        <v>4</v>
      </c>
    </row>
    <row r="10433" spans="1:6" ht="13.2">
      <c r="A10433" t="s">
        <v>11544</v>
      </c>
      <c r="B10433">
        <v>0</v>
      </c>
      <c r="C10433" s="44" t="s">
        <v>204</v>
      </c>
      <c r="D10433" t="s">
        <v>293</v>
      </c>
      <c r="E10433" t="s">
        <v>11538</v>
      </c>
      <c r="F10433">
        <v>4</v>
      </c>
    </row>
    <row r="10434" spans="1:6" ht="13.2">
      <c r="A10434" t="s">
        <v>11545</v>
      </c>
      <c r="B10434">
        <v>0</v>
      </c>
      <c r="C10434" s="44" t="s">
        <v>204</v>
      </c>
      <c r="D10434" t="s">
        <v>291</v>
      </c>
      <c r="E10434" t="s">
        <v>11538</v>
      </c>
      <c r="F10434">
        <v>4</v>
      </c>
    </row>
    <row r="10435" spans="1:6" ht="13.2">
      <c r="A10435" t="s">
        <v>11546</v>
      </c>
      <c r="B10435">
        <v>0</v>
      </c>
      <c r="C10435" s="44" t="s">
        <v>204</v>
      </c>
      <c r="D10435" t="s">
        <v>291</v>
      </c>
      <c r="E10435" t="s">
        <v>11538</v>
      </c>
      <c r="F10435">
        <v>4</v>
      </c>
    </row>
    <row r="10436" spans="1:6" ht="13.2">
      <c r="A10436" t="s">
        <v>11547</v>
      </c>
      <c r="B10436">
        <v>0</v>
      </c>
      <c r="C10436" s="44" t="s">
        <v>204</v>
      </c>
      <c r="D10436" t="s">
        <v>291</v>
      </c>
      <c r="E10436" t="s">
        <v>11538</v>
      </c>
      <c r="F10436">
        <v>4</v>
      </c>
    </row>
    <row r="10437" spans="1:6" ht="13.2">
      <c r="A10437" t="s">
        <v>11548</v>
      </c>
      <c r="B10437">
        <v>0</v>
      </c>
      <c r="C10437" s="44" t="s">
        <v>204</v>
      </c>
      <c r="D10437" t="s">
        <v>291</v>
      </c>
      <c r="E10437" t="s">
        <v>11538</v>
      </c>
      <c r="F10437">
        <v>4</v>
      </c>
    </row>
    <row r="10438" spans="1:6" ht="13.2">
      <c r="A10438" t="s">
        <v>11549</v>
      </c>
      <c r="B10438">
        <v>0</v>
      </c>
      <c r="C10438" s="44" t="s">
        <v>204</v>
      </c>
      <c r="D10438" t="s">
        <v>291</v>
      </c>
      <c r="E10438" t="s">
        <v>11538</v>
      </c>
      <c r="F10438">
        <v>4</v>
      </c>
    </row>
    <row r="10439" spans="1:6" ht="13.2">
      <c r="A10439" t="s">
        <v>11550</v>
      </c>
      <c r="B10439">
        <v>0</v>
      </c>
      <c r="C10439" s="44" t="s">
        <v>204</v>
      </c>
      <c r="D10439" t="s">
        <v>291</v>
      </c>
      <c r="E10439" t="s">
        <v>11538</v>
      </c>
      <c r="F10439">
        <v>4</v>
      </c>
    </row>
    <row r="10440" spans="1:6" ht="13.2">
      <c r="A10440" t="s">
        <v>11551</v>
      </c>
      <c r="B10440">
        <v>0</v>
      </c>
      <c r="C10440" s="44" t="s">
        <v>204</v>
      </c>
      <c r="D10440" t="s">
        <v>291</v>
      </c>
      <c r="E10440" t="s">
        <v>11538</v>
      </c>
      <c r="F10440">
        <v>4</v>
      </c>
    </row>
    <row r="10441" spans="1:6" ht="13.2">
      <c r="A10441" t="s">
        <v>11552</v>
      </c>
      <c r="B10441">
        <v>0</v>
      </c>
      <c r="C10441" s="44" t="s">
        <v>204</v>
      </c>
      <c r="D10441" t="s">
        <v>291</v>
      </c>
      <c r="E10441" t="s">
        <v>11538</v>
      </c>
      <c r="F10441">
        <v>4</v>
      </c>
    </row>
    <row r="10442" spans="1:6" ht="13.2">
      <c r="A10442" t="s">
        <v>11553</v>
      </c>
      <c r="B10442">
        <v>0</v>
      </c>
      <c r="C10442" s="44">
        <v>2900</v>
      </c>
      <c r="D10442" t="s">
        <v>293</v>
      </c>
      <c r="E10442" t="s">
        <v>364</v>
      </c>
      <c r="F10442">
        <v>3</v>
      </c>
    </row>
    <row r="10443" spans="1:6" ht="13.2">
      <c r="A10443" t="s">
        <v>11554</v>
      </c>
      <c r="B10443">
        <v>0</v>
      </c>
      <c r="C10443" s="44">
        <v>2900</v>
      </c>
      <c r="D10443" t="s">
        <v>293</v>
      </c>
      <c r="E10443" t="s">
        <v>364</v>
      </c>
      <c r="F10443">
        <v>3</v>
      </c>
    </row>
    <row r="10444" spans="1:6" ht="13.2">
      <c r="A10444" t="s">
        <v>11592</v>
      </c>
      <c r="B10444">
        <v>0</v>
      </c>
      <c r="C10444" s="44" t="s">
        <v>9832</v>
      </c>
      <c r="D10444" t="s">
        <v>293</v>
      </c>
      <c r="E10444" t="s">
        <v>5037</v>
      </c>
      <c r="F10444">
        <v>4</v>
      </c>
    </row>
    <row r="10445" spans="1:6" ht="13.2">
      <c r="A10445" t="s">
        <v>11593</v>
      </c>
      <c r="B10445">
        <v>0</v>
      </c>
      <c r="C10445" s="44" t="s">
        <v>9832</v>
      </c>
      <c r="D10445" t="s">
        <v>293</v>
      </c>
      <c r="E10445" t="s">
        <v>5037</v>
      </c>
      <c r="F10445">
        <v>4</v>
      </c>
    </row>
    <row r="10446" spans="1:6" ht="13.2">
      <c r="A10446" t="s">
        <v>11594</v>
      </c>
      <c r="B10446">
        <v>0</v>
      </c>
      <c r="C10446" s="44" t="s">
        <v>9832</v>
      </c>
      <c r="D10446" t="s">
        <v>293</v>
      </c>
      <c r="E10446" t="s">
        <v>5037</v>
      </c>
      <c r="F10446">
        <v>4</v>
      </c>
    </row>
    <row r="10447" spans="1:6" ht="13.2">
      <c r="A10447" t="s">
        <v>11595</v>
      </c>
      <c r="B10447">
        <v>0</v>
      </c>
      <c r="C10447" s="44" t="s">
        <v>9832</v>
      </c>
      <c r="D10447" t="s">
        <v>293</v>
      </c>
      <c r="E10447" t="s">
        <v>5037</v>
      </c>
      <c r="F10447">
        <v>4</v>
      </c>
    </row>
    <row r="10448" spans="1:6" ht="13.2">
      <c r="A10448" t="s">
        <v>11616</v>
      </c>
      <c r="B10448">
        <v>0</v>
      </c>
      <c r="C10448" s="44">
        <v>2900</v>
      </c>
      <c r="D10448" t="s">
        <v>293</v>
      </c>
      <c r="E10448" t="s">
        <v>256</v>
      </c>
      <c r="F10448">
        <v>4</v>
      </c>
    </row>
    <row r="10449" spans="1:6" ht="13.2">
      <c r="A10449" t="s">
        <v>11617</v>
      </c>
      <c r="B10449">
        <v>610</v>
      </c>
      <c r="C10449" s="44">
        <v>1350</v>
      </c>
      <c r="D10449" t="s">
        <v>291</v>
      </c>
      <c r="E10449" t="s">
        <v>11618</v>
      </c>
      <c r="F10449">
        <v>4</v>
      </c>
    </row>
    <row r="10450" spans="1:6" ht="13.2">
      <c r="A10450" t="s">
        <v>11619</v>
      </c>
      <c r="B10450">
        <v>610</v>
      </c>
      <c r="C10450" s="44">
        <v>1350</v>
      </c>
      <c r="D10450" t="s">
        <v>291</v>
      </c>
      <c r="E10450" t="s">
        <v>11618</v>
      </c>
      <c r="F10450">
        <v>4</v>
      </c>
    </row>
    <row r="10451" spans="1:6" ht="13.2">
      <c r="A10451" t="s">
        <v>11620</v>
      </c>
      <c r="B10451">
        <v>610</v>
      </c>
      <c r="C10451" s="44">
        <v>1350</v>
      </c>
      <c r="D10451" t="s">
        <v>291</v>
      </c>
      <c r="E10451" t="s">
        <v>11618</v>
      </c>
      <c r="F10451">
        <v>4</v>
      </c>
    </row>
    <row r="10452" spans="1:6" ht="13.2">
      <c r="A10452" t="s">
        <v>11621</v>
      </c>
      <c r="B10452">
        <v>610</v>
      </c>
      <c r="C10452" s="44">
        <v>1350</v>
      </c>
      <c r="D10452" t="s">
        <v>291</v>
      </c>
      <c r="E10452" t="s">
        <v>11618</v>
      </c>
      <c r="F10452">
        <v>4</v>
      </c>
    </row>
    <row r="10453" spans="1:6" ht="13.2">
      <c r="A10453" t="s">
        <v>11622</v>
      </c>
      <c r="B10453">
        <v>0</v>
      </c>
      <c r="C10453" s="44">
        <v>3200</v>
      </c>
      <c r="D10453" t="s">
        <v>293</v>
      </c>
      <c r="E10453" t="s">
        <v>256</v>
      </c>
      <c r="F10453">
        <v>4</v>
      </c>
    </row>
    <row r="10454" spans="1:6" ht="13.2">
      <c r="A10454" t="s">
        <v>11623</v>
      </c>
      <c r="B10454">
        <v>0</v>
      </c>
      <c r="C10454" s="44">
        <v>3000</v>
      </c>
      <c r="D10454" t="s">
        <v>293</v>
      </c>
      <c r="E10454" t="s">
        <v>11624</v>
      </c>
      <c r="F10454">
        <v>3</v>
      </c>
    </row>
    <row r="10455" spans="1:6" ht="13.2">
      <c r="A10455" t="s">
        <v>11625</v>
      </c>
      <c r="B10455">
        <v>0</v>
      </c>
      <c r="C10455" s="44">
        <v>3000</v>
      </c>
      <c r="D10455" t="s">
        <v>293</v>
      </c>
      <c r="E10455" t="s">
        <v>11624</v>
      </c>
      <c r="F10455">
        <v>3</v>
      </c>
    </row>
    <row r="10456" spans="1:6" ht="13.2">
      <c r="A10456" t="s">
        <v>11626</v>
      </c>
      <c r="B10456">
        <v>0</v>
      </c>
      <c r="C10456" s="44">
        <v>3000</v>
      </c>
      <c r="D10456" t="s">
        <v>293</v>
      </c>
      <c r="E10456" t="s">
        <v>11624</v>
      </c>
      <c r="F10456">
        <v>3</v>
      </c>
    </row>
    <row r="10457" spans="1:6" ht="13.2">
      <c r="A10457" t="s">
        <v>11627</v>
      </c>
      <c r="B10457">
        <v>0</v>
      </c>
      <c r="C10457" s="44">
        <v>3000</v>
      </c>
      <c r="D10457" t="s">
        <v>293</v>
      </c>
      <c r="E10457" t="s">
        <v>11624</v>
      </c>
      <c r="F10457">
        <v>3</v>
      </c>
    </row>
    <row r="10458" spans="1:6" ht="13.2">
      <c r="A10458" t="s">
        <v>11628</v>
      </c>
      <c r="B10458">
        <v>0</v>
      </c>
      <c r="C10458" s="44">
        <v>3000</v>
      </c>
      <c r="D10458" t="s">
        <v>293</v>
      </c>
      <c r="E10458" t="s">
        <v>11624</v>
      </c>
      <c r="F10458">
        <v>3</v>
      </c>
    </row>
    <row r="10459" spans="1:6" ht="13.2">
      <c r="A10459" t="s">
        <v>11629</v>
      </c>
      <c r="B10459">
        <v>0</v>
      </c>
      <c r="C10459" s="44">
        <v>3000</v>
      </c>
      <c r="D10459" t="s">
        <v>293</v>
      </c>
      <c r="E10459" t="s">
        <v>11624</v>
      </c>
      <c r="F10459">
        <v>3</v>
      </c>
    </row>
    <row r="10460" spans="1:6" ht="13.2">
      <c r="A10460" t="s">
        <v>11630</v>
      </c>
      <c r="B10460">
        <v>0</v>
      </c>
      <c r="C10460" s="44">
        <v>3000</v>
      </c>
      <c r="D10460" t="s">
        <v>293</v>
      </c>
      <c r="E10460" t="s">
        <v>11624</v>
      </c>
      <c r="F10460">
        <v>3</v>
      </c>
    </row>
    <row r="10461" spans="1:6" ht="13.2">
      <c r="A10461" t="s">
        <v>11631</v>
      </c>
      <c r="B10461">
        <v>0</v>
      </c>
      <c r="C10461" s="44">
        <v>3000</v>
      </c>
      <c r="D10461" t="s">
        <v>293</v>
      </c>
      <c r="E10461" t="s">
        <v>11624</v>
      </c>
      <c r="F10461">
        <v>3</v>
      </c>
    </row>
    <row r="10462" spans="1:6" ht="13.2">
      <c r="A10462" t="s">
        <v>11632</v>
      </c>
      <c r="B10462">
        <v>0</v>
      </c>
      <c r="C10462" s="44">
        <v>3000</v>
      </c>
      <c r="D10462" t="s">
        <v>293</v>
      </c>
      <c r="E10462" t="s">
        <v>11624</v>
      </c>
      <c r="F10462">
        <v>3</v>
      </c>
    </row>
    <row r="10463" spans="1:6" ht="13.2">
      <c r="A10463" t="s">
        <v>11633</v>
      </c>
      <c r="B10463">
        <v>0</v>
      </c>
      <c r="C10463" s="44">
        <v>3000</v>
      </c>
      <c r="D10463" t="s">
        <v>293</v>
      </c>
      <c r="E10463" t="s">
        <v>11624</v>
      </c>
      <c r="F10463">
        <v>3</v>
      </c>
    </row>
    <row r="10464" spans="1:6" ht="13.2">
      <c r="A10464" t="s">
        <v>11634</v>
      </c>
      <c r="B10464">
        <v>0</v>
      </c>
      <c r="C10464" s="44">
        <v>3000</v>
      </c>
      <c r="D10464" t="s">
        <v>293</v>
      </c>
      <c r="E10464" t="s">
        <v>11624</v>
      </c>
      <c r="F10464">
        <v>3</v>
      </c>
    </row>
    <row r="10465" spans="1:6" ht="13.2">
      <c r="A10465" t="s">
        <v>11635</v>
      </c>
      <c r="B10465">
        <v>0</v>
      </c>
      <c r="C10465" s="44">
        <v>3000</v>
      </c>
      <c r="D10465" t="s">
        <v>293</v>
      </c>
      <c r="E10465" t="s">
        <v>11624</v>
      </c>
      <c r="F10465">
        <v>3</v>
      </c>
    </row>
    <row r="10466" spans="1:6" ht="13.2">
      <c r="A10466" t="s">
        <v>11636</v>
      </c>
      <c r="B10466">
        <v>0</v>
      </c>
      <c r="C10466" s="44">
        <v>3000</v>
      </c>
      <c r="D10466" t="s">
        <v>293</v>
      </c>
      <c r="E10466" t="s">
        <v>11624</v>
      </c>
      <c r="F10466">
        <v>3</v>
      </c>
    </row>
    <row r="10467" spans="1:6" ht="13.2">
      <c r="A10467" t="s">
        <v>11637</v>
      </c>
      <c r="B10467">
        <v>0</v>
      </c>
      <c r="C10467" s="44">
        <v>3000</v>
      </c>
      <c r="D10467" t="s">
        <v>293</v>
      </c>
      <c r="E10467" t="s">
        <v>11624</v>
      </c>
      <c r="F10467">
        <v>3</v>
      </c>
    </row>
    <row r="10468" spans="1:6" ht="13.2">
      <c r="A10468" t="s">
        <v>11638</v>
      </c>
      <c r="B10468">
        <v>0</v>
      </c>
      <c r="C10468" s="44">
        <v>3000</v>
      </c>
      <c r="D10468" t="s">
        <v>293</v>
      </c>
      <c r="E10468" t="s">
        <v>11624</v>
      </c>
      <c r="F10468">
        <v>3</v>
      </c>
    </row>
    <row r="10469" spans="1:6" ht="13.2">
      <c r="A10469" t="s">
        <v>11639</v>
      </c>
      <c r="B10469">
        <v>0</v>
      </c>
      <c r="C10469" s="44">
        <v>3000</v>
      </c>
      <c r="D10469" t="s">
        <v>293</v>
      </c>
      <c r="E10469" t="s">
        <v>11624</v>
      </c>
      <c r="F10469">
        <v>3</v>
      </c>
    </row>
    <row r="10470" spans="1:6" ht="13.2">
      <c r="A10470" t="s">
        <v>11640</v>
      </c>
      <c r="B10470">
        <v>0</v>
      </c>
      <c r="C10470" s="44">
        <v>3000</v>
      </c>
      <c r="D10470" t="s">
        <v>293</v>
      </c>
      <c r="E10470" t="s">
        <v>11624</v>
      </c>
      <c r="F10470">
        <v>3</v>
      </c>
    </row>
    <row r="10471" spans="1:6" ht="13.2">
      <c r="A10471" t="s">
        <v>11641</v>
      </c>
      <c r="B10471">
        <v>0</v>
      </c>
      <c r="C10471" s="44">
        <v>3000</v>
      </c>
      <c r="D10471" t="s">
        <v>293</v>
      </c>
      <c r="E10471" t="s">
        <v>11624</v>
      </c>
      <c r="F10471">
        <v>3</v>
      </c>
    </row>
    <row r="10472" spans="1:6" ht="13.2">
      <c r="A10472" t="s">
        <v>11642</v>
      </c>
      <c r="B10472">
        <v>0</v>
      </c>
      <c r="C10472" s="44">
        <v>3000</v>
      </c>
      <c r="D10472" t="s">
        <v>293</v>
      </c>
      <c r="E10472" t="s">
        <v>11624</v>
      </c>
      <c r="F10472">
        <v>3</v>
      </c>
    </row>
    <row r="10473" spans="1:6" ht="13.2">
      <c r="A10473" t="s">
        <v>11643</v>
      </c>
      <c r="B10473">
        <v>0</v>
      </c>
      <c r="C10473" s="44">
        <v>3000</v>
      </c>
      <c r="D10473" t="s">
        <v>293</v>
      </c>
      <c r="E10473" t="s">
        <v>11624</v>
      </c>
      <c r="F10473">
        <v>3</v>
      </c>
    </row>
    <row r="10474" spans="1:6" ht="13.2">
      <c r="A10474" t="s">
        <v>11644</v>
      </c>
      <c r="B10474">
        <v>0</v>
      </c>
      <c r="C10474" s="44">
        <v>3000</v>
      </c>
      <c r="D10474" t="s">
        <v>293</v>
      </c>
      <c r="E10474" t="s">
        <v>11624</v>
      </c>
      <c r="F10474">
        <v>3</v>
      </c>
    </row>
    <row r="10475" spans="1:6" ht="13.2">
      <c r="A10475" t="s">
        <v>11645</v>
      </c>
      <c r="B10475">
        <v>0</v>
      </c>
      <c r="C10475" s="44">
        <v>3000</v>
      </c>
      <c r="D10475" t="s">
        <v>293</v>
      </c>
      <c r="E10475" t="s">
        <v>11624</v>
      </c>
      <c r="F10475">
        <v>3</v>
      </c>
    </row>
    <row r="10476" spans="1:6" ht="13.2">
      <c r="A10476" t="s">
        <v>11646</v>
      </c>
      <c r="B10476">
        <v>0</v>
      </c>
      <c r="C10476" s="44">
        <v>3000</v>
      </c>
      <c r="D10476" t="s">
        <v>293</v>
      </c>
      <c r="E10476" t="s">
        <v>11624</v>
      </c>
      <c r="F10476">
        <v>3</v>
      </c>
    </row>
    <row r="10477" spans="1:6" ht="13.2">
      <c r="A10477" t="s">
        <v>11647</v>
      </c>
      <c r="B10477">
        <v>0</v>
      </c>
      <c r="C10477" s="44">
        <v>3000</v>
      </c>
      <c r="D10477" t="s">
        <v>293</v>
      </c>
      <c r="E10477" t="s">
        <v>11624</v>
      </c>
      <c r="F10477">
        <v>3</v>
      </c>
    </row>
    <row r="10478" spans="1:6" ht="13.2">
      <c r="A10478" t="s">
        <v>11648</v>
      </c>
      <c r="B10478">
        <v>0</v>
      </c>
      <c r="C10478" s="44">
        <v>3000</v>
      </c>
      <c r="D10478" t="s">
        <v>293</v>
      </c>
      <c r="E10478" t="s">
        <v>11624</v>
      </c>
      <c r="F10478">
        <v>3</v>
      </c>
    </row>
    <row r="10479" spans="1:6" ht="13.2">
      <c r="A10479" t="s">
        <v>11661</v>
      </c>
      <c r="B10479">
        <v>0</v>
      </c>
      <c r="C10479" s="44">
        <v>3000</v>
      </c>
      <c r="D10479" t="s">
        <v>293</v>
      </c>
      <c r="E10479" t="s">
        <v>11662</v>
      </c>
      <c r="F10479">
        <v>4</v>
      </c>
    </row>
    <row r="10480" spans="1:6" ht="13.2">
      <c r="A10480" t="s">
        <v>8203</v>
      </c>
      <c r="B10480">
        <v>0</v>
      </c>
      <c r="C10480" s="44">
        <v>3000</v>
      </c>
      <c r="D10480" t="s">
        <v>293</v>
      </c>
      <c r="E10480" t="s">
        <v>11662</v>
      </c>
      <c r="F10480">
        <v>4</v>
      </c>
    </row>
    <row r="10481" spans="1:6" ht="13.2">
      <c r="A10481" t="s">
        <v>8204</v>
      </c>
      <c r="B10481">
        <v>0</v>
      </c>
      <c r="C10481" s="44">
        <v>3000</v>
      </c>
      <c r="D10481" t="s">
        <v>293</v>
      </c>
      <c r="E10481" t="s">
        <v>11662</v>
      </c>
      <c r="F10481">
        <v>4</v>
      </c>
    </row>
    <row r="10482" spans="1:6" ht="13.2">
      <c r="A10482" t="s">
        <v>8205</v>
      </c>
      <c r="B10482">
        <v>0</v>
      </c>
      <c r="C10482" s="44">
        <v>3000</v>
      </c>
      <c r="D10482" t="s">
        <v>293</v>
      </c>
      <c r="E10482" t="s">
        <v>11662</v>
      </c>
      <c r="F10482">
        <v>4</v>
      </c>
    </row>
    <row r="10483" spans="1:6" ht="13.2">
      <c r="A10483" t="s">
        <v>8206</v>
      </c>
      <c r="B10483">
        <v>0</v>
      </c>
      <c r="C10483" s="44">
        <v>3000</v>
      </c>
      <c r="D10483" t="s">
        <v>293</v>
      </c>
      <c r="E10483" t="s">
        <v>11662</v>
      </c>
      <c r="F10483">
        <v>4</v>
      </c>
    </row>
    <row r="10484" spans="1:6" ht="13.2">
      <c r="A10484" t="s">
        <v>8207</v>
      </c>
      <c r="B10484">
        <v>0</v>
      </c>
      <c r="C10484" s="44">
        <v>3000</v>
      </c>
      <c r="D10484" t="s">
        <v>293</v>
      </c>
      <c r="E10484" t="s">
        <v>11662</v>
      </c>
      <c r="F10484">
        <v>4</v>
      </c>
    </row>
    <row r="10485" spans="1:6" ht="13.2">
      <c r="A10485" t="s">
        <v>8208</v>
      </c>
      <c r="B10485">
        <v>0</v>
      </c>
      <c r="C10485" s="44">
        <v>3000</v>
      </c>
      <c r="D10485" t="s">
        <v>293</v>
      </c>
      <c r="E10485" t="s">
        <v>11662</v>
      </c>
      <c r="F10485">
        <v>4</v>
      </c>
    </row>
    <row r="10486" spans="1:6" ht="13.2">
      <c r="A10486" t="s">
        <v>8209</v>
      </c>
      <c r="B10486">
        <v>0</v>
      </c>
      <c r="C10486" s="44">
        <v>3000</v>
      </c>
      <c r="D10486" t="s">
        <v>293</v>
      </c>
      <c r="E10486" t="s">
        <v>11662</v>
      </c>
      <c r="F10486">
        <v>4</v>
      </c>
    </row>
    <row r="10487" spans="1:6" ht="13.2">
      <c r="A10487" t="s">
        <v>8210</v>
      </c>
      <c r="B10487">
        <v>0</v>
      </c>
      <c r="C10487" s="44">
        <v>3000</v>
      </c>
      <c r="D10487" t="s">
        <v>293</v>
      </c>
      <c r="E10487" t="s">
        <v>11662</v>
      </c>
      <c r="F10487">
        <v>4</v>
      </c>
    </row>
    <row r="10488" spans="1:6" ht="13.2">
      <c r="A10488" t="s">
        <v>8211</v>
      </c>
      <c r="B10488">
        <v>0</v>
      </c>
      <c r="C10488" s="44">
        <v>3000</v>
      </c>
      <c r="D10488" t="s">
        <v>293</v>
      </c>
      <c r="E10488" t="s">
        <v>11662</v>
      </c>
      <c r="F10488">
        <v>4</v>
      </c>
    </row>
    <row r="10489" spans="1:6" ht="13.2">
      <c r="A10489" t="s">
        <v>8212</v>
      </c>
      <c r="B10489">
        <v>0</v>
      </c>
      <c r="C10489" s="44">
        <v>3000</v>
      </c>
      <c r="D10489" t="s">
        <v>293</v>
      </c>
      <c r="E10489" t="s">
        <v>11662</v>
      </c>
      <c r="F10489">
        <v>4</v>
      </c>
    </row>
    <row r="10490" spans="1:6" ht="13.2">
      <c r="A10490" t="s">
        <v>8213</v>
      </c>
      <c r="B10490">
        <v>0</v>
      </c>
      <c r="C10490" s="44">
        <v>3000</v>
      </c>
      <c r="D10490" t="s">
        <v>293</v>
      </c>
      <c r="E10490" t="s">
        <v>11662</v>
      </c>
      <c r="F10490">
        <v>4</v>
      </c>
    </row>
    <row r="10491" spans="1:6" ht="13.2">
      <c r="A10491" t="s">
        <v>8214</v>
      </c>
      <c r="B10491">
        <v>0</v>
      </c>
      <c r="C10491" s="44">
        <v>3000</v>
      </c>
      <c r="D10491" t="s">
        <v>293</v>
      </c>
      <c r="E10491" t="s">
        <v>11662</v>
      </c>
      <c r="F10491">
        <v>4</v>
      </c>
    </row>
    <row r="10492" spans="1:6" ht="13.2">
      <c r="A10492" t="s">
        <v>8215</v>
      </c>
      <c r="B10492">
        <v>0</v>
      </c>
      <c r="C10492" s="44">
        <v>3000</v>
      </c>
      <c r="D10492" t="s">
        <v>293</v>
      </c>
      <c r="E10492" t="s">
        <v>11662</v>
      </c>
      <c r="F10492">
        <v>4</v>
      </c>
    </row>
    <row r="10493" spans="1:6" ht="13.2">
      <c r="A10493" t="s">
        <v>8216</v>
      </c>
      <c r="B10493">
        <v>0</v>
      </c>
      <c r="C10493" s="44">
        <v>3000</v>
      </c>
      <c r="D10493" t="s">
        <v>293</v>
      </c>
      <c r="E10493" t="s">
        <v>11662</v>
      </c>
      <c r="F10493">
        <v>4</v>
      </c>
    </row>
    <row r="10494" spans="1:6" ht="13.2">
      <c r="A10494" t="s">
        <v>8217</v>
      </c>
      <c r="B10494">
        <v>0</v>
      </c>
      <c r="C10494" s="44">
        <v>3000</v>
      </c>
      <c r="D10494" t="s">
        <v>293</v>
      </c>
      <c r="E10494" t="s">
        <v>11662</v>
      </c>
      <c r="F10494">
        <v>4</v>
      </c>
    </row>
    <row r="10495" spans="1:6" ht="13.2">
      <c r="A10495" t="s">
        <v>11663</v>
      </c>
      <c r="B10495">
        <v>0</v>
      </c>
      <c r="C10495" s="44">
        <v>3200</v>
      </c>
      <c r="D10495" t="s">
        <v>293</v>
      </c>
      <c r="E10495" t="s">
        <v>11192</v>
      </c>
      <c r="F10495">
        <v>4</v>
      </c>
    </row>
    <row r="10496" spans="1:6" ht="13.2">
      <c r="A10496" t="s">
        <v>11664</v>
      </c>
      <c r="B10496">
        <v>0</v>
      </c>
      <c r="C10496" s="44">
        <v>3200</v>
      </c>
      <c r="D10496" t="s">
        <v>293</v>
      </c>
      <c r="E10496" t="s">
        <v>256</v>
      </c>
      <c r="F10496">
        <v>4</v>
      </c>
    </row>
    <row r="10497" spans="1:6" ht="13.2">
      <c r="A10497" t="s">
        <v>11665</v>
      </c>
      <c r="B10497">
        <v>0</v>
      </c>
      <c r="C10497" s="44" t="s">
        <v>203</v>
      </c>
      <c r="D10497" t="s">
        <v>293</v>
      </c>
      <c r="E10497" t="s">
        <v>11666</v>
      </c>
      <c r="F10497">
        <v>4</v>
      </c>
    </row>
    <row r="10498" spans="1:6" ht="13.2">
      <c r="A10498" t="s">
        <v>11667</v>
      </c>
      <c r="B10498">
        <v>0</v>
      </c>
      <c r="C10498" s="44" t="s">
        <v>203</v>
      </c>
      <c r="D10498" t="s">
        <v>293</v>
      </c>
      <c r="E10498" t="s">
        <v>11666</v>
      </c>
      <c r="F10498">
        <v>4</v>
      </c>
    </row>
    <row r="10499" spans="1:6" ht="13.2">
      <c r="A10499" t="s">
        <v>11668</v>
      </c>
      <c r="B10499">
        <v>0</v>
      </c>
      <c r="C10499" s="44" t="s">
        <v>203</v>
      </c>
      <c r="D10499" t="s">
        <v>293</v>
      </c>
      <c r="E10499" t="s">
        <v>11666</v>
      </c>
      <c r="F10499">
        <v>4</v>
      </c>
    </row>
    <row r="10500" spans="1:6" ht="13.2">
      <c r="A10500" t="s">
        <v>11669</v>
      </c>
      <c r="B10500">
        <v>0</v>
      </c>
      <c r="C10500" s="44" t="s">
        <v>203</v>
      </c>
      <c r="D10500" t="s">
        <v>293</v>
      </c>
      <c r="E10500" t="s">
        <v>11666</v>
      </c>
      <c r="F10500">
        <v>4</v>
      </c>
    </row>
    <row r="10501" spans="1:6" ht="13.2">
      <c r="A10501" t="s">
        <v>11670</v>
      </c>
      <c r="B10501">
        <v>0</v>
      </c>
      <c r="C10501" s="44" t="s">
        <v>203</v>
      </c>
      <c r="D10501" t="s">
        <v>293</v>
      </c>
      <c r="E10501" t="s">
        <v>11666</v>
      </c>
      <c r="F10501">
        <v>4</v>
      </c>
    </row>
    <row r="10502" spans="1:6" ht="13.2">
      <c r="A10502" t="s">
        <v>11671</v>
      </c>
      <c r="B10502">
        <v>0</v>
      </c>
      <c r="C10502" s="44" t="s">
        <v>203</v>
      </c>
      <c r="D10502" t="s">
        <v>293</v>
      </c>
      <c r="E10502" t="s">
        <v>11666</v>
      </c>
      <c r="F10502">
        <v>4</v>
      </c>
    </row>
    <row r="10503" spans="1:6" ht="13.2">
      <c r="A10503" t="s">
        <v>11672</v>
      </c>
      <c r="B10503">
        <v>0</v>
      </c>
      <c r="C10503" s="44" t="s">
        <v>203</v>
      </c>
      <c r="D10503" t="s">
        <v>293</v>
      </c>
      <c r="E10503" t="s">
        <v>11666</v>
      </c>
      <c r="F10503">
        <v>4</v>
      </c>
    </row>
    <row r="10504" spans="1:6" ht="13.2">
      <c r="A10504" t="s">
        <v>11673</v>
      </c>
      <c r="B10504">
        <v>0</v>
      </c>
      <c r="C10504" s="44" t="s">
        <v>203</v>
      </c>
      <c r="D10504" t="s">
        <v>293</v>
      </c>
      <c r="E10504" t="s">
        <v>11666</v>
      </c>
      <c r="F10504">
        <v>4</v>
      </c>
    </row>
    <row r="10505" spans="1:6" ht="13.2">
      <c r="A10505" t="s">
        <v>11674</v>
      </c>
      <c r="B10505">
        <v>0</v>
      </c>
      <c r="C10505" s="44" t="s">
        <v>203</v>
      </c>
      <c r="D10505" t="s">
        <v>293</v>
      </c>
      <c r="E10505" t="s">
        <v>11666</v>
      </c>
      <c r="F10505">
        <v>4</v>
      </c>
    </row>
    <row r="10506" spans="1:6" ht="13.2">
      <c r="A10506" t="s">
        <v>11675</v>
      </c>
      <c r="B10506">
        <v>0</v>
      </c>
      <c r="C10506" s="44" t="s">
        <v>203</v>
      </c>
      <c r="D10506" t="s">
        <v>293</v>
      </c>
      <c r="E10506" t="s">
        <v>11666</v>
      </c>
      <c r="F10506">
        <v>4</v>
      </c>
    </row>
    <row r="10507" spans="1:6" ht="13.2">
      <c r="A10507" t="s">
        <v>11677</v>
      </c>
      <c r="B10507">
        <v>0</v>
      </c>
      <c r="C10507" s="44" t="s">
        <v>4092</v>
      </c>
      <c r="D10507" t="s">
        <v>291</v>
      </c>
      <c r="E10507" t="s">
        <v>253</v>
      </c>
      <c r="F10507">
        <v>3</v>
      </c>
    </row>
    <row r="10508" spans="1:6" ht="13.2">
      <c r="A10508" t="s">
        <v>11679</v>
      </c>
      <c r="B10508">
        <v>0</v>
      </c>
      <c r="C10508" s="44">
        <v>3050</v>
      </c>
      <c r="D10508" t="s">
        <v>291</v>
      </c>
      <c r="E10508" t="s">
        <v>9703</v>
      </c>
      <c r="F10508">
        <v>4</v>
      </c>
    </row>
    <row r="10509" spans="1:6" ht="13.2">
      <c r="A10509" t="s">
        <v>11680</v>
      </c>
      <c r="B10509">
        <v>0</v>
      </c>
      <c r="C10509" s="44">
        <v>3050</v>
      </c>
      <c r="D10509" t="s">
        <v>291</v>
      </c>
      <c r="E10509" t="s">
        <v>9703</v>
      </c>
      <c r="F10509">
        <v>4</v>
      </c>
    </row>
    <row r="10510" spans="1:6" ht="13.2">
      <c r="A10510" t="s">
        <v>11681</v>
      </c>
      <c r="B10510">
        <v>0</v>
      </c>
      <c r="C10510" s="44">
        <v>3050</v>
      </c>
      <c r="D10510" t="s">
        <v>291</v>
      </c>
      <c r="E10510" t="s">
        <v>9703</v>
      </c>
      <c r="F10510">
        <v>4</v>
      </c>
    </row>
    <row r="10511" spans="1:6" ht="13.2">
      <c r="A10511" t="s">
        <v>11682</v>
      </c>
      <c r="B10511">
        <v>0</v>
      </c>
      <c r="C10511" s="44">
        <v>3050</v>
      </c>
      <c r="D10511" t="s">
        <v>291</v>
      </c>
      <c r="E10511" t="s">
        <v>9703</v>
      </c>
      <c r="F10511">
        <v>4</v>
      </c>
    </row>
    <row r="10512" spans="1:6" ht="13.2">
      <c r="A10512" t="s">
        <v>11683</v>
      </c>
      <c r="B10512">
        <v>0</v>
      </c>
      <c r="C10512" s="44">
        <v>3050</v>
      </c>
      <c r="D10512" t="s">
        <v>291</v>
      </c>
      <c r="E10512" t="s">
        <v>9703</v>
      </c>
      <c r="F10512">
        <v>4</v>
      </c>
    </row>
    <row r="10513" spans="1:6" ht="13.2">
      <c r="A10513" t="s">
        <v>11684</v>
      </c>
      <c r="B10513">
        <v>0</v>
      </c>
      <c r="C10513" s="44">
        <v>3050</v>
      </c>
      <c r="D10513" t="s">
        <v>291</v>
      </c>
      <c r="E10513" t="s">
        <v>9703</v>
      </c>
      <c r="F10513">
        <v>4</v>
      </c>
    </row>
    <row r="10514" spans="1:6" ht="13.2">
      <c r="A10514" t="s">
        <v>11685</v>
      </c>
      <c r="B10514">
        <v>0</v>
      </c>
      <c r="C10514" s="44">
        <v>3050</v>
      </c>
      <c r="D10514" t="s">
        <v>291</v>
      </c>
      <c r="E10514" t="s">
        <v>9703</v>
      </c>
      <c r="F10514">
        <v>4</v>
      </c>
    </row>
    <row r="10515" spans="1:6" ht="13.2">
      <c r="A10515" t="s">
        <v>11686</v>
      </c>
      <c r="B10515">
        <v>0</v>
      </c>
      <c r="C10515" s="44">
        <v>3050</v>
      </c>
      <c r="D10515" t="s">
        <v>291</v>
      </c>
      <c r="E10515" t="s">
        <v>9703</v>
      </c>
      <c r="F10515">
        <v>4</v>
      </c>
    </row>
    <row r="10516" spans="1:6" ht="13.2">
      <c r="A10516" t="s">
        <v>11687</v>
      </c>
      <c r="B10516">
        <v>0</v>
      </c>
      <c r="C10516" s="44">
        <v>3050</v>
      </c>
      <c r="D10516" t="s">
        <v>291</v>
      </c>
      <c r="E10516" t="s">
        <v>9703</v>
      </c>
      <c r="F10516">
        <v>4</v>
      </c>
    </row>
    <row r="10517" spans="1:6" ht="13.2">
      <c r="A10517" t="s">
        <v>11688</v>
      </c>
      <c r="B10517">
        <v>0</v>
      </c>
      <c r="C10517" s="44">
        <v>3050</v>
      </c>
      <c r="D10517" t="s">
        <v>291</v>
      </c>
      <c r="E10517" t="s">
        <v>9703</v>
      </c>
      <c r="F10517">
        <v>4</v>
      </c>
    </row>
    <row r="10518" spans="1:6" ht="13.2">
      <c r="A10518" t="s">
        <v>11689</v>
      </c>
      <c r="B10518">
        <v>0</v>
      </c>
      <c r="C10518" s="44">
        <v>3050</v>
      </c>
      <c r="D10518" t="s">
        <v>291</v>
      </c>
      <c r="E10518" t="s">
        <v>9703</v>
      </c>
      <c r="F10518">
        <v>4</v>
      </c>
    </row>
    <row r="10519" spans="1:6" ht="13.2">
      <c r="A10519" t="s">
        <v>11690</v>
      </c>
      <c r="B10519">
        <v>0</v>
      </c>
      <c r="C10519" s="44">
        <v>3050</v>
      </c>
      <c r="D10519" t="s">
        <v>291</v>
      </c>
      <c r="E10519" t="s">
        <v>9703</v>
      </c>
      <c r="F10519">
        <v>4</v>
      </c>
    </row>
    <row r="10520" spans="1:6" ht="13.2">
      <c r="A10520" t="s">
        <v>11691</v>
      </c>
      <c r="B10520">
        <v>0</v>
      </c>
      <c r="C10520" s="44">
        <v>3050</v>
      </c>
      <c r="D10520" t="s">
        <v>291</v>
      </c>
      <c r="E10520" t="s">
        <v>9703</v>
      </c>
      <c r="F10520">
        <v>4</v>
      </c>
    </row>
    <row r="10521" spans="1:6" ht="13.2">
      <c r="A10521" t="s">
        <v>11692</v>
      </c>
      <c r="B10521">
        <v>0</v>
      </c>
      <c r="C10521" s="44">
        <v>3050</v>
      </c>
      <c r="D10521" t="s">
        <v>291</v>
      </c>
      <c r="E10521" t="s">
        <v>9703</v>
      </c>
      <c r="F10521">
        <v>4</v>
      </c>
    </row>
    <row r="10522" spans="1:6" ht="13.2">
      <c r="A10522" t="s">
        <v>11693</v>
      </c>
      <c r="B10522">
        <v>0</v>
      </c>
      <c r="C10522" s="44">
        <v>3050</v>
      </c>
      <c r="D10522" t="s">
        <v>291</v>
      </c>
      <c r="E10522" t="s">
        <v>9703</v>
      </c>
      <c r="F10522">
        <v>4</v>
      </c>
    </row>
    <row r="10523" spans="1:6" ht="13.2">
      <c r="A10523" t="s">
        <v>11694</v>
      </c>
      <c r="B10523">
        <v>0</v>
      </c>
      <c r="C10523" s="44">
        <v>3050</v>
      </c>
      <c r="D10523" t="s">
        <v>291</v>
      </c>
      <c r="E10523" t="s">
        <v>9703</v>
      </c>
      <c r="F10523">
        <v>4</v>
      </c>
    </row>
    <row r="10524" spans="1:6" ht="13.2">
      <c r="A10524" t="s">
        <v>11695</v>
      </c>
      <c r="B10524">
        <v>0</v>
      </c>
      <c r="C10524" s="44">
        <v>3050</v>
      </c>
      <c r="D10524" t="s">
        <v>291</v>
      </c>
      <c r="E10524" t="s">
        <v>9703</v>
      </c>
      <c r="F10524">
        <v>4</v>
      </c>
    </row>
    <row r="10525" spans="1:6" ht="13.2">
      <c r="A10525" t="s">
        <v>11696</v>
      </c>
      <c r="B10525">
        <v>0</v>
      </c>
      <c r="C10525" s="44">
        <v>3050</v>
      </c>
      <c r="D10525" t="s">
        <v>291</v>
      </c>
      <c r="E10525" t="s">
        <v>9703</v>
      </c>
      <c r="F10525">
        <v>4</v>
      </c>
    </row>
    <row r="10526" spans="1:6" ht="13.2">
      <c r="A10526" t="s">
        <v>11697</v>
      </c>
      <c r="B10526">
        <v>0</v>
      </c>
      <c r="C10526" s="44">
        <v>3050</v>
      </c>
      <c r="D10526" t="s">
        <v>291</v>
      </c>
      <c r="E10526" t="s">
        <v>9703</v>
      </c>
      <c r="F10526">
        <v>4</v>
      </c>
    </row>
    <row r="10527" spans="1:6" ht="13.2">
      <c r="A10527" t="s">
        <v>11698</v>
      </c>
      <c r="B10527">
        <v>0</v>
      </c>
      <c r="C10527" s="44">
        <v>3050</v>
      </c>
      <c r="D10527" t="s">
        <v>291</v>
      </c>
      <c r="E10527" t="s">
        <v>9703</v>
      </c>
      <c r="F10527">
        <v>4</v>
      </c>
    </row>
    <row r="10528" spans="1:6" ht="13.2">
      <c r="A10528" t="s">
        <v>11699</v>
      </c>
      <c r="B10528">
        <v>0</v>
      </c>
      <c r="C10528" s="44">
        <v>3050</v>
      </c>
      <c r="D10528" t="s">
        <v>291</v>
      </c>
      <c r="E10528" t="s">
        <v>9703</v>
      </c>
      <c r="F10528">
        <v>4</v>
      </c>
    </row>
    <row r="10529" spans="1:6" ht="13.2">
      <c r="A10529" t="s">
        <v>11700</v>
      </c>
      <c r="B10529">
        <v>0</v>
      </c>
      <c r="C10529" s="44">
        <v>3050</v>
      </c>
      <c r="D10529" t="s">
        <v>291</v>
      </c>
      <c r="E10529" t="s">
        <v>9703</v>
      </c>
      <c r="F10529">
        <v>4</v>
      </c>
    </row>
    <row r="10530" spans="1:6" ht="13.2">
      <c r="A10530" t="s">
        <v>11701</v>
      </c>
      <c r="B10530">
        <v>0</v>
      </c>
      <c r="C10530" s="44">
        <v>3050</v>
      </c>
      <c r="D10530" t="s">
        <v>291</v>
      </c>
      <c r="E10530" t="s">
        <v>9703</v>
      </c>
      <c r="F10530">
        <v>4</v>
      </c>
    </row>
    <row r="10531" spans="1:6" ht="13.2">
      <c r="A10531" t="s">
        <v>11702</v>
      </c>
      <c r="B10531">
        <v>394</v>
      </c>
      <c r="C10531" s="44">
        <v>3000</v>
      </c>
      <c r="D10531" t="s">
        <v>293</v>
      </c>
      <c r="E10531" t="s">
        <v>7674</v>
      </c>
      <c r="F10531">
        <v>4</v>
      </c>
    </row>
    <row r="10532" spans="1:6" ht="13.2">
      <c r="A10532" t="s">
        <v>11703</v>
      </c>
      <c r="B10532">
        <v>394</v>
      </c>
      <c r="C10532" s="44">
        <v>3000</v>
      </c>
      <c r="D10532" t="s">
        <v>293</v>
      </c>
      <c r="E10532" t="s">
        <v>7674</v>
      </c>
      <c r="F10532">
        <v>4</v>
      </c>
    </row>
    <row r="10533" spans="1:6" ht="13.2">
      <c r="A10533" t="s">
        <v>11704</v>
      </c>
      <c r="B10533">
        <v>394</v>
      </c>
      <c r="C10533" s="44">
        <v>3000</v>
      </c>
      <c r="D10533" t="s">
        <v>293</v>
      </c>
      <c r="E10533" t="s">
        <v>7674</v>
      </c>
      <c r="F10533">
        <v>4</v>
      </c>
    </row>
    <row r="10534" spans="1:6" ht="13.2">
      <c r="A10534" t="s">
        <v>11705</v>
      </c>
      <c r="B10534">
        <v>394</v>
      </c>
      <c r="C10534" s="44">
        <v>3000</v>
      </c>
      <c r="D10534" t="s">
        <v>293</v>
      </c>
      <c r="E10534" t="s">
        <v>7674</v>
      </c>
      <c r="F10534">
        <v>4</v>
      </c>
    </row>
    <row r="10535" spans="1:6" ht="13.2">
      <c r="A10535" t="s">
        <v>11706</v>
      </c>
      <c r="B10535">
        <v>394</v>
      </c>
      <c r="C10535" s="44">
        <v>3000</v>
      </c>
      <c r="D10535" t="s">
        <v>293</v>
      </c>
      <c r="E10535" t="s">
        <v>7674</v>
      </c>
      <c r="F10535">
        <v>4</v>
      </c>
    </row>
    <row r="10536" spans="1:6" ht="13.2">
      <c r="A10536" t="s">
        <v>11707</v>
      </c>
      <c r="B10536">
        <v>394</v>
      </c>
      <c r="C10536" s="44">
        <v>3000</v>
      </c>
      <c r="D10536" t="s">
        <v>293</v>
      </c>
      <c r="E10536" t="s">
        <v>7674</v>
      </c>
      <c r="F10536">
        <v>4</v>
      </c>
    </row>
    <row r="10537" spans="1:6" ht="13.2">
      <c r="A10537" t="s">
        <v>11708</v>
      </c>
      <c r="B10537">
        <v>394</v>
      </c>
      <c r="C10537" s="44">
        <v>3000</v>
      </c>
      <c r="D10537" t="s">
        <v>293</v>
      </c>
      <c r="E10537" t="s">
        <v>7674</v>
      </c>
      <c r="F10537">
        <v>4</v>
      </c>
    </row>
    <row r="10538" spans="1:6" ht="13.2">
      <c r="A10538" t="s">
        <v>11709</v>
      </c>
      <c r="B10538">
        <v>394</v>
      </c>
      <c r="C10538" s="44">
        <v>3000</v>
      </c>
      <c r="D10538" t="s">
        <v>293</v>
      </c>
      <c r="E10538" t="s">
        <v>7674</v>
      </c>
      <c r="F10538">
        <v>4</v>
      </c>
    </row>
    <row r="10539" spans="1:6" ht="13.2">
      <c r="A10539" t="s">
        <v>11710</v>
      </c>
      <c r="B10539">
        <v>394</v>
      </c>
      <c r="C10539" s="44">
        <v>3000</v>
      </c>
      <c r="D10539" t="s">
        <v>293</v>
      </c>
      <c r="E10539" t="s">
        <v>7674</v>
      </c>
      <c r="F10539">
        <v>4</v>
      </c>
    </row>
    <row r="10540" spans="1:6" ht="13.2">
      <c r="A10540" t="s">
        <v>11711</v>
      </c>
      <c r="B10540">
        <v>394</v>
      </c>
      <c r="C10540" s="44">
        <v>3000</v>
      </c>
      <c r="D10540" t="s">
        <v>293</v>
      </c>
      <c r="E10540" t="s">
        <v>7674</v>
      </c>
      <c r="F10540">
        <v>4</v>
      </c>
    </row>
    <row r="10541" spans="1:6" ht="13.2">
      <c r="A10541" t="s">
        <v>11712</v>
      </c>
      <c r="B10541">
        <v>394</v>
      </c>
      <c r="C10541" s="44">
        <v>3000</v>
      </c>
      <c r="D10541" t="s">
        <v>293</v>
      </c>
      <c r="E10541" t="s">
        <v>7674</v>
      </c>
      <c r="F10541">
        <v>4</v>
      </c>
    </row>
    <row r="10542" spans="1:6" ht="13.2">
      <c r="A10542" t="s">
        <v>11713</v>
      </c>
      <c r="B10542">
        <v>394</v>
      </c>
      <c r="C10542" s="44">
        <v>3000</v>
      </c>
      <c r="D10542" t="s">
        <v>293</v>
      </c>
      <c r="E10542" t="s">
        <v>7674</v>
      </c>
      <c r="F10542">
        <v>4</v>
      </c>
    </row>
    <row r="10543" spans="1:6" ht="13.2">
      <c r="A10543" t="s">
        <v>11714</v>
      </c>
      <c r="B10543">
        <v>394</v>
      </c>
      <c r="C10543" s="44">
        <v>3000</v>
      </c>
      <c r="D10543" t="s">
        <v>293</v>
      </c>
      <c r="E10543" t="s">
        <v>7674</v>
      </c>
      <c r="F10543">
        <v>4</v>
      </c>
    </row>
    <row r="10544" spans="1:6" ht="13.2">
      <c r="A10544" t="s">
        <v>11715</v>
      </c>
      <c r="B10544">
        <v>0</v>
      </c>
      <c r="C10544" s="44" t="s">
        <v>349</v>
      </c>
      <c r="D10544" t="s">
        <v>293</v>
      </c>
      <c r="E10544" t="s">
        <v>253</v>
      </c>
      <c r="F10544">
        <v>3</v>
      </c>
    </row>
    <row r="10545" spans="1:6" ht="13.2">
      <c r="A10545" t="s">
        <v>11716</v>
      </c>
      <c r="B10545">
        <v>0</v>
      </c>
      <c r="C10545" s="44" t="s">
        <v>201</v>
      </c>
      <c r="D10545" t="s">
        <v>293</v>
      </c>
      <c r="E10545" t="s">
        <v>7674</v>
      </c>
      <c r="F10545">
        <v>4</v>
      </c>
    </row>
    <row r="10546" spans="1:6" ht="13.2">
      <c r="A10546" t="s">
        <v>11717</v>
      </c>
      <c r="B10546">
        <v>0</v>
      </c>
      <c r="C10546" s="44" t="s">
        <v>201</v>
      </c>
      <c r="D10546" t="s">
        <v>293</v>
      </c>
      <c r="E10546" t="s">
        <v>7674</v>
      </c>
      <c r="F10546">
        <v>4</v>
      </c>
    </row>
    <row r="10547" spans="1:6" ht="13.2">
      <c r="A10547" t="s">
        <v>11718</v>
      </c>
      <c r="B10547">
        <v>0</v>
      </c>
      <c r="C10547" s="44" t="s">
        <v>201</v>
      </c>
      <c r="D10547" t="s">
        <v>293</v>
      </c>
      <c r="E10547" t="s">
        <v>7674</v>
      </c>
      <c r="F10547">
        <v>4</v>
      </c>
    </row>
    <row r="10548" spans="1:6" ht="13.2">
      <c r="A10548" t="s">
        <v>11719</v>
      </c>
      <c r="B10548">
        <v>0</v>
      </c>
      <c r="C10548" s="44" t="s">
        <v>201</v>
      </c>
      <c r="D10548" t="s">
        <v>293</v>
      </c>
      <c r="E10548" t="s">
        <v>7674</v>
      </c>
      <c r="F10548">
        <v>4</v>
      </c>
    </row>
    <row r="10549" spans="1:6" ht="13.2">
      <c r="A10549" t="s">
        <v>11720</v>
      </c>
      <c r="B10549">
        <v>0</v>
      </c>
      <c r="C10549" s="44" t="s">
        <v>201</v>
      </c>
      <c r="D10549" t="s">
        <v>293</v>
      </c>
      <c r="E10549" t="s">
        <v>7674</v>
      </c>
      <c r="F10549">
        <v>4</v>
      </c>
    </row>
    <row r="10550" spans="1:6" ht="13.2">
      <c r="A10550" t="s">
        <v>11721</v>
      </c>
      <c r="B10550">
        <v>0</v>
      </c>
      <c r="C10550" s="44" t="s">
        <v>201</v>
      </c>
      <c r="D10550" t="s">
        <v>293</v>
      </c>
      <c r="E10550" t="s">
        <v>7674</v>
      </c>
      <c r="F10550">
        <v>4</v>
      </c>
    </row>
    <row r="10551" spans="1:6" ht="13.2">
      <c r="A10551" t="s">
        <v>11722</v>
      </c>
      <c r="B10551">
        <v>0</v>
      </c>
      <c r="C10551" s="44" t="s">
        <v>201</v>
      </c>
      <c r="D10551" t="s">
        <v>293</v>
      </c>
      <c r="E10551" t="s">
        <v>7674</v>
      </c>
      <c r="F10551">
        <v>4</v>
      </c>
    </row>
    <row r="10552" spans="1:6" ht="13.2">
      <c r="A10552" t="s">
        <v>11723</v>
      </c>
      <c r="B10552">
        <v>0</v>
      </c>
      <c r="C10552" s="44">
        <v>3200</v>
      </c>
      <c r="D10552" t="s">
        <v>291</v>
      </c>
      <c r="E10552" t="s">
        <v>256</v>
      </c>
      <c r="F10552">
        <v>4</v>
      </c>
    </row>
    <row r="10553" spans="1:6" ht="13.2">
      <c r="A10553" t="s">
        <v>11724</v>
      </c>
      <c r="B10553">
        <v>0</v>
      </c>
      <c r="C10553" s="44">
        <v>3200</v>
      </c>
      <c r="D10553" t="s">
        <v>291</v>
      </c>
      <c r="E10553" t="s">
        <v>256</v>
      </c>
      <c r="F10553">
        <v>4</v>
      </c>
    </row>
    <row r="10554" spans="1:6" ht="13.2">
      <c r="A10554" t="s">
        <v>11725</v>
      </c>
      <c r="B10554">
        <v>0</v>
      </c>
      <c r="C10554" s="44">
        <v>3200</v>
      </c>
      <c r="D10554" t="s">
        <v>291</v>
      </c>
      <c r="E10554" t="s">
        <v>256</v>
      </c>
      <c r="F10554">
        <v>4</v>
      </c>
    </row>
    <row r="10555" spans="1:6" ht="13.2">
      <c r="A10555" t="s">
        <v>11726</v>
      </c>
      <c r="B10555">
        <v>0</v>
      </c>
      <c r="C10555" s="44">
        <v>3200</v>
      </c>
      <c r="D10555" t="s">
        <v>291</v>
      </c>
      <c r="E10555" t="s">
        <v>256</v>
      </c>
      <c r="F10555">
        <v>4</v>
      </c>
    </row>
    <row r="10556" spans="1:6" ht="13.2">
      <c r="A10556" t="s">
        <v>11727</v>
      </c>
      <c r="B10556">
        <v>0</v>
      </c>
      <c r="C10556" s="44">
        <v>3200</v>
      </c>
      <c r="D10556" t="s">
        <v>291</v>
      </c>
      <c r="E10556" t="s">
        <v>256</v>
      </c>
      <c r="F10556">
        <v>4</v>
      </c>
    </row>
    <row r="10557" spans="1:6" ht="13.2">
      <c r="A10557" t="s">
        <v>11728</v>
      </c>
      <c r="B10557">
        <v>0</v>
      </c>
      <c r="C10557" s="44">
        <v>3200</v>
      </c>
      <c r="D10557" t="s">
        <v>291</v>
      </c>
      <c r="E10557" t="s">
        <v>256</v>
      </c>
      <c r="F10557">
        <v>4</v>
      </c>
    </row>
    <row r="10558" spans="1:6" ht="13.2">
      <c r="A10558" t="s">
        <v>11729</v>
      </c>
      <c r="B10558">
        <v>0</v>
      </c>
      <c r="C10558" s="44">
        <v>3200</v>
      </c>
      <c r="D10558" t="s">
        <v>291</v>
      </c>
      <c r="E10558" t="s">
        <v>256</v>
      </c>
      <c r="F10558">
        <v>4</v>
      </c>
    </row>
    <row r="10559" spans="1:6" ht="13.2">
      <c r="A10559" t="s">
        <v>11730</v>
      </c>
      <c r="B10559">
        <v>0</v>
      </c>
      <c r="C10559" s="44">
        <v>3200</v>
      </c>
      <c r="D10559" t="s">
        <v>291</v>
      </c>
      <c r="E10559" t="s">
        <v>256</v>
      </c>
      <c r="F10559">
        <v>4</v>
      </c>
    </row>
    <row r="10560" spans="1:6" ht="13.2">
      <c r="A10560" t="s">
        <v>11731</v>
      </c>
      <c r="B10560">
        <v>0</v>
      </c>
      <c r="C10560" s="44">
        <v>3200</v>
      </c>
      <c r="D10560" t="s">
        <v>291</v>
      </c>
      <c r="E10560" t="s">
        <v>256</v>
      </c>
      <c r="F10560">
        <v>4</v>
      </c>
    </row>
    <row r="10561" spans="1:6" ht="13.2">
      <c r="A10561" t="s">
        <v>11732</v>
      </c>
      <c r="B10561">
        <v>0</v>
      </c>
      <c r="C10561" s="44">
        <v>3200</v>
      </c>
      <c r="D10561" t="s">
        <v>291</v>
      </c>
      <c r="E10561" t="s">
        <v>256</v>
      </c>
      <c r="F10561">
        <v>4</v>
      </c>
    </row>
    <row r="10562" spans="1:6" ht="13.2">
      <c r="A10562" t="s">
        <v>11733</v>
      </c>
      <c r="B10562">
        <v>0</v>
      </c>
      <c r="C10562" s="44">
        <v>3200</v>
      </c>
      <c r="D10562" t="s">
        <v>291</v>
      </c>
      <c r="E10562" t="s">
        <v>256</v>
      </c>
      <c r="F10562">
        <v>4</v>
      </c>
    </row>
    <row r="10563" spans="1:6" ht="13.2">
      <c r="A10563" t="s">
        <v>11734</v>
      </c>
      <c r="B10563">
        <v>0</v>
      </c>
      <c r="C10563" s="44">
        <v>3200</v>
      </c>
      <c r="D10563" t="s">
        <v>291</v>
      </c>
      <c r="E10563" t="s">
        <v>256</v>
      </c>
      <c r="F10563">
        <v>4</v>
      </c>
    </row>
    <row r="10564" spans="1:6" ht="13.2">
      <c r="A10564" t="s">
        <v>11735</v>
      </c>
      <c r="B10564">
        <v>0</v>
      </c>
      <c r="C10564" s="44">
        <v>3200</v>
      </c>
      <c r="D10564" t="s">
        <v>291</v>
      </c>
      <c r="E10564" t="s">
        <v>256</v>
      </c>
      <c r="F10564">
        <v>4</v>
      </c>
    </row>
    <row r="10565" spans="1:6" ht="13.2">
      <c r="A10565" t="s">
        <v>11736</v>
      </c>
      <c r="B10565">
        <v>0</v>
      </c>
      <c r="C10565" s="44">
        <v>3200</v>
      </c>
      <c r="D10565" t="s">
        <v>291</v>
      </c>
      <c r="E10565" t="s">
        <v>256</v>
      </c>
      <c r="F10565">
        <v>4</v>
      </c>
    </row>
    <row r="10566" spans="1:6" ht="13.2">
      <c r="A10566" t="s">
        <v>11737</v>
      </c>
      <c r="B10566">
        <v>0</v>
      </c>
      <c r="C10566" s="44">
        <v>3200</v>
      </c>
      <c r="D10566" t="s">
        <v>291</v>
      </c>
      <c r="E10566" t="s">
        <v>256</v>
      </c>
      <c r="F10566">
        <v>4</v>
      </c>
    </row>
    <row r="10567" spans="1:6" ht="13.2">
      <c r="A10567" t="s">
        <v>11738</v>
      </c>
      <c r="B10567">
        <v>0</v>
      </c>
      <c r="C10567" s="44">
        <v>3200</v>
      </c>
      <c r="D10567" t="s">
        <v>291</v>
      </c>
      <c r="E10567" t="s">
        <v>256</v>
      </c>
      <c r="F10567">
        <v>4</v>
      </c>
    </row>
    <row r="10568" spans="1:6" ht="13.2">
      <c r="A10568" t="s">
        <v>11739</v>
      </c>
      <c r="B10568">
        <v>0</v>
      </c>
      <c r="C10568" s="44">
        <v>3200</v>
      </c>
      <c r="D10568" t="s">
        <v>293</v>
      </c>
      <c r="E10568" t="s">
        <v>256</v>
      </c>
      <c r="F10568">
        <v>4</v>
      </c>
    </row>
    <row r="10569" spans="1:6" ht="13.2">
      <c r="A10569" t="s">
        <v>11740</v>
      </c>
      <c r="B10569">
        <v>0</v>
      </c>
      <c r="C10569" s="44">
        <v>3200</v>
      </c>
      <c r="D10569" t="s">
        <v>293</v>
      </c>
      <c r="E10569" t="s">
        <v>256</v>
      </c>
      <c r="F10569">
        <v>4</v>
      </c>
    </row>
    <row r="10570" spans="1:6" ht="13.2">
      <c r="A10570" t="s">
        <v>11741</v>
      </c>
      <c r="B10570">
        <v>0</v>
      </c>
      <c r="C10570" s="44">
        <v>3200</v>
      </c>
      <c r="D10570" t="s">
        <v>293</v>
      </c>
      <c r="E10570" t="s">
        <v>256</v>
      </c>
      <c r="F10570">
        <v>4</v>
      </c>
    </row>
    <row r="10571" spans="1:6" ht="13.2">
      <c r="A10571" t="s">
        <v>11742</v>
      </c>
      <c r="B10571">
        <v>0</v>
      </c>
      <c r="C10571" s="44">
        <v>3200</v>
      </c>
      <c r="D10571" t="s">
        <v>293</v>
      </c>
      <c r="E10571" t="s">
        <v>256</v>
      </c>
      <c r="F10571">
        <v>4</v>
      </c>
    </row>
    <row r="10572" spans="1:6" ht="13.2">
      <c r="A10572" t="s">
        <v>11743</v>
      </c>
      <c r="B10572">
        <v>0</v>
      </c>
      <c r="C10572" s="44">
        <v>3200</v>
      </c>
      <c r="D10572" t="s">
        <v>293</v>
      </c>
      <c r="E10572" t="s">
        <v>256</v>
      </c>
      <c r="F10572">
        <v>4</v>
      </c>
    </row>
    <row r="10573" spans="1:6" ht="13.2">
      <c r="A10573" t="s">
        <v>11744</v>
      </c>
      <c r="B10573">
        <v>0</v>
      </c>
      <c r="C10573" s="44">
        <v>3200</v>
      </c>
      <c r="D10573" t="s">
        <v>293</v>
      </c>
      <c r="E10573" t="s">
        <v>256</v>
      </c>
      <c r="F10573">
        <v>4</v>
      </c>
    </row>
    <row r="10574" spans="1:6" ht="13.2">
      <c r="A10574" t="s">
        <v>11745</v>
      </c>
      <c r="B10574">
        <v>0</v>
      </c>
      <c r="C10574" s="44">
        <v>3200</v>
      </c>
      <c r="D10574" t="s">
        <v>293</v>
      </c>
      <c r="E10574" t="s">
        <v>256</v>
      </c>
      <c r="F10574">
        <v>4</v>
      </c>
    </row>
    <row r="10575" spans="1:6" ht="13.2">
      <c r="A10575" t="s">
        <v>11746</v>
      </c>
      <c r="B10575">
        <v>0</v>
      </c>
      <c r="C10575" s="44">
        <v>3200</v>
      </c>
      <c r="D10575" t="s">
        <v>293</v>
      </c>
      <c r="E10575" t="s">
        <v>256</v>
      </c>
      <c r="F10575">
        <v>4</v>
      </c>
    </row>
    <row r="10576" spans="1:6" ht="13.2">
      <c r="A10576" t="s">
        <v>11747</v>
      </c>
      <c r="B10576">
        <v>0</v>
      </c>
      <c r="C10576" s="44">
        <v>3200</v>
      </c>
      <c r="D10576" t="s">
        <v>293</v>
      </c>
      <c r="E10576" t="s">
        <v>256</v>
      </c>
      <c r="F10576">
        <v>4</v>
      </c>
    </row>
    <row r="10577" spans="1:6" ht="13.2">
      <c r="A10577" t="s">
        <v>11748</v>
      </c>
      <c r="B10577">
        <v>0</v>
      </c>
      <c r="C10577" s="44">
        <v>3200</v>
      </c>
      <c r="D10577" t="s">
        <v>293</v>
      </c>
      <c r="E10577" t="s">
        <v>256</v>
      </c>
      <c r="F10577">
        <v>4</v>
      </c>
    </row>
    <row r="10578" spans="1:6" ht="13.2">
      <c r="A10578" t="s">
        <v>11749</v>
      </c>
      <c r="B10578">
        <v>0</v>
      </c>
      <c r="C10578" s="44">
        <v>3200</v>
      </c>
      <c r="D10578" t="s">
        <v>293</v>
      </c>
      <c r="E10578" t="s">
        <v>256</v>
      </c>
      <c r="F10578">
        <v>4</v>
      </c>
    </row>
    <row r="10579" spans="1:6" ht="13.2">
      <c r="A10579" t="s">
        <v>11750</v>
      </c>
      <c r="B10579">
        <v>0</v>
      </c>
      <c r="C10579" s="44">
        <v>3200</v>
      </c>
      <c r="D10579" t="s">
        <v>293</v>
      </c>
      <c r="E10579" t="s">
        <v>256</v>
      </c>
      <c r="F10579">
        <v>4</v>
      </c>
    </row>
    <row r="10580" spans="1:6" ht="13.2">
      <c r="A10580" t="s">
        <v>11751</v>
      </c>
      <c r="B10580">
        <v>0</v>
      </c>
      <c r="C10580" s="44">
        <v>3200</v>
      </c>
      <c r="D10580" t="s">
        <v>293</v>
      </c>
      <c r="E10580" t="s">
        <v>256</v>
      </c>
      <c r="F10580">
        <v>4</v>
      </c>
    </row>
    <row r="10581" spans="1:6" ht="13.2">
      <c r="A10581" t="s">
        <v>11752</v>
      </c>
      <c r="B10581">
        <v>0</v>
      </c>
      <c r="C10581" s="44">
        <v>3200</v>
      </c>
      <c r="D10581" t="s">
        <v>293</v>
      </c>
      <c r="E10581" t="s">
        <v>256</v>
      </c>
      <c r="F10581">
        <v>4</v>
      </c>
    </row>
    <row r="10582" spans="1:6" ht="13.2">
      <c r="A10582" t="s">
        <v>11753</v>
      </c>
      <c r="B10582">
        <v>0</v>
      </c>
      <c r="C10582" s="44">
        <v>3200</v>
      </c>
      <c r="D10582" t="s">
        <v>293</v>
      </c>
      <c r="E10582" t="s">
        <v>256</v>
      </c>
      <c r="F10582">
        <v>4</v>
      </c>
    </row>
    <row r="10583" spans="1:6" ht="13.2">
      <c r="A10583" t="s">
        <v>11754</v>
      </c>
      <c r="B10583">
        <v>0</v>
      </c>
      <c r="C10583" s="44">
        <v>3200</v>
      </c>
      <c r="D10583" t="s">
        <v>293</v>
      </c>
      <c r="E10583" t="s">
        <v>256</v>
      </c>
      <c r="F10583">
        <v>4</v>
      </c>
    </row>
    <row r="10584" spans="1:6" ht="13.2">
      <c r="A10584" t="s">
        <v>11755</v>
      </c>
      <c r="B10584">
        <v>0</v>
      </c>
      <c r="C10584" s="44">
        <v>3200</v>
      </c>
      <c r="D10584" t="s">
        <v>293</v>
      </c>
      <c r="E10584" t="s">
        <v>11756</v>
      </c>
      <c r="F10584">
        <v>3</v>
      </c>
    </row>
    <row r="10585" spans="1:6" ht="13.2">
      <c r="A10585" t="s">
        <v>11757</v>
      </c>
      <c r="B10585">
        <v>0</v>
      </c>
      <c r="C10585" s="44">
        <v>3200</v>
      </c>
      <c r="D10585" t="s">
        <v>293</v>
      </c>
      <c r="E10585" t="s">
        <v>11756</v>
      </c>
      <c r="F10585">
        <v>3</v>
      </c>
    </row>
    <row r="10586" spans="1:6" ht="13.2">
      <c r="A10586" t="s">
        <v>11758</v>
      </c>
      <c r="B10586">
        <v>0</v>
      </c>
      <c r="C10586" s="44">
        <v>3200</v>
      </c>
      <c r="D10586" t="s">
        <v>293</v>
      </c>
      <c r="E10586" t="s">
        <v>11756</v>
      </c>
      <c r="F10586">
        <v>3</v>
      </c>
    </row>
    <row r="10587" spans="1:6" ht="13.2">
      <c r="A10587" t="s">
        <v>11759</v>
      </c>
      <c r="B10587">
        <v>0</v>
      </c>
      <c r="C10587" s="44">
        <v>3200</v>
      </c>
      <c r="D10587" t="s">
        <v>293</v>
      </c>
      <c r="E10587" t="s">
        <v>11756</v>
      </c>
      <c r="F10587">
        <v>3</v>
      </c>
    </row>
    <row r="10588" spans="1:6" ht="13.2">
      <c r="A10588" t="s">
        <v>11760</v>
      </c>
      <c r="B10588">
        <v>0</v>
      </c>
      <c r="C10588" s="44">
        <v>3200</v>
      </c>
      <c r="D10588" t="s">
        <v>293</v>
      </c>
      <c r="E10588" t="s">
        <v>11756</v>
      </c>
      <c r="F10588">
        <v>3</v>
      </c>
    </row>
    <row r="10589" spans="1:6" ht="13.2">
      <c r="A10589" t="s">
        <v>11761</v>
      </c>
      <c r="B10589">
        <v>0</v>
      </c>
      <c r="C10589" s="44">
        <v>3200</v>
      </c>
      <c r="D10589" t="s">
        <v>293</v>
      </c>
      <c r="E10589" t="s">
        <v>11756</v>
      </c>
      <c r="F10589">
        <v>3</v>
      </c>
    </row>
    <row r="10590" spans="1:6" ht="13.2">
      <c r="A10590" t="s">
        <v>11762</v>
      </c>
      <c r="B10590">
        <v>0</v>
      </c>
      <c r="C10590" s="44">
        <v>3200</v>
      </c>
      <c r="D10590" t="s">
        <v>293</v>
      </c>
      <c r="E10590" t="s">
        <v>11756</v>
      </c>
      <c r="F10590">
        <v>3</v>
      </c>
    </row>
    <row r="10591" spans="1:6" ht="13.2">
      <c r="A10591" t="s">
        <v>11766</v>
      </c>
      <c r="B10591">
        <v>0</v>
      </c>
      <c r="C10591" s="44" t="s">
        <v>294</v>
      </c>
      <c r="D10591" t="s">
        <v>293</v>
      </c>
      <c r="E10591" t="s">
        <v>11767</v>
      </c>
      <c r="F10591">
        <v>3</v>
      </c>
    </row>
    <row r="10592" spans="1:6" ht="13.2">
      <c r="A10592" t="s">
        <v>11768</v>
      </c>
      <c r="B10592">
        <v>0</v>
      </c>
      <c r="C10592" s="44" t="s">
        <v>294</v>
      </c>
      <c r="D10592" t="s">
        <v>293</v>
      </c>
      <c r="E10592" t="s">
        <v>11767</v>
      </c>
      <c r="F10592">
        <v>3</v>
      </c>
    </row>
    <row r="10593" spans="1:6" ht="13.2">
      <c r="A10593" t="s">
        <v>11769</v>
      </c>
      <c r="B10593">
        <v>0</v>
      </c>
      <c r="C10593" s="44" t="s">
        <v>294</v>
      </c>
      <c r="D10593" t="s">
        <v>293</v>
      </c>
      <c r="E10593" t="s">
        <v>11767</v>
      </c>
      <c r="F10593">
        <v>3</v>
      </c>
    </row>
    <row r="10594" spans="1:6" ht="13.2">
      <c r="A10594" t="s">
        <v>11770</v>
      </c>
      <c r="B10594">
        <v>0</v>
      </c>
      <c r="C10594" s="44" t="s">
        <v>294</v>
      </c>
      <c r="D10594" t="s">
        <v>293</v>
      </c>
      <c r="E10594" t="s">
        <v>11767</v>
      </c>
      <c r="F10594">
        <v>3</v>
      </c>
    </row>
    <row r="10595" spans="1:6" ht="13.2">
      <c r="A10595" t="s">
        <v>11771</v>
      </c>
      <c r="B10595">
        <v>0</v>
      </c>
      <c r="C10595" s="44" t="s">
        <v>294</v>
      </c>
      <c r="D10595" t="s">
        <v>293</v>
      </c>
      <c r="E10595" t="s">
        <v>11767</v>
      </c>
      <c r="F10595">
        <v>3</v>
      </c>
    </row>
    <row r="10596" spans="1:6" ht="13.2">
      <c r="A10596" t="s">
        <v>11772</v>
      </c>
      <c r="B10596">
        <v>0</v>
      </c>
      <c r="C10596" s="44" t="s">
        <v>294</v>
      </c>
      <c r="D10596" t="s">
        <v>293</v>
      </c>
      <c r="E10596" t="s">
        <v>11767</v>
      </c>
      <c r="F10596">
        <v>3</v>
      </c>
    </row>
    <row r="10597" spans="1:6" ht="13.2">
      <c r="A10597" t="s">
        <v>11773</v>
      </c>
      <c r="B10597">
        <v>0</v>
      </c>
      <c r="C10597" s="44" t="s">
        <v>294</v>
      </c>
      <c r="D10597" t="s">
        <v>293</v>
      </c>
      <c r="E10597" t="s">
        <v>11767</v>
      </c>
      <c r="F10597">
        <v>3</v>
      </c>
    </row>
    <row r="10598" spans="1:6" ht="13.2">
      <c r="A10598" t="s">
        <v>11774</v>
      </c>
      <c r="B10598">
        <v>0</v>
      </c>
      <c r="C10598" s="44" t="s">
        <v>294</v>
      </c>
      <c r="D10598" t="s">
        <v>293</v>
      </c>
      <c r="E10598" t="s">
        <v>11767</v>
      </c>
      <c r="F10598">
        <v>3</v>
      </c>
    </row>
    <row r="10599" spans="1:6" ht="13.2">
      <c r="A10599" t="s">
        <v>11775</v>
      </c>
      <c r="B10599">
        <v>0</v>
      </c>
      <c r="C10599" s="44" t="s">
        <v>294</v>
      </c>
      <c r="D10599" t="s">
        <v>293</v>
      </c>
      <c r="E10599" t="s">
        <v>11767</v>
      </c>
      <c r="F10599">
        <v>3</v>
      </c>
    </row>
    <row r="10600" spans="1:6" ht="13.2">
      <c r="A10600" t="s">
        <v>11776</v>
      </c>
      <c r="B10600">
        <v>0</v>
      </c>
      <c r="C10600" s="44" t="s">
        <v>294</v>
      </c>
      <c r="D10600" t="s">
        <v>293</v>
      </c>
      <c r="E10600" t="s">
        <v>11767</v>
      </c>
      <c r="F10600">
        <v>3</v>
      </c>
    </row>
    <row r="10601" spans="1:6" ht="13.2">
      <c r="A10601" t="s">
        <v>11777</v>
      </c>
      <c r="B10601">
        <v>0</v>
      </c>
      <c r="C10601" s="44" t="s">
        <v>294</v>
      </c>
      <c r="D10601" t="s">
        <v>293</v>
      </c>
      <c r="E10601" t="s">
        <v>11767</v>
      </c>
      <c r="F10601">
        <v>3</v>
      </c>
    </row>
    <row r="10602" spans="1:6" ht="13.2">
      <c r="A10602" t="s">
        <v>11778</v>
      </c>
      <c r="B10602">
        <v>0</v>
      </c>
      <c r="C10602" s="44" t="s">
        <v>294</v>
      </c>
      <c r="D10602" t="s">
        <v>293</v>
      </c>
      <c r="E10602" t="s">
        <v>11767</v>
      </c>
      <c r="F10602">
        <v>3</v>
      </c>
    </row>
    <row r="10603" spans="1:6" ht="13.2">
      <c r="A10603" t="s">
        <v>11553</v>
      </c>
      <c r="B10603">
        <v>0</v>
      </c>
      <c r="C10603" s="44" t="s">
        <v>294</v>
      </c>
      <c r="D10603" t="s">
        <v>293</v>
      </c>
      <c r="E10603" t="s">
        <v>11767</v>
      </c>
      <c r="F10603">
        <v>3</v>
      </c>
    </row>
    <row r="10604" spans="1:6" ht="13.2">
      <c r="A10604" t="s">
        <v>11779</v>
      </c>
      <c r="B10604">
        <v>0</v>
      </c>
      <c r="C10604" s="44" t="s">
        <v>294</v>
      </c>
      <c r="D10604" t="s">
        <v>293</v>
      </c>
      <c r="E10604" t="s">
        <v>11767</v>
      </c>
      <c r="F10604">
        <v>3</v>
      </c>
    </row>
    <row r="10605" spans="1:6" ht="13.2">
      <c r="A10605" t="s">
        <v>11780</v>
      </c>
      <c r="B10605">
        <v>0</v>
      </c>
      <c r="C10605" s="44" t="s">
        <v>294</v>
      </c>
      <c r="D10605" t="s">
        <v>293</v>
      </c>
      <c r="E10605" t="s">
        <v>11767</v>
      </c>
      <c r="F10605">
        <v>3</v>
      </c>
    </row>
    <row r="10606" spans="1:6" ht="13.2">
      <c r="A10606" t="s">
        <v>11781</v>
      </c>
      <c r="B10606">
        <v>0</v>
      </c>
      <c r="C10606" s="44" t="s">
        <v>294</v>
      </c>
      <c r="D10606" t="s">
        <v>293</v>
      </c>
      <c r="E10606" t="s">
        <v>11767</v>
      </c>
      <c r="F10606">
        <v>3</v>
      </c>
    </row>
    <row r="10607" spans="1:6" ht="13.2">
      <c r="A10607" t="s">
        <v>11782</v>
      </c>
      <c r="B10607">
        <v>0</v>
      </c>
      <c r="C10607" s="44" t="s">
        <v>294</v>
      </c>
      <c r="D10607" t="s">
        <v>293</v>
      </c>
      <c r="E10607" t="s">
        <v>11767</v>
      </c>
      <c r="F10607">
        <v>3</v>
      </c>
    </row>
    <row r="10608" spans="1:6" ht="13.2">
      <c r="A10608" t="s">
        <v>11554</v>
      </c>
      <c r="B10608">
        <v>0</v>
      </c>
      <c r="C10608" s="44" t="s">
        <v>294</v>
      </c>
      <c r="D10608" t="s">
        <v>293</v>
      </c>
      <c r="E10608" t="s">
        <v>11767</v>
      </c>
      <c r="F10608">
        <v>3</v>
      </c>
    </row>
    <row r="10609" spans="1:6" ht="13.2">
      <c r="A10609" t="s">
        <v>11783</v>
      </c>
      <c r="B10609">
        <v>0</v>
      </c>
      <c r="C10609" s="44" t="s">
        <v>294</v>
      </c>
      <c r="D10609" t="s">
        <v>293</v>
      </c>
      <c r="E10609" t="s">
        <v>11767</v>
      </c>
      <c r="F10609">
        <v>3</v>
      </c>
    </row>
    <row r="10610" spans="1:6" ht="13.2">
      <c r="A10610" t="s">
        <v>11784</v>
      </c>
      <c r="B10610">
        <v>0</v>
      </c>
      <c r="C10610" s="44" t="s">
        <v>294</v>
      </c>
      <c r="D10610" t="s">
        <v>293</v>
      </c>
      <c r="E10610" t="s">
        <v>11767</v>
      </c>
      <c r="F10610">
        <v>3</v>
      </c>
    </row>
    <row r="10611" spans="1:6" ht="13.2">
      <c r="A10611" t="s">
        <v>11785</v>
      </c>
      <c r="B10611">
        <v>0</v>
      </c>
      <c r="C10611" s="44" t="s">
        <v>294</v>
      </c>
      <c r="D10611" t="s">
        <v>293</v>
      </c>
      <c r="E10611" t="s">
        <v>11767</v>
      </c>
      <c r="F10611">
        <v>3</v>
      </c>
    </row>
    <row r="10612" spans="1:6" ht="13.2">
      <c r="A10612" t="s">
        <v>11786</v>
      </c>
      <c r="B10612">
        <v>0</v>
      </c>
      <c r="C10612" s="44" t="s">
        <v>294</v>
      </c>
      <c r="D10612" t="s">
        <v>293</v>
      </c>
      <c r="E10612" t="s">
        <v>11767</v>
      </c>
      <c r="F10612">
        <v>3</v>
      </c>
    </row>
    <row r="10613" spans="1:6" ht="13.2">
      <c r="A10613" t="s">
        <v>11787</v>
      </c>
      <c r="B10613">
        <v>0</v>
      </c>
      <c r="C10613" s="44" t="s">
        <v>294</v>
      </c>
      <c r="D10613" t="s">
        <v>293</v>
      </c>
      <c r="E10613" t="s">
        <v>11767</v>
      </c>
      <c r="F10613">
        <v>3</v>
      </c>
    </row>
    <row r="10614" spans="1:6" ht="13.2">
      <c r="A10614" t="s">
        <v>11788</v>
      </c>
      <c r="B10614">
        <v>0</v>
      </c>
      <c r="C10614" s="44" t="s">
        <v>294</v>
      </c>
      <c r="D10614" t="s">
        <v>293</v>
      </c>
      <c r="E10614" t="s">
        <v>11767</v>
      </c>
      <c r="F10614">
        <v>3</v>
      </c>
    </row>
    <row r="10615" spans="1:6" ht="13.2">
      <c r="A10615" t="s">
        <v>11789</v>
      </c>
      <c r="B10615">
        <v>0</v>
      </c>
      <c r="C10615" s="44" t="s">
        <v>294</v>
      </c>
      <c r="D10615" t="s">
        <v>293</v>
      </c>
      <c r="E10615" t="s">
        <v>11767</v>
      </c>
      <c r="F10615">
        <v>3</v>
      </c>
    </row>
    <row r="10616" spans="1:6" ht="13.2">
      <c r="A10616" t="s">
        <v>11790</v>
      </c>
      <c r="B10616">
        <v>0</v>
      </c>
      <c r="C10616" s="44" t="s">
        <v>294</v>
      </c>
      <c r="D10616" t="s">
        <v>293</v>
      </c>
      <c r="E10616" t="s">
        <v>11767</v>
      </c>
      <c r="F10616">
        <v>3</v>
      </c>
    </row>
    <row r="10617" spans="1:6" ht="13.2">
      <c r="A10617" t="s">
        <v>11791</v>
      </c>
      <c r="B10617">
        <v>0</v>
      </c>
      <c r="C10617" s="44" t="s">
        <v>294</v>
      </c>
      <c r="D10617" t="s">
        <v>293</v>
      </c>
      <c r="E10617" t="s">
        <v>11767</v>
      </c>
      <c r="F10617">
        <v>3</v>
      </c>
    </row>
    <row r="10618" spans="1:6" ht="13.2">
      <c r="A10618" t="s">
        <v>11792</v>
      </c>
      <c r="B10618">
        <v>0</v>
      </c>
      <c r="C10618" s="44" t="s">
        <v>294</v>
      </c>
      <c r="D10618" t="s">
        <v>293</v>
      </c>
      <c r="E10618" t="s">
        <v>11767</v>
      </c>
      <c r="F10618">
        <v>3</v>
      </c>
    </row>
    <row r="10619" spans="1:6" ht="13.2">
      <c r="A10619" t="s">
        <v>11793</v>
      </c>
      <c r="B10619">
        <v>0</v>
      </c>
      <c r="C10619" s="44" t="s">
        <v>294</v>
      </c>
      <c r="D10619" t="s">
        <v>293</v>
      </c>
      <c r="E10619" t="s">
        <v>11767</v>
      </c>
      <c r="F10619">
        <v>3</v>
      </c>
    </row>
    <row r="10620" spans="1:6" ht="13.2">
      <c r="A10620" t="s">
        <v>11794</v>
      </c>
      <c r="B10620">
        <v>0</v>
      </c>
      <c r="C10620" s="44" t="s">
        <v>294</v>
      </c>
      <c r="D10620" t="s">
        <v>291</v>
      </c>
      <c r="E10620" t="s">
        <v>11767</v>
      </c>
      <c r="F10620">
        <v>3</v>
      </c>
    </row>
    <row r="10621" spans="1:6" ht="13.2">
      <c r="A10621" t="s">
        <v>11795</v>
      </c>
      <c r="B10621">
        <v>0</v>
      </c>
      <c r="C10621" s="44" t="s">
        <v>294</v>
      </c>
      <c r="D10621" t="s">
        <v>291</v>
      </c>
      <c r="E10621" t="s">
        <v>11767</v>
      </c>
      <c r="F10621">
        <v>3</v>
      </c>
    </row>
    <row r="10622" spans="1:6" ht="13.2">
      <c r="A10622" t="s">
        <v>11796</v>
      </c>
      <c r="B10622">
        <v>0</v>
      </c>
      <c r="C10622" s="44" t="s">
        <v>294</v>
      </c>
      <c r="D10622" t="s">
        <v>291</v>
      </c>
      <c r="E10622" t="s">
        <v>11767</v>
      </c>
      <c r="F10622">
        <v>3</v>
      </c>
    </row>
    <row r="10623" spans="1:6" ht="13.2">
      <c r="A10623" t="s">
        <v>11797</v>
      </c>
      <c r="B10623">
        <v>0</v>
      </c>
      <c r="C10623" s="44" t="s">
        <v>294</v>
      </c>
      <c r="D10623" t="s">
        <v>291</v>
      </c>
      <c r="E10623" t="s">
        <v>11767</v>
      </c>
      <c r="F10623">
        <v>3</v>
      </c>
    </row>
    <row r="10624" spans="1:6" ht="13.2">
      <c r="A10624" t="s">
        <v>11798</v>
      </c>
      <c r="B10624">
        <v>0</v>
      </c>
      <c r="C10624" s="44" t="s">
        <v>294</v>
      </c>
      <c r="D10624" t="s">
        <v>291</v>
      </c>
      <c r="E10624" t="s">
        <v>11767</v>
      </c>
      <c r="F10624">
        <v>3</v>
      </c>
    </row>
    <row r="10625" spans="1:6" ht="13.2">
      <c r="A10625" t="s">
        <v>11799</v>
      </c>
      <c r="B10625">
        <v>0</v>
      </c>
      <c r="C10625" s="44" t="s">
        <v>294</v>
      </c>
      <c r="D10625" t="s">
        <v>291</v>
      </c>
      <c r="E10625" t="s">
        <v>11767</v>
      </c>
      <c r="F10625">
        <v>3</v>
      </c>
    </row>
    <row r="10626" spans="1:6" ht="13.2">
      <c r="A10626" t="s">
        <v>11800</v>
      </c>
      <c r="B10626">
        <v>0</v>
      </c>
      <c r="C10626" s="44" t="s">
        <v>294</v>
      </c>
      <c r="D10626" t="s">
        <v>291</v>
      </c>
      <c r="E10626" t="s">
        <v>11767</v>
      </c>
      <c r="F10626">
        <v>3</v>
      </c>
    </row>
    <row r="10627" spans="1:6" ht="13.2">
      <c r="A10627" t="s">
        <v>11801</v>
      </c>
      <c r="B10627">
        <v>0</v>
      </c>
      <c r="C10627" s="44" t="s">
        <v>294</v>
      </c>
      <c r="D10627" t="s">
        <v>291</v>
      </c>
      <c r="E10627" t="s">
        <v>11767</v>
      </c>
      <c r="F10627">
        <v>3</v>
      </c>
    </row>
    <row r="10628" spans="1:6" ht="13.2">
      <c r="A10628" t="s">
        <v>11802</v>
      </c>
      <c r="B10628">
        <v>0</v>
      </c>
      <c r="C10628" s="44" t="s">
        <v>294</v>
      </c>
      <c r="D10628" t="s">
        <v>291</v>
      </c>
      <c r="E10628" t="s">
        <v>11767</v>
      </c>
      <c r="F10628">
        <v>3</v>
      </c>
    </row>
    <row r="10629" spans="1:6" ht="13.2">
      <c r="A10629" t="s">
        <v>11803</v>
      </c>
      <c r="B10629">
        <v>0</v>
      </c>
      <c r="C10629" s="44" t="s">
        <v>294</v>
      </c>
      <c r="D10629" t="s">
        <v>291</v>
      </c>
      <c r="E10629" t="s">
        <v>11767</v>
      </c>
      <c r="F10629">
        <v>3</v>
      </c>
    </row>
    <row r="10630" spans="1:6" ht="13.2">
      <c r="A10630" t="s">
        <v>11804</v>
      </c>
      <c r="B10630">
        <v>0</v>
      </c>
      <c r="C10630" s="44" t="s">
        <v>294</v>
      </c>
      <c r="D10630" t="s">
        <v>291</v>
      </c>
      <c r="E10630" t="s">
        <v>11767</v>
      </c>
      <c r="F10630">
        <v>3</v>
      </c>
    </row>
    <row r="10631" spans="1:6" ht="13.2">
      <c r="A10631" t="s">
        <v>11805</v>
      </c>
      <c r="B10631">
        <v>0</v>
      </c>
      <c r="C10631" s="44" t="s">
        <v>294</v>
      </c>
      <c r="D10631" t="s">
        <v>291</v>
      </c>
      <c r="E10631" t="s">
        <v>11767</v>
      </c>
      <c r="F10631">
        <v>3</v>
      </c>
    </row>
    <row r="10632" spans="1:6" ht="13.2">
      <c r="A10632" t="s">
        <v>11806</v>
      </c>
      <c r="B10632">
        <v>0</v>
      </c>
      <c r="C10632" s="44" t="s">
        <v>294</v>
      </c>
      <c r="D10632" t="s">
        <v>291</v>
      </c>
      <c r="E10632" t="s">
        <v>11767</v>
      </c>
      <c r="F10632">
        <v>3</v>
      </c>
    </row>
    <row r="10633" spans="1:6" ht="13.2">
      <c r="A10633" t="s">
        <v>11807</v>
      </c>
      <c r="B10633">
        <v>0</v>
      </c>
      <c r="C10633" s="44" t="s">
        <v>294</v>
      </c>
      <c r="D10633" t="s">
        <v>291</v>
      </c>
      <c r="E10633" t="s">
        <v>11767</v>
      </c>
      <c r="F10633">
        <v>3</v>
      </c>
    </row>
    <row r="10634" spans="1:6" ht="13.2">
      <c r="A10634" t="s">
        <v>11808</v>
      </c>
      <c r="B10634">
        <v>0</v>
      </c>
      <c r="C10634" s="44" t="s">
        <v>294</v>
      </c>
      <c r="D10634" t="s">
        <v>291</v>
      </c>
      <c r="E10634" t="s">
        <v>11767</v>
      </c>
      <c r="F10634">
        <v>3</v>
      </c>
    </row>
    <row r="10635" spans="1:6" ht="13.2">
      <c r="A10635" t="s">
        <v>11809</v>
      </c>
      <c r="B10635">
        <v>0</v>
      </c>
      <c r="C10635" s="44" t="s">
        <v>294</v>
      </c>
      <c r="D10635" t="s">
        <v>291</v>
      </c>
      <c r="E10635" t="s">
        <v>11767</v>
      </c>
      <c r="F10635">
        <v>3</v>
      </c>
    </row>
    <row r="10636" spans="1:6" ht="13.2">
      <c r="A10636" t="s">
        <v>11810</v>
      </c>
      <c r="B10636">
        <v>0</v>
      </c>
      <c r="C10636" s="44" t="s">
        <v>294</v>
      </c>
      <c r="D10636" t="s">
        <v>291</v>
      </c>
      <c r="E10636" t="s">
        <v>11767</v>
      </c>
      <c r="F10636">
        <v>3</v>
      </c>
    </row>
    <row r="10637" spans="1:6" ht="13.2">
      <c r="A10637" t="s">
        <v>11811</v>
      </c>
      <c r="B10637">
        <v>0</v>
      </c>
      <c r="C10637" s="44" t="s">
        <v>294</v>
      </c>
      <c r="D10637" t="s">
        <v>291</v>
      </c>
      <c r="E10637" t="s">
        <v>11767</v>
      </c>
      <c r="F10637">
        <v>3</v>
      </c>
    </row>
    <row r="10638" spans="1:6" ht="13.2">
      <c r="A10638" t="s">
        <v>11812</v>
      </c>
      <c r="B10638">
        <v>0</v>
      </c>
      <c r="C10638" s="44" t="s">
        <v>294</v>
      </c>
      <c r="D10638" t="s">
        <v>291</v>
      </c>
      <c r="E10638" t="s">
        <v>11767</v>
      </c>
      <c r="F10638">
        <v>3</v>
      </c>
    </row>
    <row r="10639" spans="1:6" ht="13.2">
      <c r="A10639" t="s">
        <v>11813</v>
      </c>
      <c r="B10639">
        <v>0</v>
      </c>
      <c r="C10639" s="44" t="s">
        <v>294</v>
      </c>
      <c r="D10639" t="s">
        <v>291</v>
      </c>
      <c r="E10639" t="s">
        <v>11767</v>
      </c>
      <c r="F10639">
        <v>3</v>
      </c>
    </row>
    <row r="10640" spans="1:6" ht="13.2">
      <c r="A10640" t="s">
        <v>11814</v>
      </c>
      <c r="B10640">
        <v>0</v>
      </c>
      <c r="C10640" s="44" t="s">
        <v>294</v>
      </c>
      <c r="D10640" t="s">
        <v>291</v>
      </c>
      <c r="E10640" t="s">
        <v>11767</v>
      </c>
      <c r="F10640">
        <v>3</v>
      </c>
    </row>
    <row r="10641" spans="1:6" ht="13.2">
      <c r="A10641" t="s">
        <v>11815</v>
      </c>
      <c r="B10641">
        <v>0</v>
      </c>
      <c r="C10641" s="44" t="s">
        <v>294</v>
      </c>
      <c r="D10641" t="s">
        <v>291</v>
      </c>
      <c r="E10641" t="s">
        <v>11767</v>
      </c>
      <c r="F10641">
        <v>3</v>
      </c>
    </row>
    <row r="10642" spans="1:6" ht="13.2">
      <c r="A10642" t="s">
        <v>11816</v>
      </c>
      <c r="B10642">
        <v>0</v>
      </c>
      <c r="C10642" s="44" t="s">
        <v>294</v>
      </c>
      <c r="D10642" t="s">
        <v>291</v>
      </c>
      <c r="E10642" t="s">
        <v>11767</v>
      </c>
      <c r="F10642">
        <v>3</v>
      </c>
    </row>
    <row r="10643" spans="1:6" ht="13.2">
      <c r="A10643" t="s">
        <v>11817</v>
      </c>
      <c r="B10643">
        <v>0</v>
      </c>
      <c r="C10643" s="44" t="s">
        <v>294</v>
      </c>
      <c r="D10643" t="s">
        <v>291</v>
      </c>
      <c r="E10643" t="s">
        <v>11767</v>
      </c>
      <c r="F10643">
        <v>3</v>
      </c>
    </row>
    <row r="10644" spans="1:6" ht="13.2">
      <c r="A10644" t="s">
        <v>11818</v>
      </c>
      <c r="B10644">
        <v>0</v>
      </c>
      <c r="C10644" s="44" t="s">
        <v>294</v>
      </c>
      <c r="D10644" t="s">
        <v>291</v>
      </c>
      <c r="E10644" t="s">
        <v>11767</v>
      </c>
      <c r="F10644">
        <v>3</v>
      </c>
    </row>
    <row r="10645" spans="1:6" ht="13.2">
      <c r="A10645" t="s">
        <v>11819</v>
      </c>
      <c r="B10645">
        <v>0</v>
      </c>
      <c r="C10645" s="44" t="s">
        <v>294</v>
      </c>
      <c r="D10645" t="s">
        <v>291</v>
      </c>
      <c r="E10645" t="s">
        <v>11767</v>
      </c>
      <c r="F10645">
        <v>3</v>
      </c>
    </row>
    <row r="10646" spans="1:6" ht="13.2">
      <c r="A10646" t="s">
        <v>11820</v>
      </c>
      <c r="B10646">
        <v>0</v>
      </c>
      <c r="C10646" s="44" t="s">
        <v>294</v>
      </c>
      <c r="D10646" t="s">
        <v>291</v>
      </c>
      <c r="E10646" t="s">
        <v>11767</v>
      </c>
      <c r="F10646">
        <v>3</v>
      </c>
    </row>
    <row r="10647" spans="1:6" ht="13.2">
      <c r="A10647" t="s">
        <v>11821</v>
      </c>
      <c r="B10647">
        <v>0</v>
      </c>
      <c r="C10647" s="44" t="s">
        <v>294</v>
      </c>
      <c r="D10647" t="s">
        <v>291</v>
      </c>
      <c r="E10647" t="s">
        <v>11767</v>
      </c>
      <c r="F10647">
        <v>3</v>
      </c>
    </row>
    <row r="10648" spans="1:6" ht="13.2">
      <c r="A10648" t="s">
        <v>11831</v>
      </c>
      <c r="B10648">
        <v>255</v>
      </c>
      <c r="C10648" s="44">
        <v>1370</v>
      </c>
      <c r="D10648" t="s">
        <v>291</v>
      </c>
      <c r="E10648" t="s">
        <v>11822</v>
      </c>
      <c r="F10648">
        <v>4</v>
      </c>
    </row>
    <row r="10649" spans="1:6" ht="13.2">
      <c r="A10649" t="s">
        <v>11832</v>
      </c>
      <c r="B10649">
        <v>255</v>
      </c>
      <c r="C10649" s="44">
        <v>1370</v>
      </c>
      <c r="D10649" t="s">
        <v>291</v>
      </c>
      <c r="E10649" t="s">
        <v>11822</v>
      </c>
      <c r="F10649">
        <v>4</v>
      </c>
    </row>
    <row r="10650" spans="1:6" ht="13.2">
      <c r="A10650" t="s">
        <v>11833</v>
      </c>
      <c r="B10650">
        <v>255</v>
      </c>
      <c r="C10650" s="44">
        <v>1370</v>
      </c>
      <c r="D10650" t="s">
        <v>291</v>
      </c>
      <c r="E10650" t="s">
        <v>11822</v>
      </c>
      <c r="F10650">
        <v>4</v>
      </c>
    </row>
    <row r="10651" spans="1:6" ht="13.2">
      <c r="A10651" t="s">
        <v>11834</v>
      </c>
      <c r="B10651">
        <v>255</v>
      </c>
      <c r="C10651" s="44">
        <v>1370</v>
      </c>
      <c r="D10651" t="s">
        <v>291</v>
      </c>
      <c r="E10651" t="s">
        <v>11822</v>
      </c>
      <c r="F10651">
        <v>4</v>
      </c>
    </row>
    <row r="10652" spans="1:6" ht="13.2">
      <c r="A10652" t="s">
        <v>11823</v>
      </c>
      <c r="B10652">
        <v>540</v>
      </c>
      <c r="C10652" s="44">
        <v>1400</v>
      </c>
      <c r="D10652" t="s">
        <v>291</v>
      </c>
      <c r="E10652" t="s">
        <v>256</v>
      </c>
      <c r="F10652">
        <v>4</v>
      </c>
    </row>
    <row r="10653" spans="1:6" ht="13.2">
      <c r="A10653" t="s">
        <v>11824</v>
      </c>
      <c r="B10653">
        <v>540</v>
      </c>
      <c r="C10653" s="44">
        <v>1400</v>
      </c>
      <c r="D10653" t="s">
        <v>291</v>
      </c>
      <c r="E10653" t="s">
        <v>256</v>
      </c>
      <c r="F10653">
        <v>4</v>
      </c>
    </row>
    <row r="10654" spans="1:6" ht="13.2">
      <c r="A10654" t="s">
        <v>11825</v>
      </c>
      <c r="B10654">
        <v>540</v>
      </c>
      <c r="C10654" s="44">
        <v>1400</v>
      </c>
      <c r="D10654" t="s">
        <v>291</v>
      </c>
      <c r="E10654" t="s">
        <v>256</v>
      </c>
      <c r="F10654">
        <v>4</v>
      </c>
    </row>
    <row r="10655" spans="1:6" ht="13.2">
      <c r="A10655" t="s">
        <v>11826</v>
      </c>
      <c r="B10655">
        <v>540</v>
      </c>
      <c r="C10655" s="44">
        <v>1400</v>
      </c>
      <c r="D10655" t="s">
        <v>291</v>
      </c>
      <c r="E10655" t="s">
        <v>256</v>
      </c>
      <c r="F10655">
        <v>4</v>
      </c>
    </row>
    <row r="10656" spans="1:6" ht="13.2">
      <c r="A10656" t="s">
        <v>11827</v>
      </c>
      <c r="B10656">
        <v>540</v>
      </c>
      <c r="C10656" s="44">
        <v>1400</v>
      </c>
      <c r="D10656" t="s">
        <v>291</v>
      </c>
      <c r="E10656" t="s">
        <v>256</v>
      </c>
      <c r="F10656">
        <v>4</v>
      </c>
    </row>
    <row r="10657" spans="1:6" ht="13.2">
      <c r="A10657" t="s">
        <v>11828</v>
      </c>
      <c r="B10657">
        <v>540</v>
      </c>
      <c r="C10657" s="44">
        <v>1400</v>
      </c>
      <c r="D10657" t="s">
        <v>291</v>
      </c>
      <c r="E10657" t="s">
        <v>256</v>
      </c>
      <c r="F10657">
        <v>4</v>
      </c>
    </row>
    <row r="10658" spans="1:6" ht="13.2">
      <c r="A10658" t="s">
        <v>11829</v>
      </c>
      <c r="B10658">
        <v>540</v>
      </c>
      <c r="C10658" s="44">
        <v>1400</v>
      </c>
      <c r="D10658" t="s">
        <v>291</v>
      </c>
      <c r="E10658" t="s">
        <v>256</v>
      </c>
      <c r="F10658">
        <v>4</v>
      </c>
    </row>
    <row r="10659" spans="1:6" ht="13.2">
      <c r="A10659" t="s">
        <v>11835</v>
      </c>
      <c r="B10659">
        <v>0</v>
      </c>
      <c r="C10659" s="44">
        <v>3000</v>
      </c>
      <c r="D10659" t="s">
        <v>293</v>
      </c>
      <c r="E10659" t="s">
        <v>11756</v>
      </c>
      <c r="F10659">
        <v>3</v>
      </c>
    </row>
    <row r="10660" spans="1:6" ht="13.2">
      <c r="A10660" t="s">
        <v>11836</v>
      </c>
      <c r="B10660">
        <v>0</v>
      </c>
      <c r="C10660" s="44">
        <v>3000</v>
      </c>
      <c r="D10660" t="s">
        <v>293</v>
      </c>
      <c r="E10660" t="s">
        <v>11756</v>
      </c>
      <c r="F10660">
        <v>3</v>
      </c>
    </row>
    <row r="10661" spans="1:6" ht="13.2">
      <c r="A10661" t="s">
        <v>11837</v>
      </c>
      <c r="B10661">
        <v>0</v>
      </c>
      <c r="C10661" s="44">
        <v>3000</v>
      </c>
      <c r="D10661" t="s">
        <v>293</v>
      </c>
      <c r="E10661" t="s">
        <v>11756</v>
      </c>
      <c r="F10661">
        <v>3</v>
      </c>
    </row>
    <row r="10662" spans="1:6" ht="13.2">
      <c r="A10662" t="s">
        <v>11838</v>
      </c>
      <c r="B10662">
        <v>0</v>
      </c>
      <c r="C10662" s="44">
        <v>3000</v>
      </c>
      <c r="D10662" t="s">
        <v>293</v>
      </c>
      <c r="E10662" t="s">
        <v>11756</v>
      </c>
      <c r="F10662">
        <v>3</v>
      </c>
    </row>
    <row r="10663" spans="1:6" ht="13.2">
      <c r="A10663" t="s">
        <v>11839</v>
      </c>
      <c r="B10663">
        <v>0</v>
      </c>
      <c r="C10663" s="44">
        <v>3000</v>
      </c>
      <c r="D10663" t="s">
        <v>293</v>
      </c>
      <c r="E10663" t="s">
        <v>11756</v>
      </c>
      <c r="F10663">
        <v>3</v>
      </c>
    </row>
    <row r="10664" spans="1:6" ht="13.2">
      <c r="A10664" t="s">
        <v>11840</v>
      </c>
      <c r="B10664">
        <v>0</v>
      </c>
      <c r="C10664" s="44">
        <v>3000</v>
      </c>
      <c r="D10664" t="s">
        <v>293</v>
      </c>
      <c r="E10664" t="s">
        <v>11756</v>
      </c>
      <c r="F10664">
        <v>3</v>
      </c>
    </row>
    <row r="10665" spans="1:6" ht="13.2">
      <c r="A10665" t="s">
        <v>11841</v>
      </c>
      <c r="B10665">
        <v>0</v>
      </c>
      <c r="C10665" s="44">
        <v>3000</v>
      </c>
      <c r="D10665" t="s">
        <v>293</v>
      </c>
      <c r="E10665" t="s">
        <v>11756</v>
      </c>
      <c r="F10665">
        <v>3</v>
      </c>
    </row>
    <row r="10666" spans="1:6" ht="13.2">
      <c r="A10666" t="s">
        <v>11842</v>
      </c>
      <c r="B10666">
        <v>0</v>
      </c>
      <c r="C10666" s="44">
        <v>3000</v>
      </c>
      <c r="D10666" t="s">
        <v>293</v>
      </c>
      <c r="E10666" t="s">
        <v>11756</v>
      </c>
      <c r="F10666">
        <v>3</v>
      </c>
    </row>
    <row r="10667" spans="1:6" ht="13.2">
      <c r="A10667" t="s">
        <v>11843</v>
      </c>
      <c r="B10667">
        <v>0</v>
      </c>
      <c r="C10667" s="44">
        <v>3000</v>
      </c>
      <c r="D10667" t="s">
        <v>293</v>
      </c>
      <c r="E10667" t="s">
        <v>11756</v>
      </c>
      <c r="F10667">
        <v>3</v>
      </c>
    </row>
    <row r="10668" spans="1:6" ht="13.2">
      <c r="A10668" t="s">
        <v>11844</v>
      </c>
      <c r="B10668">
        <v>0</v>
      </c>
      <c r="C10668" s="44">
        <v>3000</v>
      </c>
      <c r="D10668" t="s">
        <v>293</v>
      </c>
      <c r="E10668" t="s">
        <v>11756</v>
      </c>
      <c r="F10668">
        <v>3</v>
      </c>
    </row>
    <row r="10669" spans="1:6" ht="13.2">
      <c r="A10669" t="s">
        <v>11845</v>
      </c>
      <c r="B10669">
        <v>0</v>
      </c>
      <c r="C10669" s="44">
        <v>3000</v>
      </c>
      <c r="D10669" t="s">
        <v>293</v>
      </c>
      <c r="E10669" t="s">
        <v>11756</v>
      </c>
      <c r="F10669">
        <v>3</v>
      </c>
    </row>
    <row r="10670" spans="1:6" ht="13.2">
      <c r="A10670" t="s">
        <v>11846</v>
      </c>
      <c r="B10670">
        <v>0</v>
      </c>
      <c r="C10670" s="44">
        <v>3000</v>
      </c>
      <c r="D10670" t="s">
        <v>293</v>
      </c>
      <c r="E10670" t="s">
        <v>11756</v>
      </c>
      <c r="F10670">
        <v>3</v>
      </c>
    </row>
    <row r="10671" spans="1:6" ht="13.2">
      <c r="A10671" t="s">
        <v>11847</v>
      </c>
      <c r="B10671">
        <v>0</v>
      </c>
      <c r="C10671" s="44">
        <v>3000</v>
      </c>
      <c r="D10671" t="s">
        <v>293</v>
      </c>
      <c r="E10671" t="s">
        <v>11756</v>
      </c>
      <c r="F10671">
        <v>3</v>
      </c>
    </row>
    <row r="10672" spans="1:6" ht="13.2">
      <c r="A10672" t="s">
        <v>11848</v>
      </c>
      <c r="B10672">
        <v>0</v>
      </c>
      <c r="C10672" s="44">
        <v>3000</v>
      </c>
      <c r="D10672" t="s">
        <v>293</v>
      </c>
      <c r="E10672" t="s">
        <v>11756</v>
      </c>
      <c r="F10672">
        <v>3</v>
      </c>
    </row>
    <row r="10673" spans="1:6" ht="13.2">
      <c r="A10673" t="s">
        <v>11849</v>
      </c>
      <c r="B10673">
        <v>0</v>
      </c>
      <c r="C10673" s="44">
        <v>3000</v>
      </c>
      <c r="D10673" t="s">
        <v>293</v>
      </c>
      <c r="E10673" t="s">
        <v>11756</v>
      </c>
      <c r="F10673">
        <v>3</v>
      </c>
    </row>
    <row r="10674" spans="1:6" ht="13.2">
      <c r="A10674" t="s">
        <v>11850</v>
      </c>
      <c r="B10674">
        <v>0</v>
      </c>
      <c r="C10674" s="44">
        <v>3000</v>
      </c>
      <c r="D10674" t="s">
        <v>293</v>
      </c>
      <c r="E10674" t="s">
        <v>11756</v>
      </c>
      <c r="F10674">
        <v>3</v>
      </c>
    </row>
    <row r="10675" spans="1:6" ht="13.2">
      <c r="A10675" t="s">
        <v>11851</v>
      </c>
      <c r="B10675">
        <v>0</v>
      </c>
      <c r="C10675" s="44">
        <v>3000</v>
      </c>
      <c r="D10675" t="s">
        <v>293</v>
      </c>
      <c r="E10675" t="s">
        <v>11756</v>
      </c>
      <c r="F10675">
        <v>3</v>
      </c>
    </row>
    <row r="10676" spans="1:6" ht="13.2">
      <c r="A10676" t="s">
        <v>11852</v>
      </c>
      <c r="B10676">
        <v>0</v>
      </c>
      <c r="C10676" s="44">
        <v>3000</v>
      </c>
      <c r="D10676" t="s">
        <v>293</v>
      </c>
      <c r="E10676" t="s">
        <v>11756</v>
      </c>
      <c r="F10676">
        <v>3</v>
      </c>
    </row>
    <row r="10677" spans="1:6" ht="13.2">
      <c r="A10677" t="s">
        <v>11853</v>
      </c>
      <c r="B10677">
        <v>0</v>
      </c>
      <c r="C10677" s="44">
        <v>3000</v>
      </c>
      <c r="D10677" t="s">
        <v>293</v>
      </c>
      <c r="E10677" t="s">
        <v>11756</v>
      </c>
      <c r="F10677">
        <v>3</v>
      </c>
    </row>
    <row r="10678" spans="1:6" ht="13.2">
      <c r="A10678" t="s">
        <v>11854</v>
      </c>
      <c r="B10678">
        <v>0</v>
      </c>
      <c r="C10678" s="44">
        <v>3000</v>
      </c>
      <c r="D10678" t="s">
        <v>293</v>
      </c>
      <c r="E10678" t="s">
        <v>11756</v>
      </c>
      <c r="F10678">
        <v>3</v>
      </c>
    </row>
    <row r="10679" spans="1:6" ht="13.2">
      <c r="A10679" t="s">
        <v>11855</v>
      </c>
      <c r="B10679">
        <v>0</v>
      </c>
      <c r="C10679" s="44">
        <v>3000</v>
      </c>
      <c r="D10679" t="s">
        <v>293</v>
      </c>
      <c r="E10679" t="s">
        <v>11756</v>
      </c>
      <c r="F10679">
        <v>3</v>
      </c>
    </row>
    <row r="10680" spans="1:6" ht="13.2">
      <c r="A10680" t="s">
        <v>11856</v>
      </c>
      <c r="B10680">
        <v>0</v>
      </c>
      <c r="C10680" s="44">
        <v>3000</v>
      </c>
      <c r="D10680" t="s">
        <v>291</v>
      </c>
      <c r="E10680" t="s">
        <v>11756</v>
      </c>
      <c r="F10680">
        <v>3</v>
      </c>
    </row>
    <row r="10681" spans="1:6" ht="13.2">
      <c r="A10681" t="s">
        <v>11857</v>
      </c>
      <c r="B10681">
        <v>0</v>
      </c>
      <c r="C10681" s="44">
        <v>3000</v>
      </c>
      <c r="D10681" t="s">
        <v>291</v>
      </c>
      <c r="E10681" t="s">
        <v>11756</v>
      </c>
      <c r="F10681">
        <v>3</v>
      </c>
    </row>
    <row r="10682" spans="1:6" ht="13.2">
      <c r="A10682" t="s">
        <v>11858</v>
      </c>
      <c r="B10682">
        <v>0</v>
      </c>
      <c r="C10682" s="44">
        <v>3000</v>
      </c>
      <c r="D10682" t="s">
        <v>291</v>
      </c>
      <c r="E10682" t="s">
        <v>11756</v>
      </c>
      <c r="F10682">
        <v>3</v>
      </c>
    </row>
    <row r="10683" spans="1:6" ht="13.2">
      <c r="A10683" t="s">
        <v>11859</v>
      </c>
      <c r="B10683">
        <v>0</v>
      </c>
      <c r="C10683" s="44">
        <v>3000</v>
      </c>
      <c r="D10683" t="s">
        <v>291</v>
      </c>
      <c r="E10683" t="s">
        <v>11756</v>
      </c>
      <c r="F10683">
        <v>3</v>
      </c>
    </row>
    <row r="10684" spans="1:6" ht="13.2">
      <c r="A10684" t="s">
        <v>11860</v>
      </c>
      <c r="B10684">
        <v>0</v>
      </c>
      <c r="C10684" s="44">
        <v>3000</v>
      </c>
      <c r="D10684" t="s">
        <v>291</v>
      </c>
      <c r="E10684" t="s">
        <v>11756</v>
      </c>
      <c r="F10684">
        <v>3</v>
      </c>
    </row>
    <row r="10685" spans="1:6" ht="13.2">
      <c r="A10685" t="s">
        <v>11861</v>
      </c>
      <c r="B10685">
        <v>0</v>
      </c>
      <c r="C10685" s="44">
        <v>3000</v>
      </c>
      <c r="D10685" t="s">
        <v>291</v>
      </c>
      <c r="E10685" t="s">
        <v>11756</v>
      </c>
      <c r="F10685">
        <v>3</v>
      </c>
    </row>
    <row r="10686" spans="1:6" ht="13.2">
      <c r="A10686" t="s">
        <v>11862</v>
      </c>
      <c r="B10686">
        <v>0</v>
      </c>
      <c r="C10686" s="44">
        <v>3000</v>
      </c>
      <c r="D10686" t="s">
        <v>291</v>
      </c>
      <c r="E10686" t="s">
        <v>11756</v>
      </c>
      <c r="F10686">
        <v>3</v>
      </c>
    </row>
    <row r="10687" spans="1:6" ht="13.2">
      <c r="A10687" t="s">
        <v>11863</v>
      </c>
      <c r="B10687">
        <v>0</v>
      </c>
      <c r="C10687" s="44">
        <v>3000</v>
      </c>
      <c r="D10687" t="s">
        <v>291</v>
      </c>
      <c r="E10687" t="s">
        <v>11756</v>
      </c>
      <c r="F10687">
        <v>3</v>
      </c>
    </row>
    <row r="10688" spans="1:6" ht="13.2">
      <c r="A10688" t="s">
        <v>11864</v>
      </c>
      <c r="B10688">
        <v>0</v>
      </c>
      <c r="C10688" s="44">
        <v>3000</v>
      </c>
      <c r="D10688" t="s">
        <v>291</v>
      </c>
      <c r="E10688" t="s">
        <v>11756</v>
      </c>
      <c r="F10688">
        <v>3</v>
      </c>
    </row>
    <row r="10689" spans="1:6" ht="13.2">
      <c r="A10689" t="s">
        <v>11865</v>
      </c>
      <c r="B10689">
        <v>0</v>
      </c>
      <c r="C10689" s="44">
        <v>3000</v>
      </c>
      <c r="D10689" t="s">
        <v>291</v>
      </c>
      <c r="E10689" t="s">
        <v>11756</v>
      </c>
      <c r="F10689">
        <v>3</v>
      </c>
    </row>
    <row r="10690" spans="1:6" ht="13.2">
      <c r="A10690" t="s">
        <v>11866</v>
      </c>
      <c r="B10690">
        <v>0</v>
      </c>
      <c r="C10690" s="44">
        <v>3000</v>
      </c>
      <c r="D10690" t="s">
        <v>291</v>
      </c>
      <c r="E10690" t="s">
        <v>11756</v>
      </c>
      <c r="F10690">
        <v>3</v>
      </c>
    </row>
    <row r="10691" spans="1:6" ht="13.2">
      <c r="A10691" t="s">
        <v>11867</v>
      </c>
      <c r="B10691">
        <v>0</v>
      </c>
      <c r="C10691" s="44">
        <v>3000</v>
      </c>
      <c r="D10691" t="s">
        <v>291</v>
      </c>
      <c r="E10691" t="s">
        <v>11756</v>
      </c>
      <c r="F10691">
        <v>3</v>
      </c>
    </row>
    <row r="10692" spans="1:6" ht="13.2">
      <c r="A10692" t="s">
        <v>11868</v>
      </c>
      <c r="B10692">
        <v>0</v>
      </c>
      <c r="C10692" s="44">
        <v>3000</v>
      </c>
      <c r="D10692" t="s">
        <v>291</v>
      </c>
      <c r="E10692" t="s">
        <v>11756</v>
      </c>
      <c r="F10692">
        <v>3</v>
      </c>
    </row>
    <row r="10693" spans="1:6" ht="13.2">
      <c r="A10693" t="s">
        <v>11869</v>
      </c>
      <c r="B10693">
        <v>0</v>
      </c>
      <c r="C10693" s="44">
        <v>3000</v>
      </c>
      <c r="D10693" t="s">
        <v>291</v>
      </c>
      <c r="E10693" t="s">
        <v>11756</v>
      </c>
      <c r="F10693">
        <v>3</v>
      </c>
    </row>
    <row r="10694" spans="1:6" ht="13.2">
      <c r="A10694" t="s">
        <v>11870</v>
      </c>
      <c r="B10694">
        <v>0</v>
      </c>
      <c r="C10694" s="44">
        <v>3000</v>
      </c>
      <c r="D10694" t="s">
        <v>291</v>
      </c>
      <c r="E10694" t="s">
        <v>11756</v>
      </c>
      <c r="F10694">
        <v>3</v>
      </c>
    </row>
    <row r="10695" spans="1:6" ht="13.2">
      <c r="A10695" t="s">
        <v>11871</v>
      </c>
      <c r="B10695">
        <v>0</v>
      </c>
      <c r="C10695" s="44">
        <v>3000</v>
      </c>
      <c r="D10695" t="s">
        <v>291</v>
      </c>
      <c r="E10695" t="s">
        <v>11756</v>
      </c>
      <c r="F10695">
        <v>3</v>
      </c>
    </row>
    <row r="10696" spans="1:6" ht="13.2">
      <c r="A10696" t="s">
        <v>11872</v>
      </c>
      <c r="B10696">
        <v>0</v>
      </c>
      <c r="C10696" s="44">
        <v>3000</v>
      </c>
      <c r="D10696" t="s">
        <v>291</v>
      </c>
      <c r="E10696" t="s">
        <v>11756</v>
      </c>
      <c r="F10696">
        <v>3</v>
      </c>
    </row>
    <row r="10697" spans="1:6" ht="13.2">
      <c r="A10697" t="s">
        <v>11873</v>
      </c>
      <c r="B10697">
        <v>0</v>
      </c>
      <c r="C10697" s="44">
        <v>3000</v>
      </c>
      <c r="D10697" t="s">
        <v>291</v>
      </c>
      <c r="E10697" t="s">
        <v>11756</v>
      </c>
      <c r="F10697">
        <v>3</v>
      </c>
    </row>
    <row r="10698" spans="1:6" ht="13.2">
      <c r="A10698" t="s">
        <v>11874</v>
      </c>
      <c r="B10698">
        <v>0</v>
      </c>
      <c r="C10698" s="44">
        <v>3000</v>
      </c>
      <c r="D10698" t="s">
        <v>291</v>
      </c>
      <c r="E10698" t="s">
        <v>11756</v>
      </c>
      <c r="F10698">
        <v>3</v>
      </c>
    </row>
    <row r="10699" spans="1:6" ht="13.2">
      <c r="A10699" t="s">
        <v>11875</v>
      </c>
      <c r="B10699">
        <v>0</v>
      </c>
      <c r="C10699" s="44">
        <v>3000</v>
      </c>
      <c r="D10699" t="s">
        <v>291</v>
      </c>
      <c r="E10699" t="s">
        <v>11756</v>
      </c>
      <c r="F10699">
        <v>3</v>
      </c>
    </row>
    <row r="10700" spans="1:6" ht="13.2">
      <c r="A10700" t="s">
        <v>11876</v>
      </c>
      <c r="B10700">
        <v>0</v>
      </c>
      <c r="C10700" s="44">
        <v>3000</v>
      </c>
      <c r="D10700" t="s">
        <v>291</v>
      </c>
      <c r="E10700" t="s">
        <v>11756</v>
      </c>
      <c r="F10700">
        <v>3</v>
      </c>
    </row>
    <row r="10701" spans="1:6" ht="13.2">
      <c r="A10701" t="s">
        <v>11879</v>
      </c>
      <c r="B10701">
        <v>0</v>
      </c>
      <c r="C10701" s="44" t="s">
        <v>203</v>
      </c>
      <c r="D10701" t="s">
        <v>293</v>
      </c>
      <c r="E10701" t="s">
        <v>7674</v>
      </c>
      <c r="F10701">
        <v>4</v>
      </c>
    </row>
    <row r="10702" spans="1:6" ht="13.2">
      <c r="A10702" t="s">
        <v>11880</v>
      </c>
      <c r="B10702">
        <v>0</v>
      </c>
      <c r="C10702" s="44" t="s">
        <v>203</v>
      </c>
      <c r="D10702" t="s">
        <v>293</v>
      </c>
      <c r="E10702" t="s">
        <v>7674</v>
      </c>
      <c r="F10702">
        <v>4</v>
      </c>
    </row>
    <row r="10703" spans="1:6" ht="13.2">
      <c r="A10703" t="s">
        <v>11881</v>
      </c>
      <c r="B10703">
        <v>0</v>
      </c>
      <c r="C10703" s="44" t="s">
        <v>203</v>
      </c>
      <c r="D10703" t="s">
        <v>293</v>
      </c>
      <c r="E10703" t="s">
        <v>7674</v>
      </c>
      <c r="F10703">
        <v>4</v>
      </c>
    </row>
    <row r="10704" spans="1:6" ht="13.2">
      <c r="A10704" t="s">
        <v>11882</v>
      </c>
      <c r="B10704">
        <v>0</v>
      </c>
      <c r="C10704" s="44" t="s">
        <v>203</v>
      </c>
      <c r="D10704" t="s">
        <v>293</v>
      </c>
      <c r="E10704" t="s">
        <v>7674</v>
      </c>
      <c r="F10704">
        <v>4</v>
      </c>
    </row>
    <row r="10705" spans="1:6" ht="13.2">
      <c r="A10705" t="s">
        <v>11883</v>
      </c>
      <c r="B10705">
        <v>0</v>
      </c>
      <c r="C10705" s="44" t="s">
        <v>203</v>
      </c>
      <c r="D10705" t="s">
        <v>293</v>
      </c>
      <c r="E10705" t="s">
        <v>7674</v>
      </c>
      <c r="F10705">
        <v>4</v>
      </c>
    </row>
    <row r="10706" spans="1:6" ht="13.2">
      <c r="A10706" t="s">
        <v>11884</v>
      </c>
      <c r="B10706">
        <v>0</v>
      </c>
      <c r="C10706" s="44" t="s">
        <v>203</v>
      </c>
      <c r="D10706" t="s">
        <v>293</v>
      </c>
      <c r="E10706" t="s">
        <v>7674</v>
      </c>
      <c r="F10706">
        <v>4</v>
      </c>
    </row>
    <row r="10707" spans="1:6" ht="13.2">
      <c r="A10707" t="s">
        <v>11885</v>
      </c>
      <c r="B10707">
        <v>0</v>
      </c>
      <c r="C10707" s="44" t="s">
        <v>203</v>
      </c>
      <c r="D10707" t="s">
        <v>293</v>
      </c>
      <c r="E10707" t="s">
        <v>7674</v>
      </c>
      <c r="F10707">
        <v>4</v>
      </c>
    </row>
    <row r="10708" spans="1:6" ht="13.2">
      <c r="A10708" t="s">
        <v>11886</v>
      </c>
      <c r="B10708">
        <v>453</v>
      </c>
      <c r="C10708" s="44">
        <v>1500</v>
      </c>
      <c r="D10708" t="s">
        <v>291</v>
      </c>
      <c r="E10708" t="s">
        <v>11756</v>
      </c>
      <c r="F10708">
        <v>3</v>
      </c>
    </row>
    <row r="10709" spans="1:6" ht="13.2">
      <c r="A10709" t="s">
        <v>11887</v>
      </c>
      <c r="B10709">
        <v>453</v>
      </c>
      <c r="C10709" s="44">
        <v>1500</v>
      </c>
      <c r="D10709" t="s">
        <v>291</v>
      </c>
      <c r="E10709" t="s">
        <v>11756</v>
      </c>
      <c r="F10709">
        <v>3</v>
      </c>
    </row>
    <row r="10710" spans="1:6" ht="13.2">
      <c r="A10710" t="s">
        <v>11888</v>
      </c>
      <c r="B10710">
        <v>453</v>
      </c>
      <c r="C10710" s="44">
        <v>1500</v>
      </c>
      <c r="D10710" t="s">
        <v>291</v>
      </c>
      <c r="E10710" t="s">
        <v>11756</v>
      </c>
      <c r="F10710">
        <v>3</v>
      </c>
    </row>
    <row r="10711" spans="1:6" ht="13.2">
      <c r="A10711" t="s">
        <v>11889</v>
      </c>
      <c r="B10711">
        <v>453</v>
      </c>
      <c r="C10711" s="44">
        <v>1500</v>
      </c>
      <c r="D10711" t="s">
        <v>291</v>
      </c>
      <c r="E10711" t="s">
        <v>11756</v>
      </c>
      <c r="F10711">
        <v>3</v>
      </c>
    </row>
    <row r="10712" spans="1:6" ht="13.2">
      <c r="A10712" t="s">
        <v>11890</v>
      </c>
      <c r="B10712">
        <v>453</v>
      </c>
      <c r="C10712" s="44">
        <v>1500</v>
      </c>
      <c r="D10712" t="s">
        <v>291</v>
      </c>
      <c r="E10712" t="s">
        <v>11756</v>
      </c>
      <c r="F10712">
        <v>3</v>
      </c>
    </row>
    <row r="10713" spans="1:6" ht="13.2">
      <c r="A10713" t="s">
        <v>11891</v>
      </c>
      <c r="B10713">
        <v>0</v>
      </c>
      <c r="C10713" s="44" t="s">
        <v>352</v>
      </c>
      <c r="D10713" t="s">
        <v>293</v>
      </c>
      <c r="E10713" t="s">
        <v>7674</v>
      </c>
      <c r="F10713">
        <v>4</v>
      </c>
    </row>
    <row r="10714" spans="1:6" ht="13.2">
      <c r="A10714" t="s">
        <v>11892</v>
      </c>
      <c r="B10714">
        <v>0</v>
      </c>
      <c r="C10714" s="44" t="s">
        <v>352</v>
      </c>
      <c r="D10714" t="s">
        <v>293</v>
      </c>
      <c r="E10714" t="s">
        <v>7674</v>
      </c>
      <c r="F10714">
        <v>4</v>
      </c>
    </row>
    <row r="10715" spans="1:6" ht="13.2">
      <c r="A10715" t="s">
        <v>11893</v>
      </c>
      <c r="B10715">
        <v>0</v>
      </c>
      <c r="C10715" s="44" t="s">
        <v>352</v>
      </c>
      <c r="D10715" t="s">
        <v>293</v>
      </c>
      <c r="E10715" t="s">
        <v>7674</v>
      </c>
      <c r="F10715">
        <v>4</v>
      </c>
    </row>
    <row r="10716" spans="1:6" ht="13.2">
      <c r="A10716" t="s">
        <v>11894</v>
      </c>
      <c r="B10716">
        <v>0</v>
      </c>
      <c r="C10716" s="44" t="s">
        <v>352</v>
      </c>
      <c r="D10716" t="s">
        <v>293</v>
      </c>
      <c r="E10716" t="s">
        <v>7674</v>
      </c>
      <c r="F10716">
        <v>4</v>
      </c>
    </row>
    <row r="10717" spans="1:6" ht="13.2">
      <c r="A10717" t="s">
        <v>11895</v>
      </c>
      <c r="B10717">
        <v>0</v>
      </c>
      <c r="C10717" s="44" t="s">
        <v>352</v>
      </c>
      <c r="D10717" t="s">
        <v>293</v>
      </c>
      <c r="E10717" t="s">
        <v>7674</v>
      </c>
      <c r="F10717">
        <v>4</v>
      </c>
    </row>
    <row r="10718" spans="1:6" ht="13.2">
      <c r="A10718" t="s">
        <v>11896</v>
      </c>
      <c r="B10718">
        <v>0</v>
      </c>
      <c r="C10718" s="44" t="s">
        <v>352</v>
      </c>
      <c r="D10718" t="s">
        <v>293</v>
      </c>
      <c r="E10718" t="s">
        <v>7674</v>
      </c>
      <c r="F10718">
        <v>4</v>
      </c>
    </row>
    <row r="10719" spans="1:6" ht="13.2">
      <c r="A10719" t="s">
        <v>11897</v>
      </c>
      <c r="B10719">
        <v>0</v>
      </c>
      <c r="C10719" s="44" t="s">
        <v>201</v>
      </c>
      <c r="D10719" t="s">
        <v>293</v>
      </c>
      <c r="E10719" t="s">
        <v>7674</v>
      </c>
      <c r="F10719">
        <v>4</v>
      </c>
    </row>
    <row r="10720" spans="1:6" ht="13.2">
      <c r="A10720" t="s">
        <v>11898</v>
      </c>
      <c r="B10720">
        <v>0</v>
      </c>
      <c r="C10720" s="44" t="s">
        <v>201</v>
      </c>
      <c r="D10720" t="s">
        <v>293</v>
      </c>
      <c r="E10720" t="s">
        <v>7674</v>
      </c>
      <c r="F10720">
        <v>4</v>
      </c>
    </row>
    <row r="10721" spans="1:6" ht="13.2">
      <c r="A10721" t="s">
        <v>11899</v>
      </c>
      <c r="B10721">
        <v>0</v>
      </c>
      <c r="C10721" s="44" t="s">
        <v>201</v>
      </c>
      <c r="D10721" t="s">
        <v>293</v>
      </c>
      <c r="E10721" t="s">
        <v>7674</v>
      </c>
      <c r="F10721">
        <v>4</v>
      </c>
    </row>
    <row r="10722" spans="1:6" ht="13.2">
      <c r="A10722" t="s">
        <v>11900</v>
      </c>
      <c r="B10722">
        <v>0</v>
      </c>
      <c r="C10722" s="44" t="s">
        <v>201</v>
      </c>
      <c r="D10722" t="s">
        <v>293</v>
      </c>
      <c r="E10722" t="s">
        <v>7674</v>
      </c>
      <c r="F10722">
        <v>4</v>
      </c>
    </row>
    <row r="10723" spans="1:6" ht="13.2">
      <c r="A10723" t="s">
        <v>11901</v>
      </c>
      <c r="B10723">
        <v>0</v>
      </c>
      <c r="C10723" s="44" t="s">
        <v>201</v>
      </c>
      <c r="D10723" t="s">
        <v>293</v>
      </c>
      <c r="E10723" t="s">
        <v>7674</v>
      </c>
      <c r="F10723">
        <v>4</v>
      </c>
    </row>
    <row r="10724" spans="1:6" ht="13.2">
      <c r="A10724" t="s">
        <v>11902</v>
      </c>
      <c r="B10724">
        <v>0</v>
      </c>
      <c r="C10724" s="44" t="s">
        <v>201</v>
      </c>
      <c r="D10724" t="s">
        <v>293</v>
      </c>
      <c r="E10724" t="s">
        <v>7674</v>
      </c>
      <c r="F10724">
        <v>4</v>
      </c>
    </row>
    <row r="10725" spans="1:6" ht="13.2">
      <c r="A10725" t="s">
        <v>11903</v>
      </c>
      <c r="B10725">
        <v>0</v>
      </c>
      <c r="C10725" s="44" t="s">
        <v>201</v>
      </c>
      <c r="D10725" t="s">
        <v>293</v>
      </c>
      <c r="E10725" t="s">
        <v>7674</v>
      </c>
      <c r="F10725">
        <v>4</v>
      </c>
    </row>
    <row r="10726" spans="1:6" ht="13.2">
      <c r="A10726" t="s">
        <v>11904</v>
      </c>
      <c r="B10726">
        <v>0</v>
      </c>
      <c r="C10726" s="44" t="s">
        <v>201</v>
      </c>
      <c r="D10726" t="s">
        <v>293</v>
      </c>
      <c r="E10726" t="s">
        <v>7674</v>
      </c>
      <c r="F10726">
        <v>4</v>
      </c>
    </row>
    <row r="10727" spans="1:6" ht="13.2">
      <c r="A10727" t="s">
        <v>11905</v>
      </c>
      <c r="B10727">
        <v>0</v>
      </c>
      <c r="C10727" s="44" t="s">
        <v>201</v>
      </c>
      <c r="D10727" t="s">
        <v>293</v>
      </c>
      <c r="E10727" t="s">
        <v>7674</v>
      </c>
      <c r="F10727">
        <v>4</v>
      </c>
    </row>
    <row r="10728" spans="1:6" ht="13.2">
      <c r="A10728" t="s">
        <v>11906</v>
      </c>
      <c r="B10728">
        <v>0</v>
      </c>
      <c r="C10728" s="44" t="s">
        <v>201</v>
      </c>
      <c r="D10728" t="s">
        <v>293</v>
      </c>
      <c r="E10728" t="s">
        <v>7674</v>
      </c>
      <c r="F10728">
        <v>4</v>
      </c>
    </row>
    <row r="10729" spans="1:6" ht="13.2">
      <c r="A10729" t="s">
        <v>11907</v>
      </c>
      <c r="B10729">
        <v>0</v>
      </c>
      <c r="C10729" s="44" t="s">
        <v>201</v>
      </c>
      <c r="D10729" t="s">
        <v>293</v>
      </c>
      <c r="E10729" t="s">
        <v>7674</v>
      </c>
      <c r="F10729">
        <v>4</v>
      </c>
    </row>
    <row r="10730" spans="1:6" ht="13.2">
      <c r="A10730" t="s">
        <v>11908</v>
      </c>
      <c r="B10730">
        <v>0</v>
      </c>
      <c r="C10730" s="44" t="s">
        <v>201</v>
      </c>
      <c r="D10730" t="s">
        <v>293</v>
      </c>
      <c r="E10730" t="s">
        <v>7674</v>
      </c>
      <c r="F10730">
        <v>4</v>
      </c>
    </row>
    <row r="10731" spans="1:6" ht="13.2">
      <c r="A10731" t="s">
        <v>11909</v>
      </c>
      <c r="B10731">
        <v>0</v>
      </c>
      <c r="C10731" s="44" t="s">
        <v>201</v>
      </c>
      <c r="D10731" t="s">
        <v>293</v>
      </c>
      <c r="E10731" t="s">
        <v>7674</v>
      </c>
      <c r="F10731">
        <v>4</v>
      </c>
    </row>
    <row r="10732" spans="1:6" ht="13.2">
      <c r="A10732" t="s">
        <v>11920</v>
      </c>
      <c r="B10732">
        <v>0</v>
      </c>
      <c r="C10732" s="44">
        <v>3000</v>
      </c>
      <c r="D10732" t="s">
        <v>293</v>
      </c>
      <c r="E10732" t="s">
        <v>256</v>
      </c>
      <c r="F10732">
        <v>4</v>
      </c>
    </row>
    <row r="10733" spans="1:6" ht="13.2">
      <c r="A10733" t="s">
        <v>11921</v>
      </c>
      <c r="B10733">
        <v>0</v>
      </c>
      <c r="C10733" s="44">
        <v>3000</v>
      </c>
      <c r="D10733" t="s">
        <v>293</v>
      </c>
      <c r="E10733" t="s">
        <v>256</v>
      </c>
      <c r="F10733">
        <v>4</v>
      </c>
    </row>
    <row r="10734" spans="1:6" ht="13.2">
      <c r="A10734" t="s">
        <v>11922</v>
      </c>
      <c r="B10734">
        <v>0</v>
      </c>
      <c r="C10734" s="44">
        <v>3000</v>
      </c>
      <c r="D10734" t="s">
        <v>293</v>
      </c>
      <c r="E10734" t="s">
        <v>256</v>
      </c>
      <c r="F10734">
        <v>4</v>
      </c>
    </row>
    <row r="10735" spans="1:6" ht="13.2">
      <c r="A10735" t="s">
        <v>11923</v>
      </c>
      <c r="B10735">
        <v>0</v>
      </c>
      <c r="C10735" s="44">
        <v>3000</v>
      </c>
      <c r="D10735" t="s">
        <v>293</v>
      </c>
      <c r="E10735" t="s">
        <v>256</v>
      </c>
      <c r="F10735">
        <v>4</v>
      </c>
    </row>
    <row r="10736" spans="1:6" ht="13.2">
      <c r="A10736" t="s">
        <v>11924</v>
      </c>
      <c r="B10736">
        <v>0</v>
      </c>
      <c r="C10736" s="44">
        <v>3000</v>
      </c>
      <c r="D10736" t="s">
        <v>293</v>
      </c>
      <c r="E10736" t="s">
        <v>256</v>
      </c>
      <c r="F10736">
        <v>4</v>
      </c>
    </row>
    <row r="10737" spans="1:6" ht="13.2">
      <c r="A10737" t="s">
        <v>11925</v>
      </c>
      <c r="B10737">
        <v>0</v>
      </c>
      <c r="C10737" s="44">
        <v>3000</v>
      </c>
      <c r="D10737" t="s">
        <v>293</v>
      </c>
      <c r="E10737" t="s">
        <v>256</v>
      </c>
      <c r="F10737">
        <v>4</v>
      </c>
    </row>
    <row r="10738" spans="1:6" ht="13.2">
      <c r="A10738" t="s">
        <v>11926</v>
      </c>
      <c r="B10738">
        <v>0</v>
      </c>
      <c r="C10738" s="44">
        <v>3000</v>
      </c>
      <c r="D10738" t="s">
        <v>293</v>
      </c>
      <c r="E10738" t="s">
        <v>256</v>
      </c>
      <c r="F10738">
        <v>4</v>
      </c>
    </row>
    <row r="10739" spans="1:6" ht="13.2">
      <c r="A10739" t="s">
        <v>11927</v>
      </c>
      <c r="B10739">
        <v>0</v>
      </c>
      <c r="C10739" s="44">
        <v>3000</v>
      </c>
      <c r="D10739" t="s">
        <v>293</v>
      </c>
      <c r="E10739" t="s">
        <v>256</v>
      </c>
      <c r="F10739">
        <v>4</v>
      </c>
    </row>
    <row r="10740" spans="1:6" ht="13.2">
      <c r="A10740" t="s">
        <v>11928</v>
      </c>
      <c r="B10740">
        <v>0</v>
      </c>
      <c r="C10740" s="44">
        <v>3000</v>
      </c>
      <c r="D10740" t="s">
        <v>293</v>
      </c>
      <c r="E10740" t="s">
        <v>256</v>
      </c>
      <c r="F10740">
        <v>4</v>
      </c>
    </row>
    <row r="10741" spans="1:6" ht="13.2">
      <c r="A10741" t="s">
        <v>11929</v>
      </c>
      <c r="B10741">
        <v>0</v>
      </c>
      <c r="C10741" s="44">
        <v>3000</v>
      </c>
      <c r="D10741" t="s">
        <v>293</v>
      </c>
      <c r="E10741" t="s">
        <v>256</v>
      </c>
      <c r="F10741">
        <v>4</v>
      </c>
    </row>
    <row r="10742" spans="1:6" ht="13.2">
      <c r="A10742" t="s">
        <v>11930</v>
      </c>
      <c r="B10742">
        <v>0</v>
      </c>
      <c r="C10742" s="44">
        <v>3000</v>
      </c>
      <c r="D10742" t="s">
        <v>293</v>
      </c>
      <c r="E10742" t="s">
        <v>256</v>
      </c>
      <c r="F10742">
        <v>4</v>
      </c>
    </row>
    <row r="10743" spans="1:6" ht="13.2">
      <c r="A10743" t="s">
        <v>11931</v>
      </c>
      <c r="B10743">
        <v>0</v>
      </c>
      <c r="C10743" s="44">
        <v>3000</v>
      </c>
      <c r="D10743" t="s">
        <v>293</v>
      </c>
      <c r="E10743" t="s">
        <v>256</v>
      </c>
      <c r="F10743">
        <v>4</v>
      </c>
    </row>
    <row r="10744" spans="1:6" ht="13.2">
      <c r="A10744" t="s">
        <v>11932</v>
      </c>
      <c r="B10744">
        <v>0</v>
      </c>
      <c r="C10744" s="44">
        <v>3000</v>
      </c>
      <c r="D10744" t="s">
        <v>293</v>
      </c>
      <c r="E10744" t="s">
        <v>256</v>
      </c>
      <c r="F10744">
        <v>4</v>
      </c>
    </row>
    <row r="10745" spans="1:6" ht="13.2">
      <c r="A10745" t="s">
        <v>11933</v>
      </c>
      <c r="B10745">
        <v>0</v>
      </c>
      <c r="C10745" s="44">
        <v>3000</v>
      </c>
      <c r="D10745" t="s">
        <v>293</v>
      </c>
      <c r="E10745" t="s">
        <v>256</v>
      </c>
      <c r="F10745">
        <v>4</v>
      </c>
    </row>
    <row r="10746" spans="1:6" ht="13.2">
      <c r="A10746" t="s">
        <v>11934</v>
      </c>
      <c r="B10746">
        <v>0</v>
      </c>
      <c r="C10746" s="44">
        <v>3000</v>
      </c>
      <c r="D10746" t="s">
        <v>293</v>
      </c>
      <c r="E10746" t="s">
        <v>256</v>
      </c>
      <c r="F10746">
        <v>4</v>
      </c>
    </row>
    <row r="10747" spans="1:6" ht="13.2">
      <c r="A10747" t="s">
        <v>11935</v>
      </c>
      <c r="B10747">
        <v>0</v>
      </c>
      <c r="C10747" s="44">
        <v>3000</v>
      </c>
      <c r="D10747" t="s">
        <v>293</v>
      </c>
      <c r="E10747" t="s">
        <v>256</v>
      </c>
      <c r="F10747">
        <v>4</v>
      </c>
    </row>
    <row r="10748" spans="1:6" ht="13.2">
      <c r="A10748" t="s">
        <v>11936</v>
      </c>
      <c r="B10748">
        <v>0</v>
      </c>
      <c r="C10748" s="44">
        <v>3000</v>
      </c>
      <c r="D10748" t="s">
        <v>293</v>
      </c>
      <c r="E10748" t="s">
        <v>256</v>
      </c>
      <c r="F10748">
        <v>4</v>
      </c>
    </row>
    <row r="10749" spans="1:6" ht="13.2">
      <c r="A10749" t="s">
        <v>11937</v>
      </c>
      <c r="B10749">
        <v>0</v>
      </c>
      <c r="C10749" s="44">
        <v>3000</v>
      </c>
      <c r="D10749" t="s">
        <v>293</v>
      </c>
      <c r="E10749" t="s">
        <v>256</v>
      </c>
      <c r="F10749">
        <v>4</v>
      </c>
    </row>
    <row r="10750" spans="1:6" ht="13.2">
      <c r="A10750" t="s">
        <v>11938</v>
      </c>
      <c r="B10750">
        <v>0</v>
      </c>
      <c r="C10750" s="44">
        <v>3000</v>
      </c>
      <c r="D10750" t="s">
        <v>291</v>
      </c>
      <c r="E10750" t="s">
        <v>256</v>
      </c>
      <c r="F10750">
        <v>4</v>
      </c>
    </row>
    <row r="10751" spans="1:6" ht="13.2">
      <c r="A10751" t="s">
        <v>11939</v>
      </c>
      <c r="B10751">
        <v>0</v>
      </c>
      <c r="C10751" s="44">
        <v>3000</v>
      </c>
      <c r="D10751" t="s">
        <v>291</v>
      </c>
      <c r="E10751" t="s">
        <v>256</v>
      </c>
      <c r="F10751">
        <v>4</v>
      </c>
    </row>
    <row r="10752" spans="1:6" ht="13.2">
      <c r="A10752" t="s">
        <v>11940</v>
      </c>
      <c r="B10752">
        <v>0</v>
      </c>
      <c r="C10752" s="44">
        <v>3000</v>
      </c>
      <c r="D10752" t="s">
        <v>291</v>
      </c>
      <c r="E10752" t="s">
        <v>256</v>
      </c>
      <c r="F10752">
        <v>4</v>
      </c>
    </row>
    <row r="10753" spans="1:6" ht="13.2">
      <c r="A10753" t="s">
        <v>11941</v>
      </c>
      <c r="B10753">
        <v>0</v>
      </c>
      <c r="C10753" s="44">
        <v>3000</v>
      </c>
      <c r="D10753" t="s">
        <v>291</v>
      </c>
      <c r="E10753" t="s">
        <v>256</v>
      </c>
      <c r="F10753">
        <v>4</v>
      </c>
    </row>
    <row r="10754" spans="1:6" ht="13.2">
      <c r="A10754" t="s">
        <v>11942</v>
      </c>
      <c r="B10754">
        <v>0</v>
      </c>
      <c r="C10754" s="44">
        <v>3000</v>
      </c>
      <c r="D10754" t="s">
        <v>291</v>
      </c>
      <c r="E10754" t="s">
        <v>256</v>
      </c>
      <c r="F10754">
        <v>4</v>
      </c>
    </row>
    <row r="10755" spans="1:6" ht="13.2">
      <c r="A10755" t="s">
        <v>11943</v>
      </c>
      <c r="B10755">
        <v>0</v>
      </c>
      <c r="C10755" s="44">
        <v>3000</v>
      </c>
      <c r="D10755" t="s">
        <v>291</v>
      </c>
      <c r="E10755" t="s">
        <v>256</v>
      </c>
      <c r="F10755">
        <v>4</v>
      </c>
    </row>
    <row r="10756" spans="1:6" ht="13.2">
      <c r="A10756" t="s">
        <v>11944</v>
      </c>
      <c r="B10756">
        <v>0</v>
      </c>
      <c r="C10756" s="44">
        <v>3000</v>
      </c>
      <c r="D10756" t="s">
        <v>291</v>
      </c>
      <c r="E10756" t="s">
        <v>256</v>
      </c>
      <c r="F10756">
        <v>4</v>
      </c>
    </row>
    <row r="10757" spans="1:6" ht="13.2">
      <c r="A10757" t="s">
        <v>11945</v>
      </c>
      <c r="B10757">
        <v>0</v>
      </c>
      <c r="C10757" s="44">
        <v>3000</v>
      </c>
      <c r="D10757" t="s">
        <v>291</v>
      </c>
      <c r="E10757" t="s">
        <v>256</v>
      </c>
      <c r="F10757">
        <v>4</v>
      </c>
    </row>
    <row r="10758" spans="1:6" ht="13.2">
      <c r="A10758" t="s">
        <v>11946</v>
      </c>
      <c r="B10758">
        <v>0</v>
      </c>
      <c r="C10758" s="44">
        <v>3000</v>
      </c>
      <c r="D10758" t="s">
        <v>291</v>
      </c>
      <c r="E10758" t="s">
        <v>256</v>
      </c>
      <c r="F10758">
        <v>4</v>
      </c>
    </row>
    <row r="10759" spans="1:6" ht="13.2">
      <c r="A10759" t="s">
        <v>11947</v>
      </c>
      <c r="B10759">
        <v>0</v>
      </c>
      <c r="C10759" s="44">
        <v>3000</v>
      </c>
      <c r="D10759" t="s">
        <v>291</v>
      </c>
      <c r="E10759" t="s">
        <v>256</v>
      </c>
      <c r="F10759">
        <v>4</v>
      </c>
    </row>
    <row r="10760" spans="1:6" ht="13.2">
      <c r="A10760" t="s">
        <v>11948</v>
      </c>
      <c r="B10760">
        <v>0</v>
      </c>
      <c r="C10760" s="44">
        <v>3000</v>
      </c>
      <c r="D10760" t="s">
        <v>291</v>
      </c>
      <c r="E10760" t="s">
        <v>256</v>
      </c>
      <c r="F10760">
        <v>4</v>
      </c>
    </row>
    <row r="10761" spans="1:6" ht="13.2">
      <c r="A10761" t="s">
        <v>11949</v>
      </c>
      <c r="B10761">
        <v>0</v>
      </c>
      <c r="C10761" s="44">
        <v>3000</v>
      </c>
      <c r="D10761" t="s">
        <v>291</v>
      </c>
      <c r="E10761" t="s">
        <v>256</v>
      </c>
      <c r="F10761">
        <v>4</v>
      </c>
    </row>
    <row r="10762" spans="1:6" ht="13.2">
      <c r="A10762" t="s">
        <v>11950</v>
      </c>
      <c r="B10762">
        <v>0</v>
      </c>
      <c r="C10762" s="44">
        <v>3000</v>
      </c>
      <c r="D10762" t="s">
        <v>291</v>
      </c>
      <c r="E10762" t="s">
        <v>256</v>
      </c>
      <c r="F10762">
        <v>4</v>
      </c>
    </row>
    <row r="10763" spans="1:6" ht="13.2">
      <c r="A10763" t="s">
        <v>11951</v>
      </c>
      <c r="B10763">
        <v>0</v>
      </c>
      <c r="C10763" s="44">
        <v>3000</v>
      </c>
      <c r="D10763" t="s">
        <v>291</v>
      </c>
      <c r="E10763" t="s">
        <v>256</v>
      </c>
      <c r="F10763">
        <v>4</v>
      </c>
    </row>
    <row r="10764" spans="1:6" ht="13.2">
      <c r="A10764" t="s">
        <v>11952</v>
      </c>
      <c r="B10764">
        <v>0</v>
      </c>
      <c r="C10764" s="44">
        <v>3000</v>
      </c>
      <c r="D10764" t="s">
        <v>291</v>
      </c>
      <c r="E10764" t="s">
        <v>256</v>
      </c>
      <c r="F10764">
        <v>4</v>
      </c>
    </row>
    <row r="10765" spans="1:6" ht="13.2">
      <c r="A10765" t="s">
        <v>11953</v>
      </c>
      <c r="B10765">
        <v>0</v>
      </c>
      <c r="C10765" s="44">
        <v>3000</v>
      </c>
      <c r="D10765" t="s">
        <v>291</v>
      </c>
      <c r="E10765" t="s">
        <v>256</v>
      </c>
      <c r="F10765">
        <v>4</v>
      </c>
    </row>
    <row r="10766" spans="1:6" ht="13.2">
      <c r="A10766" t="s">
        <v>11954</v>
      </c>
      <c r="B10766">
        <v>0</v>
      </c>
      <c r="C10766" s="44">
        <v>3000</v>
      </c>
      <c r="D10766" t="s">
        <v>291</v>
      </c>
      <c r="E10766" t="s">
        <v>256</v>
      </c>
      <c r="F10766">
        <v>4</v>
      </c>
    </row>
    <row r="10767" spans="1:6" ht="13.2">
      <c r="A10767" t="s">
        <v>11955</v>
      </c>
      <c r="B10767">
        <v>0</v>
      </c>
      <c r="C10767" s="44">
        <v>3000</v>
      </c>
      <c r="D10767" t="s">
        <v>291</v>
      </c>
      <c r="E10767" t="s">
        <v>256</v>
      </c>
      <c r="F10767">
        <v>4</v>
      </c>
    </row>
    <row r="10768" spans="1:6" ht="13.2">
      <c r="A10768" t="s">
        <v>11956</v>
      </c>
      <c r="B10768">
        <v>620</v>
      </c>
      <c r="C10768" s="44">
        <v>1450</v>
      </c>
      <c r="D10768" t="s">
        <v>291</v>
      </c>
      <c r="E10768" t="s">
        <v>577</v>
      </c>
      <c r="F10768">
        <v>3</v>
      </c>
    </row>
    <row r="10769" spans="1:6" ht="13.2">
      <c r="A10769" t="s">
        <v>11957</v>
      </c>
      <c r="B10769">
        <v>620</v>
      </c>
      <c r="C10769" s="44">
        <v>1450</v>
      </c>
      <c r="D10769" t="s">
        <v>291</v>
      </c>
      <c r="E10769" t="s">
        <v>577</v>
      </c>
      <c r="F10769">
        <v>3</v>
      </c>
    </row>
    <row r="10770" spans="1:6" ht="13.2">
      <c r="A10770" t="s">
        <v>11958</v>
      </c>
      <c r="B10770">
        <v>620</v>
      </c>
      <c r="C10770" s="44">
        <v>1450</v>
      </c>
      <c r="D10770" t="s">
        <v>291</v>
      </c>
      <c r="E10770" t="s">
        <v>577</v>
      </c>
      <c r="F10770">
        <v>3</v>
      </c>
    </row>
    <row r="10771" spans="1:6" ht="13.2">
      <c r="A10771" t="s">
        <v>11959</v>
      </c>
      <c r="B10771">
        <v>620</v>
      </c>
      <c r="C10771" s="44">
        <v>1450</v>
      </c>
      <c r="D10771" t="s">
        <v>291</v>
      </c>
      <c r="E10771" t="s">
        <v>577</v>
      </c>
      <c r="F10771">
        <v>3</v>
      </c>
    </row>
    <row r="10772" spans="1:6" ht="13.2">
      <c r="A10772" t="s">
        <v>11960</v>
      </c>
      <c r="B10772">
        <v>620</v>
      </c>
      <c r="C10772" s="44">
        <v>1450</v>
      </c>
      <c r="D10772" t="s">
        <v>291</v>
      </c>
      <c r="E10772" t="s">
        <v>577</v>
      </c>
      <c r="F10772">
        <v>3</v>
      </c>
    </row>
    <row r="10773" spans="1:6" ht="13.2">
      <c r="A10773" t="s">
        <v>11961</v>
      </c>
      <c r="B10773">
        <v>394</v>
      </c>
      <c r="C10773" s="44">
        <v>3000</v>
      </c>
      <c r="D10773" t="s">
        <v>291</v>
      </c>
      <c r="E10773" t="s">
        <v>7674</v>
      </c>
      <c r="F10773">
        <v>4</v>
      </c>
    </row>
    <row r="10774" spans="1:6" ht="13.2">
      <c r="A10774" t="s">
        <v>11962</v>
      </c>
      <c r="B10774">
        <v>394</v>
      </c>
      <c r="C10774" s="44">
        <v>3000</v>
      </c>
      <c r="D10774" t="s">
        <v>291</v>
      </c>
      <c r="E10774" t="s">
        <v>7674</v>
      </c>
      <c r="F10774">
        <v>4</v>
      </c>
    </row>
    <row r="10775" spans="1:6" ht="13.2">
      <c r="A10775" t="s">
        <v>11963</v>
      </c>
      <c r="B10775">
        <v>394</v>
      </c>
      <c r="C10775" s="44">
        <v>3000</v>
      </c>
      <c r="D10775" t="s">
        <v>291</v>
      </c>
      <c r="E10775" t="s">
        <v>7674</v>
      </c>
      <c r="F10775">
        <v>4</v>
      </c>
    </row>
    <row r="10776" spans="1:6" ht="13.2">
      <c r="A10776" t="s">
        <v>11964</v>
      </c>
      <c r="B10776">
        <v>394</v>
      </c>
      <c r="C10776" s="44">
        <v>3000</v>
      </c>
      <c r="D10776" t="s">
        <v>291</v>
      </c>
      <c r="E10776" t="s">
        <v>7674</v>
      </c>
      <c r="F10776">
        <v>4</v>
      </c>
    </row>
    <row r="10777" spans="1:6" ht="13.2">
      <c r="A10777" t="s">
        <v>11965</v>
      </c>
      <c r="B10777">
        <v>394</v>
      </c>
      <c r="C10777" s="44">
        <v>3000</v>
      </c>
      <c r="D10777" t="s">
        <v>291</v>
      </c>
      <c r="E10777" t="s">
        <v>7674</v>
      </c>
      <c r="F10777">
        <v>4</v>
      </c>
    </row>
    <row r="10778" spans="1:6" ht="13.2">
      <c r="A10778" t="s">
        <v>11966</v>
      </c>
      <c r="B10778">
        <v>394</v>
      </c>
      <c r="C10778" s="44">
        <v>3000</v>
      </c>
      <c r="D10778" t="s">
        <v>291</v>
      </c>
      <c r="E10778" t="s">
        <v>7674</v>
      </c>
      <c r="F10778">
        <v>4</v>
      </c>
    </row>
    <row r="10779" spans="1:6" ht="13.2">
      <c r="A10779" t="s">
        <v>11967</v>
      </c>
      <c r="B10779">
        <v>394</v>
      </c>
      <c r="C10779" s="44">
        <v>3000</v>
      </c>
      <c r="D10779" t="s">
        <v>291</v>
      </c>
      <c r="E10779" t="s">
        <v>7674</v>
      </c>
      <c r="F10779">
        <v>4</v>
      </c>
    </row>
    <row r="10780" spans="1:6" ht="13.2">
      <c r="A10780" t="s">
        <v>11968</v>
      </c>
      <c r="B10780">
        <v>394</v>
      </c>
      <c r="C10780" s="44">
        <v>3000</v>
      </c>
      <c r="D10780" t="s">
        <v>291</v>
      </c>
      <c r="E10780" t="s">
        <v>7674</v>
      </c>
      <c r="F10780">
        <v>4</v>
      </c>
    </row>
    <row r="10781" spans="1:6" ht="13.2">
      <c r="A10781" t="s">
        <v>11969</v>
      </c>
      <c r="B10781">
        <v>394</v>
      </c>
      <c r="C10781" s="44">
        <v>3000</v>
      </c>
      <c r="D10781" t="s">
        <v>291</v>
      </c>
      <c r="E10781" t="s">
        <v>7674</v>
      </c>
      <c r="F10781">
        <v>4</v>
      </c>
    </row>
    <row r="10782" spans="1:6" ht="13.2">
      <c r="A10782" t="s">
        <v>11970</v>
      </c>
      <c r="B10782">
        <v>394</v>
      </c>
      <c r="C10782" s="44">
        <v>3000</v>
      </c>
      <c r="D10782" t="s">
        <v>291</v>
      </c>
      <c r="E10782" t="s">
        <v>7674</v>
      </c>
      <c r="F10782">
        <v>4</v>
      </c>
    </row>
    <row r="10783" spans="1:6" ht="13.2">
      <c r="A10783" t="s">
        <v>11971</v>
      </c>
      <c r="B10783">
        <v>394</v>
      </c>
      <c r="C10783" s="44">
        <v>3000</v>
      </c>
      <c r="D10783" t="s">
        <v>291</v>
      </c>
      <c r="E10783" t="s">
        <v>7674</v>
      </c>
      <c r="F10783">
        <v>4</v>
      </c>
    </row>
    <row r="10784" spans="1:6" ht="13.2">
      <c r="A10784" t="s">
        <v>11972</v>
      </c>
      <c r="B10784">
        <v>394</v>
      </c>
      <c r="C10784" s="44">
        <v>3000</v>
      </c>
      <c r="D10784" t="s">
        <v>291</v>
      </c>
      <c r="E10784" t="s">
        <v>7674</v>
      </c>
      <c r="F10784">
        <v>4</v>
      </c>
    </row>
    <row r="10785" spans="1:6" ht="13.2">
      <c r="A10785" t="s">
        <v>11973</v>
      </c>
      <c r="B10785">
        <v>394</v>
      </c>
      <c r="C10785" s="44">
        <v>3000</v>
      </c>
      <c r="D10785" t="s">
        <v>291</v>
      </c>
      <c r="E10785" t="s">
        <v>7674</v>
      </c>
      <c r="F10785">
        <v>4</v>
      </c>
    </row>
    <row r="10786" spans="1:6" ht="13.2">
      <c r="A10786" t="s">
        <v>11974</v>
      </c>
      <c r="B10786">
        <v>0</v>
      </c>
      <c r="C10786" s="44">
        <v>3200</v>
      </c>
      <c r="D10786" t="s">
        <v>293</v>
      </c>
      <c r="E10786" t="s">
        <v>7674</v>
      </c>
      <c r="F10786">
        <v>4</v>
      </c>
    </row>
    <row r="10787" spans="1:6" ht="13.2">
      <c r="A10787" t="s">
        <v>11975</v>
      </c>
      <c r="B10787">
        <v>0</v>
      </c>
      <c r="C10787" s="44" t="s">
        <v>201</v>
      </c>
      <c r="D10787" t="s">
        <v>291</v>
      </c>
      <c r="E10787" t="s">
        <v>256</v>
      </c>
      <c r="F10787">
        <v>4</v>
      </c>
    </row>
    <row r="10788" spans="1:6" ht="13.2">
      <c r="A10788" t="s">
        <v>11976</v>
      </c>
      <c r="B10788">
        <v>0</v>
      </c>
      <c r="C10788" s="44" t="s">
        <v>201</v>
      </c>
      <c r="D10788" t="s">
        <v>291</v>
      </c>
      <c r="E10788" t="s">
        <v>256</v>
      </c>
      <c r="F10788">
        <v>4</v>
      </c>
    </row>
    <row r="10789" spans="1:6" ht="13.2">
      <c r="A10789" t="s">
        <v>11977</v>
      </c>
      <c r="B10789">
        <v>0</v>
      </c>
      <c r="C10789" s="44" t="s">
        <v>201</v>
      </c>
      <c r="D10789" t="s">
        <v>291</v>
      </c>
      <c r="E10789" t="s">
        <v>256</v>
      </c>
      <c r="F10789">
        <v>4</v>
      </c>
    </row>
    <row r="10790" spans="1:6" ht="13.2">
      <c r="A10790" t="s">
        <v>11978</v>
      </c>
      <c r="B10790">
        <v>0</v>
      </c>
      <c r="C10790" s="44" t="s">
        <v>201</v>
      </c>
      <c r="D10790" t="s">
        <v>291</v>
      </c>
      <c r="E10790" t="s">
        <v>256</v>
      </c>
      <c r="F10790">
        <v>4</v>
      </c>
    </row>
    <row r="10791" spans="1:6" ht="13.2">
      <c r="A10791" t="s">
        <v>11979</v>
      </c>
      <c r="B10791">
        <v>0</v>
      </c>
      <c r="C10791" s="44" t="s">
        <v>201</v>
      </c>
      <c r="D10791" t="s">
        <v>291</v>
      </c>
      <c r="E10791" t="s">
        <v>256</v>
      </c>
      <c r="F10791">
        <v>4</v>
      </c>
    </row>
    <row r="10792" spans="1:6" ht="13.2">
      <c r="A10792" t="s">
        <v>11980</v>
      </c>
      <c r="B10792">
        <v>0</v>
      </c>
      <c r="C10792" s="44" t="s">
        <v>201</v>
      </c>
      <c r="D10792" t="s">
        <v>291</v>
      </c>
      <c r="E10792" t="s">
        <v>256</v>
      </c>
      <c r="F10792">
        <v>4</v>
      </c>
    </row>
    <row r="10793" spans="1:6" ht="13.2">
      <c r="A10793" t="s">
        <v>11981</v>
      </c>
      <c r="B10793">
        <v>0</v>
      </c>
      <c r="C10793" s="44" t="s">
        <v>201</v>
      </c>
      <c r="D10793" t="s">
        <v>291</v>
      </c>
      <c r="E10793" t="s">
        <v>256</v>
      </c>
      <c r="F10793">
        <v>4</v>
      </c>
    </row>
    <row r="10794" spans="1:6" ht="13.2">
      <c r="A10794" t="s">
        <v>11982</v>
      </c>
      <c r="B10794">
        <v>0</v>
      </c>
      <c r="C10794" s="44" t="s">
        <v>201</v>
      </c>
      <c r="D10794" t="s">
        <v>291</v>
      </c>
      <c r="E10794" t="s">
        <v>256</v>
      </c>
      <c r="F10794">
        <v>4</v>
      </c>
    </row>
    <row r="10795" spans="1:6" ht="13.2">
      <c r="A10795" t="s">
        <v>11983</v>
      </c>
      <c r="B10795">
        <v>0</v>
      </c>
      <c r="C10795" s="44" t="s">
        <v>201</v>
      </c>
      <c r="D10795" t="s">
        <v>291</v>
      </c>
      <c r="E10795" t="s">
        <v>256</v>
      </c>
      <c r="F10795">
        <v>4</v>
      </c>
    </row>
    <row r="10796" spans="1:6" ht="13.2">
      <c r="A10796" t="s">
        <v>11984</v>
      </c>
      <c r="B10796">
        <v>0</v>
      </c>
      <c r="C10796" s="44" t="s">
        <v>201</v>
      </c>
      <c r="D10796" t="s">
        <v>291</v>
      </c>
      <c r="E10796" t="s">
        <v>256</v>
      </c>
      <c r="F10796">
        <v>4</v>
      </c>
    </row>
    <row r="10797" spans="1:6" ht="13.2">
      <c r="A10797" t="s">
        <v>11985</v>
      </c>
      <c r="B10797">
        <v>0</v>
      </c>
      <c r="C10797" s="44" t="s">
        <v>201</v>
      </c>
      <c r="D10797" t="s">
        <v>291</v>
      </c>
      <c r="E10797" t="s">
        <v>256</v>
      </c>
      <c r="F10797">
        <v>4</v>
      </c>
    </row>
    <row r="10798" spans="1:6" ht="13.2">
      <c r="A10798" t="s">
        <v>11986</v>
      </c>
      <c r="B10798">
        <v>0</v>
      </c>
      <c r="C10798" s="44" t="s">
        <v>201</v>
      </c>
      <c r="D10798" t="s">
        <v>291</v>
      </c>
      <c r="E10798" t="s">
        <v>256</v>
      </c>
      <c r="F10798">
        <v>4</v>
      </c>
    </row>
    <row r="10799" spans="1:6" ht="13.2">
      <c r="A10799" t="s">
        <v>11987</v>
      </c>
      <c r="B10799">
        <v>0</v>
      </c>
      <c r="C10799" s="44" t="s">
        <v>201</v>
      </c>
      <c r="D10799" t="s">
        <v>291</v>
      </c>
      <c r="E10799" t="s">
        <v>256</v>
      </c>
      <c r="F10799">
        <v>4</v>
      </c>
    </row>
    <row r="10800" spans="1:6" ht="13.2">
      <c r="A10800" t="s">
        <v>11988</v>
      </c>
      <c r="B10800">
        <v>0</v>
      </c>
      <c r="C10800" s="44" t="s">
        <v>201</v>
      </c>
      <c r="D10800" t="s">
        <v>291</v>
      </c>
      <c r="E10800" t="s">
        <v>256</v>
      </c>
      <c r="F10800">
        <v>4</v>
      </c>
    </row>
    <row r="10801" spans="1:6" ht="13.2">
      <c r="A10801" t="s">
        <v>11989</v>
      </c>
      <c r="B10801">
        <v>0</v>
      </c>
      <c r="C10801" s="44" t="s">
        <v>201</v>
      </c>
      <c r="D10801" t="s">
        <v>291</v>
      </c>
      <c r="E10801" t="s">
        <v>256</v>
      </c>
      <c r="F10801">
        <v>4</v>
      </c>
    </row>
    <row r="10802" spans="1:6" ht="13.2">
      <c r="A10802" t="s">
        <v>11990</v>
      </c>
      <c r="B10802">
        <v>0</v>
      </c>
      <c r="C10802" s="44" t="s">
        <v>201</v>
      </c>
      <c r="D10802" t="s">
        <v>291</v>
      </c>
      <c r="E10802" t="s">
        <v>256</v>
      </c>
      <c r="F10802">
        <v>4</v>
      </c>
    </row>
    <row r="10803" spans="1:6" ht="13.2">
      <c r="A10803" t="s">
        <v>11991</v>
      </c>
      <c r="B10803">
        <v>0</v>
      </c>
      <c r="C10803" s="44" t="s">
        <v>201</v>
      </c>
      <c r="D10803" t="s">
        <v>291</v>
      </c>
      <c r="E10803" t="s">
        <v>256</v>
      </c>
      <c r="F10803">
        <v>4</v>
      </c>
    </row>
    <row r="10804" spans="1:6" ht="13.2">
      <c r="A10804" t="s">
        <v>11992</v>
      </c>
      <c r="B10804">
        <v>0</v>
      </c>
      <c r="C10804" s="44" t="s">
        <v>201</v>
      </c>
      <c r="D10804" t="s">
        <v>291</v>
      </c>
      <c r="E10804" t="s">
        <v>256</v>
      </c>
      <c r="F10804">
        <v>4</v>
      </c>
    </row>
    <row r="10805" spans="1:6" ht="13.2">
      <c r="A10805" t="s">
        <v>11993</v>
      </c>
      <c r="B10805">
        <v>0</v>
      </c>
      <c r="C10805" s="44" t="s">
        <v>201</v>
      </c>
      <c r="D10805" t="s">
        <v>291</v>
      </c>
      <c r="E10805" t="s">
        <v>256</v>
      </c>
      <c r="F10805">
        <v>4</v>
      </c>
    </row>
    <row r="10806" spans="1:6" ht="13.2">
      <c r="A10806" t="s">
        <v>11994</v>
      </c>
      <c r="B10806">
        <v>0</v>
      </c>
      <c r="C10806" s="44">
        <v>3200</v>
      </c>
      <c r="D10806" t="s">
        <v>293</v>
      </c>
      <c r="E10806" t="s">
        <v>7674</v>
      </c>
      <c r="F10806">
        <v>4</v>
      </c>
    </row>
    <row r="10807" spans="1:6" ht="13.2">
      <c r="A10807" t="s">
        <v>11995</v>
      </c>
      <c r="B10807">
        <v>685</v>
      </c>
      <c r="C10807" s="44">
        <v>1370</v>
      </c>
      <c r="D10807" t="s">
        <v>291</v>
      </c>
      <c r="E10807" t="s">
        <v>11996</v>
      </c>
      <c r="F10807">
        <v>3</v>
      </c>
    </row>
    <row r="10808" spans="1:6" ht="13.2">
      <c r="A10808" t="s">
        <v>11997</v>
      </c>
      <c r="B10808">
        <v>685</v>
      </c>
      <c r="C10808" s="44">
        <v>1370</v>
      </c>
      <c r="D10808" t="s">
        <v>291</v>
      </c>
      <c r="E10808" t="s">
        <v>11996</v>
      </c>
      <c r="F10808">
        <v>3</v>
      </c>
    </row>
    <row r="10809" spans="1:6" ht="13.2">
      <c r="A10809" t="s">
        <v>11998</v>
      </c>
      <c r="B10809">
        <v>685</v>
      </c>
      <c r="C10809" s="44">
        <v>1370</v>
      </c>
      <c r="D10809" t="s">
        <v>291</v>
      </c>
      <c r="E10809" t="s">
        <v>11996</v>
      </c>
      <c r="F10809">
        <v>3</v>
      </c>
    </row>
    <row r="10810" spans="1:6" ht="13.2">
      <c r="A10810" t="s">
        <v>11999</v>
      </c>
      <c r="B10810">
        <v>685</v>
      </c>
      <c r="C10810" s="44">
        <v>1370</v>
      </c>
      <c r="D10810" t="s">
        <v>291</v>
      </c>
      <c r="E10810" t="s">
        <v>11996</v>
      </c>
      <c r="F10810">
        <v>3</v>
      </c>
    </row>
    <row r="10811" spans="1:6" ht="13.2">
      <c r="A10811" t="s">
        <v>1579</v>
      </c>
      <c r="B10811">
        <v>0</v>
      </c>
      <c r="C10811" s="44">
        <v>3200</v>
      </c>
      <c r="D10811" t="s">
        <v>293</v>
      </c>
      <c r="E10811" t="s">
        <v>256</v>
      </c>
      <c r="F10811">
        <v>4</v>
      </c>
    </row>
    <row r="10812" spans="1:6" ht="13.2">
      <c r="A10812" t="s">
        <v>12000</v>
      </c>
      <c r="B10812">
        <v>0</v>
      </c>
      <c r="C10812" s="44">
        <v>3200</v>
      </c>
      <c r="D10812" t="s">
        <v>293</v>
      </c>
      <c r="E10812" t="s">
        <v>256</v>
      </c>
      <c r="F10812">
        <v>4</v>
      </c>
    </row>
    <row r="10813" spans="1:6" ht="13.2">
      <c r="A10813" t="s">
        <v>12001</v>
      </c>
      <c r="B10813">
        <v>0</v>
      </c>
      <c r="C10813" s="44">
        <v>3200</v>
      </c>
      <c r="D10813" t="s">
        <v>293</v>
      </c>
      <c r="E10813" t="s">
        <v>256</v>
      </c>
      <c r="F10813">
        <v>4</v>
      </c>
    </row>
    <row r="10814" spans="1:6" ht="13.2">
      <c r="A10814" t="s">
        <v>12002</v>
      </c>
      <c r="B10814">
        <v>0</v>
      </c>
      <c r="C10814" s="44">
        <v>3200</v>
      </c>
      <c r="D10814" t="s">
        <v>293</v>
      </c>
      <c r="E10814" t="s">
        <v>256</v>
      </c>
      <c r="F10814">
        <v>4</v>
      </c>
    </row>
    <row r="10815" spans="1:6" ht="13.2">
      <c r="A10815" t="s">
        <v>12003</v>
      </c>
      <c r="B10815">
        <v>0</v>
      </c>
      <c r="C10815" s="44">
        <v>3200</v>
      </c>
      <c r="D10815" t="s">
        <v>293</v>
      </c>
      <c r="E10815" t="s">
        <v>256</v>
      </c>
      <c r="F10815">
        <v>4</v>
      </c>
    </row>
    <row r="10816" spans="1:6" ht="13.2">
      <c r="A10816" t="s">
        <v>12004</v>
      </c>
      <c r="B10816">
        <v>0</v>
      </c>
      <c r="C10816" s="44">
        <v>3200</v>
      </c>
      <c r="D10816" t="s">
        <v>293</v>
      </c>
      <c r="E10816" t="s">
        <v>256</v>
      </c>
      <c r="F10816">
        <v>4</v>
      </c>
    </row>
    <row r="10817" spans="1:6" ht="13.2">
      <c r="A10817" t="s">
        <v>12005</v>
      </c>
      <c r="B10817">
        <v>0</v>
      </c>
      <c r="C10817" s="44">
        <v>3200</v>
      </c>
      <c r="D10817" t="s">
        <v>293</v>
      </c>
      <c r="E10817" t="s">
        <v>256</v>
      </c>
      <c r="F10817">
        <v>4</v>
      </c>
    </row>
    <row r="10818" spans="1:6" ht="13.2">
      <c r="A10818" t="s">
        <v>12013</v>
      </c>
      <c r="B10818">
        <v>0</v>
      </c>
      <c r="C10818" s="44" t="s">
        <v>204</v>
      </c>
      <c r="D10818" t="s">
        <v>291</v>
      </c>
      <c r="E10818" t="s">
        <v>364</v>
      </c>
      <c r="F10818">
        <v>3</v>
      </c>
    </row>
    <row r="10819" spans="1:6" ht="13.2">
      <c r="A10819" t="s">
        <v>12014</v>
      </c>
      <c r="B10819">
        <v>0</v>
      </c>
      <c r="C10819" s="44" t="s">
        <v>204</v>
      </c>
      <c r="D10819" t="s">
        <v>291</v>
      </c>
      <c r="E10819" t="s">
        <v>364</v>
      </c>
      <c r="F10819">
        <v>3</v>
      </c>
    </row>
    <row r="10820" spans="1:6" ht="13.2">
      <c r="A10820" t="s">
        <v>12015</v>
      </c>
      <c r="B10820">
        <v>0</v>
      </c>
      <c r="C10820" s="44" t="s">
        <v>204</v>
      </c>
      <c r="D10820" t="s">
        <v>291</v>
      </c>
      <c r="E10820" t="s">
        <v>364</v>
      </c>
      <c r="F10820">
        <v>3</v>
      </c>
    </row>
    <row r="10821" spans="1:6" ht="13.2">
      <c r="A10821" t="s">
        <v>12016</v>
      </c>
      <c r="B10821">
        <v>0</v>
      </c>
      <c r="C10821" s="44" t="s">
        <v>204</v>
      </c>
      <c r="D10821" t="s">
        <v>291</v>
      </c>
      <c r="E10821" t="s">
        <v>364</v>
      </c>
      <c r="F10821">
        <v>3</v>
      </c>
    </row>
    <row r="10822" spans="1:6" ht="13.2">
      <c r="A10822" t="s">
        <v>12017</v>
      </c>
      <c r="B10822">
        <v>0</v>
      </c>
      <c r="C10822" s="44" t="s">
        <v>204</v>
      </c>
      <c r="D10822" t="s">
        <v>291</v>
      </c>
      <c r="E10822" t="s">
        <v>364</v>
      </c>
      <c r="F10822">
        <v>3</v>
      </c>
    </row>
    <row r="10823" spans="1:6" ht="13.2">
      <c r="A10823" t="s">
        <v>12018</v>
      </c>
      <c r="B10823">
        <v>0</v>
      </c>
      <c r="C10823" s="44" t="s">
        <v>204</v>
      </c>
      <c r="D10823" t="s">
        <v>291</v>
      </c>
      <c r="E10823" t="s">
        <v>364</v>
      </c>
      <c r="F10823">
        <v>3</v>
      </c>
    </row>
    <row r="10824" spans="1:6" ht="13.2">
      <c r="A10824" t="s">
        <v>12019</v>
      </c>
      <c r="B10824">
        <v>0</v>
      </c>
      <c r="C10824" s="44" t="s">
        <v>204</v>
      </c>
      <c r="D10824" t="s">
        <v>291</v>
      </c>
      <c r="E10824" t="s">
        <v>364</v>
      </c>
      <c r="F10824">
        <v>3</v>
      </c>
    </row>
    <row r="10825" spans="1:6" ht="13.2">
      <c r="A10825" t="s">
        <v>12020</v>
      </c>
      <c r="B10825">
        <v>0</v>
      </c>
      <c r="C10825" s="44" t="s">
        <v>204</v>
      </c>
      <c r="D10825" t="s">
        <v>291</v>
      </c>
      <c r="E10825" t="s">
        <v>364</v>
      </c>
      <c r="F10825">
        <v>3</v>
      </c>
    </row>
    <row r="10826" spans="1:6" ht="13.2">
      <c r="A10826" t="s">
        <v>12021</v>
      </c>
      <c r="B10826">
        <v>0</v>
      </c>
      <c r="C10826" s="44" t="s">
        <v>204</v>
      </c>
      <c r="D10826" t="s">
        <v>291</v>
      </c>
      <c r="E10826" t="s">
        <v>364</v>
      </c>
      <c r="F10826">
        <v>3</v>
      </c>
    </row>
    <row r="10827" spans="1:6" ht="13.2">
      <c r="A10827" t="s">
        <v>12022</v>
      </c>
      <c r="B10827">
        <v>0</v>
      </c>
      <c r="C10827" s="44" t="s">
        <v>204</v>
      </c>
      <c r="D10827" t="s">
        <v>291</v>
      </c>
      <c r="E10827" t="s">
        <v>364</v>
      </c>
      <c r="F10827">
        <v>3</v>
      </c>
    </row>
    <row r="10828" spans="1:6" ht="13.2">
      <c r="A10828" t="s">
        <v>12023</v>
      </c>
      <c r="B10828">
        <v>0</v>
      </c>
      <c r="C10828" s="44" t="s">
        <v>204</v>
      </c>
      <c r="D10828" t="s">
        <v>291</v>
      </c>
      <c r="E10828" t="s">
        <v>364</v>
      </c>
      <c r="F10828">
        <v>3</v>
      </c>
    </row>
    <row r="10829" spans="1:6" ht="13.2">
      <c r="A10829" t="s">
        <v>12024</v>
      </c>
      <c r="B10829">
        <v>0</v>
      </c>
      <c r="C10829" s="44" t="s">
        <v>204</v>
      </c>
      <c r="D10829" t="s">
        <v>291</v>
      </c>
      <c r="E10829" t="s">
        <v>364</v>
      </c>
      <c r="F10829">
        <v>3</v>
      </c>
    </row>
    <row r="10830" spans="1:6" ht="13.2">
      <c r="A10830" t="s">
        <v>12025</v>
      </c>
      <c r="B10830">
        <v>0</v>
      </c>
      <c r="C10830" s="44" t="s">
        <v>204</v>
      </c>
      <c r="D10830" t="s">
        <v>291</v>
      </c>
      <c r="E10830" t="s">
        <v>364</v>
      </c>
      <c r="F10830">
        <v>3</v>
      </c>
    </row>
    <row r="10831" spans="1:6" ht="13.2">
      <c r="A10831" t="s">
        <v>12026</v>
      </c>
      <c r="B10831">
        <v>0</v>
      </c>
      <c r="C10831" s="44" t="s">
        <v>204</v>
      </c>
      <c r="D10831" t="s">
        <v>291</v>
      </c>
      <c r="E10831" t="s">
        <v>364</v>
      </c>
      <c r="F10831">
        <v>3</v>
      </c>
    </row>
    <row r="10832" spans="1:6" ht="13.2">
      <c r="A10832" t="s">
        <v>12027</v>
      </c>
      <c r="B10832">
        <v>0</v>
      </c>
      <c r="C10832" s="44" t="s">
        <v>204</v>
      </c>
      <c r="D10832" t="s">
        <v>291</v>
      </c>
      <c r="E10832" t="s">
        <v>364</v>
      </c>
      <c r="F10832">
        <v>3</v>
      </c>
    </row>
    <row r="10833" spans="1:6" ht="13.2">
      <c r="A10833" t="s">
        <v>12028</v>
      </c>
      <c r="B10833">
        <v>0</v>
      </c>
      <c r="C10833" s="44" t="s">
        <v>204</v>
      </c>
      <c r="D10833" t="s">
        <v>291</v>
      </c>
      <c r="E10833" t="s">
        <v>364</v>
      </c>
      <c r="F10833">
        <v>3</v>
      </c>
    </row>
    <row r="10834" spans="1:6" ht="13.2">
      <c r="A10834" t="s">
        <v>12029</v>
      </c>
      <c r="B10834">
        <v>0</v>
      </c>
      <c r="C10834" s="44" t="s">
        <v>204</v>
      </c>
      <c r="D10834" t="s">
        <v>291</v>
      </c>
      <c r="E10834" t="s">
        <v>364</v>
      </c>
      <c r="F10834">
        <v>3</v>
      </c>
    </row>
    <row r="10835" spans="1:6" ht="13.2">
      <c r="A10835" t="s">
        <v>12030</v>
      </c>
      <c r="B10835">
        <v>0</v>
      </c>
      <c r="C10835" s="44" t="s">
        <v>204</v>
      </c>
      <c r="D10835" t="s">
        <v>291</v>
      </c>
      <c r="E10835" t="s">
        <v>364</v>
      </c>
      <c r="F10835">
        <v>3</v>
      </c>
    </row>
    <row r="10836" spans="1:6" ht="13.2">
      <c r="A10836" t="s">
        <v>12031</v>
      </c>
      <c r="B10836">
        <v>0</v>
      </c>
      <c r="C10836" s="44" t="s">
        <v>204</v>
      </c>
      <c r="D10836" t="s">
        <v>291</v>
      </c>
      <c r="E10836" t="s">
        <v>364</v>
      </c>
      <c r="F10836">
        <v>3</v>
      </c>
    </row>
    <row r="10837" spans="1:6" ht="13.2">
      <c r="A10837" t="s">
        <v>11622</v>
      </c>
      <c r="B10837">
        <v>0</v>
      </c>
      <c r="C10837" s="44">
        <v>3200</v>
      </c>
      <c r="D10837" t="s">
        <v>293</v>
      </c>
      <c r="E10837" t="s">
        <v>256</v>
      </c>
      <c r="F10837">
        <v>4</v>
      </c>
    </row>
    <row r="10838" spans="1:6" ht="13.2">
      <c r="A10838" t="s">
        <v>12032</v>
      </c>
      <c r="B10838">
        <v>0</v>
      </c>
      <c r="C10838" s="44">
        <v>3200</v>
      </c>
      <c r="D10838" t="s">
        <v>293</v>
      </c>
      <c r="E10838" t="s">
        <v>256</v>
      </c>
      <c r="F10838">
        <v>4</v>
      </c>
    </row>
    <row r="10839" spans="1:6" ht="13.2">
      <c r="A10839" t="s">
        <v>12033</v>
      </c>
      <c r="B10839">
        <v>0</v>
      </c>
      <c r="C10839" s="44">
        <v>3200</v>
      </c>
      <c r="D10839" t="s">
        <v>293</v>
      </c>
      <c r="E10839" t="s">
        <v>256</v>
      </c>
      <c r="F10839">
        <v>4</v>
      </c>
    </row>
    <row r="10840" spans="1:6" ht="13.2">
      <c r="A10840" t="s">
        <v>12034</v>
      </c>
      <c r="B10840">
        <v>0</v>
      </c>
      <c r="C10840" s="44">
        <v>3200</v>
      </c>
      <c r="D10840" t="s">
        <v>293</v>
      </c>
      <c r="E10840" t="s">
        <v>256</v>
      </c>
      <c r="F10840">
        <v>4</v>
      </c>
    </row>
    <row r="10841" spans="1:6" ht="13.2">
      <c r="A10841" t="s">
        <v>12035</v>
      </c>
      <c r="B10841">
        <v>0</v>
      </c>
      <c r="C10841" s="44">
        <v>3200</v>
      </c>
      <c r="D10841" t="s">
        <v>293</v>
      </c>
      <c r="E10841" t="s">
        <v>256</v>
      </c>
      <c r="F10841">
        <v>4</v>
      </c>
    </row>
    <row r="10842" spans="1:6" ht="13.2">
      <c r="A10842" t="s">
        <v>12036</v>
      </c>
      <c r="B10842">
        <v>0</v>
      </c>
      <c r="C10842" s="44">
        <v>3200</v>
      </c>
      <c r="D10842" t="s">
        <v>293</v>
      </c>
      <c r="E10842" t="s">
        <v>256</v>
      </c>
      <c r="F10842">
        <v>4</v>
      </c>
    </row>
    <row r="10843" spans="1:6" ht="13.2">
      <c r="A10843" t="s">
        <v>11664</v>
      </c>
      <c r="B10843">
        <v>0</v>
      </c>
      <c r="C10843" s="44">
        <v>3200</v>
      </c>
      <c r="D10843" t="s">
        <v>293</v>
      </c>
      <c r="E10843" t="s">
        <v>256</v>
      </c>
      <c r="F10843">
        <v>4</v>
      </c>
    </row>
    <row r="10844" spans="1:6" ht="13.2">
      <c r="A10844" t="s">
        <v>12037</v>
      </c>
      <c r="B10844">
        <v>0</v>
      </c>
      <c r="C10844" s="44">
        <v>3200</v>
      </c>
      <c r="D10844" t="s">
        <v>293</v>
      </c>
      <c r="E10844" t="s">
        <v>256</v>
      </c>
      <c r="F10844">
        <v>4</v>
      </c>
    </row>
    <row r="10845" spans="1:6" ht="13.2">
      <c r="A10845" t="s">
        <v>12038</v>
      </c>
      <c r="B10845">
        <v>0</v>
      </c>
      <c r="C10845" s="44">
        <v>3200</v>
      </c>
      <c r="D10845" t="s">
        <v>293</v>
      </c>
      <c r="E10845" t="s">
        <v>256</v>
      </c>
      <c r="F10845">
        <v>4</v>
      </c>
    </row>
    <row r="10846" spans="1:6" ht="13.2">
      <c r="A10846" t="s">
        <v>12039</v>
      </c>
      <c r="B10846">
        <v>0</v>
      </c>
      <c r="C10846" s="44">
        <v>3200</v>
      </c>
      <c r="D10846" t="s">
        <v>293</v>
      </c>
      <c r="E10846" t="s">
        <v>256</v>
      </c>
      <c r="F10846">
        <v>4</v>
      </c>
    </row>
    <row r="10847" spans="1:6" ht="13.2">
      <c r="A10847" t="s">
        <v>12040</v>
      </c>
      <c r="B10847">
        <v>0</v>
      </c>
      <c r="C10847" s="44">
        <v>3200</v>
      </c>
      <c r="D10847" t="s">
        <v>293</v>
      </c>
      <c r="E10847" t="s">
        <v>256</v>
      </c>
      <c r="F10847">
        <v>4</v>
      </c>
    </row>
    <row r="10848" spans="1:6" ht="13.2">
      <c r="A10848" t="s">
        <v>12041</v>
      </c>
      <c r="B10848">
        <v>0</v>
      </c>
      <c r="C10848" s="44">
        <v>3200</v>
      </c>
      <c r="D10848" t="s">
        <v>293</v>
      </c>
      <c r="E10848" t="s">
        <v>256</v>
      </c>
      <c r="F10848">
        <v>4</v>
      </c>
    </row>
    <row r="10849" spans="1:6" ht="13.2">
      <c r="A10849" t="s">
        <v>12042</v>
      </c>
      <c r="B10849">
        <v>0</v>
      </c>
      <c r="C10849" s="44">
        <v>3200</v>
      </c>
      <c r="D10849" t="s">
        <v>293</v>
      </c>
      <c r="E10849" t="s">
        <v>256</v>
      </c>
      <c r="F10849">
        <v>4</v>
      </c>
    </row>
    <row r="10850" spans="1:6" ht="13.2">
      <c r="A10850" t="s">
        <v>12043</v>
      </c>
      <c r="B10850">
        <v>0</v>
      </c>
      <c r="C10850" s="44">
        <v>3200</v>
      </c>
      <c r="D10850" t="s">
        <v>293</v>
      </c>
      <c r="E10850" t="s">
        <v>256</v>
      </c>
      <c r="F10850">
        <v>4</v>
      </c>
    </row>
    <row r="10851" spans="1:6" ht="13.2">
      <c r="A10851" t="s">
        <v>12044</v>
      </c>
      <c r="B10851">
        <v>0</v>
      </c>
      <c r="C10851" s="44">
        <v>3200</v>
      </c>
      <c r="D10851" t="s">
        <v>293</v>
      </c>
      <c r="E10851" t="s">
        <v>256</v>
      </c>
      <c r="F10851">
        <v>4</v>
      </c>
    </row>
    <row r="10852" spans="1:6" ht="13.2">
      <c r="A10852" t="s">
        <v>12045</v>
      </c>
      <c r="B10852">
        <v>0</v>
      </c>
      <c r="C10852" s="44">
        <v>3200</v>
      </c>
      <c r="D10852" t="s">
        <v>293</v>
      </c>
      <c r="E10852" t="s">
        <v>256</v>
      </c>
      <c r="F10852">
        <v>4</v>
      </c>
    </row>
    <row r="10853" spans="1:6" ht="13.2">
      <c r="A10853" t="s">
        <v>12046</v>
      </c>
      <c r="B10853">
        <v>0</v>
      </c>
      <c r="C10853" s="44">
        <v>3200</v>
      </c>
      <c r="D10853" t="s">
        <v>293</v>
      </c>
      <c r="E10853" t="s">
        <v>256</v>
      </c>
      <c r="F10853">
        <v>4</v>
      </c>
    </row>
    <row r="10854" spans="1:6" ht="13.2">
      <c r="A10854" t="s">
        <v>12047</v>
      </c>
      <c r="B10854">
        <v>0</v>
      </c>
      <c r="C10854" s="44">
        <v>3200</v>
      </c>
      <c r="D10854" t="s">
        <v>293</v>
      </c>
      <c r="E10854" t="s">
        <v>256</v>
      </c>
      <c r="F10854">
        <v>4</v>
      </c>
    </row>
    <row r="10855" spans="1:6" ht="13.2">
      <c r="A10855" t="s">
        <v>12048</v>
      </c>
      <c r="B10855">
        <v>0</v>
      </c>
      <c r="C10855" s="44">
        <v>3200</v>
      </c>
      <c r="D10855" t="s">
        <v>293</v>
      </c>
      <c r="E10855" t="s">
        <v>256</v>
      </c>
      <c r="F10855">
        <v>4</v>
      </c>
    </row>
    <row r="10856" spans="1:6" ht="13.2">
      <c r="A10856" t="s">
        <v>12049</v>
      </c>
      <c r="B10856">
        <v>0</v>
      </c>
      <c r="C10856" s="44">
        <v>3200</v>
      </c>
      <c r="D10856" t="s">
        <v>293</v>
      </c>
      <c r="E10856" t="s">
        <v>256</v>
      </c>
      <c r="F10856">
        <v>4</v>
      </c>
    </row>
    <row r="10857" spans="1:6" ht="13.2">
      <c r="A10857" t="s">
        <v>12050</v>
      </c>
      <c r="B10857">
        <v>0</v>
      </c>
      <c r="C10857" s="44">
        <v>3200</v>
      </c>
      <c r="D10857" t="s">
        <v>293</v>
      </c>
      <c r="E10857" t="s">
        <v>256</v>
      </c>
      <c r="F10857">
        <v>4</v>
      </c>
    </row>
    <row r="10858" spans="1:6" ht="13.2">
      <c r="A10858" t="s">
        <v>12051</v>
      </c>
      <c r="B10858">
        <v>0</v>
      </c>
      <c r="C10858" s="44">
        <v>3200</v>
      </c>
      <c r="D10858" t="s">
        <v>293</v>
      </c>
      <c r="E10858" t="s">
        <v>256</v>
      </c>
      <c r="F10858">
        <v>4</v>
      </c>
    </row>
    <row r="10859" spans="1:6" ht="13.2">
      <c r="A10859" t="s">
        <v>12052</v>
      </c>
      <c r="B10859">
        <v>0</v>
      </c>
      <c r="C10859" s="44">
        <v>3200</v>
      </c>
      <c r="D10859" t="s">
        <v>293</v>
      </c>
      <c r="E10859" t="s">
        <v>256</v>
      </c>
      <c r="F10859">
        <v>4</v>
      </c>
    </row>
    <row r="10860" spans="1:6" ht="13.2">
      <c r="A10860" t="s">
        <v>12053</v>
      </c>
      <c r="B10860">
        <v>0</v>
      </c>
      <c r="C10860" s="44">
        <v>3200</v>
      </c>
      <c r="D10860" t="s">
        <v>293</v>
      </c>
      <c r="E10860" t="s">
        <v>256</v>
      </c>
      <c r="F10860">
        <v>4</v>
      </c>
    </row>
    <row r="10861" spans="1:6" ht="13.2">
      <c r="A10861" t="s">
        <v>12054</v>
      </c>
      <c r="B10861">
        <v>0</v>
      </c>
      <c r="C10861" s="44">
        <v>3200</v>
      </c>
      <c r="D10861" t="s">
        <v>293</v>
      </c>
      <c r="E10861" t="s">
        <v>256</v>
      </c>
      <c r="F10861">
        <v>4</v>
      </c>
    </row>
    <row r="10862" spans="1:6" ht="13.2">
      <c r="A10862" t="s">
        <v>12055</v>
      </c>
      <c r="B10862">
        <v>0</v>
      </c>
      <c r="C10862" s="44">
        <v>3200</v>
      </c>
      <c r="D10862" t="s">
        <v>293</v>
      </c>
      <c r="E10862" t="s">
        <v>256</v>
      </c>
      <c r="F10862">
        <v>4</v>
      </c>
    </row>
    <row r="10863" spans="1:6" ht="13.2">
      <c r="A10863" t="s">
        <v>12056</v>
      </c>
      <c r="B10863">
        <v>0</v>
      </c>
      <c r="C10863" s="44">
        <v>3200</v>
      </c>
      <c r="D10863" t="s">
        <v>293</v>
      </c>
      <c r="E10863" t="s">
        <v>256</v>
      </c>
      <c r="F10863">
        <v>4</v>
      </c>
    </row>
    <row r="10864" spans="1:6" ht="13.2">
      <c r="A10864" t="s">
        <v>12057</v>
      </c>
      <c r="B10864">
        <v>0</v>
      </c>
      <c r="C10864" s="44">
        <v>3200</v>
      </c>
      <c r="D10864" t="s">
        <v>293</v>
      </c>
      <c r="E10864" t="s">
        <v>256</v>
      </c>
      <c r="F10864">
        <v>4</v>
      </c>
    </row>
    <row r="10865" spans="1:6" ht="13.2">
      <c r="A10865" t="s">
        <v>12058</v>
      </c>
      <c r="B10865">
        <v>0</v>
      </c>
      <c r="C10865" s="44">
        <v>3200</v>
      </c>
      <c r="D10865" t="s">
        <v>293</v>
      </c>
      <c r="E10865" t="s">
        <v>256</v>
      </c>
      <c r="F10865">
        <v>4</v>
      </c>
    </row>
    <row r="10866" spans="1:6" ht="13.2">
      <c r="A10866" t="s">
        <v>12059</v>
      </c>
      <c r="B10866">
        <v>0</v>
      </c>
      <c r="C10866" s="44">
        <v>3200</v>
      </c>
      <c r="D10866" t="s">
        <v>293</v>
      </c>
      <c r="E10866" t="s">
        <v>256</v>
      </c>
      <c r="F10866">
        <v>4</v>
      </c>
    </row>
    <row r="10867" spans="1:6" ht="13.2">
      <c r="A10867" t="s">
        <v>12060</v>
      </c>
      <c r="B10867">
        <v>0</v>
      </c>
      <c r="C10867" s="44">
        <v>3200</v>
      </c>
      <c r="D10867" t="s">
        <v>293</v>
      </c>
      <c r="E10867" t="s">
        <v>256</v>
      </c>
      <c r="F10867">
        <v>4</v>
      </c>
    </row>
    <row r="10868" spans="1:6" ht="13.2">
      <c r="A10868" t="s">
        <v>12061</v>
      </c>
      <c r="B10868">
        <v>0</v>
      </c>
      <c r="C10868" s="44">
        <v>3200</v>
      </c>
      <c r="D10868" t="s">
        <v>293</v>
      </c>
      <c r="E10868" t="s">
        <v>256</v>
      </c>
      <c r="F10868">
        <v>4</v>
      </c>
    </row>
    <row r="10869" spans="1:6" ht="13.2">
      <c r="A10869" t="s">
        <v>12062</v>
      </c>
      <c r="B10869">
        <v>0</v>
      </c>
      <c r="C10869" s="44">
        <v>3200</v>
      </c>
      <c r="D10869" t="s">
        <v>293</v>
      </c>
      <c r="E10869" t="s">
        <v>256</v>
      </c>
      <c r="F10869">
        <v>4</v>
      </c>
    </row>
    <row r="10870" spans="1:6" ht="13.2">
      <c r="A10870" t="s">
        <v>12063</v>
      </c>
      <c r="B10870">
        <v>0</v>
      </c>
      <c r="C10870" s="44">
        <v>3200</v>
      </c>
      <c r="D10870" t="s">
        <v>293</v>
      </c>
      <c r="E10870" t="s">
        <v>256</v>
      </c>
      <c r="F10870">
        <v>4</v>
      </c>
    </row>
    <row r="10871" spans="1:6" ht="13.2">
      <c r="A10871" t="s">
        <v>12064</v>
      </c>
      <c r="B10871">
        <v>0</v>
      </c>
      <c r="C10871" s="44">
        <v>3200</v>
      </c>
      <c r="D10871" t="s">
        <v>293</v>
      </c>
      <c r="E10871" t="s">
        <v>256</v>
      </c>
      <c r="F10871">
        <v>4</v>
      </c>
    </row>
    <row r="10872" spans="1:6" ht="13.2">
      <c r="A10872" t="s">
        <v>12065</v>
      </c>
      <c r="B10872">
        <v>0</v>
      </c>
      <c r="C10872" s="44">
        <v>1500</v>
      </c>
      <c r="D10872" t="s">
        <v>291</v>
      </c>
      <c r="E10872" t="s">
        <v>256</v>
      </c>
      <c r="F10872">
        <v>4</v>
      </c>
    </row>
    <row r="10873" spans="1:6" ht="13.2">
      <c r="A10873" t="s">
        <v>12071</v>
      </c>
      <c r="B10873">
        <v>482</v>
      </c>
      <c r="C10873" s="44">
        <v>1370</v>
      </c>
      <c r="D10873" t="s">
        <v>291</v>
      </c>
      <c r="E10873" t="s">
        <v>12072</v>
      </c>
      <c r="F10873">
        <v>4</v>
      </c>
    </row>
    <row r="10874" spans="1:6" ht="13.2">
      <c r="A10874" t="s">
        <v>12073</v>
      </c>
      <c r="B10874">
        <v>482</v>
      </c>
      <c r="C10874" s="44">
        <v>1370</v>
      </c>
      <c r="D10874" t="s">
        <v>291</v>
      </c>
      <c r="E10874" t="s">
        <v>12072</v>
      </c>
      <c r="F10874">
        <v>4</v>
      </c>
    </row>
    <row r="10875" spans="1:6" ht="13.2">
      <c r="A10875" t="s">
        <v>12074</v>
      </c>
      <c r="B10875">
        <v>482</v>
      </c>
      <c r="C10875" s="44">
        <v>1370</v>
      </c>
      <c r="D10875" t="s">
        <v>291</v>
      </c>
      <c r="E10875" t="s">
        <v>12072</v>
      </c>
      <c r="F10875">
        <v>4</v>
      </c>
    </row>
    <row r="10876" spans="1:6" ht="13.2">
      <c r="A10876" t="s">
        <v>12075</v>
      </c>
      <c r="B10876">
        <v>482</v>
      </c>
      <c r="C10876" s="44">
        <v>1370</v>
      </c>
      <c r="D10876" t="s">
        <v>291</v>
      </c>
      <c r="E10876" t="s">
        <v>12072</v>
      </c>
      <c r="F10876">
        <v>4</v>
      </c>
    </row>
    <row r="10877" spans="1:6" ht="13.2">
      <c r="A10877" t="s">
        <v>12076</v>
      </c>
      <c r="B10877">
        <v>482</v>
      </c>
      <c r="C10877" s="44">
        <v>1370</v>
      </c>
      <c r="D10877" t="s">
        <v>291</v>
      </c>
      <c r="E10877" t="s">
        <v>12072</v>
      </c>
      <c r="F10877">
        <v>4</v>
      </c>
    </row>
    <row r="10878" spans="1:6" ht="13.2">
      <c r="A10878" t="s">
        <v>12077</v>
      </c>
      <c r="B10878">
        <v>0</v>
      </c>
      <c r="C10878" s="44">
        <v>3120</v>
      </c>
      <c r="D10878" t="s">
        <v>293</v>
      </c>
      <c r="E10878" t="s">
        <v>12078</v>
      </c>
      <c r="F10878">
        <v>4</v>
      </c>
    </row>
    <row r="10879" spans="1:6" ht="13.2">
      <c r="A10879" t="s">
        <v>12079</v>
      </c>
      <c r="B10879">
        <v>0</v>
      </c>
      <c r="C10879" s="44">
        <v>3120</v>
      </c>
      <c r="D10879" t="s">
        <v>293</v>
      </c>
      <c r="E10879" t="s">
        <v>12078</v>
      </c>
      <c r="F10879">
        <v>4</v>
      </c>
    </row>
    <row r="10880" spans="1:6" ht="13.2">
      <c r="A10880" t="s">
        <v>12080</v>
      </c>
      <c r="B10880">
        <v>0</v>
      </c>
      <c r="C10880" s="44">
        <v>3120</v>
      </c>
      <c r="D10880" t="s">
        <v>293</v>
      </c>
      <c r="E10880" t="s">
        <v>12078</v>
      </c>
      <c r="F10880">
        <v>4</v>
      </c>
    </row>
    <row r="10881" spans="1:6" ht="13.2">
      <c r="A10881" t="s">
        <v>12081</v>
      </c>
      <c r="B10881">
        <v>0</v>
      </c>
      <c r="C10881" s="44">
        <v>3120</v>
      </c>
      <c r="D10881" t="s">
        <v>293</v>
      </c>
      <c r="E10881" t="s">
        <v>12078</v>
      </c>
      <c r="F10881">
        <v>4</v>
      </c>
    </row>
    <row r="10882" spans="1:6" ht="13.2">
      <c r="A10882" t="s">
        <v>12082</v>
      </c>
      <c r="B10882">
        <v>0</v>
      </c>
      <c r="C10882" s="44">
        <v>3120</v>
      </c>
      <c r="D10882" t="s">
        <v>293</v>
      </c>
      <c r="E10882" t="s">
        <v>12078</v>
      </c>
      <c r="F10882">
        <v>4</v>
      </c>
    </row>
    <row r="10883" spans="1:6" ht="13.2">
      <c r="A10883" t="s">
        <v>12083</v>
      </c>
      <c r="B10883">
        <v>0</v>
      </c>
      <c r="C10883" s="44">
        <v>3120</v>
      </c>
      <c r="D10883" t="s">
        <v>293</v>
      </c>
      <c r="E10883" t="s">
        <v>12078</v>
      </c>
      <c r="F10883">
        <v>4</v>
      </c>
    </row>
    <row r="10884" spans="1:6" ht="13.2">
      <c r="A10884" t="s">
        <v>12084</v>
      </c>
      <c r="B10884">
        <v>0</v>
      </c>
      <c r="C10884" s="44">
        <v>3120</v>
      </c>
      <c r="D10884" t="s">
        <v>293</v>
      </c>
      <c r="E10884" t="s">
        <v>12078</v>
      </c>
      <c r="F10884">
        <v>4</v>
      </c>
    </row>
    <row r="10885" spans="1:6" ht="13.2">
      <c r="A10885" t="s">
        <v>12085</v>
      </c>
      <c r="B10885">
        <v>0</v>
      </c>
      <c r="C10885" s="44">
        <v>3120</v>
      </c>
      <c r="D10885" t="s">
        <v>293</v>
      </c>
      <c r="E10885" t="s">
        <v>12078</v>
      </c>
      <c r="F10885">
        <v>4</v>
      </c>
    </row>
    <row r="10886" spans="1:6" ht="13.2">
      <c r="A10886" t="s">
        <v>12086</v>
      </c>
      <c r="B10886">
        <v>0</v>
      </c>
      <c r="C10886" s="44">
        <v>3120</v>
      </c>
      <c r="D10886" t="s">
        <v>293</v>
      </c>
      <c r="E10886" t="s">
        <v>12078</v>
      </c>
      <c r="F10886">
        <v>4</v>
      </c>
    </row>
    <row r="10887" spans="1:6" ht="13.2">
      <c r="A10887" t="s">
        <v>12087</v>
      </c>
      <c r="B10887">
        <v>0</v>
      </c>
      <c r="C10887" s="44">
        <v>3120</v>
      </c>
      <c r="D10887" t="s">
        <v>293</v>
      </c>
      <c r="E10887" t="s">
        <v>12078</v>
      </c>
      <c r="F10887">
        <v>4</v>
      </c>
    </row>
    <row r="10888" spans="1:6" ht="13.2">
      <c r="A10888" t="s">
        <v>12088</v>
      </c>
      <c r="B10888">
        <v>0</v>
      </c>
      <c r="C10888" s="44">
        <v>3120</v>
      </c>
      <c r="D10888" t="s">
        <v>293</v>
      </c>
      <c r="E10888" t="s">
        <v>12078</v>
      </c>
      <c r="F10888">
        <v>4</v>
      </c>
    </row>
    <row r="10889" spans="1:6" ht="13.2">
      <c r="A10889" t="s">
        <v>12089</v>
      </c>
      <c r="B10889">
        <v>0</v>
      </c>
      <c r="C10889" s="44">
        <v>3120</v>
      </c>
      <c r="D10889" t="s">
        <v>293</v>
      </c>
      <c r="E10889" t="s">
        <v>12078</v>
      </c>
      <c r="F10889">
        <v>4</v>
      </c>
    </row>
    <row r="10890" spans="1:6" ht="13.2">
      <c r="A10890" t="s">
        <v>12090</v>
      </c>
      <c r="B10890">
        <v>0</v>
      </c>
      <c r="C10890" s="44">
        <v>3120</v>
      </c>
      <c r="D10890" t="s">
        <v>293</v>
      </c>
      <c r="E10890" t="s">
        <v>12078</v>
      </c>
      <c r="F10890">
        <v>4</v>
      </c>
    </row>
    <row r="10891" spans="1:6" ht="13.2">
      <c r="A10891" t="s">
        <v>12096</v>
      </c>
      <c r="B10891">
        <v>0</v>
      </c>
      <c r="C10891" s="44">
        <v>3000</v>
      </c>
      <c r="D10891" t="s">
        <v>293</v>
      </c>
      <c r="E10891" t="s">
        <v>364</v>
      </c>
      <c r="F10891">
        <v>4</v>
      </c>
    </row>
    <row r="10892" spans="1:6" ht="13.2">
      <c r="A10892" t="s">
        <v>12097</v>
      </c>
      <c r="B10892">
        <v>0</v>
      </c>
      <c r="C10892" s="44">
        <v>3000</v>
      </c>
      <c r="D10892" t="s">
        <v>293</v>
      </c>
      <c r="E10892" t="s">
        <v>364</v>
      </c>
      <c r="F10892">
        <v>4</v>
      </c>
    </row>
    <row r="10893" spans="1:6" ht="13.2">
      <c r="A10893" t="s">
        <v>12098</v>
      </c>
      <c r="B10893">
        <v>0</v>
      </c>
      <c r="C10893" s="44">
        <v>3000</v>
      </c>
      <c r="D10893" t="s">
        <v>293</v>
      </c>
      <c r="E10893" t="s">
        <v>364</v>
      </c>
      <c r="F10893">
        <v>4</v>
      </c>
    </row>
    <row r="10894" spans="1:6" ht="13.2">
      <c r="A10894" t="s">
        <v>12099</v>
      </c>
      <c r="B10894">
        <v>0</v>
      </c>
      <c r="C10894" s="44">
        <v>3000</v>
      </c>
      <c r="D10894" t="s">
        <v>293</v>
      </c>
      <c r="E10894" t="s">
        <v>364</v>
      </c>
      <c r="F10894">
        <v>4</v>
      </c>
    </row>
    <row r="10895" spans="1:6" ht="13.2">
      <c r="A10895" t="s">
        <v>12100</v>
      </c>
      <c r="B10895">
        <v>0</v>
      </c>
      <c r="C10895" s="44">
        <v>3000</v>
      </c>
      <c r="D10895" t="s">
        <v>293</v>
      </c>
      <c r="E10895" t="s">
        <v>364</v>
      </c>
      <c r="F10895">
        <v>4</v>
      </c>
    </row>
    <row r="10896" spans="1:6" ht="13.2">
      <c r="A10896" t="s">
        <v>12101</v>
      </c>
      <c r="B10896">
        <v>0</v>
      </c>
      <c r="C10896" s="44">
        <v>3000</v>
      </c>
      <c r="D10896" t="s">
        <v>293</v>
      </c>
      <c r="E10896" t="s">
        <v>364</v>
      </c>
      <c r="F10896">
        <v>4</v>
      </c>
    </row>
    <row r="10897" spans="1:6" ht="13.2">
      <c r="A10897" t="s">
        <v>12102</v>
      </c>
      <c r="B10897">
        <v>0</v>
      </c>
      <c r="C10897" s="44">
        <v>3000</v>
      </c>
      <c r="D10897" t="s">
        <v>293</v>
      </c>
      <c r="E10897" t="s">
        <v>364</v>
      </c>
      <c r="F10897">
        <v>4</v>
      </c>
    </row>
    <row r="10898" spans="1:6" ht="13.2">
      <c r="A10898" t="s">
        <v>12103</v>
      </c>
      <c r="B10898">
        <v>0</v>
      </c>
      <c r="C10898" s="44">
        <v>3000</v>
      </c>
      <c r="D10898" t="s">
        <v>293</v>
      </c>
      <c r="E10898" t="s">
        <v>364</v>
      </c>
      <c r="F10898">
        <v>4</v>
      </c>
    </row>
    <row r="10899" spans="1:6" ht="13.2">
      <c r="A10899" t="s">
        <v>12104</v>
      </c>
      <c r="B10899">
        <v>0</v>
      </c>
      <c r="C10899" s="44">
        <v>3000</v>
      </c>
      <c r="D10899" t="s">
        <v>293</v>
      </c>
      <c r="E10899" t="s">
        <v>364</v>
      </c>
      <c r="F10899">
        <v>4</v>
      </c>
    </row>
    <row r="10900" spans="1:6" ht="13.2">
      <c r="A10900" t="s">
        <v>12105</v>
      </c>
      <c r="B10900">
        <v>0</v>
      </c>
      <c r="C10900" s="44">
        <v>3000</v>
      </c>
      <c r="D10900" t="s">
        <v>293</v>
      </c>
      <c r="E10900" t="s">
        <v>364</v>
      </c>
      <c r="F10900">
        <v>4</v>
      </c>
    </row>
    <row r="10901" spans="1:6" ht="13.2">
      <c r="A10901" t="s">
        <v>12106</v>
      </c>
      <c r="B10901">
        <v>0</v>
      </c>
      <c r="C10901" s="44">
        <v>3000</v>
      </c>
      <c r="D10901" t="s">
        <v>293</v>
      </c>
      <c r="E10901" t="s">
        <v>364</v>
      </c>
      <c r="F10901">
        <v>4</v>
      </c>
    </row>
    <row r="10902" spans="1:6" ht="13.2">
      <c r="A10902" t="s">
        <v>12107</v>
      </c>
      <c r="B10902">
        <v>0</v>
      </c>
      <c r="C10902" s="44">
        <v>3000</v>
      </c>
      <c r="D10902" t="s">
        <v>293</v>
      </c>
      <c r="E10902" t="s">
        <v>364</v>
      </c>
      <c r="F10902">
        <v>4</v>
      </c>
    </row>
    <row r="10903" spans="1:6" ht="13.2">
      <c r="A10903" t="s">
        <v>12108</v>
      </c>
      <c r="B10903">
        <v>0</v>
      </c>
      <c r="C10903" s="44">
        <v>3000</v>
      </c>
      <c r="D10903" t="s">
        <v>293</v>
      </c>
      <c r="E10903" t="s">
        <v>364</v>
      </c>
      <c r="F10903">
        <v>4</v>
      </c>
    </row>
    <row r="10904" spans="1:6" ht="13.2">
      <c r="A10904" t="s">
        <v>12109</v>
      </c>
      <c r="B10904">
        <v>0</v>
      </c>
      <c r="C10904" s="44">
        <v>3000</v>
      </c>
      <c r="D10904" t="s">
        <v>293</v>
      </c>
      <c r="E10904" t="s">
        <v>364</v>
      </c>
      <c r="F10904">
        <v>4</v>
      </c>
    </row>
    <row r="10905" spans="1:6" ht="13.2">
      <c r="A10905" t="s">
        <v>12119</v>
      </c>
      <c r="B10905">
        <v>0</v>
      </c>
      <c r="C10905" s="44" t="s">
        <v>201</v>
      </c>
      <c r="D10905" t="s">
        <v>293</v>
      </c>
      <c r="E10905" t="s">
        <v>12120</v>
      </c>
      <c r="F10905">
        <v>4</v>
      </c>
    </row>
    <row r="10906" spans="1:6" ht="13.2">
      <c r="A10906" t="s">
        <v>12121</v>
      </c>
      <c r="B10906">
        <v>0</v>
      </c>
      <c r="C10906" s="44">
        <v>3200</v>
      </c>
      <c r="D10906" t="s">
        <v>293</v>
      </c>
      <c r="E10906" t="s">
        <v>256</v>
      </c>
      <c r="F10906" t="s">
        <v>3824</v>
      </c>
    </row>
  </sheetData>
  <pageMargins left="1.69212598425273" right="1.69212598425273" top="1.315" bottom="0.75" header="0.3" footer="0.3"/>
  <pageSetup horizontalDpi="300" verticalDpi="300" orientation="portrait" paperSize="9" scale="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EB395-9BFD-444C-8C9E-134A8D9ED048}">
  <sheetPr codeName="Sheet11"/>
  <dimension ref="A1:H319"/>
  <sheetViews>
    <sheetView workbookViewId="0" topLeftCell="A1">
      <selection pane="topLeft" activeCell="A10" sqref="A10:XFD10"/>
    </sheetView>
  </sheetViews>
  <sheetFormatPr defaultColWidth="9.33203125" defaultRowHeight="13.5"/>
  <cols>
    <col min="1" max="1" width="68" bestFit="1" customWidth="1"/>
    <col min="2" max="2" width="13.4285714285714" bestFit="1" customWidth="1"/>
    <col min="3" max="3" width="77.5714285714286" bestFit="1" customWidth="1"/>
    <col min="4" max="4" width="14.4285714285714" bestFit="1" customWidth="1"/>
    <col min="5" max="5" width="12.4285714285714" bestFit="1" customWidth="1"/>
    <col min="6" max="6" width="10.5714285714286" bestFit="1" customWidth="1"/>
    <col min="7" max="7" width="17.5714285714286" customWidth="1"/>
  </cols>
  <sheetData>
    <row r="1" spans="1:8" ht="39.75" customHeight="1">
      <c r="A1" s="129" t="s">
        <v>168</v>
      </c>
      <c r="B1" s="129" t="s">
        <v>194</v>
      </c>
      <c r="C1" s="129"/>
      <c r="D1" s="129" t="s">
        <v>198</v>
      </c>
      <c r="E1" s="129" t="s">
        <v>114</v>
      </c>
      <c r="F1" s="129" t="s">
        <v>5798</v>
      </c>
      <c r="G1" s="129" t="s">
        <v>355</v>
      </c>
      <c r="H1" s="129" t="s">
        <v>195</v>
      </c>
    </row>
    <row r="2" spans="1:6" ht="13.2">
      <c r="A2" t="s">
        <v>5784</v>
      </c>
      <c r="B2" t="s">
        <v>190</v>
      </c>
      <c r="C2" t="str">
        <f>CONCATENATE(A2," ",B2)</f>
        <v>1 Pass (Drop) Lining Ivory</v>
      </c>
      <c r="D2">
        <v>0</v>
      </c>
      <c r="F2" t="s">
        <v>403</v>
      </c>
    </row>
    <row r="3" spans="1:6" ht="13.2">
      <c r="A3" t="s">
        <v>5785</v>
      </c>
      <c r="B3" t="s">
        <v>190</v>
      </c>
      <c r="C3" t="str">
        <f t="shared" si="0" ref="C3:C67">CONCATENATE(A3," ",B3)</f>
        <v>3 Pass (Drop) Lining with Bumph Ivory</v>
      </c>
      <c r="D3">
        <v>0</v>
      </c>
      <c r="F3" t="s">
        <v>403</v>
      </c>
    </row>
    <row r="4" spans="1:6" ht="13.2">
      <c r="A4" t="s">
        <v>5785</v>
      </c>
      <c r="B4" t="s">
        <v>191</v>
      </c>
      <c r="C4" t="str">
        <f t="shared" si="0"/>
        <v>3 Pass (Drop) Lining with Bumph White</v>
      </c>
      <c r="D4">
        <v>0</v>
      </c>
      <c r="F4" t="s">
        <v>403</v>
      </c>
    </row>
    <row r="5" spans="1:6" ht="13.2">
      <c r="A5" t="s">
        <v>5787</v>
      </c>
      <c r="B5" t="s">
        <v>190</v>
      </c>
      <c r="C5" t="str">
        <f t="shared" si="0"/>
        <v>3 Pass (Drop) Lining with European Bumph Interlining Ivory</v>
      </c>
      <c r="D5">
        <v>0</v>
      </c>
      <c r="F5" t="s">
        <v>403</v>
      </c>
    </row>
    <row r="6" spans="1:6" ht="13.2">
      <c r="A6" t="s">
        <v>5787</v>
      </c>
      <c r="B6" t="s">
        <v>191</v>
      </c>
      <c r="C6" t="str">
        <f t="shared" si="0"/>
        <v>3 Pass (Drop) Lining with European Bumph Interlining White</v>
      </c>
      <c r="D6">
        <v>0</v>
      </c>
      <c r="F6" t="s">
        <v>403</v>
      </c>
    </row>
    <row r="7" spans="1:6" ht="13.2">
      <c r="A7" t="s">
        <v>7469</v>
      </c>
      <c r="B7" t="s">
        <v>190</v>
      </c>
      <c r="C7" t="str">
        <f t="shared" si="0"/>
        <v>3 Pass 300cm (Continuous) Lining Ivory</v>
      </c>
      <c r="D7">
        <v>0</v>
      </c>
      <c r="F7" t="s">
        <v>403</v>
      </c>
    </row>
    <row r="8" spans="1:6" ht="13.2">
      <c r="A8" t="s">
        <v>7469</v>
      </c>
      <c r="B8" t="s">
        <v>191</v>
      </c>
      <c r="C8" t="str">
        <f t="shared" si="0"/>
        <v>3 Pass 300cm (Continuous) Lining White</v>
      </c>
      <c r="D8">
        <v>0</v>
      </c>
      <c r="F8" t="s">
        <v>403</v>
      </c>
    </row>
    <row r="9" spans="1:6" ht="13.2">
      <c r="A9" t="s">
        <v>5788</v>
      </c>
      <c r="B9" t="s">
        <v>190</v>
      </c>
      <c r="C9" t="str">
        <f t="shared" si="0"/>
        <v>3 Pass (Drop) Lining Ivory</v>
      </c>
      <c r="D9">
        <v>0</v>
      </c>
      <c r="F9" t="s">
        <v>403</v>
      </c>
    </row>
    <row r="10" spans="1:6" ht="13.2">
      <c r="A10" t="s">
        <v>5788</v>
      </c>
      <c r="B10" t="s">
        <v>5843</v>
      </c>
      <c r="C10" t="str">
        <f t="shared" si="0"/>
        <v>3 Pass (Drop) Lining Ecru</v>
      </c>
      <c r="D10">
        <v>0</v>
      </c>
      <c r="F10" t="s">
        <v>403</v>
      </c>
    </row>
    <row r="11" spans="1:6" ht="13.2">
      <c r="A11" t="s">
        <v>5788</v>
      </c>
      <c r="B11" t="s">
        <v>191</v>
      </c>
      <c r="C11" t="str">
        <f t="shared" si="0"/>
        <v>3 Pass (Drop) Lining White</v>
      </c>
      <c r="D11">
        <v>0</v>
      </c>
      <c r="F11" t="s">
        <v>403</v>
      </c>
    </row>
    <row r="12" spans="1:8" ht="13.2">
      <c r="A12" t="s">
        <v>5789</v>
      </c>
      <c r="B12" t="s">
        <v>5799</v>
      </c>
      <c r="C12" t="str">
        <f t="shared" si="0"/>
        <v>Charles Parsons Guardian Sheerline 300cm (Continuous) Uncoated Ivory/Off White</v>
      </c>
      <c r="D12">
        <v>0</v>
      </c>
      <c r="E12">
        <v>3000</v>
      </c>
      <c r="F12" t="s">
        <v>293</v>
      </c>
      <c r="G12" t="s">
        <v>256</v>
      </c>
      <c r="H12">
        <v>4</v>
      </c>
    </row>
    <row r="13" spans="1:8" ht="13.2">
      <c r="A13" t="s">
        <v>5790</v>
      </c>
      <c r="B13" t="s">
        <v>5800</v>
      </c>
      <c r="C13" t="str">
        <f t="shared" si="0"/>
        <v>Charles Parsons Moroso Ultimate 280cm (Continuous) Lining Cocoa</v>
      </c>
      <c r="D13">
        <v>0</v>
      </c>
      <c r="E13">
        <v>2800</v>
      </c>
      <c r="F13" t="s">
        <v>293</v>
      </c>
      <c r="G13" t="s">
        <v>256</v>
      </c>
      <c r="H13">
        <v>3</v>
      </c>
    </row>
    <row r="14" spans="1:8" ht="13.2">
      <c r="A14" t="s">
        <v>5790</v>
      </c>
      <c r="B14" t="s">
        <v>5801</v>
      </c>
      <c r="C14" t="str">
        <f t="shared" si="0"/>
        <v>Charles Parsons Moroso Ultimate 280cm (Continuous) Lining Ice</v>
      </c>
      <c r="D14">
        <v>0</v>
      </c>
      <c r="E14">
        <v>2800</v>
      </c>
      <c r="F14" t="s">
        <v>293</v>
      </c>
      <c r="G14" t="s">
        <v>256</v>
      </c>
      <c r="H14">
        <v>3</v>
      </c>
    </row>
    <row r="15" spans="1:8" ht="13.2">
      <c r="A15" t="s">
        <v>5790</v>
      </c>
      <c r="B15" t="s">
        <v>190</v>
      </c>
      <c r="C15" t="str">
        <f t="shared" si="0"/>
        <v>Charles Parsons Moroso Ultimate 280cm (Continuous) Lining Ivory</v>
      </c>
      <c r="D15">
        <v>0</v>
      </c>
      <c r="E15">
        <v>2800</v>
      </c>
      <c r="F15" t="s">
        <v>293</v>
      </c>
      <c r="G15" t="s">
        <v>256</v>
      </c>
      <c r="H15">
        <v>3</v>
      </c>
    </row>
    <row r="16" spans="1:8" ht="13.2">
      <c r="A16" t="s">
        <v>5790</v>
      </c>
      <c r="B16" t="s">
        <v>5802</v>
      </c>
      <c r="C16" t="str">
        <f t="shared" si="0"/>
        <v>Charles Parsons Moroso Ultimate 280cm (Continuous) Lining Latte</v>
      </c>
      <c r="D16">
        <v>0</v>
      </c>
      <c r="E16">
        <v>2800</v>
      </c>
      <c r="F16" t="s">
        <v>293</v>
      </c>
      <c r="G16" t="s">
        <v>256</v>
      </c>
      <c r="H16">
        <v>3</v>
      </c>
    </row>
    <row r="17" spans="1:8" ht="13.2">
      <c r="A17" t="s">
        <v>5790</v>
      </c>
      <c r="B17" t="s">
        <v>5803</v>
      </c>
      <c r="C17" t="str">
        <f t="shared" si="0"/>
        <v>Charles Parsons Moroso Ultimate 280cm (Continuous) Lining Licorice</v>
      </c>
      <c r="D17">
        <v>0</v>
      </c>
      <c r="E17">
        <v>2800</v>
      </c>
      <c r="F17" t="s">
        <v>293</v>
      </c>
      <c r="G17" t="s">
        <v>256</v>
      </c>
      <c r="H17">
        <v>3</v>
      </c>
    </row>
    <row r="18" spans="1:8" ht="13.2">
      <c r="A18" t="s">
        <v>5790</v>
      </c>
      <c r="B18" t="s">
        <v>5804</v>
      </c>
      <c r="C18" t="str">
        <f t="shared" si="0"/>
        <v>Charles Parsons Moroso Ultimate 280cm (Continuous) Lining Macadamia</v>
      </c>
      <c r="D18">
        <v>0</v>
      </c>
      <c r="E18">
        <v>2800</v>
      </c>
      <c r="F18" t="s">
        <v>293</v>
      </c>
      <c r="G18" t="s">
        <v>256</v>
      </c>
      <c r="H18">
        <v>3</v>
      </c>
    </row>
    <row r="19" spans="1:8" ht="13.2">
      <c r="A19" t="s">
        <v>5790</v>
      </c>
      <c r="B19" t="s">
        <v>5805</v>
      </c>
      <c r="C19" t="str">
        <f t="shared" si="0"/>
        <v>Charles Parsons Moroso Ultimate 280cm (Continuous) Lining Mocha</v>
      </c>
      <c r="D19">
        <v>0</v>
      </c>
      <c r="E19">
        <v>2800</v>
      </c>
      <c r="F19" t="s">
        <v>293</v>
      </c>
      <c r="G19" t="s">
        <v>256</v>
      </c>
      <c r="H19">
        <v>3</v>
      </c>
    </row>
    <row r="20" spans="1:8" ht="13.2">
      <c r="A20" t="s">
        <v>5790</v>
      </c>
      <c r="B20" t="s">
        <v>429</v>
      </c>
      <c r="C20" t="str">
        <f t="shared" si="0"/>
        <v>Charles Parsons Moroso Ultimate 280cm (Continuous) Lining Pewter</v>
      </c>
      <c r="D20">
        <v>0</v>
      </c>
      <c r="E20">
        <v>2800</v>
      </c>
      <c r="F20" t="s">
        <v>293</v>
      </c>
      <c r="G20" t="s">
        <v>256</v>
      </c>
      <c r="H20">
        <v>3</v>
      </c>
    </row>
    <row r="21" spans="1:8" ht="13.2">
      <c r="A21" t="s">
        <v>5790</v>
      </c>
      <c r="B21" t="s">
        <v>5806</v>
      </c>
      <c r="C21" t="str">
        <f t="shared" si="0"/>
        <v>Charles Parsons Moroso Ultimate 280cm (Continuous) Lining Putty</v>
      </c>
      <c r="D21">
        <v>0</v>
      </c>
      <c r="E21">
        <v>2800</v>
      </c>
      <c r="F21" t="s">
        <v>293</v>
      </c>
      <c r="G21" t="s">
        <v>256</v>
      </c>
      <c r="H21">
        <v>3</v>
      </c>
    </row>
    <row r="22" spans="1:8" ht="13.2">
      <c r="A22" t="s">
        <v>5790</v>
      </c>
      <c r="B22" t="s">
        <v>5807</v>
      </c>
      <c r="C22" t="str">
        <f t="shared" si="0"/>
        <v>Charles Parsons Moroso Ultimate 280cm (Continuous) Lining Shell</v>
      </c>
      <c r="D22">
        <v>0</v>
      </c>
      <c r="E22">
        <v>2800</v>
      </c>
      <c r="F22" t="s">
        <v>293</v>
      </c>
      <c r="G22" t="s">
        <v>256</v>
      </c>
      <c r="H22">
        <v>3</v>
      </c>
    </row>
    <row r="23" spans="1:8" ht="13.2">
      <c r="A23" t="s">
        <v>5790</v>
      </c>
      <c r="B23" t="s">
        <v>5808</v>
      </c>
      <c r="C23" t="str">
        <f t="shared" si="0"/>
        <v>Charles Parsons Moroso Ultimate 280cm (Continuous) Lining Silver</v>
      </c>
      <c r="D23">
        <v>0</v>
      </c>
      <c r="E23">
        <v>2800</v>
      </c>
      <c r="F23" t="s">
        <v>293</v>
      </c>
      <c r="G23" t="s">
        <v>256</v>
      </c>
      <c r="H23">
        <v>3</v>
      </c>
    </row>
    <row r="24" spans="1:8" ht="13.2">
      <c r="A24" t="s">
        <v>5790</v>
      </c>
      <c r="B24" t="s">
        <v>5809</v>
      </c>
      <c r="C24" t="str">
        <f t="shared" si="0"/>
        <v>Charles Parsons Moroso Ultimate 280cm (Continuous) Lining Slate</v>
      </c>
      <c r="D24">
        <v>0</v>
      </c>
      <c r="E24">
        <v>2800</v>
      </c>
      <c r="F24" t="s">
        <v>293</v>
      </c>
      <c r="G24" t="s">
        <v>256</v>
      </c>
      <c r="H24">
        <v>3</v>
      </c>
    </row>
    <row r="25" spans="1:8" ht="13.2">
      <c r="A25" t="s">
        <v>5790</v>
      </c>
      <c r="B25" t="s">
        <v>369</v>
      </c>
      <c r="C25" t="str">
        <f t="shared" si="0"/>
        <v>Charles Parsons Moroso Ultimate 280cm (Continuous) Lining TBA</v>
      </c>
      <c r="D25">
        <v>0</v>
      </c>
      <c r="E25">
        <v>2800</v>
      </c>
      <c r="F25" t="s">
        <v>293</v>
      </c>
      <c r="G25" t="s">
        <v>256</v>
      </c>
      <c r="H25">
        <v>3</v>
      </c>
    </row>
    <row r="26" spans="1:8" ht="13.2">
      <c r="A26" t="s">
        <v>5790</v>
      </c>
      <c r="B26" t="s">
        <v>191</v>
      </c>
      <c r="C26" t="str">
        <f t="shared" si="0"/>
        <v>Charles Parsons Moroso Ultimate 280cm (Continuous) Lining White</v>
      </c>
      <c r="D26">
        <v>0</v>
      </c>
      <c r="E26">
        <v>2800</v>
      </c>
      <c r="F26" t="s">
        <v>293</v>
      </c>
      <c r="G26" t="s">
        <v>256</v>
      </c>
      <c r="H26">
        <v>3</v>
      </c>
    </row>
    <row r="27" spans="1:8" ht="13.2">
      <c r="A27" t="s">
        <v>5791</v>
      </c>
      <c r="B27" t="s">
        <v>5800</v>
      </c>
      <c r="C27" t="str">
        <f t="shared" si="0"/>
        <v>Charles Parsons Moroso Ultimate 280cm (Drop) Lining Cocoa</v>
      </c>
      <c r="D27">
        <v>0</v>
      </c>
      <c r="E27">
        <v>2800</v>
      </c>
      <c r="F27" t="s">
        <v>291</v>
      </c>
      <c r="G27" t="s">
        <v>256</v>
      </c>
      <c r="H27">
        <v>3</v>
      </c>
    </row>
    <row r="28" spans="1:8" ht="13.2">
      <c r="A28" t="s">
        <v>5791</v>
      </c>
      <c r="B28" t="s">
        <v>5801</v>
      </c>
      <c r="C28" t="str">
        <f t="shared" si="0"/>
        <v>Charles Parsons Moroso Ultimate 280cm (Drop) Lining Ice</v>
      </c>
      <c r="D28">
        <v>0</v>
      </c>
      <c r="E28">
        <v>2800</v>
      </c>
      <c r="F28" t="s">
        <v>291</v>
      </c>
      <c r="G28" t="s">
        <v>256</v>
      </c>
      <c r="H28">
        <v>3</v>
      </c>
    </row>
    <row r="29" spans="1:8" ht="13.2">
      <c r="A29" t="s">
        <v>5791</v>
      </c>
      <c r="B29" t="s">
        <v>190</v>
      </c>
      <c r="C29" t="str">
        <f t="shared" si="0"/>
        <v>Charles Parsons Moroso Ultimate 280cm (Drop) Lining Ivory</v>
      </c>
      <c r="D29">
        <v>0</v>
      </c>
      <c r="E29">
        <v>2800</v>
      </c>
      <c r="F29" t="s">
        <v>291</v>
      </c>
      <c r="G29" t="s">
        <v>256</v>
      </c>
      <c r="H29">
        <v>3</v>
      </c>
    </row>
    <row r="30" spans="1:8" ht="13.2">
      <c r="A30" t="s">
        <v>5791</v>
      </c>
      <c r="B30" t="s">
        <v>5802</v>
      </c>
      <c r="C30" t="str">
        <f t="shared" si="0"/>
        <v>Charles Parsons Moroso Ultimate 280cm (Drop) Lining Latte</v>
      </c>
      <c r="D30">
        <v>0</v>
      </c>
      <c r="E30">
        <v>2800</v>
      </c>
      <c r="F30" t="s">
        <v>291</v>
      </c>
      <c r="G30" t="s">
        <v>256</v>
      </c>
      <c r="H30">
        <v>3</v>
      </c>
    </row>
    <row r="31" spans="1:8" ht="13.2">
      <c r="A31" t="s">
        <v>5791</v>
      </c>
      <c r="B31" t="s">
        <v>5803</v>
      </c>
      <c r="C31" t="str">
        <f t="shared" si="0"/>
        <v>Charles Parsons Moroso Ultimate 280cm (Drop) Lining Licorice</v>
      </c>
      <c r="D31">
        <v>0</v>
      </c>
      <c r="E31">
        <v>2800</v>
      </c>
      <c r="F31" t="s">
        <v>291</v>
      </c>
      <c r="G31" t="s">
        <v>256</v>
      </c>
      <c r="H31">
        <v>3</v>
      </c>
    </row>
    <row r="32" spans="1:8" ht="13.2">
      <c r="A32" t="s">
        <v>5791</v>
      </c>
      <c r="B32" t="s">
        <v>5804</v>
      </c>
      <c r="C32" t="str">
        <f t="shared" si="0"/>
        <v>Charles Parsons Moroso Ultimate 280cm (Drop) Lining Macadamia</v>
      </c>
      <c r="D32">
        <v>0</v>
      </c>
      <c r="E32">
        <v>2800</v>
      </c>
      <c r="F32" t="s">
        <v>291</v>
      </c>
      <c r="G32" t="s">
        <v>256</v>
      </c>
      <c r="H32">
        <v>3</v>
      </c>
    </row>
    <row r="33" spans="1:8" ht="13.2">
      <c r="A33" t="s">
        <v>5791</v>
      </c>
      <c r="B33" t="s">
        <v>5805</v>
      </c>
      <c r="C33" t="str">
        <f t="shared" si="0"/>
        <v>Charles Parsons Moroso Ultimate 280cm (Drop) Lining Mocha</v>
      </c>
      <c r="D33">
        <v>0</v>
      </c>
      <c r="E33">
        <v>2800</v>
      </c>
      <c r="F33" t="s">
        <v>291</v>
      </c>
      <c r="G33" t="s">
        <v>256</v>
      </c>
      <c r="H33">
        <v>3</v>
      </c>
    </row>
    <row r="34" spans="1:8" ht="13.2">
      <c r="A34" t="s">
        <v>5791</v>
      </c>
      <c r="B34" t="s">
        <v>429</v>
      </c>
      <c r="C34" t="str">
        <f t="shared" si="0"/>
        <v>Charles Parsons Moroso Ultimate 280cm (Drop) Lining Pewter</v>
      </c>
      <c r="D34">
        <v>0</v>
      </c>
      <c r="E34">
        <v>2800</v>
      </c>
      <c r="F34" t="s">
        <v>291</v>
      </c>
      <c r="G34" t="s">
        <v>256</v>
      </c>
      <c r="H34">
        <v>3</v>
      </c>
    </row>
    <row r="35" spans="1:8" ht="13.2">
      <c r="A35" t="s">
        <v>5791</v>
      </c>
      <c r="B35" t="s">
        <v>5806</v>
      </c>
      <c r="C35" t="str">
        <f t="shared" si="0"/>
        <v>Charles Parsons Moroso Ultimate 280cm (Drop) Lining Putty</v>
      </c>
      <c r="D35">
        <v>0</v>
      </c>
      <c r="E35">
        <v>2800</v>
      </c>
      <c r="F35" t="s">
        <v>291</v>
      </c>
      <c r="G35" t="s">
        <v>256</v>
      </c>
      <c r="H35">
        <v>3</v>
      </c>
    </row>
    <row r="36" spans="1:8" ht="13.2">
      <c r="A36" t="s">
        <v>5791</v>
      </c>
      <c r="B36" t="s">
        <v>5807</v>
      </c>
      <c r="C36" t="str">
        <f t="shared" si="0"/>
        <v>Charles Parsons Moroso Ultimate 280cm (Drop) Lining Shell</v>
      </c>
      <c r="D36">
        <v>0</v>
      </c>
      <c r="E36">
        <v>2800</v>
      </c>
      <c r="F36" t="s">
        <v>291</v>
      </c>
      <c r="G36" t="s">
        <v>256</v>
      </c>
      <c r="H36">
        <v>3</v>
      </c>
    </row>
    <row r="37" spans="1:8" ht="13.2">
      <c r="A37" t="s">
        <v>5791</v>
      </c>
      <c r="B37" t="s">
        <v>5808</v>
      </c>
      <c r="C37" t="str">
        <f t="shared" si="0"/>
        <v>Charles Parsons Moroso Ultimate 280cm (Drop) Lining Silver</v>
      </c>
      <c r="D37">
        <v>0</v>
      </c>
      <c r="E37">
        <v>2800</v>
      </c>
      <c r="F37" t="s">
        <v>291</v>
      </c>
      <c r="G37" t="s">
        <v>256</v>
      </c>
      <c r="H37">
        <v>3</v>
      </c>
    </row>
    <row r="38" spans="1:8" ht="13.2">
      <c r="A38" t="s">
        <v>5791</v>
      </c>
      <c r="B38" t="s">
        <v>5809</v>
      </c>
      <c r="C38" t="str">
        <f t="shared" si="0"/>
        <v>Charles Parsons Moroso Ultimate 280cm (Drop) Lining Slate</v>
      </c>
      <c r="D38">
        <v>0</v>
      </c>
      <c r="E38">
        <v>2800</v>
      </c>
      <c r="F38" t="s">
        <v>291</v>
      </c>
      <c r="G38" t="s">
        <v>256</v>
      </c>
      <c r="H38">
        <v>3</v>
      </c>
    </row>
    <row r="39" spans="1:8" ht="13.2">
      <c r="A39" t="s">
        <v>5791</v>
      </c>
      <c r="B39" t="s">
        <v>369</v>
      </c>
      <c r="C39" t="str">
        <f t="shared" si="0"/>
        <v>Charles Parsons Moroso Ultimate 280cm (Drop) Lining TBA</v>
      </c>
      <c r="D39">
        <v>0</v>
      </c>
      <c r="E39">
        <v>2800</v>
      </c>
      <c r="F39" t="s">
        <v>291</v>
      </c>
      <c r="G39" t="s">
        <v>256</v>
      </c>
      <c r="H39">
        <v>3</v>
      </c>
    </row>
    <row r="40" spans="1:8" ht="13.2">
      <c r="A40" t="s">
        <v>5791</v>
      </c>
      <c r="B40" t="s">
        <v>191</v>
      </c>
      <c r="C40" t="str">
        <f t="shared" si="0"/>
        <v>Charles Parsons Moroso Ultimate 280cm (Drop) Lining White</v>
      </c>
      <c r="D40">
        <v>0</v>
      </c>
      <c r="E40">
        <v>2800</v>
      </c>
      <c r="F40" t="s">
        <v>291</v>
      </c>
      <c r="G40" t="s">
        <v>256</v>
      </c>
      <c r="H40">
        <v>3</v>
      </c>
    </row>
    <row r="41" spans="1:8" ht="13.2">
      <c r="A41" t="s">
        <v>5792</v>
      </c>
      <c r="B41" t="s">
        <v>5810</v>
      </c>
      <c r="C41" t="str">
        <f t="shared" si="0"/>
        <v>Filigree Simplicity 300cm (Continuous) Lining Ash</v>
      </c>
      <c r="D41">
        <v>0</v>
      </c>
      <c r="E41">
        <v>3000</v>
      </c>
      <c r="F41" t="s">
        <v>293</v>
      </c>
      <c r="G41" t="s">
        <v>256</v>
      </c>
      <c r="H41">
        <v>11</v>
      </c>
    </row>
    <row r="42" spans="1:8" ht="13.2">
      <c r="A42" t="s">
        <v>5792</v>
      </c>
      <c r="B42" t="s">
        <v>5811</v>
      </c>
      <c r="C42" t="str">
        <f t="shared" si="0"/>
        <v>Filigree Simplicity 300cm (Continuous) Lining Atmosphere</v>
      </c>
      <c r="D42">
        <v>0</v>
      </c>
      <c r="E42">
        <v>3000</v>
      </c>
      <c r="F42" t="s">
        <v>293</v>
      </c>
      <c r="G42" t="s">
        <v>256</v>
      </c>
      <c r="H42">
        <v>11</v>
      </c>
    </row>
    <row r="43" spans="1:8" ht="13.2">
      <c r="A43" t="s">
        <v>5792</v>
      </c>
      <c r="B43" t="s">
        <v>193</v>
      </c>
      <c r="C43" t="str">
        <f t="shared" si="0"/>
        <v>Filigree Simplicity 300cm (Continuous) Lining Black</v>
      </c>
      <c r="D43">
        <v>0</v>
      </c>
      <c r="E43">
        <v>3000</v>
      </c>
      <c r="F43" t="s">
        <v>293</v>
      </c>
      <c r="G43" t="s">
        <v>256</v>
      </c>
      <c r="H43">
        <v>11</v>
      </c>
    </row>
    <row r="44" spans="1:8" ht="13.2">
      <c r="A44" t="s">
        <v>5792</v>
      </c>
      <c r="B44" t="s">
        <v>5812</v>
      </c>
      <c r="C44" t="str">
        <f t="shared" si="0"/>
        <v>Filigree Simplicity 300cm (Continuous) Lining Cargo</v>
      </c>
      <c r="D44">
        <v>0</v>
      </c>
      <c r="E44">
        <v>3000</v>
      </c>
      <c r="F44" t="s">
        <v>293</v>
      </c>
      <c r="G44" t="s">
        <v>256</v>
      </c>
      <c r="H44">
        <v>11</v>
      </c>
    </row>
    <row r="45" spans="1:8" ht="13.2">
      <c r="A45" t="s">
        <v>5792</v>
      </c>
      <c r="B45" t="s">
        <v>5813</v>
      </c>
      <c r="C45" t="str">
        <f t="shared" si="0"/>
        <v>Filigree Simplicity 300cm (Continuous) Lining Cashmere</v>
      </c>
      <c r="D45">
        <v>0</v>
      </c>
      <c r="E45">
        <v>3000</v>
      </c>
      <c r="F45" t="s">
        <v>293</v>
      </c>
      <c r="G45" t="s">
        <v>256</v>
      </c>
      <c r="H45">
        <v>11</v>
      </c>
    </row>
    <row r="46" spans="1:8" ht="13.2">
      <c r="A46" t="s">
        <v>5792</v>
      </c>
      <c r="B46" t="s">
        <v>5814</v>
      </c>
      <c r="C46" t="str">
        <f t="shared" si="0"/>
        <v>Filigree Simplicity 300cm (Continuous) Lining Cinder</v>
      </c>
      <c r="D46">
        <v>0</v>
      </c>
      <c r="E46">
        <v>3000</v>
      </c>
      <c r="F46" t="s">
        <v>293</v>
      </c>
      <c r="G46" t="s">
        <v>256</v>
      </c>
      <c r="H46">
        <v>11</v>
      </c>
    </row>
    <row r="47" spans="1:8" ht="13.2">
      <c r="A47" t="s">
        <v>5792</v>
      </c>
      <c r="B47" t="s">
        <v>5815</v>
      </c>
      <c r="C47" t="str">
        <f t="shared" si="0"/>
        <v>Filigree Simplicity 300cm (Continuous) Lining Dusty</v>
      </c>
      <c r="D47">
        <v>0</v>
      </c>
      <c r="E47">
        <v>3000</v>
      </c>
      <c r="F47" t="s">
        <v>293</v>
      </c>
      <c r="G47" t="s">
        <v>256</v>
      </c>
      <c r="H47">
        <v>11</v>
      </c>
    </row>
    <row r="48" spans="1:8" ht="13.2">
      <c r="A48" t="s">
        <v>5792</v>
      </c>
      <c r="B48" t="s">
        <v>5816</v>
      </c>
      <c r="C48" t="str">
        <f t="shared" si="0"/>
        <v>Filigree Simplicity 300cm (Continuous) Lining Ebony</v>
      </c>
      <c r="D48">
        <v>0</v>
      </c>
      <c r="E48">
        <v>3000</v>
      </c>
      <c r="F48" t="s">
        <v>293</v>
      </c>
      <c r="G48" t="s">
        <v>256</v>
      </c>
      <c r="H48">
        <v>11</v>
      </c>
    </row>
    <row r="49" spans="1:8" ht="13.2">
      <c r="A49" t="s">
        <v>5792</v>
      </c>
      <c r="B49" t="s">
        <v>5817</v>
      </c>
      <c r="C49" t="str">
        <f t="shared" si="0"/>
        <v>Filigree Simplicity 300cm (Continuous) Lining Eggshell</v>
      </c>
      <c r="D49">
        <v>0</v>
      </c>
      <c r="E49">
        <v>3000</v>
      </c>
      <c r="F49" t="s">
        <v>293</v>
      </c>
      <c r="G49" t="s">
        <v>256</v>
      </c>
      <c r="H49">
        <v>11</v>
      </c>
    </row>
    <row r="50" spans="1:8" ht="13.2">
      <c r="A50" t="s">
        <v>5792</v>
      </c>
      <c r="B50" t="s">
        <v>5818</v>
      </c>
      <c r="C50" t="str">
        <f t="shared" si="0"/>
        <v>Filigree Simplicity 300cm (Continuous) Lining Fable</v>
      </c>
      <c r="D50">
        <v>0</v>
      </c>
      <c r="E50">
        <v>3000</v>
      </c>
      <c r="F50" t="s">
        <v>293</v>
      </c>
      <c r="G50" t="s">
        <v>256</v>
      </c>
      <c r="H50">
        <v>11</v>
      </c>
    </row>
    <row r="51" spans="1:8" ht="13.2">
      <c r="A51" t="s">
        <v>5792</v>
      </c>
      <c r="B51" t="s">
        <v>5819</v>
      </c>
      <c r="C51" t="str">
        <f t="shared" si="0"/>
        <v>Filigree Simplicity 300cm (Continuous) Lining Fog</v>
      </c>
      <c r="D51">
        <v>0</v>
      </c>
      <c r="E51">
        <v>3000</v>
      </c>
      <c r="F51" t="s">
        <v>293</v>
      </c>
      <c r="G51" t="s">
        <v>256</v>
      </c>
      <c r="H51">
        <v>11</v>
      </c>
    </row>
    <row r="52" spans="1:8" ht="13.2">
      <c r="A52" t="s">
        <v>5792</v>
      </c>
      <c r="B52" t="s">
        <v>5783</v>
      </c>
      <c r="C52" t="str">
        <f t="shared" si="0"/>
        <v>Filigree Simplicity 300cm (Continuous) Lining Fossil</v>
      </c>
      <c r="D52">
        <v>0</v>
      </c>
      <c r="E52">
        <v>3000</v>
      </c>
      <c r="F52" t="s">
        <v>293</v>
      </c>
      <c r="G52" t="s">
        <v>256</v>
      </c>
      <c r="H52">
        <v>11</v>
      </c>
    </row>
    <row r="53" spans="1:8" ht="13.2">
      <c r="A53" t="s">
        <v>5792</v>
      </c>
      <c r="B53" t="s">
        <v>190</v>
      </c>
      <c r="C53" t="str">
        <f t="shared" si="0"/>
        <v>Filigree Simplicity 300cm (Continuous) Lining Ivory</v>
      </c>
      <c r="D53">
        <v>0</v>
      </c>
      <c r="E53">
        <v>3000</v>
      </c>
      <c r="F53" t="s">
        <v>293</v>
      </c>
      <c r="G53" t="s">
        <v>256</v>
      </c>
      <c r="H53">
        <v>11</v>
      </c>
    </row>
    <row r="54" spans="1:8" ht="13.2">
      <c r="A54" t="s">
        <v>5792</v>
      </c>
      <c r="B54" t="s">
        <v>5820</v>
      </c>
      <c r="C54" t="str">
        <f t="shared" si="0"/>
        <v>Filigree Simplicity 300cm (Continuous) Lining Moonshine</v>
      </c>
      <c r="D54">
        <v>0</v>
      </c>
      <c r="E54">
        <v>3000</v>
      </c>
      <c r="F54" t="s">
        <v>293</v>
      </c>
      <c r="G54" t="s">
        <v>256</v>
      </c>
      <c r="H54">
        <v>11</v>
      </c>
    </row>
    <row r="55" spans="1:8" ht="13.2">
      <c r="A55" t="s">
        <v>5792</v>
      </c>
      <c r="B55" t="s">
        <v>5821</v>
      </c>
      <c r="C55" t="str">
        <f t="shared" si="0"/>
        <v>Filigree Simplicity 300cm (Continuous) Lining Off White</v>
      </c>
      <c r="D55">
        <v>0</v>
      </c>
      <c r="E55">
        <v>3000</v>
      </c>
      <c r="F55" t="s">
        <v>293</v>
      </c>
      <c r="G55" t="s">
        <v>256</v>
      </c>
      <c r="H55">
        <v>11</v>
      </c>
    </row>
    <row r="56" spans="1:8" ht="13.2">
      <c r="A56" t="s">
        <v>5792</v>
      </c>
      <c r="B56" t="s">
        <v>429</v>
      </c>
      <c r="C56" t="str">
        <f t="shared" si="0"/>
        <v>Filigree Simplicity 300cm (Continuous) Lining Pewter</v>
      </c>
      <c r="D56">
        <v>0</v>
      </c>
      <c r="E56">
        <v>3000</v>
      </c>
      <c r="F56" t="s">
        <v>293</v>
      </c>
      <c r="G56" t="s">
        <v>256</v>
      </c>
      <c r="H56">
        <v>11</v>
      </c>
    </row>
    <row r="57" spans="1:8" ht="13.2">
      <c r="A57" t="s">
        <v>5792</v>
      </c>
      <c r="B57" t="s">
        <v>5822</v>
      </c>
      <c r="C57" t="str">
        <f t="shared" si="0"/>
        <v>Filigree Simplicity 300cm (Continuous) Lining Raw</v>
      </c>
      <c r="D57">
        <v>0</v>
      </c>
      <c r="E57">
        <v>3000</v>
      </c>
      <c r="F57" t="s">
        <v>293</v>
      </c>
      <c r="G57" t="s">
        <v>256</v>
      </c>
      <c r="H57">
        <v>11</v>
      </c>
    </row>
    <row r="58" spans="1:8" ht="13.2">
      <c r="A58" t="s">
        <v>5792</v>
      </c>
      <c r="B58" t="s">
        <v>5808</v>
      </c>
      <c r="C58" t="str">
        <f t="shared" si="0"/>
        <v>Filigree Simplicity 300cm (Continuous) Lining Silver</v>
      </c>
      <c r="D58">
        <v>0</v>
      </c>
      <c r="E58">
        <v>3000</v>
      </c>
      <c r="F58" t="s">
        <v>293</v>
      </c>
      <c r="G58" t="s">
        <v>256</v>
      </c>
      <c r="H58">
        <v>11</v>
      </c>
    </row>
    <row r="59" spans="1:8" ht="13.2">
      <c r="A59" t="s">
        <v>5792</v>
      </c>
      <c r="B59" t="s">
        <v>5823</v>
      </c>
      <c r="C59" t="str">
        <f t="shared" si="0"/>
        <v>Filigree Simplicity 300cm (Continuous) Lining Steel</v>
      </c>
      <c r="D59">
        <v>0</v>
      </c>
      <c r="E59">
        <v>3000</v>
      </c>
      <c r="F59" t="s">
        <v>293</v>
      </c>
      <c r="G59" t="s">
        <v>256</v>
      </c>
      <c r="H59">
        <v>11</v>
      </c>
    </row>
    <row r="60" spans="1:8" ht="13.2">
      <c r="A60" t="s">
        <v>5792</v>
      </c>
      <c r="B60" t="s">
        <v>5824</v>
      </c>
      <c r="C60" t="str">
        <f t="shared" si="0"/>
        <v>Filigree Simplicity 300cm (Continuous) Lining Stone</v>
      </c>
      <c r="D60">
        <v>0</v>
      </c>
      <c r="E60">
        <v>3000</v>
      </c>
      <c r="F60" t="s">
        <v>293</v>
      </c>
      <c r="G60" t="s">
        <v>256</v>
      </c>
      <c r="H60">
        <v>11</v>
      </c>
    </row>
    <row r="61" spans="1:8" ht="13.2">
      <c r="A61" t="s">
        <v>5792</v>
      </c>
      <c r="B61" t="s">
        <v>5825</v>
      </c>
      <c r="C61" t="str">
        <f t="shared" si="0"/>
        <v>Filigree Simplicity 300cm (Continuous) Lining Storm</v>
      </c>
      <c r="D61">
        <v>0</v>
      </c>
      <c r="E61">
        <v>3000</v>
      </c>
      <c r="F61" t="s">
        <v>293</v>
      </c>
      <c r="G61" t="s">
        <v>256</v>
      </c>
      <c r="H61">
        <v>11</v>
      </c>
    </row>
    <row r="62" spans="1:8" ht="13.2">
      <c r="A62" t="s">
        <v>5792</v>
      </c>
      <c r="B62" t="s">
        <v>369</v>
      </c>
      <c r="C62" t="str">
        <f t="shared" si="0"/>
        <v>Filigree Simplicity 300cm (Continuous) Lining TBA</v>
      </c>
      <c r="D62">
        <v>0</v>
      </c>
      <c r="E62">
        <v>3000</v>
      </c>
      <c r="F62" t="s">
        <v>293</v>
      </c>
      <c r="G62" t="s">
        <v>256</v>
      </c>
      <c r="H62">
        <v>11</v>
      </c>
    </row>
    <row r="63" spans="1:8" ht="13.2">
      <c r="A63" t="s">
        <v>5792</v>
      </c>
      <c r="B63" t="s">
        <v>5826</v>
      </c>
      <c r="C63" t="str">
        <f t="shared" si="0"/>
        <v>Filigree Simplicity 300cm (Continuous) Lining Vapour</v>
      </c>
      <c r="D63">
        <v>0</v>
      </c>
      <c r="E63">
        <v>3000</v>
      </c>
      <c r="F63" t="s">
        <v>293</v>
      </c>
      <c r="G63" t="s">
        <v>256</v>
      </c>
      <c r="H63">
        <v>11</v>
      </c>
    </row>
    <row r="64" spans="1:8" ht="13.2">
      <c r="A64" t="s">
        <v>5792</v>
      </c>
      <c r="B64" t="s">
        <v>191</v>
      </c>
      <c r="C64" t="str">
        <f t="shared" si="0"/>
        <v>Filigree Simplicity 300cm (Continuous) Lining White</v>
      </c>
      <c r="D64">
        <v>0</v>
      </c>
      <c r="E64">
        <v>3000</v>
      </c>
      <c r="F64" t="s">
        <v>293</v>
      </c>
      <c r="G64" t="s">
        <v>256</v>
      </c>
      <c r="H64">
        <v>11</v>
      </c>
    </row>
    <row r="65" spans="1:8" ht="13.2">
      <c r="A65" t="s">
        <v>5793</v>
      </c>
      <c r="B65" t="s">
        <v>5810</v>
      </c>
      <c r="C65" t="str">
        <f t="shared" si="0"/>
        <v>Filigree Simplicity 300cm (Drop) Lining Ash</v>
      </c>
      <c r="D65">
        <v>0</v>
      </c>
      <c r="E65">
        <v>3000</v>
      </c>
      <c r="F65" t="s">
        <v>291</v>
      </c>
      <c r="G65" t="s">
        <v>256</v>
      </c>
      <c r="H65">
        <v>11</v>
      </c>
    </row>
    <row r="66" spans="1:8" ht="13.2">
      <c r="A66" t="s">
        <v>5793</v>
      </c>
      <c r="B66" t="s">
        <v>5811</v>
      </c>
      <c r="C66" t="str">
        <f t="shared" si="0"/>
        <v>Filigree Simplicity 300cm (Drop) Lining Atmosphere</v>
      </c>
      <c r="D66">
        <v>0</v>
      </c>
      <c r="E66">
        <v>3000</v>
      </c>
      <c r="F66" t="s">
        <v>291</v>
      </c>
      <c r="G66" t="s">
        <v>256</v>
      </c>
      <c r="H66">
        <v>11</v>
      </c>
    </row>
    <row r="67" spans="1:8" ht="13.2">
      <c r="A67" t="s">
        <v>5793</v>
      </c>
      <c r="B67" t="s">
        <v>193</v>
      </c>
      <c r="C67" t="str">
        <f t="shared" si="0"/>
        <v>Filigree Simplicity 300cm (Drop) Lining Black</v>
      </c>
      <c r="D67">
        <v>0</v>
      </c>
      <c r="E67">
        <v>3000</v>
      </c>
      <c r="F67" t="s">
        <v>291</v>
      </c>
      <c r="G67" t="s">
        <v>256</v>
      </c>
      <c r="H67">
        <v>11</v>
      </c>
    </row>
    <row r="68" spans="1:8" ht="13.2">
      <c r="A68" t="s">
        <v>5793</v>
      </c>
      <c r="B68" t="s">
        <v>5812</v>
      </c>
      <c r="C68" t="str">
        <f t="shared" si="1" ref="C68:C131">CONCATENATE(A68," ",B68)</f>
        <v>Filigree Simplicity 300cm (Drop) Lining Cargo</v>
      </c>
      <c r="D68">
        <v>0</v>
      </c>
      <c r="E68">
        <v>3000</v>
      </c>
      <c r="F68" t="s">
        <v>291</v>
      </c>
      <c r="G68" t="s">
        <v>256</v>
      </c>
      <c r="H68">
        <v>11</v>
      </c>
    </row>
    <row r="69" spans="1:8" ht="13.2">
      <c r="A69" t="s">
        <v>5793</v>
      </c>
      <c r="B69" t="s">
        <v>5813</v>
      </c>
      <c r="C69" t="str">
        <f t="shared" si="1"/>
        <v>Filigree Simplicity 300cm (Drop) Lining Cashmere</v>
      </c>
      <c r="D69">
        <v>0</v>
      </c>
      <c r="E69">
        <v>3000</v>
      </c>
      <c r="F69" t="s">
        <v>291</v>
      </c>
      <c r="G69" t="s">
        <v>256</v>
      </c>
      <c r="H69">
        <v>11</v>
      </c>
    </row>
    <row r="70" spans="1:8" ht="13.2">
      <c r="A70" t="s">
        <v>5793</v>
      </c>
      <c r="B70" t="s">
        <v>5814</v>
      </c>
      <c r="C70" t="str">
        <f t="shared" si="1"/>
        <v>Filigree Simplicity 300cm (Drop) Lining Cinder</v>
      </c>
      <c r="D70">
        <v>0</v>
      </c>
      <c r="E70">
        <v>3000</v>
      </c>
      <c r="F70" t="s">
        <v>291</v>
      </c>
      <c r="G70" t="s">
        <v>256</v>
      </c>
      <c r="H70">
        <v>11</v>
      </c>
    </row>
    <row r="71" spans="1:8" ht="13.2">
      <c r="A71" t="s">
        <v>5793</v>
      </c>
      <c r="B71" t="s">
        <v>5815</v>
      </c>
      <c r="C71" t="str">
        <f t="shared" si="1"/>
        <v>Filigree Simplicity 300cm (Drop) Lining Dusty</v>
      </c>
      <c r="D71">
        <v>0</v>
      </c>
      <c r="E71">
        <v>3000</v>
      </c>
      <c r="F71" t="s">
        <v>291</v>
      </c>
      <c r="G71" t="s">
        <v>256</v>
      </c>
      <c r="H71">
        <v>11</v>
      </c>
    </row>
    <row r="72" spans="1:8" ht="13.2">
      <c r="A72" t="s">
        <v>5793</v>
      </c>
      <c r="B72" t="s">
        <v>5816</v>
      </c>
      <c r="C72" t="str">
        <f t="shared" si="1"/>
        <v>Filigree Simplicity 300cm (Drop) Lining Ebony</v>
      </c>
      <c r="D72">
        <v>0</v>
      </c>
      <c r="E72">
        <v>3000</v>
      </c>
      <c r="F72" t="s">
        <v>291</v>
      </c>
      <c r="G72" t="s">
        <v>256</v>
      </c>
      <c r="H72">
        <v>11</v>
      </c>
    </row>
    <row r="73" spans="1:8" ht="13.2">
      <c r="A73" t="s">
        <v>5793</v>
      </c>
      <c r="B73" t="s">
        <v>5817</v>
      </c>
      <c r="C73" t="str">
        <f t="shared" si="1"/>
        <v>Filigree Simplicity 300cm (Drop) Lining Eggshell</v>
      </c>
      <c r="D73">
        <v>0</v>
      </c>
      <c r="E73">
        <v>3000</v>
      </c>
      <c r="F73" t="s">
        <v>291</v>
      </c>
      <c r="G73" t="s">
        <v>256</v>
      </c>
      <c r="H73">
        <v>11</v>
      </c>
    </row>
    <row r="74" spans="1:8" ht="13.2">
      <c r="A74" t="s">
        <v>5793</v>
      </c>
      <c r="B74" t="s">
        <v>5818</v>
      </c>
      <c r="C74" t="str">
        <f t="shared" si="1"/>
        <v>Filigree Simplicity 300cm (Drop) Lining Fable</v>
      </c>
      <c r="D74">
        <v>0</v>
      </c>
      <c r="E74">
        <v>3000</v>
      </c>
      <c r="F74" t="s">
        <v>291</v>
      </c>
      <c r="G74" t="s">
        <v>256</v>
      </c>
      <c r="H74">
        <v>11</v>
      </c>
    </row>
    <row r="75" spans="1:8" ht="13.2">
      <c r="A75" t="s">
        <v>5793</v>
      </c>
      <c r="B75" t="s">
        <v>5819</v>
      </c>
      <c r="C75" t="str">
        <f t="shared" si="1"/>
        <v>Filigree Simplicity 300cm (Drop) Lining Fog</v>
      </c>
      <c r="D75">
        <v>0</v>
      </c>
      <c r="E75">
        <v>3000</v>
      </c>
      <c r="F75" t="s">
        <v>291</v>
      </c>
      <c r="G75" t="s">
        <v>256</v>
      </c>
      <c r="H75">
        <v>11</v>
      </c>
    </row>
    <row r="76" spans="1:8" ht="13.2">
      <c r="A76" t="s">
        <v>5793</v>
      </c>
      <c r="B76" t="s">
        <v>5783</v>
      </c>
      <c r="C76" t="str">
        <f t="shared" si="1"/>
        <v>Filigree Simplicity 300cm (Drop) Lining Fossil</v>
      </c>
      <c r="D76">
        <v>0</v>
      </c>
      <c r="E76">
        <v>3000</v>
      </c>
      <c r="F76" t="s">
        <v>291</v>
      </c>
      <c r="G76" t="s">
        <v>256</v>
      </c>
      <c r="H76">
        <v>11</v>
      </c>
    </row>
    <row r="77" spans="1:8" ht="13.2">
      <c r="A77" t="s">
        <v>5793</v>
      </c>
      <c r="B77" t="s">
        <v>190</v>
      </c>
      <c r="C77" t="str">
        <f t="shared" si="1"/>
        <v>Filigree Simplicity 300cm (Drop) Lining Ivory</v>
      </c>
      <c r="D77">
        <v>0</v>
      </c>
      <c r="E77">
        <v>3000</v>
      </c>
      <c r="F77" t="s">
        <v>291</v>
      </c>
      <c r="G77" t="s">
        <v>256</v>
      </c>
      <c r="H77">
        <v>11</v>
      </c>
    </row>
    <row r="78" spans="1:8" ht="13.2">
      <c r="A78" t="s">
        <v>5793</v>
      </c>
      <c r="B78" t="s">
        <v>5820</v>
      </c>
      <c r="C78" t="str">
        <f t="shared" si="1"/>
        <v>Filigree Simplicity 300cm (Drop) Lining Moonshine</v>
      </c>
      <c r="D78">
        <v>0</v>
      </c>
      <c r="E78">
        <v>3000</v>
      </c>
      <c r="F78" t="s">
        <v>291</v>
      </c>
      <c r="G78" t="s">
        <v>256</v>
      </c>
      <c r="H78">
        <v>11</v>
      </c>
    </row>
    <row r="79" spans="1:8" ht="13.2">
      <c r="A79" t="s">
        <v>5793</v>
      </c>
      <c r="B79" t="s">
        <v>5821</v>
      </c>
      <c r="C79" t="str">
        <f t="shared" si="1"/>
        <v>Filigree Simplicity 300cm (Drop) Lining Off White</v>
      </c>
      <c r="D79">
        <v>0</v>
      </c>
      <c r="E79">
        <v>3000</v>
      </c>
      <c r="F79" t="s">
        <v>291</v>
      </c>
      <c r="G79" t="s">
        <v>256</v>
      </c>
      <c r="H79">
        <v>11</v>
      </c>
    </row>
    <row r="80" spans="1:8" ht="13.2">
      <c r="A80" t="s">
        <v>5793</v>
      </c>
      <c r="B80" t="s">
        <v>429</v>
      </c>
      <c r="C80" t="str">
        <f t="shared" si="1"/>
        <v>Filigree Simplicity 300cm (Drop) Lining Pewter</v>
      </c>
      <c r="D80">
        <v>0</v>
      </c>
      <c r="E80">
        <v>3000</v>
      </c>
      <c r="F80" t="s">
        <v>291</v>
      </c>
      <c r="G80" t="s">
        <v>256</v>
      </c>
      <c r="H80">
        <v>11</v>
      </c>
    </row>
    <row r="81" spans="1:8" ht="13.2">
      <c r="A81" t="s">
        <v>5793</v>
      </c>
      <c r="B81" t="s">
        <v>5822</v>
      </c>
      <c r="C81" t="str">
        <f t="shared" si="1"/>
        <v>Filigree Simplicity 300cm (Drop) Lining Raw</v>
      </c>
      <c r="D81">
        <v>0</v>
      </c>
      <c r="E81">
        <v>3000</v>
      </c>
      <c r="F81" t="s">
        <v>291</v>
      </c>
      <c r="G81" t="s">
        <v>256</v>
      </c>
      <c r="H81">
        <v>11</v>
      </c>
    </row>
    <row r="82" spans="1:8" ht="13.2">
      <c r="A82" t="s">
        <v>5793</v>
      </c>
      <c r="B82" t="s">
        <v>5808</v>
      </c>
      <c r="C82" t="str">
        <f t="shared" si="1"/>
        <v>Filigree Simplicity 300cm (Drop) Lining Silver</v>
      </c>
      <c r="D82">
        <v>0</v>
      </c>
      <c r="E82">
        <v>3000</v>
      </c>
      <c r="F82" t="s">
        <v>291</v>
      </c>
      <c r="G82" t="s">
        <v>256</v>
      </c>
      <c r="H82">
        <v>11</v>
      </c>
    </row>
    <row r="83" spans="1:8" ht="13.2">
      <c r="A83" t="s">
        <v>5793</v>
      </c>
      <c r="B83" t="s">
        <v>5823</v>
      </c>
      <c r="C83" t="str">
        <f t="shared" si="1"/>
        <v>Filigree Simplicity 300cm (Drop) Lining Steel</v>
      </c>
      <c r="D83">
        <v>0</v>
      </c>
      <c r="E83">
        <v>3000</v>
      </c>
      <c r="F83" t="s">
        <v>291</v>
      </c>
      <c r="G83" t="s">
        <v>256</v>
      </c>
      <c r="H83">
        <v>11</v>
      </c>
    </row>
    <row r="84" spans="1:8" ht="13.2">
      <c r="A84" t="s">
        <v>5793</v>
      </c>
      <c r="B84" t="s">
        <v>5824</v>
      </c>
      <c r="C84" t="str">
        <f t="shared" si="1"/>
        <v>Filigree Simplicity 300cm (Drop) Lining Stone</v>
      </c>
      <c r="D84">
        <v>0</v>
      </c>
      <c r="E84">
        <v>3000</v>
      </c>
      <c r="F84" t="s">
        <v>291</v>
      </c>
      <c r="G84" t="s">
        <v>256</v>
      </c>
      <c r="H84">
        <v>11</v>
      </c>
    </row>
    <row r="85" spans="1:8" ht="13.2">
      <c r="A85" t="s">
        <v>5793</v>
      </c>
      <c r="B85" t="s">
        <v>5825</v>
      </c>
      <c r="C85" t="str">
        <f t="shared" si="1"/>
        <v>Filigree Simplicity 300cm (Drop) Lining Storm</v>
      </c>
      <c r="D85">
        <v>0</v>
      </c>
      <c r="E85">
        <v>3000</v>
      </c>
      <c r="F85" t="s">
        <v>291</v>
      </c>
      <c r="G85" t="s">
        <v>256</v>
      </c>
      <c r="H85">
        <v>11</v>
      </c>
    </row>
    <row r="86" spans="1:8" ht="13.2">
      <c r="A86" t="s">
        <v>5793</v>
      </c>
      <c r="B86" t="s">
        <v>369</v>
      </c>
      <c r="C86" t="str">
        <f t="shared" si="1"/>
        <v>Filigree Simplicity 300cm (Drop) Lining TBA</v>
      </c>
      <c r="D86">
        <v>0</v>
      </c>
      <c r="E86">
        <v>3000</v>
      </c>
      <c r="F86" t="s">
        <v>291</v>
      </c>
      <c r="G86" t="s">
        <v>256</v>
      </c>
      <c r="H86">
        <v>11</v>
      </c>
    </row>
    <row r="87" spans="1:8" ht="13.2">
      <c r="A87" t="s">
        <v>5793</v>
      </c>
      <c r="B87" t="s">
        <v>5826</v>
      </c>
      <c r="C87" t="str">
        <f t="shared" si="1"/>
        <v>Filigree Simplicity 300cm (Drop) Lining Vapour</v>
      </c>
      <c r="D87">
        <v>0</v>
      </c>
      <c r="E87">
        <v>3000</v>
      </c>
      <c r="F87" t="s">
        <v>291</v>
      </c>
      <c r="G87" t="s">
        <v>256</v>
      </c>
      <c r="H87">
        <v>11</v>
      </c>
    </row>
    <row r="88" spans="1:8" ht="13.2">
      <c r="A88" t="s">
        <v>5793</v>
      </c>
      <c r="B88" t="s">
        <v>191</v>
      </c>
      <c r="C88" t="str">
        <f t="shared" si="1"/>
        <v>Filigree Simplicity 300cm (Drop) Lining White</v>
      </c>
      <c r="D88">
        <v>0</v>
      </c>
      <c r="E88">
        <v>3000</v>
      </c>
      <c r="F88" t="s">
        <v>291</v>
      </c>
      <c r="G88" t="s">
        <v>256</v>
      </c>
      <c r="H88">
        <v>11</v>
      </c>
    </row>
    <row r="89" spans="1:8" ht="13.2">
      <c r="A89" t="s">
        <v>5782</v>
      </c>
      <c r="B89" t="s">
        <v>5810</v>
      </c>
      <c r="C89" t="str">
        <f t="shared" si="1"/>
        <v>Maurice Kain Precision 300cm (Continuous) Lining Ash</v>
      </c>
      <c r="D89">
        <v>0</v>
      </c>
      <c r="E89">
        <v>3000</v>
      </c>
      <c r="F89" t="s">
        <v>293</v>
      </c>
      <c r="G89" t="s">
        <v>256</v>
      </c>
      <c r="H89" t="s">
        <v>280</v>
      </c>
    </row>
    <row r="90" spans="1:8" ht="13.2">
      <c r="A90" t="s">
        <v>5782</v>
      </c>
      <c r="B90" t="s">
        <v>5811</v>
      </c>
      <c r="C90" t="str">
        <f t="shared" si="1"/>
        <v>Maurice Kain Precision 300cm (Continuous) Lining Atmosphere</v>
      </c>
      <c r="D90">
        <v>0</v>
      </c>
      <c r="E90">
        <v>3000</v>
      </c>
      <c r="F90" t="s">
        <v>293</v>
      </c>
      <c r="G90" t="s">
        <v>256</v>
      </c>
      <c r="H90" t="s">
        <v>280</v>
      </c>
    </row>
    <row r="91" spans="1:8" ht="13.2">
      <c r="A91" t="s">
        <v>5782</v>
      </c>
      <c r="B91" t="s">
        <v>193</v>
      </c>
      <c r="C91" t="str">
        <f t="shared" si="1"/>
        <v>Maurice Kain Precision 300cm (Continuous) Lining Black</v>
      </c>
      <c r="D91">
        <v>0</v>
      </c>
      <c r="E91">
        <v>3000</v>
      </c>
      <c r="F91" t="s">
        <v>293</v>
      </c>
      <c r="G91" t="s">
        <v>256</v>
      </c>
      <c r="H91" t="s">
        <v>280</v>
      </c>
    </row>
    <row r="92" spans="1:8" ht="13.2">
      <c r="A92" t="s">
        <v>5782</v>
      </c>
      <c r="B92" t="s">
        <v>5812</v>
      </c>
      <c r="C92" t="str">
        <f t="shared" si="1"/>
        <v>Maurice Kain Precision 300cm (Continuous) Lining Cargo</v>
      </c>
      <c r="D92">
        <v>0</v>
      </c>
      <c r="E92">
        <v>3000</v>
      </c>
      <c r="F92" t="s">
        <v>293</v>
      </c>
      <c r="G92" t="s">
        <v>256</v>
      </c>
      <c r="H92" t="s">
        <v>280</v>
      </c>
    </row>
    <row r="93" spans="1:8" ht="13.2">
      <c r="A93" t="s">
        <v>5782</v>
      </c>
      <c r="B93" t="s">
        <v>5813</v>
      </c>
      <c r="C93" t="str">
        <f t="shared" si="1"/>
        <v>Maurice Kain Precision 300cm (Continuous) Lining Cashmere</v>
      </c>
      <c r="D93">
        <v>0</v>
      </c>
      <c r="E93">
        <v>3000</v>
      </c>
      <c r="F93" t="s">
        <v>293</v>
      </c>
      <c r="G93" t="s">
        <v>256</v>
      </c>
      <c r="H93" t="s">
        <v>280</v>
      </c>
    </row>
    <row r="94" spans="1:8" ht="13.2">
      <c r="A94" t="s">
        <v>5782</v>
      </c>
      <c r="B94" t="s">
        <v>5814</v>
      </c>
      <c r="C94" t="str">
        <f t="shared" si="1"/>
        <v>Maurice Kain Precision 300cm (Continuous) Lining Cinder</v>
      </c>
      <c r="D94">
        <v>0</v>
      </c>
      <c r="E94">
        <v>3000</v>
      </c>
      <c r="F94" t="s">
        <v>293</v>
      </c>
      <c r="G94" t="s">
        <v>256</v>
      </c>
      <c r="H94" t="s">
        <v>280</v>
      </c>
    </row>
    <row r="95" spans="1:8" ht="13.2">
      <c r="A95" t="s">
        <v>5782</v>
      </c>
      <c r="B95" t="s">
        <v>5815</v>
      </c>
      <c r="C95" t="str">
        <f t="shared" si="1"/>
        <v>Maurice Kain Precision 300cm (Continuous) Lining Dusty</v>
      </c>
      <c r="D95">
        <v>0</v>
      </c>
      <c r="E95">
        <v>3000</v>
      </c>
      <c r="F95" t="s">
        <v>293</v>
      </c>
      <c r="G95" t="s">
        <v>256</v>
      </c>
      <c r="H95" t="s">
        <v>280</v>
      </c>
    </row>
    <row r="96" spans="1:8" ht="13.2">
      <c r="A96" t="s">
        <v>5782</v>
      </c>
      <c r="B96" t="s">
        <v>5816</v>
      </c>
      <c r="C96" t="str">
        <f t="shared" si="1"/>
        <v>Maurice Kain Precision 300cm (Continuous) Lining Ebony</v>
      </c>
      <c r="D96">
        <v>0</v>
      </c>
      <c r="E96">
        <v>3000</v>
      </c>
      <c r="F96" t="s">
        <v>293</v>
      </c>
      <c r="G96" t="s">
        <v>256</v>
      </c>
      <c r="H96" t="s">
        <v>280</v>
      </c>
    </row>
    <row r="97" spans="1:8" ht="13.2">
      <c r="A97" t="s">
        <v>5782</v>
      </c>
      <c r="B97" t="s">
        <v>5817</v>
      </c>
      <c r="C97" t="str">
        <f t="shared" si="1"/>
        <v>Maurice Kain Precision 300cm (Continuous) Lining Eggshell</v>
      </c>
      <c r="D97">
        <v>0</v>
      </c>
      <c r="E97">
        <v>3000</v>
      </c>
      <c r="F97" t="s">
        <v>293</v>
      </c>
      <c r="G97" t="s">
        <v>256</v>
      </c>
      <c r="H97" t="s">
        <v>280</v>
      </c>
    </row>
    <row r="98" spans="1:8" ht="13.2">
      <c r="A98" t="s">
        <v>5782</v>
      </c>
      <c r="B98" t="s">
        <v>5818</v>
      </c>
      <c r="C98" t="str">
        <f t="shared" si="1"/>
        <v>Maurice Kain Precision 300cm (Continuous) Lining Fable</v>
      </c>
      <c r="D98">
        <v>0</v>
      </c>
      <c r="E98">
        <v>3000</v>
      </c>
      <c r="F98" t="s">
        <v>293</v>
      </c>
      <c r="G98" t="s">
        <v>256</v>
      </c>
      <c r="H98" t="s">
        <v>280</v>
      </c>
    </row>
    <row r="99" spans="1:8" ht="13.2">
      <c r="A99" t="s">
        <v>5782</v>
      </c>
      <c r="B99" t="s">
        <v>5819</v>
      </c>
      <c r="C99" t="str">
        <f t="shared" si="1"/>
        <v>Maurice Kain Precision 300cm (Continuous) Lining Fog</v>
      </c>
      <c r="D99">
        <v>0</v>
      </c>
      <c r="E99">
        <v>3000</v>
      </c>
      <c r="F99" t="s">
        <v>293</v>
      </c>
      <c r="G99" t="s">
        <v>256</v>
      </c>
      <c r="H99" t="s">
        <v>280</v>
      </c>
    </row>
    <row r="100" spans="1:8" ht="13.2">
      <c r="A100" t="s">
        <v>5782</v>
      </c>
      <c r="B100" t="s">
        <v>5783</v>
      </c>
      <c r="C100" t="str">
        <f t="shared" si="1"/>
        <v>Maurice Kain Precision 300cm (Continuous) Lining Fossil</v>
      </c>
      <c r="D100">
        <v>0</v>
      </c>
      <c r="E100">
        <v>3000</v>
      </c>
      <c r="F100" t="s">
        <v>293</v>
      </c>
      <c r="G100" t="s">
        <v>256</v>
      </c>
      <c r="H100" t="s">
        <v>280</v>
      </c>
    </row>
    <row r="101" spans="1:8" ht="13.2">
      <c r="A101" t="s">
        <v>5782</v>
      </c>
      <c r="B101" t="s">
        <v>190</v>
      </c>
      <c r="C101" t="str">
        <f t="shared" si="1"/>
        <v>Maurice Kain Precision 300cm (Continuous) Lining Ivory</v>
      </c>
      <c r="D101">
        <v>0</v>
      </c>
      <c r="E101">
        <v>3000</v>
      </c>
      <c r="F101" t="s">
        <v>293</v>
      </c>
      <c r="G101" t="s">
        <v>256</v>
      </c>
      <c r="H101" t="s">
        <v>280</v>
      </c>
    </row>
    <row r="102" spans="1:8" ht="13.2">
      <c r="A102" t="s">
        <v>5782</v>
      </c>
      <c r="B102" t="s">
        <v>5820</v>
      </c>
      <c r="C102" t="str">
        <f t="shared" si="1"/>
        <v>Maurice Kain Precision 300cm (Continuous) Lining Moonshine</v>
      </c>
      <c r="D102">
        <v>0</v>
      </c>
      <c r="E102">
        <v>3000</v>
      </c>
      <c r="F102" t="s">
        <v>293</v>
      </c>
      <c r="G102" t="s">
        <v>256</v>
      </c>
      <c r="H102" t="s">
        <v>280</v>
      </c>
    </row>
    <row r="103" spans="1:8" ht="13.2">
      <c r="A103" t="s">
        <v>5782</v>
      </c>
      <c r="B103" t="s">
        <v>5821</v>
      </c>
      <c r="C103" t="str">
        <f t="shared" si="1"/>
        <v>Maurice Kain Precision 300cm (Continuous) Lining Off White</v>
      </c>
      <c r="D103">
        <v>0</v>
      </c>
      <c r="E103">
        <v>3000</v>
      </c>
      <c r="F103" t="s">
        <v>293</v>
      </c>
      <c r="G103" t="s">
        <v>256</v>
      </c>
      <c r="H103" t="s">
        <v>280</v>
      </c>
    </row>
    <row r="104" spans="1:8" ht="13.2">
      <c r="A104" t="s">
        <v>5782</v>
      </c>
      <c r="B104" t="s">
        <v>429</v>
      </c>
      <c r="C104" t="str">
        <f t="shared" si="1"/>
        <v>Maurice Kain Precision 300cm (Continuous) Lining Pewter</v>
      </c>
      <c r="D104">
        <v>0</v>
      </c>
      <c r="E104">
        <v>3000</v>
      </c>
      <c r="F104" t="s">
        <v>293</v>
      </c>
      <c r="G104" t="s">
        <v>256</v>
      </c>
      <c r="H104" t="s">
        <v>280</v>
      </c>
    </row>
    <row r="105" spans="1:8" ht="13.2">
      <c r="A105" t="s">
        <v>5782</v>
      </c>
      <c r="B105" t="s">
        <v>5822</v>
      </c>
      <c r="C105" t="str">
        <f t="shared" si="1"/>
        <v>Maurice Kain Precision 300cm (Continuous) Lining Raw</v>
      </c>
      <c r="D105">
        <v>0</v>
      </c>
      <c r="E105">
        <v>3000</v>
      </c>
      <c r="F105" t="s">
        <v>293</v>
      </c>
      <c r="G105" t="s">
        <v>256</v>
      </c>
      <c r="H105" t="s">
        <v>280</v>
      </c>
    </row>
    <row r="106" spans="1:8" ht="13.2">
      <c r="A106" t="s">
        <v>5782</v>
      </c>
      <c r="B106" t="s">
        <v>5808</v>
      </c>
      <c r="C106" t="str">
        <f t="shared" si="1"/>
        <v>Maurice Kain Precision 300cm (Continuous) Lining Silver</v>
      </c>
      <c r="D106">
        <v>0</v>
      </c>
      <c r="E106">
        <v>3000</v>
      </c>
      <c r="F106" t="s">
        <v>293</v>
      </c>
      <c r="G106" t="s">
        <v>256</v>
      </c>
      <c r="H106" t="s">
        <v>280</v>
      </c>
    </row>
    <row r="107" spans="1:8" ht="13.2">
      <c r="A107" t="s">
        <v>5782</v>
      </c>
      <c r="B107" t="s">
        <v>5823</v>
      </c>
      <c r="C107" t="str">
        <f t="shared" si="1"/>
        <v>Maurice Kain Precision 300cm (Continuous) Lining Steel</v>
      </c>
      <c r="D107">
        <v>0</v>
      </c>
      <c r="E107">
        <v>3000</v>
      </c>
      <c r="F107" t="s">
        <v>293</v>
      </c>
      <c r="G107" t="s">
        <v>256</v>
      </c>
      <c r="H107" t="s">
        <v>280</v>
      </c>
    </row>
    <row r="108" spans="1:8" ht="13.2">
      <c r="A108" t="s">
        <v>5782</v>
      </c>
      <c r="B108" t="s">
        <v>5824</v>
      </c>
      <c r="C108" t="str">
        <f t="shared" si="1"/>
        <v>Maurice Kain Precision 300cm (Continuous) Lining Stone</v>
      </c>
      <c r="D108">
        <v>0</v>
      </c>
      <c r="E108">
        <v>3000</v>
      </c>
      <c r="F108" t="s">
        <v>293</v>
      </c>
      <c r="G108" t="s">
        <v>256</v>
      </c>
      <c r="H108" t="s">
        <v>280</v>
      </c>
    </row>
    <row r="109" spans="1:8" ht="13.2">
      <c r="A109" t="s">
        <v>5782</v>
      </c>
      <c r="B109" t="s">
        <v>5825</v>
      </c>
      <c r="C109" t="str">
        <f t="shared" si="1"/>
        <v>Maurice Kain Precision 300cm (Continuous) Lining Storm</v>
      </c>
      <c r="D109">
        <v>0</v>
      </c>
      <c r="E109">
        <v>3000</v>
      </c>
      <c r="F109" t="s">
        <v>293</v>
      </c>
      <c r="G109" t="s">
        <v>256</v>
      </c>
      <c r="H109" t="s">
        <v>280</v>
      </c>
    </row>
    <row r="110" spans="1:8" ht="13.2">
      <c r="A110" t="s">
        <v>5782</v>
      </c>
      <c r="B110" t="s">
        <v>369</v>
      </c>
      <c r="C110" t="str">
        <f t="shared" si="1"/>
        <v>Maurice Kain Precision 300cm (Continuous) Lining TBA</v>
      </c>
      <c r="D110">
        <v>0</v>
      </c>
      <c r="E110">
        <v>3000</v>
      </c>
      <c r="F110" t="s">
        <v>293</v>
      </c>
      <c r="G110" t="s">
        <v>256</v>
      </c>
      <c r="H110" t="s">
        <v>280</v>
      </c>
    </row>
    <row r="111" spans="1:8" ht="13.2">
      <c r="A111" t="s">
        <v>5782</v>
      </c>
      <c r="B111" t="s">
        <v>5826</v>
      </c>
      <c r="C111" t="str">
        <f t="shared" si="1"/>
        <v>Maurice Kain Precision 300cm (Continuous) Lining Vapour</v>
      </c>
      <c r="D111">
        <v>0</v>
      </c>
      <c r="E111">
        <v>3000</v>
      </c>
      <c r="F111" t="s">
        <v>293</v>
      </c>
      <c r="G111" t="s">
        <v>256</v>
      </c>
      <c r="H111" t="s">
        <v>280</v>
      </c>
    </row>
    <row r="112" spans="1:8" ht="13.2">
      <c r="A112" t="s">
        <v>5782</v>
      </c>
      <c r="B112" t="s">
        <v>191</v>
      </c>
      <c r="C112" t="str">
        <f t="shared" si="1"/>
        <v>Maurice Kain Precision 300cm (Continuous) Lining White</v>
      </c>
      <c r="D112">
        <v>0</v>
      </c>
      <c r="E112">
        <v>3000</v>
      </c>
      <c r="F112" t="s">
        <v>293</v>
      </c>
      <c r="G112" t="s">
        <v>256</v>
      </c>
      <c r="H112" t="s">
        <v>280</v>
      </c>
    </row>
    <row r="113" spans="1:8" ht="13.2">
      <c r="A113" t="s">
        <v>5794</v>
      </c>
      <c r="B113" t="s">
        <v>5810</v>
      </c>
      <c r="C113" t="str">
        <f t="shared" si="1"/>
        <v>Maurice Kain Precision 300cm (Drop) Lining Ash</v>
      </c>
      <c r="D113">
        <v>0</v>
      </c>
      <c r="E113">
        <v>3000</v>
      </c>
      <c r="F113" t="s">
        <v>291</v>
      </c>
      <c r="G113" t="s">
        <v>256</v>
      </c>
      <c r="H113" t="s">
        <v>280</v>
      </c>
    </row>
    <row r="114" spans="1:8" ht="13.2">
      <c r="A114" t="s">
        <v>5794</v>
      </c>
      <c r="B114" t="s">
        <v>5811</v>
      </c>
      <c r="C114" t="str">
        <f t="shared" si="1"/>
        <v>Maurice Kain Precision 300cm (Drop) Lining Atmosphere</v>
      </c>
      <c r="D114">
        <v>0</v>
      </c>
      <c r="E114">
        <v>3000</v>
      </c>
      <c r="F114" t="s">
        <v>291</v>
      </c>
      <c r="G114" t="s">
        <v>256</v>
      </c>
      <c r="H114" t="s">
        <v>280</v>
      </c>
    </row>
    <row r="115" spans="1:8" ht="13.2">
      <c r="A115" t="s">
        <v>5794</v>
      </c>
      <c r="B115" t="s">
        <v>193</v>
      </c>
      <c r="C115" t="str">
        <f t="shared" si="1"/>
        <v>Maurice Kain Precision 300cm (Drop) Lining Black</v>
      </c>
      <c r="D115">
        <v>0</v>
      </c>
      <c r="E115">
        <v>3000</v>
      </c>
      <c r="F115" t="s">
        <v>291</v>
      </c>
      <c r="G115" t="s">
        <v>256</v>
      </c>
      <c r="H115" t="s">
        <v>280</v>
      </c>
    </row>
    <row r="116" spans="1:8" ht="13.2">
      <c r="A116" t="s">
        <v>5794</v>
      </c>
      <c r="B116" t="s">
        <v>5812</v>
      </c>
      <c r="C116" t="str">
        <f t="shared" si="1"/>
        <v>Maurice Kain Precision 300cm (Drop) Lining Cargo</v>
      </c>
      <c r="D116">
        <v>0</v>
      </c>
      <c r="E116">
        <v>3000</v>
      </c>
      <c r="F116" t="s">
        <v>291</v>
      </c>
      <c r="G116" t="s">
        <v>256</v>
      </c>
      <c r="H116" t="s">
        <v>280</v>
      </c>
    </row>
    <row r="117" spans="1:8" ht="13.2">
      <c r="A117" t="s">
        <v>5794</v>
      </c>
      <c r="B117" t="s">
        <v>5813</v>
      </c>
      <c r="C117" t="str">
        <f t="shared" si="1"/>
        <v>Maurice Kain Precision 300cm (Drop) Lining Cashmere</v>
      </c>
      <c r="D117">
        <v>0</v>
      </c>
      <c r="E117">
        <v>3000</v>
      </c>
      <c r="F117" t="s">
        <v>291</v>
      </c>
      <c r="G117" t="s">
        <v>256</v>
      </c>
      <c r="H117" t="s">
        <v>280</v>
      </c>
    </row>
    <row r="118" spans="1:8" ht="13.2">
      <c r="A118" t="s">
        <v>5794</v>
      </c>
      <c r="B118" t="s">
        <v>5814</v>
      </c>
      <c r="C118" t="str">
        <f t="shared" si="1"/>
        <v>Maurice Kain Precision 300cm (Drop) Lining Cinder</v>
      </c>
      <c r="D118">
        <v>0</v>
      </c>
      <c r="E118">
        <v>3000</v>
      </c>
      <c r="F118" t="s">
        <v>291</v>
      </c>
      <c r="G118" t="s">
        <v>256</v>
      </c>
      <c r="H118" t="s">
        <v>280</v>
      </c>
    </row>
    <row r="119" spans="1:8" ht="13.2">
      <c r="A119" t="s">
        <v>5794</v>
      </c>
      <c r="B119" t="s">
        <v>5815</v>
      </c>
      <c r="C119" t="str">
        <f t="shared" si="1"/>
        <v>Maurice Kain Precision 300cm (Drop) Lining Dusty</v>
      </c>
      <c r="D119">
        <v>0</v>
      </c>
      <c r="E119">
        <v>3000</v>
      </c>
      <c r="F119" t="s">
        <v>291</v>
      </c>
      <c r="G119" t="s">
        <v>256</v>
      </c>
      <c r="H119" t="s">
        <v>280</v>
      </c>
    </row>
    <row r="120" spans="1:8" ht="13.2">
      <c r="A120" t="s">
        <v>5794</v>
      </c>
      <c r="B120" t="s">
        <v>5816</v>
      </c>
      <c r="C120" t="str">
        <f t="shared" si="1"/>
        <v>Maurice Kain Precision 300cm (Drop) Lining Ebony</v>
      </c>
      <c r="D120">
        <v>0</v>
      </c>
      <c r="E120">
        <v>3000</v>
      </c>
      <c r="F120" t="s">
        <v>291</v>
      </c>
      <c r="G120" t="s">
        <v>256</v>
      </c>
      <c r="H120" t="s">
        <v>280</v>
      </c>
    </row>
    <row r="121" spans="1:8" ht="13.2">
      <c r="A121" t="s">
        <v>5794</v>
      </c>
      <c r="B121" t="s">
        <v>5817</v>
      </c>
      <c r="C121" t="str">
        <f t="shared" si="1"/>
        <v>Maurice Kain Precision 300cm (Drop) Lining Eggshell</v>
      </c>
      <c r="D121">
        <v>0</v>
      </c>
      <c r="E121">
        <v>3000</v>
      </c>
      <c r="F121" t="s">
        <v>291</v>
      </c>
      <c r="G121" t="s">
        <v>256</v>
      </c>
      <c r="H121" t="s">
        <v>280</v>
      </c>
    </row>
    <row r="122" spans="1:8" ht="13.2">
      <c r="A122" t="s">
        <v>5794</v>
      </c>
      <c r="B122" t="s">
        <v>5818</v>
      </c>
      <c r="C122" t="str">
        <f t="shared" si="1"/>
        <v>Maurice Kain Precision 300cm (Drop) Lining Fable</v>
      </c>
      <c r="D122">
        <v>0</v>
      </c>
      <c r="E122">
        <v>3000</v>
      </c>
      <c r="F122" t="s">
        <v>291</v>
      </c>
      <c r="G122" t="s">
        <v>256</v>
      </c>
      <c r="H122" t="s">
        <v>280</v>
      </c>
    </row>
    <row r="123" spans="1:8" ht="13.2">
      <c r="A123" t="s">
        <v>5794</v>
      </c>
      <c r="B123" t="s">
        <v>5819</v>
      </c>
      <c r="C123" t="str">
        <f t="shared" si="1"/>
        <v>Maurice Kain Precision 300cm (Drop) Lining Fog</v>
      </c>
      <c r="D123">
        <v>0</v>
      </c>
      <c r="E123">
        <v>3000</v>
      </c>
      <c r="F123" t="s">
        <v>291</v>
      </c>
      <c r="G123" t="s">
        <v>256</v>
      </c>
      <c r="H123" t="s">
        <v>280</v>
      </c>
    </row>
    <row r="124" spans="1:8" ht="13.2">
      <c r="A124" t="s">
        <v>5794</v>
      </c>
      <c r="B124" t="s">
        <v>5783</v>
      </c>
      <c r="C124" t="str">
        <f t="shared" si="1"/>
        <v>Maurice Kain Precision 300cm (Drop) Lining Fossil</v>
      </c>
      <c r="D124">
        <v>0</v>
      </c>
      <c r="E124">
        <v>3000</v>
      </c>
      <c r="F124" t="s">
        <v>291</v>
      </c>
      <c r="G124" t="s">
        <v>256</v>
      </c>
      <c r="H124" t="s">
        <v>280</v>
      </c>
    </row>
    <row r="125" spans="1:8" ht="13.2">
      <c r="A125" t="s">
        <v>5794</v>
      </c>
      <c r="B125" t="s">
        <v>190</v>
      </c>
      <c r="C125" t="str">
        <f t="shared" si="1"/>
        <v>Maurice Kain Precision 300cm (Drop) Lining Ivory</v>
      </c>
      <c r="D125">
        <v>0</v>
      </c>
      <c r="E125">
        <v>3000</v>
      </c>
      <c r="F125" t="s">
        <v>291</v>
      </c>
      <c r="G125" t="s">
        <v>256</v>
      </c>
      <c r="H125" t="s">
        <v>280</v>
      </c>
    </row>
    <row r="126" spans="1:8" ht="13.2">
      <c r="A126" t="s">
        <v>5794</v>
      </c>
      <c r="B126" t="s">
        <v>5820</v>
      </c>
      <c r="C126" t="str">
        <f t="shared" si="1"/>
        <v>Maurice Kain Precision 300cm (Drop) Lining Moonshine</v>
      </c>
      <c r="D126">
        <v>0</v>
      </c>
      <c r="E126">
        <v>3000</v>
      </c>
      <c r="F126" t="s">
        <v>291</v>
      </c>
      <c r="G126" t="s">
        <v>256</v>
      </c>
      <c r="H126" t="s">
        <v>280</v>
      </c>
    </row>
    <row r="127" spans="1:8" ht="13.2">
      <c r="A127" t="s">
        <v>5794</v>
      </c>
      <c r="B127" t="s">
        <v>5821</v>
      </c>
      <c r="C127" t="str">
        <f t="shared" si="1"/>
        <v>Maurice Kain Precision 300cm (Drop) Lining Off White</v>
      </c>
      <c r="D127">
        <v>0</v>
      </c>
      <c r="E127">
        <v>3000</v>
      </c>
      <c r="F127" t="s">
        <v>291</v>
      </c>
      <c r="G127" t="s">
        <v>256</v>
      </c>
      <c r="H127" t="s">
        <v>280</v>
      </c>
    </row>
    <row r="128" spans="1:8" ht="13.2">
      <c r="A128" t="s">
        <v>5794</v>
      </c>
      <c r="B128" t="s">
        <v>429</v>
      </c>
      <c r="C128" t="str">
        <f t="shared" si="1"/>
        <v>Maurice Kain Precision 300cm (Drop) Lining Pewter</v>
      </c>
      <c r="D128">
        <v>0</v>
      </c>
      <c r="E128">
        <v>3000</v>
      </c>
      <c r="F128" t="s">
        <v>291</v>
      </c>
      <c r="G128" t="s">
        <v>256</v>
      </c>
      <c r="H128" t="s">
        <v>280</v>
      </c>
    </row>
    <row r="129" spans="1:8" ht="13.2">
      <c r="A129" t="s">
        <v>5794</v>
      </c>
      <c r="B129" t="s">
        <v>5822</v>
      </c>
      <c r="C129" t="str">
        <f t="shared" si="1"/>
        <v>Maurice Kain Precision 300cm (Drop) Lining Raw</v>
      </c>
      <c r="D129">
        <v>0</v>
      </c>
      <c r="E129">
        <v>3000</v>
      </c>
      <c r="F129" t="s">
        <v>291</v>
      </c>
      <c r="G129" t="s">
        <v>256</v>
      </c>
      <c r="H129" t="s">
        <v>280</v>
      </c>
    </row>
    <row r="130" spans="1:8" ht="13.2">
      <c r="A130" t="s">
        <v>5794</v>
      </c>
      <c r="B130" t="s">
        <v>5808</v>
      </c>
      <c r="C130" t="str">
        <f t="shared" si="1"/>
        <v>Maurice Kain Precision 300cm (Drop) Lining Silver</v>
      </c>
      <c r="D130">
        <v>0</v>
      </c>
      <c r="E130">
        <v>3000</v>
      </c>
      <c r="F130" t="s">
        <v>291</v>
      </c>
      <c r="G130" t="s">
        <v>256</v>
      </c>
      <c r="H130" t="s">
        <v>280</v>
      </c>
    </row>
    <row r="131" spans="1:8" ht="13.2">
      <c r="A131" t="s">
        <v>5794</v>
      </c>
      <c r="B131" t="s">
        <v>5823</v>
      </c>
      <c r="C131" t="str">
        <f t="shared" si="1"/>
        <v>Maurice Kain Precision 300cm (Drop) Lining Steel</v>
      </c>
      <c r="D131">
        <v>0</v>
      </c>
      <c r="E131">
        <v>3000</v>
      </c>
      <c r="F131" t="s">
        <v>291</v>
      </c>
      <c r="G131" t="s">
        <v>256</v>
      </c>
      <c r="H131" t="s">
        <v>280</v>
      </c>
    </row>
    <row r="132" spans="1:8" ht="13.2">
      <c r="A132" t="s">
        <v>5794</v>
      </c>
      <c r="B132" t="s">
        <v>5824</v>
      </c>
      <c r="C132" t="str">
        <f t="shared" si="2" ref="C132:C195">CONCATENATE(A132," ",B132)</f>
        <v>Maurice Kain Precision 300cm (Drop) Lining Stone</v>
      </c>
      <c r="D132">
        <v>0</v>
      </c>
      <c r="E132">
        <v>3000</v>
      </c>
      <c r="F132" t="s">
        <v>291</v>
      </c>
      <c r="G132" t="s">
        <v>256</v>
      </c>
      <c r="H132" t="s">
        <v>280</v>
      </c>
    </row>
    <row r="133" spans="1:8" ht="13.2">
      <c r="A133" t="s">
        <v>5794</v>
      </c>
      <c r="B133" t="s">
        <v>5825</v>
      </c>
      <c r="C133" t="str">
        <f t="shared" si="2"/>
        <v>Maurice Kain Precision 300cm (Drop) Lining Storm</v>
      </c>
      <c r="D133">
        <v>0</v>
      </c>
      <c r="E133">
        <v>3000</v>
      </c>
      <c r="F133" t="s">
        <v>291</v>
      </c>
      <c r="G133" t="s">
        <v>256</v>
      </c>
      <c r="H133" t="s">
        <v>280</v>
      </c>
    </row>
    <row r="134" spans="1:8" ht="13.2">
      <c r="A134" t="s">
        <v>5794</v>
      </c>
      <c r="B134" t="s">
        <v>369</v>
      </c>
      <c r="C134" t="str">
        <f t="shared" si="2"/>
        <v>Maurice Kain Precision 300cm (Drop) Lining TBA</v>
      </c>
      <c r="D134">
        <v>0</v>
      </c>
      <c r="E134">
        <v>3000</v>
      </c>
      <c r="F134" t="s">
        <v>291</v>
      </c>
      <c r="G134" t="s">
        <v>256</v>
      </c>
      <c r="H134" t="s">
        <v>280</v>
      </c>
    </row>
    <row r="135" spans="1:8" ht="13.2">
      <c r="A135" t="s">
        <v>5794</v>
      </c>
      <c r="B135" t="s">
        <v>5826</v>
      </c>
      <c r="C135" t="str">
        <f t="shared" si="2"/>
        <v>Maurice Kain Precision 300cm (Drop) Lining Vapour</v>
      </c>
      <c r="D135">
        <v>0</v>
      </c>
      <c r="E135">
        <v>3000</v>
      </c>
      <c r="F135" t="s">
        <v>291</v>
      </c>
      <c r="G135" t="s">
        <v>256</v>
      </c>
      <c r="H135" t="s">
        <v>280</v>
      </c>
    </row>
    <row r="136" spans="1:8" ht="13.2">
      <c r="A136" t="s">
        <v>5794</v>
      </c>
      <c r="B136" t="s">
        <v>191</v>
      </c>
      <c r="C136" t="str">
        <f t="shared" si="2"/>
        <v>Maurice Kain Precision 300cm (Drop) Lining White</v>
      </c>
      <c r="D136">
        <v>0</v>
      </c>
      <c r="E136">
        <v>3000</v>
      </c>
      <c r="F136" t="s">
        <v>291</v>
      </c>
      <c r="G136" t="s">
        <v>256</v>
      </c>
      <c r="H136" t="s">
        <v>280</v>
      </c>
    </row>
    <row r="137" spans="1:8" ht="13.2">
      <c r="A137" t="s">
        <v>5795</v>
      </c>
      <c r="B137" t="s">
        <v>5827</v>
      </c>
      <c r="C137" t="str">
        <f t="shared" si="2"/>
        <v>Maurice Kain Twilight 300cm (Continuous) Triple Weave Alabaster</v>
      </c>
      <c r="D137">
        <v>0</v>
      </c>
      <c r="E137">
        <v>3000</v>
      </c>
      <c r="F137" t="s">
        <v>293</v>
      </c>
      <c r="G137" t="s">
        <v>256</v>
      </c>
      <c r="H137">
        <v>4</v>
      </c>
    </row>
    <row r="138" spans="1:8" ht="13.2">
      <c r="A138" t="s">
        <v>5795</v>
      </c>
      <c r="B138" t="s">
        <v>193</v>
      </c>
      <c r="C138" t="str">
        <f t="shared" si="2"/>
        <v>Maurice Kain Twilight 300cm (Continuous) Triple Weave Black</v>
      </c>
      <c r="D138">
        <v>0</v>
      </c>
      <c r="E138">
        <v>3000</v>
      </c>
      <c r="F138" t="s">
        <v>293</v>
      </c>
      <c r="G138" t="s">
        <v>256</v>
      </c>
      <c r="H138">
        <v>4</v>
      </c>
    </row>
    <row r="139" spans="1:8" ht="13.2">
      <c r="A139" t="s">
        <v>5795</v>
      </c>
      <c r="B139" t="s">
        <v>5828</v>
      </c>
      <c r="C139" t="str">
        <f t="shared" si="2"/>
        <v>Maurice Kain Twilight 300cm (Continuous) Triple Weave Charcoal</v>
      </c>
      <c r="D139">
        <v>0</v>
      </c>
      <c r="E139">
        <v>3000</v>
      </c>
      <c r="F139" t="s">
        <v>293</v>
      </c>
      <c r="G139" t="s">
        <v>256</v>
      </c>
      <c r="H139">
        <v>4</v>
      </c>
    </row>
    <row r="140" spans="1:8" ht="13.2">
      <c r="A140" t="s">
        <v>5795</v>
      </c>
      <c r="B140" t="s">
        <v>5817</v>
      </c>
      <c r="C140" t="str">
        <f t="shared" si="2"/>
        <v>Maurice Kain Twilight 300cm (Continuous) Triple Weave Eggshell</v>
      </c>
      <c r="D140">
        <v>0</v>
      </c>
      <c r="E140">
        <v>3000</v>
      </c>
      <c r="F140" t="s">
        <v>293</v>
      </c>
      <c r="G140" t="s">
        <v>256</v>
      </c>
      <c r="H140">
        <v>4</v>
      </c>
    </row>
    <row r="141" spans="1:8" ht="13.2">
      <c r="A141" t="s">
        <v>5795</v>
      </c>
      <c r="B141" t="s">
        <v>5802</v>
      </c>
      <c r="C141" t="str">
        <f t="shared" si="2"/>
        <v>Maurice Kain Twilight 300cm (Continuous) Triple Weave Latte</v>
      </c>
      <c r="D141">
        <v>0</v>
      </c>
      <c r="E141">
        <v>3000</v>
      </c>
      <c r="F141" t="s">
        <v>293</v>
      </c>
      <c r="G141" t="s">
        <v>256</v>
      </c>
      <c r="H141">
        <v>4</v>
      </c>
    </row>
    <row r="142" spans="1:8" ht="13.2">
      <c r="A142" t="s">
        <v>5795</v>
      </c>
      <c r="B142" t="s">
        <v>5806</v>
      </c>
      <c r="C142" t="str">
        <f t="shared" si="2"/>
        <v>Maurice Kain Twilight 300cm (Continuous) Triple Weave Putty</v>
      </c>
      <c r="D142">
        <v>0</v>
      </c>
      <c r="E142">
        <v>3000</v>
      </c>
      <c r="F142" t="s">
        <v>293</v>
      </c>
      <c r="G142" t="s">
        <v>256</v>
      </c>
      <c r="H142">
        <v>4</v>
      </c>
    </row>
    <row r="143" spans="1:8" ht="13.2">
      <c r="A143" t="s">
        <v>5795</v>
      </c>
      <c r="B143" t="s">
        <v>5829</v>
      </c>
      <c r="C143" t="str">
        <f t="shared" si="2"/>
        <v>Maurice Kain Twilight 300cm (Continuous) Triple Weave Rock</v>
      </c>
      <c r="D143">
        <v>0</v>
      </c>
      <c r="E143">
        <v>3000</v>
      </c>
      <c r="F143" t="s">
        <v>293</v>
      </c>
      <c r="G143" t="s">
        <v>256</v>
      </c>
      <c r="H143">
        <v>4</v>
      </c>
    </row>
    <row r="144" spans="1:8" ht="13.2">
      <c r="A144" t="s">
        <v>5795</v>
      </c>
      <c r="B144" t="s">
        <v>5830</v>
      </c>
      <c r="C144" t="str">
        <f t="shared" si="2"/>
        <v>Maurice Kain Twilight 300cm (Continuous) Triple Weave Smoke</v>
      </c>
      <c r="D144">
        <v>0</v>
      </c>
      <c r="E144">
        <v>3000</v>
      </c>
      <c r="F144" t="s">
        <v>293</v>
      </c>
      <c r="G144" t="s">
        <v>256</v>
      </c>
      <c r="H144">
        <v>4</v>
      </c>
    </row>
    <row r="145" spans="1:8" ht="13.2">
      <c r="A145" t="s">
        <v>5795</v>
      </c>
      <c r="B145" t="s">
        <v>5823</v>
      </c>
      <c r="C145" t="str">
        <f t="shared" si="2"/>
        <v>Maurice Kain Twilight 300cm (Continuous) Triple Weave Steel</v>
      </c>
      <c r="D145">
        <v>0</v>
      </c>
      <c r="E145">
        <v>3000</v>
      </c>
      <c r="F145" t="s">
        <v>293</v>
      </c>
      <c r="G145" t="s">
        <v>256</v>
      </c>
      <c r="H145">
        <v>4</v>
      </c>
    </row>
    <row r="146" spans="1:8" ht="13.2">
      <c r="A146" t="s">
        <v>5795</v>
      </c>
      <c r="B146" t="s">
        <v>369</v>
      </c>
      <c r="C146" t="str">
        <f t="shared" si="2"/>
        <v>Maurice Kain Twilight 300cm (Continuous) Triple Weave TBA</v>
      </c>
      <c r="D146">
        <v>0</v>
      </c>
      <c r="E146">
        <v>3000</v>
      </c>
      <c r="F146" t="s">
        <v>293</v>
      </c>
      <c r="G146" t="s">
        <v>256</v>
      </c>
      <c r="H146">
        <v>4</v>
      </c>
    </row>
    <row r="147" spans="1:8" ht="13.2">
      <c r="A147" t="s">
        <v>5795</v>
      </c>
      <c r="B147" t="s">
        <v>5831</v>
      </c>
      <c r="C147" t="str">
        <f t="shared" si="2"/>
        <v>Maurice Kain Twilight 300cm (Continuous) Triple Weave Truffle</v>
      </c>
      <c r="D147">
        <v>0</v>
      </c>
      <c r="E147">
        <v>3000</v>
      </c>
      <c r="F147" t="s">
        <v>293</v>
      </c>
      <c r="G147" t="s">
        <v>256</v>
      </c>
      <c r="H147">
        <v>4</v>
      </c>
    </row>
    <row r="148" spans="1:8" ht="13.2">
      <c r="A148" t="s">
        <v>5795</v>
      </c>
      <c r="B148" t="s">
        <v>191</v>
      </c>
      <c r="C148" t="str">
        <f t="shared" si="2"/>
        <v>Maurice Kain Twilight 300cm (Continuous) Triple Weave White</v>
      </c>
      <c r="D148">
        <v>0</v>
      </c>
      <c r="E148">
        <v>3000</v>
      </c>
      <c r="F148" t="s">
        <v>293</v>
      </c>
      <c r="G148" t="s">
        <v>256</v>
      </c>
      <c r="H148">
        <v>4</v>
      </c>
    </row>
    <row r="149" spans="1:8" ht="13.2">
      <c r="A149" t="s">
        <v>5796</v>
      </c>
      <c r="B149" t="s">
        <v>5832</v>
      </c>
      <c r="C149" t="str">
        <f t="shared" si="2"/>
        <v>Mokum Insulation (Drop) Dim Out Aluminium</v>
      </c>
      <c r="D149">
        <v>0</v>
      </c>
      <c r="E149">
        <v>1480</v>
      </c>
      <c r="F149" t="s">
        <v>291</v>
      </c>
      <c r="G149" t="s">
        <v>256</v>
      </c>
      <c r="H149">
        <v>42</v>
      </c>
    </row>
    <row r="150" spans="1:8" ht="13.2">
      <c r="A150" t="s">
        <v>5796</v>
      </c>
      <c r="B150" t="s">
        <v>5833</v>
      </c>
      <c r="C150" t="str">
        <f t="shared" si="2"/>
        <v>Mokum Insulation (Drop) Dim Out Aqua</v>
      </c>
      <c r="D150">
        <v>0</v>
      </c>
      <c r="E150">
        <v>1480</v>
      </c>
      <c r="F150" t="s">
        <v>291</v>
      </c>
      <c r="G150" t="s">
        <v>256</v>
      </c>
      <c r="H150">
        <v>42</v>
      </c>
    </row>
    <row r="151" spans="1:8" ht="13.2">
      <c r="A151" t="s">
        <v>5796</v>
      </c>
      <c r="B151" t="s">
        <v>5834</v>
      </c>
      <c r="C151" t="str">
        <f t="shared" si="2"/>
        <v>Mokum Insulation (Drop) Dim Out Artic</v>
      </c>
      <c r="D151">
        <v>0</v>
      </c>
      <c r="E151">
        <v>1480</v>
      </c>
      <c r="F151" t="s">
        <v>291</v>
      </c>
      <c r="G151" t="s">
        <v>256</v>
      </c>
      <c r="H151">
        <v>42</v>
      </c>
    </row>
    <row r="152" spans="1:8" ht="13.2">
      <c r="A152" t="s">
        <v>5796</v>
      </c>
      <c r="B152" t="s">
        <v>5835</v>
      </c>
      <c r="C152" t="str">
        <f t="shared" si="2"/>
        <v>Mokum Insulation (Drop) Dim Out Bark</v>
      </c>
      <c r="D152">
        <v>0</v>
      </c>
      <c r="E152">
        <v>1480</v>
      </c>
      <c r="F152" t="s">
        <v>291</v>
      </c>
      <c r="G152" t="s">
        <v>256</v>
      </c>
      <c r="H152">
        <v>42</v>
      </c>
    </row>
    <row r="153" spans="1:8" ht="13.2">
      <c r="A153" t="s">
        <v>5796</v>
      </c>
      <c r="B153" t="s">
        <v>193</v>
      </c>
      <c r="C153" t="str">
        <f t="shared" si="2"/>
        <v>Mokum Insulation (Drop) Dim Out Black</v>
      </c>
      <c r="D153">
        <v>0</v>
      </c>
      <c r="E153">
        <v>1480</v>
      </c>
      <c r="F153" t="s">
        <v>291</v>
      </c>
      <c r="G153" t="s">
        <v>256</v>
      </c>
      <c r="H153">
        <v>42</v>
      </c>
    </row>
    <row r="154" spans="1:8" ht="13.2">
      <c r="A154" t="s">
        <v>5796</v>
      </c>
      <c r="B154" t="s">
        <v>5836</v>
      </c>
      <c r="C154" t="str">
        <f t="shared" si="2"/>
        <v>Mokum Insulation (Drop) Dim Out Boudoir</v>
      </c>
      <c r="D154">
        <v>0</v>
      </c>
      <c r="E154">
        <v>1480</v>
      </c>
      <c r="F154" t="s">
        <v>291</v>
      </c>
      <c r="G154" t="s">
        <v>256</v>
      </c>
      <c r="H154">
        <v>42</v>
      </c>
    </row>
    <row r="155" spans="1:8" ht="13.2">
      <c r="A155" t="s">
        <v>5796</v>
      </c>
      <c r="B155" t="s">
        <v>5837</v>
      </c>
      <c r="C155" t="str">
        <f t="shared" si="2"/>
        <v>Mokum Insulation (Drop) Dim Out Brick</v>
      </c>
      <c r="D155">
        <v>0</v>
      </c>
      <c r="E155">
        <v>1480</v>
      </c>
      <c r="F155" t="s">
        <v>291</v>
      </c>
      <c r="G155" t="s">
        <v>256</v>
      </c>
      <c r="H155">
        <v>42</v>
      </c>
    </row>
    <row r="156" spans="1:8" ht="13.2">
      <c r="A156" t="s">
        <v>5796</v>
      </c>
      <c r="B156" t="s">
        <v>5838</v>
      </c>
      <c r="C156" t="str">
        <f t="shared" si="2"/>
        <v>Mokum Insulation (Drop) Dim Out Burgundy</v>
      </c>
      <c r="D156">
        <v>0</v>
      </c>
      <c r="E156">
        <v>1480</v>
      </c>
      <c r="F156" t="s">
        <v>291</v>
      </c>
      <c r="G156" t="s">
        <v>256</v>
      </c>
      <c r="H156">
        <v>42</v>
      </c>
    </row>
    <row r="157" spans="1:8" ht="13.2">
      <c r="A157" t="s">
        <v>5796</v>
      </c>
      <c r="B157" t="s">
        <v>5828</v>
      </c>
      <c r="C157" t="str">
        <f t="shared" si="2"/>
        <v>Mokum Insulation (Drop) Dim Out Charcoal</v>
      </c>
      <c r="D157">
        <v>0</v>
      </c>
      <c r="E157">
        <v>1480</v>
      </c>
      <c r="F157" t="s">
        <v>291</v>
      </c>
      <c r="G157" t="s">
        <v>256</v>
      </c>
      <c r="H157">
        <v>42</v>
      </c>
    </row>
    <row r="158" spans="1:8" ht="13.2">
      <c r="A158" t="s">
        <v>5796</v>
      </c>
      <c r="B158" t="s">
        <v>269</v>
      </c>
      <c r="C158" t="str">
        <f t="shared" si="2"/>
        <v>Mokum Insulation (Drop) Dim Out Chrome</v>
      </c>
      <c r="D158">
        <v>0</v>
      </c>
      <c r="E158">
        <v>1480</v>
      </c>
      <c r="F158" t="s">
        <v>291</v>
      </c>
      <c r="G158" t="s">
        <v>256</v>
      </c>
      <c r="H158">
        <v>42</v>
      </c>
    </row>
    <row r="159" spans="1:8" ht="13.2">
      <c r="A159" t="s">
        <v>5796</v>
      </c>
      <c r="B159" t="s">
        <v>5839</v>
      </c>
      <c r="C159" t="str">
        <f t="shared" si="2"/>
        <v>Mokum Insulation (Drop) Dim Out Cloud</v>
      </c>
      <c r="D159">
        <v>0</v>
      </c>
      <c r="E159">
        <v>1480</v>
      </c>
      <c r="F159" t="s">
        <v>291</v>
      </c>
      <c r="G159" t="s">
        <v>256</v>
      </c>
      <c r="H159">
        <v>42</v>
      </c>
    </row>
    <row r="160" spans="1:8" ht="13.2">
      <c r="A160" t="s">
        <v>5796</v>
      </c>
      <c r="B160" t="s">
        <v>5840</v>
      </c>
      <c r="C160" t="str">
        <f t="shared" si="2"/>
        <v>Mokum Insulation (Drop) Dim Out Denim</v>
      </c>
      <c r="D160">
        <v>0</v>
      </c>
      <c r="E160">
        <v>1480</v>
      </c>
      <c r="F160" t="s">
        <v>291</v>
      </c>
      <c r="G160" t="s">
        <v>256</v>
      </c>
      <c r="H160">
        <v>42</v>
      </c>
    </row>
    <row r="161" spans="1:8" ht="13.2">
      <c r="A161" t="s">
        <v>5796</v>
      </c>
      <c r="B161" t="s">
        <v>5841</v>
      </c>
      <c r="C161" t="str">
        <f t="shared" si="2"/>
        <v>Mokum Insulation (Drop) Dim Out Dove</v>
      </c>
      <c r="D161">
        <v>0</v>
      </c>
      <c r="E161">
        <v>1480</v>
      </c>
      <c r="F161" t="s">
        <v>291</v>
      </c>
      <c r="G161" t="s">
        <v>256</v>
      </c>
      <c r="H161">
        <v>42</v>
      </c>
    </row>
    <row r="162" spans="1:8" ht="13.2">
      <c r="A162" t="s">
        <v>5796</v>
      </c>
      <c r="B162" t="s">
        <v>5842</v>
      </c>
      <c r="C162" t="str">
        <f t="shared" si="2"/>
        <v>Mokum Insulation (Drop) Dim Out Drangonfly</v>
      </c>
      <c r="D162">
        <v>0</v>
      </c>
      <c r="E162">
        <v>1480</v>
      </c>
      <c r="F162" t="s">
        <v>291</v>
      </c>
      <c r="G162" t="s">
        <v>256</v>
      </c>
      <c r="H162">
        <v>42</v>
      </c>
    </row>
    <row r="163" spans="1:8" ht="13.2">
      <c r="A163" t="s">
        <v>5796</v>
      </c>
      <c r="B163" t="s">
        <v>5843</v>
      </c>
      <c r="C163" t="str">
        <f t="shared" si="2"/>
        <v>Mokum Insulation (Drop) Dim Out Ecru</v>
      </c>
      <c r="D163">
        <v>0</v>
      </c>
      <c r="E163">
        <v>1480</v>
      </c>
      <c r="F163" t="s">
        <v>291</v>
      </c>
      <c r="G163" t="s">
        <v>256</v>
      </c>
      <c r="H163">
        <v>42</v>
      </c>
    </row>
    <row r="164" spans="1:8" ht="13.2">
      <c r="A164" t="s">
        <v>5796</v>
      </c>
      <c r="B164" t="s">
        <v>5844</v>
      </c>
      <c r="C164" t="str">
        <f t="shared" si="2"/>
        <v>Mokum Insulation (Drop) Dim Out Flame</v>
      </c>
      <c r="D164">
        <v>0</v>
      </c>
      <c r="E164">
        <v>1480</v>
      </c>
      <c r="F164" t="s">
        <v>291</v>
      </c>
      <c r="G164" t="s">
        <v>256</v>
      </c>
      <c r="H164">
        <v>42</v>
      </c>
    </row>
    <row r="165" spans="1:8" ht="13.2">
      <c r="A165" t="s">
        <v>5796</v>
      </c>
      <c r="B165" t="s">
        <v>5783</v>
      </c>
      <c r="C165" t="str">
        <f t="shared" si="2"/>
        <v>Mokum Insulation (Drop) Dim Out Fossil</v>
      </c>
      <c r="D165">
        <v>0</v>
      </c>
      <c r="E165">
        <v>1480</v>
      </c>
      <c r="F165" t="s">
        <v>291</v>
      </c>
      <c r="G165" t="s">
        <v>256</v>
      </c>
      <c r="H165">
        <v>42</v>
      </c>
    </row>
    <row r="166" spans="1:8" ht="13.2">
      <c r="A166" t="s">
        <v>5796</v>
      </c>
      <c r="B166" t="s">
        <v>5845</v>
      </c>
      <c r="C166" t="str">
        <f t="shared" si="2"/>
        <v>Mokum Insulation (Drop) Dim Out Gargoyle</v>
      </c>
      <c r="D166">
        <v>0</v>
      </c>
      <c r="E166">
        <v>1480</v>
      </c>
      <c r="F166" t="s">
        <v>291</v>
      </c>
      <c r="G166" t="s">
        <v>256</v>
      </c>
      <c r="H166">
        <v>42</v>
      </c>
    </row>
    <row r="167" spans="1:8" ht="13.2">
      <c r="A167" t="s">
        <v>5796</v>
      </c>
      <c r="B167" t="s">
        <v>5846</v>
      </c>
      <c r="C167" t="str">
        <f t="shared" si="2"/>
        <v>Mokum Insulation (Drop) Dim Out Indigo</v>
      </c>
      <c r="D167">
        <v>0</v>
      </c>
      <c r="E167">
        <v>1480</v>
      </c>
      <c r="F167" t="s">
        <v>291</v>
      </c>
      <c r="G167" t="s">
        <v>256</v>
      </c>
      <c r="H167">
        <v>42</v>
      </c>
    </row>
    <row r="168" spans="1:8" ht="13.2">
      <c r="A168" t="s">
        <v>5796</v>
      </c>
      <c r="B168" t="s">
        <v>5847</v>
      </c>
      <c r="C168" t="str">
        <f t="shared" si="2"/>
        <v>Mokum Insulation (Drop) Dim Out Limestone</v>
      </c>
      <c r="D168">
        <v>0</v>
      </c>
      <c r="E168">
        <v>1480</v>
      </c>
      <c r="F168" t="s">
        <v>291</v>
      </c>
      <c r="G168" t="s">
        <v>256</v>
      </c>
      <c r="H168">
        <v>42</v>
      </c>
    </row>
    <row r="169" spans="1:8" ht="13.2">
      <c r="A169" t="s">
        <v>5796</v>
      </c>
      <c r="B169" t="s">
        <v>5848</v>
      </c>
      <c r="C169" t="str">
        <f t="shared" si="2"/>
        <v>Mokum Insulation (Drop) Dim Out Linden</v>
      </c>
      <c r="D169">
        <v>0</v>
      </c>
      <c r="E169">
        <v>1480</v>
      </c>
      <c r="F169" t="s">
        <v>291</v>
      </c>
      <c r="G169" t="s">
        <v>256</v>
      </c>
      <c r="H169">
        <v>42</v>
      </c>
    </row>
    <row r="170" spans="1:8" ht="13.2">
      <c r="A170" t="s">
        <v>5796</v>
      </c>
      <c r="B170" t="s">
        <v>5849</v>
      </c>
      <c r="C170" t="str">
        <f t="shared" si="2"/>
        <v>Mokum Insulation (Drop) Dim Out Metal</v>
      </c>
      <c r="D170">
        <v>0</v>
      </c>
      <c r="E170">
        <v>1480</v>
      </c>
      <c r="F170" t="s">
        <v>291</v>
      </c>
      <c r="G170" t="s">
        <v>256</v>
      </c>
      <c r="H170">
        <v>42</v>
      </c>
    </row>
    <row r="171" spans="1:8" ht="13.2">
      <c r="A171" t="s">
        <v>5796</v>
      </c>
      <c r="B171" t="s">
        <v>5850</v>
      </c>
      <c r="C171" t="str">
        <f t="shared" si="2"/>
        <v>Mokum Insulation (Drop) Dim Out Mushroom</v>
      </c>
      <c r="D171">
        <v>0</v>
      </c>
      <c r="E171">
        <v>1480</v>
      </c>
      <c r="F171" t="s">
        <v>291</v>
      </c>
      <c r="G171" t="s">
        <v>256</v>
      </c>
      <c r="H171">
        <v>42</v>
      </c>
    </row>
    <row r="172" spans="1:8" ht="13.2">
      <c r="A172" t="s">
        <v>5796</v>
      </c>
      <c r="B172" t="s">
        <v>5851</v>
      </c>
      <c r="C172" t="str">
        <f t="shared" si="2"/>
        <v>Mokum Insulation (Drop) Dim Out Orchid</v>
      </c>
      <c r="D172">
        <v>0</v>
      </c>
      <c r="E172">
        <v>1480</v>
      </c>
      <c r="F172" t="s">
        <v>291</v>
      </c>
      <c r="G172" t="s">
        <v>256</v>
      </c>
      <c r="H172">
        <v>42</v>
      </c>
    </row>
    <row r="173" spans="1:8" ht="13.2">
      <c r="A173" t="s">
        <v>5796</v>
      </c>
      <c r="B173" t="s">
        <v>5852</v>
      </c>
      <c r="C173" t="str">
        <f t="shared" si="2"/>
        <v>Mokum Insulation (Drop) Dim Out Palm</v>
      </c>
      <c r="D173">
        <v>0</v>
      </c>
      <c r="E173">
        <v>1480</v>
      </c>
      <c r="F173" t="s">
        <v>291</v>
      </c>
      <c r="G173" t="s">
        <v>256</v>
      </c>
      <c r="H173">
        <v>42</v>
      </c>
    </row>
    <row r="174" spans="1:8" ht="13.2">
      <c r="A174" t="s">
        <v>5796</v>
      </c>
      <c r="B174" t="s">
        <v>429</v>
      </c>
      <c r="C174" t="str">
        <f t="shared" si="2"/>
        <v>Mokum Insulation (Drop) Dim Out Pewter</v>
      </c>
      <c r="D174">
        <v>0</v>
      </c>
      <c r="E174">
        <v>1480</v>
      </c>
      <c r="F174" t="s">
        <v>291</v>
      </c>
      <c r="G174" t="s">
        <v>256</v>
      </c>
      <c r="H174">
        <v>42</v>
      </c>
    </row>
    <row r="175" spans="1:8" ht="13.2">
      <c r="A175" t="s">
        <v>5796</v>
      </c>
      <c r="B175" t="s">
        <v>5853</v>
      </c>
      <c r="C175" t="str">
        <f t="shared" si="2"/>
        <v>Mokum Insulation (Drop) Dim Out Quartz</v>
      </c>
      <c r="D175">
        <v>0</v>
      </c>
      <c r="E175">
        <v>1480</v>
      </c>
      <c r="F175" t="s">
        <v>291</v>
      </c>
      <c r="G175" t="s">
        <v>256</v>
      </c>
      <c r="H175">
        <v>42</v>
      </c>
    </row>
    <row r="176" spans="1:8" ht="13.2">
      <c r="A176" t="s">
        <v>5796</v>
      </c>
      <c r="B176" t="s">
        <v>5854</v>
      </c>
      <c r="C176" t="str">
        <f t="shared" si="2"/>
        <v>Mokum Insulation (Drop) Dim Out Sesame</v>
      </c>
      <c r="D176">
        <v>0</v>
      </c>
      <c r="E176">
        <v>1480</v>
      </c>
      <c r="F176" t="s">
        <v>291</v>
      </c>
      <c r="G176" t="s">
        <v>256</v>
      </c>
      <c r="H176">
        <v>42</v>
      </c>
    </row>
    <row r="177" spans="1:8" ht="13.2">
      <c r="A177" t="s">
        <v>5796</v>
      </c>
      <c r="B177" t="s">
        <v>5808</v>
      </c>
      <c r="C177" t="str">
        <f t="shared" si="2"/>
        <v>Mokum Insulation (Drop) Dim Out Silver</v>
      </c>
      <c r="D177">
        <v>0</v>
      </c>
      <c r="E177">
        <v>1480</v>
      </c>
      <c r="F177" t="s">
        <v>291</v>
      </c>
      <c r="G177" t="s">
        <v>256</v>
      </c>
      <c r="H177">
        <v>42</v>
      </c>
    </row>
    <row r="178" spans="1:8" ht="13.2">
      <c r="A178" t="s">
        <v>5796</v>
      </c>
      <c r="B178" t="s">
        <v>5855</v>
      </c>
      <c r="C178" t="str">
        <f t="shared" si="2"/>
        <v>Mokum Insulation (Drop) Dim Out Snow</v>
      </c>
      <c r="D178">
        <v>0</v>
      </c>
      <c r="E178">
        <v>1480</v>
      </c>
      <c r="F178" t="s">
        <v>291</v>
      </c>
      <c r="G178" t="s">
        <v>256</v>
      </c>
      <c r="H178">
        <v>42</v>
      </c>
    </row>
    <row r="179" spans="1:8" ht="13.2">
      <c r="A179" t="s">
        <v>5796</v>
      </c>
      <c r="B179" t="s">
        <v>5856</v>
      </c>
      <c r="C179" t="str">
        <f t="shared" si="2"/>
        <v>Mokum Insulation (Drop) Dim Out Taupe</v>
      </c>
      <c r="D179">
        <v>0</v>
      </c>
      <c r="E179">
        <v>1480</v>
      </c>
      <c r="F179" t="s">
        <v>291</v>
      </c>
      <c r="G179" t="s">
        <v>256</v>
      </c>
      <c r="H179">
        <v>42</v>
      </c>
    </row>
    <row r="180" spans="1:8" ht="13.2">
      <c r="A180" t="s">
        <v>5796</v>
      </c>
      <c r="B180" t="s">
        <v>369</v>
      </c>
      <c r="C180" t="str">
        <f t="shared" si="2"/>
        <v>Mokum Insulation (Drop) Dim Out TBA</v>
      </c>
      <c r="D180">
        <v>0</v>
      </c>
      <c r="E180">
        <v>1480</v>
      </c>
      <c r="F180" t="s">
        <v>291</v>
      </c>
      <c r="G180" t="s">
        <v>256</v>
      </c>
      <c r="H180">
        <v>42</v>
      </c>
    </row>
    <row r="181" spans="1:8" ht="13.2">
      <c r="A181" t="s">
        <v>5796</v>
      </c>
      <c r="B181" t="s">
        <v>5857</v>
      </c>
      <c r="C181" t="str">
        <f t="shared" si="2"/>
        <v>Mokum Insulation (Drop) Dim Out Thyme</v>
      </c>
      <c r="D181">
        <v>0</v>
      </c>
      <c r="E181">
        <v>1480</v>
      </c>
      <c r="F181" t="s">
        <v>291</v>
      </c>
      <c r="G181" t="s">
        <v>256</v>
      </c>
      <c r="H181">
        <v>42</v>
      </c>
    </row>
    <row r="182" spans="1:8" ht="13.2">
      <c r="A182" t="s">
        <v>5786</v>
      </c>
      <c r="B182" t="s">
        <v>225</v>
      </c>
      <c r="C182" t="str">
        <f t="shared" si="2"/>
        <v>Mokum Nitefall 280cm (Continuous) Lining Gold</v>
      </c>
      <c r="D182">
        <v>0</v>
      </c>
      <c r="E182" s="44" t="s">
        <v>292</v>
      </c>
      <c r="F182" t="s">
        <v>293</v>
      </c>
      <c r="G182" t="s">
        <v>256</v>
      </c>
      <c r="H182">
        <v>3</v>
      </c>
    </row>
    <row r="183" spans="1:8" ht="13.2">
      <c r="A183" t="s">
        <v>5786</v>
      </c>
      <c r="B183" t="s">
        <v>5858</v>
      </c>
      <c r="C183" t="str">
        <f t="shared" si="2"/>
        <v>Mokum Nitefall 280cm (Continuous) Lining Gravel</v>
      </c>
      <c r="D183">
        <v>0</v>
      </c>
      <c r="E183" s="44" t="s">
        <v>292</v>
      </c>
      <c r="F183" t="s">
        <v>293</v>
      </c>
      <c r="G183" t="s">
        <v>256</v>
      </c>
      <c r="H183">
        <v>3</v>
      </c>
    </row>
    <row r="184" spans="1:8" ht="13.2">
      <c r="A184" t="s">
        <v>5786</v>
      </c>
      <c r="B184" t="s">
        <v>5859</v>
      </c>
      <c r="C184" t="str">
        <f t="shared" si="2"/>
        <v>Mokum Nitefall 280cm (Continuous) Lining Onyx</v>
      </c>
      <c r="D184">
        <v>0</v>
      </c>
      <c r="E184" s="44" t="s">
        <v>292</v>
      </c>
      <c r="F184" t="s">
        <v>293</v>
      </c>
      <c r="G184" t="s">
        <v>256</v>
      </c>
      <c r="H184">
        <v>3</v>
      </c>
    </row>
    <row r="185" spans="1:8" ht="13.2">
      <c r="A185" t="s">
        <v>5786</v>
      </c>
      <c r="B185" t="s">
        <v>5860</v>
      </c>
      <c r="C185" t="str">
        <f t="shared" si="2"/>
        <v>Mokum Nitefall 280cm (Continuous) Lining Parchment</v>
      </c>
      <c r="D185">
        <v>0</v>
      </c>
      <c r="E185" s="44" t="s">
        <v>292</v>
      </c>
      <c r="F185" t="s">
        <v>293</v>
      </c>
      <c r="G185" t="s">
        <v>256</v>
      </c>
      <c r="H185">
        <v>3</v>
      </c>
    </row>
    <row r="186" spans="1:8" ht="13.2">
      <c r="A186" t="s">
        <v>5786</v>
      </c>
      <c r="B186" t="s">
        <v>5854</v>
      </c>
      <c r="C186" t="str">
        <f t="shared" si="2"/>
        <v>Mokum Nitefall 280cm (Continuous) Lining Sesame</v>
      </c>
      <c r="D186">
        <v>0</v>
      </c>
      <c r="E186" s="44" t="s">
        <v>292</v>
      </c>
      <c r="F186" t="s">
        <v>293</v>
      </c>
      <c r="G186" t="s">
        <v>256</v>
      </c>
      <c r="H186">
        <v>3</v>
      </c>
    </row>
    <row r="187" spans="1:8" ht="13.2">
      <c r="A187" t="s">
        <v>5786</v>
      </c>
      <c r="B187" t="s">
        <v>369</v>
      </c>
      <c r="C187" t="str">
        <f t="shared" si="2"/>
        <v>Mokum Nitefall 280cm (Continuous) Lining TBA</v>
      </c>
      <c r="D187">
        <v>0</v>
      </c>
      <c r="E187" s="44" t="s">
        <v>292</v>
      </c>
      <c r="F187" t="s">
        <v>293</v>
      </c>
      <c r="G187" t="s">
        <v>256</v>
      </c>
      <c r="H187">
        <v>3</v>
      </c>
    </row>
    <row r="188" spans="1:8" ht="13.2">
      <c r="A188" t="s">
        <v>5797</v>
      </c>
      <c r="B188" t="s">
        <v>225</v>
      </c>
      <c r="C188" t="str">
        <f t="shared" si="2"/>
        <v>Mokum Nitefall FR 300cm (Continuous) Lining with European Bumph Interlining Gold</v>
      </c>
      <c r="D188">
        <v>0</v>
      </c>
      <c r="E188" s="44">
        <v>3000</v>
      </c>
      <c r="F188" t="s">
        <v>293</v>
      </c>
      <c r="G188" t="s">
        <v>256</v>
      </c>
      <c r="H188">
        <v>3</v>
      </c>
    </row>
    <row r="189" spans="1:8" ht="13.2">
      <c r="A189" t="s">
        <v>5797</v>
      </c>
      <c r="B189" t="s">
        <v>5858</v>
      </c>
      <c r="C189" t="str">
        <f t="shared" si="2"/>
        <v>Mokum Nitefall FR 300cm (Continuous) Lining with European Bumph Interlining Gravel</v>
      </c>
      <c r="D189">
        <v>0</v>
      </c>
      <c r="E189" s="44">
        <v>3000</v>
      </c>
      <c r="F189" t="s">
        <v>293</v>
      </c>
      <c r="G189" t="s">
        <v>256</v>
      </c>
      <c r="H189">
        <v>3</v>
      </c>
    </row>
    <row r="190" spans="1:8" ht="13.2">
      <c r="A190" t="s">
        <v>5797</v>
      </c>
      <c r="B190" t="s">
        <v>5859</v>
      </c>
      <c r="C190" t="str">
        <f t="shared" si="2"/>
        <v>Mokum Nitefall FR 300cm (Continuous) Lining with European Bumph Interlining Onyx</v>
      </c>
      <c r="D190">
        <v>0</v>
      </c>
      <c r="E190" s="44">
        <v>3000</v>
      </c>
      <c r="F190" t="s">
        <v>293</v>
      </c>
      <c r="G190" t="s">
        <v>256</v>
      </c>
      <c r="H190">
        <v>3</v>
      </c>
    </row>
    <row r="191" spans="1:8" ht="13.2">
      <c r="A191" t="s">
        <v>5797</v>
      </c>
      <c r="B191" t="s">
        <v>5860</v>
      </c>
      <c r="C191" t="str">
        <f t="shared" si="2"/>
        <v>Mokum Nitefall FR 300cm (Continuous) Lining with European Bumph Interlining Parchment</v>
      </c>
      <c r="D191">
        <v>0</v>
      </c>
      <c r="E191" s="44">
        <v>3000</v>
      </c>
      <c r="F191" t="s">
        <v>293</v>
      </c>
      <c r="G191" t="s">
        <v>256</v>
      </c>
      <c r="H191">
        <v>3</v>
      </c>
    </row>
    <row r="192" spans="1:8" ht="13.2">
      <c r="A192" t="s">
        <v>5797</v>
      </c>
      <c r="B192" t="s">
        <v>5854</v>
      </c>
      <c r="C192" t="str">
        <f t="shared" si="2"/>
        <v>Mokum Nitefall FR 300cm (Continuous) Lining with European Bumph Interlining Sesame</v>
      </c>
      <c r="D192">
        <v>0</v>
      </c>
      <c r="E192" s="44">
        <v>3000</v>
      </c>
      <c r="F192" t="s">
        <v>293</v>
      </c>
      <c r="G192" t="s">
        <v>256</v>
      </c>
      <c r="H192">
        <v>3</v>
      </c>
    </row>
    <row r="193" spans="1:8" ht="13.2">
      <c r="A193" t="s">
        <v>5797</v>
      </c>
      <c r="B193" t="s">
        <v>369</v>
      </c>
      <c r="C193" t="str">
        <f t="shared" si="2"/>
        <v>Mokum Nitefall FR 300cm (Continuous) Lining with European Bumph Interlining TBA</v>
      </c>
      <c r="D193">
        <v>0</v>
      </c>
      <c r="E193" s="44">
        <v>3000</v>
      </c>
      <c r="F193" t="s">
        <v>293</v>
      </c>
      <c r="G193" t="s">
        <v>256</v>
      </c>
      <c r="H193">
        <v>3</v>
      </c>
    </row>
    <row r="194" spans="1:6" ht="13.2">
      <c r="A194" t="s">
        <v>8164</v>
      </c>
      <c r="C194" t="str">
        <f t="shared" si="2"/>
        <v>No Lining </v>
      </c>
      <c r="D194">
        <v>0</v>
      </c>
      <c r="F194" t="s">
        <v>403</v>
      </c>
    </row>
    <row r="195" spans="1:8" ht="13.2">
      <c r="A195" t="s">
        <v>7824</v>
      </c>
      <c r="B195" t="s">
        <v>7825</v>
      </c>
      <c r="C195" t="str">
        <f t="shared" si="2"/>
        <v>Hoad CMB-320 (Continuous) Lining Camel</v>
      </c>
      <c r="D195">
        <v>0</v>
      </c>
      <c r="E195">
        <v>3200</v>
      </c>
      <c r="F195" t="s">
        <v>293</v>
      </c>
      <c r="G195" t="s">
        <v>5182</v>
      </c>
      <c r="H195">
        <v>11</v>
      </c>
    </row>
    <row r="196" spans="1:8" ht="13.2">
      <c r="A196" t="s">
        <v>7824</v>
      </c>
      <c r="B196" t="s">
        <v>7826</v>
      </c>
      <c r="C196" t="str">
        <f t="shared" si="3" ref="C196:C259">CONCATENATE(A196," ",B196)</f>
        <v>Hoad CMB-320 (Continuous) Lining Domino</v>
      </c>
      <c r="D196">
        <v>0</v>
      </c>
      <c r="E196">
        <v>3200</v>
      </c>
      <c r="F196" t="s">
        <v>293</v>
      </c>
      <c r="G196" t="s">
        <v>5182</v>
      </c>
      <c r="H196">
        <v>11</v>
      </c>
    </row>
    <row r="197" spans="1:8" ht="13.2">
      <c r="A197" t="s">
        <v>7824</v>
      </c>
      <c r="B197" t="s">
        <v>7827</v>
      </c>
      <c r="C197" t="str">
        <f t="shared" si="3"/>
        <v>Hoad CMB-320 (Continuous) Lining Earth</v>
      </c>
      <c r="D197">
        <v>0</v>
      </c>
      <c r="E197">
        <v>3200</v>
      </c>
      <c r="F197" t="s">
        <v>293</v>
      </c>
      <c r="G197" t="s">
        <v>5182</v>
      </c>
      <c r="H197">
        <v>11</v>
      </c>
    </row>
    <row r="198" spans="1:8" ht="13.2">
      <c r="A198" t="s">
        <v>7824</v>
      </c>
      <c r="B198" t="s">
        <v>7828</v>
      </c>
      <c r="C198" t="str">
        <f t="shared" si="3"/>
        <v>Hoad CMB-320 (Continuous) Lining Feather</v>
      </c>
      <c r="D198">
        <v>0</v>
      </c>
      <c r="E198">
        <v>3200</v>
      </c>
      <c r="F198" t="s">
        <v>293</v>
      </c>
      <c r="G198" t="s">
        <v>5182</v>
      </c>
      <c r="H198">
        <v>11</v>
      </c>
    </row>
    <row r="199" spans="1:8" ht="13.2">
      <c r="A199" t="s">
        <v>7824</v>
      </c>
      <c r="B199" t="s">
        <v>7829</v>
      </c>
      <c r="C199" t="str">
        <f t="shared" si="3"/>
        <v>Hoad CMB-320 (Continuous) Lining Iron</v>
      </c>
      <c r="D199">
        <v>0</v>
      </c>
      <c r="E199">
        <v>3200</v>
      </c>
      <c r="F199" t="s">
        <v>293</v>
      </c>
      <c r="G199" t="s">
        <v>5182</v>
      </c>
      <c r="H199">
        <v>11</v>
      </c>
    </row>
    <row r="200" spans="1:8" ht="13.2">
      <c r="A200" t="s">
        <v>7824</v>
      </c>
      <c r="B200" t="s">
        <v>190</v>
      </c>
      <c r="C200" t="str">
        <f t="shared" si="3"/>
        <v>Hoad CMB-320 (Continuous) Lining Ivory</v>
      </c>
      <c r="D200">
        <v>0</v>
      </c>
      <c r="E200">
        <v>3200</v>
      </c>
      <c r="F200" t="s">
        <v>293</v>
      </c>
      <c r="G200" t="s">
        <v>5182</v>
      </c>
      <c r="H200">
        <v>11</v>
      </c>
    </row>
    <row r="201" spans="1:8" ht="13.2">
      <c r="A201" t="s">
        <v>7824</v>
      </c>
      <c r="B201" t="s">
        <v>5802</v>
      </c>
      <c r="C201" t="str">
        <f t="shared" si="3"/>
        <v>Hoad CMB-320 (Continuous) Lining Latte</v>
      </c>
      <c r="D201">
        <v>0</v>
      </c>
      <c r="E201">
        <v>3200</v>
      </c>
      <c r="F201" t="s">
        <v>293</v>
      </c>
      <c r="G201" t="s">
        <v>5182</v>
      </c>
      <c r="H201">
        <v>11</v>
      </c>
    </row>
    <row r="202" spans="1:8" ht="13.2">
      <c r="A202" t="s">
        <v>7824</v>
      </c>
      <c r="B202" t="s">
        <v>7830</v>
      </c>
      <c r="C202" t="str">
        <f t="shared" si="3"/>
        <v>Hoad CMB-320 (Continuous) Lining Lava</v>
      </c>
      <c r="D202">
        <v>0</v>
      </c>
      <c r="E202">
        <v>3200</v>
      </c>
      <c r="F202" t="s">
        <v>293</v>
      </c>
      <c r="G202" t="s">
        <v>5182</v>
      </c>
      <c r="H202">
        <v>11</v>
      </c>
    </row>
    <row r="203" spans="1:8" ht="13.2">
      <c r="A203" t="s">
        <v>7824</v>
      </c>
      <c r="B203" t="s">
        <v>7831</v>
      </c>
      <c r="C203" t="str">
        <f t="shared" si="3"/>
        <v>Hoad CMB-320 (Continuous) Lining PFP</v>
      </c>
      <c r="D203">
        <v>0</v>
      </c>
      <c r="E203">
        <v>3200</v>
      </c>
      <c r="F203" t="s">
        <v>293</v>
      </c>
      <c r="G203" t="s">
        <v>5182</v>
      </c>
      <c r="H203">
        <v>11</v>
      </c>
    </row>
    <row r="204" spans="1:8" ht="13.2">
      <c r="A204" t="s">
        <v>7824</v>
      </c>
      <c r="B204" t="s">
        <v>5823</v>
      </c>
      <c r="C204" t="str">
        <f t="shared" si="3"/>
        <v>Hoad CMB-320 (Continuous) Lining Steel</v>
      </c>
      <c r="D204">
        <v>0</v>
      </c>
      <c r="E204">
        <v>3200</v>
      </c>
      <c r="F204" t="s">
        <v>293</v>
      </c>
      <c r="G204" t="s">
        <v>5182</v>
      </c>
      <c r="H204">
        <v>11</v>
      </c>
    </row>
    <row r="205" spans="1:8" ht="13.2">
      <c r="A205" t="s">
        <v>7824</v>
      </c>
      <c r="B205" t="s">
        <v>5824</v>
      </c>
      <c r="C205" t="str">
        <f t="shared" si="3"/>
        <v>Hoad CMB-320 (Continuous) Lining Stone</v>
      </c>
      <c r="D205">
        <v>0</v>
      </c>
      <c r="E205">
        <v>3200</v>
      </c>
      <c r="F205" t="s">
        <v>293</v>
      </c>
      <c r="G205" t="s">
        <v>5182</v>
      </c>
      <c r="H205">
        <v>11</v>
      </c>
    </row>
    <row r="206" spans="1:8" ht="13.2">
      <c r="A206" t="s">
        <v>7824</v>
      </c>
      <c r="B206" t="s">
        <v>369</v>
      </c>
      <c r="C206" t="str">
        <f t="shared" si="3"/>
        <v>Hoad CMB-320 (Continuous) Lining TBA</v>
      </c>
      <c r="D206">
        <v>0</v>
      </c>
      <c r="E206">
        <v>3200</v>
      </c>
      <c r="F206" t="s">
        <v>293</v>
      </c>
      <c r="G206" t="s">
        <v>5182</v>
      </c>
      <c r="H206">
        <v>11</v>
      </c>
    </row>
    <row r="207" spans="1:8" ht="13.2">
      <c r="A207" t="s">
        <v>7824</v>
      </c>
      <c r="B207" t="s">
        <v>7832</v>
      </c>
      <c r="C207" t="str">
        <f t="shared" si="3"/>
        <v>Hoad CMB-320 (Continuous) Lining Timber</v>
      </c>
      <c r="D207">
        <v>0</v>
      </c>
      <c r="E207">
        <v>3200</v>
      </c>
      <c r="F207" t="s">
        <v>293</v>
      </c>
      <c r="G207" t="s">
        <v>5182</v>
      </c>
      <c r="H207">
        <v>11</v>
      </c>
    </row>
    <row r="208" spans="1:8" ht="13.2">
      <c r="A208" t="s">
        <v>7824</v>
      </c>
      <c r="B208" t="s">
        <v>191</v>
      </c>
      <c r="C208" t="str">
        <f t="shared" si="3"/>
        <v>Hoad CMB-320 (Continuous) Lining White</v>
      </c>
      <c r="D208">
        <v>0</v>
      </c>
      <c r="E208">
        <v>3200</v>
      </c>
      <c r="F208" t="s">
        <v>293</v>
      </c>
      <c r="G208" t="s">
        <v>5182</v>
      </c>
      <c r="H208">
        <v>11</v>
      </c>
    </row>
    <row r="209" spans="1:8" ht="13.2">
      <c r="A209" t="s">
        <v>7822</v>
      </c>
      <c r="B209" t="s">
        <v>7823</v>
      </c>
      <c r="C209" t="str">
        <f t="shared" si="3"/>
        <v>Filigree Thermoguard 280cm (Continuous) Lining OFF WHITE</v>
      </c>
      <c r="D209">
        <v>0</v>
      </c>
      <c r="E209">
        <v>2800</v>
      </c>
      <c r="F209" t="s">
        <v>293</v>
      </c>
      <c r="G209" t="s">
        <v>256</v>
      </c>
      <c r="H209">
        <v>3</v>
      </c>
    </row>
    <row r="210" spans="1:8" ht="13.2">
      <c r="A210" t="s">
        <v>7822</v>
      </c>
      <c r="B210" t="s">
        <v>191</v>
      </c>
      <c r="C210" t="str">
        <f t="shared" si="3"/>
        <v>Filigree Thermoguard 280cm (Continuous) Lining White</v>
      </c>
      <c r="D210">
        <v>0</v>
      </c>
      <c r="E210">
        <v>2800</v>
      </c>
      <c r="F210" t="s">
        <v>293</v>
      </c>
      <c r="G210" t="s">
        <v>256</v>
      </c>
      <c r="H210">
        <v>3</v>
      </c>
    </row>
    <row r="211" spans="1:8" ht="13.2">
      <c r="A211" t="s">
        <v>7822</v>
      </c>
      <c r="B211" t="s">
        <v>369</v>
      </c>
      <c r="C211" t="str">
        <f t="shared" si="3"/>
        <v>Filigree Thermoguard 280cm (Continuous) Lining TBA</v>
      </c>
      <c r="D211">
        <v>0</v>
      </c>
      <c r="E211">
        <v>2800</v>
      </c>
      <c r="F211" t="s">
        <v>293</v>
      </c>
      <c r="G211" t="s">
        <v>256</v>
      </c>
      <c r="H211">
        <v>3</v>
      </c>
    </row>
    <row r="212" spans="1:8" ht="13.2">
      <c r="A212" t="s">
        <v>7833</v>
      </c>
      <c r="B212" t="s">
        <v>5821</v>
      </c>
      <c r="C212" t="str">
        <f t="shared" si="3"/>
        <v>Filigree Thermoguard 320cm (Continuous) Lining Off White</v>
      </c>
      <c r="D212">
        <v>0</v>
      </c>
      <c r="E212">
        <v>3200</v>
      </c>
      <c r="F212" t="s">
        <v>293</v>
      </c>
      <c r="G212" t="s">
        <v>256</v>
      </c>
      <c r="H212">
        <v>3</v>
      </c>
    </row>
    <row r="213" spans="1:8" ht="13.2">
      <c r="A213" t="s">
        <v>7833</v>
      </c>
      <c r="B213" t="s">
        <v>191</v>
      </c>
      <c r="C213" t="str">
        <f t="shared" si="3"/>
        <v>Filigree Thermoguard 320cm (Continuous) Lining White</v>
      </c>
      <c r="D213">
        <v>0</v>
      </c>
      <c r="E213">
        <v>3200</v>
      </c>
      <c r="F213" t="s">
        <v>293</v>
      </c>
      <c r="G213" t="s">
        <v>256</v>
      </c>
      <c r="H213">
        <v>3</v>
      </c>
    </row>
    <row r="214" spans="1:8" ht="13.2">
      <c r="A214" t="s">
        <v>7833</v>
      </c>
      <c r="B214" t="s">
        <v>369</v>
      </c>
      <c r="C214" t="str">
        <f t="shared" si="3"/>
        <v>Filigree Thermoguard 320cm (Continuous) Lining TBA</v>
      </c>
      <c r="D214">
        <v>0</v>
      </c>
      <c r="E214">
        <v>3200</v>
      </c>
      <c r="F214" t="s">
        <v>293</v>
      </c>
      <c r="G214" t="s">
        <v>256</v>
      </c>
      <c r="H214">
        <v>3</v>
      </c>
    </row>
    <row r="215" spans="1:8" ht="13.2">
      <c r="A215" t="s">
        <v>7834</v>
      </c>
      <c r="B215" t="s">
        <v>5821</v>
      </c>
      <c r="C215" t="str">
        <f t="shared" si="3"/>
        <v>Filigree Thermoguard 150cm (Drop) Lining Off White</v>
      </c>
      <c r="D215">
        <v>0</v>
      </c>
      <c r="E215">
        <v>1500</v>
      </c>
      <c r="F215" t="s">
        <v>291</v>
      </c>
      <c r="G215" t="s">
        <v>256</v>
      </c>
      <c r="H215">
        <v>3</v>
      </c>
    </row>
    <row r="216" spans="1:8" ht="13.2">
      <c r="A216" t="s">
        <v>7834</v>
      </c>
      <c r="B216" t="s">
        <v>191</v>
      </c>
      <c r="C216" t="str">
        <f t="shared" si="3"/>
        <v>Filigree Thermoguard 150cm (Drop) Lining White</v>
      </c>
      <c r="D216">
        <v>0</v>
      </c>
      <c r="E216">
        <v>1500</v>
      </c>
      <c r="F216" t="s">
        <v>291</v>
      </c>
      <c r="G216" t="s">
        <v>256</v>
      </c>
      <c r="H216">
        <v>3</v>
      </c>
    </row>
    <row r="217" spans="1:8" ht="13.2">
      <c r="A217" t="s">
        <v>7834</v>
      </c>
      <c r="B217" t="s">
        <v>369</v>
      </c>
      <c r="C217" t="str">
        <f t="shared" si="3"/>
        <v>Filigree Thermoguard 150cm (Drop) Lining TBA</v>
      </c>
      <c r="D217">
        <v>0</v>
      </c>
      <c r="E217">
        <v>1500</v>
      </c>
      <c r="F217" t="s">
        <v>291</v>
      </c>
      <c r="G217" t="s">
        <v>256</v>
      </c>
      <c r="H217">
        <v>3</v>
      </c>
    </row>
    <row r="218" spans="1:8" ht="13.2">
      <c r="A218" t="s">
        <v>7835</v>
      </c>
      <c r="B218" t="s">
        <v>5821</v>
      </c>
      <c r="C218" t="str">
        <f t="shared" si="3"/>
        <v>Filigree Thermoguard 280cm (Drop) Lining Off White</v>
      </c>
      <c r="D218">
        <v>0</v>
      </c>
      <c r="E218">
        <v>2800</v>
      </c>
      <c r="F218" t="s">
        <v>291</v>
      </c>
      <c r="G218" t="s">
        <v>256</v>
      </c>
      <c r="H218">
        <v>3</v>
      </c>
    </row>
    <row r="219" spans="1:8" ht="13.2">
      <c r="A219" t="s">
        <v>7835</v>
      </c>
      <c r="B219" t="s">
        <v>191</v>
      </c>
      <c r="C219" t="str">
        <f t="shared" si="3"/>
        <v>Filigree Thermoguard 280cm (Drop) Lining White</v>
      </c>
      <c r="D219">
        <v>0</v>
      </c>
      <c r="E219">
        <v>2800</v>
      </c>
      <c r="F219" t="s">
        <v>291</v>
      </c>
      <c r="G219" t="s">
        <v>256</v>
      </c>
      <c r="H219">
        <v>3</v>
      </c>
    </row>
    <row r="220" spans="1:8" ht="13.2">
      <c r="A220" t="s">
        <v>7835</v>
      </c>
      <c r="B220" t="s">
        <v>369</v>
      </c>
      <c r="C220" t="str">
        <f t="shared" si="3"/>
        <v>Filigree Thermoguard 280cm (Drop) Lining TBA</v>
      </c>
      <c r="D220">
        <v>0</v>
      </c>
      <c r="E220">
        <v>2800</v>
      </c>
      <c r="F220" t="s">
        <v>291</v>
      </c>
      <c r="G220" t="s">
        <v>256</v>
      </c>
      <c r="H220">
        <v>3</v>
      </c>
    </row>
    <row r="221" spans="1:8" ht="13.2">
      <c r="A221" t="s">
        <v>10327</v>
      </c>
      <c r="B221" t="s">
        <v>5810</v>
      </c>
      <c r="C221" t="str">
        <f t="shared" si="3"/>
        <v>James Dunlop Solarline (Drop) Lining Ash</v>
      </c>
      <c r="D221">
        <v>0</v>
      </c>
      <c r="E221">
        <v>3000</v>
      </c>
      <c r="F221" t="s">
        <v>291</v>
      </c>
      <c r="G221" t="s">
        <v>10329</v>
      </c>
      <c r="H221">
        <v>4</v>
      </c>
    </row>
    <row r="222" spans="1:8" ht="13.2">
      <c r="A222" t="s">
        <v>10327</v>
      </c>
      <c r="B222" t="s">
        <v>5828</v>
      </c>
      <c r="C222" t="str">
        <f t="shared" si="3"/>
        <v>James Dunlop Solarline (Drop) Lining Charcoal</v>
      </c>
      <c r="D222">
        <v>0</v>
      </c>
      <c r="E222">
        <v>3000</v>
      </c>
      <c r="F222" t="s">
        <v>291</v>
      </c>
      <c r="G222" t="s">
        <v>10329</v>
      </c>
      <c r="H222">
        <v>4</v>
      </c>
    </row>
    <row r="223" spans="1:8" ht="13.2">
      <c r="A223" t="s">
        <v>10327</v>
      </c>
      <c r="B223" t="s">
        <v>5839</v>
      </c>
      <c r="C223" t="str">
        <f t="shared" si="3"/>
        <v>James Dunlop Solarline (Drop) Lining Cloud</v>
      </c>
      <c r="D223">
        <v>0</v>
      </c>
      <c r="E223">
        <v>3000</v>
      </c>
      <c r="F223" t="s">
        <v>291</v>
      </c>
      <c r="G223" t="s">
        <v>10329</v>
      </c>
      <c r="H223">
        <v>4</v>
      </c>
    </row>
    <row r="224" spans="1:8" ht="13.2">
      <c r="A224" t="s">
        <v>10327</v>
      </c>
      <c r="B224" t="s">
        <v>10319</v>
      </c>
      <c r="C224" t="str">
        <f t="shared" si="3"/>
        <v>James Dunlop Solarline (Drop) Lining Dune</v>
      </c>
      <c r="D224">
        <v>0</v>
      </c>
      <c r="E224">
        <v>3000</v>
      </c>
      <c r="F224" t="s">
        <v>291</v>
      </c>
      <c r="G224" t="s">
        <v>10329</v>
      </c>
      <c r="H224">
        <v>4</v>
      </c>
    </row>
    <row r="225" spans="1:8" ht="13.2">
      <c r="A225" t="s">
        <v>10327</v>
      </c>
      <c r="B225" t="s">
        <v>5783</v>
      </c>
      <c r="C225" t="str">
        <f t="shared" si="3"/>
        <v>James Dunlop Solarline (Drop) Lining Fossil</v>
      </c>
      <c r="D225">
        <v>0</v>
      </c>
      <c r="E225">
        <v>3000</v>
      </c>
      <c r="F225" t="s">
        <v>291</v>
      </c>
      <c r="G225" t="s">
        <v>10329</v>
      </c>
      <c r="H225">
        <v>4</v>
      </c>
    </row>
    <row r="226" spans="1:8" ht="13.2">
      <c r="A226" t="s">
        <v>10327</v>
      </c>
      <c r="B226" t="s">
        <v>10320</v>
      </c>
      <c r="C226" t="str">
        <f t="shared" si="3"/>
        <v>James Dunlop Solarline (Drop) Lining Granite</v>
      </c>
      <c r="D226">
        <v>0</v>
      </c>
      <c r="E226">
        <v>3000</v>
      </c>
      <c r="F226" t="s">
        <v>291</v>
      </c>
      <c r="G226" t="s">
        <v>10329</v>
      </c>
      <c r="H226">
        <v>4</v>
      </c>
    </row>
    <row r="227" spans="1:8" ht="13.2">
      <c r="A227" t="s">
        <v>10327</v>
      </c>
      <c r="B227" t="s">
        <v>10321</v>
      </c>
      <c r="C227" t="str">
        <f t="shared" si="3"/>
        <v>James Dunlop Solarline (Drop) Lining Oyster</v>
      </c>
      <c r="D227">
        <v>0</v>
      </c>
      <c r="E227">
        <v>3000</v>
      </c>
      <c r="F227" t="s">
        <v>291</v>
      </c>
      <c r="G227" t="s">
        <v>10329</v>
      </c>
      <c r="H227">
        <v>4</v>
      </c>
    </row>
    <row r="228" spans="1:8" ht="13.2">
      <c r="A228" t="s">
        <v>10327</v>
      </c>
      <c r="B228" t="s">
        <v>10322</v>
      </c>
      <c r="C228" t="str">
        <f t="shared" si="3"/>
        <v>James Dunlop Solarline (Drop) Lining Pristine</v>
      </c>
      <c r="D228">
        <v>0</v>
      </c>
      <c r="E228">
        <v>3000</v>
      </c>
      <c r="F228" t="s">
        <v>291</v>
      </c>
      <c r="G228" t="s">
        <v>10329</v>
      </c>
      <c r="H228">
        <v>4</v>
      </c>
    </row>
    <row r="229" spans="1:8" ht="13.2">
      <c r="A229" t="s">
        <v>10327</v>
      </c>
      <c r="B229" t="s">
        <v>10323</v>
      </c>
      <c r="C229" t="str">
        <f t="shared" si="3"/>
        <v>James Dunlop Solarline (Drop) Lining Quarry</v>
      </c>
      <c r="D229">
        <v>0</v>
      </c>
      <c r="E229">
        <v>3000</v>
      </c>
      <c r="F229" t="s">
        <v>291</v>
      </c>
      <c r="G229" t="s">
        <v>10329</v>
      </c>
      <c r="H229">
        <v>4</v>
      </c>
    </row>
    <row r="230" spans="1:8" ht="13.2">
      <c r="A230" t="s">
        <v>10327</v>
      </c>
      <c r="B230" t="s">
        <v>10324</v>
      </c>
      <c r="C230" t="str">
        <f t="shared" si="3"/>
        <v>James Dunlop Solarline (Drop) Lining Raven</v>
      </c>
      <c r="D230">
        <v>0</v>
      </c>
      <c r="E230">
        <v>3000</v>
      </c>
      <c r="F230" t="s">
        <v>291</v>
      </c>
      <c r="G230" t="s">
        <v>10329</v>
      </c>
      <c r="H230">
        <v>4</v>
      </c>
    </row>
    <row r="231" spans="1:8" ht="13.2">
      <c r="A231" t="s">
        <v>10327</v>
      </c>
      <c r="B231" t="s">
        <v>10325</v>
      </c>
      <c r="C231" t="str">
        <f t="shared" si="3"/>
        <v>James Dunlop Solarline (Drop) Lining Sand</v>
      </c>
      <c r="D231">
        <v>0</v>
      </c>
      <c r="E231">
        <v>3000</v>
      </c>
      <c r="F231" t="s">
        <v>291</v>
      </c>
      <c r="G231" t="s">
        <v>10329</v>
      </c>
      <c r="H231">
        <v>4</v>
      </c>
    </row>
    <row r="232" spans="1:8" ht="13.2">
      <c r="A232" t="s">
        <v>10327</v>
      </c>
      <c r="B232" t="s">
        <v>5823</v>
      </c>
      <c r="C232" t="str">
        <f t="shared" si="3"/>
        <v>James Dunlop Solarline (Drop) Lining Steel</v>
      </c>
      <c r="D232">
        <v>0</v>
      </c>
      <c r="E232">
        <v>3000</v>
      </c>
      <c r="F232" t="s">
        <v>291</v>
      </c>
      <c r="G232" t="s">
        <v>10329</v>
      </c>
      <c r="H232">
        <v>4</v>
      </c>
    </row>
    <row r="233" spans="1:8" ht="13.2">
      <c r="A233" t="s">
        <v>10327</v>
      </c>
      <c r="B233" t="s">
        <v>10326</v>
      </c>
      <c r="C233" t="str">
        <f t="shared" si="3"/>
        <v>James Dunlop Solarline (Drop) Lining Surf</v>
      </c>
      <c r="D233">
        <v>0</v>
      </c>
      <c r="E233">
        <v>3000</v>
      </c>
      <c r="F233" t="s">
        <v>291</v>
      </c>
      <c r="G233" t="s">
        <v>10329</v>
      </c>
      <c r="H233">
        <v>4</v>
      </c>
    </row>
    <row r="234" spans="1:8" ht="13.2">
      <c r="A234" t="s">
        <v>10327</v>
      </c>
      <c r="B234" t="s">
        <v>191</v>
      </c>
      <c r="C234" t="str">
        <f t="shared" si="3"/>
        <v>James Dunlop Solarline (Drop) Lining White</v>
      </c>
      <c r="D234">
        <v>0</v>
      </c>
      <c r="E234">
        <v>3000</v>
      </c>
      <c r="F234" t="s">
        <v>291</v>
      </c>
      <c r="G234" t="s">
        <v>10329</v>
      </c>
      <c r="H234">
        <v>4</v>
      </c>
    </row>
    <row r="235" spans="1:8" ht="13.2">
      <c r="A235" t="s">
        <v>10327</v>
      </c>
      <c r="B235" t="s">
        <v>369</v>
      </c>
      <c r="C235" t="str">
        <f t="shared" si="3"/>
        <v>James Dunlop Solarline (Drop) Lining TBA</v>
      </c>
      <c r="D235">
        <v>0</v>
      </c>
      <c r="E235">
        <v>3000</v>
      </c>
      <c r="F235" t="s">
        <v>291</v>
      </c>
      <c r="G235" t="s">
        <v>10329</v>
      </c>
      <c r="H235">
        <v>4</v>
      </c>
    </row>
    <row r="236" spans="1:8" ht="13.2">
      <c r="A236" t="s">
        <v>10328</v>
      </c>
      <c r="B236" t="s">
        <v>5810</v>
      </c>
      <c r="C236" t="str">
        <f t="shared" si="3"/>
        <v>James Dunlop Solarline (Continuous) Lining Ash</v>
      </c>
      <c r="D236">
        <v>0</v>
      </c>
      <c r="E236">
        <v>3000</v>
      </c>
      <c r="F236" t="s">
        <v>293</v>
      </c>
      <c r="G236" t="s">
        <v>10329</v>
      </c>
      <c r="H236">
        <v>4</v>
      </c>
    </row>
    <row r="237" spans="1:8" ht="13.2">
      <c r="A237" t="s">
        <v>10328</v>
      </c>
      <c r="B237" t="s">
        <v>5828</v>
      </c>
      <c r="C237" t="str">
        <f t="shared" si="3"/>
        <v>James Dunlop Solarline (Continuous) Lining Charcoal</v>
      </c>
      <c r="D237">
        <v>0</v>
      </c>
      <c r="E237">
        <v>3000</v>
      </c>
      <c r="F237" t="s">
        <v>293</v>
      </c>
      <c r="G237" t="s">
        <v>10329</v>
      </c>
      <c r="H237">
        <v>4</v>
      </c>
    </row>
    <row r="238" spans="1:8" ht="13.2">
      <c r="A238" t="s">
        <v>10328</v>
      </c>
      <c r="B238" t="s">
        <v>5839</v>
      </c>
      <c r="C238" t="str">
        <f t="shared" si="3"/>
        <v>James Dunlop Solarline (Continuous) Lining Cloud</v>
      </c>
      <c r="D238">
        <v>0</v>
      </c>
      <c r="E238">
        <v>3000</v>
      </c>
      <c r="F238" t="s">
        <v>293</v>
      </c>
      <c r="G238" t="s">
        <v>10329</v>
      </c>
      <c r="H238">
        <v>4</v>
      </c>
    </row>
    <row r="239" spans="1:8" ht="13.2">
      <c r="A239" t="s">
        <v>10328</v>
      </c>
      <c r="B239" t="s">
        <v>10319</v>
      </c>
      <c r="C239" t="str">
        <f t="shared" si="3"/>
        <v>James Dunlop Solarline (Continuous) Lining Dune</v>
      </c>
      <c r="D239">
        <v>0</v>
      </c>
      <c r="E239">
        <v>3000</v>
      </c>
      <c r="F239" t="s">
        <v>293</v>
      </c>
      <c r="G239" t="s">
        <v>10329</v>
      </c>
      <c r="H239">
        <v>4</v>
      </c>
    </row>
    <row r="240" spans="1:8" ht="13.2">
      <c r="A240" t="s">
        <v>10328</v>
      </c>
      <c r="B240" t="s">
        <v>5783</v>
      </c>
      <c r="C240" t="str">
        <f t="shared" si="3"/>
        <v>James Dunlop Solarline (Continuous) Lining Fossil</v>
      </c>
      <c r="D240">
        <v>0</v>
      </c>
      <c r="E240">
        <v>3000</v>
      </c>
      <c r="F240" t="s">
        <v>293</v>
      </c>
      <c r="G240" t="s">
        <v>10329</v>
      </c>
      <c r="H240">
        <v>4</v>
      </c>
    </row>
    <row r="241" spans="1:8" ht="13.2">
      <c r="A241" t="s">
        <v>10328</v>
      </c>
      <c r="B241" t="s">
        <v>10320</v>
      </c>
      <c r="C241" t="str">
        <f t="shared" si="3"/>
        <v>James Dunlop Solarline (Continuous) Lining Granite</v>
      </c>
      <c r="D241">
        <v>0</v>
      </c>
      <c r="E241">
        <v>3000</v>
      </c>
      <c r="F241" t="s">
        <v>293</v>
      </c>
      <c r="G241" t="s">
        <v>10329</v>
      </c>
      <c r="H241">
        <v>4</v>
      </c>
    </row>
    <row r="242" spans="1:8" ht="13.2">
      <c r="A242" t="s">
        <v>10328</v>
      </c>
      <c r="B242" t="s">
        <v>10321</v>
      </c>
      <c r="C242" t="str">
        <f t="shared" si="3"/>
        <v>James Dunlop Solarline (Continuous) Lining Oyster</v>
      </c>
      <c r="D242">
        <v>0</v>
      </c>
      <c r="E242">
        <v>3000</v>
      </c>
      <c r="F242" t="s">
        <v>293</v>
      </c>
      <c r="G242" t="s">
        <v>10329</v>
      </c>
      <c r="H242">
        <v>4</v>
      </c>
    </row>
    <row r="243" spans="1:8" ht="13.2">
      <c r="A243" t="s">
        <v>10328</v>
      </c>
      <c r="B243" t="s">
        <v>10322</v>
      </c>
      <c r="C243" t="str">
        <f t="shared" si="3"/>
        <v>James Dunlop Solarline (Continuous) Lining Pristine</v>
      </c>
      <c r="D243">
        <v>0</v>
      </c>
      <c r="E243">
        <v>3000</v>
      </c>
      <c r="F243" t="s">
        <v>293</v>
      </c>
      <c r="G243" t="s">
        <v>10329</v>
      </c>
      <c r="H243">
        <v>4</v>
      </c>
    </row>
    <row r="244" spans="1:8" ht="13.2">
      <c r="A244" t="s">
        <v>10328</v>
      </c>
      <c r="B244" t="s">
        <v>10323</v>
      </c>
      <c r="C244" t="str">
        <f t="shared" si="3"/>
        <v>James Dunlop Solarline (Continuous) Lining Quarry</v>
      </c>
      <c r="D244">
        <v>0</v>
      </c>
      <c r="E244">
        <v>3000</v>
      </c>
      <c r="F244" t="s">
        <v>293</v>
      </c>
      <c r="G244" t="s">
        <v>10329</v>
      </c>
      <c r="H244">
        <v>4</v>
      </c>
    </row>
    <row r="245" spans="1:8" ht="13.2">
      <c r="A245" t="s">
        <v>10328</v>
      </c>
      <c r="B245" t="s">
        <v>10324</v>
      </c>
      <c r="C245" t="str">
        <f t="shared" si="3"/>
        <v>James Dunlop Solarline (Continuous) Lining Raven</v>
      </c>
      <c r="D245">
        <v>0</v>
      </c>
      <c r="E245">
        <v>3000</v>
      </c>
      <c r="F245" t="s">
        <v>293</v>
      </c>
      <c r="G245" t="s">
        <v>10329</v>
      </c>
      <c r="H245">
        <v>4</v>
      </c>
    </row>
    <row r="246" spans="1:8" ht="13.2">
      <c r="A246" t="s">
        <v>10328</v>
      </c>
      <c r="B246" t="s">
        <v>10325</v>
      </c>
      <c r="C246" t="str">
        <f t="shared" si="3"/>
        <v>James Dunlop Solarline (Continuous) Lining Sand</v>
      </c>
      <c r="D246">
        <v>0</v>
      </c>
      <c r="E246">
        <v>3000</v>
      </c>
      <c r="F246" t="s">
        <v>293</v>
      </c>
      <c r="G246" t="s">
        <v>10329</v>
      </c>
      <c r="H246">
        <v>4</v>
      </c>
    </row>
    <row r="247" spans="1:8" ht="13.2">
      <c r="A247" t="s">
        <v>10328</v>
      </c>
      <c r="B247" t="s">
        <v>5823</v>
      </c>
      <c r="C247" t="str">
        <f t="shared" si="3"/>
        <v>James Dunlop Solarline (Continuous) Lining Steel</v>
      </c>
      <c r="D247">
        <v>0</v>
      </c>
      <c r="E247">
        <v>3000</v>
      </c>
      <c r="F247" t="s">
        <v>293</v>
      </c>
      <c r="G247" t="s">
        <v>10329</v>
      </c>
      <c r="H247">
        <v>4</v>
      </c>
    </row>
    <row r="248" spans="1:8" ht="13.2">
      <c r="A248" t="s">
        <v>10328</v>
      </c>
      <c r="B248" t="s">
        <v>10326</v>
      </c>
      <c r="C248" t="str">
        <f t="shared" si="3"/>
        <v>James Dunlop Solarline (Continuous) Lining Surf</v>
      </c>
      <c r="D248">
        <v>0</v>
      </c>
      <c r="E248">
        <v>3000</v>
      </c>
      <c r="F248" t="s">
        <v>293</v>
      </c>
      <c r="G248" t="s">
        <v>10329</v>
      </c>
      <c r="H248">
        <v>4</v>
      </c>
    </row>
    <row r="249" spans="1:8" ht="13.2">
      <c r="A249" t="s">
        <v>10328</v>
      </c>
      <c r="B249" t="s">
        <v>191</v>
      </c>
      <c r="C249" t="str">
        <f t="shared" si="3"/>
        <v>James Dunlop Solarline (Continuous) Lining White</v>
      </c>
      <c r="D249">
        <v>0</v>
      </c>
      <c r="E249">
        <v>3000</v>
      </c>
      <c r="F249" t="s">
        <v>293</v>
      </c>
      <c r="G249" t="s">
        <v>10329</v>
      </c>
      <c r="H249">
        <v>4</v>
      </c>
    </row>
    <row r="250" spans="1:8" ht="13.2">
      <c r="A250" t="s">
        <v>10328</v>
      </c>
      <c r="B250" t="s">
        <v>369</v>
      </c>
      <c r="C250" t="str">
        <f t="shared" si="3"/>
        <v>James Dunlop Solarline (Continuous) Lining TBA</v>
      </c>
      <c r="D250">
        <v>0</v>
      </c>
      <c r="E250">
        <v>3000</v>
      </c>
      <c r="F250" t="s">
        <v>293</v>
      </c>
      <c r="G250" t="s">
        <v>10329</v>
      </c>
      <c r="H250">
        <v>4</v>
      </c>
    </row>
    <row r="251" spans="1:8" ht="13.2">
      <c r="A251" t="s">
        <v>10790</v>
      </c>
      <c r="B251" t="s">
        <v>5832</v>
      </c>
      <c r="C251" t="str">
        <f t="shared" si="3"/>
        <v>Mokum Insulation (Drop) Lining Aluminium</v>
      </c>
      <c r="D251">
        <v>0</v>
      </c>
      <c r="E251">
        <v>1480</v>
      </c>
      <c r="F251" t="s">
        <v>291</v>
      </c>
      <c r="G251" t="s">
        <v>256</v>
      </c>
      <c r="H251" t="s">
        <v>3824</v>
      </c>
    </row>
    <row r="252" spans="1:8" ht="13.2">
      <c r="A252" t="s">
        <v>10790</v>
      </c>
      <c r="B252" t="s">
        <v>5833</v>
      </c>
      <c r="C252" t="str">
        <f t="shared" si="3"/>
        <v>Mokum Insulation (Drop) Lining Aqua</v>
      </c>
      <c r="D252">
        <v>0</v>
      </c>
      <c r="E252">
        <v>1480</v>
      </c>
      <c r="F252" t="s">
        <v>291</v>
      </c>
      <c r="G252" t="s">
        <v>256</v>
      </c>
      <c r="H252" t="s">
        <v>3824</v>
      </c>
    </row>
    <row r="253" spans="1:8" ht="13.2">
      <c r="A253" t="s">
        <v>10790</v>
      </c>
      <c r="B253" t="s">
        <v>5834</v>
      </c>
      <c r="C253" t="str">
        <f t="shared" si="3"/>
        <v>Mokum Insulation (Drop) Lining Artic</v>
      </c>
      <c r="D253">
        <v>0</v>
      </c>
      <c r="E253">
        <v>1480</v>
      </c>
      <c r="F253" t="s">
        <v>291</v>
      </c>
      <c r="G253" t="s">
        <v>256</v>
      </c>
      <c r="H253" t="s">
        <v>3824</v>
      </c>
    </row>
    <row r="254" spans="1:8" ht="13.2">
      <c r="A254" t="s">
        <v>10790</v>
      </c>
      <c r="B254" t="s">
        <v>5835</v>
      </c>
      <c r="C254" t="str">
        <f t="shared" si="3"/>
        <v>Mokum Insulation (Drop) Lining Bark</v>
      </c>
      <c r="D254">
        <v>0</v>
      </c>
      <c r="E254">
        <v>1480</v>
      </c>
      <c r="F254" t="s">
        <v>291</v>
      </c>
      <c r="G254" t="s">
        <v>256</v>
      </c>
      <c r="H254" t="s">
        <v>3824</v>
      </c>
    </row>
    <row r="255" spans="1:8" ht="13.2">
      <c r="A255" t="s">
        <v>10790</v>
      </c>
      <c r="B255" t="s">
        <v>193</v>
      </c>
      <c r="C255" t="str">
        <f t="shared" si="3"/>
        <v>Mokum Insulation (Drop) Lining Black</v>
      </c>
      <c r="D255">
        <v>0</v>
      </c>
      <c r="E255">
        <v>1480</v>
      </c>
      <c r="F255" t="s">
        <v>291</v>
      </c>
      <c r="G255" t="s">
        <v>256</v>
      </c>
      <c r="H255" t="s">
        <v>3824</v>
      </c>
    </row>
    <row r="256" spans="1:8" ht="13.2">
      <c r="A256" t="s">
        <v>10790</v>
      </c>
      <c r="B256" t="s">
        <v>5836</v>
      </c>
      <c r="C256" t="str">
        <f t="shared" si="3"/>
        <v>Mokum Insulation (Drop) Lining Boudoir</v>
      </c>
      <c r="D256">
        <v>0</v>
      </c>
      <c r="E256">
        <v>1480</v>
      </c>
      <c r="F256" t="s">
        <v>291</v>
      </c>
      <c r="G256" t="s">
        <v>256</v>
      </c>
      <c r="H256" t="s">
        <v>3824</v>
      </c>
    </row>
    <row r="257" spans="1:8" ht="13.2">
      <c r="A257" t="s">
        <v>10790</v>
      </c>
      <c r="B257" t="s">
        <v>5837</v>
      </c>
      <c r="C257" t="str">
        <f t="shared" si="3"/>
        <v>Mokum Insulation (Drop) Lining Brick</v>
      </c>
      <c r="D257">
        <v>0</v>
      </c>
      <c r="E257">
        <v>1480</v>
      </c>
      <c r="F257" t="s">
        <v>291</v>
      </c>
      <c r="G257" t="s">
        <v>256</v>
      </c>
      <c r="H257" t="s">
        <v>3824</v>
      </c>
    </row>
    <row r="258" spans="1:8" ht="13.2">
      <c r="A258" t="s">
        <v>10790</v>
      </c>
      <c r="B258" t="s">
        <v>5838</v>
      </c>
      <c r="C258" t="str">
        <f t="shared" si="3"/>
        <v>Mokum Insulation (Drop) Lining Burgundy</v>
      </c>
      <c r="D258">
        <v>0</v>
      </c>
      <c r="E258">
        <v>1480</v>
      </c>
      <c r="F258" t="s">
        <v>291</v>
      </c>
      <c r="G258" t="s">
        <v>256</v>
      </c>
      <c r="H258" t="s">
        <v>3824</v>
      </c>
    </row>
    <row r="259" spans="1:8" ht="13.2">
      <c r="A259" t="s">
        <v>10790</v>
      </c>
      <c r="B259" t="s">
        <v>5828</v>
      </c>
      <c r="C259" t="str">
        <f t="shared" si="3"/>
        <v>Mokum Insulation (Drop) Lining Charcoal</v>
      </c>
      <c r="D259">
        <v>0</v>
      </c>
      <c r="E259">
        <v>1480</v>
      </c>
      <c r="F259" t="s">
        <v>291</v>
      </c>
      <c r="G259" t="s">
        <v>256</v>
      </c>
      <c r="H259" t="s">
        <v>3824</v>
      </c>
    </row>
    <row r="260" spans="1:8" ht="13.2">
      <c r="A260" t="s">
        <v>10790</v>
      </c>
      <c r="B260" t="s">
        <v>269</v>
      </c>
      <c r="C260" t="str">
        <f t="shared" si="4" ref="C260:C283">CONCATENATE(A260," ",B260)</f>
        <v>Mokum Insulation (Drop) Lining Chrome</v>
      </c>
      <c r="D260">
        <v>0</v>
      </c>
      <c r="E260">
        <v>1480</v>
      </c>
      <c r="F260" t="s">
        <v>291</v>
      </c>
      <c r="G260" t="s">
        <v>256</v>
      </c>
      <c r="H260" t="s">
        <v>3824</v>
      </c>
    </row>
    <row r="261" spans="1:8" ht="13.2">
      <c r="A261" t="s">
        <v>10790</v>
      </c>
      <c r="B261" t="s">
        <v>5839</v>
      </c>
      <c r="C261" t="str">
        <f t="shared" si="4"/>
        <v>Mokum Insulation (Drop) Lining Cloud</v>
      </c>
      <c r="D261">
        <v>0</v>
      </c>
      <c r="E261">
        <v>1480</v>
      </c>
      <c r="F261" t="s">
        <v>291</v>
      </c>
      <c r="G261" t="s">
        <v>256</v>
      </c>
      <c r="H261" t="s">
        <v>3824</v>
      </c>
    </row>
    <row r="262" spans="1:8" ht="13.2">
      <c r="A262" t="s">
        <v>10790</v>
      </c>
      <c r="B262" t="s">
        <v>5840</v>
      </c>
      <c r="C262" t="str">
        <f t="shared" si="4"/>
        <v>Mokum Insulation (Drop) Lining Denim</v>
      </c>
      <c r="D262">
        <v>0</v>
      </c>
      <c r="E262">
        <v>1480</v>
      </c>
      <c r="F262" t="s">
        <v>291</v>
      </c>
      <c r="G262" t="s">
        <v>256</v>
      </c>
      <c r="H262" t="s">
        <v>3824</v>
      </c>
    </row>
    <row r="263" spans="1:8" ht="13.2">
      <c r="A263" t="s">
        <v>10790</v>
      </c>
      <c r="B263" t="s">
        <v>5841</v>
      </c>
      <c r="C263" t="str">
        <f t="shared" si="4"/>
        <v>Mokum Insulation (Drop) Lining Dove</v>
      </c>
      <c r="D263">
        <v>0</v>
      </c>
      <c r="E263">
        <v>1480</v>
      </c>
      <c r="F263" t="s">
        <v>291</v>
      </c>
      <c r="G263" t="s">
        <v>256</v>
      </c>
      <c r="H263" t="s">
        <v>3824</v>
      </c>
    </row>
    <row r="264" spans="1:8" ht="13.2">
      <c r="A264" t="s">
        <v>10790</v>
      </c>
      <c r="B264" t="s">
        <v>10340</v>
      </c>
      <c r="C264" t="str">
        <f t="shared" si="4"/>
        <v>Mokum Insulation (Drop) Lining Dragonfly</v>
      </c>
      <c r="D264">
        <v>0</v>
      </c>
      <c r="E264">
        <v>1480</v>
      </c>
      <c r="F264" t="s">
        <v>291</v>
      </c>
      <c r="G264" t="s">
        <v>256</v>
      </c>
      <c r="H264" t="s">
        <v>3824</v>
      </c>
    </row>
    <row r="265" spans="1:8" ht="13.2">
      <c r="A265" t="s">
        <v>10790</v>
      </c>
      <c r="B265" t="s">
        <v>5843</v>
      </c>
      <c r="C265" t="str">
        <f t="shared" si="4"/>
        <v>Mokum Insulation (Drop) Lining Ecru</v>
      </c>
      <c r="D265">
        <v>0</v>
      </c>
      <c r="E265">
        <v>1480</v>
      </c>
      <c r="F265" t="s">
        <v>291</v>
      </c>
      <c r="G265" t="s">
        <v>256</v>
      </c>
      <c r="H265" t="s">
        <v>3824</v>
      </c>
    </row>
    <row r="266" spans="1:8" ht="13.2">
      <c r="A266" t="s">
        <v>10790</v>
      </c>
      <c r="B266" t="s">
        <v>5844</v>
      </c>
      <c r="C266" t="str">
        <f t="shared" si="4"/>
        <v>Mokum Insulation (Drop) Lining Flame</v>
      </c>
      <c r="D266">
        <v>0</v>
      </c>
      <c r="E266">
        <v>1480</v>
      </c>
      <c r="F266" t="s">
        <v>291</v>
      </c>
      <c r="G266" t="s">
        <v>256</v>
      </c>
      <c r="H266" t="s">
        <v>3824</v>
      </c>
    </row>
    <row r="267" spans="1:8" ht="13.2">
      <c r="A267" t="s">
        <v>10790</v>
      </c>
      <c r="B267" t="s">
        <v>5783</v>
      </c>
      <c r="C267" t="str">
        <f t="shared" si="4"/>
        <v>Mokum Insulation (Drop) Lining Fossil</v>
      </c>
      <c r="D267">
        <v>0</v>
      </c>
      <c r="E267">
        <v>1480</v>
      </c>
      <c r="F267" t="s">
        <v>291</v>
      </c>
      <c r="G267" t="s">
        <v>256</v>
      </c>
      <c r="H267" t="s">
        <v>3824</v>
      </c>
    </row>
    <row r="268" spans="1:8" ht="13.2">
      <c r="A268" t="s">
        <v>10790</v>
      </c>
      <c r="B268" t="s">
        <v>5845</v>
      </c>
      <c r="C268" t="str">
        <f t="shared" si="4"/>
        <v>Mokum Insulation (Drop) Lining Gargoyle</v>
      </c>
      <c r="D268">
        <v>0</v>
      </c>
      <c r="E268">
        <v>1480</v>
      </c>
      <c r="F268" t="s">
        <v>291</v>
      </c>
      <c r="G268" t="s">
        <v>256</v>
      </c>
      <c r="H268" t="s">
        <v>3824</v>
      </c>
    </row>
    <row r="269" spans="1:8" ht="13.2">
      <c r="A269" t="s">
        <v>10790</v>
      </c>
      <c r="B269" t="s">
        <v>5846</v>
      </c>
      <c r="C269" t="str">
        <f t="shared" si="4"/>
        <v>Mokum Insulation (Drop) Lining Indigo</v>
      </c>
      <c r="D269">
        <v>0</v>
      </c>
      <c r="E269">
        <v>1480</v>
      </c>
      <c r="F269" t="s">
        <v>291</v>
      </c>
      <c r="G269" t="s">
        <v>256</v>
      </c>
      <c r="H269" t="s">
        <v>3824</v>
      </c>
    </row>
    <row r="270" spans="1:8" ht="13.2">
      <c r="A270" t="s">
        <v>10790</v>
      </c>
      <c r="B270" t="s">
        <v>5847</v>
      </c>
      <c r="C270" t="str">
        <f t="shared" si="4"/>
        <v>Mokum Insulation (Drop) Lining Limestone</v>
      </c>
      <c r="D270">
        <v>0</v>
      </c>
      <c r="E270">
        <v>1480</v>
      </c>
      <c r="F270" t="s">
        <v>291</v>
      </c>
      <c r="G270" t="s">
        <v>256</v>
      </c>
      <c r="H270" t="s">
        <v>3824</v>
      </c>
    </row>
    <row r="271" spans="1:8" ht="13.2">
      <c r="A271" t="s">
        <v>10790</v>
      </c>
      <c r="B271" t="s">
        <v>5848</v>
      </c>
      <c r="C271" t="str">
        <f t="shared" si="4"/>
        <v>Mokum Insulation (Drop) Lining Linden</v>
      </c>
      <c r="D271">
        <v>0</v>
      </c>
      <c r="E271">
        <v>1480</v>
      </c>
      <c r="F271" t="s">
        <v>291</v>
      </c>
      <c r="G271" t="s">
        <v>256</v>
      </c>
      <c r="H271" t="s">
        <v>3824</v>
      </c>
    </row>
    <row r="272" spans="1:8" ht="13.2">
      <c r="A272" t="s">
        <v>10790</v>
      </c>
      <c r="B272" t="s">
        <v>5849</v>
      </c>
      <c r="C272" t="str">
        <f t="shared" si="4"/>
        <v>Mokum Insulation (Drop) Lining Metal</v>
      </c>
      <c r="D272">
        <v>0</v>
      </c>
      <c r="E272">
        <v>1480</v>
      </c>
      <c r="F272" t="s">
        <v>291</v>
      </c>
      <c r="G272" t="s">
        <v>256</v>
      </c>
      <c r="H272" t="s">
        <v>3824</v>
      </c>
    </row>
    <row r="273" spans="1:8" ht="13.2">
      <c r="A273" t="s">
        <v>10790</v>
      </c>
      <c r="B273" t="s">
        <v>5850</v>
      </c>
      <c r="C273" t="str">
        <f t="shared" si="4"/>
        <v>Mokum Insulation (Drop) Lining Mushroom</v>
      </c>
      <c r="D273">
        <v>0</v>
      </c>
      <c r="E273">
        <v>1480</v>
      </c>
      <c r="F273" t="s">
        <v>291</v>
      </c>
      <c r="G273" t="s">
        <v>256</v>
      </c>
      <c r="H273" t="s">
        <v>3824</v>
      </c>
    </row>
    <row r="274" spans="1:8" ht="13.2">
      <c r="A274" t="s">
        <v>10790</v>
      </c>
      <c r="B274" t="s">
        <v>5851</v>
      </c>
      <c r="C274" t="str">
        <f t="shared" si="4"/>
        <v>Mokum Insulation (Drop) Lining Orchid</v>
      </c>
      <c r="D274">
        <v>0</v>
      </c>
      <c r="E274">
        <v>1480</v>
      </c>
      <c r="F274" t="s">
        <v>291</v>
      </c>
      <c r="G274" t="s">
        <v>256</v>
      </c>
      <c r="H274" t="s">
        <v>3824</v>
      </c>
    </row>
    <row r="275" spans="1:8" ht="13.2">
      <c r="A275" t="s">
        <v>10790</v>
      </c>
      <c r="B275" t="s">
        <v>5852</v>
      </c>
      <c r="C275" t="str">
        <f t="shared" si="4"/>
        <v>Mokum Insulation (Drop) Lining Palm</v>
      </c>
      <c r="D275">
        <v>0</v>
      </c>
      <c r="E275">
        <v>1480</v>
      </c>
      <c r="F275" t="s">
        <v>291</v>
      </c>
      <c r="G275" t="s">
        <v>256</v>
      </c>
      <c r="H275" t="s">
        <v>3824</v>
      </c>
    </row>
    <row r="276" spans="1:8" ht="13.2">
      <c r="A276" t="s">
        <v>10790</v>
      </c>
      <c r="B276" t="s">
        <v>429</v>
      </c>
      <c r="C276" t="str">
        <f t="shared" si="4"/>
        <v>Mokum Insulation (Drop) Lining Pewter</v>
      </c>
      <c r="D276">
        <v>0</v>
      </c>
      <c r="E276">
        <v>1480</v>
      </c>
      <c r="F276" t="s">
        <v>291</v>
      </c>
      <c r="G276" t="s">
        <v>256</v>
      </c>
      <c r="H276" t="s">
        <v>3824</v>
      </c>
    </row>
    <row r="277" spans="1:8" ht="13.2">
      <c r="A277" t="s">
        <v>10790</v>
      </c>
      <c r="B277" t="s">
        <v>5853</v>
      </c>
      <c r="C277" t="str">
        <f t="shared" si="4"/>
        <v>Mokum Insulation (Drop) Lining Quartz</v>
      </c>
      <c r="D277">
        <v>0</v>
      </c>
      <c r="E277">
        <v>1480</v>
      </c>
      <c r="F277" t="s">
        <v>291</v>
      </c>
      <c r="G277" t="s">
        <v>256</v>
      </c>
      <c r="H277" t="s">
        <v>3824</v>
      </c>
    </row>
    <row r="278" spans="1:8" ht="13.2">
      <c r="A278" t="s">
        <v>10790</v>
      </c>
      <c r="B278" t="s">
        <v>5854</v>
      </c>
      <c r="C278" t="str">
        <f t="shared" si="4"/>
        <v>Mokum Insulation (Drop) Lining Sesame</v>
      </c>
      <c r="D278">
        <v>0</v>
      </c>
      <c r="E278">
        <v>1480</v>
      </c>
      <c r="F278" t="s">
        <v>291</v>
      </c>
      <c r="G278" t="s">
        <v>256</v>
      </c>
      <c r="H278" t="s">
        <v>3824</v>
      </c>
    </row>
    <row r="279" spans="1:8" ht="13.2">
      <c r="A279" t="s">
        <v>10790</v>
      </c>
      <c r="B279" t="s">
        <v>5808</v>
      </c>
      <c r="C279" t="str">
        <f t="shared" si="4"/>
        <v>Mokum Insulation (Drop) Lining Silver</v>
      </c>
      <c r="D279">
        <v>0</v>
      </c>
      <c r="E279">
        <v>1480</v>
      </c>
      <c r="F279" t="s">
        <v>291</v>
      </c>
      <c r="G279" t="s">
        <v>256</v>
      </c>
      <c r="H279" t="s">
        <v>3824</v>
      </c>
    </row>
    <row r="280" spans="1:8" ht="13.2">
      <c r="A280" t="s">
        <v>10790</v>
      </c>
      <c r="B280" t="s">
        <v>5855</v>
      </c>
      <c r="C280" t="str">
        <f t="shared" si="4"/>
        <v>Mokum Insulation (Drop) Lining Snow</v>
      </c>
      <c r="D280">
        <v>0</v>
      </c>
      <c r="E280">
        <v>1480</v>
      </c>
      <c r="F280" t="s">
        <v>291</v>
      </c>
      <c r="G280" t="s">
        <v>256</v>
      </c>
      <c r="H280" t="s">
        <v>3824</v>
      </c>
    </row>
    <row r="281" spans="1:8" ht="13.2">
      <c r="A281" t="s">
        <v>10790</v>
      </c>
      <c r="B281" t="s">
        <v>5856</v>
      </c>
      <c r="C281" t="str">
        <f t="shared" si="4"/>
        <v>Mokum Insulation (Drop) Lining Taupe</v>
      </c>
      <c r="D281">
        <v>0</v>
      </c>
      <c r="E281">
        <v>1480</v>
      </c>
      <c r="F281" t="s">
        <v>291</v>
      </c>
      <c r="G281" t="s">
        <v>256</v>
      </c>
      <c r="H281" t="s">
        <v>3824</v>
      </c>
    </row>
    <row r="282" spans="1:8" ht="13.2">
      <c r="A282" t="s">
        <v>10790</v>
      </c>
      <c r="B282" t="s">
        <v>5857</v>
      </c>
      <c r="C282" t="str">
        <f t="shared" si="4"/>
        <v>Mokum Insulation (Drop) Lining Thyme</v>
      </c>
      <c r="D282">
        <v>0</v>
      </c>
      <c r="E282">
        <v>1480</v>
      </c>
      <c r="F282" t="s">
        <v>291</v>
      </c>
      <c r="G282" t="s">
        <v>256</v>
      </c>
      <c r="H282" t="s">
        <v>3824</v>
      </c>
    </row>
    <row r="283" spans="1:8" ht="13.2">
      <c r="A283" t="s">
        <v>10790</v>
      </c>
      <c r="B283" t="s">
        <v>369</v>
      </c>
      <c r="C283" t="str">
        <f t="shared" si="4"/>
        <v>Mokum Insulation (Drop) Lining TBA</v>
      </c>
      <c r="D283">
        <v>0</v>
      </c>
      <c r="E283">
        <v>1480</v>
      </c>
      <c r="F283" t="s">
        <v>291</v>
      </c>
      <c r="G283" t="s">
        <v>256</v>
      </c>
      <c r="H283" t="s">
        <v>3824</v>
      </c>
    </row>
    <row r="284" spans="1:8" ht="13.2">
      <c r="A284" t="s">
        <v>5796</v>
      </c>
      <c r="B284" t="s">
        <v>5832</v>
      </c>
      <c r="C284" t="s">
        <v>11106</v>
      </c>
      <c r="D284">
        <v>0</v>
      </c>
      <c r="E284">
        <v>1480</v>
      </c>
      <c r="F284" t="s">
        <v>291</v>
      </c>
      <c r="G284" t="s">
        <v>256</v>
      </c>
      <c r="H284">
        <v>42</v>
      </c>
    </row>
    <row r="285" spans="1:8" ht="13.2">
      <c r="A285" t="s">
        <v>5796</v>
      </c>
      <c r="B285" t="s">
        <v>5833</v>
      </c>
      <c r="C285" t="s">
        <v>11107</v>
      </c>
      <c r="D285">
        <v>0</v>
      </c>
      <c r="E285">
        <v>1480</v>
      </c>
      <c r="F285" t="s">
        <v>291</v>
      </c>
      <c r="G285" t="s">
        <v>256</v>
      </c>
      <c r="H285">
        <v>42</v>
      </c>
    </row>
    <row r="286" spans="1:8" ht="13.2">
      <c r="A286" t="s">
        <v>5796</v>
      </c>
      <c r="B286" t="s">
        <v>5834</v>
      </c>
      <c r="C286" t="s">
        <v>11108</v>
      </c>
      <c r="D286">
        <v>0</v>
      </c>
      <c r="E286">
        <v>1480</v>
      </c>
      <c r="F286" t="s">
        <v>291</v>
      </c>
      <c r="G286" t="s">
        <v>256</v>
      </c>
      <c r="H286">
        <v>42</v>
      </c>
    </row>
    <row r="287" spans="1:8" ht="13.2">
      <c r="A287" t="s">
        <v>5796</v>
      </c>
      <c r="B287" t="s">
        <v>5835</v>
      </c>
      <c r="C287" t="s">
        <v>11109</v>
      </c>
      <c r="D287">
        <v>0</v>
      </c>
      <c r="E287">
        <v>1480</v>
      </c>
      <c r="F287" t="s">
        <v>291</v>
      </c>
      <c r="G287" t="s">
        <v>256</v>
      </c>
      <c r="H287">
        <v>42</v>
      </c>
    </row>
    <row r="288" spans="1:8" ht="13.2">
      <c r="A288" t="s">
        <v>5796</v>
      </c>
      <c r="B288" t="s">
        <v>193</v>
      </c>
      <c r="C288" t="s">
        <v>11110</v>
      </c>
      <c r="D288">
        <v>0</v>
      </c>
      <c r="E288">
        <v>1480</v>
      </c>
      <c r="F288" t="s">
        <v>291</v>
      </c>
      <c r="G288" t="s">
        <v>256</v>
      </c>
      <c r="H288">
        <v>42</v>
      </c>
    </row>
    <row r="289" spans="1:8" ht="13.2">
      <c r="A289" t="s">
        <v>5796</v>
      </c>
      <c r="B289" t="s">
        <v>5836</v>
      </c>
      <c r="C289" t="s">
        <v>11111</v>
      </c>
      <c r="D289">
        <v>0</v>
      </c>
      <c r="E289">
        <v>1480</v>
      </c>
      <c r="F289" t="s">
        <v>291</v>
      </c>
      <c r="G289" t="s">
        <v>256</v>
      </c>
      <c r="H289">
        <v>42</v>
      </c>
    </row>
    <row r="290" spans="1:8" ht="13.2">
      <c r="A290" t="s">
        <v>5796</v>
      </c>
      <c r="B290" t="s">
        <v>5837</v>
      </c>
      <c r="C290" t="s">
        <v>11112</v>
      </c>
      <c r="D290">
        <v>0</v>
      </c>
      <c r="E290">
        <v>1480</v>
      </c>
      <c r="F290" t="s">
        <v>291</v>
      </c>
      <c r="G290" t="s">
        <v>256</v>
      </c>
      <c r="H290">
        <v>42</v>
      </c>
    </row>
    <row r="291" spans="1:8" ht="13.2">
      <c r="A291" t="s">
        <v>5796</v>
      </c>
      <c r="B291" t="s">
        <v>5838</v>
      </c>
      <c r="C291" t="s">
        <v>11113</v>
      </c>
      <c r="D291">
        <v>0</v>
      </c>
      <c r="E291">
        <v>1480</v>
      </c>
      <c r="F291" t="s">
        <v>291</v>
      </c>
      <c r="G291" t="s">
        <v>256</v>
      </c>
      <c r="H291">
        <v>42</v>
      </c>
    </row>
    <row r="292" spans="1:8" ht="13.2">
      <c r="A292" t="s">
        <v>5796</v>
      </c>
      <c r="B292" t="s">
        <v>5828</v>
      </c>
      <c r="C292" t="s">
        <v>11114</v>
      </c>
      <c r="D292">
        <v>0</v>
      </c>
      <c r="E292">
        <v>1480</v>
      </c>
      <c r="F292" t="s">
        <v>291</v>
      </c>
      <c r="G292" t="s">
        <v>256</v>
      </c>
      <c r="H292">
        <v>42</v>
      </c>
    </row>
    <row r="293" spans="1:8" ht="13.2">
      <c r="A293" t="s">
        <v>5796</v>
      </c>
      <c r="B293" t="s">
        <v>269</v>
      </c>
      <c r="C293" t="s">
        <v>11115</v>
      </c>
      <c r="D293">
        <v>0</v>
      </c>
      <c r="E293">
        <v>1480</v>
      </c>
      <c r="F293" t="s">
        <v>291</v>
      </c>
      <c r="G293" t="s">
        <v>256</v>
      </c>
      <c r="H293">
        <v>42</v>
      </c>
    </row>
    <row r="294" spans="1:8" ht="13.2">
      <c r="A294" t="s">
        <v>5796</v>
      </c>
      <c r="B294" t="s">
        <v>5839</v>
      </c>
      <c r="C294" t="s">
        <v>11116</v>
      </c>
      <c r="D294">
        <v>0</v>
      </c>
      <c r="E294">
        <v>1480</v>
      </c>
      <c r="F294" t="s">
        <v>291</v>
      </c>
      <c r="G294" t="s">
        <v>256</v>
      </c>
      <c r="H294">
        <v>42</v>
      </c>
    </row>
    <row r="295" spans="1:8" ht="13.2">
      <c r="A295" t="s">
        <v>5796</v>
      </c>
      <c r="B295" t="s">
        <v>5840</v>
      </c>
      <c r="C295" t="s">
        <v>11117</v>
      </c>
      <c r="D295">
        <v>0</v>
      </c>
      <c r="E295">
        <v>1480</v>
      </c>
      <c r="F295" t="s">
        <v>291</v>
      </c>
      <c r="G295" t="s">
        <v>256</v>
      </c>
      <c r="H295">
        <v>42</v>
      </c>
    </row>
    <row r="296" spans="1:8" ht="13.2">
      <c r="A296" t="s">
        <v>5796</v>
      </c>
      <c r="B296" t="s">
        <v>5841</v>
      </c>
      <c r="C296" t="s">
        <v>11118</v>
      </c>
      <c r="D296">
        <v>0</v>
      </c>
      <c r="E296">
        <v>1480</v>
      </c>
      <c r="F296" t="s">
        <v>291</v>
      </c>
      <c r="G296" t="s">
        <v>256</v>
      </c>
      <c r="H296">
        <v>42</v>
      </c>
    </row>
    <row r="297" spans="1:8" ht="13.2">
      <c r="A297" t="s">
        <v>5796</v>
      </c>
      <c r="B297" t="s">
        <v>10340</v>
      </c>
      <c r="C297" t="s">
        <v>11119</v>
      </c>
      <c r="D297">
        <v>0</v>
      </c>
      <c r="E297">
        <v>1480</v>
      </c>
      <c r="F297" t="s">
        <v>291</v>
      </c>
      <c r="G297" t="s">
        <v>256</v>
      </c>
      <c r="H297">
        <v>42</v>
      </c>
    </row>
    <row r="298" spans="1:8" ht="13.2">
      <c r="A298" t="s">
        <v>5796</v>
      </c>
      <c r="B298" t="s">
        <v>5843</v>
      </c>
      <c r="C298" t="s">
        <v>11120</v>
      </c>
      <c r="D298">
        <v>0</v>
      </c>
      <c r="E298">
        <v>1480</v>
      </c>
      <c r="F298" t="s">
        <v>291</v>
      </c>
      <c r="G298" t="s">
        <v>256</v>
      </c>
      <c r="H298">
        <v>42</v>
      </c>
    </row>
    <row r="299" spans="1:8" ht="13.2">
      <c r="A299" t="s">
        <v>5796</v>
      </c>
      <c r="B299" t="s">
        <v>5844</v>
      </c>
      <c r="C299" t="s">
        <v>11121</v>
      </c>
      <c r="D299">
        <v>0</v>
      </c>
      <c r="E299">
        <v>1480</v>
      </c>
      <c r="F299" t="s">
        <v>291</v>
      </c>
      <c r="G299" t="s">
        <v>256</v>
      </c>
      <c r="H299">
        <v>42</v>
      </c>
    </row>
    <row r="300" spans="1:8" ht="13.2">
      <c r="A300" t="s">
        <v>5796</v>
      </c>
      <c r="B300" t="s">
        <v>5783</v>
      </c>
      <c r="C300" t="s">
        <v>11122</v>
      </c>
      <c r="D300">
        <v>0</v>
      </c>
      <c r="E300">
        <v>1480</v>
      </c>
      <c r="F300" t="s">
        <v>291</v>
      </c>
      <c r="G300" t="s">
        <v>256</v>
      </c>
      <c r="H300">
        <v>42</v>
      </c>
    </row>
    <row r="301" spans="1:8" ht="13.2">
      <c r="A301" t="s">
        <v>5796</v>
      </c>
      <c r="B301" t="s">
        <v>5845</v>
      </c>
      <c r="C301" t="s">
        <v>11123</v>
      </c>
      <c r="D301">
        <v>0</v>
      </c>
      <c r="E301">
        <v>1480</v>
      </c>
      <c r="F301" t="s">
        <v>291</v>
      </c>
      <c r="G301" t="s">
        <v>256</v>
      </c>
      <c r="H301">
        <v>42</v>
      </c>
    </row>
    <row r="302" spans="1:8" ht="13.2">
      <c r="A302" t="s">
        <v>5796</v>
      </c>
      <c r="B302" t="s">
        <v>5846</v>
      </c>
      <c r="C302" t="s">
        <v>11124</v>
      </c>
      <c r="D302">
        <v>0</v>
      </c>
      <c r="E302">
        <v>1480</v>
      </c>
      <c r="F302" t="s">
        <v>291</v>
      </c>
      <c r="G302" t="s">
        <v>256</v>
      </c>
      <c r="H302">
        <v>42</v>
      </c>
    </row>
    <row r="303" spans="1:8" ht="13.2">
      <c r="A303" t="s">
        <v>5796</v>
      </c>
      <c r="B303" t="s">
        <v>5847</v>
      </c>
      <c r="C303" t="s">
        <v>11125</v>
      </c>
      <c r="D303">
        <v>0</v>
      </c>
      <c r="E303">
        <v>1480</v>
      </c>
      <c r="F303" t="s">
        <v>291</v>
      </c>
      <c r="G303" t="s">
        <v>256</v>
      </c>
      <c r="H303">
        <v>42</v>
      </c>
    </row>
    <row r="304" spans="1:8" ht="13.2">
      <c r="A304" t="s">
        <v>5796</v>
      </c>
      <c r="B304" t="s">
        <v>5848</v>
      </c>
      <c r="C304" t="s">
        <v>11126</v>
      </c>
      <c r="D304">
        <v>0</v>
      </c>
      <c r="E304">
        <v>1480</v>
      </c>
      <c r="F304" t="s">
        <v>291</v>
      </c>
      <c r="G304" t="s">
        <v>256</v>
      </c>
      <c r="H304">
        <v>42</v>
      </c>
    </row>
    <row r="305" spans="1:8" ht="13.2">
      <c r="A305" t="s">
        <v>5796</v>
      </c>
      <c r="B305" t="s">
        <v>5849</v>
      </c>
      <c r="C305" t="s">
        <v>11127</v>
      </c>
      <c r="D305">
        <v>0</v>
      </c>
      <c r="E305">
        <v>1480</v>
      </c>
      <c r="F305" t="s">
        <v>291</v>
      </c>
      <c r="G305" t="s">
        <v>256</v>
      </c>
      <c r="H305">
        <v>42</v>
      </c>
    </row>
    <row r="306" spans="1:8" ht="13.2">
      <c r="A306" t="s">
        <v>5796</v>
      </c>
      <c r="B306" t="s">
        <v>5850</v>
      </c>
      <c r="C306" t="s">
        <v>11128</v>
      </c>
      <c r="D306">
        <v>0</v>
      </c>
      <c r="E306">
        <v>1480</v>
      </c>
      <c r="F306" t="s">
        <v>291</v>
      </c>
      <c r="G306" t="s">
        <v>256</v>
      </c>
      <c r="H306">
        <v>42</v>
      </c>
    </row>
    <row r="307" spans="1:8" ht="13.2">
      <c r="A307" t="s">
        <v>5796</v>
      </c>
      <c r="B307" t="s">
        <v>5851</v>
      </c>
      <c r="C307" t="s">
        <v>11129</v>
      </c>
      <c r="D307">
        <v>0</v>
      </c>
      <c r="E307">
        <v>1480</v>
      </c>
      <c r="F307" t="s">
        <v>291</v>
      </c>
      <c r="G307" t="s">
        <v>256</v>
      </c>
      <c r="H307">
        <v>42</v>
      </c>
    </row>
    <row r="308" spans="1:8" ht="13.2">
      <c r="A308" t="s">
        <v>5796</v>
      </c>
      <c r="B308" t="s">
        <v>5852</v>
      </c>
      <c r="C308" t="s">
        <v>11130</v>
      </c>
      <c r="D308">
        <v>0</v>
      </c>
      <c r="E308">
        <v>1480</v>
      </c>
      <c r="F308" t="s">
        <v>291</v>
      </c>
      <c r="G308" t="s">
        <v>256</v>
      </c>
      <c r="H308">
        <v>42</v>
      </c>
    </row>
    <row r="309" spans="1:8" ht="13.2">
      <c r="A309" t="s">
        <v>5796</v>
      </c>
      <c r="B309" t="s">
        <v>429</v>
      </c>
      <c r="C309" t="s">
        <v>11131</v>
      </c>
      <c r="D309">
        <v>0</v>
      </c>
      <c r="E309">
        <v>1480</v>
      </c>
      <c r="F309" t="s">
        <v>291</v>
      </c>
      <c r="G309" t="s">
        <v>256</v>
      </c>
      <c r="H309">
        <v>42</v>
      </c>
    </row>
    <row r="310" spans="1:8" ht="13.2">
      <c r="A310" t="s">
        <v>5796</v>
      </c>
      <c r="B310" t="s">
        <v>5853</v>
      </c>
      <c r="C310" t="s">
        <v>11132</v>
      </c>
      <c r="D310">
        <v>0</v>
      </c>
      <c r="E310">
        <v>1480</v>
      </c>
      <c r="F310" t="s">
        <v>291</v>
      </c>
      <c r="G310" t="s">
        <v>256</v>
      </c>
      <c r="H310">
        <v>42</v>
      </c>
    </row>
    <row r="311" spans="1:8" ht="13.2">
      <c r="A311" t="s">
        <v>5796</v>
      </c>
      <c r="B311" t="s">
        <v>5854</v>
      </c>
      <c r="C311" t="s">
        <v>11133</v>
      </c>
      <c r="D311">
        <v>0</v>
      </c>
      <c r="E311">
        <v>1480</v>
      </c>
      <c r="F311" t="s">
        <v>291</v>
      </c>
      <c r="G311" t="s">
        <v>256</v>
      </c>
      <c r="H311">
        <v>42</v>
      </c>
    </row>
    <row r="312" spans="1:8" ht="13.2">
      <c r="A312" t="s">
        <v>5796</v>
      </c>
      <c r="B312" t="s">
        <v>5808</v>
      </c>
      <c r="C312" t="s">
        <v>11134</v>
      </c>
      <c r="D312">
        <v>0</v>
      </c>
      <c r="E312">
        <v>1480</v>
      </c>
      <c r="F312" t="s">
        <v>291</v>
      </c>
      <c r="G312" t="s">
        <v>256</v>
      </c>
      <c r="H312">
        <v>42</v>
      </c>
    </row>
    <row r="313" spans="1:8" ht="13.2">
      <c r="A313" t="s">
        <v>5796</v>
      </c>
      <c r="B313" t="s">
        <v>5855</v>
      </c>
      <c r="C313" t="s">
        <v>11135</v>
      </c>
      <c r="D313">
        <v>0</v>
      </c>
      <c r="E313">
        <v>1480</v>
      </c>
      <c r="F313" t="s">
        <v>291</v>
      </c>
      <c r="G313" t="s">
        <v>256</v>
      </c>
      <c r="H313">
        <v>42</v>
      </c>
    </row>
    <row r="314" spans="1:8" ht="13.2">
      <c r="A314" t="s">
        <v>5796</v>
      </c>
      <c r="B314" t="s">
        <v>5856</v>
      </c>
      <c r="C314" t="s">
        <v>11136</v>
      </c>
      <c r="D314">
        <v>0</v>
      </c>
      <c r="E314">
        <v>1480</v>
      </c>
      <c r="F314" t="s">
        <v>291</v>
      </c>
      <c r="G314" t="s">
        <v>256</v>
      </c>
      <c r="H314">
        <v>42</v>
      </c>
    </row>
    <row r="315" spans="1:8" ht="13.2">
      <c r="A315" t="s">
        <v>5796</v>
      </c>
      <c r="B315" t="s">
        <v>5857</v>
      </c>
      <c r="C315" t="s">
        <v>11137</v>
      </c>
      <c r="D315">
        <v>0</v>
      </c>
      <c r="E315">
        <v>1480</v>
      </c>
      <c r="F315" t="s">
        <v>291</v>
      </c>
      <c r="G315" t="s">
        <v>256</v>
      </c>
      <c r="H315">
        <v>42</v>
      </c>
    </row>
    <row r="316" spans="1:8" ht="13.2">
      <c r="A316" t="s">
        <v>5796</v>
      </c>
      <c r="B316" t="s">
        <v>369</v>
      </c>
      <c r="C316" t="s">
        <v>11138</v>
      </c>
      <c r="D316">
        <v>0</v>
      </c>
      <c r="E316">
        <v>1480</v>
      </c>
      <c r="F316" t="s">
        <v>291</v>
      </c>
      <c r="G316" t="s">
        <v>256</v>
      </c>
      <c r="H316">
        <v>42</v>
      </c>
    </row>
    <row r="317" spans="1:8" ht="13.2">
      <c r="A317" t="s">
        <v>11152</v>
      </c>
      <c r="B317" t="s">
        <v>5821</v>
      </c>
      <c r="C317" t="str">
        <f t="shared" si="5" ref="C317:C319">CONCATENATE(A317," ",B317)</f>
        <v>Filigree Luxury Line Deluxe (Continuous) Lining Off White</v>
      </c>
      <c r="D317">
        <v>0</v>
      </c>
      <c r="E317">
        <v>3000</v>
      </c>
      <c r="F317" t="s">
        <v>293</v>
      </c>
      <c r="G317" t="s">
        <v>11153</v>
      </c>
      <c r="H317">
        <v>4</v>
      </c>
    </row>
    <row r="318" spans="1:8" ht="13.2">
      <c r="A318" t="s">
        <v>11152</v>
      </c>
      <c r="B318" t="s">
        <v>369</v>
      </c>
      <c r="C318" t="str">
        <f t="shared" si="5"/>
        <v>Filigree Luxury Line Deluxe (Continuous) Lining TBA</v>
      </c>
      <c r="D318">
        <v>0</v>
      </c>
      <c r="E318">
        <v>3000</v>
      </c>
      <c r="F318" t="s">
        <v>293</v>
      </c>
      <c r="G318" t="s">
        <v>11153</v>
      </c>
      <c r="H318">
        <v>4</v>
      </c>
    </row>
    <row r="319" ht="13.2">
      <c r="C319" t="str">
        <f t="shared" si="5"/>
        <v xml:space="preserve"> </v>
      </c>
    </row>
  </sheetData>
  <pageMargins left="1.17244094488209" right="1.17244094488209" top="0.75" bottom="0.75" header="0.3" footer="0.3"/>
  <pageSetup horizontalDpi="300" verticalDpi="30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Deductions"/>
  <dimension ref="A1:CQ3630"/>
  <sheetViews>
    <sheetView zoomScale="80" zoomScaleNormal="80" workbookViewId="0" topLeftCell="C1">
      <selection pane="topLeft" activeCell="C2" sqref="C2:D94"/>
    </sheetView>
  </sheetViews>
  <sheetFormatPr defaultColWidth="8.5546875" defaultRowHeight="16.2" customHeight="1"/>
  <cols>
    <col min="1" max="1" width="42.5714285714286" style="80" bestFit="1" customWidth="1"/>
    <col min="2" max="2" width="10.4285714285714" style="80" bestFit="1" customWidth="1"/>
    <col min="3" max="3" width="48.4285714285714" style="80" bestFit="1" customWidth="1"/>
    <col min="4" max="4" width="10.4285714285714" style="80" customWidth="1"/>
    <col min="5" max="5" width="39.4285714285714" style="80" bestFit="1" customWidth="1"/>
    <col min="6" max="6" width="10.4285714285714" style="80" customWidth="1"/>
    <col min="7" max="7" width="21.4285714285714" style="80" bestFit="1" customWidth="1"/>
    <col min="8" max="8" width="10.4285714285714" style="80" customWidth="1"/>
    <col min="9" max="9" width="3.42857142857143" style="80" customWidth="1"/>
    <col min="10" max="10" width="16.5714285714286" style="80" customWidth="1"/>
    <col min="11" max="11" width="52.5714285714286" style="80" bestFit="1" customWidth="1"/>
    <col min="12" max="12" width="31" style="80" bestFit="1" customWidth="1"/>
    <col min="13" max="13" width="58.4285714285714" style="80" bestFit="1" customWidth="1"/>
    <col min="14" max="14" width="122.571428571429" style="80" bestFit="1" customWidth="1"/>
    <col min="15" max="15" width="12.5714285714286" style="80" customWidth="1"/>
    <col min="16" max="16" width="12" style="80" customWidth="1"/>
    <col min="17" max="18" width="12.4285714285714" style="80" customWidth="1"/>
    <col min="19" max="19" width="4.42857142857143" style="80" customWidth="1"/>
    <col min="20" max="20" width="26.4285714285714" style="80" bestFit="1" customWidth="1"/>
    <col min="21" max="21" width="10.4285714285714" style="80" bestFit="1" customWidth="1"/>
    <col min="22" max="22" width="3.42857142857143" style="80" customWidth="1"/>
    <col min="23" max="23" width="41.4285714285714" style="80" bestFit="1" customWidth="1"/>
    <col min="24" max="24" width="38.5714285714286" style="80" bestFit="1" customWidth="1"/>
    <col min="25" max="25" width="67.4285714285714" style="80" bestFit="1" customWidth="1"/>
    <col min="26" max="26" width="21.5714285714286" style="80" bestFit="1" customWidth="1"/>
    <col min="27" max="27" width="10.4285714285714" customWidth="1"/>
    <col min="28" max="28" width="3.42857142857143" style="80" customWidth="1"/>
    <col min="29" max="29" width="16.5714285714286" style="80" bestFit="1" customWidth="1"/>
    <col min="30" max="30" width="56.5714285714286" style="80" bestFit="1" customWidth="1"/>
    <col min="31" max="31" width="67.5714285714286" style="80" bestFit="1" customWidth="1"/>
    <col min="32" max="32" width="15.4285714285714" style="80" bestFit="1" customWidth="1"/>
    <col min="33" max="33" width="3.42857142857143" style="80" customWidth="1"/>
    <col min="34" max="34" width="52.5714285714286" style="86" bestFit="1" customWidth="1"/>
    <col min="35" max="35" width="19.4285714285714" style="86" bestFit="1" customWidth="1"/>
    <col min="36" max="36" width="13.2857142857143" style="86" bestFit="1" customWidth="1"/>
    <col min="37" max="37" width="64.5714285714286" style="80" bestFit="1" customWidth="1"/>
    <col min="38" max="38" width="24.4285714285714" style="80" bestFit="1" customWidth="1"/>
    <col min="39" max="39" width="10.5714285714286" style="80" customWidth="1"/>
    <col min="40" max="40" width="8.42857142857143" style="80" customWidth="1"/>
    <col min="41" max="41" width="7.57142857142857" style="80" bestFit="1" customWidth="1"/>
    <col min="42" max="42" width="4" style="80" customWidth="1"/>
    <col min="43" max="43" width="18.5714285714286" style="80" bestFit="1" customWidth="1"/>
    <col min="44" max="44" width="8.57142857142857" style="80"/>
    <col min="45" max="45" width="3.57142857142857" style="80" customWidth="1"/>
    <col min="46" max="47" width="34.5714285714286" style="80" bestFit="1" customWidth="1"/>
    <col min="48" max="48" width="2.57142857142857" style="80" customWidth="1"/>
    <col min="49" max="49" width="46.5714285714286" style="80" bestFit="1" customWidth="1"/>
    <col min="50" max="50" width="38.5714285714286" style="80" bestFit="1" customWidth="1"/>
    <col min="51" max="51" width="85" style="80" bestFit="1" customWidth="1"/>
    <col min="52" max="52" width="10.4285714285714" style="80" bestFit="1" customWidth="1"/>
    <col min="53" max="53" width="12.5714285714286" style="80" bestFit="1" customWidth="1"/>
    <col min="54" max="54" width="3.42857142857143" style="80" customWidth="1"/>
    <col min="55" max="55" width="34.5714285714286" style="80" bestFit="1" customWidth="1"/>
    <col min="56" max="56" width="3.42857142857143" style="80" customWidth="1"/>
    <col min="57" max="57" width="48.5714285714286" style="80" bestFit="1" customWidth="1"/>
    <col min="58" max="58" width="51.5714285714286" style="80" bestFit="1" customWidth="1"/>
    <col min="59" max="59" width="13.5714285714286" style="80" customWidth="1"/>
    <col min="60" max="60" width="2.42857142857143" style="80" customWidth="1"/>
    <col min="61" max="62" width="23.5714285714286" style="80" bestFit="1" customWidth="1"/>
    <col min="63" max="63" width="17.4285714285714" style="80" bestFit="1" customWidth="1"/>
    <col min="64" max="64" width="60.5714285714286" style="80" bestFit="1" customWidth="1"/>
    <col min="65" max="65" width="17.4285714285714" style="80" bestFit="1" customWidth="1"/>
    <col min="66" max="66" width="2.57142857142857" style="80" customWidth="1"/>
    <col min="67" max="67" width="41.5714285714286" style="80" bestFit="1" customWidth="1"/>
    <col min="68" max="68" width="13.4285714285714" style="80" bestFit="1" customWidth="1"/>
    <col min="69" max="69" width="46.5714285714286" style="80" bestFit="1" customWidth="1"/>
    <col min="70" max="70" width="22.5714285714286" style="80" bestFit="1" customWidth="1"/>
    <col min="71" max="71" width="2.57142857142857" style="80" customWidth="1"/>
    <col min="72" max="72" width="41.4285714285714" style="80" bestFit="1" customWidth="1"/>
    <col min="73" max="73" width="38" style="80" bestFit="1" customWidth="1"/>
    <col min="74" max="74" width="78.5714285714286" style="80" bestFit="1" customWidth="1"/>
    <col min="75" max="76" width="10.5714285714286" style="80" customWidth="1"/>
    <col min="77" max="78" width="11.4285714285714" style="80" customWidth="1"/>
    <col min="79" max="81" width="12.4285714285714" style="80" customWidth="1"/>
    <col min="82" max="82" width="4.42857142857143" style="80" customWidth="1"/>
    <col min="83" max="83" width="7.57142857142857" style="80" bestFit="1" customWidth="1"/>
    <col min="84" max="85" width="8.57142857142857" style="80"/>
    <col min="86" max="86" width="16.5714285714286" style="80" bestFit="1" customWidth="1"/>
    <col min="87" max="89" width="8.57142857142857" style="80"/>
    <col min="90" max="91" width="8.57142857142857" style="25"/>
    <col min="92" max="92" width="18.4285714285714" style="25" bestFit="1" customWidth="1"/>
    <col min="93" max="93" width="47.4285714285714" style="25" bestFit="1" customWidth="1"/>
    <col min="94" max="94" width="69.4285714285714" style="25" bestFit="1" customWidth="1"/>
    <col min="95" max="95" width="30.5714285714286" style="25" bestFit="1" customWidth="1"/>
    <col min="96" max="16384" width="8.57142857142857" style="25"/>
  </cols>
  <sheetData>
    <row r="1" spans="1:95" s="50" customFormat="1" ht="39.75" customHeight="1">
      <c r="A1" s="81" t="s">
        <v>11</v>
      </c>
      <c r="B1" s="81" t="s">
        <v>118</v>
      </c>
      <c r="C1" s="81" t="s">
        <v>111</v>
      </c>
      <c r="D1" s="81" t="s">
        <v>118</v>
      </c>
      <c r="E1" s="81" t="s">
        <v>400</v>
      </c>
      <c r="F1" s="81" t="s">
        <v>401</v>
      </c>
      <c r="G1" s="81" t="s">
        <v>174</v>
      </c>
      <c r="H1" s="81" t="s">
        <v>118</v>
      </c>
      <c r="I1" s="84"/>
      <c r="J1" s="82" t="s">
        <v>745</v>
      </c>
      <c r="K1" s="81" t="s">
        <v>167</v>
      </c>
      <c r="L1" s="81" t="s">
        <v>180</v>
      </c>
      <c r="M1" s="81" t="s">
        <v>149</v>
      </c>
      <c r="N1" s="81"/>
      <c r="O1" s="83" t="s">
        <v>5506</v>
      </c>
      <c r="P1" s="83" t="s">
        <v>744</v>
      </c>
      <c r="Q1" s="83" t="s">
        <v>743</v>
      </c>
      <c r="R1" s="83" t="s">
        <v>742</v>
      </c>
      <c r="S1" s="142"/>
      <c r="T1" s="81" t="s">
        <v>218</v>
      </c>
      <c r="U1" s="81" t="s">
        <v>118</v>
      </c>
      <c r="V1" s="84"/>
      <c r="W1" s="85" t="s">
        <v>167</v>
      </c>
      <c r="X1" s="85" t="s">
        <v>158</v>
      </c>
      <c r="Y1" s="85" t="s">
        <v>140</v>
      </c>
      <c r="Z1" s="85" t="s">
        <v>118</v>
      </c>
      <c r="AA1" s="172" t="s">
        <v>279</v>
      </c>
      <c r="AB1" s="84"/>
      <c r="AC1" s="85" t="s">
        <v>748</v>
      </c>
      <c r="AD1" s="85" t="s">
        <v>11584</v>
      </c>
      <c r="AE1" s="85"/>
      <c r="AF1" s="85" t="s">
        <v>11604</v>
      </c>
      <c r="AG1" s="84"/>
      <c r="AH1" s="102" t="s">
        <v>167</v>
      </c>
      <c r="AI1" s="102" t="s">
        <v>194</v>
      </c>
      <c r="AJ1" s="102"/>
      <c r="AK1" s="102" t="s">
        <v>272</v>
      </c>
      <c r="AL1" s="102" t="s">
        <v>273</v>
      </c>
      <c r="AM1" s="102" t="s">
        <v>690</v>
      </c>
      <c r="AN1" s="102" t="s">
        <v>691</v>
      </c>
      <c r="AO1" s="102" t="s">
        <v>516</v>
      </c>
      <c r="AP1" s="84"/>
      <c r="AQ1" s="85" t="s">
        <v>385</v>
      </c>
      <c r="AR1" s="85" t="s">
        <v>386</v>
      </c>
      <c r="AS1" s="84"/>
      <c r="AT1" s="85" t="s">
        <v>424</v>
      </c>
      <c r="AU1" s="85"/>
      <c r="AV1" s="84"/>
      <c r="AW1" s="97" t="s">
        <v>715</v>
      </c>
      <c r="AX1" s="98" t="s">
        <v>158</v>
      </c>
      <c r="AY1" s="99"/>
      <c r="AZ1" s="98" t="s">
        <v>224</v>
      </c>
      <c r="BA1" s="100" t="s">
        <v>716</v>
      </c>
      <c r="BB1" s="101"/>
      <c r="BC1" s="98" t="s">
        <v>441</v>
      </c>
      <c r="BD1" s="84"/>
      <c r="BE1" s="98" t="s">
        <v>5366</v>
      </c>
      <c r="BF1" s="98" t="s">
        <v>5367</v>
      </c>
      <c r="BG1" s="102" t="s">
        <v>11606</v>
      </c>
      <c r="BH1" s="84"/>
      <c r="BI1" s="121" t="s">
        <v>5681</v>
      </c>
      <c r="BJ1" s="121" t="s">
        <v>149</v>
      </c>
      <c r="BK1" s="121" t="s">
        <v>176</v>
      </c>
      <c r="BL1" s="121"/>
      <c r="BM1" s="121"/>
      <c r="BN1" s="84"/>
      <c r="BO1" s="121"/>
      <c r="BP1" s="121"/>
      <c r="BQ1" s="121"/>
      <c r="BR1" s="121" t="s">
        <v>5697</v>
      </c>
      <c r="BS1" s="84"/>
      <c r="BT1" s="102"/>
      <c r="BU1" s="102"/>
      <c r="BV1" s="102"/>
      <c r="BW1" s="102" t="s">
        <v>5771</v>
      </c>
      <c r="BX1" s="102" t="s">
        <v>5772</v>
      </c>
      <c r="BY1" s="102" t="s">
        <v>5747</v>
      </c>
      <c r="BZ1" s="102" t="s">
        <v>5773</v>
      </c>
      <c r="CA1" s="102" t="s">
        <v>5774</v>
      </c>
      <c r="CB1" s="102" t="s">
        <v>5748</v>
      </c>
      <c r="CC1" s="102" t="s">
        <v>5775</v>
      </c>
      <c r="CD1" s="84"/>
      <c r="CE1" s="85" t="s">
        <v>690</v>
      </c>
      <c r="CF1" s="130"/>
      <c r="CG1" s="84"/>
      <c r="CH1" s="85" t="s">
        <v>176</v>
      </c>
      <c r="CI1" s="85" t="s">
        <v>6589</v>
      </c>
      <c r="CJ1" s="85" t="s">
        <v>6590</v>
      </c>
      <c r="CK1" s="85" t="s">
        <v>6589</v>
      </c>
      <c r="CL1" s="85" t="s">
        <v>6590</v>
      </c>
      <c r="CN1" s="85" t="s">
        <v>7470</v>
      </c>
      <c r="CO1" s="85" t="s">
        <v>7486</v>
      </c>
      <c r="CP1" s="85"/>
      <c r="CQ1" s="85" t="s">
        <v>7487</v>
      </c>
    </row>
    <row r="2" spans="1:95" ht="16.2" customHeight="1">
      <c r="A2" s="80" t="s">
        <v>119</v>
      </c>
      <c r="B2" s="80">
        <v>0</v>
      </c>
      <c r="C2" t="s">
        <v>623</v>
      </c>
      <c r="D2" s="80">
        <v>120</v>
      </c>
      <c r="E2" s="80" t="s">
        <v>163</v>
      </c>
      <c r="F2" s="80">
        <v>2</v>
      </c>
      <c r="G2" t="s">
        <v>181</v>
      </c>
      <c r="H2" s="80">
        <v>0</v>
      </c>
      <c r="J2" s="80" t="s">
        <v>746</v>
      </c>
      <c r="K2" s="80" t="s">
        <v>146</v>
      </c>
      <c r="L2" s="80" t="s">
        <v>268</v>
      </c>
      <c r="M2" s="80" t="s">
        <v>528</v>
      </c>
      <c r="N2" t="str">
        <f t="shared" si="0" ref="N2:N65">(CONCATENATE(J2,K2,L2,M2))</f>
        <v>Double Front29mm RodMatt Silver100mm Brackets</v>
      </c>
      <c r="O2">
        <v>20</v>
      </c>
      <c r="P2">
        <v>0</v>
      </c>
      <c r="Q2" s="80">
        <v>-100</v>
      </c>
      <c r="R2" s="80">
        <f t="shared" si="1" ref="R2:R65">SUM(P2)-O2</f>
        <v>-20</v>
      </c>
      <c r="T2" t="s">
        <v>5673</v>
      </c>
      <c r="U2" t="s">
        <v>219</v>
      </c>
      <c r="W2" t="s">
        <v>132</v>
      </c>
      <c r="X2" t="s">
        <v>138</v>
      </c>
      <c r="Y2" s="80" t="str">
        <f>CONCATENATE(W2,X2)</f>
        <v>Streamline Cord OperationCentre Opening</v>
      </c>
      <c r="Z2" s="80">
        <v>100</v>
      </c>
      <c r="AC2" t="s">
        <v>725</v>
      </c>
      <c r="AD2" t="s">
        <v>264</v>
      </c>
      <c r="AE2" s="80" t="str">
        <f>(AC2&amp;AD2)</f>
        <v>Single1 Wall Socket &amp; 1 L Bracket</v>
      </c>
      <c r="AF2" s="80">
        <v>70</v>
      </c>
      <c r="AH2" s="86" t="s">
        <v>146</v>
      </c>
      <c r="AI2" s="11" t="s">
        <v>5808</v>
      </c>
      <c r="AJ2" s="11" t="s">
        <v>160</v>
      </c>
      <c r="AK2" s="80" t="str">
        <f t="shared" si="2" ref="AK2:AK18">CONCATENATE(AH2,AI2,AJ2)</f>
        <v>29mm RodSilverStraight</v>
      </c>
      <c r="AL2" s="80" t="s">
        <v>274</v>
      </c>
      <c r="AM2" s="80" t="s">
        <v>120</v>
      </c>
      <c r="AN2" s="80">
        <v>0</v>
      </c>
      <c r="AO2" s="80" t="s">
        <v>120</v>
      </c>
      <c r="AQ2" t="s">
        <v>387</v>
      </c>
      <c r="AR2" s="80">
        <v>40</v>
      </c>
      <c r="AT2" t="s">
        <v>391</v>
      </c>
      <c r="AU2" t="s">
        <v>391</v>
      </c>
      <c r="AW2" t="s">
        <v>248</v>
      </c>
      <c r="AX2" t="s">
        <v>138</v>
      </c>
      <c r="AY2" t="str">
        <f t="shared" si="3" ref="AY2:AY65">CONCATENATE(AW2,AX2)</f>
        <v>Bed Sheets (Standard Fullness x 1.5)Centre Opening</v>
      </c>
      <c r="AZ2" s="80">
        <v>1.5</v>
      </c>
      <c r="BA2" s="80">
        <v>400</v>
      </c>
      <c r="BC2" t="s">
        <v>446</v>
      </c>
      <c r="BE2" s="80" t="s">
        <v>5354</v>
      </c>
      <c r="BF2" s="80" t="s">
        <v>5364</v>
      </c>
      <c r="BG2" s="80">
        <v>250</v>
      </c>
      <c r="BI2" s="80" t="s">
        <v>487</v>
      </c>
      <c r="BJ2" s="80" t="s">
        <v>162</v>
      </c>
      <c r="BK2" s="80" t="s">
        <v>3528</v>
      </c>
      <c r="BL2" s="80" t="str">
        <f>CONCATENATE(BI2,BJ2,BK2)</f>
        <v>Wavefold Cord OperationDouble Face Fix BracketsBoth Sides</v>
      </c>
      <c r="BM2" s="80" t="s">
        <v>5682</v>
      </c>
      <c r="BO2" s="80" t="s">
        <v>488</v>
      </c>
      <c r="BP2" s="80" t="s">
        <v>191</v>
      </c>
      <c r="BQ2" s="80" t="str">
        <f>CONCATENATE(BO2,BP2)</f>
        <v>Wavefold Hand OperationWhite</v>
      </c>
      <c r="BR2" s="80" t="s">
        <v>5693</v>
      </c>
      <c r="BT2" s="80" t="s">
        <v>132</v>
      </c>
      <c r="BU2" t="s">
        <v>138</v>
      </c>
      <c r="BV2" t="str">
        <f t="shared" si="4" ref="BV2:BV36">CONCATENATE(BT2,BU2)</f>
        <v>Streamline Cord OperationCentre Opening</v>
      </c>
      <c r="CA2" s="80">
        <v>2</v>
      </c>
      <c r="CE2" t="s">
        <v>120</v>
      </c>
      <c r="CF2" s="80">
        <v>0</v>
      </c>
      <c r="CH2" s="80" t="s">
        <v>3528</v>
      </c>
      <c r="CI2" s="80">
        <v>200</v>
      </c>
      <c r="CJ2" s="80">
        <v>200</v>
      </c>
      <c r="CK2" s="80">
        <v>10</v>
      </c>
      <c r="CL2" s="80">
        <v>10</v>
      </c>
      <c r="CN2" t="s">
        <v>276</v>
      </c>
      <c r="CO2" t="s">
        <v>5704</v>
      </c>
      <c r="CP2" s="25" t="str">
        <f>CONCATENATE(CN2,CO2)</f>
        <v>DBS to MakeWhite Aluminium Flick Sticks 100cm</v>
      </c>
      <c r="CQ2" s="25" t="s">
        <v>120</v>
      </c>
    </row>
    <row r="3" spans="1:95" ht="16.2" customHeight="1">
      <c r="A3" s="80" t="s">
        <v>121</v>
      </c>
      <c r="B3" s="80">
        <v>5</v>
      </c>
      <c r="C3" t="s">
        <v>624</v>
      </c>
      <c r="D3" s="80">
        <v>200</v>
      </c>
      <c r="E3" s="80" t="s">
        <v>399</v>
      </c>
      <c r="F3" s="80">
        <v>4</v>
      </c>
      <c r="G3" t="s">
        <v>169</v>
      </c>
      <c r="H3" s="80">
        <v>20</v>
      </c>
      <c r="J3" s="80" t="s">
        <v>747</v>
      </c>
      <c r="K3" s="80" t="s">
        <v>146</v>
      </c>
      <c r="L3" s="80" t="s">
        <v>268</v>
      </c>
      <c r="M3" s="80" t="s">
        <v>528</v>
      </c>
      <c r="N3" t="str">
        <f t="shared" si="0"/>
        <v>Double Rear29mm RodMatt Silver100mm Brackets</v>
      </c>
      <c r="O3">
        <v>20</v>
      </c>
      <c r="P3">
        <v>0</v>
      </c>
      <c r="Q3" s="80">
        <v>-100</v>
      </c>
      <c r="R3" s="80">
        <f t="shared" si="1"/>
        <v>-20</v>
      </c>
      <c r="T3" t="s">
        <v>6438</v>
      </c>
      <c r="U3">
        <v>10</v>
      </c>
      <c r="W3" t="s">
        <v>132</v>
      </c>
      <c r="X3" s="80" t="s">
        <v>717</v>
      </c>
      <c r="Y3" s="80" t="str">
        <f>CONCATENATE(W3,X3)</f>
        <v>Streamline Cord OperationCentre Opening - Free Flowing</v>
      </c>
      <c r="Z3" s="80">
        <v>6</v>
      </c>
      <c r="AC3" t="s">
        <v>725</v>
      </c>
      <c r="AD3" t="s">
        <v>528</v>
      </c>
      <c r="AE3" s="80" t="str">
        <f t="shared" si="5" ref="AE3:AE50">(AC3&amp;AD3)</f>
        <v>Single100mm Brackets</v>
      </c>
      <c r="AF3" s="80">
        <v>90</v>
      </c>
      <c r="AH3" s="86" t="s">
        <v>145</v>
      </c>
      <c r="AI3" s="86" t="s">
        <v>190</v>
      </c>
      <c r="AJ3" s="11" t="s">
        <v>160</v>
      </c>
      <c r="AK3" s="80" t="str">
        <f t="shared" si="2"/>
        <v>ConduitIvoryStraight</v>
      </c>
      <c r="AL3" s="80" t="s">
        <v>276</v>
      </c>
      <c r="AM3" s="80" t="s">
        <v>120</v>
      </c>
      <c r="AN3" s="80">
        <v>0</v>
      </c>
      <c r="AO3" s="80" t="s">
        <v>120</v>
      </c>
      <c r="AQ3" t="s">
        <v>388</v>
      </c>
      <c r="AR3" s="80">
        <v>20</v>
      </c>
      <c r="AT3" t="s">
        <v>442</v>
      </c>
      <c r="AU3" t="s">
        <v>391</v>
      </c>
      <c r="AW3" t="s">
        <v>248</v>
      </c>
      <c r="AX3" t="s">
        <v>5902</v>
      </c>
      <c r="AY3" t="str">
        <f t="shared" si="3"/>
        <v>Bed Sheets (Standard Fullness x 1.5)Centre Opening (Offset Split)</v>
      </c>
      <c r="AZ3" s="80">
        <v>1.5</v>
      </c>
      <c r="BA3" s="80">
        <v>400</v>
      </c>
      <c r="BC3" t="s">
        <v>447</v>
      </c>
      <c r="BE3" s="80" t="s">
        <v>5356</v>
      </c>
      <c r="BF3" s="80" t="s">
        <v>5365</v>
      </c>
      <c r="BG3" s="80">
        <v>250</v>
      </c>
      <c r="BI3" s="80" t="s">
        <v>487</v>
      </c>
      <c r="BJ3" s="80" t="s">
        <v>159</v>
      </c>
      <c r="BK3" s="80" t="s">
        <v>3528</v>
      </c>
      <c r="BL3" s="80" t="str">
        <f t="shared" si="6" ref="BL3:BL49">CONCATENATE(BI3,BJ3,BK3)</f>
        <v>Wavefold Cord OperationSingle Face Fix BracketsBoth Sides</v>
      </c>
      <c r="BM3" s="80" t="s">
        <v>5682</v>
      </c>
      <c r="BO3" s="80" t="s">
        <v>488</v>
      </c>
      <c r="BP3" s="80" t="s">
        <v>193</v>
      </c>
      <c r="BQ3" s="80" t="str">
        <f t="shared" si="7" ref="BQ3:BQ15">CONCATENATE(BO3,BP3)</f>
        <v>Wavefold Hand OperationBlack</v>
      </c>
      <c r="BR3" s="80" t="s">
        <v>5694</v>
      </c>
      <c r="BT3" s="80" t="s">
        <v>132</v>
      </c>
      <c r="BU3" t="s">
        <v>141</v>
      </c>
      <c r="BV3" t="str">
        <f t="shared" si="4"/>
        <v>Streamline Cord OperationSingle Panel - Left Stacking</v>
      </c>
      <c r="CA3" s="80">
        <v>1</v>
      </c>
      <c r="CB3" s="80">
        <v>1</v>
      </c>
      <c r="CC3" s="80">
        <v>1</v>
      </c>
      <c r="CE3" t="s">
        <v>181</v>
      </c>
      <c r="CF3" s="80">
        <v>100</v>
      </c>
      <c r="CH3" s="80" t="s">
        <v>3593</v>
      </c>
      <c r="CI3" s="80">
        <v>100</v>
      </c>
      <c r="CJ3" s="80">
        <v>0</v>
      </c>
      <c r="CK3" s="80">
        <v>10</v>
      </c>
      <c r="CL3" s="80">
        <v>0</v>
      </c>
      <c r="CN3" t="s">
        <v>276</v>
      </c>
      <c r="CO3" t="s">
        <v>5686</v>
      </c>
      <c r="CP3" s="25" t="str">
        <f t="shared" si="8" ref="CP3:CP67">CONCATENATE(CN3,CO3)</f>
        <v>DBS to MakeWhite Aluminium Flick Sticks 125cm</v>
      </c>
      <c r="CQ3" s="25" t="s">
        <v>120</v>
      </c>
    </row>
    <row r="4" spans="1:95" ht="16.2" customHeight="1">
      <c r="A4" s="80" t="s">
        <v>151</v>
      </c>
      <c r="B4" s="80">
        <v>0</v>
      </c>
      <c r="C4" t="s">
        <v>124</v>
      </c>
      <c r="D4" s="80">
        <v>100</v>
      </c>
      <c r="E4" s="80" t="s">
        <v>164</v>
      </c>
      <c r="F4" s="80">
        <v>3</v>
      </c>
      <c r="G4" t="s">
        <v>7580</v>
      </c>
      <c r="H4" s="80">
        <v>30</v>
      </c>
      <c r="J4" s="80" t="s">
        <v>725</v>
      </c>
      <c r="K4" s="80" t="s">
        <v>146</v>
      </c>
      <c r="L4" s="80" t="s">
        <v>268</v>
      </c>
      <c r="M4" s="80" t="s">
        <v>528</v>
      </c>
      <c r="N4" t="str">
        <f t="shared" si="0"/>
        <v>Single29mm RodMatt Silver100mm Brackets</v>
      </c>
      <c r="O4">
        <v>20</v>
      </c>
      <c r="P4">
        <v>0</v>
      </c>
      <c r="Q4" s="80">
        <v>-100</v>
      </c>
      <c r="R4" s="80">
        <f t="shared" si="1"/>
        <v>-20</v>
      </c>
      <c r="T4" t="s">
        <v>6137</v>
      </c>
      <c r="U4">
        <v>10</v>
      </c>
      <c r="W4" t="s">
        <v>132</v>
      </c>
      <c r="X4" s="80" t="s">
        <v>5902</v>
      </c>
      <c r="Y4" s="80" t="str">
        <f>CONCATENATE(W4,X4)</f>
        <v>Streamline Cord OperationCentre Opening (Offset Split)</v>
      </c>
      <c r="Z4" s="80">
        <v>100</v>
      </c>
      <c r="AC4" t="s">
        <v>725</v>
      </c>
      <c r="AD4" t="s">
        <v>166</v>
      </c>
      <c r="AE4" s="80" t="str">
        <f t="shared" si="5"/>
        <v>Single100mm Unstayed Brackets with Acorns</v>
      </c>
      <c r="AF4" s="80">
        <v>90</v>
      </c>
      <c r="AH4" s="86" t="s">
        <v>392</v>
      </c>
      <c r="AI4" s="86" t="s">
        <v>190</v>
      </c>
      <c r="AJ4" s="11" t="s">
        <v>160</v>
      </c>
      <c r="AK4" s="80" t="str">
        <f t="shared" si="2"/>
        <v>Conduit x 2IvoryStraight</v>
      </c>
      <c r="AL4" s="80" t="s">
        <v>276</v>
      </c>
      <c r="AM4" s="80" t="s">
        <v>120</v>
      </c>
      <c r="AN4" s="80">
        <v>0</v>
      </c>
      <c r="AO4" s="80" t="s">
        <v>120</v>
      </c>
      <c r="AQ4" t="s">
        <v>389</v>
      </c>
      <c r="AR4" s="80">
        <v>100</v>
      </c>
      <c r="AT4" t="s">
        <v>443</v>
      </c>
      <c r="AU4" t="s">
        <v>391</v>
      </c>
      <c r="AW4" t="s">
        <v>248</v>
      </c>
      <c r="AX4" t="s">
        <v>141</v>
      </c>
      <c r="AY4" t="str">
        <f t="shared" si="3"/>
        <v>Bed Sheets (Standard Fullness x 1.5)Single Panel - Left Stacking</v>
      </c>
      <c r="AZ4" s="80">
        <v>1.5</v>
      </c>
      <c r="BA4" s="80">
        <v>200</v>
      </c>
      <c r="BC4" t="s">
        <v>448</v>
      </c>
      <c r="BE4" s="80" t="s">
        <v>5357</v>
      </c>
      <c r="BF4" s="80" t="s">
        <v>7590</v>
      </c>
      <c r="BG4" s="80">
        <v>250</v>
      </c>
      <c r="BI4" s="80" t="s">
        <v>487</v>
      </c>
      <c r="BJ4" s="80" t="s">
        <v>161</v>
      </c>
      <c r="BK4" s="80" t="s">
        <v>3528</v>
      </c>
      <c r="BL4" s="80" t="str">
        <f t="shared" si="6"/>
        <v>Wavefold Cord OperationTop Fix BracketsBoth Sides</v>
      </c>
      <c r="BM4" s="80" t="s">
        <v>5682</v>
      </c>
      <c r="BO4" s="80" t="s">
        <v>488</v>
      </c>
      <c r="BP4" s="80" t="s">
        <v>692</v>
      </c>
      <c r="BQ4" s="80" t="str">
        <f t="shared" si="7"/>
        <v>Wavefold Hand OperationMatt Black Ink</v>
      </c>
      <c r="BR4" s="80" t="s">
        <v>5694</v>
      </c>
      <c r="BT4" s="80" t="s">
        <v>132</v>
      </c>
      <c r="BU4" t="s">
        <v>142</v>
      </c>
      <c r="BV4" t="str">
        <f t="shared" si="4"/>
        <v>Streamline Cord OperationSingle Panel - Right Stacking</v>
      </c>
      <c r="CA4" s="80">
        <v>1</v>
      </c>
      <c r="CB4" s="80">
        <v>1</v>
      </c>
      <c r="CC4" s="80">
        <v>1</v>
      </c>
      <c r="CE4"/>
      <c r="CH4" s="80" t="s">
        <v>3594</v>
      </c>
      <c r="CI4" s="80">
        <v>0</v>
      </c>
      <c r="CJ4" s="80">
        <v>100</v>
      </c>
      <c r="CK4" s="80">
        <v>0</v>
      </c>
      <c r="CL4" s="80">
        <v>10</v>
      </c>
      <c r="CN4" t="s">
        <v>276</v>
      </c>
      <c r="CO4" t="s">
        <v>5687</v>
      </c>
      <c r="CP4" s="25" t="str">
        <f t="shared" si="8"/>
        <v>DBS to MakeWhite Aluminium Flick Sticks 150cm</v>
      </c>
      <c r="CQ4" s="25" t="s">
        <v>120</v>
      </c>
    </row>
    <row r="5" spans="3:95" ht="16.2" customHeight="1">
      <c r="C5" t="s">
        <v>6493</v>
      </c>
      <c r="D5" s="80">
        <v>0</v>
      </c>
      <c r="E5" s="80" t="s">
        <v>165</v>
      </c>
      <c r="F5" s="80">
        <v>3</v>
      </c>
      <c r="G5" t="s">
        <v>171</v>
      </c>
      <c r="H5" s="80">
        <v>10</v>
      </c>
      <c r="J5" s="80" t="s">
        <v>746</v>
      </c>
      <c r="K5" s="80" t="s">
        <v>146</v>
      </c>
      <c r="L5" s="80" t="s">
        <v>429</v>
      </c>
      <c r="M5" s="80" t="s">
        <v>528</v>
      </c>
      <c r="N5" t="str">
        <f t="shared" si="0"/>
        <v>Double Front29mm RodPewter100mm Brackets</v>
      </c>
      <c r="O5">
        <v>20</v>
      </c>
      <c r="P5">
        <v>0</v>
      </c>
      <c r="Q5" s="80">
        <v>-100</v>
      </c>
      <c r="R5" s="80">
        <f t="shared" si="1"/>
        <v>-20</v>
      </c>
      <c r="T5" t="s">
        <v>5674</v>
      </c>
      <c r="U5">
        <v>20</v>
      </c>
      <c r="W5" t="s">
        <v>132</v>
      </c>
      <c r="X5" t="s">
        <v>141</v>
      </c>
      <c r="Y5" s="80" t="str">
        <f t="shared" si="9" ref="Y5:Y59">CONCATENATE(W5,X5)</f>
        <v>Streamline Cord OperationSingle Panel - Left Stacking</v>
      </c>
      <c r="Z5" s="80">
        <v>55</v>
      </c>
      <c r="AC5" t="s">
        <v>725</v>
      </c>
      <c r="AD5" t="s">
        <v>529</v>
      </c>
      <c r="AE5" s="80" t="str">
        <f t="shared" si="5"/>
        <v>Single170mm Brackets</v>
      </c>
      <c r="AF5" s="80">
        <v>160</v>
      </c>
      <c r="AH5" s="86" t="s">
        <v>145</v>
      </c>
      <c r="AI5" s="86" t="s">
        <v>190</v>
      </c>
      <c r="AJ5" s="11" t="s">
        <v>12067</v>
      </c>
      <c r="AK5" s="80" t="str">
        <f t="shared" si="10" ref="AK5:AK6">CONCATENATE(AH5,AI5,AJ5)</f>
        <v>ConduitIvoryBent (Conduit)</v>
      </c>
      <c r="AL5" s="80" t="s">
        <v>276</v>
      </c>
      <c r="AM5" s="80" t="s">
        <v>120</v>
      </c>
      <c r="AN5" s="80">
        <v>0</v>
      </c>
      <c r="AO5" s="80" t="s">
        <v>120</v>
      </c>
      <c r="AQ5" t="s">
        <v>390</v>
      </c>
      <c r="AR5" s="80">
        <v>50</v>
      </c>
      <c r="AT5" t="s">
        <v>444</v>
      </c>
      <c r="AU5" t="s">
        <v>391</v>
      </c>
      <c r="AW5" t="s">
        <v>248</v>
      </c>
      <c r="AX5" t="s">
        <v>142</v>
      </c>
      <c r="AY5" t="str">
        <f t="shared" si="3"/>
        <v>Bed Sheets (Standard Fullness x 1.5)Single Panel - Right Stacking</v>
      </c>
      <c r="AZ5" s="80">
        <v>1.5</v>
      </c>
      <c r="BA5" s="80">
        <v>200</v>
      </c>
      <c r="BC5" t="s">
        <v>449</v>
      </c>
      <c r="BE5" s="80" t="s">
        <v>5358</v>
      </c>
      <c r="BF5" s="80" t="s">
        <v>7584</v>
      </c>
      <c r="BG5" s="80">
        <v>250</v>
      </c>
      <c r="BI5" s="80" t="s">
        <v>487</v>
      </c>
      <c r="BJ5" s="80" t="s">
        <v>553</v>
      </c>
      <c r="BK5" s="80" t="s">
        <v>3528</v>
      </c>
      <c r="BL5" s="80" t="str">
        <f t="shared" si="6"/>
        <v>Wavefold Cord OperationTriple Face Fix BracketsBoth Sides</v>
      </c>
      <c r="BM5" s="80" t="s">
        <v>5682</v>
      </c>
      <c r="BO5" s="80" t="s">
        <v>488</v>
      </c>
      <c r="BP5" s="80" t="s">
        <v>357</v>
      </c>
      <c r="BQ5" s="80" t="str">
        <f>CONCATENATE(BO5,BP5)</f>
        <v>Wavefold Hand OperationMatt Satin</v>
      </c>
      <c r="BR5" s="80" t="s">
        <v>7211</v>
      </c>
      <c r="BT5" s="80" t="s">
        <v>144</v>
      </c>
      <c r="BU5" t="s">
        <v>138</v>
      </c>
      <c r="BV5" t="str">
        <f t="shared" si="4"/>
        <v>Streamline Hand OperationCentre Opening</v>
      </c>
      <c r="CC5" s="80">
        <v>2</v>
      </c>
      <c r="CH5" s="80" t="s">
        <v>3595</v>
      </c>
      <c r="CI5" s="80">
        <v>150</v>
      </c>
      <c r="CJ5" s="80">
        <v>0</v>
      </c>
      <c r="CK5" s="80">
        <v>15</v>
      </c>
      <c r="CL5" s="80">
        <v>0</v>
      </c>
      <c r="CN5" t="s">
        <v>276</v>
      </c>
      <c r="CO5" t="s">
        <v>5705</v>
      </c>
      <c r="CP5" s="25" t="str">
        <f t="shared" si="8"/>
        <v>DBS to MakeBlack Aluminium Flick Sticks 100cm</v>
      </c>
      <c r="CQ5" s="25" t="s">
        <v>120</v>
      </c>
    </row>
    <row r="6" spans="3:95" ht="16.2" customHeight="1">
      <c r="C6" t="s">
        <v>621</v>
      </c>
      <c r="D6" s="80">
        <v>110</v>
      </c>
      <c r="E6" s="80" t="s">
        <v>166</v>
      </c>
      <c r="F6" s="80">
        <v>3</v>
      </c>
      <c r="G6" t="s">
        <v>288</v>
      </c>
      <c r="H6" s="80">
        <v>0</v>
      </c>
      <c r="J6" s="80" t="s">
        <v>747</v>
      </c>
      <c r="K6" s="80" t="s">
        <v>146</v>
      </c>
      <c r="L6" s="80" t="s">
        <v>429</v>
      </c>
      <c r="M6" s="80" t="s">
        <v>528</v>
      </c>
      <c r="N6" t="str">
        <f t="shared" si="0"/>
        <v>Double Rear29mm RodPewter100mm Brackets</v>
      </c>
      <c r="O6">
        <v>20</v>
      </c>
      <c r="P6">
        <v>0</v>
      </c>
      <c r="Q6" s="80">
        <v>-100</v>
      </c>
      <c r="R6" s="80">
        <f t="shared" si="1"/>
        <v>-20</v>
      </c>
      <c r="T6" t="s">
        <v>8553</v>
      </c>
      <c r="U6">
        <v>20</v>
      </c>
      <c r="W6" t="s">
        <v>132</v>
      </c>
      <c r="X6" t="s">
        <v>142</v>
      </c>
      <c r="Y6" s="80" t="str">
        <f t="shared" si="9"/>
        <v>Streamline Cord OperationSingle Panel - Right Stacking</v>
      </c>
      <c r="Z6" s="80">
        <v>55</v>
      </c>
      <c r="AC6" t="s">
        <v>725</v>
      </c>
      <c r="AD6" t="s">
        <v>263</v>
      </c>
      <c r="AE6" s="80" t="str">
        <f t="shared" si="5"/>
        <v>Single2 Wall Sockets</v>
      </c>
      <c r="AF6" s="80">
        <v>70</v>
      </c>
      <c r="AH6" s="86" t="s">
        <v>392</v>
      </c>
      <c r="AI6" s="86" t="s">
        <v>190</v>
      </c>
      <c r="AJ6" s="11" t="s">
        <v>12067</v>
      </c>
      <c r="AK6" s="80" t="str">
        <f t="shared" si="10"/>
        <v>Conduit x 2IvoryBent (Conduit)</v>
      </c>
      <c r="AL6" s="80" t="s">
        <v>276</v>
      </c>
      <c r="AM6" s="80" t="s">
        <v>120</v>
      </c>
      <c r="AN6" s="80">
        <v>0</v>
      </c>
      <c r="AO6" s="80" t="s">
        <v>120</v>
      </c>
      <c r="AQ6" t="s">
        <v>391</v>
      </c>
      <c r="AR6" s="80">
        <v>0</v>
      </c>
      <c r="AT6" t="s">
        <v>445</v>
      </c>
      <c r="AU6" t="s">
        <v>391</v>
      </c>
      <c r="AW6" t="s">
        <v>248</v>
      </c>
      <c r="AX6" t="s">
        <v>143</v>
      </c>
      <c r="AY6" t="str">
        <f t="shared" si="3"/>
        <v>Bed Sheets (Standard Fullness x 1.5)Single Panel - Free Flowing</v>
      </c>
      <c r="AZ6" s="80">
        <v>1.5</v>
      </c>
      <c r="BA6" s="80">
        <v>200</v>
      </c>
      <c r="BC6" t="s">
        <v>450</v>
      </c>
      <c r="BE6" s="80" t="s">
        <v>5360</v>
      </c>
      <c r="BF6" s="80" t="s">
        <v>7585</v>
      </c>
      <c r="BG6" s="80">
        <v>250</v>
      </c>
      <c r="BI6" s="80" t="s">
        <v>488</v>
      </c>
      <c r="BJ6" s="80" t="s">
        <v>162</v>
      </c>
      <c r="BK6" s="80" t="s">
        <v>3528</v>
      </c>
      <c r="BL6" s="80" t="str">
        <f t="shared" si="6"/>
        <v>Wavefold Hand OperationDouble Face Fix BracketsBoth Sides</v>
      </c>
      <c r="BM6" s="80" t="s">
        <v>5682</v>
      </c>
      <c r="BO6" s="80" t="s">
        <v>487</v>
      </c>
      <c r="BP6" s="80" t="s">
        <v>191</v>
      </c>
      <c r="BQ6" s="80" t="str">
        <f t="shared" si="7"/>
        <v>Wavefold Cord OperationWhite</v>
      </c>
      <c r="BR6" s="80" t="s">
        <v>5693</v>
      </c>
      <c r="BT6" s="80" t="s">
        <v>144</v>
      </c>
      <c r="BU6" t="s">
        <v>717</v>
      </c>
      <c r="BV6" t="str">
        <f t="shared" si="4"/>
        <v>Streamline Hand OperationCentre Opening - Free Flowing</v>
      </c>
      <c r="CC6" s="80">
        <v>2</v>
      </c>
      <c r="CH6" s="80" t="s">
        <v>3596</v>
      </c>
      <c r="CI6" s="80">
        <v>0</v>
      </c>
      <c r="CJ6" s="80">
        <v>150</v>
      </c>
      <c r="CK6" s="80">
        <v>0</v>
      </c>
      <c r="CL6" s="80">
        <v>15</v>
      </c>
      <c r="CN6" t="s">
        <v>276</v>
      </c>
      <c r="CO6" t="s">
        <v>5706</v>
      </c>
      <c r="CP6" s="25" t="str">
        <f t="shared" si="8"/>
        <v>DBS to MakeBlack Aluminium Flick Sticks 125cm</v>
      </c>
      <c r="CQ6" s="25" t="s">
        <v>120</v>
      </c>
    </row>
    <row r="7" spans="3:95" ht="16.2" customHeight="1">
      <c r="C7" t="s">
        <v>262</v>
      </c>
      <c r="D7" s="80">
        <v>170</v>
      </c>
      <c r="E7" s="80" t="s">
        <v>528</v>
      </c>
      <c r="F7" s="80">
        <v>3</v>
      </c>
      <c r="G7" s="80" t="s">
        <v>403</v>
      </c>
      <c r="H7" s="80">
        <v>0</v>
      </c>
      <c r="J7" s="80" t="s">
        <v>725</v>
      </c>
      <c r="K7" s="80" t="s">
        <v>146</v>
      </c>
      <c r="L7" s="80" t="s">
        <v>429</v>
      </c>
      <c r="M7" s="80" t="s">
        <v>528</v>
      </c>
      <c r="N7" t="str">
        <f t="shared" si="0"/>
        <v>Single29mm RodPewter100mm Brackets</v>
      </c>
      <c r="O7">
        <v>20</v>
      </c>
      <c r="P7">
        <v>0</v>
      </c>
      <c r="Q7" s="80">
        <v>-100</v>
      </c>
      <c r="R7" s="80">
        <f t="shared" si="1"/>
        <v>-20</v>
      </c>
      <c r="T7" t="s">
        <v>6138</v>
      </c>
      <c r="U7">
        <v>20</v>
      </c>
      <c r="W7" t="s">
        <v>132</v>
      </c>
      <c r="X7" t="s">
        <v>143</v>
      </c>
      <c r="Y7" s="80" t="str">
        <f t="shared" si="9"/>
        <v>Streamline Cord OperationSingle Panel - Free Flowing</v>
      </c>
      <c r="Z7" s="80">
        <v>100</v>
      </c>
      <c r="AC7" t="s">
        <v>725</v>
      </c>
      <c r="AD7" t="s">
        <v>11597</v>
      </c>
      <c r="AE7" s="80" t="str">
        <f t="shared" si="5"/>
        <v>Single2 x L Brackets</v>
      </c>
      <c r="AF7" s="80">
        <v>70</v>
      </c>
      <c r="AH7" s="87" t="s">
        <v>7100</v>
      </c>
      <c r="AI7" s="87" t="s">
        <v>193</v>
      </c>
      <c r="AJ7" s="11" t="s">
        <v>160</v>
      </c>
      <c r="AK7" s="80" t="str">
        <f t="shared" si="2"/>
        <v>Designer 15 Cord DrawnBlackStraight</v>
      </c>
      <c r="AL7" s="80" t="s">
        <v>274</v>
      </c>
      <c r="AM7" s="80" t="s">
        <v>120</v>
      </c>
      <c r="AN7" s="80">
        <v>0</v>
      </c>
      <c r="AO7" s="80" t="s">
        <v>120</v>
      </c>
      <c r="AT7" t="s">
        <v>446</v>
      </c>
      <c r="AU7" t="s">
        <v>446</v>
      </c>
      <c r="AW7" t="s">
        <v>248</v>
      </c>
      <c r="AX7" t="s">
        <v>717</v>
      </c>
      <c r="AY7" t="str">
        <f t="shared" si="3"/>
        <v>Bed Sheets (Standard Fullness x 1.5)Centre Opening - Free Flowing</v>
      </c>
      <c r="AZ7" s="80">
        <v>1.5</v>
      </c>
      <c r="BA7" s="80">
        <v>400</v>
      </c>
      <c r="BC7" t="s">
        <v>451</v>
      </c>
      <c r="BE7" s="80" t="s">
        <v>5359</v>
      </c>
      <c r="BF7" s="80" t="s">
        <v>7588</v>
      </c>
      <c r="BG7" s="80">
        <v>250</v>
      </c>
      <c r="BI7" s="80" t="s">
        <v>488</v>
      </c>
      <c r="BJ7" s="80" t="s">
        <v>159</v>
      </c>
      <c r="BK7" s="80" t="s">
        <v>3528</v>
      </c>
      <c r="BL7" s="80" t="str">
        <f t="shared" si="6"/>
        <v>Wavefold Hand OperationSingle Face Fix BracketsBoth Sides</v>
      </c>
      <c r="BM7" s="80" t="s">
        <v>5682</v>
      </c>
      <c r="BO7" s="80" t="s">
        <v>487</v>
      </c>
      <c r="BP7" s="80" t="s">
        <v>692</v>
      </c>
      <c r="BQ7" s="80" t="str">
        <f t="shared" si="7"/>
        <v>Wavefold Cord OperationMatt Black Ink</v>
      </c>
      <c r="BR7" s="80" t="s">
        <v>5694</v>
      </c>
      <c r="BT7" s="80" t="s">
        <v>144</v>
      </c>
      <c r="BU7" t="s">
        <v>717</v>
      </c>
      <c r="BV7" t="str">
        <f t="shared" si="4"/>
        <v>Streamline Hand OperationCentre Opening - Free Flowing</v>
      </c>
      <c r="CC7" s="80">
        <v>2</v>
      </c>
      <c r="CH7" s="80" t="s">
        <v>3527</v>
      </c>
      <c r="CI7" s="80">
        <v>300</v>
      </c>
      <c r="CJ7" s="80">
        <v>300</v>
      </c>
      <c r="CK7" s="80">
        <v>15</v>
      </c>
      <c r="CL7" s="80">
        <v>15</v>
      </c>
      <c r="CN7" t="s">
        <v>276</v>
      </c>
      <c r="CO7" t="s">
        <v>5707</v>
      </c>
      <c r="CP7" s="25" t="str">
        <f t="shared" si="8"/>
        <v>DBS to MakeBlack Aluminium Flick Sticks 150cm</v>
      </c>
      <c r="CQ7" s="25" t="s">
        <v>120</v>
      </c>
    </row>
    <row r="8" spans="3:95" ht="16.2" customHeight="1">
      <c r="C8" t="s">
        <v>261</v>
      </c>
      <c r="D8" s="80">
        <v>50</v>
      </c>
      <c r="E8" s="80" t="s">
        <v>529</v>
      </c>
      <c r="F8" s="80">
        <v>3</v>
      </c>
      <c r="J8" s="80" t="s">
        <v>746</v>
      </c>
      <c r="K8" s="80" t="s">
        <v>146</v>
      </c>
      <c r="L8" s="80" t="s">
        <v>268</v>
      </c>
      <c r="M8" s="80" t="s">
        <v>529</v>
      </c>
      <c r="N8" t="str">
        <f t="shared" si="0"/>
        <v>Double Front29mm RodMatt Silver170mm Brackets</v>
      </c>
      <c r="O8">
        <v>20</v>
      </c>
      <c r="P8">
        <v>0</v>
      </c>
      <c r="Q8" s="80">
        <v>-100</v>
      </c>
      <c r="R8" s="80">
        <f t="shared" si="1"/>
        <v>-20</v>
      </c>
      <c r="T8" t="s">
        <v>5675</v>
      </c>
      <c r="U8" t="s">
        <v>220</v>
      </c>
      <c r="W8" t="s">
        <v>144</v>
      </c>
      <c r="X8" t="s">
        <v>138</v>
      </c>
      <c r="Y8" s="80" t="str">
        <f t="shared" si="9"/>
        <v>Streamline Hand OperationCentre Opening</v>
      </c>
      <c r="Z8" s="80">
        <v>6</v>
      </c>
      <c r="AC8" t="s">
        <v>725</v>
      </c>
      <c r="AD8" t="s">
        <v>165</v>
      </c>
      <c r="AE8" s="80" t="str">
        <f t="shared" si="5"/>
        <v>Single25mm Brackets with Acorns</v>
      </c>
      <c r="AF8" s="80">
        <v>20</v>
      </c>
      <c r="AH8" s="87" t="s">
        <v>7100</v>
      </c>
      <c r="AI8" s="87" t="s">
        <v>191</v>
      </c>
      <c r="AJ8" s="11" t="s">
        <v>160</v>
      </c>
      <c r="AK8" s="80" t="str">
        <f t="shared" si="2"/>
        <v>Designer 15 Cord DrawnWhiteStraight</v>
      </c>
      <c r="AL8" s="80" t="s">
        <v>274</v>
      </c>
      <c r="AM8" s="80" t="s">
        <v>120</v>
      </c>
      <c r="AN8" s="80">
        <v>0</v>
      </c>
      <c r="AO8" s="80" t="s">
        <v>120</v>
      </c>
      <c r="AT8" t="s">
        <v>447</v>
      </c>
      <c r="AU8" t="s">
        <v>447</v>
      </c>
      <c r="AW8" t="s">
        <v>248</v>
      </c>
      <c r="AX8" t="s">
        <v>154</v>
      </c>
      <c r="AY8" t="str">
        <f t="shared" si="3"/>
        <v>Bed Sheets (Standard Fullness x 1.5)No Movement</v>
      </c>
      <c r="AZ8" s="80">
        <v>1.5</v>
      </c>
      <c r="BA8" s="80">
        <v>200</v>
      </c>
      <c r="BC8" t="s">
        <v>452</v>
      </c>
      <c r="BE8" s="80" t="s">
        <v>5361</v>
      </c>
      <c r="BF8" s="80" t="s">
        <v>7586</v>
      </c>
      <c r="BG8" s="80">
        <v>250</v>
      </c>
      <c r="BI8" s="80" t="s">
        <v>488</v>
      </c>
      <c r="BJ8" s="80" t="s">
        <v>161</v>
      </c>
      <c r="BK8" s="80" t="s">
        <v>3528</v>
      </c>
      <c r="BL8" s="80" t="str">
        <f t="shared" si="6"/>
        <v>Wavefold Hand OperationTop Fix BracketsBoth Sides</v>
      </c>
      <c r="BM8" s="80" t="s">
        <v>5682</v>
      </c>
      <c r="BO8" s="80" t="s">
        <v>487</v>
      </c>
      <c r="BP8" s="80" t="s">
        <v>193</v>
      </c>
      <c r="BQ8" s="80" t="str">
        <f t="shared" si="7"/>
        <v>Wavefold Cord OperationBlack</v>
      </c>
      <c r="BR8" s="80" t="s">
        <v>5694</v>
      </c>
      <c r="BT8" s="80" t="s">
        <v>144</v>
      </c>
      <c r="BU8" t="s">
        <v>5903</v>
      </c>
      <c r="BV8" t="str">
        <f t="shared" si="4"/>
        <v>Streamline Hand OperationCentre Opening - Free Flowing (Offset Split)</v>
      </c>
      <c r="CC8" s="80">
        <v>2</v>
      </c>
      <c r="CH8" s="80" t="s">
        <v>391</v>
      </c>
      <c r="CI8" s="80">
        <v>0</v>
      </c>
      <c r="CJ8" s="80">
        <v>0</v>
      </c>
      <c r="CK8" s="80">
        <v>0</v>
      </c>
      <c r="CL8" s="80">
        <v>0</v>
      </c>
      <c r="CN8" t="s">
        <v>276</v>
      </c>
      <c r="CO8" t="s">
        <v>5708</v>
      </c>
      <c r="CP8" s="25" t="str">
        <f t="shared" si="8"/>
        <v>DBS to MakeMatt Satin Aluminium Flick Sticks 100cm</v>
      </c>
      <c r="CQ8" s="25" t="s">
        <v>120</v>
      </c>
    </row>
    <row r="9" spans="3:95" ht="16.2" customHeight="1">
      <c r="C9" t="s">
        <v>3661</v>
      </c>
      <c r="D9" s="80">
        <v>70</v>
      </c>
      <c r="E9" s="80" t="s">
        <v>274</v>
      </c>
      <c r="F9" s="80">
        <v>3</v>
      </c>
      <c r="J9" s="80" t="s">
        <v>747</v>
      </c>
      <c r="K9" s="80" t="s">
        <v>146</v>
      </c>
      <c r="L9" s="80" t="s">
        <v>268</v>
      </c>
      <c r="M9" s="80" t="s">
        <v>529</v>
      </c>
      <c r="N9" t="str">
        <f t="shared" si="0"/>
        <v>Double Rear29mm RodMatt Silver170mm Brackets</v>
      </c>
      <c r="O9">
        <v>20</v>
      </c>
      <c r="P9">
        <v>0</v>
      </c>
      <c r="Q9" s="80">
        <v>-100</v>
      </c>
      <c r="R9" s="80">
        <f t="shared" si="1"/>
        <v>-20</v>
      </c>
      <c r="T9" t="s">
        <v>5676</v>
      </c>
      <c r="U9" t="s">
        <v>221</v>
      </c>
      <c r="W9" t="s">
        <v>144</v>
      </c>
      <c r="X9" s="80" t="s">
        <v>717</v>
      </c>
      <c r="Y9" s="80" t="str">
        <f t="shared" si="9"/>
        <v>Streamline Hand OperationCentre Opening - Free Flowing</v>
      </c>
      <c r="Z9" s="80">
        <v>6</v>
      </c>
      <c r="AC9" t="s">
        <v>725</v>
      </c>
      <c r="AD9" t="s">
        <v>7206</v>
      </c>
      <c r="AE9" s="80" t="str">
        <f t="shared" si="5"/>
        <v>Single32mm Face Fix Brackets</v>
      </c>
      <c r="AF9" s="80">
        <v>27</v>
      </c>
      <c r="AH9" s="87" t="s">
        <v>7101</v>
      </c>
      <c r="AI9" s="87" t="s">
        <v>193</v>
      </c>
      <c r="AJ9" s="11" t="s">
        <v>160</v>
      </c>
      <c r="AK9" s="80" t="str">
        <f t="shared" si="2"/>
        <v>Designer 15 Hand DrawnBlackStraight</v>
      </c>
      <c r="AL9" s="80" t="s">
        <v>274</v>
      </c>
      <c r="AM9" s="80" t="s">
        <v>120</v>
      </c>
      <c r="AN9" s="80">
        <v>0</v>
      </c>
      <c r="AO9" s="80" t="s">
        <v>120</v>
      </c>
      <c r="AT9" t="s">
        <v>448</v>
      </c>
      <c r="AU9" t="s">
        <v>448</v>
      </c>
      <c r="AW9" s="80" t="s">
        <v>248</v>
      </c>
      <c r="AX9" s="80" t="s">
        <v>5903</v>
      </c>
      <c r="AY9" t="str">
        <f t="shared" si="3"/>
        <v>Bed Sheets (Standard Fullness x 1.5)Centre Opening - Free Flowing (Offset Split)</v>
      </c>
      <c r="AZ9" s="80">
        <v>1.5</v>
      </c>
      <c r="BA9" s="80">
        <v>200</v>
      </c>
      <c r="BC9" t="s">
        <v>453</v>
      </c>
      <c r="BE9" s="80" t="s">
        <v>5362</v>
      </c>
      <c r="BF9" s="80" t="s">
        <v>7587</v>
      </c>
      <c r="BG9" s="80">
        <v>250</v>
      </c>
      <c r="BI9" s="80" t="s">
        <v>488</v>
      </c>
      <c r="BJ9" s="80" t="s">
        <v>553</v>
      </c>
      <c r="BK9" s="80" t="s">
        <v>3528</v>
      </c>
      <c r="BL9" s="80" t="str">
        <f t="shared" si="6"/>
        <v>Wavefold Hand OperationTriple Face Fix BracketsBoth Sides</v>
      </c>
      <c r="BM9" s="80" t="s">
        <v>5682</v>
      </c>
      <c r="BO9" s="80" t="s">
        <v>487</v>
      </c>
      <c r="BP9" s="80" t="s">
        <v>357</v>
      </c>
      <c r="BQ9" s="80" t="str">
        <f t="shared" si="7"/>
        <v>Wavefold Cord OperationMatt Satin</v>
      </c>
      <c r="BR9" s="80" t="s">
        <v>7211</v>
      </c>
      <c r="BT9" s="80" t="s">
        <v>144</v>
      </c>
      <c r="BU9" t="s">
        <v>5902</v>
      </c>
      <c r="BV9" t="str">
        <f t="shared" si="4"/>
        <v>Streamline Hand OperationCentre Opening (Offset Split)</v>
      </c>
      <c r="CC9" s="80">
        <v>2</v>
      </c>
      <c r="CN9" t="s">
        <v>276</v>
      </c>
      <c r="CO9" t="s">
        <v>5709</v>
      </c>
      <c r="CP9" s="25" t="str">
        <f t="shared" si="8"/>
        <v>DBS to MakeMatt Satin Aluminium Flick Sticks 125cm</v>
      </c>
      <c r="CQ9" s="25" t="s">
        <v>120</v>
      </c>
    </row>
    <row r="10" spans="3:95" ht="16.2" customHeight="1">
      <c r="C10" t="s">
        <v>3663</v>
      </c>
      <c r="D10" s="80">
        <v>80</v>
      </c>
      <c r="E10" s="80" t="s">
        <v>464</v>
      </c>
      <c r="F10" s="80">
        <v>3</v>
      </c>
      <c r="J10" s="80" t="s">
        <v>725</v>
      </c>
      <c r="K10" s="80" t="s">
        <v>146</v>
      </c>
      <c r="L10" s="80" t="s">
        <v>268</v>
      </c>
      <c r="M10" s="80" t="s">
        <v>529</v>
      </c>
      <c r="N10" t="str">
        <f t="shared" si="0"/>
        <v>Single29mm RodMatt Silver170mm Brackets</v>
      </c>
      <c r="O10">
        <v>20</v>
      </c>
      <c r="P10">
        <v>0</v>
      </c>
      <c r="Q10" s="80">
        <v>-100</v>
      </c>
      <c r="R10" s="80">
        <f t="shared" si="1"/>
        <v>-20</v>
      </c>
      <c r="T10" t="s">
        <v>5677</v>
      </c>
      <c r="U10">
        <v>50</v>
      </c>
      <c r="W10" t="s">
        <v>144</v>
      </c>
      <c r="X10" s="80" t="s">
        <v>5902</v>
      </c>
      <c r="Y10" s="80" t="str">
        <f>CONCATENATE(W10,X10)</f>
        <v>Streamline Hand OperationCentre Opening (Offset Split)</v>
      </c>
      <c r="Z10" s="80">
        <v>6</v>
      </c>
      <c r="AC10" t="s">
        <v>725</v>
      </c>
      <c r="AD10" t="s">
        <v>11598</v>
      </c>
      <c r="AE10" s="80" t="str">
        <f t="shared" si="5"/>
        <v>SingleBoldtrak Standard 145mm Bracket</v>
      </c>
      <c r="AF10" s="80">
        <v>145</v>
      </c>
      <c r="AH10" s="87" t="s">
        <v>7101</v>
      </c>
      <c r="AI10" s="87" t="s">
        <v>191</v>
      </c>
      <c r="AJ10" s="11" t="s">
        <v>160</v>
      </c>
      <c r="AK10" s="80" t="str">
        <f t="shared" si="2"/>
        <v>Designer 15 Hand DrawnWhiteStraight</v>
      </c>
      <c r="AL10" s="80" t="s">
        <v>274</v>
      </c>
      <c r="AM10" s="80" t="s">
        <v>120</v>
      </c>
      <c r="AN10" s="80">
        <v>0</v>
      </c>
      <c r="AO10" s="80" t="s">
        <v>120</v>
      </c>
      <c r="AT10" t="s">
        <v>449</v>
      </c>
      <c r="AU10" t="s">
        <v>449</v>
      </c>
      <c r="AW10" t="s">
        <v>5456</v>
      </c>
      <c r="AX10" t="s">
        <v>138</v>
      </c>
      <c r="AY10" t="str">
        <f t="shared" si="3"/>
        <v>Double Pinch Pleat (Extra Fullness x 2.3)Centre Opening</v>
      </c>
      <c r="AZ10" s="80">
        <v>2.3</v>
      </c>
      <c r="BA10" s="80">
        <v>400</v>
      </c>
      <c r="BC10" t="s">
        <v>454</v>
      </c>
      <c r="BE10" s="80" t="s">
        <v>5363</v>
      </c>
      <c r="BF10" s="80" t="s">
        <v>7589</v>
      </c>
      <c r="BG10" s="80">
        <v>250</v>
      </c>
      <c r="BI10" s="80" t="s">
        <v>487</v>
      </c>
      <c r="BJ10" s="80" t="s">
        <v>162</v>
      </c>
      <c r="BK10" s="80" t="s">
        <v>3593</v>
      </c>
      <c r="BL10" s="80" t="str">
        <f t="shared" si="6"/>
        <v>Wavefold Cord OperationDouble Face Fix BracketsLeft Only</v>
      </c>
      <c r="BM10" s="80" t="s">
        <v>5680</v>
      </c>
      <c r="BO10" s="80" t="s">
        <v>144</v>
      </c>
      <c r="BP10" s="80" t="s">
        <v>191</v>
      </c>
      <c r="BQ10" s="80" t="str">
        <f t="shared" si="7"/>
        <v>Streamline Hand OperationWhite</v>
      </c>
      <c r="BR10" s="80" t="s">
        <v>5695</v>
      </c>
      <c r="BT10" s="80" t="s">
        <v>144</v>
      </c>
      <c r="BU10" t="s">
        <v>154</v>
      </c>
      <c r="BV10" t="str">
        <f t="shared" si="4"/>
        <v>Streamline Hand OperationNo Movement</v>
      </c>
      <c r="CC10" s="80">
        <v>2</v>
      </c>
      <c r="CN10" t="s">
        <v>276</v>
      </c>
      <c r="CO10" t="s">
        <v>5710</v>
      </c>
      <c r="CP10" s="25" t="str">
        <f t="shared" si="8"/>
        <v>DBS to MakeMatt Satin Aluminium Flick Sticks 150cm</v>
      </c>
      <c r="CQ10" s="25" t="s">
        <v>120</v>
      </c>
    </row>
    <row r="11" spans="3:95" ht="16.2" customHeight="1">
      <c r="C11" t="s">
        <v>3660</v>
      </c>
      <c r="D11" s="80">
        <v>160</v>
      </c>
      <c r="J11" s="80" t="s">
        <v>746</v>
      </c>
      <c r="K11" s="80" t="s">
        <v>146</v>
      </c>
      <c r="L11" s="80" t="s">
        <v>429</v>
      </c>
      <c r="M11" s="80" t="s">
        <v>529</v>
      </c>
      <c r="N11" t="str">
        <f t="shared" si="0"/>
        <v>Double Front29mm RodPewter170mm Brackets</v>
      </c>
      <c r="O11">
        <v>20</v>
      </c>
      <c r="P11">
        <v>0</v>
      </c>
      <c r="Q11" s="80">
        <v>-100</v>
      </c>
      <c r="R11" s="80">
        <f t="shared" si="1"/>
        <v>-20</v>
      </c>
      <c r="T11" t="s">
        <v>284</v>
      </c>
      <c r="U11">
        <v>300</v>
      </c>
      <c r="W11" t="s">
        <v>144</v>
      </c>
      <c r="X11" s="80" t="s">
        <v>5903</v>
      </c>
      <c r="Y11" s="80" t="str">
        <f t="shared" si="9"/>
        <v>Streamline Hand OperationCentre Opening - Free Flowing (Offset Split)</v>
      </c>
      <c r="Z11" s="80">
        <v>6</v>
      </c>
      <c r="AC11" t="s">
        <v>725</v>
      </c>
      <c r="AD11" t="s">
        <v>423</v>
      </c>
      <c r="AE11" s="80" t="str">
        <f t="shared" si="5"/>
        <v>SingleBoldtrak Standard 60mm Bracket</v>
      </c>
      <c r="AF11" s="80">
        <v>60</v>
      </c>
      <c r="AH11" s="87" t="s">
        <v>7102</v>
      </c>
      <c r="AI11" s="87" t="s">
        <v>193</v>
      </c>
      <c r="AJ11" s="11" t="s">
        <v>160</v>
      </c>
      <c r="AK11" s="80" t="str">
        <f t="shared" si="2"/>
        <v>Designer 15 S-Fold Cord DrawnBlackStraight</v>
      </c>
      <c r="AL11" s="80" t="s">
        <v>274</v>
      </c>
      <c r="AM11" s="80" t="s">
        <v>120</v>
      </c>
      <c r="AN11" s="80">
        <v>0</v>
      </c>
      <c r="AO11" s="80" t="s">
        <v>181</v>
      </c>
      <c r="AT11" t="s">
        <v>450</v>
      </c>
      <c r="AU11" t="s">
        <v>450</v>
      </c>
      <c r="AW11" t="s">
        <v>5456</v>
      </c>
      <c r="AX11" t="s">
        <v>5902</v>
      </c>
      <c r="AY11" t="str">
        <f t="shared" si="3"/>
        <v>Double Pinch Pleat (Extra Fullness x 2.3)Centre Opening (Offset Split)</v>
      </c>
      <c r="AZ11" s="80">
        <v>2.3</v>
      </c>
      <c r="BA11" s="80">
        <v>400</v>
      </c>
      <c r="BC11" t="s">
        <v>455</v>
      </c>
      <c r="BE11" s="86" t="s">
        <v>146</v>
      </c>
      <c r="BF11" s="86" t="s">
        <v>146</v>
      </c>
      <c r="BG11" s="86" t="s">
        <v>403</v>
      </c>
      <c r="BI11" s="80" t="s">
        <v>487</v>
      </c>
      <c r="BJ11" s="80" t="s">
        <v>159</v>
      </c>
      <c r="BK11" s="80" t="s">
        <v>3593</v>
      </c>
      <c r="BL11" s="80" t="str">
        <f t="shared" si="6"/>
        <v>Wavefold Cord OperationSingle Face Fix BracketsLeft Only</v>
      </c>
      <c r="BM11" s="80" t="s">
        <v>5680</v>
      </c>
      <c r="BO11" s="80" t="s">
        <v>144</v>
      </c>
      <c r="BP11" s="80" t="s">
        <v>692</v>
      </c>
      <c r="BQ11" s="80" t="str">
        <f t="shared" si="7"/>
        <v>Streamline Hand OperationMatt Black Ink</v>
      </c>
      <c r="BR11" s="80" t="s">
        <v>5696</v>
      </c>
      <c r="BT11" s="80" t="s">
        <v>144</v>
      </c>
      <c r="BU11" t="s">
        <v>143</v>
      </c>
      <c r="BV11" t="str">
        <f t="shared" si="4"/>
        <v>Streamline Hand OperationSingle Panel - Free Flowing</v>
      </c>
      <c r="CC11" s="80">
        <v>2</v>
      </c>
      <c r="CK11" s="25"/>
      <c r="CN11" t="s">
        <v>276</v>
      </c>
      <c r="CO11" t="s">
        <v>7471</v>
      </c>
      <c r="CP11" s="25" t="str">
        <f t="shared" si="8"/>
        <v>DBS to MakeStandard Clear 75cm</v>
      </c>
      <c r="CQ11" s="25" t="s">
        <v>120</v>
      </c>
    </row>
    <row r="12" spans="3:95" ht="16.2" customHeight="1">
      <c r="C12" t="s">
        <v>3662</v>
      </c>
      <c r="D12" s="80">
        <v>170</v>
      </c>
      <c r="J12" s="80" t="s">
        <v>747</v>
      </c>
      <c r="K12" s="80" t="s">
        <v>146</v>
      </c>
      <c r="L12" s="80" t="s">
        <v>429</v>
      </c>
      <c r="M12" s="80" t="s">
        <v>529</v>
      </c>
      <c r="N12" t="str">
        <f t="shared" si="0"/>
        <v>Double Rear29mm RodPewter170mm Brackets</v>
      </c>
      <c r="O12">
        <v>20</v>
      </c>
      <c r="P12">
        <v>0</v>
      </c>
      <c r="Q12" s="80">
        <v>-100</v>
      </c>
      <c r="R12" s="80">
        <f t="shared" si="1"/>
        <v>-20</v>
      </c>
      <c r="T12" t="s">
        <v>572</v>
      </c>
      <c r="U12" s="80">
        <v>-20</v>
      </c>
      <c r="W12" t="s">
        <v>144</v>
      </c>
      <c r="X12" t="s">
        <v>141</v>
      </c>
      <c r="Y12" s="80" t="str">
        <f t="shared" si="9"/>
        <v>Streamline Hand OperationSingle Panel - Left Stacking</v>
      </c>
      <c r="Z12" s="80">
        <v>6</v>
      </c>
      <c r="AC12" t="s">
        <v>725</v>
      </c>
      <c r="AD12" t="s">
        <v>438</v>
      </c>
      <c r="AE12" s="80" t="str">
        <f t="shared" si="5"/>
        <v>SingleBoldtrak Top Fix Bracket</v>
      </c>
      <c r="AF12" s="80">
        <v>75</v>
      </c>
      <c r="AH12" s="87" t="s">
        <v>7102</v>
      </c>
      <c r="AI12" s="87" t="s">
        <v>191</v>
      </c>
      <c r="AJ12" s="11" t="s">
        <v>160</v>
      </c>
      <c r="AK12" s="80" t="str">
        <f t="shared" si="2"/>
        <v>Designer 15 S-Fold Cord DrawnWhiteStraight</v>
      </c>
      <c r="AL12" s="80" t="s">
        <v>274</v>
      </c>
      <c r="AM12" s="80" t="s">
        <v>120</v>
      </c>
      <c r="AN12" s="80">
        <v>0</v>
      </c>
      <c r="AO12" s="80" t="s">
        <v>181</v>
      </c>
      <c r="AT12" t="s">
        <v>451</v>
      </c>
      <c r="AU12" t="s">
        <v>451</v>
      </c>
      <c r="AW12" t="s">
        <v>5456</v>
      </c>
      <c r="AX12" t="s">
        <v>141</v>
      </c>
      <c r="AY12" t="str">
        <f t="shared" si="3"/>
        <v>Double Pinch Pleat (Extra Fullness x 2.3)Single Panel - Left Stacking</v>
      </c>
      <c r="AZ12" s="80">
        <v>2.3</v>
      </c>
      <c r="BA12" s="80">
        <v>200</v>
      </c>
      <c r="BC12" t="s">
        <v>456</v>
      </c>
      <c r="BE12" s="86" t="s">
        <v>145</v>
      </c>
      <c r="BF12" s="86" t="s">
        <v>145</v>
      </c>
      <c r="BG12" s="86" t="s">
        <v>403</v>
      </c>
      <c r="BI12" s="80" t="s">
        <v>487</v>
      </c>
      <c r="BJ12" s="80" t="s">
        <v>161</v>
      </c>
      <c r="BK12" s="80" t="s">
        <v>3593</v>
      </c>
      <c r="BL12" s="80" t="str">
        <f t="shared" si="6"/>
        <v>Wavefold Cord OperationTop Fix BracketsLeft Only</v>
      </c>
      <c r="BM12" s="80" t="s">
        <v>5680</v>
      </c>
      <c r="BO12" s="80" t="s">
        <v>144</v>
      </c>
      <c r="BP12" s="80" t="s">
        <v>275</v>
      </c>
      <c r="BQ12" s="80" t="str">
        <f>CONCATENATE(BO12,BP12)</f>
        <v>Streamline Hand OperationBirch White</v>
      </c>
      <c r="BR12" s="80" t="s">
        <v>5779</v>
      </c>
      <c r="BT12" s="80" t="s">
        <v>144</v>
      </c>
      <c r="BU12" t="s">
        <v>141</v>
      </c>
      <c r="BV12" t="str">
        <f t="shared" si="4"/>
        <v>Streamline Hand OperationSingle Panel - Left Stacking</v>
      </c>
      <c r="CC12" s="80">
        <v>2</v>
      </c>
      <c r="CK12" s="25"/>
      <c r="CN12" t="s">
        <v>276</v>
      </c>
      <c r="CO12" t="s">
        <v>7472</v>
      </c>
      <c r="CP12" s="25" t="str">
        <f t="shared" si="8"/>
        <v>DBS to MakeStandard Clear 100cm</v>
      </c>
      <c r="CQ12" s="25" t="s">
        <v>120</v>
      </c>
    </row>
    <row r="13" spans="3:95" ht="16.2" customHeight="1">
      <c r="C13" t="s">
        <v>270</v>
      </c>
      <c r="D13" s="80">
        <v>160</v>
      </c>
      <c r="J13" s="80" t="s">
        <v>725</v>
      </c>
      <c r="K13" s="80" t="s">
        <v>146</v>
      </c>
      <c r="L13" s="80" t="s">
        <v>429</v>
      </c>
      <c r="M13" s="80" t="s">
        <v>529</v>
      </c>
      <c r="N13" t="str">
        <f t="shared" si="0"/>
        <v>Single29mm RodPewter170mm Brackets</v>
      </c>
      <c r="O13">
        <v>20</v>
      </c>
      <c r="P13">
        <v>0</v>
      </c>
      <c r="Q13" s="80">
        <v>-100</v>
      </c>
      <c r="R13" s="80">
        <f t="shared" si="1"/>
        <v>-20</v>
      </c>
      <c r="T13" t="s">
        <v>573</v>
      </c>
      <c r="U13" t="s">
        <v>281</v>
      </c>
      <c r="W13" t="s">
        <v>144</v>
      </c>
      <c r="X13" t="s">
        <v>142</v>
      </c>
      <c r="Y13" s="80" t="str">
        <f t="shared" si="9"/>
        <v>Streamline Hand OperationSingle Panel - Right Stacking</v>
      </c>
      <c r="Z13" s="80">
        <v>6</v>
      </c>
      <c r="AC13" t="s">
        <v>725</v>
      </c>
      <c r="AD13" t="s">
        <v>11599</v>
      </c>
      <c r="AE13" s="80" t="str">
        <f t="shared" si="5"/>
        <v>SingleBoldtrak Top Fix Suspension Bracket</v>
      </c>
      <c r="AF13" s="80">
        <v>75</v>
      </c>
      <c r="AH13" s="87" t="s">
        <v>7103</v>
      </c>
      <c r="AI13" s="87" t="s">
        <v>193</v>
      </c>
      <c r="AJ13" s="11" t="s">
        <v>160</v>
      </c>
      <c r="AK13" s="80" t="str">
        <f t="shared" si="2"/>
        <v>Designer 15 S-Fold Hand DrawnBlackStraight</v>
      </c>
      <c r="AL13" s="80" t="s">
        <v>274</v>
      </c>
      <c r="AM13" s="80" t="s">
        <v>120</v>
      </c>
      <c r="AN13" s="80">
        <v>0</v>
      </c>
      <c r="AO13" s="80" t="s">
        <v>181</v>
      </c>
      <c r="AT13" t="s">
        <v>452</v>
      </c>
      <c r="AU13" t="s">
        <v>452</v>
      </c>
      <c r="AW13" t="s">
        <v>5456</v>
      </c>
      <c r="AX13" t="s">
        <v>142</v>
      </c>
      <c r="AY13" t="str">
        <f t="shared" si="3"/>
        <v>Double Pinch Pleat (Extra Fullness x 2.3)Single Panel - Right Stacking</v>
      </c>
      <c r="AZ13" s="80">
        <v>2.3</v>
      </c>
      <c r="BA13" s="80">
        <v>200</v>
      </c>
      <c r="BC13" t="s">
        <v>457</v>
      </c>
      <c r="BE13" s="86" t="s">
        <v>392</v>
      </c>
      <c r="BF13" s="86" t="s">
        <v>7583</v>
      </c>
      <c r="BG13" s="86" t="s">
        <v>403</v>
      </c>
      <c r="BI13" s="80" t="s">
        <v>487</v>
      </c>
      <c r="BJ13" s="80" t="s">
        <v>553</v>
      </c>
      <c r="BK13" s="80" t="s">
        <v>3593</v>
      </c>
      <c r="BL13" s="80" t="str">
        <f t="shared" si="6"/>
        <v>Wavefold Cord OperationTriple Face Fix BracketsLeft Only</v>
      </c>
      <c r="BM13" s="80" t="s">
        <v>5680</v>
      </c>
      <c r="BO13" s="80" t="s">
        <v>144</v>
      </c>
      <c r="BP13" s="80" t="s">
        <v>357</v>
      </c>
      <c r="BQ13" s="80" t="str">
        <f>CONCATENATE(BO13,BP13)</f>
        <v>Streamline Hand OperationMatt Satin</v>
      </c>
      <c r="BR13" s="80" t="s">
        <v>11649</v>
      </c>
      <c r="BT13" s="80" t="s">
        <v>144</v>
      </c>
      <c r="BU13" t="s">
        <v>142</v>
      </c>
      <c r="BV13" t="str">
        <f t="shared" si="4"/>
        <v>Streamline Hand OperationSingle Panel - Right Stacking</v>
      </c>
      <c r="CC13" s="80">
        <v>2</v>
      </c>
      <c r="CK13" s="25"/>
      <c r="CN13" t="s">
        <v>276</v>
      </c>
      <c r="CO13" t="s">
        <v>7473</v>
      </c>
      <c r="CP13" s="25" t="str">
        <f t="shared" si="8"/>
        <v>DBS to MakeStandard Clear 125cm</v>
      </c>
      <c r="CQ13" s="25" t="s">
        <v>120</v>
      </c>
    </row>
    <row r="14" spans="3:95" ht="16.2" customHeight="1">
      <c r="C14" s="80" t="s">
        <v>617</v>
      </c>
      <c r="D14" s="80">
        <v>70</v>
      </c>
      <c r="J14" s="80" t="s">
        <v>746</v>
      </c>
      <c r="K14" s="80" t="s">
        <v>145</v>
      </c>
      <c r="L14" t="s">
        <v>185</v>
      </c>
      <c r="M14" t="s">
        <v>166</v>
      </c>
      <c r="N14" t="str">
        <f t="shared" si="0"/>
        <v>Double FrontConduitNo Hooks100mm Unstayed Brackets with Acorns</v>
      </c>
      <c r="O14">
        <v>0</v>
      </c>
      <c r="P14">
        <v>0</v>
      </c>
      <c r="Q14" s="80">
        <v>-70</v>
      </c>
      <c r="R14" s="80">
        <f t="shared" si="1"/>
        <v>0</v>
      </c>
      <c r="T14" t="s">
        <v>578</v>
      </c>
      <c r="U14">
        <v>-50</v>
      </c>
      <c r="W14" t="s">
        <v>144</v>
      </c>
      <c r="X14" t="s">
        <v>143</v>
      </c>
      <c r="Y14" s="80" t="str">
        <f t="shared" si="9"/>
        <v>Streamline Hand OperationSingle Panel - Free Flowing</v>
      </c>
      <c r="Z14" s="80">
        <v>6</v>
      </c>
      <c r="AC14" t="s">
        <v>725</v>
      </c>
      <c r="AD14" t="s">
        <v>557</v>
      </c>
      <c r="AE14" s="80" t="str">
        <f t="shared" si="5"/>
        <v>SingleMetal Top Fix Brackets</v>
      </c>
      <c r="AF14" s="80">
        <v>65</v>
      </c>
      <c r="AH14" s="87" t="s">
        <v>7103</v>
      </c>
      <c r="AI14" s="87" t="s">
        <v>191</v>
      </c>
      <c r="AJ14" s="11" t="s">
        <v>160</v>
      </c>
      <c r="AK14" s="80" t="str">
        <f t="shared" si="2"/>
        <v>Designer 15 S-Fold Hand DrawnWhiteStraight</v>
      </c>
      <c r="AL14" s="80" t="s">
        <v>274</v>
      </c>
      <c r="AM14" s="80" t="s">
        <v>120</v>
      </c>
      <c r="AN14" s="80">
        <v>0</v>
      </c>
      <c r="AO14" s="80" t="s">
        <v>181</v>
      </c>
      <c r="AT14" t="s">
        <v>453</v>
      </c>
      <c r="AU14" t="s">
        <v>453</v>
      </c>
      <c r="AW14" t="s">
        <v>5456</v>
      </c>
      <c r="AX14" t="s">
        <v>143</v>
      </c>
      <c r="AY14" t="str">
        <f t="shared" si="3"/>
        <v>Double Pinch Pleat (Extra Fullness x 2.3)Single Panel - Free Flowing</v>
      </c>
      <c r="AZ14" s="80">
        <v>2.3</v>
      </c>
      <c r="BA14" s="80">
        <v>200</v>
      </c>
      <c r="BC14" t="s">
        <v>458</v>
      </c>
      <c r="BE14" s="87" t="s">
        <v>7100</v>
      </c>
      <c r="BF14" s="87" t="s">
        <v>7100</v>
      </c>
      <c r="BG14" s="86" t="s">
        <v>403</v>
      </c>
      <c r="BI14" s="80" t="s">
        <v>488</v>
      </c>
      <c r="BJ14" s="80" t="s">
        <v>162</v>
      </c>
      <c r="BK14" s="80" t="s">
        <v>3593</v>
      </c>
      <c r="BL14" s="80" t="str">
        <f t="shared" si="6"/>
        <v>Wavefold Hand OperationDouble Face Fix BracketsLeft Only</v>
      </c>
      <c r="BM14" s="80" t="s">
        <v>5680</v>
      </c>
      <c r="BO14" s="80" t="s">
        <v>132</v>
      </c>
      <c r="BP14" s="80" t="s">
        <v>191</v>
      </c>
      <c r="BQ14" s="80" t="str">
        <f t="shared" si="7"/>
        <v>Streamline Cord OperationWhite</v>
      </c>
      <c r="BR14" s="80" t="s">
        <v>5695</v>
      </c>
      <c r="BT14" s="80" t="s">
        <v>371</v>
      </c>
      <c r="BU14" t="s">
        <v>138</v>
      </c>
      <c r="BV14" t="str">
        <f t="shared" si="4"/>
        <v>System 20 Light Commercial Track Cord DrawnCentre Opening</v>
      </c>
      <c r="BW14" s="80">
        <v>1</v>
      </c>
      <c r="BX14" s="80">
        <v>1</v>
      </c>
      <c r="CK14" s="25"/>
      <c r="CN14" t="s">
        <v>276</v>
      </c>
      <c r="CO14" t="s">
        <v>7474</v>
      </c>
      <c r="CP14" s="25" t="str">
        <f t="shared" si="8"/>
        <v>DBS to MakeStandard Clear 150cm</v>
      </c>
      <c r="CQ14" s="25" t="s">
        <v>120</v>
      </c>
    </row>
    <row r="15" spans="3:95" ht="16.2" customHeight="1">
      <c r="C15" t="s">
        <v>3673</v>
      </c>
      <c r="D15" s="80">
        <v>70</v>
      </c>
      <c r="J15" s="80" t="s">
        <v>747</v>
      </c>
      <c r="K15" s="80" t="s">
        <v>145</v>
      </c>
      <c r="L15" t="s">
        <v>185</v>
      </c>
      <c r="M15" t="s">
        <v>166</v>
      </c>
      <c r="N15" t="str">
        <f t="shared" si="0"/>
        <v>Double RearConduitNo Hooks100mm Unstayed Brackets with Acorns</v>
      </c>
      <c r="O15">
        <v>0</v>
      </c>
      <c r="P15">
        <v>0</v>
      </c>
      <c r="Q15" s="80">
        <v>-70</v>
      </c>
      <c r="R15" s="80">
        <f t="shared" si="1"/>
        <v>0</v>
      </c>
      <c r="T15" t="s">
        <v>285</v>
      </c>
      <c r="U15" t="s">
        <v>222</v>
      </c>
      <c r="W15" t="s">
        <v>144</v>
      </c>
      <c r="X15" s="80" t="s">
        <v>154</v>
      </c>
      <c r="Y15" s="80" t="str">
        <f t="shared" si="9"/>
        <v>Streamline Hand OperationNo Movement</v>
      </c>
      <c r="Z15" s="80">
        <v>6</v>
      </c>
      <c r="AC15" t="s">
        <v>725</v>
      </c>
      <c r="AD15" t="s">
        <v>163</v>
      </c>
      <c r="AE15" s="80" t="str">
        <f t="shared" si="5"/>
        <v>SingleMuslin Brackets</v>
      </c>
      <c r="AF15" s="80">
        <v>10</v>
      </c>
      <c r="AH15" s="87" t="s">
        <v>7099</v>
      </c>
      <c r="AI15" s="87" t="s">
        <v>193</v>
      </c>
      <c r="AJ15" s="11" t="s">
        <v>160</v>
      </c>
      <c r="AK15" s="80" t="str">
        <f t="shared" si="2"/>
        <v>Designer 15 Wavefold Cord DrawnBlackStraight</v>
      </c>
      <c r="AL15" s="80" t="s">
        <v>274</v>
      </c>
      <c r="AM15" s="80" t="s">
        <v>120</v>
      </c>
      <c r="AN15" s="80">
        <v>0</v>
      </c>
      <c r="AO15" s="80" t="s">
        <v>181</v>
      </c>
      <c r="AT15" t="s">
        <v>454</v>
      </c>
      <c r="AU15" t="s">
        <v>454</v>
      </c>
      <c r="AW15" t="s">
        <v>5456</v>
      </c>
      <c r="AX15" t="s">
        <v>717</v>
      </c>
      <c r="AY15" t="str">
        <f t="shared" si="3"/>
        <v>Double Pinch Pleat (Extra Fullness x 2.3)Centre Opening - Free Flowing</v>
      </c>
      <c r="AZ15" s="80">
        <v>2.3</v>
      </c>
      <c r="BA15" s="80">
        <v>400</v>
      </c>
      <c r="BC15" t="s">
        <v>459</v>
      </c>
      <c r="BE15" s="87" t="s">
        <v>7101</v>
      </c>
      <c r="BF15" s="87" t="s">
        <v>7101</v>
      </c>
      <c r="BG15" s="86" t="s">
        <v>403</v>
      </c>
      <c r="BI15" s="80" t="s">
        <v>488</v>
      </c>
      <c r="BJ15" s="80" t="s">
        <v>159</v>
      </c>
      <c r="BK15" s="80" t="s">
        <v>3593</v>
      </c>
      <c r="BL15" s="80" t="str">
        <f t="shared" si="6"/>
        <v>Wavefold Hand OperationSingle Face Fix BracketsLeft Only</v>
      </c>
      <c r="BM15" s="80" t="s">
        <v>5680</v>
      </c>
      <c r="BO15" s="80" t="s">
        <v>132</v>
      </c>
      <c r="BP15" s="80" t="s">
        <v>692</v>
      </c>
      <c r="BQ15" s="80" t="str">
        <f t="shared" si="7"/>
        <v>Streamline Cord OperationMatt Black Ink</v>
      </c>
      <c r="BR15" s="80" t="s">
        <v>5696</v>
      </c>
      <c r="BT15" s="80" t="s">
        <v>371</v>
      </c>
      <c r="BU15" t="s">
        <v>141</v>
      </c>
      <c r="BV15" t="str">
        <f t="shared" si="4"/>
        <v>System 20 Light Commercial Track Cord DrawnSingle Panel - Left Stacking</v>
      </c>
      <c r="BX15" s="80">
        <v>1</v>
      </c>
      <c r="BY15" s="80">
        <v>1</v>
      </c>
      <c r="BZ15" s="80">
        <v>1</v>
      </c>
      <c r="CK15" s="25"/>
      <c r="CN15" t="s">
        <v>276</v>
      </c>
      <c r="CO15" t="s">
        <v>5715</v>
      </c>
      <c r="CP15" s="25" t="str">
        <f t="shared" si="8"/>
        <v>DBS to MakeWhite Fibreglass 200cm</v>
      </c>
      <c r="CQ15" s="25" t="s">
        <v>120</v>
      </c>
    </row>
    <row r="16" spans="3:95" ht="16.2" customHeight="1">
      <c r="C16" t="s">
        <v>3687</v>
      </c>
      <c r="D16" s="80">
        <v>80</v>
      </c>
      <c r="J16" s="80" t="s">
        <v>725</v>
      </c>
      <c r="K16" s="80" t="s">
        <v>145</v>
      </c>
      <c r="L16" t="s">
        <v>185</v>
      </c>
      <c r="M16" t="s">
        <v>166</v>
      </c>
      <c r="N16" t="str">
        <f t="shared" si="0"/>
        <v>SingleConduitNo Hooks100mm Unstayed Brackets with Acorns</v>
      </c>
      <c r="O16">
        <v>0</v>
      </c>
      <c r="P16">
        <v>0</v>
      </c>
      <c r="Q16" s="80">
        <v>-70</v>
      </c>
      <c r="R16" s="80">
        <f t="shared" si="1"/>
        <v>0</v>
      </c>
      <c r="T16" t="s">
        <v>4235</v>
      </c>
      <c r="U16">
        <v>-120</v>
      </c>
      <c r="W16" t="s">
        <v>145</v>
      </c>
      <c r="X16" s="80" t="s">
        <v>138</v>
      </c>
      <c r="Y16" s="80" t="str">
        <f>CONCATENATE(W16,X16)</f>
        <v>ConduitCentre Opening</v>
      </c>
      <c r="Z16" s="80">
        <v>0</v>
      </c>
      <c r="AC16" t="s">
        <v>725</v>
      </c>
      <c r="AD16" t="s">
        <v>402</v>
      </c>
      <c r="AE16" s="80" t="str">
        <f t="shared" si="5"/>
        <v>SingleMuslin Brackets Top and Bottom</v>
      </c>
      <c r="AF16" s="80">
        <v>10</v>
      </c>
      <c r="AH16" s="87" t="s">
        <v>7099</v>
      </c>
      <c r="AI16" s="87" t="s">
        <v>191</v>
      </c>
      <c r="AJ16" s="11" t="s">
        <v>160</v>
      </c>
      <c r="AK16" s="80" t="str">
        <f t="shared" si="2"/>
        <v>Designer 15 Wavefold Cord DrawnWhiteStraight</v>
      </c>
      <c r="AL16" s="80" t="s">
        <v>274</v>
      </c>
      <c r="AM16" s="80" t="s">
        <v>120</v>
      </c>
      <c r="AN16" s="80">
        <v>0</v>
      </c>
      <c r="AO16" s="80" t="s">
        <v>181</v>
      </c>
      <c r="AT16" t="s">
        <v>455</v>
      </c>
      <c r="AU16" t="s">
        <v>455</v>
      </c>
      <c r="AW16" t="s">
        <v>5456</v>
      </c>
      <c r="AX16" t="s">
        <v>154</v>
      </c>
      <c r="AY16" t="str">
        <f t="shared" si="3"/>
        <v>Double Pinch Pleat (Extra Fullness x 2.3)No Movement</v>
      </c>
      <c r="AZ16" s="80">
        <v>2.3</v>
      </c>
      <c r="BA16" s="80">
        <v>200</v>
      </c>
      <c r="BC16" t="s">
        <v>460</v>
      </c>
      <c r="BE16" s="87" t="s">
        <v>7102</v>
      </c>
      <c r="BF16" s="87" t="s">
        <v>7102</v>
      </c>
      <c r="BG16" s="86" t="s">
        <v>403</v>
      </c>
      <c r="BI16" s="80" t="s">
        <v>488</v>
      </c>
      <c r="BJ16" s="80" t="s">
        <v>161</v>
      </c>
      <c r="BK16" s="80" t="s">
        <v>3593</v>
      </c>
      <c r="BL16" s="80" t="str">
        <f t="shared" si="6"/>
        <v>Wavefold Hand OperationTop Fix BracketsLeft Only</v>
      </c>
      <c r="BM16" s="80" t="s">
        <v>5680</v>
      </c>
      <c r="BO16" s="80" t="s">
        <v>132</v>
      </c>
      <c r="BP16" s="80" t="s">
        <v>275</v>
      </c>
      <c r="BQ16" s="80" t="str">
        <f t="shared" si="11" ref="BQ16:BQ23">CONCATENATE(BO16,BP16)</f>
        <v>Streamline Cord OperationBirch White</v>
      </c>
      <c r="BR16" s="80" t="s">
        <v>5779</v>
      </c>
      <c r="BT16" s="80" t="s">
        <v>371</v>
      </c>
      <c r="BU16" t="s">
        <v>142</v>
      </c>
      <c r="BV16" t="str">
        <f t="shared" si="4"/>
        <v>System 20 Light Commercial Track Cord DrawnSingle Panel - Right Stacking</v>
      </c>
      <c r="BX16" s="80">
        <v>1</v>
      </c>
      <c r="BY16" s="80">
        <v>1</v>
      </c>
      <c r="BZ16" s="80">
        <v>1</v>
      </c>
      <c r="CK16" s="25"/>
      <c r="CN16" t="s">
        <v>276</v>
      </c>
      <c r="CO16" t="s">
        <v>7484</v>
      </c>
      <c r="CP16" s="25" t="str">
        <f t="shared" si="8"/>
        <v>DBS to MakeVanda Solid Aluminium Flick Stick 75cm Silver Pearl</v>
      </c>
      <c r="CQ16" s="25" t="s">
        <v>120</v>
      </c>
    </row>
    <row r="17" spans="3:95" ht="16.2" customHeight="1">
      <c r="C17" t="s">
        <v>3679</v>
      </c>
      <c r="D17" s="80">
        <v>80</v>
      </c>
      <c r="J17" s="80" t="s">
        <v>746</v>
      </c>
      <c r="K17" s="80" t="s">
        <v>145</v>
      </c>
      <c r="L17" t="s">
        <v>185</v>
      </c>
      <c r="M17" t="s">
        <v>165</v>
      </c>
      <c r="N17" t="str">
        <f t="shared" si="0"/>
        <v>Double FrontConduitNo Hooks25mm Brackets with Acorns</v>
      </c>
      <c r="O17">
        <v>0</v>
      </c>
      <c r="P17">
        <v>0</v>
      </c>
      <c r="Q17" s="80">
        <v>-70</v>
      </c>
      <c r="R17" s="80">
        <f t="shared" si="1"/>
        <v>0</v>
      </c>
      <c r="T17" t="s">
        <v>286</v>
      </c>
      <c r="U17" t="s">
        <v>223</v>
      </c>
      <c r="W17" t="s">
        <v>145</v>
      </c>
      <c r="X17" s="80" t="s">
        <v>154</v>
      </c>
      <c r="Y17" s="80" t="str">
        <f>CONCATENATE(W17,X17)</f>
        <v>ConduitNo Movement</v>
      </c>
      <c r="Z17" s="80">
        <v>0</v>
      </c>
      <c r="AA17">
        <v>4</v>
      </c>
      <c r="AC17" t="s">
        <v>725</v>
      </c>
      <c r="AD17" t="s">
        <v>403</v>
      </c>
      <c r="AE17" s="80" t="str">
        <f t="shared" si="5"/>
        <v>SingleN/A</v>
      </c>
      <c r="AF17" s="80">
        <v>0</v>
      </c>
      <c r="AH17" s="87" t="s">
        <v>7098</v>
      </c>
      <c r="AI17" s="87" t="s">
        <v>193</v>
      </c>
      <c r="AJ17" s="11" t="s">
        <v>160</v>
      </c>
      <c r="AK17" s="80" t="str">
        <f t="shared" si="2"/>
        <v>Designer 15 Wavefold Hand DrawnBlackStraight</v>
      </c>
      <c r="AL17" s="80" t="s">
        <v>274</v>
      </c>
      <c r="AM17" s="80" t="s">
        <v>120</v>
      </c>
      <c r="AN17" s="80">
        <v>0</v>
      </c>
      <c r="AO17" s="80" t="s">
        <v>181</v>
      </c>
      <c r="AT17" t="s">
        <v>456</v>
      </c>
      <c r="AU17" t="s">
        <v>456</v>
      </c>
      <c r="AW17" s="80" t="s">
        <v>5456</v>
      </c>
      <c r="AX17" s="80" t="s">
        <v>5903</v>
      </c>
      <c r="AY17" t="str">
        <f t="shared" si="3"/>
        <v>Double Pinch Pleat (Extra Fullness x 2.3)Centre Opening - Free Flowing (Offset Split)</v>
      </c>
      <c r="AZ17" s="80">
        <v>2.3</v>
      </c>
      <c r="BA17" s="80">
        <v>200</v>
      </c>
      <c r="BC17" t="s">
        <v>461</v>
      </c>
      <c r="BE17" s="87" t="s">
        <v>7103</v>
      </c>
      <c r="BF17" s="87" t="s">
        <v>7103</v>
      </c>
      <c r="BG17" s="86" t="s">
        <v>403</v>
      </c>
      <c r="BI17" s="80" t="s">
        <v>488</v>
      </c>
      <c r="BJ17" s="80" t="s">
        <v>553</v>
      </c>
      <c r="BK17" s="80" t="s">
        <v>3593</v>
      </c>
      <c r="BL17" s="80" t="str">
        <f t="shared" si="6"/>
        <v>Wavefold Hand OperationTriple Face Fix BracketsLeft Only</v>
      </c>
      <c r="BM17" s="80" t="s">
        <v>5680</v>
      </c>
      <c r="BO17" s="80" t="s">
        <v>132</v>
      </c>
      <c r="BP17" s="80" t="s">
        <v>357</v>
      </c>
      <c r="BQ17" s="80" t="str">
        <f t="shared" si="11"/>
        <v>Streamline Cord OperationMatt Satin</v>
      </c>
      <c r="BR17" s="80" t="s">
        <v>11649</v>
      </c>
      <c r="BT17" s="80" t="s">
        <v>372</v>
      </c>
      <c r="BU17" t="s">
        <v>138</v>
      </c>
      <c r="BV17" t="str">
        <f t="shared" si="4"/>
        <v>System 20 Light Commercial Track Hand DrawnCentre Opening</v>
      </c>
      <c r="BZ17" s="80">
        <v>2</v>
      </c>
      <c r="CK17" s="25"/>
      <c r="CN17" t="s">
        <v>276</v>
      </c>
      <c r="CO17" t="s">
        <v>7485</v>
      </c>
      <c r="CP17" s="25" t="str">
        <f t="shared" si="8"/>
        <v>DBS to MakeVanda Solid Aluminium Flick Stick 120cm Silver Pearl</v>
      </c>
      <c r="CQ17" s="25" t="s">
        <v>120</v>
      </c>
    </row>
    <row r="18" spans="3:95" ht="16.2" customHeight="1">
      <c r="C18" t="s">
        <v>581</v>
      </c>
      <c r="D18" s="80">
        <v>160</v>
      </c>
      <c r="J18" s="80" t="s">
        <v>747</v>
      </c>
      <c r="K18" s="80" t="s">
        <v>145</v>
      </c>
      <c r="L18" t="s">
        <v>185</v>
      </c>
      <c r="M18" t="s">
        <v>165</v>
      </c>
      <c r="N18" t="str">
        <f t="shared" si="0"/>
        <v>Double RearConduitNo Hooks25mm Brackets with Acorns</v>
      </c>
      <c r="O18">
        <v>0</v>
      </c>
      <c r="P18">
        <v>0</v>
      </c>
      <c r="Q18" s="80">
        <v>-70</v>
      </c>
      <c r="R18" s="80">
        <f t="shared" si="1"/>
        <v>0</v>
      </c>
      <c r="T18" s="80" t="s">
        <v>403</v>
      </c>
      <c r="U18" s="80">
        <v>0</v>
      </c>
      <c r="W18" t="s">
        <v>392</v>
      </c>
      <c r="X18" s="80" t="s">
        <v>154</v>
      </c>
      <c r="Y18" s="80" t="str">
        <f t="shared" si="9"/>
        <v>Conduit x 2No Movement</v>
      </c>
      <c r="Z18" s="80">
        <v>0</v>
      </c>
      <c r="AA18">
        <v>3</v>
      </c>
      <c r="AC18" t="s">
        <v>725</v>
      </c>
      <c r="AD18" t="s">
        <v>554</v>
      </c>
      <c r="AE18" s="80" t="str">
        <f t="shared" si="5"/>
        <v>SingleNone Required</v>
      </c>
      <c r="AF18" s="80">
        <v>0</v>
      </c>
      <c r="AH18" s="87" t="s">
        <v>7098</v>
      </c>
      <c r="AI18" s="87" t="s">
        <v>191</v>
      </c>
      <c r="AJ18" s="11" t="s">
        <v>160</v>
      </c>
      <c r="AK18" s="80" t="str">
        <f t="shared" si="2"/>
        <v>Designer 15 Wavefold Hand DrawnWhiteStraight</v>
      </c>
      <c r="AL18" s="80" t="s">
        <v>274</v>
      </c>
      <c r="AM18" s="80" t="s">
        <v>120</v>
      </c>
      <c r="AN18" s="80">
        <v>0</v>
      </c>
      <c r="AO18" s="80" t="s">
        <v>181</v>
      </c>
      <c r="AT18" t="s">
        <v>457</v>
      </c>
      <c r="AU18" t="s">
        <v>457</v>
      </c>
      <c r="AW18" t="s">
        <v>5457</v>
      </c>
      <c r="AX18" t="s">
        <v>138</v>
      </c>
      <c r="AY18" t="str">
        <f t="shared" si="3"/>
        <v>Double Pinch Pleat (Less Fullness x 2)Centre Opening</v>
      </c>
      <c r="AZ18" s="80">
        <v>2</v>
      </c>
      <c r="BA18" s="80">
        <v>400</v>
      </c>
      <c r="BC18" t="s">
        <v>462</v>
      </c>
      <c r="BE18" s="87" t="s">
        <v>7099</v>
      </c>
      <c r="BF18" s="87" t="s">
        <v>7099</v>
      </c>
      <c r="BG18" s="86" t="s">
        <v>403</v>
      </c>
      <c r="BI18" s="80" t="s">
        <v>487</v>
      </c>
      <c r="BJ18" s="80" t="s">
        <v>162</v>
      </c>
      <c r="BK18" s="80" t="s">
        <v>3594</v>
      </c>
      <c r="BL18" s="80" t="str">
        <f t="shared" si="6"/>
        <v>Wavefold Cord OperationDouble Face Fix BracketsRight Only</v>
      </c>
      <c r="BM18" s="80" t="s">
        <v>5683</v>
      </c>
      <c r="BO18" s="80" t="s">
        <v>371</v>
      </c>
      <c r="BP18" s="80" t="s">
        <v>191</v>
      </c>
      <c r="BQ18" s="80" t="str">
        <f t="shared" si="11"/>
        <v>System 20 Light Commercial Track Cord DrawnWhite</v>
      </c>
      <c r="BR18" s="80" t="s">
        <v>6591</v>
      </c>
      <c r="BT18" s="80" t="s">
        <v>372</v>
      </c>
      <c r="BU18" t="s">
        <v>717</v>
      </c>
      <c r="BV18" t="str">
        <f t="shared" si="4"/>
        <v>System 20 Light Commercial Track Hand DrawnCentre Opening - Free Flowing</v>
      </c>
      <c r="BZ18" s="80">
        <v>2</v>
      </c>
      <c r="CK18" s="25"/>
      <c r="CN18" t="s">
        <v>276</v>
      </c>
      <c r="CO18" t="s">
        <v>7475</v>
      </c>
      <c r="CP18" s="25" t="str">
        <f t="shared" si="8"/>
        <v>DBS to MakeVanda Solid Aluminium Flick Stick 75cm Ivory</v>
      </c>
      <c r="CQ18" s="25" t="s">
        <v>120</v>
      </c>
    </row>
    <row r="19" spans="3:95" ht="16.2" customHeight="1">
      <c r="C19" t="s">
        <v>3674</v>
      </c>
      <c r="D19" s="80">
        <v>220</v>
      </c>
      <c r="J19" s="80" t="s">
        <v>725</v>
      </c>
      <c r="K19" s="80" t="s">
        <v>145</v>
      </c>
      <c r="L19" t="s">
        <v>185</v>
      </c>
      <c r="M19" t="s">
        <v>165</v>
      </c>
      <c r="N19" t="str">
        <f t="shared" si="0"/>
        <v>SingleConduitNo Hooks25mm Brackets with Acorns</v>
      </c>
      <c r="O19">
        <v>0</v>
      </c>
      <c r="P19">
        <v>0</v>
      </c>
      <c r="Q19" s="80">
        <v>-70</v>
      </c>
      <c r="R19" s="80">
        <f t="shared" si="1"/>
        <v>0</v>
      </c>
      <c r="T19" s="80" t="s">
        <v>5678</v>
      </c>
      <c r="U19" s="80">
        <v>5</v>
      </c>
      <c r="W19" t="s">
        <v>146</v>
      </c>
      <c r="X19" s="80" t="s">
        <v>154</v>
      </c>
      <c r="Y19" s="80" t="str">
        <f t="shared" si="9"/>
        <v>29mm RodNo Movement</v>
      </c>
      <c r="Z19" s="80">
        <v>30</v>
      </c>
      <c r="AA19">
        <v>3</v>
      </c>
      <c r="AC19" t="s">
        <v>725</v>
      </c>
      <c r="AD19" t="s">
        <v>159</v>
      </c>
      <c r="AE19" s="80" t="str">
        <f t="shared" si="5"/>
        <v>SingleSingle Face Fix Brackets</v>
      </c>
      <c r="AF19" s="80">
        <v>75</v>
      </c>
      <c r="AH19" s="87" t="s">
        <v>283</v>
      </c>
      <c r="AI19" s="87" t="s">
        <v>398</v>
      </c>
      <c r="AJ19" s="11" t="s">
        <v>11556</v>
      </c>
      <c r="AK19" s="80" t="str">
        <f t="shared" si="12" ref="AK19:AK26">CONCATENATE(AH19,AI19,AJ19)</f>
        <v>Designer 25 Cord DrawnAntique BrassBent</v>
      </c>
      <c r="AL19" s="80" t="s">
        <v>274</v>
      </c>
      <c r="AM19" s="80" t="s">
        <v>181</v>
      </c>
      <c r="AN19" s="80">
        <v>200</v>
      </c>
      <c r="AO19" s="80" t="s">
        <v>120</v>
      </c>
      <c r="AT19" t="s">
        <v>458</v>
      </c>
      <c r="AU19" t="s">
        <v>458</v>
      </c>
      <c r="AW19" t="s">
        <v>5457</v>
      </c>
      <c r="AX19" t="s">
        <v>5902</v>
      </c>
      <c r="AY19" t="str">
        <f t="shared" si="3"/>
        <v>Double Pinch Pleat (Less Fullness x 2)Centre Opening (Offset Split)</v>
      </c>
      <c r="AZ19" s="80">
        <v>2</v>
      </c>
      <c r="BA19" s="80">
        <v>400</v>
      </c>
      <c r="BC19" t="s">
        <v>463</v>
      </c>
      <c r="BE19" s="87" t="s">
        <v>7098</v>
      </c>
      <c r="BF19" s="87" t="s">
        <v>7098</v>
      </c>
      <c r="BG19" s="86" t="s">
        <v>403</v>
      </c>
      <c r="BI19" s="80" t="s">
        <v>487</v>
      </c>
      <c r="BJ19" s="80" t="s">
        <v>159</v>
      </c>
      <c r="BK19" s="80" t="s">
        <v>3594</v>
      </c>
      <c r="BL19" s="80" t="str">
        <f t="shared" si="6"/>
        <v>Wavefold Cord OperationSingle Face Fix BracketsRight Only</v>
      </c>
      <c r="BM19" s="80" t="s">
        <v>5683</v>
      </c>
      <c r="BO19" s="80" t="s">
        <v>371</v>
      </c>
      <c r="BP19" s="80" t="s">
        <v>193</v>
      </c>
      <c r="BQ19" s="80" t="str">
        <f t="shared" si="11"/>
        <v>System 20 Light Commercial Track Cord DrawnBlack</v>
      </c>
      <c r="BR19" s="80" t="s">
        <v>6592</v>
      </c>
      <c r="BT19" s="80" t="s">
        <v>372</v>
      </c>
      <c r="BU19" t="s">
        <v>5903</v>
      </c>
      <c r="BV19" t="str">
        <f t="shared" si="4"/>
        <v>System 20 Light Commercial Track Hand DrawnCentre Opening - Free Flowing (Offset Split)</v>
      </c>
      <c r="BZ19" s="80">
        <v>2</v>
      </c>
      <c r="CK19" s="25"/>
      <c r="CN19" t="s">
        <v>276</v>
      </c>
      <c r="CO19" t="s">
        <v>7476</v>
      </c>
      <c r="CP19" s="25" t="str">
        <f t="shared" si="8"/>
        <v>DBS to MakeVanda Solid Aluminium Flick Stick 120cm Ivory</v>
      </c>
      <c r="CQ19" s="25" t="s">
        <v>120</v>
      </c>
    </row>
    <row r="20" spans="3:95" ht="16.2" customHeight="1">
      <c r="C20" t="s">
        <v>3688</v>
      </c>
      <c r="D20" s="80">
        <v>230</v>
      </c>
      <c r="J20" s="80" t="s">
        <v>746</v>
      </c>
      <c r="K20" s="80" t="s">
        <v>145</v>
      </c>
      <c r="L20" t="s">
        <v>185</v>
      </c>
      <c r="M20" t="s">
        <v>163</v>
      </c>
      <c r="N20" t="str">
        <f t="shared" si="0"/>
        <v>Double FrontConduitNo HooksMuslin Brackets</v>
      </c>
      <c r="O20">
        <v>0</v>
      </c>
      <c r="P20">
        <v>0</v>
      </c>
      <c r="Q20" s="80">
        <v>6</v>
      </c>
      <c r="R20" s="80">
        <f t="shared" si="1"/>
        <v>0</v>
      </c>
      <c r="T20" s="80" t="s">
        <v>5679</v>
      </c>
      <c r="U20" s="80">
        <v>-5</v>
      </c>
      <c r="W20" t="s">
        <v>146</v>
      </c>
      <c r="X20" t="s">
        <v>138</v>
      </c>
      <c r="Y20" s="80" t="str">
        <f t="shared" si="9"/>
        <v>29mm RodCentre Opening</v>
      </c>
      <c r="Z20" s="80">
        <v>30</v>
      </c>
      <c r="AA20">
        <v>2</v>
      </c>
      <c r="AC20" t="s">
        <v>725</v>
      </c>
      <c r="AD20" t="s">
        <v>266</v>
      </c>
      <c r="AE20" s="80" t="str">
        <f t="shared" si="5"/>
        <v>SingleTop Fix</v>
      </c>
      <c r="AF20" s="80">
        <v>75</v>
      </c>
      <c r="AH20" s="87" t="s">
        <v>283</v>
      </c>
      <c r="AI20" s="87" t="s">
        <v>398</v>
      </c>
      <c r="AJ20" s="11" t="s">
        <v>160</v>
      </c>
      <c r="AK20" s="80" t="str">
        <f t="shared" si="12"/>
        <v>Designer 25 Cord DrawnAntique BrassStraight</v>
      </c>
      <c r="AL20" s="80" t="s">
        <v>274</v>
      </c>
      <c r="AM20" s="80" t="s">
        <v>181</v>
      </c>
      <c r="AN20" s="80">
        <v>200</v>
      </c>
      <c r="AO20" s="80" t="s">
        <v>120</v>
      </c>
      <c r="AT20" t="s">
        <v>459</v>
      </c>
      <c r="AU20" t="s">
        <v>459</v>
      </c>
      <c r="AW20" t="s">
        <v>5457</v>
      </c>
      <c r="AX20" t="s">
        <v>141</v>
      </c>
      <c r="AY20" t="str">
        <f t="shared" si="3"/>
        <v>Double Pinch Pleat (Less Fullness x 2)Single Panel - Left Stacking</v>
      </c>
      <c r="AZ20" s="80">
        <v>2</v>
      </c>
      <c r="BA20" s="80">
        <v>200</v>
      </c>
      <c r="BE20" s="87" t="s">
        <v>283</v>
      </c>
      <c r="BF20" s="87" t="s">
        <v>283</v>
      </c>
      <c r="BG20" s="87">
        <v>130</v>
      </c>
      <c r="BI20" s="80" t="s">
        <v>487</v>
      </c>
      <c r="BJ20" s="80" t="s">
        <v>161</v>
      </c>
      <c r="BK20" s="80" t="s">
        <v>3594</v>
      </c>
      <c r="BL20" s="80" t="str">
        <f t="shared" si="6"/>
        <v>Wavefold Cord OperationTop Fix BracketsRight Only</v>
      </c>
      <c r="BM20" s="80" t="s">
        <v>5683</v>
      </c>
      <c r="BO20" s="80" t="s">
        <v>372</v>
      </c>
      <c r="BP20" s="80" t="s">
        <v>191</v>
      </c>
      <c r="BQ20" s="80" t="str">
        <f t="shared" si="11"/>
        <v>System 20 Light Commercial Track Hand DrawnWhite</v>
      </c>
      <c r="BR20" s="80" t="s">
        <v>6591</v>
      </c>
      <c r="BT20" s="80" t="s">
        <v>372</v>
      </c>
      <c r="BU20" t="s">
        <v>5903</v>
      </c>
      <c r="BV20" t="str">
        <f t="shared" si="4"/>
        <v>System 20 Light Commercial Track Hand DrawnCentre Opening - Free Flowing (Offset Split)</v>
      </c>
      <c r="BZ20" s="80">
        <v>2</v>
      </c>
      <c r="CK20" s="25"/>
      <c r="CN20" t="s">
        <v>276</v>
      </c>
      <c r="CO20" t="s">
        <v>391</v>
      </c>
      <c r="CP20" s="25" t="str">
        <f t="shared" si="8"/>
        <v>DBS to MakeNone</v>
      </c>
      <c r="CQ20" s="25" t="s">
        <v>120</v>
      </c>
    </row>
    <row r="21" spans="1:95" ht="16.2" customHeight="1">
      <c r="A21" s="361" t="s">
        <v>149</v>
      </c>
      <c r="B21" s="361"/>
      <c r="C21" t="s">
        <v>3680</v>
      </c>
      <c r="D21" s="80">
        <v>170</v>
      </c>
      <c r="J21" s="80" t="s">
        <v>747</v>
      </c>
      <c r="K21" s="80" t="s">
        <v>145</v>
      </c>
      <c r="L21" t="s">
        <v>185</v>
      </c>
      <c r="M21" t="s">
        <v>163</v>
      </c>
      <c r="N21" t="str">
        <f t="shared" si="0"/>
        <v>Double RearConduitNo HooksMuslin Brackets</v>
      </c>
      <c r="O21">
        <v>0</v>
      </c>
      <c r="P21">
        <v>0</v>
      </c>
      <c r="Q21" s="80">
        <v>6</v>
      </c>
      <c r="R21" s="80">
        <f t="shared" si="1"/>
        <v>0</v>
      </c>
      <c r="W21" t="s">
        <v>146</v>
      </c>
      <c r="X21" t="s">
        <v>141</v>
      </c>
      <c r="Y21" s="80" t="str">
        <f t="shared" si="9"/>
        <v>29mm RodSingle Panel - Left Stacking</v>
      </c>
      <c r="Z21" s="80">
        <v>30</v>
      </c>
      <c r="AA21">
        <v>2</v>
      </c>
      <c r="AC21" t="s">
        <v>725</v>
      </c>
      <c r="AD21" t="s">
        <v>161</v>
      </c>
      <c r="AE21" s="80" t="str">
        <f t="shared" si="5"/>
        <v>SingleTop Fix Brackets</v>
      </c>
      <c r="AF21" s="80">
        <v>75</v>
      </c>
      <c r="AH21" s="87" t="s">
        <v>283</v>
      </c>
      <c r="AI21" s="87" t="s">
        <v>275</v>
      </c>
      <c r="AJ21" s="11" t="s">
        <v>11556</v>
      </c>
      <c r="AK21" s="80" t="str">
        <f t="shared" si="12"/>
        <v>Designer 25 Cord DrawnBirch WhiteBent</v>
      </c>
      <c r="AL21" s="80" t="s">
        <v>274</v>
      </c>
      <c r="AM21" s="80" t="s">
        <v>181</v>
      </c>
      <c r="AN21" s="80">
        <v>200</v>
      </c>
      <c r="AO21" s="80" t="s">
        <v>120</v>
      </c>
      <c r="AT21" t="s">
        <v>460</v>
      </c>
      <c r="AU21" t="s">
        <v>460</v>
      </c>
      <c r="AW21" t="s">
        <v>5457</v>
      </c>
      <c r="AX21" t="s">
        <v>142</v>
      </c>
      <c r="AY21" t="str">
        <f t="shared" si="3"/>
        <v>Double Pinch Pleat (Less Fullness x 2)Single Panel - Right Stacking</v>
      </c>
      <c r="AZ21" s="80">
        <v>2</v>
      </c>
      <c r="BA21" s="80">
        <v>200</v>
      </c>
      <c r="BE21" s="87" t="s">
        <v>271</v>
      </c>
      <c r="BF21" s="87" t="s">
        <v>271</v>
      </c>
      <c r="BG21" s="87">
        <v>130</v>
      </c>
      <c r="BI21" s="80" t="s">
        <v>487</v>
      </c>
      <c r="BJ21" s="80" t="s">
        <v>553</v>
      </c>
      <c r="BK21" s="80" t="s">
        <v>3594</v>
      </c>
      <c r="BL21" s="80" t="str">
        <f t="shared" si="6"/>
        <v>Wavefold Cord OperationTriple Face Fix BracketsRight Only</v>
      </c>
      <c r="BM21" s="80" t="s">
        <v>5683</v>
      </c>
      <c r="BO21" s="80" t="s">
        <v>372</v>
      </c>
      <c r="BP21" s="80" t="s">
        <v>193</v>
      </c>
      <c r="BQ21" s="80" t="str">
        <f t="shared" si="11"/>
        <v>System 20 Light Commercial Track Hand DrawnBlack</v>
      </c>
      <c r="BR21" s="80" t="s">
        <v>6592</v>
      </c>
      <c r="BT21" s="80" t="s">
        <v>372</v>
      </c>
      <c r="BU21" t="s">
        <v>5902</v>
      </c>
      <c r="BV21" t="str">
        <f t="shared" si="4"/>
        <v>System 20 Light Commercial Track Hand DrawnCentre Opening (Offset Split)</v>
      </c>
      <c r="BZ21" s="80">
        <v>2</v>
      </c>
      <c r="CK21" s="25"/>
      <c r="CN21" t="s">
        <v>276</v>
      </c>
      <c r="CO21" t="s">
        <v>7479</v>
      </c>
      <c r="CP21" s="25" t="str">
        <f t="shared" si="8"/>
        <v>DBS to Make100cm Cord Length</v>
      </c>
      <c r="CQ21" s="25" t="s">
        <v>120</v>
      </c>
    </row>
    <row r="22" spans="1:95" ht="16.2" customHeight="1">
      <c r="A22" s="88">
        <v>0</v>
      </c>
      <c r="B22" s="88">
        <v>2</v>
      </c>
      <c r="C22" t="s">
        <v>260</v>
      </c>
      <c r="D22" s="80">
        <v>50</v>
      </c>
      <c r="J22" s="80" t="s">
        <v>725</v>
      </c>
      <c r="K22" s="80" t="s">
        <v>145</v>
      </c>
      <c r="L22" t="s">
        <v>185</v>
      </c>
      <c r="M22" t="s">
        <v>163</v>
      </c>
      <c r="N22" t="str">
        <f t="shared" si="0"/>
        <v>SingleConduitNo HooksMuslin Brackets</v>
      </c>
      <c r="O22">
        <v>0</v>
      </c>
      <c r="P22">
        <v>0</v>
      </c>
      <c r="Q22" s="80">
        <v>6</v>
      </c>
      <c r="R22" s="80">
        <f t="shared" si="1"/>
        <v>0</v>
      </c>
      <c r="W22" t="s">
        <v>146</v>
      </c>
      <c r="X22" t="s">
        <v>143</v>
      </c>
      <c r="Y22" s="80" t="str">
        <f t="shared" si="9"/>
        <v>29mm RodSingle Panel - Free Flowing</v>
      </c>
      <c r="Z22">
        <v>30</v>
      </c>
      <c r="AA22">
        <v>2</v>
      </c>
      <c r="AC22" t="s">
        <v>725</v>
      </c>
      <c r="AD22" t="s">
        <v>7524</v>
      </c>
      <c r="AE22" s="80" t="str">
        <f t="shared" si="5"/>
        <v>SingleVantage Single Bracket 100mm</v>
      </c>
      <c r="AF22" s="80">
        <v>100</v>
      </c>
      <c r="AH22" s="87" t="s">
        <v>283</v>
      </c>
      <c r="AI22" s="87" t="s">
        <v>275</v>
      </c>
      <c r="AJ22" s="11" t="s">
        <v>160</v>
      </c>
      <c r="AK22" s="80" t="str">
        <f t="shared" si="12"/>
        <v>Designer 25 Cord DrawnBirch WhiteStraight</v>
      </c>
      <c r="AL22" s="80" t="s">
        <v>274</v>
      </c>
      <c r="AM22" s="80" t="s">
        <v>181</v>
      </c>
      <c r="AN22" s="80">
        <v>200</v>
      </c>
      <c r="AO22" s="80" t="s">
        <v>120</v>
      </c>
      <c r="AT22" t="s">
        <v>461</v>
      </c>
      <c r="AU22" t="s">
        <v>461</v>
      </c>
      <c r="AW22" t="s">
        <v>5457</v>
      </c>
      <c r="AX22" t="s">
        <v>143</v>
      </c>
      <c r="AY22" t="str">
        <f t="shared" si="3"/>
        <v>Double Pinch Pleat (Less Fullness x 2)Single Panel - Free Flowing</v>
      </c>
      <c r="AZ22" s="80">
        <v>2</v>
      </c>
      <c r="BA22" s="80">
        <v>200</v>
      </c>
      <c r="BE22" s="87" t="s">
        <v>367</v>
      </c>
      <c r="BF22" s="87" t="s">
        <v>367</v>
      </c>
      <c r="BG22" s="87">
        <v>130</v>
      </c>
      <c r="BI22" s="80" t="s">
        <v>488</v>
      </c>
      <c r="BJ22" s="80" t="s">
        <v>162</v>
      </c>
      <c r="BK22" s="80" t="s">
        <v>3594</v>
      </c>
      <c r="BL22" s="80" t="str">
        <f t="shared" si="6"/>
        <v>Wavefold Hand OperationDouble Face Fix BracketsRight Only</v>
      </c>
      <c r="BM22" s="80" t="s">
        <v>5683</v>
      </c>
      <c r="BO22" s="80" t="s">
        <v>145</v>
      </c>
      <c r="BP22" s="80" t="s">
        <v>190</v>
      </c>
      <c r="BQ22" s="80" t="str">
        <f t="shared" si="11"/>
        <v>ConduitIvory</v>
      </c>
      <c r="BR22" s="80" t="s">
        <v>145</v>
      </c>
      <c r="BT22" s="80" t="s">
        <v>372</v>
      </c>
      <c r="BU22" t="s">
        <v>154</v>
      </c>
      <c r="BV22" t="str">
        <f t="shared" si="4"/>
        <v>System 20 Light Commercial Track Hand DrawnNo Movement</v>
      </c>
      <c r="BZ22" s="80">
        <v>2</v>
      </c>
      <c r="CK22" s="25"/>
      <c r="CN22" t="s">
        <v>276</v>
      </c>
      <c r="CO22" t="s">
        <v>7480</v>
      </c>
      <c r="CP22" s="25" t="str">
        <f t="shared" si="8"/>
        <v>DBS to Make120cm Cord Length</v>
      </c>
      <c r="CQ22" s="25" t="s">
        <v>120</v>
      </c>
    </row>
    <row r="23" spans="1:95" ht="16.2" customHeight="1">
      <c r="A23" s="88">
        <v>800</v>
      </c>
      <c r="B23" s="88">
        <v>3</v>
      </c>
      <c r="C23" t="s">
        <v>3670</v>
      </c>
      <c r="D23" s="80">
        <v>200</v>
      </c>
      <c r="J23" s="80" t="s">
        <v>746</v>
      </c>
      <c r="K23" s="80" t="s">
        <v>145</v>
      </c>
      <c r="L23" t="s">
        <v>185</v>
      </c>
      <c r="M23" t="s">
        <v>402</v>
      </c>
      <c r="N23" t="str">
        <f t="shared" si="0"/>
        <v>Double FrontConduitNo HooksMuslin Brackets Top and Bottom</v>
      </c>
      <c r="O23">
        <v>0</v>
      </c>
      <c r="P23">
        <v>0</v>
      </c>
      <c r="Q23" s="80">
        <v>6</v>
      </c>
      <c r="R23" s="80">
        <f t="shared" si="1"/>
        <v>0</v>
      </c>
      <c r="W23" t="s">
        <v>146</v>
      </c>
      <c r="X23" t="s">
        <v>142</v>
      </c>
      <c r="Y23" s="80" t="str">
        <f t="shared" si="9"/>
        <v>29mm RodSingle Panel - Right Stacking</v>
      </c>
      <c r="Z23" s="80">
        <v>30</v>
      </c>
      <c r="AC23" t="s">
        <v>725</v>
      </c>
      <c r="AD23" t="s">
        <v>7526</v>
      </c>
      <c r="AE23" s="80" t="str">
        <f t="shared" si="5"/>
        <v>SingleVantage Single Bracket 140mm</v>
      </c>
      <c r="AF23" s="80">
        <v>140</v>
      </c>
      <c r="AH23" s="87" t="s">
        <v>283</v>
      </c>
      <c r="AI23" s="87" t="s">
        <v>9701</v>
      </c>
      <c r="AJ23" s="11" t="s">
        <v>11556</v>
      </c>
      <c r="AK23" s="80" t="str">
        <f t="shared" si="12"/>
        <v>Designer 25 Cord DrawnChampagneBent</v>
      </c>
      <c r="AL23" s="80" t="s">
        <v>274</v>
      </c>
      <c r="AM23" s="80" t="s">
        <v>181</v>
      </c>
      <c r="AN23" s="80">
        <v>200</v>
      </c>
      <c r="AO23" s="80" t="s">
        <v>120</v>
      </c>
      <c r="AT23" t="s">
        <v>462</v>
      </c>
      <c r="AU23" t="s">
        <v>462</v>
      </c>
      <c r="AW23" t="s">
        <v>5457</v>
      </c>
      <c r="AX23" t="s">
        <v>717</v>
      </c>
      <c r="AY23" t="str">
        <f t="shared" si="3"/>
        <v>Double Pinch Pleat (Less Fullness x 2)Centre Opening - Free Flowing</v>
      </c>
      <c r="AZ23" s="80">
        <v>2</v>
      </c>
      <c r="BA23" s="80">
        <v>400</v>
      </c>
      <c r="BE23" s="87" t="s">
        <v>368</v>
      </c>
      <c r="BF23" s="87" t="s">
        <v>368</v>
      </c>
      <c r="BG23" s="87">
        <v>130</v>
      </c>
      <c r="BI23" s="80" t="s">
        <v>488</v>
      </c>
      <c r="BJ23" s="80" t="s">
        <v>159</v>
      </c>
      <c r="BK23" s="80" t="s">
        <v>3594</v>
      </c>
      <c r="BL23" s="80" t="str">
        <f t="shared" si="6"/>
        <v>Wavefold Hand OperationSingle Face Fix BracketsRight Only</v>
      </c>
      <c r="BM23" s="80" t="s">
        <v>5683</v>
      </c>
      <c r="BQ23" s="80" t="str">
        <f t="shared" si="11"/>
        <v/>
      </c>
      <c r="BR23" s="80" t="s">
        <v>403</v>
      </c>
      <c r="BT23" s="80" t="s">
        <v>372</v>
      </c>
      <c r="BU23" t="s">
        <v>143</v>
      </c>
      <c r="BV23" t="str">
        <f t="shared" si="4"/>
        <v>System 20 Light Commercial Track Hand DrawnSingle Panel - Free Flowing</v>
      </c>
      <c r="BZ23" s="80">
        <v>2</v>
      </c>
      <c r="CK23" s="25"/>
      <c r="CN23" t="s">
        <v>276</v>
      </c>
      <c r="CO23" t="s">
        <v>7477</v>
      </c>
      <c r="CP23" s="25" t="str">
        <f t="shared" si="8"/>
        <v>DBS to Make150cm Cord Length</v>
      </c>
      <c r="CQ23" s="25" t="s">
        <v>120</v>
      </c>
    </row>
    <row r="24" spans="1:95" ht="16.2" customHeight="1">
      <c r="A24" s="88">
        <v>1500</v>
      </c>
      <c r="B24" s="88">
        <v>4</v>
      </c>
      <c r="C24" t="s">
        <v>3668</v>
      </c>
      <c r="D24" s="80">
        <v>140</v>
      </c>
      <c r="J24" s="80" t="s">
        <v>747</v>
      </c>
      <c r="K24" s="80" t="s">
        <v>145</v>
      </c>
      <c r="L24" t="s">
        <v>185</v>
      </c>
      <c r="M24" t="s">
        <v>402</v>
      </c>
      <c r="N24" t="str">
        <f t="shared" si="0"/>
        <v>Double RearConduitNo HooksMuslin Brackets Top and Bottom</v>
      </c>
      <c r="O24">
        <v>0</v>
      </c>
      <c r="P24">
        <v>0</v>
      </c>
      <c r="Q24" s="80">
        <v>6</v>
      </c>
      <c r="R24" s="80">
        <f t="shared" si="1"/>
        <v>0</v>
      </c>
      <c r="W24" s="80" t="s">
        <v>464</v>
      </c>
      <c r="X24" t="s">
        <v>138</v>
      </c>
      <c r="Y24" s="80" t="str">
        <f t="shared" si="9"/>
        <v>No Track or Rod RequiredCentre Opening</v>
      </c>
      <c r="Z24" s="80">
        <v>0</v>
      </c>
      <c r="AC24" t="s">
        <v>725</v>
      </c>
      <c r="AD24" t="s">
        <v>7525</v>
      </c>
      <c r="AE24" s="80" t="str">
        <f t="shared" si="5"/>
        <v>SingleVantage Top Fix Bracket</v>
      </c>
      <c r="AF24" s="80">
        <v>100</v>
      </c>
      <c r="AH24" s="87" t="s">
        <v>283</v>
      </c>
      <c r="AI24" s="87" t="s">
        <v>9701</v>
      </c>
      <c r="AJ24" s="11" t="s">
        <v>160</v>
      </c>
      <c r="AK24" s="80" t="str">
        <f t="shared" si="12"/>
        <v>Designer 25 Cord DrawnChampagneStraight</v>
      </c>
      <c r="AL24" s="80" t="s">
        <v>274</v>
      </c>
      <c r="AM24" s="80" t="s">
        <v>181</v>
      </c>
      <c r="AN24" s="80">
        <v>200</v>
      </c>
      <c r="AO24" s="80" t="s">
        <v>120</v>
      </c>
      <c r="AT24" t="s">
        <v>463</v>
      </c>
      <c r="AU24" t="s">
        <v>463</v>
      </c>
      <c r="AW24" t="s">
        <v>5457</v>
      </c>
      <c r="AX24" t="s">
        <v>154</v>
      </c>
      <c r="AY24" t="str">
        <f t="shared" si="3"/>
        <v>Double Pinch Pleat (Less Fullness x 2)No Movement</v>
      </c>
      <c r="AZ24" s="80">
        <v>2</v>
      </c>
      <c r="BA24" s="80">
        <v>200</v>
      </c>
      <c r="BE24" s="87" t="s">
        <v>483</v>
      </c>
      <c r="BF24" s="87" t="s">
        <v>483</v>
      </c>
      <c r="BG24" s="87">
        <v>130</v>
      </c>
      <c r="BI24" s="80" t="s">
        <v>488</v>
      </c>
      <c r="BJ24" s="80" t="s">
        <v>161</v>
      </c>
      <c r="BK24" s="80" t="s">
        <v>3594</v>
      </c>
      <c r="BL24" s="80" t="str">
        <f t="shared" si="6"/>
        <v>Wavefold Hand OperationTop Fix BracketsRight Only</v>
      </c>
      <c r="BM24" s="80" t="s">
        <v>5683</v>
      </c>
      <c r="BT24" s="80" t="s">
        <v>372</v>
      </c>
      <c r="BU24" t="s">
        <v>141</v>
      </c>
      <c r="BV24" t="str">
        <f t="shared" si="4"/>
        <v>System 20 Light Commercial Track Hand DrawnSingle Panel - Left Stacking</v>
      </c>
      <c r="BZ24" s="80">
        <v>2</v>
      </c>
      <c r="CK24" s="25"/>
      <c r="CN24" t="s">
        <v>276</v>
      </c>
      <c r="CO24" t="s">
        <v>7481</v>
      </c>
      <c r="CP24" s="25" t="str">
        <f t="shared" si="8"/>
        <v>DBS to Make180cm Cord Length</v>
      </c>
      <c r="CQ24" s="25" t="s">
        <v>120</v>
      </c>
    </row>
    <row r="25" spans="1:95" ht="16.2" customHeight="1">
      <c r="A25" s="88">
        <v>2400</v>
      </c>
      <c r="B25" s="88">
        <v>5</v>
      </c>
      <c r="C25" t="s">
        <v>3667</v>
      </c>
      <c r="D25" s="80">
        <v>320</v>
      </c>
      <c r="J25" s="80" t="s">
        <v>725</v>
      </c>
      <c r="K25" s="80" t="s">
        <v>145</v>
      </c>
      <c r="L25" t="s">
        <v>185</v>
      </c>
      <c r="M25" t="s">
        <v>402</v>
      </c>
      <c r="N25" t="str">
        <f t="shared" si="0"/>
        <v>SingleConduitNo HooksMuslin Brackets Top and Bottom</v>
      </c>
      <c r="O25">
        <v>0</v>
      </c>
      <c r="P25">
        <v>0</v>
      </c>
      <c r="Q25" s="80">
        <v>6</v>
      </c>
      <c r="R25" s="80">
        <f t="shared" si="1"/>
        <v>0</v>
      </c>
      <c r="W25" s="80" t="s">
        <v>464</v>
      </c>
      <c r="X25" s="80" t="s">
        <v>717</v>
      </c>
      <c r="Y25" s="80" t="str">
        <f>CONCATENATE(W25,X25)</f>
        <v>No Track or Rod RequiredCentre Opening - Free Flowing</v>
      </c>
      <c r="Z25" s="80">
        <v>0</v>
      </c>
      <c r="AC25" t="s">
        <v>725</v>
      </c>
      <c r="AD25" t="s">
        <v>11603</v>
      </c>
      <c r="AE25" s="80" t="str">
        <f t="shared" si="5"/>
        <v>SingleVersatrak 16mm Top Fix 100mm Suspension Bracket</v>
      </c>
      <c r="AF25" s="80">
        <v>75</v>
      </c>
      <c r="AH25" s="87" t="s">
        <v>283</v>
      </c>
      <c r="AI25" s="87" t="s">
        <v>9702</v>
      </c>
      <c r="AJ25" s="11" t="s">
        <v>11556</v>
      </c>
      <c r="AK25" s="80" t="str">
        <f t="shared" si="12"/>
        <v>Designer 25 Cord DrawnMatt BlackBent</v>
      </c>
      <c r="AL25" s="80" t="s">
        <v>274</v>
      </c>
      <c r="AM25" s="80" t="s">
        <v>181</v>
      </c>
      <c r="AN25" s="80">
        <v>200</v>
      </c>
      <c r="AO25" s="80" t="s">
        <v>120</v>
      </c>
      <c r="AW25" s="80" t="s">
        <v>5457</v>
      </c>
      <c r="AX25" s="80" t="s">
        <v>5903</v>
      </c>
      <c r="AY25" t="str">
        <f t="shared" si="3"/>
        <v>Double Pinch Pleat (Less Fullness x 2)Centre Opening - Free Flowing (Offset Split)</v>
      </c>
      <c r="AZ25" s="80">
        <v>2</v>
      </c>
      <c r="BA25" s="80">
        <v>200</v>
      </c>
      <c r="BE25" s="87" t="s">
        <v>484</v>
      </c>
      <c r="BF25" s="87" t="s">
        <v>484</v>
      </c>
      <c r="BG25" s="87">
        <v>130</v>
      </c>
      <c r="BI25" s="80" t="s">
        <v>488</v>
      </c>
      <c r="BJ25" s="80" t="s">
        <v>553</v>
      </c>
      <c r="BK25" s="80" t="s">
        <v>3594</v>
      </c>
      <c r="BL25" s="80" t="str">
        <f t="shared" si="6"/>
        <v>Wavefold Hand OperationTriple Face Fix BracketsRight Only</v>
      </c>
      <c r="BM25" s="80" t="s">
        <v>5683</v>
      </c>
      <c r="BT25" s="80" t="s">
        <v>372</v>
      </c>
      <c r="BU25" t="s">
        <v>142</v>
      </c>
      <c r="BV25" t="str">
        <f t="shared" si="4"/>
        <v>System 20 Light Commercial Track Hand DrawnSingle Panel - Right Stacking</v>
      </c>
      <c r="BZ25" s="80">
        <v>2</v>
      </c>
      <c r="CK25" s="25"/>
      <c r="CN25" t="s">
        <v>276</v>
      </c>
      <c r="CO25" t="s">
        <v>7482</v>
      </c>
      <c r="CP25" s="25" t="str">
        <f t="shared" si="8"/>
        <v>DBS to Make210cm Cord Length</v>
      </c>
      <c r="CQ25" s="25" t="s">
        <v>120</v>
      </c>
    </row>
    <row r="26" spans="1:95" ht="16.2" customHeight="1">
      <c r="A26" s="88">
        <v>3000</v>
      </c>
      <c r="B26" s="88">
        <v>6</v>
      </c>
      <c r="C26" t="s">
        <v>3681</v>
      </c>
      <c r="D26" s="80">
        <v>140</v>
      </c>
      <c r="J26" s="80" t="s">
        <v>746</v>
      </c>
      <c r="K26" s="80" t="s">
        <v>145</v>
      </c>
      <c r="L26" t="s">
        <v>185</v>
      </c>
      <c r="M26" t="s">
        <v>164</v>
      </c>
      <c r="N26" t="str">
        <f t="shared" si="0"/>
        <v>Double FrontConduitNo HooksMuslin Brackets with Wire Support Bracket</v>
      </c>
      <c r="O26">
        <v>0</v>
      </c>
      <c r="P26">
        <v>0</v>
      </c>
      <c r="Q26" s="80">
        <v>6</v>
      </c>
      <c r="R26" s="80">
        <f t="shared" si="1"/>
        <v>0</v>
      </c>
      <c r="W26" s="80" t="s">
        <v>464</v>
      </c>
      <c r="X26" t="s">
        <v>141</v>
      </c>
      <c r="Y26" s="80" t="str">
        <f t="shared" si="9"/>
        <v>No Track or Rod RequiredSingle Panel - Left Stacking</v>
      </c>
      <c r="Z26" s="80">
        <v>0</v>
      </c>
      <c r="AC26" t="s">
        <v>725</v>
      </c>
      <c r="AD26" t="s">
        <v>11596</v>
      </c>
      <c r="AE26" s="80" t="str">
        <f t="shared" si="5"/>
        <v>SingleVersatrak 25mm Top Fix 100mm Suspension Bracket</v>
      </c>
      <c r="AF26" s="80">
        <v>75</v>
      </c>
      <c r="AH26" s="87" t="s">
        <v>283</v>
      </c>
      <c r="AI26" s="87" t="s">
        <v>9702</v>
      </c>
      <c r="AJ26" s="11" t="s">
        <v>160</v>
      </c>
      <c r="AK26" s="80" t="str">
        <f t="shared" si="12"/>
        <v>Designer 25 Cord DrawnMatt BlackStraight</v>
      </c>
      <c r="AL26" s="80" t="s">
        <v>274</v>
      </c>
      <c r="AM26" s="80" t="s">
        <v>181</v>
      </c>
      <c r="AN26" s="80">
        <v>200</v>
      </c>
      <c r="AO26" s="80" t="s">
        <v>120</v>
      </c>
      <c r="AW26" t="s">
        <v>5455</v>
      </c>
      <c r="AX26" t="s">
        <v>138</v>
      </c>
      <c r="AY26" t="str">
        <f t="shared" si="3"/>
        <v>Double Pinch Pleat (Standard Fullness x 2.1)Centre Opening</v>
      </c>
      <c r="AZ26" s="80">
        <v>2.1</v>
      </c>
      <c r="BA26" s="80">
        <v>400</v>
      </c>
      <c r="BE26" s="87" t="s">
        <v>481</v>
      </c>
      <c r="BF26" s="87" t="s">
        <v>481</v>
      </c>
      <c r="BG26" s="87" t="s">
        <v>403</v>
      </c>
      <c r="BI26" s="80" t="s">
        <v>487</v>
      </c>
      <c r="BJ26" s="80" t="s">
        <v>162</v>
      </c>
      <c r="BK26" s="80" t="s">
        <v>3595</v>
      </c>
      <c r="BL26" s="80" t="str">
        <f t="shared" si="6"/>
        <v>Wavefold Cord OperationDouble Face Fix BracketsDouble Left</v>
      </c>
      <c r="BM26" s="80" t="s">
        <v>3595</v>
      </c>
      <c r="BT26" s="80" t="s">
        <v>487</v>
      </c>
      <c r="BU26" t="s">
        <v>138</v>
      </c>
      <c r="BV26" t="str">
        <f t="shared" si="4"/>
        <v>Wavefold Cord OperationCentre Opening</v>
      </c>
      <c r="BW26" s="80">
        <v>1</v>
      </c>
      <c r="BX26" s="80">
        <v>1</v>
      </c>
      <c r="CK26" s="25"/>
      <c r="CN26" t="s">
        <v>276</v>
      </c>
      <c r="CO26" t="s">
        <v>7478</v>
      </c>
      <c r="CP26" s="25" t="str">
        <f t="shared" si="8"/>
        <v>DBS to Make240cm Cord Length</v>
      </c>
      <c r="CQ26" s="25" t="s">
        <v>120</v>
      </c>
    </row>
    <row r="27" spans="1:95" ht="16.2" customHeight="1">
      <c r="A27" s="88">
        <v>4000</v>
      </c>
      <c r="B27" s="88">
        <v>7</v>
      </c>
      <c r="C27" t="s">
        <v>3682</v>
      </c>
      <c r="D27" s="80">
        <v>320</v>
      </c>
      <c r="J27" s="80" t="s">
        <v>747</v>
      </c>
      <c r="K27" s="80" t="s">
        <v>145</v>
      </c>
      <c r="L27" t="s">
        <v>185</v>
      </c>
      <c r="M27" t="s">
        <v>164</v>
      </c>
      <c r="N27" t="str">
        <f t="shared" si="0"/>
        <v>Double RearConduitNo HooksMuslin Brackets with Wire Support Bracket</v>
      </c>
      <c r="O27">
        <v>0</v>
      </c>
      <c r="P27">
        <v>0</v>
      </c>
      <c r="Q27" s="80">
        <v>6</v>
      </c>
      <c r="R27" s="80">
        <f t="shared" si="1"/>
        <v>0</v>
      </c>
      <c r="W27" s="80" t="s">
        <v>464</v>
      </c>
      <c r="X27" t="s">
        <v>142</v>
      </c>
      <c r="Y27" s="80" t="str">
        <f t="shared" si="9"/>
        <v>No Track or Rod RequiredSingle Panel - Right Stacking</v>
      </c>
      <c r="Z27" s="80">
        <v>0</v>
      </c>
      <c r="AC27" t="s">
        <v>725</v>
      </c>
      <c r="AD27" t="s">
        <v>727</v>
      </c>
      <c r="AE27" s="80" t="str">
        <f t="shared" si="5"/>
        <v>SingleVersatrak Glide Bracket 100mm</v>
      </c>
      <c r="AF27" s="80">
        <v>100</v>
      </c>
      <c r="AH27" s="87" t="s">
        <v>283</v>
      </c>
      <c r="AI27" s="87" t="s">
        <v>357</v>
      </c>
      <c r="AJ27" s="11" t="s">
        <v>11556</v>
      </c>
      <c r="AK27" s="80" t="str">
        <f t="shared" si="13" ref="AK27:AK34">CONCATENATE(AH27,AI27,AJ27)</f>
        <v>Designer 25 Cord DrawnMatt SatinBent</v>
      </c>
      <c r="AL27" s="80" t="s">
        <v>274</v>
      </c>
      <c r="AM27" s="80" t="s">
        <v>181</v>
      </c>
      <c r="AN27" s="80">
        <v>200</v>
      </c>
      <c r="AO27" s="80" t="s">
        <v>120</v>
      </c>
      <c r="AW27" t="s">
        <v>5455</v>
      </c>
      <c r="AX27" t="s">
        <v>5902</v>
      </c>
      <c r="AY27" t="str">
        <f t="shared" si="3"/>
        <v>Double Pinch Pleat (Standard Fullness x 2.1)Centre Opening (Offset Split)</v>
      </c>
      <c r="AZ27" s="80">
        <v>2.1</v>
      </c>
      <c r="BA27" s="80">
        <v>400</v>
      </c>
      <c r="BE27" s="87" t="s">
        <v>482</v>
      </c>
      <c r="BF27" s="87" t="s">
        <v>482</v>
      </c>
      <c r="BG27" s="87" t="s">
        <v>403</v>
      </c>
      <c r="BI27" s="80" t="s">
        <v>487</v>
      </c>
      <c r="BJ27" s="80" t="s">
        <v>159</v>
      </c>
      <c r="BK27" s="80" t="s">
        <v>3595</v>
      </c>
      <c r="BL27" s="80" t="str">
        <f t="shared" si="6"/>
        <v>Wavefold Cord OperationSingle Face Fix BracketsDouble Left</v>
      </c>
      <c r="BM27" s="80" t="s">
        <v>3595</v>
      </c>
      <c r="BT27" s="80" t="s">
        <v>487</v>
      </c>
      <c r="BU27" t="s">
        <v>141</v>
      </c>
      <c r="BV27" t="str">
        <f t="shared" si="4"/>
        <v>Wavefold Cord OperationSingle Panel - Left Stacking</v>
      </c>
      <c r="BX27" s="80">
        <v>1</v>
      </c>
      <c r="BY27" s="80">
        <v>1</v>
      </c>
      <c r="BZ27" s="80">
        <v>1</v>
      </c>
      <c r="CK27" s="25"/>
      <c r="CN27" t="s">
        <v>276</v>
      </c>
      <c r="CO27" t="s">
        <v>7483</v>
      </c>
      <c r="CP27" s="25" t="str">
        <f t="shared" si="8"/>
        <v>DBS to Make270cm Cord Length</v>
      </c>
      <c r="CQ27" s="25" t="s">
        <v>120</v>
      </c>
    </row>
    <row r="28" spans="1:95" ht="16.2" customHeight="1">
      <c r="A28" s="88">
        <v>5000</v>
      </c>
      <c r="B28" s="88">
        <v>8</v>
      </c>
      <c r="C28" t="s">
        <v>3678</v>
      </c>
      <c r="D28" s="80">
        <v>440</v>
      </c>
      <c r="J28" s="80" t="s">
        <v>725</v>
      </c>
      <c r="K28" s="80" t="s">
        <v>145</v>
      </c>
      <c r="L28" t="s">
        <v>185</v>
      </c>
      <c r="M28" t="s">
        <v>164</v>
      </c>
      <c r="N28" t="str">
        <f t="shared" si="0"/>
        <v>SingleConduitNo HooksMuslin Brackets with Wire Support Bracket</v>
      </c>
      <c r="O28">
        <v>0</v>
      </c>
      <c r="P28">
        <v>0</v>
      </c>
      <c r="Q28" s="80">
        <v>6</v>
      </c>
      <c r="R28" s="80">
        <f t="shared" si="1"/>
        <v>0</v>
      </c>
      <c r="W28" s="80" t="s">
        <v>464</v>
      </c>
      <c r="X28" t="s">
        <v>143</v>
      </c>
      <c r="Y28" s="80" t="str">
        <f t="shared" si="9"/>
        <v>No Track or Rod RequiredSingle Panel - Free Flowing</v>
      </c>
      <c r="Z28" s="80">
        <v>0</v>
      </c>
      <c r="AC28" t="s">
        <v>725</v>
      </c>
      <c r="AD28" t="s">
        <v>728</v>
      </c>
      <c r="AE28" s="80" t="str">
        <f t="shared" si="5"/>
        <v>SingleVersatrak Glide Bracket 140mm</v>
      </c>
      <c r="AF28" s="80">
        <v>140</v>
      </c>
      <c r="AH28" s="87" t="s">
        <v>283</v>
      </c>
      <c r="AI28" s="87" t="s">
        <v>357</v>
      </c>
      <c r="AJ28" s="11" t="s">
        <v>160</v>
      </c>
      <c r="AK28" s="80" t="str">
        <f t="shared" si="13"/>
        <v>Designer 25 Cord DrawnMatt SatinStraight</v>
      </c>
      <c r="AL28" s="80" t="s">
        <v>274</v>
      </c>
      <c r="AM28" s="80" t="s">
        <v>181</v>
      </c>
      <c r="AN28" s="80">
        <v>200</v>
      </c>
      <c r="AO28" s="80" t="s">
        <v>120</v>
      </c>
      <c r="AW28" t="s">
        <v>5455</v>
      </c>
      <c r="AX28" t="s">
        <v>141</v>
      </c>
      <c r="AY28" t="str">
        <f t="shared" si="3"/>
        <v>Double Pinch Pleat (Standard Fullness x 2.1)Single Panel - Left Stacking</v>
      </c>
      <c r="AZ28" s="80">
        <v>2.1</v>
      </c>
      <c r="BA28" s="80">
        <v>200</v>
      </c>
      <c r="BE28" s="87" t="s">
        <v>485</v>
      </c>
      <c r="BF28" s="87" t="s">
        <v>485</v>
      </c>
      <c r="BG28" s="87" t="s">
        <v>403</v>
      </c>
      <c r="BI28" s="80" t="s">
        <v>487</v>
      </c>
      <c r="BJ28" s="80" t="s">
        <v>161</v>
      </c>
      <c r="BK28" s="80" t="s">
        <v>3595</v>
      </c>
      <c r="BL28" s="80" t="str">
        <f t="shared" si="6"/>
        <v>Wavefold Cord OperationTop Fix BracketsDouble Left</v>
      </c>
      <c r="BM28" s="80" t="s">
        <v>3595</v>
      </c>
      <c r="BT28" s="80" t="s">
        <v>487</v>
      </c>
      <c r="BU28" t="s">
        <v>142</v>
      </c>
      <c r="BV28" t="str">
        <f t="shared" si="4"/>
        <v>Wavefold Cord OperationSingle Panel - Right Stacking</v>
      </c>
      <c r="BX28" s="80">
        <v>1</v>
      </c>
      <c r="BY28" s="80">
        <v>1</v>
      </c>
      <c r="BZ28" s="80">
        <v>1</v>
      </c>
      <c r="CK28" s="25"/>
      <c r="CN28" t="s">
        <v>276</v>
      </c>
      <c r="CO28" t="s">
        <v>7479</v>
      </c>
      <c r="CP28" s="25" t="str">
        <f t="shared" si="8"/>
        <v>DBS to Make100cm Cord Length</v>
      </c>
      <c r="CQ28" s="25" t="s">
        <v>120</v>
      </c>
    </row>
    <row r="29" spans="1:95" ht="16.2" customHeight="1">
      <c r="A29" s="88">
        <v>6100</v>
      </c>
      <c r="B29" s="88">
        <v>9</v>
      </c>
      <c r="C29" t="s">
        <v>3689</v>
      </c>
      <c r="D29" s="80">
        <v>140</v>
      </c>
      <c r="J29" s="80" t="s">
        <v>746</v>
      </c>
      <c r="K29" s="80" t="s">
        <v>392</v>
      </c>
      <c r="L29" t="s">
        <v>185</v>
      </c>
      <c r="M29" t="s">
        <v>166</v>
      </c>
      <c r="N29" t="str">
        <f t="shared" si="0"/>
        <v>Double FrontConduit x 2No Hooks100mm Unstayed Brackets with Acorns</v>
      </c>
      <c r="O29">
        <v>0</v>
      </c>
      <c r="P29">
        <v>0</v>
      </c>
      <c r="Q29" s="80">
        <v>-70</v>
      </c>
      <c r="R29" s="80">
        <f t="shared" si="1"/>
        <v>0</v>
      </c>
      <c r="W29" s="80" t="s">
        <v>464</v>
      </c>
      <c r="X29" s="80" t="s">
        <v>154</v>
      </c>
      <c r="Y29" s="80" t="str">
        <f t="shared" si="9"/>
        <v>No Track or Rod RequiredNo Movement</v>
      </c>
      <c r="Z29" s="80">
        <v>0</v>
      </c>
      <c r="AC29" t="s">
        <v>725</v>
      </c>
      <c r="AD29" t="s">
        <v>726</v>
      </c>
      <c r="AE29" s="80" t="str">
        <f t="shared" si="5"/>
        <v>SingleVersatrak Glide Bracket 40mm</v>
      </c>
      <c r="AF29" s="80">
        <v>40</v>
      </c>
      <c r="AH29" s="87" t="s">
        <v>283</v>
      </c>
      <c r="AI29" s="87" t="s">
        <v>191</v>
      </c>
      <c r="AJ29" s="11" t="s">
        <v>11556</v>
      </c>
      <c r="AK29" s="80" t="str">
        <f t="shared" si="13"/>
        <v>Designer 25 Cord DrawnWhiteBent</v>
      </c>
      <c r="AL29" s="80" t="s">
        <v>274</v>
      </c>
      <c r="AM29" s="80" t="s">
        <v>181</v>
      </c>
      <c r="AN29" s="80">
        <v>200</v>
      </c>
      <c r="AO29" s="80" t="s">
        <v>120</v>
      </c>
      <c r="AW29" t="s">
        <v>5455</v>
      </c>
      <c r="AX29" t="s">
        <v>142</v>
      </c>
      <c r="AY29" t="str">
        <f t="shared" si="3"/>
        <v>Double Pinch Pleat (Standard Fullness x 2.1)Single Panel - Right Stacking</v>
      </c>
      <c r="AZ29" s="80">
        <v>2.1</v>
      </c>
      <c r="BA29" s="80">
        <v>200</v>
      </c>
      <c r="BE29" s="87" t="s">
        <v>486</v>
      </c>
      <c r="BF29" s="87" t="s">
        <v>486</v>
      </c>
      <c r="BG29" s="87" t="s">
        <v>403</v>
      </c>
      <c r="BI29" s="80" t="s">
        <v>487</v>
      </c>
      <c r="BJ29" s="80" t="s">
        <v>553</v>
      </c>
      <c r="BK29" s="80" t="s">
        <v>3595</v>
      </c>
      <c r="BL29" s="80" t="str">
        <f t="shared" si="6"/>
        <v>Wavefold Cord OperationTriple Face Fix BracketsDouble Left</v>
      </c>
      <c r="BM29" s="80" t="s">
        <v>3595</v>
      </c>
      <c r="BT29" s="80" t="s">
        <v>488</v>
      </c>
      <c r="BU29" t="s">
        <v>138</v>
      </c>
      <c r="BV29" t="str">
        <f t="shared" si="4"/>
        <v>Wavefold Hand OperationCentre Opening</v>
      </c>
      <c r="BZ29" s="80">
        <v>2</v>
      </c>
      <c r="CK29" s="25"/>
      <c r="CN29" t="s">
        <v>276</v>
      </c>
      <c r="CO29" t="s">
        <v>7480</v>
      </c>
      <c r="CP29" s="25" t="str">
        <f t="shared" si="8"/>
        <v>DBS to Make120cm Cord Length</v>
      </c>
      <c r="CQ29" s="25" t="s">
        <v>120</v>
      </c>
    </row>
    <row r="30" spans="1:95" ht="16.2" customHeight="1">
      <c r="A30" s="88">
        <v>7000</v>
      </c>
      <c r="B30" s="88">
        <v>10</v>
      </c>
      <c r="C30" t="s">
        <v>3690</v>
      </c>
      <c r="D30" s="80">
        <v>440</v>
      </c>
      <c r="J30" s="80" t="s">
        <v>747</v>
      </c>
      <c r="K30" s="80" t="s">
        <v>392</v>
      </c>
      <c r="L30" t="s">
        <v>185</v>
      </c>
      <c r="M30" t="s">
        <v>166</v>
      </c>
      <c r="N30" t="str">
        <f t="shared" si="0"/>
        <v>Double RearConduit x 2No Hooks100mm Unstayed Brackets with Acorns</v>
      </c>
      <c r="O30">
        <v>0</v>
      </c>
      <c r="P30">
        <v>0</v>
      </c>
      <c r="Q30" s="80">
        <v>-70</v>
      </c>
      <c r="R30" s="80">
        <f t="shared" si="1"/>
        <v>0</v>
      </c>
      <c r="W30" s="80" t="s">
        <v>487</v>
      </c>
      <c r="X30" t="s">
        <v>138</v>
      </c>
      <c r="Y30" s="80" t="str">
        <f t="shared" si="9"/>
        <v>Wavefold Cord OperationCentre Opening</v>
      </c>
      <c r="Z30" s="80">
        <v>60</v>
      </c>
      <c r="AC30" t="s">
        <v>725</v>
      </c>
      <c r="AD30" t="s">
        <v>729</v>
      </c>
      <c r="AE30" s="80" t="str">
        <f t="shared" si="5"/>
        <v>SingleVersatrak Glide Bracket 60mm</v>
      </c>
      <c r="AF30" s="80">
        <v>60</v>
      </c>
      <c r="AH30" s="87" t="s">
        <v>283</v>
      </c>
      <c r="AI30" s="87" t="s">
        <v>191</v>
      </c>
      <c r="AJ30" s="11" t="s">
        <v>160</v>
      </c>
      <c r="AK30" s="80" t="str">
        <f t="shared" si="13"/>
        <v>Designer 25 Cord DrawnWhiteStraight</v>
      </c>
      <c r="AL30" s="80" t="s">
        <v>274</v>
      </c>
      <c r="AM30" s="80" t="s">
        <v>181</v>
      </c>
      <c r="AN30" s="80">
        <v>200</v>
      </c>
      <c r="AO30" s="80" t="s">
        <v>120</v>
      </c>
      <c r="AW30" t="s">
        <v>5455</v>
      </c>
      <c r="AX30" t="s">
        <v>143</v>
      </c>
      <c r="AY30" t="str">
        <f t="shared" si="3"/>
        <v>Double Pinch Pleat (Standard Fullness x 2.1)Single Panel - Free Flowing</v>
      </c>
      <c r="AZ30" s="80">
        <v>2.1</v>
      </c>
      <c r="BA30" s="80">
        <v>200</v>
      </c>
      <c r="BE30" s="86" t="s">
        <v>365</v>
      </c>
      <c r="BF30" s="86" t="s">
        <v>365</v>
      </c>
      <c r="BG30" s="86">
        <v>250</v>
      </c>
      <c r="BI30" s="80" t="s">
        <v>488</v>
      </c>
      <c r="BJ30" s="80" t="s">
        <v>162</v>
      </c>
      <c r="BK30" s="80" t="s">
        <v>3595</v>
      </c>
      <c r="BL30" s="80" t="str">
        <f t="shared" si="6"/>
        <v>Wavefold Hand OperationDouble Face Fix BracketsDouble Left</v>
      </c>
      <c r="BM30" s="80" t="s">
        <v>3595</v>
      </c>
      <c r="BT30" s="80" t="s">
        <v>488</v>
      </c>
      <c r="BU30" t="s">
        <v>717</v>
      </c>
      <c r="BV30" t="str">
        <f t="shared" si="4"/>
        <v>Wavefold Hand OperationCentre Opening - Free Flowing</v>
      </c>
      <c r="BZ30" s="80">
        <v>2</v>
      </c>
      <c r="CK30" s="25"/>
      <c r="CN30" t="s">
        <v>276</v>
      </c>
      <c r="CO30" t="s">
        <v>7477</v>
      </c>
      <c r="CP30" s="25" t="str">
        <f t="shared" si="8"/>
        <v>DBS to Make150cm Cord Length</v>
      </c>
      <c r="CQ30" s="25" t="s">
        <v>120</v>
      </c>
    </row>
    <row r="31" spans="1:95" ht="16.2" customHeight="1">
      <c r="A31" s="88">
        <v>8000</v>
      </c>
      <c r="B31" s="88">
        <v>11</v>
      </c>
      <c r="C31" t="s">
        <v>3671</v>
      </c>
      <c r="D31" s="80">
        <v>140</v>
      </c>
      <c r="J31" s="80" t="s">
        <v>725</v>
      </c>
      <c r="K31" s="80" t="s">
        <v>392</v>
      </c>
      <c r="L31" t="s">
        <v>185</v>
      </c>
      <c r="M31" t="s">
        <v>166</v>
      </c>
      <c r="N31" t="str">
        <f t="shared" si="0"/>
        <v>SingleConduit x 2No Hooks100mm Unstayed Brackets with Acorns</v>
      </c>
      <c r="O31">
        <v>0</v>
      </c>
      <c r="P31">
        <v>0</v>
      </c>
      <c r="Q31" s="80">
        <v>-70</v>
      </c>
      <c r="R31" s="80">
        <f t="shared" si="1"/>
        <v>0</v>
      </c>
      <c r="W31" s="80" t="s">
        <v>487</v>
      </c>
      <c r="X31" s="80" t="s">
        <v>717</v>
      </c>
      <c r="Y31" s="80" t="str">
        <f>CONCATENATE(W31,X31)</f>
        <v>Wavefold Cord OperationCentre Opening - Free Flowing</v>
      </c>
      <c r="Z31" s="80">
        <v>6</v>
      </c>
      <c r="AC31" t="s">
        <v>725</v>
      </c>
      <c r="AD31" t="s">
        <v>740</v>
      </c>
      <c r="AE31" s="80" t="str">
        <f t="shared" si="5"/>
        <v>SingleVersatrak Ring Bracket 100mm</v>
      </c>
      <c r="AF31" s="80">
        <v>100</v>
      </c>
      <c r="AH31" s="87" t="s">
        <v>271</v>
      </c>
      <c r="AI31" s="87" t="s">
        <v>398</v>
      </c>
      <c r="AJ31" s="11" t="s">
        <v>11556</v>
      </c>
      <c r="AK31" s="80" t="str">
        <f t="shared" si="13"/>
        <v>Designer 25 Hand DrawnAntique BrassBent</v>
      </c>
      <c r="AL31" s="80" t="s">
        <v>274</v>
      </c>
      <c r="AM31" s="80" t="s">
        <v>181</v>
      </c>
      <c r="AN31" s="80">
        <v>200</v>
      </c>
      <c r="AO31" s="80" t="s">
        <v>120</v>
      </c>
      <c r="AW31" t="s">
        <v>5455</v>
      </c>
      <c r="AX31" t="s">
        <v>717</v>
      </c>
      <c r="AY31" t="str">
        <f t="shared" si="3"/>
        <v>Double Pinch Pleat (Standard Fullness x 2.1)Centre Opening - Free Flowing</v>
      </c>
      <c r="AZ31" s="80">
        <v>2.1</v>
      </c>
      <c r="BA31" s="80">
        <v>400</v>
      </c>
      <c r="BE31" s="86" t="s">
        <v>419</v>
      </c>
      <c r="BF31" s="86" t="s">
        <v>419</v>
      </c>
      <c r="BG31" s="86">
        <v>250</v>
      </c>
      <c r="BI31" s="80" t="s">
        <v>488</v>
      </c>
      <c r="BJ31" s="80" t="s">
        <v>159</v>
      </c>
      <c r="BK31" s="80" t="s">
        <v>3595</v>
      </c>
      <c r="BL31" s="80" t="str">
        <f t="shared" si="6"/>
        <v>Wavefold Hand OperationSingle Face Fix BracketsDouble Left</v>
      </c>
      <c r="BM31" s="80" t="s">
        <v>3595</v>
      </c>
      <c r="BT31" s="80" t="s">
        <v>488</v>
      </c>
      <c r="BU31" t="s">
        <v>5903</v>
      </c>
      <c r="BV31" t="str">
        <f t="shared" si="4"/>
        <v>Wavefold Hand OperationCentre Opening - Free Flowing (Offset Split)</v>
      </c>
      <c r="BZ31" s="80">
        <v>2</v>
      </c>
      <c r="CK31" s="25"/>
      <c r="CN31" t="s">
        <v>276</v>
      </c>
      <c r="CO31" t="s">
        <v>7481</v>
      </c>
      <c r="CP31" s="25" t="str">
        <f t="shared" si="8"/>
        <v>DBS to Make180cm Cord Length</v>
      </c>
      <c r="CQ31" s="25" t="s">
        <v>120</v>
      </c>
    </row>
    <row r="32" spans="1:95" ht="16.2" customHeight="1">
      <c r="A32" s="88">
        <v>9000</v>
      </c>
      <c r="B32" s="88">
        <v>12</v>
      </c>
      <c r="C32" t="s">
        <v>3672</v>
      </c>
      <c r="D32" s="80">
        <v>320</v>
      </c>
      <c r="J32" s="80" t="s">
        <v>746</v>
      </c>
      <c r="K32" s="80" t="s">
        <v>392</v>
      </c>
      <c r="L32" t="s">
        <v>185</v>
      </c>
      <c r="M32" t="s">
        <v>165</v>
      </c>
      <c r="N32" t="str">
        <f t="shared" si="0"/>
        <v>Double FrontConduit x 2No Hooks25mm Brackets with Acorns</v>
      </c>
      <c r="O32">
        <v>0</v>
      </c>
      <c r="P32">
        <v>0</v>
      </c>
      <c r="Q32" s="80">
        <v>-70</v>
      </c>
      <c r="R32" s="80">
        <f t="shared" si="1"/>
        <v>0</v>
      </c>
      <c r="W32" s="80" t="s">
        <v>487</v>
      </c>
      <c r="X32" s="80" t="s">
        <v>5902</v>
      </c>
      <c r="Y32" s="80" t="str">
        <f t="shared" si="14" ref="Y32">CONCATENATE(W32,X32)</f>
        <v>Wavefold Cord OperationCentre Opening (Offset Split)</v>
      </c>
      <c r="Z32" s="80">
        <v>60</v>
      </c>
      <c r="AC32" t="s">
        <v>725</v>
      </c>
      <c r="AD32" t="s">
        <v>741</v>
      </c>
      <c r="AE32" s="80" t="str">
        <f t="shared" si="5"/>
        <v>SingleVersatrak Ring Bracket 140mm</v>
      </c>
      <c r="AF32" s="80">
        <v>140</v>
      </c>
      <c r="AH32" s="87" t="s">
        <v>271</v>
      </c>
      <c r="AI32" s="87" t="s">
        <v>398</v>
      </c>
      <c r="AJ32" s="11" t="s">
        <v>160</v>
      </c>
      <c r="AK32" s="80" t="str">
        <f t="shared" si="13"/>
        <v>Designer 25 Hand DrawnAntique BrassStraight</v>
      </c>
      <c r="AL32" s="80" t="s">
        <v>274</v>
      </c>
      <c r="AM32" s="80" t="s">
        <v>181</v>
      </c>
      <c r="AN32" s="80">
        <v>200</v>
      </c>
      <c r="AO32" s="80" t="s">
        <v>120</v>
      </c>
      <c r="AW32" t="s">
        <v>5455</v>
      </c>
      <c r="AX32" t="s">
        <v>154</v>
      </c>
      <c r="AY32" t="str">
        <f t="shared" si="3"/>
        <v>Double Pinch Pleat (Standard Fullness x 2.1)No Movement</v>
      </c>
      <c r="AZ32" s="80">
        <v>2.1</v>
      </c>
      <c r="BA32" s="80">
        <v>200</v>
      </c>
      <c r="BE32" t="s">
        <v>289</v>
      </c>
      <c r="BF32" t="s">
        <v>289</v>
      </c>
      <c r="BG32" s="87" t="s">
        <v>403</v>
      </c>
      <c r="BI32" s="80" t="s">
        <v>488</v>
      </c>
      <c r="BJ32" s="80" t="s">
        <v>161</v>
      </c>
      <c r="BK32" s="80" t="s">
        <v>3595</v>
      </c>
      <c r="BL32" s="80" t="str">
        <f t="shared" si="6"/>
        <v>Wavefold Hand OperationTop Fix BracketsDouble Left</v>
      </c>
      <c r="BM32" s="80" t="s">
        <v>3595</v>
      </c>
      <c r="BT32" s="80" t="s">
        <v>488</v>
      </c>
      <c r="BU32" t="s">
        <v>5902</v>
      </c>
      <c r="BV32" t="str">
        <f t="shared" si="4"/>
        <v>Wavefold Hand OperationCentre Opening (Offset Split)</v>
      </c>
      <c r="BZ32" s="80">
        <v>2</v>
      </c>
      <c r="CK32" s="25"/>
      <c r="CN32" t="s">
        <v>276</v>
      </c>
      <c r="CO32" t="s">
        <v>7482</v>
      </c>
      <c r="CP32" s="25" t="str">
        <f t="shared" si="8"/>
        <v>DBS to Make210cm Cord Length</v>
      </c>
      <c r="CQ32" s="25" t="s">
        <v>120</v>
      </c>
    </row>
    <row r="33" spans="1:95" ht="16.2" customHeight="1">
      <c r="A33" s="88">
        <v>10000</v>
      </c>
      <c r="B33" s="88">
        <v>13</v>
      </c>
      <c r="C33" t="s">
        <v>3665</v>
      </c>
      <c r="D33" s="80">
        <v>70</v>
      </c>
      <c r="J33" s="80" t="s">
        <v>747</v>
      </c>
      <c r="K33" s="80" t="s">
        <v>392</v>
      </c>
      <c r="L33" t="s">
        <v>185</v>
      </c>
      <c r="M33" t="s">
        <v>165</v>
      </c>
      <c r="N33" t="str">
        <f t="shared" si="0"/>
        <v>Double RearConduit x 2No Hooks25mm Brackets with Acorns</v>
      </c>
      <c r="O33">
        <v>0</v>
      </c>
      <c r="P33">
        <v>0</v>
      </c>
      <c r="Q33" s="80">
        <v>-70</v>
      </c>
      <c r="R33" s="80">
        <f t="shared" si="1"/>
        <v>0</v>
      </c>
      <c r="W33" s="80" t="s">
        <v>487</v>
      </c>
      <c r="X33" s="80" t="s">
        <v>5903</v>
      </c>
      <c r="Y33" s="80" t="str">
        <f t="shared" si="15" ref="Y33">CONCATENATE(W33,X33)</f>
        <v>Wavefold Cord OperationCentre Opening - Free Flowing (Offset Split)</v>
      </c>
      <c r="Z33" s="80">
        <v>60</v>
      </c>
      <c r="AC33" t="s">
        <v>725</v>
      </c>
      <c r="AD33" t="s">
        <v>739</v>
      </c>
      <c r="AE33" s="80" t="str">
        <f t="shared" si="5"/>
        <v>SingleVersatrak Ring Bracket 60mm</v>
      </c>
      <c r="AF33" s="80">
        <v>60</v>
      </c>
      <c r="AH33" s="87" t="s">
        <v>271</v>
      </c>
      <c r="AI33" s="87" t="s">
        <v>275</v>
      </c>
      <c r="AJ33" s="11" t="s">
        <v>11556</v>
      </c>
      <c r="AK33" s="80" t="str">
        <f t="shared" si="13"/>
        <v>Designer 25 Hand DrawnBirch WhiteBent</v>
      </c>
      <c r="AL33" s="80" t="s">
        <v>274</v>
      </c>
      <c r="AM33" s="80" t="s">
        <v>181</v>
      </c>
      <c r="AN33" s="80">
        <v>200</v>
      </c>
      <c r="AO33" s="80" t="s">
        <v>120</v>
      </c>
      <c r="AW33" s="80" t="s">
        <v>5455</v>
      </c>
      <c r="AX33" s="80" t="s">
        <v>5903</v>
      </c>
      <c r="AY33" t="str">
        <f t="shared" si="3"/>
        <v>Double Pinch Pleat (Standard Fullness x 2.1)Centre Opening - Free Flowing (Offset Split)</v>
      </c>
      <c r="AZ33" s="80">
        <v>2.1</v>
      </c>
      <c r="BA33" s="80">
        <v>200</v>
      </c>
      <c r="BE33" s="86" t="s">
        <v>277</v>
      </c>
      <c r="BF33" s="86" t="s">
        <v>277</v>
      </c>
      <c r="BG33" s="86">
        <v>130</v>
      </c>
      <c r="BI33" s="80" t="s">
        <v>488</v>
      </c>
      <c r="BJ33" s="80" t="s">
        <v>553</v>
      </c>
      <c r="BK33" s="80" t="s">
        <v>3595</v>
      </c>
      <c r="BL33" s="80" t="str">
        <f t="shared" si="6"/>
        <v>Wavefold Hand OperationTriple Face Fix BracketsDouble Left</v>
      </c>
      <c r="BM33" s="80" t="s">
        <v>3595</v>
      </c>
      <c r="BT33" s="80" t="s">
        <v>488</v>
      </c>
      <c r="BU33" t="s">
        <v>154</v>
      </c>
      <c r="BV33" t="str">
        <f t="shared" si="4"/>
        <v>Wavefold Hand OperationNo Movement</v>
      </c>
      <c r="BZ33" s="80">
        <v>2</v>
      </c>
      <c r="CK33" s="25"/>
      <c r="CN33" t="s">
        <v>276</v>
      </c>
      <c r="CO33" t="s">
        <v>7478</v>
      </c>
      <c r="CP33" s="25" t="str">
        <f t="shared" si="8"/>
        <v>DBS to Make240cm Cord Length</v>
      </c>
      <c r="CQ33" s="25" t="s">
        <v>120</v>
      </c>
    </row>
    <row r="34" spans="1:95" ht="16.2" customHeight="1">
      <c r="A34" s="88">
        <v>11000</v>
      </c>
      <c r="B34" s="88">
        <v>14</v>
      </c>
      <c r="C34" t="s">
        <v>3666</v>
      </c>
      <c r="D34" s="80">
        <v>80</v>
      </c>
      <c r="J34" s="80" t="s">
        <v>725</v>
      </c>
      <c r="K34" s="80" t="s">
        <v>392</v>
      </c>
      <c r="L34" t="s">
        <v>185</v>
      </c>
      <c r="M34" t="s">
        <v>165</v>
      </c>
      <c r="N34" t="str">
        <f t="shared" si="0"/>
        <v>SingleConduit x 2No Hooks25mm Brackets with Acorns</v>
      </c>
      <c r="O34">
        <v>0</v>
      </c>
      <c r="P34">
        <v>0</v>
      </c>
      <c r="Q34" s="80">
        <v>-70</v>
      </c>
      <c r="R34" s="80">
        <f t="shared" si="1"/>
        <v>0</v>
      </c>
      <c r="W34" s="80" t="s">
        <v>487</v>
      </c>
      <c r="X34" t="s">
        <v>141</v>
      </c>
      <c r="Y34" s="80" t="str">
        <f t="shared" si="9"/>
        <v>Wavefold Cord OperationSingle Panel - Left Stacking</v>
      </c>
      <c r="Z34" s="80">
        <v>35</v>
      </c>
      <c r="AC34" t="s">
        <v>725</v>
      </c>
      <c r="AD34" t="s">
        <v>731</v>
      </c>
      <c r="AE34" s="80" t="str">
        <f t="shared" si="5"/>
        <v>SingleVersatrak Top Fix Ring Bracket</v>
      </c>
      <c r="AF34" s="80">
        <v>75</v>
      </c>
      <c r="AH34" s="87" t="s">
        <v>271</v>
      </c>
      <c r="AI34" s="87" t="s">
        <v>275</v>
      </c>
      <c r="AJ34" s="11" t="s">
        <v>160</v>
      </c>
      <c r="AK34" s="80" t="str">
        <f t="shared" si="13"/>
        <v>Designer 25 Hand DrawnBirch WhiteStraight</v>
      </c>
      <c r="AL34" s="80" t="s">
        <v>274</v>
      </c>
      <c r="AM34" s="80" t="s">
        <v>181</v>
      </c>
      <c r="AN34" s="80">
        <v>200</v>
      </c>
      <c r="AO34" s="80" t="s">
        <v>120</v>
      </c>
      <c r="AW34" t="s">
        <v>7581</v>
      </c>
      <c r="AX34" t="s">
        <v>138</v>
      </c>
      <c r="AY34" t="str">
        <f t="shared" si="3"/>
        <v>Double Pinch Pleat for Sheers (Extra Fullness x 2.5)Centre Opening</v>
      </c>
      <c r="AZ34" s="80">
        <v>2.5</v>
      </c>
      <c r="BA34" s="80">
        <v>400</v>
      </c>
      <c r="BE34" s="86" t="s">
        <v>278</v>
      </c>
      <c r="BF34" s="86" t="s">
        <v>278</v>
      </c>
      <c r="BG34" s="86">
        <v>130</v>
      </c>
      <c r="BI34" s="80" t="s">
        <v>487</v>
      </c>
      <c r="BJ34" s="80" t="s">
        <v>162</v>
      </c>
      <c r="BK34" s="80" t="s">
        <v>3596</v>
      </c>
      <c r="BL34" s="80" t="str">
        <f t="shared" si="6"/>
        <v>Wavefold Cord OperationDouble Face Fix BracketsDouble Right</v>
      </c>
      <c r="BM34" s="80" t="s">
        <v>3596</v>
      </c>
      <c r="BT34" s="80" t="s">
        <v>488</v>
      </c>
      <c r="BU34" t="s">
        <v>143</v>
      </c>
      <c r="BV34" t="str">
        <f t="shared" si="4"/>
        <v>Wavefold Hand OperationSingle Panel - Free Flowing</v>
      </c>
      <c r="BZ34" s="80">
        <v>2</v>
      </c>
      <c r="CK34" s="25"/>
      <c r="CN34" t="s">
        <v>276</v>
      </c>
      <c r="CO34" t="s">
        <v>7483</v>
      </c>
      <c r="CP34" s="25" t="str">
        <f t="shared" si="8"/>
        <v>DBS to Make270cm Cord Length</v>
      </c>
      <c r="CQ34" s="25" t="s">
        <v>120</v>
      </c>
    </row>
    <row r="35" spans="1:95" ht="16.2" customHeight="1">
      <c r="A35" s="88">
        <v>12000</v>
      </c>
      <c r="B35" s="88">
        <v>15</v>
      </c>
      <c r="C35" t="s">
        <v>3664</v>
      </c>
      <c r="D35" s="80">
        <v>220</v>
      </c>
      <c r="J35" s="80" t="s">
        <v>746</v>
      </c>
      <c r="K35" s="80" t="s">
        <v>392</v>
      </c>
      <c r="L35" t="s">
        <v>185</v>
      </c>
      <c r="M35" t="s">
        <v>163</v>
      </c>
      <c r="N35" t="str">
        <f t="shared" si="0"/>
        <v>Double FrontConduit x 2No HooksMuslin Brackets</v>
      </c>
      <c r="O35">
        <v>0</v>
      </c>
      <c r="P35">
        <v>0</v>
      </c>
      <c r="Q35" s="80">
        <v>6</v>
      </c>
      <c r="R35" s="80">
        <f t="shared" si="1"/>
        <v>0</v>
      </c>
      <c r="W35" s="80" t="s">
        <v>487</v>
      </c>
      <c r="X35" t="s">
        <v>142</v>
      </c>
      <c r="Y35" s="80" t="str">
        <f t="shared" si="9"/>
        <v>Wavefold Cord OperationSingle Panel - Right Stacking</v>
      </c>
      <c r="Z35" s="80">
        <v>35</v>
      </c>
      <c r="AC35" t="s">
        <v>725</v>
      </c>
      <c r="AD35" t="s">
        <v>11602</v>
      </c>
      <c r="AE35" s="80" t="str">
        <f t="shared" si="5"/>
        <v>SingleVersatrak Top Fix Suspension Bracket</v>
      </c>
      <c r="AF35" s="80">
        <v>80</v>
      </c>
      <c r="AH35" s="87" t="s">
        <v>271</v>
      </c>
      <c r="AI35" s="87" t="s">
        <v>9701</v>
      </c>
      <c r="AJ35" s="11" t="s">
        <v>11556</v>
      </c>
      <c r="AK35" s="80" t="str">
        <f t="shared" si="16" ref="AK35:AK42">CONCATENATE(AH35,AI35,AJ35)</f>
        <v>Designer 25 Hand DrawnChampagneBent</v>
      </c>
      <c r="AL35" s="80" t="s">
        <v>274</v>
      </c>
      <c r="AM35" s="80" t="s">
        <v>181</v>
      </c>
      <c r="AN35" s="80">
        <v>200</v>
      </c>
      <c r="AO35" s="80" t="s">
        <v>120</v>
      </c>
      <c r="AW35" t="s">
        <v>7581</v>
      </c>
      <c r="AX35" t="s">
        <v>5902</v>
      </c>
      <c r="AY35" t="str">
        <f t="shared" si="3"/>
        <v>Double Pinch Pleat for Sheers (Extra Fullness x 2.5)Centre Opening (Offset Split)</v>
      </c>
      <c r="AZ35" s="80">
        <v>2.5</v>
      </c>
      <c r="BA35" s="80">
        <v>400</v>
      </c>
      <c r="BE35" s="80" t="s">
        <v>416</v>
      </c>
      <c r="BF35" s="80" t="s">
        <v>416</v>
      </c>
      <c r="BG35" s="86">
        <v>130</v>
      </c>
      <c r="BI35" s="80" t="s">
        <v>487</v>
      </c>
      <c r="BJ35" s="80" t="s">
        <v>159</v>
      </c>
      <c r="BK35" s="80" t="s">
        <v>3596</v>
      </c>
      <c r="BL35" s="80" t="str">
        <f t="shared" si="6"/>
        <v>Wavefold Cord OperationSingle Face Fix BracketsDouble Right</v>
      </c>
      <c r="BM35" s="80" t="s">
        <v>3596</v>
      </c>
      <c r="BT35" s="80" t="s">
        <v>488</v>
      </c>
      <c r="BU35" t="s">
        <v>141</v>
      </c>
      <c r="BV35" t="str">
        <f t="shared" si="4"/>
        <v>Wavefold Hand OperationSingle Panel - Left Stacking</v>
      </c>
      <c r="BZ35" s="80">
        <v>2</v>
      </c>
      <c r="CK35" s="25"/>
      <c r="CN35" t="s">
        <v>276</v>
      </c>
      <c r="CO35"/>
      <c r="CP35" s="25" t="str">
        <f>CONCATENATE(CN35,CO35)</f>
        <v>DBS to Make</v>
      </c>
      <c r="CQ35" s="25" t="s">
        <v>120</v>
      </c>
    </row>
    <row r="36" spans="3:95" ht="16.2" customHeight="1">
      <c r="C36" t="s">
        <v>3669</v>
      </c>
      <c r="D36" s="80">
        <v>230</v>
      </c>
      <c r="J36" s="80" t="s">
        <v>747</v>
      </c>
      <c r="K36" s="80" t="s">
        <v>392</v>
      </c>
      <c r="L36" t="s">
        <v>185</v>
      </c>
      <c r="M36" t="s">
        <v>163</v>
      </c>
      <c r="N36" t="str">
        <f t="shared" si="0"/>
        <v>Double RearConduit x 2No HooksMuslin Brackets</v>
      </c>
      <c r="O36">
        <v>0</v>
      </c>
      <c r="P36">
        <v>0</v>
      </c>
      <c r="Q36" s="80">
        <v>6</v>
      </c>
      <c r="R36" s="80">
        <f t="shared" si="1"/>
        <v>0</v>
      </c>
      <c r="W36" s="80" t="s">
        <v>487</v>
      </c>
      <c r="X36" t="s">
        <v>143</v>
      </c>
      <c r="Y36" s="80" t="str">
        <f t="shared" si="9"/>
        <v>Wavefold Cord OperationSingle Panel - Free Flowing</v>
      </c>
      <c r="Z36" s="80">
        <v>6</v>
      </c>
      <c r="AC36" t="s">
        <v>725</v>
      </c>
      <c r="AD36" t="s">
        <v>11600</v>
      </c>
      <c r="AE36" s="80" t="str">
        <f t="shared" si="5"/>
        <v>SingleVersatrak Top Fix Suspension Bracket with 1 Wall Bracket</v>
      </c>
      <c r="AF36" s="80">
        <v>80</v>
      </c>
      <c r="AH36" s="87" t="s">
        <v>271</v>
      </c>
      <c r="AI36" s="87" t="s">
        <v>9701</v>
      </c>
      <c r="AJ36" s="11" t="s">
        <v>160</v>
      </c>
      <c r="AK36" s="80" t="str">
        <f t="shared" si="16"/>
        <v>Designer 25 Hand DrawnChampagneStraight</v>
      </c>
      <c r="AL36" s="80" t="s">
        <v>274</v>
      </c>
      <c r="AM36" s="80" t="s">
        <v>181</v>
      </c>
      <c r="AN36" s="80">
        <v>200</v>
      </c>
      <c r="AO36" s="80" t="s">
        <v>120</v>
      </c>
      <c r="AW36" t="s">
        <v>7581</v>
      </c>
      <c r="AX36" t="s">
        <v>141</v>
      </c>
      <c r="AY36" t="str">
        <f t="shared" si="3"/>
        <v>Double Pinch Pleat for Sheers (Extra Fullness x 2.5)Single Panel - Left Stacking</v>
      </c>
      <c r="AZ36" s="80">
        <v>2.5</v>
      </c>
      <c r="BA36" s="80">
        <v>200</v>
      </c>
      <c r="BE36" s="80" t="s">
        <v>415</v>
      </c>
      <c r="BF36" s="80" t="s">
        <v>415</v>
      </c>
      <c r="BG36" s="86">
        <v>130</v>
      </c>
      <c r="BI36" s="80" t="s">
        <v>487</v>
      </c>
      <c r="BJ36" s="80" t="s">
        <v>161</v>
      </c>
      <c r="BK36" s="80" t="s">
        <v>3596</v>
      </c>
      <c r="BL36" s="80" t="str">
        <f t="shared" si="6"/>
        <v>Wavefold Cord OperationTop Fix BracketsDouble Right</v>
      </c>
      <c r="BM36" s="80" t="s">
        <v>3596</v>
      </c>
      <c r="BT36" s="80" t="s">
        <v>488</v>
      </c>
      <c r="BU36" t="s">
        <v>142</v>
      </c>
      <c r="BV36" t="str">
        <f t="shared" si="4"/>
        <v>Wavefold Hand OperationSingle Panel - Right Stacking</v>
      </c>
      <c r="BZ36" s="80">
        <v>2</v>
      </c>
      <c r="CK36" s="25"/>
      <c r="CN36" s="25" t="s">
        <v>274</v>
      </c>
      <c r="CO36" t="s">
        <v>5704</v>
      </c>
      <c r="CP36" s="25" t="str">
        <f t="shared" si="8"/>
        <v>Track from TBSWhite Aluminium Flick Sticks 100cm</v>
      </c>
      <c r="CQ36" s="25" t="s">
        <v>181</v>
      </c>
    </row>
    <row r="37" spans="3:95" ht="16.2" customHeight="1">
      <c r="C37" t="s">
        <v>626</v>
      </c>
      <c r="D37" s="80">
        <v>40</v>
      </c>
      <c r="J37" s="80" t="s">
        <v>725</v>
      </c>
      <c r="K37" s="80" t="s">
        <v>392</v>
      </c>
      <c r="L37" t="s">
        <v>185</v>
      </c>
      <c r="M37" t="s">
        <v>163</v>
      </c>
      <c r="N37" t="str">
        <f t="shared" si="0"/>
        <v>SingleConduit x 2No HooksMuslin Brackets</v>
      </c>
      <c r="O37">
        <v>0</v>
      </c>
      <c r="P37">
        <v>0</v>
      </c>
      <c r="Q37" s="80">
        <v>6</v>
      </c>
      <c r="R37" s="80">
        <f t="shared" si="1"/>
        <v>0</v>
      </c>
      <c r="W37" s="80" t="s">
        <v>487</v>
      </c>
      <c r="X37" t="s">
        <v>154</v>
      </c>
      <c r="Y37" s="80" t="str">
        <f t="shared" si="9"/>
        <v>Wavefold Cord OperationNo Movement</v>
      </c>
      <c r="Z37" s="80">
        <v>6</v>
      </c>
      <c r="AC37" t="s">
        <v>725</v>
      </c>
      <c r="AD37" t="s">
        <v>11601</v>
      </c>
      <c r="AE37" s="80" t="str">
        <f t="shared" si="5"/>
        <v>SingleVersatrak Top Fix Suspension Bracket with 2 Wall Brackets</v>
      </c>
      <c r="AF37" s="80">
        <v>80</v>
      </c>
      <c r="AH37" s="87" t="s">
        <v>271</v>
      </c>
      <c r="AI37" s="87" t="s">
        <v>9702</v>
      </c>
      <c r="AJ37" s="11" t="s">
        <v>11556</v>
      </c>
      <c r="AK37" s="80" t="str">
        <f t="shared" si="16"/>
        <v>Designer 25 Hand DrawnMatt BlackBent</v>
      </c>
      <c r="AL37" s="80" t="s">
        <v>274</v>
      </c>
      <c r="AM37" s="80" t="s">
        <v>181</v>
      </c>
      <c r="AN37" s="80">
        <v>200</v>
      </c>
      <c r="AO37" s="80" t="s">
        <v>120</v>
      </c>
      <c r="AW37" t="s">
        <v>7581</v>
      </c>
      <c r="AX37" t="s">
        <v>142</v>
      </c>
      <c r="AY37" t="str">
        <f t="shared" si="3"/>
        <v>Double Pinch Pleat for Sheers (Extra Fullness x 2.5)Single Panel - Right Stacking</v>
      </c>
      <c r="AZ37" s="80">
        <v>2.5</v>
      </c>
      <c r="BA37" s="80">
        <v>200</v>
      </c>
      <c r="BE37" s="87" t="s">
        <v>132</v>
      </c>
      <c r="BF37" s="87" t="s">
        <v>132</v>
      </c>
      <c r="BG37" s="86">
        <v>130</v>
      </c>
      <c r="BI37" s="80" t="s">
        <v>487</v>
      </c>
      <c r="BJ37" s="80" t="s">
        <v>553</v>
      </c>
      <c r="BK37" s="80" t="s">
        <v>3596</v>
      </c>
      <c r="BL37" s="80" t="str">
        <f t="shared" si="6"/>
        <v>Wavefold Cord OperationTriple Face Fix BracketsDouble Right</v>
      </c>
      <c r="BM37" s="80" t="s">
        <v>3596</v>
      </c>
      <c r="BV37"/>
      <c r="CK37" s="25"/>
      <c r="CN37" s="25" t="s">
        <v>274</v>
      </c>
      <c r="CO37" t="s">
        <v>5686</v>
      </c>
      <c r="CP37" s="25" t="str">
        <f t="shared" si="8"/>
        <v>Track from TBSWhite Aluminium Flick Sticks 125cm</v>
      </c>
      <c r="CQ37" s="25" t="s">
        <v>181</v>
      </c>
    </row>
    <row r="38" spans="3:95" ht="16.2" customHeight="1">
      <c r="C38" t="s">
        <v>625</v>
      </c>
      <c r="D38" s="80">
        <v>180</v>
      </c>
      <c r="J38" s="80" t="s">
        <v>746</v>
      </c>
      <c r="K38" s="80" t="s">
        <v>392</v>
      </c>
      <c r="L38" t="s">
        <v>185</v>
      </c>
      <c r="M38" t="s">
        <v>402</v>
      </c>
      <c r="N38" t="str">
        <f t="shared" si="0"/>
        <v>Double FrontConduit x 2No HooksMuslin Brackets Top and Bottom</v>
      </c>
      <c r="O38">
        <v>0</v>
      </c>
      <c r="P38">
        <v>0</v>
      </c>
      <c r="Q38" s="80">
        <v>6</v>
      </c>
      <c r="R38" s="80">
        <f t="shared" si="1"/>
        <v>0</v>
      </c>
      <c r="W38" s="80" t="s">
        <v>488</v>
      </c>
      <c r="X38" t="s">
        <v>138</v>
      </c>
      <c r="Y38" s="80" t="str">
        <f t="shared" si="9"/>
        <v>Wavefold Hand OperationCentre Opening</v>
      </c>
      <c r="Z38" s="80">
        <v>6</v>
      </c>
      <c r="AC38" t="s">
        <v>725</v>
      </c>
      <c r="AD38" t="s">
        <v>730</v>
      </c>
      <c r="AE38" s="80" t="str">
        <f t="shared" si="5"/>
        <v>SingleVersatrak Ultra Top Fix Glide Bracket</v>
      </c>
      <c r="AF38" s="80">
        <v>75</v>
      </c>
      <c r="AH38" s="87" t="s">
        <v>271</v>
      </c>
      <c r="AI38" s="87" t="s">
        <v>9702</v>
      </c>
      <c r="AJ38" s="11" t="s">
        <v>160</v>
      </c>
      <c r="AK38" s="80" t="str">
        <f t="shared" si="16"/>
        <v>Designer 25 Hand DrawnMatt BlackStraight</v>
      </c>
      <c r="AL38" s="80" t="s">
        <v>274</v>
      </c>
      <c r="AM38" s="80" t="s">
        <v>181</v>
      </c>
      <c r="AN38" s="80">
        <v>200</v>
      </c>
      <c r="AO38" s="80" t="s">
        <v>120</v>
      </c>
      <c r="AW38" t="s">
        <v>7581</v>
      </c>
      <c r="AX38" t="s">
        <v>143</v>
      </c>
      <c r="AY38" t="str">
        <f t="shared" si="3"/>
        <v>Double Pinch Pleat for Sheers (Extra Fullness x 2.5)Single Panel - Free Flowing</v>
      </c>
      <c r="AZ38" s="80">
        <v>2.5</v>
      </c>
      <c r="BA38" s="80">
        <v>200</v>
      </c>
      <c r="BE38" s="87" t="s">
        <v>144</v>
      </c>
      <c r="BF38" s="87" t="s">
        <v>144</v>
      </c>
      <c r="BG38" s="86">
        <v>130</v>
      </c>
      <c r="BI38" s="80" t="s">
        <v>488</v>
      </c>
      <c r="BJ38" s="80" t="s">
        <v>162</v>
      </c>
      <c r="BK38" s="80" t="s">
        <v>3596</v>
      </c>
      <c r="BL38" s="80" t="str">
        <f t="shared" si="6"/>
        <v>Wavefold Hand OperationDouble Face Fix BracketsDouble Right</v>
      </c>
      <c r="BM38" s="80" t="s">
        <v>3596</v>
      </c>
      <c r="CK38" s="25"/>
      <c r="CN38" s="25" t="s">
        <v>274</v>
      </c>
      <c r="CO38" t="s">
        <v>5687</v>
      </c>
      <c r="CP38" s="25" t="str">
        <f t="shared" si="8"/>
        <v>Track from TBSWhite Aluminium Flick Sticks 150cm</v>
      </c>
      <c r="CQ38" s="25" t="s">
        <v>181</v>
      </c>
    </row>
    <row r="39" spans="3:95" ht="16.2" customHeight="1">
      <c r="C39" t="s">
        <v>628</v>
      </c>
      <c r="D39" s="80">
        <v>80</v>
      </c>
      <c r="J39" s="80" t="s">
        <v>747</v>
      </c>
      <c r="K39" s="80" t="s">
        <v>392</v>
      </c>
      <c r="L39" t="s">
        <v>185</v>
      </c>
      <c r="M39" t="s">
        <v>402</v>
      </c>
      <c r="N39" t="str">
        <f t="shared" si="0"/>
        <v>Double RearConduit x 2No HooksMuslin Brackets Top and Bottom</v>
      </c>
      <c r="O39">
        <v>0</v>
      </c>
      <c r="P39">
        <v>0</v>
      </c>
      <c r="Q39" s="80">
        <v>6</v>
      </c>
      <c r="R39" s="80">
        <f t="shared" si="1"/>
        <v>0</v>
      </c>
      <c r="W39" s="80" t="s">
        <v>488</v>
      </c>
      <c r="X39" s="80" t="s">
        <v>717</v>
      </c>
      <c r="Y39" s="80" t="str">
        <f t="shared" si="17" ref="Y39">CONCATENATE(W39,X39)</f>
        <v>Wavefold Hand OperationCentre Opening - Free Flowing</v>
      </c>
      <c r="Z39" s="80">
        <v>6</v>
      </c>
      <c r="AC39" t="s">
        <v>747</v>
      </c>
      <c r="AD39" t="s">
        <v>264</v>
      </c>
      <c r="AE39" s="80" t="str">
        <f t="shared" si="5"/>
        <v>Double Rear1 Wall Socket &amp; 1 L Bracket</v>
      </c>
      <c r="AF39" s="80">
        <v>70</v>
      </c>
      <c r="AH39" s="87" t="s">
        <v>271</v>
      </c>
      <c r="AI39" s="87" t="s">
        <v>357</v>
      </c>
      <c r="AJ39" s="11" t="s">
        <v>11556</v>
      </c>
      <c r="AK39" s="80" t="str">
        <f t="shared" si="16"/>
        <v>Designer 25 Hand DrawnMatt SatinBent</v>
      </c>
      <c r="AL39" s="80" t="s">
        <v>274</v>
      </c>
      <c r="AM39" s="80" t="s">
        <v>181</v>
      </c>
      <c r="AN39" s="80">
        <v>200</v>
      </c>
      <c r="AO39" s="80" t="s">
        <v>120</v>
      </c>
      <c r="AW39" t="s">
        <v>7581</v>
      </c>
      <c r="AX39" t="s">
        <v>717</v>
      </c>
      <c r="AY39" t="str">
        <f t="shared" si="3"/>
        <v>Double Pinch Pleat for Sheers (Extra Fullness x 2.5)Centre Opening - Free Flowing</v>
      </c>
      <c r="AZ39" s="80">
        <v>2.5</v>
      </c>
      <c r="BA39" s="80">
        <v>400</v>
      </c>
      <c r="BE39" s="86" t="s">
        <v>372</v>
      </c>
      <c r="BF39" s="86" t="s">
        <v>372</v>
      </c>
      <c r="BG39" s="86">
        <v>130</v>
      </c>
      <c r="BI39" s="80" t="s">
        <v>488</v>
      </c>
      <c r="BJ39" s="80" t="s">
        <v>159</v>
      </c>
      <c r="BK39" s="80" t="s">
        <v>3596</v>
      </c>
      <c r="BL39" s="80" t="str">
        <f t="shared" si="6"/>
        <v>Wavefold Hand OperationSingle Face Fix BracketsDouble Right</v>
      </c>
      <c r="BM39" s="80" t="s">
        <v>3596</v>
      </c>
      <c r="CK39" s="25"/>
      <c r="CN39" s="25" t="s">
        <v>274</v>
      </c>
      <c r="CO39" t="s">
        <v>5705</v>
      </c>
      <c r="CP39" s="25" t="str">
        <f t="shared" si="8"/>
        <v>Track from TBSBlack Aluminium Flick Sticks 100cm</v>
      </c>
      <c r="CQ39" s="25" t="s">
        <v>181</v>
      </c>
    </row>
    <row r="40" spans="3:95" ht="16.2" customHeight="1">
      <c r="C40" t="s">
        <v>627</v>
      </c>
      <c r="D40" s="80">
        <v>220</v>
      </c>
      <c r="J40" s="80" t="s">
        <v>725</v>
      </c>
      <c r="K40" s="80" t="s">
        <v>392</v>
      </c>
      <c r="L40" t="s">
        <v>185</v>
      </c>
      <c r="M40" t="s">
        <v>402</v>
      </c>
      <c r="N40" t="str">
        <f t="shared" si="0"/>
        <v>SingleConduit x 2No HooksMuslin Brackets Top and Bottom</v>
      </c>
      <c r="O40">
        <v>0</v>
      </c>
      <c r="P40">
        <v>0</v>
      </c>
      <c r="Q40" s="80">
        <v>6</v>
      </c>
      <c r="R40" s="80">
        <f t="shared" si="1"/>
        <v>0</v>
      </c>
      <c r="W40" s="80" t="s">
        <v>488</v>
      </c>
      <c r="X40" s="80" t="s">
        <v>5902</v>
      </c>
      <c r="Y40" s="80" t="str">
        <f t="shared" si="9"/>
        <v>Wavefold Hand OperationCentre Opening (Offset Split)</v>
      </c>
      <c r="Z40" s="80">
        <v>6</v>
      </c>
      <c r="AC40" t="s">
        <v>747</v>
      </c>
      <c r="AD40" t="s">
        <v>528</v>
      </c>
      <c r="AE40" s="80" t="str">
        <f t="shared" si="5"/>
        <v>Double Rear100mm Brackets</v>
      </c>
      <c r="AF40" s="80">
        <v>90</v>
      </c>
      <c r="AH40" s="87" t="s">
        <v>271</v>
      </c>
      <c r="AI40" s="87" t="s">
        <v>357</v>
      </c>
      <c r="AJ40" s="11" t="s">
        <v>160</v>
      </c>
      <c r="AK40" s="80" t="str">
        <f t="shared" si="16"/>
        <v>Designer 25 Hand DrawnMatt SatinStraight</v>
      </c>
      <c r="AL40" s="80" t="s">
        <v>274</v>
      </c>
      <c r="AM40" s="80" t="s">
        <v>181</v>
      </c>
      <c r="AN40" s="80">
        <v>200</v>
      </c>
      <c r="AO40" s="80" t="s">
        <v>120</v>
      </c>
      <c r="AW40" t="s">
        <v>7581</v>
      </c>
      <c r="AX40" t="s">
        <v>154</v>
      </c>
      <c r="AY40" t="str">
        <f t="shared" si="3"/>
        <v>Double Pinch Pleat for Sheers (Extra Fullness x 2.5)No Movement</v>
      </c>
      <c r="AZ40" s="80">
        <v>2.5</v>
      </c>
      <c r="BA40" s="80">
        <v>200</v>
      </c>
      <c r="BE40" s="86" t="s">
        <v>287</v>
      </c>
      <c r="BF40" s="86" t="s">
        <v>287</v>
      </c>
      <c r="BG40" s="86">
        <v>250</v>
      </c>
      <c r="BI40" s="80" t="s">
        <v>488</v>
      </c>
      <c r="BJ40" s="80" t="s">
        <v>161</v>
      </c>
      <c r="BK40" s="80" t="s">
        <v>3596</v>
      </c>
      <c r="BL40" s="80" t="str">
        <f t="shared" si="6"/>
        <v>Wavefold Hand OperationTop Fix BracketsDouble Right</v>
      </c>
      <c r="BM40" s="80" t="s">
        <v>3596</v>
      </c>
      <c r="CK40" s="25"/>
      <c r="CN40" s="25" t="s">
        <v>274</v>
      </c>
      <c r="CO40" t="s">
        <v>5706</v>
      </c>
      <c r="CP40" s="25" t="str">
        <f t="shared" si="8"/>
        <v>Track from TBSBlack Aluminium Flick Sticks 125cm</v>
      </c>
      <c r="CQ40" s="25" t="s">
        <v>181</v>
      </c>
    </row>
    <row r="41" spans="3:95" ht="16.2" customHeight="1">
      <c r="C41" t="s">
        <v>134</v>
      </c>
      <c r="D41" s="80">
        <v>10</v>
      </c>
      <c r="J41" s="80" t="s">
        <v>746</v>
      </c>
      <c r="K41" s="80" t="s">
        <v>392</v>
      </c>
      <c r="L41" t="s">
        <v>185</v>
      </c>
      <c r="M41" t="s">
        <v>164</v>
      </c>
      <c r="N41" t="str">
        <f t="shared" si="0"/>
        <v>Double FrontConduit x 2No HooksMuslin Brackets with Wire Support Bracket</v>
      </c>
      <c r="O41">
        <v>0</v>
      </c>
      <c r="P41">
        <v>0</v>
      </c>
      <c r="Q41" s="80">
        <v>6</v>
      </c>
      <c r="R41" s="80">
        <f t="shared" si="1"/>
        <v>0</v>
      </c>
      <c r="W41" s="80" t="s">
        <v>488</v>
      </c>
      <c r="X41" s="80" t="s">
        <v>5903</v>
      </c>
      <c r="Y41" s="80" t="str">
        <f t="shared" si="18" ref="Y41">CONCATENATE(W41,X41)</f>
        <v>Wavefold Hand OperationCentre Opening - Free Flowing (Offset Split)</v>
      </c>
      <c r="Z41" s="80">
        <v>6</v>
      </c>
      <c r="AC41" t="s">
        <v>747</v>
      </c>
      <c r="AD41" t="s">
        <v>166</v>
      </c>
      <c r="AE41" s="80" t="str">
        <f t="shared" si="5"/>
        <v>Double Rear100mm Unstayed Brackets with Acorns</v>
      </c>
      <c r="AF41" s="80">
        <v>90</v>
      </c>
      <c r="AH41" s="87" t="s">
        <v>271</v>
      </c>
      <c r="AI41" s="87" t="s">
        <v>191</v>
      </c>
      <c r="AJ41" s="11" t="s">
        <v>11556</v>
      </c>
      <c r="AK41" s="80" t="str">
        <f t="shared" si="16"/>
        <v>Designer 25 Hand DrawnWhiteBent</v>
      </c>
      <c r="AL41" s="80" t="s">
        <v>274</v>
      </c>
      <c r="AM41" s="80" t="s">
        <v>181</v>
      </c>
      <c r="AN41" s="80">
        <v>200</v>
      </c>
      <c r="AO41" s="80" t="s">
        <v>120</v>
      </c>
      <c r="AW41" s="80" t="s">
        <v>7581</v>
      </c>
      <c r="AX41" s="80" t="s">
        <v>5903</v>
      </c>
      <c r="AY41" t="str">
        <f t="shared" si="3"/>
        <v>Double Pinch Pleat for Sheers (Extra Fullness x 2.5)Centre Opening - Free Flowing (Offset Split)</v>
      </c>
      <c r="AZ41" s="80">
        <v>2.5</v>
      </c>
      <c r="BA41" s="80">
        <v>200</v>
      </c>
      <c r="BE41" s="86" t="s">
        <v>372</v>
      </c>
      <c r="BF41" s="86" t="s">
        <v>372</v>
      </c>
      <c r="BG41" s="86">
        <v>130</v>
      </c>
      <c r="BI41" s="80" t="s">
        <v>488</v>
      </c>
      <c r="BJ41" s="80" t="s">
        <v>553</v>
      </c>
      <c r="BK41" s="80" t="s">
        <v>3596</v>
      </c>
      <c r="BL41" s="80" t="str">
        <f t="shared" si="6"/>
        <v>Wavefold Hand OperationTriple Face Fix BracketsDouble Right</v>
      </c>
      <c r="BM41" s="80" t="s">
        <v>3596</v>
      </c>
      <c r="CK41" s="25"/>
      <c r="CN41" s="25" t="s">
        <v>274</v>
      </c>
      <c r="CO41" t="s">
        <v>5707</v>
      </c>
      <c r="CP41" s="25" t="str">
        <f t="shared" si="8"/>
        <v>Track from TBSBlack Aluminium Flick Sticks 150cm</v>
      </c>
      <c r="CQ41" s="25" t="s">
        <v>181</v>
      </c>
    </row>
    <row r="42" spans="3:95" ht="16.2" customHeight="1">
      <c r="C42" t="s">
        <v>133</v>
      </c>
      <c r="D42" s="80">
        <v>5</v>
      </c>
      <c r="J42" s="80" t="s">
        <v>747</v>
      </c>
      <c r="K42" s="80" t="s">
        <v>392</v>
      </c>
      <c r="L42" t="s">
        <v>185</v>
      </c>
      <c r="M42" t="s">
        <v>164</v>
      </c>
      <c r="N42" t="str">
        <f t="shared" si="0"/>
        <v>Double RearConduit x 2No HooksMuslin Brackets with Wire Support Bracket</v>
      </c>
      <c r="O42">
        <v>0</v>
      </c>
      <c r="P42">
        <v>0</v>
      </c>
      <c r="Q42" s="80">
        <v>6</v>
      </c>
      <c r="R42" s="80">
        <f t="shared" si="1"/>
        <v>0</v>
      </c>
      <c r="W42" s="80" t="s">
        <v>488</v>
      </c>
      <c r="X42" t="s">
        <v>141</v>
      </c>
      <c r="Y42" s="80" t="str">
        <f t="shared" si="9"/>
        <v>Wavefold Hand OperationSingle Panel - Left Stacking</v>
      </c>
      <c r="Z42" s="80">
        <v>6</v>
      </c>
      <c r="AC42" t="s">
        <v>747</v>
      </c>
      <c r="AD42" t="s">
        <v>529</v>
      </c>
      <c r="AE42" s="80" t="str">
        <f t="shared" si="5"/>
        <v>Double Rear170mm Brackets</v>
      </c>
      <c r="AF42" s="80">
        <v>160</v>
      </c>
      <c r="AH42" s="87" t="s">
        <v>271</v>
      </c>
      <c r="AI42" s="87" t="s">
        <v>191</v>
      </c>
      <c r="AJ42" s="11" t="s">
        <v>160</v>
      </c>
      <c r="AK42" s="80" t="str">
        <f t="shared" si="16"/>
        <v>Designer 25 Hand DrawnWhiteStraight</v>
      </c>
      <c r="AL42" s="80" t="s">
        <v>274</v>
      </c>
      <c r="AM42" s="80" t="s">
        <v>181</v>
      </c>
      <c r="AN42" s="80">
        <v>200</v>
      </c>
      <c r="AO42" s="80" t="s">
        <v>120</v>
      </c>
      <c r="AW42" t="s">
        <v>6683</v>
      </c>
      <c r="AX42" t="s">
        <v>138</v>
      </c>
      <c r="AY42" t="str">
        <f t="shared" si="3"/>
        <v>Euro Pleat (Extra Fullness x 2.3)Centre Opening</v>
      </c>
      <c r="AZ42" s="80">
        <v>2.3</v>
      </c>
      <c r="BA42" s="80">
        <v>400</v>
      </c>
      <c r="BE42" s="86" t="s">
        <v>370</v>
      </c>
      <c r="BF42" s="86" t="s">
        <v>370</v>
      </c>
      <c r="BG42" s="86">
        <v>250</v>
      </c>
      <c r="BI42" s="80" t="s">
        <v>487</v>
      </c>
      <c r="BJ42" s="80" t="s">
        <v>162</v>
      </c>
      <c r="BK42" s="80" t="s">
        <v>3527</v>
      </c>
      <c r="BL42" s="80" t="str">
        <f t="shared" si="6"/>
        <v>Wavefold Cord OperationDouble Face Fix BracketsDouble Both Sides</v>
      </c>
      <c r="BM42" s="80" t="s">
        <v>5684</v>
      </c>
      <c r="CK42" s="25"/>
      <c r="CN42" s="25" t="s">
        <v>274</v>
      </c>
      <c r="CO42" t="s">
        <v>5708</v>
      </c>
      <c r="CP42" s="25" t="str">
        <f t="shared" si="8"/>
        <v>Track from TBSMatt Satin Aluminium Flick Sticks 100cm</v>
      </c>
      <c r="CQ42" s="25" t="s">
        <v>181</v>
      </c>
    </row>
    <row r="43" spans="3:95" ht="16.2" customHeight="1">
      <c r="C43" t="s">
        <v>120</v>
      </c>
      <c r="D43" s="80">
        <v>0</v>
      </c>
      <c r="J43" s="80" t="s">
        <v>725</v>
      </c>
      <c r="K43" s="80" t="s">
        <v>392</v>
      </c>
      <c r="L43" t="s">
        <v>185</v>
      </c>
      <c r="M43" t="s">
        <v>164</v>
      </c>
      <c r="N43" t="str">
        <f t="shared" si="0"/>
        <v>SingleConduit x 2No HooksMuslin Brackets with Wire Support Bracket</v>
      </c>
      <c r="O43">
        <v>0</v>
      </c>
      <c r="P43">
        <v>0</v>
      </c>
      <c r="Q43" s="80">
        <v>6</v>
      </c>
      <c r="R43" s="80">
        <f t="shared" si="1"/>
        <v>0</v>
      </c>
      <c r="W43" s="80" t="s">
        <v>488</v>
      </c>
      <c r="X43" t="s">
        <v>142</v>
      </c>
      <c r="Y43" s="80" t="str">
        <f t="shared" si="9"/>
        <v>Wavefold Hand OperationSingle Panel - Right Stacking</v>
      </c>
      <c r="Z43" s="80">
        <v>6</v>
      </c>
      <c r="AC43" t="s">
        <v>747</v>
      </c>
      <c r="AD43" t="s">
        <v>263</v>
      </c>
      <c r="AE43" s="80" t="str">
        <f t="shared" si="5"/>
        <v>Double Rear2 Wall Sockets</v>
      </c>
      <c r="AF43" s="80">
        <v>70</v>
      </c>
      <c r="AH43" s="87" t="s">
        <v>367</v>
      </c>
      <c r="AI43" s="87" t="s">
        <v>398</v>
      </c>
      <c r="AJ43" s="11" t="s">
        <v>11556</v>
      </c>
      <c r="AK43" s="80" t="str">
        <f t="shared" si="19" ref="AK43:AK52">CONCATENATE(AH43,AI43,AJ43)</f>
        <v>Designer 25 S-Fold Cord DrawnAntique BrassBent</v>
      </c>
      <c r="AL43" s="80" t="s">
        <v>274</v>
      </c>
      <c r="AM43" s="80" t="s">
        <v>120</v>
      </c>
      <c r="AN43" s="80">
        <v>0</v>
      </c>
      <c r="AO43" s="80" t="s">
        <v>181</v>
      </c>
      <c r="AW43" t="s">
        <v>6683</v>
      </c>
      <c r="AX43" t="s">
        <v>5902</v>
      </c>
      <c r="AY43" t="str">
        <f t="shared" si="3"/>
        <v>Euro Pleat (Extra Fullness x 2.3)Centre Opening (Offset Split)</v>
      </c>
      <c r="AZ43" s="80">
        <v>2.3</v>
      </c>
      <c r="BA43" s="80">
        <v>400</v>
      </c>
      <c r="BE43" s="86" t="s">
        <v>433</v>
      </c>
      <c r="BF43" s="86" t="s">
        <v>433</v>
      </c>
      <c r="BG43" s="86">
        <v>130</v>
      </c>
      <c r="BI43" s="80" t="s">
        <v>487</v>
      </c>
      <c r="BJ43" s="80" t="s">
        <v>159</v>
      </c>
      <c r="BK43" s="80" t="s">
        <v>3527</v>
      </c>
      <c r="BL43" s="80" t="str">
        <f t="shared" si="6"/>
        <v>Wavefold Cord OperationSingle Face Fix BracketsDouble Both Sides</v>
      </c>
      <c r="BM43" s="80" t="s">
        <v>5684</v>
      </c>
      <c r="CK43" s="25"/>
      <c r="CN43" s="25" t="s">
        <v>274</v>
      </c>
      <c r="CO43" t="s">
        <v>5709</v>
      </c>
      <c r="CP43" s="25" t="str">
        <f t="shared" si="8"/>
        <v>Track from TBSMatt Satin Aluminium Flick Sticks 125cm</v>
      </c>
      <c r="CQ43" s="25" t="s">
        <v>181</v>
      </c>
    </row>
    <row r="44" spans="3:95" ht="16.2" customHeight="1">
      <c r="C44" t="s">
        <v>127</v>
      </c>
      <c r="D44" s="80">
        <v>-5</v>
      </c>
      <c r="J44" s="80" t="s">
        <v>746</v>
      </c>
      <c r="K44" s="80" t="s">
        <v>7100</v>
      </c>
      <c r="L44" t="s">
        <v>183</v>
      </c>
      <c r="M44" t="s">
        <v>162</v>
      </c>
      <c r="N44" t="str">
        <f t="shared" si="0"/>
        <v>Double FrontDesigner 15 Cord DrawnBelow Normal 2075Double Face Fix Brackets</v>
      </c>
      <c r="O44">
        <v>70</v>
      </c>
      <c r="P44">
        <v>35</v>
      </c>
      <c r="Q44" s="80">
        <v>0</v>
      </c>
      <c r="R44" s="80">
        <f t="shared" si="1"/>
        <v>-35</v>
      </c>
      <c r="W44" s="80" t="s">
        <v>488</v>
      </c>
      <c r="X44" t="s">
        <v>143</v>
      </c>
      <c r="Y44" s="80" t="str">
        <f t="shared" si="9"/>
        <v>Wavefold Hand OperationSingle Panel - Free Flowing</v>
      </c>
      <c r="Z44" s="80">
        <v>6</v>
      </c>
      <c r="AC44" t="s">
        <v>747</v>
      </c>
      <c r="AD44" t="s">
        <v>11597</v>
      </c>
      <c r="AE44" s="80" t="str">
        <f t="shared" si="5"/>
        <v>Double Rear2 x L Brackets</v>
      </c>
      <c r="AF44" s="80">
        <v>70</v>
      </c>
      <c r="AH44" s="87" t="s">
        <v>367</v>
      </c>
      <c r="AI44" s="87" t="s">
        <v>398</v>
      </c>
      <c r="AJ44" s="11" t="s">
        <v>160</v>
      </c>
      <c r="AK44" s="80" t="str">
        <f t="shared" si="19"/>
        <v>Designer 25 S-Fold Cord DrawnAntique BrassStraight</v>
      </c>
      <c r="AL44" s="80" t="s">
        <v>274</v>
      </c>
      <c r="AM44" s="80" t="s">
        <v>120</v>
      </c>
      <c r="AN44" s="80">
        <v>0</v>
      </c>
      <c r="AO44" s="80" t="s">
        <v>181</v>
      </c>
      <c r="AW44" t="s">
        <v>6683</v>
      </c>
      <c r="AX44" t="s">
        <v>141</v>
      </c>
      <c r="AY44" t="str">
        <f t="shared" si="3"/>
        <v>Euro Pleat (Extra Fullness x 2.3)Single Panel - Left Stacking</v>
      </c>
      <c r="AZ44" s="80">
        <v>2.3</v>
      </c>
      <c r="BA44" s="80">
        <v>200</v>
      </c>
      <c r="BE44" s="86" t="s">
        <v>439</v>
      </c>
      <c r="BF44" s="86" t="s">
        <v>439</v>
      </c>
      <c r="BG44" s="86">
        <v>130</v>
      </c>
      <c r="BI44" s="80" t="s">
        <v>487</v>
      </c>
      <c r="BJ44" s="80" t="s">
        <v>161</v>
      </c>
      <c r="BK44" s="80" t="s">
        <v>3527</v>
      </c>
      <c r="BL44" s="80" t="str">
        <f t="shared" si="6"/>
        <v>Wavefold Cord OperationTop Fix BracketsDouble Both Sides</v>
      </c>
      <c r="BM44" s="80" t="s">
        <v>5684</v>
      </c>
      <c r="CK44" s="25"/>
      <c r="CN44" s="25" t="s">
        <v>274</v>
      </c>
      <c r="CO44" t="s">
        <v>5710</v>
      </c>
      <c r="CP44" s="25" t="str">
        <f t="shared" si="8"/>
        <v>Track from TBSMatt Satin Aluminium Flick Sticks 150cm</v>
      </c>
      <c r="CQ44" s="25" t="s">
        <v>181</v>
      </c>
    </row>
    <row r="45" spans="3:95" ht="16.2" customHeight="1">
      <c r="C45" t="s">
        <v>111</v>
      </c>
      <c r="D45" s="80">
        <v>2</v>
      </c>
      <c r="J45" s="80" t="s">
        <v>747</v>
      </c>
      <c r="K45" s="80" t="s">
        <v>7100</v>
      </c>
      <c r="L45" t="s">
        <v>183</v>
      </c>
      <c r="M45" t="s">
        <v>162</v>
      </c>
      <c r="N45" t="str">
        <f t="shared" si="0"/>
        <v>Double RearDesigner 15 Cord DrawnBelow Normal 2075Double Face Fix Brackets</v>
      </c>
      <c r="O45">
        <v>70</v>
      </c>
      <c r="P45">
        <v>35</v>
      </c>
      <c r="Q45" s="80">
        <v>0</v>
      </c>
      <c r="R45" s="80">
        <f t="shared" si="1"/>
        <v>-35</v>
      </c>
      <c r="W45" s="80" t="s">
        <v>488</v>
      </c>
      <c r="X45" s="80" t="s">
        <v>154</v>
      </c>
      <c r="Y45" s="80" t="str">
        <f t="shared" si="9"/>
        <v>Wavefold Hand OperationNo Movement</v>
      </c>
      <c r="Z45" s="80">
        <v>6</v>
      </c>
      <c r="AC45" t="s">
        <v>747</v>
      </c>
      <c r="AD45" t="s">
        <v>165</v>
      </c>
      <c r="AE45" s="80" t="str">
        <f t="shared" si="5"/>
        <v>Double Rear25mm Brackets with Acorns</v>
      </c>
      <c r="AF45" s="80">
        <v>20</v>
      </c>
      <c r="AH45" s="87" t="s">
        <v>367</v>
      </c>
      <c r="AI45" s="87" t="s">
        <v>275</v>
      </c>
      <c r="AJ45" s="11" t="s">
        <v>11556</v>
      </c>
      <c r="AK45" s="80" t="str">
        <f t="shared" si="19"/>
        <v>Designer 25 S-Fold Cord DrawnBirch WhiteBent</v>
      </c>
      <c r="AL45" s="80" t="s">
        <v>274</v>
      </c>
      <c r="AM45" s="80" t="s">
        <v>120</v>
      </c>
      <c r="AN45" s="80">
        <v>0</v>
      </c>
      <c r="AO45" s="80" t="s">
        <v>181</v>
      </c>
      <c r="AW45" t="s">
        <v>6683</v>
      </c>
      <c r="AX45" t="s">
        <v>142</v>
      </c>
      <c r="AY45" t="str">
        <f t="shared" si="3"/>
        <v>Euro Pleat (Extra Fullness x 2.3)Single Panel - Right Stacking</v>
      </c>
      <c r="AZ45" s="80">
        <v>2.3</v>
      </c>
      <c r="BA45" s="80">
        <v>200</v>
      </c>
      <c r="BE45" s="86" t="s">
        <v>431</v>
      </c>
      <c r="BF45" s="86" t="s">
        <v>431</v>
      </c>
      <c r="BG45" s="86">
        <v>130</v>
      </c>
      <c r="BI45" s="80" t="s">
        <v>487</v>
      </c>
      <c r="BJ45" s="80" t="s">
        <v>553</v>
      </c>
      <c r="BK45" s="80" t="s">
        <v>3527</v>
      </c>
      <c r="BL45" s="80" t="str">
        <f t="shared" si="6"/>
        <v>Wavefold Cord OperationTriple Face Fix BracketsDouble Both Sides</v>
      </c>
      <c r="BM45" s="80" t="s">
        <v>5684</v>
      </c>
      <c r="CK45" s="25"/>
      <c r="CN45" s="25" t="s">
        <v>274</v>
      </c>
      <c r="CO45" t="s">
        <v>7471</v>
      </c>
      <c r="CP45" s="25" t="str">
        <f t="shared" si="8"/>
        <v>Track from TBSStandard Clear 75cm</v>
      </c>
      <c r="CQ45" s="25" t="s">
        <v>181</v>
      </c>
    </row>
    <row r="46" spans="3:95" ht="16.2" customHeight="1">
      <c r="C46" t="s">
        <v>123</v>
      </c>
      <c r="D46" s="80">
        <v>0</v>
      </c>
      <c r="J46" s="80" t="s">
        <v>725</v>
      </c>
      <c r="K46" s="80" t="s">
        <v>7100</v>
      </c>
      <c r="L46" t="s">
        <v>183</v>
      </c>
      <c r="M46" t="s">
        <v>162</v>
      </c>
      <c r="N46" t="str">
        <f t="shared" si="0"/>
        <v>SingleDesigner 15 Cord DrawnBelow Normal 2075Double Face Fix Brackets</v>
      </c>
      <c r="O46">
        <v>70</v>
      </c>
      <c r="P46">
        <v>35</v>
      </c>
      <c r="Q46" s="80">
        <v>0</v>
      </c>
      <c r="R46" s="80">
        <f t="shared" si="1"/>
        <v>-35</v>
      </c>
      <c r="W46" s="80" t="s">
        <v>371</v>
      </c>
      <c r="X46" t="s">
        <v>138</v>
      </c>
      <c r="Y46" s="80" t="str">
        <f t="shared" si="9"/>
        <v>System 20 Light Commercial Track Cord DrawnCentre Opening</v>
      </c>
      <c r="Z46" s="80">
        <v>60</v>
      </c>
      <c r="AC46" t="s">
        <v>747</v>
      </c>
      <c r="AD46" t="s">
        <v>7206</v>
      </c>
      <c r="AE46" s="80" t="str">
        <f t="shared" si="5"/>
        <v>Double Rear32mm Face Fix Brackets</v>
      </c>
      <c r="AF46" s="80">
        <v>27</v>
      </c>
      <c r="AH46" s="87" t="s">
        <v>367</v>
      </c>
      <c r="AI46" s="87" t="s">
        <v>275</v>
      </c>
      <c r="AJ46" s="11" t="s">
        <v>160</v>
      </c>
      <c r="AK46" s="80" t="str">
        <f t="shared" si="19"/>
        <v>Designer 25 S-Fold Cord DrawnBirch WhiteStraight</v>
      </c>
      <c r="AL46" s="80" t="s">
        <v>274</v>
      </c>
      <c r="AM46" s="80" t="s">
        <v>120</v>
      </c>
      <c r="AN46" s="80">
        <v>0</v>
      </c>
      <c r="AO46" s="80" t="s">
        <v>181</v>
      </c>
      <c r="AW46" t="s">
        <v>6683</v>
      </c>
      <c r="AX46" t="s">
        <v>143</v>
      </c>
      <c r="AY46" t="str">
        <f t="shared" si="3"/>
        <v>Euro Pleat (Extra Fullness x 2.3)Single Panel - Free Flowing</v>
      </c>
      <c r="AZ46" s="80">
        <v>2.3</v>
      </c>
      <c r="BA46" s="80">
        <v>200</v>
      </c>
      <c r="BE46" s="86" t="s">
        <v>434</v>
      </c>
      <c r="BF46" s="86" t="s">
        <v>434</v>
      </c>
      <c r="BG46" s="86" t="s">
        <v>403</v>
      </c>
      <c r="BI46" s="80" t="s">
        <v>488</v>
      </c>
      <c r="BJ46" s="80" t="s">
        <v>162</v>
      </c>
      <c r="BK46" s="80" t="s">
        <v>3527</v>
      </c>
      <c r="BL46" s="80" t="str">
        <f t="shared" si="6"/>
        <v>Wavefold Hand OperationDouble Face Fix BracketsDouble Both Sides</v>
      </c>
      <c r="BM46" s="80" t="s">
        <v>5684</v>
      </c>
      <c r="CK46" s="25"/>
      <c r="CN46" s="25" t="s">
        <v>274</v>
      </c>
      <c r="CO46" t="s">
        <v>7472</v>
      </c>
      <c r="CP46" s="25" t="str">
        <f t="shared" si="8"/>
        <v>Track from TBSStandard Clear 100cm</v>
      </c>
      <c r="CQ46" s="25" t="s">
        <v>181</v>
      </c>
    </row>
    <row r="47" spans="3:95" ht="16.2" customHeight="1">
      <c r="C47" t="s">
        <v>6492</v>
      </c>
      <c r="D47" s="80">
        <v>-100</v>
      </c>
      <c r="J47" s="80" t="s">
        <v>746</v>
      </c>
      <c r="K47" s="80" t="s">
        <v>7100</v>
      </c>
      <c r="L47" t="s">
        <v>182</v>
      </c>
      <c r="M47" t="s">
        <v>162</v>
      </c>
      <c r="N47" t="str">
        <f t="shared" si="0"/>
        <v>Double FrontDesigner 15 Cord DrawnBetween Level and Normal 2073Double Face Fix Brackets</v>
      </c>
      <c r="O47">
        <v>48</v>
      </c>
      <c r="P47">
        <v>35</v>
      </c>
      <c r="Q47" s="80">
        <v>0</v>
      </c>
      <c r="R47" s="80">
        <f t="shared" si="1"/>
        <v>-13</v>
      </c>
      <c r="W47" s="80" t="s">
        <v>371</v>
      </c>
      <c r="X47" s="80" t="s">
        <v>717</v>
      </c>
      <c r="Y47" s="80" t="str">
        <f t="shared" si="9"/>
        <v>System 20 Light Commercial Track Cord DrawnCentre Opening - Free Flowing</v>
      </c>
      <c r="Z47" s="80">
        <v>6</v>
      </c>
      <c r="AC47" t="s">
        <v>747</v>
      </c>
      <c r="AD47" t="s">
        <v>724</v>
      </c>
      <c r="AE47" s="80" t="str">
        <f t="shared" si="5"/>
        <v>Double RearBoldtrak Premo Double Bracket Suit 16mm on Back</v>
      </c>
      <c r="AF47" s="80">
        <v>65</v>
      </c>
      <c r="AH47" s="87" t="s">
        <v>367</v>
      </c>
      <c r="AI47" s="87" t="s">
        <v>193</v>
      </c>
      <c r="AJ47" s="11" t="s">
        <v>11556</v>
      </c>
      <c r="AK47" s="80" t="str">
        <f t="shared" si="19"/>
        <v>Designer 25 S-Fold Cord DrawnBlackBent</v>
      </c>
      <c r="AL47" s="80" t="s">
        <v>274</v>
      </c>
      <c r="AM47" s="80" t="s">
        <v>120</v>
      </c>
      <c r="AN47" s="80">
        <v>0</v>
      </c>
      <c r="AO47" s="80" t="s">
        <v>181</v>
      </c>
      <c r="AW47" t="s">
        <v>6683</v>
      </c>
      <c r="AX47" t="s">
        <v>154</v>
      </c>
      <c r="AY47" t="str">
        <f t="shared" si="3"/>
        <v>Euro Pleat (Extra Fullness x 2.3)No Movement</v>
      </c>
      <c r="AZ47" s="80">
        <v>2.3</v>
      </c>
      <c r="BA47" s="80">
        <v>200</v>
      </c>
      <c r="BE47" s="86" t="s">
        <v>422</v>
      </c>
      <c r="BF47" s="86" t="s">
        <v>422</v>
      </c>
      <c r="BG47" s="86" t="s">
        <v>403</v>
      </c>
      <c r="BI47" s="80" t="s">
        <v>488</v>
      </c>
      <c r="BJ47" s="80" t="s">
        <v>159</v>
      </c>
      <c r="BK47" s="80" t="s">
        <v>3527</v>
      </c>
      <c r="BL47" s="80" t="str">
        <f t="shared" si="6"/>
        <v>Wavefold Hand OperationSingle Face Fix BracketsDouble Both Sides</v>
      </c>
      <c r="BM47" s="80" t="s">
        <v>5684</v>
      </c>
      <c r="CK47" s="25"/>
      <c r="CN47" s="25" t="s">
        <v>274</v>
      </c>
      <c r="CO47" t="s">
        <v>7473</v>
      </c>
      <c r="CP47" s="25" t="str">
        <f t="shared" si="8"/>
        <v>Track from TBSStandard Clear 125cm</v>
      </c>
      <c r="CQ47" s="25" t="s">
        <v>181</v>
      </c>
    </row>
    <row r="48" spans="3:95" ht="16.2" customHeight="1">
      <c r="C48" t="s">
        <v>620</v>
      </c>
      <c r="D48" s="80">
        <v>20</v>
      </c>
      <c r="J48" s="80" t="s">
        <v>747</v>
      </c>
      <c r="K48" s="80" t="s">
        <v>7100</v>
      </c>
      <c r="L48" t="s">
        <v>182</v>
      </c>
      <c r="M48" t="s">
        <v>162</v>
      </c>
      <c r="N48" t="str">
        <f t="shared" si="0"/>
        <v>Double RearDesigner 15 Cord DrawnBetween Level and Normal 2073Double Face Fix Brackets</v>
      </c>
      <c r="O48">
        <v>48</v>
      </c>
      <c r="P48">
        <v>35</v>
      </c>
      <c r="Q48" s="80">
        <v>0</v>
      </c>
      <c r="R48" s="80">
        <f t="shared" si="1"/>
        <v>-13</v>
      </c>
      <c r="W48" s="80" t="s">
        <v>371</v>
      </c>
      <c r="X48" s="80" t="s">
        <v>5902</v>
      </c>
      <c r="Y48" s="80" t="str">
        <f t="shared" si="20" ref="Y48">CONCATENATE(W48,X48)</f>
        <v>System 20 Light Commercial Track Cord DrawnCentre Opening (Offset Split)</v>
      </c>
      <c r="Z48" s="80">
        <v>60</v>
      </c>
      <c r="AC48" t="s">
        <v>747</v>
      </c>
      <c r="AD48" t="s">
        <v>4654</v>
      </c>
      <c r="AE48" s="80" t="str">
        <f t="shared" si="5"/>
        <v>Double RearBoldtrak Premo Double Bracket Suit 25mm on Back</v>
      </c>
      <c r="AF48" s="80">
        <v>65</v>
      </c>
      <c r="AH48" s="87" t="s">
        <v>367</v>
      </c>
      <c r="AI48" s="87" t="s">
        <v>193</v>
      </c>
      <c r="AJ48" s="11" t="s">
        <v>160</v>
      </c>
      <c r="AK48" s="80" t="str">
        <f t="shared" si="19"/>
        <v>Designer 25 S-Fold Cord DrawnBlackStraight</v>
      </c>
      <c r="AL48" s="80" t="s">
        <v>274</v>
      </c>
      <c r="AM48" s="80" t="s">
        <v>120</v>
      </c>
      <c r="AN48" s="80">
        <v>0</v>
      </c>
      <c r="AO48" s="80" t="s">
        <v>181</v>
      </c>
      <c r="AW48" s="80" t="s">
        <v>6683</v>
      </c>
      <c r="AX48" s="80" t="s">
        <v>5903</v>
      </c>
      <c r="AY48" t="str">
        <f t="shared" si="3"/>
        <v>Euro Pleat (Extra Fullness x 2.3)Centre Opening - Free Flowing (Offset Split)</v>
      </c>
      <c r="AZ48" s="80">
        <v>2.3</v>
      </c>
      <c r="BA48" s="80">
        <v>200</v>
      </c>
      <c r="BE48" s="86" t="s">
        <v>432</v>
      </c>
      <c r="BF48" s="86" t="s">
        <v>432</v>
      </c>
      <c r="BG48" s="86" t="s">
        <v>403</v>
      </c>
      <c r="BI48" s="80" t="s">
        <v>488</v>
      </c>
      <c r="BJ48" s="80" t="s">
        <v>161</v>
      </c>
      <c r="BK48" s="80" t="s">
        <v>3527</v>
      </c>
      <c r="BL48" s="80" t="str">
        <f t="shared" si="6"/>
        <v>Wavefold Hand OperationTop Fix BracketsDouble Both Sides</v>
      </c>
      <c r="BM48" s="80" t="s">
        <v>5684</v>
      </c>
      <c r="CK48" s="25"/>
      <c r="CN48" s="25" t="s">
        <v>274</v>
      </c>
      <c r="CO48" t="s">
        <v>7474</v>
      </c>
      <c r="CP48" s="25" t="str">
        <f t="shared" si="8"/>
        <v>Track from TBSStandard Clear 150cm</v>
      </c>
      <c r="CQ48" s="25" t="s">
        <v>181</v>
      </c>
    </row>
    <row r="49" spans="3:95" ht="16.2" customHeight="1">
      <c r="C49" t="s">
        <v>3648</v>
      </c>
      <c r="D49" s="80">
        <v>0</v>
      </c>
      <c r="J49" s="80" t="s">
        <v>725</v>
      </c>
      <c r="K49" s="80" t="s">
        <v>7100</v>
      </c>
      <c r="L49" t="s">
        <v>182</v>
      </c>
      <c r="M49" t="s">
        <v>162</v>
      </c>
      <c r="N49" t="str">
        <f t="shared" si="0"/>
        <v>SingleDesigner 15 Cord DrawnBetween Level and Normal 2073Double Face Fix Brackets</v>
      </c>
      <c r="O49">
        <v>47</v>
      </c>
      <c r="P49">
        <v>35</v>
      </c>
      <c r="Q49" s="80">
        <v>0</v>
      </c>
      <c r="R49" s="80">
        <f t="shared" si="1"/>
        <v>-12</v>
      </c>
      <c r="W49" s="80" t="s">
        <v>371</v>
      </c>
      <c r="X49" t="s">
        <v>141</v>
      </c>
      <c r="Y49" s="80" t="str">
        <f t="shared" si="9"/>
        <v>System 20 Light Commercial Track Cord DrawnSingle Panel - Left Stacking</v>
      </c>
      <c r="Z49" s="80">
        <v>35</v>
      </c>
      <c r="AC49" t="s">
        <v>747</v>
      </c>
      <c r="AD49" t="s">
        <v>9302</v>
      </c>
      <c r="AE49" s="80" t="str">
        <f t="shared" si="5"/>
        <v>Double RearBoldtrak Standard Double Bracket Suit 25mm on Back</v>
      </c>
      <c r="AF49" s="80">
        <v>65</v>
      </c>
      <c r="AH49" s="87" t="s">
        <v>367</v>
      </c>
      <c r="AI49" s="87" t="s">
        <v>225</v>
      </c>
      <c r="AJ49" s="11" t="s">
        <v>11556</v>
      </c>
      <c r="AK49" s="80" t="str">
        <f t="shared" si="19"/>
        <v>Designer 25 S-Fold Cord DrawnGoldBent</v>
      </c>
      <c r="AL49" s="80" t="s">
        <v>274</v>
      </c>
      <c r="AM49" s="80" t="s">
        <v>120</v>
      </c>
      <c r="AN49" s="80">
        <v>0</v>
      </c>
      <c r="AO49" s="80" t="s">
        <v>181</v>
      </c>
      <c r="AW49" t="s">
        <v>6684</v>
      </c>
      <c r="AX49" t="s">
        <v>138</v>
      </c>
      <c r="AY49" t="str">
        <f t="shared" si="3"/>
        <v>Euro Pleat (Less Fullness x 2)Centre Opening</v>
      </c>
      <c r="AZ49" s="80">
        <v>2</v>
      </c>
      <c r="BA49" s="80">
        <v>400</v>
      </c>
      <c r="BE49" s="86" t="s">
        <v>604</v>
      </c>
      <c r="BF49" s="86" t="s">
        <v>604</v>
      </c>
      <c r="BG49" s="86" t="s">
        <v>403</v>
      </c>
      <c r="BI49" s="80" t="s">
        <v>488</v>
      </c>
      <c r="BJ49" s="80" t="s">
        <v>553</v>
      </c>
      <c r="BK49" s="80" t="s">
        <v>3527</v>
      </c>
      <c r="BL49" s="80" t="str">
        <f t="shared" si="6"/>
        <v>Wavefold Hand OperationTriple Face Fix BracketsDouble Both Sides</v>
      </c>
      <c r="BM49" s="80" t="s">
        <v>5684</v>
      </c>
      <c r="CK49" s="25"/>
      <c r="CN49" s="25" t="s">
        <v>274</v>
      </c>
      <c r="CO49" t="s">
        <v>5715</v>
      </c>
      <c r="CP49" s="25" t="str">
        <f t="shared" si="8"/>
        <v>Track from TBSWhite Fibreglass 200cm</v>
      </c>
      <c r="CQ49" s="25" t="s">
        <v>181</v>
      </c>
    </row>
    <row r="50" spans="3:95" ht="16.2" customHeight="1">
      <c r="C50" t="s">
        <v>3650</v>
      </c>
      <c r="D50" s="80">
        <v>20</v>
      </c>
      <c r="J50" s="80" t="s">
        <v>746</v>
      </c>
      <c r="K50" s="80" t="s">
        <v>7100</v>
      </c>
      <c r="L50" t="s">
        <v>184</v>
      </c>
      <c r="M50" t="s">
        <v>162</v>
      </c>
      <c r="N50" t="str">
        <f t="shared" si="0"/>
        <v>Double FrontDesigner 15 Cord DrawnDecorator 2071Double Face Fix Brackets</v>
      </c>
      <c r="O50">
        <v>20</v>
      </c>
      <c r="P50">
        <v>35</v>
      </c>
      <c r="Q50" s="80">
        <v>0</v>
      </c>
      <c r="R50" s="80">
        <f t="shared" si="1"/>
        <v>15</v>
      </c>
      <c r="W50" s="80" t="s">
        <v>371</v>
      </c>
      <c r="X50" t="s">
        <v>142</v>
      </c>
      <c r="Y50" s="80" t="str">
        <f t="shared" si="9"/>
        <v>System 20 Light Commercial Track Cord DrawnSingle Panel - Right Stacking</v>
      </c>
      <c r="Z50" s="80">
        <v>35</v>
      </c>
      <c r="AC50" t="s">
        <v>747</v>
      </c>
      <c r="AD50" t="s">
        <v>9306</v>
      </c>
      <c r="AE50" s="80" t="str">
        <f t="shared" si="5"/>
        <v>Double RearBoldtrak Standard Double Bracket Suit 25mm on Front</v>
      </c>
      <c r="AF50" s="80">
        <v>65</v>
      </c>
      <c r="AH50" s="87" t="s">
        <v>367</v>
      </c>
      <c r="AI50" s="87" t="s">
        <v>225</v>
      </c>
      <c r="AJ50" s="11" t="s">
        <v>160</v>
      </c>
      <c r="AK50" s="80" t="str">
        <f t="shared" si="19"/>
        <v>Designer 25 S-Fold Cord DrawnGoldStraight</v>
      </c>
      <c r="AL50" s="80" t="s">
        <v>274</v>
      </c>
      <c r="AM50" s="80" t="s">
        <v>120</v>
      </c>
      <c r="AN50" s="80">
        <v>0</v>
      </c>
      <c r="AO50" s="80" t="s">
        <v>181</v>
      </c>
      <c r="AW50" t="s">
        <v>6684</v>
      </c>
      <c r="AX50" t="s">
        <v>5902</v>
      </c>
      <c r="AY50" t="str">
        <f t="shared" si="3"/>
        <v>Euro Pleat (Less Fullness x 2)Centre Opening (Offset Split)</v>
      </c>
      <c r="AZ50" s="80">
        <v>2</v>
      </c>
      <c r="BA50" s="80">
        <v>400</v>
      </c>
      <c r="BE50" s="80" t="s">
        <v>6547</v>
      </c>
      <c r="BF50" s="80" t="s">
        <v>6547</v>
      </c>
      <c r="BG50" s="86" t="s">
        <v>403</v>
      </c>
      <c r="CK50" s="25"/>
      <c r="CN50" s="25" t="s">
        <v>274</v>
      </c>
      <c r="CO50" t="s">
        <v>7484</v>
      </c>
      <c r="CP50" s="25" t="str">
        <f t="shared" si="8"/>
        <v>Track from TBSVanda Solid Aluminium Flick Stick 75cm Silver Pearl</v>
      </c>
      <c r="CQ50" s="25" t="s">
        <v>181</v>
      </c>
    </row>
    <row r="51" spans="3:95" ht="16.2" customHeight="1">
      <c r="C51" t="s">
        <v>3647</v>
      </c>
      <c r="D51" s="80">
        <v>70</v>
      </c>
      <c r="J51" s="80" t="s">
        <v>747</v>
      </c>
      <c r="K51" s="80" t="s">
        <v>7100</v>
      </c>
      <c r="L51" t="s">
        <v>184</v>
      </c>
      <c r="M51" t="s">
        <v>162</v>
      </c>
      <c r="N51" t="str">
        <f t="shared" si="0"/>
        <v>Double RearDesigner 15 Cord DrawnDecorator 2071Double Face Fix Brackets</v>
      </c>
      <c r="O51">
        <v>20</v>
      </c>
      <c r="P51">
        <v>35</v>
      </c>
      <c r="Q51" s="80">
        <v>0</v>
      </c>
      <c r="R51" s="80">
        <f t="shared" si="1"/>
        <v>15</v>
      </c>
      <c r="W51" s="80" t="s">
        <v>371</v>
      </c>
      <c r="X51" t="s">
        <v>143</v>
      </c>
      <c r="Y51" s="80" t="str">
        <f t="shared" si="9"/>
        <v>System 20 Light Commercial Track Cord DrawnSingle Panel - Free Flowing</v>
      </c>
      <c r="Z51" s="80">
        <v>6</v>
      </c>
      <c r="AC51" t="s">
        <v>747</v>
      </c>
      <c r="AD51" t="s">
        <v>9303</v>
      </c>
      <c r="AE51" s="80" t="str">
        <f t="shared" si="21" ref="AE51:AE89">(AC51&amp;AD51)</f>
        <v>Double RearBoldtrak Standard Double Bracket Suit 32mm on Back</v>
      </c>
      <c r="AF51" s="80">
        <v>65</v>
      </c>
      <c r="AH51" s="87" t="s">
        <v>367</v>
      </c>
      <c r="AI51" s="87" t="s">
        <v>692</v>
      </c>
      <c r="AJ51" s="11" t="s">
        <v>11556</v>
      </c>
      <c r="AK51" s="80" t="str">
        <f t="shared" si="19"/>
        <v>Designer 25 S-Fold Cord DrawnMatt Black InkBent</v>
      </c>
      <c r="AL51" s="80" t="s">
        <v>274</v>
      </c>
      <c r="AM51" s="80" t="s">
        <v>120</v>
      </c>
      <c r="AN51" s="80">
        <v>0</v>
      </c>
      <c r="AO51" s="80" t="s">
        <v>181</v>
      </c>
      <c r="AW51" t="s">
        <v>6684</v>
      </c>
      <c r="AX51" t="s">
        <v>141</v>
      </c>
      <c r="AY51" t="str">
        <f t="shared" si="3"/>
        <v>Euro Pleat (Less Fullness x 2)Single Panel - Left Stacking</v>
      </c>
      <c r="AZ51" s="80">
        <v>2</v>
      </c>
      <c r="BA51" s="80">
        <v>200</v>
      </c>
      <c r="BE51" s="86" t="s">
        <v>425</v>
      </c>
      <c r="BF51" s="86" t="s">
        <v>425</v>
      </c>
      <c r="BG51" s="86">
        <v>130</v>
      </c>
      <c r="CK51" s="25"/>
      <c r="CN51" s="25" t="s">
        <v>274</v>
      </c>
      <c r="CO51" t="s">
        <v>7485</v>
      </c>
      <c r="CP51" s="25" t="str">
        <f t="shared" si="8"/>
        <v>Track from TBSVanda Solid Aluminium Flick Stick 120cm Silver Pearl</v>
      </c>
      <c r="CQ51" s="25" t="s">
        <v>181</v>
      </c>
    </row>
    <row r="52" spans="3:95" ht="16.2" customHeight="1">
      <c r="C52" t="s">
        <v>3649</v>
      </c>
      <c r="D52" s="80">
        <v>80</v>
      </c>
      <c r="J52" s="80" t="s">
        <v>725</v>
      </c>
      <c r="K52" s="80" t="s">
        <v>7100</v>
      </c>
      <c r="L52" t="s">
        <v>184</v>
      </c>
      <c r="M52" t="s">
        <v>162</v>
      </c>
      <c r="N52" t="str">
        <f t="shared" si="0"/>
        <v>SingleDesigner 15 Cord DrawnDecorator 2071Double Face Fix Brackets</v>
      </c>
      <c r="O52">
        <v>20</v>
      </c>
      <c r="P52">
        <v>35</v>
      </c>
      <c r="Q52" s="80">
        <v>0</v>
      </c>
      <c r="R52" s="80">
        <f t="shared" si="1"/>
        <v>15</v>
      </c>
      <c r="W52" s="80" t="s">
        <v>371</v>
      </c>
      <c r="X52" s="80" t="s">
        <v>154</v>
      </c>
      <c r="Y52" s="80" t="str">
        <f t="shared" si="9"/>
        <v>System 20 Light Commercial Track Cord DrawnNo Movement</v>
      </c>
      <c r="Z52" s="80">
        <v>6</v>
      </c>
      <c r="AC52" t="s">
        <v>747</v>
      </c>
      <c r="AD52" t="s">
        <v>9304</v>
      </c>
      <c r="AE52" s="80" t="str">
        <f t="shared" si="21"/>
        <v>Double RearBoldtrak Standard Double Bracket Suit 35mm on Back</v>
      </c>
      <c r="AF52" s="80">
        <v>65</v>
      </c>
      <c r="AH52" s="87" t="s">
        <v>367</v>
      </c>
      <c r="AI52" s="87" t="s">
        <v>692</v>
      </c>
      <c r="AJ52" s="11" t="s">
        <v>160</v>
      </c>
      <c r="AK52" s="80" t="str">
        <f t="shared" si="19"/>
        <v>Designer 25 S-Fold Cord DrawnMatt Black InkStraight</v>
      </c>
      <c r="AL52" s="80" t="s">
        <v>274</v>
      </c>
      <c r="AM52" s="80" t="s">
        <v>120</v>
      </c>
      <c r="AN52" s="80">
        <v>0</v>
      </c>
      <c r="AO52" s="80" t="s">
        <v>181</v>
      </c>
      <c r="AW52" t="s">
        <v>6684</v>
      </c>
      <c r="AX52" t="s">
        <v>142</v>
      </c>
      <c r="AY52" t="str">
        <f t="shared" si="3"/>
        <v>Euro Pleat (Less Fullness x 2)Single Panel - Right Stacking</v>
      </c>
      <c r="AZ52" s="80">
        <v>2</v>
      </c>
      <c r="BA52" s="80">
        <v>200</v>
      </c>
      <c r="BE52" s="80" t="s">
        <v>4925</v>
      </c>
      <c r="BF52" s="80" t="s">
        <v>4925</v>
      </c>
      <c r="BG52" s="86">
        <v>130</v>
      </c>
      <c r="CK52" s="25"/>
      <c r="CN52" s="25" t="s">
        <v>274</v>
      </c>
      <c r="CO52" t="s">
        <v>7475</v>
      </c>
      <c r="CP52" s="25" t="str">
        <f t="shared" si="8"/>
        <v>Track from TBSVanda Solid Aluminium Flick Stick 75cm Ivory</v>
      </c>
      <c r="CQ52" s="25" t="s">
        <v>181</v>
      </c>
    </row>
    <row r="53" spans="3:95" ht="16.2" customHeight="1">
      <c r="C53" s="80" t="s">
        <v>616</v>
      </c>
      <c r="D53" s="80">
        <v>0</v>
      </c>
      <c r="J53" s="80" t="s">
        <v>746</v>
      </c>
      <c r="K53" s="80" t="s">
        <v>7100</v>
      </c>
      <c r="L53" t="s">
        <v>6468</v>
      </c>
      <c r="M53" t="s">
        <v>162</v>
      </c>
      <c r="N53" t="str">
        <f t="shared" si="0"/>
        <v>Double FrontDesigner 15 Cord DrawnGather Hook Bottom PocketDouble Face Fix Brackets</v>
      </c>
      <c r="O53">
        <v>60</v>
      </c>
      <c r="P53">
        <v>35</v>
      </c>
      <c r="Q53" s="80">
        <v>0</v>
      </c>
      <c r="R53" s="80">
        <f t="shared" si="1"/>
        <v>-25</v>
      </c>
      <c r="W53" s="80" t="s">
        <v>372</v>
      </c>
      <c r="X53" s="80" t="s">
        <v>138</v>
      </c>
      <c r="Y53" s="80" t="str">
        <f t="shared" si="9"/>
        <v>System 20 Light Commercial Track Hand DrawnCentre Opening</v>
      </c>
      <c r="Z53" s="80">
        <v>6</v>
      </c>
      <c r="AC53" t="s">
        <v>747</v>
      </c>
      <c r="AD53" t="s">
        <v>438</v>
      </c>
      <c r="AE53" s="80" t="str">
        <f t="shared" si="21"/>
        <v>Double RearBoldtrak Top Fix Bracket</v>
      </c>
      <c r="AF53" s="80">
        <v>65</v>
      </c>
      <c r="AH53" s="87" t="s">
        <v>367</v>
      </c>
      <c r="AI53" s="87" t="s">
        <v>191</v>
      </c>
      <c r="AJ53" s="11" t="s">
        <v>11556</v>
      </c>
      <c r="AK53" s="80" t="str">
        <f t="shared" si="22" ref="AK53:AK59">CONCATENATE(AH53,AI53,AJ53)</f>
        <v>Designer 25 S-Fold Cord DrawnWhiteBent</v>
      </c>
      <c r="AL53" s="80" t="s">
        <v>274</v>
      </c>
      <c r="AM53" s="80" t="s">
        <v>120</v>
      </c>
      <c r="AN53" s="80">
        <v>0</v>
      </c>
      <c r="AO53" s="80" t="s">
        <v>181</v>
      </c>
      <c r="AW53" t="s">
        <v>6684</v>
      </c>
      <c r="AX53" t="s">
        <v>143</v>
      </c>
      <c r="AY53" t="str">
        <f t="shared" si="3"/>
        <v>Euro Pleat (Less Fullness x 2)Single Panel - Free Flowing</v>
      </c>
      <c r="AZ53" s="80">
        <v>2</v>
      </c>
      <c r="BA53" s="80">
        <v>200</v>
      </c>
      <c r="BE53" s="80" t="s">
        <v>738</v>
      </c>
      <c r="BF53" s="80" t="s">
        <v>738</v>
      </c>
      <c r="BG53" s="86">
        <v>130</v>
      </c>
      <c r="CK53" s="25"/>
      <c r="CN53" s="25" t="s">
        <v>274</v>
      </c>
      <c r="CO53" t="s">
        <v>7476</v>
      </c>
      <c r="CP53" s="25" t="str">
        <f t="shared" si="8"/>
        <v>Track from TBSVanda Solid Aluminium Flick Stick 120cm Ivory</v>
      </c>
      <c r="CQ53" s="25" t="s">
        <v>181</v>
      </c>
    </row>
    <row r="54" spans="3:95" ht="16.2" customHeight="1">
      <c r="C54" t="s">
        <v>3675</v>
      </c>
      <c r="D54" s="80">
        <v>70</v>
      </c>
      <c r="J54" s="80" t="s">
        <v>725</v>
      </c>
      <c r="K54" s="80" t="s">
        <v>7100</v>
      </c>
      <c r="L54" t="s">
        <v>6468</v>
      </c>
      <c r="M54" t="s">
        <v>162</v>
      </c>
      <c r="N54" t="str">
        <f t="shared" si="0"/>
        <v>SingleDesigner 15 Cord DrawnGather Hook Bottom PocketDouble Face Fix Brackets</v>
      </c>
      <c r="O54">
        <v>60</v>
      </c>
      <c r="P54">
        <v>35</v>
      </c>
      <c r="Q54" s="80">
        <v>0</v>
      </c>
      <c r="R54" s="80">
        <f t="shared" si="1"/>
        <v>-25</v>
      </c>
      <c r="W54" s="80" t="s">
        <v>372</v>
      </c>
      <c r="X54" s="80" t="s">
        <v>717</v>
      </c>
      <c r="Y54" s="80" t="str">
        <f t="shared" si="23" ref="Y54">CONCATENATE(W54,X54)</f>
        <v>System 20 Light Commercial Track Hand DrawnCentre Opening - Free Flowing</v>
      </c>
      <c r="Z54" s="80">
        <v>6</v>
      </c>
      <c r="AC54" t="s">
        <v>747</v>
      </c>
      <c r="AD54" t="s">
        <v>11599</v>
      </c>
      <c r="AE54" s="80" t="str">
        <f t="shared" si="21"/>
        <v>Double RearBoldtrak Top Fix Suspension Bracket</v>
      </c>
      <c r="AF54" s="80">
        <v>65</v>
      </c>
      <c r="AH54" s="87" t="s">
        <v>367</v>
      </c>
      <c r="AI54" s="87" t="s">
        <v>191</v>
      </c>
      <c r="AJ54" s="11" t="s">
        <v>160</v>
      </c>
      <c r="AK54" s="80" t="str">
        <f t="shared" si="22"/>
        <v>Designer 25 S-Fold Cord DrawnWhiteStraight</v>
      </c>
      <c r="AL54" s="80" t="s">
        <v>274</v>
      </c>
      <c r="AM54" s="80" t="s">
        <v>120</v>
      </c>
      <c r="AN54" s="80">
        <v>0</v>
      </c>
      <c r="AO54" s="80" t="s">
        <v>181</v>
      </c>
      <c r="AW54" t="s">
        <v>6684</v>
      </c>
      <c r="AX54" t="s">
        <v>154</v>
      </c>
      <c r="AY54" t="str">
        <f t="shared" si="3"/>
        <v>Euro Pleat (Less Fullness x 2)No Movement</v>
      </c>
      <c r="AZ54" s="80">
        <v>2</v>
      </c>
      <c r="BA54" s="80">
        <v>200</v>
      </c>
      <c r="BE54" s="86" t="s">
        <v>487</v>
      </c>
      <c r="BF54" s="86" t="s">
        <v>487</v>
      </c>
      <c r="BG54" s="86">
        <v>130</v>
      </c>
      <c r="CK54" s="25"/>
      <c r="CN54" s="25" t="s">
        <v>274</v>
      </c>
      <c r="CO54" t="s">
        <v>391</v>
      </c>
      <c r="CP54" s="25" t="str">
        <f t="shared" si="8"/>
        <v>Track from TBSNone</v>
      </c>
      <c r="CQ54" s="25" t="s">
        <v>181</v>
      </c>
    </row>
    <row r="55" spans="3:95" ht="16.2" customHeight="1">
      <c r="C55" t="s">
        <v>3677</v>
      </c>
      <c r="D55" s="80">
        <v>80</v>
      </c>
      <c r="J55" s="80" t="s">
        <v>746</v>
      </c>
      <c r="K55" s="80" t="s">
        <v>7100</v>
      </c>
      <c r="L55" t="s">
        <v>229</v>
      </c>
      <c r="M55" t="s">
        <v>162</v>
      </c>
      <c r="N55" t="str">
        <f t="shared" si="0"/>
        <v>Double FrontDesigner 15 Cord DrawnGather Hook LevelDouble Face Fix Brackets</v>
      </c>
      <c r="O55">
        <v>20</v>
      </c>
      <c r="P55">
        <v>35</v>
      </c>
      <c r="Q55" s="80">
        <v>0</v>
      </c>
      <c r="R55" s="80">
        <f t="shared" si="1"/>
        <v>15</v>
      </c>
      <c r="W55" s="80" t="s">
        <v>372</v>
      </c>
      <c r="X55" s="80" t="s">
        <v>5902</v>
      </c>
      <c r="Y55" s="80" t="str">
        <f t="shared" si="9"/>
        <v>System 20 Light Commercial Track Hand DrawnCentre Opening (Offset Split)</v>
      </c>
      <c r="Z55" s="80">
        <v>6</v>
      </c>
      <c r="AC55" t="s">
        <v>747</v>
      </c>
      <c r="AD55" t="s">
        <v>162</v>
      </c>
      <c r="AE55" s="80" t="str">
        <f t="shared" si="21"/>
        <v>Double RearDouble Face Fix Brackets</v>
      </c>
      <c r="AF55" s="80">
        <v>65</v>
      </c>
      <c r="AH55" s="87" t="s">
        <v>368</v>
      </c>
      <c r="AI55" s="87" t="s">
        <v>398</v>
      </c>
      <c r="AJ55" s="11" t="s">
        <v>11556</v>
      </c>
      <c r="AK55" s="80" t="str">
        <f t="shared" si="22"/>
        <v>Designer 25 S-Fold Hand DrawnAntique BrassBent</v>
      </c>
      <c r="AL55" s="80" t="s">
        <v>274</v>
      </c>
      <c r="AM55" s="80" t="s">
        <v>120</v>
      </c>
      <c r="AN55" s="80">
        <v>0</v>
      </c>
      <c r="AO55" s="80" t="s">
        <v>181</v>
      </c>
      <c r="AW55" s="80" t="s">
        <v>6684</v>
      </c>
      <c r="AX55" s="80" t="s">
        <v>5903</v>
      </c>
      <c r="AY55" t="str">
        <f t="shared" si="3"/>
        <v>Euro Pleat (Less Fullness x 2)Centre Opening - Free Flowing (Offset Split)</v>
      </c>
      <c r="AZ55" s="80">
        <v>2</v>
      </c>
      <c r="BA55" s="80">
        <v>200</v>
      </c>
      <c r="BE55" s="86" t="s">
        <v>488</v>
      </c>
      <c r="BF55" s="86" t="s">
        <v>488</v>
      </c>
      <c r="BG55" s="86">
        <v>130</v>
      </c>
      <c r="CK55" s="25"/>
      <c r="CN55" s="25" t="s">
        <v>274</v>
      </c>
      <c r="CO55" t="s">
        <v>7479</v>
      </c>
      <c r="CP55" s="25" t="str">
        <f t="shared" si="8"/>
        <v>Track from TBS100cm Cord Length</v>
      </c>
      <c r="CQ55" s="25" t="s">
        <v>181</v>
      </c>
    </row>
    <row r="56" spans="3:95" ht="16.2" customHeight="1">
      <c r="C56" t="s">
        <v>3683</v>
      </c>
      <c r="D56" s="80">
        <v>20</v>
      </c>
      <c r="J56" s="80" t="s">
        <v>747</v>
      </c>
      <c r="K56" s="80" t="s">
        <v>7100</v>
      </c>
      <c r="L56" t="s">
        <v>229</v>
      </c>
      <c r="M56" t="s">
        <v>162</v>
      </c>
      <c r="N56" t="str">
        <f t="shared" si="0"/>
        <v>Double RearDesigner 15 Cord DrawnGather Hook LevelDouble Face Fix Brackets</v>
      </c>
      <c r="O56">
        <v>20</v>
      </c>
      <c r="P56">
        <v>35</v>
      </c>
      <c r="Q56" s="80">
        <v>0</v>
      </c>
      <c r="R56" s="80">
        <f t="shared" si="1"/>
        <v>15</v>
      </c>
      <c r="W56" s="80" t="s">
        <v>372</v>
      </c>
      <c r="X56" s="80" t="s">
        <v>141</v>
      </c>
      <c r="Y56" s="80" t="str">
        <f t="shared" si="9"/>
        <v>System 20 Light Commercial Track Hand DrawnSingle Panel - Left Stacking</v>
      </c>
      <c r="Z56" s="80">
        <v>6</v>
      </c>
      <c r="AC56" t="s">
        <v>747</v>
      </c>
      <c r="AD56" t="s">
        <v>557</v>
      </c>
      <c r="AE56" s="80" t="str">
        <f t="shared" si="21"/>
        <v>Double RearMetal Top Fix Brackets</v>
      </c>
      <c r="AF56" s="80">
        <v>65</v>
      </c>
      <c r="AH56" s="87" t="s">
        <v>368</v>
      </c>
      <c r="AI56" s="87" t="s">
        <v>398</v>
      </c>
      <c r="AJ56" s="11" t="s">
        <v>160</v>
      </c>
      <c r="AK56" s="80" t="str">
        <f t="shared" si="22"/>
        <v>Designer 25 S-Fold Hand DrawnAntique BrassStraight</v>
      </c>
      <c r="AL56" s="80" t="s">
        <v>274</v>
      </c>
      <c r="AM56" s="80" t="s">
        <v>120</v>
      </c>
      <c r="AN56" s="80">
        <v>0</v>
      </c>
      <c r="AO56" s="80" t="s">
        <v>181</v>
      </c>
      <c r="AW56" t="s">
        <v>6682</v>
      </c>
      <c r="AX56" t="s">
        <v>138</v>
      </c>
      <c r="AY56" t="str">
        <f t="shared" si="3"/>
        <v>Euro Pleat (Standard Fullness x 2.1)Centre Opening</v>
      </c>
      <c r="AZ56" s="80">
        <v>2.1</v>
      </c>
      <c r="BA56" s="80">
        <v>400</v>
      </c>
      <c r="BE56" s="86" t="s">
        <v>558</v>
      </c>
      <c r="BF56" s="86" t="s">
        <v>558</v>
      </c>
      <c r="BG56" s="86">
        <v>130</v>
      </c>
      <c r="CK56" s="25"/>
      <c r="CN56" s="25" t="s">
        <v>274</v>
      </c>
      <c r="CO56" t="s">
        <v>7480</v>
      </c>
      <c r="CP56" s="25" t="str">
        <f t="shared" si="8"/>
        <v>Track from TBS120cm Cord Length</v>
      </c>
      <c r="CQ56" s="25" t="s">
        <v>181</v>
      </c>
    </row>
    <row r="57" spans="3:95" ht="16.2" customHeight="1">
      <c r="C57" t="s">
        <v>580</v>
      </c>
      <c r="D57" s="80">
        <v>70</v>
      </c>
      <c r="J57" s="80" t="s">
        <v>725</v>
      </c>
      <c r="K57" s="80" t="s">
        <v>7100</v>
      </c>
      <c r="L57" t="s">
        <v>229</v>
      </c>
      <c r="M57" t="s">
        <v>162</v>
      </c>
      <c r="N57" t="str">
        <f t="shared" si="0"/>
        <v>SingleDesigner 15 Cord DrawnGather Hook LevelDouble Face Fix Brackets</v>
      </c>
      <c r="O57">
        <v>20</v>
      </c>
      <c r="P57">
        <v>35</v>
      </c>
      <c r="Q57" s="80">
        <v>0</v>
      </c>
      <c r="R57" s="80">
        <f t="shared" si="1"/>
        <v>15</v>
      </c>
      <c r="W57" s="80" t="s">
        <v>372</v>
      </c>
      <c r="X57" s="80" t="s">
        <v>142</v>
      </c>
      <c r="Y57" s="80" t="str">
        <f t="shared" si="9"/>
        <v>System 20 Light Commercial Track Hand DrawnSingle Panel - Right Stacking</v>
      </c>
      <c r="Z57" s="80">
        <v>6</v>
      </c>
      <c r="AC57" t="s">
        <v>747</v>
      </c>
      <c r="AD57" t="s">
        <v>163</v>
      </c>
      <c r="AE57" s="80" t="str">
        <f t="shared" si="21"/>
        <v>Double RearMuslin Brackets</v>
      </c>
      <c r="AF57" s="80">
        <v>10</v>
      </c>
      <c r="AH57" s="87" t="s">
        <v>368</v>
      </c>
      <c r="AI57" s="87" t="s">
        <v>275</v>
      </c>
      <c r="AJ57" s="11" t="s">
        <v>11556</v>
      </c>
      <c r="AK57" s="80" t="str">
        <f t="shared" si="22"/>
        <v>Designer 25 S-Fold Hand DrawnBirch WhiteBent</v>
      </c>
      <c r="AL57" s="80" t="s">
        <v>274</v>
      </c>
      <c r="AM57" s="80" t="s">
        <v>120</v>
      </c>
      <c r="AN57" s="80">
        <v>0</v>
      </c>
      <c r="AO57" s="80" t="s">
        <v>181</v>
      </c>
      <c r="AW57" t="s">
        <v>6682</v>
      </c>
      <c r="AX57" t="s">
        <v>5902</v>
      </c>
      <c r="AY57" t="str">
        <f t="shared" si="3"/>
        <v>Euro Pleat (Standard Fullness x 2.1)Centre Opening (Offset Split)</v>
      </c>
      <c r="AZ57" s="80">
        <v>2.1</v>
      </c>
      <c r="BA57" s="80">
        <v>400</v>
      </c>
      <c r="BE57" s="80" t="s">
        <v>517</v>
      </c>
      <c r="BF57" s="80" t="s">
        <v>517</v>
      </c>
      <c r="BG57" s="80" t="s">
        <v>403</v>
      </c>
      <c r="CK57" s="25"/>
      <c r="CN57" s="25" t="s">
        <v>274</v>
      </c>
      <c r="CO57" t="s">
        <v>7477</v>
      </c>
      <c r="CP57" s="25" t="str">
        <f t="shared" si="8"/>
        <v>Track from TBS150cm Cord Length</v>
      </c>
      <c r="CQ57" s="25" t="s">
        <v>181</v>
      </c>
    </row>
    <row r="58" spans="3:95" ht="16.2" customHeight="1">
      <c r="C58" t="s">
        <v>3676</v>
      </c>
      <c r="D58" s="80">
        <v>80</v>
      </c>
      <c r="J58" s="80" t="s">
        <v>746</v>
      </c>
      <c r="K58" s="80" t="s">
        <v>7100</v>
      </c>
      <c r="L58" t="s">
        <v>228</v>
      </c>
      <c r="M58" t="s">
        <v>162</v>
      </c>
      <c r="N58" t="str">
        <f t="shared" si="0"/>
        <v>Double FrontDesigner 15 Cord DrawnGather Hook NormalDouble Face Fix Brackets</v>
      </c>
      <c r="O58">
        <v>43</v>
      </c>
      <c r="P58">
        <v>35</v>
      </c>
      <c r="Q58" s="80">
        <v>0</v>
      </c>
      <c r="R58" s="80">
        <f t="shared" si="1"/>
        <v>-8</v>
      </c>
      <c r="W58" s="80" t="s">
        <v>372</v>
      </c>
      <c r="X58" s="80" t="s">
        <v>143</v>
      </c>
      <c r="Y58" s="80" t="str">
        <f t="shared" si="9"/>
        <v>System 20 Light Commercial Track Hand DrawnSingle Panel - Free Flowing</v>
      </c>
      <c r="Z58" s="80">
        <v>6</v>
      </c>
      <c r="AC58" t="s">
        <v>747</v>
      </c>
      <c r="AD58" t="s">
        <v>402</v>
      </c>
      <c r="AE58" s="80" t="str">
        <f t="shared" si="21"/>
        <v>Double RearMuslin Brackets Top and Bottom</v>
      </c>
      <c r="AF58" s="80">
        <v>10</v>
      </c>
      <c r="AH58" s="87" t="s">
        <v>368</v>
      </c>
      <c r="AI58" s="87" t="s">
        <v>275</v>
      </c>
      <c r="AJ58" s="11" t="s">
        <v>160</v>
      </c>
      <c r="AK58" s="80" t="str">
        <f t="shared" si="22"/>
        <v>Designer 25 S-Fold Hand DrawnBirch WhiteStraight</v>
      </c>
      <c r="AL58" s="80" t="s">
        <v>274</v>
      </c>
      <c r="AM58" s="80" t="s">
        <v>120</v>
      </c>
      <c r="AN58" s="80">
        <v>0</v>
      </c>
      <c r="AO58" s="80" t="s">
        <v>181</v>
      </c>
      <c r="AW58" t="s">
        <v>6682</v>
      </c>
      <c r="AX58" t="s">
        <v>141</v>
      </c>
      <c r="AY58" t="str">
        <f t="shared" si="3"/>
        <v>Euro Pleat (Standard Fullness x 2.1)Single Panel - Left Stacking</v>
      </c>
      <c r="AZ58" s="80">
        <v>2.1</v>
      </c>
      <c r="BA58" s="80">
        <v>200</v>
      </c>
      <c r="BE58" s="80" t="s">
        <v>518</v>
      </c>
      <c r="BF58" s="80" t="s">
        <v>518</v>
      </c>
      <c r="BG58" s="80" t="s">
        <v>403</v>
      </c>
      <c r="CK58" s="25"/>
      <c r="CN58" s="25" t="s">
        <v>274</v>
      </c>
      <c r="CO58" t="s">
        <v>7481</v>
      </c>
      <c r="CP58" s="25" t="str">
        <f t="shared" si="8"/>
        <v>Track from TBS180cm Cord Length</v>
      </c>
      <c r="CQ58" s="25" t="s">
        <v>181</v>
      </c>
    </row>
    <row r="59" spans="3:95" ht="16.2" customHeight="1">
      <c r="C59" t="s">
        <v>3691</v>
      </c>
      <c r="D59" s="80">
        <v>80</v>
      </c>
      <c r="J59" s="80" t="s">
        <v>747</v>
      </c>
      <c r="K59" s="80" t="s">
        <v>7100</v>
      </c>
      <c r="L59" t="s">
        <v>228</v>
      </c>
      <c r="M59" t="s">
        <v>162</v>
      </c>
      <c r="N59" t="str">
        <f t="shared" si="0"/>
        <v>Double RearDesigner 15 Cord DrawnGather Hook NormalDouble Face Fix Brackets</v>
      </c>
      <c r="O59">
        <v>43</v>
      </c>
      <c r="P59">
        <v>35</v>
      </c>
      <c r="Q59" s="80">
        <v>0</v>
      </c>
      <c r="R59" s="80">
        <f t="shared" si="1"/>
        <v>-8</v>
      </c>
      <c r="W59" s="80" t="s">
        <v>372</v>
      </c>
      <c r="X59" s="80" t="s">
        <v>154</v>
      </c>
      <c r="Y59" s="80" t="str">
        <f t="shared" si="9"/>
        <v>System 20 Light Commercial Track Hand DrawnNo Movement</v>
      </c>
      <c r="Z59" s="80">
        <v>6</v>
      </c>
      <c r="AC59" t="s">
        <v>747</v>
      </c>
      <c r="AD59" t="s">
        <v>266</v>
      </c>
      <c r="AE59" s="80" t="str">
        <f t="shared" si="21"/>
        <v>Double RearTop Fix</v>
      </c>
      <c r="AF59" s="80">
        <v>65</v>
      </c>
      <c r="AH59" s="87" t="s">
        <v>368</v>
      </c>
      <c r="AI59" s="87" t="s">
        <v>193</v>
      </c>
      <c r="AJ59" s="11" t="s">
        <v>11556</v>
      </c>
      <c r="AK59" s="80" t="str">
        <f t="shared" si="22"/>
        <v>Designer 25 S-Fold Hand DrawnBlackBent</v>
      </c>
      <c r="AL59" s="80" t="s">
        <v>274</v>
      </c>
      <c r="AM59" s="80" t="s">
        <v>120</v>
      </c>
      <c r="AN59" s="80">
        <v>0</v>
      </c>
      <c r="AO59" s="80" t="s">
        <v>181</v>
      </c>
      <c r="AW59" t="s">
        <v>6682</v>
      </c>
      <c r="AX59" t="s">
        <v>142</v>
      </c>
      <c r="AY59" t="str">
        <f t="shared" si="3"/>
        <v>Euro Pleat (Standard Fullness x 2.1)Single Panel - Right Stacking</v>
      </c>
      <c r="AZ59" s="80">
        <v>2.1</v>
      </c>
      <c r="BA59" s="80">
        <v>200</v>
      </c>
      <c r="BE59" t="s">
        <v>5450</v>
      </c>
      <c r="BF59" t="s">
        <v>5450</v>
      </c>
      <c r="BG59" s="86">
        <v>250</v>
      </c>
      <c r="CK59" s="25"/>
      <c r="CN59" s="25" t="s">
        <v>274</v>
      </c>
      <c r="CO59" t="s">
        <v>7482</v>
      </c>
      <c r="CP59" s="25" t="str">
        <f t="shared" si="8"/>
        <v>Track from TBS210cm Cord Length</v>
      </c>
      <c r="CQ59" s="25" t="s">
        <v>181</v>
      </c>
    </row>
    <row r="60" spans="3:95" ht="16.2" customHeight="1">
      <c r="C60" t="s">
        <v>3684</v>
      </c>
      <c r="D60" s="80">
        <v>80</v>
      </c>
      <c r="J60" s="80" t="s">
        <v>725</v>
      </c>
      <c r="K60" s="80" t="s">
        <v>7100</v>
      </c>
      <c r="L60" t="s">
        <v>228</v>
      </c>
      <c r="M60" t="s">
        <v>162</v>
      </c>
      <c r="N60" t="str">
        <f t="shared" si="0"/>
        <v>SingleDesigner 15 Cord DrawnGather Hook NormalDouble Face Fix Brackets</v>
      </c>
      <c r="O60">
        <v>43</v>
      </c>
      <c r="P60">
        <v>35</v>
      </c>
      <c r="Q60" s="80">
        <v>0</v>
      </c>
      <c r="R60" s="80">
        <f t="shared" si="1"/>
        <v>-8</v>
      </c>
      <c r="AC60" t="s">
        <v>747</v>
      </c>
      <c r="AD60" t="s">
        <v>161</v>
      </c>
      <c r="AE60" s="80" t="str">
        <f t="shared" si="21"/>
        <v>Double RearTop Fix Brackets</v>
      </c>
      <c r="AF60" s="80">
        <v>65</v>
      </c>
      <c r="AH60" s="87" t="s">
        <v>368</v>
      </c>
      <c r="AI60" s="87" t="s">
        <v>193</v>
      </c>
      <c r="AJ60" s="11" t="s">
        <v>160</v>
      </c>
      <c r="AK60" s="80" t="str">
        <f t="shared" si="24" ref="AK60:AK66">CONCATENATE(AH60,AI60,AJ60)</f>
        <v>Designer 25 S-Fold Hand DrawnBlackStraight</v>
      </c>
      <c r="AL60" s="80" t="s">
        <v>274</v>
      </c>
      <c r="AM60" s="80" t="s">
        <v>120</v>
      </c>
      <c r="AN60" s="80">
        <v>0</v>
      </c>
      <c r="AO60" s="80" t="s">
        <v>181</v>
      </c>
      <c r="AW60" t="s">
        <v>6682</v>
      </c>
      <c r="AX60" t="s">
        <v>143</v>
      </c>
      <c r="AY60" t="str">
        <f t="shared" si="3"/>
        <v>Euro Pleat (Standard Fullness x 2.1)Single Panel - Free Flowing</v>
      </c>
      <c r="AZ60" s="80">
        <v>2.1</v>
      </c>
      <c r="BA60" s="80">
        <v>200</v>
      </c>
      <c r="BE60" t="s">
        <v>5451</v>
      </c>
      <c r="BF60" t="s">
        <v>5451</v>
      </c>
      <c r="BG60" s="86">
        <v>250</v>
      </c>
      <c r="CK60" s="25"/>
      <c r="CN60" s="25" t="s">
        <v>274</v>
      </c>
      <c r="CO60" t="s">
        <v>7478</v>
      </c>
      <c r="CP60" s="25" t="str">
        <f t="shared" si="8"/>
        <v>Track from TBS240cm Cord Length</v>
      </c>
      <c r="CQ60" s="25" t="s">
        <v>181</v>
      </c>
    </row>
    <row r="61" spans="3:95" ht="16.2" customHeight="1">
      <c r="C61" t="s">
        <v>3655</v>
      </c>
      <c r="D61" s="80">
        <v>20</v>
      </c>
      <c r="J61" s="80" t="s">
        <v>746</v>
      </c>
      <c r="K61" s="80" t="s">
        <v>7100</v>
      </c>
      <c r="L61" t="s">
        <v>282</v>
      </c>
      <c r="M61" t="s">
        <v>162</v>
      </c>
      <c r="N61" t="str">
        <f t="shared" si="0"/>
        <v>Double FrontDesigner 15 Cord DrawnLevel 2072Double Face Fix Brackets</v>
      </c>
      <c r="O61">
        <v>38</v>
      </c>
      <c r="P61">
        <v>35</v>
      </c>
      <c r="Q61" s="80">
        <v>0</v>
      </c>
      <c r="R61" s="80">
        <f t="shared" si="1"/>
        <v>-3</v>
      </c>
      <c r="AC61" t="s">
        <v>747</v>
      </c>
      <c r="AD61" t="s">
        <v>553</v>
      </c>
      <c r="AE61" s="80" t="str">
        <f t="shared" si="21"/>
        <v>Double RearTriple Face Fix Brackets</v>
      </c>
      <c r="AF61" s="80">
        <v>195</v>
      </c>
      <c r="AH61" s="87" t="s">
        <v>368</v>
      </c>
      <c r="AI61" s="87" t="s">
        <v>225</v>
      </c>
      <c r="AJ61" s="11" t="s">
        <v>11556</v>
      </c>
      <c r="AK61" s="80" t="str">
        <f t="shared" si="24"/>
        <v>Designer 25 S-Fold Hand DrawnGoldBent</v>
      </c>
      <c r="AL61" s="80" t="s">
        <v>274</v>
      </c>
      <c r="AM61" s="80" t="s">
        <v>120</v>
      </c>
      <c r="AN61" s="80">
        <v>0</v>
      </c>
      <c r="AO61" s="80" t="s">
        <v>181</v>
      </c>
      <c r="AW61" t="s">
        <v>6682</v>
      </c>
      <c r="AX61" t="s">
        <v>154</v>
      </c>
      <c r="AY61" t="str">
        <f t="shared" si="3"/>
        <v>Euro Pleat (Standard Fullness x 2.1)No Movement</v>
      </c>
      <c r="AZ61" s="80">
        <v>2.1</v>
      </c>
      <c r="BA61" s="80">
        <v>200</v>
      </c>
      <c r="BE61" t="s">
        <v>5452</v>
      </c>
      <c r="BF61" t="s">
        <v>5452</v>
      </c>
      <c r="BG61" s="86">
        <v>250</v>
      </c>
      <c r="CK61" s="25"/>
      <c r="CN61" s="25" t="s">
        <v>274</v>
      </c>
      <c r="CO61" t="s">
        <v>7483</v>
      </c>
      <c r="CP61" s="25" t="str">
        <f t="shared" si="8"/>
        <v>Track from TBS270cm Cord Length</v>
      </c>
      <c r="CQ61" s="25" t="s">
        <v>181</v>
      </c>
    </row>
    <row r="62" spans="3:95" ht="16.2" customHeight="1">
      <c r="C62" t="s">
        <v>3657</v>
      </c>
      <c r="D62" s="80">
        <v>20</v>
      </c>
      <c r="J62" s="80" t="s">
        <v>747</v>
      </c>
      <c r="K62" s="80" t="s">
        <v>7100</v>
      </c>
      <c r="L62" t="s">
        <v>282</v>
      </c>
      <c r="M62" t="s">
        <v>162</v>
      </c>
      <c r="N62" t="str">
        <f t="shared" si="0"/>
        <v>Double RearDesigner 15 Cord DrawnLevel 2072Double Face Fix Brackets</v>
      </c>
      <c r="O62">
        <v>38</v>
      </c>
      <c r="P62">
        <v>35</v>
      </c>
      <c r="Q62" s="80">
        <v>0</v>
      </c>
      <c r="R62" s="80">
        <f t="shared" si="1"/>
        <v>-3</v>
      </c>
      <c r="AC62" t="s">
        <v>747</v>
      </c>
      <c r="AD62" t="s">
        <v>7525</v>
      </c>
      <c r="AE62" s="80" t="str">
        <f t="shared" si="21"/>
        <v>Double RearVantage Top Fix Bracket</v>
      </c>
      <c r="AF62" s="80">
        <v>100</v>
      </c>
      <c r="AH62" s="87" t="s">
        <v>368</v>
      </c>
      <c r="AI62" s="87" t="s">
        <v>225</v>
      </c>
      <c r="AJ62" s="11" t="s">
        <v>160</v>
      </c>
      <c r="AK62" s="80" t="str">
        <f t="shared" si="24"/>
        <v>Designer 25 S-Fold Hand DrawnGoldStraight</v>
      </c>
      <c r="AL62" s="80" t="s">
        <v>274</v>
      </c>
      <c r="AM62" s="80" t="s">
        <v>120</v>
      </c>
      <c r="AN62" s="80">
        <v>0</v>
      </c>
      <c r="AO62" s="80" t="s">
        <v>181</v>
      </c>
      <c r="AW62" s="80" t="s">
        <v>6682</v>
      </c>
      <c r="AX62" s="80" t="s">
        <v>5903</v>
      </c>
      <c r="AY62" t="str">
        <f t="shared" si="3"/>
        <v>Euro Pleat (Standard Fullness x 2.1)Centre Opening - Free Flowing (Offset Split)</v>
      </c>
      <c r="AZ62" s="80">
        <v>2.1</v>
      </c>
      <c r="BA62" s="80">
        <v>200</v>
      </c>
      <c r="BE62" t="s">
        <v>5453</v>
      </c>
      <c r="BF62" t="s">
        <v>5453</v>
      </c>
      <c r="BG62" s="86">
        <v>250</v>
      </c>
      <c r="CN62" s="25" t="s">
        <v>274</v>
      </c>
      <c r="CO62" t="s">
        <v>7479</v>
      </c>
      <c r="CP62" s="25" t="str">
        <f t="shared" si="8"/>
        <v>Track from TBS100cm Cord Length</v>
      </c>
      <c r="CQ62" s="25" t="s">
        <v>181</v>
      </c>
    </row>
    <row r="63" spans="3:95" ht="16.2" customHeight="1">
      <c r="C63" t="s">
        <v>3656</v>
      </c>
      <c r="D63" s="80">
        <v>140</v>
      </c>
      <c r="J63" s="80" t="s">
        <v>725</v>
      </c>
      <c r="K63" s="80" t="s">
        <v>7100</v>
      </c>
      <c r="L63" t="s">
        <v>282</v>
      </c>
      <c r="M63" t="s">
        <v>162</v>
      </c>
      <c r="N63" t="str">
        <f t="shared" si="0"/>
        <v>SingleDesigner 15 Cord DrawnLevel 2072Double Face Fix Brackets</v>
      </c>
      <c r="O63">
        <v>35</v>
      </c>
      <c r="P63">
        <v>35</v>
      </c>
      <c r="Q63" s="80">
        <v>0</v>
      </c>
      <c r="R63" s="80">
        <f t="shared" si="1"/>
        <v>0</v>
      </c>
      <c r="AC63" t="s">
        <v>747</v>
      </c>
      <c r="AD63" t="s">
        <v>732</v>
      </c>
      <c r="AE63" s="80" t="str">
        <f t="shared" si="21"/>
        <v>Double RearVersatrak 16mm Front and 25mm Back Combo Glide Bracket</v>
      </c>
      <c r="AF63" s="80">
        <v>65</v>
      </c>
      <c r="AH63" s="87" t="s">
        <v>368</v>
      </c>
      <c r="AI63" s="87" t="s">
        <v>692</v>
      </c>
      <c r="AJ63" s="11" t="s">
        <v>11556</v>
      </c>
      <c r="AK63" s="80" t="str">
        <f t="shared" si="24"/>
        <v>Designer 25 S-Fold Hand DrawnMatt Black InkBent</v>
      </c>
      <c r="AL63" s="80" t="s">
        <v>274</v>
      </c>
      <c r="AM63" s="80" t="s">
        <v>120</v>
      </c>
      <c r="AN63" s="80">
        <v>0</v>
      </c>
      <c r="AO63" s="80" t="s">
        <v>181</v>
      </c>
      <c r="AW63" t="s">
        <v>531</v>
      </c>
      <c r="AX63" t="s">
        <v>138</v>
      </c>
      <c r="AY63" t="str">
        <f t="shared" si="3"/>
        <v>Eyelots (Extra Fullness x 2.8)Centre Opening</v>
      </c>
      <c r="AZ63" s="80">
        <v>2.8</v>
      </c>
      <c r="BA63" s="80">
        <v>400</v>
      </c>
      <c r="BE63" t="s">
        <v>5454</v>
      </c>
      <c r="BF63" t="s">
        <v>5454</v>
      </c>
      <c r="BG63" s="86">
        <v>250</v>
      </c>
      <c r="CN63" s="25" t="s">
        <v>274</v>
      </c>
      <c r="CO63" t="s">
        <v>7480</v>
      </c>
      <c r="CP63" s="25" t="str">
        <f t="shared" si="8"/>
        <v>Track from TBS120cm Cord Length</v>
      </c>
      <c r="CQ63" s="25" t="s">
        <v>181</v>
      </c>
    </row>
    <row r="64" spans="3:95" ht="16.2" customHeight="1">
      <c r="C64" t="s">
        <v>3685</v>
      </c>
      <c r="D64" s="80">
        <v>20</v>
      </c>
      <c r="J64" s="80" t="s">
        <v>746</v>
      </c>
      <c r="K64" s="80" t="s">
        <v>7100</v>
      </c>
      <c r="L64" t="s">
        <v>170</v>
      </c>
      <c r="M64" t="s">
        <v>162</v>
      </c>
      <c r="N64" t="str">
        <f t="shared" si="0"/>
        <v>Double FrontDesigner 15 Cord DrawnNormal 2074Double Face Fix Brackets</v>
      </c>
      <c r="O64">
        <v>60</v>
      </c>
      <c r="P64">
        <v>35</v>
      </c>
      <c r="Q64" s="80">
        <v>0</v>
      </c>
      <c r="R64" s="80">
        <f t="shared" si="1"/>
        <v>-25</v>
      </c>
      <c r="AC64" t="s">
        <v>747</v>
      </c>
      <c r="AD64" t="s">
        <v>737</v>
      </c>
      <c r="AE64" s="80" t="str">
        <f t="shared" si="21"/>
        <v>Double RearVersatrak 16mm Front and Back Combo Glide Bracket</v>
      </c>
      <c r="AF64" s="80">
        <v>65</v>
      </c>
      <c r="AH64" s="87" t="s">
        <v>368</v>
      </c>
      <c r="AI64" s="87" t="s">
        <v>692</v>
      </c>
      <c r="AJ64" s="11" t="s">
        <v>160</v>
      </c>
      <c r="AK64" s="80" t="str">
        <f t="shared" si="24"/>
        <v>Designer 25 S-Fold Hand DrawnMatt Black InkStraight</v>
      </c>
      <c r="AL64" s="80" t="s">
        <v>274</v>
      </c>
      <c r="AM64" s="80" t="s">
        <v>120</v>
      </c>
      <c r="AN64" s="80">
        <v>0</v>
      </c>
      <c r="AO64" s="80" t="s">
        <v>181</v>
      </c>
      <c r="AW64" t="s">
        <v>531</v>
      </c>
      <c r="AX64" t="s">
        <v>5902</v>
      </c>
      <c r="AY64" t="str">
        <f t="shared" si="3"/>
        <v>Eyelots (Extra Fullness x 2.8)Centre Opening (Offset Split)</v>
      </c>
      <c r="AZ64" s="80">
        <v>2.8</v>
      </c>
      <c r="BA64" s="80">
        <v>400</v>
      </c>
      <c r="BE64" s="80" t="s">
        <v>5445</v>
      </c>
      <c r="BF64" s="80" t="s">
        <v>5445</v>
      </c>
      <c r="BG64" s="86">
        <v>250</v>
      </c>
      <c r="CN64" s="25" t="s">
        <v>274</v>
      </c>
      <c r="CO64" t="s">
        <v>7477</v>
      </c>
      <c r="CP64" s="25" t="str">
        <f t="shared" si="8"/>
        <v>Track from TBS150cm Cord Length</v>
      </c>
      <c r="CQ64" s="25" t="s">
        <v>181</v>
      </c>
    </row>
    <row r="65" spans="3:95" ht="16.2" customHeight="1">
      <c r="C65" t="s">
        <v>3686</v>
      </c>
      <c r="D65" s="80">
        <v>140</v>
      </c>
      <c r="J65" s="80" t="s">
        <v>747</v>
      </c>
      <c r="K65" s="80" t="s">
        <v>7100</v>
      </c>
      <c r="L65" t="s">
        <v>170</v>
      </c>
      <c r="M65" t="s">
        <v>162</v>
      </c>
      <c r="N65" t="str">
        <f t="shared" si="0"/>
        <v>Double RearDesigner 15 Cord DrawnNormal 2074Double Face Fix Brackets</v>
      </c>
      <c r="O65">
        <v>60</v>
      </c>
      <c r="P65">
        <v>35</v>
      </c>
      <c r="Q65" s="80">
        <v>0</v>
      </c>
      <c r="R65" s="80">
        <f t="shared" si="1"/>
        <v>-25</v>
      </c>
      <c r="AC65" t="s">
        <v>747</v>
      </c>
      <c r="AD65" t="s">
        <v>11603</v>
      </c>
      <c r="AE65" s="80" t="str">
        <f t="shared" si="21"/>
        <v>Double RearVersatrak 16mm Top Fix 100mm Suspension Bracket</v>
      </c>
      <c r="AF65" s="80">
        <v>65</v>
      </c>
      <c r="AH65" s="87" t="s">
        <v>368</v>
      </c>
      <c r="AI65" s="87" t="s">
        <v>191</v>
      </c>
      <c r="AJ65" s="11" t="s">
        <v>11556</v>
      </c>
      <c r="AK65" s="80" t="str">
        <f t="shared" si="24"/>
        <v>Designer 25 S-Fold Hand DrawnWhiteBent</v>
      </c>
      <c r="AL65" s="80" t="s">
        <v>274</v>
      </c>
      <c r="AM65" s="80" t="s">
        <v>120</v>
      </c>
      <c r="AN65" s="80">
        <v>0</v>
      </c>
      <c r="AO65" s="80" t="s">
        <v>181</v>
      </c>
      <c r="AW65" t="s">
        <v>531</v>
      </c>
      <c r="AX65" t="s">
        <v>141</v>
      </c>
      <c r="AY65" t="str">
        <f t="shared" si="3"/>
        <v>Eyelots (Extra Fullness x 2.8)Single Panel - Left Stacking</v>
      </c>
      <c r="AZ65" s="80">
        <v>2.8</v>
      </c>
      <c r="BA65" s="80">
        <v>200</v>
      </c>
      <c r="BE65" s="80" t="s">
        <v>5446</v>
      </c>
      <c r="BF65" s="80" t="s">
        <v>5446</v>
      </c>
      <c r="BG65" s="86">
        <v>250</v>
      </c>
      <c r="CN65" s="25" t="s">
        <v>274</v>
      </c>
      <c r="CO65" t="s">
        <v>7481</v>
      </c>
      <c r="CP65" s="25" t="str">
        <f t="shared" si="8"/>
        <v>Track from TBS180cm Cord Length</v>
      </c>
      <c r="CQ65" s="25" t="s">
        <v>181</v>
      </c>
    </row>
    <row r="66" spans="3:95" ht="16.2" customHeight="1">
      <c r="C66" t="s">
        <v>3692</v>
      </c>
      <c r="D66" s="80">
        <v>20</v>
      </c>
      <c r="J66" s="80" t="s">
        <v>725</v>
      </c>
      <c r="K66" s="80" t="s">
        <v>7100</v>
      </c>
      <c r="L66" t="s">
        <v>170</v>
      </c>
      <c r="M66" t="s">
        <v>162</v>
      </c>
      <c r="N66" t="str">
        <f t="shared" si="25" ref="N66:N129">(CONCATENATE(J66,K66,L66,M66))</f>
        <v>SingleDesigner 15 Cord DrawnNormal 2074Double Face Fix Brackets</v>
      </c>
      <c r="O66">
        <v>60</v>
      </c>
      <c r="P66">
        <v>35</v>
      </c>
      <c r="Q66" s="80">
        <v>0</v>
      </c>
      <c r="R66" s="80">
        <f t="shared" si="26" ref="R66:R129">SUM(P66)-O66</f>
        <v>-25</v>
      </c>
      <c r="AC66" t="s">
        <v>747</v>
      </c>
      <c r="AD66" t="s">
        <v>733</v>
      </c>
      <c r="AE66" s="80" t="str">
        <f t="shared" si="21"/>
        <v>Double RearVersatrak 25mm Front and Back Combo Glide Bracket</v>
      </c>
      <c r="AF66" s="80">
        <v>65</v>
      </c>
      <c r="AH66" s="87" t="s">
        <v>368</v>
      </c>
      <c r="AI66" s="87" t="s">
        <v>191</v>
      </c>
      <c r="AJ66" s="11" t="s">
        <v>160</v>
      </c>
      <c r="AK66" s="80" t="str">
        <f t="shared" si="24"/>
        <v>Designer 25 S-Fold Hand DrawnWhiteStraight</v>
      </c>
      <c r="AL66" s="80" t="s">
        <v>274</v>
      </c>
      <c r="AM66" s="80" t="s">
        <v>120</v>
      </c>
      <c r="AN66" s="80">
        <v>0</v>
      </c>
      <c r="AO66" s="80" t="s">
        <v>181</v>
      </c>
      <c r="AW66" t="s">
        <v>531</v>
      </c>
      <c r="AX66" t="s">
        <v>142</v>
      </c>
      <c r="AY66" t="str">
        <f t="shared" si="27" ref="AY66:AY129">CONCATENATE(AW66,AX66)</f>
        <v>Eyelots (Extra Fullness x 2.8)Single Panel - Right Stacking</v>
      </c>
      <c r="AZ66" s="80">
        <v>2.8</v>
      </c>
      <c r="BA66" s="80">
        <v>200</v>
      </c>
      <c r="BE66" s="80" t="s">
        <v>5447</v>
      </c>
      <c r="BF66" s="80" t="s">
        <v>5447</v>
      </c>
      <c r="BG66" s="86">
        <v>250</v>
      </c>
      <c r="CN66" s="25" t="s">
        <v>274</v>
      </c>
      <c r="CO66" t="s">
        <v>7482</v>
      </c>
      <c r="CP66" s="25" t="str">
        <f t="shared" si="8"/>
        <v>Track from TBS210cm Cord Length</v>
      </c>
      <c r="CQ66" s="25" t="s">
        <v>181</v>
      </c>
    </row>
    <row r="67" spans="3:95" ht="16.2" customHeight="1">
      <c r="C67" t="s">
        <v>3693</v>
      </c>
      <c r="D67" s="80">
        <v>140</v>
      </c>
      <c r="J67" s="80" t="s">
        <v>746</v>
      </c>
      <c r="K67" s="80" t="s">
        <v>7100</v>
      </c>
      <c r="L67" t="s">
        <v>183</v>
      </c>
      <c r="M67" t="s">
        <v>159</v>
      </c>
      <c r="N67" t="str">
        <f t="shared" si="25"/>
        <v>Double FrontDesigner 15 Cord DrawnBelow Normal 2075Single Face Fix Brackets</v>
      </c>
      <c r="O67">
        <v>70</v>
      </c>
      <c r="P67">
        <v>35</v>
      </c>
      <c r="Q67" s="80">
        <v>0</v>
      </c>
      <c r="R67" s="80">
        <f t="shared" si="26"/>
        <v>-35</v>
      </c>
      <c r="AC67" t="s">
        <v>747</v>
      </c>
      <c r="AD67" t="s">
        <v>735</v>
      </c>
      <c r="AE67" s="80" t="str">
        <f t="shared" si="21"/>
        <v>Double RearVersatrak 25mm Glide Front and 16mm Glide Back Combo Bracket</v>
      </c>
      <c r="AF67" s="80">
        <v>65</v>
      </c>
      <c r="AH67" s="87" t="s">
        <v>483</v>
      </c>
      <c r="AI67" s="87" t="s">
        <v>398</v>
      </c>
      <c r="AJ67" s="11" t="s">
        <v>11556</v>
      </c>
      <c r="AK67" s="80" t="str">
        <f t="shared" si="28" ref="AK67:AK76">CONCATENATE(AH67,AI67,AJ67)</f>
        <v>Designer 25 Wavefold Cord DrawnAntique BrassBent</v>
      </c>
      <c r="AL67" s="80" t="s">
        <v>274</v>
      </c>
      <c r="AM67" s="80" t="s">
        <v>120</v>
      </c>
      <c r="AN67" s="80">
        <v>0</v>
      </c>
      <c r="AO67" s="80" t="s">
        <v>181</v>
      </c>
      <c r="AW67" t="s">
        <v>531</v>
      </c>
      <c r="AX67" t="s">
        <v>143</v>
      </c>
      <c r="AY67" t="str">
        <f t="shared" si="27"/>
        <v>Eyelots (Extra Fullness x 2.8)Single Panel - Free Flowing</v>
      </c>
      <c r="AZ67" s="80">
        <v>2.8</v>
      </c>
      <c r="BA67" s="80">
        <v>200</v>
      </c>
      <c r="BE67" s="80" t="s">
        <v>5448</v>
      </c>
      <c r="BF67" s="80" t="s">
        <v>5448</v>
      </c>
      <c r="BG67" s="86">
        <v>250</v>
      </c>
      <c r="CN67" s="25" t="s">
        <v>274</v>
      </c>
      <c r="CO67" t="s">
        <v>7478</v>
      </c>
      <c r="CP67" s="25" t="str">
        <f t="shared" si="8"/>
        <v>Track from TBS240cm Cord Length</v>
      </c>
      <c r="CQ67" s="25" t="s">
        <v>181</v>
      </c>
    </row>
    <row r="68" spans="3:95" ht="16.2" customHeight="1">
      <c r="C68" t="s">
        <v>3659</v>
      </c>
      <c r="D68" s="80">
        <v>20</v>
      </c>
      <c r="J68" s="80" t="s">
        <v>747</v>
      </c>
      <c r="K68" s="80" t="s">
        <v>7100</v>
      </c>
      <c r="L68" t="s">
        <v>183</v>
      </c>
      <c r="M68" t="s">
        <v>159</v>
      </c>
      <c r="N68" t="str">
        <f t="shared" si="25"/>
        <v>Double RearDesigner 15 Cord DrawnBelow Normal 2075Single Face Fix Brackets</v>
      </c>
      <c r="O68">
        <v>70</v>
      </c>
      <c r="P68">
        <v>35</v>
      </c>
      <c r="Q68" s="80">
        <v>0</v>
      </c>
      <c r="R68" s="80">
        <f t="shared" si="26"/>
        <v>-35</v>
      </c>
      <c r="AC68" t="s">
        <v>747</v>
      </c>
      <c r="AD68" t="s">
        <v>736</v>
      </c>
      <c r="AE68" s="80" t="str">
        <f t="shared" si="21"/>
        <v>Double RearVersatrak 25mm Ring Front and 16mm Glide Back Combo Bracket</v>
      </c>
      <c r="AF68" s="80">
        <v>65</v>
      </c>
      <c r="AH68" s="87" t="s">
        <v>483</v>
      </c>
      <c r="AI68" s="87" t="s">
        <v>398</v>
      </c>
      <c r="AJ68" s="11" t="s">
        <v>160</v>
      </c>
      <c r="AK68" s="80" t="str">
        <f t="shared" si="28"/>
        <v>Designer 25 Wavefold Cord DrawnAntique BrassStraight</v>
      </c>
      <c r="AL68" s="80" t="s">
        <v>274</v>
      </c>
      <c r="AM68" s="80" t="s">
        <v>120</v>
      </c>
      <c r="AN68" s="80">
        <v>0</v>
      </c>
      <c r="AO68" s="80" t="s">
        <v>181</v>
      </c>
      <c r="AW68" t="s">
        <v>531</v>
      </c>
      <c r="AX68" t="s">
        <v>717</v>
      </c>
      <c r="AY68" t="str">
        <f t="shared" si="27"/>
        <v>Eyelots (Extra Fullness x 2.8)Centre Opening - Free Flowing</v>
      </c>
      <c r="AZ68" s="80">
        <v>2.8</v>
      </c>
      <c r="BA68" s="80">
        <v>400</v>
      </c>
      <c r="BE68" s="80" t="s">
        <v>5449</v>
      </c>
      <c r="BF68" s="80" t="s">
        <v>5449</v>
      </c>
      <c r="BG68" s="86">
        <v>250</v>
      </c>
      <c r="CN68" s="25" t="s">
        <v>274</v>
      </c>
      <c r="CO68" t="s">
        <v>7483</v>
      </c>
      <c r="CP68" s="25" t="str">
        <f t="shared" si="29" ref="CP68:CP102">CONCATENATE(CN68,CO68)</f>
        <v>Track from TBS270cm Cord Length</v>
      </c>
      <c r="CQ68" s="25" t="s">
        <v>181</v>
      </c>
    </row>
    <row r="69" spans="3:95" ht="16.2" customHeight="1">
      <c r="C69" t="s">
        <v>3658</v>
      </c>
      <c r="D69" s="80">
        <v>140</v>
      </c>
      <c r="J69" s="80" t="s">
        <v>725</v>
      </c>
      <c r="K69" s="80" t="s">
        <v>7100</v>
      </c>
      <c r="L69" t="s">
        <v>183</v>
      </c>
      <c r="M69" t="s">
        <v>159</v>
      </c>
      <c r="N69" t="str">
        <f t="shared" si="25"/>
        <v>SingleDesigner 15 Cord DrawnBelow Normal 2075Single Face Fix Brackets</v>
      </c>
      <c r="O69">
        <v>70</v>
      </c>
      <c r="P69">
        <v>35</v>
      </c>
      <c r="Q69" s="80">
        <v>0</v>
      </c>
      <c r="R69" s="80">
        <f t="shared" si="26"/>
        <v>-35</v>
      </c>
      <c r="AC69" t="s">
        <v>747</v>
      </c>
      <c r="AD69" t="s">
        <v>734</v>
      </c>
      <c r="AE69" s="80" t="str">
        <f t="shared" si="21"/>
        <v>Double RearVersatrak 25mm Ring Front and 25mm Glide Back Combo Bracket</v>
      </c>
      <c r="AF69" s="80">
        <v>65</v>
      </c>
      <c r="AH69" s="87" t="s">
        <v>483</v>
      </c>
      <c r="AI69" s="87" t="s">
        <v>275</v>
      </c>
      <c r="AJ69" s="11" t="s">
        <v>11556</v>
      </c>
      <c r="AK69" s="80" t="str">
        <f t="shared" si="28"/>
        <v>Designer 25 Wavefold Cord DrawnBirch WhiteBent</v>
      </c>
      <c r="AL69" s="80" t="s">
        <v>274</v>
      </c>
      <c r="AM69" s="80" t="s">
        <v>120</v>
      </c>
      <c r="AN69" s="80">
        <v>0</v>
      </c>
      <c r="AO69" s="80" t="s">
        <v>181</v>
      </c>
      <c r="AW69" t="s">
        <v>531</v>
      </c>
      <c r="AX69" t="s">
        <v>154</v>
      </c>
      <c r="AY69" t="str">
        <f t="shared" si="27"/>
        <v>Eyelots (Extra Fullness x 2.8)No Movement</v>
      </c>
      <c r="AZ69" s="80">
        <v>2.8</v>
      </c>
      <c r="BA69" s="80">
        <v>200</v>
      </c>
      <c r="BE69" s="80" t="s">
        <v>5440</v>
      </c>
      <c r="BF69" s="80" t="s">
        <v>5440</v>
      </c>
      <c r="BG69" s="86">
        <v>250</v>
      </c>
      <c r="CN69" s="25" t="s">
        <v>274</v>
      </c>
      <c r="CO69"/>
      <c r="CP69" s="25" t="str">
        <f>CONCATENATE(CN69,CO69)</f>
        <v>Track from TBS</v>
      </c>
      <c r="CQ69" s="25" t="s">
        <v>181</v>
      </c>
    </row>
    <row r="70" spans="3:95" ht="16.2" customHeight="1">
      <c r="C70" t="s">
        <v>3652</v>
      </c>
      <c r="D70" s="80">
        <v>0</v>
      </c>
      <c r="J70" s="80" t="s">
        <v>746</v>
      </c>
      <c r="K70" s="80" t="s">
        <v>7100</v>
      </c>
      <c r="L70" t="s">
        <v>182</v>
      </c>
      <c r="M70" t="s">
        <v>159</v>
      </c>
      <c r="N70" t="str">
        <f t="shared" si="25"/>
        <v>Double FrontDesigner 15 Cord DrawnBetween Level and Normal 2073Single Face Fix Brackets</v>
      </c>
      <c r="O70">
        <v>48</v>
      </c>
      <c r="P70">
        <v>35</v>
      </c>
      <c r="Q70" s="80">
        <v>0</v>
      </c>
      <c r="R70" s="80">
        <f t="shared" si="26"/>
        <v>-13</v>
      </c>
      <c r="AC70" t="s">
        <v>747</v>
      </c>
      <c r="AD70" t="s">
        <v>11596</v>
      </c>
      <c r="AE70" s="80" t="str">
        <f t="shared" si="21"/>
        <v>Double RearVersatrak 25mm Top Fix 100mm Suspension Bracket</v>
      </c>
      <c r="AF70" s="80">
        <v>65</v>
      </c>
      <c r="AH70" s="87" t="s">
        <v>483</v>
      </c>
      <c r="AI70" s="87" t="s">
        <v>275</v>
      </c>
      <c r="AJ70" s="11" t="s">
        <v>160</v>
      </c>
      <c r="AK70" s="80" t="str">
        <f t="shared" si="28"/>
        <v>Designer 25 Wavefold Cord DrawnBirch WhiteStraight</v>
      </c>
      <c r="AL70" s="80" t="s">
        <v>274</v>
      </c>
      <c r="AM70" s="80" t="s">
        <v>120</v>
      </c>
      <c r="AN70" s="80">
        <v>0</v>
      </c>
      <c r="AO70" s="80" t="s">
        <v>181</v>
      </c>
      <c r="AW70" s="80" t="s">
        <v>531</v>
      </c>
      <c r="AX70" s="80" t="s">
        <v>5903</v>
      </c>
      <c r="AY70" t="str">
        <f t="shared" si="27"/>
        <v>Eyelots (Extra Fullness x 2.8)Centre Opening - Free Flowing (Offset Split)</v>
      </c>
      <c r="AZ70" s="80">
        <v>2.8</v>
      </c>
      <c r="BA70" s="80">
        <v>200</v>
      </c>
      <c r="BE70" s="80" t="s">
        <v>5441</v>
      </c>
      <c r="BF70" s="80" t="s">
        <v>5441</v>
      </c>
      <c r="BG70" s="86">
        <v>250</v>
      </c>
      <c r="CN70" s="25" t="s">
        <v>435</v>
      </c>
      <c r="CO70" t="s">
        <v>5704</v>
      </c>
      <c r="CP70" s="25" t="str">
        <f t="shared" si="29"/>
        <v>Track from VandaWhite Aluminium Flick Sticks 100cm</v>
      </c>
      <c r="CQ70" s="25" t="s">
        <v>120</v>
      </c>
    </row>
    <row r="71" spans="3:95" ht="16.2" customHeight="1">
      <c r="C71" t="s">
        <v>3654</v>
      </c>
      <c r="D71" s="80">
        <v>20</v>
      </c>
      <c r="J71" s="80" t="s">
        <v>747</v>
      </c>
      <c r="K71" s="80" t="s">
        <v>7100</v>
      </c>
      <c r="L71" t="s">
        <v>182</v>
      </c>
      <c r="M71" t="s">
        <v>159</v>
      </c>
      <c r="N71" t="str">
        <f t="shared" si="25"/>
        <v>Double RearDesigner 15 Cord DrawnBetween Level and Normal 2073Single Face Fix Brackets</v>
      </c>
      <c r="O71">
        <v>48</v>
      </c>
      <c r="P71">
        <v>35</v>
      </c>
      <c r="Q71" s="80">
        <v>0</v>
      </c>
      <c r="R71" s="80">
        <f t="shared" si="26"/>
        <v>-13</v>
      </c>
      <c r="AC71" t="s">
        <v>747</v>
      </c>
      <c r="AD71" t="s">
        <v>731</v>
      </c>
      <c r="AE71" s="80" t="str">
        <f t="shared" si="21"/>
        <v>Double RearVersatrak Top Fix Ring Bracket</v>
      </c>
      <c r="AF71" s="80">
        <v>65</v>
      </c>
      <c r="AH71" s="87" t="s">
        <v>483</v>
      </c>
      <c r="AI71" s="87" t="s">
        <v>193</v>
      </c>
      <c r="AJ71" s="11" t="s">
        <v>11556</v>
      </c>
      <c r="AK71" s="80" t="str">
        <f t="shared" si="28"/>
        <v>Designer 25 Wavefold Cord DrawnBlackBent</v>
      </c>
      <c r="AL71" s="80" t="s">
        <v>274</v>
      </c>
      <c r="AM71" s="80" t="s">
        <v>120</v>
      </c>
      <c r="AN71" s="80">
        <v>0</v>
      </c>
      <c r="AO71" s="80" t="s">
        <v>181</v>
      </c>
      <c r="AW71" t="s">
        <v>530</v>
      </c>
      <c r="AX71" t="s">
        <v>138</v>
      </c>
      <c r="AY71" t="str">
        <f t="shared" si="27"/>
        <v>Eyelots (Standard Fullness x 2.5)Centre Opening</v>
      </c>
      <c r="AZ71" s="80">
        <v>2.5</v>
      </c>
      <c r="BA71" s="80">
        <v>400</v>
      </c>
      <c r="BE71" s="80" t="s">
        <v>5442</v>
      </c>
      <c r="BF71" s="80" t="s">
        <v>5442</v>
      </c>
      <c r="BG71" s="86">
        <v>250</v>
      </c>
      <c r="CN71" s="25" t="s">
        <v>435</v>
      </c>
      <c r="CO71" t="s">
        <v>5686</v>
      </c>
      <c r="CP71" s="25" t="str">
        <f t="shared" si="29"/>
        <v>Track from VandaWhite Aluminium Flick Sticks 125cm</v>
      </c>
      <c r="CQ71" s="25" t="s">
        <v>120</v>
      </c>
    </row>
    <row r="72" spans="3:95" ht="16.2" customHeight="1">
      <c r="C72" t="s">
        <v>3651</v>
      </c>
      <c r="D72" s="80">
        <v>70</v>
      </c>
      <c r="J72" s="80" t="s">
        <v>725</v>
      </c>
      <c r="K72" s="80" t="s">
        <v>7100</v>
      </c>
      <c r="L72" t="s">
        <v>182</v>
      </c>
      <c r="M72" t="s">
        <v>159</v>
      </c>
      <c r="N72" t="str">
        <f t="shared" si="25"/>
        <v>SingleDesigner 15 Cord DrawnBetween Level and Normal 2073Single Face Fix Brackets</v>
      </c>
      <c r="O72">
        <v>47</v>
      </c>
      <c r="P72">
        <v>35</v>
      </c>
      <c r="Q72" s="80">
        <v>0</v>
      </c>
      <c r="R72" s="80">
        <f t="shared" si="26"/>
        <v>-12</v>
      </c>
      <c r="AC72" t="s">
        <v>747</v>
      </c>
      <c r="AD72" t="s">
        <v>11602</v>
      </c>
      <c r="AE72" s="80" t="str">
        <f t="shared" si="21"/>
        <v>Double RearVersatrak Top Fix Suspension Bracket</v>
      </c>
      <c r="AF72" s="80">
        <v>65</v>
      </c>
      <c r="AH72" s="87" t="s">
        <v>483</v>
      </c>
      <c r="AI72" s="87" t="s">
        <v>193</v>
      </c>
      <c r="AJ72" s="11" t="s">
        <v>160</v>
      </c>
      <c r="AK72" s="80" t="str">
        <f t="shared" si="28"/>
        <v>Designer 25 Wavefold Cord DrawnBlackStraight</v>
      </c>
      <c r="AL72" s="80" t="s">
        <v>274</v>
      </c>
      <c r="AM72" s="80" t="s">
        <v>120</v>
      </c>
      <c r="AN72" s="80">
        <v>0</v>
      </c>
      <c r="AO72" s="80" t="s">
        <v>181</v>
      </c>
      <c r="AW72" t="s">
        <v>530</v>
      </c>
      <c r="AX72" t="s">
        <v>5902</v>
      </c>
      <c r="AY72" t="str">
        <f t="shared" si="27"/>
        <v>Eyelots (Standard Fullness x 2.5)Centre Opening (Offset Split)</v>
      </c>
      <c r="AZ72" s="80">
        <v>2.5</v>
      </c>
      <c r="BA72" s="80">
        <v>400</v>
      </c>
      <c r="BE72" s="80" t="s">
        <v>5443</v>
      </c>
      <c r="BF72" s="80" t="s">
        <v>5443</v>
      </c>
      <c r="BG72" s="86">
        <v>250</v>
      </c>
      <c r="CN72" s="25" t="s">
        <v>435</v>
      </c>
      <c r="CO72" t="s">
        <v>5687</v>
      </c>
      <c r="CP72" s="25" t="str">
        <f t="shared" si="29"/>
        <v>Track from VandaWhite Aluminium Flick Sticks 150cm</v>
      </c>
      <c r="CQ72" s="25" t="s">
        <v>120</v>
      </c>
    </row>
    <row r="73" spans="3:95" ht="16.2" customHeight="1">
      <c r="C73" t="s">
        <v>3653</v>
      </c>
      <c r="D73" s="80">
        <v>80</v>
      </c>
      <c r="J73" s="80" t="s">
        <v>746</v>
      </c>
      <c r="K73" s="80" t="s">
        <v>7100</v>
      </c>
      <c r="L73" t="s">
        <v>184</v>
      </c>
      <c r="M73" t="s">
        <v>159</v>
      </c>
      <c r="N73" t="str">
        <f t="shared" si="25"/>
        <v>Double FrontDesigner 15 Cord DrawnDecorator 2071Single Face Fix Brackets</v>
      </c>
      <c r="O73">
        <v>20</v>
      </c>
      <c r="P73">
        <v>35</v>
      </c>
      <c r="Q73" s="80">
        <v>0</v>
      </c>
      <c r="R73" s="80">
        <f t="shared" si="26"/>
        <v>15</v>
      </c>
      <c r="AC73" t="s">
        <v>747</v>
      </c>
      <c r="AD73" t="s">
        <v>11600</v>
      </c>
      <c r="AE73" s="80" t="str">
        <f t="shared" si="21"/>
        <v>Double RearVersatrak Top Fix Suspension Bracket with 1 Wall Bracket</v>
      </c>
      <c r="AF73" s="80">
        <v>65</v>
      </c>
      <c r="AH73" s="87" t="s">
        <v>483</v>
      </c>
      <c r="AI73" s="87" t="s">
        <v>225</v>
      </c>
      <c r="AJ73" s="11" t="s">
        <v>11556</v>
      </c>
      <c r="AK73" s="80" t="str">
        <f t="shared" si="28"/>
        <v>Designer 25 Wavefold Cord DrawnGoldBent</v>
      </c>
      <c r="AL73" s="80" t="s">
        <v>274</v>
      </c>
      <c r="AM73" s="80" t="s">
        <v>120</v>
      </c>
      <c r="AN73" s="80">
        <v>0</v>
      </c>
      <c r="AO73" s="80" t="s">
        <v>181</v>
      </c>
      <c r="AW73" t="s">
        <v>530</v>
      </c>
      <c r="AX73" t="s">
        <v>141</v>
      </c>
      <c r="AY73" t="str">
        <f t="shared" si="27"/>
        <v>Eyelots (Standard Fullness x 2.5)Single Panel - Left Stacking</v>
      </c>
      <c r="AZ73" s="80">
        <v>2.5</v>
      </c>
      <c r="BA73" s="80">
        <v>200</v>
      </c>
      <c r="BE73" s="80" t="s">
        <v>5444</v>
      </c>
      <c r="BF73" s="80" t="s">
        <v>5444</v>
      </c>
      <c r="BG73" s="86">
        <v>250</v>
      </c>
      <c r="CN73" s="25" t="s">
        <v>435</v>
      </c>
      <c r="CO73" t="s">
        <v>5705</v>
      </c>
      <c r="CP73" s="25" t="str">
        <f t="shared" si="29"/>
        <v>Track from VandaBlack Aluminium Flick Sticks 100cm</v>
      </c>
      <c r="CQ73" s="25" t="s">
        <v>120</v>
      </c>
    </row>
    <row r="74" spans="3:95" ht="16.2" customHeight="1">
      <c r="C74" t="s">
        <v>251</v>
      </c>
      <c r="D74" s="80">
        <v>20</v>
      </c>
      <c r="J74" s="80" t="s">
        <v>747</v>
      </c>
      <c r="K74" s="80" t="s">
        <v>7100</v>
      </c>
      <c r="L74" t="s">
        <v>184</v>
      </c>
      <c r="M74" t="s">
        <v>159</v>
      </c>
      <c r="N74" t="str">
        <f t="shared" si="25"/>
        <v>Double RearDesigner 15 Cord DrawnDecorator 2071Single Face Fix Brackets</v>
      </c>
      <c r="O74">
        <v>20</v>
      </c>
      <c r="P74">
        <v>35</v>
      </c>
      <c r="Q74" s="80">
        <v>0</v>
      </c>
      <c r="R74" s="80">
        <f t="shared" si="26"/>
        <v>15</v>
      </c>
      <c r="AC74" t="s">
        <v>747</v>
      </c>
      <c r="AD74" t="s">
        <v>11601</v>
      </c>
      <c r="AE74" s="80" t="str">
        <f t="shared" si="21"/>
        <v>Double RearVersatrak Top Fix Suspension Bracket with 2 Wall Brackets</v>
      </c>
      <c r="AF74" s="80">
        <v>65</v>
      </c>
      <c r="AH74" s="87" t="s">
        <v>483</v>
      </c>
      <c r="AI74" s="87" t="s">
        <v>225</v>
      </c>
      <c r="AJ74" s="11" t="s">
        <v>160</v>
      </c>
      <c r="AK74" s="80" t="str">
        <f t="shared" si="28"/>
        <v>Designer 25 Wavefold Cord DrawnGoldStraight</v>
      </c>
      <c r="AL74" s="80" t="s">
        <v>274</v>
      </c>
      <c r="AM74" s="80" t="s">
        <v>120</v>
      </c>
      <c r="AN74" s="80">
        <v>0</v>
      </c>
      <c r="AO74" s="80" t="s">
        <v>181</v>
      </c>
      <c r="AW74" t="s">
        <v>530</v>
      </c>
      <c r="AX74" t="s">
        <v>142</v>
      </c>
      <c r="AY74" t="str">
        <f t="shared" si="27"/>
        <v>Eyelots (Standard Fullness x 2.5)Single Panel - Right Stacking</v>
      </c>
      <c r="AZ74" s="80">
        <v>2.5</v>
      </c>
      <c r="BA74" s="80">
        <v>200</v>
      </c>
      <c r="CN74" s="25" t="s">
        <v>435</v>
      </c>
      <c r="CO74" t="s">
        <v>5706</v>
      </c>
      <c r="CP74" s="25" t="str">
        <f t="shared" si="29"/>
        <v>Track from VandaBlack Aluminium Flick Sticks 125cm</v>
      </c>
      <c r="CQ74" s="25" t="s">
        <v>120</v>
      </c>
    </row>
    <row r="75" spans="3:95" ht="16.2" customHeight="1">
      <c r="C75" t="s">
        <v>5522</v>
      </c>
      <c r="D75" s="80">
        <v>21</v>
      </c>
      <c r="J75" s="80" t="s">
        <v>725</v>
      </c>
      <c r="K75" s="80" t="s">
        <v>7100</v>
      </c>
      <c r="L75" t="s">
        <v>184</v>
      </c>
      <c r="M75" t="s">
        <v>159</v>
      </c>
      <c r="N75" t="str">
        <f t="shared" si="25"/>
        <v>SingleDesigner 15 Cord DrawnDecorator 2071Single Face Fix Brackets</v>
      </c>
      <c r="O75">
        <v>20</v>
      </c>
      <c r="P75">
        <v>35</v>
      </c>
      <c r="Q75" s="80">
        <v>0</v>
      </c>
      <c r="R75" s="80">
        <f t="shared" si="26"/>
        <v>15</v>
      </c>
      <c r="AC75" t="s">
        <v>747</v>
      </c>
      <c r="AD75" t="s">
        <v>730</v>
      </c>
      <c r="AE75" s="80" t="str">
        <f t="shared" si="21"/>
        <v>Double RearVersatrak Ultra Top Fix Glide Bracket</v>
      </c>
      <c r="AF75" s="80">
        <v>65</v>
      </c>
      <c r="AH75" s="87" t="s">
        <v>483</v>
      </c>
      <c r="AI75" s="87" t="s">
        <v>692</v>
      </c>
      <c r="AJ75" s="11" t="s">
        <v>11556</v>
      </c>
      <c r="AK75" s="80" t="str">
        <f t="shared" si="28"/>
        <v>Designer 25 Wavefold Cord DrawnMatt Black InkBent</v>
      </c>
      <c r="AL75" s="80" t="s">
        <v>274</v>
      </c>
      <c r="AM75" s="80" t="s">
        <v>120</v>
      </c>
      <c r="AN75" s="80">
        <v>0</v>
      </c>
      <c r="AO75" s="80" t="s">
        <v>181</v>
      </c>
      <c r="AW75" t="s">
        <v>530</v>
      </c>
      <c r="AX75" t="s">
        <v>143</v>
      </c>
      <c r="AY75" t="str">
        <f t="shared" si="27"/>
        <v>Eyelots (Standard Fullness x 2.5)Single Panel - Free Flowing</v>
      </c>
      <c r="AZ75" s="80">
        <v>2.5</v>
      </c>
      <c r="BA75" s="80">
        <v>200</v>
      </c>
      <c r="CN75" s="25" t="s">
        <v>435</v>
      </c>
      <c r="CO75" t="s">
        <v>5707</v>
      </c>
      <c r="CP75" s="25" t="str">
        <f t="shared" si="29"/>
        <v>Track from VandaBlack Aluminium Flick Sticks 150cm</v>
      </c>
      <c r="CQ75" s="25" t="s">
        <v>120</v>
      </c>
    </row>
    <row r="76" spans="3:95" ht="16.2" customHeight="1">
      <c r="C76" s="80" t="s">
        <v>5878</v>
      </c>
      <c r="D76" s="80">
        <v>100</v>
      </c>
      <c r="J76" s="80" t="s">
        <v>746</v>
      </c>
      <c r="K76" s="80" t="s">
        <v>7100</v>
      </c>
      <c r="L76" t="s">
        <v>6468</v>
      </c>
      <c r="M76" t="s">
        <v>159</v>
      </c>
      <c r="N76" t="str">
        <f t="shared" si="25"/>
        <v>Double FrontDesigner 15 Cord DrawnGather Hook Bottom PocketSingle Face Fix Brackets</v>
      </c>
      <c r="O76">
        <v>60</v>
      </c>
      <c r="P76">
        <v>35</v>
      </c>
      <c r="Q76" s="80">
        <v>0</v>
      </c>
      <c r="R76" s="80">
        <f t="shared" si="26"/>
        <v>-25</v>
      </c>
      <c r="AC76" s="80" t="s">
        <v>746</v>
      </c>
      <c r="AD76" t="s">
        <v>166</v>
      </c>
      <c r="AE76" s="80" t="str">
        <f t="shared" si="21"/>
        <v>Double Front100mm Unstayed Brackets with Acorns</v>
      </c>
      <c r="AF76" s="80">
        <v>100</v>
      </c>
      <c r="AH76" s="87" t="s">
        <v>483</v>
      </c>
      <c r="AI76" s="87" t="s">
        <v>692</v>
      </c>
      <c r="AJ76" s="11" t="s">
        <v>160</v>
      </c>
      <c r="AK76" s="80" t="str">
        <f t="shared" si="28"/>
        <v>Designer 25 Wavefold Cord DrawnMatt Black InkStraight</v>
      </c>
      <c r="AL76" s="80" t="s">
        <v>274</v>
      </c>
      <c r="AM76" s="80" t="s">
        <v>120</v>
      </c>
      <c r="AN76" s="80">
        <v>0</v>
      </c>
      <c r="AO76" s="80" t="s">
        <v>181</v>
      </c>
      <c r="AW76" t="s">
        <v>530</v>
      </c>
      <c r="AX76" t="s">
        <v>717</v>
      </c>
      <c r="AY76" t="str">
        <f t="shared" si="27"/>
        <v>Eyelots (Standard Fullness x 2.5)Centre Opening - Free Flowing</v>
      </c>
      <c r="AZ76" s="80">
        <v>2.5</v>
      </c>
      <c r="BA76" s="80">
        <v>400</v>
      </c>
      <c r="CN76" s="25" t="s">
        <v>435</v>
      </c>
      <c r="CO76" t="s">
        <v>5708</v>
      </c>
      <c r="CP76" s="25" t="str">
        <f t="shared" si="29"/>
        <v>Track from VandaMatt Satin Aluminium Flick Sticks 100cm</v>
      </c>
      <c r="CQ76" s="25" t="s">
        <v>120</v>
      </c>
    </row>
    <row r="77" spans="3:95" ht="16.2" customHeight="1">
      <c r="C77" t="s">
        <v>5881</v>
      </c>
      <c r="D77" s="80">
        <v>40</v>
      </c>
      <c r="J77" s="80" t="s">
        <v>725</v>
      </c>
      <c r="K77" s="80" t="s">
        <v>7100</v>
      </c>
      <c r="L77" t="s">
        <v>6468</v>
      </c>
      <c r="M77" t="s">
        <v>159</v>
      </c>
      <c r="N77" t="str">
        <f t="shared" si="25"/>
        <v>SingleDesigner 15 Cord DrawnGather Hook Bottom PocketSingle Face Fix Brackets</v>
      </c>
      <c r="O77">
        <v>60</v>
      </c>
      <c r="P77">
        <v>35</v>
      </c>
      <c r="Q77" s="80">
        <v>0</v>
      </c>
      <c r="R77" s="80">
        <f t="shared" si="26"/>
        <v>-25</v>
      </c>
      <c r="AC77" s="80" t="s">
        <v>746</v>
      </c>
      <c r="AD77" t="s">
        <v>529</v>
      </c>
      <c r="AE77" s="80" t="str">
        <f t="shared" si="21"/>
        <v>Double Front170mm Brackets</v>
      </c>
      <c r="AF77" s="80">
        <v>170</v>
      </c>
      <c r="AH77" s="87" t="s">
        <v>483</v>
      </c>
      <c r="AI77" s="87" t="s">
        <v>357</v>
      </c>
      <c r="AJ77" s="11" t="s">
        <v>11556</v>
      </c>
      <c r="AK77" s="80" t="str">
        <f t="shared" si="30" ref="AK77:AK84">CONCATENATE(AH77,AI77,AJ77)</f>
        <v>Designer 25 Wavefold Cord DrawnMatt SatinBent</v>
      </c>
      <c r="AL77" s="80" t="s">
        <v>274</v>
      </c>
      <c r="AM77" s="80" t="s">
        <v>120</v>
      </c>
      <c r="AN77" s="80">
        <v>0</v>
      </c>
      <c r="AO77" s="80" t="s">
        <v>181</v>
      </c>
      <c r="AW77" t="s">
        <v>530</v>
      </c>
      <c r="AX77" t="s">
        <v>154</v>
      </c>
      <c r="AY77" t="str">
        <f t="shared" si="27"/>
        <v>Eyelots (Standard Fullness x 2.5)No Movement</v>
      </c>
      <c r="AZ77" s="80">
        <v>2.5</v>
      </c>
      <c r="BA77" s="80">
        <v>200</v>
      </c>
      <c r="CN77" s="25" t="s">
        <v>435</v>
      </c>
      <c r="CO77" t="s">
        <v>5709</v>
      </c>
      <c r="CP77" s="25" t="str">
        <f t="shared" si="29"/>
        <v>Track from VandaMatt Satin Aluminium Flick Sticks 125cm</v>
      </c>
      <c r="CQ77" s="25" t="s">
        <v>120</v>
      </c>
    </row>
    <row r="78" spans="3:95" ht="16.2" customHeight="1">
      <c r="C78" t="s">
        <v>5880</v>
      </c>
      <c r="D78" s="80">
        <v>110</v>
      </c>
      <c r="J78" s="80" t="s">
        <v>746</v>
      </c>
      <c r="K78" s="80" t="s">
        <v>7100</v>
      </c>
      <c r="L78" t="s">
        <v>229</v>
      </c>
      <c r="M78" t="s">
        <v>159</v>
      </c>
      <c r="N78" t="str">
        <f t="shared" si="25"/>
        <v>Double FrontDesigner 15 Cord DrawnGather Hook LevelSingle Face Fix Brackets</v>
      </c>
      <c r="O78">
        <v>20</v>
      </c>
      <c r="P78">
        <v>35</v>
      </c>
      <c r="Q78" s="80">
        <v>0</v>
      </c>
      <c r="R78" s="80">
        <f t="shared" si="26"/>
        <v>15</v>
      </c>
      <c r="AC78" s="80" t="s">
        <v>746</v>
      </c>
      <c r="AD78" t="s">
        <v>724</v>
      </c>
      <c r="AE78" s="80" t="str">
        <f t="shared" si="21"/>
        <v>Double FrontBoldtrak Premo Double Bracket Suit 16mm on Back</v>
      </c>
      <c r="AF78" s="80">
        <v>145</v>
      </c>
      <c r="AH78" s="87" t="s">
        <v>483</v>
      </c>
      <c r="AI78" s="87" t="s">
        <v>357</v>
      </c>
      <c r="AJ78" s="11" t="s">
        <v>160</v>
      </c>
      <c r="AK78" s="80" t="str">
        <f t="shared" si="30"/>
        <v>Designer 25 Wavefold Cord DrawnMatt SatinStraight</v>
      </c>
      <c r="AL78" s="80" t="s">
        <v>274</v>
      </c>
      <c r="AM78" s="80" t="s">
        <v>120</v>
      </c>
      <c r="AN78" s="80">
        <v>0</v>
      </c>
      <c r="AO78" s="80" t="s">
        <v>181</v>
      </c>
      <c r="AW78" s="80" t="s">
        <v>530</v>
      </c>
      <c r="AX78" s="80" t="s">
        <v>5903</v>
      </c>
      <c r="AY78" t="str">
        <f t="shared" si="27"/>
        <v>Eyelots (Standard Fullness x 2.5)Centre Opening - Free Flowing (Offset Split)</v>
      </c>
      <c r="AZ78" s="80">
        <v>2.5</v>
      </c>
      <c r="BA78" s="80">
        <v>200</v>
      </c>
      <c r="CN78" s="25" t="s">
        <v>435</v>
      </c>
      <c r="CO78" t="s">
        <v>5710</v>
      </c>
      <c r="CP78" s="25" t="str">
        <f t="shared" si="29"/>
        <v>Track from VandaMatt Satin Aluminium Flick Sticks 150cm</v>
      </c>
      <c r="CQ78" s="25" t="s">
        <v>120</v>
      </c>
    </row>
    <row r="79" spans="10:95" ht="16.2" customHeight="1">
      <c r="J79" s="80" t="s">
        <v>747</v>
      </c>
      <c r="K79" s="80" t="s">
        <v>7100</v>
      </c>
      <c r="L79" t="s">
        <v>229</v>
      </c>
      <c r="M79" t="s">
        <v>159</v>
      </c>
      <c r="N79" t="str">
        <f t="shared" si="25"/>
        <v>Double RearDesigner 15 Cord DrawnGather Hook LevelSingle Face Fix Brackets</v>
      </c>
      <c r="O79">
        <v>20</v>
      </c>
      <c r="P79">
        <v>35</v>
      </c>
      <c r="Q79" s="80">
        <v>0</v>
      </c>
      <c r="R79" s="80">
        <f t="shared" si="26"/>
        <v>15</v>
      </c>
      <c r="AC79" s="80" t="s">
        <v>746</v>
      </c>
      <c r="AD79" t="s">
        <v>4654</v>
      </c>
      <c r="AE79" s="80" t="str">
        <f t="shared" si="21"/>
        <v>Double FrontBoldtrak Premo Double Bracket Suit 25mm on Back</v>
      </c>
      <c r="AF79" s="80">
        <v>145</v>
      </c>
      <c r="AH79" s="87" t="s">
        <v>483</v>
      </c>
      <c r="AI79" s="87" t="s">
        <v>191</v>
      </c>
      <c r="AJ79" s="11" t="s">
        <v>11556</v>
      </c>
      <c r="AK79" s="80" t="str">
        <f t="shared" si="30"/>
        <v>Designer 25 Wavefold Cord DrawnWhiteBent</v>
      </c>
      <c r="AL79" s="80" t="s">
        <v>274</v>
      </c>
      <c r="AM79" s="80" t="s">
        <v>120</v>
      </c>
      <c r="AN79" s="80">
        <v>0</v>
      </c>
      <c r="AO79" s="80" t="s">
        <v>181</v>
      </c>
      <c r="AW79" t="s">
        <v>238</v>
      </c>
      <c r="AX79" t="s">
        <v>138</v>
      </c>
      <c r="AY79" t="str">
        <f t="shared" si="27"/>
        <v>Pencil Pleat (Extra Fullness x 2.2)Centre Opening</v>
      </c>
      <c r="AZ79" s="80">
        <v>2.2</v>
      </c>
      <c r="BA79" s="80">
        <v>400</v>
      </c>
      <c r="CN79" s="25" t="s">
        <v>435</v>
      </c>
      <c r="CO79" t="s">
        <v>7471</v>
      </c>
      <c r="CP79" s="25" t="str">
        <f t="shared" si="29"/>
        <v>Track from VandaStandard Clear 75cm</v>
      </c>
      <c r="CQ79" s="25" t="s">
        <v>120</v>
      </c>
    </row>
    <row r="80" spans="10:95" ht="16.2" customHeight="1">
      <c r="J80" s="80" t="s">
        <v>725</v>
      </c>
      <c r="K80" s="80" t="s">
        <v>7100</v>
      </c>
      <c r="L80" t="s">
        <v>229</v>
      </c>
      <c r="M80" t="s">
        <v>159</v>
      </c>
      <c r="N80" t="str">
        <f t="shared" si="25"/>
        <v>SingleDesigner 15 Cord DrawnGather Hook LevelSingle Face Fix Brackets</v>
      </c>
      <c r="O80">
        <v>20</v>
      </c>
      <c r="P80">
        <v>35</v>
      </c>
      <c r="Q80" s="80">
        <v>0</v>
      </c>
      <c r="R80" s="80">
        <f t="shared" si="26"/>
        <v>15</v>
      </c>
      <c r="AC80" s="80" t="s">
        <v>746</v>
      </c>
      <c r="AD80" t="s">
        <v>9302</v>
      </c>
      <c r="AE80" s="80" t="str">
        <f t="shared" si="21"/>
        <v>Double FrontBoldtrak Standard Double Bracket Suit 25mm on Back</v>
      </c>
      <c r="AF80" s="80">
        <v>145</v>
      </c>
      <c r="AH80" s="87" t="s">
        <v>483</v>
      </c>
      <c r="AI80" s="87" t="s">
        <v>191</v>
      </c>
      <c r="AJ80" s="11" t="s">
        <v>160</v>
      </c>
      <c r="AK80" s="80" t="str">
        <f t="shared" si="30"/>
        <v>Designer 25 Wavefold Cord DrawnWhiteStraight</v>
      </c>
      <c r="AL80" s="80" t="s">
        <v>274</v>
      </c>
      <c r="AM80" s="80" t="s">
        <v>120</v>
      </c>
      <c r="AN80" s="80">
        <v>0</v>
      </c>
      <c r="AO80" s="80" t="s">
        <v>181</v>
      </c>
      <c r="AW80" t="s">
        <v>238</v>
      </c>
      <c r="AX80" t="s">
        <v>5902</v>
      </c>
      <c r="AY80" t="str">
        <f t="shared" si="27"/>
        <v>Pencil Pleat (Extra Fullness x 2.2)Centre Opening (Offset Split)</v>
      </c>
      <c r="AZ80" s="80">
        <v>2.2</v>
      </c>
      <c r="BA80" s="80">
        <v>400</v>
      </c>
      <c r="CN80" s="25" t="s">
        <v>435</v>
      </c>
      <c r="CO80" t="s">
        <v>7472</v>
      </c>
      <c r="CP80" s="25" t="str">
        <f t="shared" si="29"/>
        <v>Track from VandaStandard Clear 100cm</v>
      </c>
      <c r="CQ80" s="25" t="s">
        <v>120</v>
      </c>
    </row>
    <row r="81" spans="10:95" ht="16.2" customHeight="1">
      <c r="J81" s="80" t="s">
        <v>746</v>
      </c>
      <c r="K81" s="80" t="s">
        <v>7100</v>
      </c>
      <c r="L81" t="s">
        <v>228</v>
      </c>
      <c r="M81" t="s">
        <v>159</v>
      </c>
      <c r="N81" t="str">
        <f t="shared" si="25"/>
        <v>Double FrontDesigner 15 Cord DrawnGather Hook NormalSingle Face Fix Brackets</v>
      </c>
      <c r="O81">
        <v>43</v>
      </c>
      <c r="P81">
        <v>35</v>
      </c>
      <c r="Q81" s="80">
        <v>0</v>
      </c>
      <c r="R81" s="80">
        <f t="shared" si="26"/>
        <v>-8</v>
      </c>
      <c r="AC81" s="80" t="s">
        <v>746</v>
      </c>
      <c r="AD81" t="s">
        <v>9306</v>
      </c>
      <c r="AE81" s="80" t="str">
        <f t="shared" si="21"/>
        <v>Double FrontBoldtrak Standard Double Bracket Suit 25mm on Front</v>
      </c>
      <c r="AF81" s="80">
        <v>145</v>
      </c>
      <c r="AH81" s="87" t="s">
        <v>484</v>
      </c>
      <c r="AI81" s="87" t="s">
        <v>398</v>
      </c>
      <c r="AJ81" s="11" t="s">
        <v>11556</v>
      </c>
      <c r="AK81" s="80" t="str">
        <f t="shared" si="30"/>
        <v>Designer 25 Wavefold Hand DrawnAntique BrassBent</v>
      </c>
      <c r="AL81" s="80" t="s">
        <v>274</v>
      </c>
      <c r="AM81" s="80" t="s">
        <v>120</v>
      </c>
      <c r="AN81" s="80">
        <v>0</v>
      </c>
      <c r="AO81" s="80" t="s">
        <v>181</v>
      </c>
      <c r="AW81" t="s">
        <v>238</v>
      </c>
      <c r="AX81" t="s">
        <v>141</v>
      </c>
      <c r="AY81" t="str">
        <f t="shared" si="27"/>
        <v>Pencil Pleat (Extra Fullness x 2.2)Single Panel - Left Stacking</v>
      </c>
      <c r="AZ81" s="80">
        <v>2.2</v>
      </c>
      <c r="BA81" s="80">
        <v>200</v>
      </c>
      <c r="CN81" s="25" t="s">
        <v>435</v>
      </c>
      <c r="CO81" t="s">
        <v>7473</v>
      </c>
      <c r="CP81" s="25" t="str">
        <f t="shared" si="29"/>
        <v>Track from VandaStandard Clear 125cm</v>
      </c>
      <c r="CQ81" s="25" t="s">
        <v>120</v>
      </c>
    </row>
    <row r="82" spans="10:95" ht="16.2" customHeight="1">
      <c r="J82" s="80" t="s">
        <v>747</v>
      </c>
      <c r="K82" s="80" t="s">
        <v>7100</v>
      </c>
      <c r="L82" t="s">
        <v>228</v>
      </c>
      <c r="M82" t="s">
        <v>159</v>
      </c>
      <c r="N82" t="str">
        <f t="shared" si="25"/>
        <v>Double RearDesigner 15 Cord DrawnGather Hook NormalSingle Face Fix Brackets</v>
      </c>
      <c r="O82">
        <v>43</v>
      </c>
      <c r="P82">
        <v>35</v>
      </c>
      <c r="Q82" s="80">
        <v>0</v>
      </c>
      <c r="R82" s="80">
        <f t="shared" si="26"/>
        <v>-8</v>
      </c>
      <c r="AC82" s="80" t="s">
        <v>746</v>
      </c>
      <c r="AD82" t="s">
        <v>9303</v>
      </c>
      <c r="AE82" s="80" t="str">
        <f t="shared" si="21"/>
        <v>Double FrontBoldtrak Standard Double Bracket Suit 32mm on Back</v>
      </c>
      <c r="AF82" s="80">
        <v>145</v>
      </c>
      <c r="AH82" s="87" t="s">
        <v>484</v>
      </c>
      <c r="AI82" s="87" t="s">
        <v>398</v>
      </c>
      <c r="AJ82" s="11" t="s">
        <v>160</v>
      </c>
      <c r="AK82" s="80" t="str">
        <f t="shared" si="30"/>
        <v>Designer 25 Wavefold Hand DrawnAntique BrassStraight</v>
      </c>
      <c r="AL82" s="80" t="s">
        <v>274</v>
      </c>
      <c r="AM82" s="80" t="s">
        <v>120</v>
      </c>
      <c r="AN82" s="80">
        <v>0</v>
      </c>
      <c r="AO82" s="80" t="s">
        <v>181</v>
      </c>
      <c r="AW82" t="s">
        <v>238</v>
      </c>
      <c r="AX82" t="s">
        <v>142</v>
      </c>
      <c r="AY82" t="str">
        <f t="shared" si="27"/>
        <v>Pencil Pleat (Extra Fullness x 2.2)Single Panel - Right Stacking</v>
      </c>
      <c r="AZ82" s="80">
        <v>2.2</v>
      </c>
      <c r="BA82" s="80">
        <v>200</v>
      </c>
      <c r="CN82" s="25" t="s">
        <v>435</v>
      </c>
      <c r="CO82" t="s">
        <v>7474</v>
      </c>
      <c r="CP82" s="25" t="str">
        <f t="shared" si="29"/>
        <v>Track from VandaStandard Clear 150cm</v>
      </c>
      <c r="CQ82" s="25" t="s">
        <v>120</v>
      </c>
    </row>
    <row r="83" spans="10:95" ht="16.2" customHeight="1">
      <c r="J83" s="80" t="s">
        <v>725</v>
      </c>
      <c r="K83" s="80" t="s">
        <v>7100</v>
      </c>
      <c r="L83" t="s">
        <v>228</v>
      </c>
      <c r="M83" t="s">
        <v>159</v>
      </c>
      <c r="N83" t="str">
        <f t="shared" si="25"/>
        <v>SingleDesigner 15 Cord DrawnGather Hook NormalSingle Face Fix Brackets</v>
      </c>
      <c r="O83">
        <v>43</v>
      </c>
      <c r="P83">
        <v>35</v>
      </c>
      <c r="Q83" s="80">
        <v>0</v>
      </c>
      <c r="R83" s="80">
        <f t="shared" si="26"/>
        <v>-8</v>
      </c>
      <c r="AC83" s="80" t="s">
        <v>746</v>
      </c>
      <c r="AD83" t="s">
        <v>9304</v>
      </c>
      <c r="AE83" s="80" t="str">
        <f t="shared" si="21"/>
        <v>Double FrontBoldtrak Standard Double Bracket Suit 35mm on Back</v>
      </c>
      <c r="AF83" s="80">
        <v>145</v>
      </c>
      <c r="AH83" s="87" t="s">
        <v>484</v>
      </c>
      <c r="AI83" s="87" t="s">
        <v>275</v>
      </c>
      <c r="AJ83" s="11" t="s">
        <v>11556</v>
      </c>
      <c r="AK83" s="80" t="str">
        <f t="shared" si="30"/>
        <v>Designer 25 Wavefold Hand DrawnBirch WhiteBent</v>
      </c>
      <c r="AL83" s="80" t="s">
        <v>274</v>
      </c>
      <c r="AM83" s="80" t="s">
        <v>120</v>
      </c>
      <c r="AN83" s="80">
        <v>0</v>
      </c>
      <c r="AO83" s="80" t="s">
        <v>181</v>
      </c>
      <c r="AW83" t="s">
        <v>238</v>
      </c>
      <c r="AX83" t="s">
        <v>143</v>
      </c>
      <c r="AY83" t="str">
        <f t="shared" si="27"/>
        <v>Pencil Pleat (Extra Fullness x 2.2)Single Panel - Free Flowing</v>
      </c>
      <c r="AZ83" s="80">
        <v>2.2</v>
      </c>
      <c r="BA83" s="80">
        <v>200</v>
      </c>
      <c r="CN83" s="25" t="s">
        <v>435</v>
      </c>
      <c r="CO83" t="s">
        <v>5715</v>
      </c>
      <c r="CP83" s="25" t="str">
        <f t="shared" si="29"/>
        <v>Track from VandaWhite Fibreglass 200cm</v>
      </c>
      <c r="CQ83" s="25" t="s">
        <v>120</v>
      </c>
    </row>
    <row r="84" spans="10:95" ht="16.2" customHeight="1">
      <c r="J84" s="80" t="s">
        <v>746</v>
      </c>
      <c r="K84" s="80" t="s">
        <v>7100</v>
      </c>
      <c r="L84" t="s">
        <v>282</v>
      </c>
      <c r="M84" t="s">
        <v>159</v>
      </c>
      <c r="N84" t="str">
        <f t="shared" si="25"/>
        <v>Double FrontDesigner 15 Cord DrawnLevel 2072Single Face Fix Brackets</v>
      </c>
      <c r="O84">
        <v>38</v>
      </c>
      <c r="P84">
        <v>35</v>
      </c>
      <c r="Q84" s="80">
        <v>0</v>
      </c>
      <c r="R84" s="80">
        <f t="shared" si="26"/>
        <v>-3</v>
      </c>
      <c r="AC84" s="80" t="s">
        <v>746</v>
      </c>
      <c r="AD84" t="s">
        <v>438</v>
      </c>
      <c r="AE84" s="80" t="str">
        <f t="shared" si="21"/>
        <v>Double FrontBoldtrak Top Fix Bracket</v>
      </c>
      <c r="AF84" s="80">
        <v>145</v>
      </c>
      <c r="AH84" s="87" t="s">
        <v>484</v>
      </c>
      <c r="AI84" s="87" t="s">
        <v>275</v>
      </c>
      <c r="AJ84" s="11" t="s">
        <v>160</v>
      </c>
      <c r="AK84" s="80" t="str">
        <f t="shared" si="30"/>
        <v>Designer 25 Wavefold Hand DrawnBirch WhiteStraight</v>
      </c>
      <c r="AL84" s="80" t="s">
        <v>274</v>
      </c>
      <c r="AM84" s="80" t="s">
        <v>120</v>
      </c>
      <c r="AN84" s="80">
        <v>0</v>
      </c>
      <c r="AO84" s="80" t="s">
        <v>181</v>
      </c>
      <c r="AW84" t="s">
        <v>238</v>
      </c>
      <c r="AX84" t="s">
        <v>717</v>
      </c>
      <c r="AY84" t="str">
        <f t="shared" si="27"/>
        <v>Pencil Pleat (Extra Fullness x 2.2)Centre Opening - Free Flowing</v>
      </c>
      <c r="AZ84" s="80">
        <v>2.2</v>
      </c>
      <c r="BA84" s="80">
        <v>400</v>
      </c>
      <c r="CN84" s="25" t="s">
        <v>435</v>
      </c>
      <c r="CO84" t="s">
        <v>7484</v>
      </c>
      <c r="CP84" s="25" t="str">
        <f t="shared" si="29"/>
        <v>Track from VandaVanda Solid Aluminium Flick Stick 75cm Silver Pearl</v>
      </c>
      <c r="CQ84" s="25" t="s">
        <v>181</v>
      </c>
    </row>
    <row r="85" spans="10:95" ht="16.2" customHeight="1">
      <c r="J85" s="80" t="s">
        <v>747</v>
      </c>
      <c r="K85" s="80" t="s">
        <v>7100</v>
      </c>
      <c r="L85" t="s">
        <v>282</v>
      </c>
      <c r="M85" t="s">
        <v>159</v>
      </c>
      <c r="N85" t="str">
        <f t="shared" si="25"/>
        <v>Double RearDesigner 15 Cord DrawnLevel 2072Single Face Fix Brackets</v>
      </c>
      <c r="O85">
        <v>38</v>
      </c>
      <c r="P85">
        <v>35</v>
      </c>
      <c r="Q85" s="80">
        <v>0</v>
      </c>
      <c r="R85" s="80">
        <f t="shared" si="26"/>
        <v>-3</v>
      </c>
      <c r="AC85" s="80" t="s">
        <v>746</v>
      </c>
      <c r="AD85" t="s">
        <v>11599</v>
      </c>
      <c r="AE85" s="80" t="str">
        <f t="shared" si="21"/>
        <v>Double FrontBoldtrak Top Fix Suspension Bracket</v>
      </c>
      <c r="AF85" s="80">
        <v>145</v>
      </c>
      <c r="AH85" s="87" t="s">
        <v>484</v>
      </c>
      <c r="AI85" s="87" t="s">
        <v>193</v>
      </c>
      <c r="AJ85" s="11" t="s">
        <v>11556</v>
      </c>
      <c r="AK85" s="80" t="str">
        <f t="shared" si="31" ref="AK85:AK96">CONCATENATE(AH85,AI85,AJ85)</f>
        <v>Designer 25 Wavefold Hand DrawnBlackBent</v>
      </c>
      <c r="AL85" s="80" t="s">
        <v>274</v>
      </c>
      <c r="AM85" s="80" t="s">
        <v>120</v>
      </c>
      <c r="AN85" s="80">
        <v>0</v>
      </c>
      <c r="AO85" s="80" t="s">
        <v>181</v>
      </c>
      <c r="AW85" t="s">
        <v>238</v>
      </c>
      <c r="AX85" t="s">
        <v>154</v>
      </c>
      <c r="AY85" t="str">
        <f t="shared" si="27"/>
        <v>Pencil Pleat (Extra Fullness x 2.2)No Movement</v>
      </c>
      <c r="AZ85" s="80">
        <v>2.2</v>
      </c>
      <c r="BA85" s="80">
        <v>200</v>
      </c>
      <c r="CN85" s="25" t="s">
        <v>435</v>
      </c>
      <c r="CO85" t="s">
        <v>7485</v>
      </c>
      <c r="CP85" s="25" t="str">
        <f t="shared" si="29"/>
        <v>Track from VandaVanda Solid Aluminium Flick Stick 120cm Silver Pearl</v>
      </c>
      <c r="CQ85" s="25" t="s">
        <v>181</v>
      </c>
    </row>
    <row r="86" spans="10:95" ht="16.2" customHeight="1">
      <c r="J86" s="80" t="s">
        <v>725</v>
      </c>
      <c r="K86" s="80" t="s">
        <v>7100</v>
      </c>
      <c r="L86" t="s">
        <v>282</v>
      </c>
      <c r="M86" t="s">
        <v>159</v>
      </c>
      <c r="N86" t="str">
        <f t="shared" si="25"/>
        <v>SingleDesigner 15 Cord DrawnLevel 2072Single Face Fix Brackets</v>
      </c>
      <c r="O86">
        <v>35</v>
      </c>
      <c r="P86">
        <v>35</v>
      </c>
      <c r="Q86" s="80">
        <v>0</v>
      </c>
      <c r="R86" s="80">
        <f t="shared" si="26"/>
        <v>0</v>
      </c>
      <c r="AC86" s="80" t="s">
        <v>746</v>
      </c>
      <c r="AD86" t="s">
        <v>162</v>
      </c>
      <c r="AE86" s="80" t="str">
        <f t="shared" si="21"/>
        <v>Double FrontDouble Face Fix Brackets</v>
      </c>
      <c r="AF86" s="80">
        <v>130</v>
      </c>
      <c r="AH86" s="87" t="s">
        <v>484</v>
      </c>
      <c r="AI86" s="87" t="s">
        <v>193</v>
      </c>
      <c r="AJ86" s="11" t="s">
        <v>160</v>
      </c>
      <c r="AK86" s="80" t="str">
        <f t="shared" si="31"/>
        <v>Designer 25 Wavefold Hand DrawnBlackStraight</v>
      </c>
      <c r="AL86" s="80" t="s">
        <v>274</v>
      </c>
      <c r="AM86" s="80" t="s">
        <v>120</v>
      </c>
      <c r="AN86" s="80">
        <v>0</v>
      </c>
      <c r="AO86" s="80" t="s">
        <v>181</v>
      </c>
      <c r="AW86" s="80" t="s">
        <v>238</v>
      </c>
      <c r="AX86" s="80" t="s">
        <v>5903</v>
      </c>
      <c r="AY86" t="str">
        <f t="shared" si="27"/>
        <v>Pencil Pleat (Extra Fullness x 2.2)Centre Opening - Free Flowing (Offset Split)</v>
      </c>
      <c r="AZ86" s="80">
        <v>2.2</v>
      </c>
      <c r="BA86" s="80">
        <v>200</v>
      </c>
      <c r="CN86" s="25" t="s">
        <v>435</v>
      </c>
      <c r="CO86" t="s">
        <v>7475</v>
      </c>
      <c r="CP86" s="25" t="str">
        <f t="shared" si="29"/>
        <v>Track from VandaVanda Solid Aluminium Flick Stick 75cm Ivory</v>
      </c>
      <c r="CQ86" s="25" t="s">
        <v>181</v>
      </c>
    </row>
    <row r="87" spans="10:95" ht="16.2" customHeight="1">
      <c r="J87" s="80" t="s">
        <v>746</v>
      </c>
      <c r="K87" s="80" t="s">
        <v>7100</v>
      </c>
      <c r="L87" t="s">
        <v>170</v>
      </c>
      <c r="M87" t="s">
        <v>159</v>
      </c>
      <c r="N87" t="str">
        <f t="shared" si="25"/>
        <v>Double FrontDesigner 15 Cord DrawnNormal 2074Single Face Fix Brackets</v>
      </c>
      <c r="O87">
        <v>60</v>
      </c>
      <c r="P87">
        <v>35</v>
      </c>
      <c r="Q87" s="80">
        <v>0</v>
      </c>
      <c r="R87" s="80">
        <f t="shared" si="26"/>
        <v>-25</v>
      </c>
      <c r="AC87" s="80" t="s">
        <v>746</v>
      </c>
      <c r="AD87" t="s">
        <v>557</v>
      </c>
      <c r="AE87" s="80" t="str">
        <f t="shared" si="21"/>
        <v>Double FrontMetal Top Fix Brackets</v>
      </c>
      <c r="AF87" s="80">
        <v>130</v>
      </c>
      <c r="AH87" s="87" t="s">
        <v>484</v>
      </c>
      <c r="AI87" s="87" t="s">
        <v>9701</v>
      </c>
      <c r="AJ87" s="11" t="s">
        <v>11556</v>
      </c>
      <c r="AK87" s="80" t="str">
        <f t="shared" si="32" ref="AK87:AK88">CONCATENATE(AH87,AI87,AJ87)</f>
        <v>Designer 25 Wavefold Hand DrawnChampagneBent</v>
      </c>
      <c r="AL87" s="80" t="s">
        <v>274</v>
      </c>
      <c r="AM87" s="80" t="s">
        <v>120</v>
      </c>
      <c r="AN87" s="80">
        <v>0</v>
      </c>
      <c r="AO87" s="80" t="s">
        <v>181</v>
      </c>
      <c r="AW87" s="80" t="s">
        <v>8771</v>
      </c>
      <c r="AX87" t="s">
        <v>138</v>
      </c>
      <c r="AY87" t="str">
        <f t="shared" si="27"/>
        <v>Pencil Pleat (Less Fullness x 1.5)Centre Opening</v>
      </c>
      <c r="AZ87" s="80">
        <v>1.5</v>
      </c>
      <c r="BA87" s="80">
        <v>400</v>
      </c>
      <c r="CN87" s="25" t="s">
        <v>435</v>
      </c>
      <c r="CO87" t="s">
        <v>7476</v>
      </c>
      <c r="CP87" s="25" t="str">
        <f t="shared" si="29"/>
        <v>Track from VandaVanda Solid Aluminium Flick Stick 120cm Ivory</v>
      </c>
      <c r="CQ87" s="25" t="s">
        <v>181</v>
      </c>
    </row>
    <row r="88" spans="10:95" ht="16.2" customHeight="1">
      <c r="J88" s="80" t="s">
        <v>747</v>
      </c>
      <c r="K88" s="80" t="s">
        <v>7100</v>
      </c>
      <c r="L88" t="s">
        <v>170</v>
      </c>
      <c r="M88" t="s">
        <v>159</v>
      </c>
      <c r="N88" t="str">
        <f t="shared" si="25"/>
        <v>Double RearDesigner 15 Cord DrawnNormal 2074Single Face Fix Brackets</v>
      </c>
      <c r="O88">
        <v>60</v>
      </c>
      <c r="P88">
        <v>35</v>
      </c>
      <c r="Q88" s="80">
        <v>0</v>
      </c>
      <c r="R88" s="80">
        <f t="shared" si="26"/>
        <v>-25</v>
      </c>
      <c r="AC88" s="80" t="s">
        <v>746</v>
      </c>
      <c r="AD88" t="s">
        <v>266</v>
      </c>
      <c r="AE88" s="80" t="str">
        <f t="shared" si="21"/>
        <v>Double FrontTop Fix</v>
      </c>
      <c r="AF88" s="80">
        <v>75</v>
      </c>
      <c r="AH88" s="87" t="s">
        <v>484</v>
      </c>
      <c r="AI88" s="87" t="s">
        <v>9701</v>
      </c>
      <c r="AJ88" s="11" t="s">
        <v>160</v>
      </c>
      <c r="AK88" s="80" t="str">
        <f t="shared" si="32"/>
        <v>Designer 25 Wavefold Hand DrawnChampagneStraight</v>
      </c>
      <c r="AL88" s="80" t="s">
        <v>274</v>
      </c>
      <c r="AM88" s="80" t="s">
        <v>120</v>
      </c>
      <c r="AN88" s="80">
        <v>0</v>
      </c>
      <c r="AO88" s="80" t="s">
        <v>181</v>
      </c>
      <c r="AW88" s="80" t="s">
        <v>8771</v>
      </c>
      <c r="AX88" t="s">
        <v>5902</v>
      </c>
      <c r="AY88" t="str">
        <f t="shared" si="27"/>
        <v>Pencil Pleat (Less Fullness x 1.5)Centre Opening (Offset Split)</v>
      </c>
      <c r="AZ88" s="80">
        <v>1.5</v>
      </c>
      <c r="BA88" s="80">
        <v>400</v>
      </c>
      <c r="CN88" s="25" t="s">
        <v>435</v>
      </c>
      <c r="CO88" t="s">
        <v>391</v>
      </c>
      <c r="CP88" s="25" t="str">
        <f t="shared" si="29"/>
        <v>Track from VandaNone</v>
      </c>
      <c r="CQ88" s="25" t="s">
        <v>120</v>
      </c>
    </row>
    <row r="89" spans="10:95" ht="16.2" customHeight="1">
      <c r="J89" s="80" t="s">
        <v>725</v>
      </c>
      <c r="K89" s="80" t="s">
        <v>7100</v>
      </c>
      <c r="L89" t="s">
        <v>170</v>
      </c>
      <c r="M89" t="s">
        <v>159</v>
      </c>
      <c r="N89" t="str">
        <f t="shared" si="25"/>
        <v>SingleDesigner 15 Cord DrawnNormal 2074Single Face Fix Brackets</v>
      </c>
      <c r="O89">
        <v>60</v>
      </c>
      <c r="P89">
        <v>35</v>
      </c>
      <c r="Q89" s="80">
        <v>0</v>
      </c>
      <c r="R89" s="80">
        <f t="shared" si="26"/>
        <v>-25</v>
      </c>
      <c r="AC89" s="80" t="s">
        <v>746</v>
      </c>
      <c r="AD89" t="s">
        <v>161</v>
      </c>
      <c r="AE89" s="80" t="str">
        <f t="shared" si="21"/>
        <v>Double FrontTop Fix Brackets</v>
      </c>
      <c r="AF89" s="80">
        <v>75</v>
      </c>
      <c r="AH89" s="87" t="s">
        <v>484</v>
      </c>
      <c r="AI89" s="87" t="s">
        <v>225</v>
      </c>
      <c r="AJ89" s="11" t="s">
        <v>11556</v>
      </c>
      <c r="AK89" s="80" t="str">
        <f t="shared" si="31"/>
        <v>Designer 25 Wavefold Hand DrawnGoldBent</v>
      </c>
      <c r="AL89" s="80" t="s">
        <v>274</v>
      </c>
      <c r="AM89" s="80" t="s">
        <v>120</v>
      </c>
      <c r="AN89" s="80">
        <v>0</v>
      </c>
      <c r="AO89" s="80" t="s">
        <v>181</v>
      </c>
      <c r="AW89" s="80" t="s">
        <v>8771</v>
      </c>
      <c r="AX89" t="s">
        <v>141</v>
      </c>
      <c r="AY89" t="str">
        <f t="shared" si="27"/>
        <v>Pencil Pleat (Less Fullness x 1.5)Single Panel - Left Stacking</v>
      </c>
      <c r="AZ89" s="80">
        <v>1.5</v>
      </c>
      <c r="BA89" s="80">
        <v>200</v>
      </c>
      <c r="CN89" s="25" t="s">
        <v>435</v>
      </c>
      <c r="CO89" t="s">
        <v>7479</v>
      </c>
      <c r="CP89" s="25" t="str">
        <f t="shared" si="29"/>
        <v>Track from Vanda100cm Cord Length</v>
      </c>
      <c r="CQ89" s="25" t="s">
        <v>120</v>
      </c>
    </row>
    <row r="90" spans="10:95" ht="16.2" customHeight="1">
      <c r="J90" s="80" t="s">
        <v>746</v>
      </c>
      <c r="K90" s="80" t="s">
        <v>7100</v>
      </c>
      <c r="L90" t="s">
        <v>183</v>
      </c>
      <c r="M90" t="s">
        <v>161</v>
      </c>
      <c r="N90" t="str">
        <f t="shared" si="25"/>
        <v>Double FrontDesigner 15 Cord DrawnBelow Normal 2075Top Fix Brackets</v>
      </c>
      <c r="O90">
        <v>70</v>
      </c>
      <c r="P90">
        <v>30</v>
      </c>
      <c r="Q90" s="80">
        <v>0</v>
      </c>
      <c r="R90" s="80">
        <f t="shared" si="26"/>
        <v>-40</v>
      </c>
      <c r="AC90" s="80" t="s">
        <v>746</v>
      </c>
      <c r="AD90" t="s">
        <v>553</v>
      </c>
      <c r="AE90" s="80" t="str">
        <f t="shared" si="33" ref="AE90:AE104">(AC90&amp;AD90)</f>
        <v>Double FrontTriple Face Fix Brackets</v>
      </c>
      <c r="AF90" s="80">
        <v>195</v>
      </c>
      <c r="AH90" s="87" t="s">
        <v>484</v>
      </c>
      <c r="AI90" s="87" t="s">
        <v>225</v>
      </c>
      <c r="AJ90" s="11" t="s">
        <v>160</v>
      </c>
      <c r="AK90" s="80" t="str">
        <f t="shared" si="31"/>
        <v>Designer 25 Wavefold Hand DrawnGoldStraight</v>
      </c>
      <c r="AL90" s="80" t="s">
        <v>274</v>
      </c>
      <c r="AM90" s="80" t="s">
        <v>120</v>
      </c>
      <c r="AN90" s="80">
        <v>0</v>
      </c>
      <c r="AO90" s="80" t="s">
        <v>181</v>
      </c>
      <c r="AW90" s="80" t="s">
        <v>8771</v>
      </c>
      <c r="AX90" t="s">
        <v>142</v>
      </c>
      <c r="AY90" t="str">
        <f t="shared" si="27"/>
        <v>Pencil Pleat (Less Fullness x 1.5)Single Panel - Right Stacking</v>
      </c>
      <c r="AZ90" s="80">
        <v>1.5</v>
      </c>
      <c r="BA90" s="80">
        <v>200</v>
      </c>
      <c r="CN90" s="25" t="s">
        <v>435</v>
      </c>
      <c r="CO90" t="s">
        <v>7480</v>
      </c>
      <c r="CP90" s="25" t="str">
        <f t="shared" si="29"/>
        <v>Track from Vanda120cm Cord Length</v>
      </c>
      <c r="CQ90" s="25" t="s">
        <v>120</v>
      </c>
    </row>
    <row r="91" spans="10:95" ht="16.2" customHeight="1">
      <c r="J91" s="80" t="s">
        <v>747</v>
      </c>
      <c r="K91" s="80" t="s">
        <v>7100</v>
      </c>
      <c r="L91" t="s">
        <v>183</v>
      </c>
      <c r="M91" t="s">
        <v>161</v>
      </c>
      <c r="N91" t="str">
        <f t="shared" si="25"/>
        <v>Double RearDesigner 15 Cord DrawnBelow Normal 2075Top Fix Brackets</v>
      </c>
      <c r="O91">
        <v>70</v>
      </c>
      <c r="P91">
        <v>30</v>
      </c>
      <c r="Q91" s="80">
        <v>0</v>
      </c>
      <c r="R91" s="80">
        <f t="shared" si="26"/>
        <v>-40</v>
      </c>
      <c r="AC91" s="80" t="s">
        <v>746</v>
      </c>
      <c r="AD91" t="s">
        <v>7525</v>
      </c>
      <c r="AE91" s="80" t="str">
        <f t="shared" si="33"/>
        <v>Double FrontVantage Top Fix Bracket</v>
      </c>
      <c r="AF91" s="80">
        <v>140</v>
      </c>
      <c r="AH91" s="87" t="s">
        <v>484</v>
      </c>
      <c r="AI91" s="87" t="s">
        <v>692</v>
      </c>
      <c r="AJ91" s="11" t="s">
        <v>11556</v>
      </c>
      <c r="AK91" s="80" t="str">
        <f t="shared" si="31"/>
        <v>Designer 25 Wavefold Hand DrawnMatt Black InkBent</v>
      </c>
      <c r="AL91" s="80" t="s">
        <v>274</v>
      </c>
      <c r="AM91" s="80" t="s">
        <v>120</v>
      </c>
      <c r="AN91" s="80">
        <v>0</v>
      </c>
      <c r="AO91" s="80" t="s">
        <v>181</v>
      </c>
      <c r="AW91" s="80" t="s">
        <v>8771</v>
      </c>
      <c r="AX91" t="s">
        <v>143</v>
      </c>
      <c r="AY91" t="str">
        <f t="shared" si="27"/>
        <v>Pencil Pleat (Less Fullness x 1.5)Single Panel - Free Flowing</v>
      </c>
      <c r="AZ91" s="80">
        <v>1.5</v>
      </c>
      <c r="BA91" s="80">
        <v>200</v>
      </c>
      <c r="CN91" s="25" t="s">
        <v>435</v>
      </c>
      <c r="CO91" t="s">
        <v>7477</v>
      </c>
      <c r="CP91" s="25" t="str">
        <f t="shared" si="29"/>
        <v>Track from Vanda150cm Cord Length</v>
      </c>
      <c r="CQ91" s="25" t="s">
        <v>120</v>
      </c>
    </row>
    <row r="92" spans="10:95" ht="16.2" customHeight="1">
      <c r="J92" s="80" t="s">
        <v>725</v>
      </c>
      <c r="K92" s="80" t="s">
        <v>7100</v>
      </c>
      <c r="L92" t="s">
        <v>183</v>
      </c>
      <c r="M92" t="s">
        <v>161</v>
      </c>
      <c r="N92" t="str">
        <f t="shared" si="25"/>
        <v>SingleDesigner 15 Cord DrawnBelow Normal 2075Top Fix Brackets</v>
      </c>
      <c r="O92">
        <v>70</v>
      </c>
      <c r="P92">
        <v>30</v>
      </c>
      <c r="Q92" s="80">
        <v>0</v>
      </c>
      <c r="R92" s="80">
        <f t="shared" si="26"/>
        <v>-40</v>
      </c>
      <c r="AC92" s="80" t="s">
        <v>746</v>
      </c>
      <c r="AD92" t="s">
        <v>732</v>
      </c>
      <c r="AE92" s="80" t="str">
        <f t="shared" si="33"/>
        <v>Double FrontVersatrak 16mm Front and 25mm Back Combo Glide Bracket</v>
      </c>
      <c r="AF92" s="80">
        <v>140</v>
      </c>
      <c r="AH92" s="87" t="s">
        <v>484</v>
      </c>
      <c r="AI92" s="87" t="s">
        <v>692</v>
      </c>
      <c r="AJ92" s="11" t="s">
        <v>160</v>
      </c>
      <c r="AK92" s="80" t="str">
        <f t="shared" si="31"/>
        <v>Designer 25 Wavefold Hand DrawnMatt Black InkStraight</v>
      </c>
      <c r="AL92" s="80" t="s">
        <v>274</v>
      </c>
      <c r="AM92" s="80" t="s">
        <v>120</v>
      </c>
      <c r="AN92" s="80">
        <v>0</v>
      </c>
      <c r="AO92" s="80" t="s">
        <v>181</v>
      </c>
      <c r="AW92" s="80" t="s">
        <v>8771</v>
      </c>
      <c r="AX92" t="s">
        <v>717</v>
      </c>
      <c r="AY92" t="str">
        <f t="shared" si="27"/>
        <v>Pencil Pleat (Less Fullness x 1.5)Centre Opening - Free Flowing</v>
      </c>
      <c r="AZ92" s="80">
        <v>1.5</v>
      </c>
      <c r="BA92" s="80">
        <v>400</v>
      </c>
      <c r="CN92" s="25" t="s">
        <v>435</v>
      </c>
      <c r="CO92" t="s">
        <v>7481</v>
      </c>
      <c r="CP92" s="25" t="str">
        <f t="shared" si="29"/>
        <v>Track from Vanda180cm Cord Length</v>
      </c>
      <c r="CQ92" s="25" t="s">
        <v>120</v>
      </c>
    </row>
    <row r="93" spans="10:95" ht="16.2" customHeight="1">
      <c r="J93" s="80" t="s">
        <v>746</v>
      </c>
      <c r="K93" s="80" t="s">
        <v>7100</v>
      </c>
      <c r="L93" t="s">
        <v>182</v>
      </c>
      <c r="M93" t="s">
        <v>161</v>
      </c>
      <c r="N93" t="str">
        <f t="shared" si="25"/>
        <v>Double FrontDesigner 15 Cord DrawnBetween Level and Normal 2073Top Fix Brackets</v>
      </c>
      <c r="O93">
        <v>48</v>
      </c>
      <c r="P93">
        <v>30</v>
      </c>
      <c r="Q93" s="80">
        <v>0</v>
      </c>
      <c r="R93" s="80">
        <f t="shared" si="26"/>
        <v>-18</v>
      </c>
      <c r="AC93" s="80" t="s">
        <v>746</v>
      </c>
      <c r="AD93" t="s">
        <v>737</v>
      </c>
      <c r="AE93" s="80" t="str">
        <f t="shared" si="33"/>
        <v>Double FrontVersatrak 16mm Front and Back Combo Glide Bracket</v>
      </c>
      <c r="AF93" s="80">
        <v>140</v>
      </c>
      <c r="AH93" s="87" t="s">
        <v>484</v>
      </c>
      <c r="AI93" s="87" t="s">
        <v>357</v>
      </c>
      <c r="AJ93" s="11" t="s">
        <v>11556</v>
      </c>
      <c r="AK93" s="80" t="str">
        <f t="shared" si="31"/>
        <v>Designer 25 Wavefold Hand DrawnMatt SatinBent</v>
      </c>
      <c r="AL93" s="80" t="s">
        <v>274</v>
      </c>
      <c r="AM93" s="80" t="s">
        <v>120</v>
      </c>
      <c r="AN93" s="80">
        <v>0</v>
      </c>
      <c r="AO93" s="80" t="s">
        <v>181</v>
      </c>
      <c r="AW93" s="80" t="s">
        <v>8771</v>
      </c>
      <c r="AX93" t="s">
        <v>154</v>
      </c>
      <c r="AY93" t="str">
        <f t="shared" si="27"/>
        <v>Pencil Pleat (Less Fullness x 1.5)No Movement</v>
      </c>
      <c r="AZ93" s="80">
        <v>1.5</v>
      </c>
      <c r="BA93" s="80">
        <v>200</v>
      </c>
      <c r="CN93" s="25" t="s">
        <v>435</v>
      </c>
      <c r="CO93" t="s">
        <v>7482</v>
      </c>
      <c r="CP93" s="25" t="str">
        <f t="shared" si="29"/>
        <v>Track from Vanda210cm Cord Length</v>
      </c>
      <c r="CQ93" s="25" t="s">
        <v>120</v>
      </c>
    </row>
    <row r="94" spans="10:95" ht="16.2" customHeight="1">
      <c r="J94" s="80" t="s">
        <v>747</v>
      </c>
      <c r="K94" s="80" t="s">
        <v>7100</v>
      </c>
      <c r="L94" t="s">
        <v>182</v>
      </c>
      <c r="M94" t="s">
        <v>161</v>
      </c>
      <c r="N94" t="str">
        <f t="shared" si="25"/>
        <v>Double RearDesigner 15 Cord DrawnBetween Level and Normal 2073Top Fix Brackets</v>
      </c>
      <c r="O94">
        <v>48</v>
      </c>
      <c r="P94">
        <v>30</v>
      </c>
      <c r="Q94" s="80">
        <v>0</v>
      </c>
      <c r="R94" s="80">
        <f t="shared" si="26"/>
        <v>-18</v>
      </c>
      <c r="AC94" s="80" t="s">
        <v>746</v>
      </c>
      <c r="AD94" t="s">
        <v>11603</v>
      </c>
      <c r="AE94" s="80" t="str">
        <f t="shared" si="33"/>
        <v>Double FrontVersatrak 16mm Top Fix 100mm Suspension Bracket</v>
      </c>
      <c r="AF94" s="80">
        <v>140</v>
      </c>
      <c r="AH94" s="87" t="s">
        <v>484</v>
      </c>
      <c r="AI94" s="87" t="s">
        <v>357</v>
      </c>
      <c r="AJ94" s="11" t="s">
        <v>160</v>
      </c>
      <c r="AK94" s="80" t="str">
        <f t="shared" si="31"/>
        <v>Designer 25 Wavefold Hand DrawnMatt SatinStraight</v>
      </c>
      <c r="AL94" s="80" t="s">
        <v>274</v>
      </c>
      <c r="AM94" s="80" t="s">
        <v>120</v>
      </c>
      <c r="AN94" s="80">
        <v>0</v>
      </c>
      <c r="AO94" s="80" t="s">
        <v>181</v>
      </c>
      <c r="AW94" s="80" t="s">
        <v>8771</v>
      </c>
      <c r="AX94" s="80" t="s">
        <v>5903</v>
      </c>
      <c r="AY94" t="str">
        <f t="shared" si="27"/>
        <v>Pencil Pleat (Less Fullness x 1.5)Centre Opening - Free Flowing (Offset Split)</v>
      </c>
      <c r="AZ94" s="80">
        <v>1.5</v>
      </c>
      <c r="BA94" s="80">
        <v>200</v>
      </c>
      <c r="CN94" s="25" t="s">
        <v>435</v>
      </c>
      <c r="CO94" t="s">
        <v>7478</v>
      </c>
      <c r="CP94" s="25" t="str">
        <f t="shared" si="29"/>
        <v>Track from Vanda240cm Cord Length</v>
      </c>
      <c r="CQ94" s="25" t="s">
        <v>120</v>
      </c>
    </row>
    <row r="95" spans="10:95" ht="16.2" customHeight="1">
      <c r="J95" s="80" t="s">
        <v>725</v>
      </c>
      <c r="K95" s="80" t="s">
        <v>7100</v>
      </c>
      <c r="L95" t="s">
        <v>182</v>
      </c>
      <c r="M95" t="s">
        <v>161</v>
      </c>
      <c r="N95" t="str">
        <f t="shared" si="25"/>
        <v>SingleDesigner 15 Cord DrawnBetween Level and Normal 2073Top Fix Brackets</v>
      </c>
      <c r="O95">
        <v>47</v>
      </c>
      <c r="P95">
        <v>30</v>
      </c>
      <c r="Q95" s="80">
        <v>0</v>
      </c>
      <c r="R95" s="80">
        <f t="shared" si="26"/>
        <v>-17</v>
      </c>
      <c r="AC95" s="80" t="s">
        <v>746</v>
      </c>
      <c r="AD95" t="s">
        <v>733</v>
      </c>
      <c r="AE95" s="80" t="str">
        <f t="shared" si="33"/>
        <v>Double FrontVersatrak 25mm Front and Back Combo Glide Bracket</v>
      </c>
      <c r="AF95" s="80">
        <v>140</v>
      </c>
      <c r="AH95" s="87" t="s">
        <v>484</v>
      </c>
      <c r="AI95" s="87" t="s">
        <v>191</v>
      </c>
      <c r="AJ95" s="11" t="s">
        <v>11556</v>
      </c>
      <c r="AK95" s="80" t="str">
        <f t="shared" si="31"/>
        <v>Designer 25 Wavefold Hand DrawnWhiteBent</v>
      </c>
      <c r="AL95" s="80" t="s">
        <v>274</v>
      </c>
      <c r="AM95" s="80" t="s">
        <v>120</v>
      </c>
      <c r="AN95" s="80">
        <v>0</v>
      </c>
      <c r="AO95" s="80" t="s">
        <v>181</v>
      </c>
      <c r="AW95" t="s">
        <v>239</v>
      </c>
      <c r="AX95" t="s">
        <v>138</v>
      </c>
      <c r="AY95" t="str">
        <f t="shared" si="27"/>
        <v>Pencil Pleat (Less Fullness x 1.8)Centre Opening</v>
      </c>
      <c r="AZ95" s="80">
        <v>1.8</v>
      </c>
      <c r="BA95" s="80">
        <v>400</v>
      </c>
      <c r="CN95" s="25" t="s">
        <v>435</v>
      </c>
      <c r="CO95" t="s">
        <v>7483</v>
      </c>
      <c r="CP95" s="25" t="str">
        <f t="shared" si="29"/>
        <v>Track from Vanda270cm Cord Length</v>
      </c>
      <c r="CQ95" s="25" t="s">
        <v>120</v>
      </c>
    </row>
    <row r="96" spans="10:95" ht="16.2" customHeight="1">
      <c r="J96" s="80" t="s">
        <v>746</v>
      </c>
      <c r="K96" s="80" t="s">
        <v>7100</v>
      </c>
      <c r="L96" t="s">
        <v>184</v>
      </c>
      <c r="M96" t="s">
        <v>161</v>
      </c>
      <c r="N96" t="str">
        <f t="shared" si="25"/>
        <v>Double FrontDesigner 15 Cord DrawnDecorator 2071Top Fix Brackets</v>
      </c>
      <c r="O96">
        <v>20</v>
      </c>
      <c r="P96">
        <v>30</v>
      </c>
      <c r="Q96" s="80">
        <v>0</v>
      </c>
      <c r="R96" s="80">
        <f t="shared" si="26"/>
        <v>10</v>
      </c>
      <c r="AC96" s="80" t="s">
        <v>746</v>
      </c>
      <c r="AD96" t="s">
        <v>735</v>
      </c>
      <c r="AE96" s="80" t="str">
        <f t="shared" si="33"/>
        <v>Double FrontVersatrak 25mm Glide Front and 16mm Glide Back Combo Bracket</v>
      </c>
      <c r="AF96" s="80">
        <v>140</v>
      </c>
      <c r="AH96" s="87" t="s">
        <v>484</v>
      </c>
      <c r="AI96" s="87" t="s">
        <v>191</v>
      </c>
      <c r="AJ96" s="11" t="s">
        <v>160</v>
      </c>
      <c r="AK96" s="80" t="str">
        <f t="shared" si="31"/>
        <v>Designer 25 Wavefold Hand DrawnWhiteStraight</v>
      </c>
      <c r="AL96" s="80" t="s">
        <v>274</v>
      </c>
      <c r="AM96" s="80" t="s">
        <v>120</v>
      </c>
      <c r="AN96" s="80">
        <v>0</v>
      </c>
      <c r="AO96" s="80" t="s">
        <v>181</v>
      </c>
      <c r="AW96" t="s">
        <v>239</v>
      </c>
      <c r="AX96" t="s">
        <v>5902</v>
      </c>
      <c r="AY96" t="str">
        <f t="shared" si="27"/>
        <v>Pencil Pleat (Less Fullness x 1.8)Centre Opening (Offset Split)</v>
      </c>
      <c r="AZ96" s="80">
        <v>1.8</v>
      </c>
      <c r="BA96" s="80">
        <v>400</v>
      </c>
      <c r="CN96" s="25" t="s">
        <v>435</v>
      </c>
      <c r="CO96" t="s">
        <v>7479</v>
      </c>
      <c r="CP96" s="25" t="str">
        <f t="shared" si="29"/>
        <v>Track from Vanda100cm Cord Length</v>
      </c>
      <c r="CQ96" s="25" t="s">
        <v>120</v>
      </c>
    </row>
    <row r="97" spans="10:95" ht="16.2" customHeight="1">
      <c r="J97" s="80" t="s">
        <v>747</v>
      </c>
      <c r="K97" s="80" t="s">
        <v>7100</v>
      </c>
      <c r="L97" t="s">
        <v>184</v>
      </c>
      <c r="M97" t="s">
        <v>161</v>
      </c>
      <c r="N97" t="str">
        <f t="shared" si="25"/>
        <v>Double RearDesigner 15 Cord DrawnDecorator 2071Top Fix Brackets</v>
      </c>
      <c r="O97">
        <v>20</v>
      </c>
      <c r="P97">
        <v>30</v>
      </c>
      <c r="Q97" s="80">
        <v>0</v>
      </c>
      <c r="R97" s="80">
        <f t="shared" si="26"/>
        <v>10</v>
      </c>
      <c r="AC97" s="80" t="s">
        <v>746</v>
      </c>
      <c r="AD97" t="s">
        <v>736</v>
      </c>
      <c r="AE97" s="80" t="str">
        <f t="shared" si="33"/>
        <v>Double FrontVersatrak 25mm Ring Front and 16mm Glide Back Combo Bracket</v>
      </c>
      <c r="AF97" s="80">
        <v>140</v>
      </c>
      <c r="AH97" s="87" t="s">
        <v>481</v>
      </c>
      <c r="AI97" s="87" t="s">
        <v>398</v>
      </c>
      <c r="AJ97" s="11" t="s">
        <v>11556</v>
      </c>
      <c r="AK97" s="80" t="str">
        <f t="shared" si="34" ref="AK97:AK104">CONCATENATE(AH97,AI97,AJ97)</f>
        <v>Designer 38 S-Fold Cord DrawnAntique BrassBent</v>
      </c>
      <c r="AL97" s="80" t="s">
        <v>274</v>
      </c>
      <c r="AM97" s="80" t="s">
        <v>120</v>
      </c>
      <c r="AN97" s="80">
        <v>0</v>
      </c>
      <c r="AO97" s="80" t="s">
        <v>181</v>
      </c>
      <c r="AW97" t="s">
        <v>239</v>
      </c>
      <c r="AX97" t="s">
        <v>141</v>
      </c>
      <c r="AY97" t="str">
        <f t="shared" si="27"/>
        <v>Pencil Pleat (Less Fullness x 1.8)Single Panel - Left Stacking</v>
      </c>
      <c r="AZ97" s="80">
        <v>1.8</v>
      </c>
      <c r="BA97" s="80">
        <v>200</v>
      </c>
      <c r="CN97" s="25" t="s">
        <v>435</v>
      </c>
      <c r="CO97" t="s">
        <v>7480</v>
      </c>
      <c r="CP97" s="25" t="str">
        <f t="shared" si="29"/>
        <v>Track from Vanda120cm Cord Length</v>
      </c>
      <c r="CQ97" s="25" t="s">
        <v>120</v>
      </c>
    </row>
    <row r="98" spans="10:95" ht="16.2" customHeight="1">
      <c r="J98" s="80" t="s">
        <v>725</v>
      </c>
      <c r="K98" s="80" t="s">
        <v>7100</v>
      </c>
      <c r="L98" t="s">
        <v>184</v>
      </c>
      <c r="M98" t="s">
        <v>161</v>
      </c>
      <c r="N98" t="str">
        <f t="shared" si="25"/>
        <v>SingleDesigner 15 Cord DrawnDecorator 2071Top Fix Brackets</v>
      </c>
      <c r="O98">
        <v>20</v>
      </c>
      <c r="P98">
        <v>30</v>
      </c>
      <c r="Q98" s="80">
        <v>0</v>
      </c>
      <c r="R98" s="80">
        <f t="shared" si="26"/>
        <v>10</v>
      </c>
      <c r="AC98" s="80" t="s">
        <v>746</v>
      </c>
      <c r="AD98" t="s">
        <v>734</v>
      </c>
      <c r="AE98" s="80" t="str">
        <f t="shared" si="33"/>
        <v>Double FrontVersatrak 25mm Ring Front and 25mm Glide Back Combo Bracket</v>
      </c>
      <c r="AF98" s="80">
        <v>140</v>
      </c>
      <c r="AH98" s="87" t="s">
        <v>481</v>
      </c>
      <c r="AI98" s="87" t="s">
        <v>398</v>
      </c>
      <c r="AJ98" s="11" t="s">
        <v>160</v>
      </c>
      <c r="AK98" s="80" t="str">
        <f t="shared" si="34"/>
        <v>Designer 38 S-Fold Cord DrawnAntique BrassStraight</v>
      </c>
      <c r="AL98" s="80" t="s">
        <v>274</v>
      </c>
      <c r="AM98" s="80" t="s">
        <v>120</v>
      </c>
      <c r="AN98" s="80">
        <v>0</v>
      </c>
      <c r="AO98" s="80" t="s">
        <v>181</v>
      </c>
      <c r="AW98" t="s">
        <v>239</v>
      </c>
      <c r="AX98" t="s">
        <v>142</v>
      </c>
      <c r="AY98" t="str">
        <f t="shared" si="27"/>
        <v>Pencil Pleat (Less Fullness x 1.8)Single Panel - Right Stacking</v>
      </c>
      <c r="AZ98" s="80">
        <v>1.8</v>
      </c>
      <c r="BA98" s="80">
        <v>200</v>
      </c>
      <c r="CN98" s="25" t="s">
        <v>435</v>
      </c>
      <c r="CO98" t="s">
        <v>7477</v>
      </c>
      <c r="CP98" s="25" t="str">
        <f t="shared" si="29"/>
        <v>Track from Vanda150cm Cord Length</v>
      </c>
      <c r="CQ98" s="25" t="s">
        <v>120</v>
      </c>
    </row>
    <row r="99" spans="10:95" ht="16.2" customHeight="1">
      <c r="J99" s="80" t="s">
        <v>746</v>
      </c>
      <c r="K99" s="80" t="s">
        <v>7100</v>
      </c>
      <c r="L99" t="s">
        <v>6468</v>
      </c>
      <c r="M99" t="s">
        <v>161</v>
      </c>
      <c r="N99" t="str">
        <f t="shared" si="25"/>
        <v>Double FrontDesigner 15 Cord DrawnGather Hook Bottom PocketTop Fix Brackets</v>
      </c>
      <c r="O99">
        <v>60</v>
      </c>
      <c r="P99">
        <v>30</v>
      </c>
      <c r="Q99" s="80">
        <v>0</v>
      </c>
      <c r="R99" s="80">
        <f t="shared" si="26"/>
        <v>-30</v>
      </c>
      <c r="AC99" s="80" t="s">
        <v>746</v>
      </c>
      <c r="AD99" t="s">
        <v>11596</v>
      </c>
      <c r="AE99" s="80" t="str">
        <f t="shared" si="33"/>
        <v>Double FrontVersatrak 25mm Top Fix 100mm Suspension Bracket</v>
      </c>
      <c r="AF99" s="80">
        <v>140</v>
      </c>
      <c r="AH99" s="87" t="s">
        <v>481</v>
      </c>
      <c r="AI99" s="87" t="s">
        <v>193</v>
      </c>
      <c r="AJ99" s="11" t="s">
        <v>11556</v>
      </c>
      <c r="AK99" s="80" t="str">
        <f t="shared" si="34"/>
        <v>Designer 38 S-Fold Cord DrawnBlackBent</v>
      </c>
      <c r="AL99" s="80" t="s">
        <v>274</v>
      </c>
      <c r="AM99" s="80" t="s">
        <v>120</v>
      </c>
      <c r="AN99" s="80">
        <v>0</v>
      </c>
      <c r="AO99" s="80" t="s">
        <v>181</v>
      </c>
      <c r="AW99" t="s">
        <v>239</v>
      </c>
      <c r="AX99" t="s">
        <v>143</v>
      </c>
      <c r="AY99" t="str">
        <f t="shared" si="27"/>
        <v>Pencil Pleat (Less Fullness x 1.8)Single Panel - Free Flowing</v>
      </c>
      <c r="AZ99" s="80">
        <v>1.8</v>
      </c>
      <c r="BA99" s="80">
        <v>200</v>
      </c>
      <c r="CN99" s="25" t="s">
        <v>435</v>
      </c>
      <c r="CO99" t="s">
        <v>7481</v>
      </c>
      <c r="CP99" s="25" t="str">
        <f t="shared" si="29"/>
        <v>Track from Vanda180cm Cord Length</v>
      </c>
      <c r="CQ99" s="25" t="s">
        <v>120</v>
      </c>
    </row>
    <row r="100" spans="10:95" ht="16.2" customHeight="1">
      <c r="J100" s="80" t="s">
        <v>725</v>
      </c>
      <c r="K100" s="80" t="s">
        <v>7100</v>
      </c>
      <c r="L100" t="s">
        <v>6468</v>
      </c>
      <c r="M100" t="s">
        <v>161</v>
      </c>
      <c r="N100" t="str">
        <f t="shared" si="25"/>
        <v>SingleDesigner 15 Cord DrawnGather Hook Bottom PocketTop Fix Brackets</v>
      </c>
      <c r="O100">
        <v>60</v>
      </c>
      <c r="P100">
        <v>30</v>
      </c>
      <c r="Q100" s="80">
        <v>0</v>
      </c>
      <c r="R100" s="80">
        <f t="shared" si="26"/>
        <v>-30</v>
      </c>
      <c r="AC100" s="80" t="s">
        <v>746</v>
      </c>
      <c r="AD100" t="s">
        <v>731</v>
      </c>
      <c r="AE100" s="80" t="str">
        <f t="shared" si="33"/>
        <v>Double FrontVersatrak Top Fix Ring Bracket</v>
      </c>
      <c r="AF100" s="80">
        <v>140</v>
      </c>
      <c r="AH100" s="87" t="s">
        <v>481</v>
      </c>
      <c r="AI100" s="87" t="s">
        <v>193</v>
      </c>
      <c r="AJ100" s="11" t="s">
        <v>160</v>
      </c>
      <c r="AK100" s="80" t="str">
        <f t="shared" si="34"/>
        <v>Designer 38 S-Fold Cord DrawnBlackStraight</v>
      </c>
      <c r="AL100" s="80" t="s">
        <v>274</v>
      </c>
      <c r="AM100" s="80" t="s">
        <v>120</v>
      </c>
      <c r="AN100" s="80">
        <v>0</v>
      </c>
      <c r="AO100" s="80" t="s">
        <v>181</v>
      </c>
      <c r="AW100" t="s">
        <v>239</v>
      </c>
      <c r="AX100" t="s">
        <v>717</v>
      </c>
      <c r="AY100" t="str">
        <f t="shared" si="27"/>
        <v>Pencil Pleat (Less Fullness x 1.8)Centre Opening - Free Flowing</v>
      </c>
      <c r="AZ100" s="80">
        <v>1.8</v>
      </c>
      <c r="BA100" s="80">
        <v>400</v>
      </c>
      <c r="CN100" s="25" t="s">
        <v>435</v>
      </c>
      <c r="CO100" t="s">
        <v>7482</v>
      </c>
      <c r="CP100" s="25" t="str">
        <f t="shared" si="29"/>
        <v>Track from Vanda210cm Cord Length</v>
      </c>
      <c r="CQ100" s="25" t="s">
        <v>120</v>
      </c>
    </row>
    <row r="101" spans="10:95" ht="16.2" customHeight="1">
      <c r="J101" s="80" t="s">
        <v>746</v>
      </c>
      <c r="K101" s="80" t="s">
        <v>7100</v>
      </c>
      <c r="L101" t="s">
        <v>229</v>
      </c>
      <c r="M101" t="s">
        <v>161</v>
      </c>
      <c r="N101" t="str">
        <f t="shared" si="25"/>
        <v>Double FrontDesigner 15 Cord DrawnGather Hook LevelTop Fix Brackets</v>
      </c>
      <c r="O101">
        <v>20</v>
      </c>
      <c r="P101">
        <v>30</v>
      </c>
      <c r="Q101" s="80">
        <v>0</v>
      </c>
      <c r="R101" s="80">
        <f t="shared" si="26"/>
        <v>10</v>
      </c>
      <c r="AC101" s="80" t="s">
        <v>746</v>
      </c>
      <c r="AD101" t="s">
        <v>11602</v>
      </c>
      <c r="AE101" s="80" t="str">
        <f t="shared" si="33"/>
        <v>Double FrontVersatrak Top Fix Suspension Bracket</v>
      </c>
      <c r="AF101" s="80">
        <v>140</v>
      </c>
      <c r="AH101" s="87" t="s">
        <v>481</v>
      </c>
      <c r="AI101" s="87" t="s">
        <v>225</v>
      </c>
      <c r="AJ101" s="11" t="s">
        <v>11556</v>
      </c>
      <c r="AK101" s="80" t="str">
        <f t="shared" si="34"/>
        <v>Designer 38 S-Fold Cord DrawnGoldBent</v>
      </c>
      <c r="AL101" s="80" t="s">
        <v>274</v>
      </c>
      <c r="AM101" s="80" t="s">
        <v>120</v>
      </c>
      <c r="AN101" s="80">
        <v>0</v>
      </c>
      <c r="AO101" s="80" t="s">
        <v>181</v>
      </c>
      <c r="AW101" t="s">
        <v>239</v>
      </c>
      <c r="AX101" t="s">
        <v>154</v>
      </c>
      <c r="AY101" t="str">
        <f t="shared" si="27"/>
        <v>Pencil Pleat (Less Fullness x 1.8)No Movement</v>
      </c>
      <c r="AZ101" s="80">
        <v>1.8</v>
      </c>
      <c r="BA101" s="80">
        <v>200</v>
      </c>
      <c r="CN101" s="25" t="s">
        <v>435</v>
      </c>
      <c r="CO101" t="s">
        <v>7478</v>
      </c>
      <c r="CP101" s="25" t="str">
        <f t="shared" si="29"/>
        <v>Track from Vanda240cm Cord Length</v>
      </c>
      <c r="CQ101" s="25" t="s">
        <v>120</v>
      </c>
    </row>
    <row r="102" spans="10:95" ht="16.2" customHeight="1">
      <c r="J102" s="80" t="s">
        <v>747</v>
      </c>
      <c r="K102" s="80" t="s">
        <v>7100</v>
      </c>
      <c r="L102" t="s">
        <v>229</v>
      </c>
      <c r="M102" t="s">
        <v>161</v>
      </c>
      <c r="N102" t="str">
        <f t="shared" si="25"/>
        <v>Double RearDesigner 15 Cord DrawnGather Hook LevelTop Fix Brackets</v>
      </c>
      <c r="O102">
        <v>20</v>
      </c>
      <c r="P102">
        <v>30</v>
      </c>
      <c r="Q102" s="80">
        <v>0</v>
      </c>
      <c r="R102" s="80">
        <f t="shared" si="26"/>
        <v>10</v>
      </c>
      <c r="AC102" s="80" t="s">
        <v>746</v>
      </c>
      <c r="AD102" t="s">
        <v>11600</v>
      </c>
      <c r="AE102" s="80" t="str">
        <f t="shared" si="33"/>
        <v>Double FrontVersatrak Top Fix Suspension Bracket with 1 Wall Bracket</v>
      </c>
      <c r="AF102" s="80">
        <v>140</v>
      </c>
      <c r="AH102" s="87" t="s">
        <v>481</v>
      </c>
      <c r="AI102" s="87" t="s">
        <v>225</v>
      </c>
      <c r="AJ102" s="11" t="s">
        <v>160</v>
      </c>
      <c r="AK102" s="80" t="str">
        <f t="shared" si="34"/>
        <v>Designer 38 S-Fold Cord DrawnGoldStraight</v>
      </c>
      <c r="AL102" s="80" t="s">
        <v>274</v>
      </c>
      <c r="AM102" s="80" t="s">
        <v>120</v>
      </c>
      <c r="AN102" s="80">
        <v>0</v>
      </c>
      <c r="AO102" s="80" t="s">
        <v>181</v>
      </c>
      <c r="AW102" s="80" t="s">
        <v>239</v>
      </c>
      <c r="AX102" s="80" t="s">
        <v>5903</v>
      </c>
      <c r="AY102" t="str">
        <f t="shared" si="27"/>
        <v>Pencil Pleat (Less Fullness x 1.8)Centre Opening - Free Flowing (Offset Split)</v>
      </c>
      <c r="AZ102" s="80">
        <v>1.8</v>
      </c>
      <c r="BA102" s="80">
        <v>200</v>
      </c>
      <c r="CN102" s="25" t="s">
        <v>435</v>
      </c>
      <c r="CO102" t="s">
        <v>7483</v>
      </c>
      <c r="CP102" s="25" t="str">
        <f t="shared" si="29"/>
        <v>Track from Vanda270cm Cord Length</v>
      </c>
      <c r="CQ102" s="25" t="s">
        <v>120</v>
      </c>
    </row>
    <row r="103" spans="10:95" ht="16.2" customHeight="1">
      <c r="J103" s="80" t="s">
        <v>725</v>
      </c>
      <c r="K103" s="80" t="s">
        <v>7100</v>
      </c>
      <c r="L103" t="s">
        <v>229</v>
      </c>
      <c r="M103" t="s">
        <v>161</v>
      </c>
      <c r="N103" t="str">
        <f t="shared" si="25"/>
        <v>SingleDesigner 15 Cord DrawnGather Hook LevelTop Fix Brackets</v>
      </c>
      <c r="O103">
        <v>20</v>
      </c>
      <c r="P103">
        <v>30</v>
      </c>
      <c r="Q103" s="80">
        <v>0</v>
      </c>
      <c r="R103" s="80">
        <f t="shared" si="26"/>
        <v>10</v>
      </c>
      <c r="AC103" s="80" t="s">
        <v>746</v>
      </c>
      <c r="AD103" t="s">
        <v>11601</v>
      </c>
      <c r="AE103" s="80" t="str">
        <f t="shared" si="33"/>
        <v>Double FrontVersatrak Top Fix Suspension Bracket with 2 Wall Brackets</v>
      </c>
      <c r="AF103" s="80">
        <v>140</v>
      </c>
      <c r="AH103" s="87" t="s">
        <v>481</v>
      </c>
      <c r="AI103" s="87" t="s">
        <v>191</v>
      </c>
      <c r="AJ103" s="11" t="s">
        <v>11556</v>
      </c>
      <c r="AK103" s="80" t="str">
        <f t="shared" si="34"/>
        <v>Designer 38 S-Fold Cord DrawnWhiteBent</v>
      </c>
      <c r="AL103" s="80" t="s">
        <v>274</v>
      </c>
      <c r="AM103" s="80" t="s">
        <v>120</v>
      </c>
      <c r="AN103" s="80">
        <v>0</v>
      </c>
      <c r="AO103" s="80" t="s">
        <v>181</v>
      </c>
      <c r="AW103" t="s">
        <v>237</v>
      </c>
      <c r="AX103" t="s">
        <v>138</v>
      </c>
      <c r="AY103" t="str">
        <f t="shared" si="27"/>
        <v>Pencil Pleat (Standard Fullness x 2)Centre Opening</v>
      </c>
      <c r="AZ103" s="80">
        <v>2</v>
      </c>
      <c r="BA103" s="80">
        <v>400</v>
      </c>
      <c r="CN103" s="25" t="s">
        <v>435</v>
      </c>
      <c r="CP103" s="25" t="str">
        <f>CONCATENATE(CN103,CO103)</f>
        <v>Track from Vanda</v>
      </c>
      <c r="CQ103" s="25" t="s">
        <v>120</v>
      </c>
    </row>
    <row r="104" spans="10:53" ht="16.2" customHeight="1">
      <c r="J104" s="80" t="s">
        <v>746</v>
      </c>
      <c r="K104" s="80" t="s">
        <v>7100</v>
      </c>
      <c r="L104" t="s">
        <v>228</v>
      </c>
      <c r="M104" t="s">
        <v>161</v>
      </c>
      <c r="N104" t="str">
        <f t="shared" si="25"/>
        <v>Double FrontDesigner 15 Cord DrawnGather Hook NormalTop Fix Brackets</v>
      </c>
      <c r="O104">
        <v>43</v>
      </c>
      <c r="P104">
        <v>30</v>
      </c>
      <c r="Q104" s="80">
        <v>0</v>
      </c>
      <c r="R104" s="80">
        <f t="shared" si="26"/>
        <v>-13</v>
      </c>
      <c r="AC104" s="80" t="s">
        <v>746</v>
      </c>
      <c r="AD104" t="s">
        <v>730</v>
      </c>
      <c r="AE104" s="80" t="str">
        <f t="shared" si="33"/>
        <v>Double FrontVersatrak Ultra Top Fix Glide Bracket</v>
      </c>
      <c r="AF104" s="80">
        <v>140</v>
      </c>
      <c r="AH104" s="87" t="s">
        <v>481</v>
      </c>
      <c r="AI104" s="87" t="s">
        <v>191</v>
      </c>
      <c r="AJ104" s="11" t="s">
        <v>160</v>
      </c>
      <c r="AK104" s="80" t="str">
        <f t="shared" si="34"/>
        <v>Designer 38 S-Fold Cord DrawnWhiteStraight</v>
      </c>
      <c r="AL104" s="80" t="s">
        <v>274</v>
      </c>
      <c r="AM104" s="80" t="s">
        <v>120</v>
      </c>
      <c r="AN104" s="80">
        <v>0</v>
      </c>
      <c r="AO104" s="80" t="s">
        <v>181</v>
      </c>
      <c r="AW104" t="s">
        <v>237</v>
      </c>
      <c r="AX104" t="s">
        <v>5902</v>
      </c>
      <c r="AY104" t="str">
        <f t="shared" si="27"/>
        <v>Pencil Pleat (Standard Fullness x 2)Centre Opening (Offset Split)</v>
      </c>
      <c r="AZ104" s="80">
        <v>2</v>
      </c>
      <c r="BA104" s="80">
        <v>400</v>
      </c>
    </row>
    <row r="105" spans="10:53" ht="16.2" customHeight="1">
      <c r="J105" s="80" t="s">
        <v>747</v>
      </c>
      <c r="K105" s="80" t="s">
        <v>7100</v>
      </c>
      <c r="L105" t="s">
        <v>228</v>
      </c>
      <c r="M105" t="s">
        <v>161</v>
      </c>
      <c r="N105" t="str">
        <f t="shared" si="25"/>
        <v>Double RearDesigner 15 Cord DrawnGather Hook NormalTop Fix Brackets</v>
      </c>
      <c r="O105">
        <v>43</v>
      </c>
      <c r="P105">
        <v>30</v>
      </c>
      <c r="Q105" s="80">
        <v>0</v>
      </c>
      <c r="R105" s="80">
        <f t="shared" si="26"/>
        <v>-13</v>
      </c>
      <c r="AD105"/>
      <c r="AH105" s="87" t="s">
        <v>482</v>
      </c>
      <c r="AI105" s="87" t="s">
        <v>398</v>
      </c>
      <c r="AJ105" s="11" t="s">
        <v>11556</v>
      </c>
      <c r="AK105" s="80" t="str">
        <f t="shared" si="35" ref="AK105:AK112">CONCATENATE(AH105,AI105,AJ105)</f>
        <v>Designer 38 S-Fold Hand DrawnAntique BrassBent</v>
      </c>
      <c r="AL105" s="80" t="s">
        <v>274</v>
      </c>
      <c r="AM105" s="80" t="s">
        <v>120</v>
      </c>
      <c r="AN105" s="80">
        <v>0</v>
      </c>
      <c r="AO105" s="80" t="s">
        <v>181</v>
      </c>
      <c r="AW105" t="s">
        <v>237</v>
      </c>
      <c r="AX105" t="s">
        <v>141</v>
      </c>
      <c r="AY105" t="str">
        <f t="shared" si="27"/>
        <v>Pencil Pleat (Standard Fullness x 2)Single Panel - Left Stacking</v>
      </c>
      <c r="AZ105" s="80">
        <v>2</v>
      </c>
      <c r="BA105" s="80">
        <v>200</v>
      </c>
    </row>
    <row r="106" spans="10:53" ht="16.2" customHeight="1">
      <c r="J106" s="80" t="s">
        <v>725</v>
      </c>
      <c r="K106" s="80" t="s">
        <v>7100</v>
      </c>
      <c r="L106" t="s">
        <v>228</v>
      </c>
      <c r="M106" t="s">
        <v>161</v>
      </c>
      <c r="N106" t="str">
        <f t="shared" si="25"/>
        <v>SingleDesigner 15 Cord DrawnGather Hook NormalTop Fix Brackets</v>
      </c>
      <c r="O106">
        <v>43</v>
      </c>
      <c r="P106">
        <v>30</v>
      </c>
      <c r="Q106" s="80">
        <v>0</v>
      </c>
      <c r="R106" s="80">
        <f t="shared" si="26"/>
        <v>-13</v>
      </c>
      <c r="AD106"/>
      <c r="AH106" s="87" t="s">
        <v>482</v>
      </c>
      <c r="AI106" s="87" t="s">
        <v>398</v>
      </c>
      <c r="AJ106" s="11" t="s">
        <v>160</v>
      </c>
      <c r="AK106" s="80" t="str">
        <f t="shared" si="35"/>
        <v>Designer 38 S-Fold Hand DrawnAntique BrassStraight</v>
      </c>
      <c r="AL106" s="80" t="s">
        <v>274</v>
      </c>
      <c r="AM106" s="80" t="s">
        <v>120</v>
      </c>
      <c r="AN106" s="80">
        <v>0</v>
      </c>
      <c r="AO106" s="80" t="s">
        <v>181</v>
      </c>
      <c r="AW106" t="s">
        <v>237</v>
      </c>
      <c r="AX106" t="s">
        <v>142</v>
      </c>
      <c r="AY106" t="str">
        <f t="shared" si="27"/>
        <v>Pencil Pleat (Standard Fullness x 2)Single Panel - Right Stacking</v>
      </c>
      <c r="AZ106" s="80">
        <v>2</v>
      </c>
      <c r="BA106" s="80">
        <v>200</v>
      </c>
    </row>
    <row r="107" spans="10:53" ht="16.2" customHeight="1">
      <c r="J107" s="80" t="s">
        <v>746</v>
      </c>
      <c r="K107" s="80" t="s">
        <v>7100</v>
      </c>
      <c r="L107" t="s">
        <v>282</v>
      </c>
      <c r="M107" t="s">
        <v>161</v>
      </c>
      <c r="N107" t="str">
        <f t="shared" si="25"/>
        <v>Double FrontDesigner 15 Cord DrawnLevel 2072Top Fix Brackets</v>
      </c>
      <c r="O107">
        <v>38</v>
      </c>
      <c r="P107">
        <v>30</v>
      </c>
      <c r="Q107" s="80">
        <v>0</v>
      </c>
      <c r="R107" s="80">
        <f t="shared" si="26"/>
        <v>-8</v>
      </c>
      <c r="AD107"/>
      <c r="AH107" s="87" t="s">
        <v>482</v>
      </c>
      <c r="AI107" s="87" t="s">
        <v>193</v>
      </c>
      <c r="AJ107" s="11" t="s">
        <v>11556</v>
      </c>
      <c r="AK107" s="80" t="str">
        <f t="shared" si="35"/>
        <v>Designer 38 S-Fold Hand DrawnBlackBent</v>
      </c>
      <c r="AL107" s="80" t="s">
        <v>274</v>
      </c>
      <c r="AM107" s="80" t="s">
        <v>120</v>
      </c>
      <c r="AN107" s="80">
        <v>0</v>
      </c>
      <c r="AO107" s="80" t="s">
        <v>181</v>
      </c>
      <c r="AW107" t="s">
        <v>237</v>
      </c>
      <c r="AX107" t="s">
        <v>143</v>
      </c>
      <c r="AY107" t="str">
        <f t="shared" si="27"/>
        <v>Pencil Pleat (Standard Fullness x 2)Single Panel - Free Flowing</v>
      </c>
      <c r="AZ107" s="80">
        <v>2</v>
      </c>
      <c r="BA107" s="80">
        <v>200</v>
      </c>
    </row>
    <row r="108" spans="10:53" ht="16.2" customHeight="1">
      <c r="J108" s="80" t="s">
        <v>747</v>
      </c>
      <c r="K108" s="80" t="s">
        <v>7100</v>
      </c>
      <c r="L108" t="s">
        <v>282</v>
      </c>
      <c r="M108" t="s">
        <v>161</v>
      </c>
      <c r="N108" t="str">
        <f t="shared" si="25"/>
        <v>Double RearDesigner 15 Cord DrawnLevel 2072Top Fix Brackets</v>
      </c>
      <c r="O108">
        <v>38</v>
      </c>
      <c r="P108">
        <v>30</v>
      </c>
      <c r="Q108" s="80">
        <v>0</v>
      </c>
      <c r="R108" s="80">
        <f t="shared" si="26"/>
        <v>-8</v>
      </c>
      <c r="AD108"/>
      <c r="AH108" s="87" t="s">
        <v>482</v>
      </c>
      <c r="AI108" s="87" t="s">
        <v>193</v>
      </c>
      <c r="AJ108" s="11" t="s">
        <v>160</v>
      </c>
      <c r="AK108" s="80" t="str">
        <f t="shared" si="35"/>
        <v>Designer 38 S-Fold Hand DrawnBlackStraight</v>
      </c>
      <c r="AL108" s="80" t="s">
        <v>274</v>
      </c>
      <c r="AM108" s="80" t="s">
        <v>120</v>
      </c>
      <c r="AN108" s="80">
        <v>0</v>
      </c>
      <c r="AO108" s="80" t="s">
        <v>181</v>
      </c>
      <c r="AW108" t="s">
        <v>237</v>
      </c>
      <c r="AX108" t="s">
        <v>717</v>
      </c>
      <c r="AY108" t="str">
        <f t="shared" si="27"/>
        <v>Pencil Pleat (Standard Fullness x 2)Centre Opening - Free Flowing</v>
      </c>
      <c r="AZ108" s="80">
        <v>2</v>
      </c>
      <c r="BA108" s="80">
        <v>400</v>
      </c>
    </row>
    <row r="109" spans="10:53" ht="16.2" customHeight="1">
      <c r="J109" s="80" t="s">
        <v>725</v>
      </c>
      <c r="K109" s="80" t="s">
        <v>7100</v>
      </c>
      <c r="L109" t="s">
        <v>282</v>
      </c>
      <c r="M109" t="s">
        <v>161</v>
      </c>
      <c r="N109" t="str">
        <f t="shared" si="25"/>
        <v>SingleDesigner 15 Cord DrawnLevel 2072Top Fix Brackets</v>
      </c>
      <c r="O109">
        <v>35</v>
      </c>
      <c r="P109">
        <v>30</v>
      </c>
      <c r="Q109" s="80">
        <v>0</v>
      </c>
      <c r="R109" s="80">
        <f t="shared" si="26"/>
        <v>-5</v>
      </c>
      <c r="AD109"/>
      <c r="AH109" s="87" t="s">
        <v>482</v>
      </c>
      <c r="AI109" s="87" t="s">
        <v>225</v>
      </c>
      <c r="AJ109" s="11" t="s">
        <v>11556</v>
      </c>
      <c r="AK109" s="80" t="str">
        <f t="shared" si="35"/>
        <v>Designer 38 S-Fold Hand DrawnGoldBent</v>
      </c>
      <c r="AL109" s="80" t="s">
        <v>274</v>
      </c>
      <c r="AM109" s="80" t="s">
        <v>120</v>
      </c>
      <c r="AN109" s="80">
        <v>0</v>
      </c>
      <c r="AO109" s="80" t="s">
        <v>181</v>
      </c>
      <c r="AW109" t="s">
        <v>237</v>
      </c>
      <c r="AX109" t="s">
        <v>154</v>
      </c>
      <c r="AY109" t="str">
        <f t="shared" si="27"/>
        <v>Pencil Pleat (Standard Fullness x 2)No Movement</v>
      </c>
      <c r="AZ109" s="80">
        <v>2</v>
      </c>
      <c r="BA109" s="80">
        <v>200</v>
      </c>
    </row>
    <row r="110" spans="10:53" ht="16.2" customHeight="1">
      <c r="J110" s="80" t="s">
        <v>746</v>
      </c>
      <c r="K110" s="80" t="s">
        <v>7100</v>
      </c>
      <c r="L110" t="s">
        <v>170</v>
      </c>
      <c r="M110" t="s">
        <v>161</v>
      </c>
      <c r="N110" t="str">
        <f t="shared" si="25"/>
        <v>Double FrontDesigner 15 Cord DrawnNormal 2074Top Fix Brackets</v>
      </c>
      <c r="O110">
        <v>60</v>
      </c>
      <c r="P110">
        <v>30</v>
      </c>
      <c r="Q110" s="80">
        <v>0</v>
      </c>
      <c r="R110" s="80">
        <f t="shared" si="26"/>
        <v>-30</v>
      </c>
      <c r="AD110"/>
      <c r="AH110" s="87" t="s">
        <v>482</v>
      </c>
      <c r="AI110" s="87" t="s">
        <v>225</v>
      </c>
      <c r="AJ110" s="11" t="s">
        <v>160</v>
      </c>
      <c r="AK110" s="80" t="str">
        <f t="shared" si="35"/>
        <v>Designer 38 S-Fold Hand DrawnGoldStraight</v>
      </c>
      <c r="AL110" s="80" t="s">
        <v>274</v>
      </c>
      <c r="AM110" s="80" t="s">
        <v>120</v>
      </c>
      <c r="AN110" s="80">
        <v>0</v>
      </c>
      <c r="AO110" s="80" t="s">
        <v>181</v>
      </c>
      <c r="AW110" s="80" t="s">
        <v>237</v>
      </c>
      <c r="AX110" s="80" t="s">
        <v>5903</v>
      </c>
      <c r="AY110" t="str">
        <f t="shared" si="27"/>
        <v>Pencil Pleat (Standard Fullness x 2)Centre Opening - Free Flowing (Offset Split)</v>
      </c>
      <c r="AZ110" s="80">
        <v>2</v>
      </c>
      <c r="BA110" s="80">
        <v>200</v>
      </c>
    </row>
    <row r="111" spans="10:53" ht="16.2" customHeight="1">
      <c r="J111" s="80" t="s">
        <v>747</v>
      </c>
      <c r="K111" s="80" t="s">
        <v>7100</v>
      </c>
      <c r="L111" t="s">
        <v>170</v>
      </c>
      <c r="M111" t="s">
        <v>161</v>
      </c>
      <c r="N111" t="str">
        <f t="shared" si="25"/>
        <v>Double RearDesigner 15 Cord DrawnNormal 2074Top Fix Brackets</v>
      </c>
      <c r="O111">
        <v>60</v>
      </c>
      <c r="P111">
        <v>30</v>
      </c>
      <c r="Q111" s="80">
        <v>0</v>
      </c>
      <c r="R111" s="80">
        <f t="shared" si="26"/>
        <v>-30</v>
      </c>
      <c r="AD111"/>
      <c r="AH111" s="87" t="s">
        <v>482</v>
      </c>
      <c r="AI111" s="87" t="s">
        <v>191</v>
      </c>
      <c r="AJ111" s="11" t="s">
        <v>11556</v>
      </c>
      <c r="AK111" s="80" t="str">
        <f t="shared" si="35"/>
        <v>Designer 38 S-Fold Hand DrawnWhiteBent</v>
      </c>
      <c r="AL111" s="80" t="s">
        <v>274</v>
      </c>
      <c r="AM111" s="80" t="s">
        <v>120</v>
      </c>
      <c r="AN111" s="80">
        <v>0</v>
      </c>
      <c r="AO111" s="80" t="s">
        <v>181</v>
      </c>
      <c r="AW111" t="s">
        <v>241</v>
      </c>
      <c r="AX111" t="s">
        <v>138</v>
      </c>
      <c r="AY111" t="str">
        <f t="shared" si="27"/>
        <v>Pencil Pleat for Sheers (Extra Fullness x 2.8)Centre Opening</v>
      </c>
      <c r="AZ111" s="80">
        <v>2.8</v>
      </c>
      <c r="BA111" s="80">
        <v>400</v>
      </c>
    </row>
    <row r="112" spans="10:53" ht="16.2" customHeight="1">
      <c r="J112" s="80" t="s">
        <v>725</v>
      </c>
      <c r="K112" s="80" t="s">
        <v>7100</v>
      </c>
      <c r="L112" t="s">
        <v>170</v>
      </c>
      <c r="M112" t="s">
        <v>161</v>
      </c>
      <c r="N112" t="str">
        <f t="shared" si="25"/>
        <v>SingleDesigner 15 Cord DrawnNormal 2074Top Fix Brackets</v>
      </c>
      <c r="O112">
        <v>60</v>
      </c>
      <c r="P112">
        <v>30</v>
      </c>
      <c r="Q112" s="80">
        <v>0</v>
      </c>
      <c r="R112" s="80">
        <f t="shared" si="26"/>
        <v>-30</v>
      </c>
      <c r="AD112"/>
      <c r="AH112" s="87" t="s">
        <v>482</v>
      </c>
      <c r="AI112" s="87" t="s">
        <v>191</v>
      </c>
      <c r="AJ112" s="11" t="s">
        <v>160</v>
      </c>
      <c r="AK112" s="80" t="str">
        <f t="shared" si="35"/>
        <v>Designer 38 S-Fold Hand DrawnWhiteStraight</v>
      </c>
      <c r="AL112" s="80" t="s">
        <v>274</v>
      </c>
      <c r="AM112" s="80" t="s">
        <v>120</v>
      </c>
      <c r="AN112" s="80">
        <v>0</v>
      </c>
      <c r="AO112" s="80" t="s">
        <v>181</v>
      </c>
      <c r="AW112" t="s">
        <v>241</v>
      </c>
      <c r="AX112" t="s">
        <v>5902</v>
      </c>
      <c r="AY112" t="str">
        <f t="shared" si="27"/>
        <v>Pencil Pleat for Sheers (Extra Fullness x 2.8)Centre Opening (Offset Split)</v>
      </c>
      <c r="AZ112" s="80">
        <v>2.8</v>
      </c>
      <c r="BA112" s="80">
        <v>400</v>
      </c>
    </row>
    <row r="113" spans="10:53" ht="16.2" customHeight="1">
      <c r="J113" s="80" t="s">
        <v>746</v>
      </c>
      <c r="K113" s="80" t="s">
        <v>7100</v>
      </c>
      <c r="L113" t="s">
        <v>183</v>
      </c>
      <c r="M113" t="s">
        <v>553</v>
      </c>
      <c r="N113" t="str">
        <f t="shared" si="25"/>
        <v>Double FrontDesigner 15 Cord DrawnBelow Normal 2075Triple Face Fix Brackets</v>
      </c>
      <c r="O113">
        <v>70</v>
      </c>
      <c r="P113">
        <v>35</v>
      </c>
      <c r="Q113" s="80">
        <v>0</v>
      </c>
      <c r="R113" s="80">
        <f t="shared" si="26"/>
        <v>-35</v>
      </c>
      <c r="AD113"/>
      <c r="AH113" s="87" t="s">
        <v>485</v>
      </c>
      <c r="AI113" s="87" t="s">
        <v>398</v>
      </c>
      <c r="AJ113" s="11" t="s">
        <v>11556</v>
      </c>
      <c r="AK113" s="80" t="str">
        <f t="shared" si="36" ref="AK113:AK120">CONCATENATE(AH113,AI113,AJ113)</f>
        <v>Designer 38 Wavefold Cord DrawnAntique BrassBent</v>
      </c>
      <c r="AL113" s="80" t="s">
        <v>274</v>
      </c>
      <c r="AM113" s="80" t="s">
        <v>120</v>
      </c>
      <c r="AN113" s="80">
        <v>0</v>
      </c>
      <c r="AO113" s="80" t="s">
        <v>181</v>
      </c>
      <c r="AW113" t="s">
        <v>241</v>
      </c>
      <c r="AX113" t="s">
        <v>141</v>
      </c>
      <c r="AY113" t="str">
        <f t="shared" si="27"/>
        <v>Pencil Pleat for Sheers (Extra Fullness x 2.8)Single Panel - Left Stacking</v>
      </c>
      <c r="AZ113" s="80">
        <v>2.8</v>
      </c>
      <c r="BA113" s="80">
        <v>200</v>
      </c>
    </row>
    <row r="114" spans="10:53" ht="16.2" customHeight="1">
      <c r="J114" s="80" t="s">
        <v>747</v>
      </c>
      <c r="K114" s="80" t="s">
        <v>7100</v>
      </c>
      <c r="L114" t="s">
        <v>183</v>
      </c>
      <c r="M114" t="s">
        <v>553</v>
      </c>
      <c r="N114" t="str">
        <f t="shared" si="25"/>
        <v>Double RearDesigner 15 Cord DrawnBelow Normal 2075Triple Face Fix Brackets</v>
      </c>
      <c r="O114">
        <v>70</v>
      </c>
      <c r="P114">
        <v>35</v>
      </c>
      <c r="Q114" s="80">
        <v>0</v>
      </c>
      <c r="R114" s="80">
        <f t="shared" si="26"/>
        <v>-35</v>
      </c>
      <c r="AD114"/>
      <c r="AH114" s="87" t="s">
        <v>485</v>
      </c>
      <c r="AI114" s="87" t="s">
        <v>398</v>
      </c>
      <c r="AJ114" s="11" t="s">
        <v>160</v>
      </c>
      <c r="AK114" s="80" t="str">
        <f t="shared" si="36"/>
        <v>Designer 38 Wavefold Cord DrawnAntique BrassStraight</v>
      </c>
      <c r="AL114" s="80" t="s">
        <v>274</v>
      </c>
      <c r="AM114" s="80" t="s">
        <v>120</v>
      </c>
      <c r="AN114" s="80">
        <v>0</v>
      </c>
      <c r="AO114" s="80" t="s">
        <v>181</v>
      </c>
      <c r="AW114" t="s">
        <v>241</v>
      </c>
      <c r="AX114" t="s">
        <v>142</v>
      </c>
      <c r="AY114" t="str">
        <f t="shared" si="27"/>
        <v>Pencil Pleat for Sheers (Extra Fullness x 2.8)Single Panel - Right Stacking</v>
      </c>
      <c r="AZ114" s="80">
        <v>2.8</v>
      </c>
      <c r="BA114" s="80">
        <v>200</v>
      </c>
    </row>
    <row r="115" spans="10:53" ht="16.2" customHeight="1">
      <c r="J115" s="80" t="s">
        <v>725</v>
      </c>
      <c r="K115" s="80" t="s">
        <v>7100</v>
      </c>
      <c r="L115" t="s">
        <v>183</v>
      </c>
      <c r="M115" t="s">
        <v>553</v>
      </c>
      <c r="N115" t="str">
        <f t="shared" si="25"/>
        <v>SingleDesigner 15 Cord DrawnBelow Normal 2075Triple Face Fix Brackets</v>
      </c>
      <c r="O115">
        <v>70</v>
      </c>
      <c r="P115">
        <v>35</v>
      </c>
      <c r="Q115" s="80">
        <v>0</v>
      </c>
      <c r="R115" s="80">
        <f t="shared" si="26"/>
        <v>-35</v>
      </c>
      <c r="AD115"/>
      <c r="AH115" s="87" t="s">
        <v>485</v>
      </c>
      <c r="AI115" s="87" t="s">
        <v>193</v>
      </c>
      <c r="AJ115" s="11" t="s">
        <v>11556</v>
      </c>
      <c r="AK115" s="80" t="str">
        <f t="shared" si="36"/>
        <v>Designer 38 Wavefold Cord DrawnBlackBent</v>
      </c>
      <c r="AL115" s="80" t="s">
        <v>274</v>
      </c>
      <c r="AM115" s="80" t="s">
        <v>120</v>
      </c>
      <c r="AN115" s="80">
        <v>0</v>
      </c>
      <c r="AO115" s="80" t="s">
        <v>181</v>
      </c>
      <c r="AW115" t="s">
        <v>241</v>
      </c>
      <c r="AX115" t="s">
        <v>143</v>
      </c>
      <c r="AY115" t="str">
        <f t="shared" si="27"/>
        <v>Pencil Pleat for Sheers (Extra Fullness x 2.8)Single Panel - Free Flowing</v>
      </c>
      <c r="AZ115" s="80">
        <v>2.8</v>
      </c>
      <c r="BA115" s="80">
        <v>200</v>
      </c>
    </row>
    <row r="116" spans="10:53" ht="16.2" customHeight="1">
      <c r="J116" s="80" t="s">
        <v>746</v>
      </c>
      <c r="K116" s="80" t="s">
        <v>7100</v>
      </c>
      <c r="L116" t="s">
        <v>182</v>
      </c>
      <c r="M116" t="s">
        <v>553</v>
      </c>
      <c r="N116" t="str">
        <f t="shared" si="25"/>
        <v>Double FrontDesigner 15 Cord DrawnBetween Level and Normal 2073Triple Face Fix Brackets</v>
      </c>
      <c r="O116">
        <v>48</v>
      </c>
      <c r="P116">
        <v>35</v>
      </c>
      <c r="Q116" s="80">
        <v>0</v>
      </c>
      <c r="R116" s="80">
        <f t="shared" si="26"/>
        <v>-13</v>
      </c>
      <c r="AD116"/>
      <c r="AH116" s="87" t="s">
        <v>485</v>
      </c>
      <c r="AI116" s="87" t="s">
        <v>193</v>
      </c>
      <c r="AJ116" s="11" t="s">
        <v>160</v>
      </c>
      <c r="AK116" s="80" t="str">
        <f t="shared" si="36"/>
        <v>Designer 38 Wavefold Cord DrawnBlackStraight</v>
      </c>
      <c r="AL116" s="80" t="s">
        <v>274</v>
      </c>
      <c r="AM116" s="80" t="s">
        <v>120</v>
      </c>
      <c r="AN116" s="80">
        <v>0</v>
      </c>
      <c r="AO116" s="80" t="s">
        <v>181</v>
      </c>
      <c r="AW116" t="s">
        <v>241</v>
      </c>
      <c r="AX116" t="s">
        <v>717</v>
      </c>
      <c r="AY116" t="str">
        <f t="shared" si="27"/>
        <v>Pencil Pleat for Sheers (Extra Fullness x 2.8)Centre Opening - Free Flowing</v>
      </c>
      <c r="AZ116" s="80">
        <v>2.8</v>
      </c>
      <c r="BA116" s="80">
        <v>400</v>
      </c>
    </row>
    <row r="117" spans="10:53" ht="16.2" customHeight="1">
      <c r="J117" s="80" t="s">
        <v>747</v>
      </c>
      <c r="K117" s="80" t="s">
        <v>7100</v>
      </c>
      <c r="L117" t="s">
        <v>182</v>
      </c>
      <c r="M117" t="s">
        <v>553</v>
      </c>
      <c r="N117" t="str">
        <f t="shared" si="25"/>
        <v>Double RearDesigner 15 Cord DrawnBetween Level and Normal 2073Triple Face Fix Brackets</v>
      </c>
      <c r="O117">
        <v>48</v>
      </c>
      <c r="P117">
        <v>35</v>
      </c>
      <c r="Q117" s="80">
        <v>0</v>
      </c>
      <c r="R117" s="80">
        <f t="shared" si="26"/>
        <v>-13</v>
      </c>
      <c r="AD117"/>
      <c r="AH117" s="87" t="s">
        <v>485</v>
      </c>
      <c r="AI117" s="87" t="s">
        <v>225</v>
      </c>
      <c r="AJ117" s="11" t="s">
        <v>11556</v>
      </c>
      <c r="AK117" s="80" t="str">
        <f t="shared" si="36"/>
        <v>Designer 38 Wavefold Cord DrawnGoldBent</v>
      </c>
      <c r="AL117" s="80" t="s">
        <v>274</v>
      </c>
      <c r="AM117" s="80" t="s">
        <v>120</v>
      </c>
      <c r="AN117" s="80">
        <v>0</v>
      </c>
      <c r="AO117" s="80" t="s">
        <v>181</v>
      </c>
      <c r="AW117" t="s">
        <v>241</v>
      </c>
      <c r="AX117" t="s">
        <v>154</v>
      </c>
      <c r="AY117" t="str">
        <f t="shared" si="27"/>
        <v>Pencil Pleat for Sheers (Extra Fullness x 2.8)No Movement</v>
      </c>
      <c r="AZ117" s="80">
        <v>2.8</v>
      </c>
      <c r="BA117" s="80">
        <v>200</v>
      </c>
    </row>
    <row r="118" spans="10:53" ht="16.2" customHeight="1">
      <c r="J118" s="80" t="s">
        <v>725</v>
      </c>
      <c r="K118" s="80" t="s">
        <v>7100</v>
      </c>
      <c r="L118" t="s">
        <v>182</v>
      </c>
      <c r="M118" t="s">
        <v>553</v>
      </c>
      <c r="N118" t="str">
        <f t="shared" si="25"/>
        <v>SingleDesigner 15 Cord DrawnBetween Level and Normal 2073Triple Face Fix Brackets</v>
      </c>
      <c r="O118">
        <v>47</v>
      </c>
      <c r="P118">
        <v>35</v>
      </c>
      <c r="Q118" s="80">
        <v>0</v>
      </c>
      <c r="R118" s="80">
        <f t="shared" si="26"/>
        <v>-12</v>
      </c>
      <c r="AD118"/>
      <c r="AH118" s="87" t="s">
        <v>485</v>
      </c>
      <c r="AI118" s="87" t="s">
        <v>225</v>
      </c>
      <c r="AJ118" s="11" t="s">
        <v>160</v>
      </c>
      <c r="AK118" s="80" t="str">
        <f t="shared" si="36"/>
        <v>Designer 38 Wavefold Cord DrawnGoldStraight</v>
      </c>
      <c r="AL118" s="80" t="s">
        <v>274</v>
      </c>
      <c r="AM118" s="80" t="s">
        <v>120</v>
      </c>
      <c r="AN118" s="80">
        <v>0</v>
      </c>
      <c r="AO118" s="80" t="s">
        <v>181</v>
      </c>
      <c r="AW118" s="80" t="s">
        <v>241</v>
      </c>
      <c r="AX118" s="80" t="s">
        <v>5903</v>
      </c>
      <c r="AY118" t="str">
        <f t="shared" si="27"/>
        <v>Pencil Pleat for Sheers (Extra Fullness x 2.8)Centre Opening - Free Flowing (Offset Split)</v>
      </c>
      <c r="AZ118" s="80">
        <v>2.8</v>
      </c>
      <c r="BA118" s="80">
        <v>200</v>
      </c>
    </row>
    <row r="119" spans="10:53" ht="16.2" customHeight="1">
      <c r="J119" s="80" t="s">
        <v>746</v>
      </c>
      <c r="K119" s="80" t="s">
        <v>7100</v>
      </c>
      <c r="L119" t="s">
        <v>184</v>
      </c>
      <c r="M119" t="s">
        <v>553</v>
      </c>
      <c r="N119" t="str">
        <f t="shared" si="25"/>
        <v>Double FrontDesigner 15 Cord DrawnDecorator 2071Triple Face Fix Brackets</v>
      </c>
      <c r="O119">
        <v>20</v>
      </c>
      <c r="P119">
        <v>35</v>
      </c>
      <c r="Q119" s="80">
        <v>0</v>
      </c>
      <c r="R119" s="80">
        <f t="shared" si="26"/>
        <v>15</v>
      </c>
      <c r="AD119"/>
      <c r="AH119" s="87" t="s">
        <v>485</v>
      </c>
      <c r="AI119" s="87" t="s">
        <v>191</v>
      </c>
      <c r="AJ119" s="11" t="s">
        <v>11556</v>
      </c>
      <c r="AK119" s="80" t="str">
        <f t="shared" si="36"/>
        <v>Designer 38 Wavefold Cord DrawnWhiteBent</v>
      </c>
      <c r="AL119" s="80" t="s">
        <v>274</v>
      </c>
      <c r="AM119" s="80" t="s">
        <v>120</v>
      </c>
      <c r="AN119" s="80">
        <v>0</v>
      </c>
      <c r="AO119" s="80" t="s">
        <v>181</v>
      </c>
      <c r="AW119" t="s">
        <v>393</v>
      </c>
      <c r="AX119" t="s">
        <v>138</v>
      </c>
      <c r="AY119" t="str">
        <f t="shared" si="27"/>
        <v>Pencil Pleat for Sheers (Less Fullness x 2.2)Centre Opening</v>
      </c>
      <c r="AZ119" s="80">
        <v>2</v>
      </c>
      <c r="BA119" s="80">
        <v>400</v>
      </c>
    </row>
    <row r="120" spans="10:53" ht="16.2" customHeight="1">
      <c r="J120" s="80" t="s">
        <v>747</v>
      </c>
      <c r="K120" s="80" t="s">
        <v>7100</v>
      </c>
      <c r="L120" t="s">
        <v>184</v>
      </c>
      <c r="M120" t="s">
        <v>553</v>
      </c>
      <c r="N120" t="str">
        <f t="shared" si="25"/>
        <v>Double RearDesigner 15 Cord DrawnDecorator 2071Triple Face Fix Brackets</v>
      </c>
      <c r="O120">
        <v>20</v>
      </c>
      <c r="P120">
        <v>35</v>
      </c>
      <c r="Q120" s="80">
        <v>0</v>
      </c>
      <c r="R120" s="80">
        <f t="shared" si="26"/>
        <v>15</v>
      </c>
      <c r="AD120"/>
      <c r="AH120" s="87" t="s">
        <v>485</v>
      </c>
      <c r="AI120" s="87" t="s">
        <v>191</v>
      </c>
      <c r="AJ120" s="11" t="s">
        <v>160</v>
      </c>
      <c r="AK120" s="80" t="str">
        <f t="shared" si="36"/>
        <v>Designer 38 Wavefold Cord DrawnWhiteStraight</v>
      </c>
      <c r="AL120" s="80" t="s">
        <v>274</v>
      </c>
      <c r="AM120" s="80" t="s">
        <v>120</v>
      </c>
      <c r="AN120" s="80">
        <v>0</v>
      </c>
      <c r="AO120" s="80" t="s">
        <v>181</v>
      </c>
      <c r="AW120" t="s">
        <v>393</v>
      </c>
      <c r="AX120" t="s">
        <v>5902</v>
      </c>
      <c r="AY120" t="str">
        <f t="shared" si="27"/>
        <v>Pencil Pleat for Sheers (Less Fullness x 2.2)Centre Opening (Offset Split)</v>
      </c>
      <c r="AZ120" s="80">
        <v>2</v>
      </c>
      <c r="BA120" s="80">
        <v>400</v>
      </c>
    </row>
    <row r="121" spans="10:53" ht="16.2" customHeight="1">
      <c r="J121" s="80" t="s">
        <v>725</v>
      </c>
      <c r="K121" s="80" t="s">
        <v>7100</v>
      </c>
      <c r="L121" t="s">
        <v>184</v>
      </c>
      <c r="M121" t="s">
        <v>553</v>
      </c>
      <c r="N121" t="str">
        <f t="shared" si="25"/>
        <v>SingleDesigner 15 Cord DrawnDecorator 2071Triple Face Fix Brackets</v>
      </c>
      <c r="O121">
        <v>20</v>
      </c>
      <c r="P121">
        <v>35</v>
      </c>
      <c r="Q121" s="80">
        <v>0</v>
      </c>
      <c r="R121" s="80">
        <f t="shared" si="26"/>
        <v>15</v>
      </c>
      <c r="AD121"/>
      <c r="AH121" s="87" t="s">
        <v>486</v>
      </c>
      <c r="AI121" s="87" t="s">
        <v>398</v>
      </c>
      <c r="AJ121" s="11" t="s">
        <v>11556</v>
      </c>
      <c r="AK121" s="80" t="str">
        <f t="shared" si="37" ref="AK121:AK128">CONCATENATE(AH121,AI121,AJ121)</f>
        <v>Designer 38 Wavefold Hand DrawnAntique BrassBent</v>
      </c>
      <c r="AL121" s="80" t="s">
        <v>274</v>
      </c>
      <c r="AM121" s="80" t="s">
        <v>120</v>
      </c>
      <c r="AN121" s="80">
        <v>0</v>
      </c>
      <c r="AO121" s="80" t="s">
        <v>181</v>
      </c>
      <c r="AW121" t="s">
        <v>393</v>
      </c>
      <c r="AX121" t="s">
        <v>141</v>
      </c>
      <c r="AY121" t="str">
        <f t="shared" si="27"/>
        <v>Pencil Pleat for Sheers (Less Fullness x 2.2)Single Panel - Left Stacking</v>
      </c>
      <c r="AZ121" s="80">
        <v>2</v>
      </c>
      <c r="BA121" s="80">
        <v>200</v>
      </c>
    </row>
    <row r="122" spans="10:53" ht="16.2" customHeight="1">
      <c r="J122" s="80" t="s">
        <v>746</v>
      </c>
      <c r="K122" s="80" t="s">
        <v>7100</v>
      </c>
      <c r="L122" t="s">
        <v>6468</v>
      </c>
      <c r="M122" t="s">
        <v>553</v>
      </c>
      <c r="N122" t="str">
        <f t="shared" si="25"/>
        <v>Double FrontDesigner 15 Cord DrawnGather Hook Bottom PocketTriple Face Fix Brackets</v>
      </c>
      <c r="O122">
        <v>60</v>
      </c>
      <c r="P122">
        <v>35</v>
      </c>
      <c r="Q122" s="80">
        <v>0</v>
      </c>
      <c r="R122" s="80">
        <f t="shared" si="26"/>
        <v>-25</v>
      </c>
      <c r="AD122"/>
      <c r="AH122" s="87" t="s">
        <v>486</v>
      </c>
      <c r="AI122" s="87" t="s">
        <v>398</v>
      </c>
      <c r="AJ122" s="11" t="s">
        <v>160</v>
      </c>
      <c r="AK122" s="80" t="str">
        <f t="shared" si="37"/>
        <v>Designer 38 Wavefold Hand DrawnAntique BrassStraight</v>
      </c>
      <c r="AL122" s="80" t="s">
        <v>274</v>
      </c>
      <c r="AM122" s="80" t="s">
        <v>120</v>
      </c>
      <c r="AN122" s="80">
        <v>0</v>
      </c>
      <c r="AO122" s="80" t="s">
        <v>181</v>
      </c>
      <c r="AW122" t="s">
        <v>393</v>
      </c>
      <c r="AX122" t="s">
        <v>142</v>
      </c>
      <c r="AY122" t="str">
        <f t="shared" si="27"/>
        <v>Pencil Pleat for Sheers (Less Fullness x 2.2)Single Panel - Right Stacking</v>
      </c>
      <c r="AZ122" s="80">
        <v>2</v>
      </c>
      <c r="BA122" s="80">
        <v>200</v>
      </c>
    </row>
    <row r="123" spans="10:53" ht="16.2" customHeight="1">
      <c r="J123" s="80" t="s">
        <v>725</v>
      </c>
      <c r="K123" s="80" t="s">
        <v>7100</v>
      </c>
      <c r="L123" t="s">
        <v>6468</v>
      </c>
      <c r="M123" t="s">
        <v>553</v>
      </c>
      <c r="N123" t="str">
        <f t="shared" si="25"/>
        <v>SingleDesigner 15 Cord DrawnGather Hook Bottom PocketTriple Face Fix Brackets</v>
      </c>
      <c r="O123">
        <v>60</v>
      </c>
      <c r="P123">
        <v>35</v>
      </c>
      <c r="Q123" s="80">
        <v>0</v>
      </c>
      <c r="R123" s="80">
        <f t="shared" si="26"/>
        <v>-25</v>
      </c>
      <c r="AD123"/>
      <c r="AH123" s="87" t="s">
        <v>486</v>
      </c>
      <c r="AI123" s="87" t="s">
        <v>193</v>
      </c>
      <c r="AJ123" s="11" t="s">
        <v>11556</v>
      </c>
      <c r="AK123" s="80" t="str">
        <f t="shared" si="37"/>
        <v>Designer 38 Wavefold Hand DrawnBlackBent</v>
      </c>
      <c r="AL123" s="80" t="s">
        <v>274</v>
      </c>
      <c r="AM123" s="80" t="s">
        <v>120</v>
      </c>
      <c r="AN123" s="80">
        <v>0</v>
      </c>
      <c r="AO123" s="80" t="s">
        <v>181</v>
      </c>
      <c r="AW123" t="s">
        <v>393</v>
      </c>
      <c r="AX123" t="s">
        <v>143</v>
      </c>
      <c r="AY123" t="str">
        <f t="shared" si="27"/>
        <v>Pencil Pleat for Sheers (Less Fullness x 2.2)Single Panel - Free Flowing</v>
      </c>
      <c r="AZ123" s="80">
        <v>2</v>
      </c>
      <c r="BA123" s="80">
        <v>200</v>
      </c>
    </row>
    <row r="124" spans="10:53" ht="16.2" customHeight="1">
      <c r="J124" s="80" t="s">
        <v>746</v>
      </c>
      <c r="K124" s="80" t="s">
        <v>7100</v>
      </c>
      <c r="L124" t="s">
        <v>229</v>
      </c>
      <c r="M124" t="s">
        <v>553</v>
      </c>
      <c r="N124" t="str">
        <f t="shared" si="25"/>
        <v>Double FrontDesigner 15 Cord DrawnGather Hook LevelTriple Face Fix Brackets</v>
      </c>
      <c r="O124">
        <v>20</v>
      </c>
      <c r="P124">
        <v>35</v>
      </c>
      <c r="Q124" s="80">
        <v>0</v>
      </c>
      <c r="R124" s="80">
        <f t="shared" si="26"/>
        <v>15</v>
      </c>
      <c r="AD124"/>
      <c r="AH124" s="87" t="s">
        <v>486</v>
      </c>
      <c r="AI124" s="87" t="s">
        <v>193</v>
      </c>
      <c r="AJ124" s="11" t="s">
        <v>160</v>
      </c>
      <c r="AK124" s="80" t="str">
        <f t="shared" si="37"/>
        <v>Designer 38 Wavefold Hand DrawnBlackStraight</v>
      </c>
      <c r="AL124" s="80" t="s">
        <v>274</v>
      </c>
      <c r="AM124" s="80" t="s">
        <v>120</v>
      </c>
      <c r="AN124" s="80">
        <v>0</v>
      </c>
      <c r="AO124" s="80" t="s">
        <v>181</v>
      </c>
      <c r="AW124" t="s">
        <v>393</v>
      </c>
      <c r="AX124" t="s">
        <v>717</v>
      </c>
      <c r="AY124" t="str">
        <f t="shared" si="27"/>
        <v>Pencil Pleat for Sheers (Less Fullness x 2.2)Centre Opening - Free Flowing</v>
      </c>
      <c r="AZ124" s="80">
        <v>2</v>
      </c>
      <c r="BA124" s="80">
        <v>400</v>
      </c>
    </row>
    <row r="125" spans="10:53" ht="16.2" customHeight="1">
      <c r="J125" s="80" t="s">
        <v>747</v>
      </c>
      <c r="K125" s="80" t="s">
        <v>7100</v>
      </c>
      <c r="L125" t="s">
        <v>229</v>
      </c>
      <c r="M125" t="s">
        <v>553</v>
      </c>
      <c r="N125" t="str">
        <f t="shared" si="25"/>
        <v>Double RearDesigner 15 Cord DrawnGather Hook LevelTriple Face Fix Brackets</v>
      </c>
      <c r="O125">
        <v>20</v>
      </c>
      <c r="P125">
        <v>35</v>
      </c>
      <c r="Q125" s="80">
        <v>0</v>
      </c>
      <c r="R125" s="80">
        <f t="shared" si="26"/>
        <v>15</v>
      </c>
      <c r="AD125"/>
      <c r="AH125" s="87" t="s">
        <v>486</v>
      </c>
      <c r="AI125" s="87" t="s">
        <v>225</v>
      </c>
      <c r="AJ125" s="11" t="s">
        <v>11556</v>
      </c>
      <c r="AK125" s="80" t="str">
        <f t="shared" si="37"/>
        <v>Designer 38 Wavefold Hand DrawnGoldBent</v>
      </c>
      <c r="AL125" s="80" t="s">
        <v>274</v>
      </c>
      <c r="AM125" s="80" t="s">
        <v>120</v>
      </c>
      <c r="AN125" s="80">
        <v>0</v>
      </c>
      <c r="AO125" s="80" t="s">
        <v>181</v>
      </c>
      <c r="AW125" t="s">
        <v>393</v>
      </c>
      <c r="AX125" t="s">
        <v>154</v>
      </c>
      <c r="AY125" t="str">
        <f t="shared" si="27"/>
        <v>Pencil Pleat for Sheers (Less Fullness x 2.2)No Movement</v>
      </c>
      <c r="AZ125" s="80">
        <v>2</v>
      </c>
      <c r="BA125" s="80">
        <v>200</v>
      </c>
    </row>
    <row r="126" spans="10:53" ht="16.2" customHeight="1">
      <c r="J126" s="80" t="s">
        <v>725</v>
      </c>
      <c r="K126" s="80" t="s">
        <v>7100</v>
      </c>
      <c r="L126" t="s">
        <v>229</v>
      </c>
      <c r="M126" t="s">
        <v>553</v>
      </c>
      <c r="N126" t="str">
        <f t="shared" si="25"/>
        <v>SingleDesigner 15 Cord DrawnGather Hook LevelTriple Face Fix Brackets</v>
      </c>
      <c r="O126">
        <v>20</v>
      </c>
      <c r="P126">
        <v>35</v>
      </c>
      <c r="Q126" s="80">
        <v>0</v>
      </c>
      <c r="R126" s="80">
        <f t="shared" si="26"/>
        <v>15</v>
      </c>
      <c r="AD126"/>
      <c r="AH126" s="87" t="s">
        <v>486</v>
      </c>
      <c r="AI126" s="87" t="s">
        <v>225</v>
      </c>
      <c r="AJ126" s="11" t="s">
        <v>160</v>
      </c>
      <c r="AK126" s="80" t="str">
        <f t="shared" si="37"/>
        <v>Designer 38 Wavefold Hand DrawnGoldStraight</v>
      </c>
      <c r="AL126" s="80" t="s">
        <v>274</v>
      </c>
      <c r="AM126" s="80" t="s">
        <v>120</v>
      </c>
      <c r="AN126" s="80">
        <v>0</v>
      </c>
      <c r="AO126" s="80" t="s">
        <v>181</v>
      </c>
      <c r="AW126" s="80" t="s">
        <v>393</v>
      </c>
      <c r="AX126" s="80" t="s">
        <v>5903</v>
      </c>
      <c r="AY126" t="str">
        <f t="shared" si="27"/>
        <v>Pencil Pleat for Sheers (Less Fullness x 2.2)Centre Opening - Free Flowing (Offset Split)</v>
      </c>
      <c r="AZ126" s="80">
        <v>2</v>
      </c>
      <c r="BA126" s="80">
        <v>200</v>
      </c>
    </row>
    <row r="127" spans="10:53" ht="16.2" customHeight="1">
      <c r="J127" s="80" t="s">
        <v>746</v>
      </c>
      <c r="K127" s="80" t="s">
        <v>7100</v>
      </c>
      <c r="L127" t="s">
        <v>228</v>
      </c>
      <c r="M127" t="s">
        <v>553</v>
      </c>
      <c r="N127" t="str">
        <f t="shared" si="25"/>
        <v>Double FrontDesigner 15 Cord DrawnGather Hook NormalTriple Face Fix Brackets</v>
      </c>
      <c r="O127">
        <v>43</v>
      </c>
      <c r="P127">
        <v>35</v>
      </c>
      <c r="Q127" s="80">
        <v>0</v>
      </c>
      <c r="R127" s="80">
        <f t="shared" si="26"/>
        <v>-8</v>
      </c>
      <c r="AD127"/>
      <c r="AH127" s="87" t="s">
        <v>486</v>
      </c>
      <c r="AI127" s="87" t="s">
        <v>191</v>
      </c>
      <c r="AJ127" s="11" t="s">
        <v>11556</v>
      </c>
      <c r="AK127" s="80" t="str">
        <f t="shared" si="37"/>
        <v>Designer 38 Wavefold Hand DrawnWhiteBent</v>
      </c>
      <c r="AL127" s="80" t="s">
        <v>274</v>
      </c>
      <c r="AM127" s="80" t="s">
        <v>120</v>
      </c>
      <c r="AN127" s="80">
        <v>0</v>
      </c>
      <c r="AO127" s="80" t="s">
        <v>181</v>
      </c>
      <c r="AW127" t="s">
        <v>240</v>
      </c>
      <c r="AX127" t="s">
        <v>138</v>
      </c>
      <c r="AY127" t="str">
        <f t="shared" si="27"/>
        <v>Pencil Pleat for Sheers (Standard Fullness x 2.5)Centre Opening</v>
      </c>
      <c r="AZ127" s="80">
        <v>2.5</v>
      </c>
      <c r="BA127" s="80">
        <v>400</v>
      </c>
    </row>
    <row r="128" spans="10:53" ht="16.2" customHeight="1">
      <c r="J128" s="80" t="s">
        <v>747</v>
      </c>
      <c r="K128" s="80" t="s">
        <v>7100</v>
      </c>
      <c r="L128" t="s">
        <v>228</v>
      </c>
      <c r="M128" t="s">
        <v>553</v>
      </c>
      <c r="N128" t="str">
        <f t="shared" si="25"/>
        <v>Double RearDesigner 15 Cord DrawnGather Hook NormalTriple Face Fix Brackets</v>
      </c>
      <c r="O128">
        <v>43</v>
      </c>
      <c r="P128">
        <v>35</v>
      </c>
      <c r="Q128" s="80">
        <v>0</v>
      </c>
      <c r="R128" s="80">
        <f t="shared" si="26"/>
        <v>-8</v>
      </c>
      <c r="AD128"/>
      <c r="AH128" s="87" t="s">
        <v>486</v>
      </c>
      <c r="AI128" s="87" t="s">
        <v>191</v>
      </c>
      <c r="AJ128" s="11" t="s">
        <v>160</v>
      </c>
      <c r="AK128" s="80" t="str">
        <f t="shared" si="37"/>
        <v>Designer 38 Wavefold Hand DrawnWhiteStraight</v>
      </c>
      <c r="AL128" s="80" t="s">
        <v>274</v>
      </c>
      <c r="AM128" s="80" t="s">
        <v>120</v>
      </c>
      <c r="AN128" s="80">
        <v>0</v>
      </c>
      <c r="AO128" s="80" t="s">
        <v>181</v>
      </c>
      <c r="AW128" t="s">
        <v>240</v>
      </c>
      <c r="AX128" t="s">
        <v>5902</v>
      </c>
      <c r="AY128" t="str">
        <f t="shared" si="27"/>
        <v>Pencil Pleat for Sheers (Standard Fullness x 2.5)Centre Opening (Offset Split)</v>
      </c>
      <c r="AZ128" s="80">
        <v>2.5</v>
      </c>
      <c r="BA128" s="80">
        <v>400</v>
      </c>
    </row>
    <row r="129" spans="10:53" ht="16.2" customHeight="1">
      <c r="J129" s="80" t="s">
        <v>725</v>
      </c>
      <c r="K129" s="80" t="s">
        <v>7100</v>
      </c>
      <c r="L129" t="s">
        <v>228</v>
      </c>
      <c r="M129" t="s">
        <v>553</v>
      </c>
      <c r="N129" t="str">
        <f t="shared" si="25"/>
        <v>SingleDesigner 15 Cord DrawnGather Hook NormalTriple Face Fix Brackets</v>
      </c>
      <c r="O129">
        <v>43</v>
      </c>
      <c r="P129">
        <v>35</v>
      </c>
      <c r="Q129" s="80">
        <v>0</v>
      </c>
      <c r="R129" s="80">
        <f t="shared" si="26"/>
        <v>-8</v>
      </c>
      <c r="AD129"/>
      <c r="AH129" s="86" t="s">
        <v>607</v>
      </c>
      <c r="AJ129" s="11" t="s">
        <v>160</v>
      </c>
      <c r="AK129" s="80" t="str">
        <f t="shared" si="38" ref="AK129:AK137">CONCATENATE(AH129,AI129,AJ129)</f>
        <v>Existing Conduit or WireStraight</v>
      </c>
      <c r="AL129" s="80" t="s">
        <v>464</v>
      </c>
      <c r="AM129" s="80" t="s">
        <v>120</v>
      </c>
      <c r="AN129" s="80">
        <v>0</v>
      </c>
      <c r="AO129" s="80" t="s">
        <v>120</v>
      </c>
      <c r="AW129" t="s">
        <v>240</v>
      </c>
      <c r="AX129" t="s">
        <v>141</v>
      </c>
      <c r="AY129" t="str">
        <f t="shared" si="27"/>
        <v>Pencil Pleat for Sheers (Standard Fullness x 2.5)Single Panel - Left Stacking</v>
      </c>
      <c r="AZ129" s="80">
        <v>2.5</v>
      </c>
      <c r="BA129" s="80">
        <v>200</v>
      </c>
    </row>
    <row r="130" spans="10:53" ht="16.2" customHeight="1">
      <c r="J130" s="80" t="s">
        <v>746</v>
      </c>
      <c r="K130" s="80" t="s">
        <v>7100</v>
      </c>
      <c r="L130" t="s">
        <v>282</v>
      </c>
      <c r="M130" t="s">
        <v>553</v>
      </c>
      <c r="N130" t="str">
        <f t="shared" si="39" ref="N130:N193">(CONCATENATE(J130,K130,L130,M130))</f>
        <v>Double FrontDesigner 15 Cord DrawnLevel 2072Triple Face Fix Brackets</v>
      </c>
      <c r="O130">
        <v>38</v>
      </c>
      <c r="P130">
        <v>35</v>
      </c>
      <c r="Q130" s="80">
        <v>0</v>
      </c>
      <c r="R130" s="80">
        <f t="shared" si="40" ref="R130:R193">SUM(P130)-O130</f>
        <v>-3</v>
      </c>
      <c r="AD130"/>
      <c r="AH130" s="17" t="s">
        <v>613</v>
      </c>
      <c r="AJ130" s="11" t="s">
        <v>11556</v>
      </c>
      <c r="AK130" s="80" t="str">
        <f t="shared" si="38"/>
        <v>Existing Decorator TrackBent</v>
      </c>
      <c r="AL130" s="80" t="s">
        <v>464</v>
      </c>
      <c r="AM130" s="80" t="s">
        <v>181</v>
      </c>
      <c r="AN130" s="80">
        <v>200</v>
      </c>
      <c r="AO130" s="80" t="s">
        <v>120</v>
      </c>
      <c r="AW130" t="s">
        <v>240</v>
      </c>
      <c r="AX130" t="s">
        <v>142</v>
      </c>
      <c r="AY130" t="str">
        <f t="shared" si="41" ref="AY130:AY193">CONCATENATE(AW130,AX130)</f>
        <v>Pencil Pleat for Sheers (Standard Fullness x 2.5)Single Panel - Right Stacking</v>
      </c>
      <c r="AZ130" s="80">
        <v>2.5</v>
      </c>
      <c r="BA130" s="80">
        <v>200</v>
      </c>
    </row>
    <row r="131" spans="10:53" ht="16.2" customHeight="1">
      <c r="J131" s="80" t="s">
        <v>747</v>
      </c>
      <c r="K131" s="80" t="s">
        <v>7100</v>
      </c>
      <c r="L131" t="s">
        <v>282</v>
      </c>
      <c r="M131" t="s">
        <v>553</v>
      </c>
      <c r="N131" t="str">
        <f t="shared" si="39"/>
        <v>Double RearDesigner 15 Cord DrawnLevel 2072Triple Face Fix Brackets</v>
      </c>
      <c r="O131">
        <v>38</v>
      </c>
      <c r="P131">
        <v>35</v>
      </c>
      <c r="Q131" s="80">
        <v>0</v>
      </c>
      <c r="R131" s="80">
        <f t="shared" si="40"/>
        <v>-3</v>
      </c>
      <c r="AD131"/>
      <c r="AH131" s="17" t="s">
        <v>613</v>
      </c>
      <c r="AJ131" s="11" t="s">
        <v>160</v>
      </c>
      <c r="AK131" s="80" t="str">
        <f t="shared" si="38"/>
        <v>Existing Decorator TrackStraight</v>
      </c>
      <c r="AL131" s="80" t="s">
        <v>464</v>
      </c>
      <c r="AM131" s="80" t="s">
        <v>181</v>
      </c>
      <c r="AN131" s="80">
        <v>200</v>
      </c>
      <c r="AO131" s="80" t="s">
        <v>120</v>
      </c>
      <c r="AW131" t="s">
        <v>240</v>
      </c>
      <c r="AX131" t="s">
        <v>143</v>
      </c>
      <c r="AY131" t="str">
        <f t="shared" si="41"/>
        <v>Pencil Pleat for Sheers (Standard Fullness x 2.5)Single Panel - Free Flowing</v>
      </c>
      <c r="AZ131" s="80">
        <v>2.5</v>
      </c>
      <c r="BA131" s="80">
        <v>200</v>
      </c>
    </row>
    <row r="132" spans="10:53" ht="16.2" customHeight="1">
      <c r="J132" s="80" t="s">
        <v>725</v>
      </c>
      <c r="K132" s="80" t="s">
        <v>7100</v>
      </c>
      <c r="L132" t="s">
        <v>282</v>
      </c>
      <c r="M132" t="s">
        <v>553</v>
      </c>
      <c r="N132" t="str">
        <f t="shared" si="39"/>
        <v>SingleDesigner 15 Cord DrawnLevel 2072Triple Face Fix Brackets</v>
      </c>
      <c r="O132">
        <v>35</v>
      </c>
      <c r="P132">
        <v>35</v>
      </c>
      <c r="Q132" s="80">
        <v>0</v>
      </c>
      <c r="R132" s="80">
        <f t="shared" si="40"/>
        <v>0</v>
      </c>
      <c r="AD132"/>
      <c r="AH132" s="87" t="s">
        <v>7796</v>
      </c>
      <c r="AI132" s="87"/>
      <c r="AJ132" s="11" t="s">
        <v>160</v>
      </c>
      <c r="AK132" s="80" t="str">
        <f t="shared" si="38"/>
        <v>Existing Designer 15 TrackStraight</v>
      </c>
      <c r="AL132" s="80" t="s">
        <v>464</v>
      </c>
      <c r="AM132" s="80" t="s">
        <v>120</v>
      </c>
      <c r="AN132" s="80">
        <v>0</v>
      </c>
      <c r="AO132" s="80" t="s">
        <v>120</v>
      </c>
      <c r="AW132" t="s">
        <v>240</v>
      </c>
      <c r="AX132" t="s">
        <v>717</v>
      </c>
      <c r="AY132" t="str">
        <f t="shared" si="41"/>
        <v>Pencil Pleat for Sheers (Standard Fullness x 2.5)Centre Opening - Free Flowing</v>
      </c>
      <c r="AZ132" s="80">
        <v>2.5</v>
      </c>
      <c r="BA132" s="80">
        <v>400</v>
      </c>
    </row>
    <row r="133" spans="10:53" ht="16.2" customHeight="1">
      <c r="J133" s="80" t="s">
        <v>746</v>
      </c>
      <c r="K133" s="80" t="s">
        <v>7100</v>
      </c>
      <c r="L133" t="s">
        <v>170</v>
      </c>
      <c r="M133" t="s">
        <v>553</v>
      </c>
      <c r="N133" t="str">
        <f t="shared" si="39"/>
        <v>Double FrontDesigner 15 Cord DrawnNormal 2074Triple Face Fix Brackets</v>
      </c>
      <c r="O133">
        <v>60</v>
      </c>
      <c r="P133">
        <v>35</v>
      </c>
      <c r="Q133" s="80">
        <v>0</v>
      </c>
      <c r="R133" s="80">
        <f t="shared" si="40"/>
        <v>-25</v>
      </c>
      <c r="AD133"/>
      <c r="AH133" s="87" t="s">
        <v>7797</v>
      </c>
      <c r="AI133" s="87"/>
      <c r="AJ133" s="11" t="s">
        <v>160</v>
      </c>
      <c r="AK133" s="80" t="str">
        <f t="shared" si="38"/>
        <v>Existing Designer 15 Wavefold TrackStraight</v>
      </c>
      <c r="AL133" s="80" t="s">
        <v>464</v>
      </c>
      <c r="AM133" s="80" t="s">
        <v>120</v>
      </c>
      <c r="AN133" s="80">
        <v>0</v>
      </c>
      <c r="AO133" s="80" t="s">
        <v>181</v>
      </c>
      <c r="AW133" t="s">
        <v>240</v>
      </c>
      <c r="AX133" t="s">
        <v>154</v>
      </c>
      <c r="AY133" t="str">
        <f t="shared" si="41"/>
        <v>Pencil Pleat for Sheers (Standard Fullness x 2.5)No Movement</v>
      </c>
      <c r="AZ133" s="80">
        <v>2.5</v>
      </c>
      <c r="BA133" s="80">
        <v>200</v>
      </c>
    </row>
    <row r="134" spans="10:53" ht="16.2" customHeight="1">
      <c r="J134" s="80" t="s">
        <v>747</v>
      </c>
      <c r="K134" s="80" t="s">
        <v>7100</v>
      </c>
      <c r="L134" t="s">
        <v>170</v>
      </c>
      <c r="M134" t="s">
        <v>553</v>
      </c>
      <c r="N134" t="str">
        <f t="shared" si="39"/>
        <v>Double RearDesigner 15 Cord DrawnNormal 2074Triple Face Fix Brackets</v>
      </c>
      <c r="O134">
        <v>60</v>
      </c>
      <c r="P134">
        <v>35</v>
      </c>
      <c r="Q134" s="80">
        <v>0</v>
      </c>
      <c r="R134" s="80">
        <f t="shared" si="40"/>
        <v>-25</v>
      </c>
      <c r="AD134"/>
      <c r="AH134" s="17" t="s">
        <v>5879</v>
      </c>
      <c r="AJ134" s="11" t="s">
        <v>11556</v>
      </c>
      <c r="AK134" s="80" t="str">
        <f t="shared" si="38"/>
        <v>Existing Designer 25 TrackBent</v>
      </c>
      <c r="AL134" s="80" t="s">
        <v>464</v>
      </c>
      <c r="AM134" s="80" t="s">
        <v>181</v>
      </c>
      <c r="AN134" s="80">
        <v>200</v>
      </c>
      <c r="AO134" s="80" t="s">
        <v>120</v>
      </c>
      <c r="AW134" s="80" t="s">
        <v>240</v>
      </c>
      <c r="AX134" s="80" t="s">
        <v>5903</v>
      </c>
      <c r="AY134" t="str">
        <f t="shared" si="41"/>
        <v>Pencil Pleat for Sheers (Standard Fullness x 2.5)Centre Opening - Free Flowing (Offset Split)</v>
      </c>
      <c r="AZ134" s="80">
        <v>2.5</v>
      </c>
      <c r="BA134" s="80">
        <v>200</v>
      </c>
    </row>
    <row r="135" spans="10:53" ht="16.2" customHeight="1">
      <c r="J135" s="80" t="s">
        <v>725</v>
      </c>
      <c r="K135" s="80" t="s">
        <v>7100</v>
      </c>
      <c r="L135" t="s">
        <v>170</v>
      </c>
      <c r="M135" t="s">
        <v>553</v>
      </c>
      <c r="N135" t="str">
        <f t="shared" si="39"/>
        <v>SingleDesigner 15 Cord DrawnNormal 2074Triple Face Fix Brackets</v>
      </c>
      <c r="O135">
        <v>60</v>
      </c>
      <c r="P135">
        <v>35</v>
      </c>
      <c r="Q135" s="80">
        <v>0</v>
      </c>
      <c r="R135" s="80">
        <f t="shared" si="40"/>
        <v>-25</v>
      </c>
      <c r="AD135"/>
      <c r="AH135" s="87" t="s">
        <v>5879</v>
      </c>
      <c r="AI135" s="87"/>
      <c r="AJ135" s="11" t="s">
        <v>160</v>
      </c>
      <c r="AK135" s="80" t="str">
        <f t="shared" si="38"/>
        <v>Existing Designer 25 TrackStraight</v>
      </c>
      <c r="AL135" s="80" t="s">
        <v>464</v>
      </c>
      <c r="AM135" s="80" t="s">
        <v>181</v>
      </c>
      <c r="AN135" s="80">
        <v>200</v>
      </c>
      <c r="AO135" s="80" t="s">
        <v>120</v>
      </c>
      <c r="AW135" t="s">
        <v>246</v>
      </c>
      <c r="AX135" t="s">
        <v>138</v>
      </c>
      <c r="AY135" t="str">
        <f t="shared" si="41"/>
        <v>Reverse Pleat (Extra Fullness x 2.3)Centre Opening</v>
      </c>
      <c r="AZ135" s="80">
        <v>2.3</v>
      </c>
      <c r="BA135" s="80">
        <v>400</v>
      </c>
    </row>
    <row r="136" spans="10:53" ht="16.2" customHeight="1">
      <c r="J136" s="80" t="s">
        <v>746</v>
      </c>
      <c r="K136" s="80" t="s">
        <v>7101</v>
      </c>
      <c r="L136" t="s">
        <v>183</v>
      </c>
      <c r="M136" t="s">
        <v>162</v>
      </c>
      <c r="N136" t="str">
        <f t="shared" si="39"/>
        <v>Double FrontDesigner 15 Hand DrawnBelow Normal 2075Double Face Fix Brackets</v>
      </c>
      <c r="O136">
        <v>70</v>
      </c>
      <c r="P136">
        <v>35</v>
      </c>
      <c r="Q136" s="80">
        <v>0</v>
      </c>
      <c r="R136" s="80">
        <f t="shared" si="40"/>
        <v>-35</v>
      </c>
      <c r="AD136"/>
      <c r="AH136" s="87" t="s">
        <v>7798</v>
      </c>
      <c r="AJ136" s="11" t="s">
        <v>11556</v>
      </c>
      <c r="AK136" s="80" t="str">
        <f t="shared" si="38"/>
        <v>Existing Designer 25 Wavefold TrackBent</v>
      </c>
      <c r="AL136" s="80" t="s">
        <v>464</v>
      </c>
      <c r="AM136" s="80" t="s">
        <v>120</v>
      </c>
      <c r="AN136" s="80">
        <v>200</v>
      </c>
      <c r="AO136" s="80" t="s">
        <v>181</v>
      </c>
      <c r="AW136" t="s">
        <v>246</v>
      </c>
      <c r="AX136" t="s">
        <v>5902</v>
      </c>
      <c r="AY136" t="str">
        <f t="shared" si="41"/>
        <v>Reverse Pleat (Extra Fullness x 2.3)Centre Opening (Offset Split)</v>
      </c>
      <c r="AZ136" s="80">
        <v>2.3</v>
      </c>
      <c r="BA136" s="80">
        <v>400</v>
      </c>
    </row>
    <row r="137" spans="10:53" ht="16.2" customHeight="1">
      <c r="J137" s="80" t="s">
        <v>747</v>
      </c>
      <c r="K137" s="80" t="s">
        <v>7101</v>
      </c>
      <c r="L137" t="s">
        <v>183</v>
      </c>
      <c r="M137" t="s">
        <v>162</v>
      </c>
      <c r="N137" t="str">
        <f t="shared" si="39"/>
        <v>Double RearDesigner 15 Hand DrawnBelow Normal 2075Double Face Fix Brackets</v>
      </c>
      <c r="O137">
        <v>70</v>
      </c>
      <c r="P137">
        <v>35</v>
      </c>
      <c r="Q137" s="80">
        <v>0</v>
      </c>
      <c r="R137" s="80">
        <f t="shared" si="40"/>
        <v>-35</v>
      </c>
      <c r="AD137"/>
      <c r="AH137" s="87" t="s">
        <v>7798</v>
      </c>
      <c r="AI137" s="87"/>
      <c r="AJ137" s="11" t="s">
        <v>160</v>
      </c>
      <c r="AK137" s="80" t="str">
        <f t="shared" si="38"/>
        <v>Existing Designer 25 Wavefold TrackStraight</v>
      </c>
      <c r="AL137" s="80" t="s">
        <v>464</v>
      </c>
      <c r="AM137" s="80" t="s">
        <v>120</v>
      </c>
      <c r="AN137" s="80">
        <v>0</v>
      </c>
      <c r="AO137" s="80" t="s">
        <v>181</v>
      </c>
      <c r="AW137" t="s">
        <v>246</v>
      </c>
      <c r="AX137" t="s">
        <v>141</v>
      </c>
      <c r="AY137" t="str">
        <f t="shared" si="41"/>
        <v>Reverse Pleat (Extra Fullness x 2.3)Single Panel - Left Stacking</v>
      </c>
      <c r="AZ137" s="80">
        <v>2.3</v>
      </c>
      <c r="BA137" s="80">
        <v>200</v>
      </c>
    </row>
    <row r="138" spans="10:53" ht="16.2" customHeight="1">
      <c r="J138" s="80" t="s">
        <v>725</v>
      </c>
      <c r="K138" s="80" t="s">
        <v>7101</v>
      </c>
      <c r="L138" t="s">
        <v>183</v>
      </c>
      <c r="M138" t="s">
        <v>162</v>
      </c>
      <c r="N138" t="str">
        <f t="shared" si="39"/>
        <v>SingleDesigner 15 Hand DrawnBelow Normal 2075Double Face Fix Brackets</v>
      </c>
      <c r="O138">
        <v>70</v>
      </c>
      <c r="P138">
        <v>35</v>
      </c>
      <c r="Q138" s="80">
        <v>0</v>
      </c>
      <c r="R138" s="80">
        <f t="shared" si="40"/>
        <v>-35</v>
      </c>
      <c r="AD138"/>
      <c r="AH138" s="86" t="s">
        <v>606</v>
      </c>
      <c r="AJ138" s="11" t="s">
        <v>160</v>
      </c>
      <c r="AK138" s="80" t="str">
        <f t="shared" si="42" ref="AK138:AK144">CONCATENATE(AH138,AI138,AJ138)</f>
        <v>Existing Eyelot RodStraight</v>
      </c>
      <c r="AL138" s="80" t="s">
        <v>464</v>
      </c>
      <c r="AM138" s="80" t="s">
        <v>120</v>
      </c>
      <c r="AN138" s="80">
        <v>0</v>
      </c>
      <c r="AO138" s="80" t="s">
        <v>120</v>
      </c>
      <c r="AW138" t="s">
        <v>246</v>
      </c>
      <c r="AX138" t="s">
        <v>142</v>
      </c>
      <c r="AY138" t="str">
        <f t="shared" si="41"/>
        <v>Reverse Pleat (Extra Fullness x 2.3)Single Panel - Right Stacking</v>
      </c>
      <c r="AZ138" s="80">
        <v>2.3</v>
      </c>
      <c r="BA138" s="80">
        <v>200</v>
      </c>
    </row>
    <row r="139" spans="10:53" ht="16.2" customHeight="1">
      <c r="J139" s="80" t="s">
        <v>746</v>
      </c>
      <c r="K139" s="80" t="s">
        <v>7101</v>
      </c>
      <c r="L139" t="s">
        <v>182</v>
      </c>
      <c r="M139" t="s">
        <v>162</v>
      </c>
      <c r="N139" t="str">
        <f t="shared" si="39"/>
        <v>Double FrontDesigner 15 Hand DrawnBetween Level and Normal 2073Double Face Fix Brackets</v>
      </c>
      <c r="O139">
        <v>48</v>
      </c>
      <c r="P139">
        <v>35</v>
      </c>
      <c r="Q139" s="80">
        <v>0</v>
      </c>
      <c r="R139" s="80">
        <f t="shared" si="40"/>
        <v>-13</v>
      </c>
      <c r="AD139"/>
      <c r="AH139" s="86" t="s">
        <v>608</v>
      </c>
      <c r="AJ139" s="11" t="s">
        <v>11556</v>
      </c>
      <c r="AK139" s="80" t="str">
        <f t="shared" si="42"/>
        <v>Existing Hospital TrackBent</v>
      </c>
      <c r="AL139" s="80" t="s">
        <v>464</v>
      </c>
      <c r="AM139" s="80" t="s">
        <v>120</v>
      </c>
      <c r="AN139" s="80">
        <v>0</v>
      </c>
      <c r="AO139" s="80" t="s">
        <v>120</v>
      </c>
      <c r="AW139" t="s">
        <v>246</v>
      </c>
      <c r="AX139" t="s">
        <v>143</v>
      </c>
      <c r="AY139" t="str">
        <f t="shared" si="41"/>
        <v>Reverse Pleat (Extra Fullness x 2.3)Single Panel - Free Flowing</v>
      </c>
      <c r="AZ139" s="80">
        <v>2.3</v>
      </c>
      <c r="BA139" s="80">
        <v>200</v>
      </c>
    </row>
    <row r="140" spans="10:53" ht="16.2" customHeight="1">
      <c r="J140" s="80" t="s">
        <v>747</v>
      </c>
      <c r="K140" s="80" t="s">
        <v>7101</v>
      </c>
      <c r="L140" t="s">
        <v>182</v>
      </c>
      <c r="M140" t="s">
        <v>162</v>
      </c>
      <c r="N140" t="str">
        <f t="shared" si="39"/>
        <v>Double RearDesigner 15 Hand DrawnBetween Level and Normal 2073Double Face Fix Brackets</v>
      </c>
      <c r="O140">
        <v>48</v>
      </c>
      <c r="P140">
        <v>35</v>
      </c>
      <c r="Q140" s="80">
        <v>0</v>
      </c>
      <c r="R140" s="80">
        <f t="shared" si="40"/>
        <v>-13</v>
      </c>
      <c r="AD140"/>
      <c r="AH140" s="86" t="s">
        <v>608</v>
      </c>
      <c r="AJ140" s="11" t="s">
        <v>160</v>
      </c>
      <c r="AK140" s="80" t="str">
        <f t="shared" si="42"/>
        <v>Existing Hospital TrackStraight</v>
      </c>
      <c r="AL140" s="80" t="s">
        <v>464</v>
      </c>
      <c r="AM140" s="80" t="s">
        <v>120</v>
      </c>
      <c r="AN140" s="80">
        <v>0</v>
      </c>
      <c r="AO140" s="80" t="s">
        <v>120</v>
      </c>
      <c r="AW140" t="s">
        <v>246</v>
      </c>
      <c r="AX140" t="s">
        <v>717</v>
      </c>
      <c r="AY140" t="str">
        <f t="shared" si="41"/>
        <v>Reverse Pleat (Extra Fullness x 2.3)Centre Opening - Free Flowing</v>
      </c>
      <c r="AZ140" s="80">
        <v>2.3</v>
      </c>
      <c r="BA140" s="80">
        <v>400</v>
      </c>
    </row>
    <row r="141" spans="10:53" ht="16.2" customHeight="1">
      <c r="J141" s="80" t="s">
        <v>725</v>
      </c>
      <c r="K141" s="80" t="s">
        <v>7101</v>
      </c>
      <c r="L141" t="s">
        <v>182</v>
      </c>
      <c r="M141" t="s">
        <v>162</v>
      </c>
      <c r="N141" t="str">
        <f t="shared" si="39"/>
        <v>SingleDesigner 15 Hand DrawnBetween Level and Normal 2073Double Face Fix Brackets</v>
      </c>
      <c r="O141">
        <v>47</v>
      </c>
      <c r="P141">
        <v>35</v>
      </c>
      <c r="Q141" s="80">
        <v>0</v>
      </c>
      <c r="R141" s="80">
        <f t="shared" si="40"/>
        <v>-12</v>
      </c>
      <c r="AD141"/>
      <c r="AH141" s="86" t="s">
        <v>7201</v>
      </c>
      <c r="AJ141" s="11" t="s">
        <v>11556</v>
      </c>
      <c r="AK141" s="80" t="str">
        <f t="shared" si="42"/>
        <v>Existing Motorised S-Fold TrackBent</v>
      </c>
      <c r="AL141" s="80" t="s">
        <v>464</v>
      </c>
      <c r="AM141" s="80" t="s">
        <v>120</v>
      </c>
      <c r="AN141" s="80">
        <v>0</v>
      </c>
      <c r="AO141" s="80" t="s">
        <v>181</v>
      </c>
      <c r="AW141" t="s">
        <v>246</v>
      </c>
      <c r="AX141" t="s">
        <v>154</v>
      </c>
      <c r="AY141" t="str">
        <f t="shared" si="41"/>
        <v>Reverse Pleat (Extra Fullness x 2.3)No Movement</v>
      </c>
      <c r="AZ141" s="80">
        <v>2.3</v>
      </c>
      <c r="BA141" s="80">
        <v>200</v>
      </c>
    </row>
    <row r="142" spans="10:53" ht="16.2" customHeight="1">
      <c r="J142" s="80" t="s">
        <v>746</v>
      </c>
      <c r="K142" s="80" t="s">
        <v>7101</v>
      </c>
      <c r="L142" t="s">
        <v>184</v>
      </c>
      <c r="M142" t="s">
        <v>162</v>
      </c>
      <c r="N142" t="str">
        <f t="shared" si="39"/>
        <v>Double FrontDesigner 15 Hand DrawnDecorator 2071Double Face Fix Brackets</v>
      </c>
      <c r="O142">
        <v>20</v>
      </c>
      <c r="P142">
        <v>35</v>
      </c>
      <c r="Q142" s="80">
        <v>0</v>
      </c>
      <c r="R142" s="80">
        <f t="shared" si="40"/>
        <v>15</v>
      </c>
      <c r="AD142"/>
      <c r="AH142" s="86" t="s">
        <v>7201</v>
      </c>
      <c r="AJ142" s="11" t="s">
        <v>160</v>
      </c>
      <c r="AK142" s="80" t="str">
        <f t="shared" si="42"/>
        <v>Existing Motorised S-Fold TrackStraight</v>
      </c>
      <c r="AL142" s="80" t="s">
        <v>464</v>
      </c>
      <c r="AM142" s="80" t="s">
        <v>120</v>
      </c>
      <c r="AN142" s="80">
        <v>0</v>
      </c>
      <c r="AO142" s="80" t="s">
        <v>181</v>
      </c>
      <c r="AW142" s="80" t="s">
        <v>246</v>
      </c>
      <c r="AX142" s="80" t="s">
        <v>5903</v>
      </c>
      <c r="AY142" t="str">
        <f t="shared" si="41"/>
        <v>Reverse Pleat (Extra Fullness x 2.3)Centre Opening - Free Flowing (Offset Split)</v>
      </c>
      <c r="AZ142" s="80">
        <v>2.3</v>
      </c>
      <c r="BA142" s="80">
        <v>200</v>
      </c>
    </row>
    <row r="143" spans="10:53" ht="16.2" customHeight="1">
      <c r="J143" s="80" t="s">
        <v>747</v>
      </c>
      <c r="K143" s="80" t="s">
        <v>7101</v>
      </c>
      <c r="L143" t="s">
        <v>184</v>
      </c>
      <c r="M143" t="s">
        <v>162</v>
      </c>
      <c r="N143" t="str">
        <f t="shared" si="39"/>
        <v>Double RearDesigner 15 Hand DrawnDecorator 2071Double Face Fix Brackets</v>
      </c>
      <c r="O143">
        <v>20</v>
      </c>
      <c r="P143">
        <v>35</v>
      </c>
      <c r="Q143" s="80">
        <v>0</v>
      </c>
      <c r="R143" s="80">
        <f t="shared" si="40"/>
        <v>15</v>
      </c>
      <c r="AD143"/>
      <c r="AH143" s="86" t="s">
        <v>7202</v>
      </c>
      <c r="AJ143" s="11" t="s">
        <v>11556</v>
      </c>
      <c r="AK143" s="80" t="str">
        <f t="shared" si="42"/>
        <v>Existing Motorised TrackBent</v>
      </c>
      <c r="AL143" s="80" t="s">
        <v>464</v>
      </c>
      <c r="AM143" s="80" t="s">
        <v>181</v>
      </c>
      <c r="AN143" s="80">
        <v>200</v>
      </c>
      <c r="AO143" s="80" t="s">
        <v>120</v>
      </c>
      <c r="AW143" t="s">
        <v>247</v>
      </c>
      <c r="AX143" t="s">
        <v>138</v>
      </c>
      <c r="AY143" t="str">
        <f t="shared" si="41"/>
        <v>Reverse Pleat (Less Fullness x 2)Centre Opening</v>
      </c>
      <c r="AZ143" s="80">
        <v>2</v>
      </c>
      <c r="BA143" s="80">
        <v>400</v>
      </c>
    </row>
    <row r="144" spans="10:53" ht="16.2" customHeight="1">
      <c r="J144" s="80" t="s">
        <v>725</v>
      </c>
      <c r="K144" s="80" t="s">
        <v>7101</v>
      </c>
      <c r="L144" t="s">
        <v>184</v>
      </c>
      <c r="M144" t="s">
        <v>162</v>
      </c>
      <c r="N144" t="str">
        <f t="shared" si="39"/>
        <v>SingleDesigner 15 Hand DrawnDecorator 2071Double Face Fix Brackets</v>
      </c>
      <c r="O144">
        <v>20</v>
      </c>
      <c r="P144">
        <v>35</v>
      </c>
      <c r="Q144" s="80">
        <v>0</v>
      </c>
      <c r="R144" s="80">
        <f t="shared" si="40"/>
        <v>15</v>
      </c>
      <c r="AD144"/>
      <c r="AH144" s="86" t="s">
        <v>7202</v>
      </c>
      <c r="AJ144" s="11" t="s">
        <v>160</v>
      </c>
      <c r="AK144" s="80" t="str">
        <f t="shared" si="42"/>
        <v>Existing Motorised TrackStraight</v>
      </c>
      <c r="AL144" s="80" t="s">
        <v>464</v>
      </c>
      <c r="AM144" s="80" t="s">
        <v>181</v>
      </c>
      <c r="AN144" s="80">
        <v>200</v>
      </c>
      <c r="AO144" s="80" t="s">
        <v>120</v>
      </c>
      <c r="AW144" t="s">
        <v>247</v>
      </c>
      <c r="AX144" t="s">
        <v>5902</v>
      </c>
      <c r="AY144" t="str">
        <f t="shared" si="41"/>
        <v>Reverse Pleat (Less Fullness x 2)Centre Opening (Offset Split)</v>
      </c>
      <c r="AZ144" s="80">
        <v>2</v>
      </c>
      <c r="BA144" s="80">
        <v>400</v>
      </c>
    </row>
    <row r="145" spans="10:53" ht="16.2" customHeight="1">
      <c r="J145" s="80" t="s">
        <v>746</v>
      </c>
      <c r="K145" s="80" t="s">
        <v>7101</v>
      </c>
      <c r="L145" t="s">
        <v>6468</v>
      </c>
      <c r="M145" t="s">
        <v>162</v>
      </c>
      <c r="N145" t="str">
        <f t="shared" si="39"/>
        <v>Double FrontDesigner 15 Hand DrawnGather Hook Bottom PocketDouble Face Fix Brackets</v>
      </c>
      <c r="O145">
        <v>60</v>
      </c>
      <c r="P145">
        <v>35</v>
      </c>
      <c r="Q145" s="80">
        <v>0</v>
      </c>
      <c r="R145" s="80">
        <f t="shared" si="40"/>
        <v>-25</v>
      </c>
      <c r="AD145"/>
      <c r="AH145" s="86" t="s">
        <v>7203</v>
      </c>
      <c r="AJ145" s="11" t="s">
        <v>11556</v>
      </c>
      <c r="AK145" s="80" t="str">
        <f t="shared" si="43" ref="AK145:AK154">CONCATENATE(AH145,AI145,AJ145)</f>
        <v>Existing Motorised Wavefold TrackBent</v>
      </c>
      <c r="AL145" s="80" t="s">
        <v>464</v>
      </c>
      <c r="AM145" s="80" t="s">
        <v>120</v>
      </c>
      <c r="AN145" s="80">
        <v>0</v>
      </c>
      <c r="AO145" s="80" t="s">
        <v>181</v>
      </c>
      <c r="AW145" t="s">
        <v>247</v>
      </c>
      <c r="AX145" t="s">
        <v>141</v>
      </c>
      <c r="AY145" t="str">
        <f t="shared" si="41"/>
        <v>Reverse Pleat (Less Fullness x 2)Single Panel - Left Stacking</v>
      </c>
      <c r="AZ145" s="80">
        <v>2</v>
      </c>
      <c r="BA145" s="80">
        <v>200</v>
      </c>
    </row>
    <row r="146" spans="10:53" ht="16.2" customHeight="1">
      <c r="J146" s="80" t="s">
        <v>725</v>
      </c>
      <c r="K146" s="80" t="s">
        <v>7101</v>
      </c>
      <c r="L146" t="s">
        <v>6468</v>
      </c>
      <c r="M146" t="s">
        <v>162</v>
      </c>
      <c r="N146" t="str">
        <f t="shared" si="39"/>
        <v>SingleDesigner 15 Hand DrawnGather Hook Bottom PocketDouble Face Fix Brackets</v>
      </c>
      <c r="O146">
        <v>60</v>
      </c>
      <c r="P146">
        <v>35</v>
      </c>
      <c r="Q146" s="80">
        <v>0</v>
      </c>
      <c r="R146" s="80">
        <f t="shared" si="40"/>
        <v>-25</v>
      </c>
      <c r="AD146"/>
      <c r="AH146" s="86" t="s">
        <v>7203</v>
      </c>
      <c r="AJ146" s="11" t="s">
        <v>160</v>
      </c>
      <c r="AK146" s="80" t="str">
        <f t="shared" si="43"/>
        <v>Existing Motorised Wavefold TrackStraight</v>
      </c>
      <c r="AL146" s="80" t="s">
        <v>464</v>
      </c>
      <c r="AM146" s="80" t="s">
        <v>120</v>
      </c>
      <c r="AN146" s="80">
        <v>0</v>
      </c>
      <c r="AO146" s="80" t="s">
        <v>181</v>
      </c>
      <c r="AW146" t="s">
        <v>247</v>
      </c>
      <c r="AX146" t="s">
        <v>142</v>
      </c>
      <c r="AY146" t="str">
        <f t="shared" si="41"/>
        <v>Reverse Pleat (Less Fullness x 2)Single Panel - Right Stacking</v>
      </c>
      <c r="AZ146" s="80">
        <v>2</v>
      </c>
      <c r="BA146" s="80">
        <v>200</v>
      </c>
    </row>
    <row r="147" spans="10:53" ht="16.2" customHeight="1">
      <c r="J147" s="80" t="s">
        <v>746</v>
      </c>
      <c r="K147" s="80" t="s">
        <v>7101</v>
      </c>
      <c r="L147" t="s">
        <v>229</v>
      </c>
      <c r="M147" t="s">
        <v>162</v>
      </c>
      <c r="N147" t="str">
        <f t="shared" si="39"/>
        <v>Double FrontDesigner 15 Hand DrawnGather Hook LevelDouble Face Fix Brackets</v>
      </c>
      <c r="O147">
        <v>20</v>
      </c>
      <c r="P147">
        <v>35</v>
      </c>
      <c r="Q147" s="80">
        <v>0</v>
      </c>
      <c r="R147" s="80">
        <f t="shared" si="40"/>
        <v>15</v>
      </c>
      <c r="AD147"/>
      <c r="AH147" s="86" t="s">
        <v>609</v>
      </c>
      <c r="AJ147" s="11" t="s">
        <v>11556</v>
      </c>
      <c r="AK147" s="80" t="str">
        <f t="shared" si="43"/>
        <v>Existing Normal S-Fold TrackBent</v>
      </c>
      <c r="AL147" s="80" t="s">
        <v>464</v>
      </c>
      <c r="AM147" s="80" t="s">
        <v>120</v>
      </c>
      <c r="AN147" s="80">
        <v>0</v>
      </c>
      <c r="AO147" s="80" t="s">
        <v>181</v>
      </c>
      <c r="AW147" t="s">
        <v>247</v>
      </c>
      <c r="AX147" t="s">
        <v>143</v>
      </c>
      <c r="AY147" t="str">
        <f t="shared" si="41"/>
        <v>Reverse Pleat (Less Fullness x 2)Single Panel - Free Flowing</v>
      </c>
      <c r="AZ147" s="80">
        <v>2</v>
      </c>
      <c r="BA147" s="80">
        <v>200</v>
      </c>
    </row>
    <row r="148" spans="10:53" ht="16.2" customHeight="1">
      <c r="J148" s="80" t="s">
        <v>747</v>
      </c>
      <c r="K148" s="80" t="s">
        <v>7101</v>
      </c>
      <c r="L148" t="s">
        <v>229</v>
      </c>
      <c r="M148" t="s">
        <v>162</v>
      </c>
      <c r="N148" t="str">
        <f t="shared" si="39"/>
        <v>Double RearDesigner 15 Hand DrawnGather Hook LevelDouble Face Fix Brackets</v>
      </c>
      <c r="O148">
        <v>20</v>
      </c>
      <c r="P148">
        <v>35</v>
      </c>
      <c r="Q148" s="80">
        <v>0</v>
      </c>
      <c r="R148" s="80">
        <f t="shared" si="40"/>
        <v>15</v>
      </c>
      <c r="AD148"/>
      <c r="AH148" s="86" t="s">
        <v>609</v>
      </c>
      <c r="AJ148" s="11" t="s">
        <v>160</v>
      </c>
      <c r="AK148" s="80" t="str">
        <f t="shared" si="43"/>
        <v>Existing Normal S-Fold TrackStraight</v>
      </c>
      <c r="AL148" s="80" t="s">
        <v>464</v>
      </c>
      <c r="AM148" s="80" t="s">
        <v>120</v>
      </c>
      <c r="AN148" s="80">
        <v>0</v>
      </c>
      <c r="AO148" s="80" t="s">
        <v>181</v>
      </c>
      <c r="AW148" t="s">
        <v>247</v>
      </c>
      <c r="AX148" t="s">
        <v>717</v>
      </c>
      <c r="AY148" t="str">
        <f t="shared" si="41"/>
        <v>Reverse Pleat (Less Fullness x 2)Centre Opening - Free Flowing</v>
      </c>
      <c r="AZ148" s="80">
        <v>2</v>
      </c>
      <c r="BA148" s="80">
        <v>400</v>
      </c>
    </row>
    <row r="149" spans="10:53" ht="16.2" customHeight="1">
      <c r="J149" s="80" t="s">
        <v>725</v>
      </c>
      <c r="K149" s="80" t="s">
        <v>7101</v>
      </c>
      <c r="L149" t="s">
        <v>229</v>
      </c>
      <c r="M149" t="s">
        <v>162</v>
      </c>
      <c r="N149" t="str">
        <f t="shared" si="39"/>
        <v>SingleDesigner 15 Hand DrawnGather Hook LevelDouble Face Fix Brackets</v>
      </c>
      <c r="O149">
        <v>20</v>
      </c>
      <c r="P149">
        <v>35</v>
      </c>
      <c r="Q149" s="80">
        <v>0</v>
      </c>
      <c r="R149" s="80">
        <f t="shared" si="40"/>
        <v>15</v>
      </c>
      <c r="AD149"/>
      <c r="AH149" s="86" t="s">
        <v>605</v>
      </c>
      <c r="AJ149" s="11" t="s">
        <v>11556</v>
      </c>
      <c r="AK149" s="80" t="str">
        <f t="shared" si="43"/>
        <v>Existing Normal TrackBent</v>
      </c>
      <c r="AL149" s="80" t="s">
        <v>464</v>
      </c>
      <c r="AM149" s="80" t="s">
        <v>181</v>
      </c>
      <c r="AN149" s="80">
        <v>200</v>
      </c>
      <c r="AO149" s="80" t="s">
        <v>120</v>
      </c>
      <c r="AW149" t="s">
        <v>247</v>
      </c>
      <c r="AX149" t="s">
        <v>154</v>
      </c>
      <c r="AY149" t="str">
        <f t="shared" si="41"/>
        <v>Reverse Pleat (Less Fullness x 2)No Movement</v>
      </c>
      <c r="AZ149" s="80">
        <v>2</v>
      </c>
      <c r="BA149" s="80">
        <v>200</v>
      </c>
    </row>
    <row r="150" spans="10:53" ht="16.2" customHeight="1">
      <c r="J150" s="80" t="s">
        <v>746</v>
      </c>
      <c r="K150" s="80" t="s">
        <v>7101</v>
      </c>
      <c r="L150" t="s">
        <v>228</v>
      </c>
      <c r="M150" t="s">
        <v>162</v>
      </c>
      <c r="N150" t="str">
        <f t="shared" si="39"/>
        <v>Double FrontDesigner 15 Hand DrawnGather Hook NormalDouble Face Fix Brackets</v>
      </c>
      <c r="O150">
        <v>43</v>
      </c>
      <c r="P150">
        <v>35</v>
      </c>
      <c r="Q150" s="80">
        <v>0</v>
      </c>
      <c r="R150" s="80">
        <f t="shared" si="40"/>
        <v>-8</v>
      </c>
      <c r="AD150"/>
      <c r="AH150" s="86" t="s">
        <v>605</v>
      </c>
      <c r="AJ150" s="11" t="s">
        <v>160</v>
      </c>
      <c r="AK150" s="80" t="str">
        <f t="shared" si="43"/>
        <v>Existing Normal TrackStraight</v>
      </c>
      <c r="AL150" s="80" t="s">
        <v>464</v>
      </c>
      <c r="AM150" s="80" t="s">
        <v>181</v>
      </c>
      <c r="AN150" s="80">
        <v>200</v>
      </c>
      <c r="AO150" s="80" t="s">
        <v>120</v>
      </c>
      <c r="AW150" s="80" t="s">
        <v>247</v>
      </c>
      <c r="AX150" s="80" t="s">
        <v>5903</v>
      </c>
      <c r="AY150" t="str">
        <f t="shared" si="41"/>
        <v>Reverse Pleat (Less Fullness x 2)Centre Opening - Free Flowing (Offset Split)</v>
      </c>
      <c r="AZ150" s="80">
        <v>2</v>
      </c>
      <c r="BA150" s="80">
        <v>200</v>
      </c>
    </row>
    <row r="151" spans="10:53" ht="16.2" customHeight="1">
      <c r="J151" s="80" t="s">
        <v>747</v>
      </c>
      <c r="K151" s="80" t="s">
        <v>7101</v>
      </c>
      <c r="L151" t="s">
        <v>228</v>
      </c>
      <c r="M151" t="s">
        <v>162</v>
      </c>
      <c r="N151" t="str">
        <f t="shared" si="39"/>
        <v>Double RearDesigner 15 Hand DrawnGather Hook NormalDouble Face Fix Brackets</v>
      </c>
      <c r="O151">
        <v>43</v>
      </c>
      <c r="P151">
        <v>35</v>
      </c>
      <c r="Q151" s="80">
        <v>0</v>
      </c>
      <c r="R151" s="80">
        <f t="shared" si="40"/>
        <v>-8</v>
      </c>
      <c r="AD151"/>
      <c r="AH151" s="86" t="s">
        <v>610</v>
      </c>
      <c r="AJ151" s="11" t="s">
        <v>11556</v>
      </c>
      <c r="AK151" s="80" t="str">
        <f t="shared" si="43"/>
        <v>Existing Normal Wavefold TrackBent</v>
      </c>
      <c r="AL151" s="80" t="s">
        <v>464</v>
      </c>
      <c r="AM151" s="80" t="s">
        <v>120</v>
      </c>
      <c r="AN151" s="80">
        <v>0</v>
      </c>
      <c r="AO151" s="80" t="s">
        <v>181</v>
      </c>
      <c r="AW151" t="s">
        <v>245</v>
      </c>
      <c r="AX151" t="s">
        <v>138</v>
      </c>
      <c r="AY151" t="str">
        <f t="shared" si="41"/>
        <v>Reverse Pleat (Standard Fullness x 2.1)Centre Opening</v>
      </c>
      <c r="AZ151" s="80">
        <v>2.1</v>
      </c>
      <c r="BA151" s="80">
        <v>400</v>
      </c>
    </row>
    <row r="152" spans="10:53" ht="16.2" customHeight="1">
      <c r="J152" s="80" t="s">
        <v>725</v>
      </c>
      <c r="K152" s="80" t="s">
        <v>7101</v>
      </c>
      <c r="L152" t="s">
        <v>228</v>
      </c>
      <c r="M152" t="s">
        <v>162</v>
      </c>
      <c r="N152" t="str">
        <f t="shared" si="39"/>
        <v>SingleDesigner 15 Hand DrawnGather Hook NormalDouble Face Fix Brackets</v>
      </c>
      <c r="O152">
        <v>43</v>
      </c>
      <c r="P152">
        <v>35</v>
      </c>
      <c r="Q152" s="80">
        <v>0</v>
      </c>
      <c r="R152" s="80">
        <f t="shared" si="40"/>
        <v>-8</v>
      </c>
      <c r="AD152"/>
      <c r="AH152" s="86" t="s">
        <v>610</v>
      </c>
      <c r="AJ152" s="11" t="s">
        <v>160</v>
      </c>
      <c r="AK152" s="80" t="str">
        <f t="shared" si="43"/>
        <v>Existing Normal Wavefold TrackStraight</v>
      </c>
      <c r="AL152" s="80" t="s">
        <v>464</v>
      </c>
      <c r="AM152" s="80" t="s">
        <v>120</v>
      </c>
      <c r="AN152" s="80">
        <v>0</v>
      </c>
      <c r="AO152" s="80" t="s">
        <v>181</v>
      </c>
      <c r="AW152" t="s">
        <v>245</v>
      </c>
      <c r="AX152" t="s">
        <v>5902</v>
      </c>
      <c r="AY152" t="str">
        <f t="shared" si="41"/>
        <v>Reverse Pleat (Standard Fullness x 2.1)Centre Opening (Offset Split)</v>
      </c>
      <c r="AZ152" s="80">
        <v>2.1</v>
      </c>
      <c r="BA152" s="80">
        <v>400</v>
      </c>
    </row>
    <row r="153" spans="10:53" ht="16.2" customHeight="1">
      <c r="J153" s="80" t="s">
        <v>746</v>
      </c>
      <c r="K153" s="80" t="s">
        <v>7101</v>
      </c>
      <c r="L153" t="s">
        <v>282</v>
      </c>
      <c r="M153" t="s">
        <v>162</v>
      </c>
      <c r="N153" t="str">
        <f t="shared" si="39"/>
        <v>Double FrontDesigner 15 Hand DrawnLevel 2072Double Face Fix Brackets</v>
      </c>
      <c r="O153">
        <v>38</v>
      </c>
      <c r="P153">
        <v>35</v>
      </c>
      <c r="Q153" s="80">
        <v>0</v>
      </c>
      <c r="R153" s="80">
        <f t="shared" si="40"/>
        <v>-3</v>
      </c>
      <c r="AD153"/>
      <c r="AH153" s="86" t="s">
        <v>611</v>
      </c>
      <c r="AJ153" s="11" t="s">
        <v>11556</v>
      </c>
      <c r="AK153" s="80" t="str">
        <f t="shared" si="43"/>
        <v>Existing Vanda Flushfit Recessed Track WavefoldBent</v>
      </c>
      <c r="AL153" s="80" t="s">
        <v>464</v>
      </c>
      <c r="AM153" s="80" t="s">
        <v>120</v>
      </c>
      <c r="AN153" s="80">
        <v>0</v>
      </c>
      <c r="AO153" s="80" t="s">
        <v>181</v>
      </c>
      <c r="AW153" t="s">
        <v>245</v>
      </c>
      <c r="AX153" t="s">
        <v>141</v>
      </c>
      <c r="AY153" t="str">
        <f t="shared" si="41"/>
        <v>Reverse Pleat (Standard Fullness x 2.1)Single Panel - Left Stacking</v>
      </c>
      <c r="AZ153" s="80">
        <v>2.1</v>
      </c>
      <c r="BA153" s="80">
        <v>200</v>
      </c>
    </row>
    <row r="154" spans="10:53" ht="16.2" customHeight="1">
      <c r="J154" s="80" t="s">
        <v>747</v>
      </c>
      <c r="K154" s="80" t="s">
        <v>7101</v>
      </c>
      <c r="L154" t="s">
        <v>282</v>
      </c>
      <c r="M154" t="s">
        <v>162</v>
      </c>
      <c r="N154" t="str">
        <f t="shared" si="39"/>
        <v>Double RearDesigner 15 Hand DrawnLevel 2072Double Face Fix Brackets</v>
      </c>
      <c r="O154">
        <v>38</v>
      </c>
      <c r="P154">
        <v>35</v>
      </c>
      <c r="Q154" s="80">
        <v>0</v>
      </c>
      <c r="R154" s="80">
        <f t="shared" si="40"/>
        <v>-3</v>
      </c>
      <c r="AD154"/>
      <c r="AH154" s="86" t="s">
        <v>611</v>
      </c>
      <c r="AJ154" s="11" t="s">
        <v>160</v>
      </c>
      <c r="AK154" s="80" t="str">
        <f t="shared" si="43"/>
        <v>Existing Vanda Flushfit Recessed Track WavefoldStraight</v>
      </c>
      <c r="AL154" s="80" t="s">
        <v>464</v>
      </c>
      <c r="AM154" s="80" t="s">
        <v>120</v>
      </c>
      <c r="AN154" s="80">
        <v>0</v>
      </c>
      <c r="AO154" s="80" t="s">
        <v>181</v>
      </c>
      <c r="AW154" t="s">
        <v>245</v>
      </c>
      <c r="AX154" t="s">
        <v>142</v>
      </c>
      <c r="AY154" t="str">
        <f t="shared" si="41"/>
        <v>Reverse Pleat (Standard Fullness x 2.1)Single Panel - Right Stacking</v>
      </c>
      <c r="AZ154" s="80">
        <v>2.1</v>
      </c>
      <c r="BA154" s="80">
        <v>200</v>
      </c>
    </row>
    <row r="155" spans="10:53" ht="16.2" customHeight="1">
      <c r="J155" s="80" t="s">
        <v>725</v>
      </c>
      <c r="K155" s="80" t="s">
        <v>7101</v>
      </c>
      <c r="L155" t="s">
        <v>282</v>
      </c>
      <c r="M155" t="s">
        <v>162</v>
      </c>
      <c r="N155" t="str">
        <f t="shared" si="39"/>
        <v>SingleDesigner 15 Hand DrawnLevel 2072Double Face Fix Brackets</v>
      </c>
      <c r="O155">
        <v>35</v>
      </c>
      <c r="P155">
        <v>35</v>
      </c>
      <c r="Q155" s="80">
        <v>0</v>
      </c>
      <c r="R155" s="80">
        <f t="shared" si="40"/>
        <v>0</v>
      </c>
      <c r="AD155"/>
      <c r="AH155" s="86" t="s">
        <v>8712</v>
      </c>
      <c r="AJ155" s="11" t="s">
        <v>11556</v>
      </c>
      <c r="AK155" s="80" t="str">
        <f t="shared" si="44" ref="AK155:AK162">CONCATENATE(AH155,AI155,AJ155)</f>
        <v>Existing Vanda Flushfit Recessed Track with RunnersBent</v>
      </c>
      <c r="AL155" s="80" t="s">
        <v>464</v>
      </c>
      <c r="AM155" s="80" t="s">
        <v>120</v>
      </c>
      <c r="AN155" s="80">
        <v>0</v>
      </c>
      <c r="AO155" s="80" t="s">
        <v>120</v>
      </c>
      <c r="AW155" t="s">
        <v>245</v>
      </c>
      <c r="AX155" t="s">
        <v>143</v>
      </c>
      <c r="AY155" t="str">
        <f t="shared" si="41"/>
        <v>Reverse Pleat (Standard Fullness x 2.1)Single Panel - Free Flowing</v>
      </c>
      <c r="AZ155" s="80">
        <v>2.1</v>
      </c>
      <c r="BA155" s="80">
        <v>200</v>
      </c>
    </row>
    <row r="156" spans="10:53" ht="16.2" customHeight="1">
      <c r="J156" s="80" t="s">
        <v>746</v>
      </c>
      <c r="K156" s="80" t="s">
        <v>7101</v>
      </c>
      <c r="L156" t="s">
        <v>170</v>
      </c>
      <c r="M156" t="s">
        <v>162</v>
      </c>
      <c r="N156" t="str">
        <f t="shared" si="39"/>
        <v>Double FrontDesigner 15 Hand DrawnNormal 2074Double Face Fix Brackets</v>
      </c>
      <c r="O156">
        <v>60</v>
      </c>
      <c r="P156">
        <v>35</v>
      </c>
      <c r="Q156" s="80">
        <v>0</v>
      </c>
      <c r="R156" s="80">
        <f t="shared" si="40"/>
        <v>-25</v>
      </c>
      <c r="AD156"/>
      <c r="AH156" s="86" t="s">
        <v>8712</v>
      </c>
      <c r="AJ156" s="11" t="s">
        <v>160</v>
      </c>
      <c r="AK156" s="80" t="str">
        <f t="shared" si="44"/>
        <v>Existing Vanda Flushfit Recessed Track with RunnersStraight</v>
      </c>
      <c r="AL156" s="80" t="s">
        <v>464</v>
      </c>
      <c r="AM156" s="80" t="s">
        <v>120</v>
      </c>
      <c r="AN156" s="80">
        <v>0</v>
      </c>
      <c r="AO156" s="80" t="s">
        <v>120</v>
      </c>
      <c r="AW156" t="s">
        <v>245</v>
      </c>
      <c r="AX156" t="s">
        <v>717</v>
      </c>
      <c r="AY156" t="str">
        <f t="shared" si="41"/>
        <v>Reverse Pleat (Standard Fullness x 2.1)Centre Opening - Free Flowing</v>
      </c>
      <c r="AZ156" s="80">
        <v>2.1</v>
      </c>
      <c r="BA156" s="80">
        <v>400</v>
      </c>
    </row>
    <row r="157" spans="10:53" ht="16.2" customHeight="1">
      <c r="J157" s="80" t="s">
        <v>747</v>
      </c>
      <c r="K157" s="80" t="s">
        <v>7101</v>
      </c>
      <c r="L157" t="s">
        <v>170</v>
      </c>
      <c r="M157" t="s">
        <v>162</v>
      </c>
      <c r="N157" t="str">
        <f t="shared" si="39"/>
        <v>Double RearDesigner 15 Hand DrawnNormal 2074Double Face Fix Brackets</v>
      </c>
      <c r="O157">
        <v>60</v>
      </c>
      <c r="P157">
        <v>35</v>
      </c>
      <c r="Q157" s="80">
        <v>0</v>
      </c>
      <c r="R157" s="80">
        <f t="shared" si="40"/>
        <v>-25</v>
      </c>
      <c r="AD157"/>
      <c r="AH157" s="80" t="s">
        <v>8187</v>
      </c>
      <c r="AI157"/>
      <c r="AJ157" s="11" t="s">
        <v>11556</v>
      </c>
      <c r="AK157" s="80" t="str">
        <f t="shared" si="44"/>
        <v>Existing Versatrak 25 Rod with RingsBent</v>
      </c>
      <c r="AL157" s="80" t="s">
        <v>464</v>
      </c>
      <c r="AM157" s="80" t="s">
        <v>120</v>
      </c>
      <c r="AN157" s="80">
        <v>0</v>
      </c>
      <c r="AO157" s="80" t="s">
        <v>120</v>
      </c>
      <c r="AW157" t="s">
        <v>245</v>
      </c>
      <c r="AX157" t="s">
        <v>154</v>
      </c>
      <c r="AY157" t="str">
        <f t="shared" si="41"/>
        <v>Reverse Pleat (Standard Fullness x 2.1)No Movement</v>
      </c>
      <c r="AZ157" s="80">
        <v>2.1</v>
      </c>
      <c r="BA157" s="80">
        <v>200</v>
      </c>
    </row>
    <row r="158" spans="10:53" ht="16.2" customHeight="1">
      <c r="J158" s="80" t="s">
        <v>725</v>
      </c>
      <c r="K158" s="80" t="s">
        <v>7101</v>
      </c>
      <c r="L158" t="s">
        <v>170</v>
      </c>
      <c r="M158" t="s">
        <v>162</v>
      </c>
      <c r="N158" t="str">
        <f t="shared" si="39"/>
        <v>SingleDesigner 15 Hand DrawnNormal 2074Double Face Fix Brackets</v>
      </c>
      <c r="O158">
        <v>60</v>
      </c>
      <c r="P158">
        <v>35</v>
      </c>
      <c r="Q158" s="80">
        <v>0</v>
      </c>
      <c r="R158" s="80">
        <f t="shared" si="40"/>
        <v>-25</v>
      </c>
      <c r="AD158"/>
      <c r="AH158" s="80" t="s">
        <v>8187</v>
      </c>
      <c r="AI158"/>
      <c r="AJ158" s="11" t="s">
        <v>160</v>
      </c>
      <c r="AK158" s="80" t="str">
        <f t="shared" si="44"/>
        <v>Existing Versatrak 25 Rod with RingsStraight</v>
      </c>
      <c r="AL158" s="80" t="s">
        <v>464</v>
      </c>
      <c r="AM158" s="80" t="s">
        <v>120</v>
      </c>
      <c r="AN158" s="80">
        <v>0</v>
      </c>
      <c r="AO158" s="80" t="s">
        <v>120</v>
      </c>
      <c r="AW158" s="80" t="s">
        <v>245</v>
      </c>
      <c r="AX158" s="80" t="s">
        <v>5903</v>
      </c>
      <c r="AY158" t="str">
        <f t="shared" si="41"/>
        <v>Reverse Pleat (Standard Fullness x 2.1)Centre Opening - Free Flowing (Offset Split)</v>
      </c>
      <c r="AZ158" s="80">
        <v>2.1</v>
      </c>
      <c r="BA158" s="80">
        <v>200</v>
      </c>
    </row>
    <row r="159" spans="10:53" ht="16.2" customHeight="1">
      <c r="J159" s="80" t="s">
        <v>746</v>
      </c>
      <c r="K159" s="80" t="s">
        <v>7101</v>
      </c>
      <c r="L159" t="s">
        <v>183</v>
      </c>
      <c r="M159" t="s">
        <v>159</v>
      </c>
      <c r="N159" t="str">
        <f t="shared" si="39"/>
        <v>Double FrontDesigner 15 Hand DrawnBelow Normal 2075Single Face Fix Brackets</v>
      </c>
      <c r="O159">
        <v>70</v>
      </c>
      <c r="P159">
        <v>35</v>
      </c>
      <c r="Q159" s="80">
        <v>0</v>
      </c>
      <c r="R159" s="80">
        <f t="shared" si="40"/>
        <v>-35</v>
      </c>
      <c r="AD159"/>
      <c r="AH159" s="17" t="s">
        <v>6557</v>
      </c>
      <c r="AJ159" s="11" t="s">
        <v>11556</v>
      </c>
      <c r="AK159" s="80" t="str">
        <f t="shared" si="44"/>
        <v>Existing Versatrak 25 Track with Glides and 100mm BracketBent</v>
      </c>
      <c r="AL159" s="80" t="s">
        <v>464</v>
      </c>
      <c r="AM159" s="80" t="s">
        <v>120</v>
      </c>
      <c r="AN159" s="80">
        <v>0</v>
      </c>
      <c r="AO159" s="80" t="s">
        <v>120</v>
      </c>
      <c r="AW159" t="s">
        <v>603</v>
      </c>
      <c r="AX159" t="s">
        <v>138</v>
      </c>
      <c r="AY159" t="str">
        <f t="shared" si="41"/>
        <v>Rod Pocket (Extra Fullness x 3)Centre Opening</v>
      </c>
      <c r="AZ159" s="80">
        <v>3</v>
      </c>
      <c r="BA159" s="80">
        <v>400</v>
      </c>
    </row>
    <row r="160" spans="10:53" ht="16.2" customHeight="1">
      <c r="J160" s="80" t="s">
        <v>747</v>
      </c>
      <c r="K160" s="80" t="s">
        <v>7101</v>
      </c>
      <c r="L160" t="s">
        <v>183</v>
      </c>
      <c r="M160" t="s">
        <v>159</v>
      </c>
      <c r="N160" t="str">
        <f t="shared" si="39"/>
        <v>Double RearDesigner 15 Hand DrawnBelow Normal 2075Single Face Fix Brackets</v>
      </c>
      <c r="O160">
        <v>70</v>
      </c>
      <c r="P160">
        <v>35</v>
      </c>
      <c r="Q160" s="80">
        <v>0</v>
      </c>
      <c r="R160" s="80">
        <f t="shared" si="40"/>
        <v>-35</v>
      </c>
      <c r="AD160"/>
      <c r="AH160" s="17" t="s">
        <v>6557</v>
      </c>
      <c r="AJ160" s="11" t="s">
        <v>160</v>
      </c>
      <c r="AK160" s="80" t="str">
        <f t="shared" si="44"/>
        <v>Existing Versatrak 25 Track with Glides and 100mm BracketStraight</v>
      </c>
      <c r="AL160" s="80" t="s">
        <v>464</v>
      </c>
      <c r="AM160" s="80" t="s">
        <v>120</v>
      </c>
      <c r="AN160" s="80">
        <v>0</v>
      </c>
      <c r="AO160" s="80" t="s">
        <v>120</v>
      </c>
      <c r="AW160" t="s">
        <v>603</v>
      </c>
      <c r="AX160" t="s">
        <v>5902</v>
      </c>
      <c r="AY160" t="str">
        <f t="shared" si="41"/>
        <v>Rod Pocket (Extra Fullness x 3)Centre Opening (Offset Split)</v>
      </c>
      <c r="AZ160" s="80">
        <v>3</v>
      </c>
      <c r="BA160" s="80">
        <v>400</v>
      </c>
    </row>
    <row r="161" spans="10:53" ht="16.2" customHeight="1">
      <c r="J161" s="80" t="s">
        <v>725</v>
      </c>
      <c r="K161" s="80" t="s">
        <v>7101</v>
      </c>
      <c r="L161" t="s">
        <v>183</v>
      </c>
      <c r="M161" t="s">
        <v>159</v>
      </c>
      <c r="N161" t="str">
        <f t="shared" si="39"/>
        <v>SingleDesigner 15 Hand DrawnBelow Normal 2075Single Face Fix Brackets</v>
      </c>
      <c r="O161">
        <v>70</v>
      </c>
      <c r="P161">
        <v>35</v>
      </c>
      <c r="Q161" s="80">
        <v>0</v>
      </c>
      <c r="R161" s="80">
        <f t="shared" si="40"/>
        <v>-35</v>
      </c>
      <c r="AD161"/>
      <c r="AH161" s="86" t="s">
        <v>365</v>
      </c>
      <c r="AI161" s="11" t="s">
        <v>366</v>
      </c>
      <c r="AJ161" s="11" t="s">
        <v>11556</v>
      </c>
      <c r="AK161" s="80" t="str">
        <f t="shared" si="44"/>
        <v>HospitalAnodised SilverBent</v>
      </c>
      <c r="AL161" s="80" t="s">
        <v>274</v>
      </c>
      <c r="AM161" s="80" t="s">
        <v>120</v>
      </c>
      <c r="AN161" s="80">
        <v>0</v>
      </c>
      <c r="AO161" s="80" t="s">
        <v>120</v>
      </c>
      <c r="AW161" t="s">
        <v>603</v>
      </c>
      <c r="AX161" t="s">
        <v>141</v>
      </c>
      <c r="AY161" t="str">
        <f t="shared" si="41"/>
        <v>Rod Pocket (Extra Fullness x 3)Single Panel - Left Stacking</v>
      </c>
      <c r="AZ161" s="80">
        <v>3</v>
      </c>
      <c r="BA161" s="80">
        <v>200</v>
      </c>
    </row>
    <row r="162" spans="10:53" ht="16.2" customHeight="1">
      <c r="J162" s="80" t="s">
        <v>746</v>
      </c>
      <c r="K162" s="80" t="s">
        <v>7101</v>
      </c>
      <c r="L162" t="s">
        <v>182</v>
      </c>
      <c r="M162" t="s">
        <v>159</v>
      </c>
      <c r="N162" t="str">
        <f t="shared" si="39"/>
        <v>Double FrontDesigner 15 Hand DrawnBetween Level and Normal 2073Single Face Fix Brackets</v>
      </c>
      <c r="O162">
        <v>48</v>
      </c>
      <c r="P162">
        <v>35</v>
      </c>
      <c r="Q162" s="80">
        <v>0</v>
      </c>
      <c r="R162" s="80">
        <f t="shared" si="40"/>
        <v>-13</v>
      </c>
      <c r="AD162"/>
      <c r="AH162" s="86" t="s">
        <v>365</v>
      </c>
      <c r="AI162" s="11" t="s">
        <v>366</v>
      </c>
      <c r="AJ162" s="11" t="s">
        <v>160</v>
      </c>
      <c r="AK162" s="80" t="str">
        <f t="shared" si="44"/>
        <v>HospitalAnodised SilverStraight</v>
      </c>
      <c r="AL162" s="80" t="s">
        <v>274</v>
      </c>
      <c r="AM162" s="80" t="s">
        <v>120</v>
      </c>
      <c r="AN162" s="80">
        <v>0</v>
      </c>
      <c r="AO162" s="80" t="s">
        <v>120</v>
      </c>
      <c r="AW162" t="s">
        <v>603</v>
      </c>
      <c r="AX162" t="s">
        <v>142</v>
      </c>
      <c r="AY162" t="str">
        <f t="shared" si="41"/>
        <v>Rod Pocket (Extra Fullness x 3)Single Panel - Right Stacking</v>
      </c>
      <c r="AZ162" s="80">
        <v>3</v>
      </c>
      <c r="BA162" s="80">
        <v>200</v>
      </c>
    </row>
    <row r="163" spans="10:53" ht="16.2" customHeight="1">
      <c r="J163" s="80" t="s">
        <v>747</v>
      </c>
      <c r="K163" s="80" t="s">
        <v>7101</v>
      </c>
      <c r="L163" t="s">
        <v>182</v>
      </c>
      <c r="M163" t="s">
        <v>159</v>
      </c>
      <c r="N163" t="str">
        <f t="shared" si="39"/>
        <v>Double RearDesigner 15 Hand DrawnBetween Level and Normal 2073Single Face Fix Brackets</v>
      </c>
      <c r="O163">
        <v>48</v>
      </c>
      <c r="P163">
        <v>35</v>
      </c>
      <c r="Q163" s="80">
        <v>0</v>
      </c>
      <c r="R163" s="80">
        <f t="shared" si="40"/>
        <v>-13</v>
      </c>
      <c r="AD163"/>
      <c r="AH163" s="86" t="s">
        <v>365</v>
      </c>
      <c r="AI163" s="86" t="s">
        <v>191</v>
      </c>
      <c r="AJ163" s="11" t="s">
        <v>11556</v>
      </c>
      <c r="AK163" s="80" t="str">
        <f t="shared" si="45" ref="AK163:AK170">CONCATENATE(AH163,AI163,AJ163)</f>
        <v>HospitalWhiteBent</v>
      </c>
      <c r="AL163" s="80" t="s">
        <v>274</v>
      </c>
      <c r="AM163" s="80" t="s">
        <v>120</v>
      </c>
      <c r="AN163" s="80">
        <v>0</v>
      </c>
      <c r="AO163" s="80" t="s">
        <v>120</v>
      </c>
      <c r="AW163" t="s">
        <v>603</v>
      </c>
      <c r="AX163" t="s">
        <v>143</v>
      </c>
      <c r="AY163" t="str">
        <f t="shared" si="41"/>
        <v>Rod Pocket (Extra Fullness x 3)Single Panel - Free Flowing</v>
      </c>
      <c r="AZ163" s="80">
        <v>3</v>
      </c>
      <c r="BA163" s="80">
        <v>200</v>
      </c>
    </row>
    <row r="164" spans="10:53" ht="16.2" customHeight="1">
      <c r="J164" s="80" t="s">
        <v>725</v>
      </c>
      <c r="K164" s="80" t="s">
        <v>7101</v>
      </c>
      <c r="L164" t="s">
        <v>182</v>
      </c>
      <c r="M164" t="s">
        <v>159</v>
      </c>
      <c r="N164" t="str">
        <f t="shared" si="39"/>
        <v>SingleDesigner 15 Hand DrawnBetween Level and Normal 2073Single Face Fix Brackets</v>
      </c>
      <c r="O164">
        <v>47</v>
      </c>
      <c r="P164">
        <v>35</v>
      </c>
      <c r="Q164" s="80">
        <v>0</v>
      </c>
      <c r="R164" s="80">
        <f t="shared" si="40"/>
        <v>-12</v>
      </c>
      <c r="AD164"/>
      <c r="AH164" s="86" t="s">
        <v>365</v>
      </c>
      <c r="AI164" s="86" t="s">
        <v>191</v>
      </c>
      <c r="AJ164" s="11" t="s">
        <v>160</v>
      </c>
      <c r="AK164" s="80" t="str">
        <f t="shared" si="45"/>
        <v>HospitalWhiteStraight</v>
      </c>
      <c r="AL164" s="80" t="s">
        <v>274</v>
      </c>
      <c r="AM164" s="80" t="s">
        <v>120</v>
      </c>
      <c r="AN164" s="80">
        <v>0</v>
      </c>
      <c r="AO164" s="80" t="s">
        <v>120</v>
      </c>
      <c r="AW164" t="s">
        <v>603</v>
      </c>
      <c r="AX164" t="s">
        <v>717</v>
      </c>
      <c r="AY164" t="str">
        <f t="shared" si="41"/>
        <v>Rod Pocket (Extra Fullness x 3)Centre Opening - Free Flowing</v>
      </c>
      <c r="AZ164" s="80">
        <v>3</v>
      </c>
      <c r="BA164" s="80">
        <v>400</v>
      </c>
    </row>
    <row r="165" spans="10:53" ht="16.2" customHeight="1">
      <c r="J165" s="80" t="s">
        <v>746</v>
      </c>
      <c r="K165" s="80" t="s">
        <v>7101</v>
      </c>
      <c r="L165" t="s">
        <v>184</v>
      </c>
      <c r="M165" t="s">
        <v>159</v>
      </c>
      <c r="N165" t="str">
        <f t="shared" si="39"/>
        <v>Double FrontDesigner 15 Hand DrawnDecorator 2071Single Face Fix Brackets</v>
      </c>
      <c r="O165">
        <v>20</v>
      </c>
      <c r="P165">
        <v>35</v>
      </c>
      <c r="Q165" s="80">
        <v>0</v>
      </c>
      <c r="R165" s="80">
        <f t="shared" si="40"/>
        <v>15</v>
      </c>
      <c r="AD165"/>
      <c r="AH165" s="86" t="s">
        <v>419</v>
      </c>
      <c r="AI165" s="11" t="s">
        <v>366</v>
      </c>
      <c r="AJ165" s="11" t="s">
        <v>11556</v>
      </c>
      <c r="AK165" s="80" t="str">
        <f t="shared" si="45"/>
        <v>Hospital with CassetteAnodised SilverBent</v>
      </c>
      <c r="AL165" s="80" t="s">
        <v>274</v>
      </c>
      <c r="AM165" s="80" t="s">
        <v>120</v>
      </c>
      <c r="AN165" s="80">
        <v>0</v>
      </c>
      <c r="AO165" s="80" t="s">
        <v>120</v>
      </c>
      <c r="AW165" t="s">
        <v>603</v>
      </c>
      <c r="AX165" t="s">
        <v>154</v>
      </c>
      <c r="AY165" t="str">
        <f t="shared" si="41"/>
        <v>Rod Pocket (Extra Fullness x 3)No Movement</v>
      </c>
      <c r="AZ165" s="80">
        <v>3</v>
      </c>
      <c r="BA165" s="80">
        <v>200</v>
      </c>
    </row>
    <row r="166" spans="10:53" ht="16.2" customHeight="1">
      <c r="J166" s="80" t="s">
        <v>747</v>
      </c>
      <c r="K166" s="80" t="s">
        <v>7101</v>
      </c>
      <c r="L166" t="s">
        <v>184</v>
      </c>
      <c r="M166" t="s">
        <v>159</v>
      </c>
      <c r="N166" t="str">
        <f t="shared" si="39"/>
        <v>Double RearDesigner 15 Hand DrawnDecorator 2071Single Face Fix Brackets</v>
      </c>
      <c r="O166">
        <v>20</v>
      </c>
      <c r="P166">
        <v>35</v>
      </c>
      <c r="Q166" s="80">
        <v>0</v>
      </c>
      <c r="R166" s="80">
        <f t="shared" si="40"/>
        <v>15</v>
      </c>
      <c r="AD166"/>
      <c r="AH166" s="86" t="s">
        <v>419</v>
      </c>
      <c r="AI166" s="11" t="s">
        <v>366</v>
      </c>
      <c r="AJ166" s="11" t="s">
        <v>160</v>
      </c>
      <c r="AK166" s="80" t="str">
        <f t="shared" si="45"/>
        <v>Hospital with CassetteAnodised SilverStraight</v>
      </c>
      <c r="AL166" s="80" t="s">
        <v>274</v>
      </c>
      <c r="AM166" s="80" t="s">
        <v>120</v>
      </c>
      <c r="AN166" s="80">
        <v>0</v>
      </c>
      <c r="AO166" s="80" t="s">
        <v>120</v>
      </c>
      <c r="AW166" s="80" t="s">
        <v>603</v>
      </c>
      <c r="AX166" s="80" t="s">
        <v>5903</v>
      </c>
      <c r="AY166" t="str">
        <f t="shared" si="41"/>
        <v>Rod Pocket (Extra Fullness x 3)Centre Opening - Free Flowing (Offset Split)</v>
      </c>
      <c r="AZ166" s="80">
        <v>3</v>
      </c>
      <c r="BA166" s="80">
        <v>200</v>
      </c>
    </row>
    <row r="167" spans="10:53" ht="16.2" customHeight="1">
      <c r="J167" s="80" t="s">
        <v>725</v>
      </c>
      <c r="K167" s="80" t="s">
        <v>7101</v>
      </c>
      <c r="L167" t="s">
        <v>184</v>
      </c>
      <c r="M167" t="s">
        <v>159</v>
      </c>
      <c r="N167" t="str">
        <f t="shared" si="39"/>
        <v>SingleDesigner 15 Hand DrawnDecorator 2071Single Face Fix Brackets</v>
      </c>
      <c r="O167">
        <v>20</v>
      </c>
      <c r="P167">
        <v>35</v>
      </c>
      <c r="Q167" s="80">
        <v>0</v>
      </c>
      <c r="R167" s="80">
        <f t="shared" si="40"/>
        <v>15</v>
      </c>
      <c r="AD167"/>
      <c r="AH167" s="86" t="s">
        <v>419</v>
      </c>
      <c r="AI167" s="86" t="s">
        <v>191</v>
      </c>
      <c r="AJ167" s="11" t="s">
        <v>11556</v>
      </c>
      <c r="AK167" s="80" t="str">
        <f t="shared" si="45"/>
        <v>Hospital with CassetteWhiteBent</v>
      </c>
      <c r="AL167" s="80" t="s">
        <v>274</v>
      </c>
      <c r="AM167" s="80" t="s">
        <v>120</v>
      </c>
      <c r="AN167" s="80">
        <v>0</v>
      </c>
      <c r="AO167" s="80" t="s">
        <v>120</v>
      </c>
      <c r="AW167" t="s">
        <v>250</v>
      </c>
      <c r="AX167" t="s">
        <v>138</v>
      </c>
      <c r="AY167" t="str">
        <f t="shared" si="41"/>
        <v>Rod Pocket (Less Fullness x 2)Centre Opening</v>
      </c>
      <c r="AZ167" s="80">
        <v>2</v>
      </c>
      <c r="BA167" s="80">
        <v>400</v>
      </c>
    </row>
    <row r="168" spans="10:53" ht="16.2" customHeight="1">
      <c r="J168" s="80" t="s">
        <v>746</v>
      </c>
      <c r="K168" s="80" t="s">
        <v>7101</v>
      </c>
      <c r="L168" t="s">
        <v>6468</v>
      </c>
      <c r="M168" t="s">
        <v>159</v>
      </c>
      <c r="N168" t="str">
        <f t="shared" si="39"/>
        <v>Double FrontDesigner 15 Hand DrawnGather Hook Bottom PocketSingle Face Fix Brackets</v>
      </c>
      <c r="O168">
        <v>60</v>
      </c>
      <c r="P168">
        <v>35</v>
      </c>
      <c r="Q168" s="80">
        <v>0</v>
      </c>
      <c r="R168" s="80">
        <f t="shared" si="40"/>
        <v>-25</v>
      </c>
      <c r="AD168"/>
      <c r="AH168" s="86" t="s">
        <v>419</v>
      </c>
      <c r="AI168" s="86" t="s">
        <v>191</v>
      </c>
      <c r="AJ168" s="11" t="s">
        <v>160</v>
      </c>
      <c r="AK168" s="80" t="str">
        <f t="shared" si="45"/>
        <v>Hospital with CassetteWhiteStraight</v>
      </c>
      <c r="AL168" s="80" t="s">
        <v>274</v>
      </c>
      <c r="AM168" s="80" t="s">
        <v>120</v>
      </c>
      <c r="AN168" s="80">
        <v>0</v>
      </c>
      <c r="AO168" s="80" t="s">
        <v>120</v>
      </c>
      <c r="AW168" t="s">
        <v>250</v>
      </c>
      <c r="AX168" t="s">
        <v>5902</v>
      </c>
      <c r="AY168" t="str">
        <f t="shared" si="41"/>
        <v>Rod Pocket (Less Fullness x 2)Centre Opening (Offset Split)</v>
      </c>
      <c r="AZ168" s="80">
        <v>2</v>
      </c>
      <c r="BA168" s="80">
        <v>400</v>
      </c>
    </row>
    <row r="169" spans="10:53" ht="16.2" customHeight="1">
      <c r="J169" s="80" t="s">
        <v>725</v>
      </c>
      <c r="K169" s="80" t="s">
        <v>7101</v>
      </c>
      <c r="L169" t="s">
        <v>6468</v>
      </c>
      <c r="M169" t="s">
        <v>159</v>
      </c>
      <c r="N169" t="str">
        <f t="shared" si="39"/>
        <v>SingleDesigner 15 Hand DrawnGather Hook Bottom PocketSingle Face Fix Brackets</v>
      </c>
      <c r="O169">
        <v>60</v>
      </c>
      <c r="P169">
        <v>35</v>
      </c>
      <c r="Q169" s="80">
        <v>0</v>
      </c>
      <c r="R169" s="80">
        <f t="shared" si="40"/>
        <v>-25</v>
      </c>
      <c r="AD169"/>
      <c r="AH169" s="86" t="s">
        <v>5440</v>
      </c>
      <c r="AI169" s="11" t="s">
        <v>193</v>
      </c>
      <c r="AJ169" s="11" t="s">
        <v>11556</v>
      </c>
      <c r="AK169" s="80" t="str">
        <f t="shared" si="45"/>
        <v>Motorised Acmeda 12v Remote Curtain TrackBlackBent</v>
      </c>
      <c r="AL169" s="80" t="s">
        <v>274</v>
      </c>
      <c r="AM169" s="80" t="s">
        <v>181</v>
      </c>
      <c r="AN169" s="80">
        <v>200</v>
      </c>
      <c r="AO169" s="80" t="s">
        <v>120</v>
      </c>
      <c r="AW169" t="s">
        <v>250</v>
      </c>
      <c r="AX169" t="s">
        <v>141</v>
      </c>
      <c r="AY169" t="str">
        <f t="shared" si="41"/>
        <v>Rod Pocket (Less Fullness x 2)Single Panel - Left Stacking</v>
      </c>
      <c r="AZ169" s="80">
        <v>2</v>
      </c>
      <c r="BA169" s="80">
        <v>200</v>
      </c>
    </row>
    <row r="170" spans="10:53" ht="16.2" customHeight="1">
      <c r="J170" s="80" t="s">
        <v>746</v>
      </c>
      <c r="K170" s="80" t="s">
        <v>7101</v>
      </c>
      <c r="L170" t="s">
        <v>229</v>
      </c>
      <c r="M170" t="s">
        <v>159</v>
      </c>
      <c r="N170" t="str">
        <f t="shared" si="39"/>
        <v>Double FrontDesigner 15 Hand DrawnGather Hook LevelSingle Face Fix Brackets</v>
      </c>
      <c r="O170">
        <v>20</v>
      </c>
      <c r="P170">
        <v>35</v>
      </c>
      <c r="Q170" s="80">
        <v>0</v>
      </c>
      <c r="R170" s="80">
        <f t="shared" si="40"/>
        <v>15</v>
      </c>
      <c r="AD170"/>
      <c r="AH170" s="86" t="s">
        <v>5440</v>
      </c>
      <c r="AI170" s="11" t="s">
        <v>193</v>
      </c>
      <c r="AJ170" s="11" t="s">
        <v>160</v>
      </c>
      <c r="AK170" s="80" t="str">
        <f t="shared" si="45"/>
        <v>Motorised Acmeda 12v Remote Curtain TrackBlackStraight</v>
      </c>
      <c r="AL170" s="80" t="s">
        <v>274</v>
      </c>
      <c r="AM170" s="80" t="s">
        <v>181</v>
      </c>
      <c r="AN170" s="80">
        <v>200</v>
      </c>
      <c r="AO170" s="80" t="s">
        <v>120</v>
      </c>
      <c r="AW170" t="s">
        <v>250</v>
      </c>
      <c r="AX170" t="s">
        <v>142</v>
      </c>
      <c r="AY170" t="str">
        <f t="shared" si="41"/>
        <v>Rod Pocket (Less Fullness x 2)Single Panel - Right Stacking</v>
      </c>
      <c r="AZ170" s="80">
        <v>2</v>
      </c>
      <c r="BA170" s="80">
        <v>200</v>
      </c>
    </row>
    <row r="171" spans="10:53" ht="16.2" customHeight="1">
      <c r="J171" s="80" t="s">
        <v>747</v>
      </c>
      <c r="K171" s="80" t="s">
        <v>7101</v>
      </c>
      <c r="L171" t="s">
        <v>229</v>
      </c>
      <c r="M171" t="s">
        <v>159</v>
      </c>
      <c r="N171" t="str">
        <f t="shared" si="39"/>
        <v>Double RearDesigner 15 Hand DrawnGather Hook LevelSingle Face Fix Brackets</v>
      </c>
      <c r="O171">
        <v>20</v>
      </c>
      <c r="P171">
        <v>35</v>
      </c>
      <c r="Q171" s="80">
        <v>0</v>
      </c>
      <c r="R171" s="80">
        <f t="shared" si="40"/>
        <v>15</v>
      </c>
      <c r="AD171"/>
      <c r="AH171" s="86" t="s">
        <v>5440</v>
      </c>
      <c r="AI171" s="11" t="s">
        <v>191</v>
      </c>
      <c r="AJ171" s="11" t="s">
        <v>11556</v>
      </c>
      <c r="AK171" s="80" t="str">
        <f t="shared" si="46" ref="AK171:AK180">CONCATENATE(AH171,AI171,AJ171)</f>
        <v>Motorised Acmeda 12v Remote Curtain TrackWhiteBent</v>
      </c>
      <c r="AL171" s="80" t="s">
        <v>274</v>
      </c>
      <c r="AM171" s="80" t="s">
        <v>181</v>
      </c>
      <c r="AN171" s="80">
        <v>200</v>
      </c>
      <c r="AO171" s="80" t="s">
        <v>120</v>
      </c>
      <c r="AW171" t="s">
        <v>250</v>
      </c>
      <c r="AX171" t="s">
        <v>143</v>
      </c>
      <c r="AY171" t="str">
        <f t="shared" si="41"/>
        <v>Rod Pocket (Less Fullness x 2)Single Panel - Free Flowing</v>
      </c>
      <c r="AZ171" s="80">
        <v>2</v>
      </c>
      <c r="BA171" s="80">
        <v>200</v>
      </c>
    </row>
    <row r="172" spans="10:53" ht="16.2" customHeight="1">
      <c r="J172" s="80" t="s">
        <v>725</v>
      </c>
      <c r="K172" s="80" t="s">
        <v>7101</v>
      </c>
      <c r="L172" t="s">
        <v>229</v>
      </c>
      <c r="M172" t="s">
        <v>159</v>
      </c>
      <c r="N172" t="str">
        <f t="shared" si="39"/>
        <v>SingleDesigner 15 Hand DrawnGather Hook LevelSingle Face Fix Brackets</v>
      </c>
      <c r="O172">
        <v>20</v>
      </c>
      <c r="P172">
        <v>35</v>
      </c>
      <c r="Q172" s="80">
        <v>0</v>
      </c>
      <c r="R172" s="80">
        <f t="shared" si="40"/>
        <v>15</v>
      </c>
      <c r="AD172"/>
      <c r="AH172" s="86" t="s">
        <v>5440</v>
      </c>
      <c r="AI172" s="11" t="s">
        <v>191</v>
      </c>
      <c r="AJ172" s="11" t="s">
        <v>160</v>
      </c>
      <c r="AK172" s="80" t="str">
        <f t="shared" si="46"/>
        <v>Motorised Acmeda 12v Remote Curtain TrackWhiteStraight</v>
      </c>
      <c r="AL172" s="80" t="s">
        <v>274</v>
      </c>
      <c r="AM172" s="80" t="s">
        <v>181</v>
      </c>
      <c r="AN172" s="80">
        <v>200</v>
      </c>
      <c r="AO172" s="80" t="s">
        <v>120</v>
      </c>
      <c r="AW172" t="s">
        <v>250</v>
      </c>
      <c r="AX172" t="s">
        <v>717</v>
      </c>
      <c r="AY172" t="str">
        <f t="shared" si="41"/>
        <v>Rod Pocket (Less Fullness x 2)Centre Opening - Free Flowing</v>
      </c>
      <c r="AZ172" s="80">
        <v>2</v>
      </c>
      <c r="BA172" s="80">
        <v>400</v>
      </c>
    </row>
    <row r="173" spans="10:53" ht="16.2" customHeight="1">
      <c r="J173" s="80" t="s">
        <v>746</v>
      </c>
      <c r="K173" s="80" t="s">
        <v>7101</v>
      </c>
      <c r="L173" t="s">
        <v>228</v>
      </c>
      <c r="M173" t="s">
        <v>159</v>
      </c>
      <c r="N173" t="str">
        <f t="shared" si="39"/>
        <v>Double FrontDesigner 15 Hand DrawnGather Hook NormalSingle Face Fix Brackets</v>
      </c>
      <c r="O173">
        <v>43</v>
      </c>
      <c r="P173">
        <v>35</v>
      </c>
      <c r="Q173" s="80">
        <v>0</v>
      </c>
      <c r="R173" s="80">
        <f t="shared" si="40"/>
        <v>-8</v>
      </c>
      <c r="AD173"/>
      <c r="AH173" s="86" t="s">
        <v>5441</v>
      </c>
      <c r="AI173" s="11" t="s">
        <v>193</v>
      </c>
      <c r="AJ173" s="11" t="s">
        <v>11556</v>
      </c>
      <c r="AK173" s="80" t="str">
        <f t="shared" si="46"/>
        <v>Motorised Acmeda 240v Remote Curtain TrackBlackBent</v>
      </c>
      <c r="AL173" s="80" t="s">
        <v>274</v>
      </c>
      <c r="AM173" s="80" t="s">
        <v>181</v>
      </c>
      <c r="AN173" s="80">
        <v>200</v>
      </c>
      <c r="AO173" s="80" t="s">
        <v>120</v>
      </c>
      <c r="AW173" t="s">
        <v>250</v>
      </c>
      <c r="AX173" t="s">
        <v>154</v>
      </c>
      <c r="AY173" t="str">
        <f t="shared" si="41"/>
        <v>Rod Pocket (Less Fullness x 2)No Movement</v>
      </c>
      <c r="AZ173" s="80">
        <v>2</v>
      </c>
      <c r="BA173" s="80">
        <v>200</v>
      </c>
    </row>
    <row r="174" spans="10:53" ht="16.2" customHeight="1">
      <c r="J174" s="80" t="s">
        <v>747</v>
      </c>
      <c r="K174" s="80" t="s">
        <v>7101</v>
      </c>
      <c r="L174" t="s">
        <v>228</v>
      </c>
      <c r="M174" t="s">
        <v>159</v>
      </c>
      <c r="N174" t="str">
        <f t="shared" si="39"/>
        <v>Double RearDesigner 15 Hand DrawnGather Hook NormalSingle Face Fix Brackets</v>
      </c>
      <c r="O174">
        <v>43</v>
      </c>
      <c r="P174">
        <v>35</v>
      </c>
      <c r="Q174" s="80">
        <v>0</v>
      </c>
      <c r="R174" s="80">
        <f t="shared" si="40"/>
        <v>-8</v>
      </c>
      <c r="AD174"/>
      <c r="AH174" s="86" t="s">
        <v>5441</v>
      </c>
      <c r="AI174" s="11" t="s">
        <v>193</v>
      </c>
      <c r="AJ174" s="11" t="s">
        <v>160</v>
      </c>
      <c r="AK174" s="80" t="str">
        <f t="shared" si="46"/>
        <v>Motorised Acmeda 240v Remote Curtain TrackBlackStraight</v>
      </c>
      <c r="AL174" s="80" t="s">
        <v>274</v>
      </c>
      <c r="AM174" s="80" t="s">
        <v>181</v>
      </c>
      <c r="AN174" s="80">
        <v>200</v>
      </c>
      <c r="AO174" s="80" t="s">
        <v>120</v>
      </c>
      <c r="AW174" s="80" t="s">
        <v>250</v>
      </c>
      <c r="AX174" s="80" t="s">
        <v>5903</v>
      </c>
      <c r="AY174" t="str">
        <f t="shared" si="41"/>
        <v>Rod Pocket (Less Fullness x 2)Centre Opening - Free Flowing (Offset Split)</v>
      </c>
      <c r="AZ174" s="80">
        <v>2</v>
      </c>
      <c r="BA174" s="80">
        <v>200</v>
      </c>
    </row>
    <row r="175" spans="10:53" ht="16.2" customHeight="1">
      <c r="J175" s="80" t="s">
        <v>725</v>
      </c>
      <c r="K175" s="80" t="s">
        <v>7101</v>
      </c>
      <c r="L175" t="s">
        <v>228</v>
      </c>
      <c r="M175" t="s">
        <v>159</v>
      </c>
      <c r="N175" t="str">
        <f t="shared" si="39"/>
        <v>SingleDesigner 15 Hand DrawnGather Hook NormalSingle Face Fix Brackets</v>
      </c>
      <c r="O175">
        <v>43</v>
      </c>
      <c r="P175">
        <v>35</v>
      </c>
      <c r="Q175" s="80">
        <v>0</v>
      </c>
      <c r="R175" s="80">
        <f t="shared" si="40"/>
        <v>-8</v>
      </c>
      <c r="AD175"/>
      <c r="AH175" s="86" t="s">
        <v>5441</v>
      </c>
      <c r="AI175" s="11" t="s">
        <v>191</v>
      </c>
      <c r="AJ175" s="11" t="s">
        <v>11556</v>
      </c>
      <c r="AK175" s="80" t="str">
        <f t="shared" si="46"/>
        <v>Motorised Acmeda 240v Remote Curtain TrackWhiteBent</v>
      </c>
      <c r="AL175" s="80" t="s">
        <v>274</v>
      </c>
      <c r="AM175" s="80" t="s">
        <v>181</v>
      </c>
      <c r="AN175" s="80">
        <v>200</v>
      </c>
      <c r="AO175" s="80" t="s">
        <v>120</v>
      </c>
      <c r="AW175" t="s">
        <v>249</v>
      </c>
      <c r="AX175" t="s">
        <v>138</v>
      </c>
      <c r="AY175" t="str">
        <f t="shared" si="41"/>
        <v>Rod Pocket (Standard Fullness x 2.5)Centre Opening</v>
      </c>
      <c r="AZ175" s="80">
        <v>2.5</v>
      </c>
      <c r="BA175" s="80">
        <v>400</v>
      </c>
    </row>
    <row r="176" spans="10:53" ht="16.2" customHeight="1">
      <c r="J176" s="80" t="s">
        <v>746</v>
      </c>
      <c r="K176" s="80" t="s">
        <v>7101</v>
      </c>
      <c r="L176" t="s">
        <v>282</v>
      </c>
      <c r="M176" t="s">
        <v>159</v>
      </c>
      <c r="N176" t="str">
        <f t="shared" si="39"/>
        <v>Double FrontDesigner 15 Hand DrawnLevel 2072Single Face Fix Brackets</v>
      </c>
      <c r="O176">
        <v>38</v>
      </c>
      <c r="P176">
        <v>35</v>
      </c>
      <c r="Q176" s="80">
        <v>0</v>
      </c>
      <c r="R176" s="80">
        <f t="shared" si="40"/>
        <v>-3</v>
      </c>
      <c r="AD176"/>
      <c r="AH176" s="86" t="s">
        <v>5441</v>
      </c>
      <c r="AI176" s="11" t="s">
        <v>191</v>
      </c>
      <c r="AJ176" s="11" t="s">
        <v>160</v>
      </c>
      <c r="AK176" s="80" t="str">
        <f t="shared" si="46"/>
        <v>Motorised Acmeda 240v Remote Curtain TrackWhiteStraight</v>
      </c>
      <c r="AL176" s="80" t="s">
        <v>274</v>
      </c>
      <c r="AM176" s="80" t="s">
        <v>181</v>
      </c>
      <c r="AN176" s="80">
        <v>200</v>
      </c>
      <c r="AO176" s="80" t="s">
        <v>120</v>
      </c>
      <c r="AW176" t="s">
        <v>249</v>
      </c>
      <c r="AX176" t="s">
        <v>5902</v>
      </c>
      <c r="AY176" t="str">
        <f t="shared" si="41"/>
        <v>Rod Pocket (Standard Fullness x 2.5)Centre Opening (Offset Split)</v>
      </c>
      <c r="AZ176" s="80">
        <v>2.5</v>
      </c>
      <c r="BA176" s="80">
        <v>400</v>
      </c>
    </row>
    <row r="177" spans="10:53" ht="16.2" customHeight="1">
      <c r="J177" s="80" t="s">
        <v>747</v>
      </c>
      <c r="K177" s="80" t="s">
        <v>7101</v>
      </c>
      <c r="L177" t="s">
        <v>282</v>
      </c>
      <c r="M177" t="s">
        <v>159</v>
      </c>
      <c r="N177" t="str">
        <f t="shared" si="39"/>
        <v>Double RearDesigner 15 Hand DrawnLevel 2072Single Face Fix Brackets</v>
      </c>
      <c r="O177">
        <v>38</v>
      </c>
      <c r="P177">
        <v>35</v>
      </c>
      <c r="Q177" s="80">
        <v>0</v>
      </c>
      <c r="R177" s="80">
        <f t="shared" si="40"/>
        <v>-3</v>
      </c>
      <c r="AD177"/>
      <c r="AH177" s="86" t="s">
        <v>5357</v>
      </c>
      <c r="AI177" s="86" t="s">
        <v>193</v>
      </c>
      <c r="AJ177" s="11" t="s">
        <v>11556</v>
      </c>
      <c r="AK177" s="80" t="str">
        <f t="shared" si="46"/>
        <v>Motorised Saber 12v Remote TrackBlackBent</v>
      </c>
      <c r="AL177" s="80" t="s">
        <v>274</v>
      </c>
      <c r="AM177" s="80" t="s">
        <v>181</v>
      </c>
      <c r="AN177" s="80">
        <v>200</v>
      </c>
      <c r="AO177" s="80" t="s">
        <v>120</v>
      </c>
      <c r="AW177" t="s">
        <v>249</v>
      </c>
      <c r="AX177" t="s">
        <v>141</v>
      </c>
      <c r="AY177" t="str">
        <f t="shared" si="41"/>
        <v>Rod Pocket (Standard Fullness x 2.5)Single Panel - Left Stacking</v>
      </c>
      <c r="AZ177" s="80">
        <v>2.5</v>
      </c>
      <c r="BA177" s="80">
        <v>200</v>
      </c>
    </row>
    <row r="178" spans="10:53" ht="16.2" customHeight="1">
      <c r="J178" s="80" t="s">
        <v>725</v>
      </c>
      <c r="K178" s="80" t="s">
        <v>7101</v>
      </c>
      <c r="L178" t="s">
        <v>282</v>
      </c>
      <c r="M178" t="s">
        <v>159</v>
      </c>
      <c r="N178" t="str">
        <f t="shared" si="39"/>
        <v>SingleDesigner 15 Hand DrawnLevel 2072Single Face Fix Brackets</v>
      </c>
      <c r="O178">
        <v>35</v>
      </c>
      <c r="P178">
        <v>35</v>
      </c>
      <c r="Q178" s="80">
        <v>0</v>
      </c>
      <c r="R178" s="80">
        <f t="shared" si="40"/>
        <v>0</v>
      </c>
      <c r="AD178"/>
      <c r="AH178" s="86" t="s">
        <v>5357</v>
      </c>
      <c r="AI178" s="86" t="s">
        <v>193</v>
      </c>
      <c r="AJ178" s="11" t="s">
        <v>160</v>
      </c>
      <c r="AK178" s="80" t="str">
        <f t="shared" si="46"/>
        <v>Motorised Saber 12v Remote TrackBlackStraight</v>
      </c>
      <c r="AL178" s="80" t="s">
        <v>274</v>
      </c>
      <c r="AM178" s="80" t="s">
        <v>181</v>
      </c>
      <c r="AN178" s="80">
        <v>200</v>
      </c>
      <c r="AO178" s="80" t="s">
        <v>120</v>
      </c>
      <c r="AW178" t="s">
        <v>249</v>
      </c>
      <c r="AX178" t="s">
        <v>142</v>
      </c>
      <c r="AY178" t="str">
        <f t="shared" si="41"/>
        <v>Rod Pocket (Standard Fullness x 2.5)Single Panel - Right Stacking</v>
      </c>
      <c r="AZ178" s="80">
        <v>2.5</v>
      </c>
      <c r="BA178" s="80">
        <v>200</v>
      </c>
    </row>
    <row r="179" spans="10:53" ht="16.2" customHeight="1">
      <c r="J179" s="80" t="s">
        <v>746</v>
      </c>
      <c r="K179" s="80" t="s">
        <v>7101</v>
      </c>
      <c r="L179" t="s">
        <v>170</v>
      </c>
      <c r="M179" t="s">
        <v>159</v>
      </c>
      <c r="N179" t="str">
        <f t="shared" si="39"/>
        <v>Double FrontDesigner 15 Hand DrawnNormal 2074Single Face Fix Brackets</v>
      </c>
      <c r="O179">
        <v>60</v>
      </c>
      <c r="P179">
        <v>35</v>
      </c>
      <c r="Q179" s="80">
        <v>0</v>
      </c>
      <c r="R179" s="80">
        <f t="shared" si="40"/>
        <v>-25</v>
      </c>
      <c r="AD179"/>
      <c r="AH179" s="86" t="s">
        <v>5357</v>
      </c>
      <c r="AI179" s="11" t="s">
        <v>191</v>
      </c>
      <c r="AJ179" s="11" t="s">
        <v>11556</v>
      </c>
      <c r="AK179" s="80" t="str">
        <f t="shared" si="46"/>
        <v>Motorised Saber 12v Remote TrackWhiteBent</v>
      </c>
      <c r="AL179" s="80" t="s">
        <v>274</v>
      </c>
      <c r="AM179" s="80" t="s">
        <v>181</v>
      </c>
      <c r="AN179" s="80">
        <v>200</v>
      </c>
      <c r="AO179" s="80" t="s">
        <v>120</v>
      </c>
      <c r="AW179" t="s">
        <v>249</v>
      </c>
      <c r="AX179" t="s">
        <v>143</v>
      </c>
      <c r="AY179" t="str">
        <f t="shared" si="41"/>
        <v>Rod Pocket (Standard Fullness x 2.5)Single Panel - Free Flowing</v>
      </c>
      <c r="AZ179" s="80">
        <v>2.5</v>
      </c>
      <c r="BA179" s="80">
        <v>200</v>
      </c>
    </row>
    <row r="180" spans="10:53" ht="16.2" customHeight="1">
      <c r="J180" s="80" t="s">
        <v>747</v>
      </c>
      <c r="K180" s="80" t="s">
        <v>7101</v>
      </c>
      <c r="L180" t="s">
        <v>170</v>
      </c>
      <c r="M180" t="s">
        <v>159</v>
      </c>
      <c r="N180" t="str">
        <f t="shared" si="39"/>
        <v>Double RearDesigner 15 Hand DrawnNormal 2074Single Face Fix Brackets</v>
      </c>
      <c r="O180">
        <v>60</v>
      </c>
      <c r="P180">
        <v>35</v>
      </c>
      <c r="Q180" s="80">
        <v>0</v>
      </c>
      <c r="R180" s="80">
        <f t="shared" si="40"/>
        <v>-25</v>
      </c>
      <c r="AD180"/>
      <c r="AH180" s="86" t="s">
        <v>5357</v>
      </c>
      <c r="AI180" s="11" t="s">
        <v>191</v>
      </c>
      <c r="AJ180" s="11" t="s">
        <v>160</v>
      </c>
      <c r="AK180" s="80" t="str">
        <f t="shared" si="46"/>
        <v>Motorised Saber 12v Remote TrackWhiteStraight</v>
      </c>
      <c r="AL180" s="80" t="s">
        <v>274</v>
      </c>
      <c r="AM180" s="80" t="s">
        <v>181</v>
      </c>
      <c r="AN180" s="80">
        <v>200</v>
      </c>
      <c r="AO180" s="80" t="s">
        <v>120</v>
      </c>
      <c r="AW180" t="s">
        <v>249</v>
      </c>
      <c r="AX180" t="s">
        <v>717</v>
      </c>
      <c r="AY180" t="str">
        <f t="shared" si="41"/>
        <v>Rod Pocket (Standard Fullness x 2.5)Centre Opening - Free Flowing</v>
      </c>
      <c r="AZ180" s="80">
        <v>2.5</v>
      </c>
      <c r="BA180" s="80">
        <v>400</v>
      </c>
    </row>
    <row r="181" spans="10:53" ht="16.2" customHeight="1">
      <c r="J181" s="80" t="s">
        <v>725</v>
      </c>
      <c r="K181" s="80" t="s">
        <v>7101</v>
      </c>
      <c r="L181" t="s">
        <v>170</v>
      </c>
      <c r="M181" t="s">
        <v>159</v>
      </c>
      <c r="N181" t="str">
        <f t="shared" si="39"/>
        <v>SingleDesigner 15 Hand DrawnNormal 2074Single Face Fix Brackets</v>
      </c>
      <c r="O181">
        <v>60</v>
      </c>
      <c r="P181">
        <v>35</v>
      </c>
      <c r="Q181" s="80">
        <v>0</v>
      </c>
      <c r="R181" s="80">
        <f t="shared" si="40"/>
        <v>-25</v>
      </c>
      <c r="AD181"/>
      <c r="AH181" s="86" t="s">
        <v>5354</v>
      </c>
      <c r="AI181" s="86" t="s">
        <v>193</v>
      </c>
      <c r="AJ181" s="11" t="s">
        <v>11556</v>
      </c>
      <c r="AK181" s="80" t="str">
        <f t="shared" si="47" ref="AK181:AK188">CONCATENATE(AH181,AI181,AJ181)</f>
        <v>Motorised Saber 240v Remote TrackBlackBent</v>
      </c>
      <c r="AL181" s="80" t="s">
        <v>274</v>
      </c>
      <c r="AM181" s="80" t="s">
        <v>181</v>
      </c>
      <c r="AN181" s="80">
        <v>200</v>
      </c>
      <c r="AO181" s="80" t="s">
        <v>120</v>
      </c>
      <c r="AW181" t="s">
        <v>249</v>
      </c>
      <c r="AX181" t="s">
        <v>154</v>
      </c>
      <c r="AY181" t="str">
        <f t="shared" si="41"/>
        <v>Rod Pocket (Standard Fullness x 2.5)No Movement</v>
      </c>
      <c r="AZ181" s="80">
        <v>2.5</v>
      </c>
      <c r="BA181" s="80">
        <v>200</v>
      </c>
    </row>
    <row r="182" spans="10:53" ht="16.2" customHeight="1">
      <c r="J182" s="80" t="s">
        <v>746</v>
      </c>
      <c r="K182" s="80" t="s">
        <v>7101</v>
      </c>
      <c r="L182" t="s">
        <v>183</v>
      </c>
      <c r="M182" t="s">
        <v>161</v>
      </c>
      <c r="N182" t="str">
        <f t="shared" si="39"/>
        <v>Double FrontDesigner 15 Hand DrawnBelow Normal 2075Top Fix Brackets</v>
      </c>
      <c r="O182">
        <v>70</v>
      </c>
      <c r="P182">
        <v>30</v>
      </c>
      <c r="Q182" s="80">
        <v>0</v>
      </c>
      <c r="R182" s="80">
        <f t="shared" si="40"/>
        <v>-40</v>
      </c>
      <c r="AD182"/>
      <c r="AH182" s="86" t="s">
        <v>5354</v>
      </c>
      <c r="AI182" s="86" t="s">
        <v>193</v>
      </c>
      <c r="AJ182" s="11" t="s">
        <v>160</v>
      </c>
      <c r="AK182" s="80" t="str">
        <f t="shared" si="47"/>
        <v>Motorised Saber 240v Remote TrackBlackStraight</v>
      </c>
      <c r="AL182" s="80" t="s">
        <v>274</v>
      </c>
      <c r="AM182" s="80" t="s">
        <v>181</v>
      </c>
      <c r="AN182" s="80">
        <v>200</v>
      </c>
      <c r="AO182" s="80" t="s">
        <v>120</v>
      </c>
      <c r="AW182" s="80" t="s">
        <v>249</v>
      </c>
      <c r="AX182" s="80" t="s">
        <v>5903</v>
      </c>
      <c r="AY182" t="str">
        <f t="shared" si="41"/>
        <v>Rod Pocket (Standard Fullness x 2.5)Centre Opening - Free Flowing (Offset Split)</v>
      </c>
      <c r="AZ182" s="80">
        <v>2.5</v>
      </c>
      <c r="BA182" s="80">
        <v>200</v>
      </c>
    </row>
    <row r="183" spans="10:53" ht="16.2" customHeight="1">
      <c r="J183" s="80" t="s">
        <v>747</v>
      </c>
      <c r="K183" s="80" t="s">
        <v>7101</v>
      </c>
      <c r="L183" t="s">
        <v>183</v>
      </c>
      <c r="M183" t="s">
        <v>161</v>
      </c>
      <c r="N183" t="str">
        <f t="shared" si="39"/>
        <v>Double RearDesigner 15 Hand DrawnBelow Normal 2075Top Fix Brackets</v>
      </c>
      <c r="O183">
        <v>70</v>
      </c>
      <c r="P183">
        <v>30</v>
      </c>
      <c r="Q183" s="80">
        <v>0</v>
      </c>
      <c r="R183" s="80">
        <f t="shared" si="40"/>
        <v>-40</v>
      </c>
      <c r="AD183"/>
      <c r="AH183" s="86" t="s">
        <v>5354</v>
      </c>
      <c r="AI183" s="11" t="s">
        <v>191</v>
      </c>
      <c r="AJ183" s="11" t="s">
        <v>11556</v>
      </c>
      <c r="AK183" s="80" t="str">
        <f t="shared" si="47"/>
        <v>Motorised Saber 240v Remote TrackWhiteBent</v>
      </c>
      <c r="AL183" s="80" t="s">
        <v>274</v>
      </c>
      <c r="AM183" s="80" t="s">
        <v>181</v>
      </c>
      <c r="AN183" s="80">
        <v>200</v>
      </c>
      <c r="AO183" s="80" t="s">
        <v>120</v>
      </c>
      <c r="AW183" t="s">
        <v>395</v>
      </c>
      <c r="AX183" t="s">
        <v>138</v>
      </c>
      <c r="AY183" t="str">
        <f t="shared" si="41"/>
        <v>Rod Pocket Top &amp; Bottom (Extra Fullness x 3))Centre Opening</v>
      </c>
      <c r="AZ183" s="80">
        <v>3</v>
      </c>
      <c r="BA183" s="80">
        <v>400</v>
      </c>
    </row>
    <row r="184" spans="10:53" ht="16.2" customHeight="1">
      <c r="J184" s="80" t="s">
        <v>725</v>
      </c>
      <c r="K184" s="80" t="s">
        <v>7101</v>
      </c>
      <c r="L184" t="s">
        <v>183</v>
      </c>
      <c r="M184" t="s">
        <v>161</v>
      </c>
      <c r="N184" t="str">
        <f t="shared" si="39"/>
        <v>SingleDesigner 15 Hand DrawnBelow Normal 2075Top Fix Brackets</v>
      </c>
      <c r="O184">
        <v>70</v>
      </c>
      <c r="P184">
        <v>30</v>
      </c>
      <c r="Q184" s="80">
        <v>0</v>
      </c>
      <c r="R184" s="80">
        <f t="shared" si="40"/>
        <v>-40</v>
      </c>
      <c r="AD184"/>
      <c r="AH184" s="86" t="s">
        <v>5354</v>
      </c>
      <c r="AI184" s="11" t="s">
        <v>191</v>
      </c>
      <c r="AJ184" s="11" t="s">
        <v>160</v>
      </c>
      <c r="AK184" s="80" t="str">
        <f t="shared" si="47"/>
        <v>Motorised Saber 240v Remote TrackWhiteStraight</v>
      </c>
      <c r="AL184" s="80" t="s">
        <v>274</v>
      </c>
      <c r="AM184" s="80" t="s">
        <v>181</v>
      </c>
      <c r="AN184" s="80">
        <v>200</v>
      </c>
      <c r="AO184" s="80" t="s">
        <v>120</v>
      </c>
      <c r="AW184" t="s">
        <v>395</v>
      </c>
      <c r="AX184" t="s">
        <v>5902</v>
      </c>
      <c r="AY184" t="str">
        <f t="shared" si="41"/>
        <v>Rod Pocket Top &amp; Bottom (Extra Fullness x 3))Centre Opening (Offset Split)</v>
      </c>
      <c r="AZ184" s="80">
        <v>3</v>
      </c>
      <c r="BA184" s="80">
        <v>400</v>
      </c>
    </row>
    <row r="185" spans="10:53" ht="16.2" customHeight="1">
      <c r="J185" s="80" t="s">
        <v>746</v>
      </c>
      <c r="K185" s="80" t="s">
        <v>7101</v>
      </c>
      <c r="L185" t="s">
        <v>182</v>
      </c>
      <c r="M185" t="s">
        <v>161</v>
      </c>
      <c r="N185" t="str">
        <f t="shared" si="39"/>
        <v>Double FrontDesigner 15 Hand DrawnBetween Level and Normal 2073Top Fix Brackets</v>
      </c>
      <c r="O185">
        <v>48</v>
      </c>
      <c r="P185">
        <v>30</v>
      </c>
      <c r="Q185" s="80">
        <v>0</v>
      </c>
      <c r="R185" s="80">
        <f t="shared" si="40"/>
        <v>-18</v>
      </c>
      <c r="AD185"/>
      <c r="AH185" s="86" t="s">
        <v>5356</v>
      </c>
      <c r="AI185" s="86" t="s">
        <v>193</v>
      </c>
      <c r="AJ185" s="11" t="s">
        <v>11556</v>
      </c>
      <c r="AK185" s="80" t="str">
        <f t="shared" si="47"/>
        <v>Motorised Saber 240v Switch TrackBlackBent</v>
      </c>
      <c r="AL185" s="80" t="s">
        <v>274</v>
      </c>
      <c r="AM185" s="80" t="s">
        <v>181</v>
      </c>
      <c r="AN185" s="80">
        <v>200</v>
      </c>
      <c r="AO185" s="80" t="s">
        <v>120</v>
      </c>
      <c r="AW185" t="s">
        <v>395</v>
      </c>
      <c r="AX185" t="s">
        <v>141</v>
      </c>
      <c r="AY185" t="str">
        <f t="shared" si="41"/>
        <v>Rod Pocket Top &amp; Bottom (Extra Fullness x 3))Single Panel - Left Stacking</v>
      </c>
      <c r="AZ185" s="80">
        <v>3</v>
      </c>
      <c r="BA185" s="80">
        <v>200</v>
      </c>
    </row>
    <row r="186" spans="10:53" ht="16.2" customHeight="1">
      <c r="J186" s="80" t="s">
        <v>747</v>
      </c>
      <c r="K186" s="80" t="s">
        <v>7101</v>
      </c>
      <c r="L186" t="s">
        <v>182</v>
      </c>
      <c r="M186" t="s">
        <v>161</v>
      </c>
      <c r="N186" t="str">
        <f t="shared" si="39"/>
        <v>Double RearDesigner 15 Hand DrawnBetween Level and Normal 2073Top Fix Brackets</v>
      </c>
      <c r="O186">
        <v>48</v>
      </c>
      <c r="P186">
        <v>30</v>
      </c>
      <c r="Q186" s="80">
        <v>0</v>
      </c>
      <c r="R186" s="80">
        <f t="shared" si="40"/>
        <v>-18</v>
      </c>
      <c r="AD186"/>
      <c r="AH186" s="86" t="s">
        <v>5356</v>
      </c>
      <c r="AI186" s="86" t="s">
        <v>193</v>
      </c>
      <c r="AJ186" s="11" t="s">
        <v>160</v>
      </c>
      <c r="AK186" s="80" t="str">
        <f t="shared" si="47"/>
        <v>Motorised Saber 240v Switch TrackBlackStraight</v>
      </c>
      <c r="AL186" s="80" t="s">
        <v>274</v>
      </c>
      <c r="AM186" s="80" t="s">
        <v>181</v>
      </c>
      <c r="AN186" s="80">
        <v>200</v>
      </c>
      <c r="AO186" s="80" t="s">
        <v>120</v>
      </c>
      <c r="AW186" t="s">
        <v>395</v>
      </c>
      <c r="AX186" t="s">
        <v>142</v>
      </c>
      <c r="AY186" t="str">
        <f t="shared" si="41"/>
        <v>Rod Pocket Top &amp; Bottom (Extra Fullness x 3))Single Panel - Right Stacking</v>
      </c>
      <c r="AZ186" s="80">
        <v>3</v>
      </c>
      <c r="BA186" s="80">
        <v>200</v>
      </c>
    </row>
    <row r="187" spans="10:53" ht="16.2" customHeight="1">
      <c r="J187" s="80" t="s">
        <v>725</v>
      </c>
      <c r="K187" s="80" t="s">
        <v>7101</v>
      </c>
      <c r="L187" t="s">
        <v>182</v>
      </c>
      <c r="M187" t="s">
        <v>161</v>
      </c>
      <c r="N187" t="str">
        <f t="shared" si="39"/>
        <v>SingleDesigner 15 Hand DrawnBetween Level and Normal 2073Top Fix Brackets</v>
      </c>
      <c r="O187">
        <v>47</v>
      </c>
      <c r="P187">
        <v>30</v>
      </c>
      <c r="Q187" s="80">
        <v>0</v>
      </c>
      <c r="R187" s="80">
        <f t="shared" si="40"/>
        <v>-17</v>
      </c>
      <c r="AD187"/>
      <c r="AH187" s="86" t="s">
        <v>5356</v>
      </c>
      <c r="AI187" s="11" t="s">
        <v>191</v>
      </c>
      <c r="AJ187" s="11" t="s">
        <v>11556</v>
      </c>
      <c r="AK187" s="80" t="str">
        <f t="shared" si="47"/>
        <v>Motorised Saber 240v Switch TrackWhiteBent</v>
      </c>
      <c r="AL187" s="80" t="s">
        <v>274</v>
      </c>
      <c r="AM187" s="80" t="s">
        <v>181</v>
      </c>
      <c r="AN187" s="80">
        <v>200</v>
      </c>
      <c r="AO187" s="80" t="s">
        <v>120</v>
      </c>
      <c r="AW187" t="s">
        <v>395</v>
      </c>
      <c r="AX187" t="s">
        <v>143</v>
      </c>
      <c r="AY187" t="str">
        <f t="shared" si="41"/>
        <v>Rod Pocket Top &amp; Bottom (Extra Fullness x 3))Single Panel - Free Flowing</v>
      </c>
      <c r="AZ187" s="80">
        <v>3</v>
      </c>
      <c r="BA187" s="80">
        <v>200</v>
      </c>
    </row>
    <row r="188" spans="10:53" ht="16.2" customHeight="1">
      <c r="J188" s="80" t="s">
        <v>746</v>
      </c>
      <c r="K188" s="80" t="s">
        <v>7101</v>
      </c>
      <c r="L188" t="s">
        <v>184</v>
      </c>
      <c r="M188" t="s">
        <v>161</v>
      </c>
      <c r="N188" t="str">
        <f t="shared" si="39"/>
        <v>Double FrontDesigner 15 Hand DrawnDecorator 2071Top Fix Brackets</v>
      </c>
      <c r="O188">
        <v>20</v>
      </c>
      <c r="P188">
        <v>30</v>
      </c>
      <c r="Q188" s="80">
        <v>0</v>
      </c>
      <c r="R188" s="80">
        <f t="shared" si="40"/>
        <v>10</v>
      </c>
      <c r="AD188"/>
      <c r="AH188" s="86" t="s">
        <v>5356</v>
      </c>
      <c r="AI188" s="11" t="s">
        <v>191</v>
      </c>
      <c r="AJ188" s="11" t="s">
        <v>160</v>
      </c>
      <c r="AK188" s="80" t="str">
        <f t="shared" si="47"/>
        <v>Motorised Saber 240v Switch TrackWhiteStraight</v>
      </c>
      <c r="AL188" s="80" t="s">
        <v>274</v>
      </c>
      <c r="AM188" s="80" t="s">
        <v>181</v>
      </c>
      <c r="AN188" s="80">
        <v>200</v>
      </c>
      <c r="AO188" s="80" t="s">
        <v>120</v>
      </c>
      <c r="AW188" t="s">
        <v>395</v>
      </c>
      <c r="AX188" t="s">
        <v>717</v>
      </c>
      <c r="AY188" t="str">
        <f t="shared" si="41"/>
        <v>Rod Pocket Top &amp; Bottom (Extra Fullness x 3))Centre Opening - Free Flowing</v>
      </c>
      <c r="AZ188" s="80">
        <v>3</v>
      </c>
      <c r="BA188" s="80">
        <v>400</v>
      </c>
    </row>
    <row r="189" spans="10:53" ht="16.2" customHeight="1">
      <c r="J189" s="80" t="s">
        <v>747</v>
      </c>
      <c r="K189" s="80" t="s">
        <v>7101</v>
      </c>
      <c r="L189" t="s">
        <v>184</v>
      </c>
      <c r="M189" t="s">
        <v>161</v>
      </c>
      <c r="N189" t="str">
        <f t="shared" si="39"/>
        <v>Double RearDesigner 15 Hand DrawnDecorator 2071Top Fix Brackets</v>
      </c>
      <c r="O189">
        <v>20</v>
      </c>
      <c r="P189">
        <v>30</v>
      </c>
      <c r="Q189" s="80">
        <v>0</v>
      </c>
      <c r="R189" s="80">
        <f t="shared" si="40"/>
        <v>10</v>
      </c>
      <c r="AD189"/>
      <c r="AH189" s="86" t="s">
        <v>5442</v>
      </c>
      <c r="AI189" s="11" t="s">
        <v>191</v>
      </c>
      <c r="AJ189" s="11" t="s">
        <v>11556</v>
      </c>
      <c r="AK189" s="80" t="str">
        <f t="shared" si="48" ref="AK189:AK200">CONCATENATE(AH189,AI189,AJ189)</f>
        <v>Motorised Somfy 12v Remote Curtain TrackWhiteBent</v>
      </c>
      <c r="AL189" s="80" t="s">
        <v>274</v>
      </c>
      <c r="AM189" s="80" t="s">
        <v>181</v>
      </c>
      <c r="AN189" s="80">
        <v>200</v>
      </c>
      <c r="AO189" s="80" t="s">
        <v>120</v>
      </c>
      <c r="AW189" t="s">
        <v>395</v>
      </c>
      <c r="AX189" t="s">
        <v>154</v>
      </c>
      <c r="AY189" t="str">
        <f t="shared" si="41"/>
        <v>Rod Pocket Top &amp; Bottom (Extra Fullness x 3))No Movement</v>
      </c>
      <c r="AZ189" s="80">
        <v>3</v>
      </c>
      <c r="BA189" s="80">
        <v>200</v>
      </c>
    </row>
    <row r="190" spans="10:53" ht="16.2" customHeight="1">
      <c r="J190" s="80" t="s">
        <v>725</v>
      </c>
      <c r="K190" s="80" t="s">
        <v>7101</v>
      </c>
      <c r="L190" t="s">
        <v>184</v>
      </c>
      <c r="M190" t="s">
        <v>161</v>
      </c>
      <c r="N190" t="str">
        <f t="shared" si="39"/>
        <v>SingleDesigner 15 Hand DrawnDecorator 2071Top Fix Brackets</v>
      </c>
      <c r="O190">
        <v>20</v>
      </c>
      <c r="P190">
        <v>30</v>
      </c>
      <c r="Q190" s="80">
        <v>0</v>
      </c>
      <c r="R190" s="80">
        <f t="shared" si="40"/>
        <v>10</v>
      </c>
      <c r="AD190"/>
      <c r="AH190" s="86" t="s">
        <v>5442</v>
      </c>
      <c r="AI190" s="11" t="s">
        <v>191</v>
      </c>
      <c r="AJ190" s="11" t="s">
        <v>160</v>
      </c>
      <c r="AK190" s="80" t="str">
        <f t="shared" si="48"/>
        <v>Motorised Somfy 12v Remote Curtain TrackWhiteStraight</v>
      </c>
      <c r="AL190" s="80" t="s">
        <v>274</v>
      </c>
      <c r="AM190" s="80" t="s">
        <v>181</v>
      </c>
      <c r="AN190" s="80">
        <v>200</v>
      </c>
      <c r="AO190" s="80" t="s">
        <v>120</v>
      </c>
      <c r="AW190" s="80" t="s">
        <v>395</v>
      </c>
      <c r="AX190" s="80" t="s">
        <v>5903</v>
      </c>
      <c r="AY190" t="str">
        <f t="shared" si="41"/>
        <v>Rod Pocket Top &amp; Bottom (Extra Fullness x 3))Centre Opening - Free Flowing (Offset Split)</v>
      </c>
      <c r="AZ190" s="80">
        <v>3</v>
      </c>
      <c r="BA190" s="80">
        <v>200</v>
      </c>
    </row>
    <row r="191" spans="10:53" ht="16.2" customHeight="1">
      <c r="J191" s="80" t="s">
        <v>746</v>
      </c>
      <c r="K191" s="80" t="s">
        <v>7101</v>
      </c>
      <c r="L191" t="s">
        <v>6468</v>
      </c>
      <c r="M191" t="s">
        <v>161</v>
      </c>
      <c r="N191" t="str">
        <f t="shared" si="39"/>
        <v>Double FrontDesigner 15 Hand DrawnGather Hook Bottom PocketTop Fix Brackets</v>
      </c>
      <c r="O191">
        <v>60</v>
      </c>
      <c r="P191">
        <v>30</v>
      </c>
      <c r="Q191" s="80">
        <v>0</v>
      </c>
      <c r="R191" s="80">
        <f t="shared" si="40"/>
        <v>-30</v>
      </c>
      <c r="AD191"/>
      <c r="AH191" s="86" t="s">
        <v>5443</v>
      </c>
      <c r="AI191" s="11" t="s">
        <v>191</v>
      </c>
      <c r="AJ191" s="11" t="s">
        <v>11556</v>
      </c>
      <c r="AK191" s="80" t="str">
        <f t="shared" si="48"/>
        <v>Motorised Somfy 240v Remote Curtain TrackWhiteBent</v>
      </c>
      <c r="AL191" s="80" t="s">
        <v>274</v>
      </c>
      <c r="AM191" s="80" t="s">
        <v>181</v>
      </c>
      <c r="AN191" s="80">
        <v>200</v>
      </c>
      <c r="AO191" s="80" t="s">
        <v>120</v>
      </c>
      <c r="AW191" t="s">
        <v>396</v>
      </c>
      <c r="AX191" t="s">
        <v>138</v>
      </c>
      <c r="AY191" t="str">
        <f t="shared" si="41"/>
        <v>Rod Pocket Top &amp; Bottom (Less Fullness x 2)Centre Opening</v>
      </c>
      <c r="AZ191" s="80">
        <v>2</v>
      </c>
      <c r="BA191" s="80">
        <v>400</v>
      </c>
    </row>
    <row r="192" spans="10:53" ht="16.2" customHeight="1">
      <c r="J192" s="80" t="s">
        <v>725</v>
      </c>
      <c r="K192" s="80" t="s">
        <v>7101</v>
      </c>
      <c r="L192" t="s">
        <v>6468</v>
      </c>
      <c r="M192" t="s">
        <v>161</v>
      </c>
      <c r="N192" t="str">
        <f t="shared" si="39"/>
        <v>SingleDesigner 15 Hand DrawnGather Hook Bottom PocketTop Fix Brackets</v>
      </c>
      <c r="O192">
        <v>60</v>
      </c>
      <c r="P192">
        <v>30</v>
      </c>
      <c r="Q192" s="80">
        <v>0</v>
      </c>
      <c r="R192" s="80">
        <f t="shared" si="40"/>
        <v>-30</v>
      </c>
      <c r="AD192"/>
      <c r="AH192" s="86" t="s">
        <v>5443</v>
      </c>
      <c r="AI192" s="11" t="s">
        <v>191</v>
      </c>
      <c r="AJ192" s="11" t="s">
        <v>160</v>
      </c>
      <c r="AK192" s="80" t="str">
        <f t="shared" si="48"/>
        <v>Motorised Somfy 240v Remote Curtain TrackWhiteStraight</v>
      </c>
      <c r="AL192" s="80" t="s">
        <v>274</v>
      </c>
      <c r="AM192" s="80" t="s">
        <v>181</v>
      </c>
      <c r="AN192" s="80">
        <v>200</v>
      </c>
      <c r="AO192" s="80" t="s">
        <v>120</v>
      </c>
      <c r="AW192" t="s">
        <v>396</v>
      </c>
      <c r="AX192" t="s">
        <v>5902</v>
      </c>
      <c r="AY192" t="str">
        <f t="shared" si="41"/>
        <v>Rod Pocket Top &amp; Bottom (Less Fullness x 2)Centre Opening (Offset Split)</v>
      </c>
      <c r="AZ192" s="80">
        <v>2</v>
      </c>
      <c r="BA192" s="80">
        <v>400</v>
      </c>
    </row>
    <row r="193" spans="10:53" ht="16.2" customHeight="1">
      <c r="J193" s="80" t="s">
        <v>746</v>
      </c>
      <c r="K193" s="80" t="s">
        <v>7101</v>
      </c>
      <c r="L193" t="s">
        <v>229</v>
      </c>
      <c r="M193" t="s">
        <v>161</v>
      </c>
      <c r="N193" t="str">
        <f t="shared" si="39"/>
        <v>Double FrontDesigner 15 Hand DrawnGather Hook LevelTop Fix Brackets</v>
      </c>
      <c r="O193">
        <v>20</v>
      </c>
      <c r="P193">
        <v>30</v>
      </c>
      <c r="Q193" s="80">
        <v>0</v>
      </c>
      <c r="R193" s="80">
        <f t="shared" si="40"/>
        <v>10</v>
      </c>
      <c r="AD193"/>
      <c r="AH193" s="86" t="s">
        <v>5444</v>
      </c>
      <c r="AI193" s="11" t="s">
        <v>191</v>
      </c>
      <c r="AJ193" s="11" t="s">
        <v>11556</v>
      </c>
      <c r="AK193" s="80" t="str">
        <f t="shared" si="48"/>
        <v>Motorised Somfy 240v Switch Curtain TrackWhiteBent</v>
      </c>
      <c r="AL193" s="80" t="s">
        <v>274</v>
      </c>
      <c r="AM193" s="80" t="s">
        <v>181</v>
      </c>
      <c r="AN193" s="80">
        <v>200</v>
      </c>
      <c r="AO193" s="80" t="s">
        <v>120</v>
      </c>
      <c r="AW193" t="s">
        <v>396</v>
      </c>
      <c r="AX193" t="s">
        <v>141</v>
      </c>
      <c r="AY193" t="str">
        <f t="shared" si="41"/>
        <v>Rod Pocket Top &amp; Bottom (Less Fullness x 2)Single Panel - Left Stacking</v>
      </c>
      <c r="AZ193" s="80">
        <v>2</v>
      </c>
      <c r="BA193" s="80">
        <v>200</v>
      </c>
    </row>
    <row r="194" spans="10:53" ht="16.2" customHeight="1">
      <c r="J194" s="80" t="s">
        <v>747</v>
      </c>
      <c r="K194" s="80" t="s">
        <v>7101</v>
      </c>
      <c r="L194" t="s">
        <v>229</v>
      </c>
      <c r="M194" t="s">
        <v>161</v>
      </c>
      <c r="N194" t="str">
        <f t="shared" si="49" ref="N194:N257">(CONCATENATE(J194,K194,L194,M194))</f>
        <v>Double RearDesigner 15 Hand DrawnGather Hook LevelTop Fix Brackets</v>
      </c>
      <c r="O194">
        <v>20</v>
      </c>
      <c r="P194">
        <v>30</v>
      </c>
      <c r="Q194" s="80">
        <v>0</v>
      </c>
      <c r="R194" s="80">
        <f t="shared" si="50" ref="R194:R257">SUM(P194)-O194</f>
        <v>10</v>
      </c>
      <c r="AD194"/>
      <c r="AH194" s="86" t="s">
        <v>5444</v>
      </c>
      <c r="AI194" s="11" t="s">
        <v>191</v>
      </c>
      <c r="AJ194" s="11" t="s">
        <v>160</v>
      </c>
      <c r="AK194" s="80" t="str">
        <f t="shared" si="48"/>
        <v>Motorised Somfy 240v Switch Curtain TrackWhiteStraight</v>
      </c>
      <c r="AL194" s="80" t="s">
        <v>274</v>
      </c>
      <c r="AM194" s="80" t="s">
        <v>181</v>
      </c>
      <c r="AN194" s="80">
        <v>200</v>
      </c>
      <c r="AO194" s="80" t="s">
        <v>120</v>
      </c>
      <c r="AW194" t="s">
        <v>396</v>
      </c>
      <c r="AX194" t="s">
        <v>142</v>
      </c>
      <c r="AY194" t="str">
        <f t="shared" si="51" ref="AY194:AY257">CONCATENATE(AW194,AX194)</f>
        <v>Rod Pocket Top &amp; Bottom (Less Fullness x 2)Single Panel - Right Stacking</v>
      </c>
      <c r="AZ194" s="80">
        <v>2</v>
      </c>
      <c r="BA194" s="80">
        <v>200</v>
      </c>
    </row>
    <row r="195" spans="10:53" ht="16.2" customHeight="1">
      <c r="J195" s="80" t="s">
        <v>725</v>
      </c>
      <c r="K195" s="80" t="s">
        <v>7101</v>
      </c>
      <c r="L195" t="s">
        <v>229</v>
      </c>
      <c r="M195" t="s">
        <v>161</v>
      </c>
      <c r="N195" t="str">
        <f t="shared" si="49"/>
        <v>SingleDesigner 15 Hand DrawnGather Hook LevelTop Fix Brackets</v>
      </c>
      <c r="O195">
        <v>20</v>
      </c>
      <c r="P195">
        <v>30</v>
      </c>
      <c r="Q195" s="80">
        <v>0</v>
      </c>
      <c r="R195" s="80">
        <f t="shared" si="50"/>
        <v>10</v>
      </c>
      <c r="AD195"/>
      <c r="AH195" t="s">
        <v>517</v>
      </c>
      <c r="AI195" t="s">
        <v>398</v>
      </c>
      <c r="AJ195" s="11" t="s">
        <v>11556</v>
      </c>
      <c r="AK195" s="80" t="str">
        <f t="shared" si="52" ref="AK195">CONCATENATE(AH195,AI195,AJ195)</f>
        <v>Renaissance Decorator Rod Cord DrawnAntique BrassBent</v>
      </c>
      <c r="AL195" s="80" t="s">
        <v>274</v>
      </c>
      <c r="AM195" s="80" t="s">
        <v>181</v>
      </c>
      <c r="AN195" s="80">
        <v>200</v>
      </c>
      <c r="AO195" s="80" t="s">
        <v>120</v>
      </c>
      <c r="AW195" t="s">
        <v>396</v>
      </c>
      <c r="AX195" t="s">
        <v>143</v>
      </c>
      <c r="AY195" t="str">
        <f t="shared" si="51"/>
        <v>Rod Pocket Top &amp; Bottom (Less Fullness x 2)Single Panel - Free Flowing</v>
      </c>
      <c r="AZ195" s="80">
        <v>2</v>
      </c>
      <c r="BA195" s="80">
        <v>200</v>
      </c>
    </row>
    <row r="196" spans="10:53" ht="16.2" customHeight="1">
      <c r="J196" s="80" t="s">
        <v>746</v>
      </c>
      <c r="K196" s="80" t="s">
        <v>7101</v>
      </c>
      <c r="L196" t="s">
        <v>228</v>
      </c>
      <c r="M196" t="s">
        <v>161</v>
      </c>
      <c r="N196" t="str">
        <f t="shared" si="49"/>
        <v>Double FrontDesigner 15 Hand DrawnGather Hook NormalTop Fix Brackets</v>
      </c>
      <c r="O196">
        <v>43</v>
      </c>
      <c r="P196">
        <v>30</v>
      </c>
      <c r="Q196" s="80">
        <v>0</v>
      </c>
      <c r="R196" s="80">
        <f t="shared" si="50"/>
        <v>-13</v>
      </c>
      <c r="AD196"/>
      <c r="AH196" t="s">
        <v>517</v>
      </c>
      <c r="AI196" t="s">
        <v>398</v>
      </c>
      <c r="AJ196" s="11" t="s">
        <v>160</v>
      </c>
      <c r="AK196" s="80" t="str">
        <f t="shared" si="48"/>
        <v>Renaissance Decorator Rod Cord DrawnAntique BrassStraight</v>
      </c>
      <c r="AL196" s="80" t="s">
        <v>274</v>
      </c>
      <c r="AM196" s="80" t="s">
        <v>181</v>
      </c>
      <c r="AN196" s="80">
        <v>200</v>
      </c>
      <c r="AO196" s="80" t="s">
        <v>120</v>
      </c>
      <c r="AW196" t="s">
        <v>396</v>
      </c>
      <c r="AX196" t="s">
        <v>717</v>
      </c>
      <c r="AY196" t="str">
        <f t="shared" si="51"/>
        <v>Rod Pocket Top &amp; Bottom (Less Fullness x 2)Centre Opening - Free Flowing</v>
      </c>
      <c r="AZ196" s="80">
        <v>2</v>
      </c>
      <c r="BA196" s="80">
        <v>400</v>
      </c>
    </row>
    <row r="197" spans="10:53" ht="16.2" customHeight="1">
      <c r="J197" s="80" t="s">
        <v>747</v>
      </c>
      <c r="K197" s="80" t="s">
        <v>7101</v>
      </c>
      <c r="L197" t="s">
        <v>228</v>
      </c>
      <c r="M197" t="s">
        <v>161</v>
      </c>
      <c r="N197" t="str">
        <f t="shared" si="49"/>
        <v>Double RearDesigner 15 Hand DrawnGather Hook NormalTop Fix Brackets</v>
      </c>
      <c r="O197">
        <v>43</v>
      </c>
      <c r="P197">
        <v>30</v>
      </c>
      <c r="Q197" s="80">
        <v>0</v>
      </c>
      <c r="R197" s="80">
        <f t="shared" si="50"/>
        <v>-13</v>
      </c>
      <c r="AD197"/>
      <c r="AH197" t="s">
        <v>517</v>
      </c>
      <c r="AI197" t="s">
        <v>275</v>
      </c>
      <c r="AJ197" s="11" t="s">
        <v>11556</v>
      </c>
      <c r="AK197" s="80" t="str">
        <f t="shared" si="53" ref="AK197">CONCATENATE(AH197,AI197,AJ197)</f>
        <v>Renaissance Decorator Rod Cord DrawnBirch WhiteBent</v>
      </c>
      <c r="AL197" s="80" t="s">
        <v>274</v>
      </c>
      <c r="AM197" s="80" t="s">
        <v>181</v>
      </c>
      <c r="AN197" s="80">
        <v>200</v>
      </c>
      <c r="AO197" s="80" t="s">
        <v>120</v>
      </c>
      <c r="AW197" t="s">
        <v>396</v>
      </c>
      <c r="AX197" t="s">
        <v>154</v>
      </c>
      <c r="AY197" t="str">
        <f t="shared" si="51"/>
        <v>Rod Pocket Top &amp; Bottom (Less Fullness x 2)No Movement</v>
      </c>
      <c r="AZ197" s="80">
        <v>2</v>
      </c>
      <c r="BA197" s="80">
        <v>200</v>
      </c>
    </row>
    <row r="198" spans="10:53" ht="16.2" customHeight="1">
      <c r="J198" s="80" t="s">
        <v>725</v>
      </c>
      <c r="K198" s="80" t="s">
        <v>7101</v>
      </c>
      <c r="L198" t="s">
        <v>228</v>
      </c>
      <c r="M198" t="s">
        <v>161</v>
      </c>
      <c r="N198" t="str">
        <f t="shared" si="49"/>
        <v>SingleDesigner 15 Hand DrawnGather Hook NormalTop Fix Brackets</v>
      </c>
      <c r="O198">
        <v>43</v>
      </c>
      <c r="P198">
        <v>30</v>
      </c>
      <c r="Q198" s="80">
        <v>0</v>
      </c>
      <c r="R198" s="80">
        <f t="shared" si="50"/>
        <v>-13</v>
      </c>
      <c r="AD198"/>
      <c r="AH198" t="s">
        <v>517</v>
      </c>
      <c r="AI198" t="s">
        <v>275</v>
      </c>
      <c r="AJ198" s="11" t="s">
        <v>160</v>
      </c>
      <c r="AK198" s="80" t="str">
        <f t="shared" si="48"/>
        <v>Renaissance Decorator Rod Cord DrawnBirch WhiteStraight</v>
      </c>
      <c r="AL198" s="80" t="s">
        <v>274</v>
      </c>
      <c r="AM198" s="80" t="s">
        <v>181</v>
      </c>
      <c r="AN198" s="80">
        <v>200</v>
      </c>
      <c r="AO198" s="80" t="s">
        <v>120</v>
      </c>
      <c r="AW198" s="80" t="s">
        <v>396</v>
      </c>
      <c r="AX198" s="80" t="s">
        <v>5903</v>
      </c>
      <c r="AY198" t="str">
        <f t="shared" si="51"/>
        <v>Rod Pocket Top &amp; Bottom (Less Fullness x 2)Centre Opening - Free Flowing (Offset Split)</v>
      </c>
      <c r="AZ198" s="80">
        <v>2</v>
      </c>
      <c r="BA198" s="80">
        <v>200</v>
      </c>
    </row>
    <row r="199" spans="10:53" ht="16.2" customHeight="1">
      <c r="J199" s="80" t="s">
        <v>746</v>
      </c>
      <c r="K199" s="80" t="s">
        <v>7101</v>
      </c>
      <c r="L199" t="s">
        <v>282</v>
      </c>
      <c r="M199" t="s">
        <v>161</v>
      </c>
      <c r="N199" t="str">
        <f t="shared" si="49"/>
        <v>Double FrontDesigner 15 Hand DrawnLevel 2072Top Fix Brackets</v>
      </c>
      <c r="O199">
        <v>38</v>
      </c>
      <c r="P199">
        <v>30</v>
      </c>
      <c r="Q199" s="80">
        <v>0</v>
      </c>
      <c r="R199" s="80">
        <f t="shared" si="50"/>
        <v>-8</v>
      </c>
      <c r="AD199"/>
      <c r="AH199" t="s">
        <v>517</v>
      </c>
      <c r="AI199" t="s">
        <v>193</v>
      </c>
      <c r="AJ199" s="11" t="s">
        <v>11556</v>
      </c>
      <c r="AK199" s="80" t="str">
        <f t="shared" si="48"/>
        <v>Renaissance Decorator Rod Cord DrawnBlackBent</v>
      </c>
      <c r="AL199" s="80" t="s">
        <v>274</v>
      </c>
      <c r="AM199" s="80" t="s">
        <v>181</v>
      </c>
      <c r="AN199" s="80">
        <v>200</v>
      </c>
      <c r="AO199" s="80" t="s">
        <v>120</v>
      </c>
      <c r="AW199" t="s">
        <v>394</v>
      </c>
      <c r="AX199" t="s">
        <v>138</v>
      </c>
      <c r="AY199" t="str">
        <f t="shared" si="51"/>
        <v>Rod Pocket Top &amp; Bottom (Standard Fullness x 2.5)Centre Opening</v>
      </c>
      <c r="AZ199" s="80">
        <v>2.5</v>
      </c>
      <c r="BA199" s="80">
        <v>400</v>
      </c>
    </row>
    <row r="200" spans="10:53" ht="16.2" customHeight="1">
      <c r="J200" s="80" t="s">
        <v>747</v>
      </c>
      <c r="K200" s="80" t="s">
        <v>7101</v>
      </c>
      <c r="L200" t="s">
        <v>282</v>
      </c>
      <c r="M200" t="s">
        <v>161</v>
      </c>
      <c r="N200" t="str">
        <f t="shared" si="49"/>
        <v>Double RearDesigner 15 Hand DrawnLevel 2072Top Fix Brackets</v>
      </c>
      <c r="O200">
        <v>38</v>
      </c>
      <c r="P200">
        <v>30</v>
      </c>
      <c r="Q200" s="80">
        <v>0</v>
      </c>
      <c r="R200" s="80">
        <f t="shared" si="50"/>
        <v>-8</v>
      </c>
      <c r="AD200"/>
      <c r="AH200" s="80" t="s">
        <v>517</v>
      </c>
      <c r="AI200" s="86" t="s">
        <v>193</v>
      </c>
      <c r="AJ200" s="11" t="s">
        <v>160</v>
      </c>
      <c r="AK200" s="80" t="str">
        <f t="shared" si="48"/>
        <v>Renaissance Decorator Rod Cord DrawnBlackStraight</v>
      </c>
      <c r="AL200" s="80" t="s">
        <v>274</v>
      </c>
      <c r="AM200" s="80" t="s">
        <v>181</v>
      </c>
      <c r="AN200" s="80">
        <v>200</v>
      </c>
      <c r="AO200" s="80" t="s">
        <v>120</v>
      </c>
      <c r="AW200" t="s">
        <v>394</v>
      </c>
      <c r="AX200" t="s">
        <v>5902</v>
      </c>
      <c r="AY200" t="str">
        <f t="shared" si="51"/>
        <v>Rod Pocket Top &amp; Bottom (Standard Fullness x 2.5)Centre Opening (Offset Split)</v>
      </c>
      <c r="AZ200" s="80">
        <v>2.5</v>
      </c>
      <c r="BA200" s="80">
        <v>400</v>
      </c>
    </row>
    <row r="201" spans="10:53" ht="16.2" customHeight="1">
      <c r="J201" s="80" t="s">
        <v>725</v>
      </c>
      <c r="K201" s="80" t="s">
        <v>7101</v>
      </c>
      <c r="L201" t="s">
        <v>282</v>
      </c>
      <c r="M201" t="s">
        <v>161</v>
      </c>
      <c r="N201" t="str">
        <f t="shared" si="49"/>
        <v>SingleDesigner 15 Hand DrawnLevel 2072Top Fix Brackets</v>
      </c>
      <c r="O201">
        <v>35</v>
      </c>
      <c r="P201">
        <v>30</v>
      </c>
      <c r="Q201" s="80">
        <v>0</v>
      </c>
      <c r="R201" s="80">
        <f t="shared" si="50"/>
        <v>-5</v>
      </c>
      <c r="AD201"/>
      <c r="AH201" s="80" t="s">
        <v>517</v>
      </c>
      <c r="AI201" t="s">
        <v>269</v>
      </c>
      <c r="AJ201" s="11" t="s">
        <v>11556</v>
      </c>
      <c r="AK201" s="80" t="str">
        <f t="shared" si="54" ref="AK201:AK258">CONCATENATE(AH201,AI201,AJ201)</f>
        <v>Renaissance Decorator Rod Cord DrawnChromeBent</v>
      </c>
      <c r="AL201" s="80" t="s">
        <v>274</v>
      </c>
      <c r="AM201" s="80" t="s">
        <v>181</v>
      </c>
      <c r="AN201" s="80">
        <v>200</v>
      </c>
      <c r="AO201" s="80" t="s">
        <v>120</v>
      </c>
      <c r="AW201" t="s">
        <v>394</v>
      </c>
      <c r="AX201" t="s">
        <v>141</v>
      </c>
      <c r="AY201" t="str">
        <f t="shared" si="51"/>
        <v>Rod Pocket Top &amp; Bottom (Standard Fullness x 2.5)Single Panel - Left Stacking</v>
      </c>
      <c r="AZ201" s="80">
        <v>2.5</v>
      </c>
      <c r="BA201" s="80">
        <v>200</v>
      </c>
    </row>
    <row r="202" spans="10:53" ht="16.2" customHeight="1">
      <c r="J202" s="80" t="s">
        <v>746</v>
      </c>
      <c r="K202" s="80" t="s">
        <v>7101</v>
      </c>
      <c r="L202" t="s">
        <v>170</v>
      </c>
      <c r="M202" t="s">
        <v>161</v>
      </c>
      <c r="N202" t="str">
        <f t="shared" si="49"/>
        <v>Double FrontDesigner 15 Hand DrawnNormal 2074Top Fix Brackets</v>
      </c>
      <c r="O202">
        <v>60</v>
      </c>
      <c r="P202">
        <v>30</v>
      </c>
      <c r="Q202" s="80">
        <v>0</v>
      </c>
      <c r="R202" s="80">
        <f t="shared" si="50"/>
        <v>-30</v>
      </c>
      <c r="AD202"/>
      <c r="AH202" t="s">
        <v>517</v>
      </c>
      <c r="AI202" t="s">
        <v>269</v>
      </c>
      <c r="AJ202" s="11" t="s">
        <v>160</v>
      </c>
      <c r="AK202" s="80" t="str">
        <f t="shared" si="54"/>
        <v>Renaissance Decorator Rod Cord DrawnChromeStraight</v>
      </c>
      <c r="AL202" s="80" t="s">
        <v>274</v>
      </c>
      <c r="AM202" s="80" t="s">
        <v>181</v>
      </c>
      <c r="AN202" s="80">
        <v>200</v>
      </c>
      <c r="AO202" s="80" t="s">
        <v>120</v>
      </c>
      <c r="AW202" t="s">
        <v>394</v>
      </c>
      <c r="AX202" t="s">
        <v>142</v>
      </c>
      <c r="AY202" t="str">
        <f t="shared" si="51"/>
        <v>Rod Pocket Top &amp; Bottom (Standard Fullness x 2.5)Single Panel - Right Stacking</v>
      </c>
      <c r="AZ202" s="80">
        <v>2.5</v>
      </c>
      <c r="BA202" s="80">
        <v>200</v>
      </c>
    </row>
    <row r="203" spans="10:53" ht="16.2" customHeight="1">
      <c r="J203" s="80" t="s">
        <v>747</v>
      </c>
      <c r="K203" s="80" t="s">
        <v>7101</v>
      </c>
      <c r="L203" t="s">
        <v>170</v>
      </c>
      <c r="M203" t="s">
        <v>161</v>
      </c>
      <c r="N203" t="str">
        <f t="shared" si="49"/>
        <v>Double RearDesigner 15 Hand DrawnNormal 2074Top Fix Brackets</v>
      </c>
      <c r="O203">
        <v>60</v>
      </c>
      <c r="P203">
        <v>30</v>
      </c>
      <c r="Q203" s="80">
        <v>0</v>
      </c>
      <c r="R203" s="80">
        <f t="shared" si="50"/>
        <v>-30</v>
      </c>
      <c r="AD203"/>
      <c r="AH203" t="s">
        <v>517</v>
      </c>
      <c r="AI203" t="s">
        <v>225</v>
      </c>
      <c r="AJ203" s="11" t="s">
        <v>11556</v>
      </c>
      <c r="AK203" s="80" t="str">
        <f t="shared" si="55" ref="AK203">CONCATENATE(AH203,AI203,AJ203)</f>
        <v>Renaissance Decorator Rod Cord DrawnGoldBent</v>
      </c>
      <c r="AL203" s="80" t="s">
        <v>274</v>
      </c>
      <c r="AM203" s="80" t="s">
        <v>181</v>
      </c>
      <c r="AN203" s="80">
        <v>200</v>
      </c>
      <c r="AO203" s="80" t="s">
        <v>120</v>
      </c>
      <c r="AW203" t="s">
        <v>394</v>
      </c>
      <c r="AX203" t="s">
        <v>143</v>
      </c>
      <c r="AY203" t="str">
        <f t="shared" si="51"/>
        <v>Rod Pocket Top &amp; Bottom (Standard Fullness x 2.5)Single Panel - Free Flowing</v>
      </c>
      <c r="AZ203" s="80">
        <v>2.5</v>
      </c>
      <c r="BA203" s="80">
        <v>200</v>
      </c>
    </row>
    <row r="204" spans="10:53" ht="16.2" customHeight="1">
      <c r="J204" s="80" t="s">
        <v>725</v>
      </c>
      <c r="K204" s="80" t="s">
        <v>7101</v>
      </c>
      <c r="L204" t="s">
        <v>170</v>
      </c>
      <c r="M204" t="s">
        <v>161</v>
      </c>
      <c r="N204" t="str">
        <f t="shared" si="49"/>
        <v>SingleDesigner 15 Hand DrawnNormal 2074Top Fix Brackets</v>
      </c>
      <c r="O204">
        <v>60</v>
      </c>
      <c r="P204">
        <v>30</v>
      </c>
      <c r="Q204" s="80">
        <v>0</v>
      </c>
      <c r="R204" s="80">
        <f t="shared" si="50"/>
        <v>-30</v>
      </c>
      <c r="AD204"/>
      <c r="AH204" t="s">
        <v>517</v>
      </c>
      <c r="AI204" t="s">
        <v>225</v>
      </c>
      <c r="AJ204" s="11" t="s">
        <v>160</v>
      </c>
      <c r="AK204" s="80" t="str">
        <f t="shared" si="54"/>
        <v>Renaissance Decorator Rod Cord DrawnGoldStraight</v>
      </c>
      <c r="AL204" s="80" t="s">
        <v>274</v>
      </c>
      <c r="AM204" s="80" t="s">
        <v>181</v>
      </c>
      <c r="AN204" s="80">
        <v>200</v>
      </c>
      <c r="AO204" s="80" t="s">
        <v>120</v>
      </c>
      <c r="AW204" t="s">
        <v>394</v>
      </c>
      <c r="AX204" t="s">
        <v>717</v>
      </c>
      <c r="AY204" t="str">
        <f t="shared" si="51"/>
        <v>Rod Pocket Top &amp; Bottom (Standard Fullness x 2.5)Centre Opening - Free Flowing</v>
      </c>
      <c r="AZ204" s="80">
        <v>2.5</v>
      </c>
      <c r="BA204" s="80">
        <v>400</v>
      </c>
    </row>
    <row r="205" spans="10:53" ht="16.2" customHeight="1">
      <c r="J205" s="80" t="s">
        <v>746</v>
      </c>
      <c r="K205" s="80" t="s">
        <v>7101</v>
      </c>
      <c r="L205" t="s">
        <v>183</v>
      </c>
      <c r="M205" t="s">
        <v>553</v>
      </c>
      <c r="N205" t="str">
        <f t="shared" si="49"/>
        <v>Double FrontDesigner 15 Hand DrawnBelow Normal 2075Triple Face Fix Brackets</v>
      </c>
      <c r="O205">
        <v>70</v>
      </c>
      <c r="P205">
        <v>35</v>
      </c>
      <c r="Q205" s="80">
        <v>0</v>
      </c>
      <c r="R205" s="80">
        <f t="shared" si="50"/>
        <v>-35</v>
      </c>
      <c r="AD205"/>
      <c r="AH205" t="s">
        <v>517</v>
      </c>
      <c r="AI205" t="s">
        <v>692</v>
      </c>
      <c r="AJ205" s="11" t="s">
        <v>11556</v>
      </c>
      <c r="AK205" s="80" t="str">
        <f t="shared" si="56" ref="AK205">CONCATENATE(AH205,AI205,AJ205)</f>
        <v>Renaissance Decorator Rod Cord DrawnMatt Black InkBent</v>
      </c>
      <c r="AL205" s="80" t="s">
        <v>274</v>
      </c>
      <c r="AM205" s="80" t="s">
        <v>181</v>
      </c>
      <c r="AN205" s="80">
        <v>200</v>
      </c>
      <c r="AO205" s="80" t="s">
        <v>120</v>
      </c>
      <c r="AW205" t="s">
        <v>394</v>
      </c>
      <c r="AX205" t="s">
        <v>154</v>
      </c>
      <c r="AY205" t="str">
        <f t="shared" si="51"/>
        <v>Rod Pocket Top &amp; Bottom (Standard Fullness x 2.5)No Movement</v>
      </c>
      <c r="AZ205" s="80">
        <v>2.5</v>
      </c>
      <c r="BA205" s="80">
        <v>200</v>
      </c>
    </row>
    <row r="206" spans="10:53" ht="16.2" customHeight="1">
      <c r="J206" s="80" t="s">
        <v>747</v>
      </c>
      <c r="K206" s="80" t="s">
        <v>7101</v>
      </c>
      <c r="L206" t="s">
        <v>183</v>
      </c>
      <c r="M206" t="s">
        <v>553</v>
      </c>
      <c r="N206" t="str">
        <f t="shared" si="49"/>
        <v>Double RearDesigner 15 Hand DrawnBelow Normal 2075Triple Face Fix Brackets</v>
      </c>
      <c r="O206">
        <v>70</v>
      </c>
      <c r="P206">
        <v>35</v>
      </c>
      <c r="Q206" s="80">
        <v>0</v>
      </c>
      <c r="R206" s="80">
        <f t="shared" si="50"/>
        <v>-35</v>
      </c>
      <c r="AD206"/>
      <c r="AH206" t="s">
        <v>517</v>
      </c>
      <c r="AI206" t="s">
        <v>692</v>
      </c>
      <c r="AJ206" s="11" t="s">
        <v>160</v>
      </c>
      <c r="AK206" s="80" t="str">
        <f t="shared" si="54"/>
        <v>Renaissance Decorator Rod Cord DrawnMatt Black InkStraight</v>
      </c>
      <c r="AL206" s="80" t="s">
        <v>274</v>
      </c>
      <c r="AM206" s="80" t="s">
        <v>181</v>
      </c>
      <c r="AN206" s="80">
        <v>200</v>
      </c>
      <c r="AO206" s="80" t="s">
        <v>120</v>
      </c>
      <c r="AW206" s="80" t="s">
        <v>394</v>
      </c>
      <c r="AX206" s="80" t="s">
        <v>5903</v>
      </c>
      <c r="AY206" t="str">
        <f t="shared" si="51"/>
        <v>Rod Pocket Top &amp; Bottom (Standard Fullness x 2.5)Centre Opening - Free Flowing (Offset Split)</v>
      </c>
      <c r="AZ206" s="80">
        <v>2.5</v>
      </c>
      <c r="BA206" s="80">
        <v>200</v>
      </c>
    </row>
    <row r="207" spans="10:53" ht="16.2" customHeight="1">
      <c r="J207" s="80" t="s">
        <v>725</v>
      </c>
      <c r="K207" s="80" t="s">
        <v>7101</v>
      </c>
      <c r="L207" t="s">
        <v>183</v>
      </c>
      <c r="M207" t="s">
        <v>553</v>
      </c>
      <c r="N207" t="str">
        <f t="shared" si="49"/>
        <v>SingleDesigner 15 Hand DrawnBelow Normal 2075Triple Face Fix Brackets</v>
      </c>
      <c r="O207">
        <v>70</v>
      </c>
      <c r="P207">
        <v>35</v>
      </c>
      <c r="Q207" s="80">
        <v>0</v>
      </c>
      <c r="R207" s="80">
        <f t="shared" si="50"/>
        <v>-35</v>
      </c>
      <c r="AD207"/>
      <c r="AH207" t="s">
        <v>517</v>
      </c>
      <c r="AI207" t="s">
        <v>357</v>
      </c>
      <c r="AJ207" s="11" t="s">
        <v>11556</v>
      </c>
      <c r="AK207" s="80" t="str">
        <f t="shared" si="57" ref="AK207">CONCATENATE(AH207,AI207,AJ207)</f>
        <v>Renaissance Decorator Rod Cord DrawnMatt SatinBent</v>
      </c>
      <c r="AL207" s="80" t="s">
        <v>274</v>
      </c>
      <c r="AM207" s="80" t="s">
        <v>181</v>
      </c>
      <c r="AN207" s="80">
        <v>200</v>
      </c>
      <c r="AO207" s="80" t="s">
        <v>120</v>
      </c>
      <c r="AW207" t="s">
        <v>243</v>
      </c>
      <c r="AX207" t="s">
        <v>138</v>
      </c>
      <c r="AY207" t="str">
        <f t="shared" si="51"/>
        <v>S-Fold (Extra Fullness x 2.2)Centre Opening</v>
      </c>
      <c r="AZ207" s="80">
        <v>2.1</v>
      </c>
      <c r="BA207" s="80">
        <v>400</v>
      </c>
    </row>
    <row r="208" spans="10:53" ht="16.2" customHeight="1">
      <c r="J208" s="80" t="s">
        <v>746</v>
      </c>
      <c r="K208" s="80" t="s">
        <v>7101</v>
      </c>
      <c r="L208" t="s">
        <v>182</v>
      </c>
      <c r="M208" t="s">
        <v>553</v>
      </c>
      <c r="N208" t="str">
        <f t="shared" si="49"/>
        <v>Double FrontDesigner 15 Hand DrawnBetween Level and Normal 2073Triple Face Fix Brackets</v>
      </c>
      <c r="O208">
        <v>48</v>
      </c>
      <c r="P208">
        <v>35</v>
      </c>
      <c r="Q208" s="80">
        <v>0</v>
      </c>
      <c r="R208" s="80">
        <f t="shared" si="50"/>
        <v>-13</v>
      </c>
      <c r="AD208"/>
      <c r="AH208" t="s">
        <v>517</v>
      </c>
      <c r="AI208" t="s">
        <v>357</v>
      </c>
      <c r="AJ208" s="11" t="s">
        <v>160</v>
      </c>
      <c r="AK208" s="80" t="str">
        <f t="shared" si="54"/>
        <v>Renaissance Decorator Rod Cord DrawnMatt SatinStraight</v>
      </c>
      <c r="AL208" s="80" t="s">
        <v>274</v>
      </c>
      <c r="AM208" s="80" t="s">
        <v>181</v>
      </c>
      <c r="AN208" s="80">
        <v>200</v>
      </c>
      <c r="AO208" s="80" t="s">
        <v>120</v>
      </c>
      <c r="AW208" t="s">
        <v>243</v>
      </c>
      <c r="AX208" t="s">
        <v>5902</v>
      </c>
      <c r="AY208" t="str">
        <f t="shared" si="51"/>
        <v>S-Fold (Extra Fullness x 2.2)Centre Opening (Offset Split)</v>
      </c>
      <c r="AZ208" s="80">
        <v>2.1</v>
      </c>
      <c r="BA208" s="80">
        <v>400</v>
      </c>
    </row>
    <row r="209" spans="10:53" ht="16.2" customHeight="1">
      <c r="J209" s="80" t="s">
        <v>747</v>
      </c>
      <c r="K209" s="80" t="s">
        <v>7101</v>
      </c>
      <c r="L209" t="s">
        <v>182</v>
      </c>
      <c r="M209" t="s">
        <v>553</v>
      </c>
      <c r="N209" t="str">
        <f t="shared" si="49"/>
        <v>Double RearDesigner 15 Hand DrawnBetween Level and Normal 2073Triple Face Fix Brackets</v>
      </c>
      <c r="O209">
        <v>48</v>
      </c>
      <c r="P209">
        <v>35</v>
      </c>
      <c r="Q209" s="80">
        <v>0</v>
      </c>
      <c r="R209" s="80">
        <f t="shared" si="50"/>
        <v>-13</v>
      </c>
      <c r="AD209"/>
      <c r="AH209" t="s">
        <v>517</v>
      </c>
      <c r="AI209" t="s">
        <v>191</v>
      </c>
      <c r="AJ209" s="11" t="s">
        <v>11556</v>
      </c>
      <c r="AK209" s="80" t="str">
        <f t="shared" si="58" ref="AK209">CONCATENATE(AH209,AI209,AJ209)</f>
        <v>Renaissance Decorator Rod Cord DrawnWhiteBent</v>
      </c>
      <c r="AL209" s="80" t="s">
        <v>274</v>
      </c>
      <c r="AM209" s="80" t="s">
        <v>181</v>
      </c>
      <c r="AN209" s="80">
        <v>200</v>
      </c>
      <c r="AO209" s="80" t="s">
        <v>120</v>
      </c>
      <c r="AW209" t="s">
        <v>243</v>
      </c>
      <c r="AX209" t="s">
        <v>141</v>
      </c>
      <c r="AY209" t="str">
        <f t="shared" si="51"/>
        <v>S-Fold (Extra Fullness x 2.2)Single Panel - Left Stacking</v>
      </c>
      <c r="AZ209" s="80">
        <v>2.1</v>
      </c>
      <c r="BA209" s="80">
        <v>200</v>
      </c>
    </row>
    <row r="210" spans="10:53" ht="16.2" customHeight="1">
      <c r="J210" s="80" t="s">
        <v>725</v>
      </c>
      <c r="K210" s="80" t="s">
        <v>7101</v>
      </c>
      <c r="L210" t="s">
        <v>182</v>
      </c>
      <c r="M210" t="s">
        <v>553</v>
      </c>
      <c r="N210" t="str">
        <f t="shared" si="49"/>
        <v>SingleDesigner 15 Hand DrawnBetween Level and Normal 2073Triple Face Fix Brackets</v>
      </c>
      <c r="O210">
        <v>47</v>
      </c>
      <c r="P210">
        <v>35</v>
      </c>
      <c r="Q210" s="80">
        <v>0</v>
      </c>
      <c r="R210" s="80">
        <f t="shared" si="50"/>
        <v>-12</v>
      </c>
      <c r="AD210"/>
      <c r="AH210" t="s">
        <v>517</v>
      </c>
      <c r="AI210" t="s">
        <v>191</v>
      </c>
      <c r="AJ210" s="11" t="s">
        <v>160</v>
      </c>
      <c r="AK210" s="80" t="str">
        <f t="shared" si="54"/>
        <v>Renaissance Decorator Rod Cord DrawnWhiteStraight</v>
      </c>
      <c r="AL210" s="80" t="s">
        <v>274</v>
      </c>
      <c r="AM210" s="80" t="s">
        <v>181</v>
      </c>
      <c r="AN210" s="80">
        <v>200</v>
      </c>
      <c r="AO210" s="80" t="s">
        <v>120</v>
      </c>
      <c r="AW210" t="s">
        <v>243</v>
      </c>
      <c r="AX210" t="s">
        <v>142</v>
      </c>
      <c r="AY210" t="str">
        <f t="shared" si="51"/>
        <v>S-Fold (Extra Fullness x 2.2)Single Panel - Right Stacking</v>
      </c>
      <c r="AZ210" s="80">
        <v>2.1</v>
      </c>
      <c r="BA210" s="80">
        <v>200</v>
      </c>
    </row>
    <row r="211" spans="10:53" ht="16.2" customHeight="1">
      <c r="J211" s="80" t="s">
        <v>746</v>
      </c>
      <c r="K211" s="80" t="s">
        <v>7101</v>
      </c>
      <c r="L211" t="s">
        <v>184</v>
      </c>
      <c r="M211" t="s">
        <v>553</v>
      </c>
      <c r="N211" t="str">
        <f t="shared" si="49"/>
        <v>Double FrontDesigner 15 Hand DrawnDecorator 2071Triple Face Fix Brackets</v>
      </c>
      <c r="O211">
        <v>20</v>
      </c>
      <c r="P211">
        <v>35</v>
      </c>
      <c r="Q211" s="80">
        <v>0</v>
      </c>
      <c r="R211" s="80">
        <f t="shared" si="50"/>
        <v>15</v>
      </c>
      <c r="AD211"/>
      <c r="AH211" t="s">
        <v>518</v>
      </c>
      <c r="AI211" t="s">
        <v>398</v>
      </c>
      <c r="AJ211" s="11" t="s">
        <v>11556</v>
      </c>
      <c r="AK211" s="80" t="str">
        <f t="shared" si="59" ref="AK211">CONCATENATE(AH211,AI211,AJ211)</f>
        <v>Renaissance Decorator Rod Hand DrawnAntique BrassBent</v>
      </c>
      <c r="AL211" s="80" t="s">
        <v>274</v>
      </c>
      <c r="AM211" s="80" t="s">
        <v>181</v>
      </c>
      <c r="AN211" s="80">
        <v>200</v>
      </c>
      <c r="AO211" s="80" t="s">
        <v>120</v>
      </c>
      <c r="AW211" t="s">
        <v>243</v>
      </c>
      <c r="AX211" t="s">
        <v>143</v>
      </c>
      <c r="AY211" t="str">
        <f t="shared" si="51"/>
        <v>S-Fold (Extra Fullness x 2.2)Single Panel - Free Flowing</v>
      </c>
      <c r="AZ211" s="80">
        <v>2.1</v>
      </c>
      <c r="BA211" s="80">
        <v>200</v>
      </c>
    </row>
    <row r="212" spans="10:53" ht="16.2" customHeight="1">
      <c r="J212" s="80" t="s">
        <v>747</v>
      </c>
      <c r="K212" s="80" t="s">
        <v>7101</v>
      </c>
      <c r="L212" t="s">
        <v>184</v>
      </c>
      <c r="M212" t="s">
        <v>553</v>
      </c>
      <c r="N212" t="str">
        <f t="shared" si="49"/>
        <v>Double RearDesigner 15 Hand DrawnDecorator 2071Triple Face Fix Brackets</v>
      </c>
      <c r="O212">
        <v>20</v>
      </c>
      <c r="P212">
        <v>35</v>
      </c>
      <c r="Q212" s="80">
        <v>0</v>
      </c>
      <c r="R212" s="80">
        <f t="shared" si="50"/>
        <v>15</v>
      </c>
      <c r="AD212"/>
      <c r="AH212" t="s">
        <v>518</v>
      </c>
      <c r="AI212" t="s">
        <v>398</v>
      </c>
      <c r="AJ212" s="11" t="s">
        <v>160</v>
      </c>
      <c r="AK212" s="80" t="str">
        <f t="shared" si="54"/>
        <v>Renaissance Decorator Rod Hand DrawnAntique BrassStraight</v>
      </c>
      <c r="AL212" s="80" t="s">
        <v>274</v>
      </c>
      <c r="AM212" s="80" t="s">
        <v>181</v>
      </c>
      <c r="AN212" s="80">
        <v>200</v>
      </c>
      <c r="AO212" s="80" t="s">
        <v>120</v>
      </c>
      <c r="AW212" t="s">
        <v>243</v>
      </c>
      <c r="AX212" t="s">
        <v>717</v>
      </c>
      <c r="AY212" t="str">
        <f t="shared" si="51"/>
        <v>S-Fold (Extra Fullness x 2.2)Centre Opening - Free Flowing</v>
      </c>
      <c r="AZ212" s="80">
        <v>2.1</v>
      </c>
      <c r="BA212" s="80">
        <v>400</v>
      </c>
    </row>
    <row r="213" spans="10:53" ht="16.2" customHeight="1">
      <c r="J213" s="80" t="s">
        <v>725</v>
      </c>
      <c r="K213" s="80" t="s">
        <v>7101</v>
      </c>
      <c r="L213" t="s">
        <v>184</v>
      </c>
      <c r="M213" t="s">
        <v>553</v>
      </c>
      <c r="N213" t="str">
        <f t="shared" si="49"/>
        <v>SingleDesigner 15 Hand DrawnDecorator 2071Triple Face Fix Brackets</v>
      </c>
      <c r="O213">
        <v>20</v>
      </c>
      <c r="P213">
        <v>35</v>
      </c>
      <c r="Q213" s="80">
        <v>0</v>
      </c>
      <c r="R213" s="80">
        <f t="shared" si="50"/>
        <v>15</v>
      </c>
      <c r="AD213"/>
      <c r="AH213" t="s">
        <v>518</v>
      </c>
      <c r="AI213" t="s">
        <v>275</v>
      </c>
      <c r="AJ213" s="11" t="s">
        <v>11556</v>
      </c>
      <c r="AK213" s="80" t="str">
        <f t="shared" si="60" ref="AK213">CONCATENATE(AH213,AI213,AJ213)</f>
        <v>Renaissance Decorator Rod Hand DrawnBirch WhiteBent</v>
      </c>
      <c r="AL213" s="80" t="s">
        <v>274</v>
      </c>
      <c r="AM213" s="80" t="s">
        <v>181</v>
      </c>
      <c r="AN213" s="80">
        <v>200</v>
      </c>
      <c r="AO213" s="80" t="s">
        <v>120</v>
      </c>
      <c r="AW213" t="s">
        <v>243</v>
      </c>
      <c r="AX213" t="s">
        <v>154</v>
      </c>
      <c r="AY213" t="str">
        <f t="shared" si="51"/>
        <v>S-Fold (Extra Fullness x 2.2)No Movement</v>
      </c>
      <c r="AZ213" s="80">
        <v>2.1</v>
      </c>
      <c r="BA213" s="80">
        <v>200</v>
      </c>
    </row>
    <row r="214" spans="10:53" ht="16.2" customHeight="1">
      <c r="J214" s="80" t="s">
        <v>746</v>
      </c>
      <c r="K214" s="80" t="s">
        <v>7101</v>
      </c>
      <c r="L214" t="s">
        <v>6468</v>
      </c>
      <c r="M214" t="s">
        <v>553</v>
      </c>
      <c r="N214" t="str">
        <f t="shared" si="49"/>
        <v>Double FrontDesigner 15 Hand DrawnGather Hook Bottom PocketTriple Face Fix Brackets</v>
      </c>
      <c r="O214">
        <v>60</v>
      </c>
      <c r="P214">
        <v>35</v>
      </c>
      <c r="Q214" s="80">
        <v>0</v>
      </c>
      <c r="R214" s="80">
        <f t="shared" si="50"/>
        <v>-25</v>
      </c>
      <c r="AD214"/>
      <c r="AH214" t="s">
        <v>518</v>
      </c>
      <c r="AI214" t="s">
        <v>275</v>
      </c>
      <c r="AJ214" s="11" t="s">
        <v>160</v>
      </c>
      <c r="AK214" s="80" t="str">
        <f t="shared" si="54"/>
        <v>Renaissance Decorator Rod Hand DrawnBirch WhiteStraight</v>
      </c>
      <c r="AL214" s="80" t="s">
        <v>274</v>
      </c>
      <c r="AM214" s="80" t="s">
        <v>181</v>
      </c>
      <c r="AN214" s="80">
        <v>200</v>
      </c>
      <c r="AO214" s="80" t="s">
        <v>120</v>
      </c>
      <c r="AW214" s="80" t="s">
        <v>243</v>
      </c>
      <c r="AX214" s="80" t="s">
        <v>5903</v>
      </c>
      <c r="AY214" t="str">
        <f t="shared" si="51"/>
        <v>S-Fold (Extra Fullness x 2.2)Centre Opening - Free Flowing (Offset Split)</v>
      </c>
      <c r="AZ214" s="80">
        <v>2.1</v>
      </c>
      <c r="BA214" s="80">
        <v>200</v>
      </c>
    </row>
    <row r="215" spans="10:53" ht="16.2" customHeight="1">
      <c r="J215" s="80" t="s">
        <v>725</v>
      </c>
      <c r="K215" s="80" t="s">
        <v>7101</v>
      </c>
      <c r="L215" t="s">
        <v>6468</v>
      </c>
      <c r="M215" t="s">
        <v>553</v>
      </c>
      <c r="N215" t="str">
        <f t="shared" si="49"/>
        <v>SingleDesigner 15 Hand DrawnGather Hook Bottom PocketTriple Face Fix Brackets</v>
      </c>
      <c r="O215">
        <v>60</v>
      </c>
      <c r="P215">
        <v>35</v>
      </c>
      <c r="Q215" s="80">
        <v>0</v>
      </c>
      <c r="R215" s="80">
        <f t="shared" si="50"/>
        <v>-25</v>
      </c>
      <c r="AD215"/>
      <c r="AH215" s="80" t="s">
        <v>518</v>
      </c>
      <c r="AI215" s="86" t="s">
        <v>193</v>
      </c>
      <c r="AJ215" s="11" t="s">
        <v>11556</v>
      </c>
      <c r="AK215" s="80" t="str">
        <f t="shared" si="54"/>
        <v>Renaissance Decorator Rod Hand DrawnBlackBent</v>
      </c>
      <c r="AL215" s="80" t="s">
        <v>274</v>
      </c>
      <c r="AM215" s="80" t="s">
        <v>181</v>
      </c>
      <c r="AN215" s="80">
        <v>200</v>
      </c>
      <c r="AO215" s="80" t="s">
        <v>120</v>
      </c>
      <c r="AW215" t="s">
        <v>244</v>
      </c>
      <c r="AX215" t="s">
        <v>138</v>
      </c>
      <c r="AY215" t="str">
        <f t="shared" si="51"/>
        <v>S-Fold (Less Fullness x 1.8)Centre Opening</v>
      </c>
      <c r="AZ215" s="80">
        <v>2.5</v>
      </c>
      <c r="BA215" s="80">
        <v>400</v>
      </c>
    </row>
    <row r="216" spans="10:53" ht="16.2" customHeight="1">
      <c r="J216" s="80" t="s">
        <v>746</v>
      </c>
      <c r="K216" s="80" t="s">
        <v>7101</v>
      </c>
      <c r="L216" t="s">
        <v>229</v>
      </c>
      <c r="M216" t="s">
        <v>553</v>
      </c>
      <c r="N216" t="str">
        <f t="shared" si="49"/>
        <v>Double FrontDesigner 15 Hand DrawnGather Hook LevelTriple Face Fix Brackets</v>
      </c>
      <c r="O216">
        <v>20</v>
      </c>
      <c r="P216">
        <v>35</v>
      </c>
      <c r="Q216" s="80">
        <v>0</v>
      </c>
      <c r="R216" s="80">
        <f t="shared" si="50"/>
        <v>15</v>
      </c>
      <c r="AD216"/>
      <c r="AH216" t="s">
        <v>518</v>
      </c>
      <c r="AI216" t="s">
        <v>193</v>
      </c>
      <c r="AJ216" s="11" t="s">
        <v>160</v>
      </c>
      <c r="AK216" s="80" t="str">
        <f t="shared" si="54"/>
        <v>Renaissance Decorator Rod Hand DrawnBlackStraight</v>
      </c>
      <c r="AL216" s="80" t="s">
        <v>274</v>
      </c>
      <c r="AM216" s="80" t="s">
        <v>181</v>
      </c>
      <c r="AN216" s="80">
        <v>200</v>
      </c>
      <c r="AO216" s="80" t="s">
        <v>120</v>
      </c>
      <c r="AW216" t="s">
        <v>244</v>
      </c>
      <c r="AX216" t="s">
        <v>5902</v>
      </c>
      <c r="AY216" t="str">
        <f t="shared" si="51"/>
        <v>S-Fold (Less Fullness x 1.8)Centre Opening (Offset Split)</v>
      </c>
      <c r="AZ216" s="80">
        <v>2.5</v>
      </c>
      <c r="BA216" s="80">
        <v>400</v>
      </c>
    </row>
    <row r="217" spans="10:53" ht="16.2" customHeight="1">
      <c r="J217" s="80" t="s">
        <v>747</v>
      </c>
      <c r="K217" s="80" t="s">
        <v>7101</v>
      </c>
      <c r="L217" t="s">
        <v>229</v>
      </c>
      <c r="M217" t="s">
        <v>553</v>
      </c>
      <c r="N217" t="str">
        <f t="shared" si="49"/>
        <v>Double RearDesigner 15 Hand DrawnGather Hook LevelTriple Face Fix Brackets</v>
      </c>
      <c r="O217">
        <v>20</v>
      </c>
      <c r="P217">
        <v>35</v>
      </c>
      <c r="Q217" s="80">
        <v>0</v>
      </c>
      <c r="R217" s="80">
        <f t="shared" si="50"/>
        <v>15</v>
      </c>
      <c r="AD217"/>
      <c r="AH217" s="80" t="s">
        <v>518</v>
      </c>
      <c r="AI217" t="s">
        <v>269</v>
      </c>
      <c r="AJ217" s="11" t="s">
        <v>11556</v>
      </c>
      <c r="AK217" s="80" t="str">
        <f t="shared" si="54"/>
        <v>Renaissance Decorator Rod Hand DrawnChromeBent</v>
      </c>
      <c r="AL217" s="80" t="s">
        <v>274</v>
      </c>
      <c r="AM217" s="80" t="s">
        <v>181</v>
      </c>
      <c r="AN217" s="80">
        <v>200</v>
      </c>
      <c r="AO217" s="80" t="s">
        <v>120</v>
      </c>
      <c r="AW217" t="s">
        <v>244</v>
      </c>
      <c r="AX217" t="s">
        <v>141</v>
      </c>
      <c r="AY217" t="str">
        <f t="shared" si="51"/>
        <v>S-Fold (Less Fullness x 1.8)Single Panel - Left Stacking</v>
      </c>
      <c r="AZ217" s="80">
        <v>2.5</v>
      </c>
      <c r="BA217" s="80">
        <v>200</v>
      </c>
    </row>
    <row r="218" spans="10:53" ht="16.2" customHeight="1">
      <c r="J218" s="80" t="s">
        <v>725</v>
      </c>
      <c r="K218" s="80" t="s">
        <v>7101</v>
      </c>
      <c r="L218" t="s">
        <v>229</v>
      </c>
      <c r="M218" t="s">
        <v>553</v>
      </c>
      <c r="N218" t="str">
        <f t="shared" si="49"/>
        <v>SingleDesigner 15 Hand DrawnGather Hook LevelTriple Face Fix Brackets</v>
      </c>
      <c r="O218">
        <v>20</v>
      </c>
      <c r="P218">
        <v>35</v>
      </c>
      <c r="Q218" s="80">
        <v>0</v>
      </c>
      <c r="R218" s="80">
        <f t="shared" si="50"/>
        <v>15</v>
      </c>
      <c r="AD218"/>
      <c r="AH218" t="s">
        <v>518</v>
      </c>
      <c r="AI218" t="s">
        <v>269</v>
      </c>
      <c r="AJ218" s="11" t="s">
        <v>160</v>
      </c>
      <c r="AK218" s="80" t="str">
        <f t="shared" si="54"/>
        <v>Renaissance Decorator Rod Hand DrawnChromeStraight</v>
      </c>
      <c r="AL218" s="80" t="s">
        <v>274</v>
      </c>
      <c r="AM218" s="80" t="s">
        <v>181</v>
      </c>
      <c r="AN218" s="80">
        <v>200</v>
      </c>
      <c r="AO218" s="80" t="s">
        <v>120</v>
      </c>
      <c r="AW218" t="s">
        <v>244</v>
      </c>
      <c r="AX218" t="s">
        <v>142</v>
      </c>
      <c r="AY218" t="str">
        <f t="shared" si="51"/>
        <v>S-Fold (Less Fullness x 1.8)Single Panel - Right Stacking</v>
      </c>
      <c r="AZ218" s="80">
        <v>2.5</v>
      </c>
      <c r="BA218" s="80">
        <v>200</v>
      </c>
    </row>
    <row r="219" spans="10:53" ht="16.2" customHeight="1">
      <c r="J219" s="80" t="s">
        <v>746</v>
      </c>
      <c r="K219" s="80" t="s">
        <v>7101</v>
      </c>
      <c r="L219" t="s">
        <v>228</v>
      </c>
      <c r="M219" t="s">
        <v>553</v>
      </c>
      <c r="N219" t="str">
        <f t="shared" si="49"/>
        <v>Double FrontDesigner 15 Hand DrawnGather Hook NormalTriple Face Fix Brackets</v>
      </c>
      <c r="O219">
        <v>43</v>
      </c>
      <c r="P219">
        <v>35</v>
      </c>
      <c r="Q219" s="80">
        <v>0</v>
      </c>
      <c r="R219" s="80">
        <f t="shared" si="50"/>
        <v>-8</v>
      </c>
      <c r="AD219"/>
      <c r="AH219" t="s">
        <v>518</v>
      </c>
      <c r="AI219" t="s">
        <v>225</v>
      </c>
      <c r="AJ219" s="11" t="s">
        <v>11556</v>
      </c>
      <c r="AK219" s="80" t="str">
        <f t="shared" si="61" ref="AK219">CONCATENATE(AH219,AI219,AJ219)</f>
        <v>Renaissance Decorator Rod Hand DrawnGoldBent</v>
      </c>
      <c r="AL219" s="80" t="s">
        <v>274</v>
      </c>
      <c r="AM219" s="80" t="s">
        <v>181</v>
      </c>
      <c r="AN219" s="80">
        <v>200</v>
      </c>
      <c r="AO219" s="80" t="s">
        <v>120</v>
      </c>
      <c r="AW219" t="s">
        <v>244</v>
      </c>
      <c r="AX219" t="s">
        <v>143</v>
      </c>
      <c r="AY219" t="str">
        <f t="shared" si="51"/>
        <v>S-Fold (Less Fullness x 1.8)Single Panel - Free Flowing</v>
      </c>
      <c r="AZ219" s="80">
        <v>2.5</v>
      </c>
      <c r="BA219" s="80">
        <v>200</v>
      </c>
    </row>
    <row r="220" spans="10:53" ht="16.2" customHeight="1">
      <c r="J220" s="80" t="s">
        <v>747</v>
      </c>
      <c r="K220" s="80" t="s">
        <v>7101</v>
      </c>
      <c r="L220" t="s">
        <v>228</v>
      </c>
      <c r="M220" t="s">
        <v>553</v>
      </c>
      <c r="N220" t="str">
        <f t="shared" si="49"/>
        <v>Double RearDesigner 15 Hand DrawnGather Hook NormalTriple Face Fix Brackets</v>
      </c>
      <c r="O220">
        <v>43</v>
      </c>
      <c r="P220">
        <v>35</v>
      </c>
      <c r="Q220" s="80">
        <v>0</v>
      </c>
      <c r="R220" s="80">
        <f t="shared" si="50"/>
        <v>-8</v>
      </c>
      <c r="AD220"/>
      <c r="AH220" t="s">
        <v>518</v>
      </c>
      <c r="AI220" t="s">
        <v>225</v>
      </c>
      <c r="AJ220" s="11" t="s">
        <v>160</v>
      </c>
      <c r="AK220" s="80" t="str">
        <f t="shared" si="54"/>
        <v>Renaissance Decorator Rod Hand DrawnGoldStraight</v>
      </c>
      <c r="AL220" s="80" t="s">
        <v>274</v>
      </c>
      <c r="AM220" s="80" t="s">
        <v>181</v>
      </c>
      <c r="AN220" s="80">
        <v>200</v>
      </c>
      <c r="AO220" s="80" t="s">
        <v>120</v>
      </c>
      <c r="AW220" t="s">
        <v>244</v>
      </c>
      <c r="AX220" t="s">
        <v>717</v>
      </c>
      <c r="AY220" t="str">
        <f t="shared" si="51"/>
        <v>S-Fold (Less Fullness x 1.8)Centre Opening - Free Flowing</v>
      </c>
      <c r="AZ220" s="80">
        <v>2.5</v>
      </c>
      <c r="BA220" s="80">
        <v>400</v>
      </c>
    </row>
    <row r="221" spans="10:53" ht="16.2" customHeight="1">
      <c r="J221" s="80" t="s">
        <v>725</v>
      </c>
      <c r="K221" s="80" t="s">
        <v>7101</v>
      </c>
      <c r="L221" t="s">
        <v>228</v>
      </c>
      <c r="M221" t="s">
        <v>553</v>
      </c>
      <c r="N221" t="str">
        <f t="shared" si="49"/>
        <v>SingleDesigner 15 Hand DrawnGather Hook NormalTriple Face Fix Brackets</v>
      </c>
      <c r="O221">
        <v>43</v>
      </c>
      <c r="P221">
        <v>35</v>
      </c>
      <c r="Q221" s="80">
        <v>0</v>
      </c>
      <c r="R221" s="80">
        <f t="shared" si="50"/>
        <v>-8</v>
      </c>
      <c r="AD221"/>
      <c r="AH221" t="s">
        <v>518</v>
      </c>
      <c r="AI221" t="s">
        <v>692</v>
      </c>
      <c r="AJ221" s="11" t="s">
        <v>11556</v>
      </c>
      <c r="AK221" s="80" t="str">
        <f t="shared" si="62" ref="AK221">CONCATENATE(AH221,AI221,AJ221)</f>
        <v>Renaissance Decorator Rod Hand DrawnMatt Black InkBent</v>
      </c>
      <c r="AL221" s="80" t="s">
        <v>274</v>
      </c>
      <c r="AM221" s="80" t="s">
        <v>181</v>
      </c>
      <c r="AN221" s="80">
        <v>200</v>
      </c>
      <c r="AO221" s="80" t="s">
        <v>120</v>
      </c>
      <c r="AW221" t="s">
        <v>244</v>
      </c>
      <c r="AX221" t="s">
        <v>154</v>
      </c>
      <c r="AY221" t="str">
        <f t="shared" si="51"/>
        <v>S-Fold (Less Fullness x 1.8)No Movement</v>
      </c>
      <c r="AZ221" s="80">
        <v>2.5</v>
      </c>
      <c r="BA221" s="80">
        <v>200</v>
      </c>
    </row>
    <row r="222" spans="10:53" ht="16.2" customHeight="1">
      <c r="J222" s="80" t="s">
        <v>746</v>
      </c>
      <c r="K222" s="80" t="s">
        <v>7101</v>
      </c>
      <c r="L222" t="s">
        <v>282</v>
      </c>
      <c r="M222" t="s">
        <v>553</v>
      </c>
      <c r="N222" t="str">
        <f t="shared" si="49"/>
        <v>Double FrontDesigner 15 Hand DrawnLevel 2072Triple Face Fix Brackets</v>
      </c>
      <c r="O222">
        <v>38</v>
      </c>
      <c r="P222">
        <v>35</v>
      </c>
      <c r="Q222" s="80">
        <v>0</v>
      </c>
      <c r="R222" s="80">
        <f t="shared" si="50"/>
        <v>-3</v>
      </c>
      <c r="AD222"/>
      <c r="AH222" t="s">
        <v>518</v>
      </c>
      <c r="AI222" t="s">
        <v>692</v>
      </c>
      <c r="AJ222" s="11" t="s">
        <v>160</v>
      </c>
      <c r="AK222" s="80" t="str">
        <f t="shared" si="54"/>
        <v>Renaissance Decorator Rod Hand DrawnMatt Black InkStraight</v>
      </c>
      <c r="AL222" s="80" t="s">
        <v>274</v>
      </c>
      <c r="AM222" s="80" t="s">
        <v>181</v>
      </c>
      <c r="AN222" s="80">
        <v>200</v>
      </c>
      <c r="AO222" s="80" t="s">
        <v>120</v>
      </c>
      <c r="AW222" s="80" t="s">
        <v>244</v>
      </c>
      <c r="AX222" s="80" t="s">
        <v>5903</v>
      </c>
      <c r="AY222" t="str">
        <f t="shared" si="51"/>
        <v>S-Fold (Less Fullness x 1.8)Centre Opening - Free Flowing (Offset Split)</v>
      </c>
      <c r="AZ222" s="80">
        <v>2.5</v>
      </c>
      <c r="BA222" s="80">
        <v>200</v>
      </c>
    </row>
    <row r="223" spans="10:53" ht="16.2" customHeight="1">
      <c r="J223" s="80" t="s">
        <v>747</v>
      </c>
      <c r="K223" s="80" t="s">
        <v>7101</v>
      </c>
      <c r="L223" t="s">
        <v>282</v>
      </c>
      <c r="M223" t="s">
        <v>553</v>
      </c>
      <c r="N223" t="str">
        <f t="shared" si="49"/>
        <v>Double RearDesigner 15 Hand DrawnLevel 2072Triple Face Fix Brackets</v>
      </c>
      <c r="O223">
        <v>38</v>
      </c>
      <c r="P223">
        <v>35</v>
      </c>
      <c r="Q223" s="80">
        <v>0</v>
      </c>
      <c r="R223" s="80">
        <f t="shared" si="50"/>
        <v>-3</v>
      </c>
      <c r="AD223"/>
      <c r="AH223" t="s">
        <v>518</v>
      </c>
      <c r="AI223" t="s">
        <v>357</v>
      </c>
      <c r="AJ223" s="11" t="s">
        <v>11556</v>
      </c>
      <c r="AK223" s="80" t="str">
        <f t="shared" si="63" ref="AK223">CONCATENATE(AH223,AI223,AJ223)</f>
        <v>Renaissance Decorator Rod Hand DrawnMatt SatinBent</v>
      </c>
      <c r="AL223" s="80" t="s">
        <v>274</v>
      </c>
      <c r="AM223" s="80" t="s">
        <v>181</v>
      </c>
      <c r="AN223" s="80">
        <v>200</v>
      </c>
      <c r="AO223" s="80" t="s">
        <v>120</v>
      </c>
      <c r="AW223" t="s">
        <v>242</v>
      </c>
      <c r="AX223" t="s">
        <v>138</v>
      </c>
      <c r="AY223" t="str">
        <f t="shared" si="51"/>
        <v>S-Fold (Standard Fullness x 2)Centre Opening</v>
      </c>
      <c r="AZ223" s="80">
        <v>2.3</v>
      </c>
      <c r="BA223" s="80">
        <v>400</v>
      </c>
    </row>
    <row r="224" spans="10:53" ht="16.2" customHeight="1">
      <c r="J224" s="80" t="s">
        <v>725</v>
      </c>
      <c r="K224" s="80" t="s">
        <v>7101</v>
      </c>
      <c r="L224" t="s">
        <v>282</v>
      </c>
      <c r="M224" t="s">
        <v>553</v>
      </c>
      <c r="N224" t="str">
        <f t="shared" si="49"/>
        <v>SingleDesigner 15 Hand DrawnLevel 2072Triple Face Fix Brackets</v>
      </c>
      <c r="O224">
        <v>35</v>
      </c>
      <c r="P224">
        <v>35</v>
      </c>
      <c r="Q224" s="80">
        <v>0</v>
      </c>
      <c r="R224" s="80">
        <f t="shared" si="50"/>
        <v>0</v>
      </c>
      <c r="AD224"/>
      <c r="AH224" t="s">
        <v>518</v>
      </c>
      <c r="AI224" t="s">
        <v>357</v>
      </c>
      <c r="AJ224" s="11" t="s">
        <v>160</v>
      </c>
      <c r="AK224" s="80" t="str">
        <f t="shared" si="54"/>
        <v>Renaissance Decorator Rod Hand DrawnMatt SatinStraight</v>
      </c>
      <c r="AL224" s="80" t="s">
        <v>274</v>
      </c>
      <c r="AM224" s="80" t="s">
        <v>181</v>
      </c>
      <c r="AN224" s="80">
        <v>200</v>
      </c>
      <c r="AO224" s="80" t="s">
        <v>120</v>
      </c>
      <c r="AW224" t="s">
        <v>242</v>
      </c>
      <c r="AX224" t="s">
        <v>5902</v>
      </c>
      <c r="AY224" t="str">
        <f t="shared" si="51"/>
        <v>S-Fold (Standard Fullness x 2)Centre Opening (Offset Split)</v>
      </c>
      <c r="AZ224" s="80">
        <v>2.3</v>
      </c>
      <c r="BA224" s="80">
        <v>400</v>
      </c>
    </row>
    <row r="225" spans="10:53" ht="16.2" customHeight="1">
      <c r="J225" s="80" t="s">
        <v>746</v>
      </c>
      <c r="K225" s="80" t="s">
        <v>7101</v>
      </c>
      <c r="L225" t="s">
        <v>170</v>
      </c>
      <c r="M225" t="s">
        <v>553</v>
      </c>
      <c r="N225" t="str">
        <f t="shared" si="49"/>
        <v>Double FrontDesigner 15 Hand DrawnNormal 2074Triple Face Fix Brackets</v>
      </c>
      <c r="O225">
        <v>60</v>
      </c>
      <c r="P225">
        <v>35</v>
      </c>
      <c r="Q225" s="80">
        <v>0</v>
      </c>
      <c r="R225" s="80">
        <f t="shared" si="50"/>
        <v>-25</v>
      </c>
      <c r="AD225"/>
      <c r="AH225" t="s">
        <v>518</v>
      </c>
      <c r="AI225" t="s">
        <v>191</v>
      </c>
      <c r="AJ225" s="11" t="s">
        <v>11556</v>
      </c>
      <c r="AK225" s="80" t="str">
        <f t="shared" si="64" ref="AK225">CONCATENATE(AH225,AI225,AJ225)</f>
        <v>Renaissance Decorator Rod Hand DrawnWhiteBent</v>
      </c>
      <c r="AL225" s="80" t="s">
        <v>274</v>
      </c>
      <c r="AM225" s="80" t="s">
        <v>181</v>
      </c>
      <c r="AN225" s="80">
        <v>200</v>
      </c>
      <c r="AO225" s="80" t="s">
        <v>120</v>
      </c>
      <c r="AW225" t="s">
        <v>242</v>
      </c>
      <c r="AX225" t="s">
        <v>141</v>
      </c>
      <c r="AY225" t="str">
        <f t="shared" si="51"/>
        <v>S-Fold (Standard Fullness x 2)Single Panel - Left Stacking</v>
      </c>
      <c r="AZ225" s="80">
        <v>2.3</v>
      </c>
      <c r="BA225" s="80">
        <v>200</v>
      </c>
    </row>
    <row r="226" spans="10:53" ht="16.2" customHeight="1">
      <c r="J226" s="80" t="s">
        <v>747</v>
      </c>
      <c r="K226" s="80" t="s">
        <v>7101</v>
      </c>
      <c r="L226" t="s">
        <v>170</v>
      </c>
      <c r="M226" t="s">
        <v>553</v>
      </c>
      <c r="N226" t="str">
        <f t="shared" si="49"/>
        <v>Double RearDesigner 15 Hand DrawnNormal 2074Triple Face Fix Brackets</v>
      </c>
      <c r="O226">
        <v>60</v>
      </c>
      <c r="P226">
        <v>35</v>
      </c>
      <c r="Q226" s="80">
        <v>0</v>
      </c>
      <c r="R226" s="80">
        <f t="shared" si="50"/>
        <v>-25</v>
      </c>
      <c r="AD226"/>
      <c r="AH226" t="s">
        <v>518</v>
      </c>
      <c r="AI226" t="s">
        <v>191</v>
      </c>
      <c r="AJ226" s="11" t="s">
        <v>160</v>
      </c>
      <c r="AK226" s="80" t="str">
        <f t="shared" si="54"/>
        <v>Renaissance Decorator Rod Hand DrawnWhiteStraight</v>
      </c>
      <c r="AL226" s="80" t="s">
        <v>274</v>
      </c>
      <c r="AM226" s="80" t="s">
        <v>181</v>
      </c>
      <c r="AN226" s="80">
        <v>200</v>
      </c>
      <c r="AO226" s="80" t="s">
        <v>120</v>
      </c>
      <c r="AW226" t="s">
        <v>242</v>
      </c>
      <c r="AX226" t="s">
        <v>142</v>
      </c>
      <c r="AY226" t="str">
        <f t="shared" si="51"/>
        <v>S-Fold (Standard Fullness x 2)Single Panel - Right Stacking</v>
      </c>
      <c r="AZ226" s="80">
        <v>2.3</v>
      </c>
      <c r="BA226" s="80">
        <v>200</v>
      </c>
    </row>
    <row r="227" spans="10:53" ht="16.2" customHeight="1">
      <c r="J227" s="80" t="s">
        <v>725</v>
      </c>
      <c r="K227" s="80" t="s">
        <v>7101</v>
      </c>
      <c r="L227" t="s">
        <v>170</v>
      </c>
      <c r="M227" t="s">
        <v>553</v>
      </c>
      <c r="N227" t="str">
        <f t="shared" si="49"/>
        <v>SingleDesigner 15 Hand DrawnNormal 2074Triple Face Fix Brackets</v>
      </c>
      <c r="O227">
        <v>60</v>
      </c>
      <c r="P227">
        <v>35</v>
      </c>
      <c r="Q227" s="80">
        <v>0</v>
      </c>
      <c r="R227" s="80">
        <f t="shared" si="50"/>
        <v>-25</v>
      </c>
      <c r="AD227"/>
      <c r="AH227" t="s">
        <v>6584</v>
      </c>
      <c r="AI227" t="s">
        <v>398</v>
      </c>
      <c r="AJ227" s="11" t="s">
        <v>11556</v>
      </c>
      <c r="AK227" s="80" t="str">
        <f t="shared" si="65" ref="AK227">CONCATENATE(AH227,AI227,AJ227)</f>
        <v>Renaissance Decorator Rod with Rings Cord DrawnAntique BrassBent</v>
      </c>
      <c r="AL227" s="80" t="s">
        <v>274</v>
      </c>
      <c r="AM227" s="80" t="s">
        <v>181</v>
      </c>
      <c r="AN227" s="80">
        <v>200</v>
      </c>
      <c r="AO227" s="80" t="s">
        <v>120</v>
      </c>
      <c r="AW227" t="s">
        <v>242</v>
      </c>
      <c r="AX227" t="s">
        <v>143</v>
      </c>
      <c r="AY227" t="str">
        <f t="shared" si="51"/>
        <v>S-Fold (Standard Fullness x 2)Single Panel - Free Flowing</v>
      </c>
      <c r="AZ227" s="80">
        <v>2.3</v>
      </c>
      <c r="BA227" s="80">
        <v>200</v>
      </c>
    </row>
    <row r="228" spans="10:53" ht="16.2" customHeight="1">
      <c r="J228" s="80" t="s">
        <v>746</v>
      </c>
      <c r="K228" s="80" t="s">
        <v>7102</v>
      </c>
      <c r="L228" t="s">
        <v>185</v>
      </c>
      <c r="M228" t="s">
        <v>162</v>
      </c>
      <c r="N228" t="str">
        <f t="shared" si="49"/>
        <v>Double FrontDesigner 15 S-Fold Cord DrawnNo HooksDouble Face Fix Brackets</v>
      </c>
      <c r="O228">
        <v>0</v>
      </c>
      <c r="P228">
        <v>25</v>
      </c>
      <c r="Q228" s="80">
        <v>0</v>
      </c>
      <c r="R228" s="80">
        <f t="shared" si="50"/>
        <v>25</v>
      </c>
      <c r="AD228"/>
      <c r="AH228" t="s">
        <v>6584</v>
      </c>
      <c r="AI228" t="s">
        <v>398</v>
      </c>
      <c r="AJ228" s="11" t="s">
        <v>160</v>
      </c>
      <c r="AK228" s="80" t="str">
        <f t="shared" si="54"/>
        <v>Renaissance Decorator Rod with Rings Cord DrawnAntique BrassStraight</v>
      </c>
      <c r="AL228" s="80" t="s">
        <v>274</v>
      </c>
      <c r="AM228" s="80" t="s">
        <v>181</v>
      </c>
      <c r="AN228" s="80">
        <v>200</v>
      </c>
      <c r="AO228" s="80" t="s">
        <v>120</v>
      </c>
      <c r="AW228" t="s">
        <v>242</v>
      </c>
      <c r="AX228" t="s">
        <v>717</v>
      </c>
      <c r="AY228" t="str">
        <f t="shared" si="51"/>
        <v>S-Fold (Standard Fullness x 2)Centre Opening - Free Flowing</v>
      </c>
      <c r="AZ228" s="80">
        <v>2.3</v>
      </c>
      <c r="BA228" s="80">
        <v>400</v>
      </c>
    </row>
    <row r="229" spans="10:53" ht="16.2" customHeight="1">
      <c r="J229" s="80" t="s">
        <v>747</v>
      </c>
      <c r="K229" s="80" t="s">
        <v>7102</v>
      </c>
      <c r="L229" t="s">
        <v>185</v>
      </c>
      <c r="M229" t="s">
        <v>162</v>
      </c>
      <c r="N229" t="str">
        <f t="shared" si="49"/>
        <v>Double RearDesigner 15 S-Fold Cord DrawnNo HooksDouble Face Fix Brackets</v>
      </c>
      <c r="O229">
        <v>0</v>
      </c>
      <c r="P229">
        <v>25</v>
      </c>
      <c r="Q229" s="80">
        <v>0</v>
      </c>
      <c r="R229" s="80">
        <f t="shared" si="50"/>
        <v>25</v>
      </c>
      <c r="AD229"/>
      <c r="AH229" t="s">
        <v>6584</v>
      </c>
      <c r="AI229" t="s">
        <v>275</v>
      </c>
      <c r="AJ229" s="11" t="s">
        <v>11556</v>
      </c>
      <c r="AK229" s="80" t="str">
        <f t="shared" si="66" ref="AK229">CONCATENATE(AH229,AI229,AJ229)</f>
        <v>Renaissance Decorator Rod with Rings Cord DrawnBirch WhiteBent</v>
      </c>
      <c r="AL229" s="80" t="s">
        <v>274</v>
      </c>
      <c r="AM229" s="80" t="s">
        <v>181</v>
      </c>
      <c r="AN229" s="80">
        <v>200</v>
      </c>
      <c r="AO229" s="80" t="s">
        <v>120</v>
      </c>
      <c r="AW229" t="s">
        <v>242</v>
      </c>
      <c r="AX229" t="s">
        <v>154</v>
      </c>
      <c r="AY229" t="str">
        <f t="shared" si="51"/>
        <v>S-Fold (Standard Fullness x 2)No Movement</v>
      </c>
      <c r="AZ229" s="80">
        <v>2.3</v>
      </c>
      <c r="BA229" s="80">
        <v>200</v>
      </c>
    </row>
    <row r="230" spans="10:53" ht="16.2" customHeight="1">
      <c r="J230" s="80" t="s">
        <v>725</v>
      </c>
      <c r="K230" s="80" t="s">
        <v>7102</v>
      </c>
      <c r="L230" t="s">
        <v>185</v>
      </c>
      <c r="M230" t="s">
        <v>162</v>
      </c>
      <c r="N230" t="str">
        <f t="shared" si="49"/>
        <v>SingleDesigner 15 S-Fold Cord DrawnNo HooksDouble Face Fix Brackets</v>
      </c>
      <c r="O230">
        <v>0</v>
      </c>
      <c r="P230">
        <v>25</v>
      </c>
      <c r="Q230" s="80">
        <v>0</v>
      </c>
      <c r="R230" s="80">
        <f t="shared" si="50"/>
        <v>25</v>
      </c>
      <c r="AD230"/>
      <c r="AH230" t="s">
        <v>6584</v>
      </c>
      <c r="AI230" t="s">
        <v>275</v>
      </c>
      <c r="AJ230" s="11" t="s">
        <v>160</v>
      </c>
      <c r="AK230" s="80" t="str">
        <f t="shared" si="54"/>
        <v>Renaissance Decorator Rod with Rings Cord DrawnBirch WhiteStraight</v>
      </c>
      <c r="AL230" s="80" t="s">
        <v>274</v>
      </c>
      <c r="AM230" s="80" t="s">
        <v>181</v>
      </c>
      <c r="AN230" s="80">
        <v>200</v>
      </c>
      <c r="AO230" s="80" t="s">
        <v>120</v>
      </c>
      <c r="AW230" s="80" t="s">
        <v>242</v>
      </c>
      <c r="AX230" s="80" t="s">
        <v>5903</v>
      </c>
      <c r="AY230" t="str">
        <f t="shared" si="51"/>
        <v>S-Fold (Standard Fullness x 2)Centre Opening - Free Flowing (Offset Split)</v>
      </c>
      <c r="AZ230" s="80">
        <v>2.3</v>
      </c>
      <c r="BA230" s="80">
        <v>200</v>
      </c>
    </row>
    <row r="231" spans="10:53" ht="16.2" customHeight="1">
      <c r="J231" s="80" t="s">
        <v>746</v>
      </c>
      <c r="K231" s="80" t="s">
        <v>7102</v>
      </c>
      <c r="L231" t="s">
        <v>185</v>
      </c>
      <c r="M231" t="s">
        <v>159</v>
      </c>
      <c r="N231" t="str">
        <f t="shared" si="49"/>
        <v>Double FrontDesigner 15 S-Fold Cord DrawnNo HooksSingle Face Fix Brackets</v>
      </c>
      <c r="O231">
        <v>0</v>
      </c>
      <c r="P231">
        <v>25</v>
      </c>
      <c r="Q231" s="80">
        <v>0</v>
      </c>
      <c r="R231" s="80">
        <f t="shared" si="50"/>
        <v>25</v>
      </c>
      <c r="AD231"/>
      <c r="AH231" t="s">
        <v>6584</v>
      </c>
      <c r="AI231" t="s">
        <v>193</v>
      </c>
      <c r="AJ231" s="11" t="s">
        <v>11556</v>
      </c>
      <c r="AK231" s="80" t="str">
        <f t="shared" si="67" ref="AK231">CONCATENATE(AH231,AI231,AJ231)</f>
        <v>Renaissance Decorator Rod with Rings Cord DrawnBlackBent</v>
      </c>
      <c r="AL231" s="80" t="s">
        <v>274</v>
      </c>
      <c r="AM231" s="80" t="s">
        <v>181</v>
      </c>
      <c r="AN231" s="80">
        <v>200</v>
      </c>
      <c r="AO231" s="80" t="s">
        <v>120</v>
      </c>
      <c r="AW231" t="s">
        <v>235</v>
      </c>
      <c r="AX231" t="s">
        <v>138</v>
      </c>
      <c r="AY231" t="str">
        <f t="shared" si="51"/>
        <v>Triple Pinch Pleat (Extra Fullness x 2.3)Centre Opening</v>
      </c>
      <c r="AZ231" s="80">
        <v>2.3</v>
      </c>
      <c r="BA231" s="80">
        <v>400</v>
      </c>
    </row>
    <row r="232" spans="10:53" ht="16.2" customHeight="1">
      <c r="J232" s="80" t="s">
        <v>747</v>
      </c>
      <c r="K232" s="80" t="s">
        <v>7102</v>
      </c>
      <c r="L232" t="s">
        <v>185</v>
      </c>
      <c r="M232" t="s">
        <v>159</v>
      </c>
      <c r="N232" t="str">
        <f t="shared" si="49"/>
        <v>Double RearDesigner 15 S-Fold Cord DrawnNo HooksSingle Face Fix Brackets</v>
      </c>
      <c r="O232">
        <v>0</v>
      </c>
      <c r="P232">
        <v>25</v>
      </c>
      <c r="Q232" s="80">
        <v>0</v>
      </c>
      <c r="R232" s="80">
        <f t="shared" si="50"/>
        <v>25</v>
      </c>
      <c r="AD232"/>
      <c r="AH232" t="s">
        <v>6584</v>
      </c>
      <c r="AI232" t="s">
        <v>193</v>
      </c>
      <c r="AJ232" s="11" t="s">
        <v>160</v>
      </c>
      <c r="AK232" s="80" t="str">
        <f t="shared" si="54"/>
        <v>Renaissance Decorator Rod with Rings Cord DrawnBlackStraight</v>
      </c>
      <c r="AL232" s="80" t="s">
        <v>274</v>
      </c>
      <c r="AM232" s="80" t="s">
        <v>181</v>
      </c>
      <c r="AN232" s="80">
        <v>200</v>
      </c>
      <c r="AO232" s="80" t="s">
        <v>120</v>
      </c>
      <c r="AW232" t="s">
        <v>235</v>
      </c>
      <c r="AX232" t="s">
        <v>5902</v>
      </c>
      <c r="AY232" t="str">
        <f t="shared" si="51"/>
        <v>Triple Pinch Pleat (Extra Fullness x 2.3)Centre Opening (Offset Split)</v>
      </c>
      <c r="AZ232" s="80">
        <v>2.3</v>
      </c>
      <c r="BA232" s="80">
        <v>400</v>
      </c>
    </row>
    <row r="233" spans="10:53" ht="16.2" customHeight="1">
      <c r="J233" s="80" t="s">
        <v>725</v>
      </c>
      <c r="K233" s="80" t="s">
        <v>7102</v>
      </c>
      <c r="L233" t="s">
        <v>185</v>
      </c>
      <c r="M233" t="s">
        <v>159</v>
      </c>
      <c r="N233" t="str">
        <f t="shared" si="49"/>
        <v>SingleDesigner 15 S-Fold Cord DrawnNo HooksSingle Face Fix Brackets</v>
      </c>
      <c r="O233">
        <v>0</v>
      </c>
      <c r="P233">
        <v>25</v>
      </c>
      <c r="Q233" s="80">
        <v>0</v>
      </c>
      <c r="R233" s="80">
        <f t="shared" si="50"/>
        <v>25</v>
      </c>
      <c r="AD233"/>
      <c r="AH233" t="s">
        <v>6584</v>
      </c>
      <c r="AI233" t="s">
        <v>269</v>
      </c>
      <c r="AJ233" s="11" t="s">
        <v>11556</v>
      </c>
      <c r="AK233" s="80" t="str">
        <f t="shared" si="68" ref="AK233">CONCATENATE(AH233,AI233,AJ233)</f>
        <v>Renaissance Decorator Rod with Rings Cord DrawnChromeBent</v>
      </c>
      <c r="AL233" s="80" t="s">
        <v>274</v>
      </c>
      <c r="AM233" s="80" t="s">
        <v>181</v>
      </c>
      <c r="AN233" s="80">
        <v>200</v>
      </c>
      <c r="AO233" s="80" t="s">
        <v>120</v>
      </c>
      <c r="AW233" t="s">
        <v>235</v>
      </c>
      <c r="AX233" t="s">
        <v>141</v>
      </c>
      <c r="AY233" t="str">
        <f t="shared" si="51"/>
        <v>Triple Pinch Pleat (Extra Fullness x 2.3)Single Panel - Left Stacking</v>
      </c>
      <c r="AZ233" s="80">
        <v>2.3</v>
      </c>
      <c r="BA233" s="80">
        <v>200</v>
      </c>
    </row>
    <row r="234" spans="10:53" ht="16.2" customHeight="1">
      <c r="J234" s="80" t="s">
        <v>746</v>
      </c>
      <c r="K234" s="80" t="s">
        <v>7102</v>
      </c>
      <c r="L234" t="s">
        <v>185</v>
      </c>
      <c r="M234" t="s">
        <v>161</v>
      </c>
      <c r="N234" t="str">
        <f t="shared" si="49"/>
        <v>Double FrontDesigner 15 S-Fold Cord DrawnNo HooksTop Fix Brackets</v>
      </c>
      <c r="O234">
        <v>0</v>
      </c>
      <c r="P234">
        <v>20</v>
      </c>
      <c r="Q234" s="80">
        <v>0</v>
      </c>
      <c r="R234" s="80">
        <f t="shared" si="50"/>
        <v>20</v>
      </c>
      <c r="AD234"/>
      <c r="AH234" t="s">
        <v>6584</v>
      </c>
      <c r="AI234" t="s">
        <v>269</v>
      </c>
      <c r="AJ234" s="11" t="s">
        <v>160</v>
      </c>
      <c r="AK234" s="80" t="str">
        <f t="shared" si="54"/>
        <v>Renaissance Decorator Rod with Rings Cord DrawnChromeStraight</v>
      </c>
      <c r="AL234" s="80" t="s">
        <v>274</v>
      </c>
      <c r="AM234" s="80" t="s">
        <v>181</v>
      </c>
      <c r="AN234" s="80">
        <v>200</v>
      </c>
      <c r="AO234" s="80" t="s">
        <v>120</v>
      </c>
      <c r="AW234" t="s">
        <v>235</v>
      </c>
      <c r="AX234" t="s">
        <v>142</v>
      </c>
      <c r="AY234" t="str">
        <f t="shared" si="51"/>
        <v>Triple Pinch Pleat (Extra Fullness x 2.3)Single Panel - Right Stacking</v>
      </c>
      <c r="AZ234" s="80">
        <v>2.3</v>
      </c>
      <c r="BA234" s="80">
        <v>200</v>
      </c>
    </row>
    <row r="235" spans="10:53" ht="16.2" customHeight="1">
      <c r="J235" s="80" t="s">
        <v>747</v>
      </c>
      <c r="K235" s="80" t="s">
        <v>7102</v>
      </c>
      <c r="L235" t="s">
        <v>185</v>
      </c>
      <c r="M235" t="s">
        <v>161</v>
      </c>
      <c r="N235" t="str">
        <f t="shared" si="49"/>
        <v>Double RearDesigner 15 S-Fold Cord DrawnNo HooksTop Fix Brackets</v>
      </c>
      <c r="O235">
        <v>0</v>
      </c>
      <c r="P235">
        <v>20</v>
      </c>
      <c r="Q235" s="80">
        <v>0</v>
      </c>
      <c r="R235" s="80">
        <f t="shared" si="50"/>
        <v>20</v>
      </c>
      <c r="AD235"/>
      <c r="AH235" t="s">
        <v>6584</v>
      </c>
      <c r="AI235" t="s">
        <v>225</v>
      </c>
      <c r="AJ235" s="11" t="s">
        <v>11556</v>
      </c>
      <c r="AK235" s="80" t="str">
        <f t="shared" si="69" ref="AK235">CONCATENATE(AH235,AI235,AJ235)</f>
        <v>Renaissance Decorator Rod with Rings Cord DrawnGoldBent</v>
      </c>
      <c r="AL235" s="80" t="s">
        <v>274</v>
      </c>
      <c r="AM235" s="80" t="s">
        <v>181</v>
      </c>
      <c r="AN235" s="80">
        <v>200</v>
      </c>
      <c r="AO235" s="80" t="s">
        <v>120</v>
      </c>
      <c r="AW235" t="s">
        <v>235</v>
      </c>
      <c r="AX235" t="s">
        <v>143</v>
      </c>
      <c r="AY235" t="str">
        <f t="shared" si="51"/>
        <v>Triple Pinch Pleat (Extra Fullness x 2.3)Single Panel - Free Flowing</v>
      </c>
      <c r="AZ235" s="80">
        <v>2.3</v>
      </c>
      <c r="BA235" s="80">
        <v>200</v>
      </c>
    </row>
    <row r="236" spans="10:53" ht="16.2" customHeight="1">
      <c r="J236" s="80" t="s">
        <v>725</v>
      </c>
      <c r="K236" s="80" t="s">
        <v>7102</v>
      </c>
      <c r="L236" t="s">
        <v>185</v>
      </c>
      <c r="M236" t="s">
        <v>161</v>
      </c>
      <c r="N236" t="str">
        <f t="shared" si="49"/>
        <v>SingleDesigner 15 S-Fold Cord DrawnNo HooksTop Fix Brackets</v>
      </c>
      <c r="O236">
        <v>0</v>
      </c>
      <c r="P236">
        <v>20</v>
      </c>
      <c r="Q236" s="80">
        <v>0</v>
      </c>
      <c r="R236" s="80">
        <f t="shared" si="50"/>
        <v>20</v>
      </c>
      <c r="AD236"/>
      <c r="AH236" t="s">
        <v>6584</v>
      </c>
      <c r="AI236" t="s">
        <v>225</v>
      </c>
      <c r="AJ236" s="11" t="s">
        <v>160</v>
      </c>
      <c r="AK236" s="80" t="str">
        <f t="shared" si="54"/>
        <v>Renaissance Decorator Rod with Rings Cord DrawnGoldStraight</v>
      </c>
      <c r="AL236" s="80" t="s">
        <v>274</v>
      </c>
      <c r="AM236" s="80" t="s">
        <v>181</v>
      </c>
      <c r="AN236" s="80">
        <v>200</v>
      </c>
      <c r="AO236" s="80" t="s">
        <v>120</v>
      </c>
      <c r="AW236" t="s">
        <v>235</v>
      </c>
      <c r="AX236" t="s">
        <v>717</v>
      </c>
      <c r="AY236" t="str">
        <f t="shared" si="51"/>
        <v>Triple Pinch Pleat (Extra Fullness x 2.3)Centre Opening - Free Flowing</v>
      </c>
      <c r="AZ236" s="80">
        <v>2.3</v>
      </c>
      <c r="BA236" s="80">
        <v>200</v>
      </c>
    </row>
    <row r="237" spans="10:53" ht="16.2" customHeight="1">
      <c r="J237" s="80" t="s">
        <v>746</v>
      </c>
      <c r="K237" s="80" t="s">
        <v>7102</v>
      </c>
      <c r="L237" t="s">
        <v>185</v>
      </c>
      <c r="M237" t="s">
        <v>553</v>
      </c>
      <c r="N237" t="str">
        <f t="shared" si="49"/>
        <v>Double FrontDesigner 15 S-Fold Cord DrawnNo HooksTriple Face Fix Brackets</v>
      </c>
      <c r="O237">
        <v>0</v>
      </c>
      <c r="P237">
        <v>25</v>
      </c>
      <c r="Q237" s="80">
        <v>0</v>
      </c>
      <c r="R237" s="80">
        <f t="shared" si="50"/>
        <v>25</v>
      </c>
      <c r="AD237"/>
      <c r="AH237" t="s">
        <v>6584</v>
      </c>
      <c r="AI237" t="s">
        <v>692</v>
      </c>
      <c r="AJ237" s="11" t="s">
        <v>11556</v>
      </c>
      <c r="AK237" s="80" t="str">
        <f t="shared" si="70" ref="AK237">CONCATENATE(AH237,AI237,AJ237)</f>
        <v>Renaissance Decorator Rod with Rings Cord DrawnMatt Black InkBent</v>
      </c>
      <c r="AL237" s="80" t="s">
        <v>274</v>
      </c>
      <c r="AM237" s="80" t="s">
        <v>181</v>
      </c>
      <c r="AN237" s="80">
        <v>200</v>
      </c>
      <c r="AO237" s="80" t="s">
        <v>120</v>
      </c>
      <c r="AW237" t="s">
        <v>235</v>
      </c>
      <c r="AX237" t="s">
        <v>154</v>
      </c>
      <c r="AY237" t="str">
        <f t="shared" si="51"/>
        <v>Triple Pinch Pleat (Extra Fullness x 2.3)No Movement</v>
      </c>
      <c r="AZ237" s="80">
        <v>2.3</v>
      </c>
      <c r="BA237" s="80">
        <v>200</v>
      </c>
    </row>
    <row r="238" spans="10:53" ht="16.2" customHeight="1">
      <c r="J238" s="80" t="s">
        <v>747</v>
      </c>
      <c r="K238" s="80" t="s">
        <v>7102</v>
      </c>
      <c r="L238" t="s">
        <v>185</v>
      </c>
      <c r="M238" t="s">
        <v>553</v>
      </c>
      <c r="N238" t="str">
        <f t="shared" si="49"/>
        <v>Double RearDesigner 15 S-Fold Cord DrawnNo HooksTriple Face Fix Brackets</v>
      </c>
      <c r="O238">
        <v>0</v>
      </c>
      <c r="P238">
        <v>25</v>
      </c>
      <c r="Q238" s="80">
        <v>0</v>
      </c>
      <c r="R238" s="80">
        <f t="shared" si="50"/>
        <v>25</v>
      </c>
      <c r="AD238"/>
      <c r="AH238" t="s">
        <v>6584</v>
      </c>
      <c r="AI238" t="s">
        <v>692</v>
      </c>
      <c r="AJ238" s="11" t="s">
        <v>160</v>
      </c>
      <c r="AK238" s="80" t="str">
        <f t="shared" si="54"/>
        <v>Renaissance Decorator Rod with Rings Cord DrawnMatt Black InkStraight</v>
      </c>
      <c r="AL238" s="80" t="s">
        <v>274</v>
      </c>
      <c r="AM238" s="80" t="s">
        <v>181</v>
      </c>
      <c r="AN238" s="80">
        <v>200</v>
      </c>
      <c r="AO238" s="80" t="s">
        <v>120</v>
      </c>
      <c r="AW238" s="80" t="s">
        <v>235</v>
      </c>
      <c r="AX238" s="80" t="s">
        <v>5903</v>
      </c>
      <c r="AY238" t="str">
        <f t="shared" si="51"/>
        <v>Triple Pinch Pleat (Extra Fullness x 2.3)Centre Opening - Free Flowing (Offset Split)</v>
      </c>
      <c r="AZ238" s="80">
        <v>2.3</v>
      </c>
      <c r="BA238" s="80">
        <v>200</v>
      </c>
    </row>
    <row r="239" spans="10:53" ht="16.2" customHeight="1">
      <c r="J239" s="80" t="s">
        <v>725</v>
      </c>
      <c r="K239" s="80" t="s">
        <v>7102</v>
      </c>
      <c r="L239" t="s">
        <v>185</v>
      </c>
      <c r="M239" t="s">
        <v>553</v>
      </c>
      <c r="N239" t="str">
        <f t="shared" si="49"/>
        <v>SingleDesigner 15 S-Fold Cord DrawnNo HooksTriple Face Fix Brackets</v>
      </c>
      <c r="O239">
        <v>0</v>
      </c>
      <c r="P239">
        <v>25</v>
      </c>
      <c r="Q239" s="80">
        <v>0</v>
      </c>
      <c r="R239" s="80">
        <f t="shared" si="50"/>
        <v>25</v>
      </c>
      <c r="AD239"/>
      <c r="AH239" t="s">
        <v>6584</v>
      </c>
      <c r="AI239" t="s">
        <v>357</v>
      </c>
      <c r="AJ239" s="11" t="s">
        <v>11556</v>
      </c>
      <c r="AK239" s="80" t="str">
        <f t="shared" si="71" ref="AK239">CONCATENATE(AH239,AI239,AJ239)</f>
        <v>Renaissance Decorator Rod with Rings Cord DrawnMatt SatinBent</v>
      </c>
      <c r="AL239" s="80" t="s">
        <v>274</v>
      </c>
      <c r="AM239" s="80" t="s">
        <v>181</v>
      </c>
      <c r="AN239" s="80">
        <v>200</v>
      </c>
      <c r="AO239" s="80" t="s">
        <v>120</v>
      </c>
      <c r="AW239" t="s">
        <v>236</v>
      </c>
      <c r="AX239" t="s">
        <v>138</v>
      </c>
      <c r="AY239" t="str">
        <f t="shared" si="51"/>
        <v>Triple Pinch Pleat (Less Fullness x 2)Centre Opening</v>
      </c>
      <c r="AZ239" s="80">
        <v>2</v>
      </c>
      <c r="BA239" s="80">
        <v>400</v>
      </c>
    </row>
    <row r="240" spans="10:53" ht="16.2" customHeight="1">
      <c r="J240" s="80" t="s">
        <v>746</v>
      </c>
      <c r="K240" s="80" t="s">
        <v>7103</v>
      </c>
      <c r="L240" t="s">
        <v>185</v>
      </c>
      <c r="M240" t="s">
        <v>162</v>
      </c>
      <c r="N240" t="str">
        <f t="shared" si="49"/>
        <v>Double FrontDesigner 15 S-Fold Hand DrawnNo HooksDouble Face Fix Brackets</v>
      </c>
      <c r="O240">
        <v>0</v>
      </c>
      <c r="P240">
        <v>25</v>
      </c>
      <c r="Q240" s="80">
        <v>0</v>
      </c>
      <c r="R240" s="80">
        <f t="shared" si="50"/>
        <v>25</v>
      </c>
      <c r="AD240"/>
      <c r="AH240" t="s">
        <v>6584</v>
      </c>
      <c r="AI240" t="s">
        <v>357</v>
      </c>
      <c r="AJ240" s="11" t="s">
        <v>160</v>
      </c>
      <c r="AK240" s="80" t="str">
        <f t="shared" si="54"/>
        <v>Renaissance Decorator Rod with Rings Cord DrawnMatt SatinStraight</v>
      </c>
      <c r="AL240" s="80" t="s">
        <v>274</v>
      </c>
      <c r="AM240" s="80" t="s">
        <v>181</v>
      </c>
      <c r="AN240" s="80">
        <v>200</v>
      </c>
      <c r="AO240" s="80" t="s">
        <v>120</v>
      </c>
      <c r="AW240" t="s">
        <v>236</v>
      </c>
      <c r="AX240" t="s">
        <v>5902</v>
      </c>
      <c r="AY240" t="str">
        <f t="shared" si="51"/>
        <v>Triple Pinch Pleat (Less Fullness x 2)Centre Opening (Offset Split)</v>
      </c>
      <c r="AZ240" s="80">
        <v>2</v>
      </c>
      <c r="BA240" s="80">
        <v>400</v>
      </c>
    </row>
    <row r="241" spans="10:53" ht="16.2" customHeight="1">
      <c r="J241" s="80" t="s">
        <v>747</v>
      </c>
      <c r="K241" s="80" t="s">
        <v>7103</v>
      </c>
      <c r="L241" t="s">
        <v>185</v>
      </c>
      <c r="M241" t="s">
        <v>162</v>
      </c>
      <c r="N241" t="str">
        <f t="shared" si="49"/>
        <v>Double RearDesigner 15 S-Fold Hand DrawnNo HooksDouble Face Fix Brackets</v>
      </c>
      <c r="O241">
        <v>0</v>
      </c>
      <c r="P241">
        <v>25</v>
      </c>
      <c r="Q241" s="80">
        <v>0</v>
      </c>
      <c r="R241" s="80">
        <f t="shared" si="50"/>
        <v>25</v>
      </c>
      <c r="AD241"/>
      <c r="AH241" t="s">
        <v>6584</v>
      </c>
      <c r="AI241" t="s">
        <v>191</v>
      </c>
      <c r="AJ241" s="11" t="s">
        <v>11556</v>
      </c>
      <c r="AK241" s="80" t="str">
        <f t="shared" si="72" ref="AK241">CONCATENATE(AH241,AI241,AJ241)</f>
        <v>Renaissance Decorator Rod with Rings Cord DrawnWhiteBent</v>
      </c>
      <c r="AL241" s="80" t="s">
        <v>274</v>
      </c>
      <c r="AM241" s="80" t="s">
        <v>181</v>
      </c>
      <c r="AN241" s="80">
        <v>200</v>
      </c>
      <c r="AO241" s="80" t="s">
        <v>120</v>
      </c>
      <c r="AW241" t="s">
        <v>236</v>
      </c>
      <c r="AX241" t="s">
        <v>141</v>
      </c>
      <c r="AY241" t="str">
        <f t="shared" si="51"/>
        <v>Triple Pinch Pleat (Less Fullness x 2)Single Panel - Left Stacking</v>
      </c>
      <c r="AZ241" s="80">
        <v>2</v>
      </c>
      <c r="BA241" s="80">
        <v>200</v>
      </c>
    </row>
    <row r="242" spans="10:53" ht="16.2" customHeight="1">
      <c r="J242" s="80" t="s">
        <v>725</v>
      </c>
      <c r="K242" s="80" t="s">
        <v>7103</v>
      </c>
      <c r="L242" t="s">
        <v>185</v>
      </c>
      <c r="M242" t="s">
        <v>162</v>
      </c>
      <c r="N242" t="str">
        <f t="shared" si="49"/>
        <v>SingleDesigner 15 S-Fold Hand DrawnNo HooksDouble Face Fix Brackets</v>
      </c>
      <c r="O242">
        <v>0</v>
      </c>
      <c r="P242">
        <v>25</v>
      </c>
      <c r="Q242" s="80">
        <v>0</v>
      </c>
      <c r="R242" s="80">
        <f t="shared" si="50"/>
        <v>25</v>
      </c>
      <c r="AD242"/>
      <c r="AH242" t="s">
        <v>6584</v>
      </c>
      <c r="AI242" t="s">
        <v>191</v>
      </c>
      <c r="AJ242" s="11" t="s">
        <v>160</v>
      </c>
      <c r="AK242" s="80" t="str">
        <f t="shared" si="54"/>
        <v>Renaissance Decorator Rod with Rings Cord DrawnWhiteStraight</v>
      </c>
      <c r="AL242" s="80" t="s">
        <v>274</v>
      </c>
      <c r="AM242" s="80" t="s">
        <v>181</v>
      </c>
      <c r="AN242" s="80">
        <v>200</v>
      </c>
      <c r="AO242" s="80" t="s">
        <v>120</v>
      </c>
      <c r="AW242" t="s">
        <v>236</v>
      </c>
      <c r="AX242" t="s">
        <v>142</v>
      </c>
      <c r="AY242" t="str">
        <f t="shared" si="51"/>
        <v>Triple Pinch Pleat (Less Fullness x 2)Single Panel - Right Stacking</v>
      </c>
      <c r="AZ242" s="80">
        <v>2</v>
      </c>
      <c r="BA242" s="80">
        <v>200</v>
      </c>
    </row>
    <row r="243" spans="10:53" ht="16.2" customHeight="1">
      <c r="J243" s="80" t="s">
        <v>746</v>
      </c>
      <c r="K243" s="80" t="s">
        <v>7103</v>
      </c>
      <c r="L243" t="s">
        <v>185</v>
      </c>
      <c r="M243" t="s">
        <v>159</v>
      </c>
      <c r="N243" t="str">
        <f t="shared" si="49"/>
        <v>Double FrontDesigner 15 S-Fold Hand DrawnNo HooksSingle Face Fix Brackets</v>
      </c>
      <c r="O243">
        <v>0</v>
      </c>
      <c r="P243">
        <v>25</v>
      </c>
      <c r="Q243" s="80">
        <v>0</v>
      </c>
      <c r="R243" s="80">
        <f t="shared" si="50"/>
        <v>25</v>
      </c>
      <c r="AD243"/>
      <c r="AH243" t="s">
        <v>6585</v>
      </c>
      <c r="AI243" t="s">
        <v>398</v>
      </c>
      <c r="AJ243" s="11" t="s">
        <v>11556</v>
      </c>
      <c r="AK243" s="80" t="str">
        <f t="shared" si="73" ref="AK243">CONCATENATE(AH243,AI243,AJ243)</f>
        <v>Renaissance Decorator Rod with Rings Hand DrawnAntique BrassBent</v>
      </c>
      <c r="AL243" s="80" t="s">
        <v>274</v>
      </c>
      <c r="AM243" s="80" t="s">
        <v>181</v>
      </c>
      <c r="AN243" s="80">
        <v>200</v>
      </c>
      <c r="AO243" s="80" t="s">
        <v>120</v>
      </c>
      <c r="AW243" t="s">
        <v>236</v>
      </c>
      <c r="AX243" t="s">
        <v>143</v>
      </c>
      <c r="AY243" t="str">
        <f t="shared" si="51"/>
        <v>Triple Pinch Pleat (Less Fullness x 2)Single Panel - Free Flowing</v>
      </c>
      <c r="AZ243" s="80">
        <v>2</v>
      </c>
      <c r="BA243" s="80">
        <v>200</v>
      </c>
    </row>
    <row r="244" spans="10:53" ht="16.2" customHeight="1">
      <c r="J244" s="80" t="s">
        <v>747</v>
      </c>
      <c r="K244" s="80" t="s">
        <v>7103</v>
      </c>
      <c r="L244" t="s">
        <v>185</v>
      </c>
      <c r="M244" t="s">
        <v>159</v>
      </c>
      <c r="N244" t="str">
        <f t="shared" si="49"/>
        <v>Double RearDesigner 15 S-Fold Hand DrawnNo HooksSingle Face Fix Brackets</v>
      </c>
      <c r="O244">
        <v>0</v>
      </c>
      <c r="P244">
        <v>25</v>
      </c>
      <c r="Q244" s="80">
        <v>0</v>
      </c>
      <c r="R244" s="80">
        <f t="shared" si="50"/>
        <v>25</v>
      </c>
      <c r="AD244"/>
      <c r="AH244" t="s">
        <v>6585</v>
      </c>
      <c r="AI244" t="s">
        <v>398</v>
      </c>
      <c r="AJ244" s="11" t="s">
        <v>160</v>
      </c>
      <c r="AK244" s="80" t="str">
        <f t="shared" si="54"/>
        <v>Renaissance Decorator Rod with Rings Hand DrawnAntique BrassStraight</v>
      </c>
      <c r="AL244" s="80" t="s">
        <v>274</v>
      </c>
      <c r="AM244" s="80" t="s">
        <v>181</v>
      </c>
      <c r="AN244" s="80">
        <v>200</v>
      </c>
      <c r="AO244" s="80" t="s">
        <v>120</v>
      </c>
      <c r="AW244" t="s">
        <v>236</v>
      </c>
      <c r="AX244" t="s">
        <v>717</v>
      </c>
      <c r="AY244" t="str">
        <f t="shared" si="51"/>
        <v>Triple Pinch Pleat (Less Fullness x 2)Centre Opening - Free Flowing</v>
      </c>
      <c r="AZ244" s="80">
        <v>2</v>
      </c>
      <c r="BA244" s="80">
        <v>200</v>
      </c>
    </row>
    <row r="245" spans="10:53" ht="16.2" customHeight="1">
      <c r="J245" s="80" t="s">
        <v>725</v>
      </c>
      <c r="K245" s="80" t="s">
        <v>7103</v>
      </c>
      <c r="L245" t="s">
        <v>185</v>
      </c>
      <c r="M245" t="s">
        <v>159</v>
      </c>
      <c r="N245" t="str">
        <f t="shared" si="49"/>
        <v>SingleDesigner 15 S-Fold Hand DrawnNo HooksSingle Face Fix Brackets</v>
      </c>
      <c r="O245">
        <v>0</v>
      </c>
      <c r="P245">
        <v>25</v>
      </c>
      <c r="Q245" s="80">
        <v>0</v>
      </c>
      <c r="R245" s="80">
        <f t="shared" si="50"/>
        <v>25</v>
      </c>
      <c r="AD245"/>
      <c r="AH245" t="s">
        <v>6585</v>
      </c>
      <c r="AI245" t="s">
        <v>275</v>
      </c>
      <c r="AJ245" s="11" t="s">
        <v>11556</v>
      </c>
      <c r="AK245" s="80" t="str">
        <f t="shared" si="74" ref="AK245">CONCATENATE(AH245,AI245,AJ245)</f>
        <v>Renaissance Decorator Rod with Rings Hand DrawnBirch WhiteBent</v>
      </c>
      <c r="AL245" s="80" t="s">
        <v>274</v>
      </c>
      <c r="AM245" s="80" t="s">
        <v>181</v>
      </c>
      <c r="AN245" s="80">
        <v>200</v>
      </c>
      <c r="AO245" s="80" t="s">
        <v>120</v>
      </c>
      <c r="AW245" t="s">
        <v>236</v>
      </c>
      <c r="AX245" t="s">
        <v>154</v>
      </c>
      <c r="AY245" t="str">
        <f t="shared" si="51"/>
        <v>Triple Pinch Pleat (Less Fullness x 2)No Movement</v>
      </c>
      <c r="AZ245" s="80">
        <v>2</v>
      </c>
      <c r="BA245" s="80">
        <v>200</v>
      </c>
    </row>
    <row r="246" spans="10:53" ht="16.2" customHeight="1">
      <c r="J246" s="80" t="s">
        <v>746</v>
      </c>
      <c r="K246" s="80" t="s">
        <v>7103</v>
      </c>
      <c r="L246" t="s">
        <v>185</v>
      </c>
      <c r="M246" t="s">
        <v>161</v>
      </c>
      <c r="N246" t="str">
        <f t="shared" si="49"/>
        <v>Double FrontDesigner 15 S-Fold Hand DrawnNo HooksTop Fix Brackets</v>
      </c>
      <c r="O246">
        <v>0</v>
      </c>
      <c r="P246">
        <v>20</v>
      </c>
      <c r="Q246" s="80">
        <v>0</v>
      </c>
      <c r="R246" s="80">
        <f t="shared" si="50"/>
        <v>20</v>
      </c>
      <c r="AD246"/>
      <c r="AH246" t="s">
        <v>6585</v>
      </c>
      <c r="AI246" t="s">
        <v>275</v>
      </c>
      <c r="AJ246" s="11" t="s">
        <v>160</v>
      </c>
      <c r="AK246" s="80" t="str">
        <f t="shared" si="54"/>
        <v>Renaissance Decorator Rod with Rings Hand DrawnBirch WhiteStraight</v>
      </c>
      <c r="AL246" s="80" t="s">
        <v>274</v>
      </c>
      <c r="AM246" s="80" t="s">
        <v>181</v>
      </c>
      <c r="AN246" s="80">
        <v>200</v>
      </c>
      <c r="AO246" s="80" t="s">
        <v>120</v>
      </c>
      <c r="AW246" s="80" t="s">
        <v>236</v>
      </c>
      <c r="AX246" s="80" t="s">
        <v>5903</v>
      </c>
      <c r="AY246" t="str">
        <f t="shared" si="51"/>
        <v>Triple Pinch Pleat (Less Fullness x 2)Centre Opening - Free Flowing (Offset Split)</v>
      </c>
      <c r="AZ246" s="80">
        <v>2</v>
      </c>
      <c r="BA246" s="80">
        <v>200</v>
      </c>
    </row>
    <row r="247" spans="10:53" ht="16.2" customHeight="1">
      <c r="J247" s="80" t="s">
        <v>747</v>
      </c>
      <c r="K247" s="80" t="s">
        <v>7103</v>
      </c>
      <c r="L247" t="s">
        <v>185</v>
      </c>
      <c r="M247" t="s">
        <v>161</v>
      </c>
      <c r="N247" t="str">
        <f t="shared" si="49"/>
        <v>Double RearDesigner 15 S-Fold Hand DrawnNo HooksTop Fix Brackets</v>
      </c>
      <c r="O247">
        <v>0</v>
      </c>
      <c r="P247">
        <v>20</v>
      </c>
      <c r="Q247" s="80">
        <v>0</v>
      </c>
      <c r="R247" s="80">
        <f t="shared" si="50"/>
        <v>20</v>
      </c>
      <c r="AD247"/>
      <c r="AH247" t="s">
        <v>6585</v>
      </c>
      <c r="AI247" t="s">
        <v>193</v>
      </c>
      <c r="AJ247" s="11" t="s">
        <v>11556</v>
      </c>
      <c r="AK247" s="80" t="str">
        <f t="shared" si="75" ref="AK247">CONCATENATE(AH247,AI247,AJ247)</f>
        <v>Renaissance Decorator Rod with Rings Hand DrawnBlackBent</v>
      </c>
      <c r="AL247" s="80" t="s">
        <v>274</v>
      </c>
      <c r="AM247" s="80" t="s">
        <v>181</v>
      </c>
      <c r="AN247" s="80">
        <v>200</v>
      </c>
      <c r="AO247" s="80" t="s">
        <v>120</v>
      </c>
      <c r="AW247" t="s">
        <v>234</v>
      </c>
      <c r="AX247" t="s">
        <v>138</v>
      </c>
      <c r="AY247" t="str">
        <f t="shared" si="51"/>
        <v>Triple Pinch Pleat (Standard Fullness x 2.1)Centre Opening</v>
      </c>
      <c r="AZ247" s="80">
        <v>2.1</v>
      </c>
      <c r="BA247" s="80">
        <v>400</v>
      </c>
    </row>
    <row r="248" spans="10:53" ht="16.2" customHeight="1">
      <c r="J248" s="80" t="s">
        <v>725</v>
      </c>
      <c r="K248" s="80" t="s">
        <v>7103</v>
      </c>
      <c r="L248" t="s">
        <v>185</v>
      </c>
      <c r="M248" t="s">
        <v>161</v>
      </c>
      <c r="N248" t="str">
        <f t="shared" si="49"/>
        <v>SingleDesigner 15 S-Fold Hand DrawnNo HooksTop Fix Brackets</v>
      </c>
      <c r="O248">
        <v>0</v>
      </c>
      <c r="P248">
        <v>20</v>
      </c>
      <c r="Q248" s="80">
        <v>0</v>
      </c>
      <c r="R248" s="80">
        <f t="shared" si="50"/>
        <v>20</v>
      </c>
      <c r="AD248"/>
      <c r="AH248" t="s">
        <v>6585</v>
      </c>
      <c r="AI248" t="s">
        <v>193</v>
      </c>
      <c r="AJ248" s="11" t="s">
        <v>160</v>
      </c>
      <c r="AK248" s="80" t="str">
        <f t="shared" si="54"/>
        <v>Renaissance Decorator Rod with Rings Hand DrawnBlackStraight</v>
      </c>
      <c r="AL248" s="80" t="s">
        <v>274</v>
      </c>
      <c r="AM248" s="80" t="s">
        <v>181</v>
      </c>
      <c r="AN248" s="80">
        <v>200</v>
      </c>
      <c r="AO248" s="80" t="s">
        <v>120</v>
      </c>
      <c r="AW248" t="s">
        <v>234</v>
      </c>
      <c r="AX248" t="s">
        <v>5902</v>
      </c>
      <c r="AY248" t="str">
        <f t="shared" si="51"/>
        <v>Triple Pinch Pleat (Standard Fullness x 2.1)Centre Opening (Offset Split)</v>
      </c>
      <c r="AZ248" s="80">
        <v>2.1</v>
      </c>
      <c r="BA248" s="80">
        <v>400</v>
      </c>
    </row>
    <row r="249" spans="10:53" ht="16.2" customHeight="1">
      <c r="J249" s="80" t="s">
        <v>746</v>
      </c>
      <c r="K249" s="80" t="s">
        <v>7103</v>
      </c>
      <c r="L249" t="s">
        <v>185</v>
      </c>
      <c r="M249" t="s">
        <v>553</v>
      </c>
      <c r="N249" t="str">
        <f t="shared" si="49"/>
        <v>Double FrontDesigner 15 S-Fold Hand DrawnNo HooksTriple Face Fix Brackets</v>
      </c>
      <c r="O249">
        <v>0</v>
      </c>
      <c r="P249">
        <v>25</v>
      </c>
      <c r="Q249" s="80">
        <v>0</v>
      </c>
      <c r="R249" s="80">
        <f t="shared" si="50"/>
        <v>25</v>
      </c>
      <c r="AD249"/>
      <c r="AH249" t="s">
        <v>6585</v>
      </c>
      <c r="AI249" t="s">
        <v>269</v>
      </c>
      <c r="AJ249" s="11" t="s">
        <v>11556</v>
      </c>
      <c r="AK249" s="80" t="str">
        <f t="shared" si="76" ref="AK249">CONCATENATE(AH249,AI249,AJ249)</f>
        <v>Renaissance Decorator Rod with Rings Hand DrawnChromeBent</v>
      </c>
      <c r="AL249" s="80" t="s">
        <v>274</v>
      </c>
      <c r="AM249" s="80" t="s">
        <v>181</v>
      </c>
      <c r="AN249" s="80">
        <v>200</v>
      </c>
      <c r="AO249" s="80" t="s">
        <v>120</v>
      </c>
      <c r="AW249" t="s">
        <v>234</v>
      </c>
      <c r="AX249" t="s">
        <v>141</v>
      </c>
      <c r="AY249" t="str">
        <f t="shared" si="51"/>
        <v>Triple Pinch Pleat (Standard Fullness x 2.1)Single Panel - Left Stacking</v>
      </c>
      <c r="AZ249" s="80">
        <v>2.1</v>
      </c>
      <c r="BA249" s="80">
        <v>200</v>
      </c>
    </row>
    <row r="250" spans="10:53" ht="16.2" customHeight="1">
      <c r="J250" s="80" t="s">
        <v>747</v>
      </c>
      <c r="K250" s="80" t="s">
        <v>7103</v>
      </c>
      <c r="L250" t="s">
        <v>185</v>
      </c>
      <c r="M250" t="s">
        <v>553</v>
      </c>
      <c r="N250" t="str">
        <f t="shared" si="49"/>
        <v>Double RearDesigner 15 S-Fold Hand DrawnNo HooksTriple Face Fix Brackets</v>
      </c>
      <c r="O250">
        <v>0</v>
      </c>
      <c r="P250">
        <v>25</v>
      </c>
      <c r="Q250" s="80">
        <v>0</v>
      </c>
      <c r="R250" s="80">
        <f t="shared" si="50"/>
        <v>25</v>
      </c>
      <c r="AD250"/>
      <c r="AH250" t="s">
        <v>6585</v>
      </c>
      <c r="AI250" t="s">
        <v>269</v>
      </c>
      <c r="AJ250" s="11" t="s">
        <v>160</v>
      </c>
      <c r="AK250" s="80" t="str">
        <f t="shared" si="54"/>
        <v>Renaissance Decorator Rod with Rings Hand DrawnChromeStraight</v>
      </c>
      <c r="AL250" s="80" t="s">
        <v>274</v>
      </c>
      <c r="AM250" s="80" t="s">
        <v>181</v>
      </c>
      <c r="AN250" s="80">
        <v>200</v>
      </c>
      <c r="AO250" s="80" t="s">
        <v>120</v>
      </c>
      <c r="AW250" t="s">
        <v>234</v>
      </c>
      <c r="AX250" t="s">
        <v>142</v>
      </c>
      <c r="AY250" t="str">
        <f t="shared" si="51"/>
        <v>Triple Pinch Pleat (Standard Fullness x 2.1)Single Panel - Right Stacking</v>
      </c>
      <c r="AZ250" s="80">
        <v>2.1</v>
      </c>
      <c r="BA250" s="80">
        <v>200</v>
      </c>
    </row>
    <row r="251" spans="10:53" ht="16.2" customHeight="1">
      <c r="J251" s="80" t="s">
        <v>725</v>
      </c>
      <c r="K251" s="80" t="s">
        <v>7103</v>
      </c>
      <c r="L251" t="s">
        <v>185</v>
      </c>
      <c r="M251" t="s">
        <v>553</v>
      </c>
      <c r="N251" t="str">
        <f t="shared" si="49"/>
        <v>SingleDesigner 15 S-Fold Hand DrawnNo HooksTriple Face Fix Brackets</v>
      </c>
      <c r="O251">
        <v>0</v>
      </c>
      <c r="P251">
        <v>25</v>
      </c>
      <c r="Q251" s="80">
        <v>0</v>
      </c>
      <c r="R251" s="80">
        <f t="shared" si="50"/>
        <v>25</v>
      </c>
      <c r="AD251"/>
      <c r="AH251" t="s">
        <v>6585</v>
      </c>
      <c r="AI251" t="s">
        <v>225</v>
      </c>
      <c r="AJ251" s="11" t="s">
        <v>11556</v>
      </c>
      <c r="AK251" s="80" t="str">
        <f t="shared" si="77" ref="AK251">CONCATENATE(AH251,AI251,AJ251)</f>
        <v>Renaissance Decorator Rod with Rings Hand DrawnGoldBent</v>
      </c>
      <c r="AL251" s="80" t="s">
        <v>274</v>
      </c>
      <c r="AM251" s="80" t="s">
        <v>181</v>
      </c>
      <c r="AN251" s="80">
        <v>200</v>
      </c>
      <c r="AO251" s="80" t="s">
        <v>120</v>
      </c>
      <c r="AW251" t="s">
        <v>234</v>
      </c>
      <c r="AX251" t="s">
        <v>143</v>
      </c>
      <c r="AY251" t="str">
        <f t="shared" si="51"/>
        <v>Triple Pinch Pleat (Standard Fullness x 2.1)Single Panel - Free Flowing</v>
      </c>
      <c r="AZ251" s="80">
        <v>2.1</v>
      </c>
      <c r="BA251" s="80">
        <v>200</v>
      </c>
    </row>
    <row r="252" spans="10:53" ht="16.2" customHeight="1">
      <c r="J252" s="80" t="s">
        <v>746</v>
      </c>
      <c r="K252" s="80" t="s">
        <v>7099</v>
      </c>
      <c r="L252" t="s">
        <v>421</v>
      </c>
      <c r="M252" t="s">
        <v>162</v>
      </c>
      <c r="N252" t="str">
        <f t="shared" si="49"/>
        <v>Double FrontDesigner 15 Wavefold Cord DrawnWavefold HooksDouble Face Fix Brackets</v>
      </c>
      <c r="O252">
        <v>0</v>
      </c>
      <c r="P252">
        <v>20</v>
      </c>
      <c r="Q252" s="80">
        <v>0</v>
      </c>
      <c r="R252" s="80">
        <f t="shared" si="50"/>
        <v>20</v>
      </c>
      <c r="AD252"/>
      <c r="AH252" t="s">
        <v>6585</v>
      </c>
      <c r="AI252" t="s">
        <v>225</v>
      </c>
      <c r="AJ252" s="11" t="s">
        <v>160</v>
      </c>
      <c r="AK252" s="80" t="str">
        <f t="shared" si="54"/>
        <v>Renaissance Decorator Rod with Rings Hand DrawnGoldStraight</v>
      </c>
      <c r="AL252" s="80" t="s">
        <v>274</v>
      </c>
      <c r="AM252" s="80" t="s">
        <v>181</v>
      </c>
      <c r="AN252" s="80">
        <v>200</v>
      </c>
      <c r="AO252" s="80" t="s">
        <v>120</v>
      </c>
      <c r="AW252" t="s">
        <v>234</v>
      </c>
      <c r="AX252" t="s">
        <v>717</v>
      </c>
      <c r="AY252" t="str">
        <f t="shared" si="51"/>
        <v>Triple Pinch Pleat (Standard Fullness x 2.1)Centre Opening - Free Flowing</v>
      </c>
      <c r="AZ252" s="80">
        <v>2.1</v>
      </c>
      <c r="BA252" s="80">
        <v>200</v>
      </c>
    </row>
    <row r="253" spans="10:53" ht="16.2" customHeight="1">
      <c r="J253" s="80" t="s">
        <v>747</v>
      </c>
      <c r="K253" s="80" t="s">
        <v>7099</v>
      </c>
      <c r="L253" t="s">
        <v>421</v>
      </c>
      <c r="M253" t="s">
        <v>162</v>
      </c>
      <c r="N253" t="str">
        <f t="shared" si="49"/>
        <v>Double RearDesigner 15 Wavefold Cord DrawnWavefold HooksDouble Face Fix Brackets</v>
      </c>
      <c r="O253">
        <v>0</v>
      </c>
      <c r="P253">
        <v>20</v>
      </c>
      <c r="Q253" s="80">
        <v>0</v>
      </c>
      <c r="R253" s="80">
        <f t="shared" si="50"/>
        <v>20</v>
      </c>
      <c r="AD253"/>
      <c r="AH253" t="s">
        <v>6585</v>
      </c>
      <c r="AI253" t="s">
        <v>692</v>
      </c>
      <c r="AJ253" s="11" t="s">
        <v>11556</v>
      </c>
      <c r="AK253" s="80" t="str">
        <f t="shared" si="78" ref="AK253">CONCATENATE(AH253,AI253,AJ253)</f>
        <v>Renaissance Decorator Rod with Rings Hand DrawnMatt Black InkBent</v>
      </c>
      <c r="AL253" s="80" t="s">
        <v>274</v>
      </c>
      <c r="AM253" s="80" t="s">
        <v>181</v>
      </c>
      <c r="AN253" s="80">
        <v>200</v>
      </c>
      <c r="AO253" s="80" t="s">
        <v>120</v>
      </c>
      <c r="AW253" t="s">
        <v>234</v>
      </c>
      <c r="AX253" t="s">
        <v>154</v>
      </c>
      <c r="AY253" t="str">
        <f t="shared" si="51"/>
        <v>Triple Pinch Pleat (Standard Fullness x 2.1)No Movement</v>
      </c>
      <c r="AZ253" s="80">
        <v>2.1</v>
      </c>
      <c r="BA253" s="80">
        <v>200</v>
      </c>
    </row>
    <row r="254" spans="10:53" ht="16.2" customHeight="1">
      <c r="J254" s="80" t="s">
        <v>725</v>
      </c>
      <c r="K254" s="80" t="s">
        <v>7099</v>
      </c>
      <c r="L254" t="s">
        <v>421</v>
      </c>
      <c r="M254" t="s">
        <v>162</v>
      </c>
      <c r="N254" t="str">
        <f t="shared" si="49"/>
        <v>SingleDesigner 15 Wavefold Cord DrawnWavefold HooksDouble Face Fix Brackets</v>
      </c>
      <c r="O254">
        <v>0</v>
      </c>
      <c r="P254">
        <v>20</v>
      </c>
      <c r="Q254" s="80">
        <v>0</v>
      </c>
      <c r="R254" s="80">
        <f t="shared" si="50"/>
        <v>20</v>
      </c>
      <c r="AD254"/>
      <c r="AH254" t="s">
        <v>6585</v>
      </c>
      <c r="AI254" t="s">
        <v>692</v>
      </c>
      <c r="AJ254" s="11" t="s">
        <v>160</v>
      </c>
      <c r="AK254" s="80" t="str">
        <f t="shared" si="54"/>
        <v>Renaissance Decorator Rod with Rings Hand DrawnMatt Black InkStraight</v>
      </c>
      <c r="AL254" s="80" t="s">
        <v>274</v>
      </c>
      <c r="AM254" s="80" t="s">
        <v>181</v>
      </c>
      <c r="AN254" s="80">
        <v>200</v>
      </c>
      <c r="AO254" s="80" t="s">
        <v>120</v>
      </c>
      <c r="AW254" s="80" t="s">
        <v>234</v>
      </c>
      <c r="AX254" s="80" t="s">
        <v>5903</v>
      </c>
      <c r="AY254" t="str">
        <f t="shared" si="51"/>
        <v>Triple Pinch Pleat (Standard Fullness x 2.1)Centre Opening - Free Flowing (Offset Split)</v>
      </c>
      <c r="AZ254" s="80">
        <v>2.1</v>
      </c>
      <c r="BA254" s="80">
        <v>200</v>
      </c>
    </row>
    <row r="255" spans="10:53" ht="16.2" customHeight="1">
      <c r="J255" s="80" t="s">
        <v>746</v>
      </c>
      <c r="K255" s="80" t="s">
        <v>7099</v>
      </c>
      <c r="L255" t="s">
        <v>421</v>
      </c>
      <c r="M255" t="s">
        <v>159</v>
      </c>
      <c r="N255" t="str">
        <f t="shared" si="49"/>
        <v>Double FrontDesigner 15 Wavefold Cord DrawnWavefold HooksSingle Face Fix Brackets</v>
      </c>
      <c r="O255">
        <v>0</v>
      </c>
      <c r="P255">
        <v>20</v>
      </c>
      <c r="Q255" s="80">
        <v>0</v>
      </c>
      <c r="R255" s="80">
        <f t="shared" si="50"/>
        <v>20</v>
      </c>
      <c r="AD255"/>
      <c r="AH255" t="s">
        <v>6585</v>
      </c>
      <c r="AI255" t="s">
        <v>357</v>
      </c>
      <c r="AJ255" s="11" t="s">
        <v>11556</v>
      </c>
      <c r="AK255" s="80" t="str">
        <f t="shared" si="79" ref="AK255">CONCATENATE(AH255,AI255,AJ255)</f>
        <v>Renaissance Decorator Rod with Rings Hand DrawnMatt SatinBent</v>
      </c>
      <c r="AL255" s="80" t="s">
        <v>274</v>
      </c>
      <c r="AM255" s="80" t="s">
        <v>181</v>
      </c>
      <c r="AN255" s="80">
        <v>200</v>
      </c>
      <c r="AO255" s="80" t="s">
        <v>120</v>
      </c>
      <c r="AW255" t="s">
        <v>7582</v>
      </c>
      <c r="AX255" t="s">
        <v>138</v>
      </c>
      <c r="AY255" t="str">
        <f t="shared" si="51"/>
        <v>Triple Pinch Pleat for Sheers (Extra Fullness x 2.5)Centre Opening</v>
      </c>
      <c r="AZ255" s="80">
        <v>2.5</v>
      </c>
      <c r="BA255" s="80">
        <v>400</v>
      </c>
    </row>
    <row r="256" spans="10:53" ht="16.2" customHeight="1">
      <c r="J256" s="80" t="s">
        <v>747</v>
      </c>
      <c r="K256" s="80" t="s">
        <v>7099</v>
      </c>
      <c r="L256" t="s">
        <v>421</v>
      </c>
      <c r="M256" t="s">
        <v>159</v>
      </c>
      <c r="N256" t="str">
        <f t="shared" si="49"/>
        <v>Double RearDesigner 15 Wavefold Cord DrawnWavefold HooksSingle Face Fix Brackets</v>
      </c>
      <c r="O256">
        <v>0</v>
      </c>
      <c r="P256">
        <v>20</v>
      </c>
      <c r="Q256" s="80">
        <v>0</v>
      </c>
      <c r="R256" s="80">
        <f t="shared" si="50"/>
        <v>20</v>
      </c>
      <c r="AD256"/>
      <c r="AH256" t="s">
        <v>6585</v>
      </c>
      <c r="AI256" t="s">
        <v>357</v>
      </c>
      <c r="AJ256" s="11" t="s">
        <v>160</v>
      </c>
      <c r="AK256" s="80" t="str">
        <f t="shared" si="54"/>
        <v>Renaissance Decorator Rod with Rings Hand DrawnMatt SatinStraight</v>
      </c>
      <c r="AL256" s="80" t="s">
        <v>274</v>
      </c>
      <c r="AM256" s="80" t="s">
        <v>181</v>
      </c>
      <c r="AN256" s="80">
        <v>200</v>
      </c>
      <c r="AO256" s="80" t="s">
        <v>120</v>
      </c>
      <c r="AW256" t="s">
        <v>7582</v>
      </c>
      <c r="AX256" t="s">
        <v>5902</v>
      </c>
      <c r="AY256" t="str">
        <f t="shared" si="51"/>
        <v>Triple Pinch Pleat for Sheers (Extra Fullness x 2.5)Centre Opening (Offset Split)</v>
      </c>
      <c r="AZ256" s="80">
        <v>2.5</v>
      </c>
      <c r="BA256" s="80">
        <v>400</v>
      </c>
    </row>
    <row r="257" spans="10:53" ht="16.2" customHeight="1">
      <c r="J257" s="80" t="s">
        <v>725</v>
      </c>
      <c r="K257" s="80" t="s">
        <v>7099</v>
      </c>
      <c r="L257" t="s">
        <v>421</v>
      </c>
      <c r="M257" t="s">
        <v>159</v>
      </c>
      <c r="N257" t="str">
        <f t="shared" si="49"/>
        <v>SingleDesigner 15 Wavefold Cord DrawnWavefold HooksSingle Face Fix Brackets</v>
      </c>
      <c r="O257">
        <v>0</v>
      </c>
      <c r="P257">
        <v>20</v>
      </c>
      <c r="Q257" s="80">
        <v>0</v>
      </c>
      <c r="R257" s="80">
        <f t="shared" si="50"/>
        <v>20</v>
      </c>
      <c r="AD257"/>
      <c r="AH257" t="s">
        <v>6585</v>
      </c>
      <c r="AI257" t="s">
        <v>191</v>
      </c>
      <c r="AJ257" s="11" t="s">
        <v>11556</v>
      </c>
      <c r="AK257" s="80" t="str">
        <f t="shared" si="80" ref="AK257">CONCATENATE(AH257,AI257,AJ257)</f>
        <v>Renaissance Decorator Rod with Rings Hand DrawnWhiteBent</v>
      </c>
      <c r="AL257" s="80" t="s">
        <v>274</v>
      </c>
      <c r="AM257" s="80" t="s">
        <v>181</v>
      </c>
      <c r="AN257" s="80">
        <v>200</v>
      </c>
      <c r="AO257" s="80" t="s">
        <v>120</v>
      </c>
      <c r="AW257" t="s">
        <v>7582</v>
      </c>
      <c r="AX257" t="s">
        <v>141</v>
      </c>
      <c r="AY257" t="str">
        <f t="shared" si="51"/>
        <v>Triple Pinch Pleat for Sheers (Extra Fullness x 2.5)Single Panel - Left Stacking</v>
      </c>
      <c r="AZ257" s="80">
        <v>2.5</v>
      </c>
      <c r="BA257" s="80">
        <v>200</v>
      </c>
    </row>
    <row r="258" spans="10:53" ht="16.2" customHeight="1">
      <c r="J258" s="80" t="s">
        <v>746</v>
      </c>
      <c r="K258" s="80" t="s">
        <v>7099</v>
      </c>
      <c r="L258" t="s">
        <v>421</v>
      </c>
      <c r="M258" t="s">
        <v>161</v>
      </c>
      <c r="N258" t="str">
        <f t="shared" si="81" ref="N258:N321">(CONCATENATE(J258,K258,L258,M258))</f>
        <v>Double FrontDesigner 15 Wavefold Cord DrawnWavefold HooksTop Fix Brackets</v>
      </c>
      <c r="O258">
        <v>0</v>
      </c>
      <c r="P258">
        <v>15</v>
      </c>
      <c r="Q258" s="80">
        <v>0</v>
      </c>
      <c r="R258" s="80">
        <f t="shared" si="82" ref="R258:R321">SUM(P258)-O258</f>
        <v>15</v>
      </c>
      <c r="AD258"/>
      <c r="AH258" t="s">
        <v>6585</v>
      </c>
      <c r="AI258" t="s">
        <v>191</v>
      </c>
      <c r="AJ258" s="11" t="s">
        <v>160</v>
      </c>
      <c r="AK258" s="80" t="str">
        <f t="shared" si="54"/>
        <v>Renaissance Decorator Rod with Rings Hand DrawnWhiteStraight</v>
      </c>
      <c r="AL258" s="80" t="s">
        <v>274</v>
      </c>
      <c r="AM258" s="80" t="s">
        <v>181</v>
      </c>
      <c r="AN258" s="80">
        <v>200</v>
      </c>
      <c r="AO258" s="80" t="s">
        <v>120</v>
      </c>
      <c r="AW258" t="s">
        <v>7582</v>
      </c>
      <c r="AX258" t="s">
        <v>142</v>
      </c>
      <c r="AY258" t="str">
        <f t="shared" si="83" ref="AY258:AY292">CONCATENATE(AW258,AX258)</f>
        <v>Triple Pinch Pleat for Sheers (Extra Fullness x 2.5)Single Panel - Right Stacking</v>
      </c>
      <c r="AZ258" s="80">
        <v>2.5</v>
      </c>
      <c r="BA258" s="80">
        <v>200</v>
      </c>
    </row>
    <row r="259" spans="10:53" ht="16.2" customHeight="1">
      <c r="J259" s="80" t="s">
        <v>747</v>
      </c>
      <c r="K259" s="80" t="s">
        <v>7099</v>
      </c>
      <c r="L259" t="s">
        <v>421</v>
      </c>
      <c r="M259" t="s">
        <v>161</v>
      </c>
      <c r="N259" t="str">
        <f t="shared" si="81"/>
        <v>Double RearDesigner 15 Wavefold Cord DrawnWavefold HooksTop Fix Brackets</v>
      </c>
      <c r="O259">
        <v>0</v>
      </c>
      <c r="P259">
        <v>15</v>
      </c>
      <c r="Q259" s="80">
        <v>0</v>
      </c>
      <c r="R259" s="80">
        <f t="shared" si="82"/>
        <v>15</v>
      </c>
      <c r="AD259"/>
      <c r="AH259" s="86" t="s">
        <v>277</v>
      </c>
      <c r="AI259" s="86" t="s">
        <v>193</v>
      </c>
      <c r="AJ259" s="11" t="s">
        <v>11556</v>
      </c>
      <c r="AK259" s="80" t="str">
        <f t="shared" si="84" ref="AK259">CONCATENATE(AH259,AI259,AJ259)</f>
        <v>S-Fold Cord OperationBlackBent</v>
      </c>
      <c r="AL259" s="80" t="s">
        <v>274</v>
      </c>
      <c r="AM259" s="80" t="s">
        <v>120</v>
      </c>
      <c r="AN259" s="80">
        <v>0</v>
      </c>
      <c r="AO259" s="80" t="s">
        <v>181</v>
      </c>
      <c r="AW259" t="s">
        <v>7582</v>
      </c>
      <c r="AX259" t="s">
        <v>143</v>
      </c>
      <c r="AY259" t="str">
        <f t="shared" si="83"/>
        <v>Triple Pinch Pleat for Sheers (Extra Fullness x 2.5)Single Panel - Free Flowing</v>
      </c>
      <c r="AZ259" s="80">
        <v>2.5</v>
      </c>
      <c r="BA259" s="80">
        <v>200</v>
      </c>
    </row>
    <row r="260" spans="10:53" ht="16.2" customHeight="1">
      <c r="J260" s="80" t="s">
        <v>725</v>
      </c>
      <c r="K260" s="80" t="s">
        <v>7099</v>
      </c>
      <c r="L260" t="s">
        <v>421</v>
      </c>
      <c r="M260" t="s">
        <v>161</v>
      </c>
      <c r="N260" t="str">
        <f t="shared" si="81"/>
        <v>SingleDesigner 15 Wavefold Cord DrawnWavefold HooksTop Fix Brackets</v>
      </c>
      <c r="O260">
        <v>0</v>
      </c>
      <c r="P260">
        <v>15</v>
      </c>
      <c r="Q260" s="80">
        <v>0</v>
      </c>
      <c r="R260" s="80">
        <f t="shared" si="82"/>
        <v>15</v>
      </c>
      <c r="AD260"/>
      <c r="AH260" s="86" t="s">
        <v>277</v>
      </c>
      <c r="AI260" s="86" t="s">
        <v>193</v>
      </c>
      <c r="AJ260" s="11" t="s">
        <v>160</v>
      </c>
      <c r="AK260" s="80" t="str">
        <f t="shared" si="85" ref="AK260:AK268">CONCATENATE(AH260,AI260,AJ260)</f>
        <v>S-Fold Cord OperationBlackStraight</v>
      </c>
      <c r="AL260" s="80" t="s">
        <v>274</v>
      </c>
      <c r="AM260" s="80" t="s">
        <v>120</v>
      </c>
      <c r="AN260" s="80">
        <v>0</v>
      </c>
      <c r="AO260" s="80" t="s">
        <v>181</v>
      </c>
      <c r="AW260" t="s">
        <v>7582</v>
      </c>
      <c r="AX260" t="s">
        <v>717</v>
      </c>
      <c r="AY260" t="str">
        <f t="shared" si="83"/>
        <v>Triple Pinch Pleat for Sheers (Extra Fullness x 2.5)Centre Opening - Free Flowing</v>
      </c>
      <c r="AZ260" s="80">
        <v>2.5</v>
      </c>
      <c r="BA260" s="80">
        <v>200</v>
      </c>
    </row>
    <row r="261" spans="10:53" ht="16.2" customHeight="1">
      <c r="J261" s="80" t="s">
        <v>746</v>
      </c>
      <c r="K261" s="80" t="s">
        <v>7099</v>
      </c>
      <c r="L261" t="s">
        <v>421</v>
      </c>
      <c r="M261" t="s">
        <v>553</v>
      </c>
      <c r="N261" t="str">
        <f t="shared" si="81"/>
        <v>Double FrontDesigner 15 Wavefold Cord DrawnWavefold HooksTriple Face Fix Brackets</v>
      </c>
      <c r="O261">
        <v>0</v>
      </c>
      <c r="P261">
        <v>20</v>
      </c>
      <c r="Q261" s="80">
        <v>0</v>
      </c>
      <c r="R261" s="80">
        <f t="shared" si="82"/>
        <v>20</v>
      </c>
      <c r="AD261"/>
      <c r="AH261" s="86" t="s">
        <v>277</v>
      </c>
      <c r="AI261" s="87" t="s">
        <v>692</v>
      </c>
      <c r="AJ261" s="11" t="s">
        <v>11556</v>
      </c>
      <c r="AK261" s="80" t="str">
        <f t="shared" si="85"/>
        <v>S-Fold Cord OperationMatt Black InkBent</v>
      </c>
      <c r="AL261" s="80" t="s">
        <v>274</v>
      </c>
      <c r="AM261" s="80" t="s">
        <v>120</v>
      </c>
      <c r="AN261" s="80">
        <v>0</v>
      </c>
      <c r="AO261" s="80" t="s">
        <v>181</v>
      </c>
      <c r="AW261" t="s">
        <v>7582</v>
      </c>
      <c r="AX261" t="s">
        <v>154</v>
      </c>
      <c r="AY261" t="str">
        <f t="shared" si="83"/>
        <v>Triple Pinch Pleat for Sheers (Extra Fullness x 2.5)No Movement</v>
      </c>
      <c r="AZ261" s="80">
        <v>2.5</v>
      </c>
      <c r="BA261" s="80">
        <v>200</v>
      </c>
    </row>
    <row r="262" spans="10:53" ht="16.2" customHeight="1">
      <c r="J262" s="80" t="s">
        <v>747</v>
      </c>
      <c r="K262" s="80" t="s">
        <v>7099</v>
      </c>
      <c r="L262" t="s">
        <v>421</v>
      </c>
      <c r="M262" t="s">
        <v>553</v>
      </c>
      <c r="N262" t="str">
        <f t="shared" si="81"/>
        <v>Double RearDesigner 15 Wavefold Cord DrawnWavefold HooksTriple Face Fix Brackets</v>
      </c>
      <c r="O262">
        <v>0</v>
      </c>
      <c r="P262">
        <v>20</v>
      </c>
      <c r="Q262" s="80">
        <v>0</v>
      </c>
      <c r="R262" s="80">
        <f t="shared" si="82"/>
        <v>20</v>
      </c>
      <c r="AD262"/>
      <c r="AH262" s="86" t="s">
        <v>277</v>
      </c>
      <c r="AI262" s="87" t="s">
        <v>692</v>
      </c>
      <c r="AJ262" s="11" t="s">
        <v>160</v>
      </c>
      <c r="AK262" s="80" t="str">
        <f t="shared" si="85"/>
        <v>S-Fold Cord OperationMatt Black InkStraight</v>
      </c>
      <c r="AL262" s="80" t="s">
        <v>274</v>
      </c>
      <c r="AM262" s="80" t="s">
        <v>120</v>
      </c>
      <c r="AN262" s="80">
        <v>0</v>
      </c>
      <c r="AO262" s="80" t="s">
        <v>181</v>
      </c>
      <c r="AW262" s="80" t="s">
        <v>7582</v>
      </c>
      <c r="AX262" s="80" t="s">
        <v>5903</v>
      </c>
      <c r="AY262" t="str">
        <f t="shared" si="83"/>
        <v>Triple Pinch Pleat for Sheers (Extra Fullness x 2.5)Centre Opening - Free Flowing (Offset Split)</v>
      </c>
      <c r="AZ262" s="80">
        <v>2.5</v>
      </c>
      <c r="BA262" s="80">
        <v>200</v>
      </c>
    </row>
    <row r="263" spans="10:53" ht="16.2" customHeight="1">
      <c r="J263" s="80" t="s">
        <v>725</v>
      </c>
      <c r="K263" s="80" t="s">
        <v>7099</v>
      </c>
      <c r="L263" t="s">
        <v>421</v>
      </c>
      <c r="M263" t="s">
        <v>553</v>
      </c>
      <c r="N263" t="str">
        <f t="shared" si="81"/>
        <v>SingleDesigner 15 Wavefold Cord DrawnWavefold HooksTriple Face Fix Brackets</v>
      </c>
      <c r="O263">
        <v>0</v>
      </c>
      <c r="P263">
        <v>20</v>
      </c>
      <c r="Q263" s="80">
        <v>0</v>
      </c>
      <c r="R263" s="80">
        <f t="shared" si="82"/>
        <v>20</v>
      </c>
      <c r="AD263"/>
      <c r="AH263" s="86" t="s">
        <v>277</v>
      </c>
      <c r="AI263" s="86" t="s">
        <v>357</v>
      </c>
      <c r="AJ263" s="11" t="s">
        <v>11556</v>
      </c>
      <c r="AK263" s="80" t="str">
        <f t="shared" si="85"/>
        <v>S-Fold Cord OperationMatt SatinBent</v>
      </c>
      <c r="AL263" s="80" t="s">
        <v>274</v>
      </c>
      <c r="AM263" s="80" t="s">
        <v>120</v>
      </c>
      <c r="AN263" s="80">
        <v>0</v>
      </c>
      <c r="AO263" s="80" t="s">
        <v>181</v>
      </c>
      <c r="AW263" t="s">
        <v>408</v>
      </c>
      <c r="AX263" t="s">
        <v>138</v>
      </c>
      <c r="AY263" t="str">
        <f t="shared" si="83"/>
        <v>Velcro Top Flat FabricCentre Opening</v>
      </c>
      <c r="AZ263" s="80">
        <v>1</v>
      </c>
      <c r="BA263" s="80">
        <v>400</v>
      </c>
    </row>
    <row r="264" spans="10:53" ht="16.2" customHeight="1">
      <c r="J264" s="80" t="s">
        <v>746</v>
      </c>
      <c r="K264" s="80" t="s">
        <v>7098</v>
      </c>
      <c r="L264" t="s">
        <v>421</v>
      </c>
      <c r="M264" t="s">
        <v>162</v>
      </c>
      <c r="N264" t="str">
        <f t="shared" si="81"/>
        <v>Double FrontDesigner 15 Wavefold Hand DrawnWavefold HooksDouble Face Fix Brackets</v>
      </c>
      <c r="O264">
        <v>0</v>
      </c>
      <c r="P264">
        <v>20</v>
      </c>
      <c r="Q264" s="80">
        <v>0</v>
      </c>
      <c r="R264" s="80">
        <f t="shared" si="82"/>
        <v>20</v>
      </c>
      <c r="AD264"/>
      <c r="AH264" s="86" t="s">
        <v>277</v>
      </c>
      <c r="AI264" s="86" t="s">
        <v>357</v>
      </c>
      <c r="AJ264" s="11" t="s">
        <v>160</v>
      </c>
      <c r="AK264" s="80" t="str">
        <f t="shared" si="85"/>
        <v>S-Fold Cord OperationMatt SatinStraight</v>
      </c>
      <c r="AL264" s="80" t="s">
        <v>274</v>
      </c>
      <c r="AM264" s="80" t="s">
        <v>120</v>
      </c>
      <c r="AN264" s="80">
        <v>0</v>
      </c>
      <c r="AO264" s="80" t="s">
        <v>181</v>
      </c>
      <c r="AW264" t="s">
        <v>408</v>
      </c>
      <c r="AX264" t="s">
        <v>5902</v>
      </c>
      <c r="AY264" t="str">
        <f t="shared" si="83"/>
        <v>Velcro Top Flat FabricCentre Opening (Offset Split)</v>
      </c>
      <c r="AZ264" s="80">
        <v>1</v>
      </c>
      <c r="BA264" s="80">
        <v>400</v>
      </c>
    </row>
    <row r="265" spans="10:53" ht="16.2" customHeight="1">
      <c r="J265" s="80" t="s">
        <v>747</v>
      </c>
      <c r="K265" s="80" t="s">
        <v>7098</v>
      </c>
      <c r="L265" t="s">
        <v>421</v>
      </c>
      <c r="M265" t="s">
        <v>162</v>
      </c>
      <c r="N265" t="str">
        <f t="shared" si="81"/>
        <v>Double RearDesigner 15 Wavefold Hand DrawnWavefold HooksDouble Face Fix Brackets</v>
      </c>
      <c r="O265">
        <v>0</v>
      </c>
      <c r="P265">
        <v>20</v>
      </c>
      <c r="Q265" s="80">
        <v>0</v>
      </c>
      <c r="R265" s="80">
        <f t="shared" si="82"/>
        <v>20</v>
      </c>
      <c r="AD265"/>
      <c r="AH265" s="86" t="s">
        <v>277</v>
      </c>
      <c r="AI265" s="86" t="s">
        <v>191</v>
      </c>
      <c r="AJ265" s="11" t="s">
        <v>11556</v>
      </c>
      <c r="AK265" s="80" t="str">
        <f t="shared" si="85"/>
        <v>S-Fold Cord OperationWhiteBent</v>
      </c>
      <c r="AL265" s="80" t="s">
        <v>274</v>
      </c>
      <c r="AM265" s="80" t="s">
        <v>120</v>
      </c>
      <c r="AN265" s="80">
        <v>0</v>
      </c>
      <c r="AO265" s="80" t="s">
        <v>181</v>
      </c>
      <c r="AW265" t="s">
        <v>408</v>
      </c>
      <c r="AX265" t="s">
        <v>141</v>
      </c>
      <c r="AY265" t="str">
        <f t="shared" si="83"/>
        <v>Velcro Top Flat FabricSingle Panel - Left Stacking</v>
      </c>
      <c r="AZ265" s="80">
        <v>1</v>
      </c>
      <c r="BA265" s="80">
        <v>200</v>
      </c>
    </row>
    <row r="266" spans="10:53" ht="16.2" customHeight="1">
      <c r="J266" s="80" t="s">
        <v>725</v>
      </c>
      <c r="K266" s="80" t="s">
        <v>7098</v>
      </c>
      <c r="L266" t="s">
        <v>421</v>
      </c>
      <c r="M266" t="s">
        <v>162</v>
      </c>
      <c r="N266" t="str">
        <f t="shared" si="81"/>
        <v>SingleDesigner 15 Wavefold Hand DrawnWavefold HooksDouble Face Fix Brackets</v>
      </c>
      <c r="O266">
        <v>0</v>
      </c>
      <c r="P266">
        <v>20</v>
      </c>
      <c r="Q266" s="80">
        <v>0</v>
      </c>
      <c r="R266" s="80">
        <f t="shared" si="82"/>
        <v>20</v>
      </c>
      <c r="AD266"/>
      <c r="AH266" s="86" t="s">
        <v>277</v>
      </c>
      <c r="AI266" s="86" t="s">
        <v>191</v>
      </c>
      <c r="AJ266" s="11" t="s">
        <v>160</v>
      </c>
      <c r="AK266" s="80" t="str">
        <f t="shared" si="85"/>
        <v>S-Fold Cord OperationWhiteStraight</v>
      </c>
      <c r="AL266" s="80" t="s">
        <v>274</v>
      </c>
      <c r="AM266" s="80" t="s">
        <v>120</v>
      </c>
      <c r="AN266" s="80">
        <v>0</v>
      </c>
      <c r="AO266" s="80" t="s">
        <v>181</v>
      </c>
      <c r="AW266" t="s">
        <v>408</v>
      </c>
      <c r="AX266" t="s">
        <v>142</v>
      </c>
      <c r="AY266" t="str">
        <f t="shared" si="83"/>
        <v>Velcro Top Flat FabricSingle Panel - Right Stacking</v>
      </c>
      <c r="AZ266" s="80">
        <v>1</v>
      </c>
      <c r="BA266" s="80">
        <v>200</v>
      </c>
    </row>
    <row r="267" spans="10:53" ht="16.2" customHeight="1">
      <c r="J267" s="80" t="s">
        <v>746</v>
      </c>
      <c r="K267" s="80" t="s">
        <v>7098</v>
      </c>
      <c r="L267" t="s">
        <v>421</v>
      </c>
      <c r="M267" t="s">
        <v>159</v>
      </c>
      <c r="N267" t="str">
        <f t="shared" si="81"/>
        <v>Double FrontDesigner 15 Wavefold Hand DrawnWavefold HooksSingle Face Fix Brackets</v>
      </c>
      <c r="O267">
        <v>0</v>
      </c>
      <c r="P267">
        <v>20</v>
      </c>
      <c r="Q267" s="80">
        <v>0</v>
      </c>
      <c r="R267" s="80">
        <f t="shared" si="82"/>
        <v>20</v>
      </c>
      <c r="AD267"/>
      <c r="AH267" s="86" t="s">
        <v>278</v>
      </c>
      <c r="AI267" s="86" t="s">
        <v>193</v>
      </c>
      <c r="AJ267" s="11" t="s">
        <v>11556</v>
      </c>
      <c r="AK267" s="80" t="str">
        <f t="shared" si="85"/>
        <v>S-Fold Hand OperationBlackBent</v>
      </c>
      <c r="AL267" s="80" t="s">
        <v>274</v>
      </c>
      <c r="AM267" s="80" t="s">
        <v>120</v>
      </c>
      <c r="AN267" s="80">
        <v>0</v>
      </c>
      <c r="AO267" s="80" t="s">
        <v>181</v>
      </c>
      <c r="AW267" t="s">
        <v>408</v>
      </c>
      <c r="AX267" t="s">
        <v>143</v>
      </c>
      <c r="AY267" t="str">
        <f t="shared" si="83"/>
        <v>Velcro Top Flat FabricSingle Panel - Free Flowing</v>
      </c>
      <c r="AZ267" s="80">
        <v>1</v>
      </c>
      <c r="BA267" s="80">
        <v>200</v>
      </c>
    </row>
    <row r="268" spans="10:53" ht="16.2" customHeight="1">
      <c r="J268" s="80" t="s">
        <v>747</v>
      </c>
      <c r="K268" s="80" t="s">
        <v>7098</v>
      </c>
      <c r="L268" t="s">
        <v>421</v>
      </c>
      <c r="M268" t="s">
        <v>159</v>
      </c>
      <c r="N268" t="str">
        <f t="shared" si="81"/>
        <v>Double RearDesigner 15 Wavefold Hand DrawnWavefold HooksSingle Face Fix Brackets</v>
      </c>
      <c r="O268">
        <v>0</v>
      </c>
      <c r="P268">
        <v>20</v>
      </c>
      <c r="Q268" s="80">
        <v>0</v>
      </c>
      <c r="R268" s="80">
        <f t="shared" si="82"/>
        <v>20</v>
      </c>
      <c r="AD268"/>
      <c r="AH268" s="86" t="s">
        <v>278</v>
      </c>
      <c r="AI268" s="86" t="s">
        <v>193</v>
      </c>
      <c r="AJ268" s="11" t="s">
        <v>160</v>
      </c>
      <c r="AK268" s="80" t="str">
        <f t="shared" si="85"/>
        <v>S-Fold Hand OperationBlackStraight</v>
      </c>
      <c r="AL268" s="80" t="s">
        <v>274</v>
      </c>
      <c r="AM268" s="80" t="s">
        <v>120</v>
      </c>
      <c r="AN268" s="80">
        <v>0</v>
      </c>
      <c r="AO268" s="80" t="s">
        <v>181</v>
      </c>
      <c r="AW268" t="s">
        <v>408</v>
      </c>
      <c r="AX268" t="s">
        <v>717</v>
      </c>
      <c r="AY268" t="str">
        <f t="shared" si="83"/>
        <v>Velcro Top Flat FabricCentre Opening - Free Flowing</v>
      </c>
      <c r="AZ268" s="80">
        <v>1</v>
      </c>
      <c r="BA268" s="80">
        <v>400</v>
      </c>
    </row>
    <row r="269" spans="10:53" ht="16.2" customHeight="1">
      <c r="J269" s="80" t="s">
        <v>725</v>
      </c>
      <c r="K269" s="80" t="s">
        <v>7098</v>
      </c>
      <c r="L269" t="s">
        <v>421</v>
      </c>
      <c r="M269" t="s">
        <v>159</v>
      </c>
      <c r="N269" t="str">
        <f t="shared" si="81"/>
        <v>SingleDesigner 15 Wavefold Hand DrawnWavefold HooksSingle Face Fix Brackets</v>
      </c>
      <c r="O269">
        <v>0</v>
      </c>
      <c r="P269">
        <v>20</v>
      </c>
      <c r="Q269" s="80">
        <v>0</v>
      </c>
      <c r="R269" s="80">
        <f t="shared" si="82"/>
        <v>20</v>
      </c>
      <c r="AD269"/>
      <c r="AH269" s="86" t="s">
        <v>278</v>
      </c>
      <c r="AI269" s="87" t="s">
        <v>692</v>
      </c>
      <c r="AJ269" s="11" t="s">
        <v>11556</v>
      </c>
      <c r="AK269" s="80" t="str">
        <f t="shared" si="86" ref="AK269:AK276">CONCATENATE(AH269,AI269,AJ269)</f>
        <v>S-Fold Hand OperationMatt Black InkBent</v>
      </c>
      <c r="AL269" s="80" t="s">
        <v>274</v>
      </c>
      <c r="AM269" s="80" t="s">
        <v>120</v>
      </c>
      <c r="AN269" s="80">
        <v>0</v>
      </c>
      <c r="AO269" s="80" t="s">
        <v>181</v>
      </c>
      <c r="AW269" t="s">
        <v>3587</v>
      </c>
      <c r="AX269" t="s">
        <v>138</v>
      </c>
      <c r="AY269" t="str">
        <f t="shared" si="83"/>
        <v>Wavefold (Extra Fullness x 2.2)Centre Opening</v>
      </c>
      <c r="AZ269" s="80">
        <v>2.5</v>
      </c>
      <c r="BA269" s="80">
        <v>400</v>
      </c>
    </row>
    <row r="270" spans="10:53" ht="16.2" customHeight="1">
      <c r="J270" s="80" t="s">
        <v>746</v>
      </c>
      <c r="K270" s="80" t="s">
        <v>7098</v>
      </c>
      <c r="L270" t="s">
        <v>421</v>
      </c>
      <c r="M270" t="s">
        <v>161</v>
      </c>
      <c r="N270" t="str">
        <f t="shared" si="81"/>
        <v>Double FrontDesigner 15 Wavefold Hand DrawnWavefold HooksTop Fix Brackets</v>
      </c>
      <c r="O270">
        <v>0</v>
      </c>
      <c r="P270">
        <v>15</v>
      </c>
      <c r="Q270" s="80">
        <v>0</v>
      </c>
      <c r="R270" s="80">
        <f t="shared" si="82"/>
        <v>15</v>
      </c>
      <c r="AD270"/>
      <c r="AH270" s="86" t="s">
        <v>278</v>
      </c>
      <c r="AI270" s="87" t="s">
        <v>692</v>
      </c>
      <c r="AJ270" s="11" t="s">
        <v>160</v>
      </c>
      <c r="AK270" s="80" t="str">
        <f t="shared" si="86"/>
        <v>S-Fold Hand OperationMatt Black InkStraight</v>
      </c>
      <c r="AL270" s="80" t="s">
        <v>274</v>
      </c>
      <c r="AM270" s="80" t="s">
        <v>120</v>
      </c>
      <c r="AN270" s="80">
        <v>0</v>
      </c>
      <c r="AO270" s="80" t="s">
        <v>181</v>
      </c>
      <c r="AW270" t="s">
        <v>3587</v>
      </c>
      <c r="AX270" t="s">
        <v>5902</v>
      </c>
      <c r="AY270" t="str">
        <f t="shared" si="83"/>
        <v>Wavefold (Extra Fullness x 2.2)Centre Opening (Offset Split)</v>
      </c>
      <c r="AZ270" s="80">
        <v>2.5</v>
      </c>
      <c r="BA270" s="80">
        <v>400</v>
      </c>
    </row>
    <row r="271" spans="10:53" ht="16.2" customHeight="1">
      <c r="J271" s="80" t="s">
        <v>747</v>
      </c>
      <c r="K271" s="80" t="s">
        <v>7098</v>
      </c>
      <c r="L271" t="s">
        <v>421</v>
      </c>
      <c r="M271" t="s">
        <v>161</v>
      </c>
      <c r="N271" t="str">
        <f t="shared" si="81"/>
        <v>Double RearDesigner 15 Wavefold Hand DrawnWavefold HooksTop Fix Brackets</v>
      </c>
      <c r="O271">
        <v>0</v>
      </c>
      <c r="P271">
        <v>15</v>
      </c>
      <c r="Q271" s="80">
        <v>0</v>
      </c>
      <c r="R271" s="80">
        <f t="shared" si="82"/>
        <v>15</v>
      </c>
      <c r="AD271"/>
      <c r="AH271" s="86" t="s">
        <v>278</v>
      </c>
      <c r="AI271" s="86" t="s">
        <v>357</v>
      </c>
      <c r="AJ271" s="11" t="s">
        <v>11556</v>
      </c>
      <c r="AK271" s="80" t="str">
        <f t="shared" si="86"/>
        <v>S-Fold Hand OperationMatt SatinBent</v>
      </c>
      <c r="AL271" s="80" t="s">
        <v>274</v>
      </c>
      <c r="AM271" s="80" t="s">
        <v>120</v>
      </c>
      <c r="AN271" s="80">
        <v>0</v>
      </c>
      <c r="AO271" s="80" t="s">
        <v>181</v>
      </c>
      <c r="AW271" t="s">
        <v>3587</v>
      </c>
      <c r="AX271" t="s">
        <v>141</v>
      </c>
      <c r="AY271" t="str">
        <f t="shared" si="83"/>
        <v>Wavefold (Extra Fullness x 2.2)Single Panel - Left Stacking</v>
      </c>
      <c r="AZ271" s="80">
        <v>2.5</v>
      </c>
      <c r="BA271" s="80">
        <v>200</v>
      </c>
    </row>
    <row r="272" spans="10:53" ht="16.2" customHeight="1">
      <c r="J272" s="80" t="s">
        <v>725</v>
      </c>
      <c r="K272" s="80" t="s">
        <v>7098</v>
      </c>
      <c r="L272" t="s">
        <v>421</v>
      </c>
      <c r="M272" t="s">
        <v>161</v>
      </c>
      <c r="N272" t="str">
        <f t="shared" si="81"/>
        <v>SingleDesigner 15 Wavefold Hand DrawnWavefold HooksTop Fix Brackets</v>
      </c>
      <c r="O272">
        <v>0</v>
      </c>
      <c r="P272">
        <v>15</v>
      </c>
      <c r="Q272" s="80">
        <v>0</v>
      </c>
      <c r="R272" s="80">
        <f t="shared" si="82"/>
        <v>15</v>
      </c>
      <c r="AD272"/>
      <c r="AH272" s="86" t="s">
        <v>278</v>
      </c>
      <c r="AI272" s="86" t="s">
        <v>357</v>
      </c>
      <c r="AJ272" s="11" t="s">
        <v>160</v>
      </c>
      <c r="AK272" s="80" t="str">
        <f t="shared" si="86"/>
        <v>S-Fold Hand OperationMatt SatinStraight</v>
      </c>
      <c r="AL272" s="80" t="s">
        <v>274</v>
      </c>
      <c r="AM272" s="80" t="s">
        <v>120</v>
      </c>
      <c r="AN272" s="80">
        <v>0</v>
      </c>
      <c r="AO272" s="80" t="s">
        <v>181</v>
      </c>
      <c r="AW272" t="s">
        <v>3587</v>
      </c>
      <c r="AX272" t="s">
        <v>142</v>
      </c>
      <c r="AY272" t="str">
        <f t="shared" si="83"/>
        <v>Wavefold (Extra Fullness x 2.2)Single Panel - Right Stacking</v>
      </c>
      <c r="AZ272" s="80">
        <v>2.5</v>
      </c>
      <c r="BA272" s="80">
        <v>200</v>
      </c>
    </row>
    <row r="273" spans="10:53" ht="16.2" customHeight="1">
      <c r="J273" s="80" t="s">
        <v>746</v>
      </c>
      <c r="K273" s="80" t="s">
        <v>7098</v>
      </c>
      <c r="L273" t="s">
        <v>421</v>
      </c>
      <c r="M273" t="s">
        <v>553</v>
      </c>
      <c r="N273" t="str">
        <f t="shared" si="81"/>
        <v>Double FrontDesigner 15 Wavefold Hand DrawnWavefold HooksTriple Face Fix Brackets</v>
      </c>
      <c r="O273">
        <v>0</v>
      </c>
      <c r="P273">
        <v>20</v>
      </c>
      <c r="Q273" s="80">
        <v>0</v>
      </c>
      <c r="R273" s="80">
        <f t="shared" si="82"/>
        <v>20</v>
      </c>
      <c r="AD273"/>
      <c r="AH273" s="86" t="s">
        <v>278</v>
      </c>
      <c r="AI273" s="86" t="s">
        <v>191</v>
      </c>
      <c r="AJ273" s="11" t="s">
        <v>11556</v>
      </c>
      <c r="AK273" s="80" t="str">
        <f t="shared" si="86"/>
        <v>S-Fold Hand OperationWhiteBent</v>
      </c>
      <c r="AL273" s="80" t="s">
        <v>274</v>
      </c>
      <c r="AM273" s="80" t="s">
        <v>120</v>
      </c>
      <c r="AN273" s="80">
        <v>0</v>
      </c>
      <c r="AO273" s="80" t="s">
        <v>181</v>
      </c>
      <c r="AW273" t="s">
        <v>3587</v>
      </c>
      <c r="AX273" t="s">
        <v>143</v>
      </c>
      <c r="AY273" t="str">
        <f t="shared" si="83"/>
        <v>Wavefold (Extra Fullness x 2.2)Single Panel - Free Flowing</v>
      </c>
      <c r="AZ273" s="80">
        <v>2.5</v>
      </c>
      <c r="BA273" s="80">
        <v>200</v>
      </c>
    </row>
    <row r="274" spans="10:53" ht="16.2" customHeight="1">
      <c r="J274" s="80" t="s">
        <v>747</v>
      </c>
      <c r="K274" s="80" t="s">
        <v>7098</v>
      </c>
      <c r="L274" t="s">
        <v>421</v>
      </c>
      <c r="M274" t="s">
        <v>553</v>
      </c>
      <c r="N274" t="str">
        <f t="shared" si="81"/>
        <v>Double RearDesigner 15 Wavefold Hand DrawnWavefold HooksTriple Face Fix Brackets</v>
      </c>
      <c r="O274">
        <v>0</v>
      </c>
      <c r="P274">
        <v>20</v>
      </c>
      <c r="Q274" s="80">
        <v>0</v>
      </c>
      <c r="R274" s="80">
        <f t="shared" si="82"/>
        <v>20</v>
      </c>
      <c r="AD274"/>
      <c r="AH274" s="86" t="s">
        <v>278</v>
      </c>
      <c r="AI274" s="86" t="s">
        <v>191</v>
      </c>
      <c r="AJ274" s="11" t="s">
        <v>160</v>
      </c>
      <c r="AK274" s="80" t="str">
        <f t="shared" si="86"/>
        <v>S-Fold Hand OperationWhiteStraight</v>
      </c>
      <c r="AL274" s="80" t="s">
        <v>274</v>
      </c>
      <c r="AM274" s="80" t="s">
        <v>120</v>
      </c>
      <c r="AN274" s="80">
        <v>0</v>
      </c>
      <c r="AO274" s="80" t="s">
        <v>181</v>
      </c>
      <c r="AW274" t="s">
        <v>3587</v>
      </c>
      <c r="AX274" t="s">
        <v>717</v>
      </c>
      <c r="AY274" t="str">
        <f t="shared" si="83"/>
        <v>Wavefold (Extra Fullness x 2.2)Centre Opening - Free Flowing</v>
      </c>
      <c r="AZ274" s="80">
        <v>2.5</v>
      </c>
      <c r="BA274" s="80">
        <v>400</v>
      </c>
    </row>
    <row r="275" spans="10:53" ht="16.2" customHeight="1">
      <c r="J275" s="80" t="s">
        <v>725</v>
      </c>
      <c r="K275" s="80" t="s">
        <v>7098</v>
      </c>
      <c r="L275" t="s">
        <v>421</v>
      </c>
      <c r="M275" t="s">
        <v>553</v>
      </c>
      <c r="N275" t="str">
        <f t="shared" si="81"/>
        <v>SingleDesigner 15 Wavefold Hand DrawnWavefold HooksTriple Face Fix Brackets</v>
      </c>
      <c r="O275">
        <v>0</v>
      </c>
      <c r="P275">
        <v>20</v>
      </c>
      <c r="Q275" s="80">
        <v>0</v>
      </c>
      <c r="R275" s="80">
        <f t="shared" si="82"/>
        <v>20</v>
      </c>
      <c r="AD275"/>
      <c r="AH275" s="80" t="s">
        <v>416</v>
      </c>
      <c r="AI275" s="86" t="s">
        <v>193</v>
      </c>
      <c r="AJ275" s="11" t="s">
        <v>11556</v>
      </c>
      <c r="AK275" s="80" t="str">
        <f t="shared" si="86"/>
        <v>S-Fold Heavy Duty Cord OperationBlackBent</v>
      </c>
      <c r="AL275" s="80" t="s">
        <v>274</v>
      </c>
      <c r="AM275" s="80" t="s">
        <v>120</v>
      </c>
      <c r="AN275" s="80">
        <v>0</v>
      </c>
      <c r="AO275" s="80" t="s">
        <v>181</v>
      </c>
      <c r="AW275" t="s">
        <v>3587</v>
      </c>
      <c r="AX275" t="s">
        <v>154</v>
      </c>
      <c r="AY275" t="str">
        <f t="shared" si="83"/>
        <v>Wavefold (Extra Fullness x 2.2)No Movement</v>
      </c>
      <c r="AZ275" s="80">
        <v>2.5</v>
      </c>
      <c r="BA275" s="80">
        <v>200</v>
      </c>
    </row>
    <row r="276" spans="10:53" ht="16.2" customHeight="1">
      <c r="J276" s="80" t="s">
        <v>746</v>
      </c>
      <c r="K276" s="80" t="s">
        <v>283</v>
      </c>
      <c r="L276" t="s">
        <v>183</v>
      </c>
      <c r="M276" t="s">
        <v>162</v>
      </c>
      <c r="N276" t="str">
        <f t="shared" si="81"/>
        <v>Double FrontDesigner 25 Cord DrawnBelow Normal 2075Double Face Fix Brackets</v>
      </c>
      <c r="O276">
        <v>70</v>
      </c>
      <c r="P276">
        <v>35</v>
      </c>
      <c r="Q276" s="80">
        <v>0</v>
      </c>
      <c r="R276" s="80">
        <f t="shared" si="82"/>
        <v>-35</v>
      </c>
      <c r="AD276"/>
      <c r="AH276" s="80" t="s">
        <v>416</v>
      </c>
      <c r="AI276" s="86" t="s">
        <v>193</v>
      </c>
      <c r="AJ276" s="11" t="s">
        <v>160</v>
      </c>
      <c r="AK276" s="80" t="str">
        <f t="shared" si="86"/>
        <v>S-Fold Heavy Duty Cord OperationBlackStraight</v>
      </c>
      <c r="AL276" s="80" t="s">
        <v>274</v>
      </c>
      <c r="AM276" s="80" t="s">
        <v>120</v>
      </c>
      <c r="AN276" s="80">
        <v>0</v>
      </c>
      <c r="AO276" s="80" t="s">
        <v>181</v>
      </c>
      <c r="AW276" s="80" t="s">
        <v>3587</v>
      </c>
      <c r="AX276" s="80" t="s">
        <v>5903</v>
      </c>
      <c r="AY276" t="str">
        <f t="shared" si="83"/>
        <v>Wavefold (Extra Fullness x 2.2)Centre Opening - Free Flowing (Offset Split)</v>
      </c>
      <c r="AZ276" s="80">
        <v>2.5</v>
      </c>
      <c r="BA276" s="80">
        <v>200</v>
      </c>
    </row>
    <row r="277" spans="10:53" ht="16.2" customHeight="1">
      <c r="J277" s="80" t="s">
        <v>747</v>
      </c>
      <c r="K277" s="80" t="s">
        <v>283</v>
      </c>
      <c r="L277" t="s">
        <v>183</v>
      </c>
      <c r="M277" t="s">
        <v>162</v>
      </c>
      <c r="N277" t="str">
        <f t="shared" si="81"/>
        <v>Double RearDesigner 25 Cord DrawnBelow Normal 2075Double Face Fix Brackets</v>
      </c>
      <c r="O277">
        <v>70</v>
      </c>
      <c r="P277">
        <v>45</v>
      </c>
      <c r="Q277" s="80">
        <v>0</v>
      </c>
      <c r="R277" s="80">
        <f t="shared" si="82"/>
        <v>-25</v>
      </c>
      <c r="AD277"/>
      <c r="AH277" s="80" t="s">
        <v>416</v>
      </c>
      <c r="AI277" s="86" t="s">
        <v>357</v>
      </c>
      <c r="AJ277" s="11" t="s">
        <v>11556</v>
      </c>
      <c r="AK277" s="80" t="str">
        <f t="shared" si="87" ref="AK277:AK284">CONCATENATE(AH277,AI277,AJ277)</f>
        <v>S-Fold Heavy Duty Cord OperationMatt SatinBent</v>
      </c>
      <c r="AL277" s="80" t="s">
        <v>274</v>
      </c>
      <c r="AM277" s="80" t="s">
        <v>120</v>
      </c>
      <c r="AN277" s="80">
        <v>0</v>
      </c>
      <c r="AO277" s="80" t="s">
        <v>181</v>
      </c>
      <c r="AW277" t="s">
        <v>440</v>
      </c>
      <c r="AX277" t="s">
        <v>138</v>
      </c>
      <c r="AY277" t="str">
        <f t="shared" si="83"/>
        <v>Wavefold (Less Fullness x 1.8)Centre Opening</v>
      </c>
      <c r="AZ277" s="80">
        <v>2.1</v>
      </c>
      <c r="BA277" s="80">
        <v>400</v>
      </c>
    </row>
    <row r="278" spans="10:53" ht="16.2" customHeight="1">
      <c r="J278" s="80" t="s">
        <v>725</v>
      </c>
      <c r="K278" s="80" t="s">
        <v>283</v>
      </c>
      <c r="L278" t="s">
        <v>183</v>
      </c>
      <c r="M278" t="s">
        <v>162</v>
      </c>
      <c r="N278" t="str">
        <f t="shared" si="81"/>
        <v>SingleDesigner 25 Cord DrawnBelow Normal 2075Double Face Fix Brackets</v>
      </c>
      <c r="O278">
        <v>70</v>
      </c>
      <c r="P278">
        <v>35</v>
      </c>
      <c r="Q278" s="80">
        <v>0</v>
      </c>
      <c r="R278" s="80">
        <f t="shared" si="82"/>
        <v>-35</v>
      </c>
      <c r="AD278"/>
      <c r="AH278" s="80" t="s">
        <v>416</v>
      </c>
      <c r="AI278" s="86" t="s">
        <v>357</v>
      </c>
      <c r="AJ278" s="11" t="s">
        <v>160</v>
      </c>
      <c r="AK278" s="80" t="str">
        <f t="shared" si="87"/>
        <v>S-Fold Heavy Duty Cord OperationMatt SatinStraight</v>
      </c>
      <c r="AL278" s="80" t="s">
        <v>274</v>
      </c>
      <c r="AM278" s="80" t="s">
        <v>120</v>
      </c>
      <c r="AN278" s="80">
        <v>0</v>
      </c>
      <c r="AO278" s="80" t="s">
        <v>181</v>
      </c>
      <c r="AW278" t="s">
        <v>440</v>
      </c>
      <c r="AX278" t="s">
        <v>5902</v>
      </c>
      <c r="AY278" t="str">
        <f t="shared" si="83"/>
        <v>Wavefold (Less Fullness x 1.8)Centre Opening (Offset Split)</v>
      </c>
      <c r="AZ278" s="80">
        <v>2.1</v>
      </c>
      <c r="BA278" s="80">
        <v>400</v>
      </c>
    </row>
    <row r="279" spans="10:53" ht="16.2" customHeight="1">
      <c r="J279" s="80" t="s">
        <v>746</v>
      </c>
      <c r="K279" s="80" t="s">
        <v>283</v>
      </c>
      <c r="L279" t="s">
        <v>182</v>
      </c>
      <c r="M279" t="s">
        <v>162</v>
      </c>
      <c r="N279" t="str">
        <f t="shared" si="81"/>
        <v>Double FrontDesigner 25 Cord DrawnBetween Level and Normal 2073Double Face Fix Brackets</v>
      </c>
      <c r="O279">
        <v>48</v>
      </c>
      <c r="P279">
        <v>35</v>
      </c>
      <c r="Q279" s="80">
        <v>0</v>
      </c>
      <c r="R279" s="80">
        <f t="shared" si="82"/>
        <v>-13</v>
      </c>
      <c r="AD279"/>
      <c r="AH279" s="80" t="s">
        <v>416</v>
      </c>
      <c r="AI279" s="86" t="s">
        <v>191</v>
      </c>
      <c r="AJ279" s="11" t="s">
        <v>11556</v>
      </c>
      <c r="AK279" s="80" t="str">
        <f t="shared" si="87"/>
        <v>S-Fold Heavy Duty Cord OperationWhiteBent</v>
      </c>
      <c r="AL279" s="80" t="s">
        <v>274</v>
      </c>
      <c r="AM279" s="80" t="s">
        <v>120</v>
      </c>
      <c r="AN279" s="80">
        <v>0</v>
      </c>
      <c r="AO279" s="80" t="s">
        <v>181</v>
      </c>
      <c r="AW279" t="s">
        <v>440</v>
      </c>
      <c r="AX279" t="s">
        <v>141</v>
      </c>
      <c r="AY279" t="str">
        <f t="shared" si="83"/>
        <v>Wavefold (Less Fullness x 1.8)Single Panel - Left Stacking</v>
      </c>
      <c r="AZ279" s="80">
        <v>2.1</v>
      </c>
      <c r="BA279" s="80">
        <v>200</v>
      </c>
    </row>
    <row r="280" spans="10:53" ht="16.2" customHeight="1">
      <c r="J280" s="80" t="s">
        <v>747</v>
      </c>
      <c r="K280" s="80" t="s">
        <v>283</v>
      </c>
      <c r="L280" t="s">
        <v>182</v>
      </c>
      <c r="M280" t="s">
        <v>162</v>
      </c>
      <c r="N280" t="str">
        <f t="shared" si="81"/>
        <v>Double RearDesigner 25 Cord DrawnBetween Level and Normal 2073Double Face Fix Brackets</v>
      </c>
      <c r="O280">
        <v>48</v>
      </c>
      <c r="P280">
        <v>45</v>
      </c>
      <c r="Q280" s="80">
        <v>0</v>
      </c>
      <c r="R280" s="80">
        <f t="shared" si="82"/>
        <v>-3</v>
      </c>
      <c r="AD280"/>
      <c r="AH280" s="80" t="s">
        <v>416</v>
      </c>
      <c r="AI280" s="86" t="s">
        <v>191</v>
      </c>
      <c r="AJ280" s="11" t="s">
        <v>160</v>
      </c>
      <c r="AK280" s="80" t="str">
        <f t="shared" si="87"/>
        <v>S-Fold Heavy Duty Cord OperationWhiteStraight</v>
      </c>
      <c r="AL280" s="80" t="s">
        <v>274</v>
      </c>
      <c r="AM280" s="80" t="s">
        <v>120</v>
      </c>
      <c r="AN280" s="80">
        <v>0</v>
      </c>
      <c r="AO280" s="80" t="s">
        <v>181</v>
      </c>
      <c r="AW280" t="s">
        <v>440</v>
      </c>
      <c r="AX280" t="s">
        <v>142</v>
      </c>
      <c r="AY280" t="str">
        <f t="shared" si="83"/>
        <v>Wavefold (Less Fullness x 1.8)Single Panel - Right Stacking</v>
      </c>
      <c r="AZ280" s="80">
        <v>2.1</v>
      </c>
      <c r="BA280" s="80">
        <v>200</v>
      </c>
    </row>
    <row r="281" spans="10:53" ht="16.2" customHeight="1">
      <c r="J281" s="80" t="s">
        <v>725</v>
      </c>
      <c r="K281" s="80" t="s">
        <v>283</v>
      </c>
      <c r="L281" t="s">
        <v>182</v>
      </c>
      <c r="M281" t="s">
        <v>162</v>
      </c>
      <c r="N281" t="str">
        <f t="shared" si="81"/>
        <v>SingleDesigner 25 Cord DrawnBetween Level and Normal 2073Double Face Fix Brackets</v>
      </c>
      <c r="O281">
        <v>47</v>
      </c>
      <c r="P281">
        <v>35</v>
      </c>
      <c r="Q281" s="80">
        <v>0</v>
      </c>
      <c r="R281" s="80">
        <f t="shared" si="82"/>
        <v>-12</v>
      </c>
      <c r="AD281"/>
      <c r="AH281" s="80" t="s">
        <v>415</v>
      </c>
      <c r="AI281" s="86" t="s">
        <v>193</v>
      </c>
      <c r="AJ281" s="11" t="s">
        <v>11556</v>
      </c>
      <c r="AK281" s="80" t="str">
        <f t="shared" si="87"/>
        <v>S-Fold Heavy Duty Hand OperationBlackBent</v>
      </c>
      <c r="AL281" s="80" t="s">
        <v>274</v>
      </c>
      <c r="AM281" s="80" t="s">
        <v>120</v>
      </c>
      <c r="AN281" s="80">
        <v>0</v>
      </c>
      <c r="AO281" s="80" t="s">
        <v>181</v>
      </c>
      <c r="AW281" t="s">
        <v>440</v>
      </c>
      <c r="AX281" t="s">
        <v>143</v>
      </c>
      <c r="AY281" t="str">
        <f t="shared" si="83"/>
        <v>Wavefold (Less Fullness x 1.8)Single Panel - Free Flowing</v>
      </c>
      <c r="AZ281" s="80">
        <v>2.1</v>
      </c>
      <c r="BA281" s="80">
        <v>200</v>
      </c>
    </row>
    <row r="282" spans="10:53" ht="16.2" customHeight="1">
      <c r="J282" s="80" t="s">
        <v>746</v>
      </c>
      <c r="K282" s="80" t="s">
        <v>283</v>
      </c>
      <c r="L282" t="s">
        <v>184</v>
      </c>
      <c r="M282" t="s">
        <v>162</v>
      </c>
      <c r="N282" t="str">
        <f t="shared" si="81"/>
        <v>Double FrontDesigner 25 Cord DrawnDecorator 2071Double Face Fix Brackets</v>
      </c>
      <c r="O282">
        <v>20</v>
      </c>
      <c r="P282">
        <v>35</v>
      </c>
      <c r="Q282" s="80">
        <v>0</v>
      </c>
      <c r="R282" s="80">
        <f t="shared" si="82"/>
        <v>15</v>
      </c>
      <c r="AD282"/>
      <c r="AH282" s="80" t="s">
        <v>415</v>
      </c>
      <c r="AI282" s="86" t="s">
        <v>193</v>
      </c>
      <c r="AJ282" s="11" t="s">
        <v>160</v>
      </c>
      <c r="AK282" s="80" t="str">
        <f t="shared" si="87"/>
        <v>S-Fold Heavy Duty Hand OperationBlackStraight</v>
      </c>
      <c r="AL282" s="80" t="s">
        <v>274</v>
      </c>
      <c r="AM282" s="80" t="s">
        <v>120</v>
      </c>
      <c r="AN282" s="80">
        <v>0</v>
      </c>
      <c r="AO282" s="80" t="s">
        <v>181</v>
      </c>
      <c r="AW282" t="s">
        <v>440</v>
      </c>
      <c r="AX282" t="s">
        <v>717</v>
      </c>
      <c r="AY282" t="str">
        <f t="shared" si="83"/>
        <v>Wavefold (Less Fullness x 1.8)Centre Opening - Free Flowing</v>
      </c>
      <c r="AZ282" s="80">
        <v>2.1</v>
      </c>
      <c r="BA282" s="80">
        <v>400</v>
      </c>
    </row>
    <row r="283" spans="10:53" ht="16.2" customHeight="1">
      <c r="J283" s="80" t="s">
        <v>747</v>
      </c>
      <c r="K283" s="80" t="s">
        <v>283</v>
      </c>
      <c r="L283" t="s">
        <v>184</v>
      </c>
      <c r="M283" t="s">
        <v>162</v>
      </c>
      <c r="N283" t="str">
        <f t="shared" si="81"/>
        <v>Double RearDesigner 25 Cord DrawnDecorator 2071Double Face Fix Brackets</v>
      </c>
      <c r="O283">
        <v>20</v>
      </c>
      <c r="P283">
        <v>45</v>
      </c>
      <c r="Q283" s="80">
        <v>0</v>
      </c>
      <c r="R283" s="80">
        <f t="shared" si="82"/>
        <v>25</v>
      </c>
      <c r="AD283"/>
      <c r="AH283" s="80" t="s">
        <v>415</v>
      </c>
      <c r="AI283" s="86" t="s">
        <v>357</v>
      </c>
      <c r="AJ283" s="11" t="s">
        <v>11556</v>
      </c>
      <c r="AK283" s="80" t="str">
        <f t="shared" si="87"/>
        <v>S-Fold Heavy Duty Hand OperationMatt SatinBent</v>
      </c>
      <c r="AL283" s="80" t="s">
        <v>274</v>
      </c>
      <c r="AM283" s="80" t="s">
        <v>120</v>
      </c>
      <c r="AN283" s="80">
        <v>0</v>
      </c>
      <c r="AO283" s="80" t="s">
        <v>181</v>
      </c>
      <c r="AW283" t="s">
        <v>440</v>
      </c>
      <c r="AX283" t="s">
        <v>154</v>
      </c>
      <c r="AY283" t="str">
        <f t="shared" si="83"/>
        <v>Wavefold (Less Fullness x 1.8)No Movement</v>
      </c>
      <c r="AZ283" s="80">
        <v>2.1</v>
      </c>
      <c r="BA283" s="80">
        <v>200</v>
      </c>
    </row>
    <row r="284" spans="10:53" ht="16.2" customHeight="1">
      <c r="J284" s="80" t="s">
        <v>725</v>
      </c>
      <c r="K284" s="80" t="s">
        <v>283</v>
      </c>
      <c r="L284" t="s">
        <v>184</v>
      </c>
      <c r="M284" t="s">
        <v>162</v>
      </c>
      <c r="N284" t="str">
        <f t="shared" si="81"/>
        <v>SingleDesigner 25 Cord DrawnDecorator 2071Double Face Fix Brackets</v>
      </c>
      <c r="O284">
        <v>20</v>
      </c>
      <c r="P284">
        <v>35</v>
      </c>
      <c r="Q284" s="80">
        <v>0</v>
      </c>
      <c r="R284" s="80">
        <f t="shared" si="82"/>
        <v>15</v>
      </c>
      <c r="AD284"/>
      <c r="AH284" s="80" t="s">
        <v>415</v>
      </c>
      <c r="AI284" s="86" t="s">
        <v>357</v>
      </c>
      <c r="AJ284" s="11" t="s">
        <v>160</v>
      </c>
      <c r="AK284" s="80" t="str">
        <f t="shared" si="87"/>
        <v>S-Fold Heavy Duty Hand OperationMatt SatinStraight</v>
      </c>
      <c r="AL284" s="80" t="s">
        <v>274</v>
      </c>
      <c r="AM284" s="80" t="s">
        <v>120</v>
      </c>
      <c r="AN284" s="80">
        <v>0</v>
      </c>
      <c r="AO284" s="80" t="s">
        <v>181</v>
      </c>
      <c r="AW284" s="80" t="s">
        <v>440</v>
      </c>
      <c r="AX284" s="80" t="s">
        <v>5903</v>
      </c>
      <c r="AY284" t="str">
        <f t="shared" si="83"/>
        <v>Wavefold (Less Fullness x 1.8)Centre Opening - Free Flowing (Offset Split)</v>
      </c>
      <c r="AZ284" s="80">
        <v>2.1</v>
      </c>
      <c r="BA284" s="80">
        <v>200</v>
      </c>
    </row>
    <row r="285" spans="10:53" ht="16.2" customHeight="1">
      <c r="J285" s="80" t="s">
        <v>746</v>
      </c>
      <c r="K285" s="80" t="s">
        <v>283</v>
      </c>
      <c r="L285" t="s">
        <v>6468</v>
      </c>
      <c r="M285" t="s">
        <v>162</v>
      </c>
      <c r="N285" t="str">
        <f t="shared" si="81"/>
        <v>Double FrontDesigner 25 Cord DrawnGather Hook Bottom PocketDouble Face Fix Brackets</v>
      </c>
      <c r="O285">
        <v>60</v>
      </c>
      <c r="P285">
        <v>35</v>
      </c>
      <c r="Q285" s="80">
        <v>0</v>
      </c>
      <c r="R285" s="80">
        <f t="shared" si="82"/>
        <v>-25</v>
      </c>
      <c r="AD285"/>
      <c r="AH285" s="80" t="s">
        <v>415</v>
      </c>
      <c r="AI285" s="86" t="s">
        <v>191</v>
      </c>
      <c r="AJ285" s="11" t="s">
        <v>11556</v>
      </c>
      <c r="AK285" s="80" t="str">
        <f t="shared" si="88" ref="AK285:AK294">CONCATENATE(AH285,AI285,AJ285)</f>
        <v>S-Fold Heavy Duty Hand OperationWhiteBent</v>
      </c>
      <c r="AL285" s="80" t="s">
        <v>274</v>
      </c>
      <c r="AM285" s="80" t="s">
        <v>120</v>
      </c>
      <c r="AN285" s="80">
        <v>0</v>
      </c>
      <c r="AO285" s="80" t="s">
        <v>181</v>
      </c>
      <c r="AW285" t="s">
        <v>420</v>
      </c>
      <c r="AX285" t="s">
        <v>138</v>
      </c>
      <c r="AY285" t="str">
        <f t="shared" si="83"/>
        <v>Wavefold (Standard Fullness x 2)Centre Opening</v>
      </c>
      <c r="AZ285" s="80">
        <v>2.3</v>
      </c>
      <c r="BA285" s="80">
        <v>400</v>
      </c>
    </row>
    <row r="286" spans="10:53" ht="16.2" customHeight="1">
      <c r="J286" s="80" t="s">
        <v>725</v>
      </c>
      <c r="K286" s="80" t="s">
        <v>283</v>
      </c>
      <c r="L286" t="s">
        <v>6468</v>
      </c>
      <c r="M286" t="s">
        <v>162</v>
      </c>
      <c r="N286" t="str">
        <f t="shared" si="81"/>
        <v>SingleDesigner 25 Cord DrawnGather Hook Bottom PocketDouble Face Fix Brackets</v>
      </c>
      <c r="O286">
        <v>60</v>
      </c>
      <c r="P286">
        <v>35</v>
      </c>
      <c r="Q286" s="80">
        <v>0</v>
      </c>
      <c r="R286" s="80">
        <f t="shared" si="82"/>
        <v>-25</v>
      </c>
      <c r="AD286"/>
      <c r="AH286" s="80" t="s">
        <v>415</v>
      </c>
      <c r="AI286" s="86" t="s">
        <v>191</v>
      </c>
      <c r="AJ286" s="11" t="s">
        <v>160</v>
      </c>
      <c r="AK286" s="80" t="str">
        <f t="shared" si="88"/>
        <v>S-Fold Heavy Duty Hand OperationWhiteStraight</v>
      </c>
      <c r="AL286" s="80" t="s">
        <v>274</v>
      </c>
      <c r="AM286" s="80" t="s">
        <v>120</v>
      </c>
      <c r="AN286" s="80">
        <v>0</v>
      </c>
      <c r="AO286" s="80" t="s">
        <v>181</v>
      </c>
      <c r="AW286" t="s">
        <v>420</v>
      </c>
      <c r="AX286" t="s">
        <v>5902</v>
      </c>
      <c r="AY286" t="str">
        <f t="shared" si="83"/>
        <v>Wavefold (Standard Fullness x 2)Centre Opening (Offset Split)</v>
      </c>
      <c r="AZ286" s="80">
        <v>2.3</v>
      </c>
      <c r="BA286" s="80">
        <v>400</v>
      </c>
    </row>
    <row r="287" spans="10:53" ht="16.2" customHeight="1">
      <c r="J287" s="80" t="s">
        <v>746</v>
      </c>
      <c r="K287" s="80" t="s">
        <v>283</v>
      </c>
      <c r="L287" t="s">
        <v>229</v>
      </c>
      <c r="M287" t="s">
        <v>162</v>
      </c>
      <c r="N287" t="str">
        <f t="shared" si="81"/>
        <v>Double FrontDesigner 25 Cord DrawnGather Hook LevelDouble Face Fix Brackets</v>
      </c>
      <c r="O287">
        <v>20</v>
      </c>
      <c r="P287">
        <v>35</v>
      </c>
      <c r="Q287" s="80">
        <v>0</v>
      </c>
      <c r="R287" s="80">
        <f t="shared" si="82"/>
        <v>15</v>
      </c>
      <c r="AD287"/>
      <c r="AH287" s="86" t="s">
        <v>5445</v>
      </c>
      <c r="AI287" s="11" t="s">
        <v>191</v>
      </c>
      <c r="AJ287" s="11" t="s">
        <v>11556</v>
      </c>
      <c r="AK287" s="80" t="str">
        <f t="shared" si="88"/>
        <v>S-Fold Motorised Acmeda 12v Remote Curtain TrackWhiteBent</v>
      </c>
      <c r="AL287" s="80" t="s">
        <v>274</v>
      </c>
      <c r="AM287" s="80" t="s">
        <v>120</v>
      </c>
      <c r="AN287" s="80">
        <v>0</v>
      </c>
      <c r="AO287" s="80" t="s">
        <v>181</v>
      </c>
      <c r="AW287" t="s">
        <v>420</v>
      </c>
      <c r="AX287" t="s">
        <v>141</v>
      </c>
      <c r="AY287" t="str">
        <f t="shared" si="83"/>
        <v>Wavefold (Standard Fullness x 2)Single Panel - Left Stacking</v>
      </c>
      <c r="AZ287" s="80">
        <v>2.3</v>
      </c>
      <c r="BA287" s="80">
        <v>200</v>
      </c>
    </row>
    <row r="288" spans="10:53" ht="16.2" customHeight="1">
      <c r="J288" s="80" t="s">
        <v>747</v>
      </c>
      <c r="K288" s="80" t="s">
        <v>283</v>
      </c>
      <c r="L288" t="s">
        <v>229</v>
      </c>
      <c r="M288" t="s">
        <v>162</v>
      </c>
      <c r="N288" t="str">
        <f t="shared" si="81"/>
        <v>Double RearDesigner 25 Cord DrawnGather Hook LevelDouble Face Fix Brackets</v>
      </c>
      <c r="O288">
        <v>20</v>
      </c>
      <c r="P288">
        <v>45</v>
      </c>
      <c r="Q288" s="80">
        <v>0</v>
      </c>
      <c r="R288" s="80">
        <f t="shared" si="82"/>
        <v>25</v>
      </c>
      <c r="AD288"/>
      <c r="AH288" s="86" t="s">
        <v>5445</v>
      </c>
      <c r="AI288" s="11" t="s">
        <v>191</v>
      </c>
      <c r="AJ288" s="11" t="s">
        <v>160</v>
      </c>
      <c r="AK288" s="80" t="str">
        <f t="shared" si="88"/>
        <v>S-Fold Motorised Acmeda 12v Remote Curtain TrackWhiteStraight</v>
      </c>
      <c r="AL288" s="80" t="s">
        <v>274</v>
      </c>
      <c r="AM288" s="80" t="s">
        <v>120</v>
      </c>
      <c r="AN288" s="80">
        <v>0</v>
      </c>
      <c r="AO288" s="80" t="s">
        <v>181</v>
      </c>
      <c r="AW288" t="s">
        <v>420</v>
      </c>
      <c r="AX288" t="s">
        <v>142</v>
      </c>
      <c r="AY288" t="str">
        <f t="shared" si="83"/>
        <v>Wavefold (Standard Fullness x 2)Single Panel - Right Stacking</v>
      </c>
      <c r="AZ288" s="80">
        <v>2.3</v>
      </c>
      <c r="BA288" s="80">
        <v>200</v>
      </c>
    </row>
    <row r="289" spans="10:53" ht="16.2" customHeight="1">
      <c r="J289" s="80" t="s">
        <v>725</v>
      </c>
      <c r="K289" s="80" t="s">
        <v>283</v>
      </c>
      <c r="L289" t="s">
        <v>229</v>
      </c>
      <c r="M289" t="s">
        <v>162</v>
      </c>
      <c r="N289" t="str">
        <f t="shared" si="81"/>
        <v>SingleDesigner 25 Cord DrawnGather Hook LevelDouble Face Fix Brackets</v>
      </c>
      <c r="O289">
        <v>20</v>
      </c>
      <c r="P289">
        <v>35</v>
      </c>
      <c r="Q289" s="80">
        <v>0</v>
      </c>
      <c r="R289" s="80">
        <f t="shared" si="82"/>
        <v>15</v>
      </c>
      <c r="AD289"/>
      <c r="AH289" s="86" t="s">
        <v>5446</v>
      </c>
      <c r="AI289" s="11" t="s">
        <v>191</v>
      </c>
      <c r="AJ289" s="11" t="s">
        <v>11556</v>
      </c>
      <c r="AK289" s="80" t="str">
        <f t="shared" si="88"/>
        <v>S-Fold Motorised Acmeda 240v Remote Curtain TrackWhiteBent</v>
      </c>
      <c r="AL289" s="80" t="s">
        <v>274</v>
      </c>
      <c r="AM289" s="80" t="s">
        <v>120</v>
      </c>
      <c r="AN289" s="80">
        <v>0</v>
      </c>
      <c r="AO289" s="80" t="s">
        <v>181</v>
      </c>
      <c r="AW289" t="s">
        <v>420</v>
      </c>
      <c r="AX289" t="s">
        <v>143</v>
      </c>
      <c r="AY289" t="str">
        <f t="shared" si="83"/>
        <v>Wavefold (Standard Fullness x 2)Single Panel - Free Flowing</v>
      </c>
      <c r="AZ289" s="80">
        <v>2.3</v>
      </c>
      <c r="BA289" s="80">
        <v>200</v>
      </c>
    </row>
    <row r="290" spans="10:53" ht="16.2" customHeight="1">
      <c r="J290" s="80" t="s">
        <v>746</v>
      </c>
      <c r="K290" s="80" t="s">
        <v>283</v>
      </c>
      <c r="L290" t="s">
        <v>228</v>
      </c>
      <c r="M290" t="s">
        <v>162</v>
      </c>
      <c r="N290" t="str">
        <f t="shared" si="81"/>
        <v>Double FrontDesigner 25 Cord DrawnGather Hook NormalDouble Face Fix Brackets</v>
      </c>
      <c r="O290">
        <v>43</v>
      </c>
      <c r="P290">
        <v>35</v>
      </c>
      <c r="Q290" s="80">
        <v>0</v>
      </c>
      <c r="R290" s="80">
        <f t="shared" si="82"/>
        <v>-8</v>
      </c>
      <c r="AD290"/>
      <c r="AH290" s="86" t="s">
        <v>5446</v>
      </c>
      <c r="AI290" s="11" t="s">
        <v>191</v>
      </c>
      <c r="AJ290" s="11" t="s">
        <v>160</v>
      </c>
      <c r="AK290" s="80" t="str">
        <f t="shared" si="88"/>
        <v>S-Fold Motorised Acmeda 240v Remote Curtain TrackWhiteStraight</v>
      </c>
      <c r="AL290" s="80" t="s">
        <v>274</v>
      </c>
      <c r="AM290" s="80" t="s">
        <v>120</v>
      </c>
      <c r="AN290" s="80">
        <v>0</v>
      </c>
      <c r="AO290" s="80" t="s">
        <v>181</v>
      </c>
      <c r="AW290" t="s">
        <v>420</v>
      </c>
      <c r="AX290" t="s">
        <v>717</v>
      </c>
      <c r="AY290" t="str">
        <f t="shared" si="83"/>
        <v>Wavefold (Standard Fullness x 2)Centre Opening - Free Flowing</v>
      </c>
      <c r="AZ290" s="80">
        <v>2.3</v>
      </c>
      <c r="BA290" s="80">
        <v>400</v>
      </c>
    </row>
    <row r="291" spans="10:53" ht="16.2" customHeight="1">
      <c r="J291" s="80" t="s">
        <v>747</v>
      </c>
      <c r="K291" s="80" t="s">
        <v>283</v>
      </c>
      <c r="L291" t="s">
        <v>228</v>
      </c>
      <c r="M291" t="s">
        <v>162</v>
      </c>
      <c r="N291" t="str">
        <f t="shared" si="81"/>
        <v>Double RearDesigner 25 Cord DrawnGather Hook NormalDouble Face Fix Brackets</v>
      </c>
      <c r="O291">
        <v>43</v>
      </c>
      <c r="P291">
        <v>45</v>
      </c>
      <c r="Q291" s="80">
        <v>0</v>
      </c>
      <c r="R291" s="80">
        <f t="shared" si="82"/>
        <v>2</v>
      </c>
      <c r="AD291"/>
      <c r="AH291" s="86" t="s">
        <v>5359</v>
      </c>
      <c r="AI291" s="86" t="s">
        <v>193</v>
      </c>
      <c r="AJ291" s="11" t="s">
        <v>11556</v>
      </c>
      <c r="AK291" s="80" t="str">
        <f t="shared" si="88"/>
        <v>S-Fold Motorised Saber 12v Remote TrackBlackBent</v>
      </c>
      <c r="AL291" s="80" t="s">
        <v>274</v>
      </c>
      <c r="AM291" s="80" t="s">
        <v>120</v>
      </c>
      <c r="AN291" s="80">
        <v>0</v>
      </c>
      <c r="AO291" s="80" t="s">
        <v>181</v>
      </c>
      <c r="AW291" t="s">
        <v>420</v>
      </c>
      <c r="AX291" t="s">
        <v>154</v>
      </c>
      <c r="AY291" t="str">
        <f t="shared" si="83"/>
        <v>Wavefold (Standard Fullness x 2)No Movement</v>
      </c>
      <c r="AZ291" s="80">
        <v>2.3</v>
      </c>
      <c r="BA291" s="80">
        <v>200</v>
      </c>
    </row>
    <row r="292" spans="10:53" ht="16.2" customHeight="1">
      <c r="J292" s="80" t="s">
        <v>725</v>
      </c>
      <c r="K292" s="80" t="s">
        <v>283</v>
      </c>
      <c r="L292" t="s">
        <v>228</v>
      </c>
      <c r="M292" t="s">
        <v>162</v>
      </c>
      <c r="N292" t="str">
        <f t="shared" si="81"/>
        <v>SingleDesigner 25 Cord DrawnGather Hook NormalDouble Face Fix Brackets</v>
      </c>
      <c r="O292">
        <v>43</v>
      </c>
      <c r="P292">
        <v>35</v>
      </c>
      <c r="Q292" s="80">
        <v>0</v>
      </c>
      <c r="R292" s="80">
        <f t="shared" si="82"/>
        <v>-8</v>
      </c>
      <c r="AD292"/>
      <c r="AH292" s="86" t="s">
        <v>5359</v>
      </c>
      <c r="AI292" s="86" t="s">
        <v>193</v>
      </c>
      <c r="AJ292" s="11" t="s">
        <v>160</v>
      </c>
      <c r="AK292" s="80" t="str">
        <f t="shared" si="88"/>
        <v>S-Fold Motorised Saber 12v Remote TrackBlackStraight</v>
      </c>
      <c r="AL292" s="80" t="s">
        <v>274</v>
      </c>
      <c r="AM292" s="80" t="s">
        <v>120</v>
      </c>
      <c r="AN292" s="80">
        <v>0</v>
      </c>
      <c r="AO292" s="80" t="s">
        <v>181</v>
      </c>
      <c r="AW292" s="80" t="s">
        <v>420</v>
      </c>
      <c r="AX292" s="80" t="s">
        <v>5903</v>
      </c>
      <c r="AY292" t="str">
        <f t="shared" si="83"/>
        <v>Wavefold (Standard Fullness x 2)Centre Opening - Free Flowing (Offset Split)</v>
      </c>
      <c r="AZ292" s="80">
        <v>2.3</v>
      </c>
      <c r="BA292" s="80">
        <v>200</v>
      </c>
    </row>
    <row r="293" spans="10:41" ht="16.2" customHeight="1">
      <c r="J293" s="80" t="s">
        <v>746</v>
      </c>
      <c r="K293" s="80" t="s">
        <v>283</v>
      </c>
      <c r="L293" t="s">
        <v>282</v>
      </c>
      <c r="M293" t="s">
        <v>162</v>
      </c>
      <c r="N293" t="str">
        <f t="shared" si="81"/>
        <v>Double FrontDesigner 25 Cord DrawnLevel 2072Double Face Fix Brackets</v>
      </c>
      <c r="O293">
        <v>38</v>
      </c>
      <c r="P293">
        <v>35</v>
      </c>
      <c r="Q293" s="80">
        <v>0</v>
      </c>
      <c r="R293" s="80">
        <f t="shared" si="82"/>
        <v>-3</v>
      </c>
      <c r="AD293"/>
      <c r="AH293" s="86" t="s">
        <v>5359</v>
      </c>
      <c r="AI293" s="11" t="s">
        <v>191</v>
      </c>
      <c r="AJ293" s="11" t="s">
        <v>11556</v>
      </c>
      <c r="AK293" s="80" t="str">
        <f t="shared" si="88"/>
        <v>S-Fold Motorised Saber 12v Remote TrackWhiteBent</v>
      </c>
      <c r="AL293" s="80" t="s">
        <v>274</v>
      </c>
      <c r="AM293" s="80" t="s">
        <v>120</v>
      </c>
      <c r="AN293" s="80">
        <v>0</v>
      </c>
      <c r="AO293" s="80" t="s">
        <v>181</v>
      </c>
    </row>
    <row r="294" spans="10:41" ht="16.2" customHeight="1">
      <c r="J294" s="80" t="s">
        <v>747</v>
      </c>
      <c r="K294" s="80" t="s">
        <v>283</v>
      </c>
      <c r="L294" t="s">
        <v>282</v>
      </c>
      <c r="M294" t="s">
        <v>162</v>
      </c>
      <c r="N294" t="str">
        <f t="shared" si="81"/>
        <v>Double RearDesigner 25 Cord DrawnLevel 2072Double Face Fix Brackets</v>
      </c>
      <c r="O294">
        <v>38</v>
      </c>
      <c r="P294">
        <v>45</v>
      </c>
      <c r="Q294" s="80">
        <v>0</v>
      </c>
      <c r="R294" s="80">
        <f t="shared" si="82"/>
        <v>7</v>
      </c>
      <c r="AD294"/>
      <c r="AH294" s="86" t="s">
        <v>5359</v>
      </c>
      <c r="AI294" s="11" t="s">
        <v>191</v>
      </c>
      <c r="AJ294" s="11" t="s">
        <v>160</v>
      </c>
      <c r="AK294" s="80" t="str">
        <f t="shared" si="88"/>
        <v>S-Fold Motorised Saber 12v Remote TrackWhiteStraight</v>
      </c>
      <c r="AL294" s="80" t="s">
        <v>274</v>
      </c>
      <c r="AM294" s="80" t="s">
        <v>120</v>
      </c>
      <c r="AN294" s="80">
        <v>0</v>
      </c>
      <c r="AO294" s="80" t="s">
        <v>181</v>
      </c>
    </row>
    <row r="295" spans="10:41" ht="16.2" customHeight="1">
      <c r="J295" s="80" t="s">
        <v>725</v>
      </c>
      <c r="K295" s="80" t="s">
        <v>283</v>
      </c>
      <c r="L295" t="s">
        <v>282</v>
      </c>
      <c r="M295" t="s">
        <v>162</v>
      </c>
      <c r="N295" t="str">
        <f t="shared" si="81"/>
        <v>SingleDesigner 25 Cord DrawnLevel 2072Double Face Fix Brackets</v>
      </c>
      <c r="O295">
        <v>35</v>
      </c>
      <c r="P295">
        <v>35</v>
      </c>
      <c r="Q295" s="80">
        <v>0</v>
      </c>
      <c r="R295" s="80">
        <f t="shared" si="82"/>
        <v>0</v>
      </c>
      <c r="AD295"/>
      <c r="AH295" s="86" t="s">
        <v>5358</v>
      </c>
      <c r="AI295" s="86" t="s">
        <v>193</v>
      </c>
      <c r="AJ295" s="11" t="s">
        <v>11556</v>
      </c>
      <c r="AK295" s="80" t="str">
        <f t="shared" si="89" ref="AK295:AK302">CONCATENATE(AH295,AI295,AJ295)</f>
        <v>S-Fold Motorised Saber 240v Remote TrackBlackBent</v>
      </c>
      <c r="AL295" s="80" t="s">
        <v>274</v>
      </c>
      <c r="AM295" s="80" t="s">
        <v>120</v>
      </c>
      <c r="AN295" s="80">
        <v>0</v>
      </c>
      <c r="AO295" s="80" t="s">
        <v>181</v>
      </c>
    </row>
    <row r="296" spans="10:41" ht="16.2" customHeight="1">
      <c r="J296" s="80" t="s">
        <v>746</v>
      </c>
      <c r="K296" s="80" t="s">
        <v>283</v>
      </c>
      <c r="L296" t="s">
        <v>170</v>
      </c>
      <c r="M296" t="s">
        <v>162</v>
      </c>
      <c r="N296" t="str">
        <f t="shared" si="81"/>
        <v>Double FrontDesigner 25 Cord DrawnNormal 2074Double Face Fix Brackets</v>
      </c>
      <c r="O296">
        <v>60</v>
      </c>
      <c r="P296">
        <v>35</v>
      </c>
      <c r="Q296" s="80">
        <v>0</v>
      </c>
      <c r="R296" s="80">
        <f t="shared" si="82"/>
        <v>-25</v>
      </c>
      <c r="AD296"/>
      <c r="AH296" s="86" t="s">
        <v>5358</v>
      </c>
      <c r="AI296" s="86" t="s">
        <v>193</v>
      </c>
      <c r="AJ296" s="11" t="s">
        <v>160</v>
      </c>
      <c r="AK296" s="80" t="str">
        <f t="shared" si="89"/>
        <v>S-Fold Motorised Saber 240v Remote TrackBlackStraight</v>
      </c>
      <c r="AL296" s="80" t="s">
        <v>274</v>
      </c>
      <c r="AM296" s="80" t="s">
        <v>120</v>
      </c>
      <c r="AN296" s="80">
        <v>0</v>
      </c>
      <c r="AO296" s="80" t="s">
        <v>181</v>
      </c>
    </row>
    <row r="297" spans="10:41" ht="16.2" customHeight="1">
      <c r="J297" s="80" t="s">
        <v>747</v>
      </c>
      <c r="K297" s="80" t="s">
        <v>283</v>
      </c>
      <c r="L297" t="s">
        <v>170</v>
      </c>
      <c r="M297" t="s">
        <v>162</v>
      </c>
      <c r="N297" t="str">
        <f t="shared" si="81"/>
        <v>Double RearDesigner 25 Cord DrawnNormal 2074Double Face Fix Brackets</v>
      </c>
      <c r="O297">
        <v>60</v>
      </c>
      <c r="P297">
        <v>45</v>
      </c>
      <c r="Q297" s="80">
        <v>0</v>
      </c>
      <c r="R297" s="80">
        <f t="shared" si="82"/>
        <v>-15</v>
      </c>
      <c r="AD297"/>
      <c r="AH297" s="86" t="s">
        <v>5358</v>
      </c>
      <c r="AI297" s="11" t="s">
        <v>191</v>
      </c>
      <c r="AJ297" s="11" t="s">
        <v>11556</v>
      </c>
      <c r="AK297" s="80" t="str">
        <f t="shared" si="89"/>
        <v>S-Fold Motorised Saber 240v Remote TrackWhiteBent</v>
      </c>
      <c r="AL297" s="80" t="s">
        <v>274</v>
      </c>
      <c r="AM297" s="80" t="s">
        <v>120</v>
      </c>
      <c r="AN297" s="80">
        <v>0</v>
      </c>
      <c r="AO297" s="80" t="s">
        <v>181</v>
      </c>
    </row>
    <row r="298" spans="10:41" ht="16.2" customHeight="1">
      <c r="J298" s="80" t="s">
        <v>725</v>
      </c>
      <c r="K298" s="80" t="s">
        <v>283</v>
      </c>
      <c r="L298" t="s">
        <v>170</v>
      </c>
      <c r="M298" t="s">
        <v>162</v>
      </c>
      <c r="N298" t="str">
        <f t="shared" si="81"/>
        <v>SingleDesigner 25 Cord DrawnNormal 2074Double Face Fix Brackets</v>
      </c>
      <c r="O298">
        <v>60</v>
      </c>
      <c r="P298">
        <v>35</v>
      </c>
      <c r="Q298" s="80">
        <v>0</v>
      </c>
      <c r="R298" s="80">
        <f t="shared" si="82"/>
        <v>-25</v>
      </c>
      <c r="AD298"/>
      <c r="AH298" s="86" t="s">
        <v>5358</v>
      </c>
      <c r="AI298" s="11" t="s">
        <v>191</v>
      </c>
      <c r="AJ298" s="11" t="s">
        <v>160</v>
      </c>
      <c r="AK298" s="80" t="str">
        <f t="shared" si="89"/>
        <v>S-Fold Motorised Saber 240v Remote TrackWhiteStraight</v>
      </c>
      <c r="AL298" s="80" t="s">
        <v>274</v>
      </c>
      <c r="AM298" s="80" t="s">
        <v>120</v>
      </c>
      <c r="AN298" s="80">
        <v>0</v>
      </c>
      <c r="AO298" s="80" t="s">
        <v>181</v>
      </c>
    </row>
    <row r="299" spans="10:41" ht="16.2" customHeight="1">
      <c r="J299" s="80" t="s">
        <v>746</v>
      </c>
      <c r="K299" s="80" t="s">
        <v>283</v>
      </c>
      <c r="L299" t="s">
        <v>183</v>
      </c>
      <c r="M299" t="s">
        <v>159</v>
      </c>
      <c r="N299" t="str">
        <f t="shared" si="81"/>
        <v>Double FrontDesigner 25 Cord DrawnBelow Normal 2075Single Face Fix Brackets</v>
      </c>
      <c r="O299">
        <v>70</v>
      </c>
      <c r="P299">
        <v>35</v>
      </c>
      <c r="Q299" s="80">
        <v>0</v>
      </c>
      <c r="R299" s="80">
        <f t="shared" si="82"/>
        <v>-35</v>
      </c>
      <c r="AD299"/>
      <c r="AH299" s="86" t="s">
        <v>5360</v>
      </c>
      <c r="AI299" s="86" t="s">
        <v>193</v>
      </c>
      <c r="AJ299" s="11" t="s">
        <v>11556</v>
      </c>
      <c r="AK299" s="80" t="str">
        <f t="shared" si="89"/>
        <v>S-Fold Motorised Saber 240v Switch TrackBlackBent</v>
      </c>
      <c r="AL299" s="80" t="s">
        <v>274</v>
      </c>
      <c r="AM299" s="80" t="s">
        <v>120</v>
      </c>
      <c r="AN299" s="80">
        <v>0</v>
      </c>
      <c r="AO299" s="80" t="s">
        <v>181</v>
      </c>
    </row>
    <row r="300" spans="10:41" ht="16.2" customHeight="1">
      <c r="J300" s="80" t="s">
        <v>747</v>
      </c>
      <c r="K300" s="80" t="s">
        <v>283</v>
      </c>
      <c r="L300" t="s">
        <v>183</v>
      </c>
      <c r="M300" t="s">
        <v>159</v>
      </c>
      <c r="N300" t="str">
        <f t="shared" si="81"/>
        <v>Double RearDesigner 25 Cord DrawnBelow Normal 2075Single Face Fix Brackets</v>
      </c>
      <c r="O300">
        <v>70</v>
      </c>
      <c r="P300">
        <v>45</v>
      </c>
      <c r="Q300" s="80">
        <v>0</v>
      </c>
      <c r="R300" s="80">
        <f t="shared" si="82"/>
        <v>-25</v>
      </c>
      <c r="AD300"/>
      <c r="AH300" s="86" t="s">
        <v>5360</v>
      </c>
      <c r="AI300" s="86" t="s">
        <v>193</v>
      </c>
      <c r="AJ300" s="11" t="s">
        <v>160</v>
      </c>
      <c r="AK300" s="80" t="str">
        <f t="shared" si="89"/>
        <v>S-Fold Motorised Saber 240v Switch TrackBlackStraight</v>
      </c>
      <c r="AL300" s="80" t="s">
        <v>274</v>
      </c>
      <c r="AM300" s="80" t="s">
        <v>120</v>
      </c>
      <c r="AN300" s="80">
        <v>0</v>
      </c>
      <c r="AO300" s="80" t="s">
        <v>181</v>
      </c>
    </row>
    <row r="301" spans="10:41" ht="16.2" customHeight="1">
      <c r="J301" s="80" t="s">
        <v>725</v>
      </c>
      <c r="K301" s="80" t="s">
        <v>283</v>
      </c>
      <c r="L301" t="s">
        <v>183</v>
      </c>
      <c r="M301" t="s">
        <v>159</v>
      </c>
      <c r="N301" t="str">
        <f t="shared" si="81"/>
        <v>SingleDesigner 25 Cord DrawnBelow Normal 2075Single Face Fix Brackets</v>
      </c>
      <c r="O301">
        <v>70</v>
      </c>
      <c r="P301">
        <v>35</v>
      </c>
      <c r="Q301" s="80">
        <v>0</v>
      </c>
      <c r="R301" s="80">
        <f t="shared" si="82"/>
        <v>-35</v>
      </c>
      <c r="AD301"/>
      <c r="AH301" s="86" t="s">
        <v>5360</v>
      </c>
      <c r="AI301" s="11" t="s">
        <v>191</v>
      </c>
      <c r="AJ301" s="11" t="s">
        <v>11556</v>
      </c>
      <c r="AK301" s="80" t="str">
        <f t="shared" si="89"/>
        <v>S-Fold Motorised Saber 240v Switch TrackWhiteBent</v>
      </c>
      <c r="AL301" s="80" t="s">
        <v>274</v>
      </c>
      <c r="AM301" s="80" t="s">
        <v>120</v>
      </c>
      <c r="AN301" s="80">
        <v>0</v>
      </c>
      <c r="AO301" s="80" t="s">
        <v>181</v>
      </c>
    </row>
    <row r="302" spans="10:41" ht="16.2" customHeight="1">
      <c r="J302" s="80" t="s">
        <v>746</v>
      </c>
      <c r="K302" s="80" t="s">
        <v>283</v>
      </c>
      <c r="L302" t="s">
        <v>182</v>
      </c>
      <c r="M302" t="s">
        <v>159</v>
      </c>
      <c r="N302" t="str">
        <f t="shared" si="81"/>
        <v>Double FrontDesigner 25 Cord DrawnBetween Level and Normal 2073Single Face Fix Brackets</v>
      </c>
      <c r="O302">
        <v>48</v>
      </c>
      <c r="P302">
        <v>35</v>
      </c>
      <c r="Q302" s="80">
        <v>0</v>
      </c>
      <c r="R302" s="80">
        <f t="shared" si="82"/>
        <v>-13</v>
      </c>
      <c r="AD302"/>
      <c r="AH302" s="86" t="s">
        <v>5360</v>
      </c>
      <c r="AI302" s="11" t="s">
        <v>191</v>
      </c>
      <c r="AJ302" s="11" t="s">
        <v>160</v>
      </c>
      <c r="AK302" s="80" t="str">
        <f t="shared" si="89"/>
        <v>S-Fold Motorised Saber 240v Switch TrackWhiteStraight</v>
      </c>
      <c r="AL302" s="80" t="s">
        <v>274</v>
      </c>
      <c r="AM302" s="80" t="s">
        <v>120</v>
      </c>
      <c r="AN302" s="80">
        <v>0</v>
      </c>
      <c r="AO302" s="80" t="s">
        <v>181</v>
      </c>
    </row>
    <row r="303" spans="10:41" ht="16.2" customHeight="1">
      <c r="J303" s="80" t="s">
        <v>747</v>
      </c>
      <c r="K303" s="80" t="s">
        <v>283</v>
      </c>
      <c r="L303" t="s">
        <v>182</v>
      </c>
      <c r="M303" t="s">
        <v>159</v>
      </c>
      <c r="N303" t="str">
        <f t="shared" si="81"/>
        <v>Double RearDesigner 25 Cord DrawnBetween Level and Normal 2073Single Face Fix Brackets</v>
      </c>
      <c r="O303">
        <v>48</v>
      </c>
      <c r="P303">
        <v>45</v>
      </c>
      <c r="Q303" s="80">
        <v>0</v>
      </c>
      <c r="R303" s="80">
        <f t="shared" si="82"/>
        <v>-3</v>
      </c>
      <c r="AD303"/>
      <c r="AH303" s="86" t="s">
        <v>5447</v>
      </c>
      <c r="AI303" s="11" t="s">
        <v>191</v>
      </c>
      <c r="AJ303" s="11" t="s">
        <v>11556</v>
      </c>
      <c r="AK303" s="80" t="str">
        <f t="shared" si="90" ref="AK303:AK312">CONCATENATE(AH303,AI303,AJ303)</f>
        <v>S-Fold Motorised Somfy 12v Remote Curtain TrackWhiteBent</v>
      </c>
      <c r="AL303" s="80" t="s">
        <v>7431</v>
      </c>
      <c r="AM303" s="80" t="s">
        <v>120</v>
      </c>
      <c r="AN303" s="80">
        <v>0</v>
      </c>
      <c r="AO303" s="80" t="s">
        <v>181</v>
      </c>
    </row>
    <row r="304" spans="10:41" ht="16.2" customHeight="1">
      <c r="J304" s="80" t="s">
        <v>725</v>
      </c>
      <c r="K304" s="80" t="s">
        <v>283</v>
      </c>
      <c r="L304" t="s">
        <v>182</v>
      </c>
      <c r="M304" t="s">
        <v>159</v>
      </c>
      <c r="N304" t="str">
        <f t="shared" si="81"/>
        <v>SingleDesigner 25 Cord DrawnBetween Level and Normal 2073Single Face Fix Brackets</v>
      </c>
      <c r="O304">
        <v>47</v>
      </c>
      <c r="P304">
        <v>35</v>
      </c>
      <c r="Q304" s="80">
        <v>0</v>
      </c>
      <c r="R304" s="80">
        <f t="shared" si="82"/>
        <v>-12</v>
      </c>
      <c r="AD304"/>
      <c r="AH304" s="86" t="s">
        <v>5447</v>
      </c>
      <c r="AI304" s="11" t="s">
        <v>191</v>
      </c>
      <c r="AJ304" s="11" t="s">
        <v>160</v>
      </c>
      <c r="AK304" s="80" t="str">
        <f t="shared" si="90"/>
        <v>S-Fold Motorised Somfy 12v Remote Curtain TrackWhiteStraight</v>
      </c>
      <c r="AL304" s="80" t="s">
        <v>7431</v>
      </c>
      <c r="AM304" s="80" t="s">
        <v>120</v>
      </c>
      <c r="AN304" s="80">
        <v>0</v>
      </c>
      <c r="AO304" s="80" t="s">
        <v>181</v>
      </c>
    </row>
    <row r="305" spans="10:41" ht="16.2" customHeight="1">
      <c r="J305" s="80" t="s">
        <v>746</v>
      </c>
      <c r="K305" s="80" t="s">
        <v>283</v>
      </c>
      <c r="L305" t="s">
        <v>184</v>
      </c>
      <c r="M305" t="s">
        <v>159</v>
      </c>
      <c r="N305" t="str">
        <f t="shared" si="81"/>
        <v>Double FrontDesigner 25 Cord DrawnDecorator 2071Single Face Fix Brackets</v>
      </c>
      <c r="O305">
        <v>20</v>
      </c>
      <c r="P305">
        <v>35</v>
      </c>
      <c r="Q305" s="80">
        <v>0</v>
      </c>
      <c r="R305" s="80">
        <f t="shared" si="82"/>
        <v>15</v>
      </c>
      <c r="AD305"/>
      <c r="AH305" s="86" t="s">
        <v>5449</v>
      </c>
      <c r="AI305" s="11" t="s">
        <v>191</v>
      </c>
      <c r="AJ305" s="11" t="s">
        <v>11556</v>
      </c>
      <c r="AK305" s="80" t="str">
        <f t="shared" si="90"/>
        <v>S-Fold Motorised Somfy 240v Remote Curtain TrackWhiteBent</v>
      </c>
      <c r="AL305" s="80" t="s">
        <v>7431</v>
      </c>
      <c r="AM305" s="80" t="s">
        <v>120</v>
      </c>
      <c r="AN305" s="80">
        <v>0</v>
      </c>
      <c r="AO305" s="80" t="s">
        <v>181</v>
      </c>
    </row>
    <row r="306" spans="10:41" ht="16.2" customHeight="1">
      <c r="J306" s="80" t="s">
        <v>747</v>
      </c>
      <c r="K306" s="80" t="s">
        <v>283</v>
      </c>
      <c r="L306" t="s">
        <v>184</v>
      </c>
      <c r="M306" t="s">
        <v>159</v>
      </c>
      <c r="N306" t="str">
        <f t="shared" si="81"/>
        <v>Double RearDesigner 25 Cord DrawnDecorator 2071Single Face Fix Brackets</v>
      </c>
      <c r="O306">
        <v>20</v>
      </c>
      <c r="P306">
        <v>45</v>
      </c>
      <c r="Q306" s="80">
        <v>0</v>
      </c>
      <c r="R306" s="80">
        <f t="shared" si="82"/>
        <v>25</v>
      </c>
      <c r="AD306"/>
      <c r="AH306" s="86" t="s">
        <v>5449</v>
      </c>
      <c r="AI306" s="11" t="s">
        <v>191</v>
      </c>
      <c r="AJ306" s="11" t="s">
        <v>160</v>
      </c>
      <c r="AK306" s="80" t="str">
        <f t="shared" si="90"/>
        <v>S-Fold Motorised Somfy 240v Remote Curtain TrackWhiteStraight</v>
      </c>
      <c r="AL306" s="80" t="s">
        <v>7431</v>
      </c>
      <c r="AM306" s="80" t="s">
        <v>120</v>
      </c>
      <c r="AN306" s="80">
        <v>0</v>
      </c>
      <c r="AO306" s="80" t="s">
        <v>181</v>
      </c>
    </row>
    <row r="307" spans="10:41" ht="16.2" customHeight="1">
      <c r="J307" s="80" t="s">
        <v>725</v>
      </c>
      <c r="K307" s="80" t="s">
        <v>283</v>
      </c>
      <c r="L307" t="s">
        <v>184</v>
      </c>
      <c r="M307" t="s">
        <v>159</v>
      </c>
      <c r="N307" t="str">
        <f t="shared" si="81"/>
        <v>SingleDesigner 25 Cord DrawnDecorator 2071Single Face Fix Brackets</v>
      </c>
      <c r="O307">
        <v>20</v>
      </c>
      <c r="P307">
        <v>35</v>
      </c>
      <c r="Q307" s="80">
        <v>0</v>
      </c>
      <c r="R307" s="80">
        <f t="shared" si="82"/>
        <v>15</v>
      </c>
      <c r="AD307"/>
      <c r="AH307" s="86" t="s">
        <v>5448</v>
      </c>
      <c r="AI307" s="11" t="s">
        <v>191</v>
      </c>
      <c r="AJ307" s="11" t="s">
        <v>11556</v>
      </c>
      <c r="AK307" s="80" t="str">
        <f t="shared" si="90"/>
        <v>S-Fold Motorised Somfy 240v Switch Curtain TrackWhiteBent</v>
      </c>
      <c r="AL307" s="80" t="s">
        <v>7431</v>
      </c>
      <c r="AM307" s="80" t="s">
        <v>120</v>
      </c>
      <c r="AN307" s="80">
        <v>0</v>
      </c>
      <c r="AO307" s="80" t="s">
        <v>181</v>
      </c>
    </row>
    <row r="308" spans="10:41" ht="16.2" customHeight="1">
      <c r="J308" s="80" t="s">
        <v>746</v>
      </c>
      <c r="K308" s="80" t="s">
        <v>283</v>
      </c>
      <c r="L308" t="s">
        <v>6468</v>
      </c>
      <c r="M308" t="s">
        <v>159</v>
      </c>
      <c r="N308" t="str">
        <f t="shared" si="81"/>
        <v>Double FrontDesigner 25 Cord DrawnGather Hook Bottom PocketSingle Face Fix Brackets</v>
      </c>
      <c r="O308">
        <v>60</v>
      </c>
      <c r="P308">
        <v>35</v>
      </c>
      <c r="Q308" s="80">
        <v>0</v>
      </c>
      <c r="R308" s="80">
        <f t="shared" si="82"/>
        <v>-25</v>
      </c>
      <c r="AD308"/>
      <c r="AH308" s="86" t="s">
        <v>5448</v>
      </c>
      <c r="AI308" s="11" t="s">
        <v>191</v>
      </c>
      <c r="AJ308" s="11" t="s">
        <v>160</v>
      </c>
      <c r="AK308" s="80" t="str">
        <f t="shared" si="90"/>
        <v>S-Fold Motorised Somfy 240v Switch Curtain TrackWhiteStraight</v>
      </c>
      <c r="AL308" s="80" t="s">
        <v>7431</v>
      </c>
      <c r="AM308" s="80" t="s">
        <v>120</v>
      </c>
      <c r="AN308" s="80">
        <v>0</v>
      </c>
      <c r="AO308" s="80" t="s">
        <v>181</v>
      </c>
    </row>
    <row r="309" spans="10:41" ht="16.2" customHeight="1">
      <c r="J309" s="80" t="s">
        <v>725</v>
      </c>
      <c r="K309" s="80" t="s">
        <v>283</v>
      </c>
      <c r="L309" t="s">
        <v>6468</v>
      </c>
      <c r="M309" t="s">
        <v>159</v>
      </c>
      <c r="N309" t="str">
        <f t="shared" si="81"/>
        <v>SingleDesigner 25 Cord DrawnGather Hook Bottom PocketSingle Face Fix Brackets</v>
      </c>
      <c r="O309">
        <v>60</v>
      </c>
      <c r="P309">
        <v>35</v>
      </c>
      <c r="Q309" s="80">
        <v>0</v>
      </c>
      <c r="R309" s="80">
        <f t="shared" si="82"/>
        <v>-25</v>
      </c>
      <c r="AD309"/>
      <c r="AH309" s="87" t="s">
        <v>132</v>
      </c>
      <c r="AI309" s="87" t="s">
        <v>275</v>
      </c>
      <c r="AJ309" s="11" t="s">
        <v>11556</v>
      </c>
      <c r="AK309" s="80" t="str">
        <f t="shared" si="90"/>
        <v>Streamline Cord OperationBirch WhiteBent</v>
      </c>
      <c r="AL309" s="80" t="s">
        <v>276</v>
      </c>
      <c r="AM309" s="80" t="s">
        <v>181</v>
      </c>
      <c r="AN309" s="80">
        <v>200</v>
      </c>
      <c r="AO309" s="80" t="s">
        <v>120</v>
      </c>
    </row>
    <row r="310" spans="10:41" ht="16.2" customHeight="1">
      <c r="J310" s="80" t="s">
        <v>746</v>
      </c>
      <c r="K310" s="80" t="s">
        <v>283</v>
      </c>
      <c r="L310" t="s">
        <v>229</v>
      </c>
      <c r="M310" t="s">
        <v>159</v>
      </c>
      <c r="N310" t="str">
        <f t="shared" si="81"/>
        <v>Double FrontDesigner 25 Cord DrawnGather Hook LevelSingle Face Fix Brackets</v>
      </c>
      <c r="O310">
        <v>20</v>
      </c>
      <c r="P310">
        <v>35</v>
      </c>
      <c r="Q310" s="80">
        <v>0</v>
      </c>
      <c r="R310" s="80">
        <f t="shared" si="82"/>
        <v>15</v>
      </c>
      <c r="AD310"/>
      <c r="AH310" s="87" t="s">
        <v>132</v>
      </c>
      <c r="AI310" s="87" t="s">
        <v>275</v>
      </c>
      <c r="AJ310" s="11" t="s">
        <v>160</v>
      </c>
      <c r="AK310" s="80" t="str">
        <f t="shared" si="90"/>
        <v>Streamline Cord OperationBirch WhiteStraight</v>
      </c>
      <c r="AL310" s="80" t="s">
        <v>276</v>
      </c>
      <c r="AM310" s="80" t="s">
        <v>181</v>
      </c>
      <c r="AN310" s="80">
        <v>200</v>
      </c>
      <c r="AO310" s="80" t="s">
        <v>120</v>
      </c>
    </row>
    <row r="311" spans="10:41" ht="16.2" customHeight="1">
      <c r="J311" s="80" t="s">
        <v>747</v>
      </c>
      <c r="K311" s="80" t="s">
        <v>283</v>
      </c>
      <c r="L311" t="s">
        <v>229</v>
      </c>
      <c r="M311" t="s">
        <v>159</v>
      </c>
      <c r="N311" t="str">
        <f t="shared" si="81"/>
        <v>Double RearDesigner 25 Cord DrawnGather Hook LevelSingle Face Fix Brackets</v>
      </c>
      <c r="O311">
        <v>20</v>
      </c>
      <c r="P311">
        <v>45</v>
      </c>
      <c r="Q311" s="80">
        <v>0</v>
      </c>
      <c r="R311" s="80">
        <f t="shared" si="82"/>
        <v>25</v>
      </c>
      <c r="AD311"/>
      <c r="AH311" s="87" t="s">
        <v>132</v>
      </c>
      <c r="AI311" s="87" t="s">
        <v>193</v>
      </c>
      <c r="AJ311" s="11" t="s">
        <v>11556</v>
      </c>
      <c r="AK311" s="80" t="str">
        <f t="shared" si="90"/>
        <v>Streamline Cord OperationBlackBent</v>
      </c>
      <c r="AL311" s="80" t="s">
        <v>276</v>
      </c>
      <c r="AM311" s="80" t="s">
        <v>181</v>
      </c>
      <c r="AN311" s="80">
        <v>200</v>
      </c>
      <c r="AO311" s="80" t="s">
        <v>120</v>
      </c>
    </row>
    <row r="312" spans="10:41" ht="16.2" customHeight="1">
      <c r="J312" s="80" t="s">
        <v>725</v>
      </c>
      <c r="K312" s="80" t="s">
        <v>283</v>
      </c>
      <c r="L312" t="s">
        <v>229</v>
      </c>
      <c r="M312" t="s">
        <v>159</v>
      </c>
      <c r="N312" t="str">
        <f t="shared" si="81"/>
        <v>SingleDesigner 25 Cord DrawnGather Hook LevelSingle Face Fix Brackets</v>
      </c>
      <c r="O312">
        <v>20</v>
      </c>
      <c r="P312">
        <v>35</v>
      </c>
      <c r="Q312" s="80">
        <v>0</v>
      </c>
      <c r="R312" s="80">
        <f t="shared" si="82"/>
        <v>15</v>
      </c>
      <c r="AD312"/>
      <c r="AH312" s="87" t="s">
        <v>132</v>
      </c>
      <c r="AI312" s="87" t="s">
        <v>193</v>
      </c>
      <c r="AJ312" s="11" t="s">
        <v>160</v>
      </c>
      <c r="AK312" s="80" t="str">
        <f t="shared" si="90"/>
        <v>Streamline Cord OperationBlackStraight</v>
      </c>
      <c r="AL312" s="80" t="s">
        <v>276</v>
      </c>
      <c r="AM312" s="80" t="s">
        <v>181</v>
      </c>
      <c r="AN312" s="80">
        <v>200</v>
      </c>
      <c r="AO312" s="80" t="s">
        <v>120</v>
      </c>
    </row>
    <row r="313" spans="10:41" ht="16.2" customHeight="1">
      <c r="J313" s="80" t="s">
        <v>746</v>
      </c>
      <c r="K313" s="80" t="s">
        <v>283</v>
      </c>
      <c r="L313" t="s">
        <v>228</v>
      </c>
      <c r="M313" t="s">
        <v>159</v>
      </c>
      <c r="N313" t="str">
        <f t="shared" si="81"/>
        <v>Double FrontDesigner 25 Cord DrawnGather Hook NormalSingle Face Fix Brackets</v>
      </c>
      <c r="O313">
        <v>43</v>
      </c>
      <c r="P313">
        <v>35</v>
      </c>
      <c r="Q313" s="80">
        <v>0</v>
      </c>
      <c r="R313" s="80">
        <f t="shared" si="82"/>
        <v>-8</v>
      </c>
      <c r="AD313"/>
      <c r="AH313" s="87" t="s">
        <v>132</v>
      </c>
      <c r="AI313" s="87" t="s">
        <v>692</v>
      </c>
      <c r="AJ313" s="11" t="s">
        <v>11556</v>
      </c>
      <c r="AK313" s="80" t="str">
        <f t="shared" si="91" ref="AK313:AK320">CONCATENATE(AH313,AI313,AJ313)</f>
        <v>Streamline Cord OperationMatt Black InkBent</v>
      </c>
      <c r="AL313" s="80" t="s">
        <v>276</v>
      </c>
      <c r="AM313" s="80" t="s">
        <v>181</v>
      </c>
      <c r="AN313" s="80">
        <v>200</v>
      </c>
      <c r="AO313" s="80" t="s">
        <v>120</v>
      </c>
    </row>
    <row r="314" spans="10:41" ht="16.2" customHeight="1">
      <c r="J314" s="80" t="s">
        <v>747</v>
      </c>
      <c r="K314" s="80" t="s">
        <v>283</v>
      </c>
      <c r="L314" t="s">
        <v>228</v>
      </c>
      <c r="M314" t="s">
        <v>159</v>
      </c>
      <c r="N314" t="str">
        <f t="shared" si="81"/>
        <v>Double RearDesigner 25 Cord DrawnGather Hook NormalSingle Face Fix Brackets</v>
      </c>
      <c r="O314">
        <v>43</v>
      </c>
      <c r="P314">
        <v>45</v>
      </c>
      <c r="Q314" s="80">
        <v>0</v>
      </c>
      <c r="R314" s="80">
        <f t="shared" si="82"/>
        <v>2</v>
      </c>
      <c r="AD314"/>
      <c r="AH314" s="87" t="s">
        <v>132</v>
      </c>
      <c r="AI314" s="87" t="s">
        <v>692</v>
      </c>
      <c r="AJ314" s="11" t="s">
        <v>160</v>
      </c>
      <c r="AK314" s="80" t="str">
        <f t="shared" si="91"/>
        <v>Streamline Cord OperationMatt Black InkStraight</v>
      </c>
      <c r="AL314" s="80" t="s">
        <v>276</v>
      </c>
      <c r="AM314" s="80" t="s">
        <v>181</v>
      </c>
      <c r="AN314" s="80">
        <v>200</v>
      </c>
      <c r="AO314" s="80" t="s">
        <v>120</v>
      </c>
    </row>
    <row r="315" spans="10:41" ht="16.2" customHeight="1">
      <c r="J315" s="80" t="s">
        <v>725</v>
      </c>
      <c r="K315" s="80" t="s">
        <v>283</v>
      </c>
      <c r="L315" t="s">
        <v>228</v>
      </c>
      <c r="M315" t="s">
        <v>159</v>
      </c>
      <c r="N315" t="str">
        <f t="shared" si="81"/>
        <v>SingleDesigner 25 Cord DrawnGather Hook NormalSingle Face Fix Brackets</v>
      </c>
      <c r="O315">
        <v>43</v>
      </c>
      <c r="P315">
        <v>35</v>
      </c>
      <c r="Q315" s="80">
        <v>0</v>
      </c>
      <c r="R315" s="80">
        <f t="shared" si="82"/>
        <v>-8</v>
      </c>
      <c r="AD315"/>
      <c r="AH315" s="87" t="s">
        <v>132</v>
      </c>
      <c r="AI315" s="87" t="s">
        <v>357</v>
      </c>
      <c r="AJ315" s="11" t="s">
        <v>11556</v>
      </c>
      <c r="AK315" s="80" t="str">
        <f t="shared" si="91"/>
        <v>Streamline Cord OperationMatt SatinBent</v>
      </c>
      <c r="AL315" s="80" t="s">
        <v>276</v>
      </c>
      <c r="AM315" s="80" t="s">
        <v>181</v>
      </c>
      <c r="AN315" s="80">
        <v>200</v>
      </c>
      <c r="AO315" s="80" t="s">
        <v>120</v>
      </c>
    </row>
    <row r="316" spans="10:41" ht="16.2" customHeight="1">
      <c r="J316" s="80" t="s">
        <v>746</v>
      </c>
      <c r="K316" s="80" t="s">
        <v>283</v>
      </c>
      <c r="L316" t="s">
        <v>282</v>
      </c>
      <c r="M316" t="s">
        <v>159</v>
      </c>
      <c r="N316" t="str">
        <f t="shared" si="81"/>
        <v>Double FrontDesigner 25 Cord DrawnLevel 2072Single Face Fix Brackets</v>
      </c>
      <c r="O316">
        <v>38</v>
      </c>
      <c r="P316">
        <v>35</v>
      </c>
      <c r="Q316" s="80">
        <v>0</v>
      </c>
      <c r="R316" s="80">
        <f t="shared" si="82"/>
        <v>-3</v>
      </c>
      <c r="AD316"/>
      <c r="AH316" s="87" t="s">
        <v>132</v>
      </c>
      <c r="AI316" s="87" t="s">
        <v>357</v>
      </c>
      <c r="AJ316" s="11" t="s">
        <v>160</v>
      </c>
      <c r="AK316" s="80" t="str">
        <f t="shared" si="91"/>
        <v>Streamline Cord OperationMatt SatinStraight</v>
      </c>
      <c r="AL316" s="80" t="s">
        <v>276</v>
      </c>
      <c r="AM316" s="80" t="s">
        <v>181</v>
      </c>
      <c r="AN316" s="80">
        <v>200</v>
      </c>
      <c r="AO316" s="80" t="s">
        <v>120</v>
      </c>
    </row>
    <row r="317" spans="10:41" ht="16.2" customHeight="1">
      <c r="J317" s="80" t="s">
        <v>747</v>
      </c>
      <c r="K317" s="80" t="s">
        <v>283</v>
      </c>
      <c r="L317" t="s">
        <v>282</v>
      </c>
      <c r="M317" t="s">
        <v>159</v>
      </c>
      <c r="N317" t="str">
        <f t="shared" si="81"/>
        <v>Double RearDesigner 25 Cord DrawnLevel 2072Single Face Fix Brackets</v>
      </c>
      <c r="O317">
        <v>38</v>
      </c>
      <c r="P317">
        <v>45</v>
      </c>
      <c r="Q317" s="80">
        <v>0</v>
      </c>
      <c r="R317" s="80">
        <f t="shared" si="82"/>
        <v>7</v>
      </c>
      <c r="AD317"/>
      <c r="AH317" s="87" t="s">
        <v>132</v>
      </c>
      <c r="AI317" s="87" t="s">
        <v>191</v>
      </c>
      <c r="AJ317" s="11" t="s">
        <v>11556</v>
      </c>
      <c r="AK317" s="80" t="str">
        <f t="shared" si="91"/>
        <v>Streamline Cord OperationWhiteBent</v>
      </c>
      <c r="AL317" s="80" t="s">
        <v>276</v>
      </c>
      <c r="AM317" s="80" t="s">
        <v>181</v>
      </c>
      <c r="AN317" s="80">
        <v>200</v>
      </c>
      <c r="AO317" s="80" t="s">
        <v>120</v>
      </c>
    </row>
    <row r="318" spans="10:41" ht="16.2" customHeight="1">
      <c r="J318" s="80" t="s">
        <v>725</v>
      </c>
      <c r="K318" s="80" t="s">
        <v>283</v>
      </c>
      <c r="L318" t="s">
        <v>282</v>
      </c>
      <c r="M318" t="s">
        <v>159</v>
      </c>
      <c r="N318" t="str">
        <f t="shared" si="81"/>
        <v>SingleDesigner 25 Cord DrawnLevel 2072Single Face Fix Brackets</v>
      </c>
      <c r="O318">
        <v>35</v>
      </c>
      <c r="P318">
        <v>35</v>
      </c>
      <c r="Q318" s="80">
        <v>0</v>
      </c>
      <c r="R318" s="80">
        <f t="shared" si="82"/>
        <v>0</v>
      </c>
      <c r="AD318"/>
      <c r="AH318" s="87" t="s">
        <v>132</v>
      </c>
      <c r="AI318" s="87" t="s">
        <v>191</v>
      </c>
      <c r="AJ318" s="11" t="s">
        <v>160</v>
      </c>
      <c r="AK318" s="80" t="str">
        <f t="shared" si="91"/>
        <v>Streamline Cord OperationWhiteStraight</v>
      </c>
      <c r="AL318" s="80" t="s">
        <v>276</v>
      </c>
      <c r="AM318" s="80" t="s">
        <v>181</v>
      </c>
      <c r="AN318" s="80">
        <v>200</v>
      </c>
      <c r="AO318" s="80" t="s">
        <v>120</v>
      </c>
    </row>
    <row r="319" spans="10:41" ht="16.2" customHeight="1">
      <c r="J319" s="80" t="s">
        <v>746</v>
      </c>
      <c r="K319" s="80" t="s">
        <v>283</v>
      </c>
      <c r="L319" t="s">
        <v>170</v>
      </c>
      <c r="M319" t="s">
        <v>159</v>
      </c>
      <c r="N319" t="str">
        <f t="shared" si="81"/>
        <v>Double FrontDesigner 25 Cord DrawnNormal 2074Single Face Fix Brackets</v>
      </c>
      <c r="O319">
        <v>60</v>
      </c>
      <c r="P319">
        <v>35</v>
      </c>
      <c r="Q319" s="80">
        <v>0</v>
      </c>
      <c r="R319" s="80">
        <f t="shared" si="82"/>
        <v>-25</v>
      </c>
      <c r="AD319"/>
      <c r="AH319" s="87" t="s">
        <v>144</v>
      </c>
      <c r="AI319" s="87" t="s">
        <v>275</v>
      </c>
      <c r="AJ319" s="11" t="s">
        <v>11556</v>
      </c>
      <c r="AK319" s="80" t="str">
        <f t="shared" si="91"/>
        <v>Streamline Hand OperationBirch WhiteBent</v>
      </c>
      <c r="AL319" s="80" t="s">
        <v>276</v>
      </c>
      <c r="AM319" s="80" t="s">
        <v>181</v>
      </c>
      <c r="AN319" s="80">
        <v>200</v>
      </c>
      <c r="AO319" s="80" t="s">
        <v>120</v>
      </c>
    </row>
    <row r="320" spans="10:41" ht="16.2" customHeight="1">
      <c r="J320" s="80" t="s">
        <v>747</v>
      </c>
      <c r="K320" s="80" t="s">
        <v>283</v>
      </c>
      <c r="L320" t="s">
        <v>170</v>
      </c>
      <c r="M320" t="s">
        <v>159</v>
      </c>
      <c r="N320" t="str">
        <f t="shared" si="81"/>
        <v>Double RearDesigner 25 Cord DrawnNormal 2074Single Face Fix Brackets</v>
      </c>
      <c r="O320">
        <v>60</v>
      </c>
      <c r="P320">
        <v>45</v>
      </c>
      <c r="Q320" s="80">
        <v>0</v>
      </c>
      <c r="R320" s="80">
        <f t="shared" si="82"/>
        <v>-15</v>
      </c>
      <c r="AD320"/>
      <c r="AH320" s="87" t="s">
        <v>144</v>
      </c>
      <c r="AI320" s="87" t="s">
        <v>275</v>
      </c>
      <c r="AJ320" s="11" t="s">
        <v>160</v>
      </c>
      <c r="AK320" s="80" t="str">
        <f t="shared" si="91"/>
        <v>Streamline Hand OperationBirch WhiteStraight</v>
      </c>
      <c r="AL320" s="80" t="s">
        <v>276</v>
      </c>
      <c r="AM320" s="80" t="s">
        <v>181</v>
      </c>
      <c r="AN320" s="80">
        <v>200</v>
      </c>
      <c r="AO320" s="80" t="s">
        <v>120</v>
      </c>
    </row>
    <row r="321" spans="10:41" ht="16.2" customHeight="1">
      <c r="J321" s="80" t="s">
        <v>725</v>
      </c>
      <c r="K321" s="80" t="s">
        <v>283</v>
      </c>
      <c r="L321" t="s">
        <v>170</v>
      </c>
      <c r="M321" t="s">
        <v>159</v>
      </c>
      <c r="N321" t="str">
        <f t="shared" si="81"/>
        <v>SingleDesigner 25 Cord DrawnNormal 2074Single Face Fix Brackets</v>
      </c>
      <c r="O321">
        <v>60</v>
      </c>
      <c r="P321">
        <v>35</v>
      </c>
      <c r="Q321" s="80">
        <v>0</v>
      </c>
      <c r="R321" s="80">
        <f t="shared" si="82"/>
        <v>-25</v>
      </c>
      <c r="AD321"/>
      <c r="AH321" s="87" t="s">
        <v>144</v>
      </c>
      <c r="AI321" s="87" t="s">
        <v>193</v>
      </c>
      <c r="AJ321" s="11" t="s">
        <v>11556</v>
      </c>
      <c r="AK321" s="80" t="str">
        <f t="shared" si="92" ref="AK321:AK326">CONCATENATE(AH321,AI321,AJ321)</f>
        <v>Streamline Hand OperationBlackBent</v>
      </c>
      <c r="AL321" s="80" t="s">
        <v>276</v>
      </c>
      <c r="AM321" s="80" t="s">
        <v>181</v>
      </c>
      <c r="AN321" s="80">
        <v>200</v>
      </c>
      <c r="AO321" s="80" t="s">
        <v>120</v>
      </c>
    </row>
    <row r="322" spans="10:41" ht="16.2" customHeight="1">
      <c r="J322" s="80" t="s">
        <v>746</v>
      </c>
      <c r="K322" s="80" t="s">
        <v>283</v>
      </c>
      <c r="L322" t="s">
        <v>183</v>
      </c>
      <c r="M322" t="s">
        <v>553</v>
      </c>
      <c r="N322" t="str">
        <f t="shared" si="93" ref="N322:N385">(CONCATENATE(J322,K322,L322,M322))</f>
        <v>Double FrontDesigner 25 Cord DrawnBelow Normal 2075Triple Face Fix Brackets</v>
      </c>
      <c r="O322">
        <v>70</v>
      </c>
      <c r="P322">
        <v>35</v>
      </c>
      <c r="Q322" s="80">
        <v>0</v>
      </c>
      <c r="R322" s="80">
        <f t="shared" si="94" ref="R322:R385">SUM(P322)-O322</f>
        <v>-35</v>
      </c>
      <c r="AD322"/>
      <c r="AH322" s="87" t="s">
        <v>144</v>
      </c>
      <c r="AI322" s="87" t="s">
        <v>193</v>
      </c>
      <c r="AJ322" s="11" t="s">
        <v>160</v>
      </c>
      <c r="AK322" s="80" t="str">
        <f t="shared" si="92"/>
        <v>Streamline Hand OperationBlackStraight</v>
      </c>
      <c r="AL322" s="80" t="s">
        <v>276</v>
      </c>
      <c r="AM322" s="80" t="s">
        <v>181</v>
      </c>
      <c r="AN322" s="80">
        <v>200</v>
      </c>
      <c r="AO322" s="80" t="s">
        <v>120</v>
      </c>
    </row>
    <row r="323" spans="10:41" ht="16.2" customHeight="1">
      <c r="J323" s="80" t="s">
        <v>747</v>
      </c>
      <c r="K323" s="80" t="s">
        <v>283</v>
      </c>
      <c r="L323" t="s">
        <v>183</v>
      </c>
      <c r="M323" t="s">
        <v>553</v>
      </c>
      <c r="N323" t="str">
        <f t="shared" si="93"/>
        <v>Double RearDesigner 25 Cord DrawnBelow Normal 2075Triple Face Fix Brackets</v>
      </c>
      <c r="O323">
        <v>70</v>
      </c>
      <c r="P323">
        <v>45</v>
      </c>
      <c r="Q323" s="80">
        <v>0</v>
      </c>
      <c r="R323" s="80">
        <f t="shared" si="94"/>
        <v>-25</v>
      </c>
      <c r="AD323"/>
      <c r="AH323" s="87" t="s">
        <v>144</v>
      </c>
      <c r="AI323" s="87" t="s">
        <v>692</v>
      </c>
      <c r="AJ323" s="11" t="s">
        <v>11556</v>
      </c>
      <c r="AK323" s="80" t="str">
        <f t="shared" si="92"/>
        <v>Streamline Hand OperationMatt Black InkBent</v>
      </c>
      <c r="AL323" s="80" t="s">
        <v>276</v>
      </c>
      <c r="AM323" s="80" t="s">
        <v>181</v>
      </c>
      <c r="AN323" s="80">
        <v>200</v>
      </c>
      <c r="AO323" s="80" t="s">
        <v>120</v>
      </c>
    </row>
    <row r="324" spans="10:41" ht="16.2" customHeight="1">
      <c r="J324" s="80" t="s">
        <v>725</v>
      </c>
      <c r="K324" s="80" t="s">
        <v>283</v>
      </c>
      <c r="L324" t="s">
        <v>183</v>
      </c>
      <c r="M324" t="s">
        <v>553</v>
      </c>
      <c r="N324" t="str">
        <f t="shared" si="93"/>
        <v>SingleDesigner 25 Cord DrawnBelow Normal 2075Triple Face Fix Brackets</v>
      </c>
      <c r="O324">
        <v>70</v>
      </c>
      <c r="P324">
        <v>35</v>
      </c>
      <c r="Q324" s="80">
        <v>0</v>
      </c>
      <c r="R324" s="80">
        <f t="shared" si="94"/>
        <v>-35</v>
      </c>
      <c r="AD324"/>
      <c r="AH324" s="87" t="s">
        <v>144</v>
      </c>
      <c r="AI324" s="87" t="s">
        <v>692</v>
      </c>
      <c r="AJ324" s="11" t="s">
        <v>160</v>
      </c>
      <c r="AK324" s="80" t="str">
        <f t="shared" si="92"/>
        <v>Streamline Hand OperationMatt Black InkStraight</v>
      </c>
      <c r="AL324" s="80" t="s">
        <v>276</v>
      </c>
      <c r="AM324" s="80" t="s">
        <v>181</v>
      </c>
      <c r="AN324" s="80">
        <v>200</v>
      </c>
      <c r="AO324" s="80" t="s">
        <v>120</v>
      </c>
    </row>
    <row r="325" spans="10:41" ht="16.2" customHeight="1">
      <c r="J325" s="80" t="s">
        <v>746</v>
      </c>
      <c r="K325" s="80" t="s">
        <v>283</v>
      </c>
      <c r="L325" t="s">
        <v>182</v>
      </c>
      <c r="M325" t="s">
        <v>553</v>
      </c>
      <c r="N325" t="str">
        <f t="shared" si="93"/>
        <v>Double FrontDesigner 25 Cord DrawnBetween Level and Normal 2073Triple Face Fix Brackets</v>
      </c>
      <c r="O325">
        <v>48</v>
      </c>
      <c r="P325">
        <v>35</v>
      </c>
      <c r="Q325" s="80">
        <v>0</v>
      </c>
      <c r="R325" s="80">
        <f t="shared" si="94"/>
        <v>-13</v>
      </c>
      <c r="AD325"/>
      <c r="AH325" s="87" t="s">
        <v>144</v>
      </c>
      <c r="AI325" s="87" t="s">
        <v>357</v>
      </c>
      <c r="AJ325" s="11" t="s">
        <v>11556</v>
      </c>
      <c r="AK325" s="80" t="str">
        <f t="shared" si="92"/>
        <v>Streamline Hand OperationMatt SatinBent</v>
      </c>
      <c r="AL325" s="80" t="s">
        <v>276</v>
      </c>
      <c r="AM325" s="80" t="s">
        <v>181</v>
      </c>
      <c r="AN325" s="80">
        <v>200</v>
      </c>
      <c r="AO325" s="80" t="s">
        <v>120</v>
      </c>
    </row>
    <row r="326" spans="10:41" ht="16.2" customHeight="1">
      <c r="J326" s="80" t="s">
        <v>747</v>
      </c>
      <c r="K326" s="80" t="s">
        <v>283</v>
      </c>
      <c r="L326" t="s">
        <v>182</v>
      </c>
      <c r="M326" t="s">
        <v>553</v>
      </c>
      <c r="N326" t="str">
        <f t="shared" si="93"/>
        <v>Double RearDesigner 25 Cord DrawnBetween Level and Normal 2073Triple Face Fix Brackets</v>
      </c>
      <c r="O326">
        <v>48</v>
      </c>
      <c r="P326">
        <v>45</v>
      </c>
      <c r="Q326" s="80">
        <v>0</v>
      </c>
      <c r="R326" s="80">
        <f t="shared" si="94"/>
        <v>-3</v>
      </c>
      <c r="AD326"/>
      <c r="AH326" s="87" t="s">
        <v>144</v>
      </c>
      <c r="AI326" s="87" t="s">
        <v>357</v>
      </c>
      <c r="AJ326" s="11" t="s">
        <v>160</v>
      </c>
      <c r="AK326" s="80" t="str">
        <f t="shared" si="92"/>
        <v>Streamline Hand OperationMatt SatinStraight</v>
      </c>
      <c r="AL326" s="80" t="s">
        <v>276</v>
      </c>
      <c r="AM326" s="80" t="s">
        <v>181</v>
      </c>
      <c r="AN326" s="80">
        <v>200</v>
      </c>
      <c r="AO326" s="80" t="s">
        <v>120</v>
      </c>
    </row>
    <row r="327" spans="10:41" ht="16.2" customHeight="1">
      <c r="J327" s="80" t="s">
        <v>725</v>
      </c>
      <c r="K327" s="80" t="s">
        <v>283</v>
      </c>
      <c r="L327" t="s">
        <v>182</v>
      </c>
      <c r="M327" t="s">
        <v>553</v>
      </c>
      <c r="N327" t="str">
        <f t="shared" si="93"/>
        <v>SingleDesigner 25 Cord DrawnBetween Level and Normal 2073Triple Face Fix Brackets</v>
      </c>
      <c r="O327">
        <v>47</v>
      </c>
      <c r="P327">
        <v>35</v>
      </c>
      <c r="Q327" s="80">
        <v>0</v>
      </c>
      <c r="R327" s="80">
        <f t="shared" si="94"/>
        <v>-12</v>
      </c>
      <c r="AD327"/>
      <c r="AH327" s="87" t="s">
        <v>144</v>
      </c>
      <c r="AI327" s="87" t="s">
        <v>191</v>
      </c>
      <c r="AJ327" s="11" t="s">
        <v>11556</v>
      </c>
      <c r="AK327" s="80" t="str">
        <f t="shared" si="95" ref="AK327:AK334">CONCATENATE(AH327,AI327,AJ327)</f>
        <v>Streamline Hand OperationWhiteBent</v>
      </c>
      <c r="AL327" s="80" t="s">
        <v>276</v>
      </c>
      <c r="AM327" s="80" t="s">
        <v>181</v>
      </c>
      <c r="AN327" s="80">
        <v>200</v>
      </c>
      <c r="AO327" s="80" t="s">
        <v>120</v>
      </c>
    </row>
    <row r="328" spans="10:41" ht="16.2" customHeight="1">
      <c r="J328" s="80" t="s">
        <v>746</v>
      </c>
      <c r="K328" s="80" t="s">
        <v>283</v>
      </c>
      <c r="L328" t="s">
        <v>184</v>
      </c>
      <c r="M328" t="s">
        <v>553</v>
      </c>
      <c r="N328" t="str">
        <f t="shared" si="93"/>
        <v>Double FrontDesigner 25 Cord DrawnDecorator 2071Triple Face Fix Brackets</v>
      </c>
      <c r="O328">
        <v>20</v>
      </c>
      <c r="P328">
        <v>35</v>
      </c>
      <c r="Q328" s="80">
        <v>0</v>
      </c>
      <c r="R328" s="80">
        <f t="shared" si="94"/>
        <v>15</v>
      </c>
      <c r="AD328"/>
      <c r="AH328" s="87" t="s">
        <v>144</v>
      </c>
      <c r="AI328" s="87" t="s">
        <v>191</v>
      </c>
      <c r="AJ328" s="11" t="s">
        <v>160</v>
      </c>
      <c r="AK328" s="80" t="str">
        <f t="shared" si="95"/>
        <v>Streamline Hand OperationWhiteStraight</v>
      </c>
      <c r="AL328" s="80" t="s">
        <v>276</v>
      </c>
      <c r="AM328" s="80" t="s">
        <v>181</v>
      </c>
      <c r="AN328" s="80">
        <v>200</v>
      </c>
      <c r="AO328" s="80" t="s">
        <v>120</v>
      </c>
    </row>
    <row r="329" spans="10:41" ht="16.2" customHeight="1">
      <c r="J329" s="80" t="s">
        <v>747</v>
      </c>
      <c r="K329" s="80" t="s">
        <v>283</v>
      </c>
      <c r="L329" t="s">
        <v>184</v>
      </c>
      <c r="M329" t="s">
        <v>553</v>
      </c>
      <c r="N329" t="str">
        <f t="shared" si="93"/>
        <v>Double RearDesigner 25 Cord DrawnDecorator 2071Triple Face Fix Brackets</v>
      </c>
      <c r="O329">
        <v>20</v>
      </c>
      <c r="P329">
        <v>45</v>
      </c>
      <c r="Q329" s="80">
        <v>0</v>
      </c>
      <c r="R329" s="80">
        <f t="shared" si="94"/>
        <v>25</v>
      </c>
      <c r="AD329"/>
      <c r="AH329" s="86" t="s">
        <v>371</v>
      </c>
      <c r="AI329" s="11" t="s">
        <v>193</v>
      </c>
      <c r="AJ329" s="11" t="s">
        <v>11556</v>
      </c>
      <c r="AK329" s="80" t="str">
        <f t="shared" si="95"/>
        <v>System 20 Light Commercial Track Cord DrawnBlackBent</v>
      </c>
      <c r="AL329" s="80" t="s">
        <v>274</v>
      </c>
      <c r="AM329" s="80" t="s">
        <v>181</v>
      </c>
      <c r="AN329" s="80">
        <v>200</v>
      </c>
      <c r="AO329" s="80" t="s">
        <v>120</v>
      </c>
    </row>
    <row r="330" spans="10:41" ht="16.2" customHeight="1">
      <c r="J330" s="80" t="s">
        <v>725</v>
      </c>
      <c r="K330" s="80" t="s">
        <v>283</v>
      </c>
      <c r="L330" t="s">
        <v>184</v>
      </c>
      <c r="M330" t="s">
        <v>553</v>
      </c>
      <c r="N330" t="str">
        <f t="shared" si="93"/>
        <v>SingleDesigner 25 Cord DrawnDecorator 2071Triple Face Fix Brackets</v>
      </c>
      <c r="O330">
        <v>20</v>
      </c>
      <c r="P330">
        <v>35</v>
      </c>
      <c r="Q330" s="80">
        <v>0</v>
      </c>
      <c r="R330" s="80">
        <f t="shared" si="94"/>
        <v>15</v>
      </c>
      <c r="AD330"/>
      <c r="AH330" s="86" t="s">
        <v>371</v>
      </c>
      <c r="AI330" s="11" t="s">
        <v>193</v>
      </c>
      <c r="AJ330" s="11" t="s">
        <v>160</v>
      </c>
      <c r="AK330" s="80" t="str">
        <f t="shared" si="95"/>
        <v>System 20 Light Commercial Track Cord DrawnBlackStraight</v>
      </c>
      <c r="AL330" s="80" t="s">
        <v>276</v>
      </c>
      <c r="AM330" s="80" t="s">
        <v>181</v>
      </c>
      <c r="AN330" s="80">
        <v>200</v>
      </c>
      <c r="AO330" s="80" t="s">
        <v>120</v>
      </c>
    </row>
    <row r="331" spans="10:41" ht="16.2" customHeight="1">
      <c r="J331" s="80" t="s">
        <v>746</v>
      </c>
      <c r="K331" s="80" t="s">
        <v>283</v>
      </c>
      <c r="L331" t="s">
        <v>6468</v>
      </c>
      <c r="M331" t="s">
        <v>553</v>
      </c>
      <c r="N331" t="str">
        <f t="shared" si="93"/>
        <v>Double FrontDesigner 25 Cord DrawnGather Hook Bottom PocketTriple Face Fix Brackets</v>
      </c>
      <c r="O331">
        <v>60</v>
      </c>
      <c r="P331">
        <v>35</v>
      </c>
      <c r="Q331" s="80">
        <v>0</v>
      </c>
      <c r="R331" s="80">
        <f t="shared" si="94"/>
        <v>-25</v>
      </c>
      <c r="AD331"/>
      <c r="AH331" s="86" t="s">
        <v>371</v>
      </c>
      <c r="AI331" s="11" t="s">
        <v>692</v>
      </c>
      <c r="AJ331" s="11" t="s">
        <v>11556</v>
      </c>
      <c r="AK331" s="80" t="str">
        <f t="shared" si="95"/>
        <v>System 20 Light Commercial Track Cord DrawnMatt Black InkBent</v>
      </c>
      <c r="AL331" s="80" t="s">
        <v>274</v>
      </c>
      <c r="AM331" s="80" t="s">
        <v>181</v>
      </c>
      <c r="AN331" s="80">
        <v>200</v>
      </c>
      <c r="AO331" s="80" t="s">
        <v>120</v>
      </c>
    </row>
    <row r="332" spans="10:41" ht="16.2" customHeight="1">
      <c r="J332" s="80" t="s">
        <v>725</v>
      </c>
      <c r="K332" s="80" t="s">
        <v>283</v>
      </c>
      <c r="L332" t="s">
        <v>6468</v>
      </c>
      <c r="M332" t="s">
        <v>553</v>
      </c>
      <c r="N332" t="str">
        <f t="shared" si="93"/>
        <v>SingleDesigner 25 Cord DrawnGather Hook Bottom PocketTriple Face Fix Brackets</v>
      </c>
      <c r="O332">
        <v>60</v>
      </c>
      <c r="P332">
        <v>35</v>
      </c>
      <c r="Q332" s="80">
        <v>0</v>
      </c>
      <c r="R332" s="80">
        <f t="shared" si="94"/>
        <v>-25</v>
      </c>
      <c r="AD332"/>
      <c r="AH332" s="86" t="s">
        <v>371</v>
      </c>
      <c r="AI332" s="11" t="s">
        <v>692</v>
      </c>
      <c r="AJ332" s="11" t="s">
        <v>160</v>
      </c>
      <c r="AK332" s="80" t="str">
        <f t="shared" si="95"/>
        <v>System 20 Light Commercial Track Cord DrawnMatt Black InkStraight</v>
      </c>
      <c r="AL332" s="80" t="s">
        <v>276</v>
      </c>
      <c r="AM332" s="80" t="s">
        <v>181</v>
      </c>
      <c r="AN332" s="80">
        <v>200</v>
      </c>
      <c r="AO332" s="80" t="s">
        <v>120</v>
      </c>
    </row>
    <row r="333" spans="10:41" ht="16.2" customHeight="1">
      <c r="J333" s="80" t="s">
        <v>746</v>
      </c>
      <c r="K333" s="80" t="s">
        <v>283</v>
      </c>
      <c r="L333" t="s">
        <v>229</v>
      </c>
      <c r="M333" t="s">
        <v>553</v>
      </c>
      <c r="N333" t="str">
        <f t="shared" si="93"/>
        <v>Double FrontDesigner 25 Cord DrawnGather Hook LevelTriple Face Fix Brackets</v>
      </c>
      <c r="O333">
        <v>20</v>
      </c>
      <c r="P333">
        <v>35</v>
      </c>
      <c r="Q333" s="80">
        <v>0</v>
      </c>
      <c r="R333" s="80">
        <f t="shared" si="94"/>
        <v>15</v>
      </c>
      <c r="AD333"/>
      <c r="AH333" s="86" t="s">
        <v>371</v>
      </c>
      <c r="AI333" s="11" t="s">
        <v>191</v>
      </c>
      <c r="AJ333" s="11" t="s">
        <v>11556</v>
      </c>
      <c r="AK333" s="80" t="str">
        <f t="shared" si="95"/>
        <v>System 20 Light Commercial Track Cord DrawnWhiteBent</v>
      </c>
      <c r="AL333" s="80" t="s">
        <v>274</v>
      </c>
      <c r="AM333" s="80" t="s">
        <v>181</v>
      </c>
      <c r="AN333" s="80">
        <v>200</v>
      </c>
      <c r="AO333" s="80" t="s">
        <v>120</v>
      </c>
    </row>
    <row r="334" spans="10:41" ht="16.2" customHeight="1">
      <c r="J334" s="80" t="s">
        <v>747</v>
      </c>
      <c r="K334" s="80" t="s">
        <v>283</v>
      </c>
      <c r="L334" t="s">
        <v>229</v>
      </c>
      <c r="M334" t="s">
        <v>553</v>
      </c>
      <c r="N334" t="str">
        <f t="shared" si="93"/>
        <v>Double RearDesigner 25 Cord DrawnGather Hook LevelTriple Face Fix Brackets</v>
      </c>
      <c r="O334">
        <v>20</v>
      </c>
      <c r="P334">
        <v>45</v>
      </c>
      <c r="Q334" s="80">
        <v>0</v>
      </c>
      <c r="R334" s="80">
        <f t="shared" si="94"/>
        <v>25</v>
      </c>
      <c r="AD334"/>
      <c r="AH334" s="86" t="s">
        <v>371</v>
      </c>
      <c r="AI334" s="11" t="s">
        <v>191</v>
      </c>
      <c r="AJ334" s="11" t="s">
        <v>160</v>
      </c>
      <c r="AK334" s="80" t="str">
        <f t="shared" si="95"/>
        <v>System 20 Light Commercial Track Cord DrawnWhiteStraight</v>
      </c>
      <c r="AL334" s="80" t="s">
        <v>276</v>
      </c>
      <c r="AM334" s="80" t="s">
        <v>181</v>
      </c>
      <c r="AN334" s="80">
        <v>200</v>
      </c>
      <c r="AO334" s="80" t="s">
        <v>120</v>
      </c>
    </row>
    <row r="335" spans="10:41" ht="16.2" customHeight="1">
      <c r="J335" s="80" t="s">
        <v>725</v>
      </c>
      <c r="K335" s="80" t="s">
        <v>283</v>
      </c>
      <c r="L335" t="s">
        <v>229</v>
      </c>
      <c r="M335" t="s">
        <v>553</v>
      </c>
      <c r="N335" t="str">
        <f t="shared" si="93"/>
        <v>SingleDesigner 25 Cord DrawnGather Hook LevelTriple Face Fix Brackets</v>
      </c>
      <c r="O335">
        <v>20</v>
      </c>
      <c r="P335">
        <v>35</v>
      </c>
      <c r="Q335" s="80">
        <v>0</v>
      </c>
      <c r="R335" s="80">
        <f t="shared" si="94"/>
        <v>15</v>
      </c>
      <c r="AD335"/>
      <c r="AH335" s="86" t="s">
        <v>372</v>
      </c>
      <c r="AI335" s="11" t="s">
        <v>193</v>
      </c>
      <c r="AJ335" s="11" t="s">
        <v>11556</v>
      </c>
      <c r="AK335" s="80" t="str">
        <f t="shared" si="96" ref="AK335:AK342">CONCATENATE(AH335,AI335,AJ335)</f>
        <v>System 20 Light Commercial Track Hand DrawnBlackBent</v>
      </c>
      <c r="AL335" s="80" t="s">
        <v>274</v>
      </c>
      <c r="AM335" s="80" t="s">
        <v>181</v>
      </c>
      <c r="AN335" s="80">
        <v>200</v>
      </c>
      <c r="AO335" s="80" t="s">
        <v>120</v>
      </c>
    </row>
    <row r="336" spans="10:41" ht="16.2" customHeight="1">
      <c r="J336" s="80" t="s">
        <v>746</v>
      </c>
      <c r="K336" s="80" t="s">
        <v>283</v>
      </c>
      <c r="L336" t="s">
        <v>228</v>
      </c>
      <c r="M336" t="s">
        <v>553</v>
      </c>
      <c r="N336" t="str">
        <f t="shared" si="93"/>
        <v>Double FrontDesigner 25 Cord DrawnGather Hook NormalTriple Face Fix Brackets</v>
      </c>
      <c r="O336">
        <v>43</v>
      </c>
      <c r="P336">
        <v>35</v>
      </c>
      <c r="Q336" s="80">
        <v>0</v>
      </c>
      <c r="R336" s="80">
        <f t="shared" si="94"/>
        <v>-8</v>
      </c>
      <c r="AD336"/>
      <c r="AH336" s="86" t="s">
        <v>372</v>
      </c>
      <c r="AI336" s="11" t="s">
        <v>193</v>
      </c>
      <c r="AJ336" s="11" t="s">
        <v>160</v>
      </c>
      <c r="AK336" s="80" t="str">
        <f t="shared" si="96"/>
        <v>System 20 Light Commercial Track Hand DrawnBlackStraight</v>
      </c>
      <c r="AL336" s="80" t="s">
        <v>276</v>
      </c>
      <c r="AM336" s="80" t="s">
        <v>181</v>
      </c>
      <c r="AN336" s="80">
        <v>200</v>
      </c>
      <c r="AO336" s="80" t="s">
        <v>120</v>
      </c>
    </row>
    <row r="337" spans="10:41" ht="16.2" customHeight="1">
      <c r="J337" s="80" t="s">
        <v>747</v>
      </c>
      <c r="K337" s="80" t="s">
        <v>283</v>
      </c>
      <c r="L337" t="s">
        <v>228</v>
      </c>
      <c r="M337" t="s">
        <v>553</v>
      </c>
      <c r="N337" t="str">
        <f t="shared" si="93"/>
        <v>Double RearDesigner 25 Cord DrawnGather Hook NormalTriple Face Fix Brackets</v>
      </c>
      <c r="O337">
        <v>43</v>
      </c>
      <c r="P337">
        <v>45</v>
      </c>
      <c r="Q337" s="80">
        <v>0</v>
      </c>
      <c r="R337" s="80">
        <f t="shared" si="94"/>
        <v>2</v>
      </c>
      <c r="AD337"/>
      <c r="AH337" s="86" t="s">
        <v>372</v>
      </c>
      <c r="AI337" s="11" t="s">
        <v>692</v>
      </c>
      <c r="AJ337" s="11" t="s">
        <v>11556</v>
      </c>
      <c r="AK337" s="80" t="str">
        <f t="shared" si="96"/>
        <v>System 20 Light Commercial Track Hand DrawnMatt Black InkBent</v>
      </c>
      <c r="AL337" s="80" t="s">
        <v>274</v>
      </c>
      <c r="AM337" s="80" t="s">
        <v>181</v>
      </c>
      <c r="AN337" s="80">
        <v>200</v>
      </c>
      <c r="AO337" s="80" t="s">
        <v>120</v>
      </c>
    </row>
    <row r="338" spans="10:41" ht="16.2" customHeight="1">
      <c r="J338" s="80" t="s">
        <v>725</v>
      </c>
      <c r="K338" s="80" t="s">
        <v>283</v>
      </c>
      <c r="L338" t="s">
        <v>228</v>
      </c>
      <c r="M338" t="s">
        <v>553</v>
      </c>
      <c r="N338" t="str">
        <f t="shared" si="93"/>
        <v>SingleDesigner 25 Cord DrawnGather Hook NormalTriple Face Fix Brackets</v>
      </c>
      <c r="O338">
        <v>43</v>
      </c>
      <c r="P338">
        <v>35</v>
      </c>
      <c r="Q338" s="80">
        <v>0</v>
      </c>
      <c r="R338" s="80">
        <f t="shared" si="94"/>
        <v>-8</v>
      </c>
      <c r="AD338"/>
      <c r="AH338" s="86" t="s">
        <v>372</v>
      </c>
      <c r="AI338" s="11" t="s">
        <v>692</v>
      </c>
      <c r="AJ338" s="11" t="s">
        <v>160</v>
      </c>
      <c r="AK338" s="80" t="str">
        <f t="shared" si="96"/>
        <v>System 20 Light Commercial Track Hand DrawnMatt Black InkStraight</v>
      </c>
      <c r="AL338" s="80" t="s">
        <v>276</v>
      </c>
      <c r="AM338" s="80" t="s">
        <v>181</v>
      </c>
      <c r="AN338" s="80">
        <v>200</v>
      </c>
      <c r="AO338" s="80" t="s">
        <v>120</v>
      </c>
    </row>
    <row r="339" spans="10:41" ht="16.2" customHeight="1">
      <c r="J339" s="80" t="s">
        <v>746</v>
      </c>
      <c r="K339" s="80" t="s">
        <v>283</v>
      </c>
      <c r="L339" t="s">
        <v>282</v>
      </c>
      <c r="M339" t="s">
        <v>553</v>
      </c>
      <c r="N339" t="str">
        <f t="shared" si="93"/>
        <v>Double FrontDesigner 25 Cord DrawnLevel 2072Triple Face Fix Brackets</v>
      </c>
      <c r="O339">
        <v>38</v>
      </c>
      <c r="P339">
        <v>35</v>
      </c>
      <c r="Q339" s="80">
        <v>0</v>
      </c>
      <c r="R339" s="80">
        <f t="shared" si="94"/>
        <v>-3</v>
      </c>
      <c r="AD339"/>
      <c r="AH339" s="86" t="s">
        <v>372</v>
      </c>
      <c r="AI339" s="11" t="s">
        <v>191</v>
      </c>
      <c r="AJ339" s="11" t="s">
        <v>11556</v>
      </c>
      <c r="AK339" s="80" t="str">
        <f t="shared" si="96"/>
        <v>System 20 Light Commercial Track Hand DrawnWhiteBent</v>
      </c>
      <c r="AL339" s="80" t="s">
        <v>274</v>
      </c>
      <c r="AM339" s="80" t="s">
        <v>181</v>
      </c>
      <c r="AN339" s="80">
        <v>200</v>
      </c>
      <c r="AO339" s="80" t="s">
        <v>120</v>
      </c>
    </row>
    <row r="340" spans="10:41" ht="16.2" customHeight="1">
      <c r="J340" s="80" t="s">
        <v>747</v>
      </c>
      <c r="K340" s="80" t="s">
        <v>283</v>
      </c>
      <c r="L340" t="s">
        <v>282</v>
      </c>
      <c r="M340" t="s">
        <v>553</v>
      </c>
      <c r="N340" t="str">
        <f t="shared" si="93"/>
        <v>Double RearDesigner 25 Cord DrawnLevel 2072Triple Face Fix Brackets</v>
      </c>
      <c r="O340">
        <v>38</v>
      </c>
      <c r="P340">
        <v>45</v>
      </c>
      <c r="Q340" s="80">
        <v>0</v>
      </c>
      <c r="R340" s="80">
        <f t="shared" si="94"/>
        <v>7</v>
      </c>
      <c r="AD340"/>
      <c r="AH340" s="86" t="s">
        <v>372</v>
      </c>
      <c r="AI340" s="11" t="s">
        <v>191</v>
      </c>
      <c r="AJ340" s="11" t="s">
        <v>160</v>
      </c>
      <c r="AK340" s="80" t="str">
        <f t="shared" si="96"/>
        <v>System 20 Light Commercial Track Hand DrawnWhiteStraight</v>
      </c>
      <c r="AL340" s="80" t="s">
        <v>276</v>
      </c>
      <c r="AM340" s="80" t="s">
        <v>181</v>
      </c>
      <c r="AN340" s="80">
        <v>200</v>
      </c>
      <c r="AO340" s="80" t="s">
        <v>120</v>
      </c>
    </row>
    <row r="341" spans="10:41" ht="16.2" customHeight="1">
      <c r="J341" s="80" t="s">
        <v>725</v>
      </c>
      <c r="K341" s="80" t="s">
        <v>283</v>
      </c>
      <c r="L341" t="s">
        <v>282</v>
      </c>
      <c r="M341" t="s">
        <v>553</v>
      </c>
      <c r="N341" t="str">
        <f t="shared" si="93"/>
        <v>SingleDesigner 25 Cord DrawnLevel 2072Triple Face Fix Brackets</v>
      </c>
      <c r="O341">
        <v>35</v>
      </c>
      <c r="P341">
        <v>35</v>
      </c>
      <c r="Q341" s="80">
        <v>0</v>
      </c>
      <c r="R341" s="80">
        <f t="shared" si="94"/>
        <v>0</v>
      </c>
      <c r="AD341"/>
      <c r="AH341" s="86" t="s">
        <v>287</v>
      </c>
      <c r="AI341" s="11" t="s">
        <v>193</v>
      </c>
      <c r="AJ341" s="11" t="s">
        <v>11556</v>
      </c>
      <c r="AK341" s="80" t="str">
        <f t="shared" si="96"/>
        <v>System 30 Heavy Duty Commercial Track Cord DrawnBlackBent</v>
      </c>
      <c r="AL341" s="80" t="s">
        <v>274</v>
      </c>
      <c r="AM341" s="80" t="s">
        <v>181</v>
      </c>
      <c r="AN341" s="80">
        <v>200</v>
      </c>
      <c r="AO341" s="80" t="s">
        <v>120</v>
      </c>
    </row>
    <row r="342" spans="10:41" ht="16.2" customHeight="1">
      <c r="J342" s="80" t="s">
        <v>746</v>
      </c>
      <c r="K342" s="80" t="s">
        <v>283</v>
      </c>
      <c r="L342" t="s">
        <v>170</v>
      </c>
      <c r="M342" t="s">
        <v>553</v>
      </c>
      <c r="N342" t="str">
        <f t="shared" si="93"/>
        <v>Double FrontDesigner 25 Cord DrawnNormal 2074Triple Face Fix Brackets</v>
      </c>
      <c r="O342">
        <v>60</v>
      </c>
      <c r="P342">
        <v>35</v>
      </c>
      <c r="Q342" s="80">
        <v>0</v>
      </c>
      <c r="R342" s="80">
        <f t="shared" si="94"/>
        <v>-25</v>
      </c>
      <c r="AD342"/>
      <c r="AH342" s="86" t="s">
        <v>287</v>
      </c>
      <c r="AI342" s="11" t="s">
        <v>193</v>
      </c>
      <c r="AJ342" s="11" t="s">
        <v>160</v>
      </c>
      <c r="AK342" s="80" t="str">
        <f t="shared" si="96"/>
        <v>System 30 Heavy Duty Commercial Track Cord DrawnBlackStraight</v>
      </c>
      <c r="AL342" s="80" t="s">
        <v>274</v>
      </c>
      <c r="AM342" s="80" t="s">
        <v>181</v>
      </c>
      <c r="AN342" s="80">
        <v>200</v>
      </c>
      <c r="AO342" s="80" t="s">
        <v>120</v>
      </c>
    </row>
    <row r="343" spans="10:41" ht="16.2" customHeight="1">
      <c r="J343" s="80" t="s">
        <v>747</v>
      </c>
      <c r="K343" s="80" t="s">
        <v>283</v>
      </c>
      <c r="L343" t="s">
        <v>170</v>
      </c>
      <c r="M343" t="s">
        <v>553</v>
      </c>
      <c r="N343" t="str">
        <f t="shared" si="93"/>
        <v>Double RearDesigner 25 Cord DrawnNormal 2074Triple Face Fix Brackets</v>
      </c>
      <c r="O343">
        <v>60</v>
      </c>
      <c r="P343">
        <v>45</v>
      </c>
      <c r="Q343" s="80">
        <v>0</v>
      </c>
      <c r="R343" s="80">
        <f t="shared" si="94"/>
        <v>-15</v>
      </c>
      <c r="AD343"/>
      <c r="AH343" s="86" t="s">
        <v>287</v>
      </c>
      <c r="AI343" s="11" t="s">
        <v>191</v>
      </c>
      <c r="AJ343" s="11" t="s">
        <v>11556</v>
      </c>
      <c r="AK343" s="80" t="str">
        <f t="shared" si="97" ref="AK343:AK352">CONCATENATE(AH343,AI343,AJ343)</f>
        <v>System 30 Heavy Duty Commercial Track Cord DrawnWhiteBent</v>
      </c>
      <c r="AL343" s="80" t="s">
        <v>274</v>
      </c>
      <c r="AM343" s="80" t="s">
        <v>181</v>
      </c>
      <c r="AN343" s="80">
        <v>200</v>
      </c>
      <c r="AO343" s="80" t="s">
        <v>120</v>
      </c>
    </row>
    <row r="344" spans="10:41" ht="16.2" customHeight="1">
      <c r="J344" s="80" t="s">
        <v>725</v>
      </c>
      <c r="K344" s="80" t="s">
        <v>283</v>
      </c>
      <c r="L344" t="s">
        <v>170</v>
      </c>
      <c r="M344" t="s">
        <v>553</v>
      </c>
      <c r="N344" t="str">
        <f t="shared" si="93"/>
        <v>SingleDesigner 25 Cord DrawnNormal 2074Triple Face Fix Brackets</v>
      </c>
      <c r="O344">
        <v>60</v>
      </c>
      <c r="P344">
        <v>35</v>
      </c>
      <c r="Q344" s="80">
        <v>0</v>
      </c>
      <c r="R344" s="80">
        <f t="shared" si="94"/>
        <v>-25</v>
      </c>
      <c r="AD344"/>
      <c r="AH344" s="86" t="s">
        <v>287</v>
      </c>
      <c r="AI344" s="11" t="s">
        <v>191</v>
      </c>
      <c r="AJ344" s="11" t="s">
        <v>160</v>
      </c>
      <c r="AK344" s="80" t="str">
        <f t="shared" si="97"/>
        <v>System 30 Heavy Duty Commercial Track Cord DrawnWhiteStraight</v>
      </c>
      <c r="AL344" s="80" t="s">
        <v>274</v>
      </c>
      <c r="AM344" s="80" t="s">
        <v>181</v>
      </c>
      <c r="AN344" s="80">
        <v>200</v>
      </c>
      <c r="AO344" s="80" t="s">
        <v>120</v>
      </c>
    </row>
    <row r="345" spans="10:41" ht="16.2" customHeight="1">
      <c r="J345" s="80" t="s">
        <v>746</v>
      </c>
      <c r="K345" s="80" t="s">
        <v>271</v>
      </c>
      <c r="L345" t="s">
        <v>183</v>
      </c>
      <c r="M345" t="s">
        <v>162</v>
      </c>
      <c r="N345" t="str">
        <f t="shared" si="93"/>
        <v>Double FrontDesigner 25 Hand DrawnBelow Normal 2075Double Face Fix Brackets</v>
      </c>
      <c r="O345">
        <v>70</v>
      </c>
      <c r="P345">
        <v>35</v>
      </c>
      <c r="Q345" s="80">
        <v>0</v>
      </c>
      <c r="R345" s="80">
        <f t="shared" si="94"/>
        <v>-35</v>
      </c>
      <c r="AD345"/>
      <c r="AH345" s="86" t="s">
        <v>370</v>
      </c>
      <c r="AI345" s="11" t="s">
        <v>193</v>
      </c>
      <c r="AJ345" s="11" t="s">
        <v>11556</v>
      </c>
      <c r="AK345" s="80" t="str">
        <f t="shared" si="97"/>
        <v>System 30 Heavy Duty Commercial Track Hand DrawnBlackBent</v>
      </c>
      <c r="AL345" s="80" t="s">
        <v>274</v>
      </c>
      <c r="AM345" s="80" t="s">
        <v>181</v>
      </c>
      <c r="AN345" s="80">
        <v>200</v>
      </c>
      <c r="AO345" s="80" t="s">
        <v>120</v>
      </c>
    </row>
    <row r="346" spans="10:41" ht="16.2" customHeight="1">
      <c r="J346" s="80" t="s">
        <v>747</v>
      </c>
      <c r="K346" s="80" t="s">
        <v>271</v>
      </c>
      <c r="L346" t="s">
        <v>183</v>
      </c>
      <c r="M346" t="s">
        <v>162</v>
      </c>
      <c r="N346" t="str">
        <f t="shared" si="93"/>
        <v>Double RearDesigner 25 Hand DrawnBelow Normal 2075Double Face Fix Brackets</v>
      </c>
      <c r="O346">
        <v>70</v>
      </c>
      <c r="P346">
        <v>45</v>
      </c>
      <c r="Q346" s="80">
        <v>0</v>
      </c>
      <c r="R346" s="80">
        <f t="shared" si="94"/>
        <v>-25</v>
      </c>
      <c r="AD346"/>
      <c r="AH346" s="86" t="s">
        <v>370</v>
      </c>
      <c r="AI346" s="11" t="s">
        <v>193</v>
      </c>
      <c r="AJ346" s="11" t="s">
        <v>160</v>
      </c>
      <c r="AK346" s="80" t="str">
        <f t="shared" si="97"/>
        <v>System 30 Heavy Duty Commercial Track Hand DrawnBlackStraight</v>
      </c>
      <c r="AL346" s="80" t="s">
        <v>274</v>
      </c>
      <c r="AM346" s="80" t="s">
        <v>181</v>
      </c>
      <c r="AN346" s="80">
        <v>200</v>
      </c>
      <c r="AO346" s="80" t="s">
        <v>120</v>
      </c>
    </row>
    <row r="347" spans="10:41" ht="16.2" customHeight="1">
      <c r="J347" s="80" t="s">
        <v>725</v>
      </c>
      <c r="K347" s="80" t="s">
        <v>271</v>
      </c>
      <c r="L347" t="s">
        <v>183</v>
      </c>
      <c r="M347" t="s">
        <v>162</v>
      </c>
      <c r="N347" t="str">
        <f t="shared" si="93"/>
        <v>SingleDesigner 25 Hand DrawnBelow Normal 2075Double Face Fix Brackets</v>
      </c>
      <c r="O347">
        <v>70</v>
      </c>
      <c r="P347">
        <v>35</v>
      </c>
      <c r="Q347" s="80">
        <v>0</v>
      </c>
      <c r="R347" s="80">
        <f t="shared" si="94"/>
        <v>-35</v>
      </c>
      <c r="AD347"/>
      <c r="AH347" s="86" t="s">
        <v>370</v>
      </c>
      <c r="AI347" s="11" t="s">
        <v>191</v>
      </c>
      <c r="AJ347" s="11" t="s">
        <v>11556</v>
      </c>
      <c r="AK347" s="80" t="str">
        <f t="shared" si="97"/>
        <v>System 30 Heavy Duty Commercial Track Hand DrawnWhiteBent</v>
      </c>
      <c r="AL347" s="80" t="s">
        <v>274</v>
      </c>
      <c r="AM347" s="80" t="s">
        <v>181</v>
      </c>
      <c r="AN347" s="80">
        <v>200</v>
      </c>
      <c r="AO347" s="80" t="s">
        <v>120</v>
      </c>
    </row>
    <row r="348" spans="10:41" ht="16.2" customHeight="1">
      <c r="J348" s="80" t="s">
        <v>746</v>
      </c>
      <c r="K348" s="80" t="s">
        <v>271</v>
      </c>
      <c r="L348" t="s">
        <v>182</v>
      </c>
      <c r="M348" t="s">
        <v>162</v>
      </c>
      <c r="N348" t="str">
        <f t="shared" si="93"/>
        <v>Double FrontDesigner 25 Hand DrawnBetween Level and Normal 2073Double Face Fix Brackets</v>
      </c>
      <c r="O348">
        <v>48</v>
      </c>
      <c r="P348">
        <v>35</v>
      </c>
      <c r="Q348" s="80">
        <v>0</v>
      </c>
      <c r="R348" s="80">
        <f t="shared" si="94"/>
        <v>-13</v>
      </c>
      <c r="AD348"/>
      <c r="AH348" s="86" t="s">
        <v>370</v>
      </c>
      <c r="AI348" s="11" t="s">
        <v>191</v>
      </c>
      <c r="AJ348" s="11" t="s">
        <v>160</v>
      </c>
      <c r="AK348" s="80" t="str">
        <f t="shared" si="97"/>
        <v>System 30 Heavy Duty Commercial Track Hand DrawnWhiteStraight</v>
      </c>
      <c r="AL348" s="80" t="s">
        <v>274</v>
      </c>
      <c r="AM348" s="80" t="s">
        <v>181</v>
      </c>
      <c r="AN348" s="80">
        <v>200</v>
      </c>
      <c r="AO348" s="80" t="s">
        <v>120</v>
      </c>
    </row>
    <row r="349" spans="10:41" ht="16.2" customHeight="1">
      <c r="J349" s="80" t="s">
        <v>747</v>
      </c>
      <c r="K349" s="80" t="s">
        <v>271</v>
      </c>
      <c r="L349" t="s">
        <v>182</v>
      </c>
      <c r="M349" t="s">
        <v>162</v>
      </c>
      <c r="N349" t="str">
        <f t="shared" si="93"/>
        <v>Double RearDesigner 25 Hand DrawnBetween Level and Normal 2073Double Face Fix Brackets</v>
      </c>
      <c r="O349">
        <v>48</v>
      </c>
      <c r="P349">
        <v>45</v>
      </c>
      <c r="Q349" s="80">
        <v>0</v>
      </c>
      <c r="R349" s="80">
        <f t="shared" si="94"/>
        <v>-3</v>
      </c>
      <c r="AD349"/>
      <c r="AH349" s="86" t="s">
        <v>433</v>
      </c>
      <c r="AI349" t="s">
        <v>193</v>
      </c>
      <c r="AJ349" s="11" t="s">
        <v>11556</v>
      </c>
      <c r="AK349" s="80" t="str">
        <f t="shared" si="97"/>
        <v>Vanda Boldtrak 25 S-FoldBlackBent</v>
      </c>
      <c r="AL349" s="80" t="s">
        <v>435</v>
      </c>
      <c r="AM349" s="80" t="s">
        <v>120</v>
      </c>
      <c r="AN349" s="80">
        <v>0</v>
      </c>
      <c r="AO349" s="80" t="s">
        <v>181</v>
      </c>
    </row>
    <row r="350" spans="10:41" ht="16.2" customHeight="1">
      <c r="J350" s="80" t="s">
        <v>725</v>
      </c>
      <c r="K350" s="80" t="s">
        <v>271</v>
      </c>
      <c r="L350" t="s">
        <v>182</v>
      </c>
      <c r="M350" t="s">
        <v>162</v>
      </c>
      <c r="N350" t="str">
        <f t="shared" si="93"/>
        <v>SingleDesigner 25 Hand DrawnBetween Level and Normal 2073Double Face Fix Brackets</v>
      </c>
      <c r="O350">
        <v>47</v>
      </c>
      <c r="P350">
        <v>35</v>
      </c>
      <c r="Q350" s="80">
        <v>0</v>
      </c>
      <c r="R350" s="80">
        <f t="shared" si="94"/>
        <v>-12</v>
      </c>
      <c r="AD350"/>
      <c r="AH350" s="86" t="s">
        <v>433</v>
      </c>
      <c r="AI350" t="s">
        <v>193</v>
      </c>
      <c r="AJ350" s="11" t="s">
        <v>160</v>
      </c>
      <c r="AK350" s="80" t="str">
        <f t="shared" si="97"/>
        <v>Vanda Boldtrak 25 S-FoldBlackStraight</v>
      </c>
      <c r="AL350" s="80" t="s">
        <v>435</v>
      </c>
      <c r="AM350" s="80" t="s">
        <v>120</v>
      </c>
      <c r="AN350" s="80">
        <v>0</v>
      </c>
      <c r="AO350" s="80" t="s">
        <v>181</v>
      </c>
    </row>
    <row r="351" spans="10:41" ht="16.2" customHeight="1">
      <c r="J351" s="80" t="s">
        <v>746</v>
      </c>
      <c r="K351" s="80" t="s">
        <v>271</v>
      </c>
      <c r="L351" t="s">
        <v>184</v>
      </c>
      <c r="M351" t="s">
        <v>162</v>
      </c>
      <c r="N351" t="str">
        <f t="shared" si="93"/>
        <v>Double FrontDesigner 25 Hand DrawnDecorator 2071Double Face Fix Brackets</v>
      </c>
      <c r="O351">
        <v>20</v>
      </c>
      <c r="P351">
        <v>35</v>
      </c>
      <c r="Q351" s="80">
        <v>0</v>
      </c>
      <c r="R351" s="80">
        <f t="shared" si="94"/>
        <v>15</v>
      </c>
      <c r="AD351"/>
      <c r="AH351" s="86" t="s">
        <v>433</v>
      </c>
      <c r="AI351" t="s">
        <v>428</v>
      </c>
      <c r="AJ351" s="11" t="s">
        <v>11556</v>
      </c>
      <c r="AK351" s="80" t="str">
        <f t="shared" si="97"/>
        <v>Vanda Boldtrak 25 S-FoldBronzeBent</v>
      </c>
      <c r="AL351" s="80" t="s">
        <v>435</v>
      </c>
      <c r="AM351" s="80" t="s">
        <v>120</v>
      </c>
      <c r="AN351" s="80">
        <v>0</v>
      </c>
      <c r="AO351" s="80" t="s">
        <v>181</v>
      </c>
    </row>
    <row r="352" spans="10:41" ht="16.2" customHeight="1">
      <c r="J352" s="80" t="s">
        <v>747</v>
      </c>
      <c r="K352" s="80" t="s">
        <v>271</v>
      </c>
      <c r="L352" t="s">
        <v>184</v>
      </c>
      <c r="M352" t="s">
        <v>162</v>
      </c>
      <c r="N352" t="str">
        <f t="shared" si="93"/>
        <v>Double RearDesigner 25 Hand DrawnDecorator 2071Double Face Fix Brackets</v>
      </c>
      <c r="O352">
        <v>20</v>
      </c>
      <c r="P352">
        <v>45</v>
      </c>
      <c r="Q352" s="80">
        <v>0</v>
      </c>
      <c r="R352" s="80">
        <f t="shared" si="94"/>
        <v>25</v>
      </c>
      <c r="AD352"/>
      <c r="AH352" s="86" t="s">
        <v>433</v>
      </c>
      <c r="AI352" t="s">
        <v>428</v>
      </c>
      <c r="AJ352" s="11" t="s">
        <v>160</v>
      </c>
      <c r="AK352" s="80" t="str">
        <f t="shared" si="97"/>
        <v>Vanda Boldtrak 25 S-FoldBronzeStraight</v>
      </c>
      <c r="AL352" s="80" t="s">
        <v>435</v>
      </c>
      <c r="AM352" s="80" t="s">
        <v>120</v>
      </c>
      <c r="AN352" s="80">
        <v>0</v>
      </c>
      <c r="AO352" s="80" t="s">
        <v>181</v>
      </c>
    </row>
    <row r="353" spans="10:41" ht="16.2" customHeight="1">
      <c r="J353" s="80" t="s">
        <v>725</v>
      </c>
      <c r="K353" s="80" t="s">
        <v>271</v>
      </c>
      <c r="L353" t="s">
        <v>184</v>
      </c>
      <c r="M353" t="s">
        <v>162</v>
      </c>
      <c r="N353" t="str">
        <f t="shared" si="93"/>
        <v>SingleDesigner 25 Hand DrawnDecorator 2071Double Face Fix Brackets</v>
      </c>
      <c r="O353">
        <v>20</v>
      </c>
      <c r="P353">
        <v>35</v>
      </c>
      <c r="Q353" s="80">
        <v>0</v>
      </c>
      <c r="R353" s="80">
        <f t="shared" si="94"/>
        <v>15</v>
      </c>
      <c r="AD353"/>
      <c r="AH353" s="86" t="s">
        <v>433</v>
      </c>
      <c r="AI353" t="s">
        <v>427</v>
      </c>
      <c r="AJ353" s="11" t="s">
        <v>11556</v>
      </c>
      <c r="AK353" s="80" t="str">
        <f t="shared" si="98" ref="AK353:AK360">CONCATENATE(AH353,AI353,AJ353)</f>
        <v>Vanda Boldtrak 25 S-FoldClassic WhiteBent</v>
      </c>
      <c r="AL353" s="80" t="s">
        <v>435</v>
      </c>
      <c r="AM353" s="80" t="s">
        <v>120</v>
      </c>
      <c r="AN353" s="80">
        <v>0</v>
      </c>
      <c r="AO353" s="80" t="s">
        <v>181</v>
      </c>
    </row>
    <row r="354" spans="10:41" ht="16.2" customHeight="1">
      <c r="J354" s="80" t="s">
        <v>746</v>
      </c>
      <c r="K354" s="80" t="s">
        <v>271</v>
      </c>
      <c r="L354" t="s">
        <v>6468</v>
      </c>
      <c r="M354" t="s">
        <v>162</v>
      </c>
      <c r="N354" t="str">
        <f t="shared" si="93"/>
        <v>Double FrontDesigner 25 Hand DrawnGather Hook Bottom PocketDouble Face Fix Brackets</v>
      </c>
      <c r="O354">
        <v>60</v>
      </c>
      <c r="P354">
        <v>35</v>
      </c>
      <c r="Q354" s="80">
        <v>0</v>
      </c>
      <c r="R354" s="80">
        <f t="shared" si="94"/>
        <v>-25</v>
      </c>
      <c r="AD354"/>
      <c r="AH354" s="86" t="s">
        <v>433</v>
      </c>
      <c r="AI354" t="s">
        <v>427</v>
      </c>
      <c r="AJ354" s="11" t="s">
        <v>160</v>
      </c>
      <c r="AK354" s="80" t="str">
        <f t="shared" si="98"/>
        <v>Vanda Boldtrak 25 S-FoldClassic WhiteStraight</v>
      </c>
      <c r="AL354" s="80" t="s">
        <v>435</v>
      </c>
      <c r="AM354" s="80" t="s">
        <v>120</v>
      </c>
      <c r="AN354" s="80">
        <v>0</v>
      </c>
      <c r="AO354" s="80" t="s">
        <v>181</v>
      </c>
    </row>
    <row r="355" spans="10:41" ht="16.2" customHeight="1">
      <c r="J355" s="80" t="s">
        <v>725</v>
      </c>
      <c r="K355" s="80" t="s">
        <v>271</v>
      </c>
      <c r="L355" t="s">
        <v>6468</v>
      </c>
      <c r="M355" t="s">
        <v>162</v>
      </c>
      <c r="N355" t="str">
        <f t="shared" si="93"/>
        <v>SingleDesigner 25 Hand DrawnGather Hook Bottom PocketDouble Face Fix Brackets</v>
      </c>
      <c r="O355">
        <v>60</v>
      </c>
      <c r="P355">
        <v>35</v>
      </c>
      <c r="Q355" s="80">
        <v>0</v>
      </c>
      <c r="R355" s="80">
        <f t="shared" si="94"/>
        <v>-25</v>
      </c>
      <c r="AD355"/>
      <c r="AH355" s="86" t="s">
        <v>433</v>
      </c>
      <c r="AI355" t="s">
        <v>190</v>
      </c>
      <c r="AJ355" s="11" t="s">
        <v>11556</v>
      </c>
      <c r="AK355" s="80" t="str">
        <f t="shared" si="98"/>
        <v>Vanda Boldtrak 25 S-FoldIvoryBent</v>
      </c>
      <c r="AL355" s="80" t="s">
        <v>435</v>
      </c>
      <c r="AM355" s="80" t="s">
        <v>120</v>
      </c>
      <c r="AN355" s="80">
        <v>0</v>
      </c>
      <c r="AO355" s="80" t="s">
        <v>181</v>
      </c>
    </row>
    <row r="356" spans="10:41" ht="16.2" customHeight="1">
      <c r="J356" s="80" t="s">
        <v>746</v>
      </c>
      <c r="K356" s="80" t="s">
        <v>271</v>
      </c>
      <c r="L356" t="s">
        <v>229</v>
      </c>
      <c r="M356" t="s">
        <v>162</v>
      </c>
      <c r="N356" t="str">
        <f t="shared" si="93"/>
        <v>Double FrontDesigner 25 Hand DrawnGather Hook LevelDouble Face Fix Brackets</v>
      </c>
      <c r="O356">
        <v>20</v>
      </c>
      <c r="P356">
        <v>35</v>
      </c>
      <c r="Q356" s="80">
        <v>0</v>
      </c>
      <c r="R356" s="80">
        <f t="shared" si="94"/>
        <v>15</v>
      </c>
      <c r="AD356"/>
      <c r="AH356" s="86" t="s">
        <v>433</v>
      </c>
      <c r="AI356" t="s">
        <v>190</v>
      </c>
      <c r="AJ356" s="11" t="s">
        <v>160</v>
      </c>
      <c r="AK356" s="80" t="str">
        <f t="shared" si="98"/>
        <v>Vanda Boldtrak 25 S-FoldIvoryStraight</v>
      </c>
      <c r="AL356" s="80" t="s">
        <v>435</v>
      </c>
      <c r="AM356" s="80" t="s">
        <v>120</v>
      </c>
      <c r="AN356" s="80">
        <v>0</v>
      </c>
      <c r="AO356" s="80" t="s">
        <v>181</v>
      </c>
    </row>
    <row r="357" spans="10:41" ht="16.2" customHeight="1">
      <c r="J357" s="80" t="s">
        <v>747</v>
      </c>
      <c r="K357" s="80" t="s">
        <v>271</v>
      </c>
      <c r="L357" t="s">
        <v>229</v>
      </c>
      <c r="M357" t="s">
        <v>162</v>
      </c>
      <c r="N357" t="str">
        <f t="shared" si="93"/>
        <v>Double RearDesigner 25 Hand DrawnGather Hook LevelDouble Face Fix Brackets</v>
      </c>
      <c r="O357">
        <v>20</v>
      </c>
      <c r="P357">
        <v>45</v>
      </c>
      <c r="Q357" s="80">
        <v>0</v>
      </c>
      <c r="R357" s="80">
        <f t="shared" si="94"/>
        <v>25</v>
      </c>
      <c r="AD357"/>
      <c r="AH357" s="86" t="s">
        <v>433</v>
      </c>
      <c r="AI357" t="s">
        <v>429</v>
      </c>
      <c r="AJ357" s="11" t="s">
        <v>11556</v>
      </c>
      <c r="AK357" s="80" t="str">
        <f t="shared" si="98"/>
        <v>Vanda Boldtrak 25 S-FoldPewterBent</v>
      </c>
      <c r="AL357" s="80" t="s">
        <v>435</v>
      </c>
      <c r="AM357" s="80" t="s">
        <v>120</v>
      </c>
      <c r="AN357" s="80">
        <v>0</v>
      </c>
      <c r="AO357" s="80" t="s">
        <v>181</v>
      </c>
    </row>
    <row r="358" spans="10:41" ht="16.2" customHeight="1">
      <c r="J358" s="80" t="s">
        <v>725</v>
      </c>
      <c r="K358" s="80" t="s">
        <v>271</v>
      </c>
      <c r="L358" t="s">
        <v>229</v>
      </c>
      <c r="M358" t="s">
        <v>162</v>
      </c>
      <c r="N358" t="str">
        <f t="shared" si="93"/>
        <v>SingleDesigner 25 Hand DrawnGather Hook LevelDouble Face Fix Brackets</v>
      </c>
      <c r="O358">
        <v>20</v>
      </c>
      <c r="P358">
        <v>35</v>
      </c>
      <c r="Q358" s="80">
        <v>0</v>
      </c>
      <c r="R358" s="80">
        <f t="shared" si="94"/>
        <v>15</v>
      </c>
      <c r="AD358"/>
      <c r="AH358" s="86" t="s">
        <v>433</v>
      </c>
      <c r="AI358" t="s">
        <v>429</v>
      </c>
      <c r="AJ358" s="11" t="s">
        <v>160</v>
      </c>
      <c r="AK358" s="80" t="str">
        <f t="shared" si="98"/>
        <v>Vanda Boldtrak 25 S-FoldPewterStraight</v>
      </c>
      <c r="AL358" s="80" t="s">
        <v>435</v>
      </c>
      <c r="AM358" s="80" t="s">
        <v>120</v>
      </c>
      <c r="AN358" s="80">
        <v>0</v>
      </c>
      <c r="AO358" s="80" t="s">
        <v>181</v>
      </c>
    </row>
    <row r="359" spans="10:41" ht="16.2" customHeight="1">
      <c r="J359" s="80" t="s">
        <v>746</v>
      </c>
      <c r="K359" s="80" t="s">
        <v>271</v>
      </c>
      <c r="L359" t="s">
        <v>228</v>
      </c>
      <c r="M359" t="s">
        <v>162</v>
      </c>
      <c r="N359" t="str">
        <f t="shared" si="93"/>
        <v>Double FrontDesigner 25 Hand DrawnGather Hook NormalDouble Face Fix Brackets</v>
      </c>
      <c r="O359">
        <v>43</v>
      </c>
      <c r="P359">
        <v>35</v>
      </c>
      <c r="Q359" s="80">
        <v>0</v>
      </c>
      <c r="R359" s="80">
        <f t="shared" si="94"/>
        <v>-8</v>
      </c>
      <c r="AD359"/>
      <c r="AH359" s="86" t="s">
        <v>433</v>
      </c>
      <c r="AI359" t="s">
        <v>426</v>
      </c>
      <c r="AJ359" s="11" t="s">
        <v>11556</v>
      </c>
      <c r="AK359" s="80" t="str">
        <f t="shared" si="98"/>
        <v>Vanda Boldtrak 25 S-FoldRiverstoneBent</v>
      </c>
      <c r="AL359" s="80" t="s">
        <v>435</v>
      </c>
      <c r="AM359" s="80" t="s">
        <v>120</v>
      </c>
      <c r="AN359" s="80">
        <v>0</v>
      </c>
      <c r="AO359" s="80" t="s">
        <v>181</v>
      </c>
    </row>
    <row r="360" spans="10:41" ht="16.2" customHeight="1">
      <c r="J360" s="80" t="s">
        <v>747</v>
      </c>
      <c r="K360" s="80" t="s">
        <v>271</v>
      </c>
      <c r="L360" t="s">
        <v>228</v>
      </c>
      <c r="M360" t="s">
        <v>162</v>
      </c>
      <c r="N360" t="str">
        <f t="shared" si="93"/>
        <v>Double RearDesigner 25 Hand DrawnGather Hook NormalDouble Face Fix Brackets</v>
      </c>
      <c r="O360">
        <v>43</v>
      </c>
      <c r="P360">
        <v>45</v>
      </c>
      <c r="Q360" s="80">
        <v>0</v>
      </c>
      <c r="R360" s="80">
        <f t="shared" si="94"/>
        <v>2</v>
      </c>
      <c r="AD360"/>
      <c r="AH360" s="86" t="s">
        <v>433</v>
      </c>
      <c r="AI360" t="s">
        <v>426</v>
      </c>
      <c r="AJ360" s="11" t="s">
        <v>160</v>
      </c>
      <c r="AK360" s="80" t="str">
        <f t="shared" si="98"/>
        <v>Vanda Boldtrak 25 S-FoldRiverstoneStraight</v>
      </c>
      <c r="AL360" s="80" t="s">
        <v>435</v>
      </c>
      <c r="AM360" s="80" t="s">
        <v>120</v>
      </c>
      <c r="AN360" s="80">
        <v>0</v>
      </c>
      <c r="AO360" s="80" t="s">
        <v>181</v>
      </c>
    </row>
    <row r="361" spans="10:41" ht="16.2" customHeight="1">
      <c r="J361" s="80" t="s">
        <v>725</v>
      </c>
      <c r="K361" s="80" t="s">
        <v>271</v>
      </c>
      <c r="L361" t="s">
        <v>228</v>
      </c>
      <c r="M361" t="s">
        <v>162</v>
      </c>
      <c r="N361" t="str">
        <f t="shared" si="93"/>
        <v>SingleDesigner 25 Hand DrawnGather Hook NormalDouble Face Fix Brackets</v>
      </c>
      <c r="O361">
        <v>43</v>
      </c>
      <c r="P361">
        <v>35</v>
      </c>
      <c r="Q361" s="80">
        <v>0</v>
      </c>
      <c r="R361" s="80">
        <f t="shared" si="94"/>
        <v>-8</v>
      </c>
      <c r="AD361"/>
      <c r="AH361" s="86" t="s">
        <v>433</v>
      </c>
      <c r="AI361" t="s">
        <v>430</v>
      </c>
      <c r="AJ361" s="11" t="s">
        <v>11556</v>
      </c>
      <c r="AK361" s="80" t="str">
        <f t="shared" si="99" ref="AK361:AK368">CONCATENATE(AH361,AI361,AJ361)</f>
        <v>Vanda Boldtrak 25 S-FoldSilver PearlBent</v>
      </c>
      <c r="AL361" s="80" t="s">
        <v>435</v>
      </c>
      <c r="AM361" s="80" t="s">
        <v>120</v>
      </c>
      <c r="AN361" s="80">
        <v>0</v>
      </c>
      <c r="AO361" s="80" t="s">
        <v>181</v>
      </c>
    </row>
    <row r="362" spans="10:41" ht="16.2" customHeight="1">
      <c r="J362" s="80" t="s">
        <v>746</v>
      </c>
      <c r="K362" s="80" t="s">
        <v>271</v>
      </c>
      <c r="L362" t="s">
        <v>282</v>
      </c>
      <c r="M362" t="s">
        <v>162</v>
      </c>
      <c r="N362" t="str">
        <f t="shared" si="93"/>
        <v>Double FrontDesigner 25 Hand DrawnLevel 2072Double Face Fix Brackets</v>
      </c>
      <c r="O362">
        <v>38</v>
      </c>
      <c r="P362">
        <v>35</v>
      </c>
      <c r="Q362" s="80">
        <v>0</v>
      </c>
      <c r="R362" s="80">
        <f t="shared" si="94"/>
        <v>-3</v>
      </c>
      <c r="AD362"/>
      <c r="AH362" s="86" t="s">
        <v>433</v>
      </c>
      <c r="AI362" t="s">
        <v>430</v>
      </c>
      <c r="AJ362" s="11" t="s">
        <v>160</v>
      </c>
      <c r="AK362" s="80" t="str">
        <f t="shared" si="99"/>
        <v>Vanda Boldtrak 25 S-FoldSilver PearlStraight</v>
      </c>
      <c r="AL362" s="80" t="s">
        <v>435</v>
      </c>
      <c r="AM362" s="80" t="s">
        <v>120</v>
      </c>
      <c r="AN362" s="80">
        <v>0</v>
      </c>
      <c r="AO362" s="80" t="s">
        <v>181</v>
      </c>
    </row>
    <row r="363" spans="10:41" ht="16.2" customHeight="1">
      <c r="J363" s="80" t="s">
        <v>747</v>
      </c>
      <c r="K363" s="80" t="s">
        <v>271</v>
      </c>
      <c r="L363" t="s">
        <v>282</v>
      </c>
      <c r="M363" t="s">
        <v>162</v>
      </c>
      <c r="N363" t="str">
        <f t="shared" si="93"/>
        <v>Double RearDesigner 25 Hand DrawnLevel 2072Double Face Fix Brackets</v>
      </c>
      <c r="O363">
        <v>38</v>
      </c>
      <c r="P363">
        <v>45</v>
      </c>
      <c r="Q363" s="80">
        <v>0</v>
      </c>
      <c r="R363" s="80">
        <f t="shared" si="94"/>
        <v>7</v>
      </c>
      <c r="AD363"/>
      <c r="AH363" s="86" t="s">
        <v>439</v>
      </c>
      <c r="AI363" t="s">
        <v>193</v>
      </c>
      <c r="AJ363" s="11" t="s">
        <v>11556</v>
      </c>
      <c r="AK363" s="80" t="str">
        <f t="shared" si="99"/>
        <v>Vanda Boldtrak 25 WavefoldBlackBent</v>
      </c>
      <c r="AL363" s="80" t="s">
        <v>435</v>
      </c>
      <c r="AM363" s="80" t="s">
        <v>120</v>
      </c>
      <c r="AN363" s="80">
        <v>0</v>
      </c>
      <c r="AO363" s="80" t="s">
        <v>181</v>
      </c>
    </row>
    <row r="364" spans="10:41" ht="16.2" customHeight="1">
      <c r="J364" s="80" t="s">
        <v>725</v>
      </c>
      <c r="K364" s="80" t="s">
        <v>271</v>
      </c>
      <c r="L364" t="s">
        <v>282</v>
      </c>
      <c r="M364" t="s">
        <v>162</v>
      </c>
      <c r="N364" t="str">
        <f t="shared" si="93"/>
        <v>SingleDesigner 25 Hand DrawnLevel 2072Double Face Fix Brackets</v>
      </c>
      <c r="O364">
        <v>35</v>
      </c>
      <c r="P364">
        <v>35</v>
      </c>
      <c r="Q364" s="80">
        <v>0</v>
      </c>
      <c r="R364" s="80">
        <f t="shared" si="94"/>
        <v>0</v>
      </c>
      <c r="AD364"/>
      <c r="AH364" s="86" t="s">
        <v>439</v>
      </c>
      <c r="AI364" t="s">
        <v>193</v>
      </c>
      <c r="AJ364" s="11" t="s">
        <v>160</v>
      </c>
      <c r="AK364" s="80" t="str">
        <f t="shared" si="99"/>
        <v>Vanda Boldtrak 25 WavefoldBlackStraight</v>
      </c>
      <c r="AL364" s="80" t="s">
        <v>435</v>
      </c>
      <c r="AM364" s="80" t="s">
        <v>120</v>
      </c>
      <c r="AN364" s="80">
        <v>0</v>
      </c>
      <c r="AO364" s="80" t="s">
        <v>181</v>
      </c>
    </row>
    <row r="365" spans="10:41" ht="16.2" customHeight="1">
      <c r="J365" s="80" t="s">
        <v>746</v>
      </c>
      <c r="K365" s="80" t="s">
        <v>271</v>
      </c>
      <c r="L365" t="s">
        <v>170</v>
      </c>
      <c r="M365" t="s">
        <v>162</v>
      </c>
      <c r="N365" t="str">
        <f t="shared" si="93"/>
        <v>Double FrontDesigner 25 Hand DrawnNormal 2074Double Face Fix Brackets</v>
      </c>
      <c r="O365">
        <v>60</v>
      </c>
      <c r="P365">
        <v>35</v>
      </c>
      <c r="Q365" s="80">
        <v>0</v>
      </c>
      <c r="R365" s="80">
        <f t="shared" si="94"/>
        <v>-25</v>
      </c>
      <c r="AD365"/>
      <c r="AH365" s="86" t="s">
        <v>439</v>
      </c>
      <c r="AI365" t="s">
        <v>428</v>
      </c>
      <c r="AJ365" s="11" t="s">
        <v>11556</v>
      </c>
      <c r="AK365" s="80" t="str">
        <f t="shared" si="99"/>
        <v>Vanda Boldtrak 25 WavefoldBronzeBent</v>
      </c>
      <c r="AL365" s="80" t="s">
        <v>435</v>
      </c>
      <c r="AM365" s="80" t="s">
        <v>120</v>
      </c>
      <c r="AN365" s="80">
        <v>0</v>
      </c>
      <c r="AO365" s="80" t="s">
        <v>181</v>
      </c>
    </row>
    <row r="366" spans="10:41" ht="16.2" customHeight="1">
      <c r="J366" s="80" t="s">
        <v>747</v>
      </c>
      <c r="K366" s="80" t="s">
        <v>271</v>
      </c>
      <c r="L366" t="s">
        <v>170</v>
      </c>
      <c r="M366" t="s">
        <v>162</v>
      </c>
      <c r="N366" t="str">
        <f t="shared" si="93"/>
        <v>Double RearDesigner 25 Hand DrawnNormal 2074Double Face Fix Brackets</v>
      </c>
      <c r="O366">
        <v>60</v>
      </c>
      <c r="P366">
        <v>45</v>
      </c>
      <c r="Q366" s="80">
        <v>0</v>
      </c>
      <c r="R366" s="80">
        <f t="shared" si="94"/>
        <v>-15</v>
      </c>
      <c r="AD366"/>
      <c r="AH366" s="86" t="s">
        <v>439</v>
      </c>
      <c r="AI366" t="s">
        <v>428</v>
      </c>
      <c r="AJ366" s="11" t="s">
        <v>160</v>
      </c>
      <c r="AK366" s="80" t="str">
        <f t="shared" si="99"/>
        <v>Vanda Boldtrak 25 WavefoldBronzeStraight</v>
      </c>
      <c r="AL366" s="80" t="s">
        <v>435</v>
      </c>
      <c r="AM366" s="80" t="s">
        <v>120</v>
      </c>
      <c r="AN366" s="80">
        <v>0</v>
      </c>
      <c r="AO366" s="80" t="s">
        <v>181</v>
      </c>
    </row>
    <row r="367" spans="10:41" ht="16.2" customHeight="1">
      <c r="J367" s="80" t="s">
        <v>725</v>
      </c>
      <c r="K367" s="80" t="s">
        <v>271</v>
      </c>
      <c r="L367" t="s">
        <v>170</v>
      </c>
      <c r="M367" t="s">
        <v>162</v>
      </c>
      <c r="N367" t="str">
        <f t="shared" si="93"/>
        <v>SingleDesigner 25 Hand DrawnNormal 2074Double Face Fix Brackets</v>
      </c>
      <c r="O367">
        <v>60</v>
      </c>
      <c r="P367">
        <v>35</v>
      </c>
      <c r="Q367" s="80">
        <v>0</v>
      </c>
      <c r="R367" s="80">
        <f t="shared" si="94"/>
        <v>-25</v>
      </c>
      <c r="AD367"/>
      <c r="AH367" s="86" t="s">
        <v>439</v>
      </c>
      <c r="AI367" t="s">
        <v>427</v>
      </c>
      <c r="AJ367" s="11" t="s">
        <v>11556</v>
      </c>
      <c r="AK367" s="80" t="str">
        <f t="shared" si="99"/>
        <v>Vanda Boldtrak 25 WavefoldClassic WhiteBent</v>
      </c>
      <c r="AL367" s="80" t="s">
        <v>435</v>
      </c>
      <c r="AM367" s="80" t="s">
        <v>120</v>
      </c>
      <c r="AN367" s="80">
        <v>0</v>
      </c>
      <c r="AO367" s="80" t="s">
        <v>181</v>
      </c>
    </row>
    <row r="368" spans="10:41" ht="16.2" customHeight="1">
      <c r="J368" s="80" t="s">
        <v>746</v>
      </c>
      <c r="K368" s="80" t="s">
        <v>271</v>
      </c>
      <c r="L368" t="s">
        <v>183</v>
      </c>
      <c r="M368" t="s">
        <v>159</v>
      </c>
      <c r="N368" t="str">
        <f t="shared" si="93"/>
        <v>Double FrontDesigner 25 Hand DrawnBelow Normal 2075Single Face Fix Brackets</v>
      </c>
      <c r="O368">
        <v>70</v>
      </c>
      <c r="P368">
        <v>35</v>
      </c>
      <c r="Q368" s="80">
        <v>0</v>
      </c>
      <c r="R368" s="80">
        <f t="shared" si="94"/>
        <v>-35</v>
      </c>
      <c r="AD368"/>
      <c r="AH368" s="86" t="s">
        <v>439</v>
      </c>
      <c r="AI368" t="s">
        <v>427</v>
      </c>
      <c r="AJ368" s="11" t="s">
        <v>160</v>
      </c>
      <c r="AK368" s="80" t="str">
        <f t="shared" si="99"/>
        <v>Vanda Boldtrak 25 WavefoldClassic WhiteStraight</v>
      </c>
      <c r="AL368" s="80" t="s">
        <v>435</v>
      </c>
      <c r="AM368" s="80" t="s">
        <v>120</v>
      </c>
      <c r="AN368" s="80">
        <v>0</v>
      </c>
      <c r="AO368" s="80" t="s">
        <v>181</v>
      </c>
    </row>
    <row r="369" spans="10:41" ht="16.2" customHeight="1">
      <c r="J369" s="80" t="s">
        <v>747</v>
      </c>
      <c r="K369" s="80" t="s">
        <v>271</v>
      </c>
      <c r="L369" t="s">
        <v>183</v>
      </c>
      <c r="M369" t="s">
        <v>159</v>
      </c>
      <c r="N369" t="str">
        <f t="shared" si="93"/>
        <v>Double RearDesigner 25 Hand DrawnBelow Normal 2075Single Face Fix Brackets</v>
      </c>
      <c r="O369">
        <v>70</v>
      </c>
      <c r="P369">
        <v>45</v>
      </c>
      <c r="Q369" s="80">
        <v>0</v>
      </c>
      <c r="R369" s="80">
        <f t="shared" si="94"/>
        <v>-25</v>
      </c>
      <c r="AD369"/>
      <c r="AH369" s="86" t="s">
        <v>439</v>
      </c>
      <c r="AI369" t="s">
        <v>190</v>
      </c>
      <c r="AJ369" s="11" t="s">
        <v>11556</v>
      </c>
      <c r="AK369" s="80" t="str">
        <f t="shared" si="100" ref="AK369:AK377">CONCATENATE(AH369,AI369,AJ369)</f>
        <v>Vanda Boldtrak 25 WavefoldIvoryBent</v>
      </c>
      <c r="AL369" s="80" t="s">
        <v>435</v>
      </c>
      <c r="AM369" s="80" t="s">
        <v>120</v>
      </c>
      <c r="AN369" s="80">
        <v>0</v>
      </c>
      <c r="AO369" s="80" t="s">
        <v>181</v>
      </c>
    </row>
    <row r="370" spans="10:41" ht="16.2" customHeight="1">
      <c r="J370" s="80" t="s">
        <v>725</v>
      </c>
      <c r="K370" s="80" t="s">
        <v>271</v>
      </c>
      <c r="L370" t="s">
        <v>183</v>
      </c>
      <c r="M370" t="s">
        <v>159</v>
      </c>
      <c r="N370" t="str">
        <f t="shared" si="93"/>
        <v>SingleDesigner 25 Hand DrawnBelow Normal 2075Single Face Fix Brackets</v>
      </c>
      <c r="O370">
        <v>70</v>
      </c>
      <c r="P370">
        <v>35</v>
      </c>
      <c r="Q370" s="80">
        <v>0</v>
      </c>
      <c r="R370" s="80">
        <f t="shared" si="94"/>
        <v>-35</v>
      </c>
      <c r="AD370"/>
      <c r="AH370" s="86" t="s">
        <v>439</v>
      </c>
      <c r="AI370" t="s">
        <v>190</v>
      </c>
      <c r="AJ370" s="11" t="s">
        <v>160</v>
      </c>
      <c r="AK370" s="80" t="str">
        <f t="shared" si="100"/>
        <v>Vanda Boldtrak 25 WavefoldIvoryStraight</v>
      </c>
      <c r="AL370" s="80" t="s">
        <v>435</v>
      </c>
      <c r="AM370" s="80" t="s">
        <v>120</v>
      </c>
      <c r="AN370" s="80">
        <v>0</v>
      </c>
      <c r="AO370" s="80" t="s">
        <v>181</v>
      </c>
    </row>
    <row r="371" spans="10:41" ht="16.2" customHeight="1">
      <c r="J371" s="80" t="s">
        <v>746</v>
      </c>
      <c r="K371" s="80" t="s">
        <v>271</v>
      </c>
      <c r="L371" t="s">
        <v>182</v>
      </c>
      <c r="M371" t="s">
        <v>159</v>
      </c>
      <c r="N371" t="str">
        <f t="shared" si="93"/>
        <v>Double FrontDesigner 25 Hand DrawnBetween Level and Normal 2073Single Face Fix Brackets</v>
      </c>
      <c r="O371">
        <v>48</v>
      </c>
      <c r="P371">
        <v>35</v>
      </c>
      <c r="Q371" s="80">
        <v>0</v>
      </c>
      <c r="R371" s="80">
        <f t="shared" si="94"/>
        <v>-13</v>
      </c>
      <c r="AD371"/>
      <c r="AH371" s="86" t="s">
        <v>439</v>
      </c>
      <c r="AI371" t="s">
        <v>429</v>
      </c>
      <c r="AJ371" s="11" t="s">
        <v>11556</v>
      </c>
      <c r="AK371" s="80" t="str">
        <f t="shared" si="100"/>
        <v>Vanda Boldtrak 25 WavefoldPewterBent</v>
      </c>
      <c r="AL371" s="80" t="s">
        <v>435</v>
      </c>
      <c r="AM371" s="80" t="s">
        <v>120</v>
      </c>
      <c r="AN371" s="80">
        <v>0</v>
      </c>
      <c r="AO371" s="80" t="s">
        <v>181</v>
      </c>
    </row>
    <row r="372" spans="10:41" ht="16.2" customHeight="1">
      <c r="J372" s="80" t="s">
        <v>747</v>
      </c>
      <c r="K372" s="80" t="s">
        <v>271</v>
      </c>
      <c r="L372" t="s">
        <v>182</v>
      </c>
      <c r="M372" t="s">
        <v>159</v>
      </c>
      <c r="N372" t="str">
        <f t="shared" si="93"/>
        <v>Double RearDesigner 25 Hand DrawnBetween Level and Normal 2073Single Face Fix Brackets</v>
      </c>
      <c r="O372">
        <v>48</v>
      </c>
      <c r="P372">
        <v>45</v>
      </c>
      <c r="Q372" s="80">
        <v>0</v>
      </c>
      <c r="R372" s="80">
        <f t="shared" si="94"/>
        <v>-3</v>
      </c>
      <c r="AD372"/>
      <c r="AH372" s="86" t="s">
        <v>439</v>
      </c>
      <c r="AI372" t="s">
        <v>429</v>
      </c>
      <c r="AJ372" s="11" t="s">
        <v>160</v>
      </c>
      <c r="AK372" s="80" t="str">
        <f t="shared" si="100"/>
        <v>Vanda Boldtrak 25 WavefoldPewterStraight</v>
      </c>
      <c r="AL372" s="80" t="s">
        <v>435</v>
      </c>
      <c r="AM372" s="80" t="s">
        <v>120</v>
      </c>
      <c r="AN372" s="80">
        <v>0</v>
      </c>
      <c r="AO372" s="80" t="s">
        <v>181</v>
      </c>
    </row>
    <row r="373" spans="10:41" ht="16.2" customHeight="1">
      <c r="J373" s="80" t="s">
        <v>725</v>
      </c>
      <c r="K373" s="80" t="s">
        <v>271</v>
      </c>
      <c r="L373" t="s">
        <v>182</v>
      </c>
      <c r="M373" t="s">
        <v>159</v>
      </c>
      <c r="N373" t="str">
        <f t="shared" si="93"/>
        <v>SingleDesigner 25 Hand DrawnBetween Level and Normal 2073Single Face Fix Brackets</v>
      </c>
      <c r="O373">
        <v>47</v>
      </c>
      <c r="P373">
        <v>35</v>
      </c>
      <c r="Q373" s="80">
        <v>0</v>
      </c>
      <c r="R373" s="80">
        <f t="shared" si="94"/>
        <v>-12</v>
      </c>
      <c r="AD373"/>
      <c r="AH373" s="86" t="s">
        <v>439</v>
      </c>
      <c r="AI373" t="s">
        <v>426</v>
      </c>
      <c r="AJ373" s="11" t="s">
        <v>11556</v>
      </c>
      <c r="AK373" s="80" t="str">
        <f t="shared" si="100"/>
        <v>Vanda Boldtrak 25 WavefoldRiverstoneBent</v>
      </c>
      <c r="AL373" s="80" t="s">
        <v>435</v>
      </c>
      <c r="AM373" s="80" t="s">
        <v>120</v>
      </c>
      <c r="AN373" s="80">
        <v>0</v>
      </c>
      <c r="AO373" s="80" t="s">
        <v>181</v>
      </c>
    </row>
    <row r="374" spans="10:41" ht="16.2" customHeight="1">
      <c r="J374" s="80" t="s">
        <v>746</v>
      </c>
      <c r="K374" s="80" t="s">
        <v>271</v>
      </c>
      <c r="L374" t="s">
        <v>184</v>
      </c>
      <c r="M374" t="s">
        <v>159</v>
      </c>
      <c r="N374" t="str">
        <f t="shared" si="93"/>
        <v>Double FrontDesigner 25 Hand DrawnDecorator 2071Single Face Fix Brackets</v>
      </c>
      <c r="O374">
        <v>20</v>
      </c>
      <c r="P374">
        <v>35</v>
      </c>
      <c r="Q374" s="80">
        <v>0</v>
      </c>
      <c r="R374" s="80">
        <f t="shared" si="94"/>
        <v>15</v>
      </c>
      <c r="AD374"/>
      <c r="AH374" s="86" t="s">
        <v>439</v>
      </c>
      <c r="AI374" t="s">
        <v>426</v>
      </c>
      <c r="AJ374" s="11" t="s">
        <v>160</v>
      </c>
      <c r="AK374" s="80" t="str">
        <f t="shared" si="100"/>
        <v>Vanda Boldtrak 25 WavefoldRiverstoneStraight</v>
      </c>
      <c r="AL374" s="80" t="s">
        <v>435</v>
      </c>
      <c r="AM374" s="80" t="s">
        <v>120</v>
      </c>
      <c r="AN374" s="80">
        <v>0</v>
      </c>
      <c r="AO374" s="80" t="s">
        <v>181</v>
      </c>
    </row>
    <row r="375" spans="10:41" ht="16.2" customHeight="1">
      <c r="J375" s="80" t="s">
        <v>747</v>
      </c>
      <c r="K375" s="80" t="s">
        <v>271</v>
      </c>
      <c r="L375" t="s">
        <v>184</v>
      </c>
      <c r="M375" t="s">
        <v>159</v>
      </c>
      <c r="N375" t="str">
        <f t="shared" si="93"/>
        <v>Double RearDesigner 25 Hand DrawnDecorator 2071Single Face Fix Brackets</v>
      </c>
      <c r="O375">
        <v>20</v>
      </c>
      <c r="P375">
        <v>45</v>
      </c>
      <c r="Q375" s="80">
        <v>0</v>
      </c>
      <c r="R375" s="80">
        <f t="shared" si="94"/>
        <v>25</v>
      </c>
      <c r="AD375"/>
      <c r="AH375" s="86" t="s">
        <v>439</v>
      </c>
      <c r="AI375" t="s">
        <v>430</v>
      </c>
      <c r="AJ375" s="11" t="s">
        <v>11556</v>
      </c>
      <c r="AK375" s="80" t="str">
        <f t="shared" si="100"/>
        <v>Vanda Boldtrak 25 WavefoldSilver PearlBent</v>
      </c>
      <c r="AL375" s="80" t="s">
        <v>435</v>
      </c>
      <c r="AM375" s="80" t="s">
        <v>120</v>
      </c>
      <c r="AN375" s="80">
        <v>0</v>
      </c>
      <c r="AO375" s="80" t="s">
        <v>181</v>
      </c>
    </row>
    <row r="376" spans="10:41" ht="16.2" customHeight="1">
      <c r="J376" s="80" t="s">
        <v>725</v>
      </c>
      <c r="K376" s="80" t="s">
        <v>271</v>
      </c>
      <c r="L376" t="s">
        <v>184</v>
      </c>
      <c r="M376" t="s">
        <v>159</v>
      </c>
      <c r="N376" t="str">
        <f t="shared" si="93"/>
        <v>SingleDesigner 25 Hand DrawnDecorator 2071Single Face Fix Brackets</v>
      </c>
      <c r="O376">
        <v>20</v>
      </c>
      <c r="P376">
        <v>35</v>
      </c>
      <c r="Q376" s="80">
        <v>0</v>
      </c>
      <c r="R376" s="80">
        <f t="shared" si="94"/>
        <v>15</v>
      </c>
      <c r="AD376"/>
      <c r="AH376" s="86" t="s">
        <v>439</v>
      </c>
      <c r="AI376" t="s">
        <v>430</v>
      </c>
      <c r="AJ376" s="11" t="s">
        <v>160</v>
      </c>
      <c r="AK376" s="80" t="str">
        <f t="shared" si="100"/>
        <v>Vanda Boldtrak 25 WavefoldSilver PearlStraight</v>
      </c>
      <c r="AL376" s="80" t="s">
        <v>435</v>
      </c>
      <c r="AM376" s="80" t="s">
        <v>120</v>
      </c>
      <c r="AN376" s="80">
        <v>0</v>
      </c>
      <c r="AO376" s="80" t="s">
        <v>181</v>
      </c>
    </row>
    <row r="377" spans="10:41" ht="16.2" customHeight="1">
      <c r="J377" s="80" t="s">
        <v>746</v>
      </c>
      <c r="K377" s="80" t="s">
        <v>271</v>
      </c>
      <c r="L377" t="s">
        <v>6468</v>
      </c>
      <c r="M377" t="s">
        <v>159</v>
      </c>
      <c r="N377" t="str">
        <f t="shared" si="93"/>
        <v>Double FrontDesigner 25 Hand DrawnGather Hook Bottom PocketSingle Face Fix Brackets</v>
      </c>
      <c r="O377">
        <v>60</v>
      </c>
      <c r="P377">
        <v>35</v>
      </c>
      <c r="Q377" s="80">
        <v>0</v>
      </c>
      <c r="R377" s="80">
        <f t="shared" si="94"/>
        <v>-25</v>
      </c>
      <c r="AD377"/>
      <c r="AH377" s="86" t="s">
        <v>431</v>
      </c>
      <c r="AI377" t="s">
        <v>193</v>
      </c>
      <c r="AJ377" s="11" t="s">
        <v>11556</v>
      </c>
      <c r="AK377" s="80" t="str">
        <f t="shared" si="100"/>
        <v>Vanda Boldtrak 25 with GlidesBlackBent</v>
      </c>
      <c r="AL377" s="80" t="s">
        <v>435</v>
      </c>
      <c r="AM377" s="80" t="s">
        <v>120</v>
      </c>
      <c r="AN377" s="80">
        <v>0</v>
      </c>
      <c r="AO377" s="80" t="s">
        <v>120</v>
      </c>
    </row>
    <row r="378" spans="10:41" ht="16.2" customHeight="1">
      <c r="J378" s="80" t="s">
        <v>725</v>
      </c>
      <c r="K378" s="80" t="s">
        <v>271</v>
      </c>
      <c r="L378" t="s">
        <v>6468</v>
      </c>
      <c r="M378" t="s">
        <v>159</v>
      </c>
      <c r="N378" t="str">
        <f t="shared" si="93"/>
        <v>SingleDesigner 25 Hand DrawnGather Hook Bottom PocketSingle Face Fix Brackets</v>
      </c>
      <c r="O378">
        <v>60</v>
      </c>
      <c r="P378">
        <v>35</v>
      </c>
      <c r="Q378" s="80">
        <v>0</v>
      </c>
      <c r="R378" s="80">
        <f t="shared" si="94"/>
        <v>-25</v>
      </c>
      <c r="AD378"/>
      <c r="AH378" s="86" t="s">
        <v>431</v>
      </c>
      <c r="AI378" t="s">
        <v>193</v>
      </c>
      <c r="AJ378" s="11" t="s">
        <v>160</v>
      </c>
      <c r="AK378" s="80" t="str">
        <f t="shared" si="101" ref="AK378:AK386">CONCATENATE(AH378,AI378,AJ378)</f>
        <v>Vanda Boldtrak 25 with GlidesBlackStraight</v>
      </c>
      <c r="AL378" s="80" t="s">
        <v>435</v>
      </c>
      <c r="AM378" s="80" t="s">
        <v>120</v>
      </c>
      <c r="AN378" s="80">
        <v>0</v>
      </c>
      <c r="AO378" s="80" t="s">
        <v>120</v>
      </c>
    </row>
    <row r="379" spans="10:41" ht="16.2" customHeight="1">
      <c r="J379" s="80" t="s">
        <v>746</v>
      </c>
      <c r="K379" s="80" t="s">
        <v>271</v>
      </c>
      <c r="L379" t="s">
        <v>229</v>
      </c>
      <c r="M379" t="s">
        <v>159</v>
      </c>
      <c r="N379" t="str">
        <f t="shared" si="93"/>
        <v>Double FrontDesigner 25 Hand DrawnGather Hook LevelSingle Face Fix Brackets</v>
      </c>
      <c r="O379">
        <v>20</v>
      </c>
      <c r="P379">
        <v>35</v>
      </c>
      <c r="Q379" s="80">
        <v>0</v>
      </c>
      <c r="R379" s="80">
        <f t="shared" si="94"/>
        <v>15</v>
      </c>
      <c r="AD379"/>
      <c r="AH379" s="86" t="s">
        <v>431</v>
      </c>
      <c r="AI379" t="s">
        <v>428</v>
      </c>
      <c r="AJ379" s="11" t="s">
        <v>11556</v>
      </c>
      <c r="AK379" s="80" t="str">
        <f t="shared" si="101"/>
        <v>Vanda Boldtrak 25 with GlidesBronzeBent</v>
      </c>
      <c r="AL379" s="80" t="s">
        <v>435</v>
      </c>
      <c r="AM379" s="80" t="s">
        <v>120</v>
      </c>
      <c r="AN379" s="80">
        <v>0</v>
      </c>
      <c r="AO379" s="80" t="s">
        <v>120</v>
      </c>
    </row>
    <row r="380" spans="10:41" ht="16.2" customHeight="1">
      <c r="J380" s="80" t="s">
        <v>747</v>
      </c>
      <c r="K380" s="80" t="s">
        <v>271</v>
      </c>
      <c r="L380" t="s">
        <v>229</v>
      </c>
      <c r="M380" t="s">
        <v>159</v>
      </c>
      <c r="N380" t="str">
        <f t="shared" si="93"/>
        <v>Double RearDesigner 25 Hand DrawnGather Hook LevelSingle Face Fix Brackets</v>
      </c>
      <c r="O380">
        <v>20</v>
      </c>
      <c r="P380">
        <v>45</v>
      </c>
      <c r="Q380" s="80">
        <v>0</v>
      </c>
      <c r="R380" s="80">
        <f t="shared" si="94"/>
        <v>25</v>
      </c>
      <c r="AD380"/>
      <c r="AH380" s="86" t="s">
        <v>431</v>
      </c>
      <c r="AI380" t="s">
        <v>428</v>
      </c>
      <c r="AJ380" s="11" t="s">
        <v>160</v>
      </c>
      <c r="AK380" s="80" t="str">
        <f t="shared" si="101"/>
        <v>Vanda Boldtrak 25 with GlidesBronzeStraight</v>
      </c>
      <c r="AL380" s="80" t="s">
        <v>435</v>
      </c>
      <c r="AM380" s="80" t="s">
        <v>120</v>
      </c>
      <c r="AN380" s="80">
        <v>0</v>
      </c>
      <c r="AO380" s="80" t="s">
        <v>120</v>
      </c>
    </row>
    <row r="381" spans="10:41" ht="16.2" customHeight="1">
      <c r="J381" s="80" t="s">
        <v>725</v>
      </c>
      <c r="K381" s="80" t="s">
        <v>271</v>
      </c>
      <c r="L381" t="s">
        <v>229</v>
      </c>
      <c r="M381" t="s">
        <v>159</v>
      </c>
      <c r="N381" t="str">
        <f t="shared" si="93"/>
        <v>SingleDesigner 25 Hand DrawnGather Hook LevelSingle Face Fix Brackets</v>
      </c>
      <c r="O381">
        <v>20</v>
      </c>
      <c r="P381">
        <v>35</v>
      </c>
      <c r="Q381" s="80">
        <v>0</v>
      </c>
      <c r="R381" s="80">
        <f t="shared" si="94"/>
        <v>15</v>
      </c>
      <c r="AD381"/>
      <c r="AH381" s="86" t="s">
        <v>431</v>
      </c>
      <c r="AI381" t="s">
        <v>427</v>
      </c>
      <c r="AJ381" s="11" t="s">
        <v>11556</v>
      </c>
      <c r="AK381" s="80" t="str">
        <f t="shared" si="101"/>
        <v>Vanda Boldtrak 25 with GlidesClassic WhiteBent</v>
      </c>
      <c r="AL381" s="80" t="s">
        <v>435</v>
      </c>
      <c r="AM381" s="80" t="s">
        <v>120</v>
      </c>
      <c r="AN381" s="80">
        <v>0</v>
      </c>
      <c r="AO381" s="80" t="s">
        <v>120</v>
      </c>
    </row>
    <row r="382" spans="10:41" ht="16.2" customHeight="1">
      <c r="J382" s="80" t="s">
        <v>746</v>
      </c>
      <c r="K382" s="80" t="s">
        <v>271</v>
      </c>
      <c r="L382" t="s">
        <v>228</v>
      </c>
      <c r="M382" t="s">
        <v>159</v>
      </c>
      <c r="N382" t="str">
        <f t="shared" si="93"/>
        <v>Double FrontDesigner 25 Hand DrawnGather Hook NormalSingle Face Fix Brackets</v>
      </c>
      <c r="O382">
        <v>43</v>
      </c>
      <c r="P382">
        <v>35</v>
      </c>
      <c r="Q382" s="80">
        <v>0</v>
      </c>
      <c r="R382" s="80">
        <f t="shared" si="94"/>
        <v>-8</v>
      </c>
      <c r="AD382"/>
      <c r="AH382" s="86" t="s">
        <v>431</v>
      </c>
      <c r="AI382" t="s">
        <v>427</v>
      </c>
      <c r="AJ382" s="11" t="s">
        <v>160</v>
      </c>
      <c r="AK382" s="80" t="str">
        <f t="shared" si="101"/>
        <v>Vanda Boldtrak 25 with GlidesClassic WhiteStraight</v>
      </c>
      <c r="AL382" s="80" t="s">
        <v>435</v>
      </c>
      <c r="AM382" s="80" t="s">
        <v>120</v>
      </c>
      <c r="AN382" s="80">
        <v>0</v>
      </c>
      <c r="AO382" s="80" t="s">
        <v>120</v>
      </c>
    </row>
    <row r="383" spans="10:41" ht="16.2" customHeight="1">
      <c r="J383" s="80" t="s">
        <v>747</v>
      </c>
      <c r="K383" s="80" t="s">
        <v>271</v>
      </c>
      <c r="L383" t="s">
        <v>228</v>
      </c>
      <c r="M383" t="s">
        <v>159</v>
      </c>
      <c r="N383" t="str">
        <f t="shared" si="93"/>
        <v>Double RearDesigner 25 Hand DrawnGather Hook NormalSingle Face Fix Brackets</v>
      </c>
      <c r="O383">
        <v>43</v>
      </c>
      <c r="P383">
        <v>45</v>
      </c>
      <c r="Q383" s="80">
        <v>0</v>
      </c>
      <c r="R383" s="80">
        <f t="shared" si="94"/>
        <v>2</v>
      </c>
      <c r="AD383"/>
      <c r="AH383" s="86" t="s">
        <v>431</v>
      </c>
      <c r="AI383" t="s">
        <v>190</v>
      </c>
      <c r="AJ383" s="11" t="s">
        <v>11556</v>
      </c>
      <c r="AK383" s="80" t="str">
        <f t="shared" si="101"/>
        <v>Vanda Boldtrak 25 with GlidesIvoryBent</v>
      </c>
      <c r="AL383" s="80" t="s">
        <v>435</v>
      </c>
      <c r="AM383" s="80" t="s">
        <v>120</v>
      </c>
      <c r="AN383" s="80">
        <v>0</v>
      </c>
      <c r="AO383" s="80" t="s">
        <v>120</v>
      </c>
    </row>
    <row r="384" spans="10:41" ht="16.2" customHeight="1">
      <c r="J384" s="80" t="s">
        <v>725</v>
      </c>
      <c r="K384" s="80" t="s">
        <v>271</v>
      </c>
      <c r="L384" t="s">
        <v>228</v>
      </c>
      <c r="M384" t="s">
        <v>159</v>
      </c>
      <c r="N384" t="str">
        <f t="shared" si="93"/>
        <v>SingleDesigner 25 Hand DrawnGather Hook NormalSingle Face Fix Brackets</v>
      </c>
      <c r="O384">
        <v>43</v>
      </c>
      <c r="P384">
        <v>35</v>
      </c>
      <c r="Q384" s="80">
        <v>0</v>
      </c>
      <c r="R384" s="80">
        <f t="shared" si="94"/>
        <v>-8</v>
      </c>
      <c r="AD384"/>
      <c r="AH384" s="86" t="s">
        <v>431</v>
      </c>
      <c r="AI384" t="s">
        <v>190</v>
      </c>
      <c r="AJ384" s="11" t="s">
        <v>160</v>
      </c>
      <c r="AK384" s="80" t="str">
        <f t="shared" si="101"/>
        <v>Vanda Boldtrak 25 with GlidesIvoryStraight</v>
      </c>
      <c r="AL384" s="80" t="s">
        <v>435</v>
      </c>
      <c r="AM384" s="80" t="s">
        <v>120</v>
      </c>
      <c r="AN384" s="80">
        <v>0</v>
      </c>
      <c r="AO384" s="80" t="s">
        <v>120</v>
      </c>
    </row>
    <row r="385" spans="10:41" ht="16.2" customHeight="1">
      <c r="J385" s="80" t="s">
        <v>746</v>
      </c>
      <c r="K385" s="80" t="s">
        <v>271</v>
      </c>
      <c r="L385" t="s">
        <v>282</v>
      </c>
      <c r="M385" t="s">
        <v>159</v>
      </c>
      <c r="N385" t="str">
        <f t="shared" si="93"/>
        <v>Double FrontDesigner 25 Hand DrawnLevel 2072Single Face Fix Brackets</v>
      </c>
      <c r="O385">
        <v>38</v>
      </c>
      <c r="P385">
        <v>35</v>
      </c>
      <c r="Q385" s="80">
        <v>0</v>
      </c>
      <c r="R385" s="80">
        <f t="shared" si="94"/>
        <v>-3</v>
      </c>
      <c r="AD385"/>
      <c r="AH385" s="86" t="s">
        <v>431</v>
      </c>
      <c r="AI385" t="s">
        <v>429</v>
      </c>
      <c r="AJ385" s="11" t="s">
        <v>11556</v>
      </c>
      <c r="AK385" s="80" t="str">
        <f t="shared" si="101"/>
        <v>Vanda Boldtrak 25 with GlidesPewterBent</v>
      </c>
      <c r="AL385" s="80" t="s">
        <v>435</v>
      </c>
      <c r="AM385" s="80" t="s">
        <v>120</v>
      </c>
      <c r="AN385" s="80">
        <v>0</v>
      </c>
      <c r="AO385" s="80" t="s">
        <v>120</v>
      </c>
    </row>
    <row r="386" spans="10:41" ht="16.2" customHeight="1">
      <c r="J386" s="80" t="s">
        <v>747</v>
      </c>
      <c r="K386" s="80" t="s">
        <v>271</v>
      </c>
      <c r="L386" t="s">
        <v>282</v>
      </c>
      <c r="M386" t="s">
        <v>159</v>
      </c>
      <c r="N386" t="str">
        <f t="shared" si="102" ref="N386:N449">(CONCATENATE(J386,K386,L386,M386))</f>
        <v>Double RearDesigner 25 Hand DrawnLevel 2072Single Face Fix Brackets</v>
      </c>
      <c r="O386">
        <v>38</v>
      </c>
      <c r="P386">
        <v>45</v>
      </c>
      <c r="Q386" s="80">
        <v>0</v>
      </c>
      <c r="R386" s="80">
        <f t="shared" si="103" ref="R386:R449">SUM(P386)-O386</f>
        <v>7</v>
      </c>
      <c r="AD386"/>
      <c r="AH386" s="86" t="s">
        <v>431</v>
      </c>
      <c r="AI386" t="s">
        <v>429</v>
      </c>
      <c r="AJ386" s="11" t="s">
        <v>160</v>
      </c>
      <c r="AK386" s="80" t="str">
        <f t="shared" si="101"/>
        <v>Vanda Boldtrak 25 with GlidesPewterStraight</v>
      </c>
      <c r="AL386" s="80" t="s">
        <v>435</v>
      </c>
      <c r="AM386" s="80" t="s">
        <v>120</v>
      </c>
      <c r="AN386" s="80">
        <v>0</v>
      </c>
      <c r="AO386" s="80" t="s">
        <v>120</v>
      </c>
    </row>
    <row r="387" spans="10:41" ht="16.2" customHeight="1">
      <c r="J387" s="80" t="s">
        <v>725</v>
      </c>
      <c r="K387" s="80" t="s">
        <v>271</v>
      </c>
      <c r="L387" t="s">
        <v>282</v>
      </c>
      <c r="M387" t="s">
        <v>159</v>
      </c>
      <c r="N387" t="str">
        <f t="shared" si="102"/>
        <v>SingleDesigner 25 Hand DrawnLevel 2072Single Face Fix Brackets</v>
      </c>
      <c r="O387">
        <v>35</v>
      </c>
      <c r="P387">
        <v>35</v>
      </c>
      <c r="Q387" s="80">
        <v>0</v>
      </c>
      <c r="R387" s="80">
        <f t="shared" si="103"/>
        <v>0</v>
      </c>
      <c r="AD387"/>
      <c r="AH387" s="86" t="s">
        <v>431</v>
      </c>
      <c r="AI387" t="s">
        <v>426</v>
      </c>
      <c r="AJ387" s="11" t="s">
        <v>11556</v>
      </c>
      <c r="AK387" s="80" t="str">
        <f t="shared" si="104" ref="AK387:AK394">CONCATENATE(AH387,AI387,AJ387)</f>
        <v>Vanda Boldtrak 25 with GlidesRiverstoneBent</v>
      </c>
      <c r="AL387" s="80" t="s">
        <v>435</v>
      </c>
      <c r="AM387" s="80" t="s">
        <v>120</v>
      </c>
      <c r="AN387" s="80">
        <v>0</v>
      </c>
      <c r="AO387" s="80" t="s">
        <v>120</v>
      </c>
    </row>
    <row r="388" spans="10:41" ht="16.2" customHeight="1">
      <c r="J388" s="80" t="s">
        <v>746</v>
      </c>
      <c r="K388" s="80" t="s">
        <v>271</v>
      </c>
      <c r="L388" t="s">
        <v>170</v>
      </c>
      <c r="M388" t="s">
        <v>159</v>
      </c>
      <c r="N388" t="str">
        <f t="shared" si="102"/>
        <v>Double FrontDesigner 25 Hand DrawnNormal 2074Single Face Fix Brackets</v>
      </c>
      <c r="O388">
        <v>60</v>
      </c>
      <c r="P388">
        <v>35</v>
      </c>
      <c r="Q388" s="80">
        <v>0</v>
      </c>
      <c r="R388" s="80">
        <f t="shared" si="103"/>
        <v>-25</v>
      </c>
      <c r="AD388"/>
      <c r="AH388" s="86" t="s">
        <v>431</v>
      </c>
      <c r="AI388" t="s">
        <v>426</v>
      </c>
      <c r="AJ388" s="11" t="s">
        <v>160</v>
      </c>
      <c r="AK388" s="80" t="str">
        <f t="shared" si="104"/>
        <v>Vanda Boldtrak 25 with GlidesRiverstoneStraight</v>
      </c>
      <c r="AL388" s="80" t="s">
        <v>435</v>
      </c>
      <c r="AM388" s="80" t="s">
        <v>120</v>
      </c>
      <c r="AN388" s="80">
        <v>0</v>
      </c>
      <c r="AO388" s="80" t="s">
        <v>120</v>
      </c>
    </row>
    <row r="389" spans="10:41" ht="16.2" customHeight="1">
      <c r="J389" s="80" t="s">
        <v>747</v>
      </c>
      <c r="K389" s="80" t="s">
        <v>271</v>
      </c>
      <c r="L389" t="s">
        <v>170</v>
      </c>
      <c r="M389" t="s">
        <v>159</v>
      </c>
      <c r="N389" t="str">
        <f t="shared" si="102"/>
        <v>Double RearDesigner 25 Hand DrawnNormal 2074Single Face Fix Brackets</v>
      </c>
      <c r="O389">
        <v>60</v>
      </c>
      <c r="P389">
        <v>45</v>
      </c>
      <c r="Q389" s="80">
        <v>0</v>
      </c>
      <c r="R389" s="80">
        <f t="shared" si="103"/>
        <v>-15</v>
      </c>
      <c r="AD389"/>
      <c r="AH389" s="86" t="s">
        <v>431</v>
      </c>
      <c r="AI389" t="s">
        <v>430</v>
      </c>
      <c r="AJ389" s="11" t="s">
        <v>11556</v>
      </c>
      <c r="AK389" s="80" t="str">
        <f t="shared" si="104"/>
        <v>Vanda Boldtrak 25 with GlidesSilver PearlBent</v>
      </c>
      <c r="AL389" s="80" t="s">
        <v>435</v>
      </c>
      <c r="AM389" s="80" t="s">
        <v>120</v>
      </c>
      <c r="AN389" s="80">
        <v>0</v>
      </c>
      <c r="AO389" s="80" t="s">
        <v>120</v>
      </c>
    </row>
    <row r="390" spans="10:41" ht="16.2" customHeight="1">
      <c r="J390" s="80" t="s">
        <v>725</v>
      </c>
      <c r="K390" s="80" t="s">
        <v>271</v>
      </c>
      <c r="L390" t="s">
        <v>170</v>
      </c>
      <c r="M390" t="s">
        <v>159</v>
      </c>
      <c r="N390" t="str">
        <f t="shared" si="102"/>
        <v>SingleDesigner 25 Hand DrawnNormal 2074Single Face Fix Brackets</v>
      </c>
      <c r="O390">
        <v>60</v>
      </c>
      <c r="P390">
        <v>35</v>
      </c>
      <c r="Q390" s="80">
        <v>0</v>
      </c>
      <c r="R390" s="80">
        <f t="shared" si="103"/>
        <v>-25</v>
      </c>
      <c r="AD390"/>
      <c r="AH390" s="86" t="s">
        <v>431</v>
      </c>
      <c r="AI390" t="s">
        <v>430</v>
      </c>
      <c r="AJ390" s="11" t="s">
        <v>160</v>
      </c>
      <c r="AK390" s="80" t="str">
        <f t="shared" si="104"/>
        <v>Vanda Boldtrak 25 with GlidesSilver PearlStraight</v>
      </c>
      <c r="AL390" s="80" t="s">
        <v>435</v>
      </c>
      <c r="AM390" s="80" t="s">
        <v>120</v>
      </c>
      <c r="AN390" s="80">
        <v>0</v>
      </c>
      <c r="AO390" s="80" t="s">
        <v>120</v>
      </c>
    </row>
    <row r="391" spans="10:41" ht="16.2" customHeight="1">
      <c r="J391" s="80" t="s">
        <v>746</v>
      </c>
      <c r="K391" s="80" t="s">
        <v>271</v>
      </c>
      <c r="L391" t="s">
        <v>183</v>
      </c>
      <c r="M391" t="s">
        <v>553</v>
      </c>
      <c r="N391" t="str">
        <f t="shared" si="102"/>
        <v>Double FrontDesigner 25 Hand DrawnBelow Normal 2075Triple Face Fix Brackets</v>
      </c>
      <c r="O391">
        <v>70</v>
      </c>
      <c r="P391">
        <v>35</v>
      </c>
      <c r="Q391" s="80">
        <v>0</v>
      </c>
      <c r="R391" s="80">
        <f t="shared" si="103"/>
        <v>-35</v>
      </c>
      <c r="AD391"/>
      <c r="AH391" s="86" t="s">
        <v>604</v>
      </c>
      <c r="AI391" t="s">
        <v>193</v>
      </c>
      <c r="AJ391" s="11" t="s">
        <v>11556</v>
      </c>
      <c r="AK391" s="80" t="str">
        <f t="shared" si="104"/>
        <v>Vanda Boldtrak 32 with GlidesBlackBent</v>
      </c>
      <c r="AL391" s="80" t="s">
        <v>435</v>
      </c>
      <c r="AM391" s="80" t="s">
        <v>120</v>
      </c>
      <c r="AN391" s="80">
        <v>0</v>
      </c>
      <c r="AO391" s="80" t="s">
        <v>120</v>
      </c>
    </row>
    <row r="392" spans="10:41" ht="16.2" customHeight="1">
      <c r="J392" s="80" t="s">
        <v>747</v>
      </c>
      <c r="K392" s="80" t="s">
        <v>271</v>
      </c>
      <c r="L392" t="s">
        <v>183</v>
      </c>
      <c r="M392" t="s">
        <v>553</v>
      </c>
      <c r="N392" t="str">
        <f t="shared" si="102"/>
        <v>Double RearDesigner 25 Hand DrawnBelow Normal 2075Triple Face Fix Brackets</v>
      </c>
      <c r="O392">
        <v>70</v>
      </c>
      <c r="P392">
        <v>45</v>
      </c>
      <c r="Q392" s="80">
        <v>0</v>
      </c>
      <c r="R392" s="80">
        <f t="shared" si="103"/>
        <v>-25</v>
      </c>
      <c r="AD392"/>
      <c r="AH392" s="86" t="s">
        <v>604</v>
      </c>
      <c r="AI392" t="s">
        <v>193</v>
      </c>
      <c r="AJ392" s="11" t="s">
        <v>160</v>
      </c>
      <c r="AK392" s="80" t="str">
        <f t="shared" si="104"/>
        <v>Vanda Boldtrak 32 with GlidesBlackStraight</v>
      </c>
      <c r="AL392" s="80" t="s">
        <v>435</v>
      </c>
      <c r="AM392" s="80" t="s">
        <v>120</v>
      </c>
      <c r="AN392" s="80">
        <v>0</v>
      </c>
      <c r="AO392" s="80" t="s">
        <v>120</v>
      </c>
    </row>
    <row r="393" spans="10:41" ht="16.2" customHeight="1">
      <c r="J393" s="80" t="s">
        <v>725</v>
      </c>
      <c r="K393" s="80" t="s">
        <v>271</v>
      </c>
      <c r="L393" t="s">
        <v>183</v>
      </c>
      <c r="M393" t="s">
        <v>553</v>
      </c>
      <c r="N393" t="str">
        <f t="shared" si="102"/>
        <v>SingleDesigner 25 Hand DrawnBelow Normal 2075Triple Face Fix Brackets</v>
      </c>
      <c r="O393">
        <v>70</v>
      </c>
      <c r="P393">
        <v>35</v>
      </c>
      <c r="Q393" s="80">
        <v>0</v>
      </c>
      <c r="R393" s="80">
        <f t="shared" si="103"/>
        <v>-35</v>
      </c>
      <c r="AD393"/>
      <c r="AH393" s="86" t="s">
        <v>604</v>
      </c>
      <c r="AI393" t="s">
        <v>428</v>
      </c>
      <c r="AJ393" s="11" t="s">
        <v>11556</v>
      </c>
      <c r="AK393" s="80" t="str">
        <f t="shared" si="104"/>
        <v>Vanda Boldtrak 32 with GlidesBronzeBent</v>
      </c>
      <c r="AL393" s="80" t="s">
        <v>435</v>
      </c>
      <c r="AM393" s="80" t="s">
        <v>120</v>
      </c>
      <c r="AN393" s="80">
        <v>0</v>
      </c>
      <c r="AO393" s="80" t="s">
        <v>120</v>
      </c>
    </row>
    <row r="394" spans="10:41" ht="16.2" customHeight="1">
      <c r="J394" s="80" t="s">
        <v>746</v>
      </c>
      <c r="K394" s="80" t="s">
        <v>271</v>
      </c>
      <c r="L394" t="s">
        <v>182</v>
      </c>
      <c r="M394" t="s">
        <v>553</v>
      </c>
      <c r="N394" t="str">
        <f t="shared" si="102"/>
        <v>Double FrontDesigner 25 Hand DrawnBetween Level and Normal 2073Triple Face Fix Brackets</v>
      </c>
      <c r="O394">
        <v>48</v>
      </c>
      <c r="P394">
        <v>35</v>
      </c>
      <c r="Q394" s="80">
        <v>0</v>
      </c>
      <c r="R394" s="80">
        <f t="shared" si="103"/>
        <v>-13</v>
      </c>
      <c r="AD394"/>
      <c r="AH394" s="86" t="s">
        <v>604</v>
      </c>
      <c r="AI394" t="s">
        <v>428</v>
      </c>
      <c r="AJ394" s="11" t="s">
        <v>160</v>
      </c>
      <c r="AK394" s="80" t="str">
        <f t="shared" si="104"/>
        <v>Vanda Boldtrak 32 with GlidesBronzeStraight</v>
      </c>
      <c r="AL394" s="80" t="s">
        <v>435</v>
      </c>
      <c r="AM394" s="80" t="s">
        <v>120</v>
      </c>
      <c r="AN394" s="80">
        <v>0</v>
      </c>
      <c r="AO394" s="80" t="s">
        <v>120</v>
      </c>
    </row>
    <row r="395" spans="10:41" ht="16.2" customHeight="1">
      <c r="J395" s="80" t="s">
        <v>747</v>
      </c>
      <c r="K395" s="80" t="s">
        <v>271</v>
      </c>
      <c r="L395" t="s">
        <v>182</v>
      </c>
      <c r="M395" t="s">
        <v>553</v>
      </c>
      <c r="N395" t="str">
        <f t="shared" si="102"/>
        <v>Double RearDesigner 25 Hand DrawnBetween Level and Normal 2073Triple Face Fix Brackets</v>
      </c>
      <c r="O395">
        <v>48</v>
      </c>
      <c r="P395">
        <v>45</v>
      </c>
      <c r="Q395" s="80">
        <v>0</v>
      </c>
      <c r="R395" s="80">
        <f t="shared" si="103"/>
        <v>-3</v>
      </c>
      <c r="AD395"/>
      <c r="AH395" s="86" t="s">
        <v>604</v>
      </c>
      <c r="AI395" t="s">
        <v>427</v>
      </c>
      <c r="AJ395" s="11" t="s">
        <v>11556</v>
      </c>
      <c r="AK395" s="80" t="str">
        <f t="shared" si="105" ref="AK395:AK402">CONCATENATE(AH395,AI395,AJ395)</f>
        <v>Vanda Boldtrak 32 with GlidesClassic WhiteBent</v>
      </c>
      <c r="AL395" s="80" t="s">
        <v>435</v>
      </c>
      <c r="AM395" s="80" t="s">
        <v>120</v>
      </c>
      <c r="AN395" s="80">
        <v>0</v>
      </c>
      <c r="AO395" s="80" t="s">
        <v>120</v>
      </c>
    </row>
    <row r="396" spans="10:41" ht="16.2" customHeight="1">
      <c r="J396" s="80" t="s">
        <v>725</v>
      </c>
      <c r="K396" s="80" t="s">
        <v>271</v>
      </c>
      <c r="L396" t="s">
        <v>182</v>
      </c>
      <c r="M396" t="s">
        <v>553</v>
      </c>
      <c r="N396" t="str">
        <f t="shared" si="102"/>
        <v>SingleDesigner 25 Hand DrawnBetween Level and Normal 2073Triple Face Fix Brackets</v>
      </c>
      <c r="O396">
        <v>47</v>
      </c>
      <c r="P396">
        <v>35</v>
      </c>
      <c r="Q396" s="80">
        <v>0</v>
      </c>
      <c r="R396" s="80">
        <f t="shared" si="103"/>
        <v>-12</v>
      </c>
      <c r="AD396"/>
      <c r="AH396" s="86" t="s">
        <v>604</v>
      </c>
      <c r="AI396" t="s">
        <v>427</v>
      </c>
      <c r="AJ396" s="11" t="s">
        <v>160</v>
      </c>
      <c r="AK396" s="80" t="str">
        <f t="shared" si="105"/>
        <v>Vanda Boldtrak 32 with GlidesClassic WhiteStraight</v>
      </c>
      <c r="AL396" s="80" t="s">
        <v>435</v>
      </c>
      <c r="AM396" s="80" t="s">
        <v>120</v>
      </c>
      <c r="AN396" s="80">
        <v>0</v>
      </c>
      <c r="AO396" s="80" t="s">
        <v>120</v>
      </c>
    </row>
    <row r="397" spans="10:41" ht="16.2" customHeight="1">
      <c r="J397" s="80" t="s">
        <v>746</v>
      </c>
      <c r="K397" s="80" t="s">
        <v>271</v>
      </c>
      <c r="L397" t="s">
        <v>184</v>
      </c>
      <c r="M397" t="s">
        <v>553</v>
      </c>
      <c r="N397" t="str">
        <f t="shared" si="102"/>
        <v>Double FrontDesigner 25 Hand DrawnDecorator 2071Triple Face Fix Brackets</v>
      </c>
      <c r="O397">
        <v>20</v>
      </c>
      <c r="P397">
        <v>35</v>
      </c>
      <c r="Q397" s="80">
        <v>0</v>
      </c>
      <c r="R397" s="80">
        <f t="shared" si="103"/>
        <v>15</v>
      </c>
      <c r="AD397"/>
      <c r="AH397" s="86" t="s">
        <v>604</v>
      </c>
      <c r="AI397" t="s">
        <v>190</v>
      </c>
      <c r="AJ397" s="11" t="s">
        <v>11556</v>
      </c>
      <c r="AK397" s="80" t="str">
        <f t="shared" si="105"/>
        <v>Vanda Boldtrak 32 with GlidesIvoryBent</v>
      </c>
      <c r="AL397" s="80" t="s">
        <v>435</v>
      </c>
      <c r="AM397" s="80" t="s">
        <v>120</v>
      </c>
      <c r="AN397" s="80">
        <v>0</v>
      </c>
      <c r="AO397" s="80" t="s">
        <v>120</v>
      </c>
    </row>
    <row r="398" spans="10:41" ht="16.2" customHeight="1">
      <c r="J398" s="80" t="s">
        <v>747</v>
      </c>
      <c r="K398" s="80" t="s">
        <v>271</v>
      </c>
      <c r="L398" t="s">
        <v>184</v>
      </c>
      <c r="M398" t="s">
        <v>553</v>
      </c>
      <c r="N398" t="str">
        <f t="shared" si="102"/>
        <v>Double RearDesigner 25 Hand DrawnDecorator 2071Triple Face Fix Brackets</v>
      </c>
      <c r="O398">
        <v>20</v>
      </c>
      <c r="P398">
        <v>45</v>
      </c>
      <c r="Q398" s="80">
        <v>0</v>
      </c>
      <c r="R398" s="80">
        <f t="shared" si="103"/>
        <v>25</v>
      </c>
      <c r="AD398"/>
      <c r="AH398" s="86" t="s">
        <v>604</v>
      </c>
      <c r="AI398" t="s">
        <v>190</v>
      </c>
      <c r="AJ398" s="11" t="s">
        <v>160</v>
      </c>
      <c r="AK398" s="80" t="str">
        <f t="shared" si="105"/>
        <v>Vanda Boldtrak 32 with GlidesIvoryStraight</v>
      </c>
      <c r="AL398" s="80" t="s">
        <v>435</v>
      </c>
      <c r="AM398" s="80" t="s">
        <v>120</v>
      </c>
      <c r="AN398" s="80">
        <v>0</v>
      </c>
      <c r="AO398" s="80" t="s">
        <v>120</v>
      </c>
    </row>
    <row r="399" spans="10:41" ht="16.2" customHeight="1">
      <c r="J399" s="80" t="s">
        <v>725</v>
      </c>
      <c r="K399" s="80" t="s">
        <v>271</v>
      </c>
      <c r="L399" t="s">
        <v>184</v>
      </c>
      <c r="M399" t="s">
        <v>553</v>
      </c>
      <c r="N399" t="str">
        <f t="shared" si="102"/>
        <v>SingleDesigner 25 Hand DrawnDecorator 2071Triple Face Fix Brackets</v>
      </c>
      <c r="O399">
        <v>20</v>
      </c>
      <c r="P399">
        <v>35</v>
      </c>
      <c r="Q399" s="80">
        <v>0</v>
      </c>
      <c r="R399" s="80">
        <f t="shared" si="103"/>
        <v>15</v>
      </c>
      <c r="AD399"/>
      <c r="AH399" s="86" t="s">
        <v>604</v>
      </c>
      <c r="AI399" t="s">
        <v>429</v>
      </c>
      <c r="AJ399" s="11" t="s">
        <v>11556</v>
      </c>
      <c r="AK399" s="80" t="str">
        <f t="shared" si="105"/>
        <v>Vanda Boldtrak 32 with GlidesPewterBent</v>
      </c>
      <c r="AL399" s="80" t="s">
        <v>435</v>
      </c>
      <c r="AM399" s="80" t="s">
        <v>120</v>
      </c>
      <c r="AN399" s="80">
        <v>0</v>
      </c>
      <c r="AO399" s="80" t="s">
        <v>120</v>
      </c>
    </row>
    <row r="400" spans="10:41" ht="16.2" customHeight="1">
      <c r="J400" s="80" t="s">
        <v>746</v>
      </c>
      <c r="K400" s="80" t="s">
        <v>271</v>
      </c>
      <c r="L400" t="s">
        <v>6468</v>
      </c>
      <c r="M400" t="s">
        <v>553</v>
      </c>
      <c r="N400" t="str">
        <f t="shared" si="102"/>
        <v>Double FrontDesigner 25 Hand DrawnGather Hook Bottom PocketTriple Face Fix Brackets</v>
      </c>
      <c r="O400">
        <v>60</v>
      </c>
      <c r="P400">
        <v>35</v>
      </c>
      <c r="Q400" s="80">
        <v>0</v>
      </c>
      <c r="R400" s="80">
        <f t="shared" si="103"/>
        <v>-25</v>
      </c>
      <c r="AD400"/>
      <c r="AH400" s="86" t="s">
        <v>604</v>
      </c>
      <c r="AI400" t="s">
        <v>429</v>
      </c>
      <c r="AJ400" s="11" t="s">
        <v>160</v>
      </c>
      <c r="AK400" s="80" t="str">
        <f t="shared" si="105"/>
        <v>Vanda Boldtrak 32 with GlidesPewterStraight</v>
      </c>
      <c r="AL400" s="80" t="s">
        <v>435</v>
      </c>
      <c r="AM400" s="80" t="s">
        <v>120</v>
      </c>
      <c r="AN400" s="80">
        <v>0</v>
      </c>
      <c r="AO400" s="80" t="s">
        <v>120</v>
      </c>
    </row>
    <row r="401" spans="10:41" ht="16.2" customHeight="1">
      <c r="J401" s="80" t="s">
        <v>725</v>
      </c>
      <c r="K401" s="80" t="s">
        <v>271</v>
      </c>
      <c r="L401" t="s">
        <v>6468</v>
      </c>
      <c r="M401" t="s">
        <v>553</v>
      </c>
      <c r="N401" t="str">
        <f t="shared" si="102"/>
        <v>SingleDesigner 25 Hand DrawnGather Hook Bottom PocketTriple Face Fix Brackets</v>
      </c>
      <c r="O401">
        <v>60</v>
      </c>
      <c r="P401">
        <v>35</v>
      </c>
      <c r="Q401" s="80">
        <v>0</v>
      </c>
      <c r="R401" s="80">
        <f t="shared" si="103"/>
        <v>-25</v>
      </c>
      <c r="AD401"/>
      <c r="AH401" s="86" t="s">
        <v>604</v>
      </c>
      <c r="AI401" t="s">
        <v>426</v>
      </c>
      <c r="AJ401" s="11" t="s">
        <v>11556</v>
      </c>
      <c r="AK401" s="80" t="str">
        <f t="shared" si="105"/>
        <v>Vanda Boldtrak 32 with GlidesRiverstoneBent</v>
      </c>
      <c r="AL401" s="80" t="s">
        <v>435</v>
      </c>
      <c r="AM401" s="80" t="s">
        <v>120</v>
      </c>
      <c r="AN401" s="80">
        <v>0</v>
      </c>
      <c r="AO401" s="80" t="s">
        <v>120</v>
      </c>
    </row>
    <row r="402" spans="10:41" ht="16.2" customHeight="1">
      <c r="J402" s="80" t="s">
        <v>746</v>
      </c>
      <c r="K402" s="80" t="s">
        <v>271</v>
      </c>
      <c r="L402" t="s">
        <v>229</v>
      </c>
      <c r="M402" t="s">
        <v>553</v>
      </c>
      <c r="N402" t="str">
        <f t="shared" si="102"/>
        <v>Double FrontDesigner 25 Hand DrawnGather Hook LevelTriple Face Fix Brackets</v>
      </c>
      <c r="O402">
        <v>20</v>
      </c>
      <c r="P402">
        <v>35</v>
      </c>
      <c r="Q402" s="80">
        <v>0</v>
      </c>
      <c r="R402" s="80">
        <f t="shared" si="103"/>
        <v>15</v>
      </c>
      <c r="AD402"/>
      <c r="AH402" s="86" t="s">
        <v>604</v>
      </c>
      <c r="AI402" t="s">
        <v>426</v>
      </c>
      <c r="AJ402" s="11" t="s">
        <v>160</v>
      </c>
      <c r="AK402" s="80" t="str">
        <f t="shared" si="105"/>
        <v>Vanda Boldtrak 32 with GlidesRiverstoneStraight</v>
      </c>
      <c r="AL402" s="80" t="s">
        <v>435</v>
      </c>
      <c r="AM402" s="80" t="s">
        <v>120</v>
      </c>
      <c r="AN402" s="80">
        <v>0</v>
      </c>
      <c r="AO402" s="80" t="s">
        <v>120</v>
      </c>
    </row>
    <row r="403" spans="10:41" ht="16.2" customHeight="1">
      <c r="J403" s="80" t="s">
        <v>747</v>
      </c>
      <c r="K403" s="80" t="s">
        <v>271</v>
      </c>
      <c r="L403" t="s">
        <v>229</v>
      </c>
      <c r="M403" t="s">
        <v>553</v>
      </c>
      <c r="N403" t="str">
        <f t="shared" si="102"/>
        <v>Double RearDesigner 25 Hand DrawnGather Hook LevelTriple Face Fix Brackets</v>
      </c>
      <c r="O403">
        <v>20</v>
      </c>
      <c r="P403">
        <v>45</v>
      </c>
      <c r="Q403" s="80">
        <v>0</v>
      </c>
      <c r="R403" s="80">
        <f t="shared" si="103"/>
        <v>25</v>
      </c>
      <c r="AD403"/>
      <c r="AH403" s="86" t="s">
        <v>604</v>
      </c>
      <c r="AI403" t="s">
        <v>430</v>
      </c>
      <c r="AJ403" s="11" t="s">
        <v>11556</v>
      </c>
      <c r="AK403" s="80" t="str">
        <f t="shared" si="106" ref="AK403:AK412">CONCATENATE(AH403,AI403,AJ403)</f>
        <v>Vanda Boldtrak 32 with GlidesSilver PearlBent</v>
      </c>
      <c r="AL403" s="80" t="s">
        <v>435</v>
      </c>
      <c r="AM403" s="80" t="s">
        <v>120</v>
      </c>
      <c r="AN403" s="80">
        <v>0</v>
      </c>
      <c r="AO403" s="80" t="s">
        <v>120</v>
      </c>
    </row>
    <row r="404" spans="10:41" ht="16.2" customHeight="1">
      <c r="J404" s="80" t="s">
        <v>725</v>
      </c>
      <c r="K404" s="80" t="s">
        <v>271</v>
      </c>
      <c r="L404" t="s">
        <v>229</v>
      </c>
      <c r="M404" t="s">
        <v>553</v>
      </c>
      <c r="N404" t="str">
        <f t="shared" si="102"/>
        <v>SingleDesigner 25 Hand DrawnGather Hook LevelTriple Face Fix Brackets</v>
      </c>
      <c r="O404">
        <v>20</v>
      </c>
      <c r="P404">
        <v>35</v>
      </c>
      <c r="Q404" s="80">
        <v>0</v>
      </c>
      <c r="R404" s="80">
        <f t="shared" si="103"/>
        <v>15</v>
      </c>
      <c r="AD404"/>
      <c r="AH404" s="86" t="s">
        <v>604</v>
      </c>
      <c r="AI404" t="s">
        <v>430</v>
      </c>
      <c r="AJ404" s="11" t="s">
        <v>160</v>
      </c>
      <c r="AK404" s="80" t="str">
        <f t="shared" si="106"/>
        <v>Vanda Boldtrak 32 with GlidesSilver PearlStraight</v>
      </c>
      <c r="AL404" s="80" t="s">
        <v>435</v>
      </c>
      <c r="AM404" s="80" t="s">
        <v>120</v>
      </c>
      <c r="AN404" s="80">
        <v>0</v>
      </c>
      <c r="AO404" s="80" t="s">
        <v>120</v>
      </c>
    </row>
    <row r="405" spans="10:41" ht="16.2" customHeight="1">
      <c r="J405" s="80" t="s">
        <v>746</v>
      </c>
      <c r="K405" s="80" t="s">
        <v>271</v>
      </c>
      <c r="L405" t="s">
        <v>228</v>
      </c>
      <c r="M405" t="s">
        <v>553</v>
      </c>
      <c r="N405" t="str">
        <f t="shared" si="102"/>
        <v>Double FrontDesigner 25 Hand DrawnGather Hook NormalTriple Face Fix Brackets</v>
      </c>
      <c r="O405">
        <v>43</v>
      </c>
      <c r="P405">
        <v>35</v>
      </c>
      <c r="Q405" s="80">
        <v>0</v>
      </c>
      <c r="R405" s="80">
        <f t="shared" si="103"/>
        <v>-8</v>
      </c>
      <c r="AD405"/>
      <c r="AH405" s="86" t="s">
        <v>434</v>
      </c>
      <c r="AI405" t="s">
        <v>193</v>
      </c>
      <c r="AJ405" s="11" t="s">
        <v>11556</v>
      </c>
      <c r="AK405" s="80" t="str">
        <f t="shared" si="106"/>
        <v>Vanda Boldtrak 35 S-FoldBlackBent</v>
      </c>
      <c r="AL405" s="80" t="s">
        <v>435</v>
      </c>
      <c r="AM405" s="80" t="s">
        <v>120</v>
      </c>
      <c r="AN405" s="80">
        <v>0</v>
      </c>
      <c r="AO405" s="80" t="s">
        <v>181</v>
      </c>
    </row>
    <row r="406" spans="10:41" ht="16.2" customHeight="1">
      <c r="J406" s="80" t="s">
        <v>747</v>
      </c>
      <c r="K406" s="80" t="s">
        <v>271</v>
      </c>
      <c r="L406" t="s">
        <v>228</v>
      </c>
      <c r="M406" t="s">
        <v>553</v>
      </c>
      <c r="N406" t="str">
        <f t="shared" si="102"/>
        <v>Double RearDesigner 25 Hand DrawnGather Hook NormalTriple Face Fix Brackets</v>
      </c>
      <c r="O406">
        <v>43</v>
      </c>
      <c r="P406">
        <v>45</v>
      </c>
      <c r="Q406" s="80">
        <v>0</v>
      </c>
      <c r="R406" s="80">
        <f t="shared" si="103"/>
        <v>2</v>
      </c>
      <c r="AD406"/>
      <c r="AH406" s="86" t="s">
        <v>434</v>
      </c>
      <c r="AI406" t="s">
        <v>193</v>
      </c>
      <c r="AJ406" s="11" t="s">
        <v>160</v>
      </c>
      <c r="AK406" s="80" t="str">
        <f t="shared" si="106"/>
        <v>Vanda Boldtrak 35 S-FoldBlackStraight</v>
      </c>
      <c r="AL406" s="80" t="s">
        <v>435</v>
      </c>
      <c r="AM406" s="80" t="s">
        <v>120</v>
      </c>
      <c r="AN406" s="80">
        <v>0</v>
      </c>
      <c r="AO406" s="80" t="s">
        <v>181</v>
      </c>
    </row>
    <row r="407" spans="10:41" ht="16.2" customHeight="1">
      <c r="J407" s="80" t="s">
        <v>725</v>
      </c>
      <c r="K407" s="80" t="s">
        <v>271</v>
      </c>
      <c r="L407" t="s">
        <v>228</v>
      </c>
      <c r="M407" t="s">
        <v>553</v>
      </c>
      <c r="N407" t="str">
        <f t="shared" si="102"/>
        <v>SingleDesigner 25 Hand DrawnGather Hook NormalTriple Face Fix Brackets</v>
      </c>
      <c r="O407">
        <v>43</v>
      </c>
      <c r="P407">
        <v>35</v>
      </c>
      <c r="Q407" s="80">
        <v>0</v>
      </c>
      <c r="R407" s="80">
        <f t="shared" si="103"/>
        <v>-8</v>
      </c>
      <c r="AD407"/>
      <c r="AH407" s="86" t="s">
        <v>434</v>
      </c>
      <c r="AI407" t="s">
        <v>428</v>
      </c>
      <c r="AJ407" s="11" t="s">
        <v>11556</v>
      </c>
      <c r="AK407" s="80" t="str">
        <f t="shared" si="106"/>
        <v>Vanda Boldtrak 35 S-FoldBronzeBent</v>
      </c>
      <c r="AL407" s="80" t="s">
        <v>435</v>
      </c>
      <c r="AM407" s="80" t="s">
        <v>120</v>
      </c>
      <c r="AN407" s="80">
        <v>0</v>
      </c>
      <c r="AO407" s="80" t="s">
        <v>181</v>
      </c>
    </row>
    <row r="408" spans="10:41" ht="16.2" customHeight="1">
      <c r="J408" s="80" t="s">
        <v>746</v>
      </c>
      <c r="K408" s="80" t="s">
        <v>271</v>
      </c>
      <c r="L408" t="s">
        <v>282</v>
      </c>
      <c r="M408" t="s">
        <v>553</v>
      </c>
      <c r="N408" t="str">
        <f t="shared" si="102"/>
        <v>Double FrontDesigner 25 Hand DrawnLevel 2072Triple Face Fix Brackets</v>
      </c>
      <c r="O408">
        <v>38</v>
      </c>
      <c r="P408">
        <v>35</v>
      </c>
      <c r="Q408" s="80">
        <v>0</v>
      </c>
      <c r="R408" s="80">
        <f t="shared" si="103"/>
        <v>-3</v>
      </c>
      <c r="AD408"/>
      <c r="AH408" s="86" t="s">
        <v>434</v>
      </c>
      <c r="AI408" t="s">
        <v>428</v>
      </c>
      <c r="AJ408" s="11" t="s">
        <v>160</v>
      </c>
      <c r="AK408" s="80" t="str">
        <f t="shared" si="106"/>
        <v>Vanda Boldtrak 35 S-FoldBronzeStraight</v>
      </c>
      <c r="AL408" s="80" t="s">
        <v>435</v>
      </c>
      <c r="AM408" s="80" t="s">
        <v>120</v>
      </c>
      <c r="AN408" s="80">
        <v>0</v>
      </c>
      <c r="AO408" s="80" t="s">
        <v>181</v>
      </c>
    </row>
    <row r="409" spans="10:41" ht="16.2" customHeight="1">
      <c r="J409" s="80" t="s">
        <v>747</v>
      </c>
      <c r="K409" s="80" t="s">
        <v>271</v>
      </c>
      <c r="L409" t="s">
        <v>282</v>
      </c>
      <c r="M409" t="s">
        <v>553</v>
      </c>
      <c r="N409" t="str">
        <f t="shared" si="102"/>
        <v>Double RearDesigner 25 Hand DrawnLevel 2072Triple Face Fix Brackets</v>
      </c>
      <c r="O409">
        <v>38</v>
      </c>
      <c r="P409">
        <v>45</v>
      </c>
      <c r="Q409" s="80">
        <v>0</v>
      </c>
      <c r="R409" s="80">
        <f t="shared" si="103"/>
        <v>7</v>
      </c>
      <c r="AD409"/>
      <c r="AH409" s="86" t="s">
        <v>434</v>
      </c>
      <c r="AI409" t="s">
        <v>427</v>
      </c>
      <c r="AJ409" s="11" t="s">
        <v>11556</v>
      </c>
      <c r="AK409" s="80" t="str">
        <f t="shared" si="106"/>
        <v>Vanda Boldtrak 35 S-FoldClassic WhiteBent</v>
      </c>
      <c r="AL409" s="80" t="s">
        <v>435</v>
      </c>
      <c r="AM409" s="80" t="s">
        <v>120</v>
      </c>
      <c r="AN409" s="80">
        <v>0</v>
      </c>
      <c r="AO409" s="80" t="s">
        <v>181</v>
      </c>
    </row>
    <row r="410" spans="10:41" ht="16.2" customHeight="1">
      <c r="J410" s="80" t="s">
        <v>725</v>
      </c>
      <c r="K410" s="80" t="s">
        <v>271</v>
      </c>
      <c r="L410" t="s">
        <v>282</v>
      </c>
      <c r="M410" t="s">
        <v>553</v>
      </c>
      <c r="N410" t="str">
        <f t="shared" si="102"/>
        <v>SingleDesigner 25 Hand DrawnLevel 2072Triple Face Fix Brackets</v>
      </c>
      <c r="O410">
        <v>35</v>
      </c>
      <c r="P410">
        <v>35</v>
      </c>
      <c r="Q410" s="80">
        <v>0</v>
      </c>
      <c r="R410" s="80">
        <f t="shared" si="103"/>
        <v>0</v>
      </c>
      <c r="AD410"/>
      <c r="AH410" s="86" t="s">
        <v>434</v>
      </c>
      <c r="AI410" t="s">
        <v>427</v>
      </c>
      <c r="AJ410" s="11" t="s">
        <v>160</v>
      </c>
      <c r="AK410" s="80" t="str">
        <f t="shared" si="106"/>
        <v>Vanda Boldtrak 35 S-FoldClassic WhiteStraight</v>
      </c>
      <c r="AL410" s="80" t="s">
        <v>435</v>
      </c>
      <c r="AM410" s="80" t="s">
        <v>120</v>
      </c>
      <c r="AN410" s="80">
        <v>0</v>
      </c>
      <c r="AO410" s="80" t="s">
        <v>181</v>
      </c>
    </row>
    <row r="411" spans="10:41" ht="16.2" customHeight="1">
      <c r="J411" s="80" t="s">
        <v>746</v>
      </c>
      <c r="K411" s="80" t="s">
        <v>271</v>
      </c>
      <c r="L411" t="s">
        <v>170</v>
      </c>
      <c r="M411" t="s">
        <v>553</v>
      </c>
      <c r="N411" t="str">
        <f t="shared" si="102"/>
        <v>Double FrontDesigner 25 Hand DrawnNormal 2074Triple Face Fix Brackets</v>
      </c>
      <c r="O411">
        <v>60</v>
      </c>
      <c r="P411">
        <v>35</v>
      </c>
      <c r="Q411" s="80">
        <v>0</v>
      </c>
      <c r="R411" s="80">
        <f t="shared" si="103"/>
        <v>-25</v>
      </c>
      <c r="AD411"/>
      <c r="AH411" s="86" t="s">
        <v>434</v>
      </c>
      <c r="AI411" t="s">
        <v>190</v>
      </c>
      <c r="AJ411" s="11" t="s">
        <v>11556</v>
      </c>
      <c r="AK411" s="80" t="str">
        <f t="shared" si="106"/>
        <v>Vanda Boldtrak 35 S-FoldIvoryBent</v>
      </c>
      <c r="AL411" s="80" t="s">
        <v>435</v>
      </c>
      <c r="AM411" s="80" t="s">
        <v>120</v>
      </c>
      <c r="AN411" s="80">
        <v>0</v>
      </c>
      <c r="AO411" s="80" t="s">
        <v>181</v>
      </c>
    </row>
    <row r="412" spans="10:41" ht="16.2" customHeight="1">
      <c r="J412" s="80" t="s">
        <v>747</v>
      </c>
      <c r="K412" s="80" t="s">
        <v>271</v>
      </c>
      <c r="L412" t="s">
        <v>170</v>
      </c>
      <c r="M412" t="s">
        <v>553</v>
      </c>
      <c r="N412" t="str">
        <f t="shared" si="102"/>
        <v>Double RearDesigner 25 Hand DrawnNormal 2074Triple Face Fix Brackets</v>
      </c>
      <c r="O412">
        <v>60</v>
      </c>
      <c r="P412">
        <v>45</v>
      </c>
      <c r="Q412" s="80">
        <v>0</v>
      </c>
      <c r="R412" s="80">
        <f t="shared" si="103"/>
        <v>-15</v>
      </c>
      <c r="AD412"/>
      <c r="AH412" s="86" t="s">
        <v>434</v>
      </c>
      <c r="AI412" t="s">
        <v>190</v>
      </c>
      <c r="AJ412" s="11" t="s">
        <v>160</v>
      </c>
      <c r="AK412" s="80" t="str">
        <f t="shared" si="106"/>
        <v>Vanda Boldtrak 35 S-FoldIvoryStraight</v>
      </c>
      <c r="AL412" s="80" t="s">
        <v>435</v>
      </c>
      <c r="AM412" s="80" t="s">
        <v>120</v>
      </c>
      <c r="AN412" s="80">
        <v>0</v>
      </c>
      <c r="AO412" s="80" t="s">
        <v>181</v>
      </c>
    </row>
    <row r="413" spans="10:41" ht="16.2" customHeight="1">
      <c r="J413" s="80" t="s">
        <v>725</v>
      </c>
      <c r="K413" s="80" t="s">
        <v>271</v>
      </c>
      <c r="L413" t="s">
        <v>170</v>
      </c>
      <c r="M413" t="s">
        <v>553</v>
      </c>
      <c r="N413" t="str">
        <f t="shared" si="102"/>
        <v>SingleDesigner 25 Hand DrawnNormal 2074Triple Face Fix Brackets</v>
      </c>
      <c r="O413">
        <v>60</v>
      </c>
      <c r="P413">
        <v>35</v>
      </c>
      <c r="Q413" s="80">
        <v>0</v>
      </c>
      <c r="R413" s="80">
        <f t="shared" si="103"/>
        <v>-25</v>
      </c>
      <c r="AD413"/>
      <c r="AH413" s="86" t="s">
        <v>434</v>
      </c>
      <c r="AI413" t="s">
        <v>429</v>
      </c>
      <c r="AJ413" s="11" t="s">
        <v>11556</v>
      </c>
      <c r="AK413" s="80" t="str">
        <f t="shared" si="107" ref="AK413:AK420">CONCATENATE(AH413,AI413,AJ413)</f>
        <v>Vanda Boldtrak 35 S-FoldPewterBent</v>
      </c>
      <c r="AL413" s="80" t="s">
        <v>435</v>
      </c>
      <c r="AM413" s="80" t="s">
        <v>120</v>
      </c>
      <c r="AN413" s="80">
        <v>0</v>
      </c>
      <c r="AO413" s="80" t="s">
        <v>181</v>
      </c>
    </row>
    <row r="414" spans="10:41" ht="16.2" customHeight="1">
      <c r="J414" s="80" t="s">
        <v>746</v>
      </c>
      <c r="K414" s="80" t="s">
        <v>367</v>
      </c>
      <c r="L414" t="s">
        <v>185</v>
      </c>
      <c r="M414" t="s">
        <v>162</v>
      </c>
      <c r="N414" t="str">
        <f t="shared" si="102"/>
        <v>Double FrontDesigner 25 S-Fold Cord DrawnNo HooksDouble Face Fix Brackets</v>
      </c>
      <c r="O414">
        <v>0</v>
      </c>
      <c r="P414">
        <v>35</v>
      </c>
      <c r="Q414" s="80">
        <v>0</v>
      </c>
      <c r="R414" s="80">
        <f t="shared" si="103"/>
        <v>35</v>
      </c>
      <c r="AD414"/>
      <c r="AH414" s="86" t="s">
        <v>434</v>
      </c>
      <c r="AI414" t="s">
        <v>429</v>
      </c>
      <c r="AJ414" s="11" t="s">
        <v>160</v>
      </c>
      <c r="AK414" s="80" t="str">
        <f t="shared" si="107"/>
        <v>Vanda Boldtrak 35 S-FoldPewterStraight</v>
      </c>
      <c r="AL414" s="80" t="s">
        <v>435</v>
      </c>
      <c r="AM414" s="80" t="s">
        <v>120</v>
      </c>
      <c r="AN414" s="80">
        <v>0</v>
      </c>
      <c r="AO414" s="80" t="s">
        <v>181</v>
      </c>
    </row>
    <row r="415" spans="10:41" ht="16.2" customHeight="1">
      <c r="J415" s="80" t="s">
        <v>747</v>
      </c>
      <c r="K415" s="80" t="s">
        <v>367</v>
      </c>
      <c r="L415" t="s">
        <v>185</v>
      </c>
      <c r="M415" t="s">
        <v>162</v>
      </c>
      <c r="N415" t="str">
        <f t="shared" si="102"/>
        <v>Double RearDesigner 25 S-Fold Cord DrawnNo HooksDouble Face Fix Brackets</v>
      </c>
      <c r="O415">
        <v>0</v>
      </c>
      <c r="P415">
        <v>45</v>
      </c>
      <c r="Q415" s="80">
        <v>0</v>
      </c>
      <c r="R415" s="80">
        <f t="shared" si="103"/>
        <v>45</v>
      </c>
      <c r="AD415"/>
      <c r="AH415" s="86" t="s">
        <v>434</v>
      </c>
      <c r="AI415" t="s">
        <v>426</v>
      </c>
      <c r="AJ415" s="11" t="s">
        <v>11556</v>
      </c>
      <c r="AK415" s="80" t="str">
        <f t="shared" si="107"/>
        <v>Vanda Boldtrak 35 S-FoldRiverstoneBent</v>
      </c>
      <c r="AL415" s="80" t="s">
        <v>435</v>
      </c>
      <c r="AM415" s="80" t="s">
        <v>120</v>
      </c>
      <c r="AN415" s="80">
        <v>0</v>
      </c>
      <c r="AO415" s="80" t="s">
        <v>181</v>
      </c>
    </row>
    <row r="416" spans="10:41" ht="16.2" customHeight="1">
      <c r="J416" s="80" t="s">
        <v>746</v>
      </c>
      <c r="K416" s="80" t="s">
        <v>367</v>
      </c>
      <c r="L416" t="s">
        <v>185</v>
      </c>
      <c r="M416" t="s">
        <v>159</v>
      </c>
      <c r="N416" t="str">
        <f t="shared" si="102"/>
        <v>Double FrontDesigner 25 S-Fold Cord DrawnNo HooksSingle Face Fix Brackets</v>
      </c>
      <c r="O416">
        <v>0</v>
      </c>
      <c r="P416">
        <v>35</v>
      </c>
      <c r="Q416" s="80">
        <v>0</v>
      </c>
      <c r="R416" s="80">
        <f t="shared" si="103"/>
        <v>35</v>
      </c>
      <c r="AD416"/>
      <c r="AH416" s="86" t="s">
        <v>434</v>
      </c>
      <c r="AI416" t="s">
        <v>426</v>
      </c>
      <c r="AJ416" s="11" t="s">
        <v>160</v>
      </c>
      <c r="AK416" s="80" t="str">
        <f t="shared" si="107"/>
        <v>Vanda Boldtrak 35 S-FoldRiverstoneStraight</v>
      </c>
      <c r="AL416" s="80" t="s">
        <v>435</v>
      </c>
      <c r="AM416" s="80" t="s">
        <v>120</v>
      </c>
      <c r="AN416" s="80">
        <v>0</v>
      </c>
      <c r="AO416" s="80" t="s">
        <v>181</v>
      </c>
    </row>
    <row r="417" spans="10:41" ht="16.2" customHeight="1">
      <c r="J417" s="80" t="s">
        <v>747</v>
      </c>
      <c r="K417" s="80" t="s">
        <v>367</v>
      </c>
      <c r="L417" t="s">
        <v>185</v>
      </c>
      <c r="M417" t="s">
        <v>159</v>
      </c>
      <c r="N417" t="str">
        <f t="shared" si="102"/>
        <v>Double RearDesigner 25 S-Fold Cord DrawnNo HooksSingle Face Fix Brackets</v>
      </c>
      <c r="O417">
        <v>0</v>
      </c>
      <c r="P417">
        <v>45</v>
      </c>
      <c r="Q417" s="80">
        <v>0</v>
      </c>
      <c r="R417" s="80">
        <f t="shared" si="103"/>
        <v>45</v>
      </c>
      <c r="AD417"/>
      <c r="AH417" s="86" t="s">
        <v>434</v>
      </c>
      <c r="AI417" t="s">
        <v>430</v>
      </c>
      <c r="AJ417" s="11" t="s">
        <v>11556</v>
      </c>
      <c r="AK417" s="80" t="str">
        <f t="shared" si="107"/>
        <v>Vanda Boldtrak 35 S-FoldSilver PearlBent</v>
      </c>
      <c r="AL417" s="80" t="s">
        <v>435</v>
      </c>
      <c r="AM417" s="80" t="s">
        <v>120</v>
      </c>
      <c r="AN417" s="80">
        <v>0</v>
      </c>
      <c r="AO417" s="80" t="s">
        <v>181</v>
      </c>
    </row>
    <row r="418" spans="10:41" ht="16.2" customHeight="1">
      <c r="J418" s="80" t="s">
        <v>746</v>
      </c>
      <c r="K418" s="80" t="s">
        <v>367</v>
      </c>
      <c r="L418" t="s">
        <v>185</v>
      </c>
      <c r="M418" t="s">
        <v>553</v>
      </c>
      <c r="N418" t="str">
        <f t="shared" si="102"/>
        <v>Double FrontDesigner 25 S-Fold Cord DrawnNo HooksTriple Face Fix Brackets</v>
      </c>
      <c r="O418">
        <v>0</v>
      </c>
      <c r="P418">
        <v>35</v>
      </c>
      <c r="Q418" s="80">
        <v>0</v>
      </c>
      <c r="R418" s="80">
        <f t="shared" si="103"/>
        <v>35</v>
      </c>
      <c r="AD418"/>
      <c r="AH418" s="86" t="s">
        <v>434</v>
      </c>
      <c r="AI418" t="s">
        <v>430</v>
      </c>
      <c r="AJ418" s="11" t="s">
        <v>160</v>
      </c>
      <c r="AK418" s="80" t="str">
        <f t="shared" si="107"/>
        <v>Vanda Boldtrak 35 S-FoldSilver PearlStraight</v>
      </c>
      <c r="AL418" s="80" t="s">
        <v>435</v>
      </c>
      <c r="AM418" s="80" t="s">
        <v>120</v>
      </c>
      <c r="AN418" s="80">
        <v>0</v>
      </c>
      <c r="AO418" s="80" t="s">
        <v>181</v>
      </c>
    </row>
    <row r="419" spans="10:41" ht="16.2" customHeight="1">
      <c r="J419" s="80" t="s">
        <v>747</v>
      </c>
      <c r="K419" s="80" t="s">
        <v>367</v>
      </c>
      <c r="L419" t="s">
        <v>185</v>
      </c>
      <c r="M419" t="s">
        <v>553</v>
      </c>
      <c r="N419" t="str">
        <f t="shared" si="102"/>
        <v>Double RearDesigner 25 S-Fold Cord DrawnNo HooksTriple Face Fix Brackets</v>
      </c>
      <c r="O419">
        <v>0</v>
      </c>
      <c r="P419">
        <v>45</v>
      </c>
      <c r="Q419" s="80">
        <v>0</v>
      </c>
      <c r="R419" s="80">
        <f t="shared" si="103"/>
        <v>45</v>
      </c>
      <c r="AD419"/>
      <c r="AH419" s="86" t="s">
        <v>422</v>
      </c>
      <c r="AI419" t="s">
        <v>193</v>
      </c>
      <c r="AJ419" s="11" t="s">
        <v>11556</v>
      </c>
      <c r="AK419" s="80" t="str">
        <f t="shared" si="107"/>
        <v>Vanda Boldtrak 35 WavefoldBlackBent</v>
      </c>
      <c r="AL419" s="80" t="s">
        <v>435</v>
      </c>
      <c r="AM419" s="80" t="s">
        <v>120</v>
      </c>
      <c r="AN419" s="80">
        <v>0</v>
      </c>
      <c r="AO419" s="80" t="s">
        <v>181</v>
      </c>
    </row>
    <row r="420" spans="10:41" ht="16.2" customHeight="1">
      <c r="J420" s="80" t="s">
        <v>746</v>
      </c>
      <c r="K420" s="80" t="s">
        <v>368</v>
      </c>
      <c r="L420" t="s">
        <v>185</v>
      </c>
      <c r="M420" t="s">
        <v>162</v>
      </c>
      <c r="N420" t="str">
        <f t="shared" si="102"/>
        <v>Double FrontDesigner 25 S-Fold Hand DrawnNo HooksDouble Face Fix Brackets</v>
      </c>
      <c r="O420">
        <v>0</v>
      </c>
      <c r="P420">
        <v>35</v>
      </c>
      <c r="Q420" s="80">
        <v>0</v>
      </c>
      <c r="R420" s="80">
        <f t="shared" si="103"/>
        <v>35</v>
      </c>
      <c r="AD420"/>
      <c r="AH420" s="86" t="s">
        <v>422</v>
      </c>
      <c r="AI420" t="s">
        <v>193</v>
      </c>
      <c r="AJ420" s="11" t="s">
        <v>160</v>
      </c>
      <c r="AK420" s="80" t="str">
        <f t="shared" si="107"/>
        <v>Vanda Boldtrak 35 WavefoldBlackStraight</v>
      </c>
      <c r="AL420" s="80" t="s">
        <v>435</v>
      </c>
      <c r="AM420" s="80" t="s">
        <v>120</v>
      </c>
      <c r="AN420" s="80">
        <v>0</v>
      </c>
      <c r="AO420" s="80" t="s">
        <v>181</v>
      </c>
    </row>
    <row r="421" spans="10:41" ht="16.2" customHeight="1">
      <c r="J421" s="80" t="s">
        <v>747</v>
      </c>
      <c r="K421" s="80" t="s">
        <v>368</v>
      </c>
      <c r="L421" t="s">
        <v>185</v>
      </c>
      <c r="M421" t="s">
        <v>162</v>
      </c>
      <c r="N421" t="str">
        <f t="shared" si="102"/>
        <v>Double RearDesigner 25 S-Fold Hand DrawnNo HooksDouble Face Fix Brackets</v>
      </c>
      <c r="O421">
        <v>0</v>
      </c>
      <c r="P421">
        <v>45</v>
      </c>
      <c r="Q421" s="80">
        <v>0</v>
      </c>
      <c r="R421" s="80">
        <f t="shared" si="103"/>
        <v>45</v>
      </c>
      <c r="AD421"/>
      <c r="AH421" s="86" t="s">
        <v>422</v>
      </c>
      <c r="AI421" t="s">
        <v>428</v>
      </c>
      <c r="AJ421" s="11" t="s">
        <v>11556</v>
      </c>
      <c r="AK421" s="80" t="str">
        <f t="shared" si="108" ref="AK421:AK428">CONCATENATE(AH421,AI421,AJ421)</f>
        <v>Vanda Boldtrak 35 WavefoldBronzeBent</v>
      </c>
      <c r="AL421" s="80" t="s">
        <v>435</v>
      </c>
      <c r="AM421" s="80" t="s">
        <v>120</v>
      </c>
      <c r="AN421" s="80">
        <v>0</v>
      </c>
      <c r="AO421" s="80" t="s">
        <v>181</v>
      </c>
    </row>
    <row r="422" spans="10:41" ht="16.2" customHeight="1">
      <c r="J422" s="80" t="s">
        <v>746</v>
      </c>
      <c r="K422" s="80" t="s">
        <v>368</v>
      </c>
      <c r="L422" t="s">
        <v>185</v>
      </c>
      <c r="M422" t="s">
        <v>159</v>
      </c>
      <c r="N422" t="str">
        <f t="shared" si="102"/>
        <v>Double FrontDesigner 25 S-Fold Hand DrawnNo HooksSingle Face Fix Brackets</v>
      </c>
      <c r="O422">
        <v>0</v>
      </c>
      <c r="P422">
        <v>35</v>
      </c>
      <c r="Q422" s="80">
        <v>0</v>
      </c>
      <c r="R422" s="80">
        <f t="shared" si="103"/>
        <v>35</v>
      </c>
      <c r="AD422"/>
      <c r="AH422" s="86" t="s">
        <v>422</v>
      </c>
      <c r="AI422" t="s">
        <v>428</v>
      </c>
      <c r="AJ422" s="11" t="s">
        <v>160</v>
      </c>
      <c r="AK422" s="80" t="str">
        <f t="shared" si="108"/>
        <v>Vanda Boldtrak 35 WavefoldBronzeStraight</v>
      </c>
      <c r="AL422" s="80" t="s">
        <v>435</v>
      </c>
      <c r="AM422" s="80" t="s">
        <v>120</v>
      </c>
      <c r="AN422" s="80">
        <v>0</v>
      </c>
      <c r="AO422" s="80" t="s">
        <v>181</v>
      </c>
    </row>
    <row r="423" spans="10:41" ht="16.2" customHeight="1">
      <c r="J423" s="80" t="s">
        <v>747</v>
      </c>
      <c r="K423" s="80" t="s">
        <v>368</v>
      </c>
      <c r="L423" t="s">
        <v>185</v>
      </c>
      <c r="M423" t="s">
        <v>159</v>
      </c>
      <c r="N423" t="str">
        <f t="shared" si="102"/>
        <v>Double RearDesigner 25 S-Fold Hand DrawnNo HooksSingle Face Fix Brackets</v>
      </c>
      <c r="O423">
        <v>0</v>
      </c>
      <c r="P423">
        <v>45</v>
      </c>
      <c r="Q423" s="80">
        <v>0</v>
      </c>
      <c r="R423" s="80">
        <f t="shared" si="103"/>
        <v>45</v>
      </c>
      <c r="AD423"/>
      <c r="AH423" s="86" t="s">
        <v>422</v>
      </c>
      <c r="AI423" t="s">
        <v>427</v>
      </c>
      <c r="AJ423" s="11" t="s">
        <v>11556</v>
      </c>
      <c r="AK423" s="80" t="str">
        <f t="shared" si="108"/>
        <v>Vanda Boldtrak 35 WavefoldClassic WhiteBent</v>
      </c>
      <c r="AL423" s="80" t="s">
        <v>435</v>
      </c>
      <c r="AM423" s="80" t="s">
        <v>120</v>
      </c>
      <c r="AN423" s="80">
        <v>0</v>
      </c>
      <c r="AO423" s="80" t="s">
        <v>181</v>
      </c>
    </row>
    <row r="424" spans="10:41" ht="16.2" customHeight="1">
      <c r="J424" s="80" t="s">
        <v>746</v>
      </c>
      <c r="K424" s="80" t="s">
        <v>483</v>
      </c>
      <c r="L424" t="s">
        <v>421</v>
      </c>
      <c r="M424" t="s">
        <v>162</v>
      </c>
      <c r="N424" t="str">
        <f t="shared" si="102"/>
        <v>Double FrontDesigner 25 Wavefold Cord DrawnWavefold HooksDouble Face Fix Brackets</v>
      </c>
      <c r="O424">
        <v>0</v>
      </c>
      <c r="P424">
        <v>30</v>
      </c>
      <c r="Q424" s="80">
        <v>0</v>
      </c>
      <c r="R424" s="80">
        <f t="shared" si="103"/>
        <v>30</v>
      </c>
      <c r="AD424"/>
      <c r="AH424" s="86" t="s">
        <v>422</v>
      </c>
      <c r="AI424" t="s">
        <v>427</v>
      </c>
      <c r="AJ424" s="11" t="s">
        <v>160</v>
      </c>
      <c r="AK424" s="80" t="str">
        <f t="shared" si="108"/>
        <v>Vanda Boldtrak 35 WavefoldClassic WhiteStraight</v>
      </c>
      <c r="AL424" s="80" t="s">
        <v>435</v>
      </c>
      <c r="AM424" s="80" t="s">
        <v>120</v>
      </c>
      <c r="AN424" s="80">
        <v>0</v>
      </c>
      <c r="AO424" s="80" t="s">
        <v>181</v>
      </c>
    </row>
    <row r="425" spans="10:41" ht="16.2" customHeight="1">
      <c r="J425" s="80" t="s">
        <v>747</v>
      </c>
      <c r="K425" s="80" t="s">
        <v>483</v>
      </c>
      <c r="L425" t="s">
        <v>421</v>
      </c>
      <c r="M425" t="s">
        <v>162</v>
      </c>
      <c r="N425" t="str">
        <f t="shared" si="102"/>
        <v>Double RearDesigner 25 Wavefold Cord DrawnWavefold HooksDouble Face Fix Brackets</v>
      </c>
      <c r="O425">
        <v>12</v>
      </c>
      <c r="P425">
        <v>40</v>
      </c>
      <c r="Q425" s="80">
        <v>0</v>
      </c>
      <c r="R425" s="80">
        <f t="shared" si="103"/>
        <v>28</v>
      </c>
      <c r="AD425"/>
      <c r="AH425" s="86" t="s">
        <v>422</v>
      </c>
      <c r="AI425" t="s">
        <v>190</v>
      </c>
      <c r="AJ425" s="11" t="s">
        <v>11556</v>
      </c>
      <c r="AK425" s="80" t="str">
        <f t="shared" si="108"/>
        <v>Vanda Boldtrak 35 WavefoldIvoryBent</v>
      </c>
      <c r="AL425" s="80" t="s">
        <v>435</v>
      </c>
      <c r="AM425" s="80" t="s">
        <v>120</v>
      </c>
      <c r="AN425" s="80">
        <v>0</v>
      </c>
      <c r="AO425" s="80" t="s">
        <v>181</v>
      </c>
    </row>
    <row r="426" spans="10:41" ht="16.2" customHeight="1">
      <c r="J426" s="80" t="s">
        <v>725</v>
      </c>
      <c r="K426" s="80" t="s">
        <v>483</v>
      </c>
      <c r="L426" t="s">
        <v>421</v>
      </c>
      <c r="M426" t="s">
        <v>162</v>
      </c>
      <c r="N426" t="str">
        <f t="shared" si="102"/>
        <v>SingleDesigner 25 Wavefold Cord DrawnWavefold HooksDouble Face Fix Brackets</v>
      </c>
      <c r="O426">
        <v>0</v>
      </c>
      <c r="P426">
        <v>30</v>
      </c>
      <c r="Q426" s="80">
        <v>0</v>
      </c>
      <c r="R426" s="80">
        <f t="shared" si="103"/>
        <v>30</v>
      </c>
      <c r="AD426"/>
      <c r="AH426" s="86" t="s">
        <v>422</v>
      </c>
      <c r="AI426" t="s">
        <v>190</v>
      </c>
      <c r="AJ426" s="11" t="s">
        <v>160</v>
      </c>
      <c r="AK426" s="80" t="str">
        <f t="shared" si="108"/>
        <v>Vanda Boldtrak 35 WavefoldIvoryStraight</v>
      </c>
      <c r="AL426" s="80" t="s">
        <v>435</v>
      </c>
      <c r="AM426" s="80" t="s">
        <v>120</v>
      </c>
      <c r="AN426" s="80">
        <v>0</v>
      </c>
      <c r="AO426" s="80" t="s">
        <v>181</v>
      </c>
    </row>
    <row r="427" spans="10:41" ht="16.2" customHeight="1">
      <c r="J427" s="80" t="s">
        <v>746</v>
      </c>
      <c r="K427" s="80" t="s">
        <v>483</v>
      </c>
      <c r="L427" t="s">
        <v>421</v>
      </c>
      <c r="M427" t="s">
        <v>159</v>
      </c>
      <c r="N427" t="str">
        <f t="shared" si="102"/>
        <v>Double FrontDesigner 25 Wavefold Cord DrawnWavefold HooksSingle Face Fix Brackets</v>
      </c>
      <c r="O427">
        <v>0</v>
      </c>
      <c r="P427">
        <v>30</v>
      </c>
      <c r="Q427" s="80">
        <v>0</v>
      </c>
      <c r="R427" s="80">
        <f t="shared" si="103"/>
        <v>30</v>
      </c>
      <c r="AD427"/>
      <c r="AH427" s="86" t="s">
        <v>422</v>
      </c>
      <c r="AI427" t="s">
        <v>429</v>
      </c>
      <c r="AJ427" s="11" t="s">
        <v>11556</v>
      </c>
      <c r="AK427" s="80" t="str">
        <f t="shared" si="108"/>
        <v>Vanda Boldtrak 35 WavefoldPewterBent</v>
      </c>
      <c r="AL427" s="80" t="s">
        <v>435</v>
      </c>
      <c r="AM427" s="80" t="s">
        <v>120</v>
      </c>
      <c r="AN427" s="80">
        <v>0</v>
      </c>
      <c r="AO427" s="80" t="s">
        <v>181</v>
      </c>
    </row>
    <row r="428" spans="10:41" ht="16.2" customHeight="1">
      <c r="J428" s="80" t="s">
        <v>747</v>
      </c>
      <c r="K428" s="80" t="s">
        <v>483</v>
      </c>
      <c r="L428" t="s">
        <v>421</v>
      </c>
      <c r="M428" t="s">
        <v>159</v>
      </c>
      <c r="N428" t="str">
        <f t="shared" si="102"/>
        <v>Double RearDesigner 25 Wavefold Cord DrawnWavefold HooksSingle Face Fix Brackets</v>
      </c>
      <c r="O428">
        <v>12</v>
      </c>
      <c r="P428">
        <v>40</v>
      </c>
      <c r="Q428" s="80">
        <v>0</v>
      </c>
      <c r="R428" s="80">
        <f t="shared" si="103"/>
        <v>28</v>
      </c>
      <c r="AD428"/>
      <c r="AH428" s="86" t="s">
        <v>422</v>
      </c>
      <c r="AI428" t="s">
        <v>429</v>
      </c>
      <c r="AJ428" s="11" t="s">
        <v>160</v>
      </c>
      <c r="AK428" s="80" t="str">
        <f t="shared" si="108"/>
        <v>Vanda Boldtrak 35 WavefoldPewterStraight</v>
      </c>
      <c r="AL428" s="80" t="s">
        <v>435</v>
      </c>
      <c r="AM428" s="80" t="s">
        <v>120</v>
      </c>
      <c r="AN428" s="80">
        <v>0</v>
      </c>
      <c r="AO428" s="80" t="s">
        <v>181</v>
      </c>
    </row>
    <row r="429" spans="10:41" ht="16.2" customHeight="1">
      <c r="J429" s="80" t="s">
        <v>725</v>
      </c>
      <c r="K429" s="80" t="s">
        <v>483</v>
      </c>
      <c r="L429" t="s">
        <v>421</v>
      </c>
      <c r="M429" t="s">
        <v>159</v>
      </c>
      <c r="N429" t="str">
        <f t="shared" si="102"/>
        <v>SingleDesigner 25 Wavefold Cord DrawnWavefold HooksSingle Face Fix Brackets</v>
      </c>
      <c r="O429">
        <v>0</v>
      </c>
      <c r="P429">
        <v>30</v>
      </c>
      <c r="Q429" s="80">
        <v>0</v>
      </c>
      <c r="R429" s="80">
        <f t="shared" si="103"/>
        <v>30</v>
      </c>
      <c r="AD429"/>
      <c r="AH429" s="86" t="s">
        <v>422</v>
      </c>
      <c r="AI429" t="s">
        <v>426</v>
      </c>
      <c r="AJ429" s="11" t="s">
        <v>11556</v>
      </c>
      <c r="AK429" s="80" t="str">
        <f t="shared" si="109" ref="AK429:AK436">CONCATENATE(AH429,AI429,AJ429)</f>
        <v>Vanda Boldtrak 35 WavefoldRiverstoneBent</v>
      </c>
      <c r="AL429" s="80" t="s">
        <v>435</v>
      </c>
      <c r="AM429" s="80" t="s">
        <v>120</v>
      </c>
      <c r="AN429" s="80">
        <v>0</v>
      </c>
      <c r="AO429" s="80" t="s">
        <v>181</v>
      </c>
    </row>
    <row r="430" spans="10:41" ht="16.2" customHeight="1">
      <c r="J430" s="80" t="s">
        <v>746</v>
      </c>
      <c r="K430" s="80" t="s">
        <v>483</v>
      </c>
      <c r="L430" t="s">
        <v>421</v>
      </c>
      <c r="M430" t="s">
        <v>553</v>
      </c>
      <c r="N430" t="str">
        <f t="shared" si="102"/>
        <v>Double FrontDesigner 25 Wavefold Cord DrawnWavefold HooksTriple Face Fix Brackets</v>
      </c>
      <c r="O430">
        <v>0</v>
      </c>
      <c r="P430">
        <v>30</v>
      </c>
      <c r="Q430" s="80">
        <v>0</v>
      </c>
      <c r="R430" s="80">
        <f t="shared" si="103"/>
        <v>30</v>
      </c>
      <c r="AD430"/>
      <c r="AH430" s="86" t="s">
        <v>422</v>
      </c>
      <c r="AI430" t="s">
        <v>426</v>
      </c>
      <c r="AJ430" s="11" t="s">
        <v>160</v>
      </c>
      <c r="AK430" s="80" t="str">
        <f t="shared" si="109"/>
        <v>Vanda Boldtrak 35 WavefoldRiverstoneStraight</v>
      </c>
      <c r="AL430" s="80" t="s">
        <v>435</v>
      </c>
      <c r="AM430" s="80" t="s">
        <v>120</v>
      </c>
      <c r="AN430" s="80">
        <v>0</v>
      </c>
      <c r="AO430" s="80" t="s">
        <v>181</v>
      </c>
    </row>
    <row r="431" spans="10:41" ht="16.2" customHeight="1">
      <c r="J431" s="80" t="s">
        <v>747</v>
      </c>
      <c r="K431" s="80" t="s">
        <v>483</v>
      </c>
      <c r="L431" t="s">
        <v>421</v>
      </c>
      <c r="M431" t="s">
        <v>553</v>
      </c>
      <c r="N431" t="str">
        <f t="shared" si="102"/>
        <v>Double RearDesigner 25 Wavefold Cord DrawnWavefold HooksTriple Face Fix Brackets</v>
      </c>
      <c r="O431">
        <v>12</v>
      </c>
      <c r="P431">
        <v>40</v>
      </c>
      <c r="Q431" s="80">
        <v>0</v>
      </c>
      <c r="R431" s="80">
        <f t="shared" si="103"/>
        <v>28</v>
      </c>
      <c r="AD431"/>
      <c r="AH431" s="86" t="s">
        <v>422</v>
      </c>
      <c r="AI431" t="s">
        <v>430</v>
      </c>
      <c r="AJ431" s="11" t="s">
        <v>11556</v>
      </c>
      <c r="AK431" s="80" t="str">
        <f t="shared" si="109"/>
        <v>Vanda Boldtrak 35 WavefoldSilver PearlBent</v>
      </c>
      <c r="AL431" s="80" t="s">
        <v>435</v>
      </c>
      <c r="AM431" s="80" t="s">
        <v>120</v>
      </c>
      <c r="AN431" s="80">
        <v>0</v>
      </c>
      <c r="AO431" s="80" t="s">
        <v>181</v>
      </c>
    </row>
    <row r="432" spans="10:41" ht="16.2" customHeight="1">
      <c r="J432" s="80" t="s">
        <v>725</v>
      </c>
      <c r="K432" s="80" t="s">
        <v>483</v>
      </c>
      <c r="L432" t="s">
        <v>421</v>
      </c>
      <c r="M432" t="s">
        <v>553</v>
      </c>
      <c r="N432" t="str">
        <f t="shared" si="102"/>
        <v>SingleDesigner 25 Wavefold Cord DrawnWavefold HooksTriple Face Fix Brackets</v>
      </c>
      <c r="O432">
        <v>0</v>
      </c>
      <c r="P432">
        <v>30</v>
      </c>
      <c r="Q432" s="80">
        <v>0</v>
      </c>
      <c r="R432" s="80">
        <f t="shared" si="103"/>
        <v>30</v>
      </c>
      <c r="AD432"/>
      <c r="AH432" s="86" t="s">
        <v>422</v>
      </c>
      <c r="AI432" t="s">
        <v>430</v>
      </c>
      <c r="AJ432" s="11" t="s">
        <v>160</v>
      </c>
      <c r="AK432" s="80" t="str">
        <f t="shared" si="109"/>
        <v>Vanda Boldtrak 35 WavefoldSilver PearlStraight</v>
      </c>
      <c r="AL432" s="80" t="s">
        <v>435</v>
      </c>
      <c r="AM432" s="80" t="s">
        <v>120</v>
      </c>
      <c r="AN432" s="80">
        <v>0</v>
      </c>
      <c r="AO432" s="80" t="s">
        <v>181</v>
      </c>
    </row>
    <row r="433" spans="10:41" ht="16.2" customHeight="1">
      <c r="J433" s="80" t="s">
        <v>746</v>
      </c>
      <c r="K433" s="80" t="s">
        <v>484</v>
      </c>
      <c r="L433" t="s">
        <v>421</v>
      </c>
      <c r="M433" t="s">
        <v>162</v>
      </c>
      <c r="N433" t="str">
        <f t="shared" si="102"/>
        <v>Double FrontDesigner 25 Wavefold Hand DrawnWavefold HooksDouble Face Fix Brackets</v>
      </c>
      <c r="O433">
        <v>0</v>
      </c>
      <c r="P433">
        <v>30</v>
      </c>
      <c r="Q433" s="80">
        <v>0</v>
      </c>
      <c r="R433" s="80">
        <f t="shared" si="103"/>
        <v>30</v>
      </c>
      <c r="AD433"/>
      <c r="AH433" s="86" t="s">
        <v>432</v>
      </c>
      <c r="AI433" t="s">
        <v>193</v>
      </c>
      <c r="AJ433" s="11" t="s">
        <v>11556</v>
      </c>
      <c r="AK433" s="80" t="str">
        <f t="shared" si="109"/>
        <v>Vanda Boldtrak 35 with GlidesBlackBent</v>
      </c>
      <c r="AL433" s="80" t="s">
        <v>435</v>
      </c>
      <c r="AM433" s="80" t="s">
        <v>120</v>
      </c>
      <c r="AN433" s="80">
        <v>0</v>
      </c>
      <c r="AO433" s="80" t="s">
        <v>120</v>
      </c>
    </row>
    <row r="434" spans="10:41" ht="16.2" customHeight="1">
      <c r="J434" s="80" t="s">
        <v>747</v>
      </c>
      <c r="K434" s="80" t="s">
        <v>484</v>
      </c>
      <c r="L434" t="s">
        <v>421</v>
      </c>
      <c r="M434" t="s">
        <v>162</v>
      </c>
      <c r="N434" t="str">
        <f t="shared" si="102"/>
        <v>Double RearDesigner 25 Wavefold Hand DrawnWavefold HooksDouble Face Fix Brackets</v>
      </c>
      <c r="O434">
        <v>12</v>
      </c>
      <c r="P434">
        <v>40</v>
      </c>
      <c r="Q434" s="80">
        <v>0</v>
      </c>
      <c r="R434" s="80">
        <f t="shared" si="103"/>
        <v>28</v>
      </c>
      <c r="AD434"/>
      <c r="AH434" s="86" t="s">
        <v>432</v>
      </c>
      <c r="AI434" t="s">
        <v>193</v>
      </c>
      <c r="AJ434" s="11" t="s">
        <v>160</v>
      </c>
      <c r="AK434" s="80" t="str">
        <f t="shared" si="109"/>
        <v>Vanda Boldtrak 35 with GlidesBlackStraight</v>
      </c>
      <c r="AL434" s="80" t="s">
        <v>435</v>
      </c>
      <c r="AM434" s="80" t="s">
        <v>120</v>
      </c>
      <c r="AN434" s="80">
        <v>0</v>
      </c>
      <c r="AO434" s="80" t="s">
        <v>120</v>
      </c>
    </row>
    <row r="435" spans="10:41" ht="16.2" customHeight="1">
      <c r="J435" s="80" t="s">
        <v>725</v>
      </c>
      <c r="K435" s="80" t="s">
        <v>484</v>
      </c>
      <c r="L435" t="s">
        <v>421</v>
      </c>
      <c r="M435" t="s">
        <v>162</v>
      </c>
      <c r="N435" t="str">
        <f t="shared" si="102"/>
        <v>SingleDesigner 25 Wavefold Hand DrawnWavefold HooksDouble Face Fix Brackets</v>
      </c>
      <c r="O435">
        <v>0</v>
      </c>
      <c r="P435">
        <v>30</v>
      </c>
      <c r="Q435" s="80">
        <v>0</v>
      </c>
      <c r="R435" s="80">
        <f t="shared" si="103"/>
        <v>30</v>
      </c>
      <c r="AD435"/>
      <c r="AH435" s="86" t="s">
        <v>432</v>
      </c>
      <c r="AI435" t="s">
        <v>428</v>
      </c>
      <c r="AJ435" s="11" t="s">
        <v>11556</v>
      </c>
      <c r="AK435" s="80" t="str">
        <f t="shared" si="109"/>
        <v>Vanda Boldtrak 35 with GlidesBronzeBent</v>
      </c>
      <c r="AL435" s="80" t="s">
        <v>435</v>
      </c>
      <c r="AM435" s="80" t="s">
        <v>120</v>
      </c>
      <c r="AN435" s="80">
        <v>0</v>
      </c>
      <c r="AO435" s="80" t="s">
        <v>120</v>
      </c>
    </row>
    <row r="436" spans="10:41" ht="16.2" customHeight="1">
      <c r="J436" s="80" t="s">
        <v>746</v>
      </c>
      <c r="K436" s="80" t="s">
        <v>484</v>
      </c>
      <c r="L436" t="s">
        <v>421</v>
      </c>
      <c r="M436" t="s">
        <v>159</v>
      </c>
      <c r="N436" t="str">
        <f t="shared" si="102"/>
        <v>Double FrontDesigner 25 Wavefold Hand DrawnWavefold HooksSingle Face Fix Brackets</v>
      </c>
      <c r="O436">
        <v>0</v>
      </c>
      <c r="P436">
        <v>30</v>
      </c>
      <c r="Q436" s="80">
        <v>0</v>
      </c>
      <c r="R436" s="80">
        <f t="shared" si="103"/>
        <v>30</v>
      </c>
      <c r="AD436"/>
      <c r="AH436" s="86" t="s">
        <v>432</v>
      </c>
      <c r="AI436" t="s">
        <v>428</v>
      </c>
      <c r="AJ436" s="11" t="s">
        <v>160</v>
      </c>
      <c r="AK436" s="80" t="str">
        <f t="shared" si="109"/>
        <v>Vanda Boldtrak 35 with GlidesBronzeStraight</v>
      </c>
      <c r="AL436" s="80" t="s">
        <v>435</v>
      </c>
      <c r="AM436" s="80" t="s">
        <v>120</v>
      </c>
      <c r="AN436" s="80">
        <v>0</v>
      </c>
      <c r="AO436" s="80" t="s">
        <v>120</v>
      </c>
    </row>
    <row r="437" spans="10:41" ht="16.2" customHeight="1">
      <c r="J437" s="80" t="s">
        <v>747</v>
      </c>
      <c r="K437" s="80" t="s">
        <v>484</v>
      </c>
      <c r="L437" t="s">
        <v>421</v>
      </c>
      <c r="M437" t="s">
        <v>159</v>
      </c>
      <c r="N437" t="str">
        <f t="shared" si="102"/>
        <v>Double RearDesigner 25 Wavefold Hand DrawnWavefold HooksSingle Face Fix Brackets</v>
      </c>
      <c r="O437">
        <v>12</v>
      </c>
      <c r="P437">
        <v>40</v>
      </c>
      <c r="Q437" s="80">
        <v>0</v>
      </c>
      <c r="R437" s="80">
        <f t="shared" si="103"/>
        <v>28</v>
      </c>
      <c r="AD437"/>
      <c r="AH437" s="86" t="s">
        <v>432</v>
      </c>
      <c r="AI437" t="s">
        <v>427</v>
      </c>
      <c r="AJ437" s="11" t="s">
        <v>11556</v>
      </c>
      <c r="AK437" s="80" t="str">
        <f t="shared" si="110" ref="AK437:AK444">CONCATENATE(AH437,AI437,AJ437)</f>
        <v>Vanda Boldtrak 35 with GlidesClassic WhiteBent</v>
      </c>
      <c r="AL437" s="80" t="s">
        <v>435</v>
      </c>
      <c r="AM437" s="80" t="s">
        <v>120</v>
      </c>
      <c r="AN437" s="80">
        <v>0</v>
      </c>
      <c r="AO437" s="80" t="s">
        <v>120</v>
      </c>
    </row>
    <row r="438" spans="10:41" ht="16.2" customHeight="1">
      <c r="J438" s="80" t="s">
        <v>725</v>
      </c>
      <c r="K438" s="80" t="s">
        <v>484</v>
      </c>
      <c r="L438" t="s">
        <v>421</v>
      </c>
      <c r="M438" t="s">
        <v>159</v>
      </c>
      <c r="N438" t="str">
        <f t="shared" si="102"/>
        <v>SingleDesigner 25 Wavefold Hand DrawnWavefold HooksSingle Face Fix Brackets</v>
      </c>
      <c r="O438">
        <v>0</v>
      </c>
      <c r="P438">
        <v>30</v>
      </c>
      <c r="Q438" s="80">
        <v>0</v>
      </c>
      <c r="R438" s="80">
        <f t="shared" si="103"/>
        <v>30</v>
      </c>
      <c r="AD438"/>
      <c r="AH438" s="86" t="s">
        <v>432</v>
      </c>
      <c r="AI438" t="s">
        <v>427</v>
      </c>
      <c r="AJ438" s="11" t="s">
        <v>160</v>
      </c>
      <c r="AK438" s="80" t="str">
        <f t="shared" si="110"/>
        <v>Vanda Boldtrak 35 with GlidesClassic WhiteStraight</v>
      </c>
      <c r="AL438" s="80" t="s">
        <v>435</v>
      </c>
      <c r="AM438" s="80" t="s">
        <v>120</v>
      </c>
      <c r="AN438" s="80">
        <v>0</v>
      </c>
      <c r="AO438" s="80" t="s">
        <v>120</v>
      </c>
    </row>
    <row r="439" spans="10:41" ht="16.2" customHeight="1">
      <c r="J439" s="80" t="s">
        <v>746</v>
      </c>
      <c r="K439" s="80" t="s">
        <v>481</v>
      </c>
      <c r="L439" t="s">
        <v>185</v>
      </c>
      <c r="M439" t="s">
        <v>162</v>
      </c>
      <c r="N439" t="str">
        <f t="shared" si="102"/>
        <v>Double FrontDesigner 38 S-Fold Cord DrawnNo HooksDouble Face Fix Brackets</v>
      </c>
      <c r="O439">
        <v>0</v>
      </c>
      <c r="P439">
        <v>45</v>
      </c>
      <c r="Q439" s="80">
        <v>0</v>
      </c>
      <c r="R439" s="80">
        <f t="shared" si="103"/>
        <v>45</v>
      </c>
      <c r="AD439"/>
      <c r="AH439" s="86" t="s">
        <v>432</v>
      </c>
      <c r="AI439" t="s">
        <v>190</v>
      </c>
      <c r="AJ439" s="11" t="s">
        <v>11556</v>
      </c>
      <c r="AK439" s="80" t="str">
        <f t="shared" si="110"/>
        <v>Vanda Boldtrak 35 with GlidesIvoryBent</v>
      </c>
      <c r="AL439" s="80" t="s">
        <v>435</v>
      </c>
      <c r="AM439" s="80" t="s">
        <v>120</v>
      </c>
      <c r="AN439" s="80">
        <v>0</v>
      </c>
      <c r="AO439" s="80" t="s">
        <v>120</v>
      </c>
    </row>
    <row r="440" spans="10:41" ht="16.2" customHeight="1">
      <c r="J440" s="80" t="s">
        <v>747</v>
      </c>
      <c r="K440" s="80" t="s">
        <v>481</v>
      </c>
      <c r="L440" t="s">
        <v>185</v>
      </c>
      <c r="M440" t="s">
        <v>162</v>
      </c>
      <c r="N440" t="str">
        <f t="shared" si="102"/>
        <v>Double RearDesigner 38 S-Fold Cord DrawnNo HooksDouble Face Fix Brackets</v>
      </c>
      <c r="O440">
        <v>0</v>
      </c>
      <c r="P440">
        <v>45</v>
      </c>
      <c r="Q440" s="80">
        <v>0</v>
      </c>
      <c r="R440" s="80">
        <f t="shared" si="103"/>
        <v>45</v>
      </c>
      <c r="AD440"/>
      <c r="AH440" s="86" t="s">
        <v>432</v>
      </c>
      <c r="AI440" t="s">
        <v>190</v>
      </c>
      <c r="AJ440" s="11" t="s">
        <v>160</v>
      </c>
      <c r="AK440" s="80" t="str">
        <f t="shared" si="110"/>
        <v>Vanda Boldtrak 35 with GlidesIvoryStraight</v>
      </c>
      <c r="AL440" s="80" t="s">
        <v>435</v>
      </c>
      <c r="AM440" s="80" t="s">
        <v>120</v>
      </c>
      <c r="AN440" s="80">
        <v>0</v>
      </c>
      <c r="AO440" s="80" t="s">
        <v>120</v>
      </c>
    </row>
    <row r="441" spans="10:41" ht="16.2" customHeight="1">
      <c r="J441" s="80" t="s">
        <v>746</v>
      </c>
      <c r="K441" s="80" t="s">
        <v>481</v>
      </c>
      <c r="L441" t="s">
        <v>185</v>
      </c>
      <c r="M441" t="s">
        <v>159</v>
      </c>
      <c r="N441" t="str">
        <f t="shared" si="102"/>
        <v>Double FrontDesigner 38 S-Fold Cord DrawnNo HooksSingle Face Fix Brackets</v>
      </c>
      <c r="O441">
        <v>0</v>
      </c>
      <c r="P441">
        <v>45</v>
      </c>
      <c r="Q441" s="80">
        <v>0</v>
      </c>
      <c r="R441" s="80">
        <f t="shared" si="103"/>
        <v>45</v>
      </c>
      <c r="AD441"/>
      <c r="AH441" s="86" t="s">
        <v>432</v>
      </c>
      <c r="AI441" t="s">
        <v>429</v>
      </c>
      <c r="AJ441" s="11" t="s">
        <v>11556</v>
      </c>
      <c r="AK441" s="80" t="str">
        <f t="shared" si="110"/>
        <v>Vanda Boldtrak 35 with GlidesPewterBent</v>
      </c>
      <c r="AL441" s="80" t="s">
        <v>435</v>
      </c>
      <c r="AM441" s="80" t="s">
        <v>120</v>
      </c>
      <c r="AN441" s="80">
        <v>0</v>
      </c>
      <c r="AO441" s="80" t="s">
        <v>120</v>
      </c>
    </row>
    <row r="442" spans="10:41" ht="16.2" customHeight="1">
      <c r="J442" s="80" t="s">
        <v>747</v>
      </c>
      <c r="K442" s="80" t="s">
        <v>481</v>
      </c>
      <c r="L442" t="s">
        <v>185</v>
      </c>
      <c r="M442" t="s">
        <v>159</v>
      </c>
      <c r="N442" t="str">
        <f t="shared" si="102"/>
        <v>Double RearDesigner 38 S-Fold Cord DrawnNo HooksSingle Face Fix Brackets</v>
      </c>
      <c r="O442">
        <v>0</v>
      </c>
      <c r="P442">
        <v>45</v>
      </c>
      <c r="Q442" s="80">
        <v>0</v>
      </c>
      <c r="R442" s="80">
        <f t="shared" si="103"/>
        <v>45</v>
      </c>
      <c r="AD442"/>
      <c r="AH442" s="86" t="s">
        <v>432</v>
      </c>
      <c r="AI442" t="s">
        <v>429</v>
      </c>
      <c r="AJ442" s="11" t="s">
        <v>160</v>
      </c>
      <c r="AK442" s="80" t="str">
        <f t="shared" si="110"/>
        <v>Vanda Boldtrak 35 with GlidesPewterStraight</v>
      </c>
      <c r="AL442" s="80" t="s">
        <v>435</v>
      </c>
      <c r="AM442" s="80" t="s">
        <v>120</v>
      </c>
      <c r="AN442" s="80">
        <v>0</v>
      </c>
      <c r="AO442" s="80" t="s">
        <v>120</v>
      </c>
    </row>
    <row r="443" spans="10:41" ht="16.2" customHeight="1">
      <c r="J443" s="80" t="s">
        <v>746</v>
      </c>
      <c r="K443" s="80" t="s">
        <v>481</v>
      </c>
      <c r="L443" t="s">
        <v>185</v>
      </c>
      <c r="M443" t="s">
        <v>553</v>
      </c>
      <c r="N443" t="str">
        <f t="shared" si="102"/>
        <v>Double FrontDesigner 38 S-Fold Cord DrawnNo HooksTriple Face Fix Brackets</v>
      </c>
      <c r="O443">
        <v>0</v>
      </c>
      <c r="P443">
        <v>45</v>
      </c>
      <c r="Q443" s="80">
        <v>0</v>
      </c>
      <c r="R443" s="80">
        <f t="shared" si="103"/>
        <v>45</v>
      </c>
      <c r="AD443"/>
      <c r="AH443" s="86" t="s">
        <v>432</v>
      </c>
      <c r="AI443" t="s">
        <v>426</v>
      </c>
      <c r="AJ443" s="11" t="s">
        <v>11556</v>
      </c>
      <c r="AK443" s="80" t="str">
        <f t="shared" si="110"/>
        <v>Vanda Boldtrak 35 with GlidesRiverstoneBent</v>
      </c>
      <c r="AL443" s="80" t="s">
        <v>435</v>
      </c>
      <c r="AM443" s="80" t="s">
        <v>120</v>
      </c>
      <c r="AN443" s="80">
        <v>0</v>
      </c>
      <c r="AO443" s="80" t="s">
        <v>120</v>
      </c>
    </row>
    <row r="444" spans="10:41" ht="16.2" customHeight="1">
      <c r="J444" s="80" t="s">
        <v>747</v>
      </c>
      <c r="K444" s="80" t="s">
        <v>481</v>
      </c>
      <c r="L444" t="s">
        <v>185</v>
      </c>
      <c r="M444" t="s">
        <v>553</v>
      </c>
      <c r="N444" t="str">
        <f t="shared" si="102"/>
        <v>Double RearDesigner 38 S-Fold Cord DrawnNo HooksTriple Face Fix Brackets</v>
      </c>
      <c r="O444">
        <v>0</v>
      </c>
      <c r="P444">
        <v>45</v>
      </c>
      <c r="Q444" s="80">
        <v>0</v>
      </c>
      <c r="R444" s="80">
        <f t="shared" si="103"/>
        <v>45</v>
      </c>
      <c r="AD444"/>
      <c r="AH444" s="86" t="s">
        <v>432</v>
      </c>
      <c r="AI444" t="s">
        <v>426</v>
      </c>
      <c r="AJ444" s="11" t="s">
        <v>160</v>
      </c>
      <c r="AK444" s="80" t="str">
        <f t="shared" si="110"/>
        <v>Vanda Boldtrak 35 with GlidesRiverstoneStraight</v>
      </c>
      <c r="AL444" s="80" t="s">
        <v>435</v>
      </c>
      <c r="AM444" s="80" t="s">
        <v>120</v>
      </c>
      <c r="AN444" s="80">
        <v>0</v>
      </c>
      <c r="AO444" s="80" t="s">
        <v>120</v>
      </c>
    </row>
    <row r="445" spans="10:41" ht="16.2" customHeight="1">
      <c r="J445" s="80" t="s">
        <v>746</v>
      </c>
      <c r="K445" s="80" t="s">
        <v>482</v>
      </c>
      <c r="L445" t="s">
        <v>185</v>
      </c>
      <c r="M445" t="s">
        <v>162</v>
      </c>
      <c r="N445" t="str">
        <f t="shared" si="102"/>
        <v>Double FrontDesigner 38 S-Fold Hand DrawnNo HooksDouble Face Fix Brackets</v>
      </c>
      <c r="O445">
        <v>0</v>
      </c>
      <c r="P445">
        <v>45</v>
      </c>
      <c r="Q445" s="80">
        <v>0</v>
      </c>
      <c r="R445" s="80">
        <f t="shared" si="103"/>
        <v>45</v>
      </c>
      <c r="AD445"/>
      <c r="AH445" s="86" t="s">
        <v>432</v>
      </c>
      <c r="AI445" t="s">
        <v>430</v>
      </c>
      <c r="AJ445" s="11" t="s">
        <v>11556</v>
      </c>
      <c r="AK445" s="80" t="str">
        <f t="shared" si="111" ref="AK445:AK459">CONCATENATE(AH445,AI445,AJ445)</f>
        <v>Vanda Boldtrak 35 with GlidesSilver PearlBent</v>
      </c>
      <c r="AL445" s="80" t="s">
        <v>435</v>
      </c>
      <c r="AM445" s="80" t="s">
        <v>120</v>
      </c>
      <c r="AN445" s="80">
        <v>0</v>
      </c>
      <c r="AO445" s="80" t="s">
        <v>120</v>
      </c>
    </row>
    <row r="446" spans="10:41" ht="16.2" customHeight="1">
      <c r="J446" s="80" t="s">
        <v>747</v>
      </c>
      <c r="K446" s="80" t="s">
        <v>482</v>
      </c>
      <c r="L446" t="s">
        <v>185</v>
      </c>
      <c r="M446" t="s">
        <v>162</v>
      </c>
      <c r="N446" t="str">
        <f t="shared" si="102"/>
        <v>Double RearDesigner 38 S-Fold Hand DrawnNo HooksDouble Face Fix Brackets</v>
      </c>
      <c r="O446">
        <v>0</v>
      </c>
      <c r="P446">
        <v>45</v>
      </c>
      <c r="Q446" s="80">
        <v>0</v>
      </c>
      <c r="R446" s="80">
        <f t="shared" si="103"/>
        <v>45</v>
      </c>
      <c r="AD446"/>
      <c r="AH446" s="86" t="s">
        <v>432</v>
      </c>
      <c r="AI446" t="s">
        <v>430</v>
      </c>
      <c r="AJ446" s="11" t="s">
        <v>160</v>
      </c>
      <c r="AK446" s="80" t="str">
        <f t="shared" si="111"/>
        <v>Vanda Boldtrak 35 with GlidesSilver PearlStraight</v>
      </c>
      <c r="AL446" s="80" t="s">
        <v>435</v>
      </c>
      <c r="AM446" s="80" t="s">
        <v>120</v>
      </c>
      <c r="AN446" s="80">
        <v>0</v>
      </c>
      <c r="AO446" s="80" t="s">
        <v>120</v>
      </c>
    </row>
    <row r="447" spans="10:41" ht="16.2" customHeight="1">
      <c r="J447" s="80" t="s">
        <v>746</v>
      </c>
      <c r="K447" s="80" t="s">
        <v>482</v>
      </c>
      <c r="L447" t="s">
        <v>185</v>
      </c>
      <c r="M447" t="s">
        <v>159</v>
      </c>
      <c r="N447" t="str">
        <f t="shared" si="102"/>
        <v>Double FrontDesigner 38 S-Fold Hand DrawnNo HooksSingle Face Fix Brackets</v>
      </c>
      <c r="O447">
        <v>0</v>
      </c>
      <c r="P447">
        <v>45</v>
      </c>
      <c r="Q447" s="80">
        <v>0</v>
      </c>
      <c r="R447" s="80">
        <f t="shared" si="103"/>
        <v>45</v>
      </c>
      <c r="AD447"/>
      <c r="AH447" s="86" t="s">
        <v>558</v>
      </c>
      <c r="AI447" s="86" t="s">
        <v>427</v>
      </c>
      <c r="AJ447" s="11" t="s">
        <v>11556</v>
      </c>
      <c r="AK447" s="80" t="str">
        <f t="shared" si="111"/>
        <v>Vanda Flushfit Recessed Track WavefoldClassic WhiteBent</v>
      </c>
      <c r="AL447" s="80" t="s">
        <v>435</v>
      </c>
      <c r="AM447" s="80" t="s">
        <v>120</v>
      </c>
      <c r="AN447" s="80">
        <v>0</v>
      </c>
      <c r="AO447" s="80" t="s">
        <v>181</v>
      </c>
    </row>
    <row r="448" spans="10:41" ht="16.2" customHeight="1">
      <c r="J448" s="80" t="s">
        <v>747</v>
      </c>
      <c r="K448" s="80" t="s">
        <v>482</v>
      </c>
      <c r="L448" t="s">
        <v>185</v>
      </c>
      <c r="M448" t="s">
        <v>159</v>
      </c>
      <c r="N448" t="str">
        <f t="shared" si="102"/>
        <v>Double RearDesigner 38 S-Fold Hand DrawnNo HooksSingle Face Fix Brackets</v>
      </c>
      <c r="O448">
        <v>0</v>
      </c>
      <c r="P448">
        <v>45</v>
      </c>
      <c r="Q448" s="80">
        <v>0</v>
      </c>
      <c r="R448" s="80">
        <f t="shared" si="103"/>
        <v>45</v>
      </c>
      <c r="AD448"/>
      <c r="AH448" s="86" t="s">
        <v>558</v>
      </c>
      <c r="AI448" s="86" t="s">
        <v>427</v>
      </c>
      <c r="AJ448" s="11" t="s">
        <v>160</v>
      </c>
      <c r="AK448" s="80" t="str">
        <f t="shared" si="111"/>
        <v>Vanda Flushfit Recessed Track WavefoldClassic WhiteStraight</v>
      </c>
      <c r="AL448" s="80" t="s">
        <v>435</v>
      </c>
      <c r="AM448" s="80" t="s">
        <v>120</v>
      </c>
      <c r="AN448" s="80">
        <v>0</v>
      </c>
      <c r="AO448" s="80" t="s">
        <v>181</v>
      </c>
    </row>
    <row r="449" spans="10:41" ht="16.2" customHeight="1">
      <c r="J449" s="80" t="s">
        <v>746</v>
      </c>
      <c r="K449" s="80" t="s">
        <v>485</v>
      </c>
      <c r="L449" t="s">
        <v>421</v>
      </c>
      <c r="M449" t="s">
        <v>162</v>
      </c>
      <c r="N449" t="str">
        <f t="shared" si="102"/>
        <v>Double FrontDesigner 38 Wavefold Cord DrawnWavefold HooksDouble Face Fix Brackets</v>
      </c>
      <c r="O449">
        <v>0</v>
      </c>
      <c r="P449">
        <v>55</v>
      </c>
      <c r="Q449" s="80">
        <v>0</v>
      </c>
      <c r="R449" s="80">
        <f t="shared" si="103"/>
        <v>55</v>
      </c>
      <c r="AD449"/>
      <c r="AH449" s="86" t="s">
        <v>8713</v>
      </c>
      <c r="AI449" s="86" t="s">
        <v>427</v>
      </c>
      <c r="AJ449" s="11" t="s">
        <v>11556</v>
      </c>
      <c r="AK449" s="80" t="str">
        <f t="shared" si="111"/>
        <v>Vanda Flushfit Recessed Track with RunnersClassic WhiteBent</v>
      </c>
      <c r="AL449" s="80" t="s">
        <v>435</v>
      </c>
      <c r="AM449" s="80" t="s">
        <v>120</v>
      </c>
      <c r="AN449" s="80">
        <v>0</v>
      </c>
      <c r="AO449" s="80" t="s">
        <v>120</v>
      </c>
    </row>
    <row r="450" spans="10:41" ht="16.2" customHeight="1">
      <c r="J450" s="80" t="s">
        <v>747</v>
      </c>
      <c r="K450" s="80" t="s">
        <v>485</v>
      </c>
      <c r="L450" t="s">
        <v>421</v>
      </c>
      <c r="M450" t="s">
        <v>162</v>
      </c>
      <c r="N450" t="str">
        <f t="shared" si="112" ref="N450:N513">(CONCATENATE(J450,K450,L450,M450))</f>
        <v>Double RearDesigner 38 Wavefold Cord DrawnWavefold HooksDouble Face Fix Brackets</v>
      </c>
      <c r="O450">
        <v>12</v>
      </c>
      <c r="P450">
        <v>55</v>
      </c>
      <c r="Q450" s="80">
        <v>0</v>
      </c>
      <c r="R450" s="80">
        <f t="shared" si="113" ref="R450:R513">SUM(P450)-O450</f>
        <v>43</v>
      </c>
      <c r="AD450"/>
      <c r="AH450" s="86" t="s">
        <v>8713</v>
      </c>
      <c r="AI450" s="86" t="s">
        <v>427</v>
      </c>
      <c r="AJ450" s="11" t="s">
        <v>160</v>
      </c>
      <c r="AK450" s="80" t="str">
        <f t="shared" si="111"/>
        <v>Vanda Flushfit Recessed Track with RunnersClassic WhiteStraight</v>
      </c>
      <c r="AL450" s="80" t="s">
        <v>435</v>
      </c>
      <c r="AM450" s="80" t="s">
        <v>120</v>
      </c>
      <c r="AN450" s="80">
        <v>0</v>
      </c>
      <c r="AO450" s="80" t="s">
        <v>120</v>
      </c>
    </row>
    <row r="451" spans="10:41" ht="16.2" customHeight="1">
      <c r="J451" s="80" t="s">
        <v>725</v>
      </c>
      <c r="K451" s="80" t="s">
        <v>485</v>
      </c>
      <c r="L451" t="s">
        <v>421</v>
      </c>
      <c r="M451" t="s">
        <v>162</v>
      </c>
      <c r="N451" t="str">
        <f t="shared" si="112"/>
        <v>SingleDesigner 38 Wavefold Cord DrawnWavefold HooksDouble Face Fix Brackets</v>
      </c>
      <c r="O451">
        <v>0</v>
      </c>
      <c r="P451">
        <v>55</v>
      </c>
      <c r="Q451" s="80">
        <v>0</v>
      </c>
      <c r="R451" s="80">
        <f t="shared" si="113"/>
        <v>55</v>
      </c>
      <c r="AD451"/>
      <c r="AH451" s="86" t="s">
        <v>6547</v>
      </c>
      <c r="AI451" t="s">
        <v>193</v>
      </c>
      <c r="AJ451" s="11" t="s">
        <v>160</v>
      </c>
      <c r="AK451" s="80" t="str">
        <f t="shared" si="111"/>
        <v>Vanda Vantage 25mm Eyelot RodBlackStraight</v>
      </c>
      <c r="AL451" s="80" t="s">
        <v>435</v>
      </c>
      <c r="AM451" s="80" t="s">
        <v>120</v>
      </c>
      <c r="AN451" s="80">
        <v>0</v>
      </c>
      <c r="AO451" s="80" t="s">
        <v>120</v>
      </c>
    </row>
    <row r="452" spans="10:41" ht="16.2" customHeight="1">
      <c r="J452" s="80" t="s">
        <v>746</v>
      </c>
      <c r="K452" s="80" t="s">
        <v>485</v>
      </c>
      <c r="L452" t="s">
        <v>421</v>
      </c>
      <c r="M452" t="s">
        <v>159</v>
      </c>
      <c r="N452" t="str">
        <f t="shared" si="112"/>
        <v>Double FrontDesigner 38 Wavefold Cord DrawnWavefold HooksSingle Face Fix Brackets</v>
      </c>
      <c r="O452">
        <v>0</v>
      </c>
      <c r="P452">
        <v>55</v>
      </c>
      <c r="Q452" s="80">
        <v>0</v>
      </c>
      <c r="R452" s="80">
        <f t="shared" si="113"/>
        <v>55</v>
      </c>
      <c r="AD452"/>
      <c r="AH452" s="86" t="s">
        <v>6547</v>
      </c>
      <c r="AI452" t="s">
        <v>428</v>
      </c>
      <c r="AJ452" s="11" t="s">
        <v>160</v>
      </c>
      <c r="AK452" s="80" t="str">
        <f t="shared" si="111"/>
        <v>Vanda Vantage 25mm Eyelot RodBronzeStraight</v>
      </c>
      <c r="AL452" s="80" t="s">
        <v>435</v>
      </c>
      <c r="AM452" s="80" t="s">
        <v>120</v>
      </c>
      <c r="AN452" s="80">
        <v>0</v>
      </c>
      <c r="AO452" s="80" t="s">
        <v>120</v>
      </c>
    </row>
    <row r="453" spans="10:41" ht="16.2" customHeight="1">
      <c r="J453" s="80" t="s">
        <v>747</v>
      </c>
      <c r="K453" s="80" t="s">
        <v>485</v>
      </c>
      <c r="L453" t="s">
        <v>421</v>
      </c>
      <c r="M453" t="s">
        <v>159</v>
      </c>
      <c r="N453" t="str">
        <f t="shared" si="112"/>
        <v>Double RearDesigner 38 Wavefold Cord DrawnWavefold HooksSingle Face Fix Brackets</v>
      </c>
      <c r="O453">
        <v>12</v>
      </c>
      <c r="P453">
        <v>55</v>
      </c>
      <c r="Q453" s="80">
        <v>0</v>
      </c>
      <c r="R453" s="80">
        <f t="shared" si="113"/>
        <v>43</v>
      </c>
      <c r="AD453"/>
      <c r="AH453" s="86" t="s">
        <v>6547</v>
      </c>
      <c r="AI453" t="s">
        <v>427</v>
      </c>
      <c r="AJ453" s="11" t="s">
        <v>160</v>
      </c>
      <c r="AK453" s="80" t="str">
        <f t="shared" si="111"/>
        <v>Vanda Vantage 25mm Eyelot RodClassic WhiteStraight</v>
      </c>
      <c r="AL453" s="80" t="s">
        <v>435</v>
      </c>
      <c r="AM453" s="80" t="s">
        <v>120</v>
      </c>
      <c r="AN453" s="80">
        <v>0</v>
      </c>
      <c r="AO453" s="80" t="s">
        <v>120</v>
      </c>
    </row>
    <row r="454" spans="10:41" ht="16.2" customHeight="1">
      <c r="J454" s="80" t="s">
        <v>725</v>
      </c>
      <c r="K454" s="80" t="s">
        <v>485</v>
      </c>
      <c r="L454" t="s">
        <v>421</v>
      </c>
      <c r="M454" t="s">
        <v>159</v>
      </c>
      <c r="N454" t="str">
        <f t="shared" si="112"/>
        <v>SingleDesigner 38 Wavefold Cord DrawnWavefold HooksSingle Face Fix Brackets</v>
      </c>
      <c r="O454">
        <v>0</v>
      </c>
      <c r="P454">
        <v>55</v>
      </c>
      <c r="Q454" s="80">
        <v>0</v>
      </c>
      <c r="R454" s="80">
        <f t="shared" si="113"/>
        <v>55</v>
      </c>
      <c r="AD454"/>
      <c r="AH454" s="86" t="s">
        <v>6547</v>
      </c>
      <c r="AI454" t="s">
        <v>190</v>
      </c>
      <c r="AJ454" s="11" t="s">
        <v>160</v>
      </c>
      <c r="AK454" s="80" t="str">
        <f t="shared" si="111"/>
        <v>Vanda Vantage 25mm Eyelot RodIvoryStraight</v>
      </c>
      <c r="AL454" s="80" t="s">
        <v>435</v>
      </c>
      <c r="AM454" s="80" t="s">
        <v>120</v>
      </c>
      <c r="AN454" s="80">
        <v>0</v>
      </c>
      <c r="AO454" s="80" t="s">
        <v>120</v>
      </c>
    </row>
    <row r="455" spans="10:41" ht="16.2" customHeight="1">
      <c r="J455" s="80" t="s">
        <v>746</v>
      </c>
      <c r="K455" s="80" t="s">
        <v>485</v>
      </c>
      <c r="L455" t="s">
        <v>421</v>
      </c>
      <c r="M455" t="s">
        <v>553</v>
      </c>
      <c r="N455" t="str">
        <f t="shared" si="112"/>
        <v>Double FrontDesigner 38 Wavefold Cord DrawnWavefold HooksTriple Face Fix Brackets</v>
      </c>
      <c r="O455">
        <v>0</v>
      </c>
      <c r="P455">
        <v>55</v>
      </c>
      <c r="Q455" s="80">
        <v>0</v>
      </c>
      <c r="R455" s="80">
        <f t="shared" si="113"/>
        <v>55</v>
      </c>
      <c r="AD455"/>
      <c r="AH455" s="86" t="s">
        <v>6547</v>
      </c>
      <c r="AI455" t="s">
        <v>429</v>
      </c>
      <c r="AJ455" s="11" t="s">
        <v>160</v>
      </c>
      <c r="AK455" s="80" t="str">
        <f t="shared" si="111"/>
        <v>Vanda Vantage 25mm Eyelot RodPewterStraight</v>
      </c>
      <c r="AL455" s="80" t="s">
        <v>435</v>
      </c>
      <c r="AM455" s="80" t="s">
        <v>120</v>
      </c>
      <c r="AN455" s="80">
        <v>0</v>
      </c>
      <c r="AO455" s="80" t="s">
        <v>120</v>
      </c>
    </row>
    <row r="456" spans="10:41" ht="16.2" customHeight="1">
      <c r="J456" s="80" t="s">
        <v>747</v>
      </c>
      <c r="K456" s="80" t="s">
        <v>485</v>
      </c>
      <c r="L456" t="s">
        <v>421</v>
      </c>
      <c r="M456" t="s">
        <v>553</v>
      </c>
      <c r="N456" t="str">
        <f t="shared" si="112"/>
        <v>Double RearDesigner 38 Wavefold Cord DrawnWavefold HooksTriple Face Fix Brackets</v>
      </c>
      <c r="O456">
        <v>12</v>
      </c>
      <c r="P456">
        <v>55</v>
      </c>
      <c r="Q456" s="80">
        <v>0</v>
      </c>
      <c r="R456" s="80">
        <f t="shared" si="113"/>
        <v>43</v>
      </c>
      <c r="AD456"/>
      <c r="AH456" s="86" t="s">
        <v>6547</v>
      </c>
      <c r="AI456" t="s">
        <v>426</v>
      </c>
      <c r="AJ456" s="11" t="s">
        <v>160</v>
      </c>
      <c r="AK456" s="80" t="str">
        <f t="shared" si="111"/>
        <v>Vanda Vantage 25mm Eyelot RodRiverstoneStraight</v>
      </c>
      <c r="AL456" s="80" t="s">
        <v>435</v>
      </c>
      <c r="AM456" s="80" t="s">
        <v>120</v>
      </c>
      <c r="AN456" s="80">
        <v>0</v>
      </c>
      <c r="AO456" s="80" t="s">
        <v>120</v>
      </c>
    </row>
    <row r="457" spans="10:41" ht="16.2" customHeight="1">
      <c r="J457" s="80" t="s">
        <v>725</v>
      </c>
      <c r="K457" s="80" t="s">
        <v>485</v>
      </c>
      <c r="L457" t="s">
        <v>421</v>
      </c>
      <c r="M457" t="s">
        <v>553</v>
      </c>
      <c r="N457" t="str">
        <f t="shared" si="112"/>
        <v>SingleDesigner 38 Wavefold Cord DrawnWavefold HooksTriple Face Fix Brackets</v>
      </c>
      <c r="O457">
        <v>0</v>
      </c>
      <c r="P457">
        <v>55</v>
      </c>
      <c r="Q457" s="80">
        <v>0</v>
      </c>
      <c r="R457" s="80">
        <f t="shared" si="113"/>
        <v>55</v>
      </c>
      <c r="AD457"/>
      <c r="AH457" s="86" t="s">
        <v>6547</v>
      </c>
      <c r="AI457" t="s">
        <v>430</v>
      </c>
      <c r="AJ457" s="11" t="s">
        <v>160</v>
      </c>
      <c r="AK457" s="80" t="str">
        <f t="shared" si="111"/>
        <v>Vanda Vantage 25mm Eyelot RodSilver PearlStraight</v>
      </c>
      <c r="AL457" s="80" t="s">
        <v>435</v>
      </c>
      <c r="AM457" s="80" t="s">
        <v>120</v>
      </c>
      <c r="AN457" s="80">
        <v>0</v>
      </c>
      <c r="AO457" s="80" t="s">
        <v>120</v>
      </c>
    </row>
    <row r="458" spans="10:41" ht="16.2" customHeight="1">
      <c r="J458" s="80" t="s">
        <v>746</v>
      </c>
      <c r="K458" s="80" t="s">
        <v>486</v>
      </c>
      <c r="L458" t="s">
        <v>421</v>
      </c>
      <c r="M458" t="s">
        <v>162</v>
      </c>
      <c r="N458" t="str">
        <f t="shared" si="112"/>
        <v>Double FrontDesigner 38 Wavefold Hand DrawnWavefold HooksDouble Face Fix Brackets</v>
      </c>
      <c r="O458">
        <v>0</v>
      </c>
      <c r="P458">
        <v>55</v>
      </c>
      <c r="Q458" s="80">
        <v>0</v>
      </c>
      <c r="R458" s="80">
        <f t="shared" si="113"/>
        <v>55</v>
      </c>
      <c r="AD458"/>
      <c r="AH458" s="80"/>
      <c r="AI458" t="s">
        <v>193</v>
      </c>
      <c r="AJ458" s="11" t="s">
        <v>11556</v>
      </c>
      <c r="AK458" s="80" t="str">
        <f t="shared" si="111"/>
        <v>BlackBent</v>
      </c>
      <c r="AL458" s="80" t="s">
        <v>435</v>
      </c>
      <c r="AM458" s="80" t="s">
        <v>120</v>
      </c>
      <c r="AN458" s="80">
        <v>0</v>
      </c>
      <c r="AO458" s="80" t="s">
        <v>120</v>
      </c>
    </row>
    <row r="459" spans="10:41" ht="16.2" customHeight="1">
      <c r="J459" s="80" t="s">
        <v>747</v>
      </c>
      <c r="K459" s="80" t="s">
        <v>486</v>
      </c>
      <c r="L459" t="s">
        <v>421</v>
      </c>
      <c r="M459" t="s">
        <v>162</v>
      </c>
      <c r="N459" t="str">
        <f t="shared" si="112"/>
        <v>Double RearDesigner 38 Wavefold Hand DrawnWavefold HooksDouble Face Fix Brackets</v>
      </c>
      <c r="O459">
        <v>12</v>
      </c>
      <c r="P459">
        <v>55</v>
      </c>
      <c r="Q459" s="80">
        <v>0</v>
      </c>
      <c r="R459" s="80">
        <f t="shared" si="113"/>
        <v>43</v>
      </c>
      <c r="AD459"/>
      <c r="AH459" s="80"/>
      <c r="AI459" t="s">
        <v>193</v>
      </c>
      <c r="AJ459" s="11" t="s">
        <v>160</v>
      </c>
      <c r="AK459" s="80" t="str">
        <f t="shared" si="111"/>
        <v>BlackStraight</v>
      </c>
      <c r="AL459" s="80" t="s">
        <v>435</v>
      </c>
      <c r="AM459" s="80" t="s">
        <v>120</v>
      </c>
      <c r="AN459" s="80">
        <v>0</v>
      </c>
      <c r="AO459" s="80" t="s">
        <v>120</v>
      </c>
    </row>
    <row r="460" spans="10:41" ht="16.2" customHeight="1">
      <c r="J460" s="80" t="s">
        <v>725</v>
      </c>
      <c r="K460" s="80" t="s">
        <v>486</v>
      </c>
      <c r="L460" t="s">
        <v>421</v>
      </c>
      <c r="M460" t="s">
        <v>162</v>
      </c>
      <c r="N460" t="str">
        <f t="shared" si="112"/>
        <v>SingleDesigner 38 Wavefold Hand DrawnWavefold HooksDouble Face Fix Brackets</v>
      </c>
      <c r="O460">
        <v>0</v>
      </c>
      <c r="P460">
        <v>55</v>
      </c>
      <c r="Q460" s="80">
        <v>0</v>
      </c>
      <c r="R460" s="80">
        <f t="shared" si="113"/>
        <v>55</v>
      </c>
      <c r="AD460"/>
      <c r="AH460" s="80"/>
      <c r="AI460" t="s">
        <v>428</v>
      </c>
      <c r="AJ460" s="11" t="s">
        <v>11556</v>
      </c>
      <c r="AK460" s="80" t="str">
        <f t="shared" si="114" ref="AK460:AK467">CONCATENATE(AH460,AI460,AJ460)</f>
        <v>BronzeBent</v>
      </c>
      <c r="AL460" s="80" t="s">
        <v>435</v>
      </c>
      <c r="AM460" s="80" t="s">
        <v>120</v>
      </c>
      <c r="AN460" s="80">
        <v>0</v>
      </c>
      <c r="AO460" s="80" t="s">
        <v>120</v>
      </c>
    </row>
    <row r="461" spans="10:41" ht="16.2" customHeight="1">
      <c r="J461" s="80" t="s">
        <v>746</v>
      </c>
      <c r="K461" s="80" t="s">
        <v>486</v>
      </c>
      <c r="L461" t="s">
        <v>421</v>
      </c>
      <c r="M461" t="s">
        <v>159</v>
      </c>
      <c r="N461" t="str">
        <f t="shared" si="112"/>
        <v>Double FrontDesigner 38 Wavefold Hand DrawnWavefold HooksSingle Face Fix Brackets</v>
      </c>
      <c r="O461">
        <v>0</v>
      </c>
      <c r="P461">
        <v>55</v>
      </c>
      <c r="Q461" s="80">
        <v>0</v>
      </c>
      <c r="R461" s="80">
        <f t="shared" si="113"/>
        <v>55</v>
      </c>
      <c r="AD461"/>
      <c r="AH461" s="80"/>
      <c r="AI461" t="s">
        <v>428</v>
      </c>
      <c r="AJ461" s="11" t="s">
        <v>160</v>
      </c>
      <c r="AK461" s="80" t="str">
        <f t="shared" si="114"/>
        <v>BronzeStraight</v>
      </c>
      <c r="AL461" s="80" t="s">
        <v>435</v>
      </c>
      <c r="AM461" s="80" t="s">
        <v>120</v>
      </c>
      <c r="AN461" s="80">
        <v>0</v>
      </c>
      <c r="AO461" s="80" t="s">
        <v>120</v>
      </c>
    </row>
    <row r="462" spans="10:41" ht="16.2" customHeight="1">
      <c r="J462" s="80" t="s">
        <v>747</v>
      </c>
      <c r="K462" s="80" t="s">
        <v>486</v>
      </c>
      <c r="L462" t="s">
        <v>421</v>
      </c>
      <c r="M462" t="s">
        <v>159</v>
      </c>
      <c r="N462" t="str">
        <f t="shared" si="112"/>
        <v>Double RearDesigner 38 Wavefold Hand DrawnWavefold HooksSingle Face Fix Brackets</v>
      </c>
      <c r="O462">
        <v>12</v>
      </c>
      <c r="P462">
        <v>55</v>
      </c>
      <c r="Q462" s="80">
        <v>0</v>
      </c>
      <c r="R462" s="80">
        <f t="shared" si="113"/>
        <v>43</v>
      </c>
      <c r="AD462"/>
      <c r="AH462" s="80"/>
      <c r="AI462" t="s">
        <v>427</v>
      </c>
      <c r="AJ462" s="11" t="s">
        <v>11556</v>
      </c>
      <c r="AK462" s="80" t="str">
        <f t="shared" si="114"/>
        <v>Classic WhiteBent</v>
      </c>
      <c r="AL462" s="80" t="s">
        <v>435</v>
      </c>
      <c r="AM462" s="80" t="s">
        <v>120</v>
      </c>
      <c r="AN462" s="80">
        <v>0</v>
      </c>
      <c r="AO462" s="80" t="s">
        <v>120</v>
      </c>
    </row>
    <row r="463" spans="10:41" ht="16.2" customHeight="1">
      <c r="J463" s="80" t="s">
        <v>725</v>
      </c>
      <c r="K463" s="80" t="s">
        <v>486</v>
      </c>
      <c r="L463" t="s">
        <v>421</v>
      </c>
      <c r="M463" t="s">
        <v>159</v>
      </c>
      <c r="N463" t="str">
        <f t="shared" si="112"/>
        <v>SingleDesigner 38 Wavefold Hand DrawnWavefold HooksSingle Face Fix Brackets</v>
      </c>
      <c r="O463">
        <v>0</v>
      </c>
      <c r="P463">
        <v>55</v>
      </c>
      <c r="Q463" s="80">
        <v>0</v>
      </c>
      <c r="R463" s="80">
        <f t="shared" si="113"/>
        <v>55</v>
      </c>
      <c r="AD463"/>
      <c r="AH463" s="80"/>
      <c r="AI463" t="s">
        <v>427</v>
      </c>
      <c r="AJ463" s="11" t="s">
        <v>160</v>
      </c>
      <c r="AK463" s="80" t="str">
        <f t="shared" si="114"/>
        <v>Classic WhiteStraight</v>
      </c>
      <c r="AL463" s="80" t="s">
        <v>435</v>
      </c>
      <c r="AM463" s="80" t="s">
        <v>120</v>
      </c>
      <c r="AN463" s="80">
        <v>0</v>
      </c>
      <c r="AO463" s="80" t="s">
        <v>120</v>
      </c>
    </row>
    <row r="464" spans="10:41" ht="16.2" customHeight="1">
      <c r="J464" s="80" t="s">
        <v>746</v>
      </c>
      <c r="K464" s="80" t="s">
        <v>607</v>
      </c>
      <c r="L464" t="s">
        <v>185</v>
      </c>
      <c r="M464" s="80" t="s">
        <v>403</v>
      </c>
      <c r="N464" t="str">
        <f t="shared" si="112"/>
        <v>Double FrontExisting Conduit or WireNo HooksN/A</v>
      </c>
      <c r="O464">
        <v>0</v>
      </c>
      <c r="P464">
        <v>0</v>
      </c>
      <c r="Q464" s="80">
        <v>0</v>
      </c>
      <c r="R464" s="80">
        <f t="shared" si="113"/>
        <v>0</v>
      </c>
      <c r="AD464"/>
      <c r="AH464" s="80"/>
      <c r="AI464" t="s">
        <v>190</v>
      </c>
      <c r="AJ464" s="11" t="s">
        <v>11556</v>
      </c>
      <c r="AK464" s="80" t="str">
        <f t="shared" si="114"/>
        <v>IvoryBent</v>
      </c>
      <c r="AL464" s="80" t="s">
        <v>435</v>
      </c>
      <c r="AM464" s="80" t="s">
        <v>120</v>
      </c>
      <c r="AN464" s="80">
        <v>0</v>
      </c>
      <c r="AO464" s="80" t="s">
        <v>120</v>
      </c>
    </row>
    <row r="465" spans="10:41" ht="16.2" customHeight="1">
      <c r="J465" s="80" t="s">
        <v>747</v>
      </c>
      <c r="K465" s="80" t="s">
        <v>607</v>
      </c>
      <c r="L465" t="s">
        <v>185</v>
      </c>
      <c r="M465" s="80" t="s">
        <v>403</v>
      </c>
      <c r="N465" t="str">
        <f t="shared" si="112"/>
        <v>Double RearExisting Conduit or WireNo HooksN/A</v>
      </c>
      <c r="O465">
        <v>0</v>
      </c>
      <c r="P465">
        <v>0</v>
      </c>
      <c r="Q465" s="80">
        <v>0</v>
      </c>
      <c r="R465" s="80">
        <f t="shared" si="113"/>
        <v>0</v>
      </c>
      <c r="AD465"/>
      <c r="AH465" s="80"/>
      <c r="AI465" t="s">
        <v>190</v>
      </c>
      <c r="AJ465" s="11" t="s">
        <v>160</v>
      </c>
      <c r="AK465" s="80" t="str">
        <f t="shared" si="114"/>
        <v>IvoryStraight</v>
      </c>
      <c r="AL465" s="80" t="s">
        <v>435</v>
      </c>
      <c r="AM465" s="80" t="s">
        <v>120</v>
      </c>
      <c r="AN465" s="80">
        <v>0</v>
      </c>
      <c r="AO465" s="80" t="s">
        <v>120</v>
      </c>
    </row>
    <row r="466" spans="10:41" ht="16.2" customHeight="1">
      <c r="J466" s="80" t="s">
        <v>725</v>
      </c>
      <c r="K466" s="80" t="s">
        <v>607</v>
      </c>
      <c r="L466" t="s">
        <v>185</v>
      </c>
      <c r="M466" t="s">
        <v>403</v>
      </c>
      <c r="N466" t="str">
        <f t="shared" si="112"/>
        <v>SingleExisting Conduit or WireNo HooksN/A</v>
      </c>
      <c r="O466">
        <v>0</v>
      </c>
      <c r="P466">
        <v>0</v>
      </c>
      <c r="Q466" s="80">
        <v>0</v>
      </c>
      <c r="R466" s="80">
        <f t="shared" si="113"/>
        <v>0</v>
      </c>
      <c r="AD466"/>
      <c r="AH466" s="80"/>
      <c r="AI466" t="s">
        <v>429</v>
      </c>
      <c r="AJ466" s="11" t="s">
        <v>11556</v>
      </c>
      <c r="AK466" s="80" t="str">
        <f t="shared" si="114"/>
        <v>PewterBent</v>
      </c>
      <c r="AL466" s="80" t="s">
        <v>435</v>
      </c>
      <c r="AM466" s="80" t="s">
        <v>120</v>
      </c>
      <c r="AN466" s="80">
        <v>0</v>
      </c>
      <c r="AO466" s="80" t="s">
        <v>120</v>
      </c>
    </row>
    <row r="467" spans="10:41" ht="16.2" customHeight="1">
      <c r="J467" s="80" t="s">
        <v>725</v>
      </c>
      <c r="K467" s="80" t="s">
        <v>6932</v>
      </c>
      <c r="L467" t="s">
        <v>185</v>
      </c>
      <c r="M467" t="s">
        <v>403</v>
      </c>
      <c r="N467" t="str">
        <f t="shared" si="112"/>
        <v>SingleExisting Conduit or Wire x 2No HooksN/A</v>
      </c>
      <c r="O467">
        <v>0</v>
      </c>
      <c r="P467">
        <v>0</v>
      </c>
      <c r="Q467" s="80">
        <v>0</v>
      </c>
      <c r="R467" s="80">
        <f t="shared" si="113"/>
        <v>0</v>
      </c>
      <c r="AD467"/>
      <c r="AH467" s="80"/>
      <c r="AI467" t="s">
        <v>429</v>
      </c>
      <c r="AJ467" s="11" t="s">
        <v>160</v>
      </c>
      <c r="AK467" s="80" t="str">
        <f t="shared" si="114"/>
        <v>PewterStraight</v>
      </c>
      <c r="AL467" s="80" t="s">
        <v>435</v>
      </c>
      <c r="AM467" s="80" t="s">
        <v>120</v>
      </c>
      <c r="AN467" s="80">
        <v>0</v>
      </c>
      <c r="AO467" s="80" t="s">
        <v>120</v>
      </c>
    </row>
    <row r="468" spans="10:41" ht="16.2" customHeight="1">
      <c r="J468" s="80" t="s">
        <v>746</v>
      </c>
      <c r="K468" s="80" t="s">
        <v>613</v>
      </c>
      <c r="L468" t="s">
        <v>183</v>
      </c>
      <c r="M468" s="80" t="s">
        <v>403</v>
      </c>
      <c r="N468" t="str">
        <f t="shared" si="112"/>
        <v>Double FrontExisting Decorator TrackBelow Normal 2075N/A</v>
      </c>
      <c r="O468">
        <v>70</v>
      </c>
      <c r="P468">
        <v>72</v>
      </c>
      <c r="Q468" s="80">
        <v>0</v>
      </c>
      <c r="R468" s="80">
        <f t="shared" si="113"/>
        <v>2</v>
      </c>
      <c r="AD468"/>
      <c r="AH468" s="80"/>
      <c r="AI468" t="s">
        <v>426</v>
      </c>
      <c r="AJ468" s="11" t="s">
        <v>11556</v>
      </c>
      <c r="AK468" s="80" t="str">
        <f t="shared" si="115" ref="AK468:AK476">CONCATENATE(AH468,AI468,AJ468)</f>
        <v>RiverstoneBent</v>
      </c>
      <c r="AL468" s="80" t="s">
        <v>435</v>
      </c>
      <c r="AM468" s="80" t="s">
        <v>120</v>
      </c>
      <c r="AN468" s="80">
        <v>0</v>
      </c>
      <c r="AO468" s="80" t="s">
        <v>120</v>
      </c>
    </row>
    <row r="469" spans="10:41" ht="16.2" customHeight="1">
      <c r="J469" s="80" t="s">
        <v>747</v>
      </c>
      <c r="K469" s="80" t="s">
        <v>613</v>
      </c>
      <c r="L469" t="s">
        <v>183</v>
      </c>
      <c r="M469" s="80" t="s">
        <v>403</v>
      </c>
      <c r="N469" t="str">
        <f t="shared" si="112"/>
        <v>Double RearExisting Decorator TrackBelow Normal 2075N/A</v>
      </c>
      <c r="O469">
        <v>70</v>
      </c>
      <c r="P469">
        <v>72</v>
      </c>
      <c r="Q469" s="80">
        <v>0</v>
      </c>
      <c r="R469" s="80">
        <f t="shared" si="113"/>
        <v>2</v>
      </c>
      <c r="AD469"/>
      <c r="AH469" s="80"/>
      <c r="AI469" t="s">
        <v>426</v>
      </c>
      <c r="AJ469" s="11" t="s">
        <v>160</v>
      </c>
      <c r="AK469" s="80" t="str">
        <f t="shared" si="115"/>
        <v>RiverstoneStraight</v>
      </c>
      <c r="AL469" s="80" t="s">
        <v>435</v>
      </c>
      <c r="AM469" s="80" t="s">
        <v>120</v>
      </c>
      <c r="AN469" s="80">
        <v>0</v>
      </c>
      <c r="AO469" s="80" t="s">
        <v>120</v>
      </c>
    </row>
    <row r="470" spans="10:41" ht="16.2" customHeight="1">
      <c r="J470" s="80" t="s">
        <v>725</v>
      </c>
      <c r="K470" s="80" t="s">
        <v>613</v>
      </c>
      <c r="L470" t="s">
        <v>183</v>
      </c>
      <c r="M470" s="80" t="s">
        <v>403</v>
      </c>
      <c r="N470" t="str">
        <f t="shared" si="112"/>
        <v>SingleExisting Decorator TrackBelow Normal 2075N/A</v>
      </c>
      <c r="O470">
        <v>70</v>
      </c>
      <c r="P470">
        <v>72</v>
      </c>
      <c r="Q470" s="80">
        <v>0</v>
      </c>
      <c r="R470" s="80">
        <f t="shared" si="113"/>
        <v>2</v>
      </c>
      <c r="AD470"/>
      <c r="AH470" s="80"/>
      <c r="AI470" t="s">
        <v>430</v>
      </c>
      <c r="AJ470" s="11" t="s">
        <v>11556</v>
      </c>
      <c r="AK470" s="80" t="str">
        <f t="shared" si="115"/>
        <v>Silver PearlBent</v>
      </c>
      <c r="AL470" s="80" t="s">
        <v>435</v>
      </c>
      <c r="AM470" s="80" t="s">
        <v>120</v>
      </c>
      <c r="AN470" s="80">
        <v>0</v>
      </c>
      <c r="AO470" s="80" t="s">
        <v>120</v>
      </c>
    </row>
    <row r="471" spans="10:41" ht="16.2" customHeight="1">
      <c r="J471" s="80" t="s">
        <v>746</v>
      </c>
      <c r="K471" s="80" t="s">
        <v>613</v>
      </c>
      <c r="L471" t="s">
        <v>182</v>
      </c>
      <c r="M471" s="80" t="s">
        <v>403</v>
      </c>
      <c r="N471" t="str">
        <f t="shared" si="112"/>
        <v>Double FrontExisting Decorator TrackBetween Level and Normal 2073N/A</v>
      </c>
      <c r="O471">
        <v>48</v>
      </c>
      <c r="P471">
        <v>72</v>
      </c>
      <c r="Q471" s="80">
        <v>0</v>
      </c>
      <c r="R471" s="80">
        <f t="shared" si="113"/>
        <v>24</v>
      </c>
      <c r="AD471"/>
      <c r="AH471" s="80"/>
      <c r="AI471" t="s">
        <v>430</v>
      </c>
      <c r="AJ471" s="11" t="s">
        <v>160</v>
      </c>
      <c r="AK471" s="80" t="str">
        <f t="shared" si="115"/>
        <v>Silver PearlStraight</v>
      </c>
      <c r="AL471" s="80" t="s">
        <v>435</v>
      </c>
      <c r="AM471" s="80" t="s">
        <v>120</v>
      </c>
      <c r="AN471" s="80">
        <v>0</v>
      </c>
      <c r="AO471" s="80" t="s">
        <v>120</v>
      </c>
    </row>
    <row r="472" spans="10:41" ht="16.2" customHeight="1">
      <c r="J472" s="80" t="s">
        <v>747</v>
      </c>
      <c r="K472" s="80" t="s">
        <v>613</v>
      </c>
      <c r="L472" t="s">
        <v>182</v>
      </c>
      <c r="M472" s="80" t="s">
        <v>403</v>
      </c>
      <c r="N472" t="str">
        <f t="shared" si="112"/>
        <v>Double RearExisting Decorator TrackBetween Level and Normal 2073N/A</v>
      </c>
      <c r="O472">
        <v>48</v>
      </c>
      <c r="P472">
        <v>72</v>
      </c>
      <c r="Q472" s="80">
        <v>0</v>
      </c>
      <c r="R472" s="80">
        <f t="shared" si="113"/>
        <v>24</v>
      </c>
      <c r="AD472"/>
      <c r="AH472" s="80" t="s">
        <v>4925</v>
      </c>
      <c r="AI472" t="s">
        <v>193</v>
      </c>
      <c r="AJ472" s="11" t="s">
        <v>11556</v>
      </c>
      <c r="AK472" s="80" t="str">
        <f t="shared" si="115"/>
        <v>Vanda Versatrak 16 Rod with RingsBlackBent</v>
      </c>
      <c r="AL472" s="80" t="s">
        <v>435</v>
      </c>
      <c r="AM472" s="80" t="s">
        <v>120</v>
      </c>
      <c r="AN472" s="80">
        <v>0</v>
      </c>
      <c r="AO472" s="80" t="s">
        <v>120</v>
      </c>
    </row>
    <row r="473" spans="10:41" ht="16.2" customHeight="1">
      <c r="J473" s="80" t="s">
        <v>725</v>
      </c>
      <c r="K473" s="80" t="s">
        <v>613</v>
      </c>
      <c r="L473" t="s">
        <v>182</v>
      </c>
      <c r="M473" s="80" t="s">
        <v>403</v>
      </c>
      <c r="N473" t="str">
        <f t="shared" si="112"/>
        <v>SingleExisting Decorator TrackBetween Level and Normal 2073N/A</v>
      </c>
      <c r="O473">
        <v>47</v>
      </c>
      <c r="P473">
        <v>72</v>
      </c>
      <c r="Q473" s="80">
        <v>0</v>
      </c>
      <c r="R473" s="80">
        <f t="shared" si="113"/>
        <v>25</v>
      </c>
      <c r="AD473"/>
      <c r="AH473" s="80" t="s">
        <v>4925</v>
      </c>
      <c r="AI473" t="s">
        <v>193</v>
      </c>
      <c r="AJ473" s="11" t="s">
        <v>160</v>
      </c>
      <c r="AK473" s="80" t="str">
        <f t="shared" si="115"/>
        <v>Vanda Versatrak 16 Rod with RingsBlackStraight</v>
      </c>
      <c r="AL473" s="80" t="s">
        <v>435</v>
      </c>
      <c r="AM473" s="80" t="s">
        <v>120</v>
      </c>
      <c r="AN473" s="80">
        <v>0</v>
      </c>
      <c r="AO473" s="80" t="s">
        <v>120</v>
      </c>
    </row>
    <row r="474" spans="10:41" ht="16.2" customHeight="1">
      <c r="J474" s="80" t="s">
        <v>746</v>
      </c>
      <c r="K474" s="80" t="s">
        <v>613</v>
      </c>
      <c r="L474" t="s">
        <v>184</v>
      </c>
      <c r="M474" s="80" t="s">
        <v>403</v>
      </c>
      <c r="N474" t="str">
        <f t="shared" si="112"/>
        <v>Double FrontExisting Decorator TrackDecorator 2071N/A</v>
      </c>
      <c r="O474">
        <v>20</v>
      </c>
      <c r="P474">
        <v>72</v>
      </c>
      <c r="Q474" s="80">
        <v>0</v>
      </c>
      <c r="R474" s="80">
        <f t="shared" si="113"/>
        <v>52</v>
      </c>
      <c r="AD474"/>
      <c r="AH474" s="80" t="s">
        <v>4925</v>
      </c>
      <c r="AI474" t="s">
        <v>428</v>
      </c>
      <c r="AJ474" s="11" t="s">
        <v>11556</v>
      </c>
      <c r="AK474" s="80" t="str">
        <f t="shared" si="115"/>
        <v>Vanda Versatrak 16 Rod with RingsBronzeBent</v>
      </c>
      <c r="AL474" s="80" t="s">
        <v>435</v>
      </c>
      <c r="AM474" s="80" t="s">
        <v>120</v>
      </c>
      <c r="AN474" s="80">
        <v>0</v>
      </c>
      <c r="AO474" s="80" t="s">
        <v>120</v>
      </c>
    </row>
    <row r="475" spans="10:41" ht="16.2" customHeight="1">
      <c r="J475" s="80" t="s">
        <v>747</v>
      </c>
      <c r="K475" s="80" t="s">
        <v>613</v>
      </c>
      <c r="L475" t="s">
        <v>184</v>
      </c>
      <c r="M475" s="80" t="s">
        <v>403</v>
      </c>
      <c r="N475" t="str">
        <f t="shared" si="112"/>
        <v>Double RearExisting Decorator TrackDecorator 2071N/A</v>
      </c>
      <c r="O475">
        <v>20</v>
      </c>
      <c r="P475">
        <v>72</v>
      </c>
      <c r="Q475" s="80">
        <v>0</v>
      </c>
      <c r="R475" s="80">
        <f t="shared" si="113"/>
        <v>52</v>
      </c>
      <c r="AD475"/>
      <c r="AH475" s="80" t="s">
        <v>4925</v>
      </c>
      <c r="AI475" t="s">
        <v>428</v>
      </c>
      <c r="AJ475" s="11" t="s">
        <v>160</v>
      </c>
      <c r="AK475" s="80" t="str">
        <f t="shared" si="115"/>
        <v>Vanda Versatrak 16 Rod with RingsBronzeStraight</v>
      </c>
      <c r="AL475" s="80" t="s">
        <v>435</v>
      </c>
      <c r="AM475" s="80" t="s">
        <v>120</v>
      </c>
      <c r="AN475" s="80">
        <v>0</v>
      </c>
      <c r="AO475" s="80" t="s">
        <v>120</v>
      </c>
    </row>
    <row r="476" spans="10:41" ht="16.2" customHeight="1">
      <c r="J476" s="80" t="s">
        <v>725</v>
      </c>
      <c r="K476" s="80" t="s">
        <v>613</v>
      </c>
      <c r="L476" t="s">
        <v>184</v>
      </c>
      <c r="M476" s="80" t="s">
        <v>403</v>
      </c>
      <c r="N476" t="str">
        <f t="shared" si="112"/>
        <v>SingleExisting Decorator TrackDecorator 2071N/A</v>
      </c>
      <c r="O476">
        <v>20</v>
      </c>
      <c r="P476">
        <v>72</v>
      </c>
      <c r="Q476" s="80">
        <v>0</v>
      </c>
      <c r="R476" s="80">
        <f t="shared" si="113"/>
        <v>52</v>
      </c>
      <c r="AD476"/>
      <c r="AH476" s="80" t="s">
        <v>4925</v>
      </c>
      <c r="AI476" t="s">
        <v>427</v>
      </c>
      <c r="AJ476" s="11" t="s">
        <v>11556</v>
      </c>
      <c r="AK476" s="80" t="str">
        <f t="shared" si="115"/>
        <v>Vanda Versatrak 16 Rod with RingsClassic WhiteBent</v>
      </c>
      <c r="AL476" s="80" t="s">
        <v>435</v>
      </c>
      <c r="AM476" s="80" t="s">
        <v>120</v>
      </c>
      <c r="AN476" s="80">
        <v>0</v>
      </c>
      <c r="AO476" s="80" t="s">
        <v>120</v>
      </c>
    </row>
    <row r="477" spans="10:41" ht="16.2" customHeight="1">
      <c r="J477" s="80" t="s">
        <v>746</v>
      </c>
      <c r="K477" s="80" t="s">
        <v>613</v>
      </c>
      <c r="L477" t="s">
        <v>6468</v>
      </c>
      <c r="M477" s="80" t="s">
        <v>403</v>
      </c>
      <c r="N477" t="str">
        <f t="shared" si="112"/>
        <v>Double FrontExisting Decorator TrackGather Hook Bottom PocketN/A</v>
      </c>
      <c r="O477">
        <v>60</v>
      </c>
      <c r="P477">
        <v>72</v>
      </c>
      <c r="Q477" s="80">
        <v>0</v>
      </c>
      <c r="R477" s="80">
        <f t="shared" si="113"/>
        <v>12</v>
      </c>
      <c r="AD477"/>
      <c r="AH477" s="80" t="s">
        <v>4925</v>
      </c>
      <c r="AI477" t="s">
        <v>427</v>
      </c>
      <c r="AJ477" s="11" t="s">
        <v>160</v>
      </c>
      <c r="AK477" s="80" t="str">
        <f t="shared" si="116" ref="AK477:AK485">CONCATENATE(AH477,AI477,AJ477)</f>
        <v>Vanda Versatrak 16 Rod with RingsClassic WhiteStraight</v>
      </c>
      <c r="AL477" s="80" t="s">
        <v>435</v>
      </c>
      <c r="AM477" s="80" t="s">
        <v>120</v>
      </c>
      <c r="AN477" s="80">
        <v>0</v>
      </c>
      <c r="AO477" s="80" t="s">
        <v>120</v>
      </c>
    </row>
    <row r="478" spans="10:41" ht="16.2" customHeight="1">
      <c r="J478" s="80" t="s">
        <v>725</v>
      </c>
      <c r="K478" s="80" t="s">
        <v>613</v>
      </c>
      <c r="L478" t="s">
        <v>6468</v>
      </c>
      <c r="M478" s="80" t="s">
        <v>403</v>
      </c>
      <c r="N478" t="str">
        <f t="shared" si="112"/>
        <v>SingleExisting Decorator TrackGather Hook Bottom PocketN/A</v>
      </c>
      <c r="O478">
        <v>60</v>
      </c>
      <c r="P478">
        <v>72</v>
      </c>
      <c r="Q478" s="80">
        <v>0</v>
      </c>
      <c r="R478" s="80">
        <f t="shared" si="113"/>
        <v>12</v>
      </c>
      <c r="AD478"/>
      <c r="AH478" s="80" t="s">
        <v>4925</v>
      </c>
      <c r="AI478" t="s">
        <v>190</v>
      </c>
      <c r="AJ478" s="11" t="s">
        <v>11556</v>
      </c>
      <c r="AK478" s="80" t="str">
        <f t="shared" si="116"/>
        <v>Vanda Versatrak 16 Rod with RingsIvoryBent</v>
      </c>
      <c r="AL478" s="80" t="s">
        <v>435</v>
      </c>
      <c r="AM478" s="80" t="s">
        <v>120</v>
      </c>
      <c r="AN478" s="80">
        <v>0</v>
      </c>
      <c r="AO478" s="80" t="s">
        <v>120</v>
      </c>
    </row>
    <row r="479" spans="10:41" ht="16.2" customHeight="1">
      <c r="J479" s="80" t="s">
        <v>746</v>
      </c>
      <c r="K479" s="80" t="s">
        <v>613</v>
      </c>
      <c r="L479" t="s">
        <v>229</v>
      </c>
      <c r="M479" s="80" t="s">
        <v>403</v>
      </c>
      <c r="N479" t="str">
        <f t="shared" si="112"/>
        <v>Double FrontExisting Decorator TrackGather Hook LevelN/A</v>
      </c>
      <c r="O479">
        <v>20</v>
      </c>
      <c r="P479">
        <v>72</v>
      </c>
      <c r="Q479" s="80">
        <v>0</v>
      </c>
      <c r="R479" s="80">
        <f t="shared" si="113"/>
        <v>52</v>
      </c>
      <c r="AD479"/>
      <c r="AH479" s="80" t="s">
        <v>4925</v>
      </c>
      <c r="AI479" t="s">
        <v>190</v>
      </c>
      <c r="AJ479" s="11" t="s">
        <v>160</v>
      </c>
      <c r="AK479" s="80" t="str">
        <f t="shared" si="116"/>
        <v>Vanda Versatrak 16 Rod with RingsIvoryStraight</v>
      </c>
      <c r="AL479" s="80" t="s">
        <v>435</v>
      </c>
      <c r="AM479" s="80" t="s">
        <v>120</v>
      </c>
      <c r="AN479" s="80">
        <v>0</v>
      </c>
      <c r="AO479" s="80" t="s">
        <v>120</v>
      </c>
    </row>
    <row r="480" spans="10:41" ht="16.2" customHeight="1">
      <c r="J480" s="80" t="s">
        <v>747</v>
      </c>
      <c r="K480" s="80" t="s">
        <v>613</v>
      </c>
      <c r="L480" t="s">
        <v>229</v>
      </c>
      <c r="M480" s="80" t="s">
        <v>403</v>
      </c>
      <c r="N480" t="str">
        <f t="shared" si="112"/>
        <v>Double RearExisting Decorator TrackGather Hook LevelN/A</v>
      </c>
      <c r="O480">
        <v>20</v>
      </c>
      <c r="P480">
        <v>72</v>
      </c>
      <c r="Q480" s="80">
        <v>0</v>
      </c>
      <c r="R480" s="80">
        <f t="shared" si="113"/>
        <v>52</v>
      </c>
      <c r="AD480"/>
      <c r="AH480" s="80" t="s">
        <v>4925</v>
      </c>
      <c r="AI480" t="s">
        <v>429</v>
      </c>
      <c r="AJ480" s="11" t="s">
        <v>11556</v>
      </c>
      <c r="AK480" s="80" t="str">
        <f t="shared" si="116"/>
        <v>Vanda Versatrak 16 Rod with RingsPewterBent</v>
      </c>
      <c r="AL480" s="80" t="s">
        <v>435</v>
      </c>
      <c r="AM480" s="80" t="s">
        <v>120</v>
      </c>
      <c r="AN480" s="80">
        <v>0</v>
      </c>
      <c r="AO480" s="80" t="s">
        <v>120</v>
      </c>
    </row>
    <row r="481" spans="10:41" ht="16.2" customHeight="1">
      <c r="J481" s="80" t="s">
        <v>725</v>
      </c>
      <c r="K481" s="80" t="s">
        <v>613</v>
      </c>
      <c r="L481" t="s">
        <v>229</v>
      </c>
      <c r="M481" s="80" t="s">
        <v>403</v>
      </c>
      <c r="N481" t="str">
        <f t="shared" si="112"/>
        <v>SingleExisting Decorator TrackGather Hook LevelN/A</v>
      </c>
      <c r="O481">
        <v>20</v>
      </c>
      <c r="P481">
        <v>72</v>
      </c>
      <c r="Q481" s="80">
        <v>0</v>
      </c>
      <c r="R481" s="80">
        <f t="shared" si="113"/>
        <v>52</v>
      </c>
      <c r="AD481"/>
      <c r="AH481" s="80" t="s">
        <v>4925</v>
      </c>
      <c r="AI481" t="s">
        <v>429</v>
      </c>
      <c r="AJ481" s="11" t="s">
        <v>160</v>
      </c>
      <c r="AK481" s="80" t="str">
        <f t="shared" si="116"/>
        <v>Vanda Versatrak 16 Rod with RingsPewterStraight</v>
      </c>
      <c r="AL481" s="80" t="s">
        <v>435</v>
      </c>
      <c r="AM481" s="80" t="s">
        <v>120</v>
      </c>
      <c r="AN481" s="80">
        <v>0</v>
      </c>
      <c r="AO481" s="80" t="s">
        <v>120</v>
      </c>
    </row>
    <row r="482" spans="10:41" ht="16.2" customHeight="1">
      <c r="J482" s="80" t="s">
        <v>746</v>
      </c>
      <c r="K482" s="80" t="s">
        <v>613</v>
      </c>
      <c r="L482" t="s">
        <v>228</v>
      </c>
      <c r="M482" s="80" t="s">
        <v>403</v>
      </c>
      <c r="N482" t="str">
        <f t="shared" si="112"/>
        <v>Double FrontExisting Decorator TrackGather Hook NormalN/A</v>
      </c>
      <c r="O482">
        <v>43</v>
      </c>
      <c r="P482">
        <v>72</v>
      </c>
      <c r="Q482" s="80">
        <v>0</v>
      </c>
      <c r="R482" s="80">
        <f t="shared" si="113"/>
        <v>29</v>
      </c>
      <c r="AD482"/>
      <c r="AH482" s="80" t="s">
        <v>4925</v>
      </c>
      <c r="AI482" t="s">
        <v>426</v>
      </c>
      <c r="AJ482" s="11" t="s">
        <v>11556</v>
      </c>
      <c r="AK482" s="80" t="str">
        <f t="shared" si="116"/>
        <v>Vanda Versatrak 16 Rod with RingsRiverstoneBent</v>
      </c>
      <c r="AL482" s="80" t="s">
        <v>435</v>
      </c>
      <c r="AM482" s="80" t="s">
        <v>120</v>
      </c>
      <c r="AN482" s="80">
        <v>0</v>
      </c>
      <c r="AO482" s="80" t="s">
        <v>120</v>
      </c>
    </row>
    <row r="483" spans="10:41" ht="16.2" customHeight="1">
      <c r="J483" s="80" t="s">
        <v>747</v>
      </c>
      <c r="K483" s="80" t="s">
        <v>613</v>
      </c>
      <c r="L483" t="s">
        <v>228</v>
      </c>
      <c r="M483" s="80" t="s">
        <v>403</v>
      </c>
      <c r="N483" t="str">
        <f t="shared" si="112"/>
        <v>Double RearExisting Decorator TrackGather Hook NormalN/A</v>
      </c>
      <c r="O483">
        <v>43</v>
      </c>
      <c r="P483">
        <v>72</v>
      </c>
      <c r="Q483" s="80">
        <v>0</v>
      </c>
      <c r="R483" s="80">
        <f t="shared" si="113"/>
        <v>29</v>
      </c>
      <c r="AD483"/>
      <c r="AH483" s="80" t="s">
        <v>4925</v>
      </c>
      <c r="AI483" t="s">
        <v>426</v>
      </c>
      <c r="AJ483" s="11" t="s">
        <v>160</v>
      </c>
      <c r="AK483" s="80" t="str">
        <f t="shared" si="116"/>
        <v>Vanda Versatrak 16 Rod with RingsRiverstoneStraight</v>
      </c>
      <c r="AL483" s="80" t="s">
        <v>435</v>
      </c>
      <c r="AM483" s="80" t="s">
        <v>120</v>
      </c>
      <c r="AN483" s="80">
        <v>0</v>
      </c>
      <c r="AO483" s="80" t="s">
        <v>120</v>
      </c>
    </row>
    <row r="484" spans="10:41" ht="16.2" customHeight="1">
      <c r="J484" s="80" t="s">
        <v>725</v>
      </c>
      <c r="K484" s="80" t="s">
        <v>613</v>
      </c>
      <c r="L484" t="s">
        <v>228</v>
      </c>
      <c r="M484" s="80" t="s">
        <v>403</v>
      </c>
      <c r="N484" t="str">
        <f t="shared" si="112"/>
        <v>SingleExisting Decorator TrackGather Hook NormalN/A</v>
      </c>
      <c r="O484">
        <v>43</v>
      </c>
      <c r="P484">
        <v>72</v>
      </c>
      <c r="Q484" s="80">
        <v>0</v>
      </c>
      <c r="R484" s="80">
        <f t="shared" si="113"/>
        <v>29</v>
      </c>
      <c r="AD484"/>
      <c r="AH484" s="80" t="s">
        <v>4925</v>
      </c>
      <c r="AI484" t="s">
        <v>430</v>
      </c>
      <c r="AJ484" s="11" t="s">
        <v>11556</v>
      </c>
      <c r="AK484" s="80" t="str">
        <f t="shared" si="116"/>
        <v>Vanda Versatrak 16 Rod with RingsSilver PearlBent</v>
      </c>
      <c r="AL484" s="80" t="s">
        <v>435</v>
      </c>
      <c r="AM484" s="80" t="s">
        <v>120</v>
      </c>
      <c r="AN484" s="80">
        <v>0</v>
      </c>
      <c r="AO484" s="80" t="s">
        <v>120</v>
      </c>
    </row>
    <row r="485" spans="10:41" ht="16.2" customHeight="1">
      <c r="J485" s="80" t="s">
        <v>746</v>
      </c>
      <c r="K485" s="80" t="s">
        <v>613</v>
      </c>
      <c r="L485" t="s">
        <v>282</v>
      </c>
      <c r="M485" s="80" t="s">
        <v>403</v>
      </c>
      <c r="N485" t="str">
        <f t="shared" si="112"/>
        <v>Double FrontExisting Decorator TrackLevel 2072N/A</v>
      </c>
      <c r="O485">
        <v>38</v>
      </c>
      <c r="P485">
        <v>72</v>
      </c>
      <c r="Q485" s="80">
        <v>0</v>
      </c>
      <c r="R485" s="80">
        <f t="shared" si="113"/>
        <v>34</v>
      </c>
      <c r="AD485"/>
      <c r="AH485" s="80" t="s">
        <v>4925</v>
      </c>
      <c r="AI485" t="s">
        <v>430</v>
      </c>
      <c r="AJ485" s="11" t="s">
        <v>160</v>
      </c>
      <c r="AK485" s="80" t="str">
        <f t="shared" si="116"/>
        <v>Vanda Versatrak 16 Rod with RingsSilver PearlStraight</v>
      </c>
      <c r="AL485" s="80" t="s">
        <v>435</v>
      </c>
      <c r="AM485" s="80" t="s">
        <v>120</v>
      </c>
      <c r="AN485" s="80">
        <v>0</v>
      </c>
      <c r="AO485" s="80" t="s">
        <v>120</v>
      </c>
    </row>
    <row r="486" spans="10:41" ht="16.2" customHeight="1">
      <c r="J486" s="80" t="s">
        <v>747</v>
      </c>
      <c r="K486" s="80" t="s">
        <v>613</v>
      </c>
      <c r="L486" t="s">
        <v>282</v>
      </c>
      <c r="M486" s="80" t="s">
        <v>403</v>
      </c>
      <c r="N486" t="str">
        <f t="shared" si="112"/>
        <v>Double RearExisting Decorator TrackLevel 2072N/A</v>
      </c>
      <c r="O486">
        <v>38</v>
      </c>
      <c r="P486">
        <v>72</v>
      </c>
      <c r="Q486" s="80">
        <v>0</v>
      </c>
      <c r="R486" s="80">
        <f t="shared" si="113"/>
        <v>34</v>
      </c>
      <c r="AD486"/>
      <c r="AH486" s="86" t="s">
        <v>425</v>
      </c>
      <c r="AI486" t="s">
        <v>193</v>
      </c>
      <c r="AJ486" s="11" t="s">
        <v>11556</v>
      </c>
      <c r="AK486" s="80" t="str">
        <f t="shared" si="117" ref="AK486:AK493">CONCATENATE(AH486,AI486,AJ486)</f>
        <v>Vanda Versatrak 25 Rod with GlidesBlackBent</v>
      </c>
      <c r="AL486" s="80" t="s">
        <v>435</v>
      </c>
      <c r="AM486" s="80" t="s">
        <v>120</v>
      </c>
      <c r="AN486" s="80">
        <v>0</v>
      </c>
      <c r="AO486" s="80" t="s">
        <v>120</v>
      </c>
    </row>
    <row r="487" spans="10:41" ht="16.2" customHeight="1">
      <c r="J487" s="80" t="s">
        <v>725</v>
      </c>
      <c r="K487" s="80" t="s">
        <v>613</v>
      </c>
      <c r="L487" t="s">
        <v>282</v>
      </c>
      <c r="M487" s="80" t="s">
        <v>403</v>
      </c>
      <c r="N487" t="str">
        <f t="shared" si="112"/>
        <v>SingleExisting Decorator TrackLevel 2072N/A</v>
      </c>
      <c r="O487">
        <v>35</v>
      </c>
      <c r="P487">
        <v>72</v>
      </c>
      <c r="Q487" s="80">
        <v>0</v>
      </c>
      <c r="R487" s="80">
        <f t="shared" si="113"/>
        <v>37</v>
      </c>
      <c r="AD487"/>
      <c r="AH487" s="86" t="s">
        <v>425</v>
      </c>
      <c r="AI487" t="s">
        <v>193</v>
      </c>
      <c r="AJ487" s="11" t="s">
        <v>160</v>
      </c>
      <c r="AK487" s="80" t="str">
        <f t="shared" si="117"/>
        <v>Vanda Versatrak 25 Rod with GlidesBlackStraight</v>
      </c>
      <c r="AL487" s="80" t="s">
        <v>435</v>
      </c>
      <c r="AM487" s="80" t="s">
        <v>120</v>
      </c>
      <c r="AN487" s="80">
        <v>0</v>
      </c>
      <c r="AO487" s="80" t="s">
        <v>120</v>
      </c>
    </row>
    <row r="488" spans="10:41" ht="16.2" customHeight="1">
      <c r="J488" s="80" t="s">
        <v>746</v>
      </c>
      <c r="K488" s="80" t="s">
        <v>613</v>
      </c>
      <c r="L488" t="s">
        <v>170</v>
      </c>
      <c r="M488" s="80" t="s">
        <v>403</v>
      </c>
      <c r="N488" t="str">
        <f t="shared" si="112"/>
        <v>Double FrontExisting Decorator TrackNormal 2074N/A</v>
      </c>
      <c r="O488">
        <v>60</v>
      </c>
      <c r="P488">
        <v>72</v>
      </c>
      <c r="Q488" s="80">
        <v>0</v>
      </c>
      <c r="R488" s="80">
        <f t="shared" si="113"/>
        <v>12</v>
      </c>
      <c r="AD488"/>
      <c r="AH488" s="86" t="s">
        <v>425</v>
      </c>
      <c r="AI488" t="s">
        <v>428</v>
      </c>
      <c r="AJ488" s="11" t="s">
        <v>11556</v>
      </c>
      <c r="AK488" s="80" t="str">
        <f t="shared" si="117"/>
        <v>Vanda Versatrak 25 Rod with GlidesBronzeBent</v>
      </c>
      <c r="AL488" s="80" t="s">
        <v>435</v>
      </c>
      <c r="AM488" s="80" t="s">
        <v>120</v>
      </c>
      <c r="AN488" s="80">
        <v>0</v>
      </c>
      <c r="AO488" s="80" t="s">
        <v>120</v>
      </c>
    </row>
    <row r="489" spans="10:41" ht="16.2" customHeight="1">
      <c r="J489" s="80" t="s">
        <v>747</v>
      </c>
      <c r="K489" s="80" t="s">
        <v>613</v>
      </c>
      <c r="L489" t="s">
        <v>170</v>
      </c>
      <c r="M489" s="80" t="s">
        <v>403</v>
      </c>
      <c r="N489" t="str">
        <f t="shared" si="112"/>
        <v>Double RearExisting Decorator TrackNormal 2074N/A</v>
      </c>
      <c r="O489">
        <v>60</v>
      </c>
      <c r="P489">
        <v>72</v>
      </c>
      <c r="Q489" s="80">
        <v>0</v>
      </c>
      <c r="R489" s="80">
        <f t="shared" si="113"/>
        <v>12</v>
      </c>
      <c r="AD489"/>
      <c r="AH489" s="86" t="s">
        <v>425</v>
      </c>
      <c r="AI489" t="s">
        <v>428</v>
      </c>
      <c r="AJ489" s="11" t="s">
        <v>160</v>
      </c>
      <c r="AK489" s="80" t="str">
        <f t="shared" si="117"/>
        <v>Vanda Versatrak 25 Rod with GlidesBronzeStraight</v>
      </c>
      <c r="AL489" s="80" t="s">
        <v>435</v>
      </c>
      <c r="AM489" s="80" t="s">
        <v>120</v>
      </c>
      <c r="AN489" s="80">
        <v>0</v>
      </c>
      <c r="AO489" s="80" t="s">
        <v>120</v>
      </c>
    </row>
    <row r="490" spans="10:41" ht="16.2" customHeight="1">
      <c r="J490" s="80" t="s">
        <v>725</v>
      </c>
      <c r="K490" s="80" t="s">
        <v>613</v>
      </c>
      <c r="L490" t="s">
        <v>170</v>
      </c>
      <c r="M490" s="80" t="s">
        <v>403</v>
      </c>
      <c r="N490" t="str">
        <f t="shared" si="112"/>
        <v>SingleExisting Decorator TrackNormal 2074N/A</v>
      </c>
      <c r="O490">
        <v>60</v>
      </c>
      <c r="P490">
        <v>72</v>
      </c>
      <c r="Q490" s="80">
        <v>0</v>
      </c>
      <c r="R490" s="80">
        <f t="shared" si="113"/>
        <v>12</v>
      </c>
      <c r="AD490"/>
      <c r="AH490" s="86" t="s">
        <v>425</v>
      </c>
      <c r="AI490" t="s">
        <v>427</v>
      </c>
      <c r="AJ490" s="11" t="s">
        <v>11556</v>
      </c>
      <c r="AK490" s="80" t="str">
        <f t="shared" si="117"/>
        <v>Vanda Versatrak 25 Rod with GlidesClassic WhiteBent</v>
      </c>
      <c r="AL490" s="80" t="s">
        <v>435</v>
      </c>
      <c r="AM490" s="80" t="s">
        <v>120</v>
      </c>
      <c r="AN490" s="80">
        <v>0</v>
      </c>
      <c r="AO490" s="80" t="s">
        <v>120</v>
      </c>
    </row>
    <row r="491" spans="10:41" ht="16.2" customHeight="1">
      <c r="J491" s="80" t="s">
        <v>746</v>
      </c>
      <c r="K491" s="80" t="s">
        <v>7796</v>
      </c>
      <c r="L491" t="s">
        <v>183</v>
      </c>
      <c r="M491" s="80" t="s">
        <v>403</v>
      </c>
      <c r="N491" t="str">
        <f t="shared" si="112"/>
        <v>Double FrontExisting Designer 15 TrackBelow Normal 2075N/A</v>
      </c>
      <c r="O491">
        <v>70</v>
      </c>
      <c r="P491">
        <v>35</v>
      </c>
      <c r="Q491" s="80">
        <v>0</v>
      </c>
      <c r="R491" s="80">
        <f t="shared" si="113"/>
        <v>-35</v>
      </c>
      <c r="AD491"/>
      <c r="AH491" s="86" t="s">
        <v>425</v>
      </c>
      <c r="AI491" t="s">
        <v>427</v>
      </c>
      <c r="AJ491" s="11" t="s">
        <v>160</v>
      </c>
      <c r="AK491" s="80" t="str">
        <f t="shared" si="117"/>
        <v>Vanda Versatrak 25 Rod with GlidesClassic WhiteStraight</v>
      </c>
      <c r="AL491" s="80" t="s">
        <v>435</v>
      </c>
      <c r="AM491" s="80" t="s">
        <v>120</v>
      </c>
      <c r="AN491" s="80">
        <v>0</v>
      </c>
      <c r="AO491" s="80" t="s">
        <v>120</v>
      </c>
    </row>
    <row r="492" spans="10:41" ht="16.2" customHeight="1">
      <c r="J492" s="80" t="s">
        <v>747</v>
      </c>
      <c r="K492" s="80" t="s">
        <v>7796</v>
      </c>
      <c r="L492" t="s">
        <v>183</v>
      </c>
      <c r="M492" s="80" t="s">
        <v>403</v>
      </c>
      <c r="N492" t="str">
        <f t="shared" si="112"/>
        <v>Double RearExisting Designer 15 TrackBelow Normal 2075N/A</v>
      </c>
      <c r="O492">
        <v>70</v>
      </c>
      <c r="P492">
        <v>45</v>
      </c>
      <c r="Q492" s="80">
        <v>0</v>
      </c>
      <c r="R492" s="80">
        <f t="shared" si="113"/>
        <v>-25</v>
      </c>
      <c r="AD492"/>
      <c r="AH492" s="86" t="s">
        <v>425</v>
      </c>
      <c r="AI492" t="s">
        <v>190</v>
      </c>
      <c r="AJ492" s="11" t="s">
        <v>11556</v>
      </c>
      <c r="AK492" s="80" t="str">
        <f t="shared" si="117"/>
        <v>Vanda Versatrak 25 Rod with GlidesIvoryBent</v>
      </c>
      <c r="AL492" s="80" t="s">
        <v>435</v>
      </c>
      <c r="AM492" s="80" t="s">
        <v>120</v>
      </c>
      <c r="AN492" s="80">
        <v>0</v>
      </c>
      <c r="AO492" s="80" t="s">
        <v>120</v>
      </c>
    </row>
    <row r="493" spans="10:41" ht="16.2" customHeight="1">
      <c r="J493" s="80" t="s">
        <v>725</v>
      </c>
      <c r="K493" s="80" t="s">
        <v>7796</v>
      </c>
      <c r="L493" t="s">
        <v>183</v>
      </c>
      <c r="M493" s="80" t="s">
        <v>403</v>
      </c>
      <c r="N493" t="str">
        <f t="shared" si="112"/>
        <v>SingleExisting Designer 15 TrackBelow Normal 2075N/A</v>
      </c>
      <c r="O493">
        <v>70</v>
      </c>
      <c r="P493">
        <v>35</v>
      </c>
      <c r="Q493" s="80">
        <v>0</v>
      </c>
      <c r="R493" s="80">
        <f t="shared" si="113"/>
        <v>-35</v>
      </c>
      <c r="AD493"/>
      <c r="AH493" s="86" t="s">
        <v>425</v>
      </c>
      <c r="AI493" t="s">
        <v>190</v>
      </c>
      <c r="AJ493" s="11" t="s">
        <v>160</v>
      </c>
      <c r="AK493" s="80" t="str">
        <f t="shared" si="117"/>
        <v>Vanda Versatrak 25 Rod with GlidesIvoryStraight</v>
      </c>
      <c r="AL493" s="80" t="s">
        <v>435</v>
      </c>
      <c r="AM493" s="80" t="s">
        <v>120</v>
      </c>
      <c r="AN493" s="80">
        <v>0</v>
      </c>
      <c r="AO493" s="80" t="s">
        <v>120</v>
      </c>
    </row>
    <row r="494" spans="10:41" ht="16.2" customHeight="1">
      <c r="J494" s="80" t="s">
        <v>746</v>
      </c>
      <c r="K494" s="80" t="s">
        <v>7796</v>
      </c>
      <c r="L494" t="s">
        <v>182</v>
      </c>
      <c r="M494" s="80" t="s">
        <v>403</v>
      </c>
      <c r="N494" t="str">
        <f t="shared" si="112"/>
        <v>Double FrontExisting Designer 15 TrackBetween Level and Normal 2073N/A</v>
      </c>
      <c r="O494">
        <v>48</v>
      </c>
      <c r="P494">
        <v>35</v>
      </c>
      <c r="Q494" s="80">
        <v>0</v>
      </c>
      <c r="R494" s="80">
        <f t="shared" si="113"/>
        <v>-13</v>
      </c>
      <c r="AD494"/>
      <c r="AH494" s="86" t="s">
        <v>425</v>
      </c>
      <c r="AI494" t="s">
        <v>429</v>
      </c>
      <c r="AJ494" s="11" t="s">
        <v>11556</v>
      </c>
      <c r="AK494" s="80" t="str">
        <f t="shared" si="118" ref="AK494:AK501">CONCATENATE(AH494,AI494,AJ494)</f>
        <v>Vanda Versatrak 25 Rod with GlidesPewterBent</v>
      </c>
      <c r="AL494" s="80" t="s">
        <v>435</v>
      </c>
      <c r="AM494" s="80" t="s">
        <v>120</v>
      </c>
      <c r="AN494" s="80">
        <v>0</v>
      </c>
      <c r="AO494" s="80" t="s">
        <v>120</v>
      </c>
    </row>
    <row r="495" spans="10:41" ht="16.2" customHeight="1">
      <c r="J495" s="80" t="s">
        <v>747</v>
      </c>
      <c r="K495" s="80" t="s">
        <v>7796</v>
      </c>
      <c r="L495" t="s">
        <v>182</v>
      </c>
      <c r="M495" s="80" t="s">
        <v>403</v>
      </c>
      <c r="N495" t="str">
        <f t="shared" si="112"/>
        <v>Double RearExisting Designer 15 TrackBetween Level and Normal 2073N/A</v>
      </c>
      <c r="O495">
        <v>48</v>
      </c>
      <c r="P495">
        <v>45</v>
      </c>
      <c r="Q495" s="80">
        <v>0</v>
      </c>
      <c r="R495" s="80">
        <f t="shared" si="113"/>
        <v>-3</v>
      </c>
      <c r="AD495"/>
      <c r="AH495" s="86" t="s">
        <v>425</v>
      </c>
      <c r="AI495" t="s">
        <v>429</v>
      </c>
      <c r="AJ495" s="11" t="s">
        <v>160</v>
      </c>
      <c r="AK495" s="80" t="str">
        <f t="shared" si="118"/>
        <v>Vanda Versatrak 25 Rod with GlidesPewterStraight</v>
      </c>
      <c r="AL495" s="80" t="s">
        <v>435</v>
      </c>
      <c r="AM495" s="80" t="s">
        <v>120</v>
      </c>
      <c r="AN495" s="80">
        <v>0</v>
      </c>
      <c r="AO495" s="80" t="s">
        <v>120</v>
      </c>
    </row>
    <row r="496" spans="10:41" ht="16.2" customHeight="1">
      <c r="J496" s="80" t="s">
        <v>725</v>
      </c>
      <c r="K496" s="80" t="s">
        <v>7796</v>
      </c>
      <c r="L496" t="s">
        <v>182</v>
      </c>
      <c r="M496" s="80" t="s">
        <v>403</v>
      </c>
      <c r="N496" t="str">
        <f t="shared" si="112"/>
        <v>SingleExisting Designer 15 TrackBetween Level and Normal 2073N/A</v>
      </c>
      <c r="O496">
        <v>47</v>
      </c>
      <c r="P496">
        <v>35</v>
      </c>
      <c r="Q496" s="80">
        <v>0</v>
      </c>
      <c r="R496" s="80">
        <f t="shared" si="113"/>
        <v>-12</v>
      </c>
      <c r="AD496"/>
      <c r="AH496" s="86" t="s">
        <v>425</v>
      </c>
      <c r="AI496" t="s">
        <v>426</v>
      </c>
      <c r="AJ496" s="11" t="s">
        <v>11556</v>
      </c>
      <c r="AK496" s="80" t="str">
        <f t="shared" si="118"/>
        <v>Vanda Versatrak 25 Rod with GlidesRiverstoneBent</v>
      </c>
      <c r="AL496" s="80" t="s">
        <v>435</v>
      </c>
      <c r="AM496" s="80" t="s">
        <v>120</v>
      </c>
      <c r="AN496" s="80">
        <v>0</v>
      </c>
      <c r="AO496" s="80" t="s">
        <v>120</v>
      </c>
    </row>
    <row r="497" spans="10:41" ht="16.2" customHeight="1">
      <c r="J497" s="80" t="s">
        <v>746</v>
      </c>
      <c r="K497" s="80" t="s">
        <v>7796</v>
      </c>
      <c r="L497" t="s">
        <v>184</v>
      </c>
      <c r="M497" s="80" t="s">
        <v>403</v>
      </c>
      <c r="N497" t="str">
        <f t="shared" si="112"/>
        <v>Double FrontExisting Designer 15 TrackDecorator 2071N/A</v>
      </c>
      <c r="O497">
        <v>20</v>
      </c>
      <c r="P497">
        <v>35</v>
      </c>
      <c r="Q497" s="80">
        <v>0</v>
      </c>
      <c r="R497" s="80">
        <f t="shared" si="113"/>
        <v>15</v>
      </c>
      <c r="AD497"/>
      <c r="AH497" s="86" t="s">
        <v>425</v>
      </c>
      <c r="AI497" t="s">
        <v>426</v>
      </c>
      <c r="AJ497" s="11" t="s">
        <v>160</v>
      </c>
      <c r="AK497" s="80" t="str">
        <f t="shared" si="118"/>
        <v>Vanda Versatrak 25 Rod with GlidesRiverstoneStraight</v>
      </c>
      <c r="AL497" s="80" t="s">
        <v>435</v>
      </c>
      <c r="AM497" s="80" t="s">
        <v>120</v>
      </c>
      <c r="AN497" s="80">
        <v>0</v>
      </c>
      <c r="AO497" s="80" t="s">
        <v>120</v>
      </c>
    </row>
    <row r="498" spans="10:41" ht="16.2" customHeight="1">
      <c r="J498" s="80" t="s">
        <v>747</v>
      </c>
      <c r="K498" s="80" t="s">
        <v>7796</v>
      </c>
      <c r="L498" t="s">
        <v>184</v>
      </c>
      <c r="M498" s="80" t="s">
        <v>403</v>
      </c>
      <c r="N498" t="str">
        <f t="shared" si="112"/>
        <v>Double RearExisting Designer 15 TrackDecorator 2071N/A</v>
      </c>
      <c r="O498">
        <v>20</v>
      </c>
      <c r="P498">
        <v>45</v>
      </c>
      <c r="Q498" s="80">
        <v>0</v>
      </c>
      <c r="R498" s="80">
        <f t="shared" si="113"/>
        <v>25</v>
      </c>
      <c r="AD498"/>
      <c r="AH498" s="86" t="s">
        <v>425</v>
      </c>
      <c r="AI498" t="s">
        <v>430</v>
      </c>
      <c r="AJ498" s="11" t="s">
        <v>11556</v>
      </c>
      <c r="AK498" s="80" t="str">
        <f t="shared" si="118"/>
        <v>Vanda Versatrak 25 Rod with GlidesSilver PearlBent</v>
      </c>
      <c r="AL498" s="80" t="s">
        <v>435</v>
      </c>
      <c r="AM498" s="80" t="s">
        <v>120</v>
      </c>
      <c r="AN498" s="80">
        <v>0</v>
      </c>
      <c r="AO498" s="80" t="s">
        <v>120</v>
      </c>
    </row>
    <row r="499" spans="10:41" ht="16.2" customHeight="1">
      <c r="J499" s="80" t="s">
        <v>725</v>
      </c>
      <c r="K499" s="80" t="s">
        <v>7796</v>
      </c>
      <c r="L499" t="s">
        <v>184</v>
      </c>
      <c r="M499" s="80" t="s">
        <v>403</v>
      </c>
      <c r="N499" t="str">
        <f t="shared" si="112"/>
        <v>SingleExisting Designer 15 TrackDecorator 2071N/A</v>
      </c>
      <c r="O499">
        <v>20</v>
      </c>
      <c r="P499">
        <v>35</v>
      </c>
      <c r="Q499" s="80">
        <v>0</v>
      </c>
      <c r="R499" s="80">
        <f t="shared" si="113"/>
        <v>15</v>
      </c>
      <c r="AD499"/>
      <c r="AH499" s="86" t="s">
        <v>425</v>
      </c>
      <c r="AI499" t="s">
        <v>430</v>
      </c>
      <c r="AJ499" s="11" t="s">
        <v>160</v>
      </c>
      <c r="AK499" s="80" t="str">
        <f t="shared" si="118"/>
        <v>Vanda Versatrak 25 Rod with GlidesSilver PearlStraight</v>
      </c>
      <c r="AL499" s="80" t="s">
        <v>435</v>
      </c>
      <c r="AM499" s="80" t="s">
        <v>120</v>
      </c>
      <c r="AN499" s="80">
        <v>0</v>
      </c>
      <c r="AO499" s="80" t="s">
        <v>120</v>
      </c>
    </row>
    <row r="500" spans="10:41" ht="16.2" customHeight="1">
      <c r="J500" s="80" t="s">
        <v>746</v>
      </c>
      <c r="K500" s="80" t="s">
        <v>7796</v>
      </c>
      <c r="L500" t="s">
        <v>6468</v>
      </c>
      <c r="M500" s="80" t="s">
        <v>403</v>
      </c>
      <c r="N500" t="str">
        <f t="shared" si="112"/>
        <v>Double FrontExisting Designer 15 TrackGather Hook Bottom PocketN/A</v>
      </c>
      <c r="O500">
        <v>60</v>
      </c>
      <c r="P500">
        <v>35</v>
      </c>
      <c r="Q500" s="80">
        <v>0</v>
      </c>
      <c r="R500" s="80">
        <f t="shared" si="113"/>
        <v>-25</v>
      </c>
      <c r="AD500"/>
      <c r="AH500" s="80" t="s">
        <v>738</v>
      </c>
      <c r="AI500" t="s">
        <v>193</v>
      </c>
      <c r="AJ500" s="11" t="s">
        <v>11556</v>
      </c>
      <c r="AK500" s="80" t="str">
        <f t="shared" si="118"/>
        <v>Vanda Versatrak 25 Rod with RingsBlackBent</v>
      </c>
      <c r="AL500" s="80" t="s">
        <v>435</v>
      </c>
      <c r="AM500" s="80" t="s">
        <v>120</v>
      </c>
      <c r="AN500" s="80">
        <v>0</v>
      </c>
      <c r="AO500" s="80" t="s">
        <v>120</v>
      </c>
    </row>
    <row r="501" spans="10:41" ht="16.2" customHeight="1">
      <c r="J501" s="80" t="s">
        <v>725</v>
      </c>
      <c r="K501" s="80" t="s">
        <v>7796</v>
      </c>
      <c r="L501" t="s">
        <v>6468</v>
      </c>
      <c r="M501" s="80" t="s">
        <v>403</v>
      </c>
      <c r="N501" t="str">
        <f t="shared" si="112"/>
        <v>SingleExisting Designer 15 TrackGather Hook Bottom PocketN/A</v>
      </c>
      <c r="O501">
        <v>60</v>
      </c>
      <c r="P501">
        <v>35</v>
      </c>
      <c r="Q501" s="80">
        <v>0</v>
      </c>
      <c r="R501" s="80">
        <f t="shared" si="113"/>
        <v>-25</v>
      </c>
      <c r="AD501"/>
      <c r="AH501" s="80" t="s">
        <v>738</v>
      </c>
      <c r="AI501" t="s">
        <v>193</v>
      </c>
      <c r="AJ501" s="11" t="s">
        <v>160</v>
      </c>
      <c r="AK501" s="80" t="str">
        <f t="shared" si="118"/>
        <v>Vanda Versatrak 25 Rod with RingsBlackStraight</v>
      </c>
      <c r="AL501" s="80" t="s">
        <v>435</v>
      </c>
      <c r="AM501" s="80" t="s">
        <v>120</v>
      </c>
      <c r="AN501" s="80">
        <v>0</v>
      </c>
      <c r="AO501" s="80" t="s">
        <v>120</v>
      </c>
    </row>
    <row r="502" spans="10:41" ht="16.2" customHeight="1">
      <c r="J502" s="80" t="s">
        <v>746</v>
      </c>
      <c r="K502" s="80" t="s">
        <v>7796</v>
      </c>
      <c r="L502" t="s">
        <v>229</v>
      </c>
      <c r="M502" s="80" t="s">
        <v>403</v>
      </c>
      <c r="N502" t="str">
        <f t="shared" si="112"/>
        <v>Double FrontExisting Designer 15 TrackGather Hook LevelN/A</v>
      </c>
      <c r="O502">
        <v>20</v>
      </c>
      <c r="P502">
        <v>35</v>
      </c>
      <c r="Q502" s="80">
        <v>0</v>
      </c>
      <c r="R502" s="80">
        <f t="shared" si="113"/>
        <v>15</v>
      </c>
      <c r="AD502"/>
      <c r="AH502" s="80" t="s">
        <v>738</v>
      </c>
      <c r="AI502" t="s">
        <v>428</v>
      </c>
      <c r="AJ502" s="11" t="s">
        <v>11556</v>
      </c>
      <c r="AK502" s="80" t="str">
        <f t="shared" si="119" ref="AK502:AK511">CONCATENATE(AH502,AI502,AJ502)</f>
        <v>Vanda Versatrak 25 Rod with RingsBronzeBent</v>
      </c>
      <c r="AL502" s="80" t="s">
        <v>435</v>
      </c>
      <c r="AM502" s="80" t="s">
        <v>120</v>
      </c>
      <c r="AN502" s="80">
        <v>0</v>
      </c>
      <c r="AO502" s="80" t="s">
        <v>120</v>
      </c>
    </row>
    <row r="503" spans="10:41" ht="16.2" customHeight="1">
      <c r="J503" s="80" t="s">
        <v>747</v>
      </c>
      <c r="K503" s="80" t="s">
        <v>7796</v>
      </c>
      <c r="L503" t="s">
        <v>229</v>
      </c>
      <c r="M503" s="80" t="s">
        <v>403</v>
      </c>
      <c r="N503" t="str">
        <f t="shared" si="112"/>
        <v>Double RearExisting Designer 15 TrackGather Hook LevelN/A</v>
      </c>
      <c r="O503">
        <v>20</v>
      </c>
      <c r="P503">
        <v>45</v>
      </c>
      <c r="Q503" s="80">
        <v>0</v>
      </c>
      <c r="R503" s="80">
        <f t="shared" si="113"/>
        <v>25</v>
      </c>
      <c r="AD503"/>
      <c r="AH503" s="80" t="s">
        <v>738</v>
      </c>
      <c r="AI503" t="s">
        <v>428</v>
      </c>
      <c r="AJ503" s="11" t="s">
        <v>160</v>
      </c>
      <c r="AK503" s="80" t="str">
        <f t="shared" si="119"/>
        <v>Vanda Versatrak 25 Rod with RingsBronzeStraight</v>
      </c>
      <c r="AL503" s="80" t="s">
        <v>435</v>
      </c>
      <c r="AM503" s="80" t="s">
        <v>120</v>
      </c>
      <c r="AN503" s="80">
        <v>0</v>
      </c>
      <c r="AO503" s="80" t="s">
        <v>120</v>
      </c>
    </row>
    <row r="504" spans="10:41" ht="16.2" customHeight="1">
      <c r="J504" s="80" t="s">
        <v>725</v>
      </c>
      <c r="K504" s="80" t="s">
        <v>7796</v>
      </c>
      <c r="L504" t="s">
        <v>229</v>
      </c>
      <c r="M504" s="80" t="s">
        <v>403</v>
      </c>
      <c r="N504" t="str">
        <f t="shared" si="112"/>
        <v>SingleExisting Designer 15 TrackGather Hook LevelN/A</v>
      </c>
      <c r="O504">
        <v>20</v>
      </c>
      <c r="P504">
        <v>35</v>
      </c>
      <c r="Q504" s="80">
        <v>0</v>
      </c>
      <c r="R504" s="80">
        <f t="shared" si="113"/>
        <v>15</v>
      </c>
      <c r="AD504"/>
      <c r="AH504" s="80" t="s">
        <v>738</v>
      </c>
      <c r="AI504" t="s">
        <v>427</v>
      </c>
      <c r="AJ504" s="11" t="s">
        <v>11556</v>
      </c>
      <c r="AK504" s="80" t="str">
        <f t="shared" si="119"/>
        <v>Vanda Versatrak 25 Rod with RingsClassic WhiteBent</v>
      </c>
      <c r="AL504" s="80" t="s">
        <v>435</v>
      </c>
      <c r="AM504" s="80" t="s">
        <v>120</v>
      </c>
      <c r="AN504" s="80">
        <v>0</v>
      </c>
      <c r="AO504" s="80" t="s">
        <v>120</v>
      </c>
    </row>
    <row r="505" spans="10:41" ht="16.2" customHeight="1">
      <c r="J505" s="80" t="s">
        <v>746</v>
      </c>
      <c r="K505" s="80" t="s">
        <v>7796</v>
      </c>
      <c r="L505" t="s">
        <v>228</v>
      </c>
      <c r="M505" s="80" t="s">
        <v>403</v>
      </c>
      <c r="N505" t="str">
        <f t="shared" si="112"/>
        <v>Double FrontExisting Designer 15 TrackGather Hook NormalN/A</v>
      </c>
      <c r="O505">
        <v>43</v>
      </c>
      <c r="P505">
        <v>35</v>
      </c>
      <c r="Q505" s="80">
        <v>0</v>
      </c>
      <c r="R505" s="80">
        <f t="shared" si="113"/>
        <v>-8</v>
      </c>
      <c r="AD505"/>
      <c r="AH505" s="80" t="s">
        <v>738</v>
      </c>
      <c r="AI505" t="s">
        <v>427</v>
      </c>
      <c r="AJ505" s="11" t="s">
        <v>160</v>
      </c>
      <c r="AK505" s="80" t="str">
        <f t="shared" si="119"/>
        <v>Vanda Versatrak 25 Rod with RingsClassic WhiteStraight</v>
      </c>
      <c r="AL505" s="80" t="s">
        <v>435</v>
      </c>
      <c r="AM505" s="80" t="s">
        <v>120</v>
      </c>
      <c r="AN505" s="80">
        <v>0</v>
      </c>
      <c r="AO505" s="80" t="s">
        <v>120</v>
      </c>
    </row>
    <row r="506" spans="10:41" ht="16.2" customHeight="1">
      <c r="J506" s="80" t="s">
        <v>747</v>
      </c>
      <c r="K506" s="80" t="s">
        <v>7796</v>
      </c>
      <c r="L506" t="s">
        <v>228</v>
      </c>
      <c r="M506" s="80" t="s">
        <v>403</v>
      </c>
      <c r="N506" t="str">
        <f t="shared" si="112"/>
        <v>Double RearExisting Designer 15 TrackGather Hook NormalN/A</v>
      </c>
      <c r="O506">
        <v>43</v>
      </c>
      <c r="P506">
        <v>45</v>
      </c>
      <c r="Q506" s="80">
        <v>0</v>
      </c>
      <c r="R506" s="80">
        <f t="shared" si="113"/>
        <v>2</v>
      </c>
      <c r="AD506"/>
      <c r="AH506" s="80" t="s">
        <v>738</v>
      </c>
      <c r="AI506" t="s">
        <v>190</v>
      </c>
      <c r="AJ506" s="11" t="s">
        <v>11556</v>
      </c>
      <c r="AK506" s="80" t="str">
        <f t="shared" si="119"/>
        <v>Vanda Versatrak 25 Rod with RingsIvoryBent</v>
      </c>
      <c r="AL506" s="80" t="s">
        <v>435</v>
      </c>
      <c r="AM506" s="80" t="s">
        <v>120</v>
      </c>
      <c r="AN506" s="80">
        <v>0</v>
      </c>
      <c r="AO506" s="80" t="s">
        <v>120</v>
      </c>
    </row>
    <row r="507" spans="10:41" ht="16.2" customHeight="1">
      <c r="J507" s="80" t="s">
        <v>725</v>
      </c>
      <c r="K507" s="80" t="s">
        <v>7796</v>
      </c>
      <c r="L507" t="s">
        <v>228</v>
      </c>
      <c r="M507" s="80" t="s">
        <v>403</v>
      </c>
      <c r="N507" t="str">
        <f t="shared" si="112"/>
        <v>SingleExisting Designer 15 TrackGather Hook NormalN/A</v>
      </c>
      <c r="O507">
        <v>43</v>
      </c>
      <c r="P507">
        <v>35</v>
      </c>
      <c r="Q507" s="80">
        <v>0</v>
      </c>
      <c r="R507" s="80">
        <f t="shared" si="113"/>
        <v>-8</v>
      </c>
      <c r="AD507"/>
      <c r="AH507" s="80" t="s">
        <v>738</v>
      </c>
      <c r="AI507" t="s">
        <v>190</v>
      </c>
      <c r="AJ507" s="11" t="s">
        <v>160</v>
      </c>
      <c r="AK507" s="80" t="str">
        <f t="shared" si="119"/>
        <v>Vanda Versatrak 25 Rod with RingsIvoryStraight</v>
      </c>
      <c r="AL507" s="80" t="s">
        <v>435</v>
      </c>
      <c r="AM507" s="80" t="s">
        <v>120</v>
      </c>
      <c r="AN507" s="80">
        <v>0</v>
      </c>
      <c r="AO507" s="80" t="s">
        <v>120</v>
      </c>
    </row>
    <row r="508" spans="10:41" ht="16.2" customHeight="1">
      <c r="J508" s="80" t="s">
        <v>746</v>
      </c>
      <c r="K508" s="80" t="s">
        <v>7796</v>
      </c>
      <c r="L508" t="s">
        <v>282</v>
      </c>
      <c r="M508" s="80" t="s">
        <v>403</v>
      </c>
      <c r="N508" t="str">
        <f t="shared" si="112"/>
        <v>Double FrontExisting Designer 15 TrackLevel 2072N/A</v>
      </c>
      <c r="O508">
        <v>38</v>
      </c>
      <c r="P508">
        <v>35</v>
      </c>
      <c r="Q508" s="80">
        <v>0</v>
      </c>
      <c r="R508" s="80">
        <f t="shared" si="113"/>
        <v>-3</v>
      </c>
      <c r="AD508"/>
      <c r="AH508" s="80" t="s">
        <v>738</v>
      </c>
      <c r="AI508" t="s">
        <v>429</v>
      </c>
      <c r="AJ508" s="11" t="s">
        <v>11556</v>
      </c>
      <c r="AK508" s="80" t="str">
        <f t="shared" si="119"/>
        <v>Vanda Versatrak 25 Rod with RingsPewterBent</v>
      </c>
      <c r="AL508" s="80" t="s">
        <v>435</v>
      </c>
      <c r="AM508" s="80" t="s">
        <v>120</v>
      </c>
      <c r="AN508" s="80">
        <v>0</v>
      </c>
      <c r="AO508" s="80" t="s">
        <v>120</v>
      </c>
    </row>
    <row r="509" spans="10:41" ht="16.2" customHeight="1">
      <c r="J509" s="80" t="s">
        <v>747</v>
      </c>
      <c r="K509" s="80" t="s">
        <v>7796</v>
      </c>
      <c r="L509" t="s">
        <v>282</v>
      </c>
      <c r="M509" s="80" t="s">
        <v>403</v>
      </c>
      <c r="N509" t="str">
        <f t="shared" si="112"/>
        <v>Double RearExisting Designer 15 TrackLevel 2072N/A</v>
      </c>
      <c r="O509">
        <v>38</v>
      </c>
      <c r="P509">
        <v>45</v>
      </c>
      <c r="Q509" s="80">
        <v>0</v>
      </c>
      <c r="R509" s="80">
        <f t="shared" si="113"/>
        <v>7</v>
      </c>
      <c r="AD509"/>
      <c r="AH509" s="80" t="s">
        <v>738</v>
      </c>
      <c r="AI509" t="s">
        <v>429</v>
      </c>
      <c r="AJ509" s="11" t="s">
        <v>160</v>
      </c>
      <c r="AK509" s="80" t="str">
        <f t="shared" si="119"/>
        <v>Vanda Versatrak 25 Rod with RingsPewterStraight</v>
      </c>
      <c r="AL509" s="80" t="s">
        <v>435</v>
      </c>
      <c r="AM509" s="80" t="s">
        <v>120</v>
      </c>
      <c r="AN509" s="80">
        <v>0</v>
      </c>
      <c r="AO509" s="80" t="s">
        <v>120</v>
      </c>
    </row>
    <row r="510" spans="10:41" ht="16.2" customHeight="1">
      <c r="J510" s="80" t="s">
        <v>725</v>
      </c>
      <c r="K510" s="80" t="s">
        <v>7796</v>
      </c>
      <c r="L510" t="s">
        <v>282</v>
      </c>
      <c r="M510" s="80" t="s">
        <v>403</v>
      </c>
      <c r="N510" t="str">
        <f t="shared" si="112"/>
        <v>SingleExisting Designer 15 TrackLevel 2072N/A</v>
      </c>
      <c r="O510">
        <v>35</v>
      </c>
      <c r="P510">
        <v>35</v>
      </c>
      <c r="Q510" s="80">
        <v>0</v>
      </c>
      <c r="R510" s="80">
        <f t="shared" si="113"/>
        <v>0</v>
      </c>
      <c r="AD510"/>
      <c r="AH510" s="80" t="s">
        <v>738</v>
      </c>
      <c r="AI510" t="s">
        <v>426</v>
      </c>
      <c r="AJ510" s="11" t="s">
        <v>11556</v>
      </c>
      <c r="AK510" s="80" t="str">
        <f t="shared" si="119"/>
        <v>Vanda Versatrak 25 Rod with RingsRiverstoneBent</v>
      </c>
      <c r="AL510" s="80" t="s">
        <v>435</v>
      </c>
      <c r="AM510" s="80" t="s">
        <v>120</v>
      </c>
      <c r="AN510" s="80">
        <v>0</v>
      </c>
      <c r="AO510" s="80" t="s">
        <v>120</v>
      </c>
    </row>
    <row r="511" spans="10:41" ht="16.2" customHeight="1">
      <c r="J511" s="80" t="s">
        <v>746</v>
      </c>
      <c r="K511" s="80" t="s">
        <v>7796</v>
      </c>
      <c r="L511" t="s">
        <v>170</v>
      </c>
      <c r="M511" s="80" t="s">
        <v>403</v>
      </c>
      <c r="N511" t="str">
        <f t="shared" si="112"/>
        <v>Double FrontExisting Designer 15 TrackNormal 2074N/A</v>
      </c>
      <c r="O511">
        <v>60</v>
      </c>
      <c r="P511">
        <v>35</v>
      </c>
      <c r="Q511" s="80">
        <v>0</v>
      </c>
      <c r="R511" s="80">
        <f t="shared" si="113"/>
        <v>-25</v>
      </c>
      <c r="AD511"/>
      <c r="AH511" s="80" t="s">
        <v>738</v>
      </c>
      <c r="AI511" t="s">
        <v>426</v>
      </c>
      <c r="AJ511" s="11" t="s">
        <v>160</v>
      </c>
      <c r="AK511" s="80" t="str">
        <f t="shared" si="119"/>
        <v>Vanda Versatrak 25 Rod with RingsRiverstoneStraight</v>
      </c>
      <c r="AL511" s="80" t="s">
        <v>435</v>
      </c>
      <c r="AM511" s="80" t="s">
        <v>120</v>
      </c>
      <c r="AN511" s="80">
        <v>0</v>
      </c>
      <c r="AO511" s="80" t="s">
        <v>120</v>
      </c>
    </row>
    <row r="512" spans="10:41" ht="16.2" customHeight="1">
      <c r="J512" s="80" t="s">
        <v>747</v>
      </c>
      <c r="K512" s="80" t="s">
        <v>7796</v>
      </c>
      <c r="L512" t="s">
        <v>170</v>
      </c>
      <c r="M512" s="80" t="s">
        <v>403</v>
      </c>
      <c r="N512" t="str">
        <f t="shared" si="112"/>
        <v>Double RearExisting Designer 15 TrackNormal 2074N/A</v>
      </c>
      <c r="O512">
        <v>60</v>
      </c>
      <c r="P512">
        <v>45</v>
      </c>
      <c r="Q512" s="80">
        <v>0</v>
      </c>
      <c r="R512" s="80">
        <f t="shared" si="113"/>
        <v>-15</v>
      </c>
      <c r="AD512"/>
      <c r="AH512" s="80" t="s">
        <v>738</v>
      </c>
      <c r="AI512" t="s">
        <v>430</v>
      </c>
      <c r="AJ512" s="11" t="s">
        <v>11556</v>
      </c>
      <c r="AK512" s="80" t="str">
        <f t="shared" si="120" ref="AK512:AK517">CONCATENATE(AH512,AI512,AJ512)</f>
        <v>Vanda Versatrak 25 Rod with RingsSilver PearlBent</v>
      </c>
      <c r="AL512" s="80" t="s">
        <v>435</v>
      </c>
      <c r="AM512" s="80" t="s">
        <v>120</v>
      </c>
      <c r="AN512" s="80">
        <v>0</v>
      </c>
      <c r="AO512" s="80" t="s">
        <v>120</v>
      </c>
    </row>
    <row r="513" spans="10:41" ht="16.2" customHeight="1">
      <c r="J513" s="80" t="s">
        <v>725</v>
      </c>
      <c r="K513" s="80" t="s">
        <v>7796</v>
      </c>
      <c r="L513" t="s">
        <v>170</v>
      </c>
      <c r="M513" s="80" t="s">
        <v>403</v>
      </c>
      <c r="N513" t="str">
        <f t="shared" si="112"/>
        <v>SingleExisting Designer 15 TrackNormal 2074N/A</v>
      </c>
      <c r="O513">
        <v>60</v>
      </c>
      <c r="P513">
        <v>35</v>
      </c>
      <c r="Q513" s="80">
        <v>0</v>
      </c>
      <c r="R513" s="80">
        <f t="shared" si="113"/>
        <v>-25</v>
      </c>
      <c r="AD513"/>
      <c r="AH513" s="80" t="s">
        <v>738</v>
      </c>
      <c r="AI513" t="s">
        <v>430</v>
      </c>
      <c r="AJ513" s="11" t="s">
        <v>160</v>
      </c>
      <c r="AK513" s="80" t="str">
        <f t="shared" si="120"/>
        <v>Vanda Versatrak 25 Rod with RingsSilver PearlStraight</v>
      </c>
      <c r="AL513" s="80" t="s">
        <v>435</v>
      </c>
      <c r="AM513" s="80" t="s">
        <v>120</v>
      </c>
      <c r="AN513" s="80">
        <v>0</v>
      </c>
      <c r="AO513" s="80" t="s">
        <v>120</v>
      </c>
    </row>
    <row r="514" spans="10:41" ht="16.2" customHeight="1">
      <c r="J514" s="80" t="s">
        <v>746</v>
      </c>
      <c r="K514" s="80" t="s">
        <v>7797</v>
      </c>
      <c r="L514" t="s">
        <v>421</v>
      </c>
      <c r="M514" s="80" t="s">
        <v>403</v>
      </c>
      <c r="N514" t="str">
        <f t="shared" si="121" ref="N514:N577">(CONCATENATE(J514,K514,L514,M514))</f>
        <v>Double FrontExisting Designer 15 Wavefold TrackWavefold HooksN/A</v>
      </c>
      <c r="O514">
        <v>0</v>
      </c>
      <c r="P514">
        <v>20</v>
      </c>
      <c r="Q514" s="80">
        <v>0</v>
      </c>
      <c r="R514" s="80">
        <f t="shared" si="122" ref="R514:R539">SUM(P514)-O514</f>
        <v>20</v>
      </c>
      <c r="AD514"/>
      <c r="AH514" s="86" t="s">
        <v>487</v>
      </c>
      <c r="AI514" s="86" t="s">
        <v>193</v>
      </c>
      <c r="AJ514" s="11" t="s">
        <v>11556</v>
      </c>
      <c r="AK514" s="80" t="str">
        <f t="shared" si="120"/>
        <v>Wavefold Cord OperationBlackBent</v>
      </c>
      <c r="AL514" s="80" t="s">
        <v>274</v>
      </c>
      <c r="AM514" s="80" t="s">
        <v>120</v>
      </c>
      <c r="AN514" s="80">
        <v>0</v>
      </c>
      <c r="AO514" s="80" t="s">
        <v>181</v>
      </c>
    </row>
    <row r="515" spans="10:41" ht="16.2" customHeight="1">
      <c r="J515" s="80" t="s">
        <v>747</v>
      </c>
      <c r="K515" s="80" t="s">
        <v>7797</v>
      </c>
      <c r="L515" t="s">
        <v>421</v>
      </c>
      <c r="M515" s="80" t="s">
        <v>403</v>
      </c>
      <c r="N515" t="str">
        <f t="shared" si="121"/>
        <v>Double RearExisting Designer 15 Wavefold TrackWavefold HooksN/A</v>
      </c>
      <c r="O515">
        <v>0</v>
      </c>
      <c r="P515">
        <v>20</v>
      </c>
      <c r="Q515" s="80">
        <v>0</v>
      </c>
      <c r="R515" s="80">
        <f t="shared" si="122"/>
        <v>20</v>
      </c>
      <c r="AD515"/>
      <c r="AH515" s="86" t="s">
        <v>487</v>
      </c>
      <c r="AI515" s="86" t="s">
        <v>193</v>
      </c>
      <c r="AJ515" s="11" t="s">
        <v>160</v>
      </c>
      <c r="AK515" s="80" t="str">
        <f t="shared" si="120"/>
        <v>Wavefold Cord OperationBlackStraight</v>
      </c>
      <c r="AL515" s="80" t="s">
        <v>276</v>
      </c>
      <c r="AM515" s="80" t="s">
        <v>120</v>
      </c>
      <c r="AN515" s="80">
        <v>0</v>
      </c>
      <c r="AO515" s="80" t="s">
        <v>181</v>
      </c>
    </row>
    <row r="516" spans="10:41" ht="16.2" customHeight="1">
      <c r="J516" s="80" t="s">
        <v>725</v>
      </c>
      <c r="K516" s="80" t="s">
        <v>7797</v>
      </c>
      <c r="L516" t="s">
        <v>421</v>
      </c>
      <c r="M516" s="80" t="s">
        <v>403</v>
      </c>
      <c r="N516" t="str">
        <f t="shared" si="121"/>
        <v>SingleExisting Designer 15 Wavefold TrackWavefold HooksN/A</v>
      </c>
      <c r="O516">
        <v>0</v>
      </c>
      <c r="P516">
        <v>20</v>
      </c>
      <c r="Q516" s="80">
        <v>0</v>
      </c>
      <c r="R516" s="80">
        <f t="shared" si="122"/>
        <v>20</v>
      </c>
      <c r="AD516"/>
      <c r="AH516" s="86" t="s">
        <v>487</v>
      </c>
      <c r="AI516" s="87" t="s">
        <v>692</v>
      </c>
      <c r="AJ516" s="11" t="s">
        <v>11556</v>
      </c>
      <c r="AK516" s="80" t="str">
        <f t="shared" si="120"/>
        <v>Wavefold Cord OperationMatt Black InkBent</v>
      </c>
      <c r="AL516" s="80" t="s">
        <v>274</v>
      </c>
      <c r="AM516" s="80" t="s">
        <v>120</v>
      </c>
      <c r="AN516" s="80">
        <v>0</v>
      </c>
      <c r="AO516" s="80" t="s">
        <v>181</v>
      </c>
    </row>
    <row r="517" spans="10:41" ht="16.2" customHeight="1">
      <c r="J517" s="80" t="s">
        <v>746</v>
      </c>
      <c r="K517" s="80" t="s">
        <v>5879</v>
      </c>
      <c r="L517" t="s">
        <v>183</v>
      </c>
      <c r="M517" s="80" t="s">
        <v>403</v>
      </c>
      <c r="N517" t="str">
        <f t="shared" si="121"/>
        <v>Double FrontExisting Designer 25 TrackBelow Normal 2075N/A</v>
      </c>
      <c r="O517">
        <v>70</v>
      </c>
      <c r="P517">
        <v>35</v>
      </c>
      <c r="Q517" s="80">
        <v>0</v>
      </c>
      <c r="R517" s="80">
        <f t="shared" si="122"/>
        <v>-35</v>
      </c>
      <c r="AD517"/>
      <c r="AH517" s="86" t="s">
        <v>487</v>
      </c>
      <c r="AI517" s="87" t="s">
        <v>692</v>
      </c>
      <c r="AJ517" s="11" t="s">
        <v>160</v>
      </c>
      <c r="AK517" s="80" t="str">
        <f t="shared" si="120"/>
        <v>Wavefold Cord OperationMatt Black InkStraight</v>
      </c>
      <c r="AL517" s="80" t="s">
        <v>276</v>
      </c>
      <c r="AM517" s="80" t="s">
        <v>120</v>
      </c>
      <c r="AN517" s="80">
        <v>0</v>
      </c>
      <c r="AO517" s="80" t="s">
        <v>181</v>
      </c>
    </row>
    <row r="518" spans="10:41" ht="16.2" customHeight="1">
      <c r="J518" s="80" t="s">
        <v>747</v>
      </c>
      <c r="K518" s="80" t="s">
        <v>5879</v>
      </c>
      <c r="L518" t="s">
        <v>183</v>
      </c>
      <c r="M518" s="80" t="s">
        <v>403</v>
      </c>
      <c r="N518" t="str">
        <f t="shared" si="121"/>
        <v>Double RearExisting Designer 25 TrackBelow Normal 2075N/A</v>
      </c>
      <c r="O518">
        <v>70</v>
      </c>
      <c r="P518">
        <v>35</v>
      </c>
      <c r="Q518" s="80">
        <v>0</v>
      </c>
      <c r="R518" s="80">
        <f t="shared" si="122"/>
        <v>-35</v>
      </c>
      <c r="AD518"/>
      <c r="AH518" s="86" t="s">
        <v>487</v>
      </c>
      <c r="AI518" s="86" t="s">
        <v>357</v>
      </c>
      <c r="AJ518" s="11" t="s">
        <v>11556</v>
      </c>
      <c r="AK518" s="80" t="str">
        <f t="shared" si="123" ref="AK518:AK525">CONCATENATE(AH518,AI518,AJ518)</f>
        <v>Wavefold Cord OperationMatt SatinBent</v>
      </c>
      <c r="AL518" s="80" t="s">
        <v>274</v>
      </c>
      <c r="AM518" s="80" t="s">
        <v>120</v>
      </c>
      <c r="AN518" s="80">
        <v>0</v>
      </c>
      <c r="AO518" s="80" t="s">
        <v>181</v>
      </c>
    </row>
    <row r="519" spans="10:41" ht="16.2" customHeight="1">
      <c r="J519" s="80" t="s">
        <v>725</v>
      </c>
      <c r="K519" s="80" t="s">
        <v>5879</v>
      </c>
      <c r="L519" t="s">
        <v>183</v>
      </c>
      <c r="M519" s="80" t="s">
        <v>403</v>
      </c>
      <c r="N519" t="str">
        <f t="shared" si="121"/>
        <v>SingleExisting Designer 25 TrackBelow Normal 2075N/A</v>
      </c>
      <c r="O519">
        <v>70</v>
      </c>
      <c r="P519">
        <v>35</v>
      </c>
      <c r="Q519" s="80">
        <v>0</v>
      </c>
      <c r="R519" s="80">
        <f t="shared" si="122"/>
        <v>-35</v>
      </c>
      <c r="AD519"/>
      <c r="AH519" s="86" t="s">
        <v>487</v>
      </c>
      <c r="AI519" s="86" t="s">
        <v>357</v>
      </c>
      <c r="AJ519" s="11" t="s">
        <v>160</v>
      </c>
      <c r="AK519" s="80" t="str">
        <f t="shared" si="123"/>
        <v>Wavefold Cord OperationMatt SatinStraight</v>
      </c>
      <c r="AL519" s="80" t="s">
        <v>276</v>
      </c>
      <c r="AM519" s="80" t="s">
        <v>120</v>
      </c>
      <c r="AN519" s="80">
        <v>0</v>
      </c>
      <c r="AO519" s="80" t="s">
        <v>181</v>
      </c>
    </row>
    <row r="520" spans="10:41" ht="16.2" customHeight="1">
      <c r="J520" s="80" t="s">
        <v>746</v>
      </c>
      <c r="K520" s="80" t="s">
        <v>5879</v>
      </c>
      <c r="L520" t="s">
        <v>182</v>
      </c>
      <c r="M520" s="80" t="s">
        <v>403</v>
      </c>
      <c r="N520" t="str">
        <f t="shared" si="121"/>
        <v>Double FrontExisting Designer 25 TrackBetween Level and Normal 2073N/A</v>
      </c>
      <c r="O520">
        <v>47</v>
      </c>
      <c r="P520">
        <v>35</v>
      </c>
      <c r="Q520" s="80">
        <v>0</v>
      </c>
      <c r="R520" s="80">
        <f t="shared" si="122"/>
        <v>-12</v>
      </c>
      <c r="AD520"/>
      <c r="AH520" s="86" t="s">
        <v>487</v>
      </c>
      <c r="AI520" s="86" t="s">
        <v>191</v>
      </c>
      <c r="AJ520" s="11" t="s">
        <v>11556</v>
      </c>
      <c r="AK520" s="80" t="str">
        <f t="shared" si="123"/>
        <v>Wavefold Cord OperationWhiteBent</v>
      </c>
      <c r="AL520" s="80" t="s">
        <v>274</v>
      </c>
      <c r="AM520" s="80" t="s">
        <v>120</v>
      </c>
      <c r="AN520" s="80">
        <v>0</v>
      </c>
      <c r="AO520" s="80" t="s">
        <v>181</v>
      </c>
    </row>
    <row r="521" spans="10:41" ht="16.2" customHeight="1">
      <c r="J521" s="80" t="s">
        <v>747</v>
      </c>
      <c r="K521" s="80" t="s">
        <v>5879</v>
      </c>
      <c r="L521" t="s">
        <v>182</v>
      </c>
      <c r="M521" s="80" t="s">
        <v>403</v>
      </c>
      <c r="N521" t="str">
        <f t="shared" si="121"/>
        <v>Double RearExisting Designer 25 TrackBetween Level and Normal 2073N/A</v>
      </c>
      <c r="O521">
        <v>47</v>
      </c>
      <c r="P521">
        <v>35</v>
      </c>
      <c r="Q521" s="80">
        <v>0</v>
      </c>
      <c r="R521" s="80">
        <f t="shared" si="122"/>
        <v>-12</v>
      </c>
      <c r="AD521"/>
      <c r="AH521" s="86" t="s">
        <v>487</v>
      </c>
      <c r="AI521" s="86" t="s">
        <v>191</v>
      </c>
      <c r="AJ521" s="11" t="s">
        <v>160</v>
      </c>
      <c r="AK521" s="80" t="str">
        <f t="shared" si="123"/>
        <v>Wavefold Cord OperationWhiteStraight</v>
      </c>
      <c r="AL521" s="80" t="s">
        <v>276</v>
      </c>
      <c r="AM521" s="80" t="s">
        <v>120</v>
      </c>
      <c r="AN521" s="80">
        <v>0</v>
      </c>
      <c r="AO521" s="80" t="s">
        <v>181</v>
      </c>
    </row>
    <row r="522" spans="10:41" ht="16.2" customHeight="1">
      <c r="J522" s="80" t="s">
        <v>725</v>
      </c>
      <c r="K522" s="80" t="s">
        <v>5879</v>
      </c>
      <c r="L522" t="s">
        <v>182</v>
      </c>
      <c r="M522" s="80" t="s">
        <v>403</v>
      </c>
      <c r="N522" t="str">
        <f t="shared" si="121"/>
        <v>SingleExisting Designer 25 TrackBetween Level and Normal 2073N/A</v>
      </c>
      <c r="O522">
        <v>47</v>
      </c>
      <c r="P522">
        <v>35</v>
      </c>
      <c r="Q522" s="80">
        <v>0</v>
      </c>
      <c r="R522" s="80">
        <f t="shared" si="122"/>
        <v>-12</v>
      </c>
      <c r="AD522"/>
      <c r="AH522" s="86" t="s">
        <v>488</v>
      </c>
      <c r="AI522" s="86" t="s">
        <v>193</v>
      </c>
      <c r="AJ522" s="11" t="s">
        <v>11556</v>
      </c>
      <c r="AK522" s="80" t="str">
        <f t="shared" si="123"/>
        <v>Wavefold Hand OperationBlackBent</v>
      </c>
      <c r="AL522" s="80" t="s">
        <v>274</v>
      </c>
      <c r="AM522" s="80" t="s">
        <v>120</v>
      </c>
      <c r="AN522" s="80">
        <v>0</v>
      </c>
      <c r="AO522" s="80" t="s">
        <v>181</v>
      </c>
    </row>
    <row r="523" spans="10:41" ht="16.2" customHeight="1">
      <c r="J523" s="80" t="s">
        <v>746</v>
      </c>
      <c r="K523" s="80" t="s">
        <v>5879</v>
      </c>
      <c r="L523" t="s">
        <v>184</v>
      </c>
      <c r="M523" s="80" t="s">
        <v>403</v>
      </c>
      <c r="N523" t="str">
        <f t="shared" si="121"/>
        <v>Double FrontExisting Designer 25 TrackDecorator 2071N/A</v>
      </c>
      <c r="O523">
        <v>20</v>
      </c>
      <c r="P523">
        <v>35</v>
      </c>
      <c r="Q523" s="80">
        <v>0</v>
      </c>
      <c r="R523" s="80">
        <f t="shared" si="122"/>
        <v>15</v>
      </c>
      <c r="AD523"/>
      <c r="AH523" s="86" t="s">
        <v>488</v>
      </c>
      <c r="AI523" s="86" t="s">
        <v>193</v>
      </c>
      <c r="AJ523" s="11" t="s">
        <v>160</v>
      </c>
      <c r="AK523" s="80" t="str">
        <f t="shared" si="123"/>
        <v>Wavefold Hand OperationBlackStraight</v>
      </c>
      <c r="AL523" s="80" t="s">
        <v>276</v>
      </c>
      <c r="AM523" s="80" t="s">
        <v>120</v>
      </c>
      <c r="AN523" s="80">
        <v>0</v>
      </c>
      <c r="AO523" s="80" t="s">
        <v>181</v>
      </c>
    </row>
    <row r="524" spans="10:41" ht="16.2" customHeight="1">
      <c r="J524" s="80" t="s">
        <v>747</v>
      </c>
      <c r="K524" s="80" t="s">
        <v>5879</v>
      </c>
      <c r="L524" t="s">
        <v>184</v>
      </c>
      <c r="M524" s="80" t="s">
        <v>403</v>
      </c>
      <c r="N524" t="str">
        <f t="shared" si="121"/>
        <v>Double RearExisting Designer 25 TrackDecorator 2071N/A</v>
      </c>
      <c r="O524">
        <v>20</v>
      </c>
      <c r="P524">
        <v>35</v>
      </c>
      <c r="Q524" s="80">
        <v>0</v>
      </c>
      <c r="R524" s="80">
        <f t="shared" si="122"/>
        <v>15</v>
      </c>
      <c r="AD524"/>
      <c r="AH524" s="86" t="s">
        <v>488</v>
      </c>
      <c r="AI524" s="87" t="s">
        <v>692</v>
      </c>
      <c r="AJ524" s="11" t="s">
        <v>11556</v>
      </c>
      <c r="AK524" s="80" t="str">
        <f t="shared" si="123"/>
        <v>Wavefold Hand OperationMatt Black InkBent</v>
      </c>
      <c r="AL524" s="80" t="s">
        <v>274</v>
      </c>
      <c r="AM524" s="80" t="s">
        <v>120</v>
      </c>
      <c r="AN524" s="80">
        <v>0</v>
      </c>
      <c r="AO524" s="80" t="s">
        <v>181</v>
      </c>
    </row>
    <row r="525" spans="10:41" ht="16.2" customHeight="1">
      <c r="J525" s="80" t="s">
        <v>725</v>
      </c>
      <c r="K525" s="80" t="s">
        <v>5879</v>
      </c>
      <c r="L525" t="s">
        <v>184</v>
      </c>
      <c r="M525" s="80" t="s">
        <v>403</v>
      </c>
      <c r="N525" t="str">
        <f t="shared" si="121"/>
        <v>SingleExisting Designer 25 TrackDecorator 2071N/A</v>
      </c>
      <c r="O525">
        <v>20</v>
      </c>
      <c r="P525">
        <v>35</v>
      </c>
      <c r="Q525" s="80">
        <v>0</v>
      </c>
      <c r="R525" s="80">
        <f t="shared" si="122"/>
        <v>15</v>
      </c>
      <c r="AD525"/>
      <c r="AH525" s="86" t="s">
        <v>488</v>
      </c>
      <c r="AI525" s="87" t="s">
        <v>692</v>
      </c>
      <c r="AJ525" s="11" t="s">
        <v>160</v>
      </c>
      <c r="AK525" s="80" t="str">
        <f t="shared" si="123"/>
        <v>Wavefold Hand OperationMatt Black InkStraight</v>
      </c>
      <c r="AL525" s="80" t="s">
        <v>276</v>
      </c>
      <c r="AM525" s="80" t="s">
        <v>120</v>
      </c>
      <c r="AN525" s="80">
        <v>0</v>
      </c>
      <c r="AO525" s="80" t="s">
        <v>181</v>
      </c>
    </row>
    <row r="526" spans="10:41" ht="16.2" customHeight="1">
      <c r="J526" s="80" t="s">
        <v>746</v>
      </c>
      <c r="K526" s="80" t="s">
        <v>5879</v>
      </c>
      <c r="L526" t="s">
        <v>6468</v>
      </c>
      <c r="M526" s="80" t="s">
        <v>403</v>
      </c>
      <c r="N526" t="str">
        <f t="shared" si="121"/>
        <v>Double FrontExisting Designer 25 TrackGather Hook Bottom PocketN/A</v>
      </c>
      <c r="O526">
        <v>60</v>
      </c>
      <c r="P526">
        <v>35</v>
      </c>
      <c r="Q526" s="80">
        <v>0</v>
      </c>
      <c r="R526" s="80">
        <f t="shared" si="122"/>
        <v>-25</v>
      </c>
      <c r="AD526"/>
      <c r="AH526" s="86" t="s">
        <v>488</v>
      </c>
      <c r="AI526" s="86" t="s">
        <v>357</v>
      </c>
      <c r="AJ526" s="11" t="s">
        <v>11556</v>
      </c>
      <c r="AK526" s="80" t="str">
        <f t="shared" si="124" ref="AK526:AK535">CONCATENATE(AH526,AI526,AJ526)</f>
        <v>Wavefold Hand OperationMatt SatinBent</v>
      </c>
      <c r="AL526" s="80" t="s">
        <v>274</v>
      </c>
      <c r="AM526" s="80" t="s">
        <v>120</v>
      </c>
      <c r="AN526" s="80">
        <v>0</v>
      </c>
      <c r="AO526" s="80" t="s">
        <v>181</v>
      </c>
    </row>
    <row r="527" spans="10:41" ht="16.2" customHeight="1">
      <c r="J527" s="80" t="s">
        <v>725</v>
      </c>
      <c r="K527" s="80" t="s">
        <v>5879</v>
      </c>
      <c r="L527" t="s">
        <v>6468</v>
      </c>
      <c r="M527" s="80" t="s">
        <v>403</v>
      </c>
      <c r="N527" t="str">
        <f t="shared" si="121"/>
        <v>SingleExisting Designer 25 TrackGather Hook Bottom PocketN/A</v>
      </c>
      <c r="O527">
        <v>60</v>
      </c>
      <c r="P527">
        <v>35</v>
      </c>
      <c r="Q527" s="80">
        <v>0</v>
      </c>
      <c r="R527" s="80">
        <f t="shared" si="122"/>
        <v>-25</v>
      </c>
      <c r="AD527"/>
      <c r="AH527" s="86" t="s">
        <v>488</v>
      </c>
      <c r="AI527" s="86" t="s">
        <v>357</v>
      </c>
      <c r="AJ527" s="11" t="s">
        <v>160</v>
      </c>
      <c r="AK527" s="80" t="str">
        <f t="shared" si="124"/>
        <v>Wavefold Hand OperationMatt SatinStraight</v>
      </c>
      <c r="AL527" s="80" t="s">
        <v>276</v>
      </c>
      <c r="AM527" s="80" t="s">
        <v>120</v>
      </c>
      <c r="AN527" s="80">
        <v>0</v>
      </c>
      <c r="AO527" s="80" t="s">
        <v>181</v>
      </c>
    </row>
    <row r="528" spans="10:41" ht="16.2" customHeight="1">
      <c r="J528" s="80" t="s">
        <v>746</v>
      </c>
      <c r="K528" s="80" t="s">
        <v>5879</v>
      </c>
      <c r="L528" t="s">
        <v>229</v>
      </c>
      <c r="M528" s="80" t="s">
        <v>403</v>
      </c>
      <c r="N528" t="str">
        <f t="shared" si="121"/>
        <v>Double FrontExisting Designer 25 TrackGather Hook LevelN/A</v>
      </c>
      <c r="O528">
        <v>20</v>
      </c>
      <c r="P528">
        <v>35</v>
      </c>
      <c r="Q528" s="80">
        <v>0</v>
      </c>
      <c r="R528" s="80">
        <f t="shared" si="122"/>
        <v>15</v>
      </c>
      <c r="AD528"/>
      <c r="AH528" s="86" t="s">
        <v>488</v>
      </c>
      <c r="AI528" s="86" t="s">
        <v>191</v>
      </c>
      <c r="AJ528" s="11" t="s">
        <v>11556</v>
      </c>
      <c r="AK528" s="80" t="str">
        <f t="shared" si="124"/>
        <v>Wavefold Hand OperationWhiteBent</v>
      </c>
      <c r="AL528" s="80" t="s">
        <v>274</v>
      </c>
      <c r="AM528" s="80" t="s">
        <v>120</v>
      </c>
      <c r="AN528" s="80">
        <v>0</v>
      </c>
      <c r="AO528" s="80" t="s">
        <v>181</v>
      </c>
    </row>
    <row r="529" spans="10:41" ht="16.2" customHeight="1">
      <c r="J529" s="80" t="s">
        <v>747</v>
      </c>
      <c r="K529" s="80" t="s">
        <v>5879</v>
      </c>
      <c r="L529" t="s">
        <v>229</v>
      </c>
      <c r="M529" s="80" t="s">
        <v>403</v>
      </c>
      <c r="N529" t="str">
        <f t="shared" si="121"/>
        <v>Double RearExisting Designer 25 TrackGather Hook LevelN/A</v>
      </c>
      <c r="O529">
        <v>20</v>
      </c>
      <c r="P529">
        <v>35</v>
      </c>
      <c r="Q529" s="80">
        <v>0</v>
      </c>
      <c r="R529" s="80">
        <f t="shared" si="122"/>
        <v>15</v>
      </c>
      <c r="AD529"/>
      <c r="AH529" s="86" t="s">
        <v>488</v>
      </c>
      <c r="AI529" s="86" t="s">
        <v>191</v>
      </c>
      <c r="AJ529" s="11" t="s">
        <v>160</v>
      </c>
      <c r="AK529" s="80" t="str">
        <f t="shared" si="124"/>
        <v>Wavefold Hand OperationWhiteStraight</v>
      </c>
      <c r="AL529" s="80" t="s">
        <v>276</v>
      </c>
      <c r="AM529" s="80" t="s">
        <v>120</v>
      </c>
      <c r="AN529" s="80">
        <v>0</v>
      </c>
      <c r="AO529" s="80" t="s">
        <v>181</v>
      </c>
    </row>
    <row r="530" spans="10:41" ht="16.2" customHeight="1">
      <c r="J530" s="80" t="s">
        <v>725</v>
      </c>
      <c r="K530" s="80" t="s">
        <v>5879</v>
      </c>
      <c r="L530" t="s">
        <v>229</v>
      </c>
      <c r="M530" s="80" t="s">
        <v>403</v>
      </c>
      <c r="N530" t="str">
        <f t="shared" si="121"/>
        <v>SingleExisting Designer 25 TrackGather Hook LevelN/A</v>
      </c>
      <c r="O530">
        <v>20</v>
      </c>
      <c r="P530">
        <v>35</v>
      </c>
      <c r="Q530" s="80">
        <v>0</v>
      </c>
      <c r="R530" s="80">
        <f t="shared" si="122"/>
        <v>15</v>
      </c>
      <c r="AD530"/>
      <c r="AH530" s="86" t="s">
        <v>5450</v>
      </c>
      <c r="AI530" s="11" t="s">
        <v>193</v>
      </c>
      <c r="AJ530" s="11" t="s">
        <v>11556</v>
      </c>
      <c r="AK530" s="80" t="str">
        <f t="shared" si="124"/>
        <v>Wavefold Motorised Acmeda 12v Remote Curtain TrackBlackBent</v>
      </c>
      <c r="AL530" s="80" t="s">
        <v>274</v>
      </c>
      <c r="AM530" s="80" t="s">
        <v>120</v>
      </c>
      <c r="AN530" s="80">
        <v>0</v>
      </c>
      <c r="AO530" s="80" t="s">
        <v>181</v>
      </c>
    </row>
    <row r="531" spans="10:41" ht="16.2" customHeight="1">
      <c r="J531" s="80" t="s">
        <v>746</v>
      </c>
      <c r="K531" s="80" t="s">
        <v>5879</v>
      </c>
      <c r="L531" t="s">
        <v>228</v>
      </c>
      <c r="M531" s="80" t="s">
        <v>403</v>
      </c>
      <c r="N531" t="str">
        <f t="shared" si="121"/>
        <v>Double FrontExisting Designer 25 TrackGather Hook NormalN/A</v>
      </c>
      <c r="O531">
        <v>43</v>
      </c>
      <c r="P531">
        <v>35</v>
      </c>
      <c r="Q531" s="80">
        <v>0</v>
      </c>
      <c r="R531" s="80">
        <f t="shared" si="122"/>
        <v>-8</v>
      </c>
      <c r="AD531"/>
      <c r="AH531" s="86" t="s">
        <v>5450</v>
      </c>
      <c r="AI531" s="11" t="s">
        <v>193</v>
      </c>
      <c r="AJ531" s="11" t="s">
        <v>160</v>
      </c>
      <c r="AK531" s="80" t="str">
        <f t="shared" si="124"/>
        <v>Wavefold Motorised Acmeda 12v Remote Curtain TrackBlackStraight</v>
      </c>
      <c r="AL531" s="80" t="s">
        <v>274</v>
      </c>
      <c r="AM531" s="80" t="s">
        <v>120</v>
      </c>
      <c r="AN531" s="80">
        <v>0</v>
      </c>
      <c r="AO531" s="80" t="s">
        <v>181</v>
      </c>
    </row>
    <row r="532" spans="10:41" ht="16.2" customHeight="1">
      <c r="J532" s="80" t="s">
        <v>747</v>
      </c>
      <c r="K532" s="80" t="s">
        <v>5879</v>
      </c>
      <c r="L532" t="s">
        <v>228</v>
      </c>
      <c r="M532" s="80" t="s">
        <v>403</v>
      </c>
      <c r="N532" t="str">
        <f t="shared" si="121"/>
        <v>Double RearExisting Designer 25 TrackGather Hook NormalN/A</v>
      </c>
      <c r="O532">
        <v>43</v>
      </c>
      <c r="P532">
        <v>35</v>
      </c>
      <c r="Q532" s="80">
        <v>0</v>
      </c>
      <c r="R532" s="80">
        <f t="shared" si="122"/>
        <v>-8</v>
      </c>
      <c r="AD532"/>
      <c r="AH532" s="86" t="s">
        <v>5450</v>
      </c>
      <c r="AI532" s="11" t="s">
        <v>191</v>
      </c>
      <c r="AJ532" s="11" t="s">
        <v>11556</v>
      </c>
      <c r="AK532" s="80" t="str">
        <f t="shared" si="124"/>
        <v>Wavefold Motorised Acmeda 12v Remote Curtain TrackWhiteBent</v>
      </c>
      <c r="AL532" s="80" t="s">
        <v>274</v>
      </c>
      <c r="AM532" s="80" t="s">
        <v>120</v>
      </c>
      <c r="AN532" s="80">
        <v>0</v>
      </c>
      <c r="AO532" s="80" t="s">
        <v>181</v>
      </c>
    </row>
    <row r="533" spans="10:41" ht="16.2" customHeight="1">
      <c r="J533" s="80" t="s">
        <v>725</v>
      </c>
      <c r="K533" s="80" t="s">
        <v>5879</v>
      </c>
      <c r="L533" t="s">
        <v>228</v>
      </c>
      <c r="M533" s="80" t="s">
        <v>403</v>
      </c>
      <c r="N533" t="str">
        <f t="shared" si="121"/>
        <v>SingleExisting Designer 25 TrackGather Hook NormalN/A</v>
      </c>
      <c r="O533">
        <v>43</v>
      </c>
      <c r="P533">
        <v>35</v>
      </c>
      <c r="Q533" s="80">
        <v>0</v>
      </c>
      <c r="R533" s="80">
        <f t="shared" si="122"/>
        <v>-8</v>
      </c>
      <c r="AD533"/>
      <c r="AH533" s="86" t="s">
        <v>5450</v>
      </c>
      <c r="AI533" s="11" t="s">
        <v>191</v>
      </c>
      <c r="AJ533" s="11" t="s">
        <v>160</v>
      </c>
      <c r="AK533" s="80" t="str">
        <f t="shared" si="124"/>
        <v>Wavefold Motorised Acmeda 12v Remote Curtain TrackWhiteStraight</v>
      </c>
      <c r="AL533" s="80" t="s">
        <v>274</v>
      </c>
      <c r="AM533" s="80" t="s">
        <v>120</v>
      </c>
      <c r="AN533" s="80">
        <v>0</v>
      </c>
      <c r="AO533" s="80" t="s">
        <v>181</v>
      </c>
    </row>
    <row r="534" spans="10:41" ht="16.2" customHeight="1">
      <c r="J534" s="80" t="s">
        <v>746</v>
      </c>
      <c r="K534" s="80" t="s">
        <v>5879</v>
      </c>
      <c r="L534" t="s">
        <v>282</v>
      </c>
      <c r="M534" s="80" t="s">
        <v>403</v>
      </c>
      <c r="N534" t="str">
        <f t="shared" si="121"/>
        <v>Double FrontExisting Designer 25 TrackLevel 2072N/A</v>
      </c>
      <c r="O534">
        <v>35</v>
      </c>
      <c r="P534">
        <v>35</v>
      </c>
      <c r="Q534" s="80">
        <v>0</v>
      </c>
      <c r="R534" s="80">
        <f t="shared" si="122"/>
        <v>0</v>
      </c>
      <c r="AD534"/>
      <c r="AH534" s="86" t="s">
        <v>5451</v>
      </c>
      <c r="AI534" s="11" t="s">
        <v>193</v>
      </c>
      <c r="AJ534" s="11" t="s">
        <v>160</v>
      </c>
      <c r="AK534" s="80" t="str">
        <f t="shared" si="124"/>
        <v>Wavefold Motorised Acmeda 240v Remote Curtain TrackBlackStraight</v>
      </c>
      <c r="AL534" s="80" t="s">
        <v>274</v>
      </c>
      <c r="AM534" s="80" t="s">
        <v>120</v>
      </c>
      <c r="AN534" s="80">
        <v>0</v>
      </c>
      <c r="AO534" s="80" t="s">
        <v>181</v>
      </c>
    </row>
    <row r="535" spans="10:41" ht="16.2" customHeight="1">
      <c r="J535" s="80" t="s">
        <v>747</v>
      </c>
      <c r="K535" s="80" t="s">
        <v>5879</v>
      </c>
      <c r="L535" t="s">
        <v>282</v>
      </c>
      <c r="M535" s="80" t="s">
        <v>403</v>
      </c>
      <c r="N535" t="str">
        <f t="shared" si="121"/>
        <v>Double RearExisting Designer 25 TrackLevel 2072N/A</v>
      </c>
      <c r="O535">
        <v>35</v>
      </c>
      <c r="P535">
        <v>35</v>
      </c>
      <c r="Q535" s="80">
        <v>0</v>
      </c>
      <c r="R535" s="80">
        <f t="shared" si="122"/>
        <v>0</v>
      </c>
      <c r="AD535"/>
      <c r="AH535" s="86" t="s">
        <v>5451</v>
      </c>
      <c r="AI535" s="11" t="s">
        <v>193</v>
      </c>
      <c r="AJ535" s="11" t="s">
        <v>11556</v>
      </c>
      <c r="AK535" s="80" t="str">
        <f t="shared" si="124"/>
        <v>Wavefold Motorised Acmeda 240v Remote Curtain TrackBlackBent</v>
      </c>
      <c r="AL535" s="80" t="s">
        <v>274</v>
      </c>
      <c r="AM535" s="80" t="s">
        <v>120</v>
      </c>
      <c r="AN535" s="80">
        <v>0</v>
      </c>
      <c r="AO535" s="80" t="s">
        <v>181</v>
      </c>
    </row>
    <row r="536" spans="10:41" ht="16.2" customHeight="1">
      <c r="J536" s="80" t="s">
        <v>725</v>
      </c>
      <c r="K536" s="80" t="s">
        <v>5879</v>
      </c>
      <c r="L536" t="s">
        <v>282</v>
      </c>
      <c r="M536" s="80" t="s">
        <v>403</v>
      </c>
      <c r="N536" t="str">
        <f t="shared" si="121"/>
        <v>SingleExisting Designer 25 TrackLevel 2072N/A</v>
      </c>
      <c r="O536">
        <v>35</v>
      </c>
      <c r="P536">
        <v>35</v>
      </c>
      <c r="Q536" s="80">
        <v>0</v>
      </c>
      <c r="R536" s="80">
        <f t="shared" si="122"/>
        <v>0</v>
      </c>
      <c r="AD536"/>
      <c r="AH536" s="86" t="s">
        <v>5451</v>
      </c>
      <c r="AI536" s="11" t="s">
        <v>191</v>
      </c>
      <c r="AJ536" s="11" t="s">
        <v>11556</v>
      </c>
      <c r="AK536" s="80" t="str">
        <f t="shared" si="125" ref="AK536:AK543">CONCATENATE(AH536,AI536,AJ536)</f>
        <v>Wavefold Motorised Acmeda 240v Remote Curtain TrackWhiteBent</v>
      </c>
      <c r="AL536" s="80" t="s">
        <v>274</v>
      </c>
      <c r="AM536" s="80" t="s">
        <v>120</v>
      </c>
      <c r="AN536" s="80">
        <v>0</v>
      </c>
      <c r="AO536" s="80" t="s">
        <v>181</v>
      </c>
    </row>
    <row r="537" spans="10:41" ht="16.2" customHeight="1">
      <c r="J537" s="80" t="s">
        <v>746</v>
      </c>
      <c r="K537" s="80" t="s">
        <v>5879</v>
      </c>
      <c r="L537" t="s">
        <v>170</v>
      </c>
      <c r="M537" s="80" t="s">
        <v>403</v>
      </c>
      <c r="N537" t="str">
        <f t="shared" si="121"/>
        <v>Double FrontExisting Designer 25 TrackNormal 2074N/A</v>
      </c>
      <c r="O537">
        <v>60</v>
      </c>
      <c r="P537">
        <v>35</v>
      </c>
      <c r="Q537" s="80">
        <v>0</v>
      </c>
      <c r="R537" s="80">
        <f t="shared" si="122"/>
        <v>-25</v>
      </c>
      <c r="AD537"/>
      <c r="AH537" s="86" t="s">
        <v>5451</v>
      </c>
      <c r="AI537" s="11" t="s">
        <v>191</v>
      </c>
      <c r="AJ537" s="11" t="s">
        <v>160</v>
      </c>
      <c r="AK537" s="80" t="str">
        <f t="shared" si="125"/>
        <v>Wavefold Motorised Acmeda 240v Remote Curtain TrackWhiteStraight</v>
      </c>
      <c r="AL537" s="80" t="s">
        <v>274</v>
      </c>
      <c r="AM537" s="80" t="s">
        <v>120</v>
      </c>
      <c r="AN537" s="80">
        <v>0</v>
      </c>
      <c r="AO537" s="80" t="s">
        <v>181</v>
      </c>
    </row>
    <row r="538" spans="10:41" ht="16.2" customHeight="1">
      <c r="J538" s="80" t="s">
        <v>747</v>
      </c>
      <c r="K538" s="80" t="s">
        <v>5879</v>
      </c>
      <c r="L538" t="s">
        <v>170</v>
      </c>
      <c r="M538" s="80" t="s">
        <v>403</v>
      </c>
      <c r="N538" t="str">
        <f t="shared" si="121"/>
        <v>Double RearExisting Designer 25 TrackNormal 2074N/A</v>
      </c>
      <c r="O538">
        <v>60</v>
      </c>
      <c r="P538">
        <v>35</v>
      </c>
      <c r="Q538" s="80">
        <v>0</v>
      </c>
      <c r="R538" s="80">
        <f t="shared" si="122"/>
        <v>-25</v>
      </c>
      <c r="AD538"/>
      <c r="AH538" s="86" t="s">
        <v>5363</v>
      </c>
      <c r="AI538" s="86" t="s">
        <v>193</v>
      </c>
      <c r="AJ538" s="11" t="s">
        <v>11556</v>
      </c>
      <c r="AK538" s="80" t="str">
        <f t="shared" si="125"/>
        <v>Wavefold Motorised Saber 12v Remote TrackBlackBent</v>
      </c>
      <c r="AL538" s="80" t="s">
        <v>274</v>
      </c>
      <c r="AM538" s="80" t="s">
        <v>120</v>
      </c>
      <c r="AN538" s="80">
        <v>0</v>
      </c>
      <c r="AO538" s="80" t="s">
        <v>181</v>
      </c>
    </row>
    <row r="539" spans="10:41" ht="16.2" customHeight="1">
      <c r="J539" s="80" t="s">
        <v>725</v>
      </c>
      <c r="K539" s="80" t="s">
        <v>5879</v>
      </c>
      <c r="L539" t="s">
        <v>170</v>
      </c>
      <c r="M539" s="80" t="s">
        <v>403</v>
      </c>
      <c r="N539" t="str">
        <f t="shared" si="121"/>
        <v>SingleExisting Designer 25 TrackNormal 2074N/A</v>
      </c>
      <c r="O539">
        <v>60</v>
      </c>
      <c r="P539">
        <v>35</v>
      </c>
      <c r="Q539" s="80">
        <v>0</v>
      </c>
      <c r="R539" s="80">
        <f t="shared" si="122"/>
        <v>-25</v>
      </c>
      <c r="AD539"/>
      <c r="AH539" s="86" t="s">
        <v>5363</v>
      </c>
      <c r="AI539" s="86" t="s">
        <v>193</v>
      </c>
      <c r="AJ539" s="11" t="s">
        <v>160</v>
      </c>
      <c r="AK539" s="80" t="str">
        <f t="shared" si="125"/>
        <v>Wavefold Motorised Saber 12v Remote TrackBlackStraight</v>
      </c>
      <c r="AL539" s="80" t="s">
        <v>274</v>
      </c>
      <c r="AM539" s="80" t="s">
        <v>120</v>
      </c>
      <c r="AN539" s="80">
        <v>0</v>
      </c>
      <c r="AO539" s="80" t="s">
        <v>181</v>
      </c>
    </row>
    <row r="540" spans="10:41" ht="16.2" customHeight="1">
      <c r="J540" s="80" t="s">
        <v>746</v>
      </c>
      <c r="K540" s="80" t="s">
        <v>7798</v>
      </c>
      <c r="L540" t="s">
        <v>421</v>
      </c>
      <c r="M540" s="80" t="s">
        <v>403</v>
      </c>
      <c r="N540" t="str">
        <f t="shared" si="121"/>
        <v>Double FrontExisting Designer 25 Wavefold TrackWavefold HooksN/A</v>
      </c>
      <c r="O540">
        <v>0</v>
      </c>
      <c r="P540">
        <v>30</v>
      </c>
      <c r="Q540" s="80">
        <v>0</v>
      </c>
      <c r="R540" s="80">
        <v>30</v>
      </c>
      <c r="AD540"/>
      <c r="AH540" s="86" t="s">
        <v>5363</v>
      </c>
      <c r="AI540" s="86" t="s">
        <v>357</v>
      </c>
      <c r="AJ540" s="11" t="s">
        <v>11556</v>
      </c>
      <c r="AK540" s="80" t="str">
        <f t="shared" si="125"/>
        <v>Wavefold Motorised Saber 12v Remote TrackMatt SatinBent</v>
      </c>
      <c r="AL540" s="80" t="s">
        <v>274</v>
      </c>
      <c r="AM540" s="80" t="s">
        <v>120</v>
      </c>
      <c r="AN540" s="80">
        <v>0</v>
      </c>
      <c r="AO540" s="80" t="s">
        <v>181</v>
      </c>
    </row>
    <row r="541" spans="10:41" ht="16.2" customHeight="1">
      <c r="J541" s="80" t="s">
        <v>747</v>
      </c>
      <c r="K541" s="80" t="s">
        <v>7798</v>
      </c>
      <c r="L541" t="s">
        <v>421</v>
      </c>
      <c r="M541" s="80" t="s">
        <v>403</v>
      </c>
      <c r="N541" t="str">
        <f t="shared" si="121"/>
        <v>Double RearExisting Designer 25 Wavefold TrackWavefold HooksN/A</v>
      </c>
      <c r="O541">
        <v>12</v>
      </c>
      <c r="P541">
        <v>40</v>
      </c>
      <c r="Q541" s="80">
        <v>0</v>
      </c>
      <c r="R541" s="80">
        <v>28</v>
      </c>
      <c r="AD541"/>
      <c r="AH541" s="86" t="s">
        <v>5363</v>
      </c>
      <c r="AI541" s="86" t="s">
        <v>357</v>
      </c>
      <c r="AJ541" s="11" t="s">
        <v>160</v>
      </c>
      <c r="AK541" s="80" t="str">
        <f t="shared" si="125"/>
        <v>Wavefold Motorised Saber 12v Remote TrackMatt SatinStraight</v>
      </c>
      <c r="AL541" s="80" t="s">
        <v>274</v>
      </c>
      <c r="AM541" s="80" t="s">
        <v>120</v>
      </c>
      <c r="AN541" s="80">
        <v>0</v>
      </c>
      <c r="AO541" s="80" t="s">
        <v>181</v>
      </c>
    </row>
    <row r="542" spans="10:41" ht="16.2" customHeight="1">
      <c r="J542" s="80" t="s">
        <v>725</v>
      </c>
      <c r="K542" s="80" t="s">
        <v>7798</v>
      </c>
      <c r="L542" t="s">
        <v>421</v>
      </c>
      <c r="M542" s="80" t="s">
        <v>403</v>
      </c>
      <c r="N542" t="str">
        <f t="shared" si="121"/>
        <v>SingleExisting Designer 25 Wavefold TrackWavefold HooksN/A</v>
      </c>
      <c r="O542">
        <v>0</v>
      </c>
      <c r="P542">
        <v>30</v>
      </c>
      <c r="Q542" s="80">
        <v>0</v>
      </c>
      <c r="R542" s="80">
        <v>30</v>
      </c>
      <c r="AD542"/>
      <c r="AH542" s="86" t="s">
        <v>5363</v>
      </c>
      <c r="AI542" s="86" t="s">
        <v>191</v>
      </c>
      <c r="AJ542" s="11" t="s">
        <v>11556</v>
      </c>
      <c r="AK542" s="80" t="str">
        <f t="shared" si="125"/>
        <v>Wavefold Motorised Saber 12v Remote TrackWhiteBent</v>
      </c>
      <c r="AL542" s="80" t="s">
        <v>274</v>
      </c>
      <c r="AM542" s="80" t="s">
        <v>120</v>
      </c>
      <c r="AN542" s="80">
        <v>0</v>
      </c>
      <c r="AO542" s="80" t="s">
        <v>181</v>
      </c>
    </row>
    <row r="543" spans="10:41" ht="16.2" customHeight="1">
      <c r="J543" s="80" t="s">
        <v>746</v>
      </c>
      <c r="K543" s="80" t="s">
        <v>606</v>
      </c>
      <c r="L543" s="80" t="s">
        <v>193</v>
      </c>
      <c r="M543" s="80" t="s">
        <v>403</v>
      </c>
      <c r="N543" t="str">
        <f t="shared" si="121"/>
        <v>Double FrontExisting Eyelot RodBlackN/A</v>
      </c>
      <c r="O543">
        <v>0</v>
      </c>
      <c r="P543">
        <v>20</v>
      </c>
      <c r="Q543" s="80">
        <v>-100</v>
      </c>
      <c r="R543" s="80">
        <f t="shared" si="126" ref="R543:R606">SUM(P543)-O543</f>
        <v>20</v>
      </c>
      <c r="AD543"/>
      <c r="AH543" s="86" t="s">
        <v>5363</v>
      </c>
      <c r="AI543" s="86" t="s">
        <v>191</v>
      </c>
      <c r="AJ543" s="11" t="s">
        <v>160</v>
      </c>
      <c r="AK543" s="80" t="str">
        <f t="shared" si="125"/>
        <v>Wavefold Motorised Saber 12v Remote TrackWhiteStraight</v>
      </c>
      <c r="AL543" s="80" t="s">
        <v>274</v>
      </c>
      <c r="AM543" s="80" t="s">
        <v>120</v>
      </c>
      <c r="AN543" s="80">
        <v>0</v>
      </c>
      <c r="AO543" s="80" t="s">
        <v>181</v>
      </c>
    </row>
    <row r="544" spans="10:41" ht="16.2" customHeight="1">
      <c r="J544" s="80" t="s">
        <v>747</v>
      </c>
      <c r="K544" s="80" t="s">
        <v>606</v>
      </c>
      <c r="L544" s="80" t="s">
        <v>193</v>
      </c>
      <c r="M544" s="80" t="s">
        <v>403</v>
      </c>
      <c r="N544" t="str">
        <f t="shared" si="121"/>
        <v>Double RearExisting Eyelot RodBlackN/A</v>
      </c>
      <c r="O544">
        <v>0</v>
      </c>
      <c r="P544">
        <v>20</v>
      </c>
      <c r="Q544" s="80">
        <v>-100</v>
      </c>
      <c r="R544" s="80">
        <f t="shared" si="126"/>
        <v>20</v>
      </c>
      <c r="AD544"/>
      <c r="AH544" s="86" t="s">
        <v>5361</v>
      </c>
      <c r="AI544" s="86" t="s">
        <v>193</v>
      </c>
      <c r="AJ544" s="11" t="s">
        <v>11556</v>
      </c>
      <c r="AK544" s="80" t="str">
        <f t="shared" si="127" ref="AK544:AK551">CONCATENATE(AH544,AI544,AJ544)</f>
        <v>Wavefold Motorised Saber 240v Remote TrackBlackBent</v>
      </c>
      <c r="AL544" s="80" t="s">
        <v>274</v>
      </c>
      <c r="AM544" s="80" t="s">
        <v>120</v>
      </c>
      <c r="AN544" s="80">
        <v>0</v>
      </c>
      <c r="AO544" s="80" t="s">
        <v>181</v>
      </c>
    </row>
    <row r="545" spans="10:41" ht="16.2" customHeight="1">
      <c r="J545" s="80" t="s">
        <v>725</v>
      </c>
      <c r="K545" s="80" t="s">
        <v>606</v>
      </c>
      <c r="L545" s="80" t="s">
        <v>193</v>
      </c>
      <c r="M545" s="80" t="s">
        <v>403</v>
      </c>
      <c r="N545" t="str">
        <f t="shared" si="121"/>
        <v>SingleExisting Eyelot RodBlackN/A</v>
      </c>
      <c r="O545">
        <v>0</v>
      </c>
      <c r="P545">
        <v>20</v>
      </c>
      <c r="Q545" s="80">
        <v>-100</v>
      </c>
      <c r="R545" s="80">
        <f t="shared" si="126"/>
        <v>20</v>
      </c>
      <c r="AD545"/>
      <c r="AH545" s="86" t="s">
        <v>5361</v>
      </c>
      <c r="AI545" s="86" t="s">
        <v>193</v>
      </c>
      <c r="AJ545" s="11" t="s">
        <v>160</v>
      </c>
      <c r="AK545" s="80" t="str">
        <f t="shared" si="127"/>
        <v>Wavefold Motorised Saber 240v Remote TrackBlackStraight</v>
      </c>
      <c r="AL545" s="80" t="s">
        <v>274</v>
      </c>
      <c r="AM545" s="80" t="s">
        <v>120</v>
      </c>
      <c r="AN545" s="80">
        <v>0</v>
      </c>
      <c r="AO545" s="80" t="s">
        <v>181</v>
      </c>
    </row>
    <row r="546" spans="10:41" ht="16.2" customHeight="1">
      <c r="J546" s="80" t="s">
        <v>746</v>
      </c>
      <c r="K546" s="80" t="s">
        <v>606</v>
      </c>
      <c r="L546" s="80" t="s">
        <v>269</v>
      </c>
      <c r="M546" s="80" t="s">
        <v>403</v>
      </c>
      <c r="N546" t="str">
        <f t="shared" si="121"/>
        <v>Double FrontExisting Eyelot RodChromeN/A</v>
      </c>
      <c r="O546">
        <v>0</v>
      </c>
      <c r="P546">
        <v>20</v>
      </c>
      <c r="Q546" s="80">
        <v>-100</v>
      </c>
      <c r="R546" s="80">
        <f t="shared" si="126"/>
        <v>20</v>
      </c>
      <c r="AD546"/>
      <c r="AH546" s="86" t="s">
        <v>5361</v>
      </c>
      <c r="AI546" s="86" t="s">
        <v>357</v>
      </c>
      <c r="AJ546" s="11" t="s">
        <v>11556</v>
      </c>
      <c r="AK546" s="80" t="str">
        <f t="shared" si="127"/>
        <v>Wavefold Motorised Saber 240v Remote TrackMatt SatinBent</v>
      </c>
      <c r="AL546" s="80" t="s">
        <v>274</v>
      </c>
      <c r="AM546" s="80" t="s">
        <v>120</v>
      </c>
      <c r="AN546" s="80">
        <v>0</v>
      </c>
      <c r="AO546" s="80" t="s">
        <v>181</v>
      </c>
    </row>
    <row r="547" spans="10:41" ht="16.2" customHeight="1">
      <c r="J547" s="80" t="s">
        <v>747</v>
      </c>
      <c r="K547" s="80" t="s">
        <v>606</v>
      </c>
      <c r="L547" s="80" t="s">
        <v>269</v>
      </c>
      <c r="M547" s="80" t="s">
        <v>403</v>
      </c>
      <c r="N547" t="str">
        <f t="shared" si="121"/>
        <v>Double RearExisting Eyelot RodChromeN/A</v>
      </c>
      <c r="O547">
        <v>0</v>
      </c>
      <c r="P547">
        <v>20</v>
      </c>
      <c r="Q547" s="80">
        <v>-100</v>
      </c>
      <c r="R547" s="80">
        <f t="shared" si="126"/>
        <v>20</v>
      </c>
      <c r="AD547"/>
      <c r="AH547" s="86" t="s">
        <v>5361</v>
      </c>
      <c r="AI547" s="86" t="s">
        <v>357</v>
      </c>
      <c r="AJ547" s="11" t="s">
        <v>160</v>
      </c>
      <c r="AK547" s="80" t="str">
        <f t="shared" si="127"/>
        <v>Wavefold Motorised Saber 240v Remote TrackMatt SatinStraight</v>
      </c>
      <c r="AL547" s="80" t="s">
        <v>274</v>
      </c>
      <c r="AM547" s="80" t="s">
        <v>120</v>
      </c>
      <c r="AN547" s="80">
        <v>0</v>
      </c>
      <c r="AO547" s="80" t="s">
        <v>181</v>
      </c>
    </row>
    <row r="548" spans="10:41" ht="16.2" customHeight="1">
      <c r="J548" s="80" t="s">
        <v>725</v>
      </c>
      <c r="K548" s="80" t="s">
        <v>606</v>
      </c>
      <c r="L548" s="80" t="s">
        <v>269</v>
      </c>
      <c r="M548" s="80" t="s">
        <v>403</v>
      </c>
      <c r="N548" t="str">
        <f t="shared" si="121"/>
        <v>SingleExisting Eyelot RodChromeN/A</v>
      </c>
      <c r="O548">
        <v>0</v>
      </c>
      <c r="P548">
        <v>20</v>
      </c>
      <c r="Q548" s="80">
        <v>-100</v>
      </c>
      <c r="R548" s="80">
        <f t="shared" si="126"/>
        <v>20</v>
      </c>
      <c r="AD548"/>
      <c r="AH548" s="86" t="s">
        <v>5361</v>
      </c>
      <c r="AI548" s="86" t="s">
        <v>191</v>
      </c>
      <c r="AJ548" s="11" t="s">
        <v>11556</v>
      </c>
      <c r="AK548" s="80" t="str">
        <f t="shared" si="127"/>
        <v>Wavefold Motorised Saber 240v Remote TrackWhiteBent</v>
      </c>
      <c r="AL548" s="80" t="s">
        <v>274</v>
      </c>
      <c r="AM548" s="80" t="s">
        <v>120</v>
      </c>
      <c r="AN548" s="80">
        <v>0</v>
      </c>
      <c r="AO548" s="80" t="s">
        <v>181</v>
      </c>
    </row>
    <row r="549" spans="10:41" ht="16.2" customHeight="1">
      <c r="J549" s="80" t="s">
        <v>746</v>
      </c>
      <c r="K549" s="80" t="s">
        <v>606</v>
      </c>
      <c r="L549" s="80" t="s">
        <v>225</v>
      </c>
      <c r="M549" s="80" t="s">
        <v>403</v>
      </c>
      <c r="N549" t="str">
        <f t="shared" si="121"/>
        <v>Double FrontExisting Eyelot RodGoldN/A</v>
      </c>
      <c r="O549">
        <v>0</v>
      </c>
      <c r="P549">
        <v>20</v>
      </c>
      <c r="Q549" s="80">
        <v>-100</v>
      </c>
      <c r="R549" s="80">
        <f t="shared" si="126"/>
        <v>20</v>
      </c>
      <c r="AD549"/>
      <c r="AH549" s="86" t="s">
        <v>5361</v>
      </c>
      <c r="AI549" s="86" t="s">
        <v>191</v>
      </c>
      <c r="AJ549" s="11" t="s">
        <v>160</v>
      </c>
      <c r="AK549" s="80" t="str">
        <f t="shared" si="127"/>
        <v>Wavefold Motorised Saber 240v Remote TrackWhiteStraight</v>
      </c>
      <c r="AL549" s="80" t="s">
        <v>274</v>
      </c>
      <c r="AM549" s="80" t="s">
        <v>120</v>
      </c>
      <c r="AN549" s="80">
        <v>0</v>
      </c>
      <c r="AO549" s="80" t="s">
        <v>181</v>
      </c>
    </row>
    <row r="550" spans="10:41" ht="16.2" customHeight="1">
      <c r="J550" s="80" t="s">
        <v>747</v>
      </c>
      <c r="K550" s="80" t="s">
        <v>606</v>
      </c>
      <c r="L550" s="80" t="s">
        <v>225</v>
      </c>
      <c r="M550" s="80" t="s">
        <v>403</v>
      </c>
      <c r="N550" t="str">
        <f t="shared" si="121"/>
        <v>Double RearExisting Eyelot RodGoldN/A</v>
      </c>
      <c r="O550">
        <v>0</v>
      </c>
      <c r="P550">
        <v>20</v>
      </c>
      <c r="Q550" s="80">
        <v>-100</v>
      </c>
      <c r="R550" s="80">
        <f t="shared" si="126"/>
        <v>20</v>
      </c>
      <c r="AD550"/>
      <c r="AH550" s="86" t="s">
        <v>5362</v>
      </c>
      <c r="AI550" s="86" t="s">
        <v>193</v>
      </c>
      <c r="AJ550" s="11" t="s">
        <v>11556</v>
      </c>
      <c r="AK550" s="80" t="str">
        <f t="shared" si="127"/>
        <v>Wavefold Motorised Saber 240v Switch TrackBlackBent</v>
      </c>
      <c r="AL550" s="80" t="s">
        <v>274</v>
      </c>
      <c r="AM550" s="80" t="s">
        <v>120</v>
      </c>
      <c r="AN550" s="80">
        <v>0</v>
      </c>
      <c r="AO550" s="80" t="s">
        <v>181</v>
      </c>
    </row>
    <row r="551" spans="10:41" ht="16.2" customHeight="1">
      <c r="J551" s="80" t="s">
        <v>725</v>
      </c>
      <c r="K551" s="80" t="s">
        <v>606</v>
      </c>
      <c r="L551" s="80" t="s">
        <v>225</v>
      </c>
      <c r="M551" s="80" t="s">
        <v>403</v>
      </c>
      <c r="N551" t="str">
        <f t="shared" si="121"/>
        <v>SingleExisting Eyelot RodGoldN/A</v>
      </c>
      <c r="O551">
        <v>0</v>
      </c>
      <c r="P551">
        <v>20</v>
      </c>
      <c r="Q551" s="80">
        <v>-100</v>
      </c>
      <c r="R551" s="80">
        <f t="shared" si="126"/>
        <v>20</v>
      </c>
      <c r="AD551"/>
      <c r="AH551" s="86" t="s">
        <v>5362</v>
      </c>
      <c r="AI551" s="86" t="s">
        <v>193</v>
      </c>
      <c r="AJ551" s="11" t="s">
        <v>160</v>
      </c>
      <c r="AK551" s="80" t="str">
        <f t="shared" si="127"/>
        <v>Wavefold Motorised Saber 240v Switch TrackBlackStraight</v>
      </c>
      <c r="AL551" s="80" t="s">
        <v>274</v>
      </c>
      <c r="AM551" s="80" t="s">
        <v>120</v>
      </c>
      <c r="AN551" s="80">
        <v>0</v>
      </c>
      <c r="AO551" s="80" t="s">
        <v>181</v>
      </c>
    </row>
    <row r="552" spans="10:41" ht="16.2" customHeight="1">
      <c r="J552" s="80" t="s">
        <v>746</v>
      </c>
      <c r="K552" s="80" t="s">
        <v>606</v>
      </c>
      <c r="L552" s="80" t="s">
        <v>268</v>
      </c>
      <c r="M552" s="80" t="s">
        <v>403</v>
      </c>
      <c r="N552" t="str">
        <f t="shared" si="121"/>
        <v>Double FrontExisting Eyelot RodMatt SilverN/A</v>
      </c>
      <c r="O552">
        <v>0</v>
      </c>
      <c r="P552">
        <v>20</v>
      </c>
      <c r="Q552" s="80">
        <v>-100</v>
      </c>
      <c r="R552" s="80">
        <f t="shared" si="126"/>
        <v>20</v>
      </c>
      <c r="AD552"/>
      <c r="AH552" s="86" t="s">
        <v>5362</v>
      </c>
      <c r="AI552" s="86" t="s">
        <v>357</v>
      </c>
      <c r="AJ552" s="11" t="s">
        <v>11556</v>
      </c>
      <c r="AK552" s="80" t="str">
        <f t="shared" si="128" ref="AK552:AK559">CONCATENATE(AH552,AI552,AJ552)</f>
        <v>Wavefold Motorised Saber 240v Switch TrackMatt SatinBent</v>
      </c>
      <c r="AL552" s="80" t="s">
        <v>274</v>
      </c>
      <c r="AM552" s="80" t="s">
        <v>120</v>
      </c>
      <c r="AN552" s="80">
        <v>0</v>
      </c>
      <c r="AO552" s="80" t="s">
        <v>181</v>
      </c>
    </row>
    <row r="553" spans="10:41" ht="16.2" customHeight="1">
      <c r="J553" s="80" t="s">
        <v>747</v>
      </c>
      <c r="K553" s="80" t="s">
        <v>606</v>
      </c>
      <c r="L553" s="80" t="s">
        <v>268</v>
      </c>
      <c r="M553" s="80" t="s">
        <v>403</v>
      </c>
      <c r="N553" t="str">
        <f t="shared" si="121"/>
        <v>Double RearExisting Eyelot RodMatt SilverN/A</v>
      </c>
      <c r="O553">
        <v>0</v>
      </c>
      <c r="P553">
        <v>20</v>
      </c>
      <c r="Q553" s="80">
        <v>-100</v>
      </c>
      <c r="R553" s="80">
        <f t="shared" si="126"/>
        <v>20</v>
      </c>
      <c r="AD553"/>
      <c r="AH553" s="86" t="s">
        <v>5362</v>
      </c>
      <c r="AI553" s="86" t="s">
        <v>357</v>
      </c>
      <c r="AJ553" s="11" t="s">
        <v>160</v>
      </c>
      <c r="AK553" s="80" t="str">
        <f t="shared" si="128"/>
        <v>Wavefold Motorised Saber 240v Switch TrackMatt SatinStraight</v>
      </c>
      <c r="AL553" s="80" t="s">
        <v>274</v>
      </c>
      <c r="AM553" s="80" t="s">
        <v>120</v>
      </c>
      <c r="AN553" s="80">
        <v>0</v>
      </c>
      <c r="AO553" s="80" t="s">
        <v>181</v>
      </c>
    </row>
    <row r="554" spans="10:41" ht="16.2" customHeight="1">
      <c r="J554" s="80" t="s">
        <v>725</v>
      </c>
      <c r="K554" s="80" t="s">
        <v>606</v>
      </c>
      <c r="L554" s="80" t="s">
        <v>268</v>
      </c>
      <c r="M554" s="80" t="s">
        <v>403</v>
      </c>
      <c r="N554" t="str">
        <f t="shared" si="121"/>
        <v>SingleExisting Eyelot RodMatt SilverN/A</v>
      </c>
      <c r="O554">
        <v>0</v>
      </c>
      <c r="P554">
        <v>20</v>
      </c>
      <c r="Q554" s="80">
        <v>-100</v>
      </c>
      <c r="R554" s="80">
        <f t="shared" si="126"/>
        <v>20</v>
      </c>
      <c r="AD554"/>
      <c r="AH554" s="86" t="s">
        <v>5362</v>
      </c>
      <c r="AI554" s="86" t="s">
        <v>191</v>
      </c>
      <c r="AJ554" s="11" t="s">
        <v>11556</v>
      </c>
      <c r="AK554" s="80" t="str">
        <f t="shared" si="128"/>
        <v>Wavefold Motorised Saber 240v Switch TrackWhiteBent</v>
      </c>
      <c r="AL554" s="80" t="s">
        <v>274</v>
      </c>
      <c r="AM554" s="80" t="s">
        <v>120</v>
      </c>
      <c r="AN554" s="80">
        <v>0</v>
      </c>
      <c r="AO554" s="80" t="s">
        <v>181</v>
      </c>
    </row>
    <row r="555" spans="10:41" ht="16.2" customHeight="1">
      <c r="J555" s="80" t="s">
        <v>746</v>
      </c>
      <c r="K555" s="80" t="s">
        <v>608</v>
      </c>
      <c r="L555" t="s">
        <v>183</v>
      </c>
      <c r="M555" s="80" t="s">
        <v>403</v>
      </c>
      <c r="N555" t="str">
        <f t="shared" si="121"/>
        <v>Double FrontExisting Hospital TrackBelow Normal 2075N/A</v>
      </c>
      <c r="O555">
        <v>70</v>
      </c>
      <c r="P555">
        <v>37</v>
      </c>
      <c r="Q555" s="80">
        <v>0</v>
      </c>
      <c r="R555" s="80">
        <f t="shared" si="126"/>
        <v>-33</v>
      </c>
      <c r="AD555"/>
      <c r="AH555" s="86" t="s">
        <v>5362</v>
      </c>
      <c r="AI555" s="86" t="s">
        <v>191</v>
      </c>
      <c r="AJ555" s="11" t="s">
        <v>160</v>
      </c>
      <c r="AK555" s="80" t="str">
        <f t="shared" si="128"/>
        <v>Wavefold Motorised Saber 240v Switch TrackWhiteStraight</v>
      </c>
      <c r="AL555" s="80" t="s">
        <v>274</v>
      </c>
      <c r="AM555" s="80" t="s">
        <v>120</v>
      </c>
      <c r="AN555" s="80">
        <v>0</v>
      </c>
      <c r="AO555" s="80" t="s">
        <v>181</v>
      </c>
    </row>
    <row r="556" spans="10:41" ht="16.2" customHeight="1">
      <c r="J556" s="80" t="s">
        <v>747</v>
      </c>
      <c r="K556" s="80" t="s">
        <v>608</v>
      </c>
      <c r="L556" t="s">
        <v>183</v>
      </c>
      <c r="M556" s="80" t="s">
        <v>403</v>
      </c>
      <c r="N556" t="str">
        <f t="shared" si="121"/>
        <v>Double RearExisting Hospital TrackBelow Normal 2075N/A</v>
      </c>
      <c r="O556">
        <v>83</v>
      </c>
      <c r="P556">
        <v>37</v>
      </c>
      <c r="Q556" s="80">
        <v>0</v>
      </c>
      <c r="R556" s="80">
        <f t="shared" si="126"/>
        <v>-46</v>
      </c>
      <c r="AD556"/>
      <c r="AH556" s="86" t="s">
        <v>5453</v>
      </c>
      <c r="AI556" s="11" t="s">
        <v>191</v>
      </c>
      <c r="AJ556" s="11" t="s">
        <v>11556</v>
      </c>
      <c r="AK556" s="80" t="str">
        <f t="shared" si="128"/>
        <v>Wavefold Motorised Somfy 12v Remote Curtain TrackWhiteBent</v>
      </c>
      <c r="AL556" s="80" t="s">
        <v>7431</v>
      </c>
      <c r="AM556" s="80" t="s">
        <v>120</v>
      </c>
      <c r="AN556" s="80">
        <v>0</v>
      </c>
      <c r="AO556" s="80" t="s">
        <v>181</v>
      </c>
    </row>
    <row r="557" spans="10:41" ht="16.2" customHeight="1">
      <c r="J557" s="80" t="s">
        <v>725</v>
      </c>
      <c r="K557" s="80" t="s">
        <v>608</v>
      </c>
      <c r="L557" t="s">
        <v>183</v>
      </c>
      <c r="M557" s="80" t="s">
        <v>403</v>
      </c>
      <c r="N557" t="str">
        <f t="shared" si="121"/>
        <v>SingleExisting Hospital TrackBelow Normal 2075N/A</v>
      </c>
      <c r="O557">
        <v>70</v>
      </c>
      <c r="P557">
        <v>37</v>
      </c>
      <c r="Q557" s="80">
        <v>0</v>
      </c>
      <c r="R557" s="80">
        <f t="shared" si="126"/>
        <v>-33</v>
      </c>
      <c r="AD557"/>
      <c r="AH557" s="86" t="s">
        <v>5453</v>
      </c>
      <c r="AI557" s="11" t="s">
        <v>191</v>
      </c>
      <c r="AJ557" s="11" t="s">
        <v>160</v>
      </c>
      <c r="AK557" s="80" t="str">
        <f t="shared" si="128"/>
        <v>Wavefold Motorised Somfy 12v Remote Curtain TrackWhiteStraight</v>
      </c>
      <c r="AL557" s="80" t="s">
        <v>7431</v>
      </c>
      <c r="AM557" s="80" t="s">
        <v>120</v>
      </c>
      <c r="AN557" s="80">
        <v>0</v>
      </c>
      <c r="AO557" s="80" t="s">
        <v>181</v>
      </c>
    </row>
    <row r="558" spans="10:41" ht="16.2" customHeight="1">
      <c r="J558" s="80" t="s">
        <v>746</v>
      </c>
      <c r="K558" s="80" t="s">
        <v>608</v>
      </c>
      <c r="L558" t="s">
        <v>182</v>
      </c>
      <c r="M558" s="80" t="s">
        <v>403</v>
      </c>
      <c r="N558" t="str">
        <f t="shared" si="121"/>
        <v>Double FrontExisting Hospital TrackBetween Level and Normal 2073N/A</v>
      </c>
      <c r="O558">
        <v>48</v>
      </c>
      <c r="P558">
        <v>37</v>
      </c>
      <c r="Q558" s="80">
        <v>0</v>
      </c>
      <c r="R558" s="80">
        <f t="shared" si="126"/>
        <v>-11</v>
      </c>
      <c r="AD558"/>
      <c r="AH558" s="86" t="s">
        <v>5452</v>
      </c>
      <c r="AI558" s="11" t="s">
        <v>191</v>
      </c>
      <c r="AJ558" s="11" t="s">
        <v>11556</v>
      </c>
      <c r="AK558" s="80" t="str">
        <f t="shared" si="128"/>
        <v>Wavefold Motorised Somfy 240v Remote Curtain TrackWhiteBent</v>
      </c>
      <c r="AL558" s="80" t="s">
        <v>7431</v>
      </c>
      <c r="AM558" s="80" t="s">
        <v>120</v>
      </c>
      <c r="AN558" s="80">
        <v>0</v>
      </c>
      <c r="AO558" s="80" t="s">
        <v>181</v>
      </c>
    </row>
    <row r="559" spans="10:41" ht="16.2" customHeight="1">
      <c r="J559" s="80" t="s">
        <v>747</v>
      </c>
      <c r="K559" s="80" t="s">
        <v>608</v>
      </c>
      <c r="L559" t="s">
        <v>182</v>
      </c>
      <c r="M559" s="80" t="s">
        <v>403</v>
      </c>
      <c r="N559" t="str">
        <f t="shared" si="121"/>
        <v>Double RearExisting Hospital TrackBetween Level and Normal 2073N/A</v>
      </c>
      <c r="O559">
        <v>53</v>
      </c>
      <c r="P559">
        <v>37</v>
      </c>
      <c r="Q559" s="80">
        <v>0</v>
      </c>
      <c r="R559" s="80">
        <f t="shared" si="126"/>
        <v>-16</v>
      </c>
      <c r="AD559"/>
      <c r="AH559" s="86" t="s">
        <v>5452</v>
      </c>
      <c r="AI559" s="11" t="s">
        <v>191</v>
      </c>
      <c r="AJ559" s="11" t="s">
        <v>160</v>
      </c>
      <c r="AK559" s="80" t="str">
        <f t="shared" si="128"/>
        <v>Wavefold Motorised Somfy 240v Remote Curtain TrackWhiteStraight</v>
      </c>
      <c r="AL559" s="80" t="s">
        <v>7431</v>
      </c>
      <c r="AM559" s="80" t="s">
        <v>120</v>
      </c>
      <c r="AN559" s="80">
        <v>0</v>
      </c>
      <c r="AO559" s="80" t="s">
        <v>181</v>
      </c>
    </row>
    <row r="560" spans="10:41" ht="16.2" customHeight="1">
      <c r="J560" s="80" t="s">
        <v>725</v>
      </c>
      <c r="K560" s="80" t="s">
        <v>608</v>
      </c>
      <c r="L560" t="s">
        <v>182</v>
      </c>
      <c r="M560" s="80" t="s">
        <v>403</v>
      </c>
      <c r="N560" t="str">
        <f t="shared" si="121"/>
        <v>SingleExisting Hospital TrackBetween Level and Normal 2073N/A</v>
      </c>
      <c r="O560">
        <v>47</v>
      </c>
      <c r="P560">
        <v>37</v>
      </c>
      <c r="Q560" s="80">
        <v>0</v>
      </c>
      <c r="R560" s="80">
        <f t="shared" si="126"/>
        <v>-10</v>
      </c>
      <c r="AD560"/>
      <c r="AH560" s="86" t="s">
        <v>5454</v>
      </c>
      <c r="AI560" s="11" t="s">
        <v>191</v>
      </c>
      <c r="AJ560" s="11" t="s">
        <v>11556</v>
      </c>
      <c r="AK560" s="80" t="str">
        <f t="shared" si="129" ref="AK560:AK561">CONCATENATE(AH560,AI560,AJ560)</f>
        <v>Wavefold Motorised Somfy 240v Switch Curtain TrackWhiteBent</v>
      </c>
      <c r="AL560" s="80" t="s">
        <v>7431</v>
      </c>
      <c r="AM560" s="80" t="s">
        <v>120</v>
      </c>
      <c r="AN560" s="80">
        <v>0</v>
      </c>
      <c r="AO560" s="80" t="s">
        <v>181</v>
      </c>
    </row>
    <row r="561" spans="10:41" ht="16.2" customHeight="1">
      <c r="J561" s="80" t="s">
        <v>746</v>
      </c>
      <c r="K561" s="80" t="s">
        <v>608</v>
      </c>
      <c r="L561" t="s">
        <v>184</v>
      </c>
      <c r="M561" s="80" t="s">
        <v>403</v>
      </c>
      <c r="N561" t="str">
        <f t="shared" si="121"/>
        <v>Double FrontExisting Hospital TrackDecorator 2071N/A</v>
      </c>
      <c r="O561">
        <v>20</v>
      </c>
      <c r="P561">
        <v>37</v>
      </c>
      <c r="Q561" s="80">
        <v>0</v>
      </c>
      <c r="R561" s="80">
        <f t="shared" si="126"/>
        <v>17</v>
      </c>
      <c r="AD561"/>
      <c r="AH561" s="86" t="s">
        <v>5454</v>
      </c>
      <c r="AI561" s="11" t="s">
        <v>191</v>
      </c>
      <c r="AJ561" s="11" t="s">
        <v>160</v>
      </c>
      <c r="AK561" s="80" t="str">
        <f t="shared" si="129"/>
        <v>Wavefold Motorised Somfy 240v Switch Curtain TrackWhiteStraight</v>
      </c>
      <c r="AL561" s="80" t="s">
        <v>7431</v>
      </c>
      <c r="AM561" s="80" t="s">
        <v>120</v>
      </c>
      <c r="AN561" s="80">
        <v>0</v>
      </c>
      <c r="AO561" s="80" t="s">
        <v>181</v>
      </c>
    </row>
    <row r="562" spans="10:30" ht="16.2" customHeight="1">
      <c r="J562" s="80" t="s">
        <v>747</v>
      </c>
      <c r="K562" s="80" t="s">
        <v>608</v>
      </c>
      <c r="L562" t="s">
        <v>184</v>
      </c>
      <c r="M562" s="80" t="s">
        <v>403</v>
      </c>
      <c r="N562" t="str">
        <f t="shared" si="121"/>
        <v>Double RearExisting Hospital TrackDecorator 2071N/A</v>
      </c>
      <c r="O562">
        <v>20</v>
      </c>
      <c r="P562">
        <v>37</v>
      </c>
      <c r="Q562" s="80">
        <v>0</v>
      </c>
      <c r="R562" s="80">
        <f t="shared" si="126"/>
        <v>17</v>
      </c>
      <c r="AD562"/>
    </row>
    <row r="563" spans="10:30" ht="16.2" customHeight="1">
      <c r="J563" s="80" t="s">
        <v>725</v>
      </c>
      <c r="K563" s="80" t="s">
        <v>608</v>
      </c>
      <c r="L563" t="s">
        <v>184</v>
      </c>
      <c r="M563" s="80" t="s">
        <v>403</v>
      </c>
      <c r="N563" t="str">
        <f t="shared" si="121"/>
        <v>SingleExisting Hospital TrackDecorator 2071N/A</v>
      </c>
      <c r="O563">
        <v>20</v>
      </c>
      <c r="P563">
        <v>37</v>
      </c>
      <c r="Q563" s="80">
        <v>0</v>
      </c>
      <c r="R563" s="80">
        <f t="shared" si="126"/>
        <v>17</v>
      </c>
      <c r="AD563"/>
    </row>
    <row r="564" spans="10:30" ht="16.2" customHeight="1">
      <c r="J564" s="80" t="s">
        <v>746</v>
      </c>
      <c r="K564" s="80" t="s">
        <v>608</v>
      </c>
      <c r="L564" t="s">
        <v>6468</v>
      </c>
      <c r="M564" s="80" t="s">
        <v>403</v>
      </c>
      <c r="N564" t="str">
        <f t="shared" si="121"/>
        <v>Double FrontExisting Hospital TrackGather Hook Bottom PocketN/A</v>
      </c>
      <c r="O564">
        <v>60</v>
      </c>
      <c r="P564">
        <v>37</v>
      </c>
      <c r="Q564" s="80">
        <v>0</v>
      </c>
      <c r="R564" s="80">
        <f t="shared" si="126"/>
        <v>-23</v>
      </c>
      <c r="AD564"/>
    </row>
    <row r="565" spans="10:30" ht="16.2" customHeight="1">
      <c r="J565" s="80" t="s">
        <v>725</v>
      </c>
      <c r="K565" s="80" t="s">
        <v>608</v>
      </c>
      <c r="L565" t="s">
        <v>6468</v>
      </c>
      <c r="M565" s="80" t="s">
        <v>403</v>
      </c>
      <c r="N565" t="str">
        <f t="shared" si="121"/>
        <v>SingleExisting Hospital TrackGather Hook Bottom PocketN/A</v>
      </c>
      <c r="O565">
        <v>60</v>
      </c>
      <c r="P565">
        <v>37</v>
      </c>
      <c r="Q565" s="80">
        <v>0</v>
      </c>
      <c r="R565" s="80">
        <f t="shared" si="126"/>
        <v>-23</v>
      </c>
      <c r="AD565"/>
    </row>
    <row r="566" spans="10:30" ht="16.2" customHeight="1">
      <c r="J566" s="80" t="s">
        <v>746</v>
      </c>
      <c r="K566" s="80" t="s">
        <v>608</v>
      </c>
      <c r="L566" t="s">
        <v>229</v>
      </c>
      <c r="M566" s="80" t="s">
        <v>403</v>
      </c>
      <c r="N566" t="str">
        <f t="shared" si="121"/>
        <v>Double FrontExisting Hospital TrackGather Hook LevelN/A</v>
      </c>
      <c r="O566">
        <v>20</v>
      </c>
      <c r="P566">
        <v>37</v>
      </c>
      <c r="Q566" s="80">
        <v>0</v>
      </c>
      <c r="R566" s="80">
        <f t="shared" si="126"/>
        <v>17</v>
      </c>
      <c r="AD566"/>
    </row>
    <row r="567" spans="10:30" ht="16.2" customHeight="1">
      <c r="J567" s="80" t="s">
        <v>747</v>
      </c>
      <c r="K567" s="80" t="s">
        <v>608</v>
      </c>
      <c r="L567" t="s">
        <v>229</v>
      </c>
      <c r="M567" s="80" t="s">
        <v>403</v>
      </c>
      <c r="N567" t="str">
        <f t="shared" si="121"/>
        <v>Double RearExisting Hospital TrackGather Hook LevelN/A</v>
      </c>
      <c r="O567">
        <v>20</v>
      </c>
      <c r="P567">
        <v>37</v>
      </c>
      <c r="Q567" s="80">
        <v>0</v>
      </c>
      <c r="R567" s="80">
        <f t="shared" si="126"/>
        <v>17</v>
      </c>
      <c r="AD567"/>
    </row>
    <row r="568" spans="10:30" ht="16.2" customHeight="1">
      <c r="J568" s="80" t="s">
        <v>725</v>
      </c>
      <c r="K568" s="80" t="s">
        <v>608</v>
      </c>
      <c r="L568" t="s">
        <v>229</v>
      </c>
      <c r="M568" s="80" t="s">
        <v>403</v>
      </c>
      <c r="N568" t="str">
        <f t="shared" si="121"/>
        <v>SingleExisting Hospital TrackGather Hook LevelN/A</v>
      </c>
      <c r="O568">
        <v>20</v>
      </c>
      <c r="P568">
        <v>37</v>
      </c>
      <c r="Q568" s="80">
        <v>0</v>
      </c>
      <c r="R568" s="80">
        <f t="shared" si="126"/>
        <v>17</v>
      </c>
      <c r="AD568"/>
    </row>
    <row r="569" spans="10:30" ht="16.2" customHeight="1">
      <c r="J569" s="80" t="s">
        <v>746</v>
      </c>
      <c r="K569" s="80" t="s">
        <v>608</v>
      </c>
      <c r="L569" t="s">
        <v>228</v>
      </c>
      <c r="M569" s="80" t="s">
        <v>403</v>
      </c>
      <c r="N569" t="str">
        <f t="shared" si="121"/>
        <v>Double FrontExisting Hospital TrackGather Hook NormalN/A</v>
      </c>
      <c r="O569">
        <v>43</v>
      </c>
      <c r="P569">
        <v>37</v>
      </c>
      <c r="Q569" s="80">
        <v>0</v>
      </c>
      <c r="R569" s="80">
        <f t="shared" si="126"/>
        <v>-6</v>
      </c>
      <c r="AD569"/>
    </row>
    <row r="570" spans="10:30" ht="16.2" customHeight="1">
      <c r="J570" s="80" t="s">
        <v>747</v>
      </c>
      <c r="K570" s="80" t="s">
        <v>608</v>
      </c>
      <c r="L570" t="s">
        <v>228</v>
      </c>
      <c r="M570" s="80" t="s">
        <v>403</v>
      </c>
      <c r="N570" t="str">
        <f t="shared" si="121"/>
        <v>Double RearExisting Hospital TrackGather Hook NormalN/A</v>
      </c>
      <c r="O570">
        <v>43</v>
      </c>
      <c r="P570">
        <v>37</v>
      </c>
      <c r="Q570" s="80">
        <v>0</v>
      </c>
      <c r="R570" s="80">
        <f t="shared" si="126"/>
        <v>-6</v>
      </c>
      <c r="AD570"/>
    </row>
    <row r="571" spans="10:30" ht="16.2" customHeight="1">
      <c r="J571" s="80" t="s">
        <v>725</v>
      </c>
      <c r="K571" s="80" t="s">
        <v>608</v>
      </c>
      <c r="L571" t="s">
        <v>228</v>
      </c>
      <c r="M571" s="80" t="s">
        <v>403</v>
      </c>
      <c r="N571" t="str">
        <f t="shared" si="121"/>
        <v>SingleExisting Hospital TrackGather Hook NormalN/A</v>
      </c>
      <c r="O571">
        <v>43</v>
      </c>
      <c r="P571">
        <v>37</v>
      </c>
      <c r="Q571" s="80">
        <v>0</v>
      </c>
      <c r="R571" s="80">
        <f t="shared" si="126"/>
        <v>-6</v>
      </c>
      <c r="AD571"/>
    </row>
    <row r="572" spans="10:30" ht="16.2" customHeight="1">
      <c r="J572" s="80" t="s">
        <v>746</v>
      </c>
      <c r="K572" s="80" t="s">
        <v>608</v>
      </c>
      <c r="L572" t="s">
        <v>282</v>
      </c>
      <c r="M572" s="80" t="s">
        <v>403</v>
      </c>
      <c r="N572" t="str">
        <f t="shared" si="121"/>
        <v>Double FrontExisting Hospital TrackLevel 2072N/A</v>
      </c>
      <c r="O572">
        <v>38</v>
      </c>
      <c r="P572">
        <v>37</v>
      </c>
      <c r="Q572" s="80">
        <v>0</v>
      </c>
      <c r="R572" s="80">
        <f t="shared" si="126"/>
        <v>-1</v>
      </c>
      <c r="AD572"/>
    </row>
    <row r="573" spans="10:30" ht="16.2" customHeight="1">
      <c r="J573" s="80" t="s">
        <v>747</v>
      </c>
      <c r="K573" s="80" t="s">
        <v>608</v>
      </c>
      <c r="L573" t="s">
        <v>282</v>
      </c>
      <c r="M573" s="80" t="s">
        <v>403</v>
      </c>
      <c r="N573" t="str">
        <f t="shared" si="121"/>
        <v>Double RearExisting Hospital TrackLevel 2072N/A</v>
      </c>
      <c r="O573">
        <v>48</v>
      </c>
      <c r="P573">
        <v>37</v>
      </c>
      <c r="Q573" s="80">
        <v>0</v>
      </c>
      <c r="R573" s="80">
        <f t="shared" si="126"/>
        <v>-11</v>
      </c>
      <c r="AD573"/>
    </row>
    <row r="574" spans="10:30" ht="16.2" customHeight="1">
      <c r="J574" s="80" t="s">
        <v>725</v>
      </c>
      <c r="K574" s="80" t="s">
        <v>608</v>
      </c>
      <c r="L574" t="s">
        <v>282</v>
      </c>
      <c r="M574" s="80" t="s">
        <v>403</v>
      </c>
      <c r="N574" t="str">
        <f t="shared" si="121"/>
        <v>SingleExisting Hospital TrackLevel 2072N/A</v>
      </c>
      <c r="O574">
        <v>35</v>
      </c>
      <c r="P574">
        <v>37</v>
      </c>
      <c r="Q574" s="80">
        <v>0</v>
      </c>
      <c r="R574" s="80">
        <f t="shared" si="126"/>
        <v>2</v>
      </c>
      <c r="AD574"/>
    </row>
    <row r="575" spans="10:30" ht="16.2" customHeight="1">
      <c r="J575" s="80" t="s">
        <v>746</v>
      </c>
      <c r="K575" s="80" t="s">
        <v>608</v>
      </c>
      <c r="L575" t="s">
        <v>185</v>
      </c>
      <c r="M575" s="80" t="s">
        <v>403</v>
      </c>
      <c r="N575" t="str">
        <f t="shared" si="121"/>
        <v>Double FrontExisting Hospital TrackNo HooksN/A</v>
      </c>
      <c r="O575">
        <v>60</v>
      </c>
      <c r="P575">
        <v>37</v>
      </c>
      <c r="Q575" s="80">
        <v>0</v>
      </c>
      <c r="R575" s="80">
        <f t="shared" si="126"/>
        <v>-23</v>
      </c>
      <c r="AD575"/>
    </row>
    <row r="576" spans="10:30" ht="16.2" customHeight="1">
      <c r="J576" s="80" t="s">
        <v>747</v>
      </c>
      <c r="K576" s="80" t="s">
        <v>608</v>
      </c>
      <c r="L576" t="s">
        <v>185</v>
      </c>
      <c r="M576" s="80" t="s">
        <v>403</v>
      </c>
      <c r="N576" t="str">
        <f t="shared" si="121"/>
        <v>Double RearExisting Hospital TrackNo HooksN/A</v>
      </c>
      <c r="O576">
        <v>73</v>
      </c>
      <c r="P576">
        <v>37</v>
      </c>
      <c r="Q576" s="80">
        <v>0</v>
      </c>
      <c r="R576" s="80">
        <f t="shared" si="126"/>
        <v>-36</v>
      </c>
      <c r="AD576"/>
    </row>
    <row r="577" spans="10:30" ht="16.2" customHeight="1">
      <c r="J577" s="80" t="s">
        <v>725</v>
      </c>
      <c r="K577" s="80" t="s">
        <v>608</v>
      </c>
      <c r="L577" t="s">
        <v>185</v>
      </c>
      <c r="M577" s="80" t="s">
        <v>403</v>
      </c>
      <c r="N577" t="str">
        <f t="shared" si="121"/>
        <v>SingleExisting Hospital TrackNo HooksN/A</v>
      </c>
      <c r="O577">
        <v>60</v>
      </c>
      <c r="P577">
        <v>37</v>
      </c>
      <c r="Q577" s="80">
        <v>0</v>
      </c>
      <c r="R577" s="80">
        <f t="shared" si="126"/>
        <v>-23</v>
      </c>
      <c r="AD577"/>
    </row>
    <row r="578" spans="10:30" ht="16.2" customHeight="1">
      <c r="J578" s="80" t="s">
        <v>746</v>
      </c>
      <c r="K578" s="80" t="s">
        <v>608</v>
      </c>
      <c r="L578" t="s">
        <v>170</v>
      </c>
      <c r="M578" s="80" t="s">
        <v>403</v>
      </c>
      <c r="N578" t="str">
        <f t="shared" si="130" ref="N578:N641">(CONCATENATE(J578,K578,L578,M578))</f>
        <v>Double FrontExisting Hospital TrackNormal 2074N/A</v>
      </c>
      <c r="O578">
        <v>48</v>
      </c>
      <c r="P578">
        <v>37</v>
      </c>
      <c r="Q578" s="80">
        <v>0</v>
      </c>
      <c r="R578" s="80">
        <f t="shared" si="126"/>
        <v>-11</v>
      </c>
      <c r="AD578"/>
    </row>
    <row r="579" spans="10:30" ht="16.2" customHeight="1">
      <c r="J579" s="80" t="s">
        <v>747</v>
      </c>
      <c r="K579" s="80" t="s">
        <v>608</v>
      </c>
      <c r="L579" t="s">
        <v>170</v>
      </c>
      <c r="M579" s="80" t="s">
        <v>403</v>
      </c>
      <c r="N579" t="str">
        <f t="shared" si="130"/>
        <v>Double RearExisting Hospital TrackNormal 2074N/A</v>
      </c>
      <c r="O579">
        <v>33</v>
      </c>
      <c r="P579">
        <v>37</v>
      </c>
      <c r="Q579" s="80">
        <v>0</v>
      </c>
      <c r="R579" s="80">
        <f t="shared" si="126"/>
        <v>4</v>
      </c>
      <c r="AD579"/>
    </row>
    <row r="580" spans="10:30" ht="16.2" customHeight="1">
      <c r="J580" s="80" t="s">
        <v>725</v>
      </c>
      <c r="K580" s="80" t="s">
        <v>608</v>
      </c>
      <c r="L580" t="s">
        <v>170</v>
      </c>
      <c r="M580" s="80" t="s">
        <v>403</v>
      </c>
      <c r="N580" t="str">
        <f t="shared" si="130"/>
        <v>SingleExisting Hospital TrackNormal 2074N/A</v>
      </c>
      <c r="O580">
        <v>60</v>
      </c>
      <c r="P580">
        <v>37</v>
      </c>
      <c r="Q580" s="80">
        <v>0</v>
      </c>
      <c r="R580" s="80">
        <f t="shared" si="126"/>
        <v>-23</v>
      </c>
      <c r="AD580"/>
    </row>
    <row r="581" spans="10:30" ht="16.2" customHeight="1">
      <c r="J581" s="80" t="s">
        <v>746</v>
      </c>
      <c r="K581" s="80" t="s">
        <v>7201</v>
      </c>
      <c r="L581" t="s">
        <v>185</v>
      </c>
      <c r="M581" s="80" t="s">
        <v>403</v>
      </c>
      <c r="N581" t="str">
        <f t="shared" si="130"/>
        <v>Double FrontExisting Motorised S-Fold TrackNo HooksN/A</v>
      </c>
      <c r="O581">
        <v>47</v>
      </c>
      <c r="P581">
        <v>0</v>
      </c>
      <c r="Q581" s="80">
        <v>47</v>
      </c>
      <c r="R581" s="80">
        <f t="shared" si="126"/>
        <v>-47</v>
      </c>
      <c r="AD581"/>
    </row>
    <row r="582" spans="10:30" ht="16.2" customHeight="1">
      <c r="J582" s="80" t="s">
        <v>747</v>
      </c>
      <c r="K582" s="80" t="s">
        <v>7201</v>
      </c>
      <c r="L582" t="s">
        <v>185</v>
      </c>
      <c r="M582" s="80" t="s">
        <v>403</v>
      </c>
      <c r="N582" t="str">
        <f t="shared" si="130"/>
        <v>Double RearExisting Motorised S-Fold TrackNo HooksN/A</v>
      </c>
      <c r="O582">
        <v>47</v>
      </c>
      <c r="P582">
        <v>0</v>
      </c>
      <c r="Q582" s="80">
        <v>47</v>
      </c>
      <c r="R582" s="80">
        <f t="shared" si="126"/>
        <v>-47</v>
      </c>
      <c r="AD582"/>
    </row>
    <row r="583" spans="10:30" ht="16.2" customHeight="1">
      <c r="J583" s="80" t="s">
        <v>725</v>
      </c>
      <c r="K583" s="80" t="s">
        <v>7201</v>
      </c>
      <c r="L583" t="s">
        <v>185</v>
      </c>
      <c r="M583" s="80" t="s">
        <v>403</v>
      </c>
      <c r="N583" t="str">
        <f t="shared" si="130"/>
        <v>SingleExisting Motorised S-Fold TrackNo HooksN/A</v>
      </c>
      <c r="O583">
        <v>47</v>
      </c>
      <c r="P583">
        <v>0</v>
      </c>
      <c r="Q583" s="80">
        <v>47</v>
      </c>
      <c r="R583" s="80">
        <f t="shared" si="126"/>
        <v>-47</v>
      </c>
      <c r="AD583"/>
    </row>
    <row r="584" spans="10:30" ht="16.2" customHeight="1">
      <c r="J584" s="80" t="s">
        <v>746</v>
      </c>
      <c r="K584" s="80" t="s">
        <v>7202</v>
      </c>
      <c r="L584" t="s">
        <v>183</v>
      </c>
      <c r="M584" s="80" t="s">
        <v>403</v>
      </c>
      <c r="N584" t="str">
        <f t="shared" si="130"/>
        <v>Double FrontExisting Motorised TrackBelow Normal 2075N/A</v>
      </c>
      <c r="O584">
        <v>70</v>
      </c>
      <c r="P584">
        <v>55</v>
      </c>
      <c r="Q584" s="80">
        <v>0</v>
      </c>
      <c r="R584" s="80">
        <f t="shared" si="126"/>
        <v>-15</v>
      </c>
      <c r="AD584"/>
    </row>
    <row r="585" spans="10:30" ht="16.2" customHeight="1">
      <c r="J585" s="80" t="s">
        <v>747</v>
      </c>
      <c r="K585" s="80" t="s">
        <v>7202</v>
      </c>
      <c r="L585" t="s">
        <v>183</v>
      </c>
      <c r="M585" s="80" t="s">
        <v>403</v>
      </c>
      <c r="N585" t="str">
        <f t="shared" si="130"/>
        <v>Double RearExisting Motorised TrackBelow Normal 2075N/A</v>
      </c>
      <c r="O585">
        <v>70</v>
      </c>
      <c r="P585">
        <v>55</v>
      </c>
      <c r="Q585" s="80">
        <v>0</v>
      </c>
      <c r="R585" s="80">
        <f t="shared" si="126"/>
        <v>-15</v>
      </c>
      <c r="AD585"/>
    </row>
    <row r="586" spans="10:30" ht="16.2" customHeight="1">
      <c r="J586" s="80" t="s">
        <v>725</v>
      </c>
      <c r="K586" s="80" t="s">
        <v>7202</v>
      </c>
      <c r="L586" t="s">
        <v>183</v>
      </c>
      <c r="M586" s="80" t="s">
        <v>403</v>
      </c>
      <c r="N586" t="str">
        <f t="shared" si="130"/>
        <v>SingleExisting Motorised TrackBelow Normal 2075N/A</v>
      </c>
      <c r="O586">
        <v>70</v>
      </c>
      <c r="P586">
        <v>55</v>
      </c>
      <c r="Q586" s="80">
        <v>0</v>
      </c>
      <c r="R586" s="80">
        <f t="shared" si="126"/>
        <v>-15</v>
      </c>
      <c r="AD586"/>
    </row>
    <row r="587" spans="10:30" ht="16.2" customHeight="1">
      <c r="J587" s="80" t="s">
        <v>746</v>
      </c>
      <c r="K587" s="80" t="s">
        <v>7202</v>
      </c>
      <c r="L587" t="s">
        <v>182</v>
      </c>
      <c r="M587" s="80" t="s">
        <v>403</v>
      </c>
      <c r="N587" t="str">
        <f t="shared" si="130"/>
        <v>Double FrontExisting Motorised TrackBetween Level and Normal 2073N/A</v>
      </c>
      <c r="O587">
        <v>48</v>
      </c>
      <c r="P587">
        <v>55</v>
      </c>
      <c r="Q587" s="80">
        <v>0</v>
      </c>
      <c r="R587" s="80">
        <f t="shared" si="126"/>
        <v>7</v>
      </c>
      <c r="AD587"/>
    </row>
    <row r="588" spans="10:30" ht="16.2" customHeight="1">
      <c r="J588" s="80" t="s">
        <v>747</v>
      </c>
      <c r="K588" s="80" t="s">
        <v>7202</v>
      </c>
      <c r="L588" t="s">
        <v>182</v>
      </c>
      <c r="M588" s="80" t="s">
        <v>403</v>
      </c>
      <c r="N588" t="str">
        <f t="shared" si="130"/>
        <v>Double RearExisting Motorised TrackBetween Level and Normal 2073N/A</v>
      </c>
      <c r="O588">
        <v>48</v>
      </c>
      <c r="P588">
        <v>55</v>
      </c>
      <c r="Q588" s="80">
        <v>0</v>
      </c>
      <c r="R588" s="80">
        <f t="shared" si="126"/>
        <v>7</v>
      </c>
      <c r="AD588"/>
    </row>
    <row r="589" spans="10:30" ht="16.2" customHeight="1">
      <c r="J589" s="80" t="s">
        <v>725</v>
      </c>
      <c r="K589" s="80" t="s">
        <v>7202</v>
      </c>
      <c r="L589" t="s">
        <v>182</v>
      </c>
      <c r="M589" s="80" t="s">
        <v>403</v>
      </c>
      <c r="N589" t="str">
        <f t="shared" si="130"/>
        <v>SingleExisting Motorised TrackBetween Level and Normal 2073N/A</v>
      </c>
      <c r="O589">
        <v>48</v>
      </c>
      <c r="P589">
        <v>55</v>
      </c>
      <c r="Q589" s="80">
        <v>0</v>
      </c>
      <c r="R589" s="80">
        <f t="shared" si="126"/>
        <v>7</v>
      </c>
      <c r="AD589"/>
    </row>
    <row r="590" spans="10:30" ht="16.2" customHeight="1">
      <c r="J590" s="80" t="s">
        <v>746</v>
      </c>
      <c r="K590" s="80" t="s">
        <v>7202</v>
      </c>
      <c r="L590" t="s">
        <v>184</v>
      </c>
      <c r="M590" s="80" t="s">
        <v>403</v>
      </c>
      <c r="N590" t="str">
        <f t="shared" si="130"/>
        <v>Double FrontExisting Motorised TrackDecorator 2071N/A</v>
      </c>
      <c r="O590">
        <v>20</v>
      </c>
      <c r="P590">
        <v>55</v>
      </c>
      <c r="Q590" s="80">
        <v>0</v>
      </c>
      <c r="R590" s="80">
        <f t="shared" si="126"/>
        <v>35</v>
      </c>
      <c r="AD590"/>
    </row>
    <row r="591" spans="10:30" ht="16.2" customHeight="1">
      <c r="J591" s="80" t="s">
        <v>747</v>
      </c>
      <c r="K591" s="80" t="s">
        <v>7202</v>
      </c>
      <c r="L591" t="s">
        <v>184</v>
      </c>
      <c r="M591" s="80" t="s">
        <v>403</v>
      </c>
      <c r="N591" t="str">
        <f t="shared" si="130"/>
        <v>Double RearExisting Motorised TrackDecorator 2071N/A</v>
      </c>
      <c r="O591">
        <v>20</v>
      </c>
      <c r="P591">
        <v>55</v>
      </c>
      <c r="Q591" s="80">
        <v>0</v>
      </c>
      <c r="R591" s="80">
        <f t="shared" si="126"/>
        <v>35</v>
      </c>
      <c r="AD591"/>
    </row>
    <row r="592" spans="10:30" ht="16.2" customHeight="1">
      <c r="J592" s="80" t="s">
        <v>725</v>
      </c>
      <c r="K592" s="80" t="s">
        <v>7202</v>
      </c>
      <c r="L592" t="s">
        <v>184</v>
      </c>
      <c r="M592" s="80" t="s">
        <v>403</v>
      </c>
      <c r="N592" t="str">
        <f t="shared" si="130"/>
        <v>SingleExisting Motorised TrackDecorator 2071N/A</v>
      </c>
      <c r="O592">
        <v>20</v>
      </c>
      <c r="P592">
        <v>55</v>
      </c>
      <c r="Q592" s="80">
        <v>0</v>
      </c>
      <c r="R592" s="80">
        <f t="shared" si="126"/>
        <v>35</v>
      </c>
      <c r="AD592"/>
    </row>
    <row r="593" spans="10:30" ht="16.2" customHeight="1">
      <c r="J593" s="80" t="s">
        <v>746</v>
      </c>
      <c r="K593" s="80" t="s">
        <v>7202</v>
      </c>
      <c r="L593" t="s">
        <v>6468</v>
      </c>
      <c r="M593" s="80" t="s">
        <v>403</v>
      </c>
      <c r="N593" t="str">
        <f t="shared" si="130"/>
        <v>Double FrontExisting Motorised TrackGather Hook Bottom PocketN/A</v>
      </c>
      <c r="O593">
        <v>60</v>
      </c>
      <c r="P593">
        <v>55</v>
      </c>
      <c r="Q593" s="80">
        <v>0</v>
      </c>
      <c r="R593" s="80">
        <f t="shared" si="126"/>
        <v>-5</v>
      </c>
      <c r="AD593"/>
    </row>
    <row r="594" spans="10:30" ht="16.2" customHeight="1">
      <c r="J594" s="80" t="s">
        <v>725</v>
      </c>
      <c r="K594" s="80" t="s">
        <v>7202</v>
      </c>
      <c r="L594" t="s">
        <v>6468</v>
      </c>
      <c r="M594" s="80" t="s">
        <v>403</v>
      </c>
      <c r="N594" t="str">
        <f t="shared" si="130"/>
        <v>SingleExisting Motorised TrackGather Hook Bottom PocketN/A</v>
      </c>
      <c r="O594">
        <v>60</v>
      </c>
      <c r="P594">
        <v>55</v>
      </c>
      <c r="Q594" s="80">
        <v>0</v>
      </c>
      <c r="R594" s="80">
        <f t="shared" si="126"/>
        <v>-5</v>
      </c>
      <c r="AD594"/>
    </row>
    <row r="595" spans="10:30" ht="16.2" customHeight="1">
      <c r="J595" s="80" t="s">
        <v>746</v>
      </c>
      <c r="K595" s="80" t="s">
        <v>7202</v>
      </c>
      <c r="L595" t="s">
        <v>229</v>
      </c>
      <c r="M595" s="80" t="s">
        <v>403</v>
      </c>
      <c r="N595" t="str">
        <f t="shared" si="130"/>
        <v>Double FrontExisting Motorised TrackGather Hook LevelN/A</v>
      </c>
      <c r="O595">
        <v>20</v>
      </c>
      <c r="P595">
        <v>55</v>
      </c>
      <c r="Q595" s="80">
        <v>0</v>
      </c>
      <c r="R595" s="80">
        <f t="shared" si="126"/>
        <v>35</v>
      </c>
      <c r="AD595"/>
    </row>
    <row r="596" spans="10:30" ht="16.2" customHeight="1">
      <c r="J596" s="80" t="s">
        <v>747</v>
      </c>
      <c r="K596" s="80" t="s">
        <v>7202</v>
      </c>
      <c r="L596" t="s">
        <v>229</v>
      </c>
      <c r="M596" s="80" t="s">
        <v>403</v>
      </c>
      <c r="N596" t="str">
        <f t="shared" si="130"/>
        <v>Double RearExisting Motorised TrackGather Hook LevelN/A</v>
      </c>
      <c r="O596">
        <v>20</v>
      </c>
      <c r="P596">
        <v>55</v>
      </c>
      <c r="Q596" s="80">
        <v>0</v>
      </c>
      <c r="R596" s="80">
        <f t="shared" si="126"/>
        <v>35</v>
      </c>
      <c r="AD596"/>
    </row>
    <row r="597" spans="10:30" ht="16.2" customHeight="1">
      <c r="J597" s="80" t="s">
        <v>725</v>
      </c>
      <c r="K597" s="80" t="s">
        <v>7202</v>
      </c>
      <c r="L597" t="s">
        <v>229</v>
      </c>
      <c r="M597" s="80" t="s">
        <v>403</v>
      </c>
      <c r="N597" t="str">
        <f t="shared" si="130"/>
        <v>SingleExisting Motorised TrackGather Hook LevelN/A</v>
      </c>
      <c r="O597">
        <v>20</v>
      </c>
      <c r="P597">
        <v>55</v>
      </c>
      <c r="Q597" s="80">
        <v>0</v>
      </c>
      <c r="R597" s="80">
        <f t="shared" si="126"/>
        <v>35</v>
      </c>
      <c r="AD597"/>
    </row>
    <row r="598" spans="10:30" ht="16.2" customHeight="1">
      <c r="J598" s="80" t="s">
        <v>746</v>
      </c>
      <c r="K598" s="80" t="s">
        <v>7202</v>
      </c>
      <c r="L598" t="s">
        <v>228</v>
      </c>
      <c r="M598" s="80" t="s">
        <v>403</v>
      </c>
      <c r="N598" t="str">
        <f t="shared" si="130"/>
        <v>Double FrontExisting Motorised TrackGather Hook NormalN/A</v>
      </c>
      <c r="O598">
        <v>43</v>
      </c>
      <c r="P598">
        <v>55</v>
      </c>
      <c r="Q598" s="80">
        <v>0</v>
      </c>
      <c r="R598" s="80">
        <f t="shared" si="126"/>
        <v>12</v>
      </c>
      <c r="AD598"/>
    </row>
    <row r="599" spans="10:30" ht="16.2" customHeight="1">
      <c r="J599" s="80" t="s">
        <v>747</v>
      </c>
      <c r="K599" s="80" t="s">
        <v>7202</v>
      </c>
      <c r="L599" t="s">
        <v>228</v>
      </c>
      <c r="M599" s="80" t="s">
        <v>403</v>
      </c>
      <c r="N599" t="str">
        <f t="shared" si="130"/>
        <v>Double RearExisting Motorised TrackGather Hook NormalN/A</v>
      </c>
      <c r="O599">
        <v>43</v>
      </c>
      <c r="P599">
        <v>55</v>
      </c>
      <c r="Q599" s="80">
        <v>0</v>
      </c>
      <c r="R599" s="80">
        <f t="shared" si="126"/>
        <v>12</v>
      </c>
      <c r="AD599"/>
    </row>
    <row r="600" spans="10:30" ht="16.2" customHeight="1">
      <c r="J600" s="80" t="s">
        <v>725</v>
      </c>
      <c r="K600" s="80" t="s">
        <v>7202</v>
      </c>
      <c r="L600" t="s">
        <v>228</v>
      </c>
      <c r="M600" s="80" t="s">
        <v>403</v>
      </c>
      <c r="N600" t="str">
        <f t="shared" si="130"/>
        <v>SingleExisting Motorised TrackGather Hook NormalN/A</v>
      </c>
      <c r="O600">
        <v>43</v>
      </c>
      <c r="P600">
        <v>55</v>
      </c>
      <c r="Q600" s="80">
        <v>0</v>
      </c>
      <c r="R600" s="80">
        <f t="shared" si="126"/>
        <v>12</v>
      </c>
      <c r="AD600"/>
    </row>
    <row r="601" spans="10:30" ht="16.2" customHeight="1">
      <c r="J601" s="80" t="s">
        <v>746</v>
      </c>
      <c r="K601" s="80" t="s">
        <v>7202</v>
      </c>
      <c r="L601" t="s">
        <v>282</v>
      </c>
      <c r="M601" s="80" t="s">
        <v>403</v>
      </c>
      <c r="N601" t="str">
        <f t="shared" si="130"/>
        <v>Double FrontExisting Motorised TrackLevel 2072N/A</v>
      </c>
      <c r="O601">
        <v>48</v>
      </c>
      <c r="P601">
        <v>55</v>
      </c>
      <c r="Q601" s="80">
        <v>0</v>
      </c>
      <c r="R601" s="80">
        <f t="shared" si="126"/>
        <v>7</v>
      </c>
      <c r="AD601"/>
    </row>
    <row r="602" spans="10:30" ht="16.2" customHeight="1">
      <c r="J602" s="80" t="s">
        <v>747</v>
      </c>
      <c r="K602" s="80" t="s">
        <v>7202</v>
      </c>
      <c r="L602" t="s">
        <v>282</v>
      </c>
      <c r="M602" s="80" t="s">
        <v>403</v>
      </c>
      <c r="N602" t="str">
        <f t="shared" si="130"/>
        <v>Double RearExisting Motorised TrackLevel 2072N/A</v>
      </c>
      <c r="O602">
        <v>48</v>
      </c>
      <c r="P602">
        <v>55</v>
      </c>
      <c r="Q602" s="80">
        <v>0</v>
      </c>
      <c r="R602" s="80">
        <f t="shared" si="126"/>
        <v>7</v>
      </c>
      <c r="AD602"/>
    </row>
    <row r="603" spans="10:30" ht="16.2" customHeight="1">
      <c r="J603" s="80" t="s">
        <v>725</v>
      </c>
      <c r="K603" s="80" t="s">
        <v>7202</v>
      </c>
      <c r="L603" t="s">
        <v>282</v>
      </c>
      <c r="M603" s="80" t="s">
        <v>403</v>
      </c>
      <c r="N603" t="str">
        <f t="shared" si="130"/>
        <v>SingleExisting Motorised TrackLevel 2072N/A</v>
      </c>
      <c r="O603">
        <v>35</v>
      </c>
      <c r="P603">
        <v>55</v>
      </c>
      <c r="Q603" s="80">
        <v>0</v>
      </c>
      <c r="R603" s="80">
        <f t="shared" si="126"/>
        <v>20</v>
      </c>
      <c r="AD603"/>
    </row>
    <row r="604" spans="10:30" ht="16.2" customHeight="1">
      <c r="J604" s="80" t="s">
        <v>746</v>
      </c>
      <c r="K604" s="80" t="s">
        <v>7202</v>
      </c>
      <c r="L604" t="s">
        <v>170</v>
      </c>
      <c r="M604" s="80" t="s">
        <v>403</v>
      </c>
      <c r="N604" t="str">
        <f t="shared" si="130"/>
        <v>Double FrontExisting Motorised TrackNormal 2074N/A</v>
      </c>
      <c r="O604">
        <v>73</v>
      </c>
      <c r="P604">
        <v>55</v>
      </c>
      <c r="Q604" s="80">
        <v>0</v>
      </c>
      <c r="R604" s="80">
        <f t="shared" si="126"/>
        <v>-18</v>
      </c>
      <c r="AD604"/>
    </row>
    <row r="605" spans="10:30" ht="16.2" customHeight="1">
      <c r="J605" s="80" t="s">
        <v>747</v>
      </c>
      <c r="K605" s="80" t="s">
        <v>7202</v>
      </c>
      <c r="L605" t="s">
        <v>170</v>
      </c>
      <c r="M605" s="80" t="s">
        <v>403</v>
      </c>
      <c r="N605" t="str">
        <f t="shared" si="130"/>
        <v>Double RearExisting Motorised TrackNormal 2074N/A</v>
      </c>
      <c r="O605">
        <v>73</v>
      </c>
      <c r="P605">
        <v>55</v>
      </c>
      <c r="Q605" s="80">
        <v>0</v>
      </c>
      <c r="R605" s="80">
        <f t="shared" si="126"/>
        <v>-18</v>
      </c>
      <c r="AD605"/>
    </row>
    <row r="606" spans="10:30" ht="16.2" customHeight="1">
      <c r="J606" s="80" t="s">
        <v>725</v>
      </c>
      <c r="K606" s="80" t="s">
        <v>7202</v>
      </c>
      <c r="L606" t="s">
        <v>170</v>
      </c>
      <c r="M606" s="80" t="s">
        <v>403</v>
      </c>
      <c r="N606" t="str">
        <f t="shared" si="130"/>
        <v>SingleExisting Motorised TrackNormal 2074N/A</v>
      </c>
      <c r="O606">
        <v>60</v>
      </c>
      <c r="P606">
        <v>55</v>
      </c>
      <c r="Q606" s="80">
        <v>0</v>
      </c>
      <c r="R606" s="80">
        <f t="shared" si="126"/>
        <v>-5</v>
      </c>
      <c r="AD606"/>
    </row>
    <row r="607" spans="10:30" ht="16.2" customHeight="1">
      <c r="J607" s="80" t="s">
        <v>746</v>
      </c>
      <c r="K607" s="80" t="s">
        <v>7203</v>
      </c>
      <c r="L607" t="s">
        <v>421</v>
      </c>
      <c r="M607" s="80" t="s">
        <v>403</v>
      </c>
      <c r="N607" t="str">
        <f t="shared" si="130"/>
        <v>Double FrontExisting Motorised Wavefold TrackWavefold HooksN/A</v>
      </c>
      <c r="O607">
        <v>0</v>
      </c>
      <c r="P607">
        <v>40</v>
      </c>
      <c r="Q607" s="80">
        <v>0</v>
      </c>
      <c r="R607" s="80">
        <f t="shared" si="131" ref="R607:R670">SUM(P607)-O607</f>
        <v>40</v>
      </c>
      <c r="AD607"/>
    </row>
    <row r="608" spans="10:30" ht="16.2" customHeight="1">
      <c r="J608" s="80" t="s">
        <v>747</v>
      </c>
      <c r="K608" s="80" t="s">
        <v>7203</v>
      </c>
      <c r="L608" t="s">
        <v>421</v>
      </c>
      <c r="M608" s="80" t="s">
        <v>403</v>
      </c>
      <c r="N608" t="str">
        <f t="shared" si="130"/>
        <v>Double RearExisting Motorised Wavefold TrackWavefold HooksN/A</v>
      </c>
      <c r="O608">
        <v>0</v>
      </c>
      <c r="P608">
        <v>40</v>
      </c>
      <c r="Q608" s="80">
        <v>0</v>
      </c>
      <c r="R608" s="80">
        <f t="shared" si="131"/>
        <v>40</v>
      </c>
      <c r="AD608"/>
    </row>
    <row r="609" spans="10:30" ht="16.2" customHeight="1">
      <c r="J609" s="80" t="s">
        <v>725</v>
      </c>
      <c r="K609" s="80" t="s">
        <v>7203</v>
      </c>
      <c r="L609" t="s">
        <v>421</v>
      </c>
      <c r="M609" s="80" t="s">
        <v>403</v>
      </c>
      <c r="N609" t="str">
        <f t="shared" si="130"/>
        <v>SingleExisting Motorised Wavefold TrackWavefold HooksN/A</v>
      </c>
      <c r="O609">
        <v>0</v>
      </c>
      <c r="P609">
        <v>40</v>
      </c>
      <c r="Q609" s="80">
        <v>0</v>
      </c>
      <c r="R609" s="80">
        <f t="shared" si="131"/>
        <v>40</v>
      </c>
      <c r="AD609"/>
    </row>
    <row r="610" spans="10:30" ht="16.2" customHeight="1">
      <c r="J610" s="80" t="s">
        <v>746</v>
      </c>
      <c r="K610" s="80" t="s">
        <v>609</v>
      </c>
      <c r="L610" t="s">
        <v>185</v>
      </c>
      <c r="M610" s="80" t="s">
        <v>403</v>
      </c>
      <c r="N610" t="str">
        <f t="shared" si="130"/>
        <v>Double FrontExisting Normal S-Fold TrackNo HooksN/A</v>
      </c>
      <c r="O610">
        <v>0</v>
      </c>
      <c r="P610">
        <v>25</v>
      </c>
      <c r="Q610" s="80">
        <v>0</v>
      </c>
      <c r="R610" s="80">
        <f t="shared" si="131"/>
        <v>25</v>
      </c>
      <c r="AD610"/>
    </row>
    <row r="611" spans="10:30" ht="16.2" customHeight="1">
      <c r="J611" s="80" t="s">
        <v>747</v>
      </c>
      <c r="K611" s="80" t="s">
        <v>609</v>
      </c>
      <c r="L611" t="s">
        <v>185</v>
      </c>
      <c r="M611" s="80" t="s">
        <v>403</v>
      </c>
      <c r="N611" t="str">
        <f t="shared" si="130"/>
        <v>Double RearExisting Normal S-Fold TrackNo HooksN/A</v>
      </c>
      <c r="O611">
        <v>0</v>
      </c>
      <c r="P611">
        <v>25</v>
      </c>
      <c r="Q611" s="80">
        <v>0</v>
      </c>
      <c r="R611" s="80">
        <f t="shared" si="131"/>
        <v>25</v>
      </c>
      <c r="AD611"/>
    </row>
    <row r="612" spans="10:30" ht="16.2" customHeight="1">
      <c r="J612" s="80" t="s">
        <v>725</v>
      </c>
      <c r="K612" s="80" t="s">
        <v>609</v>
      </c>
      <c r="L612" t="s">
        <v>185</v>
      </c>
      <c r="M612" s="80" t="s">
        <v>403</v>
      </c>
      <c r="N612" t="str">
        <f t="shared" si="130"/>
        <v>SingleExisting Normal S-Fold TrackNo HooksN/A</v>
      </c>
      <c r="O612">
        <v>0</v>
      </c>
      <c r="P612">
        <v>25</v>
      </c>
      <c r="Q612" s="80">
        <v>0</v>
      </c>
      <c r="R612" s="80">
        <f t="shared" si="131"/>
        <v>25</v>
      </c>
      <c r="AD612"/>
    </row>
    <row r="613" spans="10:30" ht="16.2" customHeight="1">
      <c r="J613" s="80" t="s">
        <v>746</v>
      </c>
      <c r="K613" s="80" t="s">
        <v>605</v>
      </c>
      <c r="L613" t="s">
        <v>183</v>
      </c>
      <c r="M613" s="80" t="s">
        <v>403</v>
      </c>
      <c r="N613" t="str">
        <f t="shared" si="130"/>
        <v>Double FrontExisting Normal TrackBelow Normal 2075N/A</v>
      </c>
      <c r="O613">
        <v>70</v>
      </c>
      <c r="P613">
        <v>45</v>
      </c>
      <c r="Q613" s="80">
        <v>0</v>
      </c>
      <c r="R613" s="80">
        <f t="shared" si="131"/>
        <v>-25</v>
      </c>
      <c r="AD613"/>
    </row>
    <row r="614" spans="10:30" ht="16.2" customHeight="1">
      <c r="J614" s="80" t="s">
        <v>747</v>
      </c>
      <c r="K614" s="80" t="s">
        <v>605</v>
      </c>
      <c r="L614" t="s">
        <v>183</v>
      </c>
      <c r="M614" s="80" t="s">
        <v>403</v>
      </c>
      <c r="N614" t="str">
        <f t="shared" si="130"/>
        <v>Double RearExisting Normal TrackBelow Normal 2075N/A</v>
      </c>
      <c r="O614">
        <v>70</v>
      </c>
      <c r="P614">
        <v>45</v>
      </c>
      <c r="Q614" s="80">
        <v>0</v>
      </c>
      <c r="R614" s="80">
        <f t="shared" si="131"/>
        <v>-25</v>
      </c>
      <c r="AD614"/>
    </row>
    <row r="615" spans="10:30" ht="16.2" customHeight="1">
      <c r="J615" s="80" t="s">
        <v>725</v>
      </c>
      <c r="K615" s="80" t="s">
        <v>605</v>
      </c>
      <c r="L615" t="s">
        <v>183</v>
      </c>
      <c r="M615" s="80" t="s">
        <v>403</v>
      </c>
      <c r="N615" t="str">
        <f t="shared" si="130"/>
        <v>SingleExisting Normal TrackBelow Normal 2075N/A</v>
      </c>
      <c r="O615">
        <v>70</v>
      </c>
      <c r="P615">
        <v>45</v>
      </c>
      <c r="Q615" s="80">
        <v>0</v>
      </c>
      <c r="R615" s="80">
        <f t="shared" si="131"/>
        <v>-25</v>
      </c>
      <c r="AD615"/>
    </row>
    <row r="616" spans="10:30" ht="16.2" customHeight="1">
      <c r="J616" s="80" t="s">
        <v>746</v>
      </c>
      <c r="K616" s="80" t="s">
        <v>605</v>
      </c>
      <c r="L616" t="s">
        <v>182</v>
      </c>
      <c r="M616" s="80" t="s">
        <v>403</v>
      </c>
      <c r="N616" t="str">
        <f t="shared" si="130"/>
        <v>Double FrontExisting Normal TrackBetween Level and Normal 2073N/A</v>
      </c>
      <c r="O616">
        <v>48</v>
      </c>
      <c r="P616">
        <v>45</v>
      </c>
      <c r="Q616" s="80">
        <v>0</v>
      </c>
      <c r="R616" s="80">
        <f t="shared" si="131"/>
        <v>-3</v>
      </c>
      <c r="AD616"/>
    </row>
    <row r="617" spans="10:30" ht="16.2" customHeight="1">
      <c r="J617" s="80" t="s">
        <v>747</v>
      </c>
      <c r="K617" s="80" t="s">
        <v>605</v>
      </c>
      <c r="L617" t="s">
        <v>182</v>
      </c>
      <c r="M617" s="80" t="s">
        <v>403</v>
      </c>
      <c r="N617" t="str">
        <f t="shared" si="130"/>
        <v>Double RearExisting Normal TrackBetween Level and Normal 2073N/A</v>
      </c>
      <c r="O617">
        <v>48</v>
      </c>
      <c r="P617">
        <v>45</v>
      </c>
      <c r="Q617" s="80">
        <v>0</v>
      </c>
      <c r="R617" s="80">
        <f t="shared" si="131"/>
        <v>-3</v>
      </c>
      <c r="AD617"/>
    </row>
    <row r="618" spans="10:30" ht="16.2" customHeight="1">
      <c r="J618" s="80" t="s">
        <v>725</v>
      </c>
      <c r="K618" s="80" t="s">
        <v>605</v>
      </c>
      <c r="L618" t="s">
        <v>182</v>
      </c>
      <c r="M618" s="80" t="s">
        <v>403</v>
      </c>
      <c r="N618" t="str">
        <f t="shared" si="130"/>
        <v>SingleExisting Normal TrackBetween Level and Normal 2073N/A</v>
      </c>
      <c r="O618">
        <v>48</v>
      </c>
      <c r="P618">
        <v>45</v>
      </c>
      <c r="Q618" s="80">
        <v>0</v>
      </c>
      <c r="R618" s="80">
        <f t="shared" si="131"/>
        <v>-3</v>
      </c>
      <c r="AD618"/>
    </row>
    <row r="619" spans="10:30" ht="16.2" customHeight="1">
      <c r="J619" s="80" t="s">
        <v>746</v>
      </c>
      <c r="K619" s="80" t="s">
        <v>605</v>
      </c>
      <c r="L619" t="s">
        <v>184</v>
      </c>
      <c r="M619" s="80" t="s">
        <v>403</v>
      </c>
      <c r="N619" t="str">
        <f t="shared" si="130"/>
        <v>Double FrontExisting Normal TrackDecorator 2071N/A</v>
      </c>
      <c r="O619">
        <v>20</v>
      </c>
      <c r="P619">
        <v>45</v>
      </c>
      <c r="Q619" s="80">
        <v>0</v>
      </c>
      <c r="R619" s="80">
        <f t="shared" si="131"/>
        <v>25</v>
      </c>
      <c r="AD619"/>
    </row>
    <row r="620" spans="10:30" ht="16.2" customHeight="1">
      <c r="J620" s="80" t="s">
        <v>747</v>
      </c>
      <c r="K620" s="80" t="s">
        <v>605</v>
      </c>
      <c r="L620" t="s">
        <v>184</v>
      </c>
      <c r="M620" s="80" t="s">
        <v>403</v>
      </c>
      <c r="N620" t="str">
        <f t="shared" si="130"/>
        <v>Double RearExisting Normal TrackDecorator 2071N/A</v>
      </c>
      <c r="O620">
        <v>20</v>
      </c>
      <c r="P620">
        <v>45</v>
      </c>
      <c r="Q620" s="80">
        <v>0</v>
      </c>
      <c r="R620" s="80">
        <f t="shared" si="131"/>
        <v>25</v>
      </c>
      <c r="AD620"/>
    </row>
    <row r="621" spans="10:30" ht="16.2" customHeight="1">
      <c r="J621" s="80" t="s">
        <v>725</v>
      </c>
      <c r="K621" s="80" t="s">
        <v>605</v>
      </c>
      <c r="L621" t="s">
        <v>184</v>
      </c>
      <c r="M621" s="80" t="s">
        <v>403</v>
      </c>
      <c r="N621" t="str">
        <f t="shared" si="130"/>
        <v>SingleExisting Normal TrackDecorator 2071N/A</v>
      </c>
      <c r="O621">
        <v>20</v>
      </c>
      <c r="P621">
        <v>45</v>
      </c>
      <c r="Q621" s="80">
        <v>0</v>
      </c>
      <c r="R621" s="80">
        <f t="shared" si="131"/>
        <v>25</v>
      </c>
      <c r="AD621"/>
    </row>
    <row r="622" spans="10:30" ht="16.2" customHeight="1">
      <c r="J622" s="80" t="s">
        <v>746</v>
      </c>
      <c r="K622" s="80" t="s">
        <v>605</v>
      </c>
      <c r="L622" t="s">
        <v>6468</v>
      </c>
      <c r="M622" s="80" t="s">
        <v>403</v>
      </c>
      <c r="N622" t="str">
        <f t="shared" si="130"/>
        <v>Double FrontExisting Normal TrackGather Hook Bottom PocketN/A</v>
      </c>
      <c r="O622">
        <v>60</v>
      </c>
      <c r="P622">
        <v>45</v>
      </c>
      <c r="Q622" s="80">
        <v>0</v>
      </c>
      <c r="R622" s="80">
        <f t="shared" si="131"/>
        <v>-15</v>
      </c>
      <c r="AD622"/>
    </row>
    <row r="623" spans="10:30" ht="16.2" customHeight="1">
      <c r="J623" s="80" t="s">
        <v>725</v>
      </c>
      <c r="K623" s="80" t="s">
        <v>605</v>
      </c>
      <c r="L623" t="s">
        <v>6468</v>
      </c>
      <c r="M623" s="80" t="s">
        <v>403</v>
      </c>
      <c r="N623" t="str">
        <f t="shared" si="130"/>
        <v>SingleExisting Normal TrackGather Hook Bottom PocketN/A</v>
      </c>
      <c r="O623">
        <v>60</v>
      </c>
      <c r="P623">
        <v>45</v>
      </c>
      <c r="Q623" s="80">
        <v>0</v>
      </c>
      <c r="R623" s="80">
        <f t="shared" si="131"/>
        <v>-15</v>
      </c>
      <c r="AD623"/>
    </row>
    <row r="624" spans="10:30" ht="16.2" customHeight="1">
      <c r="J624" s="80" t="s">
        <v>746</v>
      </c>
      <c r="K624" s="80" t="s">
        <v>605</v>
      </c>
      <c r="L624" t="s">
        <v>229</v>
      </c>
      <c r="M624" s="80" t="s">
        <v>403</v>
      </c>
      <c r="N624" t="str">
        <f t="shared" si="130"/>
        <v>Double FrontExisting Normal TrackGather Hook LevelN/A</v>
      </c>
      <c r="O624">
        <v>20</v>
      </c>
      <c r="P624">
        <v>45</v>
      </c>
      <c r="Q624" s="80">
        <v>0</v>
      </c>
      <c r="R624" s="80">
        <f t="shared" si="131"/>
        <v>25</v>
      </c>
      <c r="AD624"/>
    </row>
    <row r="625" spans="10:30" ht="16.2" customHeight="1">
      <c r="J625" s="80" t="s">
        <v>747</v>
      </c>
      <c r="K625" s="80" t="s">
        <v>605</v>
      </c>
      <c r="L625" t="s">
        <v>229</v>
      </c>
      <c r="M625" s="80" t="s">
        <v>403</v>
      </c>
      <c r="N625" t="str">
        <f t="shared" si="130"/>
        <v>Double RearExisting Normal TrackGather Hook LevelN/A</v>
      </c>
      <c r="O625">
        <v>20</v>
      </c>
      <c r="P625">
        <v>45</v>
      </c>
      <c r="Q625" s="80">
        <v>0</v>
      </c>
      <c r="R625" s="80">
        <f t="shared" si="131"/>
        <v>25</v>
      </c>
      <c r="AD625"/>
    </row>
    <row r="626" spans="10:30" ht="16.2" customHeight="1">
      <c r="J626" s="80" t="s">
        <v>725</v>
      </c>
      <c r="K626" s="80" t="s">
        <v>605</v>
      </c>
      <c r="L626" t="s">
        <v>229</v>
      </c>
      <c r="M626" s="80" t="s">
        <v>403</v>
      </c>
      <c r="N626" t="str">
        <f t="shared" si="130"/>
        <v>SingleExisting Normal TrackGather Hook LevelN/A</v>
      </c>
      <c r="O626">
        <v>20</v>
      </c>
      <c r="P626">
        <v>45</v>
      </c>
      <c r="Q626" s="80">
        <v>0</v>
      </c>
      <c r="R626" s="80">
        <f t="shared" si="131"/>
        <v>25</v>
      </c>
      <c r="AD626"/>
    </row>
    <row r="627" spans="10:30" ht="16.2" customHeight="1">
      <c r="J627" s="80" t="s">
        <v>746</v>
      </c>
      <c r="K627" s="80" t="s">
        <v>605</v>
      </c>
      <c r="L627" t="s">
        <v>228</v>
      </c>
      <c r="M627" s="80" t="s">
        <v>403</v>
      </c>
      <c r="N627" t="str">
        <f t="shared" si="130"/>
        <v>Double FrontExisting Normal TrackGather Hook NormalN/A</v>
      </c>
      <c r="O627">
        <v>43</v>
      </c>
      <c r="P627">
        <v>45</v>
      </c>
      <c r="Q627" s="80">
        <v>0</v>
      </c>
      <c r="R627" s="80">
        <f t="shared" si="131"/>
        <v>2</v>
      </c>
      <c r="AD627"/>
    </row>
    <row r="628" spans="10:30" ht="16.2" customHeight="1">
      <c r="J628" s="80" t="s">
        <v>747</v>
      </c>
      <c r="K628" s="80" t="s">
        <v>605</v>
      </c>
      <c r="L628" t="s">
        <v>228</v>
      </c>
      <c r="M628" s="80" t="s">
        <v>403</v>
      </c>
      <c r="N628" t="str">
        <f t="shared" si="130"/>
        <v>Double RearExisting Normal TrackGather Hook NormalN/A</v>
      </c>
      <c r="O628">
        <v>43</v>
      </c>
      <c r="P628">
        <v>45</v>
      </c>
      <c r="Q628" s="80">
        <v>0</v>
      </c>
      <c r="R628" s="80">
        <f t="shared" si="131"/>
        <v>2</v>
      </c>
      <c r="AD628"/>
    </row>
    <row r="629" spans="10:30" ht="16.2" customHeight="1">
      <c r="J629" s="80" t="s">
        <v>725</v>
      </c>
      <c r="K629" s="80" t="s">
        <v>605</v>
      </c>
      <c r="L629" t="s">
        <v>228</v>
      </c>
      <c r="M629" s="80" t="s">
        <v>403</v>
      </c>
      <c r="N629" t="str">
        <f t="shared" si="130"/>
        <v>SingleExisting Normal TrackGather Hook NormalN/A</v>
      </c>
      <c r="O629">
        <v>43</v>
      </c>
      <c r="P629">
        <v>45</v>
      </c>
      <c r="Q629" s="80">
        <v>0</v>
      </c>
      <c r="R629" s="80">
        <f t="shared" si="131"/>
        <v>2</v>
      </c>
      <c r="AD629"/>
    </row>
    <row r="630" spans="10:30" ht="16.2" customHeight="1">
      <c r="J630" s="80" t="s">
        <v>746</v>
      </c>
      <c r="K630" s="80" t="s">
        <v>605</v>
      </c>
      <c r="L630" t="s">
        <v>282</v>
      </c>
      <c r="M630" s="80" t="s">
        <v>403</v>
      </c>
      <c r="N630" t="str">
        <f t="shared" si="130"/>
        <v>Double FrontExisting Normal TrackLevel 2072N/A</v>
      </c>
      <c r="O630">
        <v>38</v>
      </c>
      <c r="P630">
        <v>45</v>
      </c>
      <c r="Q630" s="80">
        <v>0</v>
      </c>
      <c r="R630" s="80">
        <f t="shared" si="131"/>
        <v>7</v>
      </c>
      <c r="AD630"/>
    </row>
    <row r="631" spans="10:30" ht="16.2" customHeight="1">
      <c r="J631" s="80" t="s">
        <v>747</v>
      </c>
      <c r="K631" s="80" t="s">
        <v>605</v>
      </c>
      <c r="L631" t="s">
        <v>282</v>
      </c>
      <c r="M631" s="80" t="s">
        <v>403</v>
      </c>
      <c r="N631" t="str">
        <f t="shared" si="130"/>
        <v>Double RearExisting Normal TrackLevel 2072N/A</v>
      </c>
      <c r="O631">
        <v>38</v>
      </c>
      <c r="P631">
        <v>45</v>
      </c>
      <c r="Q631" s="80">
        <v>0</v>
      </c>
      <c r="R631" s="80">
        <f t="shared" si="131"/>
        <v>7</v>
      </c>
      <c r="AD631"/>
    </row>
    <row r="632" spans="10:30" ht="16.2" customHeight="1">
      <c r="J632" s="80" t="s">
        <v>725</v>
      </c>
      <c r="K632" s="80" t="s">
        <v>605</v>
      </c>
      <c r="L632" t="s">
        <v>282</v>
      </c>
      <c r="M632" s="80" t="s">
        <v>403</v>
      </c>
      <c r="N632" t="str">
        <f t="shared" si="130"/>
        <v>SingleExisting Normal TrackLevel 2072N/A</v>
      </c>
      <c r="O632">
        <v>38</v>
      </c>
      <c r="P632">
        <v>45</v>
      </c>
      <c r="Q632" s="80">
        <v>0</v>
      </c>
      <c r="R632" s="80">
        <f t="shared" si="131"/>
        <v>7</v>
      </c>
      <c r="AD632"/>
    </row>
    <row r="633" spans="10:30" ht="16.2" customHeight="1">
      <c r="J633" s="80" t="s">
        <v>746</v>
      </c>
      <c r="K633" s="80" t="s">
        <v>605</v>
      </c>
      <c r="L633" t="s">
        <v>170</v>
      </c>
      <c r="M633" s="80" t="s">
        <v>403</v>
      </c>
      <c r="N633" t="str">
        <f t="shared" si="130"/>
        <v>Double FrontExisting Normal TrackNormal 2074N/A</v>
      </c>
      <c r="O633">
        <v>60</v>
      </c>
      <c r="P633">
        <v>45</v>
      </c>
      <c r="Q633" s="80">
        <v>0</v>
      </c>
      <c r="R633" s="80">
        <f t="shared" si="131"/>
        <v>-15</v>
      </c>
      <c r="AD633"/>
    </row>
    <row r="634" spans="10:30" ht="16.2" customHeight="1">
      <c r="J634" s="80" t="s">
        <v>747</v>
      </c>
      <c r="K634" s="80" t="s">
        <v>605</v>
      </c>
      <c r="L634" t="s">
        <v>170</v>
      </c>
      <c r="M634" s="80" t="s">
        <v>403</v>
      </c>
      <c r="N634" t="str">
        <f t="shared" si="130"/>
        <v>Double RearExisting Normal TrackNormal 2074N/A</v>
      </c>
      <c r="O634">
        <v>60</v>
      </c>
      <c r="P634">
        <v>45</v>
      </c>
      <c r="Q634" s="80">
        <v>0</v>
      </c>
      <c r="R634" s="80">
        <f t="shared" si="131"/>
        <v>-15</v>
      </c>
      <c r="AD634"/>
    </row>
    <row r="635" spans="10:30" ht="16.2" customHeight="1">
      <c r="J635" s="80" t="s">
        <v>725</v>
      </c>
      <c r="K635" s="80" t="s">
        <v>605</v>
      </c>
      <c r="L635" t="s">
        <v>170</v>
      </c>
      <c r="M635" s="80" t="s">
        <v>403</v>
      </c>
      <c r="N635" t="str">
        <f t="shared" si="130"/>
        <v>SingleExisting Normal TrackNormal 2074N/A</v>
      </c>
      <c r="O635">
        <v>60</v>
      </c>
      <c r="P635">
        <v>45</v>
      </c>
      <c r="Q635" s="80">
        <v>0</v>
      </c>
      <c r="R635" s="80">
        <f t="shared" si="131"/>
        <v>-15</v>
      </c>
      <c r="AD635"/>
    </row>
    <row r="636" spans="10:30" ht="16.2" customHeight="1">
      <c r="J636" s="80" t="s">
        <v>746</v>
      </c>
      <c r="K636" s="80" t="s">
        <v>605</v>
      </c>
      <c r="L636" t="s">
        <v>421</v>
      </c>
      <c r="M636" s="80" t="s">
        <v>403</v>
      </c>
      <c r="N636" t="str">
        <f t="shared" si="130"/>
        <v>Double FrontExisting Normal TrackWavefold HooksN/A</v>
      </c>
      <c r="O636">
        <v>12</v>
      </c>
      <c r="P636">
        <v>25</v>
      </c>
      <c r="Q636" s="80">
        <v>0</v>
      </c>
      <c r="R636" s="80">
        <f t="shared" si="131"/>
        <v>13</v>
      </c>
      <c r="AD636"/>
    </row>
    <row r="637" spans="10:30" ht="16.2" customHeight="1">
      <c r="J637" s="80" t="s">
        <v>747</v>
      </c>
      <c r="K637" s="80" t="s">
        <v>605</v>
      </c>
      <c r="L637" t="s">
        <v>421</v>
      </c>
      <c r="M637" s="80" t="s">
        <v>403</v>
      </c>
      <c r="N637" t="str">
        <f t="shared" si="130"/>
        <v>Double RearExisting Normal TrackWavefold HooksN/A</v>
      </c>
      <c r="O637">
        <v>12</v>
      </c>
      <c r="P637">
        <v>25</v>
      </c>
      <c r="Q637" s="80">
        <v>0</v>
      </c>
      <c r="R637" s="80">
        <f t="shared" si="131"/>
        <v>13</v>
      </c>
      <c r="AD637"/>
    </row>
    <row r="638" spans="10:30" ht="16.2" customHeight="1">
      <c r="J638" s="80" t="s">
        <v>746</v>
      </c>
      <c r="K638" s="80" t="s">
        <v>610</v>
      </c>
      <c r="L638" t="s">
        <v>421</v>
      </c>
      <c r="M638" s="80" t="s">
        <v>403</v>
      </c>
      <c r="N638" t="str">
        <f t="shared" si="130"/>
        <v>Double FrontExisting Normal Wavefold TrackWavefold HooksN/A</v>
      </c>
      <c r="O638">
        <v>0</v>
      </c>
      <c r="P638">
        <v>25</v>
      </c>
      <c r="Q638" s="80">
        <v>0</v>
      </c>
      <c r="R638" s="80">
        <f t="shared" si="131"/>
        <v>25</v>
      </c>
      <c r="AD638"/>
    </row>
    <row r="639" spans="10:30" ht="16.2" customHeight="1">
      <c r="J639" s="80" t="s">
        <v>747</v>
      </c>
      <c r="K639" s="80" t="s">
        <v>610</v>
      </c>
      <c r="L639" t="s">
        <v>421</v>
      </c>
      <c r="M639" s="80" t="s">
        <v>403</v>
      </c>
      <c r="N639" t="str">
        <f t="shared" si="130"/>
        <v>Double RearExisting Normal Wavefold TrackWavefold HooksN/A</v>
      </c>
      <c r="O639">
        <v>0</v>
      </c>
      <c r="P639">
        <v>25</v>
      </c>
      <c r="Q639" s="80">
        <v>0</v>
      </c>
      <c r="R639" s="80">
        <f t="shared" si="131"/>
        <v>25</v>
      </c>
      <c r="AD639"/>
    </row>
    <row r="640" spans="10:30" ht="16.2" customHeight="1">
      <c r="J640" s="80" t="s">
        <v>725</v>
      </c>
      <c r="K640" s="80" t="s">
        <v>610</v>
      </c>
      <c r="L640" t="s">
        <v>421</v>
      </c>
      <c r="M640" s="80" t="s">
        <v>403</v>
      </c>
      <c r="N640" t="str">
        <f t="shared" si="130"/>
        <v>SingleExisting Normal Wavefold TrackWavefold HooksN/A</v>
      </c>
      <c r="O640">
        <v>0</v>
      </c>
      <c r="P640">
        <v>25</v>
      </c>
      <c r="Q640" s="80">
        <v>0</v>
      </c>
      <c r="R640" s="80">
        <f t="shared" si="131"/>
        <v>25</v>
      </c>
      <c r="AD640"/>
    </row>
    <row r="641" spans="10:30" ht="16.2" customHeight="1">
      <c r="J641" s="80" t="s">
        <v>746</v>
      </c>
      <c r="K641" s="80" t="s">
        <v>611</v>
      </c>
      <c r="L641" s="80" t="s">
        <v>421</v>
      </c>
      <c r="M641" s="80" t="s">
        <v>403</v>
      </c>
      <c r="N641" t="str">
        <f t="shared" si="130"/>
        <v>Double FrontExisting Vanda Flushfit Recessed Track WavefoldWavefold HooksN/A</v>
      </c>
      <c r="O641">
        <v>0</v>
      </c>
      <c r="P641">
        <v>5</v>
      </c>
      <c r="Q641" s="80">
        <v>0</v>
      </c>
      <c r="R641" s="80">
        <f t="shared" si="131"/>
        <v>5</v>
      </c>
      <c r="AD641"/>
    </row>
    <row r="642" spans="10:30" ht="16.2" customHeight="1">
      <c r="J642" s="80" t="s">
        <v>747</v>
      </c>
      <c r="K642" s="80" t="s">
        <v>611</v>
      </c>
      <c r="L642" s="80" t="s">
        <v>421</v>
      </c>
      <c r="M642" s="80" t="s">
        <v>403</v>
      </c>
      <c r="N642" t="str">
        <f t="shared" si="132" ref="N642:N705">(CONCATENATE(J642,K642,L642,M642))</f>
        <v>Double RearExisting Vanda Flushfit Recessed Track WavefoldWavefold HooksN/A</v>
      </c>
      <c r="O642">
        <v>0</v>
      </c>
      <c r="P642">
        <v>5</v>
      </c>
      <c r="Q642" s="80">
        <v>0</v>
      </c>
      <c r="R642" s="80">
        <f t="shared" si="131"/>
        <v>5</v>
      </c>
      <c r="AD642"/>
    </row>
    <row r="643" spans="10:30" ht="16.2" customHeight="1">
      <c r="J643" s="80" t="s">
        <v>725</v>
      </c>
      <c r="K643" s="80" t="s">
        <v>611</v>
      </c>
      <c r="L643" s="80" t="s">
        <v>421</v>
      </c>
      <c r="M643" s="80" t="s">
        <v>403</v>
      </c>
      <c r="N643" t="str">
        <f t="shared" si="132"/>
        <v>SingleExisting Vanda Flushfit Recessed Track WavefoldWavefold HooksN/A</v>
      </c>
      <c r="O643">
        <v>0</v>
      </c>
      <c r="P643">
        <v>5</v>
      </c>
      <c r="Q643" s="80">
        <v>0</v>
      </c>
      <c r="R643" s="80">
        <f t="shared" si="131"/>
        <v>5</v>
      </c>
      <c r="AD643"/>
    </row>
    <row r="644" spans="10:30" ht="16.2" customHeight="1">
      <c r="J644" s="80" t="s">
        <v>746</v>
      </c>
      <c r="K644" s="80" t="s">
        <v>8712</v>
      </c>
      <c r="L644" t="s">
        <v>183</v>
      </c>
      <c r="M644" s="80" t="s">
        <v>403</v>
      </c>
      <c r="N644" t="str">
        <f t="shared" si="132"/>
        <v>Double FrontExisting Vanda Flushfit Recessed Track with RunnersBelow Normal 2075N/A</v>
      </c>
      <c r="O644">
        <v>70</v>
      </c>
      <c r="P644">
        <v>5</v>
      </c>
      <c r="Q644" s="80">
        <v>0</v>
      </c>
      <c r="R644" s="80">
        <f t="shared" si="131"/>
        <v>-65</v>
      </c>
      <c r="AD644"/>
    </row>
    <row r="645" spans="10:30" ht="16.2" customHeight="1">
      <c r="J645" s="80" t="s">
        <v>747</v>
      </c>
      <c r="K645" s="80" t="s">
        <v>8712</v>
      </c>
      <c r="L645" t="s">
        <v>183</v>
      </c>
      <c r="M645" s="80" t="s">
        <v>403</v>
      </c>
      <c r="N645" t="str">
        <f t="shared" si="132"/>
        <v>Double RearExisting Vanda Flushfit Recessed Track with RunnersBelow Normal 2075N/A</v>
      </c>
      <c r="O645">
        <v>70</v>
      </c>
      <c r="P645">
        <v>5</v>
      </c>
      <c r="Q645" s="80">
        <v>0</v>
      </c>
      <c r="R645" s="80">
        <f t="shared" si="131"/>
        <v>-65</v>
      </c>
      <c r="AD645"/>
    </row>
    <row r="646" spans="10:30" ht="16.2" customHeight="1">
      <c r="J646" s="80" t="s">
        <v>725</v>
      </c>
      <c r="K646" s="80" t="s">
        <v>8712</v>
      </c>
      <c r="L646" t="s">
        <v>183</v>
      </c>
      <c r="M646" s="80" t="s">
        <v>403</v>
      </c>
      <c r="N646" t="str">
        <f t="shared" si="132"/>
        <v>SingleExisting Vanda Flushfit Recessed Track with RunnersBelow Normal 2075N/A</v>
      </c>
      <c r="O646">
        <v>70</v>
      </c>
      <c r="P646">
        <v>5</v>
      </c>
      <c r="Q646" s="80">
        <v>0</v>
      </c>
      <c r="R646" s="80">
        <f t="shared" si="131"/>
        <v>-65</v>
      </c>
      <c r="AD646"/>
    </row>
    <row r="647" spans="10:30" ht="16.2" customHeight="1">
      <c r="J647" s="80" t="s">
        <v>746</v>
      </c>
      <c r="K647" s="80" t="s">
        <v>8712</v>
      </c>
      <c r="L647" t="s">
        <v>182</v>
      </c>
      <c r="M647" s="80" t="s">
        <v>403</v>
      </c>
      <c r="N647" t="str">
        <f t="shared" si="132"/>
        <v>Double FrontExisting Vanda Flushfit Recessed Track with RunnersBetween Level and Normal 2073N/A</v>
      </c>
      <c r="O647">
        <v>48</v>
      </c>
      <c r="P647">
        <v>5</v>
      </c>
      <c r="Q647" s="80">
        <v>0</v>
      </c>
      <c r="R647" s="80">
        <f t="shared" si="131"/>
        <v>-43</v>
      </c>
      <c r="AD647"/>
    </row>
    <row r="648" spans="10:30" ht="16.2" customHeight="1">
      <c r="J648" s="80" t="s">
        <v>747</v>
      </c>
      <c r="K648" s="80" t="s">
        <v>8712</v>
      </c>
      <c r="L648" t="s">
        <v>182</v>
      </c>
      <c r="M648" s="80" t="s">
        <v>403</v>
      </c>
      <c r="N648" t="str">
        <f t="shared" si="132"/>
        <v>Double RearExisting Vanda Flushfit Recessed Track with RunnersBetween Level and Normal 2073N/A</v>
      </c>
      <c r="O648">
        <v>48</v>
      </c>
      <c r="P648">
        <v>5</v>
      </c>
      <c r="Q648" s="80">
        <v>0</v>
      </c>
      <c r="R648" s="80">
        <f t="shared" si="131"/>
        <v>-43</v>
      </c>
      <c r="AD648"/>
    </row>
    <row r="649" spans="10:30" ht="16.2" customHeight="1">
      <c r="J649" s="80" t="s">
        <v>725</v>
      </c>
      <c r="K649" s="80" t="s">
        <v>8712</v>
      </c>
      <c r="L649" t="s">
        <v>182</v>
      </c>
      <c r="M649" s="80" t="s">
        <v>403</v>
      </c>
      <c r="N649" t="str">
        <f t="shared" si="132"/>
        <v>SingleExisting Vanda Flushfit Recessed Track with RunnersBetween Level and Normal 2073N/A</v>
      </c>
      <c r="O649">
        <v>48</v>
      </c>
      <c r="P649">
        <v>5</v>
      </c>
      <c r="Q649" s="80">
        <v>0</v>
      </c>
      <c r="R649" s="80">
        <f t="shared" si="131"/>
        <v>-43</v>
      </c>
      <c r="AD649"/>
    </row>
    <row r="650" spans="10:30" ht="16.2" customHeight="1">
      <c r="J650" s="80" t="s">
        <v>746</v>
      </c>
      <c r="K650" s="80" t="s">
        <v>8712</v>
      </c>
      <c r="L650" t="s">
        <v>184</v>
      </c>
      <c r="M650" s="80" t="s">
        <v>403</v>
      </c>
      <c r="N650" t="str">
        <f t="shared" si="132"/>
        <v>Double FrontExisting Vanda Flushfit Recessed Track with RunnersDecorator 2071N/A</v>
      </c>
      <c r="O650">
        <v>20</v>
      </c>
      <c r="P650">
        <v>5</v>
      </c>
      <c r="Q650" s="80">
        <v>0</v>
      </c>
      <c r="R650" s="80">
        <f t="shared" si="131"/>
        <v>-15</v>
      </c>
      <c r="AD650"/>
    </row>
    <row r="651" spans="10:30" ht="16.2" customHeight="1">
      <c r="J651" s="80" t="s">
        <v>747</v>
      </c>
      <c r="K651" s="80" t="s">
        <v>8712</v>
      </c>
      <c r="L651" t="s">
        <v>184</v>
      </c>
      <c r="M651" s="80" t="s">
        <v>403</v>
      </c>
      <c r="N651" t="str">
        <f t="shared" si="132"/>
        <v>Double RearExisting Vanda Flushfit Recessed Track with RunnersDecorator 2071N/A</v>
      </c>
      <c r="O651">
        <v>20</v>
      </c>
      <c r="P651">
        <v>5</v>
      </c>
      <c r="Q651" s="80">
        <v>0</v>
      </c>
      <c r="R651" s="80">
        <f t="shared" si="131"/>
        <v>-15</v>
      </c>
      <c r="AD651"/>
    </row>
    <row r="652" spans="10:30" ht="16.2" customHeight="1">
      <c r="J652" s="80" t="s">
        <v>725</v>
      </c>
      <c r="K652" s="80" t="s">
        <v>8712</v>
      </c>
      <c r="L652" t="s">
        <v>184</v>
      </c>
      <c r="M652" s="80" t="s">
        <v>403</v>
      </c>
      <c r="N652" t="str">
        <f t="shared" si="132"/>
        <v>SingleExisting Vanda Flushfit Recessed Track with RunnersDecorator 2071N/A</v>
      </c>
      <c r="O652">
        <v>20</v>
      </c>
      <c r="P652">
        <v>5</v>
      </c>
      <c r="Q652" s="80">
        <v>0</v>
      </c>
      <c r="R652" s="80">
        <f t="shared" si="131"/>
        <v>-15</v>
      </c>
      <c r="AD652"/>
    </row>
    <row r="653" spans="10:30" ht="16.2" customHeight="1">
      <c r="J653" s="80" t="s">
        <v>746</v>
      </c>
      <c r="K653" s="80" t="s">
        <v>8712</v>
      </c>
      <c r="L653" t="s">
        <v>6468</v>
      </c>
      <c r="M653" s="80" t="s">
        <v>403</v>
      </c>
      <c r="N653" t="str">
        <f t="shared" si="132"/>
        <v>Double FrontExisting Vanda Flushfit Recessed Track with RunnersGather Hook Bottom PocketN/A</v>
      </c>
      <c r="O653">
        <v>60</v>
      </c>
      <c r="P653">
        <v>5</v>
      </c>
      <c r="Q653" s="80">
        <v>0</v>
      </c>
      <c r="R653" s="80">
        <f t="shared" si="131"/>
        <v>-55</v>
      </c>
      <c r="AD653"/>
    </row>
    <row r="654" spans="10:30" ht="16.2" customHeight="1">
      <c r="J654" s="80" t="s">
        <v>747</v>
      </c>
      <c r="K654" s="80" t="s">
        <v>8712</v>
      </c>
      <c r="L654" t="s">
        <v>6468</v>
      </c>
      <c r="M654" s="80" t="s">
        <v>403</v>
      </c>
      <c r="N654" t="str">
        <f t="shared" si="132"/>
        <v>Double RearExisting Vanda Flushfit Recessed Track with RunnersGather Hook Bottom PocketN/A</v>
      </c>
      <c r="O654">
        <v>60</v>
      </c>
      <c r="P654">
        <v>5</v>
      </c>
      <c r="Q654" s="80">
        <v>0</v>
      </c>
      <c r="R654" s="80">
        <f t="shared" si="131"/>
        <v>-55</v>
      </c>
      <c r="AD654"/>
    </row>
    <row r="655" spans="10:30" ht="16.2" customHeight="1">
      <c r="J655" s="80" t="s">
        <v>725</v>
      </c>
      <c r="K655" s="80" t="s">
        <v>8712</v>
      </c>
      <c r="L655" t="s">
        <v>6468</v>
      </c>
      <c r="M655" s="80" t="s">
        <v>403</v>
      </c>
      <c r="N655" t="str">
        <f t="shared" si="132"/>
        <v>SingleExisting Vanda Flushfit Recessed Track with RunnersGather Hook Bottom PocketN/A</v>
      </c>
      <c r="O655">
        <v>60</v>
      </c>
      <c r="P655">
        <v>5</v>
      </c>
      <c r="Q655" s="80">
        <v>0</v>
      </c>
      <c r="R655" s="80">
        <f t="shared" si="131"/>
        <v>-55</v>
      </c>
      <c r="AD655"/>
    </row>
    <row r="656" spans="10:30" ht="16.2" customHeight="1">
      <c r="J656" s="80" t="s">
        <v>746</v>
      </c>
      <c r="K656" s="80" t="s">
        <v>8712</v>
      </c>
      <c r="L656" t="s">
        <v>229</v>
      </c>
      <c r="M656" s="80" t="s">
        <v>403</v>
      </c>
      <c r="N656" t="str">
        <f t="shared" si="132"/>
        <v>Double FrontExisting Vanda Flushfit Recessed Track with RunnersGather Hook LevelN/A</v>
      </c>
      <c r="O656">
        <v>20</v>
      </c>
      <c r="P656">
        <v>5</v>
      </c>
      <c r="Q656" s="80">
        <v>0</v>
      </c>
      <c r="R656" s="80">
        <f t="shared" si="131"/>
        <v>-15</v>
      </c>
      <c r="AD656"/>
    </row>
    <row r="657" spans="10:30" ht="16.2" customHeight="1">
      <c r="J657" s="80" t="s">
        <v>747</v>
      </c>
      <c r="K657" s="80" t="s">
        <v>8712</v>
      </c>
      <c r="L657" t="s">
        <v>229</v>
      </c>
      <c r="M657" s="80" t="s">
        <v>403</v>
      </c>
      <c r="N657" t="str">
        <f t="shared" si="132"/>
        <v>Double RearExisting Vanda Flushfit Recessed Track with RunnersGather Hook LevelN/A</v>
      </c>
      <c r="O657">
        <v>20</v>
      </c>
      <c r="P657">
        <v>5</v>
      </c>
      <c r="Q657" s="80">
        <v>0</v>
      </c>
      <c r="R657" s="80">
        <f t="shared" si="131"/>
        <v>-15</v>
      </c>
      <c r="AD657"/>
    </row>
    <row r="658" spans="10:30" ht="16.2" customHeight="1">
      <c r="J658" s="80" t="s">
        <v>725</v>
      </c>
      <c r="K658" s="80" t="s">
        <v>8712</v>
      </c>
      <c r="L658" t="s">
        <v>229</v>
      </c>
      <c r="M658" s="80" t="s">
        <v>403</v>
      </c>
      <c r="N658" t="str">
        <f t="shared" si="132"/>
        <v>SingleExisting Vanda Flushfit Recessed Track with RunnersGather Hook LevelN/A</v>
      </c>
      <c r="O658">
        <v>20</v>
      </c>
      <c r="P658">
        <v>5</v>
      </c>
      <c r="Q658" s="80">
        <v>0</v>
      </c>
      <c r="R658" s="80">
        <f t="shared" si="131"/>
        <v>-15</v>
      </c>
      <c r="AD658"/>
    </row>
    <row r="659" spans="10:30" ht="16.2" customHeight="1">
      <c r="J659" s="80" t="s">
        <v>746</v>
      </c>
      <c r="K659" s="80" t="s">
        <v>8712</v>
      </c>
      <c r="L659" t="s">
        <v>228</v>
      </c>
      <c r="M659" s="80" t="s">
        <v>403</v>
      </c>
      <c r="N659" t="str">
        <f t="shared" si="132"/>
        <v>Double FrontExisting Vanda Flushfit Recessed Track with RunnersGather Hook NormalN/A</v>
      </c>
      <c r="O659">
        <v>43</v>
      </c>
      <c r="P659">
        <v>5</v>
      </c>
      <c r="Q659" s="80">
        <v>0</v>
      </c>
      <c r="R659" s="80">
        <f t="shared" si="131"/>
        <v>-38</v>
      </c>
      <c r="AD659"/>
    </row>
    <row r="660" spans="10:30" ht="16.2" customHeight="1">
      <c r="J660" s="80" t="s">
        <v>747</v>
      </c>
      <c r="K660" s="80" t="s">
        <v>8712</v>
      </c>
      <c r="L660" t="s">
        <v>228</v>
      </c>
      <c r="M660" s="80" t="s">
        <v>403</v>
      </c>
      <c r="N660" t="str">
        <f t="shared" si="132"/>
        <v>Double RearExisting Vanda Flushfit Recessed Track with RunnersGather Hook NormalN/A</v>
      </c>
      <c r="O660">
        <v>43</v>
      </c>
      <c r="P660">
        <v>5</v>
      </c>
      <c r="Q660" s="80">
        <v>0</v>
      </c>
      <c r="R660" s="80">
        <f t="shared" si="131"/>
        <v>-38</v>
      </c>
      <c r="AD660"/>
    </row>
    <row r="661" spans="10:30" ht="16.2" customHeight="1">
      <c r="J661" s="80" t="s">
        <v>725</v>
      </c>
      <c r="K661" s="80" t="s">
        <v>8712</v>
      </c>
      <c r="L661" t="s">
        <v>228</v>
      </c>
      <c r="M661" s="80" t="s">
        <v>403</v>
      </c>
      <c r="N661" t="str">
        <f t="shared" si="132"/>
        <v>SingleExisting Vanda Flushfit Recessed Track with RunnersGather Hook NormalN/A</v>
      </c>
      <c r="O661">
        <v>43</v>
      </c>
      <c r="P661">
        <v>5</v>
      </c>
      <c r="Q661" s="80">
        <v>0</v>
      </c>
      <c r="R661" s="80">
        <f t="shared" si="131"/>
        <v>-38</v>
      </c>
      <c r="AD661"/>
    </row>
    <row r="662" spans="10:30" ht="16.2" customHeight="1">
      <c r="J662" s="80" t="s">
        <v>746</v>
      </c>
      <c r="K662" s="80" t="s">
        <v>8712</v>
      </c>
      <c r="L662" t="s">
        <v>282</v>
      </c>
      <c r="M662" s="80" t="s">
        <v>403</v>
      </c>
      <c r="N662" t="str">
        <f t="shared" si="132"/>
        <v>Double FrontExisting Vanda Flushfit Recessed Track with RunnersLevel 2072N/A</v>
      </c>
      <c r="O662">
        <v>38</v>
      </c>
      <c r="P662">
        <v>5</v>
      </c>
      <c r="Q662" s="80">
        <v>0</v>
      </c>
      <c r="R662" s="80">
        <f t="shared" si="131"/>
        <v>-33</v>
      </c>
      <c r="AD662"/>
    </row>
    <row r="663" spans="10:30" ht="16.2" customHeight="1">
      <c r="J663" s="80" t="s">
        <v>747</v>
      </c>
      <c r="K663" s="80" t="s">
        <v>8712</v>
      </c>
      <c r="L663" t="s">
        <v>282</v>
      </c>
      <c r="M663" s="80" t="s">
        <v>403</v>
      </c>
      <c r="N663" t="str">
        <f t="shared" si="132"/>
        <v>Double RearExisting Vanda Flushfit Recessed Track with RunnersLevel 2072N/A</v>
      </c>
      <c r="O663">
        <v>38</v>
      </c>
      <c r="P663">
        <v>5</v>
      </c>
      <c r="Q663" s="80">
        <v>0</v>
      </c>
      <c r="R663" s="80">
        <f t="shared" si="131"/>
        <v>-33</v>
      </c>
      <c r="AD663"/>
    </row>
    <row r="664" spans="10:30" ht="16.2" customHeight="1">
      <c r="J664" s="80" t="s">
        <v>725</v>
      </c>
      <c r="K664" s="80" t="s">
        <v>8712</v>
      </c>
      <c r="L664" t="s">
        <v>282</v>
      </c>
      <c r="M664" s="80" t="s">
        <v>403</v>
      </c>
      <c r="N664" t="str">
        <f t="shared" si="132"/>
        <v>SingleExisting Vanda Flushfit Recessed Track with RunnersLevel 2072N/A</v>
      </c>
      <c r="O664">
        <v>38</v>
      </c>
      <c r="P664">
        <v>5</v>
      </c>
      <c r="Q664" s="80">
        <v>0</v>
      </c>
      <c r="R664" s="80">
        <f t="shared" si="131"/>
        <v>-33</v>
      </c>
      <c r="AD664"/>
    </row>
    <row r="665" spans="10:30" ht="16.2" customHeight="1">
      <c r="J665" s="80" t="s">
        <v>746</v>
      </c>
      <c r="K665" s="80" t="s">
        <v>8712</v>
      </c>
      <c r="L665" t="s">
        <v>170</v>
      </c>
      <c r="M665" s="80" t="s">
        <v>403</v>
      </c>
      <c r="N665" t="str">
        <f t="shared" si="132"/>
        <v>Double FrontExisting Vanda Flushfit Recessed Track with RunnersNormal 2074N/A</v>
      </c>
      <c r="O665">
        <v>60</v>
      </c>
      <c r="P665">
        <v>5</v>
      </c>
      <c r="Q665" s="80">
        <v>0</v>
      </c>
      <c r="R665" s="80">
        <f t="shared" si="131"/>
        <v>-55</v>
      </c>
      <c r="AD665"/>
    </row>
    <row r="666" spans="10:30" ht="16.2" customHeight="1">
      <c r="J666" s="80" t="s">
        <v>747</v>
      </c>
      <c r="K666" s="80" t="s">
        <v>8712</v>
      </c>
      <c r="L666" t="s">
        <v>170</v>
      </c>
      <c r="M666" s="80" t="s">
        <v>403</v>
      </c>
      <c r="N666" t="str">
        <f t="shared" si="132"/>
        <v>Double RearExisting Vanda Flushfit Recessed Track with RunnersNormal 2074N/A</v>
      </c>
      <c r="O666">
        <v>60</v>
      </c>
      <c r="P666">
        <v>5</v>
      </c>
      <c r="Q666" s="80">
        <v>0</v>
      </c>
      <c r="R666" s="80">
        <f t="shared" si="131"/>
        <v>-55</v>
      </c>
      <c r="AD666"/>
    </row>
    <row r="667" spans="10:30" ht="16.2" customHeight="1">
      <c r="J667" s="80" t="s">
        <v>725</v>
      </c>
      <c r="K667" s="80" t="s">
        <v>8712</v>
      </c>
      <c r="L667" t="s">
        <v>170</v>
      </c>
      <c r="M667" s="80" t="s">
        <v>403</v>
      </c>
      <c r="N667" t="str">
        <f t="shared" si="132"/>
        <v>SingleExisting Vanda Flushfit Recessed Track with RunnersNormal 2074N/A</v>
      </c>
      <c r="O667">
        <v>60</v>
      </c>
      <c r="P667">
        <v>5</v>
      </c>
      <c r="Q667" s="80">
        <v>0</v>
      </c>
      <c r="R667" s="80">
        <f t="shared" si="131"/>
        <v>-55</v>
      </c>
      <c r="AD667"/>
    </row>
    <row r="668" spans="10:30" ht="16.2" customHeight="1">
      <c r="J668" s="80" t="s">
        <v>746</v>
      </c>
      <c r="K668" s="80" t="s">
        <v>8712</v>
      </c>
      <c r="L668" s="80" t="s">
        <v>421</v>
      </c>
      <c r="M668" s="80" t="s">
        <v>403</v>
      </c>
      <c r="N668" t="str">
        <f t="shared" si="132"/>
        <v>Double FrontExisting Vanda Flushfit Recessed Track with RunnersWavefold HooksN/A</v>
      </c>
      <c r="O668">
        <v>0</v>
      </c>
      <c r="P668">
        <v>5</v>
      </c>
      <c r="Q668" s="80">
        <v>0</v>
      </c>
      <c r="R668" s="80">
        <f t="shared" si="131"/>
        <v>5</v>
      </c>
      <c r="AD668"/>
    </row>
    <row r="669" spans="10:30" ht="16.2" customHeight="1">
      <c r="J669" s="80" t="s">
        <v>747</v>
      </c>
      <c r="K669" s="80" t="s">
        <v>8712</v>
      </c>
      <c r="L669" s="80" t="s">
        <v>421</v>
      </c>
      <c r="M669" s="80" t="s">
        <v>403</v>
      </c>
      <c r="N669" t="str">
        <f t="shared" si="132"/>
        <v>Double RearExisting Vanda Flushfit Recessed Track with RunnersWavefold HooksN/A</v>
      </c>
      <c r="O669">
        <v>0</v>
      </c>
      <c r="P669">
        <v>5</v>
      </c>
      <c r="Q669" s="80">
        <v>0</v>
      </c>
      <c r="R669" s="80">
        <f t="shared" si="131"/>
        <v>5</v>
      </c>
      <c r="AD669"/>
    </row>
    <row r="670" spans="10:30" ht="16.2" customHeight="1">
      <c r="J670" s="80" t="s">
        <v>725</v>
      </c>
      <c r="K670" s="80" t="s">
        <v>8712</v>
      </c>
      <c r="L670" s="80" t="s">
        <v>421</v>
      </c>
      <c r="M670" s="80" t="s">
        <v>403</v>
      </c>
      <c r="N670" t="str">
        <f t="shared" si="132"/>
        <v>SingleExisting Vanda Flushfit Recessed Track with RunnersWavefold HooksN/A</v>
      </c>
      <c r="O670">
        <v>0</v>
      </c>
      <c r="P670">
        <v>5</v>
      </c>
      <c r="Q670" s="80">
        <v>0</v>
      </c>
      <c r="R670" s="80">
        <f t="shared" si="131"/>
        <v>5</v>
      </c>
      <c r="AD670"/>
    </row>
    <row r="671" spans="10:30" ht="16.2" customHeight="1">
      <c r="J671" s="80" t="s">
        <v>746</v>
      </c>
      <c r="K671" s="80" t="s">
        <v>8187</v>
      </c>
      <c r="L671" t="s">
        <v>183</v>
      </c>
      <c r="M671" t="s">
        <v>736</v>
      </c>
      <c r="N671" t="str">
        <f t="shared" si="132"/>
        <v>Double FrontExisting Versatrak 25 Rod with RingsBelow Normal 2075Versatrak 25mm Ring Front and 16mm Glide Back Combo Bracket</v>
      </c>
      <c r="O671">
        <v>70</v>
      </c>
      <c r="P671">
        <v>52</v>
      </c>
      <c r="Q671" s="80">
        <v>0</v>
      </c>
      <c r="R671" s="80">
        <f t="shared" si="133" ref="R671:R734">SUM(P671)-O671</f>
        <v>-18</v>
      </c>
      <c r="AD671"/>
    </row>
    <row r="672" spans="10:30" ht="16.2" customHeight="1">
      <c r="J672" s="80" t="s">
        <v>725</v>
      </c>
      <c r="K672" s="80" t="s">
        <v>8187</v>
      </c>
      <c r="L672" t="s">
        <v>183</v>
      </c>
      <c r="M672" t="s">
        <v>736</v>
      </c>
      <c r="N672" t="str">
        <f t="shared" si="132"/>
        <v>SingleExisting Versatrak 25 Rod with RingsBelow Normal 2075Versatrak 25mm Ring Front and 16mm Glide Back Combo Bracket</v>
      </c>
      <c r="O672">
        <v>70</v>
      </c>
      <c r="P672">
        <v>52</v>
      </c>
      <c r="Q672" s="80">
        <v>0</v>
      </c>
      <c r="R672" s="80">
        <f t="shared" si="133"/>
        <v>-18</v>
      </c>
      <c r="AD672"/>
    </row>
    <row r="673" spans="10:30" ht="16.2" customHeight="1">
      <c r="J673" s="80" t="s">
        <v>746</v>
      </c>
      <c r="K673" s="80" t="s">
        <v>8187</v>
      </c>
      <c r="L673" t="s">
        <v>182</v>
      </c>
      <c r="M673" t="s">
        <v>736</v>
      </c>
      <c r="N673" t="str">
        <f t="shared" si="132"/>
        <v>Double FrontExisting Versatrak 25 Rod with RingsBetween Level and Normal 2073Versatrak 25mm Ring Front and 16mm Glide Back Combo Bracket</v>
      </c>
      <c r="O673">
        <v>48</v>
      </c>
      <c r="P673">
        <v>52</v>
      </c>
      <c r="Q673" s="80">
        <v>0</v>
      </c>
      <c r="R673" s="80">
        <f t="shared" si="133"/>
        <v>4</v>
      </c>
      <c r="AD673"/>
    </row>
    <row r="674" spans="10:30" ht="16.2" customHeight="1">
      <c r="J674" s="80" t="s">
        <v>725</v>
      </c>
      <c r="K674" s="80" t="s">
        <v>8187</v>
      </c>
      <c r="L674" t="s">
        <v>182</v>
      </c>
      <c r="M674" t="s">
        <v>736</v>
      </c>
      <c r="N674" t="str">
        <f t="shared" si="132"/>
        <v>SingleExisting Versatrak 25 Rod with RingsBetween Level and Normal 2073Versatrak 25mm Ring Front and 16mm Glide Back Combo Bracket</v>
      </c>
      <c r="O674">
        <v>47</v>
      </c>
      <c r="P674">
        <v>52</v>
      </c>
      <c r="Q674" s="80">
        <v>0</v>
      </c>
      <c r="R674" s="80">
        <f t="shared" si="133"/>
        <v>5</v>
      </c>
      <c r="AD674"/>
    </row>
    <row r="675" spans="10:30" ht="16.2" customHeight="1">
      <c r="J675" s="80" t="s">
        <v>746</v>
      </c>
      <c r="K675" s="80" t="s">
        <v>8187</v>
      </c>
      <c r="L675" t="s">
        <v>184</v>
      </c>
      <c r="M675" t="s">
        <v>736</v>
      </c>
      <c r="N675" t="str">
        <f t="shared" si="132"/>
        <v>Double FrontExisting Versatrak 25 Rod with RingsDecorator 2071Versatrak 25mm Ring Front and 16mm Glide Back Combo Bracket</v>
      </c>
      <c r="O675">
        <v>20</v>
      </c>
      <c r="P675">
        <v>52</v>
      </c>
      <c r="Q675" s="80">
        <v>0</v>
      </c>
      <c r="R675" s="80">
        <f t="shared" si="133"/>
        <v>32</v>
      </c>
      <c r="AD675"/>
    </row>
    <row r="676" spans="10:30" ht="16.2" customHeight="1">
      <c r="J676" s="80" t="s">
        <v>725</v>
      </c>
      <c r="K676" s="80" t="s">
        <v>8187</v>
      </c>
      <c r="L676" t="s">
        <v>184</v>
      </c>
      <c r="M676" t="s">
        <v>736</v>
      </c>
      <c r="N676" t="str">
        <f t="shared" si="132"/>
        <v>SingleExisting Versatrak 25 Rod with RingsDecorator 2071Versatrak 25mm Ring Front and 16mm Glide Back Combo Bracket</v>
      </c>
      <c r="O676">
        <v>20</v>
      </c>
      <c r="P676">
        <v>52</v>
      </c>
      <c r="Q676" s="80">
        <v>0</v>
      </c>
      <c r="R676" s="80">
        <f t="shared" si="133"/>
        <v>32</v>
      </c>
      <c r="AD676"/>
    </row>
    <row r="677" spans="10:30" ht="16.2" customHeight="1">
      <c r="J677" s="80" t="s">
        <v>725</v>
      </c>
      <c r="K677" s="80" t="s">
        <v>8187</v>
      </c>
      <c r="L677" t="s">
        <v>6468</v>
      </c>
      <c r="M677" t="s">
        <v>736</v>
      </c>
      <c r="N677" t="str">
        <f t="shared" si="132"/>
        <v>SingleExisting Versatrak 25 Rod with RingsGather Hook Bottom PocketVersatrak 25mm Ring Front and 16mm Glide Back Combo Bracket</v>
      </c>
      <c r="O677">
        <v>60</v>
      </c>
      <c r="P677">
        <v>52</v>
      </c>
      <c r="Q677" s="80">
        <v>0</v>
      </c>
      <c r="R677" s="80">
        <f t="shared" si="133"/>
        <v>-8</v>
      </c>
      <c r="AD677"/>
    </row>
    <row r="678" spans="10:30" ht="16.2" customHeight="1">
      <c r="J678" s="80" t="s">
        <v>746</v>
      </c>
      <c r="K678" s="80" t="s">
        <v>8187</v>
      </c>
      <c r="L678" t="s">
        <v>229</v>
      </c>
      <c r="M678" t="s">
        <v>736</v>
      </c>
      <c r="N678" t="str">
        <f t="shared" si="132"/>
        <v>Double FrontExisting Versatrak 25 Rod with RingsGather Hook LevelVersatrak 25mm Ring Front and 16mm Glide Back Combo Bracket</v>
      </c>
      <c r="O678">
        <v>20</v>
      </c>
      <c r="P678">
        <v>52</v>
      </c>
      <c r="Q678" s="80">
        <v>0</v>
      </c>
      <c r="R678" s="80">
        <f t="shared" si="133"/>
        <v>32</v>
      </c>
      <c r="AD678"/>
    </row>
    <row r="679" spans="10:30" ht="16.2" customHeight="1">
      <c r="J679" s="80" t="s">
        <v>725</v>
      </c>
      <c r="K679" s="80" t="s">
        <v>8187</v>
      </c>
      <c r="L679" t="s">
        <v>229</v>
      </c>
      <c r="M679" t="s">
        <v>736</v>
      </c>
      <c r="N679" t="str">
        <f t="shared" si="132"/>
        <v>SingleExisting Versatrak 25 Rod with RingsGather Hook LevelVersatrak 25mm Ring Front and 16mm Glide Back Combo Bracket</v>
      </c>
      <c r="O679">
        <v>20</v>
      </c>
      <c r="P679">
        <v>52</v>
      </c>
      <c r="Q679" s="80">
        <v>0</v>
      </c>
      <c r="R679" s="80">
        <f t="shared" si="133"/>
        <v>32</v>
      </c>
      <c r="AD679"/>
    </row>
    <row r="680" spans="10:30" ht="16.2" customHeight="1">
      <c r="J680" s="80" t="s">
        <v>746</v>
      </c>
      <c r="K680" s="80" t="s">
        <v>8187</v>
      </c>
      <c r="L680" t="s">
        <v>228</v>
      </c>
      <c r="M680" t="s">
        <v>736</v>
      </c>
      <c r="N680" t="str">
        <f t="shared" si="132"/>
        <v>Double FrontExisting Versatrak 25 Rod with RingsGather Hook NormalVersatrak 25mm Ring Front and 16mm Glide Back Combo Bracket</v>
      </c>
      <c r="O680">
        <v>43</v>
      </c>
      <c r="P680">
        <v>52</v>
      </c>
      <c r="Q680" s="80">
        <v>0</v>
      </c>
      <c r="R680" s="80">
        <f t="shared" si="133"/>
        <v>9</v>
      </c>
      <c r="AD680"/>
    </row>
    <row r="681" spans="10:30" ht="16.2" customHeight="1">
      <c r="J681" s="80" t="s">
        <v>725</v>
      </c>
      <c r="K681" s="80" t="s">
        <v>8187</v>
      </c>
      <c r="L681" t="s">
        <v>228</v>
      </c>
      <c r="M681" t="s">
        <v>736</v>
      </c>
      <c r="N681" t="str">
        <f t="shared" si="132"/>
        <v>SingleExisting Versatrak 25 Rod with RingsGather Hook NormalVersatrak 25mm Ring Front and 16mm Glide Back Combo Bracket</v>
      </c>
      <c r="O681">
        <v>43</v>
      </c>
      <c r="P681">
        <v>52</v>
      </c>
      <c r="Q681" s="80">
        <v>0</v>
      </c>
      <c r="R681" s="80">
        <f t="shared" si="133"/>
        <v>9</v>
      </c>
      <c r="AD681"/>
    </row>
    <row r="682" spans="10:30" ht="16.2" customHeight="1">
      <c r="J682" s="80" t="s">
        <v>746</v>
      </c>
      <c r="K682" s="80" t="s">
        <v>8187</v>
      </c>
      <c r="L682" t="s">
        <v>282</v>
      </c>
      <c r="M682" t="s">
        <v>736</v>
      </c>
      <c r="N682" t="str">
        <f t="shared" si="132"/>
        <v>Double FrontExisting Versatrak 25 Rod with RingsLevel 2072Versatrak 25mm Ring Front and 16mm Glide Back Combo Bracket</v>
      </c>
      <c r="O682">
        <v>38</v>
      </c>
      <c r="P682">
        <v>52</v>
      </c>
      <c r="Q682" s="80">
        <v>0</v>
      </c>
      <c r="R682" s="80">
        <f t="shared" si="133"/>
        <v>14</v>
      </c>
      <c r="AD682"/>
    </row>
    <row r="683" spans="10:30" ht="16.2" customHeight="1">
      <c r="J683" s="80" t="s">
        <v>725</v>
      </c>
      <c r="K683" s="80" t="s">
        <v>8187</v>
      </c>
      <c r="L683" t="s">
        <v>282</v>
      </c>
      <c r="M683" t="s">
        <v>736</v>
      </c>
      <c r="N683" t="str">
        <f t="shared" si="132"/>
        <v>SingleExisting Versatrak 25 Rod with RingsLevel 2072Versatrak 25mm Ring Front and 16mm Glide Back Combo Bracket</v>
      </c>
      <c r="O683">
        <v>35</v>
      </c>
      <c r="P683">
        <v>52</v>
      </c>
      <c r="Q683" s="80">
        <v>0</v>
      </c>
      <c r="R683" s="80">
        <f t="shared" si="133"/>
        <v>17</v>
      </c>
      <c r="AD683"/>
    </row>
    <row r="684" spans="10:30" ht="16.2" customHeight="1">
      <c r="J684" s="80" t="s">
        <v>746</v>
      </c>
      <c r="K684" s="80" t="s">
        <v>8187</v>
      </c>
      <c r="L684" t="s">
        <v>170</v>
      </c>
      <c r="M684" t="s">
        <v>736</v>
      </c>
      <c r="N684" t="str">
        <f t="shared" si="132"/>
        <v>Double FrontExisting Versatrak 25 Rod with RingsNormal 2074Versatrak 25mm Ring Front and 16mm Glide Back Combo Bracket</v>
      </c>
      <c r="O684">
        <v>60</v>
      </c>
      <c r="P684">
        <v>52</v>
      </c>
      <c r="Q684" s="80">
        <v>0</v>
      </c>
      <c r="R684" s="80">
        <f t="shared" si="133"/>
        <v>-8</v>
      </c>
      <c r="AD684"/>
    </row>
    <row r="685" spans="10:30" ht="16.2" customHeight="1">
      <c r="J685" s="80" t="s">
        <v>725</v>
      </c>
      <c r="K685" s="80" t="s">
        <v>8187</v>
      </c>
      <c r="L685" t="s">
        <v>170</v>
      </c>
      <c r="M685" t="s">
        <v>736</v>
      </c>
      <c r="N685" t="str">
        <f t="shared" si="132"/>
        <v>SingleExisting Versatrak 25 Rod with RingsNormal 2074Versatrak 25mm Ring Front and 16mm Glide Back Combo Bracket</v>
      </c>
      <c r="O685">
        <v>60</v>
      </c>
      <c r="P685">
        <v>52</v>
      </c>
      <c r="Q685" s="80">
        <v>0</v>
      </c>
      <c r="R685" s="80">
        <f t="shared" si="133"/>
        <v>-8</v>
      </c>
      <c r="AD685"/>
    </row>
    <row r="686" spans="10:30" ht="16.2" customHeight="1">
      <c r="J686" s="80" t="s">
        <v>746</v>
      </c>
      <c r="K686" s="80" t="s">
        <v>8187</v>
      </c>
      <c r="L686" t="s">
        <v>183</v>
      </c>
      <c r="M686" t="s">
        <v>734</v>
      </c>
      <c r="N686" t="str">
        <f t="shared" si="132"/>
        <v>Double FrontExisting Versatrak 25 Rod with RingsBelow Normal 2075Versatrak 25mm Ring Front and 25mm Glide Back Combo Bracket</v>
      </c>
      <c r="O686">
        <v>70</v>
      </c>
      <c r="P686">
        <v>52</v>
      </c>
      <c r="Q686" s="80">
        <v>0</v>
      </c>
      <c r="R686" s="80">
        <f t="shared" si="133"/>
        <v>-18</v>
      </c>
      <c r="AD686"/>
    </row>
    <row r="687" spans="10:30" ht="16.2" customHeight="1">
      <c r="J687" s="80" t="s">
        <v>725</v>
      </c>
      <c r="K687" s="80" t="s">
        <v>8187</v>
      </c>
      <c r="L687" t="s">
        <v>183</v>
      </c>
      <c r="M687" t="s">
        <v>734</v>
      </c>
      <c r="N687" t="str">
        <f t="shared" si="132"/>
        <v>SingleExisting Versatrak 25 Rod with RingsBelow Normal 2075Versatrak 25mm Ring Front and 25mm Glide Back Combo Bracket</v>
      </c>
      <c r="O687">
        <v>70</v>
      </c>
      <c r="P687">
        <v>52</v>
      </c>
      <c r="Q687" s="80">
        <v>0</v>
      </c>
      <c r="R687" s="80">
        <f t="shared" si="133"/>
        <v>-18</v>
      </c>
      <c r="AD687"/>
    </row>
    <row r="688" spans="10:30" ht="16.2" customHeight="1">
      <c r="J688" s="80" t="s">
        <v>746</v>
      </c>
      <c r="K688" s="80" t="s">
        <v>8187</v>
      </c>
      <c r="L688" t="s">
        <v>182</v>
      </c>
      <c r="M688" t="s">
        <v>734</v>
      </c>
      <c r="N688" t="str">
        <f t="shared" si="132"/>
        <v>Double FrontExisting Versatrak 25 Rod with RingsBetween Level and Normal 2073Versatrak 25mm Ring Front and 25mm Glide Back Combo Bracket</v>
      </c>
      <c r="O688">
        <v>48</v>
      </c>
      <c r="P688">
        <v>52</v>
      </c>
      <c r="Q688" s="80">
        <v>0</v>
      </c>
      <c r="R688" s="80">
        <f t="shared" si="133"/>
        <v>4</v>
      </c>
      <c r="AD688"/>
    </row>
    <row r="689" spans="10:30" ht="16.2" customHeight="1">
      <c r="J689" s="80" t="s">
        <v>725</v>
      </c>
      <c r="K689" s="80" t="s">
        <v>8187</v>
      </c>
      <c r="L689" t="s">
        <v>182</v>
      </c>
      <c r="M689" t="s">
        <v>734</v>
      </c>
      <c r="N689" t="str">
        <f t="shared" si="132"/>
        <v>SingleExisting Versatrak 25 Rod with RingsBetween Level and Normal 2073Versatrak 25mm Ring Front and 25mm Glide Back Combo Bracket</v>
      </c>
      <c r="O689">
        <v>47</v>
      </c>
      <c r="P689">
        <v>52</v>
      </c>
      <c r="Q689" s="80">
        <v>0</v>
      </c>
      <c r="R689" s="80">
        <f t="shared" si="133"/>
        <v>5</v>
      </c>
      <c r="AD689"/>
    </row>
    <row r="690" spans="10:30" ht="16.2" customHeight="1">
      <c r="J690" s="80" t="s">
        <v>746</v>
      </c>
      <c r="K690" s="80" t="s">
        <v>8187</v>
      </c>
      <c r="L690" t="s">
        <v>184</v>
      </c>
      <c r="M690" t="s">
        <v>734</v>
      </c>
      <c r="N690" t="str">
        <f t="shared" si="132"/>
        <v>Double FrontExisting Versatrak 25 Rod with RingsDecorator 2071Versatrak 25mm Ring Front and 25mm Glide Back Combo Bracket</v>
      </c>
      <c r="O690">
        <v>20</v>
      </c>
      <c r="P690">
        <v>52</v>
      </c>
      <c r="Q690" s="80">
        <v>0</v>
      </c>
      <c r="R690" s="80">
        <f t="shared" si="133"/>
        <v>32</v>
      </c>
      <c r="AD690"/>
    </row>
    <row r="691" spans="10:30" ht="16.2" customHeight="1">
      <c r="J691" s="80" t="s">
        <v>725</v>
      </c>
      <c r="K691" s="80" t="s">
        <v>8187</v>
      </c>
      <c r="L691" t="s">
        <v>184</v>
      </c>
      <c r="M691" t="s">
        <v>734</v>
      </c>
      <c r="N691" t="str">
        <f t="shared" si="132"/>
        <v>SingleExisting Versatrak 25 Rod with RingsDecorator 2071Versatrak 25mm Ring Front and 25mm Glide Back Combo Bracket</v>
      </c>
      <c r="O691">
        <v>20</v>
      </c>
      <c r="P691">
        <v>52</v>
      </c>
      <c r="Q691" s="80">
        <v>0</v>
      </c>
      <c r="R691" s="80">
        <f t="shared" si="133"/>
        <v>32</v>
      </c>
      <c r="AD691"/>
    </row>
    <row r="692" spans="10:30" ht="16.2" customHeight="1">
      <c r="J692" s="80" t="s">
        <v>725</v>
      </c>
      <c r="K692" s="80" t="s">
        <v>8187</v>
      </c>
      <c r="L692" t="s">
        <v>6468</v>
      </c>
      <c r="M692" t="s">
        <v>734</v>
      </c>
      <c r="N692" t="str">
        <f t="shared" si="132"/>
        <v>SingleExisting Versatrak 25 Rod with RingsGather Hook Bottom PocketVersatrak 25mm Ring Front and 25mm Glide Back Combo Bracket</v>
      </c>
      <c r="O692">
        <v>60</v>
      </c>
      <c r="P692">
        <v>52</v>
      </c>
      <c r="Q692" s="80">
        <v>0</v>
      </c>
      <c r="R692" s="80">
        <f t="shared" si="133"/>
        <v>-8</v>
      </c>
      <c r="AD692"/>
    </row>
    <row r="693" spans="10:30" ht="16.2" customHeight="1">
      <c r="J693" s="80" t="s">
        <v>746</v>
      </c>
      <c r="K693" s="80" t="s">
        <v>8187</v>
      </c>
      <c r="L693" t="s">
        <v>229</v>
      </c>
      <c r="M693" t="s">
        <v>734</v>
      </c>
      <c r="N693" t="str">
        <f t="shared" si="132"/>
        <v>Double FrontExisting Versatrak 25 Rod with RingsGather Hook LevelVersatrak 25mm Ring Front and 25mm Glide Back Combo Bracket</v>
      </c>
      <c r="O693">
        <v>20</v>
      </c>
      <c r="P693">
        <v>52</v>
      </c>
      <c r="Q693" s="80">
        <v>0</v>
      </c>
      <c r="R693" s="80">
        <f t="shared" si="133"/>
        <v>32</v>
      </c>
      <c r="AD693"/>
    </row>
    <row r="694" spans="10:30" ht="16.2" customHeight="1">
      <c r="J694" s="80" t="s">
        <v>725</v>
      </c>
      <c r="K694" s="80" t="s">
        <v>8187</v>
      </c>
      <c r="L694" t="s">
        <v>229</v>
      </c>
      <c r="M694" t="s">
        <v>734</v>
      </c>
      <c r="N694" t="str">
        <f t="shared" si="132"/>
        <v>SingleExisting Versatrak 25 Rod with RingsGather Hook LevelVersatrak 25mm Ring Front and 25mm Glide Back Combo Bracket</v>
      </c>
      <c r="O694">
        <v>20</v>
      </c>
      <c r="P694">
        <v>52</v>
      </c>
      <c r="Q694" s="80">
        <v>0</v>
      </c>
      <c r="R694" s="80">
        <f t="shared" si="133"/>
        <v>32</v>
      </c>
      <c r="AD694"/>
    </row>
    <row r="695" spans="10:30" ht="16.2" customHeight="1">
      <c r="J695" s="80" t="s">
        <v>746</v>
      </c>
      <c r="K695" s="80" t="s">
        <v>8187</v>
      </c>
      <c r="L695" t="s">
        <v>228</v>
      </c>
      <c r="M695" t="s">
        <v>734</v>
      </c>
      <c r="N695" t="str">
        <f t="shared" si="132"/>
        <v>Double FrontExisting Versatrak 25 Rod with RingsGather Hook NormalVersatrak 25mm Ring Front and 25mm Glide Back Combo Bracket</v>
      </c>
      <c r="O695">
        <v>43</v>
      </c>
      <c r="P695">
        <v>52</v>
      </c>
      <c r="Q695" s="80">
        <v>0</v>
      </c>
      <c r="R695" s="80">
        <f t="shared" si="133"/>
        <v>9</v>
      </c>
      <c r="AD695"/>
    </row>
    <row r="696" spans="10:30" ht="16.2" customHeight="1">
      <c r="J696" s="80" t="s">
        <v>725</v>
      </c>
      <c r="K696" s="80" t="s">
        <v>8187</v>
      </c>
      <c r="L696" t="s">
        <v>228</v>
      </c>
      <c r="M696" t="s">
        <v>734</v>
      </c>
      <c r="N696" t="str">
        <f t="shared" si="132"/>
        <v>SingleExisting Versatrak 25 Rod with RingsGather Hook NormalVersatrak 25mm Ring Front and 25mm Glide Back Combo Bracket</v>
      </c>
      <c r="O696">
        <v>43</v>
      </c>
      <c r="P696">
        <v>52</v>
      </c>
      <c r="Q696" s="80">
        <v>0</v>
      </c>
      <c r="R696" s="80">
        <f t="shared" si="133"/>
        <v>9</v>
      </c>
      <c r="AD696"/>
    </row>
    <row r="697" spans="10:30" ht="16.2" customHeight="1">
      <c r="J697" s="80" t="s">
        <v>746</v>
      </c>
      <c r="K697" s="80" t="s">
        <v>8187</v>
      </c>
      <c r="L697" t="s">
        <v>282</v>
      </c>
      <c r="M697" t="s">
        <v>734</v>
      </c>
      <c r="N697" t="str">
        <f t="shared" si="132"/>
        <v>Double FrontExisting Versatrak 25 Rod with RingsLevel 2072Versatrak 25mm Ring Front and 25mm Glide Back Combo Bracket</v>
      </c>
      <c r="O697">
        <v>38</v>
      </c>
      <c r="P697">
        <v>52</v>
      </c>
      <c r="Q697" s="80">
        <v>0</v>
      </c>
      <c r="R697" s="80">
        <f t="shared" si="133"/>
        <v>14</v>
      </c>
      <c r="AD697"/>
    </row>
    <row r="698" spans="10:30" ht="16.2" customHeight="1">
      <c r="J698" s="80" t="s">
        <v>725</v>
      </c>
      <c r="K698" s="80" t="s">
        <v>8187</v>
      </c>
      <c r="L698" t="s">
        <v>282</v>
      </c>
      <c r="M698" t="s">
        <v>734</v>
      </c>
      <c r="N698" t="str">
        <f t="shared" si="132"/>
        <v>SingleExisting Versatrak 25 Rod with RingsLevel 2072Versatrak 25mm Ring Front and 25mm Glide Back Combo Bracket</v>
      </c>
      <c r="O698">
        <v>35</v>
      </c>
      <c r="P698">
        <v>52</v>
      </c>
      <c r="Q698" s="80">
        <v>0</v>
      </c>
      <c r="R698" s="80">
        <f t="shared" si="133"/>
        <v>17</v>
      </c>
      <c r="AD698"/>
    </row>
    <row r="699" spans="10:30" ht="16.2" customHeight="1">
      <c r="J699" s="80" t="s">
        <v>746</v>
      </c>
      <c r="K699" s="80" t="s">
        <v>8187</v>
      </c>
      <c r="L699" t="s">
        <v>170</v>
      </c>
      <c r="M699" t="s">
        <v>734</v>
      </c>
      <c r="N699" t="str">
        <f t="shared" si="132"/>
        <v>Double FrontExisting Versatrak 25 Rod with RingsNormal 2074Versatrak 25mm Ring Front and 25mm Glide Back Combo Bracket</v>
      </c>
      <c r="O699">
        <v>60</v>
      </c>
      <c r="P699">
        <v>52</v>
      </c>
      <c r="Q699" s="80">
        <v>0</v>
      </c>
      <c r="R699" s="80">
        <f t="shared" si="133"/>
        <v>-8</v>
      </c>
      <c r="AD699"/>
    </row>
    <row r="700" spans="10:30" ht="16.2" customHeight="1">
      <c r="J700" s="80" t="s">
        <v>725</v>
      </c>
      <c r="K700" s="80" t="s">
        <v>8187</v>
      </c>
      <c r="L700" t="s">
        <v>170</v>
      </c>
      <c r="M700" t="s">
        <v>734</v>
      </c>
      <c r="N700" t="str">
        <f t="shared" si="132"/>
        <v>SingleExisting Versatrak 25 Rod with RingsNormal 2074Versatrak 25mm Ring Front and 25mm Glide Back Combo Bracket</v>
      </c>
      <c r="O700">
        <v>60</v>
      </c>
      <c r="P700">
        <v>52</v>
      </c>
      <c r="Q700" s="80">
        <v>0</v>
      </c>
      <c r="R700" s="80">
        <f t="shared" si="133"/>
        <v>-8</v>
      </c>
      <c r="AD700"/>
    </row>
    <row r="701" spans="10:30" ht="16.2" customHeight="1">
      <c r="J701" s="80" t="s">
        <v>746</v>
      </c>
      <c r="K701" s="80" t="s">
        <v>8187</v>
      </c>
      <c r="L701" t="s">
        <v>183</v>
      </c>
      <c r="M701" s="80" t="s">
        <v>740</v>
      </c>
      <c r="N701" t="str">
        <f t="shared" si="132"/>
        <v>Double FrontExisting Versatrak 25 Rod with RingsBelow Normal 2075Versatrak Ring Bracket 100mm</v>
      </c>
      <c r="O701">
        <v>70</v>
      </c>
      <c r="P701">
        <v>63</v>
      </c>
      <c r="Q701" s="80">
        <v>0</v>
      </c>
      <c r="R701" s="80">
        <f t="shared" si="133"/>
        <v>-7</v>
      </c>
      <c r="AD701"/>
    </row>
    <row r="702" spans="10:30" ht="16.2" customHeight="1">
      <c r="J702" s="80" t="s">
        <v>747</v>
      </c>
      <c r="K702" s="80" t="s">
        <v>8187</v>
      </c>
      <c r="L702" t="s">
        <v>183</v>
      </c>
      <c r="M702" s="80" t="s">
        <v>740</v>
      </c>
      <c r="N702" t="str">
        <f t="shared" si="132"/>
        <v>Double RearExisting Versatrak 25 Rod with RingsBelow Normal 2075Versatrak Ring Bracket 100mm</v>
      </c>
      <c r="O702">
        <v>70</v>
      </c>
      <c r="P702">
        <v>63</v>
      </c>
      <c r="Q702" s="80">
        <v>0</v>
      </c>
      <c r="R702" s="80">
        <f t="shared" si="133"/>
        <v>-7</v>
      </c>
      <c r="AD702"/>
    </row>
    <row r="703" spans="10:30" ht="16.2" customHeight="1">
      <c r="J703" s="80" t="s">
        <v>725</v>
      </c>
      <c r="K703" s="80" t="s">
        <v>8187</v>
      </c>
      <c r="L703" t="s">
        <v>183</v>
      </c>
      <c r="M703" s="80" t="s">
        <v>740</v>
      </c>
      <c r="N703" t="str">
        <f t="shared" si="132"/>
        <v>SingleExisting Versatrak 25 Rod with RingsBelow Normal 2075Versatrak Ring Bracket 100mm</v>
      </c>
      <c r="O703">
        <v>70</v>
      </c>
      <c r="P703">
        <v>63</v>
      </c>
      <c r="Q703" s="80">
        <v>0</v>
      </c>
      <c r="R703" s="80">
        <f t="shared" si="133"/>
        <v>-7</v>
      </c>
      <c r="AD703"/>
    </row>
    <row r="704" spans="10:30" ht="16.2" customHeight="1">
      <c r="J704" s="80" t="s">
        <v>746</v>
      </c>
      <c r="K704" s="80" t="s">
        <v>8187</v>
      </c>
      <c r="L704" t="s">
        <v>182</v>
      </c>
      <c r="M704" s="80" t="s">
        <v>740</v>
      </c>
      <c r="N704" t="str">
        <f t="shared" si="132"/>
        <v>Double FrontExisting Versatrak 25 Rod with RingsBetween Level and Normal 2073Versatrak Ring Bracket 100mm</v>
      </c>
      <c r="O704">
        <v>48</v>
      </c>
      <c r="P704">
        <v>63</v>
      </c>
      <c r="Q704" s="80">
        <v>0</v>
      </c>
      <c r="R704" s="80">
        <f t="shared" si="133"/>
        <v>15</v>
      </c>
      <c r="AD704"/>
    </row>
    <row r="705" spans="10:30" ht="16.2" customHeight="1">
      <c r="J705" s="80" t="s">
        <v>747</v>
      </c>
      <c r="K705" s="80" t="s">
        <v>8187</v>
      </c>
      <c r="L705" t="s">
        <v>182</v>
      </c>
      <c r="M705" s="80" t="s">
        <v>740</v>
      </c>
      <c r="N705" t="str">
        <f t="shared" si="132"/>
        <v>Double RearExisting Versatrak 25 Rod with RingsBetween Level and Normal 2073Versatrak Ring Bracket 100mm</v>
      </c>
      <c r="O705">
        <v>48</v>
      </c>
      <c r="P705">
        <v>63</v>
      </c>
      <c r="Q705" s="80">
        <v>0</v>
      </c>
      <c r="R705" s="80">
        <f t="shared" si="133"/>
        <v>15</v>
      </c>
      <c r="AD705"/>
    </row>
    <row r="706" spans="10:30" ht="16.2" customHeight="1">
      <c r="J706" s="80" t="s">
        <v>725</v>
      </c>
      <c r="K706" s="80" t="s">
        <v>8187</v>
      </c>
      <c r="L706" t="s">
        <v>182</v>
      </c>
      <c r="M706" s="80" t="s">
        <v>740</v>
      </c>
      <c r="N706" t="str">
        <f t="shared" si="134" ref="N706:N769">(CONCATENATE(J706,K706,L706,M706))</f>
        <v>SingleExisting Versatrak 25 Rod with RingsBetween Level and Normal 2073Versatrak Ring Bracket 100mm</v>
      </c>
      <c r="O706">
        <v>47</v>
      </c>
      <c r="P706">
        <v>63</v>
      </c>
      <c r="Q706" s="80">
        <v>0</v>
      </c>
      <c r="R706" s="80">
        <f t="shared" si="133"/>
        <v>16</v>
      </c>
      <c r="AD706"/>
    </row>
    <row r="707" spans="10:30" ht="16.2" customHeight="1">
      <c r="J707" s="80" t="s">
        <v>746</v>
      </c>
      <c r="K707" s="80" t="s">
        <v>8187</v>
      </c>
      <c r="L707" t="s">
        <v>184</v>
      </c>
      <c r="M707" s="80" t="s">
        <v>740</v>
      </c>
      <c r="N707" t="str">
        <f t="shared" si="134"/>
        <v>Double FrontExisting Versatrak 25 Rod with RingsDecorator 2071Versatrak Ring Bracket 100mm</v>
      </c>
      <c r="O707">
        <v>20</v>
      </c>
      <c r="P707">
        <v>63</v>
      </c>
      <c r="Q707" s="80">
        <v>0</v>
      </c>
      <c r="R707" s="80">
        <f t="shared" si="133"/>
        <v>43</v>
      </c>
      <c r="AD707"/>
    </row>
    <row r="708" spans="10:30" ht="16.2" customHeight="1">
      <c r="J708" s="80" t="s">
        <v>747</v>
      </c>
      <c r="K708" s="80" t="s">
        <v>8187</v>
      </c>
      <c r="L708" t="s">
        <v>184</v>
      </c>
      <c r="M708" s="80" t="s">
        <v>740</v>
      </c>
      <c r="N708" t="str">
        <f t="shared" si="134"/>
        <v>Double RearExisting Versatrak 25 Rod with RingsDecorator 2071Versatrak Ring Bracket 100mm</v>
      </c>
      <c r="O708">
        <v>20</v>
      </c>
      <c r="P708">
        <v>63</v>
      </c>
      <c r="Q708" s="80">
        <v>0</v>
      </c>
      <c r="R708" s="80">
        <f t="shared" si="133"/>
        <v>43</v>
      </c>
      <c r="AD708"/>
    </row>
    <row r="709" spans="10:30" ht="16.2" customHeight="1">
      <c r="J709" s="80" t="s">
        <v>725</v>
      </c>
      <c r="K709" s="80" t="s">
        <v>8187</v>
      </c>
      <c r="L709" t="s">
        <v>184</v>
      </c>
      <c r="M709" s="80" t="s">
        <v>740</v>
      </c>
      <c r="N709" t="str">
        <f t="shared" si="134"/>
        <v>SingleExisting Versatrak 25 Rod with RingsDecorator 2071Versatrak Ring Bracket 100mm</v>
      </c>
      <c r="O709">
        <v>20</v>
      </c>
      <c r="P709">
        <v>63</v>
      </c>
      <c r="Q709" s="80">
        <v>0</v>
      </c>
      <c r="R709" s="80">
        <f t="shared" si="133"/>
        <v>43</v>
      </c>
      <c r="AD709"/>
    </row>
    <row r="710" spans="10:30" ht="16.2" customHeight="1">
      <c r="J710" s="80" t="s">
        <v>725</v>
      </c>
      <c r="K710" s="80" t="s">
        <v>8187</v>
      </c>
      <c r="L710" t="s">
        <v>6468</v>
      </c>
      <c r="M710" s="80" t="s">
        <v>740</v>
      </c>
      <c r="N710" t="str">
        <f t="shared" si="134"/>
        <v>SingleExisting Versatrak 25 Rod with RingsGather Hook Bottom PocketVersatrak Ring Bracket 100mm</v>
      </c>
      <c r="O710">
        <v>60</v>
      </c>
      <c r="P710">
        <v>63</v>
      </c>
      <c r="Q710" s="80">
        <v>0</v>
      </c>
      <c r="R710" s="80">
        <f t="shared" si="133"/>
        <v>3</v>
      </c>
      <c r="AD710"/>
    </row>
    <row r="711" spans="10:30" ht="16.2" customHeight="1">
      <c r="J711" s="80" t="s">
        <v>746</v>
      </c>
      <c r="K711" s="80" t="s">
        <v>8187</v>
      </c>
      <c r="L711" t="s">
        <v>229</v>
      </c>
      <c r="M711" s="80" t="s">
        <v>740</v>
      </c>
      <c r="N711" t="str">
        <f t="shared" si="134"/>
        <v>Double FrontExisting Versatrak 25 Rod with RingsGather Hook LevelVersatrak Ring Bracket 100mm</v>
      </c>
      <c r="O711">
        <v>20</v>
      </c>
      <c r="P711">
        <v>63</v>
      </c>
      <c r="Q711" s="80">
        <v>0</v>
      </c>
      <c r="R711" s="80">
        <f t="shared" si="133"/>
        <v>43</v>
      </c>
      <c r="AD711"/>
    </row>
    <row r="712" spans="10:30" ht="16.2" customHeight="1">
      <c r="J712" s="80" t="s">
        <v>747</v>
      </c>
      <c r="K712" s="80" t="s">
        <v>8187</v>
      </c>
      <c r="L712" t="s">
        <v>229</v>
      </c>
      <c r="M712" s="80" t="s">
        <v>740</v>
      </c>
      <c r="N712" t="str">
        <f t="shared" si="134"/>
        <v>Double RearExisting Versatrak 25 Rod with RingsGather Hook LevelVersatrak Ring Bracket 100mm</v>
      </c>
      <c r="O712">
        <v>20</v>
      </c>
      <c r="P712">
        <v>63</v>
      </c>
      <c r="Q712" s="80">
        <v>0</v>
      </c>
      <c r="R712" s="80">
        <f t="shared" si="133"/>
        <v>43</v>
      </c>
      <c r="AD712"/>
    </row>
    <row r="713" spans="10:30" ht="16.2" customHeight="1">
      <c r="J713" s="80" t="s">
        <v>725</v>
      </c>
      <c r="K713" s="80" t="s">
        <v>8187</v>
      </c>
      <c r="L713" t="s">
        <v>229</v>
      </c>
      <c r="M713" s="80" t="s">
        <v>740</v>
      </c>
      <c r="N713" t="str">
        <f t="shared" si="134"/>
        <v>SingleExisting Versatrak 25 Rod with RingsGather Hook LevelVersatrak Ring Bracket 100mm</v>
      </c>
      <c r="O713">
        <v>20</v>
      </c>
      <c r="P713">
        <v>63</v>
      </c>
      <c r="Q713" s="80">
        <v>0</v>
      </c>
      <c r="R713" s="80">
        <f t="shared" si="133"/>
        <v>43</v>
      </c>
      <c r="AD713"/>
    </row>
    <row r="714" spans="10:30" ht="16.2" customHeight="1">
      <c r="J714" s="80" t="s">
        <v>746</v>
      </c>
      <c r="K714" s="80" t="s">
        <v>8187</v>
      </c>
      <c r="L714" t="s">
        <v>228</v>
      </c>
      <c r="M714" s="80" t="s">
        <v>740</v>
      </c>
      <c r="N714" t="str">
        <f t="shared" si="134"/>
        <v>Double FrontExisting Versatrak 25 Rod with RingsGather Hook NormalVersatrak Ring Bracket 100mm</v>
      </c>
      <c r="O714">
        <v>43</v>
      </c>
      <c r="P714">
        <v>63</v>
      </c>
      <c r="Q714" s="80">
        <v>0</v>
      </c>
      <c r="R714" s="80">
        <f t="shared" si="133"/>
        <v>20</v>
      </c>
      <c r="AD714"/>
    </row>
    <row r="715" spans="10:30" ht="16.2" customHeight="1">
      <c r="J715" s="80" t="s">
        <v>747</v>
      </c>
      <c r="K715" s="80" t="s">
        <v>8187</v>
      </c>
      <c r="L715" t="s">
        <v>228</v>
      </c>
      <c r="M715" s="80" t="s">
        <v>740</v>
      </c>
      <c r="N715" t="str">
        <f t="shared" si="134"/>
        <v>Double RearExisting Versatrak 25 Rod with RingsGather Hook NormalVersatrak Ring Bracket 100mm</v>
      </c>
      <c r="O715">
        <v>43</v>
      </c>
      <c r="P715">
        <v>63</v>
      </c>
      <c r="Q715" s="80">
        <v>0</v>
      </c>
      <c r="R715" s="80">
        <f t="shared" si="133"/>
        <v>20</v>
      </c>
      <c r="AD715"/>
    </row>
    <row r="716" spans="10:30" ht="16.2" customHeight="1">
      <c r="J716" s="80" t="s">
        <v>725</v>
      </c>
      <c r="K716" s="80" t="s">
        <v>8187</v>
      </c>
      <c r="L716" t="s">
        <v>228</v>
      </c>
      <c r="M716" s="80" t="s">
        <v>740</v>
      </c>
      <c r="N716" t="str">
        <f t="shared" si="134"/>
        <v>SingleExisting Versatrak 25 Rod with RingsGather Hook NormalVersatrak Ring Bracket 100mm</v>
      </c>
      <c r="O716">
        <v>43</v>
      </c>
      <c r="P716">
        <v>63</v>
      </c>
      <c r="Q716" s="80">
        <v>0</v>
      </c>
      <c r="R716" s="80">
        <f t="shared" si="133"/>
        <v>20</v>
      </c>
      <c r="AD716"/>
    </row>
    <row r="717" spans="10:30" ht="16.2" customHeight="1">
      <c r="J717" s="80" t="s">
        <v>746</v>
      </c>
      <c r="K717" s="80" t="s">
        <v>8187</v>
      </c>
      <c r="L717" t="s">
        <v>282</v>
      </c>
      <c r="M717" s="80" t="s">
        <v>740</v>
      </c>
      <c r="N717" t="str">
        <f t="shared" si="134"/>
        <v>Double FrontExisting Versatrak 25 Rod with RingsLevel 2072Versatrak Ring Bracket 100mm</v>
      </c>
      <c r="O717">
        <v>38</v>
      </c>
      <c r="P717">
        <v>63</v>
      </c>
      <c r="Q717" s="80">
        <v>0</v>
      </c>
      <c r="R717" s="80">
        <f t="shared" si="133"/>
        <v>25</v>
      </c>
      <c r="AD717"/>
    </row>
    <row r="718" spans="10:30" ht="16.2" customHeight="1">
      <c r="J718" s="80" t="s">
        <v>747</v>
      </c>
      <c r="K718" s="80" t="s">
        <v>8187</v>
      </c>
      <c r="L718" t="s">
        <v>282</v>
      </c>
      <c r="M718" s="80" t="s">
        <v>740</v>
      </c>
      <c r="N718" t="str">
        <f t="shared" si="134"/>
        <v>Double RearExisting Versatrak 25 Rod with RingsLevel 2072Versatrak Ring Bracket 100mm</v>
      </c>
      <c r="O718">
        <v>38</v>
      </c>
      <c r="P718">
        <v>63</v>
      </c>
      <c r="Q718" s="80">
        <v>0</v>
      </c>
      <c r="R718" s="80">
        <f t="shared" si="133"/>
        <v>25</v>
      </c>
      <c r="AD718"/>
    </row>
    <row r="719" spans="10:30" ht="16.2" customHeight="1">
      <c r="J719" s="80" t="s">
        <v>725</v>
      </c>
      <c r="K719" s="80" t="s">
        <v>8187</v>
      </c>
      <c r="L719" t="s">
        <v>282</v>
      </c>
      <c r="M719" s="80" t="s">
        <v>740</v>
      </c>
      <c r="N719" t="str">
        <f t="shared" si="134"/>
        <v>SingleExisting Versatrak 25 Rod with RingsLevel 2072Versatrak Ring Bracket 100mm</v>
      </c>
      <c r="O719">
        <v>35</v>
      </c>
      <c r="P719">
        <v>63</v>
      </c>
      <c r="Q719" s="80">
        <v>0</v>
      </c>
      <c r="R719" s="80">
        <f t="shared" si="133"/>
        <v>28</v>
      </c>
      <c r="AD719"/>
    </row>
    <row r="720" spans="10:30" ht="16.2" customHeight="1">
      <c r="J720" s="80" t="s">
        <v>746</v>
      </c>
      <c r="K720" s="80" t="s">
        <v>8187</v>
      </c>
      <c r="L720" t="s">
        <v>170</v>
      </c>
      <c r="M720" s="80" t="s">
        <v>740</v>
      </c>
      <c r="N720" t="str">
        <f t="shared" si="134"/>
        <v>Double FrontExisting Versatrak 25 Rod with RingsNormal 2074Versatrak Ring Bracket 100mm</v>
      </c>
      <c r="O720">
        <v>60</v>
      </c>
      <c r="P720">
        <v>63</v>
      </c>
      <c r="Q720" s="80">
        <v>0</v>
      </c>
      <c r="R720" s="80">
        <f t="shared" si="133"/>
        <v>3</v>
      </c>
      <c r="AD720"/>
    </row>
    <row r="721" spans="10:30" ht="16.2" customHeight="1">
      <c r="J721" s="80" t="s">
        <v>747</v>
      </c>
      <c r="K721" s="80" t="s">
        <v>8187</v>
      </c>
      <c r="L721" t="s">
        <v>170</v>
      </c>
      <c r="M721" s="80" t="s">
        <v>740</v>
      </c>
      <c r="N721" t="str">
        <f t="shared" si="134"/>
        <v>Double RearExisting Versatrak 25 Rod with RingsNormal 2074Versatrak Ring Bracket 100mm</v>
      </c>
      <c r="O721">
        <v>60</v>
      </c>
      <c r="P721">
        <v>63</v>
      </c>
      <c r="Q721" s="80">
        <v>0</v>
      </c>
      <c r="R721" s="80">
        <f t="shared" si="133"/>
        <v>3</v>
      </c>
      <c r="AD721"/>
    </row>
    <row r="722" spans="10:30" ht="16.2" customHeight="1">
      <c r="J722" s="80" t="s">
        <v>725</v>
      </c>
      <c r="K722" s="80" t="s">
        <v>8187</v>
      </c>
      <c r="L722" t="s">
        <v>170</v>
      </c>
      <c r="M722" s="80" t="s">
        <v>740</v>
      </c>
      <c r="N722" t="str">
        <f t="shared" si="134"/>
        <v>SingleExisting Versatrak 25 Rod with RingsNormal 2074Versatrak Ring Bracket 100mm</v>
      </c>
      <c r="O722">
        <v>60</v>
      </c>
      <c r="P722">
        <v>63</v>
      </c>
      <c r="Q722" s="80">
        <v>0</v>
      </c>
      <c r="R722" s="80">
        <f t="shared" si="133"/>
        <v>3</v>
      </c>
      <c r="AD722"/>
    </row>
    <row r="723" spans="10:30" ht="16.2" customHeight="1">
      <c r="J723" s="80" t="s">
        <v>746</v>
      </c>
      <c r="K723" s="80" t="s">
        <v>8187</v>
      </c>
      <c r="L723" t="s">
        <v>183</v>
      </c>
      <c r="M723" s="80" t="s">
        <v>741</v>
      </c>
      <c r="N723" t="str">
        <f t="shared" si="134"/>
        <v>Double FrontExisting Versatrak 25 Rod with RingsBelow Normal 2075Versatrak Ring Bracket 140mm</v>
      </c>
      <c r="O723">
        <v>70</v>
      </c>
      <c r="P723">
        <v>52</v>
      </c>
      <c r="Q723" s="80">
        <v>0</v>
      </c>
      <c r="R723" s="80">
        <f t="shared" si="133"/>
        <v>-18</v>
      </c>
      <c r="AD723"/>
    </row>
    <row r="724" spans="10:30" ht="16.2" customHeight="1">
      <c r="J724" s="80" t="s">
        <v>747</v>
      </c>
      <c r="K724" s="80" t="s">
        <v>8187</v>
      </c>
      <c r="L724" t="s">
        <v>183</v>
      </c>
      <c r="M724" s="80" t="s">
        <v>741</v>
      </c>
      <c r="N724" t="str">
        <f t="shared" si="134"/>
        <v>Double RearExisting Versatrak 25 Rod with RingsBelow Normal 2075Versatrak Ring Bracket 140mm</v>
      </c>
      <c r="O724">
        <v>70</v>
      </c>
      <c r="P724">
        <v>52</v>
      </c>
      <c r="Q724" s="80">
        <v>0</v>
      </c>
      <c r="R724" s="80">
        <f t="shared" si="133"/>
        <v>-18</v>
      </c>
      <c r="AD724"/>
    </row>
    <row r="725" spans="10:30" ht="16.2" customHeight="1">
      <c r="J725" s="80" t="s">
        <v>725</v>
      </c>
      <c r="K725" s="80" t="s">
        <v>8187</v>
      </c>
      <c r="L725" t="s">
        <v>183</v>
      </c>
      <c r="M725" s="80" t="s">
        <v>741</v>
      </c>
      <c r="N725" t="str">
        <f t="shared" si="134"/>
        <v>SingleExisting Versatrak 25 Rod with RingsBelow Normal 2075Versatrak Ring Bracket 140mm</v>
      </c>
      <c r="O725">
        <v>70</v>
      </c>
      <c r="P725">
        <v>52</v>
      </c>
      <c r="Q725" s="80">
        <v>0</v>
      </c>
      <c r="R725" s="80">
        <f t="shared" si="133"/>
        <v>-18</v>
      </c>
      <c r="AD725"/>
    </row>
    <row r="726" spans="10:30" ht="16.2" customHeight="1">
      <c r="J726" s="80" t="s">
        <v>746</v>
      </c>
      <c r="K726" s="80" t="s">
        <v>8187</v>
      </c>
      <c r="L726" t="s">
        <v>182</v>
      </c>
      <c r="M726" s="80" t="s">
        <v>741</v>
      </c>
      <c r="N726" t="str">
        <f t="shared" si="134"/>
        <v>Double FrontExisting Versatrak 25 Rod with RingsBetween Level and Normal 2073Versatrak Ring Bracket 140mm</v>
      </c>
      <c r="O726">
        <v>48</v>
      </c>
      <c r="P726">
        <v>52</v>
      </c>
      <c r="Q726" s="80">
        <v>0</v>
      </c>
      <c r="R726" s="80">
        <f t="shared" si="133"/>
        <v>4</v>
      </c>
      <c r="AD726"/>
    </row>
    <row r="727" spans="10:30" ht="16.2" customHeight="1">
      <c r="J727" s="80" t="s">
        <v>747</v>
      </c>
      <c r="K727" s="80" t="s">
        <v>8187</v>
      </c>
      <c r="L727" t="s">
        <v>182</v>
      </c>
      <c r="M727" s="80" t="s">
        <v>741</v>
      </c>
      <c r="N727" t="str">
        <f t="shared" si="134"/>
        <v>Double RearExisting Versatrak 25 Rod with RingsBetween Level and Normal 2073Versatrak Ring Bracket 140mm</v>
      </c>
      <c r="O727">
        <v>48</v>
      </c>
      <c r="P727">
        <v>52</v>
      </c>
      <c r="Q727" s="80">
        <v>0</v>
      </c>
      <c r="R727" s="80">
        <f t="shared" si="133"/>
        <v>4</v>
      </c>
      <c r="AD727"/>
    </row>
    <row r="728" spans="10:30" ht="16.2" customHeight="1">
      <c r="J728" s="80" t="s">
        <v>725</v>
      </c>
      <c r="K728" s="80" t="s">
        <v>8187</v>
      </c>
      <c r="L728" t="s">
        <v>182</v>
      </c>
      <c r="M728" s="80" t="s">
        <v>741</v>
      </c>
      <c r="N728" t="str">
        <f t="shared" si="134"/>
        <v>SingleExisting Versatrak 25 Rod with RingsBetween Level and Normal 2073Versatrak Ring Bracket 140mm</v>
      </c>
      <c r="O728">
        <v>47</v>
      </c>
      <c r="P728">
        <v>52</v>
      </c>
      <c r="Q728" s="80">
        <v>0</v>
      </c>
      <c r="R728" s="80">
        <f t="shared" si="133"/>
        <v>5</v>
      </c>
      <c r="AD728"/>
    </row>
    <row r="729" spans="10:30" ht="16.2" customHeight="1">
      <c r="J729" s="80" t="s">
        <v>746</v>
      </c>
      <c r="K729" s="80" t="s">
        <v>8187</v>
      </c>
      <c r="L729" t="s">
        <v>184</v>
      </c>
      <c r="M729" s="80" t="s">
        <v>741</v>
      </c>
      <c r="N729" t="str">
        <f t="shared" si="134"/>
        <v>Double FrontExisting Versatrak 25 Rod with RingsDecorator 2071Versatrak Ring Bracket 140mm</v>
      </c>
      <c r="O729">
        <v>20</v>
      </c>
      <c r="P729">
        <v>52</v>
      </c>
      <c r="Q729" s="80">
        <v>0</v>
      </c>
      <c r="R729" s="80">
        <f t="shared" si="133"/>
        <v>32</v>
      </c>
      <c r="AD729"/>
    </row>
    <row r="730" spans="10:30" ht="16.2" customHeight="1">
      <c r="J730" s="80" t="s">
        <v>747</v>
      </c>
      <c r="K730" s="80" t="s">
        <v>8187</v>
      </c>
      <c r="L730" t="s">
        <v>184</v>
      </c>
      <c r="M730" s="80" t="s">
        <v>741</v>
      </c>
      <c r="N730" t="str">
        <f t="shared" si="134"/>
        <v>Double RearExisting Versatrak 25 Rod with RingsDecorator 2071Versatrak Ring Bracket 140mm</v>
      </c>
      <c r="O730">
        <v>20</v>
      </c>
      <c r="P730">
        <v>52</v>
      </c>
      <c r="Q730" s="80">
        <v>0</v>
      </c>
      <c r="R730" s="80">
        <f t="shared" si="133"/>
        <v>32</v>
      </c>
      <c r="AD730"/>
    </row>
    <row r="731" spans="10:30" ht="16.2" customHeight="1">
      <c r="J731" s="80" t="s">
        <v>725</v>
      </c>
      <c r="K731" s="80" t="s">
        <v>8187</v>
      </c>
      <c r="L731" t="s">
        <v>184</v>
      </c>
      <c r="M731" s="80" t="s">
        <v>741</v>
      </c>
      <c r="N731" t="str">
        <f t="shared" si="134"/>
        <v>SingleExisting Versatrak 25 Rod with RingsDecorator 2071Versatrak Ring Bracket 140mm</v>
      </c>
      <c r="O731">
        <v>20</v>
      </c>
      <c r="P731">
        <v>52</v>
      </c>
      <c r="Q731" s="80">
        <v>0</v>
      </c>
      <c r="R731" s="80">
        <f t="shared" si="133"/>
        <v>32</v>
      </c>
      <c r="AD731"/>
    </row>
    <row r="732" spans="10:30" ht="16.2" customHeight="1">
      <c r="J732" s="80" t="s">
        <v>725</v>
      </c>
      <c r="K732" s="80" t="s">
        <v>8187</v>
      </c>
      <c r="L732" t="s">
        <v>6468</v>
      </c>
      <c r="M732" s="80" t="s">
        <v>741</v>
      </c>
      <c r="N732" t="str">
        <f t="shared" si="134"/>
        <v>SingleExisting Versatrak 25 Rod with RingsGather Hook Bottom PocketVersatrak Ring Bracket 140mm</v>
      </c>
      <c r="O732">
        <v>60</v>
      </c>
      <c r="P732">
        <v>52</v>
      </c>
      <c r="Q732" s="80">
        <v>0</v>
      </c>
      <c r="R732" s="80">
        <f t="shared" si="133"/>
        <v>-8</v>
      </c>
      <c r="AD732"/>
    </row>
    <row r="733" spans="10:30" ht="16.2" customHeight="1">
      <c r="J733" s="80" t="s">
        <v>746</v>
      </c>
      <c r="K733" s="80" t="s">
        <v>8187</v>
      </c>
      <c r="L733" t="s">
        <v>229</v>
      </c>
      <c r="M733" s="80" t="s">
        <v>741</v>
      </c>
      <c r="N733" t="str">
        <f t="shared" si="134"/>
        <v>Double FrontExisting Versatrak 25 Rod with RingsGather Hook LevelVersatrak Ring Bracket 140mm</v>
      </c>
      <c r="O733">
        <v>20</v>
      </c>
      <c r="P733">
        <v>52</v>
      </c>
      <c r="Q733" s="80">
        <v>0</v>
      </c>
      <c r="R733" s="80">
        <f t="shared" si="133"/>
        <v>32</v>
      </c>
      <c r="AD733"/>
    </row>
    <row r="734" spans="10:30" ht="16.2" customHeight="1">
      <c r="J734" s="80" t="s">
        <v>747</v>
      </c>
      <c r="K734" s="80" t="s">
        <v>8187</v>
      </c>
      <c r="L734" t="s">
        <v>229</v>
      </c>
      <c r="M734" s="80" t="s">
        <v>741</v>
      </c>
      <c r="N734" t="str">
        <f t="shared" si="134"/>
        <v>Double RearExisting Versatrak 25 Rod with RingsGather Hook LevelVersatrak Ring Bracket 140mm</v>
      </c>
      <c r="O734">
        <v>20</v>
      </c>
      <c r="P734">
        <v>52</v>
      </c>
      <c r="Q734" s="80">
        <v>0</v>
      </c>
      <c r="R734" s="80">
        <f t="shared" si="133"/>
        <v>32</v>
      </c>
      <c r="AD734"/>
    </row>
    <row r="735" spans="10:30" ht="16.2" customHeight="1">
      <c r="J735" s="80" t="s">
        <v>725</v>
      </c>
      <c r="K735" s="80" t="s">
        <v>8187</v>
      </c>
      <c r="L735" t="s">
        <v>229</v>
      </c>
      <c r="M735" s="80" t="s">
        <v>741</v>
      </c>
      <c r="N735" t="str">
        <f t="shared" si="134"/>
        <v>SingleExisting Versatrak 25 Rod with RingsGather Hook LevelVersatrak Ring Bracket 140mm</v>
      </c>
      <c r="O735">
        <v>20</v>
      </c>
      <c r="P735">
        <v>52</v>
      </c>
      <c r="Q735" s="80">
        <v>0</v>
      </c>
      <c r="R735" s="80">
        <f t="shared" si="135" ref="R735:R798">SUM(P735)-O735</f>
        <v>32</v>
      </c>
      <c r="AD735"/>
    </row>
    <row r="736" spans="10:30" ht="16.2" customHeight="1">
      <c r="J736" s="80" t="s">
        <v>746</v>
      </c>
      <c r="K736" s="80" t="s">
        <v>8187</v>
      </c>
      <c r="L736" t="s">
        <v>228</v>
      </c>
      <c r="M736" s="80" t="s">
        <v>741</v>
      </c>
      <c r="N736" t="str">
        <f t="shared" si="134"/>
        <v>Double FrontExisting Versatrak 25 Rod with RingsGather Hook NormalVersatrak Ring Bracket 140mm</v>
      </c>
      <c r="O736">
        <v>43</v>
      </c>
      <c r="P736">
        <v>52</v>
      </c>
      <c r="Q736" s="80">
        <v>0</v>
      </c>
      <c r="R736" s="80">
        <f t="shared" si="135"/>
        <v>9</v>
      </c>
      <c r="AD736"/>
    </row>
    <row r="737" spans="10:30" ht="16.2" customHeight="1">
      <c r="J737" s="80" t="s">
        <v>747</v>
      </c>
      <c r="K737" s="80" t="s">
        <v>8187</v>
      </c>
      <c r="L737" t="s">
        <v>228</v>
      </c>
      <c r="M737" s="80" t="s">
        <v>741</v>
      </c>
      <c r="N737" t="str">
        <f t="shared" si="134"/>
        <v>Double RearExisting Versatrak 25 Rod with RingsGather Hook NormalVersatrak Ring Bracket 140mm</v>
      </c>
      <c r="O737">
        <v>43</v>
      </c>
      <c r="P737">
        <v>52</v>
      </c>
      <c r="Q737" s="80">
        <v>0</v>
      </c>
      <c r="R737" s="80">
        <f t="shared" si="135"/>
        <v>9</v>
      </c>
      <c r="AD737"/>
    </row>
    <row r="738" spans="10:30" ht="16.2" customHeight="1">
      <c r="J738" s="80" t="s">
        <v>725</v>
      </c>
      <c r="K738" s="80" t="s">
        <v>8187</v>
      </c>
      <c r="L738" t="s">
        <v>228</v>
      </c>
      <c r="M738" s="80" t="s">
        <v>741</v>
      </c>
      <c r="N738" t="str">
        <f t="shared" si="134"/>
        <v>SingleExisting Versatrak 25 Rod with RingsGather Hook NormalVersatrak Ring Bracket 140mm</v>
      </c>
      <c r="O738">
        <v>43</v>
      </c>
      <c r="P738">
        <v>52</v>
      </c>
      <c r="Q738" s="80">
        <v>0</v>
      </c>
      <c r="R738" s="80">
        <f t="shared" si="135"/>
        <v>9</v>
      </c>
      <c r="AD738"/>
    </row>
    <row r="739" spans="10:30" ht="16.2" customHeight="1">
      <c r="J739" s="80" t="s">
        <v>746</v>
      </c>
      <c r="K739" s="80" t="s">
        <v>8187</v>
      </c>
      <c r="L739" t="s">
        <v>282</v>
      </c>
      <c r="M739" s="80" t="s">
        <v>741</v>
      </c>
      <c r="N739" t="str">
        <f t="shared" si="134"/>
        <v>Double FrontExisting Versatrak 25 Rod with RingsLevel 2072Versatrak Ring Bracket 140mm</v>
      </c>
      <c r="O739">
        <v>38</v>
      </c>
      <c r="P739">
        <v>52</v>
      </c>
      <c r="Q739" s="80">
        <v>0</v>
      </c>
      <c r="R739" s="80">
        <f t="shared" si="135"/>
        <v>14</v>
      </c>
      <c r="AD739"/>
    </row>
    <row r="740" spans="10:30" ht="16.2" customHeight="1">
      <c r="J740" s="80" t="s">
        <v>747</v>
      </c>
      <c r="K740" s="80" t="s">
        <v>8187</v>
      </c>
      <c r="L740" t="s">
        <v>282</v>
      </c>
      <c r="M740" s="80" t="s">
        <v>741</v>
      </c>
      <c r="N740" t="str">
        <f t="shared" si="134"/>
        <v>Double RearExisting Versatrak 25 Rod with RingsLevel 2072Versatrak Ring Bracket 140mm</v>
      </c>
      <c r="O740">
        <v>38</v>
      </c>
      <c r="P740">
        <v>52</v>
      </c>
      <c r="Q740" s="80">
        <v>0</v>
      </c>
      <c r="R740" s="80">
        <f t="shared" si="135"/>
        <v>14</v>
      </c>
      <c r="AD740"/>
    </row>
    <row r="741" spans="10:30" ht="16.2" customHeight="1">
      <c r="J741" s="80" t="s">
        <v>725</v>
      </c>
      <c r="K741" s="80" t="s">
        <v>8187</v>
      </c>
      <c r="L741" t="s">
        <v>282</v>
      </c>
      <c r="M741" s="80" t="s">
        <v>741</v>
      </c>
      <c r="N741" t="str">
        <f t="shared" si="134"/>
        <v>SingleExisting Versatrak 25 Rod with RingsLevel 2072Versatrak Ring Bracket 140mm</v>
      </c>
      <c r="O741">
        <v>35</v>
      </c>
      <c r="P741">
        <v>52</v>
      </c>
      <c r="Q741" s="80">
        <v>0</v>
      </c>
      <c r="R741" s="80">
        <f t="shared" si="135"/>
        <v>17</v>
      </c>
      <c r="AD741"/>
    </row>
    <row r="742" spans="10:30" ht="16.2" customHeight="1">
      <c r="J742" s="80" t="s">
        <v>746</v>
      </c>
      <c r="K742" s="80" t="s">
        <v>8187</v>
      </c>
      <c r="L742" t="s">
        <v>170</v>
      </c>
      <c r="M742" s="80" t="s">
        <v>741</v>
      </c>
      <c r="N742" t="str">
        <f t="shared" si="134"/>
        <v>Double FrontExisting Versatrak 25 Rod with RingsNormal 2074Versatrak Ring Bracket 140mm</v>
      </c>
      <c r="O742">
        <v>60</v>
      </c>
      <c r="P742">
        <v>52</v>
      </c>
      <c r="Q742" s="80">
        <v>0</v>
      </c>
      <c r="R742" s="80">
        <f t="shared" si="135"/>
        <v>-8</v>
      </c>
      <c r="AD742"/>
    </row>
    <row r="743" spans="10:30" ht="16.2" customHeight="1">
      <c r="J743" s="80" t="s">
        <v>747</v>
      </c>
      <c r="K743" s="80" t="s">
        <v>8187</v>
      </c>
      <c r="L743" t="s">
        <v>170</v>
      </c>
      <c r="M743" s="80" t="s">
        <v>741</v>
      </c>
      <c r="N743" t="str">
        <f t="shared" si="134"/>
        <v>Double RearExisting Versatrak 25 Rod with RingsNormal 2074Versatrak Ring Bracket 140mm</v>
      </c>
      <c r="O743">
        <v>60</v>
      </c>
      <c r="P743">
        <v>52</v>
      </c>
      <c r="Q743" s="80">
        <v>0</v>
      </c>
      <c r="R743" s="80">
        <f t="shared" si="135"/>
        <v>-8</v>
      </c>
      <c r="AD743"/>
    </row>
    <row r="744" spans="10:30" ht="16.2" customHeight="1">
      <c r="J744" s="80" t="s">
        <v>725</v>
      </c>
      <c r="K744" s="80" t="s">
        <v>8187</v>
      </c>
      <c r="L744" t="s">
        <v>170</v>
      </c>
      <c r="M744" s="80" t="s">
        <v>741</v>
      </c>
      <c r="N744" t="str">
        <f t="shared" si="134"/>
        <v>SingleExisting Versatrak 25 Rod with RingsNormal 2074Versatrak Ring Bracket 140mm</v>
      </c>
      <c r="O744">
        <v>60</v>
      </c>
      <c r="P744">
        <v>52</v>
      </c>
      <c r="Q744" s="80">
        <v>0</v>
      </c>
      <c r="R744" s="80">
        <f t="shared" si="135"/>
        <v>-8</v>
      </c>
      <c r="AD744"/>
    </row>
    <row r="745" spans="10:30" ht="16.2" customHeight="1">
      <c r="J745" s="80" t="s">
        <v>746</v>
      </c>
      <c r="K745" s="80" t="s">
        <v>8187</v>
      </c>
      <c r="L745" t="s">
        <v>183</v>
      </c>
      <c r="M745" s="80" t="s">
        <v>739</v>
      </c>
      <c r="N745" t="str">
        <f t="shared" si="134"/>
        <v>Double FrontExisting Versatrak 25 Rod with RingsBelow Normal 2075Versatrak Ring Bracket 60mm</v>
      </c>
      <c r="O745">
        <v>70</v>
      </c>
      <c r="P745">
        <v>60</v>
      </c>
      <c r="Q745" s="80">
        <v>0</v>
      </c>
      <c r="R745" s="80">
        <f t="shared" si="135"/>
        <v>-10</v>
      </c>
      <c r="AD745"/>
    </row>
    <row r="746" spans="10:30" ht="16.2" customHeight="1">
      <c r="J746" s="80" t="s">
        <v>747</v>
      </c>
      <c r="K746" s="80" t="s">
        <v>8187</v>
      </c>
      <c r="L746" t="s">
        <v>183</v>
      </c>
      <c r="M746" s="80" t="s">
        <v>739</v>
      </c>
      <c r="N746" t="str">
        <f t="shared" si="134"/>
        <v>Double RearExisting Versatrak 25 Rod with RingsBelow Normal 2075Versatrak Ring Bracket 60mm</v>
      </c>
      <c r="O746">
        <v>70</v>
      </c>
      <c r="P746">
        <v>60</v>
      </c>
      <c r="Q746" s="80">
        <v>0</v>
      </c>
      <c r="R746" s="80">
        <f t="shared" si="135"/>
        <v>-10</v>
      </c>
      <c r="AD746"/>
    </row>
    <row r="747" spans="10:30" ht="16.2" customHeight="1">
      <c r="J747" s="80" t="s">
        <v>725</v>
      </c>
      <c r="K747" s="80" t="s">
        <v>8187</v>
      </c>
      <c r="L747" t="s">
        <v>183</v>
      </c>
      <c r="M747" s="80" t="s">
        <v>739</v>
      </c>
      <c r="N747" t="str">
        <f t="shared" si="134"/>
        <v>SingleExisting Versatrak 25 Rod with RingsBelow Normal 2075Versatrak Ring Bracket 60mm</v>
      </c>
      <c r="O747">
        <v>70</v>
      </c>
      <c r="P747">
        <v>60</v>
      </c>
      <c r="Q747" s="80">
        <v>0</v>
      </c>
      <c r="R747" s="80">
        <f t="shared" si="135"/>
        <v>-10</v>
      </c>
      <c r="AD747"/>
    </row>
    <row r="748" spans="10:30" ht="16.2" customHeight="1">
      <c r="J748" s="80" t="s">
        <v>746</v>
      </c>
      <c r="K748" s="80" t="s">
        <v>8187</v>
      </c>
      <c r="L748" t="s">
        <v>182</v>
      </c>
      <c r="M748" s="80" t="s">
        <v>739</v>
      </c>
      <c r="N748" t="str">
        <f t="shared" si="134"/>
        <v>Double FrontExisting Versatrak 25 Rod with RingsBetween Level and Normal 2073Versatrak Ring Bracket 60mm</v>
      </c>
      <c r="O748">
        <v>48</v>
      </c>
      <c r="P748">
        <v>60</v>
      </c>
      <c r="Q748" s="80">
        <v>0</v>
      </c>
      <c r="R748" s="80">
        <f t="shared" si="135"/>
        <v>12</v>
      </c>
      <c r="AD748"/>
    </row>
    <row r="749" spans="10:30" ht="16.2" customHeight="1">
      <c r="J749" s="80" t="s">
        <v>747</v>
      </c>
      <c r="K749" s="80" t="s">
        <v>8187</v>
      </c>
      <c r="L749" t="s">
        <v>182</v>
      </c>
      <c r="M749" s="80" t="s">
        <v>739</v>
      </c>
      <c r="N749" t="str">
        <f t="shared" si="134"/>
        <v>Double RearExisting Versatrak 25 Rod with RingsBetween Level and Normal 2073Versatrak Ring Bracket 60mm</v>
      </c>
      <c r="O749">
        <v>48</v>
      </c>
      <c r="P749">
        <v>60</v>
      </c>
      <c r="Q749" s="80">
        <v>0</v>
      </c>
      <c r="R749" s="80">
        <f t="shared" si="135"/>
        <v>12</v>
      </c>
      <c r="AD749"/>
    </row>
    <row r="750" spans="10:30" ht="16.2" customHeight="1">
      <c r="J750" s="80" t="s">
        <v>725</v>
      </c>
      <c r="K750" s="80" t="s">
        <v>8187</v>
      </c>
      <c r="L750" t="s">
        <v>182</v>
      </c>
      <c r="M750" s="80" t="s">
        <v>739</v>
      </c>
      <c r="N750" t="str">
        <f t="shared" si="134"/>
        <v>SingleExisting Versatrak 25 Rod with RingsBetween Level and Normal 2073Versatrak Ring Bracket 60mm</v>
      </c>
      <c r="O750">
        <v>47</v>
      </c>
      <c r="P750">
        <v>60</v>
      </c>
      <c r="Q750" s="80">
        <v>0</v>
      </c>
      <c r="R750" s="80">
        <f t="shared" si="135"/>
        <v>13</v>
      </c>
      <c r="AD750"/>
    </row>
    <row r="751" spans="10:30" ht="16.2" customHeight="1">
      <c r="J751" s="80" t="s">
        <v>746</v>
      </c>
      <c r="K751" s="80" t="s">
        <v>8187</v>
      </c>
      <c r="L751" t="s">
        <v>184</v>
      </c>
      <c r="M751" s="80" t="s">
        <v>739</v>
      </c>
      <c r="N751" t="str">
        <f t="shared" si="134"/>
        <v>Double FrontExisting Versatrak 25 Rod with RingsDecorator 2071Versatrak Ring Bracket 60mm</v>
      </c>
      <c r="O751">
        <v>20</v>
      </c>
      <c r="P751">
        <v>60</v>
      </c>
      <c r="Q751" s="80">
        <v>0</v>
      </c>
      <c r="R751" s="80">
        <f t="shared" si="135"/>
        <v>40</v>
      </c>
      <c r="AD751"/>
    </row>
    <row r="752" spans="10:30" ht="16.2" customHeight="1">
      <c r="J752" s="80" t="s">
        <v>747</v>
      </c>
      <c r="K752" s="80" t="s">
        <v>8187</v>
      </c>
      <c r="L752" t="s">
        <v>184</v>
      </c>
      <c r="M752" s="80" t="s">
        <v>739</v>
      </c>
      <c r="N752" t="str">
        <f t="shared" si="134"/>
        <v>Double RearExisting Versatrak 25 Rod with RingsDecorator 2071Versatrak Ring Bracket 60mm</v>
      </c>
      <c r="O752">
        <v>20</v>
      </c>
      <c r="P752">
        <v>60</v>
      </c>
      <c r="Q752" s="80">
        <v>0</v>
      </c>
      <c r="R752" s="80">
        <f t="shared" si="135"/>
        <v>40</v>
      </c>
      <c r="AD752"/>
    </row>
    <row r="753" spans="10:30" ht="16.2" customHeight="1">
      <c r="J753" s="80" t="s">
        <v>725</v>
      </c>
      <c r="K753" s="80" t="s">
        <v>8187</v>
      </c>
      <c r="L753" t="s">
        <v>184</v>
      </c>
      <c r="M753" s="80" t="s">
        <v>739</v>
      </c>
      <c r="N753" t="str">
        <f t="shared" si="134"/>
        <v>SingleExisting Versatrak 25 Rod with RingsDecorator 2071Versatrak Ring Bracket 60mm</v>
      </c>
      <c r="O753">
        <v>20</v>
      </c>
      <c r="P753">
        <v>60</v>
      </c>
      <c r="Q753" s="80">
        <v>0</v>
      </c>
      <c r="R753" s="80">
        <f t="shared" si="135"/>
        <v>40</v>
      </c>
      <c r="AD753"/>
    </row>
    <row r="754" spans="10:30" ht="16.2" customHeight="1">
      <c r="J754" s="80" t="s">
        <v>725</v>
      </c>
      <c r="K754" s="80" t="s">
        <v>8187</v>
      </c>
      <c r="L754" t="s">
        <v>6468</v>
      </c>
      <c r="M754" s="80" t="s">
        <v>739</v>
      </c>
      <c r="N754" t="str">
        <f t="shared" si="134"/>
        <v>SingleExisting Versatrak 25 Rod with RingsGather Hook Bottom PocketVersatrak Ring Bracket 60mm</v>
      </c>
      <c r="O754">
        <v>60</v>
      </c>
      <c r="P754">
        <v>60</v>
      </c>
      <c r="Q754" s="80">
        <v>0</v>
      </c>
      <c r="R754" s="80">
        <f t="shared" si="135"/>
        <v>0</v>
      </c>
      <c r="AD754"/>
    </row>
    <row r="755" spans="10:30" ht="16.2" customHeight="1">
      <c r="J755" s="80" t="s">
        <v>746</v>
      </c>
      <c r="K755" s="80" t="s">
        <v>8187</v>
      </c>
      <c r="L755" t="s">
        <v>229</v>
      </c>
      <c r="M755" s="80" t="s">
        <v>739</v>
      </c>
      <c r="N755" t="str">
        <f t="shared" si="134"/>
        <v>Double FrontExisting Versatrak 25 Rod with RingsGather Hook LevelVersatrak Ring Bracket 60mm</v>
      </c>
      <c r="O755">
        <v>20</v>
      </c>
      <c r="P755">
        <v>60</v>
      </c>
      <c r="Q755" s="80">
        <v>0</v>
      </c>
      <c r="R755" s="80">
        <f t="shared" si="135"/>
        <v>40</v>
      </c>
      <c r="AD755"/>
    </row>
    <row r="756" spans="10:30" ht="16.2" customHeight="1">
      <c r="J756" s="80" t="s">
        <v>747</v>
      </c>
      <c r="K756" s="80" t="s">
        <v>8187</v>
      </c>
      <c r="L756" t="s">
        <v>229</v>
      </c>
      <c r="M756" s="80" t="s">
        <v>739</v>
      </c>
      <c r="N756" t="str">
        <f t="shared" si="134"/>
        <v>Double RearExisting Versatrak 25 Rod with RingsGather Hook LevelVersatrak Ring Bracket 60mm</v>
      </c>
      <c r="O756">
        <v>20</v>
      </c>
      <c r="P756">
        <v>60</v>
      </c>
      <c r="Q756" s="80">
        <v>0</v>
      </c>
      <c r="R756" s="80">
        <f t="shared" si="135"/>
        <v>40</v>
      </c>
      <c r="AD756"/>
    </row>
    <row r="757" spans="10:30" ht="16.2" customHeight="1">
      <c r="J757" s="80" t="s">
        <v>725</v>
      </c>
      <c r="K757" s="80" t="s">
        <v>8187</v>
      </c>
      <c r="L757" t="s">
        <v>229</v>
      </c>
      <c r="M757" s="80" t="s">
        <v>739</v>
      </c>
      <c r="N757" t="str">
        <f t="shared" si="134"/>
        <v>SingleExisting Versatrak 25 Rod with RingsGather Hook LevelVersatrak Ring Bracket 60mm</v>
      </c>
      <c r="O757">
        <v>20</v>
      </c>
      <c r="P757">
        <v>60</v>
      </c>
      <c r="Q757" s="80">
        <v>0</v>
      </c>
      <c r="R757" s="80">
        <f t="shared" si="135"/>
        <v>40</v>
      </c>
      <c r="AD757"/>
    </row>
    <row r="758" spans="10:30" ht="16.2" customHeight="1">
      <c r="J758" s="80" t="s">
        <v>746</v>
      </c>
      <c r="K758" s="80" t="s">
        <v>8187</v>
      </c>
      <c r="L758" t="s">
        <v>228</v>
      </c>
      <c r="M758" s="80" t="s">
        <v>739</v>
      </c>
      <c r="N758" t="str">
        <f t="shared" si="134"/>
        <v>Double FrontExisting Versatrak 25 Rod with RingsGather Hook NormalVersatrak Ring Bracket 60mm</v>
      </c>
      <c r="O758">
        <v>43</v>
      </c>
      <c r="P758">
        <v>60</v>
      </c>
      <c r="Q758" s="80">
        <v>0</v>
      </c>
      <c r="R758" s="80">
        <f t="shared" si="135"/>
        <v>17</v>
      </c>
      <c r="AD758"/>
    </row>
    <row r="759" spans="10:30" ht="16.2" customHeight="1">
      <c r="J759" s="80" t="s">
        <v>747</v>
      </c>
      <c r="K759" s="80" t="s">
        <v>8187</v>
      </c>
      <c r="L759" t="s">
        <v>228</v>
      </c>
      <c r="M759" s="80" t="s">
        <v>739</v>
      </c>
      <c r="N759" t="str">
        <f t="shared" si="134"/>
        <v>Double RearExisting Versatrak 25 Rod with RingsGather Hook NormalVersatrak Ring Bracket 60mm</v>
      </c>
      <c r="O759">
        <v>43</v>
      </c>
      <c r="P759">
        <v>60</v>
      </c>
      <c r="Q759" s="80">
        <v>0</v>
      </c>
      <c r="R759" s="80">
        <f t="shared" si="135"/>
        <v>17</v>
      </c>
      <c r="AD759"/>
    </row>
    <row r="760" spans="10:30" ht="16.2" customHeight="1">
      <c r="J760" s="80" t="s">
        <v>725</v>
      </c>
      <c r="K760" s="80" t="s">
        <v>8187</v>
      </c>
      <c r="L760" t="s">
        <v>228</v>
      </c>
      <c r="M760" s="80" t="s">
        <v>739</v>
      </c>
      <c r="N760" t="str">
        <f t="shared" si="134"/>
        <v>SingleExisting Versatrak 25 Rod with RingsGather Hook NormalVersatrak Ring Bracket 60mm</v>
      </c>
      <c r="O760">
        <v>43</v>
      </c>
      <c r="P760">
        <v>60</v>
      </c>
      <c r="Q760" s="80">
        <v>0</v>
      </c>
      <c r="R760" s="80">
        <f t="shared" si="135"/>
        <v>17</v>
      </c>
      <c r="AD760"/>
    </row>
    <row r="761" spans="10:30" ht="16.2" customHeight="1">
      <c r="J761" s="80" t="s">
        <v>746</v>
      </c>
      <c r="K761" s="80" t="s">
        <v>8187</v>
      </c>
      <c r="L761" t="s">
        <v>282</v>
      </c>
      <c r="M761" s="80" t="s">
        <v>739</v>
      </c>
      <c r="N761" t="str">
        <f t="shared" si="134"/>
        <v>Double FrontExisting Versatrak 25 Rod with RingsLevel 2072Versatrak Ring Bracket 60mm</v>
      </c>
      <c r="O761">
        <v>38</v>
      </c>
      <c r="P761">
        <v>60</v>
      </c>
      <c r="Q761" s="80">
        <v>0</v>
      </c>
      <c r="R761" s="80">
        <f t="shared" si="135"/>
        <v>22</v>
      </c>
      <c r="AD761"/>
    </row>
    <row r="762" spans="10:30" ht="16.2" customHeight="1">
      <c r="J762" s="80" t="s">
        <v>747</v>
      </c>
      <c r="K762" s="80" t="s">
        <v>8187</v>
      </c>
      <c r="L762" t="s">
        <v>282</v>
      </c>
      <c r="M762" s="80" t="s">
        <v>739</v>
      </c>
      <c r="N762" t="str">
        <f t="shared" si="134"/>
        <v>Double RearExisting Versatrak 25 Rod with RingsLevel 2072Versatrak Ring Bracket 60mm</v>
      </c>
      <c r="O762">
        <v>38</v>
      </c>
      <c r="P762">
        <v>60</v>
      </c>
      <c r="Q762" s="80">
        <v>0</v>
      </c>
      <c r="R762" s="80">
        <f t="shared" si="135"/>
        <v>22</v>
      </c>
      <c r="AD762"/>
    </row>
    <row r="763" spans="10:30" ht="16.2" customHeight="1">
      <c r="J763" s="80" t="s">
        <v>725</v>
      </c>
      <c r="K763" s="80" t="s">
        <v>8187</v>
      </c>
      <c r="L763" t="s">
        <v>282</v>
      </c>
      <c r="M763" s="80" t="s">
        <v>739</v>
      </c>
      <c r="N763" t="str">
        <f t="shared" si="134"/>
        <v>SingleExisting Versatrak 25 Rod with RingsLevel 2072Versatrak Ring Bracket 60mm</v>
      </c>
      <c r="O763">
        <v>35</v>
      </c>
      <c r="P763">
        <v>60</v>
      </c>
      <c r="Q763" s="80">
        <v>0</v>
      </c>
      <c r="R763" s="80">
        <f t="shared" si="135"/>
        <v>25</v>
      </c>
      <c r="AD763"/>
    </row>
    <row r="764" spans="10:30" ht="16.2" customHeight="1">
      <c r="J764" s="80" t="s">
        <v>746</v>
      </c>
      <c r="K764" s="80" t="s">
        <v>8187</v>
      </c>
      <c r="L764" t="s">
        <v>170</v>
      </c>
      <c r="M764" s="80" t="s">
        <v>739</v>
      </c>
      <c r="N764" t="str">
        <f t="shared" si="134"/>
        <v>Double FrontExisting Versatrak 25 Rod with RingsNormal 2074Versatrak Ring Bracket 60mm</v>
      </c>
      <c r="O764">
        <v>60</v>
      </c>
      <c r="P764">
        <v>60</v>
      </c>
      <c r="Q764" s="80">
        <v>0</v>
      </c>
      <c r="R764" s="80">
        <f t="shared" si="135"/>
        <v>0</v>
      </c>
      <c r="AD764"/>
    </row>
    <row r="765" spans="10:30" ht="16.2" customHeight="1">
      <c r="J765" s="80" t="s">
        <v>747</v>
      </c>
      <c r="K765" s="80" t="s">
        <v>8187</v>
      </c>
      <c r="L765" t="s">
        <v>170</v>
      </c>
      <c r="M765" s="80" t="s">
        <v>739</v>
      </c>
      <c r="N765" t="str">
        <f t="shared" si="134"/>
        <v>Double RearExisting Versatrak 25 Rod with RingsNormal 2074Versatrak Ring Bracket 60mm</v>
      </c>
      <c r="O765">
        <v>60</v>
      </c>
      <c r="P765">
        <v>60</v>
      </c>
      <c r="Q765" s="80">
        <v>0</v>
      </c>
      <c r="R765" s="80">
        <f t="shared" si="135"/>
        <v>0</v>
      </c>
      <c r="AD765"/>
    </row>
    <row r="766" spans="10:30" ht="16.2" customHeight="1">
      <c r="J766" s="80" t="s">
        <v>725</v>
      </c>
      <c r="K766" s="80" t="s">
        <v>8187</v>
      </c>
      <c r="L766" t="s">
        <v>170</v>
      </c>
      <c r="M766" s="80" t="s">
        <v>739</v>
      </c>
      <c r="N766" t="str">
        <f t="shared" si="134"/>
        <v>SingleExisting Versatrak 25 Rod with RingsNormal 2074Versatrak Ring Bracket 60mm</v>
      </c>
      <c r="O766">
        <v>60</v>
      </c>
      <c r="P766">
        <v>60</v>
      </c>
      <c r="Q766" s="80">
        <v>0</v>
      </c>
      <c r="R766" s="80">
        <f t="shared" si="135"/>
        <v>0</v>
      </c>
      <c r="AD766"/>
    </row>
    <row r="767" spans="10:30" ht="16.2" customHeight="1">
      <c r="J767" s="80" t="s">
        <v>746</v>
      </c>
      <c r="K767" s="80" t="s">
        <v>8187</v>
      </c>
      <c r="L767" t="s">
        <v>183</v>
      </c>
      <c r="M767" s="80" t="s">
        <v>731</v>
      </c>
      <c r="N767" t="str">
        <f t="shared" si="134"/>
        <v>Double FrontExisting Versatrak 25 Rod with RingsBelow Normal 2075Versatrak Top Fix Ring Bracket</v>
      </c>
      <c r="O767">
        <v>70</v>
      </c>
      <c r="P767">
        <v>66</v>
      </c>
      <c r="Q767" s="80">
        <v>0</v>
      </c>
      <c r="R767" s="80">
        <f t="shared" si="135"/>
        <v>-4</v>
      </c>
      <c r="AD767"/>
    </row>
    <row r="768" spans="10:30" ht="16.2" customHeight="1">
      <c r="J768" s="80" t="s">
        <v>747</v>
      </c>
      <c r="K768" s="80" t="s">
        <v>8187</v>
      </c>
      <c r="L768" t="s">
        <v>183</v>
      </c>
      <c r="M768" s="80" t="s">
        <v>731</v>
      </c>
      <c r="N768" t="str">
        <f t="shared" si="134"/>
        <v>Double RearExisting Versatrak 25 Rod with RingsBelow Normal 2075Versatrak Top Fix Ring Bracket</v>
      </c>
      <c r="O768">
        <v>70</v>
      </c>
      <c r="P768">
        <v>66</v>
      </c>
      <c r="Q768" s="80">
        <v>0</v>
      </c>
      <c r="R768" s="80">
        <f t="shared" si="135"/>
        <v>-4</v>
      </c>
      <c r="AD768"/>
    </row>
    <row r="769" spans="10:30" ht="16.2" customHeight="1">
      <c r="J769" s="80" t="s">
        <v>725</v>
      </c>
      <c r="K769" s="80" t="s">
        <v>8187</v>
      </c>
      <c r="L769" t="s">
        <v>183</v>
      </c>
      <c r="M769" s="80" t="s">
        <v>731</v>
      </c>
      <c r="N769" t="str">
        <f t="shared" si="134"/>
        <v>SingleExisting Versatrak 25 Rod with RingsBelow Normal 2075Versatrak Top Fix Ring Bracket</v>
      </c>
      <c r="O769">
        <v>70</v>
      </c>
      <c r="P769">
        <v>66</v>
      </c>
      <c r="Q769" s="80">
        <v>0</v>
      </c>
      <c r="R769" s="80">
        <f t="shared" si="135"/>
        <v>-4</v>
      </c>
      <c r="AD769"/>
    </row>
    <row r="770" spans="10:30" ht="16.2" customHeight="1">
      <c r="J770" s="80" t="s">
        <v>746</v>
      </c>
      <c r="K770" s="80" t="s">
        <v>8187</v>
      </c>
      <c r="L770" t="s">
        <v>182</v>
      </c>
      <c r="M770" s="80" t="s">
        <v>731</v>
      </c>
      <c r="N770" t="str">
        <f t="shared" si="136" ref="N770:N833">(CONCATENATE(J770,K770,L770,M770))</f>
        <v>Double FrontExisting Versatrak 25 Rod with RingsBetween Level and Normal 2073Versatrak Top Fix Ring Bracket</v>
      </c>
      <c r="O770">
        <v>48</v>
      </c>
      <c r="P770">
        <v>66</v>
      </c>
      <c r="Q770" s="80">
        <v>0</v>
      </c>
      <c r="R770" s="80">
        <f t="shared" si="135"/>
        <v>18</v>
      </c>
      <c r="AD770"/>
    </row>
    <row r="771" spans="10:30" ht="16.2" customHeight="1">
      <c r="J771" s="80" t="s">
        <v>747</v>
      </c>
      <c r="K771" s="80" t="s">
        <v>8187</v>
      </c>
      <c r="L771" t="s">
        <v>182</v>
      </c>
      <c r="M771" s="80" t="s">
        <v>731</v>
      </c>
      <c r="N771" t="str">
        <f t="shared" si="136"/>
        <v>Double RearExisting Versatrak 25 Rod with RingsBetween Level and Normal 2073Versatrak Top Fix Ring Bracket</v>
      </c>
      <c r="O771">
        <v>48</v>
      </c>
      <c r="P771">
        <v>66</v>
      </c>
      <c r="Q771" s="80">
        <v>0</v>
      </c>
      <c r="R771" s="80">
        <f t="shared" si="135"/>
        <v>18</v>
      </c>
      <c r="AD771"/>
    </row>
    <row r="772" spans="10:30" ht="16.2" customHeight="1">
      <c r="J772" s="80" t="s">
        <v>725</v>
      </c>
      <c r="K772" s="80" t="s">
        <v>8187</v>
      </c>
      <c r="L772" t="s">
        <v>182</v>
      </c>
      <c r="M772" s="80" t="s">
        <v>731</v>
      </c>
      <c r="N772" t="str">
        <f t="shared" si="136"/>
        <v>SingleExisting Versatrak 25 Rod with RingsBetween Level and Normal 2073Versatrak Top Fix Ring Bracket</v>
      </c>
      <c r="O772">
        <v>47</v>
      </c>
      <c r="P772">
        <v>66</v>
      </c>
      <c r="Q772" s="80">
        <v>0</v>
      </c>
      <c r="R772" s="80">
        <f t="shared" si="135"/>
        <v>19</v>
      </c>
      <c r="AD772"/>
    </row>
    <row r="773" spans="10:30" ht="16.2" customHeight="1">
      <c r="J773" s="80" t="s">
        <v>746</v>
      </c>
      <c r="K773" s="80" t="s">
        <v>8187</v>
      </c>
      <c r="L773" t="s">
        <v>184</v>
      </c>
      <c r="M773" s="80" t="s">
        <v>731</v>
      </c>
      <c r="N773" t="str">
        <f t="shared" si="136"/>
        <v>Double FrontExisting Versatrak 25 Rod with RingsDecorator 2071Versatrak Top Fix Ring Bracket</v>
      </c>
      <c r="O773">
        <v>20</v>
      </c>
      <c r="P773">
        <v>66</v>
      </c>
      <c r="Q773" s="80">
        <v>0</v>
      </c>
      <c r="R773" s="80">
        <f t="shared" si="135"/>
        <v>46</v>
      </c>
      <c r="AD773"/>
    </row>
    <row r="774" spans="10:30" ht="16.2" customHeight="1">
      <c r="J774" s="80" t="s">
        <v>747</v>
      </c>
      <c r="K774" s="80" t="s">
        <v>8187</v>
      </c>
      <c r="L774" t="s">
        <v>184</v>
      </c>
      <c r="M774" s="80" t="s">
        <v>731</v>
      </c>
      <c r="N774" t="str">
        <f t="shared" si="136"/>
        <v>Double RearExisting Versatrak 25 Rod with RingsDecorator 2071Versatrak Top Fix Ring Bracket</v>
      </c>
      <c r="O774">
        <v>20</v>
      </c>
      <c r="P774">
        <v>66</v>
      </c>
      <c r="Q774" s="80">
        <v>0</v>
      </c>
      <c r="R774" s="80">
        <f t="shared" si="135"/>
        <v>46</v>
      </c>
      <c r="AD774"/>
    </row>
    <row r="775" spans="10:30" ht="16.2" customHeight="1">
      <c r="J775" s="80" t="s">
        <v>725</v>
      </c>
      <c r="K775" s="80" t="s">
        <v>8187</v>
      </c>
      <c r="L775" t="s">
        <v>184</v>
      </c>
      <c r="M775" s="80" t="s">
        <v>731</v>
      </c>
      <c r="N775" t="str">
        <f t="shared" si="136"/>
        <v>SingleExisting Versatrak 25 Rod with RingsDecorator 2071Versatrak Top Fix Ring Bracket</v>
      </c>
      <c r="O775">
        <v>20</v>
      </c>
      <c r="P775">
        <v>66</v>
      </c>
      <c r="Q775" s="80">
        <v>0</v>
      </c>
      <c r="R775" s="80">
        <f t="shared" si="135"/>
        <v>46</v>
      </c>
      <c r="AD775"/>
    </row>
    <row r="776" spans="10:30" ht="16.2" customHeight="1">
      <c r="J776" s="80" t="s">
        <v>725</v>
      </c>
      <c r="K776" s="80" t="s">
        <v>8187</v>
      </c>
      <c r="L776" t="s">
        <v>6468</v>
      </c>
      <c r="M776" s="80" t="s">
        <v>731</v>
      </c>
      <c r="N776" t="str">
        <f t="shared" si="136"/>
        <v>SingleExisting Versatrak 25 Rod with RingsGather Hook Bottom PocketVersatrak Top Fix Ring Bracket</v>
      </c>
      <c r="O776">
        <v>60</v>
      </c>
      <c r="P776">
        <v>66</v>
      </c>
      <c r="Q776" s="80">
        <v>0</v>
      </c>
      <c r="R776" s="80">
        <f t="shared" si="135"/>
        <v>6</v>
      </c>
      <c r="AD776"/>
    </row>
    <row r="777" spans="10:30" ht="16.2" customHeight="1">
      <c r="J777" s="80" t="s">
        <v>746</v>
      </c>
      <c r="K777" s="80" t="s">
        <v>8187</v>
      </c>
      <c r="L777" t="s">
        <v>229</v>
      </c>
      <c r="M777" s="80" t="s">
        <v>731</v>
      </c>
      <c r="N777" t="str">
        <f t="shared" si="136"/>
        <v>Double FrontExisting Versatrak 25 Rod with RingsGather Hook LevelVersatrak Top Fix Ring Bracket</v>
      </c>
      <c r="O777">
        <v>20</v>
      </c>
      <c r="P777">
        <v>66</v>
      </c>
      <c r="Q777" s="80">
        <v>0</v>
      </c>
      <c r="R777" s="80">
        <f t="shared" si="135"/>
        <v>46</v>
      </c>
      <c r="AD777"/>
    </row>
    <row r="778" spans="10:30" ht="16.2" customHeight="1">
      <c r="J778" s="80" t="s">
        <v>747</v>
      </c>
      <c r="K778" s="80" t="s">
        <v>8187</v>
      </c>
      <c r="L778" t="s">
        <v>229</v>
      </c>
      <c r="M778" s="80" t="s">
        <v>731</v>
      </c>
      <c r="N778" t="str">
        <f t="shared" si="136"/>
        <v>Double RearExisting Versatrak 25 Rod with RingsGather Hook LevelVersatrak Top Fix Ring Bracket</v>
      </c>
      <c r="O778">
        <v>20</v>
      </c>
      <c r="P778">
        <v>66</v>
      </c>
      <c r="Q778" s="80">
        <v>0</v>
      </c>
      <c r="R778" s="80">
        <f t="shared" si="135"/>
        <v>46</v>
      </c>
      <c r="AD778"/>
    </row>
    <row r="779" spans="10:30" ht="16.2" customHeight="1">
      <c r="J779" s="80" t="s">
        <v>725</v>
      </c>
      <c r="K779" s="80" t="s">
        <v>8187</v>
      </c>
      <c r="L779" t="s">
        <v>229</v>
      </c>
      <c r="M779" s="80" t="s">
        <v>731</v>
      </c>
      <c r="N779" t="str">
        <f t="shared" si="136"/>
        <v>SingleExisting Versatrak 25 Rod with RingsGather Hook LevelVersatrak Top Fix Ring Bracket</v>
      </c>
      <c r="O779">
        <v>20</v>
      </c>
      <c r="P779">
        <v>66</v>
      </c>
      <c r="Q779" s="80">
        <v>0</v>
      </c>
      <c r="R779" s="80">
        <f t="shared" si="135"/>
        <v>46</v>
      </c>
      <c r="AD779"/>
    </row>
    <row r="780" spans="10:30" ht="16.2" customHeight="1">
      <c r="J780" s="80" t="s">
        <v>746</v>
      </c>
      <c r="K780" s="80" t="s">
        <v>8187</v>
      </c>
      <c r="L780" t="s">
        <v>228</v>
      </c>
      <c r="M780" s="80" t="s">
        <v>731</v>
      </c>
      <c r="N780" t="str">
        <f t="shared" si="136"/>
        <v>Double FrontExisting Versatrak 25 Rod with RingsGather Hook NormalVersatrak Top Fix Ring Bracket</v>
      </c>
      <c r="O780">
        <v>43</v>
      </c>
      <c r="P780">
        <v>66</v>
      </c>
      <c r="Q780" s="80">
        <v>0</v>
      </c>
      <c r="R780" s="80">
        <f t="shared" si="135"/>
        <v>23</v>
      </c>
      <c r="AD780"/>
    </row>
    <row r="781" spans="10:30" ht="16.2" customHeight="1">
      <c r="J781" s="80" t="s">
        <v>747</v>
      </c>
      <c r="K781" s="80" t="s">
        <v>8187</v>
      </c>
      <c r="L781" t="s">
        <v>228</v>
      </c>
      <c r="M781" s="80" t="s">
        <v>731</v>
      </c>
      <c r="N781" t="str">
        <f t="shared" si="136"/>
        <v>Double RearExisting Versatrak 25 Rod with RingsGather Hook NormalVersatrak Top Fix Ring Bracket</v>
      </c>
      <c r="O781">
        <v>43</v>
      </c>
      <c r="P781">
        <v>66</v>
      </c>
      <c r="Q781" s="80">
        <v>0</v>
      </c>
      <c r="R781" s="80">
        <f t="shared" si="135"/>
        <v>23</v>
      </c>
      <c r="AD781"/>
    </row>
    <row r="782" spans="10:30" ht="16.2" customHeight="1">
      <c r="J782" s="80" t="s">
        <v>725</v>
      </c>
      <c r="K782" s="80" t="s">
        <v>8187</v>
      </c>
      <c r="L782" t="s">
        <v>228</v>
      </c>
      <c r="M782" s="80" t="s">
        <v>731</v>
      </c>
      <c r="N782" t="str">
        <f t="shared" si="136"/>
        <v>SingleExisting Versatrak 25 Rod with RingsGather Hook NormalVersatrak Top Fix Ring Bracket</v>
      </c>
      <c r="O782">
        <v>43</v>
      </c>
      <c r="P782">
        <v>66</v>
      </c>
      <c r="Q782" s="80">
        <v>0</v>
      </c>
      <c r="R782" s="80">
        <f t="shared" si="135"/>
        <v>23</v>
      </c>
      <c r="AD782"/>
    </row>
    <row r="783" spans="10:30" ht="16.2" customHeight="1">
      <c r="J783" s="80" t="s">
        <v>746</v>
      </c>
      <c r="K783" s="80" t="s">
        <v>8187</v>
      </c>
      <c r="L783" t="s">
        <v>282</v>
      </c>
      <c r="M783" s="80" t="s">
        <v>731</v>
      </c>
      <c r="N783" t="str">
        <f t="shared" si="136"/>
        <v>Double FrontExisting Versatrak 25 Rod with RingsLevel 2072Versatrak Top Fix Ring Bracket</v>
      </c>
      <c r="O783">
        <v>38</v>
      </c>
      <c r="P783">
        <v>66</v>
      </c>
      <c r="Q783" s="80">
        <v>0</v>
      </c>
      <c r="R783" s="80">
        <f t="shared" si="135"/>
        <v>28</v>
      </c>
      <c r="AD783"/>
    </row>
    <row r="784" spans="10:30" ht="16.2" customHeight="1">
      <c r="J784" s="80" t="s">
        <v>747</v>
      </c>
      <c r="K784" s="80" t="s">
        <v>8187</v>
      </c>
      <c r="L784" t="s">
        <v>282</v>
      </c>
      <c r="M784" s="80" t="s">
        <v>731</v>
      </c>
      <c r="N784" t="str">
        <f t="shared" si="136"/>
        <v>Double RearExisting Versatrak 25 Rod with RingsLevel 2072Versatrak Top Fix Ring Bracket</v>
      </c>
      <c r="O784">
        <v>38</v>
      </c>
      <c r="P784">
        <v>66</v>
      </c>
      <c r="Q784" s="80">
        <v>0</v>
      </c>
      <c r="R784" s="80">
        <f t="shared" si="135"/>
        <v>28</v>
      </c>
      <c r="AD784"/>
    </row>
    <row r="785" spans="10:30" ht="16.2" customHeight="1">
      <c r="J785" s="80" t="s">
        <v>725</v>
      </c>
      <c r="K785" s="80" t="s">
        <v>8187</v>
      </c>
      <c r="L785" t="s">
        <v>282</v>
      </c>
      <c r="M785" s="80" t="s">
        <v>731</v>
      </c>
      <c r="N785" t="str">
        <f t="shared" si="136"/>
        <v>SingleExisting Versatrak 25 Rod with RingsLevel 2072Versatrak Top Fix Ring Bracket</v>
      </c>
      <c r="O785">
        <v>35</v>
      </c>
      <c r="P785">
        <v>66</v>
      </c>
      <c r="Q785" s="80">
        <v>0</v>
      </c>
      <c r="R785" s="80">
        <f t="shared" si="135"/>
        <v>31</v>
      </c>
      <c r="AD785"/>
    </row>
    <row r="786" spans="10:30" ht="16.2" customHeight="1">
      <c r="J786" s="80" t="s">
        <v>746</v>
      </c>
      <c r="K786" s="80" t="s">
        <v>8187</v>
      </c>
      <c r="L786" t="s">
        <v>170</v>
      </c>
      <c r="M786" s="80" t="s">
        <v>731</v>
      </c>
      <c r="N786" t="str">
        <f t="shared" si="136"/>
        <v>Double FrontExisting Versatrak 25 Rod with RingsNormal 2074Versatrak Top Fix Ring Bracket</v>
      </c>
      <c r="O786">
        <v>60</v>
      </c>
      <c r="P786">
        <v>66</v>
      </c>
      <c r="Q786" s="80">
        <v>0</v>
      </c>
      <c r="R786" s="80">
        <f t="shared" si="135"/>
        <v>6</v>
      </c>
      <c r="AD786"/>
    </row>
    <row r="787" spans="10:30" ht="16.2" customHeight="1">
      <c r="J787" s="80" t="s">
        <v>747</v>
      </c>
      <c r="K787" s="80" t="s">
        <v>8187</v>
      </c>
      <c r="L787" t="s">
        <v>170</v>
      </c>
      <c r="M787" s="80" t="s">
        <v>731</v>
      </c>
      <c r="N787" t="str">
        <f t="shared" si="136"/>
        <v>Double RearExisting Versatrak 25 Rod with RingsNormal 2074Versatrak Top Fix Ring Bracket</v>
      </c>
      <c r="O787">
        <v>60</v>
      </c>
      <c r="P787">
        <v>66</v>
      </c>
      <c r="Q787" s="80">
        <v>0</v>
      </c>
      <c r="R787" s="80">
        <f t="shared" si="135"/>
        <v>6</v>
      </c>
      <c r="AD787"/>
    </row>
    <row r="788" spans="10:30" ht="16.2" customHeight="1">
      <c r="J788" s="80" t="s">
        <v>725</v>
      </c>
      <c r="K788" s="80" t="s">
        <v>8187</v>
      </c>
      <c r="L788" t="s">
        <v>170</v>
      </c>
      <c r="M788" s="80" t="s">
        <v>731</v>
      </c>
      <c r="N788" t="str">
        <f t="shared" si="136"/>
        <v>SingleExisting Versatrak 25 Rod with RingsNormal 2074Versatrak Top Fix Ring Bracket</v>
      </c>
      <c r="O788">
        <v>60</v>
      </c>
      <c r="P788">
        <v>66</v>
      </c>
      <c r="Q788" s="80">
        <v>0</v>
      </c>
      <c r="R788" s="80">
        <f t="shared" si="135"/>
        <v>6</v>
      </c>
      <c r="AD788"/>
    </row>
    <row r="789" spans="10:30" ht="16.2" customHeight="1">
      <c r="J789" s="80" t="s">
        <v>725</v>
      </c>
      <c r="K789" s="80" t="s">
        <v>6557</v>
      </c>
      <c r="L789" t="s">
        <v>183</v>
      </c>
      <c r="M789" s="80" t="s">
        <v>403</v>
      </c>
      <c r="N789" t="str">
        <f t="shared" si="136"/>
        <v>SingleExisting Versatrak 25 Track with Glides and 100mm BracketBelow Normal 2075N/A</v>
      </c>
      <c r="O789">
        <v>70</v>
      </c>
      <c r="P789">
        <v>38</v>
      </c>
      <c r="Q789" s="80">
        <v>0</v>
      </c>
      <c r="R789" s="80">
        <f t="shared" si="135"/>
        <v>-32</v>
      </c>
      <c r="AD789"/>
    </row>
    <row r="790" spans="10:30" ht="16.2" customHeight="1">
      <c r="J790" s="80" t="s">
        <v>725</v>
      </c>
      <c r="K790" s="80" t="s">
        <v>6557</v>
      </c>
      <c r="L790" t="s">
        <v>182</v>
      </c>
      <c r="M790" s="80" t="s">
        <v>403</v>
      </c>
      <c r="N790" t="str">
        <f t="shared" si="136"/>
        <v>SingleExisting Versatrak 25 Track with Glides and 100mm BracketBetween Level and Normal 2073N/A</v>
      </c>
      <c r="O790">
        <v>48</v>
      </c>
      <c r="P790">
        <v>38</v>
      </c>
      <c r="Q790" s="80">
        <v>0</v>
      </c>
      <c r="R790" s="80">
        <f t="shared" si="135"/>
        <v>-10</v>
      </c>
      <c r="AD790"/>
    </row>
    <row r="791" spans="10:30" ht="16.2" customHeight="1">
      <c r="J791" s="80" t="s">
        <v>725</v>
      </c>
      <c r="K791" s="80" t="s">
        <v>6557</v>
      </c>
      <c r="L791" t="s">
        <v>184</v>
      </c>
      <c r="M791" s="80" t="s">
        <v>403</v>
      </c>
      <c r="N791" t="str">
        <f t="shared" si="136"/>
        <v>SingleExisting Versatrak 25 Track with Glides and 100mm BracketDecorator 2071N/A</v>
      </c>
      <c r="O791">
        <v>20</v>
      </c>
      <c r="P791">
        <v>38</v>
      </c>
      <c r="Q791" s="80">
        <v>0</v>
      </c>
      <c r="R791" s="80">
        <f t="shared" si="135"/>
        <v>18</v>
      </c>
      <c r="AD791"/>
    </row>
    <row r="792" spans="10:30" ht="16.2" customHeight="1">
      <c r="J792" s="80" t="s">
        <v>725</v>
      </c>
      <c r="K792" s="80" t="s">
        <v>6557</v>
      </c>
      <c r="L792" t="s">
        <v>229</v>
      </c>
      <c r="M792" s="80" t="s">
        <v>403</v>
      </c>
      <c r="N792" t="str">
        <f t="shared" si="136"/>
        <v>SingleExisting Versatrak 25 Track with Glides and 100mm BracketGather Hook LevelN/A</v>
      </c>
      <c r="O792">
        <v>20</v>
      </c>
      <c r="P792">
        <v>38</v>
      </c>
      <c r="Q792" s="80">
        <v>0</v>
      </c>
      <c r="R792" s="80">
        <f t="shared" si="135"/>
        <v>18</v>
      </c>
      <c r="AD792"/>
    </row>
    <row r="793" spans="10:30" ht="16.2" customHeight="1">
      <c r="J793" s="80" t="s">
        <v>725</v>
      </c>
      <c r="K793" s="80" t="s">
        <v>6557</v>
      </c>
      <c r="L793" t="s">
        <v>228</v>
      </c>
      <c r="M793" s="80" t="s">
        <v>403</v>
      </c>
      <c r="N793" t="str">
        <f t="shared" si="136"/>
        <v>SingleExisting Versatrak 25 Track with Glides and 100mm BracketGather Hook NormalN/A</v>
      </c>
      <c r="O793">
        <v>43</v>
      </c>
      <c r="P793">
        <v>38</v>
      </c>
      <c r="Q793" s="80">
        <v>0</v>
      </c>
      <c r="R793" s="80">
        <f t="shared" si="135"/>
        <v>-5</v>
      </c>
      <c r="AD793"/>
    </row>
    <row r="794" spans="10:30" ht="16.2" customHeight="1">
      <c r="J794" s="80" t="s">
        <v>725</v>
      </c>
      <c r="K794" s="80" t="s">
        <v>6557</v>
      </c>
      <c r="L794" t="s">
        <v>282</v>
      </c>
      <c r="M794" s="80" t="s">
        <v>403</v>
      </c>
      <c r="N794" t="str">
        <f t="shared" si="136"/>
        <v>SingleExisting Versatrak 25 Track with Glides and 100mm BracketLevel 2072N/A</v>
      </c>
      <c r="O794">
        <v>38</v>
      </c>
      <c r="P794">
        <v>38</v>
      </c>
      <c r="Q794" s="80">
        <v>0</v>
      </c>
      <c r="R794" s="80">
        <f t="shared" si="135"/>
        <v>0</v>
      </c>
      <c r="AD794"/>
    </row>
    <row r="795" spans="10:30" ht="16.2" customHeight="1">
      <c r="J795" s="80" t="s">
        <v>725</v>
      </c>
      <c r="K795" s="80" t="s">
        <v>6557</v>
      </c>
      <c r="L795" t="s">
        <v>170</v>
      </c>
      <c r="M795" s="80" t="s">
        <v>403</v>
      </c>
      <c r="N795" t="str">
        <f t="shared" si="136"/>
        <v>SingleExisting Versatrak 25 Track with Glides and 100mm BracketNormal 2074N/A</v>
      </c>
      <c r="O795">
        <v>60</v>
      </c>
      <c r="P795">
        <v>38</v>
      </c>
      <c r="Q795" s="80">
        <v>0</v>
      </c>
      <c r="R795" s="80">
        <f t="shared" si="135"/>
        <v>-22</v>
      </c>
      <c r="AD795"/>
    </row>
    <row r="796" spans="10:30" ht="16.2" customHeight="1">
      <c r="J796" s="80" t="s">
        <v>746</v>
      </c>
      <c r="K796" s="80" t="s">
        <v>365</v>
      </c>
      <c r="L796" t="s">
        <v>183</v>
      </c>
      <c r="M796" s="80" t="s">
        <v>264</v>
      </c>
      <c r="N796" t="str">
        <f t="shared" si="136"/>
        <v>Double FrontHospitalBelow Normal 20751 Wall Socket &amp; 1 L Bracket</v>
      </c>
      <c r="O796">
        <v>70</v>
      </c>
      <c r="P796">
        <v>37</v>
      </c>
      <c r="Q796" s="80">
        <v>0</v>
      </c>
      <c r="R796" s="80">
        <f t="shared" si="135"/>
        <v>-33</v>
      </c>
      <c r="AD796"/>
    </row>
    <row r="797" spans="10:30" ht="16.2" customHeight="1">
      <c r="J797" s="80" t="s">
        <v>747</v>
      </c>
      <c r="K797" s="80" t="s">
        <v>365</v>
      </c>
      <c r="L797" t="s">
        <v>183</v>
      </c>
      <c r="M797" s="80" t="s">
        <v>264</v>
      </c>
      <c r="N797" t="str">
        <f t="shared" si="136"/>
        <v>Double RearHospitalBelow Normal 20751 Wall Socket &amp; 1 L Bracket</v>
      </c>
      <c r="O797">
        <v>70</v>
      </c>
      <c r="P797">
        <v>37</v>
      </c>
      <c r="Q797" s="80">
        <v>0</v>
      </c>
      <c r="R797" s="80">
        <f t="shared" si="135"/>
        <v>-33</v>
      </c>
      <c r="AD797"/>
    </row>
    <row r="798" spans="10:30" ht="16.2" customHeight="1">
      <c r="J798" s="80" t="s">
        <v>725</v>
      </c>
      <c r="K798" s="80" t="s">
        <v>365</v>
      </c>
      <c r="L798" t="s">
        <v>183</v>
      </c>
      <c r="M798" s="80" t="s">
        <v>264</v>
      </c>
      <c r="N798" t="str">
        <f t="shared" si="136"/>
        <v>SingleHospitalBelow Normal 20751 Wall Socket &amp; 1 L Bracket</v>
      </c>
      <c r="O798">
        <v>70</v>
      </c>
      <c r="P798">
        <v>37</v>
      </c>
      <c r="Q798" s="80">
        <v>0</v>
      </c>
      <c r="R798" s="80">
        <f t="shared" si="135"/>
        <v>-33</v>
      </c>
      <c r="AD798"/>
    </row>
    <row r="799" spans="10:30" ht="16.2" customHeight="1">
      <c r="J799" s="80" t="s">
        <v>746</v>
      </c>
      <c r="K799" s="80" t="s">
        <v>365</v>
      </c>
      <c r="L799" t="s">
        <v>182</v>
      </c>
      <c r="M799" s="80" t="s">
        <v>264</v>
      </c>
      <c r="N799" t="str">
        <f t="shared" si="136"/>
        <v>Double FrontHospitalBetween Level and Normal 20731 Wall Socket &amp; 1 L Bracket</v>
      </c>
      <c r="O799">
        <v>48</v>
      </c>
      <c r="P799">
        <v>37</v>
      </c>
      <c r="Q799" s="80">
        <v>0</v>
      </c>
      <c r="R799" s="80">
        <f t="shared" si="137" ref="R799:R862">SUM(P799)-O799</f>
        <v>-11</v>
      </c>
      <c r="AD799"/>
    </row>
    <row r="800" spans="10:30" ht="16.2" customHeight="1">
      <c r="J800" s="80" t="s">
        <v>747</v>
      </c>
      <c r="K800" s="80" t="s">
        <v>365</v>
      </c>
      <c r="L800" t="s">
        <v>182</v>
      </c>
      <c r="M800" s="80" t="s">
        <v>264</v>
      </c>
      <c r="N800" t="str">
        <f t="shared" si="136"/>
        <v>Double RearHospitalBetween Level and Normal 20731 Wall Socket &amp; 1 L Bracket</v>
      </c>
      <c r="O800">
        <v>48</v>
      </c>
      <c r="P800">
        <v>37</v>
      </c>
      <c r="Q800" s="80">
        <v>0</v>
      </c>
      <c r="R800" s="80">
        <f t="shared" si="137"/>
        <v>-11</v>
      </c>
      <c r="AD800"/>
    </row>
    <row r="801" spans="10:30" ht="16.2" customHeight="1">
      <c r="J801" s="80" t="s">
        <v>725</v>
      </c>
      <c r="K801" s="80" t="s">
        <v>365</v>
      </c>
      <c r="L801" t="s">
        <v>182</v>
      </c>
      <c r="M801" s="80" t="s">
        <v>264</v>
      </c>
      <c r="N801" t="str">
        <f t="shared" si="136"/>
        <v>SingleHospitalBetween Level and Normal 20731 Wall Socket &amp; 1 L Bracket</v>
      </c>
      <c r="O801">
        <v>47</v>
      </c>
      <c r="P801">
        <v>37</v>
      </c>
      <c r="Q801" s="80">
        <v>0</v>
      </c>
      <c r="R801" s="80">
        <f t="shared" si="137"/>
        <v>-10</v>
      </c>
      <c r="AD801"/>
    </row>
    <row r="802" spans="10:30" ht="16.2" customHeight="1">
      <c r="J802" s="80" t="s">
        <v>746</v>
      </c>
      <c r="K802" s="80" t="s">
        <v>365</v>
      </c>
      <c r="L802" t="s">
        <v>184</v>
      </c>
      <c r="M802" s="80" t="s">
        <v>264</v>
      </c>
      <c r="N802" t="str">
        <f t="shared" si="136"/>
        <v>Double FrontHospitalDecorator 20711 Wall Socket &amp; 1 L Bracket</v>
      </c>
      <c r="O802">
        <v>20</v>
      </c>
      <c r="P802">
        <v>37</v>
      </c>
      <c r="Q802" s="80">
        <v>0</v>
      </c>
      <c r="R802" s="80">
        <f t="shared" si="137"/>
        <v>17</v>
      </c>
      <c r="AD802"/>
    </row>
    <row r="803" spans="10:30" ht="16.2" customHeight="1">
      <c r="J803" s="80" t="s">
        <v>747</v>
      </c>
      <c r="K803" s="80" t="s">
        <v>365</v>
      </c>
      <c r="L803" t="s">
        <v>184</v>
      </c>
      <c r="M803" s="80" t="s">
        <v>264</v>
      </c>
      <c r="N803" t="str">
        <f t="shared" si="136"/>
        <v>Double RearHospitalDecorator 20711 Wall Socket &amp; 1 L Bracket</v>
      </c>
      <c r="O803">
        <v>20</v>
      </c>
      <c r="P803">
        <v>37</v>
      </c>
      <c r="Q803" s="80">
        <v>0</v>
      </c>
      <c r="R803" s="80">
        <f t="shared" si="137"/>
        <v>17</v>
      </c>
      <c r="AD803"/>
    </row>
    <row r="804" spans="10:30" ht="16.2" customHeight="1">
      <c r="J804" s="80" t="s">
        <v>725</v>
      </c>
      <c r="K804" s="80" t="s">
        <v>365</v>
      </c>
      <c r="L804" t="s">
        <v>184</v>
      </c>
      <c r="M804" s="80" t="s">
        <v>264</v>
      </c>
      <c r="N804" t="str">
        <f t="shared" si="136"/>
        <v>SingleHospitalDecorator 20711 Wall Socket &amp; 1 L Bracket</v>
      </c>
      <c r="O804">
        <v>20</v>
      </c>
      <c r="P804">
        <v>37</v>
      </c>
      <c r="Q804" s="80">
        <v>0</v>
      </c>
      <c r="R804" s="80">
        <f t="shared" si="137"/>
        <v>17</v>
      </c>
      <c r="AD804"/>
    </row>
    <row r="805" spans="10:30" ht="16.2" customHeight="1">
      <c r="J805" s="80" t="s">
        <v>746</v>
      </c>
      <c r="K805" s="80" t="s">
        <v>365</v>
      </c>
      <c r="L805" t="s">
        <v>6468</v>
      </c>
      <c r="M805" s="80" t="s">
        <v>264</v>
      </c>
      <c r="N805" t="str">
        <f t="shared" si="136"/>
        <v>Double FrontHospitalGather Hook Bottom Pocket1 Wall Socket &amp; 1 L Bracket</v>
      </c>
      <c r="O805">
        <v>60</v>
      </c>
      <c r="P805">
        <v>37</v>
      </c>
      <c r="Q805" s="80">
        <v>0</v>
      </c>
      <c r="R805" s="80">
        <f t="shared" si="137"/>
        <v>-23</v>
      </c>
      <c r="AD805"/>
    </row>
    <row r="806" spans="10:30" ht="16.2" customHeight="1">
      <c r="J806" s="80" t="s">
        <v>725</v>
      </c>
      <c r="K806" s="80" t="s">
        <v>365</v>
      </c>
      <c r="L806" t="s">
        <v>6468</v>
      </c>
      <c r="M806" s="80" t="s">
        <v>264</v>
      </c>
      <c r="N806" t="str">
        <f t="shared" si="136"/>
        <v>SingleHospitalGather Hook Bottom Pocket1 Wall Socket &amp; 1 L Bracket</v>
      </c>
      <c r="O806">
        <v>60</v>
      </c>
      <c r="P806">
        <v>37</v>
      </c>
      <c r="Q806" s="80">
        <v>0</v>
      </c>
      <c r="R806" s="80">
        <f t="shared" si="137"/>
        <v>-23</v>
      </c>
      <c r="AD806"/>
    </row>
    <row r="807" spans="10:30" ht="16.2" customHeight="1">
      <c r="J807" s="80" t="s">
        <v>746</v>
      </c>
      <c r="K807" s="80" t="s">
        <v>365</v>
      </c>
      <c r="L807" t="s">
        <v>229</v>
      </c>
      <c r="M807" s="80" t="s">
        <v>264</v>
      </c>
      <c r="N807" t="str">
        <f t="shared" si="136"/>
        <v>Double FrontHospitalGather Hook Level1 Wall Socket &amp; 1 L Bracket</v>
      </c>
      <c r="O807">
        <v>20</v>
      </c>
      <c r="P807">
        <v>37</v>
      </c>
      <c r="Q807" s="80">
        <v>0</v>
      </c>
      <c r="R807" s="80">
        <f t="shared" si="137"/>
        <v>17</v>
      </c>
      <c r="AD807"/>
    </row>
    <row r="808" spans="10:30" ht="16.2" customHeight="1">
      <c r="J808" s="80" t="s">
        <v>747</v>
      </c>
      <c r="K808" s="80" t="s">
        <v>365</v>
      </c>
      <c r="L808" t="s">
        <v>229</v>
      </c>
      <c r="M808" s="80" t="s">
        <v>264</v>
      </c>
      <c r="N808" t="str">
        <f t="shared" si="136"/>
        <v>Double RearHospitalGather Hook Level1 Wall Socket &amp; 1 L Bracket</v>
      </c>
      <c r="O808">
        <v>20</v>
      </c>
      <c r="P808">
        <v>37</v>
      </c>
      <c r="Q808" s="80">
        <v>0</v>
      </c>
      <c r="R808" s="80">
        <f t="shared" si="137"/>
        <v>17</v>
      </c>
      <c r="AD808"/>
    </row>
    <row r="809" spans="10:30" ht="16.2" customHeight="1">
      <c r="J809" s="80" t="s">
        <v>725</v>
      </c>
      <c r="K809" s="80" t="s">
        <v>365</v>
      </c>
      <c r="L809" t="s">
        <v>229</v>
      </c>
      <c r="M809" s="80" t="s">
        <v>264</v>
      </c>
      <c r="N809" t="str">
        <f t="shared" si="136"/>
        <v>SingleHospitalGather Hook Level1 Wall Socket &amp; 1 L Bracket</v>
      </c>
      <c r="O809">
        <v>20</v>
      </c>
      <c r="P809">
        <v>37</v>
      </c>
      <c r="Q809" s="80">
        <v>0</v>
      </c>
      <c r="R809" s="80">
        <f t="shared" si="137"/>
        <v>17</v>
      </c>
      <c r="AD809"/>
    </row>
    <row r="810" spans="10:30" ht="16.2" customHeight="1">
      <c r="J810" s="80" t="s">
        <v>746</v>
      </c>
      <c r="K810" s="80" t="s">
        <v>365</v>
      </c>
      <c r="L810" t="s">
        <v>228</v>
      </c>
      <c r="M810" s="80" t="s">
        <v>264</v>
      </c>
      <c r="N810" t="str">
        <f t="shared" si="136"/>
        <v>Double FrontHospitalGather Hook Normal1 Wall Socket &amp; 1 L Bracket</v>
      </c>
      <c r="O810">
        <v>43</v>
      </c>
      <c r="P810">
        <v>37</v>
      </c>
      <c r="Q810" s="80">
        <v>0</v>
      </c>
      <c r="R810" s="80">
        <f t="shared" si="137"/>
        <v>-6</v>
      </c>
      <c r="AD810"/>
    </row>
    <row r="811" spans="10:30" ht="16.2" customHeight="1">
      <c r="J811" s="80" t="s">
        <v>747</v>
      </c>
      <c r="K811" s="80" t="s">
        <v>365</v>
      </c>
      <c r="L811" t="s">
        <v>228</v>
      </c>
      <c r="M811" s="80" t="s">
        <v>264</v>
      </c>
      <c r="N811" t="str">
        <f t="shared" si="136"/>
        <v>Double RearHospitalGather Hook Normal1 Wall Socket &amp; 1 L Bracket</v>
      </c>
      <c r="O811">
        <v>43</v>
      </c>
      <c r="P811">
        <v>37</v>
      </c>
      <c r="Q811" s="80">
        <v>0</v>
      </c>
      <c r="R811" s="80">
        <f t="shared" si="137"/>
        <v>-6</v>
      </c>
      <c r="AD811"/>
    </row>
    <row r="812" spans="10:30" ht="16.2" customHeight="1">
      <c r="J812" s="80" t="s">
        <v>725</v>
      </c>
      <c r="K812" s="80" t="s">
        <v>365</v>
      </c>
      <c r="L812" t="s">
        <v>228</v>
      </c>
      <c r="M812" s="80" t="s">
        <v>264</v>
      </c>
      <c r="N812" t="str">
        <f t="shared" si="136"/>
        <v>SingleHospitalGather Hook Normal1 Wall Socket &amp; 1 L Bracket</v>
      </c>
      <c r="O812">
        <v>43</v>
      </c>
      <c r="P812">
        <v>37</v>
      </c>
      <c r="Q812" s="80">
        <v>0</v>
      </c>
      <c r="R812" s="80">
        <f t="shared" si="137"/>
        <v>-6</v>
      </c>
      <c r="AD812"/>
    </row>
    <row r="813" spans="10:30" ht="16.2" customHeight="1">
      <c r="J813" s="80" t="s">
        <v>746</v>
      </c>
      <c r="K813" s="80" t="s">
        <v>365</v>
      </c>
      <c r="L813" t="s">
        <v>689</v>
      </c>
      <c r="M813" s="80" t="s">
        <v>264</v>
      </c>
      <c r="N813" t="str">
        <f t="shared" si="136"/>
        <v>Double FrontHospitalHospital Track No Hooks1 Wall Socket &amp; 1 L Bracket</v>
      </c>
      <c r="O813">
        <v>28</v>
      </c>
      <c r="P813">
        <v>37</v>
      </c>
      <c r="Q813" s="80">
        <v>0</v>
      </c>
      <c r="R813" s="80">
        <f t="shared" si="137"/>
        <v>9</v>
      </c>
      <c r="AD813"/>
    </row>
    <row r="814" spans="10:30" ht="16.2" customHeight="1">
      <c r="J814" s="80" t="s">
        <v>747</v>
      </c>
      <c r="K814" s="80" t="s">
        <v>365</v>
      </c>
      <c r="L814" t="s">
        <v>689</v>
      </c>
      <c r="M814" s="80" t="s">
        <v>264</v>
      </c>
      <c r="N814" t="str">
        <f t="shared" si="136"/>
        <v>Double RearHospitalHospital Track No Hooks1 Wall Socket &amp; 1 L Bracket</v>
      </c>
      <c r="O814">
        <v>28</v>
      </c>
      <c r="P814">
        <v>37</v>
      </c>
      <c r="Q814" s="80">
        <v>0</v>
      </c>
      <c r="R814" s="80">
        <f t="shared" si="137"/>
        <v>9</v>
      </c>
      <c r="AD814"/>
    </row>
    <row r="815" spans="10:30" ht="16.2" customHeight="1">
      <c r="J815" s="80" t="s">
        <v>725</v>
      </c>
      <c r="K815" s="80" t="s">
        <v>365</v>
      </c>
      <c r="L815" t="s">
        <v>689</v>
      </c>
      <c r="M815" s="80" t="s">
        <v>264</v>
      </c>
      <c r="N815" t="str">
        <f t="shared" si="136"/>
        <v>SingleHospitalHospital Track No Hooks1 Wall Socket &amp; 1 L Bracket</v>
      </c>
      <c r="O815">
        <v>28</v>
      </c>
      <c r="P815">
        <v>37</v>
      </c>
      <c r="Q815" s="80">
        <v>0</v>
      </c>
      <c r="R815" s="80">
        <f t="shared" si="137"/>
        <v>9</v>
      </c>
      <c r="AD815"/>
    </row>
    <row r="816" spans="10:30" ht="16.2" customHeight="1">
      <c r="J816" s="80" t="s">
        <v>746</v>
      </c>
      <c r="K816" s="80" t="s">
        <v>365</v>
      </c>
      <c r="L816" t="s">
        <v>282</v>
      </c>
      <c r="M816" s="80" t="s">
        <v>264</v>
      </c>
      <c r="N816" t="str">
        <f t="shared" si="136"/>
        <v>Double FrontHospitalLevel 20721 Wall Socket &amp; 1 L Bracket</v>
      </c>
      <c r="O816">
        <v>38</v>
      </c>
      <c r="P816">
        <v>37</v>
      </c>
      <c r="Q816" s="80">
        <v>0</v>
      </c>
      <c r="R816" s="80">
        <f t="shared" si="137"/>
        <v>-1</v>
      </c>
      <c r="AD816"/>
    </row>
    <row r="817" spans="10:30" ht="16.2" customHeight="1">
      <c r="J817" s="80" t="s">
        <v>747</v>
      </c>
      <c r="K817" s="80" t="s">
        <v>365</v>
      </c>
      <c r="L817" t="s">
        <v>282</v>
      </c>
      <c r="M817" s="80" t="s">
        <v>264</v>
      </c>
      <c r="N817" t="str">
        <f t="shared" si="136"/>
        <v>Double RearHospitalLevel 20721 Wall Socket &amp; 1 L Bracket</v>
      </c>
      <c r="O817">
        <v>38</v>
      </c>
      <c r="P817">
        <v>37</v>
      </c>
      <c r="Q817" s="80">
        <v>0</v>
      </c>
      <c r="R817" s="80">
        <f t="shared" si="137"/>
        <v>-1</v>
      </c>
      <c r="AD817"/>
    </row>
    <row r="818" spans="10:30" ht="16.2" customHeight="1">
      <c r="J818" s="80" t="s">
        <v>725</v>
      </c>
      <c r="K818" s="80" t="s">
        <v>365</v>
      </c>
      <c r="L818" t="s">
        <v>282</v>
      </c>
      <c r="M818" s="80" t="s">
        <v>264</v>
      </c>
      <c r="N818" t="str">
        <f t="shared" si="136"/>
        <v>SingleHospitalLevel 20721 Wall Socket &amp; 1 L Bracket</v>
      </c>
      <c r="O818">
        <v>38</v>
      </c>
      <c r="P818">
        <v>37</v>
      </c>
      <c r="Q818" s="80">
        <v>0</v>
      </c>
      <c r="R818" s="80">
        <f t="shared" si="137"/>
        <v>-1</v>
      </c>
      <c r="AD818"/>
    </row>
    <row r="819" spans="10:30" ht="16.2" customHeight="1">
      <c r="J819" s="80" t="s">
        <v>746</v>
      </c>
      <c r="K819" s="80" t="s">
        <v>365</v>
      </c>
      <c r="L819" t="s">
        <v>170</v>
      </c>
      <c r="M819" s="80" t="s">
        <v>264</v>
      </c>
      <c r="N819" t="str">
        <f t="shared" si="136"/>
        <v>Double FrontHospitalNormal 20741 Wall Socket &amp; 1 L Bracket</v>
      </c>
      <c r="O819">
        <v>60</v>
      </c>
      <c r="P819">
        <v>37</v>
      </c>
      <c r="Q819" s="80">
        <v>0</v>
      </c>
      <c r="R819" s="80">
        <f t="shared" si="137"/>
        <v>-23</v>
      </c>
      <c r="AD819"/>
    </row>
    <row r="820" spans="10:30" ht="16.2" customHeight="1">
      <c r="J820" s="80" t="s">
        <v>747</v>
      </c>
      <c r="K820" s="80" t="s">
        <v>365</v>
      </c>
      <c r="L820" t="s">
        <v>170</v>
      </c>
      <c r="M820" s="80" t="s">
        <v>264</v>
      </c>
      <c r="N820" t="str">
        <f t="shared" si="136"/>
        <v>Double RearHospitalNormal 20741 Wall Socket &amp; 1 L Bracket</v>
      </c>
      <c r="O820">
        <v>60</v>
      </c>
      <c r="P820">
        <v>37</v>
      </c>
      <c r="Q820" s="80">
        <v>0</v>
      </c>
      <c r="R820" s="80">
        <f t="shared" si="137"/>
        <v>-23</v>
      </c>
      <c r="AD820"/>
    </row>
    <row r="821" spans="10:30" ht="16.2" customHeight="1">
      <c r="J821" s="80" t="s">
        <v>725</v>
      </c>
      <c r="K821" s="80" t="s">
        <v>365</v>
      </c>
      <c r="L821" t="s">
        <v>170</v>
      </c>
      <c r="M821" s="80" t="s">
        <v>264</v>
      </c>
      <c r="N821" t="str">
        <f t="shared" si="136"/>
        <v>SingleHospitalNormal 20741 Wall Socket &amp; 1 L Bracket</v>
      </c>
      <c r="O821">
        <v>35</v>
      </c>
      <c r="P821">
        <v>37</v>
      </c>
      <c r="Q821" s="80">
        <v>0</v>
      </c>
      <c r="R821" s="80">
        <f t="shared" si="137"/>
        <v>2</v>
      </c>
      <c r="AD821"/>
    </row>
    <row r="822" spans="10:30" ht="16.2" customHeight="1">
      <c r="J822" s="80" t="s">
        <v>746</v>
      </c>
      <c r="K822" s="80" t="s">
        <v>365</v>
      </c>
      <c r="L822" t="s">
        <v>183</v>
      </c>
      <c r="M822" s="80" t="s">
        <v>263</v>
      </c>
      <c r="N822" t="str">
        <f t="shared" si="136"/>
        <v>Double FrontHospitalBelow Normal 20752 Wall Sockets</v>
      </c>
      <c r="O822">
        <v>70</v>
      </c>
      <c r="P822">
        <v>37</v>
      </c>
      <c r="Q822" s="80">
        <v>0</v>
      </c>
      <c r="R822" s="80">
        <f t="shared" si="137"/>
        <v>-33</v>
      </c>
      <c r="AD822"/>
    </row>
    <row r="823" spans="10:30" ht="16.2" customHeight="1">
      <c r="J823" s="80" t="s">
        <v>747</v>
      </c>
      <c r="K823" s="80" t="s">
        <v>365</v>
      </c>
      <c r="L823" t="s">
        <v>183</v>
      </c>
      <c r="M823" s="80" t="s">
        <v>263</v>
      </c>
      <c r="N823" t="str">
        <f t="shared" si="136"/>
        <v>Double RearHospitalBelow Normal 20752 Wall Sockets</v>
      </c>
      <c r="O823">
        <v>70</v>
      </c>
      <c r="P823">
        <v>37</v>
      </c>
      <c r="Q823" s="80">
        <v>0</v>
      </c>
      <c r="R823" s="80">
        <f t="shared" si="137"/>
        <v>-33</v>
      </c>
      <c r="AD823"/>
    </row>
    <row r="824" spans="10:30" ht="16.2" customHeight="1">
      <c r="J824" s="80" t="s">
        <v>725</v>
      </c>
      <c r="K824" s="80" t="s">
        <v>365</v>
      </c>
      <c r="L824" t="s">
        <v>183</v>
      </c>
      <c r="M824" s="80" t="s">
        <v>263</v>
      </c>
      <c r="N824" t="str">
        <f t="shared" si="136"/>
        <v>SingleHospitalBelow Normal 20752 Wall Sockets</v>
      </c>
      <c r="O824">
        <v>70</v>
      </c>
      <c r="P824">
        <v>37</v>
      </c>
      <c r="Q824" s="80">
        <v>0</v>
      </c>
      <c r="R824" s="80">
        <f t="shared" si="137"/>
        <v>-33</v>
      </c>
      <c r="AD824"/>
    </row>
    <row r="825" spans="10:30" ht="16.2" customHeight="1">
      <c r="J825" s="80" t="s">
        <v>746</v>
      </c>
      <c r="K825" s="80" t="s">
        <v>365</v>
      </c>
      <c r="L825" t="s">
        <v>182</v>
      </c>
      <c r="M825" s="80" t="s">
        <v>263</v>
      </c>
      <c r="N825" t="str">
        <f t="shared" si="136"/>
        <v>Double FrontHospitalBetween Level and Normal 20732 Wall Sockets</v>
      </c>
      <c r="O825">
        <v>48</v>
      </c>
      <c r="P825">
        <v>37</v>
      </c>
      <c r="Q825" s="80">
        <v>0</v>
      </c>
      <c r="R825" s="80">
        <f t="shared" si="137"/>
        <v>-11</v>
      </c>
      <c r="AD825"/>
    </row>
    <row r="826" spans="10:30" ht="16.2" customHeight="1">
      <c r="J826" s="80" t="s">
        <v>747</v>
      </c>
      <c r="K826" s="80" t="s">
        <v>365</v>
      </c>
      <c r="L826" t="s">
        <v>182</v>
      </c>
      <c r="M826" s="80" t="s">
        <v>263</v>
      </c>
      <c r="N826" t="str">
        <f t="shared" si="136"/>
        <v>Double RearHospitalBetween Level and Normal 20732 Wall Sockets</v>
      </c>
      <c r="O826">
        <v>48</v>
      </c>
      <c r="P826">
        <v>37</v>
      </c>
      <c r="Q826" s="80">
        <v>0</v>
      </c>
      <c r="R826" s="80">
        <f t="shared" si="137"/>
        <v>-11</v>
      </c>
      <c r="AD826"/>
    </row>
    <row r="827" spans="10:30" ht="16.2" customHeight="1">
      <c r="J827" s="80" t="s">
        <v>725</v>
      </c>
      <c r="K827" s="80" t="s">
        <v>365</v>
      </c>
      <c r="L827" t="s">
        <v>182</v>
      </c>
      <c r="M827" s="80" t="s">
        <v>263</v>
      </c>
      <c r="N827" t="str">
        <f t="shared" si="136"/>
        <v>SingleHospitalBetween Level and Normal 20732 Wall Sockets</v>
      </c>
      <c r="O827">
        <v>47</v>
      </c>
      <c r="P827">
        <v>37</v>
      </c>
      <c r="Q827" s="80">
        <v>0</v>
      </c>
      <c r="R827" s="80">
        <f t="shared" si="137"/>
        <v>-10</v>
      </c>
      <c r="AD827"/>
    </row>
    <row r="828" spans="10:30" ht="16.2" customHeight="1">
      <c r="J828" s="80" t="s">
        <v>746</v>
      </c>
      <c r="K828" s="80" t="s">
        <v>365</v>
      </c>
      <c r="L828" t="s">
        <v>184</v>
      </c>
      <c r="M828" s="80" t="s">
        <v>263</v>
      </c>
      <c r="N828" t="str">
        <f t="shared" si="136"/>
        <v>Double FrontHospitalDecorator 20712 Wall Sockets</v>
      </c>
      <c r="O828">
        <v>20</v>
      </c>
      <c r="P828">
        <v>37</v>
      </c>
      <c r="Q828" s="80">
        <v>0</v>
      </c>
      <c r="R828" s="80">
        <f t="shared" si="137"/>
        <v>17</v>
      </c>
      <c r="AD828"/>
    </row>
    <row r="829" spans="10:30" ht="16.2" customHeight="1">
      <c r="J829" s="80" t="s">
        <v>747</v>
      </c>
      <c r="K829" s="80" t="s">
        <v>365</v>
      </c>
      <c r="L829" t="s">
        <v>184</v>
      </c>
      <c r="M829" s="80" t="s">
        <v>263</v>
      </c>
      <c r="N829" t="str">
        <f t="shared" si="136"/>
        <v>Double RearHospitalDecorator 20712 Wall Sockets</v>
      </c>
      <c r="O829">
        <v>20</v>
      </c>
      <c r="P829">
        <v>37</v>
      </c>
      <c r="Q829" s="80">
        <v>0</v>
      </c>
      <c r="R829" s="80">
        <f t="shared" si="137"/>
        <v>17</v>
      </c>
      <c r="AD829"/>
    </row>
    <row r="830" spans="10:30" ht="16.2" customHeight="1">
      <c r="J830" s="80" t="s">
        <v>725</v>
      </c>
      <c r="K830" s="80" t="s">
        <v>365</v>
      </c>
      <c r="L830" t="s">
        <v>184</v>
      </c>
      <c r="M830" s="80" t="s">
        <v>263</v>
      </c>
      <c r="N830" t="str">
        <f t="shared" si="136"/>
        <v>SingleHospitalDecorator 20712 Wall Sockets</v>
      </c>
      <c r="O830">
        <v>20</v>
      </c>
      <c r="P830">
        <v>37</v>
      </c>
      <c r="Q830" s="80">
        <v>0</v>
      </c>
      <c r="R830" s="80">
        <f t="shared" si="137"/>
        <v>17</v>
      </c>
      <c r="AD830"/>
    </row>
    <row r="831" spans="10:30" ht="16.2" customHeight="1">
      <c r="J831" s="80" t="s">
        <v>746</v>
      </c>
      <c r="K831" s="80" t="s">
        <v>365</v>
      </c>
      <c r="L831" t="s">
        <v>6468</v>
      </c>
      <c r="M831" s="80" t="s">
        <v>263</v>
      </c>
      <c r="N831" t="str">
        <f t="shared" si="136"/>
        <v>Double FrontHospitalGather Hook Bottom Pocket2 Wall Sockets</v>
      </c>
      <c r="O831">
        <v>60</v>
      </c>
      <c r="P831">
        <v>37</v>
      </c>
      <c r="Q831" s="80">
        <v>0</v>
      </c>
      <c r="R831" s="80">
        <f t="shared" si="137"/>
        <v>-23</v>
      </c>
      <c r="AD831"/>
    </row>
    <row r="832" spans="10:30" ht="16.2" customHeight="1">
      <c r="J832" s="80" t="s">
        <v>725</v>
      </c>
      <c r="K832" s="80" t="s">
        <v>365</v>
      </c>
      <c r="L832" t="s">
        <v>6468</v>
      </c>
      <c r="M832" s="80" t="s">
        <v>263</v>
      </c>
      <c r="N832" t="str">
        <f t="shared" si="136"/>
        <v>SingleHospitalGather Hook Bottom Pocket2 Wall Sockets</v>
      </c>
      <c r="O832">
        <v>60</v>
      </c>
      <c r="P832">
        <v>37</v>
      </c>
      <c r="Q832" s="80">
        <v>0</v>
      </c>
      <c r="R832" s="80">
        <f t="shared" si="137"/>
        <v>-23</v>
      </c>
      <c r="AD832"/>
    </row>
    <row r="833" spans="10:30" ht="16.2" customHeight="1">
      <c r="J833" s="80" t="s">
        <v>746</v>
      </c>
      <c r="K833" s="80" t="s">
        <v>365</v>
      </c>
      <c r="L833" t="s">
        <v>229</v>
      </c>
      <c r="M833" s="80" t="s">
        <v>263</v>
      </c>
      <c r="N833" t="str">
        <f t="shared" si="136"/>
        <v>Double FrontHospitalGather Hook Level2 Wall Sockets</v>
      </c>
      <c r="O833">
        <v>20</v>
      </c>
      <c r="P833">
        <v>37</v>
      </c>
      <c r="Q833" s="80">
        <v>0</v>
      </c>
      <c r="R833" s="80">
        <f t="shared" si="137"/>
        <v>17</v>
      </c>
      <c r="AD833"/>
    </row>
    <row r="834" spans="10:30" ht="16.2" customHeight="1">
      <c r="J834" s="80" t="s">
        <v>747</v>
      </c>
      <c r="K834" s="80" t="s">
        <v>365</v>
      </c>
      <c r="L834" t="s">
        <v>229</v>
      </c>
      <c r="M834" s="80" t="s">
        <v>263</v>
      </c>
      <c r="N834" t="str">
        <f t="shared" si="138" ref="N834:N897">(CONCATENATE(J834,K834,L834,M834))</f>
        <v>Double RearHospitalGather Hook Level2 Wall Sockets</v>
      </c>
      <c r="O834">
        <v>20</v>
      </c>
      <c r="P834">
        <v>37</v>
      </c>
      <c r="Q834" s="80">
        <v>0</v>
      </c>
      <c r="R834" s="80">
        <f t="shared" si="137"/>
        <v>17</v>
      </c>
      <c r="AD834"/>
    </row>
    <row r="835" spans="10:30" ht="16.2" customHeight="1">
      <c r="J835" s="80" t="s">
        <v>725</v>
      </c>
      <c r="K835" s="80" t="s">
        <v>365</v>
      </c>
      <c r="L835" t="s">
        <v>229</v>
      </c>
      <c r="M835" s="80" t="s">
        <v>263</v>
      </c>
      <c r="N835" t="str">
        <f t="shared" si="138"/>
        <v>SingleHospitalGather Hook Level2 Wall Sockets</v>
      </c>
      <c r="O835">
        <v>20</v>
      </c>
      <c r="P835">
        <v>37</v>
      </c>
      <c r="Q835" s="80">
        <v>0</v>
      </c>
      <c r="R835" s="80">
        <f t="shared" si="137"/>
        <v>17</v>
      </c>
      <c r="AD835"/>
    </row>
    <row r="836" spans="10:30" ht="16.2" customHeight="1">
      <c r="J836" s="80" t="s">
        <v>746</v>
      </c>
      <c r="K836" s="80" t="s">
        <v>365</v>
      </c>
      <c r="L836" t="s">
        <v>228</v>
      </c>
      <c r="M836" s="80" t="s">
        <v>263</v>
      </c>
      <c r="N836" t="str">
        <f t="shared" si="138"/>
        <v>Double FrontHospitalGather Hook Normal2 Wall Sockets</v>
      </c>
      <c r="O836">
        <v>43</v>
      </c>
      <c r="P836">
        <v>37</v>
      </c>
      <c r="Q836" s="80">
        <v>0</v>
      </c>
      <c r="R836" s="80">
        <f t="shared" si="137"/>
        <v>-6</v>
      </c>
      <c r="AD836"/>
    </row>
    <row r="837" spans="10:30" ht="16.2" customHeight="1">
      <c r="J837" s="80" t="s">
        <v>747</v>
      </c>
      <c r="K837" s="80" t="s">
        <v>365</v>
      </c>
      <c r="L837" t="s">
        <v>228</v>
      </c>
      <c r="M837" s="80" t="s">
        <v>263</v>
      </c>
      <c r="N837" t="str">
        <f t="shared" si="138"/>
        <v>Double RearHospitalGather Hook Normal2 Wall Sockets</v>
      </c>
      <c r="O837">
        <v>43</v>
      </c>
      <c r="P837">
        <v>37</v>
      </c>
      <c r="Q837" s="80">
        <v>0</v>
      </c>
      <c r="R837" s="80">
        <f t="shared" si="137"/>
        <v>-6</v>
      </c>
      <c r="AD837"/>
    </row>
    <row r="838" spans="10:30" ht="16.2" customHeight="1">
      <c r="J838" s="80" t="s">
        <v>725</v>
      </c>
      <c r="K838" s="80" t="s">
        <v>365</v>
      </c>
      <c r="L838" t="s">
        <v>228</v>
      </c>
      <c r="M838" s="80" t="s">
        <v>263</v>
      </c>
      <c r="N838" t="str">
        <f t="shared" si="138"/>
        <v>SingleHospitalGather Hook Normal2 Wall Sockets</v>
      </c>
      <c r="O838">
        <v>43</v>
      </c>
      <c r="P838">
        <v>37</v>
      </c>
      <c r="Q838" s="80">
        <v>0</v>
      </c>
      <c r="R838" s="80">
        <f t="shared" si="137"/>
        <v>-6</v>
      </c>
      <c r="AD838"/>
    </row>
    <row r="839" spans="10:30" ht="16.2" customHeight="1">
      <c r="J839" s="80" t="s">
        <v>746</v>
      </c>
      <c r="K839" s="80" t="s">
        <v>365</v>
      </c>
      <c r="L839" t="s">
        <v>689</v>
      </c>
      <c r="M839" s="80" t="s">
        <v>263</v>
      </c>
      <c r="N839" t="str">
        <f t="shared" si="138"/>
        <v>Double FrontHospitalHospital Track No Hooks2 Wall Sockets</v>
      </c>
      <c r="O839">
        <v>28</v>
      </c>
      <c r="P839">
        <v>37</v>
      </c>
      <c r="Q839" s="80">
        <v>0</v>
      </c>
      <c r="R839" s="80">
        <f t="shared" si="137"/>
        <v>9</v>
      </c>
      <c r="AD839"/>
    </row>
    <row r="840" spans="10:30" ht="16.2" customHeight="1">
      <c r="J840" s="80" t="s">
        <v>747</v>
      </c>
      <c r="K840" s="80" t="s">
        <v>365</v>
      </c>
      <c r="L840" t="s">
        <v>689</v>
      </c>
      <c r="M840" s="80" t="s">
        <v>263</v>
      </c>
      <c r="N840" t="str">
        <f t="shared" si="138"/>
        <v>Double RearHospitalHospital Track No Hooks2 Wall Sockets</v>
      </c>
      <c r="O840">
        <v>28</v>
      </c>
      <c r="P840">
        <v>37</v>
      </c>
      <c r="Q840" s="80">
        <v>0</v>
      </c>
      <c r="R840" s="80">
        <f t="shared" si="137"/>
        <v>9</v>
      </c>
      <c r="AD840"/>
    </row>
    <row r="841" spans="10:30" ht="16.2" customHeight="1">
      <c r="J841" s="80" t="s">
        <v>725</v>
      </c>
      <c r="K841" s="80" t="s">
        <v>365</v>
      </c>
      <c r="L841" t="s">
        <v>689</v>
      </c>
      <c r="M841" s="80" t="s">
        <v>263</v>
      </c>
      <c r="N841" t="str">
        <f t="shared" si="138"/>
        <v>SingleHospitalHospital Track No Hooks2 Wall Sockets</v>
      </c>
      <c r="O841">
        <v>28</v>
      </c>
      <c r="P841">
        <v>37</v>
      </c>
      <c r="Q841" s="80">
        <v>0</v>
      </c>
      <c r="R841" s="80">
        <f t="shared" si="137"/>
        <v>9</v>
      </c>
      <c r="AD841"/>
    </row>
    <row r="842" spans="10:30" ht="16.2" customHeight="1">
      <c r="J842" s="80" t="s">
        <v>746</v>
      </c>
      <c r="K842" s="80" t="s">
        <v>365</v>
      </c>
      <c r="L842" t="s">
        <v>282</v>
      </c>
      <c r="M842" s="80" t="s">
        <v>263</v>
      </c>
      <c r="N842" t="str">
        <f t="shared" si="138"/>
        <v>Double FrontHospitalLevel 20722 Wall Sockets</v>
      </c>
      <c r="O842">
        <v>38</v>
      </c>
      <c r="P842">
        <v>37</v>
      </c>
      <c r="Q842" s="80">
        <v>0</v>
      </c>
      <c r="R842" s="80">
        <f t="shared" si="137"/>
        <v>-1</v>
      </c>
      <c r="AD842"/>
    </row>
    <row r="843" spans="10:30" ht="16.2" customHeight="1">
      <c r="J843" s="80" t="s">
        <v>747</v>
      </c>
      <c r="K843" s="80" t="s">
        <v>365</v>
      </c>
      <c r="L843" t="s">
        <v>282</v>
      </c>
      <c r="M843" s="80" t="s">
        <v>263</v>
      </c>
      <c r="N843" t="str">
        <f t="shared" si="138"/>
        <v>Double RearHospitalLevel 20722 Wall Sockets</v>
      </c>
      <c r="O843">
        <v>38</v>
      </c>
      <c r="P843">
        <v>37</v>
      </c>
      <c r="Q843" s="80">
        <v>0</v>
      </c>
      <c r="R843" s="80">
        <f t="shared" si="137"/>
        <v>-1</v>
      </c>
      <c r="AD843"/>
    </row>
    <row r="844" spans="10:30" ht="16.2" customHeight="1">
      <c r="J844" s="80" t="s">
        <v>725</v>
      </c>
      <c r="K844" s="80" t="s">
        <v>365</v>
      </c>
      <c r="L844" t="s">
        <v>282</v>
      </c>
      <c r="M844" s="80" t="s">
        <v>263</v>
      </c>
      <c r="N844" t="str">
        <f t="shared" si="138"/>
        <v>SingleHospitalLevel 20722 Wall Sockets</v>
      </c>
      <c r="O844">
        <v>38</v>
      </c>
      <c r="P844">
        <v>37</v>
      </c>
      <c r="Q844" s="80">
        <v>0</v>
      </c>
      <c r="R844" s="80">
        <f t="shared" si="137"/>
        <v>-1</v>
      </c>
      <c r="AD844"/>
    </row>
    <row r="845" spans="10:30" ht="16.2" customHeight="1">
      <c r="J845" s="80" t="s">
        <v>746</v>
      </c>
      <c r="K845" s="80" t="s">
        <v>365</v>
      </c>
      <c r="L845" t="s">
        <v>170</v>
      </c>
      <c r="M845" s="80" t="s">
        <v>263</v>
      </c>
      <c r="N845" t="str">
        <f t="shared" si="138"/>
        <v>Double FrontHospitalNormal 20742 Wall Sockets</v>
      </c>
      <c r="O845">
        <v>60</v>
      </c>
      <c r="P845">
        <v>37</v>
      </c>
      <c r="Q845" s="80">
        <v>0</v>
      </c>
      <c r="R845" s="80">
        <f t="shared" si="137"/>
        <v>-23</v>
      </c>
      <c r="AD845"/>
    </row>
    <row r="846" spans="10:30" ht="16.2" customHeight="1">
      <c r="J846" s="80" t="s">
        <v>747</v>
      </c>
      <c r="K846" s="80" t="s">
        <v>365</v>
      </c>
      <c r="L846" t="s">
        <v>170</v>
      </c>
      <c r="M846" s="80" t="s">
        <v>263</v>
      </c>
      <c r="N846" t="str">
        <f t="shared" si="138"/>
        <v>Double RearHospitalNormal 20742 Wall Sockets</v>
      </c>
      <c r="O846">
        <v>60</v>
      </c>
      <c r="P846">
        <v>37</v>
      </c>
      <c r="Q846" s="80">
        <v>0</v>
      </c>
      <c r="R846" s="80">
        <f t="shared" si="137"/>
        <v>-23</v>
      </c>
      <c r="AD846"/>
    </row>
    <row r="847" spans="10:30" ht="16.2" customHeight="1">
      <c r="J847" s="80" t="s">
        <v>725</v>
      </c>
      <c r="K847" s="80" t="s">
        <v>365</v>
      </c>
      <c r="L847" t="s">
        <v>170</v>
      </c>
      <c r="M847" s="80" t="s">
        <v>263</v>
      </c>
      <c r="N847" t="str">
        <f t="shared" si="138"/>
        <v>SingleHospitalNormal 20742 Wall Sockets</v>
      </c>
      <c r="O847">
        <v>35</v>
      </c>
      <c r="P847">
        <v>37</v>
      </c>
      <c r="Q847" s="80">
        <v>0</v>
      </c>
      <c r="R847" s="80">
        <f t="shared" si="137"/>
        <v>2</v>
      </c>
      <c r="AD847"/>
    </row>
    <row r="848" spans="10:30" ht="16.2" customHeight="1">
      <c r="J848" s="80" t="s">
        <v>746</v>
      </c>
      <c r="K848" s="80" t="s">
        <v>365</v>
      </c>
      <c r="L848" t="s">
        <v>183</v>
      </c>
      <c r="M848" s="80" t="s">
        <v>265</v>
      </c>
      <c r="N848" t="str">
        <f t="shared" si="138"/>
        <v>Double FrontHospitalBelow Normal 20752 x L Bracket</v>
      </c>
      <c r="O848">
        <v>70</v>
      </c>
      <c r="P848">
        <v>37</v>
      </c>
      <c r="Q848" s="80">
        <v>0</v>
      </c>
      <c r="R848" s="80">
        <f t="shared" si="137"/>
        <v>-33</v>
      </c>
      <c r="AD848"/>
    </row>
    <row r="849" spans="10:30" ht="16.2" customHeight="1">
      <c r="J849" s="80" t="s">
        <v>747</v>
      </c>
      <c r="K849" s="80" t="s">
        <v>365</v>
      </c>
      <c r="L849" t="s">
        <v>183</v>
      </c>
      <c r="M849" s="80" t="s">
        <v>265</v>
      </c>
      <c r="N849" t="str">
        <f t="shared" si="138"/>
        <v>Double RearHospitalBelow Normal 20752 x L Bracket</v>
      </c>
      <c r="O849">
        <v>70</v>
      </c>
      <c r="P849">
        <v>37</v>
      </c>
      <c r="Q849" s="80">
        <v>0</v>
      </c>
      <c r="R849" s="80">
        <f t="shared" si="137"/>
        <v>-33</v>
      </c>
      <c r="AD849"/>
    </row>
    <row r="850" spans="10:30" ht="16.2" customHeight="1">
      <c r="J850" s="80" t="s">
        <v>725</v>
      </c>
      <c r="K850" s="80" t="s">
        <v>365</v>
      </c>
      <c r="L850" t="s">
        <v>183</v>
      </c>
      <c r="M850" s="80" t="s">
        <v>265</v>
      </c>
      <c r="N850" t="str">
        <f t="shared" si="138"/>
        <v>SingleHospitalBelow Normal 20752 x L Bracket</v>
      </c>
      <c r="O850">
        <v>70</v>
      </c>
      <c r="P850">
        <v>37</v>
      </c>
      <c r="Q850" s="80">
        <v>0</v>
      </c>
      <c r="R850" s="80">
        <f t="shared" si="137"/>
        <v>-33</v>
      </c>
      <c r="AD850"/>
    </row>
    <row r="851" spans="10:30" ht="16.2" customHeight="1">
      <c r="J851" s="80" t="s">
        <v>746</v>
      </c>
      <c r="K851" s="80" t="s">
        <v>365</v>
      </c>
      <c r="L851" t="s">
        <v>182</v>
      </c>
      <c r="M851" s="80" t="s">
        <v>265</v>
      </c>
      <c r="N851" t="str">
        <f t="shared" si="138"/>
        <v>Double FrontHospitalBetween Level and Normal 20732 x L Bracket</v>
      </c>
      <c r="O851">
        <v>48</v>
      </c>
      <c r="P851">
        <v>37</v>
      </c>
      <c r="Q851" s="80">
        <v>0</v>
      </c>
      <c r="R851" s="80">
        <f t="shared" si="137"/>
        <v>-11</v>
      </c>
      <c r="AD851"/>
    </row>
    <row r="852" spans="10:30" ht="16.2" customHeight="1">
      <c r="J852" s="80" t="s">
        <v>747</v>
      </c>
      <c r="K852" s="80" t="s">
        <v>365</v>
      </c>
      <c r="L852" t="s">
        <v>182</v>
      </c>
      <c r="M852" s="80" t="s">
        <v>265</v>
      </c>
      <c r="N852" t="str">
        <f t="shared" si="138"/>
        <v>Double RearHospitalBetween Level and Normal 20732 x L Bracket</v>
      </c>
      <c r="O852">
        <v>48</v>
      </c>
      <c r="P852">
        <v>37</v>
      </c>
      <c r="Q852" s="80">
        <v>0</v>
      </c>
      <c r="R852" s="80">
        <f t="shared" si="137"/>
        <v>-11</v>
      </c>
      <c r="AD852"/>
    </row>
    <row r="853" spans="10:30" ht="16.2" customHeight="1">
      <c r="J853" s="80" t="s">
        <v>725</v>
      </c>
      <c r="K853" s="80" t="s">
        <v>365</v>
      </c>
      <c r="L853" t="s">
        <v>182</v>
      </c>
      <c r="M853" s="80" t="s">
        <v>265</v>
      </c>
      <c r="N853" t="str">
        <f t="shared" si="138"/>
        <v>SingleHospitalBetween Level and Normal 20732 x L Bracket</v>
      </c>
      <c r="O853">
        <v>47</v>
      </c>
      <c r="P853">
        <v>37</v>
      </c>
      <c r="Q853" s="80">
        <v>0</v>
      </c>
      <c r="R853" s="80">
        <f t="shared" si="137"/>
        <v>-10</v>
      </c>
      <c r="AD853"/>
    </row>
    <row r="854" spans="10:30" ht="16.2" customHeight="1">
      <c r="J854" s="80" t="s">
        <v>746</v>
      </c>
      <c r="K854" s="80" t="s">
        <v>365</v>
      </c>
      <c r="L854" t="s">
        <v>184</v>
      </c>
      <c r="M854" s="80" t="s">
        <v>265</v>
      </c>
      <c r="N854" t="str">
        <f t="shared" si="138"/>
        <v>Double FrontHospitalDecorator 20712 x L Bracket</v>
      </c>
      <c r="O854">
        <v>20</v>
      </c>
      <c r="P854">
        <v>37</v>
      </c>
      <c r="Q854" s="80">
        <v>0</v>
      </c>
      <c r="R854" s="80">
        <f t="shared" si="137"/>
        <v>17</v>
      </c>
      <c r="AD854"/>
    </row>
    <row r="855" spans="10:30" ht="16.2" customHeight="1">
      <c r="J855" s="80" t="s">
        <v>747</v>
      </c>
      <c r="K855" s="80" t="s">
        <v>365</v>
      </c>
      <c r="L855" t="s">
        <v>184</v>
      </c>
      <c r="M855" s="80" t="s">
        <v>265</v>
      </c>
      <c r="N855" t="str">
        <f t="shared" si="138"/>
        <v>Double RearHospitalDecorator 20712 x L Bracket</v>
      </c>
      <c r="O855">
        <v>20</v>
      </c>
      <c r="P855">
        <v>37</v>
      </c>
      <c r="Q855" s="80">
        <v>0</v>
      </c>
      <c r="R855" s="80">
        <f t="shared" si="137"/>
        <v>17</v>
      </c>
      <c r="AD855"/>
    </row>
    <row r="856" spans="10:30" ht="16.2" customHeight="1">
      <c r="J856" s="80" t="s">
        <v>725</v>
      </c>
      <c r="K856" s="80" t="s">
        <v>365</v>
      </c>
      <c r="L856" t="s">
        <v>184</v>
      </c>
      <c r="M856" s="80" t="s">
        <v>265</v>
      </c>
      <c r="N856" t="str">
        <f t="shared" si="138"/>
        <v>SingleHospitalDecorator 20712 x L Bracket</v>
      </c>
      <c r="O856">
        <v>20</v>
      </c>
      <c r="P856">
        <v>37</v>
      </c>
      <c r="Q856" s="80">
        <v>0</v>
      </c>
      <c r="R856" s="80">
        <f t="shared" si="137"/>
        <v>17</v>
      </c>
      <c r="AD856"/>
    </row>
    <row r="857" spans="10:30" ht="16.2" customHeight="1">
      <c r="J857" s="80" t="s">
        <v>746</v>
      </c>
      <c r="K857" s="80" t="s">
        <v>365</v>
      </c>
      <c r="L857" t="s">
        <v>6468</v>
      </c>
      <c r="M857" s="80" t="s">
        <v>265</v>
      </c>
      <c r="N857" t="str">
        <f t="shared" si="138"/>
        <v>Double FrontHospitalGather Hook Bottom Pocket2 x L Bracket</v>
      </c>
      <c r="O857">
        <v>60</v>
      </c>
      <c r="P857">
        <v>37</v>
      </c>
      <c r="Q857" s="80">
        <v>0</v>
      </c>
      <c r="R857" s="80">
        <f t="shared" si="137"/>
        <v>-23</v>
      </c>
      <c r="AD857"/>
    </row>
    <row r="858" spans="10:30" ht="16.2" customHeight="1">
      <c r="J858" s="80" t="s">
        <v>725</v>
      </c>
      <c r="K858" s="80" t="s">
        <v>365</v>
      </c>
      <c r="L858" t="s">
        <v>6468</v>
      </c>
      <c r="M858" s="80" t="s">
        <v>265</v>
      </c>
      <c r="N858" t="str">
        <f t="shared" si="138"/>
        <v>SingleHospitalGather Hook Bottom Pocket2 x L Bracket</v>
      </c>
      <c r="O858">
        <v>60</v>
      </c>
      <c r="P858">
        <v>37</v>
      </c>
      <c r="Q858" s="80">
        <v>0</v>
      </c>
      <c r="R858" s="80">
        <f t="shared" si="137"/>
        <v>-23</v>
      </c>
      <c r="AD858"/>
    </row>
    <row r="859" spans="10:30" ht="16.2" customHeight="1">
      <c r="J859" s="80" t="s">
        <v>746</v>
      </c>
      <c r="K859" s="80" t="s">
        <v>365</v>
      </c>
      <c r="L859" t="s">
        <v>229</v>
      </c>
      <c r="M859" s="80" t="s">
        <v>265</v>
      </c>
      <c r="N859" t="str">
        <f t="shared" si="138"/>
        <v>Double FrontHospitalGather Hook Level2 x L Bracket</v>
      </c>
      <c r="O859">
        <v>20</v>
      </c>
      <c r="P859">
        <v>37</v>
      </c>
      <c r="Q859" s="80">
        <v>0</v>
      </c>
      <c r="R859" s="80">
        <f t="shared" si="137"/>
        <v>17</v>
      </c>
      <c r="AD859"/>
    </row>
    <row r="860" spans="10:30" ht="16.2" customHeight="1">
      <c r="J860" s="80" t="s">
        <v>747</v>
      </c>
      <c r="K860" s="80" t="s">
        <v>365</v>
      </c>
      <c r="L860" t="s">
        <v>229</v>
      </c>
      <c r="M860" s="80" t="s">
        <v>265</v>
      </c>
      <c r="N860" t="str">
        <f t="shared" si="138"/>
        <v>Double RearHospitalGather Hook Level2 x L Bracket</v>
      </c>
      <c r="O860">
        <v>20</v>
      </c>
      <c r="P860">
        <v>37</v>
      </c>
      <c r="Q860" s="80">
        <v>0</v>
      </c>
      <c r="R860" s="80">
        <f t="shared" si="137"/>
        <v>17</v>
      </c>
      <c r="AD860"/>
    </row>
    <row r="861" spans="10:30" ht="16.2" customHeight="1">
      <c r="J861" s="80" t="s">
        <v>725</v>
      </c>
      <c r="K861" s="80" t="s">
        <v>365</v>
      </c>
      <c r="L861" t="s">
        <v>229</v>
      </c>
      <c r="M861" s="80" t="s">
        <v>265</v>
      </c>
      <c r="N861" t="str">
        <f t="shared" si="138"/>
        <v>SingleHospitalGather Hook Level2 x L Bracket</v>
      </c>
      <c r="O861">
        <v>20</v>
      </c>
      <c r="P861">
        <v>37</v>
      </c>
      <c r="Q861" s="80">
        <v>0</v>
      </c>
      <c r="R861" s="80">
        <f t="shared" si="137"/>
        <v>17</v>
      </c>
      <c r="AD861"/>
    </row>
    <row r="862" spans="10:30" ht="16.2" customHeight="1">
      <c r="J862" s="80" t="s">
        <v>746</v>
      </c>
      <c r="K862" s="80" t="s">
        <v>365</v>
      </c>
      <c r="L862" t="s">
        <v>228</v>
      </c>
      <c r="M862" s="80" t="s">
        <v>265</v>
      </c>
      <c r="N862" t="str">
        <f t="shared" si="138"/>
        <v>Double FrontHospitalGather Hook Normal2 x L Bracket</v>
      </c>
      <c r="O862">
        <v>43</v>
      </c>
      <c r="P862">
        <v>37</v>
      </c>
      <c r="Q862" s="80">
        <v>0</v>
      </c>
      <c r="R862" s="80">
        <f t="shared" si="137"/>
        <v>-6</v>
      </c>
      <c r="AD862"/>
    </row>
    <row r="863" spans="10:30" ht="16.2" customHeight="1">
      <c r="J863" s="80" t="s">
        <v>747</v>
      </c>
      <c r="K863" s="80" t="s">
        <v>365</v>
      </c>
      <c r="L863" t="s">
        <v>228</v>
      </c>
      <c r="M863" s="80" t="s">
        <v>265</v>
      </c>
      <c r="N863" t="str">
        <f t="shared" si="138"/>
        <v>Double RearHospitalGather Hook Normal2 x L Bracket</v>
      </c>
      <c r="O863">
        <v>43</v>
      </c>
      <c r="P863">
        <v>37</v>
      </c>
      <c r="Q863" s="80">
        <v>0</v>
      </c>
      <c r="R863" s="80">
        <f t="shared" si="139" ref="R863:R926">SUM(P863)-O863</f>
        <v>-6</v>
      </c>
      <c r="AD863"/>
    </row>
    <row r="864" spans="10:30" ht="16.2" customHeight="1">
      <c r="J864" s="80" t="s">
        <v>725</v>
      </c>
      <c r="K864" s="80" t="s">
        <v>365</v>
      </c>
      <c r="L864" t="s">
        <v>228</v>
      </c>
      <c r="M864" s="80" t="s">
        <v>265</v>
      </c>
      <c r="N864" t="str">
        <f t="shared" si="138"/>
        <v>SingleHospitalGather Hook Normal2 x L Bracket</v>
      </c>
      <c r="O864">
        <v>43</v>
      </c>
      <c r="P864">
        <v>37</v>
      </c>
      <c r="Q864" s="80">
        <v>0</v>
      </c>
      <c r="R864" s="80">
        <f t="shared" si="139"/>
        <v>-6</v>
      </c>
      <c r="AD864"/>
    </row>
    <row r="865" spans="10:30" ht="16.2" customHeight="1">
      <c r="J865" s="80" t="s">
        <v>746</v>
      </c>
      <c r="K865" s="80" t="s">
        <v>365</v>
      </c>
      <c r="L865" t="s">
        <v>689</v>
      </c>
      <c r="M865" s="80" t="s">
        <v>265</v>
      </c>
      <c r="N865" t="str">
        <f t="shared" si="138"/>
        <v>Double FrontHospitalHospital Track No Hooks2 x L Bracket</v>
      </c>
      <c r="O865">
        <v>28</v>
      </c>
      <c r="P865">
        <v>37</v>
      </c>
      <c r="Q865" s="80">
        <v>0</v>
      </c>
      <c r="R865" s="80">
        <f t="shared" si="139"/>
        <v>9</v>
      </c>
      <c r="AD865"/>
    </row>
    <row r="866" spans="10:30" ht="16.2" customHeight="1">
      <c r="J866" s="80" t="s">
        <v>747</v>
      </c>
      <c r="K866" s="80" t="s">
        <v>365</v>
      </c>
      <c r="L866" t="s">
        <v>689</v>
      </c>
      <c r="M866" s="80" t="s">
        <v>265</v>
      </c>
      <c r="N866" t="str">
        <f t="shared" si="138"/>
        <v>Double RearHospitalHospital Track No Hooks2 x L Bracket</v>
      </c>
      <c r="O866">
        <v>28</v>
      </c>
      <c r="P866">
        <v>37</v>
      </c>
      <c r="Q866" s="80">
        <v>0</v>
      </c>
      <c r="R866" s="80">
        <f t="shared" si="139"/>
        <v>9</v>
      </c>
      <c r="AD866"/>
    </row>
    <row r="867" spans="10:30" ht="16.2" customHeight="1">
      <c r="J867" s="80" t="s">
        <v>725</v>
      </c>
      <c r="K867" s="80" t="s">
        <v>365</v>
      </c>
      <c r="L867" t="s">
        <v>689</v>
      </c>
      <c r="M867" s="80" t="s">
        <v>265</v>
      </c>
      <c r="N867" t="str">
        <f t="shared" si="138"/>
        <v>SingleHospitalHospital Track No Hooks2 x L Bracket</v>
      </c>
      <c r="O867">
        <v>28</v>
      </c>
      <c r="P867">
        <v>37</v>
      </c>
      <c r="Q867" s="80">
        <v>0</v>
      </c>
      <c r="R867" s="80">
        <f t="shared" si="139"/>
        <v>9</v>
      </c>
      <c r="AD867"/>
    </row>
    <row r="868" spans="10:30" ht="16.2" customHeight="1">
      <c r="J868" s="80" t="s">
        <v>746</v>
      </c>
      <c r="K868" s="80" t="s">
        <v>365</v>
      </c>
      <c r="L868" t="s">
        <v>282</v>
      </c>
      <c r="M868" s="80" t="s">
        <v>265</v>
      </c>
      <c r="N868" t="str">
        <f t="shared" si="138"/>
        <v>Double FrontHospitalLevel 20722 x L Bracket</v>
      </c>
      <c r="O868">
        <v>38</v>
      </c>
      <c r="P868">
        <v>37</v>
      </c>
      <c r="Q868" s="80">
        <v>0</v>
      </c>
      <c r="R868" s="80">
        <f t="shared" si="139"/>
        <v>-1</v>
      </c>
      <c r="AD868"/>
    </row>
    <row r="869" spans="10:30" ht="16.2" customHeight="1">
      <c r="J869" s="80" t="s">
        <v>747</v>
      </c>
      <c r="K869" s="80" t="s">
        <v>365</v>
      </c>
      <c r="L869" t="s">
        <v>282</v>
      </c>
      <c r="M869" s="80" t="s">
        <v>265</v>
      </c>
      <c r="N869" t="str">
        <f t="shared" si="138"/>
        <v>Double RearHospitalLevel 20722 x L Bracket</v>
      </c>
      <c r="O869">
        <v>38</v>
      </c>
      <c r="P869">
        <v>37</v>
      </c>
      <c r="Q869" s="80">
        <v>0</v>
      </c>
      <c r="R869" s="80">
        <f t="shared" si="139"/>
        <v>-1</v>
      </c>
      <c r="AD869"/>
    </row>
    <row r="870" spans="10:30" ht="16.2" customHeight="1">
      <c r="J870" s="80" t="s">
        <v>725</v>
      </c>
      <c r="K870" s="80" t="s">
        <v>365</v>
      </c>
      <c r="L870" t="s">
        <v>282</v>
      </c>
      <c r="M870" s="80" t="s">
        <v>265</v>
      </c>
      <c r="N870" t="str">
        <f t="shared" si="138"/>
        <v>SingleHospitalLevel 20722 x L Bracket</v>
      </c>
      <c r="O870">
        <v>38</v>
      </c>
      <c r="P870">
        <v>37</v>
      </c>
      <c r="Q870" s="80">
        <v>0</v>
      </c>
      <c r="R870" s="80">
        <f t="shared" si="139"/>
        <v>-1</v>
      </c>
      <c r="AD870"/>
    </row>
    <row r="871" spans="10:30" ht="16.2" customHeight="1">
      <c r="J871" s="80" t="s">
        <v>746</v>
      </c>
      <c r="K871" s="80" t="s">
        <v>365</v>
      </c>
      <c r="L871" t="s">
        <v>170</v>
      </c>
      <c r="M871" s="80" t="s">
        <v>265</v>
      </c>
      <c r="N871" t="str">
        <f t="shared" si="138"/>
        <v>Double FrontHospitalNormal 20742 x L Bracket</v>
      </c>
      <c r="O871">
        <v>60</v>
      </c>
      <c r="P871">
        <v>37</v>
      </c>
      <c r="Q871" s="80">
        <v>0</v>
      </c>
      <c r="R871" s="80">
        <f t="shared" si="139"/>
        <v>-23</v>
      </c>
      <c r="AD871"/>
    </row>
    <row r="872" spans="10:30" ht="16.2" customHeight="1">
      <c r="J872" s="80" t="s">
        <v>747</v>
      </c>
      <c r="K872" s="80" t="s">
        <v>365</v>
      </c>
      <c r="L872" t="s">
        <v>170</v>
      </c>
      <c r="M872" s="80" t="s">
        <v>265</v>
      </c>
      <c r="N872" t="str">
        <f t="shared" si="138"/>
        <v>Double RearHospitalNormal 20742 x L Bracket</v>
      </c>
      <c r="O872">
        <v>60</v>
      </c>
      <c r="P872">
        <v>37</v>
      </c>
      <c r="Q872" s="80">
        <v>0</v>
      </c>
      <c r="R872" s="80">
        <f t="shared" si="139"/>
        <v>-23</v>
      </c>
      <c r="AD872"/>
    </row>
    <row r="873" spans="10:30" ht="16.2" customHeight="1">
      <c r="J873" s="80" t="s">
        <v>725</v>
      </c>
      <c r="K873" s="80" t="s">
        <v>365</v>
      </c>
      <c r="L873" t="s">
        <v>170</v>
      </c>
      <c r="M873" s="80" t="s">
        <v>265</v>
      </c>
      <c r="N873" t="str">
        <f t="shared" si="138"/>
        <v>SingleHospitalNormal 20742 x L Bracket</v>
      </c>
      <c r="O873">
        <v>35</v>
      </c>
      <c r="P873">
        <v>37</v>
      </c>
      <c r="Q873" s="80">
        <v>0</v>
      </c>
      <c r="R873" s="80">
        <f t="shared" si="139"/>
        <v>2</v>
      </c>
      <c r="AD873"/>
    </row>
    <row r="874" spans="10:30" ht="16.2" customHeight="1">
      <c r="J874" s="80" t="s">
        <v>746</v>
      </c>
      <c r="K874" s="80" t="s">
        <v>365</v>
      </c>
      <c r="L874" t="s">
        <v>183</v>
      </c>
      <c r="M874" s="80" t="s">
        <v>266</v>
      </c>
      <c r="N874" t="str">
        <f t="shared" si="138"/>
        <v>Double FrontHospitalBelow Normal 2075Top Fix</v>
      </c>
      <c r="O874">
        <v>70</v>
      </c>
      <c r="P874">
        <v>42</v>
      </c>
      <c r="Q874" s="80">
        <v>0</v>
      </c>
      <c r="R874" s="80">
        <f t="shared" si="139"/>
        <v>-28</v>
      </c>
      <c r="AD874"/>
    </row>
    <row r="875" spans="10:30" ht="16.2" customHeight="1">
      <c r="J875" s="80" t="s">
        <v>747</v>
      </c>
      <c r="K875" s="80" t="s">
        <v>365</v>
      </c>
      <c r="L875" t="s">
        <v>183</v>
      </c>
      <c r="M875" s="80" t="s">
        <v>266</v>
      </c>
      <c r="N875" t="str">
        <f t="shared" si="138"/>
        <v>Double RearHospitalBelow Normal 2075Top Fix</v>
      </c>
      <c r="O875">
        <v>70</v>
      </c>
      <c r="P875">
        <v>42</v>
      </c>
      <c r="Q875" s="80">
        <v>0</v>
      </c>
      <c r="R875" s="80">
        <f t="shared" si="139"/>
        <v>-28</v>
      </c>
      <c r="AD875"/>
    </row>
    <row r="876" spans="10:30" ht="16.2" customHeight="1">
      <c r="J876" s="80" t="s">
        <v>725</v>
      </c>
      <c r="K876" s="80" t="s">
        <v>365</v>
      </c>
      <c r="L876" t="s">
        <v>183</v>
      </c>
      <c r="M876" s="80" t="s">
        <v>266</v>
      </c>
      <c r="N876" t="str">
        <f t="shared" si="138"/>
        <v>SingleHospitalBelow Normal 2075Top Fix</v>
      </c>
      <c r="O876">
        <v>70</v>
      </c>
      <c r="P876">
        <v>42</v>
      </c>
      <c r="Q876" s="80">
        <v>0</v>
      </c>
      <c r="R876" s="80">
        <f t="shared" si="139"/>
        <v>-28</v>
      </c>
      <c r="AD876"/>
    </row>
    <row r="877" spans="10:30" ht="16.2" customHeight="1">
      <c r="J877" s="80" t="s">
        <v>746</v>
      </c>
      <c r="K877" s="80" t="s">
        <v>365</v>
      </c>
      <c r="L877" t="s">
        <v>182</v>
      </c>
      <c r="M877" s="80" t="s">
        <v>266</v>
      </c>
      <c r="N877" t="str">
        <f t="shared" si="138"/>
        <v>Double FrontHospitalBetween Level and Normal 2073Top Fix</v>
      </c>
      <c r="O877">
        <v>48</v>
      </c>
      <c r="P877">
        <v>42</v>
      </c>
      <c r="Q877" s="80">
        <v>0</v>
      </c>
      <c r="R877" s="80">
        <f t="shared" si="139"/>
        <v>-6</v>
      </c>
      <c r="AD877"/>
    </row>
    <row r="878" spans="10:30" ht="16.2" customHeight="1">
      <c r="J878" s="80" t="s">
        <v>747</v>
      </c>
      <c r="K878" s="80" t="s">
        <v>365</v>
      </c>
      <c r="L878" t="s">
        <v>182</v>
      </c>
      <c r="M878" s="80" t="s">
        <v>266</v>
      </c>
      <c r="N878" t="str">
        <f t="shared" si="138"/>
        <v>Double RearHospitalBetween Level and Normal 2073Top Fix</v>
      </c>
      <c r="O878">
        <v>48</v>
      </c>
      <c r="P878">
        <v>42</v>
      </c>
      <c r="Q878" s="80">
        <v>0</v>
      </c>
      <c r="R878" s="80">
        <f t="shared" si="139"/>
        <v>-6</v>
      </c>
      <c r="AD878"/>
    </row>
    <row r="879" spans="10:30" ht="16.2" customHeight="1">
      <c r="J879" s="80" t="s">
        <v>725</v>
      </c>
      <c r="K879" s="80" t="s">
        <v>365</v>
      </c>
      <c r="L879" t="s">
        <v>182</v>
      </c>
      <c r="M879" s="80" t="s">
        <v>266</v>
      </c>
      <c r="N879" t="str">
        <f t="shared" si="138"/>
        <v>SingleHospitalBetween Level and Normal 2073Top Fix</v>
      </c>
      <c r="O879">
        <v>47</v>
      </c>
      <c r="P879">
        <v>42</v>
      </c>
      <c r="Q879" s="80">
        <v>0</v>
      </c>
      <c r="R879" s="80">
        <f t="shared" si="139"/>
        <v>-5</v>
      </c>
      <c r="AD879"/>
    </row>
    <row r="880" spans="10:30" ht="16.2" customHeight="1">
      <c r="J880" s="80" t="s">
        <v>746</v>
      </c>
      <c r="K880" s="80" t="s">
        <v>365</v>
      </c>
      <c r="L880" t="s">
        <v>184</v>
      </c>
      <c r="M880" s="80" t="s">
        <v>266</v>
      </c>
      <c r="N880" t="str">
        <f t="shared" si="138"/>
        <v>Double FrontHospitalDecorator 2071Top Fix</v>
      </c>
      <c r="O880">
        <v>20</v>
      </c>
      <c r="P880">
        <v>42</v>
      </c>
      <c r="Q880" s="80">
        <v>0</v>
      </c>
      <c r="R880" s="80">
        <f t="shared" si="139"/>
        <v>22</v>
      </c>
      <c r="AD880"/>
    </row>
    <row r="881" spans="10:30" ht="16.2" customHeight="1">
      <c r="J881" s="80" t="s">
        <v>747</v>
      </c>
      <c r="K881" s="80" t="s">
        <v>365</v>
      </c>
      <c r="L881" t="s">
        <v>184</v>
      </c>
      <c r="M881" s="80" t="s">
        <v>266</v>
      </c>
      <c r="N881" t="str">
        <f t="shared" si="138"/>
        <v>Double RearHospitalDecorator 2071Top Fix</v>
      </c>
      <c r="O881">
        <v>20</v>
      </c>
      <c r="P881">
        <v>42</v>
      </c>
      <c r="Q881" s="80">
        <v>0</v>
      </c>
      <c r="R881" s="80">
        <f t="shared" si="139"/>
        <v>22</v>
      </c>
      <c r="AD881"/>
    </row>
    <row r="882" spans="10:30" ht="16.2" customHeight="1">
      <c r="J882" s="80" t="s">
        <v>725</v>
      </c>
      <c r="K882" s="80" t="s">
        <v>365</v>
      </c>
      <c r="L882" t="s">
        <v>184</v>
      </c>
      <c r="M882" s="80" t="s">
        <v>266</v>
      </c>
      <c r="N882" t="str">
        <f t="shared" si="138"/>
        <v>SingleHospitalDecorator 2071Top Fix</v>
      </c>
      <c r="O882">
        <v>20</v>
      </c>
      <c r="P882">
        <v>42</v>
      </c>
      <c r="Q882" s="80">
        <v>0</v>
      </c>
      <c r="R882" s="80">
        <f t="shared" si="139"/>
        <v>22</v>
      </c>
      <c r="AD882"/>
    </row>
    <row r="883" spans="10:30" ht="16.2" customHeight="1">
      <c r="J883" s="80" t="s">
        <v>746</v>
      </c>
      <c r="K883" s="80" t="s">
        <v>365</v>
      </c>
      <c r="L883" t="s">
        <v>6468</v>
      </c>
      <c r="M883" s="80" t="s">
        <v>266</v>
      </c>
      <c r="N883" t="str">
        <f t="shared" si="138"/>
        <v>Double FrontHospitalGather Hook Bottom PocketTop Fix</v>
      </c>
      <c r="O883">
        <v>60</v>
      </c>
      <c r="P883">
        <v>42</v>
      </c>
      <c r="Q883" s="80">
        <v>0</v>
      </c>
      <c r="R883" s="80">
        <f t="shared" si="139"/>
        <v>-18</v>
      </c>
      <c r="AD883"/>
    </row>
    <row r="884" spans="10:30" ht="16.2" customHeight="1">
      <c r="J884" s="80" t="s">
        <v>725</v>
      </c>
      <c r="K884" s="80" t="s">
        <v>365</v>
      </c>
      <c r="L884" t="s">
        <v>6468</v>
      </c>
      <c r="M884" s="80" t="s">
        <v>266</v>
      </c>
      <c r="N884" t="str">
        <f t="shared" si="138"/>
        <v>SingleHospitalGather Hook Bottom PocketTop Fix</v>
      </c>
      <c r="O884">
        <v>60</v>
      </c>
      <c r="P884">
        <v>42</v>
      </c>
      <c r="Q884" s="80">
        <v>0</v>
      </c>
      <c r="R884" s="80">
        <f t="shared" si="139"/>
        <v>-18</v>
      </c>
      <c r="AD884"/>
    </row>
    <row r="885" spans="10:30" ht="16.2" customHeight="1">
      <c r="J885" s="80" t="s">
        <v>746</v>
      </c>
      <c r="K885" s="80" t="s">
        <v>365</v>
      </c>
      <c r="L885" t="s">
        <v>229</v>
      </c>
      <c r="M885" s="80" t="s">
        <v>266</v>
      </c>
      <c r="N885" t="str">
        <f t="shared" si="138"/>
        <v>Double FrontHospitalGather Hook LevelTop Fix</v>
      </c>
      <c r="O885">
        <v>20</v>
      </c>
      <c r="P885">
        <v>42</v>
      </c>
      <c r="Q885" s="80">
        <v>0</v>
      </c>
      <c r="R885" s="80">
        <f t="shared" si="139"/>
        <v>22</v>
      </c>
      <c r="AD885"/>
    </row>
    <row r="886" spans="10:30" ht="16.2" customHeight="1">
      <c r="J886" s="80" t="s">
        <v>747</v>
      </c>
      <c r="K886" s="80" t="s">
        <v>365</v>
      </c>
      <c r="L886" t="s">
        <v>229</v>
      </c>
      <c r="M886" s="80" t="s">
        <v>266</v>
      </c>
      <c r="N886" t="str">
        <f t="shared" si="138"/>
        <v>Double RearHospitalGather Hook LevelTop Fix</v>
      </c>
      <c r="O886">
        <v>20</v>
      </c>
      <c r="P886">
        <v>42</v>
      </c>
      <c r="Q886" s="80">
        <v>0</v>
      </c>
      <c r="R886" s="80">
        <f t="shared" si="139"/>
        <v>22</v>
      </c>
      <c r="AD886"/>
    </row>
    <row r="887" spans="10:30" ht="16.2" customHeight="1">
      <c r="J887" s="80" t="s">
        <v>725</v>
      </c>
      <c r="K887" s="80" t="s">
        <v>365</v>
      </c>
      <c r="L887" t="s">
        <v>229</v>
      </c>
      <c r="M887" s="80" t="s">
        <v>266</v>
      </c>
      <c r="N887" t="str">
        <f t="shared" si="138"/>
        <v>SingleHospitalGather Hook LevelTop Fix</v>
      </c>
      <c r="O887">
        <v>20</v>
      </c>
      <c r="P887">
        <v>42</v>
      </c>
      <c r="Q887" s="80">
        <v>0</v>
      </c>
      <c r="R887" s="80">
        <f t="shared" si="139"/>
        <v>22</v>
      </c>
      <c r="AD887"/>
    </row>
    <row r="888" spans="10:30" ht="16.2" customHeight="1">
      <c r="J888" s="80" t="s">
        <v>746</v>
      </c>
      <c r="K888" s="80" t="s">
        <v>365</v>
      </c>
      <c r="L888" t="s">
        <v>228</v>
      </c>
      <c r="M888" s="80" t="s">
        <v>266</v>
      </c>
      <c r="N888" t="str">
        <f t="shared" si="138"/>
        <v>Double FrontHospitalGather Hook NormalTop Fix</v>
      </c>
      <c r="O888">
        <v>43</v>
      </c>
      <c r="P888">
        <v>42</v>
      </c>
      <c r="Q888" s="80">
        <v>0</v>
      </c>
      <c r="R888" s="80">
        <f t="shared" si="139"/>
        <v>-1</v>
      </c>
      <c r="AD888"/>
    </row>
    <row r="889" spans="10:30" ht="16.2" customHeight="1">
      <c r="J889" s="80" t="s">
        <v>747</v>
      </c>
      <c r="K889" s="80" t="s">
        <v>365</v>
      </c>
      <c r="L889" t="s">
        <v>228</v>
      </c>
      <c r="M889" s="80" t="s">
        <v>266</v>
      </c>
      <c r="N889" t="str">
        <f t="shared" si="138"/>
        <v>Double RearHospitalGather Hook NormalTop Fix</v>
      </c>
      <c r="O889">
        <v>43</v>
      </c>
      <c r="P889">
        <v>42</v>
      </c>
      <c r="Q889" s="80">
        <v>0</v>
      </c>
      <c r="R889" s="80">
        <f t="shared" si="139"/>
        <v>-1</v>
      </c>
      <c r="AD889"/>
    </row>
    <row r="890" spans="10:30" ht="16.2" customHeight="1">
      <c r="J890" s="80" t="s">
        <v>725</v>
      </c>
      <c r="K890" s="80" t="s">
        <v>365</v>
      </c>
      <c r="L890" t="s">
        <v>228</v>
      </c>
      <c r="M890" s="80" t="s">
        <v>266</v>
      </c>
      <c r="N890" t="str">
        <f t="shared" si="138"/>
        <v>SingleHospitalGather Hook NormalTop Fix</v>
      </c>
      <c r="O890">
        <v>43</v>
      </c>
      <c r="P890">
        <v>42</v>
      </c>
      <c r="Q890" s="80">
        <v>0</v>
      </c>
      <c r="R890" s="80">
        <f t="shared" si="139"/>
        <v>-1</v>
      </c>
      <c r="AD890"/>
    </row>
    <row r="891" spans="10:30" ht="16.2" customHeight="1">
      <c r="J891" s="80" t="s">
        <v>746</v>
      </c>
      <c r="K891" s="80" t="s">
        <v>365</v>
      </c>
      <c r="L891" t="s">
        <v>689</v>
      </c>
      <c r="M891" s="80" t="s">
        <v>266</v>
      </c>
      <c r="N891" t="str">
        <f t="shared" si="138"/>
        <v>Double FrontHospitalHospital Track No HooksTop Fix</v>
      </c>
      <c r="O891">
        <v>28</v>
      </c>
      <c r="P891">
        <v>42</v>
      </c>
      <c r="Q891" s="80">
        <v>0</v>
      </c>
      <c r="R891" s="80">
        <f t="shared" si="139"/>
        <v>14</v>
      </c>
      <c r="AD891"/>
    </row>
    <row r="892" spans="10:30" ht="16.2" customHeight="1">
      <c r="J892" s="80" t="s">
        <v>747</v>
      </c>
      <c r="K892" s="80" t="s">
        <v>365</v>
      </c>
      <c r="L892" t="s">
        <v>689</v>
      </c>
      <c r="M892" s="80" t="s">
        <v>266</v>
      </c>
      <c r="N892" t="str">
        <f t="shared" si="138"/>
        <v>Double RearHospitalHospital Track No HooksTop Fix</v>
      </c>
      <c r="O892">
        <v>28</v>
      </c>
      <c r="P892">
        <v>42</v>
      </c>
      <c r="Q892" s="80">
        <v>0</v>
      </c>
      <c r="R892" s="80">
        <f t="shared" si="139"/>
        <v>14</v>
      </c>
      <c r="AD892"/>
    </row>
    <row r="893" spans="10:30" ht="16.2" customHeight="1">
      <c r="J893" s="80" t="s">
        <v>725</v>
      </c>
      <c r="K893" s="80" t="s">
        <v>365</v>
      </c>
      <c r="L893" t="s">
        <v>689</v>
      </c>
      <c r="M893" s="80" t="s">
        <v>266</v>
      </c>
      <c r="N893" t="str">
        <f t="shared" si="138"/>
        <v>SingleHospitalHospital Track No HooksTop Fix</v>
      </c>
      <c r="O893">
        <v>28</v>
      </c>
      <c r="P893">
        <v>42</v>
      </c>
      <c r="Q893" s="80">
        <v>0</v>
      </c>
      <c r="R893" s="80">
        <f t="shared" si="139"/>
        <v>14</v>
      </c>
      <c r="AD893"/>
    </row>
    <row r="894" spans="10:30" ht="16.2" customHeight="1">
      <c r="J894" s="80" t="s">
        <v>746</v>
      </c>
      <c r="K894" s="80" t="s">
        <v>365</v>
      </c>
      <c r="L894" t="s">
        <v>282</v>
      </c>
      <c r="M894" s="80" t="s">
        <v>266</v>
      </c>
      <c r="N894" t="str">
        <f t="shared" si="138"/>
        <v>Double FrontHospitalLevel 2072Top Fix</v>
      </c>
      <c r="O894">
        <v>38</v>
      </c>
      <c r="P894">
        <v>42</v>
      </c>
      <c r="Q894" s="80">
        <v>0</v>
      </c>
      <c r="R894" s="80">
        <f t="shared" si="139"/>
        <v>4</v>
      </c>
      <c r="AD894"/>
    </row>
    <row r="895" spans="10:30" ht="16.2" customHeight="1">
      <c r="J895" s="80" t="s">
        <v>747</v>
      </c>
      <c r="K895" s="80" t="s">
        <v>365</v>
      </c>
      <c r="L895" t="s">
        <v>282</v>
      </c>
      <c r="M895" s="80" t="s">
        <v>266</v>
      </c>
      <c r="N895" t="str">
        <f t="shared" si="138"/>
        <v>Double RearHospitalLevel 2072Top Fix</v>
      </c>
      <c r="O895">
        <v>38</v>
      </c>
      <c r="P895">
        <v>42</v>
      </c>
      <c r="Q895" s="80">
        <v>0</v>
      </c>
      <c r="R895" s="80">
        <f t="shared" si="139"/>
        <v>4</v>
      </c>
      <c r="AD895"/>
    </row>
    <row r="896" spans="10:30" ht="16.2" customHeight="1">
      <c r="J896" s="80" t="s">
        <v>725</v>
      </c>
      <c r="K896" s="80" t="s">
        <v>365</v>
      </c>
      <c r="L896" t="s">
        <v>282</v>
      </c>
      <c r="M896" s="80" t="s">
        <v>266</v>
      </c>
      <c r="N896" t="str">
        <f t="shared" si="138"/>
        <v>SingleHospitalLevel 2072Top Fix</v>
      </c>
      <c r="O896">
        <v>38</v>
      </c>
      <c r="P896">
        <v>42</v>
      </c>
      <c r="Q896" s="80">
        <v>0</v>
      </c>
      <c r="R896" s="80">
        <f t="shared" si="139"/>
        <v>4</v>
      </c>
      <c r="AD896"/>
    </row>
    <row r="897" spans="10:30" ht="16.2" customHeight="1">
      <c r="J897" s="80" t="s">
        <v>746</v>
      </c>
      <c r="K897" s="80" t="s">
        <v>365</v>
      </c>
      <c r="L897" t="s">
        <v>170</v>
      </c>
      <c r="M897" s="80" t="s">
        <v>266</v>
      </c>
      <c r="N897" t="str">
        <f t="shared" si="138"/>
        <v>Double FrontHospitalNormal 2074Top Fix</v>
      </c>
      <c r="O897">
        <v>60</v>
      </c>
      <c r="P897">
        <v>42</v>
      </c>
      <c r="Q897" s="80">
        <v>0</v>
      </c>
      <c r="R897" s="80">
        <f t="shared" si="139"/>
        <v>-18</v>
      </c>
      <c r="AD897"/>
    </row>
    <row r="898" spans="10:30" ht="16.2" customHeight="1">
      <c r="J898" s="80" t="s">
        <v>747</v>
      </c>
      <c r="K898" s="80" t="s">
        <v>365</v>
      </c>
      <c r="L898" t="s">
        <v>170</v>
      </c>
      <c r="M898" s="80" t="s">
        <v>266</v>
      </c>
      <c r="N898" t="str">
        <f t="shared" si="140" ref="N898:N961">(CONCATENATE(J898,K898,L898,M898))</f>
        <v>Double RearHospitalNormal 2074Top Fix</v>
      </c>
      <c r="O898">
        <v>60</v>
      </c>
      <c r="P898">
        <v>42</v>
      </c>
      <c r="Q898" s="80">
        <v>0</v>
      </c>
      <c r="R898" s="80">
        <f t="shared" si="139"/>
        <v>-18</v>
      </c>
      <c r="AD898"/>
    </row>
    <row r="899" spans="10:30" ht="16.2" customHeight="1">
      <c r="J899" s="80" t="s">
        <v>725</v>
      </c>
      <c r="K899" s="80" t="s">
        <v>365</v>
      </c>
      <c r="L899" t="s">
        <v>170</v>
      </c>
      <c r="M899" s="80" t="s">
        <v>266</v>
      </c>
      <c r="N899" t="str">
        <f t="shared" si="140"/>
        <v>SingleHospitalNormal 2074Top Fix</v>
      </c>
      <c r="O899">
        <v>35</v>
      </c>
      <c r="P899">
        <v>42</v>
      </c>
      <c r="Q899" s="80">
        <v>0</v>
      </c>
      <c r="R899" s="80">
        <f t="shared" si="139"/>
        <v>7</v>
      </c>
      <c r="AD899"/>
    </row>
    <row r="900" spans="10:30" ht="16.2" customHeight="1">
      <c r="J900" s="80" t="s">
        <v>746</v>
      </c>
      <c r="K900" s="80" t="s">
        <v>419</v>
      </c>
      <c r="L900" t="s">
        <v>183</v>
      </c>
      <c r="M900" s="80" t="s">
        <v>264</v>
      </c>
      <c r="N900" t="str">
        <f t="shared" si="140"/>
        <v>Double FrontHospital with CassetteBelow Normal 20751 Wall Socket &amp; 1 L Bracket</v>
      </c>
      <c r="O900">
        <v>70</v>
      </c>
      <c r="P900">
        <v>37</v>
      </c>
      <c r="Q900" s="80">
        <v>0</v>
      </c>
      <c r="R900" s="80">
        <f t="shared" si="139"/>
        <v>-33</v>
      </c>
      <c r="AD900"/>
    </row>
    <row r="901" spans="10:30" ht="16.2" customHeight="1">
      <c r="J901" s="80" t="s">
        <v>747</v>
      </c>
      <c r="K901" s="80" t="s">
        <v>419</v>
      </c>
      <c r="L901" t="s">
        <v>183</v>
      </c>
      <c r="M901" s="80" t="s">
        <v>264</v>
      </c>
      <c r="N901" t="str">
        <f t="shared" si="140"/>
        <v>Double RearHospital with CassetteBelow Normal 20751 Wall Socket &amp; 1 L Bracket</v>
      </c>
      <c r="O901">
        <v>70</v>
      </c>
      <c r="P901">
        <v>37</v>
      </c>
      <c r="Q901" s="80">
        <v>0</v>
      </c>
      <c r="R901" s="80">
        <f t="shared" si="139"/>
        <v>-33</v>
      </c>
      <c r="AD901"/>
    </row>
    <row r="902" spans="10:30" ht="16.2" customHeight="1">
      <c r="J902" s="80" t="s">
        <v>725</v>
      </c>
      <c r="K902" s="80" t="s">
        <v>419</v>
      </c>
      <c r="L902" t="s">
        <v>183</v>
      </c>
      <c r="M902" s="80" t="s">
        <v>264</v>
      </c>
      <c r="N902" t="str">
        <f t="shared" si="140"/>
        <v>SingleHospital with CassetteBelow Normal 20751 Wall Socket &amp; 1 L Bracket</v>
      </c>
      <c r="O902">
        <v>70</v>
      </c>
      <c r="P902">
        <v>37</v>
      </c>
      <c r="Q902" s="80">
        <v>0</v>
      </c>
      <c r="R902" s="80">
        <f t="shared" si="139"/>
        <v>-33</v>
      </c>
      <c r="AD902"/>
    </row>
    <row r="903" spans="10:30" ht="16.2" customHeight="1">
      <c r="J903" s="80" t="s">
        <v>746</v>
      </c>
      <c r="K903" s="80" t="s">
        <v>419</v>
      </c>
      <c r="L903" t="s">
        <v>182</v>
      </c>
      <c r="M903" s="80" t="s">
        <v>264</v>
      </c>
      <c r="N903" t="str">
        <f t="shared" si="140"/>
        <v>Double FrontHospital with CassetteBetween Level and Normal 20731 Wall Socket &amp; 1 L Bracket</v>
      </c>
      <c r="O903">
        <v>48</v>
      </c>
      <c r="P903">
        <v>37</v>
      </c>
      <c r="Q903" s="80">
        <v>0</v>
      </c>
      <c r="R903" s="80">
        <f t="shared" si="139"/>
        <v>-11</v>
      </c>
      <c r="AD903"/>
    </row>
    <row r="904" spans="10:30" ht="16.2" customHeight="1">
      <c r="J904" s="80" t="s">
        <v>747</v>
      </c>
      <c r="K904" s="80" t="s">
        <v>419</v>
      </c>
      <c r="L904" t="s">
        <v>182</v>
      </c>
      <c r="M904" s="80" t="s">
        <v>264</v>
      </c>
      <c r="N904" t="str">
        <f t="shared" si="140"/>
        <v>Double RearHospital with CassetteBetween Level and Normal 20731 Wall Socket &amp; 1 L Bracket</v>
      </c>
      <c r="O904">
        <v>48</v>
      </c>
      <c r="P904">
        <v>37</v>
      </c>
      <c r="Q904" s="80">
        <v>0</v>
      </c>
      <c r="R904" s="80">
        <f t="shared" si="139"/>
        <v>-11</v>
      </c>
      <c r="AD904"/>
    </row>
    <row r="905" spans="10:30" ht="16.2" customHeight="1">
      <c r="J905" s="80" t="s">
        <v>725</v>
      </c>
      <c r="K905" s="80" t="s">
        <v>419</v>
      </c>
      <c r="L905" t="s">
        <v>182</v>
      </c>
      <c r="M905" s="80" t="s">
        <v>264</v>
      </c>
      <c r="N905" t="str">
        <f t="shared" si="140"/>
        <v>SingleHospital with CassetteBetween Level and Normal 20731 Wall Socket &amp; 1 L Bracket</v>
      </c>
      <c r="O905">
        <v>47</v>
      </c>
      <c r="P905">
        <v>37</v>
      </c>
      <c r="Q905" s="80">
        <v>0</v>
      </c>
      <c r="R905" s="80">
        <f t="shared" si="139"/>
        <v>-10</v>
      </c>
      <c r="AD905"/>
    </row>
    <row r="906" spans="10:30" ht="16.2" customHeight="1">
      <c r="J906" s="80" t="s">
        <v>746</v>
      </c>
      <c r="K906" s="80" t="s">
        <v>419</v>
      </c>
      <c r="L906" t="s">
        <v>184</v>
      </c>
      <c r="M906" s="80" t="s">
        <v>264</v>
      </c>
      <c r="N906" t="str">
        <f t="shared" si="140"/>
        <v>Double FrontHospital with CassetteDecorator 20711 Wall Socket &amp; 1 L Bracket</v>
      </c>
      <c r="O906">
        <v>20</v>
      </c>
      <c r="P906">
        <v>37</v>
      </c>
      <c r="Q906" s="80">
        <v>0</v>
      </c>
      <c r="R906" s="80">
        <f t="shared" si="139"/>
        <v>17</v>
      </c>
      <c r="AD906"/>
    </row>
    <row r="907" spans="10:30" ht="16.2" customHeight="1">
      <c r="J907" s="80" t="s">
        <v>747</v>
      </c>
      <c r="K907" s="80" t="s">
        <v>419</v>
      </c>
      <c r="L907" t="s">
        <v>184</v>
      </c>
      <c r="M907" s="80" t="s">
        <v>264</v>
      </c>
      <c r="N907" t="str">
        <f t="shared" si="140"/>
        <v>Double RearHospital with CassetteDecorator 20711 Wall Socket &amp; 1 L Bracket</v>
      </c>
      <c r="O907">
        <v>20</v>
      </c>
      <c r="P907">
        <v>37</v>
      </c>
      <c r="Q907" s="80">
        <v>0</v>
      </c>
      <c r="R907" s="80">
        <f t="shared" si="139"/>
        <v>17</v>
      </c>
      <c r="AD907"/>
    </row>
    <row r="908" spans="10:30" ht="16.2" customHeight="1">
      <c r="J908" s="80" t="s">
        <v>725</v>
      </c>
      <c r="K908" s="80" t="s">
        <v>419</v>
      </c>
      <c r="L908" t="s">
        <v>184</v>
      </c>
      <c r="M908" s="80" t="s">
        <v>264</v>
      </c>
      <c r="N908" t="str">
        <f t="shared" si="140"/>
        <v>SingleHospital with CassetteDecorator 20711 Wall Socket &amp; 1 L Bracket</v>
      </c>
      <c r="O908">
        <v>20</v>
      </c>
      <c r="P908">
        <v>37</v>
      </c>
      <c r="Q908" s="80">
        <v>0</v>
      </c>
      <c r="R908" s="80">
        <f t="shared" si="139"/>
        <v>17</v>
      </c>
      <c r="AD908"/>
    </row>
    <row r="909" spans="10:30" ht="16.2" customHeight="1">
      <c r="J909" s="80" t="s">
        <v>746</v>
      </c>
      <c r="K909" s="80" t="s">
        <v>419</v>
      </c>
      <c r="L909" t="s">
        <v>6468</v>
      </c>
      <c r="M909" s="80" t="s">
        <v>264</v>
      </c>
      <c r="N909" t="str">
        <f t="shared" si="140"/>
        <v>Double FrontHospital with CassetteGather Hook Bottom Pocket1 Wall Socket &amp; 1 L Bracket</v>
      </c>
      <c r="O909">
        <v>60</v>
      </c>
      <c r="P909">
        <v>37</v>
      </c>
      <c r="Q909" s="80">
        <v>0</v>
      </c>
      <c r="R909" s="80">
        <f t="shared" si="139"/>
        <v>-23</v>
      </c>
      <c r="AD909"/>
    </row>
    <row r="910" spans="10:30" ht="16.2" customHeight="1">
      <c r="J910" s="80" t="s">
        <v>725</v>
      </c>
      <c r="K910" s="80" t="s">
        <v>419</v>
      </c>
      <c r="L910" t="s">
        <v>6468</v>
      </c>
      <c r="M910" s="80" t="s">
        <v>264</v>
      </c>
      <c r="N910" t="str">
        <f t="shared" si="140"/>
        <v>SingleHospital with CassetteGather Hook Bottom Pocket1 Wall Socket &amp; 1 L Bracket</v>
      </c>
      <c r="O910">
        <v>60</v>
      </c>
      <c r="P910">
        <v>37</v>
      </c>
      <c r="Q910" s="80">
        <v>0</v>
      </c>
      <c r="R910" s="80">
        <f t="shared" si="139"/>
        <v>-23</v>
      </c>
      <c r="AD910"/>
    </row>
    <row r="911" spans="10:30" ht="16.2" customHeight="1">
      <c r="J911" s="80" t="s">
        <v>746</v>
      </c>
      <c r="K911" s="80" t="s">
        <v>419</v>
      </c>
      <c r="L911" t="s">
        <v>229</v>
      </c>
      <c r="M911" s="80" t="s">
        <v>264</v>
      </c>
      <c r="N911" t="str">
        <f t="shared" si="140"/>
        <v>Double FrontHospital with CassetteGather Hook Level1 Wall Socket &amp; 1 L Bracket</v>
      </c>
      <c r="O911">
        <v>20</v>
      </c>
      <c r="P911">
        <v>37</v>
      </c>
      <c r="Q911" s="80">
        <v>0</v>
      </c>
      <c r="R911" s="80">
        <f t="shared" si="139"/>
        <v>17</v>
      </c>
      <c r="AD911"/>
    </row>
    <row r="912" spans="10:30" ht="16.2" customHeight="1">
      <c r="J912" s="80" t="s">
        <v>747</v>
      </c>
      <c r="K912" s="80" t="s">
        <v>419</v>
      </c>
      <c r="L912" t="s">
        <v>229</v>
      </c>
      <c r="M912" s="80" t="s">
        <v>264</v>
      </c>
      <c r="N912" t="str">
        <f t="shared" si="140"/>
        <v>Double RearHospital with CassetteGather Hook Level1 Wall Socket &amp; 1 L Bracket</v>
      </c>
      <c r="O912">
        <v>20</v>
      </c>
      <c r="P912">
        <v>37</v>
      </c>
      <c r="Q912" s="80">
        <v>0</v>
      </c>
      <c r="R912" s="80">
        <f t="shared" si="139"/>
        <v>17</v>
      </c>
      <c r="AD912"/>
    </row>
    <row r="913" spans="10:30" ht="16.2" customHeight="1">
      <c r="J913" s="80" t="s">
        <v>725</v>
      </c>
      <c r="K913" s="80" t="s">
        <v>419</v>
      </c>
      <c r="L913" t="s">
        <v>229</v>
      </c>
      <c r="M913" s="80" t="s">
        <v>264</v>
      </c>
      <c r="N913" t="str">
        <f t="shared" si="140"/>
        <v>SingleHospital with CassetteGather Hook Level1 Wall Socket &amp; 1 L Bracket</v>
      </c>
      <c r="O913">
        <v>20</v>
      </c>
      <c r="P913">
        <v>37</v>
      </c>
      <c r="Q913" s="80">
        <v>0</v>
      </c>
      <c r="R913" s="80">
        <f t="shared" si="139"/>
        <v>17</v>
      </c>
      <c r="AD913"/>
    </row>
    <row r="914" spans="10:30" ht="16.2" customHeight="1">
      <c r="J914" s="80" t="s">
        <v>746</v>
      </c>
      <c r="K914" s="80" t="s">
        <v>419</v>
      </c>
      <c r="L914" t="s">
        <v>228</v>
      </c>
      <c r="M914" s="80" t="s">
        <v>264</v>
      </c>
      <c r="N914" t="str">
        <f t="shared" si="140"/>
        <v>Double FrontHospital with CassetteGather Hook Normal1 Wall Socket &amp; 1 L Bracket</v>
      </c>
      <c r="O914">
        <v>43</v>
      </c>
      <c r="P914">
        <v>37</v>
      </c>
      <c r="Q914" s="80">
        <v>0</v>
      </c>
      <c r="R914" s="80">
        <f t="shared" si="139"/>
        <v>-6</v>
      </c>
      <c r="AD914"/>
    </row>
    <row r="915" spans="10:30" ht="16.2" customHeight="1">
      <c r="J915" s="80" t="s">
        <v>747</v>
      </c>
      <c r="K915" s="80" t="s">
        <v>419</v>
      </c>
      <c r="L915" t="s">
        <v>228</v>
      </c>
      <c r="M915" s="80" t="s">
        <v>264</v>
      </c>
      <c r="N915" t="str">
        <f t="shared" si="140"/>
        <v>Double RearHospital with CassetteGather Hook Normal1 Wall Socket &amp; 1 L Bracket</v>
      </c>
      <c r="O915">
        <v>43</v>
      </c>
      <c r="P915">
        <v>37</v>
      </c>
      <c r="Q915" s="80">
        <v>0</v>
      </c>
      <c r="R915" s="80">
        <f t="shared" si="139"/>
        <v>-6</v>
      </c>
      <c r="AD915"/>
    </row>
    <row r="916" spans="10:30" ht="16.2" customHeight="1">
      <c r="J916" s="80" t="s">
        <v>725</v>
      </c>
      <c r="K916" s="80" t="s">
        <v>419</v>
      </c>
      <c r="L916" t="s">
        <v>228</v>
      </c>
      <c r="M916" s="80" t="s">
        <v>264</v>
      </c>
      <c r="N916" t="str">
        <f t="shared" si="140"/>
        <v>SingleHospital with CassetteGather Hook Normal1 Wall Socket &amp; 1 L Bracket</v>
      </c>
      <c r="O916">
        <v>43</v>
      </c>
      <c r="P916">
        <v>37</v>
      </c>
      <c r="Q916" s="80">
        <v>0</v>
      </c>
      <c r="R916" s="80">
        <f t="shared" si="139"/>
        <v>-6</v>
      </c>
      <c r="AD916"/>
    </row>
    <row r="917" spans="10:30" ht="16.2" customHeight="1">
      <c r="J917" s="80" t="s">
        <v>746</v>
      </c>
      <c r="K917" s="80" t="s">
        <v>419</v>
      </c>
      <c r="L917" t="s">
        <v>282</v>
      </c>
      <c r="M917" s="80" t="s">
        <v>264</v>
      </c>
      <c r="N917" t="str">
        <f t="shared" si="140"/>
        <v>Double FrontHospital with CassetteLevel 20721 Wall Socket &amp; 1 L Bracket</v>
      </c>
      <c r="O917">
        <v>28</v>
      </c>
      <c r="P917">
        <v>37</v>
      </c>
      <c r="Q917" s="80">
        <v>0</v>
      </c>
      <c r="R917" s="80">
        <f t="shared" si="139"/>
        <v>9</v>
      </c>
      <c r="AD917"/>
    </row>
    <row r="918" spans="10:30" ht="16.2" customHeight="1">
      <c r="J918" s="80" t="s">
        <v>747</v>
      </c>
      <c r="K918" s="80" t="s">
        <v>419</v>
      </c>
      <c r="L918" t="s">
        <v>282</v>
      </c>
      <c r="M918" s="80" t="s">
        <v>264</v>
      </c>
      <c r="N918" t="str">
        <f t="shared" si="140"/>
        <v>Double RearHospital with CassetteLevel 20721 Wall Socket &amp; 1 L Bracket</v>
      </c>
      <c r="O918">
        <v>28</v>
      </c>
      <c r="P918">
        <v>37</v>
      </c>
      <c r="Q918" s="80">
        <v>0</v>
      </c>
      <c r="R918" s="80">
        <f t="shared" si="139"/>
        <v>9</v>
      </c>
      <c r="AD918"/>
    </row>
    <row r="919" spans="10:30" ht="16.2" customHeight="1">
      <c r="J919" s="80" t="s">
        <v>725</v>
      </c>
      <c r="K919" s="80" t="s">
        <v>419</v>
      </c>
      <c r="L919" t="s">
        <v>282</v>
      </c>
      <c r="M919" s="80" t="s">
        <v>264</v>
      </c>
      <c r="N919" t="str">
        <f t="shared" si="140"/>
        <v>SingleHospital with CassetteLevel 20721 Wall Socket &amp; 1 L Bracket</v>
      </c>
      <c r="O919">
        <v>28</v>
      </c>
      <c r="P919">
        <v>37</v>
      </c>
      <c r="Q919" s="80">
        <v>0</v>
      </c>
      <c r="R919" s="80">
        <f t="shared" si="139"/>
        <v>9</v>
      </c>
      <c r="AD919"/>
    </row>
    <row r="920" spans="10:30" ht="16.2" customHeight="1">
      <c r="J920" s="80" t="s">
        <v>746</v>
      </c>
      <c r="K920" s="80" t="s">
        <v>419</v>
      </c>
      <c r="L920" t="s">
        <v>185</v>
      </c>
      <c r="M920" s="80" t="s">
        <v>264</v>
      </c>
      <c r="N920" t="str">
        <f t="shared" si="140"/>
        <v>Double FrontHospital with CassetteNo Hooks1 Wall Socket &amp; 1 L Bracket</v>
      </c>
      <c r="O920">
        <v>38</v>
      </c>
      <c r="P920">
        <v>37</v>
      </c>
      <c r="Q920" s="80">
        <v>0</v>
      </c>
      <c r="R920" s="80">
        <f t="shared" si="139"/>
        <v>-1</v>
      </c>
      <c r="AD920"/>
    </row>
    <row r="921" spans="10:30" ht="16.2" customHeight="1">
      <c r="J921" s="80" t="s">
        <v>747</v>
      </c>
      <c r="K921" s="80" t="s">
        <v>419</v>
      </c>
      <c r="L921" t="s">
        <v>185</v>
      </c>
      <c r="M921" s="80" t="s">
        <v>264</v>
      </c>
      <c r="N921" t="str">
        <f t="shared" si="140"/>
        <v>Double RearHospital with CassetteNo Hooks1 Wall Socket &amp; 1 L Bracket</v>
      </c>
      <c r="O921">
        <v>38</v>
      </c>
      <c r="P921">
        <v>37</v>
      </c>
      <c r="Q921" s="80">
        <v>0</v>
      </c>
      <c r="R921" s="80">
        <f t="shared" si="139"/>
        <v>-1</v>
      </c>
      <c r="AD921"/>
    </row>
    <row r="922" spans="10:30" ht="16.2" customHeight="1">
      <c r="J922" s="80" t="s">
        <v>725</v>
      </c>
      <c r="K922" s="80" t="s">
        <v>419</v>
      </c>
      <c r="L922" t="s">
        <v>185</v>
      </c>
      <c r="M922" s="80" t="s">
        <v>264</v>
      </c>
      <c r="N922" t="str">
        <f t="shared" si="140"/>
        <v>SingleHospital with CassetteNo Hooks1 Wall Socket &amp; 1 L Bracket</v>
      </c>
      <c r="O922">
        <v>38</v>
      </c>
      <c r="P922">
        <v>37</v>
      </c>
      <c r="Q922" s="80">
        <v>0</v>
      </c>
      <c r="R922" s="80">
        <f t="shared" si="139"/>
        <v>-1</v>
      </c>
      <c r="AD922"/>
    </row>
    <row r="923" spans="10:30" ht="16.2" customHeight="1">
      <c r="J923" s="80" t="s">
        <v>746</v>
      </c>
      <c r="K923" s="80" t="s">
        <v>419</v>
      </c>
      <c r="L923" t="s">
        <v>170</v>
      </c>
      <c r="M923" s="80" t="s">
        <v>264</v>
      </c>
      <c r="N923" t="str">
        <f t="shared" si="140"/>
        <v>Double FrontHospital with CassetteNormal 20741 Wall Socket &amp; 1 L Bracket</v>
      </c>
      <c r="O923">
        <v>60</v>
      </c>
      <c r="P923">
        <v>37</v>
      </c>
      <c r="Q923" s="80">
        <v>0</v>
      </c>
      <c r="R923" s="80">
        <f t="shared" si="139"/>
        <v>-23</v>
      </c>
      <c r="AD923"/>
    </row>
    <row r="924" spans="10:30" ht="16.2" customHeight="1">
      <c r="J924" s="80" t="s">
        <v>747</v>
      </c>
      <c r="K924" s="80" t="s">
        <v>419</v>
      </c>
      <c r="L924" t="s">
        <v>170</v>
      </c>
      <c r="M924" s="80" t="s">
        <v>264</v>
      </c>
      <c r="N924" t="str">
        <f t="shared" si="140"/>
        <v>Double RearHospital with CassetteNormal 20741 Wall Socket &amp; 1 L Bracket</v>
      </c>
      <c r="O924">
        <v>60</v>
      </c>
      <c r="P924">
        <v>37</v>
      </c>
      <c r="Q924" s="80">
        <v>0</v>
      </c>
      <c r="R924" s="80">
        <f t="shared" si="139"/>
        <v>-23</v>
      </c>
      <c r="AD924"/>
    </row>
    <row r="925" spans="10:30" ht="16.2" customHeight="1">
      <c r="J925" s="80" t="s">
        <v>725</v>
      </c>
      <c r="K925" s="80" t="s">
        <v>419</v>
      </c>
      <c r="L925" t="s">
        <v>170</v>
      </c>
      <c r="M925" s="80" t="s">
        <v>264</v>
      </c>
      <c r="N925" t="str">
        <f t="shared" si="140"/>
        <v>SingleHospital with CassetteNormal 20741 Wall Socket &amp; 1 L Bracket</v>
      </c>
      <c r="O925">
        <v>35</v>
      </c>
      <c r="P925">
        <v>37</v>
      </c>
      <c r="Q925" s="80">
        <v>0</v>
      </c>
      <c r="R925" s="80">
        <f t="shared" si="139"/>
        <v>2</v>
      </c>
      <c r="AD925"/>
    </row>
    <row r="926" spans="10:30" ht="16.2" customHeight="1">
      <c r="J926" s="80" t="s">
        <v>746</v>
      </c>
      <c r="K926" s="80" t="s">
        <v>419</v>
      </c>
      <c r="L926" t="s">
        <v>183</v>
      </c>
      <c r="M926" s="80" t="s">
        <v>263</v>
      </c>
      <c r="N926" t="str">
        <f t="shared" si="140"/>
        <v>Double FrontHospital with CassetteBelow Normal 20752 Wall Sockets</v>
      </c>
      <c r="O926">
        <v>70</v>
      </c>
      <c r="P926">
        <v>37</v>
      </c>
      <c r="Q926" s="80">
        <v>0</v>
      </c>
      <c r="R926" s="80">
        <f t="shared" si="139"/>
        <v>-33</v>
      </c>
      <c r="AD926"/>
    </row>
    <row r="927" spans="10:30" ht="16.2" customHeight="1">
      <c r="J927" s="80" t="s">
        <v>747</v>
      </c>
      <c r="K927" s="80" t="s">
        <v>419</v>
      </c>
      <c r="L927" t="s">
        <v>183</v>
      </c>
      <c r="M927" s="80" t="s">
        <v>263</v>
      </c>
      <c r="N927" t="str">
        <f t="shared" si="140"/>
        <v>Double RearHospital with CassetteBelow Normal 20752 Wall Sockets</v>
      </c>
      <c r="O927">
        <v>70</v>
      </c>
      <c r="P927">
        <v>37</v>
      </c>
      <c r="Q927" s="80">
        <v>0</v>
      </c>
      <c r="R927" s="80">
        <f t="shared" si="141" ref="R927:R990">SUM(P927)-O927</f>
        <v>-33</v>
      </c>
      <c r="AD927"/>
    </row>
    <row r="928" spans="10:30" ht="16.2" customHeight="1">
      <c r="J928" s="80" t="s">
        <v>725</v>
      </c>
      <c r="K928" s="80" t="s">
        <v>419</v>
      </c>
      <c r="L928" t="s">
        <v>183</v>
      </c>
      <c r="M928" s="80" t="s">
        <v>263</v>
      </c>
      <c r="N928" t="str">
        <f t="shared" si="140"/>
        <v>SingleHospital with CassetteBelow Normal 20752 Wall Sockets</v>
      </c>
      <c r="O928">
        <v>70</v>
      </c>
      <c r="P928">
        <v>37</v>
      </c>
      <c r="Q928" s="80">
        <v>0</v>
      </c>
      <c r="R928" s="80">
        <f t="shared" si="141"/>
        <v>-33</v>
      </c>
      <c r="AD928"/>
    </row>
    <row r="929" spans="10:30" ht="16.2" customHeight="1">
      <c r="J929" s="80" t="s">
        <v>746</v>
      </c>
      <c r="K929" s="80" t="s">
        <v>419</v>
      </c>
      <c r="L929" t="s">
        <v>182</v>
      </c>
      <c r="M929" s="80" t="s">
        <v>263</v>
      </c>
      <c r="N929" t="str">
        <f t="shared" si="140"/>
        <v>Double FrontHospital with CassetteBetween Level and Normal 20732 Wall Sockets</v>
      </c>
      <c r="O929">
        <v>48</v>
      </c>
      <c r="P929">
        <v>37</v>
      </c>
      <c r="Q929" s="80">
        <v>0</v>
      </c>
      <c r="R929" s="80">
        <f t="shared" si="141"/>
        <v>-11</v>
      </c>
      <c r="AD929"/>
    </row>
    <row r="930" spans="10:30" ht="16.2" customHeight="1">
      <c r="J930" s="80" t="s">
        <v>747</v>
      </c>
      <c r="K930" s="80" t="s">
        <v>419</v>
      </c>
      <c r="L930" t="s">
        <v>182</v>
      </c>
      <c r="M930" s="80" t="s">
        <v>263</v>
      </c>
      <c r="N930" t="str">
        <f t="shared" si="140"/>
        <v>Double RearHospital with CassetteBetween Level and Normal 20732 Wall Sockets</v>
      </c>
      <c r="O930">
        <v>48</v>
      </c>
      <c r="P930">
        <v>37</v>
      </c>
      <c r="Q930" s="80">
        <v>0</v>
      </c>
      <c r="R930" s="80">
        <f t="shared" si="141"/>
        <v>-11</v>
      </c>
      <c r="AD930"/>
    </row>
    <row r="931" spans="10:30" ht="16.2" customHeight="1">
      <c r="J931" s="80" t="s">
        <v>725</v>
      </c>
      <c r="K931" s="80" t="s">
        <v>419</v>
      </c>
      <c r="L931" t="s">
        <v>182</v>
      </c>
      <c r="M931" s="80" t="s">
        <v>263</v>
      </c>
      <c r="N931" t="str">
        <f t="shared" si="140"/>
        <v>SingleHospital with CassetteBetween Level and Normal 20732 Wall Sockets</v>
      </c>
      <c r="O931">
        <v>47</v>
      </c>
      <c r="P931">
        <v>37</v>
      </c>
      <c r="Q931" s="80">
        <v>0</v>
      </c>
      <c r="R931" s="80">
        <f t="shared" si="141"/>
        <v>-10</v>
      </c>
      <c r="AD931"/>
    </row>
    <row r="932" spans="10:30" ht="16.2" customHeight="1">
      <c r="J932" s="80" t="s">
        <v>746</v>
      </c>
      <c r="K932" s="80" t="s">
        <v>419</v>
      </c>
      <c r="L932" t="s">
        <v>184</v>
      </c>
      <c r="M932" s="80" t="s">
        <v>263</v>
      </c>
      <c r="N932" t="str">
        <f t="shared" si="140"/>
        <v>Double FrontHospital with CassetteDecorator 20712 Wall Sockets</v>
      </c>
      <c r="O932">
        <v>20</v>
      </c>
      <c r="P932">
        <v>37</v>
      </c>
      <c r="Q932" s="80">
        <v>0</v>
      </c>
      <c r="R932" s="80">
        <f t="shared" si="141"/>
        <v>17</v>
      </c>
      <c r="AD932"/>
    </row>
    <row r="933" spans="10:30" ht="16.2" customHeight="1">
      <c r="J933" s="80" t="s">
        <v>747</v>
      </c>
      <c r="K933" s="80" t="s">
        <v>419</v>
      </c>
      <c r="L933" t="s">
        <v>184</v>
      </c>
      <c r="M933" s="80" t="s">
        <v>263</v>
      </c>
      <c r="N933" t="str">
        <f t="shared" si="140"/>
        <v>Double RearHospital with CassetteDecorator 20712 Wall Sockets</v>
      </c>
      <c r="O933">
        <v>20</v>
      </c>
      <c r="P933">
        <v>37</v>
      </c>
      <c r="Q933" s="80">
        <v>0</v>
      </c>
      <c r="R933" s="80">
        <f t="shared" si="141"/>
        <v>17</v>
      </c>
      <c r="AD933"/>
    </row>
    <row r="934" spans="10:30" ht="16.2" customHeight="1">
      <c r="J934" s="80" t="s">
        <v>725</v>
      </c>
      <c r="K934" s="80" t="s">
        <v>419</v>
      </c>
      <c r="L934" t="s">
        <v>184</v>
      </c>
      <c r="M934" s="80" t="s">
        <v>263</v>
      </c>
      <c r="N934" t="str">
        <f t="shared" si="140"/>
        <v>SingleHospital with CassetteDecorator 20712 Wall Sockets</v>
      </c>
      <c r="O934">
        <v>20</v>
      </c>
      <c r="P934">
        <v>37</v>
      </c>
      <c r="Q934" s="80">
        <v>0</v>
      </c>
      <c r="R934" s="80">
        <f t="shared" si="141"/>
        <v>17</v>
      </c>
      <c r="AD934"/>
    </row>
    <row r="935" spans="10:30" ht="16.2" customHeight="1">
      <c r="J935" s="80" t="s">
        <v>746</v>
      </c>
      <c r="K935" s="80" t="s">
        <v>419</v>
      </c>
      <c r="L935" t="s">
        <v>6468</v>
      </c>
      <c r="M935" s="80" t="s">
        <v>263</v>
      </c>
      <c r="N935" t="str">
        <f t="shared" si="140"/>
        <v>Double FrontHospital with CassetteGather Hook Bottom Pocket2 Wall Sockets</v>
      </c>
      <c r="O935">
        <v>60</v>
      </c>
      <c r="P935">
        <v>37</v>
      </c>
      <c r="Q935" s="80">
        <v>0</v>
      </c>
      <c r="R935" s="80">
        <f t="shared" si="141"/>
        <v>-23</v>
      </c>
      <c r="AD935"/>
    </row>
    <row r="936" spans="10:30" ht="16.2" customHeight="1">
      <c r="J936" s="80" t="s">
        <v>725</v>
      </c>
      <c r="K936" s="80" t="s">
        <v>419</v>
      </c>
      <c r="L936" t="s">
        <v>6468</v>
      </c>
      <c r="M936" s="80" t="s">
        <v>263</v>
      </c>
      <c r="N936" t="str">
        <f t="shared" si="140"/>
        <v>SingleHospital with CassetteGather Hook Bottom Pocket2 Wall Sockets</v>
      </c>
      <c r="O936">
        <v>60</v>
      </c>
      <c r="P936">
        <v>37</v>
      </c>
      <c r="Q936" s="80">
        <v>0</v>
      </c>
      <c r="R936" s="80">
        <f t="shared" si="141"/>
        <v>-23</v>
      </c>
      <c r="AD936"/>
    </row>
    <row r="937" spans="10:30" ht="16.2" customHeight="1">
      <c r="J937" s="80" t="s">
        <v>746</v>
      </c>
      <c r="K937" s="80" t="s">
        <v>419</v>
      </c>
      <c r="L937" t="s">
        <v>229</v>
      </c>
      <c r="M937" s="80" t="s">
        <v>263</v>
      </c>
      <c r="N937" t="str">
        <f t="shared" si="140"/>
        <v>Double FrontHospital with CassetteGather Hook Level2 Wall Sockets</v>
      </c>
      <c r="O937">
        <v>20</v>
      </c>
      <c r="P937">
        <v>37</v>
      </c>
      <c r="Q937" s="80">
        <v>0</v>
      </c>
      <c r="R937" s="80">
        <f t="shared" si="141"/>
        <v>17</v>
      </c>
      <c r="AD937"/>
    </row>
    <row r="938" spans="10:30" ht="16.2" customHeight="1">
      <c r="J938" s="80" t="s">
        <v>747</v>
      </c>
      <c r="K938" s="80" t="s">
        <v>419</v>
      </c>
      <c r="L938" t="s">
        <v>229</v>
      </c>
      <c r="M938" s="80" t="s">
        <v>263</v>
      </c>
      <c r="N938" t="str">
        <f t="shared" si="140"/>
        <v>Double RearHospital with CassetteGather Hook Level2 Wall Sockets</v>
      </c>
      <c r="O938">
        <v>20</v>
      </c>
      <c r="P938">
        <v>37</v>
      </c>
      <c r="Q938" s="80">
        <v>0</v>
      </c>
      <c r="R938" s="80">
        <f t="shared" si="141"/>
        <v>17</v>
      </c>
      <c r="AD938"/>
    </row>
    <row r="939" spans="10:30" ht="16.2" customHeight="1">
      <c r="J939" s="80" t="s">
        <v>725</v>
      </c>
      <c r="K939" s="80" t="s">
        <v>419</v>
      </c>
      <c r="L939" t="s">
        <v>229</v>
      </c>
      <c r="M939" s="80" t="s">
        <v>263</v>
      </c>
      <c r="N939" t="str">
        <f t="shared" si="140"/>
        <v>SingleHospital with CassetteGather Hook Level2 Wall Sockets</v>
      </c>
      <c r="O939">
        <v>20</v>
      </c>
      <c r="P939">
        <v>37</v>
      </c>
      <c r="Q939" s="80">
        <v>0</v>
      </c>
      <c r="R939" s="80">
        <f t="shared" si="141"/>
        <v>17</v>
      </c>
      <c r="AD939"/>
    </row>
    <row r="940" spans="10:30" ht="16.2" customHeight="1">
      <c r="J940" s="80" t="s">
        <v>746</v>
      </c>
      <c r="K940" s="80" t="s">
        <v>419</v>
      </c>
      <c r="L940" t="s">
        <v>228</v>
      </c>
      <c r="M940" s="80" t="s">
        <v>263</v>
      </c>
      <c r="N940" t="str">
        <f t="shared" si="140"/>
        <v>Double FrontHospital with CassetteGather Hook Normal2 Wall Sockets</v>
      </c>
      <c r="O940">
        <v>43</v>
      </c>
      <c r="P940">
        <v>37</v>
      </c>
      <c r="Q940" s="80">
        <v>0</v>
      </c>
      <c r="R940" s="80">
        <f t="shared" si="141"/>
        <v>-6</v>
      </c>
      <c r="AD940"/>
    </row>
    <row r="941" spans="10:30" ht="16.2" customHeight="1">
      <c r="J941" s="80" t="s">
        <v>747</v>
      </c>
      <c r="K941" s="80" t="s">
        <v>419</v>
      </c>
      <c r="L941" t="s">
        <v>228</v>
      </c>
      <c r="M941" s="80" t="s">
        <v>263</v>
      </c>
      <c r="N941" t="str">
        <f t="shared" si="140"/>
        <v>Double RearHospital with CassetteGather Hook Normal2 Wall Sockets</v>
      </c>
      <c r="O941">
        <v>43</v>
      </c>
      <c r="P941">
        <v>37</v>
      </c>
      <c r="Q941" s="80">
        <v>0</v>
      </c>
      <c r="R941" s="80">
        <f t="shared" si="141"/>
        <v>-6</v>
      </c>
      <c r="AD941"/>
    </row>
    <row r="942" spans="10:30" ht="16.2" customHeight="1">
      <c r="J942" s="80" t="s">
        <v>725</v>
      </c>
      <c r="K942" s="80" t="s">
        <v>419</v>
      </c>
      <c r="L942" t="s">
        <v>228</v>
      </c>
      <c r="M942" s="80" t="s">
        <v>263</v>
      </c>
      <c r="N942" t="str">
        <f t="shared" si="140"/>
        <v>SingleHospital with CassetteGather Hook Normal2 Wall Sockets</v>
      </c>
      <c r="O942">
        <v>43</v>
      </c>
      <c r="P942">
        <v>37</v>
      </c>
      <c r="Q942" s="80">
        <v>0</v>
      </c>
      <c r="R942" s="80">
        <f t="shared" si="141"/>
        <v>-6</v>
      </c>
      <c r="AD942"/>
    </row>
    <row r="943" spans="10:30" ht="16.2" customHeight="1">
      <c r="J943" s="80" t="s">
        <v>746</v>
      </c>
      <c r="K943" s="80" t="s">
        <v>419</v>
      </c>
      <c r="L943" t="s">
        <v>282</v>
      </c>
      <c r="M943" s="80" t="s">
        <v>263</v>
      </c>
      <c r="N943" t="str">
        <f t="shared" si="140"/>
        <v>Double FrontHospital with CassetteLevel 20722 Wall Sockets</v>
      </c>
      <c r="O943">
        <v>28</v>
      </c>
      <c r="P943">
        <v>37</v>
      </c>
      <c r="Q943" s="80">
        <v>0</v>
      </c>
      <c r="R943" s="80">
        <f t="shared" si="141"/>
        <v>9</v>
      </c>
      <c r="AD943"/>
    </row>
    <row r="944" spans="10:30" ht="16.2" customHeight="1">
      <c r="J944" s="80" t="s">
        <v>747</v>
      </c>
      <c r="K944" s="80" t="s">
        <v>419</v>
      </c>
      <c r="L944" t="s">
        <v>282</v>
      </c>
      <c r="M944" s="80" t="s">
        <v>263</v>
      </c>
      <c r="N944" t="str">
        <f t="shared" si="140"/>
        <v>Double RearHospital with CassetteLevel 20722 Wall Sockets</v>
      </c>
      <c r="O944">
        <v>28</v>
      </c>
      <c r="P944">
        <v>37</v>
      </c>
      <c r="Q944" s="80">
        <v>0</v>
      </c>
      <c r="R944" s="80">
        <f t="shared" si="141"/>
        <v>9</v>
      </c>
      <c r="AD944"/>
    </row>
    <row r="945" spans="10:30" ht="16.2" customHeight="1">
      <c r="J945" s="80" t="s">
        <v>725</v>
      </c>
      <c r="K945" s="80" t="s">
        <v>419</v>
      </c>
      <c r="L945" t="s">
        <v>282</v>
      </c>
      <c r="M945" s="80" t="s">
        <v>263</v>
      </c>
      <c r="N945" t="str">
        <f t="shared" si="140"/>
        <v>SingleHospital with CassetteLevel 20722 Wall Sockets</v>
      </c>
      <c r="O945">
        <v>28</v>
      </c>
      <c r="P945">
        <v>37</v>
      </c>
      <c r="Q945" s="80">
        <v>0</v>
      </c>
      <c r="R945" s="80">
        <f t="shared" si="141"/>
        <v>9</v>
      </c>
      <c r="AD945"/>
    </row>
    <row r="946" spans="10:30" ht="16.2" customHeight="1">
      <c r="J946" s="80" t="s">
        <v>746</v>
      </c>
      <c r="K946" s="80" t="s">
        <v>419</v>
      </c>
      <c r="L946" t="s">
        <v>185</v>
      </c>
      <c r="M946" s="80" t="s">
        <v>263</v>
      </c>
      <c r="N946" t="str">
        <f t="shared" si="140"/>
        <v>Double FrontHospital with CassetteNo Hooks2 Wall Sockets</v>
      </c>
      <c r="O946">
        <v>38</v>
      </c>
      <c r="P946">
        <v>37</v>
      </c>
      <c r="Q946" s="80">
        <v>0</v>
      </c>
      <c r="R946" s="80">
        <f t="shared" si="141"/>
        <v>-1</v>
      </c>
      <c r="AD946"/>
    </row>
    <row r="947" spans="10:30" ht="16.2" customHeight="1">
      <c r="J947" s="80" t="s">
        <v>747</v>
      </c>
      <c r="K947" s="80" t="s">
        <v>419</v>
      </c>
      <c r="L947" t="s">
        <v>185</v>
      </c>
      <c r="M947" s="80" t="s">
        <v>263</v>
      </c>
      <c r="N947" t="str">
        <f t="shared" si="140"/>
        <v>Double RearHospital with CassetteNo Hooks2 Wall Sockets</v>
      </c>
      <c r="O947">
        <v>38</v>
      </c>
      <c r="P947">
        <v>37</v>
      </c>
      <c r="Q947" s="80">
        <v>0</v>
      </c>
      <c r="R947" s="80">
        <f t="shared" si="141"/>
        <v>-1</v>
      </c>
      <c r="AD947"/>
    </row>
    <row r="948" spans="10:30" ht="16.2" customHeight="1">
      <c r="J948" s="80" t="s">
        <v>725</v>
      </c>
      <c r="K948" s="80" t="s">
        <v>419</v>
      </c>
      <c r="L948" t="s">
        <v>185</v>
      </c>
      <c r="M948" s="80" t="s">
        <v>263</v>
      </c>
      <c r="N948" t="str">
        <f t="shared" si="140"/>
        <v>SingleHospital with CassetteNo Hooks2 Wall Sockets</v>
      </c>
      <c r="O948">
        <v>38</v>
      </c>
      <c r="P948">
        <v>37</v>
      </c>
      <c r="Q948" s="80">
        <v>0</v>
      </c>
      <c r="R948" s="80">
        <f t="shared" si="141"/>
        <v>-1</v>
      </c>
      <c r="AD948"/>
    </row>
    <row r="949" spans="10:30" ht="16.2" customHeight="1">
      <c r="J949" s="80" t="s">
        <v>746</v>
      </c>
      <c r="K949" s="80" t="s">
        <v>419</v>
      </c>
      <c r="L949" t="s">
        <v>170</v>
      </c>
      <c r="M949" s="80" t="s">
        <v>263</v>
      </c>
      <c r="N949" t="str">
        <f t="shared" si="140"/>
        <v>Double FrontHospital with CassetteNormal 20742 Wall Sockets</v>
      </c>
      <c r="O949">
        <v>60</v>
      </c>
      <c r="P949">
        <v>37</v>
      </c>
      <c r="Q949" s="80">
        <v>0</v>
      </c>
      <c r="R949" s="80">
        <f t="shared" si="141"/>
        <v>-23</v>
      </c>
      <c r="AD949"/>
    </row>
    <row r="950" spans="10:30" ht="16.2" customHeight="1">
      <c r="J950" s="80" t="s">
        <v>747</v>
      </c>
      <c r="K950" s="80" t="s">
        <v>419</v>
      </c>
      <c r="L950" t="s">
        <v>170</v>
      </c>
      <c r="M950" s="80" t="s">
        <v>263</v>
      </c>
      <c r="N950" t="str">
        <f t="shared" si="140"/>
        <v>Double RearHospital with CassetteNormal 20742 Wall Sockets</v>
      </c>
      <c r="O950">
        <v>60</v>
      </c>
      <c r="P950">
        <v>37</v>
      </c>
      <c r="Q950" s="80">
        <v>0</v>
      </c>
      <c r="R950" s="80">
        <f t="shared" si="141"/>
        <v>-23</v>
      </c>
      <c r="AD950"/>
    </row>
    <row r="951" spans="10:30" ht="16.2" customHeight="1">
      <c r="J951" s="80" t="s">
        <v>725</v>
      </c>
      <c r="K951" s="80" t="s">
        <v>419</v>
      </c>
      <c r="L951" t="s">
        <v>170</v>
      </c>
      <c r="M951" s="80" t="s">
        <v>263</v>
      </c>
      <c r="N951" t="str">
        <f t="shared" si="140"/>
        <v>SingleHospital with CassetteNormal 20742 Wall Sockets</v>
      </c>
      <c r="O951">
        <v>35</v>
      </c>
      <c r="P951">
        <v>37</v>
      </c>
      <c r="Q951" s="80">
        <v>0</v>
      </c>
      <c r="R951" s="80">
        <f t="shared" si="141"/>
        <v>2</v>
      </c>
      <c r="AD951"/>
    </row>
    <row r="952" spans="10:30" ht="16.2" customHeight="1">
      <c r="J952" s="80" t="s">
        <v>746</v>
      </c>
      <c r="K952" s="80" t="s">
        <v>419</v>
      </c>
      <c r="L952" t="s">
        <v>183</v>
      </c>
      <c r="M952" s="80" t="s">
        <v>265</v>
      </c>
      <c r="N952" t="str">
        <f t="shared" si="140"/>
        <v>Double FrontHospital with CassetteBelow Normal 20752 x L Bracket</v>
      </c>
      <c r="O952">
        <v>70</v>
      </c>
      <c r="P952">
        <v>37</v>
      </c>
      <c r="Q952" s="80">
        <v>0</v>
      </c>
      <c r="R952" s="80">
        <f t="shared" si="141"/>
        <v>-33</v>
      </c>
      <c r="AD952"/>
    </row>
    <row r="953" spans="10:30" ht="16.2" customHeight="1">
      <c r="J953" s="80" t="s">
        <v>747</v>
      </c>
      <c r="K953" s="80" t="s">
        <v>419</v>
      </c>
      <c r="L953" t="s">
        <v>183</v>
      </c>
      <c r="M953" s="80" t="s">
        <v>265</v>
      </c>
      <c r="N953" t="str">
        <f t="shared" si="140"/>
        <v>Double RearHospital with CassetteBelow Normal 20752 x L Bracket</v>
      </c>
      <c r="O953">
        <v>70</v>
      </c>
      <c r="P953">
        <v>37</v>
      </c>
      <c r="Q953" s="80">
        <v>0</v>
      </c>
      <c r="R953" s="80">
        <f t="shared" si="141"/>
        <v>-33</v>
      </c>
      <c r="AD953"/>
    </row>
    <row r="954" spans="10:30" ht="16.2" customHeight="1">
      <c r="J954" s="80" t="s">
        <v>725</v>
      </c>
      <c r="K954" s="80" t="s">
        <v>419</v>
      </c>
      <c r="L954" t="s">
        <v>183</v>
      </c>
      <c r="M954" s="80" t="s">
        <v>265</v>
      </c>
      <c r="N954" t="str">
        <f t="shared" si="140"/>
        <v>SingleHospital with CassetteBelow Normal 20752 x L Bracket</v>
      </c>
      <c r="O954">
        <v>70</v>
      </c>
      <c r="P954">
        <v>37</v>
      </c>
      <c r="Q954" s="80">
        <v>0</v>
      </c>
      <c r="R954" s="80">
        <f t="shared" si="141"/>
        <v>-33</v>
      </c>
      <c r="AD954"/>
    </row>
    <row r="955" spans="10:30" ht="16.2" customHeight="1">
      <c r="J955" s="80" t="s">
        <v>746</v>
      </c>
      <c r="K955" s="80" t="s">
        <v>419</v>
      </c>
      <c r="L955" t="s">
        <v>182</v>
      </c>
      <c r="M955" s="80" t="s">
        <v>265</v>
      </c>
      <c r="N955" t="str">
        <f t="shared" si="140"/>
        <v>Double FrontHospital with CassetteBetween Level and Normal 20732 x L Bracket</v>
      </c>
      <c r="O955">
        <v>48</v>
      </c>
      <c r="P955">
        <v>37</v>
      </c>
      <c r="Q955" s="80">
        <v>0</v>
      </c>
      <c r="R955" s="80">
        <f t="shared" si="141"/>
        <v>-11</v>
      </c>
      <c r="AD955"/>
    </row>
    <row r="956" spans="10:30" ht="16.2" customHeight="1">
      <c r="J956" s="80" t="s">
        <v>747</v>
      </c>
      <c r="K956" s="80" t="s">
        <v>419</v>
      </c>
      <c r="L956" t="s">
        <v>182</v>
      </c>
      <c r="M956" s="80" t="s">
        <v>265</v>
      </c>
      <c r="N956" t="str">
        <f t="shared" si="140"/>
        <v>Double RearHospital with CassetteBetween Level and Normal 20732 x L Bracket</v>
      </c>
      <c r="O956">
        <v>48</v>
      </c>
      <c r="P956">
        <v>37</v>
      </c>
      <c r="Q956" s="80">
        <v>0</v>
      </c>
      <c r="R956" s="80">
        <f t="shared" si="141"/>
        <v>-11</v>
      </c>
      <c r="AD956"/>
    </row>
    <row r="957" spans="10:30" ht="16.2" customHeight="1">
      <c r="J957" s="80" t="s">
        <v>725</v>
      </c>
      <c r="K957" s="80" t="s">
        <v>419</v>
      </c>
      <c r="L957" t="s">
        <v>182</v>
      </c>
      <c r="M957" s="80" t="s">
        <v>265</v>
      </c>
      <c r="N957" t="str">
        <f t="shared" si="140"/>
        <v>SingleHospital with CassetteBetween Level and Normal 20732 x L Bracket</v>
      </c>
      <c r="O957">
        <v>47</v>
      </c>
      <c r="P957">
        <v>37</v>
      </c>
      <c r="Q957" s="80">
        <v>0</v>
      </c>
      <c r="R957" s="80">
        <f t="shared" si="141"/>
        <v>-10</v>
      </c>
      <c r="AD957"/>
    </row>
    <row r="958" spans="10:30" ht="16.2" customHeight="1">
      <c r="J958" s="80" t="s">
        <v>746</v>
      </c>
      <c r="K958" s="80" t="s">
        <v>419</v>
      </c>
      <c r="L958" t="s">
        <v>184</v>
      </c>
      <c r="M958" s="80" t="s">
        <v>265</v>
      </c>
      <c r="N958" t="str">
        <f t="shared" si="140"/>
        <v>Double FrontHospital with CassetteDecorator 20712 x L Bracket</v>
      </c>
      <c r="O958">
        <v>20</v>
      </c>
      <c r="P958">
        <v>37</v>
      </c>
      <c r="Q958" s="80">
        <v>0</v>
      </c>
      <c r="R958" s="80">
        <f t="shared" si="141"/>
        <v>17</v>
      </c>
      <c r="AD958"/>
    </row>
    <row r="959" spans="10:30" ht="16.2" customHeight="1">
      <c r="J959" s="80" t="s">
        <v>747</v>
      </c>
      <c r="K959" s="80" t="s">
        <v>419</v>
      </c>
      <c r="L959" t="s">
        <v>184</v>
      </c>
      <c r="M959" s="80" t="s">
        <v>265</v>
      </c>
      <c r="N959" t="str">
        <f t="shared" si="140"/>
        <v>Double RearHospital with CassetteDecorator 20712 x L Bracket</v>
      </c>
      <c r="O959">
        <v>20</v>
      </c>
      <c r="P959">
        <v>37</v>
      </c>
      <c r="Q959" s="80">
        <v>0</v>
      </c>
      <c r="R959" s="80">
        <f t="shared" si="141"/>
        <v>17</v>
      </c>
      <c r="AD959"/>
    </row>
    <row r="960" spans="10:30" ht="16.2" customHeight="1">
      <c r="J960" s="80" t="s">
        <v>725</v>
      </c>
      <c r="K960" s="80" t="s">
        <v>419</v>
      </c>
      <c r="L960" t="s">
        <v>184</v>
      </c>
      <c r="M960" s="80" t="s">
        <v>265</v>
      </c>
      <c r="N960" t="str">
        <f t="shared" si="140"/>
        <v>SingleHospital with CassetteDecorator 20712 x L Bracket</v>
      </c>
      <c r="O960">
        <v>20</v>
      </c>
      <c r="P960">
        <v>37</v>
      </c>
      <c r="Q960" s="80">
        <v>0</v>
      </c>
      <c r="R960" s="80">
        <f t="shared" si="141"/>
        <v>17</v>
      </c>
      <c r="AD960"/>
    </row>
    <row r="961" spans="10:30" ht="16.2" customHeight="1">
      <c r="J961" s="80" t="s">
        <v>746</v>
      </c>
      <c r="K961" s="80" t="s">
        <v>419</v>
      </c>
      <c r="L961" t="s">
        <v>6468</v>
      </c>
      <c r="M961" s="80" t="s">
        <v>265</v>
      </c>
      <c r="N961" t="str">
        <f t="shared" si="140"/>
        <v>Double FrontHospital with CassetteGather Hook Bottom Pocket2 x L Bracket</v>
      </c>
      <c r="O961">
        <v>60</v>
      </c>
      <c r="P961">
        <v>37</v>
      </c>
      <c r="Q961" s="80">
        <v>0</v>
      </c>
      <c r="R961" s="80">
        <f t="shared" si="141"/>
        <v>-23</v>
      </c>
      <c r="AD961"/>
    </row>
    <row r="962" spans="10:30" ht="16.2" customHeight="1">
      <c r="J962" s="80" t="s">
        <v>725</v>
      </c>
      <c r="K962" s="80" t="s">
        <v>419</v>
      </c>
      <c r="L962" t="s">
        <v>6468</v>
      </c>
      <c r="M962" s="80" t="s">
        <v>265</v>
      </c>
      <c r="N962" t="str">
        <f t="shared" si="142" ref="N962:N1025">(CONCATENATE(J962,K962,L962,M962))</f>
        <v>SingleHospital with CassetteGather Hook Bottom Pocket2 x L Bracket</v>
      </c>
      <c r="O962">
        <v>60</v>
      </c>
      <c r="P962">
        <v>37</v>
      </c>
      <c r="Q962" s="80">
        <v>0</v>
      </c>
      <c r="R962" s="80">
        <f t="shared" si="141"/>
        <v>-23</v>
      </c>
      <c r="AD962"/>
    </row>
    <row r="963" spans="10:30" ht="16.2" customHeight="1">
      <c r="J963" s="80" t="s">
        <v>746</v>
      </c>
      <c r="K963" s="80" t="s">
        <v>419</v>
      </c>
      <c r="L963" t="s">
        <v>229</v>
      </c>
      <c r="M963" s="80" t="s">
        <v>265</v>
      </c>
      <c r="N963" t="str">
        <f t="shared" si="142"/>
        <v>Double FrontHospital with CassetteGather Hook Level2 x L Bracket</v>
      </c>
      <c r="O963">
        <v>20</v>
      </c>
      <c r="P963">
        <v>37</v>
      </c>
      <c r="Q963" s="80">
        <v>0</v>
      </c>
      <c r="R963" s="80">
        <f t="shared" si="141"/>
        <v>17</v>
      </c>
      <c r="AD963"/>
    </row>
    <row r="964" spans="10:30" ht="16.2" customHeight="1">
      <c r="J964" s="80" t="s">
        <v>747</v>
      </c>
      <c r="K964" s="80" t="s">
        <v>419</v>
      </c>
      <c r="L964" t="s">
        <v>229</v>
      </c>
      <c r="M964" s="80" t="s">
        <v>265</v>
      </c>
      <c r="N964" t="str">
        <f t="shared" si="142"/>
        <v>Double RearHospital with CassetteGather Hook Level2 x L Bracket</v>
      </c>
      <c r="O964">
        <v>20</v>
      </c>
      <c r="P964">
        <v>37</v>
      </c>
      <c r="Q964" s="80">
        <v>0</v>
      </c>
      <c r="R964" s="80">
        <f t="shared" si="141"/>
        <v>17</v>
      </c>
      <c r="AD964"/>
    </row>
    <row r="965" spans="10:30" ht="16.2" customHeight="1">
      <c r="J965" s="80" t="s">
        <v>725</v>
      </c>
      <c r="K965" s="80" t="s">
        <v>419</v>
      </c>
      <c r="L965" t="s">
        <v>229</v>
      </c>
      <c r="M965" s="80" t="s">
        <v>265</v>
      </c>
      <c r="N965" t="str">
        <f t="shared" si="142"/>
        <v>SingleHospital with CassetteGather Hook Level2 x L Bracket</v>
      </c>
      <c r="O965">
        <v>20</v>
      </c>
      <c r="P965">
        <v>37</v>
      </c>
      <c r="Q965" s="80">
        <v>0</v>
      </c>
      <c r="R965" s="80">
        <f t="shared" si="141"/>
        <v>17</v>
      </c>
      <c r="AD965"/>
    </row>
    <row r="966" spans="10:30" ht="16.2" customHeight="1">
      <c r="J966" s="80" t="s">
        <v>746</v>
      </c>
      <c r="K966" s="80" t="s">
        <v>419</v>
      </c>
      <c r="L966" t="s">
        <v>228</v>
      </c>
      <c r="M966" s="80" t="s">
        <v>265</v>
      </c>
      <c r="N966" t="str">
        <f t="shared" si="142"/>
        <v>Double FrontHospital with CassetteGather Hook Normal2 x L Bracket</v>
      </c>
      <c r="O966">
        <v>43</v>
      </c>
      <c r="P966">
        <v>37</v>
      </c>
      <c r="Q966" s="80">
        <v>0</v>
      </c>
      <c r="R966" s="80">
        <f t="shared" si="141"/>
        <v>-6</v>
      </c>
      <c r="AD966"/>
    </row>
    <row r="967" spans="10:30" ht="16.2" customHeight="1">
      <c r="J967" s="80" t="s">
        <v>747</v>
      </c>
      <c r="K967" s="80" t="s">
        <v>419</v>
      </c>
      <c r="L967" t="s">
        <v>228</v>
      </c>
      <c r="M967" s="80" t="s">
        <v>265</v>
      </c>
      <c r="N967" t="str">
        <f t="shared" si="142"/>
        <v>Double RearHospital with CassetteGather Hook Normal2 x L Bracket</v>
      </c>
      <c r="O967">
        <v>43</v>
      </c>
      <c r="P967">
        <v>37</v>
      </c>
      <c r="Q967" s="80">
        <v>0</v>
      </c>
      <c r="R967" s="80">
        <f t="shared" si="141"/>
        <v>-6</v>
      </c>
      <c r="AD967"/>
    </row>
    <row r="968" spans="10:30" ht="16.2" customHeight="1">
      <c r="J968" s="80" t="s">
        <v>725</v>
      </c>
      <c r="K968" s="80" t="s">
        <v>419</v>
      </c>
      <c r="L968" t="s">
        <v>228</v>
      </c>
      <c r="M968" s="80" t="s">
        <v>265</v>
      </c>
      <c r="N968" t="str">
        <f t="shared" si="142"/>
        <v>SingleHospital with CassetteGather Hook Normal2 x L Bracket</v>
      </c>
      <c r="O968">
        <v>43</v>
      </c>
      <c r="P968">
        <v>37</v>
      </c>
      <c r="Q968" s="80">
        <v>0</v>
      </c>
      <c r="R968" s="80">
        <f t="shared" si="141"/>
        <v>-6</v>
      </c>
      <c r="AD968"/>
    </row>
    <row r="969" spans="10:30" ht="16.2" customHeight="1">
      <c r="J969" s="80" t="s">
        <v>746</v>
      </c>
      <c r="K969" s="80" t="s">
        <v>419</v>
      </c>
      <c r="L969" t="s">
        <v>282</v>
      </c>
      <c r="M969" s="80" t="s">
        <v>265</v>
      </c>
      <c r="N969" t="str">
        <f t="shared" si="142"/>
        <v>Double FrontHospital with CassetteLevel 20722 x L Bracket</v>
      </c>
      <c r="O969">
        <v>28</v>
      </c>
      <c r="P969">
        <v>37</v>
      </c>
      <c r="Q969" s="80">
        <v>0</v>
      </c>
      <c r="R969" s="80">
        <f t="shared" si="141"/>
        <v>9</v>
      </c>
      <c r="AD969"/>
    </row>
    <row r="970" spans="10:30" ht="16.2" customHeight="1">
      <c r="J970" s="80" t="s">
        <v>747</v>
      </c>
      <c r="K970" s="80" t="s">
        <v>419</v>
      </c>
      <c r="L970" t="s">
        <v>282</v>
      </c>
      <c r="M970" s="80" t="s">
        <v>265</v>
      </c>
      <c r="N970" t="str">
        <f t="shared" si="142"/>
        <v>Double RearHospital with CassetteLevel 20722 x L Bracket</v>
      </c>
      <c r="O970">
        <v>28</v>
      </c>
      <c r="P970">
        <v>37</v>
      </c>
      <c r="Q970" s="80">
        <v>0</v>
      </c>
      <c r="R970" s="80">
        <f t="shared" si="141"/>
        <v>9</v>
      </c>
      <c r="AD970"/>
    </row>
    <row r="971" spans="10:30" ht="16.2" customHeight="1">
      <c r="J971" s="80" t="s">
        <v>725</v>
      </c>
      <c r="K971" s="80" t="s">
        <v>419</v>
      </c>
      <c r="L971" t="s">
        <v>282</v>
      </c>
      <c r="M971" s="80" t="s">
        <v>265</v>
      </c>
      <c r="N971" t="str">
        <f t="shared" si="142"/>
        <v>SingleHospital with CassetteLevel 20722 x L Bracket</v>
      </c>
      <c r="O971">
        <v>28</v>
      </c>
      <c r="P971">
        <v>37</v>
      </c>
      <c r="Q971" s="80">
        <v>0</v>
      </c>
      <c r="R971" s="80">
        <f t="shared" si="141"/>
        <v>9</v>
      </c>
      <c r="AD971"/>
    </row>
    <row r="972" spans="10:30" ht="16.2" customHeight="1">
      <c r="J972" s="80" t="s">
        <v>746</v>
      </c>
      <c r="K972" s="80" t="s">
        <v>419</v>
      </c>
      <c r="L972" t="s">
        <v>185</v>
      </c>
      <c r="M972" s="80" t="s">
        <v>265</v>
      </c>
      <c r="N972" t="str">
        <f t="shared" si="142"/>
        <v>Double FrontHospital with CassetteNo Hooks2 x L Bracket</v>
      </c>
      <c r="O972">
        <v>38</v>
      </c>
      <c r="P972">
        <v>37</v>
      </c>
      <c r="Q972" s="80">
        <v>0</v>
      </c>
      <c r="R972" s="80">
        <f t="shared" si="141"/>
        <v>-1</v>
      </c>
      <c r="AD972"/>
    </row>
    <row r="973" spans="10:30" ht="16.2" customHeight="1">
      <c r="J973" s="80" t="s">
        <v>747</v>
      </c>
      <c r="K973" s="80" t="s">
        <v>419</v>
      </c>
      <c r="L973" t="s">
        <v>185</v>
      </c>
      <c r="M973" s="80" t="s">
        <v>265</v>
      </c>
      <c r="N973" t="str">
        <f t="shared" si="142"/>
        <v>Double RearHospital with CassetteNo Hooks2 x L Bracket</v>
      </c>
      <c r="O973">
        <v>38</v>
      </c>
      <c r="P973">
        <v>37</v>
      </c>
      <c r="Q973" s="80">
        <v>0</v>
      </c>
      <c r="R973" s="80">
        <f t="shared" si="141"/>
        <v>-1</v>
      </c>
      <c r="AD973"/>
    </row>
    <row r="974" spans="10:30" ht="16.2" customHeight="1">
      <c r="J974" s="80" t="s">
        <v>725</v>
      </c>
      <c r="K974" s="80" t="s">
        <v>419</v>
      </c>
      <c r="L974" t="s">
        <v>185</v>
      </c>
      <c r="M974" s="80" t="s">
        <v>265</v>
      </c>
      <c r="N974" t="str">
        <f t="shared" si="142"/>
        <v>SingleHospital with CassetteNo Hooks2 x L Bracket</v>
      </c>
      <c r="O974">
        <v>38</v>
      </c>
      <c r="P974">
        <v>37</v>
      </c>
      <c r="Q974" s="80">
        <v>0</v>
      </c>
      <c r="R974" s="80">
        <f t="shared" si="141"/>
        <v>-1</v>
      </c>
      <c r="AD974"/>
    </row>
    <row r="975" spans="10:30" ht="16.2" customHeight="1">
      <c r="J975" s="80" t="s">
        <v>746</v>
      </c>
      <c r="K975" s="80" t="s">
        <v>419</v>
      </c>
      <c r="L975" t="s">
        <v>170</v>
      </c>
      <c r="M975" s="80" t="s">
        <v>265</v>
      </c>
      <c r="N975" t="str">
        <f t="shared" si="142"/>
        <v>Double FrontHospital with CassetteNormal 20742 x L Bracket</v>
      </c>
      <c r="O975">
        <v>60</v>
      </c>
      <c r="P975">
        <v>37</v>
      </c>
      <c r="Q975" s="80">
        <v>0</v>
      </c>
      <c r="R975" s="80">
        <f t="shared" si="141"/>
        <v>-23</v>
      </c>
      <c r="AD975"/>
    </row>
    <row r="976" spans="10:30" ht="16.2" customHeight="1">
      <c r="J976" s="80" t="s">
        <v>747</v>
      </c>
      <c r="K976" s="80" t="s">
        <v>419</v>
      </c>
      <c r="L976" t="s">
        <v>170</v>
      </c>
      <c r="M976" s="80" t="s">
        <v>265</v>
      </c>
      <c r="N976" t="str">
        <f t="shared" si="142"/>
        <v>Double RearHospital with CassetteNormal 20742 x L Bracket</v>
      </c>
      <c r="O976">
        <v>60</v>
      </c>
      <c r="P976">
        <v>37</v>
      </c>
      <c r="Q976" s="80">
        <v>0</v>
      </c>
      <c r="R976" s="80">
        <f t="shared" si="141"/>
        <v>-23</v>
      </c>
      <c r="AD976"/>
    </row>
    <row r="977" spans="10:30" ht="16.2" customHeight="1">
      <c r="J977" s="80" t="s">
        <v>725</v>
      </c>
      <c r="K977" s="80" t="s">
        <v>419</v>
      </c>
      <c r="L977" t="s">
        <v>170</v>
      </c>
      <c r="M977" s="80" t="s">
        <v>265</v>
      </c>
      <c r="N977" t="str">
        <f t="shared" si="142"/>
        <v>SingleHospital with CassetteNormal 20742 x L Bracket</v>
      </c>
      <c r="O977">
        <v>35</v>
      </c>
      <c r="P977">
        <v>37</v>
      </c>
      <c r="Q977" s="80">
        <v>0</v>
      </c>
      <c r="R977" s="80">
        <f t="shared" si="141"/>
        <v>2</v>
      </c>
      <c r="AD977"/>
    </row>
    <row r="978" spans="10:30" ht="16.2" customHeight="1">
      <c r="J978" s="80" t="s">
        <v>746</v>
      </c>
      <c r="K978" s="80" t="s">
        <v>419</v>
      </c>
      <c r="L978" t="s">
        <v>183</v>
      </c>
      <c r="M978" s="80" t="s">
        <v>266</v>
      </c>
      <c r="N978" t="str">
        <f t="shared" si="142"/>
        <v>Double FrontHospital with CassetteBelow Normal 2075Top Fix</v>
      </c>
      <c r="O978">
        <v>70</v>
      </c>
      <c r="P978">
        <v>42</v>
      </c>
      <c r="Q978" s="80">
        <v>0</v>
      </c>
      <c r="R978" s="80">
        <f t="shared" si="141"/>
        <v>-28</v>
      </c>
      <c r="AD978"/>
    </row>
    <row r="979" spans="10:30" ht="16.2" customHeight="1">
      <c r="J979" s="80" t="s">
        <v>747</v>
      </c>
      <c r="K979" s="80" t="s">
        <v>419</v>
      </c>
      <c r="L979" t="s">
        <v>183</v>
      </c>
      <c r="M979" s="80" t="s">
        <v>266</v>
      </c>
      <c r="N979" t="str">
        <f t="shared" si="142"/>
        <v>Double RearHospital with CassetteBelow Normal 2075Top Fix</v>
      </c>
      <c r="O979">
        <v>70</v>
      </c>
      <c r="P979">
        <v>42</v>
      </c>
      <c r="Q979" s="80">
        <v>0</v>
      </c>
      <c r="R979" s="80">
        <f t="shared" si="141"/>
        <v>-28</v>
      </c>
      <c r="AD979"/>
    </row>
    <row r="980" spans="10:30" ht="16.2" customHeight="1">
      <c r="J980" s="80" t="s">
        <v>725</v>
      </c>
      <c r="K980" s="80" t="s">
        <v>419</v>
      </c>
      <c r="L980" t="s">
        <v>183</v>
      </c>
      <c r="M980" s="80" t="s">
        <v>266</v>
      </c>
      <c r="N980" t="str">
        <f t="shared" si="142"/>
        <v>SingleHospital with CassetteBelow Normal 2075Top Fix</v>
      </c>
      <c r="O980">
        <v>70</v>
      </c>
      <c r="P980">
        <v>42</v>
      </c>
      <c r="Q980" s="80">
        <v>0</v>
      </c>
      <c r="R980" s="80">
        <f t="shared" si="141"/>
        <v>-28</v>
      </c>
      <c r="AD980"/>
    </row>
    <row r="981" spans="10:30" ht="16.2" customHeight="1">
      <c r="J981" s="80" t="s">
        <v>746</v>
      </c>
      <c r="K981" s="80" t="s">
        <v>419</v>
      </c>
      <c r="L981" t="s">
        <v>182</v>
      </c>
      <c r="M981" s="80" t="s">
        <v>266</v>
      </c>
      <c r="N981" t="str">
        <f t="shared" si="142"/>
        <v>Double FrontHospital with CassetteBetween Level and Normal 2073Top Fix</v>
      </c>
      <c r="O981">
        <v>48</v>
      </c>
      <c r="P981">
        <v>42</v>
      </c>
      <c r="Q981" s="80">
        <v>0</v>
      </c>
      <c r="R981" s="80">
        <f t="shared" si="141"/>
        <v>-6</v>
      </c>
      <c r="AD981"/>
    </row>
    <row r="982" spans="10:30" ht="16.2" customHeight="1">
      <c r="J982" s="80" t="s">
        <v>747</v>
      </c>
      <c r="K982" s="80" t="s">
        <v>419</v>
      </c>
      <c r="L982" t="s">
        <v>182</v>
      </c>
      <c r="M982" s="80" t="s">
        <v>266</v>
      </c>
      <c r="N982" t="str">
        <f t="shared" si="142"/>
        <v>Double RearHospital with CassetteBetween Level and Normal 2073Top Fix</v>
      </c>
      <c r="O982">
        <v>48</v>
      </c>
      <c r="P982">
        <v>42</v>
      </c>
      <c r="Q982" s="80">
        <v>0</v>
      </c>
      <c r="R982" s="80">
        <f t="shared" si="141"/>
        <v>-6</v>
      </c>
      <c r="AD982"/>
    </row>
    <row r="983" spans="10:30" ht="16.2" customHeight="1">
      <c r="J983" s="80" t="s">
        <v>725</v>
      </c>
      <c r="K983" s="80" t="s">
        <v>419</v>
      </c>
      <c r="L983" t="s">
        <v>182</v>
      </c>
      <c r="M983" s="80" t="s">
        <v>266</v>
      </c>
      <c r="N983" t="str">
        <f t="shared" si="142"/>
        <v>SingleHospital with CassetteBetween Level and Normal 2073Top Fix</v>
      </c>
      <c r="O983">
        <v>47</v>
      </c>
      <c r="P983">
        <v>42</v>
      </c>
      <c r="Q983" s="80">
        <v>0</v>
      </c>
      <c r="R983" s="80">
        <f t="shared" si="141"/>
        <v>-5</v>
      </c>
      <c r="AD983"/>
    </row>
    <row r="984" spans="10:30" ht="16.2" customHeight="1">
      <c r="J984" s="80" t="s">
        <v>746</v>
      </c>
      <c r="K984" s="80" t="s">
        <v>419</v>
      </c>
      <c r="L984" t="s">
        <v>184</v>
      </c>
      <c r="M984" s="80" t="s">
        <v>266</v>
      </c>
      <c r="N984" t="str">
        <f t="shared" si="142"/>
        <v>Double FrontHospital with CassetteDecorator 2071Top Fix</v>
      </c>
      <c r="O984">
        <v>20</v>
      </c>
      <c r="P984">
        <v>42</v>
      </c>
      <c r="Q984" s="80">
        <v>0</v>
      </c>
      <c r="R984" s="80">
        <f t="shared" si="141"/>
        <v>22</v>
      </c>
      <c r="AD984"/>
    </row>
    <row r="985" spans="10:30" ht="16.2" customHeight="1">
      <c r="J985" s="80" t="s">
        <v>747</v>
      </c>
      <c r="K985" s="80" t="s">
        <v>419</v>
      </c>
      <c r="L985" t="s">
        <v>184</v>
      </c>
      <c r="M985" s="80" t="s">
        <v>266</v>
      </c>
      <c r="N985" t="str">
        <f t="shared" si="142"/>
        <v>Double RearHospital with CassetteDecorator 2071Top Fix</v>
      </c>
      <c r="O985">
        <v>20</v>
      </c>
      <c r="P985">
        <v>42</v>
      </c>
      <c r="Q985" s="80">
        <v>0</v>
      </c>
      <c r="R985" s="80">
        <f t="shared" si="141"/>
        <v>22</v>
      </c>
      <c r="AD985"/>
    </row>
    <row r="986" spans="10:30" ht="16.2" customHeight="1">
      <c r="J986" s="80" t="s">
        <v>725</v>
      </c>
      <c r="K986" s="80" t="s">
        <v>419</v>
      </c>
      <c r="L986" t="s">
        <v>184</v>
      </c>
      <c r="M986" s="80" t="s">
        <v>266</v>
      </c>
      <c r="N986" t="str">
        <f t="shared" si="142"/>
        <v>SingleHospital with CassetteDecorator 2071Top Fix</v>
      </c>
      <c r="O986">
        <v>20</v>
      </c>
      <c r="P986">
        <v>42</v>
      </c>
      <c r="Q986" s="80">
        <v>0</v>
      </c>
      <c r="R986" s="80">
        <f t="shared" si="141"/>
        <v>22</v>
      </c>
      <c r="AD986"/>
    </row>
    <row r="987" spans="10:30" ht="16.2" customHeight="1">
      <c r="J987" s="80" t="s">
        <v>746</v>
      </c>
      <c r="K987" s="80" t="s">
        <v>419</v>
      </c>
      <c r="L987" t="s">
        <v>6468</v>
      </c>
      <c r="M987" s="80" t="s">
        <v>266</v>
      </c>
      <c r="N987" t="str">
        <f t="shared" si="142"/>
        <v>Double FrontHospital with CassetteGather Hook Bottom PocketTop Fix</v>
      </c>
      <c r="O987">
        <v>60</v>
      </c>
      <c r="P987">
        <v>42</v>
      </c>
      <c r="Q987" s="80">
        <v>0</v>
      </c>
      <c r="R987" s="80">
        <f t="shared" si="141"/>
        <v>-18</v>
      </c>
      <c r="AD987"/>
    </row>
    <row r="988" spans="10:30" ht="16.2" customHeight="1">
      <c r="J988" s="80" t="s">
        <v>725</v>
      </c>
      <c r="K988" s="80" t="s">
        <v>419</v>
      </c>
      <c r="L988" t="s">
        <v>6468</v>
      </c>
      <c r="M988" s="80" t="s">
        <v>266</v>
      </c>
      <c r="N988" t="str">
        <f t="shared" si="142"/>
        <v>SingleHospital with CassetteGather Hook Bottom PocketTop Fix</v>
      </c>
      <c r="O988">
        <v>60</v>
      </c>
      <c r="P988">
        <v>42</v>
      </c>
      <c r="Q988" s="80">
        <v>0</v>
      </c>
      <c r="R988" s="80">
        <f t="shared" si="141"/>
        <v>-18</v>
      </c>
      <c r="AD988"/>
    </row>
    <row r="989" spans="10:30" ht="16.2" customHeight="1">
      <c r="J989" s="80" t="s">
        <v>746</v>
      </c>
      <c r="K989" s="80" t="s">
        <v>419</v>
      </c>
      <c r="L989" t="s">
        <v>229</v>
      </c>
      <c r="M989" s="80" t="s">
        <v>266</v>
      </c>
      <c r="N989" t="str">
        <f t="shared" si="142"/>
        <v>Double FrontHospital with CassetteGather Hook LevelTop Fix</v>
      </c>
      <c r="O989">
        <v>20</v>
      </c>
      <c r="P989">
        <v>42</v>
      </c>
      <c r="Q989" s="80">
        <v>0</v>
      </c>
      <c r="R989" s="80">
        <f t="shared" si="141"/>
        <v>22</v>
      </c>
      <c r="AD989"/>
    </row>
    <row r="990" spans="10:30" ht="16.2" customHeight="1">
      <c r="J990" s="80" t="s">
        <v>747</v>
      </c>
      <c r="K990" s="80" t="s">
        <v>419</v>
      </c>
      <c r="L990" t="s">
        <v>229</v>
      </c>
      <c r="M990" s="80" t="s">
        <v>266</v>
      </c>
      <c r="N990" t="str">
        <f t="shared" si="142"/>
        <v>Double RearHospital with CassetteGather Hook LevelTop Fix</v>
      </c>
      <c r="O990">
        <v>20</v>
      </c>
      <c r="P990">
        <v>42</v>
      </c>
      <c r="Q990" s="80">
        <v>0</v>
      </c>
      <c r="R990" s="80">
        <f t="shared" si="141"/>
        <v>22</v>
      </c>
      <c r="AD990"/>
    </row>
    <row r="991" spans="10:30" ht="16.2" customHeight="1">
      <c r="J991" s="80" t="s">
        <v>725</v>
      </c>
      <c r="K991" s="80" t="s">
        <v>419</v>
      </c>
      <c r="L991" t="s">
        <v>229</v>
      </c>
      <c r="M991" s="80" t="s">
        <v>266</v>
      </c>
      <c r="N991" t="str">
        <f t="shared" si="142"/>
        <v>SingleHospital with CassetteGather Hook LevelTop Fix</v>
      </c>
      <c r="O991">
        <v>20</v>
      </c>
      <c r="P991">
        <v>42</v>
      </c>
      <c r="Q991" s="80">
        <v>0</v>
      </c>
      <c r="R991" s="80">
        <f t="shared" si="143" ref="R991:R1054">SUM(P991)-O991</f>
        <v>22</v>
      </c>
      <c r="AD991"/>
    </row>
    <row r="992" spans="10:30" ht="16.2" customHeight="1">
      <c r="J992" s="80" t="s">
        <v>746</v>
      </c>
      <c r="K992" s="80" t="s">
        <v>419</v>
      </c>
      <c r="L992" t="s">
        <v>228</v>
      </c>
      <c r="M992" s="80" t="s">
        <v>266</v>
      </c>
      <c r="N992" t="str">
        <f t="shared" si="142"/>
        <v>Double FrontHospital with CassetteGather Hook NormalTop Fix</v>
      </c>
      <c r="O992">
        <v>43</v>
      </c>
      <c r="P992">
        <v>42</v>
      </c>
      <c r="Q992" s="80">
        <v>0</v>
      </c>
      <c r="R992" s="80">
        <f t="shared" si="143"/>
        <v>-1</v>
      </c>
      <c r="AD992"/>
    </row>
    <row r="993" spans="10:30" ht="16.2" customHeight="1">
      <c r="J993" s="80" t="s">
        <v>747</v>
      </c>
      <c r="K993" s="80" t="s">
        <v>419</v>
      </c>
      <c r="L993" t="s">
        <v>228</v>
      </c>
      <c r="M993" s="80" t="s">
        <v>266</v>
      </c>
      <c r="N993" t="str">
        <f t="shared" si="142"/>
        <v>Double RearHospital with CassetteGather Hook NormalTop Fix</v>
      </c>
      <c r="O993">
        <v>43</v>
      </c>
      <c r="P993">
        <v>42</v>
      </c>
      <c r="Q993" s="80">
        <v>0</v>
      </c>
      <c r="R993" s="80">
        <f t="shared" si="143"/>
        <v>-1</v>
      </c>
      <c r="AD993"/>
    </row>
    <row r="994" spans="10:30" ht="16.2" customHeight="1">
      <c r="J994" s="80" t="s">
        <v>725</v>
      </c>
      <c r="K994" s="80" t="s">
        <v>419</v>
      </c>
      <c r="L994" t="s">
        <v>228</v>
      </c>
      <c r="M994" s="80" t="s">
        <v>266</v>
      </c>
      <c r="N994" t="str">
        <f t="shared" si="142"/>
        <v>SingleHospital with CassetteGather Hook NormalTop Fix</v>
      </c>
      <c r="O994">
        <v>43</v>
      </c>
      <c r="P994">
        <v>42</v>
      </c>
      <c r="Q994" s="80">
        <v>0</v>
      </c>
      <c r="R994" s="80">
        <f t="shared" si="143"/>
        <v>-1</v>
      </c>
      <c r="AD994"/>
    </row>
    <row r="995" spans="10:30" ht="16.2" customHeight="1">
      <c r="J995" s="80" t="s">
        <v>746</v>
      </c>
      <c r="K995" s="80" t="s">
        <v>419</v>
      </c>
      <c r="L995" t="s">
        <v>282</v>
      </c>
      <c r="M995" s="80" t="s">
        <v>266</v>
      </c>
      <c r="N995" t="str">
        <f t="shared" si="142"/>
        <v>Double FrontHospital with CassetteLevel 2072Top Fix</v>
      </c>
      <c r="O995">
        <v>28</v>
      </c>
      <c r="P995">
        <v>42</v>
      </c>
      <c r="Q995" s="80">
        <v>0</v>
      </c>
      <c r="R995" s="80">
        <f t="shared" si="143"/>
        <v>14</v>
      </c>
      <c r="AD995"/>
    </row>
    <row r="996" spans="10:30" ht="16.2" customHeight="1">
      <c r="J996" s="80" t="s">
        <v>747</v>
      </c>
      <c r="K996" s="80" t="s">
        <v>419</v>
      </c>
      <c r="L996" t="s">
        <v>282</v>
      </c>
      <c r="M996" s="80" t="s">
        <v>266</v>
      </c>
      <c r="N996" t="str">
        <f t="shared" si="142"/>
        <v>Double RearHospital with CassetteLevel 2072Top Fix</v>
      </c>
      <c r="O996">
        <v>28</v>
      </c>
      <c r="P996">
        <v>42</v>
      </c>
      <c r="Q996" s="80">
        <v>0</v>
      </c>
      <c r="R996" s="80">
        <f t="shared" si="143"/>
        <v>14</v>
      </c>
      <c r="AD996"/>
    </row>
    <row r="997" spans="10:30" ht="16.2" customHeight="1">
      <c r="J997" s="80" t="s">
        <v>725</v>
      </c>
      <c r="K997" s="80" t="s">
        <v>419</v>
      </c>
      <c r="L997" t="s">
        <v>282</v>
      </c>
      <c r="M997" s="80" t="s">
        <v>266</v>
      </c>
      <c r="N997" t="str">
        <f t="shared" si="142"/>
        <v>SingleHospital with CassetteLevel 2072Top Fix</v>
      </c>
      <c r="O997">
        <v>28</v>
      </c>
      <c r="P997">
        <v>42</v>
      </c>
      <c r="Q997" s="80">
        <v>0</v>
      </c>
      <c r="R997" s="80">
        <f t="shared" si="143"/>
        <v>14</v>
      </c>
      <c r="AD997"/>
    </row>
    <row r="998" spans="10:30" ht="16.2" customHeight="1">
      <c r="J998" s="80" t="s">
        <v>746</v>
      </c>
      <c r="K998" s="80" t="s">
        <v>419</v>
      </c>
      <c r="L998" t="s">
        <v>185</v>
      </c>
      <c r="M998" s="80" t="s">
        <v>266</v>
      </c>
      <c r="N998" t="str">
        <f t="shared" si="142"/>
        <v>Double FrontHospital with CassetteNo HooksTop Fix</v>
      </c>
      <c r="O998">
        <v>38</v>
      </c>
      <c r="P998">
        <v>42</v>
      </c>
      <c r="Q998" s="80">
        <v>0</v>
      </c>
      <c r="R998" s="80">
        <f t="shared" si="143"/>
        <v>4</v>
      </c>
      <c r="AD998"/>
    </row>
    <row r="999" spans="10:30" ht="16.2" customHeight="1">
      <c r="J999" s="80" t="s">
        <v>747</v>
      </c>
      <c r="K999" s="80" t="s">
        <v>419</v>
      </c>
      <c r="L999" t="s">
        <v>185</v>
      </c>
      <c r="M999" s="80" t="s">
        <v>266</v>
      </c>
      <c r="N999" t="str">
        <f t="shared" si="142"/>
        <v>Double RearHospital with CassetteNo HooksTop Fix</v>
      </c>
      <c r="O999">
        <v>38</v>
      </c>
      <c r="P999">
        <v>42</v>
      </c>
      <c r="Q999" s="80">
        <v>0</v>
      </c>
      <c r="R999" s="80">
        <f t="shared" si="143"/>
        <v>4</v>
      </c>
      <c r="AD999"/>
    </row>
    <row r="1000" spans="10:30" ht="16.2" customHeight="1">
      <c r="J1000" s="80" t="s">
        <v>725</v>
      </c>
      <c r="K1000" s="80" t="s">
        <v>419</v>
      </c>
      <c r="L1000" t="s">
        <v>185</v>
      </c>
      <c r="M1000" s="80" t="s">
        <v>266</v>
      </c>
      <c r="N1000" t="str">
        <f t="shared" si="142"/>
        <v>SingleHospital with CassetteNo HooksTop Fix</v>
      </c>
      <c r="O1000">
        <v>38</v>
      </c>
      <c r="P1000">
        <v>42</v>
      </c>
      <c r="Q1000" s="80">
        <v>0</v>
      </c>
      <c r="R1000" s="80">
        <f t="shared" si="143"/>
        <v>4</v>
      </c>
      <c r="AD1000"/>
    </row>
    <row r="1001" spans="10:30" ht="16.2" customHeight="1">
      <c r="J1001" s="80" t="s">
        <v>746</v>
      </c>
      <c r="K1001" s="80" t="s">
        <v>419</v>
      </c>
      <c r="L1001" t="s">
        <v>170</v>
      </c>
      <c r="M1001" s="80" t="s">
        <v>266</v>
      </c>
      <c r="N1001" t="str">
        <f t="shared" si="142"/>
        <v>Double FrontHospital with CassetteNormal 2074Top Fix</v>
      </c>
      <c r="O1001">
        <v>60</v>
      </c>
      <c r="P1001">
        <v>42</v>
      </c>
      <c r="Q1001" s="80">
        <v>0</v>
      </c>
      <c r="R1001" s="80">
        <f t="shared" si="143"/>
        <v>-18</v>
      </c>
      <c r="AD1001"/>
    </row>
    <row r="1002" spans="10:30" ht="16.2" customHeight="1">
      <c r="J1002" s="80" t="s">
        <v>747</v>
      </c>
      <c r="K1002" s="80" t="s">
        <v>419</v>
      </c>
      <c r="L1002" t="s">
        <v>170</v>
      </c>
      <c r="M1002" s="80" t="s">
        <v>266</v>
      </c>
      <c r="N1002" t="str">
        <f t="shared" si="142"/>
        <v>Double RearHospital with CassetteNormal 2074Top Fix</v>
      </c>
      <c r="O1002">
        <v>60</v>
      </c>
      <c r="P1002">
        <v>42</v>
      </c>
      <c r="Q1002" s="80">
        <v>0</v>
      </c>
      <c r="R1002" s="80">
        <f t="shared" si="143"/>
        <v>-18</v>
      </c>
      <c r="AD1002"/>
    </row>
    <row r="1003" spans="10:30" ht="16.2" customHeight="1">
      <c r="J1003" s="80" t="s">
        <v>725</v>
      </c>
      <c r="K1003" s="80" t="s">
        <v>419</v>
      </c>
      <c r="L1003" t="s">
        <v>170</v>
      </c>
      <c r="M1003" s="80" t="s">
        <v>266</v>
      </c>
      <c r="N1003" t="str">
        <f t="shared" si="142"/>
        <v>SingleHospital with CassetteNormal 2074Top Fix</v>
      </c>
      <c r="O1003">
        <v>35</v>
      </c>
      <c r="P1003">
        <v>42</v>
      </c>
      <c r="Q1003" s="80">
        <v>0</v>
      </c>
      <c r="R1003" s="80">
        <f t="shared" si="143"/>
        <v>7</v>
      </c>
      <c r="AD1003"/>
    </row>
    <row r="1004" spans="10:30" ht="16.2" customHeight="1">
      <c r="J1004" s="80" t="s">
        <v>746</v>
      </c>
      <c r="K1004" s="80" t="s">
        <v>5440</v>
      </c>
      <c r="L1004" t="s">
        <v>183</v>
      </c>
      <c r="M1004" t="s">
        <v>162</v>
      </c>
      <c r="N1004" t="str">
        <f t="shared" si="142"/>
        <v>Double FrontMotorised Acmeda 12v Remote Curtain TrackBelow Normal 2075Double Face Fix Brackets</v>
      </c>
      <c r="O1004">
        <v>70</v>
      </c>
      <c r="P1004">
        <v>51</v>
      </c>
      <c r="Q1004" s="80">
        <v>0</v>
      </c>
      <c r="R1004" s="80">
        <f t="shared" si="143"/>
        <v>-19</v>
      </c>
      <c r="AD1004"/>
    </row>
    <row r="1005" spans="10:30" ht="16.2" customHeight="1">
      <c r="J1005" s="80" t="s">
        <v>747</v>
      </c>
      <c r="K1005" s="80" t="s">
        <v>5440</v>
      </c>
      <c r="L1005" t="s">
        <v>183</v>
      </c>
      <c r="M1005" t="s">
        <v>162</v>
      </c>
      <c r="N1005" t="str">
        <f t="shared" si="142"/>
        <v>Double RearMotorised Acmeda 12v Remote Curtain TrackBelow Normal 2075Double Face Fix Brackets</v>
      </c>
      <c r="O1005">
        <v>70</v>
      </c>
      <c r="P1005">
        <v>51</v>
      </c>
      <c r="Q1005" s="80">
        <v>0</v>
      </c>
      <c r="R1005" s="80">
        <f t="shared" si="143"/>
        <v>-19</v>
      </c>
      <c r="AD1005"/>
    </row>
    <row r="1006" spans="10:30" ht="16.2" customHeight="1">
      <c r="J1006" s="80" t="s">
        <v>725</v>
      </c>
      <c r="K1006" s="80" t="s">
        <v>5440</v>
      </c>
      <c r="L1006" t="s">
        <v>183</v>
      </c>
      <c r="M1006" t="s">
        <v>162</v>
      </c>
      <c r="N1006" t="str">
        <f t="shared" si="142"/>
        <v>SingleMotorised Acmeda 12v Remote Curtain TrackBelow Normal 2075Double Face Fix Brackets</v>
      </c>
      <c r="O1006">
        <v>70</v>
      </c>
      <c r="P1006">
        <v>51</v>
      </c>
      <c r="Q1006" s="80">
        <v>0</v>
      </c>
      <c r="R1006" s="80">
        <f t="shared" si="143"/>
        <v>-19</v>
      </c>
      <c r="AD1006"/>
    </row>
    <row r="1007" spans="10:30" ht="16.2" customHeight="1">
      <c r="J1007" s="80" t="s">
        <v>746</v>
      </c>
      <c r="K1007" s="80" t="s">
        <v>5440</v>
      </c>
      <c r="L1007" t="s">
        <v>182</v>
      </c>
      <c r="M1007" t="s">
        <v>162</v>
      </c>
      <c r="N1007" t="str">
        <f t="shared" si="142"/>
        <v>Double FrontMotorised Acmeda 12v Remote Curtain TrackBetween Level and Normal 2073Double Face Fix Brackets</v>
      </c>
      <c r="O1007">
        <v>48</v>
      </c>
      <c r="P1007">
        <v>51</v>
      </c>
      <c r="Q1007" s="80">
        <v>0</v>
      </c>
      <c r="R1007" s="80">
        <f t="shared" si="143"/>
        <v>3</v>
      </c>
      <c r="AD1007"/>
    </row>
    <row r="1008" spans="10:30" ht="16.2" customHeight="1">
      <c r="J1008" s="80" t="s">
        <v>747</v>
      </c>
      <c r="K1008" s="80" t="s">
        <v>5440</v>
      </c>
      <c r="L1008" t="s">
        <v>182</v>
      </c>
      <c r="M1008" t="s">
        <v>162</v>
      </c>
      <c r="N1008" t="str">
        <f t="shared" si="142"/>
        <v>Double RearMotorised Acmeda 12v Remote Curtain TrackBetween Level and Normal 2073Double Face Fix Brackets</v>
      </c>
      <c r="O1008">
        <v>48</v>
      </c>
      <c r="P1008">
        <v>51</v>
      </c>
      <c r="Q1008" s="80">
        <v>0</v>
      </c>
      <c r="R1008" s="80">
        <f t="shared" si="143"/>
        <v>3</v>
      </c>
      <c r="AD1008"/>
    </row>
    <row r="1009" spans="10:30" ht="16.2" customHeight="1">
      <c r="J1009" s="80" t="s">
        <v>725</v>
      </c>
      <c r="K1009" s="80" t="s">
        <v>5440</v>
      </c>
      <c r="L1009" t="s">
        <v>182</v>
      </c>
      <c r="M1009" t="s">
        <v>162</v>
      </c>
      <c r="N1009" t="str">
        <f t="shared" si="142"/>
        <v>SingleMotorised Acmeda 12v Remote Curtain TrackBetween Level and Normal 2073Double Face Fix Brackets</v>
      </c>
      <c r="O1009">
        <v>47</v>
      </c>
      <c r="P1009">
        <v>51</v>
      </c>
      <c r="Q1009" s="80">
        <v>0</v>
      </c>
      <c r="R1009" s="80">
        <f t="shared" si="143"/>
        <v>4</v>
      </c>
      <c r="AD1009"/>
    </row>
    <row r="1010" spans="10:30" ht="16.2" customHeight="1">
      <c r="J1010" s="80" t="s">
        <v>746</v>
      </c>
      <c r="K1010" s="80" t="s">
        <v>5440</v>
      </c>
      <c r="L1010" t="s">
        <v>184</v>
      </c>
      <c r="M1010" t="s">
        <v>162</v>
      </c>
      <c r="N1010" t="str">
        <f t="shared" si="142"/>
        <v>Double FrontMotorised Acmeda 12v Remote Curtain TrackDecorator 2071Double Face Fix Brackets</v>
      </c>
      <c r="O1010">
        <v>20</v>
      </c>
      <c r="P1010">
        <v>51</v>
      </c>
      <c r="Q1010" s="80">
        <v>0</v>
      </c>
      <c r="R1010" s="80">
        <f t="shared" si="143"/>
        <v>31</v>
      </c>
      <c r="AD1010"/>
    </row>
    <row r="1011" spans="10:30" ht="16.2" customHeight="1">
      <c r="J1011" s="80" t="s">
        <v>747</v>
      </c>
      <c r="K1011" s="80" t="s">
        <v>5440</v>
      </c>
      <c r="L1011" t="s">
        <v>184</v>
      </c>
      <c r="M1011" t="s">
        <v>162</v>
      </c>
      <c r="N1011" t="str">
        <f t="shared" si="142"/>
        <v>Double RearMotorised Acmeda 12v Remote Curtain TrackDecorator 2071Double Face Fix Brackets</v>
      </c>
      <c r="O1011">
        <v>20</v>
      </c>
      <c r="P1011">
        <v>51</v>
      </c>
      <c r="Q1011" s="80">
        <v>0</v>
      </c>
      <c r="R1011" s="80">
        <f t="shared" si="143"/>
        <v>31</v>
      </c>
      <c r="AD1011"/>
    </row>
    <row r="1012" spans="10:30" ht="16.2" customHeight="1">
      <c r="J1012" s="80" t="s">
        <v>725</v>
      </c>
      <c r="K1012" s="80" t="s">
        <v>5440</v>
      </c>
      <c r="L1012" t="s">
        <v>184</v>
      </c>
      <c r="M1012" t="s">
        <v>162</v>
      </c>
      <c r="N1012" t="str">
        <f t="shared" si="142"/>
        <v>SingleMotorised Acmeda 12v Remote Curtain TrackDecorator 2071Double Face Fix Brackets</v>
      </c>
      <c r="O1012">
        <v>20</v>
      </c>
      <c r="P1012">
        <v>51</v>
      </c>
      <c r="Q1012" s="80">
        <v>0</v>
      </c>
      <c r="R1012" s="80">
        <f t="shared" si="143"/>
        <v>31</v>
      </c>
      <c r="AD1012"/>
    </row>
    <row r="1013" spans="10:30" ht="16.2" customHeight="1">
      <c r="J1013" s="80" t="s">
        <v>746</v>
      </c>
      <c r="K1013" s="80" t="s">
        <v>5440</v>
      </c>
      <c r="L1013" t="s">
        <v>6468</v>
      </c>
      <c r="M1013" t="s">
        <v>162</v>
      </c>
      <c r="N1013" t="str">
        <f t="shared" si="142"/>
        <v>Double FrontMotorised Acmeda 12v Remote Curtain TrackGather Hook Bottom PocketDouble Face Fix Brackets</v>
      </c>
      <c r="O1013">
        <v>60</v>
      </c>
      <c r="P1013">
        <v>51</v>
      </c>
      <c r="Q1013" s="80">
        <v>0</v>
      </c>
      <c r="R1013" s="80">
        <f t="shared" si="143"/>
        <v>-9</v>
      </c>
      <c r="AD1013"/>
    </row>
    <row r="1014" spans="10:30" ht="16.2" customHeight="1">
      <c r="J1014" s="80" t="s">
        <v>725</v>
      </c>
      <c r="K1014" s="80" t="s">
        <v>5440</v>
      </c>
      <c r="L1014" t="s">
        <v>6468</v>
      </c>
      <c r="M1014" t="s">
        <v>162</v>
      </c>
      <c r="N1014" t="str">
        <f t="shared" si="142"/>
        <v>SingleMotorised Acmeda 12v Remote Curtain TrackGather Hook Bottom PocketDouble Face Fix Brackets</v>
      </c>
      <c r="O1014">
        <v>60</v>
      </c>
      <c r="P1014">
        <v>51</v>
      </c>
      <c r="Q1014" s="80">
        <v>0</v>
      </c>
      <c r="R1014" s="80">
        <f t="shared" si="143"/>
        <v>-9</v>
      </c>
      <c r="AD1014"/>
    </row>
    <row r="1015" spans="10:30" ht="16.2" customHeight="1">
      <c r="J1015" s="80" t="s">
        <v>746</v>
      </c>
      <c r="K1015" s="80" t="s">
        <v>5440</v>
      </c>
      <c r="L1015" t="s">
        <v>229</v>
      </c>
      <c r="M1015" t="s">
        <v>162</v>
      </c>
      <c r="N1015" t="str">
        <f t="shared" si="142"/>
        <v>Double FrontMotorised Acmeda 12v Remote Curtain TrackGather Hook LevelDouble Face Fix Brackets</v>
      </c>
      <c r="O1015">
        <v>20</v>
      </c>
      <c r="P1015">
        <v>51</v>
      </c>
      <c r="Q1015" s="80">
        <v>0</v>
      </c>
      <c r="R1015" s="80">
        <f t="shared" si="143"/>
        <v>31</v>
      </c>
      <c r="AD1015"/>
    </row>
    <row r="1016" spans="10:30" ht="16.2" customHeight="1">
      <c r="J1016" s="80" t="s">
        <v>747</v>
      </c>
      <c r="K1016" s="80" t="s">
        <v>5440</v>
      </c>
      <c r="L1016" t="s">
        <v>229</v>
      </c>
      <c r="M1016" t="s">
        <v>162</v>
      </c>
      <c r="N1016" t="str">
        <f t="shared" si="142"/>
        <v>Double RearMotorised Acmeda 12v Remote Curtain TrackGather Hook LevelDouble Face Fix Brackets</v>
      </c>
      <c r="O1016">
        <v>20</v>
      </c>
      <c r="P1016">
        <v>51</v>
      </c>
      <c r="Q1016" s="80">
        <v>0</v>
      </c>
      <c r="R1016" s="80">
        <f t="shared" si="143"/>
        <v>31</v>
      </c>
      <c r="AD1016"/>
    </row>
    <row r="1017" spans="10:30" ht="16.2" customHeight="1">
      <c r="J1017" s="80" t="s">
        <v>725</v>
      </c>
      <c r="K1017" s="80" t="s">
        <v>5440</v>
      </c>
      <c r="L1017" t="s">
        <v>229</v>
      </c>
      <c r="M1017" t="s">
        <v>162</v>
      </c>
      <c r="N1017" t="str">
        <f t="shared" si="142"/>
        <v>SingleMotorised Acmeda 12v Remote Curtain TrackGather Hook LevelDouble Face Fix Brackets</v>
      </c>
      <c r="O1017">
        <v>20</v>
      </c>
      <c r="P1017">
        <v>51</v>
      </c>
      <c r="Q1017" s="80">
        <v>0</v>
      </c>
      <c r="R1017" s="80">
        <f t="shared" si="143"/>
        <v>31</v>
      </c>
      <c r="AD1017"/>
    </row>
    <row r="1018" spans="10:30" ht="16.2" customHeight="1">
      <c r="J1018" s="80" t="s">
        <v>746</v>
      </c>
      <c r="K1018" s="80" t="s">
        <v>5440</v>
      </c>
      <c r="L1018" t="s">
        <v>228</v>
      </c>
      <c r="M1018" t="s">
        <v>162</v>
      </c>
      <c r="N1018" t="str">
        <f t="shared" si="142"/>
        <v>Double FrontMotorised Acmeda 12v Remote Curtain TrackGather Hook NormalDouble Face Fix Brackets</v>
      </c>
      <c r="O1018">
        <v>43</v>
      </c>
      <c r="P1018">
        <v>51</v>
      </c>
      <c r="Q1018" s="80">
        <v>0</v>
      </c>
      <c r="R1018" s="80">
        <f t="shared" si="143"/>
        <v>8</v>
      </c>
      <c r="AD1018"/>
    </row>
    <row r="1019" spans="10:30" ht="16.2" customHeight="1">
      <c r="J1019" s="80" t="s">
        <v>747</v>
      </c>
      <c r="K1019" s="80" t="s">
        <v>5440</v>
      </c>
      <c r="L1019" t="s">
        <v>228</v>
      </c>
      <c r="M1019" t="s">
        <v>162</v>
      </c>
      <c r="N1019" t="str">
        <f t="shared" si="142"/>
        <v>Double RearMotorised Acmeda 12v Remote Curtain TrackGather Hook NormalDouble Face Fix Brackets</v>
      </c>
      <c r="O1019">
        <v>43</v>
      </c>
      <c r="P1019">
        <v>51</v>
      </c>
      <c r="Q1019" s="80">
        <v>0</v>
      </c>
      <c r="R1019" s="80">
        <f t="shared" si="143"/>
        <v>8</v>
      </c>
      <c r="AD1019"/>
    </row>
    <row r="1020" spans="10:30" ht="16.2" customHeight="1">
      <c r="J1020" s="80" t="s">
        <v>725</v>
      </c>
      <c r="K1020" s="80" t="s">
        <v>5440</v>
      </c>
      <c r="L1020" t="s">
        <v>228</v>
      </c>
      <c r="M1020" t="s">
        <v>162</v>
      </c>
      <c r="N1020" t="str">
        <f t="shared" si="142"/>
        <v>SingleMotorised Acmeda 12v Remote Curtain TrackGather Hook NormalDouble Face Fix Brackets</v>
      </c>
      <c r="O1020">
        <v>43</v>
      </c>
      <c r="P1020">
        <v>51</v>
      </c>
      <c r="Q1020" s="80">
        <v>0</v>
      </c>
      <c r="R1020" s="80">
        <f t="shared" si="143"/>
        <v>8</v>
      </c>
      <c r="AD1020"/>
    </row>
    <row r="1021" spans="10:30" ht="16.2" customHeight="1">
      <c r="J1021" s="80" t="s">
        <v>746</v>
      </c>
      <c r="K1021" s="80" t="s">
        <v>5440</v>
      </c>
      <c r="L1021" t="s">
        <v>282</v>
      </c>
      <c r="M1021" t="s">
        <v>162</v>
      </c>
      <c r="N1021" t="str">
        <f t="shared" si="142"/>
        <v>Double FrontMotorised Acmeda 12v Remote Curtain TrackLevel 2072Double Face Fix Brackets</v>
      </c>
      <c r="O1021">
        <v>38</v>
      </c>
      <c r="P1021">
        <v>51</v>
      </c>
      <c r="Q1021" s="80">
        <v>0</v>
      </c>
      <c r="R1021" s="80">
        <f t="shared" si="143"/>
        <v>13</v>
      </c>
      <c r="AD1021"/>
    </row>
    <row r="1022" spans="10:30" ht="16.2" customHeight="1">
      <c r="J1022" s="80" t="s">
        <v>747</v>
      </c>
      <c r="K1022" s="80" t="s">
        <v>5440</v>
      </c>
      <c r="L1022" t="s">
        <v>282</v>
      </c>
      <c r="M1022" t="s">
        <v>162</v>
      </c>
      <c r="N1022" t="str">
        <f t="shared" si="142"/>
        <v>Double RearMotorised Acmeda 12v Remote Curtain TrackLevel 2072Double Face Fix Brackets</v>
      </c>
      <c r="O1022">
        <v>38</v>
      </c>
      <c r="P1022">
        <v>51</v>
      </c>
      <c r="Q1022" s="80">
        <v>0</v>
      </c>
      <c r="R1022" s="80">
        <f t="shared" si="143"/>
        <v>13</v>
      </c>
      <c r="AD1022"/>
    </row>
    <row r="1023" spans="10:30" ht="16.2" customHeight="1">
      <c r="J1023" s="80" t="s">
        <v>725</v>
      </c>
      <c r="K1023" s="80" t="s">
        <v>5440</v>
      </c>
      <c r="L1023" t="s">
        <v>282</v>
      </c>
      <c r="M1023" t="s">
        <v>162</v>
      </c>
      <c r="N1023" t="str">
        <f t="shared" si="142"/>
        <v>SingleMotorised Acmeda 12v Remote Curtain TrackLevel 2072Double Face Fix Brackets</v>
      </c>
      <c r="O1023">
        <v>35</v>
      </c>
      <c r="P1023">
        <v>51</v>
      </c>
      <c r="Q1023" s="80">
        <v>0</v>
      </c>
      <c r="R1023" s="80">
        <f t="shared" si="143"/>
        <v>16</v>
      </c>
      <c r="AD1023"/>
    </row>
    <row r="1024" spans="10:30" ht="16.2" customHeight="1">
      <c r="J1024" s="80" t="s">
        <v>746</v>
      </c>
      <c r="K1024" s="80" t="s">
        <v>5440</v>
      </c>
      <c r="L1024" t="s">
        <v>170</v>
      </c>
      <c r="M1024" t="s">
        <v>162</v>
      </c>
      <c r="N1024" t="str">
        <f t="shared" si="142"/>
        <v>Double FrontMotorised Acmeda 12v Remote Curtain TrackNormal 2074Double Face Fix Brackets</v>
      </c>
      <c r="O1024">
        <v>60</v>
      </c>
      <c r="P1024">
        <v>51</v>
      </c>
      <c r="Q1024" s="80">
        <v>0</v>
      </c>
      <c r="R1024" s="80">
        <f t="shared" si="143"/>
        <v>-9</v>
      </c>
      <c r="AD1024"/>
    </row>
    <row r="1025" spans="10:30" ht="16.2" customHeight="1">
      <c r="J1025" s="80" t="s">
        <v>747</v>
      </c>
      <c r="K1025" s="80" t="s">
        <v>5440</v>
      </c>
      <c r="L1025" t="s">
        <v>170</v>
      </c>
      <c r="M1025" t="s">
        <v>162</v>
      </c>
      <c r="N1025" t="str">
        <f t="shared" si="142"/>
        <v>Double RearMotorised Acmeda 12v Remote Curtain TrackNormal 2074Double Face Fix Brackets</v>
      </c>
      <c r="O1025">
        <v>60</v>
      </c>
      <c r="P1025">
        <v>51</v>
      </c>
      <c r="Q1025" s="80">
        <v>0</v>
      </c>
      <c r="R1025" s="80">
        <f t="shared" si="143"/>
        <v>-9</v>
      </c>
      <c r="AD1025"/>
    </row>
    <row r="1026" spans="10:30" ht="16.2" customHeight="1">
      <c r="J1026" s="80" t="s">
        <v>725</v>
      </c>
      <c r="K1026" s="80" t="s">
        <v>5440</v>
      </c>
      <c r="L1026" t="s">
        <v>170</v>
      </c>
      <c r="M1026" t="s">
        <v>162</v>
      </c>
      <c r="N1026" t="str">
        <f t="shared" si="144" ref="N1026:N1089">(CONCATENATE(J1026,K1026,L1026,M1026))</f>
        <v>SingleMotorised Acmeda 12v Remote Curtain TrackNormal 2074Double Face Fix Brackets</v>
      </c>
      <c r="O1026">
        <v>60</v>
      </c>
      <c r="P1026">
        <v>51</v>
      </c>
      <c r="Q1026" s="80">
        <v>0</v>
      </c>
      <c r="R1026" s="80">
        <f t="shared" si="143"/>
        <v>-9</v>
      </c>
      <c r="AD1026"/>
    </row>
    <row r="1027" spans="10:30" ht="16.2" customHeight="1">
      <c r="J1027" s="80" t="s">
        <v>746</v>
      </c>
      <c r="K1027" s="80" t="s">
        <v>5440</v>
      </c>
      <c r="L1027" t="s">
        <v>183</v>
      </c>
      <c r="M1027" t="s">
        <v>159</v>
      </c>
      <c r="N1027" t="str">
        <f t="shared" si="144"/>
        <v>Double FrontMotorised Acmeda 12v Remote Curtain TrackBelow Normal 2075Single Face Fix Brackets</v>
      </c>
      <c r="O1027">
        <v>70</v>
      </c>
      <c r="P1027">
        <v>47</v>
      </c>
      <c r="Q1027" s="80">
        <v>0</v>
      </c>
      <c r="R1027" s="80">
        <f t="shared" si="143"/>
        <v>-23</v>
      </c>
      <c r="AD1027"/>
    </row>
    <row r="1028" spans="10:30" ht="16.2" customHeight="1">
      <c r="J1028" s="80" t="s">
        <v>747</v>
      </c>
      <c r="K1028" s="80" t="s">
        <v>5440</v>
      </c>
      <c r="L1028" t="s">
        <v>183</v>
      </c>
      <c r="M1028" t="s">
        <v>159</v>
      </c>
      <c r="N1028" t="str">
        <f t="shared" si="144"/>
        <v>Double RearMotorised Acmeda 12v Remote Curtain TrackBelow Normal 2075Single Face Fix Brackets</v>
      </c>
      <c r="O1028">
        <v>70</v>
      </c>
      <c r="P1028">
        <v>47</v>
      </c>
      <c r="Q1028" s="80">
        <v>0</v>
      </c>
      <c r="R1028" s="80">
        <f t="shared" si="143"/>
        <v>-23</v>
      </c>
      <c r="AD1028"/>
    </row>
    <row r="1029" spans="10:30" ht="16.2" customHeight="1">
      <c r="J1029" s="80" t="s">
        <v>725</v>
      </c>
      <c r="K1029" s="80" t="s">
        <v>5440</v>
      </c>
      <c r="L1029" t="s">
        <v>183</v>
      </c>
      <c r="M1029" t="s">
        <v>159</v>
      </c>
      <c r="N1029" t="str">
        <f t="shared" si="144"/>
        <v>SingleMotorised Acmeda 12v Remote Curtain TrackBelow Normal 2075Single Face Fix Brackets</v>
      </c>
      <c r="O1029">
        <v>70</v>
      </c>
      <c r="P1029">
        <v>47</v>
      </c>
      <c r="Q1029" s="80">
        <v>0</v>
      </c>
      <c r="R1029" s="80">
        <f t="shared" si="143"/>
        <v>-23</v>
      </c>
      <c r="AD1029"/>
    </row>
    <row r="1030" spans="10:30" ht="16.2" customHeight="1">
      <c r="J1030" s="80" t="s">
        <v>746</v>
      </c>
      <c r="K1030" s="80" t="s">
        <v>5440</v>
      </c>
      <c r="L1030" t="s">
        <v>182</v>
      </c>
      <c r="M1030" t="s">
        <v>159</v>
      </c>
      <c r="N1030" t="str">
        <f t="shared" si="144"/>
        <v>Double FrontMotorised Acmeda 12v Remote Curtain TrackBetween Level and Normal 2073Single Face Fix Brackets</v>
      </c>
      <c r="O1030">
        <v>48</v>
      </c>
      <c r="P1030">
        <v>47</v>
      </c>
      <c r="Q1030" s="80">
        <v>0</v>
      </c>
      <c r="R1030" s="80">
        <f t="shared" si="143"/>
        <v>-1</v>
      </c>
      <c r="AD1030"/>
    </row>
    <row r="1031" spans="10:30" ht="16.2" customHeight="1">
      <c r="J1031" s="80" t="s">
        <v>747</v>
      </c>
      <c r="K1031" s="80" t="s">
        <v>5440</v>
      </c>
      <c r="L1031" t="s">
        <v>182</v>
      </c>
      <c r="M1031" t="s">
        <v>159</v>
      </c>
      <c r="N1031" t="str">
        <f t="shared" si="144"/>
        <v>Double RearMotorised Acmeda 12v Remote Curtain TrackBetween Level and Normal 2073Single Face Fix Brackets</v>
      </c>
      <c r="O1031">
        <v>48</v>
      </c>
      <c r="P1031">
        <v>47</v>
      </c>
      <c r="Q1031" s="80">
        <v>0</v>
      </c>
      <c r="R1031" s="80">
        <f t="shared" si="143"/>
        <v>-1</v>
      </c>
      <c r="AD1031"/>
    </row>
    <row r="1032" spans="10:30" ht="16.2" customHeight="1">
      <c r="J1032" s="80" t="s">
        <v>725</v>
      </c>
      <c r="K1032" s="80" t="s">
        <v>5440</v>
      </c>
      <c r="L1032" t="s">
        <v>182</v>
      </c>
      <c r="M1032" t="s">
        <v>159</v>
      </c>
      <c r="N1032" t="str">
        <f t="shared" si="144"/>
        <v>SingleMotorised Acmeda 12v Remote Curtain TrackBetween Level and Normal 2073Single Face Fix Brackets</v>
      </c>
      <c r="O1032">
        <v>47</v>
      </c>
      <c r="P1032">
        <v>47</v>
      </c>
      <c r="Q1032" s="80">
        <v>0</v>
      </c>
      <c r="R1032" s="80">
        <f t="shared" si="143"/>
        <v>0</v>
      </c>
      <c r="AD1032"/>
    </row>
    <row r="1033" spans="10:30" ht="16.2" customHeight="1">
      <c r="J1033" s="80" t="s">
        <v>746</v>
      </c>
      <c r="K1033" s="80" t="s">
        <v>5440</v>
      </c>
      <c r="L1033" t="s">
        <v>184</v>
      </c>
      <c r="M1033" t="s">
        <v>159</v>
      </c>
      <c r="N1033" t="str">
        <f t="shared" si="144"/>
        <v>Double FrontMotorised Acmeda 12v Remote Curtain TrackDecorator 2071Single Face Fix Brackets</v>
      </c>
      <c r="O1033">
        <v>20</v>
      </c>
      <c r="P1033">
        <v>47</v>
      </c>
      <c r="Q1033" s="80">
        <v>0</v>
      </c>
      <c r="R1033" s="80">
        <f t="shared" si="143"/>
        <v>27</v>
      </c>
      <c r="AD1033"/>
    </row>
    <row r="1034" spans="10:30" ht="16.2" customHeight="1">
      <c r="J1034" s="80" t="s">
        <v>747</v>
      </c>
      <c r="K1034" s="80" t="s">
        <v>5440</v>
      </c>
      <c r="L1034" t="s">
        <v>184</v>
      </c>
      <c r="M1034" t="s">
        <v>159</v>
      </c>
      <c r="N1034" t="str">
        <f t="shared" si="144"/>
        <v>Double RearMotorised Acmeda 12v Remote Curtain TrackDecorator 2071Single Face Fix Brackets</v>
      </c>
      <c r="O1034">
        <v>20</v>
      </c>
      <c r="P1034">
        <v>47</v>
      </c>
      <c r="Q1034" s="80">
        <v>0</v>
      </c>
      <c r="R1034" s="80">
        <f t="shared" si="143"/>
        <v>27</v>
      </c>
      <c r="AD1034"/>
    </row>
    <row r="1035" spans="10:30" ht="16.2" customHeight="1">
      <c r="J1035" s="80" t="s">
        <v>725</v>
      </c>
      <c r="K1035" s="80" t="s">
        <v>5440</v>
      </c>
      <c r="L1035" t="s">
        <v>184</v>
      </c>
      <c r="M1035" t="s">
        <v>159</v>
      </c>
      <c r="N1035" t="str">
        <f t="shared" si="144"/>
        <v>SingleMotorised Acmeda 12v Remote Curtain TrackDecorator 2071Single Face Fix Brackets</v>
      </c>
      <c r="O1035">
        <v>20</v>
      </c>
      <c r="P1035">
        <v>47</v>
      </c>
      <c r="Q1035" s="80">
        <v>0</v>
      </c>
      <c r="R1035" s="80">
        <f t="shared" si="143"/>
        <v>27</v>
      </c>
      <c r="AD1035"/>
    </row>
    <row r="1036" spans="10:30" ht="16.2" customHeight="1">
      <c r="J1036" s="80" t="s">
        <v>746</v>
      </c>
      <c r="K1036" s="80" t="s">
        <v>5440</v>
      </c>
      <c r="L1036" t="s">
        <v>6468</v>
      </c>
      <c r="M1036" t="s">
        <v>159</v>
      </c>
      <c r="N1036" t="str">
        <f t="shared" si="144"/>
        <v>Double FrontMotorised Acmeda 12v Remote Curtain TrackGather Hook Bottom PocketSingle Face Fix Brackets</v>
      </c>
      <c r="O1036">
        <v>60</v>
      </c>
      <c r="P1036">
        <v>47</v>
      </c>
      <c r="Q1036" s="80">
        <v>0</v>
      </c>
      <c r="R1036" s="80">
        <f t="shared" si="143"/>
        <v>-13</v>
      </c>
      <c r="AD1036"/>
    </row>
    <row r="1037" spans="10:30" ht="16.2" customHeight="1">
      <c r="J1037" s="80" t="s">
        <v>725</v>
      </c>
      <c r="K1037" s="80" t="s">
        <v>5440</v>
      </c>
      <c r="L1037" t="s">
        <v>6468</v>
      </c>
      <c r="M1037" t="s">
        <v>159</v>
      </c>
      <c r="N1037" t="str">
        <f t="shared" si="144"/>
        <v>SingleMotorised Acmeda 12v Remote Curtain TrackGather Hook Bottom PocketSingle Face Fix Brackets</v>
      </c>
      <c r="O1037">
        <v>60</v>
      </c>
      <c r="P1037">
        <v>47</v>
      </c>
      <c r="Q1037" s="80">
        <v>0</v>
      </c>
      <c r="R1037" s="80">
        <f t="shared" si="143"/>
        <v>-13</v>
      </c>
      <c r="AD1037"/>
    </row>
    <row r="1038" spans="10:30" ht="16.2" customHeight="1">
      <c r="J1038" s="80" t="s">
        <v>746</v>
      </c>
      <c r="K1038" s="80" t="s">
        <v>5440</v>
      </c>
      <c r="L1038" t="s">
        <v>229</v>
      </c>
      <c r="M1038" t="s">
        <v>159</v>
      </c>
      <c r="N1038" t="str">
        <f t="shared" si="144"/>
        <v>Double FrontMotorised Acmeda 12v Remote Curtain TrackGather Hook LevelSingle Face Fix Brackets</v>
      </c>
      <c r="O1038">
        <v>20</v>
      </c>
      <c r="P1038">
        <v>47</v>
      </c>
      <c r="Q1038" s="80">
        <v>0</v>
      </c>
      <c r="R1038" s="80">
        <f t="shared" si="143"/>
        <v>27</v>
      </c>
      <c r="AD1038"/>
    </row>
    <row r="1039" spans="10:30" ht="16.2" customHeight="1">
      <c r="J1039" s="80" t="s">
        <v>747</v>
      </c>
      <c r="K1039" s="80" t="s">
        <v>5440</v>
      </c>
      <c r="L1039" t="s">
        <v>229</v>
      </c>
      <c r="M1039" t="s">
        <v>159</v>
      </c>
      <c r="N1039" t="str">
        <f t="shared" si="144"/>
        <v>Double RearMotorised Acmeda 12v Remote Curtain TrackGather Hook LevelSingle Face Fix Brackets</v>
      </c>
      <c r="O1039">
        <v>20</v>
      </c>
      <c r="P1039">
        <v>47</v>
      </c>
      <c r="Q1039" s="80">
        <v>0</v>
      </c>
      <c r="R1039" s="80">
        <f t="shared" si="143"/>
        <v>27</v>
      </c>
      <c r="AD1039"/>
    </row>
    <row r="1040" spans="10:30" ht="16.2" customHeight="1">
      <c r="J1040" s="80" t="s">
        <v>725</v>
      </c>
      <c r="K1040" s="80" t="s">
        <v>5440</v>
      </c>
      <c r="L1040" t="s">
        <v>229</v>
      </c>
      <c r="M1040" t="s">
        <v>159</v>
      </c>
      <c r="N1040" t="str">
        <f t="shared" si="144"/>
        <v>SingleMotorised Acmeda 12v Remote Curtain TrackGather Hook LevelSingle Face Fix Brackets</v>
      </c>
      <c r="O1040">
        <v>20</v>
      </c>
      <c r="P1040">
        <v>47</v>
      </c>
      <c r="Q1040" s="80">
        <v>0</v>
      </c>
      <c r="R1040" s="80">
        <f t="shared" si="143"/>
        <v>27</v>
      </c>
      <c r="AD1040"/>
    </row>
    <row r="1041" spans="10:30" ht="16.2" customHeight="1">
      <c r="J1041" s="80" t="s">
        <v>746</v>
      </c>
      <c r="K1041" s="80" t="s">
        <v>5440</v>
      </c>
      <c r="L1041" t="s">
        <v>228</v>
      </c>
      <c r="M1041" t="s">
        <v>159</v>
      </c>
      <c r="N1041" t="str">
        <f t="shared" si="144"/>
        <v>Double FrontMotorised Acmeda 12v Remote Curtain TrackGather Hook NormalSingle Face Fix Brackets</v>
      </c>
      <c r="O1041">
        <v>43</v>
      </c>
      <c r="P1041">
        <v>47</v>
      </c>
      <c r="Q1041" s="80">
        <v>0</v>
      </c>
      <c r="R1041" s="80">
        <f t="shared" si="143"/>
        <v>4</v>
      </c>
      <c r="AD1041"/>
    </row>
    <row r="1042" spans="10:30" ht="16.2" customHeight="1">
      <c r="J1042" s="80" t="s">
        <v>747</v>
      </c>
      <c r="K1042" s="80" t="s">
        <v>5440</v>
      </c>
      <c r="L1042" t="s">
        <v>228</v>
      </c>
      <c r="M1042" t="s">
        <v>159</v>
      </c>
      <c r="N1042" t="str">
        <f t="shared" si="144"/>
        <v>Double RearMotorised Acmeda 12v Remote Curtain TrackGather Hook NormalSingle Face Fix Brackets</v>
      </c>
      <c r="O1042">
        <v>43</v>
      </c>
      <c r="P1042">
        <v>47</v>
      </c>
      <c r="Q1042" s="80">
        <v>0</v>
      </c>
      <c r="R1042" s="80">
        <f t="shared" si="143"/>
        <v>4</v>
      </c>
      <c r="AD1042"/>
    </row>
    <row r="1043" spans="10:30" ht="16.2" customHeight="1">
      <c r="J1043" s="80" t="s">
        <v>725</v>
      </c>
      <c r="K1043" s="80" t="s">
        <v>5440</v>
      </c>
      <c r="L1043" t="s">
        <v>228</v>
      </c>
      <c r="M1043" t="s">
        <v>159</v>
      </c>
      <c r="N1043" t="str">
        <f t="shared" si="144"/>
        <v>SingleMotorised Acmeda 12v Remote Curtain TrackGather Hook NormalSingle Face Fix Brackets</v>
      </c>
      <c r="O1043">
        <v>43</v>
      </c>
      <c r="P1043">
        <v>47</v>
      </c>
      <c r="Q1043" s="80">
        <v>0</v>
      </c>
      <c r="R1043" s="80">
        <f t="shared" si="143"/>
        <v>4</v>
      </c>
      <c r="AD1043"/>
    </row>
    <row r="1044" spans="10:30" ht="16.2" customHeight="1">
      <c r="J1044" s="80" t="s">
        <v>746</v>
      </c>
      <c r="K1044" s="80" t="s">
        <v>5440</v>
      </c>
      <c r="L1044" t="s">
        <v>282</v>
      </c>
      <c r="M1044" t="s">
        <v>159</v>
      </c>
      <c r="N1044" t="str">
        <f t="shared" si="144"/>
        <v>Double FrontMotorised Acmeda 12v Remote Curtain TrackLevel 2072Single Face Fix Brackets</v>
      </c>
      <c r="O1044">
        <v>38</v>
      </c>
      <c r="P1044">
        <v>47</v>
      </c>
      <c r="Q1044" s="80">
        <v>0</v>
      </c>
      <c r="R1044" s="80">
        <f t="shared" si="143"/>
        <v>9</v>
      </c>
      <c r="AD1044"/>
    </row>
    <row r="1045" spans="10:30" ht="16.2" customHeight="1">
      <c r="J1045" s="80" t="s">
        <v>747</v>
      </c>
      <c r="K1045" s="80" t="s">
        <v>5440</v>
      </c>
      <c r="L1045" t="s">
        <v>282</v>
      </c>
      <c r="M1045" t="s">
        <v>159</v>
      </c>
      <c r="N1045" t="str">
        <f t="shared" si="144"/>
        <v>Double RearMotorised Acmeda 12v Remote Curtain TrackLevel 2072Single Face Fix Brackets</v>
      </c>
      <c r="O1045">
        <v>38</v>
      </c>
      <c r="P1045">
        <v>47</v>
      </c>
      <c r="Q1045" s="80">
        <v>0</v>
      </c>
      <c r="R1045" s="80">
        <f t="shared" si="143"/>
        <v>9</v>
      </c>
      <c r="AD1045"/>
    </row>
    <row r="1046" spans="10:30" ht="16.2" customHeight="1">
      <c r="J1046" s="80" t="s">
        <v>725</v>
      </c>
      <c r="K1046" s="80" t="s">
        <v>5440</v>
      </c>
      <c r="L1046" t="s">
        <v>282</v>
      </c>
      <c r="M1046" t="s">
        <v>159</v>
      </c>
      <c r="N1046" t="str">
        <f t="shared" si="144"/>
        <v>SingleMotorised Acmeda 12v Remote Curtain TrackLevel 2072Single Face Fix Brackets</v>
      </c>
      <c r="O1046">
        <v>35</v>
      </c>
      <c r="P1046">
        <v>47</v>
      </c>
      <c r="Q1046" s="80">
        <v>0</v>
      </c>
      <c r="R1046" s="80">
        <f t="shared" si="143"/>
        <v>12</v>
      </c>
      <c r="AD1046"/>
    </row>
    <row r="1047" spans="10:30" ht="16.2" customHeight="1">
      <c r="J1047" s="80" t="s">
        <v>746</v>
      </c>
      <c r="K1047" s="80" t="s">
        <v>5440</v>
      </c>
      <c r="L1047" t="s">
        <v>170</v>
      </c>
      <c r="M1047" t="s">
        <v>159</v>
      </c>
      <c r="N1047" t="str">
        <f t="shared" si="144"/>
        <v>Double FrontMotorised Acmeda 12v Remote Curtain TrackNormal 2074Single Face Fix Brackets</v>
      </c>
      <c r="O1047">
        <v>60</v>
      </c>
      <c r="P1047">
        <v>47</v>
      </c>
      <c r="Q1047" s="80">
        <v>0</v>
      </c>
      <c r="R1047" s="80">
        <f t="shared" si="143"/>
        <v>-13</v>
      </c>
      <c r="AD1047"/>
    </row>
    <row r="1048" spans="10:30" ht="16.2" customHeight="1">
      <c r="J1048" s="80" t="s">
        <v>747</v>
      </c>
      <c r="K1048" s="80" t="s">
        <v>5440</v>
      </c>
      <c r="L1048" t="s">
        <v>170</v>
      </c>
      <c r="M1048" t="s">
        <v>159</v>
      </c>
      <c r="N1048" t="str">
        <f t="shared" si="144"/>
        <v>Double RearMotorised Acmeda 12v Remote Curtain TrackNormal 2074Single Face Fix Brackets</v>
      </c>
      <c r="O1048">
        <v>60</v>
      </c>
      <c r="P1048">
        <v>47</v>
      </c>
      <c r="Q1048" s="80">
        <v>0</v>
      </c>
      <c r="R1048" s="80">
        <f t="shared" si="143"/>
        <v>-13</v>
      </c>
      <c r="AD1048"/>
    </row>
    <row r="1049" spans="10:30" ht="16.2" customHeight="1">
      <c r="J1049" s="80" t="s">
        <v>725</v>
      </c>
      <c r="K1049" s="80" t="s">
        <v>5440</v>
      </c>
      <c r="L1049" t="s">
        <v>170</v>
      </c>
      <c r="M1049" t="s">
        <v>159</v>
      </c>
      <c r="N1049" t="str">
        <f t="shared" si="144"/>
        <v>SingleMotorised Acmeda 12v Remote Curtain TrackNormal 2074Single Face Fix Brackets</v>
      </c>
      <c r="O1049">
        <v>60</v>
      </c>
      <c r="P1049">
        <v>47</v>
      </c>
      <c r="Q1049" s="80">
        <v>0</v>
      </c>
      <c r="R1049" s="80">
        <f t="shared" si="143"/>
        <v>-13</v>
      </c>
      <c r="AD1049"/>
    </row>
    <row r="1050" spans="10:30" ht="16.2" customHeight="1">
      <c r="J1050" s="80" t="s">
        <v>746</v>
      </c>
      <c r="K1050" s="80" t="s">
        <v>5440</v>
      </c>
      <c r="L1050" t="s">
        <v>183</v>
      </c>
      <c r="M1050" t="s">
        <v>161</v>
      </c>
      <c r="N1050" t="str">
        <f t="shared" si="144"/>
        <v>Double FrontMotorised Acmeda 12v Remote Curtain TrackBelow Normal 2075Top Fix Brackets</v>
      </c>
      <c r="O1050">
        <v>70</v>
      </c>
      <c r="P1050">
        <v>42</v>
      </c>
      <c r="Q1050" s="80">
        <v>0</v>
      </c>
      <c r="R1050" s="80">
        <f t="shared" si="143"/>
        <v>-28</v>
      </c>
      <c r="AD1050"/>
    </row>
    <row r="1051" spans="10:30" ht="16.2" customHeight="1">
      <c r="J1051" s="80" t="s">
        <v>747</v>
      </c>
      <c r="K1051" s="80" t="s">
        <v>5440</v>
      </c>
      <c r="L1051" t="s">
        <v>183</v>
      </c>
      <c r="M1051" t="s">
        <v>161</v>
      </c>
      <c r="N1051" t="str">
        <f t="shared" si="144"/>
        <v>Double RearMotorised Acmeda 12v Remote Curtain TrackBelow Normal 2075Top Fix Brackets</v>
      </c>
      <c r="O1051">
        <v>70</v>
      </c>
      <c r="P1051">
        <v>42</v>
      </c>
      <c r="Q1051" s="80">
        <v>0</v>
      </c>
      <c r="R1051" s="80">
        <f t="shared" si="143"/>
        <v>-28</v>
      </c>
      <c r="AD1051"/>
    </row>
    <row r="1052" spans="10:30" ht="16.2" customHeight="1">
      <c r="J1052" s="80" t="s">
        <v>725</v>
      </c>
      <c r="K1052" s="80" t="s">
        <v>5440</v>
      </c>
      <c r="L1052" t="s">
        <v>183</v>
      </c>
      <c r="M1052" t="s">
        <v>161</v>
      </c>
      <c r="N1052" t="str">
        <f t="shared" si="144"/>
        <v>SingleMotorised Acmeda 12v Remote Curtain TrackBelow Normal 2075Top Fix Brackets</v>
      </c>
      <c r="O1052">
        <v>70</v>
      </c>
      <c r="P1052">
        <v>42</v>
      </c>
      <c r="Q1052" s="80">
        <v>0</v>
      </c>
      <c r="R1052" s="80">
        <f t="shared" si="143"/>
        <v>-28</v>
      </c>
      <c r="AD1052"/>
    </row>
    <row r="1053" spans="10:30" ht="16.2" customHeight="1">
      <c r="J1053" s="80" t="s">
        <v>746</v>
      </c>
      <c r="K1053" s="80" t="s">
        <v>5440</v>
      </c>
      <c r="L1053" t="s">
        <v>182</v>
      </c>
      <c r="M1053" t="s">
        <v>161</v>
      </c>
      <c r="N1053" t="str">
        <f t="shared" si="144"/>
        <v>Double FrontMotorised Acmeda 12v Remote Curtain TrackBetween Level and Normal 2073Top Fix Brackets</v>
      </c>
      <c r="O1053">
        <v>48</v>
      </c>
      <c r="P1053">
        <v>42</v>
      </c>
      <c r="Q1053" s="80">
        <v>0</v>
      </c>
      <c r="R1053" s="80">
        <f t="shared" si="143"/>
        <v>-6</v>
      </c>
      <c r="AD1053"/>
    </row>
    <row r="1054" spans="10:30" ht="16.2" customHeight="1">
      <c r="J1054" s="80" t="s">
        <v>747</v>
      </c>
      <c r="K1054" s="80" t="s">
        <v>5440</v>
      </c>
      <c r="L1054" t="s">
        <v>182</v>
      </c>
      <c r="M1054" t="s">
        <v>161</v>
      </c>
      <c r="N1054" t="str">
        <f t="shared" si="144"/>
        <v>Double RearMotorised Acmeda 12v Remote Curtain TrackBetween Level and Normal 2073Top Fix Brackets</v>
      </c>
      <c r="O1054">
        <v>48</v>
      </c>
      <c r="P1054">
        <v>42</v>
      </c>
      <c r="Q1054" s="80">
        <v>0</v>
      </c>
      <c r="R1054" s="80">
        <f t="shared" si="143"/>
        <v>-6</v>
      </c>
      <c r="AD1054"/>
    </row>
    <row r="1055" spans="10:30" ht="16.2" customHeight="1">
      <c r="J1055" s="80" t="s">
        <v>725</v>
      </c>
      <c r="K1055" s="80" t="s">
        <v>5440</v>
      </c>
      <c r="L1055" t="s">
        <v>182</v>
      </c>
      <c r="M1055" t="s">
        <v>161</v>
      </c>
      <c r="N1055" t="str">
        <f t="shared" si="144"/>
        <v>SingleMotorised Acmeda 12v Remote Curtain TrackBetween Level and Normal 2073Top Fix Brackets</v>
      </c>
      <c r="O1055">
        <v>47</v>
      </c>
      <c r="P1055">
        <v>42</v>
      </c>
      <c r="Q1055" s="80">
        <v>0</v>
      </c>
      <c r="R1055" s="80">
        <f t="shared" si="145" ref="R1055:R1118">SUM(P1055)-O1055</f>
        <v>-5</v>
      </c>
      <c r="AD1055"/>
    </row>
    <row r="1056" spans="10:30" ht="16.2" customHeight="1">
      <c r="J1056" s="80" t="s">
        <v>746</v>
      </c>
      <c r="K1056" s="80" t="s">
        <v>5440</v>
      </c>
      <c r="L1056" t="s">
        <v>184</v>
      </c>
      <c r="M1056" t="s">
        <v>161</v>
      </c>
      <c r="N1056" t="str">
        <f t="shared" si="144"/>
        <v>Double FrontMotorised Acmeda 12v Remote Curtain TrackDecorator 2071Top Fix Brackets</v>
      </c>
      <c r="O1056">
        <v>20</v>
      </c>
      <c r="P1056">
        <v>42</v>
      </c>
      <c r="Q1056" s="80">
        <v>0</v>
      </c>
      <c r="R1056" s="80">
        <f t="shared" si="145"/>
        <v>22</v>
      </c>
      <c r="AD1056"/>
    </row>
    <row r="1057" spans="10:30" ht="16.2" customHeight="1">
      <c r="J1057" s="80" t="s">
        <v>747</v>
      </c>
      <c r="K1057" s="80" t="s">
        <v>5440</v>
      </c>
      <c r="L1057" t="s">
        <v>184</v>
      </c>
      <c r="M1057" t="s">
        <v>161</v>
      </c>
      <c r="N1057" t="str">
        <f t="shared" si="144"/>
        <v>Double RearMotorised Acmeda 12v Remote Curtain TrackDecorator 2071Top Fix Brackets</v>
      </c>
      <c r="O1057">
        <v>20</v>
      </c>
      <c r="P1057">
        <v>42</v>
      </c>
      <c r="Q1057" s="80">
        <v>0</v>
      </c>
      <c r="R1057" s="80">
        <f t="shared" si="145"/>
        <v>22</v>
      </c>
      <c r="AD1057"/>
    </row>
    <row r="1058" spans="10:30" ht="16.2" customHeight="1">
      <c r="J1058" s="80" t="s">
        <v>725</v>
      </c>
      <c r="K1058" s="80" t="s">
        <v>5440</v>
      </c>
      <c r="L1058" t="s">
        <v>184</v>
      </c>
      <c r="M1058" t="s">
        <v>161</v>
      </c>
      <c r="N1058" t="str">
        <f t="shared" si="144"/>
        <v>SingleMotorised Acmeda 12v Remote Curtain TrackDecorator 2071Top Fix Brackets</v>
      </c>
      <c r="O1058">
        <v>20</v>
      </c>
      <c r="P1058">
        <v>42</v>
      </c>
      <c r="Q1058" s="80">
        <v>0</v>
      </c>
      <c r="R1058" s="80">
        <f t="shared" si="145"/>
        <v>22</v>
      </c>
      <c r="AD1058"/>
    </row>
    <row r="1059" spans="10:30" ht="16.2" customHeight="1">
      <c r="J1059" s="80" t="s">
        <v>746</v>
      </c>
      <c r="K1059" s="80" t="s">
        <v>5440</v>
      </c>
      <c r="L1059" t="s">
        <v>6468</v>
      </c>
      <c r="M1059" t="s">
        <v>161</v>
      </c>
      <c r="N1059" t="str">
        <f t="shared" si="144"/>
        <v>Double FrontMotorised Acmeda 12v Remote Curtain TrackGather Hook Bottom PocketTop Fix Brackets</v>
      </c>
      <c r="O1059">
        <v>60</v>
      </c>
      <c r="P1059">
        <v>42</v>
      </c>
      <c r="Q1059" s="80">
        <v>0</v>
      </c>
      <c r="R1059" s="80">
        <f t="shared" si="145"/>
        <v>-18</v>
      </c>
      <c r="AD1059"/>
    </row>
    <row r="1060" spans="10:30" ht="16.2" customHeight="1">
      <c r="J1060" s="80" t="s">
        <v>725</v>
      </c>
      <c r="K1060" s="80" t="s">
        <v>5440</v>
      </c>
      <c r="L1060" t="s">
        <v>6468</v>
      </c>
      <c r="M1060" t="s">
        <v>161</v>
      </c>
      <c r="N1060" t="str">
        <f t="shared" si="144"/>
        <v>SingleMotorised Acmeda 12v Remote Curtain TrackGather Hook Bottom PocketTop Fix Brackets</v>
      </c>
      <c r="O1060">
        <v>60</v>
      </c>
      <c r="P1060">
        <v>42</v>
      </c>
      <c r="Q1060" s="80">
        <v>0</v>
      </c>
      <c r="R1060" s="80">
        <f t="shared" si="145"/>
        <v>-18</v>
      </c>
      <c r="AD1060"/>
    </row>
    <row r="1061" spans="10:30" ht="16.2" customHeight="1">
      <c r="J1061" s="80" t="s">
        <v>746</v>
      </c>
      <c r="K1061" s="80" t="s">
        <v>5440</v>
      </c>
      <c r="L1061" t="s">
        <v>229</v>
      </c>
      <c r="M1061" t="s">
        <v>161</v>
      </c>
      <c r="N1061" t="str">
        <f t="shared" si="144"/>
        <v>Double FrontMotorised Acmeda 12v Remote Curtain TrackGather Hook LevelTop Fix Brackets</v>
      </c>
      <c r="O1061">
        <v>20</v>
      </c>
      <c r="P1061">
        <v>42</v>
      </c>
      <c r="Q1061" s="80">
        <v>0</v>
      </c>
      <c r="R1061" s="80">
        <f t="shared" si="145"/>
        <v>22</v>
      </c>
      <c r="AD1061"/>
    </row>
    <row r="1062" spans="10:30" ht="16.2" customHeight="1">
      <c r="J1062" s="80" t="s">
        <v>747</v>
      </c>
      <c r="K1062" s="80" t="s">
        <v>5440</v>
      </c>
      <c r="L1062" t="s">
        <v>229</v>
      </c>
      <c r="M1062" t="s">
        <v>161</v>
      </c>
      <c r="N1062" t="str">
        <f t="shared" si="144"/>
        <v>Double RearMotorised Acmeda 12v Remote Curtain TrackGather Hook LevelTop Fix Brackets</v>
      </c>
      <c r="O1062">
        <v>20</v>
      </c>
      <c r="P1062">
        <v>42</v>
      </c>
      <c r="Q1062" s="80">
        <v>0</v>
      </c>
      <c r="R1062" s="80">
        <f t="shared" si="145"/>
        <v>22</v>
      </c>
      <c r="AD1062"/>
    </row>
    <row r="1063" spans="10:30" ht="16.2" customHeight="1">
      <c r="J1063" s="80" t="s">
        <v>725</v>
      </c>
      <c r="K1063" s="80" t="s">
        <v>5440</v>
      </c>
      <c r="L1063" t="s">
        <v>229</v>
      </c>
      <c r="M1063" t="s">
        <v>161</v>
      </c>
      <c r="N1063" t="str">
        <f t="shared" si="144"/>
        <v>SingleMotorised Acmeda 12v Remote Curtain TrackGather Hook LevelTop Fix Brackets</v>
      </c>
      <c r="O1063">
        <v>20</v>
      </c>
      <c r="P1063">
        <v>42</v>
      </c>
      <c r="Q1063" s="80">
        <v>0</v>
      </c>
      <c r="R1063" s="80">
        <f t="shared" si="145"/>
        <v>22</v>
      </c>
      <c r="AD1063"/>
    </row>
    <row r="1064" spans="10:30" ht="16.2" customHeight="1">
      <c r="J1064" s="80" t="s">
        <v>746</v>
      </c>
      <c r="K1064" s="80" t="s">
        <v>5440</v>
      </c>
      <c r="L1064" t="s">
        <v>228</v>
      </c>
      <c r="M1064" t="s">
        <v>161</v>
      </c>
      <c r="N1064" t="str">
        <f t="shared" si="144"/>
        <v>Double FrontMotorised Acmeda 12v Remote Curtain TrackGather Hook NormalTop Fix Brackets</v>
      </c>
      <c r="O1064">
        <v>43</v>
      </c>
      <c r="P1064">
        <v>42</v>
      </c>
      <c r="Q1064" s="80">
        <v>0</v>
      </c>
      <c r="R1064" s="80">
        <f t="shared" si="145"/>
        <v>-1</v>
      </c>
      <c r="AD1064"/>
    </row>
    <row r="1065" spans="10:30" ht="16.2" customHeight="1">
      <c r="J1065" s="80" t="s">
        <v>747</v>
      </c>
      <c r="K1065" s="80" t="s">
        <v>5440</v>
      </c>
      <c r="L1065" t="s">
        <v>228</v>
      </c>
      <c r="M1065" t="s">
        <v>161</v>
      </c>
      <c r="N1065" t="str">
        <f t="shared" si="144"/>
        <v>Double RearMotorised Acmeda 12v Remote Curtain TrackGather Hook NormalTop Fix Brackets</v>
      </c>
      <c r="O1065">
        <v>43</v>
      </c>
      <c r="P1065">
        <v>42</v>
      </c>
      <c r="Q1065" s="80">
        <v>0</v>
      </c>
      <c r="R1065" s="80">
        <f t="shared" si="145"/>
        <v>-1</v>
      </c>
      <c r="AD1065"/>
    </row>
    <row r="1066" spans="10:30" ht="16.2" customHeight="1">
      <c r="J1066" s="80" t="s">
        <v>725</v>
      </c>
      <c r="K1066" s="80" t="s">
        <v>5440</v>
      </c>
      <c r="L1066" t="s">
        <v>228</v>
      </c>
      <c r="M1066" t="s">
        <v>161</v>
      </c>
      <c r="N1066" t="str">
        <f t="shared" si="144"/>
        <v>SingleMotorised Acmeda 12v Remote Curtain TrackGather Hook NormalTop Fix Brackets</v>
      </c>
      <c r="O1066">
        <v>43</v>
      </c>
      <c r="P1066">
        <v>42</v>
      </c>
      <c r="Q1066" s="80">
        <v>0</v>
      </c>
      <c r="R1066" s="80">
        <f t="shared" si="145"/>
        <v>-1</v>
      </c>
      <c r="AD1066"/>
    </row>
    <row r="1067" spans="10:30" ht="16.2" customHeight="1">
      <c r="J1067" s="80" t="s">
        <v>746</v>
      </c>
      <c r="K1067" s="80" t="s">
        <v>5440</v>
      </c>
      <c r="L1067" t="s">
        <v>282</v>
      </c>
      <c r="M1067" t="s">
        <v>161</v>
      </c>
      <c r="N1067" t="str">
        <f t="shared" si="144"/>
        <v>Double FrontMotorised Acmeda 12v Remote Curtain TrackLevel 2072Top Fix Brackets</v>
      </c>
      <c r="O1067">
        <v>38</v>
      </c>
      <c r="P1067">
        <v>42</v>
      </c>
      <c r="Q1067" s="80">
        <v>0</v>
      </c>
      <c r="R1067" s="80">
        <f t="shared" si="145"/>
        <v>4</v>
      </c>
      <c r="AD1067"/>
    </row>
    <row r="1068" spans="10:30" ht="16.2" customHeight="1">
      <c r="J1068" s="80" t="s">
        <v>747</v>
      </c>
      <c r="K1068" s="80" t="s">
        <v>5440</v>
      </c>
      <c r="L1068" t="s">
        <v>282</v>
      </c>
      <c r="M1068" t="s">
        <v>161</v>
      </c>
      <c r="N1068" t="str">
        <f t="shared" si="144"/>
        <v>Double RearMotorised Acmeda 12v Remote Curtain TrackLevel 2072Top Fix Brackets</v>
      </c>
      <c r="O1068">
        <v>38</v>
      </c>
      <c r="P1068">
        <v>42</v>
      </c>
      <c r="Q1068" s="80">
        <v>0</v>
      </c>
      <c r="R1068" s="80">
        <f t="shared" si="145"/>
        <v>4</v>
      </c>
      <c r="AD1068"/>
    </row>
    <row r="1069" spans="10:30" ht="16.2" customHeight="1">
      <c r="J1069" s="80" t="s">
        <v>725</v>
      </c>
      <c r="K1069" s="80" t="s">
        <v>5440</v>
      </c>
      <c r="L1069" t="s">
        <v>282</v>
      </c>
      <c r="M1069" t="s">
        <v>161</v>
      </c>
      <c r="N1069" t="str">
        <f t="shared" si="144"/>
        <v>SingleMotorised Acmeda 12v Remote Curtain TrackLevel 2072Top Fix Brackets</v>
      </c>
      <c r="O1069">
        <v>35</v>
      </c>
      <c r="P1069">
        <v>42</v>
      </c>
      <c r="Q1069" s="80">
        <v>0</v>
      </c>
      <c r="R1069" s="80">
        <f t="shared" si="145"/>
        <v>7</v>
      </c>
      <c r="AD1069"/>
    </row>
    <row r="1070" spans="10:30" ht="16.2" customHeight="1">
      <c r="J1070" s="80" t="s">
        <v>746</v>
      </c>
      <c r="K1070" s="80" t="s">
        <v>5440</v>
      </c>
      <c r="L1070" t="s">
        <v>170</v>
      </c>
      <c r="M1070" t="s">
        <v>161</v>
      </c>
      <c r="N1070" t="str">
        <f t="shared" si="144"/>
        <v>Double FrontMotorised Acmeda 12v Remote Curtain TrackNormal 2074Top Fix Brackets</v>
      </c>
      <c r="O1070">
        <v>60</v>
      </c>
      <c r="P1070">
        <v>42</v>
      </c>
      <c r="Q1070" s="80">
        <v>0</v>
      </c>
      <c r="R1070" s="80">
        <f t="shared" si="145"/>
        <v>-18</v>
      </c>
      <c r="AD1070"/>
    </row>
    <row r="1071" spans="10:30" ht="16.2" customHeight="1">
      <c r="J1071" s="80" t="s">
        <v>747</v>
      </c>
      <c r="K1071" s="80" t="s">
        <v>5440</v>
      </c>
      <c r="L1071" t="s">
        <v>170</v>
      </c>
      <c r="M1071" t="s">
        <v>161</v>
      </c>
      <c r="N1071" t="str">
        <f t="shared" si="144"/>
        <v>Double RearMotorised Acmeda 12v Remote Curtain TrackNormal 2074Top Fix Brackets</v>
      </c>
      <c r="O1071">
        <v>60</v>
      </c>
      <c r="P1071">
        <v>42</v>
      </c>
      <c r="Q1071" s="80">
        <v>0</v>
      </c>
      <c r="R1071" s="80">
        <f t="shared" si="145"/>
        <v>-18</v>
      </c>
      <c r="AD1071"/>
    </row>
    <row r="1072" spans="10:30" ht="16.2" customHeight="1">
      <c r="J1072" s="80" t="s">
        <v>725</v>
      </c>
      <c r="K1072" s="80" t="s">
        <v>5440</v>
      </c>
      <c r="L1072" t="s">
        <v>170</v>
      </c>
      <c r="M1072" t="s">
        <v>161</v>
      </c>
      <c r="N1072" t="str">
        <f t="shared" si="144"/>
        <v>SingleMotorised Acmeda 12v Remote Curtain TrackNormal 2074Top Fix Brackets</v>
      </c>
      <c r="O1072">
        <v>60</v>
      </c>
      <c r="P1072">
        <v>42</v>
      </c>
      <c r="Q1072" s="80">
        <v>0</v>
      </c>
      <c r="R1072" s="80">
        <f t="shared" si="145"/>
        <v>-18</v>
      </c>
      <c r="AD1072"/>
    </row>
    <row r="1073" spans="10:30" ht="16.2" customHeight="1">
      <c r="J1073" s="80" t="s">
        <v>746</v>
      </c>
      <c r="K1073" s="80" t="s">
        <v>5441</v>
      </c>
      <c r="L1073" t="s">
        <v>183</v>
      </c>
      <c r="M1073" t="s">
        <v>162</v>
      </c>
      <c r="N1073" t="str">
        <f t="shared" si="144"/>
        <v>Double FrontMotorised Acmeda 240v Remote Curtain TrackBelow Normal 2075Double Face Fix Brackets</v>
      </c>
      <c r="O1073">
        <v>70</v>
      </c>
      <c r="P1073">
        <v>51</v>
      </c>
      <c r="Q1073" s="80">
        <v>0</v>
      </c>
      <c r="R1073" s="80">
        <f t="shared" si="145"/>
        <v>-19</v>
      </c>
      <c r="AD1073"/>
    </row>
    <row r="1074" spans="10:30" ht="16.2" customHeight="1">
      <c r="J1074" s="80" t="s">
        <v>747</v>
      </c>
      <c r="K1074" s="80" t="s">
        <v>5441</v>
      </c>
      <c r="L1074" t="s">
        <v>183</v>
      </c>
      <c r="M1074" t="s">
        <v>162</v>
      </c>
      <c r="N1074" t="str">
        <f t="shared" si="144"/>
        <v>Double RearMotorised Acmeda 240v Remote Curtain TrackBelow Normal 2075Double Face Fix Brackets</v>
      </c>
      <c r="O1074">
        <v>70</v>
      </c>
      <c r="P1074">
        <v>51</v>
      </c>
      <c r="Q1074" s="80">
        <v>0</v>
      </c>
      <c r="R1074" s="80">
        <f t="shared" si="145"/>
        <v>-19</v>
      </c>
      <c r="AD1074"/>
    </row>
    <row r="1075" spans="10:30" ht="16.2" customHeight="1">
      <c r="J1075" s="80" t="s">
        <v>725</v>
      </c>
      <c r="K1075" s="80" t="s">
        <v>5441</v>
      </c>
      <c r="L1075" t="s">
        <v>183</v>
      </c>
      <c r="M1075" t="s">
        <v>162</v>
      </c>
      <c r="N1075" t="str">
        <f t="shared" si="144"/>
        <v>SingleMotorised Acmeda 240v Remote Curtain TrackBelow Normal 2075Double Face Fix Brackets</v>
      </c>
      <c r="O1075">
        <v>70</v>
      </c>
      <c r="P1075">
        <v>51</v>
      </c>
      <c r="Q1075" s="80">
        <v>0</v>
      </c>
      <c r="R1075" s="80">
        <f t="shared" si="145"/>
        <v>-19</v>
      </c>
      <c r="AD1075"/>
    </row>
    <row r="1076" spans="10:30" ht="16.2" customHeight="1">
      <c r="J1076" s="80" t="s">
        <v>746</v>
      </c>
      <c r="K1076" s="80" t="s">
        <v>5441</v>
      </c>
      <c r="L1076" t="s">
        <v>182</v>
      </c>
      <c r="M1076" t="s">
        <v>162</v>
      </c>
      <c r="N1076" t="str">
        <f t="shared" si="144"/>
        <v>Double FrontMotorised Acmeda 240v Remote Curtain TrackBetween Level and Normal 2073Double Face Fix Brackets</v>
      </c>
      <c r="O1076">
        <v>48</v>
      </c>
      <c r="P1076">
        <v>51</v>
      </c>
      <c r="Q1076" s="80">
        <v>0</v>
      </c>
      <c r="R1076" s="80">
        <f t="shared" si="145"/>
        <v>3</v>
      </c>
      <c r="AD1076"/>
    </row>
    <row r="1077" spans="10:30" ht="16.2" customHeight="1">
      <c r="J1077" s="80" t="s">
        <v>747</v>
      </c>
      <c r="K1077" s="80" t="s">
        <v>5441</v>
      </c>
      <c r="L1077" t="s">
        <v>182</v>
      </c>
      <c r="M1077" t="s">
        <v>162</v>
      </c>
      <c r="N1077" t="str">
        <f t="shared" si="144"/>
        <v>Double RearMotorised Acmeda 240v Remote Curtain TrackBetween Level and Normal 2073Double Face Fix Brackets</v>
      </c>
      <c r="O1077">
        <v>48</v>
      </c>
      <c r="P1077">
        <v>51</v>
      </c>
      <c r="Q1077" s="80">
        <v>0</v>
      </c>
      <c r="R1077" s="80">
        <f t="shared" si="145"/>
        <v>3</v>
      </c>
      <c r="AD1077"/>
    </row>
    <row r="1078" spans="10:30" ht="16.2" customHeight="1">
      <c r="J1078" s="80" t="s">
        <v>725</v>
      </c>
      <c r="K1078" s="80" t="s">
        <v>5441</v>
      </c>
      <c r="L1078" t="s">
        <v>182</v>
      </c>
      <c r="M1078" t="s">
        <v>162</v>
      </c>
      <c r="N1078" t="str">
        <f t="shared" si="144"/>
        <v>SingleMotorised Acmeda 240v Remote Curtain TrackBetween Level and Normal 2073Double Face Fix Brackets</v>
      </c>
      <c r="O1078">
        <v>47</v>
      </c>
      <c r="P1078">
        <v>51</v>
      </c>
      <c r="Q1078" s="80">
        <v>0</v>
      </c>
      <c r="R1078" s="80">
        <f t="shared" si="145"/>
        <v>4</v>
      </c>
      <c r="AD1078"/>
    </row>
    <row r="1079" spans="10:30" ht="16.2" customHeight="1">
      <c r="J1079" s="80" t="s">
        <v>746</v>
      </c>
      <c r="K1079" s="80" t="s">
        <v>5441</v>
      </c>
      <c r="L1079" t="s">
        <v>184</v>
      </c>
      <c r="M1079" t="s">
        <v>162</v>
      </c>
      <c r="N1079" t="str">
        <f t="shared" si="144"/>
        <v>Double FrontMotorised Acmeda 240v Remote Curtain TrackDecorator 2071Double Face Fix Brackets</v>
      </c>
      <c r="O1079">
        <v>20</v>
      </c>
      <c r="P1079">
        <v>51</v>
      </c>
      <c r="Q1079" s="80">
        <v>0</v>
      </c>
      <c r="R1079" s="80">
        <f t="shared" si="145"/>
        <v>31</v>
      </c>
      <c r="AD1079"/>
    </row>
    <row r="1080" spans="10:30" ht="16.2" customHeight="1">
      <c r="J1080" s="80" t="s">
        <v>747</v>
      </c>
      <c r="K1080" s="80" t="s">
        <v>5441</v>
      </c>
      <c r="L1080" t="s">
        <v>184</v>
      </c>
      <c r="M1080" t="s">
        <v>162</v>
      </c>
      <c r="N1080" t="str">
        <f t="shared" si="144"/>
        <v>Double RearMotorised Acmeda 240v Remote Curtain TrackDecorator 2071Double Face Fix Brackets</v>
      </c>
      <c r="O1080">
        <v>20</v>
      </c>
      <c r="P1080">
        <v>51</v>
      </c>
      <c r="Q1080" s="80">
        <v>0</v>
      </c>
      <c r="R1080" s="80">
        <f t="shared" si="145"/>
        <v>31</v>
      </c>
      <c r="AD1080"/>
    </row>
    <row r="1081" spans="10:30" ht="16.2" customHeight="1">
      <c r="J1081" s="80" t="s">
        <v>725</v>
      </c>
      <c r="K1081" s="80" t="s">
        <v>5441</v>
      </c>
      <c r="L1081" t="s">
        <v>184</v>
      </c>
      <c r="M1081" t="s">
        <v>162</v>
      </c>
      <c r="N1081" t="str">
        <f t="shared" si="144"/>
        <v>SingleMotorised Acmeda 240v Remote Curtain TrackDecorator 2071Double Face Fix Brackets</v>
      </c>
      <c r="O1081">
        <v>20</v>
      </c>
      <c r="P1081">
        <v>51</v>
      </c>
      <c r="Q1081" s="80">
        <v>0</v>
      </c>
      <c r="R1081" s="80">
        <f t="shared" si="145"/>
        <v>31</v>
      </c>
      <c r="AD1081"/>
    </row>
    <row r="1082" spans="10:30" ht="16.2" customHeight="1">
      <c r="J1082" s="80" t="s">
        <v>746</v>
      </c>
      <c r="K1082" s="80" t="s">
        <v>5441</v>
      </c>
      <c r="L1082" t="s">
        <v>6468</v>
      </c>
      <c r="M1082" t="s">
        <v>162</v>
      </c>
      <c r="N1082" t="str">
        <f t="shared" si="144"/>
        <v>Double FrontMotorised Acmeda 240v Remote Curtain TrackGather Hook Bottom PocketDouble Face Fix Brackets</v>
      </c>
      <c r="O1082">
        <v>60</v>
      </c>
      <c r="P1082">
        <v>51</v>
      </c>
      <c r="Q1082" s="80">
        <v>0</v>
      </c>
      <c r="R1082" s="80">
        <f t="shared" si="145"/>
        <v>-9</v>
      </c>
      <c r="AD1082"/>
    </row>
    <row r="1083" spans="10:30" ht="16.2" customHeight="1">
      <c r="J1083" s="80" t="s">
        <v>725</v>
      </c>
      <c r="K1083" s="80" t="s">
        <v>5441</v>
      </c>
      <c r="L1083" t="s">
        <v>6468</v>
      </c>
      <c r="M1083" t="s">
        <v>162</v>
      </c>
      <c r="N1083" t="str">
        <f t="shared" si="144"/>
        <v>SingleMotorised Acmeda 240v Remote Curtain TrackGather Hook Bottom PocketDouble Face Fix Brackets</v>
      </c>
      <c r="O1083">
        <v>60</v>
      </c>
      <c r="P1083">
        <v>51</v>
      </c>
      <c r="Q1083" s="80">
        <v>0</v>
      </c>
      <c r="R1083" s="80">
        <f t="shared" si="145"/>
        <v>-9</v>
      </c>
      <c r="AD1083"/>
    </row>
    <row r="1084" spans="10:30" ht="16.2" customHeight="1">
      <c r="J1084" s="80" t="s">
        <v>746</v>
      </c>
      <c r="K1084" s="80" t="s">
        <v>5441</v>
      </c>
      <c r="L1084" t="s">
        <v>229</v>
      </c>
      <c r="M1084" t="s">
        <v>162</v>
      </c>
      <c r="N1084" t="str">
        <f t="shared" si="144"/>
        <v>Double FrontMotorised Acmeda 240v Remote Curtain TrackGather Hook LevelDouble Face Fix Brackets</v>
      </c>
      <c r="O1084">
        <v>20</v>
      </c>
      <c r="P1084">
        <v>51</v>
      </c>
      <c r="Q1084" s="80">
        <v>0</v>
      </c>
      <c r="R1084" s="80">
        <f t="shared" si="145"/>
        <v>31</v>
      </c>
      <c r="AD1084"/>
    </row>
    <row r="1085" spans="10:30" ht="16.2" customHeight="1">
      <c r="J1085" s="80" t="s">
        <v>747</v>
      </c>
      <c r="K1085" s="80" t="s">
        <v>5441</v>
      </c>
      <c r="L1085" t="s">
        <v>229</v>
      </c>
      <c r="M1085" t="s">
        <v>162</v>
      </c>
      <c r="N1085" t="str">
        <f t="shared" si="144"/>
        <v>Double RearMotorised Acmeda 240v Remote Curtain TrackGather Hook LevelDouble Face Fix Brackets</v>
      </c>
      <c r="O1085">
        <v>20</v>
      </c>
      <c r="P1085">
        <v>51</v>
      </c>
      <c r="Q1085" s="80">
        <v>0</v>
      </c>
      <c r="R1085" s="80">
        <f t="shared" si="145"/>
        <v>31</v>
      </c>
      <c r="AD1085"/>
    </row>
    <row r="1086" spans="10:30" ht="16.2" customHeight="1">
      <c r="J1086" s="80" t="s">
        <v>725</v>
      </c>
      <c r="K1086" s="80" t="s">
        <v>5441</v>
      </c>
      <c r="L1086" t="s">
        <v>229</v>
      </c>
      <c r="M1086" t="s">
        <v>162</v>
      </c>
      <c r="N1086" t="str">
        <f t="shared" si="144"/>
        <v>SingleMotorised Acmeda 240v Remote Curtain TrackGather Hook LevelDouble Face Fix Brackets</v>
      </c>
      <c r="O1086">
        <v>20</v>
      </c>
      <c r="P1086">
        <v>51</v>
      </c>
      <c r="Q1086" s="80">
        <v>0</v>
      </c>
      <c r="R1086" s="80">
        <f t="shared" si="145"/>
        <v>31</v>
      </c>
      <c r="AD1086"/>
    </row>
    <row r="1087" spans="10:30" ht="16.2" customHeight="1">
      <c r="J1087" s="80" t="s">
        <v>746</v>
      </c>
      <c r="K1087" s="80" t="s">
        <v>5441</v>
      </c>
      <c r="L1087" t="s">
        <v>228</v>
      </c>
      <c r="M1087" t="s">
        <v>162</v>
      </c>
      <c r="N1087" t="str">
        <f t="shared" si="144"/>
        <v>Double FrontMotorised Acmeda 240v Remote Curtain TrackGather Hook NormalDouble Face Fix Brackets</v>
      </c>
      <c r="O1087">
        <v>43</v>
      </c>
      <c r="P1087">
        <v>51</v>
      </c>
      <c r="Q1087" s="80">
        <v>0</v>
      </c>
      <c r="R1087" s="80">
        <f t="shared" si="145"/>
        <v>8</v>
      </c>
      <c r="AD1087"/>
    </row>
    <row r="1088" spans="10:30" ht="16.2" customHeight="1">
      <c r="J1088" s="80" t="s">
        <v>747</v>
      </c>
      <c r="K1088" s="80" t="s">
        <v>5441</v>
      </c>
      <c r="L1088" t="s">
        <v>228</v>
      </c>
      <c r="M1088" t="s">
        <v>162</v>
      </c>
      <c r="N1088" t="str">
        <f t="shared" si="144"/>
        <v>Double RearMotorised Acmeda 240v Remote Curtain TrackGather Hook NormalDouble Face Fix Brackets</v>
      </c>
      <c r="O1088">
        <v>43</v>
      </c>
      <c r="P1088">
        <v>51</v>
      </c>
      <c r="Q1088" s="80">
        <v>0</v>
      </c>
      <c r="R1088" s="80">
        <f t="shared" si="145"/>
        <v>8</v>
      </c>
      <c r="AD1088"/>
    </row>
    <row r="1089" spans="10:30" ht="16.2" customHeight="1">
      <c r="J1089" s="80" t="s">
        <v>725</v>
      </c>
      <c r="K1089" s="80" t="s">
        <v>5441</v>
      </c>
      <c r="L1089" t="s">
        <v>228</v>
      </c>
      <c r="M1089" t="s">
        <v>162</v>
      </c>
      <c r="N1089" t="str">
        <f t="shared" si="144"/>
        <v>SingleMotorised Acmeda 240v Remote Curtain TrackGather Hook NormalDouble Face Fix Brackets</v>
      </c>
      <c r="O1089">
        <v>43</v>
      </c>
      <c r="P1089">
        <v>51</v>
      </c>
      <c r="Q1089" s="80">
        <v>0</v>
      </c>
      <c r="R1089" s="80">
        <f t="shared" si="145"/>
        <v>8</v>
      </c>
      <c r="AD1089"/>
    </row>
    <row r="1090" spans="10:30" ht="16.2" customHeight="1">
      <c r="J1090" s="80" t="s">
        <v>746</v>
      </c>
      <c r="K1090" s="80" t="s">
        <v>5441</v>
      </c>
      <c r="L1090" t="s">
        <v>282</v>
      </c>
      <c r="M1090" t="s">
        <v>162</v>
      </c>
      <c r="N1090" t="str">
        <f t="shared" si="146" ref="N1090:N1153">(CONCATENATE(J1090,K1090,L1090,M1090))</f>
        <v>Double FrontMotorised Acmeda 240v Remote Curtain TrackLevel 2072Double Face Fix Brackets</v>
      </c>
      <c r="O1090">
        <v>38</v>
      </c>
      <c r="P1090">
        <v>51</v>
      </c>
      <c r="Q1090" s="80">
        <v>0</v>
      </c>
      <c r="R1090" s="80">
        <f t="shared" si="145"/>
        <v>13</v>
      </c>
      <c r="AD1090"/>
    </row>
    <row r="1091" spans="10:30" ht="16.2" customHeight="1">
      <c r="J1091" s="80" t="s">
        <v>747</v>
      </c>
      <c r="K1091" s="80" t="s">
        <v>5441</v>
      </c>
      <c r="L1091" t="s">
        <v>282</v>
      </c>
      <c r="M1091" t="s">
        <v>162</v>
      </c>
      <c r="N1091" t="str">
        <f t="shared" si="146"/>
        <v>Double RearMotorised Acmeda 240v Remote Curtain TrackLevel 2072Double Face Fix Brackets</v>
      </c>
      <c r="O1091">
        <v>38</v>
      </c>
      <c r="P1091">
        <v>51</v>
      </c>
      <c r="Q1091" s="80">
        <v>0</v>
      </c>
      <c r="R1091" s="80">
        <f t="shared" si="145"/>
        <v>13</v>
      </c>
      <c r="AD1091"/>
    </row>
    <row r="1092" spans="10:30" ht="16.2" customHeight="1">
      <c r="J1092" s="80" t="s">
        <v>725</v>
      </c>
      <c r="K1092" s="80" t="s">
        <v>5441</v>
      </c>
      <c r="L1092" t="s">
        <v>282</v>
      </c>
      <c r="M1092" t="s">
        <v>162</v>
      </c>
      <c r="N1092" t="str">
        <f t="shared" si="146"/>
        <v>SingleMotorised Acmeda 240v Remote Curtain TrackLevel 2072Double Face Fix Brackets</v>
      </c>
      <c r="O1092">
        <v>35</v>
      </c>
      <c r="P1092">
        <v>51</v>
      </c>
      <c r="Q1092" s="80">
        <v>0</v>
      </c>
      <c r="R1092" s="80">
        <f t="shared" si="145"/>
        <v>16</v>
      </c>
      <c r="AD1092"/>
    </row>
    <row r="1093" spans="10:30" ht="16.2" customHeight="1">
      <c r="J1093" s="80" t="s">
        <v>746</v>
      </c>
      <c r="K1093" s="80" t="s">
        <v>5441</v>
      </c>
      <c r="L1093" t="s">
        <v>170</v>
      </c>
      <c r="M1093" t="s">
        <v>162</v>
      </c>
      <c r="N1093" t="str">
        <f t="shared" si="146"/>
        <v>Double FrontMotorised Acmeda 240v Remote Curtain TrackNormal 2074Double Face Fix Brackets</v>
      </c>
      <c r="O1093">
        <v>60</v>
      </c>
      <c r="P1093">
        <v>51</v>
      </c>
      <c r="Q1093" s="80">
        <v>0</v>
      </c>
      <c r="R1093" s="80">
        <f t="shared" si="145"/>
        <v>-9</v>
      </c>
      <c r="AD1093"/>
    </row>
    <row r="1094" spans="10:30" ht="16.2" customHeight="1">
      <c r="J1094" s="80" t="s">
        <v>747</v>
      </c>
      <c r="K1094" s="80" t="s">
        <v>5441</v>
      </c>
      <c r="L1094" t="s">
        <v>170</v>
      </c>
      <c r="M1094" t="s">
        <v>162</v>
      </c>
      <c r="N1094" t="str">
        <f t="shared" si="146"/>
        <v>Double RearMotorised Acmeda 240v Remote Curtain TrackNormal 2074Double Face Fix Brackets</v>
      </c>
      <c r="O1094">
        <v>60</v>
      </c>
      <c r="P1094">
        <v>51</v>
      </c>
      <c r="Q1094" s="80">
        <v>0</v>
      </c>
      <c r="R1094" s="80">
        <f t="shared" si="145"/>
        <v>-9</v>
      </c>
      <c r="AD1094"/>
    </row>
    <row r="1095" spans="10:30" ht="16.2" customHeight="1">
      <c r="J1095" s="80" t="s">
        <v>725</v>
      </c>
      <c r="K1095" s="80" t="s">
        <v>5441</v>
      </c>
      <c r="L1095" t="s">
        <v>170</v>
      </c>
      <c r="M1095" t="s">
        <v>162</v>
      </c>
      <c r="N1095" t="str">
        <f t="shared" si="146"/>
        <v>SingleMotorised Acmeda 240v Remote Curtain TrackNormal 2074Double Face Fix Brackets</v>
      </c>
      <c r="O1095">
        <v>60</v>
      </c>
      <c r="P1095">
        <v>51</v>
      </c>
      <c r="Q1095" s="80">
        <v>0</v>
      </c>
      <c r="R1095" s="80">
        <f t="shared" si="145"/>
        <v>-9</v>
      </c>
      <c r="AD1095"/>
    </row>
    <row r="1096" spans="10:30" ht="16.2" customHeight="1">
      <c r="J1096" s="80" t="s">
        <v>746</v>
      </c>
      <c r="K1096" s="80" t="s">
        <v>5441</v>
      </c>
      <c r="L1096" t="s">
        <v>183</v>
      </c>
      <c r="M1096" t="s">
        <v>159</v>
      </c>
      <c r="N1096" t="str">
        <f t="shared" si="146"/>
        <v>Double FrontMotorised Acmeda 240v Remote Curtain TrackBelow Normal 2075Single Face Fix Brackets</v>
      </c>
      <c r="O1096">
        <v>70</v>
      </c>
      <c r="P1096">
        <v>47</v>
      </c>
      <c r="Q1096" s="80">
        <v>0</v>
      </c>
      <c r="R1096" s="80">
        <f t="shared" si="145"/>
        <v>-23</v>
      </c>
      <c r="AD1096"/>
    </row>
    <row r="1097" spans="10:30" ht="16.2" customHeight="1">
      <c r="J1097" s="80" t="s">
        <v>747</v>
      </c>
      <c r="K1097" s="80" t="s">
        <v>5441</v>
      </c>
      <c r="L1097" t="s">
        <v>183</v>
      </c>
      <c r="M1097" t="s">
        <v>159</v>
      </c>
      <c r="N1097" t="str">
        <f t="shared" si="146"/>
        <v>Double RearMotorised Acmeda 240v Remote Curtain TrackBelow Normal 2075Single Face Fix Brackets</v>
      </c>
      <c r="O1097">
        <v>70</v>
      </c>
      <c r="P1097">
        <v>47</v>
      </c>
      <c r="Q1097" s="80">
        <v>0</v>
      </c>
      <c r="R1097" s="80">
        <f t="shared" si="145"/>
        <v>-23</v>
      </c>
      <c r="AD1097"/>
    </row>
    <row r="1098" spans="10:30" ht="16.2" customHeight="1">
      <c r="J1098" s="80" t="s">
        <v>725</v>
      </c>
      <c r="K1098" s="80" t="s">
        <v>5441</v>
      </c>
      <c r="L1098" t="s">
        <v>183</v>
      </c>
      <c r="M1098" t="s">
        <v>159</v>
      </c>
      <c r="N1098" t="str">
        <f t="shared" si="146"/>
        <v>SingleMotorised Acmeda 240v Remote Curtain TrackBelow Normal 2075Single Face Fix Brackets</v>
      </c>
      <c r="O1098">
        <v>70</v>
      </c>
      <c r="P1098">
        <v>47</v>
      </c>
      <c r="Q1098" s="80">
        <v>0</v>
      </c>
      <c r="R1098" s="80">
        <f t="shared" si="145"/>
        <v>-23</v>
      </c>
      <c r="AD1098"/>
    </row>
    <row r="1099" spans="10:30" ht="16.2" customHeight="1">
      <c r="J1099" s="80" t="s">
        <v>746</v>
      </c>
      <c r="K1099" s="80" t="s">
        <v>5441</v>
      </c>
      <c r="L1099" t="s">
        <v>182</v>
      </c>
      <c r="M1099" t="s">
        <v>159</v>
      </c>
      <c r="N1099" t="str">
        <f t="shared" si="146"/>
        <v>Double FrontMotorised Acmeda 240v Remote Curtain TrackBetween Level and Normal 2073Single Face Fix Brackets</v>
      </c>
      <c r="O1099">
        <v>48</v>
      </c>
      <c r="P1099">
        <v>47</v>
      </c>
      <c r="Q1099" s="80">
        <v>0</v>
      </c>
      <c r="R1099" s="80">
        <f t="shared" si="145"/>
        <v>-1</v>
      </c>
      <c r="AD1099"/>
    </row>
    <row r="1100" spans="10:30" ht="16.2" customHeight="1">
      <c r="J1100" s="80" t="s">
        <v>747</v>
      </c>
      <c r="K1100" s="80" t="s">
        <v>5441</v>
      </c>
      <c r="L1100" t="s">
        <v>182</v>
      </c>
      <c r="M1100" t="s">
        <v>159</v>
      </c>
      <c r="N1100" t="str">
        <f t="shared" si="146"/>
        <v>Double RearMotorised Acmeda 240v Remote Curtain TrackBetween Level and Normal 2073Single Face Fix Brackets</v>
      </c>
      <c r="O1100">
        <v>48</v>
      </c>
      <c r="P1100">
        <v>47</v>
      </c>
      <c r="Q1100" s="80">
        <v>0</v>
      </c>
      <c r="R1100" s="80">
        <f t="shared" si="145"/>
        <v>-1</v>
      </c>
      <c r="AD1100"/>
    </row>
    <row r="1101" spans="10:30" ht="16.2" customHeight="1">
      <c r="J1101" s="80" t="s">
        <v>725</v>
      </c>
      <c r="K1101" s="80" t="s">
        <v>5441</v>
      </c>
      <c r="L1101" t="s">
        <v>182</v>
      </c>
      <c r="M1101" t="s">
        <v>159</v>
      </c>
      <c r="N1101" t="str">
        <f t="shared" si="146"/>
        <v>SingleMotorised Acmeda 240v Remote Curtain TrackBetween Level and Normal 2073Single Face Fix Brackets</v>
      </c>
      <c r="O1101">
        <v>47</v>
      </c>
      <c r="P1101">
        <v>47</v>
      </c>
      <c r="Q1101" s="80">
        <v>0</v>
      </c>
      <c r="R1101" s="80">
        <f t="shared" si="145"/>
        <v>0</v>
      </c>
      <c r="AD1101"/>
    </row>
    <row r="1102" spans="10:30" ht="16.2" customHeight="1">
      <c r="J1102" s="80" t="s">
        <v>746</v>
      </c>
      <c r="K1102" s="80" t="s">
        <v>5441</v>
      </c>
      <c r="L1102" t="s">
        <v>184</v>
      </c>
      <c r="M1102" t="s">
        <v>159</v>
      </c>
      <c r="N1102" t="str">
        <f t="shared" si="146"/>
        <v>Double FrontMotorised Acmeda 240v Remote Curtain TrackDecorator 2071Single Face Fix Brackets</v>
      </c>
      <c r="O1102">
        <v>20</v>
      </c>
      <c r="P1102">
        <v>47</v>
      </c>
      <c r="Q1102" s="80">
        <v>0</v>
      </c>
      <c r="R1102" s="80">
        <f t="shared" si="145"/>
        <v>27</v>
      </c>
      <c r="AD1102"/>
    </row>
    <row r="1103" spans="10:30" ht="16.2" customHeight="1">
      <c r="J1103" s="80" t="s">
        <v>747</v>
      </c>
      <c r="K1103" s="80" t="s">
        <v>5441</v>
      </c>
      <c r="L1103" t="s">
        <v>184</v>
      </c>
      <c r="M1103" t="s">
        <v>159</v>
      </c>
      <c r="N1103" t="str">
        <f t="shared" si="146"/>
        <v>Double RearMotorised Acmeda 240v Remote Curtain TrackDecorator 2071Single Face Fix Brackets</v>
      </c>
      <c r="O1103">
        <v>20</v>
      </c>
      <c r="P1103">
        <v>47</v>
      </c>
      <c r="Q1103" s="80">
        <v>0</v>
      </c>
      <c r="R1103" s="80">
        <f t="shared" si="145"/>
        <v>27</v>
      </c>
      <c r="AD1103"/>
    </row>
    <row r="1104" spans="10:30" ht="16.2" customHeight="1">
      <c r="J1104" s="80" t="s">
        <v>725</v>
      </c>
      <c r="K1104" s="80" t="s">
        <v>5441</v>
      </c>
      <c r="L1104" t="s">
        <v>184</v>
      </c>
      <c r="M1104" t="s">
        <v>159</v>
      </c>
      <c r="N1104" t="str">
        <f t="shared" si="146"/>
        <v>SingleMotorised Acmeda 240v Remote Curtain TrackDecorator 2071Single Face Fix Brackets</v>
      </c>
      <c r="O1104">
        <v>20</v>
      </c>
      <c r="P1104">
        <v>47</v>
      </c>
      <c r="Q1104" s="80">
        <v>0</v>
      </c>
      <c r="R1104" s="80">
        <f t="shared" si="145"/>
        <v>27</v>
      </c>
      <c r="AD1104"/>
    </row>
    <row r="1105" spans="10:30" ht="16.2" customHeight="1">
      <c r="J1105" s="80" t="s">
        <v>746</v>
      </c>
      <c r="K1105" s="80" t="s">
        <v>5441</v>
      </c>
      <c r="L1105" t="s">
        <v>6468</v>
      </c>
      <c r="M1105" t="s">
        <v>159</v>
      </c>
      <c r="N1105" t="str">
        <f t="shared" si="146"/>
        <v>Double FrontMotorised Acmeda 240v Remote Curtain TrackGather Hook Bottom PocketSingle Face Fix Brackets</v>
      </c>
      <c r="O1105">
        <v>60</v>
      </c>
      <c r="P1105">
        <v>47</v>
      </c>
      <c r="Q1105" s="80">
        <v>0</v>
      </c>
      <c r="R1105" s="80">
        <f t="shared" si="145"/>
        <v>-13</v>
      </c>
      <c r="AD1105"/>
    </row>
    <row r="1106" spans="10:30" ht="16.2" customHeight="1">
      <c r="J1106" s="80" t="s">
        <v>725</v>
      </c>
      <c r="K1106" s="80" t="s">
        <v>5441</v>
      </c>
      <c r="L1106" t="s">
        <v>6468</v>
      </c>
      <c r="M1106" t="s">
        <v>159</v>
      </c>
      <c r="N1106" t="str">
        <f t="shared" si="146"/>
        <v>SingleMotorised Acmeda 240v Remote Curtain TrackGather Hook Bottom PocketSingle Face Fix Brackets</v>
      </c>
      <c r="O1106">
        <v>60</v>
      </c>
      <c r="P1106">
        <v>47</v>
      </c>
      <c r="Q1106" s="80">
        <v>0</v>
      </c>
      <c r="R1106" s="80">
        <f t="shared" si="145"/>
        <v>-13</v>
      </c>
      <c r="AD1106"/>
    </row>
    <row r="1107" spans="10:30" ht="16.2" customHeight="1">
      <c r="J1107" s="80" t="s">
        <v>746</v>
      </c>
      <c r="K1107" s="80" t="s">
        <v>5441</v>
      </c>
      <c r="L1107" t="s">
        <v>229</v>
      </c>
      <c r="M1107" t="s">
        <v>159</v>
      </c>
      <c r="N1107" t="str">
        <f t="shared" si="146"/>
        <v>Double FrontMotorised Acmeda 240v Remote Curtain TrackGather Hook LevelSingle Face Fix Brackets</v>
      </c>
      <c r="O1107">
        <v>20</v>
      </c>
      <c r="P1107">
        <v>47</v>
      </c>
      <c r="Q1107" s="80">
        <v>0</v>
      </c>
      <c r="R1107" s="80">
        <f t="shared" si="145"/>
        <v>27</v>
      </c>
      <c r="AD1107"/>
    </row>
    <row r="1108" spans="10:30" ht="16.2" customHeight="1">
      <c r="J1108" s="80" t="s">
        <v>747</v>
      </c>
      <c r="K1108" s="80" t="s">
        <v>5441</v>
      </c>
      <c r="L1108" t="s">
        <v>229</v>
      </c>
      <c r="M1108" t="s">
        <v>159</v>
      </c>
      <c r="N1108" t="str">
        <f t="shared" si="146"/>
        <v>Double RearMotorised Acmeda 240v Remote Curtain TrackGather Hook LevelSingle Face Fix Brackets</v>
      </c>
      <c r="O1108">
        <v>20</v>
      </c>
      <c r="P1108">
        <v>47</v>
      </c>
      <c r="Q1108" s="80">
        <v>0</v>
      </c>
      <c r="R1108" s="80">
        <f t="shared" si="145"/>
        <v>27</v>
      </c>
      <c r="AD1108"/>
    </row>
    <row r="1109" spans="10:30" ht="16.2" customHeight="1">
      <c r="J1109" s="80" t="s">
        <v>725</v>
      </c>
      <c r="K1109" s="80" t="s">
        <v>5441</v>
      </c>
      <c r="L1109" t="s">
        <v>229</v>
      </c>
      <c r="M1109" t="s">
        <v>159</v>
      </c>
      <c r="N1109" t="str">
        <f t="shared" si="146"/>
        <v>SingleMotorised Acmeda 240v Remote Curtain TrackGather Hook LevelSingle Face Fix Brackets</v>
      </c>
      <c r="O1109">
        <v>20</v>
      </c>
      <c r="P1109">
        <v>47</v>
      </c>
      <c r="Q1109" s="80">
        <v>0</v>
      </c>
      <c r="R1109" s="80">
        <f t="shared" si="145"/>
        <v>27</v>
      </c>
      <c r="AD1109"/>
    </row>
    <row r="1110" spans="10:30" ht="16.2" customHeight="1">
      <c r="J1110" s="80" t="s">
        <v>746</v>
      </c>
      <c r="K1110" s="80" t="s">
        <v>5441</v>
      </c>
      <c r="L1110" t="s">
        <v>228</v>
      </c>
      <c r="M1110" t="s">
        <v>159</v>
      </c>
      <c r="N1110" t="str">
        <f t="shared" si="146"/>
        <v>Double FrontMotorised Acmeda 240v Remote Curtain TrackGather Hook NormalSingle Face Fix Brackets</v>
      </c>
      <c r="O1110">
        <v>43</v>
      </c>
      <c r="P1110">
        <v>47</v>
      </c>
      <c r="Q1110" s="80">
        <v>0</v>
      </c>
      <c r="R1110" s="80">
        <f t="shared" si="145"/>
        <v>4</v>
      </c>
      <c r="AD1110"/>
    </row>
    <row r="1111" spans="10:30" ht="16.2" customHeight="1">
      <c r="J1111" s="80" t="s">
        <v>747</v>
      </c>
      <c r="K1111" s="80" t="s">
        <v>5441</v>
      </c>
      <c r="L1111" t="s">
        <v>228</v>
      </c>
      <c r="M1111" t="s">
        <v>159</v>
      </c>
      <c r="N1111" t="str">
        <f t="shared" si="146"/>
        <v>Double RearMotorised Acmeda 240v Remote Curtain TrackGather Hook NormalSingle Face Fix Brackets</v>
      </c>
      <c r="O1111">
        <v>43</v>
      </c>
      <c r="P1111">
        <v>47</v>
      </c>
      <c r="Q1111" s="80">
        <v>0</v>
      </c>
      <c r="R1111" s="80">
        <f t="shared" si="145"/>
        <v>4</v>
      </c>
      <c r="AD1111"/>
    </row>
    <row r="1112" spans="10:30" ht="16.2" customHeight="1">
      <c r="J1112" s="80" t="s">
        <v>725</v>
      </c>
      <c r="K1112" s="80" t="s">
        <v>5441</v>
      </c>
      <c r="L1112" t="s">
        <v>228</v>
      </c>
      <c r="M1112" t="s">
        <v>159</v>
      </c>
      <c r="N1112" t="str">
        <f t="shared" si="146"/>
        <v>SingleMotorised Acmeda 240v Remote Curtain TrackGather Hook NormalSingle Face Fix Brackets</v>
      </c>
      <c r="O1112">
        <v>43</v>
      </c>
      <c r="P1112">
        <v>47</v>
      </c>
      <c r="Q1112" s="80">
        <v>0</v>
      </c>
      <c r="R1112" s="80">
        <f t="shared" si="145"/>
        <v>4</v>
      </c>
      <c r="AD1112"/>
    </row>
    <row r="1113" spans="10:30" ht="16.2" customHeight="1">
      <c r="J1113" s="80" t="s">
        <v>746</v>
      </c>
      <c r="K1113" s="80" t="s">
        <v>5441</v>
      </c>
      <c r="L1113" t="s">
        <v>282</v>
      </c>
      <c r="M1113" t="s">
        <v>159</v>
      </c>
      <c r="N1113" t="str">
        <f t="shared" si="146"/>
        <v>Double FrontMotorised Acmeda 240v Remote Curtain TrackLevel 2072Single Face Fix Brackets</v>
      </c>
      <c r="O1113">
        <v>38</v>
      </c>
      <c r="P1113">
        <v>47</v>
      </c>
      <c r="Q1113" s="80">
        <v>0</v>
      </c>
      <c r="R1113" s="80">
        <f t="shared" si="145"/>
        <v>9</v>
      </c>
      <c r="AD1113"/>
    </row>
    <row r="1114" spans="10:30" ht="16.2" customHeight="1">
      <c r="J1114" s="80" t="s">
        <v>747</v>
      </c>
      <c r="K1114" s="80" t="s">
        <v>5441</v>
      </c>
      <c r="L1114" t="s">
        <v>282</v>
      </c>
      <c r="M1114" t="s">
        <v>159</v>
      </c>
      <c r="N1114" t="str">
        <f t="shared" si="146"/>
        <v>Double RearMotorised Acmeda 240v Remote Curtain TrackLevel 2072Single Face Fix Brackets</v>
      </c>
      <c r="O1114">
        <v>38</v>
      </c>
      <c r="P1114">
        <v>47</v>
      </c>
      <c r="Q1114" s="80">
        <v>0</v>
      </c>
      <c r="R1114" s="80">
        <f t="shared" si="145"/>
        <v>9</v>
      </c>
      <c r="AD1114"/>
    </row>
    <row r="1115" spans="10:30" ht="16.2" customHeight="1">
      <c r="J1115" s="80" t="s">
        <v>725</v>
      </c>
      <c r="K1115" s="80" t="s">
        <v>5441</v>
      </c>
      <c r="L1115" t="s">
        <v>282</v>
      </c>
      <c r="M1115" t="s">
        <v>159</v>
      </c>
      <c r="N1115" t="str">
        <f t="shared" si="146"/>
        <v>SingleMotorised Acmeda 240v Remote Curtain TrackLevel 2072Single Face Fix Brackets</v>
      </c>
      <c r="O1115">
        <v>35</v>
      </c>
      <c r="P1115">
        <v>47</v>
      </c>
      <c r="Q1115" s="80">
        <v>0</v>
      </c>
      <c r="R1115" s="80">
        <f t="shared" si="145"/>
        <v>12</v>
      </c>
      <c r="AD1115"/>
    </row>
    <row r="1116" spans="10:30" ht="16.2" customHeight="1">
      <c r="J1116" s="80" t="s">
        <v>746</v>
      </c>
      <c r="K1116" s="80" t="s">
        <v>5441</v>
      </c>
      <c r="L1116" t="s">
        <v>170</v>
      </c>
      <c r="M1116" t="s">
        <v>159</v>
      </c>
      <c r="N1116" t="str">
        <f t="shared" si="146"/>
        <v>Double FrontMotorised Acmeda 240v Remote Curtain TrackNormal 2074Single Face Fix Brackets</v>
      </c>
      <c r="O1116">
        <v>60</v>
      </c>
      <c r="P1116">
        <v>47</v>
      </c>
      <c r="Q1116" s="80">
        <v>0</v>
      </c>
      <c r="R1116" s="80">
        <f t="shared" si="145"/>
        <v>-13</v>
      </c>
      <c r="AD1116"/>
    </row>
    <row r="1117" spans="10:30" ht="16.2" customHeight="1">
      <c r="J1117" s="80" t="s">
        <v>747</v>
      </c>
      <c r="K1117" s="80" t="s">
        <v>5441</v>
      </c>
      <c r="L1117" t="s">
        <v>170</v>
      </c>
      <c r="M1117" t="s">
        <v>159</v>
      </c>
      <c r="N1117" t="str">
        <f t="shared" si="146"/>
        <v>Double RearMotorised Acmeda 240v Remote Curtain TrackNormal 2074Single Face Fix Brackets</v>
      </c>
      <c r="O1117">
        <v>60</v>
      </c>
      <c r="P1117">
        <v>47</v>
      </c>
      <c r="Q1117" s="80">
        <v>0</v>
      </c>
      <c r="R1117" s="80">
        <f t="shared" si="145"/>
        <v>-13</v>
      </c>
      <c r="AD1117"/>
    </row>
    <row r="1118" spans="10:30" ht="16.2" customHeight="1">
      <c r="J1118" s="80" t="s">
        <v>725</v>
      </c>
      <c r="K1118" s="80" t="s">
        <v>5441</v>
      </c>
      <c r="L1118" t="s">
        <v>170</v>
      </c>
      <c r="M1118" t="s">
        <v>159</v>
      </c>
      <c r="N1118" t="str">
        <f t="shared" si="146"/>
        <v>SingleMotorised Acmeda 240v Remote Curtain TrackNormal 2074Single Face Fix Brackets</v>
      </c>
      <c r="O1118">
        <v>60</v>
      </c>
      <c r="P1118">
        <v>47</v>
      </c>
      <c r="Q1118" s="80">
        <v>0</v>
      </c>
      <c r="R1118" s="80">
        <f t="shared" si="145"/>
        <v>-13</v>
      </c>
      <c r="AD1118"/>
    </row>
    <row r="1119" spans="10:30" ht="16.2" customHeight="1">
      <c r="J1119" s="80" t="s">
        <v>746</v>
      </c>
      <c r="K1119" s="80" t="s">
        <v>5441</v>
      </c>
      <c r="L1119" t="s">
        <v>183</v>
      </c>
      <c r="M1119" t="s">
        <v>161</v>
      </c>
      <c r="N1119" t="str">
        <f t="shared" si="146"/>
        <v>Double FrontMotorised Acmeda 240v Remote Curtain TrackBelow Normal 2075Top Fix Brackets</v>
      </c>
      <c r="O1119">
        <v>70</v>
      </c>
      <c r="P1119">
        <v>42</v>
      </c>
      <c r="Q1119" s="80">
        <v>0</v>
      </c>
      <c r="R1119" s="80">
        <f t="shared" si="147" ref="R1119:R1182">SUM(P1119)-O1119</f>
        <v>-28</v>
      </c>
      <c r="AD1119"/>
    </row>
    <row r="1120" spans="10:30" ht="16.2" customHeight="1">
      <c r="J1120" s="80" t="s">
        <v>747</v>
      </c>
      <c r="K1120" s="80" t="s">
        <v>5441</v>
      </c>
      <c r="L1120" t="s">
        <v>183</v>
      </c>
      <c r="M1120" t="s">
        <v>161</v>
      </c>
      <c r="N1120" t="str">
        <f t="shared" si="146"/>
        <v>Double RearMotorised Acmeda 240v Remote Curtain TrackBelow Normal 2075Top Fix Brackets</v>
      </c>
      <c r="O1120">
        <v>70</v>
      </c>
      <c r="P1120">
        <v>42</v>
      </c>
      <c r="Q1120" s="80">
        <v>0</v>
      </c>
      <c r="R1120" s="80">
        <f t="shared" si="147"/>
        <v>-28</v>
      </c>
      <c r="AD1120"/>
    </row>
    <row r="1121" spans="10:30" ht="16.2" customHeight="1">
      <c r="J1121" s="80" t="s">
        <v>725</v>
      </c>
      <c r="K1121" s="80" t="s">
        <v>5441</v>
      </c>
      <c r="L1121" t="s">
        <v>183</v>
      </c>
      <c r="M1121" t="s">
        <v>161</v>
      </c>
      <c r="N1121" t="str">
        <f t="shared" si="146"/>
        <v>SingleMotorised Acmeda 240v Remote Curtain TrackBelow Normal 2075Top Fix Brackets</v>
      </c>
      <c r="O1121">
        <v>70</v>
      </c>
      <c r="P1121">
        <v>42</v>
      </c>
      <c r="Q1121" s="80">
        <v>0</v>
      </c>
      <c r="R1121" s="80">
        <f t="shared" si="147"/>
        <v>-28</v>
      </c>
      <c r="AD1121"/>
    </row>
    <row r="1122" spans="10:30" ht="16.2" customHeight="1">
      <c r="J1122" s="80" t="s">
        <v>746</v>
      </c>
      <c r="K1122" s="80" t="s">
        <v>5441</v>
      </c>
      <c r="L1122" t="s">
        <v>182</v>
      </c>
      <c r="M1122" t="s">
        <v>161</v>
      </c>
      <c r="N1122" t="str">
        <f t="shared" si="146"/>
        <v>Double FrontMotorised Acmeda 240v Remote Curtain TrackBetween Level and Normal 2073Top Fix Brackets</v>
      </c>
      <c r="O1122">
        <v>48</v>
      </c>
      <c r="P1122">
        <v>42</v>
      </c>
      <c r="Q1122" s="80">
        <v>0</v>
      </c>
      <c r="R1122" s="80">
        <f t="shared" si="147"/>
        <v>-6</v>
      </c>
      <c r="AD1122"/>
    </row>
    <row r="1123" spans="10:30" ht="16.2" customHeight="1">
      <c r="J1123" s="80" t="s">
        <v>747</v>
      </c>
      <c r="K1123" s="80" t="s">
        <v>5441</v>
      </c>
      <c r="L1123" t="s">
        <v>182</v>
      </c>
      <c r="M1123" t="s">
        <v>161</v>
      </c>
      <c r="N1123" t="str">
        <f t="shared" si="146"/>
        <v>Double RearMotorised Acmeda 240v Remote Curtain TrackBetween Level and Normal 2073Top Fix Brackets</v>
      </c>
      <c r="O1123">
        <v>48</v>
      </c>
      <c r="P1123">
        <v>42</v>
      </c>
      <c r="Q1123" s="80">
        <v>0</v>
      </c>
      <c r="R1123" s="80">
        <f t="shared" si="147"/>
        <v>-6</v>
      </c>
      <c r="AD1123"/>
    </row>
    <row r="1124" spans="10:30" ht="16.2" customHeight="1">
      <c r="J1124" s="80" t="s">
        <v>725</v>
      </c>
      <c r="K1124" s="80" t="s">
        <v>5441</v>
      </c>
      <c r="L1124" t="s">
        <v>182</v>
      </c>
      <c r="M1124" t="s">
        <v>161</v>
      </c>
      <c r="N1124" t="str">
        <f t="shared" si="146"/>
        <v>SingleMotorised Acmeda 240v Remote Curtain TrackBetween Level and Normal 2073Top Fix Brackets</v>
      </c>
      <c r="O1124">
        <v>47</v>
      </c>
      <c r="P1124">
        <v>42</v>
      </c>
      <c r="Q1124" s="80">
        <v>0</v>
      </c>
      <c r="R1124" s="80">
        <f t="shared" si="147"/>
        <v>-5</v>
      </c>
      <c r="AD1124"/>
    </row>
    <row r="1125" spans="10:30" ht="16.2" customHeight="1">
      <c r="J1125" s="80" t="s">
        <v>746</v>
      </c>
      <c r="K1125" s="80" t="s">
        <v>5441</v>
      </c>
      <c r="L1125" t="s">
        <v>184</v>
      </c>
      <c r="M1125" t="s">
        <v>161</v>
      </c>
      <c r="N1125" t="str">
        <f t="shared" si="146"/>
        <v>Double FrontMotorised Acmeda 240v Remote Curtain TrackDecorator 2071Top Fix Brackets</v>
      </c>
      <c r="O1125">
        <v>20</v>
      </c>
      <c r="P1125">
        <v>42</v>
      </c>
      <c r="Q1125" s="80">
        <v>0</v>
      </c>
      <c r="R1125" s="80">
        <f t="shared" si="147"/>
        <v>22</v>
      </c>
      <c r="AD1125"/>
    </row>
    <row r="1126" spans="10:30" ht="16.2" customHeight="1">
      <c r="J1126" s="80" t="s">
        <v>747</v>
      </c>
      <c r="K1126" s="80" t="s">
        <v>5441</v>
      </c>
      <c r="L1126" t="s">
        <v>184</v>
      </c>
      <c r="M1126" t="s">
        <v>161</v>
      </c>
      <c r="N1126" t="str">
        <f t="shared" si="146"/>
        <v>Double RearMotorised Acmeda 240v Remote Curtain TrackDecorator 2071Top Fix Brackets</v>
      </c>
      <c r="O1126">
        <v>20</v>
      </c>
      <c r="P1126">
        <v>42</v>
      </c>
      <c r="Q1126" s="80">
        <v>0</v>
      </c>
      <c r="R1126" s="80">
        <f t="shared" si="147"/>
        <v>22</v>
      </c>
      <c r="AD1126"/>
    </row>
    <row r="1127" spans="10:30" ht="16.2" customHeight="1">
      <c r="J1127" s="80" t="s">
        <v>725</v>
      </c>
      <c r="K1127" s="80" t="s">
        <v>5441</v>
      </c>
      <c r="L1127" t="s">
        <v>184</v>
      </c>
      <c r="M1127" t="s">
        <v>161</v>
      </c>
      <c r="N1127" t="str">
        <f t="shared" si="146"/>
        <v>SingleMotorised Acmeda 240v Remote Curtain TrackDecorator 2071Top Fix Brackets</v>
      </c>
      <c r="O1127">
        <v>20</v>
      </c>
      <c r="P1127">
        <v>42</v>
      </c>
      <c r="Q1127" s="80">
        <v>0</v>
      </c>
      <c r="R1127" s="80">
        <f t="shared" si="147"/>
        <v>22</v>
      </c>
      <c r="AD1127"/>
    </row>
    <row r="1128" spans="10:30" ht="16.2" customHeight="1">
      <c r="J1128" s="80" t="s">
        <v>746</v>
      </c>
      <c r="K1128" s="80" t="s">
        <v>5441</v>
      </c>
      <c r="L1128" t="s">
        <v>6468</v>
      </c>
      <c r="M1128" t="s">
        <v>161</v>
      </c>
      <c r="N1128" t="str">
        <f t="shared" si="146"/>
        <v>Double FrontMotorised Acmeda 240v Remote Curtain TrackGather Hook Bottom PocketTop Fix Brackets</v>
      </c>
      <c r="O1128">
        <v>60</v>
      </c>
      <c r="P1128">
        <v>42</v>
      </c>
      <c r="Q1128" s="80">
        <v>0</v>
      </c>
      <c r="R1128" s="80">
        <f t="shared" si="147"/>
        <v>-18</v>
      </c>
      <c r="AD1128"/>
    </row>
    <row r="1129" spans="10:30" ht="16.2" customHeight="1">
      <c r="J1129" s="80" t="s">
        <v>725</v>
      </c>
      <c r="K1129" s="80" t="s">
        <v>5441</v>
      </c>
      <c r="L1129" t="s">
        <v>6468</v>
      </c>
      <c r="M1129" t="s">
        <v>161</v>
      </c>
      <c r="N1129" t="str">
        <f t="shared" si="146"/>
        <v>SingleMotorised Acmeda 240v Remote Curtain TrackGather Hook Bottom PocketTop Fix Brackets</v>
      </c>
      <c r="O1129">
        <v>60</v>
      </c>
      <c r="P1129">
        <v>42</v>
      </c>
      <c r="Q1129" s="80">
        <v>0</v>
      </c>
      <c r="R1129" s="80">
        <f t="shared" si="147"/>
        <v>-18</v>
      </c>
      <c r="AD1129"/>
    </row>
    <row r="1130" spans="10:30" ht="16.2" customHeight="1">
      <c r="J1130" s="80" t="s">
        <v>746</v>
      </c>
      <c r="K1130" s="80" t="s">
        <v>5441</v>
      </c>
      <c r="L1130" t="s">
        <v>229</v>
      </c>
      <c r="M1130" t="s">
        <v>161</v>
      </c>
      <c r="N1130" t="str">
        <f t="shared" si="146"/>
        <v>Double FrontMotorised Acmeda 240v Remote Curtain TrackGather Hook LevelTop Fix Brackets</v>
      </c>
      <c r="O1130">
        <v>20</v>
      </c>
      <c r="P1130">
        <v>42</v>
      </c>
      <c r="Q1130" s="80">
        <v>0</v>
      </c>
      <c r="R1130" s="80">
        <f t="shared" si="147"/>
        <v>22</v>
      </c>
      <c r="AD1130"/>
    </row>
    <row r="1131" spans="10:30" ht="16.2" customHeight="1">
      <c r="J1131" s="80" t="s">
        <v>747</v>
      </c>
      <c r="K1131" s="80" t="s">
        <v>5441</v>
      </c>
      <c r="L1131" t="s">
        <v>229</v>
      </c>
      <c r="M1131" t="s">
        <v>161</v>
      </c>
      <c r="N1131" t="str">
        <f t="shared" si="146"/>
        <v>Double RearMotorised Acmeda 240v Remote Curtain TrackGather Hook LevelTop Fix Brackets</v>
      </c>
      <c r="O1131">
        <v>20</v>
      </c>
      <c r="P1131">
        <v>42</v>
      </c>
      <c r="Q1131" s="80">
        <v>0</v>
      </c>
      <c r="R1131" s="80">
        <f t="shared" si="147"/>
        <v>22</v>
      </c>
      <c r="AD1131"/>
    </row>
    <row r="1132" spans="10:30" ht="16.2" customHeight="1">
      <c r="J1132" s="80" t="s">
        <v>725</v>
      </c>
      <c r="K1132" s="80" t="s">
        <v>5441</v>
      </c>
      <c r="L1132" t="s">
        <v>229</v>
      </c>
      <c r="M1132" t="s">
        <v>161</v>
      </c>
      <c r="N1132" t="str">
        <f t="shared" si="146"/>
        <v>SingleMotorised Acmeda 240v Remote Curtain TrackGather Hook LevelTop Fix Brackets</v>
      </c>
      <c r="O1132">
        <v>20</v>
      </c>
      <c r="P1132">
        <v>42</v>
      </c>
      <c r="Q1132" s="80">
        <v>0</v>
      </c>
      <c r="R1132" s="80">
        <f t="shared" si="147"/>
        <v>22</v>
      </c>
      <c r="AD1132"/>
    </row>
    <row r="1133" spans="10:30" ht="16.2" customHeight="1">
      <c r="J1133" s="80" t="s">
        <v>746</v>
      </c>
      <c r="K1133" s="80" t="s">
        <v>5441</v>
      </c>
      <c r="L1133" t="s">
        <v>228</v>
      </c>
      <c r="M1133" t="s">
        <v>161</v>
      </c>
      <c r="N1133" t="str">
        <f t="shared" si="146"/>
        <v>Double FrontMotorised Acmeda 240v Remote Curtain TrackGather Hook NormalTop Fix Brackets</v>
      </c>
      <c r="O1133">
        <v>43</v>
      </c>
      <c r="P1133">
        <v>42</v>
      </c>
      <c r="Q1133" s="80">
        <v>0</v>
      </c>
      <c r="R1133" s="80">
        <f t="shared" si="147"/>
        <v>-1</v>
      </c>
      <c r="AD1133"/>
    </row>
    <row r="1134" spans="10:30" ht="16.2" customHeight="1">
      <c r="J1134" s="80" t="s">
        <v>747</v>
      </c>
      <c r="K1134" s="80" t="s">
        <v>5441</v>
      </c>
      <c r="L1134" t="s">
        <v>228</v>
      </c>
      <c r="M1134" t="s">
        <v>161</v>
      </c>
      <c r="N1134" t="str">
        <f t="shared" si="146"/>
        <v>Double RearMotorised Acmeda 240v Remote Curtain TrackGather Hook NormalTop Fix Brackets</v>
      </c>
      <c r="O1134">
        <v>43</v>
      </c>
      <c r="P1134">
        <v>42</v>
      </c>
      <c r="Q1134" s="80">
        <v>0</v>
      </c>
      <c r="R1134" s="80">
        <f t="shared" si="147"/>
        <v>-1</v>
      </c>
      <c r="AD1134"/>
    </row>
    <row r="1135" spans="10:30" ht="16.2" customHeight="1">
      <c r="J1135" s="80" t="s">
        <v>725</v>
      </c>
      <c r="K1135" s="80" t="s">
        <v>5441</v>
      </c>
      <c r="L1135" t="s">
        <v>228</v>
      </c>
      <c r="M1135" t="s">
        <v>161</v>
      </c>
      <c r="N1135" t="str">
        <f t="shared" si="146"/>
        <v>SingleMotorised Acmeda 240v Remote Curtain TrackGather Hook NormalTop Fix Brackets</v>
      </c>
      <c r="O1135">
        <v>43</v>
      </c>
      <c r="P1135">
        <v>42</v>
      </c>
      <c r="Q1135" s="80">
        <v>0</v>
      </c>
      <c r="R1135" s="80">
        <f t="shared" si="147"/>
        <v>-1</v>
      </c>
      <c r="AD1135"/>
    </row>
    <row r="1136" spans="10:30" ht="16.2" customHeight="1">
      <c r="J1136" s="80" t="s">
        <v>746</v>
      </c>
      <c r="K1136" s="80" t="s">
        <v>5441</v>
      </c>
      <c r="L1136" t="s">
        <v>282</v>
      </c>
      <c r="M1136" t="s">
        <v>161</v>
      </c>
      <c r="N1136" t="str">
        <f t="shared" si="146"/>
        <v>Double FrontMotorised Acmeda 240v Remote Curtain TrackLevel 2072Top Fix Brackets</v>
      </c>
      <c r="O1136">
        <v>38</v>
      </c>
      <c r="P1136">
        <v>42</v>
      </c>
      <c r="Q1136" s="80">
        <v>0</v>
      </c>
      <c r="R1136" s="80">
        <f t="shared" si="147"/>
        <v>4</v>
      </c>
      <c r="AD1136"/>
    </row>
    <row r="1137" spans="10:30" ht="16.2" customHeight="1">
      <c r="J1137" s="80" t="s">
        <v>747</v>
      </c>
      <c r="K1137" s="80" t="s">
        <v>5441</v>
      </c>
      <c r="L1137" t="s">
        <v>282</v>
      </c>
      <c r="M1137" t="s">
        <v>161</v>
      </c>
      <c r="N1137" t="str">
        <f t="shared" si="146"/>
        <v>Double RearMotorised Acmeda 240v Remote Curtain TrackLevel 2072Top Fix Brackets</v>
      </c>
      <c r="O1137">
        <v>38</v>
      </c>
      <c r="P1137">
        <v>42</v>
      </c>
      <c r="Q1137" s="80">
        <v>0</v>
      </c>
      <c r="R1137" s="80">
        <f t="shared" si="147"/>
        <v>4</v>
      </c>
      <c r="AD1137"/>
    </row>
    <row r="1138" spans="10:30" ht="16.2" customHeight="1">
      <c r="J1138" s="80" t="s">
        <v>725</v>
      </c>
      <c r="K1138" s="80" t="s">
        <v>5441</v>
      </c>
      <c r="L1138" t="s">
        <v>282</v>
      </c>
      <c r="M1138" t="s">
        <v>161</v>
      </c>
      <c r="N1138" t="str">
        <f t="shared" si="146"/>
        <v>SingleMotorised Acmeda 240v Remote Curtain TrackLevel 2072Top Fix Brackets</v>
      </c>
      <c r="O1138">
        <v>35</v>
      </c>
      <c r="P1138">
        <v>42</v>
      </c>
      <c r="Q1138" s="80">
        <v>0</v>
      </c>
      <c r="R1138" s="80">
        <f t="shared" si="147"/>
        <v>7</v>
      </c>
      <c r="AD1138"/>
    </row>
    <row r="1139" spans="10:30" ht="16.2" customHeight="1">
      <c r="J1139" s="80" t="s">
        <v>746</v>
      </c>
      <c r="K1139" s="80" t="s">
        <v>5441</v>
      </c>
      <c r="L1139" t="s">
        <v>170</v>
      </c>
      <c r="M1139" t="s">
        <v>161</v>
      </c>
      <c r="N1139" t="str">
        <f t="shared" si="146"/>
        <v>Double FrontMotorised Acmeda 240v Remote Curtain TrackNormal 2074Top Fix Brackets</v>
      </c>
      <c r="O1139">
        <v>60</v>
      </c>
      <c r="P1139">
        <v>42</v>
      </c>
      <c r="Q1139" s="80">
        <v>0</v>
      </c>
      <c r="R1139" s="80">
        <f t="shared" si="147"/>
        <v>-18</v>
      </c>
      <c r="AD1139"/>
    </row>
    <row r="1140" spans="10:30" ht="16.2" customHeight="1">
      <c r="J1140" s="80" t="s">
        <v>747</v>
      </c>
      <c r="K1140" s="80" t="s">
        <v>5441</v>
      </c>
      <c r="L1140" t="s">
        <v>170</v>
      </c>
      <c r="M1140" t="s">
        <v>161</v>
      </c>
      <c r="N1140" t="str">
        <f t="shared" si="146"/>
        <v>Double RearMotorised Acmeda 240v Remote Curtain TrackNormal 2074Top Fix Brackets</v>
      </c>
      <c r="O1140">
        <v>60</v>
      </c>
      <c r="P1140">
        <v>42</v>
      </c>
      <c r="Q1140" s="80">
        <v>0</v>
      </c>
      <c r="R1140" s="80">
        <f t="shared" si="147"/>
        <v>-18</v>
      </c>
      <c r="AD1140"/>
    </row>
    <row r="1141" spans="10:30" ht="16.2" customHeight="1">
      <c r="J1141" s="80" t="s">
        <v>725</v>
      </c>
      <c r="K1141" s="80" t="s">
        <v>5441</v>
      </c>
      <c r="L1141" t="s">
        <v>170</v>
      </c>
      <c r="M1141" t="s">
        <v>161</v>
      </c>
      <c r="N1141" t="str">
        <f t="shared" si="146"/>
        <v>SingleMotorised Acmeda 240v Remote Curtain TrackNormal 2074Top Fix Brackets</v>
      </c>
      <c r="O1141">
        <v>60</v>
      </c>
      <c r="P1141">
        <v>42</v>
      </c>
      <c r="Q1141" s="80">
        <v>0</v>
      </c>
      <c r="R1141" s="80">
        <f t="shared" si="147"/>
        <v>-18</v>
      </c>
      <c r="AD1141"/>
    </row>
    <row r="1142" spans="10:30" ht="16.2" customHeight="1">
      <c r="J1142" s="80" t="s">
        <v>746</v>
      </c>
      <c r="K1142" s="80" t="s">
        <v>5357</v>
      </c>
      <c r="L1142" t="s">
        <v>183</v>
      </c>
      <c r="M1142" t="s">
        <v>162</v>
      </c>
      <c r="N1142" t="str">
        <f t="shared" si="146"/>
        <v>Double FrontMotorised Saber 12v Remote TrackBelow Normal 2075Double Face Fix Brackets</v>
      </c>
      <c r="O1142">
        <v>70</v>
      </c>
      <c r="P1142">
        <v>59</v>
      </c>
      <c r="Q1142" s="80">
        <v>0</v>
      </c>
      <c r="R1142" s="80">
        <f t="shared" si="147"/>
        <v>-11</v>
      </c>
      <c r="AD1142"/>
    </row>
    <row r="1143" spans="10:30" ht="16.2" customHeight="1">
      <c r="J1143" s="80" t="s">
        <v>747</v>
      </c>
      <c r="K1143" s="80" t="s">
        <v>5357</v>
      </c>
      <c r="L1143" t="s">
        <v>183</v>
      </c>
      <c r="M1143" t="s">
        <v>162</v>
      </c>
      <c r="N1143" t="str">
        <f t="shared" si="146"/>
        <v>Double RearMotorised Saber 12v Remote TrackBelow Normal 2075Double Face Fix Brackets</v>
      </c>
      <c r="O1143">
        <v>70</v>
      </c>
      <c r="P1143">
        <v>59</v>
      </c>
      <c r="Q1143" s="80">
        <v>0</v>
      </c>
      <c r="R1143" s="80">
        <f t="shared" si="147"/>
        <v>-11</v>
      </c>
      <c r="AD1143"/>
    </row>
    <row r="1144" spans="10:30" ht="16.2" customHeight="1">
      <c r="J1144" s="80" t="s">
        <v>725</v>
      </c>
      <c r="K1144" s="80" t="s">
        <v>5357</v>
      </c>
      <c r="L1144" t="s">
        <v>183</v>
      </c>
      <c r="M1144" t="s">
        <v>162</v>
      </c>
      <c r="N1144" t="str">
        <f t="shared" si="146"/>
        <v>SingleMotorised Saber 12v Remote TrackBelow Normal 2075Double Face Fix Brackets</v>
      </c>
      <c r="O1144">
        <v>70</v>
      </c>
      <c r="P1144">
        <v>59</v>
      </c>
      <c r="Q1144" s="80">
        <v>0</v>
      </c>
      <c r="R1144" s="80">
        <f t="shared" si="147"/>
        <v>-11</v>
      </c>
      <c r="AD1144"/>
    </row>
    <row r="1145" spans="10:30" ht="16.2" customHeight="1">
      <c r="J1145" s="80" t="s">
        <v>746</v>
      </c>
      <c r="K1145" s="80" t="s">
        <v>5357</v>
      </c>
      <c r="L1145" t="s">
        <v>182</v>
      </c>
      <c r="M1145" t="s">
        <v>162</v>
      </c>
      <c r="N1145" t="str">
        <f t="shared" si="146"/>
        <v>Double FrontMotorised Saber 12v Remote TrackBetween Level and Normal 2073Double Face Fix Brackets</v>
      </c>
      <c r="O1145">
        <v>48</v>
      </c>
      <c r="P1145">
        <v>59</v>
      </c>
      <c r="Q1145" s="80">
        <v>0</v>
      </c>
      <c r="R1145" s="80">
        <f t="shared" si="147"/>
        <v>11</v>
      </c>
      <c r="AD1145"/>
    </row>
    <row r="1146" spans="10:30" ht="16.2" customHeight="1">
      <c r="J1146" s="80" t="s">
        <v>747</v>
      </c>
      <c r="K1146" s="80" t="s">
        <v>5357</v>
      </c>
      <c r="L1146" t="s">
        <v>182</v>
      </c>
      <c r="M1146" t="s">
        <v>162</v>
      </c>
      <c r="N1146" t="str">
        <f t="shared" si="146"/>
        <v>Double RearMotorised Saber 12v Remote TrackBetween Level and Normal 2073Double Face Fix Brackets</v>
      </c>
      <c r="O1146">
        <v>48</v>
      </c>
      <c r="P1146">
        <v>59</v>
      </c>
      <c r="Q1146" s="80">
        <v>0</v>
      </c>
      <c r="R1146" s="80">
        <f t="shared" si="147"/>
        <v>11</v>
      </c>
      <c r="AD1146"/>
    </row>
    <row r="1147" spans="10:30" ht="16.2" customHeight="1">
      <c r="J1147" s="80" t="s">
        <v>725</v>
      </c>
      <c r="K1147" s="80" t="s">
        <v>5357</v>
      </c>
      <c r="L1147" t="s">
        <v>182</v>
      </c>
      <c r="M1147" t="s">
        <v>162</v>
      </c>
      <c r="N1147" t="str">
        <f t="shared" si="146"/>
        <v>SingleMotorised Saber 12v Remote TrackBetween Level and Normal 2073Double Face Fix Brackets</v>
      </c>
      <c r="O1147">
        <v>47</v>
      </c>
      <c r="P1147">
        <v>59</v>
      </c>
      <c r="Q1147" s="80">
        <v>0</v>
      </c>
      <c r="R1147" s="80">
        <f t="shared" si="147"/>
        <v>12</v>
      </c>
      <c r="AD1147"/>
    </row>
    <row r="1148" spans="10:30" ht="16.2" customHeight="1">
      <c r="J1148" s="80" t="s">
        <v>746</v>
      </c>
      <c r="K1148" s="80" t="s">
        <v>5357</v>
      </c>
      <c r="L1148" t="s">
        <v>184</v>
      </c>
      <c r="M1148" t="s">
        <v>162</v>
      </c>
      <c r="N1148" t="str">
        <f t="shared" si="146"/>
        <v>Double FrontMotorised Saber 12v Remote TrackDecorator 2071Double Face Fix Brackets</v>
      </c>
      <c r="O1148">
        <v>20</v>
      </c>
      <c r="P1148">
        <v>59</v>
      </c>
      <c r="Q1148" s="80">
        <v>0</v>
      </c>
      <c r="R1148" s="80">
        <f t="shared" si="147"/>
        <v>39</v>
      </c>
      <c r="AD1148"/>
    </row>
    <row r="1149" spans="10:30" ht="16.2" customHeight="1">
      <c r="J1149" s="80" t="s">
        <v>747</v>
      </c>
      <c r="K1149" s="80" t="s">
        <v>5357</v>
      </c>
      <c r="L1149" t="s">
        <v>184</v>
      </c>
      <c r="M1149" t="s">
        <v>162</v>
      </c>
      <c r="N1149" t="str">
        <f t="shared" si="146"/>
        <v>Double RearMotorised Saber 12v Remote TrackDecorator 2071Double Face Fix Brackets</v>
      </c>
      <c r="O1149">
        <v>20</v>
      </c>
      <c r="P1149">
        <v>59</v>
      </c>
      <c r="Q1149" s="80">
        <v>0</v>
      </c>
      <c r="R1149" s="80">
        <f t="shared" si="147"/>
        <v>39</v>
      </c>
      <c r="AD1149"/>
    </row>
    <row r="1150" spans="10:30" ht="16.2" customHeight="1">
      <c r="J1150" s="80" t="s">
        <v>725</v>
      </c>
      <c r="K1150" s="80" t="s">
        <v>5357</v>
      </c>
      <c r="L1150" t="s">
        <v>184</v>
      </c>
      <c r="M1150" t="s">
        <v>162</v>
      </c>
      <c r="N1150" t="str">
        <f t="shared" si="146"/>
        <v>SingleMotorised Saber 12v Remote TrackDecorator 2071Double Face Fix Brackets</v>
      </c>
      <c r="O1150">
        <v>20</v>
      </c>
      <c r="P1150">
        <v>59</v>
      </c>
      <c r="Q1150" s="80">
        <v>0</v>
      </c>
      <c r="R1150" s="80">
        <f t="shared" si="147"/>
        <v>39</v>
      </c>
      <c r="AD1150"/>
    </row>
    <row r="1151" spans="10:30" ht="16.2" customHeight="1">
      <c r="J1151" s="80" t="s">
        <v>746</v>
      </c>
      <c r="K1151" s="80" t="s">
        <v>5357</v>
      </c>
      <c r="L1151" t="s">
        <v>6468</v>
      </c>
      <c r="M1151" t="s">
        <v>162</v>
      </c>
      <c r="N1151" t="str">
        <f t="shared" si="146"/>
        <v>Double FrontMotorised Saber 12v Remote TrackGather Hook Bottom PocketDouble Face Fix Brackets</v>
      </c>
      <c r="O1151">
        <v>60</v>
      </c>
      <c r="P1151">
        <v>59</v>
      </c>
      <c r="Q1151" s="80">
        <v>0</v>
      </c>
      <c r="R1151" s="80">
        <f t="shared" si="147"/>
        <v>-1</v>
      </c>
      <c r="AD1151"/>
    </row>
    <row r="1152" spans="10:30" ht="16.2" customHeight="1">
      <c r="J1152" s="80" t="s">
        <v>725</v>
      </c>
      <c r="K1152" s="80" t="s">
        <v>5357</v>
      </c>
      <c r="L1152" t="s">
        <v>6468</v>
      </c>
      <c r="M1152" t="s">
        <v>162</v>
      </c>
      <c r="N1152" t="str">
        <f t="shared" si="146"/>
        <v>SingleMotorised Saber 12v Remote TrackGather Hook Bottom PocketDouble Face Fix Brackets</v>
      </c>
      <c r="O1152">
        <v>60</v>
      </c>
      <c r="P1152">
        <v>59</v>
      </c>
      <c r="Q1152" s="80">
        <v>0</v>
      </c>
      <c r="R1152" s="80">
        <f t="shared" si="147"/>
        <v>-1</v>
      </c>
      <c r="AD1152"/>
    </row>
    <row r="1153" spans="10:30" ht="16.2" customHeight="1">
      <c r="J1153" s="80" t="s">
        <v>746</v>
      </c>
      <c r="K1153" s="80" t="s">
        <v>5357</v>
      </c>
      <c r="L1153" t="s">
        <v>229</v>
      </c>
      <c r="M1153" t="s">
        <v>162</v>
      </c>
      <c r="N1153" t="str">
        <f t="shared" si="146"/>
        <v>Double FrontMotorised Saber 12v Remote TrackGather Hook LevelDouble Face Fix Brackets</v>
      </c>
      <c r="O1153">
        <v>20</v>
      </c>
      <c r="P1153">
        <v>59</v>
      </c>
      <c r="Q1153" s="80">
        <v>0</v>
      </c>
      <c r="R1153" s="80">
        <f t="shared" si="147"/>
        <v>39</v>
      </c>
      <c r="AD1153"/>
    </row>
    <row r="1154" spans="10:30" ht="16.2" customHeight="1">
      <c r="J1154" s="80" t="s">
        <v>747</v>
      </c>
      <c r="K1154" s="80" t="s">
        <v>5357</v>
      </c>
      <c r="L1154" t="s">
        <v>229</v>
      </c>
      <c r="M1154" t="s">
        <v>162</v>
      </c>
      <c r="N1154" t="str">
        <f t="shared" si="148" ref="N1154:N1217">(CONCATENATE(J1154,K1154,L1154,M1154))</f>
        <v>Double RearMotorised Saber 12v Remote TrackGather Hook LevelDouble Face Fix Brackets</v>
      </c>
      <c r="O1154">
        <v>20</v>
      </c>
      <c r="P1154">
        <v>59</v>
      </c>
      <c r="Q1154" s="80">
        <v>0</v>
      </c>
      <c r="R1154" s="80">
        <f t="shared" si="147"/>
        <v>39</v>
      </c>
      <c r="AD1154"/>
    </row>
    <row r="1155" spans="10:30" ht="16.2" customHeight="1">
      <c r="J1155" s="80" t="s">
        <v>725</v>
      </c>
      <c r="K1155" s="80" t="s">
        <v>5357</v>
      </c>
      <c r="L1155" t="s">
        <v>229</v>
      </c>
      <c r="M1155" t="s">
        <v>162</v>
      </c>
      <c r="N1155" t="str">
        <f t="shared" si="148"/>
        <v>SingleMotorised Saber 12v Remote TrackGather Hook LevelDouble Face Fix Brackets</v>
      </c>
      <c r="O1155">
        <v>20</v>
      </c>
      <c r="P1155">
        <v>59</v>
      </c>
      <c r="Q1155" s="80">
        <v>0</v>
      </c>
      <c r="R1155" s="80">
        <f t="shared" si="147"/>
        <v>39</v>
      </c>
      <c r="AD1155"/>
    </row>
    <row r="1156" spans="10:30" ht="16.2" customHeight="1">
      <c r="J1156" s="80" t="s">
        <v>746</v>
      </c>
      <c r="K1156" s="80" t="s">
        <v>5357</v>
      </c>
      <c r="L1156" t="s">
        <v>228</v>
      </c>
      <c r="M1156" t="s">
        <v>162</v>
      </c>
      <c r="N1156" t="str">
        <f t="shared" si="148"/>
        <v>Double FrontMotorised Saber 12v Remote TrackGather Hook NormalDouble Face Fix Brackets</v>
      </c>
      <c r="O1156">
        <v>43</v>
      </c>
      <c r="P1156">
        <v>59</v>
      </c>
      <c r="Q1156" s="80">
        <v>0</v>
      </c>
      <c r="R1156" s="80">
        <f t="shared" si="147"/>
        <v>16</v>
      </c>
      <c r="AD1156"/>
    </row>
    <row r="1157" spans="10:30" ht="16.2" customHeight="1">
      <c r="J1157" s="80" t="s">
        <v>747</v>
      </c>
      <c r="K1157" s="80" t="s">
        <v>5357</v>
      </c>
      <c r="L1157" t="s">
        <v>228</v>
      </c>
      <c r="M1157" t="s">
        <v>162</v>
      </c>
      <c r="N1157" t="str">
        <f t="shared" si="148"/>
        <v>Double RearMotorised Saber 12v Remote TrackGather Hook NormalDouble Face Fix Brackets</v>
      </c>
      <c r="O1157">
        <v>43</v>
      </c>
      <c r="P1157">
        <v>59</v>
      </c>
      <c r="Q1157" s="80">
        <v>0</v>
      </c>
      <c r="R1157" s="80">
        <f t="shared" si="147"/>
        <v>16</v>
      </c>
      <c r="AD1157"/>
    </row>
    <row r="1158" spans="10:30" ht="16.2" customHeight="1">
      <c r="J1158" s="80" t="s">
        <v>725</v>
      </c>
      <c r="K1158" s="80" t="s">
        <v>5357</v>
      </c>
      <c r="L1158" t="s">
        <v>228</v>
      </c>
      <c r="M1158" t="s">
        <v>162</v>
      </c>
      <c r="N1158" t="str">
        <f t="shared" si="148"/>
        <v>SingleMotorised Saber 12v Remote TrackGather Hook NormalDouble Face Fix Brackets</v>
      </c>
      <c r="O1158">
        <v>43</v>
      </c>
      <c r="P1158">
        <v>59</v>
      </c>
      <c r="Q1158" s="80">
        <v>0</v>
      </c>
      <c r="R1158" s="80">
        <f t="shared" si="147"/>
        <v>16</v>
      </c>
      <c r="AD1158"/>
    </row>
    <row r="1159" spans="10:30" ht="16.2" customHeight="1">
      <c r="J1159" s="80" t="s">
        <v>746</v>
      </c>
      <c r="K1159" s="80" t="s">
        <v>5357</v>
      </c>
      <c r="L1159" t="s">
        <v>282</v>
      </c>
      <c r="M1159" t="s">
        <v>162</v>
      </c>
      <c r="N1159" t="str">
        <f t="shared" si="148"/>
        <v>Double FrontMotorised Saber 12v Remote TrackLevel 2072Double Face Fix Brackets</v>
      </c>
      <c r="O1159">
        <v>38</v>
      </c>
      <c r="P1159">
        <v>59</v>
      </c>
      <c r="Q1159" s="80">
        <v>0</v>
      </c>
      <c r="R1159" s="80">
        <f t="shared" si="147"/>
        <v>21</v>
      </c>
      <c r="AD1159"/>
    </row>
    <row r="1160" spans="10:30" ht="16.2" customHeight="1">
      <c r="J1160" s="80" t="s">
        <v>747</v>
      </c>
      <c r="K1160" s="80" t="s">
        <v>5357</v>
      </c>
      <c r="L1160" t="s">
        <v>282</v>
      </c>
      <c r="M1160" t="s">
        <v>162</v>
      </c>
      <c r="N1160" t="str">
        <f t="shared" si="148"/>
        <v>Double RearMotorised Saber 12v Remote TrackLevel 2072Double Face Fix Brackets</v>
      </c>
      <c r="O1160">
        <v>38</v>
      </c>
      <c r="P1160">
        <v>59</v>
      </c>
      <c r="Q1160" s="80">
        <v>0</v>
      </c>
      <c r="R1160" s="80">
        <f t="shared" si="147"/>
        <v>21</v>
      </c>
      <c r="AD1160"/>
    </row>
    <row r="1161" spans="10:30" ht="16.2" customHeight="1">
      <c r="J1161" s="80" t="s">
        <v>725</v>
      </c>
      <c r="K1161" s="80" t="s">
        <v>5357</v>
      </c>
      <c r="L1161" t="s">
        <v>282</v>
      </c>
      <c r="M1161" t="s">
        <v>162</v>
      </c>
      <c r="N1161" t="str">
        <f t="shared" si="148"/>
        <v>SingleMotorised Saber 12v Remote TrackLevel 2072Double Face Fix Brackets</v>
      </c>
      <c r="O1161">
        <v>35</v>
      </c>
      <c r="P1161">
        <v>59</v>
      </c>
      <c r="Q1161" s="80">
        <v>0</v>
      </c>
      <c r="R1161" s="80">
        <f t="shared" si="147"/>
        <v>24</v>
      </c>
      <c r="AD1161"/>
    </row>
    <row r="1162" spans="10:30" ht="16.2" customHeight="1">
      <c r="J1162" s="80" t="s">
        <v>746</v>
      </c>
      <c r="K1162" s="80" t="s">
        <v>5357</v>
      </c>
      <c r="L1162" t="s">
        <v>170</v>
      </c>
      <c r="M1162" t="s">
        <v>162</v>
      </c>
      <c r="N1162" t="str">
        <f t="shared" si="148"/>
        <v>Double FrontMotorised Saber 12v Remote TrackNormal 2074Double Face Fix Brackets</v>
      </c>
      <c r="O1162">
        <v>60</v>
      </c>
      <c r="P1162">
        <v>59</v>
      </c>
      <c r="Q1162" s="80">
        <v>0</v>
      </c>
      <c r="R1162" s="80">
        <f t="shared" si="147"/>
        <v>-1</v>
      </c>
      <c r="AD1162"/>
    </row>
    <row r="1163" spans="10:30" ht="16.2" customHeight="1">
      <c r="J1163" s="80" t="s">
        <v>747</v>
      </c>
      <c r="K1163" s="80" t="s">
        <v>5357</v>
      </c>
      <c r="L1163" t="s">
        <v>170</v>
      </c>
      <c r="M1163" t="s">
        <v>162</v>
      </c>
      <c r="N1163" t="str">
        <f t="shared" si="148"/>
        <v>Double RearMotorised Saber 12v Remote TrackNormal 2074Double Face Fix Brackets</v>
      </c>
      <c r="O1163">
        <v>60</v>
      </c>
      <c r="P1163">
        <v>59</v>
      </c>
      <c r="Q1163" s="80">
        <v>0</v>
      </c>
      <c r="R1163" s="80">
        <f t="shared" si="147"/>
        <v>-1</v>
      </c>
      <c r="AD1163"/>
    </row>
    <row r="1164" spans="10:30" ht="16.2" customHeight="1">
      <c r="J1164" s="80" t="s">
        <v>725</v>
      </c>
      <c r="K1164" s="80" t="s">
        <v>5357</v>
      </c>
      <c r="L1164" t="s">
        <v>170</v>
      </c>
      <c r="M1164" t="s">
        <v>162</v>
      </c>
      <c r="N1164" t="str">
        <f t="shared" si="148"/>
        <v>SingleMotorised Saber 12v Remote TrackNormal 2074Double Face Fix Brackets</v>
      </c>
      <c r="O1164">
        <v>60</v>
      </c>
      <c r="P1164">
        <v>59</v>
      </c>
      <c r="Q1164" s="80">
        <v>0</v>
      </c>
      <c r="R1164" s="80">
        <f t="shared" si="147"/>
        <v>-1</v>
      </c>
      <c r="AD1164"/>
    </row>
    <row r="1165" spans="10:30" ht="16.2" customHeight="1">
      <c r="J1165" s="80" t="s">
        <v>746</v>
      </c>
      <c r="K1165" s="80" t="s">
        <v>5357</v>
      </c>
      <c r="L1165" t="s">
        <v>183</v>
      </c>
      <c r="M1165" t="s">
        <v>159</v>
      </c>
      <c r="N1165" t="str">
        <f t="shared" si="148"/>
        <v>Double FrontMotorised Saber 12v Remote TrackBelow Normal 2075Single Face Fix Brackets</v>
      </c>
      <c r="O1165">
        <v>70</v>
      </c>
      <c r="P1165">
        <v>55</v>
      </c>
      <c r="Q1165" s="80">
        <v>0</v>
      </c>
      <c r="R1165" s="80">
        <f t="shared" si="147"/>
        <v>-15</v>
      </c>
      <c r="AD1165"/>
    </row>
    <row r="1166" spans="10:30" ht="16.2" customHeight="1">
      <c r="J1166" s="80" t="s">
        <v>747</v>
      </c>
      <c r="K1166" s="80" t="s">
        <v>5357</v>
      </c>
      <c r="L1166" t="s">
        <v>183</v>
      </c>
      <c r="M1166" t="s">
        <v>159</v>
      </c>
      <c r="N1166" t="str">
        <f t="shared" si="148"/>
        <v>Double RearMotorised Saber 12v Remote TrackBelow Normal 2075Single Face Fix Brackets</v>
      </c>
      <c r="O1166">
        <v>70</v>
      </c>
      <c r="P1166">
        <v>55</v>
      </c>
      <c r="Q1166" s="80">
        <v>0</v>
      </c>
      <c r="R1166" s="80">
        <f t="shared" si="147"/>
        <v>-15</v>
      </c>
      <c r="AD1166"/>
    </row>
    <row r="1167" spans="10:30" ht="16.2" customHeight="1">
      <c r="J1167" s="80" t="s">
        <v>725</v>
      </c>
      <c r="K1167" s="80" t="s">
        <v>5357</v>
      </c>
      <c r="L1167" t="s">
        <v>183</v>
      </c>
      <c r="M1167" t="s">
        <v>159</v>
      </c>
      <c r="N1167" t="str">
        <f t="shared" si="148"/>
        <v>SingleMotorised Saber 12v Remote TrackBelow Normal 2075Single Face Fix Brackets</v>
      </c>
      <c r="O1167">
        <v>70</v>
      </c>
      <c r="P1167">
        <v>55</v>
      </c>
      <c r="Q1167" s="80">
        <v>0</v>
      </c>
      <c r="R1167" s="80">
        <f t="shared" si="147"/>
        <v>-15</v>
      </c>
      <c r="AD1167"/>
    </row>
    <row r="1168" spans="10:30" ht="16.2" customHeight="1">
      <c r="J1168" s="80" t="s">
        <v>746</v>
      </c>
      <c r="K1168" s="80" t="s">
        <v>5357</v>
      </c>
      <c r="L1168" t="s">
        <v>182</v>
      </c>
      <c r="M1168" t="s">
        <v>159</v>
      </c>
      <c r="N1168" t="str">
        <f t="shared" si="148"/>
        <v>Double FrontMotorised Saber 12v Remote TrackBetween Level and Normal 2073Single Face Fix Brackets</v>
      </c>
      <c r="O1168">
        <v>48</v>
      </c>
      <c r="P1168">
        <v>55</v>
      </c>
      <c r="Q1168" s="80">
        <v>0</v>
      </c>
      <c r="R1168" s="80">
        <f t="shared" si="147"/>
        <v>7</v>
      </c>
      <c r="AD1168"/>
    </row>
    <row r="1169" spans="10:30" ht="16.2" customHeight="1">
      <c r="J1169" s="80" t="s">
        <v>747</v>
      </c>
      <c r="K1169" s="80" t="s">
        <v>5357</v>
      </c>
      <c r="L1169" t="s">
        <v>182</v>
      </c>
      <c r="M1169" t="s">
        <v>159</v>
      </c>
      <c r="N1169" t="str">
        <f t="shared" si="148"/>
        <v>Double RearMotorised Saber 12v Remote TrackBetween Level and Normal 2073Single Face Fix Brackets</v>
      </c>
      <c r="O1169">
        <v>48</v>
      </c>
      <c r="P1169">
        <v>55</v>
      </c>
      <c r="Q1169" s="80">
        <v>0</v>
      </c>
      <c r="R1169" s="80">
        <f t="shared" si="147"/>
        <v>7</v>
      </c>
      <c r="AD1169"/>
    </row>
    <row r="1170" spans="10:30" ht="16.2" customHeight="1">
      <c r="J1170" s="80" t="s">
        <v>725</v>
      </c>
      <c r="K1170" s="80" t="s">
        <v>5357</v>
      </c>
      <c r="L1170" t="s">
        <v>182</v>
      </c>
      <c r="M1170" t="s">
        <v>159</v>
      </c>
      <c r="N1170" t="str">
        <f t="shared" si="148"/>
        <v>SingleMotorised Saber 12v Remote TrackBetween Level and Normal 2073Single Face Fix Brackets</v>
      </c>
      <c r="O1170">
        <v>47</v>
      </c>
      <c r="P1170">
        <v>55</v>
      </c>
      <c r="Q1170" s="80">
        <v>0</v>
      </c>
      <c r="R1170" s="80">
        <f t="shared" si="147"/>
        <v>8</v>
      </c>
      <c r="AD1170"/>
    </row>
    <row r="1171" spans="10:30" ht="16.2" customHeight="1">
      <c r="J1171" s="80" t="s">
        <v>746</v>
      </c>
      <c r="K1171" s="80" t="s">
        <v>5357</v>
      </c>
      <c r="L1171" t="s">
        <v>184</v>
      </c>
      <c r="M1171" t="s">
        <v>159</v>
      </c>
      <c r="N1171" t="str">
        <f t="shared" si="148"/>
        <v>Double FrontMotorised Saber 12v Remote TrackDecorator 2071Single Face Fix Brackets</v>
      </c>
      <c r="O1171">
        <v>20</v>
      </c>
      <c r="P1171">
        <v>55</v>
      </c>
      <c r="Q1171" s="80">
        <v>0</v>
      </c>
      <c r="R1171" s="80">
        <f t="shared" si="147"/>
        <v>35</v>
      </c>
      <c r="AD1171"/>
    </row>
    <row r="1172" spans="10:30" ht="16.2" customHeight="1">
      <c r="J1172" s="80" t="s">
        <v>747</v>
      </c>
      <c r="K1172" s="80" t="s">
        <v>5357</v>
      </c>
      <c r="L1172" t="s">
        <v>184</v>
      </c>
      <c r="M1172" t="s">
        <v>159</v>
      </c>
      <c r="N1172" t="str">
        <f t="shared" si="148"/>
        <v>Double RearMotorised Saber 12v Remote TrackDecorator 2071Single Face Fix Brackets</v>
      </c>
      <c r="O1172">
        <v>20</v>
      </c>
      <c r="P1172">
        <v>55</v>
      </c>
      <c r="Q1172" s="80">
        <v>0</v>
      </c>
      <c r="R1172" s="80">
        <f t="shared" si="147"/>
        <v>35</v>
      </c>
      <c r="AD1172"/>
    </row>
    <row r="1173" spans="10:30" ht="16.2" customHeight="1">
      <c r="J1173" s="80" t="s">
        <v>725</v>
      </c>
      <c r="K1173" s="80" t="s">
        <v>5357</v>
      </c>
      <c r="L1173" t="s">
        <v>184</v>
      </c>
      <c r="M1173" t="s">
        <v>159</v>
      </c>
      <c r="N1173" t="str">
        <f t="shared" si="148"/>
        <v>SingleMotorised Saber 12v Remote TrackDecorator 2071Single Face Fix Brackets</v>
      </c>
      <c r="O1173">
        <v>20</v>
      </c>
      <c r="P1173">
        <v>55</v>
      </c>
      <c r="Q1173" s="80">
        <v>0</v>
      </c>
      <c r="R1173" s="80">
        <f t="shared" si="147"/>
        <v>35</v>
      </c>
      <c r="AD1173"/>
    </row>
    <row r="1174" spans="10:30" ht="16.2" customHeight="1">
      <c r="J1174" s="80" t="s">
        <v>746</v>
      </c>
      <c r="K1174" s="80" t="s">
        <v>5357</v>
      </c>
      <c r="L1174" t="s">
        <v>6468</v>
      </c>
      <c r="M1174" t="s">
        <v>159</v>
      </c>
      <c r="N1174" t="str">
        <f t="shared" si="148"/>
        <v>Double FrontMotorised Saber 12v Remote TrackGather Hook Bottom PocketSingle Face Fix Brackets</v>
      </c>
      <c r="O1174">
        <v>60</v>
      </c>
      <c r="P1174">
        <v>55</v>
      </c>
      <c r="Q1174" s="80">
        <v>0</v>
      </c>
      <c r="R1174" s="80">
        <f t="shared" si="147"/>
        <v>-5</v>
      </c>
      <c r="AD1174"/>
    </row>
    <row r="1175" spans="10:30" ht="16.2" customHeight="1">
      <c r="J1175" s="80" t="s">
        <v>725</v>
      </c>
      <c r="K1175" s="80" t="s">
        <v>5357</v>
      </c>
      <c r="L1175" t="s">
        <v>6468</v>
      </c>
      <c r="M1175" t="s">
        <v>159</v>
      </c>
      <c r="N1175" t="str">
        <f t="shared" si="148"/>
        <v>SingleMotorised Saber 12v Remote TrackGather Hook Bottom PocketSingle Face Fix Brackets</v>
      </c>
      <c r="O1175">
        <v>60</v>
      </c>
      <c r="P1175">
        <v>55</v>
      </c>
      <c r="Q1175" s="80">
        <v>0</v>
      </c>
      <c r="R1175" s="80">
        <f t="shared" si="147"/>
        <v>-5</v>
      </c>
      <c r="AD1175"/>
    </row>
    <row r="1176" spans="10:30" ht="16.2" customHeight="1">
      <c r="J1176" s="80" t="s">
        <v>746</v>
      </c>
      <c r="K1176" s="80" t="s">
        <v>5357</v>
      </c>
      <c r="L1176" t="s">
        <v>229</v>
      </c>
      <c r="M1176" t="s">
        <v>159</v>
      </c>
      <c r="N1176" t="str">
        <f t="shared" si="148"/>
        <v>Double FrontMotorised Saber 12v Remote TrackGather Hook LevelSingle Face Fix Brackets</v>
      </c>
      <c r="O1176">
        <v>20</v>
      </c>
      <c r="P1176">
        <v>55</v>
      </c>
      <c r="Q1176" s="80">
        <v>0</v>
      </c>
      <c r="R1176" s="80">
        <f t="shared" si="147"/>
        <v>35</v>
      </c>
      <c r="AD1176"/>
    </row>
    <row r="1177" spans="10:30" ht="16.2" customHeight="1">
      <c r="J1177" s="80" t="s">
        <v>747</v>
      </c>
      <c r="K1177" s="80" t="s">
        <v>5357</v>
      </c>
      <c r="L1177" t="s">
        <v>229</v>
      </c>
      <c r="M1177" t="s">
        <v>159</v>
      </c>
      <c r="N1177" t="str">
        <f t="shared" si="148"/>
        <v>Double RearMotorised Saber 12v Remote TrackGather Hook LevelSingle Face Fix Brackets</v>
      </c>
      <c r="O1177">
        <v>20</v>
      </c>
      <c r="P1177">
        <v>55</v>
      </c>
      <c r="Q1177" s="80">
        <v>0</v>
      </c>
      <c r="R1177" s="80">
        <f t="shared" si="147"/>
        <v>35</v>
      </c>
      <c r="AD1177"/>
    </row>
    <row r="1178" spans="10:30" ht="16.2" customHeight="1">
      <c r="J1178" s="80" t="s">
        <v>725</v>
      </c>
      <c r="K1178" s="80" t="s">
        <v>5357</v>
      </c>
      <c r="L1178" t="s">
        <v>229</v>
      </c>
      <c r="M1178" t="s">
        <v>159</v>
      </c>
      <c r="N1178" t="str">
        <f t="shared" si="148"/>
        <v>SingleMotorised Saber 12v Remote TrackGather Hook LevelSingle Face Fix Brackets</v>
      </c>
      <c r="O1178">
        <v>20</v>
      </c>
      <c r="P1178">
        <v>55</v>
      </c>
      <c r="Q1178" s="80">
        <v>0</v>
      </c>
      <c r="R1178" s="80">
        <f t="shared" si="147"/>
        <v>35</v>
      </c>
      <c r="AD1178"/>
    </row>
    <row r="1179" spans="10:30" ht="16.2" customHeight="1">
      <c r="J1179" s="80" t="s">
        <v>746</v>
      </c>
      <c r="K1179" s="80" t="s">
        <v>5357</v>
      </c>
      <c r="L1179" t="s">
        <v>228</v>
      </c>
      <c r="M1179" t="s">
        <v>159</v>
      </c>
      <c r="N1179" t="str">
        <f t="shared" si="148"/>
        <v>Double FrontMotorised Saber 12v Remote TrackGather Hook NormalSingle Face Fix Brackets</v>
      </c>
      <c r="O1179">
        <v>43</v>
      </c>
      <c r="P1179">
        <v>55</v>
      </c>
      <c r="Q1179" s="80">
        <v>0</v>
      </c>
      <c r="R1179" s="80">
        <f t="shared" si="147"/>
        <v>12</v>
      </c>
      <c r="AD1179"/>
    </row>
    <row r="1180" spans="10:30" ht="16.2" customHeight="1">
      <c r="J1180" s="80" t="s">
        <v>747</v>
      </c>
      <c r="K1180" s="80" t="s">
        <v>5357</v>
      </c>
      <c r="L1180" t="s">
        <v>228</v>
      </c>
      <c r="M1180" t="s">
        <v>159</v>
      </c>
      <c r="N1180" t="str">
        <f t="shared" si="148"/>
        <v>Double RearMotorised Saber 12v Remote TrackGather Hook NormalSingle Face Fix Brackets</v>
      </c>
      <c r="O1180">
        <v>43</v>
      </c>
      <c r="P1180">
        <v>55</v>
      </c>
      <c r="Q1180" s="80">
        <v>0</v>
      </c>
      <c r="R1180" s="80">
        <f t="shared" si="147"/>
        <v>12</v>
      </c>
      <c r="AD1180"/>
    </row>
    <row r="1181" spans="10:30" ht="16.2" customHeight="1">
      <c r="J1181" s="80" t="s">
        <v>725</v>
      </c>
      <c r="K1181" s="80" t="s">
        <v>5357</v>
      </c>
      <c r="L1181" t="s">
        <v>228</v>
      </c>
      <c r="M1181" t="s">
        <v>159</v>
      </c>
      <c r="N1181" t="str">
        <f t="shared" si="148"/>
        <v>SingleMotorised Saber 12v Remote TrackGather Hook NormalSingle Face Fix Brackets</v>
      </c>
      <c r="O1181">
        <v>43</v>
      </c>
      <c r="P1181">
        <v>55</v>
      </c>
      <c r="Q1181" s="80">
        <v>0</v>
      </c>
      <c r="R1181" s="80">
        <f t="shared" si="147"/>
        <v>12</v>
      </c>
      <c r="AD1181"/>
    </row>
    <row r="1182" spans="10:30" ht="16.2" customHeight="1">
      <c r="J1182" s="80" t="s">
        <v>746</v>
      </c>
      <c r="K1182" s="80" t="s">
        <v>5357</v>
      </c>
      <c r="L1182" t="s">
        <v>282</v>
      </c>
      <c r="M1182" t="s">
        <v>159</v>
      </c>
      <c r="N1182" t="str">
        <f t="shared" si="148"/>
        <v>Double FrontMotorised Saber 12v Remote TrackLevel 2072Single Face Fix Brackets</v>
      </c>
      <c r="O1182">
        <v>38</v>
      </c>
      <c r="P1182">
        <v>55</v>
      </c>
      <c r="Q1182" s="80">
        <v>0</v>
      </c>
      <c r="R1182" s="80">
        <f t="shared" si="147"/>
        <v>17</v>
      </c>
      <c r="AD1182"/>
    </row>
    <row r="1183" spans="10:30" ht="16.2" customHeight="1">
      <c r="J1183" s="80" t="s">
        <v>747</v>
      </c>
      <c r="K1183" s="80" t="s">
        <v>5357</v>
      </c>
      <c r="L1183" t="s">
        <v>282</v>
      </c>
      <c r="M1183" t="s">
        <v>159</v>
      </c>
      <c r="N1183" t="str">
        <f t="shared" si="148"/>
        <v>Double RearMotorised Saber 12v Remote TrackLevel 2072Single Face Fix Brackets</v>
      </c>
      <c r="O1183">
        <v>38</v>
      </c>
      <c r="P1183">
        <v>55</v>
      </c>
      <c r="Q1183" s="80">
        <v>0</v>
      </c>
      <c r="R1183" s="80">
        <f t="shared" si="149" ref="R1183:R1246">SUM(P1183)-O1183</f>
        <v>17</v>
      </c>
      <c r="AD1183"/>
    </row>
    <row r="1184" spans="10:30" ht="16.2" customHeight="1">
      <c r="J1184" s="80" t="s">
        <v>725</v>
      </c>
      <c r="K1184" s="80" t="s">
        <v>5357</v>
      </c>
      <c r="L1184" t="s">
        <v>282</v>
      </c>
      <c r="M1184" t="s">
        <v>159</v>
      </c>
      <c r="N1184" t="str">
        <f t="shared" si="148"/>
        <v>SingleMotorised Saber 12v Remote TrackLevel 2072Single Face Fix Brackets</v>
      </c>
      <c r="O1184">
        <v>35</v>
      </c>
      <c r="P1184">
        <v>55</v>
      </c>
      <c r="Q1184" s="80">
        <v>0</v>
      </c>
      <c r="R1184" s="80">
        <f t="shared" si="149"/>
        <v>20</v>
      </c>
      <c r="AD1184"/>
    </row>
    <row r="1185" spans="10:30" ht="16.2" customHeight="1">
      <c r="J1185" s="80" t="s">
        <v>746</v>
      </c>
      <c r="K1185" s="80" t="s">
        <v>5357</v>
      </c>
      <c r="L1185" t="s">
        <v>170</v>
      </c>
      <c r="M1185" t="s">
        <v>159</v>
      </c>
      <c r="N1185" t="str">
        <f t="shared" si="148"/>
        <v>Double FrontMotorised Saber 12v Remote TrackNormal 2074Single Face Fix Brackets</v>
      </c>
      <c r="O1185">
        <v>60</v>
      </c>
      <c r="P1185">
        <v>55</v>
      </c>
      <c r="Q1185" s="80">
        <v>0</v>
      </c>
      <c r="R1185" s="80">
        <f t="shared" si="149"/>
        <v>-5</v>
      </c>
      <c r="AD1185"/>
    </row>
    <row r="1186" spans="10:30" ht="16.2" customHeight="1">
      <c r="J1186" s="80" t="s">
        <v>747</v>
      </c>
      <c r="K1186" s="80" t="s">
        <v>5357</v>
      </c>
      <c r="L1186" t="s">
        <v>170</v>
      </c>
      <c r="M1186" t="s">
        <v>159</v>
      </c>
      <c r="N1186" t="str">
        <f t="shared" si="148"/>
        <v>Double RearMotorised Saber 12v Remote TrackNormal 2074Single Face Fix Brackets</v>
      </c>
      <c r="O1186">
        <v>60</v>
      </c>
      <c r="P1186">
        <v>55</v>
      </c>
      <c r="Q1186" s="80">
        <v>0</v>
      </c>
      <c r="R1186" s="80">
        <f t="shared" si="149"/>
        <v>-5</v>
      </c>
      <c r="AD1186"/>
    </row>
    <row r="1187" spans="10:30" ht="16.2" customHeight="1">
      <c r="J1187" s="80" t="s">
        <v>725</v>
      </c>
      <c r="K1187" s="80" t="s">
        <v>5357</v>
      </c>
      <c r="L1187" t="s">
        <v>170</v>
      </c>
      <c r="M1187" t="s">
        <v>159</v>
      </c>
      <c r="N1187" t="str">
        <f t="shared" si="148"/>
        <v>SingleMotorised Saber 12v Remote TrackNormal 2074Single Face Fix Brackets</v>
      </c>
      <c r="O1187">
        <v>60</v>
      </c>
      <c r="P1187">
        <v>55</v>
      </c>
      <c r="Q1187" s="80">
        <v>0</v>
      </c>
      <c r="R1187" s="80">
        <f t="shared" si="149"/>
        <v>-5</v>
      </c>
      <c r="AD1187"/>
    </row>
    <row r="1188" spans="10:30" ht="16.2" customHeight="1">
      <c r="J1188" s="80" t="s">
        <v>746</v>
      </c>
      <c r="K1188" s="80" t="s">
        <v>5357</v>
      </c>
      <c r="L1188" t="s">
        <v>183</v>
      </c>
      <c r="M1188" t="s">
        <v>161</v>
      </c>
      <c r="N1188" t="str">
        <f t="shared" si="148"/>
        <v>Double FrontMotorised Saber 12v Remote TrackBelow Normal 2075Top Fix Brackets</v>
      </c>
      <c r="O1188">
        <v>70</v>
      </c>
      <c r="P1188">
        <v>50</v>
      </c>
      <c r="Q1188" s="80">
        <v>0</v>
      </c>
      <c r="R1188" s="80">
        <f t="shared" si="149"/>
        <v>-20</v>
      </c>
      <c r="AD1188"/>
    </row>
    <row r="1189" spans="10:30" ht="16.2" customHeight="1">
      <c r="J1189" s="80" t="s">
        <v>747</v>
      </c>
      <c r="K1189" s="80" t="s">
        <v>5357</v>
      </c>
      <c r="L1189" t="s">
        <v>183</v>
      </c>
      <c r="M1189" t="s">
        <v>161</v>
      </c>
      <c r="N1189" t="str">
        <f t="shared" si="148"/>
        <v>Double RearMotorised Saber 12v Remote TrackBelow Normal 2075Top Fix Brackets</v>
      </c>
      <c r="O1189">
        <v>70</v>
      </c>
      <c r="P1189">
        <v>50</v>
      </c>
      <c r="Q1189" s="80">
        <v>0</v>
      </c>
      <c r="R1189" s="80">
        <f t="shared" si="149"/>
        <v>-20</v>
      </c>
      <c r="AD1189"/>
    </row>
    <row r="1190" spans="10:30" ht="16.2" customHeight="1">
      <c r="J1190" s="80" t="s">
        <v>725</v>
      </c>
      <c r="K1190" s="80" t="s">
        <v>5357</v>
      </c>
      <c r="L1190" t="s">
        <v>183</v>
      </c>
      <c r="M1190" t="s">
        <v>161</v>
      </c>
      <c r="N1190" t="str">
        <f t="shared" si="148"/>
        <v>SingleMotorised Saber 12v Remote TrackBelow Normal 2075Top Fix Brackets</v>
      </c>
      <c r="O1190">
        <v>70</v>
      </c>
      <c r="P1190">
        <v>50</v>
      </c>
      <c r="Q1190" s="80">
        <v>0</v>
      </c>
      <c r="R1190" s="80">
        <f t="shared" si="149"/>
        <v>-20</v>
      </c>
      <c r="AD1190"/>
    </row>
    <row r="1191" spans="10:30" ht="16.2" customHeight="1">
      <c r="J1191" s="80" t="s">
        <v>746</v>
      </c>
      <c r="K1191" s="80" t="s">
        <v>5357</v>
      </c>
      <c r="L1191" t="s">
        <v>182</v>
      </c>
      <c r="M1191" t="s">
        <v>161</v>
      </c>
      <c r="N1191" t="str">
        <f t="shared" si="148"/>
        <v>Double FrontMotorised Saber 12v Remote TrackBetween Level and Normal 2073Top Fix Brackets</v>
      </c>
      <c r="O1191">
        <v>48</v>
      </c>
      <c r="P1191">
        <v>50</v>
      </c>
      <c r="Q1191" s="80">
        <v>0</v>
      </c>
      <c r="R1191" s="80">
        <f t="shared" si="149"/>
        <v>2</v>
      </c>
      <c r="AD1191"/>
    </row>
    <row r="1192" spans="10:30" ht="16.2" customHeight="1">
      <c r="J1192" s="80" t="s">
        <v>747</v>
      </c>
      <c r="K1192" s="80" t="s">
        <v>5357</v>
      </c>
      <c r="L1192" t="s">
        <v>182</v>
      </c>
      <c r="M1192" t="s">
        <v>161</v>
      </c>
      <c r="N1192" t="str">
        <f t="shared" si="148"/>
        <v>Double RearMotorised Saber 12v Remote TrackBetween Level and Normal 2073Top Fix Brackets</v>
      </c>
      <c r="O1192">
        <v>48</v>
      </c>
      <c r="P1192">
        <v>50</v>
      </c>
      <c r="Q1192" s="80">
        <v>0</v>
      </c>
      <c r="R1192" s="80">
        <f t="shared" si="149"/>
        <v>2</v>
      </c>
      <c r="AD1192"/>
    </row>
    <row r="1193" spans="10:30" ht="16.2" customHeight="1">
      <c r="J1193" s="80" t="s">
        <v>725</v>
      </c>
      <c r="K1193" s="80" t="s">
        <v>5357</v>
      </c>
      <c r="L1193" t="s">
        <v>182</v>
      </c>
      <c r="M1193" t="s">
        <v>161</v>
      </c>
      <c r="N1193" t="str">
        <f t="shared" si="148"/>
        <v>SingleMotorised Saber 12v Remote TrackBetween Level and Normal 2073Top Fix Brackets</v>
      </c>
      <c r="O1193">
        <v>47</v>
      </c>
      <c r="P1193">
        <v>50</v>
      </c>
      <c r="Q1193" s="80">
        <v>0</v>
      </c>
      <c r="R1193" s="80">
        <f t="shared" si="149"/>
        <v>3</v>
      </c>
      <c r="AD1193"/>
    </row>
    <row r="1194" spans="10:30" ht="16.2" customHeight="1">
      <c r="J1194" s="80" t="s">
        <v>746</v>
      </c>
      <c r="K1194" s="80" t="s">
        <v>5357</v>
      </c>
      <c r="L1194" t="s">
        <v>184</v>
      </c>
      <c r="M1194" t="s">
        <v>161</v>
      </c>
      <c r="N1194" t="str">
        <f t="shared" si="148"/>
        <v>Double FrontMotorised Saber 12v Remote TrackDecorator 2071Top Fix Brackets</v>
      </c>
      <c r="O1194">
        <v>20</v>
      </c>
      <c r="P1194">
        <v>50</v>
      </c>
      <c r="Q1194" s="80">
        <v>0</v>
      </c>
      <c r="R1194" s="80">
        <f t="shared" si="149"/>
        <v>30</v>
      </c>
      <c r="AD1194"/>
    </row>
    <row r="1195" spans="10:30" ht="16.2" customHeight="1">
      <c r="J1195" s="80" t="s">
        <v>747</v>
      </c>
      <c r="K1195" s="80" t="s">
        <v>5357</v>
      </c>
      <c r="L1195" t="s">
        <v>184</v>
      </c>
      <c r="M1195" t="s">
        <v>161</v>
      </c>
      <c r="N1195" t="str">
        <f t="shared" si="148"/>
        <v>Double RearMotorised Saber 12v Remote TrackDecorator 2071Top Fix Brackets</v>
      </c>
      <c r="O1195">
        <v>20</v>
      </c>
      <c r="P1195">
        <v>50</v>
      </c>
      <c r="Q1195" s="80">
        <v>0</v>
      </c>
      <c r="R1195" s="80">
        <f t="shared" si="149"/>
        <v>30</v>
      </c>
      <c r="AD1195"/>
    </row>
    <row r="1196" spans="10:30" ht="16.2" customHeight="1">
      <c r="J1196" s="80" t="s">
        <v>725</v>
      </c>
      <c r="K1196" s="80" t="s">
        <v>5357</v>
      </c>
      <c r="L1196" t="s">
        <v>184</v>
      </c>
      <c r="M1196" t="s">
        <v>161</v>
      </c>
      <c r="N1196" t="str">
        <f t="shared" si="148"/>
        <v>SingleMotorised Saber 12v Remote TrackDecorator 2071Top Fix Brackets</v>
      </c>
      <c r="O1196">
        <v>20</v>
      </c>
      <c r="P1196">
        <v>50</v>
      </c>
      <c r="Q1196" s="80">
        <v>0</v>
      </c>
      <c r="R1196" s="80">
        <f t="shared" si="149"/>
        <v>30</v>
      </c>
      <c r="AD1196"/>
    </row>
    <row r="1197" spans="10:30" ht="16.2" customHeight="1">
      <c r="J1197" s="80" t="s">
        <v>746</v>
      </c>
      <c r="K1197" s="80" t="s">
        <v>5357</v>
      </c>
      <c r="L1197" t="s">
        <v>6468</v>
      </c>
      <c r="M1197" t="s">
        <v>161</v>
      </c>
      <c r="N1197" t="str">
        <f t="shared" si="148"/>
        <v>Double FrontMotorised Saber 12v Remote TrackGather Hook Bottom PocketTop Fix Brackets</v>
      </c>
      <c r="O1197">
        <v>60</v>
      </c>
      <c r="P1197">
        <v>50</v>
      </c>
      <c r="Q1197" s="80">
        <v>0</v>
      </c>
      <c r="R1197" s="80">
        <f t="shared" si="149"/>
        <v>-10</v>
      </c>
      <c r="AD1197"/>
    </row>
    <row r="1198" spans="10:30" ht="16.2" customHeight="1">
      <c r="J1198" s="80" t="s">
        <v>725</v>
      </c>
      <c r="K1198" s="80" t="s">
        <v>5357</v>
      </c>
      <c r="L1198" t="s">
        <v>6468</v>
      </c>
      <c r="M1198" t="s">
        <v>161</v>
      </c>
      <c r="N1198" t="str">
        <f t="shared" si="148"/>
        <v>SingleMotorised Saber 12v Remote TrackGather Hook Bottom PocketTop Fix Brackets</v>
      </c>
      <c r="O1198">
        <v>60</v>
      </c>
      <c r="P1198">
        <v>50</v>
      </c>
      <c r="Q1198" s="80">
        <v>0</v>
      </c>
      <c r="R1198" s="80">
        <f t="shared" si="149"/>
        <v>-10</v>
      </c>
      <c r="AD1198"/>
    </row>
    <row r="1199" spans="10:30" ht="16.2" customHeight="1">
      <c r="J1199" s="80" t="s">
        <v>746</v>
      </c>
      <c r="K1199" s="80" t="s">
        <v>5357</v>
      </c>
      <c r="L1199" t="s">
        <v>229</v>
      </c>
      <c r="M1199" t="s">
        <v>161</v>
      </c>
      <c r="N1199" t="str">
        <f t="shared" si="148"/>
        <v>Double FrontMotorised Saber 12v Remote TrackGather Hook LevelTop Fix Brackets</v>
      </c>
      <c r="O1199">
        <v>20</v>
      </c>
      <c r="P1199">
        <v>50</v>
      </c>
      <c r="Q1199" s="80">
        <v>0</v>
      </c>
      <c r="R1199" s="80">
        <f t="shared" si="149"/>
        <v>30</v>
      </c>
      <c r="AD1199"/>
    </row>
    <row r="1200" spans="10:30" ht="16.2" customHeight="1">
      <c r="J1200" s="80" t="s">
        <v>747</v>
      </c>
      <c r="K1200" s="80" t="s">
        <v>5357</v>
      </c>
      <c r="L1200" t="s">
        <v>229</v>
      </c>
      <c r="M1200" t="s">
        <v>161</v>
      </c>
      <c r="N1200" t="str">
        <f t="shared" si="148"/>
        <v>Double RearMotorised Saber 12v Remote TrackGather Hook LevelTop Fix Brackets</v>
      </c>
      <c r="O1200">
        <v>20</v>
      </c>
      <c r="P1200">
        <v>50</v>
      </c>
      <c r="Q1200" s="80">
        <v>0</v>
      </c>
      <c r="R1200" s="80">
        <f t="shared" si="149"/>
        <v>30</v>
      </c>
      <c r="AD1200"/>
    </row>
    <row r="1201" spans="10:30" ht="16.2" customHeight="1">
      <c r="J1201" s="80" t="s">
        <v>725</v>
      </c>
      <c r="K1201" s="80" t="s">
        <v>5357</v>
      </c>
      <c r="L1201" t="s">
        <v>229</v>
      </c>
      <c r="M1201" t="s">
        <v>161</v>
      </c>
      <c r="N1201" t="str">
        <f t="shared" si="148"/>
        <v>SingleMotorised Saber 12v Remote TrackGather Hook LevelTop Fix Brackets</v>
      </c>
      <c r="O1201">
        <v>20</v>
      </c>
      <c r="P1201">
        <v>50</v>
      </c>
      <c r="Q1201" s="80">
        <v>0</v>
      </c>
      <c r="R1201" s="80">
        <f t="shared" si="149"/>
        <v>30</v>
      </c>
      <c r="AD1201"/>
    </row>
    <row r="1202" spans="10:30" ht="16.2" customHeight="1">
      <c r="J1202" s="80" t="s">
        <v>746</v>
      </c>
      <c r="K1202" s="80" t="s">
        <v>5357</v>
      </c>
      <c r="L1202" t="s">
        <v>228</v>
      </c>
      <c r="M1202" t="s">
        <v>161</v>
      </c>
      <c r="N1202" t="str">
        <f t="shared" si="148"/>
        <v>Double FrontMotorised Saber 12v Remote TrackGather Hook NormalTop Fix Brackets</v>
      </c>
      <c r="O1202">
        <v>43</v>
      </c>
      <c r="P1202">
        <v>50</v>
      </c>
      <c r="Q1202" s="80">
        <v>0</v>
      </c>
      <c r="R1202" s="80">
        <f t="shared" si="149"/>
        <v>7</v>
      </c>
      <c r="AD1202"/>
    </row>
    <row r="1203" spans="10:30" ht="16.2" customHeight="1">
      <c r="J1203" s="80" t="s">
        <v>747</v>
      </c>
      <c r="K1203" s="80" t="s">
        <v>5357</v>
      </c>
      <c r="L1203" t="s">
        <v>228</v>
      </c>
      <c r="M1203" t="s">
        <v>161</v>
      </c>
      <c r="N1203" t="str">
        <f t="shared" si="148"/>
        <v>Double RearMotorised Saber 12v Remote TrackGather Hook NormalTop Fix Brackets</v>
      </c>
      <c r="O1203">
        <v>43</v>
      </c>
      <c r="P1203">
        <v>50</v>
      </c>
      <c r="Q1203" s="80">
        <v>0</v>
      </c>
      <c r="R1203" s="80">
        <f t="shared" si="149"/>
        <v>7</v>
      </c>
      <c r="AD1203"/>
    </row>
    <row r="1204" spans="10:30" ht="16.2" customHeight="1">
      <c r="J1204" s="80" t="s">
        <v>725</v>
      </c>
      <c r="K1204" s="80" t="s">
        <v>5357</v>
      </c>
      <c r="L1204" t="s">
        <v>228</v>
      </c>
      <c r="M1204" t="s">
        <v>161</v>
      </c>
      <c r="N1204" t="str">
        <f t="shared" si="148"/>
        <v>SingleMotorised Saber 12v Remote TrackGather Hook NormalTop Fix Brackets</v>
      </c>
      <c r="O1204">
        <v>43</v>
      </c>
      <c r="P1204">
        <v>50</v>
      </c>
      <c r="Q1204" s="80">
        <v>0</v>
      </c>
      <c r="R1204" s="80">
        <f t="shared" si="149"/>
        <v>7</v>
      </c>
      <c r="AD1204"/>
    </row>
    <row r="1205" spans="10:30" ht="16.2" customHeight="1">
      <c r="J1205" s="80" t="s">
        <v>746</v>
      </c>
      <c r="K1205" s="80" t="s">
        <v>5357</v>
      </c>
      <c r="L1205" t="s">
        <v>282</v>
      </c>
      <c r="M1205" t="s">
        <v>161</v>
      </c>
      <c r="N1205" t="str">
        <f t="shared" si="148"/>
        <v>Double FrontMotorised Saber 12v Remote TrackLevel 2072Top Fix Brackets</v>
      </c>
      <c r="O1205">
        <v>38</v>
      </c>
      <c r="P1205">
        <v>50</v>
      </c>
      <c r="Q1205" s="80">
        <v>0</v>
      </c>
      <c r="R1205" s="80">
        <f t="shared" si="149"/>
        <v>12</v>
      </c>
      <c r="AD1205"/>
    </row>
    <row r="1206" spans="10:30" ht="16.2" customHeight="1">
      <c r="J1206" s="80" t="s">
        <v>747</v>
      </c>
      <c r="K1206" s="80" t="s">
        <v>5357</v>
      </c>
      <c r="L1206" t="s">
        <v>282</v>
      </c>
      <c r="M1206" t="s">
        <v>161</v>
      </c>
      <c r="N1206" t="str">
        <f t="shared" si="148"/>
        <v>Double RearMotorised Saber 12v Remote TrackLevel 2072Top Fix Brackets</v>
      </c>
      <c r="O1206">
        <v>38</v>
      </c>
      <c r="P1206">
        <v>50</v>
      </c>
      <c r="Q1206" s="80">
        <v>0</v>
      </c>
      <c r="R1206" s="80">
        <f t="shared" si="149"/>
        <v>12</v>
      </c>
      <c r="AD1206"/>
    </row>
    <row r="1207" spans="10:30" ht="16.2" customHeight="1">
      <c r="J1207" s="80" t="s">
        <v>725</v>
      </c>
      <c r="K1207" s="80" t="s">
        <v>5357</v>
      </c>
      <c r="L1207" t="s">
        <v>282</v>
      </c>
      <c r="M1207" t="s">
        <v>161</v>
      </c>
      <c r="N1207" t="str">
        <f t="shared" si="148"/>
        <v>SingleMotorised Saber 12v Remote TrackLevel 2072Top Fix Brackets</v>
      </c>
      <c r="O1207">
        <v>35</v>
      </c>
      <c r="P1207">
        <v>50</v>
      </c>
      <c r="Q1207" s="80">
        <v>0</v>
      </c>
      <c r="R1207" s="80">
        <f t="shared" si="149"/>
        <v>15</v>
      </c>
      <c r="AD1207"/>
    </row>
    <row r="1208" spans="10:30" ht="16.2" customHeight="1">
      <c r="J1208" s="80" t="s">
        <v>746</v>
      </c>
      <c r="K1208" s="80" t="s">
        <v>5357</v>
      </c>
      <c r="L1208" t="s">
        <v>170</v>
      </c>
      <c r="M1208" t="s">
        <v>161</v>
      </c>
      <c r="N1208" t="str">
        <f t="shared" si="148"/>
        <v>Double FrontMotorised Saber 12v Remote TrackNormal 2074Top Fix Brackets</v>
      </c>
      <c r="O1208">
        <v>60</v>
      </c>
      <c r="P1208">
        <v>50</v>
      </c>
      <c r="Q1208" s="80">
        <v>0</v>
      </c>
      <c r="R1208" s="80">
        <f t="shared" si="149"/>
        <v>-10</v>
      </c>
      <c r="AD1208"/>
    </row>
    <row r="1209" spans="10:30" ht="16.2" customHeight="1">
      <c r="J1209" s="80" t="s">
        <v>747</v>
      </c>
      <c r="K1209" s="80" t="s">
        <v>5357</v>
      </c>
      <c r="L1209" t="s">
        <v>170</v>
      </c>
      <c r="M1209" t="s">
        <v>161</v>
      </c>
      <c r="N1209" t="str">
        <f t="shared" si="148"/>
        <v>Double RearMotorised Saber 12v Remote TrackNormal 2074Top Fix Brackets</v>
      </c>
      <c r="O1209">
        <v>60</v>
      </c>
      <c r="P1209">
        <v>50</v>
      </c>
      <c r="Q1209" s="80">
        <v>0</v>
      </c>
      <c r="R1209" s="80">
        <f t="shared" si="149"/>
        <v>-10</v>
      </c>
      <c r="AD1209"/>
    </row>
    <row r="1210" spans="10:30" ht="16.2" customHeight="1">
      <c r="J1210" s="80" t="s">
        <v>725</v>
      </c>
      <c r="K1210" s="80" t="s">
        <v>5357</v>
      </c>
      <c r="L1210" t="s">
        <v>170</v>
      </c>
      <c r="M1210" t="s">
        <v>161</v>
      </c>
      <c r="N1210" t="str">
        <f t="shared" si="148"/>
        <v>SingleMotorised Saber 12v Remote TrackNormal 2074Top Fix Brackets</v>
      </c>
      <c r="O1210">
        <v>60</v>
      </c>
      <c r="P1210">
        <v>50</v>
      </c>
      <c r="Q1210" s="80">
        <v>0</v>
      </c>
      <c r="R1210" s="80">
        <f t="shared" si="149"/>
        <v>-10</v>
      </c>
      <c r="AD1210"/>
    </row>
    <row r="1211" spans="10:30" ht="16.2" customHeight="1">
      <c r="J1211" s="80" t="s">
        <v>746</v>
      </c>
      <c r="K1211" s="80" t="s">
        <v>5354</v>
      </c>
      <c r="L1211" t="s">
        <v>183</v>
      </c>
      <c r="M1211" t="s">
        <v>162</v>
      </c>
      <c r="N1211" t="str">
        <f t="shared" si="148"/>
        <v>Double FrontMotorised Saber 240v Remote TrackBelow Normal 2075Double Face Fix Brackets</v>
      </c>
      <c r="O1211">
        <v>70</v>
      </c>
      <c r="P1211">
        <v>59</v>
      </c>
      <c r="Q1211" s="80">
        <v>0</v>
      </c>
      <c r="R1211" s="80">
        <f t="shared" si="149"/>
        <v>-11</v>
      </c>
      <c r="AD1211"/>
    </row>
    <row r="1212" spans="10:30" ht="16.2" customHeight="1">
      <c r="J1212" s="80" t="s">
        <v>747</v>
      </c>
      <c r="K1212" s="80" t="s">
        <v>5354</v>
      </c>
      <c r="L1212" t="s">
        <v>183</v>
      </c>
      <c r="M1212" t="s">
        <v>162</v>
      </c>
      <c r="N1212" t="str">
        <f t="shared" si="148"/>
        <v>Double RearMotorised Saber 240v Remote TrackBelow Normal 2075Double Face Fix Brackets</v>
      </c>
      <c r="O1212">
        <v>70</v>
      </c>
      <c r="P1212">
        <v>59</v>
      </c>
      <c r="Q1212" s="80">
        <v>0</v>
      </c>
      <c r="R1212" s="80">
        <f t="shared" si="149"/>
        <v>-11</v>
      </c>
      <c r="AD1212"/>
    </row>
    <row r="1213" spans="10:30" ht="16.2" customHeight="1">
      <c r="J1213" s="80" t="s">
        <v>725</v>
      </c>
      <c r="K1213" s="80" t="s">
        <v>5354</v>
      </c>
      <c r="L1213" t="s">
        <v>183</v>
      </c>
      <c r="M1213" t="s">
        <v>162</v>
      </c>
      <c r="N1213" t="str">
        <f t="shared" si="148"/>
        <v>SingleMotorised Saber 240v Remote TrackBelow Normal 2075Double Face Fix Brackets</v>
      </c>
      <c r="O1213">
        <v>70</v>
      </c>
      <c r="P1213">
        <v>59</v>
      </c>
      <c r="Q1213" s="80">
        <v>0</v>
      </c>
      <c r="R1213" s="80">
        <f t="shared" si="149"/>
        <v>-11</v>
      </c>
      <c r="AD1213"/>
    </row>
    <row r="1214" spans="10:30" ht="16.2" customHeight="1">
      <c r="J1214" s="80" t="s">
        <v>746</v>
      </c>
      <c r="K1214" s="80" t="s">
        <v>5354</v>
      </c>
      <c r="L1214" t="s">
        <v>182</v>
      </c>
      <c r="M1214" t="s">
        <v>162</v>
      </c>
      <c r="N1214" t="str">
        <f t="shared" si="148"/>
        <v>Double FrontMotorised Saber 240v Remote TrackBetween Level and Normal 2073Double Face Fix Brackets</v>
      </c>
      <c r="O1214">
        <v>48</v>
      </c>
      <c r="P1214">
        <v>59</v>
      </c>
      <c r="Q1214" s="80">
        <v>0</v>
      </c>
      <c r="R1214" s="80">
        <f t="shared" si="149"/>
        <v>11</v>
      </c>
      <c r="AD1214"/>
    </row>
    <row r="1215" spans="10:30" ht="16.2" customHeight="1">
      <c r="J1215" s="80" t="s">
        <v>747</v>
      </c>
      <c r="K1215" s="80" t="s">
        <v>5354</v>
      </c>
      <c r="L1215" t="s">
        <v>182</v>
      </c>
      <c r="M1215" t="s">
        <v>162</v>
      </c>
      <c r="N1215" t="str">
        <f t="shared" si="148"/>
        <v>Double RearMotorised Saber 240v Remote TrackBetween Level and Normal 2073Double Face Fix Brackets</v>
      </c>
      <c r="O1215">
        <v>48</v>
      </c>
      <c r="P1215">
        <v>59</v>
      </c>
      <c r="Q1215" s="80">
        <v>0</v>
      </c>
      <c r="R1215" s="80">
        <f t="shared" si="149"/>
        <v>11</v>
      </c>
      <c r="AD1215"/>
    </row>
    <row r="1216" spans="10:30" ht="16.2" customHeight="1">
      <c r="J1216" s="80" t="s">
        <v>725</v>
      </c>
      <c r="K1216" s="80" t="s">
        <v>5354</v>
      </c>
      <c r="L1216" t="s">
        <v>182</v>
      </c>
      <c r="M1216" t="s">
        <v>162</v>
      </c>
      <c r="N1216" t="str">
        <f t="shared" si="148"/>
        <v>SingleMotorised Saber 240v Remote TrackBetween Level and Normal 2073Double Face Fix Brackets</v>
      </c>
      <c r="O1216">
        <v>47</v>
      </c>
      <c r="P1216">
        <v>59</v>
      </c>
      <c r="Q1216" s="80">
        <v>0</v>
      </c>
      <c r="R1216" s="80">
        <f t="shared" si="149"/>
        <v>12</v>
      </c>
      <c r="AD1216"/>
    </row>
    <row r="1217" spans="10:30" ht="16.2" customHeight="1">
      <c r="J1217" s="80" t="s">
        <v>746</v>
      </c>
      <c r="K1217" s="80" t="s">
        <v>5354</v>
      </c>
      <c r="L1217" t="s">
        <v>184</v>
      </c>
      <c r="M1217" t="s">
        <v>162</v>
      </c>
      <c r="N1217" t="str">
        <f t="shared" si="148"/>
        <v>Double FrontMotorised Saber 240v Remote TrackDecorator 2071Double Face Fix Brackets</v>
      </c>
      <c r="O1217">
        <v>20</v>
      </c>
      <c r="P1217">
        <v>59</v>
      </c>
      <c r="Q1217" s="80">
        <v>0</v>
      </c>
      <c r="R1217" s="80">
        <f t="shared" si="149"/>
        <v>39</v>
      </c>
      <c r="AD1217"/>
    </row>
    <row r="1218" spans="10:30" ht="16.2" customHeight="1">
      <c r="J1218" s="80" t="s">
        <v>747</v>
      </c>
      <c r="K1218" s="80" t="s">
        <v>5354</v>
      </c>
      <c r="L1218" t="s">
        <v>184</v>
      </c>
      <c r="M1218" t="s">
        <v>162</v>
      </c>
      <c r="N1218" t="str">
        <f t="shared" si="150" ref="N1218:N1281">(CONCATENATE(J1218,K1218,L1218,M1218))</f>
        <v>Double RearMotorised Saber 240v Remote TrackDecorator 2071Double Face Fix Brackets</v>
      </c>
      <c r="O1218">
        <v>20</v>
      </c>
      <c r="P1218">
        <v>59</v>
      </c>
      <c r="Q1218" s="80">
        <v>0</v>
      </c>
      <c r="R1218" s="80">
        <f t="shared" si="149"/>
        <v>39</v>
      </c>
      <c r="AD1218"/>
    </row>
    <row r="1219" spans="10:30" ht="16.2" customHeight="1">
      <c r="J1219" s="80" t="s">
        <v>725</v>
      </c>
      <c r="K1219" s="80" t="s">
        <v>5354</v>
      </c>
      <c r="L1219" t="s">
        <v>184</v>
      </c>
      <c r="M1219" t="s">
        <v>162</v>
      </c>
      <c r="N1219" t="str">
        <f t="shared" si="150"/>
        <v>SingleMotorised Saber 240v Remote TrackDecorator 2071Double Face Fix Brackets</v>
      </c>
      <c r="O1219">
        <v>20</v>
      </c>
      <c r="P1219">
        <v>59</v>
      </c>
      <c r="Q1219" s="80">
        <v>0</v>
      </c>
      <c r="R1219" s="80">
        <f t="shared" si="149"/>
        <v>39</v>
      </c>
      <c r="AD1219"/>
    </row>
    <row r="1220" spans="10:30" ht="16.2" customHeight="1">
      <c r="J1220" s="80" t="s">
        <v>746</v>
      </c>
      <c r="K1220" s="80" t="s">
        <v>5354</v>
      </c>
      <c r="L1220" t="s">
        <v>6468</v>
      </c>
      <c r="M1220" t="s">
        <v>162</v>
      </c>
      <c r="N1220" t="str">
        <f t="shared" si="150"/>
        <v>Double FrontMotorised Saber 240v Remote TrackGather Hook Bottom PocketDouble Face Fix Brackets</v>
      </c>
      <c r="O1220">
        <v>60</v>
      </c>
      <c r="P1220">
        <v>59</v>
      </c>
      <c r="Q1220" s="80">
        <v>0</v>
      </c>
      <c r="R1220" s="80">
        <f t="shared" si="149"/>
        <v>-1</v>
      </c>
      <c r="AD1220"/>
    </row>
    <row r="1221" spans="10:30" ht="16.2" customHeight="1">
      <c r="J1221" s="80" t="s">
        <v>725</v>
      </c>
      <c r="K1221" s="80" t="s">
        <v>5354</v>
      </c>
      <c r="L1221" t="s">
        <v>6468</v>
      </c>
      <c r="M1221" t="s">
        <v>162</v>
      </c>
      <c r="N1221" t="str">
        <f t="shared" si="150"/>
        <v>SingleMotorised Saber 240v Remote TrackGather Hook Bottom PocketDouble Face Fix Brackets</v>
      </c>
      <c r="O1221">
        <v>60</v>
      </c>
      <c r="P1221">
        <v>59</v>
      </c>
      <c r="Q1221" s="80">
        <v>0</v>
      </c>
      <c r="R1221" s="80">
        <f t="shared" si="149"/>
        <v>-1</v>
      </c>
      <c r="AD1221"/>
    </row>
    <row r="1222" spans="10:30" ht="16.2" customHeight="1">
      <c r="J1222" s="80" t="s">
        <v>746</v>
      </c>
      <c r="K1222" s="80" t="s">
        <v>5354</v>
      </c>
      <c r="L1222" t="s">
        <v>229</v>
      </c>
      <c r="M1222" t="s">
        <v>162</v>
      </c>
      <c r="N1222" t="str">
        <f t="shared" si="150"/>
        <v>Double FrontMotorised Saber 240v Remote TrackGather Hook LevelDouble Face Fix Brackets</v>
      </c>
      <c r="O1222">
        <v>20</v>
      </c>
      <c r="P1222">
        <v>59</v>
      </c>
      <c r="Q1222" s="80">
        <v>0</v>
      </c>
      <c r="R1222" s="80">
        <f t="shared" si="149"/>
        <v>39</v>
      </c>
      <c r="AD1222"/>
    </row>
    <row r="1223" spans="10:30" ht="16.2" customHeight="1">
      <c r="J1223" s="80" t="s">
        <v>747</v>
      </c>
      <c r="K1223" s="80" t="s">
        <v>5354</v>
      </c>
      <c r="L1223" t="s">
        <v>229</v>
      </c>
      <c r="M1223" t="s">
        <v>162</v>
      </c>
      <c r="N1223" t="str">
        <f t="shared" si="150"/>
        <v>Double RearMotorised Saber 240v Remote TrackGather Hook LevelDouble Face Fix Brackets</v>
      </c>
      <c r="O1223">
        <v>20</v>
      </c>
      <c r="P1223">
        <v>59</v>
      </c>
      <c r="Q1223" s="80">
        <v>0</v>
      </c>
      <c r="R1223" s="80">
        <f t="shared" si="149"/>
        <v>39</v>
      </c>
      <c r="AD1223"/>
    </row>
    <row r="1224" spans="10:30" ht="16.2" customHeight="1">
      <c r="J1224" s="80" t="s">
        <v>725</v>
      </c>
      <c r="K1224" s="80" t="s">
        <v>5354</v>
      </c>
      <c r="L1224" t="s">
        <v>229</v>
      </c>
      <c r="M1224" t="s">
        <v>162</v>
      </c>
      <c r="N1224" t="str">
        <f t="shared" si="150"/>
        <v>SingleMotorised Saber 240v Remote TrackGather Hook LevelDouble Face Fix Brackets</v>
      </c>
      <c r="O1224">
        <v>20</v>
      </c>
      <c r="P1224">
        <v>59</v>
      </c>
      <c r="Q1224" s="80">
        <v>0</v>
      </c>
      <c r="R1224" s="80">
        <f t="shared" si="149"/>
        <v>39</v>
      </c>
      <c r="AD1224"/>
    </row>
    <row r="1225" spans="10:30" ht="16.2" customHeight="1">
      <c r="J1225" s="80" t="s">
        <v>746</v>
      </c>
      <c r="K1225" s="80" t="s">
        <v>5354</v>
      </c>
      <c r="L1225" t="s">
        <v>228</v>
      </c>
      <c r="M1225" t="s">
        <v>162</v>
      </c>
      <c r="N1225" t="str">
        <f t="shared" si="150"/>
        <v>Double FrontMotorised Saber 240v Remote TrackGather Hook NormalDouble Face Fix Brackets</v>
      </c>
      <c r="O1225">
        <v>43</v>
      </c>
      <c r="P1225">
        <v>59</v>
      </c>
      <c r="Q1225" s="80">
        <v>0</v>
      </c>
      <c r="R1225" s="80">
        <f t="shared" si="149"/>
        <v>16</v>
      </c>
      <c r="AD1225"/>
    </row>
    <row r="1226" spans="10:30" ht="16.2" customHeight="1">
      <c r="J1226" s="80" t="s">
        <v>747</v>
      </c>
      <c r="K1226" s="80" t="s">
        <v>5354</v>
      </c>
      <c r="L1226" t="s">
        <v>228</v>
      </c>
      <c r="M1226" t="s">
        <v>162</v>
      </c>
      <c r="N1226" t="str">
        <f t="shared" si="150"/>
        <v>Double RearMotorised Saber 240v Remote TrackGather Hook NormalDouble Face Fix Brackets</v>
      </c>
      <c r="O1226">
        <v>43</v>
      </c>
      <c r="P1226">
        <v>59</v>
      </c>
      <c r="Q1226" s="80">
        <v>0</v>
      </c>
      <c r="R1226" s="80">
        <f t="shared" si="149"/>
        <v>16</v>
      </c>
      <c r="AD1226"/>
    </row>
    <row r="1227" spans="10:30" ht="16.2" customHeight="1">
      <c r="J1227" s="80" t="s">
        <v>725</v>
      </c>
      <c r="K1227" s="80" t="s">
        <v>5354</v>
      </c>
      <c r="L1227" t="s">
        <v>228</v>
      </c>
      <c r="M1227" t="s">
        <v>162</v>
      </c>
      <c r="N1227" t="str">
        <f t="shared" si="150"/>
        <v>SingleMotorised Saber 240v Remote TrackGather Hook NormalDouble Face Fix Brackets</v>
      </c>
      <c r="O1227">
        <v>43</v>
      </c>
      <c r="P1227">
        <v>59</v>
      </c>
      <c r="Q1227" s="80">
        <v>0</v>
      </c>
      <c r="R1227" s="80">
        <f t="shared" si="149"/>
        <v>16</v>
      </c>
      <c r="AD1227"/>
    </row>
    <row r="1228" spans="10:30" ht="16.2" customHeight="1">
      <c r="J1228" s="80" t="s">
        <v>746</v>
      </c>
      <c r="K1228" s="80" t="s">
        <v>5354</v>
      </c>
      <c r="L1228" t="s">
        <v>282</v>
      </c>
      <c r="M1228" t="s">
        <v>162</v>
      </c>
      <c r="N1228" t="str">
        <f t="shared" si="150"/>
        <v>Double FrontMotorised Saber 240v Remote TrackLevel 2072Double Face Fix Brackets</v>
      </c>
      <c r="O1228">
        <v>38</v>
      </c>
      <c r="P1228">
        <v>59</v>
      </c>
      <c r="Q1228" s="80">
        <v>0</v>
      </c>
      <c r="R1228" s="80">
        <f t="shared" si="149"/>
        <v>21</v>
      </c>
      <c r="AD1228"/>
    </row>
    <row r="1229" spans="10:30" ht="16.2" customHeight="1">
      <c r="J1229" s="80" t="s">
        <v>747</v>
      </c>
      <c r="K1229" s="80" t="s">
        <v>5354</v>
      </c>
      <c r="L1229" t="s">
        <v>282</v>
      </c>
      <c r="M1229" t="s">
        <v>162</v>
      </c>
      <c r="N1229" t="str">
        <f t="shared" si="150"/>
        <v>Double RearMotorised Saber 240v Remote TrackLevel 2072Double Face Fix Brackets</v>
      </c>
      <c r="O1229">
        <v>38</v>
      </c>
      <c r="P1229">
        <v>59</v>
      </c>
      <c r="Q1229" s="80">
        <v>0</v>
      </c>
      <c r="R1229" s="80">
        <f t="shared" si="149"/>
        <v>21</v>
      </c>
      <c r="AD1229"/>
    </row>
    <row r="1230" spans="10:30" ht="16.2" customHeight="1">
      <c r="J1230" s="80" t="s">
        <v>725</v>
      </c>
      <c r="K1230" s="80" t="s">
        <v>5354</v>
      </c>
      <c r="L1230" t="s">
        <v>282</v>
      </c>
      <c r="M1230" t="s">
        <v>162</v>
      </c>
      <c r="N1230" t="str">
        <f t="shared" si="150"/>
        <v>SingleMotorised Saber 240v Remote TrackLevel 2072Double Face Fix Brackets</v>
      </c>
      <c r="O1230">
        <v>35</v>
      </c>
      <c r="P1230">
        <v>59</v>
      </c>
      <c r="Q1230" s="80">
        <v>0</v>
      </c>
      <c r="R1230" s="80">
        <f t="shared" si="149"/>
        <v>24</v>
      </c>
      <c r="AD1230"/>
    </row>
    <row r="1231" spans="10:30" ht="16.2" customHeight="1">
      <c r="J1231" s="80" t="s">
        <v>746</v>
      </c>
      <c r="K1231" s="80" t="s">
        <v>5354</v>
      </c>
      <c r="L1231" t="s">
        <v>170</v>
      </c>
      <c r="M1231" t="s">
        <v>162</v>
      </c>
      <c r="N1231" t="str">
        <f t="shared" si="150"/>
        <v>Double FrontMotorised Saber 240v Remote TrackNormal 2074Double Face Fix Brackets</v>
      </c>
      <c r="O1231">
        <v>60</v>
      </c>
      <c r="P1231">
        <v>59</v>
      </c>
      <c r="Q1231" s="80">
        <v>0</v>
      </c>
      <c r="R1231" s="80">
        <f t="shared" si="149"/>
        <v>-1</v>
      </c>
      <c r="AD1231"/>
    </row>
    <row r="1232" spans="10:30" ht="16.2" customHeight="1">
      <c r="J1232" s="80" t="s">
        <v>747</v>
      </c>
      <c r="K1232" s="80" t="s">
        <v>5354</v>
      </c>
      <c r="L1232" t="s">
        <v>170</v>
      </c>
      <c r="M1232" t="s">
        <v>162</v>
      </c>
      <c r="N1232" t="str">
        <f t="shared" si="150"/>
        <v>Double RearMotorised Saber 240v Remote TrackNormal 2074Double Face Fix Brackets</v>
      </c>
      <c r="O1232">
        <v>60</v>
      </c>
      <c r="P1232">
        <v>59</v>
      </c>
      <c r="Q1232" s="80">
        <v>0</v>
      </c>
      <c r="R1232" s="80">
        <f t="shared" si="149"/>
        <v>-1</v>
      </c>
      <c r="AD1232"/>
    </row>
    <row r="1233" spans="10:30" ht="16.2" customHeight="1">
      <c r="J1233" s="80" t="s">
        <v>725</v>
      </c>
      <c r="K1233" s="80" t="s">
        <v>5354</v>
      </c>
      <c r="L1233" t="s">
        <v>170</v>
      </c>
      <c r="M1233" t="s">
        <v>162</v>
      </c>
      <c r="N1233" t="str">
        <f t="shared" si="150"/>
        <v>SingleMotorised Saber 240v Remote TrackNormal 2074Double Face Fix Brackets</v>
      </c>
      <c r="O1233">
        <v>60</v>
      </c>
      <c r="P1233">
        <v>59</v>
      </c>
      <c r="Q1233" s="80">
        <v>0</v>
      </c>
      <c r="R1233" s="80">
        <f t="shared" si="149"/>
        <v>-1</v>
      </c>
      <c r="AD1233"/>
    </row>
    <row r="1234" spans="10:30" ht="16.2" customHeight="1">
      <c r="J1234" s="80" t="s">
        <v>746</v>
      </c>
      <c r="K1234" s="80" t="s">
        <v>5354</v>
      </c>
      <c r="L1234" t="s">
        <v>183</v>
      </c>
      <c r="M1234" t="s">
        <v>159</v>
      </c>
      <c r="N1234" t="str">
        <f t="shared" si="150"/>
        <v>Double FrontMotorised Saber 240v Remote TrackBelow Normal 2075Single Face Fix Brackets</v>
      </c>
      <c r="O1234">
        <v>70</v>
      </c>
      <c r="P1234">
        <v>55</v>
      </c>
      <c r="Q1234" s="80">
        <v>0</v>
      </c>
      <c r="R1234" s="80">
        <f t="shared" si="149"/>
        <v>-15</v>
      </c>
      <c r="AD1234"/>
    </row>
    <row r="1235" spans="10:30" ht="16.2" customHeight="1">
      <c r="J1235" s="80" t="s">
        <v>747</v>
      </c>
      <c r="K1235" s="80" t="s">
        <v>5354</v>
      </c>
      <c r="L1235" t="s">
        <v>183</v>
      </c>
      <c r="M1235" t="s">
        <v>159</v>
      </c>
      <c r="N1235" t="str">
        <f t="shared" si="150"/>
        <v>Double RearMotorised Saber 240v Remote TrackBelow Normal 2075Single Face Fix Brackets</v>
      </c>
      <c r="O1235">
        <v>70</v>
      </c>
      <c r="P1235">
        <v>55</v>
      </c>
      <c r="Q1235" s="80">
        <v>0</v>
      </c>
      <c r="R1235" s="80">
        <f t="shared" si="149"/>
        <v>-15</v>
      </c>
      <c r="AD1235"/>
    </row>
    <row r="1236" spans="10:30" ht="16.2" customHeight="1">
      <c r="J1236" s="80" t="s">
        <v>725</v>
      </c>
      <c r="K1236" s="80" t="s">
        <v>5354</v>
      </c>
      <c r="L1236" t="s">
        <v>183</v>
      </c>
      <c r="M1236" t="s">
        <v>159</v>
      </c>
      <c r="N1236" t="str">
        <f t="shared" si="150"/>
        <v>SingleMotorised Saber 240v Remote TrackBelow Normal 2075Single Face Fix Brackets</v>
      </c>
      <c r="O1236">
        <v>70</v>
      </c>
      <c r="P1236">
        <v>55</v>
      </c>
      <c r="Q1236" s="80">
        <v>0</v>
      </c>
      <c r="R1236" s="80">
        <f t="shared" si="149"/>
        <v>-15</v>
      </c>
      <c r="AD1236"/>
    </row>
    <row r="1237" spans="10:30" ht="16.2" customHeight="1">
      <c r="J1237" s="80" t="s">
        <v>746</v>
      </c>
      <c r="K1237" s="80" t="s">
        <v>5354</v>
      </c>
      <c r="L1237" t="s">
        <v>182</v>
      </c>
      <c r="M1237" t="s">
        <v>159</v>
      </c>
      <c r="N1237" t="str">
        <f t="shared" si="150"/>
        <v>Double FrontMotorised Saber 240v Remote TrackBetween Level and Normal 2073Single Face Fix Brackets</v>
      </c>
      <c r="O1237">
        <v>48</v>
      </c>
      <c r="P1237">
        <v>55</v>
      </c>
      <c r="Q1237" s="80">
        <v>0</v>
      </c>
      <c r="R1237" s="80">
        <f t="shared" si="149"/>
        <v>7</v>
      </c>
      <c r="AD1237"/>
    </row>
    <row r="1238" spans="10:30" ht="16.2" customHeight="1">
      <c r="J1238" s="80" t="s">
        <v>747</v>
      </c>
      <c r="K1238" s="80" t="s">
        <v>5354</v>
      </c>
      <c r="L1238" t="s">
        <v>182</v>
      </c>
      <c r="M1238" t="s">
        <v>159</v>
      </c>
      <c r="N1238" t="str">
        <f t="shared" si="150"/>
        <v>Double RearMotorised Saber 240v Remote TrackBetween Level and Normal 2073Single Face Fix Brackets</v>
      </c>
      <c r="O1238">
        <v>48</v>
      </c>
      <c r="P1238">
        <v>55</v>
      </c>
      <c r="Q1238" s="80">
        <v>0</v>
      </c>
      <c r="R1238" s="80">
        <f t="shared" si="149"/>
        <v>7</v>
      </c>
      <c r="AD1238"/>
    </row>
    <row r="1239" spans="10:30" ht="16.2" customHeight="1">
      <c r="J1239" s="80" t="s">
        <v>725</v>
      </c>
      <c r="K1239" s="80" t="s">
        <v>5354</v>
      </c>
      <c r="L1239" t="s">
        <v>182</v>
      </c>
      <c r="M1239" t="s">
        <v>159</v>
      </c>
      <c r="N1239" t="str">
        <f t="shared" si="150"/>
        <v>SingleMotorised Saber 240v Remote TrackBetween Level and Normal 2073Single Face Fix Brackets</v>
      </c>
      <c r="O1239">
        <v>47</v>
      </c>
      <c r="P1239">
        <v>55</v>
      </c>
      <c r="Q1239" s="80">
        <v>0</v>
      </c>
      <c r="R1239" s="80">
        <f t="shared" si="149"/>
        <v>8</v>
      </c>
      <c r="AD1239"/>
    </row>
    <row r="1240" spans="10:30" ht="16.2" customHeight="1">
      <c r="J1240" s="80" t="s">
        <v>746</v>
      </c>
      <c r="K1240" s="80" t="s">
        <v>5354</v>
      </c>
      <c r="L1240" t="s">
        <v>184</v>
      </c>
      <c r="M1240" t="s">
        <v>159</v>
      </c>
      <c r="N1240" t="str">
        <f t="shared" si="150"/>
        <v>Double FrontMotorised Saber 240v Remote TrackDecorator 2071Single Face Fix Brackets</v>
      </c>
      <c r="O1240">
        <v>20</v>
      </c>
      <c r="P1240">
        <v>55</v>
      </c>
      <c r="Q1240" s="80">
        <v>0</v>
      </c>
      <c r="R1240" s="80">
        <f t="shared" si="149"/>
        <v>35</v>
      </c>
      <c r="AD1240"/>
    </row>
    <row r="1241" spans="10:30" ht="16.2" customHeight="1">
      <c r="J1241" s="80" t="s">
        <v>747</v>
      </c>
      <c r="K1241" s="80" t="s">
        <v>5354</v>
      </c>
      <c r="L1241" t="s">
        <v>184</v>
      </c>
      <c r="M1241" t="s">
        <v>159</v>
      </c>
      <c r="N1241" t="str">
        <f t="shared" si="150"/>
        <v>Double RearMotorised Saber 240v Remote TrackDecorator 2071Single Face Fix Brackets</v>
      </c>
      <c r="O1241">
        <v>20</v>
      </c>
      <c r="P1241">
        <v>55</v>
      </c>
      <c r="Q1241" s="80">
        <v>0</v>
      </c>
      <c r="R1241" s="80">
        <f t="shared" si="149"/>
        <v>35</v>
      </c>
      <c r="AD1241"/>
    </row>
    <row r="1242" spans="10:30" ht="16.2" customHeight="1">
      <c r="J1242" s="80" t="s">
        <v>725</v>
      </c>
      <c r="K1242" s="80" t="s">
        <v>5354</v>
      </c>
      <c r="L1242" t="s">
        <v>184</v>
      </c>
      <c r="M1242" t="s">
        <v>159</v>
      </c>
      <c r="N1242" t="str">
        <f t="shared" si="150"/>
        <v>SingleMotorised Saber 240v Remote TrackDecorator 2071Single Face Fix Brackets</v>
      </c>
      <c r="O1242">
        <v>20</v>
      </c>
      <c r="P1242">
        <v>55</v>
      </c>
      <c r="Q1242" s="80">
        <v>0</v>
      </c>
      <c r="R1242" s="80">
        <f t="shared" si="149"/>
        <v>35</v>
      </c>
      <c r="AD1242"/>
    </row>
    <row r="1243" spans="10:30" ht="16.2" customHeight="1">
      <c r="J1243" s="80" t="s">
        <v>746</v>
      </c>
      <c r="K1243" s="80" t="s">
        <v>5354</v>
      </c>
      <c r="L1243" t="s">
        <v>6468</v>
      </c>
      <c r="M1243" t="s">
        <v>159</v>
      </c>
      <c r="N1243" t="str">
        <f t="shared" si="150"/>
        <v>Double FrontMotorised Saber 240v Remote TrackGather Hook Bottom PocketSingle Face Fix Brackets</v>
      </c>
      <c r="O1243">
        <v>60</v>
      </c>
      <c r="P1243">
        <v>55</v>
      </c>
      <c r="Q1243" s="80">
        <v>0</v>
      </c>
      <c r="R1243" s="80">
        <f t="shared" si="149"/>
        <v>-5</v>
      </c>
      <c r="AD1243"/>
    </row>
    <row r="1244" spans="10:30" ht="16.2" customHeight="1">
      <c r="J1244" s="80" t="s">
        <v>725</v>
      </c>
      <c r="K1244" s="80" t="s">
        <v>5354</v>
      </c>
      <c r="L1244" t="s">
        <v>6468</v>
      </c>
      <c r="M1244" t="s">
        <v>159</v>
      </c>
      <c r="N1244" t="str">
        <f t="shared" si="150"/>
        <v>SingleMotorised Saber 240v Remote TrackGather Hook Bottom PocketSingle Face Fix Brackets</v>
      </c>
      <c r="O1244">
        <v>60</v>
      </c>
      <c r="P1244">
        <v>55</v>
      </c>
      <c r="Q1244" s="80">
        <v>0</v>
      </c>
      <c r="R1244" s="80">
        <f t="shared" si="149"/>
        <v>-5</v>
      </c>
      <c r="AD1244"/>
    </row>
    <row r="1245" spans="10:30" ht="16.2" customHeight="1">
      <c r="J1245" s="80" t="s">
        <v>746</v>
      </c>
      <c r="K1245" s="80" t="s">
        <v>5354</v>
      </c>
      <c r="L1245" t="s">
        <v>229</v>
      </c>
      <c r="M1245" t="s">
        <v>159</v>
      </c>
      <c r="N1245" t="str">
        <f t="shared" si="150"/>
        <v>Double FrontMotorised Saber 240v Remote TrackGather Hook LevelSingle Face Fix Brackets</v>
      </c>
      <c r="O1245">
        <v>20</v>
      </c>
      <c r="P1245">
        <v>55</v>
      </c>
      <c r="Q1245" s="80">
        <v>0</v>
      </c>
      <c r="R1245" s="80">
        <f t="shared" si="149"/>
        <v>35</v>
      </c>
      <c r="AD1245"/>
    </row>
    <row r="1246" spans="10:30" ht="16.2" customHeight="1">
      <c r="J1246" s="80" t="s">
        <v>747</v>
      </c>
      <c r="K1246" s="80" t="s">
        <v>5354</v>
      </c>
      <c r="L1246" t="s">
        <v>229</v>
      </c>
      <c r="M1246" t="s">
        <v>159</v>
      </c>
      <c r="N1246" t="str">
        <f t="shared" si="150"/>
        <v>Double RearMotorised Saber 240v Remote TrackGather Hook LevelSingle Face Fix Brackets</v>
      </c>
      <c r="O1246">
        <v>20</v>
      </c>
      <c r="P1246">
        <v>55</v>
      </c>
      <c r="Q1246" s="80">
        <v>0</v>
      </c>
      <c r="R1246" s="80">
        <f t="shared" si="149"/>
        <v>35</v>
      </c>
      <c r="AD1246"/>
    </row>
    <row r="1247" spans="10:30" ht="16.2" customHeight="1">
      <c r="J1247" s="80" t="s">
        <v>725</v>
      </c>
      <c r="K1247" s="80" t="s">
        <v>5354</v>
      </c>
      <c r="L1247" t="s">
        <v>229</v>
      </c>
      <c r="M1247" t="s">
        <v>159</v>
      </c>
      <c r="N1247" t="str">
        <f t="shared" si="150"/>
        <v>SingleMotorised Saber 240v Remote TrackGather Hook LevelSingle Face Fix Brackets</v>
      </c>
      <c r="O1247">
        <v>20</v>
      </c>
      <c r="P1247">
        <v>55</v>
      </c>
      <c r="Q1247" s="80">
        <v>0</v>
      </c>
      <c r="R1247" s="80">
        <f t="shared" si="151" ref="R1247:R1310">SUM(P1247)-O1247</f>
        <v>35</v>
      </c>
      <c r="AD1247"/>
    </row>
    <row r="1248" spans="10:30" ht="16.2" customHeight="1">
      <c r="J1248" s="80" t="s">
        <v>746</v>
      </c>
      <c r="K1248" s="80" t="s">
        <v>5354</v>
      </c>
      <c r="L1248" t="s">
        <v>228</v>
      </c>
      <c r="M1248" t="s">
        <v>159</v>
      </c>
      <c r="N1248" t="str">
        <f t="shared" si="150"/>
        <v>Double FrontMotorised Saber 240v Remote TrackGather Hook NormalSingle Face Fix Brackets</v>
      </c>
      <c r="O1248">
        <v>43</v>
      </c>
      <c r="P1248">
        <v>55</v>
      </c>
      <c r="Q1248" s="80">
        <v>0</v>
      </c>
      <c r="R1248" s="80">
        <f t="shared" si="151"/>
        <v>12</v>
      </c>
      <c r="AD1248"/>
    </row>
    <row r="1249" spans="10:30" ht="16.2" customHeight="1">
      <c r="J1249" s="80" t="s">
        <v>747</v>
      </c>
      <c r="K1249" s="80" t="s">
        <v>5354</v>
      </c>
      <c r="L1249" t="s">
        <v>228</v>
      </c>
      <c r="M1249" t="s">
        <v>159</v>
      </c>
      <c r="N1249" t="str">
        <f t="shared" si="150"/>
        <v>Double RearMotorised Saber 240v Remote TrackGather Hook NormalSingle Face Fix Brackets</v>
      </c>
      <c r="O1249">
        <v>43</v>
      </c>
      <c r="P1249">
        <v>55</v>
      </c>
      <c r="Q1249" s="80">
        <v>0</v>
      </c>
      <c r="R1249" s="80">
        <f t="shared" si="151"/>
        <v>12</v>
      </c>
      <c r="AD1249"/>
    </row>
    <row r="1250" spans="10:30" ht="16.2" customHeight="1">
      <c r="J1250" s="80" t="s">
        <v>725</v>
      </c>
      <c r="K1250" s="80" t="s">
        <v>5354</v>
      </c>
      <c r="L1250" t="s">
        <v>228</v>
      </c>
      <c r="M1250" t="s">
        <v>159</v>
      </c>
      <c r="N1250" t="str">
        <f t="shared" si="150"/>
        <v>SingleMotorised Saber 240v Remote TrackGather Hook NormalSingle Face Fix Brackets</v>
      </c>
      <c r="O1250">
        <v>43</v>
      </c>
      <c r="P1250">
        <v>55</v>
      </c>
      <c r="Q1250" s="80">
        <v>0</v>
      </c>
      <c r="R1250" s="80">
        <f t="shared" si="151"/>
        <v>12</v>
      </c>
      <c r="AD1250"/>
    </row>
    <row r="1251" spans="10:30" ht="16.2" customHeight="1">
      <c r="J1251" s="80" t="s">
        <v>746</v>
      </c>
      <c r="K1251" s="80" t="s">
        <v>5354</v>
      </c>
      <c r="L1251" t="s">
        <v>282</v>
      </c>
      <c r="M1251" t="s">
        <v>159</v>
      </c>
      <c r="N1251" t="str">
        <f t="shared" si="150"/>
        <v>Double FrontMotorised Saber 240v Remote TrackLevel 2072Single Face Fix Brackets</v>
      </c>
      <c r="O1251">
        <v>38</v>
      </c>
      <c r="P1251">
        <v>55</v>
      </c>
      <c r="Q1251" s="80">
        <v>0</v>
      </c>
      <c r="R1251" s="80">
        <f t="shared" si="151"/>
        <v>17</v>
      </c>
      <c r="AD1251"/>
    </row>
    <row r="1252" spans="10:30" ht="16.2" customHeight="1">
      <c r="J1252" s="80" t="s">
        <v>747</v>
      </c>
      <c r="K1252" s="80" t="s">
        <v>5354</v>
      </c>
      <c r="L1252" t="s">
        <v>282</v>
      </c>
      <c r="M1252" t="s">
        <v>159</v>
      </c>
      <c r="N1252" t="str">
        <f t="shared" si="150"/>
        <v>Double RearMotorised Saber 240v Remote TrackLevel 2072Single Face Fix Brackets</v>
      </c>
      <c r="O1252">
        <v>38</v>
      </c>
      <c r="P1252">
        <v>55</v>
      </c>
      <c r="Q1252" s="80">
        <v>0</v>
      </c>
      <c r="R1252" s="80">
        <f t="shared" si="151"/>
        <v>17</v>
      </c>
      <c r="AD1252"/>
    </row>
    <row r="1253" spans="10:30" ht="16.2" customHeight="1">
      <c r="J1253" s="80" t="s">
        <v>725</v>
      </c>
      <c r="K1253" s="80" t="s">
        <v>5354</v>
      </c>
      <c r="L1253" t="s">
        <v>282</v>
      </c>
      <c r="M1253" t="s">
        <v>159</v>
      </c>
      <c r="N1253" t="str">
        <f t="shared" si="150"/>
        <v>SingleMotorised Saber 240v Remote TrackLevel 2072Single Face Fix Brackets</v>
      </c>
      <c r="O1253">
        <v>35</v>
      </c>
      <c r="P1253">
        <v>55</v>
      </c>
      <c r="Q1253" s="80">
        <v>0</v>
      </c>
      <c r="R1253" s="80">
        <f t="shared" si="151"/>
        <v>20</v>
      </c>
      <c r="AD1253"/>
    </row>
    <row r="1254" spans="10:30" ht="16.2" customHeight="1">
      <c r="J1254" s="80" t="s">
        <v>746</v>
      </c>
      <c r="K1254" s="80" t="s">
        <v>5354</v>
      </c>
      <c r="L1254" t="s">
        <v>170</v>
      </c>
      <c r="M1254" t="s">
        <v>159</v>
      </c>
      <c r="N1254" t="str">
        <f t="shared" si="150"/>
        <v>Double FrontMotorised Saber 240v Remote TrackNormal 2074Single Face Fix Brackets</v>
      </c>
      <c r="O1254">
        <v>60</v>
      </c>
      <c r="P1254">
        <v>55</v>
      </c>
      <c r="Q1254" s="80">
        <v>0</v>
      </c>
      <c r="R1254" s="80">
        <f t="shared" si="151"/>
        <v>-5</v>
      </c>
      <c r="AD1254"/>
    </row>
    <row r="1255" spans="10:30" ht="16.2" customHeight="1">
      <c r="J1255" s="80" t="s">
        <v>747</v>
      </c>
      <c r="K1255" s="80" t="s">
        <v>5354</v>
      </c>
      <c r="L1255" t="s">
        <v>170</v>
      </c>
      <c r="M1255" t="s">
        <v>159</v>
      </c>
      <c r="N1255" t="str">
        <f t="shared" si="150"/>
        <v>Double RearMotorised Saber 240v Remote TrackNormal 2074Single Face Fix Brackets</v>
      </c>
      <c r="O1255">
        <v>60</v>
      </c>
      <c r="P1255">
        <v>55</v>
      </c>
      <c r="Q1255" s="80">
        <v>0</v>
      </c>
      <c r="R1255" s="80">
        <f t="shared" si="151"/>
        <v>-5</v>
      </c>
      <c r="AD1255"/>
    </row>
    <row r="1256" spans="10:30" ht="16.2" customHeight="1">
      <c r="J1256" s="80" t="s">
        <v>725</v>
      </c>
      <c r="K1256" s="80" t="s">
        <v>5354</v>
      </c>
      <c r="L1256" t="s">
        <v>170</v>
      </c>
      <c r="M1256" t="s">
        <v>159</v>
      </c>
      <c r="N1256" t="str">
        <f t="shared" si="150"/>
        <v>SingleMotorised Saber 240v Remote TrackNormal 2074Single Face Fix Brackets</v>
      </c>
      <c r="O1256">
        <v>60</v>
      </c>
      <c r="P1256">
        <v>55</v>
      </c>
      <c r="Q1256" s="80">
        <v>0</v>
      </c>
      <c r="R1256" s="80">
        <f t="shared" si="151"/>
        <v>-5</v>
      </c>
      <c r="AD1256"/>
    </row>
    <row r="1257" spans="10:30" ht="16.2" customHeight="1">
      <c r="J1257" s="80" t="s">
        <v>746</v>
      </c>
      <c r="K1257" s="80" t="s">
        <v>5354</v>
      </c>
      <c r="L1257" t="s">
        <v>183</v>
      </c>
      <c r="M1257" t="s">
        <v>161</v>
      </c>
      <c r="N1257" t="str">
        <f t="shared" si="150"/>
        <v>Double FrontMotorised Saber 240v Remote TrackBelow Normal 2075Top Fix Brackets</v>
      </c>
      <c r="O1257">
        <v>70</v>
      </c>
      <c r="P1257">
        <v>50</v>
      </c>
      <c r="Q1257" s="80">
        <v>0</v>
      </c>
      <c r="R1257" s="80">
        <f t="shared" si="151"/>
        <v>-20</v>
      </c>
      <c r="AD1257"/>
    </row>
    <row r="1258" spans="10:30" ht="16.2" customHeight="1">
      <c r="J1258" s="80" t="s">
        <v>747</v>
      </c>
      <c r="K1258" s="80" t="s">
        <v>5354</v>
      </c>
      <c r="L1258" t="s">
        <v>183</v>
      </c>
      <c r="M1258" t="s">
        <v>161</v>
      </c>
      <c r="N1258" t="str">
        <f t="shared" si="150"/>
        <v>Double RearMotorised Saber 240v Remote TrackBelow Normal 2075Top Fix Brackets</v>
      </c>
      <c r="O1258">
        <v>70</v>
      </c>
      <c r="P1258">
        <v>50</v>
      </c>
      <c r="Q1258" s="80">
        <v>0</v>
      </c>
      <c r="R1258" s="80">
        <f t="shared" si="151"/>
        <v>-20</v>
      </c>
      <c r="AD1258"/>
    </row>
    <row r="1259" spans="10:30" ht="16.2" customHeight="1">
      <c r="J1259" s="80" t="s">
        <v>725</v>
      </c>
      <c r="K1259" s="80" t="s">
        <v>5354</v>
      </c>
      <c r="L1259" t="s">
        <v>183</v>
      </c>
      <c r="M1259" t="s">
        <v>161</v>
      </c>
      <c r="N1259" t="str">
        <f t="shared" si="150"/>
        <v>SingleMotorised Saber 240v Remote TrackBelow Normal 2075Top Fix Brackets</v>
      </c>
      <c r="O1259">
        <v>70</v>
      </c>
      <c r="P1259">
        <v>50</v>
      </c>
      <c r="Q1259" s="80">
        <v>0</v>
      </c>
      <c r="R1259" s="80">
        <f t="shared" si="151"/>
        <v>-20</v>
      </c>
      <c r="AD1259"/>
    </row>
    <row r="1260" spans="10:30" ht="16.2" customHeight="1">
      <c r="J1260" s="80" t="s">
        <v>746</v>
      </c>
      <c r="K1260" s="80" t="s">
        <v>5354</v>
      </c>
      <c r="L1260" t="s">
        <v>182</v>
      </c>
      <c r="M1260" t="s">
        <v>161</v>
      </c>
      <c r="N1260" t="str">
        <f t="shared" si="150"/>
        <v>Double FrontMotorised Saber 240v Remote TrackBetween Level and Normal 2073Top Fix Brackets</v>
      </c>
      <c r="O1260">
        <v>48</v>
      </c>
      <c r="P1260">
        <v>50</v>
      </c>
      <c r="Q1260" s="80">
        <v>0</v>
      </c>
      <c r="R1260" s="80">
        <f t="shared" si="151"/>
        <v>2</v>
      </c>
      <c r="AD1260"/>
    </row>
    <row r="1261" spans="10:30" ht="16.2" customHeight="1">
      <c r="J1261" s="80" t="s">
        <v>747</v>
      </c>
      <c r="K1261" s="80" t="s">
        <v>5354</v>
      </c>
      <c r="L1261" t="s">
        <v>182</v>
      </c>
      <c r="M1261" t="s">
        <v>161</v>
      </c>
      <c r="N1261" t="str">
        <f t="shared" si="150"/>
        <v>Double RearMotorised Saber 240v Remote TrackBetween Level and Normal 2073Top Fix Brackets</v>
      </c>
      <c r="O1261">
        <v>48</v>
      </c>
      <c r="P1261">
        <v>50</v>
      </c>
      <c r="Q1261" s="80">
        <v>0</v>
      </c>
      <c r="R1261" s="80">
        <f t="shared" si="151"/>
        <v>2</v>
      </c>
      <c r="AD1261"/>
    </row>
    <row r="1262" spans="10:30" ht="16.2" customHeight="1">
      <c r="J1262" s="80" t="s">
        <v>725</v>
      </c>
      <c r="K1262" s="80" t="s">
        <v>5354</v>
      </c>
      <c r="L1262" t="s">
        <v>182</v>
      </c>
      <c r="M1262" t="s">
        <v>161</v>
      </c>
      <c r="N1262" t="str">
        <f t="shared" si="150"/>
        <v>SingleMotorised Saber 240v Remote TrackBetween Level and Normal 2073Top Fix Brackets</v>
      </c>
      <c r="O1262">
        <v>47</v>
      </c>
      <c r="P1262">
        <v>50</v>
      </c>
      <c r="Q1262" s="80">
        <v>0</v>
      </c>
      <c r="R1262" s="80">
        <f t="shared" si="151"/>
        <v>3</v>
      </c>
      <c r="AD1262"/>
    </row>
    <row r="1263" spans="10:30" ht="16.2" customHeight="1">
      <c r="J1263" s="80" t="s">
        <v>746</v>
      </c>
      <c r="K1263" s="80" t="s">
        <v>5354</v>
      </c>
      <c r="L1263" t="s">
        <v>184</v>
      </c>
      <c r="M1263" t="s">
        <v>161</v>
      </c>
      <c r="N1263" t="str">
        <f t="shared" si="150"/>
        <v>Double FrontMotorised Saber 240v Remote TrackDecorator 2071Top Fix Brackets</v>
      </c>
      <c r="O1263">
        <v>20</v>
      </c>
      <c r="P1263">
        <v>50</v>
      </c>
      <c r="Q1263" s="80">
        <v>0</v>
      </c>
      <c r="R1263" s="80">
        <f t="shared" si="151"/>
        <v>30</v>
      </c>
      <c r="AD1263"/>
    </row>
    <row r="1264" spans="10:30" ht="16.2" customHeight="1">
      <c r="J1264" s="80" t="s">
        <v>747</v>
      </c>
      <c r="K1264" s="80" t="s">
        <v>5354</v>
      </c>
      <c r="L1264" t="s">
        <v>184</v>
      </c>
      <c r="M1264" t="s">
        <v>161</v>
      </c>
      <c r="N1264" t="str">
        <f t="shared" si="150"/>
        <v>Double RearMotorised Saber 240v Remote TrackDecorator 2071Top Fix Brackets</v>
      </c>
      <c r="O1264">
        <v>20</v>
      </c>
      <c r="P1264">
        <v>50</v>
      </c>
      <c r="Q1264" s="80">
        <v>0</v>
      </c>
      <c r="R1264" s="80">
        <f t="shared" si="151"/>
        <v>30</v>
      </c>
      <c r="AD1264"/>
    </row>
    <row r="1265" spans="10:30" ht="16.2" customHeight="1">
      <c r="J1265" s="80" t="s">
        <v>725</v>
      </c>
      <c r="K1265" s="80" t="s">
        <v>5354</v>
      </c>
      <c r="L1265" t="s">
        <v>184</v>
      </c>
      <c r="M1265" t="s">
        <v>161</v>
      </c>
      <c r="N1265" t="str">
        <f t="shared" si="150"/>
        <v>SingleMotorised Saber 240v Remote TrackDecorator 2071Top Fix Brackets</v>
      </c>
      <c r="O1265">
        <v>20</v>
      </c>
      <c r="P1265">
        <v>50</v>
      </c>
      <c r="Q1265" s="80">
        <v>0</v>
      </c>
      <c r="R1265" s="80">
        <f t="shared" si="151"/>
        <v>30</v>
      </c>
      <c r="AD1265"/>
    </row>
    <row r="1266" spans="10:30" ht="16.2" customHeight="1">
      <c r="J1266" s="80" t="s">
        <v>746</v>
      </c>
      <c r="K1266" s="80" t="s">
        <v>5354</v>
      </c>
      <c r="L1266" t="s">
        <v>6468</v>
      </c>
      <c r="M1266" t="s">
        <v>161</v>
      </c>
      <c r="N1266" t="str">
        <f t="shared" si="150"/>
        <v>Double FrontMotorised Saber 240v Remote TrackGather Hook Bottom PocketTop Fix Brackets</v>
      </c>
      <c r="O1266">
        <v>60</v>
      </c>
      <c r="P1266">
        <v>50</v>
      </c>
      <c r="Q1266" s="80">
        <v>0</v>
      </c>
      <c r="R1266" s="80">
        <f t="shared" si="151"/>
        <v>-10</v>
      </c>
      <c r="AD1266"/>
    </row>
    <row r="1267" spans="10:30" ht="16.2" customHeight="1">
      <c r="J1267" s="80" t="s">
        <v>725</v>
      </c>
      <c r="K1267" s="80" t="s">
        <v>5354</v>
      </c>
      <c r="L1267" t="s">
        <v>6468</v>
      </c>
      <c r="M1267" t="s">
        <v>161</v>
      </c>
      <c r="N1267" t="str">
        <f t="shared" si="150"/>
        <v>SingleMotorised Saber 240v Remote TrackGather Hook Bottom PocketTop Fix Brackets</v>
      </c>
      <c r="O1267">
        <v>60</v>
      </c>
      <c r="P1267">
        <v>50</v>
      </c>
      <c r="Q1267" s="80">
        <v>0</v>
      </c>
      <c r="R1267" s="80">
        <f t="shared" si="151"/>
        <v>-10</v>
      </c>
      <c r="AD1267"/>
    </row>
    <row r="1268" spans="10:30" ht="16.2" customHeight="1">
      <c r="J1268" s="80" t="s">
        <v>746</v>
      </c>
      <c r="K1268" s="80" t="s">
        <v>5354</v>
      </c>
      <c r="L1268" t="s">
        <v>229</v>
      </c>
      <c r="M1268" t="s">
        <v>161</v>
      </c>
      <c r="N1268" t="str">
        <f t="shared" si="150"/>
        <v>Double FrontMotorised Saber 240v Remote TrackGather Hook LevelTop Fix Brackets</v>
      </c>
      <c r="O1268">
        <v>20</v>
      </c>
      <c r="P1268">
        <v>50</v>
      </c>
      <c r="Q1268" s="80">
        <v>0</v>
      </c>
      <c r="R1268" s="80">
        <f t="shared" si="151"/>
        <v>30</v>
      </c>
      <c r="AD1268"/>
    </row>
    <row r="1269" spans="10:30" ht="16.2" customHeight="1">
      <c r="J1269" s="80" t="s">
        <v>747</v>
      </c>
      <c r="K1269" s="80" t="s">
        <v>5354</v>
      </c>
      <c r="L1269" t="s">
        <v>229</v>
      </c>
      <c r="M1269" t="s">
        <v>161</v>
      </c>
      <c r="N1269" t="str">
        <f t="shared" si="150"/>
        <v>Double RearMotorised Saber 240v Remote TrackGather Hook LevelTop Fix Brackets</v>
      </c>
      <c r="O1269">
        <v>20</v>
      </c>
      <c r="P1269">
        <v>50</v>
      </c>
      <c r="Q1269" s="80">
        <v>0</v>
      </c>
      <c r="R1269" s="80">
        <f t="shared" si="151"/>
        <v>30</v>
      </c>
      <c r="AD1269"/>
    </row>
    <row r="1270" spans="10:30" ht="16.2" customHeight="1">
      <c r="J1270" s="80" t="s">
        <v>725</v>
      </c>
      <c r="K1270" s="80" t="s">
        <v>5354</v>
      </c>
      <c r="L1270" t="s">
        <v>229</v>
      </c>
      <c r="M1270" t="s">
        <v>161</v>
      </c>
      <c r="N1270" t="str">
        <f t="shared" si="150"/>
        <v>SingleMotorised Saber 240v Remote TrackGather Hook LevelTop Fix Brackets</v>
      </c>
      <c r="O1270">
        <v>20</v>
      </c>
      <c r="P1270">
        <v>50</v>
      </c>
      <c r="Q1270" s="80">
        <v>0</v>
      </c>
      <c r="R1270" s="80">
        <f t="shared" si="151"/>
        <v>30</v>
      </c>
      <c r="AD1270"/>
    </row>
    <row r="1271" spans="10:30" ht="16.2" customHeight="1">
      <c r="J1271" s="80" t="s">
        <v>746</v>
      </c>
      <c r="K1271" s="80" t="s">
        <v>5354</v>
      </c>
      <c r="L1271" t="s">
        <v>228</v>
      </c>
      <c r="M1271" t="s">
        <v>161</v>
      </c>
      <c r="N1271" t="str">
        <f t="shared" si="150"/>
        <v>Double FrontMotorised Saber 240v Remote TrackGather Hook NormalTop Fix Brackets</v>
      </c>
      <c r="O1271">
        <v>43</v>
      </c>
      <c r="P1271">
        <v>50</v>
      </c>
      <c r="Q1271" s="80">
        <v>0</v>
      </c>
      <c r="R1271" s="80">
        <f t="shared" si="151"/>
        <v>7</v>
      </c>
      <c r="AD1271"/>
    </row>
    <row r="1272" spans="10:30" ht="16.2" customHeight="1">
      <c r="J1272" s="80" t="s">
        <v>747</v>
      </c>
      <c r="K1272" s="80" t="s">
        <v>5354</v>
      </c>
      <c r="L1272" t="s">
        <v>228</v>
      </c>
      <c r="M1272" t="s">
        <v>161</v>
      </c>
      <c r="N1272" t="str">
        <f t="shared" si="150"/>
        <v>Double RearMotorised Saber 240v Remote TrackGather Hook NormalTop Fix Brackets</v>
      </c>
      <c r="O1272">
        <v>43</v>
      </c>
      <c r="P1272">
        <v>50</v>
      </c>
      <c r="Q1272" s="80">
        <v>0</v>
      </c>
      <c r="R1272" s="80">
        <f t="shared" si="151"/>
        <v>7</v>
      </c>
      <c r="AD1272"/>
    </row>
    <row r="1273" spans="10:30" ht="16.2" customHeight="1">
      <c r="J1273" s="80" t="s">
        <v>725</v>
      </c>
      <c r="K1273" s="80" t="s">
        <v>5354</v>
      </c>
      <c r="L1273" t="s">
        <v>228</v>
      </c>
      <c r="M1273" t="s">
        <v>161</v>
      </c>
      <c r="N1273" t="str">
        <f t="shared" si="150"/>
        <v>SingleMotorised Saber 240v Remote TrackGather Hook NormalTop Fix Brackets</v>
      </c>
      <c r="O1273">
        <v>43</v>
      </c>
      <c r="P1273">
        <v>50</v>
      </c>
      <c r="Q1273" s="80">
        <v>0</v>
      </c>
      <c r="R1273" s="80">
        <f t="shared" si="151"/>
        <v>7</v>
      </c>
      <c r="AD1273"/>
    </row>
    <row r="1274" spans="10:30" ht="16.2" customHeight="1">
      <c r="J1274" s="80" t="s">
        <v>746</v>
      </c>
      <c r="K1274" s="80" t="s">
        <v>5354</v>
      </c>
      <c r="L1274" t="s">
        <v>282</v>
      </c>
      <c r="M1274" t="s">
        <v>161</v>
      </c>
      <c r="N1274" t="str">
        <f t="shared" si="150"/>
        <v>Double FrontMotorised Saber 240v Remote TrackLevel 2072Top Fix Brackets</v>
      </c>
      <c r="O1274">
        <v>38</v>
      </c>
      <c r="P1274">
        <v>50</v>
      </c>
      <c r="Q1274" s="80">
        <v>0</v>
      </c>
      <c r="R1274" s="80">
        <f t="shared" si="151"/>
        <v>12</v>
      </c>
      <c r="AD1274"/>
    </row>
    <row r="1275" spans="10:30" ht="16.2" customHeight="1">
      <c r="J1275" s="80" t="s">
        <v>747</v>
      </c>
      <c r="K1275" s="80" t="s">
        <v>5354</v>
      </c>
      <c r="L1275" t="s">
        <v>282</v>
      </c>
      <c r="M1275" t="s">
        <v>161</v>
      </c>
      <c r="N1275" t="str">
        <f t="shared" si="150"/>
        <v>Double RearMotorised Saber 240v Remote TrackLevel 2072Top Fix Brackets</v>
      </c>
      <c r="O1275">
        <v>38</v>
      </c>
      <c r="P1275">
        <v>50</v>
      </c>
      <c r="Q1275" s="80">
        <v>0</v>
      </c>
      <c r="R1275" s="80">
        <f t="shared" si="151"/>
        <v>12</v>
      </c>
      <c r="AD1275"/>
    </row>
    <row r="1276" spans="10:30" ht="16.2" customHeight="1">
      <c r="J1276" s="80" t="s">
        <v>725</v>
      </c>
      <c r="K1276" s="80" t="s">
        <v>5354</v>
      </c>
      <c r="L1276" t="s">
        <v>282</v>
      </c>
      <c r="M1276" t="s">
        <v>161</v>
      </c>
      <c r="N1276" t="str">
        <f t="shared" si="150"/>
        <v>SingleMotorised Saber 240v Remote TrackLevel 2072Top Fix Brackets</v>
      </c>
      <c r="O1276">
        <v>35</v>
      </c>
      <c r="P1276">
        <v>50</v>
      </c>
      <c r="Q1276" s="80">
        <v>0</v>
      </c>
      <c r="R1276" s="80">
        <f t="shared" si="151"/>
        <v>15</v>
      </c>
      <c r="AD1276"/>
    </row>
    <row r="1277" spans="10:30" ht="16.2" customHeight="1">
      <c r="J1277" s="80" t="s">
        <v>746</v>
      </c>
      <c r="K1277" s="80" t="s">
        <v>5354</v>
      </c>
      <c r="L1277" t="s">
        <v>170</v>
      </c>
      <c r="M1277" t="s">
        <v>161</v>
      </c>
      <c r="N1277" t="str">
        <f t="shared" si="150"/>
        <v>Double FrontMotorised Saber 240v Remote TrackNormal 2074Top Fix Brackets</v>
      </c>
      <c r="O1277">
        <v>60</v>
      </c>
      <c r="P1277">
        <v>50</v>
      </c>
      <c r="Q1277" s="80">
        <v>0</v>
      </c>
      <c r="R1277" s="80">
        <f t="shared" si="151"/>
        <v>-10</v>
      </c>
      <c r="AD1277"/>
    </row>
    <row r="1278" spans="10:30" ht="16.2" customHeight="1">
      <c r="J1278" s="80" t="s">
        <v>747</v>
      </c>
      <c r="K1278" s="80" t="s">
        <v>5354</v>
      </c>
      <c r="L1278" t="s">
        <v>170</v>
      </c>
      <c r="M1278" t="s">
        <v>161</v>
      </c>
      <c r="N1278" t="str">
        <f t="shared" si="150"/>
        <v>Double RearMotorised Saber 240v Remote TrackNormal 2074Top Fix Brackets</v>
      </c>
      <c r="O1278">
        <v>60</v>
      </c>
      <c r="P1278">
        <v>50</v>
      </c>
      <c r="Q1278" s="80">
        <v>0</v>
      </c>
      <c r="R1278" s="80">
        <f t="shared" si="151"/>
        <v>-10</v>
      </c>
      <c r="AD1278"/>
    </row>
    <row r="1279" spans="10:30" ht="16.2" customHeight="1">
      <c r="J1279" s="80" t="s">
        <v>725</v>
      </c>
      <c r="K1279" s="80" t="s">
        <v>5354</v>
      </c>
      <c r="L1279" t="s">
        <v>170</v>
      </c>
      <c r="M1279" t="s">
        <v>161</v>
      </c>
      <c r="N1279" t="str">
        <f t="shared" si="150"/>
        <v>SingleMotorised Saber 240v Remote TrackNormal 2074Top Fix Brackets</v>
      </c>
      <c r="O1279">
        <v>60</v>
      </c>
      <c r="P1279">
        <v>50</v>
      </c>
      <c r="Q1279" s="80">
        <v>0</v>
      </c>
      <c r="R1279" s="80">
        <f t="shared" si="151"/>
        <v>-10</v>
      </c>
      <c r="AD1279"/>
    </row>
    <row r="1280" spans="10:30" ht="16.2" customHeight="1">
      <c r="J1280" s="80" t="s">
        <v>746</v>
      </c>
      <c r="K1280" s="80" t="s">
        <v>5356</v>
      </c>
      <c r="L1280" t="s">
        <v>183</v>
      </c>
      <c r="M1280" t="s">
        <v>162</v>
      </c>
      <c r="N1280" t="str">
        <f t="shared" si="150"/>
        <v>Double FrontMotorised Saber 240v Switch TrackBelow Normal 2075Double Face Fix Brackets</v>
      </c>
      <c r="O1280">
        <v>70</v>
      </c>
      <c r="P1280">
        <v>59</v>
      </c>
      <c r="Q1280" s="80">
        <v>0</v>
      </c>
      <c r="R1280" s="80">
        <f t="shared" si="151"/>
        <v>-11</v>
      </c>
      <c r="AD1280"/>
    </row>
    <row r="1281" spans="10:30" ht="16.2" customHeight="1">
      <c r="J1281" s="80" t="s">
        <v>747</v>
      </c>
      <c r="K1281" s="80" t="s">
        <v>5356</v>
      </c>
      <c r="L1281" t="s">
        <v>183</v>
      </c>
      <c r="M1281" t="s">
        <v>162</v>
      </c>
      <c r="N1281" t="str">
        <f t="shared" si="150"/>
        <v>Double RearMotorised Saber 240v Switch TrackBelow Normal 2075Double Face Fix Brackets</v>
      </c>
      <c r="O1281">
        <v>70</v>
      </c>
      <c r="P1281">
        <v>59</v>
      </c>
      <c r="Q1281" s="80">
        <v>0</v>
      </c>
      <c r="R1281" s="80">
        <f t="shared" si="151"/>
        <v>-11</v>
      </c>
      <c r="AD1281"/>
    </row>
    <row r="1282" spans="10:30" ht="16.2" customHeight="1">
      <c r="J1282" s="80" t="s">
        <v>725</v>
      </c>
      <c r="K1282" s="80" t="s">
        <v>5356</v>
      </c>
      <c r="L1282" t="s">
        <v>183</v>
      </c>
      <c r="M1282" t="s">
        <v>162</v>
      </c>
      <c r="N1282" t="str">
        <f t="shared" si="152" ref="N1282:N1345">(CONCATENATE(J1282,K1282,L1282,M1282))</f>
        <v>SingleMotorised Saber 240v Switch TrackBelow Normal 2075Double Face Fix Brackets</v>
      </c>
      <c r="O1282">
        <v>70</v>
      </c>
      <c r="P1282">
        <v>59</v>
      </c>
      <c r="Q1282" s="80">
        <v>0</v>
      </c>
      <c r="R1282" s="80">
        <f t="shared" si="151"/>
        <v>-11</v>
      </c>
      <c r="AD1282"/>
    </row>
    <row r="1283" spans="10:30" ht="16.2" customHeight="1">
      <c r="J1283" s="80" t="s">
        <v>746</v>
      </c>
      <c r="K1283" s="80" t="s">
        <v>5356</v>
      </c>
      <c r="L1283" t="s">
        <v>182</v>
      </c>
      <c r="M1283" t="s">
        <v>162</v>
      </c>
      <c r="N1283" t="str">
        <f t="shared" si="152"/>
        <v>Double FrontMotorised Saber 240v Switch TrackBetween Level and Normal 2073Double Face Fix Brackets</v>
      </c>
      <c r="O1283">
        <v>48</v>
      </c>
      <c r="P1283">
        <v>59</v>
      </c>
      <c r="Q1283" s="80">
        <v>0</v>
      </c>
      <c r="R1283" s="80">
        <f t="shared" si="151"/>
        <v>11</v>
      </c>
      <c r="AD1283"/>
    </row>
    <row r="1284" spans="10:30" ht="16.2" customHeight="1">
      <c r="J1284" s="80" t="s">
        <v>747</v>
      </c>
      <c r="K1284" s="80" t="s">
        <v>5356</v>
      </c>
      <c r="L1284" t="s">
        <v>182</v>
      </c>
      <c r="M1284" t="s">
        <v>162</v>
      </c>
      <c r="N1284" t="str">
        <f t="shared" si="152"/>
        <v>Double RearMotorised Saber 240v Switch TrackBetween Level and Normal 2073Double Face Fix Brackets</v>
      </c>
      <c r="O1284">
        <v>48</v>
      </c>
      <c r="P1284">
        <v>59</v>
      </c>
      <c r="Q1284" s="80">
        <v>0</v>
      </c>
      <c r="R1284" s="80">
        <f t="shared" si="151"/>
        <v>11</v>
      </c>
      <c r="AD1284"/>
    </row>
    <row r="1285" spans="10:30" ht="16.2" customHeight="1">
      <c r="J1285" s="80" t="s">
        <v>725</v>
      </c>
      <c r="K1285" s="80" t="s">
        <v>5356</v>
      </c>
      <c r="L1285" t="s">
        <v>182</v>
      </c>
      <c r="M1285" t="s">
        <v>162</v>
      </c>
      <c r="N1285" t="str">
        <f t="shared" si="152"/>
        <v>SingleMotorised Saber 240v Switch TrackBetween Level and Normal 2073Double Face Fix Brackets</v>
      </c>
      <c r="O1285">
        <v>47</v>
      </c>
      <c r="P1285">
        <v>59</v>
      </c>
      <c r="Q1285" s="80">
        <v>0</v>
      </c>
      <c r="R1285" s="80">
        <f t="shared" si="151"/>
        <v>12</v>
      </c>
      <c r="AD1285"/>
    </row>
    <row r="1286" spans="10:30" ht="16.2" customHeight="1">
      <c r="J1286" s="80" t="s">
        <v>746</v>
      </c>
      <c r="K1286" s="80" t="s">
        <v>5356</v>
      </c>
      <c r="L1286" t="s">
        <v>184</v>
      </c>
      <c r="M1286" t="s">
        <v>162</v>
      </c>
      <c r="N1286" t="str">
        <f t="shared" si="152"/>
        <v>Double FrontMotorised Saber 240v Switch TrackDecorator 2071Double Face Fix Brackets</v>
      </c>
      <c r="O1286">
        <v>20</v>
      </c>
      <c r="P1286">
        <v>59</v>
      </c>
      <c r="Q1286" s="80">
        <v>0</v>
      </c>
      <c r="R1286" s="80">
        <f t="shared" si="151"/>
        <v>39</v>
      </c>
      <c r="AD1286"/>
    </row>
    <row r="1287" spans="10:30" ht="16.2" customHeight="1">
      <c r="J1287" s="80" t="s">
        <v>747</v>
      </c>
      <c r="K1287" s="80" t="s">
        <v>5356</v>
      </c>
      <c r="L1287" t="s">
        <v>184</v>
      </c>
      <c r="M1287" t="s">
        <v>162</v>
      </c>
      <c r="N1287" t="str">
        <f t="shared" si="152"/>
        <v>Double RearMotorised Saber 240v Switch TrackDecorator 2071Double Face Fix Brackets</v>
      </c>
      <c r="O1287">
        <v>20</v>
      </c>
      <c r="P1287">
        <v>59</v>
      </c>
      <c r="Q1287" s="80">
        <v>0</v>
      </c>
      <c r="R1287" s="80">
        <f t="shared" si="151"/>
        <v>39</v>
      </c>
      <c r="AD1287"/>
    </row>
    <row r="1288" spans="10:30" ht="16.2" customHeight="1">
      <c r="J1288" s="80" t="s">
        <v>725</v>
      </c>
      <c r="K1288" s="80" t="s">
        <v>5356</v>
      </c>
      <c r="L1288" t="s">
        <v>184</v>
      </c>
      <c r="M1288" t="s">
        <v>162</v>
      </c>
      <c r="N1288" t="str">
        <f t="shared" si="152"/>
        <v>SingleMotorised Saber 240v Switch TrackDecorator 2071Double Face Fix Brackets</v>
      </c>
      <c r="O1288">
        <v>20</v>
      </c>
      <c r="P1288">
        <v>59</v>
      </c>
      <c r="Q1288" s="80">
        <v>0</v>
      </c>
      <c r="R1288" s="80">
        <f t="shared" si="151"/>
        <v>39</v>
      </c>
      <c r="AD1288"/>
    </row>
    <row r="1289" spans="10:30" ht="16.2" customHeight="1">
      <c r="J1289" s="80" t="s">
        <v>746</v>
      </c>
      <c r="K1289" s="80" t="s">
        <v>5356</v>
      </c>
      <c r="L1289" t="s">
        <v>6468</v>
      </c>
      <c r="M1289" t="s">
        <v>162</v>
      </c>
      <c r="N1289" t="str">
        <f t="shared" si="152"/>
        <v>Double FrontMotorised Saber 240v Switch TrackGather Hook Bottom PocketDouble Face Fix Brackets</v>
      </c>
      <c r="O1289">
        <v>60</v>
      </c>
      <c r="P1289">
        <v>59</v>
      </c>
      <c r="Q1289" s="80">
        <v>0</v>
      </c>
      <c r="R1289" s="80">
        <f t="shared" si="151"/>
        <v>-1</v>
      </c>
      <c r="AD1289"/>
    </row>
    <row r="1290" spans="10:30" ht="16.2" customHeight="1">
      <c r="J1290" s="80" t="s">
        <v>725</v>
      </c>
      <c r="K1290" s="80" t="s">
        <v>5356</v>
      </c>
      <c r="L1290" t="s">
        <v>6468</v>
      </c>
      <c r="M1290" t="s">
        <v>162</v>
      </c>
      <c r="N1290" t="str">
        <f t="shared" si="152"/>
        <v>SingleMotorised Saber 240v Switch TrackGather Hook Bottom PocketDouble Face Fix Brackets</v>
      </c>
      <c r="O1290">
        <v>60</v>
      </c>
      <c r="P1290">
        <v>59</v>
      </c>
      <c r="Q1290" s="80">
        <v>0</v>
      </c>
      <c r="R1290" s="80">
        <f t="shared" si="151"/>
        <v>-1</v>
      </c>
      <c r="AD1290"/>
    </row>
    <row r="1291" spans="10:30" ht="16.2" customHeight="1">
      <c r="J1291" s="80" t="s">
        <v>746</v>
      </c>
      <c r="K1291" s="80" t="s">
        <v>5356</v>
      </c>
      <c r="L1291" t="s">
        <v>229</v>
      </c>
      <c r="M1291" t="s">
        <v>162</v>
      </c>
      <c r="N1291" t="str">
        <f t="shared" si="152"/>
        <v>Double FrontMotorised Saber 240v Switch TrackGather Hook LevelDouble Face Fix Brackets</v>
      </c>
      <c r="O1291">
        <v>20</v>
      </c>
      <c r="P1291">
        <v>59</v>
      </c>
      <c r="Q1291" s="80">
        <v>0</v>
      </c>
      <c r="R1291" s="80">
        <f t="shared" si="151"/>
        <v>39</v>
      </c>
      <c r="AD1291"/>
    </row>
    <row r="1292" spans="10:30" ht="16.2" customHeight="1">
      <c r="J1292" s="80" t="s">
        <v>747</v>
      </c>
      <c r="K1292" s="80" t="s">
        <v>5356</v>
      </c>
      <c r="L1292" t="s">
        <v>229</v>
      </c>
      <c r="M1292" t="s">
        <v>162</v>
      </c>
      <c r="N1292" t="str">
        <f t="shared" si="152"/>
        <v>Double RearMotorised Saber 240v Switch TrackGather Hook LevelDouble Face Fix Brackets</v>
      </c>
      <c r="O1292">
        <v>20</v>
      </c>
      <c r="P1292">
        <v>59</v>
      </c>
      <c r="Q1292" s="80">
        <v>0</v>
      </c>
      <c r="R1292" s="80">
        <f t="shared" si="151"/>
        <v>39</v>
      </c>
      <c r="AD1292"/>
    </row>
    <row r="1293" spans="10:30" ht="16.2" customHeight="1">
      <c r="J1293" s="80" t="s">
        <v>725</v>
      </c>
      <c r="K1293" s="80" t="s">
        <v>5356</v>
      </c>
      <c r="L1293" t="s">
        <v>229</v>
      </c>
      <c r="M1293" t="s">
        <v>162</v>
      </c>
      <c r="N1293" t="str">
        <f t="shared" si="152"/>
        <v>SingleMotorised Saber 240v Switch TrackGather Hook LevelDouble Face Fix Brackets</v>
      </c>
      <c r="O1293">
        <v>20</v>
      </c>
      <c r="P1293">
        <v>59</v>
      </c>
      <c r="Q1293" s="80">
        <v>0</v>
      </c>
      <c r="R1293" s="80">
        <f t="shared" si="151"/>
        <v>39</v>
      </c>
      <c r="AD1293"/>
    </row>
    <row r="1294" spans="10:30" ht="16.2" customHeight="1">
      <c r="J1294" s="80" t="s">
        <v>746</v>
      </c>
      <c r="K1294" s="80" t="s">
        <v>5356</v>
      </c>
      <c r="L1294" t="s">
        <v>228</v>
      </c>
      <c r="M1294" t="s">
        <v>162</v>
      </c>
      <c r="N1294" t="str">
        <f t="shared" si="152"/>
        <v>Double FrontMotorised Saber 240v Switch TrackGather Hook NormalDouble Face Fix Brackets</v>
      </c>
      <c r="O1294">
        <v>43</v>
      </c>
      <c r="P1294">
        <v>59</v>
      </c>
      <c r="Q1294" s="80">
        <v>0</v>
      </c>
      <c r="R1294" s="80">
        <f t="shared" si="151"/>
        <v>16</v>
      </c>
      <c r="AD1294"/>
    </row>
    <row r="1295" spans="10:30" ht="16.2" customHeight="1">
      <c r="J1295" s="80" t="s">
        <v>747</v>
      </c>
      <c r="K1295" s="80" t="s">
        <v>5356</v>
      </c>
      <c r="L1295" t="s">
        <v>228</v>
      </c>
      <c r="M1295" t="s">
        <v>162</v>
      </c>
      <c r="N1295" t="str">
        <f t="shared" si="152"/>
        <v>Double RearMotorised Saber 240v Switch TrackGather Hook NormalDouble Face Fix Brackets</v>
      </c>
      <c r="O1295">
        <v>43</v>
      </c>
      <c r="P1295">
        <v>59</v>
      </c>
      <c r="Q1295" s="80">
        <v>0</v>
      </c>
      <c r="R1295" s="80">
        <f t="shared" si="151"/>
        <v>16</v>
      </c>
      <c r="AD1295"/>
    </row>
    <row r="1296" spans="10:30" ht="16.2" customHeight="1">
      <c r="J1296" s="80" t="s">
        <v>725</v>
      </c>
      <c r="K1296" s="80" t="s">
        <v>5356</v>
      </c>
      <c r="L1296" t="s">
        <v>228</v>
      </c>
      <c r="M1296" t="s">
        <v>162</v>
      </c>
      <c r="N1296" t="str">
        <f t="shared" si="152"/>
        <v>SingleMotorised Saber 240v Switch TrackGather Hook NormalDouble Face Fix Brackets</v>
      </c>
      <c r="O1296">
        <v>43</v>
      </c>
      <c r="P1296">
        <v>59</v>
      </c>
      <c r="Q1296" s="80">
        <v>0</v>
      </c>
      <c r="R1296" s="80">
        <f t="shared" si="151"/>
        <v>16</v>
      </c>
      <c r="AD1296"/>
    </row>
    <row r="1297" spans="10:30" ht="16.2" customHeight="1">
      <c r="J1297" s="80" t="s">
        <v>746</v>
      </c>
      <c r="K1297" s="80" t="s">
        <v>5356</v>
      </c>
      <c r="L1297" t="s">
        <v>282</v>
      </c>
      <c r="M1297" t="s">
        <v>162</v>
      </c>
      <c r="N1297" t="str">
        <f t="shared" si="152"/>
        <v>Double FrontMotorised Saber 240v Switch TrackLevel 2072Double Face Fix Brackets</v>
      </c>
      <c r="O1297">
        <v>38</v>
      </c>
      <c r="P1297">
        <v>59</v>
      </c>
      <c r="Q1297" s="80">
        <v>0</v>
      </c>
      <c r="R1297" s="80">
        <f t="shared" si="151"/>
        <v>21</v>
      </c>
      <c r="AD1297"/>
    </row>
    <row r="1298" spans="10:30" ht="16.2" customHeight="1">
      <c r="J1298" s="80" t="s">
        <v>747</v>
      </c>
      <c r="K1298" s="80" t="s">
        <v>5356</v>
      </c>
      <c r="L1298" t="s">
        <v>282</v>
      </c>
      <c r="M1298" t="s">
        <v>162</v>
      </c>
      <c r="N1298" t="str">
        <f t="shared" si="152"/>
        <v>Double RearMotorised Saber 240v Switch TrackLevel 2072Double Face Fix Brackets</v>
      </c>
      <c r="O1298">
        <v>38</v>
      </c>
      <c r="P1298">
        <v>59</v>
      </c>
      <c r="Q1298" s="80">
        <v>0</v>
      </c>
      <c r="R1298" s="80">
        <f t="shared" si="151"/>
        <v>21</v>
      </c>
      <c r="AD1298"/>
    </row>
    <row r="1299" spans="10:30" ht="16.2" customHeight="1">
      <c r="J1299" s="80" t="s">
        <v>725</v>
      </c>
      <c r="K1299" s="80" t="s">
        <v>5356</v>
      </c>
      <c r="L1299" t="s">
        <v>282</v>
      </c>
      <c r="M1299" t="s">
        <v>162</v>
      </c>
      <c r="N1299" t="str">
        <f t="shared" si="152"/>
        <v>SingleMotorised Saber 240v Switch TrackLevel 2072Double Face Fix Brackets</v>
      </c>
      <c r="O1299">
        <v>35</v>
      </c>
      <c r="P1299">
        <v>59</v>
      </c>
      <c r="Q1299" s="80">
        <v>0</v>
      </c>
      <c r="R1299" s="80">
        <f t="shared" si="151"/>
        <v>24</v>
      </c>
      <c r="AD1299"/>
    </row>
    <row r="1300" spans="10:30" ht="16.2" customHeight="1">
      <c r="J1300" s="80" t="s">
        <v>746</v>
      </c>
      <c r="K1300" s="80" t="s">
        <v>5356</v>
      </c>
      <c r="L1300" t="s">
        <v>170</v>
      </c>
      <c r="M1300" t="s">
        <v>162</v>
      </c>
      <c r="N1300" t="str">
        <f t="shared" si="152"/>
        <v>Double FrontMotorised Saber 240v Switch TrackNormal 2074Double Face Fix Brackets</v>
      </c>
      <c r="O1300">
        <v>60</v>
      </c>
      <c r="P1300">
        <v>59</v>
      </c>
      <c r="Q1300" s="80">
        <v>0</v>
      </c>
      <c r="R1300" s="80">
        <f t="shared" si="151"/>
        <v>-1</v>
      </c>
      <c r="AD1300"/>
    </row>
    <row r="1301" spans="10:30" ht="16.2" customHeight="1">
      <c r="J1301" s="80" t="s">
        <v>747</v>
      </c>
      <c r="K1301" s="80" t="s">
        <v>5356</v>
      </c>
      <c r="L1301" t="s">
        <v>170</v>
      </c>
      <c r="M1301" t="s">
        <v>162</v>
      </c>
      <c r="N1301" t="str">
        <f t="shared" si="152"/>
        <v>Double RearMotorised Saber 240v Switch TrackNormal 2074Double Face Fix Brackets</v>
      </c>
      <c r="O1301">
        <v>60</v>
      </c>
      <c r="P1301">
        <v>59</v>
      </c>
      <c r="Q1301" s="80">
        <v>0</v>
      </c>
      <c r="R1301" s="80">
        <f t="shared" si="151"/>
        <v>-1</v>
      </c>
      <c r="AD1301"/>
    </row>
    <row r="1302" spans="10:30" ht="16.2" customHeight="1">
      <c r="J1302" s="80" t="s">
        <v>725</v>
      </c>
      <c r="K1302" s="80" t="s">
        <v>5356</v>
      </c>
      <c r="L1302" t="s">
        <v>170</v>
      </c>
      <c r="M1302" t="s">
        <v>162</v>
      </c>
      <c r="N1302" t="str">
        <f t="shared" si="152"/>
        <v>SingleMotorised Saber 240v Switch TrackNormal 2074Double Face Fix Brackets</v>
      </c>
      <c r="O1302">
        <v>60</v>
      </c>
      <c r="P1302">
        <v>59</v>
      </c>
      <c r="Q1302" s="80">
        <v>0</v>
      </c>
      <c r="R1302" s="80">
        <f t="shared" si="151"/>
        <v>-1</v>
      </c>
      <c r="AD1302"/>
    </row>
    <row r="1303" spans="10:30" ht="16.2" customHeight="1">
      <c r="J1303" s="80" t="s">
        <v>746</v>
      </c>
      <c r="K1303" s="80" t="s">
        <v>5356</v>
      </c>
      <c r="L1303" t="s">
        <v>183</v>
      </c>
      <c r="M1303" t="s">
        <v>159</v>
      </c>
      <c r="N1303" t="str">
        <f t="shared" si="152"/>
        <v>Double FrontMotorised Saber 240v Switch TrackBelow Normal 2075Single Face Fix Brackets</v>
      </c>
      <c r="O1303">
        <v>70</v>
      </c>
      <c r="P1303">
        <v>55</v>
      </c>
      <c r="Q1303" s="80">
        <v>0</v>
      </c>
      <c r="R1303" s="80">
        <f t="shared" si="151"/>
        <v>-15</v>
      </c>
      <c r="AD1303"/>
    </row>
    <row r="1304" spans="10:30" ht="16.2" customHeight="1">
      <c r="J1304" s="80" t="s">
        <v>747</v>
      </c>
      <c r="K1304" s="80" t="s">
        <v>5356</v>
      </c>
      <c r="L1304" t="s">
        <v>183</v>
      </c>
      <c r="M1304" t="s">
        <v>159</v>
      </c>
      <c r="N1304" t="str">
        <f t="shared" si="152"/>
        <v>Double RearMotorised Saber 240v Switch TrackBelow Normal 2075Single Face Fix Brackets</v>
      </c>
      <c r="O1304">
        <v>70</v>
      </c>
      <c r="P1304">
        <v>55</v>
      </c>
      <c r="Q1304" s="80">
        <v>0</v>
      </c>
      <c r="R1304" s="80">
        <f t="shared" si="151"/>
        <v>-15</v>
      </c>
      <c r="AD1304"/>
    </row>
    <row r="1305" spans="10:30" ht="16.2" customHeight="1">
      <c r="J1305" s="80" t="s">
        <v>725</v>
      </c>
      <c r="K1305" s="80" t="s">
        <v>5356</v>
      </c>
      <c r="L1305" t="s">
        <v>183</v>
      </c>
      <c r="M1305" t="s">
        <v>159</v>
      </c>
      <c r="N1305" t="str">
        <f t="shared" si="152"/>
        <v>SingleMotorised Saber 240v Switch TrackBelow Normal 2075Single Face Fix Brackets</v>
      </c>
      <c r="O1305">
        <v>70</v>
      </c>
      <c r="P1305">
        <v>55</v>
      </c>
      <c r="Q1305" s="80">
        <v>0</v>
      </c>
      <c r="R1305" s="80">
        <f t="shared" si="151"/>
        <v>-15</v>
      </c>
      <c r="AD1305"/>
    </row>
    <row r="1306" spans="10:30" ht="16.2" customHeight="1">
      <c r="J1306" s="80" t="s">
        <v>746</v>
      </c>
      <c r="K1306" s="80" t="s">
        <v>5356</v>
      </c>
      <c r="L1306" t="s">
        <v>182</v>
      </c>
      <c r="M1306" t="s">
        <v>159</v>
      </c>
      <c r="N1306" t="str">
        <f t="shared" si="152"/>
        <v>Double FrontMotorised Saber 240v Switch TrackBetween Level and Normal 2073Single Face Fix Brackets</v>
      </c>
      <c r="O1306">
        <v>48</v>
      </c>
      <c r="P1306">
        <v>55</v>
      </c>
      <c r="Q1306" s="80">
        <v>0</v>
      </c>
      <c r="R1306" s="80">
        <f t="shared" si="151"/>
        <v>7</v>
      </c>
      <c r="AD1306"/>
    </row>
    <row r="1307" spans="10:30" ht="16.2" customHeight="1">
      <c r="J1307" s="80" t="s">
        <v>747</v>
      </c>
      <c r="K1307" s="80" t="s">
        <v>5356</v>
      </c>
      <c r="L1307" t="s">
        <v>182</v>
      </c>
      <c r="M1307" t="s">
        <v>159</v>
      </c>
      <c r="N1307" t="str">
        <f t="shared" si="152"/>
        <v>Double RearMotorised Saber 240v Switch TrackBetween Level and Normal 2073Single Face Fix Brackets</v>
      </c>
      <c r="O1307">
        <v>48</v>
      </c>
      <c r="P1307">
        <v>55</v>
      </c>
      <c r="Q1307" s="80">
        <v>0</v>
      </c>
      <c r="R1307" s="80">
        <f t="shared" si="151"/>
        <v>7</v>
      </c>
      <c r="AD1307"/>
    </row>
    <row r="1308" spans="10:30" ht="16.2" customHeight="1">
      <c r="J1308" s="80" t="s">
        <v>725</v>
      </c>
      <c r="K1308" s="80" t="s">
        <v>5356</v>
      </c>
      <c r="L1308" t="s">
        <v>182</v>
      </c>
      <c r="M1308" t="s">
        <v>159</v>
      </c>
      <c r="N1308" t="str">
        <f t="shared" si="152"/>
        <v>SingleMotorised Saber 240v Switch TrackBetween Level and Normal 2073Single Face Fix Brackets</v>
      </c>
      <c r="O1308">
        <v>47</v>
      </c>
      <c r="P1308">
        <v>55</v>
      </c>
      <c r="Q1308" s="80">
        <v>0</v>
      </c>
      <c r="R1308" s="80">
        <f t="shared" si="151"/>
        <v>8</v>
      </c>
      <c r="AD1308"/>
    </row>
    <row r="1309" spans="10:30" ht="16.2" customHeight="1">
      <c r="J1309" s="80" t="s">
        <v>746</v>
      </c>
      <c r="K1309" s="80" t="s">
        <v>5356</v>
      </c>
      <c r="L1309" t="s">
        <v>184</v>
      </c>
      <c r="M1309" t="s">
        <v>159</v>
      </c>
      <c r="N1309" t="str">
        <f t="shared" si="152"/>
        <v>Double FrontMotorised Saber 240v Switch TrackDecorator 2071Single Face Fix Brackets</v>
      </c>
      <c r="O1309">
        <v>20</v>
      </c>
      <c r="P1309">
        <v>55</v>
      </c>
      <c r="Q1309" s="80">
        <v>0</v>
      </c>
      <c r="R1309" s="80">
        <f t="shared" si="151"/>
        <v>35</v>
      </c>
      <c r="AD1309"/>
    </row>
    <row r="1310" spans="10:30" ht="16.2" customHeight="1">
      <c r="J1310" s="80" t="s">
        <v>747</v>
      </c>
      <c r="K1310" s="80" t="s">
        <v>5356</v>
      </c>
      <c r="L1310" t="s">
        <v>184</v>
      </c>
      <c r="M1310" t="s">
        <v>159</v>
      </c>
      <c r="N1310" t="str">
        <f t="shared" si="152"/>
        <v>Double RearMotorised Saber 240v Switch TrackDecorator 2071Single Face Fix Brackets</v>
      </c>
      <c r="O1310">
        <v>20</v>
      </c>
      <c r="P1310">
        <v>55</v>
      </c>
      <c r="Q1310" s="80">
        <v>0</v>
      </c>
      <c r="R1310" s="80">
        <f t="shared" si="151"/>
        <v>35</v>
      </c>
      <c r="AD1310"/>
    </row>
    <row r="1311" spans="10:30" ht="16.2" customHeight="1">
      <c r="J1311" s="80" t="s">
        <v>725</v>
      </c>
      <c r="K1311" s="80" t="s">
        <v>5356</v>
      </c>
      <c r="L1311" t="s">
        <v>184</v>
      </c>
      <c r="M1311" t="s">
        <v>159</v>
      </c>
      <c r="N1311" t="str">
        <f t="shared" si="152"/>
        <v>SingleMotorised Saber 240v Switch TrackDecorator 2071Single Face Fix Brackets</v>
      </c>
      <c r="O1311">
        <v>20</v>
      </c>
      <c r="P1311">
        <v>55</v>
      </c>
      <c r="Q1311" s="80">
        <v>0</v>
      </c>
      <c r="R1311" s="80">
        <f t="shared" si="153" ref="R1311:R1374">SUM(P1311)-O1311</f>
        <v>35</v>
      </c>
      <c r="AD1311"/>
    </row>
    <row r="1312" spans="10:30" ht="16.2" customHeight="1">
      <c r="J1312" s="80" t="s">
        <v>746</v>
      </c>
      <c r="K1312" s="80" t="s">
        <v>5356</v>
      </c>
      <c r="L1312" t="s">
        <v>6468</v>
      </c>
      <c r="M1312" t="s">
        <v>159</v>
      </c>
      <c r="N1312" t="str">
        <f t="shared" si="152"/>
        <v>Double FrontMotorised Saber 240v Switch TrackGather Hook Bottom PocketSingle Face Fix Brackets</v>
      </c>
      <c r="O1312">
        <v>60</v>
      </c>
      <c r="P1312">
        <v>55</v>
      </c>
      <c r="Q1312" s="80">
        <v>0</v>
      </c>
      <c r="R1312" s="80">
        <f t="shared" si="153"/>
        <v>-5</v>
      </c>
      <c r="AD1312"/>
    </row>
    <row r="1313" spans="10:30" ht="16.2" customHeight="1">
      <c r="J1313" s="80" t="s">
        <v>725</v>
      </c>
      <c r="K1313" s="80" t="s">
        <v>5356</v>
      </c>
      <c r="L1313" t="s">
        <v>6468</v>
      </c>
      <c r="M1313" t="s">
        <v>159</v>
      </c>
      <c r="N1313" t="str">
        <f t="shared" si="152"/>
        <v>SingleMotorised Saber 240v Switch TrackGather Hook Bottom PocketSingle Face Fix Brackets</v>
      </c>
      <c r="O1313">
        <v>60</v>
      </c>
      <c r="P1313">
        <v>55</v>
      </c>
      <c r="Q1313" s="80">
        <v>0</v>
      </c>
      <c r="R1313" s="80">
        <f t="shared" si="153"/>
        <v>-5</v>
      </c>
      <c r="AD1313"/>
    </row>
    <row r="1314" spans="10:30" ht="16.2" customHeight="1">
      <c r="J1314" s="80" t="s">
        <v>746</v>
      </c>
      <c r="K1314" s="80" t="s">
        <v>5356</v>
      </c>
      <c r="L1314" t="s">
        <v>229</v>
      </c>
      <c r="M1314" t="s">
        <v>159</v>
      </c>
      <c r="N1314" t="str">
        <f t="shared" si="152"/>
        <v>Double FrontMotorised Saber 240v Switch TrackGather Hook LevelSingle Face Fix Brackets</v>
      </c>
      <c r="O1314">
        <v>20</v>
      </c>
      <c r="P1314">
        <v>55</v>
      </c>
      <c r="Q1314" s="80">
        <v>0</v>
      </c>
      <c r="R1314" s="80">
        <f t="shared" si="153"/>
        <v>35</v>
      </c>
      <c r="AD1314"/>
    </row>
    <row r="1315" spans="10:30" ht="16.2" customHeight="1">
      <c r="J1315" s="80" t="s">
        <v>747</v>
      </c>
      <c r="K1315" s="80" t="s">
        <v>5356</v>
      </c>
      <c r="L1315" t="s">
        <v>229</v>
      </c>
      <c r="M1315" t="s">
        <v>159</v>
      </c>
      <c r="N1315" t="str">
        <f t="shared" si="152"/>
        <v>Double RearMotorised Saber 240v Switch TrackGather Hook LevelSingle Face Fix Brackets</v>
      </c>
      <c r="O1315">
        <v>20</v>
      </c>
      <c r="P1315">
        <v>55</v>
      </c>
      <c r="Q1315" s="80">
        <v>0</v>
      </c>
      <c r="R1315" s="80">
        <f t="shared" si="153"/>
        <v>35</v>
      </c>
      <c r="AD1315"/>
    </row>
    <row r="1316" spans="10:30" ht="16.2" customHeight="1">
      <c r="J1316" s="80" t="s">
        <v>725</v>
      </c>
      <c r="K1316" s="80" t="s">
        <v>5356</v>
      </c>
      <c r="L1316" t="s">
        <v>229</v>
      </c>
      <c r="M1316" t="s">
        <v>159</v>
      </c>
      <c r="N1316" t="str">
        <f t="shared" si="152"/>
        <v>SingleMotorised Saber 240v Switch TrackGather Hook LevelSingle Face Fix Brackets</v>
      </c>
      <c r="O1316">
        <v>20</v>
      </c>
      <c r="P1316">
        <v>55</v>
      </c>
      <c r="Q1316" s="80">
        <v>0</v>
      </c>
      <c r="R1316" s="80">
        <f t="shared" si="153"/>
        <v>35</v>
      </c>
      <c r="AD1316"/>
    </row>
    <row r="1317" spans="10:30" ht="16.2" customHeight="1">
      <c r="J1317" s="80" t="s">
        <v>746</v>
      </c>
      <c r="K1317" s="80" t="s">
        <v>5356</v>
      </c>
      <c r="L1317" t="s">
        <v>228</v>
      </c>
      <c r="M1317" t="s">
        <v>159</v>
      </c>
      <c r="N1317" t="str">
        <f t="shared" si="152"/>
        <v>Double FrontMotorised Saber 240v Switch TrackGather Hook NormalSingle Face Fix Brackets</v>
      </c>
      <c r="O1317">
        <v>43</v>
      </c>
      <c r="P1317">
        <v>55</v>
      </c>
      <c r="Q1317" s="80">
        <v>0</v>
      </c>
      <c r="R1317" s="80">
        <f t="shared" si="153"/>
        <v>12</v>
      </c>
      <c r="AD1317"/>
    </row>
    <row r="1318" spans="10:30" ht="16.2" customHeight="1">
      <c r="J1318" s="80" t="s">
        <v>747</v>
      </c>
      <c r="K1318" s="80" t="s">
        <v>5356</v>
      </c>
      <c r="L1318" t="s">
        <v>228</v>
      </c>
      <c r="M1318" t="s">
        <v>159</v>
      </c>
      <c r="N1318" t="str">
        <f t="shared" si="152"/>
        <v>Double RearMotorised Saber 240v Switch TrackGather Hook NormalSingle Face Fix Brackets</v>
      </c>
      <c r="O1318">
        <v>43</v>
      </c>
      <c r="P1318">
        <v>55</v>
      </c>
      <c r="Q1318" s="80">
        <v>0</v>
      </c>
      <c r="R1318" s="80">
        <f t="shared" si="153"/>
        <v>12</v>
      </c>
      <c r="AD1318"/>
    </row>
    <row r="1319" spans="10:30" ht="16.2" customHeight="1">
      <c r="J1319" s="80" t="s">
        <v>725</v>
      </c>
      <c r="K1319" s="80" t="s">
        <v>5356</v>
      </c>
      <c r="L1319" t="s">
        <v>228</v>
      </c>
      <c r="M1319" t="s">
        <v>159</v>
      </c>
      <c r="N1319" t="str">
        <f t="shared" si="152"/>
        <v>SingleMotorised Saber 240v Switch TrackGather Hook NormalSingle Face Fix Brackets</v>
      </c>
      <c r="O1319">
        <v>43</v>
      </c>
      <c r="P1319">
        <v>55</v>
      </c>
      <c r="Q1319" s="80">
        <v>0</v>
      </c>
      <c r="R1319" s="80">
        <f t="shared" si="153"/>
        <v>12</v>
      </c>
      <c r="AD1319"/>
    </row>
    <row r="1320" spans="10:30" ht="16.2" customHeight="1">
      <c r="J1320" s="80" t="s">
        <v>746</v>
      </c>
      <c r="K1320" s="80" t="s">
        <v>5356</v>
      </c>
      <c r="L1320" t="s">
        <v>282</v>
      </c>
      <c r="M1320" t="s">
        <v>159</v>
      </c>
      <c r="N1320" t="str">
        <f t="shared" si="152"/>
        <v>Double FrontMotorised Saber 240v Switch TrackLevel 2072Single Face Fix Brackets</v>
      </c>
      <c r="O1320">
        <v>38</v>
      </c>
      <c r="P1320">
        <v>55</v>
      </c>
      <c r="Q1320" s="80">
        <v>0</v>
      </c>
      <c r="R1320" s="80">
        <f t="shared" si="153"/>
        <v>17</v>
      </c>
      <c r="AD1320"/>
    </row>
    <row r="1321" spans="10:30" ht="16.2" customHeight="1">
      <c r="J1321" s="80" t="s">
        <v>747</v>
      </c>
      <c r="K1321" s="80" t="s">
        <v>5356</v>
      </c>
      <c r="L1321" t="s">
        <v>282</v>
      </c>
      <c r="M1321" t="s">
        <v>159</v>
      </c>
      <c r="N1321" t="str">
        <f t="shared" si="152"/>
        <v>Double RearMotorised Saber 240v Switch TrackLevel 2072Single Face Fix Brackets</v>
      </c>
      <c r="O1321">
        <v>38</v>
      </c>
      <c r="P1321">
        <v>55</v>
      </c>
      <c r="Q1321" s="80">
        <v>0</v>
      </c>
      <c r="R1321" s="80">
        <f t="shared" si="153"/>
        <v>17</v>
      </c>
      <c r="AD1321"/>
    </row>
    <row r="1322" spans="10:30" ht="16.2" customHeight="1">
      <c r="J1322" s="80" t="s">
        <v>725</v>
      </c>
      <c r="K1322" s="80" t="s">
        <v>5356</v>
      </c>
      <c r="L1322" t="s">
        <v>282</v>
      </c>
      <c r="M1322" t="s">
        <v>159</v>
      </c>
      <c r="N1322" t="str">
        <f t="shared" si="152"/>
        <v>SingleMotorised Saber 240v Switch TrackLevel 2072Single Face Fix Brackets</v>
      </c>
      <c r="O1322">
        <v>35</v>
      </c>
      <c r="P1322">
        <v>55</v>
      </c>
      <c r="Q1322" s="80">
        <v>0</v>
      </c>
      <c r="R1322" s="80">
        <f t="shared" si="153"/>
        <v>20</v>
      </c>
      <c r="AD1322"/>
    </row>
    <row r="1323" spans="10:30" ht="16.2" customHeight="1">
      <c r="J1323" s="80" t="s">
        <v>746</v>
      </c>
      <c r="K1323" s="80" t="s">
        <v>5356</v>
      </c>
      <c r="L1323" t="s">
        <v>170</v>
      </c>
      <c r="M1323" t="s">
        <v>159</v>
      </c>
      <c r="N1323" t="str">
        <f t="shared" si="152"/>
        <v>Double FrontMotorised Saber 240v Switch TrackNormal 2074Single Face Fix Brackets</v>
      </c>
      <c r="O1323">
        <v>60</v>
      </c>
      <c r="P1323">
        <v>55</v>
      </c>
      <c r="Q1323" s="80">
        <v>0</v>
      </c>
      <c r="R1323" s="80">
        <f t="shared" si="153"/>
        <v>-5</v>
      </c>
      <c r="AD1323"/>
    </row>
    <row r="1324" spans="10:30" ht="16.2" customHeight="1">
      <c r="J1324" s="80" t="s">
        <v>747</v>
      </c>
      <c r="K1324" s="80" t="s">
        <v>5356</v>
      </c>
      <c r="L1324" t="s">
        <v>170</v>
      </c>
      <c r="M1324" t="s">
        <v>159</v>
      </c>
      <c r="N1324" t="str">
        <f t="shared" si="152"/>
        <v>Double RearMotorised Saber 240v Switch TrackNormal 2074Single Face Fix Brackets</v>
      </c>
      <c r="O1324">
        <v>60</v>
      </c>
      <c r="P1324">
        <v>55</v>
      </c>
      <c r="Q1324" s="80">
        <v>0</v>
      </c>
      <c r="R1324" s="80">
        <f t="shared" si="153"/>
        <v>-5</v>
      </c>
      <c r="AD1324"/>
    </row>
    <row r="1325" spans="10:30" ht="16.2" customHeight="1">
      <c r="J1325" s="80" t="s">
        <v>725</v>
      </c>
      <c r="K1325" s="80" t="s">
        <v>5356</v>
      </c>
      <c r="L1325" t="s">
        <v>170</v>
      </c>
      <c r="M1325" t="s">
        <v>159</v>
      </c>
      <c r="N1325" t="str">
        <f t="shared" si="152"/>
        <v>SingleMotorised Saber 240v Switch TrackNormal 2074Single Face Fix Brackets</v>
      </c>
      <c r="O1325">
        <v>60</v>
      </c>
      <c r="P1325">
        <v>55</v>
      </c>
      <c r="Q1325" s="80">
        <v>0</v>
      </c>
      <c r="R1325" s="80">
        <f t="shared" si="153"/>
        <v>-5</v>
      </c>
      <c r="AD1325"/>
    </row>
    <row r="1326" spans="10:30" ht="16.2" customHeight="1">
      <c r="J1326" s="80" t="s">
        <v>746</v>
      </c>
      <c r="K1326" s="80" t="s">
        <v>5356</v>
      </c>
      <c r="L1326" t="s">
        <v>183</v>
      </c>
      <c r="M1326" t="s">
        <v>161</v>
      </c>
      <c r="N1326" t="str">
        <f t="shared" si="152"/>
        <v>Double FrontMotorised Saber 240v Switch TrackBelow Normal 2075Top Fix Brackets</v>
      </c>
      <c r="O1326">
        <v>70</v>
      </c>
      <c r="P1326">
        <v>50</v>
      </c>
      <c r="Q1326" s="80">
        <v>0</v>
      </c>
      <c r="R1326" s="80">
        <f t="shared" si="153"/>
        <v>-20</v>
      </c>
      <c r="AD1326"/>
    </row>
    <row r="1327" spans="10:30" ht="16.2" customHeight="1">
      <c r="J1327" s="80" t="s">
        <v>747</v>
      </c>
      <c r="K1327" s="80" t="s">
        <v>5356</v>
      </c>
      <c r="L1327" t="s">
        <v>183</v>
      </c>
      <c r="M1327" t="s">
        <v>161</v>
      </c>
      <c r="N1327" t="str">
        <f t="shared" si="152"/>
        <v>Double RearMotorised Saber 240v Switch TrackBelow Normal 2075Top Fix Brackets</v>
      </c>
      <c r="O1327">
        <v>70</v>
      </c>
      <c r="P1327">
        <v>50</v>
      </c>
      <c r="Q1327" s="80">
        <v>0</v>
      </c>
      <c r="R1327" s="80">
        <f t="shared" si="153"/>
        <v>-20</v>
      </c>
      <c r="AD1327"/>
    </row>
    <row r="1328" spans="10:30" ht="16.2" customHeight="1">
      <c r="J1328" s="80" t="s">
        <v>725</v>
      </c>
      <c r="K1328" s="80" t="s">
        <v>5356</v>
      </c>
      <c r="L1328" t="s">
        <v>183</v>
      </c>
      <c r="M1328" t="s">
        <v>161</v>
      </c>
      <c r="N1328" t="str">
        <f t="shared" si="152"/>
        <v>SingleMotorised Saber 240v Switch TrackBelow Normal 2075Top Fix Brackets</v>
      </c>
      <c r="O1328">
        <v>70</v>
      </c>
      <c r="P1328">
        <v>50</v>
      </c>
      <c r="Q1328" s="80">
        <v>0</v>
      </c>
      <c r="R1328" s="80">
        <f t="shared" si="153"/>
        <v>-20</v>
      </c>
      <c r="AD1328"/>
    </row>
    <row r="1329" spans="10:30" ht="16.2" customHeight="1">
      <c r="J1329" s="80" t="s">
        <v>746</v>
      </c>
      <c r="K1329" s="80" t="s">
        <v>5356</v>
      </c>
      <c r="L1329" t="s">
        <v>182</v>
      </c>
      <c r="M1329" t="s">
        <v>161</v>
      </c>
      <c r="N1329" t="str">
        <f t="shared" si="152"/>
        <v>Double FrontMotorised Saber 240v Switch TrackBetween Level and Normal 2073Top Fix Brackets</v>
      </c>
      <c r="O1329">
        <v>48</v>
      </c>
      <c r="P1329">
        <v>50</v>
      </c>
      <c r="Q1329" s="80">
        <v>0</v>
      </c>
      <c r="R1329" s="80">
        <f t="shared" si="153"/>
        <v>2</v>
      </c>
      <c r="AD1329"/>
    </row>
    <row r="1330" spans="10:30" ht="16.2" customHeight="1">
      <c r="J1330" s="80" t="s">
        <v>747</v>
      </c>
      <c r="K1330" s="80" t="s">
        <v>5356</v>
      </c>
      <c r="L1330" t="s">
        <v>182</v>
      </c>
      <c r="M1330" t="s">
        <v>161</v>
      </c>
      <c r="N1330" t="str">
        <f t="shared" si="152"/>
        <v>Double RearMotorised Saber 240v Switch TrackBetween Level and Normal 2073Top Fix Brackets</v>
      </c>
      <c r="O1330">
        <v>48</v>
      </c>
      <c r="P1330">
        <v>50</v>
      </c>
      <c r="Q1330" s="80">
        <v>0</v>
      </c>
      <c r="R1330" s="80">
        <f t="shared" si="153"/>
        <v>2</v>
      </c>
      <c r="AD1330"/>
    </row>
    <row r="1331" spans="10:30" ht="16.2" customHeight="1">
      <c r="J1331" s="80" t="s">
        <v>725</v>
      </c>
      <c r="K1331" s="80" t="s">
        <v>5356</v>
      </c>
      <c r="L1331" t="s">
        <v>182</v>
      </c>
      <c r="M1331" t="s">
        <v>161</v>
      </c>
      <c r="N1331" t="str">
        <f t="shared" si="152"/>
        <v>SingleMotorised Saber 240v Switch TrackBetween Level and Normal 2073Top Fix Brackets</v>
      </c>
      <c r="O1331">
        <v>47</v>
      </c>
      <c r="P1331">
        <v>50</v>
      </c>
      <c r="Q1331" s="80">
        <v>0</v>
      </c>
      <c r="R1331" s="80">
        <f t="shared" si="153"/>
        <v>3</v>
      </c>
      <c r="AD1331"/>
    </row>
    <row r="1332" spans="10:30" ht="16.2" customHeight="1">
      <c r="J1332" s="80" t="s">
        <v>746</v>
      </c>
      <c r="K1332" s="80" t="s">
        <v>5356</v>
      </c>
      <c r="L1332" t="s">
        <v>184</v>
      </c>
      <c r="M1332" t="s">
        <v>161</v>
      </c>
      <c r="N1332" t="str">
        <f t="shared" si="152"/>
        <v>Double FrontMotorised Saber 240v Switch TrackDecorator 2071Top Fix Brackets</v>
      </c>
      <c r="O1332">
        <v>20</v>
      </c>
      <c r="P1332">
        <v>50</v>
      </c>
      <c r="Q1332" s="80">
        <v>0</v>
      </c>
      <c r="R1332" s="80">
        <f t="shared" si="153"/>
        <v>30</v>
      </c>
      <c r="AD1332"/>
    </row>
    <row r="1333" spans="10:30" ht="16.2" customHeight="1">
      <c r="J1333" s="80" t="s">
        <v>747</v>
      </c>
      <c r="K1333" s="80" t="s">
        <v>5356</v>
      </c>
      <c r="L1333" t="s">
        <v>184</v>
      </c>
      <c r="M1333" t="s">
        <v>161</v>
      </c>
      <c r="N1333" t="str">
        <f t="shared" si="152"/>
        <v>Double RearMotorised Saber 240v Switch TrackDecorator 2071Top Fix Brackets</v>
      </c>
      <c r="O1333">
        <v>20</v>
      </c>
      <c r="P1333">
        <v>50</v>
      </c>
      <c r="Q1333" s="80">
        <v>0</v>
      </c>
      <c r="R1333" s="80">
        <f t="shared" si="153"/>
        <v>30</v>
      </c>
      <c r="AD1333"/>
    </row>
    <row r="1334" spans="10:30" ht="16.2" customHeight="1">
      <c r="J1334" s="80" t="s">
        <v>725</v>
      </c>
      <c r="K1334" s="80" t="s">
        <v>5356</v>
      </c>
      <c r="L1334" t="s">
        <v>184</v>
      </c>
      <c r="M1334" t="s">
        <v>161</v>
      </c>
      <c r="N1334" t="str">
        <f t="shared" si="152"/>
        <v>SingleMotorised Saber 240v Switch TrackDecorator 2071Top Fix Brackets</v>
      </c>
      <c r="O1334">
        <v>20</v>
      </c>
      <c r="P1334">
        <v>50</v>
      </c>
      <c r="Q1334" s="80">
        <v>0</v>
      </c>
      <c r="R1334" s="80">
        <f t="shared" si="153"/>
        <v>30</v>
      </c>
      <c r="AD1334"/>
    </row>
    <row r="1335" spans="10:30" ht="16.2" customHeight="1">
      <c r="J1335" s="80" t="s">
        <v>746</v>
      </c>
      <c r="K1335" s="80" t="s">
        <v>5356</v>
      </c>
      <c r="L1335" t="s">
        <v>6468</v>
      </c>
      <c r="M1335" t="s">
        <v>161</v>
      </c>
      <c r="N1335" t="str">
        <f t="shared" si="152"/>
        <v>Double FrontMotorised Saber 240v Switch TrackGather Hook Bottom PocketTop Fix Brackets</v>
      </c>
      <c r="O1335">
        <v>60</v>
      </c>
      <c r="P1335">
        <v>50</v>
      </c>
      <c r="Q1335" s="80">
        <v>0</v>
      </c>
      <c r="R1335" s="80">
        <f t="shared" si="153"/>
        <v>-10</v>
      </c>
      <c r="AD1335"/>
    </row>
    <row r="1336" spans="10:30" ht="16.2" customHeight="1">
      <c r="J1336" s="80" t="s">
        <v>725</v>
      </c>
      <c r="K1336" s="80" t="s">
        <v>5356</v>
      </c>
      <c r="L1336" t="s">
        <v>6468</v>
      </c>
      <c r="M1336" t="s">
        <v>161</v>
      </c>
      <c r="N1336" t="str">
        <f t="shared" si="152"/>
        <v>SingleMotorised Saber 240v Switch TrackGather Hook Bottom PocketTop Fix Brackets</v>
      </c>
      <c r="O1336">
        <v>60</v>
      </c>
      <c r="P1336">
        <v>50</v>
      </c>
      <c r="Q1336" s="80">
        <v>0</v>
      </c>
      <c r="R1336" s="80">
        <f t="shared" si="153"/>
        <v>-10</v>
      </c>
      <c r="AD1336"/>
    </row>
    <row r="1337" spans="10:30" ht="16.2" customHeight="1">
      <c r="J1337" s="80" t="s">
        <v>746</v>
      </c>
      <c r="K1337" s="80" t="s">
        <v>5356</v>
      </c>
      <c r="L1337" t="s">
        <v>229</v>
      </c>
      <c r="M1337" t="s">
        <v>161</v>
      </c>
      <c r="N1337" t="str">
        <f t="shared" si="152"/>
        <v>Double FrontMotorised Saber 240v Switch TrackGather Hook LevelTop Fix Brackets</v>
      </c>
      <c r="O1337">
        <v>20</v>
      </c>
      <c r="P1337">
        <v>50</v>
      </c>
      <c r="Q1337" s="80">
        <v>0</v>
      </c>
      <c r="R1337" s="80">
        <f t="shared" si="153"/>
        <v>30</v>
      </c>
      <c r="AD1337"/>
    </row>
    <row r="1338" spans="10:30" ht="16.2" customHeight="1">
      <c r="J1338" s="80" t="s">
        <v>747</v>
      </c>
      <c r="K1338" s="80" t="s">
        <v>5356</v>
      </c>
      <c r="L1338" t="s">
        <v>229</v>
      </c>
      <c r="M1338" t="s">
        <v>161</v>
      </c>
      <c r="N1338" t="str">
        <f t="shared" si="152"/>
        <v>Double RearMotorised Saber 240v Switch TrackGather Hook LevelTop Fix Brackets</v>
      </c>
      <c r="O1338">
        <v>20</v>
      </c>
      <c r="P1338">
        <v>50</v>
      </c>
      <c r="Q1338" s="80">
        <v>0</v>
      </c>
      <c r="R1338" s="80">
        <f t="shared" si="153"/>
        <v>30</v>
      </c>
      <c r="AD1338"/>
    </row>
    <row r="1339" spans="10:30" ht="16.2" customHeight="1">
      <c r="J1339" s="80" t="s">
        <v>725</v>
      </c>
      <c r="K1339" s="80" t="s">
        <v>5356</v>
      </c>
      <c r="L1339" t="s">
        <v>229</v>
      </c>
      <c r="M1339" t="s">
        <v>161</v>
      </c>
      <c r="N1339" t="str">
        <f t="shared" si="152"/>
        <v>SingleMotorised Saber 240v Switch TrackGather Hook LevelTop Fix Brackets</v>
      </c>
      <c r="O1339">
        <v>20</v>
      </c>
      <c r="P1339">
        <v>50</v>
      </c>
      <c r="Q1339" s="80">
        <v>0</v>
      </c>
      <c r="R1339" s="80">
        <f t="shared" si="153"/>
        <v>30</v>
      </c>
      <c r="AD1339"/>
    </row>
    <row r="1340" spans="10:30" ht="16.2" customHeight="1">
      <c r="J1340" s="80" t="s">
        <v>746</v>
      </c>
      <c r="K1340" s="80" t="s">
        <v>5356</v>
      </c>
      <c r="L1340" t="s">
        <v>228</v>
      </c>
      <c r="M1340" t="s">
        <v>161</v>
      </c>
      <c r="N1340" t="str">
        <f t="shared" si="152"/>
        <v>Double FrontMotorised Saber 240v Switch TrackGather Hook NormalTop Fix Brackets</v>
      </c>
      <c r="O1340">
        <v>43</v>
      </c>
      <c r="P1340">
        <v>50</v>
      </c>
      <c r="Q1340" s="80">
        <v>0</v>
      </c>
      <c r="R1340" s="80">
        <f t="shared" si="153"/>
        <v>7</v>
      </c>
      <c r="AD1340"/>
    </row>
    <row r="1341" spans="10:30" ht="16.2" customHeight="1">
      <c r="J1341" s="80" t="s">
        <v>747</v>
      </c>
      <c r="K1341" s="80" t="s">
        <v>5356</v>
      </c>
      <c r="L1341" t="s">
        <v>228</v>
      </c>
      <c r="M1341" t="s">
        <v>161</v>
      </c>
      <c r="N1341" t="str">
        <f t="shared" si="152"/>
        <v>Double RearMotorised Saber 240v Switch TrackGather Hook NormalTop Fix Brackets</v>
      </c>
      <c r="O1341">
        <v>43</v>
      </c>
      <c r="P1341">
        <v>50</v>
      </c>
      <c r="Q1341" s="80">
        <v>0</v>
      </c>
      <c r="R1341" s="80">
        <f t="shared" si="153"/>
        <v>7</v>
      </c>
      <c r="AD1341"/>
    </row>
    <row r="1342" spans="10:30" ht="16.2" customHeight="1">
      <c r="J1342" s="80" t="s">
        <v>725</v>
      </c>
      <c r="K1342" s="80" t="s">
        <v>5356</v>
      </c>
      <c r="L1342" t="s">
        <v>228</v>
      </c>
      <c r="M1342" t="s">
        <v>161</v>
      </c>
      <c r="N1342" t="str">
        <f t="shared" si="152"/>
        <v>SingleMotorised Saber 240v Switch TrackGather Hook NormalTop Fix Brackets</v>
      </c>
      <c r="O1342">
        <v>43</v>
      </c>
      <c r="P1342">
        <v>50</v>
      </c>
      <c r="Q1342" s="80">
        <v>0</v>
      </c>
      <c r="R1342" s="80">
        <f t="shared" si="153"/>
        <v>7</v>
      </c>
      <c r="AD1342"/>
    </row>
    <row r="1343" spans="10:30" ht="16.2" customHeight="1">
      <c r="J1343" s="80" t="s">
        <v>746</v>
      </c>
      <c r="K1343" s="80" t="s">
        <v>5356</v>
      </c>
      <c r="L1343" t="s">
        <v>282</v>
      </c>
      <c r="M1343" t="s">
        <v>161</v>
      </c>
      <c r="N1343" t="str">
        <f t="shared" si="152"/>
        <v>Double FrontMotorised Saber 240v Switch TrackLevel 2072Top Fix Brackets</v>
      </c>
      <c r="O1343">
        <v>38</v>
      </c>
      <c r="P1343">
        <v>50</v>
      </c>
      <c r="Q1343" s="80">
        <v>0</v>
      </c>
      <c r="R1343" s="80">
        <f t="shared" si="153"/>
        <v>12</v>
      </c>
      <c r="AD1343"/>
    </row>
    <row r="1344" spans="10:30" ht="16.2" customHeight="1">
      <c r="J1344" s="80" t="s">
        <v>747</v>
      </c>
      <c r="K1344" s="80" t="s">
        <v>5356</v>
      </c>
      <c r="L1344" t="s">
        <v>282</v>
      </c>
      <c r="M1344" t="s">
        <v>161</v>
      </c>
      <c r="N1344" t="str">
        <f t="shared" si="152"/>
        <v>Double RearMotorised Saber 240v Switch TrackLevel 2072Top Fix Brackets</v>
      </c>
      <c r="O1344">
        <v>38</v>
      </c>
      <c r="P1344">
        <v>50</v>
      </c>
      <c r="Q1344" s="80">
        <v>0</v>
      </c>
      <c r="R1344" s="80">
        <f t="shared" si="153"/>
        <v>12</v>
      </c>
      <c r="AD1344"/>
    </row>
    <row r="1345" spans="10:30" ht="16.2" customHeight="1">
      <c r="J1345" s="80" t="s">
        <v>725</v>
      </c>
      <c r="K1345" s="80" t="s">
        <v>5356</v>
      </c>
      <c r="L1345" t="s">
        <v>282</v>
      </c>
      <c r="M1345" t="s">
        <v>161</v>
      </c>
      <c r="N1345" t="str">
        <f t="shared" si="152"/>
        <v>SingleMotorised Saber 240v Switch TrackLevel 2072Top Fix Brackets</v>
      </c>
      <c r="O1345">
        <v>35</v>
      </c>
      <c r="P1345">
        <v>50</v>
      </c>
      <c r="Q1345" s="80">
        <v>0</v>
      </c>
      <c r="R1345" s="80">
        <f t="shared" si="153"/>
        <v>15</v>
      </c>
      <c r="AD1345"/>
    </row>
    <row r="1346" spans="10:30" ht="16.2" customHeight="1">
      <c r="J1346" s="80" t="s">
        <v>746</v>
      </c>
      <c r="K1346" s="80" t="s">
        <v>5356</v>
      </c>
      <c r="L1346" t="s">
        <v>170</v>
      </c>
      <c r="M1346" t="s">
        <v>161</v>
      </c>
      <c r="N1346" t="str">
        <f t="shared" si="154" ref="N1346:N1409">(CONCATENATE(J1346,K1346,L1346,M1346))</f>
        <v>Double FrontMotorised Saber 240v Switch TrackNormal 2074Top Fix Brackets</v>
      </c>
      <c r="O1346">
        <v>60</v>
      </c>
      <c r="P1346">
        <v>50</v>
      </c>
      <c r="Q1346" s="80">
        <v>0</v>
      </c>
      <c r="R1346" s="80">
        <f t="shared" si="153"/>
        <v>-10</v>
      </c>
      <c r="AD1346"/>
    </row>
    <row r="1347" spans="10:30" ht="16.2" customHeight="1">
      <c r="J1347" s="80" t="s">
        <v>747</v>
      </c>
      <c r="K1347" s="80" t="s">
        <v>5356</v>
      </c>
      <c r="L1347" t="s">
        <v>170</v>
      </c>
      <c r="M1347" t="s">
        <v>161</v>
      </c>
      <c r="N1347" t="str">
        <f t="shared" si="154"/>
        <v>Double RearMotorised Saber 240v Switch TrackNormal 2074Top Fix Brackets</v>
      </c>
      <c r="O1347">
        <v>60</v>
      </c>
      <c r="P1347">
        <v>50</v>
      </c>
      <c r="Q1347" s="80">
        <v>0</v>
      </c>
      <c r="R1347" s="80">
        <f t="shared" si="153"/>
        <v>-10</v>
      </c>
      <c r="AD1347"/>
    </row>
    <row r="1348" spans="10:30" ht="16.2" customHeight="1">
      <c r="J1348" s="80" t="s">
        <v>725</v>
      </c>
      <c r="K1348" s="80" t="s">
        <v>5356</v>
      </c>
      <c r="L1348" t="s">
        <v>170</v>
      </c>
      <c r="M1348" t="s">
        <v>161</v>
      </c>
      <c r="N1348" t="str">
        <f t="shared" si="154"/>
        <v>SingleMotorised Saber 240v Switch TrackNormal 2074Top Fix Brackets</v>
      </c>
      <c r="O1348">
        <v>60</v>
      </c>
      <c r="P1348">
        <v>50</v>
      </c>
      <c r="Q1348" s="80">
        <v>0</v>
      </c>
      <c r="R1348" s="80">
        <f t="shared" si="153"/>
        <v>-10</v>
      </c>
      <c r="AD1348"/>
    </row>
    <row r="1349" spans="10:30" ht="16.2" customHeight="1">
      <c r="J1349" s="80" t="s">
        <v>746</v>
      </c>
      <c r="K1349" s="80" t="s">
        <v>5442</v>
      </c>
      <c r="L1349" t="s">
        <v>183</v>
      </c>
      <c r="M1349" t="s">
        <v>162</v>
      </c>
      <c r="N1349" t="str">
        <f t="shared" si="154"/>
        <v>Double FrontMotorised Somfy 12v Remote Curtain TrackBelow Normal 2075Double Face Fix Brackets</v>
      </c>
      <c r="O1349">
        <v>70</v>
      </c>
      <c r="P1349">
        <v>59</v>
      </c>
      <c r="Q1349" s="80">
        <v>0</v>
      </c>
      <c r="R1349" s="80">
        <f t="shared" si="153"/>
        <v>-11</v>
      </c>
      <c r="AD1349"/>
    </row>
    <row r="1350" spans="10:30" ht="16.2" customHeight="1">
      <c r="J1350" s="80" t="s">
        <v>747</v>
      </c>
      <c r="K1350" s="80" t="s">
        <v>5442</v>
      </c>
      <c r="L1350" t="s">
        <v>183</v>
      </c>
      <c r="M1350" t="s">
        <v>162</v>
      </c>
      <c r="N1350" t="str">
        <f t="shared" si="154"/>
        <v>Double RearMotorised Somfy 12v Remote Curtain TrackBelow Normal 2075Double Face Fix Brackets</v>
      </c>
      <c r="O1350">
        <v>70</v>
      </c>
      <c r="P1350">
        <v>59</v>
      </c>
      <c r="Q1350" s="80">
        <v>0</v>
      </c>
      <c r="R1350" s="80">
        <f t="shared" si="153"/>
        <v>-11</v>
      </c>
      <c r="AD1350"/>
    </row>
    <row r="1351" spans="10:30" ht="16.2" customHeight="1">
      <c r="J1351" s="80" t="s">
        <v>725</v>
      </c>
      <c r="K1351" s="80" t="s">
        <v>5442</v>
      </c>
      <c r="L1351" t="s">
        <v>183</v>
      </c>
      <c r="M1351" t="s">
        <v>162</v>
      </c>
      <c r="N1351" t="str">
        <f t="shared" si="154"/>
        <v>SingleMotorised Somfy 12v Remote Curtain TrackBelow Normal 2075Double Face Fix Brackets</v>
      </c>
      <c r="O1351">
        <v>70</v>
      </c>
      <c r="P1351">
        <v>59</v>
      </c>
      <c r="Q1351" s="80">
        <v>0</v>
      </c>
      <c r="R1351" s="80">
        <f t="shared" si="153"/>
        <v>-11</v>
      </c>
      <c r="AD1351"/>
    </row>
    <row r="1352" spans="10:30" ht="16.2" customHeight="1">
      <c r="J1352" s="80" t="s">
        <v>746</v>
      </c>
      <c r="K1352" s="80" t="s">
        <v>5442</v>
      </c>
      <c r="L1352" t="s">
        <v>182</v>
      </c>
      <c r="M1352" t="s">
        <v>162</v>
      </c>
      <c r="N1352" t="str">
        <f t="shared" si="154"/>
        <v>Double FrontMotorised Somfy 12v Remote Curtain TrackBetween Level and Normal 2073Double Face Fix Brackets</v>
      </c>
      <c r="O1352">
        <v>48</v>
      </c>
      <c r="P1352">
        <v>59</v>
      </c>
      <c r="Q1352" s="80">
        <v>0</v>
      </c>
      <c r="R1352" s="80">
        <f t="shared" si="153"/>
        <v>11</v>
      </c>
      <c r="AD1352"/>
    </row>
    <row r="1353" spans="10:30" ht="16.2" customHeight="1">
      <c r="J1353" s="80" t="s">
        <v>747</v>
      </c>
      <c r="K1353" s="80" t="s">
        <v>5442</v>
      </c>
      <c r="L1353" t="s">
        <v>182</v>
      </c>
      <c r="M1353" t="s">
        <v>162</v>
      </c>
      <c r="N1353" t="str">
        <f t="shared" si="154"/>
        <v>Double RearMotorised Somfy 12v Remote Curtain TrackBetween Level and Normal 2073Double Face Fix Brackets</v>
      </c>
      <c r="O1353">
        <v>48</v>
      </c>
      <c r="P1353">
        <v>59</v>
      </c>
      <c r="Q1353" s="80">
        <v>0</v>
      </c>
      <c r="R1353" s="80">
        <f t="shared" si="153"/>
        <v>11</v>
      </c>
      <c r="AD1353"/>
    </row>
    <row r="1354" spans="10:30" ht="16.2" customHeight="1">
      <c r="J1354" s="80" t="s">
        <v>725</v>
      </c>
      <c r="K1354" s="80" t="s">
        <v>5442</v>
      </c>
      <c r="L1354" t="s">
        <v>182</v>
      </c>
      <c r="M1354" t="s">
        <v>162</v>
      </c>
      <c r="N1354" t="str">
        <f t="shared" si="154"/>
        <v>SingleMotorised Somfy 12v Remote Curtain TrackBetween Level and Normal 2073Double Face Fix Brackets</v>
      </c>
      <c r="O1354">
        <v>47</v>
      </c>
      <c r="P1354">
        <v>59</v>
      </c>
      <c r="Q1354" s="80">
        <v>0</v>
      </c>
      <c r="R1354" s="80">
        <f t="shared" si="153"/>
        <v>12</v>
      </c>
      <c r="AD1354"/>
    </row>
    <row r="1355" spans="10:30" ht="16.2" customHeight="1">
      <c r="J1355" s="80" t="s">
        <v>746</v>
      </c>
      <c r="K1355" s="80" t="s">
        <v>5442</v>
      </c>
      <c r="L1355" t="s">
        <v>184</v>
      </c>
      <c r="M1355" t="s">
        <v>162</v>
      </c>
      <c r="N1355" t="str">
        <f t="shared" si="154"/>
        <v>Double FrontMotorised Somfy 12v Remote Curtain TrackDecorator 2071Double Face Fix Brackets</v>
      </c>
      <c r="O1355">
        <v>20</v>
      </c>
      <c r="P1355">
        <v>59</v>
      </c>
      <c r="Q1355" s="80">
        <v>0</v>
      </c>
      <c r="R1355" s="80">
        <f t="shared" si="153"/>
        <v>39</v>
      </c>
      <c r="AD1355"/>
    </row>
    <row r="1356" spans="10:30" ht="16.2" customHeight="1">
      <c r="J1356" s="80" t="s">
        <v>747</v>
      </c>
      <c r="K1356" s="80" t="s">
        <v>5442</v>
      </c>
      <c r="L1356" t="s">
        <v>184</v>
      </c>
      <c r="M1356" t="s">
        <v>162</v>
      </c>
      <c r="N1356" t="str">
        <f t="shared" si="154"/>
        <v>Double RearMotorised Somfy 12v Remote Curtain TrackDecorator 2071Double Face Fix Brackets</v>
      </c>
      <c r="O1356">
        <v>20</v>
      </c>
      <c r="P1356">
        <v>59</v>
      </c>
      <c r="Q1356" s="80">
        <v>0</v>
      </c>
      <c r="R1356" s="80">
        <f t="shared" si="153"/>
        <v>39</v>
      </c>
      <c r="AD1356"/>
    </row>
    <row r="1357" spans="10:30" ht="16.2" customHeight="1">
      <c r="J1357" s="80" t="s">
        <v>725</v>
      </c>
      <c r="K1357" s="80" t="s">
        <v>5442</v>
      </c>
      <c r="L1357" t="s">
        <v>184</v>
      </c>
      <c r="M1357" t="s">
        <v>162</v>
      </c>
      <c r="N1357" t="str">
        <f t="shared" si="154"/>
        <v>SingleMotorised Somfy 12v Remote Curtain TrackDecorator 2071Double Face Fix Brackets</v>
      </c>
      <c r="O1357">
        <v>20</v>
      </c>
      <c r="P1357">
        <v>59</v>
      </c>
      <c r="Q1357" s="80">
        <v>0</v>
      </c>
      <c r="R1357" s="80">
        <f t="shared" si="153"/>
        <v>39</v>
      </c>
      <c r="AD1357"/>
    </row>
    <row r="1358" spans="10:30" ht="16.2" customHeight="1">
      <c r="J1358" s="80" t="s">
        <v>746</v>
      </c>
      <c r="K1358" s="80" t="s">
        <v>5442</v>
      </c>
      <c r="L1358" t="s">
        <v>6468</v>
      </c>
      <c r="M1358" t="s">
        <v>162</v>
      </c>
      <c r="N1358" t="str">
        <f t="shared" si="154"/>
        <v>Double FrontMotorised Somfy 12v Remote Curtain TrackGather Hook Bottom PocketDouble Face Fix Brackets</v>
      </c>
      <c r="O1358">
        <v>60</v>
      </c>
      <c r="P1358">
        <v>59</v>
      </c>
      <c r="Q1358" s="80">
        <v>0</v>
      </c>
      <c r="R1358" s="80">
        <f t="shared" si="153"/>
        <v>-1</v>
      </c>
      <c r="AD1358"/>
    </row>
    <row r="1359" spans="10:30" ht="16.2" customHeight="1">
      <c r="J1359" s="80" t="s">
        <v>725</v>
      </c>
      <c r="K1359" s="80" t="s">
        <v>5442</v>
      </c>
      <c r="L1359" t="s">
        <v>6468</v>
      </c>
      <c r="M1359" t="s">
        <v>162</v>
      </c>
      <c r="N1359" t="str">
        <f t="shared" si="154"/>
        <v>SingleMotorised Somfy 12v Remote Curtain TrackGather Hook Bottom PocketDouble Face Fix Brackets</v>
      </c>
      <c r="O1359">
        <v>60</v>
      </c>
      <c r="P1359">
        <v>59</v>
      </c>
      <c r="Q1359" s="80">
        <v>0</v>
      </c>
      <c r="R1359" s="80">
        <f t="shared" si="153"/>
        <v>-1</v>
      </c>
      <c r="AD1359"/>
    </row>
    <row r="1360" spans="10:30" ht="16.2" customHeight="1">
      <c r="J1360" s="80" t="s">
        <v>746</v>
      </c>
      <c r="K1360" s="80" t="s">
        <v>5442</v>
      </c>
      <c r="L1360" t="s">
        <v>229</v>
      </c>
      <c r="M1360" t="s">
        <v>162</v>
      </c>
      <c r="N1360" t="str">
        <f t="shared" si="154"/>
        <v>Double FrontMotorised Somfy 12v Remote Curtain TrackGather Hook LevelDouble Face Fix Brackets</v>
      </c>
      <c r="O1360">
        <v>20</v>
      </c>
      <c r="P1360">
        <v>59</v>
      </c>
      <c r="Q1360" s="80">
        <v>0</v>
      </c>
      <c r="R1360" s="80">
        <f t="shared" si="153"/>
        <v>39</v>
      </c>
      <c r="AD1360"/>
    </row>
    <row r="1361" spans="10:30" ht="16.2" customHeight="1">
      <c r="J1361" s="80" t="s">
        <v>747</v>
      </c>
      <c r="K1361" s="80" t="s">
        <v>5442</v>
      </c>
      <c r="L1361" t="s">
        <v>229</v>
      </c>
      <c r="M1361" t="s">
        <v>162</v>
      </c>
      <c r="N1361" t="str">
        <f t="shared" si="154"/>
        <v>Double RearMotorised Somfy 12v Remote Curtain TrackGather Hook LevelDouble Face Fix Brackets</v>
      </c>
      <c r="O1361">
        <v>20</v>
      </c>
      <c r="P1361">
        <v>59</v>
      </c>
      <c r="Q1361" s="80">
        <v>0</v>
      </c>
      <c r="R1361" s="80">
        <f t="shared" si="153"/>
        <v>39</v>
      </c>
      <c r="AD1361"/>
    </row>
    <row r="1362" spans="10:30" ht="16.2" customHeight="1">
      <c r="J1362" s="80" t="s">
        <v>725</v>
      </c>
      <c r="K1362" s="80" t="s">
        <v>5442</v>
      </c>
      <c r="L1362" t="s">
        <v>229</v>
      </c>
      <c r="M1362" t="s">
        <v>162</v>
      </c>
      <c r="N1362" t="str">
        <f t="shared" si="154"/>
        <v>SingleMotorised Somfy 12v Remote Curtain TrackGather Hook LevelDouble Face Fix Brackets</v>
      </c>
      <c r="O1362">
        <v>20</v>
      </c>
      <c r="P1362">
        <v>59</v>
      </c>
      <c r="Q1362" s="80">
        <v>0</v>
      </c>
      <c r="R1362" s="80">
        <f t="shared" si="153"/>
        <v>39</v>
      </c>
      <c r="AD1362"/>
    </row>
    <row r="1363" spans="10:30" ht="16.2" customHeight="1">
      <c r="J1363" s="80" t="s">
        <v>746</v>
      </c>
      <c r="K1363" s="80" t="s">
        <v>5442</v>
      </c>
      <c r="L1363" t="s">
        <v>228</v>
      </c>
      <c r="M1363" t="s">
        <v>162</v>
      </c>
      <c r="N1363" t="str">
        <f t="shared" si="154"/>
        <v>Double FrontMotorised Somfy 12v Remote Curtain TrackGather Hook NormalDouble Face Fix Brackets</v>
      </c>
      <c r="O1363">
        <v>43</v>
      </c>
      <c r="P1363">
        <v>59</v>
      </c>
      <c r="Q1363" s="80">
        <v>0</v>
      </c>
      <c r="R1363" s="80">
        <f t="shared" si="153"/>
        <v>16</v>
      </c>
      <c r="AD1363"/>
    </row>
    <row r="1364" spans="10:30" ht="16.2" customHeight="1">
      <c r="J1364" s="80" t="s">
        <v>747</v>
      </c>
      <c r="K1364" s="80" t="s">
        <v>5442</v>
      </c>
      <c r="L1364" t="s">
        <v>228</v>
      </c>
      <c r="M1364" t="s">
        <v>162</v>
      </c>
      <c r="N1364" t="str">
        <f t="shared" si="154"/>
        <v>Double RearMotorised Somfy 12v Remote Curtain TrackGather Hook NormalDouble Face Fix Brackets</v>
      </c>
      <c r="O1364">
        <v>43</v>
      </c>
      <c r="P1364">
        <v>59</v>
      </c>
      <c r="Q1364" s="80">
        <v>0</v>
      </c>
      <c r="R1364" s="80">
        <f t="shared" si="153"/>
        <v>16</v>
      </c>
      <c r="AD1364"/>
    </row>
    <row r="1365" spans="10:30" ht="16.2" customHeight="1">
      <c r="J1365" s="80" t="s">
        <v>725</v>
      </c>
      <c r="K1365" s="80" t="s">
        <v>5442</v>
      </c>
      <c r="L1365" t="s">
        <v>228</v>
      </c>
      <c r="M1365" t="s">
        <v>162</v>
      </c>
      <c r="N1365" t="str">
        <f t="shared" si="154"/>
        <v>SingleMotorised Somfy 12v Remote Curtain TrackGather Hook NormalDouble Face Fix Brackets</v>
      </c>
      <c r="O1365">
        <v>43</v>
      </c>
      <c r="P1365">
        <v>59</v>
      </c>
      <c r="Q1365" s="80">
        <v>0</v>
      </c>
      <c r="R1365" s="80">
        <f t="shared" si="153"/>
        <v>16</v>
      </c>
      <c r="AD1365"/>
    </row>
    <row r="1366" spans="10:30" ht="16.2" customHeight="1">
      <c r="J1366" s="80" t="s">
        <v>746</v>
      </c>
      <c r="K1366" s="80" t="s">
        <v>5442</v>
      </c>
      <c r="L1366" t="s">
        <v>282</v>
      </c>
      <c r="M1366" t="s">
        <v>162</v>
      </c>
      <c r="N1366" t="str">
        <f t="shared" si="154"/>
        <v>Double FrontMotorised Somfy 12v Remote Curtain TrackLevel 2072Double Face Fix Brackets</v>
      </c>
      <c r="O1366">
        <v>38</v>
      </c>
      <c r="P1366">
        <v>59</v>
      </c>
      <c r="Q1366" s="80">
        <v>0</v>
      </c>
      <c r="R1366" s="80">
        <f t="shared" si="153"/>
        <v>21</v>
      </c>
      <c r="AD1366"/>
    </row>
    <row r="1367" spans="10:30" ht="16.2" customHeight="1">
      <c r="J1367" s="80" t="s">
        <v>747</v>
      </c>
      <c r="K1367" s="80" t="s">
        <v>5442</v>
      </c>
      <c r="L1367" t="s">
        <v>282</v>
      </c>
      <c r="M1367" t="s">
        <v>162</v>
      </c>
      <c r="N1367" t="str">
        <f t="shared" si="154"/>
        <v>Double RearMotorised Somfy 12v Remote Curtain TrackLevel 2072Double Face Fix Brackets</v>
      </c>
      <c r="O1367">
        <v>38</v>
      </c>
      <c r="P1367">
        <v>59</v>
      </c>
      <c r="Q1367" s="80">
        <v>0</v>
      </c>
      <c r="R1367" s="80">
        <f t="shared" si="153"/>
        <v>21</v>
      </c>
      <c r="AD1367"/>
    </row>
    <row r="1368" spans="10:30" ht="16.2" customHeight="1">
      <c r="J1368" s="80" t="s">
        <v>725</v>
      </c>
      <c r="K1368" s="80" t="s">
        <v>5442</v>
      </c>
      <c r="L1368" t="s">
        <v>282</v>
      </c>
      <c r="M1368" t="s">
        <v>162</v>
      </c>
      <c r="N1368" t="str">
        <f t="shared" si="154"/>
        <v>SingleMotorised Somfy 12v Remote Curtain TrackLevel 2072Double Face Fix Brackets</v>
      </c>
      <c r="O1368">
        <v>35</v>
      </c>
      <c r="P1368">
        <v>59</v>
      </c>
      <c r="Q1368" s="80">
        <v>0</v>
      </c>
      <c r="R1368" s="80">
        <f t="shared" si="153"/>
        <v>24</v>
      </c>
      <c r="AD1368"/>
    </row>
    <row r="1369" spans="10:30" ht="16.2" customHeight="1">
      <c r="J1369" s="80" t="s">
        <v>746</v>
      </c>
      <c r="K1369" s="80" t="s">
        <v>5442</v>
      </c>
      <c r="L1369" t="s">
        <v>170</v>
      </c>
      <c r="M1369" t="s">
        <v>162</v>
      </c>
      <c r="N1369" t="str">
        <f t="shared" si="154"/>
        <v>Double FrontMotorised Somfy 12v Remote Curtain TrackNormal 2074Double Face Fix Brackets</v>
      </c>
      <c r="O1369">
        <v>60</v>
      </c>
      <c r="P1369">
        <v>59</v>
      </c>
      <c r="Q1369" s="80">
        <v>0</v>
      </c>
      <c r="R1369" s="80">
        <f t="shared" si="153"/>
        <v>-1</v>
      </c>
      <c r="AD1369"/>
    </row>
    <row r="1370" spans="10:30" ht="16.2" customHeight="1">
      <c r="J1370" s="80" t="s">
        <v>747</v>
      </c>
      <c r="K1370" s="80" t="s">
        <v>5442</v>
      </c>
      <c r="L1370" t="s">
        <v>170</v>
      </c>
      <c r="M1370" t="s">
        <v>162</v>
      </c>
      <c r="N1370" t="str">
        <f t="shared" si="154"/>
        <v>Double RearMotorised Somfy 12v Remote Curtain TrackNormal 2074Double Face Fix Brackets</v>
      </c>
      <c r="O1370">
        <v>60</v>
      </c>
      <c r="P1370">
        <v>59</v>
      </c>
      <c r="Q1370" s="80">
        <v>0</v>
      </c>
      <c r="R1370" s="80">
        <f t="shared" si="153"/>
        <v>-1</v>
      </c>
      <c r="AD1370"/>
    </row>
    <row r="1371" spans="10:30" ht="16.2" customHeight="1">
      <c r="J1371" s="80" t="s">
        <v>725</v>
      </c>
      <c r="K1371" s="80" t="s">
        <v>5442</v>
      </c>
      <c r="L1371" t="s">
        <v>170</v>
      </c>
      <c r="M1371" t="s">
        <v>162</v>
      </c>
      <c r="N1371" t="str">
        <f t="shared" si="154"/>
        <v>SingleMotorised Somfy 12v Remote Curtain TrackNormal 2074Double Face Fix Brackets</v>
      </c>
      <c r="O1371">
        <v>60</v>
      </c>
      <c r="P1371">
        <v>59</v>
      </c>
      <c r="Q1371" s="80">
        <v>0</v>
      </c>
      <c r="R1371" s="80">
        <f t="shared" si="153"/>
        <v>-1</v>
      </c>
      <c r="AD1371"/>
    </row>
    <row r="1372" spans="10:30" ht="16.2" customHeight="1">
      <c r="J1372" s="80" t="s">
        <v>746</v>
      </c>
      <c r="K1372" s="80" t="s">
        <v>5442</v>
      </c>
      <c r="L1372" t="s">
        <v>183</v>
      </c>
      <c r="M1372" t="s">
        <v>159</v>
      </c>
      <c r="N1372" t="str">
        <f t="shared" si="154"/>
        <v>Double FrontMotorised Somfy 12v Remote Curtain TrackBelow Normal 2075Single Face Fix Brackets</v>
      </c>
      <c r="O1372">
        <v>70</v>
      </c>
      <c r="P1372">
        <v>55</v>
      </c>
      <c r="Q1372" s="80">
        <v>0</v>
      </c>
      <c r="R1372" s="80">
        <f t="shared" si="153"/>
        <v>-15</v>
      </c>
      <c r="AD1372"/>
    </row>
    <row r="1373" spans="10:30" ht="16.2" customHeight="1">
      <c r="J1373" s="80" t="s">
        <v>747</v>
      </c>
      <c r="K1373" s="80" t="s">
        <v>5442</v>
      </c>
      <c r="L1373" t="s">
        <v>183</v>
      </c>
      <c r="M1373" t="s">
        <v>159</v>
      </c>
      <c r="N1373" t="str">
        <f t="shared" si="154"/>
        <v>Double RearMotorised Somfy 12v Remote Curtain TrackBelow Normal 2075Single Face Fix Brackets</v>
      </c>
      <c r="O1373">
        <v>70</v>
      </c>
      <c r="P1373">
        <v>55</v>
      </c>
      <c r="Q1373" s="80">
        <v>0</v>
      </c>
      <c r="R1373" s="80">
        <f t="shared" si="153"/>
        <v>-15</v>
      </c>
      <c r="AD1373"/>
    </row>
    <row r="1374" spans="10:30" ht="16.2" customHeight="1">
      <c r="J1374" s="80" t="s">
        <v>725</v>
      </c>
      <c r="K1374" s="80" t="s">
        <v>5442</v>
      </c>
      <c r="L1374" t="s">
        <v>183</v>
      </c>
      <c r="M1374" t="s">
        <v>159</v>
      </c>
      <c r="N1374" t="str">
        <f t="shared" si="154"/>
        <v>SingleMotorised Somfy 12v Remote Curtain TrackBelow Normal 2075Single Face Fix Brackets</v>
      </c>
      <c r="O1374">
        <v>70</v>
      </c>
      <c r="P1374">
        <v>55</v>
      </c>
      <c r="Q1374" s="80">
        <v>0</v>
      </c>
      <c r="R1374" s="80">
        <f t="shared" si="153"/>
        <v>-15</v>
      </c>
      <c r="AD1374"/>
    </row>
    <row r="1375" spans="10:30" ht="16.2" customHeight="1">
      <c r="J1375" s="80" t="s">
        <v>746</v>
      </c>
      <c r="K1375" s="80" t="s">
        <v>5442</v>
      </c>
      <c r="L1375" t="s">
        <v>182</v>
      </c>
      <c r="M1375" t="s">
        <v>159</v>
      </c>
      <c r="N1375" t="str">
        <f t="shared" si="154"/>
        <v>Double FrontMotorised Somfy 12v Remote Curtain TrackBetween Level and Normal 2073Single Face Fix Brackets</v>
      </c>
      <c r="O1375">
        <v>48</v>
      </c>
      <c r="P1375">
        <v>55</v>
      </c>
      <c r="Q1375" s="80">
        <v>0</v>
      </c>
      <c r="R1375" s="80">
        <f t="shared" si="155" ref="R1375:R1438">SUM(P1375)-O1375</f>
        <v>7</v>
      </c>
      <c r="AD1375"/>
    </row>
    <row r="1376" spans="10:30" ht="16.2" customHeight="1">
      <c r="J1376" s="80" t="s">
        <v>747</v>
      </c>
      <c r="K1376" s="80" t="s">
        <v>5442</v>
      </c>
      <c r="L1376" t="s">
        <v>182</v>
      </c>
      <c r="M1376" t="s">
        <v>159</v>
      </c>
      <c r="N1376" t="str">
        <f t="shared" si="154"/>
        <v>Double RearMotorised Somfy 12v Remote Curtain TrackBetween Level and Normal 2073Single Face Fix Brackets</v>
      </c>
      <c r="O1376">
        <v>48</v>
      </c>
      <c r="P1376">
        <v>55</v>
      </c>
      <c r="Q1376" s="80">
        <v>0</v>
      </c>
      <c r="R1376" s="80">
        <f t="shared" si="155"/>
        <v>7</v>
      </c>
      <c r="AD1376"/>
    </row>
    <row r="1377" spans="10:30" ht="16.2" customHeight="1">
      <c r="J1377" s="80" t="s">
        <v>725</v>
      </c>
      <c r="K1377" s="80" t="s">
        <v>5442</v>
      </c>
      <c r="L1377" t="s">
        <v>182</v>
      </c>
      <c r="M1377" t="s">
        <v>159</v>
      </c>
      <c r="N1377" t="str">
        <f t="shared" si="154"/>
        <v>SingleMotorised Somfy 12v Remote Curtain TrackBetween Level and Normal 2073Single Face Fix Brackets</v>
      </c>
      <c r="O1377">
        <v>47</v>
      </c>
      <c r="P1377">
        <v>55</v>
      </c>
      <c r="Q1377" s="80">
        <v>0</v>
      </c>
      <c r="R1377" s="80">
        <f t="shared" si="155"/>
        <v>8</v>
      </c>
      <c r="AD1377"/>
    </row>
    <row r="1378" spans="10:30" ht="16.2" customHeight="1">
      <c r="J1378" s="80" t="s">
        <v>746</v>
      </c>
      <c r="K1378" s="80" t="s">
        <v>5442</v>
      </c>
      <c r="L1378" t="s">
        <v>184</v>
      </c>
      <c r="M1378" t="s">
        <v>159</v>
      </c>
      <c r="N1378" t="str">
        <f t="shared" si="154"/>
        <v>Double FrontMotorised Somfy 12v Remote Curtain TrackDecorator 2071Single Face Fix Brackets</v>
      </c>
      <c r="O1378">
        <v>20</v>
      </c>
      <c r="P1378">
        <v>55</v>
      </c>
      <c r="Q1378" s="80">
        <v>0</v>
      </c>
      <c r="R1378" s="80">
        <f t="shared" si="155"/>
        <v>35</v>
      </c>
      <c r="AD1378"/>
    </row>
    <row r="1379" spans="10:30" ht="16.2" customHeight="1">
      <c r="J1379" s="80" t="s">
        <v>747</v>
      </c>
      <c r="K1379" s="80" t="s">
        <v>5442</v>
      </c>
      <c r="L1379" t="s">
        <v>184</v>
      </c>
      <c r="M1379" t="s">
        <v>159</v>
      </c>
      <c r="N1379" t="str">
        <f t="shared" si="154"/>
        <v>Double RearMotorised Somfy 12v Remote Curtain TrackDecorator 2071Single Face Fix Brackets</v>
      </c>
      <c r="O1379">
        <v>20</v>
      </c>
      <c r="P1379">
        <v>55</v>
      </c>
      <c r="Q1379" s="80">
        <v>0</v>
      </c>
      <c r="R1379" s="80">
        <f t="shared" si="155"/>
        <v>35</v>
      </c>
      <c r="AD1379"/>
    </row>
    <row r="1380" spans="10:30" ht="16.2" customHeight="1">
      <c r="J1380" s="80" t="s">
        <v>725</v>
      </c>
      <c r="K1380" s="80" t="s">
        <v>5442</v>
      </c>
      <c r="L1380" t="s">
        <v>184</v>
      </c>
      <c r="M1380" t="s">
        <v>159</v>
      </c>
      <c r="N1380" t="str">
        <f t="shared" si="154"/>
        <v>SingleMotorised Somfy 12v Remote Curtain TrackDecorator 2071Single Face Fix Brackets</v>
      </c>
      <c r="O1380">
        <v>20</v>
      </c>
      <c r="P1380">
        <v>55</v>
      </c>
      <c r="Q1380" s="80">
        <v>0</v>
      </c>
      <c r="R1380" s="80">
        <f t="shared" si="155"/>
        <v>35</v>
      </c>
      <c r="AD1380"/>
    </row>
    <row r="1381" spans="10:30" ht="16.2" customHeight="1">
      <c r="J1381" s="80" t="s">
        <v>746</v>
      </c>
      <c r="K1381" s="80" t="s">
        <v>5442</v>
      </c>
      <c r="L1381" t="s">
        <v>6468</v>
      </c>
      <c r="M1381" t="s">
        <v>159</v>
      </c>
      <c r="N1381" t="str">
        <f t="shared" si="154"/>
        <v>Double FrontMotorised Somfy 12v Remote Curtain TrackGather Hook Bottom PocketSingle Face Fix Brackets</v>
      </c>
      <c r="O1381">
        <v>60</v>
      </c>
      <c r="P1381">
        <v>55</v>
      </c>
      <c r="Q1381" s="80">
        <v>0</v>
      </c>
      <c r="R1381" s="80">
        <f t="shared" si="155"/>
        <v>-5</v>
      </c>
      <c r="AD1381"/>
    </row>
    <row r="1382" spans="10:30" ht="16.2" customHeight="1">
      <c r="J1382" s="80" t="s">
        <v>725</v>
      </c>
      <c r="K1382" s="80" t="s">
        <v>5442</v>
      </c>
      <c r="L1382" t="s">
        <v>6468</v>
      </c>
      <c r="M1382" t="s">
        <v>159</v>
      </c>
      <c r="N1382" t="str">
        <f t="shared" si="154"/>
        <v>SingleMotorised Somfy 12v Remote Curtain TrackGather Hook Bottom PocketSingle Face Fix Brackets</v>
      </c>
      <c r="O1382">
        <v>60</v>
      </c>
      <c r="P1382">
        <v>55</v>
      </c>
      <c r="Q1382" s="80">
        <v>0</v>
      </c>
      <c r="R1382" s="80">
        <f t="shared" si="155"/>
        <v>-5</v>
      </c>
      <c r="AD1382"/>
    </row>
    <row r="1383" spans="10:30" ht="16.2" customHeight="1">
      <c r="J1383" s="80" t="s">
        <v>746</v>
      </c>
      <c r="K1383" s="80" t="s">
        <v>5442</v>
      </c>
      <c r="L1383" t="s">
        <v>229</v>
      </c>
      <c r="M1383" t="s">
        <v>159</v>
      </c>
      <c r="N1383" t="str">
        <f t="shared" si="154"/>
        <v>Double FrontMotorised Somfy 12v Remote Curtain TrackGather Hook LevelSingle Face Fix Brackets</v>
      </c>
      <c r="O1383">
        <v>20</v>
      </c>
      <c r="P1383">
        <v>55</v>
      </c>
      <c r="Q1383" s="80">
        <v>0</v>
      </c>
      <c r="R1383" s="80">
        <f t="shared" si="155"/>
        <v>35</v>
      </c>
      <c r="AD1383"/>
    </row>
    <row r="1384" spans="10:30" ht="16.2" customHeight="1">
      <c r="J1384" s="80" t="s">
        <v>747</v>
      </c>
      <c r="K1384" s="80" t="s">
        <v>5442</v>
      </c>
      <c r="L1384" t="s">
        <v>229</v>
      </c>
      <c r="M1384" t="s">
        <v>159</v>
      </c>
      <c r="N1384" t="str">
        <f t="shared" si="154"/>
        <v>Double RearMotorised Somfy 12v Remote Curtain TrackGather Hook LevelSingle Face Fix Brackets</v>
      </c>
      <c r="O1384">
        <v>20</v>
      </c>
      <c r="P1384">
        <v>55</v>
      </c>
      <c r="Q1384" s="80">
        <v>0</v>
      </c>
      <c r="R1384" s="80">
        <f t="shared" si="155"/>
        <v>35</v>
      </c>
      <c r="AD1384"/>
    </row>
    <row r="1385" spans="10:30" ht="16.2" customHeight="1">
      <c r="J1385" s="80" t="s">
        <v>725</v>
      </c>
      <c r="K1385" s="80" t="s">
        <v>5442</v>
      </c>
      <c r="L1385" t="s">
        <v>229</v>
      </c>
      <c r="M1385" t="s">
        <v>159</v>
      </c>
      <c r="N1385" t="str">
        <f t="shared" si="154"/>
        <v>SingleMotorised Somfy 12v Remote Curtain TrackGather Hook LevelSingle Face Fix Brackets</v>
      </c>
      <c r="O1385">
        <v>20</v>
      </c>
      <c r="P1385">
        <v>55</v>
      </c>
      <c r="Q1385" s="80">
        <v>0</v>
      </c>
      <c r="R1385" s="80">
        <f t="shared" si="155"/>
        <v>35</v>
      </c>
      <c r="AD1385"/>
    </row>
    <row r="1386" spans="10:30" ht="16.2" customHeight="1">
      <c r="J1386" s="80" t="s">
        <v>746</v>
      </c>
      <c r="K1386" s="80" t="s">
        <v>5442</v>
      </c>
      <c r="L1386" t="s">
        <v>228</v>
      </c>
      <c r="M1386" t="s">
        <v>159</v>
      </c>
      <c r="N1386" t="str">
        <f t="shared" si="154"/>
        <v>Double FrontMotorised Somfy 12v Remote Curtain TrackGather Hook NormalSingle Face Fix Brackets</v>
      </c>
      <c r="O1386">
        <v>43</v>
      </c>
      <c r="P1386">
        <v>55</v>
      </c>
      <c r="Q1386" s="80">
        <v>0</v>
      </c>
      <c r="R1386" s="80">
        <f t="shared" si="155"/>
        <v>12</v>
      </c>
      <c r="AD1386"/>
    </row>
    <row r="1387" spans="10:30" ht="16.2" customHeight="1">
      <c r="J1387" s="80" t="s">
        <v>747</v>
      </c>
      <c r="K1387" s="80" t="s">
        <v>5442</v>
      </c>
      <c r="L1387" t="s">
        <v>228</v>
      </c>
      <c r="M1387" t="s">
        <v>159</v>
      </c>
      <c r="N1387" t="str">
        <f t="shared" si="154"/>
        <v>Double RearMotorised Somfy 12v Remote Curtain TrackGather Hook NormalSingle Face Fix Brackets</v>
      </c>
      <c r="O1387">
        <v>43</v>
      </c>
      <c r="P1387">
        <v>55</v>
      </c>
      <c r="Q1387" s="80">
        <v>0</v>
      </c>
      <c r="R1387" s="80">
        <f t="shared" si="155"/>
        <v>12</v>
      </c>
      <c r="AD1387"/>
    </row>
    <row r="1388" spans="10:30" ht="16.2" customHeight="1">
      <c r="J1388" s="80" t="s">
        <v>725</v>
      </c>
      <c r="K1388" s="80" t="s">
        <v>5442</v>
      </c>
      <c r="L1388" t="s">
        <v>228</v>
      </c>
      <c r="M1388" t="s">
        <v>159</v>
      </c>
      <c r="N1388" t="str">
        <f t="shared" si="154"/>
        <v>SingleMotorised Somfy 12v Remote Curtain TrackGather Hook NormalSingle Face Fix Brackets</v>
      </c>
      <c r="O1388">
        <v>43</v>
      </c>
      <c r="P1388">
        <v>55</v>
      </c>
      <c r="Q1388" s="80">
        <v>0</v>
      </c>
      <c r="R1388" s="80">
        <f t="shared" si="155"/>
        <v>12</v>
      </c>
      <c r="AD1388"/>
    </row>
    <row r="1389" spans="10:30" ht="16.2" customHeight="1">
      <c r="J1389" s="80" t="s">
        <v>746</v>
      </c>
      <c r="K1389" s="80" t="s">
        <v>5442</v>
      </c>
      <c r="L1389" t="s">
        <v>282</v>
      </c>
      <c r="M1389" t="s">
        <v>159</v>
      </c>
      <c r="N1389" t="str">
        <f t="shared" si="154"/>
        <v>Double FrontMotorised Somfy 12v Remote Curtain TrackLevel 2072Single Face Fix Brackets</v>
      </c>
      <c r="O1389">
        <v>38</v>
      </c>
      <c r="P1389">
        <v>55</v>
      </c>
      <c r="Q1389" s="80">
        <v>0</v>
      </c>
      <c r="R1389" s="80">
        <f t="shared" si="155"/>
        <v>17</v>
      </c>
      <c r="AD1389"/>
    </row>
    <row r="1390" spans="10:30" ht="16.2" customHeight="1">
      <c r="J1390" s="80" t="s">
        <v>747</v>
      </c>
      <c r="K1390" s="80" t="s">
        <v>5442</v>
      </c>
      <c r="L1390" t="s">
        <v>282</v>
      </c>
      <c r="M1390" t="s">
        <v>159</v>
      </c>
      <c r="N1390" t="str">
        <f t="shared" si="154"/>
        <v>Double RearMotorised Somfy 12v Remote Curtain TrackLevel 2072Single Face Fix Brackets</v>
      </c>
      <c r="O1390">
        <v>38</v>
      </c>
      <c r="P1390">
        <v>55</v>
      </c>
      <c r="Q1390" s="80">
        <v>0</v>
      </c>
      <c r="R1390" s="80">
        <f t="shared" si="155"/>
        <v>17</v>
      </c>
      <c r="AD1390"/>
    </row>
    <row r="1391" spans="10:30" ht="16.2" customHeight="1">
      <c r="J1391" s="80" t="s">
        <v>725</v>
      </c>
      <c r="K1391" s="80" t="s">
        <v>5442</v>
      </c>
      <c r="L1391" t="s">
        <v>282</v>
      </c>
      <c r="M1391" t="s">
        <v>159</v>
      </c>
      <c r="N1391" t="str">
        <f t="shared" si="154"/>
        <v>SingleMotorised Somfy 12v Remote Curtain TrackLevel 2072Single Face Fix Brackets</v>
      </c>
      <c r="O1391">
        <v>35</v>
      </c>
      <c r="P1391">
        <v>55</v>
      </c>
      <c r="Q1391" s="80">
        <v>0</v>
      </c>
      <c r="R1391" s="80">
        <f t="shared" si="155"/>
        <v>20</v>
      </c>
      <c r="AD1391"/>
    </row>
    <row r="1392" spans="10:30" ht="16.2" customHeight="1">
      <c r="J1392" s="80" t="s">
        <v>746</v>
      </c>
      <c r="K1392" s="80" t="s">
        <v>5442</v>
      </c>
      <c r="L1392" t="s">
        <v>170</v>
      </c>
      <c r="M1392" t="s">
        <v>159</v>
      </c>
      <c r="N1392" t="str">
        <f t="shared" si="154"/>
        <v>Double FrontMotorised Somfy 12v Remote Curtain TrackNormal 2074Single Face Fix Brackets</v>
      </c>
      <c r="O1392">
        <v>60</v>
      </c>
      <c r="P1392">
        <v>55</v>
      </c>
      <c r="Q1392" s="80">
        <v>0</v>
      </c>
      <c r="R1392" s="80">
        <f t="shared" si="155"/>
        <v>-5</v>
      </c>
      <c r="AD1392"/>
    </row>
    <row r="1393" spans="10:30" ht="16.2" customHeight="1">
      <c r="J1393" s="80" t="s">
        <v>747</v>
      </c>
      <c r="K1393" s="80" t="s">
        <v>5442</v>
      </c>
      <c r="L1393" t="s">
        <v>170</v>
      </c>
      <c r="M1393" t="s">
        <v>159</v>
      </c>
      <c r="N1393" t="str">
        <f t="shared" si="154"/>
        <v>Double RearMotorised Somfy 12v Remote Curtain TrackNormal 2074Single Face Fix Brackets</v>
      </c>
      <c r="O1393">
        <v>60</v>
      </c>
      <c r="P1393">
        <v>55</v>
      </c>
      <c r="Q1393" s="80">
        <v>0</v>
      </c>
      <c r="R1393" s="80">
        <f t="shared" si="155"/>
        <v>-5</v>
      </c>
      <c r="AD1393"/>
    </row>
    <row r="1394" spans="10:30" ht="16.2" customHeight="1">
      <c r="J1394" s="80" t="s">
        <v>725</v>
      </c>
      <c r="K1394" s="80" t="s">
        <v>5442</v>
      </c>
      <c r="L1394" t="s">
        <v>170</v>
      </c>
      <c r="M1394" t="s">
        <v>159</v>
      </c>
      <c r="N1394" t="str">
        <f t="shared" si="154"/>
        <v>SingleMotorised Somfy 12v Remote Curtain TrackNormal 2074Single Face Fix Brackets</v>
      </c>
      <c r="O1394">
        <v>60</v>
      </c>
      <c r="P1394">
        <v>55</v>
      </c>
      <c r="Q1394" s="80">
        <v>0</v>
      </c>
      <c r="R1394" s="80">
        <f t="shared" si="155"/>
        <v>-5</v>
      </c>
      <c r="AD1394"/>
    </row>
    <row r="1395" spans="10:30" ht="16.2" customHeight="1">
      <c r="J1395" s="80" t="s">
        <v>746</v>
      </c>
      <c r="K1395" s="80" t="s">
        <v>5442</v>
      </c>
      <c r="L1395" t="s">
        <v>183</v>
      </c>
      <c r="M1395" t="s">
        <v>161</v>
      </c>
      <c r="N1395" t="str">
        <f t="shared" si="154"/>
        <v>Double FrontMotorised Somfy 12v Remote Curtain TrackBelow Normal 2075Top Fix Brackets</v>
      </c>
      <c r="O1395">
        <v>70</v>
      </c>
      <c r="P1395">
        <v>50</v>
      </c>
      <c r="Q1395" s="80">
        <v>0</v>
      </c>
      <c r="R1395" s="80">
        <f t="shared" si="155"/>
        <v>-20</v>
      </c>
      <c r="AD1395"/>
    </row>
    <row r="1396" spans="10:30" ht="16.2" customHeight="1">
      <c r="J1396" s="80" t="s">
        <v>747</v>
      </c>
      <c r="K1396" s="80" t="s">
        <v>5442</v>
      </c>
      <c r="L1396" t="s">
        <v>183</v>
      </c>
      <c r="M1396" t="s">
        <v>161</v>
      </c>
      <c r="N1396" t="str">
        <f t="shared" si="154"/>
        <v>Double RearMotorised Somfy 12v Remote Curtain TrackBelow Normal 2075Top Fix Brackets</v>
      </c>
      <c r="O1396">
        <v>70</v>
      </c>
      <c r="P1396">
        <v>50</v>
      </c>
      <c r="Q1396" s="80">
        <v>0</v>
      </c>
      <c r="R1396" s="80">
        <f t="shared" si="155"/>
        <v>-20</v>
      </c>
      <c r="AD1396"/>
    </row>
    <row r="1397" spans="10:30" ht="16.2" customHeight="1">
      <c r="J1397" s="80" t="s">
        <v>725</v>
      </c>
      <c r="K1397" s="80" t="s">
        <v>5442</v>
      </c>
      <c r="L1397" t="s">
        <v>183</v>
      </c>
      <c r="M1397" t="s">
        <v>161</v>
      </c>
      <c r="N1397" t="str">
        <f t="shared" si="154"/>
        <v>SingleMotorised Somfy 12v Remote Curtain TrackBelow Normal 2075Top Fix Brackets</v>
      </c>
      <c r="O1397">
        <v>70</v>
      </c>
      <c r="P1397">
        <v>50</v>
      </c>
      <c r="Q1397" s="80">
        <v>0</v>
      </c>
      <c r="R1397" s="80">
        <f t="shared" si="155"/>
        <v>-20</v>
      </c>
      <c r="AD1397"/>
    </row>
    <row r="1398" spans="10:30" ht="16.2" customHeight="1">
      <c r="J1398" s="80" t="s">
        <v>746</v>
      </c>
      <c r="K1398" s="80" t="s">
        <v>5442</v>
      </c>
      <c r="L1398" t="s">
        <v>182</v>
      </c>
      <c r="M1398" t="s">
        <v>161</v>
      </c>
      <c r="N1398" t="str">
        <f t="shared" si="154"/>
        <v>Double FrontMotorised Somfy 12v Remote Curtain TrackBetween Level and Normal 2073Top Fix Brackets</v>
      </c>
      <c r="O1398">
        <v>48</v>
      </c>
      <c r="P1398">
        <v>50</v>
      </c>
      <c r="Q1398" s="80">
        <v>0</v>
      </c>
      <c r="R1398" s="80">
        <f t="shared" si="155"/>
        <v>2</v>
      </c>
      <c r="AD1398"/>
    </row>
    <row r="1399" spans="10:30" ht="16.2" customHeight="1">
      <c r="J1399" s="80" t="s">
        <v>747</v>
      </c>
      <c r="K1399" s="80" t="s">
        <v>5442</v>
      </c>
      <c r="L1399" t="s">
        <v>182</v>
      </c>
      <c r="M1399" t="s">
        <v>161</v>
      </c>
      <c r="N1399" t="str">
        <f t="shared" si="154"/>
        <v>Double RearMotorised Somfy 12v Remote Curtain TrackBetween Level and Normal 2073Top Fix Brackets</v>
      </c>
      <c r="O1399">
        <v>48</v>
      </c>
      <c r="P1399">
        <v>50</v>
      </c>
      <c r="Q1399" s="80">
        <v>0</v>
      </c>
      <c r="R1399" s="80">
        <f t="shared" si="155"/>
        <v>2</v>
      </c>
      <c r="AD1399"/>
    </row>
    <row r="1400" spans="10:30" ht="16.2" customHeight="1">
      <c r="J1400" s="80" t="s">
        <v>725</v>
      </c>
      <c r="K1400" s="80" t="s">
        <v>5442</v>
      </c>
      <c r="L1400" t="s">
        <v>182</v>
      </c>
      <c r="M1400" t="s">
        <v>161</v>
      </c>
      <c r="N1400" t="str">
        <f t="shared" si="154"/>
        <v>SingleMotorised Somfy 12v Remote Curtain TrackBetween Level and Normal 2073Top Fix Brackets</v>
      </c>
      <c r="O1400">
        <v>47</v>
      </c>
      <c r="P1400">
        <v>50</v>
      </c>
      <c r="Q1400" s="80">
        <v>0</v>
      </c>
      <c r="R1400" s="80">
        <f t="shared" si="155"/>
        <v>3</v>
      </c>
      <c r="AD1400"/>
    </row>
    <row r="1401" spans="10:30" ht="16.2" customHeight="1">
      <c r="J1401" s="80" t="s">
        <v>746</v>
      </c>
      <c r="K1401" s="80" t="s">
        <v>5442</v>
      </c>
      <c r="L1401" t="s">
        <v>184</v>
      </c>
      <c r="M1401" t="s">
        <v>161</v>
      </c>
      <c r="N1401" t="str">
        <f t="shared" si="154"/>
        <v>Double FrontMotorised Somfy 12v Remote Curtain TrackDecorator 2071Top Fix Brackets</v>
      </c>
      <c r="O1401">
        <v>20</v>
      </c>
      <c r="P1401">
        <v>50</v>
      </c>
      <c r="Q1401" s="80">
        <v>0</v>
      </c>
      <c r="R1401" s="80">
        <f t="shared" si="155"/>
        <v>30</v>
      </c>
      <c r="AD1401"/>
    </row>
    <row r="1402" spans="10:30" ht="16.2" customHeight="1">
      <c r="J1402" s="80" t="s">
        <v>747</v>
      </c>
      <c r="K1402" s="80" t="s">
        <v>5442</v>
      </c>
      <c r="L1402" t="s">
        <v>184</v>
      </c>
      <c r="M1402" t="s">
        <v>161</v>
      </c>
      <c r="N1402" t="str">
        <f t="shared" si="154"/>
        <v>Double RearMotorised Somfy 12v Remote Curtain TrackDecorator 2071Top Fix Brackets</v>
      </c>
      <c r="O1402">
        <v>20</v>
      </c>
      <c r="P1402">
        <v>50</v>
      </c>
      <c r="Q1402" s="80">
        <v>0</v>
      </c>
      <c r="R1402" s="80">
        <f t="shared" si="155"/>
        <v>30</v>
      </c>
      <c r="AD1402"/>
    </row>
    <row r="1403" spans="10:30" ht="16.2" customHeight="1">
      <c r="J1403" s="80" t="s">
        <v>725</v>
      </c>
      <c r="K1403" s="80" t="s">
        <v>5442</v>
      </c>
      <c r="L1403" t="s">
        <v>184</v>
      </c>
      <c r="M1403" t="s">
        <v>161</v>
      </c>
      <c r="N1403" t="str">
        <f t="shared" si="154"/>
        <v>SingleMotorised Somfy 12v Remote Curtain TrackDecorator 2071Top Fix Brackets</v>
      </c>
      <c r="O1403">
        <v>20</v>
      </c>
      <c r="P1403">
        <v>50</v>
      </c>
      <c r="Q1403" s="80">
        <v>0</v>
      </c>
      <c r="R1403" s="80">
        <f t="shared" si="155"/>
        <v>30</v>
      </c>
      <c r="AD1403"/>
    </row>
    <row r="1404" spans="10:30" ht="16.2" customHeight="1">
      <c r="J1404" s="80" t="s">
        <v>746</v>
      </c>
      <c r="K1404" s="80" t="s">
        <v>5442</v>
      </c>
      <c r="L1404" t="s">
        <v>6468</v>
      </c>
      <c r="M1404" t="s">
        <v>161</v>
      </c>
      <c r="N1404" t="str">
        <f t="shared" si="154"/>
        <v>Double FrontMotorised Somfy 12v Remote Curtain TrackGather Hook Bottom PocketTop Fix Brackets</v>
      </c>
      <c r="O1404">
        <v>60</v>
      </c>
      <c r="P1404">
        <v>50</v>
      </c>
      <c r="Q1404" s="80">
        <v>0</v>
      </c>
      <c r="R1404" s="80">
        <f t="shared" si="155"/>
        <v>-10</v>
      </c>
      <c r="AD1404"/>
    </row>
    <row r="1405" spans="10:30" ht="16.2" customHeight="1">
      <c r="J1405" s="80" t="s">
        <v>725</v>
      </c>
      <c r="K1405" s="80" t="s">
        <v>5442</v>
      </c>
      <c r="L1405" t="s">
        <v>6468</v>
      </c>
      <c r="M1405" t="s">
        <v>161</v>
      </c>
      <c r="N1405" t="str">
        <f t="shared" si="154"/>
        <v>SingleMotorised Somfy 12v Remote Curtain TrackGather Hook Bottom PocketTop Fix Brackets</v>
      </c>
      <c r="O1405">
        <v>60</v>
      </c>
      <c r="P1405">
        <v>50</v>
      </c>
      <c r="Q1405" s="80">
        <v>0</v>
      </c>
      <c r="R1405" s="80">
        <f t="shared" si="155"/>
        <v>-10</v>
      </c>
      <c r="AD1405"/>
    </row>
    <row r="1406" spans="10:30" ht="16.2" customHeight="1">
      <c r="J1406" s="80" t="s">
        <v>746</v>
      </c>
      <c r="K1406" s="80" t="s">
        <v>5442</v>
      </c>
      <c r="L1406" t="s">
        <v>229</v>
      </c>
      <c r="M1406" t="s">
        <v>161</v>
      </c>
      <c r="N1406" t="str">
        <f t="shared" si="154"/>
        <v>Double FrontMotorised Somfy 12v Remote Curtain TrackGather Hook LevelTop Fix Brackets</v>
      </c>
      <c r="O1406">
        <v>20</v>
      </c>
      <c r="P1406">
        <v>50</v>
      </c>
      <c r="Q1406" s="80">
        <v>0</v>
      </c>
      <c r="R1406" s="80">
        <f t="shared" si="155"/>
        <v>30</v>
      </c>
      <c r="AD1406"/>
    </row>
    <row r="1407" spans="10:30" ht="16.2" customHeight="1">
      <c r="J1407" s="80" t="s">
        <v>747</v>
      </c>
      <c r="K1407" s="80" t="s">
        <v>5442</v>
      </c>
      <c r="L1407" t="s">
        <v>229</v>
      </c>
      <c r="M1407" t="s">
        <v>161</v>
      </c>
      <c r="N1407" t="str">
        <f t="shared" si="154"/>
        <v>Double RearMotorised Somfy 12v Remote Curtain TrackGather Hook LevelTop Fix Brackets</v>
      </c>
      <c r="O1407">
        <v>20</v>
      </c>
      <c r="P1407">
        <v>50</v>
      </c>
      <c r="Q1407" s="80">
        <v>0</v>
      </c>
      <c r="R1407" s="80">
        <f t="shared" si="155"/>
        <v>30</v>
      </c>
      <c r="AD1407"/>
    </row>
    <row r="1408" spans="10:30" ht="16.2" customHeight="1">
      <c r="J1408" s="80" t="s">
        <v>725</v>
      </c>
      <c r="K1408" s="80" t="s">
        <v>5442</v>
      </c>
      <c r="L1408" t="s">
        <v>229</v>
      </c>
      <c r="M1408" t="s">
        <v>161</v>
      </c>
      <c r="N1408" t="str">
        <f t="shared" si="154"/>
        <v>SingleMotorised Somfy 12v Remote Curtain TrackGather Hook LevelTop Fix Brackets</v>
      </c>
      <c r="O1408">
        <v>20</v>
      </c>
      <c r="P1408">
        <v>50</v>
      </c>
      <c r="Q1408" s="80">
        <v>0</v>
      </c>
      <c r="R1408" s="80">
        <f t="shared" si="155"/>
        <v>30</v>
      </c>
      <c r="AD1408"/>
    </row>
    <row r="1409" spans="10:30" ht="16.2" customHeight="1">
      <c r="J1409" s="80" t="s">
        <v>746</v>
      </c>
      <c r="K1409" s="80" t="s">
        <v>5442</v>
      </c>
      <c r="L1409" t="s">
        <v>228</v>
      </c>
      <c r="M1409" t="s">
        <v>161</v>
      </c>
      <c r="N1409" t="str">
        <f t="shared" si="154"/>
        <v>Double FrontMotorised Somfy 12v Remote Curtain TrackGather Hook NormalTop Fix Brackets</v>
      </c>
      <c r="O1409">
        <v>43</v>
      </c>
      <c r="P1409">
        <v>50</v>
      </c>
      <c r="Q1409" s="80">
        <v>0</v>
      </c>
      <c r="R1409" s="80">
        <f t="shared" si="155"/>
        <v>7</v>
      </c>
      <c r="AD1409"/>
    </row>
    <row r="1410" spans="10:30" ht="16.2" customHeight="1">
      <c r="J1410" s="80" t="s">
        <v>747</v>
      </c>
      <c r="K1410" s="80" t="s">
        <v>5442</v>
      </c>
      <c r="L1410" t="s">
        <v>228</v>
      </c>
      <c r="M1410" t="s">
        <v>161</v>
      </c>
      <c r="N1410" t="str">
        <f t="shared" si="156" ref="N1410:N1473">(CONCATENATE(J1410,K1410,L1410,M1410))</f>
        <v>Double RearMotorised Somfy 12v Remote Curtain TrackGather Hook NormalTop Fix Brackets</v>
      </c>
      <c r="O1410">
        <v>43</v>
      </c>
      <c r="P1410">
        <v>50</v>
      </c>
      <c r="Q1410" s="80">
        <v>0</v>
      </c>
      <c r="R1410" s="80">
        <f t="shared" si="155"/>
        <v>7</v>
      </c>
      <c r="AD1410"/>
    </row>
    <row r="1411" spans="10:30" ht="16.2" customHeight="1">
      <c r="J1411" s="80" t="s">
        <v>725</v>
      </c>
      <c r="K1411" s="80" t="s">
        <v>5442</v>
      </c>
      <c r="L1411" t="s">
        <v>228</v>
      </c>
      <c r="M1411" t="s">
        <v>161</v>
      </c>
      <c r="N1411" t="str">
        <f t="shared" si="156"/>
        <v>SingleMotorised Somfy 12v Remote Curtain TrackGather Hook NormalTop Fix Brackets</v>
      </c>
      <c r="O1411">
        <v>43</v>
      </c>
      <c r="P1411">
        <v>50</v>
      </c>
      <c r="Q1411" s="80">
        <v>0</v>
      </c>
      <c r="R1411" s="80">
        <f t="shared" si="155"/>
        <v>7</v>
      </c>
      <c r="AD1411"/>
    </row>
    <row r="1412" spans="10:30" ht="16.2" customHeight="1">
      <c r="J1412" s="80" t="s">
        <v>746</v>
      </c>
      <c r="K1412" s="80" t="s">
        <v>5442</v>
      </c>
      <c r="L1412" t="s">
        <v>282</v>
      </c>
      <c r="M1412" t="s">
        <v>161</v>
      </c>
      <c r="N1412" t="str">
        <f t="shared" si="156"/>
        <v>Double FrontMotorised Somfy 12v Remote Curtain TrackLevel 2072Top Fix Brackets</v>
      </c>
      <c r="O1412">
        <v>38</v>
      </c>
      <c r="P1412">
        <v>50</v>
      </c>
      <c r="Q1412" s="80">
        <v>0</v>
      </c>
      <c r="R1412" s="80">
        <f t="shared" si="155"/>
        <v>12</v>
      </c>
      <c r="AD1412"/>
    </row>
    <row r="1413" spans="10:30" ht="16.2" customHeight="1">
      <c r="J1413" s="80" t="s">
        <v>747</v>
      </c>
      <c r="K1413" s="80" t="s">
        <v>5442</v>
      </c>
      <c r="L1413" t="s">
        <v>282</v>
      </c>
      <c r="M1413" t="s">
        <v>161</v>
      </c>
      <c r="N1413" t="str">
        <f t="shared" si="156"/>
        <v>Double RearMotorised Somfy 12v Remote Curtain TrackLevel 2072Top Fix Brackets</v>
      </c>
      <c r="O1413">
        <v>38</v>
      </c>
      <c r="P1413">
        <v>50</v>
      </c>
      <c r="Q1413" s="80">
        <v>0</v>
      </c>
      <c r="R1413" s="80">
        <f t="shared" si="155"/>
        <v>12</v>
      </c>
      <c r="AD1413"/>
    </row>
    <row r="1414" spans="10:30" ht="16.2" customHeight="1">
      <c r="J1414" s="80" t="s">
        <v>725</v>
      </c>
      <c r="K1414" s="80" t="s">
        <v>5442</v>
      </c>
      <c r="L1414" t="s">
        <v>282</v>
      </c>
      <c r="M1414" t="s">
        <v>161</v>
      </c>
      <c r="N1414" t="str">
        <f t="shared" si="156"/>
        <v>SingleMotorised Somfy 12v Remote Curtain TrackLevel 2072Top Fix Brackets</v>
      </c>
      <c r="O1414">
        <v>35</v>
      </c>
      <c r="P1414">
        <v>50</v>
      </c>
      <c r="Q1414" s="80">
        <v>0</v>
      </c>
      <c r="R1414" s="80">
        <f t="shared" si="155"/>
        <v>15</v>
      </c>
      <c r="AD1414"/>
    </row>
    <row r="1415" spans="10:30" ht="16.2" customHeight="1">
      <c r="J1415" s="80" t="s">
        <v>746</v>
      </c>
      <c r="K1415" s="80" t="s">
        <v>5442</v>
      </c>
      <c r="L1415" t="s">
        <v>170</v>
      </c>
      <c r="M1415" t="s">
        <v>161</v>
      </c>
      <c r="N1415" t="str">
        <f t="shared" si="156"/>
        <v>Double FrontMotorised Somfy 12v Remote Curtain TrackNormal 2074Top Fix Brackets</v>
      </c>
      <c r="O1415">
        <v>60</v>
      </c>
      <c r="P1415">
        <v>50</v>
      </c>
      <c r="Q1415" s="80">
        <v>0</v>
      </c>
      <c r="R1415" s="80">
        <f t="shared" si="155"/>
        <v>-10</v>
      </c>
      <c r="AD1415"/>
    </row>
    <row r="1416" spans="10:30" ht="16.2" customHeight="1">
      <c r="J1416" s="80" t="s">
        <v>747</v>
      </c>
      <c r="K1416" s="80" t="s">
        <v>5442</v>
      </c>
      <c r="L1416" t="s">
        <v>170</v>
      </c>
      <c r="M1416" t="s">
        <v>161</v>
      </c>
      <c r="N1416" t="str">
        <f t="shared" si="156"/>
        <v>Double RearMotorised Somfy 12v Remote Curtain TrackNormal 2074Top Fix Brackets</v>
      </c>
      <c r="O1416">
        <v>60</v>
      </c>
      <c r="P1416">
        <v>50</v>
      </c>
      <c r="Q1416" s="80">
        <v>0</v>
      </c>
      <c r="R1416" s="80">
        <f t="shared" si="155"/>
        <v>-10</v>
      </c>
      <c r="AD1416"/>
    </row>
    <row r="1417" spans="10:30" ht="16.2" customHeight="1">
      <c r="J1417" s="80" t="s">
        <v>725</v>
      </c>
      <c r="K1417" s="80" t="s">
        <v>5442</v>
      </c>
      <c r="L1417" t="s">
        <v>170</v>
      </c>
      <c r="M1417" t="s">
        <v>161</v>
      </c>
      <c r="N1417" t="str">
        <f t="shared" si="156"/>
        <v>SingleMotorised Somfy 12v Remote Curtain TrackNormal 2074Top Fix Brackets</v>
      </c>
      <c r="O1417">
        <v>60</v>
      </c>
      <c r="P1417">
        <v>50</v>
      </c>
      <c r="Q1417" s="80">
        <v>0</v>
      </c>
      <c r="R1417" s="80">
        <f t="shared" si="155"/>
        <v>-10</v>
      </c>
      <c r="AD1417"/>
    </row>
    <row r="1418" spans="10:30" ht="16.2" customHeight="1">
      <c r="J1418" s="80" t="s">
        <v>746</v>
      </c>
      <c r="K1418" s="80" t="s">
        <v>5443</v>
      </c>
      <c r="L1418" t="s">
        <v>183</v>
      </c>
      <c r="M1418" t="s">
        <v>162</v>
      </c>
      <c r="N1418" t="str">
        <f t="shared" si="156"/>
        <v>Double FrontMotorised Somfy 240v Remote Curtain TrackBelow Normal 2075Double Face Fix Brackets</v>
      </c>
      <c r="O1418">
        <v>70</v>
      </c>
      <c r="P1418">
        <v>59</v>
      </c>
      <c r="Q1418" s="80">
        <v>0</v>
      </c>
      <c r="R1418" s="80">
        <f t="shared" si="155"/>
        <v>-11</v>
      </c>
      <c r="AD1418"/>
    </row>
    <row r="1419" spans="10:30" ht="16.2" customHeight="1">
      <c r="J1419" s="80" t="s">
        <v>747</v>
      </c>
      <c r="K1419" s="80" t="s">
        <v>5443</v>
      </c>
      <c r="L1419" t="s">
        <v>183</v>
      </c>
      <c r="M1419" t="s">
        <v>162</v>
      </c>
      <c r="N1419" t="str">
        <f t="shared" si="156"/>
        <v>Double RearMotorised Somfy 240v Remote Curtain TrackBelow Normal 2075Double Face Fix Brackets</v>
      </c>
      <c r="O1419">
        <v>70</v>
      </c>
      <c r="P1419">
        <v>59</v>
      </c>
      <c r="Q1419" s="80">
        <v>0</v>
      </c>
      <c r="R1419" s="80">
        <f t="shared" si="155"/>
        <v>-11</v>
      </c>
      <c r="AD1419"/>
    </row>
    <row r="1420" spans="10:30" ht="16.2" customHeight="1">
      <c r="J1420" s="80" t="s">
        <v>725</v>
      </c>
      <c r="K1420" s="80" t="s">
        <v>5443</v>
      </c>
      <c r="L1420" t="s">
        <v>183</v>
      </c>
      <c r="M1420" t="s">
        <v>162</v>
      </c>
      <c r="N1420" t="str">
        <f t="shared" si="156"/>
        <v>SingleMotorised Somfy 240v Remote Curtain TrackBelow Normal 2075Double Face Fix Brackets</v>
      </c>
      <c r="O1420">
        <v>70</v>
      </c>
      <c r="P1420">
        <v>59</v>
      </c>
      <c r="Q1420" s="80">
        <v>0</v>
      </c>
      <c r="R1420" s="80">
        <f t="shared" si="155"/>
        <v>-11</v>
      </c>
      <c r="AD1420"/>
    </row>
    <row r="1421" spans="10:30" ht="16.2" customHeight="1">
      <c r="J1421" s="80" t="s">
        <v>746</v>
      </c>
      <c r="K1421" s="80" t="s">
        <v>5443</v>
      </c>
      <c r="L1421" t="s">
        <v>182</v>
      </c>
      <c r="M1421" t="s">
        <v>162</v>
      </c>
      <c r="N1421" t="str">
        <f t="shared" si="156"/>
        <v>Double FrontMotorised Somfy 240v Remote Curtain TrackBetween Level and Normal 2073Double Face Fix Brackets</v>
      </c>
      <c r="O1421">
        <v>48</v>
      </c>
      <c r="P1421">
        <v>59</v>
      </c>
      <c r="Q1421" s="80">
        <v>0</v>
      </c>
      <c r="R1421" s="80">
        <f t="shared" si="155"/>
        <v>11</v>
      </c>
      <c r="AD1421"/>
    </row>
    <row r="1422" spans="10:30" ht="16.2" customHeight="1">
      <c r="J1422" s="80" t="s">
        <v>747</v>
      </c>
      <c r="K1422" s="80" t="s">
        <v>5443</v>
      </c>
      <c r="L1422" t="s">
        <v>182</v>
      </c>
      <c r="M1422" t="s">
        <v>162</v>
      </c>
      <c r="N1422" t="str">
        <f t="shared" si="156"/>
        <v>Double RearMotorised Somfy 240v Remote Curtain TrackBetween Level and Normal 2073Double Face Fix Brackets</v>
      </c>
      <c r="O1422">
        <v>48</v>
      </c>
      <c r="P1422">
        <v>59</v>
      </c>
      <c r="Q1422" s="80">
        <v>0</v>
      </c>
      <c r="R1422" s="80">
        <f t="shared" si="155"/>
        <v>11</v>
      </c>
      <c r="AD1422"/>
    </row>
    <row r="1423" spans="10:30" ht="16.2" customHeight="1">
      <c r="J1423" s="80" t="s">
        <v>725</v>
      </c>
      <c r="K1423" s="80" t="s">
        <v>5443</v>
      </c>
      <c r="L1423" t="s">
        <v>182</v>
      </c>
      <c r="M1423" t="s">
        <v>162</v>
      </c>
      <c r="N1423" t="str">
        <f t="shared" si="156"/>
        <v>SingleMotorised Somfy 240v Remote Curtain TrackBetween Level and Normal 2073Double Face Fix Brackets</v>
      </c>
      <c r="O1423">
        <v>47</v>
      </c>
      <c r="P1423">
        <v>59</v>
      </c>
      <c r="Q1423" s="80">
        <v>0</v>
      </c>
      <c r="R1423" s="80">
        <f t="shared" si="155"/>
        <v>12</v>
      </c>
      <c r="AD1423"/>
    </row>
    <row r="1424" spans="10:30" ht="16.2" customHeight="1">
      <c r="J1424" s="80" t="s">
        <v>746</v>
      </c>
      <c r="K1424" s="80" t="s">
        <v>5443</v>
      </c>
      <c r="L1424" t="s">
        <v>184</v>
      </c>
      <c r="M1424" t="s">
        <v>162</v>
      </c>
      <c r="N1424" t="str">
        <f t="shared" si="156"/>
        <v>Double FrontMotorised Somfy 240v Remote Curtain TrackDecorator 2071Double Face Fix Brackets</v>
      </c>
      <c r="O1424">
        <v>20</v>
      </c>
      <c r="P1424">
        <v>59</v>
      </c>
      <c r="Q1424" s="80">
        <v>0</v>
      </c>
      <c r="R1424" s="80">
        <f t="shared" si="155"/>
        <v>39</v>
      </c>
      <c r="AD1424"/>
    </row>
    <row r="1425" spans="10:30" ht="16.2" customHeight="1">
      <c r="J1425" s="80" t="s">
        <v>747</v>
      </c>
      <c r="K1425" s="80" t="s">
        <v>5443</v>
      </c>
      <c r="L1425" t="s">
        <v>184</v>
      </c>
      <c r="M1425" t="s">
        <v>162</v>
      </c>
      <c r="N1425" t="str">
        <f t="shared" si="156"/>
        <v>Double RearMotorised Somfy 240v Remote Curtain TrackDecorator 2071Double Face Fix Brackets</v>
      </c>
      <c r="O1425">
        <v>20</v>
      </c>
      <c r="P1425">
        <v>59</v>
      </c>
      <c r="Q1425" s="80">
        <v>0</v>
      </c>
      <c r="R1425" s="80">
        <f t="shared" si="155"/>
        <v>39</v>
      </c>
      <c r="AD1425"/>
    </row>
    <row r="1426" spans="10:30" ht="16.2" customHeight="1">
      <c r="J1426" s="80" t="s">
        <v>725</v>
      </c>
      <c r="K1426" s="80" t="s">
        <v>5443</v>
      </c>
      <c r="L1426" t="s">
        <v>184</v>
      </c>
      <c r="M1426" t="s">
        <v>162</v>
      </c>
      <c r="N1426" t="str">
        <f t="shared" si="156"/>
        <v>SingleMotorised Somfy 240v Remote Curtain TrackDecorator 2071Double Face Fix Brackets</v>
      </c>
      <c r="O1426">
        <v>20</v>
      </c>
      <c r="P1426">
        <v>59</v>
      </c>
      <c r="Q1426" s="80">
        <v>0</v>
      </c>
      <c r="R1426" s="80">
        <f t="shared" si="155"/>
        <v>39</v>
      </c>
      <c r="AD1426"/>
    </row>
    <row r="1427" spans="10:30" ht="16.2" customHeight="1">
      <c r="J1427" s="80" t="s">
        <v>746</v>
      </c>
      <c r="K1427" s="80" t="s">
        <v>5443</v>
      </c>
      <c r="L1427" t="s">
        <v>6468</v>
      </c>
      <c r="M1427" t="s">
        <v>162</v>
      </c>
      <c r="N1427" t="str">
        <f t="shared" si="156"/>
        <v>Double FrontMotorised Somfy 240v Remote Curtain TrackGather Hook Bottom PocketDouble Face Fix Brackets</v>
      </c>
      <c r="O1427">
        <v>60</v>
      </c>
      <c r="P1427">
        <v>59</v>
      </c>
      <c r="Q1427" s="80">
        <v>0</v>
      </c>
      <c r="R1427" s="80">
        <f t="shared" si="155"/>
        <v>-1</v>
      </c>
      <c r="AD1427"/>
    </row>
    <row r="1428" spans="10:30" ht="16.2" customHeight="1">
      <c r="J1428" s="80" t="s">
        <v>725</v>
      </c>
      <c r="K1428" s="80" t="s">
        <v>5443</v>
      </c>
      <c r="L1428" t="s">
        <v>6468</v>
      </c>
      <c r="M1428" t="s">
        <v>162</v>
      </c>
      <c r="N1428" t="str">
        <f t="shared" si="156"/>
        <v>SingleMotorised Somfy 240v Remote Curtain TrackGather Hook Bottom PocketDouble Face Fix Brackets</v>
      </c>
      <c r="O1428">
        <v>60</v>
      </c>
      <c r="P1428">
        <v>59</v>
      </c>
      <c r="Q1428" s="80">
        <v>0</v>
      </c>
      <c r="R1428" s="80">
        <f t="shared" si="155"/>
        <v>-1</v>
      </c>
      <c r="AD1428"/>
    </row>
    <row r="1429" spans="10:30" ht="16.2" customHeight="1">
      <c r="J1429" s="80" t="s">
        <v>746</v>
      </c>
      <c r="K1429" s="80" t="s">
        <v>5443</v>
      </c>
      <c r="L1429" t="s">
        <v>229</v>
      </c>
      <c r="M1429" t="s">
        <v>162</v>
      </c>
      <c r="N1429" t="str">
        <f t="shared" si="156"/>
        <v>Double FrontMotorised Somfy 240v Remote Curtain TrackGather Hook LevelDouble Face Fix Brackets</v>
      </c>
      <c r="O1429">
        <v>20</v>
      </c>
      <c r="P1429">
        <v>59</v>
      </c>
      <c r="Q1429" s="80">
        <v>0</v>
      </c>
      <c r="R1429" s="80">
        <f t="shared" si="155"/>
        <v>39</v>
      </c>
      <c r="AD1429"/>
    </row>
    <row r="1430" spans="10:30" ht="16.2" customHeight="1">
      <c r="J1430" s="80" t="s">
        <v>747</v>
      </c>
      <c r="K1430" s="80" t="s">
        <v>5443</v>
      </c>
      <c r="L1430" t="s">
        <v>229</v>
      </c>
      <c r="M1430" t="s">
        <v>162</v>
      </c>
      <c r="N1430" t="str">
        <f t="shared" si="156"/>
        <v>Double RearMotorised Somfy 240v Remote Curtain TrackGather Hook LevelDouble Face Fix Brackets</v>
      </c>
      <c r="O1430">
        <v>20</v>
      </c>
      <c r="P1430">
        <v>59</v>
      </c>
      <c r="Q1430" s="80">
        <v>0</v>
      </c>
      <c r="R1430" s="80">
        <f t="shared" si="155"/>
        <v>39</v>
      </c>
      <c r="AD1430"/>
    </row>
    <row r="1431" spans="10:30" ht="16.2" customHeight="1">
      <c r="J1431" s="80" t="s">
        <v>725</v>
      </c>
      <c r="K1431" s="80" t="s">
        <v>5443</v>
      </c>
      <c r="L1431" t="s">
        <v>229</v>
      </c>
      <c r="M1431" t="s">
        <v>162</v>
      </c>
      <c r="N1431" t="str">
        <f t="shared" si="156"/>
        <v>SingleMotorised Somfy 240v Remote Curtain TrackGather Hook LevelDouble Face Fix Brackets</v>
      </c>
      <c r="O1431">
        <v>20</v>
      </c>
      <c r="P1431">
        <v>59</v>
      </c>
      <c r="Q1431" s="80">
        <v>0</v>
      </c>
      <c r="R1431" s="80">
        <f t="shared" si="155"/>
        <v>39</v>
      </c>
      <c r="AD1431"/>
    </row>
    <row r="1432" spans="10:30" ht="16.2" customHeight="1">
      <c r="J1432" s="80" t="s">
        <v>746</v>
      </c>
      <c r="K1432" s="80" t="s">
        <v>5443</v>
      </c>
      <c r="L1432" t="s">
        <v>228</v>
      </c>
      <c r="M1432" t="s">
        <v>162</v>
      </c>
      <c r="N1432" t="str">
        <f t="shared" si="156"/>
        <v>Double FrontMotorised Somfy 240v Remote Curtain TrackGather Hook NormalDouble Face Fix Brackets</v>
      </c>
      <c r="O1432">
        <v>43</v>
      </c>
      <c r="P1432">
        <v>59</v>
      </c>
      <c r="Q1432" s="80">
        <v>0</v>
      </c>
      <c r="R1432" s="80">
        <f t="shared" si="155"/>
        <v>16</v>
      </c>
      <c r="AD1432"/>
    </row>
    <row r="1433" spans="10:30" ht="16.2" customHeight="1">
      <c r="J1433" s="80" t="s">
        <v>747</v>
      </c>
      <c r="K1433" s="80" t="s">
        <v>5443</v>
      </c>
      <c r="L1433" t="s">
        <v>228</v>
      </c>
      <c r="M1433" t="s">
        <v>162</v>
      </c>
      <c r="N1433" t="str">
        <f t="shared" si="156"/>
        <v>Double RearMotorised Somfy 240v Remote Curtain TrackGather Hook NormalDouble Face Fix Brackets</v>
      </c>
      <c r="O1433">
        <v>43</v>
      </c>
      <c r="P1433">
        <v>59</v>
      </c>
      <c r="Q1433" s="80">
        <v>0</v>
      </c>
      <c r="R1433" s="80">
        <f t="shared" si="155"/>
        <v>16</v>
      </c>
      <c r="AD1433"/>
    </row>
    <row r="1434" spans="10:30" ht="16.2" customHeight="1">
      <c r="J1434" s="80" t="s">
        <v>725</v>
      </c>
      <c r="K1434" s="80" t="s">
        <v>5443</v>
      </c>
      <c r="L1434" t="s">
        <v>228</v>
      </c>
      <c r="M1434" t="s">
        <v>162</v>
      </c>
      <c r="N1434" t="str">
        <f t="shared" si="156"/>
        <v>SingleMotorised Somfy 240v Remote Curtain TrackGather Hook NormalDouble Face Fix Brackets</v>
      </c>
      <c r="O1434">
        <v>43</v>
      </c>
      <c r="P1434">
        <v>59</v>
      </c>
      <c r="Q1434" s="80">
        <v>0</v>
      </c>
      <c r="R1434" s="80">
        <f t="shared" si="155"/>
        <v>16</v>
      </c>
      <c r="AD1434"/>
    </row>
    <row r="1435" spans="10:30" ht="16.2" customHeight="1">
      <c r="J1435" s="80" t="s">
        <v>746</v>
      </c>
      <c r="K1435" s="80" t="s">
        <v>5443</v>
      </c>
      <c r="L1435" t="s">
        <v>282</v>
      </c>
      <c r="M1435" t="s">
        <v>162</v>
      </c>
      <c r="N1435" t="str">
        <f t="shared" si="156"/>
        <v>Double FrontMotorised Somfy 240v Remote Curtain TrackLevel 2072Double Face Fix Brackets</v>
      </c>
      <c r="O1435">
        <v>38</v>
      </c>
      <c r="P1435">
        <v>59</v>
      </c>
      <c r="Q1435" s="80">
        <v>0</v>
      </c>
      <c r="R1435" s="80">
        <f t="shared" si="155"/>
        <v>21</v>
      </c>
      <c r="AD1435"/>
    </row>
    <row r="1436" spans="10:30" ht="16.2" customHeight="1">
      <c r="J1436" s="80" t="s">
        <v>747</v>
      </c>
      <c r="K1436" s="80" t="s">
        <v>5443</v>
      </c>
      <c r="L1436" t="s">
        <v>282</v>
      </c>
      <c r="M1436" t="s">
        <v>162</v>
      </c>
      <c r="N1436" t="str">
        <f t="shared" si="156"/>
        <v>Double RearMotorised Somfy 240v Remote Curtain TrackLevel 2072Double Face Fix Brackets</v>
      </c>
      <c r="O1436">
        <v>38</v>
      </c>
      <c r="P1436">
        <v>59</v>
      </c>
      <c r="Q1436" s="80">
        <v>0</v>
      </c>
      <c r="R1436" s="80">
        <f t="shared" si="155"/>
        <v>21</v>
      </c>
      <c r="AD1436"/>
    </row>
    <row r="1437" spans="10:30" ht="16.2" customHeight="1">
      <c r="J1437" s="80" t="s">
        <v>725</v>
      </c>
      <c r="K1437" s="80" t="s">
        <v>5443</v>
      </c>
      <c r="L1437" t="s">
        <v>282</v>
      </c>
      <c r="M1437" t="s">
        <v>162</v>
      </c>
      <c r="N1437" t="str">
        <f t="shared" si="156"/>
        <v>SingleMotorised Somfy 240v Remote Curtain TrackLevel 2072Double Face Fix Brackets</v>
      </c>
      <c r="O1437">
        <v>35</v>
      </c>
      <c r="P1437">
        <v>59</v>
      </c>
      <c r="Q1437" s="80">
        <v>0</v>
      </c>
      <c r="R1437" s="80">
        <f t="shared" si="155"/>
        <v>24</v>
      </c>
      <c r="AD1437"/>
    </row>
    <row r="1438" spans="10:30" ht="16.2" customHeight="1">
      <c r="J1438" s="80" t="s">
        <v>746</v>
      </c>
      <c r="K1438" s="80" t="s">
        <v>5443</v>
      </c>
      <c r="L1438" t="s">
        <v>170</v>
      </c>
      <c r="M1438" t="s">
        <v>162</v>
      </c>
      <c r="N1438" t="str">
        <f t="shared" si="156"/>
        <v>Double FrontMotorised Somfy 240v Remote Curtain TrackNormal 2074Double Face Fix Brackets</v>
      </c>
      <c r="O1438">
        <v>60</v>
      </c>
      <c r="P1438">
        <v>59</v>
      </c>
      <c r="Q1438" s="80">
        <v>0</v>
      </c>
      <c r="R1438" s="80">
        <f t="shared" si="155"/>
        <v>-1</v>
      </c>
      <c r="AD1438"/>
    </row>
    <row r="1439" spans="10:30" ht="16.2" customHeight="1">
      <c r="J1439" s="80" t="s">
        <v>747</v>
      </c>
      <c r="K1439" s="80" t="s">
        <v>5443</v>
      </c>
      <c r="L1439" t="s">
        <v>170</v>
      </c>
      <c r="M1439" t="s">
        <v>162</v>
      </c>
      <c r="N1439" t="str">
        <f t="shared" si="156"/>
        <v>Double RearMotorised Somfy 240v Remote Curtain TrackNormal 2074Double Face Fix Brackets</v>
      </c>
      <c r="O1439">
        <v>60</v>
      </c>
      <c r="P1439">
        <v>59</v>
      </c>
      <c r="Q1439" s="80">
        <v>0</v>
      </c>
      <c r="R1439" s="80">
        <f t="shared" si="157" ref="R1439:R1502">SUM(P1439)-O1439</f>
        <v>-1</v>
      </c>
      <c r="AD1439"/>
    </row>
    <row r="1440" spans="10:30" ht="16.2" customHeight="1">
      <c r="J1440" s="80" t="s">
        <v>725</v>
      </c>
      <c r="K1440" s="80" t="s">
        <v>5443</v>
      </c>
      <c r="L1440" t="s">
        <v>170</v>
      </c>
      <c r="M1440" t="s">
        <v>162</v>
      </c>
      <c r="N1440" t="str">
        <f t="shared" si="156"/>
        <v>SingleMotorised Somfy 240v Remote Curtain TrackNormal 2074Double Face Fix Brackets</v>
      </c>
      <c r="O1440">
        <v>60</v>
      </c>
      <c r="P1440">
        <v>59</v>
      </c>
      <c r="Q1440" s="80">
        <v>0</v>
      </c>
      <c r="R1440" s="80">
        <f t="shared" si="157"/>
        <v>-1</v>
      </c>
      <c r="AD1440"/>
    </row>
    <row r="1441" spans="10:30" ht="16.2" customHeight="1">
      <c r="J1441" s="80" t="s">
        <v>746</v>
      </c>
      <c r="K1441" s="80" t="s">
        <v>5443</v>
      </c>
      <c r="L1441" t="s">
        <v>183</v>
      </c>
      <c r="M1441" t="s">
        <v>159</v>
      </c>
      <c r="N1441" t="str">
        <f t="shared" si="156"/>
        <v>Double FrontMotorised Somfy 240v Remote Curtain TrackBelow Normal 2075Single Face Fix Brackets</v>
      </c>
      <c r="O1441">
        <v>70</v>
      </c>
      <c r="P1441">
        <v>55</v>
      </c>
      <c r="Q1441" s="80">
        <v>0</v>
      </c>
      <c r="R1441" s="80">
        <f t="shared" si="157"/>
        <v>-15</v>
      </c>
      <c r="AD1441"/>
    </row>
    <row r="1442" spans="10:30" ht="16.2" customHeight="1">
      <c r="J1442" s="80" t="s">
        <v>747</v>
      </c>
      <c r="K1442" s="80" t="s">
        <v>5443</v>
      </c>
      <c r="L1442" t="s">
        <v>183</v>
      </c>
      <c r="M1442" t="s">
        <v>159</v>
      </c>
      <c r="N1442" t="str">
        <f t="shared" si="156"/>
        <v>Double RearMotorised Somfy 240v Remote Curtain TrackBelow Normal 2075Single Face Fix Brackets</v>
      </c>
      <c r="O1442">
        <v>70</v>
      </c>
      <c r="P1442">
        <v>55</v>
      </c>
      <c r="Q1442" s="80">
        <v>0</v>
      </c>
      <c r="R1442" s="80">
        <f t="shared" si="157"/>
        <v>-15</v>
      </c>
      <c r="AD1442"/>
    </row>
    <row r="1443" spans="10:30" ht="16.2" customHeight="1">
      <c r="J1443" s="80" t="s">
        <v>725</v>
      </c>
      <c r="K1443" s="80" t="s">
        <v>5443</v>
      </c>
      <c r="L1443" t="s">
        <v>183</v>
      </c>
      <c r="M1443" t="s">
        <v>159</v>
      </c>
      <c r="N1443" t="str">
        <f t="shared" si="156"/>
        <v>SingleMotorised Somfy 240v Remote Curtain TrackBelow Normal 2075Single Face Fix Brackets</v>
      </c>
      <c r="O1443">
        <v>70</v>
      </c>
      <c r="P1443">
        <v>55</v>
      </c>
      <c r="Q1443" s="80">
        <v>0</v>
      </c>
      <c r="R1443" s="80">
        <f t="shared" si="157"/>
        <v>-15</v>
      </c>
      <c r="AD1443"/>
    </row>
    <row r="1444" spans="10:30" ht="16.2" customHeight="1">
      <c r="J1444" s="80" t="s">
        <v>746</v>
      </c>
      <c r="K1444" s="80" t="s">
        <v>5443</v>
      </c>
      <c r="L1444" t="s">
        <v>182</v>
      </c>
      <c r="M1444" t="s">
        <v>159</v>
      </c>
      <c r="N1444" t="str">
        <f t="shared" si="156"/>
        <v>Double FrontMotorised Somfy 240v Remote Curtain TrackBetween Level and Normal 2073Single Face Fix Brackets</v>
      </c>
      <c r="O1444">
        <v>48</v>
      </c>
      <c r="P1444">
        <v>55</v>
      </c>
      <c r="Q1444" s="80">
        <v>0</v>
      </c>
      <c r="R1444" s="80">
        <f t="shared" si="157"/>
        <v>7</v>
      </c>
      <c r="AD1444"/>
    </row>
    <row r="1445" spans="10:30" ht="16.2" customHeight="1">
      <c r="J1445" s="80" t="s">
        <v>747</v>
      </c>
      <c r="K1445" s="80" t="s">
        <v>5443</v>
      </c>
      <c r="L1445" t="s">
        <v>182</v>
      </c>
      <c r="M1445" t="s">
        <v>159</v>
      </c>
      <c r="N1445" t="str">
        <f t="shared" si="156"/>
        <v>Double RearMotorised Somfy 240v Remote Curtain TrackBetween Level and Normal 2073Single Face Fix Brackets</v>
      </c>
      <c r="O1445">
        <v>48</v>
      </c>
      <c r="P1445">
        <v>55</v>
      </c>
      <c r="Q1445" s="80">
        <v>0</v>
      </c>
      <c r="R1445" s="80">
        <f t="shared" si="157"/>
        <v>7</v>
      </c>
      <c r="AD1445"/>
    </row>
    <row r="1446" spans="10:30" ht="16.2" customHeight="1">
      <c r="J1446" s="80" t="s">
        <v>725</v>
      </c>
      <c r="K1446" s="80" t="s">
        <v>5443</v>
      </c>
      <c r="L1446" t="s">
        <v>182</v>
      </c>
      <c r="M1446" t="s">
        <v>159</v>
      </c>
      <c r="N1446" t="str">
        <f t="shared" si="156"/>
        <v>SingleMotorised Somfy 240v Remote Curtain TrackBetween Level and Normal 2073Single Face Fix Brackets</v>
      </c>
      <c r="O1446">
        <v>47</v>
      </c>
      <c r="P1446">
        <v>55</v>
      </c>
      <c r="Q1446" s="80">
        <v>0</v>
      </c>
      <c r="R1446" s="80">
        <f t="shared" si="157"/>
        <v>8</v>
      </c>
      <c r="AD1446"/>
    </row>
    <row r="1447" spans="10:30" ht="16.2" customHeight="1">
      <c r="J1447" s="80" t="s">
        <v>746</v>
      </c>
      <c r="K1447" s="80" t="s">
        <v>5443</v>
      </c>
      <c r="L1447" t="s">
        <v>184</v>
      </c>
      <c r="M1447" t="s">
        <v>159</v>
      </c>
      <c r="N1447" t="str">
        <f t="shared" si="156"/>
        <v>Double FrontMotorised Somfy 240v Remote Curtain TrackDecorator 2071Single Face Fix Brackets</v>
      </c>
      <c r="O1447">
        <v>20</v>
      </c>
      <c r="P1447">
        <v>55</v>
      </c>
      <c r="Q1447" s="80">
        <v>0</v>
      </c>
      <c r="R1447" s="80">
        <f t="shared" si="157"/>
        <v>35</v>
      </c>
      <c r="AD1447"/>
    </row>
    <row r="1448" spans="10:30" ht="16.2" customHeight="1">
      <c r="J1448" s="80" t="s">
        <v>747</v>
      </c>
      <c r="K1448" s="80" t="s">
        <v>5443</v>
      </c>
      <c r="L1448" t="s">
        <v>184</v>
      </c>
      <c r="M1448" t="s">
        <v>159</v>
      </c>
      <c r="N1448" t="str">
        <f t="shared" si="156"/>
        <v>Double RearMotorised Somfy 240v Remote Curtain TrackDecorator 2071Single Face Fix Brackets</v>
      </c>
      <c r="O1448">
        <v>20</v>
      </c>
      <c r="P1448">
        <v>55</v>
      </c>
      <c r="Q1448" s="80">
        <v>0</v>
      </c>
      <c r="R1448" s="80">
        <f t="shared" si="157"/>
        <v>35</v>
      </c>
      <c r="AD1448"/>
    </row>
    <row r="1449" spans="10:30" ht="16.2" customHeight="1">
      <c r="J1449" s="80" t="s">
        <v>725</v>
      </c>
      <c r="K1449" s="80" t="s">
        <v>5443</v>
      </c>
      <c r="L1449" t="s">
        <v>184</v>
      </c>
      <c r="M1449" t="s">
        <v>159</v>
      </c>
      <c r="N1449" t="str">
        <f t="shared" si="156"/>
        <v>SingleMotorised Somfy 240v Remote Curtain TrackDecorator 2071Single Face Fix Brackets</v>
      </c>
      <c r="O1449">
        <v>20</v>
      </c>
      <c r="P1449">
        <v>55</v>
      </c>
      <c r="Q1449" s="80">
        <v>0</v>
      </c>
      <c r="R1449" s="80">
        <f t="shared" si="157"/>
        <v>35</v>
      </c>
      <c r="AD1449"/>
    </row>
    <row r="1450" spans="10:30" ht="16.2" customHeight="1">
      <c r="J1450" s="80" t="s">
        <v>746</v>
      </c>
      <c r="K1450" s="80" t="s">
        <v>5443</v>
      </c>
      <c r="L1450" t="s">
        <v>6468</v>
      </c>
      <c r="M1450" t="s">
        <v>159</v>
      </c>
      <c r="N1450" t="str">
        <f t="shared" si="156"/>
        <v>Double FrontMotorised Somfy 240v Remote Curtain TrackGather Hook Bottom PocketSingle Face Fix Brackets</v>
      </c>
      <c r="O1450">
        <v>60</v>
      </c>
      <c r="P1450">
        <v>55</v>
      </c>
      <c r="Q1450" s="80">
        <v>0</v>
      </c>
      <c r="R1450" s="80">
        <f t="shared" si="157"/>
        <v>-5</v>
      </c>
      <c r="AD1450"/>
    </row>
    <row r="1451" spans="10:30" ht="16.2" customHeight="1">
      <c r="J1451" s="80" t="s">
        <v>725</v>
      </c>
      <c r="K1451" s="80" t="s">
        <v>5443</v>
      </c>
      <c r="L1451" t="s">
        <v>6468</v>
      </c>
      <c r="M1451" t="s">
        <v>159</v>
      </c>
      <c r="N1451" t="str">
        <f t="shared" si="156"/>
        <v>SingleMotorised Somfy 240v Remote Curtain TrackGather Hook Bottom PocketSingle Face Fix Brackets</v>
      </c>
      <c r="O1451">
        <v>60</v>
      </c>
      <c r="P1451">
        <v>55</v>
      </c>
      <c r="Q1451" s="80">
        <v>0</v>
      </c>
      <c r="R1451" s="80">
        <f t="shared" si="157"/>
        <v>-5</v>
      </c>
      <c r="AD1451"/>
    </row>
    <row r="1452" spans="10:30" ht="16.2" customHeight="1">
      <c r="J1452" s="80" t="s">
        <v>746</v>
      </c>
      <c r="K1452" s="80" t="s">
        <v>5443</v>
      </c>
      <c r="L1452" t="s">
        <v>229</v>
      </c>
      <c r="M1452" t="s">
        <v>159</v>
      </c>
      <c r="N1452" t="str">
        <f t="shared" si="156"/>
        <v>Double FrontMotorised Somfy 240v Remote Curtain TrackGather Hook LevelSingle Face Fix Brackets</v>
      </c>
      <c r="O1452">
        <v>20</v>
      </c>
      <c r="P1452">
        <v>55</v>
      </c>
      <c r="Q1452" s="80">
        <v>0</v>
      </c>
      <c r="R1452" s="80">
        <f t="shared" si="157"/>
        <v>35</v>
      </c>
      <c r="AD1452"/>
    </row>
    <row r="1453" spans="10:30" ht="16.2" customHeight="1">
      <c r="J1453" s="80" t="s">
        <v>747</v>
      </c>
      <c r="K1453" s="80" t="s">
        <v>5443</v>
      </c>
      <c r="L1453" t="s">
        <v>229</v>
      </c>
      <c r="M1453" t="s">
        <v>159</v>
      </c>
      <c r="N1453" t="str">
        <f t="shared" si="156"/>
        <v>Double RearMotorised Somfy 240v Remote Curtain TrackGather Hook LevelSingle Face Fix Brackets</v>
      </c>
      <c r="O1453">
        <v>20</v>
      </c>
      <c r="P1453">
        <v>55</v>
      </c>
      <c r="Q1453" s="80">
        <v>0</v>
      </c>
      <c r="R1453" s="80">
        <f t="shared" si="157"/>
        <v>35</v>
      </c>
      <c r="AD1453"/>
    </row>
    <row r="1454" spans="10:30" ht="16.2" customHeight="1">
      <c r="J1454" s="80" t="s">
        <v>725</v>
      </c>
      <c r="K1454" s="80" t="s">
        <v>5443</v>
      </c>
      <c r="L1454" t="s">
        <v>229</v>
      </c>
      <c r="M1454" t="s">
        <v>159</v>
      </c>
      <c r="N1454" t="str">
        <f t="shared" si="156"/>
        <v>SingleMotorised Somfy 240v Remote Curtain TrackGather Hook LevelSingle Face Fix Brackets</v>
      </c>
      <c r="O1454">
        <v>20</v>
      </c>
      <c r="P1454">
        <v>55</v>
      </c>
      <c r="Q1454" s="80">
        <v>0</v>
      </c>
      <c r="R1454" s="80">
        <f t="shared" si="157"/>
        <v>35</v>
      </c>
      <c r="AD1454"/>
    </row>
    <row r="1455" spans="10:30" ht="16.2" customHeight="1">
      <c r="J1455" s="80" t="s">
        <v>746</v>
      </c>
      <c r="K1455" s="80" t="s">
        <v>5443</v>
      </c>
      <c r="L1455" t="s">
        <v>228</v>
      </c>
      <c r="M1455" t="s">
        <v>159</v>
      </c>
      <c r="N1455" t="str">
        <f t="shared" si="156"/>
        <v>Double FrontMotorised Somfy 240v Remote Curtain TrackGather Hook NormalSingle Face Fix Brackets</v>
      </c>
      <c r="O1455">
        <v>43</v>
      </c>
      <c r="P1455">
        <v>55</v>
      </c>
      <c r="Q1455" s="80">
        <v>0</v>
      </c>
      <c r="R1455" s="80">
        <f t="shared" si="157"/>
        <v>12</v>
      </c>
      <c r="AD1455"/>
    </row>
    <row r="1456" spans="10:30" ht="16.2" customHeight="1">
      <c r="J1456" s="80" t="s">
        <v>747</v>
      </c>
      <c r="K1456" s="80" t="s">
        <v>5443</v>
      </c>
      <c r="L1456" t="s">
        <v>228</v>
      </c>
      <c r="M1456" t="s">
        <v>159</v>
      </c>
      <c r="N1456" t="str">
        <f t="shared" si="156"/>
        <v>Double RearMotorised Somfy 240v Remote Curtain TrackGather Hook NormalSingle Face Fix Brackets</v>
      </c>
      <c r="O1456">
        <v>43</v>
      </c>
      <c r="P1456">
        <v>55</v>
      </c>
      <c r="Q1456" s="80">
        <v>0</v>
      </c>
      <c r="R1456" s="80">
        <f t="shared" si="157"/>
        <v>12</v>
      </c>
      <c r="AD1456"/>
    </row>
    <row r="1457" spans="10:30" ht="16.2" customHeight="1">
      <c r="J1457" s="80" t="s">
        <v>725</v>
      </c>
      <c r="K1457" s="80" t="s">
        <v>5443</v>
      </c>
      <c r="L1457" t="s">
        <v>228</v>
      </c>
      <c r="M1457" t="s">
        <v>159</v>
      </c>
      <c r="N1457" t="str">
        <f t="shared" si="156"/>
        <v>SingleMotorised Somfy 240v Remote Curtain TrackGather Hook NormalSingle Face Fix Brackets</v>
      </c>
      <c r="O1457">
        <v>43</v>
      </c>
      <c r="P1457">
        <v>55</v>
      </c>
      <c r="Q1457" s="80">
        <v>0</v>
      </c>
      <c r="R1457" s="80">
        <f t="shared" si="157"/>
        <v>12</v>
      </c>
      <c r="AD1457"/>
    </row>
    <row r="1458" spans="10:30" ht="16.2" customHeight="1">
      <c r="J1458" s="80" t="s">
        <v>746</v>
      </c>
      <c r="K1458" s="80" t="s">
        <v>5443</v>
      </c>
      <c r="L1458" t="s">
        <v>282</v>
      </c>
      <c r="M1458" t="s">
        <v>159</v>
      </c>
      <c r="N1458" t="str">
        <f t="shared" si="156"/>
        <v>Double FrontMotorised Somfy 240v Remote Curtain TrackLevel 2072Single Face Fix Brackets</v>
      </c>
      <c r="O1458">
        <v>38</v>
      </c>
      <c r="P1458">
        <v>55</v>
      </c>
      <c r="Q1458" s="80">
        <v>0</v>
      </c>
      <c r="R1458" s="80">
        <f t="shared" si="157"/>
        <v>17</v>
      </c>
      <c r="AD1458"/>
    </row>
    <row r="1459" spans="10:30" ht="16.2" customHeight="1">
      <c r="J1459" s="80" t="s">
        <v>747</v>
      </c>
      <c r="K1459" s="80" t="s">
        <v>5443</v>
      </c>
      <c r="L1459" t="s">
        <v>282</v>
      </c>
      <c r="M1459" t="s">
        <v>159</v>
      </c>
      <c r="N1459" t="str">
        <f t="shared" si="156"/>
        <v>Double RearMotorised Somfy 240v Remote Curtain TrackLevel 2072Single Face Fix Brackets</v>
      </c>
      <c r="O1459">
        <v>38</v>
      </c>
      <c r="P1459">
        <v>55</v>
      </c>
      <c r="Q1459" s="80">
        <v>0</v>
      </c>
      <c r="R1459" s="80">
        <f t="shared" si="157"/>
        <v>17</v>
      </c>
      <c r="AD1459"/>
    </row>
    <row r="1460" spans="10:30" ht="16.2" customHeight="1">
      <c r="J1460" s="80" t="s">
        <v>725</v>
      </c>
      <c r="K1460" s="80" t="s">
        <v>5443</v>
      </c>
      <c r="L1460" t="s">
        <v>282</v>
      </c>
      <c r="M1460" t="s">
        <v>159</v>
      </c>
      <c r="N1460" t="str">
        <f t="shared" si="156"/>
        <v>SingleMotorised Somfy 240v Remote Curtain TrackLevel 2072Single Face Fix Brackets</v>
      </c>
      <c r="O1460">
        <v>35</v>
      </c>
      <c r="P1460">
        <v>55</v>
      </c>
      <c r="Q1460" s="80">
        <v>0</v>
      </c>
      <c r="R1460" s="80">
        <f t="shared" si="157"/>
        <v>20</v>
      </c>
      <c r="AD1460"/>
    </row>
    <row r="1461" spans="10:30" ht="16.2" customHeight="1">
      <c r="J1461" s="80" t="s">
        <v>746</v>
      </c>
      <c r="K1461" s="80" t="s">
        <v>5443</v>
      </c>
      <c r="L1461" t="s">
        <v>170</v>
      </c>
      <c r="M1461" t="s">
        <v>159</v>
      </c>
      <c r="N1461" t="str">
        <f t="shared" si="156"/>
        <v>Double FrontMotorised Somfy 240v Remote Curtain TrackNormal 2074Single Face Fix Brackets</v>
      </c>
      <c r="O1461">
        <v>60</v>
      </c>
      <c r="P1461">
        <v>55</v>
      </c>
      <c r="Q1461" s="80">
        <v>0</v>
      </c>
      <c r="R1461" s="80">
        <f t="shared" si="157"/>
        <v>-5</v>
      </c>
      <c r="AD1461"/>
    </row>
    <row r="1462" spans="10:30" ht="16.2" customHeight="1">
      <c r="J1462" s="80" t="s">
        <v>747</v>
      </c>
      <c r="K1462" s="80" t="s">
        <v>5443</v>
      </c>
      <c r="L1462" t="s">
        <v>170</v>
      </c>
      <c r="M1462" t="s">
        <v>159</v>
      </c>
      <c r="N1462" t="str">
        <f t="shared" si="156"/>
        <v>Double RearMotorised Somfy 240v Remote Curtain TrackNormal 2074Single Face Fix Brackets</v>
      </c>
      <c r="O1462">
        <v>60</v>
      </c>
      <c r="P1462">
        <v>55</v>
      </c>
      <c r="Q1462" s="80">
        <v>0</v>
      </c>
      <c r="R1462" s="80">
        <f t="shared" si="157"/>
        <v>-5</v>
      </c>
      <c r="AD1462"/>
    </row>
    <row r="1463" spans="10:30" ht="16.2" customHeight="1">
      <c r="J1463" s="80" t="s">
        <v>725</v>
      </c>
      <c r="K1463" s="80" t="s">
        <v>5443</v>
      </c>
      <c r="L1463" t="s">
        <v>170</v>
      </c>
      <c r="M1463" t="s">
        <v>159</v>
      </c>
      <c r="N1463" t="str">
        <f t="shared" si="156"/>
        <v>SingleMotorised Somfy 240v Remote Curtain TrackNormal 2074Single Face Fix Brackets</v>
      </c>
      <c r="O1463">
        <v>60</v>
      </c>
      <c r="P1463">
        <v>55</v>
      </c>
      <c r="Q1463" s="80">
        <v>0</v>
      </c>
      <c r="R1463" s="80">
        <f t="shared" si="157"/>
        <v>-5</v>
      </c>
      <c r="AD1463"/>
    </row>
    <row r="1464" spans="10:30" ht="16.2" customHeight="1">
      <c r="J1464" s="80" t="s">
        <v>746</v>
      </c>
      <c r="K1464" s="80" t="s">
        <v>5443</v>
      </c>
      <c r="L1464" t="s">
        <v>183</v>
      </c>
      <c r="M1464" t="s">
        <v>161</v>
      </c>
      <c r="N1464" t="str">
        <f t="shared" si="156"/>
        <v>Double FrontMotorised Somfy 240v Remote Curtain TrackBelow Normal 2075Top Fix Brackets</v>
      </c>
      <c r="O1464">
        <v>70</v>
      </c>
      <c r="P1464">
        <v>50</v>
      </c>
      <c r="Q1464" s="80">
        <v>0</v>
      </c>
      <c r="R1464" s="80">
        <f t="shared" si="157"/>
        <v>-20</v>
      </c>
      <c r="AD1464"/>
    </row>
    <row r="1465" spans="10:30" ht="16.2" customHeight="1">
      <c r="J1465" s="80" t="s">
        <v>747</v>
      </c>
      <c r="K1465" s="80" t="s">
        <v>5443</v>
      </c>
      <c r="L1465" t="s">
        <v>183</v>
      </c>
      <c r="M1465" t="s">
        <v>161</v>
      </c>
      <c r="N1465" t="str">
        <f t="shared" si="156"/>
        <v>Double RearMotorised Somfy 240v Remote Curtain TrackBelow Normal 2075Top Fix Brackets</v>
      </c>
      <c r="O1465">
        <v>70</v>
      </c>
      <c r="P1465">
        <v>50</v>
      </c>
      <c r="Q1465" s="80">
        <v>0</v>
      </c>
      <c r="R1465" s="80">
        <f t="shared" si="157"/>
        <v>-20</v>
      </c>
      <c r="AD1465"/>
    </row>
    <row r="1466" spans="10:30" ht="16.2" customHeight="1">
      <c r="J1466" s="80" t="s">
        <v>725</v>
      </c>
      <c r="K1466" s="80" t="s">
        <v>5443</v>
      </c>
      <c r="L1466" t="s">
        <v>183</v>
      </c>
      <c r="M1466" t="s">
        <v>161</v>
      </c>
      <c r="N1466" t="str">
        <f t="shared" si="156"/>
        <v>SingleMotorised Somfy 240v Remote Curtain TrackBelow Normal 2075Top Fix Brackets</v>
      </c>
      <c r="O1466">
        <v>70</v>
      </c>
      <c r="P1466">
        <v>50</v>
      </c>
      <c r="Q1466" s="80">
        <v>0</v>
      </c>
      <c r="R1466" s="80">
        <f t="shared" si="157"/>
        <v>-20</v>
      </c>
      <c r="AD1466"/>
    </row>
    <row r="1467" spans="10:30" ht="16.2" customHeight="1">
      <c r="J1467" s="80" t="s">
        <v>746</v>
      </c>
      <c r="K1467" s="80" t="s">
        <v>5443</v>
      </c>
      <c r="L1467" t="s">
        <v>182</v>
      </c>
      <c r="M1467" t="s">
        <v>161</v>
      </c>
      <c r="N1467" t="str">
        <f t="shared" si="156"/>
        <v>Double FrontMotorised Somfy 240v Remote Curtain TrackBetween Level and Normal 2073Top Fix Brackets</v>
      </c>
      <c r="O1467">
        <v>48</v>
      </c>
      <c r="P1467">
        <v>50</v>
      </c>
      <c r="Q1467" s="80">
        <v>0</v>
      </c>
      <c r="R1467" s="80">
        <f t="shared" si="157"/>
        <v>2</v>
      </c>
      <c r="AD1467"/>
    </row>
    <row r="1468" spans="10:30" ht="16.2" customHeight="1">
      <c r="J1468" s="80" t="s">
        <v>747</v>
      </c>
      <c r="K1468" s="80" t="s">
        <v>5443</v>
      </c>
      <c r="L1468" t="s">
        <v>182</v>
      </c>
      <c r="M1468" t="s">
        <v>161</v>
      </c>
      <c r="N1468" t="str">
        <f t="shared" si="156"/>
        <v>Double RearMotorised Somfy 240v Remote Curtain TrackBetween Level and Normal 2073Top Fix Brackets</v>
      </c>
      <c r="O1468">
        <v>48</v>
      </c>
      <c r="P1468">
        <v>50</v>
      </c>
      <c r="Q1468" s="80">
        <v>0</v>
      </c>
      <c r="R1468" s="80">
        <f t="shared" si="157"/>
        <v>2</v>
      </c>
      <c r="AD1468"/>
    </row>
    <row r="1469" spans="10:30" ht="16.2" customHeight="1">
      <c r="J1469" s="80" t="s">
        <v>725</v>
      </c>
      <c r="K1469" s="80" t="s">
        <v>5443</v>
      </c>
      <c r="L1469" t="s">
        <v>182</v>
      </c>
      <c r="M1469" t="s">
        <v>161</v>
      </c>
      <c r="N1469" t="str">
        <f t="shared" si="156"/>
        <v>SingleMotorised Somfy 240v Remote Curtain TrackBetween Level and Normal 2073Top Fix Brackets</v>
      </c>
      <c r="O1469">
        <v>47</v>
      </c>
      <c r="P1469">
        <v>50</v>
      </c>
      <c r="Q1469" s="80">
        <v>0</v>
      </c>
      <c r="R1469" s="80">
        <f t="shared" si="157"/>
        <v>3</v>
      </c>
      <c r="AD1469"/>
    </row>
    <row r="1470" spans="10:30" ht="16.2" customHeight="1">
      <c r="J1470" s="80" t="s">
        <v>746</v>
      </c>
      <c r="K1470" s="80" t="s">
        <v>5443</v>
      </c>
      <c r="L1470" t="s">
        <v>184</v>
      </c>
      <c r="M1470" t="s">
        <v>161</v>
      </c>
      <c r="N1470" t="str">
        <f t="shared" si="156"/>
        <v>Double FrontMotorised Somfy 240v Remote Curtain TrackDecorator 2071Top Fix Brackets</v>
      </c>
      <c r="O1470">
        <v>20</v>
      </c>
      <c r="P1470">
        <v>53</v>
      </c>
      <c r="Q1470" s="80">
        <v>0</v>
      </c>
      <c r="R1470" s="80">
        <f t="shared" si="157"/>
        <v>33</v>
      </c>
      <c r="AD1470"/>
    </row>
    <row r="1471" spans="10:30" ht="16.2" customHeight="1">
      <c r="J1471" s="80" t="s">
        <v>747</v>
      </c>
      <c r="K1471" s="80" t="s">
        <v>5443</v>
      </c>
      <c r="L1471" t="s">
        <v>184</v>
      </c>
      <c r="M1471" t="s">
        <v>161</v>
      </c>
      <c r="N1471" t="str">
        <f t="shared" si="156"/>
        <v>Double RearMotorised Somfy 240v Remote Curtain TrackDecorator 2071Top Fix Brackets</v>
      </c>
      <c r="O1471">
        <v>20</v>
      </c>
      <c r="P1471">
        <v>50</v>
      </c>
      <c r="Q1471" s="80">
        <v>0</v>
      </c>
      <c r="R1471" s="80">
        <f t="shared" si="157"/>
        <v>30</v>
      </c>
      <c r="AD1471"/>
    </row>
    <row r="1472" spans="10:30" ht="16.2" customHeight="1">
      <c r="J1472" s="80" t="s">
        <v>725</v>
      </c>
      <c r="K1472" s="80" t="s">
        <v>5443</v>
      </c>
      <c r="L1472" t="s">
        <v>184</v>
      </c>
      <c r="M1472" t="s">
        <v>161</v>
      </c>
      <c r="N1472" t="str">
        <f t="shared" si="156"/>
        <v>SingleMotorised Somfy 240v Remote Curtain TrackDecorator 2071Top Fix Brackets</v>
      </c>
      <c r="O1472">
        <v>20</v>
      </c>
      <c r="P1472">
        <v>50</v>
      </c>
      <c r="Q1472" s="80">
        <v>0</v>
      </c>
      <c r="R1472" s="80">
        <f t="shared" si="157"/>
        <v>30</v>
      </c>
      <c r="AD1472"/>
    </row>
    <row r="1473" spans="10:30" ht="16.2" customHeight="1">
      <c r="J1473" s="80" t="s">
        <v>746</v>
      </c>
      <c r="K1473" s="80" t="s">
        <v>5443</v>
      </c>
      <c r="L1473" t="s">
        <v>6468</v>
      </c>
      <c r="M1473" t="s">
        <v>161</v>
      </c>
      <c r="N1473" t="str">
        <f t="shared" si="156"/>
        <v>Double FrontMotorised Somfy 240v Remote Curtain TrackGather Hook Bottom PocketTop Fix Brackets</v>
      </c>
      <c r="O1473">
        <v>60</v>
      </c>
      <c r="P1473">
        <v>50</v>
      </c>
      <c r="Q1473" s="80">
        <v>0</v>
      </c>
      <c r="R1473" s="80">
        <f t="shared" si="157"/>
        <v>-10</v>
      </c>
      <c r="AD1473"/>
    </row>
    <row r="1474" spans="10:30" ht="16.2" customHeight="1">
      <c r="J1474" s="80" t="s">
        <v>725</v>
      </c>
      <c r="K1474" s="80" t="s">
        <v>5443</v>
      </c>
      <c r="L1474" t="s">
        <v>6468</v>
      </c>
      <c r="M1474" t="s">
        <v>161</v>
      </c>
      <c r="N1474" t="str">
        <f t="shared" si="158" ref="N1474:N1537">(CONCATENATE(J1474,K1474,L1474,M1474))</f>
        <v>SingleMotorised Somfy 240v Remote Curtain TrackGather Hook Bottom PocketTop Fix Brackets</v>
      </c>
      <c r="O1474">
        <v>60</v>
      </c>
      <c r="P1474">
        <v>50</v>
      </c>
      <c r="Q1474" s="80">
        <v>0</v>
      </c>
      <c r="R1474" s="80">
        <f t="shared" si="157"/>
        <v>-10</v>
      </c>
      <c r="AD1474"/>
    </row>
    <row r="1475" spans="10:30" ht="16.2" customHeight="1">
      <c r="J1475" s="80" t="s">
        <v>746</v>
      </c>
      <c r="K1475" s="80" t="s">
        <v>5443</v>
      </c>
      <c r="L1475" t="s">
        <v>229</v>
      </c>
      <c r="M1475" t="s">
        <v>161</v>
      </c>
      <c r="N1475" t="str">
        <f t="shared" si="158"/>
        <v>Double FrontMotorised Somfy 240v Remote Curtain TrackGather Hook LevelTop Fix Brackets</v>
      </c>
      <c r="O1475">
        <v>20</v>
      </c>
      <c r="P1475">
        <v>50</v>
      </c>
      <c r="Q1475" s="80">
        <v>0</v>
      </c>
      <c r="R1475" s="80">
        <f t="shared" si="157"/>
        <v>30</v>
      </c>
      <c r="AD1475"/>
    </row>
    <row r="1476" spans="10:30" ht="16.2" customHeight="1">
      <c r="J1476" s="80" t="s">
        <v>747</v>
      </c>
      <c r="K1476" s="80" t="s">
        <v>5443</v>
      </c>
      <c r="L1476" t="s">
        <v>229</v>
      </c>
      <c r="M1476" t="s">
        <v>161</v>
      </c>
      <c r="N1476" t="str">
        <f t="shared" si="158"/>
        <v>Double RearMotorised Somfy 240v Remote Curtain TrackGather Hook LevelTop Fix Brackets</v>
      </c>
      <c r="O1476">
        <v>20</v>
      </c>
      <c r="P1476">
        <v>50</v>
      </c>
      <c r="Q1476" s="80">
        <v>0</v>
      </c>
      <c r="R1476" s="80">
        <f t="shared" si="157"/>
        <v>30</v>
      </c>
      <c r="AD1476"/>
    </row>
    <row r="1477" spans="10:30" ht="16.2" customHeight="1">
      <c r="J1477" s="80" t="s">
        <v>725</v>
      </c>
      <c r="K1477" s="80" t="s">
        <v>5443</v>
      </c>
      <c r="L1477" t="s">
        <v>229</v>
      </c>
      <c r="M1477" t="s">
        <v>161</v>
      </c>
      <c r="N1477" t="str">
        <f t="shared" si="158"/>
        <v>SingleMotorised Somfy 240v Remote Curtain TrackGather Hook LevelTop Fix Brackets</v>
      </c>
      <c r="O1477">
        <v>20</v>
      </c>
      <c r="P1477">
        <v>50</v>
      </c>
      <c r="Q1477" s="80">
        <v>0</v>
      </c>
      <c r="R1477" s="80">
        <f t="shared" si="157"/>
        <v>30</v>
      </c>
      <c r="AD1477"/>
    </row>
    <row r="1478" spans="10:30" ht="16.2" customHeight="1">
      <c r="J1478" s="80" t="s">
        <v>746</v>
      </c>
      <c r="K1478" s="80" t="s">
        <v>5443</v>
      </c>
      <c r="L1478" t="s">
        <v>228</v>
      </c>
      <c r="M1478" t="s">
        <v>161</v>
      </c>
      <c r="N1478" t="str">
        <f t="shared" si="158"/>
        <v>Double FrontMotorised Somfy 240v Remote Curtain TrackGather Hook NormalTop Fix Brackets</v>
      </c>
      <c r="O1478">
        <v>43</v>
      </c>
      <c r="P1478">
        <v>50</v>
      </c>
      <c r="Q1478" s="80">
        <v>0</v>
      </c>
      <c r="R1478" s="80">
        <f t="shared" si="157"/>
        <v>7</v>
      </c>
      <c r="AD1478"/>
    </row>
    <row r="1479" spans="10:30" ht="16.2" customHeight="1">
      <c r="J1479" s="80" t="s">
        <v>747</v>
      </c>
      <c r="K1479" s="80" t="s">
        <v>5443</v>
      </c>
      <c r="L1479" t="s">
        <v>228</v>
      </c>
      <c r="M1479" t="s">
        <v>161</v>
      </c>
      <c r="N1479" t="str">
        <f t="shared" si="158"/>
        <v>Double RearMotorised Somfy 240v Remote Curtain TrackGather Hook NormalTop Fix Brackets</v>
      </c>
      <c r="O1479">
        <v>43</v>
      </c>
      <c r="P1479">
        <v>50</v>
      </c>
      <c r="Q1479" s="80">
        <v>0</v>
      </c>
      <c r="R1479" s="80">
        <f t="shared" si="157"/>
        <v>7</v>
      </c>
      <c r="AD1479"/>
    </row>
    <row r="1480" spans="10:30" ht="16.2" customHeight="1">
      <c r="J1480" s="80" t="s">
        <v>725</v>
      </c>
      <c r="K1480" s="80" t="s">
        <v>5443</v>
      </c>
      <c r="L1480" t="s">
        <v>228</v>
      </c>
      <c r="M1480" t="s">
        <v>161</v>
      </c>
      <c r="N1480" t="str">
        <f t="shared" si="158"/>
        <v>SingleMotorised Somfy 240v Remote Curtain TrackGather Hook NormalTop Fix Brackets</v>
      </c>
      <c r="O1480">
        <v>43</v>
      </c>
      <c r="P1480">
        <v>50</v>
      </c>
      <c r="Q1480" s="80">
        <v>0</v>
      </c>
      <c r="R1480" s="80">
        <f t="shared" si="157"/>
        <v>7</v>
      </c>
      <c r="AD1480"/>
    </row>
    <row r="1481" spans="10:30" ht="16.2" customHeight="1">
      <c r="J1481" s="80" t="s">
        <v>746</v>
      </c>
      <c r="K1481" s="80" t="s">
        <v>5443</v>
      </c>
      <c r="L1481" t="s">
        <v>282</v>
      </c>
      <c r="M1481" t="s">
        <v>161</v>
      </c>
      <c r="N1481" t="str">
        <f t="shared" si="158"/>
        <v>Double FrontMotorised Somfy 240v Remote Curtain TrackLevel 2072Top Fix Brackets</v>
      </c>
      <c r="O1481">
        <v>38</v>
      </c>
      <c r="P1481">
        <v>50</v>
      </c>
      <c r="Q1481" s="80">
        <v>0</v>
      </c>
      <c r="R1481" s="80">
        <f t="shared" si="157"/>
        <v>12</v>
      </c>
      <c r="AD1481"/>
    </row>
    <row r="1482" spans="10:30" ht="16.2" customHeight="1">
      <c r="J1482" s="80" t="s">
        <v>747</v>
      </c>
      <c r="K1482" s="80" t="s">
        <v>5443</v>
      </c>
      <c r="L1482" t="s">
        <v>282</v>
      </c>
      <c r="M1482" t="s">
        <v>161</v>
      </c>
      <c r="N1482" t="str">
        <f t="shared" si="158"/>
        <v>Double RearMotorised Somfy 240v Remote Curtain TrackLevel 2072Top Fix Brackets</v>
      </c>
      <c r="O1482">
        <v>38</v>
      </c>
      <c r="P1482">
        <v>50</v>
      </c>
      <c r="Q1482" s="80">
        <v>0</v>
      </c>
      <c r="R1482" s="80">
        <f t="shared" si="157"/>
        <v>12</v>
      </c>
      <c r="AD1482"/>
    </row>
    <row r="1483" spans="10:30" ht="16.2" customHeight="1">
      <c r="J1483" s="80" t="s">
        <v>725</v>
      </c>
      <c r="K1483" s="80" t="s">
        <v>5443</v>
      </c>
      <c r="L1483" t="s">
        <v>282</v>
      </c>
      <c r="M1483" t="s">
        <v>161</v>
      </c>
      <c r="N1483" t="str">
        <f t="shared" si="158"/>
        <v>SingleMotorised Somfy 240v Remote Curtain TrackLevel 2072Top Fix Brackets</v>
      </c>
      <c r="O1483">
        <v>35</v>
      </c>
      <c r="P1483">
        <v>50</v>
      </c>
      <c r="Q1483" s="80">
        <v>0</v>
      </c>
      <c r="R1483" s="80">
        <f t="shared" si="157"/>
        <v>15</v>
      </c>
      <c r="AD1483"/>
    </row>
    <row r="1484" spans="10:30" ht="16.2" customHeight="1">
      <c r="J1484" s="80" t="s">
        <v>746</v>
      </c>
      <c r="K1484" s="80" t="s">
        <v>5443</v>
      </c>
      <c r="L1484" t="s">
        <v>170</v>
      </c>
      <c r="M1484" t="s">
        <v>161</v>
      </c>
      <c r="N1484" t="str">
        <f t="shared" si="158"/>
        <v>Double FrontMotorised Somfy 240v Remote Curtain TrackNormal 2074Top Fix Brackets</v>
      </c>
      <c r="O1484">
        <v>60</v>
      </c>
      <c r="P1484">
        <v>50</v>
      </c>
      <c r="Q1484" s="80">
        <v>0</v>
      </c>
      <c r="R1484" s="80">
        <f t="shared" si="157"/>
        <v>-10</v>
      </c>
      <c r="AD1484"/>
    </row>
    <row r="1485" spans="10:30" ht="16.2" customHeight="1">
      <c r="J1485" s="80" t="s">
        <v>747</v>
      </c>
      <c r="K1485" s="80" t="s">
        <v>5443</v>
      </c>
      <c r="L1485" t="s">
        <v>170</v>
      </c>
      <c r="M1485" t="s">
        <v>161</v>
      </c>
      <c r="N1485" t="str">
        <f t="shared" si="158"/>
        <v>Double RearMotorised Somfy 240v Remote Curtain TrackNormal 2074Top Fix Brackets</v>
      </c>
      <c r="O1485">
        <v>60</v>
      </c>
      <c r="P1485">
        <v>50</v>
      </c>
      <c r="Q1485" s="80">
        <v>0</v>
      </c>
      <c r="R1485" s="80">
        <f t="shared" si="157"/>
        <v>-10</v>
      </c>
      <c r="AD1485"/>
    </row>
    <row r="1486" spans="10:30" ht="16.2" customHeight="1">
      <c r="J1486" s="80" t="s">
        <v>725</v>
      </c>
      <c r="K1486" s="80" t="s">
        <v>5443</v>
      </c>
      <c r="L1486" t="s">
        <v>170</v>
      </c>
      <c r="M1486" t="s">
        <v>161</v>
      </c>
      <c r="N1486" t="str">
        <f t="shared" si="158"/>
        <v>SingleMotorised Somfy 240v Remote Curtain TrackNormal 2074Top Fix Brackets</v>
      </c>
      <c r="O1486">
        <v>60</v>
      </c>
      <c r="P1486">
        <v>50</v>
      </c>
      <c r="Q1486" s="80">
        <v>0</v>
      </c>
      <c r="R1486" s="80">
        <f t="shared" si="157"/>
        <v>-10</v>
      </c>
      <c r="AD1486"/>
    </row>
    <row r="1487" spans="10:30" ht="16.2" customHeight="1">
      <c r="J1487" s="80" t="s">
        <v>746</v>
      </c>
      <c r="K1487" s="80" t="s">
        <v>5444</v>
      </c>
      <c r="L1487" t="s">
        <v>183</v>
      </c>
      <c r="M1487" t="s">
        <v>162</v>
      </c>
      <c r="N1487" t="str">
        <f t="shared" si="158"/>
        <v>Double FrontMotorised Somfy 240v Switch Curtain TrackBelow Normal 2075Double Face Fix Brackets</v>
      </c>
      <c r="O1487">
        <v>70</v>
      </c>
      <c r="P1487">
        <v>59</v>
      </c>
      <c r="Q1487" s="80">
        <v>0</v>
      </c>
      <c r="R1487" s="80">
        <f t="shared" si="157"/>
        <v>-11</v>
      </c>
      <c r="AD1487"/>
    </row>
    <row r="1488" spans="10:30" ht="16.2" customHeight="1">
      <c r="J1488" s="80" t="s">
        <v>747</v>
      </c>
      <c r="K1488" s="80" t="s">
        <v>5444</v>
      </c>
      <c r="L1488" t="s">
        <v>183</v>
      </c>
      <c r="M1488" t="s">
        <v>162</v>
      </c>
      <c r="N1488" t="str">
        <f t="shared" si="158"/>
        <v>Double RearMotorised Somfy 240v Switch Curtain TrackBelow Normal 2075Double Face Fix Brackets</v>
      </c>
      <c r="O1488">
        <v>70</v>
      </c>
      <c r="P1488">
        <v>59</v>
      </c>
      <c r="Q1488" s="80">
        <v>0</v>
      </c>
      <c r="R1488" s="80">
        <f t="shared" si="157"/>
        <v>-11</v>
      </c>
      <c r="AD1488"/>
    </row>
    <row r="1489" spans="10:30" ht="16.2" customHeight="1">
      <c r="J1489" s="80" t="s">
        <v>725</v>
      </c>
      <c r="K1489" s="80" t="s">
        <v>5444</v>
      </c>
      <c r="L1489" t="s">
        <v>183</v>
      </c>
      <c r="M1489" t="s">
        <v>162</v>
      </c>
      <c r="N1489" t="str">
        <f t="shared" si="158"/>
        <v>SingleMotorised Somfy 240v Switch Curtain TrackBelow Normal 2075Double Face Fix Brackets</v>
      </c>
      <c r="O1489">
        <v>70</v>
      </c>
      <c r="P1489">
        <v>59</v>
      </c>
      <c r="Q1489" s="80">
        <v>0</v>
      </c>
      <c r="R1489" s="80">
        <f t="shared" si="157"/>
        <v>-11</v>
      </c>
      <c r="AD1489"/>
    </row>
    <row r="1490" spans="10:30" ht="16.2" customHeight="1">
      <c r="J1490" s="80" t="s">
        <v>746</v>
      </c>
      <c r="K1490" s="80" t="s">
        <v>5444</v>
      </c>
      <c r="L1490" t="s">
        <v>182</v>
      </c>
      <c r="M1490" t="s">
        <v>162</v>
      </c>
      <c r="N1490" t="str">
        <f t="shared" si="158"/>
        <v>Double FrontMotorised Somfy 240v Switch Curtain TrackBetween Level and Normal 2073Double Face Fix Brackets</v>
      </c>
      <c r="O1490">
        <v>48</v>
      </c>
      <c r="P1490">
        <v>59</v>
      </c>
      <c r="Q1490" s="80">
        <v>0</v>
      </c>
      <c r="R1490" s="80">
        <f t="shared" si="157"/>
        <v>11</v>
      </c>
      <c r="AD1490"/>
    </row>
    <row r="1491" spans="10:30" ht="16.2" customHeight="1">
      <c r="J1491" s="80" t="s">
        <v>747</v>
      </c>
      <c r="K1491" s="80" t="s">
        <v>5444</v>
      </c>
      <c r="L1491" t="s">
        <v>182</v>
      </c>
      <c r="M1491" t="s">
        <v>162</v>
      </c>
      <c r="N1491" t="str">
        <f t="shared" si="158"/>
        <v>Double RearMotorised Somfy 240v Switch Curtain TrackBetween Level and Normal 2073Double Face Fix Brackets</v>
      </c>
      <c r="O1491">
        <v>48</v>
      </c>
      <c r="P1491">
        <v>59</v>
      </c>
      <c r="Q1491" s="80">
        <v>0</v>
      </c>
      <c r="R1491" s="80">
        <f t="shared" si="157"/>
        <v>11</v>
      </c>
      <c r="AD1491"/>
    </row>
    <row r="1492" spans="10:30" ht="16.2" customHeight="1">
      <c r="J1492" s="80" t="s">
        <v>725</v>
      </c>
      <c r="K1492" s="80" t="s">
        <v>5444</v>
      </c>
      <c r="L1492" t="s">
        <v>182</v>
      </c>
      <c r="M1492" t="s">
        <v>162</v>
      </c>
      <c r="N1492" t="str">
        <f t="shared" si="158"/>
        <v>SingleMotorised Somfy 240v Switch Curtain TrackBetween Level and Normal 2073Double Face Fix Brackets</v>
      </c>
      <c r="O1492">
        <v>47</v>
      </c>
      <c r="P1492">
        <v>59</v>
      </c>
      <c r="Q1492" s="80">
        <v>0</v>
      </c>
      <c r="R1492" s="80">
        <f t="shared" si="157"/>
        <v>12</v>
      </c>
      <c r="AD1492"/>
    </row>
    <row r="1493" spans="10:30" ht="16.2" customHeight="1">
      <c r="J1493" s="80" t="s">
        <v>746</v>
      </c>
      <c r="K1493" s="80" t="s">
        <v>5444</v>
      </c>
      <c r="L1493" t="s">
        <v>184</v>
      </c>
      <c r="M1493" t="s">
        <v>162</v>
      </c>
      <c r="N1493" t="str">
        <f t="shared" si="158"/>
        <v>Double FrontMotorised Somfy 240v Switch Curtain TrackDecorator 2071Double Face Fix Brackets</v>
      </c>
      <c r="O1493">
        <v>20</v>
      </c>
      <c r="P1493">
        <v>59</v>
      </c>
      <c r="Q1493" s="80">
        <v>0</v>
      </c>
      <c r="R1493" s="80">
        <f t="shared" si="157"/>
        <v>39</v>
      </c>
      <c r="AD1493"/>
    </row>
    <row r="1494" spans="10:30" ht="16.2" customHeight="1">
      <c r="J1494" s="80" t="s">
        <v>747</v>
      </c>
      <c r="K1494" s="80" t="s">
        <v>5444</v>
      </c>
      <c r="L1494" t="s">
        <v>184</v>
      </c>
      <c r="M1494" t="s">
        <v>162</v>
      </c>
      <c r="N1494" t="str">
        <f t="shared" si="158"/>
        <v>Double RearMotorised Somfy 240v Switch Curtain TrackDecorator 2071Double Face Fix Brackets</v>
      </c>
      <c r="O1494">
        <v>20</v>
      </c>
      <c r="P1494">
        <v>59</v>
      </c>
      <c r="Q1494" s="80">
        <v>0</v>
      </c>
      <c r="R1494" s="80">
        <f t="shared" si="157"/>
        <v>39</v>
      </c>
      <c r="AD1494"/>
    </row>
    <row r="1495" spans="10:30" ht="16.2" customHeight="1">
      <c r="J1495" s="80" t="s">
        <v>725</v>
      </c>
      <c r="K1495" s="80" t="s">
        <v>5444</v>
      </c>
      <c r="L1495" t="s">
        <v>184</v>
      </c>
      <c r="M1495" t="s">
        <v>162</v>
      </c>
      <c r="N1495" t="str">
        <f t="shared" si="158"/>
        <v>SingleMotorised Somfy 240v Switch Curtain TrackDecorator 2071Double Face Fix Brackets</v>
      </c>
      <c r="O1495">
        <v>20</v>
      </c>
      <c r="P1495">
        <v>59</v>
      </c>
      <c r="Q1495" s="80">
        <v>0</v>
      </c>
      <c r="R1495" s="80">
        <f t="shared" si="157"/>
        <v>39</v>
      </c>
      <c r="AD1495"/>
    </row>
    <row r="1496" spans="10:30" ht="16.2" customHeight="1">
      <c r="J1496" s="80" t="s">
        <v>746</v>
      </c>
      <c r="K1496" s="80" t="s">
        <v>5444</v>
      </c>
      <c r="L1496" t="s">
        <v>6468</v>
      </c>
      <c r="M1496" t="s">
        <v>162</v>
      </c>
      <c r="N1496" t="str">
        <f t="shared" si="158"/>
        <v>Double FrontMotorised Somfy 240v Switch Curtain TrackGather Hook Bottom PocketDouble Face Fix Brackets</v>
      </c>
      <c r="O1496">
        <v>60</v>
      </c>
      <c r="P1496">
        <v>59</v>
      </c>
      <c r="Q1496" s="80">
        <v>0</v>
      </c>
      <c r="R1496" s="80">
        <f t="shared" si="157"/>
        <v>-1</v>
      </c>
      <c r="AD1496"/>
    </row>
    <row r="1497" spans="10:30" ht="16.2" customHeight="1">
      <c r="J1497" s="80" t="s">
        <v>725</v>
      </c>
      <c r="K1497" s="80" t="s">
        <v>5444</v>
      </c>
      <c r="L1497" t="s">
        <v>6468</v>
      </c>
      <c r="M1497" t="s">
        <v>162</v>
      </c>
      <c r="N1497" t="str">
        <f t="shared" si="158"/>
        <v>SingleMotorised Somfy 240v Switch Curtain TrackGather Hook Bottom PocketDouble Face Fix Brackets</v>
      </c>
      <c r="O1497">
        <v>60</v>
      </c>
      <c r="P1497">
        <v>59</v>
      </c>
      <c r="Q1497" s="80">
        <v>0</v>
      </c>
      <c r="R1497" s="80">
        <f t="shared" si="157"/>
        <v>-1</v>
      </c>
      <c r="AD1497"/>
    </row>
    <row r="1498" spans="10:30" ht="16.2" customHeight="1">
      <c r="J1498" s="80" t="s">
        <v>746</v>
      </c>
      <c r="K1498" s="80" t="s">
        <v>5444</v>
      </c>
      <c r="L1498" t="s">
        <v>229</v>
      </c>
      <c r="M1498" t="s">
        <v>162</v>
      </c>
      <c r="N1498" t="str">
        <f t="shared" si="158"/>
        <v>Double FrontMotorised Somfy 240v Switch Curtain TrackGather Hook LevelDouble Face Fix Brackets</v>
      </c>
      <c r="O1498">
        <v>20</v>
      </c>
      <c r="P1498">
        <v>59</v>
      </c>
      <c r="Q1498" s="80">
        <v>0</v>
      </c>
      <c r="R1498" s="80">
        <f t="shared" si="157"/>
        <v>39</v>
      </c>
      <c r="AD1498"/>
    </row>
    <row r="1499" spans="10:30" ht="16.2" customHeight="1">
      <c r="J1499" s="80" t="s">
        <v>747</v>
      </c>
      <c r="K1499" s="80" t="s">
        <v>5444</v>
      </c>
      <c r="L1499" t="s">
        <v>229</v>
      </c>
      <c r="M1499" t="s">
        <v>162</v>
      </c>
      <c r="N1499" t="str">
        <f t="shared" si="158"/>
        <v>Double RearMotorised Somfy 240v Switch Curtain TrackGather Hook LevelDouble Face Fix Brackets</v>
      </c>
      <c r="O1499">
        <v>20</v>
      </c>
      <c r="P1499">
        <v>59</v>
      </c>
      <c r="Q1499" s="80">
        <v>0</v>
      </c>
      <c r="R1499" s="80">
        <f t="shared" si="157"/>
        <v>39</v>
      </c>
      <c r="AD1499"/>
    </row>
    <row r="1500" spans="10:30" ht="16.2" customHeight="1">
      <c r="J1500" s="80" t="s">
        <v>725</v>
      </c>
      <c r="K1500" s="80" t="s">
        <v>5444</v>
      </c>
      <c r="L1500" t="s">
        <v>229</v>
      </c>
      <c r="M1500" t="s">
        <v>162</v>
      </c>
      <c r="N1500" t="str">
        <f t="shared" si="158"/>
        <v>SingleMotorised Somfy 240v Switch Curtain TrackGather Hook LevelDouble Face Fix Brackets</v>
      </c>
      <c r="O1500">
        <v>20</v>
      </c>
      <c r="P1500">
        <v>59</v>
      </c>
      <c r="Q1500" s="80">
        <v>0</v>
      </c>
      <c r="R1500" s="80">
        <f t="shared" si="157"/>
        <v>39</v>
      </c>
      <c r="AD1500"/>
    </row>
    <row r="1501" spans="10:30" ht="16.2" customHeight="1">
      <c r="J1501" s="80" t="s">
        <v>746</v>
      </c>
      <c r="K1501" s="80" t="s">
        <v>5444</v>
      </c>
      <c r="L1501" t="s">
        <v>228</v>
      </c>
      <c r="M1501" t="s">
        <v>162</v>
      </c>
      <c r="N1501" t="str">
        <f t="shared" si="158"/>
        <v>Double FrontMotorised Somfy 240v Switch Curtain TrackGather Hook NormalDouble Face Fix Brackets</v>
      </c>
      <c r="O1501">
        <v>43</v>
      </c>
      <c r="P1501">
        <v>59</v>
      </c>
      <c r="Q1501" s="80">
        <v>0</v>
      </c>
      <c r="R1501" s="80">
        <f t="shared" si="157"/>
        <v>16</v>
      </c>
      <c r="AD1501"/>
    </row>
    <row r="1502" spans="10:30" ht="16.2" customHeight="1">
      <c r="J1502" s="80" t="s">
        <v>747</v>
      </c>
      <c r="K1502" s="80" t="s">
        <v>5444</v>
      </c>
      <c r="L1502" t="s">
        <v>228</v>
      </c>
      <c r="M1502" t="s">
        <v>162</v>
      </c>
      <c r="N1502" t="str">
        <f t="shared" si="158"/>
        <v>Double RearMotorised Somfy 240v Switch Curtain TrackGather Hook NormalDouble Face Fix Brackets</v>
      </c>
      <c r="O1502">
        <v>43</v>
      </c>
      <c r="P1502">
        <v>59</v>
      </c>
      <c r="Q1502" s="80">
        <v>0</v>
      </c>
      <c r="R1502" s="80">
        <f t="shared" si="157"/>
        <v>16</v>
      </c>
      <c r="AD1502"/>
    </row>
    <row r="1503" spans="10:30" ht="16.2" customHeight="1">
      <c r="J1503" s="80" t="s">
        <v>725</v>
      </c>
      <c r="K1503" s="80" t="s">
        <v>5444</v>
      </c>
      <c r="L1503" t="s">
        <v>228</v>
      </c>
      <c r="M1503" t="s">
        <v>162</v>
      </c>
      <c r="N1503" t="str">
        <f t="shared" si="158"/>
        <v>SingleMotorised Somfy 240v Switch Curtain TrackGather Hook NormalDouble Face Fix Brackets</v>
      </c>
      <c r="O1503">
        <v>43</v>
      </c>
      <c r="P1503">
        <v>59</v>
      </c>
      <c r="Q1503" s="80">
        <v>0</v>
      </c>
      <c r="R1503" s="80">
        <f t="shared" si="159" ref="R1503:R1566">SUM(P1503)-O1503</f>
        <v>16</v>
      </c>
      <c r="AD1503"/>
    </row>
    <row r="1504" spans="10:30" ht="16.2" customHeight="1">
      <c r="J1504" s="80" t="s">
        <v>746</v>
      </c>
      <c r="K1504" s="80" t="s">
        <v>5444</v>
      </c>
      <c r="L1504" t="s">
        <v>282</v>
      </c>
      <c r="M1504" t="s">
        <v>162</v>
      </c>
      <c r="N1504" t="str">
        <f t="shared" si="158"/>
        <v>Double FrontMotorised Somfy 240v Switch Curtain TrackLevel 2072Double Face Fix Brackets</v>
      </c>
      <c r="O1504">
        <v>38</v>
      </c>
      <c r="P1504">
        <v>59</v>
      </c>
      <c r="Q1504" s="80">
        <v>0</v>
      </c>
      <c r="R1504" s="80">
        <f t="shared" si="159"/>
        <v>21</v>
      </c>
      <c r="AD1504"/>
    </row>
    <row r="1505" spans="10:30" ht="16.2" customHeight="1">
      <c r="J1505" s="80" t="s">
        <v>747</v>
      </c>
      <c r="K1505" s="80" t="s">
        <v>5444</v>
      </c>
      <c r="L1505" t="s">
        <v>282</v>
      </c>
      <c r="M1505" t="s">
        <v>162</v>
      </c>
      <c r="N1505" t="str">
        <f t="shared" si="158"/>
        <v>Double RearMotorised Somfy 240v Switch Curtain TrackLevel 2072Double Face Fix Brackets</v>
      </c>
      <c r="O1505">
        <v>38</v>
      </c>
      <c r="P1505">
        <v>59</v>
      </c>
      <c r="Q1505" s="80">
        <v>0</v>
      </c>
      <c r="R1505" s="80">
        <f t="shared" si="159"/>
        <v>21</v>
      </c>
      <c r="AD1505"/>
    </row>
    <row r="1506" spans="10:30" ht="16.2" customHeight="1">
      <c r="J1506" s="80" t="s">
        <v>725</v>
      </c>
      <c r="K1506" s="80" t="s">
        <v>5444</v>
      </c>
      <c r="L1506" t="s">
        <v>282</v>
      </c>
      <c r="M1506" t="s">
        <v>162</v>
      </c>
      <c r="N1506" t="str">
        <f t="shared" si="158"/>
        <v>SingleMotorised Somfy 240v Switch Curtain TrackLevel 2072Double Face Fix Brackets</v>
      </c>
      <c r="O1506">
        <v>35</v>
      </c>
      <c r="P1506">
        <v>59</v>
      </c>
      <c r="Q1506" s="80">
        <v>0</v>
      </c>
      <c r="R1506" s="80">
        <f t="shared" si="159"/>
        <v>24</v>
      </c>
      <c r="AD1506"/>
    </row>
    <row r="1507" spans="10:30" ht="16.2" customHeight="1">
      <c r="J1507" s="80" t="s">
        <v>746</v>
      </c>
      <c r="K1507" s="80" t="s">
        <v>5444</v>
      </c>
      <c r="L1507" t="s">
        <v>170</v>
      </c>
      <c r="M1507" t="s">
        <v>162</v>
      </c>
      <c r="N1507" t="str">
        <f t="shared" si="158"/>
        <v>Double FrontMotorised Somfy 240v Switch Curtain TrackNormal 2074Double Face Fix Brackets</v>
      </c>
      <c r="O1507">
        <v>60</v>
      </c>
      <c r="P1507">
        <v>59</v>
      </c>
      <c r="Q1507" s="80">
        <v>0</v>
      </c>
      <c r="R1507" s="80">
        <f t="shared" si="159"/>
        <v>-1</v>
      </c>
      <c r="AD1507"/>
    </row>
    <row r="1508" spans="10:30" ht="16.2" customHeight="1">
      <c r="J1508" s="80" t="s">
        <v>747</v>
      </c>
      <c r="K1508" s="80" t="s">
        <v>5444</v>
      </c>
      <c r="L1508" t="s">
        <v>170</v>
      </c>
      <c r="M1508" t="s">
        <v>162</v>
      </c>
      <c r="N1508" t="str">
        <f t="shared" si="158"/>
        <v>Double RearMotorised Somfy 240v Switch Curtain TrackNormal 2074Double Face Fix Brackets</v>
      </c>
      <c r="O1508">
        <v>60</v>
      </c>
      <c r="P1508">
        <v>59</v>
      </c>
      <c r="Q1508" s="80">
        <v>0</v>
      </c>
      <c r="R1508" s="80">
        <f t="shared" si="159"/>
        <v>-1</v>
      </c>
      <c r="AD1508"/>
    </row>
    <row r="1509" spans="10:30" ht="16.2" customHeight="1">
      <c r="J1509" s="80" t="s">
        <v>725</v>
      </c>
      <c r="K1509" s="80" t="s">
        <v>5444</v>
      </c>
      <c r="L1509" t="s">
        <v>170</v>
      </c>
      <c r="M1509" t="s">
        <v>162</v>
      </c>
      <c r="N1509" t="str">
        <f t="shared" si="158"/>
        <v>SingleMotorised Somfy 240v Switch Curtain TrackNormal 2074Double Face Fix Brackets</v>
      </c>
      <c r="O1509">
        <v>60</v>
      </c>
      <c r="P1509">
        <v>59</v>
      </c>
      <c r="Q1509" s="80">
        <v>0</v>
      </c>
      <c r="R1509" s="80">
        <f t="shared" si="159"/>
        <v>-1</v>
      </c>
      <c r="AD1509"/>
    </row>
    <row r="1510" spans="10:30" ht="16.2" customHeight="1">
      <c r="J1510" s="80" t="s">
        <v>746</v>
      </c>
      <c r="K1510" s="80" t="s">
        <v>5444</v>
      </c>
      <c r="L1510" t="s">
        <v>183</v>
      </c>
      <c r="M1510" t="s">
        <v>159</v>
      </c>
      <c r="N1510" t="str">
        <f t="shared" si="158"/>
        <v>Double FrontMotorised Somfy 240v Switch Curtain TrackBelow Normal 2075Single Face Fix Brackets</v>
      </c>
      <c r="O1510">
        <v>70</v>
      </c>
      <c r="P1510">
        <v>55</v>
      </c>
      <c r="Q1510" s="80">
        <v>0</v>
      </c>
      <c r="R1510" s="80">
        <f t="shared" si="159"/>
        <v>-15</v>
      </c>
      <c r="AD1510"/>
    </row>
    <row r="1511" spans="10:30" ht="16.2" customHeight="1">
      <c r="J1511" s="80" t="s">
        <v>747</v>
      </c>
      <c r="K1511" s="80" t="s">
        <v>5444</v>
      </c>
      <c r="L1511" t="s">
        <v>183</v>
      </c>
      <c r="M1511" t="s">
        <v>159</v>
      </c>
      <c r="N1511" t="str">
        <f t="shared" si="158"/>
        <v>Double RearMotorised Somfy 240v Switch Curtain TrackBelow Normal 2075Single Face Fix Brackets</v>
      </c>
      <c r="O1511">
        <v>70</v>
      </c>
      <c r="P1511">
        <v>55</v>
      </c>
      <c r="Q1511" s="80">
        <v>0</v>
      </c>
      <c r="R1511" s="80">
        <f t="shared" si="159"/>
        <v>-15</v>
      </c>
      <c r="AD1511"/>
    </row>
    <row r="1512" spans="10:30" ht="16.2" customHeight="1">
      <c r="J1512" s="80" t="s">
        <v>725</v>
      </c>
      <c r="K1512" s="80" t="s">
        <v>5444</v>
      </c>
      <c r="L1512" t="s">
        <v>183</v>
      </c>
      <c r="M1512" t="s">
        <v>159</v>
      </c>
      <c r="N1512" t="str">
        <f t="shared" si="158"/>
        <v>SingleMotorised Somfy 240v Switch Curtain TrackBelow Normal 2075Single Face Fix Brackets</v>
      </c>
      <c r="O1512">
        <v>70</v>
      </c>
      <c r="P1512">
        <v>55</v>
      </c>
      <c r="Q1512" s="80">
        <v>0</v>
      </c>
      <c r="R1512" s="80">
        <f t="shared" si="159"/>
        <v>-15</v>
      </c>
      <c r="AD1512"/>
    </row>
    <row r="1513" spans="10:30" ht="16.2" customHeight="1">
      <c r="J1513" s="80" t="s">
        <v>746</v>
      </c>
      <c r="K1513" s="80" t="s">
        <v>5444</v>
      </c>
      <c r="L1513" t="s">
        <v>182</v>
      </c>
      <c r="M1513" t="s">
        <v>159</v>
      </c>
      <c r="N1513" t="str">
        <f t="shared" si="158"/>
        <v>Double FrontMotorised Somfy 240v Switch Curtain TrackBetween Level and Normal 2073Single Face Fix Brackets</v>
      </c>
      <c r="O1513">
        <v>48</v>
      </c>
      <c r="P1513">
        <v>55</v>
      </c>
      <c r="Q1513" s="80">
        <v>0</v>
      </c>
      <c r="R1513" s="80">
        <f t="shared" si="159"/>
        <v>7</v>
      </c>
      <c r="AD1513"/>
    </row>
    <row r="1514" spans="10:30" ht="16.2" customHeight="1">
      <c r="J1514" s="80" t="s">
        <v>747</v>
      </c>
      <c r="K1514" s="80" t="s">
        <v>5444</v>
      </c>
      <c r="L1514" t="s">
        <v>182</v>
      </c>
      <c r="M1514" t="s">
        <v>159</v>
      </c>
      <c r="N1514" t="str">
        <f t="shared" si="158"/>
        <v>Double RearMotorised Somfy 240v Switch Curtain TrackBetween Level and Normal 2073Single Face Fix Brackets</v>
      </c>
      <c r="O1514">
        <v>48</v>
      </c>
      <c r="P1514">
        <v>55</v>
      </c>
      <c r="Q1514" s="80">
        <v>0</v>
      </c>
      <c r="R1514" s="80">
        <f t="shared" si="159"/>
        <v>7</v>
      </c>
      <c r="AD1514"/>
    </row>
    <row r="1515" spans="10:30" ht="16.2" customHeight="1">
      <c r="J1515" s="80" t="s">
        <v>725</v>
      </c>
      <c r="K1515" s="80" t="s">
        <v>5444</v>
      </c>
      <c r="L1515" t="s">
        <v>182</v>
      </c>
      <c r="M1515" t="s">
        <v>159</v>
      </c>
      <c r="N1515" t="str">
        <f t="shared" si="158"/>
        <v>SingleMotorised Somfy 240v Switch Curtain TrackBetween Level and Normal 2073Single Face Fix Brackets</v>
      </c>
      <c r="O1515">
        <v>47</v>
      </c>
      <c r="P1515">
        <v>55</v>
      </c>
      <c r="Q1515" s="80">
        <v>0</v>
      </c>
      <c r="R1515" s="80">
        <f t="shared" si="159"/>
        <v>8</v>
      </c>
      <c r="AD1515"/>
    </row>
    <row r="1516" spans="10:30" ht="16.2" customHeight="1">
      <c r="J1516" s="80" t="s">
        <v>746</v>
      </c>
      <c r="K1516" s="80" t="s">
        <v>5444</v>
      </c>
      <c r="L1516" t="s">
        <v>184</v>
      </c>
      <c r="M1516" t="s">
        <v>159</v>
      </c>
      <c r="N1516" t="str">
        <f t="shared" si="158"/>
        <v>Double FrontMotorised Somfy 240v Switch Curtain TrackDecorator 2071Single Face Fix Brackets</v>
      </c>
      <c r="O1516">
        <v>20</v>
      </c>
      <c r="P1516">
        <v>55</v>
      </c>
      <c r="Q1516" s="80">
        <v>0</v>
      </c>
      <c r="R1516" s="80">
        <f t="shared" si="159"/>
        <v>35</v>
      </c>
      <c r="AD1516"/>
    </row>
    <row r="1517" spans="10:30" ht="16.2" customHeight="1">
      <c r="J1517" s="80" t="s">
        <v>747</v>
      </c>
      <c r="K1517" s="80" t="s">
        <v>5444</v>
      </c>
      <c r="L1517" t="s">
        <v>184</v>
      </c>
      <c r="M1517" t="s">
        <v>159</v>
      </c>
      <c r="N1517" t="str">
        <f t="shared" si="158"/>
        <v>Double RearMotorised Somfy 240v Switch Curtain TrackDecorator 2071Single Face Fix Brackets</v>
      </c>
      <c r="O1517">
        <v>20</v>
      </c>
      <c r="P1517">
        <v>55</v>
      </c>
      <c r="Q1517" s="80">
        <v>0</v>
      </c>
      <c r="R1517" s="80">
        <f t="shared" si="159"/>
        <v>35</v>
      </c>
      <c r="AD1517"/>
    </row>
    <row r="1518" spans="10:30" ht="16.2" customHeight="1">
      <c r="J1518" s="80" t="s">
        <v>725</v>
      </c>
      <c r="K1518" s="80" t="s">
        <v>5444</v>
      </c>
      <c r="L1518" t="s">
        <v>184</v>
      </c>
      <c r="M1518" t="s">
        <v>159</v>
      </c>
      <c r="N1518" t="str">
        <f t="shared" si="158"/>
        <v>SingleMotorised Somfy 240v Switch Curtain TrackDecorator 2071Single Face Fix Brackets</v>
      </c>
      <c r="O1518">
        <v>20</v>
      </c>
      <c r="P1518">
        <v>55</v>
      </c>
      <c r="Q1518" s="80">
        <v>0</v>
      </c>
      <c r="R1518" s="80">
        <f t="shared" si="159"/>
        <v>35</v>
      </c>
      <c r="AD1518"/>
    </row>
    <row r="1519" spans="10:30" ht="16.2" customHeight="1">
      <c r="J1519" s="80" t="s">
        <v>746</v>
      </c>
      <c r="K1519" s="80" t="s">
        <v>5444</v>
      </c>
      <c r="L1519" t="s">
        <v>6468</v>
      </c>
      <c r="M1519" t="s">
        <v>159</v>
      </c>
      <c r="N1519" t="str">
        <f t="shared" si="158"/>
        <v>Double FrontMotorised Somfy 240v Switch Curtain TrackGather Hook Bottom PocketSingle Face Fix Brackets</v>
      </c>
      <c r="O1519">
        <v>60</v>
      </c>
      <c r="P1519">
        <v>55</v>
      </c>
      <c r="Q1519" s="80">
        <v>0</v>
      </c>
      <c r="R1519" s="80">
        <f t="shared" si="159"/>
        <v>-5</v>
      </c>
      <c r="AD1519"/>
    </row>
    <row r="1520" spans="10:30" ht="16.2" customHeight="1">
      <c r="J1520" s="80" t="s">
        <v>725</v>
      </c>
      <c r="K1520" s="80" t="s">
        <v>5444</v>
      </c>
      <c r="L1520" t="s">
        <v>6468</v>
      </c>
      <c r="M1520" t="s">
        <v>159</v>
      </c>
      <c r="N1520" t="str">
        <f t="shared" si="158"/>
        <v>SingleMotorised Somfy 240v Switch Curtain TrackGather Hook Bottom PocketSingle Face Fix Brackets</v>
      </c>
      <c r="O1520">
        <v>60</v>
      </c>
      <c r="P1520">
        <v>55</v>
      </c>
      <c r="Q1520" s="80">
        <v>0</v>
      </c>
      <c r="R1520" s="80">
        <f t="shared" si="159"/>
        <v>-5</v>
      </c>
      <c r="AD1520"/>
    </row>
    <row r="1521" spans="10:30" ht="16.2" customHeight="1">
      <c r="J1521" s="80" t="s">
        <v>746</v>
      </c>
      <c r="K1521" s="80" t="s">
        <v>5444</v>
      </c>
      <c r="L1521" t="s">
        <v>229</v>
      </c>
      <c r="M1521" t="s">
        <v>159</v>
      </c>
      <c r="N1521" t="str">
        <f t="shared" si="158"/>
        <v>Double FrontMotorised Somfy 240v Switch Curtain TrackGather Hook LevelSingle Face Fix Brackets</v>
      </c>
      <c r="O1521">
        <v>20</v>
      </c>
      <c r="P1521">
        <v>55</v>
      </c>
      <c r="Q1521" s="80">
        <v>0</v>
      </c>
      <c r="R1521" s="80">
        <f t="shared" si="159"/>
        <v>35</v>
      </c>
      <c r="AD1521"/>
    </row>
    <row r="1522" spans="10:30" ht="16.2" customHeight="1">
      <c r="J1522" s="80" t="s">
        <v>747</v>
      </c>
      <c r="K1522" s="80" t="s">
        <v>5444</v>
      </c>
      <c r="L1522" t="s">
        <v>229</v>
      </c>
      <c r="M1522" t="s">
        <v>159</v>
      </c>
      <c r="N1522" t="str">
        <f t="shared" si="158"/>
        <v>Double RearMotorised Somfy 240v Switch Curtain TrackGather Hook LevelSingle Face Fix Brackets</v>
      </c>
      <c r="O1522">
        <v>20</v>
      </c>
      <c r="P1522">
        <v>55</v>
      </c>
      <c r="Q1522" s="80">
        <v>0</v>
      </c>
      <c r="R1522" s="80">
        <f t="shared" si="159"/>
        <v>35</v>
      </c>
      <c r="AD1522"/>
    </row>
    <row r="1523" spans="10:30" ht="16.2" customHeight="1">
      <c r="J1523" s="80" t="s">
        <v>725</v>
      </c>
      <c r="K1523" s="80" t="s">
        <v>5444</v>
      </c>
      <c r="L1523" t="s">
        <v>229</v>
      </c>
      <c r="M1523" t="s">
        <v>159</v>
      </c>
      <c r="N1523" t="str">
        <f t="shared" si="158"/>
        <v>SingleMotorised Somfy 240v Switch Curtain TrackGather Hook LevelSingle Face Fix Brackets</v>
      </c>
      <c r="O1523">
        <v>20</v>
      </c>
      <c r="P1523">
        <v>55</v>
      </c>
      <c r="Q1523" s="80">
        <v>0</v>
      </c>
      <c r="R1523" s="80">
        <f t="shared" si="159"/>
        <v>35</v>
      </c>
      <c r="AD1523"/>
    </row>
    <row r="1524" spans="10:30" ht="16.2" customHeight="1">
      <c r="J1524" s="80" t="s">
        <v>746</v>
      </c>
      <c r="K1524" s="80" t="s">
        <v>5444</v>
      </c>
      <c r="L1524" t="s">
        <v>228</v>
      </c>
      <c r="M1524" t="s">
        <v>159</v>
      </c>
      <c r="N1524" t="str">
        <f t="shared" si="158"/>
        <v>Double FrontMotorised Somfy 240v Switch Curtain TrackGather Hook NormalSingle Face Fix Brackets</v>
      </c>
      <c r="O1524">
        <v>43</v>
      </c>
      <c r="P1524">
        <v>55</v>
      </c>
      <c r="Q1524" s="80">
        <v>0</v>
      </c>
      <c r="R1524" s="80">
        <f t="shared" si="159"/>
        <v>12</v>
      </c>
      <c r="AD1524"/>
    </row>
    <row r="1525" spans="10:30" ht="16.2" customHeight="1">
      <c r="J1525" s="80" t="s">
        <v>747</v>
      </c>
      <c r="K1525" s="80" t="s">
        <v>5444</v>
      </c>
      <c r="L1525" t="s">
        <v>228</v>
      </c>
      <c r="M1525" t="s">
        <v>159</v>
      </c>
      <c r="N1525" t="str">
        <f t="shared" si="158"/>
        <v>Double RearMotorised Somfy 240v Switch Curtain TrackGather Hook NormalSingle Face Fix Brackets</v>
      </c>
      <c r="O1525">
        <v>43</v>
      </c>
      <c r="P1525">
        <v>55</v>
      </c>
      <c r="Q1525" s="80">
        <v>0</v>
      </c>
      <c r="R1525" s="80">
        <f t="shared" si="159"/>
        <v>12</v>
      </c>
      <c r="AD1525"/>
    </row>
    <row r="1526" spans="10:30" ht="16.2" customHeight="1">
      <c r="J1526" s="80" t="s">
        <v>725</v>
      </c>
      <c r="K1526" s="80" t="s">
        <v>5444</v>
      </c>
      <c r="L1526" t="s">
        <v>228</v>
      </c>
      <c r="M1526" t="s">
        <v>159</v>
      </c>
      <c r="N1526" t="str">
        <f t="shared" si="158"/>
        <v>SingleMotorised Somfy 240v Switch Curtain TrackGather Hook NormalSingle Face Fix Brackets</v>
      </c>
      <c r="O1526">
        <v>43</v>
      </c>
      <c r="P1526">
        <v>55</v>
      </c>
      <c r="Q1526" s="80">
        <v>0</v>
      </c>
      <c r="R1526" s="80">
        <f t="shared" si="159"/>
        <v>12</v>
      </c>
      <c r="AD1526"/>
    </row>
    <row r="1527" spans="10:30" ht="16.2" customHeight="1">
      <c r="J1527" s="80" t="s">
        <v>746</v>
      </c>
      <c r="K1527" s="80" t="s">
        <v>5444</v>
      </c>
      <c r="L1527" t="s">
        <v>282</v>
      </c>
      <c r="M1527" t="s">
        <v>159</v>
      </c>
      <c r="N1527" t="str">
        <f t="shared" si="158"/>
        <v>Double FrontMotorised Somfy 240v Switch Curtain TrackLevel 2072Single Face Fix Brackets</v>
      </c>
      <c r="O1527">
        <v>38</v>
      </c>
      <c r="P1527">
        <v>55</v>
      </c>
      <c r="Q1527" s="80">
        <v>0</v>
      </c>
      <c r="R1527" s="80">
        <f t="shared" si="159"/>
        <v>17</v>
      </c>
      <c r="AD1527"/>
    </row>
    <row r="1528" spans="10:30" ht="16.2" customHeight="1">
      <c r="J1528" s="80" t="s">
        <v>747</v>
      </c>
      <c r="K1528" s="80" t="s">
        <v>5444</v>
      </c>
      <c r="L1528" t="s">
        <v>282</v>
      </c>
      <c r="M1528" t="s">
        <v>159</v>
      </c>
      <c r="N1528" t="str">
        <f t="shared" si="158"/>
        <v>Double RearMotorised Somfy 240v Switch Curtain TrackLevel 2072Single Face Fix Brackets</v>
      </c>
      <c r="O1528">
        <v>38</v>
      </c>
      <c r="P1528">
        <v>55</v>
      </c>
      <c r="Q1528" s="80">
        <v>0</v>
      </c>
      <c r="R1528" s="80">
        <f t="shared" si="159"/>
        <v>17</v>
      </c>
      <c r="AD1528"/>
    </row>
    <row r="1529" spans="10:30" ht="16.2" customHeight="1">
      <c r="J1529" s="80" t="s">
        <v>725</v>
      </c>
      <c r="K1529" s="80" t="s">
        <v>5444</v>
      </c>
      <c r="L1529" t="s">
        <v>282</v>
      </c>
      <c r="M1529" t="s">
        <v>159</v>
      </c>
      <c r="N1529" t="str">
        <f t="shared" si="158"/>
        <v>SingleMotorised Somfy 240v Switch Curtain TrackLevel 2072Single Face Fix Brackets</v>
      </c>
      <c r="O1529">
        <v>35</v>
      </c>
      <c r="P1529">
        <v>55</v>
      </c>
      <c r="Q1529" s="80">
        <v>0</v>
      </c>
      <c r="R1529" s="80">
        <f t="shared" si="159"/>
        <v>20</v>
      </c>
      <c r="AD1529"/>
    </row>
    <row r="1530" spans="10:30" ht="16.2" customHeight="1">
      <c r="J1530" s="80" t="s">
        <v>746</v>
      </c>
      <c r="K1530" s="80" t="s">
        <v>5444</v>
      </c>
      <c r="L1530" t="s">
        <v>170</v>
      </c>
      <c r="M1530" t="s">
        <v>159</v>
      </c>
      <c r="N1530" t="str">
        <f t="shared" si="158"/>
        <v>Double FrontMotorised Somfy 240v Switch Curtain TrackNormal 2074Single Face Fix Brackets</v>
      </c>
      <c r="O1530">
        <v>60</v>
      </c>
      <c r="P1530">
        <v>55</v>
      </c>
      <c r="Q1530" s="80">
        <v>0</v>
      </c>
      <c r="R1530" s="80">
        <f t="shared" si="159"/>
        <v>-5</v>
      </c>
      <c r="AD1530"/>
    </row>
    <row r="1531" spans="10:30" ht="16.2" customHeight="1">
      <c r="J1531" s="80" t="s">
        <v>747</v>
      </c>
      <c r="K1531" s="80" t="s">
        <v>5444</v>
      </c>
      <c r="L1531" t="s">
        <v>170</v>
      </c>
      <c r="M1531" t="s">
        <v>159</v>
      </c>
      <c r="N1531" t="str">
        <f t="shared" si="158"/>
        <v>Double RearMotorised Somfy 240v Switch Curtain TrackNormal 2074Single Face Fix Brackets</v>
      </c>
      <c r="O1531">
        <v>60</v>
      </c>
      <c r="P1531">
        <v>55</v>
      </c>
      <c r="Q1531" s="80">
        <v>0</v>
      </c>
      <c r="R1531" s="80">
        <f t="shared" si="159"/>
        <v>-5</v>
      </c>
      <c r="AD1531"/>
    </row>
    <row r="1532" spans="10:30" ht="16.2" customHeight="1">
      <c r="J1532" s="80" t="s">
        <v>725</v>
      </c>
      <c r="K1532" s="80" t="s">
        <v>5444</v>
      </c>
      <c r="L1532" t="s">
        <v>170</v>
      </c>
      <c r="M1532" t="s">
        <v>159</v>
      </c>
      <c r="N1532" t="str">
        <f t="shared" si="158"/>
        <v>SingleMotorised Somfy 240v Switch Curtain TrackNormal 2074Single Face Fix Brackets</v>
      </c>
      <c r="O1532">
        <v>60</v>
      </c>
      <c r="P1532">
        <v>55</v>
      </c>
      <c r="Q1532" s="80">
        <v>0</v>
      </c>
      <c r="R1532" s="80">
        <f t="shared" si="159"/>
        <v>-5</v>
      </c>
      <c r="AD1532"/>
    </row>
    <row r="1533" spans="10:30" ht="16.2" customHeight="1">
      <c r="J1533" s="80" t="s">
        <v>746</v>
      </c>
      <c r="K1533" s="80" t="s">
        <v>5444</v>
      </c>
      <c r="L1533" t="s">
        <v>183</v>
      </c>
      <c r="M1533" t="s">
        <v>161</v>
      </c>
      <c r="N1533" t="str">
        <f t="shared" si="158"/>
        <v>Double FrontMotorised Somfy 240v Switch Curtain TrackBelow Normal 2075Top Fix Brackets</v>
      </c>
      <c r="O1533">
        <v>70</v>
      </c>
      <c r="P1533">
        <v>50</v>
      </c>
      <c r="Q1533" s="80">
        <v>0</v>
      </c>
      <c r="R1533" s="80">
        <f t="shared" si="159"/>
        <v>-20</v>
      </c>
      <c r="AD1533"/>
    </row>
    <row r="1534" spans="10:30" ht="16.2" customHeight="1">
      <c r="J1534" s="80" t="s">
        <v>747</v>
      </c>
      <c r="K1534" s="80" t="s">
        <v>5444</v>
      </c>
      <c r="L1534" t="s">
        <v>183</v>
      </c>
      <c r="M1534" t="s">
        <v>161</v>
      </c>
      <c r="N1534" t="str">
        <f t="shared" si="158"/>
        <v>Double RearMotorised Somfy 240v Switch Curtain TrackBelow Normal 2075Top Fix Brackets</v>
      </c>
      <c r="O1534">
        <v>70</v>
      </c>
      <c r="P1534">
        <v>50</v>
      </c>
      <c r="Q1534" s="80">
        <v>0</v>
      </c>
      <c r="R1534" s="80">
        <f t="shared" si="159"/>
        <v>-20</v>
      </c>
      <c r="AD1534"/>
    </row>
    <row r="1535" spans="10:30" ht="16.2" customHeight="1">
      <c r="J1535" s="80" t="s">
        <v>725</v>
      </c>
      <c r="K1535" s="80" t="s">
        <v>5444</v>
      </c>
      <c r="L1535" t="s">
        <v>183</v>
      </c>
      <c r="M1535" t="s">
        <v>161</v>
      </c>
      <c r="N1535" t="str">
        <f t="shared" si="158"/>
        <v>SingleMotorised Somfy 240v Switch Curtain TrackBelow Normal 2075Top Fix Brackets</v>
      </c>
      <c r="O1535">
        <v>70</v>
      </c>
      <c r="P1535">
        <v>50</v>
      </c>
      <c r="Q1535" s="80">
        <v>0</v>
      </c>
      <c r="R1535" s="80">
        <f t="shared" si="159"/>
        <v>-20</v>
      </c>
      <c r="AD1535"/>
    </row>
    <row r="1536" spans="10:30" ht="16.2" customHeight="1">
      <c r="J1536" s="80" t="s">
        <v>746</v>
      </c>
      <c r="K1536" s="80" t="s">
        <v>5444</v>
      </c>
      <c r="L1536" t="s">
        <v>182</v>
      </c>
      <c r="M1536" t="s">
        <v>161</v>
      </c>
      <c r="N1536" t="str">
        <f t="shared" si="158"/>
        <v>Double FrontMotorised Somfy 240v Switch Curtain TrackBetween Level and Normal 2073Top Fix Brackets</v>
      </c>
      <c r="O1536">
        <v>48</v>
      </c>
      <c r="P1536">
        <v>50</v>
      </c>
      <c r="Q1536" s="80">
        <v>0</v>
      </c>
      <c r="R1536" s="80">
        <f t="shared" si="159"/>
        <v>2</v>
      </c>
      <c r="AD1536"/>
    </row>
    <row r="1537" spans="10:30" ht="16.2" customHeight="1">
      <c r="J1537" s="80" t="s">
        <v>747</v>
      </c>
      <c r="K1537" s="80" t="s">
        <v>5444</v>
      </c>
      <c r="L1537" t="s">
        <v>182</v>
      </c>
      <c r="M1537" t="s">
        <v>161</v>
      </c>
      <c r="N1537" t="str">
        <f t="shared" si="158"/>
        <v>Double RearMotorised Somfy 240v Switch Curtain TrackBetween Level and Normal 2073Top Fix Brackets</v>
      </c>
      <c r="O1537">
        <v>48</v>
      </c>
      <c r="P1537">
        <v>50</v>
      </c>
      <c r="Q1537" s="80">
        <v>0</v>
      </c>
      <c r="R1537" s="80">
        <f t="shared" si="159"/>
        <v>2</v>
      </c>
      <c r="AD1537"/>
    </row>
    <row r="1538" spans="10:30" ht="16.2" customHeight="1">
      <c r="J1538" s="80" t="s">
        <v>725</v>
      </c>
      <c r="K1538" s="80" t="s">
        <v>5444</v>
      </c>
      <c r="L1538" t="s">
        <v>182</v>
      </c>
      <c r="M1538" t="s">
        <v>161</v>
      </c>
      <c r="N1538" t="str">
        <f t="shared" si="160" ref="N1538:N1601">(CONCATENATE(J1538,K1538,L1538,M1538))</f>
        <v>SingleMotorised Somfy 240v Switch Curtain TrackBetween Level and Normal 2073Top Fix Brackets</v>
      </c>
      <c r="O1538">
        <v>47</v>
      </c>
      <c r="P1538">
        <v>50</v>
      </c>
      <c r="Q1538" s="80">
        <v>0</v>
      </c>
      <c r="R1538" s="80">
        <f t="shared" si="159"/>
        <v>3</v>
      </c>
      <c r="AD1538"/>
    </row>
    <row r="1539" spans="10:30" ht="16.2" customHeight="1">
      <c r="J1539" s="80" t="s">
        <v>746</v>
      </c>
      <c r="K1539" s="80" t="s">
        <v>5444</v>
      </c>
      <c r="L1539" t="s">
        <v>184</v>
      </c>
      <c r="M1539" t="s">
        <v>161</v>
      </c>
      <c r="N1539" t="str">
        <f t="shared" si="160"/>
        <v>Double FrontMotorised Somfy 240v Switch Curtain TrackDecorator 2071Top Fix Brackets</v>
      </c>
      <c r="O1539">
        <v>20</v>
      </c>
      <c r="P1539">
        <v>50</v>
      </c>
      <c r="Q1539" s="80">
        <v>0</v>
      </c>
      <c r="R1539" s="80">
        <f t="shared" si="159"/>
        <v>30</v>
      </c>
      <c r="AD1539"/>
    </row>
    <row r="1540" spans="10:30" ht="16.2" customHeight="1">
      <c r="J1540" s="80" t="s">
        <v>747</v>
      </c>
      <c r="K1540" s="80" t="s">
        <v>5444</v>
      </c>
      <c r="L1540" t="s">
        <v>184</v>
      </c>
      <c r="M1540" t="s">
        <v>161</v>
      </c>
      <c r="N1540" t="str">
        <f t="shared" si="160"/>
        <v>Double RearMotorised Somfy 240v Switch Curtain TrackDecorator 2071Top Fix Brackets</v>
      </c>
      <c r="O1540">
        <v>20</v>
      </c>
      <c r="P1540">
        <v>50</v>
      </c>
      <c r="Q1540" s="80">
        <v>0</v>
      </c>
      <c r="R1540" s="80">
        <f t="shared" si="159"/>
        <v>30</v>
      </c>
      <c r="AD1540"/>
    </row>
    <row r="1541" spans="10:30" ht="16.2" customHeight="1">
      <c r="J1541" s="80" t="s">
        <v>725</v>
      </c>
      <c r="K1541" s="80" t="s">
        <v>5444</v>
      </c>
      <c r="L1541" t="s">
        <v>184</v>
      </c>
      <c r="M1541" t="s">
        <v>161</v>
      </c>
      <c r="N1541" t="str">
        <f t="shared" si="160"/>
        <v>SingleMotorised Somfy 240v Switch Curtain TrackDecorator 2071Top Fix Brackets</v>
      </c>
      <c r="O1541">
        <v>20</v>
      </c>
      <c r="P1541">
        <v>50</v>
      </c>
      <c r="Q1541" s="80">
        <v>0</v>
      </c>
      <c r="R1541" s="80">
        <f t="shared" si="159"/>
        <v>30</v>
      </c>
      <c r="AD1541"/>
    </row>
    <row r="1542" spans="10:30" ht="16.2" customHeight="1">
      <c r="J1542" s="80" t="s">
        <v>746</v>
      </c>
      <c r="K1542" s="80" t="s">
        <v>5444</v>
      </c>
      <c r="L1542" t="s">
        <v>6468</v>
      </c>
      <c r="M1542" t="s">
        <v>161</v>
      </c>
      <c r="N1542" t="str">
        <f t="shared" si="160"/>
        <v>Double FrontMotorised Somfy 240v Switch Curtain TrackGather Hook Bottom PocketTop Fix Brackets</v>
      </c>
      <c r="O1542">
        <v>60</v>
      </c>
      <c r="P1542">
        <v>50</v>
      </c>
      <c r="Q1542" s="80">
        <v>0</v>
      </c>
      <c r="R1542" s="80">
        <f t="shared" si="159"/>
        <v>-10</v>
      </c>
      <c r="AD1542"/>
    </row>
    <row r="1543" spans="10:30" ht="16.2" customHeight="1">
      <c r="J1543" s="80" t="s">
        <v>725</v>
      </c>
      <c r="K1543" s="80" t="s">
        <v>5444</v>
      </c>
      <c r="L1543" t="s">
        <v>6468</v>
      </c>
      <c r="M1543" t="s">
        <v>161</v>
      </c>
      <c r="N1543" t="str">
        <f t="shared" si="160"/>
        <v>SingleMotorised Somfy 240v Switch Curtain TrackGather Hook Bottom PocketTop Fix Brackets</v>
      </c>
      <c r="O1543">
        <v>60</v>
      </c>
      <c r="P1543">
        <v>50</v>
      </c>
      <c r="Q1543" s="80">
        <v>0</v>
      </c>
      <c r="R1543" s="80">
        <f t="shared" si="159"/>
        <v>-10</v>
      </c>
      <c r="AD1543"/>
    </row>
    <row r="1544" spans="10:30" ht="16.2" customHeight="1">
      <c r="J1544" s="80" t="s">
        <v>746</v>
      </c>
      <c r="K1544" s="80" t="s">
        <v>5444</v>
      </c>
      <c r="L1544" t="s">
        <v>229</v>
      </c>
      <c r="M1544" t="s">
        <v>161</v>
      </c>
      <c r="N1544" t="str">
        <f t="shared" si="160"/>
        <v>Double FrontMotorised Somfy 240v Switch Curtain TrackGather Hook LevelTop Fix Brackets</v>
      </c>
      <c r="O1544">
        <v>20</v>
      </c>
      <c r="P1544">
        <v>50</v>
      </c>
      <c r="Q1544" s="80">
        <v>0</v>
      </c>
      <c r="R1544" s="80">
        <f t="shared" si="159"/>
        <v>30</v>
      </c>
      <c r="AD1544"/>
    </row>
    <row r="1545" spans="10:30" ht="16.2" customHeight="1">
      <c r="J1545" s="80" t="s">
        <v>747</v>
      </c>
      <c r="K1545" s="80" t="s">
        <v>5444</v>
      </c>
      <c r="L1545" t="s">
        <v>229</v>
      </c>
      <c r="M1545" t="s">
        <v>161</v>
      </c>
      <c r="N1545" t="str">
        <f t="shared" si="160"/>
        <v>Double RearMotorised Somfy 240v Switch Curtain TrackGather Hook LevelTop Fix Brackets</v>
      </c>
      <c r="O1545">
        <v>20</v>
      </c>
      <c r="P1545">
        <v>50</v>
      </c>
      <c r="Q1545" s="80">
        <v>0</v>
      </c>
      <c r="R1545" s="80">
        <f t="shared" si="159"/>
        <v>30</v>
      </c>
      <c r="AD1545"/>
    </row>
    <row r="1546" spans="10:30" ht="16.2" customHeight="1">
      <c r="J1546" s="80" t="s">
        <v>725</v>
      </c>
      <c r="K1546" s="80" t="s">
        <v>5444</v>
      </c>
      <c r="L1546" t="s">
        <v>229</v>
      </c>
      <c r="M1546" t="s">
        <v>161</v>
      </c>
      <c r="N1546" t="str">
        <f t="shared" si="160"/>
        <v>SingleMotorised Somfy 240v Switch Curtain TrackGather Hook LevelTop Fix Brackets</v>
      </c>
      <c r="O1546">
        <v>20</v>
      </c>
      <c r="P1546">
        <v>50</v>
      </c>
      <c r="Q1546" s="80">
        <v>0</v>
      </c>
      <c r="R1546" s="80">
        <f t="shared" si="159"/>
        <v>30</v>
      </c>
      <c r="AD1546"/>
    </row>
    <row r="1547" spans="10:30" ht="16.2" customHeight="1">
      <c r="J1547" s="80" t="s">
        <v>746</v>
      </c>
      <c r="K1547" s="80" t="s">
        <v>5444</v>
      </c>
      <c r="L1547" t="s">
        <v>228</v>
      </c>
      <c r="M1547" t="s">
        <v>161</v>
      </c>
      <c r="N1547" t="str">
        <f t="shared" si="160"/>
        <v>Double FrontMotorised Somfy 240v Switch Curtain TrackGather Hook NormalTop Fix Brackets</v>
      </c>
      <c r="O1547">
        <v>43</v>
      </c>
      <c r="P1547">
        <v>50</v>
      </c>
      <c r="Q1547" s="80">
        <v>0</v>
      </c>
      <c r="R1547" s="80">
        <f t="shared" si="159"/>
        <v>7</v>
      </c>
      <c r="AD1547"/>
    </row>
    <row r="1548" spans="10:30" ht="16.2" customHeight="1">
      <c r="J1548" s="80" t="s">
        <v>747</v>
      </c>
      <c r="K1548" s="80" t="s">
        <v>5444</v>
      </c>
      <c r="L1548" t="s">
        <v>228</v>
      </c>
      <c r="M1548" t="s">
        <v>161</v>
      </c>
      <c r="N1548" t="str">
        <f t="shared" si="160"/>
        <v>Double RearMotorised Somfy 240v Switch Curtain TrackGather Hook NormalTop Fix Brackets</v>
      </c>
      <c r="O1548">
        <v>43</v>
      </c>
      <c r="P1548">
        <v>50</v>
      </c>
      <c r="Q1548" s="80">
        <v>0</v>
      </c>
      <c r="R1548" s="80">
        <f t="shared" si="159"/>
        <v>7</v>
      </c>
      <c r="AD1548"/>
    </row>
    <row r="1549" spans="10:30" ht="16.2" customHeight="1">
      <c r="J1549" s="80" t="s">
        <v>725</v>
      </c>
      <c r="K1549" s="80" t="s">
        <v>5444</v>
      </c>
      <c r="L1549" t="s">
        <v>228</v>
      </c>
      <c r="M1549" t="s">
        <v>161</v>
      </c>
      <c r="N1549" t="str">
        <f t="shared" si="160"/>
        <v>SingleMotorised Somfy 240v Switch Curtain TrackGather Hook NormalTop Fix Brackets</v>
      </c>
      <c r="O1549">
        <v>43</v>
      </c>
      <c r="P1549">
        <v>50</v>
      </c>
      <c r="Q1549" s="80">
        <v>0</v>
      </c>
      <c r="R1549" s="80">
        <f t="shared" si="159"/>
        <v>7</v>
      </c>
      <c r="AD1549"/>
    </row>
    <row r="1550" spans="10:30" ht="16.2" customHeight="1">
      <c r="J1550" s="80" t="s">
        <v>746</v>
      </c>
      <c r="K1550" s="80" t="s">
        <v>5444</v>
      </c>
      <c r="L1550" t="s">
        <v>282</v>
      </c>
      <c r="M1550" t="s">
        <v>161</v>
      </c>
      <c r="N1550" t="str">
        <f t="shared" si="160"/>
        <v>Double FrontMotorised Somfy 240v Switch Curtain TrackLevel 2072Top Fix Brackets</v>
      </c>
      <c r="O1550">
        <v>38</v>
      </c>
      <c r="P1550">
        <v>50</v>
      </c>
      <c r="Q1550" s="80">
        <v>0</v>
      </c>
      <c r="R1550" s="80">
        <f t="shared" si="159"/>
        <v>12</v>
      </c>
      <c r="AD1550"/>
    </row>
    <row r="1551" spans="10:30" ht="16.2" customHeight="1">
      <c r="J1551" s="80" t="s">
        <v>747</v>
      </c>
      <c r="K1551" s="80" t="s">
        <v>5444</v>
      </c>
      <c r="L1551" t="s">
        <v>282</v>
      </c>
      <c r="M1551" t="s">
        <v>161</v>
      </c>
      <c r="N1551" t="str">
        <f t="shared" si="160"/>
        <v>Double RearMotorised Somfy 240v Switch Curtain TrackLevel 2072Top Fix Brackets</v>
      </c>
      <c r="O1551">
        <v>38</v>
      </c>
      <c r="P1551">
        <v>50</v>
      </c>
      <c r="Q1551" s="80">
        <v>0</v>
      </c>
      <c r="R1551" s="80">
        <f t="shared" si="159"/>
        <v>12</v>
      </c>
      <c r="AD1551"/>
    </row>
    <row r="1552" spans="10:30" ht="16.2" customHeight="1">
      <c r="J1552" s="80" t="s">
        <v>725</v>
      </c>
      <c r="K1552" s="80" t="s">
        <v>5444</v>
      </c>
      <c r="L1552" t="s">
        <v>282</v>
      </c>
      <c r="M1552" t="s">
        <v>161</v>
      </c>
      <c r="N1552" t="str">
        <f t="shared" si="160"/>
        <v>SingleMotorised Somfy 240v Switch Curtain TrackLevel 2072Top Fix Brackets</v>
      </c>
      <c r="O1552">
        <v>35</v>
      </c>
      <c r="P1552">
        <v>50</v>
      </c>
      <c r="Q1552" s="80">
        <v>0</v>
      </c>
      <c r="R1552" s="80">
        <f t="shared" si="159"/>
        <v>15</v>
      </c>
      <c r="AD1552"/>
    </row>
    <row r="1553" spans="10:30" ht="16.2" customHeight="1">
      <c r="J1553" s="80" t="s">
        <v>746</v>
      </c>
      <c r="K1553" s="80" t="s">
        <v>5444</v>
      </c>
      <c r="L1553" t="s">
        <v>170</v>
      </c>
      <c r="M1553" t="s">
        <v>161</v>
      </c>
      <c r="N1553" t="str">
        <f t="shared" si="160"/>
        <v>Double FrontMotorised Somfy 240v Switch Curtain TrackNormal 2074Top Fix Brackets</v>
      </c>
      <c r="O1553">
        <v>60</v>
      </c>
      <c r="P1553">
        <v>50</v>
      </c>
      <c r="Q1553" s="80">
        <v>0</v>
      </c>
      <c r="R1553" s="80">
        <f t="shared" si="159"/>
        <v>-10</v>
      </c>
      <c r="AD1553"/>
    </row>
    <row r="1554" spans="10:30" ht="16.2" customHeight="1">
      <c r="J1554" s="80" t="s">
        <v>747</v>
      </c>
      <c r="K1554" s="80" t="s">
        <v>5444</v>
      </c>
      <c r="L1554" t="s">
        <v>170</v>
      </c>
      <c r="M1554" t="s">
        <v>161</v>
      </c>
      <c r="N1554" t="str">
        <f t="shared" si="160"/>
        <v>Double RearMotorised Somfy 240v Switch Curtain TrackNormal 2074Top Fix Brackets</v>
      </c>
      <c r="O1554">
        <v>60</v>
      </c>
      <c r="P1554">
        <v>50</v>
      </c>
      <c r="Q1554" s="80">
        <v>0</v>
      </c>
      <c r="R1554" s="80">
        <f t="shared" si="159"/>
        <v>-10</v>
      </c>
      <c r="AD1554"/>
    </row>
    <row r="1555" spans="10:30" ht="16.2" customHeight="1">
      <c r="J1555" s="80" t="s">
        <v>725</v>
      </c>
      <c r="K1555" s="80" t="s">
        <v>5444</v>
      </c>
      <c r="L1555" t="s">
        <v>170</v>
      </c>
      <c r="M1555" t="s">
        <v>161</v>
      </c>
      <c r="N1555" t="str">
        <f t="shared" si="160"/>
        <v>SingleMotorised Somfy 240v Switch Curtain TrackNormal 2074Top Fix Brackets</v>
      </c>
      <c r="O1555">
        <v>60</v>
      </c>
      <c r="P1555">
        <v>50</v>
      </c>
      <c r="Q1555" s="80">
        <v>0</v>
      </c>
      <c r="R1555" s="80">
        <f t="shared" si="159"/>
        <v>-10</v>
      </c>
      <c r="AD1555"/>
    </row>
    <row r="1556" spans="10:30" ht="16.2" customHeight="1">
      <c r="J1556" s="80" t="s">
        <v>746</v>
      </c>
      <c r="K1556" s="80" t="s">
        <v>517</v>
      </c>
      <c r="L1556" t="s">
        <v>183</v>
      </c>
      <c r="M1556" t="s">
        <v>162</v>
      </c>
      <c r="N1556" t="str">
        <f t="shared" si="160"/>
        <v>Double FrontRenaissance Decorator Rod Cord DrawnBelow Normal 2075Double Face Fix Brackets</v>
      </c>
      <c r="O1556">
        <v>70</v>
      </c>
      <c r="P1556">
        <v>72</v>
      </c>
      <c r="Q1556" s="80">
        <v>0</v>
      </c>
      <c r="R1556" s="80">
        <f t="shared" si="159"/>
        <v>2</v>
      </c>
      <c r="AD1556"/>
    </row>
    <row r="1557" spans="10:30" ht="16.2" customHeight="1">
      <c r="J1557" s="80" t="s">
        <v>747</v>
      </c>
      <c r="K1557" s="80" t="s">
        <v>517</v>
      </c>
      <c r="L1557" t="s">
        <v>183</v>
      </c>
      <c r="M1557" t="s">
        <v>162</v>
      </c>
      <c r="N1557" t="str">
        <f t="shared" si="160"/>
        <v>Double RearRenaissance Decorator Rod Cord DrawnBelow Normal 2075Double Face Fix Brackets</v>
      </c>
      <c r="O1557">
        <v>70</v>
      </c>
      <c r="P1557">
        <v>72</v>
      </c>
      <c r="Q1557" s="80">
        <v>0</v>
      </c>
      <c r="R1557" s="80">
        <f t="shared" si="159"/>
        <v>2</v>
      </c>
      <c r="AD1557"/>
    </row>
    <row r="1558" spans="10:30" ht="16.2" customHeight="1">
      <c r="J1558" s="80" t="s">
        <v>725</v>
      </c>
      <c r="K1558" s="80" t="s">
        <v>517</v>
      </c>
      <c r="L1558" t="s">
        <v>183</v>
      </c>
      <c r="M1558" t="s">
        <v>162</v>
      </c>
      <c r="N1558" t="str">
        <f t="shared" si="160"/>
        <v>SingleRenaissance Decorator Rod Cord DrawnBelow Normal 2075Double Face Fix Brackets</v>
      </c>
      <c r="O1558">
        <v>70</v>
      </c>
      <c r="P1558">
        <v>72</v>
      </c>
      <c r="Q1558" s="80">
        <v>0</v>
      </c>
      <c r="R1558" s="80">
        <f t="shared" si="159"/>
        <v>2</v>
      </c>
      <c r="AD1558"/>
    </row>
    <row r="1559" spans="10:30" ht="16.2" customHeight="1">
      <c r="J1559" s="80" t="s">
        <v>746</v>
      </c>
      <c r="K1559" s="80" t="s">
        <v>517</v>
      </c>
      <c r="L1559" t="s">
        <v>182</v>
      </c>
      <c r="M1559" t="s">
        <v>162</v>
      </c>
      <c r="N1559" t="str">
        <f t="shared" si="160"/>
        <v>Double FrontRenaissance Decorator Rod Cord DrawnBetween Level and Normal 2073Double Face Fix Brackets</v>
      </c>
      <c r="O1559">
        <v>48</v>
      </c>
      <c r="P1559">
        <v>72</v>
      </c>
      <c r="Q1559" s="80">
        <v>0</v>
      </c>
      <c r="R1559" s="80">
        <f t="shared" si="159"/>
        <v>24</v>
      </c>
      <c r="AD1559"/>
    </row>
    <row r="1560" spans="10:30" ht="16.2" customHeight="1">
      <c r="J1560" s="80" t="s">
        <v>747</v>
      </c>
      <c r="K1560" s="80" t="s">
        <v>517</v>
      </c>
      <c r="L1560" t="s">
        <v>182</v>
      </c>
      <c r="M1560" t="s">
        <v>162</v>
      </c>
      <c r="N1560" t="str">
        <f t="shared" si="160"/>
        <v>Double RearRenaissance Decorator Rod Cord DrawnBetween Level and Normal 2073Double Face Fix Brackets</v>
      </c>
      <c r="O1560">
        <v>48</v>
      </c>
      <c r="P1560">
        <v>72</v>
      </c>
      <c r="Q1560" s="80">
        <v>0</v>
      </c>
      <c r="R1560" s="80">
        <f t="shared" si="159"/>
        <v>24</v>
      </c>
      <c r="AD1560"/>
    </row>
    <row r="1561" spans="10:30" ht="16.2" customHeight="1">
      <c r="J1561" s="80" t="s">
        <v>725</v>
      </c>
      <c r="K1561" s="80" t="s">
        <v>517</v>
      </c>
      <c r="L1561" t="s">
        <v>182</v>
      </c>
      <c r="M1561" t="s">
        <v>162</v>
      </c>
      <c r="N1561" t="str">
        <f t="shared" si="160"/>
        <v>SingleRenaissance Decorator Rod Cord DrawnBetween Level and Normal 2073Double Face Fix Brackets</v>
      </c>
      <c r="O1561">
        <v>47</v>
      </c>
      <c r="P1561">
        <v>72</v>
      </c>
      <c r="Q1561" s="80">
        <v>0</v>
      </c>
      <c r="R1561" s="80">
        <f t="shared" si="159"/>
        <v>25</v>
      </c>
      <c r="AD1561"/>
    </row>
    <row r="1562" spans="10:30" ht="16.2" customHeight="1">
      <c r="J1562" s="80" t="s">
        <v>746</v>
      </c>
      <c r="K1562" s="80" t="s">
        <v>517</v>
      </c>
      <c r="L1562" t="s">
        <v>184</v>
      </c>
      <c r="M1562" t="s">
        <v>162</v>
      </c>
      <c r="N1562" t="str">
        <f t="shared" si="160"/>
        <v>Double FrontRenaissance Decorator Rod Cord DrawnDecorator 2071Double Face Fix Brackets</v>
      </c>
      <c r="O1562">
        <v>20</v>
      </c>
      <c r="P1562">
        <v>72</v>
      </c>
      <c r="Q1562" s="80">
        <v>0</v>
      </c>
      <c r="R1562" s="80">
        <f t="shared" si="159"/>
        <v>52</v>
      </c>
      <c r="AD1562"/>
    </row>
    <row r="1563" spans="10:30" ht="16.2" customHeight="1">
      <c r="J1563" s="80" t="s">
        <v>747</v>
      </c>
      <c r="K1563" s="80" t="s">
        <v>517</v>
      </c>
      <c r="L1563" t="s">
        <v>184</v>
      </c>
      <c r="M1563" t="s">
        <v>162</v>
      </c>
      <c r="N1563" t="str">
        <f t="shared" si="160"/>
        <v>Double RearRenaissance Decorator Rod Cord DrawnDecorator 2071Double Face Fix Brackets</v>
      </c>
      <c r="O1563">
        <v>20</v>
      </c>
      <c r="P1563">
        <v>72</v>
      </c>
      <c r="Q1563" s="80">
        <v>0</v>
      </c>
      <c r="R1563" s="80">
        <f t="shared" si="159"/>
        <v>52</v>
      </c>
      <c r="AD1563"/>
    </row>
    <row r="1564" spans="10:30" ht="16.2" customHeight="1">
      <c r="J1564" s="80" t="s">
        <v>725</v>
      </c>
      <c r="K1564" s="80" t="s">
        <v>517</v>
      </c>
      <c r="L1564" t="s">
        <v>184</v>
      </c>
      <c r="M1564" t="s">
        <v>162</v>
      </c>
      <c r="N1564" t="str">
        <f t="shared" si="160"/>
        <v>SingleRenaissance Decorator Rod Cord DrawnDecorator 2071Double Face Fix Brackets</v>
      </c>
      <c r="O1564">
        <v>20</v>
      </c>
      <c r="P1564">
        <v>72</v>
      </c>
      <c r="Q1564" s="80">
        <v>0</v>
      </c>
      <c r="R1564" s="80">
        <f t="shared" si="159"/>
        <v>52</v>
      </c>
      <c r="AD1564"/>
    </row>
    <row r="1565" spans="10:30" ht="16.2" customHeight="1">
      <c r="J1565" s="80" t="s">
        <v>746</v>
      </c>
      <c r="K1565" s="80" t="s">
        <v>517</v>
      </c>
      <c r="L1565" t="s">
        <v>6468</v>
      </c>
      <c r="M1565" t="s">
        <v>162</v>
      </c>
      <c r="N1565" t="str">
        <f t="shared" si="160"/>
        <v>Double FrontRenaissance Decorator Rod Cord DrawnGather Hook Bottom PocketDouble Face Fix Brackets</v>
      </c>
      <c r="O1565">
        <v>60</v>
      </c>
      <c r="P1565">
        <v>72</v>
      </c>
      <c r="Q1565" s="80">
        <v>0</v>
      </c>
      <c r="R1565" s="80">
        <f t="shared" si="159"/>
        <v>12</v>
      </c>
      <c r="AD1565"/>
    </row>
    <row r="1566" spans="10:30" ht="16.2" customHeight="1">
      <c r="J1566" s="80" t="s">
        <v>725</v>
      </c>
      <c r="K1566" s="80" t="s">
        <v>517</v>
      </c>
      <c r="L1566" t="s">
        <v>6468</v>
      </c>
      <c r="M1566" t="s">
        <v>162</v>
      </c>
      <c r="N1566" t="str">
        <f t="shared" si="160"/>
        <v>SingleRenaissance Decorator Rod Cord DrawnGather Hook Bottom PocketDouble Face Fix Brackets</v>
      </c>
      <c r="O1566">
        <v>60</v>
      </c>
      <c r="P1566">
        <v>72</v>
      </c>
      <c r="Q1566" s="80">
        <v>0</v>
      </c>
      <c r="R1566" s="80">
        <f t="shared" si="159"/>
        <v>12</v>
      </c>
      <c r="AD1566"/>
    </row>
    <row r="1567" spans="10:30" ht="16.2" customHeight="1">
      <c r="J1567" s="80" t="s">
        <v>746</v>
      </c>
      <c r="K1567" s="80" t="s">
        <v>517</v>
      </c>
      <c r="L1567" t="s">
        <v>229</v>
      </c>
      <c r="M1567" t="s">
        <v>162</v>
      </c>
      <c r="N1567" t="str">
        <f t="shared" si="160"/>
        <v>Double FrontRenaissance Decorator Rod Cord DrawnGather Hook LevelDouble Face Fix Brackets</v>
      </c>
      <c r="O1567">
        <v>20</v>
      </c>
      <c r="P1567">
        <v>72</v>
      </c>
      <c r="Q1567" s="80">
        <v>0</v>
      </c>
      <c r="R1567" s="80">
        <f t="shared" si="161" ref="R1567:R1630">SUM(P1567)-O1567</f>
        <v>52</v>
      </c>
      <c r="AD1567"/>
    </row>
    <row r="1568" spans="10:30" ht="16.2" customHeight="1">
      <c r="J1568" s="80" t="s">
        <v>747</v>
      </c>
      <c r="K1568" s="80" t="s">
        <v>517</v>
      </c>
      <c r="L1568" t="s">
        <v>229</v>
      </c>
      <c r="M1568" t="s">
        <v>162</v>
      </c>
      <c r="N1568" t="str">
        <f t="shared" si="160"/>
        <v>Double RearRenaissance Decorator Rod Cord DrawnGather Hook LevelDouble Face Fix Brackets</v>
      </c>
      <c r="O1568">
        <v>20</v>
      </c>
      <c r="P1568">
        <v>72</v>
      </c>
      <c r="Q1568" s="80">
        <v>0</v>
      </c>
      <c r="R1568" s="80">
        <f t="shared" si="161"/>
        <v>52</v>
      </c>
      <c r="AD1568"/>
    </row>
    <row r="1569" spans="10:30" ht="16.2" customHeight="1">
      <c r="J1569" s="80" t="s">
        <v>725</v>
      </c>
      <c r="K1569" s="80" t="s">
        <v>517</v>
      </c>
      <c r="L1569" t="s">
        <v>229</v>
      </c>
      <c r="M1569" t="s">
        <v>162</v>
      </c>
      <c r="N1569" t="str">
        <f t="shared" si="160"/>
        <v>SingleRenaissance Decorator Rod Cord DrawnGather Hook LevelDouble Face Fix Brackets</v>
      </c>
      <c r="O1569">
        <v>20</v>
      </c>
      <c r="P1569">
        <v>72</v>
      </c>
      <c r="Q1569" s="80">
        <v>0</v>
      </c>
      <c r="R1569" s="80">
        <f t="shared" si="161"/>
        <v>52</v>
      </c>
      <c r="AD1569"/>
    </row>
    <row r="1570" spans="10:30" ht="16.2" customHeight="1">
      <c r="J1570" s="80" t="s">
        <v>746</v>
      </c>
      <c r="K1570" s="80" t="s">
        <v>517</v>
      </c>
      <c r="L1570" t="s">
        <v>228</v>
      </c>
      <c r="M1570" t="s">
        <v>162</v>
      </c>
      <c r="N1570" t="str">
        <f t="shared" si="160"/>
        <v>Double FrontRenaissance Decorator Rod Cord DrawnGather Hook NormalDouble Face Fix Brackets</v>
      </c>
      <c r="O1570">
        <v>43</v>
      </c>
      <c r="P1570">
        <v>72</v>
      </c>
      <c r="Q1570" s="80">
        <v>0</v>
      </c>
      <c r="R1570" s="80">
        <f t="shared" si="161"/>
        <v>29</v>
      </c>
      <c r="AD1570"/>
    </row>
    <row r="1571" spans="10:30" ht="16.2" customHeight="1">
      <c r="J1571" s="80" t="s">
        <v>747</v>
      </c>
      <c r="K1571" s="80" t="s">
        <v>517</v>
      </c>
      <c r="L1571" t="s">
        <v>228</v>
      </c>
      <c r="M1571" t="s">
        <v>162</v>
      </c>
      <c r="N1571" t="str">
        <f t="shared" si="160"/>
        <v>Double RearRenaissance Decorator Rod Cord DrawnGather Hook NormalDouble Face Fix Brackets</v>
      </c>
      <c r="O1571">
        <v>43</v>
      </c>
      <c r="P1571">
        <v>72</v>
      </c>
      <c r="Q1571" s="80">
        <v>0</v>
      </c>
      <c r="R1571" s="80">
        <f t="shared" si="161"/>
        <v>29</v>
      </c>
      <c r="AD1571"/>
    </row>
    <row r="1572" spans="10:30" ht="16.2" customHeight="1">
      <c r="J1572" s="80" t="s">
        <v>725</v>
      </c>
      <c r="K1572" s="80" t="s">
        <v>517</v>
      </c>
      <c r="L1572" t="s">
        <v>228</v>
      </c>
      <c r="M1572" t="s">
        <v>162</v>
      </c>
      <c r="N1572" t="str">
        <f t="shared" si="160"/>
        <v>SingleRenaissance Decorator Rod Cord DrawnGather Hook NormalDouble Face Fix Brackets</v>
      </c>
      <c r="O1572">
        <v>43</v>
      </c>
      <c r="P1572">
        <v>72</v>
      </c>
      <c r="Q1572" s="80">
        <v>0</v>
      </c>
      <c r="R1572" s="80">
        <f t="shared" si="161"/>
        <v>29</v>
      </c>
      <c r="AD1572"/>
    </row>
    <row r="1573" spans="10:30" ht="16.2" customHeight="1">
      <c r="J1573" s="80" t="s">
        <v>746</v>
      </c>
      <c r="K1573" s="80" t="s">
        <v>517</v>
      </c>
      <c r="L1573" t="s">
        <v>282</v>
      </c>
      <c r="M1573" t="s">
        <v>162</v>
      </c>
      <c r="N1573" t="str">
        <f t="shared" si="160"/>
        <v>Double FrontRenaissance Decorator Rod Cord DrawnLevel 2072Double Face Fix Brackets</v>
      </c>
      <c r="O1573">
        <v>38</v>
      </c>
      <c r="P1573">
        <v>72</v>
      </c>
      <c r="Q1573" s="80">
        <v>0</v>
      </c>
      <c r="R1573" s="80">
        <f t="shared" si="161"/>
        <v>34</v>
      </c>
      <c r="AD1573"/>
    </row>
    <row r="1574" spans="10:30" ht="16.2" customHeight="1">
      <c r="J1574" s="80" t="s">
        <v>747</v>
      </c>
      <c r="K1574" s="80" t="s">
        <v>517</v>
      </c>
      <c r="L1574" t="s">
        <v>282</v>
      </c>
      <c r="M1574" t="s">
        <v>162</v>
      </c>
      <c r="N1574" t="str">
        <f t="shared" si="160"/>
        <v>Double RearRenaissance Decorator Rod Cord DrawnLevel 2072Double Face Fix Brackets</v>
      </c>
      <c r="O1574">
        <v>38</v>
      </c>
      <c r="P1574">
        <v>72</v>
      </c>
      <c r="Q1574" s="80">
        <v>0</v>
      </c>
      <c r="R1574" s="80">
        <f t="shared" si="161"/>
        <v>34</v>
      </c>
      <c r="AD1574"/>
    </row>
    <row r="1575" spans="10:30" ht="16.2" customHeight="1">
      <c r="J1575" s="80" t="s">
        <v>725</v>
      </c>
      <c r="K1575" s="80" t="s">
        <v>517</v>
      </c>
      <c r="L1575" t="s">
        <v>282</v>
      </c>
      <c r="M1575" t="s">
        <v>162</v>
      </c>
      <c r="N1575" t="str">
        <f t="shared" si="160"/>
        <v>SingleRenaissance Decorator Rod Cord DrawnLevel 2072Double Face Fix Brackets</v>
      </c>
      <c r="O1575">
        <v>35</v>
      </c>
      <c r="P1575">
        <v>72</v>
      </c>
      <c r="Q1575" s="80">
        <v>0</v>
      </c>
      <c r="R1575" s="80">
        <f t="shared" si="161"/>
        <v>37</v>
      </c>
      <c r="AD1575"/>
    </row>
    <row r="1576" spans="10:30" ht="16.2" customHeight="1">
      <c r="J1576" s="80" t="s">
        <v>746</v>
      </c>
      <c r="K1576" s="80" t="s">
        <v>517</v>
      </c>
      <c r="L1576" t="s">
        <v>170</v>
      </c>
      <c r="M1576" t="s">
        <v>162</v>
      </c>
      <c r="N1576" t="str">
        <f t="shared" si="160"/>
        <v>Double FrontRenaissance Decorator Rod Cord DrawnNormal 2074Double Face Fix Brackets</v>
      </c>
      <c r="O1576">
        <v>60</v>
      </c>
      <c r="P1576">
        <v>72</v>
      </c>
      <c r="Q1576" s="80">
        <v>0</v>
      </c>
      <c r="R1576" s="80">
        <f t="shared" si="161"/>
        <v>12</v>
      </c>
      <c r="AD1576"/>
    </row>
    <row r="1577" spans="10:30" ht="16.2" customHeight="1">
      <c r="J1577" s="80" t="s">
        <v>747</v>
      </c>
      <c r="K1577" s="80" t="s">
        <v>517</v>
      </c>
      <c r="L1577" t="s">
        <v>170</v>
      </c>
      <c r="M1577" t="s">
        <v>162</v>
      </c>
      <c r="N1577" t="str">
        <f t="shared" si="160"/>
        <v>Double RearRenaissance Decorator Rod Cord DrawnNormal 2074Double Face Fix Brackets</v>
      </c>
      <c r="O1577">
        <v>60</v>
      </c>
      <c r="P1577">
        <v>72</v>
      </c>
      <c r="Q1577" s="80">
        <v>0</v>
      </c>
      <c r="R1577" s="80">
        <f t="shared" si="161"/>
        <v>12</v>
      </c>
      <c r="AD1577"/>
    </row>
    <row r="1578" spans="10:30" ht="16.2" customHeight="1">
      <c r="J1578" s="80" t="s">
        <v>725</v>
      </c>
      <c r="K1578" s="80" t="s">
        <v>517</v>
      </c>
      <c r="L1578" t="s">
        <v>170</v>
      </c>
      <c r="M1578" t="s">
        <v>162</v>
      </c>
      <c r="N1578" t="str">
        <f t="shared" si="160"/>
        <v>SingleRenaissance Decorator Rod Cord DrawnNormal 2074Double Face Fix Brackets</v>
      </c>
      <c r="O1578">
        <v>60</v>
      </c>
      <c r="P1578">
        <v>72</v>
      </c>
      <c r="Q1578" s="80">
        <v>0</v>
      </c>
      <c r="R1578" s="80">
        <f t="shared" si="161"/>
        <v>12</v>
      </c>
      <c r="AD1578"/>
    </row>
    <row r="1579" spans="10:30" ht="16.2" customHeight="1">
      <c r="J1579" s="80" t="s">
        <v>746</v>
      </c>
      <c r="K1579" s="80" t="s">
        <v>517</v>
      </c>
      <c r="L1579" t="s">
        <v>183</v>
      </c>
      <c r="M1579" t="s">
        <v>159</v>
      </c>
      <c r="N1579" t="str">
        <f t="shared" si="160"/>
        <v>Double FrontRenaissance Decorator Rod Cord DrawnBelow Normal 2075Single Face Fix Brackets</v>
      </c>
      <c r="O1579">
        <v>70</v>
      </c>
      <c r="P1579">
        <v>72</v>
      </c>
      <c r="Q1579" s="80">
        <v>0</v>
      </c>
      <c r="R1579" s="80">
        <f t="shared" si="161"/>
        <v>2</v>
      </c>
      <c r="AD1579"/>
    </row>
    <row r="1580" spans="10:30" ht="16.2" customHeight="1">
      <c r="J1580" s="80" t="s">
        <v>747</v>
      </c>
      <c r="K1580" s="80" t="s">
        <v>517</v>
      </c>
      <c r="L1580" t="s">
        <v>183</v>
      </c>
      <c r="M1580" t="s">
        <v>159</v>
      </c>
      <c r="N1580" t="str">
        <f t="shared" si="160"/>
        <v>Double RearRenaissance Decorator Rod Cord DrawnBelow Normal 2075Single Face Fix Brackets</v>
      </c>
      <c r="O1580">
        <v>70</v>
      </c>
      <c r="P1580">
        <v>72</v>
      </c>
      <c r="Q1580" s="80">
        <v>0</v>
      </c>
      <c r="R1580" s="80">
        <f t="shared" si="161"/>
        <v>2</v>
      </c>
      <c r="AD1580"/>
    </row>
    <row r="1581" spans="10:30" ht="16.2" customHeight="1">
      <c r="J1581" s="80" t="s">
        <v>725</v>
      </c>
      <c r="K1581" s="80" t="s">
        <v>517</v>
      </c>
      <c r="L1581" t="s">
        <v>183</v>
      </c>
      <c r="M1581" t="s">
        <v>159</v>
      </c>
      <c r="N1581" t="str">
        <f t="shared" si="160"/>
        <v>SingleRenaissance Decorator Rod Cord DrawnBelow Normal 2075Single Face Fix Brackets</v>
      </c>
      <c r="O1581">
        <v>70</v>
      </c>
      <c r="P1581">
        <v>72</v>
      </c>
      <c r="Q1581" s="80">
        <v>0</v>
      </c>
      <c r="R1581" s="80">
        <f t="shared" si="161"/>
        <v>2</v>
      </c>
      <c r="AD1581"/>
    </row>
    <row r="1582" spans="10:30" ht="16.2" customHeight="1">
      <c r="J1582" s="80" t="s">
        <v>746</v>
      </c>
      <c r="K1582" s="80" t="s">
        <v>517</v>
      </c>
      <c r="L1582" t="s">
        <v>182</v>
      </c>
      <c r="M1582" t="s">
        <v>159</v>
      </c>
      <c r="N1582" t="str">
        <f t="shared" si="160"/>
        <v>Double FrontRenaissance Decorator Rod Cord DrawnBetween Level and Normal 2073Single Face Fix Brackets</v>
      </c>
      <c r="O1582">
        <v>48</v>
      </c>
      <c r="P1582">
        <v>72</v>
      </c>
      <c r="Q1582" s="80">
        <v>0</v>
      </c>
      <c r="R1582" s="80">
        <f t="shared" si="161"/>
        <v>24</v>
      </c>
      <c r="AD1582"/>
    </row>
    <row r="1583" spans="10:30" ht="16.2" customHeight="1">
      <c r="J1583" s="80" t="s">
        <v>747</v>
      </c>
      <c r="K1583" s="80" t="s">
        <v>517</v>
      </c>
      <c r="L1583" t="s">
        <v>182</v>
      </c>
      <c r="M1583" t="s">
        <v>159</v>
      </c>
      <c r="N1583" t="str">
        <f t="shared" si="160"/>
        <v>Double RearRenaissance Decorator Rod Cord DrawnBetween Level and Normal 2073Single Face Fix Brackets</v>
      </c>
      <c r="O1583">
        <v>48</v>
      </c>
      <c r="P1583">
        <v>72</v>
      </c>
      <c r="Q1583" s="80">
        <v>0</v>
      </c>
      <c r="R1583" s="80">
        <f t="shared" si="161"/>
        <v>24</v>
      </c>
      <c r="AD1583"/>
    </row>
    <row r="1584" spans="10:30" ht="16.2" customHeight="1">
      <c r="J1584" s="80" t="s">
        <v>725</v>
      </c>
      <c r="K1584" s="80" t="s">
        <v>517</v>
      </c>
      <c r="L1584" t="s">
        <v>182</v>
      </c>
      <c r="M1584" t="s">
        <v>159</v>
      </c>
      <c r="N1584" t="str">
        <f t="shared" si="160"/>
        <v>SingleRenaissance Decorator Rod Cord DrawnBetween Level and Normal 2073Single Face Fix Brackets</v>
      </c>
      <c r="O1584">
        <v>47</v>
      </c>
      <c r="P1584">
        <v>72</v>
      </c>
      <c r="Q1584" s="80">
        <v>0</v>
      </c>
      <c r="R1584" s="80">
        <f t="shared" si="161"/>
        <v>25</v>
      </c>
      <c r="AD1584"/>
    </row>
    <row r="1585" spans="10:30" ht="16.2" customHeight="1">
      <c r="J1585" s="80" t="s">
        <v>746</v>
      </c>
      <c r="K1585" s="80" t="s">
        <v>517</v>
      </c>
      <c r="L1585" t="s">
        <v>184</v>
      </c>
      <c r="M1585" t="s">
        <v>159</v>
      </c>
      <c r="N1585" t="str">
        <f t="shared" si="160"/>
        <v>Double FrontRenaissance Decorator Rod Cord DrawnDecorator 2071Single Face Fix Brackets</v>
      </c>
      <c r="O1585">
        <v>20</v>
      </c>
      <c r="P1585">
        <v>72</v>
      </c>
      <c r="Q1585" s="80">
        <v>0</v>
      </c>
      <c r="R1585" s="80">
        <f t="shared" si="161"/>
        <v>52</v>
      </c>
      <c r="AD1585"/>
    </row>
    <row r="1586" spans="10:30" ht="16.2" customHeight="1">
      <c r="J1586" s="80" t="s">
        <v>747</v>
      </c>
      <c r="K1586" s="80" t="s">
        <v>517</v>
      </c>
      <c r="L1586" t="s">
        <v>184</v>
      </c>
      <c r="M1586" t="s">
        <v>159</v>
      </c>
      <c r="N1586" t="str">
        <f t="shared" si="160"/>
        <v>Double RearRenaissance Decorator Rod Cord DrawnDecorator 2071Single Face Fix Brackets</v>
      </c>
      <c r="O1586">
        <v>20</v>
      </c>
      <c r="P1586">
        <v>72</v>
      </c>
      <c r="Q1586" s="80">
        <v>0</v>
      </c>
      <c r="R1586" s="80">
        <f t="shared" si="161"/>
        <v>52</v>
      </c>
      <c r="AD1586"/>
    </row>
    <row r="1587" spans="10:30" ht="16.2" customHeight="1">
      <c r="J1587" s="80" t="s">
        <v>725</v>
      </c>
      <c r="K1587" s="80" t="s">
        <v>517</v>
      </c>
      <c r="L1587" t="s">
        <v>184</v>
      </c>
      <c r="M1587" t="s">
        <v>159</v>
      </c>
      <c r="N1587" t="str">
        <f t="shared" si="160"/>
        <v>SingleRenaissance Decorator Rod Cord DrawnDecorator 2071Single Face Fix Brackets</v>
      </c>
      <c r="O1587">
        <v>20</v>
      </c>
      <c r="P1587">
        <v>72</v>
      </c>
      <c r="Q1587" s="80">
        <v>0</v>
      </c>
      <c r="R1587" s="80">
        <f t="shared" si="161"/>
        <v>52</v>
      </c>
      <c r="AD1587"/>
    </row>
    <row r="1588" spans="10:30" ht="16.2" customHeight="1">
      <c r="J1588" s="80" t="s">
        <v>746</v>
      </c>
      <c r="K1588" s="80" t="s">
        <v>517</v>
      </c>
      <c r="L1588" t="s">
        <v>6468</v>
      </c>
      <c r="M1588" t="s">
        <v>159</v>
      </c>
      <c r="N1588" t="str">
        <f t="shared" si="160"/>
        <v>Double FrontRenaissance Decorator Rod Cord DrawnGather Hook Bottom PocketSingle Face Fix Brackets</v>
      </c>
      <c r="O1588">
        <v>60</v>
      </c>
      <c r="P1588">
        <v>72</v>
      </c>
      <c r="Q1588" s="80">
        <v>0</v>
      </c>
      <c r="R1588" s="80">
        <f t="shared" si="161"/>
        <v>12</v>
      </c>
      <c r="AD1588"/>
    </row>
    <row r="1589" spans="10:30" ht="16.2" customHeight="1">
      <c r="J1589" s="80" t="s">
        <v>725</v>
      </c>
      <c r="K1589" s="80" t="s">
        <v>517</v>
      </c>
      <c r="L1589" t="s">
        <v>6468</v>
      </c>
      <c r="M1589" t="s">
        <v>159</v>
      </c>
      <c r="N1589" t="str">
        <f t="shared" si="160"/>
        <v>SingleRenaissance Decorator Rod Cord DrawnGather Hook Bottom PocketSingle Face Fix Brackets</v>
      </c>
      <c r="O1589">
        <v>60</v>
      </c>
      <c r="P1589">
        <v>72</v>
      </c>
      <c r="Q1589" s="80">
        <v>0</v>
      </c>
      <c r="R1589" s="80">
        <f t="shared" si="161"/>
        <v>12</v>
      </c>
      <c r="AD1589"/>
    </row>
    <row r="1590" spans="10:30" ht="16.2" customHeight="1">
      <c r="J1590" s="80" t="s">
        <v>746</v>
      </c>
      <c r="K1590" s="80" t="s">
        <v>517</v>
      </c>
      <c r="L1590" t="s">
        <v>229</v>
      </c>
      <c r="M1590" t="s">
        <v>159</v>
      </c>
      <c r="N1590" t="str">
        <f t="shared" si="160"/>
        <v>Double FrontRenaissance Decorator Rod Cord DrawnGather Hook LevelSingle Face Fix Brackets</v>
      </c>
      <c r="O1590">
        <v>20</v>
      </c>
      <c r="P1590">
        <v>72</v>
      </c>
      <c r="Q1590" s="80">
        <v>0</v>
      </c>
      <c r="R1590" s="80">
        <f t="shared" si="161"/>
        <v>52</v>
      </c>
      <c r="AD1590"/>
    </row>
    <row r="1591" spans="10:30" ht="16.2" customHeight="1">
      <c r="J1591" s="80" t="s">
        <v>747</v>
      </c>
      <c r="K1591" s="80" t="s">
        <v>517</v>
      </c>
      <c r="L1591" t="s">
        <v>229</v>
      </c>
      <c r="M1591" t="s">
        <v>159</v>
      </c>
      <c r="N1591" t="str">
        <f t="shared" si="160"/>
        <v>Double RearRenaissance Decorator Rod Cord DrawnGather Hook LevelSingle Face Fix Brackets</v>
      </c>
      <c r="O1591">
        <v>20</v>
      </c>
      <c r="P1591">
        <v>72</v>
      </c>
      <c r="Q1591" s="80">
        <v>0</v>
      </c>
      <c r="R1591" s="80">
        <f t="shared" si="161"/>
        <v>52</v>
      </c>
      <c r="AD1591"/>
    </row>
    <row r="1592" spans="10:30" ht="16.2" customHeight="1">
      <c r="J1592" s="80" t="s">
        <v>725</v>
      </c>
      <c r="K1592" s="80" t="s">
        <v>517</v>
      </c>
      <c r="L1592" t="s">
        <v>229</v>
      </c>
      <c r="M1592" t="s">
        <v>159</v>
      </c>
      <c r="N1592" t="str">
        <f t="shared" si="160"/>
        <v>SingleRenaissance Decorator Rod Cord DrawnGather Hook LevelSingle Face Fix Brackets</v>
      </c>
      <c r="O1592">
        <v>20</v>
      </c>
      <c r="P1592">
        <v>72</v>
      </c>
      <c r="Q1592" s="80">
        <v>0</v>
      </c>
      <c r="R1592" s="80">
        <f t="shared" si="161"/>
        <v>52</v>
      </c>
      <c r="AD1592"/>
    </row>
    <row r="1593" spans="10:30" ht="16.2" customHeight="1">
      <c r="J1593" s="80" t="s">
        <v>746</v>
      </c>
      <c r="K1593" s="80" t="s">
        <v>517</v>
      </c>
      <c r="L1593" t="s">
        <v>228</v>
      </c>
      <c r="M1593" t="s">
        <v>159</v>
      </c>
      <c r="N1593" t="str">
        <f t="shared" si="160"/>
        <v>Double FrontRenaissance Decorator Rod Cord DrawnGather Hook NormalSingle Face Fix Brackets</v>
      </c>
      <c r="O1593">
        <v>43</v>
      </c>
      <c r="P1593">
        <v>72</v>
      </c>
      <c r="Q1593" s="80">
        <v>0</v>
      </c>
      <c r="R1593" s="80">
        <f t="shared" si="161"/>
        <v>29</v>
      </c>
      <c r="AD1593"/>
    </row>
    <row r="1594" spans="10:30" ht="16.2" customHeight="1">
      <c r="J1594" s="80" t="s">
        <v>747</v>
      </c>
      <c r="K1594" s="80" t="s">
        <v>517</v>
      </c>
      <c r="L1594" t="s">
        <v>228</v>
      </c>
      <c r="M1594" t="s">
        <v>159</v>
      </c>
      <c r="N1594" t="str">
        <f t="shared" si="160"/>
        <v>Double RearRenaissance Decorator Rod Cord DrawnGather Hook NormalSingle Face Fix Brackets</v>
      </c>
      <c r="O1594">
        <v>43</v>
      </c>
      <c r="P1594">
        <v>72</v>
      </c>
      <c r="Q1594" s="80">
        <v>0</v>
      </c>
      <c r="R1594" s="80">
        <f t="shared" si="161"/>
        <v>29</v>
      </c>
      <c r="AD1594"/>
    </row>
    <row r="1595" spans="10:30" ht="16.2" customHeight="1">
      <c r="J1595" s="80" t="s">
        <v>725</v>
      </c>
      <c r="K1595" s="80" t="s">
        <v>517</v>
      </c>
      <c r="L1595" t="s">
        <v>228</v>
      </c>
      <c r="M1595" t="s">
        <v>159</v>
      </c>
      <c r="N1595" t="str">
        <f t="shared" si="160"/>
        <v>SingleRenaissance Decorator Rod Cord DrawnGather Hook NormalSingle Face Fix Brackets</v>
      </c>
      <c r="O1595">
        <v>43</v>
      </c>
      <c r="P1595">
        <v>72</v>
      </c>
      <c r="Q1595" s="80">
        <v>0</v>
      </c>
      <c r="R1595" s="80">
        <f t="shared" si="161"/>
        <v>29</v>
      </c>
      <c r="AD1595"/>
    </row>
    <row r="1596" spans="10:30" ht="16.2" customHeight="1">
      <c r="J1596" s="80" t="s">
        <v>746</v>
      </c>
      <c r="K1596" s="80" t="s">
        <v>517</v>
      </c>
      <c r="L1596" t="s">
        <v>282</v>
      </c>
      <c r="M1596" t="s">
        <v>159</v>
      </c>
      <c r="N1596" t="str">
        <f t="shared" si="160"/>
        <v>Double FrontRenaissance Decorator Rod Cord DrawnLevel 2072Single Face Fix Brackets</v>
      </c>
      <c r="O1596">
        <v>38</v>
      </c>
      <c r="P1596">
        <v>72</v>
      </c>
      <c r="Q1596" s="80">
        <v>0</v>
      </c>
      <c r="R1596" s="80">
        <f t="shared" si="161"/>
        <v>34</v>
      </c>
      <c r="AD1596"/>
    </row>
    <row r="1597" spans="10:30" ht="16.2" customHeight="1">
      <c r="J1597" s="80" t="s">
        <v>747</v>
      </c>
      <c r="K1597" s="80" t="s">
        <v>517</v>
      </c>
      <c r="L1597" t="s">
        <v>282</v>
      </c>
      <c r="M1597" t="s">
        <v>159</v>
      </c>
      <c r="N1597" t="str">
        <f t="shared" si="160"/>
        <v>Double RearRenaissance Decorator Rod Cord DrawnLevel 2072Single Face Fix Brackets</v>
      </c>
      <c r="O1597">
        <v>38</v>
      </c>
      <c r="P1597">
        <v>72</v>
      </c>
      <c r="Q1597" s="80">
        <v>0</v>
      </c>
      <c r="R1597" s="80">
        <f t="shared" si="161"/>
        <v>34</v>
      </c>
      <c r="AD1597"/>
    </row>
    <row r="1598" spans="10:30" ht="16.2" customHeight="1">
      <c r="J1598" s="80" t="s">
        <v>725</v>
      </c>
      <c r="K1598" s="80" t="s">
        <v>517</v>
      </c>
      <c r="L1598" t="s">
        <v>282</v>
      </c>
      <c r="M1598" t="s">
        <v>159</v>
      </c>
      <c r="N1598" t="str">
        <f t="shared" si="160"/>
        <v>SingleRenaissance Decorator Rod Cord DrawnLevel 2072Single Face Fix Brackets</v>
      </c>
      <c r="O1598">
        <v>35</v>
      </c>
      <c r="P1598">
        <v>72</v>
      </c>
      <c r="Q1598" s="80">
        <v>0</v>
      </c>
      <c r="R1598" s="80">
        <f t="shared" si="161"/>
        <v>37</v>
      </c>
      <c r="AD1598"/>
    </row>
    <row r="1599" spans="10:30" ht="16.2" customHeight="1">
      <c r="J1599" s="80" t="s">
        <v>746</v>
      </c>
      <c r="K1599" s="80" t="s">
        <v>517</v>
      </c>
      <c r="L1599" t="s">
        <v>170</v>
      </c>
      <c r="M1599" t="s">
        <v>159</v>
      </c>
      <c r="N1599" t="str">
        <f t="shared" si="160"/>
        <v>Double FrontRenaissance Decorator Rod Cord DrawnNormal 2074Single Face Fix Brackets</v>
      </c>
      <c r="O1599">
        <v>60</v>
      </c>
      <c r="P1599">
        <v>72</v>
      </c>
      <c r="Q1599" s="80">
        <v>0</v>
      </c>
      <c r="R1599" s="80">
        <f t="shared" si="161"/>
        <v>12</v>
      </c>
      <c r="AD1599"/>
    </row>
    <row r="1600" spans="10:30" ht="16.2" customHeight="1">
      <c r="J1600" s="80" t="s">
        <v>747</v>
      </c>
      <c r="K1600" s="80" t="s">
        <v>517</v>
      </c>
      <c r="L1600" t="s">
        <v>170</v>
      </c>
      <c r="M1600" t="s">
        <v>159</v>
      </c>
      <c r="N1600" t="str">
        <f t="shared" si="160"/>
        <v>Double RearRenaissance Decorator Rod Cord DrawnNormal 2074Single Face Fix Brackets</v>
      </c>
      <c r="O1600">
        <v>60</v>
      </c>
      <c r="P1600">
        <v>72</v>
      </c>
      <c r="Q1600" s="80">
        <v>0</v>
      </c>
      <c r="R1600" s="80">
        <f t="shared" si="161"/>
        <v>12</v>
      </c>
      <c r="AD1600"/>
    </row>
    <row r="1601" spans="10:30" ht="16.2" customHeight="1">
      <c r="J1601" s="80" t="s">
        <v>725</v>
      </c>
      <c r="K1601" s="80" t="s">
        <v>517</v>
      </c>
      <c r="L1601" t="s">
        <v>170</v>
      </c>
      <c r="M1601" t="s">
        <v>159</v>
      </c>
      <c r="N1601" t="str">
        <f t="shared" si="160"/>
        <v>SingleRenaissance Decorator Rod Cord DrawnNormal 2074Single Face Fix Brackets</v>
      </c>
      <c r="O1601">
        <v>60</v>
      </c>
      <c r="P1601">
        <v>72</v>
      </c>
      <c r="Q1601" s="80">
        <v>0</v>
      </c>
      <c r="R1601" s="80">
        <f t="shared" si="161"/>
        <v>12</v>
      </c>
      <c r="AD1601"/>
    </row>
    <row r="1602" spans="10:30" ht="16.2" customHeight="1">
      <c r="J1602" s="80" t="s">
        <v>746</v>
      </c>
      <c r="K1602" s="80" t="s">
        <v>518</v>
      </c>
      <c r="L1602" t="s">
        <v>183</v>
      </c>
      <c r="M1602" t="s">
        <v>162</v>
      </c>
      <c r="N1602" t="str">
        <f t="shared" si="162" ref="N1602:N1665">(CONCATENATE(J1602,K1602,L1602,M1602))</f>
        <v>Double FrontRenaissance Decorator Rod Hand DrawnBelow Normal 2075Double Face Fix Brackets</v>
      </c>
      <c r="O1602">
        <v>70</v>
      </c>
      <c r="P1602">
        <v>72</v>
      </c>
      <c r="Q1602" s="80">
        <v>0</v>
      </c>
      <c r="R1602" s="80">
        <f t="shared" si="161"/>
        <v>2</v>
      </c>
      <c r="AD1602"/>
    </row>
    <row r="1603" spans="10:30" ht="16.2" customHeight="1">
      <c r="J1603" s="80" t="s">
        <v>747</v>
      </c>
      <c r="K1603" s="80" t="s">
        <v>518</v>
      </c>
      <c r="L1603" t="s">
        <v>183</v>
      </c>
      <c r="M1603" t="s">
        <v>162</v>
      </c>
      <c r="N1603" t="str">
        <f t="shared" si="162"/>
        <v>Double RearRenaissance Decorator Rod Hand DrawnBelow Normal 2075Double Face Fix Brackets</v>
      </c>
      <c r="O1603">
        <v>70</v>
      </c>
      <c r="P1603">
        <v>72</v>
      </c>
      <c r="Q1603" s="80">
        <v>0</v>
      </c>
      <c r="R1603" s="80">
        <f t="shared" si="161"/>
        <v>2</v>
      </c>
      <c r="AD1603"/>
    </row>
    <row r="1604" spans="10:30" ht="16.2" customHeight="1">
      <c r="J1604" s="80" t="s">
        <v>725</v>
      </c>
      <c r="K1604" s="80" t="s">
        <v>518</v>
      </c>
      <c r="L1604" t="s">
        <v>183</v>
      </c>
      <c r="M1604" t="s">
        <v>162</v>
      </c>
      <c r="N1604" t="str">
        <f t="shared" si="162"/>
        <v>SingleRenaissance Decorator Rod Hand DrawnBelow Normal 2075Double Face Fix Brackets</v>
      </c>
      <c r="O1604">
        <v>70</v>
      </c>
      <c r="P1604">
        <v>72</v>
      </c>
      <c r="Q1604" s="80">
        <v>0</v>
      </c>
      <c r="R1604" s="80">
        <f t="shared" si="161"/>
        <v>2</v>
      </c>
      <c r="AD1604"/>
    </row>
    <row r="1605" spans="10:30" ht="16.2" customHeight="1">
      <c r="J1605" s="80" t="s">
        <v>746</v>
      </c>
      <c r="K1605" s="80" t="s">
        <v>518</v>
      </c>
      <c r="L1605" t="s">
        <v>182</v>
      </c>
      <c r="M1605" t="s">
        <v>162</v>
      </c>
      <c r="N1605" t="str">
        <f t="shared" si="162"/>
        <v>Double FrontRenaissance Decorator Rod Hand DrawnBetween Level and Normal 2073Double Face Fix Brackets</v>
      </c>
      <c r="O1605">
        <v>48</v>
      </c>
      <c r="P1605">
        <v>72</v>
      </c>
      <c r="Q1605" s="80">
        <v>0</v>
      </c>
      <c r="R1605" s="80">
        <f t="shared" si="161"/>
        <v>24</v>
      </c>
      <c r="AD1605"/>
    </row>
    <row r="1606" spans="10:30" ht="16.2" customHeight="1">
      <c r="J1606" s="80" t="s">
        <v>747</v>
      </c>
      <c r="K1606" s="80" t="s">
        <v>518</v>
      </c>
      <c r="L1606" t="s">
        <v>182</v>
      </c>
      <c r="M1606" t="s">
        <v>162</v>
      </c>
      <c r="N1606" t="str">
        <f t="shared" si="162"/>
        <v>Double RearRenaissance Decorator Rod Hand DrawnBetween Level and Normal 2073Double Face Fix Brackets</v>
      </c>
      <c r="O1606">
        <v>48</v>
      </c>
      <c r="P1606">
        <v>72</v>
      </c>
      <c r="Q1606" s="80">
        <v>0</v>
      </c>
      <c r="R1606" s="80">
        <f t="shared" si="161"/>
        <v>24</v>
      </c>
      <c r="AD1606"/>
    </row>
    <row r="1607" spans="10:30" ht="16.2" customHeight="1">
      <c r="J1607" s="80" t="s">
        <v>725</v>
      </c>
      <c r="K1607" s="80" t="s">
        <v>518</v>
      </c>
      <c r="L1607" t="s">
        <v>182</v>
      </c>
      <c r="M1607" t="s">
        <v>162</v>
      </c>
      <c r="N1607" t="str">
        <f t="shared" si="162"/>
        <v>SingleRenaissance Decorator Rod Hand DrawnBetween Level and Normal 2073Double Face Fix Brackets</v>
      </c>
      <c r="O1607">
        <v>47</v>
      </c>
      <c r="P1607">
        <v>72</v>
      </c>
      <c r="Q1607" s="80">
        <v>0</v>
      </c>
      <c r="R1607" s="80">
        <f t="shared" si="161"/>
        <v>25</v>
      </c>
      <c r="AD1607"/>
    </row>
    <row r="1608" spans="10:30" ht="16.2" customHeight="1">
      <c r="J1608" s="80" t="s">
        <v>746</v>
      </c>
      <c r="K1608" s="80" t="s">
        <v>518</v>
      </c>
      <c r="L1608" t="s">
        <v>184</v>
      </c>
      <c r="M1608" t="s">
        <v>162</v>
      </c>
      <c r="N1608" t="str">
        <f t="shared" si="162"/>
        <v>Double FrontRenaissance Decorator Rod Hand DrawnDecorator 2071Double Face Fix Brackets</v>
      </c>
      <c r="O1608">
        <v>20</v>
      </c>
      <c r="P1608">
        <v>72</v>
      </c>
      <c r="Q1608" s="80">
        <v>0</v>
      </c>
      <c r="R1608" s="80">
        <f t="shared" si="161"/>
        <v>52</v>
      </c>
      <c r="AD1608"/>
    </row>
    <row r="1609" spans="10:30" ht="16.2" customHeight="1">
      <c r="J1609" s="80" t="s">
        <v>747</v>
      </c>
      <c r="K1609" s="80" t="s">
        <v>518</v>
      </c>
      <c r="L1609" t="s">
        <v>184</v>
      </c>
      <c r="M1609" t="s">
        <v>162</v>
      </c>
      <c r="N1609" t="str">
        <f t="shared" si="162"/>
        <v>Double RearRenaissance Decorator Rod Hand DrawnDecorator 2071Double Face Fix Brackets</v>
      </c>
      <c r="O1609">
        <v>20</v>
      </c>
      <c r="P1609">
        <v>72</v>
      </c>
      <c r="Q1609" s="80">
        <v>0</v>
      </c>
      <c r="R1609" s="80">
        <f t="shared" si="161"/>
        <v>52</v>
      </c>
      <c r="AD1609"/>
    </row>
    <row r="1610" spans="10:30" ht="16.2" customHeight="1">
      <c r="J1610" s="80" t="s">
        <v>725</v>
      </c>
      <c r="K1610" s="80" t="s">
        <v>518</v>
      </c>
      <c r="L1610" t="s">
        <v>184</v>
      </c>
      <c r="M1610" t="s">
        <v>162</v>
      </c>
      <c r="N1610" t="str">
        <f t="shared" si="162"/>
        <v>SingleRenaissance Decorator Rod Hand DrawnDecorator 2071Double Face Fix Brackets</v>
      </c>
      <c r="O1610">
        <v>20</v>
      </c>
      <c r="P1610">
        <v>72</v>
      </c>
      <c r="Q1610" s="80">
        <v>0</v>
      </c>
      <c r="R1610" s="80">
        <f t="shared" si="161"/>
        <v>52</v>
      </c>
      <c r="AD1610"/>
    </row>
    <row r="1611" spans="10:30" ht="16.2" customHeight="1">
      <c r="J1611" s="80" t="s">
        <v>746</v>
      </c>
      <c r="K1611" s="80" t="s">
        <v>518</v>
      </c>
      <c r="L1611" t="s">
        <v>6468</v>
      </c>
      <c r="M1611" t="s">
        <v>162</v>
      </c>
      <c r="N1611" t="str">
        <f t="shared" si="162"/>
        <v>Double FrontRenaissance Decorator Rod Hand DrawnGather Hook Bottom PocketDouble Face Fix Brackets</v>
      </c>
      <c r="O1611">
        <v>60</v>
      </c>
      <c r="P1611">
        <v>72</v>
      </c>
      <c r="Q1611" s="80">
        <v>0</v>
      </c>
      <c r="R1611" s="80">
        <f t="shared" si="161"/>
        <v>12</v>
      </c>
      <c r="AD1611"/>
    </row>
    <row r="1612" spans="10:30" ht="16.2" customHeight="1">
      <c r="J1612" s="80" t="s">
        <v>725</v>
      </c>
      <c r="K1612" s="80" t="s">
        <v>518</v>
      </c>
      <c r="L1612" t="s">
        <v>6468</v>
      </c>
      <c r="M1612" t="s">
        <v>162</v>
      </c>
      <c r="N1612" t="str">
        <f t="shared" si="162"/>
        <v>SingleRenaissance Decorator Rod Hand DrawnGather Hook Bottom PocketDouble Face Fix Brackets</v>
      </c>
      <c r="O1612">
        <v>60</v>
      </c>
      <c r="P1612">
        <v>72</v>
      </c>
      <c r="Q1612" s="80">
        <v>0</v>
      </c>
      <c r="R1612" s="80">
        <f t="shared" si="161"/>
        <v>12</v>
      </c>
      <c r="AD1612"/>
    </row>
    <row r="1613" spans="10:30" ht="16.2" customHeight="1">
      <c r="J1613" s="80" t="s">
        <v>746</v>
      </c>
      <c r="K1613" s="80" t="s">
        <v>518</v>
      </c>
      <c r="L1613" t="s">
        <v>229</v>
      </c>
      <c r="M1613" t="s">
        <v>162</v>
      </c>
      <c r="N1613" t="str">
        <f t="shared" si="162"/>
        <v>Double FrontRenaissance Decorator Rod Hand DrawnGather Hook LevelDouble Face Fix Brackets</v>
      </c>
      <c r="O1613">
        <v>20</v>
      </c>
      <c r="P1613">
        <v>72</v>
      </c>
      <c r="Q1613" s="80">
        <v>0</v>
      </c>
      <c r="R1613" s="80">
        <f t="shared" si="161"/>
        <v>52</v>
      </c>
      <c r="AD1613"/>
    </row>
    <row r="1614" spans="10:30" ht="16.2" customHeight="1">
      <c r="J1614" s="80" t="s">
        <v>747</v>
      </c>
      <c r="K1614" s="80" t="s">
        <v>518</v>
      </c>
      <c r="L1614" t="s">
        <v>229</v>
      </c>
      <c r="M1614" t="s">
        <v>162</v>
      </c>
      <c r="N1614" t="str">
        <f t="shared" si="162"/>
        <v>Double RearRenaissance Decorator Rod Hand DrawnGather Hook LevelDouble Face Fix Brackets</v>
      </c>
      <c r="O1614">
        <v>20</v>
      </c>
      <c r="P1614">
        <v>72</v>
      </c>
      <c r="Q1614" s="80">
        <v>0</v>
      </c>
      <c r="R1614" s="80">
        <f t="shared" si="161"/>
        <v>52</v>
      </c>
      <c r="AD1614"/>
    </row>
    <row r="1615" spans="10:30" ht="16.2" customHeight="1">
      <c r="J1615" s="80" t="s">
        <v>725</v>
      </c>
      <c r="K1615" s="80" t="s">
        <v>518</v>
      </c>
      <c r="L1615" t="s">
        <v>229</v>
      </c>
      <c r="M1615" t="s">
        <v>162</v>
      </c>
      <c r="N1615" t="str">
        <f t="shared" si="162"/>
        <v>SingleRenaissance Decorator Rod Hand DrawnGather Hook LevelDouble Face Fix Brackets</v>
      </c>
      <c r="O1615">
        <v>20</v>
      </c>
      <c r="P1615">
        <v>72</v>
      </c>
      <c r="Q1615" s="80">
        <v>0</v>
      </c>
      <c r="R1615" s="80">
        <f t="shared" si="161"/>
        <v>52</v>
      </c>
      <c r="AD1615"/>
    </row>
    <row r="1616" spans="10:30" ht="16.2" customHeight="1">
      <c r="J1616" s="80" t="s">
        <v>746</v>
      </c>
      <c r="K1616" s="80" t="s">
        <v>518</v>
      </c>
      <c r="L1616" t="s">
        <v>228</v>
      </c>
      <c r="M1616" t="s">
        <v>162</v>
      </c>
      <c r="N1616" t="str">
        <f t="shared" si="162"/>
        <v>Double FrontRenaissance Decorator Rod Hand DrawnGather Hook NormalDouble Face Fix Brackets</v>
      </c>
      <c r="O1616">
        <v>43</v>
      </c>
      <c r="P1616">
        <v>72</v>
      </c>
      <c r="Q1616" s="80">
        <v>0</v>
      </c>
      <c r="R1616" s="80">
        <f t="shared" si="161"/>
        <v>29</v>
      </c>
      <c r="AD1616"/>
    </row>
    <row r="1617" spans="10:30" ht="16.2" customHeight="1">
      <c r="J1617" s="80" t="s">
        <v>747</v>
      </c>
      <c r="K1617" s="80" t="s">
        <v>518</v>
      </c>
      <c r="L1617" t="s">
        <v>228</v>
      </c>
      <c r="M1617" t="s">
        <v>162</v>
      </c>
      <c r="N1617" t="str">
        <f t="shared" si="162"/>
        <v>Double RearRenaissance Decorator Rod Hand DrawnGather Hook NormalDouble Face Fix Brackets</v>
      </c>
      <c r="O1617">
        <v>43</v>
      </c>
      <c r="P1617">
        <v>72</v>
      </c>
      <c r="Q1617" s="80">
        <v>0</v>
      </c>
      <c r="R1617" s="80">
        <f t="shared" si="161"/>
        <v>29</v>
      </c>
      <c r="AD1617"/>
    </row>
    <row r="1618" spans="10:30" ht="16.2" customHeight="1">
      <c r="J1618" s="80" t="s">
        <v>725</v>
      </c>
      <c r="K1618" s="80" t="s">
        <v>518</v>
      </c>
      <c r="L1618" t="s">
        <v>228</v>
      </c>
      <c r="M1618" t="s">
        <v>162</v>
      </c>
      <c r="N1618" t="str">
        <f t="shared" si="162"/>
        <v>SingleRenaissance Decorator Rod Hand DrawnGather Hook NormalDouble Face Fix Brackets</v>
      </c>
      <c r="O1618">
        <v>43</v>
      </c>
      <c r="P1618">
        <v>72</v>
      </c>
      <c r="Q1618" s="80">
        <v>0</v>
      </c>
      <c r="R1618" s="80">
        <f t="shared" si="161"/>
        <v>29</v>
      </c>
      <c r="AD1618"/>
    </row>
    <row r="1619" spans="10:30" ht="16.2" customHeight="1">
      <c r="J1619" s="80" t="s">
        <v>746</v>
      </c>
      <c r="K1619" s="80" t="s">
        <v>518</v>
      </c>
      <c r="L1619" t="s">
        <v>282</v>
      </c>
      <c r="M1619" t="s">
        <v>162</v>
      </c>
      <c r="N1619" t="str">
        <f t="shared" si="162"/>
        <v>Double FrontRenaissance Decorator Rod Hand DrawnLevel 2072Double Face Fix Brackets</v>
      </c>
      <c r="O1619">
        <v>38</v>
      </c>
      <c r="P1619">
        <v>72</v>
      </c>
      <c r="Q1619" s="80">
        <v>0</v>
      </c>
      <c r="R1619" s="80">
        <f t="shared" si="161"/>
        <v>34</v>
      </c>
      <c r="AD1619"/>
    </row>
    <row r="1620" spans="10:30" ht="16.2" customHeight="1">
      <c r="J1620" s="80" t="s">
        <v>747</v>
      </c>
      <c r="K1620" s="80" t="s">
        <v>518</v>
      </c>
      <c r="L1620" t="s">
        <v>282</v>
      </c>
      <c r="M1620" t="s">
        <v>162</v>
      </c>
      <c r="N1620" t="str">
        <f t="shared" si="162"/>
        <v>Double RearRenaissance Decorator Rod Hand DrawnLevel 2072Double Face Fix Brackets</v>
      </c>
      <c r="O1620">
        <v>38</v>
      </c>
      <c r="P1620">
        <v>72</v>
      </c>
      <c r="Q1620" s="80">
        <v>0</v>
      </c>
      <c r="R1620" s="80">
        <f t="shared" si="161"/>
        <v>34</v>
      </c>
      <c r="AD1620"/>
    </row>
    <row r="1621" spans="10:30" ht="16.2" customHeight="1">
      <c r="J1621" s="80" t="s">
        <v>725</v>
      </c>
      <c r="K1621" s="80" t="s">
        <v>518</v>
      </c>
      <c r="L1621" t="s">
        <v>282</v>
      </c>
      <c r="M1621" t="s">
        <v>162</v>
      </c>
      <c r="N1621" t="str">
        <f t="shared" si="162"/>
        <v>SingleRenaissance Decorator Rod Hand DrawnLevel 2072Double Face Fix Brackets</v>
      </c>
      <c r="O1621">
        <v>35</v>
      </c>
      <c r="P1621">
        <v>72</v>
      </c>
      <c r="Q1621" s="80">
        <v>0</v>
      </c>
      <c r="R1621" s="80">
        <f t="shared" si="161"/>
        <v>37</v>
      </c>
      <c r="AD1621"/>
    </row>
    <row r="1622" spans="10:30" ht="16.2" customHeight="1">
      <c r="J1622" s="80" t="s">
        <v>746</v>
      </c>
      <c r="K1622" s="80" t="s">
        <v>518</v>
      </c>
      <c r="L1622" t="s">
        <v>170</v>
      </c>
      <c r="M1622" t="s">
        <v>162</v>
      </c>
      <c r="N1622" t="str">
        <f t="shared" si="162"/>
        <v>Double FrontRenaissance Decorator Rod Hand DrawnNormal 2074Double Face Fix Brackets</v>
      </c>
      <c r="O1622">
        <v>60</v>
      </c>
      <c r="P1622">
        <v>72</v>
      </c>
      <c r="Q1622" s="80">
        <v>0</v>
      </c>
      <c r="R1622" s="80">
        <f t="shared" si="161"/>
        <v>12</v>
      </c>
      <c r="AD1622"/>
    </row>
    <row r="1623" spans="10:30" ht="16.2" customHeight="1">
      <c r="J1623" s="80" t="s">
        <v>747</v>
      </c>
      <c r="K1623" s="80" t="s">
        <v>518</v>
      </c>
      <c r="L1623" t="s">
        <v>170</v>
      </c>
      <c r="M1623" t="s">
        <v>162</v>
      </c>
      <c r="N1623" t="str">
        <f t="shared" si="162"/>
        <v>Double RearRenaissance Decorator Rod Hand DrawnNormal 2074Double Face Fix Brackets</v>
      </c>
      <c r="O1623">
        <v>60</v>
      </c>
      <c r="P1623">
        <v>72</v>
      </c>
      <c r="Q1623" s="80">
        <v>0</v>
      </c>
      <c r="R1623" s="80">
        <f t="shared" si="161"/>
        <v>12</v>
      </c>
      <c r="AD1623"/>
    </row>
    <row r="1624" spans="10:30" ht="16.2" customHeight="1">
      <c r="J1624" s="80" t="s">
        <v>725</v>
      </c>
      <c r="K1624" s="80" t="s">
        <v>518</v>
      </c>
      <c r="L1624" t="s">
        <v>170</v>
      </c>
      <c r="M1624" t="s">
        <v>162</v>
      </c>
      <c r="N1624" t="str">
        <f t="shared" si="162"/>
        <v>SingleRenaissance Decorator Rod Hand DrawnNormal 2074Double Face Fix Brackets</v>
      </c>
      <c r="O1624">
        <v>60</v>
      </c>
      <c r="P1624">
        <v>72</v>
      </c>
      <c r="Q1624" s="80">
        <v>0</v>
      </c>
      <c r="R1624" s="80">
        <f t="shared" si="161"/>
        <v>12</v>
      </c>
      <c r="AD1624"/>
    </row>
    <row r="1625" spans="10:30" ht="16.2" customHeight="1">
      <c r="J1625" s="80" t="s">
        <v>746</v>
      </c>
      <c r="K1625" s="80" t="s">
        <v>518</v>
      </c>
      <c r="L1625" t="s">
        <v>183</v>
      </c>
      <c r="M1625" t="s">
        <v>159</v>
      </c>
      <c r="N1625" t="str">
        <f t="shared" si="162"/>
        <v>Double FrontRenaissance Decorator Rod Hand DrawnBelow Normal 2075Single Face Fix Brackets</v>
      </c>
      <c r="O1625">
        <v>70</v>
      </c>
      <c r="P1625">
        <v>72</v>
      </c>
      <c r="Q1625" s="80">
        <v>0</v>
      </c>
      <c r="R1625" s="80">
        <f t="shared" si="161"/>
        <v>2</v>
      </c>
      <c r="AD1625"/>
    </row>
    <row r="1626" spans="10:30" ht="16.2" customHeight="1">
      <c r="J1626" s="80" t="s">
        <v>747</v>
      </c>
      <c r="K1626" s="80" t="s">
        <v>518</v>
      </c>
      <c r="L1626" t="s">
        <v>183</v>
      </c>
      <c r="M1626" t="s">
        <v>159</v>
      </c>
      <c r="N1626" t="str">
        <f t="shared" si="162"/>
        <v>Double RearRenaissance Decorator Rod Hand DrawnBelow Normal 2075Single Face Fix Brackets</v>
      </c>
      <c r="O1626">
        <v>70</v>
      </c>
      <c r="P1626">
        <v>72</v>
      </c>
      <c r="Q1626" s="80">
        <v>0</v>
      </c>
      <c r="R1626" s="80">
        <f t="shared" si="161"/>
        <v>2</v>
      </c>
      <c r="AD1626"/>
    </row>
    <row r="1627" spans="10:30" ht="16.2" customHeight="1">
      <c r="J1627" s="80" t="s">
        <v>725</v>
      </c>
      <c r="K1627" s="80" t="s">
        <v>518</v>
      </c>
      <c r="L1627" t="s">
        <v>183</v>
      </c>
      <c r="M1627" t="s">
        <v>159</v>
      </c>
      <c r="N1627" t="str">
        <f t="shared" si="162"/>
        <v>SingleRenaissance Decorator Rod Hand DrawnBelow Normal 2075Single Face Fix Brackets</v>
      </c>
      <c r="O1627">
        <v>70</v>
      </c>
      <c r="P1627">
        <v>72</v>
      </c>
      <c r="Q1627" s="80">
        <v>0</v>
      </c>
      <c r="R1627" s="80">
        <f t="shared" si="161"/>
        <v>2</v>
      </c>
      <c r="AD1627"/>
    </row>
    <row r="1628" spans="10:30" ht="16.2" customHeight="1">
      <c r="J1628" s="80" t="s">
        <v>746</v>
      </c>
      <c r="K1628" s="80" t="s">
        <v>518</v>
      </c>
      <c r="L1628" t="s">
        <v>182</v>
      </c>
      <c r="M1628" t="s">
        <v>159</v>
      </c>
      <c r="N1628" t="str">
        <f t="shared" si="162"/>
        <v>Double FrontRenaissance Decorator Rod Hand DrawnBetween Level and Normal 2073Single Face Fix Brackets</v>
      </c>
      <c r="O1628">
        <v>48</v>
      </c>
      <c r="P1628">
        <v>72</v>
      </c>
      <c r="Q1628" s="80">
        <v>0</v>
      </c>
      <c r="R1628" s="80">
        <f t="shared" si="161"/>
        <v>24</v>
      </c>
      <c r="AD1628"/>
    </row>
    <row r="1629" spans="10:30" ht="16.2" customHeight="1">
      <c r="J1629" s="80" t="s">
        <v>747</v>
      </c>
      <c r="K1629" s="80" t="s">
        <v>518</v>
      </c>
      <c r="L1629" t="s">
        <v>182</v>
      </c>
      <c r="M1629" t="s">
        <v>159</v>
      </c>
      <c r="N1629" t="str">
        <f t="shared" si="162"/>
        <v>Double RearRenaissance Decorator Rod Hand DrawnBetween Level and Normal 2073Single Face Fix Brackets</v>
      </c>
      <c r="O1629">
        <v>48</v>
      </c>
      <c r="P1629">
        <v>72</v>
      </c>
      <c r="Q1629" s="80">
        <v>0</v>
      </c>
      <c r="R1629" s="80">
        <f t="shared" si="161"/>
        <v>24</v>
      </c>
      <c r="AD1629"/>
    </row>
    <row r="1630" spans="10:30" ht="16.2" customHeight="1">
      <c r="J1630" s="80" t="s">
        <v>725</v>
      </c>
      <c r="K1630" s="80" t="s">
        <v>518</v>
      </c>
      <c r="L1630" t="s">
        <v>182</v>
      </c>
      <c r="M1630" t="s">
        <v>159</v>
      </c>
      <c r="N1630" t="str">
        <f t="shared" si="162"/>
        <v>SingleRenaissance Decorator Rod Hand DrawnBetween Level and Normal 2073Single Face Fix Brackets</v>
      </c>
      <c r="O1630">
        <v>47</v>
      </c>
      <c r="P1630">
        <v>72</v>
      </c>
      <c r="Q1630" s="80">
        <v>0</v>
      </c>
      <c r="R1630" s="80">
        <f t="shared" si="161"/>
        <v>25</v>
      </c>
      <c r="AD1630"/>
    </row>
    <row r="1631" spans="10:30" ht="16.2" customHeight="1">
      <c r="J1631" s="80" t="s">
        <v>746</v>
      </c>
      <c r="K1631" s="80" t="s">
        <v>518</v>
      </c>
      <c r="L1631" t="s">
        <v>184</v>
      </c>
      <c r="M1631" t="s">
        <v>159</v>
      </c>
      <c r="N1631" t="str">
        <f t="shared" si="162"/>
        <v>Double FrontRenaissance Decorator Rod Hand DrawnDecorator 2071Single Face Fix Brackets</v>
      </c>
      <c r="O1631">
        <v>20</v>
      </c>
      <c r="P1631">
        <v>72</v>
      </c>
      <c r="Q1631" s="80">
        <v>0</v>
      </c>
      <c r="R1631" s="80">
        <f t="shared" si="163" ref="R1631:R1694">SUM(P1631)-O1631</f>
        <v>52</v>
      </c>
      <c r="AD1631"/>
    </row>
    <row r="1632" spans="10:30" ht="16.2" customHeight="1">
      <c r="J1632" s="80" t="s">
        <v>747</v>
      </c>
      <c r="K1632" s="80" t="s">
        <v>518</v>
      </c>
      <c r="L1632" t="s">
        <v>184</v>
      </c>
      <c r="M1632" t="s">
        <v>159</v>
      </c>
      <c r="N1632" t="str">
        <f t="shared" si="162"/>
        <v>Double RearRenaissance Decorator Rod Hand DrawnDecorator 2071Single Face Fix Brackets</v>
      </c>
      <c r="O1632">
        <v>20</v>
      </c>
      <c r="P1632">
        <v>72</v>
      </c>
      <c r="Q1632" s="80">
        <v>0</v>
      </c>
      <c r="R1632" s="80">
        <f t="shared" si="163"/>
        <v>52</v>
      </c>
      <c r="AD1632"/>
    </row>
    <row r="1633" spans="10:30" ht="16.2" customHeight="1">
      <c r="J1633" s="80" t="s">
        <v>725</v>
      </c>
      <c r="K1633" s="80" t="s">
        <v>518</v>
      </c>
      <c r="L1633" t="s">
        <v>184</v>
      </c>
      <c r="M1633" t="s">
        <v>159</v>
      </c>
      <c r="N1633" t="str">
        <f t="shared" si="162"/>
        <v>SingleRenaissance Decorator Rod Hand DrawnDecorator 2071Single Face Fix Brackets</v>
      </c>
      <c r="O1633">
        <v>20</v>
      </c>
      <c r="P1633">
        <v>72</v>
      </c>
      <c r="Q1633" s="80">
        <v>0</v>
      </c>
      <c r="R1633" s="80">
        <f t="shared" si="163"/>
        <v>52</v>
      </c>
      <c r="AD1633"/>
    </row>
    <row r="1634" spans="10:30" ht="16.2" customHeight="1">
      <c r="J1634" s="80" t="s">
        <v>746</v>
      </c>
      <c r="K1634" s="80" t="s">
        <v>518</v>
      </c>
      <c r="L1634" t="s">
        <v>6468</v>
      </c>
      <c r="M1634" t="s">
        <v>159</v>
      </c>
      <c r="N1634" t="str">
        <f t="shared" si="162"/>
        <v>Double FrontRenaissance Decorator Rod Hand DrawnGather Hook Bottom PocketSingle Face Fix Brackets</v>
      </c>
      <c r="O1634">
        <v>60</v>
      </c>
      <c r="P1634">
        <v>72</v>
      </c>
      <c r="Q1634" s="80">
        <v>0</v>
      </c>
      <c r="R1634" s="80">
        <f t="shared" si="163"/>
        <v>12</v>
      </c>
      <c r="AD1634"/>
    </row>
    <row r="1635" spans="10:30" ht="16.2" customHeight="1">
      <c r="J1635" s="80" t="s">
        <v>725</v>
      </c>
      <c r="K1635" s="80" t="s">
        <v>518</v>
      </c>
      <c r="L1635" t="s">
        <v>6468</v>
      </c>
      <c r="M1635" t="s">
        <v>159</v>
      </c>
      <c r="N1635" t="str">
        <f t="shared" si="162"/>
        <v>SingleRenaissance Decorator Rod Hand DrawnGather Hook Bottom PocketSingle Face Fix Brackets</v>
      </c>
      <c r="O1635">
        <v>60</v>
      </c>
      <c r="P1635">
        <v>72</v>
      </c>
      <c r="Q1635" s="80">
        <v>0</v>
      </c>
      <c r="R1635" s="80">
        <f t="shared" si="163"/>
        <v>12</v>
      </c>
      <c r="AD1635"/>
    </row>
    <row r="1636" spans="10:30" ht="16.2" customHeight="1">
      <c r="J1636" s="80" t="s">
        <v>746</v>
      </c>
      <c r="K1636" s="80" t="s">
        <v>518</v>
      </c>
      <c r="L1636" t="s">
        <v>229</v>
      </c>
      <c r="M1636" t="s">
        <v>159</v>
      </c>
      <c r="N1636" t="str">
        <f t="shared" si="162"/>
        <v>Double FrontRenaissance Decorator Rod Hand DrawnGather Hook LevelSingle Face Fix Brackets</v>
      </c>
      <c r="O1636">
        <v>20</v>
      </c>
      <c r="P1636">
        <v>72</v>
      </c>
      <c r="Q1636" s="80">
        <v>0</v>
      </c>
      <c r="R1636" s="80">
        <f t="shared" si="163"/>
        <v>52</v>
      </c>
      <c r="AD1636"/>
    </row>
    <row r="1637" spans="10:30" ht="16.2" customHeight="1">
      <c r="J1637" s="80" t="s">
        <v>747</v>
      </c>
      <c r="K1637" s="80" t="s">
        <v>518</v>
      </c>
      <c r="L1637" t="s">
        <v>229</v>
      </c>
      <c r="M1637" t="s">
        <v>159</v>
      </c>
      <c r="N1637" t="str">
        <f t="shared" si="162"/>
        <v>Double RearRenaissance Decorator Rod Hand DrawnGather Hook LevelSingle Face Fix Brackets</v>
      </c>
      <c r="O1637">
        <v>20</v>
      </c>
      <c r="P1637">
        <v>72</v>
      </c>
      <c r="Q1637" s="80">
        <v>0</v>
      </c>
      <c r="R1637" s="80">
        <f t="shared" si="163"/>
        <v>52</v>
      </c>
      <c r="AD1637"/>
    </row>
    <row r="1638" spans="10:30" ht="16.2" customHeight="1">
      <c r="J1638" s="80" t="s">
        <v>725</v>
      </c>
      <c r="K1638" s="80" t="s">
        <v>518</v>
      </c>
      <c r="L1638" t="s">
        <v>229</v>
      </c>
      <c r="M1638" t="s">
        <v>159</v>
      </c>
      <c r="N1638" t="str">
        <f t="shared" si="162"/>
        <v>SingleRenaissance Decorator Rod Hand DrawnGather Hook LevelSingle Face Fix Brackets</v>
      </c>
      <c r="O1638">
        <v>20</v>
      </c>
      <c r="P1638">
        <v>72</v>
      </c>
      <c r="Q1638" s="80">
        <v>0</v>
      </c>
      <c r="R1638" s="80">
        <f t="shared" si="163"/>
        <v>52</v>
      </c>
      <c r="AD1638"/>
    </row>
    <row r="1639" spans="10:30" ht="16.2" customHeight="1">
      <c r="J1639" s="80" t="s">
        <v>746</v>
      </c>
      <c r="K1639" s="80" t="s">
        <v>518</v>
      </c>
      <c r="L1639" t="s">
        <v>228</v>
      </c>
      <c r="M1639" t="s">
        <v>159</v>
      </c>
      <c r="N1639" t="str">
        <f t="shared" si="162"/>
        <v>Double FrontRenaissance Decorator Rod Hand DrawnGather Hook NormalSingle Face Fix Brackets</v>
      </c>
      <c r="O1639">
        <v>43</v>
      </c>
      <c r="P1639">
        <v>72</v>
      </c>
      <c r="Q1639" s="80">
        <v>0</v>
      </c>
      <c r="R1639" s="80">
        <f t="shared" si="163"/>
        <v>29</v>
      </c>
      <c r="AD1639"/>
    </row>
    <row r="1640" spans="10:30" ht="16.2" customHeight="1">
      <c r="J1640" s="80" t="s">
        <v>747</v>
      </c>
      <c r="K1640" s="80" t="s">
        <v>518</v>
      </c>
      <c r="L1640" t="s">
        <v>228</v>
      </c>
      <c r="M1640" t="s">
        <v>159</v>
      </c>
      <c r="N1640" t="str">
        <f t="shared" si="162"/>
        <v>Double RearRenaissance Decorator Rod Hand DrawnGather Hook NormalSingle Face Fix Brackets</v>
      </c>
      <c r="O1640">
        <v>43</v>
      </c>
      <c r="P1640">
        <v>72</v>
      </c>
      <c r="Q1640" s="80">
        <v>0</v>
      </c>
      <c r="R1640" s="80">
        <f t="shared" si="163"/>
        <v>29</v>
      </c>
      <c r="AD1640"/>
    </row>
    <row r="1641" spans="10:30" ht="16.2" customHeight="1">
      <c r="J1641" s="80" t="s">
        <v>725</v>
      </c>
      <c r="K1641" s="80" t="s">
        <v>518</v>
      </c>
      <c r="L1641" t="s">
        <v>228</v>
      </c>
      <c r="M1641" t="s">
        <v>159</v>
      </c>
      <c r="N1641" t="str">
        <f t="shared" si="162"/>
        <v>SingleRenaissance Decorator Rod Hand DrawnGather Hook NormalSingle Face Fix Brackets</v>
      </c>
      <c r="O1641">
        <v>43</v>
      </c>
      <c r="P1641">
        <v>72</v>
      </c>
      <c r="Q1641" s="80">
        <v>0</v>
      </c>
      <c r="R1641" s="80">
        <f t="shared" si="163"/>
        <v>29</v>
      </c>
      <c r="AD1641"/>
    </row>
    <row r="1642" spans="10:30" ht="16.2" customHeight="1">
      <c r="J1642" s="80" t="s">
        <v>746</v>
      </c>
      <c r="K1642" s="80" t="s">
        <v>518</v>
      </c>
      <c r="L1642" t="s">
        <v>282</v>
      </c>
      <c r="M1642" t="s">
        <v>159</v>
      </c>
      <c r="N1642" t="str">
        <f t="shared" si="162"/>
        <v>Double FrontRenaissance Decorator Rod Hand DrawnLevel 2072Single Face Fix Brackets</v>
      </c>
      <c r="O1642">
        <v>38</v>
      </c>
      <c r="P1642">
        <v>72</v>
      </c>
      <c r="Q1642" s="80">
        <v>0</v>
      </c>
      <c r="R1642" s="80">
        <f t="shared" si="163"/>
        <v>34</v>
      </c>
      <c r="AD1642"/>
    </row>
    <row r="1643" spans="10:30" ht="16.2" customHeight="1">
      <c r="J1643" s="80" t="s">
        <v>747</v>
      </c>
      <c r="K1643" s="80" t="s">
        <v>518</v>
      </c>
      <c r="L1643" t="s">
        <v>282</v>
      </c>
      <c r="M1643" t="s">
        <v>159</v>
      </c>
      <c r="N1643" t="str">
        <f t="shared" si="162"/>
        <v>Double RearRenaissance Decorator Rod Hand DrawnLevel 2072Single Face Fix Brackets</v>
      </c>
      <c r="O1643">
        <v>38</v>
      </c>
      <c r="P1643">
        <v>72</v>
      </c>
      <c r="Q1643" s="80">
        <v>0</v>
      </c>
      <c r="R1643" s="80">
        <f t="shared" si="163"/>
        <v>34</v>
      </c>
      <c r="AD1643"/>
    </row>
    <row r="1644" spans="10:30" ht="16.2" customHeight="1">
      <c r="J1644" s="80" t="s">
        <v>725</v>
      </c>
      <c r="K1644" s="80" t="s">
        <v>518</v>
      </c>
      <c r="L1644" t="s">
        <v>282</v>
      </c>
      <c r="M1644" t="s">
        <v>159</v>
      </c>
      <c r="N1644" t="str">
        <f t="shared" si="162"/>
        <v>SingleRenaissance Decorator Rod Hand DrawnLevel 2072Single Face Fix Brackets</v>
      </c>
      <c r="O1644">
        <v>35</v>
      </c>
      <c r="P1644">
        <v>72</v>
      </c>
      <c r="Q1644" s="80">
        <v>0</v>
      </c>
      <c r="R1644" s="80">
        <f t="shared" si="163"/>
        <v>37</v>
      </c>
      <c r="AD1644"/>
    </row>
    <row r="1645" spans="10:30" ht="16.2" customHeight="1">
      <c r="J1645" s="80" t="s">
        <v>746</v>
      </c>
      <c r="K1645" s="80" t="s">
        <v>518</v>
      </c>
      <c r="L1645" t="s">
        <v>170</v>
      </c>
      <c r="M1645" t="s">
        <v>159</v>
      </c>
      <c r="N1645" t="str">
        <f t="shared" si="162"/>
        <v>Double FrontRenaissance Decorator Rod Hand DrawnNormal 2074Single Face Fix Brackets</v>
      </c>
      <c r="O1645">
        <v>60</v>
      </c>
      <c r="P1645">
        <v>72</v>
      </c>
      <c r="Q1645" s="80">
        <v>0</v>
      </c>
      <c r="R1645" s="80">
        <f t="shared" si="163"/>
        <v>12</v>
      </c>
      <c r="AD1645"/>
    </row>
    <row r="1646" spans="10:30" ht="16.2" customHeight="1">
      <c r="J1646" s="80" t="s">
        <v>747</v>
      </c>
      <c r="K1646" s="80" t="s">
        <v>518</v>
      </c>
      <c r="L1646" t="s">
        <v>170</v>
      </c>
      <c r="M1646" t="s">
        <v>159</v>
      </c>
      <c r="N1646" t="str">
        <f t="shared" si="162"/>
        <v>Double RearRenaissance Decorator Rod Hand DrawnNormal 2074Single Face Fix Brackets</v>
      </c>
      <c r="O1646">
        <v>60</v>
      </c>
      <c r="P1646">
        <v>72</v>
      </c>
      <c r="Q1646" s="80">
        <v>0</v>
      </c>
      <c r="R1646" s="80">
        <f t="shared" si="163"/>
        <v>12</v>
      </c>
      <c r="AD1646"/>
    </row>
    <row r="1647" spans="10:30" ht="16.2" customHeight="1">
      <c r="J1647" s="80" t="s">
        <v>725</v>
      </c>
      <c r="K1647" s="80" t="s">
        <v>518</v>
      </c>
      <c r="L1647" t="s">
        <v>170</v>
      </c>
      <c r="M1647" t="s">
        <v>159</v>
      </c>
      <c r="N1647" t="str">
        <f t="shared" si="162"/>
        <v>SingleRenaissance Decorator Rod Hand DrawnNormal 2074Single Face Fix Brackets</v>
      </c>
      <c r="O1647">
        <v>60</v>
      </c>
      <c r="P1647">
        <v>72</v>
      </c>
      <c r="Q1647" s="80">
        <v>0</v>
      </c>
      <c r="R1647" s="80">
        <f t="shared" si="163"/>
        <v>12</v>
      </c>
      <c r="AD1647"/>
    </row>
    <row r="1648" spans="10:30" ht="16.2" customHeight="1">
      <c r="J1648" s="80" t="s">
        <v>746</v>
      </c>
      <c r="K1648" s="80" t="s">
        <v>6584</v>
      </c>
      <c r="L1648" t="s">
        <v>183</v>
      </c>
      <c r="M1648" t="s">
        <v>162</v>
      </c>
      <c r="N1648" t="str">
        <f t="shared" si="162"/>
        <v>Double FrontRenaissance Decorator Rod with Rings Cord DrawnBelow Normal 2075Double Face Fix Brackets</v>
      </c>
      <c r="O1648">
        <v>70</v>
      </c>
      <c r="P1648">
        <v>72</v>
      </c>
      <c r="Q1648" s="80">
        <v>0</v>
      </c>
      <c r="R1648" s="80">
        <f t="shared" si="163"/>
        <v>2</v>
      </c>
      <c r="AD1648"/>
    </row>
    <row r="1649" spans="10:30" ht="16.2" customHeight="1">
      <c r="J1649" s="80" t="s">
        <v>747</v>
      </c>
      <c r="K1649" s="80" t="s">
        <v>6584</v>
      </c>
      <c r="L1649" t="s">
        <v>183</v>
      </c>
      <c r="M1649" t="s">
        <v>162</v>
      </c>
      <c r="N1649" t="str">
        <f t="shared" si="162"/>
        <v>Double RearRenaissance Decorator Rod with Rings Cord DrawnBelow Normal 2075Double Face Fix Brackets</v>
      </c>
      <c r="O1649">
        <v>70</v>
      </c>
      <c r="P1649">
        <v>72</v>
      </c>
      <c r="Q1649" s="80">
        <v>0</v>
      </c>
      <c r="R1649" s="80">
        <f t="shared" si="163"/>
        <v>2</v>
      </c>
      <c r="AD1649"/>
    </row>
    <row r="1650" spans="10:30" ht="16.2" customHeight="1">
      <c r="J1650" s="80" t="s">
        <v>725</v>
      </c>
      <c r="K1650" s="80" t="s">
        <v>6584</v>
      </c>
      <c r="L1650" t="s">
        <v>183</v>
      </c>
      <c r="M1650" t="s">
        <v>162</v>
      </c>
      <c r="N1650" t="str">
        <f t="shared" si="162"/>
        <v>SingleRenaissance Decorator Rod with Rings Cord DrawnBelow Normal 2075Double Face Fix Brackets</v>
      </c>
      <c r="O1650">
        <v>70</v>
      </c>
      <c r="P1650">
        <v>72</v>
      </c>
      <c r="Q1650" s="80">
        <v>0</v>
      </c>
      <c r="R1650" s="80">
        <f t="shared" si="163"/>
        <v>2</v>
      </c>
      <c r="AD1650"/>
    </row>
    <row r="1651" spans="10:30" ht="16.2" customHeight="1">
      <c r="J1651" s="80" t="s">
        <v>746</v>
      </c>
      <c r="K1651" s="80" t="s">
        <v>6584</v>
      </c>
      <c r="L1651" t="s">
        <v>182</v>
      </c>
      <c r="M1651" t="s">
        <v>162</v>
      </c>
      <c r="N1651" t="str">
        <f t="shared" si="162"/>
        <v>Double FrontRenaissance Decorator Rod with Rings Cord DrawnBetween Level and Normal 2073Double Face Fix Brackets</v>
      </c>
      <c r="O1651">
        <v>48</v>
      </c>
      <c r="P1651">
        <v>72</v>
      </c>
      <c r="Q1651" s="80">
        <v>0</v>
      </c>
      <c r="R1651" s="80">
        <f t="shared" si="163"/>
        <v>24</v>
      </c>
      <c r="AD1651"/>
    </row>
    <row r="1652" spans="10:30" ht="16.2" customHeight="1">
      <c r="J1652" s="80" t="s">
        <v>747</v>
      </c>
      <c r="K1652" s="80" t="s">
        <v>6584</v>
      </c>
      <c r="L1652" t="s">
        <v>182</v>
      </c>
      <c r="M1652" t="s">
        <v>162</v>
      </c>
      <c r="N1652" t="str">
        <f t="shared" si="162"/>
        <v>Double RearRenaissance Decorator Rod with Rings Cord DrawnBetween Level and Normal 2073Double Face Fix Brackets</v>
      </c>
      <c r="O1652">
        <v>48</v>
      </c>
      <c r="P1652">
        <v>72</v>
      </c>
      <c r="Q1652" s="80">
        <v>0</v>
      </c>
      <c r="R1652" s="80">
        <f t="shared" si="163"/>
        <v>24</v>
      </c>
      <c r="AD1652"/>
    </row>
    <row r="1653" spans="10:30" ht="16.2" customHeight="1">
      <c r="J1653" s="80" t="s">
        <v>725</v>
      </c>
      <c r="K1653" s="80" t="s">
        <v>6584</v>
      </c>
      <c r="L1653" t="s">
        <v>182</v>
      </c>
      <c r="M1653" t="s">
        <v>162</v>
      </c>
      <c r="N1653" t="str">
        <f t="shared" si="162"/>
        <v>SingleRenaissance Decorator Rod with Rings Cord DrawnBetween Level and Normal 2073Double Face Fix Brackets</v>
      </c>
      <c r="O1653">
        <v>47</v>
      </c>
      <c r="P1653">
        <v>72</v>
      </c>
      <c r="Q1653" s="80">
        <v>0</v>
      </c>
      <c r="R1653" s="80">
        <f t="shared" si="163"/>
        <v>25</v>
      </c>
      <c r="AD1653"/>
    </row>
    <row r="1654" spans="10:30" ht="16.2" customHeight="1">
      <c r="J1654" s="80" t="s">
        <v>746</v>
      </c>
      <c r="K1654" s="80" t="s">
        <v>6584</v>
      </c>
      <c r="L1654" t="s">
        <v>184</v>
      </c>
      <c r="M1654" t="s">
        <v>162</v>
      </c>
      <c r="N1654" t="str">
        <f t="shared" si="162"/>
        <v>Double FrontRenaissance Decorator Rod with Rings Cord DrawnDecorator 2071Double Face Fix Brackets</v>
      </c>
      <c r="O1654">
        <v>20</v>
      </c>
      <c r="P1654">
        <v>72</v>
      </c>
      <c r="Q1654" s="80">
        <v>0</v>
      </c>
      <c r="R1654" s="80">
        <f t="shared" si="163"/>
        <v>52</v>
      </c>
      <c r="AD1654"/>
    </row>
    <row r="1655" spans="10:30" ht="16.2" customHeight="1">
      <c r="J1655" s="80" t="s">
        <v>747</v>
      </c>
      <c r="K1655" s="80" t="s">
        <v>6584</v>
      </c>
      <c r="L1655" t="s">
        <v>184</v>
      </c>
      <c r="M1655" t="s">
        <v>162</v>
      </c>
      <c r="N1655" t="str">
        <f t="shared" si="162"/>
        <v>Double RearRenaissance Decorator Rod with Rings Cord DrawnDecorator 2071Double Face Fix Brackets</v>
      </c>
      <c r="O1655">
        <v>20</v>
      </c>
      <c r="P1655">
        <v>72</v>
      </c>
      <c r="Q1655" s="80">
        <v>0</v>
      </c>
      <c r="R1655" s="80">
        <f t="shared" si="163"/>
        <v>52</v>
      </c>
      <c r="AD1655"/>
    </row>
    <row r="1656" spans="10:30" ht="16.2" customHeight="1">
      <c r="J1656" s="80" t="s">
        <v>725</v>
      </c>
      <c r="K1656" s="80" t="s">
        <v>6584</v>
      </c>
      <c r="L1656" t="s">
        <v>184</v>
      </c>
      <c r="M1656" t="s">
        <v>162</v>
      </c>
      <c r="N1656" t="str">
        <f t="shared" si="162"/>
        <v>SingleRenaissance Decorator Rod with Rings Cord DrawnDecorator 2071Double Face Fix Brackets</v>
      </c>
      <c r="O1656">
        <v>20</v>
      </c>
      <c r="P1656">
        <v>72</v>
      </c>
      <c r="Q1656" s="80">
        <v>0</v>
      </c>
      <c r="R1656" s="80">
        <f t="shared" si="163"/>
        <v>52</v>
      </c>
      <c r="AD1656"/>
    </row>
    <row r="1657" spans="10:30" ht="16.2" customHeight="1">
      <c r="J1657" s="80" t="s">
        <v>746</v>
      </c>
      <c r="K1657" s="80" t="s">
        <v>6584</v>
      </c>
      <c r="L1657" t="s">
        <v>6468</v>
      </c>
      <c r="M1657" t="s">
        <v>162</v>
      </c>
      <c r="N1657" t="str">
        <f t="shared" si="162"/>
        <v>Double FrontRenaissance Decorator Rod with Rings Cord DrawnGather Hook Bottom PocketDouble Face Fix Brackets</v>
      </c>
      <c r="O1657">
        <v>60</v>
      </c>
      <c r="P1657">
        <v>72</v>
      </c>
      <c r="Q1657" s="80">
        <v>0</v>
      </c>
      <c r="R1657" s="80">
        <f t="shared" si="163"/>
        <v>12</v>
      </c>
      <c r="AD1657"/>
    </row>
    <row r="1658" spans="10:30" ht="16.2" customHeight="1">
      <c r="J1658" s="80" t="s">
        <v>725</v>
      </c>
      <c r="K1658" s="80" t="s">
        <v>6584</v>
      </c>
      <c r="L1658" t="s">
        <v>6468</v>
      </c>
      <c r="M1658" t="s">
        <v>162</v>
      </c>
      <c r="N1658" t="str">
        <f t="shared" si="162"/>
        <v>SingleRenaissance Decorator Rod with Rings Cord DrawnGather Hook Bottom PocketDouble Face Fix Brackets</v>
      </c>
      <c r="O1658">
        <v>60</v>
      </c>
      <c r="P1658">
        <v>72</v>
      </c>
      <c r="Q1658" s="80">
        <v>0</v>
      </c>
      <c r="R1658" s="80">
        <f t="shared" si="163"/>
        <v>12</v>
      </c>
      <c r="AD1658"/>
    </row>
    <row r="1659" spans="10:30" ht="16.2" customHeight="1">
      <c r="J1659" s="80" t="s">
        <v>746</v>
      </c>
      <c r="K1659" s="80" t="s">
        <v>6584</v>
      </c>
      <c r="L1659" t="s">
        <v>229</v>
      </c>
      <c r="M1659" t="s">
        <v>162</v>
      </c>
      <c r="N1659" t="str">
        <f t="shared" si="162"/>
        <v>Double FrontRenaissance Decorator Rod with Rings Cord DrawnGather Hook LevelDouble Face Fix Brackets</v>
      </c>
      <c r="O1659">
        <v>20</v>
      </c>
      <c r="P1659">
        <v>72</v>
      </c>
      <c r="Q1659" s="80">
        <v>0</v>
      </c>
      <c r="R1659" s="80">
        <f t="shared" si="163"/>
        <v>52</v>
      </c>
      <c r="AD1659"/>
    </row>
    <row r="1660" spans="10:30" ht="16.2" customHeight="1">
      <c r="J1660" s="80" t="s">
        <v>747</v>
      </c>
      <c r="K1660" s="80" t="s">
        <v>6584</v>
      </c>
      <c r="L1660" t="s">
        <v>229</v>
      </c>
      <c r="M1660" t="s">
        <v>162</v>
      </c>
      <c r="N1660" t="str">
        <f t="shared" si="162"/>
        <v>Double RearRenaissance Decorator Rod with Rings Cord DrawnGather Hook LevelDouble Face Fix Brackets</v>
      </c>
      <c r="O1660">
        <v>20</v>
      </c>
      <c r="P1660">
        <v>72</v>
      </c>
      <c r="Q1660" s="80">
        <v>0</v>
      </c>
      <c r="R1660" s="80">
        <f t="shared" si="163"/>
        <v>52</v>
      </c>
      <c r="AD1660"/>
    </row>
    <row r="1661" spans="10:30" ht="16.2" customHeight="1">
      <c r="J1661" s="80" t="s">
        <v>725</v>
      </c>
      <c r="K1661" s="80" t="s">
        <v>6584</v>
      </c>
      <c r="L1661" t="s">
        <v>229</v>
      </c>
      <c r="M1661" t="s">
        <v>162</v>
      </c>
      <c r="N1661" t="str">
        <f t="shared" si="162"/>
        <v>SingleRenaissance Decorator Rod with Rings Cord DrawnGather Hook LevelDouble Face Fix Brackets</v>
      </c>
      <c r="O1661">
        <v>20</v>
      </c>
      <c r="P1661">
        <v>72</v>
      </c>
      <c r="Q1661" s="80">
        <v>0</v>
      </c>
      <c r="R1661" s="80">
        <f t="shared" si="163"/>
        <v>52</v>
      </c>
      <c r="AD1661"/>
    </row>
    <row r="1662" spans="10:30" ht="16.2" customHeight="1">
      <c r="J1662" s="80" t="s">
        <v>746</v>
      </c>
      <c r="K1662" s="80" t="s">
        <v>6584</v>
      </c>
      <c r="L1662" t="s">
        <v>228</v>
      </c>
      <c r="M1662" t="s">
        <v>162</v>
      </c>
      <c r="N1662" t="str">
        <f t="shared" si="162"/>
        <v>Double FrontRenaissance Decorator Rod with Rings Cord DrawnGather Hook NormalDouble Face Fix Brackets</v>
      </c>
      <c r="O1662">
        <v>43</v>
      </c>
      <c r="P1662">
        <v>72</v>
      </c>
      <c r="Q1662" s="80">
        <v>0</v>
      </c>
      <c r="R1662" s="80">
        <f t="shared" si="163"/>
        <v>29</v>
      </c>
      <c r="AD1662"/>
    </row>
    <row r="1663" spans="10:30" ht="16.2" customHeight="1">
      <c r="J1663" s="80" t="s">
        <v>747</v>
      </c>
      <c r="K1663" s="80" t="s">
        <v>6584</v>
      </c>
      <c r="L1663" t="s">
        <v>228</v>
      </c>
      <c r="M1663" t="s">
        <v>162</v>
      </c>
      <c r="N1663" t="str">
        <f t="shared" si="162"/>
        <v>Double RearRenaissance Decorator Rod with Rings Cord DrawnGather Hook NormalDouble Face Fix Brackets</v>
      </c>
      <c r="O1663">
        <v>43</v>
      </c>
      <c r="P1663">
        <v>72</v>
      </c>
      <c r="Q1663" s="80">
        <v>0</v>
      </c>
      <c r="R1663" s="80">
        <f t="shared" si="163"/>
        <v>29</v>
      </c>
      <c r="AD1663"/>
    </row>
    <row r="1664" spans="10:30" ht="16.2" customHeight="1">
      <c r="J1664" s="80" t="s">
        <v>725</v>
      </c>
      <c r="K1664" s="80" t="s">
        <v>6584</v>
      </c>
      <c r="L1664" t="s">
        <v>228</v>
      </c>
      <c r="M1664" t="s">
        <v>162</v>
      </c>
      <c r="N1664" t="str">
        <f t="shared" si="162"/>
        <v>SingleRenaissance Decorator Rod with Rings Cord DrawnGather Hook NormalDouble Face Fix Brackets</v>
      </c>
      <c r="O1664">
        <v>43</v>
      </c>
      <c r="P1664">
        <v>72</v>
      </c>
      <c r="Q1664" s="80">
        <v>0</v>
      </c>
      <c r="R1664" s="80">
        <f t="shared" si="163"/>
        <v>29</v>
      </c>
      <c r="AD1664"/>
    </row>
    <row r="1665" spans="10:30" ht="16.2" customHeight="1">
      <c r="J1665" s="80" t="s">
        <v>746</v>
      </c>
      <c r="K1665" s="80" t="s">
        <v>6584</v>
      </c>
      <c r="L1665" t="s">
        <v>282</v>
      </c>
      <c r="M1665" t="s">
        <v>162</v>
      </c>
      <c r="N1665" t="str">
        <f t="shared" si="162"/>
        <v>Double FrontRenaissance Decorator Rod with Rings Cord DrawnLevel 2072Double Face Fix Brackets</v>
      </c>
      <c r="O1665">
        <v>38</v>
      </c>
      <c r="P1665">
        <v>72</v>
      </c>
      <c r="Q1665" s="80">
        <v>0</v>
      </c>
      <c r="R1665" s="80">
        <f t="shared" si="163"/>
        <v>34</v>
      </c>
      <c r="AD1665"/>
    </row>
    <row r="1666" spans="10:30" ht="16.2" customHeight="1">
      <c r="J1666" s="80" t="s">
        <v>747</v>
      </c>
      <c r="K1666" s="80" t="s">
        <v>6584</v>
      </c>
      <c r="L1666" t="s">
        <v>282</v>
      </c>
      <c r="M1666" t="s">
        <v>162</v>
      </c>
      <c r="N1666" t="str">
        <f t="shared" si="164" ref="N1666:N1729">(CONCATENATE(J1666,K1666,L1666,M1666))</f>
        <v>Double RearRenaissance Decorator Rod with Rings Cord DrawnLevel 2072Double Face Fix Brackets</v>
      </c>
      <c r="O1666">
        <v>38</v>
      </c>
      <c r="P1666">
        <v>72</v>
      </c>
      <c r="Q1666" s="80">
        <v>0</v>
      </c>
      <c r="R1666" s="80">
        <f t="shared" si="163"/>
        <v>34</v>
      </c>
      <c r="AD1666"/>
    </row>
    <row r="1667" spans="10:30" ht="16.2" customHeight="1">
      <c r="J1667" s="80" t="s">
        <v>725</v>
      </c>
      <c r="K1667" s="80" t="s">
        <v>6584</v>
      </c>
      <c r="L1667" t="s">
        <v>282</v>
      </c>
      <c r="M1667" t="s">
        <v>162</v>
      </c>
      <c r="N1667" t="str">
        <f t="shared" si="164"/>
        <v>SingleRenaissance Decorator Rod with Rings Cord DrawnLevel 2072Double Face Fix Brackets</v>
      </c>
      <c r="O1667">
        <v>35</v>
      </c>
      <c r="P1667">
        <v>72</v>
      </c>
      <c r="Q1667" s="80">
        <v>0</v>
      </c>
      <c r="R1667" s="80">
        <f t="shared" si="163"/>
        <v>37</v>
      </c>
      <c r="AD1667"/>
    </row>
    <row r="1668" spans="10:30" ht="16.2" customHeight="1">
      <c r="J1668" s="80" t="s">
        <v>746</v>
      </c>
      <c r="K1668" s="80" t="s">
        <v>6584</v>
      </c>
      <c r="L1668" t="s">
        <v>170</v>
      </c>
      <c r="M1668" t="s">
        <v>162</v>
      </c>
      <c r="N1668" t="str">
        <f t="shared" si="164"/>
        <v>Double FrontRenaissance Decorator Rod with Rings Cord DrawnNormal 2074Double Face Fix Brackets</v>
      </c>
      <c r="O1668">
        <v>60</v>
      </c>
      <c r="P1668">
        <v>72</v>
      </c>
      <c r="Q1668" s="80">
        <v>0</v>
      </c>
      <c r="R1668" s="80">
        <f t="shared" si="163"/>
        <v>12</v>
      </c>
      <c r="AD1668"/>
    </row>
    <row r="1669" spans="10:30" ht="16.2" customHeight="1">
      <c r="J1669" s="80" t="s">
        <v>747</v>
      </c>
      <c r="K1669" s="80" t="s">
        <v>6584</v>
      </c>
      <c r="L1669" t="s">
        <v>170</v>
      </c>
      <c r="M1669" t="s">
        <v>162</v>
      </c>
      <c r="N1669" t="str">
        <f t="shared" si="164"/>
        <v>Double RearRenaissance Decorator Rod with Rings Cord DrawnNormal 2074Double Face Fix Brackets</v>
      </c>
      <c r="O1669">
        <v>60</v>
      </c>
      <c r="P1669">
        <v>72</v>
      </c>
      <c r="Q1669" s="80">
        <v>0</v>
      </c>
      <c r="R1669" s="80">
        <f t="shared" si="163"/>
        <v>12</v>
      </c>
      <c r="AD1669"/>
    </row>
    <row r="1670" spans="10:30" ht="16.2" customHeight="1">
      <c r="J1670" s="80" t="s">
        <v>725</v>
      </c>
      <c r="K1670" s="80" t="s">
        <v>6584</v>
      </c>
      <c r="L1670" t="s">
        <v>170</v>
      </c>
      <c r="M1670" t="s">
        <v>162</v>
      </c>
      <c r="N1670" t="str">
        <f t="shared" si="164"/>
        <v>SingleRenaissance Decorator Rod with Rings Cord DrawnNormal 2074Double Face Fix Brackets</v>
      </c>
      <c r="O1670">
        <v>60</v>
      </c>
      <c r="P1670">
        <v>72</v>
      </c>
      <c r="Q1670" s="80">
        <v>0</v>
      </c>
      <c r="R1670" s="80">
        <f t="shared" si="163"/>
        <v>12</v>
      </c>
      <c r="AD1670"/>
    </row>
    <row r="1671" spans="10:30" ht="16.2" customHeight="1">
      <c r="J1671" s="80" t="s">
        <v>746</v>
      </c>
      <c r="K1671" s="80" t="s">
        <v>6584</v>
      </c>
      <c r="L1671" t="s">
        <v>183</v>
      </c>
      <c r="M1671" t="s">
        <v>159</v>
      </c>
      <c r="N1671" t="str">
        <f t="shared" si="164"/>
        <v>Double FrontRenaissance Decorator Rod with Rings Cord DrawnBelow Normal 2075Single Face Fix Brackets</v>
      </c>
      <c r="O1671">
        <v>70</v>
      </c>
      <c r="P1671">
        <v>72</v>
      </c>
      <c r="Q1671" s="80">
        <v>0</v>
      </c>
      <c r="R1671" s="80">
        <f t="shared" si="163"/>
        <v>2</v>
      </c>
      <c r="AD1671"/>
    </row>
    <row r="1672" spans="10:30" ht="16.2" customHeight="1">
      <c r="J1672" s="80" t="s">
        <v>747</v>
      </c>
      <c r="K1672" s="80" t="s">
        <v>6584</v>
      </c>
      <c r="L1672" t="s">
        <v>183</v>
      </c>
      <c r="M1672" t="s">
        <v>159</v>
      </c>
      <c r="N1672" t="str">
        <f t="shared" si="164"/>
        <v>Double RearRenaissance Decorator Rod with Rings Cord DrawnBelow Normal 2075Single Face Fix Brackets</v>
      </c>
      <c r="O1672">
        <v>70</v>
      </c>
      <c r="P1672">
        <v>72</v>
      </c>
      <c r="Q1672" s="80">
        <v>0</v>
      </c>
      <c r="R1672" s="80">
        <f t="shared" si="163"/>
        <v>2</v>
      </c>
      <c r="AD1672"/>
    </row>
    <row r="1673" spans="10:30" ht="16.2" customHeight="1">
      <c r="J1673" s="80" t="s">
        <v>725</v>
      </c>
      <c r="K1673" s="80" t="s">
        <v>6584</v>
      </c>
      <c r="L1673" t="s">
        <v>183</v>
      </c>
      <c r="M1673" t="s">
        <v>159</v>
      </c>
      <c r="N1673" t="str">
        <f t="shared" si="164"/>
        <v>SingleRenaissance Decorator Rod with Rings Cord DrawnBelow Normal 2075Single Face Fix Brackets</v>
      </c>
      <c r="O1673">
        <v>70</v>
      </c>
      <c r="P1673">
        <v>72</v>
      </c>
      <c r="Q1673" s="80">
        <v>0</v>
      </c>
      <c r="R1673" s="80">
        <f t="shared" si="163"/>
        <v>2</v>
      </c>
      <c r="AD1673"/>
    </row>
    <row r="1674" spans="10:30" ht="16.2" customHeight="1">
      <c r="J1674" s="80" t="s">
        <v>746</v>
      </c>
      <c r="K1674" s="80" t="s">
        <v>6584</v>
      </c>
      <c r="L1674" t="s">
        <v>182</v>
      </c>
      <c r="M1674" t="s">
        <v>159</v>
      </c>
      <c r="N1674" t="str">
        <f t="shared" si="164"/>
        <v>Double FrontRenaissance Decorator Rod with Rings Cord DrawnBetween Level and Normal 2073Single Face Fix Brackets</v>
      </c>
      <c r="O1674">
        <v>48</v>
      </c>
      <c r="P1674">
        <v>72</v>
      </c>
      <c r="Q1674" s="80">
        <v>0</v>
      </c>
      <c r="R1674" s="80">
        <f t="shared" si="163"/>
        <v>24</v>
      </c>
      <c r="AD1674"/>
    </row>
    <row r="1675" spans="10:30" ht="16.2" customHeight="1">
      <c r="J1675" s="80" t="s">
        <v>747</v>
      </c>
      <c r="K1675" s="80" t="s">
        <v>6584</v>
      </c>
      <c r="L1675" t="s">
        <v>182</v>
      </c>
      <c r="M1675" t="s">
        <v>159</v>
      </c>
      <c r="N1675" t="str">
        <f t="shared" si="164"/>
        <v>Double RearRenaissance Decorator Rod with Rings Cord DrawnBetween Level and Normal 2073Single Face Fix Brackets</v>
      </c>
      <c r="O1675">
        <v>48</v>
      </c>
      <c r="P1675">
        <v>72</v>
      </c>
      <c r="Q1675" s="80">
        <v>0</v>
      </c>
      <c r="R1675" s="80">
        <f t="shared" si="163"/>
        <v>24</v>
      </c>
      <c r="AD1675"/>
    </row>
    <row r="1676" spans="10:30" ht="16.2" customHeight="1">
      <c r="J1676" s="80" t="s">
        <v>725</v>
      </c>
      <c r="K1676" s="80" t="s">
        <v>6584</v>
      </c>
      <c r="L1676" t="s">
        <v>182</v>
      </c>
      <c r="M1676" t="s">
        <v>159</v>
      </c>
      <c r="N1676" t="str">
        <f t="shared" si="164"/>
        <v>SingleRenaissance Decorator Rod with Rings Cord DrawnBetween Level and Normal 2073Single Face Fix Brackets</v>
      </c>
      <c r="O1676">
        <v>47</v>
      </c>
      <c r="P1676">
        <v>72</v>
      </c>
      <c r="Q1676" s="80">
        <v>0</v>
      </c>
      <c r="R1676" s="80">
        <f t="shared" si="163"/>
        <v>25</v>
      </c>
      <c r="AD1676"/>
    </row>
    <row r="1677" spans="10:30" ht="16.2" customHeight="1">
      <c r="J1677" s="80" t="s">
        <v>746</v>
      </c>
      <c r="K1677" s="80" t="s">
        <v>6584</v>
      </c>
      <c r="L1677" t="s">
        <v>184</v>
      </c>
      <c r="M1677" t="s">
        <v>159</v>
      </c>
      <c r="N1677" t="str">
        <f t="shared" si="164"/>
        <v>Double FrontRenaissance Decorator Rod with Rings Cord DrawnDecorator 2071Single Face Fix Brackets</v>
      </c>
      <c r="O1677">
        <v>20</v>
      </c>
      <c r="P1677">
        <v>72</v>
      </c>
      <c r="Q1677" s="80">
        <v>0</v>
      </c>
      <c r="R1677" s="80">
        <f t="shared" si="163"/>
        <v>52</v>
      </c>
      <c r="AD1677"/>
    </row>
    <row r="1678" spans="10:30" ht="16.2" customHeight="1">
      <c r="J1678" s="80" t="s">
        <v>747</v>
      </c>
      <c r="K1678" s="80" t="s">
        <v>6584</v>
      </c>
      <c r="L1678" t="s">
        <v>184</v>
      </c>
      <c r="M1678" t="s">
        <v>159</v>
      </c>
      <c r="N1678" t="str">
        <f t="shared" si="164"/>
        <v>Double RearRenaissance Decorator Rod with Rings Cord DrawnDecorator 2071Single Face Fix Brackets</v>
      </c>
      <c r="O1678">
        <v>20</v>
      </c>
      <c r="P1678">
        <v>72</v>
      </c>
      <c r="Q1678" s="80">
        <v>0</v>
      </c>
      <c r="R1678" s="80">
        <f t="shared" si="163"/>
        <v>52</v>
      </c>
      <c r="AD1678"/>
    </row>
    <row r="1679" spans="10:30" ht="16.2" customHeight="1">
      <c r="J1679" s="80" t="s">
        <v>725</v>
      </c>
      <c r="K1679" s="80" t="s">
        <v>6584</v>
      </c>
      <c r="L1679" t="s">
        <v>184</v>
      </c>
      <c r="M1679" t="s">
        <v>159</v>
      </c>
      <c r="N1679" t="str">
        <f t="shared" si="164"/>
        <v>SingleRenaissance Decorator Rod with Rings Cord DrawnDecorator 2071Single Face Fix Brackets</v>
      </c>
      <c r="O1679">
        <v>20</v>
      </c>
      <c r="P1679">
        <v>72</v>
      </c>
      <c r="Q1679" s="80">
        <v>0</v>
      </c>
      <c r="R1679" s="80">
        <f t="shared" si="163"/>
        <v>52</v>
      </c>
      <c r="AD1679"/>
    </row>
    <row r="1680" spans="10:30" ht="16.2" customHeight="1">
      <c r="J1680" s="80" t="s">
        <v>746</v>
      </c>
      <c r="K1680" s="80" t="s">
        <v>6584</v>
      </c>
      <c r="L1680" t="s">
        <v>6468</v>
      </c>
      <c r="M1680" t="s">
        <v>159</v>
      </c>
      <c r="N1680" t="str">
        <f t="shared" si="164"/>
        <v>Double FrontRenaissance Decorator Rod with Rings Cord DrawnGather Hook Bottom PocketSingle Face Fix Brackets</v>
      </c>
      <c r="O1680">
        <v>60</v>
      </c>
      <c r="P1680">
        <v>72</v>
      </c>
      <c r="Q1680" s="80">
        <v>0</v>
      </c>
      <c r="R1680" s="80">
        <f t="shared" si="163"/>
        <v>12</v>
      </c>
      <c r="AD1680"/>
    </row>
    <row r="1681" spans="10:30" ht="16.2" customHeight="1">
      <c r="J1681" s="80" t="s">
        <v>725</v>
      </c>
      <c r="K1681" s="80" t="s">
        <v>6584</v>
      </c>
      <c r="L1681" t="s">
        <v>6468</v>
      </c>
      <c r="M1681" t="s">
        <v>159</v>
      </c>
      <c r="N1681" t="str">
        <f t="shared" si="164"/>
        <v>SingleRenaissance Decorator Rod with Rings Cord DrawnGather Hook Bottom PocketSingle Face Fix Brackets</v>
      </c>
      <c r="O1681">
        <v>60</v>
      </c>
      <c r="P1681">
        <v>72</v>
      </c>
      <c r="Q1681" s="80">
        <v>0</v>
      </c>
      <c r="R1681" s="80">
        <f t="shared" si="163"/>
        <v>12</v>
      </c>
      <c r="AD1681"/>
    </row>
    <row r="1682" spans="10:30" ht="16.2" customHeight="1">
      <c r="J1682" s="80" t="s">
        <v>746</v>
      </c>
      <c r="K1682" s="80" t="s">
        <v>6584</v>
      </c>
      <c r="L1682" t="s">
        <v>229</v>
      </c>
      <c r="M1682" t="s">
        <v>159</v>
      </c>
      <c r="N1682" t="str">
        <f t="shared" si="164"/>
        <v>Double FrontRenaissance Decorator Rod with Rings Cord DrawnGather Hook LevelSingle Face Fix Brackets</v>
      </c>
      <c r="O1682">
        <v>20</v>
      </c>
      <c r="P1682">
        <v>72</v>
      </c>
      <c r="Q1682" s="80">
        <v>0</v>
      </c>
      <c r="R1682" s="80">
        <f t="shared" si="163"/>
        <v>52</v>
      </c>
      <c r="AD1682"/>
    </row>
    <row r="1683" spans="10:30" ht="16.2" customHeight="1">
      <c r="J1683" s="80" t="s">
        <v>747</v>
      </c>
      <c r="K1683" s="80" t="s">
        <v>6584</v>
      </c>
      <c r="L1683" t="s">
        <v>229</v>
      </c>
      <c r="M1683" t="s">
        <v>159</v>
      </c>
      <c r="N1683" t="str">
        <f t="shared" si="164"/>
        <v>Double RearRenaissance Decorator Rod with Rings Cord DrawnGather Hook LevelSingle Face Fix Brackets</v>
      </c>
      <c r="O1683">
        <v>20</v>
      </c>
      <c r="P1683">
        <v>72</v>
      </c>
      <c r="Q1683" s="80">
        <v>0</v>
      </c>
      <c r="R1683" s="80">
        <f t="shared" si="163"/>
        <v>52</v>
      </c>
      <c r="AD1683"/>
    </row>
    <row r="1684" spans="10:30" ht="16.2" customHeight="1">
      <c r="J1684" s="80" t="s">
        <v>725</v>
      </c>
      <c r="K1684" s="80" t="s">
        <v>6584</v>
      </c>
      <c r="L1684" t="s">
        <v>229</v>
      </c>
      <c r="M1684" t="s">
        <v>159</v>
      </c>
      <c r="N1684" t="str">
        <f t="shared" si="164"/>
        <v>SingleRenaissance Decorator Rod with Rings Cord DrawnGather Hook LevelSingle Face Fix Brackets</v>
      </c>
      <c r="O1684">
        <v>20</v>
      </c>
      <c r="P1684">
        <v>72</v>
      </c>
      <c r="Q1684" s="80">
        <v>0</v>
      </c>
      <c r="R1684" s="80">
        <f t="shared" si="163"/>
        <v>52</v>
      </c>
      <c r="AD1684"/>
    </row>
    <row r="1685" spans="10:30" ht="16.2" customHeight="1">
      <c r="J1685" s="80" t="s">
        <v>746</v>
      </c>
      <c r="K1685" s="80" t="s">
        <v>6584</v>
      </c>
      <c r="L1685" t="s">
        <v>228</v>
      </c>
      <c r="M1685" t="s">
        <v>159</v>
      </c>
      <c r="N1685" t="str">
        <f t="shared" si="164"/>
        <v>Double FrontRenaissance Decorator Rod with Rings Cord DrawnGather Hook NormalSingle Face Fix Brackets</v>
      </c>
      <c r="O1685">
        <v>43</v>
      </c>
      <c r="P1685">
        <v>72</v>
      </c>
      <c r="Q1685" s="80">
        <v>0</v>
      </c>
      <c r="R1685" s="80">
        <f t="shared" si="163"/>
        <v>29</v>
      </c>
      <c r="AD1685"/>
    </row>
    <row r="1686" spans="10:30" ht="16.2" customHeight="1">
      <c r="J1686" s="80" t="s">
        <v>747</v>
      </c>
      <c r="K1686" s="80" t="s">
        <v>6584</v>
      </c>
      <c r="L1686" t="s">
        <v>228</v>
      </c>
      <c r="M1686" t="s">
        <v>159</v>
      </c>
      <c r="N1686" t="str">
        <f t="shared" si="164"/>
        <v>Double RearRenaissance Decorator Rod with Rings Cord DrawnGather Hook NormalSingle Face Fix Brackets</v>
      </c>
      <c r="O1686">
        <v>43</v>
      </c>
      <c r="P1686">
        <v>72</v>
      </c>
      <c r="Q1686" s="80">
        <v>0</v>
      </c>
      <c r="R1686" s="80">
        <f t="shared" si="163"/>
        <v>29</v>
      </c>
      <c r="AD1686"/>
    </row>
    <row r="1687" spans="10:30" ht="16.2" customHeight="1">
      <c r="J1687" s="80" t="s">
        <v>725</v>
      </c>
      <c r="K1687" s="80" t="s">
        <v>6584</v>
      </c>
      <c r="L1687" t="s">
        <v>228</v>
      </c>
      <c r="M1687" t="s">
        <v>159</v>
      </c>
      <c r="N1687" t="str">
        <f t="shared" si="164"/>
        <v>SingleRenaissance Decorator Rod with Rings Cord DrawnGather Hook NormalSingle Face Fix Brackets</v>
      </c>
      <c r="O1687">
        <v>43</v>
      </c>
      <c r="P1687">
        <v>72</v>
      </c>
      <c r="Q1687" s="80">
        <v>0</v>
      </c>
      <c r="R1687" s="80">
        <f t="shared" si="163"/>
        <v>29</v>
      </c>
      <c r="AD1687"/>
    </row>
    <row r="1688" spans="10:30" ht="16.2" customHeight="1">
      <c r="J1688" s="80" t="s">
        <v>746</v>
      </c>
      <c r="K1688" s="80" t="s">
        <v>6584</v>
      </c>
      <c r="L1688" t="s">
        <v>282</v>
      </c>
      <c r="M1688" t="s">
        <v>159</v>
      </c>
      <c r="N1688" t="str">
        <f t="shared" si="164"/>
        <v>Double FrontRenaissance Decorator Rod with Rings Cord DrawnLevel 2072Single Face Fix Brackets</v>
      </c>
      <c r="O1688">
        <v>38</v>
      </c>
      <c r="P1688">
        <v>72</v>
      </c>
      <c r="Q1688" s="80">
        <v>0</v>
      </c>
      <c r="R1688" s="80">
        <f t="shared" si="163"/>
        <v>34</v>
      </c>
      <c r="AD1688"/>
    </row>
    <row r="1689" spans="10:30" ht="16.2" customHeight="1">
      <c r="J1689" s="80" t="s">
        <v>747</v>
      </c>
      <c r="K1689" s="80" t="s">
        <v>6584</v>
      </c>
      <c r="L1689" t="s">
        <v>282</v>
      </c>
      <c r="M1689" t="s">
        <v>159</v>
      </c>
      <c r="N1689" t="str">
        <f t="shared" si="164"/>
        <v>Double RearRenaissance Decorator Rod with Rings Cord DrawnLevel 2072Single Face Fix Brackets</v>
      </c>
      <c r="O1689">
        <v>38</v>
      </c>
      <c r="P1689">
        <v>72</v>
      </c>
      <c r="Q1689" s="80">
        <v>0</v>
      </c>
      <c r="R1689" s="80">
        <f t="shared" si="163"/>
        <v>34</v>
      </c>
      <c r="AD1689"/>
    </row>
    <row r="1690" spans="10:30" ht="16.2" customHeight="1">
      <c r="J1690" s="80" t="s">
        <v>725</v>
      </c>
      <c r="K1690" s="80" t="s">
        <v>6584</v>
      </c>
      <c r="L1690" t="s">
        <v>282</v>
      </c>
      <c r="M1690" t="s">
        <v>159</v>
      </c>
      <c r="N1690" t="str">
        <f t="shared" si="164"/>
        <v>SingleRenaissance Decorator Rod with Rings Cord DrawnLevel 2072Single Face Fix Brackets</v>
      </c>
      <c r="O1690">
        <v>35</v>
      </c>
      <c r="P1690">
        <v>72</v>
      </c>
      <c r="Q1690" s="80">
        <v>0</v>
      </c>
      <c r="R1690" s="80">
        <f t="shared" si="163"/>
        <v>37</v>
      </c>
      <c r="AD1690"/>
    </row>
    <row r="1691" spans="10:30" ht="16.2" customHeight="1">
      <c r="J1691" s="80" t="s">
        <v>746</v>
      </c>
      <c r="K1691" s="80" t="s">
        <v>6584</v>
      </c>
      <c r="L1691" t="s">
        <v>170</v>
      </c>
      <c r="M1691" t="s">
        <v>159</v>
      </c>
      <c r="N1691" t="str">
        <f t="shared" si="164"/>
        <v>Double FrontRenaissance Decorator Rod with Rings Cord DrawnNormal 2074Single Face Fix Brackets</v>
      </c>
      <c r="O1691">
        <v>60</v>
      </c>
      <c r="P1691">
        <v>72</v>
      </c>
      <c r="Q1691" s="80">
        <v>0</v>
      </c>
      <c r="R1691" s="80">
        <f t="shared" si="163"/>
        <v>12</v>
      </c>
      <c r="AD1691"/>
    </row>
    <row r="1692" spans="10:30" ht="16.2" customHeight="1">
      <c r="J1692" s="80" t="s">
        <v>747</v>
      </c>
      <c r="K1692" s="80" t="s">
        <v>6584</v>
      </c>
      <c r="L1692" t="s">
        <v>170</v>
      </c>
      <c r="M1692" t="s">
        <v>159</v>
      </c>
      <c r="N1692" t="str">
        <f t="shared" si="164"/>
        <v>Double RearRenaissance Decorator Rod with Rings Cord DrawnNormal 2074Single Face Fix Brackets</v>
      </c>
      <c r="O1692">
        <v>60</v>
      </c>
      <c r="P1692">
        <v>72</v>
      </c>
      <c r="Q1692" s="80">
        <v>0</v>
      </c>
      <c r="R1692" s="80">
        <f t="shared" si="163"/>
        <v>12</v>
      </c>
      <c r="AD1692"/>
    </row>
    <row r="1693" spans="10:30" ht="16.2" customHeight="1">
      <c r="J1693" s="80" t="s">
        <v>725</v>
      </c>
      <c r="K1693" s="80" t="s">
        <v>6584</v>
      </c>
      <c r="L1693" t="s">
        <v>170</v>
      </c>
      <c r="M1693" t="s">
        <v>159</v>
      </c>
      <c r="N1693" t="str">
        <f t="shared" si="164"/>
        <v>SingleRenaissance Decorator Rod with Rings Cord DrawnNormal 2074Single Face Fix Brackets</v>
      </c>
      <c r="O1693">
        <v>60</v>
      </c>
      <c r="P1693">
        <v>72</v>
      </c>
      <c r="Q1693" s="80">
        <v>0</v>
      </c>
      <c r="R1693" s="80">
        <f t="shared" si="163"/>
        <v>12</v>
      </c>
      <c r="AD1693"/>
    </row>
    <row r="1694" spans="10:30" ht="16.2" customHeight="1">
      <c r="J1694" s="80" t="s">
        <v>746</v>
      </c>
      <c r="K1694" s="80" t="s">
        <v>6585</v>
      </c>
      <c r="L1694" t="s">
        <v>183</v>
      </c>
      <c r="M1694" t="s">
        <v>162</v>
      </c>
      <c r="N1694" t="str">
        <f t="shared" si="164"/>
        <v>Double FrontRenaissance Decorator Rod with Rings Hand DrawnBelow Normal 2075Double Face Fix Brackets</v>
      </c>
      <c r="O1694">
        <v>70</v>
      </c>
      <c r="P1694">
        <v>72</v>
      </c>
      <c r="Q1694" s="80">
        <v>0</v>
      </c>
      <c r="R1694" s="80">
        <f t="shared" si="163"/>
        <v>2</v>
      </c>
      <c r="AD1694"/>
    </row>
    <row r="1695" spans="10:30" ht="16.2" customHeight="1">
      <c r="J1695" s="80" t="s">
        <v>747</v>
      </c>
      <c r="K1695" s="80" t="s">
        <v>6585</v>
      </c>
      <c r="L1695" t="s">
        <v>183</v>
      </c>
      <c r="M1695" t="s">
        <v>162</v>
      </c>
      <c r="N1695" t="str">
        <f t="shared" si="164"/>
        <v>Double RearRenaissance Decorator Rod with Rings Hand DrawnBelow Normal 2075Double Face Fix Brackets</v>
      </c>
      <c r="O1695">
        <v>70</v>
      </c>
      <c r="P1695">
        <v>72</v>
      </c>
      <c r="Q1695" s="80">
        <v>0</v>
      </c>
      <c r="R1695" s="80">
        <f t="shared" si="165" ref="R1695:R1758">SUM(P1695)-O1695</f>
        <v>2</v>
      </c>
      <c r="AD1695"/>
    </row>
    <row r="1696" spans="10:30" ht="16.2" customHeight="1">
      <c r="J1696" s="80" t="s">
        <v>725</v>
      </c>
      <c r="K1696" s="80" t="s">
        <v>6585</v>
      </c>
      <c r="L1696" t="s">
        <v>183</v>
      </c>
      <c r="M1696" t="s">
        <v>162</v>
      </c>
      <c r="N1696" t="str">
        <f t="shared" si="164"/>
        <v>SingleRenaissance Decorator Rod with Rings Hand DrawnBelow Normal 2075Double Face Fix Brackets</v>
      </c>
      <c r="O1696">
        <v>70</v>
      </c>
      <c r="P1696">
        <v>72</v>
      </c>
      <c r="Q1696" s="80">
        <v>0</v>
      </c>
      <c r="R1696" s="80">
        <f t="shared" si="165"/>
        <v>2</v>
      </c>
      <c r="AD1696"/>
    </row>
    <row r="1697" spans="10:30" ht="16.2" customHeight="1">
      <c r="J1697" s="80" t="s">
        <v>746</v>
      </c>
      <c r="K1697" s="80" t="s">
        <v>6585</v>
      </c>
      <c r="L1697" t="s">
        <v>182</v>
      </c>
      <c r="M1697" t="s">
        <v>162</v>
      </c>
      <c r="N1697" t="str">
        <f t="shared" si="164"/>
        <v>Double FrontRenaissance Decorator Rod with Rings Hand DrawnBetween Level and Normal 2073Double Face Fix Brackets</v>
      </c>
      <c r="O1697">
        <v>48</v>
      </c>
      <c r="P1697">
        <v>72</v>
      </c>
      <c r="Q1697" s="80">
        <v>0</v>
      </c>
      <c r="R1697" s="80">
        <f t="shared" si="165"/>
        <v>24</v>
      </c>
      <c r="AD1697"/>
    </row>
    <row r="1698" spans="10:30" ht="16.2" customHeight="1">
      <c r="J1698" s="80" t="s">
        <v>747</v>
      </c>
      <c r="K1698" s="80" t="s">
        <v>6585</v>
      </c>
      <c r="L1698" t="s">
        <v>182</v>
      </c>
      <c r="M1698" t="s">
        <v>162</v>
      </c>
      <c r="N1698" t="str">
        <f t="shared" si="164"/>
        <v>Double RearRenaissance Decorator Rod with Rings Hand DrawnBetween Level and Normal 2073Double Face Fix Brackets</v>
      </c>
      <c r="O1698">
        <v>48</v>
      </c>
      <c r="P1698">
        <v>72</v>
      </c>
      <c r="Q1698" s="80">
        <v>0</v>
      </c>
      <c r="R1698" s="80">
        <f t="shared" si="165"/>
        <v>24</v>
      </c>
      <c r="AD1698"/>
    </row>
    <row r="1699" spans="10:30" ht="16.2" customHeight="1">
      <c r="J1699" s="80" t="s">
        <v>725</v>
      </c>
      <c r="K1699" s="80" t="s">
        <v>6585</v>
      </c>
      <c r="L1699" t="s">
        <v>182</v>
      </c>
      <c r="M1699" t="s">
        <v>162</v>
      </c>
      <c r="N1699" t="str">
        <f t="shared" si="164"/>
        <v>SingleRenaissance Decorator Rod with Rings Hand DrawnBetween Level and Normal 2073Double Face Fix Brackets</v>
      </c>
      <c r="O1699">
        <v>47</v>
      </c>
      <c r="P1699">
        <v>72</v>
      </c>
      <c r="Q1699" s="80">
        <v>0</v>
      </c>
      <c r="R1699" s="80">
        <f t="shared" si="165"/>
        <v>25</v>
      </c>
      <c r="AD1699"/>
    </row>
    <row r="1700" spans="10:30" ht="16.2" customHeight="1">
      <c r="J1700" s="80" t="s">
        <v>746</v>
      </c>
      <c r="K1700" s="80" t="s">
        <v>6585</v>
      </c>
      <c r="L1700" t="s">
        <v>184</v>
      </c>
      <c r="M1700" t="s">
        <v>162</v>
      </c>
      <c r="N1700" t="str">
        <f t="shared" si="164"/>
        <v>Double FrontRenaissance Decorator Rod with Rings Hand DrawnDecorator 2071Double Face Fix Brackets</v>
      </c>
      <c r="O1700">
        <v>20</v>
      </c>
      <c r="P1700">
        <v>72</v>
      </c>
      <c r="Q1700" s="80">
        <v>0</v>
      </c>
      <c r="R1700" s="80">
        <f t="shared" si="165"/>
        <v>52</v>
      </c>
      <c r="AD1700"/>
    </row>
    <row r="1701" spans="10:30" ht="16.2" customHeight="1">
      <c r="J1701" s="80" t="s">
        <v>747</v>
      </c>
      <c r="K1701" s="80" t="s">
        <v>6585</v>
      </c>
      <c r="L1701" t="s">
        <v>184</v>
      </c>
      <c r="M1701" t="s">
        <v>162</v>
      </c>
      <c r="N1701" t="str">
        <f t="shared" si="164"/>
        <v>Double RearRenaissance Decorator Rod with Rings Hand DrawnDecorator 2071Double Face Fix Brackets</v>
      </c>
      <c r="O1701">
        <v>20</v>
      </c>
      <c r="P1701">
        <v>72</v>
      </c>
      <c r="Q1701" s="80">
        <v>0</v>
      </c>
      <c r="R1701" s="80">
        <f t="shared" si="165"/>
        <v>52</v>
      </c>
      <c r="AD1701"/>
    </row>
    <row r="1702" spans="10:30" ht="16.2" customHeight="1">
      <c r="J1702" s="80" t="s">
        <v>725</v>
      </c>
      <c r="K1702" s="80" t="s">
        <v>6585</v>
      </c>
      <c r="L1702" t="s">
        <v>184</v>
      </c>
      <c r="M1702" t="s">
        <v>162</v>
      </c>
      <c r="N1702" t="str">
        <f t="shared" si="164"/>
        <v>SingleRenaissance Decorator Rod with Rings Hand DrawnDecorator 2071Double Face Fix Brackets</v>
      </c>
      <c r="O1702">
        <v>20</v>
      </c>
      <c r="P1702">
        <v>72</v>
      </c>
      <c r="Q1702" s="80">
        <v>0</v>
      </c>
      <c r="R1702" s="80">
        <f t="shared" si="165"/>
        <v>52</v>
      </c>
      <c r="AD1702"/>
    </row>
    <row r="1703" spans="10:30" ht="16.2" customHeight="1">
      <c r="J1703" s="80" t="s">
        <v>746</v>
      </c>
      <c r="K1703" s="80" t="s">
        <v>6585</v>
      </c>
      <c r="L1703" t="s">
        <v>6468</v>
      </c>
      <c r="M1703" t="s">
        <v>162</v>
      </c>
      <c r="N1703" t="str">
        <f t="shared" si="164"/>
        <v>Double FrontRenaissance Decorator Rod with Rings Hand DrawnGather Hook Bottom PocketDouble Face Fix Brackets</v>
      </c>
      <c r="O1703">
        <v>60</v>
      </c>
      <c r="P1703">
        <v>72</v>
      </c>
      <c r="Q1703" s="80">
        <v>0</v>
      </c>
      <c r="R1703" s="80">
        <f t="shared" si="165"/>
        <v>12</v>
      </c>
      <c r="AD1703"/>
    </row>
    <row r="1704" spans="10:30" ht="16.2" customHeight="1">
      <c r="J1704" s="80" t="s">
        <v>725</v>
      </c>
      <c r="K1704" s="80" t="s">
        <v>6585</v>
      </c>
      <c r="L1704" t="s">
        <v>6468</v>
      </c>
      <c r="M1704" t="s">
        <v>162</v>
      </c>
      <c r="N1704" t="str">
        <f t="shared" si="164"/>
        <v>SingleRenaissance Decorator Rod with Rings Hand DrawnGather Hook Bottom PocketDouble Face Fix Brackets</v>
      </c>
      <c r="O1704">
        <v>60</v>
      </c>
      <c r="P1704">
        <v>72</v>
      </c>
      <c r="Q1704" s="80">
        <v>0</v>
      </c>
      <c r="R1704" s="80">
        <f t="shared" si="165"/>
        <v>12</v>
      </c>
      <c r="AD1704"/>
    </row>
    <row r="1705" spans="10:30" ht="16.2" customHeight="1">
      <c r="J1705" s="80" t="s">
        <v>746</v>
      </c>
      <c r="K1705" s="80" t="s">
        <v>6585</v>
      </c>
      <c r="L1705" t="s">
        <v>229</v>
      </c>
      <c r="M1705" t="s">
        <v>162</v>
      </c>
      <c r="N1705" t="str">
        <f t="shared" si="164"/>
        <v>Double FrontRenaissance Decorator Rod with Rings Hand DrawnGather Hook LevelDouble Face Fix Brackets</v>
      </c>
      <c r="O1705">
        <v>20</v>
      </c>
      <c r="P1705">
        <v>72</v>
      </c>
      <c r="Q1705" s="80">
        <v>0</v>
      </c>
      <c r="R1705" s="80">
        <f t="shared" si="165"/>
        <v>52</v>
      </c>
      <c r="AD1705"/>
    </row>
    <row r="1706" spans="10:30" ht="16.2" customHeight="1">
      <c r="J1706" s="80" t="s">
        <v>747</v>
      </c>
      <c r="K1706" s="80" t="s">
        <v>6585</v>
      </c>
      <c r="L1706" t="s">
        <v>229</v>
      </c>
      <c r="M1706" t="s">
        <v>162</v>
      </c>
      <c r="N1706" t="str">
        <f t="shared" si="164"/>
        <v>Double RearRenaissance Decorator Rod with Rings Hand DrawnGather Hook LevelDouble Face Fix Brackets</v>
      </c>
      <c r="O1706">
        <v>20</v>
      </c>
      <c r="P1706">
        <v>72</v>
      </c>
      <c r="Q1706" s="80">
        <v>0</v>
      </c>
      <c r="R1706" s="80">
        <f t="shared" si="165"/>
        <v>52</v>
      </c>
      <c r="AD1706"/>
    </row>
    <row r="1707" spans="10:30" ht="16.2" customHeight="1">
      <c r="J1707" s="80" t="s">
        <v>725</v>
      </c>
      <c r="K1707" s="80" t="s">
        <v>6585</v>
      </c>
      <c r="L1707" t="s">
        <v>229</v>
      </c>
      <c r="M1707" t="s">
        <v>162</v>
      </c>
      <c r="N1707" t="str">
        <f t="shared" si="164"/>
        <v>SingleRenaissance Decorator Rod with Rings Hand DrawnGather Hook LevelDouble Face Fix Brackets</v>
      </c>
      <c r="O1707">
        <v>20</v>
      </c>
      <c r="P1707">
        <v>72</v>
      </c>
      <c r="Q1707" s="80">
        <v>0</v>
      </c>
      <c r="R1707" s="80">
        <f t="shared" si="165"/>
        <v>52</v>
      </c>
      <c r="AD1707"/>
    </row>
    <row r="1708" spans="10:30" ht="16.2" customHeight="1">
      <c r="J1708" s="80" t="s">
        <v>746</v>
      </c>
      <c r="K1708" s="80" t="s">
        <v>6585</v>
      </c>
      <c r="L1708" t="s">
        <v>228</v>
      </c>
      <c r="M1708" t="s">
        <v>162</v>
      </c>
      <c r="N1708" t="str">
        <f t="shared" si="164"/>
        <v>Double FrontRenaissance Decorator Rod with Rings Hand DrawnGather Hook NormalDouble Face Fix Brackets</v>
      </c>
      <c r="O1708">
        <v>43</v>
      </c>
      <c r="P1708">
        <v>72</v>
      </c>
      <c r="Q1708" s="80">
        <v>0</v>
      </c>
      <c r="R1708" s="80">
        <f t="shared" si="165"/>
        <v>29</v>
      </c>
      <c r="AD1708"/>
    </row>
    <row r="1709" spans="10:30" ht="16.2" customHeight="1">
      <c r="J1709" s="80" t="s">
        <v>747</v>
      </c>
      <c r="K1709" s="80" t="s">
        <v>6585</v>
      </c>
      <c r="L1709" t="s">
        <v>228</v>
      </c>
      <c r="M1709" t="s">
        <v>162</v>
      </c>
      <c r="N1709" t="str">
        <f t="shared" si="164"/>
        <v>Double RearRenaissance Decorator Rod with Rings Hand DrawnGather Hook NormalDouble Face Fix Brackets</v>
      </c>
      <c r="O1709">
        <v>43</v>
      </c>
      <c r="P1709">
        <v>72</v>
      </c>
      <c r="Q1709" s="80">
        <v>0</v>
      </c>
      <c r="R1709" s="80">
        <f t="shared" si="165"/>
        <v>29</v>
      </c>
      <c r="AD1709"/>
    </row>
    <row r="1710" spans="10:30" ht="16.2" customHeight="1">
      <c r="J1710" s="80" t="s">
        <v>725</v>
      </c>
      <c r="K1710" s="80" t="s">
        <v>6585</v>
      </c>
      <c r="L1710" t="s">
        <v>228</v>
      </c>
      <c r="M1710" t="s">
        <v>162</v>
      </c>
      <c r="N1710" t="str">
        <f t="shared" si="164"/>
        <v>SingleRenaissance Decorator Rod with Rings Hand DrawnGather Hook NormalDouble Face Fix Brackets</v>
      </c>
      <c r="O1710">
        <v>43</v>
      </c>
      <c r="P1710">
        <v>72</v>
      </c>
      <c r="Q1710" s="80">
        <v>0</v>
      </c>
      <c r="R1710" s="80">
        <f t="shared" si="165"/>
        <v>29</v>
      </c>
      <c r="AD1710"/>
    </row>
    <row r="1711" spans="10:30" ht="16.2" customHeight="1">
      <c r="J1711" s="80" t="s">
        <v>746</v>
      </c>
      <c r="K1711" s="80" t="s">
        <v>6585</v>
      </c>
      <c r="L1711" t="s">
        <v>282</v>
      </c>
      <c r="M1711" t="s">
        <v>162</v>
      </c>
      <c r="N1711" t="str">
        <f t="shared" si="164"/>
        <v>Double FrontRenaissance Decorator Rod with Rings Hand DrawnLevel 2072Double Face Fix Brackets</v>
      </c>
      <c r="O1711">
        <v>38</v>
      </c>
      <c r="P1711">
        <v>72</v>
      </c>
      <c r="Q1711" s="80">
        <v>0</v>
      </c>
      <c r="R1711" s="80">
        <f t="shared" si="165"/>
        <v>34</v>
      </c>
      <c r="AD1711"/>
    </row>
    <row r="1712" spans="10:30" ht="16.2" customHeight="1">
      <c r="J1712" s="80" t="s">
        <v>747</v>
      </c>
      <c r="K1712" s="80" t="s">
        <v>6585</v>
      </c>
      <c r="L1712" t="s">
        <v>282</v>
      </c>
      <c r="M1712" t="s">
        <v>162</v>
      </c>
      <c r="N1712" t="str">
        <f t="shared" si="164"/>
        <v>Double RearRenaissance Decorator Rod with Rings Hand DrawnLevel 2072Double Face Fix Brackets</v>
      </c>
      <c r="O1712">
        <v>38</v>
      </c>
      <c r="P1712">
        <v>72</v>
      </c>
      <c r="Q1712" s="80">
        <v>0</v>
      </c>
      <c r="R1712" s="80">
        <f t="shared" si="165"/>
        <v>34</v>
      </c>
      <c r="AD1712"/>
    </row>
    <row r="1713" spans="10:30" ht="16.2" customHeight="1">
      <c r="J1713" s="80" t="s">
        <v>725</v>
      </c>
      <c r="K1713" s="80" t="s">
        <v>6585</v>
      </c>
      <c r="L1713" t="s">
        <v>282</v>
      </c>
      <c r="M1713" t="s">
        <v>162</v>
      </c>
      <c r="N1713" t="str">
        <f t="shared" si="164"/>
        <v>SingleRenaissance Decorator Rod with Rings Hand DrawnLevel 2072Double Face Fix Brackets</v>
      </c>
      <c r="O1713">
        <v>35</v>
      </c>
      <c r="P1713">
        <v>72</v>
      </c>
      <c r="Q1713" s="80">
        <v>0</v>
      </c>
      <c r="R1713" s="80">
        <f t="shared" si="165"/>
        <v>37</v>
      </c>
      <c r="AD1713"/>
    </row>
    <row r="1714" spans="10:30" ht="16.2" customHeight="1">
      <c r="J1714" s="80" t="s">
        <v>746</v>
      </c>
      <c r="K1714" s="80" t="s">
        <v>6585</v>
      </c>
      <c r="L1714" t="s">
        <v>170</v>
      </c>
      <c r="M1714" t="s">
        <v>162</v>
      </c>
      <c r="N1714" t="str">
        <f t="shared" si="164"/>
        <v>Double FrontRenaissance Decorator Rod with Rings Hand DrawnNormal 2074Double Face Fix Brackets</v>
      </c>
      <c r="O1714">
        <v>60</v>
      </c>
      <c r="P1714">
        <v>72</v>
      </c>
      <c r="Q1714" s="80">
        <v>0</v>
      </c>
      <c r="R1714" s="80">
        <f t="shared" si="165"/>
        <v>12</v>
      </c>
      <c r="AD1714"/>
    </row>
    <row r="1715" spans="10:30" ht="16.2" customHeight="1">
      <c r="J1715" s="80" t="s">
        <v>747</v>
      </c>
      <c r="K1715" s="80" t="s">
        <v>6585</v>
      </c>
      <c r="L1715" t="s">
        <v>170</v>
      </c>
      <c r="M1715" t="s">
        <v>162</v>
      </c>
      <c r="N1715" t="str">
        <f t="shared" si="164"/>
        <v>Double RearRenaissance Decorator Rod with Rings Hand DrawnNormal 2074Double Face Fix Brackets</v>
      </c>
      <c r="O1715">
        <v>60</v>
      </c>
      <c r="P1715">
        <v>72</v>
      </c>
      <c r="Q1715" s="80">
        <v>0</v>
      </c>
      <c r="R1715" s="80">
        <f t="shared" si="165"/>
        <v>12</v>
      </c>
      <c r="AD1715"/>
    </row>
    <row r="1716" spans="10:30" ht="16.2" customHeight="1">
      <c r="J1716" s="80" t="s">
        <v>725</v>
      </c>
      <c r="K1716" s="80" t="s">
        <v>6585</v>
      </c>
      <c r="L1716" t="s">
        <v>170</v>
      </c>
      <c r="M1716" t="s">
        <v>162</v>
      </c>
      <c r="N1716" t="str">
        <f t="shared" si="164"/>
        <v>SingleRenaissance Decorator Rod with Rings Hand DrawnNormal 2074Double Face Fix Brackets</v>
      </c>
      <c r="O1716">
        <v>60</v>
      </c>
      <c r="P1716">
        <v>72</v>
      </c>
      <c r="Q1716" s="80">
        <v>0</v>
      </c>
      <c r="R1716" s="80">
        <f t="shared" si="165"/>
        <v>12</v>
      </c>
      <c r="AD1716"/>
    </row>
    <row r="1717" spans="10:30" ht="16.2" customHeight="1">
      <c r="J1717" s="80" t="s">
        <v>746</v>
      </c>
      <c r="K1717" s="80" t="s">
        <v>6585</v>
      </c>
      <c r="L1717" t="s">
        <v>183</v>
      </c>
      <c r="M1717" t="s">
        <v>159</v>
      </c>
      <c r="N1717" t="str">
        <f t="shared" si="164"/>
        <v>Double FrontRenaissance Decorator Rod with Rings Hand DrawnBelow Normal 2075Single Face Fix Brackets</v>
      </c>
      <c r="O1717">
        <v>70</v>
      </c>
      <c r="P1717">
        <v>72</v>
      </c>
      <c r="Q1717" s="80">
        <v>0</v>
      </c>
      <c r="R1717" s="80">
        <f t="shared" si="165"/>
        <v>2</v>
      </c>
      <c r="AD1717"/>
    </row>
    <row r="1718" spans="10:30" ht="16.2" customHeight="1">
      <c r="J1718" s="80" t="s">
        <v>747</v>
      </c>
      <c r="K1718" s="80" t="s">
        <v>6585</v>
      </c>
      <c r="L1718" t="s">
        <v>183</v>
      </c>
      <c r="M1718" t="s">
        <v>159</v>
      </c>
      <c r="N1718" t="str">
        <f t="shared" si="164"/>
        <v>Double RearRenaissance Decorator Rod with Rings Hand DrawnBelow Normal 2075Single Face Fix Brackets</v>
      </c>
      <c r="O1718">
        <v>70</v>
      </c>
      <c r="P1718">
        <v>72</v>
      </c>
      <c r="Q1718" s="80">
        <v>0</v>
      </c>
      <c r="R1718" s="80">
        <f t="shared" si="165"/>
        <v>2</v>
      </c>
      <c r="AD1718"/>
    </row>
    <row r="1719" spans="10:30" ht="16.2" customHeight="1">
      <c r="J1719" s="80" t="s">
        <v>725</v>
      </c>
      <c r="K1719" s="80" t="s">
        <v>6585</v>
      </c>
      <c r="L1719" t="s">
        <v>183</v>
      </c>
      <c r="M1719" t="s">
        <v>159</v>
      </c>
      <c r="N1719" t="str">
        <f t="shared" si="164"/>
        <v>SingleRenaissance Decorator Rod with Rings Hand DrawnBelow Normal 2075Single Face Fix Brackets</v>
      </c>
      <c r="O1719">
        <v>70</v>
      </c>
      <c r="P1719">
        <v>72</v>
      </c>
      <c r="Q1719" s="80">
        <v>0</v>
      </c>
      <c r="R1719" s="80">
        <f t="shared" si="165"/>
        <v>2</v>
      </c>
      <c r="AD1719"/>
    </row>
    <row r="1720" spans="10:30" ht="16.2" customHeight="1">
      <c r="J1720" s="80" t="s">
        <v>746</v>
      </c>
      <c r="K1720" s="80" t="s">
        <v>6585</v>
      </c>
      <c r="L1720" t="s">
        <v>182</v>
      </c>
      <c r="M1720" t="s">
        <v>159</v>
      </c>
      <c r="N1720" t="str">
        <f t="shared" si="164"/>
        <v>Double FrontRenaissance Decorator Rod with Rings Hand DrawnBetween Level and Normal 2073Single Face Fix Brackets</v>
      </c>
      <c r="O1720">
        <v>48</v>
      </c>
      <c r="P1720">
        <v>72</v>
      </c>
      <c r="Q1720" s="80">
        <v>0</v>
      </c>
      <c r="R1720" s="80">
        <f t="shared" si="165"/>
        <v>24</v>
      </c>
      <c r="AD1720"/>
    </row>
    <row r="1721" spans="10:30" ht="16.2" customHeight="1">
      <c r="J1721" s="80" t="s">
        <v>747</v>
      </c>
      <c r="K1721" s="80" t="s">
        <v>6585</v>
      </c>
      <c r="L1721" t="s">
        <v>182</v>
      </c>
      <c r="M1721" t="s">
        <v>159</v>
      </c>
      <c r="N1721" t="str">
        <f t="shared" si="164"/>
        <v>Double RearRenaissance Decorator Rod with Rings Hand DrawnBetween Level and Normal 2073Single Face Fix Brackets</v>
      </c>
      <c r="O1721">
        <v>48</v>
      </c>
      <c r="P1721">
        <v>72</v>
      </c>
      <c r="Q1721" s="80">
        <v>0</v>
      </c>
      <c r="R1721" s="80">
        <f t="shared" si="165"/>
        <v>24</v>
      </c>
      <c r="AD1721"/>
    </row>
    <row r="1722" spans="10:30" ht="16.2" customHeight="1">
      <c r="J1722" s="80" t="s">
        <v>725</v>
      </c>
      <c r="K1722" s="80" t="s">
        <v>6585</v>
      </c>
      <c r="L1722" t="s">
        <v>182</v>
      </c>
      <c r="M1722" t="s">
        <v>159</v>
      </c>
      <c r="N1722" t="str">
        <f t="shared" si="164"/>
        <v>SingleRenaissance Decorator Rod with Rings Hand DrawnBetween Level and Normal 2073Single Face Fix Brackets</v>
      </c>
      <c r="O1722">
        <v>47</v>
      </c>
      <c r="P1722">
        <v>72</v>
      </c>
      <c r="Q1722" s="80">
        <v>0</v>
      </c>
      <c r="R1722" s="80">
        <f t="shared" si="165"/>
        <v>25</v>
      </c>
      <c r="AD1722"/>
    </row>
    <row r="1723" spans="10:30" ht="16.2" customHeight="1">
      <c r="J1723" s="80" t="s">
        <v>746</v>
      </c>
      <c r="K1723" s="80" t="s">
        <v>6585</v>
      </c>
      <c r="L1723" t="s">
        <v>184</v>
      </c>
      <c r="M1723" t="s">
        <v>159</v>
      </c>
      <c r="N1723" t="str">
        <f t="shared" si="164"/>
        <v>Double FrontRenaissance Decorator Rod with Rings Hand DrawnDecorator 2071Single Face Fix Brackets</v>
      </c>
      <c r="O1723">
        <v>20</v>
      </c>
      <c r="P1723">
        <v>72</v>
      </c>
      <c r="Q1723" s="80">
        <v>0</v>
      </c>
      <c r="R1723" s="80">
        <f t="shared" si="165"/>
        <v>52</v>
      </c>
      <c r="AD1723"/>
    </row>
    <row r="1724" spans="10:30" ht="16.2" customHeight="1">
      <c r="J1724" s="80" t="s">
        <v>747</v>
      </c>
      <c r="K1724" s="80" t="s">
        <v>6585</v>
      </c>
      <c r="L1724" t="s">
        <v>184</v>
      </c>
      <c r="M1724" t="s">
        <v>159</v>
      </c>
      <c r="N1724" t="str">
        <f t="shared" si="164"/>
        <v>Double RearRenaissance Decorator Rod with Rings Hand DrawnDecorator 2071Single Face Fix Brackets</v>
      </c>
      <c r="O1724">
        <v>20</v>
      </c>
      <c r="P1724">
        <v>72</v>
      </c>
      <c r="Q1724" s="80">
        <v>0</v>
      </c>
      <c r="R1724" s="80">
        <f t="shared" si="165"/>
        <v>52</v>
      </c>
      <c r="AD1724"/>
    </row>
    <row r="1725" spans="10:30" ht="16.2" customHeight="1">
      <c r="J1725" s="80" t="s">
        <v>725</v>
      </c>
      <c r="K1725" s="80" t="s">
        <v>6585</v>
      </c>
      <c r="L1725" t="s">
        <v>184</v>
      </c>
      <c r="M1725" t="s">
        <v>159</v>
      </c>
      <c r="N1725" t="str">
        <f t="shared" si="164"/>
        <v>SingleRenaissance Decorator Rod with Rings Hand DrawnDecorator 2071Single Face Fix Brackets</v>
      </c>
      <c r="O1725">
        <v>20</v>
      </c>
      <c r="P1725">
        <v>72</v>
      </c>
      <c r="Q1725" s="80">
        <v>0</v>
      </c>
      <c r="R1725" s="80">
        <f t="shared" si="165"/>
        <v>52</v>
      </c>
      <c r="AD1725"/>
    </row>
    <row r="1726" spans="10:30" ht="16.2" customHeight="1">
      <c r="J1726" s="80" t="s">
        <v>746</v>
      </c>
      <c r="K1726" s="80" t="s">
        <v>6585</v>
      </c>
      <c r="L1726" t="s">
        <v>6468</v>
      </c>
      <c r="M1726" t="s">
        <v>159</v>
      </c>
      <c r="N1726" t="str">
        <f t="shared" si="164"/>
        <v>Double FrontRenaissance Decorator Rod with Rings Hand DrawnGather Hook Bottom PocketSingle Face Fix Brackets</v>
      </c>
      <c r="O1726">
        <v>60</v>
      </c>
      <c r="P1726">
        <v>72</v>
      </c>
      <c r="Q1726" s="80">
        <v>0</v>
      </c>
      <c r="R1726" s="80">
        <f t="shared" si="165"/>
        <v>12</v>
      </c>
      <c r="AD1726"/>
    </row>
    <row r="1727" spans="10:30" ht="16.2" customHeight="1">
      <c r="J1727" s="80" t="s">
        <v>725</v>
      </c>
      <c r="K1727" s="80" t="s">
        <v>6585</v>
      </c>
      <c r="L1727" t="s">
        <v>6468</v>
      </c>
      <c r="M1727" t="s">
        <v>159</v>
      </c>
      <c r="N1727" t="str">
        <f t="shared" si="164"/>
        <v>SingleRenaissance Decorator Rod with Rings Hand DrawnGather Hook Bottom PocketSingle Face Fix Brackets</v>
      </c>
      <c r="O1727">
        <v>60</v>
      </c>
      <c r="P1727">
        <v>72</v>
      </c>
      <c r="Q1727" s="80">
        <v>0</v>
      </c>
      <c r="R1727" s="80">
        <f t="shared" si="165"/>
        <v>12</v>
      </c>
      <c r="AD1727"/>
    </row>
    <row r="1728" spans="10:30" ht="16.2" customHeight="1">
      <c r="J1728" s="80" t="s">
        <v>746</v>
      </c>
      <c r="K1728" s="80" t="s">
        <v>6585</v>
      </c>
      <c r="L1728" t="s">
        <v>229</v>
      </c>
      <c r="M1728" t="s">
        <v>159</v>
      </c>
      <c r="N1728" t="str">
        <f t="shared" si="164"/>
        <v>Double FrontRenaissance Decorator Rod with Rings Hand DrawnGather Hook LevelSingle Face Fix Brackets</v>
      </c>
      <c r="O1728">
        <v>20</v>
      </c>
      <c r="P1728">
        <v>72</v>
      </c>
      <c r="Q1728" s="80">
        <v>0</v>
      </c>
      <c r="R1728" s="80">
        <f t="shared" si="165"/>
        <v>52</v>
      </c>
      <c r="AD1728"/>
    </row>
    <row r="1729" spans="10:30" ht="16.2" customHeight="1">
      <c r="J1729" s="80" t="s">
        <v>747</v>
      </c>
      <c r="K1729" s="80" t="s">
        <v>6585</v>
      </c>
      <c r="L1729" t="s">
        <v>229</v>
      </c>
      <c r="M1729" t="s">
        <v>159</v>
      </c>
      <c r="N1729" t="str">
        <f t="shared" si="164"/>
        <v>Double RearRenaissance Decorator Rod with Rings Hand DrawnGather Hook LevelSingle Face Fix Brackets</v>
      </c>
      <c r="O1729">
        <v>20</v>
      </c>
      <c r="P1729">
        <v>72</v>
      </c>
      <c r="Q1729" s="80">
        <v>0</v>
      </c>
      <c r="R1729" s="80">
        <f t="shared" si="165"/>
        <v>52</v>
      </c>
      <c r="AD1729"/>
    </row>
    <row r="1730" spans="10:30" ht="16.2" customHeight="1">
      <c r="J1730" s="80" t="s">
        <v>725</v>
      </c>
      <c r="K1730" s="80" t="s">
        <v>6585</v>
      </c>
      <c r="L1730" t="s">
        <v>229</v>
      </c>
      <c r="M1730" t="s">
        <v>159</v>
      </c>
      <c r="N1730" t="str">
        <f t="shared" si="166" ref="N1730:N1793">(CONCATENATE(J1730,K1730,L1730,M1730))</f>
        <v>SingleRenaissance Decorator Rod with Rings Hand DrawnGather Hook LevelSingle Face Fix Brackets</v>
      </c>
      <c r="O1730">
        <v>20</v>
      </c>
      <c r="P1730">
        <v>72</v>
      </c>
      <c r="Q1730" s="80">
        <v>0</v>
      </c>
      <c r="R1730" s="80">
        <f t="shared" si="165"/>
        <v>52</v>
      </c>
      <c r="AD1730"/>
    </row>
    <row r="1731" spans="10:30" ht="16.2" customHeight="1">
      <c r="J1731" s="80" t="s">
        <v>746</v>
      </c>
      <c r="K1731" s="80" t="s">
        <v>6585</v>
      </c>
      <c r="L1731" t="s">
        <v>228</v>
      </c>
      <c r="M1731" t="s">
        <v>159</v>
      </c>
      <c r="N1731" t="str">
        <f t="shared" si="166"/>
        <v>Double FrontRenaissance Decorator Rod with Rings Hand DrawnGather Hook NormalSingle Face Fix Brackets</v>
      </c>
      <c r="O1731">
        <v>43</v>
      </c>
      <c r="P1731">
        <v>72</v>
      </c>
      <c r="Q1731" s="80">
        <v>0</v>
      </c>
      <c r="R1731" s="80">
        <f t="shared" si="165"/>
        <v>29</v>
      </c>
      <c r="AD1731"/>
    </row>
    <row r="1732" spans="10:30" ht="16.2" customHeight="1">
      <c r="J1732" s="80" t="s">
        <v>747</v>
      </c>
      <c r="K1732" s="80" t="s">
        <v>6585</v>
      </c>
      <c r="L1732" t="s">
        <v>228</v>
      </c>
      <c r="M1732" t="s">
        <v>159</v>
      </c>
      <c r="N1732" t="str">
        <f t="shared" si="166"/>
        <v>Double RearRenaissance Decorator Rod with Rings Hand DrawnGather Hook NormalSingle Face Fix Brackets</v>
      </c>
      <c r="O1732">
        <v>43</v>
      </c>
      <c r="P1732">
        <v>72</v>
      </c>
      <c r="Q1732" s="80">
        <v>0</v>
      </c>
      <c r="R1732" s="80">
        <f t="shared" si="165"/>
        <v>29</v>
      </c>
      <c r="AD1732"/>
    </row>
    <row r="1733" spans="10:30" ht="16.2" customHeight="1">
      <c r="J1733" s="80" t="s">
        <v>725</v>
      </c>
      <c r="K1733" s="80" t="s">
        <v>6585</v>
      </c>
      <c r="L1733" t="s">
        <v>228</v>
      </c>
      <c r="M1733" t="s">
        <v>159</v>
      </c>
      <c r="N1733" t="str">
        <f t="shared" si="166"/>
        <v>SingleRenaissance Decorator Rod with Rings Hand DrawnGather Hook NormalSingle Face Fix Brackets</v>
      </c>
      <c r="O1733">
        <v>43</v>
      </c>
      <c r="P1733">
        <v>72</v>
      </c>
      <c r="Q1733" s="80">
        <v>0</v>
      </c>
      <c r="R1733" s="80">
        <f t="shared" si="165"/>
        <v>29</v>
      </c>
      <c r="AD1733"/>
    </row>
    <row r="1734" spans="10:30" ht="16.2" customHeight="1">
      <c r="J1734" s="80" t="s">
        <v>746</v>
      </c>
      <c r="K1734" s="80" t="s">
        <v>6585</v>
      </c>
      <c r="L1734" t="s">
        <v>282</v>
      </c>
      <c r="M1734" t="s">
        <v>159</v>
      </c>
      <c r="N1734" t="str">
        <f t="shared" si="166"/>
        <v>Double FrontRenaissance Decorator Rod with Rings Hand DrawnLevel 2072Single Face Fix Brackets</v>
      </c>
      <c r="O1734">
        <v>38</v>
      </c>
      <c r="P1734">
        <v>72</v>
      </c>
      <c r="Q1734" s="80">
        <v>0</v>
      </c>
      <c r="R1734" s="80">
        <f t="shared" si="165"/>
        <v>34</v>
      </c>
      <c r="AD1734"/>
    </row>
    <row r="1735" spans="10:30" ht="16.2" customHeight="1">
      <c r="J1735" s="80" t="s">
        <v>747</v>
      </c>
      <c r="K1735" s="80" t="s">
        <v>6585</v>
      </c>
      <c r="L1735" t="s">
        <v>282</v>
      </c>
      <c r="M1735" t="s">
        <v>159</v>
      </c>
      <c r="N1735" t="str">
        <f t="shared" si="166"/>
        <v>Double RearRenaissance Decorator Rod with Rings Hand DrawnLevel 2072Single Face Fix Brackets</v>
      </c>
      <c r="O1735">
        <v>38</v>
      </c>
      <c r="P1735">
        <v>72</v>
      </c>
      <c r="Q1735" s="80">
        <v>0</v>
      </c>
      <c r="R1735" s="80">
        <f t="shared" si="165"/>
        <v>34</v>
      </c>
      <c r="AD1735"/>
    </row>
    <row r="1736" spans="10:30" ht="16.2" customHeight="1">
      <c r="J1736" s="80" t="s">
        <v>725</v>
      </c>
      <c r="K1736" s="80" t="s">
        <v>6585</v>
      </c>
      <c r="L1736" t="s">
        <v>282</v>
      </c>
      <c r="M1736" t="s">
        <v>159</v>
      </c>
      <c r="N1736" t="str">
        <f t="shared" si="166"/>
        <v>SingleRenaissance Decorator Rod with Rings Hand DrawnLevel 2072Single Face Fix Brackets</v>
      </c>
      <c r="O1736">
        <v>35</v>
      </c>
      <c r="P1736">
        <v>72</v>
      </c>
      <c r="Q1736" s="80">
        <v>0</v>
      </c>
      <c r="R1736" s="80">
        <f t="shared" si="165"/>
        <v>37</v>
      </c>
      <c r="AD1736"/>
    </row>
    <row r="1737" spans="10:30" ht="16.2" customHeight="1">
      <c r="J1737" s="80" t="s">
        <v>746</v>
      </c>
      <c r="K1737" s="80" t="s">
        <v>6585</v>
      </c>
      <c r="L1737" t="s">
        <v>170</v>
      </c>
      <c r="M1737" t="s">
        <v>159</v>
      </c>
      <c r="N1737" t="str">
        <f t="shared" si="166"/>
        <v>Double FrontRenaissance Decorator Rod with Rings Hand DrawnNormal 2074Single Face Fix Brackets</v>
      </c>
      <c r="O1737">
        <v>60</v>
      </c>
      <c r="P1737">
        <v>72</v>
      </c>
      <c r="Q1737" s="80">
        <v>0</v>
      </c>
      <c r="R1737" s="80">
        <f t="shared" si="165"/>
        <v>12</v>
      </c>
      <c r="AD1737"/>
    </row>
    <row r="1738" spans="10:30" ht="16.2" customHeight="1">
      <c r="J1738" s="80" t="s">
        <v>747</v>
      </c>
      <c r="K1738" s="80" t="s">
        <v>6585</v>
      </c>
      <c r="L1738" t="s">
        <v>170</v>
      </c>
      <c r="M1738" t="s">
        <v>159</v>
      </c>
      <c r="N1738" t="str">
        <f t="shared" si="166"/>
        <v>Double RearRenaissance Decorator Rod with Rings Hand DrawnNormal 2074Single Face Fix Brackets</v>
      </c>
      <c r="O1738">
        <v>60</v>
      </c>
      <c r="P1738">
        <v>72</v>
      </c>
      <c r="Q1738" s="80">
        <v>0</v>
      </c>
      <c r="R1738" s="80">
        <f t="shared" si="165"/>
        <v>12</v>
      </c>
      <c r="AD1738"/>
    </row>
    <row r="1739" spans="10:30" ht="16.2" customHeight="1">
      <c r="J1739" s="80" t="s">
        <v>725</v>
      </c>
      <c r="K1739" s="80" t="s">
        <v>6585</v>
      </c>
      <c r="L1739" t="s">
        <v>170</v>
      </c>
      <c r="M1739" t="s">
        <v>159</v>
      </c>
      <c r="N1739" t="str">
        <f t="shared" si="166"/>
        <v>SingleRenaissance Decorator Rod with Rings Hand DrawnNormal 2074Single Face Fix Brackets</v>
      </c>
      <c r="O1739">
        <v>60</v>
      </c>
      <c r="P1739">
        <v>72</v>
      </c>
      <c r="Q1739" s="80">
        <v>0</v>
      </c>
      <c r="R1739" s="80">
        <f t="shared" si="165"/>
        <v>12</v>
      </c>
      <c r="AD1739"/>
    </row>
    <row r="1740" spans="10:30" ht="16.2" customHeight="1">
      <c r="J1740" s="80" t="s">
        <v>746</v>
      </c>
      <c r="K1740" s="80" t="s">
        <v>277</v>
      </c>
      <c r="L1740" t="s">
        <v>185</v>
      </c>
      <c r="M1740" t="s">
        <v>162</v>
      </c>
      <c r="N1740" t="str">
        <f t="shared" si="166"/>
        <v>Double FrontS-Fold Cord OperationNo HooksDouble Face Fix Brackets</v>
      </c>
      <c r="O1740">
        <v>0</v>
      </c>
      <c r="P1740">
        <v>25</v>
      </c>
      <c r="Q1740" s="80">
        <v>0</v>
      </c>
      <c r="R1740" s="80">
        <f t="shared" si="165"/>
        <v>25</v>
      </c>
      <c r="AD1740"/>
    </row>
    <row r="1741" spans="10:30" ht="16.2" customHeight="1">
      <c r="J1741" s="80" t="s">
        <v>747</v>
      </c>
      <c r="K1741" s="80" t="s">
        <v>277</v>
      </c>
      <c r="L1741" t="s">
        <v>185</v>
      </c>
      <c r="M1741" t="s">
        <v>162</v>
      </c>
      <c r="N1741" t="str">
        <f t="shared" si="166"/>
        <v>Double RearS-Fold Cord OperationNo HooksDouble Face Fix Brackets</v>
      </c>
      <c r="O1741">
        <v>0</v>
      </c>
      <c r="P1741">
        <v>25</v>
      </c>
      <c r="Q1741" s="80">
        <v>0</v>
      </c>
      <c r="R1741" s="80">
        <f t="shared" si="165"/>
        <v>25</v>
      </c>
      <c r="AD1741"/>
    </row>
    <row r="1742" spans="10:30" ht="16.2" customHeight="1">
      <c r="J1742" s="80" t="s">
        <v>725</v>
      </c>
      <c r="K1742" s="80" t="s">
        <v>277</v>
      </c>
      <c r="L1742" t="s">
        <v>185</v>
      </c>
      <c r="M1742" t="s">
        <v>162</v>
      </c>
      <c r="N1742" t="str">
        <f t="shared" si="166"/>
        <v>SingleS-Fold Cord OperationNo HooksDouble Face Fix Brackets</v>
      </c>
      <c r="O1742">
        <v>0</v>
      </c>
      <c r="P1742">
        <v>25</v>
      </c>
      <c r="Q1742" s="80">
        <v>0</v>
      </c>
      <c r="R1742" s="80">
        <f t="shared" si="165"/>
        <v>25</v>
      </c>
      <c r="AD1742"/>
    </row>
    <row r="1743" spans="10:30" ht="16.2" customHeight="1">
      <c r="J1743" s="80" t="s">
        <v>746</v>
      </c>
      <c r="K1743" s="80" t="s">
        <v>277</v>
      </c>
      <c r="L1743" t="s">
        <v>185</v>
      </c>
      <c r="M1743" t="s">
        <v>159</v>
      </c>
      <c r="N1743" t="str">
        <f t="shared" si="166"/>
        <v>Double FrontS-Fold Cord OperationNo HooksSingle Face Fix Brackets</v>
      </c>
      <c r="O1743">
        <v>0</v>
      </c>
      <c r="P1743">
        <v>25</v>
      </c>
      <c r="Q1743" s="80">
        <v>0</v>
      </c>
      <c r="R1743" s="80">
        <f t="shared" si="165"/>
        <v>25</v>
      </c>
      <c r="AD1743"/>
    </row>
    <row r="1744" spans="10:30" ht="16.2" customHeight="1">
      <c r="J1744" s="80" t="s">
        <v>747</v>
      </c>
      <c r="K1744" s="80" t="s">
        <v>277</v>
      </c>
      <c r="L1744" t="s">
        <v>185</v>
      </c>
      <c r="M1744" t="s">
        <v>159</v>
      </c>
      <c r="N1744" t="str">
        <f t="shared" si="166"/>
        <v>Double RearS-Fold Cord OperationNo HooksSingle Face Fix Brackets</v>
      </c>
      <c r="O1744">
        <v>0</v>
      </c>
      <c r="P1744">
        <v>25</v>
      </c>
      <c r="Q1744" s="80">
        <v>0</v>
      </c>
      <c r="R1744" s="80">
        <f t="shared" si="165"/>
        <v>25</v>
      </c>
      <c r="AD1744"/>
    </row>
    <row r="1745" spans="10:30" ht="16.2" customHeight="1">
      <c r="J1745" s="80" t="s">
        <v>725</v>
      </c>
      <c r="K1745" s="80" t="s">
        <v>277</v>
      </c>
      <c r="L1745" t="s">
        <v>185</v>
      </c>
      <c r="M1745" t="s">
        <v>159</v>
      </c>
      <c r="N1745" t="str">
        <f t="shared" si="166"/>
        <v>SingleS-Fold Cord OperationNo HooksSingle Face Fix Brackets</v>
      </c>
      <c r="O1745">
        <v>0</v>
      </c>
      <c r="P1745">
        <v>25</v>
      </c>
      <c r="Q1745" s="80">
        <v>0</v>
      </c>
      <c r="R1745" s="80">
        <f t="shared" si="165"/>
        <v>25</v>
      </c>
      <c r="AD1745"/>
    </row>
    <row r="1746" spans="10:30" ht="16.2" customHeight="1">
      <c r="J1746" s="80" t="s">
        <v>746</v>
      </c>
      <c r="K1746" s="80" t="s">
        <v>277</v>
      </c>
      <c r="L1746" t="s">
        <v>185</v>
      </c>
      <c r="M1746" t="s">
        <v>161</v>
      </c>
      <c r="N1746" t="str">
        <f t="shared" si="166"/>
        <v>Double FrontS-Fold Cord OperationNo HooksTop Fix Brackets</v>
      </c>
      <c r="O1746">
        <v>0</v>
      </c>
      <c r="P1746">
        <v>20</v>
      </c>
      <c r="Q1746" s="80">
        <v>0</v>
      </c>
      <c r="R1746" s="80">
        <f t="shared" si="165"/>
        <v>20</v>
      </c>
      <c r="AD1746"/>
    </row>
    <row r="1747" spans="10:30" ht="16.2" customHeight="1">
      <c r="J1747" s="80" t="s">
        <v>747</v>
      </c>
      <c r="K1747" s="80" t="s">
        <v>277</v>
      </c>
      <c r="L1747" t="s">
        <v>185</v>
      </c>
      <c r="M1747" t="s">
        <v>161</v>
      </c>
      <c r="N1747" t="str">
        <f t="shared" si="166"/>
        <v>Double RearS-Fold Cord OperationNo HooksTop Fix Brackets</v>
      </c>
      <c r="O1747">
        <v>0</v>
      </c>
      <c r="P1747">
        <v>20</v>
      </c>
      <c r="Q1747" s="80">
        <v>0</v>
      </c>
      <c r="R1747" s="80">
        <f t="shared" si="165"/>
        <v>20</v>
      </c>
      <c r="AD1747"/>
    </row>
    <row r="1748" spans="10:30" ht="16.2" customHeight="1">
      <c r="J1748" s="80" t="s">
        <v>725</v>
      </c>
      <c r="K1748" s="80" t="s">
        <v>277</v>
      </c>
      <c r="L1748" t="s">
        <v>185</v>
      </c>
      <c r="M1748" t="s">
        <v>161</v>
      </c>
      <c r="N1748" t="str">
        <f t="shared" si="166"/>
        <v>SingleS-Fold Cord OperationNo HooksTop Fix Brackets</v>
      </c>
      <c r="O1748">
        <v>0</v>
      </c>
      <c r="P1748">
        <v>20</v>
      </c>
      <c r="Q1748" s="80">
        <v>0</v>
      </c>
      <c r="R1748" s="80">
        <f t="shared" si="165"/>
        <v>20</v>
      </c>
      <c r="AD1748"/>
    </row>
    <row r="1749" spans="10:30" ht="16.2" customHeight="1">
      <c r="J1749" s="80" t="s">
        <v>725</v>
      </c>
      <c r="K1749" s="80" t="s">
        <v>277</v>
      </c>
      <c r="L1749" t="s">
        <v>185</v>
      </c>
      <c r="M1749" t="s">
        <v>553</v>
      </c>
      <c r="N1749" t="str">
        <f t="shared" si="166"/>
        <v>SingleS-Fold Cord OperationNo HooksTriple Face Fix Brackets</v>
      </c>
      <c r="O1749">
        <v>0</v>
      </c>
      <c r="P1749">
        <v>25</v>
      </c>
      <c r="Q1749" s="80">
        <v>0</v>
      </c>
      <c r="R1749" s="80">
        <f t="shared" si="165"/>
        <v>25</v>
      </c>
      <c r="AD1749"/>
    </row>
    <row r="1750" spans="10:30" ht="16.2" customHeight="1">
      <c r="J1750" s="80" t="s">
        <v>746</v>
      </c>
      <c r="K1750" s="80" t="s">
        <v>278</v>
      </c>
      <c r="L1750" t="s">
        <v>185</v>
      </c>
      <c r="M1750" t="s">
        <v>162</v>
      </c>
      <c r="N1750" t="str">
        <f t="shared" si="166"/>
        <v>Double FrontS-Fold Hand OperationNo HooksDouble Face Fix Brackets</v>
      </c>
      <c r="O1750">
        <v>0</v>
      </c>
      <c r="P1750">
        <v>25</v>
      </c>
      <c r="Q1750" s="80">
        <v>0</v>
      </c>
      <c r="R1750" s="80">
        <f t="shared" si="165"/>
        <v>25</v>
      </c>
      <c r="AD1750"/>
    </row>
    <row r="1751" spans="10:30" ht="16.2" customHeight="1">
      <c r="J1751" s="80" t="s">
        <v>747</v>
      </c>
      <c r="K1751" s="80" t="s">
        <v>278</v>
      </c>
      <c r="L1751" t="s">
        <v>185</v>
      </c>
      <c r="M1751" t="s">
        <v>162</v>
      </c>
      <c r="N1751" t="str">
        <f t="shared" si="166"/>
        <v>Double RearS-Fold Hand OperationNo HooksDouble Face Fix Brackets</v>
      </c>
      <c r="O1751">
        <v>0</v>
      </c>
      <c r="P1751">
        <v>25</v>
      </c>
      <c r="Q1751" s="80">
        <v>0</v>
      </c>
      <c r="R1751" s="80">
        <f t="shared" si="165"/>
        <v>25</v>
      </c>
      <c r="AD1751"/>
    </row>
    <row r="1752" spans="10:30" ht="16.2" customHeight="1">
      <c r="J1752" s="80" t="s">
        <v>725</v>
      </c>
      <c r="K1752" s="80" t="s">
        <v>278</v>
      </c>
      <c r="L1752" t="s">
        <v>185</v>
      </c>
      <c r="M1752" t="s">
        <v>162</v>
      </c>
      <c r="N1752" t="str">
        <f t="shared" si="166"/>
        <v>SingleS-Fold Hand OperationNo HooksDouble Face Fix Brackets</v>
      </c>
      <c r="O1752">
        <v>0</v>
      </c>
      <c r="P1752">
        <v>25</v>
      </c>
      <c r="Q1752" s="80">
        <v>0</v>
      </c>
      <c r="R1752" s="80">
        <f t="shared" si="165"/>
        <v>25</v>
      </c>
      <c r="AD1752"/>
    </row>
    <row r="1753" spans="10:30" ht="16.2" customHeight="1">
      <c r="J1753" s="80" t="s">
        <v>746</v>
      </c>
      <c r="K1753" s="80" t="s">
        <v>278</v>
      </c>
      <c r="L1753" t="s">
        <v>185</v>
      </c>
      <c r="M1753" t="s">
        <v>159</v>
      </c>
      <c r="N1753" t="str">
        <f t="shared" si="166"/>
        <v>Double FrontS-Fold Hand OperationNo HooksSingle Face Fix Brackets</v>
      </c>
      <c r="O1753">
        <v>0</v>
      </c>
      <c r="P1753">
        <v>25</v>
      </c>
      <c r="Q1753" s="80">
        <v>0</v>
      </c>
      <c r="R1753" s="80">
        <f t="shared" si="165"/>
        <v>25</v>
      </c>
      <c r="AD1753"/>
    </row>
    <row r="1754" spans="10:30" ht="16.2" customHeight="1">
      <c r="J1754" s="80" t="s">
        <v>747</v>
      </c>
      <c r="K1754" s="80" t="s">
        <v>278</v>
      </c>
      <c r="L1754" t="s">
        <v>185</v>
      </c>
      <c r="M1754" t="s">
        <v>159</v>
      </c>
      <c r="N1754" t="str">
        <f t="shared" si="166"/>
        <v>Double RearS-Fold Hand OperationNo HooksSingle Face Fix Brackets</v>
      </c>
      <c r="O1754">
        <v>0</v>
      </c>
      <c r="P1754">
        <v>25</v>
      </c>
      <c r="Q1754" s="80">
        <v>0</v>
      </c>
      <c r="R1754" s="80">
        <f t="shared" si="165"/>
        <v>25</v>
      </c>
      <c r="AD1754"/>
    </row>
    <row r="1755" spans="10:30" ht="16.2" customHeight="1">
      <c r="J1755" s="80" t="s">
        <v>725</v>
      </c>
      <c r="K1755" s="80" t="s">
        <v>278</v>
      </c>
      <c r="L1755" t="s">
        <v>185</v>
      </c>
      <c r="M1755" t="s">
        <v>159</v>
      </c>
      <c r="N1755" t="str">
        <f t="shared" si="166"/>
        <v>SingleS-Fold Hand OperationNo HooksSingle Face Fix Brackets</v>
      </c>
      <c r="O1755">
        <v>0</v>
      </c>
      <c r="P1755">
        <v>25</v>
      </c>
      <c r="Q1755" s="80">
        <v>0</v>
      </c>
      <c r="R1755" s="80">
        <f t="shared" si="165"/>
        <v>25</v>
      </c>
      <c r="AD1755"/>
    </row>
    <row r="1756" spans="10:30" ht="16.2" customHeight="1">
      <c r="J1756" s="80" t="s">
        <v>746</v>
      </c>
      <c r="K1756" s="80" t="s">
        <v>278</v>
      </c>
      <c r="L1756" t="s">
        <v>185</v>
      </c>
      <c r="M1756" t="s">
        <v>161</v>
      </c>
      <c r="N1756" t="str">
        <f t="shared" si="166"/>
        <v>Double FrontS-Fold Hand OperationNo HooksTop Fix Brackets</v>
      </c>
      <c r="O1756">
        <v>0</v>
      </c>
      <c r="P1756">
        <v>20</v>
      </c>
      <c r="Q1756" s="80">
        <v>0</v>
      </c>
      <c r="R1756" s="80">
        <f t="shared" si="165"/>
        <v>20</v>
      </c>
      <c r="AD1756"/>
    </row>
    <row r="1757" spans="10:30" ht="16.2" customHeight="1">
      <c r="J1757" s="80" t="s">
        <v>747</v>
      </c>
      <c r="K1757" s="80" t="s">
        <v>278</v>
      </c>
      <c r="L1757" t="s">
        <v>185</v>
      </c>
      <c r="M1757" t="s">
        <v>161</v>
      </c>
      <c r="N1757" t="str">
        <f t="shared" si="166"/>
        <v>Double RearS-Fold Hand OperationNo HooksTop Fix Brackets</v>
      </c>
      <c r="O1757">
        <v>0</v>
      </c>
      <c r="P1757">
        <v>20</v>
      </c>
      <c r="Q1757" s="80">
        <v>0</v>
      </c>
      <c r="R1757" s="80">
        <f t="shared" si="165"/>
        <v>20</v>
      </c>
      <c r="AD1757"/>
    </row>
    <row r="1758" spans="10:30" ht="16.2" customHeight="1">
      <c r="J1758" s="80" t="s">
        <v>725</v>
      </c>
      <c r="K1758" s="80" t="s">
        <v>278</v>
      </c>
      <c r="L1758" t="s">
        <v>185</v>
      </c>
      <c r="M1758" t="s">
        <v>161</v>
      </c>
      <c r="N1758" t="str">
        <f t="shared" si="166"/>
        <v>SingleS-Fold Hand OperationNo HooksTop Fix Brackets</v>
      </c>
      <c r="O1758">
        <v>0</v>
      </c>
      <c r="P1758">
        <v>20</v>
      </c>
      <c r="Q1758" s="80">
        <v>0</v>
      </c>
      <c r="R1758" s="80">
        <f t="shared" si="165"/>
        <v>20</v>
      </c>
      <c r="AD1758"/>
    </row>
    <row r="1759" spans="10:30" ht="16.2" customHeight="1">
      <c r="J1759" s="80" t="s">
        <v>725</v>
      </c>
      <c r="K1759" s="80" t="s">
        <v>278</v>
      </c>
      <c r="L1759" t="s">
        <v>185</v>
      </c>
      <c r="M1759" t="s">
        <v>553</v>
      </c>
      <c r="N1759" t="str">
        <f t="shared" si="166"/>
        <v>SingleS-Fold Hand OperationNo HooksTriple Face Fix Brackets</v>
      </c>
      <c r="O1759">
        <v>0</v>
      </c>
      <c r="P1759">
        <v>25</v>
      </c>
      <c r="Q1759" s="80">
        <v>0</v>
      </c>
      <c r="R1759" s="80">
        <f t="shared" si="167" ref="R1759:R1822">SUM(P1759)-O1759</f>
        <v>25</v>
      </c>
      <c r="AD1759"/>
    </row>
    <row r="1760" spans="10:30" ht="16.2" customHeight="1">
      <c r="J1760" s="80" t="s">
        <v>746</v>
      </c>
      <c r="K1760" s="80" t="s">
        <v>416</v>
      </c>
      <c r="L1760" t="s">
        <v>185</v>
      </c>
      <c r="M1760" t="s">
        <v>162</v>
      </c>
      <c r="N1760" t="str">
        <f t="shared" si="166"/>
        <v>Double FrontS-Fold Heavy Duty Cord OperationNo HooksDouble Face Fix Brackets</v>
      </c>
      <c r="O1760">
        <v>0</v>
      </c>
      <c r="P1760">
        <v>44</v>
      </c>
      <c r="Q1760" s="80">
        <v>0</v>
      </c>
      <c r="R1760" s="80">
        <f t="shared" si="167"/>
        <v>44</v>
      </c>
      <c r="AD1760"/>
    </row>
    <row r="1761" spans="10:30" ht="16.2" customHeight="1">
      <c r="J1761" s="80" t="s">
        <v>747</v>
      </c>
      <c r="K1761" s="80" t="s">
        <v>416</v>
      </c>
      <c r="L1761" t="s">
        <v>185</v>
      </c>
      <c r="M1761" t="s">
        <v>162</v>
      </c>
      <c r="N1761" t="str">
        <f t="shared" si="166"/>
        <v>Double RearS-Fold Heavy Duty Cord OperationNo HooksDouble Face Fix Brackets</v>
      </c>
      <c r="O1761">
        <v>0</v>
      </c>
      <c r="P1761">
        <v>44</v>
      </c>
      <c r="Q1761" s="80">
        <v>0</v>
      </c>
      <c r="R1761" s="80">
        <f t="shared" si="167"/>
        <v>44</v>
      </c>
      <c r="AD1761"/>
    </row>
    <row r="1762" spans="10:30" ht="16.2" customHeight="1">
      <c r="J1762" s="80" t="s">
        <v>725</v>
      </c>
      <c r="K1762" s="80" t="s">
        <v>416</v>
      </c>
      <c r="L1762" t="s">
        <v>185</v>
      </c>
      <c r="M1762" t="s">
        <v>162</v>
      </c>
      <c r="N1762" t="str">
        <f t="shared" si="166"/>
        <v>SingleS-Fold Heavy Duty Cord OperationNo HooksDouble Face Fix Brackets</v>
      </c>
      <c r="O1762">
        <v>0</v>
      </c>
      <c r="P1762">
        <v>44</v>
      </c>
      <c r="Q1762" s="80">
        <v>0</v>
      </c>
      <c r="R1762" s="80">
        <f t="shared" si="167"/>
        <v>44</v>
      </c>
      <c r="AD1762"/>
    </row>
    <row r="1763" spans="10:30" ht="16.2" customHeight="1">
      <c r="J1763" s="80" t="s">
        <v>746</v>
      </c>
      <c r="K1763" s="80" t="s">
        <v>416</v>
      </c>
      <c r="L1763" t="s">
        <v>185</v>
      </c>
      <c r="M1763" t="s">
        <v>159</v>
      </c>
      <c r="N1763" t="str">
        <f t="shared" si="166"/>
        <v>Double FrontS-Fold Heavy Duty Cord OperationNo HooksSingle Face Fix Brackets</v>
      </c>
      <c r="O1763">
        <v>0</v>
      </c>
      <c r="P1763">
        <v>40</v>
      </c>
      <c r="Q1763" s="80">
        <v>0</v>
      </c>
      <c r="R1763" s="80">
        <f t="shared" si="167"/>
        <v>40</v>
      </c>
      <c r="AD1763"/>
    </row>
    <row r="1764" spans="10:30" ht="16.2" customHeight="1">
      <c r="J1764" s="80" t="s">
        <v>747</v>
      </c>
      <c r="K1764" s="80" t="s">
        <v>416</v>
      </c>
      <c r="L1764" t="s">
        <v>185</v>
      </c>
      <c r="M1764" t="s">
        <v>159</v>
      </c>
      <c r="N1764" t="str">
        <f t="shared" si="166"/>
        <v>Double RearS-Fold Heavy Duty Cord OperationNo HooksSingle Face Fix Brackets</v>
      </c>
      <c r="O1764">
        <v>0</v>
      </c>
      <c r="P1764">
        <v>40</v>
      </c>
      <c r="Q1764" s="80">
        <v>0</v>
      </c>
      <c r="R1764" s="80">
        <f t="shared" si="167"/>
        <v>40</v>
      </c>
      <c r="AD1764"/>
    </row>
    <row r="1765" spans="10:30" ht="16.2" customHeight="1">
      <c r="J1765" s="80" t="s">
        <v>725</v>
      </c>
      <c r="K1765" s="80" t="s">
        <v>416</v>
      </c>
      <c r="L1765" t="s">
        <v>185</v>
      </c>
      <c r="M1765" t="s">
        <v>159</v>
      </c>
      <c r="N1765" t="str">
        <f t="shared" si="166"/>
        <v>SingleS-Fold Heavy Duty Cord OperationNo HooksSingle Face Fix Brackets</v>
      </c>
      <c r="O1765">
        <v>0</v>
      </c>
      <c r="P1765">
        <v>40</v>
      </c>
      <c r="Q1765" s="80">
        <v>0</v>
      </c>
      <c r="R1765" s="80">
        <f t="shared" si="167"/>
        <v>40</v>
      </c>
      <c r="AD1765"/>
    </row>
    <row r="1766" spans="10:30" ht="16.2" customHeight="1">
      <c r="J1766" s="80" t="s">
        <v>746</v>
      </c>
      <c r="K1766" s="80" t="s">
        <v>416</v>
      </c>
      <c r="L1766" t="s">
        <v>185</v>
      </c>
      <c r="M1766" t="s">
        <v>161</v>
      </c>
      <c r="N1766" t="str">
        <f t="shared" si="166"/>
        <v>Double FrontS-Fold Heavy Duty Cord OperationNo HooksTop Fix Brackets</v>
      </c>
      <c r="O1766">
        <v>0</v>
      </c>
      <c r="P1766">
        <v>35</v>
      </c>
      <c r="Q1766" s="80">
        <v>0</v>
      </c>
      <c r="R1766" s="80">
        <f t="shared" si="167"/>
        <v>35</v>
      </c>
      <c r="AD1766"/>
    </row>
    <row r="1767" spans="10:30" ht="16.2" customHeight="1">
      <c r="J1767" s="80" t="s">
        <v>747</v>
      </c>
      <c r="K1767" s="80" t="s">
        <v>416</v>
      </c>
      <c r="L1767" t="s">
        <v>185</v>
      </c>
      <c r="M1767" t="s">
        <v>161</v>
      </c>
      <c r="N1767" t="str">
        <f t="shared" si="166"/>
        <v>Double RearS-Fold Heavy Duty Cord OperationNo HooksTop Fix Brackets</v>
      </c>
      <c r="O1767">
        <v>0</v>
      </c>
      <c r="P1767">
        <v>35</v>
      </c>
      <c r="Q1767" s="80">
        <v>0</v>
      </c>
      <c r="R1767" s="80">
        <f t="shared" si="167"/>
        <v>35</v>
      </c>
      <c r="AD1767"/>
    </row>
    <row r="1768" spans="10:30" ht="16.2" customHeight="1">
      <c r="J1768" s="80" t="s">
        <v>725</v>
      </c>
      <c r="K1768" s="80" t="s">
        <v>416</v>
      </c>
      <c r="L1768" t="s">
        <v>185</v>
      </c>
      <c r="M1768" t="s">
        <v>161</v>
      </c>
      <c r="N1768" t="str">
        <f t="shared" si="166"/>
        <v>SingleS-Fold Heavy Duty Cord OperationNo HooksTop Fix Brackets</v>
      </c>
      <c r="O1768">
        <v>0</v>
      </c>
      <c r="P1768">
        <v>35</v>
      </c>
      <c r="Q1768" s="80">
        <v>0</v>
      </c>
      <c r="R1768" s="80">
        <f t="shared" si="167"/>
        <v>35</v>
      </c>
      <c r="AD1768"/>
    </row>
    <row r="1769" spans="10:30" ht="16.2" customHeight="1">
      <c r="J1769" s="80" t="s">
        <v>746</v>
      </c>
      <c r="K1769" s="80" t="s">
        <v>415</v>
      </c>
      <c r="L1769" t="s">
        <v>185</v>
      </c>
      <c r="M1769" t="s">
        <v>162</v>
      </c>
      <c r="N1769" t="str">
        <f t="shared" si="166"/>
        <v>Double FrontS-Fold Heavy Duty Hand OperationNo HooksDouble Face Fix Brackets</v>
      </c>
      <c r="O1769">
        <v>0</v>
      </c>
      <c r="P1769">
        <v>44</v>
      </c>
      <c r="Q1769" s="80">
        <v>0</v>
      </c>
      <c r="R1769" s="80">
        <f t="shared" si="167"/>
        <v>44</v>
      </c>
      <c r="AD1769"/>
    </row>
    <row r="1770" spans="10:30" ht="16.2" customHeight="1">
      <c r="J1770" s="80" t="s">
        <v>747</v>
      </c>
      <c r="K1770" s="80" t="s">
        <v>415</v>
      </c>
      <c r="L1770" t="s">
        <v>185</v>
      </c>
      <c r="M1770" t="s">
        <v>162</v>
      </c>
      <c r="N1770" t="str">
        <f t="shared" si="166"/>
        <v>Double RearS-Fold Heavy Duty Hand OperationNo HooksDouble Face Fix Brackets</v>
      </c>
      <c r="O1770">
        <v>0</v>
      </c>
      <c r="P1770">
        <v>44</v>
      </c>
      <c r="Q1770" s="80">
        <v>0</v>
      </c>
      <c r="R1770" s="80">
        <f t="shared" si="167"/>
        <v>44</v>
      </c>
      <c r="AD1770"/>
    </row>
    <row r="1771" spans="10:30" ht="16.2" customHeight="1">
      <c r="J1771" s="80" t="s">
        <v>725</v>
      </c>
      <c r="K1771" s="80" t="s">
        <v>415</v>
      </c>
      <c r="L1771" t="s">
        <v>185</v>
      </c>
      <c r="M1771" t="s">
        <v>162</v>
      </c>
      <c r="N1771" t="str">
        <f t="shared" si="166"/>
        <v>SingleS-Fold Heavy Duty Hand OperationNo HooksDouble Face Fix Brackets</v>
      </c>
      <c r="O1771">
        <v>0</v>
      </c>
      <c r="P1771">
        <v>44</v>
      </c>
      <c r="Q1771" s="80">
        <v>0</v>
      </c>
      <c r="R1771" s="80">
        <f t="shared" si="167"/>
        <v>44</v>
      </c>
      <c r="AD1771"/>
    </row>
    <row r="1772" spans="10:30" ht="16.2" customHeight="1">
      <c r="J1772" s="80" t="s">
        <v>746</v>
      </c>
      <c r="K1772" s="80" t="s">
        <v>415</v>
      </c>
      <c r="L1772" t="s">
        <v>185</v>
      </c>
      <c r="M1772" t="s">
        <v>159</v>
      </c>
      <c r="N1772" t="str">
        <f t="shared" si="166"/>
        <v>Double FrontS-Fold Heavy Duty Hand OperationNo HooksSingle Face Fix Brackets</v>
      </c>
      <c r="O1772">
        <v>0</v>
      </c>
      <c r="P1772">
        <v>40</v>
      </c>
      <c r="Q1772" s="80">
        <v>0</v>
      </c>
      <c r="R1772" s="80">
        <f t="shared" si="167"/>
        <v>40</v>
      </c>
      <c r="AD1772"/>
    </row>
    <row r="1773" spans="10:30" ht="16.2" customHeight="1">
      <c r="J1773" s="80" t="s">
        <v>747</v>
      </c>
      <c r="K1773" s="80" t="s">
        <v>415</v>
      </c>
      <c r="L1773" t="s">
        <v>185</v>
      </c>
      <c r="M1773" t="s">
        <v>159</v>
      </c>
      <c r="N1773" t="str">
        <f t="shared" si="166"/>
        <v>Double RearS-Fold Heavy Duty Hand OperationNo HooksSingle Face Fix Brackets</v>
      </c>
      <c r="O1773">
        <v>0</v>
      </c>
      <c r="P1773">
        <v>40</v>
      </c>
      <c r="Q1773" s="80">
        <v>0</v>
      </c>
      <c r="R1773" s="80">
        <f t="shared" si="167"/>
        <v>40</v>
      </c>
      <c r="AD1773"/>
    </row>
    <row r="1774" spans="10:30" ht="16.2" customHeight="1">
      <c r="J1774" s="80" t="s">
        <v>725</v>
      </c>
      <c r="K1774" s="80" t="s">
        <v>415</v>
      </c>
      <c r="L1774" t="s">
        <v>185</v>
      </c>
      <c r="M1774" t="s">
        <v>159</v>
      </c>
      <c r="N1774" t="str">
        <f t="shared" si="166"/>
        <v>SingleS-Fold Heavy Duty Hand OperationNo HooksSingle Face Fix Brackets</v>
      </c>
      <c r="O1774">
        <v>0</v>
      </c>
      <c r="P1774">
        <v>40</v>
      </c>
      <c r="Q1774" s="80">
        <v>0</v>
      </c>
      <c r="R1774" s="80">
        <f t="shared" si="167"/>
        <v>40</v>
      </c>
      <c r="AD1774"/>
    </row>
    <row r="1775" spans="10:30" ht="16.2" customHeight="1">
      <c r="J1775" s="80" t="s">
        <v>746</v>
      </c>
      <c r="K1775" s="80" t="s">
        <v>415</v>
      </c>
      <c r="L1775" t="s">
        <v>185</v>
      </c>
      <c r="M1775" t="s">
        <v>161</v>
      </c>
      <c r="N1775" t="str">
        <f t="shared" si="166"/>
        <v>Double FrontS-Fold Heavy Duty Hand OperationNo HooksTop Fix Brackets</v>
      </c>
      <c r="O1775">
        <v>0</v>
      </c>
      <c r="P1775">
        <v>35</v>
      </c>
      <c r="Q1775" s="80">
        <v>0</v>
      </c>
      <c r="R1775" s="80">
        <f t="shared" si="167"/>
        <v>35</v>
      </c>
      <c r="AD1775"/>
    </row>
    <row r="1776" spans="10:30" ht="16.2" customHeight="1">
      <c r="J1776" s="80" t="s">
        <v>747</v>
      </c>
      <c r="K1776" s="80" t="s">
        <v>415</v>
      </c>
      <c r="L1776" t="s">
        <v>185</v>
      </c>
      <c r="M1776" t="s">
        <v>161</v>
      </c>
      <c r="N1776" t="str">
        <f t="shared" si="166"/>
        <v>Double RearS-Fold Heavy Duty Hand OperationNo HooksTop Fix Brackets</v>
      </c>
      <c r="O1776">
        <v>0</v>
      </c>
      <c r="P1776">
        <v>35</v>
      </c>
      <c r="Q1776" s="80">
        <v>0</v>
      </c>
      <c r="R1776" s="80">
        <f t="shared" si="167"/>
        <v>35</v>
      </c>
      <c r="AD1776"/>
    </row>
    <row r="1777" spans="10:30" ht="16.2" customHeight="1">
      <c r="J1777" s="80" t="s">
        <v>725</v>
      </c>
      <c r="K1777" s="80" t="s">
        <v>415</v>
      </c>
      <c r="L1777" t="s">
        <v>185</v>
      </c>
      <c r="M1777" t="s">
        <v>161</v>
      </c>
      <c r="N1777" t="str">
        <f t="shared" si="166"/>
        <v>SingleS-Fold Heavy Duty Hand OperationNo HooksTop Fix Brackets</v>
      </c>
      <c r="O1777">
        <v>0</v>
      </c>
      <c r="P1777">
        <v>35</v>
      </c>
      <c r="Q1777" s="80">
        <v>0</v>
      </c>
      <c r="R1777" s="80">
        <f t="shared" si="167"/>
        <v>35</v>
      </c>
      <c r="AD1777"/>
    </row>
    <row r="1778" spans="10:30" ht="16.2" customHeight="1">
      <c r="J1778" s="80" t="s">
        <v>746</v>
      </c>
      <c r="K1778" s="80" t="s">
        <v>5445</v>
      </c>
      <c r="L1778" t="s">
        <v>185</v>
      </c>
      <c r="M1778" t="s">
        <v>162</v>
      </c>
      <c r="N1778" t="str">
        <f t="shared" si="166"/>
        <v>Double FrontS-Fold Motorised Acmeda 12v Remote Curtain TrackNo HooksDouble Face Fix Brackets</v>
      </c>
      <c r="O1778">
        <v>0</v>
      </c>
      <c r="P1778">
        <v>51</v>
      </c>
      <c r="Q1778" s="80">
        <v>0</v>
      </c>
      <c r="R1778" s="80">
        <f t="shared" si="167"/>
        <v>51</v>
      </c>
      <c r="AD1778"/>
    </row>
    <row r="1779" spans="10:30" ht="16.2" customHeight="1">
      <c r="J1779" s="80" t="s">
        <v>747</v>
      </c>
      <c r="K1779" s="80" t="s">
        <v>5445</v>
      </c>
      <c r="L1779" t="s">
        <v>185</v>
      </c>
      <c r="M1779" t="s">
        <v>162</v>
      </c>
      <c r="N1779" t="str">
        <f t="shared" si="166"/>
        <v>Double RearS-Fold Motorised Acmeda 12v Remote Curtain TrackNo HooksDouble Face Fix Brackets</v>
      </c>
      <c r="O1779">
        <v>0</v>
      </c>
      <c r="P1779">
        <v>51</v>
      </c>
      <c r="Q1779" s="80">
        <v>0</v>
      </c>
      <c r="R1779" s="80">
        <f t="shared" si="167"/>
        <v>51</v>
      </c>
      <c r="AD1779"/>
    </row>
    <row r="1780" spans="10:30" ht="16.2" customHeight="1">
      <c r="J1780" s="80" t="s">
        <v>725</v>
      </c>
      <c r="K1780" s="80" t="s">
        <v>5445</v>
      </c>
      <c r="L1780" t="s">
        <v>185</v>
      </c>
      <c r="M1780" t="s">
        <v>162</v>
      </c>
      <c r="N1780" t="str">
        <f t="shared" si="166"/>
        <v>SingleS-Fold Motorised Acmeda 12v Remote Curtain TrackNo HooksDouble Face Fix Brackets</v>
      </c>
      <c r="O1780">
        <v>0</v>
      </c>
      <c r="P1780">
        <v>51</v>
      </c>
      <c r="Q1780" s="80">
        <v>0</v>
      </c>
      <c r="R1780" s="80">
        <f t="shared" si="167"/>
        <v>51</v>
      </c>
      <c r="AD1780"/>
    </row>
    <row r="1781" spans="10:30" ht="16.2" customHeight="1">
      <c r="J1781" s="80" t="s">
        <v>746</v>
      </c>
      <c r="K1781" s="80" t="s">
        <v>5445</v>
      </c>
      <c r="L1781" t="s">
        <v>185</v>
      </c>
      <c r="M1781" t="s">
        <v>159</v>
      </c>
      <c r="N1781" t="str">
        <f t="shared" si="166"/>
        <v>Double FrontS-Fold Motorised Acmeda 12v Remote Curtain TrackNo HooksSingle Face Fix Brackets</v>
      </c>
      <c r="O1781">
        <v>0</v>
      </c>
      <c r="P1781">
        <v>47</v>
      </c>
      <c r="Q1781" s="80">
        <v>0</v>
      </c>
      <c r="R1781" s="80">
        <f t="shared" si="167"/>
        <v>47</v>
      </c>
      <c r="AD1781"/>
    </row>
    <row r="1782" spans="10:30" ht="16.2" customHeight="1">
      <c r="J1782" s="80" t="s">
        <v>747</v>
      </c>
      <c r="K1782" s="80" t="s">
        <v>5445</v>
      </c>
      <c r="L1782" t="s">
        <v>185</v>
      </c>
      <c r="M1782" t="s">
        <v>159</v>
      </c>
      <c r="N1782" t="str">
        <f t="shared" si="166"/>
        <v>Double RearS-Fold Motorised Acmeda 12v Remote Curtain TrackNo HooksSingle Face Fix Brackets</v>
      </c>
      <c r="O1782">
        <v>0</v>
      </c>
      <c r="P1782">
        <v>47</v>
      </c>
      <c r="Q1782" s="80">
        <v>0</v>
      </c>
      <c r="R1782" s="80">
        <f t="shared" si="167"/>
        <v>47</v>
      </c>
      <c r="AD1782"/>
    </row>
    <row r="1783" spans="10:30" ht="16.2" customHeight="1">
      <c r="J1783" s="80" t="s">
        <v>725</v>
      </c>
      <c r="K1783" s="80" t="s">
        <v>5445</v>
      </c>
      <c r="L1783" t="s">
        <v>185</v>
      </c>
      <c r="M1783" t="s">
        <v>159</v>
      </c>
      <c r="N1783" t="str">
        <f t="shared" si="166"/>
        <v>SingleS-Fold Motorised Acmeda 12v Remote Curtain TrackNo HooksSingle Face Fix Brackets</v>
      </c>
      <c r="O1783">
        <v>0</v>
      </c>
      <c r="P1783">
        <v>47</v>
      </c>
      <c r="Q1783" s="80">
        <v>0</v>
      </c>
      <c r="R1783" s="80">
        <f t="shared" si="167"/>
        <v>47</v>
      </c>
      <c r="AD1783"/>
    </row>
    <row r="1784" spans="10:30" ht="16.2" customHeight="1">
      <c r="J1784" s="80" t="s">
        <v>746</v>
      </c>
      <c r="K1784" s="80" t="s">
        <v>5445</v>
      </c>
      <c r="L1784" t="s">
        <v>185</v>
      </c>
      <c r="M1784" t="s">
        <v>161</v>
      </c>
      <c r="N1784" t="str">
        <f t="shared" si="166"/>
        <v>Double FrontS-Fold Motorised Acmeda 12v Remote Curtain TrackNo HooksTop Fix Brackets</v>
      </c>
      <c r="O1784">
        <v>0</v>
      </c>
      <c r="P1784">
        <v>42</v>
      </c>
      <c r="Q1784" s="80">
        <v>0</v>
      </c>
      <c r="R1784" s="80">
        <f t="shared" si="167"/>
        <v>42</v>
      </c>
      <c r="AD1784"/>
    </row>
    <row r="1785" spans="10:30" ht="16.2" customHeight="1">
      <c r="J1785" s="80" t="s">
        <v>747</v>
      </c>
      <c r="K1785" s="80" t="s">
        <v>5445</v>
      </c>
      <c r="L1785" t="s">
        <v>185</v>
      </c>
      <c r="M1785" t="s">
        <v>161</v>
      </c>
      <c r="N1785" t="str">
        <f t="shared" si="166"/>
        <v>Double RearS-Fold Motorised Acmeda 12v Remote Curtain TrackNo HooksTop Fix Brackets</v>
      </c>
      <c r="O1785">
        <v>0</v>
      </c>
      <c r="P1785">
        <v>42</v>
      </c>
      <c r="Q1785" s="80">
        <v>0</v>
      </c>
      <c r="R1785" s="80">
        <f t="shared" si="167"/>
        <v>42</v>
      </c>
      <c r="AD1785"/>
    </row>
    <row r="1786" spans="10:30" ht="16.2" customHeight="1">
      <c r="J1786" s="80" t="s">
        <v>725</v>
      </c>
      <c r="K1786" s="80" t="s">
        <v>5445</v>
      </c>
      <c r="L1786" t="s">
        <v>185</v>
      </c>
      <c r="M1786" t="s">
        <v>161</v>
      </c>
      <c r="N1786" t="str">
        <f t="shared" si="166"/>
        <v>SingleS-Fold Motorised Acmeda 12v Remote Curtain TrackNo HooksTop Fix Brackets</v>
      </c>
      <c r="O1786">
        <v>0</v>
      </c>
      <c r="P1786">
        <v>42</v>
      </c>
      <c r="Q1786" s="80">
        <v>0</v>
      </c>
      <c r="R1786" s="80">
        <f t="shared" si="167"/>
        <v>42</v>
      </c>
      <c r="AD1786"/>
    </row>
    <row r="1787" spans="10:30" ht="16.2" customHeight="1">
      <c r="J1787" s="80" t="s">
        <v>746</v>
      </c>
      <c r="K1787" s="80" t="s">
        <v>5446</v>
      </c>
      <c r="L1787" t="s">
        <v>185</v>
      </c>
      <c r="M1787" t="s">
        <v>162</v>
      </c>
      <c r="N1787" t="str">
        <f t="shared" si="166"/>
        <v>Double FrontS-Fold Motorised Acmeda 240v Remote Curtain TrackNo HooksDouble Face Fix Brackets</v>
      </c>
      <c r="O1787">
        <v>0</v>
      </c>
      <c r="P1787">
        <v>51</v>
      </c>
      <c r="Q1787" s="80">
        <v>0</v>
      </c>
      <c r="R1787" s="80">
        <f t="shared" si="167"/>
        <v>51</v>
      </c>
      <c r="AD1787"/>
    </row>
    <row r="1788" spans="10:30" ht="16.2" customHeight="1">
      <c r="J1788" s="80" t="s">
        <v>747</v>
      </c>
      <c r="K1788" s="80" t="s">
        <v>5446</v>
      </c>
      <c r="L1788" t="s">
        <v>185</v>
      </c>
      <c r="M1788" t="s">
        <v>162</v>
      </c>
      <c r="N1788" t="str">
        <f t="shared" si="166"/>
        <v>Double RearS-Fold Motorised Acmeda 240v Remote Curtain TrackNo HooksDouble Face Fix Brackets</v>
      </c>
      <c r="O1788">
        <v>0</v>
      </c>
      <c r="P1788">
        <v>51</v>
      </c>
      <c r="Q1788" s="80">
        <v>0</v>
      </c>
      <c r="R1788" s="80">
        <f t="shared" si="167"/>
        <v>51</v>
      </c>
      <c r="AD1788"/>
    </row>
    <row r="1789" spans="10:30" ht="16.2" customHeight="1">
      <c r="J1789" s="80" t="s">
        <v>725</v>
      </c>
      <c r="K1789" s="80" t="s">
        <v>5446</v>
      </c>
      <c r="L1789" t="s">
        <v>185</v>
      </c>
      <c r="M1789" t="s">
        <v>162</v>
      </c>
      <c r="N1789" t="str">
        <f t="shared" si="166"/>
        <v>SingleS-Fold Motorised Acmeda 240v Remote Curtain TrackNo HooksDouble Face Fix Brackets</v>
      </c>
      <c r="O1789">
        <v>0</v>
      </c>
      <c r="P1789">
        <v>51</v>
      </c>
      <c r="Q1789" s="80">
        <v>0</v>
      </c>
      <c r="R1789" s="80">
        <f t="shared" si="167"/>
        <v>51</v>
      </c>
      <c r="AD1789"/>
    </row>
    <row r="1790" spans="10:30" ht="16.2" customHeight="1">
      <c r="J1790" s="80" t="s">
        <v>746</v>
      </c>
      <c r="K1790" s="80" t="s">
        <v>5446</v>
      </c>
      <c r="L1790" t="s">
        <v>185</v>
      </c>
      <c r="M1790" t="s">
        <v>159</v>
      </c>
      <c r="N1790" t="str">
        <f t="shared" si="166"/>
        <v>Double FrontS-Fold Motorised Acmeda 240v Remote Curtain TrackNo HooksSingle Face Fix Brackets</v>
      </c>
      <c r="O1790">
        <v>0</v>
      </c>
      <c r="P1790">
        <v>47</v>
      </c>
      <c r="Q1790" s="80">
        <v>0</v>
      </c>
      <c r="R1790" s="80">
        <f t="shared" si="167"/>
        <v>47</v>
      </c>
      <c r="AD1790"/>
    </row>
    <row r="1791" spans="10:30" ht="16.2" customHeight="1">
      <c r="J1791" s="80" t="s">
        <v>747</v>
      </c>
      <c r="K1791" s="80" t="s">
        <v>5446</v>
      </c>
      <c r="L1791" t="s">
        <v>185</v>
      </c>
      <c r="M1791" t="s">
        <v>159</v>
      </c>
      <c r="N1791" t="str">
        <f t="shared" si="166"/>
        <v>Double RearS-Fold Motorised Acmeda 240v Remote Curtain TrackNo HooksSingle Face Fix Brackets</v>
      </c>
      <c r="O1791">
        <v>0</v>
      </c>
      <c r="P1791">
        <v>47</v>
      </c>
      <c r="Q1791" s="80">
        <v>0</v>
      </c>
      <c r="R1791" s="80">
        <f t="shared" si="167"/>
        <v>47</v>
      </c>
      <c r="AD1791"/>
    </row>
    <row r="1792" spans="10:30" ht="16.2" customHeight="1">
      <c r="J1792" s="80" t="s">
        <v>725</v>
      </c>
      <c r="K1792" s="80" t="s">
        <v>5446</v>
      </c>
      <c r="L1792" t="s">
        <v>185</v>
      </c>
      <c r="M1792" t="s">
        <v>159</v>
      </c>
      <c r="N1792" t="str">
        <f t="shared" si="166"/>
        <v>SingleS-Fold Motorised Acmeda 240v Remote Curtain TrackNo HooksSingle Face Fix Brackets</v>
      </c>
      <c r="O1792">
        <v>0</v>
      </c>
      <c r="P1792">
        <v>47</v>
      </c>
      <c r="Q1792" s="80">
        <v>0</v>
      </c>
      <c r="R1792" s="80">
        <f t="shared" si="167"/>
        <v>47</v>
      </c>
      <c r="AD1792"/>
    </row>
    <row r="1793" spans="10:30" ht="16.2" customHeight="1">
      <c r="J1793" s="80" t="s">
        <v>746</v>
      </c>
      <c r="K1793" s="80" t="s">
        <v>5446</v>
      </c>
      <c r="L1793" t="s">
        <v>185</v>
      </c>
      <c r="M1793" t="s">
        <v>161</v>
      </c>
      <c r="N1793" t="str">
        <f t="shared" si="166"/>
        <v>Double FrontS-Fold Motorised Acmeda 240v Remote Curtain TrackNo HooksTop Fix Brackets</v>
      </c>
      <c r="O1793">
        <v>0</v>
      </c>
      <c r="P1793">
        <v>42</v>
      </c>
      <c r="Q1793" s="80">
        <v>0</v>
      </c>
      <c r="R1793" s="80">
        <f t="shared" si="167"/>
        <v>42</v>
      </c>
      <c r="AD1793"/>
    </row>
    <row r="1794" spans="10:30" ht="16.2" customHeight="1">
      <c r="J1794" s="80" t="s">
        <v>747</v>
      </c>
      <c r="K1794" s="80" t="s">
        <v>5446</v>
      </c>
      <c r="L1794" t="s">
        <v>185</v>
      </c>
      <c r="M1794" t="s">
        <v>161</v>
      </c>
      <c r="N1794" t="str">
        <f t="shared" si="168" ref="N1794:N1857">(CONCATENATE(J1794,K1794,L1794,M1794))</f>
        <v>Double RearS-Fold Motorised Acmeda 240v Remote Curtain TrackNo HooksTop Fix Brackets</v>
      </c>
      <c r="O1794">
        <v>0</v>
      </c>
      <c r="P1794">
        <v>42</v>
      </c>
      <c r="Q1794" s="80">
        <v>0</v>
      </c>
      <c r="R1794" s="80">
        <f t="shared" si="167"/>
        <v>42</v>
      </c>
      <c r="AD1794"/>
    </row>
    <row r="1795" spans="10:30" ht="16.2" customHeight="1">
      <c r="J1795" s="80" t="s">
        <v>725</v>
      </c>
      <c r="K1795" s="80" t="s">
        <v>5446</v>
      </c>
      <c r="L1795" t="s">
        <v>185</v>
      </c>
      <c r="M1795" t="s">
        <v>161</v>
      </c>
      <c r="N1795" t="str">
        <f t="shared" si="168"/>
        <v>SingleS-Fold Motorised Acmeda 240v Remote Curtain TrackNo HooksTop Fix Brackets</v>
      </c>
      <c r="O1795">
        <v>0</v>
      </c>
      <c r="P1795">
        <v>42</v>
      </c>
      <c r="Q1795" s="80">
        <v>0</v>
      </c>
      <c r="R1795" s="80">
        <f t="shared" si="167"/>
        <v>42</v>
      </c>
      <c r="AD1795"/>
    </row>
    <row r="1796" spans="10:30" ht="16.2" customHeight="1">
      <c r="J1796" s="80" t="s">
        <v>746</v>
      </c>
      <c r="K1796" s="80" t="s">
        <v>5359</v>
      </c>
      <c r="L1796" t="s">
        <v>185</v>
      </c>
      <c r="M1796" t="s">
        <v>162</v>
      </c>
      <c r="N1796" t="str">
        <f t="shared" si="168"/>
        <v>Double FrontS-Fold Motorised Saber 12v Remote TrackNo HooksDouble Face Fix Brackets</v>
      </c>
      <c r="O1796">
        <v>0</v>
      </c>
      <c r="P1796">
        <v>51</v>
      </c>
      <c r="Q1796" s="80">
        <v>0</v>
      </c>
      <c r="R1796" s="80">
        <f t="shared" si="167"/>
        <v>51</v>
      </c>
      <c r="AD1796"/>
    </row>
    <row r="1797" spans="10:30" ht="16.2" customHeight="1">
      <c r="J1797" s="80" t="s">
        <v>747</v>
      </c>
      <c r="K1797" s="80" t="s">
        <v>5359</v>
      </c>
      <c r="L1797" t="s">
        <v>185</v>
      </c>
      <c r="M1797" t="s">
        <v>162</v>
      </c>
      <c r="N1797" t="str">
        <f t="shared" si="168"/>
        <v>Double RearS-Fold Motorised Saber 12v Remote TrackNo HooksDouble Face Fix Brackets</v>
      </c>
      <c r="O1797">
        <v>0</v>
      </c>
      <c r="P1797">
        <v>51</v>
      </c>
      <c r="Q1797" s="80">
        <v>0</v>
      </c>
      <c r="R1797" s="80">
        <f t="shared" si="167"/>
        <v>51</v>
      </c>
      <c r="AD1797"/>
    </row>
    <row r="1798" spans="10:30" ht="16.2" customHeight="1">
      <c r="J1798" s="80" t="s">
        <v>746</v>
      </c>
      <c r="K1798" s="80" t="s">
        <v>5359</v>
      </c>
      <c r="L1798" t="s">
        <v>185</v>
      </c>
      <c r="M1798" t="s">
        <v>159</v>
      </c>
      <c r="N1798" t="str">
        <f t="shared" si="168"/>
        <v>Double FrontS-Fold Motorised Saber 12v Remote TrackNo HooksSingle Face Fix Brackets</v>
      </c>
      <c r="O1798">
        <v>0</v>
      </c>
      <c r="P1798">
        <v>47</v>
      </c>
      <c r="Q1798" s="80">
        <v>0</v>
      </c>
      <c r="R1798" s="80">
        <f t="shared" si="167"/>
        <v>47</v>
      </c>
      <c r="AD1798"/>
    </row>
    <row r="1799" spans="10:30" ht="16.2" customHeight="1">
      <c r="J1799" s="80" t="s">
        <v>747</v>
      </c>
      <c r="K1799" s="80" t="s">
        <v>5359</v>
      </c>
      <c r="L1799" t="s">
        <v>185</v>
      </c>
      <c r="M1799" t="s">
        <v>159</v>
      </c>
      <c r="N1799" t="str">
        <f t="shared" si="168"/>
        <v>Double RearS-Fold Motorised Saber 12v Remote TrackNo HooksSingle Face Fix Brackets</v>
      </c>
      <c r="O1799">
        <v>0</v>
      </c>
      <c r="P1799">
        <v>47</v>
      </c>
      <c r="Q1799" s="80">
        <v>0</v>
      </c>
      <c r="R1799" s="80">
        <f t="shared" si="167"/>
        <v>47</v>
      </c>
      <c r="AD1799"/>
    </row>
    <row r="1800" spans="10:30" ht="16.2" customHeight="1">
      <c r="J1800" s="80" t="s">
        <v>746</v>
      </c>
      <c r="K1800" s="80" t="s">
        <v>5359</v>
      </c>
      <c r="L1800" t="s">
        <v>185</v>
      </c>
      <c r="M1800" t="s">
        <v>161</v>
      </c>
      <c r="N1800" t="str">
        <f t="shared" si="168"/>
        <v>Double FrontS-Fold Motorised Saber 12v Remote TrackNo HooksTop Fix Brackets</v>
      </c>
      <c r="O1800">
        <v>0</v>
      </c>
      <c r="P1800">
        <v>42</v>
      </c>
      <c r="Q1800" s="80">
        <v>0</v>
      </c>
      <c r="R1800" s="80">
        <f t="shared" si="167"/>
        <v>42</v>
      </c>
      <c r="AD1800"/>
    </row>
    <row r="1801" spans="10:30" ht="16.2" customHeight="1">
      <c r="J1801" s="80" t="s">
        <v>747</v>
      </c>
      <c r="K1801" s="80" t="s">
        <v>5359</v>
      </c>
      <c r="L1801" t="s">
        <v>185</v>
      </c>
      <c r="M1801" t="s">
        <v>161</v>
      </c>
      <c r="N1801" t="str">
        <f t="shared" si="168"/>
        <v>Double RearS-Fold Motorised Saber 12v Remote TrackNo HooksTop Fix Brackets</v>
      </c>
      <c r="O1801">
        <v>0</v>
      </c>
      <c r="P1801">
        <v>42</v>
      </c>
      <c r="Q1801" s="80">
        <v>0</v>
      </c>
      <c r="R1801" s="80">
        <f t="shared" si="167"/>
        <v>42</v>
      </c>
      <c r="AD1801"/>
    </row>
    <row r="1802" spans="10:30" ht="16.2" customHeight="1">
      <c r="J1802" s="80" t="s">
        <v>746</v>
      </c>
      <c r="K1802" s="80" t="s">
        <v>5358</v>
      </c>
      <c r="L1802" t="s">
        <v>185</v>
      </c>
      <c r="M1802" t="s">
        <v>162</v>
      </c>
      <c r="N1802" t="str">
        <f t="shared" si="168"/>
        <v>Double FrontS-Fold Motorised Saber 240v Remote TrackNo HooksDouble Face Fix Brackets</v>
      </c>
      <c r="O1802">
        <v>0</v>
      </c>
      <c r="P1802">
        <v>51</v>
      </c>
      <c r="Q1802" s="80">
        <v>0</v>
      </c>
      <c r="R1802" s="80">
        <f t="shared" si="167"/>
        <v>51</v>
      </c>
      <c r="AD1802"/>
    </row>
    <row r="1803" spans="10:30" ht="16.2" customHeight="1">
      <c r="J1803" s="80" t="s">
        <v>747</v>
      </c>
      <c r="K1803" s="80" t="s">
        <v>5358</v>
      </c>
      <c r="L1803" t="s">
        <v>185</v>
      </c>
      <c r="M1803" t="s">
        <v>162</v>
      </c>
      <c r="N1803" t="str">
        <f t="shared" si="168"/>
        <v>Double RearS-Fold Motorised Saber 240v Remote TrackNo HooksDouble Face Fix Brackets</v>
      </c>
      <c r="O1803">
        <v>0</v>
      </c>
      <c r="P1803">
        <v>51</v>
      </c>
      <c r="Q1803" s="80">
        <v>0</v>
      </c>
      <c r="R1803" s="80">
        <f t="shared" si="167"/>
        <v>51</v>
      </c>
      <c r="AD1803"/>
    </row>
    <row r="1804" spans="10:30" ht="16.2" customHeight="1">
      <c r="J1804" s="80" t="s">
        <v>725</v>
      </c>
      <c r="K1804" s="80" t="s">
        <v>5358</v>
      </c>
      <c r="L1804" t="s">
        <v>185</v>
      </c>
      <c r="M1804" t="s">
        <v>162</v>
      </c>
      <c r="N1804" t="str">
        <f t="shared" si="168"/>
        <v>SingleS-Fold Motorised Saber 240v Remote TrackNo HooksDouble Face Fix Brackets</v>
      </c>
      <c r="O1804">
        <v>0</v>
      </c>
      <c r="P1804">
        <v>51</v>
      </c>
      <c r="Q1804" s="80">
        <v>0</v>
      </c>
      <c r="R1804" s="80">
        <f t="shared" si="167"/>
        <v>51</v>
      </c>
      <c r="AD1804"/>
    </row>
    <row r="1805" spans="10:30" ht="16.2" customHeight="1">
      <c r="J1805" s="80" t="s">
        <v>746</v>
      </c>
      <c r="K1805" s="80" t="s">
        <v>5358</v>
      </c>
      <c r="L1805" t="s">
        <v>185</v>
      </c>
      <c r="M1805" t="s">
        <v>159</v>
      </c>
      <c r="N1805" t="str">
        <f t="shared" si="168"/>
        <v>Double FrontS-Fold Motorised Saber 240v Remote TrackNo HooksSingle Face Fix Brackets</v>
      </c>
      <c r="O1805">
        <v>0</v>
      </c>
      <c r="P1805">
        <v>47</v>
      </c>
      <c r="Q1805" s="80">
        <v>0</v>
      </c>
      <c r="R1805" s="80">
        <f t="shared" si="167"/>
        <v>47</v>
      </c>
      <c r="AD1805"/>
    </row>
    <row r="1806" spans="10:30" ht="16.2" customHeight="1">
      <c r="J1806" s="80" t="s">
        <v>747</v>
      </c>
      <c r="K1806" s="80" t="s">
        <v>5358</v>
      </c>
      <c r="L1806" t="s">
        <v>185</v>
      </c>
      <c r="M1806" t="s">
        <v>159</v>
      </c>
      <c r="N1806" t="str">
        <f t="shared" si="168"/>
        <v>Double RearS-Fold Motorised Saber 240v Remote TrackNo HooksSingle Face Fix Brackets</v>
      </c>
      <c r="O1806">
        <v>0</v>
      </c>
      <c r="P1806">
        <v>47</v>
      </c>
      <c r="Q1806" s="80">
        <v>0</v>
      </c>
      <c r="R1806" s="80">
        <f t="shared" si="167"/>
        <v>47</v>
      </c>
      <c r="AD1806"/>
    </row>
    <row r="1807" spans="10:30" ht="16.2" customHeight="1">
      <c r="J1807" s="80" t="s">
        <v>725</v>
      </c>
      <c r="K1807" s="80" t="s">
        <v>5358</v>
      </c>
      <c r="L1807" t="s">
        <v>185</v>
      </c>
      <c r="M1807" t="s">
        <v>159</v>
      </c>
      <c r="N1807" t="str">
        <f t="shared" si="168"/>
        <v>SingleS-Fold Motorised Saber 240v Remote TrackNo HooksSingle Face Fix Brackets</v>
      </c>
      <c r="O1807">
        <v>0</v>
      </c>
      <c r="P1807">
        <v>47</v>
      </c>
      <c r="Q1807" s="80">
        <v>0</v>
      </c>
      <c r="R1807" s="80">
        <f t="shared" si="167"/>
        <v>47</v>
      </c>
      <c r="AD1807"/>
    </row>
    <row r="1808" spans="10:30" ht="16.2" customHeight="1">
      <c r="J1808" s="80" t="s">
        <v>746</v>
      </c>
      <c r="K1808" s="80" t="s">
        <v>5358</v>
      </c>
      <c r="L1808" t="s">
        <v>185</v>
      </c>
      <c r="M1808" t="s">
        <v>161</v>
      </c>
      <c r="N1808" t="str">
        <f t="shared" si="168"/>
        <v>Double FrontS-Fold Motorised Saber 240v Remote TrackNo HooksTop Fix Brackets</v>
      </c>
      <c r="O1808">
        <v>0</v>
      </c>
      <c r="P1808">
        <v>42</v>
      </c>
      <c r="Q1808" s="80">
        <v>0</v>
      </c>
      <c r="R1808" s="80">
        <f t="shared" si="167"/>
        <v>42</v>
      </c>
      <c r="AD1808"/>
    </row>
    <row r="1809" spans="10:30" ht="16.2" customHeight="1">
      <c r="J1809" s="80" t="s">
        <v>747</v>
      </c>
      <c r="K1809" s="80" t="s">
        <v>5358</v>
      </c>
      <c r="L1809" t="s">
        <v>185</v>
      </c>
      <c r="M1809" t="s">
        <v>161</v>
      </c>
      <c r="N1809" t="str">
        <f t="shared" si="168"/>
        <v>Double RearS-Fold Motorised Saber 240v Remote TrackNo HooksTop Fix Brackets</v>
      </c>
      <c r="O1809">
        <v>0</v>
      </c>
      <c r="P1809">
        <v>42</v>
      </c>
      <c r="Q1809" s="80">
        <v>0</v>
      </c>
      <c r="R1809" s="80">
        <f t="shared" si="167"/>
        <v>42</v>
      </c>
      <c r="AD1809"/>
    </row>
    <row r="1810" spans="10:30" ht="16.2" customHeight="1">
      <c r="J1810" s="80" t="s">
        <v>725</v>
      </c>
      <c r="K1810" s="80" t="s">
        <v>5358</v>
      </c>
      <c r="L1810" t="s">
        <v>185</v>
      </c>
      <c r="M1810" t="s">
        <v>161</v>
      </c>
      <c r="N1810" t="str">
        <f t="shared" si="168"/>
        <v>SingleS-Fold Motorised Saber 240v Remote TrackNo HooksTop Fix Brackets</v>
      </c>
      <c r="O1810">
        <v>0</v>
      </c>
      <c r="P1810">
        <v>42</v>
      </c>
      <c r="Q1810" s="80">
        <v>0</v>
      </c>
      <c r="R1810" s="80">
        <f t="shared" si="167"/>
        <v>42</v>
      </c>
      <c r="AD1810"/>
    </row>
    <row r="1811" spans="10:30" ht="16.2" customHeight="1">
      <c r="J1811" s="80" t="s">
        <v>746</v>
      </c>
      <c r="K1811" s="80" t="s">
        <v>5360</v>
      </c>
      <c r="L1811" t="s">
        <v>185</v>
      </c>
      <c r="M1811" t="s">
        <v>162</v>
      </c>
      <c r="N1811" t="str">
        <f t="shared" si="168"/>
        <v>Double FrontS-Fold Motorised Saber 240v Switch TrackNo HooksDouble Face Fix Brackets</v>
      </c>
      <c r="O1811">
        <v>0</v>
      </c>
      <c r="P1811">
        <v>51</v>
      </c>
      <c r="Q1811" s="80">
        <v>0</v>
      </c>
      <c r="R1811" s="80">
        <f t="shared" si="167"/>
        <v>51</v>
      </c>
      <c r="AD1811"/>
    </row>
    <row r="1812" spans="10:30" ht="16.2" customHeight="1">
      <c r="J1812" s="80" t="s">
        <v>747</v>
      </c>
      <c r="K1812" s="80" t="s">
        <v>5360</v>
      </c>
      <c r="L1812" t="s">
        <v>185</v>
      </c>
      <c r="M1812" t="s">
        <v>162</v>
      </c>
      <c r="N1812" t="str">
        <f t="shared" si="168"/>
        <v>Double RearS-Fold Motorised Saber 240v Switch TrackNo HooksDouble Face Fix Brackets</v>
      </c>
      <c r="O1812">
        <v>0</v>
      </c>
      <c r="P1812">
        <v>51</v>
      </c>
      <c r="Q1812" s="80">
        <v>0</v>
      </c>
      <c r="R1812" s="80">
        <f t="shared" si="167"/>
        <v>51</v>
      </c>
      <c r="AD1812"/>
    </row>
    <row r="1813" spans="10:30" ht="16.2" customHeight="1">
      <c r="J1813" s="80" t="s">
        <v>725</v>
      </c>
      <c r="K1813" s="80" t="s">
        <v>5360</v>
      </c>
      <c r="L1813" t="s">
        <v>185</v>
      </c>
      <c r="M1813" t="s">
        <v>162</v>
      </c>
      <c r="N1813" t="str">
        <f t="shared" si="168"/>
        <v>SingleS-Fold Motorised Saber 240v Switch TrackNo HooksDouble Face Fix Brackets</v>
      </c>
      <c r="O1813">
        <v>0</v>
      </c>
      <c r="P1813">
        <v>51</v>
      </c>
      <c r="Q1813" s="80">
        <v>0</v>
      </c>
      <c r="R1813" s="80">
        <f t="shared" si="167"/>
        <v>51</v>
      </c>
      <c r="AD1813"/>
    </row>
    <row r="1814" spans="10:30" ht="16.2" customHeight="1">
      <c r="J1814" s="80" t="s">
        <v>746</v>
      </c>
      <c r="K1814" s="80" t="s">
        <v>5360</v>
      </c>
      <c r="L1814" t="s">
        <v>185</v>
      </c>
      <c r="M1814" t="s">
        <v>159</v>
      </c>
      <c r="N1814" t="str">
        <f t="shared" si="168"/>
        <v>Double FrontS-Fold Motorised Saber 240v Switch TrackNo HooksSingle Face Fix Brackets</v>
      </c>
      <c r="O1814">
        <v>0</v>
      </c>
      <c r="P1814">
        <v>47</v>
      </c>
      <c r="Q1814" s="80">
        <v>0</v>
      </c>
      <c r="R1814" s="80">
        <f t="shared" si="167"/>
        <v>47</v>
      </c>
      <c r="AD1814"/>
    </row>
    <row r="1815" spans="10:30" ht="16.2" customHeight="1">
      <c r="J1815" s="80" t="s">
        <v>747</v>
      </c>
      <c r="K1815" s="80" t="s">
        <v>5360</v>
      </c>
      <c r="L1815" t="s">
        <v>185</v>
      </c>
      <c r="M1815" t="s">
        <v>159</v>
      </c>
      <c r="N1815" t="str">
        <f t="shared" si="168"/>
        <v>Double RearS-Fold Motorised Saber 240v Switch TrackNo HooksSingle Face Fix Brackets</v>
      </c>
      <c r="O1815">
        <v>0</v>
      </c>
      <c r="P1815">
        <v>47</v>
      </c>
      <c r="Q1815" s="80">
        <v>0</v>
      </c>
      <c r="R1815" s="80">
        <f t="shared" si="167"/>
        <v>47</v>
      </c>
      <c r="AD1815"/>
    </row>
    <row r="1816" spans="10:30" ht="16.2" customHeight="1">
      <c r="J1816" s="80" t="s">
        <v>725</v>
      </c>
      <c r="K1816" s="80" t="s">
        <v>5360</v>
      </c>
      <c r="L1816" t="s">
        <v>185</v>
      </c>
      <c r="M1816" t="s">
        <v>159</v>
      </c>
      <c r="N1816" t="str">
        <f t="shared" si="168"/>
        <v>SingleS-Fold Motorised Saber 240v Switch TrackNo HooksSingle Face Fix Brackets</v>
      </c>
      <c r="O1816">
        <v>0</v>
      </c>
      <c r="P1816">
        <v>47</v>
      </c>
      <c r="Q1816" s="80">
        <v>0</v>
      </c>
      <c r="R1816" s="80">
        <f t="shared" si="167"/>
        <v>47</v>
      </c>
      <c r="AD1816"/>
    </row>
    <row r="1817" spans="10:30" ht="16.2" customHeight="1">
      <c r="J1817" s="80" t="s">
        <v>746</v>
      </c>
      <c r="K1817" s="80" t="s">
        <v>5360</v>
      </c>
      <c r="L1817" t="s">
        <v>185</v>
      </c>
      <c r="M1817" t="s">
        <v>161</v>
      </c>
      <c r="N1817" t="str">
        <f t="shared" si="168"/>
        <v>Double FrontS-Fold Motorised Saber 240v Switch TrackNo HooksTop Fix Brackets</v>
      </c>
      <c r="O1817">
        <v>0</v>
      </c>
      <c r="P1817">
        <v>42</v>
      </c>
      <c r="Q1817" s="80">
        <v>0</v>
      </c>
      <c r="R1817" s="80">
        <f t="shared" si="167"/>
        <v>42</v>
      </c>
      <c r="AD1817"/>
    </row>
    <row r="1818" spans="10:30" ht="16.2" customHeight="1">
      <c r="J1818" s="80" t="s">
        <v>747</v>
      </c>
      <c r="K1818" s="80" t="s">
        <v>5360</v>
      </c>
      <c r="L1818" t="s">
        <v>185</v>
      </c>
      <c r="M1818" t="s">
        <v>161</v>
      </c>
      <c r="N1818" t="str">
        <f t="shared" si="168"/>
        <v>Double RearS-Fold Motorised Saber 240v Switch TrackNo HooksTop Fix Brackets</v>
      </c>
      <c r="O1818">
        <v>0</v>
      </c>
      <c r="P1818">
        <v>42</v>
      </c>
      <c r="Q1818" s="80">
        <v>0</v>
      </c>
      <c r="R1818" s="80">
        <f t="shared" si="167"/>
        <v>42</v>
      </c>
      <c r="AD1818"/>
    </row>
    <row r="1819" spans="10:30" ht="16.2" customHeight="1">
      <c r="J1819" s="80" t="s">
        <v>725</v>
      </c>
      <c r="K1819" s="80" t="s">
        <v>5360</v>
      </c>
      <c r="L1819" t="s">
        <v>185</v>
      </c>
      <c r="M1819" t="s">
        <v>161</v>
      </c>
      <c r="N1819" t="str">
        <f t="shared" si="168"/>
        <v>SingleS-Fold Motorised Saber 240v Switch TrackNo HooksTop Fix Brackets</v>
      </c>
      <c r="O1819">
        <v>0</v>
      </c>
      <c r="P1819">
        <v>42</v>
      </c>
      <c r="Q1819" s="80">
        <v>0</v>
      </c>
      <c r="R1819" s="80">
        <f t="shared" si="167"/>
        <v>42</v>
      </c>
      <c r="AD1819"/>
    </row>
    <row r="1820" spans="10:30" ht="16.2" customHeight="1">
      <c r="J1820" s="80" t="s">
        <v>746</v>
      </c>
      <c r="K1820" s="80" t="s">
        <v>5447</v>
      </c>
      <c r="L1820" t="s">
        <v>185</v>
      </c>
      <c r="M1820" t="s">
        <v>162</v>
      </c>
      <c r="N1820" t="str">
        <f t="shared" si="168"/>
        <v>Double FrontS-Fold Motorised Somfy 12v Remote Curtain TrackNo HooksDouble Face Fix Brackets</v>
      </c>
      <c r="O1820">
        <v>0</v>
      </c>
      <c r="P1820">
        <v>51</v>
      </c>
      <c r="Q1820" s="80">
        <v>0</v>
      </c>
      <c r="R1820" s="80">
        <f t="shared" si="167"/>
        <v>51</v>
      </c>
      <c r="AD1820"/>
    </row>
    <row r="1821" spans="10:30" ht="16.2" customHeight="1">
      <c r="J1821" s="80" t="s">
        <v>747</v>
      </c>
      <c r="K1821" s="80" t="s">
        <v>5447</v>
      </c>
      <c r="L1821" t="s">
        <v>185</v>
      </c>
      <c r="M1821" t="s">
        <v>162</v>
      </c>
      <c r="N1821" t="str">
        <f t="shared" si="168"/>
        <v>Double RearS-Fold Motorised Somfy 12v Remote Curtain TrackNo HooksDouble Face Fix Brackets</v>
      </c>
      <c r="O1821">
        <v>0</v>
      </c>
      <c r="P1821">
        <v>51</v>
      </c>
      <c r="Q1821" s="80">
        <v>0</v>
      </c>
      <c r="R1821" s="80">
        <f t="shared" si="167"/>
        <v>51</v>
      </c>
      <c r="AD1821"/>
    </row>
    <row r="1822" spans="10:30" ht="16.2" customHeight="1">
      <c r="J1822" s="80" t="s">
        <v>725</v>
      </c>
      <c r="K1822" s="80" t="s">
        <v>5447</v>
      </c>
      <c r="L1822" t="s">
        <v>185</v>
      </c>
      <c r="M1822" t="s">
        <v>162</v>
      </c>
      <c r="N1822" t="str">
        <f t="shared" si="168"/>
        <v>SingleS-Fold Motorised Somfy 12v Remote Curtain TrackNo HooksDouble Face Fix Brackets</v>
      </c>
      <c r="O1822">
        <v>0</v>
      </c>
      <c r="P1822">
        <v>51</v>
      </c>
      <c r="Q1822" s="80">
        <v>0</v>
      </c>
      <c r="R1822" s="80">
        <f t="shared" si="167"/>
        <v>51</v>
      </c>
      <c r="AD1822"/>
    </row>
    <row r="1823" spans="10:30" ht="16.2" customHeight="1">
      <c r="J1823" s="80" t="s">
        <v>746</v>
      </c>
      <c r="K1823" s="80" t="s">
        <v>5447</v>
      </c>
      <c r="L1823" t="s">
        <v>185</v>
      </c>
      <c r="M1823" t="s">
        <v>159</v>
      </c>
      <c r="N1823" t="str">
        <f t="shared" si="168"/>
        <v>Double FrontS-Fold Motorised Somfy 12v Remote Curtain TrackNo HooksSingle Face Fix Brackets</v>
      </c>
      <c r="O1823">
        <v>0</v>
      </c>
      <c r="P1823">
        <v>47</v>
      </c>
      <c r="Q1823" s="80">
        <v>0</v>
      </c>
      <c r="R1823" s="80">
        <f t="shared" si="169" ref="R1823:R1886">SUM(P1823)-O1823</f>
        <v>47</v>
      </c>
      <c r="AD1823"/>
    </row>
    <row r="1824" spans="10:30" ht="16.2" customHeight="1">
      <c r="J1824" s="80" t="s">
        <v>747</v>
      </c>
      <c r="K1824" s="80" t="s">
        <v>5447</v>
      </c>
      <c r="L1824" t="s">
        <v>185</v>
      </c>
      <c r="M1824" t="s">
        <v>159</v>
      </c>
      <c r="N1824" t="str">
        <f t="shared" si="168"/>
        <v>Double RearS-Fold Motorised Somfy 12v Remote Curtain TrackNo HooksSingle Face Fix Brackets</v>
      </c>
      <c r="O1824">
        <v>0</v>
      </c>
      <c r="P1824">
        <v>47</v>
      </c>
      <c r="Q1824" s="80">
        <v>0</v>
      </c>
      <c r="R1824" s="80">
        <f t="shared" si="169"/>
        <v>47</v>
      </c>
      <c r="AD1824"/>
    </row>
    <row r="1825" spans="10:30" ht="16.2" customHeight="1">
      <c r="J1825" s="80" t="s">
        <v>725</v>
      </c>
      <c r="K1825" s="80" t="s">
        <v>5447</v>
      </c>
      <c r="L1825" t="s">
        <v>185</v>
      </c>
      <c r="M1825" t="s">
        <v>159</v>
      </c>
      <c r="N1825" t="str">
        <f t="shared" si="168"/>
        <v>SingleS-Fold Motorised Somfy 12v Remote Curtain TrackNo HooksSingle Face Fix Brackets</v>
      </c>
      <c r="O1825">
        <v>0</v>
      </c>
      <c r="P1825">
        <v>47</v>
      </c>
      <c r="Q1825" s="80">
        <v>0</v>
      </c>
      <c r="R1825" s="80">
        <f t="shared" si="169"/>
        <v>47</v>
      </c>
      <c r="AD1825"/>
    </row>
    <row r="1826" spans="10:30" ht="16.2" customHeight="1">
      <c r="J1826" s="80" t="s">
        <v>746</v>
      </c>
      <c r="K1826" s="80" t="s">
        <v>5447</v>
      </c>
      <c r="L1826" t="s">
        <v>185</v>
      </c>
      <c r="M1826" t="s">
        <v>161</v>
      </c>
      <c r="N1826" t="str">
        <f t="shared" si="168"/>
        <v>Double FrontS-Fold Motorised Somfy 12v Remote Curtain TrackNo HooksTop Fix Brackets</v>
      </c>
      <c r="O1826">
        <v>0</v>
      </c>
      <c r="P1826">
        <v>42</v>
      </c>
      <c r="Q1826" s="80">
        <v>0</v>
      </c>
      <c r="R1826" s="80">
        <f t="shared" si="169"/>
        <v>42</v>
      </c>
      <c r="AD1826"/>
    </row>
    <row r="1827" spans="10:30" ht="16.2" customHeight="1">
      <c r="J1827" s="80" t="s">
        <v>747</v>
      </c>
      <c r="K1827" s="80" t="s">
        <v>5447</v>
      </c>
      <c r="L1827" t="s">
        <v>185</v>
      </c>
      <c r="M1827" t="s">
        <v>161</v>
      </c>
      <c r="N1827" t="str">
        <f t="shared" si="168"/>
        <v>Double RearS-Fold Motorised Somfy 12v Remote Curtain TrackNo HooksTop Fix Brackets</v>
      </c>
      <c r="O1827">
        <v>0</v>
      </c>
      <c r="P1827">
        <v>42</v>
      </c>
      <c r="Q1827" s="80">
        <v>0</v>
      </c>
      <c r="R1827" s="80">
        <f t="shared" si="169"/>
        <v>42</v>
      </c>
      <c r="AD1827"/>
    </row>
    <row r="1828" spans="10:30" ht="16.2" customHeight="1">
      <c r="J1828" s="80" t="s">
        <v>725</v>
      </c>
      <c r="K1828" s="80" t="s">
        <v>5447</v>
      </c>
      <c r="L1828" t="s">
        <v>185</v>
      </c>
      <c r="M1828" t="s">
        <v>161</v>
      </c>
      <c r="N1828" t="str">
        <f t="shared" si="168"/>
        <v>SingleS-Fold Motorised Somfy 12v Remote Curtain TrackNo HooksTop Fix Brackets</v>
      </c>
      <c r="O1828">
        <v>0</v>
      </c>
      <c r="P1828">
        <v>42</v>
      </c>
      <c r="Q1828" s="80">
        <v>0</v>
      </c>
      <c r="R1828" s="80">
        <f t="shared" si="169"/>
        <v>42</v>
      </c>
      <c r="AD1828"/>
    </row>
    <row r="1829" spans="10:30" ht="16.2" customHeight="1">
      <c r="J1829" s="80" t="s">
        <v>746</v>
      </c>
      <c r="K1829" s="80" t="s">
        <v>5449</v>
      </c>
      <c r="L1829" t="s">
        <v>185</v>
      </c>
      <c r="M1829" t="s">
        <v>162</v>
      </c>
      <c r="N1829" t="str">
        <f t="shared" si="168"/>
        <v>Double FrontS-Fold Motorised Somfy 240v Remote Curtain TrackNo HooksDouble Face Fix Brackets</v>
      </c>
      <c r="O1829">
        <v>0</v>
      </c>
      <c r="P1829">
        <v>51</v>
      </c>
      <c r="Q1829" s="80">
        <v>0</v>
      </c>
      <c r="R1829" s="80">
        <f t="shared" si="169"/>
        <v>51</v>
      </c>
      <c r="AD1829"/>
    </row>
    <row r="1830" spans="10:30" ht="16.2" customHeight="1">
      <c r="J1830" s="80" t="s">
        <v>747</v>
      </c>
      <c r="K1830" s="80" t="s">
        <v>5449</v>
      </c>
      <c r="L1830" t="s">
        <v>185</v>
      </c>
      <c r="M1830" t="s">
        <v>162</v>
      </c>
      <c r="N1830" t="str">
        <f t="shared" si="168"/>
        <v>Double RearS-Fold Motorised Somfy 240v Remote Curtain TrackNo HooksDouble Face Fix Brackets</v>
      </c>
      <c r="O1830">
        <v>0</v>
      </c>
      <c r="P1830">
        <v>51</v>
      </c>
      <c r="Q1830" s="80">
        <v>0</v>
      </c>
      <c r="R1830" s="80">
        <f t="shared" si="169"/>
        <v>51</v>
      </c>
      <c r="AD1830"/>
    </row>
    <row r="1831" spans="10:30" ht="16.2" customHeight="1">
      <c r="J1831" s="80" t="s">
        <v>725</v>
      </c>
      <c r="K1831" s="80" t="s">
        <v>5449</v>
      </c>
      <c r="L1831" t="s">
        <v>185</v>
      </c>
      <c r="M1831" t="s">
        <v>162</v>
      </c>
      <c r="N1831" t="str">
        <f t="shared" si="168"/>
        <v>SingleS-Fold Motorised Somfy 240v Remote Curtain TrackNo HooksDouble Face Fix Brackets</v>
      </c>
      <c r="O1831">
        <v>0</v>
      </c>
      <c r="P1831">
        <v>51</v>
      </c>
      <c r="Q1831" s="80">
        <v>0</v>
      </c>
      <c r="R1831" s="80">
        <f t="shared" si="169"/>
        <v>51</v>
      </c>
      <c r="AD1831"/>
    </row>
    <row r="1832" spans="10:30" ht="16.2" customHeight="1">
      <c r="J1832" s="80" t="s">
        <v>746</v>
      </c>
      <c r="K1832" s="80" t="s">
        <v>5449</v>
      </c>
      <c r="L1832" t="s">
        <v>185</v>
      </c>
      <c r="M1832" t="s">
        <v>159</v>
      </c>
      <c r="N1832" t="str">
        <f t="shared" si="168"/>
        <v>Double FrontS-Fold Motorised Somfy 240v Remote Curtain TrackNo HooksSingle Face Fix Brackets</v>
      </c>
      <c r="O1832">
        <v>0</v>
      </c>
      <c r="P1832">
        <v>47</v>
      </c>
      <c r="Q1832" s="80">
        <v>0</v>
      </c>
      <c r="R1832" s="80">
        <f t="shared" si="169"/>
        <v>47</v>
      </c>
      <c r="AD1832"/>
    </row>
    <row r="1833" spans="10:30" ht="16.2" customHeight="1">
      <c r="J1833" s="80" t="s">
        <v>747</v>
      </c>
      <c r="K1833" s="80" t="s">
        <v>5449</v>
      </c>
      <c r="L1833" t="s">
        <v>185</v>
      </c>
      <c r="M1833" t="s">
        <v>159</v>
      </c>
      <c r="N1833" t="str">
        <f t="shared" si="168"/>
        <v>Double RearS-Fold Motorised Somfy 240v Remote Curtain TrackNo HooksSingle Face Fix Brackets</v>
      </c>
      <c r="O1833">
        <v>0</v>
      </c>
      <c r="P1833">
        <v>47</v>
      </c>
      <c r="Q1833" s="80">
        <v>0</v>
      </c>
      <c r="R1833" s="80">
        <f t="shared" si="169"/>
        <v>47</v>
      </c>
      <c r="AD1833"/>
    </row>
    <row r="1834" spans="10:30" ht="16.2" customHeight="1">
      <c r="J1834" s="80" t="s">
        <v>725</v>
      </c>
      <c r="K1834" s="80" t="s">
        <v>5449</v>
      </c>
      <c r="L1834" t="s">
        <v>185</v>
      </c>
      <c r="M1834" t="s">
        <v>159</v>
      </c>
      <c r="N1834" t="str">
        <f t="shared" si="168"/>
        <v>SingleS-Fold Motorised Somfy 240v Remote Curtain TrackNo HooksSingle Face Fix Brackets</v>
      </c>
      <c r="O1834">
        <v>0</v>
      </c>
      <c r="P1834">
        <v>47</v>
      </c>
      <c r="Q1834" s="80">
        <v>0</v>
      </c>
      <c r="R1834" s="80">
        <f t="shared" si="169"/>
        <v>47</v>
      </c>
      <c r="AD1834"/>
    </row>
    <row r="1835" spans="10:30" ht="16.2" customHeight="1">
      <c r="J1835" s="80" t="s">
        <v>746</v>
      </c>
      <c r="K1835" s="80" t="s">
        <v>5449</v>
      </c>
      <c r="L1835" t="s">
        <v>185</v>
      </c>
      <c r="M1835" t="s">
        <v>161</v>
      </c>
      <c r="N1835" t="str">
        <f t="shared" si="168"/>
        <v>Double FrontS-Fold Motorised Somfy 240v Remote Curtain TrackNo HooksTop Fix Brackets</v>
      </c>
      <c r="O1835">
        <v>0</v>
      </c>
      <c r="P1835">
        <v>42</v>
      </c>
      <c r="Q1835" s="80">
        <v>0</v>
      </c>
      <c r="R1835" s="80">
        <f t="shared" si="169"/>
        <v>42</v>
      </c>
      <c r="AD1835"/>
    </row>
    <row r="1836" spans="10:30" ht="16.2" customHeight="1">
      <c r="J1836" s="80" t="s">
        <v>747</v>
      </c>
      <c r="K1836" s="80" t="s">
        <v>5449</v>
      </c>
      <c r="L1836" t="s">
        <v>185</v>
      </c>
      <c r="M1836" t="s">
        <v>161</v>
      </c>
      <c r="N1836" t="str">
        <f t="shared" si="168"/>
        <v>Double RearS-Fold Motorised Somfy 240v Remote Curtain TrackNo HooksTop Fix Brackets</v>
      </c>
      <c r="O1836">
        <v>0</v>
      </c>
      <c r="P1836">
        <v>42</v>
      </c>
      <c r="Q1836" s="80">
        <v>0</v>
      </c>
      <c r="R1836" s="80">
        <f t="shared" si="169"/>
        <v>42</v>
      </c>
      <c r="AD1836"/>
    </row>
    <row r="1837" spans="10:30" ht="16.2" customHeight="1">
      <c r="J1837" s="80" t="s">
        <v>725</v>
      </c>
      <c r="K1837" s="80" t="s">
        <v>5449</v>
      </c>
      <c r="L1837" t="s">
        <v>185</v>
      </c>
      <c r="M1837" t="s">
        <v>161</v>
      </c>
      <c r="N1837" t="str">
        <f t="shared" si="168"/>
        <v>SingleS-Fold Motorised Somfy 240v Remote Curtain TrackNo HooksTop Fix Brackets</v>
      </c>
      <c r="O1837">
        <v>0</v>
      </c>
      <c r="P1837">
        <v>42</v>
      </c>
      <c r="Q1837" s="80">
        <v>0</v>
      </c>
      <c r="R1837" s="80">
        <f t="shared" si="169"/>
        <v>42</v>
      </c>
      <c r="AD1837"/>
    </row>
    <row r="1838" spans="10:30" ht="16.2" customHeight="1">
      <c r="J1838" s="80" t="s">
        <v>746</v>
      </c>
      <c r="K1838" s="80" t="s">
        <v>5448</v>
      </c>
      <c r="L1838" t="s">
        <v>185</v>
      </c>
      <c r="M1838" t="s">
        <v>162</v>
      </c>
      <c r="N1838" t="str">
        <f t="shared" si="168"/>
        <v>Double FrontS-Fold Motorised Somfy 240v Switch Curtain TrackNo HooksDouble Face Fix Brackets</v>
      </c>
      <c r="O1838">
        <v>0</v>
      </c>
      <c r="P1838">
        <v>51</v>
      </c>
      <c r="Q1838" s="80">
        <v>0</v>
      </c>
      <c r="R1838" s="80">
        <f t="shared" si="169"/>
        <v>51</v>
      </c>
      <c r="AD1838"/>
    </row>
    <row r="1839" spans="10:30" ht="16.2" customHeight="1">
      <c r="J1839" s="80" t="s">
        <v>747</v>
      </c>
      <c r="K1839" s="80" t="s">
        <v>5448</v>
      </c>
      <c r="L1839" t="s">
        <v>185</v>
      </c>
      <c r="M1839" t="s">
        <v>162</v>
      </c>
      <c r="N1839" t="str">
        <f t="shared" si="168"/>
        <v>Double RearS-Fold Motorised Somfy 240v Switch Curtain TrackNo HooksDouble Face Fix Brackets</v>
      </c>
      <c r="O1839">
        <v>0</v>
      </c>
      <c r="P1839">
        <v>51</v>
      </c>
      <c r="Q1839" s="80">
        <v>0</v>
      </c>
      <c r="R1839" s="80">
        <f t="shared" si="169"/>
        <v>51</v>
      </c>
      <c r="AD1839"/>
    </row>
    <row r="1840" spans="10:30" ht="16.2" customHeight="1">
      <c r="J1840" s="80" t="s">
        <v>725</v>
      </c>
      <c r="K1840" s="80" t="s">
        <v>5448</v>
      </c>
      <c r="L1840" t="s">
        <v>185</v>
      </c>
      <c r="M1840" t="s">
        <v>162</v>
      </c>
      <c r="N1840" t="str">
        <f t="shared" si="168"/>
        <v>SingleS-Fold Motorised Somfy 240v Switch Curtain TrackNo HooksDouble Face Fix Brackets</v>
      </c>
      <c r="O1840">
        <v>0</v>
      </c>
      <c r="P1840">
        <v>51</v>
      </c>
      <c r="Q1840" s="80">
        <v>0</v>
      </c>
      <c r="R1840" s="80">
        <f t="shared" si="169"/>
        <v>51</v>
      </c>
      <c r="AD1840"/>
    </row>
    <row r="1841" spans="10:30" ht="16.2" customHeight="1">
      <c r="J1841" s="80" t="s">
        <v>746</v>
      </c>
      <c r="K1841" s="80" t="s">
        <v>5448</v>
      </c>
      <c r="L1841" t="s">
        <v>185</v>
      </c>
      <c r="M1841" t="s">
        <v>159</v>
      </c>
      <c r="N1841" t="str">
        <f t="shared" si="168"/>
        <v>Double FrontS-Fold Motorised Somfy 240v Switch Curtain TrackNo HooksSingle Face Fix Brackets</v>
      </c>
      <c r="O1841">
        <v>0</v>
      </c>
      <c r="P1841">
        <v>47</v>
      </c>
      <c r="Q1841" s="80">
        <v>0</v>
      </c>
      <c r="R1841" s="80">
        <f t="shared" si="169"/>
        <v>47</v>
      </c>
      <c r="AD1841"/>
    </row>
    <row r="1842" spans="10:30" ht="16.2" customHeight="1">
      <c r="J1842" s="80" t="s">
        <v>747</v>
      </c>
      <c r="K1842" s="80" t="s">
        <v>5448</v>
      </c>
      <c r="L1842" t="s">
        <v>185</v>
      </c>
      <c r="M1842" t="s">
        <v>159</v>
      </c>
      <c r="N1842" t="str">
        <f t="shared" si="168"/>
        <v>Double RearS-Fold Motorised Somfy 240v Switch Curtain TrackNo HooksSingle Face Fix Brackets</v>
      </c>
      <c r="O1842">
        <v>0</v>
      </c>
      <c r="P1842">
        <v>47</v>
      </c>
      <c r="Q1842" s="80">
        <v>0</v>
      </c>
      <c r="R1842" s="80">
        <f t="shared" si="169"/>
        <v>47</v>
      </c>
      <c r="AD1842"/>
    </row>
    <row r="1843" spans="10:30" ht="16.2" customHeight="1">
      <c r="J1843" s="80" t="s">
        <v>725</v>
      </c>
      <c r="K1843" s="80" t="s">
        <v>5448</v>
      </c>
      <c r="L1843" t="s">
        <v>185</v>
      </c>
      <c r="M1843" t="s">
        <v>159</v>
      </c>
      <c r="N1843" t="str">
        <f t="shared" si="168"/>
        <v>SingleS-Fold Motorised Somfy 240v Switch Curtain TrackNo HooksSingle Face Fix Brackets</v>
      </c>
      <c r="O1843">
        <v>0</v>
      </c>
      <c r="P1843">
        <v>47</v>
      </c>
      <c r="Q1843" s="80">
        <v>0</v>
      </c>
      <c r="R1843" s="80">
        <f t="shared" si="169"/>
        <v>47</v>
      </c>
      <c r="AD1843"/>
    </row>
    <row r="1844" spans="10:30" ht="16.2" customHeight="1">
      <c r="J1844" s="80" t="s">
        <v>746</v>
      </c>
      <c r="K1844" s="80" t="s">
        <v>5448</v>
      </c>
      <c r="L1844" t="s">
        <v>185</v>
      </c>
      <c r="M1844" t="s">
        <v>161</v>
      </c>
      <c r="N1844" t="str">
        <f t="shared" si="168"/>
        <v>Double FrontS-Fold Motorised Somfy 240v Switch Curtain TrackNo HooksTop Fix Brackets</v>
      </c>
      <c r="O1844">
        <v>0</v>
      </c>
      <c r="P1844">
        <v>42</v>
      </c>
      <c r="Q1844" s="80">
        <v>0</v>
      </c>
      <c r="R1844" s="80">
        <f t="shared" si="169"/>
        <v>42</v>
      </c>
      <c r="AD1844"/>
    </row>
    <row r="1845" spans="10:30" ht="16.2" customHeight="1">
      <c r="J1845" s="80" t="s">
        <v>747</v>
      </c>
      <c r="K1845" s="80" t="s">
        <v>5448</v>
      </c>
      <c r="L1845" t="s">
        <v>185</v>
      </c>
      <c r="M1845" t="s">
        <v>161</v>
      </c>
      <c r="N1845" t="str">
        <f t="shared" si="168"/>
        <v>Double RearS-Fold Motorised Somfy 240v Switch Curtain TrackNo HooksTop Fix Brackets</v>
      </c>
      <c r="O1845">
        <v>0</v>
      </c>
      <c r="P1845">
        <v>42</v>
      </c>
      <c r="Q1845" s="80">
        <v>0</v>
      </c>
      <c r="R1845" s="80">
        <f t="shared" si="169"/>
        <v>42</v>
      </c>
      <c r="AD1845"/>
    </row>
    <row r="1846" spans="10:30" ht="16.2" customHeight="1">
      <c r="J1846" s="80" t="s">
        <v>725</v>
      </c>
      <c r="K1846" s="80" t="s">
        <v>5448</v>
      </c>
      <c r="L1846" t="s">
        <v>185</v>
      </c>
      <c r="M1846" t="s">
        <v>161</v>
      </c>
      <c r="N1846" t="str">
        <f t="shared" si="168"/>
        <v>SingleS-Fold Motorised Somfy 240v Switch Curtain TrackNo HooksTop Fix Brackets</v>
      </c>
      <c r="O1846">
        <v>0</v>
      </c>
      <c r="P1846">
        <v>42</v>
      </c>
      <c r="Q1846" s="80">
        <v>0</v>
      </c>
      <c r="R1846" s="80">
        <f t="shared" si="169"/>
        <v>42</v>
      </c>
      <c r="AD1846"/>
    </row>
    <row r="1847" spans="10:30" ht="16.2" customHeight="1">
      <c r="J1847" s="80" t="s">
        <v>746</v>
      </c>
      <c r="K1847" s="80" t="s">
        <v>132</v>
      </c>
      <c r="L1847" t="s">
        <v>183</v>
      </c>
      <c r="M1847" t="s">
        <v>7206</v>
      </c>
      <c r="N1847" t="str">
        <f t="shared" si="168"/>
        <v>Double FrontStreamline Cord OperationBelow Normal 207532mm Face Fix Brackets</v>
      </c>
      <c r="O1847">
        <v>70</v>
      </c>
      <c r="P1847">
        <v>45</v>
      </c>
      <c r="Q1847" s="80">
        <v>0</v>
      </c>
      <c r="R1847" s="80">
        <f t="shared" si="169"/>
        <v>-25</v>
      </c>
      <c r="AD1847"/>
    </row>
    <row r="1848" spans="10:30" ht="16.2" customHeight="1">
      <c r="J1848" s="80" t="s">
        <v>747</v>
      </c>
      <c r="K1848" s="80" t="s">
        <v>132</v>
      </c>
      <c r="L1848" t="s">
        <v>183</v>
      </c>
      <c r="M1848" t="s">
        <v>7206</v>
      </c>
      <c r="N1848" t="str">
        <f t="shared" si="168"/>
        <v>Double RearStreamline Cord OperationBelow Normal 207532mm Face Fix Brackets</v>
      </c>
      <c r="O1848">
        <v>70</v>
      </c>
      <c r="P1848">
        <v>45</v>
      </c>
      <c r="Q1848" s="80">
        <v>0</v>
      </c>
      <c r="R1848" s="80">
        <f t="shared" si="169"/>
        <v>-25</v>
      </c>
      <c r="AD1848"/>
    </row>
    <row r="1849" spans="10:30" ht="16.2" customHeight="1">
      <c r="J1849" s="80" t="s">
        <v>725</v>
      </c>
      <c r="K1849" s="80" t="s">
        <v>132</v>
      </c>
      <c r="L1849" t="s">
        <v>183</v>
      </c>
      <c r="M1849" t="s">
        <v>7206</v>
      </c>
      <c r="N1849" t="str">
        <f t="shared" si="168"/>
        <v>SingleStreamline Cord OperationBelow Normal 207532mm Face Fix Brackets</v>
      </c>
      <c r="O1849">
        <v>70</v>
      </c>
      <c r="P1849">
        <v>45</v>
      </c>
      <c r="Q1849" s="80">
        <v>0</v>
      </c>
      <c r="R1849" s="80">
        <f t="shared" si="169"/>
        <v>-25</v>
      </c>
      <c r="AD1849"/>
    </row>
    <row r="1850" spans="10:30" ht="16.2" customHeight="1">
      <c r="J1850" s="80" t="s">
        <v>746</v>
      </c>
      <c r="K1850" s="80" t="s">
        <v>132</v>
      </c>
      <c r="L1850" t="s">
        <v>182</v>
      </c>
      <c r="M1850" t="s">
        <v>7206</v>
      </c>
      <c r="N1850" t="str">
        <f t="shared" si="168"/>
        <v>Double FrontStreamline Cord OperationBetween Level and Normal 207332mm Face Fix Brackets</v>
      </c>
      <c r="O1850">
        <v>48</v>
      </c>
      <c r="P1850">
        <v>45</v>
      </c>
      <c r="Q1850" s="80">
        <v>0</v>
      </c>
      <c r="R1850" s="80">
        <f t="shared" si="169"/>
        <v>-3</v>
      </c>
      <c r="AD1850"/>
    </row>
    <row r="1851" spans="10:30" ht="16.2" customHeight="1">
      <c r="J1851" s="80" t="s">
        <v>747</v>
      </c>
      <c r="K1851" s="80" t="s">
        <v>132</v>
      </c>
      <c r="L1851" t="s">
        <v>182</v>
      </c>
      <c r="M1851" t="s">
        <v>7206</v>
      </c>
      <c r="N1851" t="str">
        <f t="shared" si="168"/>
        <v>Double RearStreamline Cord OperationBetween Level and Normal 207332mm Face Fix Brackets</v>
      </c>
      <c r="O1851">
        <v>48</v>
      </c>
      <c r="P1851">
        <v>45</v>
      </c>
      <c r="Q1851" s="80">
        <v>0</v>
      </c>
      <c r="R1851" s="80">
        <f t="shared" si="169"/>
        <v>-3</v>
      </c>
      <c r="AD1851"/>
    </row>
    <row r="1852" spans="10:30" ht="16.2" customHeight="1">
      <c r="J1852" s="80" t="s">
        <v>725</v>
      </c>
      <c r="K1852" s="80" t="s">
        <v>132</v>
      </c>
      <c r="L1852" t="s">
        <v>182</v>
      </c>
      <c r="M1852" t="s">
        <v>7206</v>
      </c>
      <c r="N1852" t="str">
        <f t="shared" si="168"/>
        <v>SingleStreamline Cord OperationBetween Level and Normal 207332mm Face Fix Brackets</v>
      </c>
      <c r="O1852">
        <v>47</v>
      </c>
      <c r="P1852">
        <v>45</v>
      </c>
      <c r="Q1852" s="80">
        <v>0</v>
      </c>
      <c r="R1852" s="80">
        <f t="shared" si="169"/>
        <v>-2</v>
      </c>
      <c r="AD1852"/>
    </row>
    <row r="1853" spans="10:30" ht="16.2" customHeight="1">
      <c r="J1853" s="80" t="s">
        <v>746</v>
      </c>
      <c r="K1853" s="80" t="s">
        <v>132</v>
      </c>
      <c r="L1853" t="s">
        <v>184</v>
      </c>
      <c r="M1853" t="s">
        <v>7206</v>
      </c>
      <c r="N1853" t="str">
        <f t="shared" si="168"/>
        <v>Double FrontStreamline Cord OperationDecorator 207132mm Face Fix Brackets</v>
      </c>
      <c r="O1853">
        <v>20</v>
      </c>
      <c r="P1853">
        <v>45</v>
      </c>
      <c r="Q1853" s="80">
        <v>0</v>
      </c>
      <c r="R1853" s="80">
        <f t="shared" si="169"/>
        <v>25</v>
      </c>
      <c r="AD1853"/>
    </row>
    <row r="1854" spans="10:30" ht="16.2" customHeight="1">
      <c r="J1854" s="80" t="s">
        <v>747</v>
      </c>
      <c r="K1854" s="80" t="s">
        <v>132</v>
      </c>
      <c r="L1854" t="s">
        <v>184</v>
      </c>
      <c r="M1854" t="s">
        <v>7206</v>
      </c>
      <c r="N1854" t="str">
        <f t="shared" si="168"/>
        <v>Double RearStreamline Cord OperationDecorator 207132mm Face Fix Brackets</v>
      </c>
      <c r="O1854">
        <v>20</v>
      </c>
      <c r="P1854">
        <v>45</v>
      </c>
      <c r="Q1854" s="80">
        <v>0</v>
      </c>
      <c r="R1854" s="80">
        <f t="shared" si="169"/>
        <v>25</v>
      </c>
      <c r="AD1854"/>
    </row>
    <row r="1855" spans="10:30" ht="16.2" customHeight="1">
      <c r="J1855" s="80" t="s">
        <v>725</v>
      </c>
      <c r="K1855" s="80" t="s">
        <v>132</v>
      </c>
      <c r="L1855" t="s">
        <v>184</v>
      </c>
      <c r="M1855" t="s">
        <v>7206</v>
      </c>
      <c r="N1855" t="str">
        <f t="shared" si="168"/>
        <v>SingleStreamline Cord OperationDecorator 207132mm Face Fix Brackets</v>
      </c>
      <c r="O1855">
        <v>20</v>
      </c>
      <c r="P1855">
        <v>45</v>
      </c>
      <c r="Q1855" s="80">
        <v>0</v>
      </c>
      <c r="R1855" s="80">
        <f t="shared" si="169"/>
        <v>25</v>
      </c>
      <c r="AD1855"/>
    </row>
    <row r="1856" spans="10:30" ht="16.2" customHeight="1">
      <c r="J1856" s="80" t="s">
        <v>746</v>
      </c>
      <c r="K1856" s="80" t="s">
        <v>132</v>
      </c>
      <c r="L1856" t="s">
        <v>6468</v>
      </c>
      <c r="M1856" t="s">
        <v>7206</v>
      </c>
      <c r="N1856" t="str">
        <f t="shared" si="168"/>
        <v>Double FrontStreamline Cord OperationGather Hook Bottom Pocket32mm Face Fix Brackets</v>
      </c>
      <c r="O1856">
        <v>60</v>
      </c>
      <c r="P1856">
        <v>45</v>
      </c>
      <c r="Q1856" s="80">
        <v>0</v>
      </c>
      <c r="R1856" s="80">
        <f t="shared" si="169"/>
        <v>-15</v>
      </c>
      <c r="AD1856"/>
    </row>
    <row r="1857" spans="10:30" ht="16.2" customHeight="1">
      <c r="J1857" s="80" t="s">
        <v>725</v>
      </c>
      <c r="K1857" s="80" t="s">
        <v>132</v>
      </c>
      <c r="L1857" t="s">
        <v>6468</v>
      </c>
      <c r="M1857" t="s">
        <v>7206</v>
      </c>
      <c r="N1857" t="str">
        <f t="shared" si="168"/>
        <v>SingleStreamline Cord OperationGather Hook Bottom Pocket32mm Face Fix Brackets</v>
      </c>
      <c r="O1857">
        <v>60</v>
      </c>
      <c r="P1857">
        <v>45</v>
      </c>
      <c r="Q1857" s="80">
        <v>0</v>
      </c>
      <c r="R1857" s="80">
        <f t="shared" si="169"/>
        <v>-15</v>
      </c>
      <c r="AD1857"/>
    </row>
    <row r="1858" spans="10:30" ht="16.2" customHeight="1">
      <c r="J1858" s="80" t="s">
        <v>746</v>
      </c>
      <c r="K1858" s="80" t="s">
        <v>132</v>
      </c>
      <c r="L1858" t="s">
        <v>229</v>
      </c>
      <c r="M1858" t="s">
        <v>7206</v>
      </c>
      <c r="N1858" t="str">
        <f t="shared" si="170" ref="N1858:N1921">(CONCATENATE(J1858,K1858,L1858,M1858))</f>
        <v>Double FrontStreamline Cord OperationGather Hook Level32mm Face Fix Brackets</v>
      </c>
      <c r="O1858">
        <v>20</v>
      </c>
      <c r="P1858">
        <v>45</v>
      </c>
      <c r="Q1858" s="80">
        <v>0</v>
      </c>
      <c r="R1858" s="80">
        <f t="shared" si="169"/>
        <v>25</v>
      </c>
      <c r="AD1858"/>
    </row>
    <row r="1859" spans="10:30" ht="16.2" customHeight="1">
      <c r="J1859" s="80" t="s">
        <v>747</v>
      </c>
      <c r="K1859" s="80" t="s">
        <v>132</v>
      </c>
      <c r="L1859" t="s">
        <v>229</v>
      </c>
      <c r="M1859" t="s">
        <v>7206</v>
      </c>
      <c r="N1859" t="str">
        <f t="shared" si="170"/>
        <v>Double RearStreamline Cord OperationGather Hook Level32mm Face Fix Brackets</v>
      </c>
      <c r="O1859">
        <v>20</v>
      </c>
      <c r="P1859">
        <v>45</v>
      </c>
      <c r="Q1859" s="80">
        <v>0</v>
      </c>
      <c r="R1859" s="80">
        <f t="shared" si="169"/>
        <v>25</v>
      </c>
      <c r="AD1859"/>
    </row>
    <row r="1860" spans="10:30" ht="16.2" customHeight="1">
      <c r="J1860" s="80" t="s">
        <v>725</v>
      </c>
      <c r="K1860" s="80" t="s">
        <v>132</v>
      </c>
      <c r="L1860" t="s">
        <v>229</v>
      </c>
      <c r="M1860" t="s">
        <v>7206</v>
      </c>
      <c r="N1860" t="str">
        <f t="shared" si="170"/>
        <v>SingleStreamline Cord OperationGather Hook Level32mm Face Fix Brackets</v>
      </c>
      <c r="O1860">
        <v>20</v>
      </c>
      <c r="P1860">
        <v>45</v>
      </c>
      <c r="Q1860" s="80">
        <v>0</v>
      </c>
      <c r="R1860" s="80">
        <f t="shared" si="169"/>
        <v>25</v>
      </c>
      <c r="AD1860"/>
    </row>
    <row r="1861" spans="10:30" ht="16.2" customHeight="1">
      <c r="J1861" s="80" t="s">
        <v>746</v>
      </c>
      <c r="K1861" s="80" t="s">
        <v>132</v>
      </c>
      <c r="L1861" t="s">
        <v>228</v>
      </c>
      <c r="M1861" t="s">
        <v>7206</v>
      </c>
      <c r="N1861" t="str">
        <f t="shared" si="170"/>
        <v>Double FrontStreamline Cord OperationGather Hook Normal32mm Face Fix Brackets</v>
      </c>
      <c r="O1861">
        <v>43</v>
      </c>
      <c r="P1861">
        <v>45</v>
      </c>
      <c r="Q1861" s="80">
        <v>0</v>
      </c>
      <c r="R1861" s="80">
        <f t="shared" si="169"/>
        <v>2</v>
      </c>
      <c r="AD1861"/>
    </row>
    <row r="1862" spans="10:30" ht="16.2" customHeight="1">
      <c r="J1862" s="80" t="s">
        <v>747</v>
      </c>
      <c r="K1862" s="80" t="s">
        <v>132</v>
      </c>
      <c r="L1862" t="s">
        <v>228</v>
      </c>
      <c r="M1862" t="s">
        <v>7206</v>
      </c>
      <c r="N1862" t="str">
        <f t="shared" si="170"/>
        <v>Double RearStreamline Cord OperationGather Hook Normal32mm Face Fix Brackets</v>
      </c>
      <c r="O1862">
        <v>43</v>
      </c>
      <c r="P1862">
        <v>45</v>
      </c>
      <c r="Q1862" s="80">
        <v>0</v>
      </c>
      <c r="R1862" s="80">
        <f t="shared" si="169"/>
        <v>2</v>
      </c>
      <c r="AD1862"/>
    </row>
    <row r="1863" spans="10:30" ht="16.2" customHeight="1">
      <c r="J1863" s="80" t="s">
        <v>725</v>
      </c>
      <c r="K1863" s="80" t="s">
        <v>132</v>
      </c>
      <c r="L1863" t="s">
        <v>228</v>
      </c>
      <c r="M1863" t="s">
        <v>7206</v>
      </c>
      <c r="N1863" t="str">
        <f t="shared" si="170"/>
        <v>SingleStreamline Cord OperationGather Hook Normal32mm Face Fix Brackets</v>
      </c>
      <c r="O1863">
        <v>43</v>
      </c>
      <c r="P1863">
        <v>45</v>
      </c>
      <c r="Q1863" s="80">
        <v>0</v>
      </c>
      <c r="R1863" s="80">
        <f t="shared" si="169"/>
        <v>2</v>
      </c>
      <c r="AD1863"/>
    </row>
    <row r="1864" spans="10:30" ht="16.2" customHeight="1">
      <c r="J1864" s="80" t="s">
        <v>746</v>
      </c>
      <c r="K1864" s="80" t="s">
        <v>132</v>
      </c>
      <c r="L1864" t="s">
        <v>282</v>
      </c>
      <c r="M1864" t="s">
        <v>7206</v>
      </c>
      <c r="N1864" t="str">
        <f t="shared" si="170"/>
        <v>Double FrontStreamline Cord OperationLevel 207232mm Face Fix Brackets</v>
      </c>
      <c r="O1864">
        <v>38</v>
      </c>
      <c r="P1864">
        <v>45</v>
      </c>
      <c r="Q1864" s="80">
        <v>0</v>
      </c>
      <c r="R1864" s="80">
        <f t="shared" si="169"/>
        <v>7</v>
      </c>
      <c r="AD1864"/>
    </row>
    <row r="1865" spans="10:30" ht="16.2" customHeight="1">
      <c r="J1865" s="80" t="s">
        <v>747</v>
      </c>
      <c r="K1865" s="80" t="s">
        <v>132</v>
      </c>
      <c r="L1865" t="s">
        <v>282</v>
      </c>
      <c r="M1865" t="s">
        <v>7206</v>
      </c>
      <c r="N1865" t="str">
        <f t="shared" si="170"/>
        <v>Double RearStreamline Cord OperationLevel 207232mm Face Fix Brackets</v>
      </c>
      <c r="O1865">
        <v>38</v>
      </c>
      <c r="P1865">
        <v>45</v>
      </c>
      <c r="Q1865" s="80">
        <v>0</v>
      </c>
      <c r="R1865" s="80">
        <f t="shared" si="169"/>
        <v>7</v>
      </c>
      <c r="AD1865"/>
    </row>
    <row r="1866" spans="10:30" ht="16.2" customHeight="1">
      <c r="J1866" s="80" t="s">
        <v>725</v>
      </c>
      <c r="K1866" s="80" t="s">
        <v>132</v>
      </c>
      <c r="L1866" t="s">
        <v>282</v>
      </c>
      <c r="M1866" t="s">
        <v>7206</v>
      </c>
      <c r="N1866" t="str">
        <f t="shared" si="170"/>
        <v>SingleStreamline Cord OperationLevel 207232mm Face Fix Brackets</v>
      </c>
      <c r="O1866">
        <v>35</v>
      </c>
      <c r="P1866">
        <v>45</v>
      </c>
      <c r="Q1866" s="80">
        <v>0</v>
      </c>
      <c r="R1866" s="80">
        <f t="shared" si="169"/>
        <v>10</v>
      </c>
      <c r="AD1866"/>
    </row>
    <row r="1867" spans="10:30" ht="16.2" customHeight="1">
      <c r="J1867" s="80" t="s">
        <v>746</v>
      </c>
      <c r="K1867" s="80" t="s">
        <v>132</v>
      </c>
      <c r="L1867" t="s">
        <v>170</v>
      </c>
      <c r="M1867" t="s">
        <v>7206</v>
      </c>
      <c r="N1867" t="str">
        <f t="shared" si="170"/>
        <v>Double FrontStreamline Cord OperationNormal 207432mm Face Fix Brackets</v>
      </c>
      <c r="O1867">
        <v>60</v>
      </c>
      <c r="P1867">
        <v>45</v>
      </c>
      <c r="Q1867" s="80">
        <v>0</v>
      </c>
      <c r="R1867" s="80">
        <f t="shared" si="169"/>
        <v>-15</v>
      </c>
      <c r="AD1867"/>
    </row>
    <row r="1868" spans="10:30" ht="16.2" customHeight="1">
      <c r="J1868" s="80" t="s">
        <v>747</v>
      </c>
      <c r="K1868" s="80" t="s">
        <v>132</v>
      </c>
      <c r="L1868" t="s">
        <v>170</v>
      </c>
      <c r="M1868" t="s">
        <v>7206</v>
      </c>
      <c r="N1868" t="str">
        <f t="shared" si="170"/>
        <v>Double RearStreamline Cord OperationNormal 207432mm Face Fix Brackets</v>
      </c>
      <c r="O1868">
        <v>60</v>
      </c>
      <c r="P1868">
        <v>45</v>
      </c>
      <c r="Q1868" s="80">
        <v>0</v>
      </c>
      <c r="R1868" s="80">
        <f t="shared" si="169"/>
        <v>-15</v>
      </c>
      <c r="AD1868"/>
    </row>
    <row r="1869" spans="10:30" ht="16.2" customHeight="1">
      <c r="J1869" s="80" t="s">
        <v>725</v>
      </c>
      <c r="K1869" s="80" t="s">
        <v>132</v>
      </c>
      <c r="L1869" t="s">
        <v>170</v>
      </c>
      <c r="M1869" t="s">
        <v>7206</v>
      </c>
      <c r="N1869" t="str">
        <f t="shared" si="170"/>
        <v>SingleStreamline Cord OperationNormal 207432mm Face Fix Brackets</v>
      </c>
      <c r="O1869">
        <v>60</v>
      </c>
      <c r="P1869">
        <v>45</v>
      </c>
      <c r="Q1869" s="80">
        <v>0</v>
      </c>
      <c r="R1869" s="80">
        <f t="shared" si="169"/>
        <v>-15</v>
      </c>
      <c r="AD1869"/>
    </row>
    <row r="1870" spans="10:30" ht="16.2" customHeight="1">
      <c r="J1870" s="80" t="s">
        <v>746</v>
      </c>
      <c r="K1870" s="80" t="s">
        <v>132</v>
      </c>
      <c r="L1870" t="s">
        <v>183</v>
      </c>
      <c r="M1870" t="s">
        <v>162</v>
      </c>
      <c r="N1870" t="str">
        <f t="shared" si="170"/>
        <v>Double FrontStreamline Cord OperationBelow Normal 2075Double Face Fix Brackets</v>
      </c>
      <c r="O1870">
        <v>70</v>
      </c>
      <c r="P1870">
        <v>45</v>
      </c>
      <c r="Q1870" s="80">
        <v>0</v>
      </c>
      <c r="R1870" s="80">
        <f t="shared" si="169"/>
        <v>-25</v>
      </c>
      <c r="AD1870"/>
    </row>
    <row r="1871" spans="10:30" ht="16.2" customHeight="1">
      <c r="J1871" s="80" t="s">
        <v>747</v>
      </c>
      <c r="K1871" s="80" t="s">
        <v>132</v>
      </c>
      <c r="L1871" t="s">
        <v>183</v>
      </c>
      <c r="M1871" t="s">
        <v>162</v>
      </c>
      <c r="N1871" t="str">
        <f t="shared" si="170"/>
        <v>Double RearStreamline Cord OperationBelow Normal 2075Double Face Fix Brackets</v>
      </c>
      <c r="O1871">
        <v>70</v>
      </c>
      <c r="P1871">
        <v>45</v>
      </c>
      <c r="Q1871" s="80">
        <v>0</v>
      </c>
      <c r="R1871" s="80">
        <f t="shared" si="169"/>
        <v>-25</v>
      </c>
      <c r="AD1871"/>
    </row>
    <row r="1872" spans="10:30" ht="16.2" customHeight="1">
      <c r="J1872" s="80" t="s">
        <v>725</v>
      </c>
      <c r="K1872" s="80" t="s">
        <v>132</v>
      </c>
      <c r="L1872" t="s">
        <v>183</v>
      </c>
      <c r="M1872" t="s">
        <v>162</v>
      </c>
      <c r="N1872" t="str">
        <f t="shared" si="170"/>
        <v>SingleStreamline Cord OperationBelow Normal 2075Double Face Fix Brackets</v>
      </c>
      <c r="O1872">
        <v>70</v>
      </c>
      <c r="P1872">
        <v>45</v>
      </c>
      <c r="Q1872" s="80">
        <v>0</v>
      </c>
      <c r="R1872" s="80">
        <f t="shared" si="169"/>
        <v>-25</v>
      </c>
      <c r="AD1872"/>
    </row>
    <row r="1873" spans="10:30" ht="16.2" customHeight="1">
      <c r="J1873" s="80" t="s">
        <v>746</v>
      </c>
      <c r="K1873" s="80" t="s">
        <v>132</v>
      </c>
      <c r="L1873" t="s">
        <v>182</v>
      </c>
      <c r="M1873" t="s">
        <v>162</v>
      </c>
      <c r="N1873" t="str">
        <f t="shared" si="170"/>
        <v>Double FrontStreamline Cord OperationBetween Level and Normal 2073Double Face Fix Brackets</v>
      </c>
      <c r="O1873">
        <v>48</v>
      </c>
      <c r="P1873">
        <v>45</v>
      </c>
      <c r="Q1873" s="80">
        <v>0</v>
      </c>
      <c r="R1873" s="80">
        <f t="shared" si="169"/>
        <v>-3</v>
      </c>
      <c r="AD1873"/>
    </row>
    <row r="1874" spans="10:30" ht="16.2" customHeight="1">
      <c r="J1874" s="80" t="s">
        <v>747</v>
      </c>
      <c r="K1874" s="80" t="s">
        <v>132</v>
      </c>
      <c r="L1874" t="s">
        <v>182</v>
      </c>
      <c r="M1874" t="s">
        <v>162</v>
      </c>
      <c r="N1874" t="str">
        <f t="shared" si="170"/>
        <v>Double RearStreamline Cord OperationBetween Level and Normal 2073Double Face Fix Brackets</v>
      </c>
      <c r="O1874">
        <v>48</v>
      </c>
      <c r="P1874">
        <v>45</v>
      </c>
      <c r="Q1874" s="80">
        <v>0</v>
      </c>
      <c r="R1874" s="80">
        <f t="shared" si="169"/>
        <v>-3</v>
      </c>
      <c r="AD1874"/>
    </row>
    <row r="1875" spans="10:30" ht="16.2" customHeight="1">
      <c r="J1875" s="80" t="s">
        <v>725</v>
      </c>
      <c r="K1875" s="80" t="s">
        <v>132</v>
      </c>
      <c r="L1875" t="s">
        <v>182</v>
      </c>
      <c r="M1875" t="s">
        <v>162</v>
      </c>
      <c r="N1875" t="str">
        <f t="shared" si="170"/>
        <v>SingleStreamline Cord OperationBetween Level and Normal 2073Double Face Fix Brackets</v>
      </c>
      <c r="O1875">
        <v>47</v>
      </c>
      <c r="P1875">
        <v>45</v>
      </c>
      <c r="Q1875" s="80">
        <v>0</v>
      </c>
      <c r="R1875" s="80">
        <f t="shared" si="169"/>
        <v>-2</v>
      </c>
      <c r="AD1875"/>
    </row>
    <row r="1876" spans="10:30" ht="16.2" customHeight="1">
      <c r="J1876" s="80" t="s">
        <v>746</v>
      </c>
      <c r="K1876" s="80" t="s">
        <v>132</v>
      </c>
      <c r="L1876" t="s">
        <v>184</v>
      </c>
      <c r="M1876" t="s">
        <v>162</v>
      </c>
      <c r="N1876" t="str">
        <f t="shared" si="170"/>
        <v>Double FrontStreamline Cord OperationDecorator 2071Double Face Fix Brackets</v>
      </c>
      <c r="O1876">
        <v>20</v>
      </c>
      <c r="P1876">
        <v>45</v>
      </c>
      <c r="Q1876" s="80">
        <v>0</v>
      </c>
      <c r="R1876" s="80">
        <f t="shared" si="169"/>
        <v>25</v>
      </c>
      <c r="AD1876"/>
    </row>
    <row r="1877" spans="10:30" ht="16.2" customHeight="1">
      <c r="J1877" s="80" t="s">
        <v>747</v>
      </c>
      <c r="K1877" s="80" t="s">
        <v>132</v>
      </c>
      <c r="L1877" t="s">
        <v>184</v>
      </c>
      <c r="M1877" t="s">
        <v>162</v>
      </c>
      <c r="N1877" t="str">
        <f t="shared" si="170"/>
        <v>Double RearStreamline Cord OperationDecorator 2071Double Face Fix Brackets</v>
      </c>
      <c r="O1877">
        <v>20</v>
      </c>
      <c r="P1877">
        <v>45</v>
      </c>
      <c r="Q1877" s="80">
        <v>0</v>
      </c>
      <c r="R1877" s="80">
        <f t="shared" si="169"/>
        <v>25</v>
      </c>
      <c r="AD1877"/>
    </row>
    <row r="1878" spans="10:30" ht="16.2" customHeight="1">
      <c r="J1878" s="80" t="s">
        <v>725</v>
      </c>
      <c r="K1878" s="80" t="s">
        <v>132</v>
      </c>
      <c r="L1878" t="s">
        <v>184</v>
      </c>
      <c r="M1878" t="s">
        <v>162</v>
      </c>
      <c r="N1878" t="str">
        <f t="shared" si="170"/>
        <v>SingleStreamline Cord OperationDecorator 2071Double Face Fix Brackets</v>
      </c>
      <c r="O1878">
        <v>20</v>
      </c>
      <c r="P1878">
        <v>45</v>
      </c>
      <c r="Q1878" s="80">
        <v>0</v>
      </c>
      <c r="R1878" s="80">
        <f t="shared" si="169"/>
        <v>25</v>
      </c>
      <c r="AD1878"/>
    </row>
    <row r="1879" spans="10:30" ht="16.2" customHeight="1">
      <c r="J1879" s="80" t="s">
        <v>746</v>
      </c>
      <c r="K1879" s="80" t="s">
        <v>132</v>
      </c>
      <c r="L1879" t="s">
        <v>6468</v>
      </c>
      <c r="M1879" t="s">
        <v>162</v>
      </c>
      <c r="N1879" t="str">
        <f t="shared" si="170"/>
        <v>Double FrontStreamline Cord OperationGather Hook Bottom PocketDouble Face Fix Brackets</v>
      </c>
      <c r="O1879">
        <v>60</v>
      </c>
      <c r="P1879">
        <v>45</v>
      </c>
      <c r="Q1879" s="80">
        <v>0</v>
      </c>
      <c r="R1879" s="80">
        <f t="shared" si="169"/>
        <v>-15</v>
      </c>
      <c r="AD1879"/>
    </row>
    <row r="1880" spans="10:30" ht="16.2" customHeight="1">
      <c r="J1880" s="80" t="s">
        <v>725</v>
      </c>
      <c r="K1880" s="80" t="s">
        <v>132</v>
      </c>
      <c r="L1880" t="s">
        <v>6468</v>
      </c>
      <c r="M1880" t="s">
        <v>162</v>
      </c>
      <c r="N1880" t="str">
        <f t="shared" si="170"/>
        <v>SingleStreamline Cord OperationGather Hook Bottom PocketDouble Face Fix Brackets</v>
      </c>
      <c r="O1880">
        <v>60</v>
      </c>
      <c r="P1880">
        <v>45</v>
      </c>
      <c r="Q1880" s="80">
        <v>0</v>
      </c>
      <c r="R1880" s="80">
        <f t="shared" si="169"/>
        <v>-15</v>
      </c>
      <c r="AD1880"/>
    </row>
    <row r="1881" spans="10:30" ht="16.2" customHeight="1">
      <c r="J1881" s="80" t="s">
        <v>746</v>
      </c>
      <c r="K1881" s="80" t="s">
        <v>132</v>
      </c>
      <c r="L1881" t="s">
        <v>229</v>
      </c>
      <c r="M1881" t="s">
        <v>162</v>
      </c>
      <c r="N1881" t="str">
        <f t="shared" si="170"/>
        <v>Double FrontStreamline Cord OperationGather Hook LevelDouble Face Fix Brackets</v>
      </c>
      <c r="O1881">
        <v>20</v>
      </c>
      <c r="P1881">
        <v>45</v>
      </c>
      <c r="Q1881" s="80">
        <v>0</v>
      </c>
      <c r="R1881" s="80">
        <f t="shared" si="169"/>
        <v>25</v>
      </c>
      <c r="AD1881"/>
    </row>
    <row r="1882" spans="10:30" ht="16.2" customHeight="1">
      <c r="J1882" s="80" t="s">
        <v>747</v>
      </c>
      <c r="K1882" s="80" t="s">
        <v>132</v>
      </c>
      <c r="L1882" t="s">
        <v>229</v>
      </c>
      <c r="M1882" t="s">
        <v>162</v>
      </c>
      <c r="N1882" t="str">
        <f t="shared" si="170"/>
        <v>Double RearStreamline Cord OperationGather Hook LevelDouble Face Fix Brackets</v>
      </c>
      <c r="O1882">
        <v>20</v>
      </c>
      <c r="P1882">
        <v>45</v>
      </c>
      <c r="Q1882" s="80">
        <v>0</v>
      </c>
      <c r="R1882" s="80">
        <f t="shared" si="169"/>
        <v>25</v>
      </c>
      <c r="AD1882"/>
    </row>
    <row r="1883" spans="10:30" ht="16.2" customHeight="1">
      <c r="J1883" s="80" t="s">
        <v>725</v>
      </c>
      <c r="K1883" s="80" t="s">
        <v>132</v>
      </c>
      <c r="L1883" t="s">
        <v>229</v>
      </c>
      <c r="M1883" t="s">
        <v>162</v>
      </c>
      <c r="N1883" t="str">
        <f t="shared" si="170"/>
        <v>SingleStreamline Cord OperationGather Hook LevelDouble Face Fix Brackets</v>
      </c>
      <c r="O1883">
        <v>20</v>
      </c>
      <c r="P1883">
        <v>45</v>
      </c>
      <c r="Q1883" s="80">
        <v>0</v>
      </c>
      <c r="R1883" s="80">
        <f t="shared" si="169"/>
        <v>25</v>
      </c>
      <c r="AD1883"/>
    </row>
    <row r="1884" spans="10:30" ht="16.2" customHeight="1">
      <c r="J1884" s="80" t="s">
        <v>746</v>
      </c>
      <c r="K1884" s="80" t="s">
        <v>132</v>
      </c>
      <c r="L1884" t="s">
        <v>228</v>
      </c>
      <c r="M1884" t="s">
        <v>162</v>
      </c>
      <c r="N1884" t="str">
        <f t="shared" si="170"/>
        <v>Double FrontStreamline Cord OperationGather Hook NormalDouble Face Fix Brackets</v>
      </c>
      <c r="O1884">
        <v>43</v>
      </c>
      <c r="P1884">
        <v>45</v>
      </c>
      <c r="Q1884" s="80">
        <v>0</v>
      </c>
      <c r="R1884" s="80">
        <f t="shared" si="169"/>
        <v>2</v>
      </c>
      <c r="AD1884"/>
    </row>
    <row r="1885" spans="10:30" ht="16.2" customHeight="1">
      <c r="J1885" s="80" t="s">
        <v>747</v>
      </c>
      <c r="K1885" s="80" t="s">
        <v>132</v>
      </c>
      <c r="L1885" t="s">
        <v>228</v>
      </c>
      <c r="M1885" t="s">
        <v>162</v>
      </c>
      <c r="N1885" t="str">
        <f t="shared" si="170"/>
        <v>Double RearStreamline Cord OperationGather Hook NormalDouble Face Fix Brackets</v>
      </c>
      <c r="O1885">
        <v>43</v>
      </c>
      <c r="P1885">
        <v>45</v>
      </c>
      <c r="Q1885" s="80">
        <v>0</v>
      </c>
      <c r="R1885" s="80">
        <f t="shared" si="169"/>
        <v>2</v>
      </c>
      <c r="AD1885"/>
    </row>
    <row r="1886" spans="10:30" ht="16.2" customHeight="1">
      <c r="J1886" s="80" t="s">
        <v>725</v>
      </c>
      <c r="K1886" s="80" t="s">
        <v>132</v>
      </c>
      <c r="L1886" t="s">
        <v>228</v>
      </c>
      <c r="M1886" t="s">
        <v>162</v>
      </c>
      <c r="N1886" t="str">
        <f t="shared" si="170"/>
        <v>SingleStreamline Cord OperationGather Hook NormalDouble Face Fix Brackets</v>
      </c>
      <c r="O1886">
        <v>43</v>
      </c>
      <c r="P1886">
        <v>45</v>
      </c>
      <c r="Q1886" s="80">
        <v>0</v>
      </c>
      <c r="R1886" s="80">
        <f t="shared" si="169"/>
        <v>2</v>
      </c>
      <c r="AD1886"/>
    </row>
    <row r="1887" spans="10:30" ht="16.2" customHeight="1">
      <c r="J1887" s="80" t="s">
        <v>746</v>
      </c>
      <c r="K1887" s="80" t="s">
        <v>132</v>
      </c>
      <c r="L1887" t="s">
        <v>282</v>
      </c>
      <c r="M1887" t="s">
        <v>162</v>
      </c>
      <c r="N1887" t="str">
        <f t="shared" si="170"/>
        <v>Double FrontStreamline Cord OperationLevel 2072Double Face Fix Brackets</v>
      </c>
      <c r="O1887">
        <v>38</v>
      </c>
      <c r="P1887">
        <v>45</v>
      </c>
      <c r="Q1887" s="80">
        <v>0</v>
      </c>
      <c r="R1887" s="80">
        <f t="shared" si="171" ref="R1887:R1950">SUM(P1887)-O1887</f>
        <v>7</v>
      </c>
      <c r="AD1887"/>
    </row>
    <row r="1888" spans="10:30" ht="16.2" customHeight="1">
      <c r="J1888" s="80" t="s">
        <v>747</v>
      </c>
      <c r="K1888" s="80" t="s">
        <v>132</v>
      </c>
      <c r="L1888" t="s">
        <v>282</v>
      </c>
      <c r="M1888" t="s">
        <v>162</v>
      </c>
      <c r="N1888" t="str">
        <f t="shared" si="170"/>
        <v>Double RearStreamline Cord OperationLevel 2072Double Face Fix Brackets</v>
      </c>
      <c r="O1888">
        <v>38</v>
      </c>
      <c r="P1888">
        <v>45</v>
      </c>
      <c r="Q1888" s="80">
        <v>0</v>
      </c>
      <c r="R1888" s="80">
        <f t="shared" si="171"/>
        <v>7</v>
      </c>
      <c r="AD1888"/>
    </row>
    <row r="1889" spans="10:30" ht="16.2" customHeight="1">
      <c r="J1889" s="80" t="s">
        <v>725</v>
      </c>
      <c r="K1889" s="80" t="s">
        <v>132</v>
      </c>
      <c r="L1889" t="s">
        <v>282</v>
      </c>
      <c r="M1889" t="s">
        <v>162</v>
      </c>
      <c r="N1889" t="str">
        <f t="shared" si="170"/>
        <v>SingleStreamline Cord OperationLevel 2072Double Face Fix Brackets</v>
      </c>
      <c r="O1889">
        <v>38</v>
      </c>
      <c r="P1889">
        <v>45</v>
      </c>
      <c r="Q1889" s="80">
        <v>0</v>
      </c>
      <c r="R1889" s="80">
        <f t="shared" si="171"/>
        <v>7</v>
      </c>
      <c r="AD1889"/>
    </row>
    <row r="1890" spans="10:30" ht="16.2" customHeight="1">
      <c r="J1890" s="80" t="s">
        <v>746</v>
      </c>
      <c r="K1890" s="80" t="s">
        <v>132</v>
      </c>
      <c r="L1890" t="s">
        <v>170</v>
      </c>
      <c r="M1890" t="s">
        <v>162</v>
      </c>
      <c r="N1890" t="str">
        <f t="shared" si="170"/>
        <v>Double FrontStreamline Cord OperationNormal 2074Double Face Fix Brackets</v>
      </c>
      <c r="O1890">
        <v>60</v>
      </c>
      <c r="P1890">
        <v>45</v>
      </c>
      <c r="Q1890" s="80">
        <v>0</v>
      </c>
      <c r="R1890" s="80">
        <f t="shared" si="171"/>
        <v>-15</v>
      </c>
      <c r="AD1890"/>
    </row>
    <row r="1891" spans="10:30" ht="16.2" customHeight="1">
      <c r="J1891" s="80" t="s">
        <v>747</v>
      </c>
      <c r="K1891" s="80" t="s">
        <v>132</v>
      </c>
      <c r="L1891" t="s">
        <v>170</v>
      </c>
      <c r="M1891" t="s">
        <v>162</v>
      </c>
      <c r="N1891" t="str">
        <f t="shared" si="170"/>
        <v>Double RearStreamline Cord OperationNormal 2074Double Face Fix Brackets</v>
      </c>
      <c r="O1891">
        <v>60</v>
      </c>
      <c r="P1891">
        <v>45</v>
      </c>
      <c r="Q1891" s="80">
        <v>0</v>
      </c>
      <c r="R1891" s="80">
        <f t="shared" si="171"/>
        <v>-15</v>
      </c>
      <c r="AD1891"/>
    </row>
    <row r="1892" spans="10:30" ht="16.2" customHeight="1">
      <c r="J1892" s="80" t="s">
        <v>725</v>
      </c>
      <c r="K1892" s="80" t="s">
        <v>132</v>
      </c>
      <c r="L1892" t="s">
        <v>170</v>
      </c>
      <c r="M1892" t="s">
        <v>162</v>
      </c>
      <c r="N1892" t="str">
        <f t="shared" si="170"/>
        <v>SingleStreamline Cord OperationNormal 2074Double Face Fix Brackets</v>
      </c>
      <c r="O1892">
        <v>60</v>
      </c>
      <c r="P1892">
        <v>45</v>
      </c>
      <c r="Q1892" s="80">
        <v>0</v>
      </c>
      <c r="R1892" s="80">
        <f t="shared" si="171"/>
        <v>-15</v>
      </c>
      <c r="AD1892"/>
    </row>
    <row r="1893" spans="10:30" ht="16.2" customHeight="1">
      <c r="J1893" s="80" t="s">
        <v>746</v>
      </c>
      <c r="K1893" s="80" t="s">
        <v>132</v>
      </c>
      <c r="L1893" t="s">
        <v>183</v>
      </c>
      <c r="M1893" s="80" t="s">
        <v>557</v>
      </c>
      <c r="N1893" t="str">
        <f t="shared" si="170"/>
        <v>Double FrontStreamline Cord OperationBelow Normal 2075Metal Top Fix Brackets</v>
      </c>
      <c r="O1893">
        <v>70</v>
      </c>
      <c r="P1893">
        <v>45</v>
      </c>
      <c r="Q1893" s="80">
        <v>0</v>
      </c>
      <c r="R1893" s="80">
        <f t="shared" si="171"/>
        <v>-25</v>
      </c>
      <c r="AD1893"/>
    </row>
    <row r="1894" spans="10:30" ht="16.2" customHeight="1">
      <c r="J1894" s="80" t="s">
        <v>747</v>
      </c>
      <c r="K1894" s="80" t="s">
        <v>132</v>
      </c>
      <c r="L1894" t="s">
        <v>183</v>
      </c>
      <c r="M1894" s="80" t="s">
        <v>557</v>
      </c>
      <c r="N1894" t="str">
        <f t="shared" si="170"/>
        <v>Double RearStreamline Cord OperationBelow Normal 2075Metal Top Fix Brackets</v>
      </c>
      <c r="O1894">
        <v>70</v>
      </c>
      <c r="P1894">
        <v>45</v>
      </c>
      <c r="Q1894" s="80">
        <v>0</v>
      </c>
      <c r="R1894" s="80">
        <f t="shared" si="171"/>
        <v>-25</v>
      </c>
      <c r="AD1894"/>
    </row>
    <row r="1895" spans="10:30" ht="16.2" customHeight="1">
      <c r="J1895" s="80" t="s">
        <v>725</v>
      </c>
      <c r="K1895" s="80" t="s">
        <v>132</v>
      </c>
      <c r="L1895" t="s">
        <v>183</v>
      </c>
      <c r="M1895" s="80" t="s">
        <v>557</v>
      </c>
      <c r="N1895" t="str">
        <f t="shared" si="170"/>
        <v>SingleStreamline Cord OperationBelow Normal 2075Metal Top Fix Brackets</v>
      </c>
      <c r="O1895">
        <v>70</v>
      </c>
      <c r="P1895">
        <v>45</v>
      </c>
      <c r="Q1895" s="80">
        <v>0</v>
      </c>
      <c r="R1895" s="80">
        <f t="shared" si="171"/>
        <v>-25</v>
      </c>
      <c r="AD1895"/>
    </row>
    <row r="1896" spans="10:30" ht="16.2" customHeight="1">
      <c r="J1896" s="80" t="s">
        <v>746</v>
      </c>
      <c r="K1896" s="80" t="s">
        <v>132</v>
      </c>
      <c r="L1896" t="s">
        <v>182</v>
      </c>
      <c r="M1896" s="80" t="s">
        <v>557</v>
      </c>
      <c r="N1896" t="str">
        <f t="shared" si="170"/>
        <v>Double FrontStreamline Cord OperationBetween Level and Normal 2073Metal Top Fix Brackets</v>
      </c>
      <c r="O1896">
        <v>48</v>
      </c>
      <c r="P1896">
        <v>45</v>
      </c>
      <c r="Q1896" s="80">
        <v>0</v>
      </c>
      <c r="R1896" s="80">
        <f t="shared" si="171"/>
        <v>-3</v>
      </c>
      <c r="AD1896"/>
    </row>
    <row r="1897" spans="10:30" ht="16.2" customHeight="1">
      <c r="J1897" s="80" t="s">
        <v>747</v>
      </c>
      <c r="K1897" s="80" t="s">
        <v>132</v>
      </c>
      <c r="L1897" t="s">
        <v>182</v>
      </c>
      <c r="M1897" s="80" t="s">
        <v>557</v>
      </c>
      <c r="N1897" t="str">
        <f t="shared" si="170"/>
        <v>Double RearStreamline Cord OperationBetween Level and Normal 2073Metal Top Fix Brackets</v>
      </c>
      <c r="O1897">
        <v>48</v>
      </c>
      <c r="P1897">
        <v>45</v>
      </c>
      <c r="Q1897" s="80">
        <v>0</v>
      </c>
      <c r="R1897" s="80">
        <f t="shared" si="171"/>
        <v>-3</v>
      </c>
      <c r="AD1897"/>
    </row>
    <row r="1898" spans="10:30" ht="16.2" customHeight="1">
      <c r="J1898" s="80" t="s">
        <v>725</v>
      </c>
      <c r="K1898" s="80" t="s">
        <v>132</v>
      </c>
      <c r="L1898" t="s">
        <v>182</v>
      </c>
      <c r="M1898" s="80" t="s">
        <v>557</v>
      </c>
      <c r="N1898" t="str">
        <f t="shared" si="170"/>
        <v>SingleStreamline Cord OperationBetween Level and Normal 2073Metal Top Fix Brackets</v>
      </c>
      <c r="O1898">
        <v>47</v>
      </c>
      <c r="P1898">
        <v>45</v>
      </c>
      <c r="Q1898" s="80">
        <v>0</v>
      </c>
      <c r="R1898" s="80">
        <f t="shared" si="171"/>
        <v>-2</v>
      </c>
      <c r="AD1898"/>
    </row>
    <row r="1899" spans="10:30" ht="16.2" customHeight="1">
      <c r="J1899" s="80" t="s">
        <v>746</v>
      </c>
      <c r="K1899" s="80" t="s">
        <v>132</v>
      </c>
      <c r="L1899" t="s">
        <v>184</v>
      </c>
      <c r="M1899" s="80" t="s">
        <v>557</v>
      </c>
      <c r="N1899" t="str">
        <f t="shared" si="170"/>
        <v>Double FrontStreamline Cord OperationDecorator 2071Metal Top Fix Brackets</v>
      </c>
      <c r="O1899">
        <v>20</v>
      </c>
      <c r="P1899">
        <v>45</v>
      </c>
      <c r="Q1899" s="80">
        <v>0</v>
      </c>
      <c r="R1899" s="80">
        <f t="shared" si="171"/>
        <v>25</v>
      </c>
      <c r="AD1899"/>
    </row>
    <row r="1900" spans="10:30" ht="16.2" customHeight="1">
      <c r="J1900" s="80" t="s">
        <v>747</v>
      </c>
      <c r="K1900" s="80" t="s">
        <v>132</v>
      </c>
      <c r="L1900" t="s">
        <v>184</v>
      </c>
      <c r="M1900" s="80" t="s">
        <v>557</v>
      </c>
      <c r="N1900" t="str">
        <f t="shared" si="170"/>
        <v>Double RearStreamline Cord OperationDecorator 2071Metal Top Fix Brackets</v>
      </c>
      <c r="O1900">
        <v>20</v>
      </c>
      <c r="P1900">
        <v>45</v>
      </c>
      <c r="Q1900" s="80">
        <v>0</v>
      </c>
      <c r="R1900" s="80">
        <f t="shared" si="171"/>
        <v>25</v>
      </c>
      <c r="AD1900"/>
    </row>
    <row r="1901" spans="10:30" ht="16.2" customHeight="1">
      <c r="J1901" s="80" t="s">
        <v>725</v>
      </c>
      <c r="K1901" s="80" t="s">
        <v>132</v>
      </c>
      <c r="L1901" t="s">
        <v>184</v>
      </c>
      <c r="M1901" s="80" t="s">
        <v>557</v>
      </c>
      <c r="N1901" t="str">
        <f t="shared" si="170"/>
        <v>SingleStreamline Cord OperationDecorator 2071Metal Top Fix Brackets</v>
      </c>
      <c r="O1901">
        <v>20</v>
      </c>
      <c r="P1901">
        <v>45</v>
      </c>
      <c r="Q1901" s="80">
        <v>0</v>
      </c>
      <c r="R1901" s="80">
        <f t="shared" si="171"/>
        <v>25</v>
      </c>
      <c r="AD1901"/>
    </row>
    <row r="1902" spans="10:30" ht="16.2" customHeight="1">
      <c r="J1902" s="80" t="s">
        <v>746</v>
      </c>
      <c r="K1902" s="80" t="s">
        <v>132</v>
      </c>
      <c r="L1902" t="s">
        <v>6468</v>
      </c>
      <c r="M1902" s="80" t="s">
        <v>557</v>
      </c>
      <c r="N1902" t="str">
        <f t="shared" si="170"/>
        <v>Double FrontStreamline Cord OperationGather Hook Bottom PocketMetal Top Fix Brackets</v>
      </c>
      <c r="O1902">
        <v>60</v>
      </c>
      <c r="P1902">
        <v>45</v>
      </c>
      <c r="Q1902" s="80">
        <v>0</v>
      </c>
      <c r="R1902" s="80">
        <f t="shared" si="171"/>
        <v>-15</v>
      </c>
      <c r="AD1902"/>
    </row>
    <row r="1903" spans="10:30" ht="16.2" customHeight="1">
      <c r="J1903" s="80" t="s">
        <v>725</v>
      </c>
      <c r="K1903" s="80" t="s">
        <v>132</v>
      </c>
      <c r="L1903" t="s">
        <v>6468</v>
      </c>
      <c r="M1903" s="80" t="s">
        <v>557</v>
      </c>
      <c r="N1903" t="str">
        <f t="shared" si="170"/>
        <v>SingleStreamline Cord OperationGather Hook Bottom PocketMetal Top Fix Brackets</v>
      </c>
      <c r="O1903">
        <v>60</v>
      </c>
      <c r="P1903">
        <v>45</v>
      </c>
      <c r="Q1903" s="80">
        <v>0</v>
      </c>
      <c r="R1903" s="80">
        <f t="shared" si="171"/>
        <v>-15</v>
      </c>
      <c r="AD1903"/>
    </row>
    <row r="1904" spans="10:30" ht="16.2" customHeight="1">
      <c r="J1904" s="80" t="s">
        <v>746</v>
      </c>
      <c r="K1904" s="80" t="s">
        <v>132</v>
      </c>
      <c r="L1904" t="s">
        <v>229</v>
      </c>
      <c r="M1904" s="80" t="s">
        <v>557</v>
      </c>
      <c r="N1904" t="str">
        <f t="shared" si="170"/>
        <v>Double FrontStreamline Cord OperationGather Hook LevelMetal Top Fix Brackets</v>
      </c>
      <c r="O1904">
        <v>20</v>
      </c>
      <c r="P1904">
        <v>45</v>
      </c>
      <c r="Q1904" s="80">
        <v>0</v>
      </c>
      <c r="R1904" s="80">
        <f t="shared" si="171"/>
        <v>25</v>
      </c>
      <c r="AD1904"/>
    </row>
    <row r="1905" spans="10:30" ht="16.2" customHeight="1">
      <c r="J1905" s="80" t="s">
        <v>747</v>
      </c>
      <c r="K1905" s="80" t="s">
        <v>132</v>
      </c>
      <c r="L1905" t="s">
        <v>229</v>
      </c>
      <c r="M1905" s="80" t="s">
        <v>557</v>
      </c>
      <c r="N1905" t="str">
        <f t="shared" si="170"/>
        <v>Double RearStreamline Cord OperationGather Hook LevelMetal Top Fix Brackets</v>
      </c>
      <c r="O1905">
        <v>20</v>
      </c>
      <c r="P1905">
        <v>45</v>
      </c>
      <c r="Q1905" s="80">
        <v>0</v>
      </c>
      <c r="R1905" s="80">
        <f t="shared" si="171"/>
        <v>25</v>
      </c>
      <c r="AD1905"/>
    </row>
    <row r="1906" spans="10:30" ht="16.2" customHeight="1">
      <c r="J1906" s="80" t="s">
        <v>725</v>
      </c>
      <c r="K1906" s="80" t="s">
        <v>132</v>
      </c>
      <c r="L1906" t="s">
        <v>229</v>
      </c>
      <c r="M1906" s="80" t="s">
        <v>557</v>
      </c>
      <c r="N1906" t="str">
        <f t="shared" si="170"/>
        <v>SingleStreamline Cord OperationGather Hook LevelMetal Top Fix Brackets</v>
      </c>
      <c r="O1906">
        <v>20</v>
      </c>
      <c r="P1906">
        <v>45</v>
      </c>
      <c r="Q1906" s="80">
        <v>0</v>
      </c>
      <c r="R1906" s="80">
        <f t="shared" si="171"/>
        <v>25</v>
      </c>
      <c r="AD1906"/>
    </row>
    <row r="1907" spans="10:30" ht="16.2" customHeight="1">
      <c r="J1907" s="80" t="s">
        <v>746</v>
      </c>
      <c r="K1907" s="80" t="s">
        <v>132</v>
      </c>
      <c r="L1907" t="s">
        <v>228</v>
      </c>
      <c r="M1907" s="80" t="s">
        <v>557</v>
      </c>
      <c r="N1907" t="str">
        <f t="shared" si="170"/>
        <v>Double FrontStreamline Cord OperationGather Hook NormalMetal Top Fix Brackets</v>
      </c>
      <c r="O1907">
        <v>43</v>
      </c>
      <c r="P1907">
        <v>45</v>
      </c>
      <c r="Q1907" s="80">
        <v>0</v>
      </c>
      <c r="R1907" s="80">
        <f t="shared" si="171"/>
        <v>2</v>
      </c>
      <c r="AD1907"/>
    </row>
    <row r="1908" spans="10:30" ht="16.2" customHeight="1">
      <c r="J1908" s="80" t="s">
        <v>747</v>
      </c>
      <c r="K1908" s="80" t="s">
        <v>132</v>
      </c>
      <c r="L1908" t="s">
        <v>228</v>
      </c>
      <c r="M1908" s="80" t="s">
        <v>557</v>
      </c>
      <c r="N1908" t="str">
        <f t="shared" si="170"/>
        <v>Double RearStreamline Cord OperationGather Hook NormalMetal Top Fix Brackets</v>
      </c>
      <c r="O1908">
        <v>43</v>
      </c>
      <c r="P1908">
        <v>45</v>
      </c>
      <c r="Q1908" s="80">
        <v>0</v>
      </c>
      <c r="R1908" s="80">
        <f t="shared" si="171"/>
        <v>2</v>
      </c>
      <c r="AD1908"/>
    </row>
    <row r="1909" spans="10:30" ht="16.2" customHeight="1">
      <c r="J1909" s="80" t="s">
        <v>725</v>
      </c>
      <c r="K1909" s="80" t="s">
        <v>132</v>
      </c>
      <c r="L1909" t="s">
        <v>228</v>
      </c>
      <c r="M1909" s="80" t="s">
        <v>557</v>
      </c>
      <c r="N1909" t="str">
        <f t="shared" si="170"/>
        <v>SingleStreamline Cord OperationGather Hook NormalMetal Top Fix Brackets</v>
      </c>
      <c r="O1909">
        <v>43</v>
      </c>
      <c r="P1909">
        <v>45</v>
      </c>
      <c r="Q1909" s="80">
        <v>0</v>
      </c>
      <c r="R1909" s="80">
        <f t="shared" si="171"/>
        <v>2</v>
      </c>
      <c r="AD1909"/>
    </row>
    <row r="1910" spans="10:30" ht="16.2" customHeight="1">
      <c r="J1910" s="80" t="s">
        <v>746</v>
      </c>
      <c r="K1910" s="80" t="s">
        <v>132</v>
      </c>
      <c r="L1910" t="s">
        <v>282</v>
      </c>
      <c r="M1910" s="80" t="s">
        <v>557</v>
      </c>
      <c r="N1910" t="str">
        <f t="shared" si="170"/>
        <v>Double FrontStreamline Cord OperationLevel 2072Metal Top Fix Brackets</v>
      </c>
      <c r="O1910">
        <v>38</v>
      </c>
      <c r="P1910">
        <v>45</v>
      </c>
      <c r="Q1910" s="80">
        <v>0</v>
      </c>
      <c r="R1910" s="80">
        <f t="shared" si="171"/>
        <v>7</v>
      </c>
      <c r="AD1910"/>
    </row>
    <row r="1911" spans="10:30" ht="16.2" customHeight="1">
      <c r="J1911" s="80" t="s">
        <v>747</v>
      </c>
      <c r="K1911" s="80" t="s">
        <v>132</v>
      </c>
      <c r="L1911" t="s">
        <v>282</v>
      </c>
      <c r="M1911" s="80" t="s">
        <v>557</v>
      </c>
      <c r="N1911" t="str">
        <f t="shared" si="170"/>
        <v>Double RearStreamline Cord OperationLevel 2072Metal Top Fix Brackets</v>
      </c>
      <c r="O1911">
        <v>38</v>
      </c>
      <c r="P1911">
        <v>45</v>
      </c>
      <c r="Q1911" s="80">
        <v>0</v>
      </c>
      <c r="R1911" s="80">
        <f t="shared" si="171"/>
        <v>7</v>
      </c>
      <c r="AD1911"/>
    </row>
    <row r="1912" spans="10:30" ht="16.2" customHeight="1">
      <c r="J1912" s="80" t="s">
        <v>725</v>
      </c>
      <c r="K1912" s="80" t="s">
        <v>132</v>
      </c>
      <c r="L1912" t="s">
        <v>282</v>
      </c>
      <c r="M1912" s="80" t="s">
        <v>557</v>
      </c>
      <c r="N1912" t="str">
        <f t="shared" si="170"/>
        <v>SingleStreamline Cord OperationLevel 2072Metal Top Fix Brackets</v>
      </c>
      <c r="O1912">
        <v>35</v>
      </c>
      <c r="P1912">
        <v>45</v>
      </c>
      <c r="Q1912" s="80">
        <v>0</v>
      </c>
      <c r="R1912" s="80">
        <f t="shared" si="171"/>
        <v>10</v>
      </c>
      <c r="AD1912"/>
    </row>
    <row r="1913" spans="10:30" ht="16.2" customHeight="1">
      <c r="J1913" s="80" t="s">
        <v>746</v>
      </c>
      <c r="K1913" s="80" t="s">
        <v>132</v>
      </c>
      <c r="L1913" t="s">
        <v>170</v>
      </c>
      <c r="M1913" s="80" t="s">
        <v>557</v>
      </c>
      <c r="N1913" t="str">
        <f t="shared" si="170"/>
        <v>Double FrontStreamline Cord OperationNormal 2074Metal Top Fix Brackets</v>
      </c>
      <c r="O1913">
        <v>60</v>
      </c>
      <c r="P1913">
        <v>45</v>
      </c>
      <c r="Q1913" s="80">
        <v>0</v>
      </c>
      <c r="R1913" s="80">
        <f t="shared" si="171"/>
        <v>-15</v>
      </c>
      <c r="AD1913"/>
    </row>
    <row r="1914" spans="10:30" ht="16.2" customHeight="1">
      <c r="J1914" s="80" t="s">
        <v>747</v>
      </c>
      <c r="K1914" s="80" t="s">
        <v>132</v>
      </c>
      <c r="L1914" t="s">
        <v>170</v>
      </c>
      <c r="M1914" s="80" t="s">
        <v>557</v>
      </c>
      <c r="N1914" t="str">
        <f t="shared" si="170"/>
        <v>Double RearStreamline Cord OperationNormal 2074Metal Top Fix Brackets</v>
      </c>
      <c r="O1914">
        <v>60</v>
      </c>
      <c r="P1914">
        <v>45</v>
      </c>
      <c r="Q1914" s="80">
        <v>0</v>
      </c>
      <c r="R1914" s="80">
        <f t="shared" si="171"/>
        <v>-15</v>
      </c>
      <c r="AD1914"/>
    </row>
    <row r="1915" spans="10:30" ht="16.2" customHeight="1">
      <c r="J1915" s="80" t="s">
        <v>725</v>
      </c>
      <c r="K1915" s="80" t="s">
        <v>132</v>
      </c>
      <c r="L1915" t="s">
        <v>170</v>
      </c>
      <c r="M1915" s="80" t="s">
        <v>557</v>
      </c>
      <c r="N1915" t="str">
        <f t="shared" si="170"/>
        <v>SingleStreamline Cord OperationNormal 2074Metal Top Fix Brackets</v>
      </c>
      <c r="O1915">
        <v>60</v>
      </c>
      <c r="P1915">
        <v>45</v>
      </c>
      <c r="Q1915" s="80">
        <v>0</v>
      </c>
      <c r="R1915" s="80">
        <f t="shared" si="171"/>
        <v>-15</v>
      </c>
      <c r="AD1915"/>
    </row>
    <row r="1916" spans="10:30" ht="16.2" customHeight="1">
      <c r="J1916" s="80" t="s">
        <v>746</v>
      </c>
      <c r="K1916" s="80" t="s">
        <v>132</v>
      </c>
      <c r="L1916" t="s">
        <v>183</v>
      </c>
      <c r="M1916" t="s">
        <v>159</v>
      </c>
      <c r="N1916" t="str">
        <f t="shared" si="170"/>
        <v>Double FrontStreamline Cord OperationBelow Normal 2075Single Face Fix Brackets</v>
      </c>
      <c r="O1916">
        <v>70</v>
      </c>
      <c r="P1916">
        <v>45</v>
      </c>
      <c r="Q1916" s="80">
        <v>0</v>
      </c>
      <c r="R1916" s="80">
        <f t="shared" si="171"/>
        <v>-25</v>
      </c>
      <c r="AD1916"/>
    </row>
    <row r="1917" spans="10:30" ht="16.2" customHeight="1">
      <c r="J1917" s="80" t="s">
        <v>747</v>
      </c>
      <c r="K1917" s="80" t="s">
        <v>132</v>
      </c>
      <c r="L1917" t="s">
        <v>183</v>
      </c>
      <c r="M1917" t="s">
        <v>159</v>
      </c>
      <c r="N1917" t="str">
        <f t="shared" si="170"/>
        <v>Double RearStreamline Cord OperationBelow Normal 2075Single Face Fix Brackets</v>
      </c>
      <c r="O1917">
        <v>70</v>
      </c>
      <c r="P1917">
        <v>45</v>
      </c>
      <c r="Q1917" s="80">
        <v>0</v>
      </c>
      <c r="R1917" s="80">
        <f t="shared" si="171"/>
        <v>-25</v>
      </c>
      <c r="AD1917"/>
    </row>
    <row r="1918" spans="10:30" ht="16.2" customHeight="1">
      <c r="J1918" s="80" t="s">
        <v>725</v>
      </c>
      <c r="K1918" s="80" t="s">
        <v>132</v>
      </c>
      <c r="L1918" t="s">
        <v>183</v>
      </c>
      <c r="M1918" t="s">
        <v>159</v>
      </c>
      <c r="N1918" t="str">
        <f t="shared" si="170"/>
        <v>SingleStreamline Cord OperationBelow Normal 2075Single Face Fix Brackets</v>
      </c>
      <c r="O1918">
        <v>70</v>
      </c>
      <c r="P1918">
        <v>45</v>
      </c>
      <c r="Q1918" s="80">
        <v>0</v>
      </c>
      <c r="R1918" s="80">
        <f t="shared" si="171"/>
        <v>-25</v>
      </c>
      <c r="AD1918"/>
    </row>
    <row r="1919" spans="10:30" ht="16.2" customHeight="1">
      <c r="J1919" s="80" t="s">
        <v>746</v>
      </c>
      <c r="K1919" s="80" t="s">
        <v>132</v>
      </c>
      <c r="L1919" t="s">
        <v>182</v>
      </c>
      <c r="M1919" t="s">
        <v>159</v>
      </c>
      <c r="N1919" t="str">
        <f t="shared" si="170"/>
        <v>Double FrontStreamline Cord OperationBetween Level and Normal 2073Single Face Fix Brackets</v>
      </c>
      <c r="O1919">
        <v>48</v>
      </c>
      <c r="P1919">
        <v>45</v>
      </c>
      <c r="Q1919" s="80">
        <v>0</v>
      </c>
      <c r="R1919" s="80">
        <f t="shared" si="171"/>
        <v>-3</v>
      </c>
      <c r="AD1919"/>
    </row>
    <row r="1920" spans="10:30" ht="16.2" customHeight="1">
      <c r="J1920" s="80" t="s">
        <v>747</v>
      </c>
      <c r="K1920" s="80" t="s">
        <v>132</v>
      </c>
      <c r="L1920" t="s">
        <v>182</v>
      </c>
      <c r="M1920" t="s">
        <v>159</v>
      </c>
      <c r="N1920" t="str">
        <f t="shared" si="170"/>
        <v>Double RearStreamline Cord OperationBetween Level and Normal 2073Single Face Fix Brackets</v>
      </c>
      <c r="O1920">
        <v>48</v>
      </c>
      <c r="P1920">
        <v>45</v>
      </c>
      <c r="Q1920" s="80">
        <v>0</v>
      </c>
      <c r="R1920" s="80">
        <f t="shared" si="171"/>
        <v>-3</v>
      </c>
      <c r="AD1920"/>
    </row>
    <row r="1921" spans="10:30" ht="16.2" customHeight="1">
      <c r="J1921" s="80" t="s">
        <v>725</v>
      </c>
      <c r="K1921" s="80" t="s">
        <v>132</v>
      </c>
      <c r="L1921" t="s">
        <v>182</v>
      </c>
      <c r="M1921" t="s">
        <v>159</v>
      </c>
      <c r="N1921" t="str">
        <f t="shared" si="170"/>
        <v>SingleStreamline Cord OperationBetween Level and Normal 2073Single Face Fix Brackets</v>
      </c>
      <c r="O1921">
        <v>48</v>
      </c>
      <c r="P1921">
        <v>45</v>
      </c>
      <c r="Q1921" s="80">
        <v>0</v>
      </c>
      <c r="R1921" s="80">
        <f t="shared" si="171"/>
        <v>-3</v>
      </c>
      <c r="AD1921"/>
    </row>
    <row r="1922" spans="10:30" ht="16.2" customHeight="1">
      <c r="J1922" s="80" t="s">
        <v>746</v>
      </c>
      <c r="K1922" s="80" t="s">
        <v>132</v>
      </c>
      <c r="L1922" t="s">
        <v>184</v>
      </c>
      <c r="M1922" t="s">
        <v>159</v>
      </c>
      <c r="N1922" t="str">
        <f t="shared" si="172" ref="N1922:N1985">(CONCATENATE(J1922,K1922,L1922,M1922))</f>
        <v>Double FrontStreamline Cord OperationDecorator 2071Single Face Fix Brackets</v>
      </c>
      <c r="O1922">
        <v>20</v>
      </c>
      <c r="P1922">
        <v>45</v>
      </c>
      <c r="Q1922" s="80">
        <v>0</v>
      </c>
      <c r="R1922" s="80">
        <f t="shared" si="171"/>
        <v>25</v>
      </c>
      <c r="AD1922"/>
    </row>
    <row r="1923" spans="10:30" ht="16.2" customHeight="1">
      <c r="J1923" s="80" t="s">
        <v>747</v>
      </c>
      <c r="K1923" s="80" t="s">
        <v>132</v>
      </c>
      <c r="L1923" t="s">
        <v>184</v>
      </c>
      <c r="M1923" t="s">
        <v>159</v>
      </c>
      <c r="N1923" t="str">
        <f t="shared" si="172"/>
        <v>Double RearStreamline Cord OperationDecorator 2071Single Face Fix Brackets</v>
      </c>
      <c r="O1923">
        <v>20</v>
      </c>
      <c r="P1923">
        <v>45</v>
      </c>
      <c r="Q1923" s="80">
        <v>0</v>
      </c>
      <c r="R1923" s="80">
        <f t="shared" si="171"/>
        <v>25</v>
      </c>
      <c r="AD1923"/>
    </row>
    <row r="1924" spans="10:30" ht="16.2" customHeight="1">
      <c r="J1924" s="80" t="s">
        <v>725</v>
      </c>
      <c r="K1924" s="80" t="s">
        <v>132</v>
      </c>
      <c r="L1924" t="s">
        <v>184</v>
      </c>
      <c r="M1924" t="s">
        <v>159</v>
      </c>
      <c r="N1924" t="str">
        <f t="shared" si="172"/>
        <v>SingleStreamline Cord OperationDecorator 2071Single Face Fix Brackets</v>
      </c>
      <c r="O1924">
        <v>20</v>
      </c>
      <c r="P1924">
        <v>45</v>
      </c>
      <c r="Q1924" s="80">
        <v>0</v>
      </c>
      <c r="R1924" s="80">
        <f t="shared" si="171"/>
        <v>25</v>
      </c>
      <c r="AD1924"/>
    </row>
    <row r="1925" spans="10:30" ht="16.2" customHeight="1">
      <c r="J1925" s="80" t="s">
        <v>746</v>
      </c>
      <c r="K1925" s="80" t="s">
        <v>132</v>
      </c>
      <c r="L1925" t="s">
        <v>6468</v>
      </c>
      <c r="M1925" t="s">
        <v>159</v>
      </c>
      <c r="N1925" t="str">
        <f t="shared" si="172"/>
        <v>Double FrontStreamline Cord OperationGather Hook Bottom PocketSingle Face Fix Brackets</v>
      </c>
      <c r="O1925">
        <v>60</v>
      </c>
      <c r="P1925">
        <v>45</v>
      </c>
      <c r="Q1925" s="80">
        <v>0</v>
      </c>
      <c r="R1925" s="80">
        <f t="shared" si="171"/>
        <v>-15</v>
      </c>
      <c r="AD1925"/>
    </row>
    <row r="1926" spans="10:30" ht="16.2" customHeight="1">
      <c r="J1926" s="80" t="s">
        <v>725</v>
      </c>
      <c r="K1926" s="80" t="s">
        <v>132</v>
      </c>
      <c r="L1926" t="s">
        <v>6468</v>
      </c>
      <c r="M1926" t="s">
        <v>159</v>
      </c>
      <c r="N1926" t="str">
        <f t="shared" si="172"/>
        <v>SingleStreamline Cord OperationGather Hook Bottom PocketSingle Face Fix Brackets</v>
      </c>
      <c r="O1926">
        <v>60</v>
      </c>
      <c r="P1926">
        <v>45</v>
      </c>
      <c r="Q1926" s="80">
        <v>0</v>
      </c>
      <c r="R1926" s="80">
        <f t="shared" si="171"/>
        <v>-15</v>
      </c>
      <c r="AD1926"/>
    </row>
    <row r="1927" spans="10:30" ht="16.2" customHeight="1">
      <c r="J1927" s="80" t="s">
        <v>746</v>
      </c>
      <c r="K1927" s="80" t="s">
        <v>132</v>
      </c>
      <c r="L1927" t="s">
        <v>229</v>
      </c>
      <c r="M1927" t="s">
        <v>159</v>
      </c>
      <c r="N1927" t="str">
        <f t="shared" si="172"/>
        <v>Double FrontStreamline Cord OperationGather Hook LevelSingle Face Fix Brackets</v>
      </c>
      <c r="O1927">
        <v>20</v>
      </c>
      <c r="P1927">
        <v>45</v>
      </c>
      <c r="Q1927" s="80">
        <v>0</v>
      </c>
      <c r="R1927" s="80">
        <f t="shared" si="171"/>
        <v>25</v>
      </c>
      <c r="AD1927"/>
    </row>
    <row r="1928" spans="10:30" ht="16.2" customHeight="1">
      <c r="J1928" s="80" t="s">
        <v>747</v>
      </c>
      <c r="K1928" s="80" t="s">
        <v>132</v>
      </c>
      <c r="L1928" t="s">
        <v>229</v>
      </c>
      <c r="M1928" t="s">
        <v>159</v>
      </c>
      <c r="N1928" t="str">
        <f t="shared" si="172"/>
        <v>Double RearStreamline Cord OperationGather Hook LevelSingle Face Fix Brackets</v>
      </c>
      <c r="O1928">
        <v>20</v>
      </c>
      <c r="P1928">
        <v>45</v>
      </c>
      <c r="Q1928" s="80">
        <v>0</v>
      </c>
      <c r="R1928" s="80">
        <f t="shared" si="171"/>
        <v>25</v>
      </c>
      <c r="AD1928"/>
    </row>
    <row r="1929" spans="10:30" ht="16.2" customHeight="1">
      <c r="J1929" s="80" t="s">
        <v>725</v>
      </c>
      <c r="K1929" s="80" t="s">
        <v>132</v>
      </c>
      <c r="L1929" t="s">
        <v>229</v>
      </c>
      <c r="M1929" t="s">
        <v>159</v>
      </c>
      <c r="N1929" t="str">
        <f t="shared" si="172"/>
        <v>SingleStreamline Cord OperationGather Hook LevelSingle Face Fix Brackets</v>
      </c>
      <c r="O1929">
        <v>20</v>
      </c>
      <c r="P1929">
        <v>45</v>
      </c>
      <c r="Q1929" s="80">
        <v>0</v>
      </c>
      <c r="R1929" s="80">
        <f t="shared" si="171"/>
        <v>25</v>
      </c>
      <c r="AD1929"/>
    </row>
    <row r="1930" spans="10:30" ht="16.2" customHeight="1">
      <c r="J1930" s="80" t="s">
        <v>746</v>
      </c>
      <c r="K1930" s="80" t="s">
        <v>132</v>
      </c>
      <c r="L1930" t="s">
        <v>228</v>
      </c>
      <c r="M1930" t="s">
        <v>159</v>
      </c>
      <c r="N1930" t="str">
        <f t="shared" si="172"/>
        <v>Double FrontStreamline Cord OperationGather Hook NormalSingle Face Fix Brackets</v>
      </c>
      <c r="O1930">
        <v>43</v>
      </c>
      <c r="P1930">
        <v>45</v>
      </c>
      <c r="Q1930" s="80">
        <v>0</v>
      </c>
      <c r="R1930" s="80">
        <f t="shared" si="171"/>
        <v>2</v>
      </c>
      <c r="AD1930"/>
    </row>
    <row r="1931" spans="10:30" ht="16.2" customHeight="1">
      <c r="J1931" s="80" t="s">
        <v>747</v>
      </c>
      <c r="K1931" s="80" t="s">
        <v>132</v>
      </c>
      <c r="L1931" t="s">
        <v>228</v>
      </c>
      <c r="M1931" t="s">
        <v>159</v>
      </c>
      <c r="N1931" t="str">
        <f t="shared" si="172"/>
        <v>Double RearStreamline Cord OperationGather Hook NormalSingle Face Fix Brackets</v>
      </c>
      <c r="O1931">
        <v>43</v>
      </c>
      <c r="P1931">
        <v>45</v>
      </c>
      <c r="Q1931" s="80">
        <v>0</v>
      </c>
      <c r="R1931" s="80">
        <f t="shared" si="171"/>
        <v>2</v>
      </c>
      <c r="AD1931"/>
    </row>
    <row r="1932" spans="10:30" ht="16.2" customHeight="1">
      <c r="J1932" s="80" t="s">
        <v>725</v>
      </c>
      <c r="K1932" s="80" t="s">
        <v>132</v>
      </c>
      <c r="L1932" t="s">
        <v>228</v>
      </c>
      <c r="M1932" t="s">
        <v>159</v>
      </c>
      <c r="N1932" t="str">
        <f t="shared" si="172"/>
        <v>SingleStreamline Cord OperationGather Hook NormalSingle Face Fix Brackets</v>
      </c>
      <c r="O1932">
        <v>43</v>
      </c>
      <c r="P1932">
        <v>45</v>
      </c>
      <c r="Q1932" s="80">
        <v>0</v>
      </c>
      <c r="R1932" s="80">
        <f t="shared" si="171"/>
        <v>2</v>
      </c>
      <c r="AD1932"/>
    </row>
    <row r="1933" spans="10:30" ht="16.2" customHeight="1">
      <c r="J1933" s="80" t="s">
        <v>746</v>
      </c>
      <c r="K1933" s="80" t="s">
        <v>132</v>
      </c>
      <c r="L1933" t="s">
        <v>282</v>
      </c>
      <c r="M1933" t="s">
        <v>159</v>
      </c>
      <c r="N1933" t="str">
        <f t="shared" si="172"/>
        <v>Double FrontStreamline Cord OperationLevel 2072Single Face Fix Brackets</v>
      </c>
      <c r="O1933">
        <v>38</v>
      </c>
      <c r="P1933">
        <v>45</v>
      </c>
      <c r="Q1933" s="80">
        <v>0</v>
      </c>
      <c r="R1933" s="80">
        <f t="shared" si="171"/>
        <v>7</v>
      </c>
      <c r="AD1933"/>
    </row>
    <row r="1934" spans="10:30" ht="16.2" customHeight="1">
      <c r="J1934" s="80" t="s">
        <v>747</v>
      </c>
      <c r="K1934" s="80" t="s">
        <v>132</v>
      </c>
      <c r="L1934" t="s">
        <v>282</v>
      </c>
      <c r="M1934" t="s">
        <v>159</v>
      </c>
      <c r="N1934" t="str">
        <f t="shared" si="172"/>
        <v>Double RearStreamline Cord OperationLevel 2072Single Face Fix Brackets</v>
      </c>
      <c r="O1934">
        <v>38</v>
      </c>
      <c r="P1934">
        <v>45</v>
      </c>
      <c r="Q1934" s="80">
        <v>0</v>
      </c>
      <c r="R1934" s="80">
        <f t="shared" si="171"/>
        <v>7</v>
      </c>
      <c r="AD1934"/>
    </row>
    <row r="1935" spans="10:30" ht="16.2" customHeight="1">
      <c r="J1935" s="80" t="s">
        <v>725</v>
      </c>
      <c r="K1935" s="80" t="s">
        <v>132</v>
      </c>
      <c r="L1935" t="s">
        <v>282</v>
      </c>
      <c r="M1935" t="s">
        <v>159</v>
      </c>
      <c r="N1935" t="str">
        <f t="shared" si="172"/>
        <v>SingleStreamline Cord OperationLevel 2072Single Face Fix Brackets</v>
      </c>
      <c r="O1935">
        <v>38</v>
      </c>
      <c r="P1935">
        <v>45</v>
      </c>
      <c r="Q1935" s="80">
        <v>0</v>
      </c>
      <c r="R1935" s="80">
        <f t="shared" si="171"/>
        <v>7</v>
      </c>
      <c r="AD1935"/>
    </row>
    <row r="1936" spans="10:30" ht="16.2" customHeight="1">
      <c r="J1936" s="80" t="s">
        <v>746</v>
      </c>
      <c r="K1936" s="80" t="s">
        <v>132</v>
      </c>
      <c r="L1936" t="s">
        <v>170</v>
      </c>
      <c r="M1936" t="s">
        <v>159</v>
      </c>
      <c r="N1936" t="str">
        <f t="shared" si="172"/>
        <v>Double FrontStreamline Cord OperationNormal 2074Single Face Fix Brackets</v>
      </c>
      <c r="O1936">
        <v>60</v>
      </c>
      <c r="P1936">
        <v>45</v>
      </c>
      <c r="Q1936" s="80">
        <v>0</v>
      </c>
      <c r="R1936" s="80">
        <f t="shared" si="171"/>
        <v>-15</v>
      </c>
      <c r="AD1936"/>
    </row>
    <row r="1937" spans="10:30" ht="16.2" customHeight="1">
      <c r="J1937" s="80" t="s">
        <v>747</v>
      </c>
      <c r="K1937" s="80" t="s">
        <v>132</v>
      </c>
      <c r="L1937" t="s">
        <v>170</v>
      </c>
      <c r="M1937" t="s">
        <v>159</v>
      </c>
      <c r="N1937" t="str">
        <f t="shared" si="172"/>
        <v>Double RearStreamline Cord OperationNormal 2074Single Face Fix Brackets</v>
      </c>
      <c r="O1937">
        <v>60</v>
      </c>
      <c r="P1937">
        <v>45</v>
      </c>
      <c r="Q1937" s="80">
        <v>0</v>
      </c>
      <c r="R1937" s="80">
        <f t="shared" si="171"/>
        <v>-15</v>
      </c>
      <c r="AD1937"/>
    </row>
    <row r="1938" spans="10:30" ht="16.2" customHeight="1">
      <c r="J1938" s="80" t="s">
        <v>725</v>
      </c>
      <c r="K1938" s="80" t="s">
        <v>132</v>
      </c>
      <c r="L1938" t="s">
        <v>170</v>
      </c>
      <c r="M1938" t="s">
        <v>159</v>
      </c>
      <c r="N1938" t="str">
        <f t="shared" si="172"/>
        <v>SingleStreamline Cord OperationNormal 2074Single Face Fix Brackets</v>
      </c>
      <c r="O1938">
        <v>60</v>
      </c>
      <c r="P1938">
        <v>45</v>
      </c>
      <c r="Q1938" s="80">
        <v>0</v>
      </c>
      <c r="R1938" s="80">
        <f t="shared" si="171"/>
        <v>-15</v>
      </c>
      <c r="AD1938"/>
    </row>
    <row r="1939" spans="10:30" ht="16.2" customHeight="1">
      <c r="J1939" s="80" t="s">
        <v>746</v>
      </c>
      <c r="K1939" s="80" t="s">
        <v>132</v>
      </c>
      <c r="L1939" t="s">
        <v>183</v>
      </c>
      <c r="M1939" t="s">
        <v>161</v>
      </c>
      <c r="N1939" t="str">
        <f t="shared" si="172"/>
        <v>Double FrontStreamline Cord OperationBelow Normal 2075Top Fix Brackets</v>
      </c>
      <c r="O1939">
        <v>70</v>
      </c>
      <c r="P1939">
        <v>41</v>
      </c>
      <c r="Q1939" s="80">
        <v>0</v>
      </c>
      <c r="R1939" s="80">
        <f t="shared" si="171"/>
        <v>-29</v>
      </c>
      <c r="AD1939"/>
    </row>
    <row r="1940" spans="10:30" ht="16.2" customHeight="1">
      <c r="J1940" s="80" t="s">
        <v>747</v>
      </c>
      <c r="K1940" s="80" t="s">
        <v>132</v>
      </c>
      <c r="L1940" t="s">
        <v>183</v>
      </c>
      <c r="M1940" t="s">
        <v>161</v>
      </c>
      <c r="N1940" t="str">
        <f t="shared" si="172"/>
        <v>Double RearStreamline Cord OperationBelow Normal 2075Top Fix Brackets</v>
      </c>
      <c r="O1940">
        <v>70</v>
      </c>
      <c r="P1940">
        <v>41</v>
      </c>
      <c r="Q1940" s="80">
        <v>0</v>
      </c>
      <c r="R1940" s="80">
        <f t="shared" si="171"/>
        <v>-29</v>
      </c>
      <c r="AD1940"/>
    </row>
    <row r="1941" spans="10:30" ht="16.2" customHeight="1">
      <c r="J1941" s="80" t="s">
        <v>725</v>
      </c>
      <c r="K1941" s="80" t="s">
        <v>132</v>
      </c>
      <c r="L1941" t="s">
        <v>183</v>
      </c>
      <c r="M1941" t="s">
        <v>161</v>
      </c>
      <c r="N1941" t="str">
        <f t="shared" si="172"/>
        <v>SingleStreamline Cord OperationBelow Normal 2075Top Fix Brackets</v>
      </c>
      <c r="O1941">
        <v>70</v>
      </c>
      <c r="P1941">
        <v>41</v>
      </c>
      <c r="Q1941" s="80">
        <v>0</v>
      </c>
      <c r="R1941" s="80">
        <f t="shared" si="171"/>
        <v>-29</v>
      </c>
      <c r="AD1941"/>
    </row>
    <row r="1942" spans="10:30" ht="16.2" customHeight="1">
      <c r="J1942" s="80" t="s">
        <v>746</v>
      </c>
      <c r="K1942" s="80" t="s">
        <v>132</v>
      </c>
      <c r="L1942" t="s">
        <v>182</v>
      </c>
      <c r="M1942" t="s">
        <v>161</v>
      </c>
      <c r="N1942" t="str">
        <f t="shared" si="172"/>
        <v>Double FrontStreamline Cord OperationBetween Level and Normal 2073Top Fix Brackets</v>
      </c>
      <c r="O1942">
        <v>48</v>
      </c>
      <c r="P1942">
        <v>41</v>
      </c>
      <c r="Q1942" s="80">
        <v>0</v>
      </c>
      <c r="R1942" s="80">
        <f t="shared" si="171"/>
        <v>-7</v>
      </c>
      <c r="AD1942"/>
    </row>
    <row r="1943" spans="10:30" ht="16.2" customHeight="1">
      <c r="J1943" s="80" t="s">
        <v>747</v>
      </c>
      <c r="K1943" s="80" t="s">
        <v>132</v>
      </c>
      <c r="L1943" t="s">
        <v>182</v>
      </c>
      <c r="M1943" t="s">
        <v>161</v>
      </c>
      <c r="N1943" t="str">
        <f t="shared" si="172"/>
        <v>Double RearStreamline Cord OperationBetween Level and Normal 2073Top Fix Brackets</v>
      </c>
      <c r="O1943">
        <v>48</v>
      </c>
      <c r="P1943">
        <v>41</v>
      </c>
      <c r="Q1943" s="80">
        <v>0</v>
      </c>
      <c r="R1943" s="80">
        <f t="shared" si="171"/>
        <v>-7</v>
      </c>
      <c r="AD1943"/>
    </row>
    <row r="1944" spans="10:30" ht="16.2" customHeight="1">
      <c r="J1944" s="80" t="s">
        <v>725</v>
      </c>
      <c r="K1944" s="80" t="s">
        <v>132</v>
      </c>
      <c r="L1944" t="s">
        <v>182</v>
      </c>
      <c r="M1944" t="s">
        <v>161</v>
      </c>
      <c r="N1944" t="str">
        <f t="shared" si="172"/>
        <v>SingleStreamline Cord OperationBetween Level and Normal 2073Top Fix Brackets</v>
      </c>
      <c r="O1944">
        <v>47</v>
      </c>
      <c r="P1944">
        <v>41</v>
      </c>
      <c r="Q1944" s="80">
        <v>0</v>
      </c>
      <c r="R1944" s="80">
        <f t="shared" si="171"/>
        <v>-6</v>
      </c>
      <c r="AD1944"/>
    </row>
    <row r="1945" spans="10:30" ht="16.2" customHeight="1">
      <c r="J1945" s="80" t="s">
        <v>746</v>
      </c>
      <c r="K1945" s="80" t="s">
        <v>132</v>
      </c>
      <c r="L1945" t="s">
        <v>184</v>
      </c>
      <c r="M1945" t="s">
        <v>161</v>
      </c>
      <c r="N1945" t="str">
        <f t="shared" si="172"/>
        <v>Double FrontStreamline Cord OperationDecorator 2071Top Fix Brackets</v>
      </c>
      <c r="O1945">
        <v>20</v>
      </c>
      <c r="P1945">
        <v>41</v>
      </c>
      <c r="Q1945" s="80">
        <v>0</v>
      </c>
      <c r="R1945" s="80">
        <f t="shared" si="171"/>
        <v>21</v>
      </c>
      <c r="AD1945"/>
    </row>
    <row r="1946" spans="10:30" ht="16.2" customHeight="1">
      <c r="J1946" s="80" t="s">
        <v>747</v>
      </c>
      <c r="K1946" s="80" t="s">
        <v>132</v>
      </c>
      <c r="L1946" t="s">
        <v>184</v>
      </c>
      <c r="M1946" t="s">
        <v>161</v>
      </c>
      <c r="N1946" t="str">
        <f t="shared" si="172"/>
        <v>Double RearStreamline Cord OperationDecorator 2071Top Fix Brackets</v>
      </c>
      <c r="O1946">
        <v>20</v>
      </c>
      <c r="P1946">
        <v>41</v>
      </c>
      <c r="Q1946" s="80">
        <v>0</v>
      </c>
      <c r="R1946" s="80">
        <f t="shared" si="171"/>
        <v>21</v>
      </c>
      <c r="AD1946"/>
    </row>
    <row r="1947" spans="10:30" ht="16.2" customHeight="1">
      <c r="J1947" s="80" t="s">
        <v>725</v>
      </c>
      <c r="K1947" s="80" t="s">
        <v>132</v>
      </c>
      <c r="L1947" t="s">
        <v>184</v>
      </c>
      <c r="M1947" t="s">
        <v>161</v>
      </c>
      <c r="N1947" t="str">
        <f t="shared" si="172"/>
        <v>SingleStreamline Cord OperationDecorator 2071Top Fix Brackets</v>
      </c>
      <c r="O1947">
        <v>20</v>
      </c>
      <c r="P1947">
        <v>41</v>
      </c>
      <c r="Q1947" s="80">
        <v>0</v>
      </c>
      <c r="R1947" s="80">
        <f t="shared" si="171"/>
        <v>21</v>
      </c>
      <c r="AD1947"/>
    </row>
    <row r="1948" spans="10:30" ht="16.2" customHeight="1">
      <c r="J1948" s="80" t="s">
        <v>746</v>
      </c>
      <c r="K1948" s="80" t="s">
        <v>132</v>
      </c>
      <c r="L1948" t="s">
        <v>6468</v>
      </c>
      <c r="M1948" t="s">
        <v>161</v>
      </c>
      <c r="N1948" t="str">
        <f t="shared" si="172"/>
        <v>Double FrontStreamline Cord OperationGather Hook Bottom PocketTop Fix Brackets</v>
      </c>
      <c r="O1948">
        <v>60</v>
      </c>
      <c r="P1948">
        <v>41</v>
      </c>
      <c r="Q1948" s="80">
        <v>0</v>
      </c>
      <c r="R1948" s="80">
        <f t="shared" si="171"/>
        <v>-19</v>
      </c>
      <c r="AD1948"/>
    </row>
    <row r="1949" spans="10:30" ht="16.2" customHeight="1">
      <c r="J1949" s="80" t="s">
        <v>725</v>
      </c>
      <c r="K1949" s="80" t="s">
        <v>132</v>
      </c>
      <c r="L1949" t="s">
        <v>6468</v>
      </c>
      <c r="M1949" t="s">
        <v>161</v>
      </c>
      <c r="N1949" t="str">
        <f t="shared" si="172"/>
        <v>SingleStreamline Cord OperationGather Hook Bottom PocketTop Fix Brackets</v>
      </c>
      <c r="O1949">
        <v>60</v>
      </c>
      <c r="P1949">
        <v>41</v>
      </c>
      <c r="Q1949" s="80">
        <v>0</v>
      </c>
      <c r="R1949" s="80">
        <f t="shared" si="171"/>
        <v>-19</v>
      </c>
      <c r="AD1949"/>
    </row>
    <row r="1950" spans="10:30" ht="16.2" customHeight="1">
      <c r="J1950" s="80" t="s">
        <v>746</v>
      </c>
      <c r="K1950" s="80" t="s">
        <v>132</v>
      </c>
      <c r="L1950" t="s">
        <v>229</v>
      </c>
      <c r="M1950" t="s">
        <v>161</v>
      </c>
      <c r="N1950" t="str">
        <f t="shared" si="172"/>
        <v>Double FrontStreamline Cord OperationGather Hook LevelTop Fix Brackets</v>
      </c>
      <c r="O1950">
        <v>20</v>
      </c>
      <c r="P1950">
        <v>41</v>
      </c>
      <c r="Q1950" s="80">
        <v>0</v>
      </c>
      <c r="R1950" s="80">
        <f t="shared" si="171"/>
        <v>21</v>
      </c>
      <c r="AD1950"/>
    </row>
    <row r="1951" spans="10:30" ht="16.2" customHeight="1">
      <c r="J1951" s="80" t="s">
        <v>747</v>
      </c>
      <c r="K1951" s="80" t="s">
        <v>132</v>
      </c>
      <c r="L1951" t="s">
        <v>229</v>
      </c>
      <c r="M1951" t="s">
        <v>161</v>
      </c>
      <c r="N1951" t="str">
        <f t="shared" si="172"/>
        <v>Double RearStreamline Cord OperationGather Hook LevelTop Fix Brackets</v>
      </c>
      <c r="O1951">
        <v>20</v>
      </c>
      <c r="P1951">
        <v>41</v>
      </c>
      <c r="Q1951" s="80">
        <v>0</v>
      </c>
      <c r="R1951" s="80">
        <f t="shared" si="173" ref="R1951:R2014">SUM(P1951)-O1951</f>
        <v>21</v>
      </c>
      <c r="AD1951"/>
    </row>
    <row r="1952" spans="10:30" ht="16.2" customHeight="1">
      <c r="J1952" s="80" t="s">
        <v>725</v>
      </c>
      <c r="K1952" s="80" t="s">
        <v>132</v>
      </c>
      <c r="L1952" t="s">
        <v>229</v>
      </c>
      <c r="M1952" t="s">
        <v>161</v>
      </c>
      <c r="N1952" t="str">
        <f t="shared" si="172"/>
        <v>SingleStreamline Cord OperationGather Hook LevelTop Fix Brackets</v>
      </c>
      <c r="O1952">
        <v>20</v>
      </c>
      <c r="P1952">
        <v>41</v>
      </c>
      <c r="Q1952" s="80">
        <v>0</v>
      </c>
      <c r="R1952" s="80">
        <f t="shared" si="173"/>
        <v>21</v>
      </c>
      <c r="AD1952"/>
    </row>
    <row r="1953" spans="10:30" ht="16.2" customHeight="1">
      <c r="J1953" s="80" t="s">
        <v>746</v>
      </c>
      <c r="K1953" s="80" t="s">
        <v>132</v>
      </c>
      <c r="L1953" t="s">
        <v>228</v>
      </c>
      <c r="M1953" t="s">
        <v>161</v>
      </c>
      <c r="N1953" t="str">
        <f t="shared" si="172"/>
        <v>Double FrontStreamline Cord OperationGather Hook NormalTop Fix Brackets</v>
      </c>
      <c r="O1953">
        <v>43</v>
      </c>
      <c r="P1953">
        <v>41</v>
      </c>
      <c r="Q1953" s="80">
        <v>0</v>
      </c>
      <c r="R1953" s="80">
        <f t="shared" si="173"/>
        <v>-2</v>
      </c>
      <c r="AD1953"/>
    </row>
    <row r="1954" spans="10:30" ht="16.2" customHeight="1">
      <c r="J1954" s="80" t="s">
        <v>747</v>
      </c>
      <c r="K1954" s="80" t="s">
        <v>132</v>
      </c>
      <c r="L1954" t="s">
        <v>228</v>
      </c>
      <c r="M1954" t="s">
        <v>161</v>
      </c>
      <c r="N1954" t="str">
        <f t="shared" si="172"/>
        <v>Double RearStreamline Cord OperationGather Hook NormalTop Fix Brackets</v>
      </c>
      <c r="O1954">
        <v>43</v>
      </c>
      <c r="P1954">
        <v>41</v>
      </c>
      <c r="Q1954" s="80">
        <v>0</v>
      </c>
      <c r="R1954" s="80">
        <f t="shared" si="173"/>
        <v>-2</v>
      </c>
      <c r="AD1954"/>
    </row>
    <row r="1955" spans="10:30" ht="16.2" customHeight="1">
      <c r="J1955" s="80" t="s">
        <v>725</v>
      </c>
      <c r="K1955" s="80" t="s">
        <v>132</v>
      </c>
      <c r="L1955" t="s">
        <v>228</v>
      </c>
      <c r="M1955" t="s">
        <v>161</v>
      </c>
      <c r="N1955" t="str">
        <f t="shared" si="172"/>
        <v>SingleStreamline Cord OperationGather Hook NormalTop Fix Brackets</v>
      </c>
      <c r="O1955">
        <v>43</v>
      </c>
      <c r="P1955">
        <v>41</v>
      </c>
      <c r="Q1955" s="80">
        <v>0</v>
      </c>
      <c r="R1955" s="80">
        <f t="shared" si="173"/>
        <v>-2</v>
      </c>
      <c r="AD1955"/>
    </row>
    <row r="1956" spans="10:30" ht="16.2" customHeight="1">
      <c r="J1956" s="80" t="s">
        <v>746</v>
      </c>
      <c r="K1956" s="80" t="s">
        <v>132</v>
      </c>
      <c r="L1956" t="s">
        <v>282</v>
      </c>
      <c r="M1956" t="s">
        <v>161</v>
      </c>
      <c r="N1956" t="str">
        <f t="shared" si="172"/>
        <v>Double FrontStreamline Cord OperationLevel 2072Top Fix Brackets</v>
      </c>
      <c r="O1956">
        <v>38</v>
      </c>
      <c r="P1956">
        <v>41</v>
      </c>
      <c r="Q1956" s="80">
        <v>0</v>
      </c>
      <c r="R1956" s="80">
        <f t="shared" si="173"/>
        <v>3</v>
      </c>
      <c r="AD1956"/>
    </row>
    <row r="1957" spans="10:30" ht="16.2" customHeight="1">
      <c r="J1957" s="80" t="s">
        <v>747</v>
      </c>
      <c r="K1957" s="80" t="s">
        <v>132</v>
      </c>
      <c r="L1957" t="s">
        <v>282</v>
      </c>
      <c r="M1957" t="s">
        <v>161</v>
      </c>
      <c r="N1957" t="str">
        <f t="shared" si="172"/>
        <v>Double RearStreamline Cord OperationLevel 2072Top Fix Brackets</v>
      </c>
      <c r="O1957">
        <v>38</v>
      </c>
      <c r="P1957">
        <v>41</v>
      </c>
      <c r="Q1957" s="80">
        <v>0</v>
      </c>
      <c r="R1957" s="80">
        <f t="shared" si="173"/>
        <v>3</v>
      </c>
      <c r="AD1957"/>
    </row>
    <row r="1958" spans="10:30" ht="16.2" customHeight="1">
      <c r="J1958" s="80" t="s">
        <v>725</v>
      </c>
      <c r="K1958" s="80" t="s">
        <v>132</v>
      </c>
      <c r="L1958" t="s">
        <v>282</v>
      </c>
      <c r="M1958" t="s">
        <v>161</v>
      </c>
      <c r="N1958" t="str">
        <f t="shared" si="172"/>
        <v>SingleStreamline Cord OperationLevel 2072Top Fix Brackets</v>
      </c>
      <c r="O1958">
        <v>35</v>
      </c>
      <c r="P1958">
        <v>41</v>
      </c>
      <c r="Q1958" s="80">
        <v>0</v>
      </c>
      <c r="R1958" s="80">
        <f t="shared" si="173"/>
        <v>6</v>
      </c>
      <c r="AD1958"/>
    </row>
    <row r="1959" spans="10:30" ht="16.2" customHeight="1">
      <c r="J1959" s="80" t="s">
        <v>746</v>
      </c>
      <c r="K1959" s="80" t="s">
        <v>132</v>
      </c>
      <c r="L1959" t="s">
        <v>170</v>
      </c>
      <c r="M1959" t="s">
        <v>161</v>
      </c>
      <c r="N1959" t="str">
        <f t="shared" si="172"/>
        <v>Double FrontStreamline Cord OperationNormal 2074Top Fix Brackets</v>
      </c>
      <c r="O1959">
        <v>60</v>
      </c>
      <c r="P1959">
        <v>41</v>
      </c>
      <c r="Q1959" s="80">
        <v>0</v>
      </c>
      <c r="R1959" s="80">
        <f t="shared" si="173"/>
        <v>-19</v>
      </c>
      <c r="AD1959"/>
    </row>
    <row r="1960" spans="10:30" ht="16.2" customHeight="1">
      <c r="J1960" s="80" t="s">
        <v>747</v>
      </c>
      <c r="K1960" s="80" t="s">
        <v>132</v>
      </c>
      <c r="L1960" t="s">
        <v>170</v>
      </c>
      <c r="M1960" t="s">
        <v>161</v>
      </c>
      <c r="N1960" t="str">
        <f t="shared" si="172"/>
        <v>Double RearStreamline Cord OperationNormal 2074Top Fix Brackets</v>
      </c>
      <c r="O1960">
        <v>60</v>
      </c>
      <c r="P1960">
        <v>41</v>
      </c>
      <c r="Q1960" s="80">
        <v>0</v>
      </c>
      <c r="R1960" s="80">
        <f t="shared" si="173"/>
        <v>-19</v>
      </c>
      <c r="AD1960"/>
    </row>
    <row r="1961" spans="10:30" ht="16.2" customHeight="1">
      <c r="J1961" s="80" t="s">
        <v>725</v>
      </c>
      <c r="K1961" s="80" t="s">
        <v>132</v>
      </c>
      <c r="L1961" t="s">
        <v>170</v>
      </c>
      <c r="M1961" t="s">
        <v>161</v>
      </c>
      <c r="N1961" t="str">
        <f t="shared" si="172"/>
        <v>SingleStreamline Cord OperationNormal 2074Top Fix Brackets</v>
      </c>
      <c r="O1961">
        <v>60</v>
      </c>
      <c r="P1961">
        <v>41</v>
      </c>
      <c r="Q1961" s="80">
        <v>0</v>
      </c>
      <c r="R1961" s="80">
        <f t="shared" si="173"/>
        <v>-19</v>
      </c>
      <c r="AD1961"/>
    </row>
    <row r="1962" spans="10:30" ht="16.2" customHeight="1">
      <c r="J1962" s="80" t="s">
        <v>746</v>
      </c>
      <c r="K1962" s="80" t="s">
        <v>132</v>
      </c>
      <c r="L1962" t="s">
        <v>183</v>
      </c>
      <c r="M1962" t="s">
        <v>553</v>
      </c>
      <c r="N1962" t="str">
        <f t="shared" si="172"/>
        <v>Double FrontStreamline Cord OperationBelow Normal 2075Triple Face Fix Brackets</v>
      </c>
      <c r="O1962">
        <v>70</v>
      </c>
      <c r="P1962">
        <v>45</v>
      </c>
      <c r="Q1962" s="80">
        <v>0</v>
      </c>
      <c r="R1962" s="80">
        <f t="shared" si="173"/>
        <v>-25</v>
      </c>
      <c r="AD1962"/>
    </row>
    <row r="1963" spans="10:30" ht="16.2" customHeight="1">
      <c r="J1963" s="80" t="s">
        <v>747</v>
      </c>
      <c r="K1963" s="80" t="s">
        <v>132</v>
      </c>
      <c r="L1963" t="s">
        <v>183</v>
      </c>
      <c r="M1963" t="s">
        <v>553</v>
      </c>
      <c r="N1963" t="str">
        <f t="shared" si="172"/>
        <v>Double RearStreamline Cord OperationBelow Normal 2075Triple Face Fix Brackets</v>
      </c>
      <c r="O1963">
        <v>70</v>
      </c>
      <c r="P1963">
        <v>45</v>
      </c>
      <c r="Q1963" s="80">
        <v>0</v>
      </c>
      <c r="R1963" s="80">
        <f t="shared" si="173"/>
        <v>-25</v>
      </c>
      <c r="AD1963"/>
    </row>
    <row r="1964" spans="10:30" ht="16.2" customHeight="1">
      <c r="J1964" s="80" t="s">
        <v>725</v>
      </c>
      <c r="K1964" s="80" t="s">
        <v>132</v>
      </c>
      <c r="L1964" t="s">
        <v>183</v>
      </c>
      <c r="M1964" t="s">
        <v>553</v>
      </c>
      <c r="N1964" t="str">
        <f t="shared" si="172"/>
        <v>SingleStreamline Cord OperationBelow Normal 2075Triple Face Fix Brackets</v>
      </c>
      <c r="O1964">
        <v>70</v>
      </c>
      <c r="P1964">
        <v>45</v>
      </c>
      <c r="Q1964" s="80">
        <v>0</v>
      </c>
      <c r="R1964" s="80">
        <f t="shared" si="173"/>
        <v>-25</v>
      </c>
      <c r="AD1964"/>
    </row>
    <row r="1965" spans="10:30" ht="16.2" customHeight="1">
      <c r="J1965" s="80" t="s">
        <v>746</v>
      </c>
      <c r="K1965" s="80" t="s">
        <v>132</v>
      </c>
      <c r="L1965" t="s">
        <v>182</v>
      </c>
      <c r="M1965" t="s">
        <v>553</v>
      </c>
      <c r="N1965" t="str">
        <f t="shared" si="172"/>
        <v>Double FrontStreamline Cord OperationBetween Level and Normal 2073Triple Face Fix Brackets</v>
      </c>
      <c r="O1965">
        <v>48</v>
      </c>
      <c r="P1965">
        <v>45</v>
      </c>
      <c r="Q1965" s="80">
        <v>0</v>
      </c>
      <c r="R1965" s="80">
        <f t="shared" si="173"/>
        <v>-3</v>
      </c>
      <c r="AD1965"/>
    </row>
    <row r="1966" spans="10:30" ht="16.2" customHeight="1">
      <c r="J1966" s="80" t="s">
        <v>747</v>
      </c>
      <c r="K1966" s="80" t="s">
        <v>132</v>
      </c>
      <c r="L1966" t="s">
        <v>182</v>
      </c>
      <c r="M1966" t="s">
        <v>553</v>
      </c>
      <c r="N1966" t="str">
        <f t="shared" si="172"/>
        <v>Double RearStreamline Cord OperationBetween Level and Normal 2073Triple Face Fix Brackets</v>
      </c>
      <c r="O1966">
        <v>48</v>
      </c>
      <c r="P1966">
        <v>45</v>
      </c>
      <c r="Q1966" s="80">
        <v>0</v>
      </c>
      <c r="R1966" s="80">
        <f t="shared" si="173"/>
        <v>-3</v>
      </c>
      <c r="AD1966"/>
    </row>
    <row r="1967" spans="10:30" ht="16.2" customHeight="1">
      <c r="J1967" s="80" t="s">
        <v>725</v>
      </c>
      <c r="K1967" s="80" t="s">
        <v>132</v>
      </c>
      <c r="L1967" t="s">
        <v>182</v>
      </c>
      <c r="M1967" t="s">
        <v>553</v>
      </c>
      <c r="N1967" t="str">
        <f t="shared" si="172"/>
        <v>SingleStreamline Cord OperationBetween Level and Normal 2073Triple Face Fix Brackets</v>
      </c>
      <c r="O1967">
        <v>47</v>
      </c>
      <c r="P1967">
        <v>45</v>
      </c>
      <c r="Q1967" s="80">
        <v>0</v>
      </c>
      <c r="R1967" s="80">
        <f t="shared" si="173"/>
        <v>-2</v>
      </c>
      <c r="AD1967"/>
    </row>
    <row r="1968" spans="10:30" ht="16.2" customHeight="1">
      <c r="J1968" s="80" t="s">
        <v>746</v>
      </c>
      <c r="K1968" s="80" t="s">
        <v>132</v>
      </c>
      <c r="L1968" t="s">
        <v>184</v>
      </c>
      <c r="M1968" t="s">
        <v>553</v>
      </c>
      <c r="N1968" t="str">
        <f t="shared" si="172"/>
        <v>Double FrontStreamline Cord OperationDecorator 2071Triple Face Fix Brackets</v>
      </c>
      <c r="O1968">
        <v>20</v>
      </c>
      <c r="P1968">
        <v>45</v>
      </c>
      <c r="Q1968" s="80">
        <v>0</v>
      </c>
      <c r="R1968" s="80">
        <f t="shared" si="173"/>
        <v>25</v>
      </c>
      <c r="AD1968"/>
    </row>
    <row r="1969" spans="10:30" ht="16.2" customHeight="1">
      <c r="J1969" s="80" t="s">
        <v>747</v>
      </c>
      <c r="K1969" s="80" t="s">
        <v>132</v>
      </c>
      <c r="L1969" t="s">
        <v>184</v>
      </c>
      <c r="M1969" t="s">
        <v>553</v>
      </c>
      <c r="N1969" t="str">
        <f t="shared" si="172"/>
        <v>Double RearStreamline Cord OperationDecorator 2071Triple Face Fix Brackets</v>
      </c>
      <c r="O1969">
        <v>20</v>
      </c>
      <c r="P1969">
        <v>45</v>
      </c>
      <c r="Q1969" s="80">
        <v>0</v>
      </c>
      <c r="R1969" s="80">
        <f t="shared" si="173"/>
        <v>25</v>
      </c>
      <c r="AD1969"/>
    </row>
    <row r="1970" spans="10:30" ht="16.2" customHeight="1">
      <c r="J1970" s="80" t="s">
        <v>725</v>
      </c>
      <c r="K1970" s="80" t="s">
        <v>132</v>
      </c>
      <c r="L1970" t="s">
        <v>184</v>
      </c>
      <c r="M1970" t="s">
        <v>553</v>
      </c>
      <c r="N1970" t="str">
        <f t="shared" si="172"/>
        <v>SingleStreamline Cord OperationDecorator 2071Triple Face Fix Brackets</v>
      </c>
      <c r="O1970">
        <v>20</v>
      </c>
      <c r="P1970">
        <v>45</v>
      </c>
      <c r="Q1970" s="80">
        <v>0</v>
      </c>
      <c r="R1970" s="80">
        <f t="shared" si="173"/>
        <v>25</v>
      </c>
      <c r="AD1970"/>
    </row>
    <row r="1971" spans="10:30" ht="16.2" customHeight="1">
      <c r="J1971" s="80" t="s">
        <v>746</v>
      </c>
      <c r="K1971" s="80" t="s">
        <v>132</v>
      </c>
      <c r="L1971" t="s">
        <v>6468</v>
      </c>
      <c r="M1971" t="s">
        <v>553</v>
      </c>
      <c r="N1971" t="str">
        <f t="shared" si="172"/>
        <v>Double FrontStreamline Cord OperationGather Hook Bottom PocketTriple Face Fix Brackets</v>
      </c>
      <c r="O1971">
        <v>60</v>
      </c>
      <c r="P1971">
        <v>45</v>
      </c>
      <c r="Q1971" s="80">
        <v>0</v>
      </c>
      <c r="R1971" s="80">
        <f t="shared" si="173"/>
        <v>-15</v>
      </c>
      <c r="AD1971"/>
    </row>
    <row r="1972" spans="10:30" ht="16.2" customHeight="1">
      <c r="J1972" s="80" t="s">
        <v>725</v>
      </c>
      <c r="K1972" s="80" t="s">
        <v>132</v>
      </c>
      <c r="L1972" t="s">
        <v>6468</v>
      </c>
      <c r="M1972" t="s">
        <v>553</v>
      </c>
      <c r="N1972" t="str">
        <f t="shared" si="172"/>
        <v>SingleStreamline Cord OperationGather Hook Bottom PocketTriple Face Fix Brackets</v>
      </c>
      <c r="O1972">
        <v>60</v>
      </c>
      <c r="P1972">
        <v>45</v>
      </c>
      <c r="Q1972" s="80">
        <v>0</v>
      </c>
      <c r="R1972" s="80">
        <f t="shared" si="173"/>
        <v>-15</v>
      </c>
      <c r="AD1972"/>
    </row>
    <row r="1973" spans="10:30" ht="16.2" customHeight="1">
      <c r="J1973" s="80" t="s">
        <v>746</v>
      </c>
      <c r="K1973" s="80" t="s">
        <v>132</v>
      </c>
      <c r="L1973" t="s">
        <v>229</v>
      </c>
      <c r="M1973" t="s">
        <v>553</v>
      </c>
      <c r="N1973" t="str">
        <f t="shared" si="172"/>
        <v>Double FrontStreamline Cord OperationGather Hook LevelTriple Face Fix Brackets</v>
      </c>
      <c r="O1973">
        <v>20</v>
      </c>
      <c r="P1973">
        <v>45</v>
      </c>
      <c r="Q1973" s="80">
        <v>0</v>
      </c>
      <c r="R1973" s="80">
        <f t="shared" si="173"/>
        <v>25</v>
      </c>
      <c r="AD1973"/>
    </row>
    <row r="1974" spans="10:30" ht="16.2" customHeight="1">
      <c r="J1974" s="80" t="s">
        <v>747</v>
      </c>
      <c r="K1974" s="80" t="s">
        <v>132</v>
      </c>
      <c r="L1974" t="s">
        <v>229</v>
      </c>
      <c r="M1974" t="s">
        <v>553</v>
      </c>
      <c r="N1974" t="str">
        <f t="shared" si="172"/>
        <v>Double RearStreamline Cord OperationGather Hook LevelTriple Face Fix Brackets</v>
      </c>
      <c r="O1974">
        <v>20</v>
      </c>
      <c r="P1974">
        <v>45</v>
      </c>
      <c r="Q1974" s="80">
        <v>0</v>
      </c>
      <c r="R1974" s="80">
        <f t="shared" si="173"/>
        <v>25</v>
      </c>
      <c r="AD1974"/>
    </row>
    <row r="1975" spans="10:30" ht="16.2" customHeight="1">
      <c r="J1975" s="80" t="s">
        <v>725</v>
      </c>
      <c r="K1975" s="80" t="s">
        <v>132</v>
      </c>
      <c r="L1975" t="s">
        <v>229</v>
      </c>
      <c r="M1975" t="s">
        <v>553</v>
      </c>
      <c r="N1975" t="str">
        <f t="shared" si="172"/>
        <v>SingleStreamline Cord OperationGather Hook LevelTriple Face Fix Brackets</v>
      </c>
      <c r="O1975">
        <v>20</v>
      </c>
      <c r="P1975">
        <v>45</v>
      </c>
      <c r="Q1975" s="80">
        <v>0</v>
      </c>
      <c r="R1975" s="80">
        <f t="shared" si="173"/>
        <v>25</v>
      </c>
      <c r="AD1975"/>
    </row>
    <row r="1976" spans="10:30" ht="16.2" customHeight="1">
      <c r="J1976" s="80" t="s">
        <v>746</v>
      </c>
      <c r="K1976" s="80" t="s">
        <v>132</v>
      </c>
      <c r="L1976" t="s">
        <v>228</v>
      </c>
      <c r="M1976" t="s">
        <v>553</v>
      </c>
      <c r="N1976" t="str">
        <f t="shared" si="172"/>
        <v>Double FrontStreamline Cord OperationGather Hook NormalTriple Face Fix Brackets</v>
      </c>
      <c r="O1976">
        <v>43</v>
      </c>
      <c r="P1976">
        <v>45</v>
      </c>
      <c r="Q1976" s="80">
        <v>0</v>
      </c>
      <c r="R1976" s="80">
        <f t="shared" si="173"/>
        <v>2</v>
      </c>
      <c r="AD1976"/>
    </row>
    <row r="1977" spans="10:30" ht="16.2" customHeight="1">
      <c r="J1977" s="80" t="s">
        <v>747</v>
      </c>
      <c r="K1977" s="80" t="s">
        <v>132</v>
      </c>
      <c r="L1977" t="s">
        <v>228</v>
      </c>
      <c r="M1977" t="s">
        <v>553</v>
      </c>
      <c r="N1977" t="str">
        <f t="shared" si="172"/>
        <v>Double RearStreamline Cord OperationGather Hook NormalTriple Face Fix Brackets</v>
      </c>
      <c r="O1977">
        <v>43</v>
      </c>
      <c r="P1977">
        <v>45</v>
      </c>
      <c r="Q1977" s="80">
        <v>0</v>
      </c>
      <c r="R1977" s="80">
        <f t="shared" si="173"/>
        <v>2</v>
      </c>
      <c r="AD1977"/>
    </row>
    <row r="1978" spans="10:30" ht="16.2" customHeight="1">
      <c r="J1978" s="80" t="s">
        <v>725</v>
      </c>
      <c r="K1978" s="80" t="s">
        <v>132</v>
      </c>
      <c r="L1978" t="s">
        <v>228</v>
      </c>
      <c r="M1978" t="s">
        <v>553</v>
      </c>
      <c r="N1978" t="str">
        <f t="shared" si="172"/>
        <v>SingleStreamline Cord OperationGather Hook NormalTriple Face Fix Brackets</v>
      </c>
      <c r="O1978">
        <v>43</v>
      </c>
      <c r="P1978">
        <v>45</v>
      </c>
      <c r="Q1978" s="80">
        <v>0</v>
      </c>
      <c r="R1978" s="80">
        <f t="shared" si="173"/>
        <v>2</v>
      </c>
      <c r="AD1978"/>
    </row>
    <row r="1979" spans="10:30" ht="16.2" customHeight="1">
      <c r="J1979" s="80" t="s">
        <v>746</v>
      </c>
      <c r="K1979" s="80" t="s">
        <v>132</v>
      </c>
      <c r="L1979" t="s">
        <v>282</v>
      </c>
      <c r="M1979" t="s">
        <v>553</v>
      </c>
      <c r="N1979" t="str">
        <f t="shared" si="172"/>
        <v>Double FrontStreamline Cord OperationLevel 2072Triple Face Fix Brackets</v>
      </c>
      <c r="O1979">
        <v>38</v>
      </c>
      <c r="P1979">
        <v>45</v>
      </c>
      <c r="Q1979" s="80">
        <v>0</v>
      </c>
      <c r="R1979" s="80">
        <f t="shared" si="173"/>
        <v>7</v>
      </c>
      <c r="AD1979"/>
    </row>
    <row r="1980" spans="10:30" ht="16.2" customHeight="1">
      <c r="J1980" s="80" t="s">
        <v>747</v>
      </c>
      <c r="K1980" s="80" t="s">
        <v>132</v>
      </c>
      <c r="L1980" t="s">
        <v>282</v>
      </c>
      <c r="M1980" t="s">
        <v>553</v>
      </c>
      <c r="N1980" t="str">
        <f t="shared" si="172"/>
        <v>Double RearStreamline Cord OperationLevel 2072Triple Face Fix Brackets</v>
      </c>
      <c r="O1980">
        <v>38</v>
      </c>
      <c r="P1980">
        <v>45</v>
      </c>
      <c r="Q1980" s="80">
        <v>0</v>
      </c>
      <c r="R1980" s="80">
        <f t="shared" si="173"/>
        <v>7</v>
      </c>
      <c r="AD1980"/>
    </row>
    <row r="1981" spans="10:30" ht="16.2" customHeight="1">
      <c r="J1981" s="80" t="s">
        <v>725</v>
      </c>
      <c r="K1981" s="80" t="s">
        <v>132</v>
      </c>
      <c r="L1981" t="s">
        <v>282</v>
      </c>
      <c r="M1981" t="s">
        <v>553</v>
      </c>
      <c r="N1981" t="str">
        <f t="shared" si="172"/>
        <v>SingleStreamline Cord OperationLevel 2072Triple Face Fix Brackets</v>
      </c>
      <c r="O1981">
        <v>35</v>
      </c>
      <c r="P1981">
        <v>45</v>
      </c>
      <c r="Q1981" s="80">
        <v>0</v>
      </c>
      <c r="R1981" s="80">
        <f t="shared" si="173"/>
        <v>10</v>
      </c>
      <c r="AD1981"/>
    </row>
    <row r="1982" spans="10:30" ht="16.2" customHeight="1">
      <c r="J1982" s="80" t="s">
        <v>746</v>
      </c>
      <c r="K1982" s="80" t="s">
        <v>132</v>
      </c>
      <c r="L1982" t="s">
        <v>170</v>
      </c>
      <c r="M1982" t="s">
        <v>553</v>
      </c>
      <c r="N1982" t="str">
        <f t="shared" si="172"/>
        <v>Double FrontStreamline Cord OperationNormal 2074Triple Face Fix Brackets</v>
      </c>
      <c r="O1982">
        <v>60</v>
      </c>
      <c r="P1982">
        <v>45</v>
      </c>
      <c r="Q1982" s="80">
        <v>0</v>
      </c>
      <c r="R1982" s="80">
        <f t="shared" si="173"/>
        <v>-15</v>
      </c>
      <c r="AD1982"/>
    </row>
    <row r="1983" spans="10:30" ht="16.2" customHeight="1">
      <c r="J1983" s="80" t="s">
        <v>747</v>
      </c>
      <c r="K1983" s="80" t="s">
        <v>132</v>
      </c>
      <c r="L1983" t="s">
        <v>170</v>
      </c>
      <c r="M1983" t="s">
        <v>553</v>
      </c>
      <c r="N1983" t="str">
        <f t="shared" si="172"/>
        <v>Double RearStreamline Cord OperationNormal 2074Triple Face Fix Brackets</v>
      </c>
      <c r="O1983">
        <v>60</v>
      </c>
      <c r="P1983">
        <v>45</v>
      </c>
      <c r="Q1983" s="80">
        <v>0</v>
      </c>
      <c r="R1983" s="80">
        <f t="shared" si="173"/>
        <v>-15</v>
      </c>
      <c r="AD1983"/>
    </row>
    <row r="1984" spans="10:30" ht="16.2" customHeight="1">
      <c r="J1984" s="80" t="s">
        <v>725</v>
      </c>
      <c r="K1984" s="80" t="s">
        <v>132</v>
      </c>
      <c r="L1984" t="s">
        <v>170</v>
      </c>
      <c r="M1984" t="s">
        <v>553</v>
      </c>
      <c r="N1984" t="str">
        <f t="shared" si="172"/>
        <v>SingleStreamline Cord OperationNormal 2074Triple Face Fix Brackets</v>
      </c>
      <c r="O1984">
        <v>60</v>
      </c>
      <c r="P1984">
        <v>45</v>
      </c>
      <c r="Q1984" s="80">
        <v>0</v>
      </c>
      <c r="R1984" s="80">
        <f t="shared" si="173"/>
        <v>-15</v>
      </c>
      <c r="AD1984"/>
    </row>
    <row r="1985" spans="10:30" ht="16.2" customHeight="1">
      <c r="J1985" s="80" t="s">
        <v>746</v>
      </c>
      <c r="K1985" s="80" t="s">
        <v>144</v>
      </c>
      <c r="L1985" t="s">
        <v>183</v>
      </c>
      <c r="M1985" t="s">
        <v>7206</v>
      </c>
      <c r="N1985" t="str">
        <f t="shared" si="172"/>
        <v>Double FrontStreamline Hand OperationBelow Normal 207532mm Face Fix Brackets</v>
      </c>
      <c r="O1985">
        <v>70</v>
      </c>
      <c r="P1985">
        <v>45</v>
      </c>
      <c r="Q1985" s="80">
        <v>0</v>
      </c>
      <c r="R1985" s="80">
        <f t="shared" si="173"/>
        <v>-25</v>
      </c>
      <c r="AD1985"/>
    </row>
    <row r="1986" spans="10:30" ht="16.2" customHeight="1">
      <c r="J1986" s="80" t="s">
        <v>747</v>
      </c>
      <c r="K1986" s="80" t="s">
        <v>144</v>
      </c>
      <c r="L1986" t="s">
        <v>183</v>
      </c>
      <c r="M1986" t="s">
        <v>7206</v>
      </c>
      <c r="N1986" t="str">
        <f t="shared" si="174" ref="N1986:N2049">(CONCATENATE(J1986,K1986,L1986,M1986))</f>
        <v>Double RearStreamline Hand OperationBelow Normal 207532mm Face Fix Brackets</v>
      </c>
      <c r="O1986">
        <v>70</v>
      </c>
      <c r="P1986">
        <v>45</v>
      </c>
      <c r="Q1986" s="80">
        <v>0</v>
      </c>
      <c r="R1986" s="80">
        <f t="shared" si="173"/>
        <v>-25</v>
      </c>
      <c r="AD1986"/>
    </row>
    <row r="1987" spans="10:30" ht="16.2" customHeight="1">
      <c r="J1987" s="80" t="s">
        <v>725</v>
      </c>
      <c r="K1987" s="80" t="s">
        <v>144</v>
      </c>
      <c r="L1987" t="s">
        <v>183</v>
      </c>
      <c r="M1987" t="s">
        <v>7206</v>
      </c>
      <c r="N1987" t="str">
        <f t="shared" si="174"/>
        <v>SingleStreamline Hand OperationBelow Normal 207532mm Face Fix Brackets</v>
      </c>
      <c r="O1987">
        <v>70</v>
      </c>
      <c r="P1987">
        <v>45</v>
      </c>
      <c r="Q1987" s="80">
        <v>0</v>
      </c>
      <c r="R1987" s="80">
        <f t="shared" si="173"/>
        <v>-25</v>
      </c>
      <c r="AD1987"/>
    </row>
    <row r="1988" spans="10:30" ht="16.2" customHeight="1">
      <c r="J1988" s="80" t="s">
        <v>746</v>
      </c>
      <c r="K1988" s="80" t="s">
        <v>144</v>
      </c>
      <c r="L1988" t="s">
        <v>182</v>
      </c>
      <c r="M1988" t="s">
        <v>7206</v>
      </c>
      <c r="N1988" t="str">
        <f t="shared" si="174"/>
        <v>Double FrontStreamline Hand OperationBetween Level and Normal 207332mm Face Fix Brackets</v>
      </c>
      <c r="O1988">
        <v>48</v>
      </c>
      <c r="P1988">
        <v>45</v>
      </c>
      <c r="Q1988" s="80">
        <v>0</v>
      </c>
      <c r="R1988" s="80">
        <f t="shared" si="173"/>
        <v>-3</v>
      </c>
      <c r="AD1988"/>
    </row>
    <row r="1989" spans="10:30" ht="16.2" customHeight="1">
      <c r="J1989" s="80" t="s">
        <v>747</v>
      </c>
      <c r="K1989" s="80" t="s">
        <v>144</v>
      </c>
      <c r="L1989" t="s">
        <v>182</v>
      </c>
      <c r="M1989" t="s">
        <v>7206</v>
      </c>
      <c r="N1989" t="str">
        <f t="shared" si="174"/>
        <v>Double RearStreamline Hand OperationBetween Level and Normal 207332mm Face Fix Brackets</v>
      </c>
      <c r="O1989">
        <v>48</v>
      </c>
      <c r="P1989">
        <v>45</v>
      </c>
      <c r="Q1989" s="80">
        <v>0</v>
      </c>
      <c r="R1989" s="80">
        <f t="shared" si="173"/>
        <v>-3</v>
      </c>
      <c r="AD1989"/>
    </row>
    <row r="1990" spans="10:30" ht="16.2" customHeight="1">
      <c r="J1990" s="80" t="s">
        <v>725</v>
      </c>
      <c r="K1990" s="80" t="s">
        <v>144</v>
      </c>
      <c r="L1990" t="s">
        <v>182</v>
      </c>
      <c r="M1990" t="s">
        <v>7206</v>
      </c>
      <c r="N1990" t="str">
        <f t="shared" si="174"/>
        <v>SingleStreamline Hand OperationBetween Level and Normal 207332mm Face Fix Brackets</v>
      </c>
      <c r="O1990">
        <v>47</v>
      </c>
      <c r="P1990">
        <v>45</v>
      </c>
      <c r="Q1990" s="80">
        <v>0</v>
      </c>
      <c r="R1990" s="80">
        <f t="shared" si="173"/>
        <v>-2</v>
      </c>
      <c r="AD1990"/>
    </row>
    <row r="1991" spans="10:30" ht="16.2" customHeight="1">
      <c r="J1991" s="80" t="s">
        <v>746</v>
      </c>
      <c r="K1991" s="80" t="s">
        <v>144</v>
      </c>
      <c r="L1991" t="s">
        <v>184</v>
      </c>
      <c r="M1991" t="s">
        <v>7206</v>
      </c>
      <c r="N1991" t="str">
        <f t="shared" si="174"/>
        <v>Double FrontStreamline Hand OperationDecorator 207132mm Face Fix Brackets</v>
      </c>
      <c r="O1991">
        <v>20</v>
      </c>
      <c r="P1991">
        <v>45</v>
      </c>
      <c r="Q1991" s="80">
        <v>0</v>
      </c>
      <c r="R1991" s="80">
        <f t="shared" si="173"/>
        <v>25</v>
      </c>
      <c r="AD1991"/>
    </row>
    <row r="1992" spans="10:30" ht="16.2" customHeight="1">
      <c r="J1992" s="80" t="s">
        <v>747</v>
      </c>
      <c r="K1992" s="80" t="s">
        <v>144</v>
      </c>
      <c r="L1992" t="s">
        <v>184</v>
      </c>
      <c r="M1992" t="s">
        <v>7206</v>
      </c>
      <c r="N1992" t="str">
        <f t="shared" si="174"/>
        <v>Double RearStreamline Hand OperationDecorator 207132mm Face Fix Brackets</v>
      </c>
      <c r="O1992">
        <v>20</v>
      </c>
      <c r="P1992">
        <v>45</v>
      </c>
      <c r="Q1992" s="80">
        <v>0</v>
      </c>
      <c r="R1992" s="80">
        <f t="shared" si="173"/>
        <v>25</v>
      </c>
      <c r="AD1992"/>
    </row>
    <row r="1993" spans="10:30" ht="16.2" customHeight="1">
      <c r="J1993" s="80" t="s">
        <v>725</v>
      </c>
      <c r="K1993" s="80" t="s">
        <v>144</v>
      </c>
      <c r="L1993" t="s">
        <v>184</v>
      </c>
      <c r="M1993" t="s">
        <v>7206</v>
      </c>
      <c r="N1993" t="str">
        <f t="shared" si="174"/>
        <v>SingleStreamline Hand OperationDecorator 207132mm Face Fix Brackets</v>
      </c>
      <c r="O1993">
        <v>20</v>
      </c>
      <c r="P1993">
        <v>45</v>
      </c>
      <c r="Q1993" s="80">
        <v>0</v>
      </c>
      <c r="R1993" s="80">
        <f t="shared" si="173"/>
        <v>25</v>
      </c>
      <c r="AD1993"/>
    </row>
    <row r="1994" spans="10:30" ht="16.2" customHeight="1">
      <c r="J1994" s="80" t="s">
        <v>746</v>
      </c>
      <c r="K1994" s="80" t="s">
        <v>144</v>
      </c>
      <c r="L1994" t="s">
        <v>6468</v>
      </c>
      <c r="M1994" t="s">
        <v>7206</v>
      </c>
      <c r="N1994" t="str">
        <f t="shared" si="174"/>
        <v>Double FrontStreamline Hand OperationGather Hook Bottom Pocket32mm Face Fix Brackets</v>
      </c>
      <c r="O1994">
        <v>60</v>
      </c>
      <c r="P1994">
        <v>45</v>
      </c>
      <c r="Q1994" s="80">
        <v>0</v>
      </c>
      <c r="R1994" s="80">
        <f t="shared" si="173"/>
        <v>-15</v>
      </c>
      <c r="AD1994"/>
    </row>
    <row r="1995" spans="10:30" ht="16.2" customHeight="1">
      <c r="J1995" s="80" t="s">
        <v>725</v>
      </c>
      <c r="K1995" s="80" t="s">
        <v>144</v>
      </c>
      <c r="L1995" t="s">
        <v>6468</v>
      </c>
      <c r="M1995" t="s">
        <v>7206</v>
      </c>
      <c r="N1995" t="str">
        <f t="shared" si="174"/>
        <v>SingleStreamline Hand OperationGather Hook Bottom Pocket32mm Face Fix Brackets</v>
      </c>
      <c r="O1995">
        <v>60</v>
      </c>
      <c r="P1995">
        <v>45</v>
      </c>
      <c r="Q1995" s="80">
        <v>0</v>
      </c>
      <c r="R1995" s="80">
        <f t="shared" si="173"/>
        <v>-15</v>
      </c>
      <c r="AD1995"/>
    </row>
    <row r="1996" spans="10:30" ht="16.2" customHeight="1">
      <c r="J1996" s="80" t="s">
        <v>746</v>
      </c>
      <c r="K1996" s="80" t="s">
        <v>144</v>
      </c>
      <c r="L1996" t="s">
        <v>229</v>
      </c>
      <c r="M1996" t="s">
        <v>7206</v>
      </c>
      <c r="N1996" t="str">
        <f t="shared" si="174"/>
        <v>Double FrontStreamline Hand OperationGather Hook Level32mm Face Fix Brackets</v>
      </c>
      <c r="O1996">
        <v>20</v>
      </c>
      <c r="P1996">
        <v>45</v>
      </c>
      <c r="Q1996" s="80">
        <v>0</v>
      </c>
      <c r="R1996" s="80">
        <f t="shared" si="173"/>
        <v>25</v>
      </c>
      <c r="AD1996"/>
    </row>
    <row r="1997" spans="10:30" ht="16.2" customHeight="1">
      <c r="J1997" s="80" t="s">
        <v>747</v>
      </c>
      <c r="K1997" s="80" t="s">
        <v>144</v>
      </c>
      <c r="L1997" t="s">
        <v>229</v>
      </c>
      <c r="M1997" t="s">
        <v>7206</v>
      </c>
      <c r="N1997" t="str">
        <f t="shared" si="174"/>
        <v>Double RearStreamline Hand OperationGather Hook Level32mm Face Fix Brackets</v>
      </c>
      <c r="O1997">
        <v>20</v>
      </c>
      <c r="P1997">
        <v>45</v>
      </c>
      <c r="Q1997" s="80">
        <v>0</v>
      </c>
      <c r="R1997" s="80">
        <f t="shared" si="173"/>
        <v>25</v>
      </c>
      <c r="AD1997"/>
    </row>
    <row r="1998" spans="10:30" ht="16.2" customHeight="1">
      <c r="J1998" s="80" t="s">
        <v>725</v>
      </c>
      <c r="K1998" s="80" t="s">
        <v>144</v>
      </c>
      <c r="L1998" t="s">
        <v>229</v>
      </c>
      <c r="M1998" t="s">
        <v>7206</v>
      </c>
      <c r="N1998" t="str">
        <f t="shared" si="174"/>
        <v>SingleStreamline Hand OperationGather Hook Level32mm Face Fix Brackets</v>
      </c>
      <c r="O1998">
        <v>20</v>
      </c>
      <c r="P1998">
        <v>45</v>
      </c>
      <c r="Q1998" s="80">
        <v>0</v>
      </c>
      <c r="R1998" s="80">
        <f t="shared" si="173"/>
        <v>25</v>
      </c>
      <c r="AD1998"/>
    </row>
    <row r="1999" spans="10:30" ht="16.2" customHeight="1">
      <c r="J1999" s="80" t="s">
        <v>746</v>
      </c>
      <c r="K1999" s="80" t="s">
        <v>144</v>
      </c>
      <c r="L1999" t="s">
        <v>228</v>
      </c>
      <c r="M1999" t="s">
        <v>7206</v>
      </c>
      <c r="N1999" t="str">
        <f t="shared" si="174"/>
        <v>Double FrontStreamline Hand OperationGather Hook Normal32mm Face Fix Brackets</v>
      </c>
      <c r="O1999">
        <v>43</v>
      </c>
      <c r="P1999">
        <v>45</v>
      </c>
      <c r="Q1999" s="80">
        <v>0</v>
      </c>
      <c r="R1999" s="80">
        <f t="shared" si="173"/>
        <v>2</v>
      </c>
      <c r="AD1999"/>
    </row>
    <row r="2000" spans="10:30" ht="16.2" customHeight="1">
      <c r="J2000" s="80" t="s">
        <v>747</v>
      </c>
      <c r="K2000" s="80" t="s">
        <v>144</v>
      </c>
      <c r="L2000" t="s">
        <v>228</v>
      </c>
      <c r="M2000" t="s">
        <v>7206</v>
      </c>
      <c r="N2000" t="str">
        <f t="shared" si="174"/>
        <v>Double RearStreamline Hand OperationGather Hook Normal32mm Face Fix Brackets</v>
      </c>
      <c r="O2000">
        <v>43</v>
      </c>
      <c r="P2000">
        <v>45</v>
      </c>
      <c r="Q2000" s="80">
        <v>0</v>
      </c>
      <c r="R2000" s="80">
        <f t="shared" si="173"/>
        <v>2</v>
      </c>
      <c r="AD2000"/>
    </row>
    <row r="2001" spans="10:30" ht="16.2" customHeight="1">
      <c r="J2001" s="80" t="s">
        <v>725</v>
      </c>
      <c r="K2001" s="80" t="s">
        <v>144</v>
      </c>
      <c r="L2001" t="s">
        <v>228</v>
      </c>
      <c r="M2001" t="s">
        <v>7206</v>
      </c>
      <c r="N2001" t="str">
        <f t="shared" si="174"/>
        <v>SingleStreamline Hand OperationGather Hook Normal32mm Face Fix Brackets</v>
      </c>
      <c r="O2001">
        <v>43</v>
      </c>
      <c r="P2001">
        <v>45</v>
      </c>
      <c r="Q2001" s="80">
        <v>0</v>
      </c>
      <c r="R2001" s="80">
        <f t="shared" si="173"/>
        <v>2</v>
      </c>
      <c r="AD2001"/>
    </row>
    <row r="2002" spans="10:30" ht="16.2" customHeight="1">
      <c r="J2002" s="80" t="s">
        <v>746</v>
      </c>
      <c r="K2002" s="80" t="s">
        <v>144</v>
      </c>
      <c r="L2002" t="s">
        <v>282</v>
      </c>
      <c r="M2002" t="s">
        <v>7206</v>
      </c>
      <c r="N2002" t="str">
        <f t="shared" si="174"/>
        <v>Double FrontStreamline Hand OperationLevel 207232mm Face Fix Brackets</v>
      </c>
      <c r="O2002">
        <v>38</v>
      </c>
      <c r="P2002">
        <v>45</v>
      </c>
      <c r="Q2002" s="80">
        <v>0</v>
      </c>
      <c r="R2002" s="80">
        <f t="shared" si="173"/>
        <v>7</v>
      </c>
      <c r="AD2002"/>
    </row>
    <row r="2003" spans="10:30" ht="16.2" customHeight="1">
      <c r="J2003" s="80" t="s">
        <v>747</v>
      </c>
      <c r="K2003" s="80" t="s">
        <v>144</v>
      </c>
      <c r="L2003" t="s">
        <v>282</v>
      </c>
      <c r="M2003" t="s">
        <v>7206</v>
      </c>
      <c r="N2003" t="str">
        <f t="shared" si="174"/>
        <v>Double RearStreamline Hand OperationLevel 207232mm Face Fix Brackets</v>
      </c>
      <c r="O2003">
        <v>38</v>
      </c>
      <c r="P2003">
        <v>45</v>
      </c>
      <c r="Q2003" s="80">
        <v>0</v>
      </c>
      <c r="R2003" s="80">
        <f t="shared" si="173"/>
        <v>7</v>
      </c>
      <c r="AD2003"/>
    </row>
    <row r="2004" spans="10:30" ht="16.2" customHeight="1">
      <c r="J2004" s="80" t="s">
        <v>725</v>
      </c>
      <c r="K2004" s="80" t="s">
        <v>144</v>
      </c>
      <c r="L2004" t="s">
        <v>282</v>
      </c>
      <c r="M2004" t="s">
        <v>7206</v>
      </c>
      <c r="N2004" t="str">
        <f t="shared" si="174"/>
        <v>SingleStreamline Hand OperationLevel 207232mm Face Fix Brackets</v>
      </c>
      <c r="O2004">
        <v>38</v>
      </c>
      <c r="P2004">
        <v>45</v>
      </c>
      <c r="Q2004" s="80">
        <v>0</v>
      </c>
      <c r="R2004" s="80">
        <f t="shared" si="173"/>
        <v>7</v>
      </c>
      <c r="AD2004"/>
    </row>
    <row r="2005" spans="10:30" ht="16.2" customHeight="1">
      <c r="J2005" s="80" t="s">
        <v>746</v>
      </c>
      <c r="K2005" s="80" t="s">
        <v>144</v>
      </c>
      <c r="L2005" t="s">
        <v>170</v>
      </c>
      <c r="M2005" t="s">
        <v>7206</v>
      </c>
      <c r="N2005" t="str">
        <f t="shared" si="174"/>
        <v>Double FrontStreamline Hand OperationNormal 207432mm Face Fix Brackets</v>
      </c>
      <c r="O2005">
        <v>60</v>
      </c>
      <c r="P2005">
        <v>45</v>
      </c>
      <c r="Q2005" s="80">
        <v>0</v>
      </c>
      <c r="R2005" s="80">
        <f t="shared" si="173"/>
        <v>-15</v>
      </c>
      <c r="AD2005"/>
    </row>
    <row r="2006" spans="10:30" ht="16.2" customHeight="1">
      <c r="J2006" s="80" t="s">
        <v>747</v>
      </c>
      <c r="K2006" s="80" t="s">
        <v>144</v>
      </c>
      <c r="L2006" t="s">
        <v>170</v>
      </c>
      <c r="M2006" t="s">
        <v>7206</v>
      </c>
      <c r="N2006" t="str">
        <f t="shared" si="174"/>
        <v>Double RearStreamline Hand OperationNormal 207432mm Face Fix Brackets</v>
      </c>
      <c r="O2006">
        <v>60</v>
      </c>
      <c r="P2006">
        <v>45</v>
      </c>
      <c r="Q2006" s="80">
        <v>0</v>
      </c>
      <c r="R2006" s="80">
        <f t="shared" si="173"/>
        <v>-15</v>
      </c>
      <c r="AD2006"/>
    </row>
    <row r="2007" spans="10:30" ht="16.2" customHeight="1">
      <c r="J2007" s="80" t="s">
        <v>725</v>
      </c>
      <c r="K2007" s="80" t="s">
        <v>144</v>
      </c>
      <c r="L2007" t="s">
        <v>170</v>
      </c>
      <c r="M2007" t="s">
        <v>7206</v>
      </c>
      <c r="N2007" t="str">
        <f t="shared" si="174"/>
        <v>SingleStreamline Hand OperationNormal 207432mm Face Fix Brackets</v>
      </c>
      <c r="O2007">
        <v>60</v>
      </c>
      <c r="P2007">
        <v>45</v>
      </c>
      <c r="Q2007" s="80">
        <v>0</v>
      </c>
      <c r="R2007" s="80">
        <f t="shared" si="173"/>
        <v>-15</v>
      </c>
      <c r="AD2007"/>
    </row>
    <row r="2008" spans="10:30" ht="16.2" customHeight="1">
      <c r="J2008" s="80" t="s">
        <v>746</v>
      </c>
      <c r="K2008" s="80" t="s">
        <v>144</v>
      </c>
      <c r="L2008" t="s">
        <v>183</v>
      </c>
      <c r="M2008" t="s">
        <v>162</v>
      </c>
      <c r="N2008" t="str">
        <f t="shared" si="174"/>
        <v>Double FrontStreamline Hand OperationBelow Normal 2075Double Face Fix Brackets</v>
      </c>
      <c r="O2008">
        <v>70</v>
      </c>
      <c r="P2008">
        <v>45</v>
      </c>
      <c r="Q2008" s="80">
        <v>0</v>
      </c>
      <c r="R2008" s="80">
        <f t="shared" si="173"/>
        <v>-25</v>
      </c>
      <c r="AD2008"/>
    </row>
    <row r="2009" spans="10:30" ht="16.2" customHeight="1">
      <c r="J2009" s="80" t="s">
        <v>747</v>
      </c>
      <c r="K2009" s="80" t="s">
        <v>144</v>
      </c>
      <c r="L2009" t="s">
        <v>183</v>
      </c>
      <c r="M2009" t="s">
        <v>162</v>
      </c>
      <c r="N2009" t="str">
        <f t="shared" si="174"/>
        <v>Double RearStreamline Hand OperationBelow Normal 2075Double Face Fix Brackets</v>
      </c>
      <c r="O2009">
        <v>70</v>
      </c>
      <c r="P2009">
        <v>45</v>
      </c>
      <c r="Q2009" s="80">
        <v>0</v>
      </c>
      <c r="R2009" s="80">
        <f t="shared" si="173"/>
        <v>-25</v>
      </c>
      <c r="AD2009"/>
    </row>
    <row r="2010" spans="10:30" ht="16.2" customHeight="1">
      <c r="J2010" s="80" t="s">
        <v>725</v>
      </c>
      <c r="K2010" s="80" t="s">
        <v>144</v>
      </c>
      <c r="L2010" t="s">
        <v>183</v>
      </c>
      <c r="M2010" t="s">
        <v>162</v>
      </c>
      <c r="N2010" t="str">
        <f t="shared" si="174"/>
        <v>SingleStreamline Hand OperationBelow Normal 2075Double Face Fix Brackets</v>
      </c>
      <c r="O2010">
        <v>70</v>
      </c>
      <c r="P2010">
        <v>45</v>
      </c>
      <c r="Q2010" s="80">
        <v>0</v>
      </c>
      <c r="R2010" s="80">
        <f t="shared" si="173"/>
        <v>-25</v>
      </c>
      <c r="AD2010"/>
    </row>
    <row r="2011" spans="10:30" ht="16.2" customHeight="1">
      <c r="J2011" s="80" t="s">
        <v>746</v>
      </c>
      <c r="K2011" s="80" t="s">
        <v>144</v>
      </c>
      <c r="L2011" t="s">
        <v>182</v>
      </c>
      <c r="M2011" t="s">
        <v>162</v>
      </c>
      <c r="N2011" t="str">
        <f t="shared" si="174"/>
        <v>Double FrontStreamline Hand OperationBetween Level and Normal 2073Double Face Fix Brackets</v>
      </c>
      <c r="O2011">
        <v>48</v>
      </c>
      <c r="P2011">
        <v>45</v>
      </c>
      <c r="Q2011" s="80">
        <v>0</v>
      </c>
      <c r="R2011" s="80">
        <f t="shared" si="173"/>
        <v>-3</v>
      </c>
      <c r="AD2011"/>
    </row>
    <row r="2012" spans="10:30" ht="16.2" customHeight="1">
      <c r="J2012" s="80" t="s">
        <v>747</v>
      </c>
      <c r="K2012" s="80" t="s">
        <v>144</v>
      </c>
      <c r="L2012" t="s">
        <v>182</v>
      </c>
      <c r="M2012" t="s">
        <v>162</v>
      </c>
      <c r="N2012" t="str">
        <f t="shared" si="174"/>
        <v>Double RearStreamline Hand OperationBetween Level and Normal 2073Double Face Fix Brackets</v>
      </c>
      <c r="O2012">
        <v>48</v>
      </c>
      <c r="P2012">
        <v>45</v>
      </c>
      <c r="Q2012" s="80">
        <v>0</v>
      </c>
      <c r="R2012" s="80">
        <f t="shared" si="173"/>
        <v>-3</v>
      </c>
      <c r="AD2012"/>
    </row>
    <row r="2013" spans="10:30" ht="16.2" customHeight="1">
      <c r="J2013" s="80" t="s">
        <v>725</v>
      </c>
      <c r="K2013" s="80" t="s">
        <v>144</v>
      </c>
      <c r="L2013" t="s">
        <v>182</v>
      </c>
      <c r="M2013" t="s">
        <v>162</v>
      </c>
      <c r="N2013" t="str">
        <f t="shared" si="174"/>
        <v>SingleStreamline Hand OperationBetween Level and Normal 2073Double Face Fix Brackets</v>
      </c>
      <c r="O2013">
        <v>48</v>
      </c>
      <c r="P2013">
        <v>45</v>
      </c>
      <c r="Q2013" s="80">
        <v>0</v>
      </c>
      <c r="R2013" s="80">
        <f t="shared" si="173"/>
        <v>-3</v>
      </c>
      <c r="AD2013"/>
    </row>
    <row r="2014" spans="10:30" ht="16.2" customHeight="1">
      <c r="J2014" s="80" t="s">
        <v>746</v>
      </c>
      <c r="K2014" s="80" t="s">
        <v>144</v>
      </c>
      <c r="L2014" t="s">
        <v>184</v>
      </c>
      <c r="M2014" t="s">
        <v>162</v>
      </c>
      <c r="N2014" t="str">
        <f t="shared" si="174"/>
        <v>Double FrontStreamline Hand OperationDecorator 2071Double Face Fix Brackets</v>
      </c>
      <c r="O2014">
        <v>20</v>
      </c>
      <c r="P2014">
        <v>45</v>
      </c>
      <c r="Q2014" s="80">
        <v>0</v>
      </c>
      <c r="R2014" s="80">
        <f t="shared" si="173"/>
        <v>25</v>
      </c>
      <c r="AD2014"/>
    </row>
    <row r="2015" spans="10:30" ht="16.2" customHeight="1">
      <c r="J2015" s="80" t="s">
        <v>747</v>
      </c>
      <c r="K2015" s="80" t="s">
        <v>144</v>
      </c>
      <c r="L2015" t="s">
        <v>184</v>
      </c>
      <c r="M2015" t="s">
        <v>162</v>
      </c>
      <c r="N2015" t="str">
        <f t="shared" si="174"/>
        <v>Double RearStreamline Hand OperationDecorator 2071Double Face Fix Brackets</v>
      </c>
      <c r="O2015">
        <v>20</v>
      </c>
      <c r="P2015">
        <v>45</v>
      </c>
      <c r="Q2015" s="80">
        <v>0</v>
      </c>
      <c r="R2015" s="80">
        <f t="shared" si="175" ref="R2015:R2078">SUM(P2015)-O2015</f>
        <v>25</v>
      </c>
      <c r="AD2015"/>
    </row>
    <row r="2016" spans="10:30" ht="16.2" customHeight="1">
      <c r="J2016" s="80" t="s">
        <v>725</v>
      </c>
      <c r="K2016" s="80" t="s">
        <v>144</v>
      </c>
      <c r="L2016" t="s">
        <v>184</v>
      </c>
      <c r="M2016" t="s">
        <v>162</v>
      </c>
      <c r="N2016" t="str">
        <f t="shared" si="174"/>
        <v>SingleStreamline Hand OperationDecorator 2071Double Face Fix Brackets</v>
      </c>
      <c r="O2016">
        <v>20</v>
      </c>
      <c r="P2016">
        <v>45</v>
      </c>
      <c r="Q2016" s="80">
        <v>0</v>
      </c>
      <c r="R2016" s="80">
        <f t="shared" si="175"/>
        <v>25</v>
      </c>
      <c r="AD2016"/>
    </row>
    <row r="2017" spans="10:30" ht="16.2" customHeight="1">
      <c r="J2017" s="80" t="s">
        <v>746</v>
      </c>
      <c r="K2017" s="80" t="s">
        <v>144</v>
      </c>
      <c r="L2017" t="s">
        <v>6468</v>
      </c>
      <c r="M2017" t="s">
        <v>162</v>
      </c>
      <c r="N2017" t="str">
        <f t="shared" si="174"/>
        <v>Double FrontStreamline Hand OperationGather Hook Bottom PocketDouble Face Fix Brackets</v>
      </c>
      <c r="O2017">
        <v>60</v>
      </c>
      <c r="P2017">
        <v>45</v>
      </c>
      <c r="Q2017" s="80">
        <v>0</v>
      </c>
      <c r="R2017" s="80">
        <f t="shared" si="175"/>
        <v>-15</v>
      </c>
      <c r="AD2017"/>
    </row>
    <row r="2018" spans="10:30" ht="16.2" customHeight="1">
      <c r="J2018" s="80" t="s">
        <v>725</v>
      </c>
      <c r="K2018" s="80" t="s">
        <v>144</v>
      </c>
      <c r="L2018" t="s">
        <v>6468</v>
      </c>
      <c r="M2018" t="s">
        <v>162</v>
      </c>
      <c r="N2018" t="str">
        <f t="shared" si="174"/>
        <v>SingleStreamline Hand OperationGather Hook Bottom PocketDouble Face Fix Brackets</v>
      </c>
      <c r="O2018">
        <v>60</v>
      </c>
      <c r="P2018">
        <v>45</v>
      </c>
      <c r="Q2018" s="80">
        <v>0</v>
      </c>
      <c r="R2018" s="80">
        <f t="shared" si="175"/>
        <v>-15</v>
      </c>
      <c r="AD2018"/>
    </row>
    <row r="2019" spans="10:30" ht="16.2" customHeight="1">
      <c r="J2019" s="80" t="s">
        <v>746</v>
      </c>
      <c r="K2019" s="80" t="s">
        <v>144</v>
      </c>
      <c r="L2019" t="s">
        <v>229</v>
      </c>
      <c r="M2019" t="s">
        <v>162</v>
      </c>
      <c r="N2019" t="str">
        <f t="shared" si="174"/>
        <v>Double FrontStreamline Hand OperationGather Hook LevelDouble Face Fix Brackets</v>
      </c>
      <c r="O2019">
        <v>20</v>
      </c>
      <c r="P2019">
        <v>45</v>
      </c>
      <c r="Q2019" s="80">
        <v>0</v>
      </c>
      <c r="R2019" s="80">
        <f t="shared" si="175"/>
        <v>25</v>
      </c>
      <c r="AD2019"/>
    </row>
    <row r="2020" spans="10:30" ht="16.2" customHeight="1">
      <c r="J2020" s="80" t="s">
        <v>747</v>
      </c>
      <c r="K2020" s="80" t="s">
        <v>144</v>
      </c>
      <c r="L2020" t="s">
        <v>229</v>
      </c>
      <c r="M2020" t="s">
        <v>162</v>
      </c>
      <c r="N2020" t="str">
        <f t="shared" si="174"/>
        <v>Double RearStreamline Hand OperationGather Hook LevelDouble Face Fix Brackets</v>
      </c>
      <c r="O2020">
        <v>20</v>
      </c>
      <c r="P2020">
        <v>45</v>
      </c>
      <c r="Q2020" s="80">
        <v>0</v>
      </c>
      <c r="R2020" s="80">
        <f t="shared" si="175"/>
        <v>25</v>
      </c>
      <c r="AD2020"/>
    </row>
    <row r="2021" spans="10:30" ht="16.2" customHeight="1">
      <c r="J2021" s="80" t="s">
        <v>725</v>
      </c>
      <c r="K2021" s="80" t="s">
        <v>144</v>
      </c>
      <c r="L2021" t="s">
        <v>229</v>
      </c>
      <c r="M2021" t="s">
        <v>162</v>
      </c>
      <c r="N2021" t="str">
        <f t="shared" si="174"/>
        <v>SingleStreamline Hand OperationGather Hook LevelDouble Face Fix Brackets</v>
      </c>
      <c r="O2021">
        <v>20</v>
      </c>
      <c r="P2021">
        <v>45</v>
      </c>
      <c r="Q2021" s="80">
        <v>0</v>
      </c>
      <c r="R2021" s="80">
        <f t="shared" si="175"/>
        <v>25</v>
      </c>
      <c r="AD2021"/>
    </row>
    <row r="2022" spans="10:30" ht="16.2" customHeight="1">
      <c r="J2022" s="80" t="s">
        <v>746</v>
      </c>
      <c r="K2022" s="80" t="s">
        <v>144</v>
      </c>
      <c r="L2022" t="s">
        <v>228</v>
      </c>
      <c r="M2022" t="s">
        <v>162</v>
      </c>
      <c r="N2022" t="str">
        <f t="shared" si="174"/>
        <v>Double FrontStreamline Hand OperationGather Hook NormalDouble Face Fix Brackets</v>
      </c>
      <c r="O2022">
        <v>43</v>
      </c>
      <c r="P2022">
        <v>45</v>
      </c>
      <c r="Q2022" s="80">
        <v>0</v>
      </c>
      <c r="R2022" s="80">
        <f t="shared" si="175"/>
        <v>2</v>
      </c>
      <c r="AD2022"/>
    </row>
    <row r="2023" spans="10:30" ht="16.2" customHeight="1">
      <c r="J2023" s="80" t="s">
        <v>747</v>
      </c>
      <c r="K2023" s="80" t="s">
        <v>144</v>
      </c>
      <c r="L2023" t="s">
        <v>228</v>
      </c>
      <c r="M2023" t="s">
        <v>162</v>
      </c>
      <c r="N2023" t="str">
        <f t="shared" si="174"/>
        <v>Double RearStreamline Hand OperationGather Hook NormalDouble Face Fix Brackets</v>
      </c>
      <c r="O2023">
        <v>43</v>
      </c>
      <c r="P2023">
        <v>45</v>
      </c>
      <c r="Q2023" s="80">
        <v>0</v>
      </c>
      <c r="R2023" s="80">
        <f t="shared" si="175"/>
        <v>2</v>
      </c>
      <c r="AD2023"/>
    </row>
    <row r="2024" spans="10:30" ht="16.2" customHeight="1">
      <c r="J2024" s="80" t="s">
        <v>725</v>
      </c>
      <c r="K2024" s="80" t="s">
        <v>144</v>
      </c>
      <c r="L2024" t="s">
        <v>228</v>
      </c>
      <c r="M2024" t="s">
        <v>162</v>
      </c>
      <c r="N2024" t="str">
        <f t="shared" si="174"/>
        <v>SingleStreamline Hand OperationGather Hook NormalDouble Face Fix Brackets</v>
      </c>
      <c r="O2024">
        <v>43</v>
      </c>
      <c r="P2024">
        <v>45</v>
      </c>
      <c r="Q2024" s="80">
        <v>0</v>
      </c>
      <c r="R2024" s="80">
        <f t="shared" si="175"/>
        <v>2</v>
      </c>
      <c r="AD2024"/>
    </row>
    <row r="2025" spans="10:30" ht="16.2" customHeight="1">
      <c r="J2025" s="80" t="s">
        <v>746</v>
      </c>
      <c r="K2025" s="80" t="s">
        <v>144</v>
      </c>
      <c r="L2025" t="s">
        <v>282</v>
      </c>
      <c r="M2025" t="s">
        <v>162</v>
      </c>
      <c r="N2025" t="str">
        <f t="shared" si="174"/>
        <v>Double FrontStreamline Hand OperationLevel 2072Double Face Fix Brackets</v>
      </c>
      <c r="O2025">
        <v>38</v>
      </c>
      <c r="P2025">
        <v>45</v>
      </c>
      <c r="Q2025" s="80">
        <v>0</v>
      </c>
      <c r="R2025" s="80">
        <f t="shared" si="175"/>
        <v>7</v>
      </c>
      <c r="AD2025"/>
    </row>
    <row r="2026" spans="10:30" ht="16.2" customHeight="1">
      <c r="J2026" s="80" t="s">
        <v>747</v>
      </c>
      <c r="K2026" s="80" t="s">
        <v>144</v>
      </c>
      <c r="L2026" t="s">
        <v>282</v>
      </c>
      <c r="M2026" t="s">
        <v>162</v>
      </c>
      <c r="N2026" t="str">
        <f t="shared" si="174"/>
        <v>Double RearStreamline Hand OperationLevel 2072Double Face Fix Brackets</v>
      </c>
      <c r="O2026">
        <v>38</v>
      </c>
      <c r="P2026">
        <v>45</v>
      </c>
      <c r="Q2026" s="80">
        <v>0</v>
      </c>
      <c r="R2026" s="80">
        <f t="shared" si="175"/>
        <v>7</v>
      </c>
      <c r="AD2026"/>
    </row>
    <row r="2027" spans="10:30" ht="16.2" customHeight="1">
      <c r="J2027" s="80" t="s">
        <v>725</v>
      </c>
      <c r="K2027" s="80" t="s">
        <v>144</v>
      </c>
      <c r="L2027" t="s">
        <v>282</v>
      </c>
      <c r="M2027" t="s">
        <v>162</v>
      </c>
      <c r="N2027" t="str">
        <f t="shared" si="174"/>
        <v>SingleStreamline Hand OperationLevel 2072Double Face Fix Brackets</v>
      </c>
      <c r="O2027">
        <v>38</v>
      </c>
      <c r="P2027">
        <v>45</v>
      </c>
      <c r="Q2027" s="80">
        <v>0</v>
      </c>
      <c r="R2027" s="80">
        <f t="shared" si="175"/>
        <v>7</v>
      </c>
      <c r="AD2027"/>
    </row>
    <row r="2028" spans="10:30" ht="16.2" customHeight="1">
      <c r="J2028" s="80" t="s">
        <v>746</v>
      </c>
      <c r="K2028" s="80" t="s">
        <v>144</v>
      </c>
      <c r="L2028" t="s">
        <v>170</v>
      </c>
      <c r="M2028" t="s">
        <v>162</v>
      </c>
      <c r="N2028" t="str">
        <f t="shared" si="174"/>
        <v>Double FrontStreamline Hand OperationNormal 2074Double Face Fix Brackets</v>
      </c>
      <c r="O2028">
        <v>60</v>
      </c>
      <c r="P2028">
        <v>45</v>
      </c>
      <c r="Q2028" s="80">
        <v>0</v>
      </c>
      <c r="R2028" s="80">
        <f t="shared" si="175"/>
        <v>-15</v>
      </c>
      <c r="AD2028"/>
    </row>
    <row r="2029" spans="10:30" ht="16.2" customHeight="1">
      <c r="J2029" s="80" t="s">
        <v>747</v>
      </c>
      <c r="K2029" s="80" t="s">
        <v>144</v>
      </c>
      <c r="L2029" t="s">
        <v>170</v>
      </c>
      <c r="M2029" t="s">
        <v>162</v>
      </c>
      <c r="N2029" t="str">
        <f t="shared" si="174"/>
        <v>Double RearStreamline Hand OperationNormal 2074Double Face Fix Brackets</v>
      </c>
      <c r="O2029">
        <v>60</v>
      </c>
      <c r="P2029">
        <v>45</v>
      </c>
      <c r="Q2029" s="80">
        <v>0</v>
      </c>
      <c r="R2029" s="80">
        <f t="shared" si="175"/>
        <v>-15</v>
      </c>
      <c r="AD2029"/>
    </row>
    <row r="2030" spans="10:30" ht="16.2" customHeight="1">
      <c r="J2030" s="80" t="s">
        <v>725</v>
      </c>
      <c r="K2030" s="80" t="s">
        <v>144</v>
      </c>
      <c r="L2030" t="s">
        <v>170</v>
      </c>
      <c r="M2030" t="s">
        <v>162</v>
      </c>
      <c r="N2030" t="str">
        <f t="shared" si="174"/>
        <v>SingleStreamline Hand OperationNormal 2074Double Face Fix Brackets</v>
      </c>
      <c r="O2030">
        <v>60</v>
      </c>
      <c r="P2030">
        <v>45</v>
      </c>
      <c r="Q2030" s="80">
        <v>0</v>
      </c>
      <c r="R2030" s="80">
        <f t="shared" si="175"/>
        <v>-15</v>
      </c>
      <c r="AD2030"/>
    </row>
    <row r="2031" spans="10:30" ht="16.2" customHeight="1">
      <c r="J2031" s="80" t="s">
        <v>746</v>
      </c>
      <c r="K2031" s="80" t="s">
        <v>144</v>
      </c>
      <c r="L2031" t="s">
        <v>183</v>
      </c>
      <c r="M2031" s="80" t="s">
        <v>557</v>
      </c>
      <c r="N2031" t="str">
        <f t="shared" si="174"/>
        <v>Double FrontStreamline Hand OperationBelow Normal 2075Metal Top Fix Brackets</v>
      </c>
      <c r="O2031">
        <v>70</v>
      </c>
      <c r="P2031">
        <v>45</v>
      </c>
      <c r="Q2031" s="80">
        <v>0</v>
      </c>
      <c r="R2031" s="80">
        <f t="shared" si="175"/>
        <v>-25</v>
      </c>
      <c r="AD2031"/>
    </row>
    <row r="2032" spans="10:30" ht="16.2" customHeight="1">
      <c r="J2032" s="80" t="s">
        <v>747</v>
      </c>
      <c r="K2032" s="80" t="s">
        <v>144</v>
      </c>
      <c r="L2032" t="s">
        <v>183</v>
      </c>
      <c r="M2032" s="80" t="s">
        <v>557</v>
      </c>
      <c r="N2032" t="str">
        <f t="shared" si="174"/>
        <v>Double RearStreamline Hand OperationBelow Normal 2075Metal Top Fix Brackets</v>
      </c>
      <c r="O2032">
        <v>70</v>
      </c>
      <c r="P2032">
        <v>45</v>
      </c>
      <c r="Q2032" s="80">
        <v>0</v>
      </c>
      <c r="R2032" s="80">
        <f t="shared" si="175"/>
        <v>-25</v>
      </c>
      <c r="AD2032"/>
    </row>
    <row r="2033" spans="10:30" ht="16.2" customHeight="1">
      <c r="J2033" s="80" t="s">
        <v>725</v>
      </c>
      <c r="K2033" s="80" t="s">
        <v>144</v>
      </c>
      <c r="L2033" t="s">
        <v>183</v>
      </c>
      <c r="M2033" s="80" t="s">
        <v>557</v>
      </c>
      <c r="N2033" t="str">
        <f t="shared" si="174"/>
        <v>SingleStreamline Hand OperationBelow Normal 2075Metal Top Fix Brackets</v>
      </c>
      <c r="O2033">
        <v>70</v>
      </c>
      <c r="P2033">
        <v>45</v>
      </c>
      <c r="Q2033" s="80">
        <v>0</v>
      </c>
      <c r="R2033" s="80">
        <f t="shared" si="175"/>
        <v>-25</v>
      </c>
      <c r="AD2033"/>
    </row>
    <row r="2034" spans="10:30" ht="16.2" customHeight="1">
      <c r="J2034" s="80" t="s">
        <v>746</v>
      </c>
      <c r="K2034" s="80" t="s">
        <v>144</v>
      </c>
      <c r="L2034" t="s">
        <v>182</v>
      </c>
      <c r="M2034" s="80" t="s">
        <v>557</v>
      </c>
      <c r="N2034" t="str">
        <f t="shared" si="174"/>
        <v>Double FrontStreamline Hand OperationBetween Level and Normal 2073Metal Top Fix Brackets</v>
      </c>
      <c r="O2034">
        <v>48</v>
      </c>
      <c r="P2034">
        <v>45</v>
      </c>
      <c r="Q2034" s="80">
        <v>0</v>
      </c>
      <c r="R2034" s="80">
        <f t="shared" si="175"/>
        <v>-3</v>
      </c>
      <c r="AD2034"/>
    </row>
    <row r="2035" spans="10:30" ht="16.2" customHeight="1">
      <c r="J2035" s="80" t="s">
        <v>747</v>
      </c>
      <c r="K2035" s="80" t="s">
        <v>144</v>
      </c>
      <c r="L2035" t="s">
        <v>182</v>
      </c>
      <c r="M2035" s="80" t="s">
        <v>557</v>
      </c>
      <c r="N2035" t="str">
        <f t="shared" si="174"/>
        <v>Double RearStreamline Hand OperationBetween Level and Normal 2073Metal Top Fix Brackets</v>
      </c>
      <c r="O2035">
        <v>48</v>
      </c>
      <c r="P2035">
        <v>45</v>
      </c>
      <c r="Q2035" s="80">
        <v>0</v>
      </c>
      <c r="R2035" s="80">
        <f t="shared" si="175"/>
        <v>-3</v>
      </c>
      <c r="AD2035"/>
    </row>
    <row r="2036" spans="10:30" ht="16.2" customHeight="1">
      <c r="J2036" s="80" t="s">
        <v>725</v>
      </c>
      <c r="K2036" s="80" t="s">
        <v>144</v>
      </c>
      <c r="L2036" t="s">
        <v>182</v>
      </c>
      <c r="M2036" s="80" t="s">
        <v>557</v>
      </c>
      <c r="N2036" t="str">
        <f t="shared" si="174"/>
        <v>SingleStreamline Hand OperationBetween Level and Normal 2073Metal Top Fix Brackets</v>
      </c>
      <c r="O2036">
        <v>47</v>
      </c>
      <c r="P2036">
        <v>45</v>
      </c>
      <c r="Q2036" s="80">
        <v>0</v>
      </c>
      <c r="R2036" s="80">
        <f t="shared" si="175"/>
        <v>-2</v>
      </c>
      <c r="AD2036"/>
    </row>
    <row r="2037" spans="10:30" ht="16.2" customHeight="1">
      <c r="J2037" s="80" t="s">
        <v>746</v>
      </c>
      <c r="K2037" s="80" t="s">
        <v>144</v>
      </c>
      <c r="L2037" t="s">
        <v>184</v>
      </c>
      <c r="M2037" s="80" t="s">
        <v>557</v>
      </c>
      <c r="N2037" t="str">
        <f t="shared" si="174"/>
        <v>Double FrontStreamline Hand OperationDecorator 2071Metal Top Fix Brackets</v>
      </c>
      <c r="O2037">
        <v>20</v>
      </c>
      <c r="P2037">
        <v>45</v>
      </c>
      <c r="Q2037" s="80">
        <v>0</v>
      </c>
      <c r="R2037" s="80">
        <f t="shared" si="175"/>
        <v>25</v>
      </c>
      <c r="AD2037"/>
    </row>
    <row r="2038" spans="10:30" ht="16.2" customHeight="1">
      <c r="J2038" s="80" t="s">
        <v>747</v>
      </c>
      <c r="K2038" s="80" t="s">
        <v>144</v>
      </c>
      <c r="L2038" t="s">
        <v>184</v>
      </c>
      <c r="M2038" s="80" t="s">
        <v>557</v>
      </c>
      <c r="N2038" t="str">
        <f t="shared" si="174"/>
        <v>Double RearStreamline Hand OperationDecorator 2071Metal Top Fix Brackets</v>
      </c>
      <c r="O2038">
        <v>20</v>
      </c>
      <c r="P2038">
        <v>45</v>
      </c>
      <c r="Q2038" s="80">
        <v>0</v>
      </c>
      <c r="R2038" s="80">
        <f t="shared" si="175"/>
        <v>25</v>
      </c>
      <c r="AD2038"/>
    </row>
    <row r="2039" spans="10:30" ht="16.2" customHeight="1">
      <c r="J2039" s="80" t="s">
        <v>725</v>
      </c>
      <c r="K2039" s="80" t="s">
        <v>144</v>
      </c>
      <c r="L2039" t="s">
        <v>184</v>
      </c>
      <c r="M2039" s="80" t="s">
        <v>557</v>
      </c>
      <c r="N2039" t="str">
        <f t="shared" si="174"/>
        <v>SingleStreamline Hand OperationDecorator 2071Metal Top Fix Brackets</v>
      </c>
      <c r="O2039">
        <v>20</v>
      </c>
      <c r="P2039">
        <v>45</v>
      </c>
      <c r="Q2039" s="80">
        <v>0</v>
      </c>
      <c r="R2039" s="80">
        <f t="shared" si="175"/>
        <v>25</v>
      </c>
      <c r="AD2039"/>
    </row>
    <row r="2040" spans="10:30" ht="16.2" customHeight="1">
      <c r="J2040" s="80" t="s">
        <v>746</v>
      </c>
      <c r="K2040" s="80" t="s">
        <v>144</v>
      </c>
      <c r="L2040" t="s">
        <v>6468</v>
      </c>
      <c r="M2040" s="80" t="s">
        <v>557</v>
      </c>
      <c r="N2040" t="str">
        <f t="shared" si="174"/>
        <v>Double FrontStreamline Hand OperationGather Hook Bottom PocketMetal Top Fix Brackets</v>
      </c>
      <c r="O2040">
        <v>60</v>
      </c>
      <c r="P2040">
        <v>45</v>
      </c>
      <c r="Q2040" s="80">
        <v>0</v>
      </c>
      <c r="R2040" s="80">
        <f t="shared" si="175"/>
        <v>-15</v>
      </c>
      <c r="AD2040"/>
    </row>
    <row r="2041" spans="10:30" ht="16.2" customHeight="1">
      <c r="J2041" s="80" t="s">
        <v>725</v>
      </c>
      <c r="K2041" s="80" t="s">
        <v>144</v>
      </c>
      <c r="L2041" t="s">
        <v>6468</v>
      </c>
      <c r="M2041" s="80" t="s">
        <v>557</v>
      </c>
      <c r="N2041" t="str">
        <f t="shared" si="174"/>
        <v>SingleStreamline Hand OperationGather Hook Bottom PocketMetal Top Fix Brackets</v>
      </c>
      <c r="O2041">
        <v>60</v>
      </c>
      <c r="P2041">
        <v>45</v>
      </c>
      <c r="Q2041" s="80">
        <v>0</v>
      </c>
      <c r="R2041" s="80">
        <f t="shared" si="175"/>
        <v>-15</v>
      </c>
      <c r="AD2041"/>
    </row>
    <row r="2042" spans="10:30" ht="16.2" customHeight="1">
      <c r="J2042" s="80" t="s">
        <v>746</v>
      </c>
      <c r="K2042" s="80" t="s">
        <v>144</v>
      </c>
      <c r="L2042" t="s">
        <v>229</v>
      </c>
      <c r="M2042" s="80" t="s">
        <v>557</v>
      </c>
      <c r="N2042" t="str">
        <f t="shared" si="174"/>
        <v>Double FrontStreamline Hand OperationGather Hook LevelMetal Top Fix Brackets</v>
      </c>
      <c r="O2042">
        <v>20</v>
      </c>
      <c r="P2042">
        <v>45</v>
      </c>
      <c r="Q2042" s="80">
        <v>0</v>
      </c>
      <c r="R2042" s="80">
        <f t="shared" si="175"/>
        <v>25</v>
      </c>
      <c r="AD2042"/>
    </row>
    <row r="2043" spans="10:30" ht="16.2" customHeight="1">
      <c r="J2043" s="80" t="s">
        <v>747</v>
      </c>
      <c r="K2043" s="80" t="s">
        <v>144</v>
      </c>
      <c r="L2043" t="s">
        <v>229</v>
      </c>
      <c r="M2043" s="80" t="s">
        <v>557</v>
      </c>
      <c r="N2043" t="str">
        <f t="shared" si="174"/>
        <v>Double RearStreamline Hand OperationGather Hook LevelMetal Top Fix Brackets</v>
      </c>
      <c r="O2043">
        <v>20</v>
      </c>
      <c r="P2043">
        <v>45</v>
      </c>
      <c r="Q2043" s="80">
        <v>0</v>
      </c>
      <c r="R2043" s="80">
        <f t="shared" si="175"/>
        <v>25</v>
      </c>
      <c r="AD2043"/>
    </row>
    <row r="2044" spans="10:30" ht="16.2" customHeight="1">
      <c r="J2044" s="80" t="s">
        <v>725</v>
      </c>
      <c r="K2044" s="80" t="s">
        <v>144</v>
      </c>
      <c r="L2044" t="s">
        <v>229</v>
      </c>
      <c r="M2044" s="80" t="s">
        <v>557</v>
      </c>
      <c r="N2044" t="str">
        <f t="shared" si="174"/>
        <v>SingleStreamline Hand OperationGather Hook LevelMetal Top Fix Brackets</v>
      </c>
      <c r="O2044">
        <v>20</v>
      </c>
      <c r="P2044">
        <v>45</v>
      </c>
      <c r="Q2044" s="80">
        <v>0</v>
      </c>
      <c r="R2044" s="80">
        <f t="shared" si="175"/>
        <v>25</v>
      </c>
      <c r="AD2044"/>
    </row>
    <row r="2045" spans="10:30" ht="16.2" customHeight="1">
      <c r="J2045" s="80" t="s">
        <v>746</v>
      </c>
      <c r="K2045" s="80" t="s">
        <v>144</v>
      </c>
      <c r="L2045" t="s">
        <v>228</v>
      </c>
      <c r="M2045" s="80" t="s">
        <v>557</v>
      </c>
      <c r="N2045" t="str">
        <f t="shared" si="174"/>
        <v>Double FrontStreamline Hand OperationGather Hook NormalMetal Top Fix Brackets</v>
      </c>
      <c r="O2045">
        <v>43</v>
      </c>
      <c r="P2045">
        <v>45</v>
      </c>
      <c r="Q2045" s="80">
        <v>0</v>
      </c>
      <c r="R2045" s="80">
        <f t="shared" si="175"/>
        <v>2</v>
      </c>
      <c r="AD2045"/>
    </row>
    <row r="2046" spans="10:30" ht="16.2" customHeight="1">
      <c r="J2046" s="80" t="s">
        <v>747</v>
      </c>
      <c r="K2046" s="80" t="s">
        <v>144</v>
      </c>
      <c r="L2046" t="s">
        <v>228</v>
      </c>
      <c r="M2046" s="80" t="s">
        <v>557</v>
      </c>
      <c r="N2046" t="str">
        <f t="shared" si="174"/>
        <v>Double RearStreamline Hand OperationGather Hook NormalMetal Top Fix Brackets</v>
      </c>
      <c r="O2046">
        <v>43</v>
      </c>
      <c r="P2046">
        <v>45</v>
      </c>
      <c r="Q2046" s="80">
        <v>0</v>
      </c>
      <c r="R2046" s="80">
        <f t="shared" si="175"/>
        <v>2</v>
      </c>
      <c r="AD2046"/>
    </row>
    <row r="2047" spans="10:30" ht="16.2" customHeight="1">
      <c r="J2047" s="80" t="s">
        <v>725</v>
      </c>
      <c r="K2047" s="80" t="s">
        <v>144</v>
      </c>
      <c r="L2047" t="s">
        <v>228</v>
      </c>
      <c r="M2047" s="80" t="s">
        <v>557</v>
      </c>
      <c r="N2047" t="str">
        <f t="shared" si="174"/>
        <v>SingleStreamline Hand OperationGather Hook NormalMetal Top Fix Brackets</v>
      </c>
      <c r="O2047">
        <v>43</v>
      </c>
      <c r="P2047">
        <v>45</v>
      </c>
      <c r="Q2047" s="80">
        <v>0</v>
      </c>
      <c r="R2047" s="80">
        <f t="shared" si="175"/>
        <v>2</v>
      </c>
      <c r="AD2047"/>
    </row>
    <row r="2048" spans="10:30" ht="16.2" customHeight="1">
      <c r="J2048" s="80" t="s">
        <v>746</v>
      </c>
      <c r="K2048" s="80" t="s">
        <v>144</v>
      </c>
      <c r="L2048" t="s">
        <v>282</v>
      </c>
      <c r="M2048" s="80" t="s">
        <v>557</v>
      </c>
      <c r="N2048" t="str">
        <f t="shared" si="174"/>
        <v>Double FrontStreamline Hand OperationLevel 2072Metal Top Fix Brackets</v>
      </c>
      <c r="O2048">
        <v>38</v>
      </c>
      <c r="P2048">
        <v>45</v>
      </c>
      <c r="Q2048" s="80">
        <v>0</v>
      </c>
      <c r="R2048" s="80">
        <f t="shared" si="175"/>
        <v>7</v>
      </c>
      <c r="AD2048"/>
    </row>
    <row r="2049" spans="10:30" ht="16.2" customHeight="1">
      <c r="J2049" s="80" t="s">
        <v>747</v>
      </c>
      <c r="K2049" s="80" t="s">
        <v>144</v>
      </c>
      <c r="L2049" t="s">
        <v>282</v>
      </c>
      <c r="M2049" s="80" t="s">
        <v>557</v>
      </c>
      <c r="N2049" t="str">
        <f t="shared" si="174"/>
        <v>Double RearStreamline Hand OperationLevel 2072Metal Top Fix Brackets</v>
      </c>
      <c r="O2049">
        <v>38</v>
      </c>
      <c r="P2049">
        <v>45</v>
      </c>
      <c r="Q2049" s="80">
        <v>0</v>
      </c>
      <c r="R2049" s="80">
        <f t="shared" si="175"/>
        <v>7</v>
      </c>
      <c r="AD2049"/>
    </row>
    <row r="2050" spans="10:30" ht="16.2" customHeight="1">
      <c r="J2050" s="80" t="s">
        <v>725</v>
      </c>
      <c r="K2050" s="80" t="s">
        <v>144</v>
      </c>
      <c r="L2050" t="s">
        <v>282</v>
      </c>
      <c r="M2050" s="80" t="s">
        <v>557</v>
      </c>
      <c r="N2050" t="str">
        <f t="shared" si="176" ref="N2050:N2113">(CONCATENATE(J2050,K2050,L2050,M2050))</f>
        <v>SingleStreamline Hand OperationLevel 2072Metal Top Fix Brackets</v>
      </c>
      <c r="O2050">
        <v>35</v>
      </c>
      <c r="P2050">
        <v>45</v>
      </c>
      <c r="Q2050" s="80">
        <v>0</v>
      </c>
      <c r="R2050" s="80">
        <f t="shared" si="175"/>
        <v>10</v>
      </c>
      <c r="AD2050"/>
    </row>
    <row r="2051" spans="10:30" ht="16.2" customHeight="1">
      <c r="J2051" s="80" t="s">
        <v>746</v>
      </c>
      <c r="K2051" s="80" t="s">
        <v>144</v>
      </c>
      <c r="L2051" t="s">
        <v>170</v>
      </c>
      <c r="M2051" s="80" t="s">
        <v>557</v>
      </c>
      <c r="N2051" t="str">
        <f t="shared" si="176"/>
        <v>Double FrontStreamline Hand OperationNormal 2074Metal Top Fix Brackets</v>
      </c>
      <c r="O2051">
        <v>60</v>
      </c>
      <c r="P2051">
        <v>45</v>
      </c>
      <c r="Q2051" s="80">
        <v>0</v>
      </c>
      <c r="R2051" s="80">
        <f t="shared" si="175"/>
        <v>-15</v>
      </c>
      <c r="AD2051"/>
    </row>
    <row r="2052" spans="10:30" ht="16.2" customHeight="1">
      <c r="J2052" s="80" t="s">
        <v>747</v>
      </c>
      <c r="K2052" s="80" t="s">
        <v>144</v>
      </c>
      <c r="L2052" t="s">
        <v>170</v>
      </c>
      <c r="M2052" s="80" t="s">
        <v>557</v>
      </c>
      <c r="N2052" t="str">
        <f t="shared" si="176"/>
        <v>Double RearStreamline Hand OperationNormal 2074Metal Top Fix Brackets</v>
      </c>
      <c r="O2052">
        <v>60</v>
      </c>
      <c r="P2052">
        <v>45</v>
      </c>
      <c r="Q2052" s="80">
        <v>0</v>
      </c>
      <c r="R2052" s="80">
        <f t="shared" si="175"/>
        <v>-15</v>
      </c>
      <c r="AD2052"/>
    </row>
    <row r="2053" spans="10:30" ht="16.2" customHeight="1">
      <c r="J2053" s="80" t="s">
        <v>725</v>
      </c>
      <c r="K2053" s="80" t="s">
        <v>144</v>
      </c>
      <c r="L2053" t="s">
        <v>170</v>
      </c>
      <c r="M2053" s="80" t="s">
        <v>557</v>
      </c>
      <c r="N2053" t="str">
        <f t="shared" si="176"/>
        <v>SingleStreamline Hand OperationNormal 2074Metal Top Fix Brackets</v>
      </c>
      <c r="O2053">
        <v>60</v>
      </c>
      <c r="P2053">
        <v>45</v>
      </c>
      <c r="Q2053" s="80">
        <v>0</v>
      </c>
      <c r="R2053" s="80">
        <f t="shared" si="175"/>
        <v>-15</v>
      </c>
      <c r="AD2053"/>
    </row>
    <row r="2054" spans="10:30" ht="16.2" customHeight="1">
      <c r="J2054" s="80" t="s">
        <v>746</v>
      </c>
      <c r="K2054" s="80" t="s">
        <v>144</v>
      </c>
      <c r="L2054" t="s">
        <v>183</v>
      </c>
      <c r="M2054" t="s">
        <v>159</v>
      </c>
      <c r="N2054" t="str">
        <f t="shared" si="176"/>
        <v>Double FrontStreamline Hand OperationBelow Normal 2075Single Face Fix Brackets</v>
      </c>
      <c r="O2054">
        <v>70</v>
      </c>
      <c r="P2054">
        <v>45</v>
      </c>
      <c r="Q2054" s="80">
        <v>0</v>
      </c>
      <c r="R2054" s="80">
        <f t="shared" si="175"/>
        <v>-25</v>
      </c>
      <c r="AD2054"/>
    </row>
    <row r="2055" spans="10:30" ht="16.2" customHeight="1">
      <c r="J2055" s="80" t="s">
        <v>747</v>
      </c>
      <c r="K2055" s="80" t="s">
        <v>144</v>
      </c>
      <c r="L2055" t="s">
        <v>183</v>
      </c>
      <c r="M2055" t="s">
        <v>159</v>
      </c>
      <c r="N2055" t="str">
        <f t="shared" si="176"/>
        <v>Double RearStreamline Hand OperationBelow Normal 2075Single Face Fix Brackets</v>
      </c>
      <c r="O2055">
        <v>70</v>
      </c>
      <c r="P2055">
        <v>45</v>
      </c>
      <c r="Q2055" s="80">
        <v>0</v>
      </c>
      <c r="R2055" s="80">
        <f t="shared" si="175"/>
        <v>-25</v>
      </c>
      <c r="AD2055"/>
    </row>
    <row r="2056" spans="10:30" ht="16.2" customHeight="1">
      <c r="J2056" s="80" t="s">
        <v>725</v>
      </c>
      <c r="K2056" s="80" t="s">
        <v>144</v>
      </c>
      <c r="L2056" t="s">
        <v>183</v>
      </c>
      <c r="M2056" t="s">
        <v>159</v>
      </c>
      <c r="N2056" t="str">
        <f t="shared" si="176"/>
        <v>SingleStreamline Hand OperationBelow Normal 2075Single Face Fix Brackets</v>
      </c>
      <c r="O2056">
        <v>70</v>
      </c>
      <c r="P2056">
        <v>45</v>
      </c>
      <c r="Q2056" s="80">
        <v>0</v>
      </c>
      <c r="R2056" s="80">
        <f t="shared" si="175"/>
        <v>-25</v>
      </c>
      <c r="AD2056"/>
    </row>
    <row r="2057" spans="10:30" ht="16.2" customHeight="1">
      <c r="J2057" s="80" t="s">
        <v>746</v>
      </c>
      <c r="K2057" s="80" t="s">
        <v>144</v>
      </c>
      <c r="L2057" t="s">
        <v>182</v>
      </c>
      <c r="M2057" t="s">
        <v>159</v>
      </c>
      <c r="N2057" t="str">
        <f t="shared" si="176"/>
        <v>Double FrontStreamline Hand OperationBetween Level and Normal 2073Single Face Fix Brackets</v>
      </c>
      <c r="O2057">
        <v>48</v>
      </c>
      <c r="P2057">
        <v>45</v>
      </c>
      <c r="Q2057" s="80">
        <v>0</v>
      </c>
      <c r="R2057" s="80">
        <f t="shared" si="175"/>
        <v>-3</v>
      </c>
      <c r="AD2057"/>
    </row>
    <row r="2058" spans="10:30" ht="16.2" customHeight="1">
      <c r="J2058" s="80" t="s">
        <v>747</v>
      </c>
      <c r="K2058" s="80" t="s">
        <v>144</v>
      </c>
      <c r="L2058" t="s">
        <v>182</v>
      </c>
      <c r="M2058" t="s">
        <v>159</v>
      </c>
      <c r="N2058" t="str">
        <f t="shared" si="176"/>
        <v>Double RearStreamline Hand OperationBetween Level and Normal 2073Single Face Fix Brackets</v>
      </c>
      <c r="O2058">
        <v>48</v>
      </c>
      <c r="P2058">
        <v>45</v>
      </c>
      <c r="Q2058" s="80">
        <v>0</v>
      </c>
      <c r="R2058" s="80">
        <f t="shared" si="175"/>
        <v>-3</v>
      </c>
      <c r="AD2058"/>
    </row>
    <row r="2059" spans="10:30" ht="16.2" customHeight="1">
      <c r="J2059" s="80" t="s">
        <v>725</v>
      </c>
      <c r="K2059" s="80" t="s">
        <v>144</v>
      </c>
      <c r="L2059" t="s">
        <v>182</v>
      </c>
      <c r="M2059" t="s">
        <v>159</v>
      </c>
      <c r="N2059" t="str">
        <f t="shared" si="176"/>
        <v>SingleStreamline Hand OperationBetween Level and Normal 2073Single Face Fix Brackets</v>
      </c>
      <c r="O2059">
        <v>47</v>
      </c>
      <c r="P2059">
        <v>45</v>
      </c>
      <c r="Q2059" s="80">
        <v>0</v>
      </c>
      <c r="R2059" s="80">
        <f t="shared" si="175"/>
        <v>-2</v>
      </c>
      <c r="AD2059"/>
    </row>
    <row r="2060" spans="10:30" ht="16.2" customHeight="1">
      <c r="J2060" s="80" t="s">
        <v>746</v>
      </c>
      <c r="K2060" s="80" t="s">
        <v>144</v>
      </c>
      <c r="L2060" t="s">
        <v>184</v>
      </c>
      <c r="M2060" t="s">
        <v>159</v>
      </c>
      <c r="N2060" t="str">
        <f t="shared" si="176"/>
        <v>Double FrontStreamline Hand OperationDecorator 2071Single Face Fix Brackets</v>
      </c>
      <c r="O2060">
        <v>20</v>
      </c>
      <c r="P2060">
        <v>45</v>
      </c>
      <c r="Q2060" s="80">
        <v>0</v>
      </c>
      <c r="R2060" s="80">
        <f t="shared" si="175"/>
        <v>25</v>
      </c>
      <c r="AD2060"/>
    </row>
    <row r="2061" spans="10:30" ht="16.2" customHeight="1">
      <c r="J2061" s="80" t="s">
        <v>747</v>
      </c>
      <c r="K2061" s="80" t="s">
        <v>144</v>
      </c>
      <c r="L2061" t="s">
        <v>184</v>
      </c>
      <c r="M2061" t="s">
        <v>159</v>
      </c>
      <c r="N2061" t="str">
        <f t="shared" si="176"/>
        <v>Double RearStreamline Hand OperationDecorator 2071Single Face Fix Brackets</v>
      </c>
      <c r="O2061">
        <v>20</v>
      </c>
      <c r="P2061">
        <v>45</v>
      </c>
      <c r="Q2061" s="80">
        <v>0</v>
      </c>
      <c r="R2061" s="80">
        <f t="shared" si="175"/>
        <v>25</v>
      </c>
      <c r="AD2061"/>
    </row>
    <row r="2062" spans="10:30" ht="16.2" customHeight="1">
      <c r="J2062" s="80" t="s">
        <v>725</v>
      </c>
      <c r="K2062" s="80" t="s">
        <v>144</v>
      </c>
      <c r="L2062" t="s">
        <v>184</v>
      </c>
      <c r="M2062" t="s">
        <v>159</v>
      </c>
      <c r="N2062" t="str">
        <f t="shared" si="176"/>
        <v>SingleStreamline Hand OperationDecorator 2071Single Face Fix Brackets</v>
      </c>
      <c r="O2062">
        <v>20</v>
      </c>
      <c r="P2062">
        <v>45</v>
      </c>
      <c r="Q2062" s="80">
        <v>0</v>
      </c>
      <c r="R2062" s="80">
        <f t="shared" si="175"/>
        <v>25</v>
      </c>
      <c r="AD2062"/>
    </row>
    <row r="2063" spans="10:30" ht="16.2" customHeight="1">
      <c r="J2063" s="80" t="s">
        <v>746</v>
      </c>
      <c r="K2063" s="80" t="s">
        <v>144</v>
      </c>
      <c r="L2063" t="s">
        <v>6468</v>
      </c>
      <c r="M2063" t="s">
        <v>159</v>
      </c>
      <c r="N2063" t="str">
        <f t="shared" si="176"/>
        <v>Double FrontStreamline Hand OperationGather Hook Bottom PocketSingle Face Fix Brackets</v>
      </c>
      <c r="O2063">
        <v>60</v>
      </c>
      <c r="P2063">
        <v>45</v>
      </c>
      <c r="Q2063" s="80">
        <v>0</v>
      </c>
      <c r="R2063" s="80">
        <f t="shared" si="175"/>
        <v>-15</v>
      </c>
      <c r="AD2063"/>
    </row>
    <row r="2064" spans="10:30" ht="16.2" customHeight="1">
      <c r="J2064" s="80" t="s">
        <v>725</v>
      </c>
      <c r="K2064" s="80" t="s">
        <v>144</v>
      </c>
      <c r="L2064" t="s">
        <v>6468</v>
      </c>
      <c r="M2064" t="s">
        <v>159</v>
      </c>
      <c r="N2064" t="str">
        <f t="shared" si="176"/>
        <v>SingleStreamline Hand OperationGather Hook Bottom PocketSingle Face Fix Brackets</v>
      </c>
      <c r="O2064">
        <v>60</v>
      </c>
      <c r="P2064">
        <v>45</v>
      </c>
      <c r="Q2064" s="80">
        <v>0</v>
      </c>
      <c r="R2064" s="80">
        <f t="shared" si="175"/>
        <v>-15</v>
      </c>
      <c r="AD2064"/>
    </row>
    <row r="2065" spans="10:30" ht="16.2" customHeight="1">
      <c r="J2065" s="80" t="s">
        <v>746</v>
      </c>
      <c r="K2065" s="80" t="s">
        <v>144</v>
      </c>
      <c r="L2065" t="s">
        <v>229</v>
      </c>
      <c r="M2065" t="s">
        <v>159</v>
      </c>
      <c r="N2065" t="str">
        <f t="shared" si="176"/>
        <v>Double FrontStreamline Hand OperationGather Hook LevelSingle Face Fix Brackets</v>
      </c>
      <c r="O2065">
        <v>20</v>
      </c>
      <c r="P2065">
        <v>45</v>
      </c>
      <c r="Q2065" s="80">
        <v>0</v>
      </c>
      <c r="R2065" s="80">
        <f t="shared" si="175"/>
        <v>25</v>
      </c>
      <c r="AD2065"/>
    </row>
    <row r="2066" spans="10:30" ht="16.2" customHeight="1">
      <c r="J2066" s="80" t="s">
        <v>747</v>
      </c>
      <c r="K2066" s="80" t="s">
        <v>144</v>
      </c>
      <c r="L2066" t="s">
        <v>229</v>
      </c>
      <c r="M2066" t="s">
        <v>159</v>
      </c>
      <c r="N2066" t="str">
        <f t="shared" si="176"/>
        <v>Double RearStreamline Hand OperationGather Hook LevelSingle Face Fix Brackets</v>
      </c>
      <c r="O2066">
        <v>20</v>
      </c>
      <c r="P2066">
        <v>45</v>
      </c>
      <c r="Q2066" s="80">
        <v>0</v>
      </c>
      <c r="R2066" s="80">
        <f t="shared" si="175"/>
        <v>25</v>
      </c>
      <c r="AD2066"/>
    </row>
    <row r="2067" spans="10:30" ht="16.2" customHeight="1">
      <c r="J2067" s="80" t="s">
        <v>725</v>
      </c>
      <c r="K2067" s="80" t="s">
        <v>144</v>
      </c>
      <c r="L2067" t="s">
        <v>229</v>
      </c>
      <c r="M2067" t="s">
        <v>159</v>
      </c>
      <c r="N2067" t="str">
        <f t="shared" si="176"/>
        <v>SingleStreamline Hand OperationGather Hook LevelSingle Face Fix Brackets</v>
      </c>
      <c r="O2067">
        <v>20</v>
      </c>
      <c r="P2067">
        <v>45</v>
      </c>
      <c r="Q2067" s="80">
        <v>0</v>
      </c>
      <c r="R2067" s="80">
        <f t="shared" si="175"/>
        <v>25</v>
      </c>
      <c r="AD2067"/>
    </row>
    <row r="2068" spans="10:30" ht="16.2" customHeight="1">
      <c r="J2068" s="80" t="s">
        <v>746</v>
      </c>
      <c r="K2068" s="80" t="s">
        <v>144</v>
      </c>
      <c r="L2068" t="s">
        <v>228</v>
      </c>
      <c r="M2068" t="s">
        <v>159</v>
      </c>
      <c r="N2068" t="str">
        <f t="shared" si="176"/>
        <v>Double FrontStreamline Hand OperationGather Hook NormalSingle Face Fix Brackets</v>
      </c>
      <c r="O2068">
        <v>43</v>
      </c>
      <c r="P2068">
        <v>45</v>
      </c>
      <c r="Q2068" s="80">
        <v>0</v>
      </c>
      <c r="R2068" s="80">
        <f t="shared" si="175"/>
        <v>2</v>
      </c>
      <c r="AD2068"/>
    </row>
    <row r="2069" spans="10:30" ht="16.2" customHeight="1">
      <c r="J2069" s="80" t="s">
        <v>747</v>
      </c>
      <c r="K2069" s="80" t="s">
        <v>144</v>
      </c>
      <c r="L2069" t="s">
        <v>228</v>
      </c>
      <c r="M2069" t="s">
        <v>159</v>
      </c>
      <c r="N2069" t="str">
        <f t="shared" si="176"/>
        <v>Double RearStreamline Hand OperationGather Hook NormalSingle Face Fix Brackets</v>
      </c>
      <c r="O2069">
        <v>43</v>
      </c>
      <c r="P2069">
        <v>45</v>
      </c>
      <c r="Q2069" s="80">
        <v>0</v>
      </c>
      <c r="R2069" s="80">
        <f t="shared" si="175"/>
        <v>2</v>
      </c>
      <c r="AD2069"/>
    </row>
    <row r="2070" spans="10:30" ht="16.2" customHeight="1">
      <c r="J2070" s="80" t="s">
        <v>725</v>
      </c>
      <c r="K2070" s="80" t="s">
        <v>144</v>
      </c>
      <c r="L2070" t="s">
        <v>228</v>
      </c>
      <c r="M2070" t="s">
        <v>159</v>
      </c>
      <c r="N2070" t="str">
        <f t="shared" si="176"/>
        <v>SingleStreamline Hand OperationGather Hook NormalSingle Face Fix Brackets</v>
      </c>
      <c r="O2070">
        <v>43</v>
      </c>
      <c r="P2070">
        <v>45</v>
      </c>
      <c r="Q2070" s="80">
        <v>0</v>
      </c>
      <c r="R2070" s="80">
        <f t="shared" si="175"/>
        <v>2</v>
      </c>
      <c r="AD2070"/>
    </row>
    <row r="2071" spans="10:30" ht="16.2" customHeight="1">
      <c r="J2071" s="80" t="s">
        <v>746</v>
      </c>
      <c r="K2071" s="80" t="s">
        <v>144</v>
      </c>
      <c r="L2071" t="s">
        <v>282</v>
      </c>
      <c r="M2071" t="s">
        <v>159</v>
      </c>
      <c r="N2071" t="str">
        <f t="shared" si="176"/>
        <v>Double FrontStreamline Hand OperationLevel 2072Single Face Fix Brackets</v>
      </c>
      <c r="O2071">
        <v>38</v>
      </c>
      <c r="P2071">
        <v>45</v>
      </c>
      <c r="Q2071" s="80">
        <v>0</v>
      </c>
      <c r="R2071" s="80">
        <f t="shared" si="175"/>
        <v>7</v>
      </c>
      <c r="AD2071"/>
    </row>
    <row r="2072" spans="10:30" ht="16.2" customHeight="1">
      <c r="J2072" s="80" t="s">
        <v>747</v>
      </c>
      <c r="K2072" s="80" t="s">
        <v>144</v>
      </c>
      <c r="L2072" t="s">
        <v>282</v>
      </c>
      <c r="M2072" t="s">
        <v>159</v>
      </c>
      <c r="N2072" t="str">
        <f t="shared" si="176"/>
        <v>Double RearStreamline Hand OperationLevel 2072Single Face Fix Brackets</v>
      </c>
      <c r="O2072">
        <v>38</v>
      </c>
      <c r="P2072">
        <v>45</v>
      </c>
      <c r="Q2072" s="80">
        <v>0</v>
      </c>
      <c r="R2072" s="80">
        <f t="shared" si="175"/>
        <v>7</v>
      </c>
      <c r="AD2072"/>
    </row>
    <row r="2073" spans="10:30" ht="16.2" customHeight="1">
      <c r="J2073" s="80" t="s">
        <v>725</v>
      </c>
      <c r="K2073" s="80" t="s">
        <v>144</v>
      </c>
      <c r="L2073" t="s">
        <v>282</v>
      </c>
      <c r="M2073" t="s">
        <v>159</v>
      </c>
      <c r="N2073" t="str">
        <f t="shared" si="176"/>
        <v>SingleStreamline Hand OperationLevel 2072Single Face Fix Brackets</v>
      </c>
      <c r="O2073">
        <v>35</v>
      </c>
      <c r="P2073">
        <v>45</v>
      </c>
      <c r="Q2073" s="80">
        <v>0</v>
      </c>
      <c r="R2073" s="80">
        <f t="shared" si="175"/>
        <v>10</v>
      </c>
      <c r="AD2073"/>
    </row>
    <row r="2074" spans="10:30" ht="16.2" customHeight="1">
      <c r="J2074" s="80" t="s">
        <v>746</v>
      </c>
      <c r="K2074" s="80" t="s">
        <v>144</v>
      </c>
      <c r="L2074" t="s">
        <v>170</v>
      </c>
      <c r="M2074" t="s">
        <v>159</v>
      </c>
      <c r="N2074" t="str">
        <f t="shared" si="176"/>
        <v>Double FrontStreamline Hand OperationNormal 2074Single Face Fix Brackets</v>
      </c>
      <c r="O2074">
        <v>60</v>
      </c>
      <c r="P2074">
        <v>45</v>
      </c>
      <c r="Q2074" s="80">
        <v>0</v>
      </c>
      <c r="R2074" s="80">
        <f t="shared" si="175"/>
        <v>-15</v>
      </c>
      <c r="AD2074"/>
    </row>
    <row r="2075" spans="10:30" ht="16.2" customHeight="1">
      <c r="J2075" s="80" t="s">
        <v>747</v>
      </c>
      <c r="K2075" s="80" t="s">
        <v>144</v>
      </c>
      <c r="L2075" t="s">
        <v>170</v>
      </c>
      <c r="M2075" t="s">
        <v>159</v>
      </c>
      <c r="N2075" t="str">
        <f t="shared" si="176"/>
        <v>Double RearStreamline Hand OperationNormal 2074Single Face Fix Brackets</v>
      </c>
      <c r="O2075">
        <v>60</v>
      </c>
      <c r="P2075">
        <v>45</v>
      </c>
      <c r="Q2075" s="80">
        <v>0</v>
      </c>
      <c r="R2075" s="80">
        <f t="shared" si="175"/>
        <v>-15</v>
      </c>
      <c r="AD2075"/>
    </row>
    <row r="2076" spans="10:30" ht="16.2" customHeight="1">
      <c r="J2076" s="80" t="s">
        <v>725</v>
      </c>
      <c r="K2076" s="80" t="s">
        <v>144</v>
      </c>
      <c r="L2076" t="s">
        <v>170</v>
      </c>
      <c r="M2076" t="s">
        <v>159</v>
      </c>
      <c r="N2076" t="str">
        <f t="shared" si="176"/>
        <v>SingleStreamline Hand OperationNormal 2074Single Face Fix Brackets</v>
      </c>
      <c r="O2076">
        <v>60</v>
      </c>
      <c r="P2076">
        <v>45</v>
      </c>
      <c r="Q2076" s="80">
        <v>0</v>
      </c>
      <c r="R2076" s="80">
        <f t="shared" si="175"/>
        <v>-15</v>
      </c>
      <c r="AD2076"/>
    </row>
    <row r="2077" spans="10:30" ht="16.2" customHeight="1">
      <c r="J2077" s="80" t="s">
        <v>746</v>
      </c>
      <c r="K2077" s="80" t="s">
        <v>144</v>
      </c>
      <c r="L2077" t="s">
        <v>183</v>
      </c>
      <c r="M2077" t="s">
        <v>161</v>
      </c>
      <c r="N2077" t="str">
        <f t="shared" si="176"/>
        <v>Double FrontStreamline Hand OperationBelow Normal 2075Top Fix Brackets</v>
      </c>
      <c r="O2077">
        <v>70</v>
      </c>
      <c r="P2077">
        <v>41</v>
      </c>
      <c r="Q2077" s="80">
        <v>0</v>
      </c>
      <c r="R2077" s="80">
        <f t="shared" si="175"/>
        <v>-29</v>
      </c>
      <c r="AD2077"/>
    </row>
    <row r="2078" spans="10:30" ht="16.2" customHeight="1">
      <c r="J2078" s="80" t="s">
        <v>747</v>
      </c>
      <c r="K2078" s="80" t="s">
        <v>144</v>
      </c>
      <c r="L2078" t="s">
        <v>183</v>
      </c>
      <c r="M2078" t="s">
        <v>161</v>
      </c>
      <c r="N2078" t="str">
        <f t="shared" si="176"/>
        <v>Double RearStreamline Hand OperationBelow Normal 2075Top Fix Brackets</v>
      </c>
      <c r="O2078">
        <v>70</v>
      </c>
      <c r="P2078">
        <v>41</v>
      </c>
      <c r="Q2078" s="80">
        <v>0</v>
      </c>
      <c r="R2078" s="80">
        <f t="shared" si="175"/>
        <v>-29</v>
      </c>
      <c r="AD2078"/>
    </row>
    <row r="2079" spans="10:30" ht="16.2" customHeight="1">
      <c r="J2079" s="80" t="s">
        <v>725</v>
      </c>
      <c r="K2079" s="80" t="s">
        <v>144</v>
      </c>
      <c r="L2079" t="s">
        <v>183</v>
      </c>
      <c r="M2079" t="s">
        <v>161</v>
      </c>
      <c r="N2079" t="str">
        <f t="shared" si="176"/>
        <v>SingleStreamline Hand OperationBelow Normal 2075Top Fix Brackets</v>
      </c>
      <c r="O2079">
        <v>70</v>
      </c>
      <c r="P2079">
        <v>41</v>
      </c>
      <c r="Q2079" s="80">
        <v>0</v>
      </c>
      <c r="R2079" s="80">
        <f t="shared" si="177" ref="R2079:R2142">SUM(P2079)-O2079</f>
        <v>-29</v>
      </c>
      <c r="AD2079"/>
    </row>
    <row r="2080" spans="10:30" ht="16.2" customHeight="1">
      <c r="J2080" s="80" t="s">
        <v>746</v>
      </c>
      <c r="K2080" s="80" t="s">
        <v>144</v>
      </c>
      <c r="L2080" t="s">
        <v>182</v>
      </c>
      <c r="M2080" t="s">
        <v>161</v>
      </c>
      <c r="N2080" t="str">
        <f t="shared" si="176"/>
        <v>Double FrontStreamline Hand OperationBetween Level and Normal 2073Top Fix Brackets</v>
      </c>
      <c r="O2080">
        <v>48</v>
      </c>
      <c r="P2080">
        <v>41</v>
      </c>
      <c r="Q2080" s="80">
        <v>0</v>
      </c>
      <c r="R2080" s="80">
        <f t="shared" si="177"/>
        <v>-7</v>
      </c>
      <c r="AD2080"/>
    </row>
    <row r="2081" spans="10:30" ht="16.2" customHeight="1">
      <c r="J2081" s="80" t="s">
        <v>747</v>
      </c>
      <c r="K2081" s="80" t="s">
        <v>144</v>
      </c>
      <c r="L2081" t="s">
        <v>182</v>
      </c>
      <c r="M2081" t="s">
        <v>161</v>
      </c>
      <c r="N2081" t="str">
        <f t="shared" si="176"/>
        <v>Double RearStreamline Hand OperationBetween Level and Normal 2073Top Fix Brackets</v>
      </c>
      <c r="O2081">
        <v>48</v>
      </c>
      <c r="P2081">
        <v>41</v>
      </c>
      <c r="Q2081" s="80">
        <v>0</v>
      </c>
      <c r="R2081" s="80">
        <f t="shared" si="177"/>
        <v>-7</v>
      </c>
      <c r="AD2081"/>
    </row>
    <row r="2082" spans="10:30" ht="16.2" customHeight="1">
      <c r="J2082" s="80" t="s">
        <v>725</v>
      </c>
      <c r="K2082" s="80" t="s">
        <v>144</v>
      </c>
      <c r="L2082" t="s">
        <v>182</v>
      </c>
      <c r="M2082" t="s">
        <v>161</v>
      </c>
      <c r="N2082" t="str">
        <f t="shared" si="176"/>
        <v>SingleStreamline Hand OperationBetween Level and Normal 2073Top Fix Brackets</v>
      </c>
      <c r="O2082">
        <v>47</v>
      </c>
      <c r="P2082">
        <v>41</v>
      </c>
      <c r="Q2082" s="80">
        <v>0</v>
      </c>
      <c r="R2082" s="80">
        <f t="shared" si="177"/>
        <v>-6</v>
      </c>
      <c r="AD2082"/>
    </row>
    <row r="2083" spans="10:30" ht="16.2" customHeight="1">
      <c r="J2083" s="80" t="s">
        <v>746</v>
      </c>
      <c r="K2083" s="80" t="s">
        <v>144</v>
      </c>
      <c r="L2083" t="s">
        <v>184</v>
      </c>
      <c r="M2083" t="s">
        <v>161</v>
      </c>
      <c r="N2083" t="str">
        <f t="shared" si="176"/>
        <v>Double FrontStreamline Hand OperationDecorator 2071Top Fix Brackets</v>
      </c>
      <c r="O2083">
        <v>20</v>
      </c>
      <c r="P2083">
        <v>41</v>
      </c>
      <c r="Q2083" s="80">
        <v>0</v>
      </c>
      <c r="R2083" s="80">
        <f t="shared" si="177"/>
        <v>21</v>
      </c>
      <c r="AD2083"/>
    </row>
    <row r="2084" spans="10:30" ht="16.2" customHeight="1">
      <c r="J2084" s="80" t="s">
        <v>747</v>
      </c>
      <c r="K2084" s="80" t="s">
        <v>144</v>
      </c>
      <c r="L2084" t="s">
        <v>184</v>
      </c>
      <c r="M2084" t="s">
        <v>161</v>
      </c>
      <c r="N2084" t="str">
        <f t="shared" si="176"/>
        <v>Double RearStreamline Hand OperationDecorator 2071Top Fix Brackets</v>
      </c>
      <c r="O2084">
        <v>20</v>
      </c>
      <c r="P2084">
        <v>41</v>
      </c>
      <c r="Q2084" s="80">
        <v>0</v>
      </c>
      <c r="R2084" s="80">
        <f t="shared" si="177"/>
        <v>21</v>
      </c>
      <c r="AD2084"/>
    </row>
    <row r="2085" spans="10:30" ht="16.2" customHeight="1">
      <c r="J2085" s="80" t="s">
        <v>725</v>
      </c>
      <c r="K2085" s="80" t="s">
        <v>144</v>
      </c>
      <c r="L2085" t="s">
        <v>184</v>
      </c>
      <c r="M2085" t="s">
        <v>161</v>
      </c>
      <c r="N2085" t="str">
        <f t="shared" si="176"/>
        <v>SingleStreamline Hand OperationDecorator 2071Top Fix Brackets</v>
      </c>
      <c r="O2085">
        <v>20</v>
      </c>
      <c r="P2085">
        <v>41</v>
      </c>
      <c r="Q2085" s="80">
        <v>0</v>
      </c>
      <c r="R2085" s="80">
        <f t="shared" si="177"/>
        <v>21</v>
      </c>
      <c r="AD2085"/>
    </row>
    <row r="2086" spans="10:30" ht="16.2" customHeight="1">
      <c r="J2086" s="80" t="s">
        <v>746</v>
      </c>
      <c r="K2086" s="80" t="s">
        <v>144</v>
      </c>
      <c r="L2086" t="s">
        <v>6468</v>
      </c>
      <c r="M2086" t="s">
        <v>161</v>
      </c>
      <c r="N2086" t="str">
        <f t="shared" si="176"/>
        <v>Double FrontStreamline Hand OperationGather Hook Bottom PocketTop Fix Brackets</v>
      </c>
      <c r="O2086">
        <v>60</v>
      </c>
      <c r="P2086">
        <v>41</v>
      </c>
      <c r="Q2086" s="80">
        <v>0</v>
      </c>
      <c r="R2086" s="80">
        <f t="shared" si="177"/>
        <v>-19</v>
      </c>
      <c r="AD2086"/>
    </row>
    <row r="2087" spans="10:30" ht="16.2" customHeight="1">
      <c r="J2087" s="80" t="s">
        <v>725</v>
      </c>
      <c r="K2087" s="80" t="s">
        <v>144</v>
      </c>
      <c r="L2087" t="s">
        <v>6468</v>
      </c>
      <c r="M2087" t="s">
        <v>161</v>
      </c>
      <c r="N2087" t="str">
        <f t="shared" si="176"/>
        <v>SingleStreamline Hand OperationGather Hook Bottom PocketTop Fix Brackets</v>
      </c>
      <c r="O2087">
        <v>60</v>
      </c>
      <c r="P2087">
        <v>41</v>
      </c>
      <c r="Q2087" s="80">
        <v>0</v>
      </c>
      <c r="R2087" s="80">
        <f t="shared" si="177"/>
        <v>-19</v>
      </c>
      <c r="AD2087"/>
    </row>
    <row r="2088" spans="10:30" ht="16.2" customHeight="1">
      <c r="J2088" s="80" t="s">
        <v>746</v>
      </c>
      <c r="K2088" s="80" t="s">
        <v>144</v>
      </c>
      <c r="L2088" t="s">
        <v>229</v>
      </c>
      <c r="M2088" t="s">
        <v>161</v>
      </c>
      <c r="N2088" t="str">
        <f t="shared" si="176"/>
        <v>Double FrontStreamline Hand OperationGather Hook LevelTop Fix Brackets</v>
      </c>
      <c r="O2088">
        <v>20</v>
      </c>
      <c r="P2088">
        <v>41</v>
      </c>
      <c r="Q2088" s="80">
        <v>0</v>
      </c>
      <c r="R2088" s="80">
        <f t="shared" si="177"/>
        <v>21</v>
      </c>
      <c r="AD2088"/>
    </row>
    <row r="2089" spans="10:30" ht="16.2" customHeight="1">
      <c r="J2089" s="80" t="s">
        <v>747</v>
      </c>
      <c r="K2089" s="80" t="s">
        <v>144</v>
      </c>
      <c r="L2089" t="s">
        <v>229</v>
      </c>
      <c r="M2089" t="s">
        <v>161</v>
      </c>
      <c r="N2089" t="str">
        <f t="shared" si="176"/>
        <v>Double RearStreamline Hand OperationGather Hook LevelTop Fix Brackets</v>
      </c>
      <c r="O2089">
        <v>20</v>
      </c>
      <c r="P2089">
        <v>41</v>
      </c>
      <c r="Q2089" s="80">
        <v>0</v>
      </c>
      <c r="R2089" s="80">
        <f t="shared" si="177"/>
        <v>21</v>
      </c>
      <c r="AD2089"/>
    </row>
    <row r="2090" spans="10:30" ht="16.2" customHeight="1">
      <c r="J2090" s="80" t="s">
        <v>725</v>
      </c>
      <c r="K2090" s="80" t="s">
        <v>144</v>
      </c>
      <c r="L2090" t="s">
        <v>229</v>
      </c>
      <c r="M2090" t="s">
        <v>161</v>
      </c>
      <c r="N2090" t="str">
        <f t="shared" si="176"/>
        <v>SingleStreamline Hand OperationGather Hook LevelTop Fix Brackets</v>
      </c>
      <c r="O2090">
        <v>20</v>
      </c>
      <c r="P2090">
        <v>41</v>
      </c>
      <c r="Q2090" s="80">
        <v>0</v>
      </c>
      <c r="R2090" s="80">
        <f t="shared" si="177"/>
        <v>21</v>
      </c>
      <c r="AD2090"/>
    </row>
    <row r="2091" spans="10:30" ht="16.2" customHeight="1">
      <c r="J2091" s="80" t="s">
        <v>746</v>
      </c>
      <c r="K2091" s="80" t="s">
        <v>144</v>
      </c>
      <c r="L2091" t="s">
        <v>228</v>
      </c>
      <c r="M2091" t="s">
        <v>161</v>
      </c>
      <c r="N2091" t="str">
        <f t="shared" si="176"/>
        <v>Double FrontStreamline Hand OperationGather Hook NormalTop Fix Brackets</v>
      </c>
      <c r="O2091">
        <v>43</v>
      </c>
      <c r="P2091">
        <v>41</v>
      </c>
      <c r="Q2091" s="80">
        <v>0</v>
      </c>
      <c r="R2091" s="80">
        <f t="shared" si="177"/>
        <v>-2</v>
      </c>
      <c r="AD2091"/>
    </row>
    <row r="2092" spans="10:30" ht="16.2" customHeight="1">
      <c r="J2092" s="80" t="s">
        <v>747</v>
      </c>
      <c r="K2092" s="80" t="s">
        <v>144</v>
      </c>
      <c r="L2092" t="s">
        <v>228</v>
      </c>
      <c r="M2092" t="s">
        <v>161</v>
      </c>
      <c r="N2092" t="str">
        <f t="shared" si="176"/>
        <v>Double RearStreamline Hand OperationGather Hook NormalTop Fix Brackets</v>
      </c>
      <c r="O2092">
        <v>43</v>
      </c>
      <c r="P2092">
        <v>41</v>
      </c>
      <c r="Q2092" s="80">
        <v>0</v>
      </c>
      <c r="R2092" s="80">
        <f t="shared" si="177"/>
        <v>-2</v>
      </c>
      <c r="AD2092"/>
    </row>
    <row r="2093" spans="10:30" ht="16.2" customHeight="1">
      <c r="J2093" s="80" t="s">
        <v>725</v>
      </c>
      <c r="K2093" s="80" t="s">
        <v>144</v>
      </c>
      <c r="L2093" t="s">
        <v>228</v>
      </c>
      <c r="M2093" t="s">
        <v>161</v>
      </c>
      <c r="N2093" t="str">
        <f t="shared" si="176"/>
        <v>SingleStreamline Hand OperationGather Hook NormalTop Fix Brackets</v>
      </c>
      <c r="O2093">
        <v>43</v>
      </c>
      <c r="P2093">
        <v>41</v>
      </c>
      <c r="Q2093" s="80">
        <v>0</v>
      </c>
      <c r="R2093" s="80">
        <f t="shared" si="177"/>
        <v>-2</v>
      </c>
      <c r="AD2093"/>
    </row>
    <row r="2094" spans="10:30" ht="16.2" customHeight="1">
      <c r="J2094" s="80" t="s">
        <v>746</v>
      </c>
      <c r="K2094" s="80" t="s">
        <v>144</v>
      </c>
      <c r="L2094" t="s">
        <v>282</v>
      </c>
      <c r="M2094" t="s">
        <v>161</v>
      </c>
      <c r="N2094" t="str">
        <f t="shared" si="176"/>
        <v>Double FrontStreamline Hand OperationLevel 2072Top Fix Brackets</v>
      </c>
      <c r="O2094">
        <v>38</v>
      </c>
      <c r="P2094">
        <v>41</v>
      </c>
      <c r="Q2094" s="80">
        <v>0</v>
      </c>
      <c r="R2094" s="80">
        <f t="shared" si="177"/>
        <v>3</v>
      </c>
      <c r="AD2094"/>
    </row>
    <row r="2095" spans="10:30" ht="16.2" customHeight="1">
      <c r="J2095" s="80" t="s">
        <v>747</v>
      </c>
      <c r="K2095" s="80" t="s">
        <v>144</v>
      </c>
      <c r="L2095" t="s">
        <v>282</v>
      </c>
      <c r="M2095" t="s">
        <v>161</v>
      </c>
      <c r="N2095" t="str">
        <f t="shared" si="176"/>
        <v>Double RearStreamline Hand OperationLevel 2072Top Fix Brackets</v>
      </c>
      <c r="O2095">
        <v>38</v>
      </c>
      <c r="P2095">
        <v>41</v>
      </c>
      <c r="Q2095" s="80">
        <v>0</v>
      </c>
      <c r="R2095" s="80">
        <f t="shared" si="177"/>
        <v>3</v>
      </c>
      <c r="AD2095"/>
    </row>
    <row r="2096" spans="10:30" ht="16.2" customHeight="1">
      <c r="J2096" s="80" t="s">
        <v>725</v>
      </c>
      <c r="K2096" s="80" t="s">
        <v>144</v>
      </c>
      <c r="L2096" t="s">
        <v>282</v>
      </c>
      <c r="M2096" t="s">
        <v>161</v>
      </c>
      <c r="N2096" t="str">
        <f t="shared" si="176"/>
        <v>SingleStreamline Hand OperationLevel 2072Top Fix Brackets</v>
      </c>
      <c r="O2096">
        <v>35</v>
      </c>
      <c r="P2096">
        <v>41</v>
      </c>
      <c r="Q2096" s="80">
        <v>0</v>
      </c>
      <c r="R2096" s="80">
        <f t="shared" si="177"/>
        <v>6</v>
      </c>
      <c r="AD2096"/>
    </row>
    <row r="2097" spans="10:30" ht="16.2" customHeight="1">
      <c r="J2097" s="80" t="s">
        <v>746</v>
      </c>
      <c r="K2097" s="80" t="s">
        <v>144</v>
      </c>
      <c r="L2097" t="s">
        <v>170</v>
      </c>
      <c r="M2097" t="s">
        <v>161</v>
      </c>
      <c r="N2097" t="str">
        <f t="shared" si="176"/>
        <v>Double FrontStreamline Hand OperationNormal 2074Top Fix Brackets</v>
      </c>
      <c r="O2097">
        <v>60</v>
      </c>
      <c r="P2097">
        <v>41</v>
      </c>
      <c r="Q2097" s="80">
        <v>0</v>
      </c>
      <c r="R2097" s="80">
        <f t="shared" si="177"/>
        <v>-19</v>
      </c>
      <c r="AD2097"/>
    </row>
    <row r="2098" spans="10:30" ht="16.2" customHeight="1">
      <c r="J2098" s="80" t="s">
        <v>747</v>
      </c>
      <c r="K2098" s="80" t="s">
        <v>144</v>
      </c>
      <c r="L2098" t="s">
        <v>170</v>
      </c>
      <c r="M2098" t="s">
        <v>161</v>
      </c>
      <c r="N2098" t="str">
        <f t="shared" si="176"/>
        <v>Double RearStreamline Hand OperationNormal 2074Top Fix Brackets</v>
      </c>
      <c r="O2098">
        <v>60</v>
      </c>
      <c r="P2098">
        <v>41</v>
      </c>
      <c r="Q2098" s="80">
        <v>0</v>
      </c>
      <c r="R2098" s="80">
        <f t="shared" si="177"/>
        <v>-19</v>
      </c>
      <c r="AD2098"/>
    </row>
    <row r="2099" spans="10:30" ht="16.2" customHeight="1">
      <c r="J2099" s="80" t="s">
        <v>725</v>
      </c>
      <c r="K2099" s="80" t="s">
        <v>144</v>
      </c>
      <c r="L2099" t="s">
        <v>170</v>
      </c>
      <c r="M2099" t="s">
        <v>161</v>
      </c>
      <c r="N2099" t="str">
        <f t="shared" si="176"/>
        <v>SingleStreamline Hand OperationNormal 2074Top Fix Brackets</v>
      </c>
      <c r="O2099">
        <v>60</v>
      </c>
      <c r="P2099">
        <v>41</v>
      </c>
      <c r="Q2099" s="80">
        <v>0</v>
      </c>
      <c r="R2099" s="80">
        <f t="shared" si="177"/>
        <v>-19</v>
      </c>
      <c r="AD2099"/>
    </row>
    <row r="2100" spans="10:30" ht="16.2" customHeight="1">
      <c r="J2100" s="80" t="s">
        <v>746</v>
      </c>
      <c r="K2100" s="80" t="s">
        <v>144</v>
      </c>
      <c r="L2100" t="s">
        <v>183</v>
      </c>
      <c r="M2100" t="s">
        <v>553</v>
      </c>
      <c r="N2100" t="str">
        <f t="shared" si="176"/>
        <v>Double FrontStreamline Hand OperationBelow Normal 2075Triple Face Fix Brackets</v>
      </c>
      <c r="O2100">
        <v>70</v>
      </c>
      <c r="P2100">
        <v>45</v>
      </c>
      <c r="Q2100" s="80">
        <v>0</v>
      </c>
      <c r="R2100" s="80">
        <f t="shared" si="177"/>
        <v>-25</v>
      </c>
      <c r="AD2100"/>
    </row>
    <row r="2101" spans="10:30" ht="16.2" customHeight="1">
      <c r="J2101" s="80" t="s">
        <v>747</v>
      </c>
      <c r="K2101" s="80" t="s">
        <v>144</v>
      </c>
      <c r="L2101" t="s">
        <v>183</v>
      </c>
      <c r="M2101" t="s">
        <v>553</v>
      </c>
      <c r="N2101" t="str">
        <f t="shared" si="176"/>
        <v>Double RearStreamline Hand OperationBelow Normal 2075Triple Face Fix Brackets</v>
      </c>
      <c r="O2101">
        <v>70</v>
      </c>
      <c r="P2101">
        <v>45</v>
      </c>
      <c r="Q2101" s="80">
        <v>0</v>
      </c>
      <c r="R2101" s="80">
        <f t="shared" si="177"/>
        <v>-25</v>
      </c>
      <c r="AD2101"/>
    </row>
    <row r="2102" spans="10:30" ht="16.2" customHeight="1">
      <c r="J2102" s="80" t="s">
        <v>725</v>
      </c>
      <c r="K2102" s="80" t="s">
        <v>144</v>
      </c>
      <c r="L2102" t="s">
        <v>183</v>
      </c>
      <c r="M2102" t="s">
        <v>553</v>
      </c>
      <c r="N2102" t="str">
        <f t="shared" si="176"/>
        <v>SingleStreamline Hand OperationBelow Normal 2075Triple Face Fix Brackets</v>
      </c>
      <c r="O2102">
        <v>70</v>
      </c>
      <c r="P2102">
        <v>45</v>
      </c>
      <c r="Q2102" s="80">
        <v>0</v>
      </c>
      <c r="R2102" s="80">
        <f t="shared" si="177"/>
        <v>-25</v>
      </c>
      <c r="AD2102"/>
    </row>
    <row r="2103" spans="10:30" ht="16.2" customHeight="1">
      <c r="J2103" s="80" t="s">
        <v>746</v>
      </c>
      <c r="K2103" s="80" t="s">
        <v>144</v>
      </c>
      <c r="L2103" t="s">
        <v>182</v>
      </c>
      <c r="M2103" t="s">
        <v>553</v>
      </c>
      <c r="N2103" t="str">
        <f t="shared" si="176"/>
        <v>Double FrontStreamline Hand OperationBetween Level and Normal 2073Triple Face Fix Brackets</v>
      </c>
      <c r="O2103">
        <v>48</v>
      </c>
      <c r="P2103">
        <v>45</v>
      </c>
      <c r="Q2103" s="80">
        <v>0</v>
      </c>
      <c r="R2103" s="80">
        <f t="shared" si="177"/>
        <v>-3</v>
      </c>
      <c r="AD2103"/>
    </row>
    <row r="2104" spans="10:30" ht="16.2" customHeight="1">
      <c r="J2104" s="80" t="s">
        <v>747</v>
      </c>
      <c r="K2104" s="80" t="s">
        <v>144</v>
      </c>
      <c r="L2104" t="s">
        <v>182</v>
      </c>
      <c r="M2104" t="s">
        <v>553</v>
      </c>
      <c r="N2104" t="str">
        <f t="shared" si="176"/>
        <v>Double RearStreamline Hand OperationBetween Level and Normal 2073Triple Face Fix Brackets</v>
      </c>
      <c r="O2104">
        <v>48</v>
      </c>
      <c r="P2104">
        <v>45</v>
      </c>
      <c r="Q2104" s="80">
        <v>0</v>
      </c>
      <c r="R2104" s="80">
        <f t="shared" si="177"/>
        <v>-3</v>
      </c>
      <c r="AD2104"/>
    </row>
    <row r="2105" spans="10:30" ht="16.2" customHeight="1">
      <c r="J2105" s="80" t="s">
        <v>725</v>
      </c>
      <c r="K2105" s="80" t="s">
        <v>144</v>
      </c>
      <c r="L2105" t="s">
        <v>182</v>
      </c>
      <c r="M2105" t="s">
        <v>553</v>
      </c>
      <c r="N2105" t="str">
        <f t="shared" si="176"/>
        <v>SingleStreamline Hand OperationBetween Level and Normal 2073Triple Face Fix Brackets</v>
      </c>
      <c r="O2105">
        <v>47</v>
      </c>
      <c r="P2105">
        <v>45</v>
      </c>
      <c r="Q2105" s="80">
        <v>0</v>
      </c>
      <c r="R2105" s="80">
        <f t="shared" si="177"/>
        <v>-2</v>
      </c>
      <c r="AD2105"/>
    </row>
    <row r="2106" spans="10:30" ht="16.2" customHeight="1">
      <c r="J2106" s="80" t="s">
        <v>746</v>
      </c>
      <c r="K2106" s="80" t="s">
        <v>144</v>
      </c>
      <c r="L2106" t="s">
        <v>184</v>
      </c>
      <c r="M2106" t="s">
        <v>553</v>
      </c>
      <c r="N2106" t="str">
        <f t="shared" si="176"/>
        <v>Double FrontStreamline Hand OperationDecorator 2071Triple Face Fix Brackets</v>
      </c>
      <c r="O2106">
        <v>20</v>
      </c>
      <c r="P2106">
        <v>45</v>
      </c>
      <c r="Q2106" s="80">
        <v>0</v>
      </c>
      <c r="R2106" s="80">
        <f t="shared" si="177"/>
        <v>25</v>
      </c>
      <c r="AD2106"/>
    </row>
    <row r="2107" spans="10:30" ht="16.2" customHeight="1">
      <c r="J2107" s="80" t="s">
        <v>747</v>
      </c>
      <c r="K2107" s="80" t="s">
        <v>144</v>
      </c>
      <c r="L2107" t="s">
        <v>184</v>
      </c>
      <c r="M2107" t="s">
        <v>553</v>
      </c>
      <c r="N2107" t="str">
        <f t="shared" si="176"/>
        <v>Double RearStreamline Hand OperationDecorator 2071Triple Face Fix Brackets</v>
      </c>
      <c r="O2107">
        <v>20</v>
      </c>
      <c r="P2107">
        <v>45</v>
      </c>
      <c r="Q2107" s="80">
        <v>0</v>
      </c>
      <c r="R2107" s="80">
        <f t="shared" si="177"/>
        <v>25</v>
      </c>
      <c r="AD2107"/>
    </row>
    <row r="2108" spans="10:30" ht="16.2" customHeight="1">
      <c r="J2108" s="80" t="s">
        <v>725</v>
      </c>
      <c r="K2108" s="80" t="s">
        <v>144</v>
      </c>
      <c r="L2108" t="s">
        <v>184</v>
      </c>
      <c r="M2108" t="s">
        <v>553</v>
      </c>
      <c r="N2108" t="str">
        <f t="shared" si="176"/>
        <v>SingleStreamline Hand OperationDecorator 2071Triple Face Fix Brackets</v>
      </c>
      <c r="O2108">
        <v>20</v>
      </c>
      <c r="P2108">
        <v>45</v>
      </c>
      <c r="Q2108" s="80">
        <v>0</v>
      </c>
      <c r="R2108" s="80">
        <f t="shared" si="177"/>
        <v>25</v>
      </c>
      <c r="AD2108"/>
    </row>
    <row r="2109" spans="10:30" ht="16.2" customHeight="1">
      <c r="J2109" s="80" t="s">
        <v>746</v>
      </c>
      <c r="K2109" s="80" t="s">
        <v>144</v>
      </c>
      <c r="L2109" t="s">
        <v>6468</v>
      </c>
      <c r="M2109" t="s">
        <v>553</v>
      </c>
      <c r="N2109" t="str">
        <f t="shared" si="176"/>
        <v>Double FrontStreamline Hand OperationGather Hook Bottom PocketTriple Face Fix Brackets</v>
      </c>
      <c r="O2109">
        <v>60</v>
      </c>
      <c r="P2109">
        <v>45</v>
      </c>
      <c r="Q2109" s="80">
        <v>0</v>
      </c>
      <c r="R2109" s="80">
        <f t="shared" si="177"/>
        <v>-15</v>
      </c>
      <c r="AD2109"/>
    </row>
    <row r="2110" spans="10:30" ht="16.2" customHeight="1">
      <c r="J2110" s="80" t="s">
        <v>725</v>
      </c>
      <c r="K2110" s="80" t="s">
        <v>144</v>
      </c>
      <c r="L2110" t="s">
        <v>6468</v>
      </c>
      <c r="M2110" t="s">
        <v>553</v>
      </c>
      <c r="N2110" t="str">
        <f t="shared" si="176"/>
        <v>SingleStreamline Hand OperationGather Hook Bottom PocketTriple Face Fix Brackets</v>
      </c>
      <c r="O2110">
        <v>60</v>
      </c>
      <c r="P2110">
        <v>45</v>
      </c>
      <c r="Q2110" s="80">
        <v>0</v>
      </c>
      <c r="R2110" s="80">
        <f t="shared" si="177"/>
        <v>-15</v>
      </c>
      <c r="AD2110"/>
    </row>
    <row r="2111" spans="10:30" ht="16.2" customHeight="1">
      <c r="J2111" s="80" t="s">
        <v>746</v>
      </c>
      <c r="K2111" s="80" t="s">
        <v>144</v>
      </c>
      <c r="L2111" t="s">
        <v>229</v>
      </c>
      <c r="M2111" t="s">
        <v>553</v>
      </c>
      <c r="N2111" t="str">
        <f t="shared" si="176"/>
        <v>Double FrontStreamline Hand OperationGather Hook LevelTriple Face Fix Brackets</v>
      </c>
      <c r="O2111">
        <v>20</v>
      </c>
      <c r="P2111">
        <v>45</v>
      </c>
      <c r="Q2111" s="80">
        <v>0</v>
      </c>
      <c r="R2111" s="80">
        <f t="shared" si="177"/>
        <v>25</v>
      </c>
      <c r="AD2111"/>
    </row>
    <row r="2112" spans="10:30" ht="16.2" customHeight="1">
      <c r="J2112" s="80" t="s">
        <v>747</v>
      </c>
      <c r="K2112" s="80" t="s">
        <v>144</v>
      </c>
      <c r="L2112" t="s">
        <v>229</v>
      </c>
      <c r="M2112" t="s">
        <v>553</v>
      </c>
      <c r="N2112" t="str">
        <f t="shared" si="176"/>
        <v>Double RearStreamline Hand OperationGather Hook LevelTriple Face Fix Brackets</v>
      </c>
      <c r="O2112">
        <v>20</v>
      </c>
      <c r="P2112">
        <v>45</v>
      </c>
      <c r="Q2112" s="80">
        <v>0</v>
      </c>
      <c r="R2112" s="80">
        <f t="shared" si="177"/>
        <v>25</v>
      </c>
      <c r="AD2112"/>
    </row>
    <row r="2113" spans="10:30" ht="16.2" customHeight="1">
      <c r="J2113" s="80" t="s">
        <v>725</v>
      </c>
      <c r="K2113" s="80" t="s">
        <v>144</v>
      </c>
      <c r="L2113" t="s">
        <v>229</v>
      </c>
      <c r="M2113" t="s">
        <v>553</v>
      </c>
      <c r="N2113" t="str">
        <f t="shared" si="176"/>
        <v>SingleStreamline Hand OperationGather Hook LevelTriple Face Fix Brackets</v>
      </c>
      <c r="O2113">
        <v>20</v>
      </c>
      <c r="P2113">
        <v>45</v>
      </c>
      <c r="Q2113" s="80">
        <v>0</v>
      </c>
      <c r="R2113" s="80">
        <f t="shared" si="177"/>
        <v>25</v>
      </c>
      <c r="AD2113"/>
    </row>
    <row r="2114" spans="10:30" ht="16.2" customHeight="1">
      <c r="J2114" s="80" t="s">
        <v>746</v>
      </c>
      <c r="K2114" s="80" t="s">
        <v>144</v>
      </c>
      <c r="L2114" t="s">
        <v>228</v>
      </c>
      <c r="M2114" t="s">
        <v>553</v>
      </c>
      <c r="N2114" t="str">
        <f t="shared" si="178" ref="N2114:N2177">(CONCATENATE(J2114,K2114,L2114,M2114))</f>
        <v>Double FrontStreamline Hand OperationGather Hook NormalTriple Face Fix Brackets</v>
      </c>
      <c r="O2114">
        <v>43</v>
      </c>
      <c r="P2114">
        <v>45</v>
      </c>
      <c r="Q2114" s="80">
        <v>0</v>
      </c>
      <c r="R2114" s="80">
        <f t="shared" si="177"/>
        <v>2</v>
      </c>
      <c r="AD2114"/>
    </row>
    <row r="2115" spans="10:30" ht="16.2" customHeight="1">
      <c r="J2115" s="80" t="s">
        <v>747</v>
      </c>
      <c r="K2115" s="80" t="s">
        <v>144</v>
      </c>
      <c r="L2115" t="s">
        <v>228</v>
      </c>
      <c r="M2115" t="s">
        <v>553</v>
      </c>
      <c r="N2115" t="str">
        <f t="shared" si="178"/>
        <v>Double RearStreamline Hand OperationGather Hook NormalTriple Face Fix Brackets</v>
      </c>
      <c r="O2115">
        <v>43</v>
      </c>
      <c r="P2115">
        <v>45</v>
      </c>
      <c r="Q2115" s="80">
        <v>0</v>
      </c>
      <c r="R2115" s="80">
        <f t="shared" si="177"/>
        <v>2</v>
      </c>
      <c r="AD2115"/>
    </row>
    <row r="2116" spans="10:30" ht="16.2" customHeight="1">
      <c r="J2116" s="80" t="s">
        <v>725</v>
      </c>
      <c r="K2116" s="80" t="s">
        <v>144</v>
      </c>
      <c r="L2116" t="s">
        <v>228</v>
      </c>
      <c r="M2116" t="s">
        <v>553</v>
      </c>
      <c r="N2116" t="str">
        <f t="shared" si="178"/>
        <v>SingleStreamline Hand OperationGather Hook NormalTriple Face Fix Brackets</v>
      </c>
      <c r="O2116">
        <v>43</v>
      </c>
      <c r="P2116">
        <v>45</v>
      </c>
      <c r="Q2116" s="80">
        <v>0</v>
      </c>
      <c r="R2116" s="80">
        <f t="shared" si="177"/>
        <v>2</v>
      </c>
      <c r="AD2116"/>
    </row>
    <row r="2117" spans="10:30" ht="16.2" customHeight="1">
      <c r="J2117" s="80" t="s">
        <v>746</v>
      </c>
      <c r="K2117" s="80" t="s">
        <v>144</v>
      </c>
      <c r="L2117" t="s">
        <v>282</v>
      </c>
      <c r="M2117" t="s">
        <v>553</v>
      </c>
      <c r="N2117" t="str">
        <f t="shared" si="178"/>
        <v>Double FrontStreamline Hand OperationLevel 2072Triple Face Fix Brackets</v>
      </c>
      <c r="O2117">
        <v>38</v>
      </c>
      <c r="P2117">
        <v>45</v>
      </c>
      <c r="Q2117" s="80">
        <v>0</v>
      </c>
      <c r="R2117" s="80">
        <f t="shared" si="177"/>
        <v>7</v>
      </c>
      <c r="AD2117"/>
    </row>
    <row r="2118" spans="10:30" ht="16.2" customHeight="1">
      <c r="J2118" s="80" t="s">
        <v>747</v>
      </c>
      <c r="K2118" s="80" t="s">
        <v>144</v>
      </c>
      <c r="L2118" t="s">
        <v>282</v>
      </c>
      <c r="M2118" t="s">
        <v>553</v>
      </c>
      <c r="N2118" t="str">
        <f t="shared" si="178"/>
        <v>Double RearStreamline Hand OperationLevel 2072Triple Face Fix Brackets</v>
      </c>
      <c r="O2118">
        <v>38</v>
      </c>
      <c r="P2118">
        <v>45</v>
      </c>
      <c r="Q2118" s="80">
        <v>0</v>
      </c>
      <c r="R2118" s="80">
        <f t="shared" si="177"/>
        <v>7</v>
      </c>
      <c r="AD2118"/>
    </row>
    <row r="2119" spans="10:30" ht="16.2" customHeight="1">
      <c r="J2119" s="80" t="s">
        <v>725</v>
      </c>
      <c r="K2119" s="80" t="s">
        <v>144</v>
      </c>
      <c r="L2119" t="s">
        <v>282</v>
      </c>
      <c r="M2119" t="s">
        <v>553</v>
      </c>
      <c r="N2119" t="str">
        <f t="shared" si="178"/>
        <v>SingleStreamline Hand OperationLevel 2072Triple Face Fix Brackets</v>
      </c>
      <c r="O2119">
        <v>35</v>
      </c>
      <c r="P2119">
        <v>45</v>
      </c>
      <c r="Q2119" s="80">
        <v>0</v>
      </c>
      <c r="R2119" s="80">
        <f t="shared" si="177"/>
        <v>10</v>
      </c>
      <c r="AD2119"/>
    </row>
    <row r="2120" spans="10:30" ht="16.2" customHeight="1">
      <c r="J2120" s="80" t="s">
        <v>746</v>
      </c>
      <c r="K2120" s="80" t="s">
        <v>144</v>
      </c>
      <c r="L2120" t="s">
        <v>170</v>
      </c>
      <c r="M2120" t="s">
        <v>553</v>
      </c>
      <c r="N2120" t="str">
        <f t="shared" si="178"/>
        <v>Double FrontStreamline Hand OperationNormal 2074Triple Face Fix Brackets</v>
      </c>
      <c r="O2120">
        <v>60</v>
      </c>
      <c r="P2120">
        <v>45</v>
      </c>
      <c r="Q2120" s="80">
        <v>0</v>
      </c>
      <c r="R2120" s="80">
        <f t="shared" si="177"/>
        <v>-15</v>
      </c>
      <c r="AD2120"/>
    </row>
    <row r="2121" spans="10:30" ht="16.2" customHeight="1">
      <c r="J2121" s="80" t="s">
        <v>747</v>
      </c>
      <c r="K2121" s="80" t="s">
        <v>144</v>
      </c>
      <c r="L2121" t="s">
        <v>170</v>
      </c>
      <c r="M2121" t="s">
        <v>553</v>
      </c>
      <c r="N2121" t="str">
        <f t="shared" si="178"/>
        <v>Double RearStreamline Hand OperationNormal 2074Triple Face Fix Brackets</v>
      </c>
      <c r="O2121">
        <v>60</v>
      </c>
      <c r="P2121">
        <v>45</v>
      </c>
      <c r="Q2121" s="80">
        <v>0</v>
      </c>
      <c r="R2121" s="80">
        <f t="shared" si="177"/>
        <v>-15</v>
      </c>
      <c r="AD2121"/>
    </row>
    <row r="2122" spans="10:30" ht="16.2" customHeight="1">
      <c r="J2122" s="80" t="s">
        <v>725</v>
      </c>
      <c r="K2122" s="80" t="s">
        <v>144</v>
      </c>
      <c r="L2122" t="s">
        <v>170</v>
      </c>
      <c r="M2122" t="s">
        <v>553</v>
      </c>
      <c r="N2122" t="str">
        <f t="shared" si="178"/>
        <v>SingleStreamline Hand OperationNormal 2074Triple Face Fix Brackets</v>
      </c>
      <c r="O2122">
        <v>60</v>
      </c>
      <c r="P2122">
        <v>45</v>
      </c>
      <c r="Q2122" s="80">
        <v>0</v>
      </c>
      <c r="R2122" s="80">
        <f t="shared" si="177"/>
        <v>-15</v>
      </c>
      <c r="AD2122"/>
    </row>
    <row r="2123" spans="10:30" ht="16.2" customHeight="1">
      <c r="J2123" s="80" t="s">
        <v>746</v>
      </c>
      <c r="K2123" s="80" t="s">
        <v>371</v>
      </c>
      <c r="L2123" t="s">
        <v>183</v>
      </c>
      <c r="M2123" t="s">
        <v>162</v>
      </c>
      <c r="N2123" t="str">
        <f t="shared" si="178"/>
        <v>Double FrontSystem 20 Light Commercial Track Cord DrawnBelow Normal 2075Double Face Fix Brackets</v>
      </c>
      <c r="O2123">
        <v>70</v>
      </c>
      <c r="P2123">
        <v>45</v>
      </c>
      <c r="Q2123" s="80">
        <v>0</v>
      </c>
      <c r="R2123" s="80">
        <f t="shared" si="177"/>
        <v>-25</v>
      </c>
      <c r="AD2123"/>
    </row>
    <row r="2124" spans="10:30" ht="16.2" customHeight="1">
      <c r="J2124" s="80" t="s">
        <v>747</v>
      </c>
      <c r="K2124" s="80" t="s">
        <v>371</v>
      </c>
      <c r="L2124" t="s">
        <v>183</v>
      </c>
      <c r="M2124" t="s">
        <v>162</v>
      </c>
      <c r="N2124" t="str">
        <f t="shared" si="178"/>
        <v>Double RearSystem 20 Light Commercial Track Cord DrawnBelow Normal 2075Double Face Fix Brackets</v>
      </c>
      <c r="O2124">
        <v>70</v>
      </c>
      <c r="P2124">
        <v>45</v>
      </c>
      <c r="Q2124" s="80">
        <v>0</v>
      </c>
      <c r="R2124" s="80">
        <f t="shared" si="177"/>
        <v>-25</v>
      </c>
      <c r="AD2124"/>
    </row>
    <row r="2125" spans="10:30" ht="16.2" customHeight="1">
      <c r="J2125" s="80" t="s">
        <v>725</v>
      </c>
      <c r="K2125" s="80" t="s">
        <v>371</v>
      </c>
      <c r="L2125" t="s">
        <v>183</v>
      </c>
      <c r="M2125" t="s">
        <v>162</v>
      </c>
      <c r="N2125" t="str">
        <f t="shared" si="178"/>
        <v>SingleSystem 20 Light Commercial Track Cord DrawnBelow Normal 2075Double Face Fix Brackets</v>
      </c>
      <c r="O2125">
        <v>70</v>
      </c>
      <c r="P2125">
        <v>45</v>
      </c>
      <c r="Q2125" s="80">
        <v>0</v>
      </c>
      <c r="R2125" s="80">
        <f t="shared" si="177"/>
        <v>-25</v>
      </c>
      <c r="AD2125"/>
    </row>
    <row r="2126" spans="10:30" ht="16.2" customHeight="1">
      <c r="J2126" s="80" t="s">
        <v>746</v>
      </c>
      <c r="K2126" s="80" t="s">
        <v>371</v>
      </c>
      <c r="L2126" t="s">
        <v>182</v>
      </c>
      <c r="M2126" t="s">
        <v>162</v>
      </c>
      <c r="N2126" t="str">
        <f t="shared" si="178"/>
        <v>Double FrontSystem 20 Light Commercial Track Cord DrawnBetween Level and Normal 2073Double Face Fix Brackets</v>
      </c>
      <c r="O2126">
        <v>48</v>
      </c>
      <c r="P2126">
        <v>45</v>
      </c>
      <c r="Q2126" s="80">
        <v>0</v>
      </c>
      <c r="R2126" s="80">
        <f t="shared" si="177"/>
        <v>-3</v>
      </c>
      <c r="AD2126"/>
    </row>
    <row r="2127" spans="10:30" ht="16.2" customHeight="1">
      <c r="J2127" s="80" t="s">
        <v>747</v>
      </c>
      <c r="K2127" s="80" t="s">
        <v>371</v>
      </c>
      <c r="L2127" t="s">
        <v>182</v>
      </c>
      <c r="M2127" t="s">
        <v>162</v>
      </c>
      <c r="N2127" t="str">
        <f t="shared" si="178"/>
        <v>Double RearSystem 20 Light Commercial Track Cord DrawnBetween Level and Normal 2073Double Face Fix Brackets</v>
      </c>
      <c r="O2127">
        <v>48</v>
      </c>
      <c r="P2127">
        <v>45</v>
      </c>
      <c r="Q2127" s="80">
        <v>0</v>
      </c>
      <c r="R2127" s="80">
        <f t="shared" si="177"/>
        <v>-3</v>
      </c>
      <c r="AD2127"/>
    </row>
    <row r="2128" spans="10:30" ht="16.2" customHeight="1">
      <c r="J2128" s="80" t="s">
        <v>725</v>
      </c>
      <c r="K2128" s="80" t="s">
        <v>371</v>
      </c>
      <c r="L2128" t="s">
        <v>182</v>
      </c>
      <c r="M2128" t="s">
        <v>162</v>
      </c>
      <c r="N2128" t="str">
        <f t="shared" si="178"/>
        <v>SingleSystem 20 Light Commercial Track Cord DrawnBetween Level and Normal 2073Double Face Fix Brackets</v>
      </c>
      <c r="O2128">
        <v>47</v>
      </c>
      <c r="P2128">
        <v>45</v>
      </c>
      <c r="Q2128" s="80">
        <v>0</v>
      </c>
      <c r="R2128" s="80">
        <f t="shared" si="177"/>
        <v>-2</v>
      </c>
      <c r="AD2128"/>
    </row>
    <row r="2129" spans="10:30" ht="16.2" customHeight="1">
      <c r="J2129" s="80" t="s">
        <v>746</v>
      </c>
      <c r="K2129" s="80" t="s">
        <v>371</v>
      </c>
      <c r="L2129" t="s">
        <v>184</v>
      </c>
      <c r="M2129" t="s">
        <v>162</v>
      </c>
      <c r="N2129" t="str">
        <f t="shared" si="178"/>
        <v>Double FrontSystem 20 Light Commercial Track Cord DrawnDecorator 2071Double Face Fix Brackets</v>
      </c>
      <c r="O2129">
        <v>20</v>
      </c>
      <c r="P2129">
        <v>45</v>
      </c>
      <c r="Q2129" s="80">
        <v>0</v>
      </c>
      <c r="R2129" s="80">
        <f t="shared" si="177"/>
        <v>25</v>
      </c>
      <c r="AD2129"/>
    </row>
    <row r="2130" spans="10:30" ht="16.2" customHeight="1">
      <c r="J2130" s="80" t="s">
        <v>747</v>
      </c>
      <c r="K2130" s="80" t="s">
        <v>371</v>
      </c>
      <c r="L2130" t="s">
        <v>184</v>
      </c>
      <c r="M2130" t="s">
        <v>162</v>
      </c>
      <c r="N2130" t="str">
        <f t="shared" si="178"/>
        <v>Double RearSystem 20 Light Commercial Track Cord DrawnDecorator 2071Double Face Fix Brackets</v>
      </c>
      <c r="O2130">
        <v>20</v>
      </c>
      <c r="P2130">
        <v>45</v>
      </c>
      <c r="Q2130" s="80">
        <v>0</v>
      </c>
      <c r="R2130" s="80">
        <f t="shared" si="177"/>
        <v>25</v>
      </c>
      <c r="AD2130"/>
    </row>
    <row r="2131" spans="10:30" ht="16.2" customHeight="1">
      <c r="J2131" s="80" t="s">
        <v>725</v>
      </c>
      <c r="K2131" s="80" t="s">
        <v>371</v>
      </c>
      <c r="L2131" t="s">
        <v>184</v>
      </c>
      <c r="M2131" t="s">
        <v>162</v>
      </c>
      <c r="N2131" t="str">
        <f t="shared" si="178"/>
        <v>SingleSystem 20 Light Commercial Track Cord DrawnDecorator 2071Double Face Fix Brackets</v>
      </c>
      <c r="O2131">
        <v>20</v>
      </c>
      <c r="P2131">
        <v>45</v>
      </c>
      <c r="Q2131" s="80">
        <v>0</v>
      </c>
      <c r="R2131" s="80">
        <f t="shared" si="177"/>
        <v>25</v>
      </c>
      <c r="AD2131"/>
    </row>
    <row r="2132" spans="10:30" ht="16.2" customHeight="1">
      <c r="J2132" s="80" t="s">
        <v>746</v>
      </c>
      <c r="K2132" s="80" t="s">
        <v>371</v>
      </c>
      <c r="L2132" t="s">
        <v>6468</v>
      </c>
      <c r="M2132" t="s">
        <v>162</v>
      </c>
      <c r="N2132" t="str">
        <f t="shared" si="178"/>
        <v>Double FrontSystem 20 Light Commercial Track Cord DrawnGather Hook Bottom PocketDouble Face Fix Brackets</v>
      </c>
      <c r="O2132">
        <v>60</v>
      </c>
      <c r="P2132">
        <v>45</v>
      </c>
      <c r="Q2132" s="80">
        <v>0</v>
      </c>
      <c r="R2132" s="80">
        <f t="shared" si="177"/>
        <v>-15</v>
      </c>
      <c r="AD2132"/>
    </row>
    <row r="2133" spans="10:30" ht="16.2" customHeight="1">
      <c r="J2133" s="80" t="s">
        <v>725</v>
      </c>
      <c r="K2133" s="80" t="s">
        <v>371</v>
      </c>
      <c r="L2133" t="s">
        <v>6468</v>
      </c>
      <c r="M2133" t="s">
        <v>162</v>
      </c>
      <c r="N2133" t="str">
        <f t="shared" si="178"/>
        <v>SingleSystem 20 Light Commercial Track Cord DrawnGather Hook Bottom PocketDouble Face Fix Brackets</v>
      </c>
      <c r="O2133">
        <v>60</v>
      </c>
      <c r="P2133">
        <v>45</v>
      </c>
      <c r="Q2133" s="80">
        <v>0</v>
      </c>
      <c r="R2133" s="80">
        <f t="shared" si="177"/>
        <v>-15</v>
      </c>
      <c r="AD2133"/>
    </row>
    <row r="2134" spans="10:30" ht="16.2" customHeight="1">
      <c r="J2134" s="80" t="s">
        <v>746</v>
      </c>
      <c r="K2134" s="80" t="s">
        <v>371</v>
      </c>
      <c r="L2134" t="s">
        <v>229</v>
      </c>
      <c r="M2134" t="s">
        <v>162</v>
      </c>
      <c r="N2134" t="str">
        <f t="shared" si="178"/>
        <v>Double FrontSystem 20 Light Commercial Track Cord DrawnGather Hook LevelDouble Face Fix Brackets</v>
      </c>
      <c r="O2134">
        <v>20</v>
      </c>
      <c r="P2134">
        <v>45</v>
      </c>
      <c r="Q2134" s="80">
        <v>0</v>
      </c>
      <c r="R2134" s="80">
        <f t="shared" si="177"/>
        <v>25</v>
      </c>
      <c r="AD2134"/>
    </row>
    <row r="2135" spans="10:30" ht="16.2" customHeight="1">
      <c r="J2135" s="80" t="s">
        <v>747</v>
      </c>
      <c r="K2135" s="80" t="s">
        <v>371</v>
      </c>
      <c r="L2135" t="s">
        <v>229</v>
      </c>
      <c r="M2135" t="s">
        <v>162</v>
      </c>
      <c r="N2135" t="str">
        <f t="shared" si="178"/>
        <v>Double RearSystem 20 Light Commercial Track Cord DrawnGather Hook LevelDouble Face Fix Brackets</v>
      </c>
      <c r="O2135">
        <v>20</v>
      </c>
      <c r="P2135">
        <v>45</v>
      </c>
      <c r="Q2135" s="80">
        <v>0</v>
      </c>
      <c r="R2135" s="80">
        <f t="shared" si="177"/>
        <v>25</v>
      </c>
      <c r="AD2135"/>
    </row>
    <row r="2136" spans="10:30" ht="16.2" customHeight="1">
      <c r="J2136" s="80" t="s">
        <v>725</v>
      </c>
      <c r="K2136" s="80" t="s">
        <v>371</v>
      </c>
      <c r="L2136" t="s">
        <v>229</v>
      </c>
      <c r="M2136" t="s">
        <v>162</v>
      </c>
      <c r="N2136" t="str">
        <f t="shared" si="178"/>
        <v>SingleSystem 20 Light Commercial Track Cord DrawnGather Hook LevelDouble Face Fix Brackets</v>
      </c>
      <c r="O2136">
        <v>20</v>
      </c>
      <c r="P2136">
        <v>45</v>
      </c>
      <c r="Q2136" s="80">
        <v>0</v>
      </c>
      <c r="R2136" s="80">
        <f t="shared" si="177"/>
        <v>25</v>
      </c>
      <c r="AD2136"/>
    </row>
    <row r="2137" spans="10:30" ht="16.2" customHeight="1">
      <c r="J2137" s="80" t="s">
        <v>746</v>
      </c>
      <c r="K2137" s="80" t="s">
        <v>371</v>
      </c>
      <c r="L2137" t="s">
        <v>228</v>
      </c>
      <c r="M2137" t="s">
        <v>162</v>
      </c>
      <c r="N2137" t="str">
        <f t="shared" si="178"/>
        <v>Double FrontSystem 20 Light Commercial Track Cord DrawnGather Hook NormalDouble Face Fix Brackets</v>
      </c>
      <c r="O2137">
        <v>43</v>
      </c>
      <c r="P2137">
        <v>45</v>
      </c>
      <c r="Q2137" s="80">
        <v>0</v>
      </c>
      <c r="R2137" s="80">
        <f t="shared" si="177"/>
        <v>2</v>
      </c>
      <c r="AD2137"/>
    </row>
    <row r="2138" spans="10:30" ht="16.2" customHeight="1">
      <c r="J2138" s="80" t="s">
        <v>747</v>
      </c>
      <c r="K2138" s="80" t="s">
        <v>371</v>
      </c>
      <c r="L2138" t="s">
        <v>228</v>
      </c>
      <c r="M2138" t="s">
        <v>162</v>
      </c>
      <c r="N2138" t="str">
        <f t="shared" si="178"/>
        <v>Double RearSystem 20 Light Commercial Track Cord DrawnGather Hook NormalDouble Face Fix Brackets</v>
      </c>
      <c r="O2138">
        <v>43</v>
      </c>
      <c r="P2138">
        <v>45</v>
      </c>
      <c r="Q2138" s="80">
        <v>0</v>
      </c>
      <c r="R2138" s="80">
        <f t="shared" si="177"/>
        <v>2</v>
      </c>
      <c r="AD2138"/>
    </row>
    <row r="2139" spans="10:30" ht="16.2" customHeight="1">
      <c r="J2139" s="80" t="s">
        <v>725</v>
      </c>
      <c r="K2139" s="80" t="s">
        <v>371</v>
      </c>
      <c r="L2139" t="s">
        <v>228</v>
      </c>
      <c r="M2139" t="s">
        <v>162</v>
      </c>
      <c r="N2139" t="str">
        <f t="shared" si="178"/>
        <v>SingleSystem 20 Light Commercial Track Cord DrawnGather Hook NormalDouble Face Fix Brackets</v>
      </c>
      <c r="O2139">
        <v>43</v>
      </c>
      <c r="P2139">
        <v>45</v>
      </c>
      <c r="Q2139" s="80">
        <v>0</v>
      </c>
      <c r="R2139" s="80">
        <f t="shared" si="177"/>
        <v>2</v>
      </c>
      <c r="AD2139"/>
    </row>
    <row r="2140" spans="10:30" ht="16.2" customHeight="1">
      <c r="J2140" s="80" t="s">
        <v>746</v>
      </c>
      <c r="K2140" s="80" t="s">
        <v>371</v>
      </c>
      <c r="L2140" t="s">
        <v>282</v>
      </c>
      <c r="M2140" t="s">
        <v>162</v>
      </c>
      <c r="N2140" t="str">
        <f t="shared" si="178"/>
        <v>Double FrontSystem 20 Light Commercial Track Cord DrawnLevel 2072Double Face Fix Brackets</v>
      </c>
      <c r="O2140">
        <v>38</v>
      </c>
      <c r="P2140">
        <v>45</v>
      </c>
      <c r="Q2140" s="80">
        <v>0</v>
      </c>
      <c r="R2140" s="80">
        <f t="shared" si="177"/>
        <v>7</v>
      </c>
      <c r="AD2140"/>
    </row>
    <row r="2141" spans="10:30" ht="16.2" customHeight="1">
      <c r="J2141" s="80" t="s">
        <v>747</v>
      </c>
      <c r="K2141" s="80" t="s">
        <v>371</v>
      </c>
      <c r="L2141" t="s">
        <v>282</v>
      </c>
      <c r="M2141" t="s">
        <v>162</v>
      </c>
      <c r="N2141" t="str">
        <f t="shared" si="178"/>
        <v>Double RearSystem 20 Light Commercial Track Cord DrawnLevel 2072Double Face Fix Brackets</v>
      </c>
      <c r="O2141">
        <v>38</v>
      </c>
      <c r="P2141">
        <v>45</v>
      </c>
      <c r="Q2141" s="80">
        <v>0</v>
      </c>
      <c r="R2141" s="80">
        <f t="shared" si="177"/>
        <v>7</v>
      </c>
      <c r="AD2141"/>
    </row>
    <row r="2142" spans="10:30" ht="16.2" customHeight="1">
      <c r="J2142" s="80" t="s">
        <v>725</v>
      </c>
      <c r="K2142" s="80" t="s">
        <v>371</v>
      </c>
      <c r="L2142" t="s">
        <v>282</v>
      </c>
      <c r="M2142" t="s">
        <v>162</v>
      </c>
      <c r="N2142" t="str">
        <f t="shared" si="178"/>
        <v>SingleSystem 20 Light Commercial Track Cord DrawnLevel 2072Double Face Fix Brackets</v>
      </c>
      <c r="O2142">
        <v>35</v>
      </c>
      <c r="P2142">
        <v>45</v>
      </c>
      <c r="Q2142" s="80">
        <v>0</v>
      </c>
      <c r="R2142" s="80">
        <f t="shared" si="177"/>
        <v>10</v>
      </c>
      <c r="AD2142"/>
    </row>
    <row r="2143" spans="10:30" ht="16.2" customHeight="1">
      <c r="J2143" s="80" t="s">
        <v>746</v>
      </c>
      <c r="K2143" s="80" t="s">
        <v>371</v>
      </c>
      <c r="L2143" t="s">
        <v>170</v>
      </c>
      <c r="M2143" t="s">
        <v>162</v>
      </c>
      <c r="N2143" t="str">
        <f t="shared" si="178"/>
        <v>Double FrontSystem 20 Light Commercial Track Cord DrawnNormal 2074Double Face Fix Brackets</v>
      </c>
      <c r="O2143">
        <v>60</v>
      </c>
      <c r="P2143">
        <v>45</v>
      </c>
      <c r="Q2143" s="80">
        <v>0</v>
      </c>
      <c r="R2143" s="80">
        <f t="shared" si="179" ref="R2143:R2206">SUM(P2143)-O2143</f>
        <v>-15</v>
      </c>
      <c r="AD2143"/>
    </row>
    <row r="2144" spans="10:30" ht="16.2" customHeight="1">
      <c r="J2144" s="80" t="s">
        <v>747</v>
      </c>
      <c r="K2144" s="80" t="s">
        <v>371</v>
      </c>
      <c r="L2144" t="s">
        <v>170</v>
      </c>
      <c r="M2144" t="s">
        <v>162</v>
      </c>
      <c r="N2144" t="str">
        <f t="shared" si="178"/>
        <v>Double RearSystem 20 Light Commercial Track Cord DrawnNormal 2074Double Face Fix Brackets</v>
      </c>
      <c r="O2144">
        <v>60</v>
      </c>
      <c r="P2144">
        <v>45</v>
      </c>
      <c r="Q2144" s="80">
        <v>0</v>
      </c>
      <c r="R2144" s="80">
        <f t="shared" si="179"/>
        <v>-15</v>
      </c>
      <c r="AD2144"/>
    </row>
    <row r="2145" spans="10:30" ht="16.2" customHeight="1">
      <c r="J2145" s="80" t="s">
        <v>725</v>
      </c>
      <c r="K2145" s="80" t="s">
        <v>371</v>
      </c>
      <c r="L2145" t="s">
        <v>170</v>
      </c>
      <c r="M2145" t="s">
        <v>162</v>
      </c>
      <c r="N2145" t="str">
        <f t="shared" si="178"/>
        <v>SingleSystem 20 Light Commercial Track Cord DrawnNormal 2074Double Face Fix Brackets</v>
      </c>
      <c r="O2145">
        <v>60</v>
      </c>
      <c r="P2145">
        <v>45</v>
      </c>
      <c r="Q2145" s="80">
        <v>0</v>
      </c>
      <c r="R2145" s="80">
        <f t="shared" si="179"/>
        <v>-15</v>
      </c>
      <c r="AD2145"/>
    </row>
    <row r="2146" spans="10:30" ht="16.2" customHeight="1">
      <c r="J2146" s="80" t="s">
        <v>746</v>
      </c>
      <c r="K2146" s="80" t="s">
        <v>371</v>
      </c>
      <c r="L2146" t="s">
        <v>183</v>
      </c>
      <c r="M2146" t="s">
        <v>159</v>
      </c>
      <c r="N2146" t="str">
        <f t="shared" si="178"/>
        <v>Double FrontSystem 20 Light Commercial Track Cord DrawnBelow Normal 2075Single Face Fix Brackets</v>
      </c>
      <c r="O2146">
        <v>70</v>
      </c>
      <c r="P2146">
        <v>40</v>
      </c>
      <c r="Q2146" s="80">
        <v>0</v>
      </c>
      <c r="R2146" s="80">
        <f t="shared" si="179"/>
        <v>-30</v>
      </c>
      <c r="AD2146"/>
    </row>
    <row r="2147" spans="10:30" ht="16.2" customHeight="1">
      <c r="J2147" s="80" t="s">
        <v>747</v>
      </c>
      <c r="K2147" s="80" t="s">
        <v>371</v>
      </c>
      <c r="L2147" t="s">
        <v>183</v>
      </c>
      <c r="M2147" t="s">
        <v>159</v>
      </c>
      <c r="N2147" t="str">
        <f t="shared" si="178"/>
        <v>Double RearSystem 20 Light Commercial Track Cord DrawnBelow Normal 2075Single Face Fix Brackets</v>
      </c>
      <c r="O2147">
        <v>70</v>
      </c>
      <c r="P2147">
        <v>40</v>
      </c>
      <c r="Q2147" s="80">
        <v>0</v>
      </c>
      <c r="R2147" s="80">
        <f t="shared" si="179"/>
        <v>-30</v>
      </c>
      <c r="AD2147"/>
    </row>
    <row r="2148" spans="10:30" ht="16.2" customHeight="1">
      <c r="J2148" s="80" t="s">
        <v>725</v>
      </c>
      <c r="K2148" s="80" t="s">
        <v>371</v>
      </c>
      <c r="L2148" t="s">
        <v>183</v>
      </c>
      <c r="M2148" t="s">
        <v>159</v>
      </c>
      <c r="N2148" t="str">
        <f t="shared" si="178"/>
        <v>SingleSystem 20 Light Commercial Track Cord DrawnBelow Normal 2075Single Face Fix Brackets</v>
      </c>
      <c r="O2148">
        <v>70</v>
      </c>
      <c r="P2148">
        <v>40</v>
      </c>
      <c r="Q2148" s="80">
        <v>0</v>
      </c>
      <c r="R2148" s="80">
        <f t="shared" si="179"/>
        <v>-30</v>
      </c>
      <c r="AD2148"/>
    </row>
    <row r="2149" spans="10:30" ht="16.2" customHeight="1">
      <c r="J2149" s="80" t="s">
        <v>746</v>
      </c>
      <c r="K2149" s="80" t="s">
        <v>371</v>
      </c>
      <c r="L2149" t="s">
        <v>182</v>
      </c>
      <c r="M2149" t="s">
        <v>159</v>
      </c>
      <c r="N2149" t="str">
        <f t="shared" si="178"/>
        <v>Double FrontSystem 20 Light Commercial Track Cord DrawnBetween Level and Normal 2073Single Face Fix Brackets</v>
      </c>
      <c r="O2149">
        <v>48</v>
      </c>
      <c r="P2149">
        <v>40</v>
      </c>
      <c r="Q2149" s="80">
        <v>0</v>
      </c>
      <c r="R2149" s="80">
        <f t="shared" si="179"/>
        <v>-8</v>
      </c>
      <c r="AD2149"/>
    </row>
    <row r="2150" spans="10:30" ht="16.2" customHeight="1">
      <c r="J2150" s="80" t="s">
        <v>747</v>
      </c>
      <c r="K2150" s="80" t="s">
        <v>371</v>
      </c>
      <c r="L2150" t="s">
        <v>182</v>
      </c>
      <c r="M2150" t="s">
        <v>159</v>
      </c>
      <c r="N2150" t="str">
        <f t="shared" si="178"/>
        <v>Double RearSystem 20 Light Commercial Track Cord DrawnBetween Level and Normal 2073Single Face Fix Brackets</v>
      </c>
      <c r="O2150">
        <v>48</v>
      </c>
      <c r="P2150">
        <v>40</v>
      </c>
      <c r="Q2150" s="80">
        <v>0</v>
      </c>
      <c r="R2150" s="80">
        <f t="shared" si="179"/>
        <v>-8</v>
      </c>
      <c r="AD2150"/>
    </row>
    <row r="2151" spans="10:30" ht="16.2" customHeight="1">
      <c r="J2151" s="80" t="s">
        <v>725</v>
      </c>
      <c r="K2151" s="80" t="s">
        <v>371</v>
      </c>
      <c r="L2151" t="s">
        <v>182</v>
      </c>
      <c r="M2151" t="s">
        <v>159</v>
      </c>
      <c r="N2151" t="str">
        <f t="shared" si="178"/>
        <v>SingleSystem 20 Light Commercial Track Cord DrawnBetween Level and Normal 2073Single Face Fix Brackets</v>
      </c>
      <c r="O2151">
        <v>47</v>
      </c>
      <c r="P2151">
        <v>40</v>
      </c>
      <c r="Q2151" s="80">
        <v>0</v>
      </c>
      <c r="R2151" s="80">
        <f t="shared" si="179"/>
        <v>-7</v>
      </c>
      <c r="AD2151"/>
    </row>
    <row r="2152" spans="10:30" ht="16.2" customHeight="1">
      <c r="J2152" s="80" t="s">
        <v>746</v>
      </c>
      <c r="K2152" s="80" t="s">
        <v>371</v>
      </c>
      <c r="L2152" t="s">
        <v>184</v>
      </c>
      <c r="M2152" t="s">
        <v>159</v>
      </c>
      <c r="N2152" t="str">
        <f t="shared" si="178"/>
        <v>Double FrontSystem 20 Light Commercial Track Cord DrawnDecorator 2071Single Face Fix Brackets</v>
      </c>
      <c r="O2152">
        <v>20</v>
      </c>
      <c r="P2152">
        <v>40</v>
      </c>
      <c r="Q2152" s="80">
        <v>0</v>
      </c>
      <c r="R2152" s="80">
        <f t="shared" si="179"/>
        <v>20</v>
      </c>
      <c r="AD2152"/>
    </row>
    <row r="2153" spans="10:30" ht="16.2" customHeight="1">
      <c r="J2153" s="80" t="s">
        <v>747</v>
      </c>
      <c r="K2153" s="80" t="s">
        <v>371</v>
      </c>
      <c r="L2153" t="s">
        <v>184</v>
      </c>
      <c r="M2153" t="s">
        <v>159</v>
      </c>
      <c r="N2153" t="str">
        <f t="shared" si="178"/>
        <v>Double RearSystem 20 Light Commercial Track Cord DrawnDecorator 2071Single Face Fix Brackets</v>
      </c>
      <c r="O2153">
        <v>20</v>
      </c>
      <c r="P2153">
        <v>40</v>
      </c>
      <c r="Q2153" s="80">
        <v>0</v>
      </c>
      <c r="R2153" s="80">
        <f t="shared" si="179"/>
        <v>20</v>
      </c>
      <c r="AD2153"/>
    </row>
    <row r="2154" spans="10:30" ht="16.2" customHeight="1">
      <c r="J2154" s="80" t="s">
        <v>725</v>
      </c>
      <c r="K2154" s="80" t="s">
        <v>371</v>
      </c>
      <c r="L2154" t="s">
        <v>184</v>
      </c>
      <c r="M2154" t="s">
        <v>159</v>
      </c>
      <c r="N2154" t="str">
        <f t="shared" si="178"/>
        <v>SingleSystem 20 Light Commercial Track Cord DrawnDecorator 2071Single Face Fix Brackets</v>
      </c>
      <c r="O2154">
        <v>20</v>
      </c>
      <c r="P2154">
        <v>40</v>
      </c>
      <c r="Q2154" s="80">
        <v>0</v>
      </c>
      <c r="R2154" s="80">
        <f t="shared" si="179"/>
        <v>20</v>
      </c>
      <c r="AD2154"/>
    </row>
    <row r="2155" spans="10:30" ht="16.2" customHeight="1">
      <c r="J2155" s="80" t="s">
        <v>746</v>
      </c>
      <c r="K2155" s="80" t="s">
        <v>371</v>
      </c>
      <c r="L2155" t="s">
        <v>6468</v>
      </c>
      <c r="M2155" t="s">
        <v>159</v>
      </c>
      <c r="N2155" t="str">
        <f t="shared" si="178"/>
        <v>Double FrontSystem 20 Light Commercial Track Cord DrawnGather Hook Bottom PocketSingle Face Fix Brackets</v>
      </c>
      <c r="O2155">
        <v>60</v>
      </c>
      <c r="P2155">
        <v>40</v>
      </c>
      <c r="Q2155" s="80">
        <v>0</v>
      </c>
      <c r="R2155" s="80">
        <f t="shared" si="179"/>
        <v>-20</v>
      </c>
      <c r="AD2155"/>
    </row>
    <row r="2156" spans="10:30" ht="16.2" customHeight="1">
      <c r="J2156" s="80" t="s">
        <v>725</v>
      </c>
      <c r="K2156" s="80" t="s">
        <v>371</v>
      </c>
      <c r="L2156" t="s">
        <v>6468</v>
      </c>
      <c r="M2156" t="s">
        <v>159</v>
      </c>
      <c r="N2156" t="str">
        <f t="shared" si="178"/>
        <v>SingleSystem 20 Light Commercial Track Cord DrawnGather Hook Bottom PocketSingle Face Fix Brackets</v>
      </c>
      <c r="O2156">
        <v>60</v>
      </c>
      <c r="P2156">
        <v>40</v>
      </c>
      <c r="Q2156" s="80">
        <v>0</v>
      </c>
      <c r="R2156" s="80">
        <f t="shared" si="179"/>
        <v>-20</v>
      </c>
      <c r="AD2156"/>
    </row>
    <row r="2157" spans="10:30" ht="16.2" customHeight="1">
      <c r="J2157" s="80" t="s">
        <v>746</v>
      </c>
      <c r="K2157" s="80" t="s">
        <v>371</v>
      </c>
      <c r="L2157" t="s">
        <v>229</v>
      </c>
      <c r="M2157" t="s">
        <v>159</v>
      </c>
      <c r="N2157" t="str">
        <f t="shared" si="178"/>
        <v>Double FrontSystem 20 Light Commercial Track Cord DrawnGather Hook LevelSingle Face Fix Brackets</v>
      </c>
      <c r="O2157">
        <v>20</v>
      </c>
      <c r="P2157">
        <v>40</v>
      </c>
      <c r="Q2157" s="80">
        <v>0</v>
      </c>
      <c r="R2157" s="80">
        <f t="shared" si="179"/>
        <v>20</v>
      </c>
      <c r="AD2157"/>
    </row>
    <row r="2158" spans="10:30" ht="16.2" customHeight="1">
      <c r="J2158" s="80" t="s">
        <v>747</v>
      </c>
      <c r="K2158" s="80" t="s">
        <v>371</v>
      </c>
      <c r="L2158" t="s">
        <v>229</v>
      </c>
      <c r="M2158" t="s">
        <v>159</v>
      </c>
      <c r="N2158" t="str">
        <f t="shared" si="178"/>
        <v>Double RearSystem 20 Light Commercial Track Cord DrawnGather Hook LevelSingle Face Fix Brackets</v>
      </c>
      <c r="O2158">
        <v>20</v>
      </c>
      <c r="P2158">
        <v>40</v>
      </c>
      <c r="Q2158" s="80">
        <v>0</v>
      </c>
      <c r="R2158" s="80">
        <f t="shared" si="179"/>
        <v>20</v>
      </c>
      <c r="AD2158"/>
    </row>
    <row r="2159" spans="10:30" ht="16.2" customHeight="1">
      <c r="J2159" s="80" t="s">
        <v>725</v>
      </c>
      <c r="K2159" s="80" t="s">
        <v>371</v>
      </c>
      <c r="L2159" t="s">
        <v>229</v>
      </c>
      <c r="M2159" t="s">
        <v>159</v>
      </c>
      <c r="N2159" t="str">
        <f t="shared" si="178"/>
        <v>SingleSystem 20 Light Commercial Track Cord DrawnGather Hook LevelSingle Face Fix Brackets</v>
      </c>
      <c r="O2159">
        <v>20</v>
      </c>
      <c r="P2159">
        <v>40</v>
      </c>
      <c r="Q2159" s="80">
        <v>0</v>
      </c>
      <c r="R2159" s="80">
        <f t="shared" si="179"/>
        <v>20</v>
      </c>
      <c r="AD2159"/>
    </row>
    <row r="2160" spans="10:30" ht="16.2" customHeight="1">
      <c r="J2160" s="80" t="s">
        <v>746</v>
      </c>
      <c r="K2160" s="80" t="s">
        <v>371</v>
      </c>
      <c r="L2160" t="s">
        <v>228</v>
      </c>
      <c r="M2160" t="s">
        <v>159</v>
      </c>
      <c r="N2160" t="str">
        <f t="shared" si="178"/>
        <v>Double FrontSystem 20 Light Commercial Track Cord DrawnGather Hook NormalSingle Face Fix Brackets</v>
      </c>
      <c r="O2160">
        <v>43</v>
      </c>
      <c r="P2160">
        <v>40</v>
      </c>
      <c r="Q2160" s="80">
        <v>0</v>
      </c>
      <c r="R2160" s="80">
        <f t="shared" si="179"/>
        <v>-3</v>
      </c>
      <c r="AD2160"/>
    </row>
    <row r="2161" spans="10:30" ht="16.2" customHeight="1">
      <c r="J2161" s="80" t="s">
        <v>747</v>
      </c>
      <c r="K2161" s="80" t="s">
        <v>371</v>
      </c>
      <c r="L2161" t="s">
        <v>228</v>
      </c>
      <c r="M2161" t="s">
        <v>159</v>
      </c>
      <c r="N2161" t="str">
        <f t="shared" si="178"/>
        <v>Double RearSystem 20 Light Commercial Track Cord DrawnGather Hook NormalSingle Face Fix Brackets</v>
      </c>
      <c r="O2161">
        <v>43</v>
      </c>
      <c r="P2161">
        <v>40</v>
      </c>
      <c r="Q2161" s="80">
        <v>0</v>
      </c>
      <c r="R2161" s="80">
        <f t="shared" si="179"/>
        <v>-3</v>
      </c>
      <c r="AD2161"/>
    </row>
    <row r="2162" spans="10:30" ht="16.2" customHeight="1">
      <c r="J2162" s="80" t="s">
        <v>725</v>
      </c>
      <c r="K2162" s="80" t="s">
        <v>371</v>
      </c>
      <c r="L2162" t="s">
        <v>228</v>
      </c>
      <c r="M2162" t="s">
        <v>159</v>
      </c>
      <c r="N2162" t="str">
        <f t="shared" si="178"/>
        <v>SingleSystem 20 Light Commercial Track Cord DrawnGather Hook NormalSingle Face Fix Brackets</v>
      </c>
      <c r="O2162">
        <v>43</v>
      </c>
      <c r="P2162">
        <v>40</v>
      </c>
      <c r="Q2162" s="80">
        <v>0</v>
      </c>
      <c r="R2162" s="80">
        <f t="shared" si="179"/>
        <v>-3</v>
      </c>
      <c r="AD2162"/>
    </row>
    <row r="2163" spans="10:30" ht="16.2" customHeight="1">
      <c r="J2163" s="80" t="s">
        <v>746</v>
      </c>
      <c r="K2163" s="80" t="s">
        <v>371</v>
      </c>
      <c r="L2163" t="s">
        <v>282</v>
      </c>
      <c r="M2163" t="s">
        <v>159</v>
      </c>
      <c r="N2163" t="str">
        <f t="shared" si="178"/>
        <v>Double FrontSystem 20 Light Commercial Track Cord DrawnLevel 2072Single Face Fix Brackets</v>
      </c>
      <c r="O2163">
        <v>38</v>
      </c>
      <c r="P2163">
        <v>40</v>
      </c>
      <c r="Q2163" s="80">
        <v>0</v>
      </c>
      <c r="R2163" s="80">
        <f t="shared" si="179"/>
        <v>2</v>
      </c>
      <c r="AD2163"/>
    </row>
    <row r="2164" spans="10:30" ht="16.2" customHeight="1">
      <c r="J2164" s="80" t="s">
        <v>747</v>
      </c>
      <c r="K2164" s="80" t="s">
        <v>371</v>
      </c>
      <c r="L2164" t="s">
        <v>282</v>
      </c>
      <c r="M2164" t="s">
        <v>159</v>
      </c>
      <c r="N2164" t="str">
        <f t="shared" si="178"/>
        <v>Double RearSystem 20 Light Commercial Track Cord DrawnLevel 2072Single Face Fix Brackets</v>
      </c>
      <c r="O2164">
        <v>38</v>
      </c>
      <c r="P2164">
        <v>40</v>
      </c>
      <c r="Q2164" s="80">
        <v>0</v>
      </c>
      <c r="R2164" s="80">
        <f t="shared" si="179"/>
        <v>2</v>
      </c>
      <c r="AD2164"/>
    </row>
    <row r="2165" spans="10:30" ht="16.2" customHeight="1">
      <c r="J2165" s="80" t="s">
        <v>725</v>
      </c>
      <c r="K2165" s="80" t="s">
        <v>371</v>
      </c>
      <c r="L2165" t="s">
        <v>282</v>
      </c>
      <c r="M2165" t="s">
        <v>159</v>
      </c>
      <c r="N2165" t="str">
        <f t="shared" si="178"/>
        <v>SingleSystem 20 Light Commercial Track Cord DrawnLevel 2072Single Face Fix Brackets</v>
      </c>
      <c r="O2165">
        <v>35</v>
      </c>
      <c r="P2165">
        <v>40</v>
      </c>
      <c r="Q2165" s="80">
        <v>0</v>
      </c>
      <c r="R2165" s="80">
        <f t="shared" si="179"/>
        <v>5</v>
      </c>
      <c r="AD2165"/>
    </row>
    <row r="2166" spans="10:30" ht="16.2" customHeight="1">
      <c r="J2166" s="80" t="s">
        <v>746</v>
      </c>
      <c r="K2166" s="80" t="s">
        <v>371</v>
      </c>
      <c r="L2166" t="s">
        <v>170</v>
      </c>
      <c r="M2166" t="s">
        <v>159</v>
      </c>
      <c r="N2166" t="str">
        <f t="shared" si="178"/>
        <v>Double FrontSystem 20 Light Commercial Track Cord DrawnNormal 2074Single Face Fix Brackets</v>
      </c>
      <c r="O2166">
        <v>60</v>
      </c>
      <c r="P2166">
        <v>40</v>
      </c>
      <c r="Q2166" s="80">
        <v>0</v>
      </c>
      <c r="R2166" s="80">
        <f t="shared" si="179"/>
        <v>-20</v>
      </c>
      <c r="AD2166"/>
    </row>
    <row r="2167" spans="10:30" ht="16.2" customHeight="1">
      <c r="J2167" s="80" t="s">
        <v>747</v>
      </c>
      <c r="K2167" s="80" t="s">
        <v>371</v>
      </c>
      <c r="L2167" t="s">
        <v>170</v>
      </c>
      <c r="M2167" t="s">
        <v>159</v>
      </c>
      <c r="N2167" t="str">
        <f t="shared" si="178"/>
        <v>Double RearSystem 20 Light Commercial Track Cord DrawnNormal 2074Single Face Fix Brackets</v>
      </c>
      <c r="O2167">
        <v>60</v>
      </c>
      <c r="P2167">
        <v>40</v>
      </c>
      <c r="Q2167" s="80">
        <v>0</v>
      </c>
      <c r="R2167" s="80">
        <f t="shared" si="179"/>
        <v>-20</v>
      </c>
      <c r="AD2167"/>
    </row>
    <row r="2168" spans="10:30" ht="16.2" customHeight="1">
      <c r="J2168" s="80" t="s">
        <v>725</v>
      </c>
      <c r="K2168" s="80" t="s">
        <v>371</v>
      </c>
      <c r="L2168" t="s">
        <v>170</v>
      </c>
      <c r="M2168" t="s">
        <v>159</v>
      </c>
      <c r="N2168" t="str">
        <f t="shared" si="178"/>
        <v>SingleSystem 20 Light Commercial Track Cord DrawnNormal 2074Single Face Fix Brackets</v>
      </c>
      <c r="O2168">
        <v>60</v>
      </c>
      <c r="P2168">
        <v>40</v>
      </c>
      <c r="Q2168" s="80">
        <v>0</v>
      </c>
      <c r="R2168" s="80">
        <f t="shared" si="179"/>
        <v>-20</v>
      </c>
      <c r="AD2168"/>
    </row>
    <row r="2169" spans="10:30" ht="16.2" customHeight="1">
      <c r="J2169" s="80" t="s">
        <v>746</v>
      </c>
      <c r="K2169" s="80" t="s">
        <v>371</v>
      </c>
      <c r="L2169" t="s">
        <v>183</v>
      </c>
      <c r="M2169" t="s">
        <v>161</v>
      </c>
      <c r="N2169" t="str">
        <f t="shared" si="178"/>
        <v>Double FrontSystem 20 Light Commercial Track Cord DrawnBelow Normal 2075Top Fix Brackets</v>
      </c>
      <c r="O2169">
        <v>70</v>
      </c>
      <c r="P2169">
        <v>36</v>
      </c>
      <c r="Q2169" s="80">
        <v>0</v>
      </c>
      <c r="R2169" s="80">
        <f t="shared" si="179"/>
        <v>-34</v>
      </c>
      <c r="AD2169"/>
    </row>
    <row r="2170" spans="10:30" ht="16.2" customHeight="1">
      <c r="J2170" s="80" t="s">
        <v>747</v>
      </c>
      <c r="K2170" s="80" t="s">
        <v>371</v>
      </c>
      <c r="L2170" t="s">
        <v>183</v>
      </c>
      <c r="M2170" t="s">
        <v>161</v>
      </c>
      <c r="N2170" t="str">
        <f t="shared" si="178"/>
        <v>Double RearSystem 20 Light Commercial Track Cord DrawnBelow Normal 2075Top Fix Brackets</v>
      </c>
      <c r="O2170">
        <v>70</v>
      </c>
      <c r="P2170">
        <v>36</v>
      </c>
      <c r="Q2170" s="80">
        <v>0</v>
      </c>
      <c r="R2170" s="80">
        <f t="shared" si="179"/>
        <v>-34</v>
      </c>
      <c r="AD2170"/>
    </row>
    <row r="2171" spans="10:30" ht="16.2" customHeight="1">
      <c r="J2171" s="80" t="s">
        <v>725</v>
      </c>
      <c r="K2171" s="80" t="s">
        <v>371</v>
      </c>
      <c r="L2171" t="s">
        <v>183</v>
      </c>
      <c r="M2171" t="s">
        <v>161</v>
      </c>
      <c r="N2171" t="str">
        <f t="shared" si="178"/>
        <v>SingleSystem 20 Light Commercial Track Cord DrawnBelow Normal 2075Top Fix Brackets</v>
      </c>
      <c r="O2171">
        <v>70</v>
      </c>
      <c r="P2171">
        <v>36</v>
      </c>
      <c r="Q2171" s="80">
        <v>0</v>
      </c>
      <c r="R2171" s="80">
        <f t="shared" si="179"/>
        <v>-34</v>
      </c>
      <c r="AD2171"/>
    </row>
    <row r="2172" spans="10:30" ht="16.2" customHeight="1">
      <c r="J2172" s="80" t="s">
        <v>746</v>
      </c>
      <c r="K2172" s="80" t="s">
        <v>371</v>
      </c>
      <c r="L2172" t="s">
        <v>182</v>
      </c>
      <c r="M2172" t="s">
        <v>161</v>
      </c>
      <c r="N2172" t="str">
        <f t="shared" si="178"/>
        <v>Double FrontSystem 20 Light Commercial Track Cord DrawnBetween Level and Normal 2073Top Fix Brackets</v>
      </c>
      <c r="O2172">
        <v>48</v>
      </c>
      <c r="P2172">
        <v>36</v>
      </c>
      <c r="Q2172" s="80">
        <v>0</v>
      </c>
      <c r="R2172" s="80">
        <f t="shared" si="179"/>
        <v>-12</v>
      </c>
      <c r="AD2172"/>
    </row>
    <row r="2173" spans="10:30" ht="16.2" customHeight="1">
      <c r="J2173" s="80" t="s">
        <v>747</v>
      </c>
      <c r="K2173" s="80" t="s">
        <v>371</v>
      </c>
      <c r="L2173" t="s">
        <v>182</v>
      </c>
      <c r="M2173" t="s">
        <v>161</v>
      </c>
      <c r="N2173" t="str">
        <f t="shared" si="178"/>
        <v>Double RearSystem 20 Light Commercial Track Cord DrawnBetween Level and Normal 2073Top Fix Brackets</v>
      </c>
      <c r="O2173">
        <v>48</v>
      </c>
      <c r="P2173">
        <v>36</v>
      </c>
      <c r="Q2173" s="80">
        <v>0</v>
      </c>
      <c r="R2173" s="80">
        <f t="shared" si="179"/>
        <v>-12</v>
      </c>
      <c r="AD2173"/>
    </row>
    <row r="2174" spans="10:30" ht="16.2" customHeight="1">
      <c r="J2174" s="80" t="s">
        <v>725</v>
      </c>
      <c r="K2174" s="80" t="s">
        <v>371</v>
      </c>
      <c r="L2174" t="s">
        <v>182</v>
      </c>
      <c r="M2174" t="s">
        <v>161</v>
      </c>
      <c r="N2174" t="str">
        <f t="shared" si="178"/>
        <v>SingleSystem 20 Light Commercial Track Cord DrawnBetween Level and Normal 2073Top Fix Brackets</v>
      </c>
      <c r="O2174">
        <v>47</v>
      </c>
      <c r="P2174">
        <v>36</v>
      </c>
      <c r="Q2174" s="80">
        <v>0</v>
      </c>
      <c r="R2174" s="80">
        <f t="shared" si="179"/>
        <v>-11</v>
      </c>
      <c r="AD2174"/>
    </row>
    <row r="2175" spans="10:30" ht="16.2" customHeight="1">
      <c r="J2175" s="80" t="s">
        <v>746</v>
      </c>
      <c r="K2175" s="80" t="s">
        <v>371</v>
      </c>
      <c r="L2175" t="s">
        <v>184</v>
      </c>
      <c r="M2175" t="s">
        <v>161</v>
      </c>
      <c r="N2175" t="str">
        <f t="shared" si="178"/>
        <v>Double FrontSystem 20 Light Commercial Track Cord DrawnDecorator 2071Top Fix Brackets</v>
      </c>
      <c r="O2175">
        <v>20</v>
      </c>
      <c r="P2175">
        <v>36</v>
      </c>
      <c r="Q2175" s="80">
        <v>0</v>
      </c>
      <c r="R2175" s="80">
        <f t="shared" si="179"/>
        <v>16</v>
      </c>
      <c r="AD2175"/>
    </row>
    <row r="2176" spans="10:30" ht="16.2" customHeight="1">
      <c r="J2176" s="80" t="s">
        <v>747</v>
      </c>
      <c r="K2176" s="80" t="s">
        <v>371</v>
      </c>
      <c r="L2176" t="s">
        <v>184</v>
      </c>
      <c r="M2176" t="s">
        <v>161</v>
      </c>
      <c r="N2176" t="str">
        <f t="shared" si="178"/>
        <v>Double RearSystem 20 Light Commercial Track Cord DrawnDecorator 2071Top Fix Brackets</v>
      </c>
      <c r="O2176">
        <v>20</v>
      </c>
      <c r="P2176">
        <v>36</v>
      </c>
      <c r="Q2176" s="80">
        <v>0</v>
      </c>
      <c r="R2176" s="80">
        <f t="shared" si="179"/>
        <v>16</v>
      </c>
      <c r="AD2176"/>
    </row>
    <row r="2177" spans="10:30" ht="16.2" customHeight="1">
      <c r="J2177" s="80" t="s">
        <v>725</v>
      </c>
      <c r="K2177" s="80" t="s">
        <v>371</v>
      </c>
      <c r="L2177" t="s">
        <v>184</v>
      </c>
      <c r="M2177" t="s">
        <v>161</v>
      </c>
      <c r="N2177" t="str">
        <f t="shared" si="178"/>
        <v>SingleSystem 20 Light Commercial Track Cord DrawnDecorator 2071Top Fix Brackets</v>
      </c>
      <c r="O2177">
        <v>20</v>
      </c>
      <c r="P2177">
        <v>36</v>
      </c>
      <c r="Q2177" s="80">
        <v>0</v>
      </c>
      <c r="R2177" s="80">
        <f t="shared" si="179"/>
        <v>16</v>
      </c>
      <c r="AD2177"/>
    </row>
    <row r="2178" spans="10:30" ht="16.2" customHeight="1">
      <c r="J2178" s="80" t="s">
        <v>746</v>
      </c>
      <c r="K2178" s="80" t="s">
        <v>371</v>
      </c>
      <c r="L2178" t="s">
        <v>6468</v>
      </c>
      <c r="M2178" t="s">
        <v>161</v>
      </c>
      <c r="N2178" t="str">
        <f t="shared" si="180" ref="N2178:N2241">(CONCATENATE(J2178,K2178,L2178,M2178))</f>
        <v>Double FrontSystem 20 Light Commercial Track Cord DrawnGather Hook Bottom PocketTop Fix Brackets</v>
      </c>
      <c r="O2178">
        <v>60</v>
      </c>
      <c r="P2178">
        <v>36</v>
      </c>
      <c r="Q2178" s="80">
        <v>0</v>
      </c>
      <c r="R2178" s="80">
        <f t="shared" si="179"/>
        <v>-24</v>
      </c>
      <c r="AD2178"/>
    </row>
    <row r="2179" spans="10:30" ht="16.2" customHeight="1">
      <c r="J2179" s="80" t="s">
        <v>725</v>
      </c>
      <c r="K2179" s="80" t="s">
        <v>371</v>
      </c>
      <c r="L2179" t="s">
        <v>6468</v>
      </c>
      <c r="M2179" t="s">
        <v>161</v>
      </c>
      <c r="N2179" t="str">
        <f t="shared" si="180"/>
        <v>SingleSystem 20 Light Commercial Track Cord DrawnGather Hook Bottom PocketTop Fix Brackets</v>
      </c>
      <c r="O2179">
        <v>60</v>
      </c>
      <c r="P2179">
        <v>36</v>
      </c>
      <c r="Q2179" s="80">
        <v>0</v>
      </c>
      <c r="R2179" s="80">
        <f t="shared" si="179"/>
        <v>-24</v>
      </c>
      <c r="AD2179"/>
    </row>
    <row r="2180" spans="10:30" ht="16.2" customHeight="1">
      <c r="J2180" s="80" t="s">
        <v>746</v>
      </c>
      <c r="K2180" s="80" t="s">
        <v>371</v>
      </c>
      <c r="L2180" t="s">
        <v>229</v>
      </c>
      <c r="M2180" t="s">
        <v>161</v>
      </c>
      <c r="N2180" t="str">
        <f t="shared" si="180"/>
        <v>Double FrontSystem 20 Light Commercial Track Cord DrawnGather Hook LevelTop Fix Brackets</v>
      </c>
      <c r="O2180">
        <v>20</v>
      </c>
      <c r="P2180">
        <v>36</v>
      </c>
      <c r="Q2180" s="80">
        <v>0</v>
      </c>
      <c r="R2180" s="80">
        <f t="shared" si="179"/>
        <v>16</v>
      </c>
      <c r="AD2180"/>
    </row>
    <row r="2181" spans="10:30" ht="16.2" customHeight="1">
      <c r="J2181" s="80" t="s">
        <v>747</v>
      </c>
      <c r="K2181" s="80" t="s">
        <v>371</v>
      </c>
      <c r="L2181" t="s">
        <v>229</v>
      </c>
      <c r="M2181" t="s">
        <v>161</v>
      </c>
      <c r="N2181" t="str">
        <f t="shared" si="180"/>
        <v>Double RearSystem 20 Light Commercial Track Cord DrawnGather Hook LevelTop Fix Brackets</v>
      </c>
      <c r="O2181">
        <v>20</v>
      </c>
      <c r="P2181">
        <v>36</v>
      </c>
      <c r="Q2181" s="80">
        <v>0</v>
      </c>
      <c r="R2181" s="80">
        <f t="shared" si="179"/>
        <v>16</v>
      </c>
      <c r="AD2181"/>
    </row>
    <row r="2182" spans="10:30" ht="16.2" customHeight="1">
      <c r="J2182" s="80" t="s">
        <v>725</v>
      </c>
      <c r="K2182" s="80" t="s">
        <v>371</v>
      </c>
      <c r="L2182" t="s">
        <v>229</v>
      </c>
      <c r="M2182" t="s">
        <v>161</v>
      </c>
      <c r="N2182" t="str">
        <f t="shared" si="180"/>
        <v>SingleSystem 20 Light Commercial Track Cord DrawnGather Hook LevelTop Fix Brackets</v>
      </c>
      <c r="O2182">
        <v>20</v>
      </c>
      <c r="P2182">
        <v>36</v>
      </c>
      <c r="Q2182" s="80">
        <v>0</v>
      </c>
      <c r="R2182" s="80">
        <f t="shared" si="179"/>
        <v>16</v>
      </c>
      <c r="AD2182"/>
    </row>
    <row r="2183" spans="10:30" ht="16.2" customHeight="1">
      <c r="J2183" s="80" t="s">
        <v>746</v>
      </c>
      <c r="K2183" s="80" t="s">
        <v>371</v>
      </c>
      <c r="L2183" t="s">
        <v>228</v>
      </c>
      <c r="M2183" t="s">
        <v>161</v>
      </c>
      <c r="N2183" t="str">
        <f t="shared" si="180"/>
        <v>Double FrontSystem 20 Light Commercial Track Cord DrawnGather Hook NormalTop Fix Brackets</v>
      </c>
      <c r="O2183">
        <v>43</v>
      </c>
      <c r="P2183">
        <v>36</v>
      </c>
      <c r="Q2183" s="80">
        <v>0</v>
      </c>
      <c r="R2183" s="80">
        <f t="shared" si="179"/>
        <v>-7</v>
      </c>
      <c r="AD2183"/>
    </row>
    <row r="2184" spans="10:30" ht="16.2" customHeight="1">
      <c r="J2184" s="80" t="s">
        <v>747</v>
      </c>
      <c r="K2184" s="80" t="s">
        <v>371</v>
      </c>
      <c r="L2184" t="s">
        <v>228</v>
      </c>
      <c r="M2184" t="s">
        <v>161</v>
      </c>
      <c r="N2184" t="str">
        <f t="shared" si="180"/>
        <v>Double RearSystem 20 Light Commercial Track Cord DrawnGather Hook NormalTop Fix Brackets</v>
      </c>
      <c r="O2184">
        <v>43</v>
      </c>
      <c r="P2184">
        <v>36</v>
      </c>
      <c r="Q2184" s="80">
        <v>0</v>
      </c>
      <c r="R2184" s="80">
        <f t="shared" si="179"/>
        <v>-7</v>
      </c>
      <c r="AD2184"/>
    </row>
    <row r="2185" spans="10:30" ht="16.2" customHeight="1">
      <c r="J2185" s="80" t="s">
        <v>725</v>
      </c>
      <c r="K2185" s="80" t="s">
        <v>371</v>
      </c>
      <c r="L2185" t="s">
        <v>228</v>
      </c>
      <c r="M2185" t="s">
        <v>161</v>
      </c>
      <c r="N2185" t="str">
        <f t="shared" si="180"/>
        <v>SingleSystem 20 Light Commercial Track Cord DrawnGather Hook NormalTop Fix Brackets</v>
      </c>
      <c r="O2185">
        <v>43</v>
      </c>
      <c r="P2185">
        <v>36</v>
      </c>
      <c r="Q2185" s="80">
        <v>0</v>
      </c>
      <c r="R2185" s="80">
        <f t="shared" si="179"/>
        <v>-7</v>
      </c>
      <c r="AD2185"/>
    </row>
    <row r="2186" spans="10:30" ht="16.2" customHeight="1">
      <c r="J2186" s="80" t="s">
        <v>746</v>
      </c>
      <c r="K2186" s="80" t="s">
        <v>371</v>
      </c>
      <c r="L2186" t="s">
        <v>282</v>
      </c>
      <c r="M2186" t="s">
        <v>161</v>
      </c>
      <c r="N2186" t="str">
        <f t="shared" si="180"/>
        <v>Double FrontSystem 20 Light Commercial Track Cord DrawnLevel 2072Top Fix Brackets</v>
      </c>
      <c r="O2186">
        <v>38</v>
      </c>
      <c r="P2186">
        <v>36</v>
      </c>
      <c r="Q2186" s="80">
        <v>0</v>
      </c>
      <c r="R2186" s="80">
        <f t="shared" si="179"/>
        <v>-2</v>
      </c>
      <c r="AD2186"/>
    </row>
    <row r="2187" spans="10:30" ht="16.2" customHeight="1">
      <c r="J2187" s="80" t="s">
        <v>747</v>
      </c>
      <c r="K2187" s="80" t="s">
        <v>371</v>
      </c>
      <c r="L2187" t="s">
        <v>282</v>
      </c>
      <c r="M2187" t="s">
        <v>161</v>
      </c>
      <c r="N2187" t="str">
        <f t="shared" si="180"/>
        <v>Double RearSystem 20 Light Commercial Track Cord DrawnLevel 2072Top Fix Brackets</v>
      </c>
      <c r="O2187">
        <v>38</v>
      </c>
      <c r="P2187">
        <v>36</v>
      </c>
      <c r="Q2187" s="80">
        <v>0</v>
      </c>
      <c r="R2187" s="80">
        <f t="shared" si="179"/>
        <v>-2</v>
      </c>
      <c r="AD2187"/>
    </row>
    <row r="2188" spans="10:30" ht="16.2" customHeight="1">
      <c r="J2188" s="80" t="s">
        <v>725</v>
      </c>
      <c r="K2188" s="80" t="s">
        <v>371</v>
      </c>
      <c r="L2188" t="s">
        <v>282</v>
      </c>
      <c r="M2188" t="s">
        <v>161</v>
      </c>
      <c r="N2188" t="str">
        <f t="shared" si="180"/>
        <v>SingleSystem 20 Light Commercial Track Cord DrawnLevel 2072Top Fix Brackets</v>
      </c>
      <c r="O2188">
        <v>35</v>
      </c>
      <c r="P2188">
        <v>36</v>
      </c>
      <c r="Q2188" s="80">
        <v>0</v>
      </c>
      <c r="R2188" s="80">
        <f t="shared" si="179"/>
        <v>1</v>
      </c>
      <c r="AD2188"/>
    </row>
    <row r="2189" spans="10:30" ht="16.2" customHeight="1">
      <c r="J2189" s="80" t="s">
        <v>746</v>
      </c>
      <c r="K2189" s="80" t="s">
        <v>371</v>
      </c>
      <c r="L2189" t="s">
        <v>170</v>
      </c>
      <c r="M2189" t="s">
        <v>161</v>
      </c>
      <c r="N2189" t="str">
        <f t="shared" si="180"/>
        <v>Double FrontSystem 20 Light Commercial Track Cord DrawnNormal 2074Top Fix Brackets</v>
      </c>
      <c r="O2189">
        <v>60</v>
      </c>
      <c r="P2189">
        <v>36</v>
      </c>
      <c r="Q2189" s="80">
        <v>0</v>
      </c>
      <c r="R2189" s="80">
        <f t="shared" si="179"/>
        <v>-24</v>
      </c>
      <c r="AD2189"/>
    </row>
    <row r="2190" spans="10:30" ht="16.2" customHeight="1">
      <c r="J2190" s="80" t="s">
        <v>747</v>
      </c>
      <c r="K2190" s="80" t="s">
        <v>371</v>
      </c>
      <c r="L2190" t="s">
        <v>170</v>
      </c>
      <c r="M2190" t="s">
        <v>161</v>
      </c>
      <c r="N2190" t="str">
        <f t="shared" si="180"/>
        <v>Double RearSystem 20 Light Commercial Track Cord DrawnNormal 2074Top Fix Brackets</v>
      </c>
      <c r="O2190">
        <v>60</v>
      </c>
      <c r="P2190">
        <v>36</v>
      </c>
      <c r="Q2190" s="80">
        <v>0</v>
      </c>
      <c r="R2190" s="80">
        <f t="shared" si="179"/>
        <v>-24</v>
      </c>
      <c r="AD2190"/>
    </row>
    <row r="2191" spans="10:30" ht="16.2" customHeight="1">
      <c r="J2191" s="80" t="s">
        <v>725</v>
      </c>
      <c r="K2191" s="80" t="s">
        <v>371</v>
      </c>
      <c r="L2191" t="s">
        <v>170</v>
      </c>
      <c r="M2191" t="s">
        <v>161</v>
      </c>
      <c r="N2191" t="str">
        <f t="shared" si="180"/>
        <v>SingleSystem 20 Light Commercial Track Cord DrawnNormal 2074Top Fix Brackets</v>
      </c>
      <c r="O2191">
        <v>60</v>
      </c>
      <c r="P2191">
        <v>36</v>
      </c>
      <c r="Q2191" s="80">
        <v>0</v>
      </c>
      <c r="R2191" s="80">
        <f t="shared" si="179"/>
        <v>-24</v>
      </c>
      <c r="AD2191"/>
    </row>
    <row r="2192" spans="10:30" ht="16.2" customHeight="1">
      <c r="J2192" s="80" t="s">
        <v>746</v>
      </c>
      <c r="K2192" s="80" t="s">
        <v>372</v>
      </c>
      <c r="L2192" t="s">
        <v>183</v>
      </c>
      <c r="M2192" t="s">
        <v>162</v>
      </c>
      <c r="N2192" t="str">
        <f t="shared" si="180"/>
        <v>Double FrontSystem 20 Light Commercial Track Hand DrawnBelow Normal 2075Double Face Fix Brackets</v>
      </c>
      <c r="O2192">
        <v>70</v>
      </c>
      <c r="P2192">
        <v>45</v>
      </c>
      <c r="Q2192" s="80">
        <v>0</v>
      </c>
      <c r="R2192" s="80">
        <f t="shared" si="179"/>
        <v>-25</v>
      </c>
      <c r="AD2192"/>
    </row>
    <row r="2193" spans="10:30" ht="16.2" customHeight="1">
      <c r="J2193" s="80" t="s">
        <v>747</v>
      </c>
      <c r="K2193" s="80" t="s">
        <v>372</v>
      </c>
      <c r="L2193" t="s">
        <v>183</v>
      </c>
      <c r="M2193" t="s">
        <v>162</v>
      </c>
      <c r="N2193" t="str">
        <f t="shared" si="180"/>
        <v>Double RearSystem 20 Light Commercial Track Hand DrawnBelow Normal 2075Double Face Fix Brackets</v>
      </c>
      <c r="O2193">
        <v>70</v>
      </c>
      <c r="P2193">
        <v>45</v>
      </c>
      <c r="Q2193" s="80">
        <v>0</v>
      </c>
      <c r="R2193" s="80">
        <f t="shared" si="179"/>
        <v>-25</v>
      </c>
      <c r="AD2193"/>
    </row>
    <row r="2194" spans="10:30" ht="16.2" customHeight="1">
      <c r="J2194" s="80" t="s">
        <v>725</v>
      </c>
      <c r="K2194" s="80" t="s">
        <v>372</v>
      </c>
      <c r="L2194" t="s">
        <v>183</v>
      </c>
      <c r="M2194" t="s">
        <v>162</v>
      </c>
      <c r="N2194" t="str">
        <f t="shared" si="180"/>
        <v>SingleSystem 20 Light Commercial Track Hand DrawnBelow Normal 2075Double Face Fix Brackets</v>
      </c>
      <c r="O2194">
        <v>70</v>
      </c>
      <c r="P2194">
        <v>45</v>
      </c>
      <c r="Q2194" s="80">
        <v>0</v>
      </c>
      <c r="R2194" s="80">
        <f t="shared" si="179"/>
        <v>-25</v>
      </c>
      <c r="AD2194"/>
    </row>
    <row r="2195" spans="10:30" ht="16.2" customHeight="1">
      <c r="J2195" s="80" t="s">
        <v>746</v>
      </c>
      <c r="K2195" s="80" t="s">
        <v>372</v>
      </c>
      <c r="L2195" t="s">
        <v>182</v>
      </c>
      <c r="M2195" t="s">
        <v>162</v>
      </c>
      <c r="N2195" t="str">
        <f t="shared" si="180"/>
        <v>Double FrontSystem 20 Light Commercial Track Hand DrawnBetween Level and Normal 2073Double Face Fix Brackets</v>
      </c>
      <c r="O2195">
        <v>48</v>
      </c>
      <c r="P2195">
        <v>45</v>
      </c>
      <c r="Q2195" s="80">
        <v>0</v>
      </c>
      <c r="R2195" s="80">
        <f t="shared" si="179"/>
        <v>-3</v>
      </c>
      <c r="AD2195"/>
    </row>
    <row r="2196" spans="10:30" ht="16.2" customHeight="1">
      <c r="J2196" s="80" t="s">
        <v>747</v>
      </c>
      <c r="K2196" s="80" t="s">
        <v>372</v>
      </c>
      <c r="L2196" t="s">
        <v>182</v>
      </c>
      <c r="M2196" t="s">
        <v>162</v>
      </c>
      <c r="N2196" t="str">
        <f t="shared" si="180"/>
        <v>Double RearSystem 20 Light Commercial Track Hand DrawnBetween Level and Normal 2073Double Face Fix Brackets</v>
      </c>
      <c r="O2196">
        <v>48</v>
      </c>
      <c r="P2196">
        <v>45</v>
      </c>
      <c r="Q2196" s="80">
        <v>0</v>
      </c>
      <c r="R2196" s="80">
        <f t="shared" si="179"/>
        <v>-3</v>
      </c>
      <c r="AD2196"/>
    </row>
    <row r="2197" spans="10:30" ht="16.2" customHeight="1">
      <c r="J2197" s="80" t="s">
        <v>725</v>
      </c>
      <c r="K2197" s="80" t="s">
        <v>372</v>
      </c>
      <c r="L2197" t="s">
        <v>182</v>
      </c>
      <c r="M2197" t="s">
        <v>162</v>
      </c>
      <c r="N2197" t="str">
        <f t="shared" si="180"/>
        <v>SingleSystem 20 Light Commercial Track Hand DrawnBetween Level and Normal 2073Double Face Fix Brackets</v>
      </c>
      <c r="O2197">
        <v>47</v>
      </c>
      <c r="P2197">
        <v>45</v>
      </c>
      <c r="Q2197" s="80">
        <v>0</v>
      </c>
      <c r="R2197" s="80">
        <f t="shared" si="179"/>
        <v>-2</v>
      </c>
      <c r="AD2197"/>
    </row>
    <row r="2198" spans="10:30" ht="16.2" customHeight="1">
      <c r="J2198" s="80" t="s">
        <v>746</v>
      </c>
      <c r="K2198" s="80" t="s">
        <v>372</v>
      </c>
      <c r="L2198" t="s">
        <v>184</v>
      </c>
      <c r="M2198" t="s">
        <v>162</v>
      </c>
      <c r="N2198" t="str">
        <f t="shared" si="180"/>
        <v>Double FrontSystem 20 Light Commercial Track Hand DrawnDecorator 2071Double Face Fix Brackets</v>
      </c>
      <c r="O2198">
        <v>20</v>
      </c>
      <c r="P2198">
        <v>45</v>
      </c>
      <c r="Q2198" s="80">
        <v>0</v>
      </c>
      <c r="R2198" s="80">
        <f t="shared" si="179"/>
        <v>25</v>
      </c>
      <c r="AD2198"/>
    </row>
    <row r="2199" spans="10:30" ht="16.2" customHeight="1">
      <c r="J2199" s="80" t="s">
        <v>747</v>
      </c>
      <c r="K2199" s="80" t="s">
        <v>372</v>
      </c>
      <c r="L2199" t="s">
        <v>184</v>
      </c>
      <c r="M2199" t="s">
        <v>162</v>
      </c>
      <c r="N2199" t="str">
        <f t="shared" si="180"/>
        <v>Double RearSystem 20 Light Commercial Track Hand DrawnDecorator 2071Double Face Fix Brackets</v>
      </c>
      <c r="O2199">
        <v>20</v>
      </c>
      <c r="P2199">
        <v>45</v>
      </c>
      <c r="Q2199" s="80">
        <v>0</v>
      </c>
      <c r="R2199" s="80">
        <f t="shared" si="179"/>
        <v>25</v>
      </c>
      <c r="AD2199"/>
    </row>
    <row r="2200" spans="10:30" ht="16.2" customHeight="1">
      <c r="J2200" s="80" t="s">
        <v>725</v>
      </c>
      <c r="K2200" s="80" t="s">
        <v>372</v>
      </c>
      <c r="L2200" t="s">
        <v>184</v>
      </c>
      <c r="M2200" t="s">
        <v>162</v>
      </c>
      <c r="N2200" t="str">
        <f t="shared" si="180"/>
        <v>SingleSystem 20 Light Commercial Track Hand DrawnDecorator 2071Double Face Fix Brackets</v>
      </c>
      <c r="O2200">
        <v>20</v>
      </c>
      <c r="P2200">
        <v>45</v>
      </c>
      <c r="Q2200" s="80">
        <v>0</v>
      </c>
      <c r="R2200" s="80">
        <f t="shared" si="179"/>
        <v>25</v>
      </c>
      <c r="AD2200"/>
    </row>
    <row r="2201" spans="10:30" ht="16.2" customHeight="1">
      <c r="J2201" s="80" t="s">
        <v>746</v>
      </c>
      <c r="K2201" s="80" t="s">
        <v>372</v>
      </c>
      <c r="L2201" t="s">
        <v>6468</v>
      </c>
      <c r="M2201" t="s">
        <v>162</v>
      </c>
      <c r="N2201" t="str">
        <f t="shared" si="180"/>
        <v>Double FrontSystem 20 Light Commercial Track Hand DrawnGather Hook Bottom PocketDouble Face Fix Brackets</v>
      </c>
      <c r="O2201">
        <v>60</v>
      </c>
      <c r="P2201">
        <v>45</v>
      </c>
      <c r="Q2201" s="80">
        <v>0</v>
      </c>
      <c r="R2201" s="80">
        <f t="shared" si="179"/>
        <v>-15</v>
      </c>
      <c r="AD2201"/>
    </row>
    <row r="2202" spans="10:30" ht="16.2" customHeight="1">
      <c r="J2202" s="80" t="s">
        <v>725</v>
      </c>
      <c r="K2202" s="80" t="s">
        <v>372</v>
      </c>
      <c r="L2202" t="s">
        <v>6468</v>
      </c>
      <c r="M2202" t="s">
        <v>162</v>
      </c>
      <c r="N2202" t="str">
        <f t="shared" si="180"/>
        <v>SingleSystem 20 Light Commercial Track Hand DrawnGather Hook Bottom PocketDouble Face Fix Brackets</v>
      </c>
      <c r="O2202">
        <v>60</v>
      </c>
      <c r="P2202">
        <v>45</v>
      </c>
      <c r="Q2202" s="80">
        <v>0</v>
      </c>
      <c r="R2202" s="80">
        <f t="shared" si="179"/>
        <v>-15</v>
      </c>
      <c r="AD2202"/>
    </row>
    <row r="2203" spans="10:30" ht="16.2" customHeight="1">
      <c r="J2203" s="80" t="s">
        <v>746</v>
      </c>
      <c r="K2203" s="80" t="s">
        <v>372</v>
      </c>
      <c r="L2203" t="s">
        <v>229</v>
      </c>
      <c r="M2203" t="s">
        <v>162</v>
      </c>
      <c r="N2203" t="str">
        <f t="shared" si="180"/>
        <v>Double FrontSystem 20 Light Commercial Track Hand DrawnGather Hook LevelDouble Face Fix Brackets</v>
      </c>
      <c r="O2203">
        <v>20</v>
      </c>
      <c r="P2203">
        <v>45</v>
      </c>
      <c r="Q2203" s="80">
        <v>0</v>
      </c>
      <c r="R2203" s="80">
        <f t="shared" si="179"/>
        <v>25</v>
      </c>
      <c r="AD2203"/>
    </row>
    <row r="2204" spans="10:30" ht="16.2" customHeight="1">
      <c r="J2204" s="80" t="s">
        <v>747</v>
      </c>
      <c r="K2204" s="80" t="s">
        <v>372</v>
      </c>
      <c r="L2204" t="s">
        <v>229</v>
      </c>
      <c r="M2204" t="s">
        <v>162</v>
      </c>
      <c r="N2204" t="str">
        <f t="shared" si="180"/>
        <v>Double RearSystem 20 Light Commercial Track Hand DrawnGather Hook LevelDouble Face Fix Brackets</v>
      </c>
      <c r="O2204">
        <v>20</v>
      </c>
      <c r="P2204">
        <v>45</v>
      </c>
      <c r="Q2204" s="80">
        <v>0</v>
      </c>
      <c r="R2204" s="80">
        <f t="shared" si="179"/>
        <v>25</v>
      </c>
      <c r="AD2204"/>
    </row>
    <row r="2205" spans="10:30" ht="16.2" customHeight="1">
      <c r="J2205" s="80" t="s">
        <v>725</v>
      </c>
      <c r="K2205" s="80" t="s">
        <v>372</v>
      </c>
      <c r="L2205" t="s">
        <v>229</v>
      </c>
      <c r="M2205" t="s">
        <v>162</v>
      </c>
      <c r="N2205" t="str">
        <f t="shared" si="180"/>
        <v>SingleSystem 20 Light Commercial Track Hand DrawnGather Hook LevelDouble Face Fix Brackets</v>
      </c>
      <c r="O2205">
        <v>20</v>
      </c>
      <c r="P2205">
        <v>45</v>
      </c>
      <c r="Q2205" s="80">
        <v>0</v>
      </c>
      <c r="R2205" s="80">
        <f t="shared" si="179"/>
        <v>25</v>
      </c>
      <c r="AD2205"/>
    </row>
    <row r="2206" spans="10:30" ht="16.2" customHeight="1">
      <c r="J2206" s="80" t="s">
        <v>746</v>
      </c>
      <c r="K2206" s="80" t="s">
        <v>372</v>
      </c>
      <c r="L2206" t="s">
        <v>228</v>
      </c>
      <c r="M2206" t="s">
        <v>162</v>
      </c>
      <c r="N2206" t="str">
        <f t="shared" si="180"/>
        <v>Double FrontSystem 20 Light Commercial Track Hand DrawnGather Hook NormalDouble Face Fix Brackets</v>
      </c>
      <c r="O2206">
        <v>43</v>
      </c>
      <c r="P2206">
        <v>45</v>
      </c>
      <c r="Q2206" s="80">
        <v>0</v>
      </c>
      <c r="R2206" s="80">
        <f t="shared" si="179"/>
        <v>2</v>
      </c>
      <c r="AD2206"/>
    </row>
    <row r="2207" spans="10:30" ht="16.2" customHeight="1">
      <c r="J2207" s="80" t="s">
        <v>747</v>
      </c>
      <c r="K2207" s="80" t="s">
        <v>372</v>
      </c>
      <c r="L2207" t="s">
        <v>228</v>
      </c>
      <c r="M2207" t="s">
        <v>162</v>
      </c>
      <c r="N2207" t="str">
        <f t="shared" si="180"/>
        <v>Double RearSystem 20 Light Commercial Track Hand DrawnGather Hook NormalDouble Face Fix Brackets</v>
      </c>
      <c r="O2207">
        <v>43</v>
      </c>
      <c r="P2207">
        <v>45</v>
      </c>
      <c r="Q2207" s="80">
        <v>0</v>
      </c>
      <c r="R2207" s="80">
        <f t="shared" si="181" ref="R2207:R2270">SUM(P2207)-O2207</f>
        <v>2</v>
      </c>
      <c r="AD2207"/>
    </row>
    <row r="2208" spans="10:30" ht="16.2" customHeight="1">
      <c r="J2208" s="80" t="s">
        <v>725</v>
      </c>
      <c r="K2208" s="80" t="s">
        <v>372</v>
      </c>
      <c r="L2208" t="s">
        <v>228</v>
      </c>
      <c r="M2208" t="s">
        <v>162</v>
      </c>
      <c r="N2208" t="str">
        <f t="shared" si="180"/>
        <v>SingleSystem 20 Light Commercial Track Hand DrawnGather Hook NormalDouble Face Fix Brackets</v>
      </c>
      <c r="O2208">
        <v>43</v>
      </c>
      <c r="P2208">
        <v>45</v>
      </c>
      <c r="Q2208" s="80">
        <v>0</v>
      </c>
      <c r="R2208" s="80">
        <f t="shared" si="181"/>
        <v>2</v>
      </c>
      <c r="AD2208"/>
    </row>
    <row r="2209" spans="10:30" ht="16.2" customHeight="1">
      <c r="J2209" s="80" t="s">
        <v>746</v>
      </c>
      <c r="K2209" s="80" t="s">
        <v>372</v>
      </c>
      <c r="L2209" t="s">
        <v>282</v>
      </c>
      <c r="M2209" t="s">
        <v>162</v>
      </c>
      <c r="N2209" t="str">
        <f t="shared" si="180"/>
        <v>Double FrontSystem 20 Light Commercial Track Hand DrawnLevel 2072Double Face Fix Brackets</v>
      </c>
      <c r="O2209">
        <v>38</v>
      </c>
      <c r="P2209">
        <v>45</v>
      </c>
      <c r="Q2209" s="80">
        <v>0</v>
      </c>
      <c r="R2209" s="80">
        <f t="shared" si="181"/>
        <v>7</v>
      </c>
      <c r="AD2209"/>
    </row>
    <row r="2210" spans="10:30" ht="16.2" customHeight="1">
      <c r="J2210" s="80" t="s">
        <v>747</v>
      </c>
      <c r="K2210" s="80" t="s">
        <v>372</v>
      </c>
      <c r="L2210" t="s">
        <v>282</v>
      </c>
      <c r="M2210" t="s">
        <v>162</v>
      </c>
      <c r="N2210" t="str">
        <f t="shared" si="180"/>
        <v>Double RearSystem 20 Light Commercial Track Hand DrawnLevel 2072Double Face Fix Brackets</v>
      </c>
      <c r="O2210">
        <v>38</v>
      </c>
      <c r="P2210">
        <v>45</v>
      </c>
      <c r="Q2210" s="80">
        <v>0</v>
      </c>
      <c r="R2210" s="80">
        <f t="shared" si="181"/>
        <v>7</v>
      </c>
      <c r="AD2210"/>
    </row>
    <row r="2211" spans="10:30" ht="16.2" customHeight="1">
      <c r="J2211" s="80" t="s">
        <v>725</v>
      </c>
      <c r="K2211" s="80" t="s">
        <v>372</v>
      </c>
      <c r="L2211" t="s">
        <v>282</v>
      </c>
      <c r="M2211" t="s">
        <v>162</v>
      </c>
      <c r="N2211" t="str">
        <f t="shared" si="180"/>
        <v>SingleSystem 20 Light Commercial Track Hand DrawnLevel 2072Double Face Fix Brackets</v>
      </c>
      <c r="O2211">
        <v>35</v>
      </c>
      <c r="P2211">
        <v>45</v>
      </c>
      <c r="Q2211" s="80">
        <v>0</v>
      </c>
      <c r="R2211" s="80">
        <f t="shared" si="181"/>
        <v>10</v>
      </c>
      <c r="AD2211"/>
    </row>
    <row r="2212" spans="10:30" ht="16.2" customHeight="1">
      <c r="J2212" s="80" t="s">
        <v>746</v>
      </c>
      <c r="K2212" s="80" t="s">
        <v>372</v>
      </c>
      <c r="L2212" t="s">
        <v>170</v>
      </c>
      <c r="M2212" t="s">
        <v>162</v>
      </c>
      <c r="N2212" t="str">
        <f t="shared" si="180"/>
        <v>Double FrontSystem 20 Light Commercial Track Hand DrawnNormal 2074Double Face Fix Brackets</v>
      </c>
      <c r="O2212">
        <v>60</v>
      </c>
      <c r="P2212">
        <v>45</v>
      </c>
      <c r="Q2212" s="80">
        <v>0</v>
      </c>
      <c r="R2212" s="80">
        <f t="shared" si="181"/>
        <v>-15</v>
      </c>
      <c r="AD2212"/>
    </row>
    <row r="2213" spans="10:30" ht="16.2" customHeight="1">
      <c r="J2213" s="80" t="s">
        <v>747</v>
      </c>
      <c r="K2213" s="80" t="s">
        <v>372</v>
      </c>
      <c r="L2213" t="s">
        <v>170</v>
      </c>
      <c r="M2213" t="s">
        <v>162</v>
      </c>
      <c r="N2213" t="str">
        <f t="shared" si="180"/>
        <v>Double RearSystem 20 Light Commercial Track Hand DrawnNormal 2074Double Face Fix Brackets</v>
      </c>
      <c r="O2213">
        <v>60</v>
      </c>
      <c r="P2213">
        <v>45</v>
      </c>
      <c r="Q2213" s="80">
        <v>0</v>
      </c>
      <c r="R2213" s="80">
        <f t="shared" si="181"/>
        <v>-15</v>
      </c>
      <c r="AD2213"/>
    </row>
    <row r="2214" spans="10:30" ht="16.2" customHeight="1">
      <c r="J2214" s="80" t="s">
        <v>725</v>
      </c>
      <c r="K2214" s="80" t="s">
        <v>372</v>
      </c>
      <c r="L2214" t="s">
        <v>170</v>
      </c>
      <c r="M2214" t="s">
        <v>162</v>
      </c>
      <c r="N2214" t="str">
        <f t="shared" si="180"/>
        <v>SingleSystem 20 Light Commercial Track Hand DrawnNormal 2074Double Face Fix Brackets</v>
      </c>
      <c r="O2214">
        <v>60</v>
      </c>
      <c r="P2214">
        <v>45</v>
      </c>
      <c r="Q2214" s="80">
        <v>0</v>
      </c>
      <c r="R2214" s="80">
        <f t="shared" si="181"/>
        <v>-15</v>
      </c>
      <c r="AD2214"/>
    </row>
    <row r="2215" spans="10:30" ht="16.2" customHeight="1">
      <c r="J2215" s="80" t="s">
        <v>746</v>
      </c>
      <c r="K2215" s="80" t="s">
        <v>372</v>
      </c>
      <c r="L2215" t="s">
        <v>183</v>
      </c>
      <c r="M2215" t="s">
        <v>159</v>
      </c>
      <c r="N2215" t="str">
        <f t="shared" si="180"/>
        <v>Double FrontSystem 20 Light Commercial Track Hand DrawnBelow Normal 2075Single Face Fix Brackets</v>
      </c>
      <c r="O2215">
        <v>70</v>
      </c>
      <c r="P2215">
        <v>40</v>
      </c>
      <c r="Q2215" s="80">
        <v>0</v>
      </c>
      <c r="R2215" s="80">
        <f t="shared" si="181"/>
        <v>-30</v>
      </c>
      <c r="AD2215"/>
    </row>
    <row r="2216" spans="10:30" ht="16.2" customHeight="1">
      <c r="J2216" s="80" t="s">
        <v>747</v>
      </c>
      <c r="K2216" s="80" t="s">
        <v>372</v>
      </c>
      <c r="L2216" t="s">
        <v>183</v>
      </c>
      <c r="M2216" t="s">
        <v>159</v>
      </c>
      <c r="N2216" t="str">
        <f t="shared" si="180"/>
        <v>Double RearSystem 20 Light Commercial Track Hand DrawnBelow Normal 2075Single Face Fix Brackets</v>
      </c>
      <c r="O2216">
        <v>70</v>
      </c>
      <c r="P2216">
        <v>40</v>
      </c>
      <c r="Q2216" s="80">
        <v>0</v>
      </c>
      <c r="R2216" s="80">
        <f t="shared" si="181"/>
        <v>-30</v>
      </c>
      <c r="AD2216"/>
    </row>
    <row r="2217" spans="10:30" ht="16.2" customHeight="1">
      <c r="J2217" s="80" t="s">
        <v>725</v>
      </c>
      <c r="K2217" s="80" t="s">
        <v>372</v>
      </c>
      <c r="L2217" t="s">
        <v>183</v>
      </c>
      <c r="M2217" t="s">
        <v>159</v>
      </c>
      <c r="N2217" t="str">
        <f t="shared" si="180"/>
        <v>SingleSystem 20 Light Commercial Track Hand DrawnBelow Normal 2075Single Face Fix Brackets</v>
      </c>
      <c r="O2217">
        <v>70</v>
      </c>
      <c r="P2217">
        <v>40</v>
      </c>
      <c r="Q2217" s="80">
        <v>0</v>
      </c>
      <c r="R2217" s="80">
        <f t="shared" si="181"/>
        <v>-30</v>
      </c>
      <c r="AD2217"/>
    </row>
    <row r="2218" spans="10:30" ht="16.2" customHeight="1">
      <c r="J2218" s="80" t="s">
        <v>746</v>
      </c>
      <c r="K2218" s="80" t="s">
        <v>372</v>
      </c>
      <c r="L2218" t="s">
        <v>182</v>
      </c>
      <c r="M2218" t="s">
        <v>159</v>
      </c>
      <c r="N2218" t="str">
        <f t="shared" si="180"/>
        <v>Double FrontSystem 20 Light Commercial Track Hand DrawnBetween Level and Normal 2073Single Face Fix Brackets</v>
      </c>
      <c r="O2218">
        <v>48</v>
      </c>
      <c r="P2218">
        <v>40</v>
      </c>
      <c r="Q2218" s="80">
        <v>0</v>
      </c>
      <c r="R2218" s="80">
        <f t="shared" si="181"/>
        <v>-8</v>
      </c>
      <c r="AD2218"/>
    </row>
    <row r="2219" spans="10:30" ht="16.2" customHeight="1">
      <c r="J2219" s="80" t="s">
        <v>747</v>
      </c>
      <c r="K2219" s="80" t="s">
        <v>372</v>
      </c>
      <c r="L2219" t="s">
        <v>182</v>
      </c>
      <c r="M2219" t="s">
        <v>159</v>
      </c>
      <c r="N2219" t="str">
        <f t="shared" si="180"/>
        <v>Double RearSystem 20 Light Commercial Track Hand DrawnBetween Level and Normal 2073Single Face Fix Brackets</v>
      </c>
      <c r="O2219">
        <v>48</v>
      </c>
      <c r="P2219">
        <v>40</v>
      </c>
      <c r="Q2219" s="80">
        <v>0</v>
      </c>
      <c r="R2219" s="80">
        <f t="shared" si="181"/>
        <v>-8</v>
      </c>
      <c r="AD2219"/>
    </row>
    <row r="2220" spans="10:30" ht="16.2" customHeight="1">
      <c r="J2220" s="80" t="s">
        <v>725</v>
      </c>
      <c r="K2220" s="80" t="s">
        <v>372</v>
      </c>
      <c r="L2220" t="s">
        <v>182</v>
      </c>
      <c r="M2220" t="s">
        <v>159</v>
      </c>
      <c r="N2220" t="str">
        <f t="shared" si="180"/>
        <v>SingleSystem 20 Light Commercial Track Hand DrawnBetween Level and Normal 2073Single Face Fix Brackets</v>
      </c>
      <c r="O2220">
        <v>47</v>
      </c>
      <c r="P2220">
        <v>40</v>
      </c>
      <c r="Q2220" s="80">
        <v>0</v>
      </c>
      <c r="R2220" s="80">
        <f t="shared" si="181"/>
        <v>-7</v>
      </c>
      <c r="AD2220"/>
    </row>
    <row r="2221" spans="10:30" ht="16.2" customHeight="1">
      <c r="J2221" s="80" t="s">
        <v>746</v>
      </c>
      <c r="K2221" s="80" t="s">
        <v>372</v>
      </c>
      <c r="L2221" t="s">
        <v>184</v>
      </c>
      <c r="M2221" t="s">
        <v>159</v>
      </c>
      <c r="N2221" t="str">
        <f t="shared" si="180"/>
        <v>Double FrontSystem 20 Light Commercial Track Hand DrawnDecorator 2071Single Face Fix Brackets</v>
      </c>
      <c r="O2221">
        <v>20</v>
      </c>
      <c r="P2221">
        <v>40</v>
      </c>
      <c r="Q2221" s="80">
        <v>0</v>
      </c>
      <c r="R2221" s="80">
        <f t="shared" si="181"/>
        <v>20</v>
      </c>
      <c r="AD2221"/>
    </row>
    <row r="2222" spans="10:30" ht="16.2" customHeight="1">
      <c r="J2222" s="80" t="s">
        <v>747</v>
      </c>
      <c r="K2222" s="80" t="s">
        <v>372</v>
      </c>
      <c r="L2222" t="s">
        <v>184</v>
      </c>
      <c r="M2222" t="s">
        <v>159</v>
      </c>
      <c r="N2222" t="str">
        <f t="shared" si="180"/>
        <v>Double RearSystem 20 Light Commercial Track Hand DrawnDecorator 2071Single Face Fix Brackets</v>
      </c>
      <c r="O2222">
        <v>20</v>
      </c>
      <c r="P2222">
        <v>40</v>
      </c>
      <c r="Q2222" s="80">
        <v>0</v>
      </c>
      <c r="R2222" s="80">
        <f t="shared" si="181"/>
        <v>20</v>
      </c>
      <c r="AD2222"/>
    </row>
    <row r="2223" spans="10:30" ht="16.2" customHeight="1">
      <c r="J2223" s="80" t="s">
        <v>725</v>
      </c>
      <c r="K2223" s="80" t="s">
        <v>372</v>
      </c>
      <c r="L2223" t="s">
        <v>184</v>
      </c>
      <c r="M2223" t="s">
        <v>159</v>
      </c>
      <c r="N2223" t="str">
        <f t="shared" si="180"/>
        <v>SingleSystem 20 Light Commercial Track Hand DrawnDecorator 2071Single Face Fix Brackets</v>
      </c>
      <c r="O2223">
        <v>20</v>
      </c>
      <c r="P2223">
        <v>40</v>
      </c>
      <c r="Q2223" s="80">
        <v>0</v>
      </c>
      <c r="R2223" s="80">
        <f t="shared" si="181"/>
        <v>20</v>
      </c>
      <c r="AD2223"/>
    </row>
    <row r="2224" spans="10:30" ht="16.2" customHeight="1">
      <c r="J2224" s="80" t="s">
        <v>746</v>
      </c>
      <c r="K2224" s="80" t="s">
        <v>372</v>
      </c>
      <c r="L2224" t="s">
        <v>6468</v>
      </c>
      <c r="M2224" t="s">
        <v>159</v>
      </c>
      <c r="N2224" t="str">
        <f t="shared" si="180"/>
        <v>Double FrontSystem 20 Light Commercial Track Hand DrawnGather Hook Bottom PocketSingle Face Fix Brackets</v>
      </c>
      <c r="O2224">
        <v>60</v>
      </c>
      <c r="P2224">
        <v>40</v>
      </c>
      <c r="Q2224" s="80">
        <v>0</v>
      </c>
      <c r="R2224" s="80">
        <f t="shared" si="181"/>
        <v>-20</v>
      </c>
      <c r="AD2224"/>
    </row>
    <row r="2225" spans="10:30" ht="16.2" customHeight="1">
      <c r="J2225" s="80" t="s">
        <v>725</v>
      </c>
      <c r="K2225" s="80" t="s">
        <v>372</v>
      </c>
      <c r="L2225" t="s">
        <v>6468</v>
      </c>
      <c r="M2225" t="s">
        <v>159</v>
      </c>
      <c r="N2225" t="str">
        <f t="shared" si="180"/>
        <v>SingleSystem 20 Light Commercial Track Hand DrawnGather Hook Bottom PocketSingle Face Fix Brackets</v>
      </c>
      <c r="O2225">
        <v>60</v>
      </c>
      <c r="P2225">
        <v>40</v>
      </c>
      <c r="Q2225" s="80">
        <v>0</v>
      </c>
      <c r="R2225" s="80">
        <f t="shared" si="181"/>
        <v>-20</v>
      </c>
      <c r="AD2225"/>
    </row>
    <row r="2226" spans="10:30" ht="16.2" customHeight="1">
      <c r="J2226" s="80" t="s">
        <v>746</v>
      </c>
      <c r="K2226" s="80" t="s">
        <v>372</v>
      </c>
      <c r="L2226" t="s">
        <v>229</v>
      </c>
      <c r="M2226" t="s">
        <v>159</v>
      </c>
      <c r="N2226" t="str">
        <f t="shared" si="180"/>
        <v>Double FrontSystem 20 Light Commercial Track Hand DrawnGather Hook LevelSingle Face Fix Brackets</v>
      </c>
      <c r="O2226">
        <v>20</v>
      </c>
      <c r="P2226">
        <v>40</v>
      </c>
      <c r="Q2226" s="80">
        <v>0</v>
      </c>
      <c r="R2226" s="80">
        <f t="shared" si="181"/>
        <v>20</v>
      </c>
      <c r="AD2226"/>
    </row>
    <row r="2227" spans="10:30" ht="16.2" customHeight="1">
      <c r="J2227" s="80" t="s">
        <v>747</v>
      </c>
      <c r="K2227" s="80" t="s">
        <v>372</v>
      </c>
      <c r="L2227" t="s">
        <v>229</v>
      </c>
      <c r="M2227" t="s">
        <v>159</v>
      </c>
      <c r="N2227" t="str">
        <f t="shared" si="180"/>
        <v>Double RearSystem 20 Light Commercial Track Hand DrawnGather Hook LevelSingle Face Fix Brackets</v>
      </c>
      <c r="O2227">
        <v>20</v>
      </c>
      <c r="P2227">
        <v>40</v>
      </c>
      <c r="Q2227" s="80">
        <v>0</v>
      </c>
      <c r="R2227" s="80">
        <f t="shared" si="181"/>
        <v>20</v>
      </c>
      <c r="AD2227"/>
    </row>
    <row r="2228" spans="10:30" ht="16.2" customHeight="1">
      <c r="J2228" s="80" t="s">
        <v>725</v>
      </c>
      <c r="K2228" s="80" t="s">
        <v>372</v>
      </c>
      <c r="L2228" t="s">
        <v>229</v>
      </c>
      <c r="M2228" t="s">
        <v>159</v>
      </c>
      <c r="N2228" t="str">
        <f t="shared" si="180"/>
        <v>SingleSystem 20 Light Commercial Track Hand DrawnGather Hook LevelSingle Face Fix Brackets</v>
      </c>
      <c r="O2228">
        <v>20</v>
      </c>
      <c r="P2228">
        <v>40</v>
      </c>
      <c r="Q2228" s="80">
        <v>0</v>
      </c>
      <c r="R2228" s="80">
        <f t="shared" si="181"/>
        <v>20</v>
      </c>
      <c r="AD2228"/>
    </row>
    <row r="2229" spans="10:30" ht="16.2" customHeight="1">
      <c r="J2229" s="80" t="s">
        <v>746</v>
      </c>
      <c r="K2229" s="80" t="s">
        <v>372</v>
      </c>
      <c r="L2229" t="s">
        <v>228</v>
      </c>
      <c r="M2229" t="s">
        <v>159</v>
      </c>
      <c r="N2229" t="str">
        <f t="shared" si="180"/>
        <v>Double FrontSystem 20 Light Commercial Track Hand DrawnGather Hook NormalSingle Face Fix Brackets</v>
      </c>
      <c r="O2229">
        <v>43</v>
      </c>
      <c r="P2229">
        <v>40</v>
      </c>
      <c r="Q2229" s="80">
        <v>0</v>
      </c>
      <c r="R2229" s="80">
        <f t="shared" si="181"/>
        <v>-3</v>
      </c>
      <c r="AD2229"/>
    </row>
    <row r="2230" spans="10:30" ht="16.2" customHeight="1">
      <c r="J2230" s="80" t="s">
        <v>747</v>
      </c>
      <c r="K2230" s="80" t="s">
        <v>372</v>
      </c>
      <c r="L2230" t="s">
        <v>228</v>
      </c>
      <c r="M2230" t="s">
        <v>159</v>
      </c>
      <c r="N2230" t="str">
        <f t="shared" si="180"/>
        <v>Double RearSystem 20 Light Commercial Track Hand DrawnGather Hook NormalSingle Face Fix Brackets</v>
      </c>
      <c r="O2230">
        <v>43</v>
      </c>
      <c r="P2230">
        <v>40</v>
      </c>
      <c r="Q2230" s="80">
        <v>0</v>
      </c>
      <c r="R2230" s="80">
        <f t="shared" si="181"/>
        <v>-3</v>
      </c>
      <c r="AD2230"/>
    </row>
    <row r="2231" spans="10:30" ht="16.2" customHeight="1">
      <c r="J2231" s="80" t="s">
        <v>725</v>
      </c>
      <c r="K2231" s="80" t="s">
        <v>372</v>
      </c>
      <c r="L2231" t="s">
        <v>228</v>
      </c>
      <c r="M2231" t="s">
        <v>159</v>
      </c>
      <c r="N2231" t="str">
        <f t="shared" si="180"/>
        <v>SingleSystem 20 Light Commercial Track Hand DrawnGather Hook NormalSingle Face Fix Brackets</v>
      </c>
      <c r="O2231">
        <v>43</v>
      </c>
      <c r="P2231">
        <v>40</v>
      </c>
      <c r="Q2231" s="80">
        <v>0</v>
      </c>
      <c r="R2231" s="80">
        <f t="shared" si="181"/>
        <v>-3</v>
      </c>
      <c r="AD2231"/>
    </row>
    <row r="2232" spans="10:30" ht="16.2" customHeight="1">
      <c r="J2232" s="80" t="s">
        <v>746</v>
      </c>
      <c r="K2232" s="80" t="s">
        <v>372</v>
      </c>
      <c r="L2232" t="s">
        <v>282</v>
      </c>
      <c r="M2232" t="s">
        <v>159</v>
      </c>
      <c r="N2232" t="str">
        <f t="shared" si="180"/>
        <v>Double FrontSystem 20 Light Commercial Track Hand DrawnLevel 2072Single Face Fix Brackets</v>
      </c>
      <c r="O2232">
        <v>38</v>
      </c>
      <c r="P2232">
        <v>40</v>
      </c>
      <c r="Q2232" s="80">
        <v>0</v>
      </c>
      <c r="R2232" s="80">
        <f t="shared" si="181"/>
        <v>2</v>
      </c>
      <c r="AD2232"/>
    </row>
    <row r="2233" spans="10:30" ht="16.2" customHeight="1">
      <c r="J2233" s="80" t="s">
        <v>747</v>
      </c>
      <c r="K2233" s="80" t="s">
        <v>372</v>
      </c>
      <c r="L2233" t="s">
        <v>282</v>
      </c>
      <c r="M2233" t="s">
        <v>159</v>
      </c>
      <c r="N2233" t="str">
        <f t="shared" si="180"/>
        <v>Double RearSystem 20 Light Commercial Track Hand DrawnLevel 2072Single Face Fix Brackets</v>
      </c>
      <c r="O2233">
        <v>38</v>
      </c>
      <c r="P2233">
        <v>40</v>
      </c>
      <c r="Q2233" s="80">
        <v>0</v>
      </c>
      <c r="R2233" s="80">
        <f t="shared" si="181"/>
        <v>2</v>
      </c>
      <c r="AD2233"/>
    </row>
    <row r="2234" spans="10:30" ht="16.2" customHeight="1">
      <c r="J2234" s="80" t="s">
        <v>725</v>
      </c>
      <c r="K2234" s="80" t="s">
        <v>372</v>
      </c>
      <c r="L2234" t="s">
        <v>282</v>
      </c>
      <c r="M2234" t="s">
        <v>159</v>
      </c>
      <c r="N2234" t="str">
        <f t="shared" si="180"/>
        <v>SingleSystem 20 Light Commercial Track Hand DrawnLevel 2072Single Face Fix Brackets</v>
      </c>
      <c r="O2234">
        <v>35</v>
      </c>
      <c r="P2234">
        <v>40</v>
      </c>
      <c r="Q2234" s="80">
        <v>0</v>
      </c>
      <c r="R2234" s="80">
        <f t="shared" si="181"/>
        <v>5</v>
      </c>
      <c r="AD2234"/>
    </row>
    <row r="2235" spans="10:30" ht="16.2" customHeight="1">
      <c r="J2235" s="80" t="s">
        <v>746</v>
      </c>
      <c r="K2235" s="80" t="s">
        <v>372</v>
      </c>
      <c r="L2235" t="s">
        <v>170</v>
      </c>
      <c r="M2235" t="s">
        <v>159</v>
      </c>
      <c r="N2235" t="str">
        <f t="shared" si="180"/>
        <v>Double FrontSystem 20 Light Commercial Track Hand DrawnNormal 2074Single Face Fix Brackets</v>
      </c>
      <c r="O2235">
        <v>60</v>
      </c>
      <c r="P2235">
        <v>40</v>
      </c>
      <c r="Q2235" s="80">
        <v>0</v>
      </c>
      <c r="R2235" s="80">
        <f t="shared" si="181"/>
        <v>-20</v>
      </c>
      <c r="AD2235"/>
    </row>
    <row r="2236" spans="10:30" ht="16.2" customHeight="1">
      <c r="J2236" s="80" t="s">
        <v>747</v>
      </c>
      <c r="K2236" s="80" t="s">
        <v>372</v>
      </c>
      <c r="L2236" t="s">
        <v>170</v>
      </c>
      <c r="M2236" t="s">
        <v>159</v>
      </c>
      <c r="N2236" t="str">
        <f t="shared" si="180"/>
        <v>Double RearSystem 20 Light Commercial Track Hand DrawnNormal 2074Single Face Fix Brackets</v>
      </c>
      <c r="O2236">
        <v>60</v>
      </c>
      <c r="P2236">
        <v>40</v>
      </c>
      <c r="Q2236" s="80">
        <v>0</v>
      </c>
      <c r="R2236" s="80">
        <f t="shared" si="181"/>
        <v>-20</v>
      </c>
      <c r="AD2236"/>
    </row>
    <row r="2237" spans="10:30" ht="16.2" customHeight="1">
      <c r="J2237" s="80" t="s">
        <v>725</v>
      </c>
      <c r="K2237" s="80" t="s">
        <v>372</v>
      </c>
      <c r="L2237" t="s">
        <v>170</v>
      </c>
      <c r="M2237" t="s">
        <v>159</v>
      </c>
      <c r="N2237" t="str">
        <f t="shared" si="180"/>
        <v>SingleSystem 20 Light Commercial Track Hand DrawnNormal 2074Single Face Fix Brackets</v>
      </c>
      <c r="O2237">
        <v>60</v>
      </c>
      <c r="P2237">
        <v>40</v>
      </c>
      <c r="Q2237" s="80">
        <v>0</v>
      </c>
      <c r="R2237" s="80">
        <f t="shared" si="181"/>
        <v>-20</v>
      </c>
      <c r="AD2237"/>
    </row>
    <row r="2238" spans="10:30" ht="16.2" customHeight="1">
      <c r="J2238" s="80" t="s">
        <v>746</v>
      </c>
      <c r="K2238" s="80" t="s">
        <v>372</v>
      </c>
      <c r="L2238" t="s">
        <v>183</v>
      </c>
      <c r="M2238" t="s">
        <v>161</v>
      </c>
      <c r="N2238" t="str">
        <f t="shared" si="180"/>
        <v>Double FrontSystem 20 Light Commercial Track Hand DrawnBelow Normal 2075Top Fix Brackets</v>
      </c>
      <c r="O2238">
        <v>70</v>
      </c>
      <c r="P2238">
        <v>36</v>
      </c>
      <c r="Q2238" s="80">
        <v>0</v>
      </c>
      <c r="R2238" s="80">
        <f t="shared" si="181"/>
        <v>-34</v>
      </c>
      <c r="AD2238"/>
    </row>
    <row r="2239" spans="10:30" ht="16.2" customHeight="1">
      <c r="J2239" s="80" t="s">
        <v>747</v>
      </c>
      <c r="K2239" s="80" t="s">
        <v>372</v>
      </c>
      <c r="L2239" t="s">
        <v>183</v>
      </c>
      <c r="M2239" t="s">
        <v>161</v>
      </c>
      <c r="N2239" t="str">
        <f t="shared" si="180"/>
        <v>Double RearSystem 20 Light Commercial Track Hand DrawnBelow Normal 2075Top Fix Brackets</v>
      </c>
      <c r="O2239">
        <v>70</v>
      </c>
      <c r="P2239">
        <v>36</v>
      </c>
      <c r="Q2239" s="80">
        <v>0</v>
      </c>
      <c r="R2239" s="80">
        <f t="shared" si="181"/>
        <v>-34</v>
      </c>
      <c r="AD2239"/>
    </row>
    <row r="2240" spans="10:30" ht="16.2" customHeight="1">
      <c r="J2240" s="80" t="s">
        <v>725</v>
      </c>
      <c r="K2240" s="80" t="s">
        <v>372</v>
      </c>
      <c r="L2240" t="s">
        <v>183</v>
      </c>
      <c r="M2240" t="s">
        <v>161</v>
      </c>
      <c r="N2240" t="str">
        <f t="shared" si="180"/>
        <v>SingleSystem 20 Light Commercial Track Hand DrawnBelow Normal 2075Top Fix Brackets</v>
      </c>
      <c r="O2240">
        <v>70</v>
      </c>
      <c r="P2240">
        <v>36</v>
      </c>
      <c r="Q2240" s="80">
        <v>0</v>
      </c>
      <c r="R2240" s="80">
        <f t="shared" si="181"/>
        <v>-34</v>
      </c>
      <c r="AD2240"/>
    </row>
    <row r="2241" spans="10:30" ht="16.2" customHeight="1">
      <c r="J2241" s="80" t="s">
        <v>746</v>
      </c>
      <c r="K2241" s="80" t="s">
        <v>372</v>
      </c>
      <c r="L2241" t="s">
        <v>182</v>
      </c>
      <c r="M2241" t="s">
        <v>161</v>
      </c>
      <c r="N2241" t="str">
        <f t="shared" si="180"/>
        <v>Double FrontSystem 20 Light Commercial Track Hand DrawnBetween Level and Normal 2073Top Fix Brackets</v>
      </c>
      <c r="O2241">
        <v>48</v>
      </c>
      <c r="P2241">
        <v>36</v>
      </c>
      <c r="Q2241" s="80">
        <v>0</v>
      </c>
      <c r="R2241" s="80">
        <f t="shared" si="181"/>
        <v>-12</v>
      </c>
      <c r="AD2241"/>
    </row>
    <row r="2242" spans="10:30" ht="16.2" customHeight="1">
      <c r="J2242" s="80" t="s">
        <v>747</v>
      </c>
      <c r="K2242" s="80" t="s">
        <v>372</v>
      </c>
      <c r="L2242" t="s">
        <v>182</v>
      </c>
      <c r="M2242" t="s">
        <v>161</v>
      </c>
      <c r="N2242" t="str">
        <f t="shared" si="182" ref="N2242:N2305">(CONCATENATE(J2242,K2242,L2242,M2242))</f>
        <v>Double RearSystem 20 Light Commercial Track Hand DrawnBetween Level and Normal 2073Top Fix Brackets</v>
      </c>
      <c r="O2242">
        <v>48</v>
      </c>
      <c r="P2242">
        <v>36</v>
      </c>
      <c r="Q2242" s="80">
        <v>0</v>
      </c>
      <c r="R2242" s="80">
        <f t="shared" si="181"/>
        <v>-12</v>
      </c>
      <c r="AD2242"/>
    </row>
    <row r="2243" spans="10:30" ht="16.2" customHeight="1">
      <c r="J2243" s="80" t="s">
        <v>725</v>
      </c>
      <c r="K2243" s="80" t="s">
        <v>372</v>
      </c>
      <c r="L2243" t="s">
        <v>182</v>
      </c>
      <c r="M2243" t="s">
        <v>161</v>
      </c>
      <c r="N2243" t="str">
        <f t="shared" si="182"/>
        <v>SingleSystem 20 Light Commercial Track Hand DrawnBetween Level and Normal 2073Top Fix Brackets</v>
      </c>
      <c r="O2243">
        <v>47</v>
      </c>
      <c r="P2243">
        <v>36</v>
      </c>
      <c r="Q2243" s="80">
        <v>0</v>
      </c>
      <c r="R2243" s="80">
        <f t="shared" si="181"/>
        <v>-11</v>
      </c>
      <c r="AD2243"/>
    </row>
    <row r="2244" spans="10:30" ht="16.2" customHeight="1">
      <c r="J2244" s="80" t="s">
        <v>746</v>
      </c>
      <c r="K2244" s="80" t="s">
        <v>372</v>
      </c>
      <c r="L2244" t="s">
        <v>184</v>
      </c>
      <c r="M2244" t="s">
        <v>161</v>
      </c>
      <c r="N2244" t="str">
        <f t="shared" si="182"/>
        <v>Double FrontSystem 20 Light Commercial Track Hand DrawnDecorator 2071Top Fix Brackets</v>
      </c>
      <c r="O2244">
        <v>20</v>
      </c>
      <c r="P2244">
        <v>36</v>
      </c>
      <c r="Q2244" s="80">
        <v>0</v>
      </c>
      <c r="R2244" s="80">
        <f t="shared" si="181"/>
        <v>16</v>
      </c>
      <c r="AD2244"/>
    </row>
    <row r="2245" spans="10:30" ht="16.2" customHeight="1">
      <c r="J2245" s="80" t="s">
        <v>747</v>
      </c>
      <c r="K2245" s="80" t="s">
        <v>372</v>
      </c>
      <c r="L2245" t="s">
        <v>184</v>
      </c>
      <c r="M2245" t="s">
        <v>161</v>
      </c>
      <c r="N2245" t="str">
        <f t="shared" si="182"/>
        <v>Double RearSystem 20 Light Commercial Track Hand DrawnDecorator 2071Top Fix Brackets</v>
      </c>
      <c r="O2245">
        <v>20</v>
      </c>
      <c r="P2245">
        <v>36</v>
      </c>
      <c r="Q2245" s="80">
        <v>0</v>
      </c>
      <c r="R2245" s="80">
        <f t="shared" si="181"/>
        <v>16</v>
      </c>
      <c r="AD2245"/>
    </row>
    <row r="2246" spans="10:30" ht="16.2" customHeight="1">
      <c r="J2246" s="80" t="s">
        <v>725</v>
      </c>
      <c r="K2246" s="80" t="s">
        <v>372</v>
      </c>
      <c r="L2246" t="s">
        <v>184</v>
      </c>
      <c r="M2246" t="s">
        <v>161</v>
      </c>
      <c r="N2246" t="str">
        <f t="shared" si="182"/>
        <v>SingleSystem 20 Light Commercial Track Hand DrawnDecorator 2071Top Fix Brackets</v>
      </c>
      <c r="O2246">
        <v>20</v>
      </c>
      <c r="P2246">
        <v>36</v>
      </c>
      <c r="Q2246" s="80">
        <v>0</v>
      </c>
      <c r="R2246" s="80">
        <f t="shared" si="181"/>
        <v>16</v>
      </c>
      <c r="AD2246"/>
    </row>
    <row r="2247" spans="10:30" ht="16.2" customHeight="1">
      <c r="J2247" s="80" t="s">
        <v>746</v>
      </c>
      <c r="K2247" s="80" t="s">
        <v>372</v>
      </c>
      <c r="L2247" t="s">
        <v>6468</v>
      </c>
      <c r="M2247" t="s">
        <v>161</v>
      </c>
      <c r="N2247" t="str">
        <f t="shared" si="182"/>
        <v>Double FrontSystem 20 Light Commercial Track Hand DrawnGather Hook Bottom PocketTop Fix Brackets</v>
      </c>
      <c r="O2247">
        <v>60</v>
      </c>
      <c r="P2247">
        <v>36</v>
      </c>
      <c r="Q2247" s="80">
        <v>0</v>
      </c>
      <c r="R2247" s="80">
        <f t="shared" si="181"/>
        <v>-24</v>
      </c>
      <c r="AD2247"/>
    </row>
    <row r="2248" spans="10:30" ht="16.2" customHeight="1">
      <c r="J2248" s="80" t="s">
        <v>725</v>
      </c>
      <c r="K2248" s="80" t="s">
        <v>372</v>
      </c>
      <c r="L2248" t="s">
        <v>6468</v>
      </c>
      <c r="M2248" t="s">
        <v>161</v>
      </c>
      <c r="N2248" t="str">
        <f t="shared" si="182"/>
        <v>SingleSystem 20 Light Commercial Track Hand DrawnGather Hook Bottom PocketTop Fix Brackets</v>
      </c>
      <c r="O2248">
        <v>60</v>
      </c>
      <c r="P2248">
        <v>36</v>
      </c>
      <c r="Q2248" s="80">
        <v>0</v>
      </c>
      <c r="R2248" s="80">
        <f t="shared" si="181"/>
        <v>-24</v>
      </c>
      <c r="AD2248"/>
    </row>
    <row r="2249" spans="10:30" ht="16.2" customHeight="1">
      <c r="J2249" s="80" t="s">
        <v>746</v>
      </c>
      <c r="K2249" s="80" t="s">
        <v>372</v>
      </c>
      <c r="L2249" t="s">
        <v>229</v>
      </c>
      <c r="M2249" t="s">
        <v>161</v>
      </c>
      <c r="N2249" t="str">
        <f t="shared" si="182"/>
        <v>Double FrontSystem 20 Light Commercial Track Hand DrawnGather Hook LevelTop Fix Brackets</v>
      </c>
      <c r="O2249">
        <v>20</v>
      </c>
      <c r="P2249">
        <v>36</v>
      </c>
      <c r="Q2249" s="80">
        <v>0</v>
      </c>
      <c r="R2249" s="80">
        <f t="shared" si="181"/>
        <v>16</v>
      </c>
      <c r="AD2249"/>
    </row>
    <row r="2250" spans="10:30" ht="16.2" customHeight="1">
      <c r="J2250" s="80" t="s">
        <v>747</v>
      </c>
      <c r="K2250" s="80" t="s">
        <v>372</v>
      </c>
      <c r="L2250" t="s">
        <v>229</v>
      </c>
      <c r="M2250" t="s">
        <v>161</v>
      </c>
      <c r="N2250" t="str">
        <f t="shared" si="182"/>
        <v>Double RearSystem 20 Light Commercial Track Hand DrawnGather Hook LevelTop Fix Brackets</v>
      </c>
      <c r="O2250">
        <v>20</v>
      </c>
      <c r="P2250">
        <v>36</v>
      </c>
      <c r="Q2250" s="80">
        <v>0</v>
      </c>
      <c r="R2250" s="80">
        <f t="shared" si="181"/>
        <v>16</v>
      </c>
      <c r="AD2250"/>
    </row>
    <row r="2251" spans="10:30" ht="16.2" customHeight="1">
      <c r="J2251" s="80" t="s">
        <v>725</v>
      </c>
      <c r="K2251" s="80" t="s">
        <v>372</v>
      </c>
      <c r="L2251" t="s">
        <v>229</v>
      </c>
      <c r="M2251" t="s">
        <v>161</v>
      </c>
      <c r="N2251" t="str">
        <f t="shared" si="182"/>
        <v>SingleSystem 20 Light Commercial Track Hand DrawnGather Hook LevelTop Fix Brackets</v>
      </c>
      <c r="O2251">
        <v>20</v>
      </c>
      <c r="P2251">
        <v>36</v>
      </c>
      <c r="Q2251" s="80">
        <v>0</v>
      </c>
      <c r="R2251" s="80">
        <f t="shared" si="181"/>
        <v>16</v>
      </c>
      <c r="AD2251"/>
    </row>
    <row r="2252" spans="10:30" ht="16.2" customHeight="1">
      <c r="J2252" s="80" t="s">
        <v>746</v>
      </c>
      <c r="K2252" s="80" t="s">
        <v>372</v>
      </c>
      <c r="L2252" t="s">
        <v>228</v>
      </c>
      <c r="M2252" t="s">
        <v>161</v>
      </c>
      <c r="N2252" t="str">
        <f t="shared" si="182"/>
        <v>Double FrontSystem 20 Light Commercial Track Hand DrawnGather Hook NormalTop Fix Brackets</v>
      </c>
      <c r="O2252">
        <v>43</v>
      </c>
      <c r="P2252">
        <v>36</v>
      </c>
      <c r="Q2252" s="80">
        <v>0</v>
      </c>
      <c r="R2252" s="80">
        <f t="shared" si="181"/>
        <v>-7</v>
      </c>
      <c r="AD2252"/>
    </row>
    <row r="2253" spans="10:30" ht="16.2" customHeight="1">
      <c r="J2253" s="80" t="s">
        <v>747</v>
      </c>
      <c r="K2253" s="80" t="s">
        <v>372</v>
      </c>
      <c r="L2253" t="s">
        <v>228</v>
      </c>
      <c r="M2253" t="s">
        <v>161</v>
      </c>
      <c r="N2253" t="str">
        <f t="shared" si="182"/>
        <v>Double RearSystem 20 Light Commercial Track Hand DrawnGather Hook NormalTop Fix Brackets</v>
      </c>
      <c r="O2253">
        <v>43</v>
      </c>
      <c r="P2253">
        <v>36</v>
      </c>
      <c r="Q2253" s="80">
        <v>0</v>
      </c>
      <c r="R2253" s="80">
        <f t="shared" si="181"/>
        <v>-7</v>
      </c>
      <c r="AD2253"/>
    </row>
    <row r="2254" spans="10:30" ht="16.2" customHeight="1">
      <c r="J2254" s="80" t="s">
        <v>725</v>
      </c>
      <c r="K2254" s="80" t="s">
        <v>372</v>
      </c>
      <c r="L2254" t="s">
        <v>228</v>
      </c>
      <c r="M2254" t="s">
        <v>161</v>
      </c>
      <c r="N2254" t="str">
        <f t="shared" si="182"/>
        <v>SingleSystem 20 Light Commercial Track Hand DrawnGather Hook NormalTop Fix Brackets</v>
      </c>
      <c r="O2254">
        <v>43</v>
      </c>
      <c r="P2254">
        <v>36</v>
      </c>
      <c r="Q2254" s="80">
        <v>0</v>
      </c>
      <c r="R2254" s="80">
        <f t="shared" si="181"/>
        <v>-7</v>
      </c>
      <c r="AD2254"/>
    </row>
    <row r="2255" spans="10:30" ht="16.2" customHeight="1">
      <c r="J2255" s="80" t="s">
        <v>746</v>
      </c>
      <c r="K2255" s="80" t="s">
        <v>372</v>
      </c>
      <c r="L2255" t="s">
        <v>282</v>
      </c>
      <c r="M2255" t="s">
        <v>161</v>
      </c>
      <c r="N2255" t="str">
        <f t="shared" si="182"/>
        <v>Double FrontSystem 20 Light Commercial Track Hand DrawnLevel 2072Top Fix Brackets</v>
      </c>
      <c r="O2255">
        <v>38</v>
      </c>
      <c r="P2255">
        <v>36</v>
      </c>
      <c r="Q2255" s="80">
        <v>0</v>
      </c>
      <c r="R2255" s="80">
        <f t="shared" si="181"/>
        <v>-2</v>
      </c>
      <c r="AD2255"/>
    </row>
    <row r="2256" spans="10:30" ht="16.2" customHeight="1">
      <c r="J2256" s="80" t="s">
        <v>747</v>
      </c>
      <c r="K2256" s="80" t="s">
        <v>372</v>
      </c>
      <c r="L2256" t="s">
        <v>282</v>
      </c>
      <c r="M2256" t="s">
        <v>161</v>
      </c>
      <c r="N2256" t="str">
        <f t="shared" si="182"/>
        <v>Double RearSystem 20 Light Commercial Track Hand DrawnLevel 2072Top Fix Brackets</v>
      </c>
      <c r="O2256">
        <v>38</v>
      </c>
      <c r="P2256">
        <v>36</v>
      </c>
      <c r="Q2256" s="80">
        <v>0</v>
      </c>
      <c r="R2256" s="80">
        <f t="shared" si="181"/>
        <v>-2</v>
      </c>
      <c r="AD2256"/>
    </row>
    <row r="2257" spans="10:30" ht="16.2" customHeight="1">
      <c r="J2257" s="80" t="s">
        <v>725</v>
      </c>
      <c r="K2257" s="80" t="s">
        <v>372</v>
      </c>
      <c r="L2257" t="s">
        <v>282</v>
      </c>
      <c r="M2257" t="s">
        <v>161</v>
      </c>
      <c r="N2257" t="str">
        <f t="shared" si="182"/>
        <v>SingleSystem 20 Light Commercial Track Hand DrawnLevel 2072Top Fix Brackets</v>
      </c>
      <c r="O2257">
        <v>35</v>
      </c>
      <c r="P2257">
        <v>36</v>
      </c>
      <c r="Q2257" s="80">
        <v>0</v>
      </c>
      <c r="R2257" s="80">
        <f t="shared" si="181"/>
        <v>1</v>
      </c>
      <c r="AD2257"/>
    </row>
    <row r="2258" spans="10:30" ht="16.2" customHeight="1">
      <c r="J2258" s="80" t="s">
        <v>746</v>
      </c>
      <c r="K2258" s="80" t="s">
        <v>372</v>
      </c>
      <c r="L2258" t="s">
        <v>170</v>
      </c>
      <c r="M2258" t="s">
        <v>161</v>
      </c>
      <c r="N2258" t="str">
        <f t="shared" si="182"/>
        <v>Double FrontSystem 20 Light Commercial Track Hand DrawnNormal 2074Top Fix Brackets</v>
      </c>
      <c r="O2258">
        <v>60</v>
      </c>
      <c r="P2258">
        <v>36</v>
      </c>
      <c r="Q2258" s="80">
        <v>0</v>
      </c>
      <c r="R2258" s="80">
        <f t="shared" si="181"/>
        <v>-24</v>
      </c>
      <c r="AD2258"/>
    </row>
    <row r="2259" spans="10:30" ht="16.2" customHeight="1">
      <c r="J2259" s="80" t="s">
        <v>747</v>
      </c>
      <c r="K2259" s="80" t="s">
        <v>372</v>
      </c>
      <c r="L2259" t="s">
        <v>170</v>
      </c>
      <c r="M2259" t="s">
        <v>161</v>
      </c>
      <c r="N2259" t="str">
        <f t="shared" si="182"/>
        <v>Double RearSystem 20 Light Commercial Track Hand DrawnNormal 2074Top Fix Brackets</v>
      </c>
      <c r="O2259">
        <v>60</v>
      </c>
      <c r="P2259">
        <v>36</v>
      </c>
      <c r="Q2259" s="80">
        <v>0</v>
      </c>
      <c r="R2259" s="80">
        <f t="shared" si="181"/>
        <v>-24</v>
      </c>
      <c r="AD2259"/>
    </row>
    <row r="2260" spans="10:30" ht="16.2" customHeight="1">
      <c r="J2260" s="80" t="s">
        <v>725</v>
      </c>
      <c r="K2260" s="80" t="s">
        <v>372</v>
      </c>
      <c r="L2260" t="s">
        <v>170</v>
      </c>
      <c r="M2260" t="s">
        <v>161</v>
      </c>
      <c r="N2260" t="str">
        <f t="shared" si="182"/>
        <v>SingleSystem 20 Light Commercial Track Hand DrawnNormal 2074Top Fix Brackets</v>
      </c>
      <c r="O2260">
        <v>60</v>
      </c>
      <c r="P2260">
        <v>36</v>
      </c>
      <c r="Q2260" s="80">
        <v>0</v>
      </c>
      <c r="R2260" s="80">
        <f t="shared" si="181"/>
        <v>-24</v>
      </c>
      <c r="AD2260"/>
    </row>
    <row r="2261" spans="10:30" ht="16.2" customHeight="1">
      <c r="J2261" s="80" t="s">
        <v>746</v>
      </c>
      <c r="K2261" s="80" t="s">
        <v>287</v>
      </c>
      <c r="L2261" t="s">
        <v>183</v>
      </c>
      <c r="M2261" t="s">
        <v>159</v>
      </c>
      <c r="N2261" t="str">
        <f t="shared" si="182"/>
        <v>Double FrontSystem 30 Heavy Duty Commercial Track Cord DrawnBelow Normal 2075Single Face Fix Brackets</v>
      </c>
      <c r="O2261">
        <v>70</v>
      </c>
      <c r="P2261">
        <v>53</v>
      </c>
      <c r="Q2261" s="80">
        <v>0</v>
      </c>
      <c r="R2261" s="80">
        <f t="shared" si="181"/>
        <v>-17</v>
      </c>
      <c r="AD2261"/>
    </row>
    <row r="2262" spans="10:30" ht="16.2" customHeight="1">
      <c r="J2262" s="80" t="s">
        <v>747</v>
      </c>
      <c r="K2262" s="80" t="s">
        <v>287</v>
      </c>
      <c r="L2262" t="s">
        <v>183</v>
      </c>
      <c r="M2262" t="s">
        <v>159</v>
      </c>
      <c r="N2262" t="str">
        <f t="shared" si="182"/>
        <v>Double RearSystem 30 Heavy Duty Commercial Track Cord DrawnBelow Normal 2075Single Face Fix Brackets</v>
      </c>
      <c r="O2262">
        <v>70</v>
      </c>
      <c r="P2262">
        <v>53</v>
      </c>
      <c r="Q2262" s="80">
        <v>0</v>
      </c>
      <c r="R2262" s="80">
        <f t="shared" si="181"/>
        <v>-17</v>
      </c>
      <c r="AD2262"/>
    </row>
    <row r="2263" spans="10:30" ht="16.2" customHeight="1">
      <c r="J2263" s="80" t="s">
        <v>725</v>
      </c>
      <c r="K2263" s="80" t="s">
        <v>287</v>
      </c>
      <c r="L2263" t="s">
        <v>183</v>
      </c>
      <c r="M2263" t="s">
        <v>159</v>
      </c>
      <c r="N2263" t="str">
        <f t="shared" si="182"/>
        <v>SingleSystem 30 Heavy Duty Commercial Track Cord DrawnBelow Normal 2075Single Face Fix Brackets</v>
      </c>
      <c r="O2263">
        <v>70</v>
      </c>
      <c r="P2263">
        <v>53</v>
      </c>
      <c r="Q2263" s="80">
        <v>0</v>
      </c>
      <c r="R2263" s="80">
        <f t="shared" si="181"/>
        <v>-17</v>
      </c>
      <c r="AD2263"/>
    </row>
    <row r="2264" spans="10:30" ht="16.2" customHeight="1">
      <c r="J2264" s="80" t="s">
        <v>746</v>
      </c>
      <c r="K2264" s="80" t="s">
        <v>287</v>
      </c>
      <c r="L2264" t="s">
        <v>182</v>
      </c>
      <c r="M2264" t="s">
        <v>159</v>
      </c>
      <c r="N2264" t="str">
        <f t="shared" si="182"/>
        <v>Double FrontSystem 30 Heavy Duty Commercial Track Cord DrawnBetween Level and Normal 2073Single Face Fix Brackets</v>
      </c>
      <c r="O2264">
        <v>48</v>
      </c>
      <c r="P2264">
        <v>53</v>
      </c>
      <c r="Q2264" s="80">
        <v>0</v>
      </c>
      <c r="R2264" s="80">
        <f t="shared" si="181"/>
        <v>5</v>
      </c>
      <c r="AD2264"/>
    </row>
    <row r="2265" spans="10:30" ht="16.2" customHeight="1">
      <c r="J2265" s="80" t="s">
        <v>747</v>
      </c>
      <c r="K2265" s="80" t="s">
        <v>287</v>
      </c>
      <c r="L2265" t="s">
        <v>182</v>
      </c>
      <c r="M2265" t="s">
        <v>159</v>
      </c>
      <c r="N2265" t="str">
        <f t="shared" si="182"/>
        <v>Double RearSystem 30 Heavy Duty Commercial Track Cord DrawnBetween Level and Normal 2073Single Face Fix Brackets</v>
      </c>
      <c r="O2265">
        <v>48</v>
      </c>
      <c r="P2265">
        <v>53</v>
      </c>
      <c r="Q2265" s="80">
        <v>0</v>
      </c>
      <c r="R2265" s="80">
        <f t="shared" si="181"/>
        <v>5</v>
      </c>
      <c r="AD2265"/>
    </row>
    <row r="2266" spans="10:30" ht="16.2" customHeight="1">
      <c r="J2266" s="80" t="s">
        <v>725</v>
      </c>
      <c r="K2266" s="80" t="s">
        <v>287</v>
      </c>
      <c r="L2266" t="s">
        <v>182</v>
      </c>
      <c r="M2266" t="s">
        <v>159</v>
      </c>
      <c r="N2266" t="str">
        <f t="shared" si="182"/>
        <v>SingleSystem 30 Heavy Duty Commercial Track Cord DrawnBetween Level and Normal 2073Single Face Fix Brackets</v>
      </c>
      <c r="O2266">
        <v>47</v>
      </c>
      <c r="P2266">
        <v>53</v>
      </c>
      <c r="Q2266" s="80">
        <v>0</v>
      </c>
      <c r="R2266" s="80">
        <f t="shared" si="181"/>
        <v>6</v>
      </c>
      <c r="AD2266"/>
    </row>
    <row r="2267" spans="10:30" ht="16.2" customHeight="1">
      <c r="J2267" s="80" t="s">
        <v>746</v>
      </c>
      <c r="K2267" s="80" t="s">
        <v>287</v>
      </c>
      <c r="L2267" t="s">
        <v>184</v>
      </c>
      <c r="M2267" t="s">
        <v>159</v>
      </c>
      <c r="N2267" t="str">
        <f t="shared" si="182"/>
        <v>Double FrontSystem 30 Heavy Duty Commercial Track Cord DrawnDecorator 2071Single Face Fix Brackets</v>
      </c>
      <c r="O2267">
        <v>20</v>
      </c>
      <c r="P2267">
        <v>53</v>
      </c>
      <c r="Q2267" s="80">
        <v>0</v>
      </c>
      <c r="R2267" s="80">
        <f t="shared" si="181"/>
        <v>33</v>
      </c>
      <c r="AD2267"/>
    </row>
    <row r="2268" spans="10:30" ht="16.2" customHeight="1">
      <c r="J2268" s="80" t="s">
        <v>747</v>
      </c>
      <c r="K2268" s="80" t="s">
        <v>287</v>
      </c>
      <c r="L2268" t="s">
        <v>184</v>
      </c>
      <c r="M2268" t="s">
        <v>159</v>
      </c>
      <c r="N2268" t="str">
        <f t="shared" si="182"/>
        <v>Double RearSystem 30 Heavy Duty Commercial Track Cord DrawnDecorator 2071Single Face Fix Brackets</v>
      </c>
      <c r="O2268">
        <v>20</v>
      </c>
      <c r="P2268">
        <v>53</v>
      </c>
      <c r="Q2268" s="80">
        <v>0</v>
      </c>
      <c r="R2268" s="80">
        <f t="shared" si="181"/>
        <v>33</v>
      </c>
      <c r="AD2268"/>
    </row>
    <row r="2269" spans="10:30" ht="16.2" customHeight="1">
      <c r="J2269" s="80" t="s">
        <v>725</v>
      </c>
      <c r="K2269" s="80" t="s">
        <v>287</v>
      </c>
      <c r="L2269" t="s">
        <v>184</v>
      </c>
      <c r="M2269" t="s">
        <v>159</v>
      </c>
      <c r="N2269" t="str">
        <f t="shared" si="182"/>
        <v>SingleSystem 30 Heavy Duty Commercial Track Cord DrawnDecorator 2071Single Face Fix Brackets</v>
      </c>
      <c r="O2269">
        <v>20</v>
      </c>
      <c r="P2269">
        <v>53</v>
      </c>
      <c r="Q2269" s="80">
        <v>0</v>
      </c>
      <c r="R2269" s="80">
        <f t="shared" si="181"/>
        <v>33</v>
      </c>
      <c r="AD2269"/>
    </row>
    <row r="2270" spans="10:30" ht="16.2" customHeight="1">
      <c r="J2270" s="80" t="s">
        <v>746</v>
      </c>
      <c r="K2270" s="80" t="s">
        <v>287</v>
      </c>
      <c r="L2270" t="s">
        <v>6468</v>
      </c>
      <c r="M2270" t="s">
        <v>159</v>
      </c>
      <c r="N2270" t="str">
        <f t="shared" si="182"/>
        <v>Double FrontSystem 30 Heavy Duty Commercial Track Cord DrawnGather Hook Bottom PocketSingle Face Fix Brackets</v>
      </c>
      <c r="O2270">
        <v>60</v>
      </c>
      <c r="P2270">
        <v>40</v>
      </c>
      <c r="Q2270" s="80">
        <v>0</v>
      </c>
      <c r="R2270" s="80">
        <f t="shared" si="181"/>
        <v>-20</v>
      </c>
      <c r="AD2270"/>
    </row>
    <row r="2271" spans="10:30" ht="16.2" customHeight="1">
      <c r="J2271" s="80" t="s">
        <v>725</v>
      </c>
      <c r="K2271" s="80" t="s">
        <v>287</v>
      </c>
      <c r="L2271" t="s">
        <v>6468</v>
      </c>
      <c r="M2271" t="s">
        <v>159</v>
      </c>
      <c r="N2271" t="str">
        <f t="shared" si="182"/>
        <v>SingleSystem 30 Heavy Duty Commercial Track Cord DrawnGather Hook Bottom PocketSingle Face Fix Brackets</v>
      </c>
      <c r="O2271">
        <v>60</v>
      </c>
      <c r="P2271">
        <v>53</v>
      </c>
      <c r="Q2271" s="80">
        <v>0</v>
      </c>
      <c r="R2271" s="80">
        <f t="shared" si="183" ref="R2271:R2334">SUM(P2271)-O2271</f>
        <v>-7</v>
      </c>
      <c r="AD2271"/>
    </row>
    <row r="2272" spans="10:30" ht="16.2" customHeight="1">
      <c r="J2272" s="80" t="s">
        <v>746</v>
      </c>
      <c r="K2272" s="80" t="s">
        <v>287</v>
      </c>
      <c r="L2272" t="s">
        <v>229</v>
      </c>
      <c r="M2272" t="s">
        <v>159</v>
      </c>
      <c r="N2272" t="str">
        <f t="shared" si="182"/>
        <v>Double FrontSystem 30 Heavy Duty Commercial Track Cord DrawnGather Hook LevelSingle Face Fix Brackets</v>
      </c>
      <c r="O2272">
        <v>20</v>
      </c>
      <c r="P2272">
        <v>53</v>
      </c>
      <c r="Q2272" s="80">
        <v>0</v>
      </c>
      <c r="R2272" s="80">
        <f t="shared" si="183"/>
        <v>33</v>
      </c>
      <c r="AD2272"/>
    </row>
    <row r="2273" spans="10:30" ht="16.2" customHeight="1">
      <c r="J2273" s="80" t="s">
        <v>747</v>
      </c>
      <c r="K2273" s="80" t="s">
        <v>287</v>
      </c>
      <c r="L2273" t="s">
        <v>229</v>
      </c>
      <c r="M2273" t="s">
        <v>159</v>
      </c>
      <c r="N2273" t="str">
        <f t="shared" si="182"/>
        <v>Double RearSystem 30 Heavy Duty Commercial Track Cord DrawnGather Hook LevelSingle Face Fix Brackets</v>
      </c>
      <c r="O2273">
        <v>20</v>
      </c>
      <c r="P2273">
        <v>53</v>
      </c>
      <c r="Q2273" s="80">
        <v>0</v>
      </c>
      <c r="R2273" s="80">
        <f t="shared" si="183"/>
        <v>33</v>
      </c>
      <c r="AD2273"/>
    </row>
    <row r="2274" spans="10:30" ht="16.2" customHeight="1">
      <c r="J2274" s="80" t="s">
        <v>725</v>
      </c>
      <c r="K2274" s="80" t="s">
        <v>287</v>
      </c>
      <c r="L2274" t="s">
        <v>229</v>
      </c>
      <c r="M2274" t="s">
        <v>159</v>
      </c>
      <c r="N2274" t="str">
        <f t="shared" si="182"/>
        <v>SingleSystem 30 Heavy Duty Commercial Track Cord DrawnGather Hook LevelSingle Face Fix Brackets</v>
      </c>
      <c r="O2274">
        <v>20</v>
      </c>
      <c r="P2274">
        <v>53</v>
      </c>
      <c r="Q2274" s="80">
        <v>0</v>
      </c>
      <c r="R2274" s="80">
        <f t="shared" si="183"/>
        <v>33</v>
      </c>
      <c r="AD2274"/>
    </row>
    <row r="2275" spans="10:30" ht="16.2" customHeight="1">
      <c r="J2275" s="80" t="s">
        <v>746</v>
      </c>
      <c r="K2275" s="80" t="s">
        <v>287</v>
      </c>
      <c r="L2275" t="s">
        <v>228</v>
      </c>
      <c r="M2275" t="s">
        <v>159</v>
      </c>
      <c r="N2275" t="str">
        <f t="shared" si="182"/>
        <v>Double FrontSystem 30 Heavy Duty Commercial Track Cord DrawnGather Hook NormalSingle Face Fix Brackets</v>
      </c>
      <c r="O2275">
        <v>43</v>
      </c>
      <c r="P2275">
        <v>53</v>
      </c>
      <c r="Q2275" s="80">
        <v>0</v>
      </c>
      <c r="R2275" s="80">
        <f t="shared" si="183"/>
        <v>10</v>
      </c>
      <c r="AD2275"/>
    </row>
    <row r="2276" spans="10:30" ht="16.2" customHeight="1">
      <c r="J2276" s="80" t="s">
        <v>747</v>
      </c>
      <c r="K2276" s="80" t="s">
        <v>287</v>
      </c>
      <c r="L2276" t="s">
        <v>228</v>
      </c>
      <c r="M2276" t="s">
        <v>159</v>
      </c>
      <c r="N2276" t="str">
        <f t="shared" si="182"/>
        <v>Double RearSystem 30 Heavy Duty Commercial Track Cord DrawnGather Hook NormalSingle Face Fix Brackets</v>
      </c>
      <c r="O2276">
        <v>43</v>
      </c>
      <c r="P2276">
        <v>53</v>
      </c>
      <c r="Q2276" s="80">
        <v>0</v>
      </c>
      <c r="R2276" s="80">
        <f t="shared" si="183"/>
        <v>10</v>
      </c>
      <c r="AD2276"/>
    </row>
    <row r="2277" spans="10:30" ht="16.2" customHeight="1">
      <c r="J2277" s="80" t="s">
        <v>725</v>
      </c>
      <c r="K2277" s="80" t="s">
        <v>287</v>
      </c>
      <c r="L2277" t="s">
        <v>228</v>
      </c>
      <c r="M2277" t="s">
        <v>159</v>
      </c>
      <c r="N2277" t="str">
        <f t="shared" si="182"/>
        <v>SingleSystem 30 Heavy Duty Commercial Track Cord DrawnGather Hook NormalSingle Face Fix Brackets</v>
      </c>
      <c r="O2277">
        <v>43</v>
      </c>
      <c r="P2277">
        <v>53</v>
      </c>
      <c r="Q2277" s="80">
        <v>0</v>
      </c>
      <c r="R2277" s="80">
        <f t="shared" si="183"/>
        <v>10</v>
      </c>
      <c r="AD2277"/>
    </row>
    <row r="2278" spans="10:30" ht="16.2" customHeight="1">
      <c r="J2278" s="80" t="s">
        <v>746</v>
      </c>
      <c r="K2278" s="80" t="s">
        <v>287</v>
      </c>
      <c r="L2278" t="s">
        <v>282</v>
      </c>
      <c r="M2278" t="s">
        <v>159</v>
      </c>
      <c r="N2278" t="str">
        <f t="shared" si="182"/>
        <v>Double FrontSystem 30 Heavy Duty Commercial Track Cord DrawnLevel 2072Single Face Fix Brackets</v>
      </c>
      <c r="O2278">
        <v>38</v>
      </c>
      <c r="P2278">
        <v>53</v>
      </c>
      <c r="Q2278" s="80">
        <v>0</v>
      </c>
      <c r="R2278" s="80">
        <f t="shared" si="183"/>
        <v>15</v>
      </c>
      <c r="AD2278"/>
    </row>
    <row r="2279" spans="10:30" ht="16.2" customHeight="1">
      <c r="J2279" s="80" t="s">
        <v>747</v>
      </c>
      <c r="K2279" s="80" t="s">
        <v>287</v>
      </c>
      <c r="L2279" t="s">
        <v>282</v>
      </c>
      <c r="M2279" t="s">
        <v>159</v>
      </c>
      <c r="N2279" t="str">
        <f t="shared" si="182"/>
        <v>Double RearSystem 30 Heavy Duty Commercial Track Cord DrawnLevel 2072Single Face Fix Brackets</v>
      </c>
      <c r="O2279">
        <v>38</v>
      </c>
      <c r="P2279">
        <v>53</v>
      </c>
      <c r="Q2279" s="80">
        <v>0</v>
      </c>
      <c r="R2279" s="80">
        <f t="shared" si="183"/>
        <v>15</v>
      </c>
      <c r="AD2279"/>
    </row>
    <row r="2280" spans="10:30" ht="16.2" customHeight="1">
      <c r="J2280" s="80" t="s">
        <v>725</v>
      </c>
      <c r="K2280" s="80" t="s">
        <v>287</v>
      </c>
      <c r="L2280" t="s">
        <v>282</v>
      </c>
      <c r="M2280" t="s">
        <v>159</v>
      </c>
      <c r="N2280" t="str">
        <f t="shared" si="182"/>
        <v>SingleSystem 30 Heavy Duty Commercial Track Cord DrawnLevel 2072Single Face Fix Brackets</v>
      </c>
      <c r="O2280">
        <v>35</v>
      </c>
      <c r="P2280">
        <v>53</v>
      </c>
      <c r="Q2280" s="80">
        <v>0</v>
      </c>
      <c r="R2280" s="80">
        <f t="shared" si="183"/>
        <v>18</v>
      </c>
      <c r="AD2280"/>
    </row>
    <row r="2281" spans="10:30" ht="16.2" customHeight="1">
      <c r="J2281" s="80" t="s">
        <v>746</v>
      </c>
      <c r="K2281" s="80" t="s">
        <v>287</v>
      </c>
      <c r="L2281" t="s">
        <v>170</v>
      </c>
      <c r="M2281" t="s">
        <v>159</v>
      </c>
      <c r="N2281" t="str">
        <f t="shared" si="182"/>
        <v>Double FrontSystem 30 Heavy Duty Commercial Track Cord DrawnNormal 2074Single Face Fix Brackets</v>
      </c>
      <c r="O2281">
        <v>60</v>
      </c>
      <c r="P2281">
        <v>53</v>
      </c>
      <c r="Q2281" s="80">
        <v>0</v>
      </c>
      <c r="R2281" s="80">
        <f t="shared" si="183"/>
        <v>-7</v>
      </c>
      <c r="AD2281"/>
    </row>
    <row r="2282" spans="10:30" ht="16.2" customHeight="1">
      <c r="J2282" s="80" t="s">
        <v>747</v>
      </c>
      <c r="K2282" s="80" t="s">
        <v>287</v>
      </c>
      <c r="L2282" t="s">
        <v>170</v>
      </c>
      <c r="M2282" t="s">
        <v>159</v>
      </c>
      <c r="N2282" t="str">
        <f t="shared" si="182"/>
        <v>Double RearSystem 30 Heavy Duty Commercial Track Cord DrawnNormal 2074Single Face Fix Brackets</v>
      </c>
      <c r="O2282">
        <v>60</v>
      </c>
      <c r="P2282">
        <v>53</v>
      </c>
      <c r="Q2282" s="80">
        <v>0</v>
      </c>
      <c r="R2282" s="80">
        <f t="shared" si="183"/>
        <v>-7</v>
      </c>
      <c r="AD2282"/>
    </row>
    <row r="2283" spans="10:30" ht="16.2" customHeight="1">
      <c r="J2283" s="80" t="s">
        <v>725</v>
      </c>
      <c r="K2283" s="80" t="s">
        <v>287</v>
      </c>
      <c r="L2283" t="s">
        <v>170</v>
      </c>
      <c r="M2283" t="s">
        <v>159</v>
      </c>
      <c r="N2283" t="str">
        <f t="shared" si="182"/>
        <v>SingleSystem 30 Heavy Duty Commercial Track Cord DrawnNormal 2074Single Face Fix Brackets</v>
      </c>
      <c r="O2283">
        <v>60</v>
      </c>
      <c r="P2283">
        <v>53</v>
      </c>
      <c r="Q2283" s="80">
        <v>0</v>
      </c>
      <c r="R2283" s="80">
        <f t="shared" si="183"/>
        <v>-7</v>
      </c>
      <c r="AD2283"/>
    </row>
    <row r="2284" spans="10:30" ht="16.2" customHeight="1">
      <c r="J2284" s="80" t="s">
        <v>746</v>
      </c>
      <c r="K2284" s="80" t="s">
        <v>287</v>
      </c>
      <c r="L2284" t="s">
        <v>183</v>
      </c>
      <c r="M2284" t="s">
        <v>161</v>
      </c>
      <c r="N2284" t="str">
        <f t="shared" si="182"/>
        <v>Double FrontSystem 30 Heavy Duty Commercial Track Cord DrawnBelow Normal 2075Top Fix Brackets</v>
      </c>
      <c r="O2284">
        <v>70</v>
      </c>
      <c r="P2284">
        <v>42</v>
      </c>
      <c r="Q2284" s="80">
        <v>0</v>
      </c>
      <c r="R2284" s="80">
        <f t="shared" si="183"/>
        <v>-28</v>
      </c>
      <c r="AD2284"/>
    </row>
    <row r="2285" spans="10:30" ht="16.2" customHeight="1">
      <c r="J2285" s="80" t="s">
        <v>747</v>
      </c>
      <c r="K2285" s="80" t="s">
        <v>287</v>
      </c>
      <c r="L2285" t="s">
        <v>183</v>
      </c>
      <c r="M2285" t="s">
        <v>161</v>
      </c>
      <c r="N2285" t="str">
        <f t="shared" si="182"/>
        <v>Double RearSystem 30 Heavy Duty Commercial Track Cord DrawnBelow Normal 2075Top Fix Brackets</v>
      </c>
      <c r="O2285">
        <v>70</v>
      </c>
      <c r="P2285">
        <v>42</v>
      </c>
      <c r="Q2285" s="80">
        <v>0</v>
      </c>
      <c r="R2285" s="80">
        <f t="shared" si="183"/>
        <v>-28</v>
      </c>
      <c r="AD2285"/>
    </row>
    <row r="2286" spans="10:30" ht="16.2" customHeight="1">
      <c r="J2286" s="80" t="s">
        <v>725</v>
      </c>
      <c r="K2286" s="80" t="s">
        <v>287</v>
      </c>
      <c r="L2286" t="s">
        <v>183</v>
      </c>
      <c r="M2286" t="s">
        <v>161</v>
      </c>
      <c r="N2286" t="str">
        <f t="shared" si="182"/>
        <v>SingleSystem 30 Heavy Duty Commercial Track Cord DrawnBelow Normal 2075Top Fix Brackets</v>
      </c>
      <c r="O2286">
        <v>70</v>
      </c>
      <c r="P2286">
        <v>42</v>
      </c>
      <c r="Q2286" s="80">
        <v>0</v>
      </c>
      <c r="R2286" s="80">
        <f t="shared" si="183"/>
        <v>-28</v>
      </c>
      <c r="AD2286"/>
    </row>
    <row r="2287" spans="10:30" ht="16.2" customHeight="1">
      <c r="J2287" s="80" t="s">
        <v>746</v>
      </c>
      <c r="K2287" s="80" t="s">
        <v>287</v>
      </c>
      <c r="L2287" t="s">
        <v>182</v>
      </c>
      <c r="M2287" t="s">
        <v>161</v>
      </c>
      <c r="N2287" t="str">
        <f t="shared" si="182"/>
        <v>Double FrontSystem 30 Heavy Duty Commercial Track Cord DrawnBetween Level and Normal 2073Top Fix Brackets</v>
      </c>
      <c r="O2287">
        <v>48</v>
      </c>
      <c r="P2287">
        <v>42</v>
      </c>
      <c r="Q2287" s="80">
        <v>0</v>
      </c>
      <c r="R2287" s="80">
        <f t="shared" si="183"/>
        <v>-6</v>
      </c>
      <c r="AD2287"/>
    </row>
    <row r="2288" spans="10:30" ht="16.2" customHeight="1">
      <c r="J2288" s="80" t="s">
        <v>747</v>
      </c>
      <c r="K2288" s="80" t="s">
        <v>287</v>
      </c>
      <c r="L2288" t="s">
        <v>182</v>
      </c>
      <c r="M2288" t="s">
        <v>161</v>
      </c>
      <c r="N2288" t="str">
        <f t="shared" si="182"/>
        <v>Double RearSystem 30 Heavy Duty Commercial Track Cord DrawnBetween Level and Normal 2073Top Fix Brackets</v>
      </c>
      <c r="O2288">
        <v>48</v>
      </c>
      <c r="P2288">
        <v>42</v>
      </c>
      <c r="Q2288" s="80">
        <v>0</v>
      </c>
      <c r="R2288" s="80">
        <f t="shared" si="183"/>
        <v>-6</v>
      </c>
      <c r="AD2288"/>
    </row>
    <row r="2289" spans="10:30" ht="16.2" customHeight="1">
      <c r="J2289" s="80" t="s">
        <v>725</v>
      </c>
      <c r="K2289" s="80" t="s">
        <v>287</v>
      </c>
      <c r="L2289" t="s">
        <v>182</v>
      </c>
      <c r="M2289" t="s">
        <v>161</v>
      </c>
      <c r="N2289" t="str">
        <f t="shared" si="182"/>
        <v>SingleSystem 30 Heavy Duty Commercial Track Cord DrawnBetween Level and Normal 2073Top Fix Brackets</v>
      </c>
      <c r="O2289">
        <v>47</v>
      </c>
      <c r="P2289">
        <v>42</v>
      </c>
      <c r="Q2289" s="80">
        <v>0</v>
      </c>
      <c r="R2289" s="80">
        <f t="shared" si="183"/>
        <v>-5</v>
      </c>
      <c r="AD2289"/>
    </row>
    <row r="2290" spans="10:30" ht="16.2" customHeight="1">
      <c r="J2290" s="80" t="s">
        <v>746</v>
      </c>
      <c r="K2290" s="80" t="s">
        <v>287</v>
      </c>
      <c r="L2290" t="s">
        <v>184</v>
      </c>
      <c r="M2290" t="s">
        <v>161</v>
      </c>
      <c r="N2290" t="str">
        <f t="shared" si="182"/>
        <v>Double FrontSystem 30 Heavy Duty Commercial Track Cord DrawnDecorator 2071Top Fix Brackets</v>
      </c>
      <c r="O2290">
        <v>20</v>
      </c>
      <c r="P2290">
        <v>42</v>
      </c>
      <c r="Q2290" s="80">
        <v>0</v>
      </c>
      <c r="R2290" s="80">
        <f t="shared" si="183"/>
        <v>22</v>
      </c>
      <c r="AD2290"/>
    </row>
    <row r="2291" spans="10:30" ht="16.2" customHeight="1">
      <c r="J2291" s="80" t="s">
        <v>747</v>
      </c>
      <c r="K2291" s="80" t="s">
        <v>287</v>
      </c>
      <c r="L2291" t="s">
        <v>184</v>
      </c>
      <c r="M2291" t="s">
        <v>161</v>
      </c>
      <c r="N2291" t="str">
        <f t="shared" si="182"/>
        <v>Double RearSystem 30 Heavy Duty Commercial Track Cord DrawnDecorator 2071Top Fix Brackets</v>
      </c>
      <c r="O2291">
        <v>20</v>
      </c>
      <c r="P2291">
        <v>42</v>
      </c>
      <c r="Q2291" s="80">
        <v>0</v>
      </c>
      <c r="R2291" s="80">
        <f t="shared" si="183"/>
        <v>22</v>
      </c>
      <c r="AD2291"/>
    </row>
    <row r="2292" spans="10:30" ht="16.2" customHeight="1">
      <c r="J2292" s="80" t="s">
        <v>725</v>
      </c>
      <c r="K2292" s="80" t="s">
        <v>287</v>
      </c>
      <c r="L2292" t="s">
        <v>184</v>
      </c>
      <c r="M2292" t="s">
        <v>161</v>
      </c>
      <c r="N2292" t="str">
        <f t="shared" si="182"/>
        <v>SingleSystem 30 Heavy Duty Commercial Track Cord DrawnDecorator 2071Top Fix Brackets</v>
      </c>
      <c r="O2292">
        <v>20</v>
      </c>
      <c r="P2292">
        <v>42</v>
      </c>
      <c r="Q2292" s="80">
        <v>0</v>
      </c>
      <c r="R2292" s="80">
        <f t="shared" si="183"/>
        <v>22</v>
      </c>
      <c r="AD2292"/>
    </row>
    <row r="2293" spans="10:30" ht="16.2" customHeight="1">
      <c r="J2293" s="80" t="s">
        <v>746</v>
      </c>
      <c r="K2293" s="80" t="s">
        <v>287</v>
      </c>
      <c r="L2293" t="s">
        <v>6468</v>
      </c>
      <c r="M2293" t="s">
        <v>161</v>
      </c>
      <c r="N2293" t="str">
        <f t="shared" si="182"/>
        <v>Double FrontSystem 30 Heavy Duty Commercial Track Cord DrawnGather Hook Bottom PocketTop Fix Brackets</v>
      </c>
      <c r="O2293">
        <v>60</v>
      </c>
      <c r="P2293">
        <v>36</v>
      </c>
      <c r="Q2293" s="80">
        <v>0</v>
      </c>
      <c r="R2293" s="80">
        <f t="shared" si="183"/>
        <v>-24</v>
      </c>
      <c r="AD2293"/>
    </row>
    <row r="2294" spans="10:30" ht="16.2" customHeight="1">
      <c r="J2294" s="80" t="s">
        <v>725</v>
      </c>
      <c r="K2294" s="80" t="s">
        <v>287</v>
      </c>
      <c r="L2294" t="s">
        <v>6468</v>
      </c>
      <c r="M2294" t="s">
        <v>161</v>
      </c>
      <c r="N2294" t="str">
        <f t="shared" si="182"/>
        <v>SingleSystem 30 Heavy Duty Commercial Track Cord DrawnGather Hook Bottom PocketTop Fix Brackets</v>
      </c>
      <c r="O2294">
        <v>60</v>
      </c>
      <c r="P2294">
        <v>42</v>
      </c>
      <c r="Q2294" s="80">
        <v>0</v>
      </c>
      <c r="R2294" s="80">
        <f t="shared" si="183"/>
        <v>-18</v>
      </c>
      <c r="AD2294"/>
    </row>
    <row r="2295" spans="10:30" ht="16.2" customHeight="1">
      <c r="J2295" s="80" t="s">
        <v>746</v>
      </c>
      <c r="K2295" s="80" t="s">
        <v>287</v>
      </c>
      <c r="L2295" t="s">
        <v>229</v>
      </c>
      <c r="M2295" t="s">
        <v>161</v>
      </c>
      <c r="N2295" t="str">
        <f t="shared" si="182"/>
        <v>Double FrontSystem 30 Heavy Duty Commercial Track Cord DrawnGather Hook LevelTop Fix Brackets</v>
      </c>
      <c r="O2295">
        <v>20</v>
      </c>
      <c r="P2295">
        <v>42</v>
      </c>
      <c r="Q2295" s="80">
        <v>0</v>
      </c>
      <c r="R2295" s="80">
        <f t="shared" si="183"/>
        <v>22</v>
      </c>
      <c r="AD2295"/>
    </row>
    <row r="2296" spans="10:30" ht="16.2" customHeight="1">
      <c r="J2296" s="80" t="s">
        <v>747</v>
      </c>
      <c r="K2296" s="80" t="s">
        <v>287</v>
      </c>
      <c r="L2296" t="s">
        <v>229</v>
      </c>
      <c r="M2296" t="s">
        <v>161</v>
      </c>
      <c r="N2296" t="str">
        <f t="shared" si="182"/>
        <v>Double RearSystem 30 Heavy Duty Commercial Track Cord DrawnGather Hook LevelTop Fix Brackets</v>
      </c>
      <c r="O2296">
        <v>20</v>
      </c>
      <c r="P2296">
        <v>42</v>
      </c>
      <c r="Q2296" s="80">
        <v>0</v>
      </c>
      <c r="R2296" s="80">
        <f t="shared" si="183"/>
        <v>22</v>
      </c>
      <c r="AD2296"/>
    </row>
    <row r="2297" spans="10:30" ht="16.2" customHeight="1">
      <c r="J2297" s="80" t="s">
        <v>725</v>
      </c>
      <c r="K2297" s="80" t="s">
        <v>287</v>
      </c>
      <c r="L2297" t="s">
        <v>229</v>
      </c>
      <c r="M2297" t="s">
        <v>161</v>
      </c>
      <c r="N2297" t="str">
        <f t="shared" si="182"/>
        <v>SingleSystem 30 Heavy Duty Commercial Track Cord DrawnGather Hook LevelTop Fix Brackets</v>
      </c>
      <c r="O2297">
        <v>20</v>
      </c>
      <c r="P2297">
        <v>42</v>
      </c>
      <c r="Q2297" s="80">
        <v>0</v>
      </c>
      <c r="R2297" s="80">
        <f t="shared" si="183"/>
        <v>22</v>
      </c>
      <c r="AD2297"/>
    </row>
    <row r="2298" spans="10:30" ht="16.2" customHeight="1">
      <c r="J2298" s="80" t="s">
        <v>746</v>
      </c>
      <c r="K2298" s="80" t="s">
        <v>287</v>
      </c>
      <c r="L2298" t="s">
        <v>228</v>
      </c>
      <c r="M2298" t="s">
        <v>161</v>
      </c>
      <c r="N2298" t="str">
        <f t="shared" si="182"/>
        <v>Double FrontSystem 30 Heavy Duty Commercial Track Cord DrawnGather Hook NormalTop Fix Brackets</v>
      </c>
      <c r="O2298">
        <v>43</v>
      </c>
      <c r="P2298">
        <v>42</v>
      </c>
      <c r="Q2298" s="80">
        <v>0</v>
      </c>
      <c r="R2298" s="80">
        <f t="shared" si="183"/>
        <v>-1</v>
      </c>
      <c r="AD2298"/>
    </row>
    <row r="2299" spans="10:30" ht="16.2" customHeight="1">
      <c r="J2299" s="80" t="s">
        <v>747</v>
      </c>
      <c r="K2299" s="80" t="s">
        <v>287</v>
      </c>
      <c r="L2299" t="s">
        <v>228</v>
      </c>
      <c r="M2299" t="s">
        <v>161</v>
      </c>
      <c r="N2299" t="str">
        <f t="shared" si="182"/>
        <v>Double RearSystem 30 Heavy Duty Commercial Track Cord DrawnGather Hook NormalTop Fix Brackets</v>
      </c>
      <c r="O2299">
        <v>43</v>
      </c>
      <c r="P2299">
        <v>42</v>
      </c>
      <c r="Q2299" s="80">
        <v>0</v>
      </c>
      <c r="R2299" s="80">
        <f t="shared" si="183"/>
        <v>-1</v>
      </c>
      <c r="AD2299"/>
    </row>
    <row r="2300" spans="10:30" ht="16.2" customHeight="1">
      <c r="J2300" s="80" t="s">
        <v>725</v>
      </c>
      <c r="K2300" s="80" t="s">
        <v>287</v>
      </c>
      <c r="L2300" t="s">
        <v>228</v>
      </c>
      <c r="M2300" t="s">
        <v>161</v>
      </c>
      <c r="N2300" t="str">
        <f t="shared" si="182"/>
        <v>SingleSystem 30 Heavy Duty Commercial Track Cord DrawnGather Hook NormalTop Fix Brackets</v>
      </c>
      <c r="O2300">
        <v>43</v>
      </c>
      <c r="P2300">
        <v>42</v>
      </c>
      <c r="Q2300" s="80">
        <v>0</v>
      </c>
      <c r="R2300" s="80">
        <f t="shared" si="183"/>
        <v>-1</v>
      </c>
      <c r="AD2300"/>
    </row>
    <row r="2301" spans="10:30" ht="16.2" customHeight="1">
      <c r="J2301" s="80" t="s">
        <v>746</v>
      </c>
      <c r="K2301" s="80" t="s">
        <v>287</v>
      </c>
      <c r="L2301" t="s">
        <v>282</v>
      </c>
      <c r="M2301" t="s">
        <v>161</v>
      </c>
      <c r="N2301" t="str">
        <f t="shared" si="182"/>
        <v>Double FrontSystem 30 Heavy Duty Commercial Track Cord DrawnLevel 2072Top Fix Brackets</v>
      </c>
      <c r="O2301">
        <v>38</v>
      </c>
      <c r="P2301">
        <v>42</v>
      </c>
      <c r="Q2301" s="80">
        <v>0</v>
      </c>
      <c r="R2301" s="80">
        <f t="shared" si="183"/>
        <v>4</v>
      </c>
      <c r="AD2301"/>
    </row>
    <row r="2302" spans="10:30" ht="16.2" customHeight="1">
      <c r="J2302" s="80" t="s">
        <v>747</v>
      </c>
      <c r="K2302" s="80" t="s">
        <v>287</v>
      </c>
      <c r="L2302" t="s">
        <v>282</v>
      </c>
      <c r="M2302" t="s">
        <v>161</v>
      </c>
      <c r="N2302" t="str">
        <f t="shared" si="182"/>
        <v>Double RearSystem 30 Heavy Duty Commercial Track Cord DrawnLevel 2072Top Fix Brackets</v>
      </c>
      <c r="O2302">
        <v>38</v>
      </c>
      <c r="P2302">
        <v>42</v>
      </c>
      <c r="Q2302" s="80">
        <v>0</v>
      </c>
      <c r="R2302" s="80">
        <f t="shared" si="183"/>
        <v>4</v>
      </c>
      <c r="AD2302"/>
    </row>
    <row r="2303" spans="10:30" ht="16.2" customHeight="1">
      <c r="J2303" s="80" t="s">
        <v>725</v>
      </c>
      <c r="K2303" s="80" t="s">
        <v>287</v>
      </c>
      <c r="L2303" t="s">
        <v>282</v>
      </c>
      <c r="M2303" t="s">
        <v>161</v>
      </c>
      <c r="N2303" t="str">
        <f t="shared" si="182"/>
        <v>SingleSystem 30 Heavy Duty Commercial Track Cord DrawnLevel 2072Top Fix Brackets</v>
      </c>
      <c r="O2303">
        <v>35</v>
      </c>
      <c r="P2303">
        <v>42</v>
      </c>
      <c r="Q2303" s="80">
        <v>0</v>
      </c>
      <c r="R2303" s="80">
        <f t="shared" si="183"/>
        <v>7</v>
      </c>
      <c r="AD2303"/>
    </row>
    <row r="2304" spans="10:30" ht="16.2" customHeight="1">
      <c r="J2304" s="80" t="s">
        <v>746</v>
      </c>
      <c r="K2304" s="80" t="s">
        <v>287</v>
      </c>
      <c r="L2304" t="s">
        <v>170</v>
      </c>
      <c r="M2304" t="s">
        <v>161</v>
      </c>
      <c r="N2304" t="str">
        <f t="shared" si="182"/>
        <v>Double FrontSystem 30 Heavy Duty Commercial Track Cord DrawnNormal 2074Top Fix Brackets</v>
      </c>
      <c r="O2304">
        <v>60</v>
      </c>
      <c r="P2304">
        <v>42</v>
      </c>
      <c r="Q2304" s="80">
        <v>0</v>
      </c>
      <c r="R2304" s="80">
        <f t="shared" si="183"/>
        <v>-18</v>
      </c>
      <c r="AD2304"/>
    </row>
    <row r="2305" spans="10:30" ht="16.2" customHeight="1">
      <c r="J2305" s="80" t="s">
        <v>747</v>
      </c>
      <c r="K2305" s="80" t="s">
        <v>287</v>
      </c>
      <c r="L2305" t="s">
        <v>170</v>
      </c>
      <c r="M2305" t="s">
        <v>161</v>
      </c>
      <c r="N2305" t="str">
        <f t="shared" si="182"/>
        <v>Double RearSystem 30 Heavy Duty Commercial Track Cord DrawnNormal 2074Top Fix Brackets</v>
      </c>
      <c r="O2305">
        <v>60</v>
      </c>
      <c r="P2305">
        <v>42</v>
      </c>
      <c r="Q2305" s="80">
        <v>0</v>
      </c>
      <c r="R2305" s="80">
        <f t="shared" si="183"/>
        <v>-18</v>
      </c>
      <c r="AD2305"/>
    </row>
    <row r="2306" spans="10:30" ht="16.2" customHeight="1">
      <c r="J2306" s="80" t="s">
        <v>725</v>
      </c>
      <c r="K2306" s="80" t="s">
        <v>287</v>
      </c>
      <c r="L2306" t="s">
        <v>170</v>
      </c>
      <c r="M2306" t="s">
        <v>161</v>
      </c>
      <c r="N2306" t="str">
        <f t="shared" si="184" ref="N2306:N2369">(CONCATENATE(J2306,K2306,L2306,M2306))</f>
        <v>SingleSystem 30 Heavy Duty Commercial Track Cord DrawnNormal 2074Top Fix Brackets</v>
      </c>
      <c r="O2306">
        <v>60</v>
      </c>
      <c r="P2306">
        <v>42</v>
      </c>
      <c r="Q2306" s="80">
        <v>0</v>
      </c>
      <c r="R2306" s="80">
        <f t="shared" si="183"/>
        <v>-18</v>
      </c>
      <c r="AD2306"/>
    </row>
    <row r="2307" spans="10:30" ht="16.2" customHeight="1">
      <c r="J2307" s="80" t="s">
        <v>746</v>
      </c>
      <c r="K2307" s="80" t="s">
        <v>370</v>
      </c>
      <c r="L2307" t="s">
        <v>183</v>
      </c>
      <c r="M2307" t="s">
        <v>159</v>
      </c>
      <c r="N2307" t="str">
        <f t="shared" si="184"/>
        <v>Double FrontSystem 30 Heavy Duty Commercial Track Hand DrawnBelow Normal 2075Single Face Fix Brackets</v>
      </c>
      <c r="O2307">
        <v>70</v>
      </c>
      <c r="P2307">
        <v>53</v>
      </c>
      <c r="Q2307" s="80">
        <v>0</v>
      </c>
      <c r="R2307" s="80">
        <f t="shared" si="183"/>
        <v>-17</v>
      </c>
      <c r="AD2307"/>
    </row>
    <row r="2308" spans="10:30" ht="16.2" customHeight="1">
      <c r="J2308" s="80" t="s">
        <v>747</v>
      </c>
      <c r="K2308" s="80" t="s">
        <v>370</v>
      </c>
      <c r="L2308" t="s">
        <v>183</v>
      </c>
      <c r="M2308" t="s">
        <v>159</v>
      </c>
      <c r="N2308" t="str">
        <f t="shared" si="184"/>
        <v>Double RearSystem 30 Heavy Duty Commercial Track Hand DrawnBelow Normal 2075Single Face Fix Brackets</v>
      </c>
      <c r="O2308">
        <v>70</v>
      </c>
      <c r="P2308">
        <v>53</v>
      </c>
      <c r="Q2308" s="80">
        <v>0</v>
      </c>
      <c r="R2308" s="80">
        <f t="shared" si="183"/>
        <v>-17</v>
      </c>
      <c r="AD2308"/>
    </row>
    <row r="2309" spans="10:30" ht="16.2" customHeight="1">
      <c r="J2309" s="80" t="s">
        <v>725</v>
      </c>
      <c r="K2309" s="80" t="s">
        <v>370</v>
      </c>
      <c r="L2309" t="s">
        <v>183</v>
      </c>
      <c r="M2309" t="s">
        <v>159</v>
      </c>
      <c r="N2309" t="str">
        <f t="shared" si="184"/>
        <v>SingleSystem 30 Heavy Duty Commercial Track Hand DrawnBelow Normal 2075Single Face Fix Brackets</v>
      </c>
      <c r="O2309">
        <v>70</v>
      </c>
      <c r="P2309">
        <v>53</v>
      </c>
      <c r="Q2309" s="80">
        <v>0</v>
      </c>
      <c r="R2309" s="80">
        <f t="shared" si="183"/>
        <v>-17</v>
      </c>
      <c r="AD2309"/>
    </row>
    <row r="2310" spans="10:30" ht="16.2" customHeight="1">
      <c r="J2310" s="80" t="s">
        <v>746</v>
      </c>
      <c r="K2310" s="80" t="s">
        <v>370</v>
      </c>
      <c r="L2310" t="s">
        <v>182</v>
      </c>
      <c r="M2310" t="s">
        <v>159</v>
      </c>
      <c r="N2310" t="str">
        <f t="shared" si="184"/>
        <v>Double FrontSystem 30 Heavy Duty Commercial Track Hand DrawnBetween Level and Normal 2073Single Face Fix Brackets</v>
      </c>
      <c r="O2310">
        <v>48</v>
      </c>
      <c r="P2310">
        <v>53</v>
      </c>
      <c r="Q2310" s="80">
        <v>0</v>
      </c>
      <c r="R2310" s="80">
        <f t="shared" si="183"/>
        <v>5</v>
      </c>
      <c r="AD2310"/>
    </row>
    <row r="2311" spans="10:30" ht="16.2" customHeight="1">
      <c r="J2311" s="80" t="s">
        <v>747</v>
      </c>
      <c r="K2311" s="80" t="s">
        <v>370</v>
      </c>
      <c r="L2311" t="s">
        <v>182</v>
      </c>
      <c r="M2311" t="s">
        <v>159</v>
      </c>
      <c r="N2311" t="str">
        <f t="shared" si="184"/>
        <v>Double RearSystem 30 Heavy Duty Commercial Track Hand DrawnBetween Level and Normal 2073Single Face Fix Brackets</v>
      </c>
      <c r="O2311">
        <v>48</v>
      </c>
      <c r="P2311">
        <v>53</v>
      </c>
      <c r="Q2311" s="80">
        <v>0</v>
      </c>
      <c r="R2311" s="80">
        <f t="shared" si="183"/>
        <v>5</v>
      </c>
      <c r="AD2311"/>
    </row>
    <row r="2312" spans="10:30" ht="16.2" customHeight="1">
      <c r="J2312" s="80" t="s">
        <v>725</v>
      </c>
      <c r="K2312" s="80" t="s">
        <v>370</v>
      </c>
      <c r="L2312" t="s">
        <v>182</v>
      </c>
      <c r="M2312" t="s">
        <v>159</v>
      </c>
      <c r="N2312" t="str">
        <f t="shared" si="184"/>
        <v>SingleSystem 30 Heavy Duty Commercial Track Hand DrawnBetween Level and Normal 2073Single Face Fix Brackets</v>
      </c>
      <c r="O2312">
        <v>47</v>
      </c>
      <c r="P2312">
        <v>53</v>
      </c>
      <c r="Q2312" s="80">
        <v>0</v>
      </c>
      <c r="R2312" s="80">
        <f t="shared" si="183"/>
        <v>6</v>
      </c>
      <c r="AD2312"/>
    </row>
    <row r="2313" spans="10:30" ht="16.2" customHeight="1">
      <c r="J2313" s="80" t="s">
        <v>746</v>
      </c>
      <c r="K2313" s="80" t="s">
        <v>370</v>
      </c>
      <c r="L2313" t="s">
        <v>184</v>
      </c>
      <c r="M2313" t="s">
        <v>159</v>
      </c>
      <c r="N2313" t="str">
        <f t="shared" si="184"/>
        <v>Double FrontSystem 30 Heavy Duty Commercial Track Hand DrawnDecorator 2071Single Face Fix Brackets</v>
      </c>
      <c r="O2313">
        <v>20</v>
      </c>
      <c r="P2313">
        <v>53</v>
      </c>
      <c r="Q2313" s="80">
        <v>0</v>
      </c>
      <c r="R2313" s="80">
        <f t="shared" si="183"/>
        <v>33</v>
      </c>
      <c r="AD2313"/>
    </row>
    <row r="2314" spans="10:30" ht="16.2" customHeight="1">
      <c r="J2314" s="80" t="s">
        <v>747</v>
      </c>
      <c r="K2314" s="80" t="s">
        <v>370</v>
      </c>
      <c r="L2314" t="s">
        <v>184</v>
      </c>
      <c r="M2314" t="s">
        <v>159</v>
      </c>
      <c r="N2314" t="str">
        <f t="shared" si="184"/>
        <v>Double RearSystem 30 Heavy Duty Commercial Track Hand DrawnDecorator 2071Single Face Fix Brackets</v>
      </c>
      <c r="O2314">
        <v>20</v>
      </c>
      <c r="P2314">
        <v>53</v>
      </c>
      <c r="Q2314" s="80">
        <v>0</v>
      </c>
      <c r="R2314" s="80">
        <f t="shared" si="183"/>
        <v>33</v>
      </c>
      <c r="AD2314"/>
    </row>
    <row r="2315" spans="10:30" ht="16.2" customHeight="1">
      <c r="J2315" s="80" t="s">
        <v>725</v>
      </c>
      <c r="K2315" s="80" t="s">
        <v>370</v>
      </c>
      <c r="L2315" t="s">
        <v>184</v>
      </c>
      <c r="M2315" t="s">
        <v>159</v>
      </c>
      <c r="N2315" t="str">
        <f t="shared" si="184"/>
        <v>SingleSystem 30 Heavy Duty Commercial Track Hand DrawnDecorator 2071Single Face Fix Brackets</v>
      </c>
      <c r="O2315">
        <v>20</v>
      </c>
      <c r="P2315">
        <v>53</v>
      </c>
      <c r="Q2315" s="80">
        <v>0</v>
      </c>
      <c r="R2315" s="80">
        <f t="shared" si="183"/>
        <v>33</v>
      </c>
      <c r="AD2315"/>
    </row>
    <row r="2316" spans="10:30" ht="16.2" customHeight="1">
      <c r="J2316" s="80" t="s">
        <v>746</v>
      </c>
      <c r="K2316" s="80" t="s">
        <v>370</v>
      </c>
      <c r="L2316" t="s">
        <v>6468</v>
      </c>
      <c r="M2316" t="s">
        <v>159</v>
      </c>
      <c r="N2316" t="str">
        <f t="shared" si="184"/>
        <v>Double FrontSystem 30 Heavy Duty Commercial Track Hand DrawnGather Hook Bottom PocketSingle Face Fix Brackets</v>
      </c>
      <c r="O2316">
        <v>60</v>
      </c>
      <c r="P2316">
        <v>40</v>
      </c>
      <c r="Q2316" s="80">
        <v>0</v>
      </c>
      <c r="R2316" s="80">
        <f t="shared" si="183"/>
        <v>-20</v>
      </c>
      <c r="AD2316"/>
    </row>
    <row r="2317" spans="10:30" ht="16.2" customHeight="1">
      <c r="J2317" s="80" t="s">
        <v>725</v>
      </c>
      <c r="K2317" s="80" t="s">
        <v>370</v>
      </c>
      <c r="L2317" t="s">
        <v>6468</v>
      </c>
      <c r="M2317" t="s">
        <v>159</v>
      </c>
      <c r="N2317" t="str">
        <f t="shared" si="184"/>
        <v>SingleSystem 30 Heavy Duty Commercial Track Hand DrawnGather Hook Bottom PocketSingle Face Fix Brackets</v>
      </c>
      <c r="O2317">
        <v>60</v>
      </c>
      <c r="P2317">
        <v>53</v>
      </c>
      <c r="Q2317" s="80">
        <v>0</v>
      </c>
      <c r="R2317" s="80">
        <f t="shared" si="183"/>
        <v>-7</v>
      </c>
      <c r="AD2317"/>
    </row>
    <row r="2318" spans="10:30" ht="16.2" customHeight="1">
      <c r="J2318" s="80" t="s">
        <v>746</v>
      </c>
      <c r="K2318" s="80" t="s">
        <v>370</v>
      </c>
      <c r="L2318" t="s">
        <v>229</v>
      </c>
      <c r="M2318" t="s">
        <v>159</v>
      </c>
      <c r="N2318" t="str">
        <f t="shared" si="184"/>
        <v>Double FrontSystem 30 Heavy Duty Commercial Track Hand DrawnGather Hook LevelSingle Face Fix Brackets</v>
      </c>
      <c r="O2318">
        <v>20</v>
      </c>
      <c r="P2318">
        <v>53</v>
      </c>
      <c r="Q2318" s="80">
        <v>0</v>
      </c>
      <c r="R2318" s="80">
        <f t="shared" si="183"/>
        <v>33</v>
      </c>
      <c r="AD2318"/>
    </row>
    <row r="2319" spans="10:30" ht="16.2" customHeight="1">
      <c r="J2319" s="80" t="s">
        <v>747</v>
      </c>
      <c r="K2319" s="80" t="s">
        <v>370</v>
      </c>
      <c r="L2319" t="s">
        <v>229</v>
      </c>
      <c r="M2319" t="s">
        <v>159</v>
      </c>
      <c r="N2319" t="str">
        <f t="shared" si="184"/>
        <v>Double RearSystem 30 Heavy Duty Commercial Track Hand DrawnGather Hook LevelSingle Face Fix Brackets</v>
      </c>
      <c r="O2319">
        <v>20</v>
      </c>
      <c r="P2319">
        <v>53</v>
      </c>
      <c r="Q2319" s="80">
        <v>0</v>
      </c>
      <c r="R2319" s="80">
        <f t="shared" si="183"/>
        <v>33</v>
      </c>
      <c r="AD2319"/>
    </row>
    <row r="2320" spans="10:30" ht="16.2" customHeight="1">
      <c r="J2320" s="80" t="s">
        <v>725</v>
      </c>
      <c r="K2320" s="80" t="s">
        <v>370</v>
      </c>
      <c r="L2320" t="s">
        <v>229</v>
      </c>
      <c r="M2320" t="s">
        <v>159</v>
      </c>
      <c r="N2320" t="str">
        <f t="shared" si="184"/>
        <v>SingleSystem 30 Heavy Duty Commercial Track Hand DrawnGather Hook LevelSingle Face Fix Brackets</v>
      </c>
      <c r="O2320">
        <v>20</v>
      </c>
      <c r="P2320">
        <v>53</v>
      </c>
      <c r="Q2320" s="80">
        <v>0</v>
      </c>
      <c r="R2320" s="80">
        <f t="shared" si="183"/>
        <v>33</v>
      </c>
      <c r="AD2320"/>
    </row>
    <row r="2321" spans="10:30" ht="16.2" customHeight="1">
      <c r="J2321" s="80" t="s">
        <v>746</v>
      </c>
      <c r="K2321" s="80" t="s">
        <v>370</v>
      </c>
      <c r="L2321" t="s">
        <v>228</v>
      </c>
      <c r="M2321" t="s">
        <v>159</v>
      </c>
      <c r="N2321" t="str">
        <f t="shared" si="184"/>
        <v>Double FrontSystem 30 Heavy Duty Commercial Track Hand DrawnGather Hook NormalSingle Face Fix Brackets</v>
      </c>
      <c r="O2321">
        <v>43</v>
      </c>
      <c r="P2321">
        <v>53</v>
      </c>
      <c r="Q2321" s="80">
        <v>0</v>
      </c>
      <c r="R2321" s="80">
        <f t="shared" si="183"/>
        <v>10</v>
      </c>
      <c r="AD2321"/>
    </row>
    <row r="2322" spans="10:30" ht="16.2" customHeight="1">
      <c r="J2322" s="80" t="s">
        <v>747</v>
      </c>
      <c r="K2322" s="80" t="s">
        <v>370</v>
      </c>
      <c r="L2322" t="s">
        <v>228</v>
      </c>
      <c r="M2322" t="s">
        <v>159</v>
      </c>
      <c r="N2322" t="str">
        <f t="shared" si="184"/>
        <v>Double RearSystem 30 Heavy Duty Commercial Track Hand DrawnGather Hook NormalSingle Face Fix Brackets</v>
      </c>
      <c r="O2322">
        <v>43</v>
      </c>
      <c r="P2322">
        <v>53</v>
      </c>
      <c r="Q2322" s="80">
        <v>0</v>
      </c>
      <c r="R2322" s="80">
        <f t="shared" si="183"/>
        <v>10</v>
      </c>
      <c r="AD2322"/>
    </row>
    <row r="2323" spans="10:30" ht="16.2" customHeight="1">
      <c r="J2323" s="80" t="s">
        <v>725</v>
      </c>
      <c r="K2323" s="80" t="s">
        <v>370</v>
      </c>
      <c r="L2323" t="s">
        <v>228</v>
      </c>
      <c r="M2323" t="s">
        <v>159</v>
      </c>
      <c r="N2323" t="str">
        <f t="shared" si="184"/>
        <v>SingleSystem 30 Heavy Duty Commercial Track Hand DrawnGather Hook NormalSingle Face Fix Brackets</v>
      </c>
      <c r="O2323">
        <v>43</v>
      </c>
      <c r="P2323">
        <v>53</v>
      </c>
      <c r="Q2323" s="80">
        <v>0</v>
      </c>
      <c r="R2323" s="80">
        <f t="shared" si="183"/>
        <v>10</v>
      </c>
      <c r="AD2323"/>
    </row>
    <row r="2324" spans="10:30" ht="16.2" customHeight="1">
      <c r="J2324" s="80" t="s">
        <v>746</v>
      </c>
      <c r="K2324" s="80" t="s">
        <v>370</v>
      </c>
      <c r="L2324" t="s">
        <v>282</v>
      </c>
      <c r="M2324" t="s">
        <v>159</v>
      </c>
      <c r="N2324" t="str">
        <f t="shared" si="184"/>
        <v>Double FrontSystem 30 Heavy Duty Commercial Track Hand DrawnLevel 2072Single Face Fix Brackets</v>
      </c>
      <c r="O2324">
        <v>38</v>
      </c>
      <c r="P2324">
        <v>53</v>
      </c>
      <c r="Q2324" s="80">
        <v>0</v>
      </c>
      <c r="R2324" s="80">
        <f t="shared" si="183"/>
        <v>15</v>
      </c>
      <c r="AD2324"/>
    </row>
    <row r="2325" spans="10:30" ht="16.2" customHeight="1">
      <c r="J2325" s="80" t="s">
        <v>747</v>
      </c>
      <c r="K2325" s="80" t="s">
        <v>370</v>
      </c>
      <c r="L2325" t="s">
        <v>282</v>
      </c>
      <c r="M2325" t="s">
        <v>159</v>
      </c>
      <c r="N2325" t="str">
        <f t="shared" si="184"/>
        <v>Double RearSystem 30 Heavy Duty Commercial Track Hand DrawnLevel 2072Single Face Fix Brackets</v>
      </c>
      <c r="O2325">
        <v>38</v>
      </c>
      <c r="P2325">
        <v>53</v>
      </c>
      <c r="Q2325" s="80">
        <v>0</v>
      </c>
      <c r="R2325" s="80">
        <f t="shared" si="183"/>
        <v>15</v>
      </c>
      <c r="AD2325"/>
    </row>
    <row r="2326" spans="10:30" ht="16.2" customHeight="1">
      <c r="J2326" s="80" t="s">
        <v>725</v>
      </c>
      <c r="K2326" s="80" t="s">
        <v>370</v>
      </c>
      <c r="L2326" t="s">
        <v>282</v>
      </c>
      <c r="M2326" t="s">
        <v>159</v>
      </c>
      <c r="N2326" t="str">
        <f t="shared" si="184"/>
        <v>SingleSystem 30 Heavy Duty Commercial Track Hand DrawnLevel 2072Single Face Fix Brackets</v>
      </c>
      <c r="O2326">
        <v>35</v>
      </c>
      <c r="P2326">
        <v>53</v>
      </c>
      <c r="Q2326" s="80">
        <v>0</v>
      </c>
      <c r="R2326" s="80">
        <f t="shared" si="183"/>
        <v>18</v>
      </c>
      <c r="AD2326"/>
    </row>
    <row r="2327" spans="10:30" ht="16.2" customHeight="1">
      <c r="J2327" s="80" t="s">
        <v>746</v>
      </c>
      <c r="K2327" s="80" t="s">
        <v>370</v>
      </c>
      <c r="L2327" t="s">
        <v>170</v>
      </c>
      <c r="M2327" t="s">
        <v>159</v>
      </c>
      <c r="N2327" t="str">
        <f t="shared" si="184"/>
        <v>Double FrontSystem 30 Heavy Duty Commercial Track Hand DrawnNormal 2074Single Face Fix Brackets</v>
      </c>
      <c r="O2327">
        <v>60</v>
      </c>
      <c r="P2327">
        <v>53</v>
      </c>
      <c r="Q2327" s="80">
        <v>0</v>
      </c>
      <c r="R2327" s="80">
        <f t="shared" si="183"/>
        <v>-7</v>
      </c>
      <c r="AD2327"/>
    </row>
    <row r="2328" spans="10:30" ht="16.2" customHeight="1">
      <c r="J2328" s="80" t="s">
        <v>747</v>
      </c>
      <c r="K2328" s="80" t="s">
        <v>370</v>
      </c>
      <c r="L2328" t="s">
        <v>170</v>
      </c>
      <c r="M2328" t="s">
        <v>159</v>
      </c>
      <c r="N2328" t="str">
        <f t="shared" si="184"/>
        <v>Double RearSystem 30 Heavy Duty Commercial Track Hand DrawnNormal 2074Single Face Fix Brackets</v>
      </c>
      <c r="O2328">
        <v>60</v>
      </c>
      <c r="P2328">
        <v>53</v>
      </c>
      <c r="Q2328" s="80">
        <v>0</v>
      </c>
      <c r="R2328" s="80">
        <f t="shared" si="183"/>
        <v>-7</v>
      </c>
      <c r="AD2328"/>
    </row>
    <row r="2329" spans="10:30" ht="16.2" customHeight="1">
      <c r="J2329" s="80" t="s">
        <v>725</v>
      </c>
      <c r="K2329" s="80" t="s">
        <v>370</v>
      </c>
      <c r="L2329" t="s">
        <v>170</v>
      </c>
      <c r="M2329" t="s">
        <v>159</v>
      </c>
      <c r="N2329" t="str">
        <f t="shared" si="184"/>
        <v>SingleSystem 30 Heavy Duty Commercial Track Hand DrawnNormal 2074Single Face Fix Brackets</v>
      </c>
      <c r="O2329">
        <v>60</v>
      </c>
      <c r="P2329">
        <v>53</v>
      </c>
      <c r="Q2329" s="80">
        <v>0</v>
      </c>
      <c r="R2329" s="80">
        <f t="shared" si="183"/>
        <v>-7</v>
      </c>
      <c r="AD2329"/>
    </row>
    <row r="2330" spans="10:30" ht="16.2" customHeight="1">
      <c r="J2330" s="80" t="s">
        <v>746</v>
      </c>
      <c r="K2330" s="80" t="s">
        <v>370</v>
      </c>
      <c r="L2330" t="s">
        <v>183</v>
      </c>
      <c r="M2330" t="s">
        <v>161</v>
      </c>
      <c r="N2330" t="str">
        <f t="shared" si="184"/>
        <v>Double FrontSystem 30 Heavy Duty Commercial Track Hand DrawnBelow Normal 2075Top Fix Brackets</v>
      </c>
      <c r="O2330">
        <v>70</v>
      </c>
      <c r="P2330">
        <v>42</v>
      </c>
      <c r="Q2330" s="80">
        <v>0</v>
      </c>
      <c r="R2330" s="80">
        <f t="shared" si="183"/>
        <v>-28</v>
      </c>
      <c r="AD2330"/>
    </row>
    <row r="2331" spans="10:30" ht="16.2" customHeight="1">
      <c r="J2331" s="80" t="s">
        <v>747</v>
      </c>
      <c r="K2331" s="80" t="s">
        <v>370</v>
      </c>
      <c r="L2331" t="s">
        <v>183</v>
      </c>
      <c r="M2331" t="s">
        <v>161</v>
      </c>
      <c r="N2331" t="str">
        <f t="shared" si="184"/>
        <v>Double RearSystem 30 Heavy Duty Commercial Track Hand DrawnBelow Normal 2075Top Fix Brackets</v>
      </c>
      <c r="O2331">
        <v>70</v>
      </c>
      <c r="P2331">
        <v>42</v>
      </c>
      <c r="Q2331" s="80">
        <v>0</v>
      </c>
      <c r="R2331" s="80">
        <f t="shared" si="183"/>
        <v>-28</v>
      </c>
      <c r="AD2331"/>
    </row>
    <row r="2332" spans="10:30" ht="16.2" customHeight="1">
      <c r="J2332" s="80" t="s">
        <v>725</v>
      </c>
      <c r="K2332" s="80" t="s">
        <v>370</v>
      </c>
      <c r="L2332" t="s">
        <v>183</v>
      </c>
      <c r="M2332" t="s">
        <v>161</v>
      </c>
      <c r="N2332" t="str">
        <f t="shared" si="184"/>
        <v>SingleSystem 30 Heavy Duty Commercial Track Hand DrawnBelow Normal 2075Top Fix Brackets</v>
      </c>
      <c r="O2332">
        <v>70</v>
      </c>
      <c r="P2332">
        <v>42</v>
      </c>
      <c r="Q2332" s="80">
        <v>0</v>
      </c>
      <c r="R2332" s="80">
        <f t="shared" si="183"/>
        <v>-28</v>
      </c>
      <c r="AD2332"/>
    </row>
    <row r="2333" spans="10:30" ht="16.2" customHeight="1">
      <c r="J2333" s="80" t="s">
        <v>746</v>
      </c>
      <c r="K2333" s="80" t="s">
        <v>370</v>
      </c>
      <c r="L2333" t="s">
        <v>182</v>
      </c>
      <c r="M2333" t="s">
        <v>161</v>
      </c>
      <c r="N2333" t="str">
        <f t="shared" si="184"/>
        <v>Double FrontSystem 30 Heavy Duty Commercial Track Hand DrawnBetween Level and Normal 2073Top Fix Brackets</v>
      </c>
      <c r="O2333">
        <v>48</v>
      </c>
      <c r="P2333">
        <v>42</v>
      </c>
      <c r="Q2333" s="80">
        <v>0</v>
      </c>
      <c r="R2333" s="80">
        <f t="shared" si="183"/>
        <v>-6</v>
      </c>
      <c r="AD2333"/>
    </row>
    <row r="2334" spans="10:30" ht="16.2" customHeight="1">
      <c r="J2334" s="80" t="s">
        <v>747</v>
      </c>
      <c r="K2334" s="80" t="s">
        <v>370</v>
      </c>
      <c r="L2334" t="s">
        <v>182</v>
      </c>
      <c r="M2334" t="s">
        <v>161</v>
      </c>
      <c r="N2334" t="str">
        <f t="shared" si="184"/>
        <v>Double RearSystem 30 Heavy Duty Commercial Track Hand DrawnBetween Level and Normal 2073Top Fix Brackets</v>
      </c>
      <c r="O2334">
        <v>48</v>
      </c>
      <c r="P2334">
        <v>42</v>
      </c>
      <c r="Q2334" s="80">
        <v>0</v>
      </c>
      <c r="R2334" s="80">
        <f t="shared" si="183"/>
        <v>-6</v>
      </c>
      <c r="AD2334"/>
    </row>
    <row r="2335" spans="10:30" ht="16.2" customHeight="1">
      <c r="J2335" s="80" t="s">
        <v>725</v>
      </c>
      <c r="K2335" s="80" t="s">
        <v>370</v>
      </c>
      <c r="L2335" t="s">
        <v>182</v>
      </c>
      <c r="M2335" t="s">
        <v>161</v>
      </c>
      <c r="N2335" t="str">
        <f t="shared" si="184"/>
        <v>SingleSystem 30 Heavy Duty Commercial Track Hand DrawnBetween Level and Normal 2073Top Fix Brackets</v>
      </c>
      <c r="O2335">
        <v>47</v>
      </c>
      <c r="P2335">
        <v>42</v>
      </c>
      <c r="Q2335" s="80">
        <v>0</v>
      </c>
      <c r="R2335" s="80">
        <f t="shared" si="185" ref="R2335:R2398">SUM(P2335)-O2335</f>
        <v>-5</v>
      </c>
      <c r="AD2335"/>
    </row>
    <row r="2336" spans="10:30" ht="16.2" customHeight="1">
      <c r="J2336" s="80" t="s">
        <v>746</v>
      </c>
      <c r="K2336" s="80" t="s">
        <v>370</v>
      </c>
      <c r="L2336" t="s">
        <v>184</v>
      </c>
      <c r="M2336" t="s">
        <v>161</v>
      </c>
      <c r="N2336" t="str">
        <f t="shared" si="184"/>
        <v>Double FrontSystem 30 Heavy Duty Commercial Track Hand DrawnDecorator 2071Top Fix Brackets</v>
      </c>
      <c r="O2336">
        <v>20</v>
      </c>
      <c r="P2336">
        <v>42</v>
      </c>
      <c r="Q2336" s="80">
        <v>0</v>
      </c>
      <c r="R2336" s="80">
        <f t="shared" si="185"/>
        <v>22</v>
      </c>
      <c r="AD2336"/>
    </row>
    <row r="2337" spans="10:30" ht="16.2" customHeight="1">
      <c r="J2337" s="80" t="s">
        <v>747</v>
      </c>
      <c r="K2337" s="80" t="s">
        <v>370</v>
      </c>
      <c r="L2337" t="s">
        <v>184</v>
      </c>
      <c r="M2337" t="s">
        <v>161</v>
      </c>
      <c r="N2337" t="str">
        <f t="shared" si="184"/>
        <v>Double RearSystem 30 Heavy Duty Commercial Track Hand DrawnDecorator 2071Top Fix Brackets</v>
      </c>
      <c r="O2337">
        <v>20</v>
      </c>
      <c r="P2337">
        <v>42</v>
      </c>
      <c r="Q2337" s="80">
        <v>0</v>
      </c>
      <c r="R2337" s="80">
        <f t="shared" si="185"/>
        <v>22</v>
      </c>
      <c r="AD2337"/>
    </row>
    <row r="2338" spans="10:30" ht="16.2" customHeight="1">
      <c r="J2338" s="80" t="s">
        <v>725</v>
      </c>
      <c r="K2338" s="80" t="s">
        <v>370</v>
      </c>
      <c r="L2338" t="s">
        <v>184</v>
      </c>
      <c r="M2338" t="s">
        <v>161</v>
      </c>
      <c r="N2338" t="str">
        <f t="shared" si="184"/>
        <v>SingleSystem 30 Heavy Duty Commercial Track Hand DrawnDecorator 2071Top Fix Brackets</v>
      </c>
      <c r="O2338">
        <v>20</v>
      </c>
      <c r="P2338">
        <v>42</v>
      </c>
      <c r="Q2338" s="80">
        <v>0</v>
      </c>
      <c r="R2338" s="80">
        <f t="shared" si="185"/>
        <v>22</v>
      </c>
      <c r="AD2338"/>
    </row>
    <row r="2339" spans="10:30" ht="16.2" customHeight="1">
      <c r="J2339" s="80" t="s">
        <v>746</v>
      </c>
      <c r="K2339" s="80" t="s">
        <v>370</v>
      </c>
      <c r="L2339" t="s">
        <v>6468</v>
      </c>
      <c r="M2339" t="s">
        <v>161</v>
      </c>
      <c r="N2339" t="str">
        <f t="shared" si="184"/>
        <v>Double FrontSystem 30 Heavy Duty Commercial Track Hand DrawnGather Hook Bottom PocketTop Fix Brackets</v>
      </c>
      <c r="O2339">
        <v>60</v>
      </c>
      <c r="P2339">
        <v>36</v>
      </c>
      <c r="Q2339" s="80">
        <v>0</v>
      </c>
      <c r="R2339" s="80">
        <f t="shared" si="185"/>
        <v>-24</v>
      </c>
      <c r="AD2339"/>
    </row>
    <row r="2340" spans="10:30" ht="16.2" customHeight="1">
      <c r="J2340" s="80" t="s">
        <v>725</v>
      </c>
      <c r="K2340" s="80" t="s">
        <v>370</v>
      </c>
      <c r="L2340" t="s">
        <v>6468</v>
      </c>
      <c r="M2340" t="s">
        <v>161</v>
      </c>
      <c r="N2340" t="str">
        <f t="shared" si="184"/>
        <v>SingleSystem 30 Heavy Duty Commercial Track Hand DrawnGather Hook Bottom PocketTop Fix Brackets</v>
      </c>
      <c r="O2340">
        <v>60</v>
      </c>
      <c r="P2340">
        <v>42</v>
      </c>
      <c r="Q2340" s="80">
        <v>0</v>
      </c>
      <c r="R2340" s="80">
        <f t="shared" si="185"/>
        <v>-18</v>
      </c>
      <c r="AD2340"/>
    </row>
    <row r="2341" spans="10:30" ht="16.2" customHeight="1">
      <c r="J2341" s="80" t="s">
        <v>746</v>
      </c>
      <c r="K2341" s="80" t="s">
        <v>370</v>
      </c>
      <c r="L2341" t="s">
        <v>229</v>
      </c>
      <c r="M2341" t="s">
        <v>161</v>
      </c>
      <c r="N2341" t="str">
        <f t="shared" si="184"/>
        <v>Double FrontSystem 30 Heavy Duty Commercial Track Hand DrawnGather Hook LevelTop Fix Brackets</v>
      </c>
      <c r="O2341">
        <v>20</v>
      </c>
      <c r="P2341">
        <v>42</v>
      </c>
      <c r="Q2341" s="80">
        <v>0</v>
      </c>
      <c r="R2341" s="80">
        <f t="shared" si="185"/>
        <v>22</v>
      </c>
      <c r="AD2341"/>
    </row>
    <row r="2342" spans="10:30" ht="16.2" customHeight="1">
      <c r="J2342" s="80" t="s">
        <v>747</v>
      </c>
      <c r="K2342" s="80" t="s">
        <v>370</v>
      </c>
      <c r="L2342" t="s">
        <v>229</v>
      </c>
      <c r="M2342" t="s">
        <v>161</v>
      </c>
      <c r="N2342" t="str">
        <f t="shared" si="184"/>
        <v>Double RearSystem 30 Heavy Duty Commercial Track Hand DrawnGather Hook LevelTop Fix Brackets</v>
      </c>
      <c r="O2342">
        <v>20</v>
      </c>
      <c r="P2342">
        <v>42</v>
      </c>
      <c r="Q2342" s="80">
        <v>0</v>
      </c>
      <c r="R2342" s="80">
        <f t="shared" si="185"/>
        <v>22</v>
      </c>
      <c r="AD2342"/>
    </row>
    <row r="2343" spans="10:30" ht="16.2" customHeight="1">
      <c r="J2343" s="80" t="s">
        <v>725</v>
      </c>
      <c r="K2343" s="80" t="s">
        <v>370</v>
      </c>
      <c r="L2343" t="s">
        <v>229</v>
      </c>
      <c r="M2343" t="s">
        <v>161</v>
      </c>
      <c r="N2343" t="str">
        <f t="shared" si="184"/>
        <v>SingleSystem 30 Heavy Duty Commercial Track Hand DrawnGather Hook LevelTop Fix Brackets</v>
      </c>
      <c r="O2343">
        <v>20</v>
      </c>
      <c r="P2343">
        <v>42</v>
      </c>
      <c r="Q2343" s="80">
        <v>0</v>
      </c>
      <c r="R2343" s="80">
        <f t="shared" si="185"/>
        <v>22</v>
      </c>
      <c r="AD2343"/>
    </row>
    <row r="2344" spans="10:30" ht="16.2" customHeight="1">
      <c r="J2344" s="80" t="s">
        <v>746</v>
      </c>
      <c r="K2344" s="80" t="s">
        <v>370</v>
      </c>
      <c r="L2344" t="s">
        <v>228</v>
      </c>
      <c r="M2344" t="s">
        <v>161</v>
      </c>
      <c r="N2344" t="str">
        <f t="shared" si="184"/>
        <v>Double FrontSystem 30 Heavy Duty Commercial Track Hand DrawnGather Hook NormalTop Fix Brackets</v>
      </c>
      <c r="O2344">
        <v>43</v>
      </c>
      <c r="P2344">
        <v>42</v>
      </c>
      <c r="Q2344" s="80">
        <v>0</v>
      </c>
      <c r="R2344" s="80">
        <f t="shared" si="185"/>
        <v>-1</v>
      </c>
      <c r="AD2344"/>
    </row>
    <row r="2345" spans="10:30" ht="16.2" customHeight="1">
      <c r="J2345" s="80" t="s">
        <v>747</v>
      </c>
      <c r="K2345" s="80" t="s">
        <v>370</v>
      </c>
      <c r="L2345" t="s">
        <v>228</v>
      </c>
      <c r="M2345" t="s">
        <v>161</v>
      </c>
      <c r="N2345" t="str">
        <f t="shared" si="184"/>
        <v>Double RearSystem 30 Heavy Duty Commercial Track Hand DrawnGather Hook NormalTop Fix Brackets</v>
      </c>
      <c r="O2345">
        <v>43</v>
      </c>
      <c r="P2345">
        <v>42</v>
      </c>
      <c r="Q2345" s="80">
        <v>0</v>
      </c>
      <c r="R2345" s="80">
        <f t="shared" si="185"/>
        <v>-1</v>
      </c>
      <c r="AD2345"/>
    </row>
    <row r="2346" spans="10:30" ht="16.2" customHeight="1">
      <c r="J2346" s="80" t="s">
        <v>725</v>
      </c>
      <c r="K2346" s="80" t="s">
        <v>370</v>
      </c>
      <c r="L2346" t="s">
        <v>228</v>
      </c>
      <c r="M2346" t="s">
        <v>161</v>
      </c>
      <c r="N2346" t="str">
        <f t="shared" si="184"/>
        <v>SingleSystem 30 Heavy Duty Commercial Track Hand DrawnGather Hook NormalTop Fix Brackets</v>
      </c>
      <c r="O2346">
        <v>43</v>
      </c>
      <c r="P2346">
        <v>42</v>
      </c>
      <c r="Q2346" s="80">
        <v>0</v>
      </c>
      <c r="R2346" s="80">
        <f t="shared" si="185"/>
        <v>-1</v>
      </c>
      <c r="AD2346"/>
    </row>
    <row r="2347" spans="10:30" ht="16.2" customHeight="1">
      <c r="J2347" s="80" t="s">
        <v>746</v>
      </c>
      <c r="K2347" s="80" t="s">
        <v>370</v>
      </c>
      <c r="L2347" t="s">
        <v>282</v>
      </c>
      <c r="M2347" t="s">
        <v>161</v>
      </c>
      <c r="N2347" t="str">
        <f t="shared" si="184"/>
        <v>Double FrontSystem 30 Heavy Duty Commercial Track Hand DrawnLevel 2072Top Fix Brackets</v>
      </c>
      <c r="O2347">
        <v>38</v>
      </c>
      <c r="P2347">
        <v>42</v>
      </c>
      <c r="Q2347" s="80">
        <v>0</v>
      </c>
      <c r="R2347" s="80">
        <f t="shared" si="185"/>
        <v>4</v>
      </c>
      <c r="AD2347"/>
    </row>
    <row r="2348" spans="10:30" ht="16.2" customHeight="1">
      <c r="J2348" s="80" t="s">
        <v>747</v>
      </c>
      <c r="K2348" s="80" t="s">
        <v>370</v>
      </c>
      <c r="L2348" t="s">
        <v>282</v>
      </c>
      <c r="M2348" t="s">
        <v>161</v>
      </c>
      <c r="N2348" t="str">
        <f t="shared" si="184"/>
        <v>Double RearSystem 30 Heavy Duty Commercial Track Hand DrawnLevel 2072Top Fix Brackets</v>
      </c>
      <c r="O2348">
        <v>38</v>
      </c>
      <c r="P2348">
        <v>42</v>
      </c>
      <c r="Q2348" s="80">
        <v>0</v>
      </c>
      <c r="R2348" s="80">
        <f t="shared" si="185"/>
        <v>4</v>
      </c>
      <c r="AD2348"/>
    </row>
    <row r="2349" spans="10:30" ht="16.2" customHeight="1">
      <c r="J2349" s="80" t="s">
        <v>725</v>
      </c>
      <c r="K2349" s="80" t="s">
        <v>370</v>
      </c>
      <c r="L2349" t="s">
        <v>282</v>
      </c>
      <c r="M2349" t="s">
        <v>161</v>
      </c>
      <c r="N2349" t="str">
        <f t="shared" si="184"/>
        <v>SingleSystem 30 Heavy Duty Commercial Track Hand DrawnLevel 2072Top Fix Brackets</v>
      </c>
      <c r="O2349">
        <v>35</v>
      </c>
      <c r="P2349">
        <v>42</v>
      </c>
      <c r="Q2349" s="80">
        <v>0</v>
      </c>
      <c r="R2349" s="80">
        <f t="shared" si="185"/>
        <v>7</v>
      </c>
      <c r="AD2349"/>
    </row>
    <row r="2350" spans="10:30" ht="16.2" customHeight="1">
      <c r="J2350" s="80" t="s">
        <v>746</v>
      </c>
      <c r="K2350" s="80" t="s">
        <v>370</v>
      </c>
      <c r="L2350" t="s">
        <v>170</v>
      </c>
      <c r="M2350" t="s">
        <v>161</v>
      </c>
      <c r="N2350" t="str">
        <f t="shared" si="184"/>
        <v>Double FrontSystem 30 Heavy Duty Commercial Track Hand DrawnNormal 2074Top Fix Brackets</v>
      </c>
      <c r="O2350">
        <v>60</v>
      </c>
      <c r="P2350">
        <v>42</v>
      </c>
      <c r="Q2350" s="80">
        <v>0</v>
      </c>
      <c r="R2350" s="80">
        <f t="shared" si="185"/>
        <v>-18</v>
      </c>
      <c r="AD2350"/>
    </row>
    <row r="2351" spans="10:30" ht="16.2" customHeight="1">
      <c r="J2351" s="80" t="s">
        <v>747</v>
      </c>
      <c r="K2351" s="80" t="s">
        <v>370</v>
      </c>
      <c r="L2351" t="s">
        <v>170</v>
      </c>
      <c r="M2351" t="s">
        <v>161</v>
      </c>
      <c r="N2351" t="str">
        <f t="shared" si="184"/>
        <v>Double RearSystem 30 Heavy Duty Commercial Track Hand DrawnNormal 2074Top Fix Brackets</v>
      </c>
      <c r="O2351">
        <v>60</v>
      </c>
      <c r="P2351">
        <v>42</v>
      </c>
      <c r="Q2351" s="80">
        <v>0</v>
      </c>
      <c r="R2351" s="80">
        <f t="shared" si="185"/>
        <v>-18</v>
      </c>
      <c r="AD2351"/>
    </row>
    <row r="2352" spans="10:30" ht="16.2" customHeight="1">
      <c r="J2352" s="80" t="s">
        <v>725</v>
      </c>
      <c r="K2352" s="80" t="s">
        <v>370</v>
      </c>
      <c r="L2352" t="s">
        <v>170</v>
      </c>
      <c r="M2352" t="s">
        <v>161</v>
      </c>
      <c r="N2352" t="str">
        <f t="shared" si="184"/>
        <v>SingleSystem 30 Heavy Duty Commercial Track Hand DrawnNormal 2074Top Fix Brackets</v>
      </c>
      <c r="O2352">
        <v>60</v>
      </c>
      <c r="P2352">
        <v>42</v>
      </c>
      <c r="Q2352" s="80">
        <v>0</v>
      </c>
      <c r="R2352" s="80">
        <f t="shared" si="185"/>
        <v>-18</v>
      </c>
      <c r="AD2352"/>
    </row>
    <row r="2353" spans="10:30" ht="16.2" customHeight="1">
      <c r="J2353" s="80" t="s">
        <v>747</v>
      </c>
      <c r="K2353" s="80" t="s">
        <v>433</v>
      </c>
      <c r="L2353" t="s">
        <v>185</v>
      </c>
      <c r="M2353" t="s">
        <v>436</v>
      </c>
      <c r="N2353" t="str">
        <f t="shared" si="184"/>
        <v>Double RearVanda Boldtrak 25 S-FoldNo HooksBoldtrak Premo 100mm Bracket</v>
      </c>
      <c r="O2353">
        <v>12</v>
      </c>
      <c r="P2353">
        <v>71</v>
      </c>
      <c r="Q2353" s="80">
        <v>0</v>
      </c>
      <c r="R2353" s="80">
        <f t="shared" si="185"/>
        <v>59</v>
      </c>
      <c r="AD2353"/>
    </row>
    <row r="2354" spans="10:30" ht="16.2" customHeight="1">
      <c r="J2354" s="80" t="s">
        <v>725</v>
      </c>
      <c r="K2354" s="80" t="s">
        <v>433</v>
      </c>
      <c r="L2354" t="s">
        <v>185</v>
      </c>
      <c r="M2354" t="s">
        <v>436</v>
      </c>
      <c r="N2354" t="str">
        <f t="shared" si="184"/>
        <v>SingleVanda Boldtrak 25 S-FoldNo HooksBoldtrak Premo 100mm Bracket</v>
      </c>
      <c r="O2354">
        <v>12</v>
      </c>
      <c r="P2354">
        <v>51</v>
      </c>
      <c r="Q2354" s="80">
        <v>0</v>
      </c>
      <c r="R2354" s="80">
        <f t="shared" si="185"/>
        <v>39</v>
      </c>
      <c r="AD2354"/>
    </row>
    <row r="2355" spans="10:30" ht="16.2" customHeight="1">
      <c r="J2355" s="80" t="s">
        <v>747</v>
      </c>
      <c r="K2355" s="80" t="s">
        <v>433</v>
      </c>
      <c r="L2355" t="s">
        <v>185</v>
      </c>
      <c r="M2355" t="s">
        <v>9299</v>
      </c>
      <c r="N2355" t="str">
        <f t="shared" si="184"/>
        <v>Double RearVanda Boldtrak 25 S-FoldNo HooksBoldtrak Premo 115mm Bracket</v>
      </c>
      <c r="O2355">
        <v>12</v>
      </c>
      <c r="P2355">
        <v>71</v>
      </c>
      <c r="Q2355" s="80">
        <v>0</v>
      </c>
      <c r="R2355" s="80">
        <f t="shared" si="185"/>
        <v>59</v>
      </c>
      <c r="AD2355"/>
    </row>
    <row r="2356" spans="10:30" ht="16.2" customHeight="1">
      <c r="J2356" s="80" t="s">
        <v>746</v>
      </c>
      <c r="K2356" s="80" t="s">
        <v>433</v>
      </c>
      <c r="L2356" t="s">
        <v>185</v>
      </c>
      <c r="M2356" t="s">
        <v>437</v>
      </c>
      <c r="N2356" t="str">
        <f t="shared" si="184"/>
        <v>Double FrontVanda Boldtrak 25 S-FoldNo HooksBoldtrak Premo 140mm Bracket</v>
      </c>
      <c r="O2356">
        <v>12</v>
      </c>
      <c r="P2356">
        <v>51</v>
      </c>
      <c r="Q2356" s="80">
        <v>0</v>
      </c>
      <c r="R2356" s="80">
        <f t="shared" si="185"/>
        <v>39</v>
      </c>
      <c r="AD2356"/>
    </row>
    <row r="2357" spans="10:30" ht="16.2" customHeight="1">
      <c r="J2357" s="80" t="s">
        <v>747</v>
      </c>
      <c r="K2357" s="80" t="s">
        <v>433</v>
      </c>
      <c r="L2357" t="s">
        <v>185</v>
      </c>
      <c r="M2357" t="s">
        <v>437</v>
      </c>
      <c r="N2357" t="str">
        <f t="shared" si="184"/>
        <v>Double RearVanda Boldtrak 25 S-FoldNo HooksBoldtrak Premo 140mm Bracket</v>
      </c>
      <c r="O2357">
        <v>12</v>
      </c>
      <c r="P2357">
        <v>51</v>
      </c>
      <c r="Q2357" s="89">
        <v>0</v>
      </c>
      <c r="R2357" s="80">
        <f t="shared" si="185"/>
        <v>39</v>
      </c>
      <c r="AD2357"/>
    </row>
    <row r="2358" spans="10:30" ht="16.2" customHeight="1">
      <c r="J2358" s="80" t="s">
        <v>725</v>
      </c>
      <c r="K2358" s="80" t="s">
        <v>433</v>
      </c>
      <c r="L2358" t="s">
        <v>185</v>
      </c>
      <c r="M2358" t="s">
        <v>437</v>
      </c>
      <c r="N2358" t="str">
        <f t="shared" si="184"/>
        <v>SingleVanda Boldtrak 25 S-FoldNo HooksBoldtrak Premo 140mm Bracket</v>
      </c>
      <c r="O2358">
        <v>12</v>
      </c>
      <c r="P2358">
        <v>51</v>
      </c>
      <c r="Q2358" s="89">
        <v>0</v>
      </c>
      <c r="R2358" s="80">
        <f t="shared" si="185"/>
        <v>39</v>
      </c>
      <c r="AD2358"/>
    </row>
    <row r="2359" spans="10:30" ht="16.2" customHeight="1">
      <c r="J2359" s="80" t="s">
        <v>747</v>
      </c>
      <c r="K2359" s="80" t="s">
        <v>433</v>
      </c>
      <c r="L2359" t="s">
        <v>185</v>
      </c>
      <c r="M2359" t="s">
        <v>9300</v>
      </c>
      <c r="N2359" t="str">
        <f t="shared" si="184"/>
        <v>Double RearVanda Boldtrak 25 S-FoldNo HooksBoldtrak Premo 155mm Bracket</v>
      </c>
      <c r="O2359">
        <v>12</v>
      </c>
      <c r="P2359">
        <v>71</v>
      </c>
      <c r="Q2359" s="80">
        <v>0</v>
      </c>
      <c r="R2359" s="80">
        <f t="shared" si="185"/>
        <v>59</v>
      </c>
      <c r="AD2359"/>
    </row>
    <row r="2360" spans="10:30" ht="16.2" customHeight="1">
      <c r="J2360" s="80" t="s">
        <v>746</v>
      </c>
      <c r="K2360" s="80" t="s">
        <v>433</v>
      </c>
      <c r="L2360" t="s">
        <v>185</v>
      </c>
      <c r="M2360" t="s">
        <v>724</v>
      </c>
      <c r="N2360" t="str">
        <f t="shared" si="184"/>
        <v>Double FrontVanda Boldtrak 25 S-FoldNo HooksBoldtrak Premo Double Bracket Suit 16mm on Back</v>
      </c>
      <c r="O2360">
        <v>12</v>
      </c>
      <c r="P2360">
        <v>51</v>
      </c>
      <c r="Q2360" s="80">
        <v>0</v>
      </c>
      <c r="R2360" s="80">
        <f t="shared" si="185"/>
        <v>39</v>
      </c>
      <c r="AD2360"/>
    </row>
    <row r="2361" spans="10:30" ht="16.2" customHeight="1">
      <c r="J2361" s="80" t="s">
        <v>725</v>
      </c>
      <c r="K2361" s="80" t="s">
        <v>433</v>
      </c>
      <c r="L2361" t="s">
        <v>185</v>
      </c>
      <c r="M2361" t="s">
        <v>724</v>
      </c>
      <c r="N2361" t="str">
        <f t="shared" si="184"/>
        <v>SingleVanda Boldtrak 25 S-FoldNo HooksBoldtrak Premo Double Bracket Suit 16mm on Back</v>
      </c>
      <c r="O2361">
        <v>12</v>
      </c>
      <c r="P2361">
        <v>51</v>
      </c>
      <c r="Q2361" s="80">
        <v>0</v>
      </c>
      <c r="R2361" s="80">
        <f t="shared" si="185"/>
        <v>39</v>
      </c>
      <c r="AD2361"/>
    </row>
    <row r="2362" spans="10:30" ht="16.2" customHeight="1">
      <c r="J2362" s="80" t="s">
        <v>746</v>
      </c>
      <c r="K2362" s="80" t="s">
        <v>433</v>
      </c>
      <c r="L2362" t="s">
        <v>185</v>
      </c>
      <c r="M2362" s="66" t="s">
        <v>4654</v>
      </c>
      <c r="N2362" t="str">
        <f t="shared" si="184"/>
        <v>Double FrontVanda Boldtrak 25 S-FoldNo HooksBoldtrak Premo Double Bracket Suit 25mm on Back</v>
      </c>
      <c r="O2362">
        <v>12</v>
      </c>
      <c r="P2362">
        <v>51</v>
      </c>
      <c r="Q2362" s="80">
        <v>0</v>
      </c>
      <c r="R2362" s="80">
        <f t="shared" si="185"/>
        <v>39</v>
      </c>
      <c r="AD2362"/>
    </row>
    <row r="2363" spans="10:30" ht="16.2" customHeight="1">
      <c r="J2363" s="80" t="s">
        <v>747</v>
      </c>
      <c r="K2363" s="80" t="s">
        <v>433</v>
      </c>
      <c r="L2363" t="s">
        <v>185</v>
      </c>
      <c r="M2363" t="s">
        <v>4654</v>
      </c>
      <c r="N2363" t="str">
        <f t="shared" si="184"/>
        <v>Double RearVanda Boldtrak 25 S-FoldNo HooksBoldtrak Premo Double Bracket Suit 25mm on Back</v>
      </c>
      <c r="O2363">
        <v>12</v>
      </c>
      <c r="P2363">
        <v>71</v>
      </c>
      <c r="Q2363" s="80">
        <v>0</v>
      </c>
      <c r="R2363" s="80">
        <f t="shared" si="185"/>
        <v>59</v>
      </c>
      <c r="AD2363"/>
    </row>
    <row r="2364" spans="10:30" ht="16.2" customHeight="1">
      <c r="J2364" s="80" t="s">
        <v>725</v>
      </c>
      <c r="K2364" s="80" t="s">
        <v>433</v>
      </c>
      <c r="L2364" t="s">
        <v>185</v>
      </c>
      <c r="M2364" t="s">
        <v>423</v>
      </c>
      <c r="N2364" t="str">
        <f t="shared" si="184"/>
        <v>SingleVanda Boldtrak 25 S-FoldNo HooksBoldtrak Standard 60mm Bracket</v>
      </c>
      <c r="O2364">
        <v>12</v>
      </c>
      <c r="P2364">
        <v>51</v>
      </c>
      <c r="Q2364" s="80">
        <v>0</v>
      </c>
      <c r="R2364" s="80">
        <f t="shared" si="185"/>
        <v>39</v>
      </c>
      <c r="AD2364"/>
    </row>
    <row r="2365" spans="10:30" ht="16.2" customHeight="1">
      <c r="J2365" s="80" t="s">
        <v>746</v>
      </c>
      <c r="K2365" s="80" t="s">
        <v>433</v>
      </c>
      <c r="L2365" t="s">
        <v>185</v>
      </c>
      <c r="M2365" s="66" t="s">
        <v>9302</v>
      </c>
      <c r="N2365" t="str">
        <f t="shared" si="184"/>
        <v>Double FrontVanda Boldtrak 25 S-FoldNo HooksBoldtrak Standard Double Bracket Suit 25mm on Back</v>
      </c>
      <c r="O2365">
        <v>12</v>
      </c>
      <c r="P2365">
        <v>51</v>
      </c>
      <c r="Q2365" s="80">
        <v>0</v>
      </c>
      <c r="R2365" s="80">
        <f t="shared" si="185"/>
        <v>39</v>
      </c>
      <c r="AD2365"/>
    </row>
    <row r="2366" spans="10:30" ht="16.2" customHeight="1">
      <c r="J2366" s="80" t="s">
        <v>747</v>
      </c>
      <c r="K2366" s="80" t="s">
        <v>433</v>
      </c>
      <c r="L2366" t="s">
        <v>185</v>
      </c>
      <c r="M2366" s="66" t="s">
        <v>9302</v>
      </c>
      <c r="N2366" t="str">
        <f t="shared" si="184"/>
        <v>Double RearVanda Boldtrak 25 S-FoldNo HooksBoldtrak Standard Double Bracket Suit 25mm on Back</v>
      </c>
      <c r="O2366">
        <v>12</v>
      </c>
      <c r="P2366">
        <v>71</v>
      </c>
      <c r="Q2366" s="80">
        <v>0</v>
      </c>
      <c r="R2366" s="80">
        <f t="shared" si="185"/>
        <v>59</v>
      </c>
      <c r="AD2366"/>
    </row>
    <row r="2367" spans="10:30" ht="16.2" customHeight="1">
      <c r="J2367" s="80" t="s">
        <v>746</v>
      </c>
      <c r="K2367" s="80" t="s">
        <v>433</v>
      </c>
      <c r="L2367" t="s">
        <v>185</v>
      </c>
      <c r="M2367" s="66" t="s">
        <v>9306</v>
      </c>
      <c r="N2367" t="str">
        <f t="shared" si="184"/>
        <v>Double FrontVanda Boldtrak 25 S-FoldNo HooksBoldtrak Standard Double Bracket Suit 25mm on Front</v>
      </c>
      <c r="O2367">
        <v>12</v>
      </c>
      <c r="P2367">
        <v>51</v>
      </c>
      <c r="Q2367" s="80">
        <v>0</v>
      </c>
      <c r="R2367" s="80">
        <f t="shared" si="185"/>
        <v>39</v>
      </c>
      <c r="AD2367"/>
    </row>
    <row r="2368" spans="10:30" ht="16.2" customHeight="1">
      <c r="J2368" s="80" t="s">
        <v>746</v>
      </c>
      <c r="K2368" s="80" t="s">
        <v>433</v>
      </c>
      <c r="L2368" t="s">
        <v>185</v>
      </c>
      <c r="M2368" s="66" t="s">
        <v>9303</v>
      </c>
      <c r="N2368" t="str">
        <f t="shared" si="184"/>
        <v>Double FrontVanda Boldtrak 25 S-FoldNo HooksBoldtrak Standard Double Bracket Suit 32mm on Back</v>
      </c>
      <c r="O2368">
        <v>12</v>
      </c>
      <c r="P2368">
        <v>51</v>
      </c>
      <c r="Q2368" s="80">
        <v>0</v>
      </c>
      <c r="R2368" s="80">
        <f t="shared" si="185"/>
        <v>39</v>
      </c>
      <c r="AD2368"/>
    </row>
    <row r="2369" spans="10:30" ht="16.2" customHeight="1">
      <c r="J2369" s="80" t="s">
        <v>746</v>
      </c>
      <c r="K2369" s="80" t="s">
        <v>433</v>
      </c>
      <c r="L2369" t="s">
        <v>185</v>
      </c>
      <c r="M2369" s="66" t="s">
        <v>9304</v>
      </c>
      <c r="N2369" t="str">
        <f t="shared" si="184"/>
        <v>Double FrontVanda Boldtrak 25 S-FoldNo HooksBoldtrak Standard Double Bracket Suit 35mm on Back</v>
      </c>
      <c r="O2369">
        <v>12</v>
      </c>
      <c r="P2369">
        <v>51</v>
      </c>
      <c r="Q2369" s="80">
        <v>0</v>
      </c>
      <c r="R2369" s="80">
        <f t="shared" si="185"/>
        <v>39</v>
      </c>
      <c r="AD2369"/>
    </row>
    <row r="2370" spans="10:30" ht="16.2" customHeight="1">
      <c r="J2370" s="80" t="s">
        <v>746</v>
      </c>
      <c r="K2370" s="80" t="s">
        <v>433</v>
      </c>
      <c r="L2370" t="s">
        <v>185</v>
      </c>
      <c r="M2370" s="66" t="s">
        <v>438</v>
      </c>
      <c r="N2370" t="str">
        <f t="shared" si="186" ref="N2370:N2433">(CONCATENATE(J2370,K2370,L2370,M2370))</f>
        <v>Double FrontVanda Boldtrak 25 S-FoldNo HooksBoldtrak Top Fix Bracket</v>
      </c>
      <c r="O2370">
        <v>12</v>
      </c>
      <c r="P2370">
        <v>45</v>
      </c>
      <c r="Q2370" s="89">
        <v>0</v>
      </c>
      <c r="R2370" s="80">
        <f t="shared" si="185"/>
        <v>33</v>
      </c>
      <c r="AD2370"/>
    </row>
    <row r="2371" spans="10:30" ht="16.2" customHeight="1">
      <c r="J2371" s="80" t="s">
        <v>747</v>
      </c>
      <c r="K2371" s="80" t="s">
        <v>433</v>
      </c>
      <c r="L2371" t="s">
        <v>185</v>
      </c>
      <c r="M2371" s="66" t="s">
        <v>438</v>
      </c>
      <c r="N2371" t="str">
        <f t="shared" si="186"/>
        <v>Double RearVanda Boldtrak 25 S-FoldNo HooksBoldtrak Top Fix Bracket</v>
      </c>
      <c r="O2371">
        <v>12</v>
      </c>
      <c r="P2371">
        <v>45</v>
      </c>
      <c r="Q2371" s="80">
        <v>0</v>
      </c>
      <c r="R2371" s="80">
        <f t="shared" si="185"/>
        <v>33</v>
      </c>
      <c r="AD2371"/>
    </row>
    <row r="2372" spans="10:30" ht="16.2" customHeight="1">
      <c r="J2372" s="80" t="s">
        <v>725</v>
      </c>
      <c r="K2372" s="80" t="s">
        <v>433</v>
      </c>
      <c r="L2372" t="s">
        <v>185</v>
      </c>
      <c r="M2372" s="66" t="s">
        <v>438</v>
      </c>
      <c r="N2372" t="str">
        <f t="shared" si="186"/>
        <v>SingleVanda Boldtrak 25 S-FoldNo HooksBoldtrak Top Fix Bracket</v>
      </c>
      <c r="O2372">
        <v>12</v>
      </c>
      <c r="P2372">
        <v>45</v>
      </c>
      <c r="Q2372" s="80">
        <v>0</v>
      </c>
      <c r="R2372" s="80">
        <f t="shared" si="185"/>
        <v>33</v>
      </c>
      <c r="AD2372"/>
    </row>
    <row r="2373" spans="10:30" ht="16.2" customHeight="1">
      <c r="J2373" s="80" t="s">
        <v>747</v>
      </c>
      <c r="K2373" s="80" t="s">
        <v>439</v>
      </c>
      <c r="L2373" t="s">
        <v>421</v>
      </c>
      <c r="M2373" t="s">
        <v>436</v>
      </c>
      <c r="N2373" t="str">
        <f t="shared" si="186"/>
        <v>Double RearVanda Boldtrak 25 WavefoldWavefold HooksBoldtrak Premo 100mm Bracket</v>
      </c>
      <c r="O2373">
        <v>12</v>
      </c>
      <c r="P2373">
        <v>71</v>
      </c>
      <c r="Q2373" s="80">
        <v>0</v>
      </c>
      <c r="R2373" s="80">
        <f t="shared" si="185"/>
        <v>59</v>
      </c>
      <c r="AD2373"/>
    </row>
    <row r="2374" spans="10:30" ht="16.2" customHeight="1">
      <c r="J2374" s="80" t="s">
        <v>725</v>
      </c>
      <c r="K2374" s="80" t="s">
        <v>439</v>
      </c>
      <c r="L2374" t="s">
        <v>421</v>
      </c>
      <c r="M2374" t="s">
        <v>436</v>
      </c>
      <c r="N2374" t="str">
        <f t="shared" si="186"/>
        <v>SingleVanda Boldtrak 25 WavefoldWavefold HooksBoldtrak Premo 100mm Bracket</v>
      </c>
      <c r="O2374">
        <v>12</v>
      </c>
      <c r="P2374">
        <v>51</v>
      </c>
      <c r="Q2374" s="80">
        <v>0</v>
      </c>
      <c r="R2374" s="80">
        <f t="shared" si="185"/>
        <v>39</v>
      </c>
      <c r="AD2374"/>
    </row>
    <row r="2375" spans="10:30" ht="16.2" customHeight="1">
      <c r="J2375" s="80" t="s">
        <v>747</v>
      </c>
      <c r="K2375" s="80" t="s">
        <v>439</v>
      </c>
      <c r="L2375" t="s">
        <v>421</v>
      </c>
      <c r="M2375" t="s">
        <v>9299</v>
      </c>
      <c r="N2375" t="str">
        <f t="shared" si="186"/>
        <v>Double RearVanda Boldtrak 25 WavefoldWavefold HooksBoldtrak Premo 115mm Bracket</v>
      </c>
      <c r="O2375">
        <v>12</v>
      </c>
      <c r="P2375">
        <v>71</v>
      </c>
      <c r="Q2375" s="80">
        <v>0</v>
      </c>
      <c r="R2375" s="80">
        <f t="shared" si="185"/>
        <v>59</v>
      </c>
      <c r="AD2375"/>
    </row>
    <row r="2376" spans="10:30" ht="16.2" customHeight="1">
      <c r="J2376" s="80" t="s">
        <v>746</v>
      </c>
      <c r="K2376" s="80" t="s">
        <v>439</v>
      </c>
      <c r="L2376" t="s">
        <v>421</v>
      </c>
      <c r="M2376" t="s">
        <v>437</v>
      </c>
      <c r="N2376" t="str">
        <f t="shared" si="186"/>
        <v>Double FrontVanda Boldtrak 25 WavefoldWavefold HooksBoldtrak Premo 140mm Bracket</v>
      </c>
      <c r="O2376">
        <v>12</v>
      </c>
      <c r="P2376">
        <v>51</v>
      </c>
      <c r="Q2376" s="80">
        <v>0</v>
      </c>
      <c r="R2376" s="80">
        <f t="shared" si="185"/>
        <v>39</v>
      </c>
      <c r="AD2376"/>
    </row>
    <row r="2377" spans="10:30" ht="16.2" customHeight="1">
      <c r="J2377" s="80" t="s">
        <v>747</v>
      </c>
      <c r="K2377" s="80" t="s">
        <v>439</v>
      </c>
      <c r="L2377" t="s">
        <v>421</v>
      </c>
      <c r="M2377" t="s">
        <v>437</v>
      </c>
      <c r="N2377" t="str">
        <f t="shared" si="186"/>
        <v>Double RearVanda Boldtrak 25 WavefoldWavefold HooksBoldtrak Premo 140mm Bracket</v>
      </c>
      <c r="O2377">
        <v>12</v>
      </c>
      <c r="P2377">
        <v>51</v>
      </c>
      <c r="Q2377" s="89">
        <v>0</v>
      </c>
      <c r="R2377" s="80">
        <f t="shared" si="185"/>
        <v>39</v>
      </c>
      <c r="AD2377"/>
    </row>
    <row r="2378" spans="10:30" ht="16.2" customHeight="1">
      <c r="J2378" s="80" t="s">
        <v>725</v>
      </c>
      <c r="K2378" s="80" t="s">
        <v>439</v>
      </c>
      <c r="L2378" t="s">
        <v>421</v>
      </c>
      <c r="M2378" t="s">
        <v>437</v>
      </c>
      <c r="N2378" t="str">
        <f t="shared" si="186"/>
        <v>SingleVanda Boldtrak 25 WavefoldWavefold HooksBoldtrak Premo 140mm Bracket</v>
      </c>
      <c r="O2378">
        <v>12</v>
      </c>
      <c r="P2378">
        <v>51</v>
      </c>
      <c r="Q2378" s="89">
        <v>0</v>
      </c>
      <c r="R2378" s="80">
        <f t="shared" si="185"/>
        <v>39</v>
      </c>
      <c r="AD2378"/>
    </row>
    <row r="2379" spans="10:30" ht="16.2" customHeight="1">
      <c r="J2379" s="80" t="s">
        <v>747</v>
      </c>
      <c r="K2379" s="80" t="s">
        <v>439</v>
      </c>
      <c r="L2379" t="s">
        <v>421</v>
      </c>
      <c r="M2379" t="s">
        <v>9300</v>
      </c>
      <c r="N2379" t="str">
        <f t="shared" si="186"/>
        <v>Double RearVanda Boldtrak 25 WavefoldWavefold HooksBoldtrak Premo 155mm Bracket</v>
      </c>
      <c r="O2379">
        <v>12</v>
      </c>
      <c r="P2379">
        <v>71</v>
      </c>
      <c r="Q2379" s="80">
        <v>0</v>
      </c>
      <c r="R2379" s="80">
        <f t="shared" si="185"/>
        <v>59</v>
      </c>
      <c r="AD2379"/>
    </row>
    <row r="2380" spans="10:30" ht="16.2" customHeight="1">
      <c r="J2380" s="80" t="s">
        <v>746</v>
      </c>
      <c r="K2380" s="80" t="s">
        <v>439</v>
      </c>
      <c r="L2380" t="s">
        <v>421</v>
      </c>
      <c r="M2380" t="s">
        <v>724</v>
      </c>
      <c r="N2380" t="str">
        <f t="shared" si="186"/>
        <v>Double FrontVanda Boldtrak 25 WavefoldWavefold HooksBoldtrak Premo Double Bracket Suit 16mm on Back</v>
      </c>
      <c r="O2380">
        <v>12</v>
      </c>
      <c r="P2380">
        <v>51</v>
      </c>
      <c r="Q2380" s="80">
        <v>0</v>
      </c>
      <c r="R2380" s="80">
        <f t="shared" si="185"/>
        <v>39</v>
      </c>
      <c r="AD2380"/>
    </row>
    <row r="2381" spans="10:30" ht="16.2" customHeight="1">
      <c r="J2381" s="80" t="s">
        <v>725</v>
      </c>
      <c r="K2381" s="80" t="s">
        <v>439</v>
      </c>
      <c r="L2381" t="s">
        <v>421</v>
      </c>
      <c r="M2381" t="s">
        <v>724</v>
      </c>
      <c r="N2381" t="str">
        <f t="shared" si="186"/>
        <v>SingleVanda Boldtrak 25 WavefoldWavefold HooksBoldtrak Premo Double Bracket Suit 16mm on Back</v>
      </c>
      <c r="O2381">
        <v>12</v>
      </c>
      <c r="P2381">
        <v>51</v>
      </c>
      <c r="Q2381" s="80">
        <v>0</v>
      </c>
      <c r="R2381" s="80">
        <f t="shared" si="185"/>
        <v>39</v>
      </c>
      <c r="AD2381"/>
    </row>
    <row r="2382" spans="10:30" ht="16.2" customHeight="1">
      <c r="J2382" s="80" t="s">
        <v>746</v>
      </c>
      <c r="K2382" s="89" t="s">
        <v>439</v>
      </c>
      <c r="L2382" s="66" t="s">
        <v>421</v>
      </c>
      <c r="M2382" s="66" t="s">
        <v>4654</v>
      </c>
      <c r="N2382" t="str">
        <f t="shared" si="186"/>
        <v>Double FrontVanda Boldtrak 25 WavefoldWavefold HooksBoldtrak Premo Double Bracket Suit 25mm on Back</v>
      </c>
      <c r="O2382">
        <v>12</v>
      </c>
      <c r="P2382">
        <v>51</v>
      </c>
      <c r="Q2382" s="80">
        <v>0</v>
      </c>
      <c r="R2382" s="80">
        <f t="shared" si="185"/>
        <v>39</v>
      </c>
      <c r="AD2382"/>
    </row>
    <row r="2383" spans="10:30" ht="16.2" customHeight="1">
      <c r="J2383" s="80" t="s">
        <v>747</v>
      </c>
      <c r="K2383" s="80" t="s">
        <v>439</v>
      </c>
      <c r="L2383" t="s">
        <v>421</v>
      </c>
      <c r="M2383" t="s">
        <v>4654</v>
      </c>
      <c r="N2383" t="str">
        <f t="shared" si="186"/>
        <v>Double RearVanda Boldtrak 25 WavefoldWavefold HooksBoldtrak Premo Double Bracket Suit 25mm on Back</v>
      </c>
      <c r="O2383">
        <v>12</v>
      </c>
      <c r="P2383">
        <v>71</v>
      </c>
      <c r="Q2383" s="80">
        <v>0</v>
      </c>
      <c r="R2383" s="80">
        <f t="shared" si="185"/>
        <v>59</v>
      </c>
      <c r="AD2383"/>
    </row>
    <row r="2384" spans="10:30" ht="16.2" customHeight="1">
      <c r="J2384" s="80" t="s">
        <v>725</v>
      </c>
      <c r="K2384" s="80" t="s">
        <v>439</v>
      </c>
      <c r="L2384" t="s">
        <v>421</v>
      </c>
      <c r="M2384" t="s">
        <v>423</v>
      </c>
      <c r="N2384" t="str">
        <f t="shared" si="186"/>
        <v>SingleVanda Boldtrak 25 WavefoldWavefold HooksBoldtrak Standard 60mm Bracket</v>
      </c>
      <c r="O2384">
        <v>12</v>
      </c>
      <c r="P2384">
        <v>51</v>
      </c>
      <c r="Q2384" s="80">
        <v>0</v>
      </c>
      <c r="R2384" s="80">
        <f t="shared" si="185"/>
        <v>39</v>
      </c>
      <c r="AD2384"/>
    </row>
    <row r="2385" spans="10:30" ht="16.2" customHeight="1">
      <c r="J2385" s="80" t="s">
        <v>746</v>
      </c>
      <c r="K2385" s="89" t="s">
        <v>439</v>
      </c>
      <c r="L2385" s="66" t="s">
        <v>421</v>
      </c>
      <c r="M2385" s="66" t="s">
        <v>9302</v>
      </c>
      <c r="N2385" t="str">
        <f t="shared" si="186"/>
        <v>Double FrontVanda Boldtrak 25 WavefoldWavefold HooksBoldtrak Standard Double Bracket Suit 25mm on Back</v>
      </c>
      <c r="O2385">
        <v>12</v>
      </c>
      <c r="P2385">
        <v>51</v>
      </c>
      <c r="Q2385" s="80">
        <v>0</v>
      </c>
      <c r="R2385" s="80">
        <f t="shared" si="185"/>
        <v>39</v>
      </c>
      <c r="AD2385"/>
    </row>
    <row r="2386" spans="10:30" ht="16.2" customHeight="1">
      <c r="J2386" s="80" t="s">
        <v>747</v>
      </c>
      <c r="K2386" s="80" t="s">
        <v>439</v>
      </c>
      <c r="L2386" t="s">
        <v>421</v>
      </c>
      <c r="M2386" s="66" t="s">
        <v>9302</v>
      </c>
      <c r="N2386" t="str">
        <f t="shared" si="186"/>
        <v>Double RearVanda Boldtrak 25 WavefoldWavefold HooksBoldtrak Standard Double Bracket Suit 25mm on Back</v>
      </c>
      <c r="O2386">
        <v>12</v>
      </c>
      <c r="P2386">
        <v>71</v>
      </c>
      <c r="Q2386" s="80">
        <v>0</v>
      </c>
      <c r="R2386" s="80">
        <f t="shared" si="185"/>
        <v>59</v>
      </c>
      <c r="AD2386"/>
    </row>
    <row r="2387" spans="10:30" ht="16.2" customHeight="1">
      <c r="J2387" s="80" t="s">
        <v>746</v>
      </c>
      <c r="K2387" s="80" t="s">
        <v>439</v>
      </c>
      <c r="L2387" t="s">
        <v>421</v>
      </c>
      <c r="M2387" s="66" t="s">
        <v>9306</v>
      </c>
      <c r="N2387" t="str">
        <f t="shared" si="186"/>
        <v>Double FrontVanda Boldtrak 25 WavefoldWavefold HooksBoldtrak Standard Double Bracket Suit 25mm on Front</v>
      </c>
      <c r="O2387">
        <v>12</v>
      </c>
      <c r="P2387">
        <v>51</v>
      </c>
      <c r="Q2387" s="80">
        <v>0</v>
      </c>
      <c r="R2387" s="80">
        <f t="shared" si="185"/>
        <v>39</v>
      </c>
      <c r="AD2387"/>
    </row>
    <row r="2388" spans="10:30" ht="16.2" customHeight="1">
      <c r="J2388" s="80" t="s">
        <v>746</v>
      </c>
      <c r="K2388" s="89" t="s">
        <v>439</v>
      </c>
      <c r="L2388" s="66" t="s">
        <v>421</v>
      </c>
      <c r="M2388" s="66" t="s">
        <v>9303</v>
      </c>
      <c r="N2388" t="str">
        <f t="shared" si="186"/>
        <v>Double FrontVanda Boldtrak 25 WavefoldWavefold HooksBoldtrak Standard Double Bracket Suit 32mm on Back</v>
      </c>
      <c r="O2388">
        <v>12</v>
      </c>
      <c r="P2388">
        <v>51</v>
      </c>
      <c r="Q2388" s="80">
        <v>0</v>
      </c>
      <c r="R2388" s="80">
        <f t="shared" si="185"/>
        <v>39</v>
      </c>
      <c r="AD2388"/>
    </row>
    <row r="2389" spans="10:30" ht="16.2" customHeight="1">
      <c r="J2389" s="80" t="s">
        <v>746</v>
      </c>
      <c r="K2389" s="89" t="s">
        <v>439</v>
      </c>
      <c r="L2389" s="66" t="s">
        <v>421</v>
      </c>
      <c r="M2389" s="66" t="s">
        <v>9304</v>
      </c>
      <c r="N2389" t="str">
        <f t="shared" si="186"/>
        <v>Double FrontVanda Boldtrak 25 WavefoldWavefold HooksBoldtrak Standard Double Bracket Suit 35mm on Back</v>
      </c>
      <c r="O2389">
        <v>12</v>
      </c>
      <c r="P2389">
        <v>51</v>
      </c>
      <c r="Q2389" s="80">
        <v>0</v>
      </c>
      <c r="R2389" s="80">
        <f t="shared" si="185"/>
        <v>39</v>
      </c>
      <c r="AD2389"/>
    </row>
    <row r="2390" spans="10:30" ht="16.2" customHeight="1">
      <c r="J2390" s="80" t="s">
        <v>746</v>
      </c>
      <c r="K2390" s="89" t="s">
        <v>439</v>
      </c>
      <c r="L2390" s="66" t="s">
        <v>421</v>
      </c>
      <c r="M2390" s="66" t="s">
        <v>438</v>
      </c>
      <c r="N2390" t="str">
        <f t="shared" si="186"/>
        <v>Double FrontVanda Boldtrak 25 WavefoldWavefold HooksBoldtrak Top Fix Bracket</v>
      </c>
      <c r="O2390">
        <v>12</v>
      </c>
      <c r="P2390">
        <v>45</v>
      </c>
      <c r="Q2390" s="89">
        <v>0</v>
      </c>
      <c r="R2390" s="80">
        <f t="shared" si="185"/>
        <v>33</v>
      </c>
      <c r="AD2390"/>
    </row>
    <row r="2391" spans="10:30" ht="16.2" customHeight="1">
      <c r="J2391" s="80" t="s">
        <v>747</v>
      </c>
      <c r="K2391" s="89" t="s">
        <v>439</v>
      </c>
      <c r="L2391" s="66" t="s">
        <v>421</v>
      </c>
      <c r="M2391" s="66" t="s">
        <v>438</v>
      </c>
      <c r="N2391" t="str">
        <f t="shared" si="186"/>
        <v>Double RearVanda Boldtrak 25 WavefoldWavefold HooksBoldtrak Top Fix Bracket</v>
      </c>
      <c r="O2391">
        <v>12</v>
      </c>
      <c r="P2391">
        <v>45</v>
      </c>
      <c r="Q2391" s="80">
        <v>0</v>
      </c>
      <c r="R2391" s="80">
        <f t="shared" si="185"/>
        <v>33</v>
      </c>
      <c r="AD2391"/>
    </row>
    <row r="2392" spans="10:30" ht="16.2" customHeight="1">
      <c r="J2392" s="80" t="s">
        <v>725</v>
      </c>
      <c r="K2392" s="89" t="s">
        <v>439</v>
      </c>
      <c r="L2392" s="66" t="s">
        <v>421</v>
      </c>
      <c r="M2392" s="66" t="s">
        <v>438</v>
      </c>
      <c r="N2392" t="str">
        <f t="shared" si="186"/>
        <v>SingleVanda Boldtrak 25 WavefoldWavefold HooksBoldtrak Top Fix Bracket</v>
      </c>
      <c r="O2392">
        <v>12</v>
      </c>
      <c r="P2392">
        <v>45</v>
      </c>
      <c r="Q2392" s="80">
        <v>0</v>
      </c>
      <c r="R2392" s="80">
        <f t="shared" si="185"/>
        <v>33</v>
      </c>
      <c r="AD2392"/>
    </row>
    <row r="2393" spans="10:30" ht="16.2" customHeight="1">
      <c r="J2393" s="80" t="s">
        <v>747</v>
      </c>
      <c r="K2393" s="80" t="s">
        <v>431</v>
      </c>
      <c r="L2393" t="s">
        <v>183</v>
      </c>
      <c r="M2393" t="s">
        <v>11830</v>
      </c>
      <c r="N2393" t="str">
        <f t="shared" si="186"/>
        <v>Double RearVanda Boldtrak 25 with GlidesBelow Normal 2075Boldtrak Standard 110mm Bracket</v>
      </c>
      <c r="O2393">
        <v>70</v>
      </c>
      <c r="P2393">
        <v>71</v>
      </c>
      <c r="Q2393" s="80">
        <v>0</v>
      </c>
      <c r="R2393" s="80">
        <f t="shared" si="185"/>
        <v>1</v>
      </c>
      <c r="AD2393"/>
    </row>
    <row r="2394" spans="10:30" ht="16.2" customHeight="1">
      <c r="J2394" s="80" t="s">
        <v>725</v>
      </c>
      <c r="K2394" s="80" t="s">
        <v>431</v>
      </c>
      <c r="L2394" t="s">
        <v>183</v>
      </c>
      <c r="M2394" t="s">
        <v>11830</v>
      </c>
      <c r="N2394" t="str">
        <f t="shared" si="186"/>
        <v>SingleVanda Boldtrak 25 with GlidesBelow Normal 2075Boldtrak Standard 110mm Bracket</v>
      </c>
      <c r="O2394">
        <v>70</v>
      </c>
      <c r="P2394">
        <v>51</v>
      </c>
      <c r="Q2394" s="80">
        <v>0</v>
      </c>
      <c r="R2394" s="80">
        <f t="shared" si="185"/>
        <v>-19</v>
      </c>
      <c r="AD2394"/>
    </row>
    <row r="2395" spans="10:30" ht="16.2" customHeight="1">
      <c r="J2395" s="80" t="s">
        <v>747</v>
      </c>
      <c r="K2395" s="80" t="s">
        <v>431</v>
      </c>
      <c r="L2395" t="s">
        <v>182</v>
      </c>
      <c r="M2395" t="s">
        <v>11830</v>
      </c>
      <c r="N2395" t="str">
        <f t="shared" si="186"/>
        <v>Double RearVanda Boldtrak 25 with GlidesBetween Level and Normal 2073Boldtrak Standard 110mm Bracket</v>
      </c>
      <c r="O2395">
        <v>48</v>
      </c>
      <c r="P2395">
        <v>71</v>
      </c>
      <c r="Q2395" s="80">
        <v>0</v>
      </c>
      <c r="R2395" s="80">
        <f t="shared" si="185"/>
        <v>23</v>
      </c>
      <c r="AD2395"/>
    </row>
    <row r="2396" spans="10:30" ht="16.2" customHeight="1">
      <c r="J2396" s="80" t="s">
        <v>725</v>
      </c>
      <c r="K2396" s="80" t="s">
        <v>431</v>
      </c>
      <c r="L2396" t="s">
        <v>182</v>
      </c>
      <c r="M2396" t="s">
        <v>11830</v>
      </c>
      <c r="N2396" t="str">
        <f t="shared" si="186"/>
        <v>SingleVanda Boldtrak 25 with GlidesBetween Level and Normal 2073Boldtrak Standard 110mm Bracket</v>
      </c>
      <c r="O2396">
        <v>47</v>
      </c>
      <c r="P2396">
        <v>51</v>
      </c>
      <c r="Q2396" s="80">
        <v>0</v>
      </c>
      <c r="R2396" s="80">
        <f t="shared" si="185"/>
        <v>4</v>
      </c>
      <c r="AD2396"/>
    </row>
    <row r="2397" spans="10:30" ht="16.2" customHeight="1">
      <c r="J2397" s="80" t="s">
        <v>747</v>
      </c>
      <c r="K2397" s="80" t="s">
        <v>431</v>
      </c>
      <c r="L2397" t="s">
        <v>184</v>
      </c>
      <c r="M2397" t="s">
        <v>11830</v>
      </c>
      <c r="N2397" t="str">
        <f t="shared" si="186"/>
        <v>Double RearVanda Boldtrak 25 with GlidesDecorator 2071Boldtrak Standard 110mm Bracket</v>
      </c>
      <c r="O2397">
        <v>20</v>
      </c>
      <c r="P2397">
        <v>71</v>
      </c>
      <c r="Q2397" s="80">
        <v>0</v>
      </c>
      <c r="R2397" s="80">
        <f t="shared" si="185"/>
        <v>51</v>
      </c>
      <c r="AD2397"/>
    </row>
    <row r="2398" spans="10:30" ht="16.2" customHeight="1">
      <c r="J2398" s="80" t="s">
        <v>725</v>
      </c>
      <c r="K2398" s="80" t="s">
        <v>431</v>
      </c>
      <c r="L2398" t="s">
        <v>184</v>
      </c>
      <c r="M2398" t="s">
        <v>11830</v>
      </c>
      <c r="N2398" t="str">
        <f t="shared" si="186"/>
        <v>SingleVanda Boldtrak 25 with GlidesDecorator 2071Boldtrak Standard 110mm Bracket</v>
      </c>
      <c r="O2398">
        <v>20</v>
      </c>
      <c r="P2398">
        <v>51</v>
      </c>
      <c r="Q2398" s="80">
        <v>0</v>
      </c>
      <c r="R2398" s="80">
        <f t="shared" si="185"/>
        <v>31</v>
      </c>
      <c r="AD2398"/>
    </row>
    <row r="2399" spans="10:30" ht="16.2" customHeight="1">
      <c r="J2399" s="80" t="s">
        <v>725</v>
      </c>
      <c r="K2399" s="80" t="s">
        <v>431</v>
      </c>
      <c r="L2399" t="s">
        <v>6468</v>
      </c>
      <c r="M2399" t="s">
        <v>11830</v>
      </c>
      <c r="N2399" t="str">
        <f t="shared" si="186"/>
        <v>SingleVanda Boldtrak 25 with GlidesGather Hook Bottom PocketBoldtrak Standard 110mm Bracket</v>
      </c>
      <c r="O2399">
        <v>60</v>
      </c>
      <c r="P2399">
        <v>51</v>
      </c>
      <c r="Q2399" s="80">
        <v>0</v>
      </c>
      <c r="R2399" s="80">
        <f t="shared" si="187" ref="R2399:R2462">SUM(P2399)-O2399</f>
        <v>-9</v>
      </c>
      <c r="AD2399"/>
    </row>
    <row r="2400" spans="10:30" ht="16.2" customHeight="1">
      <c r="J2400" s="80" t="s">
        <v>747</v>
      </c>
      <c r="K2400" s="80" t="s">
        <v>431</v>
      </c>
      <c r="L2400" t="s">
        <v>229</v>
      </c>
      <c r="M2400" t="s">
        <v>11830</v>
      </c>
      <c r="N2400" t="str">
        <f t="shared" si="186"/>
        <v>Double RearVanda Boldtrak 25 with GlidesGather Hook LevelBoldtrak Standard 110mm Bracket</v>
      </c>
      <c r="O2400">
        <v>20</v>
      </c>
      <c r="P2400">
        <v>71</v>
      </c>
      <c r="Q2400" s="80">
        <v>0</v>
      </c>
      <c r="R2400" s="80">
        <f t="shared" si="187"/>
        <v>51</v>
      </c>
      <c r="AD2400"/>
    </row>
    <row r="2401" spans="10:30" ht="16.2" customHeight="1">
      <c r="J2401" s="80" t="s">
        <v>725</v>
      </c>
      <c r="K2401" s="80" t="s">
        <v>431</v>
      </c>
      <c r="L2401" t="s">
        <v>229</v>
      </c>
      <c r="M2401" t="s">
        <v>11830</v>
      </c>
      <c r="N2401" t="str">
        <f t="shared" si="186"/>
        <v>SingleVanda Boldtrak 25 with GlidesGather Hook LevelBoldtrak Standard 110mm Bracket</v>
      </c>
      <c r="O2401">
        <v>20</v>
      </c>
      <c r="P2401">
        <v>51</v>
      </c>
      <c r="Q2401" s="80">
        <v>0</v>
      </c>
      <c r="R2401" s="80">
        <f t="shared" si="187"/>
        <v>31</v>
      </c>
      <c r="AD2401"/>
    </row>
    <row r="2402" spans="10:30" ht="16.2" customHeight="1">
      <c r="J2402" s="80" t="s">
        <v>747</v>
      </c>
      <c r="K2402" s="80" t="s">
        <v>431</v>
      </c>
      <c r="L2402" t="s">
        <v>228</v>
      </c>
      <c r="M2402" t="s">
        <v>11830</v>
      </c>
      <c r="N2402" t="str">
        <f t="shared" si="186"/>
        <v>Double RearVanda Boldtrak 25 with GlidesGather Hook NormalBoldtrak Standard 110mm Bracket</v>
      </c>
      <c r="O2402">
        <v>43</v>
      </c>
      <c r="P2402">
        <v>71</v>
      </c>
      <c r="Q2402" s="80">
        <v>0</v>
      </c>
      <c r="R2402" s="80">
        <f t="shared" si="187"/>
        <v>28</v>
      </c>
      <c r="AD2402"/>
    </row>
    <row r="2403" spans="10:30" ht="16.2" customHeight="1">
      <c r="J2403" s="80" t="s">
        <v>725</v>
      </c>
      <c r="K2403" s="80" t="s">
        <v>431</v>
      </c>
      <c r="L2403" t="s">
        <v>228</v>
      </c>
      <c r="M2403" t="s">
        <v>11830</v>
      </c>
      <c r="N2403" t="str">
        <f t="shared" si="186"/>
        <v>SingleVanda Boldtrak 25 with GlidesGather Hook NormalBoldtrak Standard 110mm Bracket</v>
      </c>
      <c r="O2403">
        <v>43</v>
      </c>
      <c r="P2403">
        <v>51</v>
      </c>
      <c r="Q2403" s="80">
        <v>0</v>
      </c>
      <c r="R2403" s="80">
        <f t="shared" si="187"/>
        <v>8</v>
      </c>
      <c r="AD2403"/>
    </row>
    <row r="2404" spans="10:30" ht="16.2" customHeight="1">
      <c r="J2404" s="80" t="s">
        <v>747</v>
      </c>
      <c r="K2404" s="80" t="s">
        <v>431</v>
      </c>
      <c r="L2404" t="s">
        <v>282</v>
      </c>
      <c r="M2404" t="s">
        <v>11830</v>
      </c>
      <c r="N2404" t="str">
        <f t="shared" si="186"/>
        <v>Double RearVanda Boldtrak 25 with GlidesLevel 2072Boldtrak Standard 110mm Bracket</v>
      </c>
      <c r="O2404">
        <v>38</v>
      </c>
      <c r="P2404">
        <v>71</v>
      </c>
      <c r="Q2404" s="80">
        <v>0</v>
      </c>
      <c r="R2404" s="80">
        <f t="shared" si="187"/>
        <v>33</v>
      </c>
      <c r="AD2404"/>
    </row>
    <row r="2405" spans="10:30" ht="16.2" customHeight="1">
      <c r="J2405" s="80" t="s">
        <v>725</v>
      </c>
      <c r="K2405" s="80" t="s">
        <v>431</v>
      </c>
      <c r="L2405" t="s">
        <v>282</v>
      </c>
      <c r="M2405" t="s">
        <v>11830</v>
      </c>
      <c r="N2405" t="str">
        <f t="shared" si="186"/>
        <v>SingleVanda Boldtrak 25 with GlidesLevel 2072Boldtrak Standard 110mm Bracket</v>
      </c>
      <c r="O2405">
        <v>35</v>
      </c>
      <c r="P2405">
        <v>51</v>
      </c>
      <c r="Q2405" s="80">
        <v>0</v>
      </c>
      <c r="R2405" s="80">
        <f t="shared" si="187"/>
        <v>16</v>
      </c>
      <c r="AD2405"/>
    </row>
    <row r="2406" spans="10:30" ht="16.2" customHeight="1">
      <c r="J2406" s="80" t="s">
        <v>747</v>
      </c>
      <c r="K2406" s="80" t="s">
        <v>431</v>
      </c>
      <c r="L2406" t="s">
        <v>170</v>
      </c>
      <c r="M2406" t="s">
        <v>11830</v>
      </c>
      <c r="N2406" t="str">
        <f t="shared" si="186"/>
        <v>Double RearVanda Boldtrak 25 with GlidesNormal 2074Boldtrak Standard 110mm Bracket</v>
      </c>
      <c r="O2406">
        <v>60</v>
      </c>
      <c r="P2406">
        <v>71</v>
      </c>
      <c r="Q2406" s="80">
        <v>0</v>
      </c>
      <c r="R2406" s="80">
        <f t="shared" si="187"/>
        <v>11</v>
      </c>
      <c r="AD2406"/>
    </row>
    <row r="2407" spans="10:30" ht="16.2" customHeight="1">
      <c r="J2407" s="80" t="s">
        <v>725</v>
      </c>
      <c r="K2407" s="80" t="s">
        <v>431</v>
      </c>
      <c r="L2407" t="s">
        <v>170</v>
      </c>
      <c r="M2407" t="s">
        <v>11830</v>
      </c>
      <c r="N2407" t="str">
        <f t="shared" si="186"/>
        <v>SingleVanda Boldtrak 25 with GlidesNormal 2074Boldtrak Standard 110mm Bracket</v>
      </c>
      <c r="O2407">
        <v>60</v>
      </c>
      <c r="P2407">
        <v>51</v>
      </c>
      <c r="Q2407" s="80">
        <v>0</v>
      </c>
      <c r="R2407" s="80">
        <f t="shared" si="187"/>
        <v>-9</v>
      </c>
      <c r="AD2407"/>
    </row>
    <row r="2408" spans="10:30" ht="16.2" customHeight="1">
      <c r="J2408" s="80" t="s">
        <v>747</v>
      </c>
      <c r="K2408" s="80" t="s">
        <v>431</v>
      </c>
      <c r="L2408" t="s">
        <v>183</v>
      </c>
      <c r="M2408" t="s">
        <v>436</v>
      </c>
      <c r="N2408" t="str">
        <f t="shared" si="186"/>
        <v>Double RearVanda Boldtrak 25 with GlidesBelow Normal 2075Boldtrak Premo 100mm Bracket</v>
      </c>
      <c r="O2408">
        <v>70</v>
      </c>
      <c r="P2408">
        <v>71</v>
      </c>
      <c r="Q2408" s="80">
        <v>0</v>
      </c>
      <c r="R2408" s="80">
        <f t="shared" si="187"/>
        <v>1</v>
      </c>
      <c r="AD2408"/>
    </row>
    <row r="2409" spans="10:30" ht="16.2" customHeight="1">
      <c r="J2409" s="80" t="s">
        <v>725</v>
      </c>
      <c r="K2409" s="80" t="s">
        <v>431</v>
      </c>
      <c r="L2409" t="s">
        <v>183</v>
      </c>
      <c r="M2409" t="s">
        <v>436</v>
      </c>
      <c r="N2409" t="str">
        <f t="shared" si="186"/>
        <v>SingleVanda Boldtrak 25 with GlidesBelow Normal 2075Boldtrak Premo 100mm Bracket</v>
      </c>
      <c r="O2409">
        <v>70</v>
      </c>
      <c r="P2409">
        <v>51</v>
      </c>
      <c r="Q2409" s="80">
        <v>0</v>
      </c>
      <c r="R2409" s="80">
        <f t="shared" si="187"/>
        <v>-19</v>
      </c>
      <c r="AD2409"/>
    </row>
    <row r="2410" spans="10:30" ht="16.2" customHeight="1">
      <c r="J2410" s="80" t="s">
        <v>747</v>
      </c>
      <c r="K2410" s="80" t="s">
        <v>431</v>
      </c>
      <c r="L2410" t="s">
        <v>182</v>
      </c>
      <c r="M2410" t="s">
        <v>436</v>
      </c>
      <c r="N2410" t="str">
        <f t="shared" si="186"/>
        <v>Double RearVanda Boldtrak 25 with GlidesBetween Level and Normal 2073Boldtrak Premo 100mm Bracket</v>
      </c>
      <c r="O2410">
        <v>48</v>
      </c>
      <c r="P2410">
        <v>71</v>
      </c>
      <c r="Q2410" s="80">
        <v>0</v>
      </c>
      <c r="R2410" s="80">
        <f t="shared" si="187"/>
        <v>23</v>
      </c>
      <c r="AD2410"/>
    </row>
    <row r="2411" spans="10:30" ht="16.2" customHeight="1">
      <c r="J2411" s="80" t="s">
        <v>725</v>
      </c>
      <c r="K2411" s="80" t="s">
        <v>431</v>
      </c>
      <c r="L2411" t="s">
        <v>182</v>
      </c>
      <c r="M2411" t="s">
        <v>436</v>
      </c>
      <c r="N2411" t="str">
        <f t="shared" si="186"/>
        <v>SingleVanda Boldtrak 25 with GlidesBetween Level and Normal 2073Boldtrak Premo 100mm Bracket</v>
      </c>
      <c r="O2411">
        <v>47</v>
      </c>
      <c r="P2411">
        <v>51</v>
      </c>
      <c r="Q2411" s="80">
        <v>0</v>
      </c>
      <c r="R2411" s="80">
        <f t="shared" si="187"/>
        <v>4</v>
      </c>
      <c r="AD2411"/>
    </row>
    <row r="2412" spans="10:30" ht="16.2" customHeight="1">
      <c r="J2412" s="80" t="s">
        <v>747</v>
      </c>
      <c r="K2412" s="80" t="s">
        <v>431</v>
      </c>
      <c r="L2412" t="s">
        <v>184</v>
      </c>
      <c r="M2412" t="s">
        <v>436</v>
      </c>
      <c r="N2412" t="str">
        <f t="shared" si="186"/>
        <v>Double RearVanda Boldtrak 25 with GlidesDecorator 2071Boldtrak Premo 100mm Bracket</v>
      </c>
      <c r="O2412">
        <v>20</v>
      </c>
      <c r="P2412">
        <v>71</v>
      </c>
      <c r="Q2412" s="80">
        <v>0</v>
      </c>
      <c r="R2412" s="80">
        <f t="shared" si="187"/>
        <v>51</v>
      </c>
      <c r="AD2412"/>
    </row>
    <row r="2413" spans="10:30" ht="16.2" customHeight="1">
      <c r="J2413" s="80" t="s">
        <v>725</v>
      </c>
      <c r="K2413" s="80" t="s">
        <v>431</v>
      </c>
      <c r="L2413" t="s">
        <v>184</v>
      </c>
      <c r="M2413" t="s">
        <v>436</v>
      </c>
      <c r="N2413" t="str">
        <f t="shared" si="186"/>
        <v>SingleVanda Boldtrak 25 with GlidesDecorator 2071Boldtrak Premo 100mm Bracket</v>
      </c>
      <c r="O2413">
        <v>20</v>
      </c>
      <c r="P2413">
        <v>51</v>
      </c>
      <c r="Q2413" s="80">
        <v>0</v>
      </c>
      <c r="R2413" s="80">
        <f t="shared" si="187"/>
        <v>31</v>
      </c>
      <c r="AD2413"/>
    </row>
    <row r="2414" spans="10:30" ht="16.2" customHeight="1">
      <c r="J2414" s="80" t="s">
        <v>725</v>
      </c>
      <c r="K2414" s="80" t="s">
        <v>431</v>
      </c>
      <c r="L2414" t="s">
        <v>6468</v>
      </c>
      <c r="M2414" t="s">
        <v>436</v>
      </c>
      <c r="N2414" t="str">
        <f t="shared" si="186"/>
        <v>SingleVanda Boldtrak 25 with GlidesGather Hook Bottom PocketBoldtrak Premo 100mm Bracket</v>
      </c>
      <c r="O2414">
        <v>60</v>
      </c>
      <c r="P2414">
        <v>51</v>
      </c>
      <c r="Q2414" s="80">
        <v>0</v>
      </c>
      <c r="R2414" s="80">
        <f t="shared" si="187"/>
        <v>-9</v>
      </c>
      <c r="AD2414"/>
    </row>
    <row r="2415" spans="10:30" ht="16.2" customHeight="1">
      <c r="J2415" s="80" t="s">
        <v>747</v>
      </c>
      <c r="K2415" s="80" t="s">
        <v>431</v>
      </c>
      <c r="L2415" t="s">
        <v>229</v>
      </c>
      <c r="M2415" t="s">
        <v>436</v>
      </c>
      <c r="N2415" t="str">
        <f t="shared" si="186"/>
        <v>Double RearVanda Boldtrak 25 with GlidesGather Hook LevelBoldtrak Premo 100mm Bracket</v>
      </c>
      <c r="O2415">
        <v>20</v>
      </c>
      <c r="P2415">
        <v>71</v>
      </c>
      <c r="Q2415" s="80">
        <v>0</v>
      </c>
      <c r="R2415" s="80">
        <f t="shared" si="187"/>
        <v>51</v>
      </c>
      <c r="AD2415"/>
    </row>
    <row r="2416" spans="10:30" ht="16.2" customHeight="1">
      <c r="J2416" s="80" t="s">
        <v>725</v>
      </c>
      <c r="K2416" s="80" t="s">
        <v>431</v>
      </c>
      <c r="L2416" t="s">
        <v>229</v>
      </c>
      <c r="M2416" t="s">
        <v>436</v>
      </c>
      <c r="N2416" t="str">
        <f t="shared" si="186"/>
        <v>SingleVanda Boldtrak 25 with GlidesGather Hook LevelBoldtrak Premo 100mm Bracket</v>
      </c>
      <c r="O2416">
        <v>20</v>
      </c>
      <c r="P2416">
        <v>51</v>
      </c>
      <c r="Q2416" s="80">
        <v>0</v>
      </c>
      <c r="R2416" s="80">
        <f t="shared" si="187"/>
        <v>31</v>
      </c>
      <c r="AD2416"/>
    </row>
    <row r="2417" spans="10:30" ht="16.2" customHeight="1">
      <c r="J2417" s="80" t="s">
        <v>747</v>
      </c>
      <c r="K2417" s="80" t="s">
        <v>431</v>
      </c>
      <c r="L2417" t="s">
        <v>228</v>
      </c>
      <c r="M2417" t="s">
        <v>436</v>
      </c>
      <c r="N2417" t="str">
        <f t="shared" si="186"/>
        <v>Double RearVanda Boldtrak 25 with GlidesGather Hook NormalBoldtrak Premo 100mm Bracket</v>
      </c>
      <c r="O2417">
        <v>43</v>
      </c>
      <c r="P2417">
        <v>71</v>
      </c>
      <c r="Q2417" s="80">
        <v>0</v>
      </c>
      <c r="R2417" s="80">
        <f t="shared" si="187"/>
        <v>28</v>
      </c>
      <c r="AD2417"/>
    </row>
    <row r="2418" spans="10:30" ht="16.2" customHeight="1">
      <c r="J2418" s="80" t="s">
        <v>725</v>
      </c>
      <c r="K2418" s="80" t="s">
        <v>431</v>
      </c>
      <c r="L2418" t="s">
        <v>228</v>
      </c>
      <c r="M2418" t="s">
        <v>436</v>
      </c>
      <c r="N2418" t="str">
        <f t="shared" si="186"/>
        <v>SingleVanda Boldtrak 25 with GlidesGather Hook NormalBoldtrak Premo 100mm Bracket</v>
      </c>
      <c r="O2418">
        <v>43</v>
      </c>
      <c r="P2418">
        <v>51</v>
      </c>
      <c r="Q2418" s="80">
        <v>0</v>
      </c>
      <c r="R2418" s="80">
        <f t="shared" si="187"/>
        <v>8</v>
      </c>
      <c r="AD2418"/>
    </row>
    <row r="2419" spans="10:30" ht="16.2" customHeight="1">
      <c r="J2419" s="80" t="s">
        <v>747</v>
      </c>
      <c r="K2419" s="80" t="s">
        <v>431</v>
      </c>
      <c r="L2419" t="s">
        <v>282</v>
      </c>
      <c r="M2419" t="s">
        <v>436</v>
      </c>
      <c r="N2419" t="str">
        <f t="shared" si="186"/>
        <v>Double RearVanda Boldtrak 25 with GlidesLevel 2072Boldtrak Premo 100mm Bracket</v>
      </c>
      <c r="O2419">
        <v>38</v>
      </c>
      <c r="P2419">
        <v>71</v>
      </c>
      <c r="Q2419" s="80">
        <v>0</v>
      </c>
      <c r="R2419" s="80">
        <f t="shared" si="187"/>
        <v>33</v>
      </c>
      <c r="AD2419"/>
    </row>
    <row r="2420" spans="10:30" ht="16.2" customHeight="1">
      <c r="J2420" s="80" t="s">
        <v>725</v>
      </c>
      <c r="K2420" s="80" t="s">
        <v>431</v>
      </c>
      <c r="L2420" t="s">
        <v>282</v>
      </c>
      <c r="M2420" t="s">
        <v>436</v>
      </c>
      <c r="N2420" t="str">
        <f t="shared" si="186"/>
        <v>SingleVanda Boldtrak 25 with GlidesLevel 2072Boldtrak Premo 100mm Bracket</v>
      </c>
      <c r="O2420">
        <v>35</v>
      </c>
      <c r="P2420">
        <v>51</v>
      </c>
      <c r="Q2420" s="80">
        <v>0</v>
      </c>
      <c r="R2420" s="80">
        <f t="shared" si="187"/>
        <v>16</v>
      </c>
      <c r="AD2420"/>
    </row>
    <row r="2421" spans="10:30" ht="16.2" customHeight="1">
      <c r="J2421" s="80" t="s">
        <v>747</v>
      </c>
      <c r="K2421" s="80" t="s">
        <v>431</v>
      </c>
      <c r="L2421" t="s">
        <v>170</v>
      </c>
      <c r="M2421" t="s">
        <v>436</v>
      </c>
      <c r="N2421" t="str">
        <f t="shared" si="186"/>
        <v>Double RearVanda Boldtrak 25 with GlidesNormal 2074Boldtrak Premo 100mm Bracket</v>
      </c>
      <c r="O2421">
        <v>60</v>
      </c>
      <c r="P2421">
        <v>71</v>
      </c>
      <c r="Q2421" s="80">
        <v>0</v>
      </c>
      <c r="R2421" s="80">
        <f t="shared" si="187"/>
        <v>11</v>
      </c>
      <c r="AD2421"/>
    </row>
    <row r="2422" spans="10:30" ht="16.2" customHeight="1">
      <c r="J2422" s="80" t="s">
        <v>725</v>
      </c>
      <c r="K2422" s="80" t="s">
        <v>431</v>
      </c>
      <c r="L2422" t="s">
        <v>170</v>
      </c>
      <c r="M2422" t="s">
        <v>436</v>
      </c>
      <c r="N2422" t="str">
        <f t="shared" si="186"/>
        <v>SingleVanda Boldtrak 25 with GlidesNormal 2074Boldtrak Premo 100mm Bracket</v>
      </c>
      <c r="O2422">
        <v>60</v>
      </c>
      <c r="P2422">
        <v>51</v>
      </c>
      <c r="Q2422" s="80">
        <v>0</v>
      </c>
      <c r="R2422" s="80">
        <f t="shared" si="187"/>
        <v>-9</v>
      </c>
      <c r="AD2422"/>
    </row>
    <row r="2423" spans="10:30" ht="16.2" customHeight="1">
      <c r="J2423" s="80" t="s">
        <v>747</v>
      </c>
      <c r="K2423" s="80" t="s">
        <v>431</v>
      </c>
      <c r="L2423" t="s">
        <v>183</v>
      </c>
      <c r="M2423" t="s">
        <v>9299</v>
      </c>
      <c r="N2423" t="str">
        <f t="shared" si="186"/>
        <v>Double RearVanda Boldtrak 25 with GlidesBelow Normal 2075Boldtrak Premo 115mm Bracket</v>
      </c>
      <c r="O2423">
        <v>70</v>
      </c>
      <c r="P2423">
        <v>71</v>
      </c>
      <c r="Q2423" s="80">
        <v>0</v>
      </c>
      <c r="R2423" s="80">
        <f t="shared" si="187"/>
        <v>1</v>
      </c>
      <c r="AD2423"/>
    </row>
    <row r="2424" spans="10:30" ht="16.2" customHeight="1">
      <c r="J2424" s="80" t="s">
        <v>747</v>
      </c>
      <c r="K2424" s="80" t="s">
        <v>431</v>
      </c>
      <c r="L2424" t="s">
        <v>182</v>
      </c>
      <c r="M2424" t="s">
        <v>9299</v>
      </c>
      <c r="N2424" t="str">
        <f t="shared" si="186"/>
        <v>Double RearVanda Boldtrak 25 with GlidesBetween Level and Normal 2073Boldtrak Premo 115mm Bracket</v>
      </c>
      <c r="O2424">
        <v>48</v>
      </c>
      <c r="P2424">
        <v>71</v>
      </c>
      <c r="Q2424" s="80">
        <v>0</v>
      </c>
      <c r="R2424" s="80">
        <f t="shared" si="187"/>
        <v>23</v>
      </c>
      <c r="AD2424"/>
    </row>
    <row r="2425" spans="10:30" ht="16.2" customHeight="1">
      <c r="J2425" s="80" t="s">
        <v>747</v>
      </c>
      <c r="K2425" s="80" t="s">
        <v>431</v>
      </c>
      <c r="L2425" t="s">
        <v>184</v>
      </c>
      <c r="M2425" t="s">
        <v>9299</v>
      </c>
      <c r="N2425" t="str">
        <f t="shared" si="186"/>
        <v>Double RearVanda Boldtrak 25 with GlidesDecorator 2071Boldtrak Premo 115mm Bracket</v>
      </c>
      <c r="O2425">
        <v>20</v>
      </c>
      <c r="P2425">
        <v>71</v>
      </c>
      <c r="Q2425" s="80">
        <v>0</v>
      </c>
      <c r="R2425" s="80">
        <f t="shared" si="187"/>
        <v>51</v>
      </c>
      <c r="AD2425"/>
    </row>
    <row r="2426" spans="10:30" ht="16.2" customHeight="1">
      <c r="J2426" s="80" t="s">
        <v>747</v>
      </c>
      <c r="K2426" s="80" t="s">
        <v>431</v>
      </c>
      <c r="L2426" t="s">
        <v>229</v>
      </c>
      <c r="M2426" t="s">
        <v>9299</v>
      </c>
      <c r="N2426" t="str">
        <f t="shared" si="186"/>
        <v>Double RearVanda Boldtrak 25 with GlidesGather Hook LevelBoldtrak Premo 115mm Bracket</v>
      </c>
      <c r="O2426">
        <v>20</v>
      </c>
      <c r="P2426">
        <v>71</v>
      </c>
      <c r="Q2426" s="80">
        <v>0</v>
      </c>
      <c r="R2426" s="80">
        <f t="shared" si="187"/>
        <v>51</v>
      </c>
      <c r="AD2426"/>
    </row>
    <row r="2427" spans="10:30" ht="16.2" customHeight="1">
      <c r="J2427" s="80" t="s">
        <v>747</v>
      </c>
      <c r="K2427" s="80" t="s">
        <v>431</v>
      </c>
      <c r="L2427" t="s">
        <v>228</v>
      </c>
      <c r="M2427" t="s">
        <v>9299</v>
      </c>
      <c r="N2427" t="str">
        <f t="shared" si="186"/>
        <v>Double RearVanda Boldtrak 25 with GlidesGather Hook NormalBoldtrak Premo 115mm Bracket</v>
      </c>
      <c r="O2427">
        <v>43</v>
      </c>
      <c r="P2427">
        <v>71</v>
      </c>
      <c r="Q2427" s="80">
        <v>0</v>
      </c>
      <c r="R2427" s="80">
        <f t="shared" si="187"/>
        <v>28</v>
      </c>
      <c r="AD2427"/>
    </row>
    <row r="2428" spans="10:30" ht="16.2" customHeight="1">
      <c r="J2428" s="80" t="s">
        <v>747</v>
      </c>
      <c r="K2428" s="80" t="s">
        <v>431</v>
      </c>
      <c r="L2428" t="s">
        <v>282</v>
      </c>
      <c r="M2428" t="s">
        <v>9299</v>
      </c>
      <c r="N2428" t="str">
        <f t="shared" si="186"/>
        <v>Double RearVanda Boldtrak 25 with GlidesLevel 2072Boldtrak Premo 115mm Bracket</v>
      </c>
      <c r="O2428">
        <v>38</v>
      </c>
      <c r="P2428">
        <v>71</v>
      </c>
      <c r="Q2428" s="80">
        <v>0</v>
      </c>
      <c r="R2428" s="80">
        <f t="shared" si="187"/>
        <v>33</v>
      </c>
      <c r="AD2428"/>
    </row>
    <row r="2429" spans="10:30" ht="16.2" customHeight="1">
      <c r="J2429" s="80" t="s">
        <v>747</v>
      </c>
      <c r="K2429" s="80" t="s">
        <v>431</v>
      </c>
      <c r="L2429" t="s">
        <v>170</v>
      </c>
      <c r="M2429" t="s">
        <v>9299</v>
      </c>
      <c r="N2429" t="str">
        <f t="shared" si="186"/>
        <v>Double RearVanda Boldtrak 25 with GlidesNormal 2074Boldtrak Premo 115mm Bracket</v>
      </c>
      <c r="O2429">
        <v>60</v>
      </c>
      <c r="P2429">
        <v>71</v>
      </c>
      <c r="Q2429" s="80">
        <v>0</v>
      </c>
      <c r="R2429" s="80">
        <f t="shared" si="187"/>
        <v>11</v>
      </c>
      <c r="AD2429"/>
    </row>
    <row r="2430" spans="10:30" ht="16.2" customHeight="1">
      <c r="J2430" s="80" t="s">
        <v>746</v>
      </c>
      <c r="K2430" s="80" t="s">
        <v>431</v>
      </c>
      <c r="L2430" t="s">
        <v>183</v>
      </c>
      <c r="M2430" t="s">
        <v>437</v>
      </c>
      <c r="N2430" t="str">
        <f t="shared" si="186"/>
        <v>Double FrontVanda Boldtrak 25 with GlidesBelow Normal 2075Boldtrak Premo 140mm Bracket</v>
      </c>
      <c r="O2430">
        <v>70</v>
      </c>
      <c r="P2430">
        <v>51</v>
      </c>
      <c r="Q2430" s="89">
        <v>0</v>
      </c>
      <c r="R2430" s="80">
        <f t="shared" si="187"/>
        <v>-19</v>
      </c>
      <c r="AD2430"/>
    </row>
    <row r="2431" spans="10:30" ht="16.2" customHeight="1">
      <c r="J2431" s="80" t="s">
        <v>747</v>
      </c>
      <c r="K2431" s="80" t="s">
        <v>431</v>
      </c>
      <c r="L2431" t="s">
        <v>183</v>
      </c>
      <c r="M2431" t="s">
        <v>437</v>
      </c>
      <c r="N2431" t="str">
        <f t="shared" si="186"/>
        <v>Double RearVanda Boldtrak 25 with GlidesBelow Normal 2075Boldtrak Premo 140mm Bracket</v>
      </c>
      <c r="O2431">
        <v>70</v>
      </c>
      <c r="P2431">
        <v>51</v>
      </c>
      <c r="Q2431" s="80">
        <v>0</v>
      </c>
      <c r="R2431" s="80">
        <f t="shared" si="187"/>
        <v>-19</v>
      </c>
      <c r="AD2431"/>
    </row>
    <row r="2432" spans="10:30" ht="16.2" customHeight="1">
      <c r="J2432" s="80" t="s">
        <v>725</v>
      </c>
      <c r="K2432" s="80" t="s">
        <v>431</v>
      </c>
      <c r="L2432" t="s">
        <v>183</v>
      </c>
      <c r="M2432" t="s">
        <v>437</v>
      </c>
      <c r="N2432" t="str">
        <f t="shared" si="186"/>
        <v>SingleVanda Boldtrak 25 with GlidesBelow Normal 2075Boldtrak Premo 140mm Bracket</v>
      </c>
      <c r="O2432">
        <v>70</v>
      </c>
      <c r="P2432">
        <v>51</v>
      </c>
      <c r="Q2432" s="80">
        <v>0</v>
      </c>
      <c r="R2432" s="80">
        <f t="shared" si="187"/>
        <v>-19</v>
      </c>
      <c r="AD2432"/>
    </row>
    <row r="2433" spans="10:30" ht="16.2" customHeight="1">
      <c r="J2433" s="80" t="s">
        <v>746</v>
      </c>
      <c r="K2433" s="80" t="s">
        <v>431</v>
      </c>
      <c r="L2433" t="s">
        <v>182</v>
      </c>
      <c r="M2433" t="s">
        <v>437</v>
      </c>
      <c r="N2433" t="str">
        <f t="shared" si="186"/>
        <v>Double FrontVanda Boldtrak 25 with GlidesBetween Level and Normal 2073Boldtrak Premo 140mm Bracket</v>
      </c>
      <c r="O2433">
        <v>48</v>
      </c>
      <c r="P2433">
        <v>51</v>
      </c>
      <c r="Q2433" s="80">
        <v>0</v>
      </c>
      <c r="R2433" s="80">
        <f t="shared" si="187"/>
        <v>3</v>
      </c>
      <c r="AD2433"/>
    </row>
    <row r="2434" spans="10:30" ht="16.2" customHeight="1">
      <c r="J2434" s="80" t="s">
        <v>747</v>
      </c>
      <c r="K2434" s="80" t="s">
        <v>431</v>
      </c>
      <c r="L2434" t="s">
        <v>182</v>
      </c>
      <c r="M2434" t="s">
        <v>437</v>
      </c>
      <c r="N2434" t="str">
        <f t="shared" si="188" ref="N2434:N2497">(CONCATENATE(J2434,K2434,L2434,M2434))</f>
        <v>Double RearVanda Boldtrak 25 with GlidesBetween Level and Normal 2073Boldtrak Premo 140mm Bracket</v>
      </c>
      <c r="O2434">
        <v>48</v>
      </c>
      <c r="P2434">
        <v>51</v>
      </c>
      <c r="Q2434" s="80">
        <v>0</v>
      </c>
      <c r="R2434" s="80">
        <f t="shared" si="187"/>
        <v>3</v>
      </c>
      <c r="AD2434"/>
    </row>
    <row r="2435" spans="10:30" ht="16.2" customHeight="1">
      <c r="J2435" s="80" t="s">
        <v>725</v>
      </c>
      <c r="K2435" s="80" t="s">
        <v>431</v>
      </c>
      <c r="L2435" t="s">
        <v>182</v>
      </c>
      <c r="M2435" t="s">
        <v>437</v>
      </c>
      <c r="N2435" t="str">
        <f t="shared" si="188"/>
        <v>SingleVanda Boldtrak 25 with GlidesBetween Level and Normal 2073Boldtrak Premo 140mm Bracket</v>
      </c>
      <c r="O2435">
        <v>47</v>
      </c>
      <c r="P2435">
        <v>51</v>
      </c>
      <c r="Q2435" s="80">
        <v>0</v>
      </c>
      <c r="R2435" s="80">
        <f t="shared" si="187"/>
        <v>4</v>
      </c>
      <c r="AD2435"/>
    </row>
    <row r="2436" spans="10:30" ht="16.2" customHeight="1">
      <c r="J2436" s="80" t="s">
        <v>746</v>
      </c>
      <c r="K2436" s="80" t="s">
        <v>431</v>
      </c>
      <c r="L2436" t="s">
        <v>184</v>
      </c>
      <c r="M2436" t="s">
        <v>437</v>
      </c>
      <c r="N2436" t="str">
        <f t="shared" si="188"/>
        <v>Double FrontVanda Boldtrak 25 with GlidesDecorator 2071Boldtrak Premo 140mm Bracket</v>
      </c>
      <c r="O2436">
        <v>20</v>
      </c>
      <c r="P2436">
        <v>51</v>
      </c>
      <c r="Q2436" s="80">
        <v>0</v>
      </c>
      <c r="R2436" s="80">
        <f t="shared" si="187"/>
        <v>31</v>
      </c>
      <c r="AD2436"/>
    </row>
    <row r="2437" spans="10:30" ht="16.2" customHeight="1">
      <c r="J2437" s="80" t="s">
        <v>747</v>
      </c>
      <c r="K2437" s="80" t="s">
        <v>431</v>
      </c>
      <c r="L2437" t="s">
        <v>184</v>
      </c>
      <c r="M2437" t="s">
        <v>437</v>
      </c>
      <c r="N2437" t="str">
        <f t="shared" si="188"/>
        <v>Double RearVanda Boldtrak 25 with GlidesDecorator 2071Boldtrak Premo 140mm Bracket</v>
      </c>
      <c r="O2437">
        <v>20</v>
      </c>
      <c r="P2437">
        <v>51</v>
      </c>
      <c r="Q2437" s="80">
        <v>0</v>
      </c>
      <c r="R2437" s="80">
        <f t="shared" si="187"/>
        <v>31</v>
      </c>
      <c r="AD2437"/>
    </row>
    <row r="2438" spans="10:30" ht="16.2" customHeight="1">
      <c r="J2438" s="80" t="s">
        <v>725</v>
      </c>
      <c r="K2438" s="80" t="s">
        <v>431</v>
      </c>
      <c r="L2438" t="s">
        <v>184</v>
      </c>
      <c r="M2438" t="s">
        <v>437</v>
      </c>
      <c r="N2438" t="str">
        <f t="shared" si="188"/>
        <v>SingleVanda Boldtrak 25 with GlidesDecorator 2071Boldtrak Premo 140mm Bracket</v>
      </c>
      <c r="O2438">
        <v>20</v>
      </c>
      <c r="P2438">
        <v>51</v>
      </c>
      <c r="Q2438" s="80">
        <v>0</v>
      </c>
      <c r="R2438" s="80">
        <f t="shared" si="187"/>
        <v>31</v>
      </c>
      <c r="AD2438"/>
    </row>
    <row r="2439" spans="10:30" ht="16.2" customHeight="1">
      <c r="J2439" s="80" t="s">
        <v>746</v>
      </c>
      <c r="K2439" s="80" t="s">
        <v>431</v>
      </c>
      <c r="L2439" t="s">
        <v>6468</v>
      </c>
      <c r="M2439" t="s">
        <v>437</v>
      </c>
      <c r="N2439" t="str">
        <f t="shared" si="188"/>
        <v>Double FrontVanda Boldtrak 25 with GlidesGather Hook Bottom PocketBoldtrak Premo 140mm Bracket</v>
      </c>
      <c r="O2439">
        <v>60</v>
      </c>
      <c r="P2439">
        <v>51</v>
      </c>
      <c r="Q2439" s="80">
        <v>0</v>
      </c>
      <c r="R2439" s="80">
        <f t="shared" si="187"/>
        <v>-9</v>
      </c>
      <c r="AD2439"/>
    </row>
    <row r="2440" spans="10:30" ht="16.2" customHeight="1">
      <c r="J2440" s="80" t="s">
        <v>725</v>
      </c>
      <c r="K2440" s="80" t="s">
        <v>431</v>
      </c>
      <c r="L2440" t="s">
        <v>6468</v>
      </c>
      <c r="M2440" t="s">
        <v>437</v>
      </c>
      <c r="N2440" t="str">
        <f t="shared" si="188"/>
        <v>SingleVanda Boldtrak 25 with GlidesGather Hook Bottom PocketBoldtrak Premo 140mm Bracket</v>
      </c>
      <c r="O2440">
        <v>60</v>
      </c>
      <c r="P2440">
        <v>51</v>
      </c>
      <c r="Q2440" s="80">
        <v>0</v>
      </c>
      <c r="R2440" s="80">
        <f t="shared" si="187"/>
        <v>-9</v>
      </c>
      <c r="AD2440"/>
    </row>
    <row r="2441" spans="10:30" ht="16.2" customHeight="1">
      <c r="J2441" s="80" t="s">
        <v>746</v>
      </c>
      <c r="K2441" s="80" t="s">
        <v>431</v>
      </c>
      <c r="L2441" t="s">
        <v>229</v>
      </c>
      <c r="M2441" t="s">
        <v>437</v>
      </c>
      <c r="N2441" t="str">
        <f t="shared" si="188"/>
        <v>Double FrontVanda Boldtrak 25 with GlidesGather Hook LevelBoldtrak Premo 140mm Bracket</v>
      </c>
      <c r="O2441">
        <v>20</v>
      </c>
      <c r="P2441">
        <v>51</v>
      </c>
      <c r="Q2441" s="80">
        <v>0</v>
      </c>
      <c r="R2441" s="80">
        <f t="shared" si="187"/>
        <v>31</v>
      </c>
      <c r="AD2441"/>
    </row>
    <row r="2442" spans="10:30" ht="16.2" customHeight="1">
      <c r="J2442" s="80" t="s">
        <v>747</v>
      </c>
      <c r="K2442" s="80" t="s">
        <v>431</v>
      </c>
      <c r="L2442" t="s">
        <v>229</v>
      </c>
      <c r="M2442" t="s">
        <v>437</v>
      </c>
      <c r="N2442" t="str">
        <f t="shared" si="188"/>
        <v>Double RearVanda Boldtrak 25 with GlidesGather Hook LevelBoldtrak Premo 140mm Bracket</v>
      </c>
      <c r="O2442">
        <v>20</v>
      </c>
      <c r="P2442">
        <v>51</v>
      </c>
      <c r="Q2442" s="80">
        <v>0</v>
      </c>
      <c r="R2442" s="80">
        <f t="shared" si="187"/>
        <v>31</v>
      </c>
      <c r="AD2442"/>
    </row>
    <row r="2443" spans="10:30" ht="16.2" customHeight="1">
      <c r="J2443" s="80" t="s">
        <v>725</v>
      </c>
      <c r="K2443" s="80" t="s">
        <v>431</v>
      </c>
      <c r="L2443" t="s">
        <v>229</v>
      </c>
      <c r="M2443" t="s">
        <v>437</v>
      </c>
      <c r="N2443" t="str">
        <f t="shared" si="188"/>
        <v>SingleVanda Boldtrak 25 with GlidesGather Hook LevelBoldtrak Premo 140mm Bracket</v>
      </c>
      <c r="O2443">
        <v>20</v>
      </c>
      <c r="P2443">
        <v>51</v>
      </c>
      <c r="Q2443" s="80">
        <v>0</v>
      </c>
      <c r="R2443" s="80">
        <f t="shared" si="187"/>
        <v>31</v>
      </c>
      <c r="AD2443"/>
    </row>
    <row r="2444" spans="10:30" ht="16.2" customHeight="1">
      <c r="J2444" s="80" t="s">
        <v>746</v>
      </c>
      <c r="K2444" s="80" t="s">
        <v>431</v>
      </c>
      <c r="L2444" t="s">
        <v>228</v>
      </c>
      <c r="M2444" t="s">
        <v>437</v>
      </c>
      <c r="N2444" t="str">
        <f t="shared" si="188"/>
        <v>Double FrontVanda Boldtrak 25 with GlidesGather Hook NormalBoldtrak Premo 140mm Bracket</v>
      </c>
      <c r="O2444">
        <v>43</v>
      </c>
      <c r="P2444">
        <v>51</v>
      </c>
      <c r="Q2444" s="80">
        <v>0</v>
      </c>
      <c r="R2444" s="80">
        <f t="shared" si="187"/>
        <v>8</v>
      </c>
      <c r="AD2444"/>
    </row>
    <row r="2445" spans="10:30" ht="16.2" customHeight="1">
      <c r="J2445" s="80" t="s">
        <v>747</v>
      </c>
      <c r="K2445" s="80" t="s">
        <v>431</v>
      </c>
      <c r="L2445" t="s">
        <v>228</v>
      </c>
      <c r="M2445" t="s">
        <v>437</v>
      </c>
      <c r="N2445" t="str">
        <f t="shared" si="188"/>
        <v>Double RearVanda Boldtrak 25 with GlidesGather Hook NormalBoldtrak Premo 140mm Bracket</v>
      </c>
      <c r="O2445">
        <v>43</v>
      </c>
      <c r="P2445">
        <v>51</v>
      </c>
      <c r="Q2445" s="80">
        <v>0</v>
      </c>
      <c r="R2445" s="80">
        <f t="shared" si="187"/>
        <v>8</v>
      </c>
      <c r="AD2445"/>
    </row>
    <row r="2446" spans="10:30" ht="16.2" customHeight="1">
      <c r="J2446" s="80" t="s">
        <v>725</v>
      </c>
      <c r="K2446" s="80" t="s">
        <v>431</v>
      </c>
      <c r="L2446" t="s">
        <v>228</v>
      </c>
      <c r="M2446" t="s">
        <v>437</v>
      </c>
      <c r="N2446" t="str">
        <f t="shared" si="188"/>
        <v>SingleVanda Boldtrak 25 with GlidesGather Hook NormalBoldtrak Premo 140mm Bracket</v>
      </c>
      <c r="O2446">
        <v>43</v>
      </c>
      <c r="P2446">
        <v>51</v>
      </c>
      <c r="Q2446" s="80">
        <v>0</v>
      </c>
      <c r="R2446" s="80">
        <f t="shared" si="187"/>
        <v>8</v>
      </c>
      <c r="AD2446"/>
    </row>
    <row r="2447" spans="10:30" ht="16.2" customHeight="1">
      <c r="J2447" s="80" t="s">
        <v>746</v>
      </c>
      <c r="K2447" s="80" t="s">
        <v>431</v>
      </c>
      <c r="L2447" t="s">
        <v>282</v>
      </c>
      <c r="M2447" t="s">
        <v>437</v>
      </c>
      <c r="N2447" t="str">
        <f t="shared" si="188"/>
        <v>Double FrontVanda Boldtrak 25 with GlidesLevel 2072Boldtrak Premo 140mm Bracket</v>
      </c>
      <c r="O2447">
        <v>38</v>
      </c>
      <c r="P2447">
        <v>51</v>
      </c>
      <c r="Q2447" s="80">
        <v>0</v>
      </c>
      <c r="R2447" s="80">
        <f t="shared" si="187"/>
        <v>13</v>
      </c>
      <c r="AD2447"/>
    </row>
    <row r="2448" spans="10:30" ht="16.2" customHeight="1">
      <c r="J2448" s="80" t="s">
        <v>747</v>
      </c>
      <c r="K2448" s="80" t="s">
        <v>431</v>
      </c>
      <c r="L2448" t="s">
        <v>282</v>
      </c>
      <c r="M2448" t="s">
        <v>437</v>
      </c>
      <c r="N2448" t="str">
        <f t="shared" si="188"/>
        <v>Double RearVanda Boldtrak 25 with GlidesLevel 2072Boldtrak Premo 140mm Bracket</v>
      </c>
      <c r="O2448">
        <v>38</v>
      </c>
      <c r="P2448">
        <v>51</v>
      </c>
      <c r="Q2448" s="80">
        <v>0</v>
      </c>
      <c r="R2448" s="80">
        <f t="shared" si="187"/>
        <v>13</v>
      </c>
      <c r="AD2448"/>
    </row>
    <row r="2449" spans="10:30" ht="16.2" customHeight="1">
      <c r="J2449" s="80" t="s">
        <v>725</v>
      </c>
      <c r="K2449" s="80" t="s">
        <v>431</v>
      </c>
      <c r="L2449" t="s">
        <v>282</v>
      </c>
      <c r="M2449" t="s">
        <v>437</v>
      </c>
      <c r="N2449" t="str">
        <f t="shared" si="188"/>
        <v>SingleVanda Boldtrak 25 with GlidesLevel 2072Boldtrak Premo 140mm Bracket</v>
      </c>
      <c r="O2449">
        <v>35</v>
      </c>
      <c r="P2449">
        <v>51</v>
      </c>
      <c r="Q2449" s="80">
        <v>0</v>
      </c>
      <c r="R2449" s="80">
        <f t="shared" si="187"/>
        <v>16</v>
      </c>
      <c r="AD2449"/>
    </row>
    <row r="2450" spans="10:30" ht="16.2" customHeight="1">
      <c r="J2450" s="80" t="s">
        <v>746</v>
      </c>
      <c r="K2450" s="80" t="s">
        <v>431</v>
      </c>
      <c r="L2450" t="s">
        <v>170</v>
      </c>
      <c r="M2450" t="s">
        <v>437</v>
      </c>
      <c r="N2450" t="str">
        <f t="shared" si="188"/>
        <v>Double FrontVanda Boldtrak 25 with GlidesNormal 2074Boldtrak Premo 140mm Bracket</v>
      </c>
      <c r="O2450">
        <v>60</v>
      </c>
      <c r="P2450">
        <v>51</v>
      </c>
      <c r="Q2450" s="80">
        <v>0</v>
      </c>
      <c r="R2450" s="80">
        <f t="shared" si="187"/>
        <v>-9</v>
      </c>
      <c r="AD2450"/>
    </row>
    <row r="2451" spans="10:30" ht="16.2" customHeight="1">
      <c r="J2451" s="80" t="s">
        <v>747</v>
      </c>
      <c r="K2451" s="80" t="s">
        <v>431</v>
      </c>
      <c r="L2451" t="s">
        <v>170</v>
      </c>
      <c r="M2451" t="s">
        <v>437</v>
      </c>
      <c r="N2451" t="str">
        <f t="shared" si="188"/>
        <v>Double RearVanda Boldtrak 25 with GlidesNormal 2074Boldtrak Premo 140mm Bracket</v>
      </c>
      <c r="O2451">
        <v>60</v>
      </c>
      <c r="P2451">
        <v>51</v>
      </c>
      <c r="Q2451" s="80">
        <v>0</v>
      </c>
      <c r="R2451" s="80">
        <f t="shared" si="187"/>
        <v>-9</v>
      </c>
      <c r="AD2451"/>
    </row>
    <row r="2452" spans="10:30" ht="16.2" customHeight="1">
      <c r="J2452" s="80" t="s">
        <v>725</v>
      </c>
      <c r="K2452" s="80" t="s">
        <v>431</v>
      </c>
      <c r="L2452" t="s">
        <v>170</v>
      </c>
      <c r="M2452" t="s">
        <v>437</v>
      </c>
      <c r="N2452" t="str">
        <f t="shared" si="188"/>
        <v>SingleVanda Boldtrak 25 with GlidesNormal 2074Boldtrak Premo 140mm Bracket</v>
      </c>
      <c r="O2452">
        <v>60</v>
      </c>
      <c r="P2452">
        <v>51</v>
      </c>
      <c r="Q2452" s="80">
        <v>0</v>
      </c>
      <c r="R2452" s="80">
        <f t="shared" si="187"/>
        <v>-9</v>
      </c>
      <c r="AD2452"/>
    </row>
    <row r="2453" spans="10:30" ht="16.2" customHeight="1">
      <c r="J2453" s="80" t="s">
        <v>747</v>
      </c>
      <c r="K2453" s="80" t="s">
        <v>431</v>
      </c>
      <c r="L2453" t="s">
        <v>183</v>
      </c>
      <c r="M2453" t="s">
        <v>9300</v>
      </c>
      <c r="N2453" t="str">
        <f t="shared" si="188"/>
        <v>Double RearVanda Boldtrak 25 with GlidesBelow Normal 2075Boldtrak Premo 155mm Bracket</v>
      </c>
      <c r="O2453">
        <v>70</v>
      </c>
      <c r="P2453">
        <v>71</v>
      </c>
      <c r="Q2453" s="80">
        <v>0</v>
      </c>
      <c r="R2453" s="80">
        <f t="shared" si="187"/>
        <v>1</v>
      </c>
      <c r="AD2453"/>
    </row>
    <row r="2454" spans="10:30" ht="16.2" customHeight="1">
      <c r="J2454" s="80" t="s">
        <v>747</v>
      </c>
      <c r="K2454" s="80" t="s">
        <v>431</v>
      </c>
      <c r="L2454" t="s">
        <v>182</v>
      </c>
      <c r="M2454" t="s">
        <v>9300</v>
      </c>
      <c r="N2454" t="str">
        <f t="shared" si="188"/>
        <v>Double RearVanda Boldtrak 25 with GlidesBetween Level and Normal 2073Boldtrak Premo 155mm Bracket</v>
      </c>
      <c r="O2454">
        <v>48</v>
      </c>
      <c r="P2454">
        <v>71</v>
      </c>
      <c r="Q2454" s="80">
        <v>0</v>
      </c>
      <c r="R2454" s="80">
        <f t="shared" si="187"/>
        <v>23</v>
      </c>
      <c r="AD2454"/>
    </row>
    <row r="2455" spans="10:30" ht="16.2" customHeight="1">
      <c r="J2455" s="80" t="s">
        <v>747</v>
      </c>
      <c r="K2455" s="80" t="s">
        <v>431</v>
      </c>
      <c r="L2455" t="s">
        <v>184</v>
      </c>
      <c r="M2455" t="s">
        <v>9300</v>
      </c>
      <c r="N2455" t="str">
        <f t="shared" si="188"/>
        <v>Double RearVanda Boldtrak 25 with GlidesDecorator 2071Boldtrak Premo 155mm Bracket</v>
      </c>
      <c r="O2455">
        <v>20</v>
      </c>
      <c r="P2455">
        <v>71</v>
      </c>
      <c r="Q2455" s="80">
        <v>0</v>
      </c>
      <c r="R2455" s="80">
        <f t="shared" si="187"/>
        <v>51</v>
      </c>
      <c r="AD2455"/>
    </row>
    <row r="2456" spans="10:30" ht="16.2" customHeight="1">
      <c r="J2456" s="80" t="s">
        <v>747</v>
      </c>
      <c r="K2456" s="80" t="s">
        <v>431</v>
      </c>
      <c r="L2456" t="s">
        <v>229</v>
      </c>
      <c r="M2456" t="s">
        <v>9300</v>
      </c>
      <c r="N2456" t="str">
        <f t="shared" si="188"/>
        <v>Double RearVanda Boldtrak 25 with GlidesGather Hook LevelBoldtrak Premo 155mm Bracket</v>
      </c>
      <c r="O2456">
        <v>20</v>
      </c>
      <c r="P2456">
        <v>71</v>
      </c>
      <c r="Q2456" s="80">
        <v>0</v>
      </c>
      <c r="R2456" s="80">
        <f t="shared" si="187"/>
        <v>51</v>
      </c>
      <c r="AD2456"/>
    </row>
    <row r="2457" spans="10:30" ht="16.2" customHeight="1">
      <c r="J2457" s="80" t="s">
        <v>747</v>
      </c>
      <c r="K2457" s="80" t="s">
        <v>431</v>
      </c>
      <c r="L2457" t="s">
        <v>228</v>
      </c>
      <c r="M2457" t="s">
        <v>9300</v>
      </c>
      <c r="N2457" t="str">
        <f t="shared" si="188"/>
        <v>Double RearVanda Boldtrak 25 with GlidesGather Hook NormalBoldtrak Premo 155mm Bracket</v>
      </c>
      <c r="O2457">
        <v>43</v>
      </c>
      <c r="P2457">
        <v>71</v>
      </c>
      <c r="Q2457" s="80">
        <v>0</v>
      </c>
      <c r="R2457" s="80">
        <f t="shared" si="187"/>
        <v>28</v>
      </c>
      <c r="AD2457"/>
    </row>
    <row r="2458" spans="10:30" ht="16.2" customHeight="1">
      <c r="J2458" s="80" t="s">
        <v>747</v>
      </c>
      <c r="K2458" s="80" t="s">
        <v>431</v>
      </c>
      <c r="L2458" t="s">
        <v>282</v>
      </c>
      <c r="M2458" t="s">
        <v>9300</v>
      </c>
      <c r="N2458" t="str">
        <f t="shared" si="188"/>
        <v>Double RearVanda Boldtrak 25 with GlidesLevel 2072Boldtrak Premo 155mm Bracket</v>
      </c>
      <c r="O2458">
        <v>38</v>
      </c>
      <c r="P2458">
        <v>71</v>
      </c>
      <c r="Q2458" s="80">
        <v>0</v>
      </c>
      <c r="R2458" s="80">
        <f t="shared" si="187"/>
        <v>33</v>
      </c>
      <c r="AD2458"/>
    </row>
    <row r="2459" spans="10:30" ht="16.2" customHeight="1">
      <c r="J2459" s="80" t="s">
        <v>747</v>
      </c>
      <c r="K2459" s="80" t="s">
        <v>431</v>
      </c>
      <c r="L2459" t="s">
        <v>170</v>
      </c>
      <c r="M2459" t="s">
        <v>9300</v>
      </c>
      <c r="N2459" t="str">
        <f t="shared" si="188"/>
        <v>Double RearVanda Boldtrak 25 with GlidesNormal 2074Boldtrak Premo 155mm Bracket</v>
      </c>
      <c r="O2459">
        <v>60</v>
      </c>
      <c r="P2459">
        <v>71</v>
      </c>
      <c r="Q2459" s="80">
        <v>0</v>
      </c>
      <c r="R2459" s="80">
        <f t="shared" si="187"/>
        <v>11</v>
      </c>
      <c r="AD2459"/>
    </row>
    <row r="2460" spans="10:30" ht="16.2" customHeight="1">
      <c r="J2460" s="80" t="s">
        <v>746</v>
      </c>
      <c r="K2460" s="80" t="s">
        <v>431</v>
      </c>
      <c r="L2460" t="s">
        <v>183</v>
      </c>
      <c r="M2460" t="s">
        <v>724</v>
      </c>
      <c r="N2460" t="str">
        <f t="shared" si="188"/>
        <v>Double FrontVanda Boldtrak 25 with GlidesBelow Normal 2075Boldtrak Premo Double Bracket Suit 16mm on Back</v>
      </c>
      <c r="O2460">
        <v>70</v>
      </c>
      <c r="P2460">
        <v>51</v>
      </c>
      <c r="Q2460" s="80">
        <v>0</v>
      </c>
      <c r="R2460" s="80">
        <f t="shared" si="187"/>
        <v>-19</v>
      </c>
      <c r="AD2460"/>
    </row>
    <row r="2461" spans="10:30" ht="16.2" customHeight="1">
      <c r="J2461" s="80" t="s">
        <v>725</v>
      </c>
      <c r="K2461" s="80" t="s">
        <v>431</v>
      </c>
      <c r="L2461" t="s">
        <v>183</v>
      </c>
      <c r="M2461" t="s">
        <v>724</v>
      </c>
      <c r="N2461" t="str">
        <f t="shared" si="188"/>
        <v>SingleVanda Boldtrak 25 with GlidesBelow Normal 2075Boldtrak Premo Double Bracket Suit 16mm on Back</v>
      </c>
      <c r="O2461">
        <v>70</v>
      </c>
      <c r="P2461">
        <v>51</v>
      </c>
      <c r="Q2461" s="80">
        <v>0</v>
      </c>
      <c r="R2461" s="80">
        <f t="shared" si="187"/>
        <v>-19</v>
      </c>
      <c r="AD2461"/>
    </row>
    <row r="2462" spans="10:30" ht="16.2" customHeight="1">
      <c r="J2462" s="80" t="s">
        <v>746</v>
      </c>
      <c r="K2462" s="80" t="s">
        <v>431</v>
      </c>
      <c r="L2462" t="s">
        <v>182</v>
      </c>
      <c r="M2462" t="s">
        <v>724</v>
      </c>
      <c r="N2462" t="str">
        <f t="shared" si="188"/>
        <v>Double FrontVanda Boldtrak 25 with GlidesBetween Level and Normal 2073Boldtrak Premo Double Bracket Suit 16mm on Back</v>
      </c>
      <c r="O2462">
        <v>48</v>
      </c>
      <c r="P2462">
        <v>51</v>
      </c>
      <c r="Q2462" s="80">
        <v>0</v>
      </c>
      <c r="R2462" s="80">
        <f t="shared" si="187"/>
        <v>3</v>
      </c>
      <c r="AD2462"/>
    </row>
    <row r="2463" spans="10:30" ht="16.2" customHeight="1">
      <c r="J2463" s="80" t="s">
        <v>725</v>
      </c>
      <c r="K2463" s="80" t="s">
        <v>431</v>
      </c>
      <c r="L2463" t="s">
        <v>182</v>
      </c>
      <c r="M2463" t="s">
        <v>724</v>
      </c>
      <c r="N2463" t="str">
        <f t="shared" si="188"/>
        <v>SingleVanda Boldtrak 25 with GlidesBetween Level and Normal 2073Boldtrak Premo Double Bracket Suit 16mm on Back</v>
      </c>
      <c r="O2463">
        <v>47</v>
      </c>
      <c r="P2463">
        <v>51</v>
      </c>
      <c r="Q2463" s="80">
        <v>0</v>
      </c>
      <c r="R2463" s="80">
        <f t="shared" si="189" ref="R2463:R2526">SUM(P2463)-O2463</f>
        <v>4</v>
      </c>
      <c r="AD2463"/>
    </row>
    <row r="2464" spans="10:30" ht="16.2" customHeight="1">
      <c r="J2464" s="80" t="s">
        <v>746</v>
      </c>
      <c r="K2464" s="80" t="s">
        <v>431</v>
      </c>
      <c r="L2464" t="s">
        <v>184</v>
      </c>
      <c r="M2464" t="s">
        <v>724</v>
      </c>
      <c r="N2464" t="str">
        <f t="shared" si="188"/>
        <v>Double FrontVanda Boldtrak 25 with GlidesDecorator 2071Boldtrak Premo Double Bracket Suit 16mm on Back</v>
      </c>
      <c r="O2464">
        <v>20</v>
      </c>
      <c r="P2464">
        <v>51</v>
      </c>
      <c r="Q2464" s="80">
        <v>0</v>
      </c>
      <c r="R2464" s="80">
        <f t="shared" si="189"/>
        <v>31</v>
      </c>
      <c r="AD2464"/>
    </row>
    <row r="2465" spans="10:30" ht="16.2" customHeight="1">
      <c r="J2465" s="80" t="s">
        <v>725</v>
      </c>
      <c r="K2465" s="80" t="s">
        <v>431</v>
      </c>
      <c r="L2465" t="s">
        <v>184</v>
      </c>
      <c r="M2465" t="s">
        <v>724</v>
      </c>
      <c r="N2465" t="str">
        <f t="shared" si="188"/>
        <v>SingleVanda Boldtrak 25 with GlidesDecorator 2071Boldtrak Premo Double Bracket Suit 16mm on Back</v>
      </c>
      <c r="O2465">
        <v>20</v>
      </c>
      <c r="P2465">
        <v>51</v>
      </c>
      <c r="Q2465" s="80">
        <v>0</v>
      </c>
      <c r="R2465" s="80">
        <f t="shared" si="189"/>
        <v>31</v>
      </c>
      <c r="AD2465"/>
    </row>
    <row r="2466" spans="10:30" ht="16.2" customHeight="1">
      <c r="J2466" s="80" t="s">
        <v>746</v>
      </c>
      <c r="K2466" s="80" t="s">
        <v>431</v>
      </c>
      <c r="L2466" t="s">
        <v>6468</v>
      </c>
      <c r="M2466" t="s">
        <v>724</v>
      </c>
      <c r="N2466" t="str">
        <f t="shared" si="188"/>
        <v>Double FrontVanda Boldtrak 25 with GlidesGather Hook Bottom PocketBoldtrak Premo Double Bracket Suit 16mm on Back</v>
      </c>
      <c r="O2466">
        <v>60</v>
      </c>
      <c r="P2466">
        <v>51</v>
      </c>
      <c r="Q2466" s="80">
        <v>0</v>
      </c>
      <c r="R2466" s="80">
        <f t="shared" si="189"/>
        <v>-9</v>
      </c>
      <c r="AD2466"/>
    </row>
    <row r="2467" spans="10:30" ht="16.2" customHeight="1">
      <c r="J2467" s="80" t="s">
        <v>725</v>
      </c>
      <c r="K2467" s="80" t="s">
        <v>431</v>
      </c>
      <c r="L2467" t="s">
        <v>6468</v>
      </c>
      <c r="M2467" t="s">
        <v>724</v>
      </c>
      <c r="N2467" t="str">
        <f t="shared" si="188"/>
        <v>SingleVanda Boldtrak 25 with GlidesGather Hook Bottom PocketBoldtrak Premo Double Bracket Suit 16mm on Back</v>
      </c>
      <c r="O2467">
        <v>60</v>
      </c>
      <c r="P2467">
        <v>51</v>
      </c>
      <c r="Q2467" s="80">
        <v>0</v>
      </c>
      <c r="R2467" s="80">
        <f t="shared" si="189"/>
        <v>-9</v>
      </c>
      <c r="AD2467"/>
    </row>
    <row r="2468" spans="10:30" ht="16.2" customHeight="1">
      <c r="J2468" s="80" t="s">
        <v>746</v>
      </c>
      <c r="K2468" s="80" t="s">
        <v>431</v>
      </c>
      <c r="L2468" t="s">
        <v>229</v>
      </c>
      <c r="M2468" t="s">
        <v>724</v>
      </c>
      <c r="N2468" t="str">
        <f t="shared" si="188"/>
        <v>Double FrontVanda Boldtrak 25 with GlidesGather Hook LevelBoldtrak Premo Double Bracket Suit 16mm on Back</v>
      </c>
      <c r="O2468">
        <v>20</v>
      </c>
      <c r="P2468">
        <v>51</v>
      </c>
      <c r="Q2468" s="80">
        <v>0</v>
      </c>
      <c r="R2468" s="80">
        <f t="shared" si="189"/>
        <v>31</v>
      </c>
      <c r="AD2468"/>
    </row>
    <row r="2469" spans="10:30" ht="16.2" customHeight="1">
      <c r="J2469" s="80" t="s">
        <v>725</v>
      </c>
      <c r="K2469" s="80" t="s">
        <v>431</v>
      </c>
      <c r="L2469" t="s">
        <v>229</v>
      </c>
      <c r="M2469" t="s">
        <v>724</v>
      </c>
      <c r="N2469" t="str">
        <f t="shared" si="188"/>
        <v>SingleVanda Boldtrak 25 with GlidesGather Hook LevelBoldtrak Premo Double Bracket Suit 16mm on Back</v>
      </c>
      <c r="O2469">
        <v>20</v>
      </c>
      <c r="P2469">
        <v>51</v>
      </c>
      <c r="Q2469" s="80">
        <v>0</v>
      </c>
      <c r="R2469" s="80">
        <f t="shared" si="189"/>
        <v>31</v>
      </c>
      <c r="AD2469"/>
    </row>
    <row r="2470" spans="10:30" ht="16.2" customHeight="1">
      <c r="J2470" s="80" t="s">
        <v>746</v>
      </c>
      <c r="K2470" s="80" t="s">
        <v>431</v>
      </c>
      <c r="L2470" t="s">
        <v>228</v>
      </c>
      <c r="M2470" t="s">
        <v>724</v>
      </c>
      <c r="N2470" t="str">
        <f t="shared" si="188"/>
        <v>Double FrontVanda Boldtrak 25 with GlidesGather Hook NormalBoldtrak Premo Double Bracket Suit 16mm on Back</v>
      </c>
      <c r="O2470">
        <v>43</v>
      </c>
      <c r="P2470">
        <v>51</v>
      </c>
      <c r="Q2470" s="80">
        <v>0</v>
      </c>
      <c r="R2470" s="80">
        <f t="shared" si="189"/>
        <v>8</v>
      </c>
      <c r="AD2470"/>
    </row>
    <row r="2471" spans="10:30" ht="16.2" customHeight="1">
      <c r="J2471" s="80" t="s">
        <v>725</v>
      </c>
      <c r="K2471" s="80" t="s">
        <v>431</v>
      </c>
      <c r="L2471" t="s">
        <v>228</v>
      </c>
      <c r="M2471" t="s">
        <v>724</v>
      </c>
      <c r="N2471" t="str">
        <f t="shared" si="188"/>
        <v>SingleVanda Boldtrak 25 with GlidesGather Hook NormalBoldtrak Premo Double Bracket Suit 16mm on Back</v>
      </c>
      <c r="O2471">
        <v>43</v>
      </c>
      <c r="P2471">
        <v>51</v>
      </c>
      <c r="Q2471" s="80">
        <v>0</v>
      </c>
      <c r="R2471" s="80">
        <f t="shared" si="189"/>
        <v>8</v>
      </c>
      <c r="AD2471"/>
    </row>
    <row r="2472" spans="10:30" ht="16.2" customHeight="1">
      <c r="J2472" s="80" t="s">
        <v>746</v>
      </c>
      <c r="K2472" s="80" t="s">
        <v>431</v>
      </c>
      <c r="L2472" t="s">
        <v>282</v>
      </c>
      <c r="M2472" t="s">
        <v>724</v>
      </c>
      <c r="N2472" t="str">
        <f t="shared" si="188"/>
        <v>Double FrontVanda Boldtrak 25 with GlidesLevel 2072Boldtrak Premo Double Bracket Suit 16mm on Back</v>
      </c>
      <c r="O2472">
        <v>38</v>
      </c>
      <c r="P2472">
        <v>51</v>
      </c>
      <c r="Q2472" s="80">
        <v>0</v>
      </c>
      <c r="R2472" s="80">
        <f t="shared" si="189"/>
        <v>13</v>
      </c>
      <c r="AD2472"/>
    </row>
    <row r="2473" spans="10:30" ht="16.2" customHeight="1">
      <c r="J2473" s="80" t="s">
        <v>725</v>
      </c>
      <c r="K2473" s="80" t="s">
        <v>431</v>
      </c>
      <c r="L2473" t="s">
        <v>282</v>
      </c>
      <c r="M2473" t="s">
        <v>724</v>
      </c>
      <c r="N2473" t="str">
        <f t="shared" si="188"/>
        <v>SingleVanda Boldtrak 25 with GlidesLevel 2072Boldtrak Premo Double Bracket Suit 16mm on Back</v>
      </c>
      <c r="O2473">
        <v>35</v>
      </c>
      <c r="P2473">
        <v>51</v>
      </c>
      <c r="Q2473" s="80">
        <v>0</v>
      </c>
      <c r="R2473" s="80">
        <f t="shared" si="189"/>
        <v>16</v>
      </c>
      <c r="AD2473"/>
    </row>
    <row r="2474" spans="10:30" ht="16.2" customHeight="1">
      <c r="J2474" s="80" t="s">
        <v>746</v>
      </c>
      <c r="K2474" s="80" t="s">
        <v>431</v>
      </c>
      <c r="L2474" t="s">
        <v>170</v>
      </c>
      <c r="M2474" t="s">
        <v>724</v>
      </c>
      <c r="N2474" t="str">
        <f t="shared" si="188"/>
        <v>Double FrontVanda Boldtrak 25 with GlidesNormal 2074Boldtrak Premo Double Bracket Suit 16mm on Back</v>
      </c>
      <c r="O2474">
        <v>60</v>
      </c>
      <c r="P2474">
        <v>51</v>
      </c>
      <c r="Q2474" s="80">
        <v>0</v>
      </c>
      <c r="R2474" s="80">
        <f t="shared" si="189"/>
        <v>-9</v>
      </c>
      <c r="AD2474"/>
    </row>
    <row r="2475" spans="10:30" ht="16.2" customHeight="1">
      <c r="J2475" s="80" t="s">
        <v>725</v>
      </c>
      <c r="K2475" s="80" t="s">
        <v>431</v>
      </c>
      <c r="L2475" t="s">
        <v>170</v>
      </c>
      <c r="M2475" t="s">
        <v>724</v>
      </c>
      <c r="N2475" t="str">
        <f t="shared" si="188"/>
        <v>SingleVanda Boldtrak 25 with GlidesNormal 2074Boldtrak Premo Double Bracket Suit 16mm on Back</v>
      </c>
      <c r="O2475">
        <v>60</v>
      </c>
      <c r="P2475">
        <v>51</v>
      </c>
      <c r="Q2475" s="80">
        <v>0</v>
      </c>
      <c r="R2475" s="80">
        <f t="shared" si="189"/>
        <v>-9</v>
      </c>
      <c r="AD2475"/>
    </row>
    <row r="2476" spans="10:30" ht="16.2" customHeight="1">
      <c r="J2476" s="80" t="s">
        <v>746</v>
      </c>
      <c r="K2476" s="80" t="s">
        <v>431</v>
      </c>
      <c r="L2476" t="s">
        <v>183</v>
      </c>
      <c r="M2476" s="66" t="s">
        <v>4654</v>
      </c>
      <c r="N2476" t="str">
        <f t="shared" si="188"/>
        <v>Double FrontVanda Boldtrak 25 with GlidesBelow Normal 2075Boldtrak Premo Double Bracket Suit 25mm on Back</v>
      </c>
      <c r="O2476">
        <v>70</v>
      </c>
      <c r="P2476">
        <v>51</v>
      </c>
      <c r="Q2476" s="80">
        <v>0</v>
      </c>
      <c r="R2476" s="80">
        <f t="shared" si="189"/>
        <v>-19</v>
      </c>
      <c r="AD2476"/>
    </row>
    <row r="2477" spans="10:30" ht="16.2" customHeight="1">
      <c r="J2477" s="80" t="s">
        <v>747</v>
      </c>
      <c r="K2477" s="80" t="s">
        <v>431</v>
      </c>
      <c r="L2477" t="s">
        <v>183</v>
      </c>
      <c r="M2477" t="s">
        <v>4654</v>
      </c>
      <c r="N2477" t="str">
        <f t="shared" si="188"/>
        <v>Double RearVanda Boldtrak 25 with GlidesBelow Normal 2075Boldtrak Premo Double Bracket Suit 25mm on Back</v>
      </c>
      <c r="O2477">
        <v>70</v>
      </c>
      <c r="P2477">
        <v>71</v>
      </c>
      <c r="Q2477" s="80">
        <v>0</v>
      </c>
      <c r="R2477" s="80">
        <f t="shared" si="189"/>
        <v>1</v>
      </c>
      <c r="AD2477"/>
    </row>
    <row r="2478" spans="10:30" ht="16.2" customHeight="1">
      <c r="J2478" s="80" t="s">
        <v>746</v>
      </c>
      <c r="K2478" s="80" t="s">
        <v>431</v>
      </c>
      <c r="L2478" t="s">
        <v>182</v>
      </c>
      <c r="M2478" s="66" t="s">
        <v>4654</v>
      </c>
      <c r="N2478" t="str">
        <f t="shared" si="188"/>
        <v>Double FrontVanda Boldtrak 25 with GlidesBetween Level and Normal 2073Boldtrak Premo Double Bracket Suit 25mm on Back</v>
      </c>
      <c r="O2478">
        <v>48</v>
      </c>
      <c r="P2478">
        <v>51</v>
      </c>
      <c r="Q2478" s="80">
        <v>0</v>
      </c>
      <c r="R2478" s="80">
        <f t="shared" si="189"/>
        <v>3</v>
      </c>
      <c r="AD2478"/>
    </row>
    <row r="2479" spans="10:30" ht="16.2" customHeight="1">
      <c r="J2479" s="80" t="s">
        <v>747</v>
      </c>
      <c r="K2479" s="80" t="s">
        <v>431</v>
      </c>
      <c r="L2479" t="s">
        <v>182</v>
      </c>
      <c r="M2479" t="s">
        <v>4654</v>
      </c>
      <c r="N2479" t="str">
        <f t="shared" si="188"/>
        <v>Double RearVanda Boldtrak 25 with GlidesBetween Level and Normal 2073Boldtrak Premo Double Bracket Suit 25mm on Back</v>
      </c>
      <c r="O2479">
        <v>48</v>
      </c>
      <c r="P2479">
        <v>71</v>
      </c>
      <c r="Q2479" s="80">
        <v>0</v>
      </c>
      <c r="R2479" s="80">
        <f t="shared" si="189"/>
        <v>23</v>
      </c>
      <c r="AD2479"/>
    </row>
    <row r="2480" spans="10:30" ht="16.2" customHeight="1">
      <c r="J2480" s="80" t="s">
        <v>746</v>
      </c>
      <c r="K2480" s="80" t="s">
        <v>431</v>
      </c>
      <c r="L2480" t="s">
        <v>184</v>
      </c>
      <c r="M2480" s="66" t="s">
        <v>4654</v>
      </c>
      <c r="N2480" t="str">
        <f t="shared" si="188"/>
        <v>Double FrontVanda Boldtrak 25 with GlidesDecorator 2071Boldtrak Premo Double Bracket Suit 25mm on Back</v>
      </c>
      <c r="O2480">
        <v>20</v>
      </c>
      <c r="P2480">
        <v>51</v>
      </c>
      <c r="Q2480" s="80">
        <v>0</v>
      </c>
      <c r="R2480" s="80">
        <f t="shared" si="189"/>
        <v>31</v>
      </c>
      <c r="AD2480"/>
    </row>
    <row r="2481" spans="10:30" ht="16.2" customHeight="1">
      <c r="J2481" s="80" t="s">
        <v>747</v>
      </c>
      <c r="K2481" s="80" t="s">
        <v>431</v>
      </c>
      <c r="L2481" t="s">
        <v>184</v>
      </c>
      <c r="M2481" t="s">
        <v>4654</v>
      </c>
      <c r="N2481" t="str">
        <f t="shared" si="188"/>
        <v>Double RearVanda Boldtrak 25 with GlidesDecorator 2071Boldtrak Premo Double Bracket Suit 25mm on Back</v>
      </c>
      <c r="O2481">
        <v>20</v>
      </c>
      <c r="P2481">
        <v>71</v>
      </c>
      <c r="Q2481" s="80">
        <v>0</v>
      </c>
      <c r="R2481" s="80">
        <f t="shared" si="189"/>
        <v>51</v>
      </c>
      <c r="AD2481"/>
    </row>
    <row r="2482" spans="10:30" ht="16.2" customHeight="1">
      <c r="J2482" s="80" t="s">
        <v>746</v>
      </c>
      <c r="K2482" s="80" t="s">
        <v>431</v>
      </c>
      <c r="L2482" t="s">
        <v>6468</v>
      </c>
      <c r="M2482" s="66" t="s">
        <v>4654</v>
      </c>
      <c r="N2482" t="str">
        <f t="shared" si="188"/>
        <v>Double FrontVanda Boldtrak 25 with GlidesGather Hook Bottom PocketBoldtrak Premo Double Bracket Suit 25mm on Back</v>
      </c>
      <c r="O2482">
        <v>60</v>
      </c>
      <c r="P2482">
        <v>51</v>
      </c>
      <c r="Q2482" s="80">
        <v>0</v>
      </c>
      <c r="R2482" s="80">
        <f t="shared" si="189"/>
        <v>-9</v>
      </c>
      <c r="AD2482"/>
    </row>
    <row r="2483" spans="10:30" ht="16.2" customHeight="1">
      <c r="J2483" s="80" t="s">
        <v>746</v>
      </c>
      <c r="K2483" s="80" t="s">
        <v>431</v>
      </c>
      <c r="L2483" t="s">
        <v>229</v>
      </c>
      <c r="M2483" s="66" t="s">
        <v>4654</v>
      </c>
      <c r="N2483" t="str">
        <f t="shared" si="188"/>
        <v>Double FrontVanda Boldtrak 25 with GlidesGather Hook LevelBoldtrak Premo Double Bracket Suit 25mm on Back</v>
      </c>
      <c r="O2483">
        <v>20</v>
      </c>
      <c r="P2483">
        <v>51</v>
      </c>
      <c r="Q2483" s="80">
        <v>0</v>
      </c>
      <c r="R2483" s="80">
        <f t="shared" si="189"/>
        <v>31</v>
      </c>
      <c r="AD2483"/>
    </row>
    <row r="2484" spans="10:30" ht="16.2" customHeight="1">
      <c r="J2484" s="80" t="s">
        <v>747</v>
      </c>
      <c r="K2484" s="80" t="s">
        <v>431</v>
      </c>
      <c r="L2484" t="s">
        <v>229</v>
      </c>
      <c r="M2484" t="s">
        <v>4654</v>
      </c>
      <c r="N2484" t="str">
        <f t="shared" si="188"/>
        <v>Double RearVanda Boldtrak 25 with GlidesGather Hook LevelBoldtrak Premo Double Bracket Suit 25mm on Back</v>
      </c>
      <c r="O2484">
        <v>20</v>
      </c>
      <c r="P2484">
        <v>71</v>
      </c>
      <c r="Q2484" s="80">
        <v>0</v>
      </c>
      <c r="R2484" s="80">
        <f t="shared" si="189"/>
        <v>51</v>
      </c>
      <c r="AD2484"/>
    </row>
    <row r="2485" spans="10:30" ht="16.2" customHeight="1">
      <c r="J2485" s="80" t="s">
        <v>746</v>
      </c>
      <c r="K2485" s="80" t="s">
        <v>431</v>
      </c>
      <c r="L2485" t="s">
        <v>228</v>
      </c>
      <c r="M2485" s="66" t="s">
        <v>4654</v>
      </c>
      <c r="N2485" t="str">
        <f t="shared" si="188"/>
        <v>Double FrontVanda Boldtrak 25 with GlidesGather Hook NormalBoldtrak Premo Double Bracket Suit 25mm on Back</v>
      </c>
      <c r="O2485">
        <v>43</v>
      </c>
      <c r="P2485">
        <v>51</v>
      </c>
      <c r="Q2485" s="80">
        <v>0</v>
      </c>
      <c r="R2485" s="80">
        <f t="shared" si="189"/>
        <v>8</v>
      </c>
      <c r="AD2485"/>
    </row>
    <row r="2486" spans="10:30" ht="16.2" customHeight="1">
      <c r="J2486" s="80" t="s">
        <v>747</v>
      </c>
      <c r="K2486" s="80" t="s">
        <v>431</v>
      </c>
      <c r="L2486" t="s">
        <v>228</v>
      </c>
      <c r="M2486" t="s">
        <v>4654</v>
      </c>
      <c r="N2486" t="str">
        <f t="shared" si="188"/>
        <v>Double RearVanda Boldtrak 25 with GlidesGather Hook NormalBoldtrak Premo Double Bracket Suit 25mm on Back</v>
      </c>
      <c r="O2486">
        <v>43</v>
      </c>
      <c r="P2486">
        <v>71</v>
      </c>
      <c r="Q2486" s="80">
        <v>0</v>
      </c>
      <c r="R2486" s="80">
        <f t="shared" si="189"/>
        <v>28</v>
      </c>
      <c r="AD2486"/>
    </row>
    <row r="2487" spans="10:30" ht="16.2" customHeight="1">
      <c r="J2487" s="80" t="s">
        <v>746</v>
      </c>
      <c r="K2487" s="80" t="s">
        <v>431</v>
      </c>
      <c r="L2487" t="s">
        <v>282</v>
      </c>
      <c r="M2487" s="66" t="s">
        <v>4654</v>
      </c>
      <c r="N2487" t="str">
        <f t="shared" si="188"/>
        <v>Double FrontVanda Boldtrak 25 with GlidesLevel 2072Boldtrak Premo Double Bracket Suit 25mm on Back</v>
      </c>
      <c r="O2487">
        <v>38</v>
      </c>
      <c r="P2487">
        <v>51</v>
      </c>
      <c r="Q2487" s="80">
        <v>0</v>
      </c>
      <c r="R2487" s="80">
        <f t="shared" si="189"/>
        <v>13</v>
      </c>
      <c r="AD2487"/>
    </row>
    <row r="2488" spans="10:30" ht="16.2" customHeight="1">
      <c r="J2488" s="80" t="s">
        <v>746</v>
      </c>
      <c r="K2488" s="80" t="s">
        <v>431</v>
      </c>
      <c r="L2488" t="s">
        <v>282</v>
      </c>
      <c r="M2488" s="66" t="s">
        <v>4654</v>
      </c>
      <c r="N2488" t="str">
        <f t="shared" si="188"/>
        <v>Double FrontVanda Boldtrak 25 with GlidesLevel 2072Boldtrak Premo Double Bracket Suit 25mm on Back</v>
      </c>
      <c r="O2488">
        <v>38</v>
      </c>
      <c r="P2488">
        <v>51</v>
      </c>
      <c r="Q2488" s="80">
        <v>0</v>
      </c>
      <c r="R2488" s="80">
        <f t="shared" si="189"/>
        <v>13</v>
      </c>
      <c r="AD2488"/>
    </row>
    <row r="2489" spans="10:30" ht="16.2" customHeight="1">
      <c r="J2489" s="80" t="s">
        <v>747</v>
      </c>
      <c r="K2489" s="80" t="s">
        <v>431</v>
      </c>
      <c r="L2489" t="s">
        <v>282</v>
      </c>
      <c r="M2489" t="s">
        <v>4654</v>
      </c>
      <c r="N2489" t="str">
        <f t="shared" si="188"/>
        <v>Double RearVanda Boldtrak 25 with GlidesLevel 2072Boldtrak Premo Double Bracket Suit 25mm on Back</v>
      </c>
      <c r="O2489">
        <v>38</v>
      </c>
      <c r="P2489">
        <v>71</v>
      </c>
      <c r="Q2489" s="80">
        <v>0</v>
      </c>
      <c r="R2489" s="80">
        <f t="shared" si="189"/>
        <v>33</v>
      </c>
      <c r="AD2489"/>
    </row>
    <row r="2490" spans="10:30" ht="16.2" customHeight="1">
      <c r="J2490" s="80" t="s">
        <v>746</v>
      </c>
      <c r="K2490" s="80" t="s">
        <v>431</v>
      </c>
      <c r="L2490" t="s">
        <v>170</v>
      </c>
      <c r="M2490" s="66" t="s">
        <v>4654</v>
      </c>
      <c r="N2490" t="str">
        <f t="shared" si="188"/>
        <v>Double FrontVanda Boldtrak 25 with GlidesNormal 2074Boldtrak Premo Double Bracket Suit 25mm on Back</v>
      </c>
      <c r="O2490">
        <v>60</v>
      </c>
      <c r="P2490">
        <v>51</v>
      </c>
      <c r="Q2490" s="80">
        <v>0</v>
      </c>
      <c r="R2490" s="80">
        <f t="shared" si="189"/>
        <v>-9</v>
      </c>
      <c r="AD2490"/>
    </row>
    <row r="2491" spans="10:30" ht="16.2" customHeight="1">
      <c r="J2491" s="80" t="s">
        <v>746</v>
      </c>
      <c r="K2491" s="80" t="s">
        <v>431</v>
      </c>
      <c r="L2491" t="s">
        <v>170</v>
      </c>
      <c r="M2491" s="66" t="s">
        <v>4654</v>
      </c>
      <c r="N2491" t="str">
        <f t="shared" si="188"/>
        <v>Double FrontVanda Boldtrak 25 with GlidesNormal 2074Boldtrak Premo Double Bracket Suit 25mm on Back</v>
      </c>
      <c r="O2491">
        <v>60</v>
      </c>
      <c r="P2491">
        <v>58</v>
      </c>
      <c r="Q2491" s="80">
        <v>0</v>
      </c>
      <c r="R2491" s="80">
        <f t="shared" si="189"/>
        <v>-2</v>
      </c>
      <c r="AD2491"/>
    </row>
    <row r="2492" spans="10:30" ht="16.2" customHeight="1">
      <c r="J2492" s="80" t="s">
        <v>747</v>
      </c>
      <c r="K2492" s="80" t="s">
        <v>431</v>
      </c>
      <c r="L2492" t="s">
        <v>170</v>
      </c>
      <c r="M2492" t="s">
        <v>4654</v>
      </c>
      <c r="N2492" t="str">
        <f t="shared" si="188"/>
        <v>Double RearVanda Boldtrak 25 with GlidesNormal 2074Boldtrak Premo Double Bracket Suit 25mm on Back</v>
      </c>
      <c r="O2492">
        <v>60</v>
      </c>
      <c r="P2492">
        <v>71</v>
      </c>
      <c r="Q2492" s="80">
        <v>0</v>
      </c>
      <c r="R2492" s="80">
        <f t="shared" si="189"/>
        <v>11</v>
      </c>
      <c r="AD2492"/>
    </row>
    <row r="2493" spans="10:30" ht="16.2" customHeight="1">
      <c r="J2493" s="80" t="s">
        <v>725</v>
      </c>
      <c r="K2493" s="80" t="s">
        <v>431</v>
      </c>
      <c r="L2493" t="s">
        <v>183</v>
      </c>
      <c r="M2493" t="s">
        <v>423</v>
      </c>
      <c r="N2493" t="str">
        <f t="shared" si="188"/>
        <v>SingleVanda Boldtrak 25 with GlidesBelow Normal 2075Boldtrak Standard 60mm Bracket</v>
      </c>
      <c r="O2493">
        <v>70</v>
      </c>
      <c r="P2493">
        <v>51</v>
      </c>
      <c r="Q2493" s="80">
        <v>0</v>
      </c>
      <c r="R2493" s="80">
        <f t="shared" si="189"/>
        <v>-19</v>
      </c>
      <c r="AD2493"/>
    </row>
    <row r="2494" spans="10:30" ht="16.2" customHeight="1">
      <c r="J2494" s="80" t="s">
        <v>725</v>
      </c>
      <c r="K2494" s="80" t="s">
        <v>431</v>
      </c>
      <c r="L2494" t="s">
        <v>182</v>
      </c>
      <c r="M2494" t="s">
        <v>423</v>
      </c>
      <c r="N2494" t="str">
        <f t="shared" si="188"/>
        <v>SingleVanda Boldtrak 25 with GlidesBetween Level and Normal 2073Boldtrak Standard 60mm Bracket</v>
      </c>
      <c r="O2494">
        <v>47</v>
      </c>
      <c r="P2494">
        <v>51</v>
      </c>
      <c r="Q2494" s="80">
        <v>0</v>
      </c>
      <c r="R2494" s="80">
        <f t="shared" si="189"/>
        <v>4</v>
      </c>
      <c r="AD2494"/>
    </row>
    <row r="2495" spans="10:30" ht="16.2" customHeight="1">
      <c r="J2495" s="80" t="s">
        <v>725</v>
      </c>
      <c r="K2495" s="80" t="s">
        <v>431</v>
      </c>
      <c r="L2495" t="s">
        <v>184</v>
      </c>
      <c r="M2495" t="s">
        <v>423</v>
      </c>
      <c r="N2495" t="str">
        <f t="shared" si="188"/>
        <v>SingleVanda Boldtrak 25 with GlidesDecorator 2071Boldtrak Standard 60mm Bracket</v>
      </c>
      <c r="O2495">
        <v>20</v>
      </c>
      <c r="P2495">
        <v>51</v>
      </c>
      <c r="Q2495" s="80">
        <v>0</v>
      </c>
      <c r="R2495" s="80">
        <f t="shared" si="189"/>
        <v>31</v>
      </c>
      <c r="AD2495"/>
    </row>
    <row r="2496" spans="10:30" ht="16.2" customHeight="1">
      <c r="J2496" s="80" t="s">
        <v>725</v>
      </c>
      <c r="K2496" s="80" t="s">
        <v>431</v>
      </c>
      <c r="L2496" t="s">
        <v>6468</v>
      </c>
      <c r="M2496" t="s">
        <v>423</v>
      </c>
      <c r="N2496" t="str">
        <f t="shared" si="188"/>
        <v>SingleVanda Boldtrak 25 with GlidesGather Hook Bottom PocketBoldtrak Standard 60mm Bracket</v>
      </c>
      <c r="O2496">
        <v>60</v>
      </c>
      <c r="P2496">
        <v>51</v>
      </c>
      <c r="Q2496" s="80">
        <v>0</v>
      </c>
      <c r="R2496" s="80">
        <f t="shared" si="189"/>
        <v>-9</v>
      </c>
      <c r="AD2496"/>
    </row>
    <row r="2497" spans="10:30" ht="16.2" customHeight="1">
      <c r="J2497" s="80" t="s">
        <v>725</v>
      </c>
      <c r="K2497" s="80" t="s">
        <v>431</v>
      </c>
      <c r="L2497" t="s">
        <v>229</v>
      </c>
      <c r="M2497" t="s">
        <v>423</v>
      </c>
      <c r="N2497" t="str">
        <f t="shared" si="188"/>
        <v>SingleVanda Boldtrak 25 with GlidesGather Hook LevelBoldtrak Standard 60mm Bracket</v>
      </c>
      <c r="O2497">
        <v>20</v>
      </c>
      <c r="P2497">
        <v>51</v>
      </c>
      <c r="Q2497" s="80">
        <v>0</v>
      </c>
      <c r="R2497" s="80">
        <f t="shared" si="189"/>
        <v>31</v>
      </c>
      <c r="AD2497"/>
    </row>
    <row r="2498" spans="10:30" ht="16.2" customHeight="1">
      <c r="J2498" s="80" t="s">
        <v>725</v>
      </c>
      <c r="K2498" s="80" t="s">
        <v>431</v>
      </c>
      <c r="L2498" t="s">
        <v>228</v>
      </c>
      <c r="M2498" t="s">
        <v>423</v>
      </c>
      <c r="N2498" t="str">
        <f t="shared" si="190" ref="N2498:N2561">(CONCATENATE(J2498,K2498,L2498,M2498))</f>
        <v>SingleVanda Boldtrak 25 with GlidesGather Hook NormalBoldtrak Standard 60mm Bracket</v>
      </c>
      <c r="O2498">
        <v>43</v>
      </c>
      <c r="P2498">
        <v>51</v>
      </c>
      <c r="Q2498" s="80">
        <v>0</v>
      </c>
      <c r="R2498" s="80">
        <f t="shared" si="189"/>
        <v>8</v>
      </c>
      <c r="AD2498"/>
    </row>
    <row r="2499" spans="10:30" ht="16.2" customHeight="1">
      <c r="J2499" s="80" t="s">
        <v>725</v>
      </c>
      <c r="K2499" s="80" t="s">
        <v>431</v>
      </c>
      <c r="L2499" t="s">
        <v>282</v>
      </c>
      <c r="M2499" t="s">
        <v>423</v>
      </c>
      <c r="N2499" t="str">
        <f t="shared" si="190"/>
        <v>SingleVanda Boldtrak 25 with GlidesLevel 2072Boldtrak Standard 60mm Bracket</v>
      </c>
      <c r="O2499">
        <v>35</v>
      </c>
      <c r="P2499">
        <v>51</v>
      </c>
      <c r="Q2499" s="80">
        <v>0</v>
      </c>
      <c r="R2499" s="80">
        <f t="shared" si="189"/>
        <v>16</v>
      </c>
      <c r="AD2499"/>
    </row>
    <row r="2500" spans="10:30" ht="16.2" customHeight="1">
      <c r="J2500" s="80" t="s">
        <v>725</v>
      </c>
      <c r="K2500" s="80" t="s">
        <v>431</v>
      </c>
      <c r="L2500" t="s">
        <v>170</v>
      </c>
      <c r="M2500" t="s">
        <v>423</v>
      </c>
      <c r="N2500" t="str">
        <f t="shared" si="190"/>
        <v>SingleVanda Boldtrak 25 with GlidesNormal 2074Boldtrak Standard 60mm Bracket</v>
      </c>
      <c r="O2500">
        <v>60</v>
      </c>
      <c r="P2500">
        <v>51</v>
      </c>
      <c r="Q2500" s="80">
        <v>0</v>
      </c>
      <c r="R2500" s="80">
        <f t="shared" si="189"/>
        <v>-9</v>
      </c>
      <c r="AD2500"/>
    </row>
    <row r="2501" spans="10:30" ht="16.2" customHeight="1">
      <c r="J2501" s="80" t="s">
        <v>746</v>
      </c>
      <c r="K2501" s="80" t="s">
        <v>431</v>
      </c>
      <c r="L2501" t="s">
        <v>183</v>
      </c>
      <c r="M2501" s="66" t="s">
        <v>9302</v>
      </c>
      <c r="N2501" t="str">
        <f t="shared" si="190"/>
        <v>Double FrontVanda Boldtrak 25 with GlidesBelow Normal 2075Boldtrak Standard Double Bracket Suit 25mm on Back</v>
      </c>
      <c r="O2501">
        <v>70</v>
      </c>
      <c r="P2501">
        <v>51</v>
      </c>
      <c r="Q2501" s="80">
        <v>0</v>
      </c>
      <c r="R2501" s="80">
        <f t="shared" si="189"/>
        <v>-19</v>
      </c>
      <c r="AD2501"/>
    </row>
    <row r="2502" spans="10:30" ht="16.2" customHeight="1">
      <c r="J2502" s="80" t="s">
        <v>747</v>
      </c>
      <c r="K2502" s="80" t="s">
        <v>431</v>
      </c>
      <c r="L2502" t="s">
        <v>183</v>
      </c>
      <c r="M2502" s="66" t="s">
        <v>9302</v>
      </c>
      <c r="N2502" t="str">
        <f t="shared" si="190"/>
        <v>Double RearVanda Boldtrak 25 with GlidesBelow Normal 2075Boldtrak Standard Double Bracket Suit 25mm on Back</v>
      </c>
      <c r="O2502">
        <v>70</v>
      </c>
      <c r="P2502">
        <v>71</v>
      </c>
      <c r="Q2502" s="80">
        <v>0</v>
      </c>
      <c r="R2502" s="80">
        <f t="shared" si="189"/>
        <v>1</v>
      </c>
      <c r="AD2502"/>
    </row>
    <row r="2503" spans="10:30" ht="16.2" customHeight="1">
      <c r="J2503" s="80" t="s">
        <v>746</v>
      </c>
      <c r="K2503" s="80" t="s">
        <v>431</v>
      </c>
      <c r="L2503" t="s">
        <v>182</v>
      </c>
      <c r="M2503" s="66" t="s">
        <v>9302</v>
      </c>
      <c r="N2503" t="str">
        <f t="shared" si="190"/>
        <v>Double FrontVanda Boldtrak 25 with GlidesBetween Level and Normal 2073Boldtrak Standard Double Bracket Suit 25mm on Back</v>
      </c>
      <c r="O2503">
        <v>48</v>
      </c>
      <c r="P2503">
        <v>51</v>
      </c>
      <c r="Q2503" s="80">
        <v>0</v>
      </c>
      <c r="R2503" s="80">
        <f t="shared" si="189"/>
        <v>3</v>
      </c>
      <c r="AD2503"/>
    </row>
    <row r="2504" spans="10:30" ht="16.2" customHeight="1">
      <c r="J2504" s="80" t="s">
        <v>747</v>
      </c>
      <c r="K2504" s="80" t="s">
        <v>431</v>
      </c>
      <c r="L2504" t="s">
        <v>182</v>
      </c>
      <c r="M2504" s="66" t="s">
        <v>9302</v>
      </c>
      <c r="N2504" t="str">
        <f t="shared" si="190"/>
        <v>Double RearVanda Boldtrak 25 with GlidesBetween Level and Normal 2073Boldtrak Standard Double Bracket Suit 25mm on Back</v>
      </c>
      <c r="O2504">
        <v>48</v>
      </c>
      <c r="P2504">
        <v>71</v>
      </c>
      <c r="Q2504" s="80">
        <v>0</v>
      </c>
      <c r="R2504" s="80">
        <f t="shared" si="189"/>
        <v>23</v>
      </c>
      <c r="AD2504"/>
    </row>
    <row r="2505" spans="10:30" ht="16.2" customHeight="1">
      <c r="J2505" s="80" t="s">
        <v>746</v>
      </c>
      <c r="K2505" s="80" t="s">
        <v>431</v>
      </c>
      <c r="L2505" t="s">
        <v>184</v>
      </c>
      <c r="M2505" s="66" t="s">
        <v>9302</v>
      </c>
      <c r="N2505" t="str">
        <f t="shared" si="190"/>
        <v>Double FrontVanda Boldtrak 25 with GlidesDecorator 2071Boldtrak Standard Double Bracket Suit 25mm on Back</v>
      </c>
      <c r="O2505">
        <v>20</v>
      </c>
      <c r="P2505">
        <v>51</v>
      </c>
      <c r="Q2505" s="80">
        <v>0</v>
      </c>
      <c r="R2505" s="80">
        <f t="shared" si="189"/>
        <v>31</v>
      </c>
      <c r="AD2505"/>
    </row>
    <row r="2506" spans="10:30" ht="16.2" customHeight="1">
      <c r="J2506" s="80" t="s">
        <v>747</v>
      </c>
      <c r="K2506" s="80" t="s">
        <v>431</v>
      </c>
      <c r="L2506" t="s">
        <v>184</v>
      </c>
      <c r="M2506" s="66" t="s">
        <v>9302</v>
      </c>
      <c r="N2506" t="str">
        <f t="shared" si="190"/>
        <v>Double RearVanda Boldtrak 25 with GlidesDecorator 2071Boldtrak Standard Double Bracket Suit 25mm on Back</v>
      </c>
      <c r="O2506">
        <v>20</v>
      </c>
      <c r="P2506">
        <v>71</v>
      </c>
      <c r="Q2506" s="80">
        <v>0</v>
      </c>
      <c r="R2506" s="80">
        <f t="shared" si="189"/>
        <v>51</v>
      </c>
      <c r="AD2506"/>
    </row>
    <row r="2507" spans="10:30" ht="16.2" customHeight="1">
      <c r="J2507" s="80" t="s">
        <v>746</v>
      </c>
      <c r="K2507" s="80" t="s">
        <v>431</v>
      </c>
      <c r="L2507" t="s">
        <v>6468</v>
      </c>
      <c r="M2507" s="66" t="s">
        <v>9302</v>
      </c>
      <c r="N2507" t="str">
        <f t="shared" si="190"/>
        <v>Double FrontVanda Boldtrak 25 with GlidesGather Hook Bottom PocketBoldtrak Standard Double Bracket Suit 25mm on Back</v>
      </c>
      <c r="O2507">
        <v>60</v>
      </c>
      <c r="P2507">
        <v>51</v>
      </c>
      <c r="Q2507" s="80">
        <v>0</v>
      </c>
      <c r="R2507" s="80">
        <f t="shared" si="189"/>
        <v>-9</v>
      </c>
      <c r="AD2507"/>
    </row>
    <row r="2508" spans="10:30" ht="16.2" customHeight="1">
      <c r="J2508" s="80" t="s">
        <v>746</v>
      </c>
      <c r="K2508" s="80" t="s">
        <v>431</v>
      </c>
      <c r="L2508" t="s">
        <v>229</v>
      </c>
      <c r="M2508" s="66" t="s">
        <v>9302</v>
      </c>
      <c r="N2508" t="str">
        <f t="shared" si="190"/>
        <v>Double FrontVanda Boldtrak 25 with GlidesGather Hook LevelBoldtrak Standard Double Bracket Suit 25mm on Back</v>
      </c>
      <c r="O2508">
        <v>20</v>
      </c>
      <c r="P2508">
        <v>51</v>
      </c>
      <c r="Q2508" s="80">
        <v>0</v>
      </c>
      <c r="R2508" s="80">
        <f t="shared" si="189"/>
        <v>31</v>
      </c>
      <c r="AD2508"/>
    </row>
    <row r="2509" spans="10:30" ht="16.2" customHeight="1">
      <c r="J2509" s="80" t="s">
        <v>747</v>
      </c>
      <c r="K2509" s="80" t="s">
        <v>431</v>
      </c>
      <c r="L2509" t="s">
        <v>229</v>
      </c>
      <c r="M2509" s="66" t="s">
        <v>9302</v>
      </c>
      <c r="N2509" t="str">
        <f t="shared" si="190"/>
        <v>Double RearVanda Boldtrak 25 with GlidesGather Hook LevelBoldtrak Standard Double Bracket Suit 25mm on Back</v>
      </c>
      <c r="O2509">
        <v>20</v>
      </c>
      <c r="P2509">
        <v>71</v>
      </c>
      <c r="Q2509" s="80">
        <v>0</v>
      </c>
      <c r="R2509" s="80">
        <f t="shared" si="189"/>
        <v>51</v>
      </c>
      <c r="AD2509"/>
    </row>
    <row r="2510" spans="10:30" ht="16.2" customHeight="1">
      <c r="J2510" s="80" t="s">
        <v>746</v>
      </c>
      <c r="K2510" s="80" t="s">
        <v>431</v>
      </c>
      <c r="L2510" t="s">
        <v>228</v>
      </c>
      <c r="M2510" s="66" t="s">
        <v>9302</v>
      </c>
      <c r="N2510" t="str">
        <f t="shared" si="190"/>
        <v>Double FrontVanda Boldtrak 25 with GlidesGather Hook NormalBoldtrak Standard Double Bracket Suit 25mm on Back</v>
      </c>
      <c r="O2510">
        <v>43</v>
      </c>
      <c r="P2510">
        <v>51</v>
      </c>
      <c r="Q2510" s="80">
        <v>0</v>
      </c>
      <c r="R2510" s="80">
        <f t="shared" si="189"/>
        <v>8</v>
      </c>
      <c r="AD2510"/>
    </row>
    <row r="2511" spans="10:30" ht="16.2" customHeight="1">
      <c r="J2511" s="80" t="s">
        <v>747</v>
      </c>
      <c r="K2511" s="80" t="s">
        <v>431</v>
      </c>
      <c r="L2511" t="s">
        <v>228</v>
      </c>
      <c r="M2511" s="66" t="s">
        <v>9302</v>
      </c>
      <c r="N2511" t="str">
        <f t="shared" si="190"/>
        <v>Double RearVanda Boldtrak 25 with GlidesGather Hook NormalBoldtrak Standard Double Bracket Suit 25mm on Back</v>
      </c>
      <c r="O2511">
        <v>43</v>
      </c>
      <c r="P2511">
        <v>71</v>
      </c>
      <c r="Q2511" s="80">
        <v>0</v>
      </c>
      <c r="R2511" s="80">
        <f t="shared" si="189"/>
        <v>28</v>
      </c>
      <c r="AD2511"/>
    </row>
    <row r="2512" spans="10:30" ht="16.2" customHeight="1">
      <c r="J2512" s="80" t="s">
        <v>746</v>
      </c>
      <c r="K2512" s="80" t="s">
        <v>431</v>
      </c>
      <c r="L2512" t="s">
        <v>282</v>
      </c>
      <c r="M2512" s="66" t="s">
        <v>9302</v>
      </c>
      <c r="N2512" t="str">
        <f t="shared" si="190"/>
        <v>Double FrontVanda Boldtrak 25 with GlidesLevel 2072Boldtrak Standard Double Bracket Suit 25mm on Back</v>
      </c>
      <c r="O2512">
        <v>38</v>
      </c>
      <c r="P2512">
        <v>51</v>
      </c>
      <c r="Q2512" s="80">
        <v>0</v>
      </c>
      <c r="R2512" s="80">
        <f t="shared" si="189"/>
        <v>13</v>
      </c>
      <c r="AD2512"/>
    </row>
    <row r="2513" spans="10:30" ht="16.2" customHeight="1">
      <c r="J2513" s="80" t="s">
        <v>746</v>
      </c>
      <c r="K2513" s="80" t="s">
        <v>431</v>
      </c>
      <c r="L2513" t="s">
        <v>282</v>
      </c>
      <c r="M2513" s="66" t="s">
        <v>9302</v>
      </c>
      <c r="N2513" t="str">
        <f t="shared" si="190"/>
        <v>Double FrontVanda Boldtrak 25 with GlidesLevel 2072Boldtrak Standard Double Bracket Suit 25mm on Back</v>
      </c>
      <c r="O2513">
        <v>38</v>
      </c>
      <c r="P2513">
        <v>51</v>
      </c>
      <c r="Q2513" s="80">
        <v>0</v>
      </c>
      <c r="R2513" s="80">
        <f t="shared" si="189"/>
        <v>13</v>
      </c>
      <c r="AD2513"/>
    </row>
    <row r="2514" spans="10:30" ht="16.2" customHeight="1">
      <c r="J2514" s="80" t="s">
        <v>747</v>
      </c>
      <c r="K2514" s="80" t="s">
        <v>431</v>
      </c>
      <c r="L2514" t="s">
        <v>282</v>
      </c>
      <c r="M2514" s="66" t="s">
        <v>9302</v>
      </c>
      <c r="N2514" t="str">
        <f t="shared" si="190"/>
        <v>Double RearVanda Boldtrak 25 with GlidesLevel 2072Boldtrak Standard Double Bracket Suit 25mm on Back</v>
      </c>
      <c r="O2514">
        <v>38</v>
      </c>
      <c r="P2514">
        <v>71</v>
      </c>
      <c r="Q2514" s="80">
        <v>0</v>
      </c>
      <c r="R2514" s="80">
        <f t="shared" si="189"/>
        <v>33</v>
      </c>
      <c r="AD2514"/>
    </row>
    <row r="2515" spans="10:30" ht="16.2" customHeight="1">
      <c r="J2515" s="80" t="s">
        <v>746</v>
      </c>
      <c r="K2515" s="80" t="s">
        <v>431</v>
      </c>
      <c r="L2515" t="s">
        <v>170</v>
      </c>
      <c r="M2515" s="66" t="s">
        <v>9302</v>
      </c>
      <c r="N2515" t="str">
        <f t="shared" si="190"/>
        <v>Double FrontVanda Boldtrak 25 with GlidesNormal 2074Boldtrak Standard Double Bracket Suit 25mm on Back</v>
      </c>
      <c r="O2515">
        <v>60</v>
      </c>
      <c r="P2515">
        <v>51</v>
      </c>
      <c r="Q2515" s="80">
        <v>0</v>
      </c>
      <c r="R2515" s="80">
        <f t="shared" si="189"/>
        <v>-9</v>
      </c>
      <c r="AD2515"/>
    </row>
    <row r="2516" spans="10:30" ht="16.2" customHeight="1">
      <c r="J2516" s="80" t="s">
        <v>746</v>
      </c>
      <c r="K2516" s="80" t="s">
        <v>431</v>
      </c>
      <c r="L2516" t="s">
        <v>170</v>
      </c>
      <c r="M2516" s="66" t="s">
        <v>9302</v>
      </c>
      <c r="N2516" t="str">
        <f t="shared" si="190"/>
        <v>Double FrontVanda Boldtrak 25 with GlidesNormal 2074Boldtrak Standard Double Bracket Suit 25mm on Back</v>
      </c>
      <c r="O2516">
        <v>60</v>
      </c>
      <c r="P2516">
        <v>51</v>
      </c>
      <c r="Q2516" s="80">
        <v>0</v>
      </c>
      <c r="R2516" s="80">
        <f t="shared" si="189"/>
        <v>-9</v>
      </c>
      <c r="AD2516"/>
    </row>
    <row r="2517" spans="10:30" ht="16.2" customHeight="1">
      <c r="J2517" s="80" t="s">
        <v>747</v>
      </c>
      <c r="K2517" s="80" t="s">
        <v>431</v>
      </c>
      <c r="L2517" t="s">
        <v>170</v>
      </c>
      <c r="M2517" s="66" t="s">
        <v>9302</v>
      </c>
      <c r="N2517" t="str">
        <f t="shared" si="190"/>
        <v>Double RearVanda Boldtrak 25 with GlidesNormal 2074Boldtrak Standard Double Bracket Suit 25mm on Back</v>
      </c>
      <c r="O2517">
        <v>60</v>
      </c>
      <c r="P2517">
        <v>71</v>
      </c>
      <c r="Q2517" s="80">
        <v>0</v>
      </c>
      <c r="R2517" s="80">
        <f t="shared" si="189"/>
        <v>11</v>
      </c>
      <c r="AD2517"/>
    </row>
    <row r="2518" spans="10:30" ht="16.2" customHeight="1">
      <c r="J2518" s="80" t="s">
        <v>746</v>
      </c>
      <c r="K2518" s="80" t="s">
        <v>431</v>
      </c>
      <c r="L2518" t="s">
        <v>183</v>
      </c>
      <c r="M2518" s="66" t="s">
        <v>9306</v>
      </c>
      <c r="N2518" t="str">
        <f t="shared" si="190"/>
        <v>Double FrontVanda Boldtrak 25 with GlidesBelow Normal 2075Boldtrak Standard Double Bracket Suit 25mm on Front</v>
      </c>
      <c r="O2518">
        <v>70</v>
      </c>
      <c r="P2518">
        <v>51</v>
      </c>
      <c r="Q2518" s="80">
        <v>0</v>
      </c>
      <c r="R2518" s="80">
        <f t="shared" si="189"/>
        <v>-19</v>
      </c>
      <c r="AD2518"/>
    </row>
    <row r="2519" spans="10:30" ht="16.2" customHeight="1">
      <c r="J2519" s="80" t="s">
        <v>746</v>
      </c>
      <c r="K2519" s="80" t="s">
        <v>431</v>
      </c>
      <c r="L2519" t="s">
        <v>182</v>
      </c>
      <c r="M2519" s="66" t="s">
        <v>9306</v>
      </c>
      <c r="N2519" t="str">
        <f t="shared" si="190"/>
        <v>Double FrontVanda Boldtrak 25 with GlidesBetween Level and Normal 2073Boldtrak Standard Double Bracket Suit 25mm on Front</v>
      </c>
      <c r="O2519">
        <v>47</v>
      </c>
      <c r="P2519">
        <v>51</v>
      </c>
      <c r="Q2519" s="80">
        <v>0</v>
      </c>
      <c r="R2519" s="80">
        <f t="shared" si="189"/>
        <v>4</v>
      </c>
      <c r="AD2519"/>
    </row>
    <row r="2520" spans="10:30" ht="16.2" customHeight="1">
      <c r="J2520" s="80" t="s">
        <v>746</v>
      </c>
      <c r="K2520" s="80" t="s">
        <v>431</v>
      </c>
      <c r="L2520" t="s">
        <v>184</v>
      </c>
      <c r="M2520" s="66" t="s">
        <v>9306</v>
      </c>
      <c r="N2520" t="str">
        <f t="shared" si="190"/>
        <v>Double FrontVanda Boldtrak 25 with GlidesDecorator 2071Boldtrak Standard Double Bracket Suit 25mm on Front</v>
      </c>
      <c r="O2520">
        <v>20</v>
      </c>
      <c r="P2520">
        <v>51</v>
      </c>
      <c r="Q2520" s="80">
        <v>0</v>
      </c>
      <c r="R2520" s="80">
        <f t="shared" si="189"/>
        <v>31</v>
      </c>
      <c r="AD2520"/>
    </row>
    <row r="2521" spans="10:30" ht="16.2" customHeight="1">
      <c r="J2521" s="80" t="s">
        <v>746</v>
      </c>
      <c r="K2521" s="80" t="s">
        <v>431</v>
      </c>
      <c r="L2521" t="s">
        <v>6468</v>
      </c>
      <c r="M2521" s="66" t="s">
        <v>9306</v>
      </c>
      <c r="N2521" t="str">
        <f t="shared" si="190"/>
        <v>Double FrontVanda Boldtrak 25 with GlidesGather Hook Bottom PocketBoldtrak Standard Double Bracket Suit 25mm on Front</v>
      </c>
      <c r="O2521">
        <v>60</v>
      </c>
      <c r="P2521">
        <v>51</v>
      </c>
      <c r="Q2521" s="80">
        <v>0</v>
      </c>
      <c r="R2521" s="80">
        <f t="shared" si="189"/>
        <v>-9</v>
      </c>
      <c r="AD2521"/>
    </row>
    <row r="2522" spans="10:30" ht="16.2" customHeight="1">
      <c r="J2522" s="80" t="s">
        <v>746</v>
      </c>
      <c r="K2522" s="80" t="s">
        <v>431</v>
      </c>
      <c r="L2522" t="s">
        <v>229</v>
      </c>
      <c r="M2522" s="66" t="s">
        <v>9306</v>
      </c>
      <c r="N2522" t="str">
        <f t="shared" si="190"/>
        <v>Double FrontVanda Boldtrak 25 with GlidesGather Hook LevelBoldtrak Standard Double Bracket Suit 25mm on Front</v>
      </c>
      <c r="O2522">
        <v>20</v>
      </c>
      <c r="P2522">
        <v>51</v>
      </c>
      <c r="Q2522" s="80">
        <v>0</v>
      </c>
      <c r="R2522" s="80">
        <f t="shared" si="189"/>
        <v>31</v>
      </c>
      <c r="AD2522"/>
    </row>
    <row r="2523" spans="10:30" ht="16.2" customHeight="1">
      <c r="J2523" s="80" t="s">
        <v>746</v>
      </c>
      <c r="K2523" s="80" t="s">
        <v>431</v>
      </c>
      <c r="L2523" t="s">
        <v>228</v>
      </c>
      <c r="M2523" s="66" t="s">
        <v>9306</v>
      </c>
      <c r="N2523" t="str">
        <f t="shared" si="190"/>
        <v>Double FrontVanda Boldtrak 25 with GlidesGather Hook NormalBoldtrak Standard Double Bracket Suit 25mm on Front</v>
      </c>
      <c r="O2523">
        <v>43</v>
      </c>
      <c r="P2523">
        <v>51</v>
      </c>
      <c r="Q2523" s="80">
        <v>0</v>
      </c>
      <c r="R2523" s="80">
        <f t="shared" si="189"/>
        <v>8</v>
      </c>
      <c r="AD2523"/>
    </row>
    <row r="2524" spans="10:30" ht="16.2" customHeight="1">
      <c r="J2524" s="80" t="s">
        <v>746</v>
      </c>
      <c r="K2524" s="80" t="s">
        <v>431</v>
      </c>
      <c r="L2524" t="s">
        <v>282</v>
      </c>
      <c r="M2524" s="66" t="s">
        <v>9306</v>
      </c>
      <c r="N2524" t="str">
        <f t="shared" si="190"/>
        <v>Double FrontVanda Boldtrak 25 with GlidesLevel 2072Boldtrak Standard Double Bracket Suit 25mm on Front</v>
      </c>
      <c r="O2524">
        <v>35</v>
      </c>
      <c r="P2524">
        <v>51</v>
      </c>
      <c r="Q2524" s="80">
        <v>0</v>
      </c>
      <c r="R2524" s="80">
        <f t="shared" si="189"/>
        <v>16</v>
      </c>
      <c r="AD2524"/>
    </row>
    <row r="2525" spans="10:30" ht="16.2" customHeight="1">
      <c r="J2525" s="80" t="s">
        <v>746</v>
      </c>
      <c r="K2525" s="80" t="s">
        <v>431</v>
      </c>
      <c r="L2525" t="s">
        <v>170</v>
      </c>
      <c r="M2525" s="66" t="s">
        <v>9306</v>
      </c>
      <c r="N2525" t="str">
        <f t="shared" si="190"/>
        <v>Double FrontVanda Boldtrak 25 with GlidesNormal 2074Boldtrak Standard Double Bracket Suit 25mm on Front</v>
      </c>
      <c r="O2525">
        <v>60</v>
      </c>
      <c r="P2525">
        <v>51</v>
      </c>
      <c r="Q2525" s="80">
        <v>0</v>
      </c>
      <c r="R2525" s="80">
        <f t="shared" si="189"/>
        <v>-9</v>
      </c>
      <c r="AD2525"/>
    </row>
    <row r="2526" spans="10:30" ht="16.2" customHeight="1">
      <c r="J2526" s="80" t="s">
        <v>746</v>
      </c>
      <c r="K2526" s="80" t="s">
        <v>431</v>
      </c>
      <c r="L2526" t="s">
        <v>183</v>
      </c>
      <c r="M2526" s="66" t="s">
        <v>9303</v>
      </c>
      <c r="N2526" t="str">
        <f t="shared" si="190"/>
        <v>Double FrontVanda Boldtrak 25 with GlidesBelow Normal 2075Boldtrak Standard Double Bracket Suit 32mm on Back</v>
      </c>
      <c r="O2526">
        <v>70</v>
      </c>
      <c r="P2526">
        <v>51</v>
      </c>
      <c r="Q2526" s="80">
        <v>0</v>
      </c>
      <c r="R2526" s="80">
        <f t="shared" si="189"/>
        <v>-19</v>
      </c>
      <c r="AD2526"/>
    </row>
    <row r="2527" spans="10:30" ht="16.2" customHeight="1">
      <c r="J2527" s="80" t="s">
        <v>746</v>
      </c>
      <c r="K2527" s="80" t="s">
        <v>431</v>
      </c>
      <c r="L2527" t="s">
        <v>182</v>
      </c>
      <c r="M2527" s="66" t="s">
        <v>9303</v>
      </c>
      <c r="N2527" t="str">
        <f t="shared" si="190"/>
        <v>Double FrontVanda Boldtrak 25 with GlidesBetween Level and Normal 2073Boldtrak Standard Double Bracket Suit 32mm on Back</v>
      </c>
      <c r="O2527">
        <v>48</v>
      </c>
      <c r="P2527">
        <v>51</v>
      </c>
      <c r="Q2527" s="80">
        <v>0</v>
      </c>
      <c r="R2527" s="80">
        <f t="shared" si="191" ref="R2527:R2590">SUM(P2527)-O2527</f>
        <v>3</v>
      </c>
      <c r="AD2527"/>
    </row>
    <row r="2528" spans="10:30" ht="16.2" customHeight="1">
      <c r="J2528" s="80" t="s">
        <v>746</v>
      </c>
      <c r="K2528" s="80" t="s">
        <v>431</v>
      </c>
      <c r="L2528" t="s">
        <v>184</v>
      </c>
      <c r="M2528" s="66" t="s">
        <v>9303</v>
      </c>
      <c r="N2528" t="str">
        <f t="shared" si="190"/>
        <v>Double FrontVanda Boldtrak 25 with GlidesDecorator 2071Boldtrak Standard Double Bracket Suit 32mm on Back</v>
      </c>
      <c r="O2528">
        <v>20</v>
      </c>
      <c r="P2528">
        <v>51</v>
      </c>
      <c r="Q2528" s="80">
        <v>0</v>
      </c>
      <c r="R2528" s="80">
        <f t="shared" si="191"/>
        <v>31</v>
      </c>
      <c r="AD2528"/>
    </row>
    <row r="2529" spans="10:30" ht="16.2" customHeight="1">
      <c r="J2529" s="80" t="s">
        <v>746</v>
      </c>
      <c r="K2529" s="80" t="s">
        <v>431</v>
      </c>
      <c r="L2529" t="s">
        <v>6468</v>
      </c>
      <c r="M2529" s="66" t="s">
        <v>9303</v>
      </c>
      <c r="N2529" t="str">
        <f t="shared" si="190"/>
        <v>Double FrontVanda Boldtrak 25 with GlidesGather Hook Bottom PocketBoldtrak Standard Double Bracket Suit 32mm on Back</v>
      </c>
      <c r="O2529">
        <v>60</v>
      </c>
      <c r="P2529">
        <v>51</v>
      </c>
      <c r="Q2529" s="80">
        <v>0</v>
      </c>
      <c r="R2529" s="80">
        <f t="shared" si="191"/>
        <v>-9</v>
      </c>
      <c r="AD2529"/>
    </row>
    <row r="2530" spans="10:30" ht="16.2" customHeight="1">
      <c r="J2530" s="80" t="s">
        <v>746</v>
      </c>
      <c r="K2530" s="80" t="s">
        <v>431</v>
      </c>
      <c r="L2530" t="s">
        <v>229</v>
      </c>
      <c r="M2530" s="66" t="s">
        <v>9303</v>
      </c>
      <c r="N2530" t="str">
        <f t="shared" si="190"/>
        <v>Double FrontVanda Boldtrak 25 with GlidesGather Hook LevelBoldtrak Standard Double Bracket Suit 32mm on Back</v>
      </c>
      <c r="O2530">
        <v>20</v>
      </c>
      <c r="P2530">
        <v>51</v>
      </c>
      <c r="Q2530" s="80">
        <v>0</v>
      </c>
      <c r="R2530" s="80">
        <f t="shared" si="191"/>
        <v>31</v>
      </c>
      <c r="AD2530"/>
    </row>
    <row r="2531" spans="10:30" ht="16.2" customHeight="1">
      <c r="J2531" s="80" t="s">
        <v>746</v>
      </c>
      <c r="K2531" s="80" t="s">
        <v>431</v>
      </c>
      <c r="L2531" t="s">
        <v>228</v>
      </c>
      <c r="M2531" s="66" t="s">
        <v>9303</v>
      </c>
      <c r="N2531" t="str">
        <f t="shared" si="190"/>
        <v>Double FrontVanda Boldtrak 25 with GlidesGather Hook NormalBoldtrak Standard Double Bracket Suit 32mm on Back</v>
      </c>
      <c r="O2531">
        <v>43</v>
      </c>
      <c r="P2531">
        <v>51</v>
      </c>
      <c r="Q2531" s="80">
        <v>0</v>
      </c>
      <c r="R2531" s="80">
        <f t="shared" si="191"/>
        <v>8</v>
      </c>
      <c r="AD2531"/>
    </row>
    <row r="2532" spans="10:30" ht="16.2" customHeight="1">
      <c r="J2532" s="80" t="s">
        <v>746</v>
      </c>
      <c r="K2532" s="80" t="s">
        <v>431</v>
      </c>
      <c r="L2532" t="s">
        <v>282</v>
      </c>
      <c r="M2532" s="66" t="s">
        <v>9303</v>
      </c>
      <c r="N2532" t="str">
        <f t="shared" si="190"/>
        <v>Double FrontVanda Boldtrak 25 with GlidesLevel 2072Boldtrak Standard Double Bracket Suit 32mm on Back</v>
      </c>
      <c r="O2532">
        <v>38</v>
      </c>
      <c r="P2532">
        <v>51</v>
      </c>
      <c r="Q2532" s="80">
        <v>0</v>
      </c>
      <c r="R2532" s="80">
        <f t="shared" si="191"/>
        <v>13</v>
      </c>
      <c r="AD2532"/>
    </row>
    <row r="2533" spans="10:30" ht="16.2" customHeight="1">
      <c r="J2533" s="80" t="s">
        <v>746</v>
      </c>
      <c r="K2533" s="80" t="s">
        <v>431</v>
      </c>
      <c r="L2533" t="s">
        <v>282</v>
      </c>
      <c r="M2533" s="66" t="s">
        <v>9303</v>
      </c>
      <c r="N2533" t="str">
        <f t="shared" si="190"/>
        <v>Double FrontVanda Boldtrak 25 with GlidesLevel 2072Boldtrak Standard Double Bracket Suit 32mm on Back</v>
      </c>
      <c r="O2533">
        <v>38</v>
      </c>
      <c r="P2533">
        <v>51</v>
      </c>
      <c r="Q2533" s="80">
        <v>0</v>
      </c>
      <c r="R2533" s="80">
        <f t="shared" si="191"/>
        <v>13</v>
      </c>
      <c r="AD2533"/>
    </row>
    <row r="2534" spans="10:30" ht="16.2" customHeight="1">
      <c r="J2534" s="80" t="s">
        <v>746</v>
      </c>
      <c r="K2534" s="80" t="s">
        <v>431</v>
      </c>
      <c r="L2534" t="s">
        <v>170</v>
      </c>
      <c r="M2534" s="66" t="s">
        <v>9303</v>
      </c>
      <c r="N2534" t="str">
        <f t="shared" si="190"/>
        <v>Double FrontVanda Boldtrak 25 with GlidesNormal 2074Boldtrak Standard Double Bracket Suit 32mm on Back</v>
      </c>
      <c r="O2534">
        <v>60</v>
      </c>
      <c r="P2534">
        <v>51</v>
      </c>
      <c r="Q2534" s="80">
        <v>0</v>
      </c>
      <c r="R2534" s="80">
        <f t="shared" si="191"/>
        <v>-9</v>
      </c>
      <c r="AD2534"/>
    </row>
    <row r="2535" spans="10:30" ht="16.2" customHeight="1">
      <c r="J2535" s="80" t="s">
        <v>746</v>
      </c>
      <c r="K2535" s="80" t="s">
        <v>431</v>
      </c>
      <c r="L2535" t="s">
        <v>170</v>
      </c>
      <c r="M2535" s="66" t="s">
        <v>9303</v>
      </c>
      <c r="N2535" t="str">
        <f t="shared" si="190"/>
        <v>Double FrontVanda Boldtrak 25 with GlidesNormal 2074Boldtrak Standard Double Bracket Suit 32mm on Back</v>
      </c>
      <c r="O2535">
        <v>60</v>
      </c>
      <c r="P2535">
        <v>58</v>
      </c>
      <c r="Q2535" s="80">
        <v>0</v>
      </c>
      <c r="R2535" s="80">
        <f t="shared" si="191"/>
        <v>-2</v>
      </c>
      <c r="AD2535"/>
    </row>
    <row r="2536" spans="10:30" ht="16.2" customHeight="1">
      <c r="J2536" s="80" t="s">
        <v>746</v>
      </c>
      <c r="K2536" s="80" t="s">
        <v>431</v>
      </c>
      <c r="L2536" t="s">
        <v>183</v>
      </c>
      <c r="M2536" s="66" t="s">
        <v>9304</v>
      </c>
      <c r="N2536" t="str">
        <f t="shared" si="190"/>
        <v>Double FrontVanda Boldtrak 25 with GlidesBelow Normal 2075Boldtrak Standard Double Bracket Suit 35mm on Back</v>
      </c>
      <c r="O2536">
        <v>70</v>
      </c>
      <c r="P2536">
        <v>51</v>
      </c>
      <c r="Q2536" s="80">
        <v>0</v>
      </c>
      <c r="R2536" s="80">
        <f t="shared" si="191"/>
        <v>-19</v>
      </c>
      <c r="AD2536"/>
    </row>
    <row r="2537" spans="10:30" ht="16.2" customHeight="1">
      <c r="J2537" s="80" t="s">
        <v>746</v>
      </c>
      <c r="K2537" s="80" t="s">
        <v>431</v>
      </c>
      <c r="L2537" t="s">
        <v>182</v>
      </c>
      <c r="M2537" s="66" t="s">
        <v>9304</v>
      </c>
      <c r="N2537" t="str">
        <f t="shared" si="190"/>
        <v>Double FrontVanda Boldtrak 25 with GlidesBetween Level and Normal 2073Boldtrak Standard Double Bracket Suit 35mm on Back</v>
      </c>
      <c r="O2537">
        <v>48</v>
      </c>
      <c r="P2537">
        <v>51</v>
      </c>
      <c r="Q2537" s="80">
        <v>0</v>
      </c>
      <c r="R2537" s="80">
        <f t="shared" si="191"/>
        <v>3</v>
      </c>
      <c r="AD2537"/>
    </row>
    <row r="2538" spans="10:30" ht="16.2" customHeight="1">
      <c r="J2538" s="80" t="s">
        <v>746</v>
      </c>
      <c r="K2538" s="80" t="s">
        <v>431</v>
      </c>
      <c r="L2538" t="s">
        <v>184</v>
      </c>
      <c r="M2538" s="66" t="s">
        <v>9304</v>
      </c>
      <c r="N2538" t="str">
        <f t="shared" si="190"/>
        <v>Double FrontVanda Boldtrak 25 with GlidesDecorator 2071Boldtrak Standard Double Bracket Suit 35mm on Back</v>
      </c>
      <c r="O2538">
        <v>20</v>
      </c>
      <c r="P2538">
        <v>51</v>
      </c>
      <c r="Q2538" s="80">
        <v>0</v>
      </c>
      <c r="R2538" s="80">
        <f t="shared" si="191"/>
        <v>31</v>
      </c>
      <c r="AD2538"/>
    </row>
    <row r="2539" spans="10:30" ht="16.2" customHeight="1">
      <c r="J2539" s="80" t="s">
        <v>746</v>
      </c>
      <c r="K2539" s="80" t="s">
        <v>431</v>
      </c>
      <c r="L2539" t="s">
        <v>6468</v>
      </c>
      <c r="M2539" s="66" t="s">
        <v>9304</v>
      </c>
      <c r="N2539" t="str">
        <f t="shared" si="190"/>
        <v>Double FrontVanda Boldtrak 25 with GlidesGather Hook Bottom PocketBoldtrak Standard Double Bracket Suit 35mm on Back</v>
      </c>
      <c r="O2539">
        <v>60</v>
      </c>
      <c r="P2539">
        <v>51</v>
      </c>
      <c r="Q2539" s="80">
        <v>0</v>
      </c>
      <c r="R2539" s="80">
        <f t="shared" si="191"/>
        <v>-9</v>
      </c>
      <c r="AD2539"/>
    </row>
    <row r="2540" spans="10:30" ht="16.2" customHeight="1">
      <c r="J2540" s="80" t="s">
        <v>746</v>
      </c>
      <c r="K2540" s="80" t="s">
        <v>431</v>
      </c>
      <c r="L2540" t="s">
        <v>229</v>
      </c>
      <c r="M2540" s="66" t="s">
        <v>9304</v>
      </c>
      <c r="N2540" t="str">
        <f t="shared" si="190"/>
        <v>Double FrontVanda Boldtrak 25 with GlidesGather Hook LevelBoldtrak Standard Double Bracket Suit 35mm on Back</v>
      </c>
      <c r="O2540">
        <v>20</v>
      </c>
      <c r="P2540">
        <v>51</v>
      </c>
      <c r="Q2540" s="80">
        <v>0</v>
      </c>
      <c r="R2540" s="80">
        <f t="shared" si="191"/>
        <v>31</v>
      </c>
      <c r="AD2540"/>
    </row>
    <row r="2541" spans="10:30" ht="16.2" customHeight="1">
      <c r="J2541" s="80" t="s">
        <v>746</v>
      </c>
      <c r="K2541" s="80" t="s">
        <v>431</v>
      </c>
      <c r="L2541" t="s">
        <v>228</v>
      </c>
      <c r="M2541" s="66" t="s">
        <v>9304</v>
      </c>
      <c r="N2541" t="str">
        <f t="shared" si="190"/>
        <v>Double FrontVanda Boldtrak 25 with GlidesGather Hook NormalBoldtrak Standard Double Bracket Suit 35mm on Back</v>
      </c>
      <c r="O2541">
        <v>43</v>
      </c>
      <c r="P2541">
        <v>51</v>
      </c>
      <c r="Q2541" s="80">
        <v>0</v>
      </c>
      <c r="R2541" s="80">
        <f t="shared" si="191"/>
        <v>8</v>
      </c>
      <c r="AD2541"/>
    </row>
    <row r="2542" spans="10:30" ht="16.2" customHeight="1">
      <c r="J2542" s="80" t="s">
        <v>746</v>
      </c>
      <c r="K2542" s="80" t="s">
        <v>431</v>
      </c>
      <c r="L2542" t="s">
        <v>282</v>
      </c>
      <c r="M2542" s="66" t="s">
        <v>9304</v>
      </c>
      <c r="N2542" t="str">
        <f t="shared" si="190"/>
        <v>Double FrontVanda Boldtrak 25 with GlidesLevel 2072Boldtrak Standard Double Bracket Suit 35mm on Back</v>
      </c>
      <c r="O2542">
        <v>38</v>
      </c>
      <c r="P2542">
        <v>51</v>
      </c>
      <c r="Q2542" s="80">
        <v>0</v>
      </c>
      <c r="R2542" s="80">
        <f t="shared" si="191"/>
        <v>13</v>
      </c>
      <c r="AD2542"/>
    </row>
    <row r="2543" spans="10:30" ht="16.2" customHeight="1">
      <c r="J2543" s="80" t="s">
        <v>746</v>
      </c>
      <c r="K2543" s="80" t="s">
        <v>431</v>
      </c>
      <c r="L2543" t="s">
        <v>282</v>
      </c>
      <c r="M2543" s="66" t="s">
        <v>9304</v>
      </c>
      <c r="N2543" t="str">
        <f t="shared" si="190"/>
        <v>Double FrontVanda Boldtrak 25 with GlidesLevel 2072Boldtrak Standard Double Bracket Suit 35mm on Back</v>
      </c>
      <c r="O2543">
        <v>38</v>
      </c>
      <c r="P2543">
        <v>51</v>
      </c>
      <c r="Q2543" s="80">
        <v>0</v>
      </c>
      <c r="R2543" s="80">
        <f t="shared" si="191"/>
        <v>13</v>
      </c>
      <c r="AD2543"/>
    </row>
    <row r="2544" spans="10:30" ht="16.2" customHeight="1">
      <c r="J2544" s="80" t="s">
        <v>746</v>
      </c>
      <c r="K2544" s="80" t="s">
        <v>431</v>
      </c>
      <c r="L2544" t="s">
        <v>170</v>
      </c>
      <c r="M2544" s="66" t="s">
        <v>9304</v>
      </c>
      <c r="N2544" t="str">
        <f t="shared" si="190"/>
        <v>Double FrontVanda Boldtrak 25 with GlidesNormal 2074Boldtrak Standard Double Bracket Suit 35mm on Back</v>
      </c>
      <c r="O2544">
        <v>60</v>
      </c>
      <c r="P2544">
        <v>51</v>
      </c>
      <c r="Q2544" s="80">
        <v>0</v>
      </c>
      <c r="R2544" s="80">
        <f t="shared" si="191"/>
        <v>-9</v>
      </c>
      <c r="AD2544"/>
    </row>
    <row r="2545" spans="10:30" ht="16.2" customHeight="1">
      <c r="J2545" s="80" t="s">
        <v>746</v>
      </c>
      <c r="K2545" s="80" t="s">
        <v>431</v>
      </c>
      <c r="L2545" t="s">
        <v>170</v>
      </c>
      <c r="M2545" s="66" t="s">
        <v>9304</v>
      </c>
      <c r="N2545" t="str">
        <f t="shared" si="190"/>
        <v>Double FrontVanda Boldtrak 25 with GlidesNormal 2074Boldtrak Standard Double Bracket Suit 35mm on Back</v>
      </c>
      <c r="O2545">
        <v>60</v>
      </c>
      <c r="P2545">
        <v>58</v>
      </c>
      <c r="Q2545" s="80">
        <v>0</v>
      </c>
      <c r="R2545" s="80">
        <f t="shared" si="191"/>
        <v>-2</v>
      </c>
      <c r="AD2545"/>
    </row>
    <row r="2546" spans="10:30" ht="16.2" customHeight="1">
      <c r="J2546" s="80" t="s">
        <v>746</v>
      </c>
      <c r="K2546" s="80" t="s">
        <v>431</v>
      </c>
      <c r="L2546" t="s">
        <v>183</v>
      </c>
      <c r="M2546" t="s">
        <v>438</v>
      </c>
      <c r="N2546" t="str">
        <f t="shared" si="190"/>
        <v>Double FrontVanda Boldtrak 25 with GlidesBelow Normal 2075Boldtrak Top Fix Bracket</v>
      </c>
      <c r="O2546">
        <v>70</v>
      </c>
      <c r="P2546">
        <v>45</v>
      </c>
      <c r="Q2546" s="80">
        <v>0</v>
      </c>
      <c r="R2546" s="80">
        <f t="shared" si="191"/>
        <v>-25</v>
      </c>
      <c r="AD2546"/>
    </row>
    <row r="2547" spans="10:30" ht="16.2" customHeight="1">
      <c r="J2547" s="80" t="s">
        <v>747</v>
      </c>
      <c r="K2547" s="80" t="s">
        <v>431</v>
      </c>
      <c r="L2547" t="s">
        <v>183</v>
      </c>
      <c r="M2547" t="s">
        <v>438</v>
      </c>
      <c r="N2547" t="str">
        <f t="shared" si="190"/>
        <v>Double RearVanda Boldtrak 25 with GlidesBelow Normal 2075Boldtrak Top Fix Bracket</v>
      </c>
      <c r="O2547">
        <v>70</v>
      </c>
      <c r="P2547">
        <v>45</v>
      </c>
      <c r="Q2547" s="80">
        <v>0</v>
      </c>
      <c r="R2547" s="80">
        <f t="shared" si="191"/>
        <v>-25</v>
      </c>
      <c r="AD2547"/>
    </row>
    <row r="2548" spans="10:30" ht="16.2" customHeight="1">
      <c r="J2548" s="80" t="s">
        <v>725</v>
      </c>
      <c r="K2548" s="80" t="s">
        <v>431</v>
      </c>
      <c r="L2548" t="s">
        <v>183</v>
      </c>
      <c r="M2548" t="s">
        <v>438</v>
      </c>
      <c r="N2548" t="str">
        <f t="shared" si="190"/>
        <v>SingleVanda Boldtrak 25 with GlidesBelow Normal 2075Boldtrak Top Fix Bracket</v>
      </c>
      <c r="O2548">
        <v>70</v>
      </c>
      <c r="P2548">
        <v>45</v>
      </c>
      <c r="Q2548" s="80">
        <v>0</v>
      </c>
      <c r="R2548" s="80">
        <f t="shared" si="191"/>
        <v>-25</v>
      </c>
      <c r="AD2548"/>
    </row>
    <row r="2549" spans="10:30" ht="16.2" customHeight="1">
      <c r="J2549" s="80" t="s">
        <v>746</v>
      </c>
      <c r="K2549" s="80" t="s">
        <v>431</v>
      </c>
      <c r="L2549" t="s">
        <v>182</v>
      </c>
      <c r="M2549" t="s">
        <v>438</v>
      </c>
      <c r="N2549" t="str">
        <f t="shared" si="190"/>
        <v>Double FrontVanda Boldtrak 25 with GlidesBetween Level and Normal 2073Boldtrak Top Fix Bracket</v>
      </c>
      <c r="O2549">
        <v>48</v>
      </c>
      <c r="P2549">
        <v>45</v>
      </c>
      <c r="Q2549" s="80">
        <v>0</v>
      </c>
      <c r="R2549" s="80">
        <f t="shared" si="191"/>
        <v>-3</v>
      </c>
      <c r="AD2549"/>
    </row>
    <row r="2550" spans="10:30" ht="16.2" customHeight="1">
      <c r="J2550" s="80" t="s">
        <v>747</v>
      </c>
      <c r="K2550" s="80" t="s">
        <v>431</v>
      </c>
      <c r="L2550" t="s">
        <v>182</v>
      </c>
      <c r="M2550" t="s">
        <v>438</v>
      </c>
      <c r="N2550" t="str">
        <f t="shared" si="190"/>
        <v>Double RearVanda Boldtrak 25 with GlidesBetween Level and Normal 2073Boldtrak Top Fix Bracket</v>
      </c>
      <c r="O2550">
        <v>48</v>
      </c>
      <c r="P2550">
        <v>45</v>
      </c>
      <c r="Q2550" s="80">
        <v>0</v>
      </c>
      <c r="R2550" s="80">
        <f t="shared" si="191"/>
        <v>-3</v>
      </c>
      <c r="AD2550"/>
    </row>
    <row r="2551" spans="10:30" ht="16.2" customHeight="1">
      <c r="J2551" s="80" t="s">
        <v>725</v>
      </c>
      <c r="K2551" s="80" t="s">
        <v>431</v>
      </c>
      <c r="L2551" t="s">
        <v>182</v>
      </c>
      <c r="M2551" t="s">
        <v>438</v>
      </c>
      <c r="N2551" t="str">
        <f t="shared" si="190"/>
        <v>SingleVanda Boldtrak 25 with GlidesBetween Level and Normal 2073Boldtrak Top Fix Bracket</v>
      </c>
      <c r="O2551">
        <v>47</v>
      </c>
      <c r="P2551">
        <v>45</v>
      </c>
      <c r="Q2551" s="80">
        <v>0</v>
      </c>
      <c r="R2551" s="80">
        <f t="shared" si="191"/>
        <v>-2</v>
      </c>
      <c r="AD2551"/>
    </row>
    <row r="2552" spans="10:30" ht="16.2" customHeight="1">
      <c r="J2552" s="80" t="s">
        <v>746</v>
      </c>
      <c r="K2552" s="80" t="s">
        <v>431</v>
      </c>
      <c r="L2552" t="s">
        <v>184</v>
      </c>
      <c r="M2552" t="s">
        <v>438</v>
      </c>
      <c r="N2552" t="str">
        <f t="shared" si="190"/>
        <v>Double FrontVanda Boldtrak 25 with GlidesDecorator 2071Boldtrak Top Fix Bracket</v>
      </c>
      <c r="O2552">
        <v>20</v>
      </c>
      <c r="P2552">
        <v>45</v>
      </c>
      <c r="Q2552" s="80">
        <v>0</v>
      </c>
      <c r="R2552" s="80">
        <f t="shared" si="191"/>
        <v>25</v>
      </c>
      <c r="AD2552"/>
    </row>
    <row r="2553" spans="10:30" ht="16.2" customHeight="1">
      <c r="J2553" s="80" t="s">
        <v>747</v>
      </c>
      <c r="K2553" s="80" t="s">
        <v>431</v>
      </c>
      <c r="L2553" t="s">
        <v>184</v>
      </c>
      <c r="M2553" t="s">
        <v>438</v>
      </c>
      <c r="N2553" t="str">
        <f t="shared" si="190"/>
        <v>Double RearVanda Boldtrak 25 with GlidesDecorator 2071Boldtrak Top Fix Bracket</v>
      </c>
      <c r="O2553">
        <v>20</v>
      </c>
      <c r="P2553">
        <v>45</v>
      </c>
      <c r="Q2553" s="80">
        <v>0</v>
      </c>
      <c r="R2553" s="80">
        <f t="shared" si="191"/>
        <v>25</v>
      </c>
      <c r="AD2553"/>
    </row>
    <row r="2554" spans="10:30" ht="16.2" customHeight="1">
      <c r="J2554" s="80" t="s">
        <v>725</v>
      </c>
      <c r="K2554" s="80" t="s">
        <v>431</v>
      </c>
      <c r="L2554" t="s">
        <v>184</v>
      </c>
      <c r="M2554" t="s">
        <v>438</v>
      </c>
      <c r="N2554" t="str">
        <f t="shared" si="190"/>
        <v>SingleVanda Boldtrak 25 with GlidesDecorator 2071Boldtrak Top Fix Bracket</v>
      </c>
      <c r="O2554">
        <v>20</v>
      </c>
      <c r="P2554">
        <v>45</v>
      </c>
      <c r="Q2554" s="80">
        <v>0</v>
      </c>
      <c r="R2554" s="80">
        <f t="shared" si="191"/>
        <v>25</v>
      </c>
      <c r="AD2554"/>
    </row>
    <row r="2555" spans="10:30" ht="16.2" customHeight="1">
      <c r="J2555" s="80" t="s">
        <v>746</v>
      </c>
      <c r="K2555" s="80" t="s">
        <v>431</v>
      </c>
      <c r="L2555" t="s">
        <v>6468</v>
      </c>
      <c r="M2555" t="s">
        <v>438</v>
      </c>
      <c r="N2555" t="str">
        <f t="shared" si="190"/>
        <v>Double FrontVanda Boldtrak 25 with GlidesGather Hook Bottom PocketBoldtrak Top Fix Bracket</v>
      </c>
      <c r="O2555">
        <v>60</v>
      </c>
      <c r="P2555">
        <v>45</v>
      </c>
      <c r="Q2555" s="80">
        <v>0</v>
      </c>
      <c r="R2555" s="80">
        <f t="shared" si="191"/>
        <v>-15</v>
      </c>
      <c r="AD2555"/>
    </row>
    <row r="2556" spans="10:30" ht="16.2" customHeight="1">
      <c r="J2556" s="80" t="s">
        <v>725</v>
      </c>
      <c r="K2556" s="80" t="s">
        <v>431</v>
      </c>
      <c r="L2556" t="s">
        <v>6468</v>
      </c>
      <c r="M2556" t="s">
        <v>438</v>
      </c>
      <c r="N2556" t="str">
        <f t="shared" si="190"/>
        <v>SingleVanda Boldtrak 25 with GlidesGather Hook Bottom PocketBoldtrak Top Fix Bracket</v>
      </c>
      <c r="O2556">
        <v>60</v>
      </c>
      <c r="P2556">
        <v>45</v>
      </c>
      <c r="Q2556" s="80">
        <v>0</v>
      </c>
      <c r="R2556" s="80">
        <f t="shared" si="191"/>
        <v>-15</v>
      </c>
      <c r="AD2556"/>
    </row>
    <row r="2557" spans="10:30" ht="16.2" customHeight="1">
      <c r="J2557" s="80" t="s">
        <v>746</v>
      </c>
      <c r="K2557" s="80" t="s">
        <v>431</v>
      </c>
      <c r="L2557" t="s">
        <v>229</v>
      </c>
      <c r="M2557" t="s">
        <v>438</v>
      </c>
      <c r="N2557" t="str">
        <f t="shared" si="190"/>
        <v>Double FrontVanda Boldtrak 25 with GlidesGather Hook LevelBoldtrak Top Fix Bracket</v>
      </c>
      <c r="O2557">
        <v>20</v>
      </c>
      <c r="P2557">
        <v>45</v>
      </c>
      <c r="Q2557" s="80">
        <v>0</v>
      </c>
      <c r="R2557" s="80">
        <f t="shared" si="191"/>
        <v>25</v>
      </c>
      <c r="AD2557"/>
    </row>
    <row r="2558" spans="10:30" ht="16.2" customHeight="1">
      <c r="J2558" s="80" t="s">
        <v>747</v>
      </c>
      <c r="K2558" s="80" t="s">
        <v>431</v>
      </c>
      <c r="L2558" t="s">
        <v>229</v>
      </c>
      <c r="M2558" t="s">
        <v>438</v>
      </c>
      <c r="N2558" t="str">
        <f t="shared" si="190"/>
        <v>Double RearVanda Boldtrak 25 with GlidesGather Hook LevelBoldtrak Top Fix Bracket</v>
      </c>
      <c r="O2558">
        <v>20</v>
      </c>
      <c r="P2558">
        <v>45</v>
      </c>
      <c r="Q2558" s="80">
        <v>0</v>
      </c>
      <c r="R2558" s="80">
        <f t="shared" si="191"/>
        <v>25</v>
      </c>
      <c r="AD2558"/>
    </row>
    <row r="2559" spans="10:30" ht="16.2" customHeight="1">
      <c r="J2559" s="80" t="s">
        <v>725</v>
      </c>
      <c r="K2559" s="80" t="s">
        <v>431</v>
      </c>
      <c r="L2559" t="s">
        <v>229</v>
      </c>
      <c r="M2559" t="s">
        <v>438</v>
      </c>
      <c r="N2559" t="str">
        <f t="shared" si="190"/>
        <v>SingleVanda Boldtrak 25 with GlidesGather Hook LevelBoldtrak Top Fix Bracket</v>
      </c>
      <c r="O2559">
        <v>20</v>
      </c>
      <c r="P2559">
        <v>45</v>
      </c>
      <c r="Q2559" s="80">
        <v>0</v>
      </c>
      <c r="R2559" s="80">
        <f t="shared" si="191"/>
        <v>25</v>
      </c>
      <c r="AD2559"/>
    </row>
    <row r="2560" spans="10:30" ht="16.2" customHeight="1">
      <c r="J2560" s="80" t="s">
        <v>746</v>
      </c>
      <c r="K2560" s="80" t="s">
        <v>431</v>
      </c>
      <c r="L2560" t="s">
        <v>228</v>
      </c>
      <c r="M2560" t="s">
        <v>438</v>
      </c>
      <c r="N2560" t="str">
        <f t="shared" si="190"/>
        <v>Double FrontVanda Boldtrak 25 with GlidesGather Hook NormalBoldtrak Top Fix Bracket</v>
      </c>
      <c r="O2560">
        <v>43</v>
      </c>
      <c r="P2560">
        <v>45</v>
      </c>
      <c r="Q2560" s="80">
        <v>0</v>
      </c>
      <c r="R2560" s="80">
        <f t="shared" si="191"/>
        <v>2</v>
      </c>
      <c r="AD2560"/>
    </row>
    <row r="2561" spans="10:30" ht="16.2" customHeight="1">
      <c r="J2561" s="80" t="s">
        <v>747</v>
      </c>
      <c r="K2561" s="80" t="s">
        <v>431</v>
      </c>
      <c r="L2561" t="s">
        <v>228</v>
      </c>
      <c r="M2561" t="s">
        <v>438</v>
      </c>
      <c r="N2561" t="str">
        <f t="shared" si="190"/>
        <v>Double RearVanda Boldtrak 25 with GlidesGather Hook NormalBoldtrak Top Fix Bracket</v>
      </c>
      <c r="O2561">
        <v>43</v>
      </c>
      <c r="P2561">
        <v>45</v>
      </c>
      <c r="Q2561" s="80">
        <v>0</v>
      </c>
      <c r="R2561" s="80">
        <f t="shared" si="191"/>
        <v>2</v>
      </c>
      <c r="AD2561"/>
    </row>
    <row r="2562" spans="10:30" ht="16.2" customHeight="1">
      <c r="J2562" s="80" t="s">
        <v>725</v>
      </c>
      <c r="K2562" s="80" t="s">
        <v>431</v>
      </c>
      <c r="L2562" t="s">
        <v>228</v>
      </c>
      <c r="M2562" t="s">
        <v>438</v>
      </c>
      <c r="N2562" t="str">
        <f t="shared" si="192" ref="N2562:N2625">(CONCATENATE(J2562,K2562,L2562,M2562))</f>
        <v>SingleVanda Boldtrak 25 with GlidesGather Hook NormalBoldtrak Top Fix Bracket</v>
      </c>
      <c r="O2562">
        <v>43</v>
      </c>
      <c r="P2562">
        <v>45</v>
      </c>
      <c r="Q2562" s="80">
        <v>0</v>
      </c>
      <c r="R2562" s="80">
        <f t="shared" si="191"/>
        <v>2</v>
      </c>
      <c r="AD2562"/>
    </row>
    <row r="2563" spans="10:30" ht="16.2" customHeight="1">
      <c r="J2563" s="80" t="s">
        <v>746</v>
      </c>
      <c r="K2563" s="80" t="s">
        <v>431</v>
      </c>
      <c r="L2563" t="s">
        <v>282</v>
      </c>
      <c r="M2563" t="s">
        <v>438</v>
      </c>
      <c r="N2563" t="str">
        <f t="shared" si="192"/>
        <v>Double FrontVanda Boldtrak 25 with GlidesLevel 2072Boldtrak Top Fix Bracket</v>
      </c>
      <c r="O2563">
        <v>38</v>
      </c>
      <c r="P2563">
        <v>45</v>
      </c>
      <c r="Q2563" s="80">
        <v>0</v>
      </c>
      <c r="R2563" s="80">
        <f t="shared" si="191"/>
        <v>7</v>
      </c>
      <c r="AD2563"/>
    </row>
    <row r="2564" spans="10:30" ht="16.2" customHeight="1">
      <c r="J2564" s="80" t="s">
        <v>747</v>
      </c>
      <c r="K2564" s="80" t="s">
        <v>431</v>
      </c>
      <c r="L2564" t="s">
        <v>282</v>
      </c>
      <c r="M2564" t="s">
        <v>438</v>
      </c>
      <c r="N2564" t="str">
        <f t="shared" si="192"/>
        <v>Double RearVanda Boldtrak 25 with GlidesLevel 2072Boldtrak Top Fix Bracket</v>
      </c>
      <c r="O2564">
        <v>38</v>
      </c>
      <c r="P2564">
        <v>45</v>
      </c>
      <c r="Q2564" s="80">
        <v>0</v>
      </c>
      <c r="R2564" s="80">
        <f t="shared" si="191"/>
        <v>7</v>
      </c>
      <c r="AD2564"/>
    </row>
    <row r="2565" spans="10:30" ht="16.2" customHeight="1">
      <c r="J2565" s="80" t="s">
        <v>725</v>
      </c>
      <c r="K2565" s="80" t="s">
        <v>431</v>
      </c>
      <c r="L2565" t="s">
        <v>282</v>
      </c>
      <c r="M2565" t="s">
        <v>438</v>
      </c>
      <c r="N2565" t="str">
        <f t="shared" si="192"/>
        <v>SingleVanda Boldtrak 25 with GlidesLevel 2072Boldtrak Top Fix Bracket</v>
      </c>
      <c r="O2565">
        <v>35</v>
      </c>
      <c r="P2565">
        <v>45</v>
      </c>
      <c r="Q2565" s="80">
        <v>0</v>
      </c>
      <c r="R2565" s="80">
        <f t="shared" si="191"/>
        <v>10</v>
      </c>
      <c r="AD2565"/>
    </row>
    <row r="2566" spans="10:30" ht="16.2" customHeight="1">
      <c r="J2566" s="80" t="s">
        <v>746</v>
      </c>
      <c r="K2566" s="80" t="s">
        <v>431</v>
      </c>
      <c r="L2566" t="s">
        <v>170</v>
      </c>
      <c r="M2566" t="s">
        <v>438</v>
      </c>
      <c r="N2566" t="str">
        <f t="shared" si="192"/>
        <v>Double FrontVanda Boldtrak 25 with GlidesNormal 2074Boldtrak Top Fix Bracket</v>
      </c>
      <c r="O2566">
        <v>60</v>
      </c>
      <c r="P2566">
        <v>45</v>
      </c>
      <c r="Q2566" s="80">
        <v>0</v>
      </c>
      <c r="R2566" s="80">
        <f t="shared" si="191"/>
        <v>-15</v>
      </c>
      <c r="AD2566"/>
    </row>
    <row r="2567" spans="10:30" ht="16.2" customHeight="1">
      <c r="J2567" s="80" t="s">
        <v>747</v>
      </c>
      <c r="K2567" s="80" t="s">
        <v>431</v>
      </c>
      <c r="L2567" t="s">
        <v>170</v>
      </c>
      <c r="M2567" t="s">
        <v>438</v>
      </c>
      <c r="N2567" t="str">
        <f t="shared" si="192"/>
        <v>Double RearVanda Boldtrak 25 with GlidesNormal 2074Boldtrak Top Fix Bracket</v>
      </c>
      <c r="O2567">
        <v>60</v>
      </c>
      <c r="P2567">
        <v>45</v>
      </c>
      <c r="Q2567" s="80">
        <v>0</v>
      </c>
      <c r="R2567" s="80">
        <f t="shared" si="191"/>
        <v>-15</v>
      </c>
      <c r="AD2567"/>
    </row>
    <row r="2568" spans="10:30" ht="16.2" customHeight="1">
      <c r="J2568" s="80" t="s">
        <v>725</v>
      </c>
      <c r="K2568" s="80" t="s">
        <v>431</v>
      </c>
      <c r="L2568" t="s">
        <v>170</v>
      </c>
      <c r="M2568" t="s">
        <v>438</v>
      </c>
      <c r="N2568" t="str">
        <f t="shared" si="192"/>
        <v>SingleVanda Boldtrak 25 with GlidesNormal 2074Boldtrak Top Fix Bracket</v>
      </c>
      <c r="O2568">
        <v>60</v>
      </c>
      <c r="P2568">
        <v>45</v>
      </c>
      <c r="Q2568" s="80">
        <v>0</v>
      </c>
      <c r="R2568" s="80">
        <f t="shared" si="191"/>
        <v>-15</v>
      </c>
      <c r="AD2568"/>
    </row>
    <row r="2569" spans="10:30" ht="16.2" customHeight="1">
      <c r="J2569" s="80" t="s">
        <v>747</v>
      </c>
      <c r="K2569" s="80" t="s">
        <v>604</v>
      </c>
      <c r="L2569" t="s">
        <v>183</v>
      </c>
      <c r="M2569" t="s">
        <v>436</v>
      </c>
      <c r="N2569" t="str">
        <f t="shared" si="192"/>
        <v>Double RearVanda Boldtrak 32 with GlidesBelow Normal 2075Boldtrak Premo 100mm Bracket</v>
      </c>
      <c r="O2569">
        <v>70</v>
      </c>
      <c r="P2569">
        <v>80</v>
      </c>
      <c r="Q2569" s="80">
        <v>0</v>
      </c>
      <c r="R2569" s="80">
        <f t="shared" si="191"/>
        <v>10</v>
      </c>
      <c r="AD2569"/>
    </row>
    <row r="2570" spans="10:30" ht="16.2" customHeight="1">
      <c r="J2570" s="80" t="s">
        <v>747</v>
      </c>
      <c r="K2570" s="80" t="s">
        <v>604</v>
      </c>
      <c r="L2570" t="s">
        <v>182</v>
      </c>
      <c r="M2570" t="s">
        <v>436</v>
      </c>
      <c r="N2570" t="str">
        <f t="shared" si="192"/>
        <v>Double RearVanda Boldtrak 32 with GlidesBetween Level and Normal 2073Boldtrak Premo 100mm Bracket</v>
      </c>
      <c r="O2570">
        <v>48</v>
      </c>
      <c r="P2570">
        <v>80</v>
      </c>
      <c r="Q2570" s="80">
        <v>0</v>
      </c>
      <c r="R2570" s="80">
        <f t="shared" si="191"/>
        <v>32</v>
      </c>
      <c r="AD2570"/>
    </row>
    <row r="2571" spans="10:30" ht="16.2" customHeight="1">
      <c r="J2571" s="80" t="s">
        <v>747</v>
      </c>
      <c r="K2571" s="80" t="s">
        <v>604</v>
      </c>
      <c r="L2571" t="s">
        <v>184</v>
      </c>
      <c r="M2571" t="s">
        <v>436</v>
      </c>
      <c r="N2571" t="str">
        <f t="shared" si="192"/>
        <v>Double RearVanda Boldtrak 32 with GlidesDecorator 2071Boldtrak Premo 100mm Bracket</v>
      </c>
      <c r="O2571">
        <v>20</v>
      </c>
      <c r="P2571">
        <v>80</v>
      </c>
      <c r="Q2571" s="80">
        <v>0</v>
      </c>
      <c r="R2571" s="80">
        <f t="shared" si="191"/>
        <v>60</v>
      </c>
      <c r="AD2571"/>
    </row>
    <row r="2572" spans="10:30" ht="16.2" customHeight="1">
      <c r="J2572" s="80" t="s">
        <v>747</v>
      </c>
      <c r="K2572" s="80" t="s">
        <v>604</v>
      </c>
      <c r="L2572" t="s">
        <v>229</v>
      </c>
      <c r="M2572" t="s">
        <v>436</v>
      </c>
      <c r="N2572" t="str">
        <f t="shared" si="192"/>
        <v>Double RearVanda Boldtrak 32 with GlidesGather Hook LevelBoldtrak Premo 100mm Bracket</v>
      </c>
      <c r="O2572">
        <v>20</v>
      </c>
      <c r="P2572">
        <v>80</v>
      </c>
      <c r="Q2572" s="80">
        <v>0</v>
      </c>
      <c r="R2572" s="80">
        <f t="shared" si="191"/>
        <v>60</v>
      </c>
      <c r="AD2572"/>
    </row>
    <row r="2573" spans="10:30" ht="16.2" customHeight="1">
      <c r="J2573" s="80" t="s">
        <v>747</v>
      </c>
      <c r="K2573" s="80" t="s">
        <v>604</v>
      </c>
      <c r="L2573" t="s">
        <v>228</v>
      </c>
      <c r="M2573" t="s">
        <v>436</v>
      </c>
      <c r="N2573" t="str">
        <f t="shared" si="192"/>
        <v>Double RearVanda Boldtrak 32 with GlidesGather Hook NormalBoldtrak Premo 100mm Bracket</v>
      </c>
      <c r="O2573">
        <v>43</v>
      </c>
      <c r="P2573">
        <v>80</v>
      </c>
      <c r="Q2573" s="80">
        <v>0</v>
      </c>
      <c r="R2573" s="80">
        <f t="shared" si="191"/>
        <v>37</v>
      </c>
      <c r="AD2573"/>
    </row>
    <row r="2574" spans="10:30" ht="16.2" customHeight="1">
      <c r="J2574" s="80" t="s">
        <v>747</v>
      </c>
      <c r="K2574" s="80" t="s">
        <v>604</v>
      </c>
      <c r="L2574" t="s">
        <v>282</v>
      </c>
      <c r="M2574" t="s">
        <v>436</v>
      </c>
      <c r="N2574" t="str">
        <f t="shared" si="192"/>
        <v>Double RearVanda Boldtrak 32 with GlidesLevel 2072Boldtrak Premo 100mm Bracket</v>
      </c>
      <c r="O2574">
        <v>38</v>
      </c>
      <c r="P2574">
        <v>80</v>
      </c>
      <c r="Q2574" s="80">
        <v>0</v>
      </c>
      <c r="R2574" s="80">
        <f t="shared" si="191"/>
        <v>42</v>
      </c>
      <c r="AD2574"/>
    </row>
    <row r="2575" spans="10:30" ht="16.2" customHeight="1">
      <c r="J2575" s="80" t="s">
        <v>747</v>
      </c>
      <c r="K2575" s="80" t="s">
        <v>604</v>
      </c>
      <c r="L2575" t="s">
        <v>170</v>
      </c>
      <c r="M2575" t="s">
        <v>436</v>
      </c>
      <c r="N2575" t="str">
        <f t="shared" si="192"/>
        <v>Double RearVanda Boldtrak 32 with GlidesNormal 2074Boldtrak Premo 100mm Bracket</v>
      </c>
      <c r="O2575">
        <v>60</v>
      </c>
      <c r="P2575">
        <v>80</v>
      </c>
      <c r="Q2575" s="80">
        <v>0</v>
      </c>
      <c r="R2575" s="80">
        <f t="shared" si="191"/>
        <v>20</v>
      </c>
      <c r="AD2575"/>
    </row>
    <row r="2576" spans="10:30" ht="16.2" customHeight="1">
      <c r="J2576" s="80" t="s">
        <v>746</v>
      </c>
      <c r="K2576" s="80" t="s">
        <v>604</v>
      </c>
      <c r="L2576" t="s">
        <v>183</v>
      </c>
      <c r="M2576" t="s">
        <v>9299</v>
      </c>
      <c r="N2576" t="str">
        <f t="shared" si="192"/>
        <v>Double FrontVanda Boldtrak 32 with GlidesBelow Normal 2075Boldtrak Premo 115mm Bracket</v>
      </c>
      <c r="O2576">
        <v>70</v>
      </c>
      <c r="P2576">
        <v>58</v>
      </c>
      <c r="Q2576" s="80">
        <v>0</v>
      </c>
      <c r="R2576" s="80">
        <f t="shared" si="191"/>
        <v>-12</v>
      </c>
      <c r="AD2576"/>
    </row>
    <row r="2577" spans="10:30" ht="16.2" customHeight="1">
      <c r="J2577" s="80" t="s">
        <v>747</v>
      </c>
      <c r="K2577" s="80" t="s">
        <v>604</v>
      </c>
      <c r="L2577" t="s">
        <v>183</v>
      </c>
      <c r="M2577" t="s">
        <v>9299</v>
      </c>
      <c r="N2577" t="str">
        <f t="shared" si="192"/>
        <v>Double RearVanda Boldtrak 32 with GlidesBelow Normal 2075Boldtrak Premo 115mm Bracket</v>
      </c>
      <c r="O2577">
        <v>70</v>
      </c>
      <c r="P2577">
        <v>80</v>
      </c>
      <c r="Q2577" s="80">
        <v>0</v>
      </c>
      <c r="R2577" s="80">
        <f t="shared" si="191"/>
        <v>10</v>
      </c>
      <c r="AD2577"/>
    </row>
    <row r="2578" spans="10:30" ht="16.2" customHeight="1">
      <c r="J2578" s="80" t="s">
        <v>725</v>
      </c>
      <c r="K2578" s="80" t="s">
        <v>604</v>
      </c>
      <c r="L2578" t="s">
        <v>183</v>
      </c>
      <c r="M2578" t="s">
        <v>9299</v>
      </c>
      <c r="N2578" t="str">
        <f t="shared" si="192"/>
        <v>SingleVanda Boldtrak 32 with GlidesBelow Normal 2075Boldtrak Premo 115mm Bracket</v>
      </c>
      <c r="O2578">
        <v>70</v>
      </c>
      <c r="P2578">
        <v>58</v>
      </c>
      <c r="Q2578" s="80">
        <v>0</v>
      </c>
      <c r="R2578" s="80">
        <f t="shared" si="191"/>
        <v>-12</v>
      </c>
      <c r="AD2578"/>
    </row>
    <row r="2579" spans="10:30" ht="16.2" customHeight="1">
      <c r="J2579" s="80" t="s">
        <v>746</v>
      </c>
      <c r="K2579" s="80" t="s">
        <v>604</v>
      </c>
      <c r="L2579" t="s">
        <v>182</v>
      </c>
      <c r="M2579" t="s">
        <v>9299</v>
      </c>
      <c r="N2579" t="str">
        <f t="shared" si="192"/>
        <v>Double FrontVanda Boldtrak 32 with GlidesBetween Level and Normal 2073Boldtrak Premo 115mm Bracket</v>
      </c>
      <c r="O2579">
        <v>48</v>
      </c>
      <c r="P2579">
        <v>58</v>
      </c>
      <c r="Q2579" s="80">
        <v>0</v>
      </c>
      <c r="R2579" s="80">
        <f t="shared" si="191"/>
        <v>10</v>
      </c>
      <c r="AD2579"/>
    </row>
    <row r="2580" spans="10:30" ht="16.2" customHeight="1">
      <c r="J2580" s="80" t="s">
        <v>747</v>
      </c>
      <c r="K2580" s="80" t="s">
        <v>604</v>
      </c>
      <c r="L2580" t="s">
        <v>182</v>
      </c>
      <c r="M2580" t="s">
        <v>9299</v>
      </c>
      <c r="N2580" t="str">
        <f t="shared" si="192"/>
        <v>Double RearVanda Boldtrak 32 with GlidesBetween Level and Normal 2073Boldtrak Premo 115mm Bracket</v>
      </c>
      <c r="O2580">
        <v>48</v>
      </c>
      <c r="P2580">
        <v>80</v>
      </c>
      <c r="Q2580" s="80">
        <v>0</v>
      </c>
      <c r="R2580" s="80">
        <f t="shared" si="191"/>
        <v>32</v>
      </c>
      <c r="AD2580"/>
    </row>
    <row r="2581" spans="10:30" ht="16.2" customHeight="1">
      <c r="J2581" s="80" t="s">
        <v>725</v>
      </c>
      <c r="K2581" s="80" t="s">
        <v>604</v>
      </c>
      <c r="L2581" t="s">
        <v>182</v>
      </c>
      <c r="M2581" t="s">
        <v>9299</v>
      </c>
      <c r="N2581" t="str">
        <f t="shared" si="192"/>
        <v>SingleVanda Boldtrak 32 with GlidesBetween Level and Normal 2073Boldtrak Premo 115mm Bracket</v>
      </c>
      <c r="O2581">
        <v>47</v>
      </c>
      <c r="P2581">
        <v>58</v>
      </c>
      <c r="Q2581" s="80">
        <v>0</v>
      </c>
      <c r="R2581" s="80">
        <f t="shared" si="191"/>
        <v>11</v>
      </c>
      <c r="AD2581"/>
    </row>
    <row r="2582" spans="10:30" ht="16.2" customHeight="1">
      <c r="J2582" s="80" t="s">
        <v>746</v>
      </c>
      <c r="K2582" s="80" t="s">
        <v>604</v>
      </c>
      <c r="L2582" t="s">
        <v>184</v>
      </c>
      <c r="M2582" t="s">
        <v>9299</v>
      </c>
      <c r="N2582" t="str">
        <f t="shared" si="192"/>
        <v>Double FrontVanda Boldtrak 32 with GlidesDecorator 2071Boldtrak Premo 115mm Bracket</v>
      </c>
      <c r="O2582">
        <v>20</v>
      </c>
      <c r="P2582">
        <v>58</v>
      </c>
      <c r="Q2582" s="80">
        <v>0</v>
      </c>
      <c r="R2582" s="80">
        <f t="shared" si="191"/>
        <v>38</v>
      </c>
      <c r="AD2582"/>
    </row>
    <row r="2583" spans="10:30" ht="16.2" customHeight="1">
      <c r="J2583" s="80" t="s">
        <v>747</v>
      </c>
      <c r="K2583" s="80" t="s">
        <v>604</v>
      </c>
      <c r="L2583" t="s">
        <v>184</v>
      </c>
      <c r="M2583" t="s">
        <v>9299</v>
      </c>
      <c r="N2583" t="str">
        <f t="shared" si="192"/>
        <v>Double RearVanda Boldtrak 32 with GlidesDecorator 2071Boldtrak Premo 115mm Bracket</v>
      </c>
      <c r="O2583">
        <v>20</v>
      </c>
      <c r="P2583">
        <v>80</v>
      </c>
      <c r="Q2583" s="80">
        <v>0</v>
      </c>
      <c r="R2583" s="80">
        <f t="shared" si="191"/>
        <v>60</v>
      </c>
      <c r="AD2583"/>
    </row>
    <row r="2584" spans="10:30" ht="16.2" customHeight="1">
      <c r="J2584" s="80" t="s">
        <v>725</v>
      </c>
      <c r="K2584" s="80" t="s">
        <v>604</v>
      </c>
      <c r="L2584" t="s">
        <v>184</v>
      </c>
      <c r="M2584" t="s">
        <v>9299</v>
      </c>
      <c r="N2584" t="str">
        <f t="shared" si="192"/>
        <v>SingleVanda Boldtrak 32 with GlidesDecorator 2071Boldtrak Premo 115mm Bracket</v>
      </c>
      <c r="O2584">
        <v>20</v>
      </c>
      <c r="P2584">
        <v>58</v>
      </c>
      <c r="Q2584" s="80">
        <v>0</v>
      </c>
      <c r="R2584" s="80">
        <f t="shared" si="191"/>
        <v>38</v>
      </c>
      <c r="AD2584"/>
    </row>
    <row r="2585" spans="10:30" ht="16.2" customHeight="1">
      <c r="J2585" s="80" t="s">
        <v>746</v>
      </c>
      <c r="K2585" s="80" t="s">
        <v>604</v>
      </c>
      <c r="L2585" t="s">
        <v>6468</v>
      </c>
      <c r="M2585" t="s">
        <v>9299</v>
      </c>
      <c r="N2585" t="str">
        <f t="shared" si="192"/>
        <v>Double FrontVanda Boldtrak 32 with GlidesGather Hook Bottom PocketBoldtrak Premo 115mm Bracket</v>
      </c>
      <c r="O2585">
        <v>60</v>
      </c>
      <c r="P2585">
        <v>51</v>
      </c>
      <c r="Q2585" s="80">
        <v>0</v>
      </c>
      <c r="R2585" s="80">
        <f t="shared" si="191"/>
        <v>-9</v>
      </c>
      <c r="AD2585"/>
    </row>
    <row r="2586" spans="10:30" ht="16.2" customHeight="1">
      <c r="J2586" s="80" t="s">
        <v>725</v>
      </c>
      <c r="K2586" s="80" t="s">
        <v>604</v>
      </c>
      <c r="L2586" t="s">
        <v>6468</v>
      </c>
      <c r="M2586" t="s">
        <v>9299</v>
      </c>
      <c r="N2586" t="str">
        <f t="shared" si="192"/>
        <v>SingleVanda Boldtrak 32 with GlidesGather Hook Bottom PocketBoldtrak Premo 115mm Bracket</v>
      </c>
      <c r="O2586">
        <v>60</v>
      </c>
      <c r="P2586">
        <v>58</v>
      </c>
      <c r="Q2586" s="80">
        <v>0</v>
      </c>
      <c r="R2586" s="80">
        <f t="shared" si="191"/>
        <v>-2</v>
      </c>
      <c r="AD2586"/>
    </row>
    <row r="2587" spans="10:30" ht="16.2" customHeight="1">
      <c r="J2587" s="80" t="s">
        <v>746</v>
      </c>
      <c r="K2587" s="80" t="s">
        <v>604</v>
      </c>
      <c r="L2587" t="s">
        <v>229</v>
      </c>
      <c r="M2587" t="s">
        <v>9299</v>
      </c>
      <c r="N2587" t="str">
        <f t="shared" si="192"/>
        <v>Double FrontVanda Boldtrak 32 with GlidesGather Hook LevelBoldtrak Premo 115mm Bracket</v>
      </c>
      <c r="O2587">
        <v>20</v>
      </c>
      <c r="P2587">
        <v>58</v>
      </c>
      <c r="Q2587" s="80">
        <v>0</v>
      </c>
      <c r="R2587" s="80">
        <f t="shared" si="191"/>
        <v>38</v>
      </c>
      <c r="AD2587"/>
    </row>
    <row r="2588" spans="10:30" ht="16.2" customHeight="1">
      <c r="J2588" s="80" t="s">
        <v>747</v>
      </c>
      <c r="K2588" s="80" t="s">
        <v>604</v>
      </c>
      <c r="L2588" t="s">
        <v>229</v>
      </c>
      <c r="M2588" t="s">
        <v>9299</v>
      </c>
      <c r="N2588" t="str">
        <f t="shared" si="192"/>
        <v>Double RearVanda Boldtrak 32 with GlidesGather Hook LevelBoldtrak Premo 115mm Bracket</v>
      </c>
      <c r="O2588">
        <v>20</v>
      </c>
      <c r="P2588">
        <v>80</v>
      </c>
      <c r="Q2588" s="80">
        <v>0</v>
      </c>
      <c r="R2588" s="80">
        <f t="shared" si="191"/>
        <v>60</v>
      </c>
      <c r="AD2588"/>
    </row>
    <row r="2589" spans="10:30" ht="16.2" customHeight="1">
      <c r="J2589" s="80" t="s">
        <v>725</v>
      </c>
      <c r="K2589" s="80" t="s">
        <v>604</v>
      </c>
      <c r="L2589" t="s">
        <v>229</v>
      </c>
      <c r="M2589" t="s">
        <v>9299</v>
      </c>
      <c r="N2589" t="str">
        <f t="shared" si="192"/>
        <v>SingleVanda Boldtrak 32 with GlidesGather Hook LevelBoldtrak Premo 115mm Bracket</v>
      </c>
      <c r="O2589">
        <v>20</v>
      </c>
      <c r="P2589">
        <v>58</v>
      </c>
      <c r="Q2589" s="80">
        <v>0</v>
      </c>
      <c r="R2589" s="80">
        <f t="shared" si="191"/>
        <v>38</v>
      </c>
      <c r="AD2589"/>
    </row>
    <row r="2590" spans="10:30" ht="16.2" customHeight="1">
      <c r="J2590" s="80" t="s">
        <v>746</v>
      </c>
      <c r="K2590" s="80" t="s">
        <v>604</v>
      </c>
      <c r="L2590" t="s">
        <v>228</v>
      </c>
      <c r="M2590" t="s">
        <v>9299</v>
      </c>
      <c r="N2590" t="str">
        <f t="shared" si="192"/>
        <v>Double FrontVanda Boldtrak 32 with GlidesGather Hook NormalBoldtrak Premo 115mm Bracket</v>
      </c>
      <c r="O2590">
        <v>43</v>
      </c>
      <c r="P2590">
        <v>58</v>
      </c>
      <c r="Q2590" s="80">
        <v>0</v>
      </c>
      <c r="R2590" s="80">
        <f t="shared" si="191"/>
        <v>15</v>
      </c>
      <c r="AD2590"/>
    </row>
    <row r="2591" spans="10:30" ht="16.2" customHeight="1">
      <c r="J2591" s="80" t="s">
        <v>747</v>
      </c>
      <c r="K2591" s="80" t="s">
        <v>604</v>
      </c>
      <c r="L2591" t="s">
        <v>228</v>
      </c>
      <c r="M2591" t="s">
        <v>9299</v>
      </c>
      <c r="N2591" t="str">
        <f t="shared" si="192"/>
        <v>Double RearVanda Boldtrak 32 with GlidesGather Hook NormalBoldtrak Premo 115mm Bracket</v>
      </c>
      <c r="O2591">
        <v>43</v>
      </c>
      <c r="P2591">
        <v>80</v>
      </c>
      <c r="Q2591" s="80">
        <v>0</v>
      </c>
      <c r="R2591" s="80">
        <f t="shared" si="193" ref="R2591:R2654">SUM(P2591)-O2591</f>
        <v>37</v>
      </c>
      <c r="AD2591"/>
    </row>
    <row r="2592" spans="10:30" ht="16.2" customHeight="1">
      <c r="J2592" s="80" t="s">
        <v>725</v>
      </c>
      <c r="K2592" s="80" t="s">
        <v>604</v>
      </c>
      <c r="L2592" t="s">
        <v>228</v>
      </c>
      <c r="M2592" t="s">
        <v>9299</v>
      </c>
      <c r="N2592" t="str">
        <f t="shared" si="192"/>
        <v>SingleVanda Boldtrak 32 with GlidesGather Hook NormalBoldtrak Premo 115mm Bracket</v>
      </c>
      <c r="O2592">
        <v>43</v>
      </c>
      <c r="P2592">
        <v>58</v>
      </c>
      <c r="Q2592" s="80">
        <v>0</v>
      </c>
      <c r="R2592" s="80">
        <f t="shared" si="193"/>
        <v>15</v>
      </c>
      <c r="AD2592"/>
    </row>
    <row r="2593" spans="10:30" ht="16.2" customHeight="1">
      <c r="J2593" s="80" t="s">
        <v>746</v>
      </c>
      <c r="K2593" s="80" t="s">
        <v>604</v>
      </c>
      <c r="L2593" t="s">
        <v>282</v>
      </c>
      <c r="M2593" t="s">
        <v>9299</v>
      </c>
      <c r="N2593" t="str">
        <f t="shared" si="192"/>
        <v>Double FrontVanda Boldtrak 32 with GlidesLevel 2072Boldtrak Premo 115mm Bracket</v>
      </c>
      <c r="O2593">
        <v>38</v>
      </c>
      <c r="P2593">
        <v>58</v>
      </c>
      <c r="Q2593" s="80">
        <v>0</v>
      </c>
      <c r="R2593" s="80">
        <f t="shared" si="193"/>
        <v>20</v>
      </c>
      <c r="AD2593"/>
    </row>
    <row r="2594" spans="10:30" ht="16.2" customHeight="1">
      <c r="J2594" s="80" t="s">
        <v>747</v>
      </c>
      <c r="K2594" s="80" t="s">
        <v>604</v>
      </c>
      <c r="L2594" t="s">
        <v>282</v>
      </c>
      <c r="M2594" t="s">
        <v>9299</v>
      </c>
      <c r="N2594" t="str">
        <f t="shared" si="192"/>
        <v>Double RearVanda Boldtrak 32 with GlidesLevel 2072Boldtrak Premo 115mm Bracket</v>
      </c>
      <c r="O2594">
        <v>38</v>
      </c>
      <c r="P2594">
        <v>80</v>
      </c>
      <c r="Q2594" s="80">
        <v>0</v>
      </c>
      <c r="R2594" s="80">
        <f t="shared" si="193"/>
        <v>42</v>
      </c>
      <c r="AD2594"/>
    </row>
    <row r="2595" spans="10:30" ht="16.2" customHeight="1">
      <c r="J2595" s="80" t="s">
        <v>725</v>
      </c>
      <c r="K2595" s="80" t="s">
        <v>604</v>
      </c>
      <c r="L2595" t="s">
        <v>282</v>
      </c>
      <c r="M2595" t="s">
        <v>9299</v>
      </c>
      <c r="N2595" t="str">
        <f t="shared" si="192"/>
        <v>SingleVanda Boldtrak 32 with GlidesLevel 2072Boldtrak Premo 115mm Bracket</v>
      </c>
      <c r="O2595">
        <v>35</v>
      </c>
      <c r="P2595">
        <v>58</v>
      </c>
      <c r="Q2595" s="80">
        <v>0</v>
      </c>
      <c r="R2595" s="80">
        <f t="shared" si="193"/>
        <v>23</v>
      </c>
      <c r="AD2595"/>
    </row>
    <row r="2596" spans="10:30" ht="16.2" customHeight="1">
      <c r="J2596" s="80" t="s">
        <v>746</v>
      </c>
      <c r="K2596" s="80" t="s">
        <v>604</v>
      </c>
      <c r="L2596" t="s">
        <v>170</v>
      </c>
      <c r="M2596" t="s">
        <v>9299</v>
      </c>
      <c r="N2596" t="str">
        <f t="shared" si="192"/>
        <v>Double FrontVanda Boldtrak 32 with GlidesNormal 2074Boldtrak Premo 115mm Bracket</v>
      </c>
      <c r="O2596">
        <v>60</v>
      </c>
      <c r="P2596">
        <v>58</v>
      </c>
      <c r="Q2596" s="80">
        <v>0</v>
      </c>
      <c r="R2596" s="80">
        <f t="shared" si="193"/>
        <v>-2</v>
      </c>
      <c r="AD2596"/>
    </row>
    <row r="2597" spans="10:30" ht="16.2" customHeight="1">
      <c r="J2597" s="80" t="s">
        <v>747</v>
      </c>
      <c r="K2597" s="80" t="s">
        <v>604</v>
      </c>
      <c r="L2597" t="s">
        <v>170</v>
      </c>
      <c r="M2597" t="s">
        <v>9299</v>
      </c>
      <c r="N2597" t="str">
        <f t="shared" si="192"/>
        <v>Double RearVanda Boldtrak 32 with GlidesNormal 2074Boldtrak Premo 115mm Bracket</v>
      </c>
      <c r="O2597">
        <v>60</v>
      </c>
      <c r="P2597">
        <v>80</v>
      </c>
      <c r="Q2597" s="80">
        <v>0</v>
      </c>
      <c r="R2597" s="80">
        <f t="shared" si="193"/>
        <v>20</v>
      </c>
      <c r="AD2597"/>
    </row>
    <row r="2598" spans="10:30" ht="16.2" customHeight="1">
      <c r="J2598" s="80" t="s">
        <v>725</v>
      </c>
      <c r="K2598" s="80" t="s">
        <v>604</v>
      </c>
      <c r="L2598" t="s">
        <v>170</v>
      </c>
      <c r="M2598" t="s">
        <v>9299</v>
      </c>
      <c r="N2598" t="str">
        <f t="shared" si="192"/>
        <v>SingleVanda Boldtrak 32 with GlidesNormal 2074Boldtrak Premo 115mm Bracket</v>
      </c>
      <c r="O2598">
        <v>60</v>
      </c>
      <c r="P2598">
        <v>58</v>
      </c>
      <c r="Q2598" s="80">
        <v>0</v>
      </c>
      <c r="R2598" s="80">
        <f t="shared" si="193"/>
        <v>-2</v>
      </c>
      <c r="AD2598"/>
    </row>
    <row r="2599" spans="10:30" ht="16.2" customHeight="1">
      <c r="J2599" s="80" t="s">
        <v>747</v>
      </c>
      <c r="K2599" s="80" t="s">
        <v>604</v>
      </c>
      <c r="L2599" t="s">
        <v>183</v>
      </c>
      <c r="M2599" t="s">
        <v>437</v>
      </c>
      <c r="N2599" t="str">
        <f t="shared" si="192"/>
        <v>Double RearVanda Boldtrak 32 with GlidesBelow Normal 2075Boldtrak Premo 140mm Bracket</v>
      </c>
      <c r="O2599">
        <v>70</v>
      </c>
      <c r="P2599">
        <v>58</v>
      </c>
      <c r="Q2599" s="80">
        <v>0</v>
      </c>
      <c r="R2599" s="80">
        <f t="shared" si="193"/>
        <v>-12</v>
      </c>
      <c r="AD2599"/>
    </row>
    <row r="2600" spans="10:30" ht="16.2" customHeight="1">
      <c r="J2600" s="80" t="s">
        <v>747</v>
      </c>
      <c r="K2600" s="80" t="s">
        <v>604</v>
      </c>
      <c r="L2600" t="s">
        <v>182</v>
      </c>
      <c r="M2600" t="s">
        <v>437</v>
      </c>
      <c r="N2600" t="str">
        <f t="shared" si="192"/>
        <v>Double RearVanda Boldtrak 32 with GlidesBetween Level and Normal 2073Boldtrak Premo 140mm Bracket</v>
      </c>
      <c r="O2600">
        <v>48</v>
      </c>
      <c r="P2600">
        <v>58</v>
      </c>
      <c r="Q2600" s="80">
        <v>0</v>
      </c>
      <c r="R2600" s="80">
        <f t="shared" si="193"/>
        <v>10</v>
      </c>
      <c r="AD2600"/>
    </row>
    <row r="2601" spans="10:30" ht="16.2" customHeight="1">
      <c r="J2601" s="80" t="s">
        <v>747</v>
      </c>
      <c r="K2601" s="80" t="s">
        <v>604</v>
      </c>
      <c r="L2601" t="s">
        <v>184</v>
      </c>
      <c r="M2601" t="s">
        <v>437</v>
      </c>
      <c r="N2601" t="str">
        <f t="shared" si="192"/>
        <v>Double RearVanda Boldtrak 32 with GlidesDecorator 2071Boldtrak Premo 140mm Bracket</v>
      </c>
      <c r="O2601">
        <v>20</v>
      </c>
      <c r="P2601">
        <v>58</v>
      </c>
      <c r="Q2601" s="80">
        <v>0</v>
      </c>
      <c r="R2601" s="80">
        <f t="shared" si="193"/>
        <v>38</v>
      </c>
      <c r="AD2601"/>
    </row>
    <row r="2602" spans="10:30" ht="16.2" customHeight="1">
      <c r="J2602" s="80" t="s">
        <v>747</v>
      </c>
      <c r="K2602" s="80" t="s">
        <v>604</v>
      </c>
      <c r="L2602" t="s">
        <v>229</v>
      </c>
      <c r="M2602" t="s">
        <v>437</v>
      </c>
      <c r="N2602" t="str">
        <f t="shared" si="192"/>
        <v>Double RearVanda Boldtrak 32 with GlidesGather Hook LevelBoldtrak Premo 140mm Bracket</v>
      </c>
      <c r="O2602">
        <v>20</v>
      </c>
      <c r="P2602">
        <v>58</v>
      </c>
      <c r="Q2602" s="80">
        <v>0</v>
      </c>
      <c r="R2602" s="80">
        <f t="shared" si="193"/>
        <v>38</v>
      </c>
      <c r="AD2602"/>
    </row>
    <row r="2603" spans="10:30" ht="16.2" customHeight="1">
      <c r="J2603" s="80" t="s">
        <v>747</v>
      </c>
      <c r="K2603" s="80" t="s">
        <v>604</v>
      </c>
      <c r="L2603" t="s">
        <v>228</v>
      </c>
      <c r="M2603" t="s">
        <v>437</v>
      </c>
      <c r="N2603" t="str">
        <f t="shared" si="192"/>
        <v>Double RearVanda Boldtrak 32 with GlidesGather Hook NormalBoldtrak Premo 140mm Bracket</v>
      </c>
      <c r="O2603">
        <v>43</v>
      </c>
      <c r="P2603">
        <v>58</v>
      </c>
      <c r="Q2603" s="80">
        <v>0</v>
      </c>
      <c r="R2603" s="80">
        <f t="shared" si="193"/>
        <v>15</v>
      </c>
      <c r="AD2603"/>
    </row>
    <row r="2604" spans="10:30" ht="16.2" customHeight="1">
      <c r="J2604" s="80" t="s">
        <v>747</v>
      </c>
      <c r="K2604" s="80" t="s">
        <v>604</v>
      </c>
      <c r="L2604" t="s">
        <v>282</v>
      </c>
      <c r="M2604" t="s">
        <v>437</v>
      </c>
      <c r="N2604" t="str">
        <f t="shared" si="192"/>
        <v>Double RearVanda Boldtrak 32 with GlidesLevel 2072Boldtrak Premo 140mm Bracket</v>
      </c>
      <c r="O2604">
        <v>38</v>
      </c>
      <c r="P2604">
        <v>58</v>
      </c>
      <c r="Q2604" s="80">
        <v>0</v>
      </c>
      <c r="R2604" s="80">
        <f t="shared" si="193"/>
        <v>20</v>
      </c>
      <c r="AD2604"/>
    </row>
    <row r="2605" spans="10:30" ht="16.2" customHeight="1">
      <c r="J2605" s="80" t="s">
        <v>747</v>
      </c>
      <c r="K2605" s="80" t="s">
        <v>604</v>
      </c>
      <c r="L2605" t="s">
        <v>170</v>
      </c>
      <c r="M2605" t="s">
        <v>437</v>
      </c>
      <c r="N2605" t="str">
        <f t="shared" si="192"/>
        <v>Double RearVanda Boldtrak 32 with GlidesNormal 2074Boldtrak Premo 140mm Bracket</v>
      </c>
      <c r="O2605">
        <v>60</v>
      </c>
      <c r="P2605">
        <v>58</v>
      </c>
      <c r="Q2605" s="80">
        <v>0</v>
      </c>
      <c r="R2605" s="80">
        <f t="shared" si="193"/>
        <v>-2</v>
      </c>
      <c r="AD2605"/>
    </row>
    <row r="2606" spans="10:30" ht="16.2" customHeight="1">
      <c r="J2606" s="80" t="s">
        <v>746</v>
      </c>
      <c r="K2606" s="80" t="s">
        <v>604</v>
      </c>
      <c r="L2606" t="s">
        <v>183</v>
      </c>
      <c r="M2606" t="s">
        <v>9300</v>
      </c>
      <c r="N2606" t="str">
        <f t="shared" si="192"/>
        <v>Double FrontVanda Boldtrak 32 with GlidesBelow Normal 2075Boldtrak Premo 155mm Bracket</v>
      </c>
      <c r="O2606">
        <v>70</v>
      </c>
      <c r="P2606">
        <v>58</v>
      </c>
      <c r="Q2606" s="80">
        <v>0</v>
      </c>
      <c r="R2606" s="80">
        <f t="shared" si="193"/>
        <v>-12</v>
      </c>
      <c r="AD2606"/>
    </row>
    <row r="2607" spans="10:30" ht="16.2" customHeight="1">
      <c r="J2607" s="80" t="s">
        <v>747</v>
      </c>
      <c r="K2607" s="80" t="s">
        <v>604</v>
      </c>
      <c r="L2607" t="s">
        <v>183</v>
      </c>
      <c r="M2607" t="s">
        <v>9300</v>
      </c>
      <c r="N2607" t="str">
        <f t="shared" si="192"/>
        <v>Double RearVanda Boldtrak 32 with GlidesBelow Normal 2075Boldtrak Premo 155mm Bracket</v>
      </c>
      <c r="O2607">
        <v>70</v>
      </c>
      <c r="P2607">
        <v>80</v>
      </c>
      <c r="Q2607" s="80">
        <v>0</v>
      </c>
      <c r="R2607" s="80">
        <f t="shared" si="193"/>
        <v>10</v>
      </c>
      <c r="AD2607"/>
    </row>
    <row r="2608" spans="10:30" ht="16.2" customHeight="1">
      <c r="J2608" s="80" t="s">
        <v>725</v>
      </c>
      <c r="K2608" s="80" t="s">
        <v>604</v>
      </c>
      <c r="L2608" t="s">
        <v>183</v>
      </c>
      <c r="M2608" t="s">
        <v>9300</v>
      </c>
      <c r="N2608" t="str">
        <f t="shared" si="192"/>
        <v>SingleVanda Boldtrak 32 with GlidesBelow Normal 2075Boldtrak Premo 155mm Bracket</v>
      </c>
      <c r="O2608">
        <v>70</v>
      </c>
      <c r="P2608">
        <v>58</v>
      </c>
      <c r="Q2608" s="80">
        <v>0</v>
      </c>
      <c r="R2608" s="80">
        <f t="shared" si="193"/>
        <v>-12</v>
      </c>
      <c r="AD2608"/>
    </row>
    <row r="2609" spans="10:30" ht="16.2" customHeight="1">
      <c r="J2609" s="80" t="s">
        <v>746</v>
      </c>
      <c r="K2609" s="80" t="s">
        <v>604</v>
      </c>
      <c r="L2609" t="s">
        <v>182</v>
      </c>
      <c r="M2609" t="s">
        <v>9300</v>
      </c>
      <c r="N2609" t="str">
        <f t="shared" si="192"/>
        <v>Double FrontVanda Boldtrak 32 with GlidesBetween Level and Normal 2073Boldtrak Premo 155mm Bracket</v>
      </c>
      <c r="O2609">
        <v>48</v>
      </c>
      <c r="P2609">
        <v>58</v>
      </c>
      <c r="Q2609" s="80">
        <v>0</v>
      </c>
      <c r="R2609" s="80">
        <f t="shared" si="193"/>
        <v>10</v>
      </c>
      <c r="AD2609"/>
    </row>
    <row r="2610" spans="10:30" ht="16.2" customHeight="1">
      <c r="J2610" s="80" t="s">
        <v>747</v>
      </c>
      <c r="K2610" s="80" t="s">
        <v>604</v>
      </c>
      <c r="L2610" t="s">
        <v>182</v>
      </c>
      <c r="M2610" t="s">
        <v>9300</v>
      </c>
      <c r="N2610" t="str">
        <f t="shared" si="192"/>
        <v>Double RearVanda Boldtrak 32 with GlidesBetween Level and Normal 2073Boldtrak Premo 155mm Bracket</v>
      </c>
      <c r="O2610">
        <v>48</v>
      </c>
      <c r="P2610">
        <v>80</v>
      </c>
      <c r="Q2610" s="80">
        <v>0</v>
      </c>
      <c r="R2610" s="80">
        <f t="shared" si="193"/>
        <v>32</v>
      </c>
      <c r="AD2610"/>
    </row>
    <row r="2611" spans="10:30" ht="16.2" customHeight="1">
      <c r="J2611" s="80" t="s">
        <v>725</v>
      </c>
      <c r="K2611" s="80" t="s">
        <v>604</v>
      </c>
      <c r="L2611" t="s">
        <v>182</v>
      </c>
      <c r="M2611" t="s">
        <v>9300</v>
      </c>
      <c r="N2611" t="str">
        <f t="shared" si="192"/>
        <v>SingleVanda Boldtrak 32 with GlidesBetween Level and Normal 2073Boldtrak Premo 155mm Bracket</v>
      </c>
      <c r="O2611">
        <v>47</v>
      </c>
      <c r="P2611">
        <v>58</v>
      </c>
      <c r="Q2611" s="80">
        <v>0</v>
      </c>
      <c r="R2611" s="80">
        <f t="shared" si="193"/>
        <v>11</v>
      </c>
      <c r="AD2611"/>
    </row>
    <row r="2612" spans="10:30" ht="16.2" customHeight="1">
      <c r="J2612" s="80" t="s">
        <v>746</v>
      </c>
      <c r="K2612" s="80" t="s">
        <v>604</v>
      </c>
      <c r="L2612" t="s">
        <v>184</v>
      </c>
      <c r="M2612" t="s">
        <v>9300</v>
      </c>
      <c r="N2612" t="str">
        <f t="shared" si="192"/>
        <v>Double FrontVanda Boldtrak 32 with GlidesDecorator 2071Boldtrak Premo 155mm Bracket</v>
      </c>
      <c r="O2612">
        <v>20</v>
      </c>
      <c r="P2612">
        <v>58</v>
      </c>
      <c r="Q2612" s="80">
        <v>0</v>
      </c>
      <c r="R2612" s="80">
        <f t="shared" si="193"/>
        <v>38</v>
      </c>
      <c r="AD2612"/>
    </row>
    <row r="2613" spans="10:30" ht="16.2" customHeight="1">
      <c r="J2613" s="80" t="s">
        <v>747</v>
      </c>
      <c r="K2613" s="80" t="s">
        <v>604</v>
      </c>
      <c r="L2613" t="s">
        <v>184</v>
      </c>
      <c r="M2613" t="s">
        <v>9300</v>
      </c>
      <c r="N2613" t="str">
        <f t="shared" si="192"/>
        <v>Double RearVanda Boldtrak 32 with GlidesDecorator 2071Boldtrak Premo 155mm Bracket</v>
      </c>
      <c r="O2613">
        <v>20</v>
      </c>
      <c r="P2613">
        <v>80</v>
      </c>
      <c r="Q2613" s="80">
        <v>0</v>
      </c>
      <c r="R2613" s="80">
        <f t="shared" si="193"/>
        <v>60</v>
      </c>
      <c r="AD2613"/>
    </row>
    <row r="2614" spans="10:30" ht="16.2" customHeight="1">
      <c r="J2614" s="80" t="s">
        <v>725</v>
      </c>
      <c r="K2614" s="80" t="s">
        <v>604</v>
      </c>
      <c r="L2614" t="s">
        <v>184</v>
      </c>
      <c r="M2614" t="s">
        <v>9300</v>
      </c>
      <c r="N2614" t="str">
        <f t="shared" si="192"/>
        <v>SingleVanda Boldtrak 32 with GlidesDecorator 2071Boldtrak Premo 155mm Bracket</v>
      </c>
      <c r="O2614">
        <v>20</v>
      </c>
      <c r="P2614">
        <v>58</v>
      </c>
      <c r="Q2614" s="80">
        <v>0</v>
      </c>
      <c r="R2614" s="80">
        <f t="shared" si="193"/>
        <v>38</v>
      </c>
      <c r="AD2614"/>
    </row>
    <row r="2615" spans="10:30" ht="16.2" customHeight="1">
      <c r="J2615" s="80" t="s">
        <v>746</v>
      </c>
      <c r="K2615" s="80" t="s">
        <v>604</v>
      </c>
      <c r="L2615" t="s">
        <v>6468</v>
      </c>
      <c r="M2615" t="s">
        <v>9300</v>
      </c>
      <c r="N2615" t="str">
        <f t="shared" si="192"/>
        <v>Double FrontVanda Boldtrak 32 with GlidesGather Hook Bottom PocketBoldtrak Premo 155mm Bracket</v>
      </c>
      <c r="O2615">
        <v>60</v>
      </c>
      <c r="P2615">
        <v>51</v>
      </c>
      <c r="Q2615" s="80">
        <v>0</v>
      </c>
      <c r="R2615" s="80">
        <f t="shared" si="193"/>
        <v>-9</v>
      </c>
      <c r="AD2615"/>
    </row>
    <row r="2616" spans="10:30" ht="16.2" customHeight="1">
      <c r="J2616" s="80" t="s">
        <v>725</v>
      </c>
      <c r="K2616" s="80" t="s">
        <v>604</v>
      </c>
      <c r="L2616" t="s">
        <v>6468</v>
      </c>
      <c r="M2616" t="s">
        <v>9300</v>
      </c>
      <c r="N2616" t="str">
        <f t="shared" si="192"/>
        <v>SingleVanda Boldtrak 32 with GlidesGather Hook Bottom PocketBoldtrak Premo 155mm Bracket</v>
      </c>
      <c r="O2616">
        <v>60</v>
      </c>
      <c r="P2616">
        <v>58</v>
      </c>
      <c r="Q2616" s="80">
        <v>0</v>
      </c>
      <c r="R2616" s="80">
        <f t="shared" si="193"/>
        <v>-2</v>
      </c>
      <c r="AD2616"/>
    </row>
    <row r="2617" spans="10:30" ht="16.2" customHeight="1">
      <c r="J2617" s="80" t="s">
        <v>746</v>
      </c>
      <c r="K2617" s="80" t="s">
        <v>604</v>
      </c>
      <c r="L2617" t="s">
        <v>229</v>
      </c>
      <c r="M2617" t="s">
        <v>9300</v>
      </c>
      <c r="N2617" t="str">
        <f t="shared" si="192"/>
        <v>Double FrontVanda Boldtrak 32 with GlidesGather Hook LevelBoldtrak Premo 155mm Bracket</v>
      </c>
      <c r="O2617">
        <v>20</v>
      </c>
      <c r="P2617">
        <v>58</v>
      </c>
      <c r="Q2617" s="80">
        <v>0</v>
      </c>
      <c r="R2617" s="80">
        <f t="shared" si="193"/>
        <v>38</v>
      </c>
      <c r="AD2617"/>
    </row>
    <row r="2618" spans="10:30" ht="16.2" customHeight="1">
      <c r="J2618" s="80" t="s">
        <v>747</v>
      </c>
      <c r="K2618" s="80" t="s">
        <v>604</v>
      </c>
      <c r="L2618" t="s">
        <v>229</v>
      </c>
      <c r="M2618" t="s">
        <v>9300</v>
      </c>
      <c r="N2618" t="str">
        <f t="shared" si="192"/>
        <v>Double RearVanda Boldtrak 32 with GlidesGather Hook LevelBoldtrak Premo 155mm Bracket</v>
      </c>
      <c r="O2618">
        <v>20</v>
      </c>
      <c r="P2618">
        <v>80</v>
      </c>
      <c r="Q2618" s="80">
        <v>0</v>
      </c>
      <c r="R2618" s="80">
        <f t="shared" si="193"/>
        <v>60</v>
      </c>
      <c r="AD2618"/>
    </row>
    <row r="2619" spans="10:30" ht="16.2" customHeight="1">
      <c r="J2619" s="80" t="s">
        <v>725</v>
      </c>
      <c r="K2619" s="80" t="s">
        <v>604</v>
      </c>
      <c r="L2619" t="s">
        <v>229</v>
      </c>
      <c r="M2619" t="s">
        <v>9300</v>
      </c>
      <c r="N2619" t="str">
        <f t="shared" si="192"/>
        <v>SingleVanda Boldtrak 32 with GlidesGather Hook LevelBoldtrak Premo 155mm Bracket</v>
      </c>
      <c r="O2619">
        <v>20</v>
      </c>
      <c r="P2619">
        <v>58</v>
      </c>
      <c r="Q2619" s="80">
        <v>0</v>
      </c>
      <c r="R2619" s="80">
        <f t="shared" si="193"/>
        <v>38</v>
      </c>
      <c r="AD2619"/>
    </row>
    <row r="2620" spans="10:30" ht="16.2" customHeight="1">
      <c r="J2620" s="80" t="s">
        <v>746</v>
      </c>
      <c r="K2620" s="80" t="s">
        <v>604</v>
      </c>
      <c r="L2620" t="s">
        <v>228</v>
      </c>
      <c r="M2620" t="s">
        <v>9300</v>
      </c>
      <c r="N2620" t="str">
        <f t="shared" si="192"/>
        <v>Double FrontVanda Boldtrak 32 with GlidesGather Hook NormalBoldtrak Premo 155mm Bracket</v>
      </c>
      <c r="O2620">
        <v>43</v>
      </c>
      <c r="P2620">
        <v>58</v>
      </c>
      <c r="Q2620" s="80">
        <v>0</v>
      </c>
      <c r="R2620" s="80">
        <f t="shared" si="193"/>
        <v>15</v>
      </c>
      <c r="AD2620"/>
    </row>
    <row r="2621" spans="10:30" ht="16.2" customHeight="1">
      <c r="J2621" s="80" t="s">
        <v>747</v>
      </c>
      <c r="K2621" s="80" t="s">
        <v>604</v>
      </c>
      <c r="L2621" t="s">
        <v>228</v>
      </c>
      <c r="M2621" t="s">
        <v>9300</v>
      </c>
      <c r="N2621" t="str">
        <f t="shared" si="192"/>
        <v>Double RearVanda Boldtrak 32 with GlidesGather Hook NormalBoldtrak Premo 155mm Bracket</v>
      </c>
      <c r="O2621">
        <v>43</v>
      </c>
      <c r="P2621">
        <v>80</v>
      </c>
      <c r="Q2621" s="80">
        <v>0</v>
      </c>
      <c r="R2621" s="80">
        <f t="shared" si="193"/>
        <v>37</v>
      </c>
      <c r="AD2621"/>
    </row>
    <row r="2622" spans="10:30" ht="16.2" customHeight="1">
      <c r="J2622" s="80" t="s">
        <v>725</v>
      </c>
      <c r="K2622" s="80" t="s">
        <v>604</v>
      </c>
      <c r="L2622" t="s">
        <v>228</v>
      </c>
      <c r="M2622" t="s">
        <v>9300</v>
      </c>
      <c r="N2622" t="str">
        <f t="shared" si="192"/>
        <v>SingleVanda Boldtrak 32 with GlidesGather Hook NormalBoldtrak Premo 155mm Bracket</v>
      </c>
      <c r="O2622">
        <v>43</v>
      </c>
      <c r="P2622">
        <v>58</v>
      </c>
      <c r="Q2622" s="80">
        <v>0</v>
      </c>
      <c r="R2622" s="80">
        <f t="shared" si="193"/>
        <v>15</v>
      </c>
      <c r="AD2622"/>
    </row>
    <row r="2623" spans="10:30" ht="16.2" customHeight="1">
      <c r="J2623" s="80" t="s">
        <v>746</v>
      </c>
      <c r="K2623" s="80" t="s">
        <v>604</v>
      </c>
      <c r="L2623" t="s">
        <v>282</v>
      </c>
      <c r="M2623" t="s">
        <v>9300</v>
      </c>
      <c r="N2623" t="str">
        <f t="shared" si="192"/>
        <v>Double FrontVanda Boldtrak 32 with GlidesLevel 2072Boldtrak Premo 155mm Bracket</v>
      </c>
      <c r="O2623">
        <v>38</v>
      </c>
      <c r="P2623">
        <v>58</v>
      </c>
      <c r="Q2623" s="80">
        <v>0</v>
      </c>
      <c r="R2623" s="80">
        <f t="shared" si="193"/>
        <v>20</v>
      </c>
      <c r="AD2623"/>
    </row>
    <row r="2624" spans="10:30" ht="16.2" customHeight="1">
      <c r="J2624" s="80" t="s">
        <v>747</v>
      </c>
      <c r="K2624" s="80" t="s">
        <v>604</v>
      </c>
      <c r="L2624" t="s">
        <v>282</v>
      </c>
      <c r="M2624" t="s">
        <v>9300</v>
      </c>
      <c r="N2624" t="str">
        <f t="shared" si="192"/>
        <v>Double RearVanda Boldtrak 32 with GlidesLevel 2072Boldtrak Premo 155mm Bracket</v>
      </c>
      <c r="O2624">
        <v>38</v>
      </c>
      <c r="P2624">
        <v>80</v>
      </c>
      <c r="Q2624" s="80">
        <v>0</v>
      </c>
      <c r="R2624" s="80">
        <f t="shared" si="193"/>
        <v>42</v>
      </c>
      <c r="AD2624"/>
    </row>
    <row r="2625" spans="10:30" ht="16.2" customHeight="1">
      <c r="J2625" s="80" t="s">
        <v>725</v>
      </c>
      <c r="K2625" s="80" t="s">
        <v>604</v>
      </c>
      <c r="L2625" t="s">
        <v>282</v>
      </c>
      <c r="M2625" t="s">
        <v>9300</v>
      </c>
      <c r="N2625" t="str">
        <f t="shared" si="192"/>
        <v>SingleVanda Boldtrak 32 with GlidesLevel 2072Boldtrak Premo 155mm Bracket</v>
      </c>
      <c r="O2625">
        <v>35</v>
      </c>
      <c r="P2625">
        <v>58</v>
      </c>
      <c r="Q2625" s="80">
        <v>0</v>
      </c>
      <c r="R2625" s="80">
        <f t="shared" si="193"/>
        <v>23</v>
      </c>
      <c r="AD2625"/>
    </row>
    <row r="2626" spans="10:30" ht="16.2" customHeight="1">
      <c r="J2626" s="80" t="s">
        <v>746</v>
      </c>
      <c r="K2626" s="80" t="s">
        <v>604</v>
      </c>
      <c r="L2626" t="s">
        <v>170</v>
      </c>
      <c r="M2626" t="s">
        <v>9300</v>
      </c>
      <c r="N2626" t="str">
        <f t="shared" si="194" ref="N2626:N2689">(CONCATENATE(J2626,K2626,L2626,M2626))</f>
        <v>Double FrontVanda Boldtrak 32 with GlidesNormal 2074Boldtrak Premo 155mm Bracket</v>
      </c>
      <c r="O2626">
        <v>60</v>
      </c>
      <c r="P2626">
        <v>58</v>
      </c>
      <c r="Q2626" s="80">
        <v>0</v>
      </c>
      <c r="R2626" s="80">
        <f t="shared" si="193"/>
        <v>-2</v>
      </c>
      <c r="AD2626"/>
    </row>
    <row r="2627" spans="10:30" ht="16.2" customHeight="1">
      <c r="J2627" s="80" t="s">
        <v>747</v>
      </c>
      <c r="K2627" s="80" t="s">
        <v>604</v>
      </c>
      <c r="L2627" t="s">
        <v>170</v>
      </c>
      <c r="M2627" t="s">
        <v>9300</v>
      </c>
      <c r="N2627" t="str">
        <f t="shared" si="194"/>
        <v>Double RearVanda Boldtrak 32 with GlidesNormal 2074Boldtrak Premo 155mm Bracket</v>
      </c>
      <c r="O2627">
        <v>60</v>
      </c>
      <c r="P2627">
        <v>80</v>
      </c>
      <c r="Q2627" s="80">
        <v>0</v>
      </c>
      <c r="R2627" s="80">
        <f t="shared" si="193"/>
        <v>20</v>
      </c>
      <c r="AD2627"/>
    </row>
    <row r="2628" spans="10:30" ht="16.2" customHeight="1">
      <c r="J2628" s="80" t="s">
        <v>725</v>
      </c>
      <c r="K2628" s="80" t="s">
        <v>604</v>
      </c>
      <c r="L2628" t="s">
        <v>170</v>
      </c>
      <c r="M2628" t="s">
        <v>9300</v>
      </c>
      <c r="N2628" t="str">
        <f t="shared" si="194"/>
        <v>SingleVanda Boldtrak 32 with GlidesNormal 2074Boldtrak Premo 155mm Bracket</v>
      </c>
      <c r="O2628">
        <v>60</v>
      </c>
      <c r="P2628">
        <v>58</v>
      </c>
      <c r="Q2628" s="80">
        <v>0</v>
      </c>
      <c r="R2628" s="80">
        <f t="shared" si="193"/>
        <v>-2</v>
      </c>
      <c r="AD2628"/>
    </row>
    <row r="2629" spans="10:30" ht="16.2" customHeight="1">
      <c r="J2629" s="80" t="s">
        <v>746</v>
      </c>
      <c r="K2629" s="80" t="s">
        <v>604</v>
      </c>
      <c r="L2629" t="s">
        <v>183</v>
      </c>
      <c r="M2629" t="s">
        <v>724</v>
      </c>
      <c r="N2629" t="str">
        <f t="shared" si="194"/>
        <v>Double FrontVanda Boldtrak 32 with GlidesBelow Normal 2075Boldtrak Premo Double Bracket Suit 16mm on Back</v>
      </c>
      <c r="O2629">
        <v>70</v>
      </c>
      <c r="P2629">
        <v>58</v>
      </c>
      <c r="Q2629" s="80">
        <v>0</v>
      </c>
      <c r="R2629" s="80">
        <f t="shared" si="193"/>
        <v>-12</v>
      </c>
      <c r="AD2629"/>
    </row>
    <row r="2630" spans="10:30" ht="16.2" customHeight="1">
      <c r="J2630" s="80" t="s">
        <v>725</v>
      </c>
      <c r="K2630" s="80" t="s">
        <v>604</v>
      </c>
      <c r="L2630" t="s">
        <v>183</v>
      </c>
      <c r="M2630" t="s">
        <v>724</v>
      </c>
      <c r="N2630" t="str">
        <f t="shared" si="194"/>
        <v>SingleVanda Boldtrak 32 with GlidesBelow Normal 2075Boldtrak Premo Double Bracket Suit 16mm on Back</v>
      </c>
      <c r="O2630">
        <v>70</v>
      </c>
      <c r="P2630">
        <v>58</v>
      </c>
      <c r="Q2630" s="80">
        <v>0</v>
      </c>
      <c r="R2630" s="80">
        <f t="shared" si="193"/>
        <v>-12</v>
      </c>
      <c r="AD2630"/>
    </row>
    <row r="2631" spans="10:30" ht="16.2" customHeight="1">
      <c r="J2631" s="80" t="s">
        <v>746</v>
      </c>
      <c r="K2631" s="80" t="s">
        <v>604</v>
      </c>
      <c r="L2631" t="s">
        <v>182</v>
      </c>
      <c r="M2631" t="s">
        <v>724</v>
      </c>
      <c r="N2631" t="str">
        <f t="shared" si="194"/>
        <v>Double FrontVanda Boldtrak 32 with GlidesBetween Level and Normal 2073Boldtrak Premo Double Bracket Suit 16mm on Back</v>
      </c>
      <c r="O2631">
        <v>48</v>
      </c>
      <c r="P2631">
        <v>58</v>
      </c>
      <c r="Q2631" s="80">
        <v>0</v>
      </c>
      <c r="R2631" s="80">
        <f t="shared" si="193"/>
        <v>10</v>
      </c>
      <c r="AD2631"/>
    </row>
    <row r="2632" spans="10:30" ht="16.2" customHeight="1">
      <c r="J2632" s="80" t="s">
        <v>725</v>
      </c>
      <c r="K2632" s="80" t="s">
        <v>604</v>
      </c>
      <c r="L2632" t="s">
        <v>182</v>
      </c>
      <c r="M2632" t="s">
        <v>724</v>
      </c>
      <c r="N2632" t="str">
        <f t="shared" si="194"/>
        <v>SingleVanda Boldtrak 32 with GlidesBetween Level and Normal 2073Boldtrak Premo Double Bracket Suit 16mm on Back</v>
      </c>
      <c r="O2632">
        <v>47</v>
      </c>
      <c r="P2632">
        <v>58</v>
      </c>
      <c r="Q2632" s="80">
        <v>0</v>
      </c>
      <c r="R2632" s="80">
        <f t="shared" si="193"/>
        <v>11</v>
      </c>
      <c r="AD2632"/>
    </row>
    <row r="2633" spans="10:30" ht="16.2" customHeight="1">
      <c r="J2633" s="80" t="s">
        <v>746</v>
      </c>
      <c r="K2633" s="80" t="s">
        <v>604</v>
      </c>
      <c r="L2633" t="s">
        <v>184</v>
      </c>
      <c r="M2633" t="s">
        <v>724</v>
      </c>
      <c r="N2633" t="str">
        <f t="shared" si="194"/>
        <v>Double FrontVanda Boldtrak 32 with GlidesDecorator 2071Boldtrak Premo Double Bracket Suit 16mm on Back</v>
      </c>
      <c r="O2633">
        <v>20</v>
      </c>
      <c r="P2633">
        <v>58</v>
      </c>
      <c r="Q2633" s="80">
        <v>0</v>
      </c>
      <c r="R2633" s="80">
        <f t="shared" si="193"/>
        <v>38</v>
      </c>
      <c r="AD2633"/>
    </row>
    <row r="2634" spans="10:30" ht="16.2" customHeight="1">
      <c r="J2634" s="80" t="s">
        <v>725</v>
      </c>
      <c r="K2634" s="80" t="s">
        <v>604</v>
      </c>
      <c r="L2634" t="s">
        <v>184</v>
      </c>
      <c r="M2634" t="s">
        <v>724</v>
      </c>
      <c r="N2634" t="str">
        <f t="shared" si="194"/>
        <v>SingleVanda Boldtrak 32 with GlidesDecorator 2071Boldtrak Premo Double Bracket Suit 16mm on Back</v>
      </c>
      <c r="O2634">
        <v>20</v>
      </c>
      <c r="P2634">
        <v>58</v>
      </c>
      <c r="Q2634" s="80">
        <v>0</v>
      </c>
      <c r="R2634" s="80">
        <f t="shared" si="193"/>
        <v>38</v>
      </c>
      <c r="AD2634"/>
    </row>
    <row r="2635" spans="10:30" ht="16.2" customHeight="1">
      <c r="J2635" s="80" t="s">
        <v>746</v>
      </c>
      <c r="K2635" s="80" t="s">
        <v>604</v>
      </c>
      <c r="L2635" t="s">
        <v>6468</v>
      </c>
      <c r="M2635" t="s">
        <v>724</v>
      </c>
      <c r="N2635" t="str">
        <f t="shared" si="194"/>
        <v>Double FrontVanda Boldtrak 32 with GlidesGather Hook Bottom PocketBoldtrak Premo Double Bracket Suit 16mm on Back</v>
      </c>
      <c r="O2635">
        <v>60</v>
      </c>
      <c r="P2635">
        <v>58</v>
      </c>
      <c r="Q2635" s="80">
        <v>0</v>
      </c>
      <c r="R2635" s="80">
        <f t="shared" si="193"/>
        <v>-2</v>
      </c>
      <c r="AD2635"/>
    </row>
    <row r="2636" spans="10:30" ht="16.2" customHeight="1">
      <c r="J2636" s="80" t="s">
        <v>725</v>
      </c>
      <c r="K2636" s="80" t="s">
        <v>604</v>
      </c>
      <c r="L2636" t="s">
        <v>6468</v>
      </c>
      <c r="M2636" t="s">
        <v>724</v>
      </c>
      <c r="N2636" t="str">
        <f t="shared" si="194"/>
        <v>SingleVanda Boldtrak 32 with GlidesGather Hook Bottom PocketBoldtrak Premo Double Bracket Suit 16mm on Back</v>
      </c>
      <c r="O2636">
        <v>60</v>
      </c>
      <c r="P2636">
        <v>58</v>
      </c>
      <c r="Q2636" s="80">
        <v>0</v>
      </c>
      <c r="R2636" s="80">
        <f t="shared" si="193"/>
        <v>-2</v>
      </c>
      <c r="AD2636"/>
    </row>
    <row r="2637" spans="10:30" ht="16.2" customHeight="1">
      <c r="J2637" s="80" t="s">
        <v>746</v>
      </c>
      <c r="K2637" s="80" t="s">
        <v>604</v>
      </c>
      <c r="L2637" t="s">
        <v>229</v>
      </c>
      <c r="M2637" t="s">
        <v>724</v>
      </c>
      <c r="N2637" t="str">
        <f t="shared" si="194"/>
        <v>Double FrontVanda Boldtrak 32 with GlidesGather Hook LevelBoldtrak Premo Double Bracket Suit 16mm on Back</v>
      </c>
      <c r="O2637">
        <v>20</v>
      </c>
      <c r="P2637">
        <v>58</v>
      </c>
      <c r="Q2637" s="80">
        <v>0</v>
      </c>
      <c r="R2637" s="80">
        <f t="shared" si="193"/>
        <v>38</v>
      </c>
      <c r="AD2637"/>
    </row>
    <row r="2638" spans="10:30" ht="16.2" customHeight="1">
      <c r="J2638" s="80" t="s">
        <v>725</v>
      </c>
      <c r="K2638" s="80" t="s">
        <v>604</v>
      </c>
      <c r="L2638" t="s">
        <v>229</v>
      </c>
      <c r="M2638" t="s">
        <v>724</v>
      </c>
      <c r="N2638" t="str">
        <f t="shared" si="194"/>
        <v>SingleVanda Boldtrak 32 with GlidesGather Hook LevelBoldtrak Premo Double Bracket Suit 16mm on Back</v>
      </c>
      <c r="O2638">
        <v>20</v>
      </c>
      <c r="P2638">
        <v>58</v>
      </c>
      <c r="Q2638" s="80">
        <v>0</v>
      </c>
      <c r="R2638" s="80">
        <f t="shared" si="193"/>
        <v>38</v>
      </c>
      <c r="AD2638"/>
    </row>
    <row r="2639" spans="10:30" ht="16.2" customHeight="1">
      <c r="J2639" s="80" t="s">
        <v>746</v>
      </c>
      <c r="K2639" s="80" t="s">
        <v>604</v>
      </c>
      <c r="L2639" t="s">
        <v>228</v>
      </c>
      <c r="M2639" t="s">
        <v>724</v>
      </c>
      <c r="N2639" t="str">
        <f t="shared" si="194"/>
        <v>Double FrontVanda Boldtrak 32 with GlidesGather Hook NormalBoldtrak Premo Double Bracket Suit 16mm on Back</v>
      </c>
      <c r="O2639">
        <v>43</v>
      </c>
      <c r="P2639">
        <v>58</v>
      </c>
      <c r="Q2639" s="80">
        <v>0</v>
      </c>
      <c r="R2639" s="80">
        <f t="shared" si="193"/>
        <v>15</v>
      </c>
      <c r="AD2639"/>
    </row>
    <row r="2640" spans="10:30" ht="16.2" customHeight="1">
      <c r="J2640" s="80" t="s">
        <v>725</v>
      </c>
      <c r="K2640" s="80" t="s">
        <v>604</v>
      </c>
      <c r="L2640" t="s">
        <v>228</v>
      </c>
      <c r="M2640" t="s">
        <v>724</v>
      </c>
      <c r="N2640" t="str">
        <f t="shared" si="194"/>
        <v>SingleVanda Boldtrak 32 with GlidesGather Hook NormalBoldtrak Premo Double Bracket Suit 16mm on Back</v>
      </c>
      <c r="O2640">
        <v>43</v>
      </c>
      <c r="P2640">
        <v>58</v>
      </c>
      <c r="Q2640" s="80">
        <v>0</v>
      </c>
      <c r="R2640" s="80">
        <f t="shared" si="193"/>
        <v>15</v>
      </c>
      <c r="AD2640"/>
    </row>
    <row r="2641" spans="10:30" ht="16.2" customHeight="1">
      <c r="J2641" s="80" t="s">
        <v>746</v>
      </c>
      <c r="K2641" s="80" t="s">
        <v>604</v>
      </c>
      <c r="L2641" t="s">
        <v>282</v>
      </c>
      <c r="M2641" t="s">
        <v>724</v>
      </c>
      <c r="N2641" t="str">
        <f t="shared" si="194"/>
        <v>Double FrontVanda Boldtrak 32 with GlidesLevel 2072Boldtrak Premo Double Bracket Suit 16mm on Back</v>
      </c>
      <c r="O2641">
        <v>38</v>
      </c>
      <c r="P2641">
        <v>58</v>
      </c>
      <c r="Q2641" s="80">
        <v>0</v>
      </c>
      <c r="R2641" s="80">
        <f t="shared" si="193"/>
        <v>20</v>
      </c>
      <c r="AD2641"/>
    </row>
    <row r="2642" spans="10:30" ht="16.2" customHeight="1">
      <c r="J2642" s="80" t="s">
        <v>725</v>
      </c>
      <c r="K2642" s="80" t="s">
        <v>604</v>
      </c>
      <c r="L2642" t="s">
        <v>282</v>
      </c>
      <c r="M2642" t="s">
        <v>724</v>
      </c>
      <c r="N2642" t="str">
        <f t="shared" si="194"/>
        <v>SingleVanda Boldtrak 32 with GlidesLevel 2072Boldtrak Premo Double Bracket Suit 16mm on Back</v>
      </c>
      <c r="O2642">
        <v>35</v>
      </c>
      <c r="P2642">
        <v>58</v>
      </c>
      <c r="Q2642" s="80">
        <v>0</v>
      </c>
      <c r="R2642" s="80">
        <f t="shared" si="193"/>
        <v>23</v>
      </c>
      <c r="AD2642"/>
    </row>
    <row r="2643" spans="10:30" ht="16.2" customHeight="1">
      <c r="J2643" s="80" t="s">
        <v>746</v>
      </c>
      <c r="K2643" s="80" t="s">
        <v>604</v>
      </c>
      <c r="L2643" t="s">
        <v>170</v>
      </c>
      <c r="M2643" t="s">
        <v>724</v>
      </c>
      <c r="N2643" t="str">
        <f t="shared" si="194"/>
        <v>Double FrontVanda Boldtrak 32 with GlidesNormal 2074Boldtrak Premo Double Bracket Suit 16mm on Back</v>
      </c>
      <c r="O2643">
        <v>60</v>
      </c>
      <c r="P2643">
        <v>58</v>
      </c>
      <c r="Q2643" s="80">
        <v>0</v>
      </c>
      <c r="R2643" s="80">
        <f t="shared" si="193"/>
        <v>-2</v>
      </c>
      <c r="AD2643"/>
    </row>
    <row r="2644" spans="10:30" ht="16.2" customHeight="1">
      <c r="J2644" s="80" t="s">
        <v>725</v>
      </c>
      <c r="K2644" s="80" t="s">
        <v>604</v>
      </c>
      <c r="L2644" t="s">
        <v>170</v>
      </c>
      <c r="M2644" t="s">
        <v>724</v>
      </c>
      <c r="N2644" t="str">
        <f t="shared" si="194"/>
        <v>SingleVanda Boldtrak 32 with GlidesNormal 2074Boldtrak Premo Double Bracket Suit 16mm on Back</v>
      </c>
      <c r="O2644">
        <v>60</v>
      </c>
      <c r="P2644">
        <v>58</v>
      </c>
      <c r="Q2644" s="80">
        <v>0</v>
      </c>
      <c r="R2644" s="80">
        <f t="shared" si="193"/>
        <v>-2</v>
      </c>
      <c r="AD2644"/>
    </row>
    <row r="2645" spans="10:30" ht="16.2" customHeight="1">
      <c r="J2645" s="80" t="s">
        <v>746</v>
      </c>
      <c r="K2645" s="80" t="s">
        <v>604</v>
      </c>
      <c r="L2645" t="s">
        <v>183</v>
      </c>
      <c r="M2645" s="66" t="s">
        <v>4654</v>
      </c>
      <c r="N2645" t="str">
        <f t="shared" si="194"/>
        <v>Double FrontVanda Boldtrak 32 with GlidesBelow Normal 2075Boldtrak Premo Double Bracket Suit 25mm on Back</v>
      </c>
      <c r="O2645">
        <v>70</v>
      </c>
      <c r="P2645">
        <v>58</v>
      </c>
      <c r="Q2645" s="80">
        <v>0</v>
      </c>
      <c r="R2645" s="80">
        <f t="shared" si="193"/>
        <v>-12</v>
      </c>
      <c r="AD2645"/>
    </row>
    <row r="2646" spans="10:30" ht="16.2" customHeight="1">
      <c r="J2646" s="80" t="s">
        <v>747</v>
      </c>
      <c r="K2646" s="80" t="s">
        <v>604</v>
      </c>
      <c r="L2646" t="s">
        <v>183</v>
      </c>
      <c r="M2646" t="s">
        <v>4654</v>
      </c>
      <c r="N2646" t="str">
        <f t="shared" si="194"/>
        <v>Double RearVanda Boldtrak 32 with GlidesBelow Normal 2075Boldtrak Premo Double Bracket Suit 25mm on Back</v>
      </c>
      <c r="O2646">
        <v>70</v>
      </c>
      <c r="P2646">
        <v>71</v>
      </c>
      <c r="Q2646" s="80">
        <v>0</v>
      </c>
      <c r="R2646" s="80">
        <f t="shared" si="193"/>
        <v>1</v>
      </c>
      <c r="AD2646"/>
    </row>
    <row r="2647" spans="10:30" ht="16.2" customHeight="1">
      <c r="J2647" s="80" t="s">
        <v>746</v>
      </c>
      <c r="K2647" s="80" t="s">
        <v>604</v>
      </c>
      <c r="L2647" t="s">
        <v>182</v>
      </c>
      <c r="M2647" s="66" t="s">
        <v>4654</v>
      </c>
      <c r="N2647" t="str">
        <f t="shared" si="194"/>
        <v>Double FrontVanda Boldtrak 32 with GlidesBetween Level and Normal 2073Boldtrak Premo Double Bracket Suit 25mm on Back</v>
      </c>
      <c r="O2647">
        <v>48</v>
      </c>
      <c r="P2647">
        <v>58</v>
      </c>
      <c r="Q2647" s="80">
        <v>0</v>
      </c>
      <c r="R2647" s="80">
        <f t="shared" si="193"/>
        <v>10</v>
      </c>
      <c r="AD2647"/>
    </row>
    <row r="2648" spans="10:30" ht="16.2" customHeight="1">
      <c r="J2648" s="80" t="s">
        <v>747</v>
      </c>
      <c r="K2648" s="80" t="s">
        <v>604</v>
      </c>
      <c r="L2648" t="s">
        <v>182</v>
      </c>
      <c r="M2648" t="s">
        <v>4654</v>
      </c>
      <c r="N2648" t="str">
        <f t="shared" si="194"/>
        <v>Double RearVanda Boldtrak 32 with GlidesBetween Level and Normal 2073Boldtrak Premo Double Bracket Suit 25mm on Back</v>
      </c>
      <c r="O2648">
        <v>48</v>
      </c>
      <c r="P2648">
        <v>71</v>
      </c>
      <c r="Q2648" s="80">
        <v>0</v>
      </c>
      <c r="R2648" s="80">
        <f t="shared" si="193"/>
        <v>23</v>
      </c>
      <c r="AD2648"/>
    </row>
    <row r="2649" spans="10:30" ht="16.2" customHeight="1">
      <c r="J2649" s="80" t="s">
        <v>746</v>
      </c>
      <c r="K2649" s="80" t="s">
        <v>604</v>
      </c>
      <c r="L2649" t="s">
        <v>184</v>
      </c>
      <c r="M2649" s="66" t="s">
        <v>4654</v>
      </c>
      <c r="N2649" t="str">
        <f t="shared" si="194"/>
        <v>Double FrontVanda Boldtrak 32 with GlidesDecorator 2071Boldtrak Premo Double Bracket Suit 25mm on Back</v>
      </c>
      <c r="O2649">
        <v>20</v>
      </c>
      <c r="P2649">
        <v>58</v>
      </c>
      <c r="Q2649" s="80">
        <v>0</v>
      </c>
      <c r="R2649" s="80">
        <f t="shared" si="193"/>
        <v>38</v>
      </c>
      <c r="AD2649"/>
    </row>
    <row r="2650" spans="10:30" ht="16.2" customHeight="1">
      <c r="J2650" s="80" t="s">
        <v>747</v>
      </c>
      <c r="K2650" s="80" t="s">
        <v>604</v>
      </c>
      <c r="L2650" t="s">
        <v>184</v>
      </c>
      <c r="M2650" t="s">
        <v>4654</v>
      </c>
      <c r="N2650" t="str">
        <f t="shared" si="194"/>
        <v>Double RearVanda Boldtrak 32 with GlidesDecorator 2071Boldtrak Premo Double Bracket Suit 25mm on Back</v>
      </c>
      <c r="O2650">
        <v>20</v>
      </c>
      <c r="P2650">
        <v>71</v>
      </c>
      <c r="Q2650" s="80">
        <v>0</v>
      </c>
      <c r="R2650" s="80">
        <f t="shared" si="193"/>
        <v>51</v>
      </c>
      <c r="AD2650"/>
    </row>
    <row r="2651" spans="10:30" ht="16.2" customHeight="1">
      <c r="J2651" s="80" t="s">
        <v>746</v>
      </c>
      <c r="K2651" s="80" t="s">
        <v>604</v>
      </c>
      <c r="L2651" t="s">
        <v>6468</v>
      </c>
      <c r="M2651" s="66" t="s">
        <v>4654</v>
      </c>
      <c r="N2651" t="str">
        <f t="shared" si="194"/>
        <v>Double FrontVanda Boldtrak 32 with GlidesGather Hook Bottom PocketBoldtrak Premo Double Bracket Suit 25mm on Back</v>
      </c>
      <c r="O2651">
        <v>60</v>
      </c>
      <c r="P2651">
        <v>58</v>
      </c>
      <c r="Q2651" s="80">
        <v>0</v>
      </c>
      <c r="R2651" s="80">
        <f t="shared" si="193"/>
        <v>-2</v>
      </c>
      <c r="AD2651"/>
    </row>
    <row r="2652" spans="10:30" ht="16.2" customHeight="1">
      <c r="J2652" s="80" t="s">
        <v>746</v>
      </c>
      <c r="K2652" s="80" t="s">
        <v>604</v>
      </c>
      <c r="L2652" t="s">
        <v>229</v>
      </c>
      <c r="M2652" s="66" t="s">
        <v>4654</v>
      </c>
      <c r="N2652" t="str">
        <f t="shared" si="194"/>
        <v>Double FrontVanda Boldtrak 32 with GlidesGather Hook LevelBoldtrak Premo Double Bracket Suit 25mm on Back</v>
      </c>
      <c r="O2652">
        <v>20</v>
      </c>
      <c r="P2652">
        <v>58</v>
      </c>
      <c r="Q2652" s="80">
        <v>0</v>
      </c>
      <c r="R2652" s="80">
        <f t="shared" si="193"/>
        <v>38</v>
      </c>
      <c r="AD2652"/>
    </row>
    <row r="2653" spans="10:30" ht="16.2" customHeight="1">
      <c r="J2653" s="80" t="s">
        <v>747</v>
      </c>
      <c r="K2653" s="80" t="s">
        <v>604</v>
      </c>
      <c r="L2653" t="s">
        <v>229</v>
      </c>
      <c r="M2653" t="s">
        <v>4654</v>
      </c>
      <c r="N2653" t="str">
        <f t="shared" si="194"/>
        <v>Double RearVanda Boldtrak 32 with GlidesGather Hook LevelBoldtrak Premo Double Bracket Suit 25mm on Back</v>
      </c>
      <c r="O2653">
        <v>20</v>
      </c>
      <c r="P2653">
        <v>71</v>
      </c>
      <c r="Q2653" s="80">
        <v>0</v>
      </c>
      <c r="R2653" s="80">
        <f t="shared" si="193"/>
        <v>51</v>
      </c>
      <c r="AD2653"/>
    </row>
    <row r="2654" spans="10:30" ht="16.2" customHeight="1">
      <c r="J2654" s="80" t="s">
        <v>746</v>
      </c>
      <c r="K2654" s="80" t="s">
        <v>604</v>
      </c>
      <c r="L2654" t="s">
        <v>228</v>
      </c>
      <c r="M2654" s="66" t="s">
        <v>4654</v>
      </c>
      <c r="N2654" t="str">
        <f t="shared" si="194"/>
        <v>Double FrontVanda Boldtrak 32 with GlidesGather Hook NormalBoldtrak Premo Double Bracket Suit 25mm on Back</v>
      </c>
      <c r="O2654">
        <v>43</v>
      </c>
      <c r="P2654">
        <v>58</v>
      </c>
      <c r="Q2654" s="80">
        <v>0</v>
      </c>
      <c r="R2654" s="80">
        <f t="shared" si="193"/>
        <v>15</v>
      </c>
      <c r="AD2654"/>
    </row>
    <row r="2655" spans="10:30" ht="16.2" customHeight="1">
      <c r="J2655" s="80" t="s">
        <v>747</v>
      </c>
      <c r="K2655" s="80" t="s">
        <v>604</v>
      </c>
      <c r="L2655" t="s">
        <v>228</v>
      </c>
      <c r="M2655" t="s">
        <v>4654</v>
      </c>
      <c r="N2655" t="str">
        <f t="shared" si="194"/>
        <v>Double RearVanda Boldtrak 32 with GlidesGather Hook NormalBoldtrak Premo Double Bracket Suit 25mm on Back</v>
      </c>
      <c r="O2655">
        <v>43</v>
      </c>
      <c r="P2655">
        <v>71</v>
      </c>
      <c r="Q2655" s="80">
        <v>0</v>
      </c>
      <c r="R2655" s="80">
        <f t="shared" si="195" ref="R2655:R2718">SUM(P2655)-O2655</f>
        <v>28</v>
      </c>
      <c r="AD2655"/>
    </row>
    <row r="2656" spans="10:30" ht="16.2" customHeight="1">
      <c r="J2656" s="80" t="s">
        <v>747</v>
      </c>
      <c r="K2656" s="80" t="s">
        <v>604</v>
      </c>
      <c r="L2656" t="s">
        <v>282</v>
      </c>
      <c r="M2656" t="s">
        <v>4654</v>
      </c>
      <c r="N2656" t="str">
        <f t="shared" si="194"/>
        <v>Double RearVanda Boldtrak 32 with GlidesLevel 2072Boldtrak Premo Double Bracket Suit 25mm on Back</v>
      </c>
      <c r="O2656">
        <v>38</v>
      </c>
      <c r="P2656">
        <v>71</v>
      </c>
      <c r="Q2656" s="80">
        <v>0</v>
      </c>
      <c r="R2656" s="80">
        <f t="shared" si="195"/>
        <v>33</v>
      </c>
      <c r="AD2656"/>
    </row>
    <row r="2657" spans="10:30" ht="16.2" customHeight="1">
      <c r="J2657" s="80" t="s">
        <v>747</v>
      </c>
      <c r="K2657" s="80" t="s">
        <v>604</v>
      </c>
      <c r="L2657" t="s">
        <v>170</v>
      </c>
      <c r="M2657" t="s">
        <v>4654</v>
      </c>
      <c r="N2657" t="str">
        <f t="shared" si="194"/>
        <v>Double RearVanda Boldtrak 32 with GlidesNormal 2074Boldtrak Premo Double Bracket Suit 25mm on Back</v>
      </c>
      <c r="O2657">
        <v>60</v>
      </c>
      <c r="P2657">
        <v>71</v>
      </c>
      <c r="Q2657" s="80">
        <v>0</v>
      </c>
      <c r="R2657" s="80">
        <f t="shared" si="195"/>
        <v>11</v>
      </c>
      <c r="AD2657"/>
    </row>
    <row r="2658" spans="10:30" ht="16.2" customHeight="1">
      <c r="J2658" s="80" t="s">
        <v>725</v>
      </c>
      <c r="K2658" s="80" t="s">
        <v>604</v>
      </c>
      <c r="L2658" t="s">
        <v>183</v>
      </c>
      <c r="M2658" t="s">
        <v>423</v>
      </c>
      <c r="N2658" t="str">
        <f t="shared" si="194"/>
        <v>SingleVanda Boldtrak 32 with GlidesBelow Normal 2075Boldtrak Standard 60mm Bracket</v>
      </c>
      <c r="O2658">
        <v>70</v>
      </c>
      <c r="P2658">
        <v>58</v>
      </c>
      <c r="Q2658" s="80">
        <v>0</v>
      </c>
      <c r="R2658" s="80">
        <f t="shared" si="195"/>
        <v>-12</v>
      </c>
      <c r="AD2658"/>
    </row>
    <row r="2659" spans="10:30" ht="16.2" customHeight="1">
      <c r="J2659" s="80" t="s">
        <v>725</v>
      </c>
      <c r="K2659" s="80" t="s">
        <v>604</v>
      </c>
      <c r="L2659" t="s">
        <v>182</v>
      </c>
      <c r="M2659" t="s">
        <v>423</v>
      </c>
      <c r="N2659" t="str">
        <f t="shared" si="194"/>
        <v>SingleVanda Boldtrak 32 with GlidesBetween Level and Normal 2073Boldtrak Standard 60mm Bracket</v>
      </c>
      <c r="O2659">
        <v>47</v>
      </c>
      <c r="P2659">
        <v>58</v>
      </c>
      <c r="Q2659" s="80">
        <v>0</v>
      </c>
      <c r="R2659" s="80">
        <f t="shared" si="195"/>
        <v>11</v>
      </c>
      <c r="AD2659"/>
    </row>
    <row r="2660" spans="10:30" ht="16.2" customHeight="1">
      <c r="J2660" s="80" t="s">
        <v>725</v>
      </c>
      <c r="K2660" s="80" t="s">
        <v>604</v>
      </c>
      <c r="L2660" t="s">
        <v>184</v>
      </c>
      <c r="M2660" t="s">
        <v>423</v>
      </c>
      <c r="N2660" t="str">
        <f t="shared" si="194"/>
        <v>SingleVanda Boldtrak 32 with GlidesDecorator 2071Boldtrak Standard 60mm Bracket</v>
      </c>
      <c r="O2660">
        <v>20</v>
      </c>
      <c r="P2660">
        <v>58</v>
      </c>
      <c r="Q2660" s="80">
        <v>0</v>
      </c>
      <c r="R2660" s="80">
        <f t="shared" si="195"/>
        <v>38</v>
      </c>
      <c r="AD2660"/>
    </row>
    <row r="2661" spans="10:30" ht="16.2" customHeight="1">
      <c r="J2661" s="80" t="s">
        <v>725</v>
      </c>
      <c r="K2661" s="80" t="s">
        <v>604</v>
      </c>
      <c r="L2661" t="s">
        <v>6468</v>
      </c>
      <c r="M2661" t="s">
        <v>423</v>
      </c>
      <c r="N2661" t="str">
        <f t="shared" si="194"/>
        <v>SingleVanda Boldtrak 32 with GlidesGather Hook Bottom PocketBoldtrak Standard 60mm Bracket</v>
      </c>
      <c r="O2661">
        <v>60</v>
      </c>
      <c r="P2661">
        <v>58</v>
      </c>
      <c r="Q2661" s="80">
        <v>0</v>
      </c>
      <c r="R2661" s="80">
        <f t="shared" si="195"/>
        <v>-2</v>
      </c>
      <c r="AD2661"/>
    </row>
    <row r="2662" spans="10:30" ht="16.2" customHeight="1">
      <c r="J2662" s="80" t="s">
        <v>725</v>
      </c>
      <c r="K2662" s="80" t="s">
        <v>604</v>
      </c>
      <c r="L2662" t="s">
        <v>229</v>
      </c>
      <c r="M2662" t="s">
        <v>423</v>
      </c>
      <c r="N2662" t="str">
        <f t="shared" si="194"/>
        <v>SingleVanda Boldtrak 32 with GlidesGather Hook LevelBoldtrak Standard 60mm Bracket</v>
      </c>
      <c r="O2662">
        <v>20</v>
      </c>
      <c r="P2662">
        <v>58</v>
      </c>
      <c r="Q2662" s="80">
        <v>0</v>
      </c>
      <c r="R2662" s="80">
        <f t="shared" si="195"/>
        <v>38</v>
      </c>
      <c r="AD2662"/>
    </row>
    <row r="2663" spans="10:30" ht="16.2" customHeight="1">
      <c r="J2663" s="80" t="s">
        <v>725</v>
      </c>
      <c r="K2663" s="80" t="s">
        <v>604</v>
      </c>
      <c r="L2663" t="s">
        <v>228</v>
      </c>
      <c r="M2663" t="s">
        <v>423</v>
      </c>
      <c r="N2663" t="str">
        <f t="shared" si="194"/>
        <v>SingleVanda Boldtrak 32 with GlidesGather Hook NormalBoldtrak Standard 60mm Bracket</v>
      </c>
      <c r="O2663">
        <v>43</v>
      </c>
      <c r="P2663">
        <v>58</v>
      </c>
      <c r="Q2663" s="80">
        <v>0</v>
      </c>
      <c r="R2663" s="80">
        <f t="shared" si="195"/>
        <v>15</v>
      </c>
      <c r="AD2663"/>
    </row>
    <row r="2664" spans="10:30" ht="16.2" customHeight="1">
      <c r="J2664" s="80" t="s">
        <v>725</v>
      </c>
      <c r="K2664" s="80" t="s">
        <v>604</v>
      </c>
      <c r="L2664" t="s">
        <v>282</v>
      </c>
      <c r="M2664" t="s">
        <v>423</v>
      </c>
      <c r="N2664" t="str">
        <f t="shared" si="194"/>
        <v>SingleVanda Boldtrak 32 with GlidesLevel 2072Boldtrak Standard 60mm Bracket</v>
      </c>
      <c r="O2664">
        <v>35</v>
      </c>
      <c r="P2664">
        <v>58</v>
      </c>
      <c r="Q2664" s="80">
        <v>0</v>
      </c>
      <c r="R2664" s="80">
        <f t="shared" si="195"/>
        <v>23</v>
      </c>
      <c r="AD2664"/>
    </row>
    <row r="2665" spans="10:30" ht="16.2" customHeight="1">
      <c r="J2665" s="80" t="s">
        <v>725</v>
      </c>
      <c r="K2665" s="80" t="s">
        <v>604</v>
      </c>
      <c r="L2665" t="s">
        <v>170</v>
      </c>
      <c r="M2665" t="s">
        <v>423</v>
      </c>
      <c r="N2665" t="str">
        <f t="shared" si="194"/>
        <v>SingleVanda Boldtrak 32 with GlidesNormal 2074Boldtrak Standard 60mm Bracket</v>
      </c>
      <c r="O2665">
        <v>60</v>
      </c>
      <c r="P2665">
        <v>58</v>
      </c>
      <c r="Q2665" s="80">
        <v>0</v>
      </c>
      <c r="R2665" s="80">
        <f t="shared" si="195"/>
        <v>-2</v>
      </c>
      <c r="AD2665"/>
    </row>
    <row r="2666" spans="10:30" ht="16.2" customHeight="1">
      <c r="J2666" s="80" t="s">
        <v>746</v>
      </c>
      <c r="K2666" s="80" t="s">
        <v>604</v>
      </c>
      <c r="L2666" t="s">
        <v>183</v>
      </c>
      <c r="M2666" s="66" t="s">
        <v>9302</v>
      </c>
      <c r="N2666" t="str">
        <f t="shared" si="194"/>
        <v>Double FrontVanda Boldtrak 32 with GlidesBelow Normal 2075Boldtrak Standard Double Bracket Suit 25mm on Back</v>
      </c>
      <c r="O2666">
        <v>70</v>
      </c>
      <c r="P2666">
        <v>58</v>
      </c>
      <c r="Q2666" s="80">
        <v>0</v>
      </c>
      <c r="R2666" s="80">
        <f t="shared" si="195"/>
        <v>-12</v>
      </c>
      <c r="AD2666"/>
    </row>
    <row r="2667" spans="10:30" ht="16.2" customHeight="1">
      <c r="J2667" s="80" t="s">
        <v>746</v>
      </c>
      <c r="K2667" s="80" t="s">
        <v>604</v>
      </c>
      <c r="L2667" t="s">
        <v>182</v>
      </c>
      <c r="M2667" s="66" t="s">
        <v>9302</v>
      </c>
      <c r="N2667" t="str">
        <f t="shared" si="194"/>
        <v>Double FrontVanda Boldtrak 32 with GlidesBetween Level and Normal 2073Boldtrak Standard Double Bracket Suit 25mm on Back</v>
      </c>
      <c r="O2667">
        <v>48</v>
      </c>
      <c r="P2667">
        <v>58</v>
      </c>
      <c r="Q2667" s="80">
        <v>0</v>
      </c>
      <c r="R2667" s="80">
        <f t="shared" si="195"/>
        <v>10</v>
      </c>
      <c r="AD2667"/>
    </row>
    <row r="2668" spans="10:30" ht="16.2" customHeight="1">
      <c r="J2668" s="80" t="s">
        <v>746</v>
      </c>
      <c r="K2668" s="80" t="s">
        <v>604</v>
      </c>
      <c r="L2668" t="s">
        <v>184</v>
      </c>
      <c r="M2668" s="66" t="s">
        <v>9302</v>
      </c>
      <c r="N2668" t="str">
        <f t="shared" si="194"/>
        <v>Double FrontVanda Boldtrak 32 with GlidesDecorator 2071Boldtrak Standard Double Bracket Suit 25mm on Back</v>
      </c>
      <c r="O2668">
        <v>20</v>
      </c>
      <c r="P2668">
        <v>58</v>
      </c>
      <c r="Q2668" s="80">
        <v>0</v>
      </c>
      <c r="R2668" s="80">
        <f t="shared" si="195"/>
        <v>38</v>
      </c>
      <c r="AD2668"/>
    </row>
    <row r="2669" spans="10:30" ht="16.2" customHeight="1">
      <c r="J2669" s="80" t="s">
        <v>746</v>
      </c>
      <c r="K2669" s="80" t="s">
        <v>604</v>
      </c>
      <c r="L2669" t="s">
        <v>6468</v>
      </c>
      <c r="M2669" s="66" t="s">
        <v>9302</v>
      </c>
      <c r="N2669" t="str">
        <f t="shared" si="194"/>
        <v>Double FrontVanda Boldtrak 32 with GlidesGather Hook Bottom PocketBoldtrak Standard Double Bracket Suit 25mm on Back</v>
      </c>
      <c r="O2669">
        <v>60</v>
      </c>
      <c r="P2669">
        <v>58</v>
      </c>
      <c r="Q2669" s="80">
        <v>0</v>
      </c>
      <c r="R2669" s="80">
        <f t="shared" si="195"/>
        <v>-2</v>
      </c>
      <c r="AD2669"/>
    </row>
    <row r="2670" spans="10:30" ht="16.2" customHeight="1">
      <c r="J2670" s="80" t="s">
        <v>746</v>
      </c>
      <c r="K2670" s="80" t="s">
        <v>604</v>
      </c>
      <c r="L2670" t="s">
        <v>229</v>
      </c>
      <c r="M2670" s="66" t="s">
        <v>9302</v>
      </c>
      <c r="N2670" t="str">
        <f t="shared" si="194"/>
        <v>Double FrontVanda Boldtrak 32 with GlidesGather Hook LevelBoldtrak Standard Double Bracket Suit 25mm on Back</v>
      </c>
      <c r="O2670">
        <v>20</v>
      </c>
      <c r="P2670">
        <v>58</v>
      </c>
      <c r="Q2670" s="80">
        <v>0</v>
      </c>
      <c r="R2670" s="80">
        <f t="shared" si="195"/>
        <v>38</v>
      </c>
      <c r="AD2670"/>
    </row>
    <row r="2671" spans="10:30" ht="16.2" customHeight="1">
      <c r="J2671" s="80" t="s">
        <v>746</v>
      </c>
      <c r="K2671" s="80" t="s">
        <v>604</v>
      </c>
      <c r="L2671" t="s">
        <v>228</v>
      </c>
      <c r="M2671" s="66" t="s">
        <v>9302</v>
      </c>
      <c r="N2671" t="str">
        <f t="shared" si="194"/>
        <v>Double FrontVanda Boldtrak 32 with GlidesGather Hook NormalBoldtrak Standard Double Bracket Suit 25mm on Back</v>
      </c>
      <c r="O2671">
        <v>43</v>
      </c>
      <c r="P2671">
        <v>58</v>
      </c>
      <c r="Q2671" s="80">
        <v>0</v>
      </c>
      <c r="R2671" s="80">
        <f t="shared" si="195"/>
        <v>15</v>
      </c>
      <c r="AD2671"/>
    </row>
    <row r="2672" spans="10:30" ht="16.2" customHeight="1">
      <c r="J2672" s="80" t="s">
        <v>746</v>
      </c>
      <c r="K2672" s="80" t="s">
        <v>604</v>
      </c>
      <c r="L2672" t="s">
        <v>183</v>
      </c>
      <c r="M2672" s="66" t="s">
        <v>9303</v>
      </c>
      <c r="N2672" t="str">
        <f t="shared" si="194"/>
        <v>Double FrontVanda Boldtrak 32 with GlidesBelow Normal 2075Boldtrak Standard Double Bracket Suit 32mm on Back</v>
      </c>
      <c r="O2672">
        <v>70</v>
      </c>
      <c r="P2672">
        <v>58</v>
      </c>
      <c r="Q2672" s="80">
        <v>0</v>
      </c>
      <c r="R2672" s="80">
        <f t="shared" si="195"/>
        <v>-12</v>
      </c>
      <c r="AD2672"/>
    </row>
    <row r="2673" spans="10:30" ht="16.2" customHeight="1">
      <c r="J2673" s="80" t="s">
        <v>747</v>
      </c>
      <c r="K2673" s="80" t="s">
        <v>604</v>
      </c>
      <c r="L2673" t="s">
        <v>183</v>
      </c>
      <c r="M2673" s="66" t="s">
        <v>9303</v>
      </c>
      <c r="N2673" t="str">
        <f t="shared" si="194"/>
        <v>Double RearVanda Boldtrak 32 with GlidesBelow Normal 2075Boldtrak Standard Double Bracket Suit 32mm on Back</v>
      </c>
      <c r="O2673">
        <v>70</v>
      </c>
      <c r="P2673">
        <v>80</v>
      </c>
      <c r="Q2673" s="80">
        <v>0</v>
      </c>
      <c r="R2673" s="80">
        <f t="shared" si="195"/>
        <v>10</v>
      </c>
      <c r="AD2673"/>
    </row>
    <row r="2674" spans="10:30" ht="16.2" customHeight="1">
      <c r="J2674" s="80" t="s">
        <v>746</v>
      </c>
      <c r="K2674" s="80" t="s">
        <v>604</v>
      </c>
      <c r="L2674" t="s">
        <v>182</v>
      </c>
      <c r="M2674" s="66" t="s">
        <v>9303</v>
      </c>
      <c r="N2674" t="str">
        <f t="shared" si="194"/>
        <v>Double FrontVanda Boldtrak 32 with GlidesBetween Level and Normal 2073Boldtrak Standard Double Bracket Suit 32mm on Back</v>
      </c>
      <c r="O2674">
        <v>48</v>
      </c>
      <c r="P2674">
        <v>58</v>
      </c>
      <c r="Q2674" s="80">
        <v>0</v>
      </c>
      <c r="R2674" s="80">
        <f t="shared" si="195"/>
        <v>10</v>
      </c>
      <c r="AD2674"/>
    </row>
    <row r="2675" spans="10:30" ht="16.2" customHeight="1">
      <c r="J2675" s="80" t="s">
        <v>747</v>
      </c>
      <c r="K2675" s="80" t="s">
        <v>604</v>
      </c>
      <c r="L2675" t="s">
        <v>182</v>
      </c>
      <c r="M2675" s="66" t="s">
        <v>9303</v>
      </c>
      <c r="N2675" t="str">
        <f t="shared" si="194"/>
        <v>Double RearVanda Boldtrak 32 with GlidesBetween Level and Normal 2073Boldtrak Standard Double Bracket Suit 32mm on Back</v>
      </c>
      <c r="O2675">
        <v>48</v>
      </c>
      <c r="P2675">
        <v>80</v>
      </c>
      <c r="Q2675" s="80">
        <v>0</v>
      </c>
      <c r="R2675" s="80">
        <f t="shared" si="195"/>
        <v>32</v>
      </c>
      <c r="AD2675"/>
    </row>
    <row r="2676" spans="10:30" ht="16.2" customHeight="1">
      <c r="J2676" s="80" t="s">
        <v>746</v>
      </c>
      <c r="K2676" s="80" t="s">
        <v>604</v>
      </c>
      <c r="L2676" t="s">
        <v>184</v>
      </c>
      <c r="M2676" s="66" t="s">
        <v>9303</v>
      </c>
      <c r="N2676" t="str">
        <f t="shared" si="194"/>
        <v>Double FrontVanda Boldtrak 32 with GlidesDecorator 2071Boldtrak Standard Double Bracket Suit 32mm on Back</v>
      </c>
      <c r="O2676">
        <v>20</v>
      </c>
      <c r="P2676">
        <v>58</v>
      </c>
      <c r="Q2676" s="80">
        <v>0</v>
      </c>
      <c r="R2676" s="80">
        <f t="shared" si="195"/>
        <v>38</v>
      </c>
      <c r="AD2676"/>
    </row>
    <row r="2677" spans="10:30" ht="16.2" customHeight="1">
      <c r="J2677" s="80" t="s">
        <v>747</v>
      </c>
      <c r="K2677" s="80" t="s">
        <v>604</v>
      </c>
      <c r="L2677" t="s">
        <v>184</v>
      </c>
      <c r="M2677" s="66" t="s">
        <v>9303</v>
      </c>
      <c r="N2677" t="str">
        <f t="shared" si="194"/>
        <v>Double RearVanda Boldtrak 32 with GlidesDecorator 2071Boldtrak Standard Double Bracket Suit 32mm on Back</v>
      </c>
      <c r="O2677">
        <v>20</v>
      </c>
      <c r="P2677">
        <v>80</v>
      </c>
      <c r="Q2677" s="80">
        <v>0</v>
      </c>
      <c r="R2677" s="80">
        <f t="shared" si="195"/>
        <v>60</v>
      </c>
      <c r="AD2677"/>
    </row>
    <row r="2678" spans="10:30" ht="16.2" customHeight="1">
      <c r="J2678" s="80" t="s">
        <v>746</v>
      </c>
      <c r="K2678" s="80" t="s">
        <v>604</v>
      </c>
      <c r="L2678" t="s">
        <v>6468</v>
      </c>
      <c r="M2678" s="66" t="s">
        <v>9303</v>
      </c>
      <c r="N2678" t="str">
        <f t="shared" si="194"/>
        <v>Double FrontVanda Boldtrak 32 with GlidesGather Hook Bottom PocketBoldtrak Standard Double Bracket Suit 32mm on Back</v>
      </c>
      <c r="O2678">
        <v>60</v>
      </c>
      <c r="P2678">
        <v>58</v>
      </c>
      <c r="Q2678" s="80">
        <v>0</v>
      </c>
      <c r="R2678" s="80">
        <f t="shared" si="195"/>
        <v>-2</v>
      </c>
      <c r="AD2678"/>
    </row>
    <row r="2679" spans="10:30" ht="16.2" customHeight="1">
      <c r="J2679" s="80" t="s">
        <v>746</v>
      </c>
      <c r="K2679" s="80" t="s">
        <v>604</v>
      </c>
      <c r="L2679" t="s">
        <v>229</v>
      </c>
      <c r="M2679" s="66" t="s">
        <v>9303</v>
      </c>
      <c r="N2679" t="str">
        <f t="shared" si="194"/>
        <v>Double FrontVanda Boldtrak 32 with GlidesGather Hook LevelBoldtrak Standard Double Bracket Suit 32mm on Back</v>
      </c>
      <c r="O2679">
        <v>20</v>
      </c>
      <c r="P2679">
        <v>58</v>
      </c>
      <c r="Q2679" s="80">
        <v>0</v>
      </c>
      <c r="R2679" s="80">
        <f t="shared" si="195"/>
        <v>38</v>
      </c>
      <c r="AD2679"/>
    </row>
    <row r="2680" spans="10:30" ht="16.2" customHeight="1">
      <c r="J2680" s="80" t="s">
        <v>747</v>
      </c>
      <c r="K2680" s="80" t="s">
        <v>604</v>
      </c>
      <c r="L2680" t="s">
        <v>229</v>
      </c>
      <c r="M2680" s="66" t="s">
        <v>9303</v>
      </c>
      <c r="N2680" t="str">
        <f t="shared" si="194"/>
        <v>Double RearVanda Boldtrak 32 with GlidesGather Hook LevelBoldtrak Standard Double Bracket Suit 32mm on Back</v>
      </c>
      <c r="O2680">
        <v>20</v>
      </c>
      <c r="P2680">
        <v>80</v>
      </c>
      <c r="Q2680" s="80">
        <v>0</v>
      </c>
      <c r="R2680" s="80">
        <f t="shared" si="195"/>
        <v>60</v>
      </c>
      <c r="AD2680"/>
    </row>
    <row r="2681" spans="10:30" ht="16.2" customHeight="1">
      <c r="J2681" s="80" t="s">
        <v>746</v>
      </c>
      <c r="K2681" s="80" t="s">
        <v>604</v>
      </c>
      <c r="L2681" t="s">
        <v>228</v>
      </c>
      <c r="M2681" s="66" t="s">
        <v>9303</v>
      </c>
      <c r="N2681" t="str">
        <f t="shared" si="194"/>
        <v>Double FrontVanda Boldtrak 32 with GlidesGather Hook NormalBoldtrak Standard Double Bracket Suit 32mm on Back</v>
      </c>
      <c r="O2681">
        <v>43</v>
      </c>
      <c r="P2681">
        <v>58</v>
      </c>
      <c r="Q2681" s="80">
        <v>0</v>
      </c>
      <c r="R2681" s="80">
        <f t="shared" si="195"/>
        <v>15</v>
      </c>
      <c r="AD2681"/>
    </row>
    <row r="2682" spans="10:30" ht="16.2" customHeight="1">
      <c r="J2682" s="80" t="s">
        <v>747</v>
      </c>
      <c r="K2682" s="80" t="s">
        <v>604</v>
      </c>
      <c r="L2682" t="s">
        <v>228</v>
      </c>
      <c r="M2682" s="66" t="s">
        <v>9303</v>
      </c>
      <c r="N2682" t="str">
        <f t="shared" si="194"/>
        <v>Double RearVanda Boldtrak 32 with GlidesGather Hook NormalBoldtrak Standard Double Bracket Suit 32mm on Back</v>
      </c>
      <c r="O2682">
        <v>43</v>
      </c>
      <c r="P2682">
        <v>80</v>
      </c>
      <c r="Q2682" s="80">
        <v>0</v>
      </c>
      <c r="R2682" s="80">
        <f t="shared" si="195"/>
        <v>37</v>
      </c>
      <c r="AD2682"/>
    </row>
    <row r="2683" spans="10:30" ht="16.2" customHeight="1">
      <c r="J2683" s="80" t="s">
        <v>747</v>
      </c>
      <c r="K2683" s="80" t="s">
        <v>604</v>
      </c>
      <c r="L2683" t="s">
        <v>282</v>
      </c>
      <c r="M2683" s="66" t="s">
        <v>9303</v>
      </c>
      <c r="N2683" t="str">
        <f t="shared" si="194"/>
        <v>Double RearVanda Boldtrak 32 with GlidesLevel 2072Boldtrak Standard Double Bracket Suit 32mm on Back</v>
      </c>
      <c r="O2683">
        <v>38</v>
      </c>
      <c r="P2683">
        <v>80</v>
      </c>
      <c r="Q2683" s="80">
        <v>0</v>
      </c>
      <c r="R2683" s="80">
        <f t="shared" si="195"/>
        <v>42</v>
      </c>
      <c r="AD2683"/>
    </row>
    <row r="2684" spans="10:30" ht="16.2" customHeight="1">
      <c r="J2684" s="80" t="s">
        <v>747</v>
      </c>
      <c r="K2684" s="80" t="s">
        <v>604</v>
      </c>
      <c r="L2684" t="s">
        <v>170</v>
      </c>
      <c r="M2684" s="66" t="s">
        <v>9303</v>
      </c>
      <c r="N2684" t="str">
        <f t="shared" si="194"/>
        <v>Double RearVanda Boldtrak 32 with GlidesNormal 2074Boldtrak Standard Double Bracket Suit 32mm on Back</v>
      </c>
      <c r="O2684">
        <v>60</v>
      </c>
      <c r="P2684">
        <v>80</v>
      </c>
      <c r="Q2684" s="80">
        <v>0</v>
      </c>
      <c r="R2684" s="80">
        <f t="shared" si="195"/>
        <v>20</v>
      </c>
      <c r="AD2684"/>
    </row>
    <row r="2685" spans="10:30" ht="16.2" customHeight="1">
      <c r="J2685" s="80" t="s">
        <v>746</v>
      </c>
      <c r="K2685" s="80" t="s">
        <v>604</v>
      </c>
      <c r="L2685" t="s">
        <v>183</v>
      </c>
      <c r="M2685" s="66" t="s">
        <v>9305</v>
      </c>
      <c r="N2685" t="str">
        <f t="shared" si="194"/>
        <v>Double FrontVanda Boldtrak 32 with GlidesBelow Normal 2075Boldtrak Standard Double Bracket Suit 32mm on Front</v>
      </c>
      <c r="O2685">
        <v>70</v>
      </c>
      <c r="P2685">
        <v>58</v>
      </c>
      <c r="Q2685" s="80">
        <v>0</v>
      </c>
      <c r="R2685" s="80">
        <f t="shared" si="195"/>
        <v>-12</v>
      </c>
      <c r="AD2685"/>
    </row>
    <row r="2686" spans="10:30" ht="16.2" customHeight="1">
      <c r="J2686" s="80" t="s">
        <v>746</v>
      </c>
      <c r="K2686" s="80" t="s">
        <v>604</v>
      </c>
      <c r="L2686" t="s">
        <v>182</v>
      </c>
      <c r="M2686" s="66" t="s">
        <v>9305</v>
      </c>
      <c r="N2686" t="str">
        <f t="shared" si="194"/>
        <v>Double FrontVanda Boldtrak 32 with GlidesBetween Level and Normal 2073Boldtrak Standard Double Bracket Suit 32mm on Front</v>
      </c>
      <c r="O2686">
        <v>47</v>
      </c>
      <c r="P2686">
        <v>58</v>
      </c>
      <c r="Q2686" s="80">
        <v>0</v>
      </c>
      <c r="R2686" s="80">
        <f t="shared" si="195"/>
        <v>11</v>
      </c>
      <c r="AD2686"/>
    </row>
    <row r="2687" spans="10:30" ht="16.2" customHeight="1">
      <c r="J2687" s="80" t="s">
        <v>746</v>
      </c>
      <c r="K2687" s="80" t="s">
        <v>604</v>
      </c>
      <c r="L2687" t="s">
        <v>184</v>
      </c>
      <c r="M2687" s="66" t="s">
        <v>9305</v>
      </c>
      <c r="N2687" t="str">
        <f t="shared" si="194"/>
        <v>Double FrontVanda Boldtrak 32 with GlidesDecorator 2071Boldtrak Standard Double Bracket Suit 32mm on Front</v>
      </c>
      <c r="O2687">
        <v>20</v>
      </c>
      <c r="P2687">
        <v>58</v>
      </c>
      <c r="Q2687" s="80">
        <v>0</v>
      </c>
      <c r="R2687" s="80">
        <f t="shared" si="195"/>
        <v>38</v>
      </c>
      <c r="AD2687"/>
    </row>
    <row r="2688" spans="10:30" ht="16.2" customHeight="1">
      <c r="J2688" s="80" t="s">
        <v>746</v>
      </c>
      <c r="K2688" s="80" t="s">
        <v>604</v>
      </c>
      <c r="L2688" t="s">
        <v>6468</v>
      </c>
      <c r="M2688" s="66" t="s">
        <v>9305</v>
      </c>
      <c r="N2688" t="str">
        <f t="shared" si="194"/>
        <v>Double FrontVanda Boldtrak 32 with GlidesGather Hook Bottom PocketBoldtrak Standard Double Bracket Suit 32mm on Front</v>
      </c>
      <c r="O2688">
        <v>60</v>
      </c>
      <c r="P2688">
        <v>58</v>
      </c>
      <c r="Q2688" s="80">
        <v>0</v>
      </c>
      <c r="R2688" s="80">
        <f t="shared" si="195"/>
        <v>-2</v>
      </c>
      <c r="AD2688"/>
    </row>
    <row r="2689" spans="10:30" ht="16.2" customHeight="1">
      <c r="J2689" s="80" t="s">
        <v>746</v>
      </c>
      <c r="K2689" s="80" t="s">
        <v>604</v>
      </c>
      <c r="L2689" t="s">
        <v>229</v>
      </c>
      <c r="M2689" s="66" t="s">
        <v>9305</v>
      </c>
      <c r="N2689" t="str">
        <f t="shared" si="194"/>
        <v>Double FrontVanda Boldtrak 32 with GlidesGather Hook LevelBoldtrak Standard Double Bracket Suit 32mm on Front</v>
      </c>
      <c r="O2689">
        <v>20</v>
      </c>
      <c r="P2689">
        <v>58</v>
      </c>
      <c r="Q2689" s="80">
        <v>0</v>
      </c>
      <c r="R2689" s="80">
        <f t="shared" si="195"/>
        <v>38</v>
      </c>
      <c r="AD2689"/>
    </row>
    <row r="2690" spans="10:30" ht="16.2" customHeight="1">
      <c r="J2690" s="80" t="s">
        <v>746</v>
      </c>
      <c r="K2690" s="80" t="s">
        <v>604</v>
      </c>
      <c r="L2690" t="s">
        <v>228</v>
      </c>
      <c r="M2690" s="66" t="s">
        <v>9305</v>
      </c>
      <c r="N2690" t="str">
        <f t="shared" si="196" ref="N2690:N2753">(CONCATENATE(J2690,K2690,L2690,M2690))</f>
        <v>Double FrontVanda Boldtrak 32 with GlidesGather Hook NormalBoldtrak Standard Double Bracket Suit 32mm on Front</v>
      </c>
      <c r="O2690">
        <v>43</v>
      </c>
      <c r="P2690">
        <v>58</v>
      </c>
      <c r="Q2690" s="80">
        <v>0</v>
      </c>
      <c r="R2690" s="80">
        <f t="shared" si="195"/>
        <v>15</v>
      </c>
      <c r="AD2690"/>
    </row>
    <row r="2691" spans="10:30" ht="16.2" customHeight="1">
      <c r="J2691" s="80" t="s">
        <v>746</v>
      </c>
      <c r="K2691" s="80" t="s">
        <v>604</v>
      </c>
      <c r="L2691" t="s">
        <v>282</v>
      </c>
      <c r="M2691" s="66" t="s">
        <v>9305</v>
      </c>
      <c r="N2691" t="str">
        <f t="shared" si="196"/>
        <v>Double FrontVanda Boldtrak 32 with GlidesLevel 2072Boldtrak Standard Double Bracket Suit 32mm on Front</v>
      </c>
      <c r="O2691">
        <v>35</v>
      </c>
      <c r="P2691">
        <v>58</v>
      </c>
      <c r="Q2691" s="80">
        <v>0</v>
      </c>
      <c r="R2691" s="80">
        <f t="shared" si="195"/>
        <v>23</v>
      </c>
      <c r="AD2691"/>
    </row>
    <row r="2692" spans="10:30" ht="16.2" customHeight="1">
      <c r="J2692" s="80" t="s">
        <v>746</v>
      </c>
      <c r="K2692" s="80" t="s">
        <v>604</v>
      </c>
      <c r="L2692" t="s">
        <v>170</v>
      </c>
      <c r="M2692" s="66" t="s">
        <v>9305</v>
      </c>
      <c r="N2692" t="str">
        <f t="shared" si="196"/>
        <v>Double FrontVanda Boldtrak 32 with GlidesNormal 2074Boldtrak Standard Double Bracket Suit 32mm on Front</v>
      </c>
      <c r="O2692">
        <v>60</v>
      </c>
      <c r="P2692">
        <v>58</v>
      </c>
      <c r="Q2692" s="80">
        <v>0</v>
      </c>
      <c r="R2692" s="80">
        <f t="shared" si="195"/>
        <v>-2</v>
      </c>
      <c r="AD2692"/>
    </row>
    <row r="2693" spans="10:30" ht="16.2" customHeight="1">
      <c r="J2693" s="80" t="s">
        <v>746</v>
      </c>
      <c r="K2693" s="80" t="s">
        <v>604</v>
      </c>
      <c r="L2693" t="s">
        <v>183</v>
      </c>
      <c r="M2693" s="66" t="s">
        <v>9304</v>
      </c>
      <c r="N2693" t="str">
        <f t="shared" si="196"/>
        <v>Double FrontVanda Boldtrak 32 with GlidesBelow Normal 2075Boldtrak Standard Double Bracket Suit 35mm on Back</v>
      </c>
      <c r="O2693">
        <v>70</v>
      </c>
      <c r="P2693">
        <v>58</v>
      </c>
      <c r="Q2693" s="80">
        <v>0</v>
      </c>
      <c r="R2693" s="80">
        <f t="shared" si="195"/>
        <v>-12</v>
      </c>
      <c r="AD2693"/>
    </row>
    <row r="2694" spans="10:30" ht="16.2" customHeight="1">
      <c r="J2694" s="80" t="s">
        <v>746</v>
      </c>
      <c r="K2694" s="80" t="s">
        <v>604</v>
      </c>
      <c r="L2694" t="s">
        <v>182</v>
      </c>
      <c r="M2694" s="66" t="s">
        <v>9304</v>
      </c>
      <c r="N2694" t="str">
        <f t="shared" si="196"/>
        <v>Double FrontVanda Boldtrak 32 with GlidesBetween Level and Normal 2073Boldtrak Standard Double Bracket Suit 35mm on Back</v>
      </c>
      <c r="O2694">
        <v>48</v>
      </c>
      <c r="P2694">
        <v>58</v>
      </c>
      <c r="Q2694" s="80">
        <v>0</v>
      </c>
      <c r="R2694" s="80">
        <f t="shared" si="195"/>
        <v>10</v>
      </c>
      <c r="AD2694"/>
    </row>
    <row r="2695" spans="10:30" ht="16.2" customHeight="1">
      <c r="J2695" s="80" t="s">
        <v>746</v>
      </c>
      <c r="K2695" s="80" t="s">
        <v>604</v>
      </c>
      <c r="L2695" t="s">
        <v>184</v>
      </c>
      <c r="M2695" s="66" t="s">
        <v>9304</v>
      </c>
      <c r="N2695" t="str">
        <f t="shared" si="196"/>
        <v>Double FrontVanda Boldtrak 32 with GlidesDecorator 2071Boldtrak Standard Double Bracket Suit 35mm on Back</v>
      </c>
      <c r="O2695">
        <v>20</v>
      </c>
      <c r="P2695">
        <v>58</v>
      </c>
      <c r="Q2695" s="80">
        <v>0</v>
      </c>
      <c r="R2695" s="80">
        <f t="shared" si="195"/>
        <v>38</v>
      </c>
      <c r="AD2695"/>
    </row>
    <row r="2696" spans="10:30" ht="16.2" customHeight="1">
      <c r="J2696" s="80" t="s">
        <v>746</v>
      </c>
      <c r="K2696" s="80" t="s">
        <v>604</v>
      </c>
      <c r="L2696" t="s">
        <v>6468</v>
      </c>
      <c r="M2696" s="66" t="s">
        <v>9304</v>
      </c>
      <c r="N2696" t="str">
        <f t="shared" si="196"/>
        <v>Double FrontVanda Boldtrak 32 with GlidesGather Hook Bottom PocketBoldtrak Standard Double Bracket Suit 35mm on Back</v>
      </c>
      <c r="O2696">
        <v>60</v>
      </c>
      <c r="P2696">
        <v>58</v>
      </c>
      <c r="Q2696" s="80">
        <v>0</v>
      </c>
      <c r="R2696" s="80">
        <f t="shared" si="195"/>
        <v>-2</v>
      </c>
      <c r="AD2696"/>
    </row>
    <row r="2697" spans="10:30" ht="16.2" customHeight="1">
      <c r="J2697" s="80" t="s">
        <v>746</v>
      </c>
      <c r="K2697" s="80" t="s">
        <v>604</v>
      </c>
      <c r="L2697" t="s">
        <v>229</v>
      </c>
      <c r="M2697" s="66" t="s">
        <v>9304</v>
      </c>
      <c r="N2697" t="str">
        <f t="shared" si="196"/>
        <v>Double FrontVanda Boldtrak 32 with GlidesGather Hook LevelBoldtrak Standard Double Bracket Suit 35mm on Back</v>
      </c>
      <c r="O2697">
        <v>20</v>
      </c>
      <c r="P2697">
        <v>58</v>
      </c>
      <c r="Q2697" s="80">
        <v>0</v>
      </c>
      <c r="R2697" s="80">
        <f t="shared" si="195"/>
        <v>38</v>
      </c>
      <c r="AD2697"/>
    </row>
    <row r="2698" spans="10:30" ht="16.2" customHeight="1">
      <c r="J2698" s="80" t="s">
        <v>746</v>
      </c>
      <c r="K2698" s="80" t="s">
        <v>604</v>
      </c>
      <c r="L2698" t="s">
        <v>228</v>
      </c>
      <c r="M2698" s="66" t="s">
        <v>9304</v>
      </c>
      <c r="N2698" t="str">
        <f t="shared" si="196"/>
        <v>Double FrontVanda Boldtrak 32 with GlidesGather Hook NormalBoldtrak Standard Double Bracket Suit 35mm on Back</v>
      </c>
      <c r="O2698">
        <v>43</v>
      </c>
      <c r="P2698">
        <v>58</v>
      </c>
      <c r="Q2698" s="80">
        <v>0</v>
      </c>
      <c r="R2698" s="80">
        <f t="shared" si="195"/>
        <v>15</v>
      </c>
      <c r="AD2698"/>
    </row>
    <row r="2699" spans="10:30" ht="16.2" customHeight="1">
      <c r="J2699" s="80" t="s">
        <v>746</v>
      </c>
      <c r="K2699" s="80" t="s">
        <v>604</v>
      </c>
      <c r="L2699" t="s">
        <v>183</v>
      </c>
      <c r="M2699" t="s">
        <v>438</v>
      </c>
      <c r="N2699" t="str">
        <f t="shared" si="196"/>
        <v>Double FrontVanda Boldtrak 32 with GlidesBelow Normal 2075Boldtrak Top Fix Bracket</v>
      </c>
      <c r="O2699">
        <v>70</v>
      </c>
      <c r="P2699">
        <v>54</v>
      </c>
      <c r="Q2699" s="80">
        <v>0</v>
      </c>
      <c r="R2699" s="80">
        <f t="shared" si="195"/>
        <v>-16</v>
      </c>
      <c r="AD2699"/>
    </row>
    <row r="2700" spans="10:30" ht="16.2" customHeight="1">
      <c r="J2700" s="80" t="s">
        <v>747</v>
      </c>
      <c r="K2700" s="80" t="s">
        <v>604</v>
      </c>
      <c r="L2700" t="s">
        <v>183</v>
      </c>
      <c r="M2700" t="s">
        <v>438</v>
      </c>
      <c r="N2700" t="str">
        <f t="shared" si="196"/>
        <v>Double RearVanda Boldtrak 32 with GlidesBelow Normal 2075Boldtrak Top Fix Bracket</v>
      </c>
      <c r="O2700">
        <v>70</v>
      </c>
      <c r="P2700">
        <v>54</v>
      </c>
      <c r="Q2700" s="80">
        <v>0</v>
      </c>
      <c r="R2700" s="80">
        <f t="shared" si="195"/>
        <v>-16</v>
      </c>
      <c r="AD2700"/>
    </row>
    <row r="2701" spans="10:30" ht="16.2" customHeight="1">
      <c r="J2701" s="80" t="s">
        <v>725</v>
      </c>
      <c r="K2701" s="80" t="s">
        <v>604</v>
      </c>
      <c r="L2701" t="s">
        <v>183</v>
      </c>
      <c r="M2701" t="s">
        <v>438</v>
      </c>
      <c r="N2701" t="str">
        <f t="shared" si="196"/>
        <v>SingleVanda Boldtrak 32 with GlidesBelow Normal 2075Boldtrak Top Fix Bracket</v>
      </c>
      <c r="O2701">
        <v>70</v>
      </c>
      <c r="P2701">
        <v>54</v>
      </c>
      <c r="Q2701" s="80">
        <v>0</v>
      </c>
      <c r="R2701" s="80">
        <f t="shared" si="195"/>
        <v>-16</v>
      </c>
      <c r="AD2701"/>
    </row>
    <row r="2702" spans="10:30" ht="16.2" customHeight="1">
      <c r="J2702" s="80" t="s">
        <v>746</v>
      </c>
      <c r="K2702" s="80" t="s">
        <v>604</v>
      </c>
      <c r="L2702" t="s">
        <v>182</v>
      </c>
      <c r="M2702" t="s">
        <v>438</v>
      </c>
      <c r="N2702" t="str">
        <f t="shared" si="196"/>
        <v>Double FrontVanda Boldtrak 32 with GlidesBetween Level and Normal 2073Boldtrak Top Fix Bracket</v>
      </c>
      <c r="O2702">
        <v>48</v>
      </c>
      <c r="P2702">
        <v>54</v>
      </c>
      <c r="Q2702" s="80">
        <v>0</v>
      </c>
      <c r="R2702" s="80">
        <f t="shared" si="195"/>
        <v>6</v>
      </c>
      <c r="AD2702"/>
    </row>
    <row r="2703" spans="10:30" ht="16.2" customHeight="1">
      <c r="J2703" s="80" t="s">
        <v>747</v>
      </c>
      <c r="K2703" s="80" t="s">
        <v>604</v>
      </c>
      <c r="L2703" t="s">
        <v>182</v>
      </c>
      <c r="M2703" t="s">
        <v>438</v>
      </c>
      <c r="N2703" t="str">
        <f t="shared" si="196"/>
        <v>Double RearVanda Boldtrak 32 with GlidesBetween Level and Normal 2073Boldtrak Top Fix Bracket</v>
      </c>
      <c r="O2703">
        <v>48</v>
      </c>
      <c r="P2703">
        <v>54</v>
      </c>
      <c r="Q2703" s="80">
        <v>0</v>
      </c>
      <c r="R2703" s="80">
        <f t="shared" si="195"/>
        <v>6</v>
      </c>
      <c r="AD2703"/>
    </row>
    <row r="2704" spans="10:30" ht="16.2" customHeight="1">
      <c r="J2704" s="80" t="s">
        <v>725</v>
      </c>
      <c r="K2704" s="80" t="s">
        <v>604</v>
      </c>
      <c r="L2704" t="s">
        <v>182</v>
      </c>
      <c r="M2704" t="s">
        <v>438</v>
      </c>
      <c r="N2704" t="str">
        <f t="shared" si="196"/>
        <v>SingleVanda Boldtrak 32 with GlidesBetween Level and Normal 2073Boldtrak Top Fix Bracket</v>
      </c>
      <c r="O2704">
        <v>47</v>
      </c>
      <c r="P2704">
        <v>54</v>
      </c>
      <c r="Q2704" s="80">
        <v>0</v>
      </c>
      <c r="R2704" s="80">
        <f t="shared" si="195"/>
        <v>7</v>
      </c>
      <c r="AD2704"/>
    </row>
    <row r="2705" spans="10:30" ht="16.2" customHeight="1">
      <c r="J2705" s="80" t="s">
        <v>746</v>
      </c>
      <c r="K2705" s="80" t="s">
        <v>604</v>
      </c>
      <c r="L2705" t="s">
        <v>184</v>
      </c>
      <c r="M2705" t="s">
        <v>438</v>
      </c>
      <c r="N2705" t="str">
        <f t="shared" si="196"/>
        <v>Double FrontVanda Boldtrak 32 with GlidesDecorator 2071Boldtrak Top Fix Bracket</v>
      </c>
      <c r="O2705">
        <v>20</v>
      </c>
      <c r="P2705">
        <v>54</v>
      </c>
      <c r="Q2705" s="80">
        <v>0</v>
      </c>
      <c r="R2705" s="80">
        <f t="shared" si="195"/>
        <v>34</v>
      </c>
      <c r="AD2705"/>
    </row>
    <row r="2706" spans="10:30" ht="16.2" customHeight="1">
      <c r="J2706" s="80" t="s">
        <v>747</v>
      </c>
      <c r="K2706" s="80" t="s">
        <v>604</v>
      </c>
      <c r="L2706" t="s">
        <v>184</v>
      </c>
      <c r="M2706" t="s">
        <v>438</v>
      </c>
      <c r="N2706" t="str">
        <f t="shared" si="196"/>
        <v>Double RearVanda Boldtrak 32 with GlidesDecorator 2071Boldtrak Top Fix Bracket</v>
      </c>
      <c r="O2706">
        <v>20</v>
      </c>
      <c r="P2706">
        <v>54</v>
      </c>
      <c r="Q2706" s="80">
        <v>0</v>
      </c>
      <c r="R2706" s="80">
        <f t="shared" si="195"/>
        <v>34</v>
      </c>
      <c r="AD2706"/>
    </row>
    <row r="2707" spans="10:30" ht="16.2" customHeight="1">
      <c r="J2707" s="80" t="s">
        <v>725</v>
      </c>
      <c r="K2707" s="80" t="s">
        <v>604</v>
      </c>
      <c r="L2707" t="s">
        <v>184</v>
      </c>
      <c r="M2707" t="s">
        <v>438</v>
      </c>
      <c r="N2707" t="str">
        <f t="shared" si="196"/>
        <v>SingleVanda Boldtrak 32 with GlidesDecorator 2071Boldtrak Top Fix Bracket</v>
      </c>
      <c r="O2707">
        <v>20</v>
      </c>
      <c r="P2707">
        <v>54</v>
      </c>
      <c r="Q2707" s="80">
        <v>0</v>
      </c>
      <c r="R2707" s="80">
        <f t="shared" si="195"/>
        <v>34</v>
      </c>
      <c r="AD2707"/>
    </row>
    <row r="2708" spans="10:30" ht="16.2" customHeight="1">
      <c r="J2708" s="80" t="s">
        <v>746</v>
      </c>
      <c r="K2708" s="80" t="s">
        <v>604</v>
      </c>
      <c r="L2708" t="s">
        <v>6468</v>
      </c>
      <c r="M2708" t="s">
        <v>438</v>
      </c>
      <c r="N2708" t="str">
        <f t="shared" si="196"/>
        <v>Double FrontVanda Boldtrak 32 with GlidesGather Hook Bottom PocketBoldtrak Top Fix Bracket</v>
      </c>
      <c r="O2708">
        <v>60</v>
      </c>
      <c r="P2708">
        <v>45</v>
      </c>
      <c r="Q2708" s="80">
        <v>0</v>
      </c>
      <c r="R2708" s="80">
        <f t="shared" si="195"/>
        <v>-15</v>
      </c>
      <c r="AD2708"/>
    </row>
    <row r="2709" spans="10:30" ht="16.2" customHeight="1">
      <c r="J2709" s="80" t="s">
        <v>725</v>
      </c>
      <c r="K2709" s="80" t="s">
        <v>604</v>
      </c>
      <c r="L2709" t="s">
        <v>6468</v>
      </c>
      <c r="M2709" t="s">
        <v>438</v>
      </c>
      <c r="N2709" t="str">
        <f t="shared" si="196"/>
        <v>SingleVanda Boldtrak 32 with GlidesGather Hook Bottom PocketBoldtrak Top Fix Bracket</v>
      </c>
      <c r="O2709">
        <v>60</v>
      </c>
      <c r="P2709">
        <v>54</v>
      </c>
      <c r="Q2709" s="80">
        <v>0</v>
      </c>
      <c r="R2709" s="80">
        <f t="shared" si="195"/>
        <v>-6</v>
      </c>
      <c r="AD2709"/>
    </row>
    <row r="2710" spans="10:30" ht="16.2" customHeight="1">
      <c r="J2710" s="80" t="s">
        <v>746</v>
      </c>
      <c r="K2710" s="80" t="s">
        <v>604</v>
      </c>
      <c r="L2710" t="s">
        <v>229</v>
      </c>
      <c r="M2710" t="s">
        <v>438</v>
      </c>
      <c r="N2710" t="str">
        <f t="shared" si="196"/>
        <v>Double FrontVanda Boldtrak 32 with GlidesGather Hook LevelBoldtrak Top Fix Bracket</v>
      </c>
      <c r="O2710">
        <v>20</v>
      </c>
      <c r="P2710">
        <v>54</v>
      </c>
      <c r="Q2710" s="80">
        <v>0</v>
      </c>
      <c r="R2710" s="80">
        <f t="shared" si="195"/>
        <v>34</v>
      </c>
      <c r="AD2710"/>
    </row>
    <row r="2711" spans="10:30" ht="16.2" customHeight="1">
      <c r="J2711" s="80" t="s">
        <v>747</v>
      </c>
      <c r="K2711" s="80" t="s">
        <v>604</v>
      </c>
      <c r="L2711" t="s">
        <v>229</v>
      </c>
      <c r="M2711" t="s">
        <v>438</v>
      </c>
      <c r="N2711" t="str">
        <f t="shared" si="196"/>
        <v>Double RearVanda Boldtrak 32 with GlidesGather Hook LevelBoldtrak Top Fix Bracket</v>
      </c>
      <c r="O2711">
        <v>20</v>
      </c>
      <c r="P2711">
        <v>54</v>
      </c>
      <c r="Q2711" s="80">
        <v>0</v>
      </c>
      <c r="R2711" s="80">
        <f t="shared" si="195"/>
        <v>34</v>
      </c>
      <c r="AD2711"/>
    </row>
    <row r="2712" spans="10:30" ht="16.2" customHeight="1">
      <c r="J2712" s="80" t="s">
        <v>725</v>
      </c>
      <c r="K2712" s="80" t="s">
        <v>604</v>
      </c>
      <c r="L2712" t="s">
        <v>229</v>
      </c>
      <c r="M2712" t="s">
        <v>438</v>
      </c>
      <c r="N2712" t="str">
        <f t="shared" si="196"/>
        <v>SingleVanda Boldtrak 32 with GlidesGather Hook LevelBoldtrak Top Fix Bracket</v>
      </c>
      <c r="O2712">
        <v>20</v>
      </c>
      <c r="P2712">
        <v>54</v>
      </c>
      <c r="Q2712" s="80">
        <v>0</v>
      </c>
      <c r="R2712" s="80">
        <f t="shared" si="195"/>
        <v>34</v>
      </c>
      <c r="AD2712"/>
    </row>
    <row r="2713" spans="10:30" ht="16.2" customHeight="1">
      <c r="J2713" s="80" t="s">
        <v>746</v>
      </c>
      <c r="K2713" s="80" t="s">
        <v>604</v>
      </c>
      <c r="L2713" t="s">
        <v>228</v>
      </c>
      <c r="M2713" t="s">
        <v>438</v>
      </c>
      <c r="N2713" t="str">
        <f t="shared" si="196"/>
        <v>Double FrontVanda Boldtrak 32 with GlidesGather Hook NormalBoldtrak Top Fix Bracket</v>
      </c>
      <c r="O2713">
        <v>43</v>
      </c>
      <c r="P2713">
        <v>54</v>
      </c>
      <c r="Q2713" s="80">
        <v>0</v>
      </c>
      <c r="R2713" s="80">
        <f t="shared" si="195"/>
        <v>11</v>
      </c>
      <c r="AD2713"/>
    </row>
    <row r="2714" spans="10:30" ht="16.2" customHeight="1">
      <c r="J2714" s="80" t="s">
        <v>747</v>
      </c>
      <c r="K2714" s="80" t="s">
        <v>604</v>
      </c>
      <c r="L2714" t="s">
        <v>228</v>
      </c>
      <c r="M2714" t="s">
        <v>438</v>
      </c>
      <c r="N2714" t="str">
        <f t="shared" si="196"/>
        <v>Double RearVanda Boldtrak 32 with GlidesGather Hook NormalBoldtrak Top Fix Bracket</v>
      </c>
      <c r="O2714">
        <v>43</v>
      </c>
      <c r="P2714">
        <v>54</v>
      </c>
      <c r="Q2714" s="80">
        <v>0</v>
      </c>
      <c r="R2714" s="80">
        <f t="shared" si="195"/>
        <v>11</v>
      </c>
      <c r="AD2714"/>
    </row>
    <row r="2715" spans="10:30" ht="16.2" customHeight="1">
      <c r="J2715" s="80" t="s">
        <v>725</v>
      </c>
      <c r="K2715" s="80" t="s">
        <v>604</v>
      </c>
      <c r="L2715" t="s">
        <v>228</v>
      </c>
      <c r="M2715" t="s">
        <v>438</v>
      </c>
      <c r="N2715" t="str">
        <f t="shared" si="196"/>
        <v>SingleVanda Boldtrak 32 with GlidesGather Hook NormalBoldtrak Top Fix Bracket</v>
      </c>
      <c r="O2715">
        <v>43</v>
      </c>
      <c r="P2715">
        <v>54</v>
      </c>
      <c r="Q2715" s="80">
        <v>0</v>
      </c>
      <c r="R2715" s="80">
        <f t="shared" si="195"/>
        <v>11</v>
      </c>
      <c r="AD2715"/>
    </row>
    <row r="2716" spans="10:30" ht="16.2" customHeight="1">
      <c r="J2716" s="80" t="s">
        <v>746</v>
      </c>
      <c r="K2716" s="80" t="s">
        <v>604</v>
      </c>
      <c r="L2716" t="s">
        <v>282</v>
      </c>
      <c r="M2716" t="s">
        <v>438</v>
      </c>
      <c r="N2716" t="str">
        <f t="shared" si="196"/>
        <v>Double FrontVanda Boldtrak 32 with GlidesLevel 2072Boldtrak Top Fix Bracket</v>
      </c>
      <c r="O2716">
        <v>38</v>
      </c>
      <c r="P2716">
        <v>54</v>
      </c>
      <c r="Q2716" s="80">
        <v>0</v>
      </c>
      <c r="R2716" s="80">
        <f t="shared" si="195"/>
        <v>16</v>
      </c>
      <c r="AD2716"/>
    </row>
    <row r="2717" spans="10:30" ht="16.2" customHeight="1">
      <c r="J2717" s="80" t="s">
        <v>747</v>
      </c>
      <c r="K2717" s="80" t="s">
        <v>604</v>
      </c>
      <c r="L2717" t="s">
        <v>282</v>
      </c>
      <c r="M2717" t="s">
        <v>438</v>
      </c>
      <c r="N2717" t="str">
        <f t="shared" si="196"/>
        <v>Double RearVanda Boldtrak 32 with GlidesLevel 2072Boldtrak Top Fix Bracket</v>
      </c>
      <c r="O2717">
        <v>38</v>
      </c>
      <c r="P2717">
        <v>54</v>
      </c>
      <c r="Q2717" s="80">
        <v>0</v>
      </c>
      <c r="R2717" s="80">
        <f t="shared" si="195"/>
        <v>16</v>
      </c>
      <c r="AD2717"/>
    </row>
    <row r="2718" spans="10:30" ht="16.2" customHeight="1">
      <c r="J2718" s="80" t="s">
        <v>725</v>
      </c>
      <c r="K2718" s="80" t="s">
        <v>604</v>
      </c>
      <c r="L2718" t="s">
        <v>282</v>
      </c>
      <c r="M2718" t="s">
        <v>438</v>
      </c>
      <c r="N2718" t="str">
        <f t="shared" si="196"/>
        <v>SingleVanda Boldtrak 32 with GlidesLevel 2072Boldtrak Top Fix Bracket</v>
      </c>
      <c r="O2718">
        <v>35</v>
      </c>
      <c r="P2718">
        <v>54</v>
      </c>
      <c r="Q2718" s="80">
        <v>0</v>
      </c>
      <c r="R2718" s="80">
        <f t="shared" si="195"/>
        <v>19</v>
      </c>
      <c r="AD2718"/>
    </row>
    <row r="2719" spans="10:30" ht="16.2" customHeight="1">
      <c r="J2719" s="80" t="s">
        <v>746</v>
      </c>
      <c r="K2719" s="80" t="s">
        <v>604</v>
      </c>
      <c r="L2719" t="s">
        <v>170</v>
      </c>
      <c r="M2719" t="s">
        <v>438</v>
      </c>
      <c r="N2719" t="str">
        <f t="shared" si="196"/>
        <v>Double FrontVanda Boldtrak 32 with GlidesNormal 2074Boldtrak Top Fix Bracket</v>
      </c>
      <c r="O2719">
        <v>60</v>
      </c>
      <c r="P2719">
        <v>54</v>
      </c>
      <c r="Q2719" s="80">
        <v>0</v>
      </c>
      <c r="R2719" s="80">
        <f t="shared" si="197" ref="R2719:R2782">SUM(P2719)-O2719</f>
        <v>-6</v>
      </c>
      <c r="AD2719"/>
    </row>
    <row r="2720" spans="10:30" ht="16.2" customHeight="1">
      <c r="J2720" s="80" t="s">
        <v>747</v>
      </c>
      <c r="K2720" s="80" t="s">
        <v>604</v>
      </c>
      <c r="L2720" t="s">
        <v>170</v>
      </c>
      <c r="M2720" t="s">
        <v>438</v>
      </c>
      <c r="N2720" t="str">
        <f t="shared" si="196"/>
        <v>Double RearVanda Boldtrak 32 with GlidesNormal 2074Boldtrak Top Fix Bracket</v>
      </c>
      <c r="O2720">
        <v>60</v>
      </c>
      <c r="P2720">
        <v>54</v>
      </c>
      <c r="Q2720" s="80">
        <v>0</v>
      </c>
      <c r="R2720" s="80">
        <f t="shared" si="197"/>
        <v>-6</v>
      </c>
      <c r="AD2720"/>
    </row>
    <row r="2721" spans="10:30" ht="16.2" customHeight="1">
      <c r="J2721" s="80" t="s">
        <v>725</v>
      </c>
      <c r="K2721" s="80" t="s">
        <v>604</v>
      </c>
      <c r="L2721" t="s">
        <v>170</v>
      </c>
      <c r="M2721" t="s">
        <v>438</v>
      </c>
      <c r="N2721" t="str">
        <f t="shared" si="196"/>
        <v>SingleVanda Boldtrak 32 with GlidesNormal 2074Boldtrak Top Fix Bracket</v>
      </c>
      <c r="O2721">
        <v>60</v>
      </c>
      <c r="P2721">
        <v>54</v>
      </c>
      <c r="Q2721" s="80">
        <v>0</v>
      </c>
      <c r="R2721" s="80">
        <f t="shared" si="197"/>
        <v>-6</v>
      </c>
      <c r="AD2721"/>
    </row>
    <row r="2722" spans="10:30" ht="16.2" customHeight="1">
      <c r="J2722" s="80" t="s">
        <v>747</v>
      </c>
      <c r="K2722" s="80" t="s">
        <v>422</v>
      </c>
      <c r="L2722" t="s">
        <v>421</v>
      </c>
      <c r="M2722" t="s">
        <v>436</v>
      </c>
      <c r="N2722" t="str">
        <f t="shared" si="196"/>
        <v>Double RearVanda Boldtrak 35 WavefoldWavefold HooksBoldtrak Premo 100mm Bracket</v>
      </c>
      <c r="O2722">
        <v>12</v>
      </c>
      <c r="P2722">
        <v>81</v>
      </c>
      <c r="Q2722" s="80">
        <v>0</v>
      </c>
      <c r="R2722" s="80">
        <f t="shared" si="197"/>
        <v>69</v>
      </c>
      <c r="AD2722"/>
    </row>
    <row r="2723" spans="10:30" ht="16.2" customHeight="1">
      <c r="J2723" s="80" t="s">
        <v>725</v>
      </c>
      <c r="K2723" s="80" t="s">
        <v>422</v>
      </c>
      <c r="L2723" t="s">
        <v>421</v>
      </c>
      <c r="M2723" t="s">
        <v>436</v>
      </c>
      <c r="N2723" t="str">
        <f t="shared" si="196"/>
        <v>SingleVanda Boldtrak 35 WavefoldWavefold HooksBoldtrak Premo 100mm Bracket</v>
      </c>
      <c r="O2723">
        <v>12</v>
      </c>
      <c r="P2723">
        <v>61</v>
      </c>
      <c r="Q2723" s="80">
        <v>0</v>
      </c>
      <c r="R2723" s="80">
        <f t="shared" si="197"/>
        <v>49</v>
      </c>
      <c r="AD2723"/>
    </row>
    <row r="2724" spans="10:30" ht="16.2" customHeight="1">
      <c r="J2724" s="80" t="s">
        <v>747</v>
      </c>
      <c r="K2724" s="80" t="s">
        <v>422</v>
      </c>
      <c r="L2724" t="s">
        <v>421</v>
      </c>
      <c r="M2724" t="s">
        <v>9299</v>
      </c>
      <c r="N2724" t="str">
        <f t="shared" si="196"/>
        <v>Double RearVanda Boldtrak 35 WavefoldWavefold HooksBoldtrak Premo 115mm Bracket</v>
      </c>
      <c r="O2724">
        <v>12</v>
      </c>
      <c r="P2724">
        <v>81</v>
      </c>
      <c r="Q2724" s="80">
        <v>0</v>
      </c>
      <c r="R2724" s="80">
        <f t="shared" si="197"/>
        <v>69</v>
      </c>
      <c r="AD2724"/>
    </row>
    <row r="2725" spans="10:30" ht="16.2" customHeight="1">
      <c r="J2725" s="80" t="s">
        <v>746</v>
      </c>
      <c r="K2725" s="80" t="s">
        <v>422</v>
      </c>
      <c r="L2725" t="s">
        <v>421</v>
      </c>
      <c r="M2725" t="s">
        <v>437</v>
      </c>
      <c r="N2725" t="str">
        <f t="shared" si="196"/>
        <v>Double FrontVanda Boldtrak 35 WavefoldWavefold HooksBoldtrak Premo 140mm Bracket</v>
      </c>
      <c r="O2725">
        <v>12</v>
      </c>
      <c r="P2725">
        <v>61</v>
      </c>
      <c r="Q2725" s="80">
        <v>0</v>
      </c>
      <c r="R2725" s="80">
        <f t="shared" si="197"/>
        <v>49</v>
      </c>
      <c r="AD2725"/>
    </row>
    <row r="2726" spans="10:30" ht="16.2" customHeight="1">
      <c r="J2726" s="80" t="s">
        <v>747</v>
      </c>
      <c r="K2726" s="80" t="s">
        <v>422</v>
      </c>
      <c r="L2726" t="s">
        <v>421</v>
      </c>
      <c r="M2726" t="s">
        <v>437</v>
      </c>
      <c r="N2726" t="str">
        <f t="shared" si="196"/>
        <v>Double RearVanda Boldtrak 35 WavefoldWavefold HooksBoldtrak Premo 140mm Bracket</v>
      </c>
      <c r="O2726">
        <v>12</v>
      </c>
      <c r="P2726">
        <v>61</v>
      </c>
      <c r="Q2726" s="80">
        <v>0</v>
      </c>
      <c r="R2726" s="80">
        <f t="shared" si="197"/>
        <v>49</v>
      </c>
      <c r="AD2726"/>
    </row>
    <row r="2727" spans="10:30" ht="16.2" customHeight="1">
      <c r="J2727" s="80" t="s">
        <v>725</v>
      </c>
      <c r="K2727" s="80" t="s">
        <v>422</v>
      </c>
      <c r="L2727" t="s">
        <v>421</v>
      </c>
      <c r="M2727" t="s">
        <v>437</v>
      </c>
      <c r="N2727" t="str">
        <f t="shared" si="196"/>
        <v>SingleVanda Boldtrak 35 WavefoldWavefold HooksBoldtrak Premo 140mm Bracket</v>
      </c>
      <c r="O2727">
        <v>12</v>
      </c>
      <c r="P2727">
        <v>61</v>
      </c>
      <c r="Q2727" s="80">
        <v>0</v>
      </c>
      <c r="R2727" s="80">
        <f t="shared" si="197"/>
        <v>49</v>
      </c>
      <c r="AD2727"/>
    </row>
    <row r="2728" spans="10:30" ht="16.2" customHeight="1">
      <c r="J2728" s="80" t="s">
        <v>747</v>
      </c>
      <c r="K2728" s="80" t="s">
        <v>422</v>
      </c>
      <c r="L2728" t="s">
        <v>421</v>
      </c>
      <c r="M2728" t="s">
        <v>9300</v>
      </c>
      <c r="N2728" t="str">
        <f t="shared" si="196"/>
        <v>Double RearVanda Boldtrak 35 WavefoldWavefold HooksBoldtrak Premo 155mm Bracket</v>
      </c>
      <c r="O2728">
        <v>12</v>
      </c>
      <c r="P2728">
        <v>81</v>
      </c>
      <c r="Q2728" s="80">
        <v>0</v>
      </c>
      <c r="R2728" s="80">
        <f t="shared" si="197"/>
        <v>69</v>
      </c>
      <c r="AD2728"/>
    </row>
    <row r="2729" spans="10:30" ht="16.2" customHeight="1">
      <c r="J2729" s="80" t="s">
        <v>746</v>
      </c>
      <c r="K2729" s="80" t="s">
        <v>422</v>
      </c>
      <c r="L2729" t="s">
        <v>421</v>
      </c>
      <c r="M2729" t="s">
        <v>724</v>
      </c>
      <c r="N2729" t="str">
        <f t="shared" si="196"/>
        <v>Double FrontVanda Boldtrak 35 WavefoldWavefold HooksBoldtrak Premo Double Bracket Suit 16mm on Back</v>
      </c>
      <c r="O2729">
        <v>12</v>
      </c>
      <c r="P2729">
        <v>61</v>
      </c>
      <c r="Q2729" s="80">
        <v>0</v>
      </c>
      <c r="R2729" s="80">
        <f t="shared" si="197"/>
        <v>49</v>
      </c>
      <c r="AD2729"/>
    </row>
    <row r="2730" spans="10:30" ht="16.2" customHeight="1">
      <c r="J2730" s="80" t="s">
        <v>725</v>
      </c>
      <c r="K2730" s="80" t="s">
        <v>422</v>
      </c>
      <c r="L2730" t="s">
        <v>421</v>
      </c>
      <c r="M2730" t="s">
        <v>724</v>
      </c>
      <c r="N2730" t="str">
        <f t="shared" si="196"/>
        <v>SingleVanda Boldtrak 35 WavefoldWavefold HooksBoldtrak Premo Double Bracket Suit 16mm on Back</v>
      </c>
      <c r="O2730">
        <v>12</v>
      </c>
      <c r="P2730">
        <v>61</v>
      </c>
      <c r="Q2730" s="80">
        <v>0</v>
      </c>
      <c r="R2730" s="80">
        <f t="shared" si="197"/>
        <v>49</v>
      </c>
      <c r="AD2730"/>
    </row>
    <row r="2731" spans="10:30" ht="16.2" customHeight="1">
      <c r="J2731" s="80" t="s">
        <v>746</v>
      </c>
      <c r="K2731" s="80" t="s">
        <v>422</v>
      </c>
      <c r="L2731" t="s">
        <v>421</v>
      </c>
      <c r="M2731" s="66" t="s">
        <v>4654</v>
      </c>
      <c r="N2731" t="str">
        <f t="shared" si="196"/>
        <v>Double FrontVanda Boldtrak 35 WavefoldWavefold HooksBoldtrak Premo Double Bracket Suit 25mm on Back</v>
      </c>
      <c r="O2731">
        <v>12</v>
      </c>
      <c r="P2731">
        <v>61</v>
      </c>
      <c r="Q2731" s="80">
        <v>0</v>
      </c>
      <c r="R2731" s="80">
        <f t="shared" si="197"/>
        <v>49</v>
      </c>
      <c r="AD2731"/>
    </row>
    <row r="2732" spans="10:30" ht="16.2" customHeight="1">
      <c r="J2732" s="80" t="s">
        <v>725</v>
      </c>
      <c r="K2732" s="80" t="s">
        <v>422</v>
      </c>
      <c r="L2732" t="s">
        <v>421</v>
      </c>
      <c r="M2732" t="s">
        <v>423</v>
      </c>
      <c r="N2732" t="str">
        <f t="shared" si="196"/>
        <v>SingleVanda Boldtrak 35 WavefoldWavefold HooksBoldtrak Standard 60mm Bracket</v>
      </c>
      <c r="O2732">
        <v>12</v>
      </c>
      <c r="P2732">
        <v>61</v>
      </c>
      <c r="Q2732" s="80">
        <v>0</v>
      </c>
      <c r="R2732" s="80">
        <f t="shared" si="197"/>
        <v>49</v>
      </c>
      <c r="AD2732"/>
    </row>
    <row r="2733" spans="10:30" ht="16.2" customHeight="1">
      <c r="J2733" s="80" t="s">
        <v>746</v>
      </c>
      <c r="K2733" s="80" t="s">
        <v>422</v>
      </c>
      <c r="L2733" t="s">
        <v>421</v>
      </c>
      <c r="M2733" s="66" t="s">
        <v>9301</v>
      </c>
      <c r="N2733" t="str">
        <f t="shared" si="196"/>
        <v>Double FrontVanda Boldtrak 35 WavefoldWavefold HooksBoldtrak Standard Double Bracket Suit 35mm on Front</v>
      </c>
      <c r="O2733">
        <v>12</v>
      </c>
      <c r="P2733">
        <v>61</v>
      </c>
      <c r="Q2733" s="80">
        <v>0</v>
      </c>
      <c r="R2733" s="80">
        <f t="shared" si="197"/>
        <v>49</v>
      </c>
      <c r="AD2733"/>
    </row>
    <row r="2734" spans="10:30" ht="16.2" customHeight="1">
      <c r="J2734" s="80" t="s">
        <v>746</v>
      </c>
      <c r="K2734" s="80" t="s">
        <v>422</v>
      </c>
      <c r="L2734" t="s">
        <v>421</v>
      </c>
      <c r="M2734" t="s">
        <v>438</v>
      </c>
      <c r="N2734" t="str">
        <f t="shared" si="196"/>
        <v>Double FrontVanda Boldtrak 35 WavefoldWavefold HooksBoldtrak Top Fix Bracket</v>
      </c>
      <c r="O2734">
        <v>12</v>
      </c>
      <c r="P2734">
        <v>57</v>
      </c>
      <c r="Q2734" s="80">
        <v>0</v>
      </c>
      <c r="R2734" s="80">
        <f t="shared" si="197"/>
        <v>45</v>
      </c>
      <c r="AD2734"/>
    </row>
    <row r="2735" spans="10:30" ht="16.2" customHeight="1">
      <c r="J2735" s="80" t="s">
        <v>747</v>
      </c>
      <c r="K2735" s="80" t="s">
        <v>422</v>
      </c>
      <c r="L2735" t="s">
        <v>421</v>
      </c>
      <c r="M2735" t="s">
        <v>438</v>
      </c>
      <c r="N2735" t="str">
        <f t="shared" si="196"/>
        <v>Double RearVanda Boldtrak 35 WavefoldWavefold HooksBoldtrak Top Fix Bracket</v>
      </c>
      <c r="O2735">
        <v>12</v>
      </c>
      <c r="P2735">
        <v>57</v>
      </c>
      <c r="Q2735" s="80">
        <v>0</v>
      </c>
      <c r="R2735" s="80">
        <f t="shared" si="197"/>
        <v>45</v>
      </c>
      <c r="AD2735"/>
    </row>
    <row r="2736" spans="10:30" ht="16.2" customHeight="1">
      <c r="J2736" s="80" t="s">
        <v>725</v>
      </c>
      <c r="K2736" s="80" t="s">
        <v>422</v>
      </c>
      <c r="L2736" t="s">
        <v>421</v>
      </c>
      <c r="M2736" t="s">
        <v>438</v>
      </c>
      <c r="N2736" t="str">
        <f t="shared" si="196"/>
        <v>SingleVanda Boldtrak 35 WavefoldWavefold HooksBoldtrak Top Fix Bracket</v>
      </c>
      <c r="O2736">
        <v>12</v>
      </c>
      <c r="P2736">
        <v>57</v>
      </c>
      <c r="Q2736" s="80">
        <v>0</v>
      </c>
      <c r="R2736" s="80">
        <f t="shared" si="197"/>
        <v>45</v>
      </c>
      <c r="AD2736"/>
    </row>
    <row r="2737" spans="10:30" ht="16.2" customHeight="1">
      <c r="J2737" s="80" t="s">
        <v>747</v>
      </c>
      <c r="K2737" s="80" t="s">
        <v>432</v>
      </c>
      <c r="L2737" t="s">
        <v>183</v>
      </c>
      <c r="M2737" t="s">
        <v>436</v>
      </c>
      <c r="N2737" t="str">
        <f t="shared" si="196"/>
        <v>Double RearVanda Boldtrak 35 with GlidesBelow Normal 2075Boldtrak Premo 100mm Bracket</v>
      </c>
      <c r="O2737">
        <v>70</v>
      </c>
      <c r="P2737">
        <v>81</v>
      </c>
      <c r="Q2737" s="80">
        <v>0</v>
      </c>
      <c r="R2737" s="80">
        <f t="shared" si="197"/>
        <v>11</v>
      </c>
      <c r="AD2737"/>
    </row>
    <row r="2738" spans="10:30" ht="16.2" customHeight="1">
      <c r="J2738" s="80" t="s">
        <v>725</v>
      </c>
      <c r="K2738" s="80" t="s">
        <v>432</v>
      </c>
      <c r="L2738" t="s">
        <v>183</v>
      </c>
      <c r="M2738" t="s">
        <v>436</v>
      </c>
      <c r="N2738" t="str">
        <f t="shared" si="196"/>
        <v>SingleVanda Boldtrak 35 with GlidesBelow Normal 2075Boldtrak Premo 100mm Bracket</v>
      </c>
      <c r="O2738">
        <v>70</v>
      </c>
      <c r="P2738">
        <v>61</v>
      </c>
      <c r="Q2738" s="80">
        <v>0</v>
      </c>
      <c r="R2738" s="80">
        <f t="shared" si="197"/>
        <v>-9</v>
      </c>
      <c r="AD2738"/>
    </row>
    <row r="2739" spans="10:30" ht="16.2" customHeight="1">
      <c r="J2739" s="80" t="s">
        <v>747</v>
      </c>
      <c r="K2739" s="80" t="s">
        <v>432</v>
      </c>
      <c r="L2739" t="s">
        <v>182</v>
      </c>
      <c r="M2739" t="s">
        <v>436</v>
      </c>
      <c r="N2739" t="str">
        <f t="shared" si="196"/>
        <v>Double RearVanda Boldtrak 35 with GlidesBetween Level and Normal 2073Boldtrak Premo 100mm Bracket</v>
      </c>
      <c r="O2739">
        <v>48</v>
      </c>
      <c r="P2739">
        <v>81</v>
      </c>
      <c r="Q2739" s="80">
        <v>0</v>
      </c>
      <c r="R2739" s="80">
        <f t="shared" si="197"/>
        <v>33</v>
      </c>
      <c r="AD2739"/>
    </row>
    <row r="2740" spans="10:30" ht="16.2" customHeight="1">
      <c r="J2740" s="80" t="s">
        <v>725</v>
      </c>
      <c r="K2740" s="80" t="s">
        <v>432</v>
      </c>
      <c r="L2740" t="s">
        <v>182</v>
      </c>
      <c r="M2740" t="s">
        <v>436</v>
      </c>
      <c r="N2740" t="str">
        <f t="shared" si="196"/>
        <v>SingleVanda Boldtrak 35 with GlidesBetween Level and Normal 2073Boldtrak Premo 100mm Bracket</v>
      </c>
      <c r="O2740">
        <v>47</v>
      </c>
      <c r="P2740">
        <v>61</v>
      </c>
      <c r="Q2740" s="80">
        <v>0</v>
      </c>
      <c r="R2740" s="80">
        <f t="shared" si="197"/>
        <v>14</v>
      </c>
      <c r="AD2740"/>
    </row>
    <row r="2741" spans="10:30" ht="16.2" customHeight="1">
      <c r="J2741" s="80" t="s">
        <v>746</v>
      </c>
      <c r="K2741" s="80" t="s">
        <v>432</v>
      </c>
      <c r="L2741" t="s">
        <v>184</v>
      </c>
      <c r="M2741" t="s">
        <v>436</v>
      </c>
      <c r="N2741" t="str">
        <f t="shared" si="196"/>
        <v>Double FrontVanda Boldtrak 35 with GlidesDecorator 2071Boldtrak Premo 100mm Bracket</v>
      </c>
      <c r="O2741">
        <v>20</v>
      </c>
      <c r="P2741">
        <v>61</v>
      </c>
      <c r="Q2741" s="80">
        <v>0</v>
      </c>
      <c r="R2741" s="80">
        <f t="shared" si="197"/>
        <v>41</v>
      </c>
      <c r="AD2741"/>
    </row>
    <row r="2742" spans="10:30" ht="16.2" customHeight="1">
      <c r="J2742" s="80" t="s">
        <v>747</v>
      </c>
      <c r="K2742" s="80" t="s">
        <v>432</v>
      </c>
      <c r="L2742" t="s">
        <v>184</v>
      </c>
      <c r="M2742" t="s">
        <v>436</v>
      </c>
      <c r="N2742" t="str">
        <f t="shared" si="196"/>
        <v>Double RearVanda Boldtrak 35 with GlidesDecorator 2071Boldtrak Premo 100mm Bracket</v>
      </c>
      <c r="O2742">
        <v>20</v>
      </c>
      <c r="P2742">
        <v>81</v>
      </c>
      <c r="Q2742" s="80">
        <v>0</v>
      </c>
      <c r="R2742" s="80">
        <f t="shared" si="197"/>
        <v>61</v>
      </c>
      <c r="AD2742"/>
    </row>
    <row r="2743" spans="10:30" ht="16.2" customHeight="1">
      <c r="J2743" s="80" t="s">
        <v>725</v>
      </c>
      <c r="K2743" s="80" t="s">
        <v>432</v>
      </c>
      <c r="L2743" t="s">
        <v>184</v>
      </c>
      <c r="M2743" t="s">
        <v>436</v>
      </c>
      <c r="N2743" t="str">
        <f t="shared" si="196"/>
        <v>SingleVanda Boldtrak 35 with GlidesDecorator 2071Boldtrak Premo 100mm Bracket</v>
      </c>
      <c r="O2743">
        <v>20</v>
      </c>
      <c r="P2743">
        <v>61</v>
      </c>
      <c r="Q2743" s="80">
        <v>0</v>
      </c>
      <c r="R2743" s="80">
        <f t="shared" si="197"/>
        <v>41</v>
      </c>
      <c r="AD2743"/>
    </row>
    <row r="2744" spans="10:30" ht="16.2" customHeight="1">
      <c r="J2744" s="80" t="s">
        <v>746</v>
      </c>
      <c r="K2744" s="80" t="s">
        <v>432</v>
      </c>
      <c r="L2744" t="s">
        <v>6468</v>
      </c>
      <c r="M2744" t="s">
        <v>436</v>
      </c>
      <c r="N2744" t="str">
        <f t="shared" si="196"/>
        <v>Double FrontVanda Boldtrak 35 with GlidesGather Hook Bottom PocketBoldtrak Premo 100mm Bracket</v>
      </c>
      <c r="O2744">
        <v>60</v>
      </c>
      <c r="P2744">
        <v>61</v>
      </c>
      <c r="Q2744" s="80">
        <v>0</v>
      </c>
      <c r="R2744" s="80">
        <f t="shared" si="197"/>
        <v>1</v>
      </c>
      <c r="AD2744"/>
    </row>
    <row r="2745" spans="10:30" ht="16.2" customHeight="1">
      <c r="J2745" s="80" t="s">
        <v>725</v>
      </c>
      <c r="K2745" s="80" t="s">
        <v>432</v>
      </c>
      <c r="L2745" t="s">
        <v>6468</v>
      </c>
      <c r="M2745" t="s">
        <v>436</v>
      </c>
      <c r="N2745" t="str">
        <f t="shared" si="196"/>
        <v>SingleVanda Boldtrak 35 with GlidesGather Hook Bottom PocketBoldtrak Premo 100mm Bracket</v>
      </c>
      <c r="O2745">
        <v>60</v>
      </c>
      <c r="P2745">
        <v>61</v>
      </c>
      <c r="Q2745" s="80">
        <v>0</v>
      </c>
      <c r="R2745" s="80">
        <f t="shared" si="197"/>
        <v>1</v>
      </c>
      <c r="AD2745"/>
    </row>
    <row r="2746" spans="10:30" ht="16.2" customHeight="1">
      <c r="J2746" s="80" t="s">
        <v>746</v>
      </c>
      <c r="K2746" s="80" t="s">
        <v>432</v>
      </c>
      <c r="L2746" t="s">
        <v>229</v>
      </c>
      <c r="M2746" t="s">
        <v>436</v>
      </c>
      <c r="N2746" t="str">
        <f t="shared" si="196"/>
        <v>Double FrontVanda Boldtrak 35 with GlidesGather Hook LevelBoldtrak Premo 100mm Bracket</v>
      </c>
      <c r="O2746">
        <v>20</v>
      </c>
      <c r="P2746">
        <v>61</v>
      </c>
      <c r="Q2746" s="80">
        <v>0</v>
      </c>
      <c r="R2746" s="80">
        <f t="shared" si="197"/>
        <v>41</v>
      </c>
      <c r="AD2746"/>
    </row>
    <row r="2747" spans="10:30" ht="16.2" customHeight="1">
      <c r="J2747" s="80" t="s">
        <v>747</v>
      </c>
      <c r="K2747" s="80" t="s">
        <v>432</v>
      </c>
      <c r="L2747" t="s">
        <v>229</v>
      </c>
      <c r="M2747" t="s">
        <v>436</v>
      </c>
      <c r="N2747" t="str">
        <f t="shared" si="196"/>
        <v>Double RearVanda Boldtrak 35 with GlidesGather Hook LevelBoldtrak Premo 100mm Bracket</v>
      </c>
      <c r="O2747">
        <v>20</v>
      </c>
      <c r="P2747">
        <v>81</v>
      </c>
      <c r="Q2747" s="80">
        <v>0</v>
      </c>
      <c r="R2747" s="80">
        <f t="shared" si="197"/>
        <v>61</v>
      </c>
      <c r="AD2747"/>
    </row>
    <row r="2748" spans="10:30" ht="16.2" customHeight="1">
      <c r="J2748" s="80" t="s">
        <v>725</v>
      </c>
      <c r="K2748" s="80" t="s">
        <v>432</v>
      </c>
      <c r="L2748" t="s">
        <v>229</v>
      </c>
      <c r="M2748" t="s">
        <v>436</v>
      </c>
      <c r="N2748" t="str">
        <f t="shared" si="196"/>
        <v>SingleVanda Boldtrak 35 with GlidesGather Hook LevelBoldtrak Premo 100mm Bracket</v>
      </c>
      <c r="O2748">
        <v>20</v>
      </c>
      <c r="P2748">
        <v>61</v>
      </c>
      <c r="Q2748" s="80">
        <v>0</v>
      </c>
      <c r="R2748" s="80">
        <f t="shared" si="197"/>
        <v>41</v>
      </c>
      <c r="AD2748"/>
    </row>
    <row r="2749" spans="10:30" ht="16.2" customHeight="1">
      <c r="J2749" s="80" t="s">
        <v>746</v>
      </c>
      <c r="K2749" s="80" t="s">
        <v>432</v>
      </c>
      <c r="L2749" t="s">
        <v>228</v>
      </c>
      <c r="M2749" t="s">
        <v>436</v>
      </c>
      <c r="N2749" t="str">
        <f t="shared" si="196"/>
        <v>Double FrontVanda Boldtrak 35 with GlidesGather Hook NormalBoldtrak Premo 100mm Bracket</v>
      </c>
      <c r="O2749">
        <v>43</v>
      </c>
      <c r="P2749">
        <v>61</v>
      </c>
      <c r="Q2749" s="80">
        <v>0</v>
      </c>
      <c r="R2749" s="80">
        <f t="shared" si="197"/>
        <v>18</v>
      </c>
      <c r="AD2749"/>
    </row>
    <row r="2750" spans="10:30" ht="16.2" customHeight="1">
      <c r="J2750" s="80" t="s">
        <v>747</v>
      </c>
      <c r="K2750" s="80" t="s">
        <v>432</v>
      </c>
      <c r="L2750" t="s">
        <v>228</v>
      </c>
      <c r="M2750" t="s">
        <v>436</v>
      </c>
      <c r="N2750" t="str">
        <f t="shared" si="196"/>
        <v>Double RearVanda Boldtrak 35 with GlidesGather Hook NormalBoldtrak Premo 100mm Bracket</v>
      </c>
      <c r="O2750">
        <v>43</v>
      </c>
      <c r="P2750">
        <v>81</v>
      </c>
      <c r="Q2750" s="80">
        <v>0</v>
      </c>
      <c r="R2750" s="80">
        <f t="shared" si="197"/>
        <v>38</v>
      </c>
      <c r="AD2750"/>
    </row>
    <row r="2751" spans="10:30" ht="16.2" customHeight="1">
      <c r="J2751" s="80" t="s">
        <v>725</v>
      </c>
      <c r="K2751" s="80" t="s">
        <v>432</v>
      </c>
      <c r="L2751" t="s">
        <v>228</v>
      </c>
      <c r="M2751" t="s">
        <v>436</v>
      </c>
      <c r="N2751" t="str">
        <f t="shared" si="196"/>
        <v>SingleVanda Boldtrak 35 with GlidesGather Hook NormalBoldtrak Premo 100mm Bracket</v>
      </c>
      <c r="O2751">
        <v>43</v>
      </c>
      <c r="P2751">
        <v>61</v>
      </c>
      <c r="Q2751" s="80">
        <v>0</v>
      </c>
      <c r="R2751" s="80">
        <f t="shared" si="197"/>
        <v>18</v>
      </c>
      <c r="AD2751"/>
    </row>
    <row r="2752" spans="10:30" ht="16.2" customHeight="1">
      <c r="J2752" s="80" t="s">
        <v>746</v>
      </c>
      <c r="K2752" s="80" t="s">
        <v>432</v>
      </c>
      <c r="L2752" t="s">
        <v>282</v>
      </c>
      <c r="M2752" t="s">
        <v>436</v>
      </c>
      <c r="N2752" t="str">
        <f t="shared" si="196"/>
        <v>Double FrontVanda Boldtrak 35 with GlidesLevel 2072Boldtrak Premo 100mm Bracket</v>
      </c>
      <c r="O2752">
        <v>38</v>
      </c>
      <c r="P2752">
        <v>61</v>
      </c>
      <c r="Q2752" s="80">
        <v>0</v>
      </c>
      <c r="R2752" s="80">
        <f t="shared" si="197"/>
        <v>23</v>
      </c>
      <c r="AD2752"/>
    </row>
    <row r="2753" spans="10:30" ht="16.2" customHeight="1">
      <c r="J2753" s="80" t="s">
        <v>747</v>
      </c>
      <c r="K2753" s="80" t="s">
        <v>432</v>
      </c>
      <c r="L2753" t="s">
        <v>282</v>
      </c>
      <c r="M2753" t="s">
        <v>436</v>
      </c>
      <c r="N2753" t="str">
        <f t="shared" si="196"/>
        <v>Double RearVanda Boldtrak 35 with GlidesLevel 2072Boldtrak Premo 100mm Bracket</v>
      </c>
      <c r="O2753">
        <v>38</v>
      </c>
      <c r="P2753">
        <v>81</v>
      </c>
      <c r="Q2753" s="80">
        <v>0</v>
      </c>
      <c r="R2753" s="80">
        <f t="shared" si="197"/>
        <v>43</v>
      </c>
      <c r="AD2753"/>
    </row>
    <row r="2754" spans="10:30" ht="16.2" customHeight="1">
      <c r="J2754" s="80" t="s">
        <v>725</v>
      </c>
      <c r="K2754" s="80" t="s">
        <v>432</v>
      </c>
      <c r="L2754" t="s">
        <v>282</v>
      </c>
      <c r="M2754" t="s">
        <v>436</v>
      </c>
      <c r="N2754" t="str">
        <f t="shared" si="198" ref="N2754:N2817">(CONCATENATE(J2754,K2754,L2754,M2754))</f>
        <v>SingleVanda Boldtrak 35 with GlidesLevel 2072Boldtrak Premo 100mm Bracket</v>
      </c>
      <c r="O2754">
        <v>35</v>
      </c>
      <c r="P2754">
        <v>61</v>
      </c>
      <c r="Q2754" s="80">
        <v>0</v>
      </c>
      <c r="R2754" s="80">
        <f t="shared" si="197"/>
        <v>26</v>
      </c>
      <c r="AD2754"/>
    </row>
    <row r="2755" spans="10:30" ht="16.2" customHeight="1">
      <c r="J2755" s="80" t="s">
        <v>746</v>
      </c>
      <c r="K2755" s="80" t="s">
        <v>432</v>
      </c>
      <c r="L2755" t="s">
        <v>170</v>
      </c>
      <c r="M2755" t="s">
        <v>436</v>
      </c>
      <c r="N2755" t="str">
        <f t="shared" si="198"/>
        <v>Double FrontVanda Boldtrak 35 with GlidesNormal 2074Boldtrak Premo 100mm Bracket</v>
      </c>
      <c r="O2755">
        <v>60</v>
      </c>
      <c r="P2755">
        <v>61</v>
      </c>
      <c r="Q2755" s="80">
        <v>0</v>
      </c>
      <c r="R2755" s="80">
        <f t="shared" si="197"/>
        <v>1</v>
      </c>
      <c r="AD2755"/>
    </row>
    <row r="2756" spans="10:30" ht="16.2" customHeight="1">
      <c r="J2756" s="80" t="s">
        <v>747</v>
      </c>
      <c r="K2756" s="80" t="s">
        <v>432</v>
      </c>
      <c r="L2756" t="s">
        <v>170</v>
      </c>
      <c r="M2756" t="s">
        <v>436</v>
      </c>
      <c r="N2756" t="str">
        <f t="shared" si="198"/>
        <v>Double RearVanda Boldtrak 35 with GlidesNormal 2074Boldtrak Premo 100mm Bracket</v>
      </c>
      <c r="O2756">
        <v>60</v>
      </c>
      <c r="P2756">
        <v>81</v>
      </c>
      <c r="Q2756" s="80">
        <v>0</v>
      </c>
      <c r="R2756" s="80">
        <f t="shared" si="197"/>
        <v>21</v>
      </c>
      <c r="AD2756"/>
    </row>
    <row r="2757" spans="10:30" ht="16.2" customHeight="1">
      <c r="J2757" s="80" t="s">
        <v>725</v>
      </c>
      <c r="K2757" s="80" t="s">
        <v>432</v>
      </c>
      <c r="L2757" t="s">
        <v>170</v>
      </c>
      <c r="M2757" t="s">
        <v>436</v>
      </c>
      <c r="N2757" t="str">
        <f t="shared" si="198"/>
        <v>SingleVanda Boldtrak 35 with GlidesNormal 2074Boldtrak Premo 100mm Bracket</v>
      </c>
      <c r="O2757">
        <v>60</v>
      </c>
      <c r="P2757">
        <v>61</v>
      </c>
      <c r="Q2757" s="80">
        <v>0</v>
      </c>
      <c r="R2757" s="80">
        <f t="shared" si="197"/>
        <v>1</v>
      </c>
      <c r="AD2757"/>
    </row>
    <row r="2758" spans="10:30" ht="16.2" customHeight="1">
      <c r="J2758" s="80" t="s">
        <v>747</v>
      </c>
      <c r="K2758" s="80" t="s">
        <v>432</v>
      </c>
      <c r="L2758" t="s">
        <v>183</v>
      </c>
      <c r="M2758" t="s">
        <v>9299</v>
      </c>
      <c r="N2758" t="str">
        <f t="shared" si="198"/>
        <v>Double RearVanda Boldtrak 35 with GlidesBelow Normal 2075Boldtrak Premo 115mm Bracket</v>
      </c>
      <c r="O2758">
        <v>70</v>
      </c>
      <c r="P2758">
        <v>81</v>
      </c>
      <c r="Q2758" s="80">
        <v>0</v>
      </c>
      <c r="R2758" s="80">
        <f t="shared" si="197"/>
        <v>11</v>
      </c>
      <c r="AD2758"/>
    </row>
    <row r="2759" spans="10:30" ht="16.2" customHeight="1">
      <c r="J2759" s="80" t="s">
        <v>747</v>
      </c>
      <c r="K2759" s="80" t="s">
        <v>432</v>
      </c>
      <c r="L2759" t="s">
        <v>182</v>
      </c>
      <c r="M2759" t="s">
        <v>9299</v>
      </c>
      <c r="N2759" t="str">
        <f t="shared" si="198"/>
        <v>Double RearVanda Boldtrak 35 with GlidesBetween Level and Normal 2073Boldtrak Premo 115mm Bracket</v>
      </c>
      <c r="O2759">
        <v>48</v>
      </c>
      <c r="P2759">
        <v>81</v>
      </c>
      <c r="Q2759" s="80">
        <v>0</v>
      </c>
      <c r="R2759" s="80">
        <f t="shared" si="197"/>
        <v>33</v>
      </c>
      <c r="AD2759"/>
    </row>
    <row r="2760" spans="10:30" ht="16.2" customHeight="1">
      <c r="J2760" s="80" t="s">
        <v>747</v>
      </c>
      <c r="K2760" s="80" t="s">
        <v>432</v>
      </c>
      <c r="L2760" t="s">
        <v>184</v>
      </c>
      <c r="M2760" t="s">
        <v>9299</v>
      </c>
      <c r="N2760" t="str">
        <f t="shared" si="198"/>
        <v>Double RearVanda Boldtrak 35 with GlidesDecorator 2071Boldtrak Premo 115mm Bracket</v>
      </c>
      <c r="O2760">
        <v>20</v>
      </c>
      <c r="P2760">
        <v>81</v>
      </c>
      <c r="Q2760" s="80">
        <v>0</v>
      </c>
      <c r="R2760" s="80">
        <f t="shared" si="197"/>
        <v>61</v>
      </c>
      <c r="AD2760"/>
    </row>
    <row r="2761" spans="10:30" ht="16.2" customHeight="1">
      <c r="J2761" s="80" t="s">
        <v>747</v>
      </c>
      <c r="K2761" s="80" t="s">
        <v>432</v>
      </c>
      <c r="L2761" t="s">
        <v>229</v>
      </c>
      <c r="M2761" t="s">
        <v>9299</v>
      </c>
      <c r="N2761" t="str">
        <f t="shared" si="198"/>
        <v>Double RearVanda Boldtrak 35 with GlidesGather Hook LevelBoldtrak Premo 115mm Bracket</v>
      </c>
      <c r="O2761">
        <v>20</v>
      </c>
      <c r="P2761">
        <v>81</v>
      </c>
      <c r="Q2761" s="80">
        <v>0</v>
      </c>
      <c r="R2761" s="80">
        <f t="shared" si="197"/>
        <v>61</v>
      </c>
      <c r="AD2761"/>
    </row>
    <row r="2762" spans="10:30" ht="16.2" customHeight="1">
      <c r="J2762" s="80" t="s">
        <v>747</v>
      </c>
      <c r="K2762" s="80" t="s">
        <v>432</v>
      </c>
      <c r="L2762" t="s">
        <v>228</v>
      </c>
      <c r="M2762" t="s">
        <v>9299</v>
      </c>
      <c r="N2762" t="str">
        <f t="shared" si="198"/>
        <v>Double RearVanda Boldtrak 35 with GlidesGather Hook NormalBoldtrak Premo 115mm Bracket</v>
      </c>
      <c r="O2762">
        <v>43</v>
      </c>
      <c r="P2762">
        <v>81</v>
      </c>
      <c r="Q2762" s="80">
        <v>0</v>
      </c>
      <c r="R2762" s="80">
        <f t="shared" si="197"/>
        <v>38</v>
      </c>
      <c r="AD2762"/>
    </row>
    <row r="2763" spans="10:30" ht="16.2" customHeight="1">
      <c r="J2763" s="80" t="s">
        <v>747</v>
      </c>
      <c r="K2763" s="80" t="s">
        <v>432</v>
      </c>
      <c r="L2763" t="s">
        <v>282</v>
      </c>
      <c r="M2763" t="s">
        <v>9299</v>
      </c>
      <c r="N2763" t="str">
        <f t="shared" si="198"/>
        <v>Double RearVanda Boldtrak 35 with GlidesLevel 2072Boldtrak Premo 115mm Bracket</v>
      </c>
      <c r="O2763">
        <v>38</v>
      </c>
      <c r="P2763">
        <v>81</v>
      </c>
      <c r="Q2763" s="80">
        <v>0</v>
      </c>
      <c r="R2763" s="80">
        <f t="shared" si="197"/>
        <v>43</v>
      </c>
      <c r="AD2763"/>
    </row>
    <row r="2764" spans="10:30" ht="16.2" customHeight="1">
      <c r="J2764" s="80" t="s">
        <v>747</v>
      </c>
      <c r="K2764" s="80" t="s">
        <v>432</v>
      </c>
      <c r="L2764" t="s">
        <v>170</v>
      </c>
      <c r="M2764" t="s">
        <v>9299</v>
      </c>
      <c r="N2764" t="str">
        <f t="shared" si="198"/>
        <v>Double RearVanda Boldtrak 35 with GlidesNormal 2074Boldtrak Premo 115mm Bracket</v>
      </c>
      <c r="O2764">
        <v>60</v>
      </c>
      <c r="P2764">
        <v>81</v>
      </c>
      <c r="Q2764" s="80">
        <v>0</v>
      </c>
      <c r="R2764" s="80">
        <f t="shared" si="197"/>
        <v>21</v>
      </c>
      <c r="AD2764"/>
    </row>
    <row r="2765" spans="10:30" ht="16.2" customHeight="1">
      <c r="J2765" s="80" t="s">
        <v>746</v>
      </c>
      <c r="K2765" s="80" t="s">
        <v>432</v>
      </c>
      <c r="L2765" t="s">
        <v>183</v>
      </c>
      <c r="M2765" t="s">
        <v>437</v>
      </c>
      <c r="N2765" t="str">
        <f t="shared" si="198"/>
        <v>Double FrontVanda Boldtrak 35 with GlidesBelow Normal 2075Boldtrak Premo 140mm Bracket</v>
      </c>
      <c r="O2765">
        <v>70</v>
      </c>
      <c r="P2765">
        <v>61</v>
      </c>
      <c r="Q2765" s="80">
        <v>0</v>
      </c>
      <c r="R2765" s="80">
        <f t="shared" si="197"/>
        <v>-9</v>
      </c>
      <c r="AD2765"/>
    </row>
    <row r="2766" spans="10:30" ht="16.2" customHeight="1">
      <c r="J2766" s="80" t="s">
        <v>747</v>
      </c>
      <c r="K2766" s="80" t="s">
        <v>432</v>
      </c>
      <c r="L2766" t="s">
        <v>183</v>
      </c>
      <c r="M2766" t="s">
        <v>437</v>
      </c>
      <c r="N2766" t="str">
        <f t="shared" si="198"/>
        <v>Double RearVanda Boldtrak 35 with GlidesBelow Normal 2075Boldtrak Premo 140mm Bracket</v>
      </c>
      <c r="O2766">
        <v>70</v>
      </c>
      <c r="P2766">
        <v>61</v>
      </c>
      <c r="Q2766" s="80">
        <v>0</v>
      </c>
      <c r="R2766" s="80">
        <f t="shared" si="197"/>
        <v>-9</v>
      </c>
      <c r="AD2766"/>
    </row>
    <row r="2767" spans="10:30" ht="16.2" customHeight="1">
      <c r="J2767" s="80" t="s">
        <v>725</v>
      </c>
      <c r="K2767" s="80" t="s">
        <v>432</v>
      </c>
      <c r="L2767" t="s">
        <v>183</v>
      </c>
      <c r="M2767" t="s">
        <v>437</v>
      </c>
      <c r="N2767" t="str">
        <f t="shared" si="198"/>
        <v>SingleVanda Boldtrak 35 with GlidesBelow Normal 2075Boldtrak Premo 140mm Bracket</v>
      </c>
      <c r="O2767">
        <v>70</v>
      </c>
      <c r="P2767">
        <v>61</v>
      </c>
      <c r="Q2767" s="80">
        <v>0</v>
      </c>
      <c r="R2767" s="80">
        <f t="shared" si="197"/>
        <v>-9</v>
      </c>
      <c r="AD2767"/>
    </row>
    <row r="2768" spans="10:30" ht="16.2" customHeight="1">
      <c r="J2768" s="80" t="s">
        <v>746</v>
      </c>
      <c r="K2768" s="80" t="s">
        <v>432</v>
      </c>
      <c r="L2768" t="s">
        <v>182</v>
      </c>
      <c r="M2768" t="s">
        <v>437</v>
      </c>
      <c r="N2768" t="str">
        <f t="shared" si="198"/>
        <v>Double FrontVanda Boldtrak 35 with GlidesBetween Level and Normal 2073Boldtrak Premo 140mm Bracket</v>
      </c>
      <c r="O2768">
        <v>48</v>
      </c>
      <c r="P2768">
        <v>61</v>
      </c>
      <c r="Q2768" s="80">
        <v>0</v>
      </c>
      <c r="R2768" s="80">
        <f t="shared" si="197"/>
        <v>13</v>
      </c>
      <c r="AD2768"/>
    </row>
    <row r="2769" spans="10:30" ht="16.2" customHeight="1">
      <c r="J2769" s="80" t="s">
        <v>747</v>
      </c>
      <c r="K2769" s="80" t="s">
        <v>432</v>
      </c>
      <c r="L2769" t="s">
        <v>182</v>
      </c>
      <c r="M2769" t="s">
        <v>437</v>
      </c>
      <c r="N2769" t="str">
        <f t="shared" si="198"/>
        <v>Double RearVanda Boldtrak 35 with GlidesBetween Level and Normal 2073Boldtrak Premo 140mm Bracket</v>
      </c>
      <c r="O2769">
        <v>48</v>
      </c>
      <c r="P2769">
        <v>61</v>
      </c>
      <c r="Q2769" s="80">
        <v>0</v>
      </c>
      <c r="R2769" s="80">
        <f t="shared" si="197"/>
        <v>13</v>
      </c>
      <c r="AD2769"/>
    </row>
    <row r="2770" spans="10:30" ht="16.2" customHeight="1">
      <c r="J2770" s="80" t="s">
        <v>725</v>
      </c>
      <c r="K2770" s="80" t="s">
        <v>432</v>
      </c>
      <c r="L2770" t="s">
        <v>182</v>
      </c>
      <c r="M2770" t="s">
        <v>437</v>
      </c>
      <c r="N2770" t="str">
        <f t="shared" si="198"/>
        <v>SingleVanda Boldtrak 35 with GlidesBetween Level and Normal 2073Boldtrak Premo 140mm Bracket</v>
      </c>
      <c r="O2770">
        <v>47</v>
      </c>
      <c r="P2770">
        <v>61</v>
      </c>
      <c r="Q2770" s="80">
        <v>0</v>
      </c>
      <c r="R2770" s="80">
        <f t="shared" si="197"/>
        <v>14</v>
      </c>
      <c r="AD2770"/>
    </row>
    <row r="2771" spans="10:30" ht="16.2" customHeight="1">
      <c r="J2771" s="80" t="s">
        <v>746</v>
      </c>
      <c r="K2771" s="80" t="s">
        <v>432</v>
      </c>
      <c r="L2771" t="s">
        <v>184</v>
      </c>
      <c r="M2771" t="s">
        <v>437</v>
      </c>
      <c r="N2771" t="str">
        <f t="shared" si="198"/>
        <v>Double FrontVanda Boldtrak 35 with GlidesDecorator 2071Boldtrak Premo 140mm Bracket</v>
      </c>
      <c r="O2771">
        <v>20</v>
      </c>
      <c r="P2771">
        <v>61</v>
      </c>
      <c r="Q2771" s="80">
        <v>0</v>
      </c>
      <c r="R2771" s="80">
        <f t="shared" si="197"/>
        <v>41</v>
      </c>
      <c r="AD2771"/>
    </row>
    <row r="2772" spans="10:30" ht="16.2" customHeight="1">
      <c r="J2772" s="80" t="s">
        <v>747</v>
      </c>
      <c r="K2772" s="80" t="s">
        <v>432</v>
      </c>
      <c r="L2772" t="s">
        <v>184</v>
      </c>
      <c r="M2772" t="s">
        <v>437</v>
      </c>
      <c r="N2772" t="str">
        <f t="shared" si="198"/>
        <v>Double RearVanda Boldtrak 35 with GlidesDecorator 2071Boldtrak Premo 140mm Bracket</v>
      </c>
      <c r="O2772">
        <v>20</v>
      </c>
      <c r="P2772">
        <v>61</v>
      </c>
      <c r="Q2772" s="80">
        <v>0</v>
      </c>
      <c r="R2772" s="80">
        <f t="shared" si="197"/>
        <v>41</v>
      </c>
      <c r="AD2772"/>
    </row>
    <row r="2773" spans="10:30" ht="16.2" customHeight="1">
      <c r="J2773" s="80" t="s">
        <v>725</v>
      </c>
      <c r="K2773" s="80" t="s">
        <v>432</v>
      </c>
      <c r="L2773" t="s">
        <v>184</v>
      </c>
      <c r="M2773" t="s">
        <v>437</v>
      </c>
      <c r="N2773" t="str">
        <f t="shared" si="198"/>
        <v>SingleVanda Boldtrak 35 with GlidesDecorator 2071Boldtrak Premo 140mm Bracket</v>
      </c>
      <c r="O2773">
        <v>20</v>
      </c>
      <c r="P2773">
        <v>61</v>
      </c>
      <c r="Q2773" s="80">
        <v>0</v>
      </c>
      <c r="R2773" s="80">
        <f t="shared" si="197"/>
        <v>41</v>
      </c>
      <c r="AD2773"/>
    </row>
    <row r="2774" spans="10:30" ht="16.2" customHeight="1">
      <c r="J2774" s="80" t="s">
        <v>746</v>
      </c>
      <c r="K2774" s="80" t="s">
        <v>432</v>
      </c>
      <c r="L2774" t="s">
        <v>6468</v>
      </c>
      <c r="M2774" t="s">
        <v>437</v>
      </c>
      <c r="N2774" t="str">
        <f t="shared" si="198"/>
        <v>Double FrontVanda Boldtrak 35 with GlidesGather Hook Bottom PocketBoldtrak Premo 140mm Bracket</v>
      </c>
      <c r="O2774">
        <v>60</v>
      </c>
      <c r="P2774">
        <v>61</v>
      </c>
      <c r="Q2774" s="80">
        <v>0</v>
      </c>
      <c r="R2774" s="80">
        <f t="shared" si="197"/>
        <v>1</v>
      </c>
      <c r="AD2774"/>
    </row>
    <row r="2775" spans="10:30" ht="16.2" customHeight="1">
      <c r="J2775" s="80" t="s">
        <v>725</v>
      </c>
      <c r="K2775" s="80" t="s">
        <v>432</v>
      </c>
      <c r="L2775" t="s">
        <v>6468</v>
      </c>
      <c r="M2775" t="s">
        <v>437</v>
      </c>
      <c r="N2775" t="str">
        <f t="shared" si="198"/>
        <v>SingleVanda Boldtrak 35 with GlidesGather Hook Bottom PocketBoldtrak Premo 140mm Bracket</v>
      </c>
      <c r="O2775">
        <v>60</v>
      </c>
      <c r="P2775">
        <v>61</v>
      </c>
      <c r="Q2775" s="80">
        <v>0</v>
      </c>
      <c r="R2775" s="80">
        <f t="shared" si="197"/>
        <v>1</v>
      </c>
      <c r="AD2775"/>
    </row>
    <row r="2776" spans="10:30" ht="16.2" customHeight="1">
      <c r="J2776" s="80" t="s">
        <v>746</v>
      </c>
      <c r="K2776" s="80" t="s">
        <v>432</v>
      </c>
      <c r="L2776" t="s">
        <v>229</v>
      </c>
      <c r="M2776" t="s">
        <v>437</v>
      </c>
      <c r="N2776" t="str">
        <f t="shared" si="198"/>
        <v>Double FrontVanda Boldtrak 35 with GlidesGather Hook LevelBoldtrak Premo 140mm Bracket</v>
      </c>
      <c r="O2776">
        <v>20</v>
      </c>
      <c r="P2776">
        <v>61</v>
      </c>
      <c r="Q2776" s="80">
        <v>0</v>
      </c>
      <c r="R2776" s="80">
        <f t="shared" si="197"/>
        <v>41</v>
      </c>
      <c r="AD2776"/>
    </row>
    <row r="2777" spans="10:30" ht="16.2" customHeight="1">
      <c r="J2777" s="80" t="s">
        <v>747</v>
      </c>
      <c r="K2777" s="80" t="s">
        <v>432</v>
      </c>
      <c r="L2777" t="s">
        <v>229</v>
      </c>
      <c r="M2777" t="s">
        <v>437</v>
      </c>
      <c r="N2777" t="str">
        <f t="shared" si="198"/>
        <v>Double RearVanda Boldtrak 35 with GlidesGather Hook LevelBoldtrak Premo 140mm Bracket</v>
      </c>
      <c r="O2777">
        <v>20</v>
      </c>
      <c r="P2777">
        <v>61</v>
      </c>
      <c r="Q2777" s="80">
        <v>0</v>
      </c>
      <c r="R2777" s="80">
        <f t="shared" si="197"/>
        <v>41</v>
      </c>
      <c r="AD2777"/>
    </row>
    <row r="2778" spans="10:30" ht="16.2" customHeight="1">
      <c r="J2778" s="80" t="s">
        <v>725</v>
      </c>
      <c r="K2778" s="80" t="s">
        <v>432</v>
      </c>
      <c r="L2778" t="s">
        <v>229</v>
      </c>
      <c r="M2778" t="s">
        <v>437</v>
      </c>
      <c r="N2778" t="str">
        <f t="shared" si="198"/>
        <v>SingleVanda Boldtrak 35 with GlidesGather Hook LevelBoldtrak Premo 140mm Bracket</v>
      </c>
      <c r="O2778">
        <v>20</v>
      </c>
      <c r="P2778">
        <v>61</v>
      </c>
      <c r="Q2778" s="80">
        <v>0</v>
      </c>
      <c r="R2778" s="80">
        <f t="shared" si="197"/>
        <v>41</v>
      </c>
      <c r="AD2778"/>
    </row>
    <row r="2779" spans="10:30" ht="16.2" customHeight="1">
      <c r="J2779" s="80" t="s">
        <v>746</v>
      </c>
      <c r="K2779" s="80" t="s">
        <v>432</v>
      </c>
      <c r="L2779" t="s">
        <v>228</v>
      </c>
      <c r="M2779" t="s">
        <v>437</v>
      </c>
      <c r="N2779" t="str">
        <f t="shared" si="198"/>
        <v>Double FrontVanda Boldtrak 35 with GlidesGather Hook NormalBoldtrak Premo 140mm Bracket</v>
      </c>
      <c r="O2779">
        <v>43</v>
      </c>
      <c r="P2779">
        <v>61</v>
      </c>
      <c r="Q2779" s="80">
        <v>0</v>
      </c>
      <c r="R2779" s="80">
        <f t="shared" si="197"/>
        <v>18</v>
      </c>
      <c r="AD2779"/>
    </row>
    <row r="2780" spans="10:30" ht="16.2" customHeight="1">
      <c r="J2780" s="80" t="s">
        <v>747</v>
      </c>
      <c r="K2780" s="80" t="s">
        <v>432</v>
      </c>
      <c r="L2780" t="s">
        <v>228</v>
      </c>
      <c r="M2780" t="s">
        <v>437</v>
      </c>
      <c r="N2780" t="str">
        <f t="shared" si="198"/>
        <v>Double RearVanda Boldtrak 35 with GlidesGather Hook NormalBoldtrak Premo 140mm Bracket</v>
      </c>
      <c r="O2780">
        <v>43</v>
      </c>
      <c r="P2780">
        <v>61</v>
      </c>
      <c r="Q2780" s="80">
        <v>0</v>
      </c>
      <c r="R2780" s="80">
        <f t="shared" si="197"/>
        <v>18</v>
      </c>
      <c r="AD2780"/>
    </row>
    <row r="2781" spans="10:30" ht="16.2" customHeight="1">
      <c r="J2781" s="80" t="s">
        <v>725</v>
      </c>
      <c r="K2781" s="80" t="s">
        <v>432</v>
      </c>
      <c r="L2781" t="s">
        <v>228</v>
      </c>
      <c r="M2781" t="s">
        <v>437</v>
      </c>
      <c r="N2781" t="str">
        <f t="shared" si="198"/>
        <v>SingleVanda Boldtrak 35 with GlidesGather Hook NormalBoldtrak Premo 140mm Bracket</v>
      </c>
      <c r="O2781">
        <v>43</v>
      </c>
      <c r="P2781">
        <v>61</v>
      </c>
      <c r="Q2781" s="80">
        <v>0</v>
      </c>
      <c r="R2781" s="80">
        <f t="shared" si="197"/>
        <v>18</v>
      </c>
      <c r="AD2781"/>
    </row>
    <row r="2782" spans="10:30" ht="16.2" customHeight="1">
      <c r="J2782" s="80" t="s">
        <v>746</v>
      </c>
      <c r="K2782" s="80" t="s">
        <v>432</v>
      </c>
      <c r="L2782" t="s">
        <v>282</v>
      </c>
      <c r="M2782" t="s">
        <v>437</v>
      </c>
      <c r="N2782" t="str">
        <f t="shared" si="198"/>
        <v>Double FrontVanda Boldtrak 35 with GlidesLevel 2072Boldtrak Premo 140mm Bracket</v>
      </c>
      <c r="O2782">
        <v>38</v>
      </c>
      <c r="P2782">
        <v>61</v>
      </c>
      <c r="Q2782" s="80">
        <v>0</v>
      </c>
      <c r="R2782" s="80">
        <f t="shared" si="197"/>
        <v>23</v>
      </c>
      <c r="AD2782"/>
    </row>
    <row r="2783" spans="10:30" ht="16.2" customHeight="1">
      <c r="J2783" s="80" t="s">
        <v>747</v>
      </c>
      <c r="K2783" s="80" t="s">
        <v>432</v>
      </c>
      <c r="L2783" t="s">
        <v>282</v>
      </c>
      <c r="M2783" t="s">
        <v>437</v>
      </c>
      <c r="N2783" t="str">
        <f t="shared" si="198"/>
        <v>Double RearVanda Boldtrak 35 with GlidesLevel 2072Boldtrak Premo 140mm Bracket</v>
      </c>
      <c r="O2783">
        <v>38</v>
      </c>
      <c r="P2783">
        <v>61</v>
      </c>
      <c r="Q2783" s="80">
        <v>0</v>
      </c>
      <c r="R2783" s="80">
        <f t="shared" si="199" ref="R2783:R2846">SUM(P2783)-O2783</f>
        <v>23</v>
      </c>
      <c r="AD2783"/>
    </row>
    <row r="2784" spans="10:30" ht="16.2" customHeight="1">
      <c r="J2784" s="80" t="s">
        <v>725</v>
      </c>
      <c r="K2784" s="80" t="s">
        <v>432</v>
      </c>
      <c r="L2784" t="s">
        <v>282</v>
      </c>
      <c r="M2784" t="s">
        <v>437</v>
      </c>
      <c r="N2784" t="str">
        <f t="shared" si="198"/>
        <v>SingleVanda Boldtrak 35 with GlidesLevel 2072Boldtrak Premo 140mm Bracket</v>
      </c>
      <c r="O2784">
        <v>35</v>
      </c>
      <c r="P2784">
        <v>61</v>
      </c>
      <c r="Q2784" s="80">
        <v>0</v>
      </c>
      <c r="R2784" s="80">
        <f t="shared" si="199"/>
        <v>26</v>
      </c>
      <c r="AD2784"/>
    </row>
    <row r="2785" spans="10:30" ht="16.2" customHeight="1">
      <c r="J2785" s="80" t="s">
        <v>746</v>
      </c>
      <c r="K2785" s="80" t="s">
        <v>432</v>
      </c>
      <c r="L2785" t="s">
        <v>170</v>
      </c>
      <c r="M2785" t="s">
        <v>437</v>
      </c>
      <c r="N2785" t="str">
        <f t="shared" si="198"/>
        <v>Double FrontVanda Boldtrak 35 with GlidesNormal 2074Boldtrak Premo 140mm Bracket</v>
      </c>
      <c r="O2785">
        <v>60</v>
      </c>
      <c r="P2785">
        <v>61</v>
      </c>
      <c r="Q2785" s="80">
        <v>0</v>
      </c>
      <c r="R2785" s="80">
        <f t="shared" si="199"/>
        <v>1</v>
      </c>
      <c r="AD2785"/>
    </row>
    <row r="2786" spans="10:30" ht="16.2" customHeight="1">
      <c r="J2786" s="80" t="s">
        <v>747</v>
      </c>
      <c r="K2786" s="80" t="s">
        <v>432</v>
      </c>
      <c r="L2786" t="s">
        <v>170</v>
      </c>
      <c r="M2786" t="s">
        <v>437</v>
      </c>
      <c r="N2786" t="str">
        <f t="shared" si="198"/>
        <v>Double RearVanda Boldtrak 35 with GlidesNormal 2074Boldtrak Premo 140mm Bracket</v>
      </c>
      <c r="O2786">
        <v>60</v>
      </c>
      <c r="P2786">
        <v>61</v>
      </c>
      <c r="Q2786" s="80">
        <v>0</v>
      </c>
      <c r="R2786" s="80">
        <f t="shared" si="199"/>
        <v>1</v>
      </c>
      <c r="AD2786"/>
    </row>
    <row r="2787" spans="10:30" ht="16.2" customHeight="1">
      <c r="J2787" s="80" t="s">
        <v>725</v>
      </c>
      <c r="K2787" s="80" t="s">
        <v>432</v>
      </c>
      <c r="L2787" t="s">
        <v>170</v>
      </c>
      <c r="M2787" t="s">
        <v>437</v>
      </c>
      <c r="N2787" t="str">
        <f t="shared" si="198"/>
        <v>SingleVanda Boldtrak 35 with GlidesNormal 2074Boldtrak Premo 140mm Bracket</v>
      </c>
      <c r="O2787">
        <v>60</v>
      </c>
      <c r="P2787">
        <v>61</v>
      </c>
      <c r="Q2787" s="80">
        <v>0</v>
      </c>
      <c r="R2787" s="80">
        <f t="shared" si="199"/>
        <v>1</v>
      </c>
      <c r="AD2787"/>
    </row>
    <row r="2788" spans="10:30" ht="16.2" customHeight="1">
      <c r="J2788" s="80" t="s">
        <v>747</v>
      </c>
      <c r="K2788" s="80" t="s">
        <v>432</v>
      </c>
      <c r="L2788" t="s">
        <v>183</v>
      </c>
      <c r="M2788" t="s">
        <v>9300</v>
      </c>
      <c r="N2788" t="str">
        <f t="shared" si="198"/>
        <v>Double RearVanda Boldtrak 35 with GlidesBelow Normal 2075Boldtrak Premo 155mm Bracket</v>
      </c>
      <c r="O2788">
        <v>70</v>
      </c>
      <c r="P2788">
        <v>81</v>
      </c>
      <c r="Q2788" s="80">
        <v>0</v>
      </c>
      <c r="R2788" s="80">
        <f t="shared" si="199"/>
        <v>11</v>
      </c>
      <c r="AD2788"/>
    </row>
    <row r="2789" spans="10:30" ht="16.2" customHeight="1">
      <c r="J2789" s="80" t="s">
        <v>747</v>
      </c>
      <c r="K2789" s="80" t="s">
        <v>432</v>
      </c>
      <c r="L2789" t="s">
        <v>182</v>
      </c>
      <c r="M2789" t="s">
        <v>9300</v>
      </c>
      <c r="N2789" t="str">
        <f t="shared" si="198"/>
        <v>Double RearVanda Boldtrak 35 with GlidesBetween Level and Normal 2073Boldtrak Premo 155mm Bracket</v>
      </c>
      <c r="O2789">
        <v>48</v>
      </c>
      <c r="P2789">
        <v>81</v>
      </c>
      <c r="Q2789" s="80">
        <v>0</v>
      </c>
      <c r="R2789" s="80">
        <f t="shared" si="199"/>
        <v>33</v>
      </c>
      <c r="AD2789"/>
    </row>
    <row r="2790" spans="10:30" ht="16.2" customHeight="1">
      <c r="J2790" s="80" t="s">
        <v>747</v>
      </c>
      <c r="K2790" s="80" t="s">
        <v>432</v>
      </c>
      <c r="L2790" t="s">
        <v>184</v>
      </c>
      <c r="M2790" t="s">
        <v>9300</v>
      </c>
      <c r="N2790" t="str">
        <f t="shared" si="198"/>
        <v>Double RearVanda Boldtrak 35 with GlidesDecorator 2071Boldtrak Premo 155mm Bracket</v>
      </c>
      <c r="O2790">
        <v>20</v>
      </c>
      <c r="P2790">
        <v>81</v>
      </c>
      <c r="Q2790" s="80">
        <v>0</v>
      </c>
      <c r="R2790" s="80">
        <f t="shared" si="199"/>
        <v>61</v>
      </c>
      <c r="AD2790"/>
    </row>
    <row r="2791" spans="10:30" ht="16.2" customHeight="1">
      <c r="J2791" s="80" t="s">
        <v>747</v>
      </c>
      <c r="K2791" s="80" t="s">
        <v>432</v>
      </c>
      <c r="L2791" t="s">
        <v>229</v>
      </c>
      <c r="M2791" t="s">
        <v>9300</v>
      </c>
      <c r="N2791" t="str">
        <f t="shared" si="198"/>
        <v>Double RearVanda Boldtrak 35 with GlidesGather Hook LevelBoldtrak Premo 155mm Bracket</v>
      </c>
      <c r="O2791">
        <v>20</v>
      </c>
      <c r="P2791">
        <v>81</v>
      </c>
      <c r="Q2791" s="80">
        <v>0</v>
      </c>
      <c r="R2791" s="80">
        <f t="shared" si="199"/>
        <v>61</v>
      </c>
      <c r="AD2791"/>
    </row>
    <row r="2792" spans="10:30" ht="16.2" customHeight="1">
      <c r="J2792" s="80" t="s">
        <v>747</v>
      </c>
      <c r="K2792" s="80" t="s">
        <v>432</v>
      </c>
      <c r="L2792" t="s">
        <v>228</v>
      </c>
      <c r="M2792" t="s">
        <v>9300</v>
      </c>
      <c r="N2792" t="str">
        <f t="shared" si="198"/>
        <v>Double RearVanda Boldtrak 35 with GlidesGather Hook NormalBoldtrak Premo 155mm Bracket</v>
      </c>
      <c r="O2792">
        <v>43</v>
      </c>
      <c r="P2792">
        <v>81</v>
      </c>
      <c r="Q2792" s="80">
        <v>0</v>
      </c>
      <c r="R2792" s="80">
        <f t="shared" si="199"/>
        <v>38</v>
      </c>
      <c r="AD2792"/>
    </row>
    <row r="2793" spans="10:30" ht="16.2" customHeight="1">
      <c r="J2793" s="80" t="s">
        <v>747</v>
      </c>
      <c r="K2793" s="80" t="s">
        <v>432</v>
      </c>
      <c r="L2793" t="s">
        <v>282</v>
      </c>
      <c r="M2793" t="s">
        <v>9300</v>
      </c>
      <c r="N2793" t="str">
        <f t="shared" si="198"/>
        <v>Double RearVanda Boldtrak 35 with GlidesLevel 2072Boldtrak Premo 155mm Bracket</v>
      </c>
      <c r="O2793">
        <v>38</v>
      </c>
      <c r="P2793">
        <v>81</v>
      </c>
      <c r="Q2793" s="80">
        <v>0</v>
      </c>
      <c r="R2793" s="80">
        <f t="shared" si="199"/>
        <v>43</v>
      </c>
      <c r="AD2793"/>
    </row>
    <row r="2794" spans="10:30" ht="16.2" customHeight="1">
      <c r="J2794" s="80" t="s">
        <v>747</v>
      </c>
      <c r="K2794" s="80" t="s">
        <v>432</v>
      </c>
      <c r="L2794" t="s">
        <v>170</v>
      </c>
      <c r="M2794" t="s">
        <v>9300</v>
      </c>
      <c r="N2794" t="str">
        <f t="shared" si="198"/>
        <v>Double RearVanda Boldtrak 35 with GlidesNormal 2074Boldtrak Premo 155mm Bracket</v>
      </c>
      <c r="O2794">
        <v>60</v>
      </c>
      <c r="P2794">
        <v>81</v>
      </c>
      <c r="Q2794" s="80">
        <v>0</v>
      </c>
      <c r="R2794" s="80">
        <f t="shared" si="199"/>
        <v>21</v>
      </c>
      <c r="AD2794"/>
    </row>
    <row r="2795" spans="10:30" ht="16.2" customHeight="1">
      <c r="J2795" s="80" t="s">
        <v>746</v>
      </c>
      <c r="K2795" s="80" t="s">
        <v>432</v>
      </c>
      <c r="L2795" t="s">
        <v>183</v>
      </c>
      <c r="M2795" t="s">
        <v>724</v>
      </c>
      <c r="N2795" t="str">
        <f t="shared" si="198"/>
        <v>Double FrontVanda Boldtrak 35 with GlidesBelow Normal 2075Boldtrak Premo Double Bracket Suit 16mm on Back</v>
      </c>
      <c r="O2795">
        <v>70</v>
      </c>
      <c r="P2795">
        <v>61</v>
      </c>
      <c r="Q2795" s="80">
        <v>0</v>
      </c>
      <c r="R2795" s="80">
        <f t="shared" si="199"/>
        <v>-9</v>
      </c>
      <c r="AD2795"/>
    </row>
    <row r="2796" spans="10:30" ht="16.2" customHeight="1">
      <c r="J2796" s="80" t="s">
        <v>725</v>
      </c>
      <c r="K2796" s="80" t="s">
        <v>432</v>
      </c>
      <c r="L2796" t="s">
        <v>183</v>
      </c>
      <c r="M2796" t="s">
        <v>724</v>
      </c>
      <c r="N2796" t="str">
        <f t="shared" si="198"/>
        <v>SingleVanda Boldtrak 35 with GlidesBelow Normal 2075Boldtrak Premo Double Bracket Suit 16mm on Back</v>
      </c>
      <c r="O2796">
        <v>70</v>
      </c>
      <c r="P2796">
        <v>61</v>
      </c>
      <c r="Q2796" s="80">
        <v>0</v>
      </c>
      <c r="R2796" s="80">
        <f t="shared" si="199"/>
        <v>-9</v>
      </c>
      <c r="AD2796"/>
    </row>
    <row r="2797" spans="10:30" ht="16.2" customHeight="1">
      <c r="J2797" s="80" t="s">
        <v>746</v>
      </c>
      <c r="K2797" s="80" t="s">
        <v>432</v>
      </c>
      <c r="L2797" t="s">
        <v>182</v>
      </c>
      <c r="M2797" t="s">
        <v>724</v>
      </c>
      <c r="N2797" t="str">
        <f t="shared" si="198"/>
        <v>Double FrontVanda Boldtrak 35 with GlidesBetween Level and Normal 2073Boldtrak Premo Double Bracket Suit 16mm on Back</v>
      </c>
      <c r="O2797">
        <v>48</v>
      </c>
      <c r="P2797">
        <v>61</v>
      </c>
      <c r="Q2797" s="80">
        <v>0</v>
      </c>
      <c r="R2797" s="80">
        <f t="shared" si="199"/>
        <v>13</v>
      </c>
      <c r="AD2797"/>
    </row>
    <row r="2798" spans="10:30" ht="16.2" customHeight="1">
      <c r="J2798" s="80" t="s">
        <v>725</v>
      </c>
      <c r="K2798" s="80" t="s">
        <v>432</v>
      </c>
      <c r="L2798" t="s">
        <v>182</v>
      </c>
      <c r="M2798" t="s">
        <v>724</v>
      </c>
      <c r="N2798" t="str">
        <f t="shared" si="198"/>
        <v>SingleVanda Boldtrak 35 with GlidesBetween Level and Normal 2073Boldtrak Premo Double Bracket Suit 16mm on Back</v>
      </c>
      <c r="O2798">
        <v>47</v>
      </c>
      <c r="P2798">
        <v>61</v>
      </c>
      <c r="Q2798" s="80">
        <v>0</v>
      </c>
      <c r="R2798" s="80">
        <f t="shared" si="199"/>
        <v>14</v>
      </c>
      <c r="AD2798"/>
    </row>
    <row r="2799" spans="10:30" ht="16.2" customHeight="1">
      <c r="J2799" s="80" t="s">
        <v>746</v>
      </c>
      <c r="K2799" s="80" t="s">
        <v>432</v>
      </c>
      <c r="L2799" t="s">
        <v>184</v>
      </c>
      <c r="M2799" t="s">
        <v>724</v>
      </c>
      <c r="N2799" t="str">
        <f t="shared" si="198"/>
        <v>Double FrontVanda Boldtrak 35 with GlidesDecorator 2071Boldtrak Premo Double Bracket Suit 16mm on Back</v>
      </c>
      <c r="O2799">
        <v>20</v>
      </c>
      <c r="P2799">
        <v>61</v>
      </c>
      <c r="Q2799" s="80">
        <v>0</v>
      </c>
      <c r="R2799" s="80">
        <f t="shared" si="199"/>
        <v>41</v>
      </c>
      <c r="AD2799"/>
    </row>
    <row r="2800" spans="10:30" ht="16.2" customHeight="1">
      <c r="J2800" s="80" t="s">
        <v>725</v>
      </c>
      <c r="K2800" s="80" t="s">
        <v>432</v>
      </c>
      <c r="L2800" t="s">
        <v>184</v>
      </c>
      <c r="M2800" t="s">
        <v>724</v>
      </c>
      <c r="N2800" t="str">
        <f t="shared" si="198"/>
        <v>SingleVanda Boldtrak 35 with GlidesDecorator 2071Boldtrak Premo Double Bracket Suit 16mm on Back</v>
      </c>
      <c r="O2800">
        <v>20</v>
      </c>
      <c r="P2800">
        <v>61</v>
      </c>
      <c r="Q2800" s="80">
        <v>0</v>
      </c>
      <c r="R2800" s="80">
        <f t="shared" si="199"/>
        <v>41</v>
      </c>
      <c r="AD2800"/>
    </row>
    <row r="2801" spans="10:30" ht="16.2" customHeight="1">
      <c r="J2801" s="80" t="s">
        <v>746</v>
      </c>
      <c r="K2801" s="80" t="s">
        <v>432</v>
      </c>
      <c r="L2801" t="s">
        <v>6468</v>
      </c>
      <c r="M2801" t="s">
        <v>724</v>
      </c>
      <c r="N2801" t="str">
        <f t="shared" si="198"/>
        <v>Double FrontVanda Boldtrak 35 with GlidesGather Hook Bottom PocketBoldtrak Premo Double Bracket Suit 16mm on Back</v>
      </c>
      <c r="O2801">
        <v>60</v>
      </c>
      <c r="P2801">
        <v>51</v>
      </c>
      <c r="Q2801" s="80">
        <v>0</v>
      </c>
      <c r="R2801" s="80">
        <f t="shared" si="199"/>
        <v>-9</v>
      </c>
      <c r="AD2801"/>
    </row>
    <row r="2802" spans="10:30" ht="16.2" customHeight="1">
      <c r="J2802" s="80" t="s">
        <v>725</v>
      </c>
      <c r="K2802" s="80" t="s">
        <v>432</v>
      </c>
      <c r="L2802" t="s">
        <v>6468</v>
      </c>
      <c r="M2802" t="s">
        <v>724</v>
      </c>
      <c r="N2802" t="str">
        <f t="shared" si="198"/>
        <v>SingleVanda Boldtrak 35 with GlidesGather Hook Bottom PocketBoldtrak Premo Double Bracket Suit 16mm on Back</v>
      </c>
      <c r="O2802">
        <v>60</v>
      </c>
      <c r="P2802">
        <v>61</v>
      </c>
      <c r="Q2802" s="80">
        <v>0</v>
      </c>
      <c r="R2802" s="80">
        <f t="shared" si="199"/>
        <v>1</v>
      </c>
      <c r="AD2802"/>
    </row>
    <row r="2803" spans="10:30" ht="16.2" customHeight="1">
      <c r="J2803" s="80" t="s">
        <v>746</v>
      </c>
      <c r="K2803" s="80" t="s">
        <v>432</v>
      </c>
      <c r="L2803" t="s">
        <v>229</v>
      </c>
      <c r="M2803" t="s">
        <v>724</v>
      </c>
      <c r="N2803" t="str">
        <f t="shared" si="198"/>
        <v>Double FrontVanda Boldtrak 35 with GlidesGather Hook LevelBoldtrak Premo Double Bracket Suit 16mm on Back</v>
      </c>
      <c r="O2803">
        <v>20</v>
      </c>
      <c r="P2803">
        <v>61</v>
      </c>
      <c r="Q2803" s="80">
        <v>0</v>
      </c>
      <c r="R2803" s="80">
        <f t="shared" si="199"/>
        <v>41</v>
      </c>
      <c r="AD2803"/>
    </row>
    <row r="2804" spans="10:30" ht="16.2" customHeight="1">
      <c r="J2804" s="80" t="s">
        <v>725</v>
      </c>
      <c r="K2804" s="80" t="s">
        <v>432</v>
      </c>
      <c r="L2804" t="s">
        <v>229</v>
      </c>
      <c r="M2804" t="s">
        <v>724</v>
      </c>
      <c r="N2804" t="str">
        <f t="shared" si="198"/>
        <v>SingleVanda Boldtrak 35 with GlidesGather Hook LevelBoldtrak Premo Double Bracket Suit 16mm on Back</v>
      </c>
      <c r="O2804">
        <v>20</v>
      </c>
      <c r="P2804">
        <v>61</v>
      </c>
      <c r="Q2804" s="80">
        <v>0</v>
      </c>
      <c r="R2804" s="80">
        <f t="shared" si="199"/>
        <v>41</v>
      </c>
      <c r="AD2804"/>
    </row>
    <row r="2805" spans="10:30" ht="16.2" customHeight="1">
      <c r="J2805" s="80" t="s">
        <v>746</v>
      </c>
      <c r="K2805" s="80" t="s">
        <v>432</v>
      </c>
      <c r="L2805" t="s">
        <v>228</v>
      </c>
      <c r="M2805" t="s">
        <v>724</v>
      </c>
      <c r="N2805" t="str">
        <f t="shared" si="198"/>
        <v>Double FrontVanda Boldtrak 35 with GlidesGather Hook NormalBoldtrak Premo Double Bracket Suit 16mm on Back</v>
      </c>
      <c r="O2805">
        <v>43</v>
      </c>
      <c r="P2805">
        <v>61</v>
      </c>
      <c r="Q2805" s="80">
        <v>0</v>
      </c>
      <c r="R2805" s="80">
        <f t="shared" si="199"/>
        <v>18</v>
      </c>
      <c r="AD2805"/>
    </row>
    <row r="2806" spans="10:30" ht="16.2" customHeight="1">
      <c r="J2806" s="80" t="s">
        <v>725</v>
      </c>
      <c r="K2806" s="80" t="s">
        <v>432</v>
      </c>
      <c r="L2806" t="s">
        <v>228</v>
      </c>
      <c r="M2806" t="s">
        <v>724</v>
      </c>
      <c r="N2806" t="str">
        <f t="shared" si="198"/>
        <v>SingleVanda Boldtrak 35 with GlidesGather Hook NormalBoldtrak Premo Double Bracket Suit 16mm on Back</v>
      </c>
      <c r="O2806">
        <v>43</v>
      </c>
      <c r="P2806">
        <v>61</v>
      </c>
      <c r="Q2806" s="80">
        <v>0</v>
      </c>
      <c r="R2806" s="80">
        <f t="shared" si="199"/>
        <v>18</v>
      </c>
      <c r="AD2806"/>
    </row>
    <row r="2807" spans="10:30" ht="16.2" customHeight="1">
      <c r="J2807" s="80" t="s">
        <v>746</v>
      </c>
      <c r="K2807" s="80" t="s">
        <v>432</v>
      </c>
      <c r="L2807" t="s">
        <v>282</v>
      </c>
      <c r="M2807" t="s">
        <v>724</v>
      </c>
      <c r="N2807" t="str">
        <f t="shared" si="198"/>
        <v>Double FrontVanda Boldtrak 35 with GlidesLevel 2072Boldtrak Premo Double Bracket Suit 16mm on Back</v>
      </c>
      <c r="O2807">
        <v>38</v>
      </c>
      <c r="P2807">
        <v>61</v>
      </c>
      <c r="Q2807" s="80">
        <v>0</v>
      </c>
      <c r="R2807" s="80">
        <f t="shared" si="199"/>
        <v>23</v>
      </c>
      <c r="AD2807"/>
    </row>
    <row r="2808" spans="10:30" ht="16.2" customHeight="1">
      <c r="J2808" s="80" t="s">
        <v>725</v>
      </c>
      <c r="K2808" s="80" t="s">
        <v>432</v>
      </c>
      <c r="L2808" t="s">
        <v>282</v>
      </c>
      <c r="M2808" t="s">
        <v>724</v>
      </c>
      <c r="N2808" t="str">
        <f t="shared" si="198"/>
        <v>SingleVanda Boldtrak 35 with GlidesLevel 2072Boldtrak Premo Double Bracket Suit 16mm on Back</v>
      </c>
      <c r="O2808">
        <v>35</v>
      </c>
      <c r="P2808">
        <v>61</v>
      </c>
      <c r="Q2808" s="80">
        <v>0</v>
      </c>
      <c r="R2808" s="80">
        <f t="shared" si="199"/>
        <v>26</v>
      </c>
      <c r="AD2808"/>
    </row>
    <row r="2809" spans="10:30" ht="16.2" customHeight="1">
      <c r="J2809" s="80" t="s">
        <v>746</v>
      </c>
      <c r="K2809" s="80" t="s">
        <v>432</v>
      </c>
      <c r="L2809" t="s">
        <v>170</v>
      </c>
      <c r="M2809" t="s">
        <v>724</v>
      </c>
      <c r="N2809" t="str">
        <f t="shared" si="198"/>
        <v>Double FrontVanda Boldtrak 35 with GlidesNormal 2074Boldtrak Premo Double Bracket Suit 16mm on Back</v>
      </c>
      <c r="O2809">
        <v>60</v>
      </c>
      <c r="P2809">
        <v>61</v>
      </c>
      <c r="Q2809" s="80">
        <v>0</v>
      </c>
      <c r="R2809" s="80">
        <f t="shared" si="199"/>
        <v>1</v>
      </c>
      <c r="AD2809"/>
    </row>
    <row r="2810" spans="10:30" ht="16.2" customHeight="1">
      <c r="J2810" s="80" t="s">
        <v>725</v>
      </c>
      <c r="K2810" s="80" t="s">
        <v>432</v>
      </c>
      <c r="L2810" t="s">
        <v>170</v>
      </c>
      <c r="M2810" t="s">
        <v>724</v>
      </c>
      <c r="N2810" t="str">
        <f t="shared" si="198"/>
        <v>SingleVanda Boldtrak 35 with GlidesNormal 2074Boldtrak Premo Double Bracket Suit 16mm on Back</v>
      </c>
      <c r="O2810">
        <v>60</v>
      </c>
      <c r="P2810">
        <v>61</v>
      </c>
      <c r="Q2810" s="80">
        <v>0</v>
      </c>
      <c r="R2810" s="80">
        <f t="shared" si="199"/>
        <v>1</v>
      </c>
      <c r="AD2810"/>
    </row>
    <row r="2811" spans="10:30" ht="16.2" customHeight="1">
      <c r="J2811" s="80" t="s">
        <v>746</v>
      </c>
      <c r="K2811" s="80" t="s">
        <v>432</v>
      </c>
      <c r="L2811" t="s">
        <v>183</v>
      </c>
      <c r="M2811" s="66" t="s">
        <v>4654</v>
      </c>
      <c r="N2811" t="str">
        <f t="shared" si="198"/>
        <v>Double FrontVanda Boldtrak 35 with GlidesBelow Normal 2075Boldtrak Premo Double Bracket Suit 25mm on Back</v>
      </c>
      <c r="O2811">
        <v>70</v>
      </c>
      <c r="P2811">
        <v>61</v>
      </c>
      <c r="Q2811" s="80">
        <v>0</v>
      </c>
      <c r="R2811" s="80">
        <f t="shared" si="199"/>
        <v>-9</v>
      </c>
      <c r="AD2811"/>
    </row>
    <row r="2812" spans="10:30" ht="16.2" customHeight="1">
      <c r="J2812" s="80" t="s">
        <v>747</v>
      </c>
      <c r="K2812" s="80" t="s">
        <v>432</v>
      </c>
      <c r="L2812" t="s">
        <v>183</v>
      </c>
      <c r="M2812" t="s">
        <v>4654</v>
      </c>
      <c r="N2812" t="str">
        <f t="shared" si="198"/>
        <v>Double RearVanda Boldtrak 35 with GlidesBelow Normal 2075Boldtrak Premo Double Bracket Suit 25mm on Back</v>
      </c>
      <c r="O2812">
        <v>70</v>
      </c>
      <c r="P2812">
        <v>81</v>
      </c>
      <c r="Q2812" s="80">
        <v>0</v>
      </c>
      <c r="R2812" s="80">
        <f t="shared" si="199"/>
        <v>11</v>
      </c>
      <c r="AD2812"/>
    </row>
    <row r="2813" spans="10:30" ht="16.2" customHeight="1">
      <c r="J2813" s="80" t="s">
        <v>746</v>
      </c>
      <c r="K2813" s="80" t="s">
        <v>432</v>
      </c>
      <c r="L2813" t="s">
        <v>182</v>
      </c>
      <c r="M2813" s="66" t="s">
        <v>4654</v>
      </c>
      <c r="N2813" t="str">
        <f t="shared" si="198"/>
        <v>Double FrontVanda Boldtrak 35 with GlidesBetween Level and Normal 2073Boldtrak Premo Double Bracket Suit 25mm on Back</v>
      </c>
      <c r="O2813">
        <v>48</v>
      </c>
      <c r="P2813">
        <v>61</v>
      </c>
      <c r="Q2813" s="80">
        <v>0</v>
      </c>
      <c r="R2813" s="80">
        <f t="shared" si="199"/>
        <v>13</v>
      </c>
      <c r="AD2813"/>
    </row>
    <row r="2814" spans="10:30" ht="16.2" customHeight="1">
      <c r="J2814" s="80" t="s">
        <v>747</v>
      </c>
      <c r="K2814" s="80" t="s">
        <v>432</v>
      </c>
      <c r="L2814" t="s">
        <v>182</v>
      </c>
      <c r="M2814" t="s">
        <v>4654</v>
      </c>
      <c r="N2814" t="str">
        <f t="shared" si="198"/>
        <v>Double RearVanda Boldtrak 35 with GlidesBetween Level and Normal 2073Boldtrak Premo Double Bracket Suit 25mm on Back</v>
      </c>
      <c r="O2814">
        <v>48</v>
      </c>
      <c r="P2814">
        <v>81</v>
      </c>
      <c r="Q2814" s="80">
        <v>0</v>
      </c>
      <c r="R2814" s="80">
        <f t="shared" si="199"/>
        <v>33</v>
      </c>
      <c r="AD2814"/>
    </row>
    <row r="2815" spans="10:30" ht="16.2" customHeight="1">
      <c r="J2815" s="80" t="s">
        <v>746</v>
      </c>
      <c r="K2815" s="80" t="s">
        <v>432</v>
      </c>
      <c r="L2815" t="s">
        <v>184</v>
      </c>
      <c r="M2815" s="66" t="s">
        <v>4654</v>
      </c>
      <c r="N2815" t="str">
        <f t="shared" si="198"/>
        <v>Double FrontVanda Boldtrak 35 with GlidesDecorator 2071Boldtrak Premo Double Bracket Suit 25mm on Back</v>
      </c>
      <c r="O2815">
        <v>20</v>
      </c>
      <c r="P2815">
        <v>61</v>
      </c>
      <c r="Q2815" s="80">
        <v>0</v>
      </c>
      <c r="R2815" s="80">
        <f t="shared" si="199"/>
        <v>41</v>
      </c>
      <c r="AD2815"/>
    </row>
    <row r="2816" spans="10:30" ht="16.2" customHeight="1">
      <c r="J2816" s="80" t="s">
        <v>747</v>
      </c>
      <c r="K2816" s="80" t="s">
        <v>432</v>
      </c>
      <c r="L2816" t="s">
        <v>184</v>
      </c>
      <c r="M2816" t="s">
        <v>4654</v>
      </c>
      <c r="N2816" t="str">
        <f t="shared" si="198"/>
        <v>Double RearVanda Boldtrak 35 with GlidesDecorator 2071Boldtrak Premo Double Bracket Suit 25mm on Back</v>
      </c>
      <c r="O2816">
        <v>20</v>
      </c>
      <c r="P2816">
        <v>81</v>
      </c>
      <c r="Q2816" s="80">
        <v>0</v>
      </c>
      <c r="R2816" s="80">
        <f t="shared" si="199"/>
        <v>61</v>
      </c>
      <c r="AD2816"/>
    </row>
    <row r="2817" spans="10:30" ht="16.2" customHeight="1">
      <c r="J2817" s="80" t="s">
        <v>746</v>
      </c>
      <c r="K2817" s="80" t="s">
        <v>432</v>
      </c>
      <c r="L2817" t="s">
        <v>6468</v>
      </c>
      <c r="M2817" s="66" t="s">
        <v>4654</v>
      </c>
      <c r="N2817" t="str">
        <f t="shared" si="198"/>
        <v>Double FrontVanda Boldtrak 35 with GlidesGather Hook Bottom PocketBoldtrak Premo Double Bracket Suit 25mm on Back</v>
      </c>
      <c r="O2817">
        <v>60</v>
      </c>
      <c r="P2817">
        <v>51</v>
      </c>
      <c r="Q2817" s="80">
        <v>0</v>
      </c>
      <c r="R2817" s="80">
        <f t="shared" si="199"/>
        <v>-9</v>
      </c>
      <c r="AD2817"/>
    </row>
    <row r="2818" spans="10:30" ht="16.2" customHeight="1">
      <c r="J2818" s="80" t="s">
        <v>746</v>
      </c>
      <c r="K2818" s="80" t="s">
        <v>432</v>
      </c>
      <c r="L2818" t="s">
        <v>229</v>
      </c>
      <c r="M2818" s="66" t="s">
        <v>4654</v>
      </c>
      <c r="N2818" t="str">
        <f t="shared" si="200" ref="N2818:N2881">(CONCATENATE(J2818,K2818,L2818,M2818))</f>
        <v>Double FrontVanda Boldtrak 35 with GlidesGather Hook LevelBoldtrak Premo Double Bracket Suit 25mm on Back</v>
      </c>
      <c r="O2818">
        <v>20</v>
      </c>
      <c r="P2818">
        <v>61</v>
      </c>
      <c r="Q2818" s="80">
        <v>0</v>
      </c>
      <c r="R2818" s="80">
        <f t="shared" si="199"/>
        <v>41</v>
      </c>
      <c r="AD2818"/>
    </row>
    <row r="2819" spans="10:30" ht="16.2" customHeight="1">
      <c r="J2819" s="80" t="s">
        <v>747</v>
      </c>
      <c r="K2819" s="80" t="s">
        <v>432</v>
      </c>
      <c r="L2819" t="s">
        <v>229</v>
      </c>
      <c r="M2819" t="s">
        <v>4654</v>
      </c>
      <c r="N2819" t="str">
        <f t="shared" si="200"/>
        <v>Double RearVanda Boldtrak 35 with GlidesGather Hook LevelBoldtrak Premo Double Bracket Suit 25mm on Back</v>
      </c>
      <c r="O2819">
        <v>20</v>
      </c>
      <c r="P2819">
        <v>81</v>
      </c>
      <c r="Q2819" s="80">
        <v>0</v>
      </c>
      <c r="R2819" s="80">
        <f t="shared" si="199"/>
        <v>61</v>
      </c>
      <c r="AD2819"/>
    </row>
    <row r="2820" spans="10:30" ht="16.2" customHeight="1">
      <c r="J2820" s="80" t="s">
        <v>746</v>
      </c>
      <c r="K2820" s="80" t="s">
        <v>432</v>
      </c>
      <c r="L2820" t="s">
        <v>228</v>
      </c>
      <c r="M2820" s="66" t="s">
        <v>4654</v>
      </c>
      <c r="N2820" t="str">
        <f t="shared" si="200"/>
        <v>Double FrontVanda Boldtrak 35 with GlidesGather Hook NormalBoldtrak Premo Double Bracket Suit 25mm on Back</v>
      </c>
      <c r="O2820">
        <v>43</v>
      </c>
      <c r="P2820">
        <v>61</v>
      </c>
      <c r="Q2820" s="80">
        <v>0</v>
      </c>
      <c r="R2820" s="80">
        <f t="shared" si="199"/>
        <v>18</v>
      </c>
      <c r="AD2820"/>
    </row>
    <row r="2821" spans="10:30" ht="16.2" customHeight="1">
      <c r="J2821" s="80" t="s">
        <v>747</v>
      </c>
      <c r="K2821" s="80" t="s">
        <v>432</v>
      </c>
      <c r="L2821" t="s">
        <v>228</v>
      </c>
      <c r="M2821" t="s">
        <v>4654</v>
      </c>
      <c r="N2821" t="str">
        <f t="shared" si="200"/>
        <v>Double RearVanda Boldtrak 35 with GlidesGather Hook NormalBoldtrak Premo Double Bracket Suit 25mm on Back</v>
      </c>
      <c r="O2821">
        <v>43</v>
      </c>
      <c r="P2821">
        <v>81</v>
      </c>
      <c r="Q2821" s="80">
        <v>0</v>
      </c>
      <c r="R2821" s="80">
        <f t="shared" si="199"/>
        <v>38</v>
      </c>
      <c r="AD2821"/>
    </row>
    <row r="2822" spans="10:30" ht="16.2" customHeight="1">
      <c r="J2822" s="80" t="s">
        <v>746</v>
      </c>
      <c r="K2822" s="80" t="s">
        <v>432</v>
      </c>
      <c r="L2822" t="s">
        <v>282</v>
      </c>
      <c r="M2822" s="66" t="s">
        <v>4654</v>
      </c>
      <c r="N2822" t="str">
        <f t="shared" si="200"/>
        <v>Double FrontVanda Boldtrak 35 with GlidesLevel 2072Boldtrak Premo Double Bracket Suit 25mm on Back</v>
      </c>
      <c r="O2822">
        <v>38</v>
      </c>
      <c r="P2822">
        <v>61</v>
      </c>
      <c r="Q2822" s="80">
        <v>0</v>
      </c>
      <c r="R2822" s="80">
        <f t="shared" si="199"/>
        <v>23</v>
      </c>
      <c r="AD2822"/>
    </row>
    <row r="2823" spans="10:30" ht="16.2" customHeight="1">
      <c r="J2823" s="80" t="s">
        <v>747</v>
      </c>
      <c r="K2823" s="80" t="s">
        <v>432</v>
      </c>
      <c r="L2823" t="s">
        <v>282</v>
      </c>
      <c r="M2823" t="s">
        <v>4654</v>
      </c>
      <c r="N2823" t="str">
        <f t="shared" si="200"/>
        <v>Double RearVanda Boldtrak 35 with GlidesLevel 2072Boldtrak Premo Double Bracket Suit 25mm on Back</v>
      </c>
      <c r="O2823">
        <v>38</v>
      </c>
      <c r="P2823">
        <v>81</v>
      </c>
      <c r="Q2823" s="80">
        <v>0</v>
      </c>
      <c r="R2823" s="80">
        <f t="shared" si="199"/>
        <v>43</v>
      </c>
      <c r="AD2823"/>
    </row>
    <row r="2824" spans="10:30" ht="16.2" customHeight="1">
      <c r="J2824" s="80" t="s">
        <v>746</v>
      </c>
      <c r="K2824" s="80" t="s">
        <v>432</v>
      </c>
      <c r="L2824" t="s">
        <v>170</v>
      </c>
      <c r="M2824" s="66" t="s">
        <v>4654</v>
      </c>
      <c r="N2824" t="str">
        <f t="shared" si="200"/>
        <v>Double FrontVanda Boldtrak 35 with GlidesNormal 2074Boldtrak Premo Double Bracket Suit 25mm on Back</v>
      </c>
      <c r="O2824">
        <v>60</v>
      </c>
      <c r="P2824">
        <v>61</v>
      </c>
      <c r="Q2824" s="80">
        <v>0</v>
      </c>
      <c r="R2824" s="80">
        <f t="shared" si="199"/>
        <v>1</v>
      </c>
      <c r="AD2824"/>
    </row>
    <row r="2825" spans="10:30" ht="16.2" customHeight="1">
      <c r="J2825" s="80" t="s">
        <v>747</v>
      </c>
      <c r="K2825" s="80" t="s">
        <v>432</v>
      </c>
      <c r="L2825" t="s">
        <v>170</v>
      </c>
      <c r="M2825" t="s">
        <v>4654</v>
      </c>
      <c r="N2825" t="str">
        <f t="shared" si="200"/>
        <v>Double RearVanda Boldtrak 35 with GlidesNormal 2074Boldtrak Premo Double Bracket Suit 25mm on Back</v>
      </c>
      <c r="O2825">
        <v>60</v>
      </c>
      <c r="P2825">
        <v>81</v>
      </c>
      <c r="Q2825" s="80">
        <v>0</v>
      </c>
      <c r="R2825" s="80">
        <f t="shared" si="199"/>
        <v>21</v>
      </c>
      <c r="AD2825"/>
    </row>
    <row r="2826" spans="10:30" ht="16.2" customHeight="1">
      <c r="J2826" s="80" t="s">
        <v>725</v>
      </c>
      <c r="K2826" s="80" t="s">
        <v>432</v>
      </c>
      <c r="L2826" t="s">
        <v>183</v>
      </c>
      <c r="M2826" t="s">
        <v>423</v>
      </c>
      <c r="N2826" t="str">
        <f t="shared" si="200"/>
        <v>SingleVanda Boldtrak 35 with GlidesBelow Normal 2075Boldtrak Standard 60mm Bracket</v>
      </c>
      <c r="O2826">
        <v>70</v>
      </c>
      <c r="P2826">
        <v>61</v>
      </c>
      <c r="Q2826" s="80">
        <v>0</v>
      </c>
      <c r="R2826" s="80">
        <f t="shared" si="199"/>
        <v>-9</v>
      </c>
      <c r="AD2826"/>
    </row>
    <row r="2827" spans="10:30" ht="16.2" customHeight="1">
      <c r="J2827" s="80" t="s">
        <v>725</v>
      </c>
      <c r="K2827" s="80" t="s">
        <v>432</v>
      </c>
      <c r="L2827" t="s">
        <v>182</v>
      </c>
      <c r="M2827" t="s">
        <v>423</v>
      </c>
      <c r="N2827" t="str">
        <f t="shared" si="200"/>
        <v>SingleVanda Boldtrak 35 with GlidesBetween Level and Normal 2073Boldtrak Standard 60mm Bracket</v>
      </c>
      <c r="O2827">
        <v>47</v>
      </c>
      <c r="P2827">
        <v>61</v>
      </c>
      <c r="Q2827" s="80">
        <v>0</v>
      </c>
      <c r="R2827" s="80">
        <f t="shared" si="199"/>
        <v>14</v>
      </c>
      <c r="AD2827"/>
    </row>
    <row r="2828" spans="10:30" ht="16.2" customHeight="1">
      <c r="J2828" s="80" t="s">
        <v>725</v>
      </c>
      <c r="K2828" s="80" t="s">
        <v>432</v>
      </c>
      <c r="L2828" t="s">
        <v>184</v>
      </c>
      <c r="M2828" t="s">
        <v>423</v>
      </c>
      <c r="N2828" t="str">
        <f t="shared" si="200"/>
        <v>SingleVanda Boldtrak 35 with GlidesDecorator 2071Boldtrak Standard 60mm Bracket</v>
      </c>
      <c r="O2828">
        <v>20</v>
      </c>
      <c r="P2828">
        <v>61</v>
      </c>
      <c r="Q2828" s="80">
        <v>0</v>
      </c>
      <c r="R2828" s="80">
        <f t="shared" si="199"/>
        <v>41</v>
      </c>
      <c r="AD2828"/>
    </row>
    <row r="2829" spans="10:30" ht="16.2" customHeight="1">
      <c r="J2829" s="80" t="s">
        <v>725</v>
      </c>
      <c r="K2829" s="80" t="s">
        <v>432</v>
      </c>
      <c r="L2829" t="s">
        <v>6468</v>
      </c>
      <c r="M2829" t="s">
        <v>423</v>
      </c>
      <c r="N2829" t="str">
        <f t="shared" si="200"/>
        <v>SingleVanda Boldtrak 35 with GlidesGather Hook Bottom PocketBoldtrak Standard 60mm Bracket</v>
      </c>
      <c r="O2829">
        <v>60</v>
      </c>
      <c r="P2829">
        <v>61</v>
      </c>
      <c r="Q2829" s="80">
        <v>0</v>
      </c>
      <c r="R2829" s="80">
        <f t="shared" si="199"/>
        <v>1</v>
      </c>
      <c r="AD2829"/>
    </row>
    <row r="2830" spans="10:30" ht="16.2" customHeight="1">
      <c r="J2830" s="80" t="s">
        <v>725</v>
      </c>
      <c r="K2830" s="80" t="s">
        <v>432</v>
      </c>
      <c r="L2830" t="s">
        <v>229</v>
      </c>
      <c r="M2830" t="s">
        <v>423</v>
      </c>
      <c r="N2830" t="str">
        <f t="shared" si="200"/>
        <v>SingleVanda Boldtrak 35 with GlidesGather Hook LevelBoldtrak Standard 60mm Bracket</v>
      </c>
      <c r="O2830">
        <v>20</v>
      </c>
      <c r="P2830">
        <v>61</v>
      </c>
      <c r="Q2830" s="80">
        <v>0</v>
      </c>
      <c r="R2830" s="80">
        <f t="shared" si="199"/>
        <v>41</v>
      </c>
      <c r="AD2830"/>
    </row>
    <row r="2831" spans="10:30" ht="16.2" customHeight="1">
      <c r="J2831" s="80" t="s">
        <v>725</v>
      </c>
      <c r="K2831" s="80" t="s">
        <v>432</v>
      </c>
      <c r="L2831" t="s">
        <v>228</v>
      </c>
      <c r="M2831" t="s">
        <v>423</v>
      </c>
      <c r="N2831" t="str">
        <f t="shared" si="200"/>
        <v>SingleVanda Boldtrak 35 with GlidesGather Hook NormalBoldtrak Standard 60mm Bracket</v>
      </c>
      <c r="O2831">
        <v>43</v>
      </c>
      <c r="P2831">
        <v>61</v>
      </c>
      <c r="Q2831" s="80">
        <v>0</v>
      </c>
      <c r="R2831" s="80">
        <f t="shared" si="199"/>
        <v>18</v>
      </c>
      <c r="AD2831"/>
    </row>
    <row r="2832" spans="10:30" ht="16.2" customHeight="1">
      <c r="J2832" s="80" t="s">
        <v>725</v>
      </c>
      <c r="K2832" s="80" t="s">
        <v>432</v>
      </c>
      <c r="L2832" t="s">
        <v>282</v>
      </c>
      <c r="M2832" t="s">
        <v>423</v>
      </c>
      <c r="N2832" t="str">
        <f t="shared" si="200"/>
        <v>SingleVanda Boldtrak 35 with GlidesLevel 2072Boldtrak Standard 60mm Bracket</v>
      </c>
      <c r="O2832">
        <v>35</v>
      </c>
      <c r="P2832">
        <v>61</v>
      </c>
      <c r="Q2832" s="80">
        <v>0</v>
      </c>
      <c r="R2832" s="80">
        <f t="shared" si="199"/>
        <v>26</v>
      </c>
      <c r="AD2832"/>
    </row>
    <row r="2833" spans="10:30" ht="16.2" customHeight="1">
      <c r="J2833" s="80" t="s">
        <v>725</v>
      </c>
      <c r="K2833" s="80" t="s">
        <v>432</v>
      </c>
      <c r="L2833" t="s">
        <v>170</v>
      </c>
      <c r="M2833" t="s">
        <v>423</v>
      </c>
      <c r="N2833" t="str">
        <f t="shared" si="200"/>
        <v>SingleVanda Boldtrak 35 with GlidesNormal 2074Boldtrak Standard 60mm Bracket</v>
      </c>
      <c r="O2833">
        <v>60</v>
      </c>
      <c r="P2833">
        <v>61</v>
      </c>
      <c r="Q2833" s="80">
        <v>0</v>
      </c>
      <c r="R2833" s="80">
        <f t="shared" si="199"/>
        <v>1</v>
      </c>
      <c r="AD2833"/>
    </row>
    <row r="2834" spans="10:30" ht="16.2" customHeight="1">
      <c r="J2834" s="80" t="s">
        <v>746</v>
      </c>
      <c r="K2834" s="80" t="s">
        <v>432</v>
      </c>
      <c r="L2834" t="s">
        <v>183</v>
      </c>
      <c r="M2834" s="66" t="s">
        <v>9302</v>
      </c>
      <c r="N2834" t="str">
        <f t="shared" si="200"/>
        <v>Double FrontVanda Boldtrak 35 with GlidesBelow Normal 2075Boldtrak Standard Double Bracket Suit 25mm on Back</v>
      </c>
      <c r="O2834">
        <v>70</v>
      </c>
      <c r="P2834">
        <v>61</v>
      </c>
      <c r="Q2834" s="80">
        <v>0</v>
      </c>
      <c r="R2834" s="80">
        <f t="shared" si="199"/>
        <v>-9</v>
      </c>
      <c r="AD2834"/>
    </row>
    <row r="2835" spans="10:30" ht="16.2" customHeight="1">
      <c r="J2835" s="80" t="s">
        <v>746</v>
      </c>
      <c r="K2835" s="80" t="s">
        <v>432</v>
      </c>
      <c r="L2835" t="s">
        <v>182</v>
      </c>
      <c r="M2835" s="66" t="s">
        <v>9302</v>
      </c>
      <c r="N2835" t="str">
        <f t="shared" si="200"/>
        <v>Double FrontVanda Boldtrak 35 with GlidesBetween Level and Normal 2073Boldtrak Standard Double Bracket Suit 25mm on Back</v>
      </c>
      <c r="O2835">
        <v>48</v>
      </c>
      <c r="P2835">
        <v>61</v>
      </c>
      <c r="Q2835" s="80">
        <v>0</v>
      </c>
      <c r="R2835" s="80">
        <f t="shared" si="199"/>
        <v>13</v>
      </c>
      <c r="AD2835"/>
    </row>
    <row r="2836" spans="10:30" ht="16.2" customHeight="1">
      <c r="J2836" s="80" t="s">
        <v>746</v>
      </c>
      <c r="K2836" s="80" t="s">
        <v>432</v>
      </c>
      <c r="L2836" t="s">
        <v>184</v>
      </c>
      <c r="M2836" s="66" t="s">
        <v>9302</v>
      </c>
      <c r="N2836" t="str">
        <f t="shared" si="200"/>
        <v>Double FrontVanda Boldtrak 35 with GlidesDecorator 2071Boldtrak Standard Double Bracket Suit 25mm on Back</v>
      </c>
      <c r="O2836">
        <v>20</v>
      </c>
      <c r="P2836">
        <v>61</v>
      </c>
      <c r="Q2836" s="80">
        <v>0</v>
      </c>
      <c r="R2836" s="80">
        <f t="shared" si="199"/>
        <v>41</v>
      </c>
      <c r="AD2836"/>
    </row>
    <row r="2837" spans="10:30" ht="16.2" customHeight="1">
      <c r="J2837" s="80" t="s">
        <v>746</v>
      </c>
      <c r="K2837" s="80" t="s">
        <v>432</v>
      </c>
      <c r="L2837" t="s">
        <v>6468</v>
      </c>
      <c r="M2837" s="66" t="s">
        <v>9302</v>
      </c>
      <c r="N2837" t="str">
        <f t="shared" si="200"/>
        <v>Double FrontVanda Boldtrak 35 with GlidesGather Hook Bottom PocketBoldtrak Standard Double Bracket Suit 25mm on Back</v>
      </c>
      <c r="O2837">
        <v>60</v>
      </c>
      <c r="P2837">
        <v>51</v>
      </c>
      <c r="Q2837" s="80">
        <v>0</v>
      </c>
      <c r="R2837" s="80">
        <f t="shared" si="199"/>
        <v>-9</v>
      </c>
      <c r="AD2837"/>
    </row>
    <row r="2838" spans="10:30" ht="16.2" customHeight="1">
      <c r="J2838" s="80" t="s">
        <v>746</v>
      </c>
      <c r="K2838" s="80" t="s">
        <v>432</v>
      </c>
      <c r="L2838" t="s">
        <v>229</v>
      </c>
      <c r="M2838" s="66" t="s">
        <v>9302</v>
      </c>
      <c r="N2838" t="str">
        <f t="shared" si="200"/>
        <v>Double FrontVanda Boldtrak 35 with GlidesGather Hook LevelBoldtrak Standard Double Bracket Suit 25mm on Back</v>
      </c>
      <c r="O2838">
        <v>20</v>
      </c>
      <c r="P2838">
        <v>61</v>
      </c>
      <c r="Q2838" s="80">
        <v>0</v>
      </c>
      <c r="R2838" s="80">
        <f t="shared" si="199"/>
        <v>41</v>
      </c>
      <c r="AD2838"/>
    </row>
    <row r="2839" spans="10:30" ht="16.2" customHeight="1">
      <c r="J2839" s="80" t="s">
        <v>746</v>
      </c>
      <c r="K2839" s="80" t="s">
        <v>432</v>
      </c>
      <c r="L2839" t="s">
        <v>228</v>
      </c>
      <c r="M2839" s="66" t="s">
        <v>9302</v>
      </c>
      <c r="N2839" t="str">
        <f t="shared" si="200"/>
        <v>Double FrontVanda Boldtrak 35 with GlidesGather Hook NormalBoldtrak Standard Double Bracket Suit 25mm on Back</v>
      </c>
      <c r="O2839">
        <v>43</v>
      </c>
      <c r="P2839">
        <v>61</v>
      </c>
      <c r="Q2839" s="80">
        <v>0</v>
      </c>
      <c r="R2839" s="80">
        <f t="shared" si="199"/>
        <v>18</v>
      </c>
      <c r="AD2839"/>
    </row>
    <row r="2840" spans="10:30" ht="16.2" customHeight="1">
      <c r="J2840" s="80" t="s">
        <v>746</v>
      </c>
      <c r="K2840" s="80" t="s">
        <v>432</v>
      </c>
      <c r="L2840" t="s">
        <v>282</v>
      </c>
      <c r="M2840" s="66" t="s">
        <v>9302</v>
      </c>
      <c r="N2840" t="str">
        <f t="shared" si="200"/>
        <v>Double FrontVanda Boldtrak 35 with GlidesLevel 2072Boldtrak Standard Double Bracket Suit 25mm on Back</v>
      </c>
      <c r="O2840">
        <v>38</v>
      </c>
      <c r="P2840">
        <v>61</v>
      </c>
      <c r="Q2840" s="80">
        <v>0</v>
      </c>
      <c r="R2840" s="80">
        <f t="shared" si="199"/>
        <v>23</v>
      </c>
      <c r="AD2840"/>
    </row>
    <row r="2841" spans="10:30" ht="16.2" customHeight="1">
      <c r="J2841" s="80" t="s">
        <v>746</v>
      </c>
      <c r="K2841" s="80" t="s">
        <v>432</v>
      </c>
      <c r="L2841" t="s">
        <v>170</v>
      </c>
      <c r="M2841" s="66" t="s">
        <v>9302</v>
      </c>
      <c r="N2841" t="str">
        <f t="shared" si="200"/>
        <v>Double FrontVanda Boldtrak 35 with GlidesNormal 2074Boldtrak Standard Double Bracket Suit 25mm on Back</v>
      </c>
      <c r="O2841">
        <v>60</v>
      </c>
      <c r="P2841">
        <v>61</v>
      </c>
      <c r="Q2841" s="80">
        <v>0</v>
      </c>
      <c r="R2841" s="80">
        <f t="shared" si="199"/>
        <v>1</v>
      </c>
      <c r="AD2841"/>
    </row>
    <row r="2842" spans="10:30" ht="16.2" customHeight="1">
      <c r="J2842" s="80" t="s">
        <v>746</v>
      </c>
      <c r="K2842" s="80" t="s">
        <v>432</v>
      </c>
      <c r="L2842" t="s">
        <v>183</v>
      </c>
      <c r="M2842" s="66" t="s">
        <v>9303</v>
      </c>
      <c r="N2842" t="str">
        <f t="shared" si="200"/>
        <v>Double FrontVanda Boldtrak 35 with GlidesBelow Normal 2075Boldtrak Standard Double Bracket Suit 32mm on Back</v>
      </c>
      <c r="O2842">
        <v>70</v>
      </c>
      <c r="P2842">
        <v>61</v>
      </c>
      <c r="Q2842" s="80">
        <v>0</v>
      </c>
      <c r="R2842" s="80">
        <f t="shared" si="199"/>
        <v>-9</v>
      </c>
      <c r="AD2842"/>
    </row>
    <row r="2843" spans="10:30" ht="16.2" customHeight="1">
      <c r="J2843" s="80" t="s">
        <v>746</v>
      </c>
      <c r="K2843" s="80" t="s">
        <v>432</v>
      </c>
      <c r="L2843" t="s">
        <v>182</v>
      </c>
      <c r="M2843" s="66" t="s">
        <v>9303</v>
      </c>
      <c r="N2843" t="str">
        <f t="shared" si="200"/>
        <v>Double FrontVanda Boldtrak 35 with GlidesBetween Level and Normal 2073Boldtrak Standard Double Bracket Suit 32mm on Back</v>
      </c>
      <c r="O2843">
        <v>48</v>
      </c>
      <c r="P2843">
        <v>61</v>
      </c>
      <c r="Q2843" s="80">
        <v>0</v>
      </c>
      <c r="R2843" s="80">
        <f t="shared" si="199"/>
        <v>13</v>
      </c>
      <c r="AD2843"/>
    </row>
    <row r="2844" spans="10:30" ht="16.2" customHeight="1">
      <c r="J2844" s="80" t="s">
        <v>746</v>
      </c>
      <c r="K2844" s="80" t="s">
        <v>432</v>
      </c>
      <c r="L2844" t="s">
        <v>184</v>
      </c>
      <c r="M2844" s="66" t="s">
        <v>9303</v>
      </c>
      <c r="N2844" t="str">
        <f t="shared" si="200"/>
        <v>Double FrontVanda Boldtrak 35 with GlidesDecorator 2071Boldtrak Standard Double Bracket Suit 32mm on Back</v>
      </c>
      <c r="O2844">
        <v>20</v>
      </c>
      <c r="P2844">
        <v>61</v>
      </c>
      <c r="Q2844" s="80">
        <v>0</v>
      </c>
      <c r="R2844" s="80">
        <f t="shared" si="199"/>
        <v>41</v>
      </c>
      <c r="AD2844"/>
    </row>
    <row r="2845" spans="10:30" ht="16.2" customHeight="1">
      <c r="J2845" s="80" t="s">
        <v>746</v>
      </c>
      <c r="K2845" s="80" t="s">
        <v>432</v>
      </c>
      <c r="L2845" t="s">
        <v>6468</v>
      </c>
      <c r="M2845" s="66" t="s">
        <v>9303</v>
      </c>
      <c r="N2845" t="str">
        <f t="shared" si="200"/>
        <v>Double FrontVanda Boldtrak 35 with GlidesGather Hook Bottom PocketBoldtrak Standard Double Bracket Suit 32mm on Back</v>
      </c>
      <c r="O2845">
        <v>60</v>
      </c>
      <c r="P2845">
        <v>51</v>
      </c>
      <c r="Q2845" s="80">
        <v>0</v>
      </c>
      <c r="R2845" s="80">
        <f t="shared" si="199"/>
        <v>-9</v>
      </c>
      <c r="AD2845"/>
    </row>
    <row r="2846" spans="10:30" ht="16.2" customHeight="1">
      <c r="J2846" s="80" t="s">
        <v>746</v>
      </c>
      <c r="K2846" s="80" t="s">
        <v>432</v>
      </c>
      <c r="L2846" t="s">
        <v>229</v>
      </c>
      <c r="M2846" s="66" t="s">
        <v>9303</v>
      </c>
      <c r="N2846" t="str">
        <f t="shared" si="200"/>
        <v>Double FrontVanda Boldtrak 35 with GlidesGather Hook LevelBoldtrak Standard Double Bracket Suit 32mm on Back</v>
      </c>
      <c r="O2846">
        <v>20</v>
      </c>
      <c r="P2846">
        <v>61</v>
      </c>
      <c r="Q2846" s="80">
        <v>0</v>
      </c>
      <c r="R2846" s="80">
        <f t="shared" si="199"/>
        <v>41</v>
      </c>
      <c r="AD2846"/>
    </row>
    <row r="2847" spans="10:30" ht="16.2" customHeight="1">
      <c r="J2847" s="80" t="s">
        <v>746</v>
      </c>
      <c r="K2847" s="80" t="s">
        <v>432</v>
      </c>
      <c r="L2847" t="s">
        <v>228</v>
      </c>
      <c r="M2847" s="66" t="s">
        <v>9303</v>
      </c>
      <c r="N2847" t="str">
        <f t="shared" si="200"/>
        <v>Double FrontVanda Boldtrak 35 with GlidesGather Hook NormalBoldtrak Standard Double Bracket Suit 32mm on Back</v>
      </c>
      <c r="O2847">
        <v>43</v>
      </c>
      <c r="P2847">
        <v>61</v>
      </c>
      <c r="Q2847" s="80">
        <v>0</v>
      </c>
      <c r="R2847" s="80">
        <f t="shared" si="201" ref="R2847:R2910">SUM(P2847)-O2847</f>
        <v>18</v>
      </c>
      <c r="AD2847"/>
    </row>
    <row r="2848" spans="10:30" ht="16.2" customHeight="1">
      <c r="J2848" s="80" t="s">
        <v>746</v>
      </c>
      <c r="K2848" s="80" t="s">
        <v>432</v>
      </c>
      <c r="L2848" t="s">
        <v>282</v>
      </c>
      <c r="M2848" s="66" t="s">
        <v>9303</v>
      </c>
      <c r="N2848" t="str">
        <f t="shared" si="200"/>
        <v>Double FrontVanda Boldtrak 35 with GlidesLevel 2072Boldtrak Standard Double Bracket Suit 32mm on Back</v>
      </c>
      <c r="O2848">
        <v>38</v>
      </c>
      <c r="P2848">
        <v>61</v>
      </c>
      <c r="Q2848" s="80">
        <v>0</v>
      </c>
      <c r="R2848" s="80">
        <f t="shared" si="201"/>
        <v>23</v>
      </c>
      <c r="AD2848"/>
    </row>
    <row r="2849" spans="10:30" ht="16.2" customHeight="1">
      <c r="J2849" s="80" t="s">
        <v>746</v>
      </c>
      <c r="K2849" s="80" t="s">
        <v>432</v>
      </c>
      <c r="L2849" t="s">
        <v>170</v>
      </c>
      <c r="M2849" s="66" t="s">
        <v>9303</v>
      </c>
      <c r="N2849" t="str">
        <f t="shared" si="200"/>
        <v>Double FrontVanda Boldtrak 35 with GlidesNormal 2074Boldtrak Standard Double Bracket Suit 32mm on Back</v>
      </c>
      <c r="O2849">
        <v>60</v>
      </c>
      <c r="P2849">
        <v>61</v>
      </c>
      <c r="Q2849" s="80">
        <v>0</v>
      </c>
      <c r="R2849" s="80">
        <f t="shared" si="201"/>
        <v>1</v>
      </c>
      <c r="AD2849"/>
    </row>
    <row r="2850" spans="10:30" ht="16.2" customHeight="1">
      <c r="J2850" s="80" t="s">
        <v>746</v>
      </c>
      <c r="K2850" s="80" t="s">
        <v>432</v>
      </c>
      <c r="L2850" t="s">
        <v>183</v>
      </c>
      <c r="M2850" s="66" t="s">
        <v>9304</v>
      </c>
      <c r="N2850" t="str">
        <f t="shared" si="200"/>
        <v>Double FrontVanda Boldtrak 35 with GlidesBelow Normal 2075Boldtrak Standard Double Bracket Suit 35mm on Back</v>
      </c>
      <c r="O2850">
        <v>70</v>
      </c>
      <c r="P2850">
        <v>61</v>
      </c>
      <c r="Q2850" s="80">
        <v>0</v>
      </c>
      <c r="R2850" s="80">
        <f t="shared" si="201"/>
        <v>-9</v>
      </c>
      <c r="AD2850"/>
    </row>
    <row r="2851" spans="10:30" ht="16.2" customHeight="1">
      <c r="J2851" s="80" t="s">
        <v>747</v>
      </c>
      <c r="K2851" s="80" t="s">
        <v>432</v>
      </c>
      <c r="L2851" t="s">
        <v>183</v>
      </c>
      <c r="M2851" s="66" t="s">
        <v>9304</v>
      </c>
      <c r="N2851" t="str">
        <f t="shared" si="200"/>
        <v>Double RearVanda Boldtrak 35 with GlidesBelow Normal 2075Boldtrak Standard Double Bracket Suit 35mm on Back</v>
      </c>
      <c r="O2851">
        <v>70</v>
      </c>
      <c r="P2851">
        <v>81</v>
      </c>
      <c r="Q2851" s="80">
        <v>0</v>
      </c>
      <c r="R2851" s="80">
        <f t="shared" si="201"/>
        <v>11</v>
      </c>
      <c r="AD2851"/>
    </row>
    <row r="2852" spans="10:30" ht="16.2" customHeight="1">
      <c r="J2852" s="80" t="s">
        <v>746</v>
      </c>
      <c r="K2852" s="80" t="s">
        <v>432</v>
      </c>
      <c r="L2852" t="s">
        <v>182</v>
      </c>
      <c r="M2852" s="66" t="s">
        <v>9304</v>
      </c>
      <c r="N2852" t="str">
        <f t="shared" si="200"/>
        <v>Double FrontVanda Boldtrak 35 with GlidesBetween Level and Normal 2073Boldtrak Standard Double Bracket Suit 35mm on Back</v>
      </c>
      <c r="O2852">
        <v>48</v>
      </c>
      <c r="P2852">
        <v>61</v>
      </c>
      <c r="Q2852" s="80">
        <v>0</v>
      </c>
      <c r="R2852" s="80">
        <f t="shared" si="201"/>
        <v>13</v>
      </c>
      <c r="AD2852"/>
    </row>
    <row r="2853" spans="10:30" ht="16.2" customHeight="1">
      <c r="J2853" s="80" t="s">
        <v>747</v>
      </c>
      <c r="K2853" s="80" t="s">
        <v>432</v>
      </c>
      <c r="L2853" t="s">
        <v>182</v>
      </c>
      <c r="M2853" s="66" t="s">
        <v>9304</v>
      </c>
      <c r="N2853" t="str">
        <f t="shared" si="200"/>
        <v>Double RearVanda Boldtrak 35 with GlidesBetween Level and Normal 2073Boldtrak Standard Double Bracket Suit 35mm on Back</v>
      </c>
      <c r="O2853">
        <v>48</v>
      </c>
      <c r="P2853">
        <v>81</v>
      </c>
      <c r="Q2853" s="80">
        <v>0</v>
      </c>
      <c r="R2853" s="80">
        <f t="shared" si="201"/>
        <v>33</v>
      </c>
      <c r="AD2853"/>
    </row>
    <row r="2854" spans="10:30" ht="16.2" customHeight="1">
      <c r="J2854" s="80" t="s">
        <v>746</v>
      </c>
      <c r="K2854" s="80" t="s">
        <v>432</v>
      </c>
      <c r="L2854" t="s">
        <v>184</v>
      </c>
      <c r="M2854" s="66" t="s">
        <v>9304</v>
      </c>
      <c r="N2854" t="str">
        <f t="shared" si="200"/>
        <v>Double FrontVanda Boldtrak 35 with GlidesDecorator 2071Boldtrak Standard Double Bracket Suit 35mm on Back</v>
      </c>
      <c r="O2854">
        <v>20</v>
      </c>
      <c r="P2854">
        <v>61</v>
      </c>
      <c r="Q2854" s="80">
        <v>0</v>
      </c>
      <c r="R2854" s="80">
        <f t="shared" si="201"/>
        <v>41</v>
      </c>
      <c r="AD2854"/>
    </row>
    <row r="2855" spans="10:30" ht="16.2" customHeight="1">
      <c r="J2855" s="80" t="s">
        <v>747</v>
      </c>
      <c r="K2855" s="80" t="s">
        <v>432</v>
      </c>
      <c r="L2855" t="s">
        <v>184</v>
      </c>
      <c r="M2855" s="66" t="s">
        <v>9304</v>
      </c>
      <c r="N2855" t="str">
        <f t="shared" si="200"/>
        <v>Double RearVanda Boldtrak 35 with GlidesDecorator 2071Boldtrak Standard Double Bracket Suit 35mm on Back</v>
      </c>
      <c r="O2855">
        <v>20</v>
      </c>
      <c r="P2855">
        <v>81</v>
      </c>
      <c r="Q2855" s="80">
        <v>0</v>
      </c>
      <c r="R2855" s="80">
        <f t="shared" si="201"/>
        <v>61</v>
      </c>
      <c r="AD2855"/>
    </row>
    <row r="2856" spans="10:30" ht="16.2" customHeight="1">
      <c r="J2856" s="80" t="s">
        <v>746</v>
      </c>
      <c r="K2856" s="80" t="s">
        <v>432</v>
      </c>
      <c r="L2856" t="s">
        <v>6468</v>
      </c>
      <c r="M2856" s="66" t="s">
        <v>9304</v>
      </c>
      <c r="N2856" t="str">
        <f t="shared" si="200"/>
        <v>Double FrontVanda Boldtrak 35 with GlidesGather Hook Bottom PocketBoldtrak Standard Double Bracket Suit 35mm on Back</v>
      </c>
      <c r="O2856">
        <v>60</v>
      </c>
      <c r="P2856">
        <v>51</v>
      </c>
      <c r="Q2856" s="80">
        <v>0</v>
      </c>
      <c r="R2856" s="80">
        <f t="shared" si="201"/>
        <v>-9</v>
      </c>
      <c r="AD2856"/>
    </row>
    <row r="2857" spans="10:30" ht="16.2" customHeight="1">
      <c r="J2857" s="80" t="s">
        <v>746</v>
      </c>
      <c r="K2857" s="80" t="s">
        <v>432</v>
      </c>
      <c r="L2857" t="s">
        <v>229</v>
      </c>
      <c r="M2857" s="66" t="s">
        <v>9304</v>
      </c>
      <c r="N2857" t="str">
        <f t="shared" si="200"/>
        <v>Double FrontVanda Boldtrak 35 with GlidesGather Hook LevelBoldtrak Standard Double Bracket Suit 35mm on Back</v>
      </c>
      <c r="O2857">
        <v>20</v>
      </c>
      <c r="P2857">
        <v>61</v>
      </c>
      <c r="Q2857" s="80">
        <v>0</v>
      </c>
      <c r="R2857" s="80">
        <f t="shared" si="201"/>
        <v>41</v>
      </c>
      <c r="AD2857"/>
    </row>
    <row r="2858" spans="10:30" ht="16.2" customHeight="1">
      <c r="J2858" s="80" t="s">
        <v>747</v>
      </c>
      <c r="K2858" s="80" t="s">
        <v>432</v>
      </c>
      <c r="L2858" t="s">
        <v>229</v>
      </c>
      <c r="M2858" s="66" t="s">
        <v>9304</v>
      </c>
      <c r="N2858" t="str">
        <f t="shared" si="200"/>
        <v>Double RearVanda Boldtrak 35 with GlidesGather Hook LevelBoldtrak Standard Double Bracket Suit 35mm on Back</v>
      </c>
      <c r="O2858">
        <v>20</v>
      </c>
      <c r="P2858">
        <v>81</v>
      </c>
      <c r="Q2858" s="80">
        <v>0</v>
      </c>
      <c r="R2858" s="80">
        <f t="shared" si="201"/>
        <v>61</v>
      </c>
      <c r="AD2858"/>
    </row>
    <row r="2859" spans="10:30" ht="16.2" customHeight="1">
      <c r="J2859" s="80" t="s">
        <v>746</v>
      </c>
      <c r="K2859" s="80" t="s">
        <v>432</v>
      </c>
      <c r="L2859" t="s">
        <v>228</v>
      </c>
      <c r="M2859" s="66" t="s">
        <v>9304</v>
      </c>
      <c r="N2859" t="str">
        <f t="shared" si="200"/>
        <v>Double FrontVanda Boldtrak 35 with GlidesGather Hook NormalBoldtrak Standard Double Bracket Suit 35mm on Back</v>
      </c>
      <c r="O2859">
        <v>43</v>
      </c>
      <c r="P2859">
        <v>61</v>
      </c>
      <c r="Q2859" s="80">
        <v>0</v>
      </c>
      <c r="R2859" s="80">
        <f t="shared" si="201"/>
        <v>18</v>
      </c>
      <c r="AD2859"/>
    </row>
    <row r="2860" spans="10:30" ht="16.2" customHeight="1">
      <c r="J2860" s="80" t="s">
        <v>747</v>
      </c>
      <c r="K2860" s="80" t="s">
        <v>432</v>
      </c>
      <c r="L2860" t="s">
        <v>228</v>
      </c>
      <c r="M2860" s="66" t="s">
        <v>9304</v>
      </c>
      <c r="N2860" t="str">
        <f t="shared" si="200"/>
        <v>Double RearVanda Boldtrak 35 with GlidesGather Hook NormalBoldtrak Standard Double Bracket Suit 35mm on Back</v>
      </c>
      <c r="O2860">
        <v>43</v>
      </c>
      <c r="P2860">
        <v>81</v>
      </c>
      <c r="Q2860" s="80">
        <v>0</v>
      </c>
      <c r="R2860" s="80">
        <f t="shared" si="201"/>
        <v>38</v>
      </c>
      <c r="AD2860"/>
    </row>
    <row r="2861" spans="10:30" ht="16.2" customHeight="1">
      <c r="J2861" s="80" t="s">
        <v>746</v>
      </c>
      <c r="K2861" s="80" t="s">
        <v>432</v>
      </c>
      <c r="L2861" t="s">
        <v>282</v>
      </c>
      <c r="M2861" s="66" t="s">
        <v>9304</v>
      </c>
      <c r="N2861" t="str">
        <f t="shared" si="200"/>
        <v>Double FrontVanda Boldtrak 35 with GlidesLevel 2072Boldtrak Standard Double Bracket Suit 35mm on Back</v>
      </c>
      <c r="O2861">
        <v>38</v>
      </c>
      <c r="P2861">
        <v>61</v>
      </c>
      <c r="Q2861" s="80">
        <v>0</v>
      </c>
      <c r="R2861" s="80">
        <f t="shared" si="201"/>
        <v>23</v>
      </c>
      <c r="AD2861"/>
    </row>
    <row r="2862" spans="10:30" ht="16.2" customHeight="1">
      <c r="J2862" s="80" t="s">
        <v>747</v>
      </c>
      <c r="K2862" s="80" t="s">
        <v>432</v>
      </c>
      <c r="L2862" t="s">
        <v>282</v>
      </c>
      <c r="M2862" s="66" t="s">
        <v>9304</v>
      </c>
      <c r="N2862" t="str">
        <f t="shared" si="200"/>
        <v>Double RearVanda Boldtrak 35 with GlidesLevel 2072Boldtrak Standard Double Bracket Suit 35mm on Back</v>
      </c>
      <c r="O2862">
        <v>38</v>
      </c>
      <c r="P2862">
        <v>81</v>
      </c>
      <c r="Q2862" s="80">
        <v>0</v>
      </c>
      <c r="R2862" s="80">
        <f t="shared" si="201"/>
        <v>43</v>
      </c>
      <c r="AD2862"/>
    </row>
    <row r="2863" spans="10:30" ht="16.2" customHeight="1">
      <c r="J2863" s="80" t="s">
        <v>746</v>
      </c>
      <c r="K2863" s="80" t="s">
        <v>432</v>
      </c>
      <c r="L2863" t="s">
        <v>170</v>
      </c>
      <c r="M2863" s="66" t="s">
        <v>9304</v>
      </c>
      <c r="N2863" t="str">
        <f t="shared" si="200"/>
        <v>Double FrontVanda Boldtrak 35 with GlidesNormal 2074Boldtrak Standard Double Bracket Suit 35mm on Back</v>
      </c>
      <c r="O2863">
        <v>60</v>
      </c>
      <c r="P2863">
        <v>61</v>
      </c>
      <c r="Q2863" s="80">
        <v>0</v>
      </c>
      <c r="R2863" s="80">
        <f t="shared" si="201"/>
        <v>1</v>
      </c>
      <c r="AD2863"/>
    </row>
    <row r="2864" spans="10:30" ht="16.2" customHeight="1">
      <c r="J2864" s="80" t="s">
        <v>747</v>
      </c>
      <c r="K2864" s="80" t="s">
        <v>432</v>
      </c>
      <c r="L2864" t="s">
        <v>170</v>
      </c>
      <c r="M2864" s="66" t="s">
        <v>9304</v>
      </c>
      <c r="N2864" t="str">
        <f t="shared" si="200"/>
        <v>Double RearVanda Boldtrak 35 with GlidesNormal 2074Boldtrak Standard Double Bracket Suit 35mm on Back</v>
      </c>
      <c r="O2864">
        <v>60</v>
      </c>
      <c r="P2864">
        <v>81</v>
      </c>
      <c r="Q2864" s="80">
        <v>0</v>
      </c>
      <c r="R2864" s="80">
        <f t="shared" si="201"/>
        <v>21</v>
      </c>
      <c r="AD2864"/>
    </row>
    <row r="2865" spans="10:30" ht="16.2" customHeight="1">
      <c r="J2865" s="80" t="s">
        <v>746</v>
      </c>
      <c r="K2865" s="80" t="s">
        <v>432</v>
      </c>
      <c r="L2865" t="s">
        <v>183</v>
      </c>
      <c r="M2865" s="66" t="s">
        <v>9301</v>
      </c>
      <c r="N2865" t="str">
        <f t="shared" si="200"/>
        <v>Double FrontVanda Boldtrak 35 with GlidesBelow Normal 2075Boldtrak Standard Double Bracket Suit 35mm on Front</v>
      </c>
      <c r="O2865">
        <v>70</v>
      </c>
      <c r="P2865">
        <v>61</v>
      </c>
      <c r="Q2865" s="80">
        <v>0</v>
      </c>
      <c r="R2865" s="80">
        <f t="shared" si="201"/>
        <v>-9</v>
      </c>
      <c r="AD2865"/>
    </row>
    <row r="2866" spans="10:30" ht="16.2" customHeight="1">
      <c r="J2866" s="80" t="s">
        <v>746</v>
      </c>
      <c r="K2866" s="80" t="s">
        <v>432</v>
      </c>
      <c r="L2866" t="s">
        <v>182</v>
      </c>
      <c r="M2866" s="66" t="s">
        <v>9301</v>
      </c>
      <c r="N2866" t="str">
        <f t="shared" si="200"/>
        <v>Double FrontVanda Boldtrak 35 with GlidesBetween Level and Normal 2073Boldtrak Standard Double Bracket Suit 35mm on Front</v>
      </c>
      <c r="O2866">
        <v>47</v>
      </c>
      <c r="P2866">
        <v>61</v>
      </c>
      <c r="Q2866" s="80">
        <v>0</v>
      </c>
      <c r="R2866" s="80">
        <f t="shared" si="201"/>
        <v>14</v>
      </c>
      <c r="AD2866"/>
    </row>
    <row r="2867" spans="10:30" ht="16.2" customHeight="1">
      <c r="J2867" s="80" t="s">
        <v>746</v>
      </c>
      <c r="K2867" s="80" t="s">
        <v>432</v>
      </c>
      <c r="L2867" t="s">
        <v>184</v>
      </c>
      <c r="M2867" s="66" t="s">
        <v>9301</v>
      </c>
      <c r="N2867" t="str">
        <f t="shared" si="200"/>
        <v>Double FrontVanda Boldtrak 35 with GlidesDecorator 2071Boldtrak Standard Double Bracket Suit 35mm on Front</v>
      </c>
      <c r="O2867">
        <v>20</v>
      </c>
      <c r="P2867">
        <v>61</v>
      </c>
      <c r="Q2867" s="80">
        <v>0</v>
      </c>
      <c r="R2867" s="80">
        <f t="shared" si="201"/>
        <v>41</v>
      </c>
      <c r="AD2867"/>
    </row>
    <row r="2868" spans="10:30" ht="16.2" customHeight="1">
      <c r="J2868" s="80" t="s">
        <v>746</v>
      </c>
      <c r="K2868" s="80" t="s">
        <v>432</v>
      </c>
      <c r="L2868" t="s">
        <v>6468</v>
      </c>
      <c r="M2868" s="66" t="s">
        <v>9301</v>
      </c>
      <c r="N2868" t="str">
        <f t="shared" si="200"/>
        <v>Double FrontVanda Boldtrak 35 with GlidesGather Hook Bottom PocketBoldtrak Standard Double Bracket Suit 35mm on Front</v>
      </c>
      <c r="O2868">
        <v>60</v>
      </c>
      <c r="P2868">
        <v>61</v>
      </c>
      <c r="Q2868" s="80">
        <v>0</v>
      </c>
      <c r="R2868" s="80">
        <f t="shared" si="201"/>
        <v>1</v>
      </c>
      <c r="AD2868"/>
    </row>
    <row r="2869" spans="10:30" ht="16.2" customHeight="1">
      <c r="J2869" s="80" t="s">
        <v>746</v>
      </c>
      <c r="K2869" s="80" t="s">
        <v>432</v>
      </c>
      <c r="L2869" t="s">
        <v>229</v>
      </c>
      <c r="M2869" s="66" t="s">
        <v>9301</v>
      </c>
      <c r="N2869" t="str">
        <f t="shared" si="200"/>
        <v>Double FrontVanda Boldtrak 35 with GlidesGather Hook LevelBoldtrak Standard Double Bracket Suit 35mm on Front</v>
      </c>
      <c r="O2869">
        <v>20</v>
      </c>
      <c r="P2869">
        <v>61</v>
      </c>
      <c r="Q2869" s="80">
        <v>0</v>
      </c>
      <c r="R2869" s="80">
        <f t="shared" si="201"/>
        <v>41</v>
      </c>
      <c r="AD2869"/>
    </row>
    <row r="2870" spans="10:30" ht="16.2" customHeight="1">
      <c r="J2870" s="80" t="s">
        <v>746</v>
      </c>
      <c r="K2870" s="80" t="s">
        <v>432</v>
      </c>
      <c r="L2870" t="s">
        <v>228</v>
      </c>
      <c r="M2870" s="66" t="s">
        <v>9301</v>
      </c>
      <c r="N2870" t="str">
        <f t="shared" si="200"/>
        <v>Double FrontVanda Boldtrak 35 with GlidesGather Hook NormalBoldtrak Standard Double Bracket Suit 35mm on Front</v>
      </c>
      <c r="O2870">
        <v>43</v>
      </c>
      <c r="P2870">
        <v>61</v>
      </c>
      <c r="Q2870" s="80">
        <v>0</v>
      </c>
      <c r="R2870" s="80">
        <f t="shared" si="201"/>
        <v>18</v>
      </c>
      <c r="AD2870"/>
    </row>
    <row r="2871" spans="10:30" ht="16.2" customHeight="1">
      <c r="J2871" s="80" t="s">
        <v>746</v>
      </c>
      <c r="K2871" s="80" t="s">
        <v>432</v>
      </c>
      <c r="L2871" t="s">
        <v>282</v>
      </c>
      <c r="M2871" s="66" t="s">
        <v>9301</v>
      </c>
      <c r="N2871" t="str">
        <f t="shared" si="200"/>
        <v>Double FrontVanda Boldtrak 35 with GlidesLevel 2072Boldtrak Standard Double Bracket Suit 35mm on Front</v>
      </c>
      <c r="O2871">
        <v>35</v>
      </c>
      <c r="P2871">
        <v>61</v>
      </c>
      <c r="Q2871" s="80">
        <v>0</v>
      </c>
      <c r="R2871" s="80">
        <f t="shared" si="201"/>
        <v>26</v>
      </c>
      <c r="AD2871"/>
    </row>
    <row r="2872" spans="10:30" ht="16.2" customHeight="1">
      <c r="J2872" s="80" t="s">
        <v>746</v>
      </c>
      <c r="K2872" s="80" t="s">
        <v>432</v>
      </c>
      <c r="L2872" t="s">
        <v>170</v>
      </c>
      <c r="M2872" s="66" t="s">
        <v>9301</v>
      </c>
      <c r="N2872" t="str">
        <f t="shared" si="200"/>
        <v>Double FrontVanda Boldtrak 35 with GlidesNormal 2074Boldtrak Standard Double Bracket Suit 35mm on Front</v>
      </c>
      <c r="O2872">
        <v>60</v>
      </c>
      <c r="P2872">
        <v>61</v>
      </c>
      <c r="Q2872" s="80">
        <v>0</v>
      </c>
      <c r="R2872" s="80">
        <f t="shared" si="201"/>
        <v>1</v>
      </c>
      <c r="AD2872"/>
    </row>
    <row r="2873" spans="10:30" ht="16.2" customHeight="1">
      <c r="J2873" s="80" t="s">
        <v>746</v>
      </c>
      <c r="K2873" s="80" t="s">
        <v>432</v>
      </c>
      <c r="L2873" t="s">
        <v>183</v>
      </c>
      <c r="M2873" t="s">
        <v>438</v>
      </c>
      <c r="N2873" t="str">
        <f t="shared" si="200"/>
        <v>Double FrontVanda Boldtrak 35 with GlidesBelow Normal 2075Boldtrak Top Fix Bracket</v>
      </c>
      <c r="O2873">
        <v>70</v>
      </c>
      <c r="P2873">
        <v>57</v>
      </c>
      <c r="Q2873" s="80">
        <v>0</v>
      </c>
      <c r="R2873" s="80">
        <f t="shared" si="201"/>
        <v>-13</v>
      </c>
      <c r="AD2873"/>
    </row>
    <row r="2874" spans="10:30" ht="16.2" customHeight="1">
      <c r="J2874" s="80" t="s">
        <v>747</v>
      </c>
      <c r="K2874" s="80" t="s">
        <v>432</v>
      </c>
      <c r="L2874" t="s">
        <v>183</v>
      </c>
      <c r="M2874" t="s">
        <v>438</v>
      </c>
      <c r="N2874" t="str">
        <f t="shared" si="200"/>
        <v>Double RearVanda Boldtrak 35 with GlidesBelow Normal 2075Boldtrak Top Fix Bracket</v>
      </c>
      <c r="O2874">
        <v>70</v>
      </c>
      <c r="P2874">
        <v>57</v>
      </c>
      <c r="Q2874" s="80">
        <v>0</v>
      </c>
      <c r="R2874" s="80">
        <f t="shared" si="201"/>
        <v>-13</v>
      </c>
      <c r="AD2874"/>
    </row>
    <row r="2875" spans="10:30" ht="16.2" customHeight="1">
      <c r="J2875" s="80" t="s">
        <v>725</v>
      </c>
      <c r="K2875" s="80" t="s">
        <v>432</v>
      </c>
      <c r="L2875" t="s">
        <v>183</v>
      </c>
      <c r="M2875" t="s">
        <v>438</v>
      </c>
      <c r="N2875" t="str">
        <f t="shared" si="200"/>
        <v>SingleVanda Boldtrak 35 with GlidesBelow Normal 2075Boldtrak Top Fix Bracket</v>
      </c>
      <c r="O2875">
        <v>70</v>
      </c>
      <c r="P2875">
        <v>57</v>
      </c>
      <c r="Q2875" s="80">
        <v>0</v>
      </c>
      <c r="R2875" s="80">
        <f t="shared" si="201"/>
        <v>-13</v>
      </c>
      <c r="AD2875"/>
    </row>
    <row r="2876" spans="10:30" ht="16.2" customHeight="1">
      <c r="J2876" s="80" t="s">
        <v>746</v>
      </c>
      <c r="K2876" s="80" t="s">
        <v>432</v>
      </c>
      <c r="L2876" t="s">
        <v>182</v>
      </c>
      <c r="M2876" t="s">
        <v>438</v>
      </c>
      <c r="N2876" t="str">
        <f t="shared" si="200"/>
        <v>Double FrontVanda Boldtrak 35 with GlidesBetween Level and Normal 2073Boldtrak Top Fix Bracket</v>
      </c>
      <c r="O2876">
        <v>48</v>
      </c>
      <c r="P2876">
        <v>57</v>
      </c>
      <c r="Q2876" s="80">
        <v>0</v>
      </c>
      <c r="R2876" s="80">
        <f t="shared" si="201"/>
        <v>9</v>
      </c>
      <c r="AD2876"/>
    </row>
    <row r="2877" spans="10:30" ht="16.2" customHeight="1">
      <c r="J2877" s="80" t="s">
        <v>747</v>
      </c>
      <c r="K2877" s="80" t="s">
        <v>432</v>
      </c>
      <c r="L2877" t="s">
        <v>182</v>
      </c>
      <c r="M2877" t="s">
        <v>438</v>
      </c>
      <c r="N2877" t="str">
        <f t="shared" si="200"/>
        <v>Double RearVanda Boldtrak 35 with GlidesBetween Level and Normal 2073Boldtrak Top Fix Bracket</v>
      </c>
      <c r="O2877">
        <v>48</v>
      </c>
      <c r="P2877">
        <v>57</v>
      </c>
      <c r="Q2877" s="80">
        <v>0</v>
      </c>
      <c r="R2877" s="80">
        <f t="shared" si="201"/>
        <v>9</v>
      </c>
      <c r="AD2877"/>
    </row>
    <row r="2878" spans="10:30" ht="16.2" customHeight="1">
      <c r="J2878" s="80" t="s">
        <v>725</v>
      </c>
      <c r="K2878" s="80" t="s">
        <v>432</v>
      </c>
      <c r="L2878" t="s">
        <v>182</v>
      </c>
      <c r="M2878" t="s">
        <v>438</v>
      </c>
      <c r="N2878" t="str">
        <f t="shared" si="200"/>
        <v>SingleVanda Boldtrak 35 with GlidesBetween Level and Normal 2073Boldtrak Top Fix Bracket</v>
      </c>
      <c r="O2878">
        <v>47</v>
      </c>
      <c r="P2878">
        <v>57</v>
      </c>
      <c r="Q2878" s="80">
        <v>0</v>
      </c>
      <c r="R2878" s="80">
        <f t="shared" si="201"/>
        <v>10</v>
      </c>
      <c r="AD2878"/>
    </row>
    <row r="2879" spans="10:30" ht="16.2" customHeight="1">
      <c r="J2879" s="80" t="s">
        <v>746</v>
      </c>
      <c r="K2879" s="80" t="s">
        <v>432</v>
      </c>
      <c r="L2879" t="s">
        <v>184</v>
      </c>
      <c r="M2879" t="s">
        <v>438</v>
      </c>
      <c r="N2879" t="str">
        <f t="shared" si="200"/>
        <v>Double FrontVanda Boldtrak 35 with GlidesDecorator 2071Boldtrak Top Fix Bracket</v>
      </c>
      <c r="O2879">
        <v>20</v>
      </c>
      <c r="P2879">
        <v>57</v>
      </c>
      <c r="Q2879" s="80">
        <v>0</v>
      </c>
      <c r="R2879" s="80">
        <f t="shared" si="201"/>
        <v>37</v>
      </c>
      <c r="AD2879"/>
    </row>
    <row r="2880" spans="10:30" ht="16.2" customHeight="1">
      <c r="J2880" s="80" t="s">
        <v>747</v>
      </c>
      <c r="K2880" s="80" t="s">
        <v>432</v>
      </c>
      <c r="L2880" t="s">
        <v>184</v>
      </c>
      <c r="M2880" t="s">
        <v>438</v>
      </c>
      <c r="N2880" t="str">
        <f t="shared" si="200"/>
        <v>Double RearVanda Boldtrak 35 with GlidesDecorator 2071Boldtrak Top Fix Bracket</v>
      </c>
      <c r="O2880">
        <v>20</v>
      </c>
      <c r="P2880">
        <v>57</v>
      </c>
      <c r="Q2880" s="80">
        <v>0</v>
      </c>
      <c r="R2880" s="80">
        <f t="shared" si="201"/>
        <v>37</v>
      </c>
      <c r="AD2880"/>
    </row>
    <row r="2881" spans="10:30" ht="16.2" customHeight="1">
      <c r="J2881" s="80" t="s">
        <v>725</v>
      </c>
      <c r="K2881" s="80" t="s">
        <v>432</v>
      </c>
      <c r="L2881" t="s">
        <v>184</v>
      </c>
      <c r="M2881" t="s">
        <v>438</v>
      </c>
      <c r="N2881" t="str">
        <f t="shared" si="200"/>
        <v>SingleVanda Boldtrak 35 with GlidesDecorator 2071Boldtrak Top Fix Bracket</v>
      </c>
      <c r="O2881">
        <v>20</v>
      </c>
      <c r="P2881">
        <v>57</v>
      </c>
      <c r="Q2881" s="80">
        <v>0</v>
      </c>
      <c r="R2881" s="80">
        <f t="shared" si="201"/>
        <v>37</v>
      </c>
      <c r="AD2881"/>
    </row>
    <row r="2882" spans="10:30" ht="16.2" customHeight="1">
      <c r="J2882" s="80" t="s">
        <v>746</v>
      </c>
      <c r="K2882" s="80" t="s">
        <v>432</v>
      </c>
      <c r="L2882" t="s">
        <v>6468</v>
      </c>
      <c r="M2882" t="s">
        <v>438</v>
      </c>
      <c r="N2882" t="str">
        <f t="shared" si="202" ref="N2882:N2945">(CONCATENATE(J2882,K2882,L2882,M2882))</f>
        <v>Double FrontVanda Boldtrak 35 with GlidesGather Hook Bottom PocketBoldtrak Top Fix Bracket</v>
      </c>
      <c r="O2882">
        <v>60</v>
      </c>
      <c r="P2882">
        <v>57</v>
      </c>
      <c r="Q2882" s="80">
        <v>0</v>
      </c>
      <c r="R2882" s="80">
        <f t="shared" si="201"/>
        <v>-3</v>
      </c>
      <c r="AD2882"/>
    </row>
    <row r="2883" spans="10:30" ht="16.2" customHeight="1">
      <c r="J2883" s="80" t="s">
        <v>725</v>
      </c>
      <c r="K2883" s="80" t="s">
        <v>432</v>
      </c>
      <c r="L2883" t="s">
        <v>6468</v>
      </c>
      <c r="M2883" t="s">
        <v>438</v>
      </c>
      <c r="N2883" t="str">
        <f t="shared" si="202"/>
        <v>SingleVanda Boldtrak 35 with GlidesGather Hook Bottom PocketBoldtrak Top Fix Bracket</v>
      </c>
      <c r="O2883">
        <v>60</v>
      </c>
      <c r="P2883">
        <v>57</v>
      </c>
      <c r="Q2883" s="80">
        <v>0</v>
      </c>
      <c r="R2883" s="80">
        <f t="shared" si="201"/>
        <v>-3</v>
      </c>
      <c r="AD2883"/>
    </row>
    <row r="2884" spans="10:30" ht="16.2" customHeight="1">
      <c r="J2884" s="80" t="s">
        <v>746</v>
      </c>
      <c r="K2884" s="80" t="s">
        <v>432</v>
      </c>
      <c r="L2884" t="s">
        <v>229</v>
      </c>
      <c r="M2884" t="s">
        <v>438</v>
      </c>
      <c r="N2884" t="str">
        <f t="shared" si="202"/>
        <v>Double FrontVanda Boldtrak 35 with GlidesGather Hook LevelBoldtrak Top Fix Bracket</v>
      </c>
      <c r="O2884">
        <v>20</v>
      </c>
      <c r="P2884">
        <v>57</v>
      </c>
      <c r="Q2884" s="80">
        <v>0</v>
      </c>
      <c r="R2884" s="80">
        <f t="shared" si="201"/>
        <v>37</v>
      </c>
      <c r="AD2884"/>
    </row>
    <row r="2885" spans="10:30" ht="16.2" customHeight="1">
      <c r="J2885" s="80" t="s">
        <v>747</v>
      </c>
      <c r="K2885" s="80" t="s">
        <v>432</v>
      </c>
      <c r="L2885" t="s">
        <v>229</v>
      </c>
      <c r="M2885" t="s">
        <v>438</v>
      </c>
      <c r="N2885" t="str">
        <f t="shared" si="202"/>
        <v>Double RearVanda Boldtrak 35 with GlidesGather Hook LevelBoldtrak Top Fix Bracket</v>
      </c>
      <c r="O2885">
        <v>20</v>
      </c>
      <c r="P2885">
        <v>57</v>
      </c>
      <c r="Q2885" s="80">
        <v>0</v>
      </c>
      <c r="R2885" s="80">
        <f t="shared" si="201"/>
        <v>37</v>
      </c>
      <c r="AD2885"/>
    </row>
    <row r="2886" spans="10:30" ht="16.2" customHeight="1">
      <c r="J2886" s="80" t="s">
        <v>725</v>
      </c>
      <c r="K2886" s="80" t="s">
        <v>432</v>
      </c>
      <c r="L2886" t="s">
        <v>229</v>
      </c>
      <c r="M2886" t="s">
        <v>438</v>
      </c>
      <c r="N2886" t="str">
        <f t="shared" si="202"/>
        <v>SingleVanda Boldtrak 35 with GlidesGather Hook LevelBoldtrak Top Fix Bracket</v>
      </c>
      <c r="O2886">
        <v>20</v>
      </c>
      <c r="P2886">
        <v>57</v>
      </c>
      <c r="Q2886" s="80">
        <v>0</v>
      </c>
      <c r="R2886" s="80">
        <f t="shared" si="201"/>
        <v>37</v>
      </c>
      <c r="AD2886"/>
    </row>
    <row r="2887" spans="10:30" ht="16.2" customHeight="1">
      <c r="J2887" s="80" t="s">
        <v>746</v>
      </c>
      <c r="K2887" s="80" t="s">
        <v>432</v>
      </c>
      <c r="L2887" t="s">
        <v>228</v>
      </c>
      <c r="M2887" t="s">
        <v>438</v>
      </c>
      <c r="N2887" t="str">
        <f t="shared" si="202"/>
        <v>Double FrontVanda Boldtrak 35 with GlidesGather Hook NormalBoldtrak Top Fix Bracket</v>
      </c>
      <c r="O2887">
        <v>43</v>
      </c>
      <c r="P2887">
        <v>57</v>
      </c>
      <c r="Q2887" s="80">
        <v>0</v>
      </c>
      <c r="R2887" s="80">
        <f t="shared" si="201"/>
        <v>14</v>
      </c>
      <c r="AD2887"/>
    </row>
    <row r="2888" spans="10:30" ht="16.2" customHeight="1">
      <c r="J2888" s="80" t="s">
        <v>747</v>
      </c>
      <c r="K2888" s="80" t="s">
        <v>432</v>
      </c>
      <c r="L2888" t="s">
        <v>228</v>
      </c>
      <c r="M2888" t="s">
        <v>438</v>
      </c>
      <c r="N2888" t="str">
        <f t="shared" si="202"/>
        <v>Double RearVanda Boldtrak 35 with GlidesGather Hook NormalBoldtrak Top Fix Bracket</v>
      </c>
      <c r="O2888">
        <v>43</v>
      </c>
      <c r="P2888">
        <v>57</v>
      </c>
      <c r="Q2888" s="80">
        <v>0</v>
      </c>
      <c r="R2888" s="80">
        <f t="shared" si="201"/>
        <v>14</v>
      </c>
      <c r="AD2888"/>
    </row>
    <row r="2889" spans="10:30" ht="16.2" customHeight="1">
      <c r="J2889" s="80" t="s">
        <v>725</v>
      </c>
      <c r="K2889" s="80" t="s">
        <v>432</v>
      </c>
      <c r="L2889" t="s">
        <v>228</v>
      </c>
      <c r="M2889" t="s">
        <v>438</v>
      </c>
      <c r="N2889" t="str">
        <f t="shared" si="202"/>
        <v>SingleVanda Boldtrak 35 with GlidesGather Hook NormalBoldtrak Top Fix Bracket</v>
      </c>
      <c r="O2889">
        <v>43</v>
      </c>
      <c r="P2889">
        <v>57</v>
      </c>
      <c r="Q2889" s="80">
        <v>0</v>
      </c>
      <c r="R2889" s="80">
        <f t="shared" si="201"/>
        <v>14</v>
      </c>
      <c r="AD2889"/>
    </row>
    <row r="2890" spans="10:30" ht="16.2" customHeight="1">
      <c r="J2890" s="80" t="s">
        <v>746</v>
      </c>
      <c r="K2890" s="80" t="s">
        <v>432</v>
      </c>
      <c r="L2890" t="s">
        <v>282</v>
      </c>
      <c r="M2890" t="s">
        <v>438</v>
      </c>
      <c r="N2890" t="str">
        <f t="shared" si="202"/>
        <v>Double FrontVanda Boldtrak 35 with GlidesLevel 2072Boldtrak Top Fix Bracket</v>
      </c>
      <c r="O2890">
        <v>38</v>
      </c>
      <c r="P2890">
        <v>57</v>
      </c>
      <c r="Q2890" s="80">
        <v>0</v>
      </c>
      <c r="R2890" s="80">
        <f t="shared" si="201"/>
        <v>19</v>
      </c>
      <c r="AD2890"/>
    </row>
    <row r="2891" spans="10:30" ht="16.2" customHeight="1">
      <c r="J2891" s="80" t="s">
        <v>747</v>
      </c>
      <c r="K2891" s="80" t="s">
        <v>432</v>
      </c>
      <c r="L2891" t="s">
        <v>282</v>
      </c>
      <c r="M2891" t="s">
        <v>438</v>
      </c>
      <c r="N2891" t="str">
        <f t="shared" si="202"/>
        <v>Double RearVanda Boldtrak 35 with GlidesLevel 2072Boldtrak Top Fix Bracket</v>
      </c>
      <c r="O2891">
        <v>38</v>
      </c>
      <c r="P2891">
        <v>57</v>
      </c>
      <c r="Q2891" s="80">
        <v>0</v>
      </c>
      <c r="R2891" s="80">
        <f t="shared" si="201"/>
        <v>19</v>
      </c>
      <c r="AD2891"/>
    </row>
    <row r="2892" spans="10:30" ht="16.2" customHeight="1">
      <c r="J2892" s="80" t="s">
        <v>725</v>
      </c>
      <c r="K2892" s="80" t="s">
        <v>432</v>
      </c>
      <c r="L2892" t="s">
        <v>282</v>
      </c>
      <c r="M2892" t="s">
        <v>438</v>
      </c>
      <c r="N2892" t="str">
        <f t="shared" si="202"/>
        <v>SingleVanda Boldtrak 35 with GlidesLevel 2072Boldtrak Top Fix Bracket</v>
      </c>
      <c r="O2892">
        <v>35</v>
      </c>
      <c r="P2892">
        <v>57</v>
      </c>
      <c r="Q2892" s="80">
        <v>0</v>
      </c>
      <c r="R2892" s="80">
        <f t="shared" si="201"/>
        <v>22</v>
      </c>
      <c r="AD2892"/>
    </row>
    <row r="2893" spans="10:30" ht="16.2" customHeight="1">
      <c r="J2893" s="80" t="s">
        <v>746</v>
      </c>
      <c r="K2893" s="80" t="s">
        <v>432</v>
      </c>
      <c r="L2893" t="s">
        <v>170</v>
      </c>
      <c r="M2893" t="s">
        <v>438</v>
      </c>
      <c r="N2893" t="str">
        <f t="shared" si="202"/>
        <v>Double FrontVanda Boldtrak 35 with GlidesNormal 2074Boldtrak Top Fix Bracket</v>
      </c>
      <c r="O2893">
        <v>60</v>
      </c>
      <c r="P2893">
        <v>57</v>
      </c>
      <c r="Q2893" s="80">
        <v>0</v>
      </c>
      <c r="R2893" s="80">
        <f t="shared" si="201"/>
        <v>-3</v>
      </c>
      <c r="AD2893"/>
    </row>
    <row r="2894" spans="10:30" ht="16.2" customHeight="1">
      <c r="J2894" s="80" t="s">
        <v>747</v>
      </c>
      <c r="K2894" s="80" t="s">
        <v>432</v>
      </c>
      <c r="L2894" t="s">
        <v>170</v>
      </c>
      <c r="M2894" t="s">
        <v>438</v>
      </c>
      <c r="N2894" t="str">
        <f t="shared" si="202"/>
        <v>Double RearVanda Boldtrak 35 with GlidesNormal 2074Boldtrak Top Fix Bracket</v>
      </c>
      <c r="O2894">
        <v>60</v>
      </c>
      <c r="P2894">
        <v>57</v>
      </c>
      <c r="Q2894" s="80">
        <v>0</v>
      </c>
      <c r="R2894" s="80">
        <f t="shared" si="201"/>
        <v>-3</v>
      </c>
      <c r="AD2894"/>
    </row>
    <row r="2895" spans="10:30" ht="16.2" customHeight="1">
      <c r="J2895" s="80" t="s">
        <v>725</v>
      </c>
      <c r="K2895" s="80" t="s">
        <v>432</v>
      </c>
      <c r="L2895" t="s">
        <v>170</v>
      </c>
      <c r="M2895" t="s">
        <v>438</v>
      </c>
      <c r="N2895" t="str">
        <f t="shared" si="202"/>
        <v>SingleVanda Boldtrak 35 with GlidesNormal 2074Boldtrak Top Fix Bracket</v>
      </c>
      <c r="O2895">
        <v>60</v>
      </c>
      <c r="P2895">
        <v>57</v>
      </c>
      <c r="Q2895" s="80">
        <v>0</v>
      </c>
      <c r="R2895" s="80">
        <f t="shared" si="201"/>
        <v>-3</v>
      </c>
      <c r="AD2895"/>
    </row>
    <row r="2896" spans="10:30" ht="16.2" customHeight="1">
      <c r="J2896" s="80" t="s">
        <v>747</v>
      </c>
      <c r="K2896" s="80" t="s">
        <v>558</v>
      </c>
      <c r="L2896" s="80" t="s">
        <v>421</v>
      </c>
      <c r="M2896" s="80" t="s">
        <v>403</v>
      </c>
      <c r="N2896" t="str">
        <f t="shared" si="202"/>
        <v>Double RearVanda Flushfit Recessed Track WavefoldWavefold HooksN/A</v>
      </c>
      <c r="O2896">
        <v>0</v>
      </c>
      <c r="P2896">
        <v>5</v>
      </c>
      <c r="Q2896" s="80">
        <v>0</v>
      </c>
      <c r="R2896" s="80">
        <f t="shared" si="201"/>
        <v>5</v>
      </c>
      <c r="AD2896"/>
    </row>
    <row r="2897" spans="10:30" ht="16.2" customHeight="1">
      <c r="J2897" s="80" t="s">
        <v>725</v>
      </c>
      <c r="K2897" s="80" t="s">
        <v>558</v>
      </c>
      <c r="L2897" s="80" t="s">
        <v>421</v>
      </c>
      <c r="M2897" s="80" t="s">
        <v>403</v>
      </c>
      <c r="N2897" t="str">
        <f t="shared" si="202"/>
        <v>SingleVanda Flushfit Recessed Track WavefoldWavefold HooksN/A</v>
      </c>
      <c r="O2897">
        <v>0</v>
      </c>
      <c r="P2897">
        <v>5</v>
      </c>
      <c r="Q2897" s="80">
        <v>0</v>
      </c>
      <c r="R2897" s="80">
        <f t="shared" si="201"/>
        <v>5</v>
      </c>
      <c r="AD2897"/>
    </row>
    <row r="2898" spans="10:30" ht="16.2" customHeight="1">
      <c r="J2898" s="80" t="s">
        <v>746</v>
      </c>
      <c r="K2898" s="80" t="s">
        <v>8713</v>
      </c>
      <c r="L2898" t="s">
        <v>183</v>
      </c>
      <c r="M2898" s="80" t="s">
        <v>403</v>
      </c>
      <c r="N2898" t="str">
        <f t="shared" si="202"/>
        <v>Double FrontVanda Flushfit Recessed Track with RunnersBelow Normal 2075N/A</v>
      </c>
      <c r="O2898">
        <v>70</v>
      </c>
      <c r="P2898">
        <v>5</v>
      </c>
      <c r="Q2898" s="80">
        <v>0</v>
      </c>
      <c r="R2898" s="80">
        <f t="shared" si="201"/>
        <v>-65</v>
      </c>
      <c r="AD2898"/>
    </row>
    <row r="2899" spans="10:30" ht="16.2" customHeight="1">
      <c r="J2899" s="80" t="s">
        <v>747</v>
      </c>
      <c r="K2899" s="80" t="s">
        <v>8713</v>
      </c>
      <c r="L2899" t="s">
        <v>183</v>
      </c>
      <c r="M2899" s="80" t="s">
        <v>403</v>
      </c>
      <c r="N2899" t="str">
        <f t="shared" si="202"/>
        <v>Double RearVanda Flushfit Recessed Track with RunnersBelow Normal 2075N/A</v>
      </c>
      <c r="O2899">
        <v>70</v>
      </c>
      <c r="P2899">
        <v>5</v>
      </c>
      <c r="Q2899" s="80">
        <v>0</v>
      </c>
      <c r="R2899" s="80">
        <f t="shared" si="201"/>
        <v>-65</v>
      </c>
      <c r="AD2899"/>
    </row>
    <row r="2900" spans="10:30" ht="16.2" customHeight="1">
      <c r="J2900" s="80" t="s">
        <v>725</v>
      </c>
      <c r="K2900" s="80" t="s">
        <v>8713</v>
      </c>
      <c r="L2900" t="s">
        <v>183</v>
      </c>
      <c r="M2900" s="80" t="s">
        <v>403</v>
      </c>
      <c r="N2900" t="str">
        <f t="shared" si="202"/>
        <v>SingleVanda Flushfit Recessed Track with RunnersBelow Normal 2075N/A</v>
      </c>
      <c r="O2900">
        <v>70</v>
      </c>
      <c r="P2900">
        <v>5</v>
      </c>
      <c r="Q2900" s="80">
        <v>0</v>
      </c>
      <c r="R2900" s="80">
        <f t="shared" si="201"/>
        <v>-65</v>
      </c>
      <c r="AD2900"/>
    </row>
    <row r="2901" spans="10:30" ht="16.2" customHeight="1">
      <c r="J2901" s="80" t="s">
        <v>746</v>
      </c>
      <c r="K2901" s="80" t="s">
        <v>8713</v>
      </c>
      <c r="L2901" t="s">
        <v>182</v>
      </c>
      <c r="M2901" s="80" t="s">
        <v>403</v>
      </c>
      <c r="N2901" t="str">
        <f t="shared" si="202"/>
        <v>Double FrontVanda Flushfit Recessed Track with RunnersBetween Level and Normal 2073N/A</v>
      </c>
      <c r="O2901">
        <v>48</v>
      </c>
      <c r="P2901">
        <v>5</v>
      </c>
      <c r="Q2901" s="80">
        <v>0</v>
      </c>
      <c r="R2901" s="80">
        <f t="shared" si="201"/>
        <v>-43</v>
      </c>
      <c r="AD2901"/>
    </row>
    <row r="2902" spans="10:30" ht="16.2" customHeight="1">
      <c r="J2902" s="80" t="s">
        <v>747</v>
      </c>
      <c r="K2902" s="80" t="s">
        <v>8713</v>
      </c>
      <c r="L2902" t="s">
        <v>182</v>
      </c>
      <c r="M2902" s="80" t="s">
        <v>403</v>
      </c>
      <c r="N2902" t="str">
        <f t="shared" si="202"/>
        <v>Double RearVanda Flushfit Recessed Track with RunnersBetween Level and Normal 2073N/A</v>
      </c>
      <c r="O2902">
        <v>48</v>
      </c>
      <c r="P2902">
        <v>5</v>
      </c>
      <c r="Q2902" s="80">
        <v>0</v>
      </c>
      <c r="R2902" s="80">
        <f t="shared" si="201"/>
        <v>-43</v>
      </c>
      <c r="AD2902"/>
    </row>
    <row r="2903" spans="10:30" ht="16.2" customHeight="1">
      <c r="J2903" s="80" t="s">
        <v>725</v>
      </c>
      <c r="K2903" s="80" t="s">
        <v>8713</v>
      </c>
      <c r="L2903" t="s">
        <v>182</v>
      </c>
      <c r="M2903" s="80" t="s">
        <v>403</v>
      </c>
      <c r="N2903" t="str">
        <f t="shared" si="202"/>
        <v>SingleVanda Flushfit Recessed Track with RunnersBetween Level and Normal 2073N/A</v>
      </c>
      <c r="O2903">
        <v>48</v>
      </c>
      <c r="P2903">
        <v>5</v>
      </c>
      <c r="Q2903" s="80">
        <v>0</v>
      </c>
      <c r="R2903" s="80">
        <f t="shared" si="201"/>
        <v>-43</v>
      </c>
      <c r="AD2903"/>
    </row>
    <row r="2904" spans="10:30" ht="16.2" customHeight="1">
      <c r="J2904" s="80" t="s">
        <v>746</v>
      </c>
      <c r="K2904" s="80" t="s">
        <v>8713</v>
      </c>
      <c r="L2904" t="s">
        <v>184</v>
      </c>
      <c r="M2904" s="80" t="s">
        <v>403</v>
      </c>
      <c r="N2904" t="str">
        <f t="shared" si="202"/>
        <v>Double FrontVanda Flushfit Recessed Track with RunnersDecorator 2071N/A</v>
      </c>
      <c r="O2904">
        <v>20</v>
      </c>
      <c r="P2904">
        <v>5</v>
      </c>
      <c r="Q2904" s="80">
        <v>0</v>
      </c>
      <c r="R2904" s="80">
        <f t="shared" si="201"/>
        <v>-15</v>
      </c>
      <c r="AD2904"/>
    </row>
    <row r="2905" spans="10:30" ht="16.2" customHeight="1">
      <c r="J2905" s="80" t="s">
        <v>747</v>
      </c>
      <c r="K2905" s="80" t="s">
        <v>8713</v>
      </c>
      <c r="L2905" t="s">
        <v>184</v>
      </c>
      <c r="M2905" s="80" t="s">
        <v>403</v>
      </c>
      <c r="N2905" t="str">
        <f t="shared" si="202"/>
        <v>Double RearVanda Flushfit Recessed Track with RunnersDecorator 2071N/A</v>
      </c>
      <c r="O2905">
        <v>20</v>
      </c>
      <c r="P2905">
        <v>5</v>
      </c>
      <c r="Q2905" s="80">
        <v>0</v>
      </c>
      <c r="R2905" s="80">
        <f t="shared" si="201"/>
        <v>-15</v>
      </c>
      <c r="AD2905"/>
    </row>
    <row r="2906" spans="10:30" ht="16.2" customHeight="1">
      <c r="J2906" s="80" t="s">
        <v>725</v>
      </c>
      <c r="K2906" s="80" t="s">
        <v>8713</v>
      </c>
      <c r="L2906" t="s">
        <v>184</v>
      </c>
      <c r="M2906" s="80" t="s">
        <v>403</v>
      </c>
      <c r="N2906" t="str">
        <f t="shared" si="202"/>
        <v>SingleVanda Flushfit Recessed Track with RunnersDecorator 2071N/A</v>
      </c>
      <c r="O2906">
        <v>20</v>
      </c>
      <c r="P2906">
        <v>5</v>
      </c>
      <c r="Q2906" s="80">
        <v>0</v>
      </c>
      <c r="R2906" s="80">
        <f t="shared" si="201"/>
        <v>-15</v>
      </c>
      <c r="AD2906"/>
    </row>
    <row r="2907" spans="10:30" ht="16.2" customHeight="1">
      <c r="J2907" s="80" t="s">
        <v>746</v>
      </c>
      <c r="K2907" s="80" t="s">
        <v>8713</v>
      </c>
      <c r="L2907" t="s">
        <v>6468</v>
      </c>
      <c r="M2907" s="80" t="s">
        <v>403</v>
      </c>
      <c r="N2907" t="str">
        <f t="shared" si="202"/>
        <v>Double FrontVanda Flushfit Recessed Track with RunnersGather Hook Bottom PocketN/A</v>
      </c>
      <c r="O2907">
        <v>60</v>
      </c>
      <c r="P2907">
        <v>5</v>
      </c>
      <c r="Q2907" s="80">
        <v>0</v>
      </c>
      <c r="R2907" s="80">
        <f t="shared" si="201"/>
        <v>-55</v>
      </c>
      <c r="AD2907"/>
    </row>
    <row r="2908" spans="10:30" ht="16.2" customHeight="1">
      <c r="J2908" s="80" t="s">
        <v>747</v>
      </c>
      <c r="K2908" s="80" t="s">
        <v>8713</v>
      </c>
      <c r="L2908" t="s">
        <v>6468</v>
      </c>
      <c r="M2908" s="80" t="s">
        <v>403</v>
      </c>
      <c r="N2908" t="str">
        <f t="shared" si="202"/>
        <v>Double RearVanda Flushfit Recessed Track with RunnersGather Hook Bottom PocketN/A</v>
      </c>
      <c r="O2908">
        <v>60</v>
      </c>
      <c r="P2908">
        <v>5</v>
      </c>
      <c r="Q2908" s="80">
        <v>0</v>
      </c>
      <c r="R2908" s="80">
        <f t="shared" si="201"/>
        <v>-55</v>
      </c>
      <c r="AD2908"/>
    </row>
    <row r="2909" spans="10:30" ht="16.2" customHeight="1">
      <c r="J2909" s="80" t="s">
        <v>725</v>
      </c>
      <c r="K2909" s="80" t="s">
        <v>8713</v>
      </c>
      <c r="L2909" t="s">
        <v>6468</v>
      </c>
      <c r="M2909" s="80" t="s">
        <v>403</v>
      </c>
      <c r="N2909" t="str">
        <f t="shared" si="202"/>
        <v>SingleVanda Flushfit Recessed Track with RunnersGather Hook Bottom PocketN/A</v>
      </c>
      <c r="O2909">
        <v>60</v>
      </c>
      <c r="P2909">
        <v>5</v>
      </c>
      <c r="Q2909" s="80">
        <v>0</v>
      </c>
      <c r="R2909" s="80">
        <f t="shared" si="201"/>
        <v>-55</v>
      </c>
      <c r="AD2909"/>
    </row>
    <row r="2910" spans="10:30" ht="16.2" customHeight="1">
      <c r="J2910" s="80" t="s">
        <v>746</v>
      </c>
      <c r="K2910" s="80" t="s">
        <v>8713</v>
      </c>
      <c r="L2910" t="s">
        <v>229</v>
      </c>
      <c r="M2910" s="80" t="s">
        <v>403</v>
      </c>
      <c r="N2910" t="str">
        <f t="shared" si="202"/>
        <v>Double FrontVanda Flushfit Recessed Track with RunnersGather Hook LevelN/A</v>
      </c>
      <c r="O2910">
        <v>20</v>
      </c>
      <c r="P2910">
        <v>5</v>
      </c>
      <c r="Q2910" s="80">
        <v>0</v>
      </c>
      <c r="R2910" s="80">
        <f t="shared" si="201"/>
        <v>-15</v>
      </c>
      <c r="AD2910"/>
    </row>
    <row r="2911" spans="10:30" ht="16.2" customHeight="1">
      <c r="J2911" s="80" t="s">
        <v>747</v>
      </c>
      <c r="K2911" s="80" t="s">
        <v>8713</v>
      </c>
      <c r="L2911" t="s">
        <v>229</v>
      </c>
      <c r="M2911" s="80" t="s">
        <v>403</v>
      </c>
      <c r="N2911" t="str">
        <f t="shared" si="202"/>
        <v>Double RearVanda Flushfit Recessed Track with RunnersGather Hook LevelN/A</v>
      </c>
      <c r="O2911">
        <v>20</v>
      </c>
      <c r="P2911">
        <v>5</v>
      </c>
      <c r="Q2911" s="80">
        <v>0</v>
      </c>
      <c r="R2911" s="80">
        <f t="shared" si="203" ref="R2911:R2974">SUM(P2911)-O2911</f>
        <v>-15</v>
      </c>
      <c r="AD2911"/>
    </row>
    <row r="2912" spans="10:30" ht="16.2" customHeight="1">
      <c r="J2912" s="80" t="s">
        <v>725</v>
      </c>
      <c r="K2912" s="80" t="s">
        <v>8713</v>
      </c>
      <c r="L2912" t="s">
        <v>229</v>
      </c>
      <c r="M2912" s="80" t="s">
        <v>403</v>
      </c>
      <c r="N2912" t="str">
        <f t="shared" si="202"/>
        <v>SingleVanda Flushfit Recessed Track with RunnersGather Hook LevelN/A</v>
      </c>
      <c r="O2912">
        <v>20</v>
      </c>
      <c r="P2912">
        <v>5</v>
      </c>
      <c r="Q2912" s="80">
        <v>0</v>
      </c>
      <c r="R2912" s="80">
        <f t="shared" si="203"/>
        <v>-15</v>
      </c>
      <c r="AD2912"/>
    </row>
    <row r="2913" spans="10:30" ht="16.2" customHeight="1">
      <c r="J2913" s="80" t="s">
        <v>746</v>
      </c>
      <c r="K2913" s="80" t="s">
        <v>8713</v>
      </c>
      <c r="L2913" t="s">
        <v>228</v>
      </c>
      <c r="M2913" s="80" t="s">
        <v>403</v>
      </c>
      <c r="N2913" t="str">
        <f t="shared" si="202"/>
        <v>Double FrontVanda Flushfit Recessed Track with RunnersGather Hook NormalN/A</v>
      </c>
      <c r="O2913">
        <v>43</v>
      </c>
      <c r="P2913">
        <v>5</v>
      </c>
      <c r="Q2913" s="80">
        <v>0</v>
      </c>
      <c r="R2913" s="80">
        <f t="shared" si="203"/>
        <v>-38</v>
      </c>
      <c r="AD2913"/>
    </row>
    <row r="2914" spans="10:30" ht="16.2" customHeight="1">
      <c r="J2914" s="80" t="s">
        <v>747</v>
      </c>
      <c r="K2914" s="80" t="s">
        <v>8713</v>
      </c>
      <c r="L2914" t="s">
        <v>228</v>
      </c>
      <c r="M2914" s="80" t="s">
        <v>403</v>
      </c>
      <c r="N2914" t="str">
        <f t="shared" si="202"/>
        <v>Double RearVanda Flushfit Recessed Track with RunnersGather Hook NormalN/A</v>
      </c>
      <c r="O2914">
        <v>43</v>
      </c>
      <c r="P2914">
        <v>5</v>
      </c>
      <c r="Q2914" s="80">
        <v>0</v>
      </c>
      <c r="R2914" s="80">
        <f t="shared" si="203"/>
        <v>-38</v>
      </c>
      <c r="AD2914"/>
    </row>
    <row r="2915" spans="10:30" ht="16.2" customHeight="1">
      <c r="J2915" s="80" t="s">
        <v>725</v>
      </c>
      <c r="K2915" s="80" t="s">
        <v>8713</v>
      </c>
      <c r="L2915" t="s">
        <v>228</v>
      </c>
      <c r="M2915" s="80" t="s">
        <v>403</v>
      </c>
      <c r="N2915" t="str">
        <f t="shared" si="202"/>
        <v>SingleVanda Flushfit Recessed Track with RunnersGather Hook NormalN/A</v>
      </c>
      <c r="O2915">
        <v>43</v>
      </c>
      <c r="P2915">
        <v>5</v>
      </c>
      <c r="Q2915" s="80">
        <v>0</v>
      </c>
      <c r="R2915" s="80">
        <f t="shared" si="203"/>
        <v>-38</v>
      </c>
      <c r="AD2915"/>
    </row>
    <row r="2916" spans="10:30" ht="16.2" customHeight="1">
      <c r="J2916" s="80" t="s">
        <v>746</v>
      </c>
      <c r="K2916" s="80" t="s">
        <v>8713</v>
      </c>
      <c r="L2916" t="s">
        <v>282</v>
      </c>
      <c r="M2916" s="80" t="s">
        <v>403</v>
      </c>
      <c r="N2916" t="str">
        <f t="shared" si="202"/>
        <v>Double FrontVanda Flushfit Recessed Track with RunnersLevel 2072N/A</v>
      </c>
      <c r="O2916">
        <v>38</v>
      </c>
      <c r="P2916">
        <v>5</v>
      </c>
      <c r="Q2916" s="80">
        <v>0</v>
      </c>
      <c r="R2916" s="80">
        <f t="shared" si="203"/>
        <v>-33</v>
      </c>
      <c r="AD2916"/>
    </row>
    <row r="2917" spans="10:30" ht="16.2" customHeight="1">
      <c r="J2917" s="80" t="s">
        <v>747</v>
      </c>
      <c r="K2917" s="80" t="s">
        <v>8713</v>
      </c>
      <c r="L2917" t="s">
        <v>282</v>
      </c>
      <c r="M2917" s="80" t="s">
        <v>403</v>
      </c>
      <c r="N2917" t="str">
        <f t="shared" si="202"/>
        <v>Double RearVanda Flushfit Recessed Track with RunnersLevel 2072N/A</v>
      </c>
      <c r="O2917">
        <v>38</v>
      </c>
      <c r="P2917">
        <v>5</v>
      </c>
      <c r="Q2917" s="80">
        <v>0</v>
      </c>
      <c r="R2917" s="80">
        <f t="shared" si="203"/>
        <v>-33</v>
      </c>
      <c r="AD2917"/>
    </row>
    <row r="2918" spans="10:30" ht="16.2" customHeight="1">
      <c r="J2918" s="80" t="s">
        <v>725</v>
      </c>
      <c r="K2918" s="80" t="s">
        <v>8713</v>
      </c>
      <c r="L2918" t="s">
        <v>282</v>
      </c>
      <c r="M2918" s="80" t="s">
        <v>403</v>
      </c>
      <c r="N2918" t="str">
        <f t="shared" si="202"/>
        <v>SingleVanda Flushfit Recessed Track with RunnersLevel 2072N/A</v>
      </c>
      <c r="O2918">
        <v>38</v>
      </c>
      <c r="P2918">
        <v>5</v>
      </c>
      <c r="Q2918" s="80">
        <v>0</v>
      </c>
      <c r="R2918" s="80">
        <f t="shared" si="203"/>
        <v>-33</v>
      </c>
      <c r="AD2918"/>
    </row>
    <row r="2919" spans="10:30" ht="16.2" customHeight="1">
      <c r="J2919" s="80" t="s">
        <v>746</v>
      </c>
      <c r="K2919" s="80" t="s">
        <v>8713</v>
      </c>
      <c r="L2919" t="s">
        <v>170</v>
      </c>
      <c r="M2919" s="80" t="s">
        <v>403</v>
      </c>
      <c r="N2919" t="str">
        <f t="shared" si="202"/>
        <v>Double FrontVanda Flushfit Recessed Track with RunnersNormal 2074N/A</v>
      </c>
      <c r="O2919">
        <v>60</v>
      </c>
      <c r="P2919">
        <v>5</v>
      </c>
      <c r="Q2919" s="80">
        <v>0</v>
      </c>
      <c r="R2919" s="80">
        <f t="shared" si="203"/>
        <v>-55</v>
      </c>
      <c r="AD2919"/>
    </row>
    <row r="2920" spans="10:30" ht="16.2" customHeight="1">
      <c r="J2920" s="80" t="s">
        <v>747</v>
      </c>
      <c r="K2920" s="80" t="s">
        <v>8713</v>
      </c>
      <c r="L2920" t="s">
        <v>170</v>
      </c>
      <c r="M2920" s="80" t="s">
        <v>403</v>
      </c>
      <c r="N2920" t="str">
        <f t="shared" si="202"/>
        <v>Double RearVanda Flushfit Recessed Track with RunnersNormal 2074N/A</v>
      </c>
      <c r="O2920">
        <v>60</v>
      </c>
      <c r="P2920">
        <v>5</v>
      </c>
      <c r="Q2920" s="80">
        <v>0</v>
      </c>
      <c r="R2920" s="80">
        <f t="shared" si="203"/>
        <v>-55</v>
      </c>
      <c r="AD2920"/>
    </row>
    <row r="2921" spans="10:30" ht="16.2" customHeight="1">
      <c r="J2921" s="80" t="s">
        <v>725</v>
      </c>
      <c r="K2921" s="80" t="s">
        <v>8713</v>
      </c>
      <c r="L2921" t="s">
        <v>170</v>
      </c>
      <c r="M2921" s="80" t="s">
        <v>403</v>
      </c>
      <c r="N2921" t="str">
        <f t="shared" si="202"/>
        <v>SingleVanda Flushfit Recessed Track with RunnersNormal 2074N/A</v>
      </c>
      <c r="O2921">
        <v>60</v>
      </c>
      <c r="P2921">
        <v>5</v>
      </c>
      <c r="Q2921" s="80">
        <v>0</v>
      </c>
      <c r="R2921" s="80">
        <f t="shared" si="203"/>
        <v>-55</v>
      </c>
      <c r="AD2921"/>
    </row>
    <row r="2922" spans="10:30" ht="16.2" customHeight="1">
      <c r="J2922" s="80" t="s">
        <v>746</v>
      </c>
      <c r="K2922" s="80" t="s">
        <v>8713</v>
      </c>
      <c r="L2922" s="80" t="s">
        <v>421</v>
      </c>
      <c r="M2922" s="80" t="s">
        <v>403</v>
      </c>
      <c r="N2922" t="str">
        <f t="shared" si="202"/>
        <v>Double FrontVanda Flushfit Recessed Track with RunnersWavefold HooksN/A</v>
      </c>
      <c r="O2922">
        <v>0</v>
      </c>
      <c r="P2922">
        <v>5</v>
      </c>
      <c r="Q2922" s="80">
        <v>0</v>
      </c>
      <c r="R2922" s="80">
        <f t="shared" si="203"/>
        <v>5</v>
      </c>
      <c r="AD2922"/>
    </row>
    <row r="2923" spans="10:30" ht="16.2" customHeight="1">
      <c r="J2923" s="80" t="s">
        <v>725</v>
      </c>
      <c r="K2923" s="80" t="s">
        <v>6547</v>
      </c>
      <c r="L2923" s="80" t="s">
        <v>193</v>
      </c>
      <c r="M2923" s="80" t="s">
        <v>7524</v>
      </c>
      <c r="N2923" t="str">
        <f t="shared" si="202"/>
        <v>SingleVanda Vantage 25mm Eyelot RodBlackVantage Single Bracket 100mm</v>
      </c>
      <c r="O2923" s="80">
        <v>20</v>
      </c>
      <c r="P2923" s="80">
        <v>17</v>
      </c>
      <c r="Q2923" s="80">
        <v>-100</v>
      </c>
      <c r="R2923" s="80">
        <f t="shared" si="203"/>
        <v>-3</v>
      </c>
      <c r="AD2923"/>
    </row>
    <row r="2924" spans="10:30" ht="16.2" customHeight="1">
      <c r="J2924" s="80" t="s">
        <v>725</v>
      </c>
      <c r="K2924" s="80" t="s">
        <v>6547</v>
      </c>
      <c r="L2924" s="80" t="s">
        <v>268</v>
      </c>
      <c r="M2924" s="80" t="s">
        <v>7524</v>
      </c>
      <c r="N2924" t="str">
        <f t="shared" si="202"/>
        <v>SingleVanda Vantage 25mm Eyelot RodMatt SilverVantage Single Bracket 100mm</v>
      </c>
      <c r="O2924" s="80">
        <v>20</v>
      </c>
      <c r="P2924" s="80">
        <v>17</v>
      </c>
      <c r="Q2924" s="80">
        <v>-100</v>
      </c>
      <c r="R2924" s="80">
        <f t="shared" si="203"/>
        <v>-3</v>
      </c>
      <c r="AD2924"/>
    </row>
    <row r="2925" spans="10:30" ht="16.2" customHeight="1">
      <c r="J2925" s="80" t="s">
        <v>725</v>
      </c>
      <c r="K2925" s="80" t="s">
        <v>6547</v>
      </c>
      <c r="L2925" s="80" t="s">
        <v>429</v>
      </c>
      <c r="M2925" s="80" t="s">
        <v>7524</v>
      </c>
      <c r="N2925" t="str">
        <f t="shared" si="202"/>
        <v>SingleVanda Vantage 25mm Eyelot RodPewterVantage Single Bracket 100mm</v>
      </c>
      <c r="O2925" s="80">
        <v>20</v>
      </c>
      <c r="P2925" s="80">
        <v>17</v>
      </c>
      <c r="Q2925" s="80">
        <v>-100</v>
      </c>
      <c r="R2925" s="80">
        <f t="shared" si="203"/>
        <v>-3</v>
      </c>
      <c r="AD2925"/>
    </row>
    <row r="2926" spans="10:30" ht="16.2" customHeight="1">
      <c r="J2926" s="80" t="s">
        <v>725</v>
      </c>
      <c r="K2926" s="80" t="s">
        <v>6547</v>
      </c>
      <c r="L2926" s="80" t="s">
        <v>193</v>
      </c>
      <c r="M2926" s="80" t="s">
        <v>7526</v>
      </c>
      <c r="N2926" t="str">
        <f t="shared" si="202"/>
        <v>SingleVanda Vantage 25mm Eyelot RodBlackVantage Single Bracket 140mm</v>
      </c>
      <c r="O2926" s="80">
        <v>20</v>
      </c>
      <c r="P2926" s="80">
        <v>17</v>
      </c>
      <c r="Q2926" s="80">
        <v>-100</v>
      </c>
      <c r="R2926" s="80">
        <f t="shared" si="203"/>
        <v>-3</v>
      </c>
      <c r="AD2926"/>
    </row>
    <row r="2927" spans="10:30" ht="16.2" customHeight="1">
      <c r="J2927" s="80" t="s">
        <v>725</v>
      </c>
      <c r="K2927" s="80" t="s">
        <v>6547</v>
      </c>
      <c r="L2927" s="80" t="s">
        <v>268</v>
      </c>
      <c r="M2927" s="80" t="s">
        <v>7526</v>
      </c>
      <c r="N2927" t="str">
        <f t="shared" si="202"/>
        <v>SingleVanda Vantage 25mm Eyelot RodMatt SilverVantage Single Bracket 140mm</v>
      </c>
      <c r="O2927" s="80">
        <v>20</v>
      </c>
      <c r="P2927" s="80">
        <v>17</v>
      </c>
      <c r="Q2927" s="80">
        <v>-100</v>
      </c>
      <c r="R2927" s="80">
        <f t="shared" si="203"/>
        <v>-3</v>
      </c>
      <c r="AD2927"/>
    </row>
    <row r="2928" spans="10:30" ht="16.2" customHeight="1">
      <c r="J2928" s="80" t="s">
        <v>725</v>
      </c>
      <c r="K2928" s="80" t="s">
        <v>6547</v>
      </c>
      <c r="L2928" s="80" t="s">
        <v>429</v>
      </c>
      <c r="M2928" s="80" t="s">
        <v>7526</v>
      </c>
      <c r="N2928" t="str">
        <f t="shared" si="202"/>
        <v>SingleVanda Vantage 25mm Eyelot RodPewterVantage Single Bracket 140mm</v>
      </c>
      <c r="O2928" s="80">
        <v>20</v>
      </c>
      <c r="P2928" s="80">
        <v>17</v>
      </c>
      <c r="Q2928" s="80">
        <v>-100</v>
      </c>
      <c r="R2928" s="80">
        <f t="shared" si="203"/>
        <v>-3</v>
      </c>
      <c r="AD2928"/>
    </row>
    <row r="2929" spans="10:30" ht="16.2" customHeight="1">
      <c r="J2929" s="80" t="s">
        <v>725</v>
      </c>
      <c r="K2929" s="80" t="s">
        <v>6547</v>
      </c>
      <c r="L2929" s="80" t="s">
        <v>193</v>
      </c>
      <c r="M2929" s="80" t="s">
        <v>7525</v>
      </c>
      <c r="N2929" t="str">
        <f t="shared" si="202"/>
        <v>SingleVanda Vantage 25mm Eyelot RodBlackVantage Top Fix Bracket</v>
      </c>
      <c r="O2929" s="80">
        <v>20</v>
      </c>
      <c r="P2929" s="80">
        <v>17</v>
      </c>
      <c r="Q2929" s="80">
        <v>-100</v>
      </c>
      <c r="R2929" s="80">
        <f t="shared" si="203"/>
        <v>-3</v>
      </c>
      <c r="AD2929"/>
    </row>
    <row r="2930" spans="10:30" ht="16.2" customHeight="1">
      <c r="J2930" s="80" t="s">
        <v>725</v>
      </c>
      <c r="K2930" s="80" t="s">
        <v>6547</v>
      </c>
      <c r="L2930" s="80" t="s">
        <v>268</v>
      </c>
      <c r="M2930" s="80" t="s">
        <v>7525</v>
      </c>
      <c r="N2930" t="str">
        <f t="shared" si="202"/>
        <v>SingleVanda Vantage 25mm Eyelot RodMatt SilverVantage Top Fix Bracket</v>
      </c>
      <c r="O2930" s="80">
        <v>20</v>
      </c>
      <c r="P2930" s="80">
        <v>17</v>
      </c>
      <c r="Q2930" s="80">
        <v>-100</v>
      </c>
      <c r="R2930" s="80">
        <f t="shared" si="203"/>
        <v>-3</v>
      </c>
      <c r="AD2930"/>
    </row>
    <row r="2931" spans="10:30" ht="16.2" customHeight="1">
      <c r="J2931" s="80" t="s">
        <v>725</v>
      </c>
      <c r="K2931" s="80" t="s">
        <v>6547</v>
      </c>
      <c r="L2931" s="80" t="s">
        <v>429</v>
      </c>
      <c r="M2931" s="80" t="s">
        <v>7525</v>
      </c>
      <c r="N2931" t="str">
        <f t="shared" si="202"/>
        <v>SingleVanda Vantage 25mm Eyelot RodPewterVantage Top Fix Bracket</v>
      </c>
      <c r="O2931" s="80">
        <v>20</v>
      </c>
      <c r="P2931" s="80">
        <v>17</v>
      </c>
      <c r="Q2931" s="80">
        <v>-100</v>
      </c>
      <c r="R2931" s="80">
        <f t="shared" si="203"/>
        <v>-3</v>
      </c>
      <c r="AD2931"/>
    </row>
    <row r="2932" spans="10:30" ht="16.2" customHeight="1">
      <c r="J2932" s="80" t="s">
        <v>747</v>
      </c>
      <c r="K2932" s="80" t="s">
        <v>425</v>
      </c>
      <c r="L2932" t="s">
        <v>183</v>
      </c>
      <c r="M2932" s="80" t="s">
        <v>4654</v>
      </c>
      <c r="N2932" t="str">
        <f t="shared" si="202"/>
        <v>Double RearVanda Versatrak 25 Rod with GlidesBelow Normal 2075Boldtrak Premo Double Bracket Suit 25mm on Back</v>
      </c>
      <c r="O2932">
        <v>70</v>
      </c>
      <c r="P2932">
        <v>80</v>
      </c>
      <c r="Q2932" s="80">
        <v>0</v>
      </c>
      <c r="R2932" s="80">
        <f t="shared" si="203"/>
        <v>10</v>
      </c>
      <c r="AD2932"/>
    </row>
    <row r="2933" spans="10:30" ht="16.2" customHeight="1">
      <c r="J2933" s="80" t="s">
        <v>747</v>
      </c>
      <c r="K2933" s="80" t="s">
        <v>425</v>
      </c>
      <c r="L2933" t="s">
        <v>182</v>
      </c>
      <c r="M2933" s="80" t="s">
        <v>4654</v>
      </c>
      <c r="N2933" t="str">
        <f t="shared" si="202"/>
        <v>Double RearVanda Versatrak 25 Rod with GlidesBetween Level and Normal 2073Boldtrak Premo Double Bracket Suit 25mm on Back</v>
      </c>
      <c r="O2933">
        <v>48</v>
      </c>
      <c r="P2933">
        <v>80</v>
      </c>
      <c r="Q2933" s="80">
        <v>0</v>
      </c>
      <c r="R2933" s="80">
        <f t="shared" si="203"/>
        <v>32</v>
      </c>
      <c r="AD2933"/>
    </row>
    <row r="2934" spans="10:30" ht="16.2" customHeight="1">
      <c r="J2934" s="80" t="s">
        <v>747</v>
      </c>
      <c r="K2934" s="80" t="s">
        <v>425</v>
      </c>
      <c r="L2934" t="s">
        <v>184</v>
      </c>
      <c r="M2934" s="80" t="s">
        <v>4654</v>
      </c>
      <c r="N2934" t="str">
        <f t="shared" si="202"/>
        <v>Double RearVanda Versatrak 25 Rod with GlidesDecorator 2071Boldtrak Premo Double Bracket Suit 25mm on Back</v>
      </c>
      <c r="O2934">
        <v>20</v>
      </c>
      <c r="P2934">
        <v>80</v>
      </c>
      <c r="Q2934" s="80">
        <v>0</v>
      </c>
      <c r="R2934" s="80">
        <f t="shared" si="203"/>
        <v>60</v>
      </c>
      <c r="AD2934"/>
    </row>
    <row r="2935" spans="10:30" ht="16.2" customHeight="1">
      <c r="J2935" s="80" t="s">
        <v>747</v>
      </c>
      <c r="K2935" s="80" t="s">
        <v>425</v>
      </c>
      <c r="L2935" t="s">
        <v>229</v>
      </c>
      <c r="M2935" s="80" t="s">
        <v>4654</v>
      </c>
      <c r="N2935" t="str">
        <f t="shared" si="202"/>
        <v>Double RearVanda Versatrak 25 Rod with GlidesGather Hook LevelBoldtrak Premo Double Bracket Suit 25mm on Back</v>
      </c>
      <c r="O2935">
        <v>20</v>
      </c>
      <c r="P2935">
        <v>80</v>
      </c>
      <c r="Q2935" s="80">
        <v>0</v>
      </c>
      <c r="R2935" s="80">
        <f t="shared" si="203"/>
        <v>60</v>
      </c>
      <c r="AD2935"/>
    </row>
    <row r="2936" spans="10:30" ht="16.2" customHeight="1">
      <c r="J2936" s="80" t="s">
        <v>747</v>
      </c>
      <c r="K2936" s="80" t="s">
        <v>425</v>
      </c>
      <c r="L2936" t="s">
        <v>228</v>
      </c>
      <c r="M2936" s="80" t="s">
        <v>4654</v>
      </c>
      <c r="N2936" t="str">
        <f t="shared" si="202"/>
        <v>Double RearVanda Versatrak 25 Rod with GlidesGather Hook NormalBoldtrak Premo Double Bracket Suit 25mm on Back</v>
      </c>
      <c r="O2936">
        <v>43</v>
      </c>
      <c r="P2936">
        <v>80</v>
      </c>
      <c r="Q2936" s="80">
        <v>0</v>
      </c>
      <c r="R2936" s="80">
        <f t="shared" si="203"/>
        <v>37</v>
      </c>
      <c r="AD2936"/>
    </row>
    <row r="2937" spans="10:30" ht="16.2" customHeight="1">
      <c r="J2937" s="80" t="s">
        <v>747</v>
      </c>
      <c r="K2937" s="80" t="s">
        <v>425</v>
      </c>
      <c r="L2937" t="s">
        <v>282</v>
      </c>
      <c r="M2937" s="80" t="s">
        <v>4654</v>
      </c>
      <c r="N2937" t="str">
        <f t="shared" si="202"/>
        <v>Double RearVanda Versatrak 25 Rod with GlidesLevel 2072Boldtrak Premo Double Bracket Suit 25mm on Back</v>
      </c>
      <c r="O2937">
        <v>38</v>
      </c>
      <c r="P2937">
        <v>80</v>
      </c>
      <c r="Q2937" s="80">
        <v>0</v>
      </c>
      <c r="R2937" s="80">
        <f t="shared" si="203"/>
        <v>42</v>
      </c>
      <c r="AD2937"/>
    </row>
    <row r="2938" spans="10:30" ht="16.2" customHeight="1">
      <c r="J2938" s="80" t="s">
        <v>747</v>
      </c>
      <c r="K2938" s="80" t="s">
        <v>425</v>
      </c>
      <c r="L2938" t="s">
        <v>170</v>
      </c>
      <c r="M2938" s="80" t="s">
        <v>4654</v>
      </c>
      <c r="N2938" t="str">
        <f t="shared" si="202"/>
        <v>Double RearVanda Versatrak 25 Rod with GlidesNormal 2074Boldtrak Premo Double Bracket Suit 25mm on Back</v>
      </c>
      <c r="O2938">
        <v>60</v>
      </c>
      <c r="P2938">
        <v>80</v>
      </c>
      <c r="Q2938" s="80">
        <v>0</v>
      </c>
      <c r="R2938" s="80">
        <f t="shared" si="203"/>
        <v>20</v>
      </c>
      <c r="AD2938"/>
    </row>
    <row r="2939" spans="10:30" ht="16.2" customHeight="1">
      <c r="J2939" s="80" t="s">
        <v>747</v>
      </c>
      <c r="K2939" s="80" t="s">
        <v>425</v>
      </c>
      <c r="L2939" t="s">
        <v>183</v>
      </c>
      <c r="M2939" s="66" t="s">
        <v>9302</v>
      </c>
      <c r="N2939" t="str">
        <f t="shared" si="202"/>
        <v>Double RearVanda Versatrak 25 Rod with GlidesBelow Normal 2075Boldtrak Standard Double Bracket Suit 25mm on Back</v>
      </c>
      <c r="O2939">
        <v>70</v>
      </c>
      <c r="P2939">
        <v>80</v>
      </c>
      <c r="Q2939" s="80">
        <v>0</v>
      </c>
      <c r="R2939" s="80">
        <f t="shared" si="203"/>
        <v>10</v>
      </c>
      <c r="AD2939"/>
    </row>
    <row r="2940" spans="10:30" ht="16.2" customHeight="1">
      <c r="J2940" s="80" t="s">
        <v>747</v>
      </c>
      <c r="K2940" s="80" t="s">
        <v>425</v>
      </c>
      <c r="L2940" t="s">
        <v>182</v>
      </c>
      <c r="M2940" s="66" t="s">
        <v>9302</v>
      </c>
      <c r="N2940" t="str">
        <f t="shared" si="202"/>
        <v>Double RearVanda Versatrak 25 Rod with GlidesBetween Level and Normal 2073Boldtrak Standard Double Bracket Suit 25mm on Back</v>
      </c>
      <c r="O2940">
        <v>48</v>
      </c>
      <c r="P2940">
        <v>80</v>
      </c>
      <c r="Q2940" s="80">
        <v>0</v>
      </c>
      <c r="R2940" s="80">
        <f t="shared" si="203"/>
        <v>32</v>
      </c>
      <c r="AD2940"/>
    </row>
    <row r="2941" spans="10:30" ht="16.2" customHeight="1">
      <c r="J2941" s="80" t="s">
        <v>747</v>
      </c>
      <c r="K2941" s="80" t="s">
        <v>425</v>
      </c>
      <c r="L2941" t="s">
        <v>184</v>
      </c>
      <c r="M2941" s="66" t="s">
        <v>9302</v>
      </c>
      <c r="N2941" t="str">
        <f t="shared" si="202"/>
        <v>Double RearVanda Versatrak 25 Rod with GlidesDecorator 2071Boldtrak Standard Double Bracket Suit 25mm on Back</v>
      </c>
      <c r="O2941">
        <v>20</v>
      </c>
      <c r="P2941">
        <v>80</v>
      </c>
      <c r="Q2941" s="80">
        <v>0</v>
      </c>
      <c r="R2941" s="80">
        <f t="shared" si="203"/>
        <v>60</v>
      </c>
      <c r="AD2941"/>
    </row>
    <row r="2942" spans="10:30" ht="16.2" customHeight="1">
      <c r="J2942" s="80" t="s">
        <v>747</v>
      </c>
      <c r="K2942" s="80" t="s">
        <v>425</v>
      </c>
      <c r="L2942" t="s">
        <v>229</v>
      </c>
      <c r="M2942" s="66" t="s">
        <v>9302</v>
      </c>
      <c r="N2942" t="str">
        <f t="shared" si="202"/>
        <v>Double RearVanda Versatrak 25 Rod with GlidesGather Hook LevelBoldtrak Standard Double Bracket Suit 25mm on Back</v>
      </c>
      <c r="O2942">
        <v>20</v>
      </c>
      <c r="P2942">
        <v>80</v>
      </c>
      <c r="Q2942" s="80">
        <v>0</v>
      </c>
      <c r="R2942" s="80">
        <f t="shared" si="203"/>
        <v>60</v>
      </c>
      <c r="AD2942"/>
    </row>
    <row r="2943" spans="10:30" ht="16.2" customHeight="1">
      <c r="J2943" s="80" t="s">
        <v>747</v>
      </c>
      <c r="K2943" s="80" t="s">
        <v>425</v>
      </c>
      <c r="L2943" t="s">
        <v>228</v>
      </c>
      <c r="M2943" s="66" t="s">
        <v>9302</v>
      </c>
      <c r="N2943" t="str">
        <f t="shared" si="202"/>
        <v>Double RearVanda Versatrak 25 Rod with GlidesGather Hook NormalBoldtrak Standard Double Bracket Suit 25mm on Back</v>
      </c>
      <c r="O2943">
        <v>43</v>
      </c>
      <c r="P2943">
        <v>80</v>
      </c>
      <c r="Q2943" s="80">
        <v>0</v>
      </c>
      <c r="R2943" s="80">
        <f t="shared" si="203"/>
        <v>37</v>
      </c>
      <c r="AD2943"/>
    </row>
    <row r="2944" spans="10:30" ht="16.2" customHeight="1">
      <c r="J2944" s="80" t="s">
        <v>747</v>
      </c>
      <c r="K2944" s="80" t="s">
        <v>425</v>
      </c>
      <c r="L2944" t="s">
        <v>282</v>
      </c>
      <c r="M2944" s="66" t="s">
        <v>9302</v>
      </c>
      <c r="N2944" t="str">
        <f t="shared" si="202"/>
        <v>Double RearVanda Versatrak 25 Rod with GlidesLevel 2072Boldtrak Standard Double Bracket Suit 25mm on Back</v>
      </c>
      <c r="O2944">
        <v>38</v>
      </c>
      <c r="P2944">
        <v>80</v>
      </c>
      <c r="Q2944" s="80">
        <v>0</v>
      </c>
      <c r="R2944" s="80">
        <f t="shared" si="203"/>
        <v>42</v>
      </c>
      <c r="AD2944"/>
    </row>
    <row r="2945" spans="10:30" ht="16.2" customHeight="1">
      <c r="J2945" s="80" t="s">
        <v>747</v>
      </c>
      <c r="K2945" s="80" t="s">
        <v>425</v>
      </c>
      <c r="L2945" t="s">
        <v>170</v>
      </c>
      <c r="M2945" s="66" t="s">
        <v>9302</v>
      </c>
      <c r="N2945" t="str">
        <f t="shared" si="202"/>
        <v>Double RearVanda Versatrak 25 Rod with GlidesNormal 2074Boldtrak Standard Double Bracket Suit 25mm on Back</v>
      </c>
      <c r="O2945">
        <v>60</v>
      </c>
      <c r="P2945">
        <v>80</v>
      </c>
      <c r="Q2945" s="80">
        <v>0</v>
      </c>
      <c r="R2945" s="80">
        <f t="shared" si="203"/>
        <v>20</v>
      </c>
      <c r="AD2945"/>
    </row>
    <row r="2946" spans="10:30" ht="16.2" customHeight="1">
      <c r="J2946" s="80" t="s">
        <v>747</v>
      </c>
      <c r="K2946" s="80" t="s">
        <v>425</v>
      </c>
      <c r="L2946" t="s">
        <v>183</v>
      </c>
      <c r="M2946" t="s">
        <v>732</v>
      </c>
      <c r="N2946" t="str">
        <f t="shared" si="204" ref="N2946:N3009">(CONCATENATE(J2946,K2946,L2946,M2946))</f>
        <v>Double RearVanda Versatrak 25 Rod with GlidesBelow Normal 2075Versatrak 16mm Front and 25mm Back Combo Glide Bracket</v>
      </c>
      <c r="O2946">
        <v>70</v>
      </c>
      <c r="P2946">
        <v>72</v>
      </c>
      <c r="Q2946" s="80">
        <v>0</v>
      </c>
      <c r="R2946" s="80">
        <f t="shared" si="203"/>
        <v>2</v>
      </c>
      <c r="AD2946"/>
    </row>
    <row r="2947" spans="10:30" ht="16.2" customHeight="1">
      <c r="J2947" s="80" t="s">
        <v>747</v>
      </c>
      <c r="K2947" s="80" t="s">
        <v>425</v>
      </c>
      <c r="L2947" t="s">
        <v>182</v>
      </c>
      <c r="M2947" t="s">
        <v>732</v>
      </c>
      <c r="N2947" t="str">
        <f t="shared" si="204"/>
        <v>Double RearVanda Versatrak 25 Rod with GlidesBetween Level and Normal 2073Versatrak 16mm Front and 25mm Back Combo Glide Bracket</v>
      </c>
      <c r="O2947">
        <v>48</v>
      </c>
      <c r="P2947">
        <v>72</v>
      </c>
      <c r="Q2947" s="80">
        <v>0</v>
      </c>
      <c r="R2947" s="80">
        <f t="shared" si="203"/>
        <v>24</v>
      </c>
      <c r="AD2947"/>
    </row>
    <row r="2948" spans="10:30" ht="16.2" customHeight="1">
      <c r="J2948" s="80" t="s">
        <v>747</v>
      </c>
      <c r="K2948" s="80" t="s">
        <v>425</v>
      </c>
      <c r="L2948" t="s">
        <v>184</v>
      </c>
      <c r="M2948" t="s">
        <v>732</v>
      </c>
      <c r="N2948" t="str">
        <f t="shared" si="204"/>
        <v>Double RearVanda Versatrak 25 Rod with GlidesDecorator 2071Versatrak 16mm Front and 25mm Back Combo Glide Bracket</v>
      </c>
      <c r="O2948">
        <v>20</v>
      </c>
      <c r="P2948">
        <v>72</v>
      </c>
      <c r="Q2948" s="80">
        <v>0</v>
      </c>
      <c r="R2948" s="80">
        <f t="shared" si="203"/>
        <v>52</v>
      </c>
      <c r="AD2948"/>
    </row>
    <row r="2949" spans="10:30" ht="16.2" customHeight="1">
      <c r="J2949" s="80" t="s">
        <v>747</v>
      </c>
      <c r="K2949" s="80" t="s">
        <v>425</v>
      </c>
      <c r="L2949" t="s">
        <v>229</v>
      </c>
      <c r="M2949" t="s">
        <v>732</v>
      </c>
      <c r="N2949" t="str">
        <f t="shared" si="204"/>
        <v>Double RearVanda Versatrak 25 Rod with GlidesGather Hook LevelVersatrak 16mm Front and 25mm Back Combo Glide Bracket</v>
      </c>
      <c r="O2949">
        <v>20</v>
      </c>
      <c r="P2949">
        <v>72</v>
      </c>
      <c r="Q2949" s="80">
        <v>0</v>
      </c>
      <c r="R2949" s="80">
        <f t="shared" si="203"/>
        <v>52</v>
      </c>
      <c r="AD2949"/>
    </row>
    <row r="2950" spans="10:30" ht="16.2" customHeight="1">
      <c r="J2950" s="80" t="s">
        <v>747</v>
      </c>
      <c r="K2950" s="80" t="s">
        <v>425</v>
      </c>
      <c r="L2950" t="s">
        <v>228</v>
      </c>
      <c r="M2950" t="s">
        <v>732</v>
      </c>
      <c r="N2950" t="str">
        <f t="shared" si="204"/>
        <v>Double RearVanda Versatrak 25 Rod with GlidesGather Hook NormalVersatrak 16mm Front and 25mm Back Combo Glide Bracket</v>
      </c>
      <c r="O2950">
        <v>43</v>
      </c>
      <c r="P2950">
        <v>72</v>
      </c>
      <c r="Q2950" s="80">
        <v>0</v>
      </c>
      <c r="R2950" s="80">
        <f t="shared" si="203"/>
        <v>29</v>
      </c>
      <c r="AD2950"/>
    </row>
    <row r="2951" spans="10:30" ht="16.2" customHeight="1">
      <c r="J2951" s="80" t="s">
        <v>747</v>
      </c>
      <c r="K2951" s="80" t="s">
        <v>425</v>
      </c>
      <c r="L2951" t="s">
        <v>282</v>
      </c>
      <c r="M2951" t="s">
        <v>732</v>
      </c>
      <c r="N2951" t="str">
        <f t="shared" si="204"/>
        <v>Double RearVanda Versatrak 25 Rod with GlidesLevel 2072Versatrak 16mm Front and 25mm Back Combo Glide Bracket</v>
      </c>
      <c r="O2951">
        <v>38</v>
      </c>
      <c r="P2951">
        <v>72</v>
      </c>
      <c r="Q2951" s="80">
        <v>0</v>
      </c>
      <c r="R2951" s="80">
        <f t="shared" si="203"/>
        <v>34</v>
      </c>
      <c r="AD2951"/>
    </row>
    <row r="2952" spans="10:30" ht="16.2" customHeight="1">
      <c r="J2952" s="80" t="s">
        <v>747</v>
      </c>
      <c r="K2952" s="80" t="s">
        <v>425</v>
      </c>
      <c r="L2952" t="s">
        <v>170</v>
      </c>
      <c r="M2952" t="s">
        <v>732</v>
      </c>
      <c r="N2952" t="str">
        <f t="shared" si="204"/>
        <v>Double RearVanda Versatrak 25 Rod with GlidesNormal 2074Versatrak 16mm Front and 25mm Back Combo Glide Bracket</v>
      </c>
      <c r="O2952">
        <v>60</v>
      </c>
      <c r="P2952">
        <v>72</v>
      </c>
      <c r="Q2952" s="80">
        <v>0</v>
      </c>
      <c r="R2952" s="80">
        <f t="shared" si="203"/>
        <v>12</v>
      </c>
      <c r="AD2952"/>
    </row>
    <row r="2953" spans="10:30" ht="16.2" customHeight="1">
      <c r="J2953" s="80" t="s">
        <v>746</v>
      </c>
      <c r="K2953" s="80" t="s">
        <v>425</v>
      </c>
      <c r="L2953" t="s">
        <v>183</v>
      </c>
      <c r="M2953" t="s">
        <v>733</v>
      </c>
      <c r="N2953" t="str">
        <f t="shared" si="204"/>
        <v>Double FrontVanda Versatrak 25 Rod with GlidesBelow Normal 2075Versatrak 25mm Front and Back Combo Glide Bracket</v>
      </c>
      <c r="O2953">
        <v>70</v>
      </c>
      <c r="P2953">
        <v>38</v>
      </c>
      <c r="Q2953" s="80">
        <v>0</v>
      </c>
      <c r="R2953" s="80">
        <f t="shared" si="203"/>
        <v>-32</v>
      </c>
      <c r="AD2953"/>
    </row>
    <row r="2954" spans="10:30" ht="16.2" customHeight="1">
      <c r="J2954" s="80" t="s">
        <v>747</v>
      </c>
      <c r="K2954" s="80" t="s">
        <v>425</v>
      </c>
      <c r="L2954" t="s">
        <v>183</v>
      </c>
      <c r="M2954" t="s">
        <v>733</v>
      </c>
      <c r="N2954" t="str">
        <f t="shared" si="204"/>
        <v>Double RearVanda Versatrak 25 Rod with GlidesBelow Normal 2075Versatrak 25mm Front and Back Combo Glide Bracket</v>
      </c>
      <c r="O2954">
        <v>70</v>
      </c>
      <c r="P2954">
        <v>72</v>
      </c>
      <c r="Q2954" s="80">
        <v>0</v>
      </c>
      <c r="R2954" s="80">
        <f t="shared" si="203"/>
        <v>2</v>
      </c>
      <c r="AD2954"/>
    </row>
    <row r="2955" spans="10:30" ht="16.2" customHeight="1">
      <c r="J2955" s="80" t="s">
        <v>725</v>
      </c>
      <c r="K2955" s="80" t="s">
        <v>425</v>
      </c>
      <c r="L2955" t="s">
        <v>183</v>
      </c>
      <c r="M2955" t="s">
        <v>733</v>
      </c>
      <c r="N2955" t="str">
        <f t="shared" si="204"/>
        <v>SingleVanda Versatrak 25 Rod with GlidesBelow Normal 2075Versatrak 25mm Front and Back Combo Glide Bracket</v>
      </c>
      <c r="O2955">
        <v>70</v>
      </c>
      <c r="P2955">
        <v>38</v>
      </c>
      <c r="Q2955" s="80">
        <v>0</v>
      </c>
      <c r="R2955" s="80">
        <f t="shared" si="203"/>
        <v>-32</v>
      </c>
      <c r="AD2955"/>
    </row>
    <row r="2956" spans="10:30" ht="16.2" customHeight="1">
      <c r="J2956" s="80" t="s">
        <v>746</v>
      </c>
      <c r="K2956" s="80" t="s">
        <v>425</v>
      </c>
      <c r="L2956" t="s">
        <v>182</v>
      </c>
      <c r="M2956" t="s">
        <v>733</v>
      </c>
      <c r="N2956" t="str">
        <f t="shared" si="204"/>
        <v>Double FrontVanda Versatrak 25 Rod with GlidesBetween Level and Normal 2073Versatrak 25mm Front and Back Combo Glide Bracket</v>
      </c>
      <c r="O2956">
        <v>48</v>
      </c>
      <c r="P2956">
        <v>38</v>
      </c>
      <c r="Q2956" s="80">
        <v>0</v>
      </c>
      <c r="R2956" s="80">
        <f t="shared" si="203"/>
        <v>-10</v>
      </c>
      <c r="AD2956"/>
    </row>
    <row r="2957" spans="10:30" ht="16.2" customHeight="1">
      <c r="J2957" s="80" t="s">
        <v>747</v>
      </c>
      <c r="K2957" s="80" t="s">
        <v>425</v>
      </c>
      <c r="L2957" t="s">
        <v>182</v>
      </c>
      <c r="M2957" t="s">
        <v>733</v>
      </c>
      <c r="N2957" t="str">
        <f t="shared" si="204"/>
        <v>Double RearVanda Versatrak 25 Rod with GlidesBetween Level and Normal 2073Versatrak 25mm Front and Back Combo Glide Bracket</v>
      </c>
      <c r="O2957">
        <v>48</v>
      </c>
      <c r="P2957">
        <v>72</v>
      </c>
      <c r="Q2957" s="80">
        <v>0</v>
      </c>
      <c r="R2957" s="80">
        <f t="shared" si="203"/>
        <v>24</v>
      </c>
      <c r="AD2957"/>
    </row>
    <row r="2958" spans="10:30" ht="16.2" customHeight="1">
      <c r="J2958" s="80" t="s">
        <v>725</v>
      </c>
      <c r="K2958" s="80" t="s">
        <v>425</v>
      </c>
      <c r="L2958" t="s">
        <v>182</v>
      </c>
      <c r="M2958" t="s">
        <v>733</v>
      </c>
      <c r="N2958" t="str">
        <f t="shared" si="204"/>
        <v>SingleVanda Versatrak 25 Rod with GlidesBetween Level and Normal 2073Versatrak 25mm Front and Back Combo Glide Bracket</v>
      </c>
      <c r="O2958">
        <v>47</v>
      </c>
      <c r="P2958">
        <v>38</v>
      </c>
      <c r="Q2958" s="80">
        <v>0</v>
      </c>
      <c r="R2958" s="80">
        <f t="shared" si="203"/>
        <v>-9</v>
      </c>
      <c r="AD2958"/>
    </row>
    <row r="2959" spans="10:30" ht="16.2" customHeight="1">
      <c r="J2959" s="80" t="s">
        <v>746</v>
      </c>
      <c r="K2959" s="80" t="s">
        <v>425</v>
      </c>
      <c r="L2959" t="s">
        <v>184</v>
      </c>
      <c r="M2959" t="s">
        <v>733</v>
      </c>
      <c r="N2959" t="str">
        <f t="shared" si="204"/>
        <v>Double FrontVanda Versatrak 25 Rod with GlidesDecorator 2071Versatrak 25mm Front and Back Combo Glide Bracket</v>
      </c>
      <c r="O2959">
        <v>20</v>
      </c>
      <c r="P2959">
        <v>38</v>
      </c>
      <c r="Q2959" s="80">
        <v>0</v>
      </c>
      <c r="R2959" s="80">
        <f t="shared" si="203"/>
        <v>18</v>
      </c>
      <c r="AD2959"/>
    </row>
    <row r="2960" spans="10:30" ht="16.2" customHeight="1">
      <c r="J2960" s="80" t="s">
        <v>747</v>
      </c>
      <c r="K2960" s="80" t="s">
        <v>425</v>
      </c>
      <c r="L2960" t="s">
        <v>184</v>
      </c>
      <c r="M2960" t="s">
        <v>733</v>
      </c>
      <c r="N2960" t="str">
        <f t="shared" si="204"/>
        <v>Double RearVanda Versatrak 25 Rod with GlidesDecorator 2071Versatrak 25mm Front and Back Combo Glide Bracket</v>
      </c>
      <c r="O2960">
        <v>20</v>
      </c>
      <c r="P2960">
        <v>72</v>
      </c>
      <c r="Q2960" s="80">
        <v>0</v>
      </c>
      <c r="R2960" s="80">
        <f t="shared" si="203"/>
        <v>52</v>
      </c>
      <c r="AD2960"/>
    </row>
    <row r="2961" spans="10:30" ht="16.2" customHeight="1">
      <c r="J2961" s="80" t="s">
        <v>725</v>
      </c>
      <c r="K2961" s="80" t="s">
        <v>425</v>
      </c>
      <c r="L2961" t="s">
        <v>184</v>
      </c>
      <c r="M2961" t="s">
        <v>733</v>
      </c>
      <c r="N2961" t="str">
        <f t="shared" si="204"/>
        <v>SingleVanda Versatrak 25 Rod with GlidesDecorator 2071Versatrak 25mm Front and Back Combo Glide Bracket</v>
      </c>
      <c r="O2961">
        <v>20</v>
      </c>
      <c r="P2961">
        <v>38</v>
      </c>
      <c r="Q2961" s="80">
        <v>0</v>
      </c>
      <c r="R2961" s="80">
        <f t="shared" si="203"/>
        <v>18</v>
      </c>
      <c r="AD2961"/>
    </row>
    <row r="2962" spans="10:30" ht="16.2" customHeight="1">
      <c r="J2962" s="80" t="s">
        <v>725</v>
      </c>
      <c r="K2962" s="80" t="s">
        <v>425</v>
      </c>
      <c r="L2962" t="s">
        <v>6468</v>
      </c>
      <c r="M2962" t="s">
        <v>733</v>
      </c>
      <c r="N2962" t="str">
        <f t="shared" si="204"/>
        <v>SingleVanda Versatrak 25 Rod with GlidesGather Hook Bottom PocketVersatrak 25mm Front and Back Combo Glide Bracket</v>
      </c>
      <c r="O2962">
        <v>60</v>
      </c>
      <c r="P2962">
        <v>38</v>
      </c>
      <c r="Q2962" s="80">
        <v>0</v>
      </c>
      <c r="R2962" s="80">
        <f t="shared" si="203"/>
        <v>-22</v>
      </c>
      <c r="AD2962"/>
    </row>
    <row r="2963" spans="10:30" ht="16.2" customHeight="1">
      <c r="J2963" s="80" t="s">
        <v>746</v>
      </c>
      <c r="K2963" s="80" t="s">
        <v>425</v>
      </c>
      <c r="L2963" t="s">
        <v>229</v>
      </c>
      <c r="M2963" t="s">
        <v>733</v>
      </c>
      <c r="N2963" t="str">
        <f t="shared" si="204"/>
        <v>Double FrontVanda Versatrak 25 Rod with GlidesGather Hook LevelVersatrak 25mm Front and Back Combo Glide Bracket</v>
      </c>
      <c r="O2963">
        <v>20</v>
      </c>
      <c r="P2963">
        <v>38</v>
      </c>
      <c r="Q2963" s="80">
        <v>0</v>
      </c>
      <c r="R2963" s="80">
        <f t="shared" si="203"/>
        <v>18</v>
      </c>
      <c r="AD2963"/>
    </row>
    <row r="2964" spans="10:30" ht="16.2" customHeight="1">
      <c r="J2964" s="80" t="s">
        <v>747</v>
      </c>
      <c r="K2964" s="80" t="s">
        <v>425</v>
      </c>
      <c r="L2964" t="s">
        <v>229</v>
      </c>
      <c r="M2964" t="s">
        <v>733</v>
      </c>
      <c r="N2964" t="str">
        <f t="shared" si="204"/>
        <v>Double RearVanda Versatrak 25 Rod with GlidesGather Hook LevelVersatrak 25mm Front and Back Combo Glide Bracket</v>
      </c>
      <c r="O2964">
        <v>20</v>
      </c>
      <c r="P2964">
        <v>72</v>
      </c>
      <c r="Q2964" s="80">
        <v>0</v>
      </c>
      <c r="R2964" s="80">
        <f t="shared" si="203"/>
        <v>52</v>
      </c>
      <c r="AD2964"/>
    </row>
    <row r="2965" spans="10:30" ht="16.2" customHeight="1">
      <c r="J2965" s="80" t="s">
        <v>725</v>
      </c>
      <c r="K2965" s="80" t="s">
        <v>425</v>
      </c>
      <c r="L2965" t="s">
        <v>229</v>
      </c>
      <c r="M2965" t="s">
        <v>733</v>
      </c>
      <c r="N2965" t="str">
        <f t="shared" si="204"/>
        <v>SingleVanda Versatrak 25 Rod with GlidesGather Hook LevelVersatrak 25mm Front and Back Combo Glide Bracket</v>
      </c>
      <c r="O2965">
        <v>20</v>
      </c>
      <c r="P2965">
        <v>38</v>
      </c>
      <c r="Q2965" s="80">
        <v>0</v>
      </c>
      <c r="R2965" s="80">
        <f t="shared" si="203"/>
        <v>18</v>
      </c>
      <c r="AD2965"/>
    </row>
    <row r="2966" spans="10:30" ht="16.2" customHeight="1">
      <c r="J2966" s="80" t="s">
        <v>746</v>
      </c>
      <c r="K2966" s="80" t="s">
        <v>425</v>
      </c>
      <c r="L2966" t="s">
        <v>228</v>
      </c>
      <c r="M2966" t="s">
        <v>733</v>
      </c>
      <c r="N2966" t="str">
        <f t="shared" si="204"/>
        <v>Double FrontVanda Versatrak 25 Rod with GlidesGather Hook NormalVersatrak 25mm Front and Back Combo Glide Bracket</v>
      </c>
      <c r="O2966">
        <v>43</v>
      </c>
      <c r="P2966">
        <v>38</v>
      </c>
      <c r="Q2966" s="80">
        <v>0</v>
      </c>
      <c r="R2966" s="80">
        <f t="shared" si="203"/>
        <v>-5</v>
      </c>
      <c r="AD2966"/>
    </row>
    <row r="2967" spans="10:30" ht="16.2" customHeight="1">
      <c r="J2967" s="80" t="s">
        <v>747</v>
      </c>
      <c r="K2967" s="80" t="s">
        <v>425</v>
      </c>
      <c r="L2967" t="s">
        <v>228</v>
      </c>
      <c r="M2967" t="s">
        <v>733</v>
      </c>
      <c r="N2967" t="str">
        <f t="shared" si="204"/>
        <v>Double RearVanda Versatrak 25 Rod with GlidesGather Hook NormalVersatrak 25mm Front and Back Combo Glide Bracket</v>
      </c>
      <c r="O2967">
        <v>43</v>
      </c>
      <c r="P2967">
        <v>72</v>
      </c>
      <c r="Q2967" s="80">
        <v>0</v>
      </c>
      <c r="R2967" s="80">
        <f t="shared" si="203"/>
        <v>29</v>
      </c>
      <c r="AD2967"/>
    </row>
    <row r="2968" spans="10:30" ht="16.2" customHeight="1">
      <c r="J2968" s="80" t="s">
        <v>725</v>
      </c>
      <c r="K2968" s="80" t="s">
        <v>425</v>
      </c>
      <c r="L2968" t="s">
        <v>228</v>
      </c>
      <c r="M2968" t="s">
        <v>733</v>
      </c>
      <c r="N2968" t="str">
        <f t="shared" si="204"/>
        <v>SingleVanda Versatrak 25 Rod with GlidesGather Hook NormalVersatrak 25mm Front and Back Combo Glide Bracket</v>
      </c>
      <c r="O2968">
        <v>43</v>
      </c>
      <c r="P2968">
        <v>38</v>
      </c>
      <c r="Q2968" s="80">
        <v>0</v>
      </c>
      <c r="R2968" s="80">
        <f t="shared" si="203"/>
        <v>-5</v>
      </c>
      <c r="AD2968"/>
    </row>
    <row r="2969" spans="10:30" ht="16.2" customHeight="1">
      <c r="J2969" s="80" t="s">
        <v>746</v>
      </c>
      <c r="K2969" s="80" t="s">
        <v>425</v>
      </c>
      <c r="L2969" t="s">
        <v>282</v>
      </c>
      <c r="M2969" t="s">
        <v>733</v>
      </c>
      <c r="N2969" t="str">
        <f t="shared" si="204"/>
        <v>Double FrontVanda Versatrak 25 Rod with GlidesLevel 2072Versatrak 25mm Front and Back Combo Glide Bracket</v>
      </c>
      <c r="O2969">
        <v>38</v>
      </c>
      <c r="P2969">
        <v>38</v>
      </c>
      <c r="Q2969" s="80">
        <v>0</v>
      </c>
      <c r="R2969" s="80">
        <f t="shared" si="203"/>
        <v>0</v>
      </c>
      <c r="AD2969"/>
    </row>
    <row r="2970" spans="10:30" ht="16.2" customHeight="1">
      <c r="J2970" s="80" t="s">
        <v>747</v>
      </c>
      <c r="K2970" s="80" t="s">
        <v>425</v>
      </c>
      <c r="L2970" t="s">
        <v>282</v>
      </c>
      <c r="M2970" t="s">
        <v>733</v>
      </c>
      <c r="N2970" t="str">
        <f t="shared" si="204"/>
        <v>Double RearVanda Versatrak 25 Rod with GlidesLevel 2072Versatrak 25mm Front and Back Combo Glide Bracket</v>
      </c>
      <c r="O2970">
        <v>38</v>
      </c>
      <c r="P2970">
        <v>72</v>
      </c>
      <c r="Q2970" s="80">
        <v>0</v>
      </c>
      <c r="R2970" s="80">
        <f t="shared" si="203"/>
        <v>34</v>
      </c>
      <c r="AD2970"/>
    </row>
    <row r="2971" spans="10:30" ht="16.2" customHeight="1">
      <c r="J2971" s="80" t="s">
        <v>725</v>
      </c>
      <c r="K2971" s="80" t="s">
        <v>425</v>
      </c>
      <c r="L2971" t="s">
        <v>282</v>
      </c>
      <c r="M2971" t="s">
        <v>733</v>
      </c>
      <c r="N2971" t="str">
        <f t="shared" si="204"/>
        <v>SingleVanda Versatrak 25 Rod with GlidesLevel 2072Versatrak 25mm Front and Back Combo Glide Bracket</v>
      </c>
      <c r="O2971">
        <v>35</v>
      </c>
      <c r="P2971">
        <v>38</v>
      </c>
      <c r="Q2971" s="80">
        <v>0</v>
      </c>
      <c r="R2971" s="80">
        <f t="shared" si="203"/>
        <v>3</v>
      </c>
      <c r="AD2971"/>
    </row>
    <row r="2972" spans="10:30" ht="16.2" customHeight="1">
      <c r="J2972" s="80" t="s">
        <v>746</v>
      </c>
      <c r="K2972" s="80" t="s">
        <v>425</v>
      </c>
      <c r="L2972" t="s">
        <v>170</v>
      </c>
      <c r="M2972" t="s">
        <v>733</v>
      </c>
      <c r="N2972" t="str">
        <f t="shared" si="204"/>
        <v>Double FrontVanda Versatrak 25 Rod with GlidesNormal 2074Versatrak 25mm Front and Back Combo Glide Bracket</v>
      </c>
      <c r="O2972">
        <v>60</v>
      </c>
      <c r="P2972">
        <v>38</v>
      </c>
      <c r="Q2972" s="80">
        <v>0</v>
      </c>
      <c r="R2972" s="80">
        <f t="shared" si="203"/>
        <v>-22</v>
      </c>
      <c r="AD2972"/>
    </row>
    <row r="2973" spans="10:30" ht="16.2" customHeight="1">
      <c r="J2973" s="80" t="s">
        <v>747</v>
      </c>
      <c r="K2973" s="80" t="s">
        <v>425</v>
      </c>
      <c r="L2973" t="s">
        <v>170</v>
      </c>
      <c r="M2973" t="s">
        <v>733</v>
      </c>
      <c r="N2973" t="str">
        <f t="shared" si="204"/>
        <v>Double RearVanda Versatrak 25 Rod with GlidesNormal 2074Versatrak 25mm Front and Back Combo Glide Bracket</v>
      </c>
      <c r="O2973">
        <v>60</v>
      </c>
      <c r="P2973">
        <v>72</v>
      </c>
      <c r="Q2973" s="80">
        <v>0</v>
      </c>
      <c r="R2973" s="80">
        <f t="shared" si="203"/>
        <v>12</v>
      </c>
      <c r="AD2973"/>
    </row>
    <row r="2974" spans="10:30" ht="16.2" customHeight="1">
      <c r="J2974" s="80" t="s">
        <v>725</v>
      </c>
      <c r="K2974" s="80" t="s">
        <v>425</v>
      </c>
      <c r="L2974" t="s">
        <v>170</v>
      </c>
      <c r="M2974" t="s">
        <v>733</v>
      </c>
      <c r="N2974" t="str">
        <f t="shared" si="204"/>
        <v>SingleVanda Versatrak 25 Rod with GlidesNormal 2074Versatrak 25mm Front and Back Combo Glide Bracket</v>
      </c>
      <c r="O2974">
        <v>60</v>
      </c>
      <c r="P2974">
        <v>38</v>
      </c>
      <c r="Q2974" s="80">
        <v>0</v>
      </c>
      <c r="R2974" s="80">
        <f t="shared" si="203"/>
        <v>-22</v>
      </c>
      <c r="AD2974"/>
    </row>
    <row r="2975" spans="10:30" ht="16.2" customHeight="1">
      <c r="J2975" s="80" t="s">
        <v>746</v>
      </c>
      <c r="K2975" s="80" t="s">
        <v>425</v>
      </c>
      <c r="L2975" t="s">
        <v>183</v>
      </c>
      <c r="M2975" t="s">
        <v>735</v>
      </c>
      <c r="N2975" t="str">
        <f t="shared" si="204"/>
        <v>Double FrontVanda Versatrak 25 Rod with GlidesBelow Normal 2075Versatrak 25mm Glide Front and 16mm Glide Back Combo Bracket</v>
      </c>
      <c r="O2975">
        <v>70</v>
      </c>
      <c r="P2975">
        <v>38</v>
      </c>
      <c r="Q2975" s="80">
        <v>0</v>
      </c>
      <c r="R2975" s="80">
        <f t="shared" si="205" ref="R2975:R3038">SUM(P2975)-O2975</f>
        <v>-32</v>
      </c>
      <c r="AD2975"/>
    </row>
    <row r="2976" spans="10:30" ht="16.2" customHeight="1">
      <c r="J2976" s="80" t="s">
        <v>725</v>
      </c>
      <c r="K2976" s="80" t="s">
        <v>425</v>
      </c>
      <c r="L2976" t="s">
        <v>183</v>
      </c>
      <c r="M2976" t="s">
        <v>735</v>
      </c>
      <c r="N2976" t="str">
        <f t="shared" si="204"/>
        <v>SingleVanda Versatrak 25 Rod with GlidesBelow Normal 2075Versatrak 25mm Glide Front and 16mm Glide Back Combo Bracket</v>
      </c>
      <c r="O2976">
        <v>70</v>
      </c>
      <c r="P2976">
        <v>38</v>
      </c>
      <c r="Q2976" s="80">
        <v>0</v>
      </c>
      <c r="R2976" s="80">
        <f t="shared" si="205"/>
        <v>-32</v>
      </c>
      <c r="AD2976"/>
    </row>
    <row r="2977" spans="10:30" ht="16.2" customHeight="1">
      <c r="J2977" s="80" t="s">
        <v>746</v>
      </c>
      <c r="K2977" s="80" t="s">
        <v>425</v>
      </c>
      <c r="L2977" t="s">
        <v>182</v>
      </c>
      <c r="M2977" t="s">
        <v>735</v>
      </c>
      <c r="N2977" t="str">
        <f t="shared" si="204"/>
        <v>Double FrontVanda Versatrak 25 Rod with GlidesBetween Level and Normal 2073Versatrak 25mm Glide Front and 16mm Glide Back Combo Bracket</v>
      </c>
      <c r="O2977">
        <v>48</v>
      </c>
      <c r="P2977">
        <v>38</v>
      </c>
      <c r="Q2977" s="80">
        <v>0</v>
      </c>
      <c r="R2977" s="80">
        <f t="shared" si="205"/>
        <v>-10</v>
      </c>
      <c r="AD2977"/>
    </row>
    <row r="2978" spans="10:30" ht="16.2" customHeight="1">
      <c r="J2978" s="80" t="s">
        <v>725</v>
      </c>
      <c r="K2978" s="80" t="s">
        <v>425</v>
      </c>
      <c r="L2978" t="s">
        <v>182</v>
      </c>
      <c r="M2978" t="s">
        <v>735</v>
      </c>
      <c r="N2978" t="str">
        <f t="shared" si="204"/>
        <v>SingleVanda Versatrak 25 Rod with GlidesBetween Level and Normal 2073Versatrak 25mm Glide Front and 16mm Glide Back Combo Bracket</v>
      </c>
      <c r="O2978">
        <v>47</v>
      </c>
      <c r="P2978">
        <v>38</v>
      </c>
      <c r="Q2978" s="80">
        <v>0</v>
      </c>
      <c r="R2978" s="80">
        <f t="shared" si="205"/>
        <v>-9</v>
      </c>
      <c r="AD2978"/>
    </row>
    <row r="2979" spans="10:30" ht="16.2" customHeight="1">
      <c r="J2979" s="80" t="s">
        <v>746</v>
      </c>
      <c r="K2979" s="80" t="s">
        <v>425</v>
      </c>
      <c r="L2979" t="s">
        <v>184</v>
      </c>
      <c r="M2979" t="s">
        <v>735</v>
      </c>
      <c r="N2979" t="str">
        <f t="shared" si="204"/>
        <v>Double FrontVanda Versatrak 25 Rod with GlidesDecorator 2071Versatrak 25mm Glide Front and 16mm Glide Back Combo Bracket</v>
      </c>
      <c r="O2979">
        <v>20</v>
      </c>
      <c r="P2979">
        <v>38</v>
      </c>
      <c r="Q2979" s="80">
        <v>0</v>
      </c>
      <c r="R2979" s="80">
        <f t="shared" si="205"/>
        <v>18</v>
      </c>
      <c r="AD2979"/>
    </row>
    <row r="2980" spans="10:30" ht="16.2" customHeight="1">
      <c r="J2980" s="80" t="s">
        <v>725</v>
      </c>
      <c r="K2980" s="80" t="s">
        <v>425</v>
      </c>
      <c r="L2980" t="s">
        <v>184</v>
      </c>
      <c r="M2980" t="s">
        <v>735</v>
      </c>
      <c r="N2980" t="str">
        <f t="shared" si="204"/>
        <v>SingleVanda Versatrak 25 Rod with GlidesDecorator 2071Versatrak 25mm Glide Front and 16mm Glide Back Combo Bracket</v>
      </c>
      <c r="O2980">
        <v>20</v>
      </c>
      <c r="P2980">
        <v>38</v>
      </c>
      <c r="Q2980" s="80">
        <v>0</v>
      </c>
      <c r="R2980" s="80">
        <f t="shared" si="205"/>
        <v>18</v>
      </c>
      <c r="AD2980"/>
    </row>
    <row r="2981" spans="10:30" ht="16.2" customHeight="1">
      <c r="J2981" s="80" t="s">
        <v>725</v>
      </c>
      <c r="K2981" s="80" t="s">
        <v>425</v>
      </c>
      <c r="L2981" t="s">
        <v>6468</v>
      </c>
      <c r="M2981" t="s">
        <v>735</v>
      </c>
      <c r="N2981" t="str">
        <f t="shared" si="204"/>
        <v>SingleVanda Versatrak 25 Rod with GlidesGather Hook Bottom PocketVersatrak 25mm Glide Front and 16mm Glide Back Combo Bracket</v>
      </c>
      <c r="O2981">
        <v>60</v>
      </c>
      <c r="P2981">
        <v>38</v>
      </c>
      <c r="Q2981" s="80">
        <v>0</v>
      </c>
      <c r="R2981" s="80">
        <f t="shared" si="205"/>
        <v>-22</v>
      </c>
      <c r="AD2981"/>
    </row>
    <row r="2982" spans="10:30" ht="16.2" customHeight="1">
      <c r="J2982" s="80" t="s">
        <v>746</v>
      </c>
      <c r="K2982" s="80" t="s">
        <v>425</v>
      </c>
      <c r="L2982" t="s">
        <v>229</v>
      </c>
      <c r="M2982" t="s">
        <v>735</v>
      </c>
      <c r="N2982" t="str">
        <f t="shared" si="204"/>
        <v>Double FrontVanda Versatrak 25 Rod with GlidesGather Hook LevelVersatrak 25mm Glide Front and 16mm Glide Back Combo Bracket</v>
      </c>
      <c r="O2982">
        <v>20</v>
      </c>
      <c r="P2982">
        <v>38</v>
      </c>
      <c r="Q2982" s="80">
        <v>0</v>
      </c>
      <c r="R2982" s="80">
        <f t="shared" si="205"/>
        <v>18</v>
      </c>
      <c r="AD2982"/>
    </row>
    <row r="2983" spans="10:30" ht="16.2" customHeight="1">
      <c r="J2983" s="80" t="s">
        <v>725</v>
      </c>
      <c r="K2983" s="80" t="s">
        <v>425</v>
      </c>
      <c r="L2983" t="s">
        <v>229</v>
      </c>
      <c r="M2983" t="s">
        <v>735</v>
      </c>
      <c r="N2983" t="str">
        <f t="shared" si="204"/>
        <v>SingleVanda Versatrak 25 Rod with GlidesGather Hook LevelVersatrak 25mm Glide Front and 16mm Glide Back Combo Bracket</v>
      </c>
      <c r="O2983">
        <v>20</v>
      </c>
      <c r="P2983">
        <v>38</v>
      </c>
      <c r="Q2983" s="80">
        <v>0</v>
      </c>
      <c r="R2983" s="80">
        <f t="shared" si="205"/>
        <v>18</v>
      </c>
      <c r="AD2983"/>
    </row>
    <row r="2984" spans="10:30" ht="16.2" customHeight="1">
      <c r="J2984" s="80" t="s">
        <v>746</v>
      </c>
      <c r="K2984" s="80" t="s">
        <v>425</v>
      </c>
      <c r="L2984" t="s">
        <v>228</v>
      </c>
      <c r="M2984" t="s">
        <v>735</v>
      </c>
      <c r="N2984" t="str">
        <f t="shared" si="204"/>
        <v>Double FrontVanda Versatrak 25 Rod with GlidesGather Hook NormalVersatrak 25mm Glide Front and 16mm Glide Back Combo Bracket</v>
      </c>
      <c r="O2984">
        <v>43</v>
      </c>
      <c r="P2984">
        <v>38</v>
      </c>
      <c r="Q2984" s="80">
        <v>0</v>
      </c>
      <c r="R2984" s="80">
        <f t="shared" si="205"/>
        <v>-5</v>
      </c>
      <c r="AD2984"/>
    </row>
    <row r="2985" spans="10:30" ht="16.2" customHeight="1">
      <c r="J2985" s="80" t="s">
        <v>725</v>
      </c>
      <c r="K2985" s="80" t="s">
        <v>425</v>
      </c>
      <c r="L2985" t="s">
        <v>228</v>
      </c>
      <c r="M2985" t="s">
        <v>735</v>
      </c>
      <c r="N2985" t="str">
        <f t="shared" si="204"/>
        <v>SingleVanda Versatrak 25 Rod with GlidesGather Hook NormalVersatrak 25mm Glide Front and 16mm Glide Back Combo Bracket</v>
      </c>
      <c r="O2985">
        <v>43</v>
      </c>
      <c r="P2985">
        <v>38</v>
      </c>
      <c r="Q2985" s="80">
        <v>0</v>
      </c>
      <c r="R2985" s="80">
        <f t="shared" si="205"/>
        <v>-5</v>
      </c>
      <c r="AD2985"/>
    </row>
    <row r="2986" spans="10:30" ht="16.2" customHeight="1">
      <c r="J2986" s="80" t="s">
        <v>746</v>
      </c>
      <c r="K2986" s="80" t="s">
        <v>425</v>
      </c>
      <c r="L2986" t="s">
        <v>282</v>
      </c>
      <c r="M2986" t="s">
        <v>735</v>
      </c>
      <c r="N2986" t="str">
        <f t="shared" si="204"/>
        <v>Double FrontVanda Versatrak 25 Rod with GlidesLevel 2072Versatrak 25mm Glide Front and 16mm Glide Back Combo Bracket</v>
      </c>
      <c r="O2986">
        <v>38</v>
      </c>
      <c r="P2986">
        <v>38</v>
      </c>
      <c r="Q2986" s="80">
        <v>0</v>
      </c>
      <c r="R2986" s="80">
        <f t="shared" si="205"/>
        <v>0</v>
      </c>
      <c r="AD2986"/>
    </row>
    <row r="2987" spans="10:30" ht="16.2" customHeight="1">
      <c r="J2987" s="80" t="s">
        <v>725</v>
      </c>
      <c r="K2987" s="80" t="s">
        <v>425</v>
      </c>
      <c r="L2987" t="s">
        <v>282</v>
      </c>
      <c r="M2987" t="s">
        <v>735</v>
      </c>
      <c r="N2987" t="str">
        <f t="shared" si="204"/>
        <v>SingleVanda Versatrak 25 Rod with GlidesLevel 2072Versatrak 25mm Glide Front and 16mm Glide Back Combo Bracket</v>
      </c>
      <c r="O2987">
        <v>35</v>
      </c>
      <c r="P2987">
        <v>38</v>
      </c>
      <c r="Q2987" s="80">
        <v>0</v>
      </c>
      <c r="R2987" s="80">
        <f t="shared" si="205"/>
        <v>3</v>
      </c>
      <c r="AD2987"/>
    </row>
    <row r="2988" spans="10:30" ht="16.2" customHeight="1">
      <c r="J2988" s="80" t="s">
        <v>746</v>
      </c>
      <c r="K2988" s="80" t="s">
        <v>425</v>
      </c>
      <c r="L2988" t="s">
        <v>170</v>
      </c>
      <c r="M2988" t="s">
        <v>735</v>
      </c>
      <c r="N2988" t="str">
        <f t="shared" si="204"/>
        <v>Double FrontVanda Versatrak 25 Rod with GlidesNormal 2074Versatrak 25mm Glide Front and 16mm Glide Back Combo Bracket</v>
      </c>
      <c r="O2988">
        <v>60</v>
      </c>
      <c r="P2988">
        <v>38</v>
      </c>
      <c r="Q2988" s="80">
        <v>0</v>
      </c>
      <c r="R2988" s="80">
        <f t="shared" si="205"/>
        <v>-22</v>
      </c>
      <c r="AD2988"/>
    </row>
    <row r="2989" spans="10:30" ht="16.2" customHeight="1">
      <c r="J2989" s="80" t="s">
        <v>725</v>
      </c>
      <c r="K2989" s="80" t="s">
        <v>425</v>
      </c>
      <c r="L2989" t="s">
        <v>170</v>
      </c>
      <c r="M2989" t="s">
        <v>735</v>
      </c>
      <c r="N2989" t="str">
        <f t="shared" si="204"/>
        <v>SingleVanda Versatrak 25 Rod with GlidesNormal 2074Versatrak 25mm Glide Front and 16mm Glide Back Combo Bracket</v>
      </c>
      <c r="O2989">
        <v>60</v>
      </c>
      <c r="P2989">
        <v>38</v>
      </c>
      <c r="Q2989" s="80">
        <v>0</v>
      </c>
      <c r="R2989" s="80">
        <f t="shared" si="205"/>
        <v>-22</v>
      </c>
      <c r="AD2989"/>
    </row>
    <row r="2990" spans="10:30" ht="16.2" customHeight="1">
      <c r="J2990" s="80" t="s">
        <v>746</v>
      </c>
      <c r="K2990" s="80" t="s">
        <v>425</v>
      </c>
      <c r="L2990" t="s">
        <v>183</v>
      </c>
      <c r="M2990" t="s">
        <v>736</v>
      </c>
      <c r="N2990" t="str">
        <f t="shared" si="204"/>
        <v>Double FrontVanda Versatrak 25 Rod with GlidesBelow Normal 2075Versatrak 25mm Ring Front and 16mm Glide Back Combo Bracket</v>
      </c>
      <c r="O2990">
        <v>70</v>
      </c>
      <c r="P2990">
        <v>52</v>
      </c>
      <c r="Q2990" s="80">
        <v>0</v>
      </c>
      <c r="R2990" s="80">
        <f t="shared" si="205"/>
        <v>-18</v>
      </c>
      <c r="AD2990"/>
    </row>
    <row r="2991" spans="10:30" ht="16.2" customHeight="1">
      <c r="J2991" s="80" t="s">
        <v>725</v>
      </c>
      <c r="K2991" s="80" t="s">
        <v>425</v>
      </c>
      <c r="L2991" t="s">
        <v>183</v>
      </c>
      <c r="M2991" t="s">
        <v>736</v>
      </c>
      <c r="N2991" t="str">
        <f t="shared" si="204"/>
        <v>SingleVanda Versatrak 25 Rod with GlidesBelow Normal 2075Versatrak 25mm Ring Front and 16mm Glide Back Combo Bracket</v>
      </c>
      <c r="O2991">
        <v>70</v>
      </c>
      <c r="P2991">
        <v>52</v>
      </c>
      <c r="Q2991" s="80">
        <v>0</v>
      </c>
      <c r="R2991" s="80">
        <f t="shared" si="205"/>
        <v>-18</v>
      </c>
      <c r="AD2991"/>
    </row>
    <row r="2992" spans="10:30" ht="16.2" customHeight="1">
      <c r="J2992" s="80" t="s">
        <v>746</v>
      </c>
      <c r="K2992" s="80" t="s">
        <v>425</v>
      </c>
      <c r="L2992" t="s">
        <v>182</v>
      </c>
      <c r="M2992" t="s">
        <v>736</v>
      </c>
      <c r="N2992" t="str">
        <f t="shared" si="204"/>
        <v>Double FrontVanda Versatrak 25 Rod with GlidesBetween Level and Normal 2073Versatrak 25mm Ring Front and 16mm Glide Back Combo Bracket</v>
      </c>
      <c r="O2992">
        <v>48</v>
      </c>
      <c r="P2992">
        <v>52</v>
      </c>
      <c r="Q2992" s="80">
        <v>0</v>
      </c>
      <c r="R2992" s="80">
        <f t="shared" si="205"/>
        <v>4</v>
      </c>
      <c r="AD2992"/>
    </row>
    <row r="2993" spans="10:30" ht="16.2" customHeight="1">
      <c r="J2993" s="80" t="s">
        <v>725</v>
      </c>
      <c r="K2993" s="80" t="s">
        <v>425</v>
      </c>
      <c r="L2993" t="s">
        <v>182</v>
      </c>
      <c r="M2993" t="s">
        <v>736</v>
      </c>
      <c r="N2993" t="str">
        <f t="shared" si="204"/>
        <v>SingleVanda Versatrak 25 Rod with GlidesBetween Level and Normal 2073Versatrak 25mm Ring Front and 16mm Glide Back Combo Bracket</v>
      </c>
      <c r="O2993">
        <v>47</v>
      </c>
      <c r="P2993">
        <v>52</v>
      </c>
      <c r="Q2993" s="80">
        <v>0</v>
      </c>
      <c r="R2993" s="80">
        <f t="shared" si="205"/>
        <v>5</v>
      </c>
      <c r="AD2993"/>
    </row>
    <row r="2994" spans="10:30" ht="16.2" customHeight="1">
      <c r="J2994" s="80" t="s">
        <v>746</v>
      </c>
      <c r="K2994" s="80" t="s">
        <v>425</v>
      </c>
      <c r="L2994" t="s">
        <v>184</v>
      </c>
      <c r="M2994" t="s">
        <v>736</v>
      </c>
      <c r="N2994" t="str">
        <f t="shared" si="204"/>
        <v>Double FrontVanda Versatrak 25 Rod with GlidesDecorator 2071Versatrak 25mm Ring Front and 16mm Glide Back Combo Bracket</v>
      </c>
      <c r="O2994">
        <v>20</v>
      </c>
      <c r="P2994">
        <v>52</v>
      </c>
      <c r="Q2994" s="80">
        <v>0</v>
      </c>
      <c r="R2994" s="80">
        <f t="shared" si="205"/>
        <v>32</v>
      </c>
      <c r="AD2994"/>
    </row>
    <row r="2995" spans="10:30" ht="16.2" customHeight="1">
      <c r="J2995" s="80" t="s">
        <v>725</v>
      </c>
      <c r="K2995" s="80" t="s">
        <v>425</v>
      </c>
      <c r="L2995" t="s">
        <v>184</v>
      </c>
      <c r="M2995" t="s">
        <v>736</v>
      </c>
      <c r="N2995" t="str">
        <f t="shared" si="204"/>
        <v>SingleVanda Versatrak 25 Rod with GlidesDecorator 2071Versatrak 25mm Ring Front and 16mm Glide Back Combo Bracket</v>
      </c>
      <c r="O2995">
        <v>20</v>
      </c>
      <c r="P2995">
        <v>52</v>
      </c>
      <c r="Q2995" s="80">
        <v>0</v>
      </c>
      <c r="R2995" s="80">
        <f t="shared" si="205"/>
        <v>32</v>
      </c>
      <c r="AD2995"/>
    </row>
    <row r="2996" spans="10:30" ht="16.2" customHeight="1">
      <c r="J2996" s="80" t="s">
        <v>725</v>
      </c>
      <c r="K2996" s="80" t="s">
        <v>425</v>
      </c>
      <c r="L2996" t="s">
        <v>6468</v>
      </c>
      <c r="M2996" t="s">
        <v>736</v>
      </c>
      <c r="N2996" t="str">
        <f t="shared" si="204"/>
        <v>SingleVanda Versatrak 25 Rod with GlidesGather Hook Bottom PocketVersatrak 25mm Ring Front and 16mm Glide Back Combo Bracket</v>
      </c>
      <c r="O2996">
        <v>60</v>
      </c>
      <c r="P2996">
        <v>52</v>
      </c>
      <c r="Q2996" s="80">
        <v>0</v>
      </c>
      <c r="R2996" s="80">
        <f t="shared" si="205"/>
        <v>-8</v>
      </c>
      <c r="AD2996"/>
    </row>
    <row r="2997" spans="10:30" ht="16.2" customHeight="1">
      <c r="J2997" s="80" t="s">
        <v>746</v>
      </c>
      <c r="K2997" s="80" t="s">
        <v>425</v>
      </c>
      <c r="L2997" t="s">
        <v>229</v>
      </c>
      <c r="M2997" t="s">
        <v>736</v>
      </c>
      <c r="N2997" t="str">
        <f t="shared" si="204"/>
        <v>Double FrontVanda Versatrak 25 Rod with GlidesGather Hook LevelVersatrak 25mm Ring Front and 16mm Glide Back Combo Bracket</v>
      </c>
      <c r="O2997">
        <v>20</v>
      </c>
      <c r="P2997">
        <v>52</v>
      </c>
      <c r="Q2997" s="80">
        <v>0</v>
      </c>
      <c r="R2997" s="80">
        <f t="shared" si="205"/>
        <v>32</v>
      </c>
      <c r="AD2997"/>
    </row>
    <row r="2998" spans="10:30" ht="16.2" customHeight="1">
      <c r="J2998" s="80" t="s">
        <v>725</v>
      </c>
      <c r="K2998" s="80" t="s">
        <v>425</v>
      </c>
      <c r="L2998" t="s">
        <v>229</v>
      </c>
      <c r="M2998" t="s">
        <v>736</v>
      </c>
      <c r="N2998" t="str">
        <f t="shared" si="204"/>
        <v>SingleVanda Versatrak 25 Rod with GlidesGather Hook LevelVersatrak 25mm Ring Front and 16mm Glide Back Combo Bracket</v>
      </c>
      <c r="O2998">
        <v>20</v>
      </c>
      <c r="P2998">
        <v>52</v>
      </c>
      <c r="Q2998" s="80">
        <v>0</v>
      </c>
      <c r="R2998" s="80">
        <f t="shared" si="205"/>
        <v>32</v>
      </c>
      <c r="AD2998"/>
    </row>
    <row r="2999" spans="10:30" ht="16.2" customHeight="1">
      <c r="J2999" s="80" t="s">
        <v>746</v>
      </c>
      <c r="K2999" s="80" t="s">
        <v>425</v>
      </c>
      <c r="L2999" t="s">
        <v>228</v>
      </c>
      <c r="M2999" t="s">
        <v>736</v>
      </c>
      <c r="N2999" t="str">
        <f t="shared" si="204"/>
        <v>Double FrontVanda Versatrak 25 Rod with GlidesGather Hook NormalVersatrak 25mm Ring Front and 16mm Glide Back Combo Bracket</v>
      </c>
      <c r="O2999">
        <v>43</v>
      </c>
      <c r="P2999">
        <v>52</v>
      </c>
      <c r="Q2999" s="80">
        <v>0</v>
      </c>
      <c r="R2999" s="80">
        <f t="shared" si="205"/>
        <v>9</v>
      </c>
      <c r="AD2999"/>
    </row>
    <row r="3000" spans="10:30" ht="16.2" customHeight="1">
      <c r="J3000" s="80" t="s">
        <v>725</v>
      </c>
      <c r="K3000" s="80" t="s">
        <v>425</v>
      </c>
      <c r="L3000" t="s">
        <v>228</v>
      </c>
      <c r="M3000" t="s">
        <v>736</v>
      </c>
      <c r="N3000" t="str">
        <f t="shared" si="204"/>
        <v>SingleVanda Versatrak 25 Rod with GlidesGather Hook NormalVersatrak 25mm Ring Front and 16mm Glide Back Combo Bracket</v>
      </c>
      <c r="O3000">
        <v>43</v>
      </c>
      <c r="P3000">
        <v>52</v>
      </c>
      <c r="Q3000" s="80">
        <v>0</v>
      </c>
      <c r="R3000" s="80">
        <f t="shared" si="205"/>
        <v>9</v>
      </c>
      <c r="AD3000"/>
    </row>
    <row r="3001" spans="10:30" ht="16.2" customHeight="1">
      <c r="J3001" s="80" t="s">
        <v>746</v>
      </c>
      <c r="K3001" s="80" t="s">
        <v>425</v>
      </c>
      <c r="L3001" t="s">
        <v>282</v>
      </c>
      <c r="M3001" t="s">
        <v>736</v>
      </c>
      <c r="N3001" t="str">
        <f t="shared" si="204"/>
        <v>Double FrontVanda Versatrak 25 Rod with GlidesLevel 2072Versatrak 25mm Ring Front and 16mm Glide Back Combo Bracket</v>
      </c>
      <c r="O3001">
        <v>38</v>
      </c>
      <c r="P3001">
        <v>52</v>
      </c>
      <c r="Q3001" s="80">
        <v>0</v>
      </c>
      <c r="R3001" s="80">
        <f t="shared" si="205"/>
        <v>14</v>
      </c>
      <c r="AD3001"/>
    </row>
    <row r="3002" spans="10:30" ht="16.2" customHeight="1">
      <c r="J3002" s="80" t="s">
        <v>725</v>
      </c>
      <c r="K3002" s="80" t="s">
        <v>425</v>
      </c>
      <c r="L3002" t="s">
        <v>282</v>
      </c>
      <c r="M3002" t="s">
        <v>736</v>
      </c>
      <c r="N3002" t="str">
        <f t="shared" si="204"/>
        <v>SingleVanda Versatrak 25 Rod with GlidesLevel 2072Versatrak 25mm Ring Front and 16mm Glide Back Combo Bracket</v>
      </c>
      <c r="O3002">
        <v>35</v>
      </c>
      <c r="P3002">
        <v>52</v>
      </c>
      <c r="Q3002" s="80">
        <v>0</v>
      </c>
      <c r="R3002" s="80">
        <f t="shared" si="205"/>
        <v>17</v>
      </c>
      <c r="AD3002"/>
    </row>
    <row r="3003" spans="10:30" ht="16.2" customHeight="1">
      <c r="J3003" s="80" t="s">
        <v>746</v>
      </c>
      <c r="K3003" s="80" t="s">
        <v>425</v>
      </c>
      <c r="L3003" t="s">
        <v>170</v>
      </c>
      <c r="M3003" t="s">
        <v>736</v>
      </c>
      <c r="N3003" t="str">
        <f t="shared" si="204"/>
        <v>Double FrontVanda Versatrak 25 Rod with GlidesNormal 2074Versatrak 25mm Ring Front and 16mm Glide Back Combo Bracket</v>
      </c>
      <c r="O3003">
        <v>60</v>
      </c>
      <c r="P3003">
        <v>52</v>
      </c>
      <c r="Q3003" s="80">
        <v>0</v>
      </c>
      <c r="R3003" s="80">
        <f t="shared" si="205"/>
        <v>-8</v>
      </c>
      <c r="AD3003"/>
    </row>
    <row r="3004" spans="10:30" ht="16.2" customHeight="1">
      <c r="J3004" s="80" t="s">
        <v>725</v>
      </c>
      <c r="K3004" s="80" t="s">
        <v>425</v>
      </c>
      <c r="L3004" t="s">
        <v>170</v>
      </c>
      <c r="M3004" t="s">
        <v>736</v>
      </c>
      <c r="N3004" t="str">
        <f t="shared" si="204"/>
        <v>SingleVanda Versatrak 25 Rod with GlidesNormal 2074Versatrak 25mm Ring Front and 16mm Glide Back Combo Bracket</v>
      </c>
      <c r="O3004">
        <v>60</v>
      </c>
      <c r="P3004">
        <v>52</v>
      </c>
      <c r="Q3004" s="80">
        <v>0</v>
      </c>
      <c r="R3004" s="80">
        <f t="shared" si="205"/>
        <v>-8</v>
      </c>
      <c r="AD3004"/>
    </row>
    <row r="3005" spans="10:30" ht="16.2" customHeight="1">
      <c r="J3005" s="80" t="s">
        <v>746</v>
      </c>
      <c r="K3005" s="80" t="s">
        <v>425</v>
      </c>
      <c r="L3005" t="s">
        <v>183</v>
      </c>
      <c r="M3005" t="s">
        <v>734</v>
      </c>
      <c r="N3005" t="str">
        <f t="shared" si="204"/>
        <v>Double FrontVanda Versatrak 25 Rod with GlidesBelow Normal 2075Versatrak 25mm Ring Front and 25mm Glide Back Combo Bracket</v>
      </c>
      <c r="O3005">
        <v>70</v>
      </c>
      <c r="P3005">
        <v>52</v>
      </c>
      <c r="Q3005" s="80">
        <v>0</v>
      </c>
      <c r="R3005" s="80">
        <f t="shared" si="205"/>
        <v>-18</v>
      </c>
      <c r="AD3005"/>
    </row>
    <row r="3006" spans="10:30" ht="16.2" customHeight="1">
      <c r="J3006" s="80" t="s">
        <v>747</v>
      </c>
      <c r="K3006" s="80" t="s">
        <v>425</v>
      </c>
      <c r="L3006" t="s">
        <v>183</v>
      </c>
      <c r="M3006" t="s">
        <v>734</v>
      </c>
      <c r="N3006" t="str">
        <f t="shared" si="204"/>
        <v>Double RearVanda Versatrak 25 Rod with GlidesBelow Normal 2075Versatrak 25mm Ring Front and 25mm Glide Back Combo Bracket</v>
      </c>
      <c r="O3006">
        <v>70</v>
      </c>
      <c r="P3006">
        <v>72</v>
      </c>
      <c r="Q3006" s="80">
        <v>0</v>
      </c>
      <c r="R3006" s="80">
        <f t="shared" si="205"/>
        <v>2</v>
      </c>
      <c r="AD3006"/>
    </row>
    <row r="3007" spans="10:30" ht="16.2" customHeight="1">
      <c r="J3007" s="80" t="s">
        <v>725</v>
      </c>
      <c r="K3007" s="80" t="s">
        <v>425</v>
      </c>
      <c r="L3007" t="s">
        <v>183</v>
      </c>
      <c r="M3007" t="s">
        <v>734</v>
      </c>
      <c r="N3007" t="str">
        <f t="shared" si="204"/>
        <v>SingleVanda Versatrak 25 Rod with GlidesBelow Normal 2075Versatrak 25mm Ring Front and 25mm Glide Back Combo Bracket</v>
      </c>
      <c r="O3007">
        <v>70</v>
      </c>
      <c r="P3007">
        <v>52</v>
      </c>
      <c r="Q3007" s="80">
        <v>0</v>
      </c>
      <c r="R3007" s="80">
        <f t="shared" si="205"/>
        <v>-18</v>
      </c>
      <c r="AD3007"/>
    </row>
    <row r="3008" spans="10:30" ht="16.2" customHeight="1">
      <c r="J3008" s="80" t="s">
        <v>746</v>
      </c>
      <c r="K3008" s="80" t="s">
        <v>425</v>
      </c>
      <c r="L3008" t="s">
        <v>182</v>
      </c>
      <c r="M3008" t="s">
        <v>734</v>
      </c>
      <c r="N3008" t="str">
        <f t="shared" si="204"/>
        <v>Double FrontVanda Versatrak 25 Rod with GlidesBetween Level and Normal 2073Versatrak 25mm Ring Front and 25mm Glide Back Combo Bracket</v>
      </c>
      <c r="O3008">
        <v>48</v>
      </c>
      <c r="P3008">
        <v>52</v>
      </c>
      <c r="Q3008" s="80">
        <v>0</v>
      </c>
      <c r="R3008" s="80">
        <f t="shared" si="205"/>
        <v>4</v>
      </c>
      <c r="AD3008"/>
    </row>
    <row r="3009" spans="10:30" ht="16.2" customHeight="1">
      <c r="J3009" s="80" t="s">
        <v>747</v>
      </c>
      <c r="K3009" s="80" t="s">
        <v>425</v>
      </c>
      <c r="L3009" t="s">
        <v>182</v>
      </c>
      <c r="M3009" t="s">
        <v>734</v>
      </c>
      <c r="N3009" t="str">
        <f t="shared" si="204"/>
        <v>Double RearVanda Versatrak 25 Rod with GlidesBetween Level and Normal 2073Versatrak 25mm Ring Front and 25mm Glide Back Combo Bracket</v>
      </c>
      <c r="O3009">
        <v>48</v>
      </c>
      <c r="P3009">
        <v>72</v>
      </c>
      <c r="Q3009" s="80">
        <v>0</v>
      </c>
      <c r="R3009" s="80">
        <f t="shared" si="205"/>
        <v>24</v>
      </c>
      <c r="AD3009"/>
    </row>
    <row r="3010" spans="10:30" ht="16.2" customHeight="1">
      <c r="J3010" s="80" t="s">
        <v>725</v>
      </c>
      <c r="K3010" s="80" t="s">
        <v>425</v>
      </c>
      <c r="L3010" t="s">
        <v>182</v>
      </c>
      <c r="M3010" t="s">
        <v>734</v>
      </c>
      <c r="N3010" t="str">
        <f t="shared" si="206" ref="N3010:N3073">(CONCATENATE(J3010,K3010,L3010,M3010))</f>
        <v>SingleVanda Versatrak 25 Rod with GlidesBetween Level and Normal 2073Versatrak 25mm Ring Front and 25mm Glide Back Combo Bracket</v>
      </c>
      <c r="O3010">
        <v>47</v>
      </c>
      <c r="P3010">
        <v>52</v>
      </c>
      <c r="Q3010" s="80">
        <v>0</v>
      </c>
      <c r="R3010" s="80">
        <f t="shared" si="205"/>
        <v>5</v>
      </c>
      <c r="AD3010"/>
    </row>
    <row r="3011" spans="10:30" ht="16.2" customHeight="1">
      <c r="J3011" s="80" t="s">
        <v>746</v>
      </c>
      <c r="K3011" s="80" t="s">
        <v>425</v>
      </c>
      <c r="L3011" t="s">
        <v>184</v>
      </c>
      <c r="M3011" t="s">
        <v>734</v>
      </c>
      <c r="N3011" t="str">
        <f t="shared" si="206"/>
        <v>Double FrontVanda Versatrak 25 Rod with GlidesDecorator 2071Versatrak 25mm Ring Front and 25mm Glide Back Combo Bracket</v>
      </c>
      <c r="O3011">
        <v>20</v>
      </c>
      <c r="P3011">
        <v>52</v>
      </c>
      <c r="Q3011" s="80">
        <v>0</v>
      </c>
      <c r="R3011" s="80">
        <f t="shared" si="205"/>
        <v>32</v>
      </c>
      <c r="AD3011"/>
    </row>
    <row r="3012" spans="10:30" ht="16.2" customHeight="1">
      <c r="J3012" s="80" t="s">
        <v>747</v>
      </c>
      <c r="K3012" s="80" t="s">
        <v>425</v>
      </c>
      <c r="L3012" t="s">
        <v>184</v>
      </c>
      <c r="M3012" t="s">
        <v>734</v>
      </c>
      <c r="N3012" t="str">
        <f t="shared" si="206"/>
        <v>Double RearVanda Versatrak 25 Rod with GlidesDecorator 2071Versatrak 25mm Ring Front and 25mm Glide Back Combo Bracket</v>
      </c>
      <c r="O3012">
        <v>20</v>
      </c>
      <c r="P3012">
        <v>72</v>
      </c>
      <c r="Q3012" s="80">
        <v>0</v>
      </c>
      <c r="R3012" s="80">
        <f t="shared" si="205"/>
        <v>52</v>
      </c>
      <c r="AD3012"/>
    </row>
    <row r="3013" spans="10:30" ht="16.2" customHeight="1">
      <c r="J3013" s="80" t="s">
        <v>725</v>
      </c>
      <c r="K3013" s="80" t="s">
        <v>425</v>
      </c>
      <c r="L3013" t="s">
        <v>184</v>
      </c>
      <c r="M3013" t="s">
        <v>734</v>
      </c>
      <c r="N3013" t="str">
        <f t="shared" si="206"/>
        <v>SingleVanda Versatrak 25 Rod with GlidesDecorator 2071Versatrak 25mm Ring Front and 25mm Glide Back Combo Bracket</v>
      </c>
      <c r="O3013">
        <v>20</v>
      </c>
      <c r="P3013">
        <v>52</v>
      </c>
      <c r="Q3013" s="80">
        <v>0</v>
      </c>
      <c r="R3013" s="80">
        <f t="shared" si="205"/>
        <v>32</v>
      </c>
      <c r="AD3013"/>
    </row>
    <row r="3014" spans="10:30" ht="16.2" customHeight="1">
      <c r="J3014" s="80" t="s">
        <v>746</v>
      </c>
      <c r="K3014" s="80" t="s">
        <v>425</v>
      </c>
      <c r="L3014" t="s">
        <v>229</v>
      </c>
      <c r="M3014" t="s">
        <v>734</v>
      </c>
      <c r="N3014" t="str">
        <f t="shared" si="206"/>
        <v>Double FrontVanda Versatrak 25 Rod with GlidesGather Hook LevelVersatrak 25mm Ring Front and 25mm Glide Back Combo Bracket</v>
      </c>
      <c r="O3014">
        <v>20</v>
      </c>
      <c r="P3014">
        <v>52</v>
      </c>
      <c r="Q3014" s="80">
        <v>0</v>
      </c>
      <c r="R3014" s="80">
        <f t="shared" si="205"/>
        <v>32</v>
      </c>
      <c r="AD3014"/>
    </row>
    <row r="3015" spans="10:30" ht="16.2" customHeight="1">
      <c r="J3015" s="80" t="s">
        <v>747</v>
      </c>
      <c r="K3015" s="80" t="s">
        <v>425</v>
      </c>
      <c r="L3015" t="s">
        <v>229</v>
      </c>
      <c r="M3015" t="s">
        <v>734</v>
      </c>
      <c r="N3015" t="str">
        <f t="shared" si="206"/>
        <v>Double RearVanda Versatrak 25 Rod with GlidesGather Hook LevelVersatrak 25mm Ring Front and 25mm Glide Back Combo Bracket</v>
      </c>
      <c r="O3015">
        <v>20</v>
      </c>
      <c r="P3015">
        <v>72</v>
      </c>
      <c r="Q3015" s="80">
        <v>0</v>
      </c>
      <c r="R3015" s="80">
        <f t="shared" si="205"/>
        <v>52</v>
      </c>
      <c r="AD3015"/>
    </row>
    <row r="3016" spans="10:30" ht="16.2" customHeight="1">
      <c r="J3016" s="80" t="s">
        <v>725</v>
      </c>
      <c r="K3016" s="80" t="s">
        <v>425</v>
      </c>
      <c r="L3016" t="s">
        <v>229</v>
      </c>
      <c r="M3016" t="s">
        <v>734</v>
      </c>
      <c r="N3016" t="str">
        <f t="shared" si="206"/>
        <v>SingleVanda Versatrak 25 Rod with GlidesGather Hook LevelVersatrak 25mm Ring Front and 25mm Glide Back Combo Bracket</v>
      </c>
      <c r="O3016">
        <v>20</v>
      </c>
      <c r="P3016">
        <v>52</v>
      </c>
      <c r="Q3016" s="80">
        <v>0</v>
      </c>
      <c r="R3016" s="80">
        <f t="shared" si="205"/>
        <v>32</v>
      </c>
      <c r="AD3016"/>
    </row>
    <row r="3017" spans="10:30" ht="16.2" customHeight="1">
      <c r="J3017" s="80" t="s">
        <v>746</v>
      </c>
      <c r="K3017" s="80" t="s">
        <v>425</v>
      </c>
      <c r="L3017" t="s">
        <v>228</v>
      </c>
      <c r="M3017" t="s">
        <v>734</v>
      </c>
      <c r="N3017" t="str">
        <f t="shared" si="206"/>
        <v>Double FrontVanda Versatrak 25 Rod with GlidesGather Hook NormalVersatrak 25mm Ring Front and 25mm Glide Back Combo Bracket</v>
      </c>
      <c r="O3017">
        <v>43</v>
      </c>
      <c r="P3017">
        <v>52</v>
      </c>
      <c r="Q3017" s="80">
        <v>0</v>
      </c>
      <c r="R3017" s="80">
        <f t="shared" si="205"/>
        <v>9</v>
      </c>
      <c r="AD3017"/>
    </row>
    <row r="3018" spans="10:30" ht="16.2" customHeight="1">
      <c r="J3018" s="80" t="s">
        <v>747</v>
      </c>
      <c r="K3018" s="80" t="s">
        <v>425</v>
      </c>
      <c r="L3018" t="s">
        <v>228</v>
      </c>
      <c r="M3018" t="s">
        <v>734</v>
      </c>
      <c r="N3018" t="str">
        <f t="shared" si="206"/>
        <v>Double RearVanda Versatrak 25 Rod with GlidesGather Hook NormalVersatrak 25mm Ring Front and 25mm Glide Back Combo Bracket</v>
      </c>
      <c r="O3018">
        <v>43</v>
      </c>
      <c r="P3018">
        <v>72</v>
      </c>
      <c r="Q3018" s="80">
        <v>0</v>
      </c>
      <c r="R3018" s="80">
        <f t="shared" si="205"/>
        <v>29</v>
      </c>
      <c r="AD3018"/>
    </row>
    <row r="3019" spans="10:30" ht="16.2" customHeight="1">
      <c r="J3019" s="80" t="s">
        <v>725</v>
      </c>
      <c r="K3019" s="80" t="s">
        <v>425</v>
      </c>
      <c r="L3019" t="s">
        <v>228</v>
      </c>
      <c r="M3019" t="s">
        <v>734</v>
      </c>
      <c r="N3019" t="str">
        <f t="shared" si="206"/>
        <v>SingleVanda Versatrak 25 Rod with GlidesGather Hook NormalVersatrak 25mm Ring Front and 25mm Glide Back Combo Bracket</v>
      </c>
      <c r="O3019">
        <v>43</v>
      </c>
      <c r="P3019">
        <v>52</v>
      </c>
      <c r="Q3019" s="80">
        <v>0</v>
      </c>
      <c r="R3019" s="80">
        <f t="shared" si="205"/>
        <v>9</v>
      </c>
      <c r="AD3019"/>
    </row>
    <row r="3020" spans="10:30" ht="16.2" customHeight="1">
      <c r="J3020" s="80" t="s">
        <v>746</v>
      </c>
      <c r="K3020" s="80" t="s">
        <v>425</v>
      </c>
      <c r="L3020" t="s">
        <v>282</v>
      </c>
      <c r="M3020" t="s">
        <v>734</v>
      </c>
      <c r="N3020" t="str">
        <f t="shared" si="206"/>
        <v>Double FrontVanda Versatrak 25 Rod with GlidesLevel 2072Versatrak 25mm Ring Front and 25mm Glide Back Combo Bracket</v>
      </c>
      <c r="O3020">
        <v>38</v>
      </c>
      <c r="P3020">
        <v>52</v>
      </c>
      <c r="Q3020" s="80">
        <v>0</v>
      </c>
      <c r="R3020" s="80">
        <f t="shared" si="205"/>
        <v>14</v>
      </c>
      <c r="AD3020"/>
    </row>
    <row r="3021" spans="10:30" ht="16.2" customHeight="1">
      <c r="J3021" s="80" t="s">
        <v>747</v>
      </c>
      <c r="K3021" s="80" t="s">
        <v>425</v>
      </c>
      <c r="L3021" t="s">
        <v>282</v>
      </c>
      <c r="M3021" t="s">
        <v>734</v>
      </c>
      <c r="N3021" t="str">
        <f t="shared" si="206"/>
        <v>Double RearVanda Versatrak 25 Rod with GlidesLevel 2072Versatrak 25mm Ring Front and 25mm Glide Back Combo Bracket</v>
      </c>
      <c r="O3021">
        <v>38</v>
      </c>
      <c r="P3021">
        <v>72</v>
      </c>
      <c r="Q3021" s="80">
        <v>0</v>
      </c>
      <c r="R3021" s="80">
        <f t="shared" si="205"/>
        <v>34</v>
      </c>
      <c r="AD3021"/>
    </row>
    <row r="3022" spans="10:30" ht="16.2" customHeight="1">
      <c r="J3022" s="80" t="s">
        <v>725</v>
      </c>
      <c r="K3022" s="80" t="s">
        <v>425</v>
      </c>
      <c r="L3022" t="s">
        <v>282</v>
      </c>
      <c r="M3022" t="s">
        <v>734</v>
      </c>
      <c r="N3022" t="str">
        <f t="shared" si="206"/>
        <v>SingleVanda Versatrak 25 Rod with GlidesLevel 2072Versatrak 25mm Ring Front and 25mm Glide Back Combo Bracket</v>
      </c>
      <c r="O3022">
        <v>35</v>
      </c>
      <c r="P3022">
        <v>52</v>
      </c>
      <c r="Q3022" s="80">
        <v>0</v>
      </c>
      <c r="R3022" s="80">
        <f t="shared" si="205"/>
        <v>17</v>
      </c>
      <c r="AD3022"/>
    </row>
    <row r="3023" spans="10:30" ht="16.2" customHeight="1">
      <c r="J3023" s="80" t="s">
        <v>746</v>
      </c>
      <c r="K3023" s="80" t="s">
        <v>425</v>
      </c>
      <c r="L3023" t="s">
        <v>170</v>
      </c>
      <c r="M3023" t="s">
        <v>734</v>
      </c>
      <c r="N3023" t="str">
        <f t="shared" si="206"/>
        <v>Double FrontVanda Versatrak 25 Rod with GlidesNormal 2074Versatrak 25mm Ring Front and 25mm Glide Back Combo Bracket</v>
      </c>
      <c r="O3023">
        <v>60</v>
      </c>
      <c r="P3023">
        <v>52</v>
      </c>
      <c r="Q3023" s="80">
        <v>0</v>
      </c>
      <c r="R3023" s="80">
        <f t="shared" si="205"/>
        <v>-8</v>
      </c>
      <c r="AD3023"/>
    </row>
    <row r="3024" spans="10:30" ht="16.2" customHeight="1">
      <c r="J3024" s="80" t="s">
        <v>747</v>
      </c>
      <c r="K3024" s="80" t="s">
        <v>425</v>
      </c>
      <c r="L3024" t="s">
        <v>170</v>
      </c>
      <c r="M3024" t="s">
        <v>734</v>
      </c>
      <c r="N3024" t="str">
        <f t="shared" si="206"/>
        <v>Double RearVanda Versatrak 25 Rod with GlidesNormal 2074Versatrak 25mm Ring Front and 25mm Glide Back Combo Bracket</v>
      </c>
      <c r="O3024">
        <v>60</v>
      </c>
      <c r="P3024">
        <v>72</v>
      </c>
      <c r="Q3024" s="80">
        <v>0</v>
      </c>
      <c r="R3024" s="80">
        <f t="shared" si="205"/>
        <v>12</v>
      </c>
      <c r="AD3024"/>
    </row>
    <row r="3025" spans="10:30" ht="16.2" customHeight="1">
      <c r="J3025" s="80" t="s">
        <v>725</v>
      </c>
      <c r="K3025" s="80" t="s">
        <v>425</v>
      </c>
      <c r="L3025" t="s">
        <v>170</v>
      </c>
      <c r="M3025" t="s">
        <v>734</v>
      </c>
      <c r="N3025" t="str">
        <f t="shared" si="206"/>
        <v>SingleVanda Versatrak 25 Rod with GlidesNormal 2074Versatrak 25mm Ring Front and 25mm Glide Back Combo Bracket</v>
      </c>
      <c r="O3025">
        <v>60</v>
      </c>
      <c r="P3025">
        <v>52</v>
      </c>
      <c r="Q3025" s="80">
        <v>0</v>
      </c>
      <c r="R3025" s="80">
        <f t="shared" si="205"/>
        <v>-8</v>
      </c>
      <c r="AD3025"/>
    </row>
    <row r="3026" spans="10:30" ht="16.2" customHeight="1">
      <c r="J3026" s="80" t="s">
        <v>746</v>
      </c>
      <c r="K3026" s="80" t="s">
        <v>425</v>
      </c>
      <c r="L3026" t="s">
        <v>183</v>
      </c>
      <c r="M3026" s="80" t="s">
        <v>727</v>
      </c>
      <c r="N3026" t="str">
        <f t="shared" si="206"/>
        <v>Double FrontVanda Versatrak 25 Rod with GlidesBelow Normal 2075Versatrak Glide Bracket 100mm</v>
      </c>
      <c r="O3026">
        <v>70</v>
      </c>
      <c r="P3026">
        <v>38</v>
      </c>
      <c r="Q3026" s="80">
        <v>0</v>
      </c>
      <c r="R3026" s="80">
        <f t="shared" si="205"/>
        <v>-32</v>
      </c>
      <c r="AD3026"/>
    </row>
    <row r="3027" spans="10:30" ht="16.2" customHeight="1">
      <c r="J3027" s="80" t="s">
        <v>747</v>
      </c>
      <c r="K3027" s="80" t="s">
        <v>425</v>
      </c>
      <c r="L3027" t="s">
        <v>183</v>
      </c>
      <c r="M3027" s="80" t="s">
        <v>727</v>
      </c>
      <c r="N3027" t="str">
        <f t="shared" si="206"/>
        <v>Double RearVanda Versatrak 25 Rod with GlidesBelow Normal 2075Versatrak Glide Bracket 100mm</v>
      </c>
      <c r="O3027">
        <v>70</v>
      </c>
      <c r="P3027">
        <v>38</v>
      </c>
      <c r="Q3027" s="80">
        <v>0</v>
      </c>
      <c r="R3027" s="80">
        <f t="shared" si="205"/>
        <v>-32</v>
      </c>
      <c r="AD3027"/>
    </row>
    <row r="3028" spans="10:30" ht="16.2" customHeight="1">
      <c r="J3028" s="80" t="s">
        <v>725</v>
      </c>
      <c r="K3028" s="80" t="s">
        <v>425</v>
      </c>
      <c r="L3028" t="s">
        <v>183</v>
      </c>
      <c r="M3028" s="80" t="s">
        <v>727</v>
      </c>
      <c r="N3028" t="str">
        <f t="shared" si="206"/>
        <v>SingleVanda Versatrak 25 Rod with GlidesBelow Normal 2075Versatrak Glide Bracket 100mm</v>
      </c>
      <c r="O3028">
        <v>70</v>
      </c>
      <c r="P3028">
        <v>38</v>
      </c>
      <c r="Q3028" s="80">
        <v>0</v>
      </c>
      <c r="R3028" s="80">
        <f t="shared" si="205"/>
        <v>-32</v>
      </c>
      <c r="AD3028"/>
    </row>
    <row r="3029" spans="10:30" ht="16.2" customHeight="1">
      <c r="J3029" s="80" t="s">
        <v>746</v>
      </c>
      <c r="K3029" s="80" t="s">
        <v>425</v>
      </c>
      <c r="L3029" t="s">
        <v>182</v>
      </c>
      <c r="M3029" s="80" t="s">
        <v>727</v>
      </c>
      <c r="N3029" t="str">
        <f t="shared" si="206"/>
        <v>Double FrontVanda Versatrak 25 Rod with GlidesBetween Level and Normal 2073Versatrak Glide Bracket 100mm</v>
      </c>
      <c r="O3029">
        <v>48</v>
      </c>
      <c r="P3029">
        <v>38</v>
      </c>
      <c r="Q3029" s="80">
        <v>0</v>
      </c>
      <c r="R3029" s="80">
        <f t="shared" si="205"/>
        <v>-10</v>
      </c>
      <c r="AD3029"/>
    </row>
    <row r="3030" spans="10:30" ht="16.2" customHeight="1">
      <c r="J3030" s="80" t="s">
        <v>747</v>
      </c>
      <c r="K3030" s="80" t="s">
        <v>425</v>
      </c>
      <c r="L3030" t="s">
        <v>182</v>
      </c>
      <c r="M3030" s="80" t="s">
        <v>727</v>
      </c>
      <c r="N3030" t="str">
        <f t="shared" si="206"/>
        <v>Double RearVanda Versatrak 25 Rod with GlidesBetween Level and Normal 2073Versatrak Glide Bracket 100mm</v>
      </c>
      <c r="O3030">
        <v>48</v>
      </c>
      <c r="P3030">
        <v>38</v>
      </c>
      <c r="Q3030" s="80">
        <v>0</v>
      </c>
      <c r="R3030" s="80">
        <f t="shared" si="205"/>
        <v>-10</v>
      </c>
      <c r="AD3030"/>
    </row>
    <row r="3031" spans="10:30" ht="16.2" customHeight="1">
      <c r="J3031" s="80" t="s">
        <v>725</v>
      </c>
      <c r="K3031" s="80" t="s">
        <v>425</v>
      </c>
      <c r="L3031" t="s">
        <v>182</v>
      </c>
      <c r="M3031" s="80" t="s">
        <v>727</v>
      </c>
      <c r="N3031" t="str">
        <f t="shared" si="206"/>
        <v>SingleVanda Versatrak 25 Rod with GlidesBetween Level and Normal 2073Versatrak Glide Bracket 100mm</v>
      </c>
      <c r="O3031">
        <v>47</v>
      </c>
      <c r="P3031">
        <v>38</v>
      </c>
      <c r="Q3031" s="80">
        <v>0</v>
      </c>
      <c r="R3031" s="80">
        <f t="shared" si="205"/>
        <v>-9</v>
      </c>
      <c r="AD3031"/>
    </row>
    <row r="3032" spans="10:30" ht="16.2" customHeight="1">
      <c r="J3032" s="80" t="s">
        <v>746</v>
      </c>
      <c r="K3032" s="80" t="s">
        <v>425</v>
      </c>
      <c r="L3032" t="s">
        <v>184</v>
      </c>
      <c r="M3032" s="80" t="s">
        <v>727</v>
      </c>
      <c r="N3032" t="str">
        <f t="shared" si="206"/>
        <v>Double FrontVanda Versatrak 25 Rod with GlidesDecorator 2071Versatrak Glide Bracket 100mm</v>
      </c>
      <c r="O3032">
        <v>20</v>
      </c>
      <c r="P3032">
        <v>38</v>
      </c>
      <c r="Q3032" s="80">
        <v>0</v>
      </c>
      <c r="R3032" s="80">
        <f t="shared" si="205"/>
        <v>18</v>
      </c>
      <c r="AD3032"/>
    </row>
    <row r="3033" spans="10:30" ht="16.2" customHeight="1">
      <c r="J3033" s="80" t="s">
        <v>747</v>
      </c>
      <c r="K3033" s="80" t="s">
        <v>425</v>
      </c>
      <c r="L3033" t="s">
        <v>184</v>
      </c>
      <c r="M3033" s="80" t="s">
        <v>727</v>
      </c>
      <c r="N3033" t="str">
        <f t="shared" si="206"/>
        <v>Double RearVanda Versatrak 25 Rod with GlidesDecorator 2071Versatrak Glide Bracket 100mm</v>
      </c>
      <c r="O3033">
        <v>20</v>
      </c>
      <c r="P3033">
        <v>38</v>
      </c>
      <c r="Q3033" s="80">
        <v>0</v>
      </c>
      <c r="R3033" s="80">
        <f t="shared" si="205"/>
        <v>18</v>
      </c>
      <c r="AD3033"/>
    </row>
    <row r="3034" spans="10:30" ht="16.2" customHeight="1">
      <c r="J3034" s="80" t="s">
        <v>725</v>
      </c>
      <c r="K3034" s="80" t="s">
        <v>425</v>
      </c>
      <c r="L3034" t="s">
        <v>184</v>
      </c>
      <c r="M3034" s="80" t="s">
        <v>727</v>
      </c>
      <c r="N3034" t="str">
        <f t="shared" si="206"/>
        <v>SingleVanda Versatrak 25 Rod with GlidesDecorator 2071Versatrak Glide Bracket 100mm</v>
      </c>
      <c r="O3034">
        <v>20</v>
      </c>
      <c r="P3034">
        <v>38</v>
      </c>
      <c r="Q3034" s="80">
        <v>0</v>
      </c>
      <c r="R3034" s="80">
        <f t="shared" si="205"/>
        <v>18</v>
      </c>
      <c r="AD3034"/>
    </row>
    <row r="3035" spans="10:30" ht="16.2" customHeight="1">
      <c r="J3035" s="80" t="s">
        <v>725</v>
      </c>
      <c r="K3035" s="80" t="s">
        <v>425</v>
      </c>
      <c r="L3035" t="s">
        <v>6468</v>
      </c>
      <c r="M3035" s="80" t="s">
        <v>727</v>
      </c>
      <c r="N3035" t="str">
        <f t="shared" si="206"/>
        <v>SingleVanda Versatrak 25 Rod with GlidesGather Hook Bottom PocketVersatrak Glide Bracket 100mm</v>
      </c>
      <c r="O3035">
        <v>60</v>
      </c>
      <c r="P3035">
        <v>38</v>
      </c>
      <c r="Q3035" s="80">
        <v>0</v>
      </c>
      <c r="R3035" s="80">
        <f t="shared" si="205"/>
        <v>-22</v>
      </c>
      <c r="AD3035"/>
    </row>
    <row r="3036" spans="10:30" ht="16.2" customHeight="1">
      <c r="J3036" s="80" t="s">
        <v>746</v>
      </c>
      <c r="K3036" s="80" t="s">
        <v>425</v>
      </c>
      <c r="L3036" t="s">
        <v>229</v>
      </c>
      <c r="M3036" s="80" t="s">
        <v>727</v>
      </c>
      <c r="N3036" t="str">
        <f t="shared" si="206"/>
        <v>Double FrontVanda Versatrak 25 Rod with GlidesGather Hook LevelVersatrak Glide Bracket 100mm</v>
      </c>
      <c r="O3036">
        <v>20</v>
      </c>
      <c r="P3036">
        <v>38</v>
      </c>
      <c r="Q3036" s="80">
        <v>0</v>
      </c>
      <c r="R3036" s="80">
        <f t="shared" si="205"/>
        <v>18</v>
      </c>
      <c r="AD3036"/>
    </row>
    <row r="3037" spans="10:30" ht="16.2" customHeight="1">
      <c r="J3037" s="80" t="s">
        <v>747</v>
      </c>
      <c r="K3037" s="80" t="s">
        <v>425</v>
      </c>
      <c r="L3037" t="s">
        <v>229</v>
      </c>
      <c r="M3037" s="80" t="s">
        <v>727</v>
      </c>
      <c r="N3037" t="str">
        <f t="shared" si="206"/>
        <v>Double RearVanda Versatrak 25 Rod with GlidesGather Hook LevelVersatrak Glide Bracket 100mm</v>
      </c>
      <c r="O3037">
        <v>20</v>
      </c>
      <c r="P3037">
        <v>38</v>
      </c>
      <c r="Q3037" s="80">
        <v>0</v>
      </c>
      <c r="R3037" s="80">
        <f t="shared" si="205"/>
        <v>18</v>
      </c>
      <c r="AD3037"/>
    </row>
    <row r="3038" spans="10:30" ht="16.2" customHeight="1">
      <c r="J3038" s="80" t="s">
        <v>725</v>
      </c>
      <c r="K3038" s="80" t="s">
        <v>425</v>
      </c>
      <c r="L3038" t="s">
        <v>229</v>
      </c>
      <c r="M3038" s="80" t="s">
        <v>727</v>
      </c>
      <c r="N3038" t="str">
        <f t="shared" si="206"/>
        <v>SingleVanda Versatrak 25 Rod with GlidesGather Hook LevelVersatrak Glide Bracket 100mm</v>
      </c>
      <c r="O3038">
        <v>20</v>
      </c>
      <c r="P3038">
        <v>38</v>
      </c>
      <c r="Q3038" s="80">
        <v>0</v>
      </c>
      <c r="R3038" s="80">
        <f t="shared" si="205"/>
        <v>18</v>
      </c>
      <c r="AD3038"/>
    </row>
    <row r="3039" spans="10:30" ht="16.2" customHeight="1">
      <c r="J3039" s="80" t="s">
        <v>746</v>
      </c>
      <c r="K3039" s="80" t="s">
        <v>425</v>
      </c>
      <c r="L3039" t="s">
        <v>228</v>
      </c>
      <c r="M3039" s="80" t="s">
        <v>727</v>
      </c>
      <c r="N3039" t="str">
        <f t="shared" si="206"/>
        <v>Double FrontVanda Versatrak 25 Rod with GlidesGather Hook NormalVersatrak Glide Bracket 100mm</v>
      </c>
      <c r="O3039">
        <v>43</v>
      </c>
      <c r="P3039">
        <v>38</v>
      </c>
      <c r="Q3039" s="80">
        <v>0</v>
      </c>
      <c r="R3039" s="80">
        <f t="shared" si="207" ref="R3039:R3102">SUM(P3039)-O3039</f>
        <v>-5</v>
      </c>
      <c r="AD3039"/>
    </row>
    <row r="3040" spans="10:30" ht="16.2" customHeight="1">
      <c r="J3040" s="80" t="s">
        <v>747</v>
      </c>
      <c r="K3040" s="80" t="s">
        <v>425</v>
      </c>
      <c r="L3040" t="s">
        <v>228</v>
      </c>
      <c r="M3040" s="80" t="s">
        <v>727</v>
      </c>
      <c r="N3040" t="str">
        <f t="shared" si="206"/>
        <v>Double RearVanda Versatrak 25 Rod with GlidesGather Hook NormalVersatrak Glide Bracket 100mm</v>
      </c>
      <c r="O3040">
        <v>43</v>
      </c>
      <c r="P3040">
        <v>38</v>
      </c>
      <c r="Q3040" s="80">
        <v>0</v>
      </c>
      <c r="R3040" s="80">
        <f t="shared" si="207"/>
        <v>-5</v>
      </c>
      <c r="AD3040"/>
    </row>
    <row r="3041" spans="10:30" ht="16.2" customHeight="1">
      <c r="J3041" s="80" t="s">
        <v>725</v>
      </c>
      <c r="K3041" s="80" t="s">
        <v>425</v>
      </c>
      <c r="L3041" t="s">
        <v>228</v>
      </c>
      <c r="M3041" s="80" t="s">
        <v>727</v>
      </c>
      <c r="N3041" t="str">
        <f t="shared" si="206"/>
        <v>SingleVanda Versatrak 25 Rod with GlidesGather Hook NormalVersatrak Glide Bracket 100mm</v>
      </c>
      <c r="O3041">
        <v>43</v>
      </c>
      <c r="P3041">
        <v>38</v>
      </c>
      <c r="Q3041" s="80">
        <v>0</v>
      </c>
      <c r="R3041" s="80">
        <f t="shared" si="207"/>
        <v>-5</v>
      </c>
      <c r="AD3041"/>
    </row>
    <row r="3042" spans="10:30" ht="16.2" customHeight="1">
      <c r="J3042" s="80" t="s">
        <v>746</v>
      </c>
      <c r="K3042" s="80" t="s">
        <v>425</v>
      </c>
      <c r="L3042" t="s">
        <v>282</v>
      </c>
      <c r="M3042" s="80" t="s">
        <v>727</v>
      </c>
      <c r="N3042" t="str">
        <f t="shared" si="206"/>
        <v>Double FrontVanda Versatrak 25 Rod with GlidesLevel 2072Versatrak Glide Bracket 100mm</v>
      </c>
      <c r="O3042">
        <v>38</v>
      </c>
      <c r="P3042">
        <v>38</v>
      </c>
      <c r="Q3042" s="80">
        <v>0</v>
      </c>
      <c r="R3042" s="80">
        <f t="shared" si="207"/>
        <v>0</v>
      </c>
      <c r="AD3042"/>
    </row>
    <row r="3043" spans="10:30" ht="16.2" customHeight="1">
      <c r="J3043" s="80" t="s">
        <v>747</v>
      </c>
      <c r="K3043" s="80" t="s">
        <v>425</v>
      </c>
      <c r="L3043" t="s">
        <v>282</v>
      </c>
      <c r="M3043" s="80" t="s">
        <v>727</v>
      </c>
      <c r="N3043" t="str">
        <f t="shared" si="206"/>
        <v>Double RearVanda Versatrak 25 Rod with GlidesLevel 2072Versatrak Glide Bracket 100mm</v>
      </c>
      <c r="O3043">
        <v>38</v>
      </c>
      <c r="P3043">
        <v>38</v>
      </c>
      <c r="Q3043" s="80">
        <v>0</v>
      </c>
      <c r="R3043" s="80">
        <f t="shared" si="207"/>
        <v>0</v>
      </c>
      <c r="AD3043"/>
    </row>
    <row r="3044" spans="10:30" ht="16.2" customHeight="1">
      <c r="J3044" s="80" t="s">
        <v>725</v>
      </c>
      <c r="K3044" s="80" t="s">
        <v>425</v>
      </c>
      <c r="L3044" t="s">
        <v>282</v>
      </c>
      <c r="M3044" s="80" t="s">
        <v>727</v>
      </c>
      <c r="N3044" t="str">
        <f t="shared" si="206"/>
        <v>SingleVanda Versatrak 25 Rod with GlidesLevel 2072Versatrak Glide Bracket 100mm</v>
      </c>
      <c r="O3044">
        <v>35</v>
      </c>
      <c r="P3044">
        <v>38</v>
      </c>
      <c r="Q3044" s="80">
        <v>0</v>
      </c>
      <c r="R3044" s="80">
        <f t="shared" si="207"/>
        <v>3</v>
      </c>
      <c r="AD3044"/>
    </row>
    <row r="3045" spans="10:30" ht="16.2" customHeight="1">
      <c r="J3045" s="80" t="s">
        <v>746</v>
      </c>
      <c r="K3045" s="80" t="s">
        <v>425</v>
      </c>
      <c r="L3045" t="s">
        <v>170</v>
      </c>
      <c r="M3045" s="80" t="s">
        <v>727</v>
      </c>
      <c r="N3045" t="str">
        <f t="shared" si="206"/>
        <v>Double FrontVanda Versatrak 25 Rod with GlidesNormal 2074Versatrak Glide Bracket 100mm</v>
      </c>
      <c r="O3045">
        <v>60</v>
      </c>
      <c r="P3045">
        <v>38</v>
      </c>
      <c r="Q3045" s="80">
        <v>0</v>
      </c>
      <c r="R3045" s="80">
        <f t="shared" si="207"/>
        <v>-22</v>
      </c>
      <c r="AD3045"/>
    </row>
    <row r="3046" spans="10:30" ht="16.2" customHeight="1">
      <c r="J3046" s="80" t="s">
        <v>747</v>
      </c>
      <c r="K3046" s="80" t="s">
        <v>425</v>
      </c>
      <c r="L3046" t="s">
        <v>170</v>
      </c>
      <c r="M3046" s="80" t="s">
        <v>727</v>
      </c>
      <c r="N3046" t="str">
        <f t="shared" si="206"/>
        <v>Double RearVanda Versatrak 25 Rod with GlidesNormal 2074Versatrak Glide Bracket 100mm</v>
      </c>
      <c r="O3046">
        <v>60</v>
      </c>
      <c r="P3046">
        <v>38</v>
      </c>
      <c r="Q3046" s="80">
        <v>0</v>
      </c>
      <c r="R3046" s="80">
        <f t="shared" si="207"/>
        <v>-22</v>
      </c>
      <c r="AD3046"/>
    </row>
    <row r="3047" spans="10:30" ht="16.2" customHeight="1">
      <c r="J3047" s="80" t="s">
        <v>725</v>
      </c>
      <c r="K3047" s="80" t="s">
        <v>425</v>
      </c>
      <c r="L3047" t="s">
        <v>170</v>
      </c>
      <c r="M3047" s="80" t="s">
        <v>727</v>
      </c>
      <c r="N3047" t="str">
        <f t="shared" si="206"/>
        <v>SingleVanda Versatrak 25 Rod with GlidesNormal 2074Versatrak Glide Bracket 100mm</v>
      </c>
      <c r="O3047">
        <v>60</v>
      </c>
      <c r="P3047">
        <v>38</v>
      </c>
      <c r="Q3047" s="80">
        <v>0</v>
      </c>
      <c r="R3047" s="80">
        <f t="shared" si="207"/>
        <v>-22</v>
      </c>
      <c r="AD3047"/>
    </row>
    <row r="3048" spans="10:30" ht="16.2" customHeight="1">
      <c r="J3048" s="80" t="s">
        <v>746</v>
      </c>
      <c r="K3048" s="80" t="s">
        <v>425</v>
      </c>
      <c r="L3048" t="s">
        <v>183</v>
      </c>
      <c r="M3048" s="80" t="s">
        <v>728</v>
      </c>
      <c r="N3048" t="str">
        <f t="shared" si="206"/>
        <v>Double FrontVanda Versatrak 25 Rod with GlidesBelow Normal 2075Versatrak Glide Bracket 140mm</v>
      </c>
      <c r="O3048">
        <v>70</v>
      </c>
      <c r="P3048">
        <v>38</v>
      </c>
      <c r="Q3048" s="80">
        <v>0</v>
      </c>
      <c r="R3048" s="80">
        <f t="shared" si="207"/>
        <v>-32</v>
      </c>
      <c r="AD3048"/>
    </row>
    <row r="3049" spans="10:30" ht="16.2" customHeight="1">
      <c r="J3049" s="80" t="s">
        <v>747</v>
      </c>
      <c r="K3049" s="80" t="s">
        <v>425</v>
      </c>
      <c r="L3049" t="s">
        <v>183</v>
      </c>
      <c r="M3049" s="80" t="s">
        <v>728</v>
      </c>
      <c r="N3049" t="str">
        <f t="shared" si="206"/>
        <v>Double RearVanda Versatrak 25 Rod with GlidesBelow Normal 2075Versatrak Glide Bracket 140mm</v>
      </c>
      <c r="O3049">
        <v>70</v>
      </c>
      <c r="P3049">
        <v>38</v>
      </c>
      <c r="Q3049" s="80">
        <v>0</v>
      </c>
      <c r="R3049" s="80">
        <f t="shared" si="207"/>
        <v>-32</v>
      </c>
      <c r="AD3049"/>
    </row>
    <row r="3050" spans="10:30" ht="16.2" customHeight="1">
      <c r="J3050" s="80" t="s">
        <v>725</v>
      </c>
      <c r="K3050" s="80" t="s">
        <v>425</v>
      </c>
      <c r="L3050" t="s">
        <v>183</v>
      </c>
      <c r="M3050" s="80" t="s">
        <v>728</v>
      </c>
      <c r="N3050" t="str">
        <f t="shared" si="206"/>
        <v>SingleVanda Versatrak 25 Rod with GlidesBelow Normal 2075Versatrak Glide Bracket 140mm</v>
      </c>
      <c r="O3050">
        <v>70</v>
      </c>
      <c r="P3050">
        <v>38</v>
      </c>
      <c r="Q3050" s="80">
        <v>0</v>
      </c>
      <c r="R3050" s="80">
        <f t="shared" si="207"/>
        <v>-32</v>
      </c>
      <c r="AD3050"/>
    </row>
    <row r="3051" spans="10:30" ht="16.2" customHeight="1">
      <c r="J3051" s="80" t="s">
        <v>746</v>
      </c>
      <c r="K3051" s="80" t="s">
        <v>425</v>
      </c>
      <c r="L3051" t="s">
        <v>182</v>
      </c>
      <c r="M3051" s="80" t="s">
        <v>728</v>
      </c>
      <c r="N3051" t="str">
        <f t="shared" si="206"/>
        <v>Double FrontVanda Versatrak 25 Rod with GlidesBetween Level and Normal 2073Versatrak Glide Bracket 140mm</v>
      </c>
      <c r="O3051">
        <v>48</v>
      </c>
      <c r="P3051">
        <v>38</v>
      </c>
      <c r="Q3051" s="80">
        <v>0</v>
      </c>
      <c r="R3051" s="80">
        <f t="shared" si="207"/>
        <v>-10</v>
      </c>
      <c r="AD3051"/>
    </row>
    <row r="3052" spans="10:30" ht="16.2" customHeight="1">
      <c r="J3052" s="80" t="s">
        <v>747</v>
      </c>
      <c r="K3052" s="80" t="s">
        <v>425</v>
      </c>
      <c r="L3052" t="s">
        <v>182</v>
      </c>
      <c r="M3052" s="80" t="s">
        <v>728</v>
      </c>
      <c r="N3052" t="str">
        <f t="shared" si="206"/>
        <v>Double RearVanda Versatrak 25 Rod with GlidesBetween Level and Normal 2073Versatrak Glide Bracket 140mm</v>
      </c>
      <c r="O3052">
        <v>48</v>
      </c>
      <c r="P3052">
        <v>38</v>
      </c>
      <c r="Q3052" s="80">
        <v>0</v>
      </c>
      <c r="R3052" s="80">
        <f t="shared" si="207"/>
        <v>-10</v>
      </c>
      <c r="AD3052"/>
    </row>
    <row r="3053" spans="10:30" ht="16.2" customHeight="1">
      <c r="J3053" s="80" t="s">
        <v>725</v>
      </c>
      <c r="K3053" s="80" t="s">
        <v>425</v>
      </c>
      <c r="L3053" t="s">
        <v>182</v>
      </c>
      <c r="M3053" s="80" t="s">
        <v>728</v>
      </c>
      <c r="N3053" t="str">
        <f t="shared" si="206"/>
        <v>SingleVanda Versatrak 25 Rod with GlidesBetween Level and Normal 2073Versatrak Glide Bracket 140mm</v>
      </c>
      <c r="O3053">
        <v>47</v>
      </c>
      <c r="P3053">
        <v>38</v>
      </c>
      <c r="Q3053" s="80">
        <v>0</v>
      </c>
      <c r="R3053" s="80">
        <f t="shared" si="207"/>
        <v>-9</v>
      </c>
      <c r="AD3053"/>
    </row>
    <row r="3054" spans="10:30" ht="16.2" customHeight="1">
      <c r="J3054" s="80" t="s">
        <v>746</v>
      </c>
      <c r="K3054" s="80" t="s">
        <v>425</v>
      </c>
      <c r="L3054" t="s">
        <v>184</v>
      </c>
      <c r="M3054" s="80" t="s">
        <v>728</v>
      </c>
      <c r="N3054" t="str">
        <f t="shared" si="206"/>
        <v>Double FrontVanda Versatrak 25 Rod with GlidesDecorator 2071Versatrak Glide Bracket 140mm</v>
      </c>
      <c r="O3054">
        <v>20</v>
      </c>
      <c r="P3054">
        <v>38</v>
      </c>
      <c r="Q3054" s="80">
        <v>0</v>
      </c>
      <c r="R3054" s="80">
        <f t="shared" si="207"/>
        <v>18</v>
      </c>
      <c r="AD3054"/>
    </row>
    <row r="3055" spans="10:30" ht="16.2" customHeight="1">
      <c r="J3055" s="80" t="s">
        <v>747</v>
      </c>
      <c r="K3055" s="80" t="s">
        <v>425</v>
      </c>
      <c r="L3055" t="s">
        <v>184</v>
      </c>
      <c r="M3055" s="80" t="s">
        <v>728</v>
      </c>
      <c r="N3055" t="str">
        <f t="shared" si="206"/>
        <v>Double RearVanda Versatrak 25 Rod with GlidesDecorator 2071Versatrak Glide Bracket 140mm</v>
      </c>
      <c r="O3055">
        <v>20</v>
      </c>
      <c r="P3055">
        <v>38</v>
      </c>
      <c r="Q3055" s="80">
        <v>0</v>
      </c>
      <c r="R3055" s="80">
        <f t="shared" si="207"/>
        <v>18</v>
      </c>
      <c r="AD3055"/>
    </row>
    <row r="3056" spans="10:30" ht="16.2" customHeight="1">
      <c r="J3056" s="80" t="s">
        <v>725</v>
      </c>
      <c r="K3056" s="80" t="s">
        <v>425</v>
      </c>
      <c r="L3056" t="s">
        <v>184</v>
      </c>
      <c r="M3056" s="80" t="s">
        <v>728</v>
      </c>
      <c r="N3056" t="str">
        <f t="shared" si="206"/>
        <v>SingleVanda Versatrak 25 Rod with GlidesDecorator 2071Versatrak Glide Bracket 140mm</v>
      </c>
      <c r="O3056">
        <v>20</v>
      </c>
      <c r="P3056">
        <v>38</v>
      </c>
      <c r="Q3056" s="80">
        <v>0</v>
      </c>
      <c r="R3056" s="80">
        <f t="shared" si="207"/>
        <v>18</v>
      </c>
      <c r="AD3056"/>
    </row>
    <row r="3057" spans="10:30" ht="16.2" customHeight="1">
      <c r="J3057" s="80" t="s">
        <v>725</v>
      </c>
      <c r="K3057" s="80" t="s">
        <v>425</v>
      </c>
      <c r="L3057" t="s">
        <v>6468</v>
      </c>
      <c r="M3057" s="80" t="s">
        <v>728</v>
      </c>
      <c r="N3057" t="str">
        <f t="shared" si="206"/>
        <v>SingleVanda Versatrak 25 Rod with GlidesGather Hook Bottom PocketVersatrak Glide Bracket 140mm</v>
      </c>
      <c r="O3057">
        <v>60</v>
      </c>
      <c r="P3057">
        <v>38</v>
      </c>
      <c r="Q3057" s="80">
        <v>0</v>
      </c>
      <c r="R3057" s="80">
        <f t="shared" si="207"/>
        <v>-22</v>
      </c>
      <c r="AD3057"/>
    </row>
    <row r="3058" spans="10:30" ht="16.2" customHeight="1">
      <c r="J3058" s="80" t="s">
        <v>746</v>
      </c>
      <c r="K3058" s="80" t="s">
        <v>425</v>
      </c>
      <c r="L3058" t="s">
        <v>229</v>
      </c>
      <c r="M3058" s="80" t="s">
        <v>728</v>
      </c>
      <c r="N3058" t="str">
        <f t="shared" si="206"/>
        <v>Double FrontVanda Versatrak 25 Rod with GlidesGather Hook LevelVersatrak Glide Bracket 140mm</v>
      </c>
      <c r="O3058">
        <v>20</v>
      </c>
      <c r="P3058">
        <v>38</v>
      </c>
      <c r="Q3058" s="80">
        <v>0</v>
      </c>
      <c r="R3058" s="80">
        <f t="shared" si="207"/>
        <v>18</v>
      </c>
      <c r="AD3058"/>
    </row>
    <row r="3059" spans="10:30" ht="16.2" customHeight="1">
      <c r="J3059" s="80" t="s">
        <v>747</v>
      </c>
      <c r="K3059" s="80" t="s">
        <v>425</v>
      </c>
      <c r="L3059" t="s">
        <v>229</v>
      </c>
      <c r="M3059" s="80" t="s">
        <v>728</v>
      </c>
      <c r="N3059" t="str">
        <f t="shared" si="206"/>
        <v>Double RearVanda Versatrak 25 Rod with GlidesGather Hook LevelVersatrak Glide Bracket 140mm</v>
      </c>
      <c r="O3059">
        <v>20</v>
      </c>
      <c r="P3059">
        <v>38</v>
      </c>
      <c r="Q3059" s="80">
        <v>0</v>
      </c>
      <c r="R3059" s="80">
        <f t="shared" si="207"/>
        <v>18</v>
      </c>
      <c r="AD3059"/>
    </row>
    <row r="3060" spans="10:30" ht="16.2" customHeight="1">
      <c r="J3060" s="80" t="s">
        <v>725</v>
      </c>
      <c r="K3060" s="80" t="s">
        <v>425</v>
      </c>
      <c r="L3060" t="s">
        <v>229</v>
      </c>
      <c r="M3060" s="80" t="s">
        <v>728</v>
      </c>
      <c r="N3060" t="str">
        <f t="shared" si="206"/>
        <v>SingleVanda Versatrak 25 Rod with GlidesGather Hook LevelVersatrak Glide Bracket 140mm</v>
      </c>
      <c r="O3060">
        <v>20</v>
      </c>
      <c r="P3060">
        <v>38</v>
      </c>
      <c r="Q3060" s="80">
        <v>0</v>
      </c>
      <c r="R3060" s="80">
        <f t="shared" si="207"/>
        <v>18</v>
      </c>
      <c r="AD3060"/>
    </row>
    <row r="3061" spans="10:30" ht="16.2" customHeight="1">
      <c r="J3061" s="80" t="s">
        <v>746</v>
      </c>
      <c r="K3061" s="80" t="s">
        <v>425</v>
      </c>
      <c r="L3061" t="s">
        <v>228</v>
      </c>
      <c r="M3061" s="80" t="s">
        <v>728</v>
      </c>
      <c r="N3061" t="str">
        <f t="shared" si="206"/>
        <v>Double FrontVanda Versatrak 25 Rod with GlidesGather Hook NormalVersatrak Glide Bracket 140mm</v>
      </c>
      <c r="O3061">
        <v>43</v>
      </c>
      <c r="P3061">
        <v>38</v>
      </c>
      <c r="Q3061" s="80">
        <v>0</v>
      </c>
      <c r="R3061" s="80">
        <f t="shared" si="207"/>
        <v>-5</v>
      </c>
      <c r="AD3061"/>
    </row>
    <row r="3062" spans="10:30" ht="16.2" customHeight="1">
      <c r="J3062" s="80" t="s">
        <v>747</v>
      </c>
      <c r="K3062" s="80" t="s">
        <v>425</v>
      </c>
      <c r="L3062" t="s">
        <v>228</v>
      </c>
      <c r="M3062" s="80" t="s">
        <v>728</v>
      </c>
      <c r="N3062" t="str">
        <f t="shared" si="206"/>
        <v>Double RearVanda Versatrak 25 Rod with GlidesGather Hook NormalVersatrak Glide Bracket 140mm</v>
      </c>
      <c r="O3062">
        <v>43</v>
      </c>
      <c r="P3062">
        <v>38</v>
      </c>
      <c r="Q3062" s="80">
        <v>0</v>
      </c>
      <c r="R3062" s="80">
        <f t="shared" si="207"/>
        <v>-5</v>
      </c>
      <c r="AD3062"/>
    </row>
    <row r="3063" spans="10:30" ht="16.2" customHeight="1">
      <c r="J3063" s="80" t="s">
        <v>725</v>
      </c>
      <c r="K3063" s="80" t="s">
        <v>425</v>
      </c>
      <c r="L3063" t="s">
        <v>228</v>
      </c>
      <c r="M3063" s="80" t="s">
        <v>728</v>
      </c>
      <c r="N3063" t="str">
        <f t="shared" si="206"/>
        <v>SingleVanda Versatrak 25 Rod with GlidesGather Hook NormalVersatrak Glide Bracket 140mm</v>
      </c>
      <c r="O3063">
        <v>43</v>
      </c>
      <c r="P3063">
        <v>38</v>
      </c>
      <c r="Q3063" s="80">
        <v>0</v>
      </c>
      <c r="R3063" s="80">
        <f t="shared" si="207"/>
        <v>-5</v>
      </c>
      <c r="AD3063"/>
    </row>
    <row r="3064" spans="10:30" ht="16.2" customHeight="1">
      <c r="J3064" s="80" t="s">
        <v>746</v>
      </c>
      <c r="K3064" s="80" t="s">
        <v>425</v>
      </c>
      <c r="L3064" t="s">
        <v>282</v>
      </c>
      <c r="M3064" s="80" t="s">
        <v>728</v>
      </c>
      <c r="N3064" t="str">
        <f t="shared" si="206"/>
        <v>Double FrontVanda Versatrak 25 Rod with GlidesLevel 2072Versatrak Glide Bracket 140mm</v>
      </c>
      <c r="O3064">
        <v>38</v>
      </c>
      <c r="P3064">
        <v>38</v>
      </c>
      <c r="Q3064" s="80">
        <v>0</v>
      </c>
      <c r="R3064" s="80">
        <f t="shared" si="207"/>
        <v>0</v>
      </c>
      <c r="AD3064"/>
    </row>
    <row r="3065" spans="10:30" ht="16.2" customHeight="1">
      <c r="J3065" s="80" t="s">
        <v>747</v>
      </c>
      <c r="K3065" s="80" t="s">
        <v>425</v>
      </c>
      <c r="L3065" t="s">
        <v>282</v>
      </c>
      <c r="M3065" s="80" t="s">
        <v>728</v>
      </c>
      <c r="N3065" t="str">
        <f t="shared" si="206"/>
        <v>Double RearVanda Versatrak 25 Rod with GlidesLevel 2072Versatrak Glide Bracket 140mm</v>
      </c>
      <c r="O3065">
        <v>38</v>
      </c>
      <c r="P3065">
        <v>38</v>
      </c>
      <c r="Q3065" s="80">
        <v>0</v>
      </c>
      <c r="R3065" s="80">
        <f t="shared" si="207"/>
        <v>0</v>
      </c>
      <c r="AD3065"/>
    </row>
    <row r="3066" spans="10:30" ht="16.2" customHeight="1">
      <c r="J3066" s="80" t="s">
        <v>725</v>
      </c>
      <c r="K3066" s="80" t="s">
        <v>425</v>
      </c>
      <c r="L3066" t="s">
        <v>282</v>
      </c>
      <c r="M3066" s="80" t="s">
        <v>728</v>
      </c>
      <c r="N3066" t="str">
        <f t="shared" si="206"/>
        <v>SingleVanda Versatrak 25 Rod with GlidesLevel 2072Versatrak Glide Bracket 140mm</v>
      </c>
      <c r="O3066">
        <v>35</v>
      </c>
      <c r="P3066">
        <v>38</v>
      </c>
      <c r="Q3066" s="80">
        <v>0</v>
      </c>
      <c r="R3066" s="80">
        <f t="shared" si="207"/>
        <v>3</v>
      </c>
      <c r="AD3066"/>
    </row>
    <row r="3067" spans="10:30" ht="16.2" customHeight="1">
      <c r="J3067" s="80" t="s">
        <v>746</v>
      </c>
      <c r="K3067" s="80" t="s">
        <v>425</v>
      </c>
      <c r="L3067" t="s">
        <v>170</v>
      </c>
      <c r="M3067" s="80" t="s">
        <v>728</v>
      </c>
      <c r="N3067" t="str">
        <f t="shared" si="206"/>
        <v>Double FrontVanda Versatrak 25 Rod with GlidesNormal 2074Versatrak Glide Bracket 140mm</v>
      </c>
      <c r="O3067">
        <v>60</v>
      </c>
      <c r="P3067">
        <v>38</v>
      </c>
      <c r="Q3067" s="80">
        <v>0</v>
      </c>
      <c r="R3067" s="80">
        <f t="shared" si="207"/>
        <v>-22</v>
      </c>
      <c r="AD3067"/>
    </row>
    <row r="3068" spans="10:30" ht="16.2" customHeight="1">
      <c r="J3068" s="80" t="s">
        <v>747</v>
      </c>
      <c r="K3068" s="80" t="s">
        <v>425</v>
      </c>
      <c r="L3068" t="s">
        <v>170</v>
      </c>
      <c r="M3068" s="80" t="s">
        <v>728</v>
      </c>
      <c r="N3068" t="str">
        <f t="shared" si="206"/>
        <v>Double RearVanda Versatrak 25 Rod with GlidesNormal 2074Versatrak Glide Bracket 140mm</v>
      </c>
      <c r="O3068">
        <v>60</v>
      </c>
      <c r="P3068">
        <v>38</v>
      </c>
      <c r="Q3068" s="80">
        <v>0</v>
      </c>
      <c r="R3068" s="80">
        <f t="shared" si="207"/>
        <v>-22</v>
      </c>
      <c r="AD3068"/>
    </row>
    <row r="3069" spans="10:30" ht="16.2" customHeight="1">
      <c r="J3069" s="80" t="s">
        <v>725</v>
      </c>
      <c r="K3069" s="80" t="s">
        <v>425</v>
      </c>
      <c r="L3069" t="s">
        <v>170</v>
      </c>
      <c r="M3069" s="80" t="s">
        <v>728</v>
      </c>
      <c r="N3069" t="str">
        <f t="shared" si="206"/>
        <v>SingleVanda Versatrak 25 Rod with GlidesNormal 2074Versatrak Glide Bracket 140mm</v>
      </c>
      <c r="O3069">
        <v>60</v>
      </c>
      <c r="P3069">
        <v>38</v>
      </c>
      <c r="Q3069" s="80">
        <v>0</v>
      </c>
      <c r="R3069" s="80">
        <f t="shared" si="207"/>
        <v>-22</v>
      </c>
      <c r="AD3069"/>
    </row>
    <row r="3070" spans="10:30" ht="16.2" customHeight="1">
      <c r="J3070" s="80" t="s">
        <v>746</v>
      </c>
      <c r="K3070" s="80" t="s">
        <v>425</v>
      </c>
      <c r="L3070" t="s">
        <v>183</v>
      </c>
      <c r="M3070" s="80" t="s">
        <v>729</v>
      </c>
      <c r="N3070" t="str">
        <f t="shared" si="206"/>
        <v>Double FrontVanda Versatrak 25 Rod with GlidesBelow Normal 2075Versatrak Glide Bracket 60mm</v>
      </c>
      <c r="O3070">
        <v>70</v>
      </c>
      <c r="P3070">
        <v>51</v>
      </c>
      <c r="Q3070" s="80">
        <v>0</v>
      </c>
      <c r="R3070" s="80">
        <f t="shared" si="207"/>
        <v>-19</v>
      </c>
      <c r="AD3070"/>
    </row>
    <row r="3071" spans="10:30" ht="16.2" customHeight="1">
      <c r="J3071" s="80" t="s">
        <v>747</v>
      </c>
      <c r="K3071" s="80" t="s">
        <v>425</v>
      </c>
      <c r="L3071" t="s">
        <v>183</v>
      </c>
      <c r="M3071" s="80" t="s">
        <v>729</v>
      </c>
      <c r="N3071" t="str">
        <f t="shared" si="206"/>
        <v>Double RearVanda Versatrak 25 Rod with GlidesBelow Normal 2075Versatrak Glide Bracket 60mm</v>
      </c>
      <c r="O3071">
        <v>70</v>
      </c>
      <c r="P3071">
        <v>51</v>
      </c>
      <c r="Q3071" s="80">
        <v>0</v>
      </c>
      <c r="R3071" s="80">
        <f t="shared" si="207"/>
        <v>-19</v>
      </c>
      <c r="AD3071"/>
    </row>
    <row r="3072" spans="10:30" ht="16.2" customHeight="1">
      <c r="J3072" s="80" t="s">
        <v>725</v>
      </c>
      <c r="K3072" s="80" t="s">
        <v>425</v>
      </c>
      <c r="L3072" t="s">
        <v>183</v>
      </c>
      <c r="M3072" s="80" t="s">
        <v>729</v>
      </c>
      <c r="N3072" t="str">
        <f t="shared" si="206"/>
        <v>SingleVanda Versatrak 25 Rod with GlidesBelow Normal 2075Versatrak Glide Bracket 60mm</v>
      </c>
      <c r="O3072">
        <v>70</v>
      </c>
      <c r="P3072">
        <v>51</v>
      </c>
      <c r="Q3072" s="80">
        <v>0</v>
      </c>
      <c r="R3072" s="80">
        <f t="shared" si="207"/>
        <v>-19</v>
      </c>
      <c r="AD3072"/>
    </row>
    <row r="3073" spans="10:30" ht="16.2" customHeight="1">
      <c r="J3073" s="80" t="s">
        <v>746</v>
      </c>
      <c r="K3073" s="80" t="s">
        <v>425</v>
      </c>
      <c r="L3073" t="s">
        <v>182</v>
      </c>
      <c r="M3073" s="80" t="s">
        <v>729</v>
      </c>
      <c r="N3073" t="str">
        <f t="shared" si="206"/>
        <v>Double FrontVanda Versatrak 25 Rod with GlidesBetween Level and Normal 2073Versatrak Glide Bracket 60mm</v>
      </c>
      <c r="O3073">
        <v>48</v>
      </c>
      <c r="P3073">
        <v>51</v>
      </c>
      <c r="Q3073" s="80">
        <v>0</v>
      </c>
      <c r="R3073" s="80">
        <f t="shared" si="207"/>
        <v>3</v>
      </c>
      <c r="AD3073"/>
    </row>
    <row r="3074" spans="10:30" ht="16.2" customHeight="1">
      <c r="J3074" s="80" t="s">
        <v>747</v>
      </c>
      <c r="K3074" s="80" t="s">
        <v>425</v>
      </c>
      <c r="L3074" t="s">
        <v>182</v>
      </c>
      <c r="M3074" s="80" t="s">
        <v>729</v>
      </c>
      <c r="N3074" t="str">
        <f t="shared" si="208" ref="N3074:N3137">(CONCATENATE(J3074,K3074,L3074,M3074))</f>
        <v>Double RearVanda Versatrak 25 Rod with GlidesBetween Level and Normal 2073Versatrak Glide Bracket 60mm</v>
      </c>
      <c r="O3074">
        <v>48</v>
      </c>
      <c r="P3074">
        <v>51</v>
      </c>
      <c r="Q3074" s="80">
        <v>0</v>
      </c>
      <c r="R3074" s="80">
        <f t="shared" si="207"/>
        <v>3</v>
      </c>
      <c r="AD3074"/>
    </row>
    <row r="3075" spans="10:30" ht="16.2" customHeight="1">
      <c r="J3075" s="80" t="s">
        <v>725</v>
      </c>
      <c r="K3075" s="80" t="s">
        <v>425</v>
      </c>
      <c r="L3075" t="s">
        <v>182</v>
      </c>
      <c r="M3075" s="80" t="s">
        <v>729</v>
      </c>
      <c r="N3075" t="str">
        <f t="shared" si="208"/>
        <v>SingleVanda Versatrak 25 Rod with GlidesBetween Level and Normal 2073Versatrak Glide Bracket 60mm</v>
      </c>
      <c r="O3075">
        <v>47</v>
      </c>
      <c r="P3075">
        <v>51</v>
      </c>
      <c r="Q3075" s="80">
        <v>0</v>
      </c>
      <c r="R3075" s="80">
        <f t="shared" si="207"/>
        <v>4</v>
      </c>
      <c r="AD3075"/>
    </row>
    <row r="3076" spans="10:30" ht="16.2" customHeight="1">
      <c r="J3076" s="80" t="s">
        <v>746</v>
      </c>
      <c r="K3076" s="80" t="s">
        <v>425</v>
      </c>
      <c r="L3076" t="s">
        <v>184</v>
      </c>
      <c r="M3076" s="80" t="s">
        <v>729</v>
      </c>
      <c r="N3076" t="str">
        <f t="shared" si="208"/>
        <v>Double FrontVanda Versatrak 25 Rod with GlidesDecorator 2071Versatrak Glide Bracket 60mm</v>
      </c>
      <c r="O3076">
        <v>20</v>
      </c>
      <c r="P3076">
        <v>51</v>
      </c>
      <c r="Q3076" s="80">
        <v>0</v>
      </c>
      <c r="R3076" s="80">
        <f t="shared" si="207"/>
        <v>31</v>
      </c>
      <c r="AD3076"/>
    </row>
    <row r="3077" spans="10:30" ht="16.2" customHeight="1">
      <c r="J3077" s="80" t="s">
        <v>747</v>
      </c>
      <c r="K3077" s="80" t="s">
        <v>425</v>
      </c>
      <c r="L3077" t="s">
        <v>184</v>
      </c>
      <c r="M3077" s="80" t="s">
        <v>729</v>
      </c>
      <c r="N3077" t="str">
        <f t="shared" si="208"/>
        <v>Double RearVanda Versatrak 25 Rod with GlidesDecorator 2071Versatrak Glide Bracket 60mm</v>
      </c>
      <c r="O3077">
        <v>20</v>
      </c>
      <c r="P3077">
        <v>51</v>
      </c>
      <c r="Q3077" s="80">
        <v>0</v>
      </c>
      <c r="R3077" s="80">
        <f t="shared" si="207"/>
        <v>31</v>
      </c>
      <c r="AD3077"/>
    </row>
    <row r="3078" spans="10:30" ht="16.2" customHeight="1">
      <c r="J3078" s="80" t="s">
        <v>725</v>
      </c>
      <c r="K3078" s="80" t="s">
        <v>425</v>
      </c>
      <c r="L3078" t="s">
        <v>184</v>
      </c>
      <c r="M3078" s="80" t="s">
        <v>729</v>
      </c>
      <c r="N3078" t="str">
        <f t="shared" si="208"/>
        <v>SingleVanda Versatrak 25 Rod with GlidesDecorator 2071Versatrak Glide Bracket 60mm</v>
      </c>
      <c r="O3078">
        <v>20</v>
      </c>
      <c r="P3078">
        <v>51</v>
      </c>
      <c r="Q3078" s="80">
        <v>0</v>
      </c>
      <c r="R3078" s="80">
        <f t="shared" si="207"/>
        <v>31</v>
      </c>
      <c r="AD3078"/>
    </row>
    <row r="3079" spans="10:30" ht="16.2" customHeight="1">
      <c r="J3079" s="80" t="s">
        <v>725</v>
      </c>
      <c r="K3079" s="80" t="s">
        <v>425</v>
      </c>
      <c r="L3079" t="s">
        <v>6468</v>
      </c>
      <c r="M3079" s="80" t="s">
        <v>729</v>
      </c>
      <c r="N3079" t="str">
        <f t="shared" si="208"/>
        <v>SingleVanda Versatrak 25 Rod with GlidesGather Hook Bottom PocketVersatrak Glide Bracket 60mm</v>
      </c>
      <c r="O3079">
        <v>60</v>
      </c>
      <c r="P3079">
        <v>51</v>
      </c>
      <c r="Q3079" s="80">
        <v>0</v>
      </c>
      <c r="R3079" s="80">
        <f t="shared" si="207"/>
        <v>-9</v>
      </c>
      <c r="AD3079"/>
    </row>
    <row r="3080" spans="10:30" ht="16.2" customHeight="1">
      <c r="J3080" s="80" t="s">
        <v>746</v>
      </c>
      <c r="K3080" s="80" t="s">
        <v>425</v>
      </c>
      <c r="L3080" t="s">
        <v>229</v>
      </c>
      <c r="M3080" s="80" t="s">
        <v>729</v>
      </c>
      <c r="N3080" t="str">
        <f t="shared" si="208"/>
        <v>Double FrontVanda Versatrak 25 Rod with GlidesGather Hook LevelVersatrak Glide Bracket 60mm</v>
      </c>
      <c r="O3080">
        <v>20</v>
      </c>
      <c r="P3080">
        <v>51</v>
      </c>
      <c r="Q3080" s="80">
        <v>0</v>
      </c>
      <c r="R3080" s="80">
        <f t="shared" si="207"/>
        <v>31</v>
      </c>
      <c r="AD3080"/>
    </row>
    <row r="3081" spans="10:30" ht="16.2" customHeight="1">
      <c r="J3081" s="80" t="s">
        <v>747</v>
      </c>
      <c r="K3081" s="80" t="s">
        <v>425</v>
      </c>
      <c r="L3081" t="s">
        <v>229</v>
      </c>
      <c r="M3081" s="80" t="s">
        <v>729</v>
      </c>
      <c r="N3081" t="str">
        <f t="shared" si="208"/>
        <v>Double RearVanda Versatrak 25 Rod with GlidesGather Hook LevelVersatrak Glide Bracket 60mm</v>
      </c>
      <c r="O3081">
        <v>20</v>
      </c>
      <c r="P3081">
        <v>51</v>
      </c>
      <c r="Q3081" s="80">
        <v>0</v>
      </c>
      <c r="R3081" s="80">
        <f t="shared" si="207"/>
        <v>31</v>
      </c>
      <c r="AD3081"/>
    </row>
    <row r="3082" spans="10:30" ht="16.2" customHeight="1">
      <c r="J3082" s="80" t="s">
        <v>725</v>
      </c>
      <c r="K3082" s="80" t="s">
        <v>425</v>
      </c>
      <c r="L3082" t="s">
        <v>229</v>
      </c>
      <c r="M3082" s="80" t="s">
        <v>729</v>
      </c>
      <c r="N3082" t="str">
        <f t="shared" si="208"/>
        <v>SingleVanda Versatrak 25 Rod with GlidesGather Hook LevelVersatrak Glide Bracket 60mm</v>
      </c>
      <c r="O3082">
        <v>20</v>
      </c>
      <c r="P3082">
        <v>51</v>
      </c>
      <c r="Q3082" s="80">
        <v>0</v>
      </c>
      <c r="R3082" s="80">
        <f t="shared" si="207"/>
        <v>31</v>
      </c>
      <c r="AD3082"/>
    </row>
    <row r="3083" spans="10:30" ht="16.2" customHeight="1">
      <c r="J3083" s="80" t="s">
        <v>746</v>
      </c>
      <c r="K3083" s="80" t="s">
        <v>425</v>
      </c>
      <c r="L3083" t="s">
        <v>228</v>
      </c>
      <c r="M3083" s="80" t="s">
        <v>729</v>
      </c>
      <c r="N3083" t="str">
        <f t="shared" si="208"/>
        <v>Double FrontVanda Versatrak 25 Rod with GlidesGather Hook NormalVersatrak Glide Bracket 60mm</v>
      </c>
      <c r="O3083">
        <v>43</v>
      </c>
      <c r="P3083">
        <v>51</v>
      </c>
      <c r="Q3083" s="80">
        <v>0</v>
      </c>
      <c r="R3083" s="80">
        <f t="shared" si="207"/>
        <v>8</v>
      </c>
      <c r="AD3083"/>
    </row>
    <row r="3084" spans="10:30" ht="16.2" customHeight="1">
      <c r="J3084" s="80" t="s">
        <v>747</v>
      </c>
      <c r="K3084" s="80" t="s">
        <v>425</v>
      </c>
      <c r="L3084" t="s">
        <v>228</v>
      </c>
      <c r="M3084" s="80" t="s">
        <v>729</v>
      </c>
      <c r="N3084" t="str">
        <f t="shared" si="208"/>
        <v>Double RearVanda Versatrak 25 Rod with GlidesGather Hook NormalVersatrak Glide Bracket 60mm</v>
      </c>
      <c r="O3084">
        <v>43</v>
      </c>
      <c r="P3084">
        <v>51</v>
      </c>
      <c r="Q3084" s="80">
        <v>0</v>
      </c>
      <c r="R3084" s="80">
        <f t="shared" si="207"/>
        <v>8</v>
      </c>
      <c r="AD3084"/>
    </row>
    <row r="3085" spans="10:30" ht="16.2" customHeight="1">
      <c r="J3085" s="80" t="s">
        <v>725</v>
      </c>
      <c r="K3085" s="80" t="s">
        <v>425</v>
      </c>
      <c r="L3085" t="s">
        <v>228</v>
      </c>
      <c r="M3085" s="80" t="s">
        <v>729</v>
      </c>
      <c r="N3085" t="str">
        <f t="shared" si="208"/>
        <v>SingleVanda Versatrak 25 Rod with GlidesGather Hook NormalVersatrak Glide Bracket 60mm</v>
      </c>
      <c r="O3085">
        <v>43</v>
      </c>
      <c r="P3085">
        <v>51</v>
      </c>
      <c r="Q3085" s="80">
        <v>0</v>
      </c>
      <c r="R3085" s="80">
        <f t="shared" si="207"/>
        <v>8</v>
      </c>
      <c r="AD3085"/>
    </row>
    <row r="3086" spans="10:30" ht="16.2" customHeight="1">
      <c r="J3086" s="80" t="s">
        <v>746</v>
      </c>
      <c r="K3086" s="80" t="s">
        <v>425</v>
      </c>
      <c r="L3086" t="s">
        <v>282</v>
      </c>
      <c r="M3086" s="80" t="s">
        <v>729</v>
      </c>
      <c r="N3086" t="str">
        <f t="shared" si="208"/>
        <v>Double FrontVanda Versatrak 25 Rod with GlidesLevel 2072Versatrak Glide Bracket 60mm</v>
      </c>
      <c r="O3086">
        <v>38</v>
      </c>
      <c r="P3086">
        <v>51</v>
      </c>
      <c r="Q3086" s="80">
        <v>0</v>
      </c>
      <c r="R3086" s="80">
        <f t="shared" si="207"/>
        <v>13</v>
      </c>
      <c r="AD3086"/>
    </row>
    <row r="3087" spans="10:30" ht="16.2" customHeight="1">
      <c r="J3087" s="80" t="s">
        <v>747</v>
      </c>
      <c r="K3087" s="80" t="s">
        <v>425</v>
      </c>
      <c r="L3087" t="s">
        <v>282</v>
      </c>
      <c r="M3087" s="80" t="s">
        <v>729</v>
      </c>
      <c r="N3087" t="str">
        <f t="shared" si="208"/>
        <v>Double RearVanda Versatrak 25 Rod with GlidesLevel 2072Versatrak Glide Bracket 60mm</v>
      </c>
      <c r="O3087">
        <v>38</v>
      </c>
      <c r="P3087">
        <v>51</v>
      </c>
      <c r="Q3087" s="80">
        <v>0</v>
      </c>
      <c r="R3087" s="80">
        <f t="shared" si="207"/>
        <v>13</v>
      </c>
      <c r="AD3087"/>
    </row>
    <row r="3088" spans="10:30" ht="16.2" customHeight="1">
      <c r="J3088" s="80" t="s">
        <v>725</v>
      </c>
      <c r="K3088" s="80" t="s">
        <v>425</v>
      </c>
      <c r="L3088" t="s">
        <v>282</v>
      </c>
      <c r="M3088" s="80" t="s">
        <v>729</v>
      </c>
      <c r="N3088" t="str">
        <f t="shared" si="208"/>
        <v>SingleVanda Versatrak 25 Rod with GlidesLevel 2072Versatrak Glide Bracket 60mm</v>
      </c>
      <c r="O3088">
        <v>35</v>
      </c>
      <c r="P3088">
        <v>51</v>
      </c>
      <c r="Q3088" s="80">
        <v>0</v>
      </c>
      <c r="R3088" s="80">
        <f t="shared" si="207"/>
        <v>16</v>
      </c>
      <c r="AD3088"/>
    </row>
    <row r="3089" spans="10:30" ht="16.2" customHeight="1">
      <c r="J3089" s="80" t="s">
        <v>746</v>
      </c>
      <c r="K3089" s="80" t="s">
        <v>425</v>
      </c>
      <c r="L3089" t="s">
        <v>170</v>
      </c>
      <c r="M3089" s="80" t="s">
        <v>729</v>
      </c>
      <c r="N3089" t="str">
        <f t="shared" si="208"/>
        <v>Double FrontVanda Versatrak 25 Rod with GlidesNormal 2074Versatrak Glide Bracket 60mm</v>
      </c>
      <c r="O3089">
        <v>60</v>
      </c>
      <c r="P3089">
        <v>51</v>
      </c>
      <c r="Q3089" s="80">
        <v>0</v>
      </c>
      <c r="R3089" s="80">
        <f t="shared" si="207"/>
        <v>-9</v>
      </c>
      <c r="AD3089"/>
    </row>
    <row r="3090" spans="10:30" ht="16.2" customHeight="1">
      <c r="J3090" s="80" t="s">
        <v>747</v>
      </c>
      <c r="K3090" s="80" t="s">
        <v>425</v>
      </c>
      <c r="L3090" t="s">
        <v>170</v>
      </c>
      <c r="M3090" s="80" t="s">
        <v>729</v>
      </c>
      <c r="N3090" t="str">
        <f t="shared" si="208"/>
        <v>Double RearVanda Versatrak 25 Rod with GlidesNormal 2074Versatrak Glide Bracket 60mm</v>
      </c>
      <c r="O3090">
        <v>60</v>
      </c>
      <c r="P3090">
        <v>51</v>
      </c>
      <c r="Q3090" s="80">
        <v>0</v>
      </c>
      <c r="R3090" s="80">
        <f t="shared" si="207"/>
        <v>-9</v>
      </c>
      <c r="AD3090"/>
    </row>
    <row r="3091" spans="10:30" ht="16.2" customHeight="1">
      <c r="J3091" s="80" t="s">
        <v>725</v>
      </c>
      <c r="K3091" s="80" t="s">
        <v>425</v>
      </c>
      <c r="L3091" t="s">
        <v>170</v>
      </c>
      <c r="M3091" s="80" t="s">
        <v>729</v>
      </c>
      <c r="N3091" t="str">
        <f t="shared" si="208"/>
        <v>SingleVanda Versatrak 25 Rod with GlidesNormal 2074Versatrak Glide Bracket 60mm</v>
      </c>
      <c r="O3091">
        <v>60</v>
      </c>
      <c r="P3091">
        <v>51</v>
      </c>
      <c r="Q3091" s="80">
        <v>0</v>
      </c>
      <c r="R3091" s="80">
        <f t="shared" si="207"/>
        <v>-9</v>
      </c>
      <c r="AD3091"/>
    </row>
    <row r="3092" spans="10:30" ht="16.2" customHeight="1">
      <c r="J3092" s="80" t="s">
        <v>746</v>
      </c>
      <c r="K3092" s="80" t="s">
        <v>425</v>
      </c>
      <c r="L3092" t="s">
        <v>183</v>
      </c>
      <c r="M3092" s="80" t="s">
        <v>730</v>
      </c>
      <c r="N3092" t="str">
        <f t="shared" si="208"/>
        <v>Double FrontVanda Versatrak 25 Rod with GlidesBelow Normal 2075Versatrak Ultra Top Fix Glide Bracket</v>
      </c>
      <c r="O3092">
        <v>70</v>
      </c>
      <c r="P3092">
        <v>40</v>
      </c>
      <c r="Q3092" s="80">
        <v>0</v>
      </c>
      <c r="R3092" s="80">
        <f t="shared" si="207"/>
        <v>-30</v>
      </c>
      <c r="AD3092"/>
    </row>
    <row r="3093" spans="10:30" ht="16.2" customHeight="1">
      <c r="J3093" s="80" t="s">
        <v>747</v>
      </c>
      <c r="K3093" s="80" t="s">
        <v>425</v>
      </c>
      <c r="L3093" t="s">
        <v>183</v>
      </c>
      <c r="M3093" s="80" t="s">
        <v>730</v>
      </c>
      <c r="N3093" t="str">
        <f t="shared" si="208"/>
        <v>Double RearVanda Versatrak 25 Rod with GlidesBelow Normal 2075Versatrak Ultra Top Fix Glide Bracket</v>
      </c>
      <c r="O3093">
        <v>70</v>
      </c>
      <c r="P3093">
        <v>40</v>
      </c>
      <c r="Q3093" s="80">
        <v>0</v>
      </c>
      <c r="R3093" s="80">
        <f t="shared" si="207"/>
        <v>-30</v>
      </c>
      <c r="AD3093"/>
    </row>
    <row r="3094" spans="10:30" ht="16.2" customHeight="1">
      <c r="J3094" s="80" t="s">
        <v>725</v>
      </c>
      <c r="K3094" s="80" t="s">
        <v>425</v>
      </c>
      <c r="L3094" t="s">
        <v>183</v>
      </c>
      <c r="M3094" s="80" t="s">
        <v>730</v>
      </c>
      <c r="N3094" t="str">
        <f t="shared" si="208"/>
        <v>SingleVanda Versatrak 25 Rod with GlidesBelow Normal 2075Versatrak Ultra Top Fix Glide Bracket</v>
      </c>
      <c r="O3094">
        <v>70</v>
      </c>
      <c r="P3094">
        <v>40</v>
      </c>
      <c r="Q3094" s="80">
        <v>0</v>
      </c>
      <c r="R3094" s="80">
        <f t="shared" si="207"/>
        <v>-30</v>
      </c>
      <c r="AD3094"/>
    </row>
    <row r="3095" spans="10:30" ht="16.2" customHeight="1">
      <c r="J3095" s="80" t="s">
        <v>746</v>
      </c>
      <c r="K3095" s="80" t="s">
        <v>425</v>
      </c>
      <c r="L3095" t="s">
        <v>182</v>
      </c>
      <c r="M3095" s="80" t="s">
        <v>730</v>
      </c>
      <c r="N3095" t="str">
        <f t="shared" si="208"/>
        <v>Double FrontVanda Versatrak 25 Rod with GlidesBetween Level and Normal 2073Versatrak Ultra Top Fix Glide Bracket</v>
      </c>
      <c r="O3095">
        <v>48</v>
      </c>
      <c r="P3095">
        <v>40</v>
      </c>
      <c r="Q3095" s="80">
        <v>0</v>
      </c>
      <c r="R3095" s="80">
        <f t="shared" si="207"/>
        <v>-8</v>
      </c>
      <c r="AD3095"/>
    </row>
    <row r="3096" spans="10:30" ht="16.2" customHeight="1">
      <c r="J3096" s="80" t="s">
        <v>747</v>
      </c>
      <c r="K3096" s="80" t="s">
        <v>425</v>
      </c>
      <c r="L3096" t="s">
        <v>182</v>
      </c>
      <c r="M3096" s="80" t="s">
        <v>730</v>
      </c>
      <c r="N3096" t="str">
        <f t="shared" si="208"/>
        <v>Double RearVanda Versatrak 25 Rod with GlidesBetween Level and Normal 2073Versatrak Ultra Top Fix Glide Bracket</v>
      </c>
      <c r="O3096">
        <v>48</v>
      </c>
      <c r="P3096">
        <v>40</v>
      </c>
      <c r="Q3096" s="80">
        <v>0</v>
      </c>
      <c r="R3096" s="80">
        <f t="shared" si="207"/>
        <v>-8</v>
      </c>
      <c r="AD3096"/>
    </row>
    <row r="3097" spans="10:30" ht="16.2" customHeight="1">
      <c r="J3097" s="80" t="s">
        <v>725</v>
      </c>
      <c r="K3097" s="80" t="s">
        <v>425</v>
      </c>
      <c r="L3097" t="s">
        <v>182</v>
      </c>
      <c r="M3097" s="80" t="s">
        <v>730</v>
      </c>
      <c r="N3097" t="str">
        <f t="shared" si="208"/>
        <v>SingleVanda Versatrak 25 Rod with GlidesBetween Level and Normal 2073Versatrak Ultra Top Fix Glide Bracket</v>
      </c>
      <c r="O3097">
        <v>47</v>
      </c>
      <c r="P3097">
        <v>40</v>
      </c>
      <c r="Q3097" s="80">
        <v>0</v>
      </c>
      <c r="R3097" s="80">
        <f t="shared" si="207"/>
        <v>-7</v>
      </c>
      <c r="AD3097"/>
    </row>
    <row r="3098" spans="10:30" ht="16.2" customHeight="1">
      <c r="J3098" s="80" t="s">
        <v>746</v>
      </c>
      <c r="K3098" s="80" t="s">
        <v>425</v>
      </c>
      <c r="L3098" t="s">
        <v>184</v>
      </c>
      <c r="M3098" s="80" t="s">
        <v>730</v>
      </c>
      <c r="N3098" t="str">
        <f t="shared" si="208"/>
        <v>Double FrontVanda Versatrak 25 Rod with GlidesDecorator 2071Versatrak Ultra Top Fix Glide Bracket</v>
      </c>
      <c r="O3098">
        <v>20</v>
      </c>
      <c r="P3098">
        <v>40</v>
      </c>
      <c r="Q3098" s="80">
        <v>0</v>
      </c>
      <c r="R3098" s="80">
        <f t="shared" si="207"/>
        <v>20</v>
      </c>
      <c r="AD3098"/>
    </row>
    <row r="3099" spans="10:30" ht="16.2" customHeight="1">
      <c r="J3099" s="80" t="s">
        <v>747</v>
      </c>
      <c r="K3099" s="80" t="s">
        <v>425</v>
      </c>
      <c r="L3099" t="s">
        <v>184</v>
      </c>
      <c r="M3099" s="80" t="s">
        <v>730</v>
      </c>
      <c r="N3099" t="str">
        <f t="shared" si="208"/>
        <v>Double RearVanda Versatrak 25 Rod with GlidesDecorator 2071Versatrak Ultra Top Fix Glide Bracket</v>
      </c>
      <c r="O3099">
        <v>20</v>
      </c>
      <c r="P3099">
        <v>40</v>
      </c>
      <c r="Q3099" s="80">
        <v>0</v>
      </c>
      <c r="R3099" s="80">
        <f t="shared" si="207"/>
        <v>20</v>
      </c>
      <c r="AD3099"/>
    </row>
    <row r="3100" spans="10:30" ht="16.2" customHeight="1">
      <c r="J3100" s="80" t="s">
        <v>725</v>
      </c>
      <c r="K3100" s="80" t="s">
        <v>425</v>
      </c>
      <c r="L3100" t="s">
        <v>184</v>
      </c>
      <c r="M3100" s="80" t="s">
        <v>730</v>
      </c>
      <c r="N3100" t="str">
        <f t="shared" si="208"/>
        <v>SingleVanda Versatrak 25 Rod with GlidesDecorator 2071Versatrak Ultra Top Fix Glide Bracket</v>
      </c>
      <c r="O3100">
        <v>20</v>
      </c>
      <c r="P3100">
        <v>40</v>
      </c>
      <c r="Q3100" s="80">
        <v>0</v>
      </c>
      <c r="R3100" s="80">
        <f t="shared" si="207"/>
        <v>20</v>
      </c>
      <c r="AD3100"/>
    </row>
    <row r="3101" spans="10:30" ht="16.2" customHeight="1">
      <c r="J3101" s="80" t="s">
        <v>725</v>
      </c>
      <c r="K3101" s="80" t="s">
        <v>425</v>
      </c>
      <c r="L3101" t="s">
        <v>6468</v>
      </c>
      <c r="M3101" s="80" t="s">
        <v>730</v>
      </c>
      <c r="N3101" t="str">
        <f t="shared" si="208"/>
        <v>SingleVanda Versatrak 25 Rod with GlidesGather Hook Bottom PocketVersatrak Ultra Top Fix Glide Bracket</v>
      </c>
      <c r="O3101">
        <v>60</v>
      </c>
      <c r="P3101">
        <v>40</v>
      </c>
      <c r="Q3101" s="80">
        <v>0</v>
      </c>
      <c r="R3101" s="80">
        <f t="shared" si="207"/>
        <v>-20</v>
      </c>
      <c r="AD3101"/>
    </row>
    <row r="3102" spans="10:30" ht="16.2" customHeight="1">
      <c r="J3102" s="80" t="s">
        <v>746</v>
      </c>
      <c r="K3102" s="80" t="s">
        <v>425</v>
      </c>
      <c r="L3102" t="s">
        <v>229</v>
      </c>
      <c r="M3102" s="80" t="s">
        <v>730</v>
      </c>
      <c r="N3102" t="str">
        <f t="shared" si="208"/>
        <v>Double FrontVanda Versatrak 25 Rod with GlidesGather Hook LevelVersatrak Ultra Top Fix Glide Bracket</v>
      </c>
      <c r="O3102">
        <v>20</v>
      </c>
      <c r="P3102">
        <v>40</v>
      </c>
      <c r="Q3102" s="80">
        <v>0</v>
      </c>
      <c r="R3102" s="80">
        <f t="shared" si="207"/>
        <v>20</v>
      </c>
      <c r="AD3102"/>
    </row>
    <row r="3103" spans="10:30" ht="16.2" customHeight="1">
      <c r="J3103" s="80" t="s">
        <v>747</v>
      </c>
      <c r="K3103" s="80" t="s">
        <v>425</v>
      </c>
      <c r="L3103" t="s">
        <v>229</v>
      </c>
      <c r="M3103" s="80" t="s">
        <v>730</v>
      </c>
      <c r="N3103" t="str">
        <f t="shared" si="208"/>
        <v>Double RearVanda Versatrak 25 Rod with GlidesGather Hook LevelVersatrak Ultra Top Fix Glide Bracket</v>
      </c>
      <c r="O3103">
        <v>20</v>
      </c>
      <c r="P3103">
        <v>40</v>
      </c>
      <c r="Q3103" s="80">
        <v>0</v>
      </c>
      <c r="R3103" s="80">
        <f t="shared" si="209" ref="R3103:R3166">SUM(P3103)-O3103</f>
        <v>20</v>
      </c>
      <c r="AD3103"/>
    </row>
    <row r="3104" spans="10:30" ht="16.2" customHeight="1">
      <c r="J3104" s="80" t="s">
        <v>725</v>
      </c>
      <c r="K3104" s="80" t="s">
        <v>425</v>
      </c>
      <c r="L3104" t="s">
        <v>229</v>
      </c>
      <c r="M3104" s="80" t="s">
        <v>730</v>
      </c>
      <c r="N3104" t="str">
        <f t="shared" si="208"/>
        <v>SingleVanda Versatrak 25 Rod with GlidesGather Hook LevelVersatrak Ultra Top Fix Glide Bracket</v>
      </c>
      <c r="O3104">
        <v>20</v>
      </c>
      <c r="P3104">
        <v>40</v>
      </c>
      <c r="Q3104" s="80">
        <v>0</v>
      </c>
      <c r="R3104" s="80">
        <f t="shared" si="209"/>
        <v>20</v>
      </c>
      <c r="AD3104"/>
    </row>
    <row r="3105" spans="10:30" ht="16.2" customHeight="1">
      <c r="J3105" s="80" t="s">
        <v>746</v>
      </c>
      <c r="K3105" s="80" t="s">
        <v>425</v>
      </c>
      <c r="L3105" t="s">
        <v>228</v>
      </c>
      <c r="M3105" s="80" t="s">
        <v>730</v>
      </c>
      <c r="N3105" t="str">
        <f t="shared" si="208"/>
        <v>Double FrontVanda Versatrak 25 Rod with GlidesGather Hook NormalVersatrak Ultra Top Fix Glide Bracket</v>
      </c>
      <c r="O3105">
        <v>43</v>
      </c>
      <c r="P3105">
        <v>40</v>
      </c>
      <c r="Q3105" s="80">
        <v>0</v>
      </c>
      <c r="R3105" s="80">
        <f t="shared" si="209"/>
        <v>-3</v>
      </c>
      <c r="AD3105"/>
    </row>
    <row r="3106" spans="10:30" ht="16.2" customHeight="1">
      <c r="J3106" s="80" t="s">
        <v>747</v>
      </c>
      <c r="K3106" s="80" t="s">
        <v>425</v>
      </c>
      <c r="L3106" t="s">
        <v>228</v>
      </c>
      <c r="M3106" s="80" t="s">
        <v>730</v>
      </c>
      <c r="N3106" t="str">
        <f t="shared" si="208"/>
        <v>Double RearVanda Versatrak 25 Rod with GlidesGather Hook NormalVersatrak Ultra Top Fix Glide Bracket</v>
      </c>
      <c r="O3106">
        <v>43</v>
      </c>
      <c r="P3106">
        <v>40</v>
      </c>
      <c r="Q3106" s="80">
        <v>0</v>
      </c>
      <c r="R3106" s="80">
        <f t="shared" si="209"/>
        <v>-3</v>
      </c>
      <c r="AD3106"/>
    </row>
    <row r="3107" spans="10:30" ht="16.2" customHeight="1">
      <c r="J3107" s="80" t="s">
        <v>725</v>
      </c>
      <c r="K3107" s="80" t="s">
        <v>425</v>
      </c>
      <c r="L3107" t="s">
        <v>228</v>
      </c>
      <c r="M3107" s="80" t="s">
        <v>730</v>
      </c>
      <c r="N3107" t="str">
        <f t="shared" si="208"/>
        <v>SingleVanda Versatrak 25 Rod with GlidesGather Hook NormalVersatrak Ultra Top Fix Glide Bracket</v>
      </c>
      <c r="O3107">
        <v>43</v>
      </c>
      <c r="P3107">
        <v>40</v>
      </c>
      <c r="Q3107" s="80">
        <v>0</v>
      </c>
      <c r="R3107" s="80">
        <f t="shared" si="209"/>
        <v>-3</v>
      </c>
      <c r="AD3107"/>
    </row>
    <row r="3108" spans="10:30" ht="16.2" customHeight="1">
      <c r="J3108" s="80" t="s">
        <v>746</v>
      </c>
      <c r="K3108" s="80" t="s">
        <v>425</v>
      </c>
      <c r="L3108" t="s">
        <v>282</v>
      </c>
      <c r="M3108" s="80" t="s">
        <v>730</v>
      </c>
      <c r="N3108" t="str">
        <f t="shared" si="208"/>
        <v>Double FrontVanda Versatrak 25 Rod with GlidesLevel 2072Versatrak Ultra Top Fix Glide Bracket</v>
      </c>
      <c r="O3108">
        <v>38</v>
      </c>
      <c r="P3108">
        <v>40</v>
      </c>
      <c r="Q3108" s="80">
        <v>0</v>
      </c>
      <c r="R3108" s="80">
        <f t="shared" si="209"/>
        <v>2</v>
      </c>
      <c r="AD3108"/>
    </row>
    <row r="3109" spans="10:30" ht="16.2" customHeight="1">
      <c r="J3109" s="80" t="s">
        <v>747</v>
      </c>
      <c r="K3109" s="80" t="s">
        <v>425</v>
      </c>
      <c r="L3109" t="s">
        <v>282</v>
      </c>
      <c r="M3109" s="80" t="s">
        <v>730</v>
      </c>
      <c r="N3109" t="str">
        <f t="shared" si="208"/>
        <v>Double RearVanda Versatrak 25 Rod with GlidesLevel 2072Versatrak Ultra Top Fix Glide Bracket</v>
      </c>
      <c r="O3109">
        <v>38</v>
      </c>
      <c r="P3109">
        <v>40</v>
      </c>
      <c r="Q3109" s="80">
        <v>0</v>
      </c>
      <c r="R3109" s="80">
        <f t="shared" si="209"/>
        <v>2</v>
      </c>
      <c r="AD3109"/>
    </row>
    <row r="3110" spans="10:30" ht="16.2" customHeight="1">
      <c r="J3110" s="80" t="s">
        <v>725</v>
      </c>
      <c r="K3110" s="80" t="s">
        <v>425</v>
      </c>
      <c r="L3110" t="s">
        <v>282</v>
      </c>
      <c r="M3110" s="80" t="s">
        <v>730</v>
      </c>
      <c r="N3110" t="str">
        <f t="shared" si="208"/>
        <v>SingleVanda Versatrak 25 Rod with GlidesLevel 2072Versatrak Ultra Top Fix Glide Bracket</v>
      </c>
      <c r="O3110">
        <v>35</v>
      </c>
      <c r="P3110">
        <v>40</v>
      </c>
      <c r="Q3110" s="80">
        <v>0</v>
      </c>
      <c r="R3110" s="80">
        <f t="shared" si="209"/>
        <v>5</v>
      </c>
      <c r="AD3110"/>
    </row>
    <row r="3111" spans="10:30" ht="16.2" customHeight="1">
      <c r="J3111" s="80" t="s">
        <v>746</v>
      </c>
      <c r="K3111" s="80" t="s">
        <v>425</v>
      </c>
      <c r="L3111" t="s">
        <v>170</v>
      </c>
      <c r="M3111" s="80" t="s">
        <v>730</v>
      </c>
      <c r="N3111" t="str">
        <f t="shared" si="208"/>
        <v>Double FrontVanda Versatrak 25 Rod with GlidesNormal 2074Versatrak Ultra Top Fix Glide Bracket</v>
      </c>
      <c r="O3111">
        <v>60</v>
      </c>
      <c r="P3111">
        <v>40</v>
      </c>
      <c r="Q3111" s="80">
        <v>0</v>
      </c>
      <c r="R3111" s="80">
        <f t="shared" si="209"/>
        <v>-20</v>
      </c>
      <c r="AD3111"/>
    </row>
    <row r="3112" spans="10:30" ht="16.2" customHeight="1">
      <c r="J3112" s="80" t="s">
        <v>747</v>
      </c>
      <c r="K3112" s="80" t="s">
        <v>425</v>
      </c>
      <c r="L3112" t="s">
        <v>170</v>
      </c>
      <c r="M3112" s="80" t="s">
        <v>730</v>
      </c>
      <c r="N3112" t="str">
        <f t="shared" si="208"/>
        <v>Double RearVanda Versatrak 25 Rod with GlidesNormal 2074Versatrak Ultra Top Fix Glide Bracket</v>
      </c>
      <c r="O3112">
        <v>60</v>
      </c>
      <c r="P3112">
        <v>40</v>
      </c>
      <c r="Q3112" s="80">
        <v>0</v>
      </c>
      <c r="R3112" s="80">
        <f t="shared" si="209"/>
        <v>-20</v>
      </c>
      <c r="AD3112"/>
    </row>
    <row r="3113" spans="10:30" ht="16.2" customHeight="1">
      <c r="J3113" s="80" t="s">
        <v>746</v>
      </c>
      <c r="K3113" s="80" t="s">
        <v>738</v>
      </c>
      <c r="L3113" t="s">
        <v>183</v>
      </c>
      <c r="M3113" t="s">
        <v>736</v>
      </c>
      <c r="N3113" t="str">
        <f t="shared" si="208"/>
        <v>Double FrontVanda Versatrak 25 Rod with RingsBelow Normal 2075Versatrak 25mm Ring Front and 16mm Glide Back Combo Bracket</v>
      </c>
      <c r="O3113">
        <v>70</v>
      </c>
      <c r="P3113">
        <v>52</v>
      </c>
      <c r="Q3113" s="80">
        <v>0</v>
      </c>
      <c r="R3113" s="80">
        <f t="shared" si="209"/>
        <v>-18</v>
      </c>
      <c r="AD3113"/>
    </row>
    <row r="3114" spans="10:30" ht="16.2" customHeight="1">
      <c r="J3114" s="80" t="s">
        <v>725</v>
      </c>
      <c r="K3114" s="80" t="s">
        <v>738</v>
      </c>
      <c r="L3114" t="s">
        <v>183</v>
      </c>
      <c r="M3114" t="s">
        <v>736</v>
      </c>
      <c r="N3114" t="str">
        <f t="shared" si="208"/>
        <v>SingleVanda Versatrak 25 Rod with RingsBelow Normal 2075Versatrak 25mm Ring Front and 16mm Glide Back Combo Bracket</v>
      </c>
      <c r="O3114">
        <v>70</v>
      </c>
      <c r="P3114">
        <v>52</v>
      </c>
      <c r="Q3114" s="80">
        <v>0</v>
      </c>
      <c r="R3114" s="80">
        <f t="shared" si="209"/>
        <v>-18</v>
      </c>
      <c r="AD3114"/>
    </row>
    <row r="3115" spans="10:30" ht="16.2" customHeight="1">
      <c r="J3115" s="80" t="s">
        <v>746</v>
      </c>
      <c r="K3115" s="80" t="s">
        <v>738</v>
      </c>
      <c r="L3115" t="s">
        <v>182</v>
      </c>
      <c r="M3115" t="s">
        <v>736</v>
      </c>
      <c r="N3115" t="str">
        <f t="shared" si="208"/>
        <v>Double FrontVanda Versatrak 25 Rod with RingsBetween Level and Normal 2073Versatrak 25mm Ring Front and 16mm Glide Back Combo Bracket</v>
      </c>
      <c r="O3115">
        <v>48</v>
      </c>
      <c r="P3115">
        <v>52</v>
      </c>
      <c r="Q3115" s="80">
        <v>0</v>
      </c>
      <c r="R3115" s="80">
        <f t="shared" si="209"/>
        <v>4</v>
      </c>
      <c r="AD3115"/>
    </row>
    <row r="3116" spans="10:30" ht="16.2" customHeight="1">
      <c r="J3116" s="80" t="s">
        <v>725</v>
      </c>
      <c r="K3116" s="80" t="s">
        <v>738</v>
      </c>
      <c r="L3116" t="s">
        <v>182</v>
      </c>
      <c r="M3116" t="s">
        <v>736</v>
      </c>
      <c r="N3116" t="str">
        <f t="shared" si="208"/>
        <v>SingleVanda Versatrak 25 Rod with RingsBetween Level and Normal 2073Versatrak 25mm Ring Front and 16mm Glide Back Combo Bracket</v>
      </c>
      <c r="O3116">
        <v>47</v>
      </c>
      <c r="P3116">
        <v>52</v>
      </c>
      <c r="Q3116" s="80">
        <v>0</v>
      </c>
      <c r="R3116" s="80">
        <f t="shared" si="209"/>
        <v>5</v>
      </c>
      <c r="AD3116"/>
    </row>
    <row r="3117" spans="10:30" ht="16.2" customHeight="1">
      <c r="J3117" s="80" t="s">
        <v>746</v>
      </c>
      <c r="K3117" s="80" t="s">
        <v>738</v>
      </c>
      <c r="L3117" t="s">
        <v>184</v>
      </c>
      <c r="M3117" t="s">
        <v>736</v>
      </c>
      <c r="N3117" t="str">
        <f t="shared" si="208"/>
        <v>Double FrontVanda Versatrak 25 Rod with RingsDecorator 2071Versatrak 25mm Ring Front and 16mm Glide Back Combo Bracket</v>
      </c>
      <c r="O3117">
        <v>20</v>
      </c>
      <c r="P3117">
        <v>52</v>
      </c>
      <c r="Q3117" s="80">
        <v>0</v>
      </c>
      <c r="R3117" s="80">
        <f t="shared" si="209"/>
        <v>32</v>
      </c>
      <c r="AD3117"/>
    </row>
    <row r="3118" spans="10:30" ht="16.2" customHeight="1">
      <c r="J3118" s="80" t="s">
        <v>725</v>
      </c>
      <c r="K3118" s="80" t="s">
        <v>738</v>
      </c>
      <c r="L3118" t="s">
        <v>184</v>
      </c>
      <c r="M3118" t="s">
        <v>736</v>
      </c>
      <c r="N3118" t="str">
        <f t="shared" si="208"/>
        <v>SingleVanda Versatrak 25 Rod with RingsDecorator 2071Versatrak 25mm Ring Front and 16mm Glide Back Combo Bracket</v>
      </c>
      <c r="O3118">
        <v>20</v>
      </c>
      <c r="P3118">
        <v>52</v>
      </c>
      <c r="Q3118" s="80">
        <v>0</v>
      </c>
      <c r="R3118" s="80">
        <f t="shared" si="209"/>
        <v>32</v>
      </c>
      <c r="AD3118"/>
    </row>
    <row r="3119" spans="10:30" ht="16.2" customHeight="1">
      <c r="J3119" s="80" t="s">
        <v>725</v>
      </c>
      <c r="K3119" s="80" t="s">
        <v>738</v>
      </c>
      <c r="L3119" t="s">
        <v>6468</v>
      </c>
      <c r="M3119" t="s">
        <v>736</v>
      </c>
      <c r="N3119" t="str">
        <f t="shared" si="208"/>
        <v>SingleVanda Versatrak 25 Rod with RingsGather Hook Bottom PocketVersatrak 25mm Ring Front and 16mm Glide Back Combo Bracket</v>
      </c>
      <c r="O3119">
        <v>60</v>
      </c>
      <c r="P3119">
        <v>52</v>
      </c>
      <c r="Q3119" s="80">
        <v>0</v>
      </c>
      <c r="R3119" s="80">
        <f t="shared" si="209"/>
        <v>-8</v>
      </c>
      <c r="AD3119"/>
    </row>
    <row r="3120" spans="10:30" ht="16.2" customHeight="1">
      <c r="J3120" s="80" t="s">
        <v>746</v>
      </c>
      <c r="K3120" s="80" t="s">
        <v>738</v>
      </c>
      <c r="L3120" t="s">
        <v>229</v>
      </c>
      <c r="M3120" t="s">
        <v>736</v>
      </c>
      <c r="N3120" t="str">
        <f t="shared" si="208"/>
        <v>Double FrontVanda Versatrak 25 Rod with RingsGather Hook LevelVersatrak 25mm Ring Front and 16mm Glide Back Combo Bracket</v>
      </c>
      <c r="O3120">
        <v>20</v>
      </c>
      <c r="P3120">
        <v>52</v>
      </c>
      <c r="Q3120" s="80">
        <v>0</v>
      </c>
      <c r="R3120" s="80">
        <f t="shared" si="209"/>
        <v>32</v>
      </c>
      <c r="AD3120"/>
    </row>
    <row r="3121" spans="10:30" ht="16.2" customHeight="1">
      <c r="J3121" s="80" t="s">
        <v>725</v>
      </c>
      <c r="K3121" s="80" t="s">
        <v>738</v>
      </c>
      <c r="L3121" t="s">
        <v>229</v>
      </c>
      <c r="M3121" t="s">
        <v>736</v>
      </c>
      <c r="N3121" t="str">
        <f t="shared" si="208"/>
        <v>SingleVanda Versatrak 25 Rod with RingsGather Hook LevelVersatrak 25mm Ring Front and 16mm Glide Back Combo Bracket</v>
      </c>
      <c r="O3121">
        <v>20</v>
      </c>
      <c r="P3121">
        <v>52</v>
      </c>
      <c r="Q3121" s="80">
        <v>0</v>
      </c>
      <c r="R3121" s="80">
        <f t="shared" si="209"/>
        <v>32</v>
      </c>
      <c r="AD3121"/>
    </row>
    <row r="3122" spans="10:30" ht="16.2" customHeight="1">
      <c r="J3122" s="80" t="s">
        <v>746</v>
      </c>
      <c r="K3122" s="80" t="s">
        <v>738</v>
      </c>
      <c r="L3122" t="s">
        <v>228</v>
      </c>
      <c r="M3122" t="s">
        <v>736</v>
      </c>
      <c r="N3122" t="str">
        <f t="shared" si="208"/>
        <v>Double FrontVanda Versatrak 25 Rod with RingsGather Hook NormalVersatrak 25mm Ring Front and 16mm Glide Back Combo Bracket</v>
      </c>
      <c r="O3122">
        <v>43</v>
      </c>
      <c r="P3122">
        <v>52</v>
      </c>
      <c r="Q3122" s="80">
        <v>0</v>
      </c>
      <c r="R3122" s="80">
        <f t="shared" si="209"/>
        <v>9</v>
      </c>
      <c r="AD3122"/>
    </row>
    <row r="3123" spans="10:30" ht="16.2" customHeight="1">
      <c r="J3123" s="80" t="s">
        <v>725</v>
      </c>
      <c r="K3123" s="80" t="s">
        <v>738</v>
      </c>
      <c r="L3123" t="s">
        <v>228</v>
      </c>
      <c r="M3123" t="s">
        <v>736</v>
      </c>
      <c r="N3123" t="str">
        <f t="shared" si="208"/>
        <v>SingleVanda Versatrak 25 Rod with RingsGather Hook NormalVersatrak 25mm Ring Front and 16mm Glide Back Combo Bracket</v>
      </c>
      <c r="O3123">
        <v>43</v>
      </c>
      <c r="P3123">
        <v>52</v>
      </c>
      <c r="Q3123" s="80">
        <v>0</v>
      </c>
      <c r="R3123" s="80">
        <f t="shared" si="209"/>
        <v>9</v>
      </c>
      <c r="AD3123"/>
    </row>
    <row r="3124" spans="10:30" ht="16.2" customHeight="1">
      <c r="J3124" s="80" t="s">
        <v>746</v>
      </c>
      <c r="K3124" s="80" t="s">
        <v>738</v>
      </c>
      <c r="L3124" t="s">
        <v>282</v>
      </c>
      <c r="M3124" t="s">
        <v>736</v>
      </c>
      <c r="N3124" t="str">
        <f t="shared" si="208"/>
        <v>Double FrontVanda Versatrak 25 Rod with RingsLevel 2072Versatrak 25mm Ring Front and 16mm Glide Back Combo Bracket</v>
      </c>
      <c r="O3124">
        <v>38</v>
      </c>
      <c r="P3124">
        <v>52</v>
      </c>
      <c r="Q3124" s="80">
        <v>0</v>
      </c>
      <c r="R3124" s="80">
        <f t="shared" si="209"/>
        <v>14</v>
      </c>
      <c r="AD3124"/>
    </row>
    <row r="3125" spans="10:30" ht="16.2" customHeight="1">
      <c r="J3125" s="80" t="s">
        <v>725</v>
      </c>
      <c r="K3125" s="80" t="s">
        <v>738</v>
      </c>
      <c r="L3125" t="s">
        <v>282</v>
      </c>
      <c r="M3125" t="s">
        <v>736</v>
      </c>
      <c r="N3125" t="str">
        <f t="shared" si="208"/>
        <v>SingleVanda Versatrak 25 Rod with RingsLevel 2072Versatrak 25mm Ring Front and 16mm Glide Back Combo Bracket</v>
      </c>
      <c r="O3125">
        <v>35</v>
      </c>
      <c r="P3125">
        <v>52</v>
      </c>
      <c r="Q3125" s="80">
        <v>0</v>
      </c>
      <c r="R3125" s="80">
        <f t="shared" si="209"/>
        <v>17</v>
      </c>
      <c r="AD3125"/>
    </row>
    <row r="3126" spans="10:30" ht="16.2" customHeight="1">
      <c r="J3126" s="80" t="s">
        <v>746</v>
      </c>
      <c r="K3126" s="80" t="s">
        <v>738</v>
      </c>
      <c r="L3126" t="s">
        <v>170</v>
      </c>
      <c r="M3126" t="s">
        <v>736</v>
      </c>
      <c r="N3126" t="str">
        <f t="shared" si="208"/>
        <v>Double FrontVanda Versatrak 25 Rod with RingsNormal 2074Versatrak 25mm Ring Front and 16mm Glide Back Combo Bracket</v>
      </c>
      <c r="O3126">
        <v>60</v>
      </c>
      <c r="P3126">
        <v>52</v>
      </c>
      <c r="Q3126" s="80">
        <v>0</v>
      </c>
      <c r="R3126" s="80">
        <f t="shared" si="209"/>
        <v>-8</v>
      </c>
      <c r="AD3126"/>
    </row>
    <row r="3127" spans="10:30" ht="16.2" customHeight="1">
      <c r="J3127" s="80" t="s">
        <v>725</v>
      </c>
      <c r="K3127" s="80" t="s">
        <v>738</v>
      </c>
      <c r="L3127" t="s">
        <v>170</v>
      </c>
      <c r="M3127" t="s">
        <v>736</v>
      </c>
      <c r="N3127" t="str">
        <f t="shared" si="208"/>
        <v>SingleVanda Versatrak 25 Rod with RingsNormal 2074Versatrak 25mm Ring Front and 16mm Glide Back Combo Bracket</v>
      </c>
      <c r="O3127">
        <v>60</v>
      </c>
      <c r="P3127">
        <v>52</v>
      </c>
      <c r="Q3127" s="80">
        <v>0</v>
      </c>
      <c r="R3127" s="80">
        <f t="shared" si="209"/>
        <v>-8</v>
      </c>
      <c r="AD3127"/>
    </row>
    <row r="3128" spans="10:30" ht="16.2" customHeight="1">
      <c r="J3128" s="80" t="s">
        <v>746</v>
      </c>
      <c r="K3128" s="80" t="s">
        <v>738</v>
      </c>
      <c r="L3128" t="s">
        <v>183</v>
      </c>
      <c r="M3128" t="s">
        <v>734</v>
      </c>
      <c r="N3128" t="str">
        <f t="shared" si="208"/>
        <v>Double FrontVanda Versatrak 25 Rod with RingsBelow Normal 2075Versatrak 25mm Ring Front and 25mm Glide Back Combo Bracket</v>
      </c>
      <c r="O3128">
        <v>70</v>
      </c>
      <c r="P3128">
        <v>52</v>
      </c>
      <c r="Q3128" s="80">
        <v>0</v>
      </c>
      <c r="R3128" s="80">
        <f t="shared" si="209"/>
        <v>-18</v>
      </c>
      <c r="AD3128"/>
    </row>
    <row r="3129" spans="10:30" ht="16.2" customHeight="1">
      <c r="J3129" s="80" t="s">
        <v>725</v>
      </c>
      <c r="K3129" s="80" t="s">
        <v>738</v>
      </c>
      <c r="L3129" t="s">
        <v>183</v>
      </c>
      <c r="M3129" t="s">
        <v>734</v>
      </c>
      <c r="N3129" t="str">
        <f t="shared" si="208"/>
        <v>SingleVanda Versatrak 25 Rod with RingsBelow Normal 2075Versatrak 25mm Ring Front and 25mm Glide Back Combo Bracket</v>
      </c>
      <c r="O3129">
        <v>70</v>
      </c>
      <c r="P3129">
        <v>52</v>
      </c>
      <c r="Q3129" s="80">
        <v>0</v>
      </c>
      <c r="R3129" s="80">
        <f t="shared" si="209"/>
        <v>-18</v>
      </c>
      <c r="AD3129"/>
    </row>
    <row r="3130" spans="10:30" ht="16.2" customHeight="1">
      <c r="J3130" s="80" t="s">
        <v>746</v>
      </c>
      <c r="K3130" s="80" t="s">
        <v>738</v>
      </c>
      <c r="L3130" t="s">
        <v>182</v>
      </c>
      <c r="M3130" t="s">
        <v>734</v>
      </c>
      <c r="N3130" t="str">
        <f t="shared" si="208"/>
        <v>Double FrontVanda Versatrak 25 Rod with RingsBetween Level and Normal 2073Versatrak 25mm Ring Front and 25mm Glide Back Combo Bracket</v>
      </c>
      <c r="O3130">
        <v>48</v>
      </c>
      <c r="P3130">
        <v>52</v>
      </c>
      <c r="Q3130" s="80">
        <v>0</v>
      </c>
      <c r="R3130" s="80">
        <f t="shared" si="209"/>
        <v>4</v>
      </c>
      <c r="AD3130"/>
    </row>
    <row r="3131" spans="10:30" ht="16.2" customHeight="1">
      <c r="J3131" s="80" t="s">
        <v>725</v>
      </c>
      <c r="K3131" s="80" t="s">
        <v>738</v>
      </c>
      <c r="L3131" t="s">
        <v>182</v>
      </c>
      <c r="M3131" t="s">
        <v>734</v>
      </c>
      <c r="N3131" t="str">
        <f t="shared" si="208"/>
        <v>SingleVanda Versatrak 25 Rod with RingsBetween Level and Normal 2073Versatrak 25mm Ring Front and 25mm Glide Back Combo Bracket</v>
      </c>
      <c r="O3131">
        <v>47</v>
      </c>
      <c r="P3131">
        <v>52</v>
      </c>
      <c r="Q3131" s="80">
        <v>0</v>
      </c>
      <c r="R3131" s="80">
        <f t="shared" si="209"/>
        <v>5</v>
      </c>
      <c r="AD3131"/>
    </row>
    <row r="3132" spans="10:30" ht="16.2" customHeight="1">
      <c r="J3132" s="80" t="s">
        <v>746</v>
      </c>
      <c r="K3132" s="80" t="s">
        <v>738</v>
      </c>
      <c r="L3132" t="s">
        <v>184</v>
      </c>
      <c r="M3132" t="s">
        <v>734</v>
      </c>
      <c r="N3132" t="str">
        <f t="shared" si="208"/>
        <v>Double FrontVanda Versatrak 25 Rod with RingsDecorator 2071Versatrak 25mm Ring Front and 25mm Glide Back Combo Bracket</v>
      </c>
      <c r="O3132">
        <v>20</v>
      </c>
      <c r="P3132">
        <v>52</v>
      </c>
      <c r="Q3132" s="80">
        <v>0</v>
      </c>
      <c r="R3132" s="80">
        <f t="shared" si="209"/>
        <v>32</v>
      </c>
      <c r="AD3132"/>
    </row>
    <row r="3133" spans="10:30" ht="16.2" customHeight="1">
      <c r="J3133" s="80" t="s">
        <v>725</v>
      </c>
      <c r="K3133" s="80" t="s">
        <v>738</v>
      </c>
      <c r="L3133" t="s">
        <v>184</v>
      </c>
      <c r="M3133" t="s">
        <v>734</v>
      </c>
      <c r="N3133" t="str">
        <f t="shared" si="208"/>
        <v>SingleVanda Versatrak 25 Rod with RingsDecorator 2071Versatrak 25mm Ring Front and 25mm Glide Back Combo Bracket</v>
      </c>
      <c r="O3133">
        <v>20</v>
      </c>
      <c r="P3133">
        <v>52</v>
      </c>
      <c r="Q3133" s="80">
        <v>0</v>
      </c>
      <c r="R3133" s="80">
        <f t="shared" si="209"/>
        <v>32</v>
      </c>
      <c r="AD3133"/>
    </row>
    <row r="3134" spans="10:30" ht="16.2" customHeight="1">
      <c r="J3134" s="80" t="s">
        <v>725</v>
      </c>
      <c r="K3134" s="80" t="s">
        <v>738</v>
      </c>
      <c r="L3134" t="s">
        <v>6468</v>
      </c>
      <c r="M3134" t="s">
        <v>734</v>
      </c>
      <c r="N3134" t="str">
        <f t="shared" si="208"/>
        <v>SingleVanda Versatrak 25 Rod with RingsGather Hook Bottom PocketVersatrak 25mm Ring Front and 25mm Glide Back Combo Bracket</v>
      </c>
      <c r="O3134">
        <v>60</v>
      </c>
      <c r="P3134">
        <v>52</v>
      </c>
      <c r="Q3134" s="80">
        <v>0</v>
      </c>
      <c r="R3134" s="80">
        <f t="shared" si="209"/>
        <v>-8</v>
      </c>
      <c r="AD3134"/>
    </row>
    <row r="3135" spans="10:30" ht="16.2" customHeight="1">
      <c r="J3135" s="80" t="s">
        <v>746</v>
      </c>
      <c r="K3135" s="80" t="s">
        <v>738</v>
      </c>
      <c r="L3135" t="s">
        <v>229</v>
      </c>
      <c r="M3135" t="s">
        <v>734</v>
      </c>
      <c r="N3135" t="str">
        <f t="shared" si="208"/>
        <v>Double FrontVanda Versatrak 25 Rod with RingsGather Hook LevelVersatrak 25mm Ring Front and 25mm Glide Back Combo Bracket</v>
      </c>
      <c r="O3135">
        <v>20</v>
      </c>
      <c r="P3135">
        <v>52</v>
      </c>
      <c r="Q3135" s="80">
        <v>0</v>
      </c>
      <c r="R3135" s="80">
        <f t="shared" si="209"/>
        <v>32</v>
      </c>
      <c r="AD3135"/>
    </row>
    <row r="3136" spans="10:30" ht="16.2" customHeight="1">
      <c r="J3136" s="80" t="s">
        <v>725</v>
      </c>
      <c r="K3136" s="80" t="s">
        <v>738</v>
      </c>
      <c r="L3136" t="s">
        <v>229</v>
      </c>
      <c r="M3136" t="s">
        <v>734</v>
      </c>
      <c r="N3136" t="str">
        <f t="shared" si="208"/>
        <v>SingleVanda Versatrak 25 Rod with RingsGather Hook LevelVersatrak 25mm Ring Front and 25mm Glide Back Combo Bracket</v>
      </c>
      <c r="O3136">
        <v>20</v>
      </c>
      <c r="P3136">
        <v>52</v>
      </c>
      <c r="Q3136" s="80">
        <v>0</v>
      </c>
      <c r="R3136" s="80">
        <f t="shared" si="209"/>
        <v>32</v>
      </c>
      <c r="AD3136"/>
    </row>
    <row r="3137" spans="10:30" ht="16.2" customHeight="1">
      <c r="J3137" s="80" t="s">
        <v>746</v>
      </c>
      <c r="K3137" s="80" t="s">
        <v>738</v>
      </c>
      <c r="L3137" t="s">
        <v>228</v>
      </c>
      <c r="M3137" t="s">
        <v>734</v>
      </c>
      <c r="N3137" t="str">
        <f t="shared" si="208"/>
        <v>Double FrontVanda Versatrak 25 Rod with RingsGather Hook NormalVersatrak 25mm Ring Front and 25mm Glide Back Combo Bracket</v>
      </c>
      <c r="O3137">
        <v>43</v>
      </c>
      <c r="P3137">
        <v>52</v>
      </c>
      <c r="Q3137" s="80">
        <v>0</v>
      </c>
      <c r="R3137" s="80">
        <f t="shared" si="209"/>
        <v>9</v>
      </c>
      <c r="AD3137"/>
    </row>
    <row r="3138" spans="10:30" ht="16.2" customHeight="1">
      <c r="J3138" s="80" t="s">
        <v>725</v>
      </c>
      <c r="K3138" s="80" t="s">
        <v>738</v>
      </c>
      <c r="L3138" t="s">
        <v>228</v>
      </c>
      <c r="M3138" t="s">
        <v>734</v>
      </c>
      <c r="N3138" t="str">
        <f t="shared" si="210" ref="N3138:N3201">(CONCATENATE(J3138,K3138,L3138,M3138))</f>
        <v>SingleVanda Versatrak 25 Rod with RingsGather Hook NormalVersatrak 25mm Ring Front and 25mm Glide Back Combo Bracket</v>
      </c>
      <c r="O3138">
        <v>43</v>
      </c>
      <c r="P3138">
        <v>52</v>
      </c>
      <c r="Q3138" s="80">
        <v>0</v>
      </c>
      <c r="R3138" s="80">
        <f t="shared" si="209"/>
        <v>9</v>
      </c>
      <c r="AD3138"/>
    </row>
    <row r="3139" spans="10:30" ht="16.2" customHeight="1">
      <c r="J3139" s="80" t="s">
        <v>746</v>
      </c>
      <c r="K3139" s="80" t="s">
        <v>738</v>
      </c>
      <c r="L3139" t="s">
        <v>282</v>
      </c>
      <c r="M3139" t="s">
        <v>734</v>
      </c>
      <c r="N3139" t="str">
        <f t="shared" si="210"/>
        <v>Double FrontVanda Versatrak 25 Rod with RingsLevel 2072Versatrak 25mm Ring Front and 25mm Glide Back Combo Bracket</v>
      </c>
      <c r="O3139">
        <v>38</v>
      </c>
      <c r="P3139">
        <v>52</v>
      </c>
      <c r="Q3139" s="80">
        <v>0</v>
      </c>
      <c r="R3139" s="80">
        <f t="shared" si="209"/>
        <v>14</v>
      </c>
      <c r="AD3139"/>
    </row>
    <row r="3140" spans="10:30" ht="16.2" customHeight="1">
      <c r="J3140" s="80" t="s">
        <v>725</v>
      </c>
      <c r="K3140" s="80" t="s">
        <v>738</v>
      </c>
      <c r="L3140" t="s">
        <v>282</v>
      </c>
      <c r="M3140" t="s">
        <v>734</v>
      </c>
      <c r="N3140" t="str">
        <f t="shared" si="210"/>
        <v>SingleVanda Versatrak 25 Rod with RingsLevel 2072Versatrak 25mm Ring Front and 25mm Glide Back Combo Bracket</v>
      </c>
      <c r="O3140">
        <v>35</v>
      </c>
      <c r="P3140">
        <v>52</v>
      </c>
      <c r="Q3140" s="80">
        <v>0</v>
      </c>
      <c r="R3140" s="80">
        <f t="shared" si="209"/>
        <v>17</v>
      </c>
      <c r="AD3140"/>
    </row>
    <row r="3141" spans="10:30" ht="16.2" customHeight="1">
      <c r="J3141" s="80" t="s">
        <v>746</v>
      </c>
      <c r="K3141" s="80" t="s">
        <v>738</v>
      </c>
      <c r="L3141" t="s">
        <v>170</v>
      </c>
      <c r="M3141" t="s">
        <v>734</v>
      </c>
      <c r="N3141" t="str">
        <f t="shared" si="210"/>
        <v>Double FrontVanda Versatrak 25 Rod with RingsNormal 2074Versatrak 25mm Ring Front and 25mm Glide Back Combo Bracket</v>
      </c>
      <c r="O3141">
        <v>60</v>
      </c>
      <c r="P3141">
        <v>52</v>
      </c>
      <c r="Q3141" s="80">
        <v>0</v>
      </c>
      <c r="R3141" s="80">
        <f t="shared" si="209"/>
        <v>-8</v>
      </c>
      <c r="AD3141"/>
    </row>
    <row r="3142" spans="10:30" ht="16.2" customHeight="1">
      <c r="J3142" s="80" t="s">
        <v>725</v>
      </c>
      <c r="K3142" s="80" t="s">
        <v>738</v>
      </c>
      <c r="L3142" t="s">
        <v>170</v>
      </c>
      <c r="M3142" t="s">
        <v>734</v>
      </c>
      <c r="N3142" t="str">
        <f t="shared" si="210"/>
        <v>SingleVanda Versatrak 25 Rod with RingsNormal 2074Versatrak 25mm Ring Front and 25mm Glide Back Combo Bracket</v>
      </c>
      <c r="O3142">
        <v>60</v>
      </c>
      <c r="P3142">
        <v>52</v>
      </c>
      <c r="Q3142" s="80">
        <v>0</v>
      </c>
      <c r="R3142" s="80">
        <f t="shared" si="209"/>
        <v>-8</v>
      </c>
      <c r="AD3142"/>
    </row>
    <row r="3143" spans="10:30" ht="16.2" customHeight="1">
      <c r="J3143" s="80" t="s">
        <v>746</v>
      </c>
      <c r="K3143" s="80" t="s">
        <v>738</v>
      </c>
      <c r="L3143" t="s">
        <v>183</v>
      </c>
      <c r="M3143" s="80" t="s">
        <v>740</v>
      </c>
      <c r="N3143" t="str">
        <f t="shared" si="210"/>
        <v>Double FrontVanda Versatrak 25 Rod with RingsBelow Normal 2075Versatrak Ring Bracket 100mm</v>
      </c>
      <c r="O3143">
        <v>70</v>
      </c>
      <c r="P3143">
        <v>63</v>
      </c>
      <c r="Q3143" s="80">
        <v>0</v>
      </c>
      <c r="R3143" s="80">
        <f t="shared" si="209"/>
        <v>-7</v>
      </c>
      <c r="AD3143"/>
    </row>
    <row r="3144" spans="10:30" ht="16.2" customHeight="1">
      <c r="J3144" s="80" t="s">
        <v>747</v>
      </c>
      <c r="K3144" s="80" t="s">
        <v>738</v>
      </c>
      <c r="L3144" t="s">
        <v>183</v>
      </c>
      <c r="M3144" s="80" t="s">
        <v>740</v>
      </c>
      <c r="N3144" t="str">
        <f t="shared" si="210"/>
        <v>Double RearVanda Versatrak 25 Rod with RingsBelow Normal 2075Versatrak Ring Bracket 100mm</v>
      </c>
      <c r="O3144">
        <v>70</v>
      </c>
      <c r="P3144">
        <v>63</v>
      </c>
      <c r="Q3144" s="80">
        <v>0</v>
      </c>
      <c r="R3144" s="80">
        <f t="shared" si="209"/>
        <v>-7</v>
      </c>
      <c r="AD3144"/>
    </row>
    <row r="3145" spans="10:30" ht="16.2" customHeight="1">
      <c r="J3145" s="80" t="s">
        <v>725</v>
      </c>
      <c r="K3145" s="80" t="s">
        <v>738</v>
      </c>
      <c r="L3145" t="s">
        <v>183</v>
      </c>
      <c r="M3145" s="80" t="s">
        <v>740</v>
      </c>
      <c r="N3145" t="str">
        <f t="shared" si="210"/>
        <v>SingleVanda Versatrak 25 Rod with RingsBelow Normal 2075Versatrak Ring Bracket 100mm</v>
      </c>
      <c r="O3145">
        <v>70</v>
      </c>
      <c r="P3145">
        <v>63</v>
      </c>
      <c r="Q3145" s="80">
        <v>0</v>
      </c>
      <c r="R3145" s="80">
        <f t="shared" si="209"/>
        <v>-7</v>
      </c>
      <c r="AD3145"/>
    </row>
    <row r="3146" spans="10:30" ht="16.2" customHeight="1">
      <c r="J3146" s="80" t="s">
        <v>746</v>
      </c>
      <c r="K3146" s="80" t="s">
        <v>738</v>
      </c>
      <c r="L3146" t="s">
        <v>182</v>
      </c>
      <c r="M3146" s="80" t="s">
        <v>740</v>
      </c>
      <c r="N3146" t="str">
        <f t="shared" si="210"/>
        <v>Double FrontVanda Versatrak 25 Rod with RingsBetween Level and Normal 2073Versatrak Ring Bracket 100mm</v>
      </c>
      <c r="O3146">
        <v>48</v>
      </c>
      <c r="P3146">
        <v>63</v>
      </c>
      <c r="Q3146" s="80">
        <v>0</v>
      </c>
      <c r="R3146" s="80">
        <f t="shared" si="209"/>
        <v>15</v>
      </c>
      <c r="AD3146"/>
    </row>
    <row r="3147" spans="10:30" ht="16.2" customHeight="1">
      <c r="J3147" s="80" t="s">
        <v>747</v>
      </c>
      <c r="K3147" s="80" t="s">
        <v>738</v>
      </c>
      <c r="L3147" t="s">
        <v>182</v>
      </c>
      <c r="M3147" s="80" t="s">
        <v>740</v>
      </c>
      <c r="N3147" t="str">
        <f t="shared" si="210"/>
        <v>Double RearVanda Versatrak 25 Rod with RingsBetween Level and Normal 2073Versatrak Ring Bracket 100mm</v>
      </c>
      <c r="O3147">
        <v>48</v>
      </c>
      <c r="P3147">
        <v>63</v>
      </c>
      <c r="Q3147" s="80">
        <v>0</v>
      </c>
      <c r="R3147" s="80">
        <f t="shared" si="209"/>
        <v>15</v>
      </c>
      <c r="AD3147"/>
    </row>
    <row r="3148" spans="10:30" ht="16.2" customHeight="1">
      <c r="J3148" s="80" t="s">
        <v>725</v>
      </c>
      <c r="K3148" s="80" t="s">
        <v>738</v>
      </c>
      <c r="L3148" t="s">
        <v>182</v>
      </c>
      <c r="M3148" s="80" t="s">
        <v>740</v>
      </c>
      <c r="N3148" t="str">
        <f t="shared" si="210"/>
        <v>SingleVanda Versatrak 25 Rod with RingsBetween Level and Normal 2073Versatrak Ring Bracket 100mm</v>
      </c>
      <c r="O3148">
        <v>47</v>
      </c>
      <c r="P3148">
        <v>63</v>
      </c>
      <c r="Q3148" s="80">
        <v>0</v>
      </c>
      <c r="R3148" s="80">
        <f t="shared" si="209"/>
        <v>16</v>
      </c>
      <c r="AD3148"/>
    </row>
    <row r="3149" spans="10:30" ht="16.2" customHeight="1">
      <c r="J3149" s="80" t="s">
        <v>746</v>
      </c>
      <c r="K3149" s="80" t="s">
        <v>738</v>
      </c>
      <c r="L3149" t="s">
        <v>184</v>
      </c>
      <c r="M3149" s="80" t="s">
        <v>740</v>
      </c>
      <c r="N3149" t="str">
        <f t="shared" si="210"/>
        <v>Double FrontVanda Versatrak 25 Rod with RingsDecorator 2071Versatrak Ring Bracket 100mm</v>
      </c>
      <c r="O3149">
        <v>20</v>
      </c>
      <c r="P3149">
        <v>63</v>
      </c>
      <c r="Q3149" s="80">
        <v>0</v>
      </c>
      <c r="R3149" s="80">
        <f t="shared" si="209"/>
        <v>43</v>
      </c>
      <c r="AD3149"/>
    </row>
    <row r="3150" spans="10:30" ht="16.2" customHeight="1">
      <c r="J3150" s="80" t="s">
        <v>747</v>
      </c>
      <c r="K3150" s="80" t="s">
        <v>738</v>
      </c>
      <c r="L3150" t="s">
        <v>184</v>
      </c>
      <c r="M3150" s="80" t="s">
        <v>740</v>
      </c>
      <c r="N3150" t="str">
        <f t="shared" si="210"/>
        <v>Double RearVanda Versatrak 25 Rod with RingsDecorator 2071Versatrak Ring Bracket 100mm</v>
      </c>
      <c r="O3150">
        <v>20</v>
      </c>
      <c r="P3150">
        <v>63</v>
      </c>
      <c r="Q3150" s="80">
        <v>0</v>
      </c>
      <c r="R3150" s="80">
        <f t="shared" si="209"/>
        <v>43</v>
      </c>
      <c r="AD3150"/>
    </row>
    <row r="3151" spans="10:30" ht="16.2" customHeight="1">
      <c r="J3151" s="80" t="s">
        <v>725</v>
      </c>
      <c r="K3151" s="80" t="s">
        <v>738</v>
      </c>
      <c r="L3151" t="s">
        <v>184</v>
      </c>
      <c r="M3151" s="80" t="s">
        <v>740</v>
      </c>
      <c r="N3151" t="str">
        <f t="shared" si="210"/>
        <v>SingleVanda Versatrak 25 Rod with RingsDecorator 2071Versatrak Ring Bracket 100mm</v>
      </c>
      <c r="O3151">
        <v>20</v>
      </c>
      <c r="P3151">
        <v>63</v>
      </c>
      <c r="Q3151" s="80">
        <v>0</v>
      </c>
      <c r="R3151" s="80">
        <f t="shared" si="209"/>
        <v>43</v>
      </c>
      <c r="AD3151"/>
    </row>
    <row r="3152" spans="10:30" ht="16.2" customHeight="1">
      <c r="J3152" s="80" t="s">
        <v>725</v>
      </c>
      <c r="K3152" s="80" t="s">
        <v>738</v>
      </c>
      <c r="L3152" t="s">
        <v>6468</v>
      </c>
      <c r="M3152" s="80" t="s">
        <v>740</v>
      </c>
      <c r="N3152" t="str">
        <f t="shared" si="210"/>
        <v>SingleVanda Versatrak 25 Rod with RingsGather Hook Bottom PocketVersatrak Ring Bracket 100mm</v>
      </c>
      <c r="O3152">
        <v>60</v>
      </c>
      <c r="P3152">
        <v>63</v>
      </c>
      <c r="Q3152" s="80">
        <v>0</v>
      </c>
      <c r="R3152" s="80">
        <f t="shared" si="209"/>
        <v>3</v>
      </c>
      <c r="AD3152"/>
    </row>
    <row r="3153" spans="10:30" ht="16.2" customHeight="1">
      <c r="J3153" s="80" t="s">
        <v>746</v>
      </c>
      <c r="K3153" s="80" t="s">
        <v>738</v>
      </c>
      <c r="L3153" t="s">
        <v>229</v>
      </c>
      <c r="M3153" s="80" t="s">
        <v>740</v>
      </c>
      <c r="N3153" t="str">
        <f t="shared" si="210"/>
        <v>Double FrontVanda Versatrak 25 Rod with RingsGather Hook LevelVersatrak Ring Bracket 100mm</v>
      </c>
      <c r="O3153">
        <v>20</v>
      </c>
      <c r="P3153">
        <v>63</v>
      </c>
      <c r="Q3153" s="80">
        <v>0</v>
      </c>
      <c r="R3153" s="80">
        <f t="shared" si="209"/>
        <v>43</v>
      </c>
      <c r="AD3153"/>
    </row>
    <row r="3154" spans="10:30" ht="16.2" customHeight="1">
      <c r="J3154" s="80" t="s">
        <v>747</v>
      </c>
      <c r="K3154" s="80" t="s">
        <v>738</v>
      </c>
      <c r="L3154" t="s">
        <v>229</v>
      </c>
      <c r="M3154" s="80" t="s">
        <v>740</v>
      </c>
      <c r="N3154" t="str">
        <f t="shared" si="210"/>
        <v>Double RearVanda Versatrak 25 Rod with RingsGather Hook LevelVersatrak Ring Bracket 100mm</v>
      </c>
      <c r="O3154">
        <v>20</v>
      </c>
      <c r="P3154">
        <v>63</v>
      </c>
      <c r="Q3154" s="80">
        <v>0</v>
      </c>
      <c r="R3154" s="80">
        <f t="shared" si="209"/>
        <v>43</v>
      </c>
      <c r="AD3154"/>
    </row>
    <row r="3155" spans="10:30" ht="16.2" customHeight="1">
      <c r="J3155" s="80" t="s">
        <v>725</v>
      </c>
      <c r="K3155" s="80" t="s">
        <v>738</v>
      </c>
      <c r="L3155" t="s">
        <v>229</v>
      </c>
      <c r="M3155" s="80" t="s">
        <v>740</v>
      </c>
      <c r="N3155" t="str">
        <f t="shared" si="210"/>
        <v>SingleVanda Versatrak 25 Rod with RingsGather Hook LevelVersatrak Ring Bracket 100mm</v>
      </c>
      <c r="O3155">
        <v>20</v>
      </c>
      <c r="P3155">
        <v>63</v>
      </c>
      <c r="Q3155" s="80">
        <v>0</v>
      </c>
      <c r="R3155" s="80">
        <f t="shared" si="209"/>
        <v>43</v>
      </c>
      <c r="AD3155"/>
    </row>
    <row r="3156" spans="10:30" ht="16.2" customHeight="1">
      <c r="J3156" s="80" t="s">
        <v>746</v>
      </c>
      <c r="K3156" s="80" t="s">
        <v>738</v>
      </c>
      <c r="L3156" t="s">
        <v>228</v>
      </c>
      <c r="M3156" s="80" t="s">
        <v>740</v>
      </c>
      <c r="N3156" t="str">
        <f t="shared" si="210"/>
        <v>Double FrontVanda Versatrak 25 Rod with RingsGather Hook NormalVersatrak Ring Bracket 100mm</v>
      </c>
      <c r="O3156">
        <v>43</v>
      </c>
      <c r="P3156">
        <v>63</v>
      </c>
      <c r="Q3156" s="80">
        <v>0</v>
      </c>
      <c r="R3156" s="80">
        <f t="shared" si="209"/>
        <v>20</v>
      </c>
      <c r="AD3156"/>
    </row>
    <row r="3157" spans="10:30" ht="16.2" customHeight="1">
      <c r="J3157" s="80" t="s">
        <v>747</v>
      </c>
      <c r="K3157" s="80" t="s">
        <v>738</v>
      </c>
      <c r="L3157" t="s">
        <v>228</v>
      </c>
      <c r="M3157" s="80" t="s">
        <v>740</v>
      </c>
      <c r="N3157" t="str">
        <f t="shared" si="210"/>
        <v>Double RearVanda Versatrak 25 Rod with RingsGather Hook NormalVersatrak Ring Bracket 100mm</v>
      </c>
      <c r="O3157">
        <v>43</v>
      </c>
      <c r="P3157">
        <v>63</v>
      </c>
      <c r="Q3157" s="80">
        <v>0</v>
      </c>
      <c r="R3157" s="80">
        <f t="shared" si="209"/>
        <v>20</v>
      </c>
      <c r="AD3157"/>
    </row>
    <row r="3158" spans="10:30" ht="16.2" customHeight="1">
      <c r="J3158" s="80" t="s">
        <v>725</v>
      </c>
      <c r="K3158" s="80" t="s">
        <v>738</v>
      </c>
      <c r="L3158" t="s">
        <v>228</v>
      </c>
      <c r="M3158" s="80" t="s">
        <v>740</v>
      </c>
      <c r="N3158" t="str">
        <f t="shared" si="210"/>
        <v>SingleVanda Versatrak 25 Rod with RingsGather Hook NormalVersatrak Ring Bracket 100mm</v>
      </c>
      <c r="O3158">
        <v>43</v>
      </c>
      <c r="P3158">
        <v>63</v>
      </c>
      <c r="Q3158" s="80">
        <v>0</v>
      </c>
      <c r="R3158" s="80">
        <f t="shared" si="209"/>
        <v>20</v>
      </c>
      <c r="AD3158"/>
    </row>
    <row r="3159" spans="10:30" ht="16.2" customHeight="1">
      <c r="J3159" s="80" t="s">
        <v>746</v>
      </c>
      <c r="K3159" s="80" t="s">
        <v>738</v>
      </c>
      <c r="L3159" t="s">
        <v>282</v>
      </c>
      <c r="M3159" s="80" t="s">
        <v>740</v>
      </c>
      <c r="N3159" t="str">
        <f t="shared" si="210"/>
        <v>Double FrontVanda Versatrak 25 Rod with RingsLevel 2072Versatrak Ring Bracket 100mm</v>
      </c>
      <c r="O3159">
        <v>38</v>
      </c>
      <c r="P3159">
        <v>63</v>
      </c>
      <c r="Q3159" s="80">
        <v>0</v>
      </c>
      <c r="R3159" s="80">
        <f t="shared" si="209"/>
        <v>25</v>
      </c>
      <c r="AD3159"/>
    </row>
    <row r="3160" spans="10:30" ht="16.2" customHeight="1">
      <c r="J3160" s="80" t="s">
        <v>747</v>
      </c>
      <c r="K3160" s="80" t="s">
        <v>738</v>
      </c>
      <c r="L3160" t="s">
        <v>282</v>
      </c>
      <c r="M3160" s="80" t="s">
        <v>740</v>
      </c>
      <c r="N3160" t="str">
        <f t="shared" si="210"/>
        <v>Double RearVanda Versatrak 25 Rod with RingsLevel 2072Versatrak Ring Bracket 100mm</v>
      </c>
      <c r="O3160">
        <v>38</v>
      </c>
      <c r="P3160">
        <v>63</v>
      </c>
      <c r="Q3160" s="80">
        <v>0</v>
      </c>
      <c r="R3160" s="80">
        <f t="shared" si="209"/>
        <v>25</v>
      </c>
      <c r="AD3160"/>
    </row>
    <row r="3161" spans="10:30" ht="16.2" customHeight="1">
      <c r="J3161" s="80" t="s">
        <v>725</v>
      </c>
      <c r="K3161" s="80" t="s">
        <v>738</v>
      </c>
      <c r="L3161" t="s">
        <v>282</v>
      </c>
      <c r="M3161" s="80" t="s">
        <v>740</v>
      </c>
      <c r="N3161" t="str">
        <f t="shared" si="210"/>
        <v>SingleVanda Versatrak 25 Rod with RingsLevel 2072Versatrak Ring Bracket 100mm</v>
      </c>
      <c r="O3161">
        <v>35</v>
      </c>
      <c r="P3161">
        <v>63</v>
      </c>
      <c r="Q3161" s="80">
        <v>0</v>
      </c>
      <c r="R3161" s="80">
        <f t="shared" si="209"/>
        <v>28</v>
      </c>
      <c r="AD3161"/>
    </row>
    <row r="3162" spans="10:30" ht="16.2" customHeight="1">
      <c r="J3162" s="80" t="s">
        <v>746</v>
      </c>
      <c r="K3162" s="80" t="s">
        <v>738</v>
      </c>
      <c r="L3162" t="s">
        <v>170</v>
      </c>
      <c r="M3162" s="80" t="s">
        <v>740</v>
      </c>
      <c r="N3162" t="str">
        <f t="shared" si="210"/>
        <v>Double FrontVanda Versatrak 25 Rod with RingsNormal 2074Versatrak Ring Bracket 100mm</v>
      </c>
      <c r="O3162">
        <v>60</v>
      </c>
      <c r="P3162">
        <v>63</v>
      </c>
      <c r="Q3162" s="80">
        <v>0</v>
      </c>
      <c r="R3162" s="80">
        <f t="shared" si="209"/>
        <v>3</v>
      </c>
      <c r="AD3162"/>
    </row>
    <row r="3163" spans="10:30" ht="16.2" customHeight="1">
      <c r="J3163" s="80" t="s">
        <v>747</v>
      </c>
      <c r="K3163" s="80" t="s">
        <v>738</v>
      </c>
      <c r="L3163" t="s">
        <v>170</v>
      </c>
      <c r="M3163" s="80" t="s">
        <v>740</v>
      </c>
      <c r="N3163" t="str">
        <f t="shared" si="210"/>
        <v>Double RearVanda Versatrak 25 Rod with RingsNormal 2074Versatrak Ring Bracket 100mm</v>
      </c>
      <c r="O3163">
        <v>60</v>
      </c>
      <c r="P3163">
        <v>63</v>
      </c>
      <c r="Q3163" s="80">
        <v>0</v>
      </c>
      <c r="R3163" s="80">
        <f t="shared" si="209"/>
        <v>3</v>
      </c>
      <c r="AD3163"/>
    </row>
    <row r="3164" spans="10:30" ht="16.2" customHeight="1">
      <c r="J3164" s="80" t="s">
        <v>725</v>
      </c>
      <c r="K3164" s="80" t="s">
        <v>738</v>
      </c>
      <c r="L3164" t="s">
        <v>170</v>
      </c>
      <c r="M3164" s="80" t="s">
        <v>740</v>
      </c>
      <c r="N3164" t="str">
        <f t="shared" si="210"/>
        <v>SingleVanda Versatrak 25 Rod with RingsNormal 2074Versatrak Ring Bracket 100mm</v>
      </c>
      <c r="O3164">
        <v>60</v>
      </c>
      <c r="P3164">
        <v>63</v>
      </c>
      <c r="Q3164" s="80">
        <v>0</v>
      </c>
      <c r="R3164" s="80">
        <f t="shared" si="209"/>
        <v>3</v>
      </c>
      <c r="AD3164"/>
    </row>
    <row r="3165" spans="10:30" ht="16.2" customHeight="1">
      <c r="J3165" s="80" t="s">
        <v>746</v>
      </c>
      <c r="K3165" s="80" t="s">
        <v>738</v>
      </c>
      <c r="L3165" t="s">
        <v>183</v>
      </c>
      <c r="M3165" s="80" t="s">
        <v>741</v>
      </c>
      <c r="N3165" t="str">
        <f t="shared" si="210"/>
        <v>Double FrontVanda Versatrak 25 Rod with RingsBelow Normal 2075Versatrak Ring Bracket 140mm</v>
      </c>
      <c r="O3165">
        <v>70</v>
      </c>
      <c r="P3165">
        <v>52</v>
      </c>
      <c r="Q3165" s="80">
        <v>0</v>
      </c>
      <c r="R3165" s="80">
        <f t="shared" si="209"/>
        <v>-18</v>
      </c>
      <c r="AD3165"/>
    </row>
    <row r="3166" spans="10:30" ht="16.2" customHeight="1">
      <c r="J3166" s="80" t="s">
        <v>747</v>
      </c>
      <c r="K3166" s="80" t="s">
        <v>738</v>
      </c>
      <c r="L3166" t="s">
        <v>183</v>
      </c>
      <c r="M3166" s="80" t="s">
        <v>741</v>
      </c>
      <c r="N3166" t="str">
        <f t="shared" si="210"/>
        <v>Double RearVanda Versatrak 25 Rod with RingsBelow Normal 2075Versatrak Ring Bracket 140mm</v>
      </c>
      <c r="O3166">
        <v>70</v>
      </c>
      <c r="P3166">
        <v>52</v>
      </c>
      <c r="Q3166" s="80">
        <v>0</v>
      </c>
      <c r="R3166" s="80">
        <f t="shared" si="209"/>
        <v>-18</v>
      </c>
      <c r="AD3166"/>
    </row>
    <row r="3167" spans="10:30" ht="16.2" customHeight="1">
      <c r="J3167" s="80" t="s">
        <v>725</v>
      </c>
      <c r="K3167" s="80" t="s">
        <v>738</v>
      </c>
      <c r="L3167" t="s">
        <v>183</v>
      </c>
      <c r="M3167" s="80" t="s">
        <v>741</v>
      </c>
      <c r="N3167" t="str">
        <f t="shared" si="210"/>
        <v>SingleVanda Versatrak 25 Rod with RingsBelow Normal 2075Versatrak Ring Bracket 140mm</v>
      </c>
      <c r="O3167">
        <v>70</v>
      </c>
      <c r="P3167">
        <v>52</v>
      </c>
      <c r="Q3167" s="80">
        <v>0</v>
      </c>
      <c r="R3167" s="80">
        <f t="shared" si="211" ref="R3167:R3230">SUM(P3167)-O3167</f>
        <v>-18</v>
      </c>
      <c r="AD3167"/>
    </row>
    <row r="3168" spans="10:30" ht="16.2" customHeight="1">
      <c r="J3168" s="80" t="s">
        <v>746</v>
      </c>
      <c r="K3168" s="80" t="s">
        <v>738</v>
      </c>
      <c r="L3168" t="s">
        <v>182</v>
      </c>
      <c r="M3168" s="80" t="s">
        <v>741</v>
      </c>
      <c r="N3168" t="str">
        <f t="shared" si="210"/>
        <v>Double FrontVanda Versatrak 25 Rod with RingsBetween Level and Normal 2073Versatrak Ring Bracket 140mm</v>
      </c>
      <c r="O3168">
        <v>48</v>
      </c>
      <c r="P3168">
        <v>52</v>
      </c>
      <c r="Q3168" s="80">
        <v>0</v>
      </c>
      <c r="R3168" s="80">
        <f t="shared" si="211"/>
        <v>4</v>
      </c>
      <c r="AD3168"/>
    </row>
    <row r="3169" spans="10:30" ht="16.2" customHeight="1">
      <c r="J3169" s="80" t="s">
        <v>747</v>
      </c>
      <c r="K3169" s="80" t="s">
        <v>738</v>
      </c>
      <c r="L3169" t="s">
        <v>182</v>
      </c>
      <c r="M3169" s="80" t="s">
        <v>741</v>
      </c>
      <c r="N3169" t="str">
        <f t="shared" si="210"/>
        <v>Double RearVanda Versatrak 25 Rod with RingsBetween Level and Normal 2073Versatrak Ring Bracket 140mm</v>
      </c>
      <c r="O3169">
        <v>48</v>
      </c>
      <c r="P3169">
        <v>52</v>
      </c>
      <c r="Q3169" s="80">
        <v>0</v>
      </c>
      <c r="R3169" s="80">
        <f t="shared" si="211"/>
        <v>4</v>
      </c>
      <c r="AD3169"/>
    </row>
    <row r="3170" spans="10:30" ht="16.2" customHeight="1">
      <c r="J3170" s="80" t="s">
        <v>725</v>
      </c>
      <c r="K3170" s="80" t="s">
        <v>738</v>
      </c>
      <c r="L3170" t="s">
        <v>182</v>
      </c>
      <c r="M3170" s="80" t="s">
        <v>741</v>
      </c>
      <c r="N3170" t="str">
        <f t="shared" si="210"/>
        <v>SingleVanda Versatrak 25 Rod with RingsBetween Level and Normal 2073Versatrak Ring Bracket 140mm</v>
      </c>
      <c r="O3170">
        <v>47</v>
      </c>
      <c r="P3170">
        <v>52</v>
      </c>
      <c r="Q3170" s="80">
        <v>0</v>
      </c>
      <c r="R3170" s="80">
        <f t="shared" si="211"/>
        <v>5</v>
      </c>
      <c r="AD3170"/>
    </row>
    <row r="3171" spans="10:30" ht="16.2" customHeight="1">
      <c r="J3171" s="80" t="s">
        <v>746</v>
      </c>
      <c r="K3171" s="80" t="s">
        <v>738</v>
      </c>
      <c r="L3171" t="s">
        <v>184</v>
      </c>
      <c r="M3171" s="80" t="s">
        <v>741</v>
      </c>
      <c r="N3171" t="str">
        <f t="shared" si="210"/>
        <v>Double FrontVanda Versatrak 25 Rod with RingsDecorator 2071Versatrak Ring Bracket 140mm</v>
      </c>
      <c r="O3171">
        <v>20</v>
      </c>
      <c r="P3171">
        <v>52</v>
      </c>
      <c r="Q3171" s="80">
        <v>0</v>
      </c>
      <c r="R3171" s="80">
        <f t="shared" si="211"/>
        <v>32</v>
      </c>
      <c r="AD3171"/>
    </row>
    <row r="3172" spans="10:30" ht="16.2" customHeight="1">
      <c r="J3172" s="80" t="s">
        <v>747</v>
      </c>
      <c r="K3172" s="80" t="s">
        <v>738</v>
      </c>
      <c r="L3172" t="s">
        <v>184</v>
      </c>
      <c r="M3172" s="80" t="s">
        <v>741</v>
      </c>
      <c r="N3172" t="str">
        <f t="shared" si="210"/>
        <v>Double RearVanda Versatrak 25 Rod with RingsDecorator 2071Versatrak Ring Bracket 140mm</v>
      </c>
      <c r="O3172">
        <v>20</v>
      </c>
      <c r="P3172">
        <v>52</v>
      </c>
      <c r="Q3172" s="80">
        <v>0</v>
      </c>
      <c r="R3172" s="80">
        <f t="shared" si="211"/>
        <v>32</v>
      </c>
      <c r="AD3172"/>
    </row>
    <row r="3173" spans="10:30" ht="16.2" customHeight="1">
      <c r="J3173" s="80" t="s">
        <v>725</v>
      </c>
      <c r="K3173" s="80" t="s">
        <v>738</v>
      </c>
      <c r="L3173" t="s">
        <v>184</v>
      </c>
      <c r="M3173" s="80" t="s">
        <v>741</v>
      </c>
      <c r="N3173" t="str">
        <f t="shared" si="210"/>
        <v>SingleVanda Versatrak 25 Rod with RingsDecorator 2071Versatrak Ring Bracket 140mm</v>
      </c>
      <c r="O3173">
        <v>20</v>
      </c>
      <c r="P3173">
        <v>52</v>
      </c>
      <c r="Q3173" s="80">
        <v>0</v>
      </c>
      <c r="R3173" s="80">
        <f t="shared" si="211"/>
        <v>32</v>
      </c>
      <c r="AD3173"/>
    </row>
    <row r="3174" spans="10:30" ht="16.2" customHeight="1">
      <c r="J3174" s="80" t="s">
        <v>725</v>
      </c>
      <c r="K3174" s="80" t="s">
        <v>738</v>
      </c>
      <c r="L3174" t="s">
        <v>6468</v>
      </c>
      <c r="M3174" s="80" t="s">
        <v>741</v>
      </c>
      <c r="N3174" t="str">
        <f t="shared" si="210"/>
        <v>SingleVanda Versatrak 25 Rod with RingsGather Hook Bottom PocketVersatrak Ring Bracket 140mm</v>
      </c>
      <c r="O3174">
        <v>60</v>
      </c>
      <c r="P3174">
        <v>52</v>
      </c>
      <c r="Q3174" s="80">
        <v>0</v>
      </c>
      <c r="R3174" s="80">
        <f t="shared" si="211"/>
        <v>-8</v>
      </c>
      <c r="AD3174"/>
    </row>
    <row r="3175" spans="10:30" ht="16.2" customHeight="1">
      <c r="J3175" s="80" t="s">
        <v>746</v>
      </c>
      <c r="K3175" s="80" t="s">
        <v>738</v>
      </c>
      <c r="L3175" t="s">
        <v>229</v>
      </c>
      <c r="M3175" s="80" t="s">
        <v>741</v>
      </c>
      <c r="N3175" t="str">
        <f t="shared" si="210"/>
        <v>Double FrontVanda Versatrak 25 Rod with RingsGather Hook LevelVersatrak Ring Bracket 140mm</v>
      </c>
      <c r="O3175">
        <v>20</v>
      </c>
      <c r="P3175">
        <v>52</v>
      </c>
      <c r="Q3175" s="80">
        <v>0</v>
      </c>
      <c r="R3175" s="80">
        <f t="shared" si="211"/>
        <v>32</v>
      </c>
      <c r="AD3175"/>
    </row>
    <row r="3176" spans="10:30" ht="16.2" customHeight="1">
      <c r="J3176" s="80" t="s">
        <v>747</v>
      </c>
      <c r="K3176" s="80" t="s">
        <v>738</v>
      </c>
      <c r="L3176" t="s">
        <v>229</v>
      </c>
      <c r="M3176" s="80" t="s">
        <v>741</v>
      </c>
      <c r="N3176" t="str">
        <f t="shared" si="210"/>
        <v>Double RearVanda Versatrak 25 Rod with RingsGather Hook LevelVersatrak Ring Bracket 140mm</v>
      </c>
      <c r="O3176">
        <v>20</v>
      </c>
      <c r="P3176">
        <v>52</v>
      </c>
      <c r="Q3176" s="80">
        <v>0</v>
      </c>
      <c r="R3176" s="80">
        <f t="shared" si="211"/>
        <v>32</v>
      </c>
      <c r="AD3176"/>
    </row>
    <row r="3177" spans="10:30" ht="16.2" customHeight="1">
      <c r="J3177" s="80" t="s">
        <v>725</v>
      </c>
      <c r="K3177" s="80" t="s">
        <v>738</v>
      </c>
      <c r="L3177" t="s">
        <v>229</v>
      </c>
      <c r="M3177" s="80" t="s">
        <v>741</v>
      </c>
      <c r="N3177" t="str">
        <f t="shared" si="210"/>
        <v>SingleVanda Versatrak 25 Rod with RingsGather Hook LevelVersatrak Ring Bracket 140mm</v>
      </c>
      <c r="O3177">
        <v>20</v>
      </c>
      <c r="P3177">
        <v>52</v>
      </c>
      <c r="Q3177" s="80">
        <v>0</v>
      </c>
      <c r="R3177" s="80">
        <f t="shared" si="211"/>
        <v>32</v>
      </c>
      <c r="AD3177"/>
    </row>
    <row r="3178" spans="10:30" ht="16.2" customHeight="1">
      <c r="J3178" s="80" t="s">
        <v>746</v>
      </c>
      <c r="K3178" s="80" t="s">
        <v>738</v>
      </c>
      <c r="L3178" t="s">
        <v>228</v>
      </c>
      <c r="M3178" s="80" t="s">
        <v>741</v>
      </c>
      <c r="N3178" t="str">
        <f t="shared" si="210"/>
        <v>Double FrontVanda Versatrak 25 Rod with RingsGather Hook NormalVersatrak Ring Bracket 140mm</v>
      </c>
      <c r="O3178">
        <v>43</v>
      </c>
      <c r="P3178">
        <v>52</v>
      </c>
      <c r="Q3178" s="80">
        <v>0</v>
      </c>
      <c r="R3178" s="80">
        <f t="shared" si="211"/>
        <v>9</v>
      </c>
      <c r="AD3178"/>
    </row>
    <row r="3179" spans="10:30" ht="16.2" customHeight="1">
      <c r="J3179" s="80" t="s">
        <v>747</v>
      </c>
      <c r="K3179" s="80" t="s">
        <v>738</v>
      </c>
      <c r="L3179" t="s">
        <v>228</v>
      </c>
      <c r="M3179" s="80" t="s">
        <v>741</v>
      </c>
      <c r="N3179" t="str">
        <f t="shared" si="210"/>
        <v>Double RearVanda Versatrak 25 Rod with RingsGather Hook NormalVersatrak Ring Bracket 140mm</v>
      </c>
      <c r="O3179">
        <v>43</v>
      </c>
      <c r="P3179">
        <v>52</v>
      </c>
      <c r="Q3179" s="80">
        <v>0</v>
      </c>
      <c r="R3179" s="80">
        <f t="shared" si="211"/>
        <v>9</v>
      </c>
      <c r="AD3179"/>
    </row>
    <row r="3180" spans="10:30" ht="16.2" customHeight="1">
      <c r="J3180" s="80" t="s">
        <v>725</v>
      </c>
      <c r="K3180" s="80" t="s">
        <v>738</v>
      </c>
      <c r="L3180" t="s">
        <v>228</v>
      </c>
      <c r="M3180" s="80" t="s">
        <v>741</v>
      </c>
      <c r="N3180" t="str">
        <f t="shared" si="210"/>
        <v>SingleVanda Versatrak 25 Rod with RingsGather Hook NormalVersatrak Ring Bracket 140mm</v>
      </c>
      <c r="O3180">
        <v>43</v>
      </c>
      <c r="P3180">
        <v>52</v>
      </c>
      <c r="Q3180" s="80">
        <v>0</v>
      </c>
      <c r="R3180" s="80">
        <f t="shared" si="211"/>
        <v>9</v>
      </c>
      <c r="AD3180"/>
    </row>
    <row r="3181" spans="10:30" ht="16.2" customHeight="1">
      <c r="J3181" s="80" t="s">
        <v>746</v>
      </c>
      <c r="K3181" s="80" t="s">
        <v>738</v>
      </c>
      <c r="L3181" t="s">
        <v>282</v>
      </c>
      <c r="M3181" s="80" t="s">
        <v>741</v>
      </c>
      <c r="N3181" t="str">
        <f t="shared" si="210"/>
        <v>Double FrontVanda Versatrak 25 Rod with RingsLevel 2072Versatrak Ring Bracket 140mm</v>
      </c>
      <c r="O3181">
        <v>38</v>
      </c>
      <c r="P3181">
        <v>52</v>
      </c>
      <c r="Q3181" s="80">
        <v>0</v>
      </c>
      <c r="R3181" s="80">
        <f t="shared" si="211"/>
        <v>14</v>
      </c>
      <c r="AD3181"/>
    </row>
    <row r="3182" spans="10:30" ht="16.2" customHeight="1">
      <c r="J3182" s="80" t="s">
        <v>747</v>
      </c>
      <c r="K3182" s="80" t="s">
        <v>738</v>
      </c>
      <c r="L3182" t="s">
        <v>282</v>
      </c>
      <c r="M3182" s="80" t="s">
        <v>741</v>
      </c>
      <c r="N3182" t="str">
        <f t="shared" si="210"/>
        <v>Double RearVanda Versatrak 25 Rod with RingsLevel 2072Versatrak Ring Bracket 140mm</v>
      </c>
      <c r="O3182">
        <v>38</v>
      </c>
      <c r="P3182">
        <v>52</v>
      </c>
      <c r="Q3182" s="80">
        <v>0</v>
      </c>
      <c r="R3182" s="80">
        <f t="shared" si="211"/>
        <v>14</v>
      </c>
      <c r="AD3182"/>
    </row>
    <row r="3183" spans="10:30" ht="16.2" customHeight="1">
      <c r="J3183" s="80" t="s">
        <v>725</v>
      </c>
      <c r="K3183" s="80" t="s">
        <v>738</v>
      </c>
      <c r="L3183" t="s">
        <v>282</v>
      </c>
      <c r="M3183" s="80" t="s">
        <v>741</v>
      </c>
      <c r="N3183" t="str">
        <f t="shared" si="210"/>
        <v>SingleVanda Versatrak 25 Rod with RingsLevel 2072Versatrak Ring Bracket 140mm</v>
      </c>
      <c r="O3183">
        <v>35</v>
      </c>
      <c r="P3183">
        <v>52</v>
      </c>
      <c r="Q3183" s="80">
        <v>0</v>
      </c>
      <c r="R3183" s="80">
        <f t="shared" si="211"/>
        <v>17</v>
      </c>
      <c r="AD3183"/>
    </row>
    <row r="3184" spans="10:30" ht="16.2" customHeight="1">
      <c r="J3184" s="80" t="s">
        <v>746</v>
      </c>
      <c r="K3184" s="80" t="s">
        <v>738</v>
      </c>
      <c r="L3184" t="s">
        <v>170</v>
      </c>
      <c r="M3184" s="80" t="s">
        <v>741</v>
      </c>
      <c r="N3184" t="str">
        <f t="shared" si="210"/>
        <v>Double FrontVanda Versatrak 25 Rod with RingsNormal 2074Versatrak Ring Bracket 140mm</v>
      </c>
      <c r="O3184">
        <v>60</v>
      </c>
      <c r="P3184">
        <v>52</v>
      </c>
      <c r="Q3184" s="80">
        <v>0</v>
      </c>
      <c r="R3184" s="80">
        <f t="shared" si="211"/>
        <v>-8</v>
      </c>
      <c r="AD3184"/>
    </row>
    <row r="3185" spans="10:30" ht="16.2" customHeight="1">
      <c r="J3185" s="80" t="s">
        <v>747</v>
      </c>
      <c r="K3185" s="80" t="s">
        <v>738</v>
      </c>
      <c r="L3185" t="s">
        <v>170</v>
      </c>
      <c r="M3185" s="80" t="s">
        <v>741</v>
      </c>
      <c r="N3185" t="str">
        <f t="shared" si="210"/>
        <v>Double RearVanda Versatrak 25 Rod with RingsNormal 2074Versatrak Ring Bracket 140mm</v>
      </c>
      <c r="O3185">
        <v>60</v>
      </c>
      <c r="P3185">
        <v>52</v>
      </c>
      <c r="Q3185" s="80">
        <v>0</v>
      </c>
      <c r="R3185" s="80">
        <f t="shared" si="211"/>
        <v>-8</v>
      </c>
      <c r="AD3185"/>
    </row>
    <row r="3186" spans="10:30" ht="16.2" customHeight="1">
      <c r="J3186" s="80" t="s">
        <v>725</v>
      </c>
      <c r="K3186" s="80" t="s">
        <v>738</v>
      </c>
      <c r="L3186" t="s">
        <v>170</v>
      </c>
      <c r="M3186" s="80" t="s">
        <v>741</v>
      </c>
      <c r="N3186" t="str">
        <f t="shared" si="210"/>
        <v>SingleVanda Versatrak 25 Rod with RingsNormal 2074Versatrak Ring Bracket 140mm</v>
      </c>
      <c r="O3186">
        <v>60</v>
      </c>
      <c r="P3186">
        <v>52</v>
      </c>
      <c r="Q3186" s="80">
        <v>0</v>
      </c>
      <c r="R3186" s="80">
        <f t="shared" si="211"/>
        <v>-8</v>
      </c>
      <c r="AD3186"/>
    </row>
    <row r="3187" spans="10:30" ht="16.2" customHeight="1">
      <c r="J3187" s="80" t="s">
        <v>746</v>
      </c>
      <c r="K3187" s="80" t="s">
        <v>738</v>
      </c>
      <c r="L3187" t="s">
        <v>183</v>
      </c>
      <c r="M3187" s="80" t="s">
        <v>739</v>
      </c>
      <c r="N3187" t="str">
        <f t="shared" si="210"/>
        <v>Double FrontVanda Versatrak 25 Rod with RingsBelow Normal 2075Versatrak Ring Bracket 60mm</v>
      </c>
      <c r="O3187">
        <v>70</v>
      </c>
      <c r="P3187">
        <v>60</v>
      </c>
      <c r="Q3187" s="80">
        <v>0</v>
      </c>
      <c r="R3187" s="80">
        <f t="shared" si="211"/>
        <v>-10</v>
      </c>
      <c r="AD3187"/>
    </row>
    <row r="3188" spans="10:30" ht="16.2" customHeight="1">
      <c r="J3188" s="80" t="s">
        <v>747</v>
      </c>
      <c r="K3188" s="80" t="s">
        <v>738</v>
      </c>
      <c r="L3188" t="s">
        <v>183</v>
      </c>
      <c r="M3188" s="80" t="s">
        <v>739</v>
      </c>
      <c r="N3188" t="str">
        <f t="shared" si="210"/>
        <v>Double RearVanda Versatrak 25 Rod with RingsBelow Normal 2075Versatrak Ring Bracket 60mm</v>
      </c>
      <c r="O3188">
        <v>70</v>
      </c>
      <c r="P3188">
        <v>60</v>
      </c>
      <c r="Q3188" s="80">
        <v>0</v>
      </c>
      <c r="R3188" s="80">
        <f t="shared" si="211"/>
        <v>-10</v>
      </c>
      <c r="AD3188"/>
    </row>
    <row r="3189" spans="10:30" ht="16.2" customHeight="1">
      <c r="J3189" s="80" t="s">
        <v>725</v>
      </c>
      <c r="K3189" s="80" t="s">
        <v>738</v>
      </c>
      <c r="L3189" t="s">
        <v>183</v>
      </c>
      <c r="M3189" s="80" t="s">
        <v>739</v>
      </c>
      <c r="N3189" t="str">
        <f t="shared" si="210"/>
        <v>SingleVanda Versatrak 25 Rod with RingsBelow Normal 2075Versatrak Ring Bracket 60mm</v>
      </c>
      <c r="O3189">
        <v>70</v>
      </c>
      <c r="P3189">
        <v>60</v>
      </c>
      <c r="Q3189" s="80">
        <v>0</v>
      </c>
      <c r="R3189" s="80">
        <f t="shared" si="211"/>
        <v>-10</v>
      </c>
      <c r="AD3189"/>
    </row>
    <row r="3190" spans="10:30" ht="16.2" customHeight="1">
      <c r="J3190" s="80" t="s">
        <v>746</v>
      </c>
      <c r="K3190" s="80" t="s">
        <v>738</v>
      </c>
      <c r="L3190" t="s">
        <v>182</v>
      </c>
      <c r="M3190" s="80" t="s">
        <v>739</v>
      </c>
      <c r="N3190" t="str">
        <f t="shared" si="210"/>
        <v>Double FrontVanda Versatrak 25 Rod with RingsBetween Level and Normal 2073Versatrak Ring Bracket 60mm</v>
      </c>
      <c r="O3190">
        <v>48</v>
      </c>
      <c r="P3190">
        <v>60</v>
      </c>
      <c r="Q3190" s="80">
        <v>0</v>
      </c>
      <c r="R3190" s="80">
        <f t="shared" si="211"/>
        <v>12</v>
      </c>
      <c r="AD3190"/>
    </row>
    <row r="3191" spans="10:30" ht="16.2" customHeight="1">
      <c r="J3191" s="80" t="s">
        <v>747</v>
      </c>
      <c r="K3191" s="80" t="s">
        <v>738</v>
      </c>
      <c r="L3191" t="s">
        <v>182</v>
      </c>
      <c r="M3191" s="80" t="s">
        <v>739</v>
      </c>
      <c r="N3191" t="str">
        <f t="shared" si="210"/>
        <v>Double RearVanda Versatrak 25 Rod with RingsBetween Level and Normal 2073Versatrak Ring Bracket 60mm</v>
      </c>
      <c r="O3191">
        <v>48</v>
      </c>
      <c r="P3191">
        <v>60</v>
      </c>
      <c r="Q3191" s="80">
        <v>0</v>
      </c>
      <c r="R3191" s="80">
        <f t="shared" si="211"/>
        <v>12</v>
      </c>
      <c r="AD3191"/>
    </row>
    <row r="3192" spans="10:30" ht="16.2" customHeight="1">
      <c r="J3192" s="80" t="s">
        <v>725</v>
      </c>
      <c r="K3192" s="80" t="s">
        <v>738</v>
      </c>
      <c r="L3192" t="s">
        <v>182</v>
      </c>
      <c r="M3192" s="80" t="s">
        <v>739</v>
      </c>
      <c r="N3192" t="str">
        <f t="shared" si="210"/>
        <v>SingleVanda Versatrak 25 Rod with RingsBetween Level and Normal 2073Versatrak Ring Bracket 60mm</v>
      </c>
      <c r="O3192">
        <v>47</v>
      </c>
      <c r="P3192">
        <v>60</v>
      </c>
      <c r="Q3192" s="80">
        <v>0</v>
      </c>
      <c r="R3192" s="80">
        <f t="shared" si="211"/>
        <v>13</v>
      </c>
      <c r="AD3192"/>
    </row>
    <row r="3193" spans="10:30" ht="16.2" customHeight="1">
      <c r="J3193" s="80" t="s">
        <v>746</v>
      </c>
      <c r="K3193" s="80" t="s">
        <v>738</v>
      </c>
      <c r="L3193" t="s">
        <v>184</v>
      </c>
      <c r="M3193" s="80" t="s">
        <v>739</v>
      </c>
      <c r="N3193" t="str">
        <f t="shared" si="210"/>
        <v>Double FrontVanda Versatrak 25 Rod with RingsDecorator 2071Versatrak Ring Bracket 60mm</v>
      </c>
      <c r="O3193">
        <v>20</v>
      </c>
      <c r="P3193">
        <v>60</v>
      </c>
      <c r="Q3193" s="80">
        <v>0</v>
      </c>
      <c r="R3193" s="80">
        <f t="shared" si="211"/>
        <v>40</v>
      </c>
      <c r="AD3193"/>
    </row>
    <row r="3194" spans="10:30" ht="16.2" customHeight="1">
      <c r="J3194" s="80" t="s">
        <v>747</v>
      </c>
      <c r="K3194" s="80" t="s">
        <v>738</v>
      </c>
      <c r="L3194" t="s">
        <v>184</v>
      </c>
      <c r="M3194" s="80" t="s">
        <v>739</v>
      </c>
      <c r="N3194" t="str">
        <f t="shared" si="210"/>
        <v>Double RearVanda Versatrak 25 Rod with RingsDecorator 2071Versatrak Ring Bracket 60mm</v>
      </c>
      <c r="O3194">
        <v>20</v>
      </c>
      <c r="P3194">
        <v>60</v>
      </c>
      <c r="Q3194" s="80">
        <v>0</v>
      </c>
      <c r="R3194" s="80">
        <f t="shared" si="211"/>
        <v>40</v>
      </c>
      <c r="AD3194"/>
    </row>
    <row r="3195" spans="10:30" ht="16.2" customHeight="1">
      <c r="J3195" s="80" t="s">
        <v>725</v>
      </c>
      <c r="K3195" s="80" t="s">
        <v>738</v>
      </c>
      <c r="L3195" t="s">
        <v>184</v>
      </c>
      <c r="M3195" s="80" t="s">
        <v>739</v>
      </c>
      <c r="N3195" t="str">
        <f t="shared" si="210"/>
        <v>SingleVanda Versatrak 25 Rod with RingsDecorator 2071Versatrak Ring Bracket 60mm</v>
      </c>
      <c r="O3195">
        <v>20</v>
      </c>
      <c r="P3195">
        <v>60</v>
      </c>
      <c r="Q3195" s="80">
        <v>0</v>
      </c>
      <c r="R3195" s="80">
        <f t="shared" si="211"/>
        <v>40</v>
      </c>
      <c r="AD3195"/>
    </row>
    <row r="3196" spans="10:30" ht="16.2" customHeight="1">
      <c r="J3196" s="80" t="s">
        <v>725</v>
      </c>
      <c r="K3196" s="80" t="s">
        <v>738</v>
      </c>
      <c r="L3196" t="s">
        <v>6468</v>
      </c>
      <c r="M3196" s="80" t="s">
        <v>739</v>
      </c>
      <c r="N3196" t="str">
        <f t="shared" si="210"/>
        <v>SingleVanda Versatrak 25 Rod with RingsGather Hook Bottom PocketVersatrak Ring Bracket 60mm</v>
      </c>
      <c r="O3196">
        <v>60</v>
      </c>
      <c r="P3196">
        <v>60</v>
      </c>
      <c r="Q3196" s="80">
        <v>0</v>
      </c>
      <c r="R3196" s="80">
        <f t="shared" si="211"/>
        <v>0</v>
      </c>
      <c r="AD3196"/>
    </row>
    <row r="3197" spans="10:30" ht="16.2" customHeight="1">
      <c r="J3197" s="80" t="s">
        <v>746</v>
      </c>
      <c r="K3197" s="80" t="s">
        <v>738</v>
      </c>
      <c r="L3197" t="s">
        <v>229</v>
      </c>
      <c r="M3197" s="80" t="s">
        <v>739</v>
      </c>
      <c r="N3197" t="str">
        <f t="shared" si="210"/>
        <v>Double FrontVanda Versatrak 25 Rod with RingsGather Hook LevelVersatrak Ring Bracket 60mm</v>
      </c>
      <c r="O3197">
        <v>20</v>
      </c>
      <c r="P3197">
        <v>60</v>
      </c>
      <c r="Q3197" s="80">
        <v>0</v>
      </c>
      <c r="R3197" s="80">
        <f t="shared" si="211"/>
        <v>40</v>
      </c>
      <c r="AD3197"/>
    </row>
    <row r="3198" spans="10:30" ht="16.2" customHeight="1">
      <c r="J3198" s="80" t="s">
        <v>747</v>
      </c>
      <c r="K3198" s="80" t="s">
        <v>738</v>
      </c>
      <c r="L3198" t="s">
        <v>229</v>
      </c>
      <c r="M3198" s="80" t="s">
        <v>739</v>
      </c>
      <c r="N3198" t="str">
        <f t="shared" si="210"/>
        <v>Double RearVanda Versatrak 25 Rod with RingsGather Hook LevelVersatrak Ring Bracket 60mm</v>
      </c>
      <c r="O3198">
        <v>20</v>
      </c>
      <c r="P3198">
        <v>60</v>
      </c>
      <c r="Q3198" s="80">
        <v>0</v>
      </c>
      <c r="R3198" s="80">
        <f t="shared" si="211"/>
        <v>40</v>
      </c>
      <c r="AD3198"/>
    </row>
    <row r="3199" spans="10:30" ht="16.2" customHeight="1">
      <c r="J3199" s="80" t="s">
        <v>725</v>
      </c>
      <c r="K3199" s="80" t="s">
        <v>738</v>
      </c>
      <c r="L3199" t="s">
        <v>229</v>
      </c>
      <c r="M3199" s="80" t="s">
        <v>739</v>
      </c>
      <c r="N3199" t="str">
        <f t="shared" si="210"/>
        <v>SingleVanda Versatrak 25 Rod with RingsGather Hook LevelVersatrak Ring Bracket 60mm</v>
      </c>
      <c r="O3199">
        <v>20</v>
      </c>
      <c r="P3199">
        <v>60</v>
      </c>
      <c r="Q3199" s="80">
        <v>0</v>
      </c>
      <c r="R3199" s="80">
        <f t="shared" si="211"/>
        <v>40</v>
      </c>
      <c r="AD3199"/>
    </row>
    <row r="3200" spans="10:30" ht="16.2" customHeight="1">
      <c r="J3200" s="80" t="s">
        <v>746</v>
      </c>
      <c r="K3200" s="80" t="s">
        <v>738</v>
      </c>
      <c r="L3200" t="s">
        <v>228</v>
      </c>
      <c r="M3200" s="80" t="s">
        <v>739</v>
      </c>
      <c r="N3200" t="str">
        <f t="shared" si="210"/>
        <v>Double FrontVanda Versatrak 25 Rod with RingsGather Hook NormalVersatrak Ring Bracket 60mm</v>
      </c>
      <c r="O3200">
        <v>43</v>
      </c>
      <c r="P3200">
        <v>60</v>
      </c>
      <c r="Q3200" s="80">
        <v>0</v>
      </c>
      <c r="R3200" s="80">
        <f t="shared" si="211"/>
        <v>17</v>
      </c>
      <c r="AD3200"/>
    </row>
    <row r="3201" spans="10:30" ht="16.2" customHeight="1">
      <c r="J3201" s="80" t="s">
        <v>747</v>
      </c>
      <c r="K3201" s="80" t="s">
        <v>738</v>
      </c>
      <c r="L3201" t="s">
        <v>228</v>
      </c>
      <c r="M3201" s="80" t="s">
        <v>739</v>
      </c>
      <c r="N3201" t="str">
        <f t="shared" si="210"/>
        <v>Double RearVanda Versatrak 25 Rod with RingsGather Hook NormalVersatrak Ring Bracket 60mm</v>
      </c>
      <c r="O3201">
        <v>43</v>
      </c>
      <c r="P3201">
        <v>60</v>
      </c>
      <c r="Q3201" s="80">
        <v>0</v>
      </c>
      <c r="R3201" s="80">
        <f t="shared" si="211"/>
        <v>17</v>
      </c>
      <c r="AD3201"/>
    </row>
    <row r="3202" spans="10:30" ht="16.2" customHeight="1">
      <c r="J3202" s="80" t="s">
        <v>725</v>
      </c>
      <c r="K3202" s="80" t="s">
        <v>738</v>
      </c>
      <c r="L3202" t="s">
        <v>228</v>
      </c>
      <c r="M3202" s="80" t="s">
        <v>739</v>
      </c>
      <c r="N3202" t="str">
        <f t="shared" si="212" ref="N3202:N3265">(CONCATENATE(J3202,K3202,L3202,M3202))</f>
        <v>SingleVanda Versatrak 25 Rod with RingsGather Hook NormalVersatrak Ring Bracket 60mm</v>
      </c>
      <c r="O3202">
        <v>43</v>
      </c>
      <c r="P3202">
        <v>60</v>
      </c>
      <c r="Q3202" s="80">
        <v>0</v>
      </c>
      <c r="R3202" s="80">
        <f t="shared" si="211"/>
        <v>17</v>
      </c>
      <c r="AD3202"/>
    </row>
    <row r="3203" spans="10:30" ht="16.2" customHeight="1">
      <c r="J3203" s="80" t="s">
        <v>746</v>
      </c>
      <c r="K3203" s="80" t="s">
        <v>738</v>
      </c>
      <c r="L3203" t="s">
        <v>282</v>
      </c>
      <c r="M3203" s="80" t="s">
        <v>739</v>
      </c>
      <c r="N3203" t="str">
        <f t="shared" si="212"/>
        <v>Double FrontVanda Versatrak 25 Rod with RingsLevel 2072Versatrak Ring Bracket 60mm</v>
      </c>
      <c r="O3203">
        <v>38</v>
      </c>
      <c r="P3203">
        <v>60</v>
      </c>
      <c r="Q3203" s="80">
        <v>0</v>
      </c>
      <c r="R3203" s="80">
        <f t="shared" si="211"/>
        <v>22</v>
      </c>
      <c r="AD3203"/>
    </row>
    <row r="3204" spans="10:30" ht="16.2" customHeight="1">
      <c r="J3204" s="80" t="s">
        <v>747</v>
      </c>
      <c r="K3204" s="80" t="s">
        <v>738</v>
      </c>
      <c r="L3204" t="s">
        <v>282</v>
      </c>
      <c r="M3204" s="80" t="s">
        <v>739</v>
      </c>
      <c r="N3204" t="str">
        <f t="shared" si="212"/>
        <v>Double RearVanda Versatrak 25 Rod with RingsLevel 2072Versatrak Ring Bracket 60mm</v>
      </c>
      <c r="O3204">
        <v>38</v>
      </c>
      <c r="P3204">
        <v>60</v>
      </c>
      <c r="Q3204" s="80">
        <v>0</v>
      </c>
      <c r="R3204" s="80">
        <f t="shared" si="211"/>
        <v>22</v>
      </c>
      <c r="AD3204"/>
    </row>
    <row r="3205" spans="10:30" ht="16.2" customHeight="1">
      <c r="J3205" s="80" t="s">
        <v>725</v>
      </c>
      <c r="K3205" s="80" t="s">
        <v>738</v>
      </c>
      <c r="L3205" t="s">
        <v>282</v>
      </c>
      <c r="M3205" s="80" t="s">
        <v>739</v>
      </c>
      <c r="N3205" t="str">
        <f t="shared" si="212"/>
        <v>SingleVanda Versatrak 25 Rod with RingsLevel 2072Versatrak Ring Bracket 60mm</v>
      </c>
      <c r="O3205">
        <v>35</v>
      </c>
      <c r="P3205">
        <v>60</v>
      </c>
      <c r="Q3205" s="80">
        <v>0</v>
      </c>
      <c r="R3205" s="80">
        <f t="shared" si="211"/>
        <v>25</v>
      </c>
      <c r="AD3205"/>
    </row>
    <row r="3206" spans="10:30" ht="16.2" customHeight="1">
      <c r="J3206" s="80" t="s">
        <v>746</v>
      </c>
      <c r="K3206" s="80" t="s">
        <v>738</v>
      </c>
      <c r="L3206" t="s">
        <v>170</v>
      </c>
      <c r="M3206" s="80" t="s">
        <v>739</v>
      </c>
      <c r="N3206" t="str">
        <f t="shared" si="212"/>
        <v>Double FrontVanda Versatrak 25 Rod with RingsNormal 2074Versatrak Ring Bracket 60mm</v>
      </c>
      <c r="O3206">
        <v>60</v>
      </c>
      <c r="P3206">
        <v>60</v>
      </c>
      <c r="Q3206" s="80">
        <v>0</v>
      </c>
      <c r="R3206" s="80">
        <f t="shared" si="211"/>
        <v>0</v>
      </c>
      <c r="AD3206"/>
    </row>
    <row r="3207" spans="10:30" ht="16.2" customHeight="1">
      <c r="J3207" s="80" t="s">
        <v>747</v>
      </c>
      <c r="K3207" s="80" t="s">
        <v>738</v>
      </c>
      <c r="L3207" t="s">
        <v>170</v>
      </c>
      <c r="M3207" s="80" t="s">
        <v>739</v>
      </c>
      <c r="N3207" t="str">
        <f t="shared" si="212"/>
        <v>Double RearVanda Versatrak 25 Rod with RingsNormal 2074Versatrak Ring Bracket 60mm</v>
      </c>
      <c r="O3207">
        <v>60</v>
      </c>
      <c r="P3207">
        <v>60</v>
      </c>
      <c r="Q3207" s="80">
        <v>0</v>
      </c>
      <c r="R3207" s="80">
        <f t="shared" si="211"/>
        <v>0</v>
      </c>
      <c r="AD3207"/>
    </row>
    <row r="3208" spans="10:30" ht="16.2" customHeight="1">
      <c r="J3208" s="80" t="s">
        <v>725</v>
      </c>
      <c r="K3208" s="80" t="s">
        <v>738</v>
      </c>
      <c r="L3208" t="s">
        <v>170</v>
      </c>
      <c r="M3208" s="80" t="s">
        <v>739</v>
      </c>
      <c r="N3208" t="str">
        <f t="shared" si="212"/>
        <v>SingleVanda Versatrak 25 Rod with RingsNormal 2074Versatrak Ring Bracket 60mm</v>
      </c>
      <c r="O3208">
        <v>60</v>
      </c>
      <c r="P3208">
        <v>60</v>
      </c>
      <c r="Q3208" s="80">
        <v>0</v>
      </c>
      <c r="R3208" s="80">
        <f t="shared" si="211"/>
        <v>0</v>
      </c>
      <c r="AD3208"/>
    </row>
    <row r="3209" spans="10:30" ht="16.2" customHeight="1">
      <c r="J3209" s="80" t="s">
        <v>746</v>
      </c>
      <c r="K3209" s="80" t="s">
        <v>738</v>
      </c>
      <c r="L3209" t="s">
        <v>183</v>
      </c>
      <c r="M3209" s="80" t="s">
        <v>731</v>
      </c>
      <c r="N3209" t="str">
        <f t="shared" si="212"/>
        <v>Double FrontVanda Versatrak 25 Rod with RingsBelow Normal 2075Versatrak Top Fix Ring Bracket</v>
      </c>
      <c r="O3209">
        <v>70</v>
      </c>
      <c r="P3209">
        <v>66</v>
      </c>
      <c r="Q3209" s="80">
        <v>0</v>
      </c>
      <c r="R3209" s="80">
        <f t="shared" si="211"/>
        <v>-4</v>
      </c>
      <c r="AD3209"/>
    </row>
    <row r="3210" spans="10:30" ht="16.2" customHeight="1">
      <c r="J3210" s="80" t="s">
        <v>747</v>
      </c>
      <c r="K3210" s="80" t="s">
        <v>738</v>
      </c>
      <c r="L3210" t="s">
        <v>183</v>
      </c>
      <c r="M3210" s="80" t="s">
        <v>731</v>
      </c>
      <c r="N3210" t="str">
        <f t="shared" si="212"/>
        <v>Double RearVanda Versatrak 25 Rod with RingsBelow Normal 2075Versatrak Top Fix Ring Bracket</v>
      </c>
      <c r="O3210">
        <v>70</v>
      </c>
      <c r="P3210">
        <v>66</v>
      </c>
      <c r="Q3210" s="80">
        <v>0</v>
      </c>
      <c r="R3210" s="80">
        <f t="shared" si="211"/>
        <v>-4</v>
      </c>
      <c r="AD3210"/>
    </row>
    <row r="3211" spans="10:30" ht="16.2" customHeight="1">
      <c r="J3211" s="80" t="s">
        <v>725</v>
      </c>
      <c r="K3211" s="80" t="s">
        <v>738</v>
      </c>
      <c r="L3211" t="s">
        <v>183</v>
      </c>
      <c r="M3211" s="80" t="s">
        <v>731</v>
      </c>
      <c r="N3211" t="str">
        <f t="shared" si="212"/>
        <v>SingleVanda Versatrak 25 Rod with RingsBelow Normal 2075Versatrak Top Fix Ring Bracket</v>
      </c>
      <c r="O3211">
        <v>70</v>
      </c>
      <c r="P3211">
        <v>66</v>
      </c>
      <c r="Q3211" s="80">
        <v>0</v>
      </c>
      <c r="R3211" s="80">
        <f t="shared" si="211"/>
        <v>-4</v>
      </c>
      <c r="AD3211"/>
    </row>
    <row r="3212" spans="10:30" ht="16.2" customHeight="1">
      <c r="J3212" s="80" t="s">
        <v>746</v>
      </c>
      <c r="K3212" s="80" t="s">
        <v>738</v>
      </c>
      <c r="L3212" t="s">
        <v>182</v>
      </c>
      <c r="M3212" s="80" t="s">
        <v>731</v>
      </c>
      <c r="N3212" t="str">
        <f t="shared" si="212"/>
        <v>Double FrontVanda Versatrak 25 Rod with RingsBetween Level and Normal 2073Versatrak Top Fix Ring Bracket</v>
      </c>
      <c r="O3212">
        <v>48</v>
      </c>
      <c r="P3212">
        <v>66</v>
      </c>
      <c r="Q3212" s="80">
        <v>0</v>
      </c>
      <c r="R3212" s="80">
        <f t="shared" si="211"/>
        <v>18</v>
      </c>
      <c r="AD3212"/>
    </row>
    <row r="3213" spans="10:30" ht="16.2" customHeight="1">
      <c r="J3213" s="80" t="s">
        <v>747</v>
      </c>
      <c r="K3213" s="80" t="s">
        <v>738</v>
      </c>
      <c r="L3213" t="s">
        <v>182</v>
      </c>
      <c r="M3213" s="80" t="s">
        <v>731</v>
      </c>
      <c r="N3213" t="str">
        <f t="shared" si="212"/>
        <v>Double RearVanda Versatrak 25 Rod with RingsBetween Level and Normal 2073Versatrak Top Fix Ring Bracket</v>
      </c>
      <c r="O3213">
        <v>48</v>
      </c>
      <c r="P3213">
        <v>66</v>
      </c>
      <c r="Q3213" s="80">
        <v>0</v>
      </c>
      <c r="R3213" s="80">
        <f t="shared" si="211"/>
        <v>18</v>
      </c>
      <c r="AD3213"/>
    </row>
    <row r="3214" spans="10:30" ht="16.2" customHeight="1">
      <c r="J3214" s="80" t="s">
        <v>725</v>
      </c>
      <c r="K3214" s="80" t="s">
        <v>738</v>
      </c>
      <c r="L3214" t="s">
        <v>182</v>
      </c>
      <c r="M3214" s="80" t="s">
        <v>731</v>
      </c>
      <c r="N3214" t="str">
        <f t="shared" si="212"/>
        <v>SingleVanda Versatrak 25 Rod with RingsBetween Level and Normal 2073Versatrak Top Fix Ring Bracket</v>
      </c>
      <c r="O3214">
        <v>47</v>
      </c>
      <c r="P3214">
        <v>66</v>
      </c>
      <c r="Q3214" s="80">
        <v>0</v>
      </c>
      <c r="R3214" s="80">
        <f t="shared" si="211"/>
        <v>19</v>
      </c>
      <c r="AD3214"/>
    </row>
    <row r="3215" spans="10:30" ht="16.2" customHeight="1">
      <c r="J3215" s="80" t="s">
        <v>746</v>
      </c>
      <c r="K3215" s="80" t="s">
        <v>738</v>
      </c>
      <c r="L3215" t="s">
        <v>184</v>
      </c>
      <c r="M3215" s="80" t="s">
        <v>731</v>
      </c>
      <c r="N3215" t="str">
        <f t="shared" si="212"/>
        <v>Double FrontVanda Versatrak 25 Rod with RingsDecorator 2071Versatrak Top Fix Ring Bracket</v>
      </c>
      <c r="O3215">
        <v>20</v>
      </c>
      <c r="P3215">
        <v>66</v>
      </c>
      <c r="Q3215" s="80">
        <v>0</v>
      </c>
      <c r="R3215" s="80">
        <f t="shared" si="211"/>
        <v>46</v>
      </c>
      <c r="AD3215"/>
    </row>
    <row r="3216" spans="10:30" ht="16.2" customHeight="1">
      <c r="J3216" s="80" t="s">
        <v>747</v>
      </c>
      <c r="K3216" s="80" t="s">
        <v>738</v>
      </c>
      <c r="L3216" t="s">
        <v>184</v>
      </c>
      <c r="M3216" s="80" t="s">
        <v>731</v>
      </c>
      <c r="N3216" t="str">
        <f t="shared" si="212"/>
        <v>Double RearVanda Versatrak 25 Rod with RingsDecorator 2071Versatrak Top Fix Ring Bracket</v>
      </c>
      <c r="O3216">
        <v>20</v>
      </c>
      <c r="P3216">
        <v>66</v>
      </c>
      <c r="Q3216" s="80">
        <v>0</v>
      </c>
      <c r="R3216" s="80">
        <f t="shared" si="211"/>
        <v>46</v>
      </c>
      <c r="AD3216"/>
    </row>
    <row r="3217" spans="10:30" ht="16.2" customHeight="1">
      <c r="J3217" s="80" t="s">
        <v>725</v>
      </c>
      <c r="K3217" s="80" t="s">
        <v>738</v>
      </c>
      <c r="L3217" t="s">
        <v>184</v>
      </c>
      <c r="M3217" s="80" t="s">
        <v>731</v>
      </c>
      <c r="N3217" t="str">
        <f t="shared" si="212"/>
        <v>SingleVanda Versatrak 25 Rod with RingsDecorator 2071Versatrak Top Fix Ring Bracket</v>
      </c>
      <c r="O3217">
        <v>20</v>
      </c>
      <c r="P3217">
        <v>66</v>
      </c>
      <c r="Q3217" s="80">
        <v>0</v>
      </c>
      <c r="R3217" s="80">
        <f t="shared" si="211"/>
        <v>46</v>
      </c>
      <c r="AD3217"/>
    </row>
    <row r="3218" spans="10:30" ht="16.2" customHeight="1">
      <c r="J3218" s="80" t="s">
        <v>725</v>
      </c>
      <c r="K3218" s="80" t="s">
        <v>738</v>
      </c>
      <c r="L3218" t="s">
        <v>6468</v>
      </c>
      <c r="M3218" s="80" t="s">
        <v>731</v>
      </c>
      <c r="N3218" t="str">
        <f t="shared" si="212"/>
        <v>SingleVanda Versatrak 25 Rod with RingsGather Hook Bottom PocketVersatrak Top Fix Ring Bracket</v>
      </c>
      <c r="O3218">
        <v>60</v>
      </c>
      <c r="P3218">
        <v>66</v>
      </c>
      <c r="Q3218" s="80">
        <v>0</v>
      </c>
      <c r="R3218" s="80">
        <f t="shared" si="211"/>
        <v>6</v>
      </c>
      <c r="AD3218"/>
    </row>
    <row r="3219" spans="10:30" ht="16.2" customHeight="1">
      <c r="J3219" s="80" t="s">
        <v>746</v>
      </c>
      <c r="K3219" s="80" t="s">
        <v>738</v>
      </c>
      <c r="L3219" t="s">
        <v>229</v>
      </c>
      <c r="M3219" s="80" t="s">
        <v>731</v>
      </c>
      <c r="N3219" t="str">
        <f t="shared" si="212"/>
        <v>Double FrontVanda Versatrak 25 Rod with RingsGather Hook LevelVersatrak Top Fix Ring Bracket</v>
      </c>
      <c r="O3219">
        <v>20</v>
      </c>
      <c r="P3219">
        <v>66</v>
      </c>
      <c r="Q3219" s="80">
        <v>0</v>
      </c>
      <c r="R3219" s="80">
        <f t="shared" si="211"/>
        <v>46</v>
      </c>
      <c r="AD3219"/>
    </row>
    <row r="3220" spans="10:30" ht="16.2" customHeight="1">
      <c r="J3220" s="80" t="s">
        <v>747</v>
      </c>
      <c r="K3220" s="80" t="s">
        <v>738</v>
      </c>
      <c r="L3220" t="s">
        <v>229</v>
      </c>
      <c r="M3220" s="80" t="s">
        <v>731</v>
      </c>
      <c r="N3220" t="str">
        <f t="shared" si="212"/>
        <v>Double RearVanda Versatrak 25 Rod with RingsGather Hook LevelVersatrak Top Fix Ring Bracket</v>
      </c>
      <c r="O3220">
        <v>20</v>
      </c>
      <c r="P3220">
        <v>66</v>
      </c>
      <c r="Q3220" s="80">
        <v>0</v>
      </c>
      <c r="R3220" s="80">
        <f t="shared" si="211"/>
        <v>46</v>
      </c>
      <c r="AD3220"/>
    </row>
    <row r="3221" spans="10:30" ht="16.2" customHeight="1">
      <c r="J3221" s="80" t="s">
        <v>725</v>
      </c>
      <c r="K3221" s="80" t="s">
        <v>738</v>
      </c>
      <c r="L3221" t="s">
        <v>229</v>
      </c>
      <c r="M3221" s="80" t="s">
        <v>731</v>
      </c>
      <c r="N3221" t="str">
        <f t="shared" si="212"/>
        <v>SingleVanda Versatrak 25 Rod with RingsGather Hook LevelVersatrak Top Fix Ring Bracket</v>
      </c>
      <c r="O3221">
        <v>20</v>
      </c>
      <c r="P3221">
        <v>66</v>
      </c>
      <c r="Q3221" s="80">
        <v>0</v>
      </c>
      <c r="R3221" s="80">
        <f t="shared" si="211"/>
        <v>46</v>
      </c>
      <c r="AD3221"/>
    </row>
    <row r="3222" spans="10:30" ht="16.2" customHeight="1">
      <c r="J3222" s="80" t="s">
        <v>746</v>
      </c>
      <c r="K3222" s="80" t="s">
        <v>738</v>
      </c>
      <c r="L3222" t="s">
        <v>228</v>
      </c>
      <c r="M3222" s="80" t="s">
        <v>731</v>
      </c>
      <c r="N3222" t="str">
        <f t="shared" si="212"/>
        <v>Double FrontVanda Versatrak 25 Rod with RingsGather Hook NormalVersatrak Top Fix Ring Bracket</v>
      </c>
      <c r="O3222">
        <v>43</v>
      </c>
      <c r="P3222">
        <v>66</v>
      </c>
      <c r="Q3222" s="80">
        <v>0</v>
      </c>
      <c r="R3222" s="80">
        <f t="shared" si="211"/>
        <v>23</v>
      </c>
      <c r="AD3222"/>
    </row>
    <row r="3223" spans="10:30" ht="16.2" customHeight="1">
      <c r="J3223" s="80" t="s">
        <v>747</v>
      </c>
      <c r="K3223" s="80" t="s">
        <v>738</v>
      </c>
      <c r="L3223" t="s">
        <v>228</v>
      </c>
      <c r="M3223" s="80" t="s">
        <v>731</v>
      </c>
      <c r="N3223" t="str">
        <f t="shared" si="212"/>
        <v>Double RearVanda Versatrak 25 Rod with RingsGather Hook NormalVersatrak Top Fix Ring Bracket</v>
      </c>
      <c r="O3223">
        <v>43</v>
      </c>
      <c r="P3223">
        <v>66</v>
      </c>
      <c r="Q3223" s="80">
        <v>0</v>
      </c>
      <c r="R3223" s="80">
        <f t="shared" si="211"/>
        <v>23</v>
      </c>
      <c r="AD3223"/>
    </row>
    <row r="3224" spans="10:30" ht="16.2" customHeight="1">
      <c r="J3224" s="80" t="s">
        <v>725</v>
      </c>
      <c r="K3224" s="80" t="s">
        <v>738</v>
      </c>
      <c r="L3224" t="s">
        <v>228</v>
      </c>
      <c r="M3224" s="80" t="s">
        <v>731</v>
      </c>
      <c r="N3224" t="str">
        <f t="shared" si="212"/>
        <v>SingleVanda Versatrak 25 Rod with RingsGather Hook NormalVersatrak Top Fix Ring Bracket</v>
      </c>
      <c r="O3224">
        <v>43</v>
      </c>
      <c r="P3224">
        <v>66</v>
      </c>
      <c r="Q3224" s="80">
        <v>0</v>
      </c>
      <c r="R3224" s="80">
        <f t="shared" si="211"/>
        <v>23</v>
      </c>
      <c r="AD3224"/>
    </row>
    <row r="3225" spans="10:30" ht="16.2" customHeight="1">
      <c r="J3225" s="80" t="s">
        <v>746</v>
      </c>
      <c r="K3225" s="80" t="s">
        <v>738</v>
      </c>
      <c r="L3225" t="s">
        <v>282</v>
      </c>
      <c r="M3225" s="80" t="s">
        <v>731</v>
      </c>
      <c r="N3225" t="str">
        <f t="shared" si="212"/>
        <v>Double FrontVanda Versatrak 25 Rod with RingsLevel 2072Versatrak Top Fix Ring Bracket</v>
      </c>
      <c r="O3225">
        <v>38</v>
      </c>
      <c r="P3225">
        <v>66</v>
      </c>
      <c r="Q3225" s="80">
        <v>0</v>
      </c>
      <c r="R3225" s="80">
        <f t="shared" si="211"/>
        <v>28</v>
      </c>
      <c r="AD3225"/>
    </row>
    <row r="3226" spans="10:30" ht="16.2" customHeight="1">
      <c r="J3226" s="80" t="s">
        <v>747</v>
      </c>
      <c r="K3226" s="80" t="s">
        <v>738</v>
      </c>
      <c r="L3226" t="s">
        <v>282</v>
      </c>
      <c r="M3226" s="80" t="s">
        <v>731</v>
      </c>
      <c r="N3226" t="str">
        <f t="shared" si="212"/>
        <v>Double RearVanda Versatrak 25 Rod with RingsLevel 2072Versatrak Top Fix Ring Bracket</v>
      </c>
      <c r="O3226">
        <v>38</v>
      </c>
      <c r="P3226">
        <v>66</v>
      </c>
      <c r="Q3226" s="80">
        <v>0</v>
      </c>
      <c r="R3226" s="80">
        <f t="shared" si="211"/>
        <v>28</v>
      </c>
      <c r="AD3226"/>
    </row>
    <row r="3227" spans="10:30" ht="16.2" customHeight="1">
      <c r="J3227" s="80" t="s">
        <v>725</v>
      </c>
      <c r="K3227" s="80" t="s">
        <v>738</v>
      </c>
      <c r="L3227" t="s">
        <v>282</v>
      </c>
      <c r="M3227" s="80" t="s">
        <v>731</v>
      </c>
      <c r="N3227" t="str">
        <f t="shared" si="212"/>
        <v>SingleVanda Versatrak 25 Rod with RingsLevel 2072Versatrak Top Fix Ring Bracket</v>
      </c>
      <c r="O3227">
        <v>35</v>
      </c>
      <c r="P3227">
        <v>66</v>
      </c>
      <c r="Q3227" s="80">
        <v>0</v>
      </c>
      <c r="R3227" s="80">
        <f t="shared" si="211"/>
        <v>31</v>
      </c>
      <c r="AD3227"/>
    </row>
    <row r="3228" spans="10:30" ht="16.2" customHeight="1">
      <c r="J3228" s="80" t="s">
        <v>746</v>
      </c>
      <c r="K3228" s="80" t="s">
        <v>738</v>
      </c>
      <c r="L3228" t="s">
        <v>170</v>
      </c>
      <c r="M3228" s="80" t="s">
        <v>731</v>
      </c>
      <c r="N3228" t="str">
        <f t="shared" si="212"/>
        <v>Double FrontVanda Versatrak 25 Rod with RingsNormal 2074Versatrak Top Fix Ring Bracket</v>
      </c>
      <c r="O3228">
        <v>60</v>
      </c>
      <c r="P3228">
        <v>66</v>
      </c>
      <c r="Q3228" s="80">
        <v>0</v>
      </c>
      <c r="R3228" s="80">
        <f t="shared" si="211"/>
        <v>6</v>
      </c>
      <c r="AD3228"/>
    </row>
    <row r="3229" spans="10:30" ht="16.2" customHeight="1">
      <c r="J3229" s="80" t="s">
        <v>747</v>
      </c>
      <c r="K3229" s="80" t="s">
        <v>738</v>
      </c>
      <c r="L3229" t="s">
        <v>170</v>
      </c>
      <c r="M3229" s="80" t="s">
        <v>731</v>
      </c>
      <c r="N3229" t="str">
        <f t="shared" si="212"/>
        <v>Double RearVanda Versatrak 25 Rod with RingsNormal 2074Versatrak Top Fix Ring Bracket</v>
      </c>
      <c r="O3229">
        <v>60</v>
      </c>
      <c r="P3229">
        <v>66</v>
      </c>
      <c r="Q3229" s="80">
        <v>0</v>
      </c>
      <c r="R3229" s="80">
        <f t="shared" si="211"/>
        <v>6</v>
      </c>
      <c r="AD3229"/>
    </row>
    <row r="3230" spans="10:30" ht="16.2" customHeight="1">
      <c r="J3230" s="80" t="s">
        <v>725</v>
      </c>
      <c r="K3230" s="80" t="s">
        <v>738</v>
      </c>
      <c r="L3230" t="s">
        <v>170</v>
      </c>
      <c r="M3230" s="80" t="s">
        <v>731</v>
      </c>
      <c r="N3230" t="str">
        <f t="shared" si="212"/>
        <v>SingleVanda Versatrak 25 Rod with RingsNormal 2074Versatrak Top Fix Ring Bracket</v>
      </c>
      <c r="O3230">
        <v>60</v>
      </c>
      <c r="P3230">
        <v>66</v>
      </c>
      <c r="Q3230" s="80">
        <v>0</v>
      </c>
      <c r="R3230" s="80">
        <f t="shared" si="211"/>
        <v>6</v>
      </c>
      <c r="AD3230"/>
    </row>
    <row r="3231" spans="10:30" ht="16.2" customHeight="1">
      <c r="J3231" s="80" t="s">
        <v>746</v>
      </c>
      <c r="K3231" s="80" t="s">
        <v>487</v>
      </c>
      <c r="L3231" t="s">
        <v>421</v>
      </c>
      <c r="M3231" t="s">
        <v>162</v>
      </c>
      <c r="N3231" t="str">
        <f t="shared" si="212"/>
        <v>Double FrontWavefold Cord OperationWavefold HooksDouble Face Fix Brackets</v>
      </c>
      <c r="O3231">
        <v>0</v>
      </c>
      <c r="P3231">
        <v>25</v>
      </c>
      <c r="Q3231" s="80">
        <v>0</v>
      </c>
      <c r="R3231" s="80">
        <f t="shared" si="213" ref="R3231:R3294">SUM(P3231)-O3231</f>
        <v>25</v>
      </c>
      <c r="AD3231"/>
    </row>
    <row r="3232" spans="10:30" ht="16.2" customHeight="1">
      <c r="J3232" s="80" t="s">
        <v>747</v>
      </c>
      <c r="K3232" s="80" t="s">
        <v>487</v>
      </c>
      <c r="L3232" t="s">
        <v>421</v>
      </c>
      <c r="M3232" t="s">
        <v>162</v>
      </c>
      <c r="N3232" t="str">
        <f t="shared" si="212"/>
        <v>Double RearWavefold Cord OperationWavefold HooksDouble Face Fix Brackets</v>
      </c>
      <c r="O3232">
        <v>0</v>
      </c>
      <c r="P3232">
        <v>25</v>
      </c>
      <c r="Q3232" s="80">
        <v>0</v>
      </c>
      <c r="R3232" s="80">
        <f t="shared" si="213"/>
        <v>25</v>
      </c>
      <c r="AD3232"/>
    </row>
    <row r="3233" spans="10:30" ht="16.2" customHeight="1">
      <c r="J3233" s="80" t="s">
        <v>725</v>
      </c>
      <c r="K3233" s="80" t="s">
        <v>487</v>
      </c>
      <c r="L3233" t="s">
        <v>421</v>
      </c>
      <c r="M3233" t="s">
        <v>162</v>
      </c>
      <c r="N3233" t="str">
        <f t="shared" si="212"/>
        <v>SingleWavefold Cord OperationWavefold HooksDouble Face Fix Brackets</v>
      </c>
      <c r="O3233">
        <v>0</v>
      </c>
      <c r="P3233">
        <v>25</v>
      </c>
      <c r="Q3233" s="80">
        <v>0</v>
      </c>
      <c r="R3233" s="80">
        <f t="shared" si="213"/>
        <v>25</v>
      </c>
      <c r="AD3233"/>
    </row>
    <row r="3234" spans="10:30" ht="16.2" customHeight="1">
      <c r="J3234" s="80" t="s">
        <v>746</v>
      </c>
      <c r="K3234" s="80" t="s">
        <v>487</v>
      </c>
      <c r="L3234" t="s">
        <v>421</v>
      </c>
      <c r="M3234" t="s">
        <v>159</v>
      </c>
      <c r="N3234" t="str">
        <f t="shared" si="212"/>
        <v>Double FrontWavefold Cord OperationWavefold HooksSingle Face Fix Brackets</v>
      </c>
      <c r="O3234">
        <v>0</v>
      </c>
      <c r="P3234">
        <v>25</v>
      </c>
      <c r="Q3234" s="80">
        <v>0</v>
      </c>
      <c r="R3234" s="80">
        <f t="shared" si="213"/>
        <v>25</v>
      </c>
      <c r="AD3234"/>
    </row>
    <row r="3235" spans="10:30" ht="16.2" customHeight="1">
      <c r="J3235" s="80" t="s">
        <v>747</v>
      </c>
      <c r="K3235" s="80" t="s">
        <v>487</v>
      </c>
      <c r="L3235" t="s">
        <v>421</v>
      </c>
      <c r="M3235" t="s">
        <v>159</v>
      </c>
      <c r="N3235" t="str">
        <f t="shared" si="212"/>
        <v>Double RearWavefold Cord OperationWavefold HooksSingle Face Fix Brackets</v>
      </c>
      <c r="O3235">
        <v>0</v>
      </c>
      <c r="P3235">
        <v>25</v>
      </c>
      <c r="Q3235" s="80">
        <v>0</v>
      </c>
      <c r="R3235" s="80">
        <f t="shared" si="213"/>
        <v>25</v>
      </c>
      <c r="AD3235"/>
    </row>
    <row r="3236" spans="10:30" ht="16.2" customHeight="1">
      <c r="J3236" s="80" t="s">
        <v>725</v>
      </c>
      <c r="K3236" s="80" t="s">
        <v>487</v>
      </c>
      <c r="L3236" t="s">
        <v>421</v>
      </c>
      <c r="M3236" t="s">
        <v>159</v>
      </c>
      <c r="N3236" t="str">
        <f t="shared" si="212"/>
        <v>SingleWavefold Cord OperationWavefold HooksSingle Face Fix Brackets</v>
      </c>
      <c r="O3236">
        <v>0</v>
      </c>
      <c r="P3236">
        <v>25</v>
      </c>
      <c r="Q3236" s="80">
        <v>0</v>
      </c>
      <c r="R3236" s="80">
        <f t="shared" si="213"/>
        <v>25</v>
      </c>
      <c r="AD3236"/>
    </row>
    <row r="3237" spans="10:30" ht="16.2" customHeight="1">
      <c r="J3237" s="80" t="s">
        <v>746</v>
      </c>
      <c r="K3237" s="80" t="s">
        <v>487</v>
      </c>
      <c r="L3237" t="s">
        <v>421</v>
      </c>
      <c r="M3237" t="s">
        <v>161</v>
      </c>
      <c r="N3237" t="str">
        <f t="shared" si="212"/>
        <v>Double FrontWavefold Cord OperationWavefold HooksTop Fix Brackets</v>
      </c>
      <c r="O3237">
        <v>0</v>
      </c>
      <c r="P3237">
        <v>20</v>
      </c>
      <c r="Q3237" s="80">
        <v>0</v>
      </c>
      <c r="R3237" s="80">
        <f t="shared" si="213"/>
        <v>20</v>
      </c>
      <c r="AD3237"/>
    </row>
    <row r="3238" spans="10:30" ht="16.2" customHeight="1">
      <c r="J3238" s="80" t="s">
        <v>747</v>
      </c>
      <c r="K3238" s="80" t="s">
        <v>487</v>
      </c>
      <c r="L3238" t="s">
        <v>421</v>
      </c>
      <c r="M3238" t="s">
        <v>161</v>
      </c>
      <c r="N3238" t="str">
        <f t="shared" si="212"/>
        <v>Double RearWavefold Cord OperationWavefold HooksTop Fix Brackets</v>
      </c>
      <c r="O3238">
        <v>0</v>
      </c>
      <c r="P3238">
        <v>20</v>
      </c>
      <c r="Q3238" s="80">
        <v>0</v>
      </c>
      <c r="R3238" s="80">
        <f t="shared" si="213"/>
        <v>20</v>
      </c>
      <c r="AD3238"/>
    </row>
    <row r="3239" spans="10:30" ht="16.2" customHeight="1">
      <c r="J3239" s="80" t="s">
        <v>725</v>
      </c>
      <c r="K3239" s="80" t="s">
        <v>487</v>
      </c>
      <c r="L3239" t="s">
        <v>421</v>
      </c>
      <c r="M3239" t="s">
        <v>161</v>
      </c>
      <c r="N3239" t="str">
        <f t="shared" si="212"/>
        <v>SingleWavefold Cord OperationWavefold HooksTop Fix Brackets</v>
      </c>
      <c r="O3239">
        <v>0</v>
      </c>
      <c r="P3239">
        <v>20</v>
      </c>
      <c r="Q3239" s="80">
        <v>0</v>
      </c>
      <c r="R3239" s="80">
        <f t="shared" si="213"/>
        <v>20</v>
      </c>
      <c r="AD3239"/>
    </row>
    <row r="3240" spans="10:30" ht="16.2" customHeight="1">
      <c r="J3240" s="80" t="s">
        <v>746</v>
      </c>
      <c r="K3240" s="80" t="s">
        <v>487</v>
      </c>
      <c r="L3240" t="s">
        <v>421</v>
      </c>
      <c r="M3240" t="s">
        <v>553</v>
      </c>
      <c r="N3240" t="str">
        <f t="shared" si="212"/>
        <v>Double FrontWavefold Cord OperationWavefold HooksTriple Face Fix Brackets</v>
      </c>
      <c r="O3240">
        <v>0</v>
      </c>
      <c r="P3240">
        <v>25</v>
      </c>
      <c r="Q3240" s="80">
        <v>0</v>
      </c>
      <c r="R3240" s="80">
        <f t="shared" si="213"/>
        <v>25</v>
      </c>
      <c r="AD3240"/>
    </row>
    <row r="3241" spans="10:30" ht="16.2" customHeight="1">
      <c r="J3241" s="80" t="s">
        <v>747</v>
      </c>
      <c r="K3241" s="80" t="s">
        <v>487</v>
      </c>
      <c r="L3241" t="s">
        <v>421</v>
      </c>
      <c r="M3241" t="s">
        <v>553</v>
      </c>
      <c r="N3241" t="str">
        <f t="shared" si="212"/>
        <v>Double RearWavefold Cord OperationWavefold HooksTriple Face Fix Brackets</v>
      </c>
      <c r="O3241">
        <v>0</v>
      </c>
      <c r="P3241">
        <v>25</v>
      </c>
      <c r="Q3241" s="80">
        <v>0</v>
      </c>
      <c r="R3241" s="80">
        <f t="shared" si="213"/>
        <v>25</v>
      </c>
      <c r="AD3241"/>
    </row>
    <row r="3242" spans="10:30" ht="16.2" customHeight="1">
      <c r="J3242" s="80" t="s">
        <v>725</v>
      </c>
      <c r="K3242" s="80" t="s">
        <v>487</v>
      </c>
      <c r="L3242" t="s">
        <v>421</v>
      </c>
      <c r="M3242" t="s">
        <v>553</v>
      </c>
      <c r="N3242" t="str">
        <f t="shared" si="212"/>
        <v>SingleWavefold Cord OperationWavefold HooksTriple Face Fix Brackets</v>
      </c>
      <c r="O3242">
        <v>0</v>
      </c>
      <c r="P3242">
        <v>25</v>
      </c>
      <c r="Q3242" s="80">
        <v>0</v>
      </c>
      <c r="R3242" s="80">
        <f t="shared" si="213"/>
        <v>25</v>
      </c>
      <c r="AD3242"/>
    </row>
    <row r="3243" spans="10:30" ht="16.2" customHeight="1">
      <c r="J3243" s="80" t="s">
        <v>746</v>
      </c>
      <c r="K3243" s="80" t="s">
        <v>488</v>
      </c>
      <c r="L3243" t="s">
        <v>421</v>
      </c>
      <c r="M3243" t="s">
        <v>162</v>
      </c>
      <c r="N3243" t="str">
        <f t="shared" si="212"/>
        <v>Double FrontWavefold Hand OperationWavefold HooksDouble Face Fix Brackets</v>
      </c>
      <c r="O3243">
        <v>0</v>
      </c>
      <c r="P3243">
        <v>25</v>
      </c>
      <c r="Q3243" s="80">
        <v>0</v>
      </c>
      <c r="R3243" s="80">
        <f t="shared" si="213"/>
        <v>25</v>
      </c>
      <c r="AD3243"/>
    </row>
    <row r="3244" spans="10:30" ht="16.2" customHeight="1">
      <c r="J3244" s="80" t="s">
        <v>747</v>
      </c>
      <c r="K3244" s="80" t="s">
        <v>488</v>
      </c>
      <c r="L3244" t="s">
        <v>421</v>
      </c>
      <c r="M3244" t="s">
        <v>162</v>
      </c>
      <c r="N3244" t="str">
        <f t="shared" si="212"/>
        <v>Double RearWavefold Hand OperationWavefold HooksDouble Face Fix Brackets</v>
      </c>
      <c r="O3244">
        <v>0</v>
      </c>
      <c r="P3244">
        <v>25</v>
      </c>
      <c r="Q3244" s="80">
        <v>0</v>
      </c>
      <c r="R3244" s="80">
        <f t="shared" si="213"/>
        <v>25</v>
      </c>
      <c r="AD3244"/>
    </row>
    <row r="3245" spans="10:30" ht="16.2" customHeight="1">
      <c r="J3245" s="80" t="s">
        <v>725</v>
      </c>
      <c r="K3245" s="80" t="s">
        <v>488</v>
      </c>
      <c r="L3245" t="s">
        <v>421</v>
      </c>
      <c r="M3245" t="s">
        <v>162</v>
      </c>
      <c r="N3245" t="str">
        <f t="shared" si="212"/>
        <v>SingleWavefold Hand OperationWavefold HooksDouble Face Fix Brackets</v>
      </c>
      <c r="O3245">
        <v>0</v>
      </c>
      <c r="P3245">
        <v>25</v>
      </c>
      <c r="Q3245" s="80">
        <v>0</v>
      </c>
      <c r="R3245" s="80">
        <f t="shared" si="213"/>
        <v>25</v>
      </c>
      <c r="AD3245"/>
    </row>
    <row r="3246" spans="10:30" ht="16.2" customHeight="1">
      <c r="J3246" s="80" t="s">
        <v>746</v>
      </c>
      <c r="K3246" s="80" t="s">
        <v>488</v>
      </c>
      <c r="L3246" t="s">
        <v>421</v>
      </c>
      <c r="M3246" t="s">
        <v>159</v>
      </c>
      <c r="N3246" t="str">
        <f t="shared" si="212"/>
        <v>Double FrontWavefold Hand OperationWavefold HooksSingle Face Fix Brackets</v>
      </c>
      <c r="O3246">
        <v>0</v>
      </c>
      <c r="P3246">
        <v>25</v>
      </c>
      <c r="Q3246" s="80">
        <v>0</v>
      </c>
      <c r="R3246" s="80">
        <f t="shared" si="213"/>
        <v>25</v>
      </c>
      <c r="AD3246"/>
    </row>
    <row r="3247" spans="10:30" ht="16.2" customHeight="1">
      <c r="J3247" s="80" t="s">
        <v>747</v>
      </c>
      <c r="K3247" s="80" t="s">
        <v>488</v>
      </c>
      <c r="L3247" t="s">
        <v>421</v>
      </c>
      <c r="M3247" t="s">
        <v>159</v>
      </c>
      <c r="N3247" t="str">
        <f t="shared" si="212"/>
        <v>Double RearWavefold Hand OperationWavefold HooksSingle Face Fix Brackets</v>
      </c>
      <c r="O3247">
        <v>0</v>
      </c>
      <c r="P3247">
        <v>25</v>
      </c>
      <c r="Q3247" s="80">
        <v>0</v>
      </c>
      <c r="R3247" s="80">
        <f t="shared" si="213"/>
        <v>25</v>
      </c>
      <c r="AD3247"/>
    </row>
    <row r="3248" spans="10:30" ht="16.2" customHeight="1">
      <c r="J3248" s="80" t="s">
        <v>725</v>
      </c>
      <c r="K3248" s="80" t="s">
        <v>488</v>
      </c>
      <c r="L3248" t="s">
        <v>421</v>
      </c>
      <c r="M3248" t="s">
        <v>159</v>
      </c>
      <c r="N3248" t="str">
        <f t="shared" si="212"/>
        <v>SingleWavefold Hand OperationWavefold HooksSingle Face Fix Brackets</v>
      </c>
      <c r="O3248">
        <v>0</v>
      </c>
      <c r="P3248">
        <v>25</v>
      </c>
      <c r="Q3248" s="80">
        <v>0</v>
      </c>
      <c r="R3248" s="80">
        <f t="shared" si="213"/>
        <v>25</v>
      </c>
      <c r="AD3248"/>
    </row>
    <row r="3249" spans="10:30" ht="16.2" customHeight="1">
      <c r="J3249" s="80" t="s">
        <v>746</v>
      </c>
      <c r="K3249" s="80" t="s">
        <v>488</v>
      </c>
      <c r="L3249" t="s">
        <v>421</v>
      </c>
      <c r="M3249" t="s">
        <v>161</v>
      </c>
      <c r="N3249" t="str">
        <f t="shared" si="212"/>
        <v>Double FrontWavefold Hand OperationWavefold HooksTop Fix Brackets</v>
      </c>
      <c r="O3249">
        <v>0</v>
      </c>
      <c r="P3249">
        <v>20</v>
      </c>
      <c r="Q3249" s="80">
        <v>0</v>
      </c>
      <c r="R3249" s="80">
        <f t="shared" si="213"/>
        <v>20</v>
      </c>
      <c r="AD3249"/>
    </row>
    <row r="3250" spans="10:30" ht="16.2" customHeight="1">
      <c r="J3250" s="80" t="s">
        <v>747</v>
      </c>
      <c r="K3250" s="80" t="s">
        <v>488</v>
      </c>
      <c r="L3250" t="s">
        <v>421</v>
      </c>
      <c r="M3250" t="s">
        <v>161</v>
      </c>
      <c r="N3250" t="str">
        <f t="shared" si="212"/>
        <v>Double RearWavefold Hand OperationWavefold HooksTop Fix Brackets</v>
      </c>
      <c r="O3250">
        <v>0</v>
      </c>
      <c r="P3250">
        <v>20</v>
      </c>
      <c r="Q3250" s="80">
        <v>0</v>
      </c>
      <c r="R3250" s="80">
        <f t="shared" si="213"/>
        <v>20</v>
      </c>
      <c r="AD3250"/>
    </row>
    <row r="3251" spans="10:30" ht="16.2" customHeight="1">
      <c r="J3251" s="80" t="s">
        <v>725</v>
      </c>
      <c r="K3251" s="80" t="s">
        <v>488</v>
      </c>
      <c r="L3251" t="s">
        <v>421</v>
      </c>
      <c r="M3251" t="s">
        <v>161</v>
      </c>
      <c r="N3251" t="str">
        <f t="shared" si="212"/>
        <v>SingleWavefold Hand OperationWavefold HooksTop Fix Brackets</v>
      </c>
      <c r="O3251">
        <v>0</v>
      </c>
      <c r="P3251">
        <v>20</v>
      </c>
      <c r="Q3251" s="80">
        <v>0</v>
      </c>
      <c r="R3251" s="80">
        <f t="shared" si="213"/>
        <v>20</v>
      </c>
      <c r="AD3251"/>
    </row>
    <row r="3252" spans="10:30" ht="16.2" customHeight="1">
      <c r="J3252" s="80" t="s">
        <v>746</v>
      </c>
      <c r="K3252" s="80" t="s">
        <v>488</v>
      </c>
      <c r="L3252" t="s">
        <v>421</v>
      </c>
      <c r="M3252" t="s">
        <v>553</v>
      </c>
      <c r="N3252" t="str">
        <f t="shared" si="212"/>
        <v>Double FrontWavefold Hand OperationWavefold HooksTriple Face Fix Brackets</v>
      </c>
      <c r="O3252">
        <v>0</v>
      </c>
      <c r="P3252">
        <v>25</v>
      </c>
      <c r="Q3252" s="80">
        <v>0</v>
      </c>
      <c r="R3252" s="80">
        <f t="shared" si="213"/>
        <v>25</v>
      </c>
      <c r="AD3252"/>
    </row>
    <row r="3253" spans="10:30" ht="16.2" customHeight="1">
      <c r="J3253" s="80" t="s">
        <v>747</v>
      </c>
      <c r="K3253" s="80" t="s">
        <v>488</v>
      </c>
      <c r="L3253" t="s">
        <v>421</v>
      </c>
      <c r="M3253" t="s">
        <v>553</v>
      </c>
      <c r="N3253" t="str">
        <f t="shared" si="212"/>
        <v>Double RearWavefold Hand OperationWavefold HooksTriple Face Fix Brackets</v>
      </c>
      <c r="O3253">
        <v>0</v>
      </c>
      <c r="P3253">
        <v>25</v>
      </c>
      <c r="Q3253" s="80">
        <v>0</v>
      </c>
      <c r="R3253" s="80">
        <f t="shared" si="213"/>
        <v>25</v>
      </c>
      <c r="AD3253"/>
    </row>
    <row r="3254" spans="10:30" ht="16.2" customHeight="1">
      <c r="J3254" s="80" t="s">
        <v>725</v>
      </c>
      <c r="K3254" s="80" t="s">
        <v>488</v>
      </c>
      <c r="L3254" t="s">
        <v>421</v>
      </c>
      <c r="M3254" t="s">
        <v>553</v>
      </c>
      <c r="N3254" t="str">
        <f t="shared" si="212"/>
        <v>SingleWavefold Hand OperationWavefold HooksTriple Face Fix Brackets</v>
      </c>
      <c r="O3254">
        <v>0</v>
      </c>
      <c r="P3254">
        <v>25</v>
      </c>
      <c r="Q3254" s="80">
        <v>0</v>
      </c>
      <c r="R3254" s="80">
        <f t="shared" si="213"/>
        <v>25</v>
      </c>
      <c r="AD3254"/>
    </row>
    <row r="3255" spans="10:30" ht="16.2" customHeight="1">
      <c r="J3255" s="80" t="s">
        <v>746</v>
      </c>
      <c r="K3255" s="80" t="s">
        <v>520</v>
      </c>
      <c r="L3255" t="s">
        <v>421</v>
      </c>
      <c r="M3255" t="s">
        <v>162</v>
      </c>
      <c r="N3255" t="str">
        <f t="shared" si="212"/>
        <v>Double FrontWavefold Heavy Duty Cord OperationWavefold HooksDouble Face Fix Brackets</v>
      </c>
      <c r="O3255">
        <v>0</v>
      </c>
      <c r="P3255">
        <v>51</v>
      </c>
      <c r="Q3255" s="80">
        <v>0</v>
      </c>
      <c r="R3255" s="80">
        <f t="shared" si="213"/>
        <v>51</v>
      </c>
      <c r="AD3255"/>
    </row>
    <row r="3256" spans="10:30" ht="16.2" customHeight="1">
      <c r="J3256" s="80" t="s">
        <v>747</v>
      </c>
      <c r="K3256" s="80" t="s">
        <v>520</v>
      </c>
      <c r="L3256" t="s">
        <v>421</v>
      </c>
      <c r="M3256" t="s">
        <v>162</v>
      </c>
      <c r="N3256" t="str">
        <f t="shared" si="212"/>
        <v>Double RearWavefold Heavy Duty Cord OperationWavefold HooksDouble Face Fix Brackets</v>
      </c>
      <c r="O3256">
        <v>0</v>
      </c>
      <c r="P3256">
        <v>51</v>
      </c>
      <c r="Q3256" s="80">
        <v>0</v>
      </c>
      <c r="R3256" s="80">
        <f t="shared" si="213"/>
        <v>51</v>
      </c>
      <c r="AD3256"/>
    </row>
    <row r="3257" spans="10:30" ht="16.2" customHeight="1">
      <c r="J3257" s="80" t="s">
        <v>725</v>
      </c>
      <c r="K3257" s="80" t="s">
        <v>520</v>
      </c>
      <c r="L3257" t="s">
        <v>421</v>
      </c>
      <c r="M3257" t="s">
        <v>162</v>
      </c>
      <c r="N3257" t="str">
        <f t="shared" si="212"/>
        <v>SingleWavefold Heavy Duty Cord OperationWavefold HooksDouble Face Fix Brackets</v>
      </c>
      <c r="O3257">
        <v>0</v>
      </c>
      <c r="P3257">
        <v>51</v>
      </c>
      <c r="Q3257" s="80">
        <v>0</v>
      </c>
      <c r="R3257" s="80">
        <f t="shared" si="213"/>
        <v>51</v>
      </c>
      <c r="AD3257"/>
    </row>
    <row r="3258" spans="10:30" ht="16.2" customHeight="1">
      <c r="J3258" s="80" t="s">
        <v>746</v>
      </c>
      <c r="K3258" s="80" t="s">
        <v>520</v>
      </c>
      <c r="L3258" t="s">
        <v>421</v>
      </c>
      <c r="M3258" t="s">
        <v>159</v>
      </c>
      <c r="N3258" t="str">
        <f t="shared" si="212"/>
        <v>Double FrontWavefold Heavy Duty Cord OperationWavefold HooksSingle Face Fix Brackets</v>
      </c>
      <c r="O3258">
        <v>0</v>
      </c>
      <c r="P3258">
        <v>47</v>
      </c>
      <c r="Q3258" s="80">
        <v>0</v>
      </c>
      <c r="R3258" s="80">
        <f t="shared" si="213"/>
        <v>47</v>
      </c>
      <c r="AD3258"/>
    </row>
    <row r="3259" spans="10:30" ht="16.2" customHeight="1">
      <c r="J3259" s="80" t="s">
        <v>747</v>
      </c>
      <c r="K3259" s="80" t="s">
        <v>520</v>
      </c>
      <c r="L3259" t="s">
        <v>421</v>
      </c>
      <c r="M3259" t="s">
        <v>159</v>
      </c>
      <c r="N3259" t="str">
        <f t="shared" si="212"/>
        <v>Double RearWavefold Heavy Duty Cord OperationWavefold HooksSingle Face Fix Brackets</v>
      </c>
      <c r="O3259">
        <v>0</v>
      </c>
      <c r="P3259">
        <v>47</v>
      </c>
      <c r="Q3259" s="80">
        <v>0</v>
      </c>
      <c r="R3259" s="80">
        <f t="shared" si="213"/>
        <v>47</v>
      </c>
      <c r="AD3259"/>
    </row>
    <row r="3260" spans="10:30" ht="16.2" customHeight="1">
      <c r="J3260" s="80" t="s">
        <v>725</v>
      </c>
      <c r="K3260" s="80" t="s">
        <v>520</v>
      </c>
      <c r="L3260" t="s">
        <v>421</v>
      </c>
      <c r="M3260" t="s">
        <v>159</v>
      </c>
      <c r="N3260" t="str">
        <f t="shared" si="212"/>
        <v>SingleWavefold Heavy Duty Cord OperationWavefold HooksSingle Face Fix Brackets</v>
      </c>
      <c r="O3260">
        <v>0</v>
      </c>
      <c r="P3260">
        <v>47</v>
      </c>
      <c r="Q3260" s="80">
        <v>0</v>
      </c>
      <c r="R3260" s="80">
        <f t="shared" si="213"/>
        <v>47</v>
      </c>
      <c r="AD3260"/>
    </row>
    <row r="3261" spans="10:30" ht="16.2" customHeight="1">
      <c r="J3261" s="80" t="s">
        <v>746</v>
      </c>
      <c r="K3261" s="80" t="s">
        <v>520</v>
      </c>
      <c r="L3261" t="s">
        <v>421</v>
      </c>
      <c r="M3261" t="s">
        <v>161</v>
      </c>
      <c r="N3261" t="str">
        <f t="shared" si="212"/>
        <v>Double FrontWavefold Heavy Duty Cord OperationWavefold HooksTop Fix Brackets</v>
      </c>
      <c r="O3261">
        <v>0</v>
      </c>
      <c r="P3261">
        <v>42</v>
      </c>
      <c r="Q3261" s="80">
        <v>0</v>
      </c>
      <c r="R3261" s="80">
        <f t="shared" si="213"/>
        <v>42</v>
      </c>
      <c r="AD3261"/>
    </row>
    <row r="3262" spans="10:30" ht="16.2" customHeight="1">
      <c r="J3262" s="80" t="s">
        <v>747</v>
      </c>
      <c r="K3262" s="80" t="s">
        <v>520</v>
      </c>
      <c r="L3262" t="s">
        <v>421</v>
      </c>
      <c r="M3262" t="s">
        <v>161</v>
      </c>
      <c r="N3262" t="str">
        <f t="shared" si="212"/>
        <v>Double RearWavefold Heavy Duty Cord OperationWavefold HooksTop Fix Brackets</v>
      </c>
      <c r="O3262">
        <v>0</v>
      </c>
      <c r="P3262">
        <v>42</v>
      </c>
      <c r="Q3262" s="80">
        <v>0</v>
      </c>
      <c r="R3262" s="80">
        <f t="shared" si="213"/>
        <v>42</v>
      </c>
      <c r="AD3262"/>
    </row>
    <row r="3263" spans="10:30" ht="16.2" customHeight="1">
      <c r="J3263" s="80" t="s">
        <v>725</v>
      </c>
      <c r="K3263" s="80" t="s">
        <v>520</v>
      </c>
      <c r="L3263" t="s">
        <v>421</v>
      </c>
      <c r="M3263" t="s">
        <v>161</v>
      </c>
      <c r="N3263" t="str">
        <f t="shared" si="212"/>
        <v>SingleWavefold Heavy Duty Cord OperationWavefold HooksTop Fix Brackets</v>
      </c>
      <c r="O3263">
        <v>0</v>
      </c>
      <c r="P3263">
        <v>42</v>
      </c>
      <c r="Q3263" s="80">
        <v>0</v>
      </c>
      <c r="R3263" s="80">
        <f t="shared" si="213"/>
        <v>42</v>
      </c>
      <c r="AD3263"/>
    </row>
    <row r="3264" spans="10:30" ht="16.2" customHeight="1">
      <c r="J3264" s="80" t="s">
        <v>746</v>
      </c>
      <c r="K3264" s="80" t="s">
        <v>520</v>
      </c>
      <c r="L3264" t="s">
        <v>421</v>
      </c>
      <c r="M3264" t="s">
        <v>553</v>
      </c>
      <c r="N3264" t="str">
        <f t="shared" si="212"/>
        <v>Double FrontWavefold Heavy Duty Cord OperationWavefold HooksTriple Face Fix Brackets</v>
      </c>
      <c r="O3264">
        <v>0</v>
      </c>
      <c r="P3264">
        <v>51</v>
      </c>
      <c r="Q3264" s="80">
        <v>0</v>
      </c>
      <c r="R3264" s="80">
        <f t="shared" si="213"/>
        <v>51</v>
      </c>
      <c r="AD3264"/>
    </row>
    <row r="3265" spans="10:30" ht="16.2" customHeight="1">
      <c r="J3265" s="80" t="s">
        <v>747</v>
      </c>
      <c r="K3265" s="80" t="s">
        <v>520</v>
      </c>
      <c r="L3265" t="s">
        <v>421</v>
      </c>
      <c r="M3265" t="s">
        <v>553</v>
      </c>
      <c r="N3265" t="str">
        <f t="shared" si="212"/>
        <v>Double RearWavefold Heavy Duty Cord OperationWavefold HooksTriple Face Fix Brackets</v>
      </c>
      <c r="O3265">
        <v>0</v>
      </c>
      <c r="P3265">
        <v>51</v>
      </c>
      <c r="Q3265" s="80">
        <v>0</v>
      </c>
      <c r="R3265" s="80">
        <f t="shared" si="213"/>
        <v>51</v>
      </c>
      <c r="AD3265"/>
    </row>
    <row r="3266" spans="10:30" ht="16.2" customHeight="1">
      <c r="J3266" s="80" t="s">
        <v>725</v>
      </c>
      <c r="K3266" s="80" t="s">
        <v>520</v>
      </c>
      <c r="L3266" t="s">
        <v>421</v>
      </c>
      <c r="M3266" t="s">
        <v>553</v>
      </c>
      <c r="N3266" t="str">
        <f t="shared" si="214" ref="N3266:N3329">(CONCATENATE(J3266,K3266,L3266,M3266))</f>
        <v>SingleWavefold Heavy Duty Cord OperationWavefold HooksTriple Face Fix Brackets</v>
      </c>
      <c r="O3266">
        <v>0</v>
      </c>
      <c r="P3266">
        <v>51</v>
      </c>
      <c r="Q3266" s="80">
        <v>0</v>
      </c>
      <c r="R3266" s="80">
        <f t="shared" si="213"/>
        <v>51</v>
      </c>
      <c r="AD3266"/>
    </row>
    <row r="3267" spans="10:30" ht="16.2" customHeight="1">
      <c r="J3267" s="80" t="s">
        <v>746</v>
      </c>
      <c r="K3267" s="80" t="s">
        <v>519</v>
      </c>
      <c r="L3267" t="s">
        <v>421</v>
      </c>
      <c r="M3267" t="s">
        <v>162</v>
      </c>
      <c r="N3267" t="str">
        <f t="shared" si="214"/>
        <v>Double FrontWavefold Heavy Duty Hand OperationWavefold HooksDouble Face Fix Brackets</v>
      </c>
      <c r="O3267">
        <v>0</v>
      </c>
      <c r="P3267">
        <v>51</v>
      </c>
      <c r="Q3267" s="80">
        <v>0</v>
      </c>
      <c r="R3267" s="80">
        <f t="shared" si="213"/>
        <v>51</v>
      </c>
      <c r="AD3267"/>
    </row>
    <row r="3268" spans="10:30" ht="16.2" customHeight="1">
      <c r="J3268" s="80" t="s">
        <v>747</v>
      </c>
      <c r="K3268" s="80" t="s">
        <v>519</v>
      </c>
      <c r="L3268" t="s">
        <v>421</v>
      </c>
      <c r="M3268" t="s">
        <v>162</v>
      </c>
      <c r="N3268" t="str">
        <f t="shared" si="214"/>
        <v>Double RearWavefold Heavy Duty Hand OperationWavefold HooksDouble Face Fix Brackets</v>
      </c>
      <c r="O3268">
        <v>0</v>
      </c>
      <c r="P3268">
        <v>51</v>
      </c>
      <c r="Q3268" s="80">
        <v>0</v>
      </c>
      <c r="R3268" s="80">
        <f t="shared" si="213"/>
        <v>51</v>
      </c>
      <c r="AD3268"/>
    </row>
    <row r="3269" spans="10:30" ht="16.2" customHeight="1">
      <c r="J3269" s="80" t="s">
        <v>725</v>
      </c>
      <c r="K3269" s="80" t="s">
        <v>519</v>
      </c>
      <c r="L3269" t="s">
        <v>421</v>
      </c>
      <c r="M3269" t="s">
        <v>162</v>
      </c>
      <c r="N3269" t="str">
        <f t="shared" si="214"/>
        <v>SingleWavefold Heavy Duty Hand OperationWavefold HooksDouble Face Fix Brackets</v>
      </c>
      <c r="O3269">
        <v>0</v>
      </c>
      <c r="P3269">
        <v>51</v>
      </c>
      <c r="Q3269" s="80">
        <v>0</v>
      </c>
      <c r="R3269" s="80">
        <f t="shared" si="213"/>
        <v>51</v>
      </c>
      <c r="AD3269"/>
    </row>
    <row r="3270" spans="10:30" ht="16.2" customHeight="1">
      <c r="J3270" s="80" t="s">
        <v>746</v>
      </c>
      <c r="K3270" s="80" t="s">
        <v>519</v>
      </c>
      <c r="L3270" t="s">
        <v>421</v>
      </c>
      <c r="M3270" t="s">
        <v>159</v>
      </c>
      <c r="N3270" t="str">
        <f t="shared" si="214"/>
        <v>Double FrontWavefold Heavy Duty Hand OperationWavefold HooksSingle Face Fix Brackets</v>
      </c>
      <c r="O3270">
        <v>0</v>
      </c>
      <c r="P3270">
        <v>47</v>
      </c>
      <c r="Q3270" s="80">
        <v>0</v>
      </c>
      <c r="R3270" s="80">
        <f t="shared" si="213"/>
        <v>47</v>
      </c>
      <c r="AD3270"/>
    </row>
    <row r="3271" spans="10:30" ht="16.2" customHeight="1">
      <c r="J3271" s="80" t="s">
        <v>747</v>
      </c>
      <c r="K3271" s="80" t="s">
        <v>519</v>
      </c>
      <c r="L3271" t="s">
        <v>421</v>
      </c>
      <c r="M3271" t="s">
        <v>159</v>
      </c>
      <c r="N3271" t="str">
        <f t="shared" si="214"/>
        <v>Double RearWavefold Heavy Duty Hand OperationWavefold HooksSingle Face Fix Brackets</v>
      </c>
      <c r="O3271">
        <v>0</v>
      </c>
      <c r="P3271">
        <v>47</v>
      </c>
      <c r="Q3271" s="80">
        <v>0</v>
      </c>
      <c r="R3271" s="80">
        <f t="shared" si="213"/>
        <v>47</v>
      </c>
      <c r="AD3271"/>
    </row>
    <row r="3272" spans="10:30" ht="16.2" customHeight="1">
      <c r="J3272" s="80" t="s">
        <v>725</v>
      </c>
      <c r="K3272" s="80" t="s">
        <v>519</v>
      </c>
      <c r="L3272" t="s">
        <v>421</v>
      </c>
      <c r="M3272" t="s">
        <v>159</v>
      </c>
      <c r="N3272" t="str">
        <f t="shared" si="214"/>
        <v>SingleWavefold Heavy Duty Hand OperationWavefold HooksSingle Face Fix Brackets</v>
      </c>
      <c r="O3272">
        <v>0</v>
      </c>
      <c r="P3272">
        <v>47</v>
      </c>
      <c r="Q3272" s="80">
        <v>0</v>
      </c>
      <c r="R3272" s="80">
        <f t="shared" si="213"/>
        <v>47</v>
      </c>
      <c r="AD3272"/>
    </row>
    <row r="3273" spans="10:30" ht="16.2" customHeight="1">
      <c r="J3273" s="80" t="s">
        <v>746</v>
      </c>
      <c r="K3273" s="80" t="s">
        <v>519</v>
      </c>
      <c r="L3273" t="s">
        <v>421</v>
      </c>
      <c r="M3273" t="s">
        <v>161</v>
      </c>
      <c r="N3273" t="str">
        <f t="shared" si="214"/>
        <v>Double FrontWavefold Heavy Duty Hand OperationWavefold HooksTop Fix Brackets</v>
      </c>
      <c r="O3273">
        <v>0</v>
      </c>
      <c r="P3273">
        <v>42</v>
      </c>
      <c r="Q3273" s="80">
        <v>0</v>
      </c>
      <c r="R3273" s="80">
        <f t="shared" si="213"/>
        <v>42</v>
      </c>
      <c r="AD3273"/>
    </row>
    <row r="3274" spans="10:30" ht="16.2" customHeight="1">
      <c r="J3274" s="80" t="s">
        <v>747</v>
      </c>
      <c r="K3274" s="80" t="s">
        <v>519</v>
      </c>
      <c r="L3274" t="s">
        <v>421</v>
      </c>
      <c r="M3274" t="s">
        <v>161</v>
      </c>
      <c r="N3274" t="str">
        <f t="shared" si="214"/>
        <v>Double RearWavefold Heavy Duty Hand OperationWavefold HooksTop Fix Brackets</v>
      </c>
      <c r="O3274">
        <v>0</v>
      </c>
      <c r="P3274">
        <v>42</v>
      </c>
      <c r="Q3274" s="80">
        <v>0</v>
      </c>
      <c r="R3274" s="80">
        <f t="shared" si="213"/>
        <v>42</v>
      </c>
      <c r="AD3274"/>
    </row>
    <row r="3275" spans="10:30" ht="16.2" customHeight="1">
      <c r="J3275" s="80" t="s">
        <v>725</v>
      </c>
      <c r="K3275" s="80" t="s">
        <v>519</v>
      </c>
      <c r="L3275" t="s">
        <v>421</v>
      </c>
      <c r="M3275" t="s">
        <v>161</v>
      </c>
      <c r="N3275" t="str">
        <f t="shared" si="214"/>
        <v>SingleWavefold Heavy Duty Hand OperationWavefold HooksTop Fix Brackets</v>
      </c>
      <c r="O3275">
        <v>0</v>
      </c>
      <c r="P3275">
        <v>42</v>
      </c>
      <c r="Q3275" s="80">
        <v>0</v>
      </c>
      <c r="R3275" s="80">
        <f t="shared" si="213"/>
        <v>42</v>
      </c>
      <c r="AD3275"/>
    </row>
    <row r="3276" spans="10:30" ht="16.2" customHeight="1">
      <c r="J3276" s="80" t="s">
        <v>746</v>
      </c>
      <c r="K3276" s="80" t="s">
        <v>519</v>
      </c>
      <c r="L3276" t="s">
        <v>421</v>
      </c>
      <c r="M3276" t="s">
        <v>553</v>
      </c>
      <c r="N3276" t="str">
        <f t="shared" si="214"/>
        <v>Double FrontWavefold Heavy Duty Hand OperationWavefold HooksTriple Face Fix Brackets</v>
      </c>
      <c r="O3276">
        <v>0</v>
      </c>
      <c r="P3276">
        <v>51</v>
      </c>
      <c r="Q3276" s="80">
        <v>0</v>
      </c>
      <c r="R3276" s="80">
        <f t="shared" si="213"/>
        <v>51</v>
      </c>
      <c r="AD3276"/>
    </row>
    <row r="3277" spans="10:30" ht="16.2" customHeight="1">
      <c r="J3277" s="80" t="s">
        <v>747</v>
      </c>
      <c r="K3277" s="80" t="s">
        <v>519</v>
      </c>
      <c r="L3277" t="s">
        <v>421</v>
      </c>
      <c r="M3277" t="s">
        <v>553</v>
      </c>
      <c r="N3277" t="str">
        <f t="shared" si="214"/>
        <v>Double RearWavefold Heavy Duty Hand OperationWavefold HooksTriple Face Fix Brackets</v>
      </c>
      <c r="O3277">
        <v>0</v>
      </c>
      <c r="P3277">
        <v>51</v>
      </c>
      <c r="Q3277" s="80">
        <v>0</v>
      </c>
      <c r="R3277" s="80">
        <f t="shared" si="213"/>
        <v>51</v>
      </c>
      <c r="AD3277"/>
    </row>
    <row r="3278" spans="10:30" ht="16.2" customHeight="1">
      <c r="J3278" s="80" t="s">
        <v>725</v>
      </c>
      <c r="K3278" s="80" t="s">
        <v>519</v>
      </c>
      <c r="L3278" t="s">
        <v>421</v>
      </c>
      <c r="M3278" t="s">
        <v>553</v>
      </c>
      <c r="N3278" t="str">
        <f t="shared" si="214"/>
        <v>SingleWavefold Heavy Duty Hand OperationWavefold HooksTriple Face Fix Brackets</v>
      </c>
      <c r="O3278">
        <v>0</v>
      </c>
      <c r="P3278">
        <v>51</v>
      </c>
      <c r="Q3278" s="80">
        <v>0</v>
      </c>
      <c r="R3278" s="80">
        <f t="shared" si="213"/>
        <v>51</v>
      </c>
      <c r="AD3278"/>
    </row>
    <row r="3279" spans="10:30" ht="16.2" customHeight="1">
      <c r="J3279" s="80" t="s">
        <v>746</v>
      </c>
      <c r="K3279" s="80" t="s">
        <v>5450</v>
      </c>
      <c r="L3279" t="s">
        <v>421</v>
      </c>
      <c r="M3279" t="s">
        <v>162</v>
      </c>
      <c r="N3279" t="str">
        <f t="shared" si="214"/>
        <v>Double FrontWavefold Motorised Acmeda 12v Remote Curtain TrackWavefold HooksDouble Face Fix Brackets</v>
      </c>
      <c r="O3279">
        <v>0</v>
      </c>
      <c r="P3279">
        <v>40</v>
      </c>
      <c r="Q3279" s="80">
        <v>0</v>
      </c>
      <c r="R3279" s="80">
        <f t="shared" si="213"/>
        <v>40</v>
      </c>
      <c r="AD3279"/>
    </row>
    <row r="3280" spans="10:30" ht="16.2" customHeight="1">
      <c r="J3280" s="80" t="s">
        <v>747</v>
      </c>
      <c r="K3280" s="80" t="s">
        <v>5450</v>
      </c>
      <c r="L3280" t="s">
        <v>421</v>
      </c>
      <c r="M3280" t="s">
        <v>162</v>
      </c>
      <c r="N3280" t="str">
        <f t="shared" si="214"/>
        <v>Double RearWavefold Motorised Acmeda 12v Remote Curtain TrackWavefold HooksDouble Face Fix Brackets</v>
      </c>
      <c r="O3280">
        <v>0</v>
      </c>
      <c r="P3280">
        <v>40</v>
      </c>
      <c r="Q3280" s="80">
        <v>0</v>
      </c>
      <c r="R3280" s="80">
        <f t="shared" si="213"/>
        <v>40</v>
      </c>
      <c r="AD3280"/>
    </row>
    <row r="3281" spans="10:30" ht="16.2" customHeight="1">
      <c r="J3281" s="80" t="s">
        <v>725</v>
      </c>
      <c r="K3281" s="80" t="s">
        <v>5450</v>
      </c>
      <c r="L3281" t="s">
        <v>421</v>
      </c>
      <c r="M3281" t="s">
        <v>162</v>
      </c>
      <c r="N3281" t="str">
        <f t="shared" si="214"/>
        <v>SingleWavefold Motorised Acmeda 12v Remote Curtain TrackWavefold HooksDouble Face Fix Brackets</v>
      </c>
      <c r="O3281">
        <v>0</v>
      </c>
      <c r="P3281">
        <v>40</v>
      </c>
      <c r="Q3281" s="80">
        <v>0</v>
      </c>
      <c r="R3281" s="80">
        <f t="shared" si="213"/>
        <v>40</v>
      </c>
      <c r="AD3281"/>
    </row>
    <row r="3282" spans="10:30" ht="16.2" customHeight="1">
      <c r="J3282" s="80" t="s">
        <v>746</v>
      </c>
      <c r="K3282" s="80" t="s">
        <v>5450</v>
      </c>
      <c r="L3282" t="s">
        <v>421</v>
      </c>
      <c r="M3282" t="s">
        <v>159</v>
      </c>
      <c r="N3282" t="str">
        <f t="shared" si="214"/>
        <v>Double FrontWavefold Motorised Acmeda 12v Remote Curtain TrackWavefold HooksSingle Face Fix Brackets</v>
      </c>
      <c r="O3282">
        <v>0</v>
      </c>
      <c r="P3282">
        <v>40</v>
      </c>
      <c r="Q3282" s="80">
        <v>0</v>
      </c>
      <c r="R3282" s="80">
        <f t="shared" si="213"/>
        <v>40</v>
      </c>
      <c r="AD3282"/>
    </row>
    <row r="3283" spans="10:30" ht="16.2" customHeight="1">
      <c r="J3283" s="80" t="s">
        <v>747</v>
      </c>
      <c r="K3283" s="80" t="s">
        <v>5450</v>
      </c>
      <c r="L3283" t="s">
        <v>421</v>
      </c>
      <c r="M3283" t="s">
        <v>159</v>
      </c>
      <c r="N3283" t="str">
        <f t="shared" si="214"/>
        <v>Double RearWavefold Motorised Acmeda 12v Remote Curtain TrackWavefold HooksSingle Face Fix Brackets</v>
      </c>
      <c r="O3283">
        <v>0</v>
      </c>
      <c r="P3283">
        <v>40</v>
      </c>
      <c r="Q3283" s="80">
        <v>0</v>
      </c>
      <c r="R3283" s="80">
        <f t="shared" si="213"/>
        <v>40</v>
      </c>
      <c r="AD3283"/>
    </row>
    <row r="3284" spans="10:30" ht="16.2" customHeight="1">
      <c r="J3284" s="80" t="s">
        <v>725</v>
      </c>
      <c r="K3284" s="80" t="s">
        <v>5450</v>
      </c>
      <c r="L3284" t="s">
        <v>421</v>
      </c>
      <c r="M3284" t="s">
        <v>159</v>
      </c>
      <c r="N3284" t="str">
        <f t="shared" si="214"/>
        <v>SingleWavefold Motorised Acmeda 12v Remote Curtain TrackWavefold HooksSingle Face Fix Brackets</v>
      </c>
      <c r="O3284">
        <v>0</v>
      </c>
      <c r="P3284">
        <v>40</v>
      </c>
      <c r="Q3284" s="80">
        <v>0</v>
      </c>
      <c r="R3284" s="80">
        <f t="shared" si="213"/>
        <v>40</v>
      </c>
      <c r="AD3284"/>
    </row>
    <row r="3285" spans="10:30" ht="16.2" customHeight="1">
      <c r="J3285" s="80" t="s">
        <v>746</v>
      </c>
      <c r="K3285" s="80" t="s">
        <v>5450</v>
      </c>
      <c r="L3285" t="s">
        <v>421</v>
      </c>
      <c r="M3285" t="s">
        <v>161</v>
      </c>
      <c r="N3285" t="str">
        <f t="shared" si="214"/>
        <v>Double FrontWavefold Motorised Acmeda 12v Remote Curtain TrackWavefold HooksTop Fix Brackets</v>
      </c>
      <c r="O3285">
        <v>0</v>
      </c>
      <c r="P3285">
        <v>35</v>
      </c>
      <c r="Q3285" s="80">
        <v>0</v>
      </c>
      <c r="R3285" s="80">
        <f t="shared" si="213"/>
        <v>35</v>
      </c>
      <c r="AD3285"/>
    </row>
    <row r="3286" spans="10:30" ht="16.2" customHeight="1">
      <c r="J3286" s="80" t="s">
        <v>747</v>
      </c>
      <c r="K3286" s="80" t="s">
        <v>5450</v>
      </c>
      <c r="L3286" t="s">
        <v>421</v>
      </c>
      <c r="M3286" t="s">
        <v>161</v>
      </c>
      <c r="N3286" t="str">
        <f t="shared" si="214"/>
        <v>Double RearWavefold Motorised Acmeda 12v Remote Curtain TrackWavefold HooksTop Fix Brackets</v>
      </c>
      <c r="O3286">
        <v>0</v>
      </c>
      <c r="P3286">
        <v>35</v>
      </c>
      <c r="Q3286" s="80">
        <v>0</v>
      </c>
      <c r="R3286" s="80">
        <f t="shared" si="213"/>
        <v>35</v>
      </c>
      <c r="AD3286"/>
    </row>
    <row r="3287" spans="10:30" ht="16.2" customHeight="1">
      <c r="J3287" s="80" t="s">
        <v>725</v>
      </c>
      <c r="K3287" s="80" t="s">
        <v>5450</v>
      </c>
      <c r="L3287" t="s">
        <v>421</v>
      </c>
      <c r="M3287" t="s">
        <v>161</v>
      </c>
      <c r="N3287" t="str">
        <f t="shared" si="214"/>
        <v>SingleWavefold Motorised Acmeda 12v Remote Curtain TrackWavefold HooksTop Fix Brackets</v>
      </c>
      <c r="O3287">
        <v>0</v>
      </c>
      <c r="P3287">
        <v>35</v>
      </c>
      <c r="Q3287" s="80">
        <v>0</v>
      </c>
      <c r="R3287" s="80">
        <f t="shared" si="213"/>
        <v>35</v>
      </c>
      <c r="AD3287"/>
    </row>
    <row r="3288" spans="10:30" ht="16.2" customHeight="1">
      <c r="J3288" s="80" t="s">
        <v>746</v>
      </c>
      <c r="K3288" s="80" t="s">
        <v>5450</v>
      </c>
      <c r="L3288" t="s">
        <v>421</v>
      </c>
      <c r="M3288" t="s">
        <v>553</v>
      </c>
      <c r="N3288" t="str">
        <f t="shared" si="214"/>
        <v>Double FrontWavefold Motorised Acmeda 12v Remote Curtain TrackWavefold HooksTriple Face Fix Brackets</v>
      </c>
      <c r="O3288">
        <v>0</v>
      </c>
      <c r="P3288">
        <v>40</v>
      </c>
      <c r="Q3288" s="80">
        <v>0</v>
      </c>
      <c r="R3288" s="80">
        <f t="shared" si="213"/>
        <v>40</v>
      </c>
      <c r="AD3288"/>
    </row>
    <row r="3289" spans="10:30" ht="16.2" customHeight="1">
      <c r="J3289" s="80" t="s">
        <v>747</v>
      </c>
      <c r="K3289" s="80" t="s">
        <v>5450</v>
      </c>
      <c r="L3289" t="s">
        <v>421</v>
      </c>
      <c r="M3289" t="s">
        <v>553</v>
      </c>
      <c r="N3289" t="str">
        <f t="shared" si="214"/>
        <v>Double RearWavefold Motorised Acmeda 12v Remote Curtain TrackWavefold HooksTriple Face Fix Brackets</v>
      </c>
      <c r="O3289">
        <v>0</v>
      </c>
      <c r="P3289">
        <v>40</v>
      </c>
      <c r="Q3289" s="80">
        <v>0</v>
      </c>
      <c r="R3289" s="80">
        <f t="shared" si="213"/>
        <v>40</v>
      </c>
      <c r="AD3289"/>
    </row>
    <row r="3290" spans="10:30" ht="16.2" customHeight="1">
      <c r="J3290" s="80" t="s">
        <v>725</v>
      </c>
      <c r="K3290" s="80" t="s">
        <v>5450</v>
      </c>
      <c r="L3290" t="s">
        <v>421</v>
      </c>
      <c r="M3290" t="s">
        <v>553</v>
      </c>
      <c r="N3290" t="str">
        <f t="shared" si="214"/>
        <v>SingleWavefold Motorised Acmeda 12v Remote Curtain TrackWavefold HooksTriple Face Fix Brackets</v>
      </c>
      <c r="O3290">
        <v>0</v>
      </c>
      <c r="P3290">
        <v>40</v>
      </c>
      <c r="Q3290" s="80">
        <v>0</v>
      </c>
      <c r="R3290" s="80">
        <f t="shared" si="213"/>
        <v>40</v>
      </c>
      <c r="AD3290"/>
    </row>
    <row r="3291" spans="10:30" ht="16.2" customHeight="1">
      <c r="J3291" s="80" t="s">
        <v>746</v>
      </c>
      <c r="K3291" s="80" t="s">
        <v>5451</v>
      </c>
      <c r="L3291" t="s">
        <v>421</v>
      </c>
      <c r="M3291" t="s">
        <v>162</v>
      </c>
      <c r="N3291" t="str">
        <f t="shared" si="214"/>
        <v>Double FrontWavefold Motorised Acmeda 240v Remote Curtain TrackWavefold HooksDouble Face Fix Brackets</v>
      </c>
      <c r="O3291">
        <v>0</v>
      </c>
      <c r="P3291">
        <v>40</v>
      </c>
      <c r="Q3291" s="80">
        <v>0</v>
      </c>
      <c r="R3291" s="80">
        <f t="shared" si="213"/>
        <v>40</v>
      </c>
      <c r="AD3291"/>
    </row>
    <row r="3292" spans="10:30" ht="16.2" customHeight="1">
      <c r="J3292" s="80" t="s">
        <v>747</v>
      </c>
      <c r="K3292" s="80" t="s">
        <v>5451</v>
      </c>
      <c r="L3292" t="s">
        <v>421</v>
      </c>
      <c r="M3292" t="s">
        <v>162</v>
      </c>
      <c r="N3292" t="str">
        <f t="shared" si="214"/>
        <v>Double RearWavefold Motorised Acmeda 240v Remote Curtain TrackWavefold HooksDouble Face Fix Brackets</v>
      </c>
      <c r="O3292">
        <v>0</v>
      </c>
      <c r="P3292">
        <v>40</v>
      </c>
      <c r="Q3292" s="80">
        <v>0</v>
      </c>
      <c r="R3292" s="80">
        <f t="shared" si="213"/>
        <v>40</v>
      </c>
      <c r="AD3292"/>
    </row>
    <row r="3293" spans="10:30" ht="16.2" customHeight="1">
      <c r="J3293" s="80" t="s">
        <v>725</v>
      </c>
      <c r="K3293" s="80" t="s">
        <v>5451</v>
      </c>
      <c r="L3293" t="s">
        <v>421</v>
      </c>
      <c r="M3293" t="s">
        <v>162</v>
      </c>
      <c r="N3293" t="str">
        <f t="shared" si="214"/>
        <v>SingleWavefold Motorised Acmeda 240v Remote Curtain TrackWavefold HooksDouble Face Fix Brackets</v>
      </c>
      <c r="O3293">
        <v>0</v>
      </c>
      <c r="P3293">
        <v>40</v>
      </c>
      <c r="Q3293" s="80">
        <v>0</v>
      </c>
      <c r="R3293" s="80">
        <f t="shared" si="213"/>
        <v>40</v>
      </c>
      <c r="AD3293"/>
    </row>
    <row r="3294" spans="10:30" ht="16.2" customHeight="1">
      <c r="J3294" s="80" t="s">
        <v>746</v>
      </c>
      <c r="K3294" s="80" t="s">
        <v>5451</v>
      </c>
      <c r="L3294" t="s">
        <v>421</v>
      </c>
      <c r="M3294" t="s">
        <v>159</v>
      </c>
      <c r="N3294" t="str">
        <f t="shared" si="214"/>
        <v>Double FrontWavefold Motorised Acmeda 240v Remote Curtain TrackWavefold HooksSingle Face Fix Brackets</v>
      </c>
      <c r="O3294">
        <v>0</v>
      </c>
      <c r="P3294">
        <v>40</v>
      </c>
      <c r="Q3294" s="80">
        <v>0</v>
      </c>
      <c r="R3294" s="80">
        <f t="shared" si="213"/>
        <v>40</v>
      </c>
      <c r="AD3294"/>
    </row>
    <row r="3295" spans="10:30" ht="16.2" customHeight="1">
      <c r="J3295" s="80" t="s">
        <v>747</v>
      </c>
      <c r="K3295" s="80" t="s">
        <v>5451</v>
      </c>
      <c r="L3295" t="s">
        <v>421</v>
      </c>
      <c r="M3295" t="s">
        <v>159</v>
      </c>
      <c r="N3295" t="str">
        <f t="shared" si="214"/>
        <v>Double RearWavefold Motorised Acmeda 240v Remote Curtain TrackWavefold HooksSingle Face Fix Brackets</v>
      </c>
      <c r="O3295">
        <v>0</v>
      </c>
      <c r="P3295">
        <v>40</v>
      </c>
      <c r="Q3295" s="80">
        <v>0</v>
      </c>
      <c r="R3295" s="80">
        <f t="shared" si="215" ref="R3295:R3358">SUM(P3295)-O3295</f>
        <v>40</v>
      </c>
      <c r="AD3295"/>
    </row>
    <row r="3296" spans="10:30" ht="16.2" customHeight="1">
      <c r="J3296" s="80" t="s">
        <v>725</v>
      </c>
      <c r="K3296" s="80" t="s">
        <v>5451</v>
      </c>
      <c r="L3296" t="s">
        <v>421</v>
      </c>
      <c r="M3296" t="s">
        <v>159</v>
      </c>
      <c r="N3296" t="str">
        <f t="shared" si="214"/>
        <v>SingleWavefold Motorised Acmeda 240v Remote Curtain TrackWavefold HooksSingle Face Fix Brackets</v>
      </c>
      <c r="O3296">
        <v>0</v>
      </c>
      <c r="P3296">
        <v>40</v>
      </c>
      <c r="Q3296" s="80">
        <v>0</v>
      </c>
      <c r="R3296" s="80">
        <f t="shared" si="215"/>
        <v>40</v>
      </c>
      <c r="AD3296"/>
    </row>
    <row r="3297" spans="10:30" ht="16.2" customHeight="1">
      <c r="J3297" s="80" t="s">
        <v>746</v>
      </c>
      <c r="K3297" s="80" t="s">
        <v>5451</v>
      </c>
      <c r="L3297" t="s">
        <v>421</v>
      </c>
      <c r="M3297" t="s">
        <v>161</v>
      </c>
      <c r="N3297" t="str">
        <f t="shared" si="214"/>
        <v>Double FrontWavefold Motorised Acmeda 240v Remote Curtain TrackWavefold HooksTop Fix Brackets</v>
      </c>
      <c r="O3297">
        <v>0</v>
      </c>
      <c r="P3297">
        <v>35</v>
      </c>
      <c r="Q3297" s="80">
        <v>0</v>
      </c>
      <c r="R3297" s="80">
        <f t="shared" si="215"/>
        <v>35</v>
      </c>
      <c r="AD3297"/>
    </row>
    <row r="3298" spans="10:30" ht="16.2" customHeight="1">
      <c r="J3298" s="80" t="s">
        <v>747</v>
      </c>
      <c r="K3298" s="80" t="s">
        <v>5451</v>
      </c>
      <c r="L3298" t="s">
        <v>421</v>
      </c>
      <c r="M3298" t="s">
        <v>161</v>
      </c>
      <c r="N3298" t="str">
        <f t="shared" si="214"/>
        <v>Double RearWavefold Motorised Acmeda 240v Remote Curtain TrackWavefold HooksTop Fix Brackets</v>
      </c>
      <c r="O3298">
        <v>0</v>
      </c>
      <c r="P3298">
        <v>35</v>
      </c>
      <c r="Q3298" s="80">
        <v>0</v>
      </c>
      <c r="R3298" s="80">
        <f t="shared" si="215"/>
        <v>35</v>
      </c>
      <c r="AD3298"/>
    </row>
    <row r="3299" spans="10:30" ht="16.2" customHeight="1">
      <c r="J3299" s="80" t="s">
        <v>725</v>
      </c>
      <c r="K3299" s="80" t="s">
        <v>5451</v>
      </c>
      <c r="L3299" t="s">
        <v>421</v>
      </c>
      <c r="M3299" t="s">
        <v>161</v>
      </c>
      <c r="N3299" t="str">
        <f t="shared" si="214"/>
        <v>SingleWavefold Motorised Acmeda 240v Remote Curtain TrackWavefold HooksTop Fix Brackets</v>
      </c>
      <c r="O3299">
        <v>0</v>
      </c>
      <c r="P3299">
        <v>35</v>
      </c>
      <c r="Q3299" s="80">
        <v>0</v>
      </c>
      <c r="R3299" s="80">
        <f t="shared" si="215"/>
        <v>35</v>
      </c>
      <c r="AD3299"/>
    </row>
    <row r="3300" spans="10:30" ht="16.2" customHeight="1">
      <c r="J3300" s="80" t="s">
        <v>746</v>
      </c>
      <c r="K3300" s="80" t="s">
        <v>5451</v>
      </c>
      <c r="L3300" t="s">
        <v>421</v>
      </c>
      <c r="M3300" t="s">
        <v>553</v>
      </c>
      <c r="N3300" t="str">
        <f t="shared" si="214"/>
        <v>Double FrontWavefold Motorised Acmeda 240v Remote Curtain TrackWavefold HooksTriple Face Fix Brackets</v>
      </c>
      <c r="O3300">
        <v>0</v>
      </c>
      <c r="P3300">
        <v>40</v>
      </c>
      <c r="Q3300" s="80">
        <v>0</v>
      </c>
      <c r="R3300" s="80">
        <f t="shared" si="215"/>
        <v>40</v>
      </c>
      <c r="AD3300"/>
    </row>
    <row r="3301" spans="10:30" ht="16.2" customHeight="1">
      <c r="J3301" s="80" t="s">
        <v>747</v>
      </c>
      <c r="K3301" s="80" t="s">
        <v>5451</v>
      </c>
      <c r="L3301" t="s">
        <v>421</v>
      </c>
      <c r="M3301" t="s">
        <v>553</v>
      </c>
      <c r="N3301" t="str">
        <f t="shared" si="214"/>
        <v>Double RearWavefold Motorised Acmeda 240v Remote Curtain TrackWavefold HooksTriple Face Fix Brackets</v>
      </c>
      <c r="O3301">
        <v>0</v>
      </c>
      <c r="P3301">
        <v>40</v>
      </c>
      <c r="Q3301" s="80">
        <v>0</v>
      </c>
      <c r="R3301" s="80">
        <f t="shared" si="215"/>
        <v>40</v>
      </c>
      <c r="AD3301"/>
    </row>
    <row r="3302" spans="10:30" ht="16.2" customHeight="1">
      <c r="J3302" s="80" t="s">
        <v>725</v>
      </c>
      <c r="K3302" s="80" t="s">
        <v>5451</v>
      </c>
      <c r="L3302" t="s">
        <v>421</v>
      </c>
      <c r="M3302" t="s">
        <v>553</v>
      </c>
      <c r="N3302" t="str">
        <f t="shared" si="214"/>
        <v>SingleWavefold Motorised Acmeda 240v Remote Curtain TrackWavefold HooksTriple Face Fix Brackets</v>
      </c>
      <c r="O3302">
        <v>0</v>
      </c>
      <c r="P3302">
        <v>40</v>
      </c>
      <c r="Q3302" s="80">
        <v>0</v>
      </c>
      <c r="R3302" s="80">
        <f t="shared" si="215"/>
        <v>40</v>
      </c>
      <c r="AD3302"/>
    </row>
    <row r="3303" spans="10:30" ht="16.2" customHeight="1">
      <c r="J3303" s="80" t="s">
        <v>746</v>
      </c>
      <c r="K3303" s="80" t="s">
        <v>5363</v>
      </c>
      <c r="L3303" t="s">
        <v>421</v>
      </c>
      <c r="M3303" t="s">
        <v>162</v>
      </c>
      <c r="N3303" t="str">
        <f t="shared" si="214"/>
        <v>Double FrontWavefold Motorised Saber 12v Remote TrackWavefold HooksDouble Face Fix Brackets</v>
      </c>
      <c r="O3303">
        <v>0</v>
      </c>
      <c r="P3303">
        <v>40</v>
      </c>
      <c r="Q3303" s="80">
        <v>0</v>
      </c>
      <c r="R3303" s="80">
        <f t="shared" si="215"/>
        <v>40</v>
      </c>
      <c r="AD3303"/>
    </row>
    <row r="3304" spans="10:30" ht="16.2" customHeight="1">
      <c r="J3304" s="80" t="s">
        <v>747</v>
      </c>
      <c r="K3304" s="80" t="s">
        <v>5363</v>
      </c>
      <c r="L3304" t="s">
        <v>421</v>
      </c>
      <c r="M3304" t="s">
        <v>162</v>
      </c>
      <c r="N3304" t="str">
        <f t="shared" si="214"/>
        <v>Double RearWavefold Motorised Saber 12v Remote TrackWavefold HooksDouble Face Fix Brackets</v>
      </c>
      <c r="O3304">
        <v>0</v>
      </c>
      <c r="P3304">
        <v>40</v>
      </c>
      <c r="Q3304" s="80">
        <v>0</v>
      </c>
      <c r="R3304" s="80">
        <f t="shared" si="215"/>
        <v>40</v>
      </c>
      <c r="AD3304"/>
    </row>
    <row r="3305" spans="10:30" ht="16.2" customHeight="1">
      <c r="J3305" s="80" t="s">
        <v>725</v>
      </c>
      <c r="K3305" s="80" t="s">
        <v>5363</v>
      </c>
      <c r="L3305" t="s">
        <v>421</v>
      </c>
      <c r="M3305" t="s">
        <v>162</v>
      </c>
      <c r="N3305" t="str">
        <f t="shared" si="214"/>
        <v>SingleWavefold Motorised Saber 12v Remote TrackWavefold HooksDouble Face Fix Brackets</v>
      </c>
      <c r="O3305">
        <v>0</v>
      </c>
      <c r="P3305">
        <v>40</v>
      </c>
      <c r="Q3305" s="80">
        <v>0</v>
      </c>
      <c r="R3305" s="80">
        <f t="shared" si="215"/>
        <v>40</v>
      </c>
      <c r="AD3305"/>
    </row>
    <row r="3306" spans="10:30" ht="16.2" customHeight="1">
      <c r="J3306" s="80" t="s">
        <v>746</v>
      </c>
      <c r="K3306" s="80" t="s">
        <v>5363</v>
      </c>
      <c r="L3306" t="s">
        <v>421</v>
      </c>
      <c r="M3306" t="s">
        <v>159</v>
      </c>
      <c r="N3306" t="str">
        <f t="shared" si="214"/>
        <v>Double FrontWavefold Motorised Saber 12v Remote TrackWavefold HooksSingle Face Fix Brackets</v>
      </c>
      <c r="O3306">
        <v>0</v>
      </c>
      <c r="P3306">
        <v>40</v>
      </c>
      <c r="Q3306" s="80">
        <v>0</v>
      </c>
      <c r="R3306" s="80">
        <f t="shared" si="215"/>
        <v>40</v>
      </c>
      <c r="AD3306"/>
    </row>
    <row r="3307" spans="10:30" ht="16.2" customHeight="1">
      <c r="J3307" s="80" t="s">
        <v>747</v>
      </c>
      <c r="K3307" s="80" t="s">
        <v>5363</v>
      </c>
      <c r="L3307" t="s">
        <v>421</v>
      </c>
      <c r="M3307" t="s">
        <v>159</v>
      </c>
      <c r="N3307" t="str">
        <f t="shared" si="214"/>
        <v>Double RearWavefold Motorised Saber 12v Remote TrackWavefold HooksSingle Face Fix Brackets</v>
      </c>
      <c r="O3307">
        <v>0</v>
      </c>
      <c r="P3307">
        <v>40</v>
      </c>
      <c r="Q3307" s="80">
        <v>0</v>
      </c>
      <c r="R3307" s="80">
        <f t="shared" si="215"/>
        <v>40</v>
      </c>
      <c r="AD3307"/>
    </row>
    <row r="3308" spans="10:30" ht="16.2" customHeight="1">
      <c r="J3308" s="80" t="s">
        <v>725</v>
      </c>
      <c r="K3308" s="80" t="s">
        <v>5363</v>
      </c>
      <c r="L3308" t="s">
        <v>421</v>
      </c>
      <c r="M3308" t="s">
        <v>159</v>
      </c>
      <c r="N3308" t="str">
        <f t="shared" si="214"/>
        <v>SingleWavefold Motorised Saber 12v Remote TrackWavefold HooksSingle Face Fix Brackets</v>
      </c>
      <c r="O3308">
        <v>0</v>
      </c>
      <c r="P3308">
        <v>40</v>
      </c>
      <c r="Q3308" s="80">
        <v>0</v>
      </c>
      <c r="R3308" s="80">
        <f t="shared" si="215"/>
        <v>40</v>
      </c>
      <c r="AD3308"/>
    </row>
    <row r="3309" spans="10:30" ht="16.2" customHeight="1">
      <c r="J3309" s="80" t="s">
        <v>746</v>
      </c>
      <c r="K3309" s="80" t="s">
        <v>5363</v>
      </c>
      <c r="L3309" t="s">
        <v>421</v>
      </c>
      <c r="M3309" t="s">
        <v>161</v>
      </c>
      <c r="N3309" t="str">
        <f t="shared" si="214"/>
        <v>Double FrontWavefold Motorised Saber 12v Remote TrackWavefold HooksTop Fix Brackets</v>
      </c>
      <c r="O3309">
        <v>0</v>
      </c>
      <c r="P3309">
        <v>35</v>
      </c>
      <c r="Q3309" s="80">
        <v>0</v>
      </c>
      <c r="R3309" s="80">
        <f t="shared" si="215"/>
        <v>35</v>
      </c>
      <c r="AD3309"/>
    </row>
    <row r="3310" spans="10:30" ht="16.2" customHeight="1">
      <c r="J3310" s="80" t="s">
        <v>747</v>
      </c>
      <c r="K3310" s="80" t="s">
        <v>5363</v>
      </c>
      <c r="L3310" t="s">
        <v>421</v>
      </c>
      <c r="M3310" t="s">
        <v>161</v>
      </c>
      <c r="N3310" t="str">
        <f t="shared" si="214"/>
        <v>Double RearWavefold Motorised Saber 12v Remote TrackWavefold HooksTop Fix Brackets</v>
      </c>
      <c r="O3310">
        <v>0</v>
      </c>
      <c r="P3310">
        <v>35</v>
      </c>
      <c r="Q3310" s="80">
        <v>0</v>
      </c>
      <c r="R3310" s="80">
        <f t="shared" si="215"/>
        <v>35</v>
      </c>
      <c r="AD3310"/>
    </row>
    <row r="3311" spans="10:30" ht="16.2" customHeight="1">
      <c r="J3311" s="80" t="s">
        <v>725</v>
      </c>
      <c r="K3311" s="80" t="s">
        <v>5363</v>
      </c>
      <c r="L3311" t="s">
        <v>421</v>
      </c>
      <c r="M3311" t="s">
        <v>161</v>
      </c>
      <c r="N3311" t="str">
        <f t="shared" si="214"/>
        <v>SingleWavefold Motorised Saber 12v Remote TrackWavefold HooksTop Fix Brackets</v>
      </c>
      <c r="O3311">
        <v>0</v>
      </c>
      <c r="P3311">
        <v>35</v>
      </c>
      <c r="Q3311" s="80">
        <v>0</v>
      </c>
      <c r="R3311" s="80">
        <f t="shared" si="215"/>
        <v>35</v>
      </c>
      <c r="AD3311"/>
    </row>
    <row r="3312" spans="10:30" ht="16.2" customHeight="1">
      <c r="J3312" s="80" t="s">
        <v>746</v>
      </c>
      <c r="K3312" s="80" t="s">
        <v>5363</v>
      </c>
      <c r="L3312" t="s">
        <v>421</v>
      </c>
      <c r="M3312" t="s">
        <v>553</v>
      </c>
      <c r="N3312" t="str">
        <f t="shared" si="214"/>
        <v>Double FrontWavefold Motorised Saber 12v Remote TrackWavefold HooksTriple Face Fix Brackets</v>
      </c>
      <c r="O3312">
        <v>0</v>
      </c>
      <c r="P3312">
        <v>40</v>
      </c>
      <c r="Q3312" s="80">
        <v>0</v>
      </c>
      <c r="R3312" s="80">
        <f t="shared" si="215"/>
        <v>40</v>
      </c>
      <c r="AD3312"/>
    </row>
    <row r="3313" spans="10:30" ht="16.2" customHeight="1">
      <c r="J3313" s="80" t="s">
        <v>747</v>
      </c>
      <c r="K3313" s="80" t="s">
        <v>5363</v>
      </c>
      <c r="L3313" t="s">
        <v>421</v>
      </c>
      <c r="M3313" t="s">
        <v>553</v>
      </c>
      <c r="N3313" t="str">
        <f t="shared" si="214"/>
        <v>Double RearWavefold Motorised Saber 12v Remote TrackWavefold HooksTriple Face Fix Brackets</v>
      </c>
      <c r="O3313">
        <v>0</v>
      </c>
      <c r="P3313">
        <v>40</v>
      </c>
      <c r="Q3313" s="80">
        <v>0</v>
      </c>
      <c r="R3313" s="80">
        <f t="shared" si="215"/>
        <v>40</v>
      </c>
      <c r="AD3313"/>
    </row>
    <row r="3314" spans="10:30" ht="16.2" customHeight="1">
      <c r="J3314" s="80" t="s">
        <v>725</v>
      </c>
      <c r="K3314" s="80" t="s">
        <v>5363</v>
      </c>
      <c r="L3314" t="s">
        <v>421</v>
      </c>
      <c r="M3314" t="s">
        <v>553</v>
      </c>
      <c r="N3314" t="str">
        <f t="shared" si="214"/>
        <v>SingleWavefold Motorised Saber 12v Remote TrackWavefold HooksTriple Face Fix Brackets</v>
      </c>
      <c r="O3314">
        <v>0</v>
      </c>
      <c r="P3314">
        <v>40</v>
      </c>
      <c r="Q3314" s="80">
        <v>0</v>
      </c>
      <c r="R3314" s="80">
        <f t="shared" si="215"/>
        <v>40</v>
      </c>
      <c r="AD3314"/>
    </row>
    <row r="3315" spans="10:30" ht="16.2" customHeight="1">
      <c r="J3315" s="80" t="s">
        <v>746</v>
      </c>
      <c r="K3315" s="80" t="s">
        <v>5361</v>
      </c>
      <c r="L3315" t="s">
        <v>421</v>
      </c>
      <c r="M3315" t="s">
        <v>162</v>
      </c>
      <c r="N3315" t="str">
        <f t="shared" si="214"/>
        <v>Double FrontWavefold Motorised Saber 240v Remote TrackWavefold HooksDouble Face Fix Brackets</v>
      </c>
      <c r="O3315">
        <v>0</v>
      </c>
      <c r="P3315">
        <v>40</v>
      </c>
      <c r="Q3315" s="80">
        <v>0</v>
      </c>
      <c r="R3315" s="80">
        <f t="shared" si="215"/>
        <v>40</v>
      </c>
      <c r="AD3315"/>
    </row>
    <row r="3316" spans="10:30" ht="16.2" customHeight="1">
      <c r="J3316" s="80" t="s">
        <v>747</v>
      </c>
      <c r="K3316" s="80" t="s">
        <v>5361</v>
      </c>
      <c r="L3316" t="s">
        <v>421</v>
      </c>
      <c r="M3316" t="s">
        <v>162</v>
      </c>
      <c r="N3316" t="str">
        <f t="shared" si="214"/>
        <v>Double RearWavefold Motorised Saber 240v Remote TrackWavefold HooksDouble Face Fix Brackets</v>
      </c>
      <c r="O3316">
        <v>0</v>
      </c>
      <c r="P3316">
        <v>40</v>
      </c>
      <c r="Q3316" s="80">
        <v>0</v>
      </c>
      <c r="R3316" s="80">
        <f t="shared" si="215"/>
        <v>40</v>
      </c>
      <c r="AD3316"/>
    </row>
    <row r="3317" spans="10:30" ht="16.2" customHeight="1">
      <c r="J3317" s="80" t="s">
        <v>725</v>
      </c>
      <c r="K3317" s="80" t="s">
        <v>5361</v>
      </c>
      <c r="L3317" t="s">
        <v>421</v>
      </c>
      <c r="M3317" t="s">
        <v>162</v>
      </c>
      <c r="N3317" t="str">
        <f t="shared" si="214"/>
        <v>SingleWavefold Motorised Saber 240v Remote TrackWavefold HooksDouble Face Fix Brackets</v>
      </c>
      <c r="O3317">
        <v>0</v>
      </c>
      <c r="P3317">
        <v>40</v>
      </c>
      <c r="Q3317" s="80">
        <v>0</v>
      </c>
      <c r="R3317" s="80">
        <f t="shared" si="215"/>
        <v>40</v>
      </c>
      <c r="AD3317"/>
    </row>
    <row r="3318" spans="10:30" ht="16.2" customHeight="1">
      <c r="J3318" s="80" t="s">
        <v>746</v>
      </c>
      <c r="K3318" s="80" t="s">
        <v>5361</v>
      </c>
      <c r="L3318" t="s">
        <v>421</v>
      </c>
      <c r="M3318" t="s">
        <v>159</v>
      </c>
      <c r="N3318" t="str">
        <f t="shared" si="214"/>
        <v>Double FrontWavefold Motorised Saber 240v Remote TrackWavefold HooksSingle Face Fix Brackets</v>
      </c>
      <c r="O3318">
        <v>0</v>
      </c>
      <c r="P3318">
        <v>40</v>
      </c>
      <c r="Q3318" s="80">
        <v>0</v>
      </c>
      <c r="R3318" s="80">
        <f t="shared" si="215"/>
        <v>40</v>
      </c>
      <c r="AD3318"/>
    </row>
    <row r="3319" spans="10:30" ht="16.2" customHeight="1">
      <c r="J3319" s="80" t="s">
        <v>747</v>
      </c>
      <c r="K3319" s="80" t="s">
        <v>5361</v>
      </c>
      <c r="L3319" t="s">
        <v>421</v>
      </c>
      <c r="M3319" t="s">
        <v>159</v>
      </c>
      <c r="N3319" t="str">
        <f t="shared" si="214"/>
        <v>Double RearWavefold Motorised Saber 240v Remote TrackWavefold HooksSingle Face Fix Brackets</v>
      </c>
      <c r="O3319">
        <v>0</v>
      </c>
      <c r="P3319">
        <v>40</v>
      </c>
      <c r="Q3319" s="80">
        <v>0</v>
      </c>
      <c r="R3319" s="80">
        <f t="shared" si="215"/>
        <v>40</v>
      </c>
      <c r="AD3319"/>
    </row>
    <row r="3320" spans="10:30" ht="16.2" customHeight="1">
      <c r="J3320" s="80" t="s">
        <v>725</v>
      </c>
      <c r="K3320" s="80" t="s">
        <v>5361</v>
      </c>
      <c r="L3320" t="s">
        <v>421</v>
      </c>
      <c r="M3320" t="s">
        <v>159</v>
      </c>
      <c r="N3320" t="str">
        <f t="shared" si="214"/>
        <v>SingleWavefold Motorised Saber 240v Remote TrackWavefold HooksSingle Face Fix Brackets</v>
      </c>
      <c r="O3320">
        <v>0</v>
      </c>
      <c r="P3320">
        <v>40</v>
      </c>
      <c r="Q3320" s="80">
        <v>0</v>
      </c>
      <c r="R3320" s="80">
        <f t="shared" si="215"/>
        <v>40</v>
      </c>
      <c r="AD3320"/>
    </row>
    <row r="3321" spans="10:30" ht="16.2" customHeight="1">
      <c r="J3321" s="80" t="s">
        <v>746</v>
      </c>
      <c r="K3321" s="80" t="s">
        <v>5361</v>
      </c>
      <c r="L3321" t="s">
        <v>421</v>
      </c>
      <c r="M3321" t="s">
        <v>161</v>
      </c>
      <c r="N3321" t="str">
        <f t="shared" si="214"/>
        <v>Double FrontWavefold Motorised Saber 240v Remote TrackWavefold HooksTop Fix Brackets</v>
      </c>
      <c r="O3321">
        <v>0</v>
      </c>
      <c r="P3321">
        <v>35</v>
      </c>
      <c r="Q3321" s="80">
        <v>0</v>
      </c>
      <c r="R3321" s="80">
        <f t="shared" si="215"/>
        <v>35</v>
      </c>
      <c r="AD3321"/>
    </row>
    <row r="3322" spans="10:30" ht="16.2" customHeight="1">
      <c r="J3322" s="80" t="s">
        <v>747</v>
      </c>
      <c r="K3322" s="80" t="s">
        <v>5361</v>
      </c>
      <c r="L3322" t="s">
        <v>421</v>
      </c>
      <c r="M3322" t="s">
        <v>161</v>
      </c>
      <c r="N3322" t="str">
        <f t="shared" si="214"/>
        <v>Double RearWavefold Motorised Saber 240v Remote TrackWavefold HooksTop Fix Brackets</v>
      </c>
      <c r="O3322">
        <v>0</v>
      </c>
      <c r="P3322">
        <v>35</v>
      </c>
      <c r="Q3322" s="80">
        <v>0</v>
      </c>
      <c r="R3322" s="80">
        <f t="shared" si="215"/>
        <v>35</v>
      </c>
      <c r="AD3322"/>
    </row>
    <row r="3323" spans="10:30" ht="16.2" customHeight="1">
      <c r="J3323" s="80" t="s">
        <v>725</v>
      </c>
      <c r="K3323" s="80" t="s">
        <v>5361</v>
      </c>
      <c r="L3323" t="s">
        <v>421</v>
      </c>
      <c r="M3323" t="s">
        <v>161</v>
      </c>
      <c r="N3323" t="str">
        <f t="shared" si="214"/>
        <v>SingleWavefold Motorised Saber 240v Remote TrackWavefold HooksTop Fix Brackets</v>
      </c>
      <c r="O3323">
        <v>0</v>
      </c>
      <c r="P3323">
        <v>35</v>
      </c>
      <c r="Q3323" s="80">
        <v>0</v>
      </c>
      <c r="R3323" s="80">
        <f t="shared" si="215"/>
        <v>35</v>
      </c>
      <c r="AD3323"/>
    </row>
    <row r="3324" spans="10:30" ht="16.2" customHeight="1">
      <c r="J3324" s="80" t="s">
        <v>746</v>
      </c>
      <c r="K3324" s="80" t="s">
        <v>5361</v>
      </c>
      <c r="L3324" t="s">
        <v>421</v>
      </c>
      <c r="M3324" t="s">
        <v>553</v>
      </c>
      <c r="N3324" t="str">
        <f t="shared" si="214"/>
        <v>Double FrontWavefold Motorised Saber 240v Remote TrackWavefold HooksTriple Face Fix Brackets</v>
      </c>
      <c r="O3324">
        <v>0</v>
      </c>
      <c r="P3324">
        <v>40</v>
      </c>
      <c r="Q3324" s="80">
        <v>0</v>
      </c>
      <c r="R3324" s="80">
        <f t="shared" si="215"/>
        <v>40</v>
      </c>
      <c r="AD3324"/>
    </row>
    <row r="3325" spans="10:30" ht="16.2" customHeight="1">
      <c r="J3325" s="80" t="s">
        <v>747</v>
      </c>
      <c r="K3325" s="80" t="s">
        <v>5361</v>
      </c>
      <c r="L3325" t="s">
        <v>421</v>
      </c>
      <c r="M3325" t="s">
        <v>553</v>
      </c>
      <c r="N3325" t="str">
        <f t="shared" si="214"/>
        <v>Double RearWavefold Motorised Saber 240v Remote TrackWavefold HooksTriple Face Fix Brackets</v>
      </c>
      <c r="O3325">
        <v>0</v>
      </c>
      <c r="P3325">
        <v>40</v>
      </c>
      <c r="Q3325" s="80">
        <v>0</v>
      </c>
      <c r="R3325" s="80">
        <f t="shared" si="215"/>
        <v>40</v>
      </c>
      <c r="AD3325"/>
    </row>
    <row r="3326" spans="10:30" ht="16.2" customHeight="1">
      <c r="J3326" s="80" t="s">
        <v>725</v>
      </c>
      <c r="K3326" s="80" t="s">
        <v>5361</v>
      </c>
      <c r="L3326" t="s">
        <v>421</v>
      </c>
      <c r="M3326" t="s">
        <v>553</v>
      </c>
      <c r="N3326" t="str">
        <f t="shared" si="214"/>
        <v>SingleWavefold Motorised Saber 240v Remote TrackWavefold HooksTriple Face Fix Brackets</v>
      </c>
      <c r="O3326">
        <v>0</v>
      </c>
      <c r="P3326">
        <v>40</v>
      </c>
      <c r="Q3326" s="80">
        <v>0</v>
      </c>
      <c r="R3326" s="80">
        <f t="shared" si="215"/>
        <v>40</v>
      </c>
      <c r="AD3326"/>
    </row>
    <row r="3327" spans="10:30" ht="16.2" customHeight="1">
      <c r="J3327" s="80" t="s">
        <v>746</v>
      </c>
      <c r="K3327" s="80" t="s">
        <v>5362</v>
      </c>
      <c r="L3327" t="s">
        <v>421</v>
      </c>
      <c r="M3327" t="s">
        <v>162</v>
      </c>
      <c r="N3327" t="str">
        <f t="shared" si="214"/>
        <v>Double FrontWavefold Motorised Saber 240v Switch TrackWavefold HooksDouble Face Fix Brackets</v>
      </c>
      <c r="O3327">
        <v>0</v>
      </c>
      <c r="P3327">
        <v>40</v>
      </c>
      <c r="Q3327" s="80">
        <v>0</v>
      </c>
      <c r="R3327" s="80">
        <f t="shared" si="215"/>
        <v>40</v>
      </c>
      <c r="AD3327"/>
    </row>
    <row r="3328" spans="10:30" ht="16.2" customHeight="1">
      <c r="J3328" s="80" t="s">
        <v>747</v>
      </c>
      <c r="K3328" s="80" t="s">
        <v>5362</v>
      </c>
      <c r="L3328" t="s">
        <v>421</v>
      </c>
      <c r="M3328" t="s">
        <v>162</v>
      </c>
      <c r="N3328" t="str">
        <f t="shared" si="214"/>
        <v>Double RearWavefold Motorised Saber 240v Switch TrackWavefold HooksDouble Face Fix Brackets</v>
      </c>
      <c r="O3328">
        <v>0</v>
      </c>
      <c r="P3328">
        <v>40</v>
      </c>
      <c r="Q3328" s="80">
        <v>0</v>
      </c>
      <c r="R3328" s="80">
        <f t="shared" si="215"/>
        <v>40</v>
      </c>
      <c r="AD3328"/>
    </row>
    <row r="3329" spans="10:30" ht="16.2" customHeight="1">
      <c r="J3329" s="80" t="s">
        <v>725</v>
      </c>
      <c r="K3329" s="80" t="s">
        <v>5362</v>
      </c>
      <c r="L3329" t="s">
        <v>421</v>
      </c>
      <c r="M3329" t="s">
        <v>162</v>
      </c>
      <c r="N3329" t="str">
        <f t="shared" si="214"/>
        <v>SingleWavefold Motorised Saber 240v Switch TrackWavefold HooksDouble Face Fix Brackets</v>
      </c>
      <c r="O3329">
        <v>0</v>
      </c>
      <c r="P3329">
        <v>40</v>
      </c>
      <c r="Q3329" s="80">
        <v>0</v>
      </c>
      <c r="R3329" s="80">
        <f t="shared" si="215"/>
        <v>40</v>
      </c>
      <c r="AD3329"/>
    </row>
    <row r="3330" spans="10:30" ht="16.2" customHeight="1">
      <c r="J3330" s="80" t="s">
        <v>746</v>
      </c>
      <c r="K3330" s="80" t="s">
        <v>5362</v>
      </c>
      <c r="L3330" t="s">
        <v>421</v>
      </c>
      <c r="M3330" t="s">
        <v>159</v>
      </c>
      <c r="N3330" t="str">
        <f t="shared" si="216" ref="N3330:N3393">(CONCATENATE(J3330,K3330,L3330,M3330))</f>
        <v>Double FrontWavefold Motorised Saber 240v Switch TrackWavefold HooksSingle Face Fix Brackets</v>
      </c>
      <c r="O3330">
        <v>0</v>
      </c>
      <c r="P3330">
        <v>40</v>
      </c>
      <c r="Q3330" s="80">
        <v>0</v>
      </c>
      <c r="R3330" s="80">
        <f t="shared" si="215"/>
        <v>40</v>
      </c>
      <c r="AD3330"/>
    </row>
    <row r="3331" spans="10:30" ht="16.2" customHeight="1">
      <c r="J3331" s="80" t="s">
        <v>747</v>
      </c>
      <c r="K3331" s="80" t="s">
        <v>5362</v>
      </c>
      <c r="L3331" t="s">
        <v>421</v>
      </c>
      <c r="M3331" t="s">
        <v>159</v>
      </c>
      <c r="N3331" t="str">
        <f t="shared" si="216"/>
        <v>Double RearWavefold Motorised Saber 240v Switch TrackWavefold HooksSingle Face Fix Brackets</v>
      </c>
      <c r="O3331">
        <v>0</v>
      </c>
      <c r="P3331">
        <v>40</v>
      </c>
      <c r="Q3331" s="80">
        <v>0</v>
      </c>
      <c r="R3331" s="80">
        <f t="shared" si="215"/>
        <v>40</v>
      </c>
      <c r="AD3331"/>
    </row>
    <row r="3332" spans="10:30" ht="16.2" customHeight="1">
      <c r="J3332" s="80" t="s">
        <v>725</v>
      </c>
      <c r="K3332" s="80" t="s">
        <v>5362</v>
      </c>
      <c r="L3332" t="s">
        <v>421</v>
      </c>
      <c r="M3332" t="s">
        <v>159</v>
      </c>
      <c r="N3332" t="str">
        <f t="shared" si="216"/>
        <v>SingleWavefold Motorised Saber 240v Switch TrackWavefold HooksSingle Face Fix Brackets</v>
      </c>
      <c r="O3332">
        <v>0</v>
      </c>
      <c r="P3332">
        <v>40</v>
      </c>
      <c r="Q3332" s="80">
        <v>0</v>
      </c>
      <c r="R3332" s="80">
        <f t="shared" si="215"/>
        <v>40</v>
      </c>
      <c r="AD3332"/>
    </row>
    <row r="3333" spans="10:30" ht="16.2" customHeight="1">
      <c r="J3333" s="80" t="s">
        <v>746</v>
      </c>
      <c r="K3333" s="80" t="s">
        <v>5362</v>
      </c>
      <c r="L3333" t="s">
        <v>421</v>
      </c>
      <c r="M3333" t="s">
        <v>161</v>
      </c>
      <c r="N3333" t="str">
        <f t="shared" si="216"/>
        <v>Double FrontWavefold Motorised Saber 240v Switch TrackWavefold HooksTop Fix Brackets</v>
      </c>
      <c r="O3333">
        <v>0</v>
      </c>
      <c r="P3333">
        <v>35</v>
      </c>
      <c r="Q3333" s="80">
        <v>0</v>
      </c>
      <c r="R3333" s="80">
        <f t="shared" si="215"/>
        <v>35</v>
      </c>
      <c r="AD3333"/>
    </row>
    <row r="3334" spans="10:30" ht="16.2" customHeight="1">
      <c r="J3334" s="80" t="s">
        <v>747</v>
      </c>
      <c r="K3334" s="80" t="s">
        <v>5362</v>
      </c>
      <c r="L3334" t="s">
        <v>421</v>
      </c>
      <c r="M3334" t="s">
        <v>161</v>
      </c>
      <c r="N3334" t="str">
        <f t="shared" si="216"/>
        <v>Double RearWavefold Motorised Saber 240v Switch TrackWavefold HooksTop Fix Brackets</v>
      </c>
      <c r="O3334">
        <v>0</v>
      </c>
      <c r="P3334">
        <v>35</v>
      </c>
      <c r="Q3334" s="80">
        <v>0</v>
      </c>
      <c r="R3334" s="80">
        <f t="shared" si="215"/>
        <v>35</v>
      </c>
      <c r="AD3334"/>
    </row>
    <row r="3335" spans="10:30" ht="16.2" customHeight="1">
      <c r="J3335" s="80" t="s">
        <v>725</v>
      </c>
      <c r="K3335" s="80" t="s">
        <v>5362</v>
      </c>
      <c r="L3335" t="s">
        <v>421</v>
      </c>
      <c r="M3335" t="s">
        <v>161</v>
      </c>
      <c r="N3335" t="str">
        <f t="shared" si="216"/>
        <v>SingleWavefold Motorised Saber 240v Switch TrackWavefold HooksTop Fix Brackets</v>
      </c>
      <c r="O3335">
        <v>0</v>
      </c>
      <c r="P3335">
        <v>35</v>
      </c>
      <c r="Q3335" s="80">
        <v>0</v>
      </c>
      <c r="R3335" s="80">
        <f t="shared" si="215"/>
        <v>35</v>
      </c>
      <c r="AD3335"/>
    </row>
    <row r="3336" spans="10:30" ht="16.2" customHeight="1">
      <c r="J3336" s="80" t="s">
        <v>746</v>
      </c>
      <c r="K3336" s="80" t="s">
        <v>5362</v>
      </c>
      <c r="L3336" t="s">
        <v>421</v>
      </c>
      <c r="M3336" t="s">
        <v>553</v>
      </c>
      <c r="N3336" t="str">
        <f t="shared" si="216"/>
        <v>Double FrontWavefold Motorised Saber 240v Switch TrackWavefold HooksTriple Face Fix Brackets</v>
      </c>
      <c r="O3336">
        <v>0</v>
      </c>
      <c r="P3336">
        <v>40</v>
      </c>
      <c r="Q3336" s="80">
        <v>0</v>
      </c>
      <c r="R3336" s="80">
        <f t="shared" si="215"/>
        <v>40</v>
      </c>
      <c r="AD3336"/>
    </row>
    <row r="3337" spans="10:30" ht="16.2" customHeight="1">
      <c r="J3337" s="80" t="s">
        <v>747</v>
      </c>
      <c r="K3337" s="80" t="s">
        <v>5362</v>
      </c>
      <c r="L3337" t="s">
        <v>421</v>
      </c>
      <c r="M3337" t="s">
        <v>553</v>
      </c>
      <c r="N3337" t="str">
        <f t="shared" si="216"/>
        <v>Double RearWavefold Motorised Saber 240v Switch TrackWavefold HooksTriple Face Fix Brackets</v>
      </c>
      <c r="O3337">
        <v>0</v>
      </c>
      <c r="P3337">
        <v>40</v>
      </c>
      <c r="Q3337" s="80">
        <v>0</v>
      </c>
      <c r="R3337" s="80">
        <f t="shared" si="215"/>
        <v>40</v>
      </c>
      <c r="AD3337"/>
    </row>
    <row r="3338" spans="10:30" ht="16.2" customHeight="1">
      <c r="J3338" s="80" t="s">
        <v>725</v>
      </c>
      <c r="K3338" s="80" t="s">
        <v>5362</v>
      </c>
      <c r="L3338" t="s">
        <v>421</v>
      </c>
      <c r="M3338" t="s">
        <v>553</v>
      </c>
      <c r="N3338" t="str">
        <f t="shared" si="216"/>
        <v>SingleWavefold Motorised Saber 240v Switch TrackWavefold HooksTriple Face Fix Brackets</v>
      </c>
      <c r="O3338">
        <v>0</v>
      </c>
      <c r="P3338">
        <v>40</v>
      </c>
      <c r="Q3338" s="80">
        <v>0</v>
      </c>
      <c r="R3338" s="80">
        <f t="shared" si="215"/>
        <v>40</v>
      </c>
      <c r="AD3338"/>
    </row>
    <row r="3339" spans="10:30" ht="16.2" customHeight="1">
      <c r="J3339" s="80" t="s">
        <v>746</v>
      </c>
      <c r="K3339" s="80" t="s">
        <v>5453</v>
      </c>
      <c r="L3339" t="s">
        <v>421</v>
      </c>
      <c r="M3339" t="s">
        <v>162</v>
      </c>
      <c r="N3339" t="str">
        <f t="shared" si="216"/>
        <v>Double FrontWavefold Motorised Somfy 12v Remote Curtain TrackWavefold HooksDouble Face Fix Brackets</v>
      </c>
      <c r="O3339">
        <v>0</v>
      </c>
      <c r="P3339">
        <v>51</v>
      </c>
      <c r="Q3339" s="80">
        <v>0</v>
      </c>
      <c r="R3339" s="80">
        <f t="shared" si="215"/>
        <v>51</v>
      </c>
      <c r="AD3339"/>
    </row>
    <row r="3340" spans="10:30" ht="16.2" customHeight="1">
      <c r="J3340" s="80" t="s">
        <v>747</v>
      </c>
      <c r="K3340" s="80" t="s">
        <v>5453</v>
      </c>
      <c r="L3340" t="s">
        <v>421</v>
      </c>
      <c r="M3340" t="s">
        <v>162</v>
      </c>
      <c r="N3340" t="str">
        <f t="shared" si="216"/>
        <v>Double RearWavefold Motorised Somfy 12v Remote Curtain TrackWavefold HooksDouble Face Fix Brackets</v>
      </c>
      <c r="O3340">
        <v>0</v>
      </c>
      <c r="P3340">
        <v>51</v>
      </c>
      <c r="Q3340" s="80">
        <v>0</v>
      </c>
      <c r="R3340" s="80">
        <f t="shared" si="215"/>
        <v>51</v>
      </c>
      <c r="AD3340"/>
    </row>
    <row r="3341" spans="10:30" ht="16.2" customHeight="1">
      <c r="J3341" s="80" t="s">
        <v>725</v>
      </c>
      <c r="K3341" s="80" t="s">
        <v>5453</v>
      </c>
      <c r="L3341" t="s">
        <v>421</v>
      </c>
      <c r="M3341" t="s">
        <v>162</v>
      </c>
      <c r="N3341" t="str">
        <f t="shared" si="216"/>
        <v>SingleWavefold Motorised Somfy 12v Remote Curtain TrackWavefold HooksDouble Face Fix Brackets</v>
      </c>
      <c r="O3341">
        <v>0</v>
      </c>
      <c r="P3341">
        <v>51</v>
      </c>
      <c r="Q3341" s="80">
        <v>0</v>
      </c>
      <c r="R3341" s="80">
        <f t="shared" si="215"/>
        <v>51</v>
      </c>
      <c r="AD3341"/>
    </row>
    <row r="3342" spans="10:30" ht="16.2" customHeight="1">
      <c r="J3342" s="80" t="s">
        <v>746</v>
      </c>
      <c r="K3342" s="80" t="s">
        <v>5453</v>
      </c>
      <c r="L3342" t="s">
        <v>421</v>
      </c>
      <c r="M3342" t="s">
        <v>159</v>
      </c>
      <c r="N3342" t="str">
        <f t="shared" si="216"/>
        <v>Double FrontWavefold Motorised Somfy 12v Remote Curtain TrackWavefold HooksSingle Face Fix Brackets</v>
      </c>
      <c r="O3342">
        <v>0</v>
      </c>
      <c r="P3342">
        <v>47</v>
      </c>
      <c r="Q3342" s="80">
        <v>0</v>
      </c>
      <c r="R3342" s="80">
        <f t="shared" si="215"/>
        <v>47</v>
      </c>
      <c r="AD3342"/>
    </row>
    <row r="3343" spans="10:30" ht="16.2" customHeight="1">
      <c r="J3343" s="80" t="s">
        <v>747</v>
      </c>
      <c r="K3343" s="80" t="s">
        <v>5453</v>
      </c>
      <c r="L3343" t="s">
        <v>421</v>
      </c>
      <c r="M3343" t="s">
        <v>159</v>
      </c>
      <c r="N3343" t="str">
        <f t="shared" si="216"/>
        <v>Double RearWavefold Motorised Somfy 12v Remote Curtain TrackWavefold HooksSingle Face Fix Brackets</v>
      </c>
      <c r="O3343">
        <v>0</v>
      </c>
      <c r="P3343">
        <v>47</v>
      </c>
      <c r="Q3343" s="80">
        <v>0</v>
      </c>
      <c r="R3343" s="80">
        <f t="shared" si="215"/>
        <v>47</v>
      </c>
      <c r="AD3343"/>
    </row>
    <row r="3344" spans="10:30" ht="16.2" customHeight="1">
      <c r="J3344" s="80" t="s">
        <v>725</v>
      </c>
      <c r="K3344" s="80" t="s">
        <v>5453</v>
      </c>
      <c r="L3344" t="s">
        <v>421</v>
      </c>
      <c r="M3344" t="s">
        <v>159</v>
      </c>
      <c r="N3344" t="str">
        <f t="shared" si="216"/>
        <v>SingleWavefold Motorised Somfy 12v Remote Curtain TrackWavefold HooksSingle Face Fix Brackets</v>
      </c>
      <c r="O3344">
        <v>0</v>
      </c>
      <c r="P3344">
        <v>47</v>
      </c>
      <c r="Q3344" s="80">
        <v>0</v>
      </c>
      <c r="R3344" s="80">
        <f t="shared" si="215"/>
        <v>47</v>
      </c>
      <c r="AD3344"/>
    </row>
    <row r="3345" spans="10:30" ht="16.2" customHeight="1">
      <c r="J3345" s="80" t="s">
        <v>746</v>
      </c>
      <c r="K3345" s="80" t="s">
        <v>5453</v>
      </c>
      <c r="L3345" t="s">
        <v>421</v>
      </c>
      <c r="M3345" t="s">
        <v>161</v>
      </c>
      <c r="N3345" t="str">
        <f t="shared" si="216"/>
        <v>Double FrontWavefold Motorised Somfy 12v Remote Curtain TrackWavefold HooksTop Fix Brackets</v>
      </c>
      <c r="O3345">
        <v>0</v>
      </c>
      <c r="P3345">
        <v>42</v>
      </c>
      <c r="Q3345" s="80">
        <v>0</v>
      </c>
      <c r="R3345" s="80">
        <f t="shared" si="215"/>
        <v>42</v>
      </c>
      <c r="AD3345"/>
    </row>
    <row r="3346" spans="10:30" ht="16.2" customHeight="1">
      <c r="J3346" s="80" t="s">
        <v>747</v>
      </c>
      <c r="K3346" s="80" t="s">
        <v>5453</v>
      </c>
      <c r="L3346" t="s">
        <v>421</v>
      </c>
      <c r="M3346" t="s">
        <v>161</v>
      </c>
      <c r="N3346" t="str">
        <f t="shared" si="216"/>
        <v>Double RearWavefold Motorised Somfy 12v Remote Curtain TrackWavefold HooksTop Fix Brackets</v>
      </c>
      <c r="O3346">
        <v>0</v>
      </c>
      <c r="P3346">
        <v>42</v>
      </c>
      <c r="Q3346" s="80">
        <v>0</v>
      </c>
      <c r="R3346" s="80">
        <f t="shared" si="215"/>
        <v>42</v>
      </c>
      <c r="AD3346"/>
    </row>
    <row r="3347" spans="10:30" ht="16.2" customHeight="1">
      <c r="J3347" s="80" t="s">
        <v>725</v>
      </c>
      <c r="K3347" s="80" t="s">
        <v>5453</v>
      </c>
      <c r="L3347" t="s">
        <v>421</v>
      </c>
      <c r="M3347" t="s">
        <v>161</v>
      </c>
      <c r="N3347" t="str">
        <f t="shared" si="216"/>
        <v>SingleWavefold Motorised Somfy 12v Remote Curtain TrackWavefold HooksTop Fix Brackets</v>
      </c>
      <c r="O3347">
        <v>0</v>
      </c>
      <c r="P3347">
        <v>42</v>
      </c>
      <c r="Q3347" s="80">
        <v>0</v>
      </c>
      <c r="R3347" s="80">
        <f t="shared" si="215"/>
        <v>42</v>
      </c>
      <c r="AD3347"/>
    </row>
    <row r="3348" spans="10:30" ht="16.2" customHeight="1">
      <c r="J3348" s="80" t="s">
        <v>746</v>
      </c>
      <c r="K3348" s="80" t="s">
        <v>5453</v>
      </c>
      <c r="L3348" t="s">
        <v>421</v>
      </c>
      <c r="M3348" t="s">
        <v>553</v>
      </c>
      <c r="N3348" t="str">
        <f t="shared" si="216"/>
        <v>Double FrontWavefold Motorised Somfy 12v Remote Curtain TrackWavefold HooksTriple Face Fix Brackets</v>
      </c>
      <c r="O3348">
        <v>0</v>
      </c>
      <c r="P3348">
        <v>51</v>
      </c>
      <c r="Q3348" s="80">
        <v>0</v>
      </c>
      <c r="R3348" s="80">
        <f t="shared" si="215"/>
        <v>51</v>
      </c>
      <c r="AD3348"/>
    </row>
    <row r="3349" spans="10:30" ht="16.2" customHeight="1">
      <c r="J3349" s="80" t="s">
        <v>747</v>
      </c>
      <c r="K3349" s="80" t="s">
        <v>5453</v>
      </c>
      <c r="L3349" t="s">
        <v>421</v>
      </c>
      <c r="M3349" t="s">
        <v>553</v>
      </c>
      <c r="N3349" t="str">
        <f t="shared" si="216"/>
        <v>Double RearWavefold Motorised Somfy 12v Remote Curtain TrackWavefold HooksTriple Face Fix Brackets</v>
      </c>
      <c r="O3349">
        <v>0</v>
      </c>
      <c r="P3349">
        <v>51</v>
      </c>
      <c r="Q3349" s="80">
        <v>0</v>
      </c>
      <c r="R3349" s="80">
        <f t="shared" si="215"/>
        <v>51</v>
      </c>
      <c r="AD3349"/>
    </row>
    <row r="3350" spans="10:30" ht="16.2" customHeight="1">
      <c r="J3350" s="80" t="s">
        <v>725</v>
      </c>
      <c r="K3350" s="80" t="s">
        <v>5453</v>
      </c>
      <c r="L3350" t="s">
        <v>421</v>
      </c>
      <c r="M3350" t="s">
        <v>553</v>
      </c>
      <c r="N3350" t="str">
        <f t="shared" si="216"/>
        <v>SingleWavefold Motorised Somfy 12v Remote Curtain TrackWavefold HooksTriple Face Fix Brackets</v>
      </c>
      <c r="O3350">
        <v>0</v>
      </c>
      <c r="P3350">
        <v>51</v>
      </c>
      <c r="Q3350" s="80">
        <v>0</v>
      </c>
      <c r="R3350" s="80">
        <f t="shared" si="215"/>
        <v>51</v>
      </c>
      <c r="AD3350"/>
    </row>
    <row r="3351" spans="10:30" ht="16.2" customHeight="1">
      <c r="J3351" s="80" t="s">
        <v>746</v>
      </c>
      <c r="K3351" s="80" t="s">
        <v>5452</v>
      </c>
      <c r="L3351" t="s">
        <v>421</v>
      </c>
      <c r="M3351" t="s">
        <v>162</v>
      </c>
      <c r="N3351" t="str">
        <f t="shared" si="216"/>
        <v>Double FrontWavefold Motorised Somfy 240v Remote Curtain TrackWavefold HooksDouble Face Fix Brackets</v>
      </c>
      <c r="O3351">
        <v>0</v>
      </c>
      <c r="P3351">
        <v>51</v>
      </c>
      <c r="Q3351" s="80">
        <v>0</v>
      </c>
      <c r="R3351" s="80">
        <f t="shared" si="215"/>
        <v>51</v>
      </c>
      <c r="AD3351"/>
    </row>
    <row r="3352" spans="10:30" ht="16.2" customHeight="1">
      <c r="J3352" s="80" t="s">
        <v>747</v>
      </c>
      <c r="K3352" s="80" t="s">
        <v>5452</v>
      </c>
      <c r="L3352" t="s">
        <v>421</v>
      </c>
      <c r="M3352" t="s">
        <v>162</v>
      </c>
      <c r="N3352" t="str">
        <f t="shared" si="216"/>
        <v>Double RearWavefold Motorised Somfy 240v Remote Curtain TrackWavefold HooksDouble Face Fix Brackets</v>
      </c>
      <c r="O3352">
        <v>0</v>
      </c>
      <c r="P3352">
        <v>51</v>
      </c>
      <c r="Q3352" s="80">
        <v>0</v>
      </c>
      <c r="R3352" s="80">
        <f t="shared" si="215"/>
        <v>51</v>
      </c>
      <c r="AD3352"/>
    </row>
    <row r="3353" spans="10:30" ht="16.2" customHeight="1">
      <c r="J3353" s="80" t="s">
        <v>725</v>
      </c>
      <c r="K3353" s="80" t="s">
        <v>5452</v>
      </c>
      <c r="L3353" t="s">
        <v>421</v>
      </c>
      <c r="M3353" t="s">
        <v>162</v>
      </c>
      <c r="N3353" t="str">
        <f t="shared" si="216"/>
        <v>SingleWavefold Motorised Somfy 240v Remote Curtain TrackWavefold HooksDouble Face Fix Brackets</v>
      </c>
      <c r="O3353">
        <v>0</v>
      </c>
      <c r="P3353">
        <v>51</v>
      </c>
      <c r="Q3353" s="80">
        <v>0</v>
      </c>
      <c r="R3353" s="80">
        <f t="shared" si="215"/>
        <v>51</v>
      </c>
      <c r="AD3353"/>
    </row>
    <row r="3354" spans="10:30" ht="16.2" customHeight="1">
      <c r="J3354" s="80" t="s">
        <v>746</v>
      </c>
      <c r="K3354" s="80" t="s">
        <v>5452</v>
      </c>
      <c r="L3354" t="s">
        <v>421</v>
      </c>
      <c r="M3354" t="s">
        <v>159</v>
      </c>
      <c r="N3354" t="str">
        <f t="shared" si="216"/>
        <v>Double FrontWavefold Motorised Somfy 240v Remote Curtain TrackWavefold HooksSingle Face Fix Brackets</v>
      </c>
      <c r="O3354">
        <v>0</v>
      </c>
      <c r="P3354">
        <v>47</v>
      </c>
      <c r="Q3354" s="80">
        <v>0</v>
      </c>
      <c r="R3354" s="80">
        <f t="shared" si="215"/>
        <v>47</v>
      </c>
      <c r="AD3354"/>
    </row>
    <row r="3355" spans="10:30" ht="16.2" customHeight="1">
      <c r="J3355" s="80" t="s">
        <v>747</v>
      </c>
      <c r="K3355" s="80" t="s">
        <v>5452</v>
      </c>
      <c r="L3355" t="s">
        <v>421</v>
      </c>
      <c r="M3355" t="s">
        <v>159</v>
      </c>
      <c r="N3355" t="str">
        <f t="shared" si="216"/>
        <v>Double RearWavefold Motorised Somfy 240v Remote Curtain TrackWavefold HooksSingle Face Fix Brackets</v>
      </c>
      <c r="O3355">
        <v>0</v>
      </c>
      <c r="P3355">
        <v>47</v>
      </c>
      <c r="Q3355" s="80">
        <v>0</v>
      </c>
      <c r="R3355" s="80">
        <f t="shared" si="215"/>
        <v>47</v>
      </c>
      <c r="AD3355"/>
    </row>
    <row r="3356" spans="10:30" ht="16.2" customHeight="1">
      <c r="J3356" s="80" t="s">
        <v>725</v>
      </c>
      <c r="K3356" s="80" t="s">
        <v>5452</v>
      </c>
      <c r="L3356" t="s">
        <v>421</v>
      </c>
      <c r="M3356" t="s">
        <v>159</v>
      </c>
      <c r="N3356" t="str">
        <f t="shared" si="216"/>
        <v>SingleWavefold Motorised Somfy 240v Remote Curtain TrackWavefold HooksSingle Face Fix Brackets</v>
      </c>
      <c r="O3356">
        <v>0</v>
      </c>
      <c r="P3356">
        <v>47</v>
      </c>
      <c r="Q3356" s="80">
        <v>0</v>
      </c>
      <c r="R3356" s="80">
        <f t="shared" si="215"/>
        <v>47</v>
      </c>
      <c r="AD3356"/>
    </row>
    <row r="3357" spans="10:30" ht="16.2" customHeight="1">
      <c r="J3357" s="80" t="s">
        <v>746</v>
      </c>
      <c r="K3357" s="80" t="s">
        <v>5452</v>
      </c>
      <c r="L3357" t="s">
        <v>421</v>
      </c>
      <c r="M3357" t="s">
        <v>161</v>
      </c>
      <c r="N3357" t="str">
        <f t="shared" si="216"/>
        <v>Double FrontWavefold Motorised Somfy 240v Remote Curtain TrackWavefold HooksTop Fix Brackets</v>
      </c>
      <c r="O3357">
        <v>0</v>
      </c>
      <c r="P3357">
        <v>42</v>
      </c>
      <c r="Q3357" s="80">
        <v>0</v>
      </c>
      <c r="R3357" s="80">
        <f t="shared" si="215"/>
        <v>42</v>
      </c>
      <c r="AD3357"/>
    </row>
    <row r="3358" spans="10:30" ht="16.2" customHeight="1">
      <c r="J3358" s="80" t="s">
        <v>747</v>
      </c>
      <c r="K3358" s="80" t="s">
        <v>5452</v>
      </c>
      <c r="L3358" t="s">
        <v>421</v>
      </c>
      <c r="M3358" t="s">
        <v>161</v>
      </c>
      <c r="N3358" t="str">
        <f t="shared" si="216"/>
        <v>Double RearWavefold Motorised Somfy 240v Remote Curtain TrackWavefold HooksTop Fix Brackets</v>
      </c>
      <c r="O3358">
        <v>0</v>
      </c>
      <c r="P3358">
        <v>42</v>
      </c>
      <c r="Q3358" s="80">
        <v>0</v>
      </c>
      <c r="R3358" s="80">
        <f t="shared" si="215"/>
        <v>42</v>
      </c>
      <c r="AD3358"/>
    </row>
    <row r="3359" spans="10:30" ht="16.2" customHeight="1">
      <c r="J3359" s="80" t="s">
        <v>725</v>
      </c>
      <c r="K3359" s="80" t="s">
        <v>5452</v>
      </c>
      <c r="L3359" t="s">
        <v>421</v>
      </c>
      <c r="M3359" t="s">
        <v>161</v>
      </c>
      <c r="N3359" t="str">
        <f t="shared" si="216"/>
        <v>SingleWavefold Motorised Somfy 240v Remote Curtain TrackWavefold HooksTop Fix Brackets</v>
      </c>
      <c r="O3359">
        <v>0</v>
      </c>
      <c r="P3359">
        <v>42</v>
      </c>
      <c r="Q3359" s="80">
        <v>0</v>
      </c>
      <c r="R3359" s="80">
        <f t="shared" si="217" ref="R3359:R3422">SUM(P3359)-O3359</f>
        <v>42</v>
      </c>
      <c r="AD3359"/>
    </row>
    <row r="3360" spans="10:30" ht="16.2" customHeight="1">
      <c r="J3360" s="80" t="s">
        <v>746</v>
      </c>
      <c r="K3360" s="80" t="s">
        <v>5452</v>
      </c>
      <c r="L3360" t="s">
        <v>421</v>
      </c>
      <c r="M3360" t="s">
        <v>553</v>
      </c>
      <c r="N3360" t="str">
        <f t="shared" si="216"/>
        <v>Double FrontWavefold Motorised Somfy 240v Remote Curtain TrackWavefold HooksTriple Face Fix Brackets</v>
      </c>
      <c r="O3360">
        <v>0</v>
      </c>
      <c r="P3360">
        <v>51</v>
      </c>
      <c r="Q3360" s="80">
        <v>0</v>
      </c>
      <c r="R3360" s="80">
        <f t="shared" si="217"/>
        <v>51</v>
      </c>
      <c r="AD3360"/>
    </row>
    <row r="3361" spans="10:30" ht="16.2" customHeight="1">
      <c r="J3361" s="80" t="s">
        <v>747</v>
      </c>
      <c r="K3361" s="80" t="s">
        <v>5452</v>
      </c>
      <c r="L3361" t="s">
        <v>421</v>
      </c>
      <c r="M3361" t="s">
        <v>553</v>
      </c>
      <c r="N3361" t="str">
        <f t="shared" si="216"/>
        <v>Double RearWavefold Motorised Somfy 240v Remote Curtain TrackWavefold HooksTriple Face Fix Brackets</v>
      </c>
      <c r="O3361">
        <v>0</v>
      </c>
      <c r="P3361">
        <v>51</v>
      </c>
      <c r="Q3361" s="80">
        <v>0</v>
      </c>
      <c r="R3361" s="80">
        <f t="shared" si="217"/>
        <v>51</v>
      </c>
      <c r="AD3361"/>
    </row>
    <row r="3362" spans="10:30" ht="16.2" customHeight="1">
      <c r="J3362" s="80" t="s">
        <v>725</v>
      </c>
      <c r="K3362" s="80" t="s">
        <v>5452</v>
      </c>
      <c r="L3362" t="s">
        <v>421</v>
      </c>
      <c r="M3362" t="s">
        <v>553</v>
      </c>
      <c r="N3362" t="str">
        <f t="shared" si="216"/>
        <v>SingleWavefold Motorised Somfy 240v Remote Curtain TrackWavefold HooksTriple Face Fix Brackets</v>
      </c>
      <c r="O3362">
        <v>0</v>
      </c>
      <c r="P3362">
        <v>51</v>
      </c>
      <c r="Q3362" s="80">
        <v>0</v>
      </c>
      <c r="R3362" s="80">
        <f t="shared" si="217"/>
        <v>51</v>
      </c>
      <c r="AD3362"/>
    </row>
    <row r="3363" spans="10:30" ht="16.2" customHeight="1">
      <c r="J3363" s="80" t="s">
        <v>746</v>
      </c>
      <c r="K3363" s="80" t="s">
        <v>5454</v>
      </c>
      <c r="L3363" t="s">
        <v>421</v>
      </c>
      <c r="M3363" t="s">
        <v>162</v>
      </c>
      <c r="N3363" t="str">
        <f t="shared" si="216"/>
        <v>Double FrontWavefold Motorised Somfy 240v Switch Curtain TrackWavefold HooksDouble Face Fix Brackets</v>
      </c>
      <c r="O3363">
        <v>0</v>
      </c>
      <c r="P3363">
        <v>51</v>
      </c>
      <c r="Q3363" s="80">
        <v>0</v>
      </c>
      <c r="R3363" s="80">
        <f t="shared" si="217"/>
        <v>51</v>
      </c>
      <c r="AD3363"/>
    </row>
    <row r="3364" spans="10:30" ht="16.2" customHeight="1">
      <c r="J3364" s="80" t="s">
        <v>747</v>
      </c>
      <c r="K3364" s="80" t="s">
        <v>5454</v>
      </c>
      <c r="L3364" t="s">
        <v>421</v>
      </c>
      <c r="M3364" t="s">
        <v>162</v>
      </c>
      <c r="N3364" t="str">
        <f t="shared" si="216"/>
        <v>Double RearWavefold Motorised Somfy 240v Switch Curtain TrackWavefold HooksDouble Face Fix Brackets</v>
      </c>
      <c r="O3364">
        <v>0</v>
      </c>
      <c r="P3364">
        <v>51</v>
      </c>
      <c r="Q3364" s="80">
        <v>0</v>
      </c>
      <c r="R3364" s="80">
        <f t="shared" si="217"/>
        <v>51</v>
      </c>
      <c r="AD3364"/>
    </row>
    <row r="3365" spans="10:30" ht="16.2" customHeight="1">
      <c r="J3365" s="80" t="s">
        <v>725</v>
      </c>
      <c r="K3365" s="80" t="s">
        <v>5454</v>
      </c>
      <c r="L3365" t="s">
        <v>421</v>
      </c>
      <c r="M3365" t="s">
        <v>162</v>
      </c>
      <c r="N3365" t="str">
        <f t="shared" si="216"/>
        <v>SingleWavefold Motorised Somfy 240v Switch Curtain TrackWavefold HooksDouble Face Fix Brackets</v>
      </c>
      <c r="O3365">
        <v>0</v>
      </c>
      <c r="P3365">
        <v>51</v>
      </c>
      <c r="Q3365" s="80">
        <v>0</v>
      </c>
      <c r="R3365" s="80">
        <f t="shared" si="217"/>
        <v>51</v>
      </c>
      <c r="AD3365"/>
    </row>
    <row r="3366" spans="10:30" ht="16.2" customHeight="1">
      <c r="J3366" s="80" t="s">
        <v>746</v>
      </c>
      <c r="K3366" s="80" t="s">
        <v>5454</v>
      </c>
      <c r="L3366" t="s">
        <v>421</v>
      </c>
      <c r="M3366" t="s">
        <v>159</v>
      </c>
      <c r="N3366" t="str">
        <f t="shared" si="216"/>
        <v>Double FrontWavefold Motorised Somfy 240v Switch Curtain TrackWavefold HooksSingle Face Fix Brackets</v>
      </c>
      <c r="O3366">
        <v>0</v>
      </c>
      <c r="P3366">
        <v>47</v>
      </c>
      <c r="Q3366" s="80">
        <v>0</v>
      </c>
      <c r="R3366" s="80">
        <f t="shared" si="217"/>
        <v>47</v>
      </c>
      <c r="AD3366"/>
    </row>
    <row r="3367" spans="10:30" ht="16.2" customHeight="1">
      <c r="J3367" s="80" t="s">
        <v>747</v>
      </c>
      <c r="K3367" s="80" t="s">
        <v>5454</v>
      </c>
      <c r="L3367" t="s">
        <v>421</v>
      </c>
      <c r="M3367" t="s">
        <v>159</v>
      </c>
      <c r="N3367" t="str">
        <f t="shared" si="216"/>
        <v>Double RearWavefold Motorised Somfy 240v Switch Curtain TrackWavefold HooksSingle Face Fix Brackets</v>
      </c>
      <c r="O3367">
        <v>0</v>
      </c>
      <c r="P3367">
        <v>47</v>
      </c>
      <c r="Q3367" s="80">
        <v>0</v>
      </c>
      <c r="R3367" s="80">
        <f t="shared" si="217"/>
        <v>47</v>
      </c>
      <c r="AD3367"/>
    </row>
    <row r="3368" spans="10:30" ht="16.2" customHeight="1">
      <c r="J3368" s="80" t="s">
        <v>725</v>
      </c>
      <c r="K3368" s="80" t="s">
        <v>5454</v>
      </c>
      <c r="L3368" t="s">
        <v>421</v>
      </c>
      <c r="M3368" t="s">
        <v>159</v>
      </c>
      <c r="N3368" t="str">
        <f t="shared" si="216"/>
        <v>SingleWavefold Motorised Somfy 240v Switch Curtain TrackWavefold HooksSingle Face Fix Brackets</v>
      </c>
      <c r="O3368">
        <v>0</v>
      </c>
      <c r="P3368">
        <v>47</v>
      </c>
      <c r="Q3368" s="80">
        <v>0</v>
      </c>
      <c r="R3368" s="80">
        <f t="shared" si="217"/>
        <v>47</v>
      </c>
      <c r="AD3368"/>
    </row>
    <row r="3369" spans="10:30" ht="16.2" customHeight="1">
      <c r="J3369" s="80" t="s">
        <v>746</v>
      </c>
      <c r="K3369" s="80" t="s">
        <v>5454</v>
      </c>
      <c r="L3369" t="s">
        <v>421</v>
      </c>
      <c r="M3369" t="s">
        <v>161</v>
      </c>
      <c r="N3369" t="str">
        <f t="shared" si="216"/>
        <v>Double FrontWavefold Motorised Somfy 240v Switch Curtain TrackWavefold HooksTop Fix Brackets</v>
      </c>
      <c r="O3369">
        <v>0</v>
      </c>
      <c r="P3369">
        <v>42</v>
      </c>
      <c r="Q3369" s="80">
        <v>0</v>
      </c>
      <c r="R3369" s="80">
        <f t="shared" si="217"/>
        <v>42</v>
      </c>
      <c r="AD3369"/>
    </row>
    <row r="3370" spans="10:30" ht="16.2" customHeight="1">
      <c r="J3370" s="80" t="s">
        <v>747</v>
      </c>
      <c r="K3370" s="80" t="s">
        <v>5454</v>
      </c>
      <c r="L3370" t="s">
        <v>421</v>
      </c>
      <c r="M3370" t="s">
        <v>161</v>
      </c>
      <c r="N3370" t="str">
        <f t="shared" si="216"/>
        <v>Double RearWavefold Motorised Somfy 240v Switch Curtain TrackWavefold HooksTop Fix Brackets</v>
      </c>
      <c r="O3370">
        <v>0</v>
      </c>
      <c r="P3370">
        <v>42</v>
      </c>
      <c r="Q3370" s="80">
        <v>0</v>
      </c>
      <c r="R3370" s="80">
        <f t="shared" si="217"/>
        <v>42</v>
      </c>
      <c r="AD3370"/>
    </row>
    <row r="3371" spans="10:30" ht="16.2" customHeight="1">
      <c r="J3371" s="80" t="s">
        <v>725</v>
      </c>
      <c r="K3371" s="80" t="s">
        <v>5454</v>
      </c>
      <c r="L3371" t="s">
        <v>421</v>
      </c>
      <c r="M3371" t="s">
        <v>161</v>
      </c>
      <c r="N3371" t="str">
        <f t="shared" si="216"/>
        <v>SingleWavefold Motorised Somfy 240v Switch Curtain TrackWavefold HooksTop Fix Brackets</v>
      </c>
      <c r="O3371">
        <v>0</v>
      </c>
      <c r="P3371">
        <v>42</v>
      </c>
      <c r="Q3371" s="80">
        <v>0</v>
      </c>
      <c r="R3371" s="80">
        <f t="shared" si="217"/>
        <v>42</v>
      </c>
      <c r="AD3371"/>
    </row>
    <row r="3372" spans="10:30" ht="16.2" customHeight="1">
      <c r="J3372" s="80" t="s">
        <v>746</v>
      </c>
      <c r="K3372" s="80" t="s">
        <v>5454</v>
      </c>
      <c r="L3372" t="s">
        <v>421</v>
      </c>
      <c r="M3372" t="s">
        <v>553</v>
      </c>
      <c r="N3372" t="str">
        <f t="shared" si="216"/>
        <v>Double FrontWavefold Motorised Somfy 240v Switch Curtain TrackWavefold HooksTriple Face Fix Brackets</v>
      </c>
      <c r="O3372">
        <v>0</v>
      </c>
      <c r="P3372">
        <v>51</v>
      </c>
      <c r="Q3372" s="80">
        <v>0</v>
      </c>
      <c r="R3372" s="80">
        <f t="shared" si="217"/>
        <v>51</v>
      </c>
      <c r="AD3372"/>
    </row>
    <row r="3373" spans="10:30" ht="16.2" customHeight="1">
      <c r="J3373" s="80" t="s">
        <v>747</v>
      </c>
      <c r="K3373" s="80" t="s">
        <v>5454</v>
      </c>
      <c r="L3373" t="s">
        <v>421</v>
      </c>
      <c r="M3373" t="s">
        <v>553</v>
      </c>
      <c r="N3373" t="str">
        <f t="shared" si="216"/>
        <v>Double RearWavefold Motorised Somfy 240v Switch Curtain TrackWavefold HooksTriple Face Fix Brackets</v>
      </c>
      <c r="O3373">
        <v>0</v>
      </c>
      <c r="P3373">
        <v>51</v>
      </c>
      <c r="Q3373" s="80">
        <v>0</v>
      </c>
      <c r="R3373" s="80">
        <f t="shared" si="217"/>
        <v>51</v>
      </c>
      <c r="AD3373"/>
    </row>
    <row r="3374" spans="10:30" ht="16.2" customHeight="1">
      <c r="J3374" s="80" t="s">
        <v>725</v>
      </c>
      <c r="K3374" s="80" t="s">
        <v>5454</v>
      </c>
      <c r="L3374" t="s">
        <v>421</v>
      </c>
      <c r="M3374" t="s">
        <v>553</v>
      </c>
      <c r="N3374" t="str">
        <f t="shared" si="216"/>
        <v>SingleWavefold Motorised Somfy 240v Switch Curtain TrackWavefold HooksTriple Face Fix Brackets</v>
      </c>
      <c r="O3374">
        <v>0</v>
      </c>
      <c r="P3374">
        <v>51</v>
      </c>
      <c r="Q3374" s="80">
        <v>0</v>
      </c>
      <c r="R3374" s="80">
        <f t="shared" si="217"/>
        <v>51</v>
      </c>
      <c r="AD3374"/>
    </row>
    <row r="3375" spans="10:30" ht="16.2" customHeight="1">
      <c r="J3375" s="80" t="s">
        <v>747</v>
      </c>
      <c r="L3375" t="s">
        <v>183</v>
      </c>
      <c r="M3375" s="80" t="s">
        <v>724</v>
      </c>
      <c r="N3375" t="str">
        <f t="shared" si="216"/>
        <v>Double RearBelow Normal 2075Boldtrak Premo Double Bracket Suit 16mm on Back</v>
      </c>
      <c r="O3375">
        <v>70</v>
      </c>
      <c r="P3375">
        <v>70</v>
      </c>
      <c r="Q3375" s="80">
        <v>0</v>
      </c>
      <c r="R3375" s="80">
        <f t="shared" si="217"/>
        <v>0</v>
      </c>
      <c r="AD3375"/>
    </row>
    <row r="3376" spans="10:30" ht="16.2" customHeight="1">
      <c r="J3376" s="80" t="s">
        <v>747</v>
      </c>
      <c r="L3376" t="s">
        <v>182</v>
      </c>
      <c r="M3376" s="80" t="s">
        <v>724</v>
      </c>
      <c r="N3376" t="str">
        <f t="shared" si="216"/>
        <v>Double RearBetween Level and Normal 2073Boldtrak Premo Double Bracket Suit 16mm on Back</v>
      </c>
      <c r="O3376">
        <v>48</v>
      </c>
      <c r="P3376">
        <v>70</v>
      </c>
      <c r="Q3376" s="80">
        <v>0</v>
      </c>
      <c r="R3376" s="80">
        <f t="shared" si="217"/>
        <v>22</v>
      </c>
      <c r="AD3376"/>
    </row>
    <row r="3377" spans="10:30" ht="16.2" customHeight="1">
      <c r="J3377" s="80" t="s">
        <v>747</v>
      </c>
      <c r="L3377" t="s">
        <v>184</v>
      </c>
      <c r="M3377" s="80" t="s">
        <v>724</v>
      </c>
      <c r="N3377" t="str">
        <f t="shared" si="216"/>
        <v>Double RearDecorator 2071Boldtrak Premo Double Bracket Suit 16mm on Back</v>
      </c>
      <c r="O3377">
        <v>20</v>
      </c>
      <c r="P3377">
        <v>70</v>
      </c>
      <c r="Q3377" s="80">
        <v>0</v>
      </c>
      <c r="R3377" s="80">
        <f t="shared" si="217"/>
        <v>50</v>
      </c>
      <c r="AD3377"/>
    </row>
    <row r="3378" spans="10:30" ht="16.2" customHeight="1">
      <c r="J3378" s="80" t="s">
        <v>747</v>
      </c>
      <c r="L3378" t="s">
        <v>229</v>
      </c>
      <c r="M3378" s="80" t="s">
        <v>724</v>
      </c>
      <c r="N3378" t="str">
        <f t="shared" si="216"/>
        <v>Double RearGather Hook LevelBoldtrak Premo Double Bracket Suit 16mm on Back</v>
      </c>
      <c r="O3378">
        <v>20</v>
      </c>
      <c r="P3378">
        <v>70</v>
      </c>
      <c r="Q3378" s="80">
        <v>0</v>
      </c>
      <c r="R3378" s="80">
        <f t="shared" si="217"/>
        <v>50</v>
      </c>
      <c r="AD3378"/>
    </row>
    <row r="3379" spans="10:30" ht="16.2" customHeight="1">
      <c r="J3379" s="80" t="s">
        <v>747</v>
      </c>
      <c r="L3379" t="s">
        <v>228</v>
      </c>
      <c r="M3379" s="80" t="s">
        <v>724</v>
      </c>
      <c r="N3379" t="str">
        <f t="shared" si="216"/>
        <v>Double RearGather Hook NormalBoldtrak Premo Double Bracket Suit 16mm on Back</v>
      </c>
      <c r="O3379">
        <v>43</v>
      </c>
      <c r="P3379">
        <v>70</v>
      </c>
      <c r="Q3379" s="80">
        <v>0</v>
      </c>
      <c r="R3379" s="80">
        <f t="shared" si="217"/>
        <v>27</v>
      </c>
      <c r="AD3379"/>
    </row>
    <row r="3380" spans="10:30" ht="16.2" customHeight="1">
      <c r="J3380" s="80" t="s">
        <v>747</v>
      </c>
      <c r="L3380" t="s">
        <v>282</v>
      </c>
      <c r="M3380" s="80" t="s">
        <v>724</v>
      </c>
      <c r="N3380" t="str">
        <f t="shared" si="216"/>
        <v>Double RearLevel 2072Boldtrak Premo Double Bracket Suit 16mm on Back</v>
      </c>
      <c r="O3380">
        <v>38</v>
      </c>
      <c r="P3380">
        <v>70</v>
      </c>
      <c r="Q3380" s="80">
        <v>0</v>
      </c>
      <c r="R3380" s="80">
        <f t="shared" si="217"/>
        <v>32</v>
      </c>
      <c r="AD3380"/>
    </row>
    <row r="3381" spans="10:30" ht="16.2" customHeight="1">
      <c r="J3381" s="80" t="s">
        <v>747</v>
      </c>
      <c r="L3381" t="s">
        <v>170</v>
      </c>
      <c r="M3381" s="80" t="s">
        <v>724</v>
      </c>
      <c r="N3381" t="str">
        <f t="shared" si="216"/>
        <v>Double RearNormal 2074Boldtrak Premo Double Bracket Suit 16mm on Back</v>
      </c>
      <c r="O3381">
        <v>60</v>
      </c>
      <c r="P3381">
        <v>70</v>
      </c>
      <c r="Q3381" s="80">
        <v>0</v>
      </c>
      <c r="R3381" s="80">
        <f t="shared" si="217"/>
        <v>10</v>
      </c>
      <c r="AD3381"/>
    </row>
    <row r="3382" spans="10:30" ht="16.2" customHeight="1">
      <c r="J3382" s="80" t="s">
        <v>746</v>
      </c>
      <c r="L3382" t="s">
        <v>409</v>
      </c>
      <c r="M3382" s="80" t="s">
        <v>554</v>
      </c>
      <c r="N3382" t="str">
        <f t="shared" si="216"/>
        <v>Double FrontNo Hooks VelcroNone Required</v>
      </c>
      <c r="O3382">
        <v>0</v>
      </c>
      <c r="P3382">
        <v>0</v>
      </c>
      <c r="Q3382" s="80">
        <v>0</v>
      </c>
      <c r="R3382" s="80">
        <f t="shared" si="217"/>
        <v>0</v>
      </c>
      <c r="AD3382"/>
    </row>
    <row r="3383" spans="10:30" ht="16.2" customHeight="1">
      <c r="J3383" s="80" t="s">
        <v>747</v>
      </c>
      <c r="L3383" t="s">
        <v>409</v>
      </c>
      <c r="M3383" s="80" t="s">
        <v>554</v>
      </c>
      <c r="N3383" t="str">
        <f t="shared" si="216"/>
        <v>Double RearNo Hooks VelcroNone Required</v>
      </c>
      <c r="O3383">
        <v>0</v>
      </c>
      <c r="P3383">
        <v>0</v>
      </c>
      <c r="Q3383" s="80">
        <v>0</v>
      </c>
      <c r="R3383" s="80">
        <f t="shared" si="217"/>
        <v>0</v>
      </c>
      <c r="AD3383"/>
    </row>
    <row r="3384" spans="10:30" ht="16.2" customHeight="1">
      <c r="J3384" s="80" t="s">
        <v>725</v>
      </c>
      <c r="L3384" t="s">
        <v>409</v>
      </c>
      <c r="M3384" s="80" t="s">
        <v>554</v>
      </c>
      <c r="N3384" t="str">
        <f t="shared" si="216"/>
        <v>SingleNo Hooks VelcroNone Required</v>
      </c>
      <c r="O3384">
        <v>0</v>
      </c>
      <c r="P3384">
        <v>0</v>
      </c>
      <c r="Q3384" s="80">
        <v>0</v>
      </c>
      <c r="R3384" s="80">
        <f t="shared" si="217"/>
        <v>0</v>
      </c>
      <c r="AD3384"/>
    </row>
    <row r="3385" spans="10:30" ht="16.2" customHeight="1">
      <c r="J3385" s="80" t="s">
        <v>746</v>
      </c>
      <c r="L3385" t="s">
        <v>183</v>
      </c>
      <c r="M3385" t="s">
        <v>732</v>
      </c>
      <c r="N3385" t="str">
        <f t="shared" si="216"/>
        <v>Double FrontBelow Normal 2075Versatrak 16mm Front and 25mm Back Combo Glide Bracket</v>
      </c>
      <c r="O3385">
        <v>70</v>
      </c>
      <c r="P3385">
        <v>32</v>
      </c>
      <c r="Q3385" s="80">
        <v>0</v>
      </c>
      <c r="R3385" s="80">
        <f t="shared" si="217"/>
        <v>-38</v>
      </c>
      <c r="AD3385"/>
    </row>
    <row r="3386" spans="10:30" ht="16.2" customHeight="1">
      <c r="J3386" s="80" t="s">
        <v>725</v>
      </c>
      <c r="L3386" t="s">
        <v>183</v>
      </c>
      <c r="M3386" t="s">
        <v>732</v>
      </c>
      <c r="N3386" t="str">
        <f t="shared" si="216"/>
        <v>SingleBelow Normal 2075Versatrak 16mm Front and 25mm Back Combo Glide Bracket</v>
      </c>
      <c r="O3386">
        <v>70</v>
      </c>
      <c r="P3386">
        <v>32</v>
      </c>
      <c r="Q3386" s="80">
        <v>0</v>
      </c>
      <c r="R3386" s="80">
        <f t="shared" si="217"/>
        <v>-38</v>
      </c>
      <c r="AD3386"/>
    </row>
    <row r="3387" spans="10:30" ht="16.2" customHeight="1">
      <c r="J3387" s="80" t="s">
        <v>746</v>
      </c>
      <c r="L3387" t="s">
        <v>182</v>
      </c>
      <c r="M3387" t="s">
        <v>732</v>
      </c>
      <c r="N3387" t="str">
        <f t="shared" si="216"/>
        <v>Double FrontBetween Level and Normal 2073Versatrak 16mm Front and 25mm Back Combo Glide Bracket</v>
      </c>
      <c r="O3387">
        <v>48</v>
      </c>
      <c r="P3387">
        <v>32</v>
      </c>
      <c r="Q3387" s="80">
        <v>0</v>
      </c>
      <c r="R3387" s="80">
        <f t="shared" si="217"/>
        <v>-16</v>
      </c>
      <c r="AD3387"/>
    </row>
    <row r="3388" spans="10:30" ht="16.2" customHeight="1">
      <c r="J3388" s="80" t="s">
        <v>725</v>
      </c>
      <c r="L3388" t="s">
        <v>182</v>
      </c>
      <c r="M3388" t="s">
        <v>732</v>
      </c>
      <c r="N3388" t="str">
        <f t="shared" si="216"/>
        <v>SingleBetween Level and Normal 2073Versatrak 16mm Front and 25mm Back Combo Glide Bracket</v>
      </c>
      <c r="O3388">
        <v>47</v>
      </c>
      <c r="P3388">
        <v>32</v>
      </c>
      <c r="Q3388" s="80">
        <v>0</v>
      </c>
      <c r="R3388" s="80">
        <f t="shared" si="217"/>
        <v>-15</v>
      </c>
      <c r="AD3388"/>
    </row>
    <row r="3389" spans="10:30" ht="16.2" customHeight="1">
      <c r="J3389" s="80" t="s">
        <v>746</v>
      </c>
      <c r="L3389" t="s">
        <v>184</v>
      </c>
      <c r="M3389" t="s">
        <v>732</v>
      </c>
      <c r="N3389" t="str">
        <f t="shared" si="216"/>
        <v>Double FrontDecorator 2071Versatrak 16mm Front and 25mm Back Combo Glide Bracket</v>
      </c>
      <c r="O3389">
        <v>20</v>
      </c>
      <c r="P3389">
        <v>32</v>
      </c>
      <c r="Q3389" s="80">
        <v>0</v>
      </c>
      <c r="R3389" s="80">
        <f t="shared" si="217"/>
        <v>12</v>
      </c>
      <c r="AD3389"/>
    </row>
    <row r="3390" spans="10:30" ht="16.2" customHeight="1">
      <c r="J3390" s="80" t="s">
        <v>725</v>
      </c>
      <c r="L3390" t="s">
        <v>184</v>
      </c>
      <c r="M3390" t="s">
        <v>732</v>
      </c>
      <c r="N3390" t="str">
        <f t="shared" si="216"/>
        <v>SingleDecorator 2071Versatrak 16mm Front and 25mm Back Combo Glide Bracket</v>
      </c>
      <c r="O3390">
        <v>20</v>
      </c>
      <c r="P3390">
        <v>32</v>
      </c>
      <c r="Q3390" s="80">
        <v>0</v>
      </c>
      <c r="R3390" s="80">
        <f t="shared" si="217"/>
        <v>12</v>
      </c>
      <c r="AD3390"/>
    </row>
    <row r="3391" spans="10:30" ht="16.2" customHeight="1">
      <c r="J3391" s="80" t="s">
        <v>725</v>
      </c>
      <c r="L3391" t="s">
        <v>6468</v>
      </c>
      <c r="M3391" t="s">
        <v>732</v>
      </c>
      <c r="N3391" t="str">
        <f t="shared" si="216"/>
        <v>SingleGather Hook Bottom PocketVersatrak 16mm Front and 25mm Back Combo Glide Bracket</v>
      </c>
      <c r="O3391">
        <v>60</v>
      </c>
      <c r="P3391">
        <v>32</v>
      </c>
      <c r="Q3391" s="80">
        <v>0</v>
      </c>
      <c r="R3391" s="80">
        <f t="shared" si="217"/>
        <v>-28</v>
      </c>
      <c r="AD3391"/>
    </row>
    <row r="3392" spans="10:30" ht="16.2" customHeight="1">
      <c r="J3392" s="80" t="s">
        <v>746</v>
      </c>
      <c r="L3392" t="s">
        <v>229</v>
      </c>
      <c r="M3392" t="s">
        <v>732</v>
      </c>
      <c r="N3392" t="str">
        <f t="shared" si="216"/>
        <v>Double FrontGather Hook LevelVersatrak 16mm Front and 25mm Back Combo Glide Bracket</v>
      </c>
      <c r="O3392">
        <v>20</v>
      </c>
      <c r="P3392">
        <v>32</v>
      </c>
      <c r="Q3392" s="80">
        <v>0</v>
      </c>
      <c r="R3392" s="80">
        <f t="shared" si="217"/>
        <v>12</v>
      </c>
      <c r="AD3392"/>
    </row>
    <row r="3393" spans="10:30" ht="16.2" customHeight="1">
      <c r="J3393" s="80" t="s">
        <v>725</v>
      </c>
      <c r="L3393" t="s">
        <v>229</v>
      </c>
      <c r="M3393" t="s">
        <v>732</v>
      </c>
      <c r="N3393" t="str">
        <f t="shared" si="216"/>
        <v>SingleGather Hook LevelVersatrak 16mm Front and 25mm Back Combo Glide Bracket</v>
      </c>
      <c r="O3393">
        <v>20</v>
      </c>
      <c r="P3393">
        <v>32</v>
      </c>
      <c r="Q3393" s="80">
        <v>0</v>
      </c>
      <c r="R3393" s="80">
        <f t="shared" si="217"/>
        <v>12</v>
      </c>
      <c r="AD3393"/>
    </row>
    <row r="3394" spans="10:30" ht="16.2" customHeight="1">
      <c r="J3394" s="80" t="s">
        <v>746</v>
      </c>
      <c r="L3394" t="s">
        <v>228</v>
      </c>
      <c r="M3394" t="s">
        <v>732</v>
      </c>
      <c r="N3394" t="str">
        <f t="shared" si="218" ref="N3394:N3457">(CONCATENATE(J3394,K3394,L3394,M3394))</f>
        <v>Double FrontGather Hook NormalVersatrak 16mm Front and 25mm Back Combo Glide Bracket</v>
      </c>
      <c r="O3394">
        <v>43</v>
      </c>
      <c r="P3394">
        <v>32</v>
      </c>
      <c r="Q3394" s="80">
        <v>0</v>
      </c>
      <c r="R3394" s="80">
        <f t="shared" si="217"/>
        <v>-11</v>
      </c>
      <c r="AD3394"/>
    </row>
    <row r="3395" spans="10:30" ht="16.2" customHeight="1">
      <c r="J3395" s="80" t="s">
        <v>725</v>
      </c>
      <c r="L3395" t="s">
        <v>228</v>
      </c>
      <c r="M3395" t="s">
        <v>732</v>
      </c>
      <c r="N3395" t="str">
        <f t="shared" si="218"/>
        <v>SingleGather Hook NormalVersatrak 16mm Front and 25mm Back Combo Glide Bracket</v>
      </c>
      <c r="O3395">
        <v>43</v>
      </c>
      <c r="P3395">
        <v>32</v>
      </c>
      <c r="Q3395" s="80">
        <v>0</v>
      </c>
      <c r="R3395" s="80">
        <f t="shared" si="217"/>
        <v>-11</v>
      </c>
      <c r="AD3395"/>
    </row>
    <row r="3396" spans="10:30" ht="16.2" customHeight="1">
      <c r="J3396" s="80" t="s">
        <v>746</v>
      </c>
      <c r="L3396" t="s">
        <v>282</v>
      </c>
      <c r="M3396" t="s">
        <v>732</v>
      </c>
      <c r="N3396" t="str">
        <f t="shared" si="218"/>
        <v>Double FrontLevel 2072Versatrak 16mm Front and 25mm Back Combo Glide Bracket</v>
      </c>
      <c r="O3396">
        <v>38</v>
      </c>
      <c r="P3396">
        <v>32</v>
      </c>
      <c r="Q3396" s="80">
        <v>0</v>
      </c>
      <c r="R3396" s="80">
        <f t="shared" si="217"/>
        <v>-6</v>
      </c>
      <c r="AD3396"/>
    </row>
    <row r="3397" spans="10:30" ht="16.2" customHeight="1">
      <c r="J3397" s="80" t="s">
        <v>725</v>
      </c>
      <c r="L3397" t="s">
        <v>282</v>
      </c>
      <c r="M3397" t="s">
        <v>732</v>
      </c>
      <c r="N3397" t="str">
        <f t="shared" si="218"/>
        <v>SingleLevel 2072Versatrak 16mm Front and 25mm Back Combo Glide Bracket</v>
      </c>
      <c r="O3397">
        <v>35</v>
      </c>
      <c r="P3397">
        <v>32</v>
      </c>
      <c r="Q3397" s="80">
        <v>0</v>
      </c>
      <c r="R3397" s="80">
        <f t="shared" si="217"/>
        <v>-3</v>
      </c>
      <c r="AD3397"/>
    </row>
    <row r="3398" spans="10:30" ht="16.2" customHeight="1">
      <c r="J3398" s="80" t="s">
        <v>746</v>
      </c>
      <c r="L3398" t="s">
        <v>170</v>
      </c>
      <c r="M3398" t="s">
        <v>732</v>
      </c>
      <c r="N3398" t="str">
        <f t="shared" si="218"/>
        <v>Double FrontNormal 2074Versatrak 16mm Front and 25mm Back Combo Glide Bracket</v>
      </c>
      <c r="O3398">
        <v>60</v>
      </c>
      <c r="P3398">
        <v>32</v>
      </c>
      <c r="Q3398" s="80">
        <v>0</v>
      </c>
      <c r="R3398" s="80">
        <f t="shared" si="217"/>
        <v>-28</v>
      </c>
      <c r="AD3398"/>
    </row>
    <row r="3399" spans="10:30" ht="16.2" customHeight="1">
      <c r="J3399" s="80" t="s">
        <v>725</v>
      </c>
      <c r="L3399" t="s">
        <v>170</v>
      </c>
      <c r="M3399" t="s">
        <v>732</v>
      </c>
      <c r="N3399" t="str">
        <f t="shared" si="218"/>
        <v>SingleNormal 2074Versatrak 16mm Front and 25mm Back Combo Glide Bracket</v>
      </c>
      <c r="O3399">
        <v>60</v>
      </c>
      <c r="P3399">
        <v>32</v>
      </c>
      <c r="Q3399" s="80">
        <v>0</v>
      </c>
      <c r="R3399" s="80">
        <f t="shared" si="217"/>
        <v>-28</v>
      </c>
      <c r="AD3399"/>
    </row>
    <row r="3400" spans="10:30" ht="16.2" customHeight="1">
      <c r="J3400" s="80" t="s">
        <v>746</v>
      </c>
      <c r="L3400" t="s">
        <v>183</v>
      </c>
      <c r="M3400" s="80" t="s">
        <v>737</v>
      </c>
      <c r="N3400" t="str">
        <f t="shared" si="218"/>
        <v>Double FrontBelow Normal 2075Versatrak 16mm Front and Back Combo Glide Bracket</v>
      </c>
      <c r="O3400">
        <v>70</v>
      </c>
      <c r="P3400">
        <v>32</v>
      </c>
      <c r="Q3400" s="80">
        <v>0</v>
      </c>
      <c r="R3400" s="80">
        <f t="shared" si="217"/>
        <v>-38</v>
      </c>
      <c r="AD3400"/>
    </row>
    <row r="3401" spans="10:30" ht="16.2" customHeight="1">
      <c r="J3401" s="80" t="s">
        <v>747</v>
      </c>
      <c r="L3401" t="s">
        <v>183</v>
      </c>
      <c r="M3401" s="80" t="s">
        <v>737</v>
      </c>
      <c r="N3401" t="str">
        <f t="shared" si="218"/>
        <v>Double RearBelow Normal 2075Versatrak 16mm Front and Back Combo Glide Bracket</v>
      </c>
      <c r="O3401">
        <v>70</v>
      </c>
      <c r="P3401">
        <v>64</v>
      </c>
      <c r="Q3401" s="80">
        <v>0</v>
      </c>
      <c r="R3401" s="80">
        <f t="shared" si="217"/>
        <v>-6</v>
      </c>
      <c r="AD3401"/>
    </row>
    <row r="3402" spans="10:30" ht="16.2" customHeight="1">
      <c r="J3402" s="80" t="s">
        <v>725</v>
      </c>
      <c r="L3402" t="s">
        <v>183</v>
      </c>
      <c r="M3402" s="80" t="s">
        <v>737</v>
      </c>
      <c r="N3402" t="str">
        <f t="shared" si="218"/>
        <v>SingleBelow Normal 2075Versatrak 16mm Front and Back Combo Glide Bracket</v>
      </c>
      <c r="O3402">
        <v>70</v>
      </c>
      <c r="P3402">
        <v>32</v>
      </c>
      <c r="Q3402" s="80">
        <v>0</v>
      </c>
      <c r="R3402" s="80">
        <f t="shared" si="217"/>
        <v>-38</v>
      </c>
      <c r="AD3402"/>
    </row>
    <row r="3403" spans="10:30" ht="16.2" customHeight="1">
      <c r="J3403" s="80" t="s">
        <v>746</v>
      </c>
      <c r="L3403" t="s">
        <v>182</v>
      </c>
      <c r="M3403" s="80" t="s">
        <v>737</v>
      </c>
      <c r="N3403" t="str">
        <f t="shared" si="218"/>
        <v>Double FrontBetween Level and Normal 2073Versatrak 16mm Front and Back Combo Glide Bracket</v>
      </c>
      <c r="O3403">
        <v>48</v>
      </c>
      <c r="P3403">
        <v>32</v>
      </c>
      <c r="Q3403" s="80">
        <v>0</v>
      </c>
      <c r="R3403" s="80">
        <f t="shared" si="217"/>
        <v>-16</v>
      </c>
      <c r="AD3403"/>
    </row>
    <row r="3404" spans="10:30" ht="16.2" customHeight="1">
      <c r="J3404" s="80" t="s">
        <v>747</v>
      </c>
      <c r="L3404" t="s">
        <v>182</v>
      </c>
      <c r="M3404" s="80" t="s">
        <v>737</v>
      </c>
      <c r="N3404" t="str">
        <f t="shared" si="218"/>
        <v>Double RearBetween Level and Normal 2073Versatrak 16mm Front and Back Combo Glide Bracket</v>
      </c>
      <c r="O3404">
        <v>48</v>
      </c>
      <c r="P3404">
        <v>64</v>
      </c>
      <c r="Q3404" s="80">
        <v>0</v>
      </c>
      <c r="R3404" s="80">
        <f t="shared" si="217"/>
        <v>16</v>
      </c>
      <c r="AD3404"/>
    </row>
    <row r="3405" spans="10:30" ht="16.2" customHeight="1">
      <c r="J3405" s="80" t="s">
        <v>725</v>
      </c>
      <c r="L3405" t="s">
        <v>182</v>
      </c>
      <c r="M3405" s="80" t="s">
        <v>737</v>
      </c>
      <c r="N3405" t="str">
        <f t="shared" si="218"/>
        <v>SingleBetween Level and Normal 2073Versatrak 16mm Front and Back Combo Glide Bracket</v>
      </c>
      <c r="O3405">
        <v>47</v>
      </c>
      <c r="P3405">
        <v>32</v>
      </c>
      <c r="Q3405" s="80">
        <v>0</v>
      </c>
      <c r="R3405" s="80">
        <f t="shared" si="217"/>
        <v>-15</v>
      </c>
      <c r="AD3405"/>
    </row>
    <row r="3406" spans="10:30" ht="16.2" customHeight="1">
      <c r="J3406" s="80" t="s">
        <v>746</v>
      </c>
      <c r="L3406" t="s">
        <v>184</v>
      </c>
      <c r="M3406" s="80" t="s">
        <v>737</v>
      </c>
      <c r="N3406" t="str">
        <f t="shared" si="218"/>
        <v>Double FrontDecorator 2071Versatrak 16mm Front and Back Combo Glide Bracket</v>
      </c>
      <c r="O3406">
        <v>20</v>
      </c>
      <c r="P3406">
        <v>32</v>
      </c>
      <c r="Q3406" s="80">
        <v>0</v>
      </c>
      <c r="R3406" s="80">
        <f t="shared" si="217"/>
        <v>12</v>
      </c>
      <c r="AD3406"/>
    </row>
    <row r="3407" spans="10:30" ht="16.2" customHeight="1">
      <c r="J3407" s="80" t="s">
        <v>747</v>
      </c>
      <c r="L3407" t="s">
        <v>184</v>
      </c>
      <c r="M3407" s="80" t="s">
        <v>737</v>
      </c>
      <c r="N3407" t="str">
        <f t="shared" si="218"/>
        <v>Double RearDecorator 2071Versatrak 16mm Front and Back Combo Glide Bracket</v>
      </c>
      <c r="O3407">
        <v>20</v>
      </c>
      <c r="P3407">
        <v>64</v>
      </c>
      <c r="Q3407" s="80">
        <v>0</v>
      </c>
      <c r="R3407" s="80">
        <f t="shared" si="217"/>
        <v>44</v>
      </c>
      <c r="AD3407"/>
    </row>
    <row r="3408" spans="10:30" ht="16.2" customHeight="1">
      <c r="J3408" s="80" t="s">
        <v>725</v>
      </c>
      <c r="L3408" t="s">
        <v>184</v>
      </c>
      <c r="M3408" s="80" t="s">
        <v>737</v>
      </c>
      <c r="N3408" t="str">
        <f t="shared" si="218"/>
        <v>SingleDecorator 2071Versatrak 16mm Front and Back Combo Glide Bracket</v>
      </c>
      <c r="O3408">
        <v>20</v>
      </c>
      <c r="P3408">
        <v>32</v>
      </c>
      <c r="Q3408" s="80">
        <v>0</v>
      </c>
      <c r="R3408" s="80">
        <f t="shared" si="217"/>
        <v>12</v>
      </c>
      <c r="AD3408"/>
    </row>
    <row r="3409" spans="10:30" ht="16.2" customHeight="1">
      <c r="J3409" s="80" t="s">
        <v>725</v>
      </c>
      <c r="L3409" t="s">
        <v>6468</v>
      </c>
      <c r="M3409" s="80" t="s">
        <v>737</v>
      </c>
      <c r="N3409" t="str">
        <f t="shared" si="218"/>
        <v>SingleGather Hook Bottom PocketVersatrak 16mm Front and Back Combo Glide Bracket</v>
      </c>
      <c r="O3409">
        <v>60</v>
      </c>
      <c r="P3409">
        <v>32</v>
      </c>
      <c r="Q3409" s="80">
        <v>0</v>
      </c>
      <c r="R3409" s="80">
        <f t="shared" si="217"/>
        <v>-28</v>
      </c>
      <c r="AD3409"/>
    </row>
    <row r="3410" spans="10:30" ht="16.2" customHeight="1">
      <c r="J3410" s="80" t="s">
        <v>746</v>
      </c>
      <c r="L3410" t="s">
        <v>229</v>
      </c>
      <c r="M3410" s="80" t="s">
        <v>737</v>
      </c>
      <c r="N3410" t="str">
        <f t="shared" si="218"/>
        <v>Double FrontGather Hook LevelVersatrak 16mm Front and Back Combo Glide Bracket</v>
      </c>
      <c r="O3410">
        <v>20</v>
      </c>
      <c r="P3410">
        <v>32</v>
      </c>
      <c r="Q3410" s="80">
        <v>0</v>
      </c>
      <c r="R3410" s="80">
        <f t="shared" si="217"/>
        <v>12</v>
      </c>
      <c r="AD3410"/>
    </row>
    <row r="3411" spans="10:30" ht="16.2" customHeight="1">
      <c r="J3411" s="80" t="s">
        <v>747</v>
      </c>
      <c r="L3411" t="s">
        <v>229</v>
      </c>
      <c r="M3411" s="80" t="s">
        <v>737</v>
      </c>
      <c r="N3411" t="str">
        <f t="shared" si="218"/>
        <v>Double RearGather Hook LevelVersatrak 16mm Front and Back Combo Glide Bracket</v>
      </c>
      <c r="O3411">
        <v>20</v>
      </c>
      <c r="P3411">
        <v>64</v>
      </c>
      <c r="Q3411" s="80">
        <v>0</v>
      </c>
      <c r="R3411" s="80">
        <f t="shared" si="217"/>
        <v>44</v>
      </c>
      <c r="AD3411"/>
    </row>
    <row r="3412" spans="10:30" ht="16.2" customHeight="1">
      <c r="J3412" s="80" t="s">
        <v>725</v>
      </c>
      <c r="L3412" t="s">
        <v>229</v>
      </c>
      <c r="M3412" s="80" t="s">
        <v>737</v>
      </c>
      <c r="N3412" t="str">
        <f t="shared" si="218"/>
        <v>SingleGather Hook LevelVersatrak 16mm Front and Back Combo Glide Bracket</v>
      </c>
      <c r="O3412">
        <v>20</v>
      </c>
      <c r="P3412">
        <v>32</v>
      </c>
      <c r="Q3412" s="80">
        <v>0</v>
      </c>
      <c r="R3412" s="80">
        <f t="shared" si="217"/>
        <v>12</v>
      </c>
      <c r="AD3412"/>
    </row>
    <row r="3413" spans="10:30" ht="16.2" customHeight="1">
      <c r="J3413" s="80" t="s">
        <v>746</v>
      </c>
      <c r="L3413" t="s">
        <v>228</v>
      </c>
      <c r="M3413" s="80" t="s">
        <v>737</v>
      </c>
      <c r="N3413" t="str">
        <f t="shared" si="218"/>
        <v>Double FrontGather Hook NormalVersatrak 16mm Front and Back Combo Glide Bracket</v>
      </c>
      <c r="O3413">
        <v>43</v>
      </c>
      <c r="P3413">
        <v>32</v>
      </c>
      <c r="Q3413" s="80">
        <v>0</v>
      </c>
      <c r="R3413" s="80">
        <f t="shared" si="217"/>
        <v>-11</v>
      </c>
      <c r="AD3413"/>
    </row>
    <row r="3414" spans="10:30" ht="16.2" customHeight="1">
      <c r="J3414" s="80" t="s">
        <v>747</v>
      </c>
      <c r="L3414" t="s">
        <v>228</v>
      </c>
      <c r="M3414" s="80" t="s">
        <v>737</v>
      </c>
      <c r="N3414" t="str">
        <f t="shared" si="218"/>
        <v>Double RearGather Hook NormalVersatrak 16mm Front and Back Combo Glide Bracket</v>
      </c>
      <c r="O3414">
        <v>43</v>
      </c>
      <c r="P3414">
        <v>64</v>
      </c>
      <c r="Q3414" s="80">
        <v>0</v>
      </c>
      <c r="R3414" s="80">
        <f t="shared" si="217"/>
        <v>21</v>
      </c>
      <c r="AD3414"/>
    </row>
    <row r="3415" spans="10:30" ht="16.2" customHeight="1">
      <c r="J3415" s="80" t="s">
        <v>725</v>
      </c>
      <c r="L3415" t="s">
        <v>228</v>
      </c>
      <c r="M3415" s="80" t="s">
        <v>737</v>
      </c>
      <c r="N3415" t="str">
        <f t="shared" si="218"/>
        <v>SingleGather Hook NormalVersatrak 16mm Front and Back Combo Glide Bracket</v>
      </c>
      <c r="O3415">
        <v>43</v>
      </c>
      <c r="P3415">
        <v>32</v>
      </c>
      <c r="Q3415" s="80">
        <v>0</v>
      </c>
      <c r="R3415" s="80">
        <f t="shared" si="217"/>
        <v>-11</v>
      </c>
      <c r="AD3415"/>
    </row>
    <row r="3416" spans="10:30" ht="16.2" customHeight="1">
      <c r="J3416" s="80" t="s">
        <v>746</v>
      </c>
      <c r="L3416" t="s">
        <v>282</v>
      </c>
      <c r="M3416" s="80" t="s">
        <v>737</v>
      </c>
      <c r="N3416" t="str">
        <f t="shared" si="218"/>
        <v>Double FrontLevel 2072Versatrak 16mm Front and Back Combo Glide Bracket</v>
      </c>
      <c r="O3416">
        <v>38</v>
      </c>
      <c r="P3416">
        <v>32</v>
      </c>
      <c r="Q3416" s="80">
        <v>0</v>
      </c>
      <c r="R3416" s="80">
        <f t="shared" si="217"/>
        <v>-6</v>
      </c>
      <c r="AD3416"/>
    </row>
    <row r="3417" spans="10:30" ht="16.2" customHeight="1">
      <c r="J3417" s="80" t="s">
        <v>747</v>
      </c>
      <c r="L3417" t="s">
        <v>282</v>
      </c>
      <c r="M3417" s="80" t="s">
        <v>737</v>
      </c>
      <c r="N3417" t="str">
        <f t="shared" si="218"/>
        <v>Double RearLevel 2072Versatrak 16mm Front and Back Combo Glide Bracket</v>
      </c>
      <c r="O3417">
        <v>38</v>
      </c>
      <c r="P3417">
        <v>64</v>
      </c>
      <c r="Q3417" s="80">
        <v>0</v>
      </c>
      <c r="R3417" s="80">
        <f t="shared" si="217"/>
        <v>26</v>
      </c>
      <c r="AD3417"/>
    </row>
    <row r="3418" spans="10:30" ht="16.2" customHeight="1">
      <c r="J3418" s="80" t="s">
        <v>725</v>
      </c>
      <c r="L3418" t="s">
        <v>282</v>
      </c>
      <c r="M3418" s="80" t="s">
        <v>737</v>
      </c>
      <c r="N3418" t="str">
        <f t="shared" si="218"/>
        <v>SingleLevel 2072Versatrak 16mm Front and Back Combo Glide Bracket</v>
      </c>
      <c r="O3418">
        <v>35</v>
      </c>
      <c r="P3418">
        <v>32</v>
      </c>
      <c r="Q3418" s="80">
        <v>0</v>
      </c>
      <c r="R3418" s="80">
        <f t="shared" si="217"/>
        <v>-3</v>
      </c>
      <c r="AD3418"/>
    </row>
    <row r="3419" spans="10:30" ht="16.2" customHeight="1">
      <c r="J3419" s="80" t="s">
        <v>746</v>
      </c>
      <c r="L3419" t="s">
        <v>170</v>
      </c>
      <c r="M3419" s="80" t="s">
        <v>737</v>
      </c>
      <c r="N3419" t="str">
        <f t="shared" si="218"/>
        <v>Double FrontNormal 2074Versatrak 16mm Front and Back Combo Glide Bracket</v>
      </c>
      <c r="O3419">
        <v>60</v>
      </c>
      <c r="P3419">
        <v>32</v>
      </c>
      <c r="Q3419" s="80">
        <v>0</v>
      </c>
      <c r="R3419" s="80">
        <f t="shared" si="217"/>
        <v>-28</v>
      </c>
      <c r="AD3419"/>
    </row>
    <row r="3420" spans="10:30" ht="16.2" customHeight="1">
      <c r="J3420" s="80" t="s">
        <v>747</v>
      </c>
      <c r="L3420" t="s">
        <v>170</v>
      </c>
      <c r="M3420" s="80" t="s">
        <v>737</v>
      </c>
      <c r="N3420" t="str">
        <f t="shared" si="218"/>
        <v>Double RearNormal 2074Versatrak 16mm Front and Back Combo Glide Bracket</v>
      </c>
      <c r="O3420">
        <v>60</v>
      </c>
      <c r="P3420">
        <v>64</v>
      </c>
      <c r="Q3420" s="80">
        <v>0</v>
      </c>
      <c r="R3420" s="80">
        <f t="shared" si="217"/>
        <v>4</v>
      </c>
      <c r="AD3420"/>
    </row>
    <row r="3421" spans="10:30" ht="16.2" customHeight="1">
      <c r="J3421" s="80" t="s">
        <v>725</v>
      </c>
      <c r="L3421" t="s">
        <v>170</v>
      </c>
      <c r="M3421" s="80" t="s">
        <v>737</v>
      </c>
      <c r="N3421" t="str">
        <f t="shared" si="218"/>
        <v>SingleNormal 2074Versatrak 16mm Front and Back Combo Glide Bracket</v>
      </c>
      <c r="O3421">
        <v>60</v>
      </c>
      <c r="P3421">
        <v>32</v>
      </c>
      <c r="Q3421" s="80">
        <v>0</v>
      </c>
      <c r="R3421" s="80">
        <f t="shared" si="217"/>
        <v>-28</v>
      </c>
      <c r="AD3421"/>
    </row>
    <row r="3422" spans="10:30" ht="16.2" customHeight="1">
      <c r="J3422" s="80" t="s">
        <v>747</v>
      </c>
      <c r="L3422" t="s">
        <v>183</v>
      </c>
      <c r="M3422" t="s">
        <v>735</v>
      </c>
      <c r="N3422" t="str">
        <f t="shared" si="218"/>
        <v>Double RearBelow Normal 2075Versatrak 25mm Glide Front and 16mm Glide Back Combo Bracket</v>
      </c>
      <c r="O3422">
        <v>70</v>
      </c>
      <c r="P3422">
        <v>64</v>
      </c>
      <c r="Q3422" s="80">
        <v>0</v>
      </c>
      <c r="R3422" s="80">
        <f t="shared" si="217"/>
        <v>-6</v>
      </c>
      <c r="AD3422"/>
    </row>
    <row r="3423" spans="10:30" ht="16.2" customHeight="1">
      <c r="J3423" s="80" t="s">
        <v>747</v>
      </c>
      <c r="L3423" t="s">
        <v>182</v>
      </c>
      <c r="M3423" t="s">
        <v>735</v>
      </c>
      <c r="N3423" t="str">
        <f t="shared" si="218"/>
        <v>Double RearBetween Level and Normal 2073Versatrak 25mm Glide Front and 16mm Glide Back Combo Bracket</v>
      </c>
      <c r="O3423">
        <v>48</v>
      </c>
      <c r="P3423">
        <v>64</v>
      </c>
      <c r="Q3423" s="80">
        <v>0</v>
      </c>
      <c r="R3423" s="80">
        <f t="shared" si="219" ref="R3423:R3486">SUM(P3423)-O3423</f>
        <v>16</v>
      </c>
      <c r="AD3423"/>
    </row>
    <row r="3424" spans="10:30" ht="16.2" customHeight="1">
      <c r="J3424" s="80" t="s">
        <v>747</v>
      </c>
      <c r="L3424" t="s">
        <v>184</v>
      </c>
      <c r="M3424" t="s">
        <v>735</v>
      </c>
      <c r="N3424" t="str">
        <f t="shared" si="218"/>
        <v>Double RearDecorator 2071Versatrak 25mm Glide Front and 16mm Glide Back Combo Bracket</v>
      </c>
      <c r="O3424">
        <v>20</v>
      </c>
      <c r="P3424">
        <v>64</v>
      </c>
      <c r="Q3424" s="80">
        <v>0</v>
      </c>
      <c r="R3424" s="80">
        <f t="shared" si="219"/>
        <v>44</v>
      </c>
      <c r="AD3424"/>
    </row>
    <row r="3425" spans="10:30" ht="16.2" customHeight="1">
      <c r="J3425" s="80" t="s">
        <v>747</v>
      </c>
      <c r="L3425" t="s">
        <v>229</v>
      </c>
      <c r="M3425" t="s">
        <v>735</v>
      </c>
      <c r="N3425" t="str">
        <f t="shared" si="218"/>
        <v>Double RearGather Hook LevelVersatrak 25mm Glide Front and 16mm Glide Back Combo Bracket</v>
      </c>
      <c r="O3425">
        <v>20</v>
      </c>
      <c r="P3425">
        <v>64</v>
      </c>
      <c r="Q3425" s="80">
        <v>0</v>
      </c>
      <c r="R3425" s="80">
        <f t="shared" si="219"/>
        <v>44</v>
      </c>
      <c r="AD3425"/>
    </row>
    <row r="3426" spans="10:30" ht="16.2" customHeight="1">
      <c r="J3426" s="80" t="s">
        <v>747</v>
      </c>
      <c r="L3426" t="s">
        <v>228</v>
      </c>
      <c r="M3426" t="s">
        <v>735</v>
      </c>
      <c r="N3426" t="str">
        <f t="shared" si="218"/>
        <v>Double RearGather Hook NormalVersatrak 25mm Glide Front and 16mm Glide Back Combo Bracket</v>
      </c>
      <c r="O3426">
        <v>43</v>
      </c>
      <c r="P3426">
        <v>64</v>
      </c>
      <c r="Q3426" s="80">
        <v>0</v>
      </c>
      <c r="R3426" s="80">
        <f t="shared" si="219"/>
        <v>21</v>
      </c>
      <c r="AD3426"/>
    </row>
    <row r="3427" spans="10:30" ht="16.2" customHeight="1">
      <c r="J3427" s="80" t="s">
        <v>747</v>
      </c>
      <c r="L3427" t="s">
        <v>282</v>
      </c>
      <c r="M3427" t="s">
        <v>735</v>
      </c>
      <c r="N3427" t="str">
        <f t="shared" si="218"/>
        <v>Double RearLevel 2072Versatrak 25mm Glide Front and 16mm Glide Back Combo Bracket</v>
      </c>
      <c r="O3427">
        <v>38</v>
      </c>
      <c r="P3427">
        <v>64</v>
      </c>
      <c r="Q3427" s="80">
        <v>0</v>
      </c>
      <c r="R3427" s="80">
        <f t="shared" si="219"/>
        <v>26</v>
      </c>
      <c r="AD3427"/>
    </row>
    <row r="3428" spans="10:30" ht="16.2" customHeight="1">
      <c r="J3428" s="80" t="s">
        <v>747</v>
      </c>
      <c r="L3428" t="s">
        <v>170</v>
      </c>
      <c r="M3428" t="s">
        <v>735</v>
      </c>
      <c r="N3428" t="str">
        <f t="shared" si="218"/>
        <v>Double RearNormal 2074Versatrak 25mm Glide Front and 16mm Glide Back Combo Bracket</v>
      </c>
      <c r="O3428">
        <v>60</v>
      </c>
      <c r="P3428">
        <v>64</v>
      </c>
      <c r="Q3428" s="80">
        <v>0</v>
      </c>
      <c r="R3428" s="80">
        <f t="shared" si="219"/>
        <v>4</v>
      </c>
      <c r="AD3428"/>
    </row>
    <row r="3429" spans="10:30" ht="16.2" customHeight="1">
      <c r="J3429" s="80" t="s">
        <v>747</v>
      </c>
      <c r="L3429" t="s">
        <v>183</v>
      </c>
      <c r="M3429" t="s">
        <v>736</v>
      </c>
      <c r="N3429" t="str">
        <f t="shared" si="218"/>
        <v>Double RearBelow Normal 2075Versatrak 25mm Ring Front and 16mm Glide Back Combo Bracket</v>
      </c>
      <c r="O3429">
        <v>70</v>
      </c>
      <c r="P3429">
        <v>64</v>
      </c>
      <c r="Q3429" s="80">
        <v>0</v>
      </c>
      <c r="R3429" s="80">
        <f t="shared" si="219"/>
        <v>-6</v>
      </c>
      <c r="AD3429"/>
    </row>
    <row r="3430" spans="10:30" ht="16.2" customHeight="1">
      <c r="J3430" s="80" t="s">
        <v>747</v>
      </c>
      <c r="L3430" t="s">
        <v>182</v>
      </c>
      <c r="M3430" t="s">
        <v>736</v>
      </c>
      <c r="N3430" t="str">
        <f t="shared" si="218"/>
        <v>Double RearBetween Level and Normal 2073Versatrak 25mm Ring Front and 16mm Glide Back Combo Bracket</v>
      </c>
      <c r="O3430">
        <v>48</v>
      </c>
      <c r="P3430">
        <v>64</v>
      </c>
      <c r="Q3430" s="80">
        <v>0</v>
      </c>
      <c r="R3430" s="80">
        <f t="shared" si="219"/>
        <v>16</v>
      </c>
      <c r="AD3430"/>
    </row>
    <row r="3431" spans="10:30" ht="16.2" customHeight="1">
      <c r="J3431" s="80" t="s">
        <v>747</v>
      </c>
      <c r="L3431" t="s">
        <v>184</v>
      </c>
      <c r="M3431" t="s">
        <v>736</v>
      </c>
      <c r="N3431" t="str">
        <f t="shared" si="218"/>
        <v>Double RearDecorator 2071Versatrak 25mm Ring Front and 16mm Glide Back Combo Bracket</v>
      </c>
      <c r="O3431">
        <v>20</v>
      </c>
      <c r="P3431">
        <v>64</v>
      </c>
      <c r="Q3431" s="80">
        <v>0</v>
      </c>
      <c r="R3431" s="80">
        <f t="shared" si="219"/>
        <v>44</v>
      </c>
      <c r="AD3431"/>
    </row>
    <row r="3432" spans="10:30" ht="16.2" customHeight="1">
      <c r="J3432" s="80" t="s">
        <v>747</v>
      </c>
      <c r="L3432" t="s">
        <v>229</v>
      </c>
      <c r="M3432" t="s">
        <v>736</v>
      </c>
      <c r="N3432" t="str">
        <f t="shared" si="218"/>
        <v>Double RearGather Hook LevelVersatrak 25mm Ring Front and 16mm Glide Back Combo Bracket</v>
      </c>
      <c r="O3432">
        <v>20</v>
      </c>
      <c r="P3432">
        <v>64</v>
      </c>
      <c r="Q3432" s="80">
        <v>0</v>
      </c>
      <c r="R3432" s="80">
        <f t="shared" si="219"/>
        <v>44</v>
      </c>
      <c r="AD3432"/>
    </row>
    <row r="3433" spans="10:30" ht="16.2" customHeight="1">
      <c r="J3433" s="80" t="s">
        <v>747</v>
      </c>
      <c r="L3433" t="s">
        <v>228</v>
      </c>
      <c r="M3433" t="s">
        <v>736</v>
      </c>
      <c r="N3433" t="str">
        <f t="shared" si="218"/>
        <v>Double RearGather Hook NormalVersatrak 25mm Ring Front and 16mm Glide Back Combo Bracket</v>
      </c>
      <c r="O3433">
        <v>43</v>
      </c>
      <c r="P3433">
        <v>64</v>
      </c>
      <c r="Q3433" s="80">
        <v>0</v>
      </c>
      <c r="R3433" s="80">
        <f t="shared" si="219"/>
        <v>21</v>
      </c>
      <c r="AD3433"/>
    </row>
    <row r="3434" spans="10:30" ht="16.2" customHeight="1">
      <c r="J3434" s="80" t="s">
        <v>747</v>
      </c>
      <c r="L3434" t="s">
        <v>282</v>
      </c>
      <c r="M3434" t="s">
        <v>736</v>
      </c>
      <c r="N3434" t="str">
        <f t="shared" si="218"/>
        <v>Double RearLevel 2072Versatrak 25mm Ring Front and 16mm Glide Back Combo Bracket</v>
      </c>
      <c r="O3434">
        <v>38</v>
      </c>
      <c r="P3434">
        <v>64</v>
      </c>
      <c r="Q3434" s="80">
        <v>0</v>
      </c>
      <c r="R3434" s="80">
        <f t="shared" si="219"/>
        <v>26</v>
      </c>
      <c r="AD3434"/>
    </row>
    <row r="3435" spans="10:30" ht="16.2" customHeight="1">
      <c r="J3435" s="80" t="s">
        <v>747</v>
      </c>
      <c r="L3435" t="s">
        <v>170</v>
      </c>
      <c r="M3435" t="s">
        <v>736</v>
      </c>
      <c r="N3435" t="str">
        <f t="shared" si="218"/>
        <v>Double RearNormal 2074Versatrak 25mm Ring Front and 16mm Glide Back Combo Bracket</v>
      </c>
      <c r="O3435">
        <v>60</v>
      </c>
      <c r="P3435">
        <v>64</v>
      </c>
      <c r="Q3435" s="80">
        <v>0</v>
      </c>
      <c r="R3435" s="80">
        <f t="shared" si="219"/>
        <v>4</v>
      </c>
      <c r="AD3435"/>
    </row>
    <row r="3436" spans="10:30" ht="16.2" customHeight="1">
      <c r="J3436" s="80" t="s">
        <v>746</v>
      </c>
      <c r="L3436" t="s">
        <v>183</v>
      </c>
      <c r="M3436" s="80" t="s">
        <v>727</v>
      </c>
      <c r="N3436" t="str">
        <f t="shared" si="218"/>
        <v>Double FrontBelow Normal 2075Versatrak Glide Bracket 100mm</v>
      </c>
      <c r="O3436">
        <v>70</v>
      </c>
      <c r="P3436">
        <v>32</v>
      </c>
      <c r="Q3436" s="80">
        <v>0</v>
      </c>
      <c r="R3436" s="80">
        <f t="shared" si="219"/>
        <v>-38</v>
      </c>
      <c r="AD3436"/>
    </row>
    <row r="3437" spans="10:30" ht="16.2" customHeight="1">
      <c r="J3437" s="80" t="s">
        <v>747</v>
      </c>
      <c r="L3437" t="s">
        <v>183</v>
      </c>
      <c r="M3437" s="80" t="s">
        <v>727</v>
      </c>
      <c r="N3437" t="str">
        <f t="shared" si="218"/>
        <v>Double RearBelow Normal 2075Versatrak Glide Bracket 100mm</v>
      </c>
      <c r="O3437">
        <v>70</v>
      </c>
      <c r="P3437">
        <v>32</v>
      </c>
      <c r="Q3437" s="80">
        <v>0</v>
      </c>
      <c r="R3437" s="80">
        <f t="shared" si="219"/>
        <v>-38</v>
      </c>
      <c r="AD3437"/>
    </row>
    <row r="3438" spans="10:30" ht="16.2" customHeight="1">
      <c r="J3438" s="80" t="s">
        <v>725</v>
      </c>
      <c r="L3438" t="s">
        <v>183</v>
      </c>
      <c r="M3438" s="80" t="s">
        <v>727</v>
      </c>
      <c r="N3438" t="str">
        <f t="shared" si="218"/>
        <v>SingleBelow Normal 2075Versatrak Glide Bracket 100mm</v>
      </c>
      <c r="O3438">
        <v>70</v>
      </c>
      <c r="P3438">
        <v>32</v>
      </c>
      <c r="Q3438" s="80">
        <v>0</v>
      </c>
      <c r="R3438" s="80">
        <f t="shared" si="219"/>
        <v>-38</v>
      </c>
      <c r="AD3438"/>
    </row>
    <row r="3439" spans="10:30" ht="16.2" customHeight="1">
      <c r="J3439" s="80" t="s">
        <v>746</v>
      </c>
      <c r="L3439" t="s">
        <v>182</v>
      </c>
      <c r="M3439" s="80" t="s">
        <v>727</v>
      </c>
      <c r="N3439" t="str">
        <f t="shared" si="218"/>
        <v>Double FrontBetween Level and Normal 2073Versatrak Glide Bracket 100mm</v>
      </c>
      <c r="O3439">
        <v>48</v>
      </c>
      <c r="P3439">
        <v>32</v>
      </c>
      <c r="Q3439" s="80">
        <v>0</v>
      </c>
      <c r="R3439" s="80">
        <f t="shared" si="219"/>
        <v>-16</v>
      </c>
      <c r="AD3439"/>
    </row>
    <row r="3440" spans="10:30" ht="16.2" customHeight="1">
      <c r="J3440" s="80" t="s">
        <v>747</v>
      </c>
      <c r="L3440" t="s">
        <v>182</v>
      </c>
      <c r="M3440" s="80" t="s">
        <v>727</v>
      </c>
      <c r="N3440" t="str">
        <f t="shared" si="218"/>
        <v>Double RearBetween Level and Normal 2073Versatrak Glide Bracket 100mm</v>
      </c>
      <c r="O3440">
        <v>48</v>
      </c>
      <c r="P3440">
        <v>32</v>
      </c>
      <c r="Q3440" s="80">
        <v>0</v>
      </c>
      <c r="R3440" s="80">
        <f t="shared" si="219"/>
        <v>-16</v>
      </c>
      <c r="AD3440"/>
    </row>
    <row r="3441" spans="10:30" ht="16.2" customHeight="1">
      <c r="J3441" s="80" t="s">
        <v>725</v>
      </c>
      <c r="L3441" t="s">
        <v>182</v>
      </c>
      <c r="M3441" s="80" t="s">
        <v>727</v>
      </c>
      <c r="N3441" t="str">
        <f t="shared" si="218"/>
        <v>SingleBetween Level and Normal 2073Versatrak Glide Bracket 100mm</v>
      </c>
      <c r="O3441">
        <v>47</v>
      </c>
      <c r="P3441">
        <v>32</v>
      </c>
      <c r="Q3441" s="80">
        <v>0</v>
      </c>
      <c r="R3441" s="80">
        <f t="shared" si="219"/>
        <v>-15</v>
      </c>
      <c r="AD3441"/>
    </row>
    <row r="3442" spans="10:30" ht="16.2" customHeight="1">
      <c r="J3442" s="80" t="s">
        <v>746</v>
      </c>
      <c r="L3442" t="s">
        <v>184</v>
      </c>
      <c r="M3442" s="80" t="s">
        <v>727</v>
      </c>
      <c r="N3442" t="str">
        <f t="shared" si="218"/>
        <v>Double FrontDecorator 2071Versatrak Glide Bracket 100mm</v>
      </c>
      <c r="O3442">
        <v>20</v>
      </c>
      <c r="P3442">
        <v>32</v>
      </c>
      <c r="Q3442" s="80">
        <v>0</v>
      </c>
      <c r="R3442" s="80">
        <f t="shared" si="219"/>
        <v>12</v>
      </c>
      <c r="AD3442"/>
    </row>
    <row r="3443" spans="10:30" ht="16.2" customHeight="1">
      <c r="J3443" s="80" t="s">
        <v>747</v>
      </c>
      <c r="L3443" t="s">
        <v>184</v>
      </c>
      <c r="M3443" s="80" t="s">
        <v>727</v>
      </c>
      <c r="N3443" t="str">
        <f t="shared" si="218"/>
        <v>Double RearDecorator 2071Versatrak Glide Bracket 100mm</v>
      </c>
      <c r="O3443">
        <v>20</v>
      </c>
      <c r="P3443">
        <v>32</v>
      </c>
      <c r="Q3443" s="80">
        <v>0</v>
      </c>
      <c r="R3443" s="80">
        <f t="shared" si="219"/>
        <v>12</v>
      </c>
      <c r="AD3443"/>
    </row>
    <row r="3444" spans="10:30" ht="16.2" customHeight="1">
      <c r="J3444" s="80" t="s">
        <v>725</v>
      </c>
      <c r="L3444" t="s">
        <v>184</v>
      </c>
      <c r="M3444" s="80" t="s">
        <v>727</v>
      </c>
      <c r="N3444" t="str">
        <f t="shared" si="218"/>
        <v>SingleDecorator 2071Versatrak Glide Bracket 100mm</v>
      </c>
      <c r="O3444">
        <v>20</v>
      </c>
      <c r="P3444">
        <v>32</v>
      </c>
      <c r="Q3444" s="80">
        <v>0</v>
      </c>
      <c r="R3444" s="80">
        <f t="shared" si="219"/>
        <v>12</v>
      </c>
      <c r="AD3444"/>
    </row>
    <row r="3445" spans="10:30" ht="16.2" customHeight="1">
      <c r="J3445" s="80" t="s">
        <v>725</v>
      </c>
      <c r="L3445" t="s">
        <v>6468</v>
      </c>
      <c r="M3445" s="80" t="s">
        <v>727</v>
      </c>
      <c r="N3445" t="str">
        <f t="shared" si="218"/>
        <v>SingleGather Hook Bottom PocketVersatrak Glide Bracket 100mm</v>
      </c>
      <c r="O3445">
        <v>60</v>
      </c>
      <c r="P3445">
        <v>32</v>
      </c>
      <c r="Q3445" s="80">
        <v>0</v>
      </c>
      <c r="R3445" s="80">
        <f t="shared" si="219"/>
        <v>-28</v>
      </c>
      <c r="AD3445"/>
    </row>
    <row r="3446" spans="10:30" ht="16.2" customHeight="1">
      <c r="J3446" s="80" t="s">
        <v>746</v>
      </c>
      <c r="L3446" t="s">
        <v>229</v>
      </c>
      <c r="M3446" s="80" t="s">
        <v>727</v>
      </c>
      <c r="N3446" t="str">
        <f t="shared" si="218"/>
        <v>Double FrontGather Hook LevelVersatrak Glide Bracket 100mm</v>
      </c>
      <c r="O3446">
        <v>20</v>
      </c>
      <c r="P3446">
        <v>32</v>
      </c>
      <c r="Q3446" s="80">
        <v>0</v>
      </c>
      <c r="R3446" s="80">
        <f t="shared" si="219"/>
        <v>12</v>
      </c>
      <c r="AD3446"/>
    </row>
    <row r="3447" spans="10:30" ht="16.2" customHeight="1">
      <c r="J3447" s="80" t="s">
        <v>747</v>
      </c>
      <c r="L3447" t="s">
        <v>229</v>
      </c>
      <c r="M3447" s="80" t="s">
        <v>727</v>
      </c>
      <c r="N3447" t="str">
        <f t="shared" si="218"/>
        <v>Double RearGather Hook LevelVersatrak Glide Bracket 100mm</v>
      </c>
      <c r="O3447">
        <v>20</v>
      </c>
      <c r="P3447">
        <v>32</v>
      </c>
      <c r="Q3447" s="80">
        <v>0</v>
      </c>
      <c r="R3447" s="80">
        <f t="shared" si="219"/>
        <v>12</v>
      </c>
      <c r="AD3447"/>
    </row>
    <row r="3448" spans="10:30" ht="16.2" customHeight="1">
      <c r="J3448" s="80" t="s">
        <v>725</v>
      </c>
      <c r="L3448" t="s">
        <v>229</v>
      </c>
      <c r="M3448" s="80" t="s">
        <v>727</v>
      </c>
      <c r="N3448" t="str">
        <f t="shared" si="218"/>
        <v>SingleGather Hook LevelVersatrak Glide Bracket 100mm</v>
      </c>
      <c r="O3448">
        <v>20</v>
      </c>
      <c r="P3448">
        <v>32</v>
      </c>
      <c r="Q3448" s="80">
        <v>0</v>
      </c>
      <c r="R3448" s="80">
        <f t="shared" si="219"/>
        <v>12</v>
      </c>
      <c r="AD3448"/>
    </row>
    <row r="3449" spans="10:30" ht="16.2" customHeight="1">
      <c r="J3449" s="80" t="s">
        <v>746</v>
      </c>
      <c r="L3449" t="s">
        <v>228</v>
      </c>
      <c r="M3449" s="80" t="s">
        <v>727</v>
      </c>
      <c r="N3449" t="str">
        <f t="shared" si="218"/>
        <v>Double FrontGather Hook NormalVersatrak Glide Bracket 100mm</v>
      </c>
      <c r="O3449">
        <v>43</v>
      </c>
      <c r="P3449">
        <v>32</v>
      </c>
      <c r="Q3449" s="80">
        <v>0</v>
      </c>
      <c r="R3449" s="80">
        <f t="shared" si="219"/>
        <v>-11</v>
      </c>
      <c r="AD3449"/>
    </row>
    <row r="3450" spans="10:30" ht="16.2" customHeight="1">
      <c r="J3450" s="80" t="s">
        <v>747</v>
      </c>
      <c r="L3450" t="s">
        <v>228</v>
      </c>
      <c r="M3450" s="80" t="s">
        <v>727</v>
      </c>
      <c r="N3450" t="str">
        <f t="shared" si="218"/>
        <v>Double RearGather Hook NormalVersatrak Glide Bracket 100mm</v>
      </c>
      <c r="O3450">
        <v>43</v>
      </c>
      <c r="P3450">
        <v>32</v>
      </c>
      <c r="Q3450" s="80">
        <v>0</v>
      </c>
      <c r="R3450" s="80">
        <f t="shared" si="219"/>
        <v>-11</v>
      </c>
      <c r="AD3450"/>
    </row>
    <row r="3451" spans="10:30" ht="16.2" customHeight="1">
      <c r="J3451" s="80" t="s">
        <v>725</v>
      </c>
      <c r="L3451" t="s">
        <v>228</v>
      </c>
      <c r="M3451" s="80" t="s">
        <v>727</v>
      </c>
      <c r="N3451" t="str">
        <f t="shared" si="218"/>
        <v>SingleGather Hook NormalVersatrak Glide Bracket 100mm</v>
      </c>
      <c r="O3451">
        <v>43</v>
      </c>
      <c r="P3451">
        <v>32</v>
      </c>
      <c r="Q3451" s="80">
        <v>0</v>
      </c>
      <c r="R3451" s="80">
        <f t="shared" si="219"/>
        <v>-11</v>
      </c>
      <c r="AD3451"/>
    </row>
    <row r="3452" spans="10:30" ht="16.2" customHeight="1">
      <c r="J3452" s="80" t="s">
        <v>746</v>
      </c>
      <c r="L3452" t="s">
        <v>282</v>
      </c>
      <c r="M3452" s="80" t="s">
        <v>727</v>
      </c>
      <c r="N3452" t="str">
        <f t="shared" si="218"/>
        <v>Double FrontLevel 2072Versatrak Glide Bracket 100mm</v>
      </c>
      <c r="O3452">
        <v>38</v>
      </c>
      <c r="P3452">
        <v>32</v>
      </c>
      <c r="Q3452" s="80">
        <v>0</v>
      </c>
      <c r="R3452" s="80">
        <f t="shared" si="219"/>
        <v>-6</v>
      </c>
      <c r="AD3452"/>
    </row>
    <row r="3453" spans="10:30" ht="16.2" customHeight="1">
      <c r="J3453" s="80" t="s">
        <v>747</v>
      </c>
      <c r="L3453" t="s">
        <v>282</v>
      </c>
      <c r="M3453" s="80" t="s">
        <v>727</v>
      </c>
      <c r="N3453" t="str">
        <f t="shared" si="218"/>
        <v>Double RearLevel 2072Versatrak Glide Bracket 100mm</v>
      </c>
      <c r="O3453">
        <v>38</v>
      </c>
      <c r="P3453">
        <v>32</v>
      </c>
      <c r="Q3453" s="80">
        <v>0</v>
      </c>
      <c r="R3453" s="80">
        <f t="shared" si="219"/>
        <v>-6</v>
      </c>
      <c r="AD3453"/>
    </row>
    <row r="3454" spans="10:30" ht="16.2" customHeight="1">
      <c r="J3454" s="80" t="s">
        <v>725</v>
      </c>
      <c r="L3454" t="s">
        <v>282</v>
      </c>
      <c r="M3454" s="80" t="s">
        <v>727</v>
      </c>
      <c r="N3454" t="str">
        <f t="shared" si="218"/>
        <v>SingleLevel 2072Versatrak Glide Bracket 100mm</v>
      </c>
      <c r="O3454">
        <v>35</v>
      </c>
      <c r="P3454">
        <v>32</v>
      </c>
      <c r="Q3454" s="80">
        <v>0</v>
      </c>
      <c r="R3454" s="80">
        <f t="shared" si="219"/>
        <v>-3</v>
      </c>
      <c r="AD3454"/>
    </row>
    <row r="3455" spans="10:30" ht="16.2" customHeight="1">
      <c r="J3455" s="80" t="s">
        <v>746</v>
      </c>
      <c r="L3455" t="s">
        <v>170</v>
      </c>
      <c r="M3455" s="80" t="s">
        <v>727</v>
      </c>
      <c r="N3455" t="str">
        <f t="shared" si="218"/>
        <v>Double FrontNormal 2074Versatrak Glide Bracket 100mm</v>
      </c>
      <c r="O3455">
        <v>60</v>
      </c>
      <c r="P3455">
        <v>32</v>
      </c>
      <c r="Q3455" s="80">
        <v>0</v>
      </c>
      <c r="R3455" s="80">
        <f t="shared" si="219"/>
        <v>-28</v>
      </c>
      <c r="AD3455"/>
    </row>
    <row r="3456" spans="10:30" ht="16.2" customHeight="1">
      <c r="J3456" s="80" t="s">
        <v>747</v>
      </c>
      <c r="L3456" t="s">
        <v>170</v>
      </c>
      <c r="M3456" s="80" t="s">
        <v>727</v>
      </c>
      <c r="N3456" t="str">
        <f t="shared" si="218"/>
        <v>Double RearNormal 2074Versatrak Glide Bracket 100mm</v>
      </c>
      <c r="O3456">
        <v>60</v>
      </c>
      <c r="P3456">
        <v>32</v>
      </c>
      <c r="Q3456" s="80">
        <v>0</v>
      </c>
      <c r="R3456" s="80">
        <f t="shared" si="219"/>
        <v>-28</v>
      </c>
      <c r="AD3456"/>
    </row>
    <row r="3457" spans="10:30" ht="16.2" customHeight="1">
      <c r="J3457" s="80" t="s">
        <v>725</v>
      </c>
      <c r="L3457" t="s">
        <v>170</v>
      </c>
      <c r="M3457" s="80" t="s">
        <v>727</v>
      </c>
      <c r="N3457" t="str">
        <f t="shared" si="218"/>
        <v>SingleNormal 2074Versatrak Glide Bracket 100mm</v>
      </c>
      <c r="O3457">
        <v>60</v>
      </c>
      <c r="P3457">
        <v>32</v>
      </c>
      <c r="Q3457" s="80">
        <v>0</v>
      </c>
      <c r="R3457" s="80">
        <f t="shared" si="219"/>
        <v>-28</v>
      </c>
      <c r="AD3457"/>
    </row>
    <row r="3458" spans="10:30" ht="16.2" customHeight="1">
      <c r="J3458" s="80" t="s">
        <v>746</v>
      </c>
      <c r="L3458" t="s">
        <v>183</v>
      </c>
      <c r="M3458" s="80" t="s">
        <v>728</v>
      </c>
      <c r="N3458" t="str">
        <f t="shared" si="220" ref="N3458:N3521">(CONCATENATE(J3458,K3458,L3458,M3458))</f>
        <v>Double FrontBelow Normal 2075Versatrak Glide Bracket 140mm</v>
      </c>
      <c r="O3458">
        <v>70</v>
      </c>
      <c r="P3458">
        <v>32</v>
      </c>
      <c r="Q3458" s="80">
        <v>0</v>
      </c>
      <c r="R3458" s="80">
        <f t="shared" si="219"/>
        <v>-38</v>
      </c>
      <c r="AD3458"/>
    </row>
    <row r="3459" spans="10:30" ht="16.2" customHeight="1">
      <c r="J3459" s="80" t="s">
        <v>747</v>
      </c>
      <c r="L3459" t="s">
        <v>183</v>
      </c>
      <c r="M3459" s="80" t="s">
        <v>728</v>
      </c>
      <c r="N3459" t="str">
        <f t="shared" si="220"/>
        <v>Double RearBelow Normal 2075Versatrak Glide Bracket 140mm</v>
      </c>
      <c r="O3459">
        <v>70</v>
      </c>
      <c r="P3459">
        <v>32</v>
      </c>
      <c r="Q3459" s="80">
        <v>0</v>
      </c>
      <c r="R3459" s="80">
        <f t="shared" si="219"/>
        <v>-38</v>
      </c>
      <c r="AD3459"/>
    </row>
    <row r="3460" spans="10:30" ht="16.2" customHeight="1">
      <c r="J3460" s="80" t="s">
        <v>725</v>
      </c>
      <c r="L3460" t="s">
        <v>183</v>
      </c>
      <c r="M3460" s="80" t="s">
        <v>728</v>
      </c>
      <c r="N3460" t="str">
        <f t="shared" si="220"/>
        <v>SingleBelow Normal 2075Versatrak Glide Bracket 140mm</v>
      </c>
      <c r="O3460">
        <v>70</v>
      </c>
      <c r="P3460">
        <v>32</v>
      </c>
      <c r="Q3460" s="80">
        <v>0</v>
      </c>
      <c r="R3460" s="80">
        <f t="shared" si="219"/>
        <v>-38</v>
      </c>
      <c r="AD3460"/>
    </row>
    <row r="3461" spans="10:30" ht="16.2" customHeight="1">
      <c r="J3461" s="80" t="s">
        <v>746</v>
      </c>
      <c r="L3461" t="s">
        <v>182</v>
      </c>
      <c r="M3461" s="80" t="s">
        <v>728</v>
      </c>
      <c r="N3461" t="str">
        <f t="shared" si="220"/>
        <v>Double FrontBetween Level and Normal 2073Versatrak Glide Bracket 140mm</v>
      </c>
      <c r="O3461">
        <v>48</v>
      </c>
      <c r="P3461">
        <v>32</v>
      </c>
      <c r="Q3461" s="80">
        <v>0</v>
      </c>
      <c r="R3461" s="80">
        <f t="shared" si="219"/>
        <v>-16</v>
      </c>
      <c r="AD3461"/>
    </row>
    <row r="3462" spans="10:30" ht="16.2" customHeight="1">
      <c r="J3462" s="80" t="s">
        <v>747</v>
      </c>
      <c r="L3462" t="s">
        <v>182</v>
      </c>
      <c r="M3462" s="80" t="s">
        <v>728</v>
      </c>
      <c r="N3462" t="str">
        <f t="shared" si="220"/>
        <v>Double RearBetween Level and Normal 2073Versatrak Glide Bracket 140mm</v>
      </c>
      <c r="O3462">
        <v>48</v>
      </c>
      <c r="P3462">
        <v>32</v>
      </c>
      <c r="Q3462" s="80">
        <v>0</v>
      </c>
      <c r="R3462" s="80">
        <f t="shared" si="219"/>
        <v>-16</v>
      </c>
      <c r="AD3462"/>
    </row>
    <row r="3463" spans="10:30" ht="16.2" customHeight="1">
      <c r="J3463" s="80" t="s">
        <v>725</v>
      </c>
      <c r="L3463" t="s">
        <v>182</v>
      </c>
      <c r="M3463" s="80" t="s">
        <v>728</v>
      </c>
      <c r="N3463" t="str">
        <f t="shared" si="220"/>
        <v>SingleBetween Level and Normal 2073Versatrak Glide Bracket 140mm</v>
      </c>
      <c r="O3463">
        <v>47</v>
      </c>
      <c r="P3463">
        <v>32</v>
      </c>
      <c r="Q3463" s="80">
        <v>0</v>
      </c>
      <c r="R3463" s="80">
        <f t="shared" si="219"/>
        <v>-15</v>
      </c>
      <c r="AD3463"/>
    </row>
    <row r="3464" spans="10:30" ht="16.2" customHeight="1">
      <c r="J3464" s="80" t="s">
        <v>746</v>
      </c>
      <c r="L3464" t="s">
        <v>184</v>
      </c>
      <c r="M3464" s="80" t="s">
        <v>728</v>
      </c>
      <c r="N3464" t="str">
        <f t="shared" si="220"/>
        <v>Double FrontDecorator 2071Versatrak Glide Bracket 140mm</v>
      </c>
      <c r="O3464">
        <v>20</v>
      </c>
      <c r="P3464">
        <v>32</v>
      </c>
      <c r="Q3464" s="80">
        <v>0</v>
      </c>
      <c r="R3464" s="80">
        <f t="shared" si="219"/>
        <v>12</v>
      </c>
      <c r="AD3464"/>
    </row>
    <row r="3465" spans="10:30" ht="16.2" customHeight="1">
      <c r="J3465" s="80" t="s">
        <v>747</v>
      </c>
      <c r="L3465" t="s">
        <v>184</v>
      </c>
      <c r="M3465" s="80" t="s">
        <v>728</v>
      </c>
      <c r="N3465" t="str">
        <f t="shared" si="220"/>
        <v>Double RearDecorator 2071Versatrak Glide Bracket 140mm</v>
      </c>
      <c r="O3465">
        <v>20</v>
      </c>
      <c r="P3465">
        <v>32</v>
      </c>
      <c r="Q3465" s="80">
        <v>0</v>
      </c>
      <c r="R3465" s="80">
        <f t="shared" si="219"/>
        <v>12</v>
      </c>
      <c r="AD3465"/>
    </row>
    <row r="3466" spans="10:30" ht="16.2" customHeight="1">
      <c r="J3466" s="80" t="s">
        <v>725</v>
      </c>
      <c r="L3466" t="s">
        <v>184</v>
      </c>
      <c r="M3466" s="80" t="s">
        <v>728</v>
      </c>
      <c r="N3466" t="str">
        <f t="shared" si="220"/>
        <v>SingleDecorator 2071Versatrak Glide Bracket 140mm</v>
      </c>
      <c r="O3466">
        <v>20</v>
      </c>
      <c r="P3466">
        <v>32</v>
      </c>
      <c r="Q3466" s="80">
        <v>0</v>
      </c>
      <c r="R3466" s="80">
        <f t="shared" si="219"/>
        <v>12</v>
      </c>
      <c r="AD3466"/>
    </row>
    <row r="3467" spans="10:30" ht="16.2" customHeight="1">
      <c r="J3467" s="80" t="s">
        <v>725</v>
      </c>
      <c r="L3467" t="s">
        <v>6468</v>
      </c>
      <c r="M3467" s="80" t="s">
        <v>728</v>
      </c>
      <c r="N3467" t="str">
        <f t="shared" si="220"/>
        <v>SingleGather Hook Bottom PocketVersatrak Glide Bracket 140mm</v>
      </c>
      <c r="O3467">
        <v>60</v>
      </c>
      <c r="P3467">
        <v>32</v>
      </c>
      <c r="Q3467" s="80">
        <v>0</v>
      </c>
      <c r="R3467" s="80">
        <f t="shared" si="219"/>
        <v>-28</v>
      </c>
      <c r="AD3467"/>
    </row>
    <row r="3468" spans="10:30" ht="16.2" customHeight="1">
      <c r="J3468" s="80" t="s">
        <v>746</v>
      </c>
      <c r="L3468" t="s">
        <v>229</v>
      </c>
      <c r="M3468" s="80" t="s">
        <v>728</v>
      </c>
      <c r="N3468" t="str">
        <f t="shared" si="220"/>
        <v>Double FrontGather Hook LevelVersatrak Glide Bracket 140mm</v>
      </c>
      <c r="O3468">
        <v>20</v>
      </c>
      <c r="P3468">
        <v>32</v>
      </c>
      <c r="Q3468" s="80">
        <v>0</v>
      </c>
      <c r="R3468" s="80">
        <f t="shared" si="219"/>
        <v>12</v>
      </c>
      <c r="AD3468"/>
    </row>
    <row r="3469" spans="10:30" ht="16.2" customHeight="1">
      <c r="J3469" s="80" t="s">
        <v>747</v>
      </c>
      <c r="L3469" t="s">
        <v>229</v>
      </c>
      <c r="M3469" s="80" t="s">
        <v>728</v>
      </c>
      <c r="N3469" t="str">
        <f t="shared" si="220"/>
        <v>Double RearGather Hook LevelVersatrak Glide Bracket 140mm</v>
      </c>
      <c r="O3469">
        <v>20</v>
      </c>
      <c r="P3469">
        <v>32</v>
      </c>
      <c r="Q3469" s="80">
        <v>0</v>
      </c>
      <c r="R3469" s="80">
        <f t="shared" si="219"/>
        <v>12</v>
      </c>
      <c r="AD3469"/>
    </row>
    <row r="3470" spans="10:30" ht="16.2" customHeight="1">
      <c r="J3470" s="80" t="s">
        <v>725</v>
      </c>
      <c r="L3470" t="s">
        <v>229</v>
      </c>
      <c r="M3470" s="80" t="s">
        <v>728</v>
      </c>
      <c r="N3470" t="str">
        <f t="shared" si="220"/>
        <v>SingleGather Hook LevelVersatrak Glide Bracket 140mm</v>
      </c>
      <c r="O3470">
        <v>20</v>
      </c>
      <c r="P3470">
        <v>32</v>
      </c>
      <c r="Q3470" s="80">
        <v>0</v>
      </c>
      <c r="R3470" s="80">
        <f t="shared" si="219"/>
        <v>12</v>
      </c>
      <c r="AD3470"/>
    </row>
    <row r="3471" spans="10:30" ht="16.2" customHeight="1">
      <c r="J3471" s="80" t="s">
        <v>746</v>
      </c>
      <c r="L3471" t="s">
        <v>228</v>
      </c>
      <c r="M3471" s="80" t="s">
        <v>728</v>
      </c>
      <c r="N3471" t="str">
        <f t="shared" si="220"/>
        <v>Double FrontGather Hook NormalVersatrak Glide Bracket 140mm</v>
      </c>
      <c r="O3471">
        <v>43</v>
      </c>
      <c r="P3471">
        <v>32</v>
      </c>
      <c r="Q3471" s="80">
        <v>0</v>
      </c>
      <c r="R3471" s="80">
        <f t="shared" si="219"/>
        <v>-11</v>
      </c>
      <c r="AD3471"/>
    </row>
    <row r="3472" spans="10:30" ht="16.2" customHeight="1">
      <c r="J3472" s="80" t="s">
        <v>747</v>
      </c>
      <c r="L3472" t="s">
        <v>228</v>
      </c>
      <c r="M3472" s="80" t="s">
        <v>728</v>
      </c>
      <c r="N3472" t="str">
        <f t="shared" si="220"/>
        <v>Double RearGather Hook NormalVersatrak Glide Bracket 140mm</v>
      </c>
      <c r="O3472">
        <v>43</v>
      </c>
      <c r="P3472">
        <v>32</v>
      </c>
      <c r="Q3472" s="80">
        <v>0</v>
      </c>
      <c r="R3472" s="80">
        <f t="shared" si="219"/>
        <v>-11</v>
      </c>
      <c r="AD3472"/>
    </row>
    <row r="3473" spans="10:30" ht="16.2" customHeight="1">
      <c r="J3473" s="80" t="s">
        <v>725</v>
      </c>
      <c r="L3473" t="s">
        <v>228</v>
      </c>
      <c r="M3473" s="80" t="s">
        <v>728</v>
      </c>
      <c r="N3473" t="str">
        <f t="shared" si="220"/>
        <v>SingleGather Hook NormalVersatrak Glide Bracket 140mm</v>
      </c>
      <c r="O3473">
        <v>43</v>
      </c>
      <c r="P3473">
        <v>32</v>
      </c>
      <c r="Q3473" s="80">
        <v>0</v>
      </c>
      <c r="R3473" s="80">
        <f t="shared" si="219"/>
        <v>-11</v>
      </c>
      <c r="AD3473"/>
    </row>
    <row r="3474" spans="10:30" ht="16.2" customHeight="1">
      <c r="J3474" s="80" t="s">
        <v>746</v>
      </c>
      <c r="L3474" t="s">
        <v>282</v>
      </c>
      <c r="M3474" s="80" t="s">
        <v>728</v>
      </c>
      <c r="N3474" t="str">
        <f t="shared" si="220"/>
        <v>Double FrontLevel 2072Versatrak Glide Bracket 140mm</v>
      </c>
      <c r="O3474">
        <v>38</v>
      </c>
      <c r="P3474">
        <v>32</v>
      </c>
      <c r="Q3474" s="80">
        <v>0</v>
      </c>
      <c r="R3474" s="80">
        <f t="shared" si="219"/>
        <v>-6</v>
      </c>
      <c r="AD3474"/>
    </row>
    <row r="3475" spans="10:30" ht="16.2" customHeight="1">
      <c r="J3475" s="80" t="s">
        <v>747</v>
      </c>
      <c r="L3475" t="s">
        <v>282</v>
      </c>
      <c r="M3475" s="80" t="s">
        <v>728</v>
      </c>
      <c r="N3475" t="str">
        <f t="shared" si="220"/>
        <v>Double RearLevel 2072Versatrak Glide Bracket 140mm</v>
      </c>
      <c r="O3475">
        <v>38</v>
      </c>
      <c r="P3475">
        <v>32</v>
      </c>
      <c r="Q3475" s="80">
        <v>0</v>
      </c>
      <c r="R3475" s="80">
        <f t="shared" si="219"/>
        <v>-6</v>
      </c>
      <c r="AD3475"/>
    </row>
    <row r="3476" spans="10:30" ht="16.2" customHeight="1">
      <c r="J3476" s="80" t="s">
        <v>725</v>
      </c>
      <c r="L3476" t="s">
        <v>282</v>
      </c>
      <c r="M3476" s="80" t="s">
        <v>728</v>
      </c>
      <c r="N3476" t="str">
        <f t="shared" si="220"/>
        <v>SingleLevel 2072Versatrak Glide Bracket 140mm</v>
      </c>
      <c r="O3476">
        <v>35</v>
      </c>
      <c r="P3476">
        <v>32</v>
      </c>
      <c r="Q3476" s="80">
        <v>0</v>
      </c>
      <c r="R3476" s="80">
        <f t="shared" si="219"/>
        <v>-3</v>
      </c>
      <c r="AD3476"/>
    </row>
    <row r="3477" spans="10:30" ht="16.2" customHeight="1">
      <c r="J3477" s="80" t="s">
        <v>746</v>
      </c>
      <c r="L3477" t="s">
        <v>170</v>
      </c>
      <c r="M3477" s="80" t="s">
        <v>728</v>
      </c>
      <c r="N3477" t="str">
        <f t="shared" si="220"/>
        <v>Double FrontNormal 2074Versatrak Glide Bracket 140mm</v>
      </c>
      <c r="O3477">
        <v>60</v>
      </c>
      <c r="P3477">
        <v>32</v>
      </c>
      <c r="Q3477" s="80">
        <v>0</v>
      </c>
      <c r="R3477" s="80">
        <f t="shared" si="219"/>
        <v>-28</v>
      </c>
      <c r="AD3477"/>
    </row>
    <row r="3478" spans="10:30" ht="16.2" customHeight="1">
      <c r="J3478" s="80" t="s">
        <v>747</v>
      </c>
      <c r="L3478" t="s">
        <v>170</v>
      </c>
      <c r="M3478" s="80" t="s">
        <v>728</v>
      </c>
      <c r="N3478" t="str">
        <f t="shared" si="220"/>
        <v>Double RearNormal 2074Versatrak Glide Bracket 140mm</v>
      </c>
      <c r="O3478">
        <v>60</v>
      </c>
      <c r="P3478">
        <v>32</v>
      </c>
      <c r="Q3478" s="80">
        <v>0</v>
      </c>
      <c r="R3478" s="80">
        <f t="shared" si="219"/>
        <v>-28</v>
      </c>
      <c r="AD3478"/>
    </row>
    <row r="3479" spans="10:30" ht="16.2" customHeight="1">
      <c r="J3479" s="80" t="s">
        <v>725</v>
      </c>
      <c r="L3479" t="s">
        <v>170</v>
      </c>
      <c r="M3479" s="80" t="s">
        <v>728</v>
      </c>
      <c r="N3479" t="str">
        <f t="shared" si="220"/>
        <v>SingleNormal 2074Versatrak Glide Bracket 140mm</v>
      </c>
      <c r="O3479">
        <v>60</v>
      </c>
      <c r="P3479">
        <v>32</v>
      </c>
      <c r="Q3479" s="80">
        <v>0</v>
      </c>
      <c r="R3479" s="80">
        <f t="shared" si="219"/>
        <v>-28</v>
      </c>
      <c r="AD3479"/>
    </row>
    <row r="3480" spans="10:30" ht="16.2" customHeight="1">
      <c r="J3480" s="80" t="s">
        <v>746</v>
      </c>
      <c r="L3480" t="s">
        <v>183</v>
      </c>
      <c r="M3480" t="s">
        <v>726</v>
      </c>
      <c r="N3480" t="str">
        <f t="shared" si="220"/>
        <v>Double FrontBelow Normal 2075Versatrak Glide Bracket 40mm</v>
      </c>
      <c r="O3480">
        <v>70</v>
      </c>
      <c r="P3480">
        <v>36</v>
      </c>
      <c r="Q3480" s="80">
        <v>0</v>
      </c>
      <c r="R3480" s="80">
        <f t="shared" si="219"/>
        <v>-34</v>
      </c>
      <c r="AD3480"/>
    </row>
    <row r="3481" spans="10:30" ht="16.2" customHeight="1">
      <c r="J3481" s="80" t="s">
        <v>747</v>
      </c>
      <c r="L3481" t="s">
        <v>183</v>
      </c>
      <c r="M3481" t="s">
        <v>726</v>
      </c>
      <c r="N3481" t="str">
        <f t="shared" si="220"/>
        <v>Double RearBelow Normal 2075Versatrak Glide Bracket 40mm</v>
      </c>
      <c r="O3481">
        <v>70</v>
      </c>
      <c r="P3481">
        <v>36</v>
      </c>
      <c r="Q3481" s="80">
        <v>0</v>
      </c>
      <c r="R3481" s="80">
        <f t="shared" si="219"/>
        <v>-34</v>
      </c>
      <c r="AD3481"/>
    </row>
    <row r="3482" spans="10:30" ht="16.2" customHeight="1">
      <c r="J3482" s="80" t="s">
        <v>725</v>
      </c>
      <c r="L3482" t="s">
        <v>183</v>
      </c>
      <c r="M3482" t="s">
        <v>726</v>
      </c>
      <c r="N3482" t="str">
        <f t="shared" si="220"/>
        <v>SingleBelow Normal 2075Versatrak Glide Bracket 40mm</v>
      </c>
      <c r="O3482">
        <v>70</v>
      </c>
      <c r="P3482">
        <v>36</v>
      </c>
      <c r="Q3482" s="80">
        <v>0</v>
      </c>
      <c r="R3482" s="80">
        <f t="shared" si="219"/>
        <v>-34</v>
      </c>
      <c r="AD3482"/>
    </row>
    <row r="3483" spans="10:30" ht="16.2" customHeight="1">
      <c r="J3483" s="80" t="s">
        <v>746</v>
      </c>
      <c r="L3483" t="s">
        <v>182</v>
      </c>
      <c r="M3483" t="s">
        <v>726</v>
      </c>
      <c r="N3483" t="str">
        <f t="shared" si="220"/>
        <v>Double FrontBetween Level and Normal 2073Versatrak Glide Bracket 40mm</v>
      </c>
      <c r="O3483">
        <v>48</v>
      </c>
      <c r="P3483">
        <v>36</v>
      </c>
      <c r="Q3483" s="80">
        <v>0</v>
      </c>
      <c r="R3483" s="80">
        <f t="shared" si="219"/>
        <v>-12</v>
      </c>
      <c r="AD3483"/>
    </row>
    <row r="3484" spans="10:30" ht="16.2" customHeight="1">
      <c r="J3484" s="80" t="s">
        <v>747</v>
      </c>
      <c r="L3484" t="s">
        <v>182</v>
      </c>
      <c r="M3484" t="s">
        <v>726</v>
      </c>
      <c r="N3484" t="str">
        <f t="shared" si="220"/>
        <v>Double RearBetween Level and Normal 2073Versatrak Glide Bracket 40mm</v>
      </c>
      <c r="O3484">
        <v>48</v>
      </c>
      <c r="P3484">
        <v>36</v>
      </c>
      <c r="Q3484" s="80">
        <v>0</v>
      </c>
      <c r="R3484" s="80">
        <f t="shared" si="219"/>
        <v>-12</v>
      </c>
      <c r="AD3484"/>
    </row>
    <row r="3485" spans="10:30" ht="16.2" customHeight="1">
      <c r="J3485" s="80" t="s">
        <v>725</v>
      </c>
      <c r="L3485" t="s">
        <v>182</v>
      </c>
      <c r="M3485" t="s">
        <v>726</v>
      </c>
      <c r="N3485" t="str">
        <f t="shared" si="220"/>
        <v>SingleBetween Level and Normal 2073Versatrak Glide Bracket 40mm</v>
      </c>
      <c r="O3485">
        <v>47</v>
      </c>
      <c r="P3485">
        <v>36</v>
      </c>
      <c r="Q3485" s="80">
        <v>0</v>
      </c>
      <c r="R3485" s="80">
        <f t="shared" si="219"/>
        <v>-11</v>
      </c>
      <c r="AD3485"/>
    </row>
    <row r="3486" spans="10:30" ht="16.2" customHeight="1">
      <c r="J3486" s="80" t="s">
        <v>746</v>
      </c>
      <c r="L3486" t="s">
        <v>184</v>
      </c>
      <c r="M3486" t="s">
        <v>726</v>
      </c>
      <c r="N3486" t="str">
        <f t="shared" si="220"/>
        <v>Double FrontDecorator 2071Versatrak Glide Bracket 40mm</v>
      </c>
      <c r="O3486">
        <v>20</v>
      </c>
      <c r="P3486">
        <v>36</v>
      </c>
      <c r="Q3486" s="80">
        <v>0</v>
      </c>
      <c r="R3486" s="80">
        <f t="shared" si="219"/>
        <v>16</v>
      </c>
      <c r="AD3486"/>
    </row>
    <row r="3487" spans="10:30" ht="16.2" customHeight="1">
      <c r="J3487" s="80" t="s">
        <v>747</v>
      </c>
      <c r="L3487" t="s">
        <v>184</v>
      </c>
      <c r="M3487" t="s">
        <v>726</v>
      </c>
      <c r="N3487" t="str">
        <f t="shared" si="220"/>
        <v>Double RearDecorator 2071Versatrak Glide Bracket 40mm</v>
      </c>
      <c r="O3487">
        <v>20</v>
      </c>
      <c r="P3487">
        <v>36</v>
      </c>
      <c r="Q3487" s="80">
        <v>0</v>
      </c>
      <c r="R3487" s="80">
        <f t="shared" si="221" ref="R3487:R3523">SUM(P3487)-O3487</f>
        <v>16</v>
      </c>
      <c r="AD3487"/>
    </row>
    <row r="3488" spans="10:30" ht="16.2" customHeight="1">
      <c r="J3488" s="80" t="s">
        <v>725</v>
      </c>
      <c r="L3488" t="s">
        <v>184</v>
      </c>
      <c r="M3488" t="s">
        <v>726</v>
      </c>
      <c r="N3488" t="str">
        <f t="shared" si="220"/>
        <v>SingleDecorator 2071Versatrak Glide Bracket 40mm</v>
      </c>
      <c r="O3488">
        <v>20</v>
      </c>
      <c r="P3488">
        <v>36</v>
      </c>
      <c r="Q3488" s="80">
        <v>0</v>
      </c>
      <c r="R3488" s="80">
        <f t="shared" si="221"/>
        <v>16</v>
      </c>
      <c r="AD3488"/>
    </row>
    <row r="3489" spans="10:30" ht="16.2" customHeight="1">
      <c r="J3489" s="80" t="s">
        <v>725</v>
      </c>
      <c r="L3489" t="s">
        <v>6468</v>
      </c>
      <c r="M3489" t="s">
        <v>726</v>
      </c>
      <c r="N3489" t="str">
        <f t="shared" si="220"/>
        <v>SingleGather Hook Bottom PocketVersatrak Glide Bracket 40mm</v>
      </c>
      <c r="O3489">
        <v>60</v>
      </c>
      <c r="P3489">
        <v>36</v>
      </c>
      <c r="Q3489" s="80">
        <v>0</v>
      </c>
      <c r="R3489" s="80">
        <f t="shared" si="221"/>
        <v>-24</v>
      </c>
      <c r="AD3489"/>
    </row>
    <row r="3490" spans="10:30" ht="16.2" customHeight="1">
      <c r="J3490" s="80" t="s">
        <v>746</v>
      </c>
      <c r="L3490" t="s">
        <v>229</v>
      </c>
      <c r="M3490" t="s">
        <v>726</v>
      </c>
      <c r="N3490" t="str">
        <f t="shared" si="220"/>
        <v>Double FrontGather Hook LevelVersatrak Glide Bracket 40mm</v>
      </c>
      <c r="O3490">
        <v>20</v>
      </c>
      <c r="P3490">
        <v>36</v>
      </c>
      <c r="Q3490" s="80">
        <v>0</v>
      </c>
      <c r="R3490" s="80">
        <f t="shared" si="221"/>
        <v>16</v>
      </c>
      <c r="AD3490"/>
    </row>
    <row r="3491" spans="10:30" ht="16.2" customHeight="1">
      <c r="J3491" s="80" t="s">
        <v>747</v>
      </c>
      <c r="L3491" t="s">
        <v>229</v>
      </c>
      <c r="M3491" t="s">
        <v>726</v>
      </c>
      <c r="N3491" t="str">
        <f t="shared" si="220"/>
        <v>Double RearGather Hook LevelVersatrak Glide Bracket 40mm</v>
      </c>
      <c r="O3491">
        <v>20</v>
      </c>
      <c r="P3491">
        <v>36</v>
      </c>
      <c r="Q3491" s="80">
        <v>0</v>
      </c>
      <c r="R3491" s="80">
        <f t="shared" si="221"/>
        <v>16</v>
      </c>
      <c r="AD3491"/>
    </row>
    <row r="3492" spans="10:30" ht="16.2" customHeight="1">
      <c r="J3492" s="80" t="s">
        <v>725</v>
      </c>
      <c r="L3492" t="s">
        <v>229</v>
      </c>
      <c r="M3492" t="s">
        <v>726</v>
      </c>
      <c r="N3492" t="str">
        <f t="shared" si="220"/>
        <v>SingleGather Hook LevelVersatrak Glide Bracket 40mm</v>
      </c>
      <c r="O3492">
        <v>20</v>
      </c>
      <c r="P3492">
        <v>36</v>
      </c>
      <c r="Q3492" s="80">
        <v>0</v>
      </c>
      <c r="R3492" s="80">
        <f t="shared" si="221"/>
        <v>16</v>
      </c>
      <c r="AD3492"/>
    </row>
    <row r="3493" spans="10:30" ht="16.2" customHeight="1">
      <c r="J3493" s="80" t="s">
        <v>746</v>
      </c>
      <c r="L3493" t="s">
        <v>228</v>
      </c>
      <c r="M3493" t="s">
        <v>726</v>
      </c>
      <c r="N3493" t="str">
        <f t="shared" si="220"/>
        <v>Double FrontGather Hook NormalVersatrak Glide Bracket 40mm</v>
      </c>
      <c r="O3493">
        <v>43</v>
      </c>
      <c r="P3493">
        <v>36</v>
      </c>
      <c r="Q3493" s="80">
        <v>0</v>
      </c>
      <c r="R3493" s="80">
        <f t="shared" si="221"/>
        <v>-7</v>
      </c>
      <c r="AD3493"/>
    </row>
    <row r="3494" spans="10:30" ht="16.2" customHeight="1">
      <c r="J3494" s="80" t="s">
        <v>747</v>
      </c>
      <c r="L3494" t="s">
        <v>228</v>
      </c>
      <c r="M3494" t="s">
        <v>726</v>
      </c>
      <c r="N3494" t="str">
        <f t="shared" si="220"/>
        <v>Double RearGather Hook NormalVersatrak Glide Bracket 40mm</v>
      </c>
      <c r="O3494">
        <v>43</v>
      </c>
      <c r="P3494">
        <v>36</v>
      </c>
      <c r="Q3494" s="80">
        <v>0</v>
      </c>
      <c r="R3494" s="80">
        <f t="shared" si="221"/>
        <v>-7</v>
      </c>
      <c r="AD3494"/>
    </row>
    <row r="3495" spans="10:30" ht="16.2" customHeight="1">
      <c r="J3495" s="80" t="s">
        <v>725</v>
      </c>
      <c r="L3495" t="s">
        <v>228</v>
      </c>
      <c r="M3495" t="s">
        <v>726</v>
      </c>
      <c r="N3495" t="str">
        <f t="shared" si="220"/>
        <v>SingleGather Hook NormalVersatrak Glide Bracket 40mm</v>
      </c>
      <c r="O3495">
        <v>43</v>
      </c>
      <c r="P3495">
        <v>36</v>
      </c>
      <c r="Q3495" s="80">
        <v>0</v>
      </c>
      <c r="R3495" s="80">
        <f t="shared" si="221"/>
        <v>-7</v>
      </c>
      <c r="AD3495"/>
    </row>
    <row r="3496" spans="10:30" ht="16.2" customHeight="1">
      <c r="J3496" s="80" t="s">
        <v>746</v>
      </c>
      <c r="L3496" t="s">
        <v>282</v>
      </c>
      <c r="M3496" t="s">
        <v>726</v>
      </c>
      <c r="N3496" t="str">
        <f t="shared" si="220"/>
        <v>Double FrontLevel 2072Versatrak Glide Bracket 40mm</v>
      </c>
      <c r="O3496">
        <v>38</v>
      </c>
      <c r="P3496">
        <v>36</v>
      </c>
      <c r="Q3496" s="80">
        <v>0</v>
      </c>
      <c r="R3496" s="80">
        <f t="shared" si="221"/>
        <v>-2</v>
      </c>
      <c r="AD3496"/>
    </row>
    <row r="3497" spans="10:30" ht="16.2" customHeight="1">
      <c r="J3497" s="80" t="s">
        <v>747</v>
      </c>
      <c r="L3497" t="s">
        <v>282</v>
      </c>
      <c r="M3497" t="s">
        <v>726</v>
      </c>
      <c r="N3497" t="str">
        <f t="shared" si="220"/>
        <v>Double RearLevel 2072Versatrak Glide Bracket 40mm</v>
      </c>
      <c r="O3497">
        <v>38</v>
      </c>
      <c r="P3497">
        <v>36</v>
      </c>
      <c r="Q3497" s="80">
        <v>0</v>
      </c>
      <c r="R3497" s="80">
        <f t="shared" si="221"/>
        <v>-2</v>
      </c>
      <c r="AD3497"/>
    </row>
    <row r="3498" spans="10:30" ht="16.2" customHeight="1">
      <c r="J3498" s="80" t="s">
        <v>725</v>
      </c>
      <c r="L3498" t="s">
        <v>282</v>
      </c>
      <c r="M3498" t="s">
        <v>726</v>
      </c>
      <c r="N3498" t="str">
        <f t="shared" si="220"/>
        <v>SingleLevel 2072Versatrak Glide Bracket 40mm</v>
      </c>
      <c r="O3498">
        <v>35</v>
      </c>
      <c r="P3498">
        <v>36</v>
      </c>
      <c r="Q3498" s="80">
        <v>0</v>
      </c>
      <c r="R3498" s="80">
        <f t="shared" si="221"/>
        <v>1</v>
      </c>
      <c r="AD3498"/>
    </row>
    <row r="3499" spans="10:30" ht="16.2" customHeight="1">
      <c r="J3499" s="80" t="s">
        <v>746</v>
      </c>
      <c r="L3499" t="s">
        <v>170</v>
      </c>
      <c r="M3499" t="s">
        <v>726</v>
      </c>
      <c r="N3499" t="str">
        <f t="shared" si="220"/>
        <v>Double FrontNormal 2074Versatrak Glide Bracket 40mm</v>
      </c>
      <c r="O3499">
        <v>60</v>
      </c>
      <c r="P3499">
        <v>36</v>
      </c>
      <c r="Q3499" s="80">
        <v>0</v>
      </c>
      <c r="R3499" s="80">
        <f t="shared" si="221"/>
        <v>-24</v>
      </c>
      <c r="AD3499"/>
    </row>
    <row r="3500" spans="10:30" ht="16.2" customHeight="1">
      <c r="J3500" s="80" t="s">
        <v>747</v>
      </c>
      <c r="L3500" t="s">
        <v>170</v>
      </c>
      <c r="M3500" t="s">
        <v>726</v>
      </c>
      <c r="N3500" t="str">
        <f t="shared" si="220"/>
        <v>Double RearNormal 2074Versatrak Glide Bracket 40mm</v>
      </c>
      <c r="O3500">
        <v>60</v>
      </c>
      <c r="P3500">
        <v>36</v>
      </c>
      <c r="Q3500" s="80">
        <v>0</v>
      </c>
      <c r="R3500" s="80">
        <f t="shared" si="221"/>
        <v>-24</v>
      </c>
      <c r="AD3500"/>
    </row>
    <row r="3501" spans="10:30" ht="16.2" customHeight="1">
      <c r="J3501" s="80" t="s">
        <v>725</v>
      </c>
      <c r="L3501" t="s">
        <v>170</v>
      </c>
      <c r="M3501" t="s">
        <v>726</v>
      </c>
      <c r="N3501" t="str">
        <f t="shared" si="220"/>
        <v>SingleNormal 2074Versatrak Glide Bracket 40mm</v>
      </c>
      <c r="O3501">
        <v>60</v>
      </c>
      <c r="P3501">
        <v>36</v>
      </c>
      <c r="Q3501" s="80">
        <v>0</v>
      </c>
      <c r="R3501" s="80">
        <f t="shared" si="221"/>
        <v>-24</v>
      </c>
      <c r="AD3501"/>
    </row>
    <row r="3502" spans="10:30" ht="16.2" customHeight="1">
      <c r="J3502" s="80" t="s">
        <v>746</v>
      </c>
      <c r="L3502" t="s">
        <v>183</v>
      </c>
      <c r="M3502" s="80" t="s">
        <v>730</v>
      </c>
      <c r="N3502" t="str">
        <f t="shared" si="220"/>
        <v>Double FrontBelow Normal 2075Versatrak Ultra Top Fix Glide Bracket</v>
      </c>
      <c r="O3502">
        <v>70</v>
      </c>
      <c r="P3502">
        <v>30</v>
      </c>
      <c r="Q3502" s="80">
        <v>0</v>
      </c>
      <c r="R3502" s="80">
        <f t="shared" si="221"/>
        <v>-40</v>
      </c>
      <c r="AD3502"/>
    </row>
    <row r="3503" spans="10:30" ht="16.2" customHeight="1">
      <c r="J3503" s="80" t="s">
        <v>747</v>
      </c>
      <c r="L3503" t="s">
        <v>183</v>
      </c>
      <c r="M3503" s="80" t="s">
        <v>730</v>
      </c>
      <c r="N3503" t="str">
        <f t="shared" si="220"/>
        <v>Double RearBelow Normal 2075Versatrak Ultra Top Fix Glide Bracket</v>
      </c>
      <c r="O3503">
        <v>70</v>
      </c>
      <c r="P3503">
        <v>30</v>
      </c>
      <c r="Q3503" s="80">
        <v>0</v>
      </c>
      <c r="R3503" s="80">
        <f t="shared" si="221"/>
        <v>-40</v>
      </c>
      <c r="AD3503"/>
    </row>
    <row r="3504" spans="10:30" ht="16.2" customHeight="1">
      <c r="J3504" s="80" t="s">
        <v>725</v>
      </c>
      <c r="L3504" t="s">
        <v>183</v>
      </c>
      <c r="M3504" s="80" t="s">
        <v>730</v>
      </c>
      <c r="N3504" t="str">
        <f t="shared" si="220"/>
        <v>SingleBelow Normal 2075Versatrak Ultra Top Fix Glide Bracket</v>
      </c>
      <c r="O3504">
        <v>70</v>
      </c>
      <c r="P3504">
        <v>30</v>
      </c>
      <c r="Q3504" s="80">
        <v>0</v>
      </c>
      <c r="R3504" s="80">
        <f t="shared" si="221"/>
        <v>-40</v>
      </c>
      <c r="AD3504"/>
    </row>
    <row r="3505" spans="10:30" ht="16.2" customHeight="1">
      <c r="J3505" s="80" t="s">
        <v>746</v>
      </c>
      <c r="L3505" t="s">
        <v>182</v>
      </c>
      <c r="M3505" s="80" t="s">
        <v>730</v>
      </c>
      <c r="N3505" t="str">
        <f t="shared" si="220"/>
        <v>Double FrontBetween Level and Normal 2073Versatrak Ultra Top Fix Glide Bracket</v>
      </c>
      <c r="O3505">
        <v>48</v>
      </c>
      <c r="P3505">
        <v>30</v>
      </c>
      <c r="Q3505" s="80">
        <v>0</v>
      </c>
      <c r="R3505" s="80">
        <f t="shared" si="221"/>
        <v>-18</v>
      </c>
      <c r="AD3505"/>
    </row>
    <row r="3506" spans="10:30" ht="16.2" customHeight="1">
      <c r="J3506" s="80" t="s">
        <v>747</v>
      </c>
      <c r="L3506" t="s">
        <v>182</v>
      </c>
      <c r="M3506" s="80" t="s">
        <v>730</v>
      </c>
      <c r="N3506" t="str">
        <f t="shared" si="220"/>
        <v>Double RearBetween Level and Normal 2073Versatrak Ultra Top Fix Glide Bracket</v>
      </c>
      <c r="O3506">
        <v>48</v>
      </c>
      <c r="P3506">
        <v>30</v>
      </c>
      <c r="Q3506" s="80">
        <v>0</v>
      </c>
      <c r="R3506" s="80">
        <f t="shared" si="221"/>
        <v>-18</v>
      </c>
      <c r="AD3506"/>
    </row>
    <row r="3507" spans="10:30" ht="16.2" customHeight="1">
      <c r="J3507" s="80" t="s">
        <v>725</v>
      </c>
      <c r="L3507" t="s">
        <v>182</v>
      </c>
      <c r="M3507" s="80" t="s">
        <v>730</v>
      </c>
      <c r="N3507" t="str">
        <f t="shared" si="220"/>
        <v>SingleBetween Level and Normal 2073Versatrak Ultra Top Fix Glide Bracket</v>
      </c>
      <c r="O3507">
        <v>47</v>
      </c>
      <c r="P3507">
        <v>30</v>
      </c>
      <c r="Q3507" s="80">
        <v>0</v>
      </c>
      <c r="R3507" s="80">
        <f t="shared" si="221"/>
        <v>-17</v>
      </c>
      <c r="AD3507"/>
    </row>
    <row r="3508" spans="10:30" ht="16.2" customHeight="1">
      <c r="J3508" s="80" t="s">
        <v>746</v>
      </c>
      <c r="L3508" t="s">
        <v>184</v>
      </c>
      <c r="M3508" s="80" t="s">
        <v>730</v>
      </c>
      <c r="N3508" t="str">
        <f t="shared" si="220"/>
        <v>Double FrontDecorator 2071Versatrak Ultra Top Fix Glide Bracket</v>
      </c>
      <c r="O3508">
        <v>20</v>
      </c>
      <c r="P3508">
        <v>30</v>
      </c>
      <c r="Q3508" s="80">
        <v>0</v>
      </c>
      <c r="R3508" s="80">
        <f t="shared" si="221"/>
        <v>10</v>
      </c>
      <c r="AD3508"/>
    </row>
    <row r="3509" spans="10:30" ht="16.2" customHeight="1">
      <c r="J3509" s="80" t="s">
        <v>747</v>
      </c>
      <c r="L3509" t="s">
        <v>184</v>
      </c>
      <c r="M3509" s="80" t="s">
        <v>730</v>
      </c>
      <c r="N3509" t="str">
        <f t="shared" si="220"/>
        <v>Double RearDecorator 2071Versatrak Ultra Top Fix Glide Bracket</v>
      </c>
      <c r="O3509">
        <v>20</v>
      </c>
      <c r="P3509">
        <v>30</v>
      </c>
      <c r="Q3509" s="80">
        <v>0</v>
      </c>
      <c r="R3509" s="80">
        <f t="shared" si="221"/>
        <v>10</v>
      </c>
      <c r="AD3509"/>
    </row>
    <row r="3510" spans="10:30" ht="16.2" customHeight="1">
      <c r="J3510" s="80" t="s">
        <v>725</v>
      </c>
      <c r="L3510" t="s">
        <v>184</v>
      </c>
      <c r="M3510" s="80" t="s">
        <v>730</v>
      </c>
      <c r="N3510" t="str">
        <f t="shared" si="220"/>
        <v>SingleDecorator 2071Versatrak Ultra Top Fix Glide Bracket</v>
      </c>
      <c r="O3510">
        <v>20</v>
      </c>
      <c r="P3510">
        <v>30</v>
      </c>
      <c r="Q3510" s="80">
        <v>0</v>
      </c>
      <c r="R3510" s="80">
        <f t="shared" si="221"/>
        <v>10</v>
      </c>
      <c r="AD3510"/>
    </row>
    <row r="3511" spans="10:30" ht="16.2" customHeight="1">
      <c r="J3511" s="80" t="s">
        <v>725</v>
      </c>
      <c r="L3511" t="s">
        <v>6468</v>
      </c>
      <c r="M3511" s="80" t="s">
        <v>730</v>
      </c>
      <c r="N3511" t="str">
        <f t="shared" si="220"/>
        <v>SingleGather Hook Bottom PocketVersatrak Ultra Top Fix Glide Bracket</v>
      </c>
      <c r="O3511">
        <v>60</v>
      </c>
      <c r="P3511">
        <v>30</v>
      </c>
      <c r="Q3511" s="80">
        <v>0</v>
      </c>
      <c r="R3511" s="80">
        <f t="shared" si="221"/>
        <v>-30</v>
      </c>
      <c r="AD3511"/>
    </row>
    <row r="3512" spans="10:30" ht="16.2" customHeight="1">
      <c r="J3512" s="80" t="s">
        <v>746</v>
      </c>
      <c r="L3512" t="s">
        <v>229</v>
      </c>
      <c r="M3512" s="80" t="s">
        <v>730</v>
      </c>
      <c r="N3512" t="str">
        <f t="shared" si="220"/>
        <v>Double FrontGather Hook LevelVersatrak Ultra Top Fix Glide Bracket</v>
      </c>
      <c r="O3512">
        <v>20</v>
      </c>
      <c r="P3512">
        <v>30</v>
      </c>
      <c r="Q3512" s="80">
        <v>0</v>
      </c>
      <c r="R3512" s="80">
        <f t="shared" si="221"/>
        <v>10</v>
      </c>
      <c r="AD3512"/>
    </row>
    <row r="3513" spans="10:30" ht="16.2" customHeight="1">
      <c r="J3513" s="80" t="s">
        <v>747</v>
      </c>
      <c r="L3513" t="s">
        <v>229</v>
      </c>
      <c r="M3513" s="80" t="s">
        <v>730</v>
      </c>
      <c r="N3513" t="str">
        <f t="shared" si="220"/>
        <v>Double RearGather Hook LevelVersatrak Ultra Top Fix Glide Bracket</v>
      </c>
      <c r="O3513">
        <v>20</v>
      </c>
      <c r="P3513">
        <v>30</v>
      </c>
      <c r="Q3513" s="80">
        <v>0</v>
      </c>
      <c r="R3513" s="80">
        <f t="shared" si="221"/>
        <v>10</v>
      </c>
      <c r="AD3513"/>
    </row>
    <row r="3514" spans="10:30" ht="16.2" customHeight="1">
      <c r="J3514" s="80" t="s">
        <v>725</v>
      </c>
      <c r="L3514" t="s">
        <v>229</v>
      </c>
      <c r="M3514" s="80" t="s">
        <v>730</v>
      </c>
      <c r="N3514" t="str">
        <f t="shared" si="220"/>
        <v>SingleGather Hook LevelVersatrak Ultra Top Fix Glide Bracket</v>
      </c>
      <c r="O3514">
        <v>20</v>
      </c>
      <c r="P3514">
        <v>30</v>
      </c>
      <c r="Q3514" s="80">
        <v>0</v>
      </c>
      <c r="R3514" s="80">
        <f t="shared" si="221"/>
        <v>10</v>
      </c>
      <c r="AD3514"/>
    </row>
    <row r="3515" spans="10:30" ht="16.2" customHeight="1">
      <c r="J3515" s="80" t="s">
        <v>746</v>
      </c>
      <c r="L3515" t="s">
        <v>228</v>
      </c>
      <c r="M3515" s="80" t="s">
        <v>730</v>
      </c>
      <c r="N3515" t="str">
        <f t="shared" si="220"/>
        <v>Double FrontGather Hook NormalVersatrak Ultra Top Fix Glide Bracket</v>
      </c>
      <c r="O3515">
        <v>43</v>
      </c>
      <c r="P3515">
        <v>30</v>
      </c>
      <c r="Q3515" s="80">
        <v>0</v>
      </c>
      <c r="R3515" s="80">
        <f t="shared" si="221"/>
        <v>-13</v>
      </c>
      <c r="AD3515"/>
    </row>
    <row r="3516" spans="10:30" ht="16.2" customHeight="1">
      <c r="J3516" s="80" t="s">
        <v>747</v>
      </c>
      <c r="L3516" t="s">
        <v>228</v>
      </c>
      <c r="M3516" s="80" t="s">
        <v>730</v>
      </c>
      <c r="N3516" t="str">
        <f t="shared" si="220"/>
        <v>Double RearGather Hook NormalVersatrak Ultra Top Fix Glide Bracket</v>
      </c>
      <c r="O3516">
        <v>43</v>
      </c>
      <c r="P3516">
        <v>30</v>
      </c>
      <c r="Q3516" s="80">
        <v>0</v>
      </c>
      <c r="R3516" s="80">
        <f t="shared" si="221"/>
        <v>-13</v>
      </c>
      <c r="AD3516"/>
    </row>
    <row r="3517" spans="10:30" ht="16.2" customHeight="1">
      <c r="J3517" s="80" t="s">
        <v>725</v>
      </c>
      <c r="L3517" t="s">
        <v>228</v>
      </c>
      <c r="M3517" s="80" t="s">
        <v>730</v>
      </c>
      <c r="N3517" t="str">
        <f t="shared" si="220"/>
        <v>SingleGather Hook NormalVersatrak Ultra Top Fix Glide Bracket</v>
      </c>
      <c r="O3517">
        <v>43</v>
      </c>
      <c r="P3517">
        <v>30</v>
      </c>
      <c r="Q3517" s="80">
        <v>0</v>
      </c>
      <c r="R3517" s="80">
        <f t="shared" si="221"/>
        <v>-13</v>
      </c>
      <c r="AD3517"/>
    </row>
    <row r="3518" spans="10:30" ht="16.2" customHeight="1">
      <c r="J3518" s="80" t="s">
        <v>746</v>
      </c>
      <c r="L3518" t="s">
        <v>282</v>
      </c>
      <c r="M3518" s="80" t="s">
        <v>730</v>
      </c>
      <c r="N3518" t="str">
        <f t="shared" si="220"/>
        <v>Double FrontLevel 2072Versatrak Ultra Top Fix Glide Bracket</v>
      </c>
      <c r="O3518">
        <v>38</v>
      </c>
      <c r="P3518">
        <v>30</v>
      </c>
      <c r="Q3518" s="80">
        <v>0</v>
      </c>
      <c r="R3518" s="80">
        <f t="shared" si="221"/>
        <v>-8</v>
      </c>
      <c r="AD3518"/>
    </row>
    <row r="3519" spans="10:30" ht="16.2" customHeight="1">
      <c r="J3519" s="80" t="s">
        <v>747</v>
      </c>
      <c r="L3519" t="s">
        <v>282</v>
      </c>
      <c r="M3519" s="80" t="s">
        <v>730</v>
      </c>
      <c r="N3519" t="str">
        <f t="shared" si="220"/>
        <v>Double RearLevel 2072Versatrak Ultra Top Fix Glide Bracket</v>
      </c>
      <c r="O3519">
        <v>38</v>
      </c>
      <c r="P3519">
        <v>30</v>
      </c>
      <c r="Q3519" s="80">
        <v>0</v>
      </c>
      <c r="R3519" s="80">
        <f t="shared" si="221"/>
        <v>-8</v>
      </c>
      <c r="AD3519"/>
    </row>
    <row r="3520" spans="10:30" ht="16.2" customHeight="1">
      <c r="J3520" s="80" t="s">
        <v>725</v>
      </c>
      <c r="L3520" t="s">
        <v>282</v>
      </c>
      <c r="M3520" s="80" t="s">
        <v>730</v>
      </c>
      <c r="N3520" t="str">
        <f t="shared" si="220"/>
        <v>SingleLevel 2072Versatrak Ultra Top Fix Glide Bracket</v>
      </c>
      <c r="O3520">
        <v>35</v>
      </c>
      <c r="P3520">
        <v>30</v>
      </c>
      <c r="Q3520" s="80">
        <v>0</v>
      </c>
      <c r="R3520" s="80">
        <f t="shared" si="221"/>
        <v>-5</v>
      </c>
      <c r="AD3520"/>
    </row>
    <row r="3521" spans="10:30" ht="16.2" customHeight="1">
      <c r="J3521" s="80" t="s">
        <v>746</v>
      </c>
      <c r="L3521" t="s">
        <v>170</v>
      </c>
      <c r="M3521" s="80" t="s">
        <v>730</v>
      </c>
      <c r="N3521" t="str">
        <f t="shared" si="220"/>
        <v>Double FrontNormal 2074Versatrak Ultra Top Fix Glide Bracket</v>
      </c>
      <c r="O3521">
        <v>60</v>
      </c>
      <c r="P3521">
        <v>30</v>
      </c>
      <c r="Q3521" s="80">
        <v>0</v>
      </c>
      <c r="R3521" s="80">
        <f t="shared" si="221"/>
        <v>-30</v>
      </c>
      <c r="AD3521"/>
    </row>
    <row r="3522" spans="10:30" ht="16.2" customHeight="1">
      <c r="J3522" s="80" t="s">
        <v>747</v>
      </c>
      <c r="L3522" t="s">
        <v>170</v>
      </c>
      <c r="M3522" s="80" t="s">
        <v>730</v>
      </c>
      <c r="N3522" t="str">
        <f t="shared" si="222" ref="N3522:N3523">(CONCATENATE(J3522,K3522,L3522,M3522))</f>
        <v>Double RearNormal 2074Versatrak Ultra Top Fix Glide Bracket</v>
      </c>
      <c r="O3522">
        <v>60</v>
      </c>
      <c r="P3522">
        <v>30</v>
      </c>
      <c r="Q3522" s="80">
        <v>0</v>
      </c>
      <c r="R3522" s="80">
        <f t="shared" si="221"/>
        <v>-30</v>
      </c>
      <c r="AD3522"/>
    </row>
    <row r="3523" spans="10:30" ht="16.2" customHeight="1">
      <c r="J3523" s="80" t="s">
        <v>725</v>
      </c>
      <c r="L3523" t="s">
        <v>170</v>
      </c>
      <c r="M3523" s="80" t="s">
        <v>730</v>
      </c>
      <c r="N3523" t="str">
        <f t="shared" si="222"/>
        <v>SingleNormal 2074Versatrak Ultra Top Fix Glide Bracket</v>
      </c>
      <c r="O3523">
        <v>60</v>
      </c>
      <c r="P3523">
        <v>30</v>
      </c>
      <c r="Q3523" s="80">
        <v>0</v>
      </c>
      <c r="R3523" s="80">
        <f t="shared" si="221"/>
        <v>-30</v>
      </c>
      <c r="AD3523"/>
    </row>
    <row r="3524" spans="10:30" ht="16.2" customHeight="1">
      <c r="J3524"/>
      <c r="K3524"/>
      <c r="L3524"/>
      <c r="M3524"/>
      <c r="N3524"/>
      <c r="O3524"/>
      <c r="P3524"/>
      <c r="Q3524"/>
      <c r="R3524"/>
      <c r="AD3524"/>
    </row>
    <row r="3525" spans="10:30" ht="16.2" customHeight="1">
      <c r="J3525"/>
      <c r="K3525"/>
      <c r="L3525"/>
      <c r="M3525"/>
      <c r="N3525"/>
      <c r="O3525"/>
      <c r="P3525"/>
      <c r="Q3525"/>
      <c r="R3525"/>
      <c r="AD3525"/>
    </row>
    <row r="3526" spans="10:30" ht="16.2" customHeight="1">
      <c r="J3526"/>
      <c r="K3526"/>
      <c r="L3526"/>
      <c r="M3526"/>
      <c r="N3526"/>
      <c r="O3526"/>
      <c r="P3526"/>
      <c r="Q3526"/>
      <c r="R3526"/>
      <c r="AD3526"/>
    </row>
    <row r="3527" spans="10:30" ht="16.2" customHeight="1">
      <c r="J3527"/>
      <c r="K3527"/>
      <c r="L3527"/>
      <c r="M3527"/>
      <c r="N3527"/>
      <c r="O3527"/>
      <c r="P3527"/>
      <c r="Q3527"/>
      <c r="R3527"/>
      <c r="AD3527"/>
    </row>
    <row r="3528" spans="10:30" ht="16.2" customHeight="1">
      <c r="J3528"/>
      <c r="K3528"/>
      <c r="L3528"/>
      <c r="M3528"/>
      <c r="N3528"/>
      <c r="O3528"/>
      <c r="P3528"/>
      <c r="Q3528"/>
      <c r="R3528"/>
      <c r="AD3528"/>
    </row>
    <row r="3529" spans="10:30" ht="16.2" customHeight="1">
      <c r="J3529"/>
      <c r="K3529"/>
      <c r="L3529"/>
      <c r="M3529"/>
      <c r="N3529"/>
      <c r="O3529"/>
      <c r="P3529"/>
      <c r="Q3529"/>
      <c r="R3529"/>
      <c r="AD3529"/>
    </row>
    <row r="3530" spans="10:30" ht="16.2" customHeight="1">
      <c r="J3530"/>
      <c r="K3530"/>
      <c r="L3530"/>
      <c r="M3530"/>
      <c r="N3530"/>
      <c r="O3530"/>
      <c r="P3530"/>
      <c r="Q3530"/>
      <c r="R3530"/>
      <c r="AD3530"/>
    </row>
    <row r="3531" spans="10:30" ht="16.2" customHeight="1">
      <c r="J3531"/>
      <c r="K3531"/>
      <c r="L3531"/>
      <c r="M3531"/>
      <c r="N3531"/>
      <c r="O3531"/>
      <c r="P3531"/>
      <c r="Q3531"/>
      <c r="R3531"/>
      <c r="AD3531"/>
    </row>
    <row r="3532" spans="10:30" ht="16.2" customHeight="1">
      <c r="J3532"/>
      <c r="K3532"/>
      <c r="L3532"/>
      <c r="M3532"/>
      <c r="N3532"/>
      <c r="O3532"/>
      <c r="P3532"/>
      <c r="Q3532"/>
      <c r="R3532"/>
      <c r="AD3532"/>
    </row>
    <row r="3533" spans="10:30" ht="16.2" customHeight="1">
      <c r="J3533"/>
      <c r="K3533"/>
      <c r="L3533"/>
      <c r="M3533"/>
      <c r="N3533"/>
      <c r="O3533"/>
      <c r="P3533"/>
      <c r="Q3533"/>
      <c r="R3533"/>
      <c r="AD3533"/>
    </row>
    <row r="3534" spans="10:30" ht="16.2" customHeight="1">
      <c r="J3534"/>
      <c r="K3534"/>
      <c r="L3534"/>
      <c r="M3534"/>
      <c r="N3534"/>
      <c r="O3534"/>
      <c r="P3534"/>
      <c r="Q3534"/>
      <c r="R3534"/>
      <c r="AD3534"/>
    </row>
    <row r="3535" spans="10:30" ht="16.2" customHeight="1">
      <c r="J3535"/>
      <c r="K3535"/>
      <c r="L3535"/>
      <c r="M3535"/>
      <c r="N3535"/>
      <c r="O3535"/>
      <c r="P3535"/>
      <c r="Q3535"/>
      <c r="R3535"/>
      <c r="AD3535"/>
    </row>
    <row r="3536" spans="10:30" ht="16.2" customHeight="1">
      <c r="J3536"/>
      <c r="K3536"/>
      <c r="L3536"/>
      <c r="M3536"/>
      <c r="N3536"/>
      <c r="O3536"/>
      <c r="P3536"/>
      <c r="Q3536"/>
      <c r="R3536"/>
      <c r="AD3536"/>
    </row>
    <row r="3537" spans="10:30" ht="16.2" customHeight="1">
      <c r="J3537"/>
      <c r="K3537"/>
      <c r="L3537"/>
      <c r="M3537"/>
      <c r="N3537"/>
      <c r="O3537"/>
      <c r="P3537"/>
      <c r="Q3537"/>
      <c r="R3537"/>
      <c r="AD3537"/>
    </row>
    <row r="3538" spans="10:30" ht="16.2" customHeight="1">
      <c r="J3538"/>
      <c r="K3538"/>
      <c r="L3538"/>
      <c r="M3538"/>
      <c r="N3538"/>
      <c r="O3538"/>
      <c r="P3538"/>
      <c r="Q3538"/>
      <c r="R3538"/>
      <c r="AD3538"/>
    </row>
    <row r="3539" spans="10:30" ht="16.2" customHeight="1">
      <c r="J3539"/>
      <c r="K3539"/>
      <c r="L3539"/>
      <c r="M3539"/>
      <c r="N3539"/>
      <c r="O3539"/>
      <c r="P3539"/>
      <c r="Q3539"/>
      <c r="R3539"/>
      <c r="AD3539"/>
    </row>
    <row r="3540" spans="10:30" ht="16.2" customHeight="1">
      <c r="J3540"/>
      <c r="K3540"/>
      <c r="L3540"/>
      <c r="M3540"/>
      <c r="N3540"/>
      <c r="O3540"/>
      <c r="P3540"/>
      <c r="Q3540"/>
      <c r="R3540"/>
      <c r="AD3540"/>
    </row>
    <row r="3541" spans="10:30" ht="16.2" customHeight="1">
      <c r="J3541"/>
      <c r="K3541"/>
      <c r="L3541"/>
      <c r="M3541"/>
      <c r="N3541"/>
      <c r="O3541"/>
      <c r="P3541"/>
      <c r="Q3541"/>
      <c r="R3541"/>
      <c r="AD3541"/>
    </row>
    <row r="3542" spans="10:30" ht="16.2" customHeight="1">
      <c r="J3542"/>
      <c r="K3542"/>
      <c r="L3542"/>
      <c r="M3542"/>
      <c r="N3542"/>
      <c r="O3542"/>
      <c r="P3542"/>
      <c r="Q3542"/>
      <c r="R3542"/>
      <c r="AD3542"/>
    </row>
    <row r="3543" spans="10:30" ht="16.2" customHeight="1">
      <c r="J3543"/>
      <c r="K3543"/>
      <c r="L3543"/>
      <c r="M3543"/>
      <c r="N3543"/>
      <c r="O3543"/>
      <c r="P3543"/>
      <c r="Q3543"/>
      <c r="R3543"/>
      <c r="AD3543"/>
    </row>
    <row r="3544" spans="10:30" ht="16.2" customHeight="1">
      <c r="J3544"/>
      <c r="K3544"/>
      <c r="L3544"/>
      <c r="M3544"/>
      <c r="N3544"/>
      <c r="O3544"/>
      <c r="P3544"/>
      <c r="Q3544"/>
      <c r="R3544"/>
      <c r="AD3544"/>
    </row>
    <row r="3545" spans="10:30" ht="16.2" customHeight="1">
      <c r="J3545"/>
      <c r="K3545"/>
      <c r="L3545"/>
      <c r="M3545"/>
      <c r="N3545"/>
      <c r="O3545"/>
      <c r="P3545"/>
      <c r="Q3545"/>
      <c r="R3545"/>
      <c r="AD3545"/>
    </row>
    <row r="3546" spans="10:30" ht="16.2" customHeight="1">
      <c r="J3546"/>
      <c r="K3546"/>
      <c r="L3546"/>
      <c r="M3546"/>
      <c r="N3546"/>
      <c r="O3546"/>
      <c r="P3546"/>
      <c r="Q3546"/>
      <c r="R3546"/>
      <c r="AD3546"/>
    </row>
    <row r="3547" spans="10:30" ht="16.2" customHeight="1">
      <c r="J3547"/>
      <c r="K3547"/>
      <c r="L3547"/>
      <c r="M3547"/>
      <c r="N3547"/>
      <c r="O3547"/>
      <c r="P3547"/>
      <c r="Q3547"/>
      <c r="R3547"/>
      <c r="AD3547"/>
    </row>
    <row r="3548" spans="10:30" ht="16.2" customHeight="1">
      <c r="J3548"/>
      <c r="K3548"/>
      <c r="L3548"/>
      <c r="M3548"/>
      <c r="N3548"/>
      <c r="O3548"/>
      <c r="P3548"/>
      <c r="Q3548"/>
      <c r="R3548"/>
      <c r="AD3548"/>
    </row>
    <row r="3549" spans="10:30" ht="16.2" customHeight="1">
      <c r="J3549"/>
      <c r="K3549"/>
      <c r="L3549"/>
      <c r="M3549"/>
      <c r="N3549"/>
      <c r="O3549"/>
      <c r="P3549"/>
      <c r="Q3549"/>
      <c r="R3549"/>
      <c r="AD3549"/>
    </row>
    <row r="3550" spans="10:30" ht="16.2" customHeight="1">
      <c r="J3550"/>
      <c r="K3550"/>
      <c r="L3550"/>
      <c r="M3550"/>
      <c r="N3550"/>
      <c r="O3550"/>
      <c r="P3550"/>
      <c r="Q3550"/>
      <c r="R3550"/>
      <c r="AD3550"/>
    </row>
    <row r="3551" spans="10:30" ht="16.2" customHeight="1">
      <c r="J3551"/>
      <c r="K3551"/>
      <c r="L3551"/>
      <c r="M3551"/>
      <c r="N3551"/>
      <c r="O3551"/>
      <c r="P3551"/>
      <c r="Q3551"/>
      <c r="R3551"/>
      <c r="AD3551"/>
    </row>
    <row r="3552" spans="10:30" ht="16.2" customHeight="1">
      <c r="J3552"/>
      <c r="K3552"/>
      <c r="L3552"/>
      <c r="M3552"/>
      <c r="N3552"/>
      <c r="O3552"/>
      <c r="P3552"/>
      <c r="Q3552"/>
      <c r="R3552"/>
      <c r="AD3552"/>
    </row>
    <row r="3553" spans="10:30" ht="16.2" customHeight="1">
      <c r="J3553"/>
      <c r="K3553"/>
      <c r="L3553"/>
      <c r="M3553"/>
      <c r="N3553"/>
      <c r="O3553"/>
      <c r="P3553"/>
      <c r="Q3553"/>
      <c r="R3553"/>
      <c r="AD3553"/>
    </row>
    <row r="3554" spans="10:30" ht="16.2" customHeight="1">
      <c r="J3554"/>
      <c r="K3554"/>
      <c r="L3554"/>
      <c r="M3554"/>
      <c r="N3554"/>
      <c r="O3554"/>
      <c r="P3554"/>
      <c r="Q3554"/>
      <c r="R3554"/>
      <c r="AD3554"/>
    </row>
    <row r="3555" spans="10:30" ht="16.2" customHeight="1">
      <c r="J3555"/>
      <c r="K3555"/>
      <c r="L3555"/>
      <c r="M3555"/>
      <c r="N3555"/>
      <c r="O3555"/>
      <c r="P3555"/>
      <c r="Q3555"/>
      <c r="R3555"/>
      <c r="AD3555"/>
    </row>
    <row r="3556" spans="10:30" ht="16.2" customHeight="1">
      <c r="J3556"/>
      <c r="K3556"/>
      <c r="L3556"/>
      <c r="M3556"/>
      <c r="N3556"/>
      <c r="O3556"/>
      <c r="P3556"/>
      <c r="Q3556"/>
      <c r="R3556"/>
      <c r="AD3556"/>
    </row>
    <row r="3557" spans="10:30" ht="16.2" customHeight="1">
      <c r="J3557"/>
      <c r="K3557"/>
      <c r="L3557"/>
      <c r="M3557"/>
      <c r="N3557"/>
      <c r="O3557"/>
      <c r="P3557"/>
      <c r="Q3557"/>
      <c r="R3557"/>
      <c r="AD3557"/>
    </row>
    <row r="3558" spans="10:30" ht="16.2" customHeight="1">
      <c r="J3558"/>
      <c r="K3558"/>
      <c r="L3558"/>
      <c r="M3558"/>
      <c r="N3558"/>
      <c r="O3558"/>
      <c r="P3558"/>
      <c r="Q3558"/>
      <c r="R3558"/>
      <c r="AD3558"/>
    </row>
    <row r="3559" spans="10:30" ht="16.2" customHeight="1">
      <c r="J3559"/>
      <c r="K3559"/>
      <c r="L3559"/>
      <c r="M3559"/>
      <c r="N3559"/>
      <c r="O3559"/>
      <c r="P3559"/>
      <c r="Q3559"/>
      <c r="R3559"/>
      <c r="AD3559"/>
    </row>
    <row r="3560" spans="10:30" ht="16.2" customHeight="1">
      <c r="J3560"/>
      <c r="K3560"/>
      <c r="L3560"/>
      <c r="M3560"/>
      <c r="N3560"/>
      <c r="O3560"/>
      <c r="P3560"/>
      <c r="Q3560"/>
      <c r="R3560"/>
      <c r="AD3560"/>
    </row>
    <row r="3561" spans="10:30" ht="16.2" customHeight="1">
      <c r="J3561"/>
      <c r="K3561"/>
      <c r="L3561"/>
      <c r="M3561"/>
      <c r="N3561"/>
      <c r="O3561"/>
      <c r="P3561"/>
      <c r="Q3561"/>
      <c r="R3561"/>
      <c r="AD3561"/>
    </row>
    <row r="3562" spans="10:30" ht="16.2" customHeight="1">
      <c r="J3562"/>
      <c r="K3562"/>
      <c r="L3562"/>
      <c r="M3562"/>
      <c r="N3562"/>
      <c r="O3562"/>
      <c r="P3562"/>
      <c r="Q3562"/>
      <c r="R3562"/>
      <c r="AD3562"/>
    </row>
    <row r="3563" spans="10:30" ht="16.2" customHeight="1">
      <c r="J3563"/>
      <c r="K3563"/>
      <c r="L3563"/>
      <c r="M3563"/>
      <c r="N3563"/>
      <c r="O3563"/>
      <c r="P3563"/>
      <c r="Q3563"/>
      <c r="R3563"/>
      <c r="AD3563"/>
    </row>
    <row r="3564" spans="10:30" ht="16.2" customHeight="1">
      <c r="J3564"/>
      <c r="K3564"/>
      <c r="L3564"/>
      <c r="M3564"/>
      <c r="N3564"/>
      <c r="O3564"/>
      <c r="P3564"/>
      <c r="Q3564"/>
      <c r="R3564"/>
      <c r="AD3564"/>
    </row>
    <row r="3565" spans="10:30" ht="16.2" customHeight="1">
      <c r="J3565"/>
      <c r="K3565"/>
      <c r="L3565"/>
      <c r="M3565"/>
      <c r="N3565"/>
      <c r="O3565"/>
      <c r="P3565"/>
      <c r="Q3565"/>
      <c r="R3565"/>
      <c r="AD3565"/>
    </row>
    <row r="3566" spans="10:18" ht="16.2" customHeight="1">
      <c r="J3566"/>
      <c r="K3566"/>
      <c r="L3566"/>
      <c r="M3566"/>
      <c r="N3566"/>
      <c r="O3566"/>
      <c r="P3566"/>
      <c r="Q3566"/>
      <c r="R3566"/>
    </row>
    <row r="3567" spans="10:18" ht="16.2" customHeight="1">
      <c r="J3567"/>
      <c r="K3567"/>
      <c r="L3567"/>
      <c r="M3567"/>
      <c r="N3567"/>
      <c r="O3567"/>
      <c r="P3567"/>
      <c r="Q3567"/>
      <c r="R3567"/>
    </row>
    <row r="3568" spans="10:18" ht="16.2" customHeight="1">
      <c r="J3568"/>
      <c r="K3568"/>
      <c r="L3568"/>
      <c r="M3568"/>
      <c r="N3568"/>
      <c r="O3568"/>
      <c r="P3568"/>
      <c r="Q3568"/>
      <c r="R3568"/>
    </row>
    <row r="3569" spans="10:18" ht="16.2" customHeight="1">
      <c r="J3569"/>
      <c r="K3569"/>
      <c r="L3569"/>
      <c r="M3569"/>
      <c r="N3569"/>
      <c r="O3569"/>
      <c r="P3569"/>
      <c r="Q3569"/>
      <c r="R3569"/>
    </row>
    <row r="3570" spans="10:18" ht="16.2" customHeight="1">
      <c r="J3570"/>
      <c r="K3570"/>
      <c r="L3570"/>
      <c r="M3570"/>
      <c r="N3570"/>
      <c r="O3570"/>
      <c r="P3570"/>
      <c r="Q3570"/>
      <c r="R3570"/>
    </row>
    <row r="3571" spans="10:18" ht="16.2" customHeight="1">
      <c r="J3571"/>
      <c r="K3571"/>
      <c r="L3571"/>
      <c r="M3571"/>
      <c r="N3571"/>
      <c r="O3571"/>
      <c r="P3571"/>
      <c r="Q3571"/>
      <c r="R3571"/>
    </row>
    <row r="3572" spans="10:18" ht="16.2" customHeight="1">
      <c r="J3572"/>
      <c r="K3572"/>
      <c r="L3572"/>
      <c r="M3572"/>
      <c r="N3572"/>
      <c r="O3572"/>
      <c r="P3572"/>
      <c r="Q3572"/>
      <c r="R3572"/>
    </row>
    <row r="3573" spans="10:18" ht="16.2" customHeight="1">
      <c r="J3573"/>
      <c r="K3573"/>
      <c r="L3573"/>
      <c r="M3573"/>
      <c r="N3573"/>
      <c r="O3573"/>
      <c r="P3573"/>
      <c r="Q3573"/>
      <c r="R3573"/>
    </row>
    <row r="3574" spans="10:18" ht="16.2" customHeight="1">
      <c r="J3574"/>
      <c r="K3574"/>
      <c r="L3574"/>
      <c r="M3574"/>
      <c r="N3574"/>
      <c r="O3574"/>
      <c r="P3574"/>
      <c r="Q3574"/>
      <c r="R3574"/>
    </row>
    <row r="3575" spans="10:18" ht="16.2" customHeight="1">
      <c r="J3575"/>
      <c r="K3575"/>
      <c r="L3575"/>
      <c r="M3575"/>
      <c r="N3575"/>
      <c r="O3575"/>
      <c r="P3575"/>
      <c r="Q3575"/>
      <c r="R3575"/>
    </row>
    <row r="3576" spans="10:18" ht="16.2" customHeight="1">
      <c r="J3576"/>
      <c r="K3576"/>
      <c r="L3576"/>
      <c r="M3576"/>
      <c r="N3576"/>
      <c r="O3576"/>
      <c r="P3576"/>
      <c r="Q3576"/>
      <c r="R3576"/>
    </row>
    <row r="3577" spans="10:18" ht="16.2" customHeight="1">
      <c r="J3577"/>
      <c r="K3577"/>
      <c r="L3577"/>
      <c r="M3577"/>
      <c r="N3577"/>
      <c r="O3577"/>
      <c r="P3577"/>
      <c r="Q3577"/>
      <c r="R3577"/>
    </row>
    <row r="3578" spans="10:18" ht="16.2" customHeight="1">
      <c r="J3578"/>
      <c r="K3578"/>
      <c r="L3578"/>
      <c r="M3578"/>
      <c r="N3578"/>
      <c r="O3578"/>
      <c r="P3578"/>
      <c r="Q3578"/>
      <c r="R3578"/>
    </row>
    <row r="3579" spans="10:18" ht="16.2" customHeight="1">
      <c r="J3579"/>
      <c r="K3579"/>
      <c r="L3579"/>
      <c r="M3579"/>
      <c r="N3579"/>
      <c r="O3579"/>
      <c r="P3579"/>
      <c r="Q3579"/>
      <c r="R3579"/>
    </row>
    <row r="3580" spans="10:18" ht="16.2" customHeight="1">
      <c r="J3580"/>
      <c r="K3580"/>
      <c r="L3580"/>
      <c r="M3580"/>
      <c r="N3580"/>
      <c r="O3580"/>
      <c r="P3580"/>
      <c r="Q3580"/>
      <c r="R3580"/>
    </row>
    <row r="3581" spans="10:18" ht="16.2" customHeight="1">
      <c r="J3581"/>
      <c r="K3581"/>
      <c r="L3581"/>
      <c r="M3581"/>
      <c r="N3581"/>
      <c r="O3581"/>
      <c r="P3581"/>
      <c r="Q3581"/>
      <c r="R3581"/>
    </row>
    <row r="3582" spans="10:18" ht="16.2" customHeight="1">
      <c r="J3582"/>
      <c r="K3582"/>
      <c r="L3582"/>
      <c r="M3582"/>
      <c r="N3582"/>
      <c r="O3582"/>
      <c r="P3582"/>
      <c r="Q3582"/>
      <c r="R3582"/>
    </row>
    <row r="3583" spans="10:18" ht="16.2" customHeight="1">
      <c r="J3583"/>
      <c r="K3583"/>
      <c r="L3583"/>
      <c r="M3583"/>
      <c r="N3583"/>
      <c r="O3583"/>
      <c r="P3583"/>
      <c r="Q3583"/>
      <c r="R3583"/>
    </row>
    <row r="3584" spans="10:18" ht="16.2" customHeight="1">
      <c r="J3584"/>
      <c r="K3584"/>
      <c r="L3584"/>
      <c r="M3584"/>
      <c r="N3584"/>
      <c r="O3584"/>
      <c r="P3584"/>
      <c r="Q3584"/>
      <c r="R3584"/>
    </row>
    <row r="3585" spans="10:18" ht="16.2" customHeight="1">
      <c r="J3585"/>
      <c r="K3585"/>
      <c r="L3585"/>
      <c r="M3585"/>
      <c r="N3585"/>
      <c r="O3585"/>
      <c r="P3585"/>
      <c r="Q3585"/>
      <c r="R3585"/>
    </row>
    <row r="3586" spans="10:18" ht="16.2" customHeight="1">
      <c r="J3586"/>
      <c r="K3586"/>
      <c r="L3586"/>
      <c r="M3586"/>
      <c r="N3586"/>
      <c r="O3586"/>
      <c r="P3586"/>
      <c r="Q3586"/>
      <c r="R3586"/>
    </row>
    <row r="3587" spans="10:18" ht="16.2" customHeight="1">
      <c r="J3587"/>
      <c r="K3587"/>
      <c r="L3587"/>
      <c r="M3587"/>
      <c r="N3587"/>
      <c r="O3587"/>
      <c r="P3587"/>
      <c r="Q3587"/>
      <c r="R3587"/>
    </row>
    <row r="3588" spans="10:18" ht="16.2" customHeight="1">
      <c r="J3588"/>
      <c r="K3588"/>
      <c r="L3588"/>
      <c r="M3588"/>
      <c r="N3588"/>
      <c r="O3588"/>
      <c r="P3588"/>
      <c r="Q3588"/>
      <c r="R3588"/>
    </row>
    <row r="3589" spans="10:18" ht="16.2" customHeight="1">
      <c r="J3589"/>
      <c r="K3589"/>
      <c r="L3589"/>
      <c r="M3589"/>
      <c r="N3589"/>
      <c r="O3589"/>
      <c r="P3589"/>
      <c r="Q3589"/>
      <c r="R3589"/>
    </row>
    <row r="3590" spans="10:18" ht="16.2" customHeight="1">
      <c r="J3590"/>
      <c r="K3590"/>
      <c r="L3590"/>
      <c r="M3590"/>
      <c r="N3590"/>
      <c r="O3590"/>
      <c r="P3590"/>
      <c r="Q3590"/>
      <c r="R3590"/>
    </row>
    <row r="3591" spans="10:18" ht="16.2" customHeight="1">
      <c r="J3591"/>
      <c r="K3591"/>
      <c r="L3591"/>
      <c r="M3591"/>
      <c r="N3591"/>
      <c r="O3591"/>
      <c r="P3591"/>
      <c r="Q3591"/>
      <c r="R3591"/>
    </row>
    <row r="3592" spans="10:18" ht="16.2" customHeight="1">
      <c r="J3592"/>
      <c r="K3592"/>
      <c r="L3592"/>
      <c r="M3592"/>
      <c r="N3592"/>
      <c r="O3592"/>
      <c r="P3592"/>
      <c r="Q3592"/>
      <c r="R3592"/>
    </row>
    <row r="3593" spans="10:18" ht="16.2" customHeight="1">
      <c r="J3593"/>
      <c r="K3593"/>
      <c r="L3593"/>
      <c r="M3593"/>
      <c r="N3593"/>
      <c r="O3593"/>
      <c r="P3593"/>
      <c r="Q3593"/>
      <c r="R3593"/>
    </row>
    <row r="3594" spans="10:18" ht="16.2" customHeight="1">
      <c r="J3594"/>
      <c r="K3594"/>
      <c r="L3594"/>
      <c r="M3594"/>
      <c r="N3594"/>
      <c r="O3594"/>
      <c r="P3594"/>
      <c r="Q3594"/>
      <c r="R3594"/>
    </row>
    <row r="3595" spans="10:18" ht="16.2" customHeight="1">
      <c r="J3595"/>
      <c r="K3595"/>
      <c r="L3595"/>
      <c r="M3595"/>
      <c r="N3595"/>
      <c r="O3595"/>
      <c r="P3595"/>
      <c r="Q3595"/>
      <c r="R3595"/>
    </row>
    <row r="3596" spans="10:18" ht="16.2" customHeight="1">
      <c r="J3596"/>
      <c r="K3596"/>
      <c r="L3596"/>
      <c r="M3596"/>
      <c r="N3596"/>
      <c r="O3596"/>
      <c r="P3596"/>
      <c r="Q3596"/>
      <c r="R3596"/>
    </row>
    <row r="3597" spans="10:18" ht="16.2" customHeight="1">
      <c r="J3597"/>
      <c r="K3597"/>
      <c r="L3597"/>
      <c r="M3597"/>
      <c r="N3597"/>
      <c r="O3597"/>
      <c r="P3597"/>
      <c r="Q3597"/>
      <c r="R3597"/>
    </row>
    <row r="3598" spans="10:18" ht="16.2" customHeight="1">
      <c r="J3598"/>
      <c r="K3598"/>
      <c r="L3598"/>
      <c r="M3598"/>
      <c r="N3598"/>
      <c r="O3598"/>
      <c r="P3598"/>
      <c r="Q3598"/>
      <c r="R3598"/>
    </row>
    <row r="3599" spans="10:18" ht="16.2" customHeight="1">
      <c r="J3599"/>
      <c r="K3599"/>
      <c r="L3599"/>
      <c r="M3599"/>
      <c r="N3599"/>
      <c r="O3599"/>
      <c r="P3599"/>
      <c r="Q3599"/>
      <c r="R3599"/>
    </row>
    <row r="3600" spans="10:18" ht="16.2" customHeight="1">
      <c r="J3600"/>
      <c r="K3600"/>
      <c r="L3600"/>
      <c r="M3600"/>
      <c r="N3600"/>
      <c r="O3600"/>
      <c r="P3600"/>
      <c r="Q3600"/>
      <c r="R3600"/>
    </row>
    <row r="3601" spans="10:18" ht="16.2" customHeight="1">
      <c r="J3601"/>
      <c r="K3601"/>
      <c r="L3601"/>
      <c r="M3601"/>
      <c r="N3601"/>
      <c r="O3601"/>
      <c r="P3601"/>
      <c r="Q3601"/>
      <c r="R3601"/>
    </row>
    <row r="3602" spans="10:18" ht="16.2" customHeight="1">
      <c r="J3602"/>
      <c r="K3602"/>
      <c r="L3602"/>
      <c r="M3602"/>
      <c r="N3602"/>
      <c r="O3602"/>
      <c r="P3602"/>
      <c r="Q3602"/>
      <c r="R3602"/>
    </row>
    <row r="3603" spans="10:18" ht="16.2" customHeight="1">
      <c r="J3603"/>
      <c r="K3603"/>
      <c r="L3603"/>
      <c r="M3603"/>
      <c r="N3603"/>
      <c r="O3603"/>
      <c r="P3603"/>
      <c r="Q3603"/>
      <c r="R3603"/>
    </row>
    <row r="3604" spans="10:18" ht="16.2" customHeight="1">
      <c r="J3604"/>
      <c r="K3604"/>
      <c r="L3604"/>
      <c r="M3604"/>
      <c r="N3604"/>
      <c r="O3604"/>
      <c r="P3604"/>
      <c r="Q3604"/>
      <c r="R3604"/>
    </row>
    <row r="3605" spans="10:18" ht="16.2" customHeight="1">
      <c r="J3605"/>
      <c r="K3605"/>
      <c r="L3605"/>
      <c r="M3605"/>
      <c r="N3605"/>
      <c r="O3605"/>
      <c r="P3605"/>
      <c r="Q3605"/>
      <c r="R3605"/>
    </row>
    <row r="3606" spans="10:18" ht="16.2" customHeight="1">
      <c r="J3606"/>
      <c r="K3606"/>
      <c r="L3606"/>
      <c r="M3606"/>
      <c r="N3606"/>
      <c r="O3606"/>
      <c r="P3606"/>
      <c r="Q3606"/>
      <c r="R3606"/>
    </row>
    <row r="3607" spans="10:18" ht="16.2" customHeight="1">
      <c r="J3607"/>
      <c r="K3607"/>
      <c r="L3607"/>
      <c r="M3607"/>
      <c r="N3607"/>
      <c r="O3607"/>
      <c r="P3607"/>
      <c r="Q3607"/>
      <c r="R3607"/>
    </row>
    <row r="3608" spans="10:18" ht="16.2" customHeight="1">
      <c r="J3608"/>
      <c r="K3608"/>
      <c r="L3608"/>
      <c r="M3608"/>
      <c r="N3608"/>
      <c r="O3608"/>
      <c r="P3608"/>
      <c r="Q3608"/>
      <c r="R3608"/>
    </row>
    <row r="3609" spans="10:18" ht="16.2" customHeight="1">
      <c r="J3609"/>
      <c r="K3609"/>
      <c r="L3609"/>
      <c r="M3609"/>
      <c r="N3609"/>
      <c r="O3609"/>
      <c r="P3609"/>
      <c r="Q3609"/>
      <c r="R3609"/>
    </row>
    <row r="3610" spans="10:18" ht="16.2" customHeight="1">
      <c r="J3610"/>
      <c r="K3610"/>
      <c r="L3610"/>
      <c r="M3610"/>
      <c r="N3610"/>
      <c r="O3610"/>
      <c r="P3610"/>
      <c r="Q3610"/>
      <c r="R3610"/>
    </row>
    <row r="3611" spans="10:18" ht="16.2" customHeight="1">
      <c r="J3611"/>
      <c r="K3611"/>
      <c r="L3611"/>
      <c r="M3611"/>
      <c r="N3611"/>
      <c r="O3611"/>
      <c r="P3611"/>
      <c r="Q3611"/>
      <c r="R3611"/>
    </row>
    <row r="3612" spans="10:18" ht="16.2" customHeight="1">
      <c r="J3612"/>
      <c r="K3612"/>
      <c r="L3612"/>
      <c r="M3612"/>
      <c r="N3612"/>
      <c r="O3612"/>
      <c r="P3612"/>
      <c r="Q3612"/>
      <c r="R3612"/>
    </row>
    <row r="3613" spans="10:18" ht="16.2" customHeight="1">
      <c r="J3613"/>
      <c r="K3613"/>
      <c r="L3613"/>
      <c r="M3613"/>
      <c r="N3613"/>
      <c r="O3613"/>
      <c r="P3613"/>
      <c r="Q3613"/>
      <c r="R3613"/>
    </row>
    <row r="3614" spans="10:18" ht="16.2" customHeight="1">
      <c r="J3614"/>
      <c r="K3614"/>
      <c r="L3614"/>
      <c r="M3614"/>
      <c r="N3614"/>
      <c r="O3614"/>
      <c r="P3614"/>
      <c r="Q3614"/>
      <c r="R3614"/>
    </row>
    <row r="3615" spans="10:18" ht="16.2" customHeight="1">
      <c r="J3615"/>
      <c r="K3615"/>
      <c r="L3615"/>
      <c r="M3615"/>
      <c r="N3615"/>
      <c r="O3615"/>
      <c r="P3615"/>
      <c r="Q3615"/>
      <c r="R3615"/>
    </row>
    <row r="3616" spans="10:18" ht="16.2" customHeight="1">
      <c r="J3616"/>
      <c r="K3616"/>
      <c r="L3616"/>
      <c r="M3616"/>
      <c r="N3616"/>
      <c r="O3616"/>
      <c r="P3616"/>
      <c r="Q3616"/>
      <c r="R3616"/>
    </row>
    <row r="3617" spans="10:18" ht="16.2" customHeight="1">
      <c r="J3617"/>
      <c r="K3617"/>
      <c r="L3617"/>
      <c r="M3617"/>
      <c r="N3617"/>
      <c r="O3617"/>
      <c r="P3617"/>
      <c r="Q3617"/>
      <c r="R3617"/>
    </row>
    <row r="3618" spans="10:18" ht="16.2" customHeight="1">
      <c r="J3618"/>
      <c r="K3618"/>
      <c r="L3618"/>
      <c r="M3618"/>
      <c r="N3618"/>
      <c r="O3618"/>
      <c r="P3618"/>
      <c r="Q3618"/>
      <c r="R3618"/>
    </row>
    <row r="3619" spans="10:18" ht="16.2" customHeight="1">
      <c r="J3619"/>
      <c r="K3619"/>
      <c r="L3619"/>
      <c r="M3619"/>
      <c r="N3619"/>
      <c r="O3619"/>
      <c r="P3619"/>
      <c r="Q3619"/>
      <c r="R3619"/>
    </row>
    <row r="3620" spans="10:18" ht="16.2" customHeight="1">
      <c r="J3620"/>
      <c r="K3620"/>
      <c r="L3620"/>
      <c r="M3620"/>
      <c r="N3620"/>
      <c r="O3620"/>
      <c r="P3620"/>
      <c r="Q3620"/>
      <c r="R3620"/>
    </row>
    <row r="3621" spans="10:18" ht="16.2" customHeight="1">
      <c r="J3621"/>
      <c r="K3621"/>
      <c r="L3621"/>
      <c r="M3621"/>
      <c r="N3621"/>
      <c r="O3621"/>
      <c r="P3621"/>
      <c r="Q3621"/>
      <c r="R3621"/>
    </row>
    <row r="3622" spans="10:18" ht="16.2" customHeight="1">
      <c r="J3622"/>
      <c r="K3622"/>
      <c r="L3622"/>
      <c r="M3622"/>
      <c r="N3622"/>
      <c r="O3622"/>
      <c r="P3622"/>
      <c r="Q3622"/>
      <c r="R3622"/>
    </row>
    <row r="3623" spans="10:18" ht="16.2" customHeight="1">
      <c r="J3623"/>
      <c r="K3623"/>
      <c r="L3623"/>
      <c r="M3623"/>
      <c r="N3623"/>
      <c r="O3623"/>
      <c r="P3623"/>
      <c r="Q3623"/>
      <c r="R3623"/>
    </row>
    <row r="3624" spans="10:18" ht="16.2" customHeight="1">
      <c r="J3624"/>
      <c r="K3624"/>
      <c r="L3624"/>
      <c r="M3624"/>
      <c r="N3624"/>
      <c r="O3624"/>
      <c r="P3624"/>
      <c r="Q3624"/>
      <c r="R3624"/>
    </row>
    <row r="3625" spans="10:18" ht="16.2" customHeight="1">
      <c r="J3625"/>
      <c r="K3625"/>
      <c r="L3625"/>
      <c r="M3625"/>
      <c r="N3625"/>
      <c r="O3625"/>
      <c r="P3625"/>
      <c r="Q3625"/>
      <c r="R3625"/>
    </row>
    <row r="3626" spans="10:18" ht="16.2" customHeight="1">
      <c r="J3626" s="80" t="s">
        <v>725</v>
      </c>
      <c r="K3626" s="80" t="s">
        <v>425</v>
      </c>
      <c r="L3626" t="s">
        <v>170</v>
      </c>
      <c r="M3626" s="80" t="s">
        <v>730</v>
      </c>
      <c r="N3626" t="str">
        <f>(CONCATENATE(J3626,K3626,L3626,M3626))</f>
        <v>SingleVanda Versatrak 25 Rod with GlidesNormal 2074Versatrak Ultra Top Fix Glide Bracket</v>
      </c>
      <c r="O3626">
        <v>60</v>
      </c>
      <c r="P3626">
        <v>40</v>
      </c>
      <c r="Q3626" s="80">
        <v>0</v>
      </c>
      <c r="R3626" s="80">
        <f>SUM(P3626)-O3626</f>
        <v>-20</v>
      </c>
    </row>
    <row r="3627" ht="16.2" customHeight="1">
      <c r="N3627"/>
    </row>
    <row r="3628" ht="16.2" customHeight="1">
      <c r="N3628"/>
    </row>
    <row r="3629" ht="16.2" customHeight="1">
      <c r="N3629"/>
    </row>
    <row r="3630" ht="16.2" customHeight="1">
      <c r="N3630"/>
    </row>
  </sheetData>
  <autoFilter ref="J2:R3523"/>
  <mergeCells count="1">
    <mergeCell ref="A21:B21"/>
  </mergeCells>
  <pageMargins left="1.94409448819001" right="1.94409448819001" top="0.75" bottom="0.75" header="0.3" footer="0.3"/>
  <pageSetup horizontalDpi="300" verticalDpi="30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244F7-9096-4325-BCC8-7D407D8979F6}">
  <sheetPr codeName="Sheet5"/>
  <dimension ref="A1:AZ184"/>
  <sheetViews>
    <sheetView workbookViewId="0" topLeftCell="A1">
      <pane ySplit="1" topLeftCell="A33" activePane="bottomLeft" state="frozen"/>
      <selection pane="bottomLeft" activeCell="A52" sqref="A52:C58"/>
    </sheetView>
  </sheetViews>
  <sheetFormatPr defaultColWidth="9.44140625" defaultRowHeight="13.5"/>
  <cols>
    <col min="1" max="1" width="28.5714285714286" style="72" bestFit="1" customWidth="1"/>
    <col min="2" max="2" width="38" style="72" bestFit="1" customWidth="1"/>
    <col min="3" max="3" width="64.5714285714286" style="72" bestFit="1" customWidth="1"/>
    <col min="4" max="4" width="19.2857142857143" style="72" bestFit="1" customWidth="1"/>
    <col min="5" max="5" width="3" style="72" customWidth="1"/>
    <col min="6" max="6" width="9.57142857142857" style="72" customWidth="1"/>
    <col min="7" max="8" width="7.42857142857143" style="72" bestFit="1" customWidth="1"/>
    <col min="9" max="9" width="9.42857142857143" style="72" customWidth="1"/>
    <col min="10" max="10" width="2.42857142857143" style="72" customWidth="1"/>
    <col min="11" max="11" width="8.42857142857143" style="72" bestFit="1" customWidth="1"/>
    <col min="12" max="12" width="7.57142857142857" style="72" bestFit="1" customWidth="1"/>
    <col min="13" max="13" width="9.42857142857143" style="72" bestFit="1" customWidth="1"/>
    <col min="14" max="14" width="9.57142857142857" style="72" customWidth="1"/>
    <col min="15" max="15" width="2" style="72" customWidth="1"/>
    <col min="16" max="16" width="8.42857142857143" style="72" bestFit="1" customWidth="1"/>
    <col min="17" max="17" width="7" style="72" customWidth="1"/>
    <col min="18" max="18" width="7.42857142857143" style="72" bestFit="1" customWidth="1"/>
    <col min="19" max="19" width="9.42857142857143" style="72" customWidth="1"/>
    <col min="20" max="20" width="1.57142857142857" style="72" customWidth="1"/>
    <col min="21" max="21" width="7.42857142857143" style="72" bestFit="1" customWidth="1"/>
    <col min="22" max="22" width="8.57142857142857" style="72" customWidth="1"/>
    <col min="23" max="23" width="8.42857142857143" style="72" bestFit="1" customWidth="1"/>
    <col min="24" max="24" width="10.4285714285714" style="72" customWidth="1"/>
    <col min="25" max="25" width="2.42857142857143" style="72" customWidth="1"/>
    <col min="26" max="26" width="7.42857142857143" style="72" bestFit="1" customWidth="1"/>
    <col min="27" max="27" width="8.42857142857143" style="72" customWidth="1"/>
    <col min="28" max="28" width="7.42857142857143" style="72" bestFit="1" customWidth="1"/>
    <col min="29" max="29" width="9.42857142857143" style="72" customWidth="1"/>
    <col min="30" max="30" width="1.42857142857143" style="72" customWidth="1"/>
    <col min="31" max="31" width="7.42857142857143" style="72" bestFit="1" customWidth="1"/>
    <col min="32" max="32" width="8.57142857142857" style="72" customWidth="1"/>
    <col min="33" max="33" width="9.42857142857143" style="72" bestFit="1" customWidth="1"/>
    <col min="34" max="34" width="9" style="72" customWidth="1"/>
    <col min="35" max="52" width="9.42857142857143" style="72"/>
    <col min="53" max="16384" width="9.42857142857143" style="69"/>
  </cols>
  <sheetData>
    <row r="1" spans="1:35" ht="35.25" customHeight="1">
      <c r="A1" s="156" t="s">
        <v>715</v>
      </c>
      <c r="B1" s="158" t="s">
        <v>139</v>
      </c>
      <c r="C1" s="157" t="s">
        <v>272</v>
      </c>
      <c r="D1" s="158" t="s">
        <v>3591</v>
      </c>
      <c r="F1" s="368" t="s">
        <v>3586</v>
      </c>
      <c r="G1" s="369"/>
      <c r="H1" s="369"/>
      <c r="I1" s="370"/>
      <c r="J1" s="154"/>
      <c r="K1" s="365" t="s">
        <v>3585</v>
      </c>
      <c r="L1" s="366"/>
      <c r="M1" s="366"/>
      <c r="N1" s="367"/>
      <c r="O1" s="153"/>
      <c r="P1" s="365" t="s">
        <v>7516</v>
      </c>
      <c r="Q1" s="366"/>
      <c r="R1" s="366"/>
      <c r="S1" s="367"/>
      <c r="T1" s="153"/>
      <c r="U1" s="365" t="s">
        <v>3584</v>
      </c>
      <c r="V1" s="366"/>
      <c r="W1" s="366"/>
      <c r="X1" s="367"/>
      <c r="Y1" s="153"/>
      <c r="Z1" s="365" t="s">
        <v>7517</v>
      </c>
      <c r="AA1" s="366"/>
      <c r="AB1" s="366"/>
      <c r="AC1" s="367"/>
      <c r="AD1" s="73"/>
      <c r="AE1" s="365" t="s">
        <v>3589</v>
      </c>
      <c r="AF1" s="366"/>
      <c r="AG1" s="366"/>
      <c r="AH1" s="367"/>
      <c r="AI1" s="73"/>
    </row>
    <row r="2" spans="1:52" s="71" customFormat="1" ht="35.25" customHeight="1">
      <c r="A2" s="26" t="s">
        <v>420</v>
      </c>
      <c r="B2" s="26" t="s">
        <v>138</v>
      </c>
      <c r="C2" s="26" t="str">
        <f t="shared" si="0" ref="C2:C49">CONCATENATE(A2,B2)</f>
        <v>Wavefold (Standard Fullness x 2)Centre Opening</v>
      </c>
      <c r="D2" s="76" t="s">
        <v>3584</v>
      </c>
      <c r="E2" s="74"/>
      <c r="F2" s="150" t="s">
        <v>3583</v>
      </c>
      <c r="G2" s="150" t="s">
        <v>3582</v>
      </c>
      <c r="H2" s="150" t="s">
        <v>7518</v>
      </c>
      <c r="I2" s="150" t="s">
        <v>217</v>
      </c>
      <c r="J2" s="75"/>
      <c r="K2" s="150" t="s">
        <v>3583</v>
      </c>
      <c r="L2" s="150" t="s">
        <v>3582</v>
      </c>
      <c r="M2" s="150" t="s">
        <v>7518</v>
      </c>
      <c r="N2" s="150" t="s">
        <v>217</v>
      </c>
      <c r="O2" s="75"/>
      <c r="P2" s="150" t="s">
        <v>3583</v>
      </c>
      <c r="Q2" s="150" t="s">
        <v>3582</v>
      </c>
      <c r="R2" s="150" t="s">
        <v>7518</v>
      </c>
      <c r="S2" s="150" t="s">
        <v>217</v>
      </c>
      <c r="T2" s="75"/>
      <c r="U2" s="150" t="s">
        <v>3583</v>
      </c>
      <c r="V2" s="150" t="s">
        <v>3582</v>
      </c>
      <c r="W2" s="150" t="s">
        <v>7518</v>
      </c>
      <c r="X2" s="150" t="s">
        <v>217</v>
      </c>
      <c r="Y2" s="75"/>
      <c r="Z2" s="150" t="s">
        <v>3583</v>
      </c>
      <c r="AA2" s="150" t="s">
        <v>3582</v>
      </c>
      <c r="AB2" s="150" t="s">
        <v>7518</v>
      </c>
      <c r="AC2" s="150" t="s">
        <v>217</v>
      </c>
      <c r="AD2" s="75"/>
      <c r="AE2" s="150" t="s">
        <v>3583</v>
      </c>
      <c r="AF2" s="150" t="s">
        <v>3582</v>
      </c>
      <c r="AG2" s="150" t="s">
        <v>7518</v>
      </c>
      <c r="AH2" s="150" t="s">
        <v>217</v>
      </c>
      <c r="AI2" s="75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</row>
    <row r="3" spans="1:52" s="70" customFormat="1" ht="16.5" customHeight="1">
      <c r="A3" s="26" t="s">
        <v>420</v>
      </c>
      <c r="B3" s="26" t="s">
        <v>141</v>
      </c>
      <c r="C3" s="26" t="str">
        <f t="shared" si="0"/>
        <v>Wavefold (Standard Fullness x 2)Single Panel - Left Stacking</v>
      </c>
      <c r="D3" s="26" t="s">
        <v>3588</v>
      </c>
      <c r="E3" s="77"/>
      <c r="F3" s="103">
        <v>0</v>
      </c>
      <c r="G3" s="104">
        <v>8</v>
      </c>
      <c r="H3" s="104" t="s">
        <v>7924</v>
      </c>
      <c r="I3" s="159">
        <f>(ROUNDUP((H3+300)/1000,1))</f>
        <v>1.1</v>
      </c>
      <c r="J3" s="78"/>
      <c r="K3" s="103">
        <v>0</v>
      </c>
      <c r="L3" s="103" t="s">
        <v>3581</v>
      </c>
      <c r="M3" s="104" t="s">
        <v>7999</v>
      </c>
      <c r="N3" s="159">
        <f>I3*2</f>
        <v>2.2</v>
      </c>
      <c r="O3" s="78"/>
      <c r="P3" s="103">
        <v>0</v>
      </c>
      <c r="Q3" s="104">
        <v>8</v>
      </c>
      <c r="R3" s="162" t="s">
        <v>7951</v>
      </c>
      <c r="S3" s="159">
        <f>(ROUNDUP((R3+300)/1000,1))</f>
        <v>1.2</v>
      </c>
      <c r="T3" s="78"/>
      <c r="U3" s="103">
        <v>0</v>
      </c>
      <c r="V3" s="104" t="s">
        <v>3581</v>
      </c>
      <c r="W3" s="162" t="s">
        <v>8052</v>
      </c>
      <c r="X3" s="159">
        <f>S3*2</f>
        <v>2.4</v>
      </c>
      <c r="Y3" s="78"/>
      <c r="Z3" s="103">
        <v>0</v>
      </c>
      <c r="AA3" s="104">
        <v>8</v>
      </c>
      <c r="AB3" s="162" t="s">
        <v>7952</v>
      </c>
      <c r="AC3" s="159">
        <f t="shared" si="1" ref="AC3:AC34">(ROUNDUP((AB3+300)/1000,1))</f>
        <v>1.4</v>
      </c>
      <c r="AD3" s="78"/>
      <c r="AE3" s="103">
        <v>0</v>
      </c>
      <c r="AF3" s="103" t="s">
        <v>3581</v>
      </c>
      <c r="AG3" s="162" t="s">
        <v>8053</v>
      </c>
      <c r="AH3" s="159">
        <f>AC3*2</f>
        <v>2.8</v>
      </c>
      <c r="AI3" s="78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</row>
    <row r="4" spans="1:35" ht="16.5" customHeight="1">
      <c r="A4" s="26" t="s">
        <v>420</v>
      </c>
      <c r="B4" s="26" t="s">
        <v>142</v>
      </c>
      <c r="C4" s="26" t="str">
        <f t="shared" si="0"/>
        <v>Wavefold (Standard Fullness x 2)Single Panel - Right Stacking</v>
      </c>
      <c r="D4" s="26" t="s">
        <v>3588</v>
      </c>
      <c r="F4" s="104">
        <v>320</v>
      </c>
      <c r="G4" s="104">
        <v>10</v>
      </c>
      <c r="H4" s="104" t="s">
        <v>7925</v>
      </c>
      <c r="I4" s="159">
        <f t="shared" si="2" ref="I4:I56">(ROUNDUP((H4+300)/1000,1))</f>
        <v>1.3</v>
      </c>
      <c r="J4" s="78"/>
      <c r="K4" s="151">
        <v>640</v>
      </c>
      <c r="L4" s="103" t="s">
        <v>3580</v>
      </c>
      <c r="M4" s="104" t="s">
        <v>8000</v>
      </c>
      <c r="N4" s="159">
        <f t="shared" si="3" ref="N4:N51">I4*2</f>
        <v>2.6</v>
      </c>
      <c r="O4" s="78"/>
      <c r="P4" s="104">
        <v>320</v>
      </c>
      <c r="Q4" s="104">
        <v>10</v>
      </c>
      <c r="R4" s="162" t="s">
        <v>7952</v>
      </c>
      <c r="S4" s="159">
        <f t="shared" si="4" ref="S4:S56">(ROUNDUP((R4+300)/1000,1))</f>
        <v>1.4</v>
      </c>
      <c r="T4" s="78"/>
      <c r="U4" s="104">
        <v>640</v>
      </c>
      <c r="V4" s="104" t="s">
        <v>3580</v>
      </c>
      <c r="W4" s="162" t="s">
        <v>8053</v>
      </c>
      <c r="X4" s="159">
        <f t="shared" si="5" ref="X4:X51">S4*2</f>
        <v>2.8</v>
      </c>
      <c r="Y4" s="78"/>
      <c r="Z4" s="104">
        <v>320</v>
      </c>
      <c r="AA4" s="104">
        <v>10</v>
      </c>
      <c r="AB4" s="162" t="s">
        <v>8076</v>
      </c>
      <c r="AC4" s="159">
        <f t="shared" si="1"/>
        <v>1.7</v>
      </c>
      <c r="AD4" s="78"/>
      <c r="AE4" s="151">
        <v>640</v>
      </c>
      <c r="AF4" s="103" t="s">
        <v>3580</v>
      </c>
      <c r="AG4" s="162" t="s">
        <v>8118</v>
      </c>
      <c r="AH4" s="159">
        <f t="shared" si="6" ref="AH4:AH51">AC4*2</f>
        <v>3.4</v>
      </c>
      <c r="AI4" s="73"/>
    </row>
    <row r="5" spans="1:35" ht="16.5" customHeight="1">
      <c r="A5" s="26" t="s">
        <v>420</v>
      </c>
      <c r="B5" s="26" t="s">
        <v>143</v>
      </c>
      <c r="C5" s="26" t="str">
        <f t="shared" si="0"/>
        <v>Wavefold (Standard Fullness x 2)Single Panel - Free Flowing</v>
      </c>
      <c r="D5" s="26" t="s">
        <v>3588</v>
      </c>
      <c r="F5" s="104">
        <v>430</v>
      </c>
      <c r="G5" s="104">
        <v>12</v>
      </c>
      <c r="H5" s="104" t="s">
        <v>7926</v>
      </c>
      <c r="I5" s="159">
        <f t="shared" si="2"/>
        <v>1.5</v>
      </c>
      <c r="J5" s="78"/>
      <c r="K5" s="151">
        <v>860</v>
      </c>
      <c r="L5" s="103" t="s">
        <v>3579</v>
      </c>
      <c r="M5" s="104" t="s">
        <v>8001</v>
      </c>
      <c r="N5" s="159">
        <f t="shared" si="3"/>
        <v>3</v>
      </c>
      <c r="O5" s="78"/>
      <c r="P5" s="104">
        <v>430</v>
      </c>
      <c r="Q5" s="104">
        <v>12</v>
      </c>
      <c r="R5" s="162" t="s">
        <v>7953</v>
      </c>
      <c r="S5" s="159">
        <f t="shared" si="4"/>
        <v>1.6</v>
      </c>
      <c r="T5" s="78"/>
      <c r="U5" s="104">
        <v>860</v>
      </c>
      <c r="V5" s="104" t="s">
        <v>3579</v>
      </c>
      <c r="W5" s="162" t="s">
        <v>8054</v>
      </c>
      <c r="X5" s="159">
        <f t="shared" si="5"/>
        <v>3.2</v>
      </c>
      <c r="Y5" s="78"/>
      <c r="Z5" s="104">
        <v>430</v>
      </c>
      <c r="AA5" s="104">
        <v>12</v>
      </c>
      <c r="AB5" s="162" t="s">
        <v>8077</v>
      </c>
      <c r="AC5" s="159">
        <f t="shared" si="1"/>
        <v>2</v>
      </c>
      <c r="AD5" s="78"/>
      <c r="AE5" s="151">
        <v>860</v>
      </c>
      <c r="AF5" s="103" t="s">
        <v>3579</v>
      </c>
      <c r="AG5" s="162" t="s">
        <v>8119</v>
      </c>
      <c r="AH5" s="159">
        <f t="shared" si="6"/>
        <v>4</v>
      </c>
      <c r="AI5" s="73"/>
    </row>
    <row r="6" spans="1:35" ht="16.5" customHeight="1">
      <c r="A6" s="26" t="s">
        <v>420</v>
      </c>
      <c r="B6" s="26" t="s">
        <v>717</v>
      </c>
      <c r="C6" s="26" t="str">
        <f t="shared" si="0"/>
        <v>Wavefold (Standard Fullness x 2)Centre Opening - Free Flowing</v>
      </c>
      <c r="D6" s="26" t="s">
        <v>3584</v>
      </c>
      <c r="F6" s="104">
        <v>530</v>
      </c>
      <c r="G6" s="104">
        <v>14</v>
      </c>
      <c r="H6" s="104" t="s">
        <v>7927</v>
      </c>
      <c r="I6" s="159">
        <f t="shared" si="2"/>
        <v>1.7</v>
      </c>
      <c r="J6" s="78"/>
      <c r="K6" s="151">
        <v>1060</v>
      </c>
      <c r="L6" s="103" t="s">
        <v>3578</v>
      </c>
      <c r="M6" s="104" t="s">
        <v>8002</v>
      </c>
      <c r="N6" s="159">
        <f t="shared" si="3"/>
        <v>3.4</v>
      </c>
      <c r="O6" s="78"/>
      <c r="P6" s="104">
        <v>530</v>
      </c>
      <c r="Q6" s="104">
        <v>14</v>
      </c>
      <c r="R6" s="162" t="s">
        <v>7954</v>
      </c>
      <c r="S6" s="159">
        <f t="shared" si="4"/>
        <v>1.9</v>
      </c>
      <c r="T6" s="78"/>
      <c r="U6" s="104">
        <v>1060</v>
      </c>
      <c r="V6" s="104" t="s">
        <v>3578</v>
      </c>
      <c r="W6" s="162" t="s">
        <v>8055</v>
      </c>
      <c r="X6" s="159">
        <f t="shared" si="5"/>
        <v>3.8</v>
      </c>
      <c r="Y6" s="78"/>
      <c r="Z6" s="104">
        <v>530</v>
      </c>
      <c r="AA6" s="104">
        <v>14</v>
      </c>
      <c r="AB6" s="162" t="s">
        <v>8078</v>
      </c>
      <c r="AC6" s="159">
        <f t="shared" si="1"/>
        <v>2.2</v>
      </c>
      <c r="AD6" s="78"/>
      <c r="AE6" s="151">
        <v>1060</v>
      </c>
      <c r="AF6" s="103" t="s">
        <v>3578</v>
      </c>
      <c r="AG6" s="162" t="s">
        <v>8120</v>
      </c>
      <c r="AH6" s="159">
        <f t="shared" si="6"/>
        <v>4.4</v>
      </c>
      <c r="AI6" s="73"/>
    </row>
    <row r="7" spans="1:35" ht="16.5" customHeight="1">
      <c r="A7" s="26" t="s">
        <v>420</v>
      </c>
      <c r="B7" s="26" t="s">
        <v>5903</v>
      </c>
      <c r="C7" s="26" t="str">
        <f t="shared" si="0"/>
        <v>Wavefold (Standard Fullness x 2)Centre Opening - Free Flowing (Offset Split)</v>
      </c>
      <c r="D7" s="26" t="s">
        <v>3584</v>
      </c>
      <c r="F7" s="104">
        <v>630</v>
      </c>
      <c r="G7" s="104">
        <v>16</v>
      </c>
      <c r="H7" s="104" t="s">
        <v>7928</v>
      </c>
      <c r="I7" s="159">
        <f t="shared" si="2"/>
        <v>1.9</v>
      </c>
      <c r="J7" s="78"/>
      <c r="K7" s="151">
        <v>1260</v>
      </c>
      <c r="L7" s="103" t="s">
        <v>3577</v>
      </c>
      <c r="M7" s="104" t="s">
        <v>8003</v>
      </c>
      <c r="N7" s="159">
        <f t="shared" si="3"/>
        <v>3.8</v>
      </c>
      <c r="O7" s="78"/>
      <c r="P7" s="104">
        <v>630</v>
      </c>
      <c r="Q7" s="104">
        <v>16</v>
      </c>
      <c r="R7" s="162" t="s">
        <v>7929</v>
      </c>
      <c r="S7" s="159">
        <f t="shared" si="4"/>
        <v>2.1</v>
      </c>
      <c r="T7" s="78"/>
      <c r="U7" s="104">
        <v>1260</v>
      </c>
      <c r="V7" s="104" t="s">
        <v>3577</v>
      </c>
      <c r="W7" s="162" t="s">
        <v>8004</v>
      </c>
      <c r="X7" s="159">
        <f t="shared" si="5"/>
        <v>4.2</v>
      </c>
      <c r="Y7" s="78"/>
      <c r="Z7" s="104">
        <v>630</v>
      </c>
      <c r="AA7" s="104">
        <v>16</v>
      </c>
      <c r="AB7" s="162" t="s">
        <v>7956</v>
      </c>
      <c r="AC7" s="159">
        <f t="shared" si="1"/>
        <v>2.5</v>
      </c>
      <c r="AD7" s="78"/>
      <c r="AE7" s="151">
        <v>1260</v>
      </c>
      <c r="AF7" s="103" t="s">
        <v>3577</v>
      </c>
      <c r="AG7" s="162" t="s">
        <v>8057</v>
      </c>
      <c r="AH7" s="159">
        <f t="shared" si="6"/>
        <v>5</v>
      </c>
      <c r="AI7" s="73"/>
    </row>
    <row r="8" spans="1:35" ht="16.5" customHeight="1">
      <c r="A8" s="26" t="s">
        <v>420</v>
      </c>
      <c r="B8" s="26" t="s">
        <v>5902</v>
      </c>
      <c r="C8" s="26" t="str">
        <f t="shared" si="0"/>
        <v>Wavefold (Standard Fullness x 2)Centre Opening (Offset Split)</v>
      </c>
      <c r="D8" s="26" t="s">
        <v>3584</v>
      </c>
      <c r="F8" s="104">
        <v>740</v>
      </c>
      <c r="G8" s="104">
        <v>18</v>
      </c>
      <c r="H8" s="104" t="s">
        <v>7929</v>
      </c>
      <c r="I8" s="159">
        <f t="shared" si="2"/>
        <v>2.1</v>
      </c>
      <c r="J8" s="78"/>
      <c r="K8" s="151">
        <v>1480</v>
      </c>
      <c r="L8" s="103" t="s">
        <v>3576</v>
      </c>
      <c r="M8" s="104" t="s">
        <v>8004</v>
      </c>
      <c r="N8" s="159">
        <f t="shared" si="3"/>
        <v>4.2</v>
      </c>
      <c r="O8" s="78"/>
      <c r="P8" s="104">
        <v>740</v>
      </c>
      <c r="Q8" s="104">
        <v>18</v>
      </c>
      <c r="R8" s="162" t="s">
        <v>7955</v>
      </c>
      <c r="S8" s="159">
        <f t="shared" si="4"/>
        <v>2.3</v>
      </c>
      <c r="T8" s="78"/>
      <c r="U8" s="104">
        <v>1480</v>
      </c>
      <c r="V8" s="104" t="s">
        <v>3576</v>
      </c>
      <c r="W8" s="162" t="s">
        <v>8056</v>
      </c>
      <c r="X8" s="159">
        <f t="shared" si="5"/>
        <v>4.6</v>
      </c>
      <c r="Y8" s="78"/>
      <c r="Z8" s="104">
        <v>740</v>
      </c>
      <c r="AA8" s="104">
        <v>18</v>
      </c>
      <c r="AB8" s="162" t="s">
        <v>8079</v>
      </c>
      <c r="AC8" s="159">
        <f t="shared" si="1"/>
        <v>2.8</v>
      </c>
      <c r="AD8" s="78"/>
      <c r="AE8" s="151">
        <v>1480</v>
      </c>
      <c r="AF8" s="103" t="s">
        <v>3576</v>
      </c>
      <c r="AG8" s="162" t="s">
        <v>8121</v>
      </c>
      <c r="AH8" s="159">
        <f t="shared" si="6"/>
        <v>5.6</v>
      </c>
      <c r="AI8" s="73"/>
    </row>
    <row r="9" spans="1:35" ht="16.5" customHeight="1">
      <c r="A9" s="26" t="s">
        <v>420</v>
      </c>
      <c r="B9" s="26" t="s">
        <v>154</v>
      </c>
      <c r="C9" s="26" t="str">
        <f t="shared" si="0"/>
        <v>Wavefold (Standard Fullness x 2)No Movement</v>
      </c>
      <c r="D9" s="26" t="s">
        <v>3588</v>
      </c>
      <c r="F9" s="104">
        <v>850</v>
      </c>
      <c r="G9" s="104">
        <v>20</v>
      </c>
      <c r="H9" s="104" t="s">
        <v>7930</v>
      </c>
      <c r="I9" s="159">
        <f t="shared" si="2"/>
        <v>2.3</v>
      </c>
      <c r="J9" s="78"/>
      <c r="K9" s="151">
        <v>1700</v>
      </c>
      <c r="L9" s="103" t="s">
        <v>3575</v>
      </c>
      <c r="M9" s="104" t="s">
        <v>8005</v>
      </c>
      <c r="N9" s="159">
        <f t="shared" si="3"/>
        <v>4.6</v>
      </c>
      <c r="O9" s="78"/>
      <c r="P9" s="104">
        <v>850</v>
      </c>
      <c r="Q9" s="104">
        <v>20</v>
      </c>
      <c r="R9" s="162" t="s">
        <v>7956</v>
      </c>
      <c r="S9" s="159">
        <f t="shared" si="4"/>
        <v>2.5</v>
      </c>
      <c r="T9" s="78"/>
      <c r="U9" s="104">
        <v>1700</v>
      </c>
      <c r="V9" s="104" t="s">
        <v>3575</v>
      </c>
      <c r="W9" s="162" t="s">
        <v>8057</v>
      </c>
      <c r="X9" s="159">
        <f t="shared" si="5"/>
        <v>5</v>
      </c>
      <c r="Y9" s="78"/>
      <c r="Z9" s="104">
        <v>850</v>
      </c>
      <c r="AA9" s="104">
        <v>20</v>
      </c>
      <c r="AB9" s="162" t="s">
        <v>8080</v>
      </c>
      <c r="AC9" s="159">
        <f t="shared" si="1"/>
        <v>3</v>
      </c>
      <c r="AD9" s="78"/>
      <c r="AE9" s="151">
        <v>1700</v>
      </c>
      <c r="AF9" s="103" t="s">
        <v>3575</v>
      </c>
      <c r="AG9" s="162" t="s">
        <v>8122</v>
      </c>
      <c r="AH9" s="159">
        <f t="shared" si="6"/>
        <v>6</v>
      </c>
      <c r="AI9" s="73"/>
    </row>
    <row r="10" spans="1:35" ht="16.5" customHeight="1">
      <c r="A10" s="26" t="s">
        <v>440</v>
      </c>
      <c r="B10" s="26" t="s">
        <v>138</v>
      </c>
      <c r="C10" s="26" t="str">
        <f t="shared" si="0"/>
        <v>Wavefold (Less Fullness x 1.8)Centre Opening</v>
      </c>
      <c r="D10" s="26" t="s">
        <v>3585</v>
      </c>
      <c r="F10" s="104">
        <v>960</v>
      </c>
      <c r="G10" s="104">
        <v>22</v>
      </c>
      <c r="H10" s="104" t="s">
        <v>7931</v>
      </c>
      <c r="I10" s="159">
        <f t="shared" si="2"/>
        <v>2.5</v>
      </c>
      <c r="J10" s="78"/>
      <c r="K10" s="151">
        <v>1920</v>
      </c>
      <c r="L10" s="103" t="s">
        <v>3574</v>
      </c>
      <c r="M10" s="104" t="s">
        <v>8006</v>
      </c>
      <c r="N10" s="159">
        <f t="shared" si="3"/>
        <v>5</v>
      </c>
      <c r="O10" s="78"/>
      <c r="P10" s="104">
        <v>960</v>
      </c>
      <c r="Q10" s="104">
        <v>22</v>
      </c>
      <c r="R10" s="162" t="s">
        <v>7957</v>
      </c>
      <c r="S10" s="159">
        <f t="shared" si="4"/>
        <v>2.7</v>
      </c>
      <c r="T10" s="78"/>
      <c r="U10" s="104">
        <v>1920</v>
      </c>
      <c r="V10" s="104" t="s">
        <v>3574</v>
      </c>
      <c r="W10" s="162" t="s">
        <v>8058</v>
      </c>
      <c r="X10" s="159">
        <f t="shared" si="5"/>
        <v>5.4</v>
      </c>
      <c r="Y10" s="78"/>
      <c r="Z10" s="104">
        <v>960</v>
      </c>
      <c r="AA10" s="104">
        <v>22</v>
      </c>
      <c r="AB10" s="162" t="s">
        <v>8081</v>
      </c>
      <c r="AC10" s="159">
        <f t="shared" si="1"/>
        <v>3.3</v>
      </c>
      <c r="AD10" s="78"/>
      <c r="AE10" s="151">
        <v>1920</v>
      </c>
      <c r="AF10" s="103" t="s">
        <v>3574</v>
      </c>
      <c r="AG10" s="162" t="s">
        <v>8123</v>
      </c>
      <c r="AH10" s="159">
        <f t="shared" si="6"/>
        <v>6.6</v>
      </c>
      <c r="AI10" s="73"/>
    </row>
    <row r="11" spans="1:35" ht="16.5" customHeight="1">
      <c r="A11" s="26" t="s">
        <v>440</v>
      </c>
      <c r="B11" s="26" t="s">
        <v>141</v>
      </c>
      <c r="C11" s="26" t="str">
        <f t="shared" si="0"/>
        <v>Wavefold (Less Fullness x 1.8)Single Panel - Left Stacking</v>
      </c>
      <c r="D11" s="26" t="s">
        <v>3586</v>
      </c>
      <c r="F11" s="104">
        <v>1070</v>
      </c>
      <c r="G11" s="104">
        <v>24</v>
      </c>
      <c r="H11" s="104" t="s">
        <v>7932</v>
      </c>
      <c r="I11" s="159">
        <f t="shared" si="2"/>
        <v>2.7</v>
      </c>
      <c r="J11" s="78"/>
      <c r="K11" s="151">
        <v>2140</v>
      </c>
      <c r="L11" s="103" t="s">
        <v>3573</v>
      </c>
      <c r="M11" s="104" t="s">
        <v>8007</v>
      </c>
      <c r="N11" s="159">
        <f t="shared" si="3"/>
        <v>5.4</v>
      </c>
      <c r="O11" s="78"/>
      <c r="P11" s="104">
        <v>1070</v>
      </c>
      <c r="Q11" s="104">
        <v>24</v>
      </c>
      <c r="R11" s="162" t="s">
        <v>7958</v>
      </c>
      <c r="S11" s="159">
        <f t="shared" si="4"/>
        <v>2.9</v>
      </c>
      <c r="T11" s="78"/>
      <c r="U11" s="104">
        <v>2140</v>
      </c>
      <c r="V11" s="104" t="s">
        <v>3573</v>
      </c>
      <c r="W11" s="162" t="s">
        <v>8059</v>
      </c>
      <c r="X11" s="159">
        <f t="shared" si="5"/>
        <v>5.8</v>
      </c>
      <c r="Y11" s="78"/>
      <c r="Z11" s="104">
        <v>1070</v>
      </c>
      <c r="AA11" s="104">
        <v>24</v>
      </c>
      <c r="AB11" s="162" t="s">
        <v>7961</v>
      </c>
      <c r="AC11" s="159">
        <f t="shared" si="1"/>
        <v>3.6</v>
      </c>
      <c r="AD11" s="78"/>
      <c r="AE11" s="151">
        <v>2140</v>
      </c>
      <c r="AF11" s="103" t="s">
        <v>3573</v>
      </c>
      <c r="AG11" s="162" t="s">
        <v>8062</v>
      </c>
      <c r="AH11" s="159">
        <f t="shared" si="6"/>
        <v>7.2</v>
      </c>
      <c r="AI11" s="73"/>
    </row>
    <row r="12" spans="1:35" ht="16.5" customHeight="1">
      <c r="A12" s="26" t="s">
        <v>440</v>
      </c>
      <c r="B12" s="26" t="s">
        <v>142</v>
      </c>
      <c r="C12" s="26" t="str">
        <f t="shared" si="0"/>
        <v>Wavefold (Less Fullness x 1.8)Single Panel - Right Stacking</v>
      </c>
      <c r="D12" s="26" t="s">
        <v>3586</v>
      </c>
      <c r="F12" s="104">
        <v>1180</v>
      </c>
      <c r="G12" s="104">
        <v>26</v>
      </c>
      <c r="H12" s="104" t="s">
        <v>7933</v>
      </c>
      <c r="I12" s="159">
        <f t="shared" si="2"/>
        <v>2.8</v>
      </c>
      <c r="J12" s="78"/>
      <c r="K12" s="151">
        <v>2360</v>
      </c>
      <c r="L12" s="103" t="s">
        <v>3572</v>
      </c>
      <c r="M12" s="104" t="s">
        <v>8008</v>
      </c>
      <c r="N12" s="159">
        <f t="shared" si="3"/>
        <v>5.6</v>
      </c>
      <c r="O12" s="78"/>
      <c r="P12" s="104">
        <v>1180</v>
      </c>
      <c r="Q12" s="104">
        <v>26</v>
      </c>
      <c r="R12" s="162" t="s">
        <v>7959</v>
      </c>
      <c r="S12" s="159">
        <f t="shared" si="4"/>
        <v>3.2</v>
      </c>
      <c r="T12" s="78"/>
      <c r="U12" s="104">
        <v>2360</v>
      </c>
      <c r="V12" s="104" t="s">
        <v>3572</v>
      </c>
      <c r="W12" s="162" t="s">
        <v>8060</v>
      </c>
      <c r="X12" s="159">
        <f t="shared" si="5"/>
        <v>6.4</v>
      </c>
      <c r="Y12" s="78"/>
      <c r="Z12" s="104">
        <v>1180</v>
      </c>
      <c r="AA12" s="104">
        <v>26</v>
      </c>
      <c r="AB12" s="162" t="s">
        <v>8082</v>
      </c>
      <c r="AC12" s="159">
        <f t="shared" si="1"/>
        <v>3.9</v>
      </c>
      <c r="AD12" s="78"/>
      <c r="AE12" s="151">
        <v>2360</v>
      </c>
      <c r="AF12" s="103" t="s">
        <v>3572</v>
      </c>
      <c r="AG12" s="162" t="s">
        <v>8124</v>
      </c>
      <c r="AH12" s="159">
        <f t="shared" si="6"/>
        <v>7.8</v>
      </c>
      <c r="AI12" s="73"/>
    </row>
    <row r="13" spans="1:35" ht="16.5" customHeight="1">
      <c r="A13" s="26" t="s">
        <v>440</v>
      </c>
      <c r="B13" s="26" t="s">
        <v>143</v>
      </c>
      <c r="C13" s="26" t="str">
        <f t="shared" si="0"/>
        <v>Wavefold (Less Fullness x 1.8)Single Panel - Free Flowing</v>
      </c>
      <c r="D13" s="26" t="s">
        <v>3586</v>
      </c>
      <c r="F13" s="104">
        <v>1290</v>
      </c>
      <c r="G13" s="104">
        <v>28</v>
      </c>
      <c r="H13" s="104" t="s">
        <v>7934</v>
      </c>
      <c r="I13" s="159">
        <f t="shared" si="2"/>
        <v>3</v>
      </c>
      <c r="J13" s="78"/>
      <c r="K13" s="151">
        <v>2580</v>
      </c>
      <c r="L13" s="103" t="s">
        <v>3571</v>
      </c>
      <c r="M13" s="104" t="s">
        <v>8009</v>
      </c>
      <c r="N13" s="159">
        <f t="shared" si="3"/>
        <v>6</v>
      </c>
      <c r="O13" s="78"/>
      <c r="P13" s="104">
        <v>1290</v>
      </c>
      <c r="Q13" s="104">
        <v>28</v>
      </c>
      <c r="R13" s="162" t="s">
        <v>7960</v>
      </c>
      <c r="S13" s="159">
        <f t="shared" si="4"/>
        <v>3.4</v>
      </c>
      <c r="T13" s="78"/>
      <c r="U13" s="104">
        <v>2580</v>
      </c>
      <c r="V13" s="104" t="s">
        <v>3571</v>
      </c>
      <c r="W13" s="162" t="s">
        <v>8061</v>
      </c>
      <c r="X13" s="159">
        <f t="shared" si="5"/>
        <v>6.8</v>
      </c>
      <c r="Y13" s="78"/>
      <c r="Z13" s="104">
        <v>1290</v>
      </c>
      <c r="AA13" s="104">
        <v>28</v>
      </c>
      <c r="AB13" s="162" t="s">
        <v>8083</v>
      </c>
      <c r="AC13" s="159">
        <f t="shared" si="1"/>
        <v>4.1</v>
      </c>
      <c r="AD13" s="78"/>
      <c r="AE13" s="151">
        <v>2580</v>
      </c>
      <c r="AF13" s="103" t="s">
        <v>3571</v>
      </c>
      <c r="AG13" s="162" t="s">
        <v>8125</v>
      </c>
      <c r="AH13" s="159">
        <f t="shared" si="6"/>
        <v>8.2</v>
      </c>
      <c r="AI13" s="73"/>
    </row>
    <row r="14" spans="1:35" ht="16.5" customHeight="1">
      <c r="A14" s="26" t="s">
        <v>440</v>
      </c>
      <c r="B14" s="26" t="s">
        <v>717</v>
      </c>
      <c r="C14" s="26" t="str">
        <f t="shared" si="0"/>
        <v>Wavefold (Less Fullness x 1.8)Centre Opening - Free Flowing</v>
      </c>
      <c r="D14" s="26" t="s">
        <v>3585</v>
      </c>
      <c r="F14" s="104">
        <v>1400</v>
      </c>
      <c r="G14" s="104">
        <v>30</v>
      </c>
      <c r="H14" s="104" t="s">
        <v>7935</v>
      </c>
      <c r="I14" s="159">
        <f t="shared" si="2"/>
        <v>3.2</v>
      </c>
      <c r="J14" s="78"/>
      <c r="K14" s="151">
        <v>2800</v>
      </c>
      <c r="L14" s="103" t="s">
        <v>3570</v>
      </c>
      <c r="M14" s="104" t="s">
        <v>8010</v>
      </c>
      <c r="N14" s="159">
        <f t="shared" si="3"/>
        <v>6.4</v>
      </c>
      <c r="O14" s="78"/>
      <c r="P14" s="104">
        <v>1400</v>
      </c>
      <c r="Q14" s="104">
        <v>30</v>
      </c>
      <c r="R14" s="162" t="s">
        <v>7961</v>
      </c>
      <c r="S14" s="159">
        <f t="shared" si="4"/>
        <v>3.6</v>
      </c>
      <c r="T14" s="78"/>
      <c r="U14" s="104">
        <v>2800</v>
      </c>
      <c r="V14" s="104" t="s">
        <v>3570</v>
      </c>
      <c r="W14" s="162" t="s">
        <v>8062</v>
      </c>
      <c r="X14" s="159">
        <f t="shared" si="5"/>
        <v>7.2</v>
      </c>
      <c r="Y14" s="78"/>
      <c r="Z14" s="104">
        <v>1400</v>
      </c>
      <c r="AA14" s="104">
        <v>30</v>
      </c>
      <c r="AB14" s="162" t="s">
        <v>8084</v>
      </c>
      <c r="AC14" s="159">
        <f t="shared" si="1"/>
        <v>4.4</v>
      </c>
      <c r="AD14" s="78"/>
      <c r="AE14" s="151">
        <v>2800</v>
      </c>
      <c r="AF14" s="103" t="s">
        <v>3570</v>
      </c>
      <c r="AG14" s="162" t="s">
        <v>8126</v>
      </c>
      <c r="AH14" s="159">
        <f t="shared" si="6"/>
        <v>8.8</v>
      </c>
      <c r="AI14" s="73"/>
    </row>
    <row r="15" spans="1:35" ht="16.5" customHeight="1">
      <c r="A15" s="26" t="s">
        <v>440</v>
      </c>
      <c r="B15" s="26" t="s">
        <v>5903</v>
      </c>
      <c r="C15" s="26" t="str">
        <f t="shared" si="0"/>
        <v>Wavefold (Less Fullness x 1.8)Centre Opening - Free Flowing (Offset Split)</v>
      </c>
      <c r="D15" s="26" t="s">
        <v>3585</v>
      </c>
      <c r="F15" s="104">
        <v>1510</v>
      </c>
      <c r="G15" s="104">
        <v>32</v>
      </c>
      <c r="H15" s="104" t="s">
        <v>7936</v>
      </c>
      <c r="I15" s="159">
        <f t="shared" si="2"/>
        <v>3.4</v>
      </c>
      <c r="J15" s="78"/>
      <c r="K15" s="151">
        <v>3020</v>
      </c>
      <c r="L15" s="103" t="s">
        <v>3569</v>
      </c>
      <c r="M15" s="104" t="s">
        <v>8011</v>
      </c>
      <c r="N15" s="159">
        <f t="shared" si="3"/>
        <v>6.8</v>
      </c>
      <c r="O15" s="78"/>
      <c r="P15" s="104">
        <v>1510</v>
      </c>
      <c r="Q15" s="104">
        <v>32</v>
      </c>
      <c r="R15" s="162" t="s">
        <v>7938</v>
      </c>
      <c r="S15" s="159">
        <f t="shared" si="4"/>
        <v>3.8</v>
      </c>
      <c r="T15" s="78"/>
      <c r="U15" s="104">
        <v>3020</v>
      </c>
      <c r="V15" s="104" t="s">
        <v>3569</v>
      </c>
      <c r="W15" s="162" t="s">
        <v>8013</v>
      </c>
      <c r="X15" s="159">
        <f t="shared" si="5"/>
        <v>7.6</v>
      </c>
      <c r="Y15" s="78"/>
      <c r="Z15" s="104">
        <v>1510</v>
      </c>
      <c r="AA15" s="104">
        <v>32</v>
      </c>
      <c r="AB15" s="162" t="s">
        <v>7965</v>
      </c>
      <c r="AC15" s="159">
        <f t="shared" si="1"/>
        <v>4.7</v>
      </c>
      <c r="AD15" s="78"/>
      <c r="AE15" s="151">
        <v>3020</v>
      </c>
      <c r="AF15" s="103" t="s">
        <v>3569</v>
      </c>
      <c r="AG15" s="162" t="s">
        <v>8066</v>
      </c>
      <c r="AH15" s="159">
        <f t="shared" si="6"/>
        <v>9.4</v>
      </c>
      <c r="AI15" s="73"/>
    </row>
    <row r="16" spans="1:35" ht="16.5" customHeight="1">
      <c r="A16" s="26" t="s">
        <v>440</v>
      </c>
      <c r="B16" s="26" t="s">
        <v>5902</v>
      </c>
      <c r="C16" s="26" t="str">
        <f t="shared" si="0"/>
        <v>Wavefold (Less Fullness x 1.8)Centre Opening (Offset Split)</v>
      </c>
      <c r="D16" s="26" t="s">
        <v>3585</v>
      </c>
      <c r="F16" s="104">
        <v>1620</v>
      </c>
      <c r="G16" s="104">
        <v>34</v>
      </c>
      <c r="H16" s="104" t="s">
        <v>7937</v>
      </c>
      <c r="I16" s="159">
        <f t="shared" si="2"/>
        <v>3.6</v>
      </c>
      <c r="J16" s="78"/>
      <c r="K16" s="151">
        <v>3240</v>
      </c>
      <c r="L16" s="103" t="s">
        <v>3568</v>
      </c>
      <c r="M16" s="104" t="s">
        <v>8012</v>
      </c>
      <c r="N16" s="159">
        <f t="shared" si="3"/>
        <v>7.2</v>
      </c>
      <c r="O16" s="78"/>
      <c r="P16" s="104">
        <v>1620</v>
      </c>
      <c r="Q16" s="104">
        <v>34</v>
      </c>
      <c r="R16" s="162" t="s">
        <v>7962</v>
      </c>
      <c r="S16" s="159">
        <f t="shared" si="4"/>
        <v>4</v>
      </c>
      <c r="T16" s="78"/>
      <c r="U16" s="104">
        <v>3240</v>
      </c>
      <c r="V16" s="104" t="s">
        <v>3568</v>
      </c>
      <c r="W16" s="162" t="s">
        <v>8063</v>
      </c>
      <c r="X16" s="159">
        <f t="shared" si="5"/>
        <v>8</v>
      </c>
      <c r="Y16" s="78"/>
      <c r="Z16" s="104">
        <v>1620</v>
      </c>
      <c r="AA16" s="104">
        <v>34</v>
      </c>
      <c r="AB16" s="162" t="s">
        <v>8085</v>
      </c>
      <c r="AC16" s="159">
        <f t="shared" si="1"/>
        <v>4.9</v>
      </c>
      <c r="AD16" s="78"/>
      <c r="AE16" s="151">
        <v>3240</v>
      </c>
      <c r="AF16" s="103" t="s">
        <v>3568</v>
      </c>
      <c r="AG16" s="162" t="s">
        <v>8127</v>
      </c>
      <c r="AH16" s="159">
        <f t="shared" si="6"/>
        <v>9.8</v>
      </c>
      <c r="AI16" s="73"/>
    </row>
    <row r="17" spans="1:35" ht="16.5" customHeight="1">
      <c r="A17" s="26" t="s">
        <v>440</v>
      </c>
      <c r="B17" s="26" t="s">
        <v>154</v>
      </c>
      <c r="C17" s="26" t="str">
        <f t="shared" si="0"/>
        <v>Wavefold (Less Fullness x 1.8)No Movement</v>
      </c>
      <c r="D17" s="26" t="s">
        <v>3586</v>
      </c>
      <c r="F17" s="104">
        <v>1730</v>
      </c>
      <c r="G17" s="104">
        <v>36</v>
      </c>
      <c r="H17" s="104" t="s">
        <v>7938</v>
      </c>
      <c r="I17" s="159">
        <f t="shared" si="2"/>
        <v>3.8</v>
      </c>
      <c r="J17" s="78"/>
      <c r="K17" s="151">
        <v>3460</v>
      </c>
      <c r="L17" s="103" t="s">
        <v>3567</v>
      </c>
      <c r="M17" s="104" t="s">
        <v>8013</v>
      </c>
      <c r="N17" s="159">
        <f t="shared" si="3"/>
        <v>7.6</v>
      </c>
      <c r="O17" s="78"/>
      <c r="P17" s="104">
        <v>1730</v>
      </c>
      <c r="Q17" s="104">
        <v>36</v>
      </c>
      <c r="R17" s="162" t="s">
        <v>7963</v>
      </c>
      <c r="S17" s="159">
        <f t="shared" si="4"/>
        <v>4.2</v>
      </c>
      <c r="T17" s="78"/>
      <c r="U17" s="104">
        <v>3460</v>
      </c>
      <c r="V17" s="104" t="s">
        <v>3567</v>
      </c>
      <c r="W17" s="162" t="s">
        <v>8064</v>
      </c>
      <c r="X17" s="159">
        <f t="shared" si="5"/>
        <v>8.4</v>
      </c>
      <c r="Y17" s="78"/>
      <c r="Z17" s="104">
        <v>1730</v>
      </c>
      <c r="AA17" s="104">
        <v>36</v>
      </c>
      <c r="AB17" s="162" t="s">
        <v>8086</v>
      </c>
      <c r="AC17" s="159">
        <f t="shared" si="1"/>
        <v>5.2</v>
      </c>
      <c r="AD17" s="78"/>
      <c r="AE17" s="151">
        <v>3460</v>
      </c>
      <c r="AF17" s="103" t="s">
        <v>3567</v>
      </c>
      <c r="AG17" s="162" t="s">
        <v>8128</v>
      </c>
      <c r="AH17" s="159">
        <f t="shared" si="6"/>
        <v>10.4</v>
      </c>
      <c r="AI17" s="73"/>
    </row>
    <row r="18" spans="1:35" ht="16.5" customHeight="1">
      <c r="A18" s="26" t="s">
        <v>3587</v>
      </c>
      <c r="B18" s="26" t="s">
        <v>138</v>
      </c>
      <c r="C18" s="26" t="str">
        <f t="shared" si="0"/>
        <v>Wavefold (Extra Fullness x 2.2)Centre Opening</v>
      </c>
      <c r="D18" s="26" t="s">
        <v>3589</v>
      </c>
      <c r="F18" s="104">
        <v>1840</v>
      </c>
      <c r="G18" s="104">
        <v>38</v>
      </c>
      <c r="H18" s="104" t="s">
        <v>7939</v>
      </c>
      <c r="I18" s="159">
        <f t="shared" si="2"/>
        <v>4</v>
      </c>
      <c r="J18" s="78"/>
      <c r="K18" s="151">
        <v>3680</v>
      </c>
      <c r="L18" s="103" t="s">
        <v>3566</v>
      </c>
      <c r="M18" s="104" t="s">
        <v>8014</v>
      </c>
      <c r="N18" s="159">
        <f t="shared" si="3"/>
        <v>8</v>
      </c>
      <c r="O18" s="78"/>
      <c r="P18" s="104">
        <v>1840</v>
      </c>
      <c r="Q18" s="104">
        <v>38</v>
      </c>
      <c r="R18" s="162" t="s">
        <v>7964</v>
      </c>
      <c r="S18" s="159">
        <f t="shared" si="4"/>
        <v>4.5</v>
      </c>
      <c r="T18" s="78"/>
      <c r="U18" s="104">
        <v>3680</v>
      </c>
      <c r="V18" s="104" t="s">
        <v>3566</v>
      </c>
      <c r="W18" s="162" t="s">
        <v>8065</v>
      </c>
      <c r="X18" s="159">
        <f t="shared" si="5"/>
        <v>9</v>
      </c>
      <c r="Y18" s="78"/>
      <c r="Z18" s="104">
        <v>1840</v>
      </c>
      <c r="AA18" s="104">
        <v>38</v>
      </c>
      <c r="AB18" s="162" t="s">
        <v>8087</v>
      </c>
      <c r="AC18" s="159">
        <f t="shared" si="1"/>
        <v>5.5</v>
      </c>
      <c r="AD18" s="78"/>
      <c r="AE18" s="151">
        <v>3680</v>
      </c>
      <c r="AF18" s="103" t="s">
        <v>3566</v>
      </c>
      <c r="AG18" s="162" t="s">
        <v>8129</v>
      </c>
      <c r="AH18" s="159">
        <f t="shared" si="6"/>
        <v>11</v>
      </c>
      <c r="AI18" s="73"/>
    </row>
    <row r="19" spans="1:35" ht="16.5" customHeight="1">
      <c r="A19" s="26" t="s">
        <v>3587</v>
      </c>
      <c r="B19" s="26" t="s">
        <v>141</v>
      </c>
      <c r="C19" s="26" t="str">
        <f t="shared" si="0"/>
        <v>Wavefold (Extra Fullness x 2.2)Single Panel - Left Stacking</v>
      </c>
      <c r="D19" s="26" t="s">
        <v>3590</v>
      </c>
      <c r="F19" s="104">
        <v>1940</v>
      </c>
      <c r="G19" s="104">
        <v>40</v>
      </c>
      <c r="H19" s="104" t="s">
        <v>7940</v>
      </c>
      <c r="I19" s="159">
        <f t="shared" si="2"/>
        <v>4.2</v>
      </c>
      <c r="J19" s="78"/>
      <c r="K19" s="151">
        <v>3880</v>
      </c>
      <c r="L19" s="103" t="s">
        <v>3565</v>
      </c>
      <c r="M19" s="104" t="s">
        <v>8015</v>
      </c>
      <c r="N19" s="159">
        <f t="shared" si="3"/>
        <v>8.4</v>
      </c>
      <c r="O19" s="78"/>
      <c r="P19" s="104">
        <v>1940</v>
      </c>
      <c r="Q19" s="104">
        <v>40</v>
      </c>
      <c r="R19" s="162" t="s">
        <v>7965</v>
      </c>
      <c r="S19" s="159">
        <f t="shared" si="4"/>
        <v>4.7</v>
      </c>
      <c r="T19" s="78"/>
      <c r="U19" s="104">
        <v>3880</v>
      </c>
      <c r="V19" s="104" t="s">
        <v>3565</v>
      </c>
      <c r="W19" s="162" t="s">
        <v>8066</v>
      </c>
      <c r="X19" s="159">
        <f t="shared" si="5"/>
        <v>9.4</v>
      </c>
      <c r="Y19" s="78"/>
      <c r="Z19" s="104">
        <v>1940</v>
      </c>
      <c r="AA19" s="104">
        <v>40</v>
      </c>
      <c r="AB19" s="162" t="s">
        <v>7969</v>
      </c>
      <c r="AC19" s="159">
        <f t="shared" si="1"/>
        <v>5.7</v>
      </c>
      <c r="AD19" s="78"/>
      <c r="AE19" s="151">
        <v>3880</v>
      </c>
      <c r="AF19" s="103" t="s">
        <v>3565</v>
      </c>
      <c r="AG19" s="162" t="s">
        <v>8070</v>
      </c>
      <c r="AH19" s="159">
        <f t="shared" si="6"/>
        <v>11.4</v>
      </c>
      <c r="AI19" s="73"/>
    </row>
    <row r="20" spans="1:35" ht="16.5" customHeight="1">
      <c r="A20" s="26" t="s">
        <v>3587</v>
      </c>
      <c r="B20" s="26" t="s">
        <v>142</v>
      </c>
      <c r="C20" s="26" t="str">
        <f t="shared" si="0"/>
        <v>Wavefold (Extra Fullness x 2.2)Single Panel - Right Stacking</v>
      </c>
      <c r="D20" s="26" t="s">
        <v>3590</v>
      </c>
      <c r="F20" s="104">
        <v>2050</v>
      </c>
      <c r="G20" s="104">
        <v>42</v>
      </c>
      <c r="H20" s="104" t="s">
        <v>7941</v>
      </c>
      <c r="I20" s="159">
        <f t="shared" si="2"/>
        <v>4.4</v>
      </c>
      <c r="J20" s="78"/>
      <c r="K20" s="151">
        <v>4100</v>
      </c>
      <c r="L20" s="103" t="s">
        <v>3564</v>
      </c>
      <c r="M20" s="104" t="s">
        <v>8016</v>
      </c>
      <c r="N20" s="159">
        <f t="shared" si="3"/>
        <v>8.8</v>
      </c>
      <c r="O20" s="78"/>
      <c r="P20" s="104">
        <v>2050</v>
      </c>
      <c r="Q20" s="104">
        <v>42</v>
      </c>
      <c r="R20" s="162" t="s">
        <v>7966</v>
      </c>
      <c r="S20" s="159">
        <f t="shared" si="4"/>
        <v>4.9</v>
      </c>
      <c r="T20" s="78"/>
      <c r="U20" s="104">
        <v>4100</v>
      </c>
      <c r="V20" s="104" t="s">
        <v>3564</v>
      </c>
      <c r="W20" s="162" t="s">
        <v>8067</v>
      </c>
      <c r="X20" s="159">
        <f t="shared" si="5"/>
        <v>9.8</v>
      </c>
      <c r="Y20" s="78"/>
      <c r="Z20" s="104">
        <v>2050</v>
      </c>
      <c r="AA20" s="104">
        <v>42</v>
      </c>
      <c r="AB20" s="162" t="s">
        <v>8088</v>
      </c>
      <c r="AC20" s="159">
        <f t="shared" si="1"/>
        <v>6</v>
      </c>
      <c r="AD20" s="78"/>
      <c r="AE20" s="151">
        <v>4100</v>
      </c>
      <c r="AF20" s="103" t="s">
        <v>3564</v>
      </c>
      <c r="AG20" s="162" t="s">
        <v>8130</v>
      </c>
      <c r="AH20" s="159">
        <f t="shared" si="6"/>
        <v>12</v>
      </c>
      <c r="AI20" s="73"/>
    </row>
    <row r="21" spans="1:35" ht="16.5" customHeight="1">
      <c r="A21" s="26" t="s">
        <v>3587</v>
      </c>
      <c r="B21" s="26" t="s">
        <v>143</v>
      </c>
      <c r="C21" s="26" t="str">
        <f t="shared" si="0"/>
        <v>Wavefold (Extra Fullness x 2.2)Single Panel - Free Flowing</v>
      </c>
      <c r="D21" s="26" t="s">
        <v>3590</v>
      </c>
      <c r="F21" s="104">
        <v>2160</v>
      </c>
      <c r="G21" s="104">
        <v>44</v>
      </c>
      <c r="H21" s="104" t="s">
        <v>7942</v>
      </c>
      <c r="I21" s="159">
        <f t="shared" si="2"/>
        <v>4.6</v>
      </c>
      <c r="J21" s="78"/>
      <c r="K21" s="151">
        <v>4320</v>
      </c>
      <c r="L21" s="103" t="s">
        <v>3563</v>
      </c>
      <c r="M21" s="104" t="s">
        <v>8017</v>
      </c>
      <c r="N21" s="159">
        <f t="shared" si="3"/>
        <v>9.2</v>
      </c>
      <c r="O21" s="78"/>
      <c r="P21" s="104">
        <v>2160</v>
      </c>
      <c r="Q21" s="104">
        <v>44</v>
      </c>
      <c r="R21" s="162" t="s">
        <v>7967</v>
      </c>
      <c r="S21" s="159">
        <f t="shared" si="4"/>
        <v>5.1</v>
      </c>
      <c r="T21" s="78"/>
      <c r="U21" s="104">
        <v>4320</v>
      </c>
      <c r="V21" s="104" t="s">
        <v>3563</v>
      </c>
      <c r="W21" s="162" t="s">
        <v>8068</v>
      </c>
      <c r="X21" s="159">
        <f t="shared" si="5"/>
        <v>10.2</v>
      </c>
      <c r="Y21" s="78"/>
      <c r="Z21" s="104">
        <v>2160</v>
      </c>
      <c r="AA21" s="104">
        <v>44</v>
      </c>
      <c r="AB21" s="162" t="s">
        <v>8089</v>
      </c>
      <c r="AC21" s="159">
        <f t="shared" si="1"/>
        <v>6.3</v>
      </c>
      <c r="AD21" s="78"/>
      <c r="AE21" s="151">
        <v>4320</v>
      </c>
      <c r="AF21" s="103" t="s">
        <v>3563</v>
      </c>
      <c r="AG21" s="162" t="s">
        <v>8131</v>
      </c>
      <c r="AH21" s="159">
        <f t="shared" si="6"/>
        <v>12.6</v>
      </c>
      <c r="AI21" s="73"/>
    </row>
    <row r="22" spans="1:35" ht="16.5" customHeight="1">
      <c r="A22" s="26" t="s">
        <v>3587</v>
      </c>
      <c r="B22" s="26" t="s">
        <v>717</v>
      </c>
      <c r="C22" s="26" t="str">
        <f t="shared" si="0"/>
        <v>Wavefold (Extra Fullness x 2.2)Centre Opening - Free Flowing</v>
      </c>
      <c r="D22" s="26" t="s">
        <v>3589</v>
      </c>
      <c r="F22" s="104">
        <v>2270</v>
      </c>
      <c r="G22" s="104">
        <v>46</v>
      </c>
      <c r="H22" s="104" t="s">
        <v>7943</v>
      </c>
      <c r="I22" s="159">
        <f t="shared" si="2"/>
        <v>4.8</v>
      </c>
      <c r="J22" s="78"/>
      <c r="K22" s="151">
        <v>4540</v>
      </c>
      <c r="L22" s="103" t="s">
        <v>3562</v>
      </c>
      <c r="M22" s="104" t="s">
        <v>8018</v>
      </c>
      <c r="N22" s="159">
        <f t="shared" si="3"/>
        <v>9.6</v>
      </c>
      <c r="O22" s="78"/>
      <c r="P22" s="104">
        <v>2270</v>
      </c>
      <c r="Q22" s="104">
        <v>46</v>
      </c>
      <c r="R22" s="162" t="s">
        <v>7968</v>
      </c>
      <c r="S22" s="159">
        <f t="shared" si="4"/>
        <v>5.3</v>
      </c>
      <c r="T22" s="78"/>
      <c r="U22" s="104">
        <v>4540</v>
      </c>
      <c r="V22" s="104" t="s">
        <v>3562</v>
      </c>
      <c r="W22" s="162" t="s">
        <v>8069</v>
      </c>
      <c r="X22" s="159">
        <f t="shared" si="5"/>
        <v>10.6</v>
      </c>
      <c r="Y22" s="78"/>
      <c r="Z22" s="104">
        <v>2270</v>
      </c>
      <c r="AA22" s="104">
        <v>46</v>
      </c>
      <c r="AB22" s="162" t="s">
        <v>8090</v>
      </c>
      <c r="AC22" s="159">
        <f t="shared" si="1"/>
        <v>6.6</v>
      </c>
      <c r="AD22" s="78"/>
      <c r="AE22" s="151">
        <v>4540</v>
      </c>
      <c r="AF22" s="103" t="s">
        <v>3562</v>
      </c>
      <c r="AG22" s="162" t="s">
        <v>8132</v>
      </c>
      <c r="AH22" s="159">
        <f t="shared" si="6"/>
        <v>13.2</v>
      </c>
      <c r="AI22" s="73"/>
    </row>
    <row r="23" spans="1:35" ht="16.5" customHeight="1">
      <c r="A23" s="26" t="s">
        <v>3587</v>
      </c>
      <c r="B23" s="26" t="s">
        <v>5903</v>
      </c>
      <c r="C23" s="26" t="str">
        <f t="shared" si="0"/>
        <v>Wavefold (Extra Fullness x 2.2)Centre Opening - Free Flowing (Offset Split)</v>
      </c>
      <c r="D23" s="26" t="s">
        <v>3589</v>
      </c>
      <c r="F23" s="104">
        <v>2380</v>
      </c>
      <c r="G23" s="104">
        <v>48</v>
      </c>
      <c r="H23" s="104" t="s">
        <v>7944</v>
      </c>
      <c r="I23" s="159">
        <f t="shared" si="2"/>
        <v>5</v>
      </c>
      <c r="J23" s="78"/>
      <c r="K23" s="151">
        <v>4760</v>
      </c>
      <c r="L23" s="103" t="s">
        <v>3561</v>
      </c>
      <c r="M23" s="104" t="s">
        <v>8019</v>
      </c>
      <c r="N23" s="159">
        <f t="shared" si="3"/>
        <v>10</v>
      </c>
      <c r="O23" s="78"/>
      <c r="P23" s="104">
        <v>2380</v>
      </c>
      <c r="Q23" s="104">
        <v>48</v>
      </c>
      <c r="R23" s="162" t="s">
        <v>7947</v>
      </c>
      <c r="S23" s="159">
        <f t="shared" si="4"/>
        <v>5.5</v>
      </c>
      <c r="T23" s="78"/>
      <c r="U23" s="104">
        <v>4760</v>
      </c>
      <c r="V23" s="104" t="s">
        <v>3561</v>
      </c>
      <c r="W23" s="162" t="s">
        <v>8022</v>
      </c>
      <c r="X23" s="159">
        <f t="shared" si="5"/>
        <v>11</v>
      </c>
      <c r="Y23" s="78"/>
      <c r="Z23" s="104">
        <v>2380</v>
      </c>
      <c r="AA23" s="104">
        <v>48</v>
      </c>
      <c r="AB23" s="162" t="s">
        <v>7974</v>
      </c>
      <c r="AC23" s="159">
        <f t="shared" si="1"/>
        <v>6.8</v>
      </c>
      <c r="AD23" s="78"/>
      <c r="AE23" s="151">
        <v>4760</v>
      </c>
      <c r="AF23" s="103" t="s">
        <v>3561</v>
      </c>
      <c r="AG23" s="162" t="s">
        <v>8075</v>
      </c>
      <c r="AH23" s="159">
        <f t="shared" si="6"/>
        <v>13.6</v>
      </c>
      <c r="AI23" s="73"/>
    </row>
    <row r="24" spans="1:35" ht="16.5" customHeight="1">
      <c r="A24" s="26" t="s">
        <v>3587</v>
      </c>
      <c r="B24" s="26" t="s">
        <v>5902</v>
      </c>
      <c r="C24" s="26" t="str">
        <f t="shared" si="0"/>
        <v>Wavefold (Extra Fullness x 2.2)Centre Opening (Offset Split)</v>
      </c>
      <c r="D24" s="26" t="s">
        <v>3589</v>
      </c>
      <c r="F24" s="104">
        <v>2490</v>
      </c>
      <c r="G24" s="104">
        <v>50</v>
      </c>
      <c r="H24" s="104" t="s">
        <v>7945</v>
      </c>
      <c r="I24" s="159">
        <f t="shared" si="2"/>
        <v>5.1</v>
      </c>
      <c r="J24" s="78"/>
      <c r="K24" s="151">
        <v>4980</v>
      </c>
      <c r="L24" s="103" t="s">
        <v>3560</v>
      </c>
      <c r="M24" s="104" t="s">
        <v>8020</v>
      </c>
      <c r="N24" s="159">
        <f t="shared" si="3"/>
        <v>10.2</v>
      </c>
      <c r="O24" s="78"/>
      <c r="P24" s="104">
        <v>2490</v>
      </c>
      <c r="Q24" s="104">
        <v>50</v>
      </c>
      <c r="R24" s="162" t="s">
        <v>7969</v>
      </c>
      <c r="S24" s="159">
        <f t="shared" si="4"/>
        <v>5.7</v>
      </c>
      <c r="T24" s="78"/>
      <c r="U24" s="104">
        <v>4980</v>
      </c>
      <c r="V24" s="104" t="s">
        <v>3560</v>
      </c>
      <c r="W24" s="162" t="s">
        <v>8070</v>
      </c>
      <c r="X24" s="159">
        <f t="shared" si="5"/>
        <v>11.4</v>
      </c>
      <c r="Y24" s="78"/>
      <c r="Z24" s="104">
        <v>2490</v>
      </c>
      <c r="AA24" s="104">
        <v>50</v>
      </c>
      <c r="AB24" s="162" t="s">
        <v>8091</v>
      </c>
      <c r="AC24" s="159">
        <f t="shared" si="1"/>
        <v>7.1</v>
      </c>
      <c r="AD24" s="78"/>
      <c r="AE24" s="151">
        <v>4980</v>
      </c>
      <c r="AF24" s="103" t="s">
        <v>3560</v>
      </c>
      <c r="AG24" s="162" t="s">
        <v>8133</v>
      </c>
      <c r="AH24" s="159">
        <f t="shared" si="6"/>
        <v>14.2</v>
      </c>
      <c r="AI24" s="73"/>
    </row>
    <row r="25" spans="1:35" ht="16.5" customHeight="1">
      <c r="A25" s="26" t="s">
        <v>3587</v>
      </c>
      <c r="B25" s="26" t="s">
        <v>154</v>
      </c>
      <c r="C25" s="26" t="str">
        <f t="shared" si="0"/>
        <v>Wavefold (Extra Fullness x 2.2)No Movement</v>
      </c>
      <c r="D25" s="26" t="s">
        <v>3590</v>
      </c>
      <c r="F25" s="104">
        <v>2600</v>
      </c>
      <c r="G25" s="104">
        <v>52</v>
      </c>
      <c r="H25" s="104" t="s">
        <v>7946</v>
      </c>
      <c r="I25" s="159">
        <f t="shared" si="2"/>
        <v>5.3</v>
      </c>
      <c r="J25" s="78"/>
      <c r="K25" s="151">
        <v>5200</v>
      </c>
      <c r="L25" s="103" t="s">
        <v>3559</v>
      </c>
      <c r="M25" s="104" t="s">
        <v>8021</v>
      </c>
      <c r="N25" s="159">
        <f t="shared" si="3"/>
        <v>10.6</v>
      </c>
      <c r="O25" s="78"/>
      <c r="P25" s="104">
        <v>2600</v>
      </c>
      <c r="Q25" s="104">
        <v>52</v>
      </c>
      <c r="R25" s="162" t="s">
        <v>7970</v>
      </c>
      <c r="S25" s="159">
        <f t="shared" si="4"/>
        <v>6</v>
      </c>
      <c r="T25" s="78"/>
      <c r="U25" s="104">
        <v>5200</v>
      </c>
      <c r="V25" s="104" t="s">
        <v>3559</v>
      </c>
      <c r="W25" s="162" t="s">
        <v>8071</v>
      </c>
      <c r="X25" s="159">
        <f t="shared" si="5"/>
        <v>12</v>
      </c>
      <c r="Y25" s="78"/>
      <c r="Z25" s="104">
        <v>2600</v>
      </c>
      <c r="AA25" s="104">
        <v>52</v>
      </c>
      <c r="AB25" s="162" t="s">
        <v>8092</v>
      </c>
      <c r="AC25" s="159">
        <f t="shared" si="1"/>
        <v>7.4</v>
      </c>
      <c r="AD25" s="78"/>
      <c r="AE25" s="151">
        <v>5200</v>
      </c>
      <c r="AF25" s="103" t="s">
        <v>3559</v>
      </c>
      <c r="AG25" s="162" t="s">
        <v>8134</v>
      </c>
      <c r="AH25" s="159">
        <f t="shared" si="6"/>
        <v>14.8</v>
      </c>
      <c r="AI25" s="73"/>
    </row>
    <row r="26" spans="1:35" ht="16.5" customHeight="1">
      <c r="A26" s="26" t="s">
        <v>242</v>
      </c>
      <c r="B26" s="26" t="s">
        <v>138</v>
      </c>
      <c r="C26" s="26" t="str">
        <f t="shared" si="0"/>
        <v>S-Fold (Standard Fullness x 2)Centre Opening</v>
      </c>
      <c r="D26" s="76" t="s">
        <v>3584</v>
      </c>
      <c r="F26" s="104">
        <v>2710</v>
      </c>
      <c r="G26" s="104">
        <v>54</v>
      </c>
      <c r="H26" s="104" t="s">
        <v>7947</v>
      </c>
      <c r="I26" s="159">
        <f t="shared" si="2"/>
        <v>5.5</v>
      </c>
      <c r="J26" s="78"/>
      <c r="K26" s="151">
        <v>5420</v>
      </c>
      <c r="L26" s="103" t="s">
        <v>3558</v>
      </c>
      <c r="M26" s="104" t="s">
        <v>8022</v>
      </c>
      <c r="N26" s="159">
        <f t="shared" si="3"/>
        <v>11</v>
      </c>
      <c r="O26" s="78"/>
      <c r="P26" s="104">
        <v>2710</v>
      </c>
      <c r="Q26" s="104">
        <v>54</v>
      </c>
      <c r="R26" s="162" t="s">
        <v>7971</v>
      </c>
      <c r="S26" s="159">
        <f t="shared" si="4"/>
        <v>6.2</v>
      </c>
      <c r="T26" s="78"/>
      <c r="U26" s="104">
        <v>5420</v>
      </c>
      <c r="V26" s="104" t="s">
        <v>3558</v>
      </c>
      <c r="W26" s="162" t="s">
        <v>8072</v>
      </c>
      <c r="X26" s="159">
        <f t="shared" si="5"/>
        <v>12.4</v>
      </c>
      <c r="Y26" s="78"/>
      <c r="Z26" s="104">
        <v>2710</v>
      </c>
      <c r="AA26" s="104">
        <v>54</v>
      </c>
      <c r="AB26" s="162" t="s">
        <v>8093</v>
      </c>
      <c r="AC26" s="159">
        <f t="shared" si="1"/>
        <v>7.6</v>
      </c>
      <c r="AD26" s="78"/>
      <c r="AE26" s="151">
        <v>5420</v>
      </c>
      <c r="AF26" s="103" t="s">
        <v>3558</v>
      </c>
      <c r="AG26" s="162" t="s">
        <v>8135</v>
      </c>
      <c r="AH26" s="159">
        <f t="shared" si="6"/>
        <v>15.2</v>
      </c>
      <c r="AI26" s="73"/>
    </row>
    <row r="27" spans="1:35" ht="16.5" customHeight="1">
      <c r="A27" s="26" t="s">
        <v>11347</v>
      </c>
      <c r="B27" s="26" t="s">
        <v>141</v>
      </c>
      <c r="C27" s="26" t="str">
        <f t="shared" si="0"/>
        <v>S-Fold  (Standard Fullness x 2)Single Panel - Left Stacking</v>
      </c>
      <c r="D27" s="26" t="s">
        <v>3588</v>
      </c>
      <c r="F27" s="104">
        <v>2820</v>
      </c>
      <c r="G27" s="104">
        <v>56</v>
      </c>
      <c r="H27" s="104" t="s">
        <v>7948</v>
      </c>
      <c r="I27" s="159">
        <f t="shared" si="2"/>
        <v>5.7</v>
      </c>
      <c r="J27" s="78"/>
      <c r="K27" s="151">
        <v>5640</v>
      </c>
      <c r="L27" s="103" t="s">
        <v>3557</v>
      </c>
      <c r="M27" s="104" t="s">
        <v>8023</v>
      </c>
      <c r="N27" s="159">
        <f t="shared" si="3"/>
        <v>11.4</v>
      </c>
      <c r="O27" s="78"/>
      <c r="P27" s="104">
        <v>2820</v>
      </c>
      <c r="Q27" s="104">
        <v>56</v>
      </c>
      <c r="R27" s="162" t="s">
        <v>7972</v>
      </c>
      <c r="S27" s="159">
        <f t="shared" si="4"/>
        <v>6.4</v>
      </c>
      <c r="T27" s="78"/>
      <c r="U27" s="104">
        <v>5640</v>
      </c>
      <c r="V27" s="104" t="s">
        <v>3557</v>
      </c>
      <c r="W27" s="162" t="s">
        <v>8073</v>
      </c>
      <c r="X27" s="159">
        <f t="shared" si="5"/>
        <v>12.8</v>
      </c>
      <c r="Y27" s="78"/>
      <c r="Z27" s="104">
        <v>2820</v>
      </c>
      <c r="AA27" s="104">
        <v>56</v>
      </c>
      <c r="AB27" s="162" t="s">
        <v>7979</v>
      </c>
      <c r="AC27" s="159">
        <f t="shared" si="1"/>
        <v>7.9</v>
      </c>
      <c r="AD27" s="78"/>
      <c r="AE27" s="151">
        <v>5640</v>
      </c>
      <c r="AF27" s="103" t="s">
        <v>3557</v>
      </c>
      <c r="AG27" s="162" t="s">
        <v>8136</v>
      </c>
      <c r="AH27" s="159">
        <f t="shared" si="6"/>
        <v>15.8</v>
      </c>
      <c r="AI27" s="73"/>
    </row>
    <row r="28" spans="1:35" ht="16.5" customHeight="1">
      <c r="A28" s="26" t="s">
        <v>11347</v>
      </c>
      <c r="B28" s="26" t="s">
        <v>142</v>
      </c>
      <c r="C28" s="26" t="str">
        <f t="shared" si="0"/>
        <v>S-Fold  (Standard Fullness x 2)Single Panel - Right Stacking</v>
      </c>
      <c r="D28" s="26" t="s">
        <v>3588</v>
      </c>
      <c r="F28" s="104">
        <v>2930</v>
      </c>
      <c r="G28" s="104">
        <v>58</v>
      </c>
      <c r="H28" s="104" t="s">
        <v>7949</v>
      </c>
      <c r="I28" s="159">
        <f t="shared" si="2"/>
        <v>5.9</v>
      </c>
      <c r="J28" s="78"/>
      <c r="K28" s="151">
        <v>5860</v>
      </c>
      <c r="L28" s="103" t="s">
        <v>3556</v>
      </c>
      <c r="M28" s="104" t="s">
        <v>8024</v>
      </c>
      <c r="N28" s="159">
        <f t="shared" si="3"/>
        <v>11.8</v>
      </c>
      <c r="O28" s="78"/>
      <c r="P28" s="104">
        <v>2930</v>
      </c>
      <c r="Q28" s="104">
        <v>58</v>
      </c>
      <c r="R28" s="162" t="s">
        <v>7973</v>
      </c>
      <c r="S28" s="159">
        <f t="shared" si="4"/>
        <v>6.6</v>
      </c>
      <c r="T28" s="78"/>
      <c r="U28" s="104">
        <v>5860</v>
      </c>
      <c r="V28" s="104" t="s">
        <v>3556</v>
      </c>
      <c r="W28" s="162" t="s">
        <v>8074</v>
      </c>
      <c r="X28" s="159">
        <f t="shared" si="5"/>
        <v>13.2</v>
      </c>
      <c r="Y28" s="78"/>
      <c r="Z28" s="104">
        <v>2930</v>
      </c>
      <c r="AA28" s="104">
        <v>58</v>
      </c>
      <c r="AB28" s="162" t="s">
        <v>8094</v>
      </c>
      <c r="AC28" s="159">
        <f t="shared" si="1"/>
        <v>8.2</v>
      </c>
      <c r="AD28" s="78"/>
      <c r="AE28" s="151">
        <v>5860</v>
      </c>
      <c r="AF28" s="103" t="s">
        <v>3556</v>
      </c>
      <c r="AG28" s="162" t="s">
        <v>8137</v>
      </c>
      <c r="AH28" s="159">
        <f t="shared" si="6"/>
        <v>16.4</v>
      </c>
      <c r="AI28" s="73"/>
    </row>
    <row r="29" spans="1:35" ht="16.5" customHeight="1">
      <c r="A29" s="26" t="s">
        <v>11347</v>
      </c>
      <c r="B29" s="26" t="s">
        <v>143</v>
      </c>
      <c r="C29" s="26" t="str">
        <f t="shared" si="0"/>
        <v>S-Fold  (Standard Fullness x 2)Single Panel - Free Flowing</v>
      </c>
      <c r="D29" s="26" t="s">
        <v>3588</v>
      </c>
      <c r="F29" s="104">
        <v>3030</v>
      </c>
      <c r="G29" s="104">
        <v>60</v>
      </c>
      <c r="H29" s="104" t="s">
        <v>7950</v>
      </c>
      <c r="I29" s="159">
        <f t="shared" si="2"/>
        <v>6.1</v>
      </c>
      <c r="J29" s="78"/>
      <c r="K29" s="151">
        <v>6060</v>
      </c>
      <c r="L29" s="103" t="s">
        <v>3555</v>
      </c>
      <c r="M29" s="104" t="s">
        <v>8025</v>
      </c>
      <c r="N29" s="159">
        <f t="shared" si="3"/>
        <v>12.2</v>
      </c>
      <c r="O29" s="78"/>
      <c r="P29" s="104">
        <v>3030</v>
      </c>
      <c r="Q29" s="104">
        <v>60</v>
      </c>
      <c r="R29" s="162" t="s">
        <v>7974</v>
      </c>
      <c r="S29" s="159">
        <f t="shared" si="4"/>
        <v>6.8</v>
      </c>
      <c r="T29" s="78"/>
      <c r="U29" s="104">
        <v>6060</v>
      </c>
      <c r="V29" s="104" t="s">
        <v>3555</v>
      </c>
      <c r="W29" s="162" t="s">
        <v>8075</v>
      </c>
      <c r="X29" s="159">
        <f t="shared" si="5"/>
        <v>13.6</v>
      </c>
      <c r="Y29" s="78"/>
      <c r="Z29" s="104">
        <v>3030</v>
      </c>
      <c r="AA29" s="104">
        <v>60</v>
      </c>
      <c r="AB29" s="162" t="s">
        <v>8095</v>
      </c>
      <c r="AC29" s="159">
        <f t="shared" si="1"/>
        <v>8.4</v>
      </c>
      <c r="AD29" s="78"/>
      <c r="AE29" s="151">
        <v>6060</v>
      </c>
      <c r="AF29" s="103" t="s">
        <v>3555</v>
      </c>
      <c r="AG29" s="162" t="s">
        <v>8138</v>
      </c>
      <c r="AH29" s="159">
        <f t="shared" si="6"/>
        <v>16.8</v>
      </c>
      <c r="AI29" s="73"/>
    </row>
    <row r="30" spans="1:35" ht="16.5" customHeight="1">
      <c r="A30" s="26" t="s">
        <v>11347</v>
      </c>
      <c r="B30" s="26" t="s">
        <v>717</v>
      </c>
      <c r="C30" s="26" t="str">
        <f t="shared" si="0"/>
        <v>S-Fold  (Standard Fullness x 2)Centre Opening - Free Flowing</v>
      </c>
      <c r="D30" s="26" t="s">
        <v>3584</v>
      </c>
      <c r="F30" s="104">
        <v>3150</v>
      </c>
      <c r="G30" s="104">
        <v>62</v>
      </c>
      <c r="H30" s="104">
        <v>6417</v>
      </c>
      <c r="I30" s="159">
        <f t="shared" si="2"/>
        <v>6.8</v>
      </c>
      <c r="J30" s="78"/>
      <c r="K30" s="151">
        <v>6300</v>
      </c>
      <c r="L30" s="103" t="s">
        <v>3554</v>
      </c>
      <c r="M30" s="104" t="s">
        <v>8026</v>
      </c>
      <c r="N30" s="159">
        <f t="shared" si="3"/>
        <v>13.6</v>
      </c>
      <c r="O30" s="78"/>
      <c r="P30" s="104">
        <v>3150</v>
      </c>
      <c r="Q30" s="104">
        <v>62</v>
      </c>
      <c r="R30" s="162" t="s">
        <v>7975</v>
      </c>
      <c r="S30" s="159">
        <f t="shared" si="4"/>
        <v>7</v>
      </c>
      <c r="T30" s="78"/>
      <c r="U30" s="104">
        <v>6300</v>
      </c>
      <c r="V30" s="104" t="s">
        <v>3554</v>
      </c>
      <c r="W30" s="162">
        <v>14259.6</v>
      </c>
      <c r="X30" s="159">
        <f t="shared" si="5"/>
        <v>14</v>
      </c>
      <c r="Y30" s="78"/>
      <c r="Z30" s="104">
        <v>3150</v>
      </c>
      <c r="AA30" s="104">
        <v>62</v>
      </c>
      <c r="AB30" s="162" t="s">
        <v>8096</v>
      </c>
      <c r="AC30" s="159">
        <f t="shared" si="1"/>
        <v>8.7</v>
      </c>
      <c r="AD30" s="78"/>
      <c r="AE30" s="151">
        <v>6300</v>
      </c>
      <c r="AF30" s="103" t="s">
        <v>3554</v>
      </c>
      <c r="AG30" s="162" t="s">
        <v>8139</v>
      </c>
      <c r="AH30" s="159">
        <f t="shared" si="6"/>
        <v>17.4</v>
      </c>
      <c r="AI30" s="73"/>
    </row>
    <row r="31" spans="1:34" ht="16.5" customHeight="1">
      <c r="A31" s="26" t="s">
        <v>11347</v>
      </c>
      <c r="B31" s="26" t="s">
        <v>5903</v>
      </c>
      <c r="C31" s="26" t="str">
        <f t="shared" si="0"/>
        <v>S-Fold  (Standard Fullness x 2)Centre Opening - Free Flowing (Offset Split)</v>
      </c>
      <c r="D31" s="26" t="s">
        <v>3584</v>
      </c>
      <c r="F31" s="104">
        <v>3260</v>
      </c>
      <c r="G31" s="104">
        <v>64</v>
      </c>
      <c r="H31" s="104">
        <v>6624</v>
      </c>
      <c r="I31" s="159">
        <f t="shared" si="2"/>
        <v>7</v>
      </c>
      <c r="J31" s="78"/>
      <c r="K31" s="151">
        <v>6520</v>
      </c>
      <c r="L31" s="103" t="s">
        <v>3553</v>
      </c>
      <c r="M31" s="104" t="s">
        <v>8027</v>
      </c>
      <c r="N31" s="159">
        <f t="shared" si="3"/>
        <v>14</v>
      </c>
      <c r="O31" s="77"/>
      <c r="P31" s="104">
        <v>3260</v>
      </c>
      <c r="Q31" s="104">
        <v>64</v>
      </c>
      <c r="R31" s="162" t="s">
        <v>7976</v>
      </c>
      <c r="S31" s="159">
        <f t="shared" si="4"/>
        <v>7.3</v>
      </c>
      <c r="T31" s="78"/>
      <c r="U31" s="104">
        <v>6520</v>
      </c>
      <c r="V31" s="104" t="s">
        <v>3553</v>
      </c>
      <c r="W31" s="162">
        <v>14734.92</v>
      </c>
      <c r="X31" s="159">
        <f t="shared" si="5"/>
        <v>14.6</v>
      </c>
      <c r="Y31" s="77"/>
      <c r="Z31" s="104">
        <v>3260</v>
      </c>
      <c r="AA31" s="104">
        <v>64</v>
      </c>
      <c r="AB31" s="162" t="s">
        <v>7984</v>
      </c>
      <c r="AC31" s="159">
        <f t="shared" si="1"/>
        <v>9</v>
      </c>
      <c r="AD31" s="78"/>
      <c r="AE31" s="151">
        <v>6520</v>
      </c>
      <c r="AF31" s="103" t="s">
        <v>3553</v>
      </c>
      <c r="AG31" s="162" t="s">
        <v>8040</v>
      </c>
      <c r="AH31" s="159">
        <f t="shared" si="6"/>
        <v>18</v>
      </c>
    </row>
    <row r="32" spans="1:34" ht="16.5" customHeight="1">
      <c r="A32" s="26" t="s">
        <v>11347</v>
      </c>
      <c r="B32" s="26" t="s">
        <v>5902</v>
      </c>
      <c r="C32" s="26" t="str">
        <f t="shared" si="0"/>
        <v>S-Fold  (Standard Fullness x 2)Centre Opening (Offset Split)</v>
      </c>
      <c r="D32" s="26" t="s">
        <v>3584</v>
      </c>
      <c r="F32" s="104">
        <v>3360</v>
      </c>
      <c r="G32" s="104">
        <v>66</v>
      </c>
      <c r="H32" s="104">
        <v>6831</v>
      </c>
      <c r="I32" s="159">
        <f t="shared" si="2"/>
        <v>7.2</v>
      </c>
      <c r="J32" s="77"/>
      <c r="K32" s="151">
        <v>6720</v>
      </c>
      <c r="L32" s="103" t="s">
        <v>3552</v>
      </c>
      <c r="M32" s="104" t="s">
        <v>8028</v>
      </c>
      <c r="N32" s="159">
        <f t="shared" si="3"/>
        <v>14.4</v>
      </c>
      <c r="O32" s="77"/>
      <c r="P32" s="104">
        <v>3360</v>
      </c>
      <c r="Q32" s="104">
        <v>66</v>
      </c>
      <c r="R32" s="162" t="s">
        <v>7977</v>
      </c>
      <c r="S32" s="159">
        <f t="shared" si="4"/>
        <v>7.5</v>
      </c>
      <c r="T32" s="77"/>
      <c r="U32" s="104">
        <v>6720</v>
      </c>
      <c r="V32" s="104" t="s">
        <v>3552</v>
      </c>
      <c r="W32" s="162">
        <v>15210.24</v>
      </c>
      <c r="X32" s="159">
        <f t="shared" si="5"/>
        <v>15</v>
      </c>
      <c r="Y32" s="77"/>
      <c r="Z32" s="104">
        <v>3360</v>
      </c>
      <c r="AA32" s="104">
        <v>66</v>
      </c>
      <c r="AB32" s="162" t="s">
        <v>8097</v>
      </c>
      <c r="AC32" s="159">
        <f t="shared" si="1"/>
        <v>9.3</v>
      </c>
      <c r="AD32" s="77"/>
      <c r="AE32" s="151">
        <v>6720</v>
      </c>
      <c r="AF32" s="103" t="s">
        <v>3552</v>
      </c>
      <c r="AG32" s="162" t="s">
        <v>8140</v>
      </c>
      <c r="AH32" s="159">
        <f t="shared" si="6"/>
        <v>18.6</v>
      </c>
    </row>
    <row r="33" spans="1:34" ht="16.5" customHeight="1">
      <c r="A33" s="26" t="s">
        <v>11347</v>
      </c>
      <c r="B33" s="26" t="s">
        <v>154</v>
      </c>
      <c r="C33" s="26" t="str">
        <f t="shared" si="0"/>
        <v>S-Fold  (Standard Fullness x 2)No Movement</v>
      </c>
      <c r="D33" s="26" t="s">
        <v>3588</v>
      </c>
      <c r="F33" s="104">
        <v>3480</v>
      </c>
      <c r="G33" s="104">
        <v>68</v>
      </c>
      <c r="H33" s="104">
        <v>7038</v>
      </c>
      <c r="I33" s="159">
        <f t="shared" si="2"/>
        <v>7.4</v>
      </c>
      <c r="J33" s="77"/>
      <c r="K33" s="151">
        <v>6960</v>
      </c>
      <c r="L33" s="103" t="s">
        <v>3551</v>
      </c>
      <c r="M33" s="104" t="s">
        <v>8029</v>
      </c>
      <c r="N33" s="159">
        <f t="shared" si="3"/>
        <v>14.8</v>
      </c>
      <c r="O33" s="77"/>
      <c r="P33" s="104">
        <v>3480</v>
      </c>
      <c r="Q33" s="104">
        <v>68</v>
      </c>
      <c r="R33" s="162" t="s">
        <v>7978</v>
      </c>
      <c r="S33" s="159">
        <f t="shared" si="4"/>
        <v>7.7</v>
      </c>
      <c r="T33" s="77"/>
      <c r="U33" s="104">
        <v>6960</v>
      </c>
      <c r="V33" s="104" t="s">
        <v>3551</v>
      </c>
      <c r="W33" s="162">
        <v>15685.56</v>
      </c>
      <c r="X33" s="159">
        <f t="shared" si="5"/>
        <v>15.4</v>
      </c>
      <c r="Y33" s="77"/>
      <c r="Z33" s="104">
        <v>3480</v>
      </c>
      <c r="AA33" s="104">
        <v>68</v>
      </c>
      <c r="AB33" s="162" t="s">
        <v>8098</v>
      </c>
      <c r="AC33" s="159">
        <f t="shared" si="1"/>
        <v>9.5</v>
      </c>
      <c r="AD33" s="77"/>
      <c r="AE33" s="151">
        <v>6960</v>
      </c>
      <c r="AF33" s="103" t="s">
        <v>3551</v>
      </c>
      <c r="AG33" s="162" t="s">
        <v>8141</v>
      </c>
      <c r="AH33" s="159">
        <f t="shared" si="6"/>
        <v>19</v>
      </c>
    </row>
    <row r="34" spans="1:34" ht="16.5" customHeight="1">
      <c r="A34" s="26" t="s">
        <v>11348</v>
      </c>
      <c r="B34" s="26" t="s">
        <v>138</v>
      </c>
      <c r="C34" s="26" t="str">
        <f t="shared" si="0"/>
        <v>S-Fold  (Less Fullness x 1.8)Centre Opening</v>
      </c>
      <c r="D34" s="26" t="s">
        <v>3585</v>
      </c>
      <c r="F34" s="104">
        <v>3580</v>
      </c>
      <c r="G34" s="104">
        <v>70</v>
      </c>
      <c r="H34" s="104">
        <v>7245</v>
      </c>
      <c r="I34" s="159">
        <f t="shared" si="2"/>
        <v>7.6</v>
      </c>
      <c r="J34" s="77"/>
      <c r="K34" s="151">
        <v>7160</v>
      </c>
      <c r="L34" s="103" t="s">
        <v>3550</v>
      </c>
      <c r="M34" s="104" t="s">
        <v>8030</v>
      </c>
      <c r="N34" s="159">
        <f t="shared" si="3"/>
        <v>15.2</v>
      </c>
      <c r="O34" s="77"/>
      <c r="P34" s="104">
        <v>3580</v>
      </c>
      <c r="Q34" s="104">
        <v>70</v>
      </c>
      <c r="R34" s="162" t="s">
        <v>7979</v>
      </c>
      <c r="S34" s="159">
        <f t="shared" si="4"/>
        <v>7.9</v>
      </c>
      <c r="T34" s="77"/>
      <c r="U34" s="104">
        <v>7160</v>
      </c>
      <c r="V34" s="104" t="s">
        <v>3550</v>
      </c>
      <c r="W34" s="162">
        <v>16160.88</v>
      </c>
      <c r="X34" s="159">
        <f t="shared" si="5"/>
        <v>15.8</v>
      </c>
      <c r="Y34" s="77"/>
      <c r="Z34" s="104">
        <v>3580</v>
      </c>
      <c r="AA34" s="104">
        <v>70</v>
      </c>
      <c r="AB34" s="162" t="s">
        <v>8099</v>
      </c>
      <c r="AC34" s="159">
        <f t="shared" si="1"/>
        <v>9.8</v>
      </c>
      <c r="AD34" s="77"/>
      <c r="AE34" s="151">
        <v>7160</v>
      </c>
      <c r="AF34" s="103" t="s">
        <v>3550</v>
      </c>
      <c r="AG34" s="162" t="s">
        <v>8142</v>
      </c>
      <c r="AH34" s="159">
        <f t="shared" si="6"/>
        <v>19.6</v>
      </c>
    </row>
    <row r="35" spans="1:34" ht="16.5" customHeight="1">
      <c r="A35" s="26" t="s">
        <v>11348</v>
      </c>
      <c r="B35" s="26" t="s">
        <v>141</v>
      </c>
      <c r="C35" s="26" t="str">
        <f t="shared" si="0"/>
        <v>S-Fold  (Less Fullness x 1.8)Single Panel - Left Stacking</v>
      </c>
      <c r="D35" s="26" t="s">
        <v>3586</v>
      </c>
      <c r="F35" s="104">
        <v>3690</v>
      </c>
      <c r="G35" s="104">
        <v>72</v>
      </c>
      <c r="H35" s="104">
        <v>7452</v>
      </c>
      <c r="I35" s="159">
        <f t="shared" si="2"/>
        <v>7.8</v>
      </c>
      <c r="J35" s="77"/>
      <c r="K35" s="151">
        <v>7380</v>
      </c>
      <c r="L35" s="103" t="s">
        <v>3549</v>
      </c>
      <c r="M35" s="104" t="s">
        <v>8031</v>
      </c>
      <c r="N35" s="159">
        <f t="shared" si="3"/>
        <v>15.6</v>
      </c>
      <c r="O35" s="77"/>
      <c r="P35" s="104">
        <v>3690</v>
      </c>
      <c r="Q35" s="104">
        <v>72</v>
      </c>
      <c r="R35" s="162" t="s">
        <v>7980</v>
      </c>
      <c r="S35" s="159">
        <f t="shared" si="4"/>
        <v>8.1</v>
      </c>
      <c r="T35" s="77"/>
      <c r="U35" s="104">
        <v>7380</v>
      </c>
      <c r="V35" s="104" t="s">
        <v>3549</v>
      </c>
      <c r="W35" s="162">
        <v>16636.2</v>
      </c>
      <c r="X35" s="159">
        <f t="shared" si="5"/>
        <v>16.2</v>
      </c>
      <c r="Y35" s="77"/>
      <c r="Z35" s="104">
        <v>3690</v>
      </c>
      <c r="AA35" s="104">
        <v>72</v>
      </c>
      <c r="AB35" s="162" t="s">
        <v>7989</v>
      </c>
      <c r="AC35" s="159">
        <f t="shared" si="7" ref="AC35:AC56">(ROUNDUP((AB35+300)/1000,1))</f>
        <v>10.1</v>
      </c>
      <c r="AD35" s="77"/>
      <c r="AE35" s="151">
        <v>7380</v>
      </c>
      <c r="AF35" s="103" t="s">
        <v>3549</v>
      </c>
      <c r="AG35" s="162" t="s">
        <v>8143</v>
      </c>
      <c r="AH35" s="159">
        <f t="shared" si="6"/>
        <v>20.2</v>
      </c>
    </row>
    <row r="36" spans="1:34" ht="16.5" customHeight="1">
      <c r="A36" s="26" t="s">
        <v>11348</v>
      </c>
      <c r="B36" s="26" t="s">
        <v>142</v>
      </c>
      <c r="C36" s="26" t="str">
        <f t="shared" si="0"/>
        <v>S-Fold  (Less Fullness x 1.8)Single Panel - Right Stacking</v>
      </c>
      <c r="D36" s="26" t="s">
        <v>3586</v>
      </c>
      <c r="F36" s="104">
        <v>3800</v>
      </c>
      <c r="G36" s="104">
        <v>74</v>
      </c>
      <c r="H36" s="104">
        <v>7659</v>
      </c>
      <c r="I36" s="159">
        <f t="shared" si="2"/>
        <v>8</v>
      </c>
      <c r="J36" s="77"/>
      <c r="K36" s="151">
        <v>7600</v>
      </c>
      <c r="L36" s="103" t="s">
        <v>3548</v>
      </c>
      <c r="M36" s="104" t="s">
        <v>8032</v>
      </c>
      <c r="N36" s="159">
        <f t="shared" si="3"/>
        <v>16</v>
      </c>
      <c r="O36" s="77"/>
      <c r="P36" s="104">
        <v>3800</v>
      </c>
      <c r="Q36" s="104">
        <v>74</v>
      </c>
      <c r="R36" s="162" t="s">
        <v>7981</v>
      </c>
      <c r="S36" s="159">
        <f t="shared" si="4"/>
        <v>8.3</v>
      </c>
      <c r="T36" s="77"/>
      <c r="U36" s="104">
        <v>7600</v>
      </c>
      <c r="V36" s="104" t="s">
        <v>3548</v>
      </c>
      <c r="W36" s="162">
        <v>17111.52</v>
      </c>
      <c r="X36" s="159">
        <f t="shared" si="5"/>
        <v>16.6</v>
      </c>
      <c r="Y36" s="77"/>
      <c r="Z36" s="104">
        <v>3800</v>
      </c>
      <c r="AA36" s="104">
        <v>74</v>
      </c>
      <c r="AB36" s="162" t="s">
        <v>8100</v>
      </c>
      <c r="AC36" s="159">
        <f t="shared" si="7"/>
        <v>10.3</v>
      </c>
      <c r="AD36" s="77"/>
      <c r="AE36" s="151">
        <v>7600</v>
      </c>
      <c r="AF36" s="103" t="s">
        <v>3548</v>
      </c>
      <c r="AG36" s="162" t="s">
        <v>8144</v>
      </c>
      <c r="AH36" s="159">
        <f t="shared" si="6"/>
        <v>20.6</v>
      </c>
    </row>
    <row r="37" spans="1:34" ht="16.5" customHeight="1">
      <c r="A37" s="26" t="s">
        <v>11348</v>
      </c>
      <c r="B37" s="26" t="s">
        <v>143</v>
      </c>
      <c r="C37" s="26" t="str">
        <f t="shared" si="0"/>
        <v>S-Fold  (Less Fullness x 1.8)Single Panel - Free Flowing</v>
      </c>
      <c r="D37" s="26" t="s">
        <v>3586</v>
      </c>
      <c r="F37" s="104">
        <v>3910</v>
      </c>
      <c r="G37" s="104">
        <v>76</v>
      </c>
      <c r="H37" s="104">
        <v>7866</v>
      </c>
      <c r="I37" s="159">
        <f t="shared" si="2"/>
        <v>8.2</v>
      </c>
      <c r="J37" s="77"/>
      <c r="K37" s="151">
        <v>7820</v>
      </c>
      <c r="L37" s="103" t="s">
        <v>3547</v>
      </c>
      <c r="M37" s="104" t="s">
        <v>8033</v>
      </c>
      <c r="N37" s="159">
        <f t="shared" si="3"/>
        <v>16.4</v>
      </c>
      <c r="O37" s="77"/>
      <c r="P37" s="104">
        <v>3910</v>
      </c>
      <c r="Q37" s="104">
        <v>76</v>
      </c>
      <c r="R37" s="162" t="s">
        <v>7982</v>
      </c>
      <c r="S37" s="159">
        <f t="shared" si="4"/>
        <v>8.6</v>
      </c>
      <c r="T37" s="77"/>
      <c r="U37" s="104">
        <v>7820</v>
      </c>
      <c r="V37" s="104" t="s">
        <v>3547</v>
      </c>
      <c r="W37" s="162">
        <v>17586.84</v>
      </c>
      <c r="X37" s="159">
        <f t="shared" si="5"/>
        <v>17.2</v>
      </c>
      <c r="Y37" s="77"/>
      <c r="Z37" s="104">
        <v>3910</v>
      </c>
      <c r="AA37" s="104">
        <v>76</v>
      </c>
      <c r="AB37" s="162" t="s">
        <v>8101</v>
      </c>
      <c r="AC37" s="159">
        <f t="shared" si="7"/>
        <v>10.6</v>
      </c>
      <c r="AD37" s="77"/>
      <c r="AE37" s="151">
        <v>7820</v>
      </c>
      <c r="AF37" s="103" t="s">
        <v>3547</v>
      </c>
      <c r="AG37" s="162" t="s">
        <v>8145</v>
      </c>
      <c r="AH37" s="159">
        <f t="shared" si="6"/>
        <v>21.2</v>
      </c>
    </row>
    <row r="38" spans="1:34" ht="16.5" customHeight="1">
      <c r="A38" s="26" t="s">
        <v>11348</v>
      </c>
      <c r="B38" s="26" t="s">
        <v>717</v>
      </c>
      <c r="C38" s="26" t="str">
        <f t="shared" si="0"/>
        <v>S-Fold  (Less Fullness x 1.8)Centre Opening - Free Flowing</v>
      </c>
      <c r="D38" s="26" t="s">
        <v>3585</v>
      </c>
      <c r="F38" s="104">
        <v>4020</v>
      </c>
      <c r="G38" s="104">
        <v>78</v>
      </c>
      <c r="H38" s="104">
        <v>8073</v>
      </c>
      <c r="I38" s="159">
        <f t="shared" si="2"/>
        <v>8.4</v>
      </c>
      <c r="J38" s="77"/>
      <c r="K38" s="151">
        <v>8040</v>
      </c>
      <c r="L38" s="103" t="s">
        <v>3546</v>
      </c>
      <c r="M38" s="104" t="s">
        <v>8034</v>
      </c>
      <c r="N38" s="159">
        <f t="shared" si="3"/>
        <v>16.8</v>
      </c>
      <c r="O38" s="77"/>
      <c r="P38" s="104">
        <v>4020</v>
      </c>
      <c r="Q38" s="104">
        <v>78</v>
      </c>
      <c r="R38" s="162" t="s">
        <v>7983</v>
      </c>
      <c r="S38" s="159">
        <f t="shared" si="4"/>
        <v>8.8</v>
      </c>
      <c r="T38" s="77"/>
      <c r="U38" s="104">
        <v>8040</v>
      </c>
      <c r="V38" s="104" t="s">
        <v>3546</v>
      </c>
      <c r="W38" s="162">
        <v>18062.16</v>
      </c>
      <c r="X38" s="159">
        <f t="shared" si="5"/>
        <v>17.6</v>
      </c>
      <c r="Y38" s="77"/>
      <c r="Z38" s="104">
        <v>4020</v>
      </c>
      <c r="AA38" s="104">
        <v>78</v>
      </c>
      <c r="AB38" s="162" t="s">
        <v>8102</v>
      </c>
      <c r="AC38" s="159">
        <f t="shared" si="7"/>
        <v>10.9</v>
      </c>
      <c r="AD38" s="77"/>
      <c r="AE38" s="151">
        <v>8040</v>
      </c>
      <c r="AF38" s="103" t="s">
        <v>3546</v>
      </c>
      <c r="AG38" s="162" t="s">
        <v>8146</v>
      </c>
      <c r="AH38" s="159">
        <f t="shared" si="6"/>
        <v>21.8</v>
      </c>
    </row>
    <row r="39" spans="1:34" ht="16.5" customHeight="1">
      <c r="A39" s="26" t="s">
        <v>11348</v>
      </c>
      <c r="B39" s="26" t="s">
        <v>5903</v>
      </c>
      <c r="C39" s="26" t="str">
        <f t="shared" si="0"/>
        <v>S-Fold  (Less Fullness x 1.8)Centre Opening - Free Flowing (Offset Split)</v>
      </c>
      <c r="D39" s="26" t="s">
        <v>3585</v>
      </c>
      <c r="F39" s="104">
        <v>4130</v>
      </c>
      <c r="G39" s="104">
        <v>80</v>
      </c>
      <c r="H39" s="104">
        <v>8280</v>
      </c>
      <c r="I39" s="159">
        <f t="shared" si="2"/>
        <v>8.6</v>
      </c>
      <c r="J39" s="77"/>
      <c r="K39" s="151">
        <v>8260</v>
      </c>
      <c r="L39" s="103" t="s">
        <v>3545</v>
      </c>
      <c r="M39" s="104" t="s">
        <v>8035</v>
      </c>
      <c r="N39" s="159">
        <f t="shared" si="3"/>
        <v>17.2</v>
      </c>
      <c r="O39" s="77"/>
      <c r="P39" s="104">
        <v>4130</v>
      </c>
      <c r="Q39" s="104">
        <v>80</v>
      </c>
      <c r="R39" s="162" t="s">
        <v>7984</v>
      </c>
      <c r="S39" s="159">
        <f t="shared" si="4"/>
        <v>9</v>
      </c>
      <c r="T39" s="77"/>
      <c r="U39" s="104">
        <v>8260</v>
      </c>
      <c r="V39" s="104" t="s">
        <v>3545</v>
      </c>
      <c r="W39" s="162">
        <v>18537.48</v>
      </c>
      <c r="X39" s="159">
        <f t="shared" si="5"/>
        <v>18</v>
      </c>
      <c r="Y39" s="77"/>
      <c r="Z39" s="104">
        <v>4130</v>
      </c>
      <c r="AA39" s="104">
        <v>80</v>
      </c>
      <c r="AB39" s="162" t="s">
        <v>7994</v>
      </c>
      <c r="AC39" s="159">
        <f t="shared" si="7"/>
        <v>11.1</v>
      </c>
      <c r="AD39" s="77"/>
      <c r="AE39" s="151">
        <v>8260</v>
      </c>
      <c r="AF39" s="103" t="s">
        <v>3545</v>
      </c>
      <c r="AG39" s="162" t="s">
        <v>8147</v>
      </c>
      <c r="AH39" s="159">
        <f t="shared" si="6"/>
        <v>22.2</v>
      </c>
    </row>
    <row r="40" spans="1:34" ht="16.5" customHeight="1">
      <c r="A40" s="26" t="s">
        <v>11348</v>
      </c>
      <c r="B40" s="26" t="s">
        <v>5902</v>
      </c>
      <c r="C40" s="26" t="str">
        <f t="shared" si="0"/>
        <v>S-Fold  (Less Fullness x 1.8)Centre Opening (Offset Split)</v>
      </c>
      <c r="D40" s="26" t="s">
        <v>3585</v>
      </c>
      <c r="F40" s="104">
        <v>4230</v>
      </c>
      <c r="G40" s="104">
        <v>82</v>
      </c>
      <c r="H40" s="104">
        <v>8487</v>
      </c>
      <c r="I40" s="159">
        <f t="shared" si="2"/>
        <v>8.8</v>
      </c>
      <c r="J40" s="77"/>
      <c r="K40" s="151">
        <v>8460</v>
      </c>
      <c r="L40" s="103" t="s">
        <v>3544</v>
      </c>
      <c r="M40" s="104" t="s">
        <v>8036</v>
      </c>
      <c r="N40" s="159">
        <f t="shared" si="3"/>
        <v>17.6</v>
      </c>
      <c r="O40" s="77"/>
      <c r="P40" s="104">
        <v>4230</v>
      </c>
      <c r="Q40" s="104">
        <v>82</v>
      </c>
      <c r="R40" s="162" t="s">
        <v>7985</v>
      </c>
      <c r="S40" s="159">
        <f t="shared" si="4"/>
        <v>9.2</v>
      </c>
      <c r="T40" s="77"/>
      <c r="U40" s="104">
        <v>8460</v>
      </c>
      <c r="V40" s="104" t="s">
        <v>3544</v>
      </c>
      <c r="W40" s="162">
        <v>19012.8</v>
      </c>
      <c r="X40" s="159">
        <f t="shared" si="5"/>
        <v>18.4</v>
      </c>
      <c r="Y40" s="77"/>
      <c r="Z40" s="104">
        <v>4230</v>
      </c>
      <c r="AA40" s="104">
        <v>82</v>
      </c>
      <c r="AB40" s="162" t="s">
        <v>8103</v>
      </c>
      <c r="AC40" s="159">
        <f t="shared" si="7"/>
        <v>11.4</v>
      </c>
      <c r="AD40" s="77"/>
      <c r="AE40" s="151">
        <v>8460</v>
      </c>
      <c r="AF40" s="103" t="s">
        <v>3544</v>
      </c>
      <c r="AG40" s="162" t="s">
        <v>8148</v>
      </c>
      <c r="AH40" s="159">
        <f t="shared" si="6"/>
        <v>22.8</v>
      </c>
    </row>
    <row r="41" spans="1:34" ht="16.5" customHeight="1">
      <c r="A41" s="26" t="s">
        <v>11348</v>
      </c>
      <c r="B41" s="26" t="s">
        <v>154</v>
      </c>
      <c r="C41" s="26" t="str">
        <f t="shared" si="0"/>
        <v>S-Fold  (Less Fullness x 1.8)No Movement</v>
      </c>
      <c r="D41" s="26" t="s">
        <v>3586</v>
      </c>
      <c r="F41" s="104">
        <v>4340</v>
      </c>
      <c r="G41" s="104">
        <v>84</v>
      </c>
      <c r="H41" s="104">
        <v>8694</v>
      </c>
      <c r="I41" s="159">
        <f t="shared" si="2"/>
        <v>9</v>
      </c>
      <c r="J41" s="77"/>
      <c r="K41" s="151">
        <v>8680</v>
      </c>
      <c r="L41" s="103" t="s">
        <v>3543</v>
      </c>
      <c r="M41" s="104" t="s">
        <v>8037</v>
      </c>
      <c r="N41" s="159">
        <f t="shared" si="3"/>
        <v>18</v>
      </c>
      <c r="O41" s="77"/>
      <c r="P41" s="104">
        <v>4340</v>
      </c>
      <c r="Q41" s="104">
        <v>84</v>
      </c>
      <c r="R41" s="162" t="s">
        <v>7986</v>
      </c>
      <c r="S41" s="159">
        <f t="shared" si="4"/>
        <v>9.4</v>
      </c>
      <c r="T41" s="77"/>
      <c r="U41" s="104">
        <v>8680</v>
      </c>
      <c r="V41" s="104" t="s">
        <v>3543</v>
      </c>
      <c r="W41" s="162">
        <v>19488.12</v>
      </c>
      <c r="X41" s="159">
        <f t="shared" si="5"/>
        <v>18.8</v>
      </c>
      <c r="Y41" s="77"/>
      <c r="Z41" s="104">
        <v>4340</v>
      </c>
      <c r="AA41" s="104">
        <v>84</v>
      </c>
      <c r="AB41" s="162" t="s">
        <v>8104</v>
      </c>
      <c r="AC41" s="159">
        <f t="shared" si="7"/>
        <v>11.7</v>
      </c>
      <c r="AD41" s="77"/>
      <c r="AE41" s="151">
        <v>8680</v>
      </c>
      <c r="AF41" s="103" t="s">
        <v>3543</v>
      </c>
      <c r="AG41" s="162" t="s">
        <v>8149</v>
      </c>
      <c r="AH41" s="159">
        <f t="shared" si="6"/>
        <v>23.4</v>
      </c>
    </row>
    <row r="42" spans="1:34" ht="16.5" customHeight="1">
      <c r="A42" s="26" t="s">
        <v>11349</v>
      </c>
      <c r="B42" s="26" t="s">
        <v>138</v>
      </c>
      <c r="C42" s="26" t="str">
        <f t="shared" si="0"/>
        <v>S-Fold  (Extra Fullness x 2.2)Centre Opening</v>
      </c>
      <c r="D42" s="26" t="s">
        <v>3589</v>
      </c>
      <c r="F42" s="104">
        <v>4450</v>
      </c>
      <c r="G42" s="104">
        <v>86</v>
      </c>
      <c r="H42" s="104">
        <v>8901</v>
      </c>
      <c r="I42" s="159">
        <f t="shared" si="2"/>
        <v>9.3</v>
      </c>
      <c r="J42" s="77"/>
      <c r="K42" s="151">
        <v>8900</v>
      </c>
      <c r="L42" s="103" t="s">
        <v>3542</v>
      </c>
      <c r="M42" s="104" t="s">
        <v>8038</v>
      </c>
      <c r="N42" s="159">
        <f t="shared" si="3"/>
        <v>18.6</v>
      </c>
      <c r="O42" s="77"/>
      <c r="P42" s="104">
        <v>4450</v>
      </c>
      <c r="Q42" s="104">
        <v>86</v>
      </c>
      <c r="R42" s="162" t="s">
        <v>7987</v>
      </c>
      <c r="S42" s="159">
        <f t="shared" si="4"/>
        <v>9.6</v>
      </c>
      <c r="T42" s="77"/>
      <c r="U42" s="104">
        <v>8900</v>
      </c>
      <c r="V42" s="104" t="s">
        <v>3542</v>
      </c>
      <c r="W42" s="162">
        <v>19963.44</v>
      </c>
      <c r="X42" s="159">
        <f t="shared" si="5"/>
        <v>19.2</v>
      </c>
      <c r="Y42" s="77"/>
      <c r="Z42" s="104">
        <v>4450</v>
      </c>
      <c r="AA42" s="104">
        <v>86</v>
      </c>
      <c r="AB42" s="162" t="s">
        <v>8105</v>
      </c>
      <c r="AC42" s="159">
        <f t="shared" si="7"/>
        <v>12</v>
      </c>
      <c r="AD42" s="77"/>
      <c r="AE42" s="151">
        <v>8900</v>
      </c>
      <c r="AF42" s="103" t="s">
        <v>3542</v>
      </c>
      <c r="AG42" s="162" t="s">
        <v>8150</v>
      </c>
      <c r="AH42" s="159">
        <f t="shared" si="6"/>
        <v>24</v>
      </c>
    </row>
    <row r="43" spans="1:34" ht="16.5" customHeight="1">
      <c r="A43" s="26" t="s">
        <v>11349</v>
      </c>
      <c r="B43" s="26" t="s">
        <v>141</v>
      </c>
      <c r="C43" s="26" t="str">
        <f t="shared" si="0"/>
        <v>S-Fold  (Extra Fullness x 2.2)Single Panel - Left Stacking</v>
      </c>
      <c r="D43" s="26" t="s">
        <v>3590</v>
      </c>
      <c r="F43" s="104">
        <v>4560</v>
      </c>
      <c r="G43" s="104">
        <v>88</v>
      </c>
      <c r="H43" s="104">
        <v>9108</v>
      </c>
      <c r="I43" s="159">
        <f t="shared" si="2"/>
        <v>9.5</v>
      </c>
      <c r="J43" s="77"/>
      <c r="K43" s="151">
        <v>9120</v>
      </c>
      <c r="L43" s="103" t="s">
        <v>3541</v>
      </c>
      <c r="M43" s="104" t="s">
        <v>8039</v>
      </c>
      <c r="N43" s="159">
        <f t="shared" si="3"/>
        <v>19</v>
      </c>
      <c r="O43" s="77"/>
      <c r="P43" s="104">
        <v>4560</v>
      </c>
      <c r="Q43" s="104">
        <v>88</v>
      </c>
      <c r="R43" s="162" t="s">
        <v>7988</v>
      </c>
      <c r="S43" s="159">
        <f t="shared" si="4"/>
        <v>9.9</v>
      </c>
      <c r="T43" s="77"/>
      <c r="U43" s="104">
        <v>9120</v>
      </c>
      <c r="V43" s="104" t="s">
        <v>3541</v>
      </c>
      <c r="W43" s="162">
        <v>20438.76</v>
      </c>
      <c r="X43" s="159">
        <f t="shared" si="5"/>
        <v>19.8</v>
      </c>
      <c r="Y43" s="77"/>
      <c r="Z43" s="104">
        <v>4560</v>
      </c>
      <c r="AA43" s="104">
        <v>88</v>
      </c>
      <c r="AB43" s="162" t="s">
        <v>7998</v>
      </c>
      <c r="AC43" s="159">
        <f t="shared" si="7"/>
        <v>12.2</v>
      </c>
      <c r="AD43" s="77"/>
      <c r="AE43" s="151">
        <v>9120</v>
      </c>
      <c r="AF43" s="103" t="s">
        <v>3541</v>
      </c>
      <c r="AG43" s="162" t="s">
        <v>8151</v>
      </c>
      <c r="AH43" s="159">
        <f t="shared" si="6"/>
        <v>24.4</v>
      </c>
    </row>
    <row r="44" spans="1:34" ht="16.5" customHeight="1">
      <c r="A44" s="26" t="s">
        <v>11349</v>
      </c>
      <c r="B44" s="26" t="s">
        <v>142</v>
      </c>
      <c r="C44" s="26" t="str">
        <f t="shared" si="0"/>
        <v>S-Fold  (Extra Fullness x 2.2)Single Panel - Right Stacking</v>
      </c>
      <c r="D44" s="26" t="s">
        <v>3590</v>
      </c>
      <c r="F44" s="104">
        <v>4680</v>
      </c>
      <c r="G44" s="104">
        <v>90</v>
      </c>
      <c r="H44" s="104">
        <v>9315</v>
      </c>
      <c r="I44" s="159">
        <f t="shared" si="2"/>
        <v>9.7</v>
      </c>
      <c r="J44" s="77"/>
      <c r="K44" s="151">
        <v>9360</v>
      </c>
      <c r="L44" s="103" t="s">
        <v>3540</v>
      </c>
      <c r="M44" s="104" t="s">
        <v>8040</v>
      </c>
      <c r="N44" s="159">
        <f t="shared" si="3"/>
        <v>19.4</v>
      </c>
      <c r="O44" s="77"/>
      <c r="P44" s="104">
        <v>4680</v>
      </c>
      <c r="Q44" s="104">
        <v>90</v>
      </c>
      <c r="R44" s="162" t="s">
        <v>7989</v>
      </c>
      <c r="S44" s="159">
        <f t="shared" si="4"/>
        <v>10.1</v>
      </c>
      <c r="T44" s="77"/>
      <c r="U44" s="104">
        <v>9360</v>
      </c>
      <c r="V44" s="104" t="s">
        <v>3540</v>
      </c>
      <c r="W44" s="162">
        <v>20914.08</v>
      </c>
      <c r="X44" s="159">
        <f t="shared" si="5"/>
        <v>20.2</v>
      </c>
      <c r="Y44" s="77"/>
      <c r="Z44" s="104">
        <v>4680</v>
      </c>
      <c r="AA44" s="104">
        <v>90</v>
      </c>
      <c r="AB44" s="162" t="s">
        <v>8106</v>
      </c>
      <c r="AC44" s="159">
        <f t="shared" si="7"/>
        <v>12.5</v>
      </c>
      <c r="AD44" s="77"/>
      <c r="AE44" s="151">
        <v>9360</v>
      </c>
      <c r="AF44" s="103" t="s">
        <v>3540</v>
      </c>
      <c r="AG44" s="162" t="s">
        <v>8152</v>
      </c>
      <c r="AH44" s="159">
        <f t="shared" si="6"/>
        <v>25</v>
      </c>
    </row>
    <row r="45" spans="1:34" ht="16.5" customHeight="1">
      <c r="A45" s="26" t="s">
        <v>11349</v>
      </c>
      <c r="B45" s="26" t="s">
        <v>143</v>
      </c>
      <c r="C45" s="26" t="str">
        <f t="shared" si="0"/>
        <v>S-Fold  (Extra Fullness x 2.2)Single Panel - Free Flowing</v>
      </c>
      <c r="D45" s="26" t="s">
        <v>3590</v>
      </c>
      <c r="F45" s="104">
        <v>4790</v>
      </c>
      <c r="G45" s="104">
        <v>92</v>
      </c>
      <c r="H45" s="104">
        <v>9522</v>
      </c>
      <c r="I45" s="159">
        <f t="shared" si="2"/>
        <v>9.9</v>
      </c>
      <c r="J45" s="77"/>
      <c r="K45" s="151">
        <v>9580</v>
      </c>
      <c r="L45" s="103" t="s">
        <v>3539</v>
      </c>
      <c r="M45" s="104" t="s">
        <v>8041</v>
      </c>
      <c r="N45" s="159">
        <f t="shared" si="3"/>
        <v>19.8</v>
      </c>
      <c r="O45" s="77"/>
      <c r="P45" s="104">
        <v>4790</v>
      </c>
      <c r="Q45" s="104">
        <v>92</v>
      </c>
      <c r="R45" s="162" t="s">
        <v>7990</v>
      </c>
      <c r="S45" s="159">
        <f t="shared" si="4"/>
        <v>10.3</v>
      </c>
      <c r="T45" s="77"/>
      <c r="U45" s="104">
        <v>9580</v>
      </c>
      <c r="V45" s="104" t="s">
        <v>3539</v>
      </c>
      <c r="W45" s="162">
        <v>21389.4</v>
      </c>
      <c r="X45" s="159">
        <f t="shared" si="5"/>
        <v>20.6</v>
      </c>
      <c r="Y45" s="77"/>
      <c r="Z45" s="104">
        <v>4790</v>
      </c>
      <c r="AA45" s="104">
        <v>92</v>
      </c>
      <c r="AB45" s="162" t="s">
        <v>8107</v>
      </c>
      <c r="AC45" s="159">
        <f t="shared" si="7"/>
        <v>12.8</v>
      </c>
      <c r="AD45" s="77"/>
      <c r="AE45" s="151">
        <v>9580</v>
      </c>
      <c r="AF45" s="103" t="s">
        <v>3539</v>
      </c>
      <c r="AG45" s="162" t="s">
        <v>8153</v>
      </c>
      <c r="AH45" s="159">
        <f t="shared" si="6"/>
        <v>25.6</v>
      </c>
    </row>
    <row r="46" spans="1:34" ht="16.5" customHeight="1">
      <c r="A46" s="26" t="s">
        <v>11349</v>
      </c>
      <c r="B46" s="26" t="s">
        <v>717</v>
      </c>
      <c r="C46" s="26" t="str">
        <f t="shared" si="0"/>
        <v>S-Fold  (Extra Fullness x 2.2)Centre Opening - Free Flowing</v>
      </c>
      <c r="D46" s="26" t="s">
        <v>3589</v>
      </c>
      <c r="F46" s="104">
        <v>4900</v>
      </c>
      <c r="G46" s="104">
        <v>94</v>
      </c>
      <c r="H46" s="104">
        <v>9729</v>
      </c>
      <c r="I46" s="159">
        <f t="shared" si="2"/>
        <v>10.1</v>
      </c>
      <c r="J46" s="77"/>
      <c r="K46" s="151">
        <v>9800</v>
      </c>
      <c r="L46" s="103" t="s">
        <v>3538</v>
      </c>
      <c r="M46" s="104" t="s">
        <v>8042</v>
      </c>
      <c r="N46" s="159">
        <f t="shared" si="3"/>
        <v>20.2</v>
      </c>
      <c r="O46" s="77"/>
      <c r="P46" s="104">
        <v>4900</v>
      </c>
      <c r="Q46" s="104">
        <v>94</v>
      </c>
      <c r="R46" s="162" t="s">
        <v>7991</v>
      </c>
      <c r="S46" s="159">
        <f t="shared" si="4"/>
        <v>10.5</v>
      </c>
      <c r="T46" s="77"/>
      <c r="U46" s="104">
        <v>9800</v>
      </c>
      <c r="V46" s="104" t="s">
        <v>3538</v>
      </c>
      <c r="W46" s="162">
        <v>21864.72</v>
      </c>
      <c r="X46" s="159">
        <f t="shared" si="5"/>
        <v>21</v>
      </c>
      <c r="Y46" s="77"/>
      <c r="Z46" s="104">
        <v>4900</v>
      </c>
      <c r="AA46" s="104">
        <v>94</v>
      </c>
      <c r="AB46" s="162" t="s">
        <v>8108</v>
      </c>
      <c r="AC46" s="159">
        <f t="shared" si="7"/>
        <v>13</v>
      </c>
      <c r="AD46" s="77"/>
      <c r="AE46" s="151">
        <v>9800</v>
      </c>
      <c r="AF46" s="103" t="s">
        <v>3538</v>
      </c>
      <c r="AG46" s="162" t="s">
        <v>8154</v>
      </c>
      <c r="AH46" s="159">
        <f t="shared" si="6"/>
        <v>26</v>
      </c>
    </row>
    <row r="47" spans="1:34" ht="16.5" customHeight="1">
      <c r="A47" s="26" t="s">
        <v>11349</v>
      </c>
      <c r="B47" s="26" t="s">
        <v>5903</v>
      </c>
      <c r="C47" s="26" t="str">
        <f t="shared" si="0"/>
        <v>S-Fold  (Extra Fullness x 2.2)Centre Opening - Free Flowing (Offset Split)</v>
      </c>
      <c r="D47" s="26" t="s">
        <v>3589</v>
      </c>
      <c r="F47" s="104">
        <v>5000</v>
      </c>
      <c r="G47" s="104">
        <v>96</v>
      </c>
      <c r="H47" s="104">
        <v>9936</v>
      </c>
      <c r="I47" s="159">
        <f t="shared" si="2"/>
        <v>10.3</v>
      </c>
      <c r="J47" s="77"/>
      <c r="K47" s="151">
        <v>10000</v>
      </c>
      <c r="L47" s="103" t="s">
        <v>3537</v>
      </c>
      <c r="M47" s="104" t="s">
        <v>8043</v>
      </c>
      <c r="N47" s="159">
        <f t="shared" si="3"/>
        <v>20.6</v>
      </c>
      <c r="O47" s="77"/>
      <c r="P47" s="104">
        <v>5000</v>
      </c>
      <c r="Q47" s="104">
        <v>96</v>
      </c>
      <c r="R47" s="162" t="s">
        <v>7992</v>
      </c>
      <c r="S47" s="159">
        <f t="shared" si="4"/>
        <v>10.7</v>
      </c>
      <c r="T47" s="77"/>
      <c r="U47" s="104">
        <v>10000</v>
      </c>
      <c r="V47" s="104" t="s">
        <v>3537</v>
      </c>
      <c r="W47" s="162">
        <v>22340.04</v>
      </c>
      <c r="X47" s="159">
        <f t="shared" si="5"/>
        <v>21.4</v>
      </c>
      <c r="Y47" s="77"/>
      <c r="Z47" s="104">
        <v>5000</v>
      </c>
      <c r="AA47" s="104">
        <v>96</v>
      </c>
      <c r="AB47" s="162" t="s">
        <v>8109</v>
      </c>
      <c r="AC47" s="159">
        <f t="shared" si="7"/>
        <v>13.3</v>
      </c>
      <c r="AD47" s="77"/>
      <c r="AE47" s="151">
        <v>10000</v>
      </c>
      <c r="AF47" s="103" t="s">
        <v>3537</v>
      </c>
      <c r="AG47" s="162" t="s">
        <v>8155</v>
      </c>
      <c r="AH47" s="159">
        <f t="shared" si="6"/>
        <v>26.6</v>
      </c>
    </row>
    <row r="48" spans="1:34" ht="16.5" customHeight="1">
      <c r="A48" s="26" t="s">
        <v>11349</v>
      </c>
      <c r="B48" s="26" t="s">
        <v>5902</v>
      </c>
      <c r="C48" s="26" t="str">
        <f t="shared" si="0"/>
        <v>S-Fold  (Extra Fullness x 2.2)Centre Opening (Offset Split)</v>
      </c>
      <c r="D48" s="26" t="s">
        <v>3589</v>
      </c>
      <c r="F48" s="104">
        <v>5110</v>
      </c>
      <c r="G48" s="104">
        <v>98</v>
      </c>
      <c r="H48" s="104">
        <v>10143</v>
      </c>
      <c r="I48" s="159">
        <f t="shared" si="2"/>
        <v>10.5</v>
      </c>
      <c r="J48" s="77"/>
      <c r="K48" s="151">
        <v>10220</v>
      </c>
      <c r="L48" s="103" t="s">
        <v>3536</v>
      </c>
      <c r="M48" s="104" t="s">
        <v>8044</v>
      </c>
      <c r="N48" s="159">
        <f t="shared" si="3"/>
        <v>21</v>
      </c>
      <c r="O48" s="77"/>
      <c r="P48" s="104">
        <v>5110</v>
      </c>
      <c r="Q48" s="104">
        <v>98</v>
      </c>
      <c r="R48" s="162" t="s">
        <v>7993</v>
      </c>
      <c r="S48" s="159">
        <f t="shared" si="4"/>
        <v>10.9</v>
      </c>
      <c r="T48" s="77"/>
      <c r="U48" s="104">
        <v>10220</v>
      </c>
      <c r="V48" s="104" t="s">
        <v>3536</v>
      </c>
      <c r="W48" s="162">
        <v>22815.36</v>
      </c>
      <c r="X48" s="159">
        <f t="shared" si="5"/>
        <v>21.8</v>
      </c>
      <c r="Y48" s="77"/>
      <c r="Z48" s="104">
        <v>5110</v>
      </c>
      <c r="AA48" s="104">
        <v>98</v>
      </c>
      <c r="AB48" s="162" t="s">
        <v>8110</v>
      </c>
      <c r="AC48" s="159">
        <f t="shared" si="7"/>
        <v>13.6</v>
      </c>
      <c r="AD48" s="77"/>
      <c r="AE48" s="151">
        <v>10220</v>
      </c>
      <c r="AF48" s="103" t="s">
        <v>3536</v>
      </c>
      <c r="AG48" s="162" t="s">
        <v>8156</v>
      </c>
      <c r="AH48" s="159">
        <f t="shared" si="6"/>
        <v>27.2</v>
      </c>
    </row>
    <row r="49" spans="1:34" ht="16.5" customHeight="1">
      <c r="A49" s="26" t="s">
        <v>11349</v>
      </c>
      <c r="B49" s="26" t="s">
        <v>154</v>
      </c>
      <c r="C49" s="26" t="str">
        <f t="shared" si="0"/>
        <v>S-Fold  (Extra Fullness x 2.2)No Movement</v>
      </c>
      <c r="D49" s="26" t="s">
        <v>3590</v>
      </c>
      <c r="F49" s="104">
        <v>5220</v>
      </c>
      <c r="G49" s="104">
        <v>100</v>
      </c>
      <c r="H49" s="104">
        <v>10350</v>
      </c>
      <c r="I49" s="159">
        <f t="shared" si="2"/>
        <v>10.7</v>
      </c>
      <c r="J49" s="77"/>
      <c r="K49" s="151">
        <v>10440</v>
      </c>
      <c r="L49" s="103" t="s">
        <v>3535</v>
      </c>
      <c r="M49" s="104" t="s">
        <v>8045</v>
      </c>
      <c r="N49" s="159">
        <f t="shared" si="3"/>
        <v>21.4</v>
      </c>
      <c r="O49" s="77"/>
      <c r="P49" s="104">
        <v>5220</v>
      </c>
      <c r="Q49" s="104">
        <v>100</v>
      </c>
      <c r="R49" s="162" t="s">
        <v>7994</v>
      </c>
      <c r="S49" s="159">
        <f t="shared" si="4"/>
        <v>11.1</v>
      </c>
      <c r="T49" s="77"/>
      <c r="U49" s="104">
        <v>10440</v>
      </c>
      <c r="V49" s="104" t="s">
        <v>3535</v>
      </c>
      <c r="W49" s="162">
        <v>23290.68</v>
      </c>
      <c r="X49" s="159">
        <f t="shared" si="5"/>
        <v>22.2</v>
      </c>
      <c r="Y49" s="77"/>
      <c r="Z49" s="104">
        <v>5220</v>
      </c>
      <c r="AA49" s="104">
        <v>100</v>
      </c>
      <c r="AB49" s="162" t="s">
        <v>8111</v>
      </c>
      <c r="AC49" s="159">
        <f t="shared" si="7"/>
        <v>13.8</v>
      </c>
      <c r="AD49" s="77"/>
      <c r="AE49" s="151">
        <v>10440</v>
      </c>
      <c r="AF49" s="103" t="s">
        <v>3535</v>
      </c>
      <c r="AG49" s="162" t="s">
        <v>8157</v>
      </c>
      <c r="AH49" s="159">
        <f t="shared" si="6"/>
        <v>27.6</v>
      </c>
    </row>
    <row r="50" spans="1:34" ht="16.5" customHeight="1">
      <c r="A50"/>
      <c r="B50"/>
      <c r="C50"/>
      <c r="D50"/>
      <c r="F50" s="104">
        <v>5330</v>
      </c>
      <c r="G50" s="104">
        <v>102</v>
      </c>
      <c r="H50" s="104">
        <v>10557</v>
      </c>
      <c r="I50" s="159">
        <f t="shared" si="2"/>
        <v>10.9</v>
      </c>
      <c r="J50" s="77"/>
      <c r="K50" s="151">
        <v>10660</v>
      </c>
      <c r="L50" s="103" t="s">
        <v>3534</v>
      </c>
      <c r="M50" s="104" t="s">
        <v>8046</v>
      </c>
      <c r="N50" s="159">
        <f t="shared" si="3"/>
        <v>21.8</v>
      </c>
      <c r="O50" s="77"/>
      <c r="P50" s="104">
        <v>5330</v>
      </c>
      <c r="Q50" s="104">
        <v>102</v>
      </c>
      <c r="R50" s="162" t="s">
        <v>7995</v>
      </c>
      <c r="S50" s="159">
        <f t="shared" si="4"/>
        <v>11.4</v>
      </c>
      <c r="T50" s="77"/>
      <c r="U50" s="104">
        <v>10660</v>
      </c>
      <c r="V50" s="104" t="s">
        <v>3534</v>
      </c>
      <c r="W50" s="162">
        <v>23766</v>
      </c>
      <c r="X50" s="159">
        <f t="shared" si="5"/>
        <v>22.8</v>
      </c>
      <c r="Y50" s="77"/>
      <c r="Z50" s="104">
        <v>5330</v>
      </c>
      <c r="AA50" s="104">
        <v>102</v>
      </c>
      <c r="AB50" s="162" t="s">
        <v>8112</v>
      </c>
      <c r="AC50" s="159">
        <f t="shared" si="7"/>
        <v>14.1</v>
      </c>
      <c r="AD50" s="77"/>
      <c r="AE50" s="151">
        <v>10660</v>
      </c>
      <c r="AF50" s="103" t="s">
        <v>3534</v>
      </c>
      <c r="AG50" s="162" t="s">
        <v>8158</v>
      </c>
      <c r="AH50" s="159">
        <f t="shared" si="6"/>
        <v>28.2</v>
      </c>
    </row>
    <row r="51" spans="1:34" ht="16.5" customHeight="1">
      <c r="A51" s="362" t="s">
        <v>176</v>
      </c>
      <c r="B51" s="363"/>
      <c r="C51" s="364"/>
      <c r="F51" s="104">
        <v>5440</v>
      </c>
      <c r="G51" s="104">
        <v>104</v>
      </c>
      <c r="H51" s="104">
        <v>10764</v>
      </c>
      <c r="I51" s="159">
        <f t="shared" si="2"/>
        <v>11.1</v>
      </c>
      <c r="J51" s="77"/>
      <c r="K51" s="151">
        <v>10880</v>
      </c>
      <c r="L51" s="103" t="s">
        <v>3533</v>
      </c>
      <c r="M51" s="104" t="s">
        <v>8047</v>
      </c>
      <c r="N51" s="159">
        <f t="shared" si="3"/>
        <v>22.2</v>
      </c>
      <c r="O51" s="77"/>
      <c r="P51" s="104">
        <v>5440</v>
      </c>
      <c r="Q51" s="104">
        <v>104</v>
      </c>
      <c r="R51" s="162" t="s">
        <v>7996</v>
      </c>
      <c r="S51" s="159">
        <f t="shared" si="4"/>
        <v>11.6</v>
      </c>
      <c r="T51" s="77"/>
      <c r="U51" s="104">
        <v>10880</v>
      </c>
      <c r="V51" s="104" t="s">
        <v>3533</v>
      </c>
      <c r="W51" s="162">
        <v>24241.32</v>
      </c>
      <c r="X51" s="159">
        <f t="shared" si="5"/>
        <v>23.2</v>
      </c>
      <c r="Y51" s="77"/>
      <c r="Z51" s="104">
        <v>5440</v>
      </c>
      <c r="AA51" s="104">
        <v>104</v>
      </c>
      <c r="AB51" s="162" t="s">
        <v>8113</v>
      </c>
      <c r="AC51" s="159">
        <f t="shared" si="7"/>
        <v>14.4</v>
      </c>
      <c r="AD51" s="77"/>
      <c r="AE51" s="151">
        <v>10880</v>
      </c>
      <c r="AF51" s="103" t="s">
        <v>3533</v>
      </c>
      <c r="AG51" s="162" t="s">
        <v>8159</v>
      </c>
      <c r="AH51" s="159">
        <f t="shared" si="6"/>
        <v>28.8</v>
      </c>
    </row>
    <row r="52" spans="1:34" ht="16.5" customHeight="1">
      <c r="A52" s="26" t="s">
        <v>3528</v>
      </c>
      <c r="B52" s="96" t="s">
        <v>3695</v>
      </c>
      <c r="C52" s="96">
        <v>1</v>
      </c>
      <c r="F52" s="104">
        <v>5530</v>
      </c>
      <c r="G52" s="104">
        <v>106</v>
      </c>
      <c r="H52" s="104">
        <v>10971</v>
      </c>
      <c r="I52" s="159">
        <f t="shared" si="2"/>
        <v>11.3</v>
      </c>
      <c r="J52" s="77"/>
      <c r="K52" s="151">
        <v>11060</v>
      </c>
      <c r="L52" s="103" t="s">
        <v>3532</v>
      </c>
      <c r="M52" s="104" t="s">
        <v>8048</v>
      </c>
      <c r="N52" s="159">
        <v>22.6</v>
      </c>
      <c r="O52" s="77"/>
      <c r="P52" s="104">
        <v>5530</v>
      </c>
      <c r="Q52" s="104">
        <v>106</v>
      </c>
      <c r="R52" s="162" t="s">
        <v>7997</v>
      </c>
      <c r="S52" s="159">
        <f t="shared" si="4"/>
        <v>11.8</v>
      </c>
      <c r="T52" s="77"/>
      <c r="U52" s="104">
        <v>11060</v>
      </c>
      <c r="V52" s="104" t="s">
        <v>3532</v>
      </c>
      <c r="W52" s="162">
        <v>24716.64</v>
      </c>
      <c r="X52" s="159">
        <v>22.6</v>
      </c>
      <c r="Y52" s="77"/>
      <c r="Z52" s="104">
        <v>5530</v>
      </c>
      <c r="AA52" s="104">
        <v>106</v>
      </c>
      <c r="AB52" s="162" t="s">
        <v>8114</v>
      </c>
      <c r="AC52" s="159">
        <f t="shared" si="7"/>
        <v>14.7</v>
      </c>
      <c r="AD52" s="77"/>
      <c r="AE52" s="151">
        <v>11060</v>
      </c>
      <c r="AF52" s="103" t="s">
        <v>3532</v>
      </c>
      <c r="AG52" s="162" t="s">
        <v>8160</v>
      </c>
      <c r="AH52" s="159">
        <v>22.6</v>
      </c>
    </row>
    <row r="53" spans="1:34" ht="16.5" customHeight="1">
      <c r="A53" s="26" t="s">
        <v>3593</v>
      </c>
      <c r="B53" s="96" t="s">
        <v>3598</v>
      </c>
      <c r="C53" s="96">
        <v>1</v>
      </c>
      <c r="F53" s="104">
        <v>5660</v>
      </c>
      <c r="G53" s="104">
        <v>108</v>
      </c>
      <c r="H53" s="104">
        <v>11178</v>
      </c>
      <c r="I53" s="159">
        <f t="shared" si="2"/>
        <v>11.5</v>
      </c>
      <c r="J53" s="77"/>
      <c r="K53" s="152">
        <v>11320</v>
      </c>
      <c r="L53" s="152" t="s">
        <v>3531</v>
      </c>
      <c r="M53" s="152" t="s">
        <v>8049</v>
      </c>
      <c r="N53" s="160">
        <v>23</v>
      </c>
      <c r="O53" s="77"/>
      <c r="P53" s="104">
        <v>5660</v>
      </c>
      <c r="Q53" s="104">
        <v>108</v>
      </c>
      <c r="R53" s="162">
        <v>11664</v>
      </c>
      <c r="S53" s="159">
        <f t="shared" si="4"/>
        <v>12</v>
      </c>
      <c r="T53" s="77"/>
      <c r="U53" s="104">
        <v>11320</v>
      </c>
      <c r="V53" s="104" t="s">
        <v>3531</v>
      </c>
      <c r="W53" s="162">
        <v>25191.96</v>
      </c>
      <c r="X53" s="160">
        <v>23</v>
      </c>
      <c r="Y53" s="77"/>
      <c r="Z53" s="104">
        <v>5660</v>
      </c>
      <c r="AA53" s="104">
        <v>108</v>
      </c>
      <c r="AB53" s="162" t="s">
        <v>8115</v>
      </c>
      <c r="AC53" s="159">
        <f t="shared" si="7"/>
        <v>14.9</v>
      </c>
      <c r="AD53" s="77"/>
      <c r="AE53" s="152">
        <v>11320</v>
      </c>
      <c r="AF53" s="152" t="s">
        <v>3531</v>
      </c>
      <c r="AG53" s="162" t="s">
        <v>8161</v>
      </c>
      <c r="AH53" s="160">
        <v>23</v>
      </c>
    </row>
    <row r="54" spans="1:34" ht="16.5" customHeight="1">
      <c r="A54" s="26" t="s">
        <v>3594</v>
      </c>
      <c r="B54" s="96" t="s">
        <v>3598</v>
      </c>
      <c r="C54" s="96">
        <v>1</v>
      </c>
      <c r="F54" s="104">
        <v>5770</v>
      </c>
      <c r="G54" s="104">
        <v>110</v>
      </c>
      <c r="H54" s="104">
        <v>11385</v>
      </c>
      <c r="I54" s="159">
        <f t="shared" si="2"/>
        <v>11.7</v>
      </c>
      <c r="J54" s="77"/>
      <c r="K54" s="152">
        <v>11540</v>
      </c>
      <c r="L54" s="152" t="s">
        <v>3530</v>
      </c>
      <c r="M54" s="152" t="s">
        <v>8050</v>
      </c>
      <c r="N54" s="160">
        <v>23.4</v>
      </c>
      <c r="O54" s="77"/>
      <c r="P54" s="104">
        <v>5770</v>
      </c>
      <c r="Q54" s="104">
        <v>110</v>
      </c>
      <c r="R54" s="162">
        <v>11880</v>
      </c>
      <c r="S54" s="159">
        <f t="shared" si="4"/>
        <v>12.2</v>
      </c>
      <c r="T54" s="77"/>
      <c r="U54" s="104">
        <v>11540</v>
      </c>
      <c r="V54" s="104" t="s">
        <v>3530</v>
      </c>
      <c r="W54" s="162">
        <v>25667.28</v>
      </c>
      <c r="X54" s="160">
        <v>23.4</v>
      </c>
      <c r="Y54" s="77"/>
      <c r="Z54" s="104">
        <v>5770</v>
      </c>
      <c r="AA54" s="104">
        <v>110</v>
      </c>
      <c r="AB54" s="162" t="s">
        <v>8116</v>
      </c>
      <c r="AC54" s="159">
        <f t="shared" si="7"/>
        <v>15.2</v>
      </c>
      <c r="AD54" s="77"/>
      <c r="AE54" s="152">
        <v>11540</v>
      </c>
      <c r="AF54" s="152" t="s">
        <v>3530</v>
      </c>
      <c r="AG54" s="162" t="s">
        <v>8162</v>
      </c>
      <c r="AH54" s="160">
        <v>23.4</v>
      </c>
    </row>
    <row r="55" spans="1:34" ht="16.5" customHeight="1">
      <c r="A55" s="26" t="s">
        <v>391</v>
      </c>
      <c r="B55" s="96" t="s">
        <v>391</v>
      </c>
      <c r="C55" s="96">
        <v>0</v>
      </c>
      <c r="F55" s="104">
        <v>5880</v>
      </c>
      <c r="G55" s="104">
        <v>112</v>
      </c>
      <c r="H55" s="104">
        <v>11592</v>
      </c>
      <c r="I55" s="159">
        <f t="shared" si="2"/>
        <v>11.9</v>
      </c>
      <c r="J55" s="77"/>
      <c r="K55" s="152">
        <v>11700</v>
      </c>
      <c r="L55" s="152" t="s">
        <v>3529</v>
      </c>
      <c r="M55" s="152" t="s">
        <v>8051</v>
      </c>
      <c r="N55" s="160">
        <v>23.8</v>
      </c>
      <c r="O55" s="77"/>
      <c r="P55" s="104">
        <v>5880</v>
      </c>
      <c r="Q55" s="104">
        <v>112</v>
      </c>
      <c r="R55" s="162">
        <v>12096</v>
      </c>
      <c r="S55" s="159">
        <f t="shared" si="4"/>
        <v>12.4</v>
      </c>
      <c r="T55" s="77"/>
      <c r="U55" s="104">
        <v>11700</v>
      </c>
      <c r="V55" s="104" t="s">
        <v>3529</v>
      </c>
      <c r="W55" s="162">
        <v>26142.6</v>
      </c>
      <c r="X55" s="160">
        <v>23.8</v>
      </c>
      <c r="Y55" s="77"/>
      <c r="Z55" s="104">
        <v>5880</v>
      </c>
      <c r="AA55" s="104">
        <v>112</v>
      </c>
      <c r="AB55" s="162" t="s">
        <v>8117</v>
      </c>
      <c r="AC55" s="159">
        <f t="shared" si="7"/>
        <v>15.5</v>
      </c>
      <c r="AD55" s="77"/>
      <c r="AE55" s="152">
        <v>11700</v>
      </c>
      <c r="AF55" s="152" t="s">
        <v>3529</v>
      </c>
      <c r="AG55" s="162" t="s">
        <v>8163</v>
      </c>
      <c r="AH55" s="160">
        <v>23.8</v>
      </c>
    </row>
    <row r="56" spans="1:34" ht="16.5" customHeight="1">
      <c r="A56" s="26" t="s">
        <v>3595</v>
      </c>
      <c r="B56" s="96" t="s">
        <v>3597</v>
      </c>
      <c r="C56" s="96">
        <v>2</v>
      </c>
      <c r="F56" s="104">
        <v>6000</v>
      </c>
      <c r="G56" s="104">
        <v>114</v>
      </c>
      <c r="H56" s="104">
        <v>11799</v>
      </c>
      <c r="I56" s="159">
        <f t="shared" si="2"/>
        <v>12.1</v>
      </c>
      <c r="J56" s="77"/>
      <c r="K56" s="152">
        <v>12000</v>
      </c>
      <c r="L56" s="152"/>
      <c r="M56" s="152"/>
      <c r="N56" s="152"/>
      <c r="O56" s="77"/>
      <c r="P56" s="104">
        <v>6000</v>
      </c>
      <c r="Q56" s="104">
        <v>114</v>
      </c>
      <c r="R56" s="162">
        <v>12312</v>
      </c>
      <c r="S56" s="159">
        <f t="shared" si="4"/>
        <v>12.7</v>
      </c>
      <c r="T56" s="77"/>
      <c r="U56" s="104">
        <v>12000</v>
      </c>
      <c r="V56" s="104"/>
      <c r="W56" s="162"/>
      <c r="X56" s="159"/>
      <c r="Y56" s="77"/>
      <c r="Z56" s="104">
        <v>6000</v>
      </c>
      <c r="AA56" s="104">
        <v>114</v>
      </c>
      <c r="AB56" s="162">
        <f>AB55+270</f>
        <v>15390</v>
      </c>
      <c r="AC56" s="159">
        <f t="shared" si="7"/>
        <v>15.7</v>
      </c>
      <c r="AD56" s="77"/>
      <c r="AE56" s="152">
        <v>12000</v>
      </c>
      <c r="AF56" s="152"/>
      <c r="AG56" s="152"/>
      <c r="AH56" s="152"/>
    </row>
    <row r="57" spans="1:31" ht="16.5" customHeight="1">
      <c r="A57" s="26" t="s">
        <v>3596</v>
      </c>
      <c r="B57" s="96" t="s">
        <v>3597</v>
      </c>
      <c r="C57" s="96">
        <v>2</v>
      </c>
      <c r="F57" s="104">
        <v>6110</v>
      </c>
      <c r="G57" s="104">
        <v>116</v>
      </c>
      <c r="H57" s="104">
        <v>12006</v>
      </c>
      <c r="I57" s="159">
        <f t="shared" si="8" ref="I57:I110">(ROUNDUP((H57+300)/1000,1))</f>
        <v>12.4</v>
      </c>
      <c r="J57" s="77"/>
      <c r="K57" s="77"/>
      <c r="L57" s="77"/>
      <c r="M57" s="77"/>
      <c r="N57" s="77"/>
      <c r="O57" s="77"/>
      <c r="P57" s="104">
        <v>6110</v>
      </c>
      <c r="Q57" s="104">
        <v>116</v>
      </c>
      <c r="R57" s="162">
        <v>12528</v>
      </c>
      <c r="S57" s="159">
        <f t="shared" si="9" ref="S57:S110">(ROUNDUP((R57+300)/1000,1))</f>
        <v>12.9</v>
      </c>
      <c r="T57" s="77"/>
      <c r="U57" s="167"/>
      <c r="V57" s="167"/>
      <c r="W57" s="168"/>
      <c r="X57" s="169"/>
      <c r="Y57" s="77"/>
      <c r="Z57" s="104">
        <v>6110</v>
      </c>
      <c r="AA57" s="104">
        <v>116</v>
      </c>
      <c r="AB57" s="162" t="s">
        <v>11350</v>
      </c>
      <c r="AC57" s="159">
        <f t="shared" si="10" ref="AC57:AC110">(ROUNDUP((AB57+300)/1000,1))</f>
        <v>15.7</v>
      </c>
      <c r="AD57" s="77"/>
      <c r="AE57" s="77"/>
    </row>
    <row r="58" spans="1:30" ht="16.5" customHeight="1">
      <c r="A58" s="26" t="s">
        <v>3527</v>
      </c>
      <c r="B58" s="96" t="s">
        <v>3646</v>
      </c>
      <c r="C58" s="96">
        <v>2</v>
      </c>
      <c r="F58" s="104">
        <v>6220</v>
      </c>
      <c r="G58" s="104">
        <v>118</v>
      </c>
      <c r="H58" s="104">
        <v>12213</v>
      </c>
      <c r="I58" s="159">
        <f t="shared" si="8"/>
        <v>12.6</v>
      </c>
      <c r="J58" s="77"/>
      <c r="K58" s="77"/>
      <c r="L58" s="77"/>
      <c r="M58" s="77"/>
      <c r="N58" s="77"/>
      <c r="O58" s="77"/>
      <c r="P58" s="104">
        <v>6220</v>
      </c>
      <c r="Q58" s="104">
        <v>118</v>
      </c>
      <c r="R58" s="162">
        <v>12744</v>
      </c>
      <c r="S58" s="159">
        <f t="shared" si="9"/>
        <v>13.1</v>
      </c>
      <c r="T58" s="77"/>
      <c r="U58" s="167"/>
      <c r="V58" s="167"/>
      <c r="W58" s="168"/>
      <c r="X58" s="169"/>
      <c r="Y58" s="77"/>
      <c r="Z58" s="104">
        <v>6220</v>
      </c>
      <c r="AA58" s="104">
        <v>118</v>
      </c>
      <c r="AB58" s="162" t="s">
        <v>11351</v>
      </c>
      <c r="AC58" s="159">
        <f t="shared" si="10"/>
        <v>16</v>
      </c>
      <c r="AD58" s="77"/>
    </row>
    <row r="59" spans="6:29" ht="16.5" customHeight="1">
      <c r="F59" s="104">
        <v>6330</v>
      </c>
      <c r="G59" s="104">
        <v>120</v>
      </c>
      <c r="H59" s="104">
        <v>12420</v>
      </c>
      <c r="I59" s="159">
        <f t="shared" si="8"/>
        <v>12.8</v>
      </c>
      <c r="J59" s="77"/>
      <c r="K59" s="77"/>
      <c r="L59" s="77"/>
      <c r="M59" s="77"/>
      <c r="N59" s="77"/>
      <c r="O59" s="77"/>
      <c r="P59" s="104">
        <v>6330</v>
      </c>
      <c r="Q59" s="104">
        <v>120</v>
      </c>
      <c r="R59" s="162">
        <v>12960</v>
      </c>
      <c r="S59" s="159">
        <f t="shared" si="9"/>
        <v>13.3</v>
      </c>
      <c r="T59" s="77"/>
      <c r="U59" s="167"/>
      <c r="V59" s="167"/>
      <c r="W59" s="168"/>
      <c r="X59" s="169"/>
      <c r="Y59" s="77"/>
      <c r="Z59" s="104">
        <v>6330</v>
      </c>
      <c r="AA59" s="104">
        <v>120</v>
      </c>
      <c r="AB59" s="162" t="s">
        <v>11352</v>
      </c>
      <c r="AC59" s="159">
        <f t="shared" si="10"/>
        <v>16.3</v>
      </c>
    </row>
    <row r="60" spans="6:34" ht="16.5" customHeight="1">
      <c r="F60" s="104">
        <v>6440</v>
      </c>
      <c r="G60" s="104">
        <v>122</v>
      </c>
      <c r="H60" s="104">
        <v>12627</v>
      </c>
      <c r="I60" s="159">
        <f t="shared" si="8"/>
        <v>13</v>
      </c>
      <c r="J60" s="77"/>
      <c r="K60" s="77"/>
      <c r="L60" s="77"/>
      <c r="M60" s="77"/>
      <c r="N60" s="77"/>
      <c r="O60" s="77"/>
      <c r="P60" s="104">
        <v>6440</v>
      </c>
      <c r="Q60" s="104">
        <v>122</v>
      </c>
      <c r="R60" s="162">
        <v>13176</v>
      </c>
      <c r="S60" s="159">
        <f t="shared" si="9"/>
        <v>13.5</v>
      </c>
      <c r="T60" s="77"/>
      <c r="U60" s="167"/>
      <c r="V60" s="167"/>
      <c r="W60" s="168"/>
      <c r="X60" s="169"/>
      <c r="Y60" s="77"/>
      <c r="Z60" s="104">
        <v>6440</v>
      </c>
      <c r="AA60" s="104">
        <v>122</v>
      </c>
      <c r="AB60" s="162">
        <f t="shared" si="11" ref="AB60">AB59+270</f>
        <v>16200</v>
      </c>
      <c r="AC60" s="159">
        <f t="shared" si="10"/>
        <v>16.5</v>
      </c>
      <c r="AH60" s="161"/>
    </row>
    <row r="61" spans="6:29" ht="16.5" customHeight="1">
      <c r="F61" s="104">
        <v>6550</v>
      </c>
      <c r="G61" s="104">
        <v>124</v>
      </c>
      <c r="H61" s="104">
        <v>12834</v>
      </c>
      <c r="I61" s="159">
        <f t="shared" si="8"/>
        <v>13.2</v>
      </c>
      <c r="J61" s="77"/>
      <c r="K61" s="77"/>
      <c r="L61" s="77"/>
      <c r="M61" s="77"/>
      <c r="N61" s="77"/>
      <c r="O61" s="77"/>
      <c r="P61" s="104">
        <v>6550</v>
      </c>
      <c r="Q61" s="104">
        <v>124</v>
      </c>
      <c r="R61" s="162">
        <v>13392</v>
      </c>
      <c r="S61" s="159">
        <f t="shared" si="9"/>
        <v>13.7</v>
      </c>
      <c r="T61" s="77"/>
      <c r="U61" s="167"/>
      <c r="V61" s="167"/>
      <c r="W61" s="168"/>
      <c r="X61" s="169"/>
      <c r="Y61" s="77"/>
      <c r="Z61" s="104">
        <v>6550</v>
      </c>
      <c r="AA61" s="104">
        <v>124</v>
      </c>
      <c r="AB61" s="162" t="s">
        <v>11353</v>
      </c>
      <c r="AC61" s="159">
        <f t="shared" si="10"/>
        <v>16.5</v>
      </c>
    </row>
    <row r="62" spans="6:29" ht="16.5" customHeight="1">
      <c r="F62" s="104">
        <v>6650</v>
      </c>
      <c r="G62" s="104">
        <v>126</v>
      </c>
      <c r="H62" s="104">
        <v>13041</v>
      </c>
      <c r="I62" s="159">
        <f t="shared" si="8"/>
        <v>13.4</v>
      </c>
      <c r="J62" s="77"/>
      <c r="O62" s="77"/>
      <c r="P62" s="104">
        <v>6650</v>
      </c>
      <c r="Q62" s="104">
        <v>126</v>
      </c>
      <c r="R62" s="162">
        <v>13608</v>
      </c>
      <c r="S62" s="159">
        <f t="shared" si="9"/>
        <v>14</v>
      </c>
      <c r="T62" s="77"/>
      <c r="U62" s="77"/>
      <c r="Y62" s="77"/>
      <c r="Z62" s="104">
        <v>6650</v>
      </c>
      <c r="AA62" s="104">
        <v>126</v>
      </c>
      <c r="AB62" s="162" t="s">
        <v>11354</v>
      </c>
      <c r="AC62" s="159">
        <f t="shared" si="10"/>
        <v>16.8</v>
      </c>
    </row>
    <row r="63" spans="6:29" ht="16.5" customHeight="1">
      <c r="F63" s="104">
        <v>6770</v>
      </c>
      <c r="G63" s="104">
        <v>128</v>
      </c>
      <c r="H63" s="104">
        <v>13248</v>
      </c>
      <c r="I63" s="159">
        <f t="shared" si="8"/>
        <v>13.6</v>
      </c>
      <c r="J63" s="77"/>
      <c r="O63" s="77"/>
      <c r="P63" s="104">
        <v>6770</v>
      </c>
      <c r="Q63" s="104">
        <v>128</v>
      </c>
      <c r="R63" s="162">
        <v>13824</v>
      </c>
      <c r="S63" s="159">
        <f t="shared" si="9"/>
        <v>14.2</v>
      </c>
      <c r="T63" s="77"/>
      <c r="Y63" s="77"/>
      <c r="Z63" s="104">
        <v>6770</v>
      </c>
      <c r="AA63" s="104">
        <v>128</v>
      </c>
      <c r="AB63" s="162" t="s">
        <v>11355</v>
      </c>
      <c r="AC63" s="159">
        <f t="shared" si="10"/>
        <v>17.1</v>
      </c>
    </row>
    <row r="64" spans="6:29" ht="16.5" customHeight="1">
      <c r="F64" s="104">
        <v>6890</v>
      </c>
      <c r="G64" s="104">
        <v>130</v>
      </c>
      <c r="H64" s="104">
        <v>13455</v>
      </c>
      <c r="I64" s="159">
        <f t="shared" si="8"/>
        <v>13.8</v>
      </c>
      <c r="P64" s="104">
        <v>6890</v>
      </c>
      <c r="Q64" s="104">
        <v>130</v>
      </c>
      <c r="R64" s="162">
        <v>14040</v>
      </c>
      <c r="S64" s="159">
        <f t="shared" si="9"/>
        <v>14.4</v>
      </c>
      <c r="Z64" s="104">
        <v>6890</v>
      </c>
      <c r="AA64" s="104">
        <v>130</v>
      </c>
      <c r="AB64" s="162">
        <f t="shared" si="12" ref="AB64">AB63+270</f>
        <v>17010</v>
      </c>
      <c r="AC64" s="159">
        <f t="shared" si="10"/>
        <v>17.4</v>
      </c>
    </row>
    <row r="65" spans="6:29" ht="16.5" customHeight="1">
      <c r="F65" s="104">
        <v>7010</v>
      </c>
      <c r="G65" s="104">
        <v>132</v>
      </c>
      <c r="H65" s="104">
        <v>13662</v>
      </c>
      <c r="I65" s="159">
        <f t="shared" si="8"/>
        <v>14</v>
      </c>
      <c r="P65" s="104">
        <v>7010</v>
      </c>
      <c r="Q65" s="104">
        <v>132</v>
      </c>
      <c r="R65" s="162">
        <v>14256</v>
      </c>
      <c r="S65" s="159">
        <f t="shared" si="9"/>
        <v>14.6</v>
      </c>
      <c r="Z65" s="104">
        <v>7010</v>
      </c>
      <c r="AA65" s="104">
        <v>132</v>
      </c>
      <c r="AB65" s="162" t="s">
        <v>11356</v>
      </c>
      <c r="AC65" s="159">
        <f t="shared" si="10"/>
        <v>17.4</v>
      </c>
    </row>
    <row r="66" spans="6:29" ht="16.5" customHeight="1">
      <c r="F66" s="104">
        <v>7130</v>
      </c>
      <c r="G66" s="104">
        <v>134</v>
      </c>
      <c r="H66" s="104">
        <v>13869</v>
      </c>
      <c r="I66" s="159">
        <f t="shared" si="8"/>
        <v>14.2</v>
      </c>
      <c r="P66" s="104">
        <v>7130</v>
      </c>
      <c r="Q66" s="104">
        <v>134</v>
      </c>
      <c r="R66" s="162">
        <v>14472</v>
      </c>
      <c r="S66" s="159">
        <f t="shared" si="9"/>
        <v>14.8</v>
      </c>
      <c r="Z66" s="104">
        <v>7130</v>
      </c>
      <c r="AA66" s="104">
        <v>134</v>
      </c>
      <c r="AB66" s="162" t="s">
        <v>11357</v>
      </c>
      <c r="AC66" s="159">
        <f t="shared" si="10"/>
        <v>17.6</v>
      </c>
    </row>
    <row r="67" spans="6:29" ht="16.5" customHeight="1">
      <c r="F67" s="104">
        <v>7250</v>
      </c>
      <c r="G67" s="104">
        <v>136</v>
      </c>
      <c r="H67" s="104">
        <v>14076</v>
      </c>
      <c r="I67" s="159">
        <f t="shared" si="8"/>
        <v>14.4</v>
      </c>
      <c r="P67" s="104">
        <v>7250</v>
      </c>
      <c r="Q67" s="104">
        <v>136</v>
      </c>
      <c r="R67" s="162">
        <v>14688</v>
      </c>
      <c r="S67" s="159">
        <f t="shared" si="9"/>
        <v>15</v>
      </c>
      <c r="Z67" s="104">
        <v>7250</v>
      </c>
      <c r="AA67" s="104">
        <v>136</v>
      </c>
      <c r="AB67" s="162" t="s">
        <v>11358</v>
      </c>
      <c r="AC67" s="159">
        <f t="shared" si="10"/>
        <v>17.9</v>
      </c>
    </row>
    <row r="68" spans="6:29" ht="16.5" customHeight="1">
      <c r="F68" s="104">
        <v>7370</v>
      </c>
      <c r="G68" s="104">
        <v>138</v>
      </c>
      <c r="H68" s="104">
        <v>14283</v>
      </c>
      <c r="I68" s="159">
        <f t="shared" si="8"/>
        <v>14.6</v>
      </c>
      <c r="P68" s="104">
        <v>7370</v>
      </c>
      <c r="Q68" s="104">
        <v>138</v>
      </c>
      <c r="R68" s="162">
        <v>14904</v>
      </c>
      <c r="S68" s="159">
        <f t="shared" si="9"/>
        <v>15.3</v>
      </c>
      <c r="Z68" s="104">
        <v>7370</v>
      </c>
      <c r="AA68" s="104">
        <v>138</v>
      </c>
      <c r="AB68" s="162">
        <f t="shared" si="13" ref="AB68">AB67+270</f>
        <v>17820</v>
      </c>
      <c r="AC68" s="159">
        <f t="shared" si="10"/>
        <v>18.2</v>
      </c>
    </row>
    <row r="69" spans="6:29" ht="16.5" customHeight="1">
      <c r="F69" s="104">
        <v>7490</v>
      </c>
      <c r="G69" s="104">
        <v>140</v>
      </c>
      <c r="H69" s="104">
        <v>14490</v>
      </c>
      <c r="I69" s="159">
        <f t="shared" si="8"/>
        <v>14.8</v>
      </c>
      <c r="P69" s="104">
        <v>7490</v>
      </c>
      <c r="Q69" s="104">
        <v>140</v>
      </c>
      <c r="R69" s="162">
        <v>15120</v>
      </c>
      <c r="S69" s="159">
        <f t="shared" si="9"/>
        <v>15.5</v>
      </c>
      <c r="Z69" s="104">
        <v>7490</v>
      </c>
      <c r="AA69" s="104">
        <v>140</v>
      </c>
      <c r="AB69" s="162" t="s">
        <v>11359</v>
      </c>
      <c r="AC69" s="159">
        <f t="shared" si="10"/>
        <v>18.2</v>
      </c>
    </row>
    <row r="70" spans="6:29" ht="16.5" customHeight="1">
      <c r="F70" s="104">
        <v>7610</v>
      </c>
      <c r="G70" s="104">
        <v>142</v>
      </c>
      <c r="H70" s="104">
        <v>14697</v>
      </c>
      <c r="I70" s="159">
        <f t="shared" si="8"/>
        <v>15</v>
      </c>
      <c r="P70" s="104">
        <v>7610</v>
      </c>
      <c r="Q70" s="104">
        <v>142</v>
      </c>
      <c r="R70" s="162">
        <v>15336</v>
      </c>
      <c r="S70" s="159">
        <f t="shared" si="9"/>
        <v>15.7</v>
      </c>
      <c r="Z70" s="104">
        <v>7610</v>
      </c>
      <c r="AA70" s="104">
        <v>142</v>
      </c>
      <c r="AB70" s="162" t="s">
        <v>11360</v>
      </c>
      <c r="AC70" s="159">
        <f t="shared" si="10"/>
        <v>18.4</v>
      </c>
    </row>
    <row r="71" spans="6:29" ht="16.5" customHeight="1">
      <c r="F71" s="104">
        <v>7730</v>
      </c>
      <c r="G71" s="104">
        <v>144</v>
      </c>
      <c r="H71" s="104">
        <v>14904</v>
      </c>
      <c r="I71" s="159">
        <f t="shared" si="8"/>
        <v>15.3</v>
      </c>
      <c r="P71" s="104">
        <v>7730</v>
      </c>
      <c r="Q71" s="104">
        <v>144</v>
      </c>
      <c r="R71" s="162">
        <v>15552</v>
      </c>
      <c r="S71" s="159">
        <f t="shared" si="9"/>
        <v>15.9</v>
      </c>
      <c r="Z71" s="104">
        <v>7730</v>
      </c>
      <c r="AA71" s="104">
        <v>144</v>
      </c>
      <c r="AB71" s="162" t="s">
        <v>11361</v>
      </c>
      <c r="AC71" s="159">
        <f t="shared" si="10"/>
        <v>18.7</v>
      </c>
    </row>
    <row r="72" spans="6:29" ht="16.5" customHeight="1">
      <c r="F72" s="104">
        <v>7850</v>
      </c>
      <c r="G72" s="104">
        <v>146</v>
      </c>
      <c r="H72" s="104">
        <v>15111</v>
      </c>
      <c r="I72" s="159">
        <f t="shared" si="8"/>
        <v>15.5</v>
      </c>
      <c r="P72" s="104">
        <v>7850</v>
      </c>
      <c r="Q72" s="104">
        <v>146</v>
      </c>
      <c r="R72" s="162">
        <v>15768</v>
      </c>
      <c r="S72" s="159">
        <f t="shared" si="9"/>
        <v>16.1</v>
      </c>
      <c r="Z72" s="104">
        <v>7850</v>
      </c>
      <c r="AA72" s="104">
        <v>146</v>
      </c>
      <c r="AB72" s="162">
        <f t="shared" si="14" ref="AB72">AB71+270</f>
        <v>18630</v>
      </c>
      <c r="AC72" s="159">
        <f t="shared" si="10"/>
        <v>19</v>
      </c>
    </row>
    <row r="73" spans="6:29" ht="16.5" customHeight="1">
      <c r="F73" s="104">
        <v>7970</v>
      </c>
      <c r="G73" s="104">
        <v>148</v>
      </c>
      <c r="H73" s="104">
        <v>15318</v>
      </c>
      <c r="I73" s="159">
        <f t="shared" si="8"/>
        <v>15.7</v>
      </c>
      <c r="P73" s="104">
        <v>7970</v>
      </c>
      <c r="Q73" s="104">
        <v>148</v>
      </c>
      <c r="R73" s="162">
        <v>15984</v>
      </c>
      <c r="S73" s="159">
        <f t="shared" si="9"/>
        <v>16.3</v>
      </c>
      <c r="Z73" s="104">
        <v>7970</v>
      </c>
      <c r="AA73" s="104">
        <v>148</v>
      </c>
      <c r="AB73" s="162" t="s">
        <v>11362</v>
      </c>
      <c r="AC73" s="159">
        <f t="shared" si="10"/>
        <v>19</v>
      </c>
    </row>
    <row r="74" spans="6:29" ht="16.5" customHeight="1">
      <c r="F74" s="104">
        <v>8090</v>
      </c>
      <c r="G74" s="104">
        <v>150</v>
      </c>
      <c r="H74" s="104">
        <v>15525</v>
      </c>
      <c r="I74" s="159">
        <f t="shared" si="8"/>
        <v>15.9</v>
      </c>
      <c r="P74" s="104">
        <v>8090</v>
      </c>
      <c r="Q74" s="104">
        <v>150</v>
      </c>
      <c r="R74" s="162">
        <v>16200</v>
      </c>
      <c r="S74" s="159">
        <f t="shared" si="9"/>
        <v>16.5</v>
      </c>
      <c r="Z74" s="104">
        <v>8090</v>
      </c>
      <c r="AA74" s="104">
        <v>150</v>
      </c>
      <c r="AB74" s="162" t="s">
        <v>11363</v>
      </c>
      <c r="AC74" s="159">
        <f t="shared" si="10"/>
        <v>19.2</v>
      </c>
    </row>
    <row r="75" spans="6:29" ht="16.5" customHeight="1">
      <c r="F75" s="104">
        <v>8210</v>
      </c>
      <c r="G75" s="104">
        <v>152</v>
      </c>
      <c r="H75" s="104">
        <v>15732</v>
      </c>
      <c r="I75" s="159">
        <f t="shared" si="8"/>
        <v>16.1</v>
      </c>
      <c r="P75" s="104">
        <v>8210</v>
      </c>
      <c r="Q75" s="104">
        <v>152</v>
      </c>
      <c r="R75" s="162">
        <v>16416</v>
      </c>
      <c r="S75" s="159">
        <f t="shared" si="9"/>
        <v>16.8</v>
      </c>
      <c r="Z75" s="104">
        <v>8210</v>
      </c>
      <c r="AA75" s="104">
        <v>152</v>
      </c>
      <c r="AB75" s="162" t="s">
        <v>11364</v>
      </c>
      <c r="AC75" s="159">
        <f t="shared" si="10"/>
        <v>19.5</v>
      </c>
    </row>
    <row r="76" spans="6:29" ht="16.5" customHeight="1">
      <c r="F76" s="104">
        <v>8330</v>
      </c>
      <c r="G76" s="104">
        <v>154</v>
      </c>
      <c r="H76" s="104">
        <v>15939</v>
      </c>
      <c r="I76" s="159">
        <f t="shared" si="8"/>
        <v>16.3</v>
      </c>
      <c r="P76" s="104">
        <v>8330</v>
      </c>
      <c r="Q76" s="104">
        <v>154</v>
      </c>
      <c r="R76" s="162">
        <v>16632</v>
      </c>
      <c r="S76" s="159">
        <f t="shared" si="9"/>
        <v>17</v>
      </c>
      <c r="Z76" s="104">
        <v>8330</v>
      </c>
      <c r="AA76" s="104">
        <v>154</v>
      </c>
      <c r="AB76" s="162">
        <f t="shared" si="15" ref="AB76">AB75+270</f>
        <v>19440</v>
      </c>
      <c r="AC76" s="159">
        <f t="shared" si="10"/>
        <v>19.8</v>
      </c>
    </row>
    <row r="77" spans="6:29" ht="16.5" customHeight="1">
      <c r="F77" s="104">
        <v>8450</v>
      </c>
      <c r="G77" s="104">
        <v>156</v>
      </c>
      <c r="H77" s="104">
        <v>16146</v>
      </c>
      <c r="I77" s="159">
        <f t="shared" si="8"/>
        <v>16.5</v>
      </c>
      <c r="P77" s="104">
        <v>8450</v>
      </c>
      <c r="Q77" s="104">
        <v>156</v>
      </c>
      <c r="R77" s="162">
        <v>16848</v>
      </c>
      <c r="S77" s="159">
        <f t="shared" si="9"/>
        <v>17.2</v>
      </c>
      <c r="Z77" s="104">
        <v>8450</v>
      </c>
      <c r="AA77" s="104">
        <v>156</v>
      </c>
      <c r="AB77" s="162" t="s">
        <v>11365</v>
      </c>
      <c r="AC77" s="159">
        <f t="shared" si="10"/>
        <v>19.8</v>
      </c>
    </row>
    <row r="78" spans="6:29" ht="16.5" customHeight="1">
      <c r="F78" s="104">
        <v>8570</v>
      </c>
      <c r="G78" s="104">
        <v>158</v>
      </c>
      <c r="H78" s="104">
        <v>16353</v>
      </c>
      <c r="I78" s="159">
        <f t="shared" si="8"/>
        <v>16.7</v>
      </c>
      <c r="P78" s="104">
        <v>8570</v>
      </c>
      <c r="Q78" s="104">
        <v>158</v>
      </c>
      <c r="R78" s="162">
        <v>17064</v>
      </c>
      <c r="S78" s="159">
        <f t="shared" si="9"/>
        <v>17.4</v>
      </c>
      <c r="Z78" s="104">
        <v>8570</v>
      </c>
      <c r="AA78" s="104">
        <v>158</v>
      </c>
      <c r="AB78" s="162" t="s">
        <v>11366</v>
      </c>
      <c r="AC78" s="159">
        <f t="shared" si="10"/>
        <v>20.1</v>
      </c>
    </row>
    <row r="79" spans="6:29" ht="16.5" customHeight="1">
      <c r="F79" s="104">
        <v>8690</v>
      </c>
      <c r="G79" s="104">
        <v>160</v>
      </c>
      <c r="H79" s="104">
        <v>16560</v>
      </c>
      <c r="I79" s="159">
        <f t="shared" si="8"/>
        <v>16.9</v>
      </c>
      <c r="P79" s="104">
        <v>8690</v>
      </c>
      <c r="Q79" s="104">
        <v>160</v>
      </c>
      <c r="R79" s="162">
        <v>17280</v>
      </c>
      <c r="S79" s="159">
        <f t="shared" si="9"/>
        <v>17.6</v>
      </c>
      <c r="Z79" s="104">
        <v>8690</v>
      </c>
      <c r="AA79" s="104">
        <v>160</v>
      </c>
      <c r="AB79" s="162" t="s">
        <v>11367</v>
      </c>
      <c r="AC79" s="159">
        <f t="shared" si="10"/>
        <v>20.3</v>
      </c>
    </row>
    <row r="80" spans="6:29" ht="16.5" customHeight="1">
      <c r="F80" s="104">
        <v>8810</v>
      </c>
      <c r="G80" s="104">
        <v>162</v>
      </c>
      <c r="H80" s="104">
        <v>16767</v>
      </c>
      <c r="I80" s="159">
        <f t="shared" si="8"/>
        <v>17.1</v>
      </c>
      <c r="P80" s="104">
        <v>8810</v>
      </c>
      <c r="Q80" s="104">
        <v>162</v>
      </c>
      <c r="R80" s="162">
        <v>17496</v>
      </c>
      <c r="S80" s="159">
        <f t="shared" si="9"/>
        <v>17.8</v>
      </c>
      <c r="Z80" s="104">
        <v>8810</v>
      </c>
      <c r="AA80" s="104">
        <v>162</v>
      </c>
      <c r="AB80" s="162">
        <f t="shared" si="16" ref="AB80">AB79+270</f>
        <v>20250</v>
      </c>
      <c r="AC80" s="159">
        <f t="shared" si="10"/>
        <v>20.6</v>
      </c>
    </row>
    <row r="81" spans="6:29" ht="16.5" customHeight="1">
      <c r="F81" s="104">
        <v>8930</v>
      </c>
      <c r="G81" s="104">
        <v>164</v>
      </c>
      <c r="H81" s="104">
        <v>16974</v>
      </c>
      <c r="I81" s="159">
        <f t="shared" si="8"/>
        <v>17.3</v>
      </c>
      <c r="P81" s="104">
        <v>8930</v>
      </c>
      <c r="Q81" s="104">
        <v>164</v>
      </c>
      <c r="R81" s="162">
        <v>17712</v>
      </c>
      <c r="S81" s="159">
        <f t="shared" si="9"/>
        <v>18.1</v>
      </c>
      <c r="Z81" s="104">
        <v>8930</v>
      </c>
      <c r="AA81" s="104">
        <v>164</v>
      </c>
      <c r="AB81" s="162" t="s">
        <v>11368</v>
      </c>
      <c r="AC81" s="159">
        <f t="shared" si="10"/>
        <v>20.6</v>
      </c>
    </row>
    <row r="82" spans="6:29" ht="16.5" customHeight="1">
      <c r="F82" s="104">
        <v>9050</v>
      </c>
      <c r="G82" s="104">
        <v>166</v>
      </c>
      <c r="H82" s="104">
        <v>17181</v>
      </c>
      <c r="I82" s="159">
        <f t="shared" si="8"/>
        <v>17.5</v>
      </c>
      <c r="P82" s="104">
        <v>9050</v>
      </c>
      <c r="Q82" s="104">
        <v>166</v>
      </c>
      <c r="R82" s="162">
        <v>17928</v>
      </c>
      <c r="S82" s="159">
        <f t="shared" si="9"/>
        <v>18.3</v>
      </c>
      <c r="Z82" s="104">
        <v>9050</v>
      </c>
      <c r="AA82" s="104">
        <v>166</v>
      </c>
      <c r="AB82" s="162" t="s">
        <v>11369</v>
      </c>
      <c r="AC82" s="159">
        <f t="shared" si="10"/>
        <v>20.9</v>
      </c>
    </row>
    <row r="83" spans="6:29" ht="16.5" customHeight="1">
      <c r="F83" s="104">
        <v>9170</v>
      </c>
      <c r="G83" s="104">
        <v>168</v>
      </c>
      <c r="H83" s="104">
        <v>17388</v>
      </c>
      <c r="I83" s="159">
        <f t="shared" si="8"/>
        <v>17.7</v>
      </c>
      <c r="P83" s="104">
        <v>9170</v>
      </c>
      <c r="Q83" s="104">
        <v>168</v>
      </c>
      <c r="R83" s="162">
        <v>18144</v>
      </c>
      <c r="S83" s="159">
        <f t="shared" si="9"/>
        <v>18.5</v>
      </c>
      <c r="Z83" s="104">
        <v>9170</v>
      </c>
      <c r="AA83" s="104">
        <v>168</v>
      </c>
      <c r="AB83" s="162" t="s">
        <v>11370</v>
      </c>
      <c r="AC83" s="159">
        <f t="shared" si="10"/>
        <v>21.1</v>
      </c>
    </row>
    <row r="84" spans="6:29" ht="16.5" customHeight="1">
      <c r="F84" s="104">
        <v>9290</v>
      </c>
      <c r="G84" s="104">
        <v>170</v>
      </c>
      <c r="H84" s="104">
        <v>17595</v>
      </c>
      <c r="I84" s="159">
        <f t="shared" si="8"/>
        <v>17.9</v>
      </c>
      <c r="P84" s="104">
        <v>9290</v>
      </c>
      <c r="Q84" s="104">
        <v>170</v>
      </c>
      <c r="R84" s="162">
        <v>18360</v>
      </c>
      <c r="S84" s="159">
        <f t="shared" si="9"/>
        <v>18.7</v>
      </c>
      <c r="Z84" s="104">
        <v>9290</v>
      </c>
      <c r="AA84" s="104">
        <v>170</v>
      </c>
      <c r="AB84" s="162">
        <f t="shared" si="17" ref="AB84">AB83+270</f>
        <v>21060</v>
      </c>
      <c r="AC84" s="159">
        <f t="shared" si="10"/>
        <v>21.4</v>
      </c>
    </row>
    <row r="85" spans="6:29" ht="16.5" customHeight="1">
      <c r="F85" s="104">
        <v>9410</v>
      </c>
      <c r="G85" s="104">
        <v>172</v>
      </c>
      <c r="H85" s="104">
        <v>17802</v>
      </c>
      <c r="I85" s="159">
        <f t="shared" si="8"/>
        <v>18.2</v>
      </c>
      <c r="P85" s="104">
        <v>9410</v>
      </c>
      <c r="Q85" s="104">
        <v>172</v>
      </c>
      <c r="R85" s="162">
        <v>18576</v>
      </c>
      <c r="S85" s="159">
        <f t="shared" si="9"/>
        <v>18.9</v>
      </c>
      <c r="Z85" s="104">
        <v>9410</v>
      </c>
      <c r="AA85" s="104">
        <v>172</v>
      </c>
      <c r="AB85" s="162" t="s">
        <v>11371</v>
      </c>
      <c r="AC85" s="159">
        <f t="shared" si="10"/>
        <v>21.4</v>
      </c>
    </row>
    <row r="86" spans="6:29" ht="16.5" customHeight="1">
      <c r="F86" s="104">
        <v>9530</v>
      </c>
      <c r="G86" s="104">
        <v>174</v>
      </c>
      <c r="H86" s="104">
        <v>18009</v>
      </c>
      <c r="I86" s="159">
        <f t="shared" si="8"/>
        <v>18.4</v>
      </c>
      <c r="P86" s="104">
        <v>9530</v>
      </c>
      <c r="Q86" s="104">
        <v>174</v>
      </c>
      <c r="R86" s="162">
        <v>18792</v>
      </c>
      <c r="S86" s="159">
        <f t="shared" si="9"/>
        <v>19.1</v>
      </c>
      <c r="Z86" s="104">
        <v>9530</v>
      </c>
      <c r="AA86" s="104">
        <v>174</v>
      </c>
      <c r="AB86" s="162" t="s">
        <v>11372</v>
      </c>
      <c r="AC86" s="159">
        <f t="shared" si="10"/>
        <v>21.7</v>
      </c>
    </row>
    <row r="87" spans="6:29" ht="16.5" customHeight="1">
      <c r="F87" s="104">
        <v>9650</v>
      </c>
      <c r="G87" s="104">
        <v>176</v>
      </c>
      <c r="H87" s="104">
        <v>18216</v>
      </c>
      <c r="I87" s="159">
        <f t="shared" si="8"/>
        <v>18.6</v>
      </c>
      <c r="P87" s="104">
        <v>9650</v>
      </c>
      <c r="Q87" s="104">
        <v>176</v>
      </c>
      <c r="R87" s="162">
        <v>19008</v>
      </c>
      <c r="S87" s="159">
        <f t="shared" si="9"/>
        <v>19.4</v>
      </c>
      <c r="Z87" s="104">
        <v>9650</v>
      </c>
      <c r="AA87" s="104">
        <v>176</v>
      </c>
      <c r="AB87" s="162" t="s">
        <v>11373</v>
      </c>
      <c r="AC87" s="159">
        <f t="shared" si="10"/>
        <v>21.9</v>
      </c>
    </row>
    <row r="88" spans="6:29" ht="16.5" customHeight="1">
      <c r="F88" s="104">
        <v>9770</v>
      </c>
      <c r="G88" s="104">
        <v>178</v>
      </c>
      <c r="H88" s="104">
        <v>18423</v>
      </c>
      <c r="I88" s="159">
        <f t="shared" si="8"/>
        <v>18.8</v>
      </c>
      <c r="P88" s="104">
        <v>9770</v>
      </c>
      <c r="Q88" s="104">
        <v>178</v>
      </c>
      <c r="R88" s="162">
        <v>19224</v>
      </c>
      <c r="S88" s="159">
        <f t="shared" si="9"/>
        <v>19.6</v>
      </c>
      <c r="Z88" s="104">
        <v>9770</v>
      </c>
      <c r="AA88" s="104">
        <v>178</v>
      </c>
      <c r="AB88" s="162">
        <f t="shared" si="18" ref="AB88">AB87+270</f>
        <v>21870</v>
      </c>
      <c r="AC88" s="159">
        <f t="shared" si="10"/>
        <v>22.2</v>
      </c>
    </row>
    <row r="89" spans="6:29" ht="16.5" customHeight="1">
      <c r="F89" s="104">
        <v>9890</v>
      </c>
      <c r="G89" s="104">
        <v>180</v>
      </c>
      <c r="H89" s="104">
        <v>18630</v>
      </c>
      <c r="I89" s="159">
        <f t="shared" si="8"/>
        <v>19</v>
      </c>
      <c r="P89" s="104">
        <v>9890</v>
      </c>
      <c r="Q89" s="104">
        <v>180</v>
      </c>
      <c r="R89" s="162">
        <v>19440</v>
      </c>
      <c r="S89" s="159">
        <f t="shared" si="9"/>
        <v>19.8</v>
      </c>
      <c r="Z89" s="104">
        <v>9890</v>
      </c>
      <c r="AA89" s="104">
        <v>180</v>
      </c>
      <c r="AB89" s="162" t="s">
        <v>11374</v>
      </c>
      <c r="AC89" s="159">
        <f t="shared" si="10"/>
        <v>22.2</v>
      </c>
    </row>
    <row r="90" spans="6:29" ht="16.5" customHeight="1">
      <c r="F90" s="104">
        <v>10010</v>
      </c>
      <c r="G90" s="104">
        <v>182</v>
      </c>
      <c r="H90" s="104">
        <v>18837</v>
      </c>
      <c r="I90" s="159">
        <f t="shared" si="8"/>
        <v>19.2</v>
      </c>
      <c r="P90" s="104">
        <v>10010</v>
      </c>
      <c r="Q90" s="104">
        <v>182</v>
      </c>
      <c r="R90" s="162">
        <v>19656</v>
      </c>
      <c r="S90" s="159">
        <f t="shared" si="9"/>
        <v>20</v>
      </c>
      <c r="Z90" s="104">
        <v>10010</v>
      </c>
      <c r="AA90" s="104">
        <v>182</v>
      </c>
      <c r="AB90" s="162" t="s">
        <v>11375</v>
      </c>
      <c r="AC90" s="159">
        <f t="shared" si="10"/>
        <v>22.5</v>
      </c>
    </row>
    <row r="91" spans="6:29" ht="16.5" customHeight="1">
      <c r="F91" s="104">
        <v>10130</v>
      </c>
      <c r="G91" s="104">
        <v>184</v>
      </c>
      <c r="H91" s="104">
        <v>19044</v>
      </c>
      <c r="I91" s="159">
        <f t="shared" si="8"/>
        <v>19.4</v>
      </c>
      <c r="P91" s="104">
        <v>10130</v>
      </c>
      <c r="Q91" s="104">
        <v>184</v>
      </c>
      <c r="R91" s="162">
        <v>19872</v>
      </c>
      <c r="S91" s="159">
        <f t="shared" si="9"/>
        <v>20.2</v>
      </c>
      <c r="Z91" s="104">
        <v>10130</v>
      </c>
      <c r="AA91" s="104">
        <v>184</v>
      </c>
      <c r="AB91" s="162" t="s">
        <v>11376</v>
      </c>
      <c r="AC91" s="159">
        <f t="shared" si="10"/>
        <v>22.8</v>
      </c>
    </row>
    <row r="92" spans="6:29" ht="17.25" customHeight="1">
      <c r="F92" s="104">
        <v>10250</v>
      </c>
      <c r="G92" s="104">
        <v>186</v>
      </c>
      <c r="H92" s="104">
        <v>19251</v>
      </c>
      <c r="I92" s="159">
        <f t="shared" si="8"/>
        <v>19.6</v>
      </c>
      <c r="P92" s="104">
        <v>10250</v>
      </c>
      <c r="Q92" s="104">
        <v>186</v>
      </c>
      <c r="R92" s="162">
        <v>20088</v>
      </c>
      <c r="S92" s="159">
        <f t="shared" si="9"/>
        <v>20.4</v>
      </c>
      <c r="Z92" s="104">
        <v>10250</v>
      </c>
      <c r="AA92" s="104">
        <v>186</v>
      </c>
      <c r="AB92" s="162">
        <f t="shared" si="19" ref="AB92">AB91+270</f>
        <v>22680</v>
      </c>
      <c r="AC92" s="159">
        <f t="shared" si="10"/>
        <v>23</v>
      </c>
    </row>
    <row r="93" spans="6:29" ht="16.5" customHeight="1">
      <c r="F93" s="104">
        <v>10370</v>
      </c>
      <c r="G93" s="104">
        <v>188</v>
      </c>
      <c r="H93" s="104">
        <v>19458</v>
      </c>
      <c r="I93" s="159">
        <f t="shared" si="8"/>
        <v>19.8</v>
      </c>
      <c r="P93" s="104">
        <v>10370</v>
      </c>
      <c r="Q93" s="104">
        <v>188</v>
      </c>
      <c r="R93" s="162">
        <v>20304</v>
      </c>
      <c r="S93" s="159">
        <f t="shared" si="9"/>
        <v>20.7</v>
      </c>
      <c r="Z93" s="104">
        <v>10370</v>
      </c>
      <c r="AA93" s="104">
        <v>188</v>
      </c>
      <c r="AB93" s="162" t="s">
        <v>11377</v>
      </c>
      <c r="AC93" s="159">
        <f t="shared" si="10"/>
        <v>23</v>
      </c>
    </row>
    <row r="94" spans="6:29" ht="16.5" customHeight="1">
      <c r="F94" s="104">
        <v>10490</v>
      </c>
      <c r="G94" s="104">
        <v>190</v>
      </c>
      <c r="H94" s="104">
        <v>19665</v>
      </c>
      <c r="I94" s="159">
        <f t="shared" si="8"/>
        <v>20</v>
      </c>
      <c r="P94" s="104">
        <v>10490</v>
      </c>
      <c r="Q94" s="104">
        <v>190</v>
      </c>
      <c r="R94" s="162">
        <v>20520</v>
      </c>
      <c r="S94" s="159">
        <f t="shared" si="9"/>
        <v>20.9</v>
      </c>
      <c r="Z94" s="104">
        <v>10490</v>
      </c>
      <c r="AA94" s="104">
        <v>190</v>
      </c>
      <c r="AB94" s="162" t="s">
        <v>11378</v>
      </c>
      <c r="AC94" s="159">
        <f t="shared" si="10"/>
        <v>23.3</v>
      </c>
    </row>
    <row r="95" spans="6:29" ht="16.5" customHeight="1">
      <c r="F95" s="104">
        <v>10610</v>
      </c>
      <c r="G95" s="104">
        <v>192</v>
      </c>
      <c r="H95" s="104">
        <v>19872</v>
      </c>
      <c r="I95" s="159">
        <f t="shared" si="8"/>
        <v>20.2</v>
      </c>
      <c r="P95" s="104">
        <v>10610</v>
      </c>
      <c r="Q95" s="104">
        <v>192</v>
      </c>
      <c r="R95" s="162">
        <v>20736</v>
      </c>
      <c r="S95" s="159">
        <f t="shared" si="9"/>
        <v>21.1</v>
      </c>
      <c r="Z95" s="104">
        <v>10610</v>
      </c>
      <c r="AA95" s="104">
        <v>192</v>
      </c>
      <c r="AB95" s="162" t="s">
        <v>11379</v>
      </c>
      <c r="AC95" s="159">
        <f t="shared" si="10"/>
        <v>23.6</v>
      </c>
    </row>
    <row r="96" spans="6:29" ht="16.5" customHeight="1">
      <c r="F96" s="104">
        <v>10730</v>
      </c>
      <c r="G96" s="104">
        <v>194</v>
      </c>
      <c r="H96" s="104">
        <v>20079</v>
      </c>
      <c r="I96" s="159">
        <f t="shared" si="8"/>
        <v>20.4</v>
      </c>
      <c r="P96" s="104">
        <v>10730</v>
      </c>
      <c r="Q96" s="104">
        <v>194</v>
      </c>
      <c r="R96" s="162">
        <v>20952</v>
      </c>
      <c r="S96" s="159">
        <f t="shared" si="9"/>
        <v>21.3</v>
      </c>
      <c r="Z96" s="104">
        <v>10730</v>
      </c>
      <c r="AA96" s="104">
        <v>194</v>
      </c>
      <c r="AB96" s="162">
        <f t="shared" si="20" ref="AB96">AB95+270</f>
        <v>23490</v>
      </c>
      <c r="AC96" s="159">
        <f t="shared" si="10"/>
        <v>23.8</v>
      </c>
    </row>
    <row r="97" spans="6:29" ht="16.5" customHeight="1">
      <c r="F97" s="104">
        <v>10850</v>
      </c>
      <c r="G97" s="104">
        <v>196</v>
      </c>
      <c r="H97" s="104">
        <v>20286</v>
      </c>
      <c r="I97" s="159">
        <f t="shared" si="8"/>
        <v>20.6</v>
      </c>
      <c r="P97" s="104">
        <v>10850</v>
      </c>
      <c r="Q97" s="104">
        <v>196</v>
      </c>
      <c r="R97" s="162">
        <v>21168</v>
      </c>
      <c r="S97" s="159">
        <f t="shared" si="9"/>
        <v>21.5</v>
      </c>
      <c r="Z97" s="104">
        <v>10850</v>
      </c>
      <c r="AA97" s="104">
        <v>196</v>
      </c>
      <c r="AB97" s="162" t="s">
        <v>11380</v>
      </c>
      <c r="AC97" s="159">
        <f t="shared" si="10"/>
        <v>23.8</v>
      </c>
    </row>
    <row r="98" spans="6:29" ht="16.5" customHeight="1">
      <c r="F98" s="104">
        <v>10970</v>
      </c>
      <c r="G98" s="104">
        <v>198</v>
      </c>
      <c r="H98" s="104">
        <v>20493</v>
      </c>
      <c r="I98" s="159">
        <f t="shared" si="8"/>
        <v>20.8</v>
      </c>
      <c r="P98" s="104">
        <v>10970</v>
      </c>
      <c r="Q98" s="104">
        <v>198</v>
      </c>
      <c r="R98" s="162">
        <v>21384</v>
      </c>
      <c r="S98" s="159">
        <f t="shared" si="9"/>
        <v>21.7</v>
      </c>
      <c r="Z98" s="104">
        <v>10970</v>
      </c>
      <c r="AA98" s="104">
        <v>198</v>
      </c>
      <c r="AB98" s="162" t="s">
        <v>11381</v>
      </c>
      <c r="AC98" s="159">
        <f t="shared" si="10"/>
        <v>24.1</v>
      </c>
    </row>
    <row r="99" spans="6:29" ht="16.5" customHeight="1">
      <c r="F99" s="104">
        <v>11090</v>
      </c>
      <c r="G99" s="104">
        <v>200</v>
      </c>
      <c r="H99" s="104">
        <v>20700</v>
      </c>
      <c r="I99" s="159">
        <f t="shared" si="8"/>
        <v>21</v>
      </c>
      <c r="P99" s="104">
        <v>11090</v>
      </c>
      <c r="Q99" s="104">
        <v>200</v>
      </c>
      <c r="R99" s="162">
        <v>21600</v>
      </c>
      <c r="S99" s="159">
        <f t="shared" si="9"/>
        <v>21.9</v>
      </c>
      <c r="Z99" s="104">
        <v>11090</v>
      </c>
      <c r="AA99" s="104">
        <v>200</v>
      </c>
      <c r="AB99" s="162" t="s">
        <v>11382</v>
      </c>
      <c r="AC99" s="159">
        <f t="shared" si="10"/>
        <v>24.4</v>
      </c>
    </row>
    <row r="100" spans="6:29" ht="16.5" customHeight="1">
      <c r="F100" s="104">
        <v>11210</v>
      </c>
      <c r="G100" s="104">
        <v>202</v>
      </c>
      <c r="H100" s="104">
        <v>20907</v>
      </c>
      <c r="I100" s="159">
        <f t="shared" si="8"/>
        <v>21.3</v>
      </c>
      <c r="P100" s="104">
        <v>11210</v>
      </c>
      <c r="Q100" s="104">
        <v>202</v>
      </c>
      <c r="R100" s="162">
        <v>21816</v>
      </c>
      <c r="S100" s="159">
        <f t="shared" si="9"/>
        <v>22.2</v>
      </c>
      <c r="Z100" s="104">
        <v>11210</v>
      </c>
      <c r="AA100" s="104">
        <v>202</v>
      </c>
      <c r="AB100" s="162">
        <f t="shared" si="21" ref="AB100">AB99+270</f>
        <v>24300</v>
      </c>
      <c r="AC100" s="159">
        <f t="shared" si="10"/>
        <v>24.6</v>
      </c>
    </row>
    <row r="101" spans="6:29" ht="16.5" customHeight="1">
      <c r="F101" s="104">
        <v>11330</v>
      </c>
      <c r="G101" s="104">
        <v>204</v>
      </c>
      <c r="H101" s="104">
        <v>21114</v>
      </c>
      <c r="I101" s="159">
        <f t="shared" si="8"/>
        <v>21.5</v>
      </c>
      <c r="P101" s="104">
        <v>11330</v>
      </c>
      <c r="Q101" s="104">
        <v>204</v>
      </c>
      <c r="R101" s="162">
        <v>22032</v>
      </c>
      <c r="S101" s="159">
        <f t="shared" si="9"/>
        <v>22.4</v>
      </c>
      <c r="Z101" s="104">
        <v>11330</v>
      </c>
      <c r="AA101" s="104">
        <v>204</v>
      </c>
      <c r="AB101" s="162" t="s">
        <v>11383</v>
      </c>
      <c r="AC101" s="159">
        <f t="shared" si="10"/>
        <v>24.6</v>
      </c>
    </row>
    <row r="102" spans="6:29" ht="16.5" customHeight="1">
      <c r="F102" s="104">
        <v>11450</v>
      </c>
      <c r="G102" s="104">
        <v>206</v>
      </c>
      <c r="H102" s="104">
        <v>21321</v>
      </c>
      <c r="I102" s="159">
        <f t="shared" si="8"/>
        <v>21.7</v>
      </c>
      <c r="P102" s="104">
        <v>11450</v>
      </c>
      <c r="Q102" s="104">
        <v>206</v>
      </c>
      <c r="R102" s="162">
        <v>22248</v>
      </c>
      <c r="S102" s="159">
        <f t="shared" si="9"/>
        <v>22.6</v>
      </c>
      <c r="Z102" s="104">
        <v>11450</v>
      </c>
      <c r="AA102" s="104">
        <v>206</v>
      </c>
      <c r="AB102" s="162" t="s">
        <v>11384</v>
      </c>
      <c r="AC102" s="159">
        <f t="shared" si="10"/>
        <v>24.9</v>
      </c>
    </row>
    <row r="103" spans="6:29" ht="16.5" customHeight="1">
      <c r="F103" s="104">
        <v>11570</v>
      </c>
      <c r="G103" s="104">
        <v>208</v>
      </c>
      <c r="H103" s="104">
        <v>21528</v>
      </c>
      <c r="I103" s="159">
        <f t="shared" si="8"/>
        <v>21.9</v>
      </c>
      <c r="P103" s="104">
        <v>11570</v>
      </c>
      <c r="Q103" s="104">
        <v>208</v>
      </c>
      <c r="R103" s="162">
        <v>22464</v>
      </c>
      <c r="S103" s="159">
        <f t="shared" si="9"/>
        <v>22.8</v>
      </c>
      <c r="Z103" s="104">
        <v>11570</v>
      </c>
      <c r="AA103" s="104">
        <v>208</v>
      </c>
      <c r="AB103" s="162" t="s">
        <v>11385</v>
      </c>
      <c r="AC103" s="159">
        <f t="shared" si="10"/>
        <v>25.2</v>
      </c>
    </row>
    <row r="104" spans="6:29" ht="16.5" customHeight="1">
      <c r="F104" s="104">
        <v>11690</v>
      </c>
      <c r="G104" s="104">
        <v>210</v>
      </c>
      <c r="H104" s="104">
        <v>21735</v>
      </c>
      <c r="I104" s="159">
        <f t="shared" si="8"/>
        <v>22.1</v>
      </c>
      <c r="P104" s="104">
        <v>11690</v>
      </c>
      <c r="Q104" s="104">
        <v>210</v>
      </c>
      <c r="R104" s="162">
        <v>22680</v>
      </c>
      <c r="S104" s="159">
        <f t="shared" si="9"/>
        <v>23</v>
      </c>
      <c r="Z104" s="104">
        <v>11690</v>
      </c>
      <c r="AA104" s="104">
        <v>210</v>
      </c>
      <c r="AB104" s="162">
        <f t="shared" si="22" ref="AB104">AB103+270</f>
        <v>25110</v>
      </c>
      <c r="AC104" s="159">
        <f t="shared" si="10"/>
        <v>25.5</v>
      </c>
    </row>
    <row r="105" spans="6:29" ht="16.5" customHeight="1">
      <c r="F105" s="104">
        <v>11810</v>
      </c>
      <c r="G105" s="104">
        <v>212</v>
      </c>
      <c r="H105" s="104">
        <v>21942</v>
      </c>
      <c r="I105" s="159">
        <f t="shared" si="8"/>
        <v>22.3</v>
      </c>
      <c r="P105" s="104">
        <v>11810</v>
      </c>
      <c r="Q105" s="104">
        <v>212</v>
      </c>
      <c r="R105" s="162">
        <v>22896</v>
      </c>
      <c r="S105" s="159">
        <f t="shared" si="9"/>
        <v>23.2</v>
      </c>
      <c r="Z105" s="104">
        <v>11810</v>
      </c>
      <c r="AA105" s="104">
        <v>212</v>
      </c>
      <c r="AB105" s="162" t="s">
        <v>11386</v>
      </c>
      <c r="AC105" s="159">
        <f t="shared" si="10"/>
        <v>25.5</v>
      </c>
    </row>
    <row r="106" spans="6:29" ht="16.5" customHeight="1">
      <c r="F106" s="104">
        <v>11930</v>
      </c>
      <c r="G106" s="104">
        <v>214</v>
      </c>
      <c r="H106" s="104">
        <v>22149</v>
      </c>
      <c r="I106" s="159">
        <f t="shared" si="8"/>
        <v>22.5</v>
      </c>
      <c r="P106" s="104">
        <v>11930</v>
      </c>
      <c r="Q106" s="104">
        <v>214</v>
      </c>
      <c r="R106" s="162">
        <v>23112</v>
      </c>
      <c r="S106" s="159">
        <f t="shared" si="9"/>
        <v>23.5</v>
      </c>
      <c r="Z106" s="104">
        <v>11930</v>
      </c>
      <c r="AA106" s="104">
        <v>214</v>
      </c>
      <c r="AB106" s="162" t="s">
        <v>11387</v>
      </c>
      <c r="AC106" s="159">
        <f t="shared" si="10"/>
        <v>25.7</v>
      </c>
    </row>
    <row r="107" spans="6:29" ht="16.5" customHeight="1">
      <c r="F107" s="104">
        <v>12050</v>
      </c>
      <c r="G107" s="104">
        <v>216</v>
      </c>
      <c r="H107" s="104">
        <v>22356</v>
      </c>
      <c r="I107" s="159">
        <f t="shared" si="8"/>
        <v>22.7</v>
      </c>
      <c r="P107" s="104">
        <v>12050</v>
      </c>
      <c r="Q107" s="104">
        <v>216</v>
      </c>
      <c r="R107" s="162">
        <v>23328</v>
      </c>
      <c r="S107" s="159">
        <f t="shared" si="9"/>
        <v>23.7</v>
      </c>
      <c r="Z107" s="104">
        <v>12050</v>
      </c>
      <c r="AA107" s="104">
        <v>216</v>
      </c>
      <c r="AB107" s="162" t="s">
        <v>11388</v>
      </c>
      <c r="AC107" s="159">
        <f t="shared" si="10"/>
        <v>26</v>
      </c>
    </row>
    <row r="108" spans="6:29" ht="16.5" customHeight="1">
      <c r="F108" s="104">
        <v>12170</v>
      </c>
      <c r="G108" s="104">
        <v>218</v>
      </c>
      <c r="H108" s="104">
        <v>22563</v>
      </c>
      <c r="I108" s="159">
        <f t="shared" si="8"/>
        <v>22.9</v>
      </c>
      <c r="P108" s="104">
        <v>12170</v>
      </c>
      <c r="Q108" s="104">
        <v>218</v>
      </c>
      <c r="R108" s="162">
        <v>23544</v>
      </c>
      <c r="S108" s="159">
        <f t="shared" si="9"/>
        <v>23.9</v>
      </c>
      <c r="Z108" s="104">
        <v>12170</v>
      </c>
      <c r="AA108" s="104">
        <v>218</v>
      </c>
      <c r="AB108" s="162">
        <f t="shared" si="23" ref="AB108">AB107+270</f>
        <v>25920</v>
      </c>
      <c r="AC108" s="159">
        <f t="shared" si="10"/>
        <v>26.3</v>
      </c>
    </row>
    <row r="109" spans="6:29" ht="16.5" customHeight="1">
      <c r="F109" s="104">
        <v>12290</v>
      </c>
      <c r="G109" s="104">
        <v>220</v>
      </c>
      <c r="H109" s="104">
        <v>22770</v>
      </c>
      <c r="I109" s="159">
        <f t="shared" si="8"/>
        <v>23.1</v>
      </c>
      <c r="P109" s="104">
        <v>12290</v>
      </c>
      <c r="Q109" s="104">
        <v>220</v>
      </c>
      <c r="R109" s="162">
        <v>23760</v>
      </c>
      <c r="S109" s="159">
        <f t="shared" si="9"/>
        <v>24.1</v>
      </c>
      <c r="Z109" s="104">
        <v>12290</v>
      </c>
      <c r="AA109" s="104">
        <v>220</v>
      </c>
      <c r="AB109" s="162" t="s">
        <v>11389</v>
      </c>
      <c r="AC109" s="159">
        <f t="shared" si="10"/>
        <v>26.3</v>
      </c>
    </row>
    <row r="110" spans="6:29" ht="16.5" customHeight="1">
      <c r="F110" s="104">
        <v>12410</v>
      </c>
      <c r="G110" s="104">
        <v>222</v>
      </c>
      <c r="H110" s="104">
        <v>22977</v>
      </c>
      <c r="I110" s="159">
        <f t="shared" si="8"/>
        <v>23.3</v>
      </c>
      <c r="P110" s="104">
        <v>12410</v>
      </c>
      <c r="Q110" s="104">
        <v>222</v>
      </c>
      <c r="R110" s="162">
        <v>23976</v>
      </c>
      <c r="S110" s="159">
        <f t="shared" si="9"/>
        <v>24.3</v>
      </c>
      <c r="Z110" s="104">
        <v>12410</v>
      </c>
      <c r="AA110" s="104">
        <v>222</v>
      </c>
      <c r="AB110" s="162" t="s">
        <v>11390</v>
      </c>
      <c r="AC110" s="159">
        <f t="shared" si="10"/>
        <v>26.5</v>
      </c>
    </row>
    <row r="111" spans="6:29" ht="16.5" customHeight="1">
      <c r="F111" s="104">
        <v>12530</v>
      </c>
      <c r="G111" s="104">
        <v>224</v>
      </c>
      <c r="H111" s="152"/>
      <c r="I111" s="152"/>
      <c r="P111" s="104">
        <v>12530</v>
      </c>
      <c r="Q111" s="104">
        <v>224</v>
      </c>
      <c r="R111" s="162"/>
      <c r="S111" s="159"/>
      <c r="Z111" s="104">
        <v>12530</v>
      </c>
      <c r="AA111" s="104">
        <v>224</v>
      </c>
      <c r="AB111" s="162"/>
      <c r="AC111" s="159"/>
    </row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7.2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68.7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04.7" customHeight="1"/>
    <row r="181" spans="8:9" ht="13.2">
      <c r="H181" s="79"/>
      <c r="I181" s="79"/>
    </row>
    <row r="182" ht="13.2">
      <c r="G182" s="79"/>
    </row>
    <row r="184" spans="6:10" ht="409.5">
      <c r="F184" s="79" t="s">
        <v>3592</v>
      </c>
      <c r="J184" s="79"/>
    </row>
  </sheetData>
  <mergeCells count="7">
    <mergeCell ref="A51:C51"/>
    <mergeCell ref="AE1:AH1"/>
    <mergeCell ref="F1:I1"/>
    <mergeCell ref="K1:N1"/>
    <mergeCell ref="P1:S1"/>
    <mergeCell ref="U1:X1"/>
    <mergeCell ref="Z1:AC1"/>
  </mergeCells>
  <pageMargins left="1.28661417322867" right="1.28661417322867" top="0.75" bottom="0.75" header="0.3" footer="0.3"/>
  <pageSetup orientation="portrait" paperSize="9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abels"/>
  <dimension ref="A1:K87"/>
  <sheetViews>
    <sheetView zoomScale="90" zoomScaleNormal="90" zoomScaleSheetLayoutView="100" workbookViewId="0" topLeftCell="A1">
      <selection pane="topLeft" activeCell="A21" sqref="A21"/>
    </sheetView>
  </sheetViews>
  <sheetFormatPr defaultColWidth="9.44140625" defaultRowHeight="13.5"/>
  <cols>
    <col min="1" max="1" width="30.5714285714286" bestFit="1" customWidth="1"/>
    <col min="2" max="2" width="64.4285714285714" bestFit="1" customWidth="1"/>
    <col min="3" max="3" width="41" bestFit="1" customWidth="1"/>
    <col min="4" max="4" width="45.5714285714286" bestFit="1" customWidth="1"/>
    <col min="5" max="5" width="42.5714285714286" bestFit="1" customWidth="1"/>
    <col min="6" max="6" width="34.5714285714286" bestFit="1" customWidth="1"/>
    <col min="7" max="7" width="34" bestFit="1" customWidth="1"/>
    <col min="8" max="8" width="33.5714285714286" bestFit="1" customWidth="1"/>
    <col min="9" max="9" width="41.5714285714286" bestFit="1" customWidth="1"/>
    <col min="10" max="10" width="10.4285714285714" bestFit="1" customWidth="1"/>
    <col min="11" max="11" width="11.4285714285714" bestFit="1" customWidth="1"/>
  </cols>
  <sheetData>
    <row r="1" spans="1:6" ht="13.2">
      <c r="A1">
        <v>1</v>
      </c>
      <c r="C1" s="17"/>
      <c r="D1" s="21"/>
      <c r="E1" s="17"/>
      <c r="F1" s="17"/>
    </row>
    <row r="2" spans="1:4" ht="13.2">
      <c r="A2">
        <v>2</v>
      </c>
      <c r="B2" s="22"/>
      <c r="C2" s="17"/>
      <c r="D2" s="21"/>
    </row>
    <row r="3" spans="1:4" ht="13.2">
      <c r="A3">
        <v>3</v>
      </c>
      <c r="C3" s="17"/>
      <c r="D3" s="17"/>
    </row>
    <row r="4" ht="13.2">
      <c r="A4">
        <v>4</v>
      </c>
    </row>
    <row r="5" ht="13.2">
      <c r="A5">
        <v>5</v>
      </c>
    </row>
    <row r="6" ht="13.2">
      <c r="A6">
        <v>6</v>
      </c>
    </row>
    <row r="7" ht="13.2">
      <c r="A7">
        <v>7</v>
      </c>
    </row>
    <row r="8" ht="13.2">
      <c r="A8">
        <v>8</v>
      </c>
    </row>
    <row r="9" ht="13.2">
      <c r="A9" t="s">
        <v>109</v>
      </c>
    </row>
    <row r="10" spans="1:11" ht="13.2">
      <c r="A10" t="s">
        <v>90</v>
      </c>
      <c r="B10" t="s">
        <v>91</v>
      </c>
      <c r="C10" t="s">
        <v>92</v>
      </c>
      <c r="D10" t="s">
        <v>93</v>
      </c>
      <c r="E10" t="s">
        <v>94</v>
      </c>
      <c r="F10" t="s">
        <v>110</v>
      </c>
      <c r="G10" t="s">
        <v>95</v>
      </c>
      <c r="H10" t="s">
        <v>96</v>
      </c>
      <c r="I10" t="s">
        <v>97</v>
      </c>
      <c r="J10" t="s">
        <v>98</v>
      </c>
      <c r="K10" t="s">
        <v>99</v>
      </c>
    </row>
    <row r="11" spans="1:11" ht="13.95" customHeight="1">
      <c r="A11" t="str">
        <f>IF(OR(Data!$AV11="",Data!$AW11&gt;999),"","^XA^LH0,0^PRB,D^MD20^JMA^FS")</f>
        <v>^XA^LH0,0^PRB,D^MD20^JMA^FS</v>
      </c>
      <c r="B11" t="str">
        <f t="array" ref="B11">IF(A11&lt;&gt;"","^BY2,2.7,13^FO506,20^B2N,132,Y,N,N^SN"&amp;BarcodeValue(Data!BC$5,Data!BD$5,Data!AW11,0)&amp;",N,Y^FS","")</f>
        <v>^BY2,2.7,13^FO506,20^B2N,132,Y,N,N^SN0039776700280005,N,Y^FS</v>
      </c>
      <c r="C11" t="str">
        <f>IF(A11&lt;&gt;"","^FO20,20^A0N,28,37^CI13^FD"&amp;TEXT(Data!AY$5,"d/m/yyyy")&amp;"^FS","")</f>
        <v>^FO20,20^A0N,28,37^CI13^FD12/8/2026^FS</v>
      </c>
      <c r="D11" t="str">
        <f>IF(A11&lt;&gt;"","^FO220,20^A0N,41,48^CI13^FD"&amp;Data!$BC$5&amp;Data!$BD$5&amp;"/"&amp;RIGHT("000"&amp;Data!AW11,3)&amp;"^FS","")</f>
        <v>^FO220,20^A0N,41,48^CI13^FD39776F/028^FS</v>
      </c>
      <c r="E11" t="str">
        <f>IF(A11&lt;&gt;"","^FO20,55^A0N,30,30^CI13^FD"&amp;Data!$BF$5&amp;"^FS","")</f>
        <v>^FO20,55^A0N,30,30^CI13^FDHare, Kaitlin^FS</v>
      </c>
      <c r="F11" t="str">
        <f>IF(A11&lt;&gt;"","^FO20,95^A0N,30,30^CI13^FD"&amp;Data!AX$5&amp;"^FS","")</f>
        <v>^FO20,95^A0N,30,30^CI13^FDWhole House^FS</v>
      </c>
      <c r="G11" t="str">
        <f>IF(A11&lt;&gt;"","^FO20,135^A0N,30,30^CI13^FD"&amp;Data!BE11&amp;"^FS","")</f>
        <v>^FO20,135^A0N,30,30^CI13^FDCURT Nettex Brunswick (Continuous) Uncoated Talc^FS</v>
      </c>
      <c r="H11" t="str">
        <f>IF(A11&lt;&gt;"","^FO20,175^A0N,30,30^CI13^FD"&amp;Data!AY11&amp;"^FS","")</f>
        <v>^FO20,175^A0N,30,30^CI13^FDStudy ALTERATION^FS</v>
      </c>
      <c r="I11" t="str">
        <f>IF(A11&lt;&gt;"","^FO300,175^A0N,30,30^CI13^FD"&amp;"W:"&amp;Data!BA11&amp;" H:"&amp;Data!BB11,"")</f>
        <v>^FO300,175^A0N,30,30^CI13^FDW:3640 H:2655</v>
      </c>
      <c r="J11" t="str">
        <f>IF(A11&lt;&gt;"","^PQ"&amp;Data!$F$23&amp;",0,"&amp;Data!$F$23&amp;",Y","")</f>
        <v>^PQ0,0,0,Y</v>
      </c>
      <c r="K11" t="str">
        <f>IF(A11&lt;&gt;"","^XZ","")</f>
        <v>^XZ</v>
      </c>
    </row>
    <row r="12" spans="1:11" ht="13.95" customHeight="1">
      <c r="A12" t="str">
        <f>IF(OR(Data!$AV12="",Data!$AW12&gt;999),"","^XA^LH0,0^PRB,D^MD20^JMA^FS")</f>
        <v>^XA^LH0,0^PRB,D^MD20^JMA^FS</v>
      </c>
      <c r="B12" t="str">
        <f t="array" ref="B12">IF(A12&lt;&gt;"","^BY2,2.7,13^FO506,20^B2N,132,Y,N,N^SN"&amp;BarcodeValue(Data!BC$5,Data!BD$5,Data!AW12,0)&amp;",N,Y^FS","")</f>
        <v>^BY2,2.7,13^FO506,20^B2N,132,Y,N,N^SN0039776700290004,N,Y^FS</v>
      </c>
      <c r="C12" t="str">
        <f>IF(A12&lt;&gt;"","^FO20,20^A0N,28,37^CI13^FD"&amp;TEXT(Data!AY$5,"d/m/yyyy")&amp;"^FS","")</f>
        <v>^FO20,20^A0N,28,37^CI13^FD12/8/2026^FS</v>
      </c>
      <c r="D12" t="str">
        <f>IF(A12&lt;&gt;"","^FO220,20^A0N,41,48^CI13^FD"&amp;Data!$BC$5&amp;Data!$BD$5&amp;"/"&amp;RIGHT("000"&amp;Data!AW12,3)&amp;"^FS","")</f>
        <v>^FO220,20^A0N,41,48^CI13^FD39776F/029^FS</v>
      </c>
      <c r="E12" t="str">
        <f>IF(A12&lt;&gt;"","^FO20,55^A0N,30,30^CI13^FD"&amp;Data!$BF$5&amp;"^FS","")</f>
        <v>^FO20,55^A0N,30,30^CI13^FDHare, Kaitlin^FS</v>
      </c>
      <c r="F12" t="str">
        <f>IF(A12&lt;&gt;"","^FO20,95^A0N,30,30^CI13^FD"&amp;Data!AX$5&amp;"^FS","")</f>
        <v>^FO20,95^A0N,30,30^CI13^FDWhole House^FS</v>
      </c>
      <c r="G12" t="str">
        <f>IF(A12&lt;&gt;"","^FO20,135^A0N,30,30^CI13^FD"&amp;Data!BE12&amp;"^FS","")</f>
        <v>^FO20,135^A0N,30,30^CI13^FDCURT Nettex Brunswick (Continuous) Uncoated Talc^FS</v>
      </c>
      <c r="H12" t="str">
        <f>IF(A12&lt;&gt;"","^FO20,175^A0N,30,30^CI13^FD"&amp;Data!AY12&amp;"^FS","")</f>
        <v>^FO20,175^A0N,30,30^CI13^FDHallway Door (IN) ALTERATION^FS</v>
      </c>
      <c r="I12" t="str">
        <f>IF(A12&lt;&gt;"","^FO300,175^A0N,30,30^CI13^FD"&amp;"W:"&amp;Data!BA12&amp;" H:"&amp;Data!BB12,"")</f>
        <v>^FO300,175^A0N,30,30^CI13^FDW:2600 H:2455</v>
      </c>
      <c r="J12" t="str">
        <f>IF(A12&lt;&gt;"","^PQ"&amp;Data!$F$23&amp;",0,"&amp;Data!$F$23&amp;",Y","")</f>
        <v>^PQ0,0,0,Y</v>
      </c>
      <c r="K12" t="str">
        <f>IF(A12&lt;&gt;"","^XZ","")</f>
        <v>^XZ</v>
      </c>
    </row>
    <row r="13" spans="1:11" ht="13.95" customHeight="1">
      <c r="A13" t="str">
        <f>IF(OR(Data!$AV13="",Data!$AW13&gt;999),"","^XA^LH0,0^PRB,D^MD20^JMA^FS")</f>
        <v>^XA^LH0,0^PRB,D^MD20^JMA^FS</v>
      </c>
      <c r="B13" t="str">
        <f t="array" ref="B13">IF(A13&lt;&gt;"","^BY2,2.7,13^FO506,20^B2N,132,Y,N,N^SN"&amp;BarcodeValue(Data!BC$5,Data!BD$5,Data!AW13,0)&amp;",N,Y^FS","")</f>
        <v>^BY2,2.7,13^FO506,20^B2N,132,Y,N,N^SN0039776700300000,N,Y^FS</v>
      </c>
      <c r="C13" t="str">
        <f>IF(A13&lt;&gt;"","^FO20,20^A0N,28,37^CI13^FD"&amp;TEXT(Data!AY$5,"d/m/yyyy")&amp;"^FS","")</f>
        <v>^FO20,20^A0N,28,37^CI13^FD12/8/2026^FS</v>
      </c>
      <c r="D13" t="str">
        <f>IF(A13&lt;&gt;"","^FO220,20^A0N,41,48^CI13^FD"&amp;Data!$BC$5&amp;Data!$BD$5&amp;"/"&amp;RIGHT("000"&amp;Data!AW13,3)&amp;"^FS","")</f>
        <v>^FO220,20^A0N,41,48^CI13^FD39776F/030^FS</v>
      </c>
      <c r="E13" t="str">
        <f>IF(A13&lt;&gt;"","^FO20,55^A0N,30,30^CI13^FD"&amp;Data!$BF$5&amp;"^FS","")</f>
        <v>^FO20,55^A0N,30,30^CI13^FDHare, Kaitlin^FS</v>
      </c>
      <c r="F13" t="str">
        <f>IF(A13&lt;&gt;"","^FO20,95^A0N,30,30^CI13^FD"&amp;Data!AX$5&amp;"^FS","")</f>
        <v>^FO20,95^A0N,30,30^CI13^FDWhole House^FS</v>
      </c>
      <c r="G13" t="str">
        <f>IF(A13&lt;&gt;"","^FO20,135^A0N,30,30^CI13^FD"&amp;Data!BE13&amp;"^FS","")</f>
        <v>^FO20,135^A0N,30,30^CI13^FDCURT Nettex Brunswick (Continuous) Uncoated Talc^FS</v>
      </c>
      <c r="H13" t="str">
        <f>IF(A13&lt;&gt;"","^FO20,175^A0N,30,30^CI13^FD"&amp;Data!AY13&amp;"^FS","")</f>
        <v>^FO20,175^A0N,30,30^CI13^FDMaster Door ALTERATION^FS</v>
      </c>
      <c r="I13" t="str">
        <f>IF(A13&lt;&gt;"","^FO300,175^A0N,30,30^CI13^FD"&amp;"W:"&amp;Data!BA13&amp;" H:"&amp;Data!BB13,"")</f>
        <v>^FO300,175^A0N,30,30^CI13^FDW:3502 H:2660</v>
      </c>
      <c r="J13" t="str">
        <f>IF(A13&lt;&gt;"","^PQ"&amp;Data!$F$23&amp;",0,"&amp;Data!$F$23&amp;",Y","")</f>
        <v>^PQ0,0,0,Y</v>
      </c>
      <c r="K13" t="str">
        <f>IF(A13&lt;&gt;"","^XZ","")</f>
        <v>^XZ</v>
      </c>
    </row>
    <row r="14" spans="1:11" ht="13.95" customHeight="1">
      <c r="A14" t="str">
        <f>IF(OR(Data!$AV14="",Data!$AW14&gt;999),"","^XA^LH0,0^PRB,D^MD20^JMA^FS")</f>
        <v>^XA^LH0,0^PRB,D^MD20^JMA^FS</v>
      </c>
      <c r="B14" t="str">
        <f t="array" ref="B14">IF(A14&lt;&gt;"","^BY2,2.7,13^FO506,20^B2N,132,Y,N,N^SN"&amp;BarcodeValue(Data!BC$5,Data!BD$5,Data!AW14,0)&amp;",N,Y^FS","")</f>
        <v>^BY2,2.7,13^FO506,20^B2N,132,Y,N,N^SN0039776700310009,N,Y^FS</v>
      </c>
      <c r="C14" t="str">
        <f>IF(A14&lt;&gt;"","^FO20,20^A0N,28,37^CI13^FD"&amp;TEXT(Data!AY$5,"d/m/yyyy")&amp;"^FS","")</f>
        <v>^FO20,20^A0N,28,37^CI13^FD12/8/2026^FS</v>
      </c>
      <c r="D14" t="str">
        <f>IF(A14&lt;&gt;"","^FO220,20^A0N,41,48^CI13^FD"&amp;Data!$BC$5&amp;Data!$BD$5&amp;"/"&amp;RIGHT("000"&amp;Data!AW14,3)&amp;"^FS","")</f>
        <v>^FO220,20^A0N,41,48^CI13^FD39776F/031^FS</v>
      </c>
      <c r="E14" t="str">
        <f>IF(A14&lt;&gt;"","^FO20,55^A0N,30,30^CI13^FD"&amp;Data!$BF$5&amp;"^FS","")</f>
        <v>^FO20,55^A0N,30,30^CI13^FDHare, Kaitlin^FS</v>
      </c>
      <c r="F14" t="str">
        <f>IF(A14&lt;&gt;"","^FO20,95^A0N,30,30^CI13^FD"&amp;Data!AX$5&amp;"^FS","")</f>
        <v>^FO20,95^A0N,30,30^CI13^FDWhole House^FS</v>
      </c>
      <c r="G14" t="str">
        <f>IF(A14&lt;&gt;"","^FO20,135^A0N,30,30^CI13^FD"&amp;Data!BE14&amp;"^FS","")</f>
        <v>^FO20,135^A0N,30,30^CI13^FDCURT Nettex Brunswick (Continuous) Uncoated Talc^FS</v>
      </c>
      <c r="H14" t="str">
        <f>IF(A14&lt;&gt;"","^FO20,175^A0N,30,30^CI13^FD"&amp;Data!AY14&amp;"^FS","")</f>
        <v>^FO20,175^A0N,30,30^CI13^FDBed 2 ALTERATION^FS</v>
      </c>
      <c r="I14" t="str">
        <f>IF(A14&lt;&gt;"","^FO300,175^A0N,30,30^CI13^FD"&amp;"W:"&amp;Data!BA14&amp;" H:"&amp;Data!BB14,"")</f>
        <v>^FO300,175^A0N,30,30^CI13^FDW:3380 H:2655</v>
      </c>
      <c r="J14" t="str">
        <f>IF(A14&lt;&gt;"","^PQ"&amp;Data!$F$23&amp;",0,"&amp;Data!$F$23&amp;",Y","")</f>
        <v>^PQ0,0,0,Y</v>
      </c>
      <c r="K14" t="str">
        <f>IF(A14&lt;&gt;"","^XZ","")</f>
        <v>^XZ</v>
      </c>
    </row>
    <row r="15" spans="1:11" ht="13.95" customHeight="1">
      <c r="A15" t="str">
        <f>IF(OR(Data!$AV15="",Data!$AW15&gt;999),"","^XA^LH0,0^PRB,D^MD20^JMA^FS")</f>
        <v>^XA^LH0,0^PRB,D^MD20^JMA^FS</v>
      </c>
      <c r="B15" t="str">
        <f t="array" ref="B15">IF(A15&lt;&gt;"","^BY2,2.7,13^FO506,20^B2N,132,Y,N,N^SN"&amp;BarcodeValue(Data!BC$5,Data!BD$5,Data!AW15,0)&amp;",N,Y^FS","")</f>
        <v>^BY2,2.7,13^FO506,20^B2N,132,Y,N,N^SN0039776700320008,N,Y^FS</v>
      </c>
      <c r="C15" t="str">
        <f>IF(A15&lt;&gt;"","^FO20,20^A0N,28,37^CI13^FD"&amp;TEXT(Data!AY$5,"d/m/yyyy")&amp;"^FS","")</f>
        <v>^FO20,20^A0N,28,37^CI13^FD12/8/2026^FS</v>
      </c>
      <c r="D15" t="str">
        <f>IF(A15&lt;&gt;"","^FO220,20^A0N,41,48^CI13^FD"&amp;Data!$BC$5&amp;Data!$BD$5&amp;"/"&amp;RIGHT("000"&amp;Data!AW15,3)&amp;"^FS","")</f>
        <v>^FO220,20^A0N,41,48^CI13^FD39776F/032^FS</v>
      </c>
      <c r="E15" t="str">
        <f>IF(A15&lt;&gt;"","^FO20,55^A0N,30,30^CI13^FD"&amp;Data!$BF$5&amp;"^FS","")</f>
        <v>^FO20,55^A0N,30,30^CI13^FDHare, Kaitlin^FS</v>
      </c>
      <c r="F15" t="str">
        <f>IF(A15&lt;&gt;"","^FO20,95^A0N,30,30^CI13^FD"&amp;Data!AX$5&amp;"^FS","")</f>
        <v>^FO20,95^A0N,30,30^CI13^FDWhole House^FS</v>
      </c>
      <c r="G15" t="str">
        <f>IF(A15&lt;&gt;"","^FO20,135^A0N,30,30^CI13^FD"&amp;Data!BE15&amp;"^FS","")</f>
        <v>^FO20,135^A0N,30,30^CI13^FDCURT Nettex Brunswick (Continuous) Uncoated Talc^FS</v>
      </c>
      <c r="H15" t="str">
        <f>IF(A15&lt;&gt;"","^FO20,175^A0N,30,30^CI13^FD"&amp;Data!AY15&amp;"^FS","")</f>
        <v>^FO20,175^A0N,30,30^CI13^FDBed 3 ALTERATION^FS</v>
      </c>
      <c r="I15" t="str">
        <f>IF(A15&lt;&gt;"","^FO300,175^A0N,30,30^CI13^FD"&amp;"W:"&amp;Data!BA15&amp;" H:"&amp;Data!BB15,"")</f>
        <v>^FO300,175^A0N,30,30^CI13^FDW:3282 H:2660</v>
      </c>
      <c r="J15" t="str">
        <f>IF(A15&lt;&gt;"","^PQ"&amp;Data!$F$23&amp;",0,"&amp;Data!$F$23&amp;",Y","")</f>
        <v>^PQ0,0,0,Y</v>
      </c>
      <c r="K15" t="str">
        <f>IF(A15&lt;&gt;"","^XZ","")</f>
        <v>^XZ</v>
      </c>
    </row>
    <row r="16" spans="1:11" ht="13.95" customHeight="1">
      <c r="A16" t="str">
        <f>IF(OR(Data!$AV16="",Data!$AW16&gt;999),"","^XA^LH0,0^PRB,D^MD20^JMA^FS")</f>
        <v>^XA^LH0,0^PRB,D^MD20^JMA^FS</v>
      </c>
      <c r="B16" t="str">
        <f t="array" ref="B16">IF(A16&lt;&gt;"","^BY2,2.7,13^FO506,20^B2N,132,Y,N,N^SN"&amp;BarcodeValue(Data!BC$5,Data!BD$5,Data!AW16,0)&amp;",N,Y^FS","")</f>
        <v>^BY2,2.7,13^FO506,20^B2N,132,Y,N,N^SN0039776700330007,N,Y^FS</v>
      </c>
      <c r="C16" t="str">
        <f>IF(A16&lt;&gt;"","^FO20,20^A0N,28,37^CI13^FD"&amp;TEXT(Data!AY$5,"d/m/yyyy")&amp;"^FS","")</f>
        <v>^FO20,20^A0N,28,37^CI13^FD12/8/2026^FS</v>
      </c>
      <c r="D16" t="str">
        <f>IF(A16&lt;&gt;"","^FO220,20^A0N,41,48^CI13^FD"&amp;Data!$BC$5&amp;Data!$BD$5&amp;"/"&amp;RIGHT("000"&amp;Data!AW16,3)&amp;"^FS","")</f>
        <v>^FO220,20^A0N,41,48^CI13^FD39776F/033^FS</v>
      </c>
      <c r="E16" t="str">
        <f>IF(A16&lt;&gt;"","^FO20,55^A0N,30,30^CI13^FD"&amp;Data!$BF$5&amp;"^FS","")</f>
        <v>^FO20,55^A0N,30,30^CI13^FDHare, Kaitlin^FS</v>
      </c>
      <c r="F16" t="str">
        <f>IF(A16&lt;&gt;"","^FO20,95^A0N,30,30^CI13^FD"&amp;Data!AX$5&amp;"^FS","")</f>
        <v>^FO20,95^A0N,30,30^CI13^FDWhole House^FS</v>
      </c>
      <c r="G16" t="str">
        <f>IF(A16&lt;&gt;"","^FO20,135^A0N,30,30^CI13^FD"&amp;Data!BE16&amp;"^FS","")</f>
        <v>^FO20,135^A0N,30,30^CI13^FDCURT Nettex Brunswick (Continuous) Uncoated Talc^FS</v>
      </c>
      <c r="H16" t="str">
        <f>IF(A16&lt;&gt;"","^FO20,175^A0N,30,30^CI13^FD"&amp;Data!AY16&amp;"^FS","")</f>
        <v>^FO20,175^A0N,30,30^CI13^FDBack Hallway (IN) ALTERATION^FS</v>
      </c>
      <c r="I16" t="str">
        <f>IF(A16&lt;&gt;"","^FO300,175^A0N,30,30^CI13^FD"&amp;"W:"&amp;Data!BA16&amp;" H:"&amp;Data!BB16,"")</f>
        <v>^FO300,175^A0N,30,30^CI13^FDW:2670 H:2445</v>
      </c>
      <c r="J16" t="str">
        <f>IF(A16&lt;&gt;"","^PQ"&amp;Data!$F$23&amp;",0,"&amp;Data!$F$23&amp;",Y","")</f>
        <v>^PQ0,0,0,Y</v>
      </c>
      <c r="K16" t="str">
        <f>IF(A16&lt;&gt;"","^XZ","")</f>
        <v>^XZ</v>
      </c>
    </row>
    <row r="17" spans="1:11" ht="13.95" customHeight="1">
      <c r="A17" t="str">
        <f>IF(OR(Data!$AV17="",Data!$AW17&gt;999),"","^XA^LH0,0^PRB,D^MD20^JMA^FS")</f>
        <v>^XA^LH0,0^PRB,D^MD20^JMA^FS</v>
      </c>
      <c r="B17" t="str">
        <f t="array" ref="B17">IF(A17&lt;&gt;"","^BY2,2.7,13^FO506,20^B2N,132,Y,N,N^SN"&amp;BarcodeValue(Data!BC$5,Data!BD$5,Data!AW17,0)&amp;",N,Y^FS","")</f>
        <v>^BY2,2.7,13^FO506,20^B2N,132,Y,N,N^SN0039776700340006,N,Y^FS</v>
      </c>
      <c r="C17" t="str">
        <f>IF(A17&lt;&gt;"","^FO20,20^A0N,28,37^CI13^FD"&amp;TEXT(Data!AY$5,"d/m/yyyy")&amp;"^FS","")</f>
        <v>^FO20,20^A0N,28,37^CI13^FD12/8/2026^FS</v>
      </c>
      <c r="D17" t="str">
        <f>IF(A17&lt;&gt;"","^FO220,20^A0N,41,48^CI13^FD"&amp;Data!$BC$5&amp;Data!$BD$5&amp;"/"&amp;RIGHT("000"&amp;Data!AW17,3)&amp;"^FS","")</f>
        <v>^FO220,20^A0N,41,48^CI13^FD39776F/034^FS</v>
      </c>
      <c r="E17" t="str">
        <f>IF(A17&lt;&gt;"","^FO20,55^A0N,30,30^CI13^FD"&amp;Data!$BF$5&amp;"^FS","")</f>
        <v>^FO20,55^A0N,30,30^CI13^FDHare, Kaitlin^FS</v>
      </c>
      <c r="F17" t="str">
        <f>IF(A17&lt;&gt;"","^FO20,95^A0N,30,30^CI13^FD"&amp;Data!AX$5&amp;"^FS","")</f>
        <v>^FO20,95^A0N,30,30^CI13^FDWhole House^FS</v>
      </c>
      <c r="G17" t="str">
        <f>IF(A17&lt;&gt;"","^FO20,135^A0N,30,30^CI13^FD"&amp;Data!BE17&amp;"^FS","")</f>
        <v>^FO20,135^A0N,30,30^CI13^FDCURT Nettex Brunswick (Continuous) Uncoated Talc^FS</v>
      </c>
      <c r="H17" t="str">
        <f>IF(A17&lt;&gt;"","^FO20,175^A0N,30,30^CI13^FD"&amp;Data!AY17&amp;"^FS","")</f>
        <v>^FO20,175^A0N,30,30^CI13^FDBack Hallway (OUT) ALTERATION^FS</v>
      </c>
      <c r="I17" t="str">
        <f>IF(A17&lt;&gt;"","^FO300,175^A0N,30,30^CI13^FD"&amp;"W:"&amp;Data!BA17&amp;" H:"&amp;Data!BB17,"")</f>
        <v>^FO300,175^A0N,30,30^CI13^FDW:2090 H:2445</v>
      </c>
      <c r="J17" t="str">
        <f>IF(A17&lt;&gt;"","^PQ"&amp;Data!$F$23&amp;",0,"&amp;Data!$F$23&amp;",Y","")</f>
        <v>^PQ0,0,0,Y</v>
      </c>
      <c r="K17" t="str">
        <f>IF(A17&lt;&gt;"","^XZ","")</f>
        <v>^XZ</v>
      </c>
    </row>
    <row r="18" spans="1:11" ht="13.95" customHeight="1">
      <c r="A18" t="str">
        <f>IF(OR(Data!$AV18="",Data!$AW18&gt;999),"","^XA^LH0,0^PRB,D^MD20^JMA^FS")</f>
        <v>^XA^LH0,0^PRB,D^MD20^JMA^FS</v>
      </c>
      <c r="B18" t="str">
        <f t="array" ref="B18">IF(A18&lt;&gt;"","^BY2,2.7,13^FO506,20^B2N,132,Y,N,N^SN"&amp;BarcodeValue(Data!BC$5,Data!BD$5,Data!AW18,0)&amp;",N,Y^FS","")</f>
        <v>^BY2,2.7,13^FO506,20^B2N,132,Y,N,N^SN0039776700350005,N,Y^FS</v>
      </c>
      <c r="C18" t="str">
        <f>IF(A18&lt;&gt;"","^FO20,20^A0N,28,37^CI13^FD"&amp;TEXT(Data!AY$5,"d/m/yyyy")&amp;"^FS","")</f>
        <v>^FO20,20^A0N,28,37^CI13^FD12/8/2026^FS</v>
      </c>
      <c r="D18" t="str">
        <f>IF(A18&lt;&gt;"","^FO220,20^A0N,41,48^CI13^FD"&amp;Data!$BC$5&amp;Data!$BD$5&amp;"/"&amp;RIGHT("000"&amp;Data!AW18,3)&amp;"^FS","")</f>
        <v>^FO220,20^A0N,41,48^CI13^FD39776F/035^FS</v>
      </c>
      <c r="E18" t="str">
        <f>IF(A18&lt;&gt;"","^FO20,55^A0N,30,30^CI13^FD"&amp;Data!$BF$5&amp;"^FS","")</f>
        <v>^FO20,55^A0N,30,30^CI13^FDHare, Kaitlin^FS</v>
      </c>
      <c r="F18" t="str">
        <f>IF(A18&lt;&gt;"","^FO20,95^A0N,30,30^CI13^FD"&amp;Data!AX$5&amp;"^FS","")</f>
        <v>^FO20,95^A0N,30,30^CI13^FDWhole House^FS</v>
      </c>
      <c r="G18" t="str">
        <f>IF(A18&lt;&gt;"","^FO20,135^A0N,30,30^CI13^FD"&amp;Data!BE18&amp;"^FS","")</f>
        <v>^FO20,135^A0N,30,30^CI13^FDCURT Nettex Brunswick (Continuous) Uncoated Talc^FS</v>
      </c>
      <c r="H18" t="str">
        <f>IF(A18&lt;&gt;"","^FO20,175^A0N,30,30^CI13^FD"&amp;Data!AY18&amp;"^FS","")</f>
        <v>^FO20,175^A0N,30,30^CI13^FDKitchen Door (IN) REMAKE^FS</v>
      </c>
      <c r="I18" t="str">
        <f>IF(A18&lt;&gt;"","^FO300,175^A0N,30,30^CI13^FD"&amp;"W:"&amp;Data!BA18&amp;" H:"&amp;Data!BB18,"")</f>
        <v>^FO300,175^A0N,30,30^CI13^FDW:4580 H:2405</v>
      </c>
      <c r="J18" t="str">
        <f>IF(A18&lt;&gt;"","^PQ"&amp;Data!$F$23&amp;",0,"&amp;Data!$F$23&amp;",Y","")</f>
        <v>^PQ0,0,0,Y</v>
      </c>
      <c r="K18" t="str">
        <f>IF(A18&lt;&gt;"","^XZ","")</f>
        <v>^XZ</v>
      </c>
    </row>
    <row r="19" spans="1:11" ht="13.95" customHeight="1">
      <c r="A19" t="str">
        <f>IF(OR(Data!$AV19="",Data!$AW19&gt;999),"","^XA^LH0,0^PRB,D^MD20^JMA^FS")</f>
        <v>^XA^LH0,0^PRB,D^MD20^JMA^FS</v>
      </c>
      <c r="B19" t="str">
        <f t="array" ref="B19">IF(A19&lt;&gt;"","^BY2,2.7,13^FO506,20^B2N,132,Y,N,N^SN"&amp;BarcodeValue(Data!BC$5,Data!BD$5,Data!AW19,0)&amp;",N,Y^FS","")</f>
        <v>^BY2,2.7,13^FO506,20^B2N,132,Y,N,N^SN0039776700360004,N,Y^FS</v>
      </c>
      <c r="C19" t="str">
        <f>IF(A19&lt;&gt;"","^FO20,20^A0N,28,37^CI13^FD"&amp;TEXT(Data!AY$5,"d/m/yyyy")&amp;"^FS","")</f>
        <v>^FO20,20^A0N,28,37^CI13^FD12/8/2026^FS</v>
      </c>
      <c r="D19" t="str">
        <f>IF(A19&lt;&gt;"","^FO220,20^A0N,41,48^CI13^FD"&amp;Data!$BC$5&amp;Data!$BD$5&amp;"/"&amp;RIGHT("000"&amp;Data!AW19,3)&amp;"^FS","")</f>
        <v>^FO220,20^A0N,41,48^CI13^FD39776F/036^FS</v>
      </c>
      <c r="E19" t="str">
        <f>IF(A19&lt;&gt;"","^FO20,55^A0N,30,30^CI13^FD"&amp;Data!$BF$5&amp;"^FS","")</f>
        <v>^FO20,55^A0N,30,30^CI13^FDHare, Kaitlin^FS</v>
      </c>
      <c r="F19" t="str">
        <f>IF(A19&lt;&gt;"","^FO20,95^A0N,30,30^CI13^FD"&amp;Data!AX$5&amp;"^FS","")</f>
        <v>^FO20,95^A0N,30,30^CI13^FDWhole House^FS</v>
      </c>
      <c r="G19" t="str">
        <f>IF(A19&lt;&gt;"","^FO20,135^A0N,30,30^CI13^FD"&amp;Data!BE19&amp;"^FS","")</f>
        <v>^FO20,135^A0N,30,30^CI13^FDCURT Nettex Brunswick (Continuous) Uncoated Talc^FS</v>
      </c>
      <c r="H19" t="str">
        <f>IF(A19&lt;&gt;"","^FO20,175^A0N,30,30^CI13^FD"&amp;Data!AY19&amp;"^FS","")</f>
        <v>^FO20,175^A0N,30,30^CI13^FDSecond Lounge ALTERATION^FS</v>
      </c>
      <c r="I19" t="str">
        <f>IF(A19&lt;&gt;"","^FO300,175^A0N,30,30^CI13^FD"&amp;"W:"&amp;Data!BA19&amp;" H:"&amp;Data!BB19,"")</f>
        <v>^FO300,175^A0N,30,30^CI13^FDW:3980 H:2210</v>
      </c>
      <c r="J19" t="str">
        <f>IF(A19&lt;&gt;"","^PQ"&amp;Data!$F$23&amp;",0,"&amp;Data!$F$23&amp;",Y","")</f>
        <v>^PQ0,0,0,Y</v>
      </c>
      <c r="K19" t="str">
        <f>IF(A19&lt;&gt;"","^XZ","")</f>
        <v>^XZ</v>
      </c>
    </row>
    <row r="20" spans="1:11" ht="13.95" customHeight="1">
      <c r="A20" t="str">
        <f>IF(OR(Data!$AV20="",Data!$AW20&gt;999),"","^XA^LH0,0^PRB,D^MD20^JMA^FS")</f>
        <v>^XA^LH0,0^PRB,D^MD20^JMA^FS</v>
      </c>
      <c r="B20" t="str">
        <f t="array" ref="B20">IF(A20&lt;&gt;"","^BY2,2.7,13^FO506,20^B2N,132,Y,N,N^SN"&amp;BarcodeValue(Data!BC$5,Data!BD$5,Data!AW20,0)&amp;",N,Y^FS","")</f>
        <v>^BY2,2.7,13^FO506,20^B2N,132,Y,N,N^SN0039776700370003,N,Y^FS</v>
      </c>
      <c r="C20" t="str">
        <f>IF(A20&lt;&gt;"","^FO20,20^A0N,28,37^CI13^FD"&amp;TEXT(Data!AY$5,"d/m/yyyy")&amp;"^FS","")</f>
        <v>^FO20,20^A0N,28,37^CI13^FD12/8/2026^FS</v>
      </c>
      <c r="D20" t="str">
        <f>IF(A20&lt;&gt;"","^FO220,20^A0N,41,48^CI13^FD"&amp;Data!$BC$5&amp;Data!$BD$5&amp;"/"&amp;RIGHT("000"&amp;Data!AW20,3)&amp;"^FS","")</f>
        <v>^FO220,20^A0N,41,48^CI13^FD39776F/037^FS</v>
      </c>
      <c r="E20" t="str">
        <f>IF(A20&lt;&gt;"","^FO20,55^A0N,30,30^CI13^FD"&amp;Data!$BF$5&amp;"^FS","")</f>
        <v>^FO20,55^A0N,30,30^CI13^FDHare, Kaitlin^FS</v>
      </c>
      <c r="F20" t="str">
        <f>IF(A20&lt;&gt;"","^FO20,95^A0N,30,30^CI13^FD"&amp;Data!AX$5&amp;"^FS","")</f>
        <v>^FO20,95^A0N,30,30^CI13^FDWhole House^FS</v>
      </c>
      <c r="G20" t="str">
        <f>IF(A20&lt;&gt;"","^FO20,135^A0N,30,30^CI13^FD"&amp;Data!BE20&amp;"^FS","")</f>
        <v>^FO20,135^A0N,30,30^CI13^FDCURT Nettex Brunswick (Continuous) Uncoated Talc^FS</v>
      </c>
      <c r="H20" t="str">
        <f>IF(A20&lt;&gt;"","^FO20,175^A0N,30,30^CI13^FD"&amp;Data!AY20&amp;"^FS","")</f>
        <v>^FO20,175^A0N,30,30^CI13^FDFront Lounge 1 ALTERATION^FS</v>
      </c>
      <c r="I20" t="str">
        <f>IF(A20&lt;&gt;"","^FO300,175^A0N,30,30^CI13^FD"&amp;"W:"&amp;Data!BA20&amp;" H:"&amp;Data!BB20,"")</f>
        <v>^FO300,175^A0N,30,30^CI13^FDW:5000 H:2245</v>
      </c>
      <c r="J20" t="str">
        <f>IF(A20&lt;&gt;"","^PQ"&amp;Data!$F$23&amp;",0,"&amp;Data!$F$23&amp;",Y","")</f>
        <v>^PQ0,0,0,Y</v>
      </c>
      <c r="K20" t="str">
        <f>IF(A20&lt;&gt;"","^XZ","")</f>
        <v>^XZ</v>
      </c>
    </row>
    <row r="21" spans="1:11" ht="13.95" customHeight="1">
      <c r="A21" t="str">
        <f>IF(OR(Data!$AV21="",Data!$AW21&gt;999),"","^XA^LH0,0^PRB,D^MD20^JMA^FS")</f>
        <v>^XA^LH0,0^PRB,D^MD20^JMA^FS</v>
      </c>
      <c r="B21" t="str">
        <f t="array" ref="B21">IF(A21&lt;&gt;"","^BY2,2.7,13^FO506,20^B2N,132,Y,N,N^SN"&amp;BarcodeValue(Data!BC$5,Data!BD$5,Data!AW21,0)&amp;",N,Y^FS","")</f>
        <v>^BY2,2.7,13^FO506,20^B2N,132,Y,N,N^SN0039776700380002,N,Y^FS</v>
      </c>
      <c r="C21" t="str">
        <f>IF(A21&lt;&gt;"","^FO20,20^A0N,28,37^CI13^FD"&amp;TEXT(Data!AY$5,"d/m/yyyy")&amp;"^FS","")</f>
        <v>^FO20,20^A0N,28,37^CI13^FD12/8/2026^FS</v>
      </c>
      <c r="D21" t="str">
        <f>IF(A21&lt;&gt;"","^FO220,20^A0N,41,48^CI13^FD"&amp;Data!$BC$5&amp;Data!$BD$5&amp;"/"&amp;RIGHT("000"&amp;Data!AW21,3)&amp;"^FS","")</f>
        <v>^FO220,20^A0N,41,48^CI13^FD39776F/038^FS</v>
      </c>
      <c r="E21" t="str">
        <f>IF(A21&lt;&gt;"","^FO20,55^A0N,30,30^CI13^FD"&amp;Data!$BF$5&amp;"^FS","")</f>
        <v>^FO20,55^A0N,30,30^CI13^FDHare, Kaitlin^FS</v>
      </c>
      <c r="F21" t="str">
        <f>IF(A21&lt;&gt;"","^FO20,95^A0N,30,30^CI13^FD"&amp;Data!AX$5&amp;"^FS","")</f>
        <v>^FO20,95^A0N,30,30^CI13^FDWhole House^FS</v>
      </c>
      <c r="G21" t="str">
        <f>IF(A21&lt;&gt;"","^FO20,135^A0N,30,30^CI13^FD"&amp;Data!BE21&amp;"^FS","")</f>
        <v>^FO20,135^A0N,30,30^CI13^FDCURT Nettex Brunswick (Continuous) Uncoated Talc^FS</v>
      </c>
      <c r="H21" t="str">
        <f>IF(A21&lt;&gt;"","^FO20,175^A0N,30,30^CI13^FD"&amp;Data!AY21&amp;"^FS","")</f>
        <v>^FO20,175^A0N,30,30^CI13^FDFront Lounge 2 ALTERATION^FS</v>
      </c>
      <c r="I21" t="str">
        <f>IF(A21&lt;&gt;"","^FO300,175^A0N,30,30^CI13^FD"&amp;"W:"&amp;Data!BA21&amp;" H:"&amp;Data!BB21,"")</f>
        <v>^FO300,175^A0N,30,30^CI13^FDW:3050 H:2245</v>
      </c>
      <c r="J21" t="str">
        <f>IF(A21&lt;&gt;"","^PQ"&amp;Data!$F$23&amp;",0,"&amp;Data!$F$23&amp;",Y","")</f>
        <v>^PQ0,0,0,Y</v>
      </c>
      <c r="K21" t="str">
        <f>IF(A21&lt;&gt;"","^XZ","")</f>
        <v>^XZ</v>
      </c>
    </row>
    <row r="22" spans="1:11" ht="13.95" customHeight="1">
      <c r="A22" t="str">
        <f>IF(OR(Data!$AV22="",Data!$AW22&gt;999),"","^XA^LH0,0^PRB,D^MD20^JMA^FS")</f>
        <v>^XA^LH0,0^PRB,D^MD20^JMA^FS</v>
      </c>
      <c r="B22" t="str">
        <f t="array" ref="B22">IF(A22&lt;&gt;"","^BY2,2.7,13^FO506,20^B2N,132,Y,N,N^SN"&amp;BarcodeValue(Data!BC$5,Data!BD$5,Data!AW22,0)&amp;",N,Y^FS","")</f>
        <v>^BY2,2.7,13^FO506,20^B2N,132,Y,N,N^SN0039776700390001,N,Y^FS</v>
      </c>
      <c r="C22" t="str">
        <f>IF(A22&lt;&gt;"","^FO20,20^A0N,28,37^CI13^FD"&amp;TEXT(Data!AY$5,"d/m/yyyy")&amp;"^FS","")</f>
        <v>^FO20,20^A0N,28,37^CI13^FD12/8/2026^FS</v>
      </c>
      <c r="D22" t="str">
        <f>IF(A22&lt;&gt;"","^FO220,20^A0N,41,48^CI13^FD"&amp;Data!$BC$5&amp;Data!$BD$5&amp;"/"&amp;RIGHT("000"&amp;Data!AW22,3)&amp;"^FS","")</f>
        <v>^FO220,20^A0N,41,48^CI13^FD39776F/039^FS</v>
      </c>
      <c r="E22" t="str">
        <f>IF(A22&lt;&gt;"","^FO20,55^A0N,30,30^CI13^FD"&amp;Data!$BF$5&amp;"^FS","")</f>
        <v>^FO20,55^A0N,30,30^CI13^FDHare, Kaitlin^FS</v>
      </c>
      <c r="F22" t="str">
        <f>IF(A22&lt;&gt;"","^FO20,95^A0N,30,30^CI13^FD"&amp;Data!AX$5&amp;"^FS","")</f>
        <v>^FO20,95^A0N,30,30^CI13^FDWhole House^FS</v>
      </c>
      <c r="G22" t="str">
        <f>IF(A22&lt;&gt;"","^FO20,135^A0N,30,30^CI13^FD"&amp;Data!BE22&amp;"^FS","")</f>
        <v>^FO20,135^A0N,30,30^CI13^FDCURT Filigree Simplicity 300cm (Continuous) Lining Off White^FS</v>
      </c>
      <c r="H22" t="str">
        <f>IF(A22&lt;&gt;"","^FO20,175^A0N,30,30^CI13^FD"&amp;Data!AY22&amp;"^FS","")</f>
        <v>^FO20,175^A0N,30,30^CI13^FDMaster Door ALTERATION^FS</v>
      </c>
      <c r="I22" t="str">
        <f>IF(A22&lt;&gt;"","^FO300,175^A0N,30,30^CI13^FD"&amp;"W:"&amp;Data!BA22&amp;" H:"&amp;Data!BB22,"")</f>
        <v>^FO300,175^A0N,30,30^CI13^FDW:3502 H:2660</v>
      </c>
      <c r="J22" t="str">
        <f>IF(A22&lt;&gt;"","^PQ"&amp;Data!$F$23&amp;",0,"&amp;Data!$F$23&amp;",Y","")</f>
        <v>^PQ0,0,0,Y</v>
      </c>
      <c r="K22" t="str">
        <f>IF(A22&lt;&gt;"","^XZ","")</f>
        <v>^XZ</v>
      </c>
    </row>
    <row r="23" spans="1:11" ht="13.95" customHeight="1">
      <c r="A23" t="str">
        <f>IF(OR(Data!$AV21="",Data!$AW21&gt;999),"","^XA^LH0,0^PRB,D^MD20^JMA^FS")</f>
        <v>^XA^LH0,0^PRB,D^MD20^JMA^FS</v>
      </c>
      <c r="B23" t="str">
        <f t="array" ref="B23">IF(A23&lt;&gt;"","^BY2,2.7,13^FO506,20^B2N,132,Y,N,N^SN"&amp;BarcodeValue(Data!BC$5,Data!BD$5,Data!AW21,0)&amp;",N,Y^FS","")</f>
        <v>^BY2,2.7,13^FO506,20^B2N,132,Y,N,N^SN0039776700380002,N,Y^FS</v>
      </c>
      <c r="C23" t="str">
        <f>IF(A23&lt;&gt;"","^FO20,20^A0N,28,37^CI13^FD"&amp;TEXT(Data!AY$5,"d/m/yyyy")&amp;"^FS","")</f>
        <v>^FO20,20^A0N,28,37^CI13^FD12/8/2026^FS</v>
      </c>
      <c r="D23" t="str">
        <f>IF(A23&lt;&gt;"","^FO220,20^A0N,41,48^CI13^FD"&amp;Data!$BC$5&amp;Data!$BD$5&amp;"/"&amp;RIGHT("000"&amp;Data!AW21,3)&amp;"^FS","")</f>
        <v>^FO220,20^A0N,41,48^CI13^FD39776F/038^FS</v>
      </c>
      <c r="E23" t="str">
        <f>IF(A23&lt;&gt;"","^FO20,55^A0N,30,30^CI13^FD"&amp;Data!$BF$5&amp;"^FS","")</f>
        <v>^FO20,55^A0N,30,30^CI13^FDHare, Kaitlin^FS</v>
      </c>
      <c r="F23" t="str">
        <f>IF(A23&lt;&gt;"","^FO20,95^A0N,30,30^CI13^FD"&amp;Data!AX$5&amp;"^FS","")</f>
        <v>^FO20,95^A0N,30,30^CI13^FDWhole House^FS</v>
      </c>
      <c r="G23" t="str">
        <f>IF(A23&lt;&gt;"","^FO20,135^A0N,30,30^CI13^FD"&amp;Data!BE21&amp;"^FS","")</f>
        <v>^FO20,135^A0N,30,30^CI13^FDCURT Nettex Brunswick (Continuous) Uncoated Talc^FS</v>
      </c>
      <c r="H23" t="str">
        <f>IF(A23&lt;&gt;"","^FO20,175^A0N,30,30^CI13^FD"&amp;Data!AY21&amp;"^FS","")</f>
        <v>^FO20,175^A0N,30,30^CI13^FDFront Lounge 2 ALTERATION^FS</v>
      </c>
      <c r="I23" t="str">
        <f>IF(A23&lt;&gt;"","^FO300,175^A0N,30,30^CI13^FD"&amp;"W:"&amp;Data!BA21&amp;" H:"&amp;Data!BB21,"")</f>
        <v>^FO300,175^A0N,30,30^CI13^FDW:3050 H:2245</v>
      </c>
      <c r="J23" t="str">
        <f>IF(A23&lt;&gt;"","^PQ"&amp;Data!$F$23&amp;",0,"&amp;Data!$F$23&amp;",Y","")</f>
        <v>^PQ0,0,0,Y</v>
      </c>
      <c r="K23" t="str">
        <f>IF(A23&lt;&gt;"","^XZ","")</f>
        <v>^XZ</v>
      </c>
    </row>
    <row r="24" spans="1:11" ht="13.95" customHeight="1">
      <c r="A24" t="str">
        <f>IF(OR(Data!$AV21="",Data!$AW21&gt;999),"","^XA^LH0,0^PRB,D^MD20^JMA^FS")</f>
        <v>^XA^LH0,0^PRB,D^MD20^JMA^FS</v>
      </c>
      <c r="B24" t="str">
        <f t="array" ref="B24">IF(A24&lt;&gt;"","^BY2,2.7,13^FO506,20^B2N,132,Y,N,N^SN"&amp;BarcodeValue(Data!BC$5,Data!BD$5,Data!AW21,0)&amp;",N,Y^FS","")</f>
        <v>^BY2,2.7,13^FO506,20^B2N,132,Y,N,N^SN0039776700380002,N,Y^FS</v>
      </c>
      <c r="C24" t="str">
        <f>IF(A24&lt;&gt;"","^FO20,20^A0N,28,37^CI13^FD"&amp;TEXT(Data!AY$5,"d/m/yyyy")&amp;"^FS","")</f>
        <v>^FO20,20^A0N,28,37^CI13^FD12/8/2026^FS</v>
      </c>
      <c r="D24" t="str">
        <f>IF(A24&lt;&gt;"","^FO220,20^A0N,41,48^CI13^FD"&amp;Data!$BC$5&amp;Data!$BD$5&amp;"/"&amp;RIGHT("000"&amp;Data!AW21,3)&amp;"^FS","")</f>
        <v>^FO220,20^A0N,41,48^CI13^FD39776F/038^FS</v>
      </c>
      <c r="E24" t="str">
        <f>IF(A24&lt;&gt;"","^FO20,55^A0N,30,30^CI13^FD"&amp;Data!$BF$5&amp;"^FS","")</f>
        <v>^FO20,55^A0N,30,30^CI13^FDHare, Kaitlin^FS</v>
      </c>
      <c r="F24" t="str">
        <f>IF(A24&lt;&gt;"","^FO20,95^A0N,30,30^CI13^FD"&amp;Data!AX$5&amp;"^FS","")</f>
        <v>^FO20,95^A0N,30,30^CI13^FDWhole House^FS</v>
      </c>
      <c r="G24" t="str">
        <f>IF(A24&lt;&gt;"","^FO20,135^A0N,30,30^CI13^FD"&amp;Data!BE21&amp;"^FS","")</f>
        <v>^FO20,135^A0N,30,30^CI13^FDCURT Nettex Brunswick (Continuous) Uncoated Talc^FS</v>
      </c>
      <c r="H24" t="str">
        <f>IF(A24&lt;&gt;"","^FO20,175^A0N,30,30^CI13^FD"&amp;Data!AY21&amp;"^FS","")</f>
        <v>^FO20,175^A0N,30,30^CI13^FDFront Lounge 2 ALTERATION^FS</v>
      </c>
      <c r="I24" t="str">
        <f>IF(A24&lt;&gt;"","^FO300,175^A0N,30,30^CI13^FD"&amp;"W:"&amp;Data!BA21&amp;" H:"&amp;Data!BB21,"")</f>
        <v>^FO300,175^A0N,30,30^CI13^FDW:3050 H:2245</v>
      </c>
      <c r="J24" t="str">
        <f>IF(A24&lt;&gt;"","^PQ"&amp;Data!$F$23&amp;",0,"&amp;Data!$F$23&amp;",Y","")</f>
        <v>^PQ0,0,0,Y</v>
      </c>
      <c r="K24" t="str">
        <f>IF(A24&lt;&gt;"","^XZ","")</f>
        <v>^XZ</v>
      </c>
    </row>
    <row r="25" spans="1:11" ht="13.95" customHeight="1">
      <c r="A25" t="str">
        <f>IF(OR(Data!$AV21="",Data!$AW21&gt;999),"","^XA^LH0,0^PRB,D^MD20^JMA^FS")</f>
        <v>^XA^LH0,0^PRB,D^MD20^JMA^FS</v>
      </c>
      <c r="B25" t="str">
        <f t="array" ref="B25">IF(A25&lt;&gt;"","^BY2,2.7,13^FO506,20^B2N,132,Y,N,N^SN"&amp;BarcodeValue(Data!BC$5,Data!BD$5,Data!AW21,0)&amp;",N,Y^FS","")</f>
        <v>^BY2,2.7,13^FO506,20^B2N,132,Y,N,N^SN0039776700380002,N,Y^FS</v>
      </c>
      <c r="C25" t="str">
        <f>IF(A25&lt;&gt;"","^FO20,20^A0N,28,37^CI13^FD"&amp;TEXT(Data!AY$5,"d/m/yyyy")&amp;"^FS","")</f>
        <v>^FO20,20^A0N,28,37^CI13^FD12/8/2026^FS</v>
      </c>
      <c r="D25" t="str">
        <f>IF(A25&lt;&gt;"","^FO220,20^A0N,41,48^CI13^FD"&amp;Data!$BC$5&amp;Data!$BD$5&amp;"/"&amp;RIGHT("000"&amp;Data!AW21,3)&amp;"^FS","")</f>
        <v>^FO220,20^A0N,41,48^CI13^FD39776F/038^FS</v>
      </c>
      <c r="E25" t="str">
        <f>IF(A25&lt;&gt;"","^FO20,55^A0N,30,30^CI13^FD"&amp;Data!$BF$5&amp;"^FS","")</f>
        <v>^FO20,55^A0N,30,30^CI13^FDHare, Kaitlin^FS</v>
      </c>
      <c r="F25" t="str">
        <f>IF(A25&lt;&gt;"","^FO20,95^A0N,30,30^CI13^FD"&amp;Data!AX$5&amp;"^FS","")</f>
        <v>^FO20,95^A0N,30,30^CI13^FDWhole House^FS</v>
      </c>
      <c r="G25" t="str">
        <f>IF(A25&lt;&gt;"","^FO20,135^A0N,30,30^CI13^FD"&amp;Data!BE21&amp;"^FS","")</f>
        <v>^FO20,135^A0N,30,30^CI13^FDCURT Nettex Brunswick (Continuous) Uncoated Talc^FS</v>
      </c>
      <c r="H25" t="str">
        <f>IF(A25&lt;&gt;"","^FO20,175^A0N,30,30^CI13^FD"&amp;Data!AY21&amp;"^FS","")</f>
        <v>^FO20,175^A0N,30,30^CI13^FDFront Lounge 2 ALTERATION^FS</v>
      </c>
      <c r="I25" t="str">
        <f>IF(A25&lt;&gt;"","^FO300,175^A0N,30,30^CI13^FD"&amp;"W:"&amp;Data!BA21&amp;" H:"&amp;Data!BB21,"")</f>
        <v>^FO300,175^A0N,30,30^CI13^FDW:3050 H:2245</v>
      </c>
      <c r="J25" t="str">
        <f>IF(A25&lt;&gt;"","^PQ"&amp;Data!$F$23&amp;",0,"&amp;Data!$F$23&amp;",Y","")</f>
        <v>^PQ0,0,0,Y</v>
      </c>
      <c r="K25" t="str">
        <f>IF(A25&lt;&gt;"","^XZ","")</f>
        <v>^XZ</v>
      </c>
    </row>
    <row r="26" spans="1:11" ht="13.95" customHeight="1">
      <c r="A26" t="str">
        <f>IF(OR(Data!$AV22="",Data!$AW22&gt;999),"","^XA^LH0,0^PRB,D^MD20^JMA^FS")</f>
        <v>^XA^LH0,0^PRB,D^MD20^JMA^FS</v>
      </c>
      <c r="B26" t="str">
        <f t="array" ref="B26">IF(A26&lt;&gt;"","^BY2,2.7,13^FO506,20^B2N,132,Y,N,N^SN"&amp;BarcodeValue(Data!BC$5,Data!BD$5,Data!AW22,0)&amp;",N,Y^FS","")</f>
        <v>^BY2,2.7,13^FO506,20^B2N,132,Y,N,N^SN0039776700390001,N,Y^FS</v>
      </c>
      <c r="C26" t="str">
        <f>IF(A26&lt;&gt;"","^FO20,20^A0N,28,37^CI13^FD"&amp;TEXT(Data!AY$5,"d/m/yyyy")&amp;"^FS","")</f>
        <v>^FO20,20^A0N,28,37^CI13^FD12/8/2026^FS</v>
      </c>
      <c r="D26" t="str">
        <f>IF(A26&lt;&gt;"","^FO220,20^A0N,41,48^CI13^FD"&amp;Data!$BC$5&amp;Data!$BD$5&amp;"/"&amp;RIGHT("000"&amp;Data!AW22,3)&amp;"^FS","")</f>
        <v>^FO220,20^A0N,41,48^CI13^FD39776F/039^FS</v>
      </c>
      <c r="E26" t="str">
        <f>IF(A26&lt;&gt;"","^FO20,55^A0N,30,30^CI13^FD"&amp;Data!$BF$5&amp;"^FS","")</f>
        <v>^FO20,55^A0N,30,30^CI13^FDHare, Kaitlin^FS</v>
      </c>
      <c r="F26" t="str">
        <f>IF(A26&lt;&gt;"","^FO20,95^A0N,30,30^CI13^FD"&amp;Data!AX$5&amp;"^FS","")</f>
        <v>^FO20,95^A0N,30,30^CI13^FDWhole House^FS</v>
      </c>
      <c r="G26" t="str">
        <f>IF(A26&lt;&gt;"","^FO20,135^A0N,30,30^CI13^FD"&amp;Data!BE22&amp;"^FS","")</f>
        <v>^FO20,135^A0N,30,30^CI13^FDCURT Filigree Simplicity 300cm (Continuous) Lining Off White^FS</v>
      </c>
      <c r="H26" t="str">
        <f>IF(A26&lt;&gt;"","^FO20,175^A0N,30,30^CI13^FD"&amp;Data!AY22&amp;"^FS","")</f>
        <v>^FO20,175^A0N,30,30^CI13^FDMaster Door ALTERATION^FS</v>
      </c>
      <c r="I26" t="str">
        <f>IF(A26&lt;&gt;"","^FO300,175^A0N,30,30^CI13^FD"&amp;"W:"&amp;Data!BA22&amp;" H:"&amp;Data!BB22,"")</f>
        <v>^FO300,175^A0N,30,30^CI13^FDW:3502 H:2660</v>
      </c>
      <c r="J26" t="str">
        <f>IF(A26&lt;&gt;"","^PQ"&amp;Data!$F$23&amp;",0,"&amp;Data!$F$23&amp;",Y","")</f>
        <v>^PQ0,0,0,Y</v>
      </c>
      <c r="K26" t="str">
        <f>IF(A26&lt;&gt;"","^XZ","")</f>
        <v>^XZ</v>
      </c>
    </row>
    <row r="27" spans="1:11" ht="13.95" customHeight="1">
      <c r="A27" t="str">
        <f>IF(OR(Data!$AV23="",Data!$AW23&gt;999),"","^XA^LH0,0^PRB,D^MD20^JMA^FS")</f>
        <v/>
      </c>
      <c r="B27" t="str">
        <f t="array" ref="B27">IF(A27&lt;&gt;"","^BY2,2.7,13^FO506,20^B2N,132,Y,N,N^SN"&amp;BarcodeValue(Data!BC$5,Data!BD$5,Data!AW23,0)&amp;",N,Y^FS","")</f>
        <v/>
      </c>
      <c r="C27" t="str">
        <f>IF(A27&lt;&gt;"","^FO20,20^A0N,28,37^CI13^FD"&amp;TEXT(Data!AY$5,"d/m/yyyy")&amp;"^FS","")</f>
        <v/>
      </c>
      <c r="D27" t="str">
        <f>IF(A27&lt;&gt;"","^FO220,20^A0N,41,48^CI13^FD"&amp;Data!$BC$5&amp;Data!$BD$5&amp;"/"&amp;RIGHT("000"&amp;Data!AW23,3)&amp;"^FS","")</f>
        <v/>
      </c>
      <c r="E27" t="str">
        <f>IF(A27&lt;&gt;"","^FO20,55^A0N,30,30^CI13^FD"&amp;Data!$BF$5&amp;"^FS","")</f>
        <v/>
      </c>
      <c r="F27" t="str">
        <f>IF(A27&lt;&gt;"","^FO20,95^A0N,30,30^CI13^FD"&amp;Data!AX$5&amp;"^FS","")</f>
        <v/>
      </c>
      <c r="G27" t="str">
        <f>IF(A27&lt;&gt;"","^FO20,135^A0N,30,30^CI13^FD"&amp;Data!BE23&amp;"^FS","")</f>
        <v/>
      </c>
      <c r="H27" t="str">
        <f>IF(A27&lt;&gt;"","^FO20,175^A0N,30,30^CI13^FD"&amp;Data!AY23&amp;"^FS","")</f>
        <v/>
      </c>
      <c r="I27" t="str">
        <f>IF(A27&lt;&gt;"","^FO300,175^A0N,30,30^CI13^FD"&amp;"W:"&amp;Data!BA23&amp;" H:"&amp;Data!BB23,"")</f>
        <v/>
      </c>
      <c r="J27" t="str">
        <f>IF(A27&lt;&gt;"","^PQ"&amp;Data!$F$23&amp;",0,"&amp;Data!$F$23&amp;",Y","")</f>
        <v/>
      </c>
      <c r="K27" t="str">
        <f>IF(A27&lt;&gt;"","^XZ","")</f>
        <v/>
      </c>
    </row>
    <row r="28" spans="1:11" ht="13.95" customHeight="1">
      <c r="A28" t="str">
        <f>IF(OR(Data!$AV24="",Data!$AW24&gt;999),"","^XA^LH0,0^PRB,D^MD20^JMA^FS")</f>
        <v/>
      </c>
      <c r="B28" t="str">
        <f t="array" ref="B28">IF(A28&lt;&gt;"","^BY2,2.7,13^FO506,20^B2N,132,Y,N,N^SN"&amp;BarcodeValue(Data!BC$5,Data!BD$5,Data!AW24,0)&amp;",N,Y^FS","")</f>
        <v/>
      </c>
      <c r="C28" t="str">
        <f>IF(A28&lt;&gt;"","^FO20,20^A0N,28,37^CI13^FD"&amp;TEXT(Data!AY$5,"d/m/yyyy")&amp;"^FS","")</f>
        <v/>
      </c>
      <c r="D28" t="str">
        <f>IF(A28&lt;&gt;"","^FO220,20^A0N,41,48^CI13^FD"&amp;Data!$BC$5&amp;Data!$BD$5&amp;"/"&amp;RIGHT("000"&amp;Data!AW24,3)&amp;"^FS","")</f>
        <v/>
      </c>
      <c r="E28" t="str">
        <f>IF(A28&lt;&gt;"","^FO20,55^A0N,30,30^CI13^FD"&amp;Data!$BF$5&amp;"^FS","")</f>
        <v/>
      </c>
      <c r="F28" t="str">
        <f>IF(A28&lt;&gt;"","^FO20,95^A0N,30,30^CI13^FD"&amp;Data!AX$5&amp;"^FS","")</f>
        <v/>
      </c>
      <c r="G28" t="str">
        <f>IF(A28&lt;&gt;"","^FO20,135^A0N,30,30^CI13^FD"&amp;Data!BE24&amp;"^FS","")</f>
        <v/>
      </c>
      <c r="H28" t="str">
        <f>IF(A28&lt;&gt;"","^FO20,175^A0N,30,30^CI13^FD"&amp;Data!AY24&amp;"^FS","")</f>
        <v/>
      </c>
      <c r="I28" t="str">
        <f>IF(A28&lt;&gt;"","^FO300,175^A0N,30,30^CI13^FD"&amp;"W:"&amp;Data!BA24&amp;" H:"&amp;Data!BB24,"")</f>
        <v/>
      </c>
      <c r="J28" t="str">
        <f>IF(A28&lt;&gt;"","^PQ"&amp;Data!$F$23&amp;",0,"&amp;Data!$F$23&amp;",Y","")</f>
        <v/>
      </c>
      <c r="K28" t="str">
        <f>IF(A28&lt;&gt;"","^XZ","")</f>
        <v/>
      </c>
    </row>
    <row r="29" spans="1:11" ht="13.95" customHeight="1">
      <c r="A29" t="str">
        <f>IF(OR(Data!$AV25="",Data!$AW25&gt;999),"","^XA^LH0,0^PRB,D^MD20^JMA^FS")</f>
        <v/>
      </c>
      <c r="B29" t="str">
        <f t="array" ref="B29">IF(A29&lt;&gt;"","^BY2,2.7,13^FO506,20^B2N,132,Y,N,N^SN"&amp;BarcodeValue(Data!BC$5,Data!BD$5,Data!AW25,0)&amp;",N,Y^FS","")</f>
        <v/>
      </c>
      <c r="C29" t="str">
        <f>IF(A29&lt;&gt;"","^FO20,20^A0N,28,37^CI13^FD"&amp;TEXT(Data!AY$5,"d/m/yyyy")&amp;"^FS","")</f>
        <v/>
      </c>
      <c r="D29" t="str">
        <f>IF(A29&lt;&gt;"","^FO220,20^A0N,41,48^CI13^FD"&amp;Data!$BC$5&amp;Data!$BD$5&amp;"/"&amp;RIGHT("000"&amp;Data!AW25,3)&amp;"^FS","")</f>
        <v/>
      </c>
      <c r="E29" t="str">
        <f>IF(A29&lt;&gt;"","^FO20,55^A0N,30,30^CI13^FD"&amp;Data!$BF$5&amp;"^FS","")</f>
        <v/>
      </c>
      <c r="F29" t="str">
        <f>IF(A29&lt;&gt;"","^FO20,95^A0N,30,30^CI13^FD"&amp;Data!AX$5&amp;"^FS","")</f>
        <v/>
      </c>
      <c r="G29" t="str">
        <f>IF(A29&lt;&gt;"","^FO20,135^A0N,30,30^CI13^FD"&amp;Data!BE25&amp;"^FS","")</f>
        <v/>
      </c>
      <c r="H29" t="str">
        <f>IF(A29&lt;&gt;"","^FO20,175^A0N,30,30^CI13^FD"&amp;Data!AY25&amp;"^FS","")</f>
        <v/>
      </c>
      <c r="I29" t="str">
        <f>IF(A29&lt;&gt;"","^FO300,175^A0N,30,30^CI13^FD"&amp;"W:"&amp;Data!BA25&amp;" H:"&amp;Data!BB25,"")</f>
        <v/>
      </c>
      <c r="J29" t="str">
        <f>IF(A29&lt;&gt;"","^PQ"&amp;Data!$F$23&amp;",0,"&amp;Data!$F$23&amp;",Y","")</f>
        <v/>
      </c>
      <c r="K29" t="str">
        <f>IF(A29&lt;&gt;"","^XZ","")</f>
        <v/>
      </c>
    </row>
    <row r="30" spans="1:11" ht="13.95" customHeight="1">
      <c r="A30" t="str">
        <f>IF(OR(Data!$AV26="",Data!$AW26&gt;999),"","^XA^LH0,0^PRB,D^MD20^JMA^FS")</f>
        <v/>
      </c>
      <c r="B30" t="str">
        <f t="array" ref="B30">IF(A30&lt;&gt;"","^BY2,2.7,13^FO506,20^B2N,132,Y,N,N^SN"&amp;BarcodeValue(Data!BC$5,Data!BD$5,Data!AW26,0)&amp;",N,Y^FS","")</f>
        <v/>
      </c>
      <c r="C30" t="str">
        <f>IF(A30&lt;&gt;"","^FO20,20^A0N,28,37^CI13^FD"&amp;TEXT(Data!AY$5,"d/m/yyyy")&amp;"^FS","")</f>
        <v/>
      </c>
      <c r="D30" t="str">
        <f>IF(A30&lt;&gt;"","^FO220,20^A0N,41,48^CI13^FD"&amp;Data!$BC$5&amp;Data!$BD$5&amp;"/"&amp;RIGHT("000"&amp;Data!AW26,3)&amp;"^FS","")</f>
        <v/>
      </c>
      <c r="E30" t="str">
        <f>IF(A30&lt;&gt;"","^FO20,55^A0N,30,30^CI13^FD"&amp;Data!$BF$5&amp;"^FS","")</f>
        <v/>
      </c>
      <c r="F30" t="str">
        <f>IF(A30&lt;&gt;"","^FO20,95^A0N,30,30^CI13^FD"&amp;Data!AX$5&amp;"^FS","")</f>
        <v/>
      </c>
      <c r="G30" t="str">
        <f>IF(A30&lt;&gt;"","^FO20,135^A0N,30,30^CI13^FD"&amp;Data!BE26&amp;"^FS","")</f>
        <v/>
      </c>
      <c r="H30" t="str">
        <f>IF(A30&lt;&gt;"","^FO20,175^A0N,30,30^CI13^FD"&amp;Data!AY26&amp;"^FS","")</f>
        <v/>
      </c>
      <c r="I30" t="str">
        <f>IF(A30&lt;&gt;"","^FO300,175^A0N,30,30^CI13^FD"&amp;"W:"&amp;Data!BA26&amp;" H:"&amp;Data!BB26,"")</f>
        <v/>
      </c>
      <c r="J30" t="str">
        <f>IF(A30&lt;&gt;"","^PQ"&amp;Data!$F$23&amp;",0,"&amp;Data!$F$23&amp;",Y","")</f>
        <v/>
      </c>
      <c r="K30" t="str">
        <f>IF(A30&lt;&gt;"","^XZ","")</f>
        <v/>
      </c>
    </row>
    <row r="31" spans="1:11" ht="13.95" customHeight="1">
      <c r="A31" t="str">
        <f>IF(OR(Data!$AV27="",Data!$AW27&gt;999),"","^XA^LH0,0^PRB,D^MD20^JMA^FS")</f>
        <v/>
      </c>
      <c r="B31" t="str">
        <f t="array" ref="B31">IF(A31&lt;&gt;"","^BY2,2.7,13^FO506,20^B2N,132,Y,N,N^SN"&amp;BarcodeValue(Data!BC$5,Data!BD$5,Data!AW27,0)&amp;",N,Y^FS","")</f>
        <v/>
      </c>
      <c r="C31" t="str">
        <f>IF(A31&lt;&gt;"","^FO20,20^A0N,28,37^CI13^FD"&amp;TEXT(Data!AY$5,"d/m/yyyy")&amp;"^FS","")</f>
        <v/>
      </c>
      <c r="D31" t="str">
        <f>IF(A31&lt;&gt;"","^FO220,20^A0N,41,48^CI13^FD"&amp;Data!$BC$5&amp;Data!$BD$5&amp;"/"&amp;RIGHT("000"&amp;Data!AW27,3)&amp;"^FS","")</f>
        <v/>
      </c>
      <c r="E31" t="str">
        <f>IF(A31&lt;&gt;"","^FO20,55^A0N,30,30^CI13^FD"&amp;Data!$BF$5&amp;"^FS","")</f>
        <v/>
      </c>
      <c r="F31" t="str">
        <f>IF(A31&lt;&gt;"","^FO20,95^A0N,30,30^CI13^FD"&amp;Data!AX$5&amp;"^FS","")</f>
        <v/>
      </c>
      <c r="G31" t="str">
        <f>IF(A31&lt;&gt;"","^FO20,135^A0N,30,30^CI13^FD"&amp;Data!BE27&amp;"^FS","")</f>
        <v/>
      </c>
      <c r="H31" t="str">
        <f>IF(A31&lt;&gt;"","^FO20,175^A0N,30,30^CI13^FD"&amp;Data!AY27&amp;"^FS","")</f>
        <v/>
      </c>
      <c r="I31" t="str">
        <f>IF(A31&lt;&gt;"","^FO300,175^A0N,30,30^CI13^FD"&amp;"W:"&amp;Data!BA27&amp;" H:"&amp;Data!BB27,"")</f>
        <v/>
      </c>
      <c r="J31" t="str">
        <f>IF(A31&lt;&gt;"","^PQ"&amp;Data!$F$23&amp;",0,"&amp;Data!$F$23&amp;",Y","")</f>
        <v/>
      </c>
      <c r="K31" t="str">
        <f>IF(A31&lt;&gt;"","^XZ","")</f>
        <v/>
      </c>
    </row>
    <row r="32" spans="1:11" ht="13.95" customHeight="1">
      <c r="A32" t="str">
        <f>IF(OR(Data!$AV28="",Data!$AW28&gt;999),"","^XA^LH0,0^PRB,D^MD20^JMA^FS")</f>
        <v/>
      </c>
      <c r="B32" t="str">
        <f t="array" ref="B32">IF(A32&lt;&gt;"","^BY2,2.7,13^FO506,20^B2N,132,Y,N,N^SN"&amp;BarcodeValue(Data!BC$5,Data!BD$5,Data!AW28,0)&amp;",N,Y^FS","")</f>
        <v/>
      </c>
      <c r="C32" t="str">
        <f>IF(A32&lt;&gt;"","^FO20,20^A0N,28,37^CI13^FD"&amp;TEXT(Data!AY$5,"d/m/yyyy")&amp;"^FS","")</f>
        <v/>
      </c>
      <c r="D32" t="str">
        <f>IF(A32&lt;&gt;"","^FO220,20^A0N,41,48^CI13^FD"&amp;Data!$BC$5&amp;Data!$BD$5&amp;"/"&amp;RIGHT("000"&amp;Data!AW28,3)&amp;"^FS","")</f>
        <v/>
      </c>
      <c r="E32" t="str">
        <f>IF(A32&lt;&gt;"","^FO20,55^A0N,30,30^CI13^FD"&amp;Data!$BF$5&amp;"^FS","")</f>
        <v/>
      </c>
      <c r="F32" t="str">
        <f>IF(A32&lt;&gt;"","^FO20,95^A0N,30,30^CI13^FD"&amp;Data!AX$5&amp;"^FS","")</f>
        <v/>
      </c>
      <c r="G32" t="str">
        <f>IF(A32&lt;&gt;"","^FO20,135^A0N,30,30^CI13^FD"&amp;Data!BE28&amp;"^FS","")</f>
        <v/>
      </c>
      <c r="H32" t="str">
        <f>IF(A32&lt;&gt;"","^FO20,175^A0N,30,30^CI13^FD"&amp;Data!AY28&amp;"^FS","")</f>
        <v/>
      </c>
      <c r="I32" t="str">
        <f>IF(A32&lt;&gt;"","^FO300,175^A0N,30,30^CI13^FD"&amp;"W:"&amp;Data!BA28&amp;" H:"&amp;Data!BB28,"")</f>
        <v/>
      </c>
      <c r="J32" t="str">
        <f>IF(A32&lt;&gt;"","^PQ"&amp;Data!$F$23&amp;",0,"&amp;Data!$F$23&amp;",Y","")</f>
        <v/>
      </c>
      <c r="K32" t="str">
        <f>IF(A32&lt;&gt;"","^XZ","")</f>
        <v/>
      </c>
    </row>
    <row r="33" spans="1:11" ht="13.95" customHeight="1">
      <c r="A33" t="str">
        <f>IF(OR(Data!$AV29="",Data!$AW29&gt;999),"","^XA^LH0,0^PRB,D^MD20^JMA^FS")</f>
        <v/>
      </c>
      <c r="B33" t="str">
        <f t="array" ref="B33">IF(A33&lt;&gt;"","^BY2,2.7,13^FO506,20^B2N,132,Y,N,N^SN"&amp;BarcodeValue(Data!BC$5,Data!BD$5,Data!AW29,0)&amp;",N,Y^FS","")</f>
        <v/>
      </c>
      <c r="C33" t="str">
        <f>IF(A33&lt;&gt;"","^FO20,20^A0N,28,37^CI13^FD"&amp;TEXT(Data!AY$5,"d/m/yyyy")&amp;"^FS","")</f>
        <v/>
      </c>
      <c r="D33" t="str">
        <f>IF(A33&lt;&gt;"","^FO220,20^A0N,41,48^CI13^FD"&amp;Data!$BC$5&amp;Data!$BD$5&amp;"/"&amp;RIGHT("000"&amp;Data!AW29,3)&amp;"^FS","")</f>
        <v/>
      </c>
      <c r="E33" t="str">
        <f>IF(A33&lt;&gt;"","^FO20,55^A0N,30,30^CI13^FD"&amp;Data!$BF$5&amp;"^FS","")</f>
        <v/>
      </c>
      <c r="F33" t="str">
        <f>IF(A33&lt;&gt;"","^FO20,95^A0N,30,30^CI13^FD"&amp;Data!AX$5&amp;"^FS","")</f>
        <v/>
      </c>
      <c r="G33" t="str">
        <f>IF(A33&lt;&gt;"","^FO20,135^A0N,30,30^CI13^FD"&amp;Data!BE29&amp;"^FS","")</f>
        <v/>
      </c>
      <c r="H33" t="str">
        <f>IF(A33&lt;&gt;"","^FO20,175^A0N,30,30^CI13^FD"&amp;Data!AY29&amp;"^FS","")</f>
        <v/>
      </c>
      <c r="I33" t="str">
        <f>IF(A33&lt;&gt;"","^FO300,175^A0N,30,30^CI13^FD"&amp;"W:"&amp;Data!BA29&amp;" H:"&amp;Data!BB29,"")</f>
        <v/>
      </c>
      <c r="J33" t="str">
        <f>IF(A33&lt;&gt;"","^PQ"&amp;Data!$F$23&amp;",0,"&amp;Data!$F$23&amp;",Y","")</f>
        <v/>
      </c>
      <c r="K33" t="str">
        <f>IF(A33&lt;&gt;"","^XZ","")</f>
        <v/>
      </c>
    </row>
    <row r="34" spans="1:11" ht="13.95" customHeight="1">
      <c r="A34" t="str">
        <f>IF(OR(Data!$AV30="",Data!$AW30&gt;999),"","^XA^LH0,0^PRB,D^MD20^JMA^FS")</f>
        <v/>
      </c>
      <c r="B34" t="str">
        <f t="array" ref="B34">IF(A34&lt;&gt;"","^BY2,2.7,13^FO506,20^B2N,132,Y,N,N^SN"&amp;BarcodeValue(Data!BC$5,Data!BD$5,Data!AW30,0)&amp;",N,Y^FS","")</f>
        <v/>
      </c>
      <c r="C34" t="str">
        <f>IF(A34&lt;&gt;"","^FO20,20^A0N,28,37^CI13^FD"&amp;TEXT(Data!AY$5,"d/m/yyyy")&amp;"^FS","")</f>
        <v/>
      </c>
      <c r="D34" t="str">
        <f>IF(A34&lt;&gt;"","^FO220,20^A0N,41,48^CI13^FD"&amp;Data!$BC$5&amp;Data!$BD$5&amp;"/"&amp;RIGHT("000"&amp;Data!AW30,3)&amp;"^FS","")</f>
        <v/>
      </c>
      <c r="E34" t="str">
        <f>IF(A34&lt;&gt;"","^FO20,55^A0N,30,30^CI13^FD"&amp;Data!$BF$5&amp;"^FS","")</f>
        <v/>
      </c>
      <c r="F34" t="str">
        <f>IF(A34&lt;&gt;"","^FO20,95^A0N,30,30^CI13^FD"&amp;Data!AX$5&amp;"^FS","")</f>
        <v/>
      </c>
      <c r="G34" t="str">
        <f>IF(A34&lt;&gt;"","^FO20,135^A0N,30,30^CI13^FD"&amp;Data!BE30&amp;"^FS","")</f>
        <v/>
      </c>
      <c r="H34" t="str">
        <f>IF(A34&lt;&gt;"","^FO20,175^A0N,30,30^CI13^FD"&amp;Data!AY30&amp;"^FS","")</f>
        <v/>
      </c>
      <c r="I34" t="str">
        <f>IF(A34&lt;&gt;"","^FO300,175^A0N,30,30^CI13^FD"&amp;"W:"&amp;Data!BA30&amp;" H:"&amp;Data!BB30,"")</f>
        <v/>
      </c>
      <c r="J34" t="str">
        <f>IF(A34&lt;&gt;"","^PQ"&amp;Data!$F$23&amp;",0,"&amp;Data!$F$23&amp;",Y","")</f>
        <v/>
      </c>
      <c r="K34" t="str">
        <f>IF(A34&lt;&gt;"","^XZ","")</f>
        <v/>
      </c>
    </row>
    <row r="35" spans="1:11" ht="13.95" customHeight="1">
      <c r="A35" t="str">
        <f>IF(OR(Data!$AV31="",Data!$AW31&gt;999),"","^XA^LH0,0^PRB,D^MD20^JMA^FS")</f>
        <v/>
      </c>
      <c r="B35" t="str">
        <f t="array" ref="B35">IF(A35&lt;&gt;"","^BY2,2.7,13^FO506,20^B2N,132,Y,N,N^SN"&amp;BarcodeValue(Data!BC$5,Data!BD$5,Data!AW31,0)&amp;",N,Y^FS","")</f>
        <v/>
      </c>
      <c r="C35" t="str">
        <f>IF(A35&lt;&gt;"","^FO20,20^A0N,28,37^CI13^FD"&amp;TEXT(Data!AY$5,"d/m/yyyy")&amp;"^FS","")</f>
        <v/>
      </c>
      <c r="D35" t="str">
        <f>IF(A35&lt;&gt;"","^FO220,20^A0N,41,48^CI13^FD"&amp;Data!$BC$5&amp;Data!$BD$5&amp;"/"&amp;RIGHT("000"&amp;Data!AW31,3)&amp;"^FS","")</f>
        <v/>
      </c>
      <c r="E35" t="str">
        <f>IF(A35&lt;&gt;"","^FO20,55^A0N,30,30^CI13^FD"&amp;Data!$BF$5&amp;"^FS","")</f>
        <v/>
      </c>
      <c r="F35" t="str">
        <f>IF(A35&lt;&gt;"","^FO20,95^A0N,30,30^CI13^FD"&amp;Data!AX$5&amp;"^FS","")</f>
        <v/>
      </c>
      <c r="G35" t="str">
        <f>IF(A35&lt;&gt;"","^FO20,135^A0N,30,30^CI13^FD"&amp;Data!BE31&amp;"^FS","")</f>
        <v/>
      </c>
      <c r="H35" t="str">
        <f>IF(A35&lt;&gt;"","^FO20,175^A0N,30,30^CI13^FD"&amp;Data!AY31&amp;"^FS","")</f>
        <v/>
      </c>
      <c r="I35" t="str">
        <f>IF(A35&lt;&gt;"","^FO300,175^A0N,30,30^CI13^FD"&amp;"W:"&amp;Data!BA31&amp;" H:"&amp;Data!BB31,"")</f>
        <v/>
      </c>
      <c r="J35" t="str">
        <f>IF(A35&lt;&gt;"","^PQ"&amp;Data!$F$23&amp;",0,"&amp;Data!$F$23&amp;",Y","")</f>
        <v/>
      </c>
      <c r="K35" t="str">
        <f>IF(A35&lt;&gt;"","^XZ","")</f>
        <v/>
      </c>
    </row>
    <row r="36" spans="1:11" ht="13.95" customHeight="1">
      <c r="A36" t="str">
        <f>IF(OR(Data!$AV32="",Data!$AW32&gt;999),"","^XA^LH0,0^PRB,D^MD20^JMA^FS")</f>
        <v/>
      </c>
      <c r="B36" t="str">
        <f t="array" ref="B36">IF(A36&lt;&gt;"","^BY2,2.7,13^FO506,20^B2N,132,Y,N,N^SN"&amp;BarcodeValue(Data!BC$5,Data!BD$5,Data!AW32,0)&amp;",N,Y^FS","")</f>
        <v/>
      </c>
      <c r="C36" t="str">
        <f>IF(A36&lt;&gt;"","^FO20,20^A0N,28,37^CI13^FD"&amp;TEXT(Data!AY$5,"d/m/yyyy")&amp;"^FS","")</f>
        <v/>
      </c>
      <c r="D36" t="str">
        <f>IF(A36&lt;&gt;"","^FO220,20^A0N,41,48^CI13^FD"&amp;Data!$BC$5&amp;Data!$BD$5&amp;"/"&amp;RIGHT("000"&amp;Data!AW32,3)&amp;"^FS","")</f>
        <v/>
      </c>
      <c r="E36" t="str">
        <f>IF(A36&lt;&gt;"","^FO20,55^A0N,30,30^CI13^FD"&amp;Data!$BF$5&amp;"^FS","")</f>
        <v/>
      </c>
      <c r="F36" t="str">
        <f>IF(A36&lt;&gt;"","^FO20,95^A0N,30,30^CI13^FD"&amp;Data!AX$5&amp;"^FS","")</f>
        <v/>
      </c>
      <c r="G36" t="str">
        <f>IF(A36&lt;&gt;"","^FO20,135^A0N,30,30^CI13^FD"&amp;Data!BE32&amp;"^FS","")</f>
        <v/>
      </c>
      <c r="H36" t="str">
        <f>IF(A36&lt;&gt;"","^FO20,175^A0N,30,30^CI13^FD"&amp;Data!AY32&amp;"^FS","")</f>
        <v/>
      </c>
      <c r="I36" t="str">
        <f>IF(A36&lt;&gt;"","^FO300,175^A0N,30,30^CI13^FD"&amp;"W:"&amp;Data!BA32&amp;" H:"&amp;Data!BB32,"")</f>
        <v/>
      </c>
      <c r="J36" t="str">
        <f>IF(A36&lt;&gt;"","^PQ"&amp;Data!$F$23&amp;",0,"&amp;Data!$F$23&amp;",Y","")</f>
        <v/>
      </c>
      <c r="K36" t="str">
        <f>IF(A36&lt;&gt;"","^XZ","")</f>
        <v/>
      </c>
    </row>
    <row r="37" spans="1:11" ht="13.95" customHeight="1">
      <c r="A37" t="str">
        <f>IF(OR(Data!$AV33="",Data!$AW33&gt;999),"","^XA^LH0,0^PRB,D^MD20^JMA^FS")</f>
        <v/>
      </c>
      <c r="B37" t="str">
        <f t="array" ref="B37">IF(A37&lt;&gt;"","^BY2,2.7,13^FO506,20^B2N,132,Y,N,N^SN"&amp;BarcodeValue(Data!BC$5,Data!BD$5,Data!AW33,0)&amp;",N,Y^FS","")</f>
        <v/>
      </c>
      <c r="C37" t="str">
        <f>IF(A37&lt;&gt;"","^FO20,20^A0N,28,37^CI13^FD"&amp;TEXT(Data!AY$5,"d/m/yyyy")&amp;"^FS","")</f>
        <v/>
      </c>
      <c r="D37" t="str">
        <f>IF(A37&lt;&gt;"","^FO220,20^A0N,41,48^CI13^FD"&amp;Data!$BC$5&amp;Data!$BD$5&amp;"/"&amp;RIGHT("000"&amp;Data!AW33,3)&amp;"^FS","")</f>
        <v/>
      </c>
      <c r="E37" t="str">
        <f>IF(A37&lt;&gt;"","^FO20,55^A0N,30,30^CI13^FD"&amp;Data!$BF$5&amp;"^FS","")</f>
        <v/>
      </c>
      <c r="F37" t="str">
        <f>IF(A37&lt;&gt;"","^FO20,95^A0N,30,30^CI13^FD"&amp;Data!AX$5&amp;"^FS","")</f>
        <v/>
      </c>
      <c r="G37" t="str">
        <f>IF(A37&lt;&gt;"","^FO20,135^A0N,30,30^CI13^FD"&amp;Data!BE33&amp;"^FS","")</f>
        <v/>
      </c>
      <c r="H37" t="str">
        <f>IF(A37&lt;&gt;"","^FO20,175^A0N,30,30^CI13^FD"&amp;Data!AY33&amp;"^FS","")</f>
        <v/>
      </c>
      <c r="I37" t="str">
        <f>IF(A37&lt;&gt;"","^FO300,175^A0N,30,30^CI13^FD"&amp;"W:"&amp;Data!BA33&amp;" H:"&amp;Data!BB33,"")</f>
        <v/>
      </c>
      <c r="J37" t="str">
        <f>IF(A37&lt;&gt;"","^PQ"&amp;Data!$F$23&amp;",0,"&amp;Data!$F$23&amp;",Y","")</f>
        <v/>
      </c>
      <c r="K37" t="str">
        <f>IF(A37&lt;&gt;"","^XZ","")</f>
        <v/>
      </c>
    </row>
    <row r="38" spans="1:11" ht="13.95" customHeight="1">
      <c r="A38" t="str">
        <f>IF(OR(Data!$AV34="",Data!$AW34&gt;999),"","^XA^LH0,0^PRB,D^MD20^JMA^FS")</f>
        <v/>
      </c>
      <c r="B38" t="str">
        <f t="array" ref="B38">IF(A38&lt;&gt;"","^BY2,2.7,13^FO506,20^B2N,132,Y,N,N^SN"&amp;BarcodeValue(Data!BC$5,Data!BD$5,Data!AW34,0)&amp;",N,Y^FS","")</f>
        <v/>
      </c>
      <c r="C38" t="str">
        <f>IF(A38&lt;&gt;"","^FO20,20^A0N,28,37^CI13^FD"&amp;TEXT(Data!AY$5,"d/m/yyyy")&amp;"^FS","")</f>
        <v/>
      </c>
      <c r="D38" t="str">
        <f>IF(A38&lt;&gt;"","^FO220,20^A0N,41,48^CI13^FD"&amp;Data!$BC$5&amp;Data!$BD$5&amp;"/"&amp;RIGHT("000"&amp;Data!AW34,3)&amp;"^FS","")</f>
        <v/>
      </c>
      <c r="E38" t="str">
        <f>IF(A38&lt;&gt;"","^FO20,55^A0N,30,30^CI13^FD"&amp;Data!$BF$5&amp;"^FS","")</f>
        <v/>
      </c>
      <c r="F38" t="str">
        <f>IF(A38&lt;&gt;"","^FO20,95^A0N,30,30^CI13^FD"&amp;Data!AX$5&amp;"^FS","")</f>
        <v/>
      </c>
      <c r="G38" t="str">
        <f>IF(A38&lt;&gt;"","^FO20,135^A0N,30,30^CI13^FD"&amp;Data!BE34&amp;"^FS","")</f>
        <v/>
      </c>
      <c r="H38" t="str">
        <f>IF(A38&lt;&gt;"","^FO20,175^A0N,30,30^CI13^FD"&amp;Data!AY34&amp;"^FS","")</f>
        <v/>
      </c>
      <c r="I38" t="str">
        <f>IF(A38&lt;&gt;"","^FO300,175^A0N,30,30^CI13^FD"&amp;"W:"&amp;Data!BA34&amp;" H:"&amp;Data!BB34,"")</f>
        <v/>
      </c>
      <c r="J38" t="str">
        <f>IF(A38&lt;&gt;"","^PQ"&amp;Data!$F$23&amp;",0,"&amp;Data!$F$23&amp;",Y","")</f>
        <v/>
      </c>
      <c r="K38" t="str">
        <f>IF(A38&lt;&gt;"","^XZ","")</f>
        <v/>
      </c>
    </row>
    <row r="39" spans="1:11" ht="13.95" customHeight="1">
      <c r="A39" t="str">
        <f>IF(OR(Data!$AV35="",Data!$AW35&gt;999),"","^XA^LH0,0^PRB,D^MD20^JMA^FS")</f>
        <v/>
      </c>
      <c r="B39" t="str">
        <f t="array" ref="B39">IF(A39&lt;&gt;"","^BY2,2.7,13^FO506,20^B2N,132,Y,N,N^SN"&amp;BarcodeValue(Data!BC$5,Data!BD$5,Data!AW35,0)&amp;",N,Y^FS","")</f>
        <v/>
      </c>
      <c r="C39" t="str">
        <f>IF(A39&lt;&gt;"","^FO20,20^A0N,28,37^CI13^FD"&amp;TEXT(Data!AY$5,"d/m/yyyy")&amp;"^FS","")</f>
        <v/>
      </c>
      <c r="D39" t="str">
        <f>IF(A39&lt;&gt;"","^FO220,20^A0N,41,48^CI13^FD"&amp;Data!$BC$5&amp;Data!$BD$5&amp;"/"&amp;RIGHT("000"&amp;Data!AW35,3)&amp;"^FS","")</f>
        <v/>
      </c>
      <c r="E39" t="str">
        <f>IF(A39&lt;&gt;"","^FO20,55^A0N,30,30^CI13^FD"&amp;Data!$BF$5&amp;"^FS","")</f>
        <v/>
      </c>
      <c r="F39" t="str">
        <f>IF(A39&lt;&gt;"","^FO20,95^A0N,30,30^CI13^FD"&amp;Data!AX$5&amp;"^FS","")</f>
        <v/>
      </c>
      <c r="G39" t="str">
        <f>IF(A39&lt;&gt;"","^FO20,135^A0N,30,30^CI13^FD"&amp;Data!BE35&amp;"^FS","")</f>
        <v/>
      </c>
      <c r="H39" t="str">
        <f>IF(A39&lt;&gt;"","^FO20,175^A0N,30,30^CI13^FD"&amp;Data!AY35&amp;"^FS","")</f>
        <v/>
      </c>
      <c r="I39" t="str">
        <f>IF(A39&lt;&gt;"","^FO300,175^A0N,30,30^CI13^FD"&amp;"W:"&amp;Data!BA35&amp;" H:"&amp;Data!BB35,"")</f>
        <v/>
      </c>
      <c r="J39" t="str">
        <f>IF(A39&lt;&gt;"","^PQ"&amp;Data!$F$23&amp;",0,"&amp;Data!$F$23&amp;",Y","")</f>
        <v/>
      </c>
      <c r="K39" t="str">
        <f>IF(A39&lt;&gt;"","^XZ","")</f>
        <v/>
      </c>
    </row>
    <row r="40" spans="1:11" ht="13.2">
      <c r="A40" t="str">
        <f>IF(OR(Data!$AV36="",Data!$AW36&gt;999),"","^XA^LH0,0^PRB,D^MD20^JMA^FS")</f>
        <v/>
      </c>
      <c r="B40" t="str">
        <f t="array" ref="B40">IF(A40&lt;&gt;"","^BY2,2.7,13^FO506,20^B2N,132,Y,N,N^SN"&amp;BarcodeValue(Data!BC$5,Data!BD$5,Data!AW36,0)&amp;",N,Y^FS","")</f>
        <v/>
      </c>
      <c r="C40" t="str">
        <f>IF(A40&lt;&gt;"","^FO20,20^A0N,28,37^CI13^FD"&amp;TEXT(Data!AY$5,"d/m/yyyy")&amp;"^FS","")</f>
        <v/>
      </c>
      <c r="D40" t="str">
        <f>IF(A40&lt;&gt;"","^FO220,20^A0N,41,48^CI13^FD"&amp;Data!$BC$5&amp;Data!$BD$5&amp;"/"&amp;RIGHT("000"&amp;Data!AW36,3)&amp;"^FS","")</f>
        <v/>
      </c>
      <c r="E40" t="str">
        <f>IF(A40&lt;&gt;"","^FO20,55^A0N,30,30^CI13^FD"&amp;Data!$BF$5&amp;"^FS","")</f>
        <v/>
      </c>
      <c r="F40" t="str">
        <f>IF(A40&lt;&gt;"","^FO20,95^A0N,30,30^CI13^FD"&amp;Data!AX$5&amp;"^FS","")</f>
        <v/>
      </c>
      <c r="G40" t="str">
        <f>IF(A40&lt;&gt;"","^FO20,135^A0N,30,30^CI13^FD"&amp;Data!BE36&amp;"^FS","")</f>
        <v/>
      </c>
      <c r="H40" t="str">
        <f>IF(A40&lt;&gt;"","^FO20,175^A0N,30,30^CI13^FD"&amp;Data!AY36&amp;"^FS","")</f>
        <v/>
      </c>
      <c r="I40" t="str">
        <f>IF(A40&lt;&gt;"","^FO300,175^A0N,30,30^CI13^FD"&amp;"W:"&amp;Data!BA36&amp;" H:"&amp;Data!BB36,"")</f>
        <v/>
      </c>
      <c r="J40" t="str">
        <f>IF(A40&lt;&gt;"","^PQ"&amp;Data!$F$23&amp;",0,"&amp;Data!$F$23&amp;",Y","")</f>
        <v/>
      </c>
      <c r="K40" t="str">
        <f>IF(A40&lt;&gt;"","^XZ","")</f>
        <v/>
      </c>
    </row>
    <row r="41" spans="1:11" ht="13.2">
      <c r="A41" t="str">
        <f>IF(OR(Data!$AV37="",Data!$AW37&gt;999),"","^XA^LH0,0^PRB,D^MD20^JMA^FS")</f>
        <v/>
      </c>
      <c r="B41" t="str">
        <f t="array" ref="B41">IF(A41&lt;&gt;"","^BY2,2.7,13^FO506,20^B2N,132,Y,N,N^SN"&amp;BarcodeValue(Data!BC$5,Data!BD$5,Data!AW37,0)&amp;",N,Y^FS","")</f>
        <v/>
      </c>
      <c r="C41" t="str">
        <f>IF(A41&lt;&gt;"","^FO20,20^A0N,28,37^CI13^FD"&amp;TEXT(Data!AY$5,"d/m/yyyy")&amp;"^FS","")</f>
        <v/>
      </c>
      <c r="D41" t="str">
        <f>IF(A41&lt;&gt;"","^FO220,20^A0N,41,48^CI13^FD"&amp;Data!$BC$5&amp;Data!$BD$5&amp;"/"&amp;RIGHT("000"&amp;Data!AW37,3)&amp;"^FS","")</f>
        <v/>
      </c>
      <c r="E41" t="str">
        <f>IF(A41&lt;&gt;"","^FO20,55^A0N,30,30^CI13^FD"&amp;Data!$BF$5&amp;"^FS","")</f>
        <v/>
      </c>
      <c r="F41" t="str">
        <f>IF(A41&lt;&gt;"","^FO20,95^A0N,30,30^CI13^FD"&amp;Data!AX$5&amp;"^FS","")</f>
        <v/>
      </c>
      <c r="G41" t="str">
        <f>IF(A41&lt;&gt;"","^FO20,135^A0N,30,30^CI13^FD"&amp;Data!BE37&amp;"^FS","")</f>
        <v/>
      </c>
      <c r="H41" t="str">
        <f>IF(A41&lt;&gt;"","^FO20,175^A0N,30,30^CI13^FD"&amp;Data!AY37&amp;"^FS","")</f>
        <v/>
      </c>
      <c r="I41" t="str">
        <f>IF(A41&lt;&gt;"","^FO300,175^A0N,30,30^CI13^FD"&amp;"W:"&amp;Data!BA37&amp;" H:"&amp;Data!BB37,"")</f>
        <v/>
      </c>
      <c r="J41" t="str">
        <f>IF(A41&lt;&gt;"","^PQ"&amp;Data!$F$23&amp;",0,"&amp;Data!$F$23&amp;",Y","")</f>
        <v/>
      </c>
      <c r="K41" t="str">
        <f>IF(A41&lt;&gt;"","^XZ","")</f>
        <v/>
      </c>
    </row>
    <row r="42" spans="1:11" ht="13.2">
      <c r="A42" t="str">
        <f>IF(OR(Data!$AV38="",Data!$AW38&gt;999),"","^XA^LH0,0^PRB,D^MD20^JMA^FS")</f>
        <v/>
      </c>
      <c r="B42" t="str">
        <f t="array" ref="B42">IF(A42&lt;&gt;"","^BY2,2.7,13^FO506,20^B2N,132,Y,N,N^SN"&amp;BarcodeValue(Data!BC$5,Data!BD$5,Data!AW38,0)&amp;",N,Y^FS","")</f>
        <v/>
      </c>
      <c r="C42" t="str">
        <f>IF(A42&lt;&gt;"","^FO20,20^A0N,28,37^CI13^FD"&amp;TEXT(Data!AY$5,"d/m/yyyy")&amp;"^FS","")</f>
        <v/>
      </c>
      <c r="D42" t="str">
        <f>IF(A42&lt;&gt;"","^FO220,20^A0N,41,48^CI13^FD"&amp;Data!$BC$5&amp;Data!$BD$5&amp;"/"&amp;RIGHT("000"&amp;Data!AW38,3)&amp;"^FS","")</f>
        <v/>
      </c>
      <c r="E42" t="str">
        <f>IF(A42&lt;&gt;"","^FO20,55^A0N,30,30^CI13^FD"&amp;Data!$BF$5&amp;"^FS","")</f>
        <v/>
      </c>
      <c r="F42" t="str">
        <f>IF(A42&lt;&gt;"","^FO20,95^A0N,30,30^CI13^FD"&amp;Data!AX$5&amp;"^FS","")</f>
        <v/>
      </c>
      <c r="G42" t="str">
        <f>IF(A42&lt;&gt;"","^FO20,135^A0N,30,30^CI13^FD"&amp;Data!BE38&amp;"^FS","")</f>
        <v/>
      </c>
      <c r="H42" t="str">
        <f>IF(A42&lt;&gt;"","^FO20,175^A0N,30,30^CI13^FD"&amp;Data!AY38&amp;"^FS","")</f>
        <v/>
      </c>
      <c r="I42" t="str">
        <f>IF(A42&lt;&gt;"","^FO300,175^A0N,30,30^CI13^FD"&amp;"W:"&amp;Data!BA38&amp;" H:"&amp;Data!BB38,"")</f>
        <v/>
      </c>
      <c r="J42" t="str">
        <f>IF(A42&lt;&gt;"","^PQ"&amp;Data!$F$23&amp;",0,"&amp;Data!$F$23&amp;",Y","")</f>
        <v/>
      </c>
      <c r="K42" t="str">
        <f>IF(A42&lt;&gt;"","^XZ","")</f>
        <v/>
      </c>
    </row>
    <row r="43" spans="1:11" ht="13.2">
      <c r="A43" t="str">
        <f>IF(OR(Data!$AV39="",Data!$AW39&gt;999),"","^XA^LH0,0^PRB,D^MD20^JMA^FS")</f>
        <v/>
      </c>
      <c r="B43" t="str">
        <f t="array" ref="B43">IF(A43&lt;&gt;"","^BY2,2.7,13^FO506,20^B2N,132,Y,N,N^SN"&amp;BarcodeValue(Data!BC$5,Data!BD$5,Data!AW39,0)&amp;",N,Y^FS","")</f>
        <v/>
      </c>
      <c r="C43" t="str">
        <f>IF(A43&lt;&gt;"","^FO20,20^A0N,28,37^CI13^FD"&amp;TEXT(Data!AY$5,"d/m/yyyy")&amp;"^FS","")</f>
        <v/>
      </c>
      <c r="D43" t="str">
        <f>IF(A43&lt;&gt;"","^FO220,20^A0N,41,48^CI13^FD"&amp;Data!$BC$5&amp;Data!$BD$5&amp;"/"&amp;RIGHT("000"&amp;Data!AW39,3)&amp;"^FS","")</f>
        <v/>
      </c>
      <c r="E43" t="str">
        <f>IF(A43&lt;&gt;"","^FO20,55^A0N,30,30^CI13^FD"&amp;Data!$BF$5&amp;"^FS","")</f>
        <v/>
      </c>
      <c r="F43" t="str">
        <f>IF(A43&lt;&gt;"","^FO20,95^A0N,30,30^CI13^FD"&amp;Data!AX$5&amp;"^FS","")</f>
        <v/>
      </c>
      <c r="G43" t="str">
        <f>IF(A43&lt;&gt;"","^FO20,135^A0N,30,30^CI13^FD"&amp;Data!BE39&amp;"^FS","")</f>
        <v/>
      </c>
      <c r="H43" t="str">
        <f>IF(A43&lt;&gt;"","^FO20,175^A0N,30,30^CI13^FD"&amp;Data!AY39&amp;"^FS","")</f>
        <v/>
      </c>
      <c r="I43" t="str">
        <f>IF(A43&lt;&gt;"","^FO300,175^A0N,30,30^CI13^FD"&amp;"W:"&amp;Data!BA39&amp;" H:"&amp;Data!BB39,"")</f>
        <v/>
      </c>
      <c r="J43" t="str">
        <f>IF(A43&lt;&gt;"","^PQ"&amp;Data!$F$23&amp;",0,"&amp;Data!$F$23&amp;",Y","")</f>
        <v/>
      </c>
      <c r="K43" t="str">
        <f>IF(A43&lt;&gt;"","^XZ","")</f>
        <v/>
      </c>
    </row>
    <row r="44" spans="1:11" ht="13.2">
      <c r="A44" t="str">
        <f>IF(OR(Data!$AV21="",Data!$AW21&gt;999),"","^XA^LH0,0^PRB,D^MD20^JMA^FS")</f>
        <v>^XA^LH0,0^PRB,D^MD20^JMA^FS</v>
      </c>
      <c r="B44" t="str">
        <f t="array" ref="B44">IF(A44&lt;&gt;"","^BY2,2.7,13^FO506,20^B2N,132,Y,N,N^SN"&amp;BarcodeValue(Data!BC$5,Data!BD$5,Data!AW21,0)&amp;",N,Y^FS","")</f>
        <v>^BY2,2.7,13^FO506,20^B2N,132,Y,N,N^SN0039776700380002,N,Y^FS</v>
      </c>
      <c r="C44" t="str">
        <f>IF(A44&lt;&gt;"","^FO20,20^A0N,28,37^CI13^FD"&amp;TEXT(Data!AY$5,"d/m/yyyy")&amp;"^FS","")</f>
        <v>^FO20,20^A0N,28,37^CI13^FD12/8/2026^FS</v>
      </c>
      <c r="D44" t="str">
        <f>IF(A44&lt;&gt;"","^FO220,20^A0N,41,48^CI13^FD"&amp;Data!$BC$5&amp;Data!$BD$5&amp;"/"&amp;RIGHT("000"&amp;Data!AW21,3)&amp;"^FS","")</f>
        <v>^FO220,20^A0N,41,48^CI13^FD39776F/038^FS</v>
      </c>
      <c r="E44" t="str">
        <f>IF(A44&lt;&gt;"","^FO20,55^A0N,30,30^CI13^FD"&amp;Data!$BF$5&amp;"^FS","")</f>
        <v>^FO20,55^A0N,30,30^CI13^FDHare, Kaitlin^FS</v>
      </c>
      <c r="F44" t="str">
        <f>IF(A44&lt;&gt;"","^FO20,95^A0N,30,30^CI13^FD"&amp;Data!AX$5&amp;"^FS","")</f>
        <v>^FO20,95^A0N,30,30^CI13^FDWhole House^FS</v>
      </c>
      <c r="G44" t="str">
        <f>IF(A44&lt;&gt;"","^FO20,135^A0N,30,30^CI13^FD"&amp;Data!BE21&amp;"^FS","")</f>
        <v>^FO20,135^A0N,30,30^CI13^FDCURT Nettex Brunswick (Continuous) Uncoated Talc^FS</v>
      </c>
      <c r="H44" t="str">
        <f>IF(A44&lt;&gt;"","^FO20,175^A0N,30,30^CI13^FD"&amp;Data!AY21&amp;"^FS","")</f>
        <v>^FO20,175^A0N,30,30^CI13^FDFront Lounge 2 ALTERATION^FS</v>
      </c>
      <c r="I44" t="str">
        <f>IF(A44&lt;&gt;"","^FO300,175^A0N,30,30^CI13^FD"&amp;"W:"&amp;Data!BA21&amp;" H:"&amp;Data!BB21,"")</f>
        <v>^FO300,175^A0N,30,30^CI13^FDW:3050 H:2245</v>
      </c>
      <c r="J44" t="str">
        <f>IF(A44&lt;&gt;"","^PQ"&amp;Data!$F$23&amp;",0,"&amp;Data!$F$23&amp;",Y","")</f>
        <v>^PQ0,0,0,Y</v>
      </c>
      <c r="K44" t="str">
        <f>IF(A44&lt;&gt;"","^XZ","")</f>
        <v>^XZ</v>
      </c>
    </row>
    <row r="45" spans="1:11" ht="13.2">
      <c r="A45" t="str">
        <f>IF(OR(Data!$AV22="",Data!$AW22&gt;999),"","^XA^LH0,0^PRB,D^MD20^JMA^FS")</f>
        <v>^XA^LH0,0^PRB,D^MD20^JMA^FS</v>
      </c>
      <c r="B45" t="str">
        <f t="array" ref="B45">IF(A45&lt;&gt;"","^BY2,2.7,13^FO506,20^B2N,132,Y,N,N^SN"&amp;BarcodeValue(Data!BC$5,Data!BD$5,Data!AW22,0)&amp;",N,Y^FS","")</f>
        <v>^BY2,2.7,13^FO506,20^B2N,132,Y,N,N^SN0039776700390001,N,Y^FS</v>
      </c>
      <c r="C45" t="str">
        <f>IF(A45&lt;&gt;"","^FO20,20^A0N,28,37^CI13^FD"&amp;TEXT(Data!AY$5,"d/m/yyyy")&amp;"^FS","")</f>
        <v>^FO20,20^A0N,28,37^CI13^FD12/8/2026^FS</v>
      </c>
      <c r="D45" t="str">
        <f>IF(A45&lt;&gt;"","^FO220,20^A0N,41,48^CI13^FD"&amp;Data!$BC$5&amp;Data!$BD$5&amp;"/"&amp;RIGHT("000"&amp;Data!AW22,3)&amp;"^FS","")</f>
        <v>^FO220,20^A0N,41,48^CI13^FD39776F/039^FS</v>
      </c>
      <c r="E45" t="str">
        <f>IF(A45&lt;&gt;"","^FO20,55^A0N,30,30^CI13^FD"&amp;Data!$BF$5&amp;"^FS","")</f>
        <v>^FO20,55^A0N,30,30^CI13^FDHare, Kaitlin^FS</v>
      </c>
      <c r="F45" t="str">
        <f>IF(A45&lt;&gt;"","^FO20,95^A0N,30,30^CI13^FD"&amp;Data!AX$5&amp;"^FS","")</f>
        <v>^FO20,95^A0N,30,30^CI13^FDWhole House^FS</v>
      </c>
      <c r="G45" t="str">
        <f>IF(A45&lt;&gt;"","^FO20,135^A0N,30,30^CI13^FD"&amp;Data!BE22&amp;"^FS","")</f>
        <v>^FO20,135^A0N,30,30^CI13^FDCURT Filigree Simplicity 300cm (Continuous) Lining Off White^FS</v>
      </c>
      <c r="H45" t="str">
        <f>IF(A45&lt;&gt;"","^FO20,175^A0N,30,30^CI13^FD"&amp;Data!AY22&amp;"^FS","")</f>
        <v>^FO20,175^A0N,30,30^CI13^FDMaster Door ALTERATION^FS</v>
      </c>
      <c r="I45" t="str">
        <f>IF(A45&lt;&gt;"","^FO300,175^A0N,30,30^CI13^FD"&amp;"W:"&amp;Data!BA22&amp;" H:"&amp;Data!BB22,"")</f>
        <v>^FO300,175^A0N,30,30^CI13^FDW:3502 H:2660</v>
      </c>
      <c r="J45" t="str">
        <f>IF(A45&lt;&gt;"","^PQ"&amp;Data!$F$23&amp;",0,"&amp;Data!$F$23&amp;",Y","")</f>
        <v>^PQ0,0,0,Y</v>
      </c>
      <c r="K45" t="str">
        <f>IF(A45&lt;&gt;"","^XZ","")</f>
        <v>^XZ</v>
      </c>
    </row>
    <row r="46" spans="1:11" ht="13.2">
      <c r="A46" t="str">
        <f>IF(OR(Data!$AV23="",Data!$AW23&gt;999),"","^XA^LH0,0^PRB,D^MD20^JMA^FS")</f>
        <v/>
      </c>
      <c r="B46" t="str">
        <f t="array" ref="B46">IF(A46&lt;&gt;"","^BY2,2.7,13^FO506,20^B2N,132,Y,N,N^SN"&amp;BarcodeValue(Data!BC$5,Data!BD$5,Data!AW23,0)&amp;",N,Y^FS","")</f>
        <v/>
      </c>
      <c r="C46" t="str">
        <f>IF(A46&lt;&gt;"","^FO20,20^A0N,28,37^CI13^FD"&amp;TEXT(Data!AY$5,"d/m/yyyy")&amp;"^FS","")</f>
        <v/>
      </c>
      <c r="D46" t="str">
        <f>IF(A46&lt;&gt;"","^FO220,20^A0N,41,48^CI13^FD"&amp;Data!$BC$5&amp;Data!$BD$5&amp;"/"&amp;RIGHT("000"&amp;Data!AW23,3)&amp;"^FS","")</f>
        <v/>
      </c>
      <c r="E46" t="str">
        <f>IF(A46&lt;&gt;"","^FO20,55^A0N,30,30^CI13^FD"&amp;Data!$BF$5&amp;"^FS","")</f>
        <v/>
      </c>
      <c r="F46" t="str">
        <f>IF(A46&lt;&gt;"","^FO20,95^A0N,30,30^CI13^FD"&amp;Data!AX$5&amp;"^FS","")</f>
        <v/>
      </c>
      <c r="G46" t="str">
        <f>IF(A46&lt;&gt;"","^FO20,135^A0N,30,30^CI13^FD"&amp;Data!BE23&amp;"^FS","")</f>
        <v/>
      </c>
      <c r="H46" t="str">
        <f>IF(A46&lt;&gt;"","^FO20,175^A0N,30,30^CI13^FD"&amp;Data!AY23&amp;"^FS","")</f>
        <v/>
      </c>
      <c r="I46" t="str">
        <f>IF(A46&lt;&gt;"","^FO300,175^A0N,30,30^CI13^FD"&amp;"W:"&amp;Data!BA23&amp;" H:"&amp;Data!BB23,"")</f>
        <v/>
      </c>
      <c r="J46" t="str">
        <f>IF(A46&lt;&gt;"","^PQ"&amp;Data!$F$23&amp;",0,"&amp;Data!$F$23&amp;",Y","")</f>
        <v/>
      </c>
      <c r="K46" t="str">
        <f>IF(A46&lt;&gt;"","^XZ","")</f>
        <v/>
      </c>
    </row>
    <row r="47" spans="1:11" ht="13.2">
      <c r="A47" t="str">
        <f>IF(OR(Data!$AV24="",Data!$AW24&gt;999),"","^XA^LH0,0^PRB,D^MD20^JMA^FS")</f>
        <v/>
      </c>
      <c r="B47" t="str">
        <f t="array" ref="B47">IF(A47&lt;&gt;"","^BY2,2.7,13^FO506,20^B2N,132,Y,N,N^SN"&amp;BarcodeValue(Data!BC$5,Data!BD$5,Data!AW24,0)&amp;",N,Y^FS","")</f>
        <v/>
      </c>
      <c r="C47" t="str">
        <f>IF(A47&lt;&gt;"","^FO20,20^A0N,28,37^CI13^FD"&amp;TEXT(Data!AY$5,"d/m/yyyy")&amp;"^FS","")</f>
        <v/>
      </c>
      <c r="D47" t="str">
        <f>IF(A47&lt;&gt;"","^FO220,20^A0N,41,48^CI13^FD"&amp;Data!$BC$5&amp;Data!$BD$5&amp;"/"&amp;RIGHT("000"&amp;Data!AW24,3)&amp;"^FS","")</f>
        <v/>
      </c>
      <c r="E47" t="str">
        <f>IF(A47&lt;&gt;"","^FO20,55^A0N,30,30^CI13^FD"&amp;Data!$BF$5&amp;"^FS","")</f>
        <v/>
      </c>
      <c r="F47" t="str">
        <f>IF(A47&lt;&gt;"","^FO20,95^A0N,30,30^CI13^FD"&amp;Data!AX$5&amp;"^FS","")</f>
        <v/>
      </c>
      <c r="G47" t="str">
        <f>IF(A47&lt;&gt;"","^FO20,135^A0N,30,30^CI13^FD"&amp;Data!BE24&amp;"^FS","")</f>
        <v/>
      </c>
      <c r="H47" t="str">
        <f>IF(A47&lt;&gt;"","^FO20,175^A0N,30,30^CI13^FD"&amp;Data!AY24&amp;"^FS","")</f>
        <v/>
      </c>
      <c r="I47" t="str">
        <f>IF(A47&lt;&gt;"","^FO300,175^A0N,30,30^CI13^FD"&amp;"W:"&amp;Data!BA24&amp;" H:"&amp;Data!BB24,"")</f>
        <v/>
      </c>
      <c r="J47" t="str">
        <f>IF(A47&lt;&gt;"","^PQ"&amp;Data!$F$23&amp;",0,"&amp;Data!$F$23&amp;",Y","")</f>
        <v/>
      </c>
      <c r="K47" t="s">
        <v>11919</v>
      </c>
    </row>
    <row r="48" spans="1:11" ht="13.2">
      <c r="A48" t="str">
        <f>IF(OR(Data!$AV25="",Data!$AW25&gt;999),"","^XA^LH0,0^PRB,D^MD20^JMA^FS")</f>
        <v/>
      </c>
      <c r="B48" t="str">
        <f t="array" ref="B48">IF(A48&lt;&gt;"","^BY2,2.7,13^FO506,20^B2N,132,Y,N,N^SN"&amp;BarcodeValue(Data!BC$5,Data!BD$5,Data!AW25,0)&amp;",N,Y^FS","")</f>
        <v/>
      </c>
      <c r="C48" t="str">
        <f>IF(A48&lt;&gt;"","^FO20,20^A0N,28,37^CI13^FD"&amp;TEXT(Data!AY$5,"d/m/yyyy")&amp;"^FS","")</f>
        <v/>
      </c>
      <c r="D48" t="str">
        <f>IF(A48&lt;&gt;"","^FO220,20^A0N,41,48^CI13^FD"&amp;Data!$BC$5&amp;Data!$BD$5&amp;"/"&amp;RIGHT("000"&amp;Data!AW25,3)&amp;"^FS","")</f>
        <v/>
      </c>
      <c r="E48" t="str">
        <f>IF(A48&lt;&gt;"","^FO20,55^A0N,30,30^CI13^FD"&amp;Data!$BF$5&amp;"^FS","")</f>
        <v/>
      </c>
      <c r="F48" t="str">
        <f>IF(A48&lt;&gt;"","^FO20,95^A0N,30,30^CI13^FD"&amp;Data!AX$5&amp;"^FS","")</f>
        <v/>
      </c>
      <c r="G48" t="str">
        <f>IF(A48&lt;&gt;"","^FO20,135^A0N,30,30^CI13^FD"&amp;Data!BE25&amp;"^FS","")</f>
        <v/>
      </c>
      <c r="H48" t="str">
        <f>IF(A48&lt;&gt;"","^FO20,175^A0N,30,30^CI13^FD"&amp;Data!AY25&amp;"^FS","")</f>
        <v/>
      </c>
      <c r="I48" t="str">
        <f>IF(A48&lt;&gt;"","^FO300,175^A0N,30,30^CI13^FD"&amp;"W:"&amp;Data!BA25&amp;" H:"&amp;Data!BB25,"")</f>
        <v/>
      </c>
      <c r="J48" t="str">
        <f>IF(A48&lt;&gt;"","^PQ"&amp;Data!$F$23&amp;",0,"&amp;Data!$F$23&amp;",Y","")</f>
        <v/>
      </c>
      <c r="K48" t="s">
        <v>11919</v>
      </c>
    </row>
    <row r="49" spans="1:11" ht="13.2">
      <c r="A49" t="str">
        <f>IF(OR(Data!$AV26="",Data!$AW26&gt;999),"","^XA^LH0,0^PRB,D^MD20^JMA^FS")</f>
        <v/>
      </c>
      <c r="B49" t="str">
        <f t="array" ref="B49">IF(A49&lt;&gt;"","^BY2,2.7,13^FO506,20^B2N,132,Y,N,N^SN"&amp;BarcodeValue(Data!BC$5,Data!BD$5,Data!AW26,0)&amp;",N,Y^FS","")</f>
        <v/>
      </c>
      <c r="C49" t="str">
        <f>IF(A49&lt;&gt;"","^FO20,20^A0N,28,37^CI13^FD"&amp;TEXT(Data!AY$5,"d/m/yyyy")&amp;"^FS","")</f>
        <v/>
      </c>
      <c r="D49" t="str">
        <f>IF(A49&lt;&gt;"","^FO220,20^A0N,41,48^CI13^FD"&amp;Data!$BC$5&amp;Data!$BD$5&amp;"/"&amp;RIGHT("000"&amp;Data!AW26,3)&amp;"^FS","")</f>
        <v/>
      </c>
      <c r="E49" t="str">
        <f>IF(A49&lt;&gt;"","^FO20,55^A0N,30,30^CI13^FD"&amp;Data!$BF$5&amp;"^FS","")</f>
        <v/>
      </c>
      <c r="F49" t="str">
        <f>IF(A49&lt;&gt;"","^FO20,95^A0N,30,30^CI13^FD"&amp;Data!AX$5&amp;"^FS","")</f>
        <v/>
      </c>
      <c r="G49" t="str">
        <f>IF(A49&lt;&gt;"","^FO20,135^A0N,30,30^CI13^FD"&amp;Data!BE26&amp;"^FS","")</f>
        <v/>
      </c>
      <c r="H49" t="str">
        <f>IF(A49&lt;&gt;"","^FO20,175^A0N,30,30^CI13^FD"&amp;Data!AY26&amp;"^FS","")</f>
        <v/>
      </c>
      <c r="I49" t="str">
        <f>IF(A49&lt;&gt;"","^FO300,175^A0N,30,30^CI13^FD"&amp;"W:"&amp;Data!BA26&amp;" H:"&amp;Data!BB26,"")</f>
        <v/>
      </c>
      <c r="J49" t="str">
        <f>IF(A49&lt;&gt;"","^PQ"&amp;Data!$F$23&amp;",0,"&amp;Data!$F$23&amp;",Y","")</f>
        <v/>
      </c>
      <c r="K49" t="s">
        <v>11919</v>
      </c>
    </row>
    <row r="50" spans="1:11" ht="13.2">
      <c r="A50" t="str">
        <f>IF(OR(Data!$AV27="",Data!$AW27&gt;999),"","^XA^LH0,0^PRB,D^MD20^JMA^FS")</f>
        <v/>
      </c>
      <c r="B50" t="str">
        <f t="array" ref="B50">IF(A50&lt;&gt;"","^BY2,2.7,13^FO506,20^B2N,132,Y,N,N^SN"&amp;BarcodeValue(Data!BC$5,Data!BD$5,Data!AW27,0)&amp;",N,Y^FS","")</f>
        <v/>
      </c>
      <c r="C50" t="str">
        <f>IF(A50&lt;&gt;"","^FO20,20^A0N,28,37^CI13^FD"&amp;TEXT(Data!AY$5,"d/m/yyyy")&amp;"^FS","")</f>
        <v/>
      </c>
      <c r="D50" t="str">
        <f>IF(A50&lt;&gt;"","^FO220,20^A0N,41,48^CI13^FD"&amp;Data!$BC$5&amp;Data!$BD$5&amp;"/"&amp;RIGHT("000"&amp;Data!AW27,3)&amp;"^FS","")</f>
        <v/>
      </c>
      <c r="E50" t="str">
        <f>IF(A50&lt;&gt;"","^FO20,55^A0N,30,30^CI13^FD"&amp;Data!$BF$5&amp;"^FS","")</f>
        <v/>
      </c>
      <c r="F50" t="str">
        <f>IF(A50&lt;&gt;"","^FO20,95^A0N,30,30^CI13^FD"&amp;Data!AX$5&amp;"^FS","")</f>
        <v/>
      </c>
      <c r="G50" t="str">
        <f>IF(A50&lt;&gt;"","^FO20,135^A0N,30,30^CI13^FD"&amp;Data!BE27&amp;"^FS","")</f>
        <v/>
      </c>
      <c r="H50" t="str">
        <f>IF(A50&lt;&gt;"","^FO20,175^A0N,30,30^CI13^FD"&amp;Data!AY27&amp;"^FS","")</f>
        <v/>
      </c>
      <c r="I50" t="str">
        <f>IF(A50&lt;&gt;"","^FO300,175^A0N,30,30^CI13^FD"&amp;"W:"&amp;Data!BA27&amp;" H:"&amp;Data!BB27,"")</f>
        <v/>
      </c>
      <c r="J50" t="str">
        <f>IF(A50&lt;&gt;"","^PQ"&amp;Data!$F$23&amp;",0,"&amp;Data!$F$23&amp;",Y","")</f>
        <v/>
      </c>
      <c r="K50" t="s">
        <v>11919</v>
      </c>
    </row>
    <row r="51" spans="1:11" ht="13.2">
      <c r="A51" t="str">
        <f>IF(OR(Data!$AV28="",Data!$AW28&gt;999),"","^XA^LH0,0^PRB,D^MD20^JMA^FS")</f>
        <v/>
      </c>
      <c r="B51" t="str">
        <f t="array" ref="B51">IF(A51&lt;&gt;"","^BY2,2.7,13^FO506,20^B2N,132,Y,N,N^SN"&amp;BarcodeValue(Data!BC$5,Data!BD$5,Data!AW28,0)&amp;",N,Y^FS","")</f>
        <v/>
      </c>
      <c r="C51" t="str">
        <f>IF(A51&lt;&gt;"","^FO20,20^A0N,28,37^CI13^FD"&amp;TEXT(Data!AY$5,"d/m/yyyy")&amp;"^FS","")</f>
        <v/>
      </c>
      <c r="D51" t="str">
        <f>IF(A51&lt;&gt;"","^FO220,20^A0N,41,48^CI13^FD"&amp;Data!$BC$5&amp;Data!$BD$5&amp;"/"&amp;RIGHT("000"&amp;Data!AW28,3)&amp;"^FS","")</f>
        <v/>
      </c>
      <c r="E51" t="str">
        <f>IF(A51&lt;&gt;"","^FO20,55^A0N,30,30^CI13^FD"&amp;Data!$BF$5&amp;"^FS","")</f>
        <v/>
      </c>
      <c r="F51" t="str">
        <f>IF(A51&lt;&gt;"","^FO20,95^A0N,30,30^CI13^FD"&amp;Data!AX$5&amp;"^FS","")</f>
        <v/>
      </c>
      <c r="G51" t="str">
        <f>IF(A51&lt;&gt;"","^FO20,135^A0N,30,30^CI13^FD"&amp;Data!BE28&amp;"^FS","")</f>
        <v/>
      </c>
      <c r="H51" t="str">
        <f>IF(A51&lt;&gt;"","^FO20,175^A0N,30,30^CI13^FD"&amp;Data!AY28&amp;"^FS","")</f>
        <v/>
      </c>
      <c r="I51" t="str">
        <f>IF(A51&lt;&gt;"","^FO300,175^A0N,30,30^CI13^FD"&amp;"W:"&amp;Data!BA28&amp;" H:"&amp;Data!BB28,"")</f>
        <v/>
      </c>
      <c r="J51" t="str">
        <f>IF(A51&lt;&gt;"","^PQ"&amp;Data!$F$23&amp;",0,"&amp;Data!$F$23&amp;",Y","")</f>
        <v/>
      </c>
      <c r="K51" t="s">
        <v>11919</v>
      </c>
    </row>
    <row r="52" spans="1:11" ht="13.2">
      <c r="A52" t="str">
        <f>IF(OR(Data!$AV29="",Data!$AW29&gt;999),"","^XA^LH0,0^PRB,D^MD20^JMA^FS")</f>
        <v/>
      </c>
      <c r="B52" t="str">
        <f t="array" ref="B52">IF(A52&lt;&gt;"","^BY2,2.7,13^FO506,20^B2N,132,Y,N,N^SN"&amp;BarcodeValue(Data!BC$5,Data!BD$5,Data!AW29,0)&amp;",N,Y^FS","")</f>
        <v/>
      </c>
      <c r="C52" t="str">
        <f>IF(A52&lt;&gt;"","^FO20,20^A0N,28,37^CI13^FD"&amp;TEXT(Data!AY$5,"d/m/yyyy")&amp;"^FS","")</f>
        <v/>
      </c>
      <c r="D52" t="str">
        <f>IF(A52&lt;&gt;"","^FO220,20^A0N,41,48^CI13^FD"&amp;Data!$BC$5&amp;Data!$BD$5&amp;"/"&amp;RIGHT("000"&amp;Data!AW29,3)&amp;"^FS","")</f>
        <v/>
      </c>
      <c r="E52" t="str">
        <f>IF(A52&lt;&gt;"","^FO20,55^A0N,30,30^CI13^FD"&amp;Data!$BF$5&amp;"^FS","")</f>
        <v/>
      </c>
      <c r="F52" t="str">
        <f>IF(A52&lt;&gt;"","^FO20,95^A0N,30,30^CI13^FD"&amp;Data!AX$5&amp;"^FS","")</f>
        <v/>
      </c>
      <c r="G52" t="str">
        <f>IF(A52&lt;&gt;"","^FO20,135^A0N,30,30^CI13^FD"&amp;Data!BE29&amp;"^FS","")</f>
        <v/>
      </c>
      <c r="H52" t="str">
        <f>IF(A52&lt;&gt;"","^FO20,175^A0N,30,30^CI13^FD"&amp;Data!AY29&amp;"^FS","")</f>
        <v/>
      </c>
      <c r="I52" t="str">
        <f>IF(A52&lt;&gt;"","^FO300,175^A0N,30,30^CI13^FD"&amp;"W:"&amp;Data!BA29&amp;" H:"&amp;Data!BB29,"")</f>
        <v/>
      </c>
      <c r="J52" t="str">
        <f>IF(A52&lt;&gt;"","^PQ"&amp;Data!$F$23&amp;",0,"&amp;Data!$F$23&amp;",Y","")</f>
        <v/>
      </c>
      <c r="K52" t="s">
        <v>11919</v>
      </c>
    </row>
    <row r="53" spans="1:11" ht="13.2">
      <c r="A53" t="str">
        <f>IF(OR(Data!$AV30="",Data!$AW30&gt;999),"","^XA^LH0,0^PRB,D^MD20^JMA^FS")</f>
        <v/>
      </c>
      <c r="B53" t="str">
        <f t="array" ref="B53">IF(A53&lt;&gt;"","^BY2,2.7,13^FO506,20^B2N,132,Y,N,N^SN"&amp;BarcodeValue(Data!BC$5,Data!BD$5,Data!AW30,0)&amp;",N,Y^FS","")</f>
        <v/>
      </c>
      <c r="C53" t="str">
        <f>IF(A53&lt;&gt;"","^FO20,20^A0N,28,37^CI13^FD"&amp;TEXT(Data!AY$5,"d/m/yyyy")&amp;"^FS","")</f>
        <v/>
      </c>
      <c r="D53" t="str">
        <f>IF(A53&lt;&gt;"","^FO220,20^A0N,41,48^CI13^FD"&amp;Data!$BC$5&amp;Data!$BD$5&amp;"/"&amp;RIGHT("000"&amp;Data!AW30,3)&amp;"^FS","")</f>
        <v/>
      </c>
      <c r="E53" t="str">
        <f>IF(A53&lt;&gt;"","^FO20,55^A0N,30,30^CI13^FD"&amp;Data!$BF$5&amp;"^FS","")</f>
        <v/>
      </c>
      <c r="F53" t="str">
        <f>IF(A53&lt;&gt;"","^FO20,95^A0N,30,30^CI13^FD"&amp;Data!AX$5&amp;"^FS","")</f>
        <v/>
      </c>
      <c r="G53" t="str">
        <f>IF(A53&lt;&gt;"","^FO20,135^A0N,30,30^CI13^FD"&amp;Data!BE30&amp;"^FS","")</f>
        <v/>
      </c>
      <c r="H53" t="str">
        <f>IF(A53&lt;&gt;"","^FO20,175^A0N,30,30^CI13^FD"&amp;Data!AY30&amp;"^FS","")</f>
        <v/>
      </c>
      <c r="I53" t="str">
        <f>IF(A53&lt;&gt;"","^FO300,175^A0N,30,30^CI13^FD"&amp;"W:"&amp;Data!BA30&amp;" H:"&amp;Data!BB30,"")</f>
        <v/>
      </c>
      <c r="J53" t="str">
        <f>IF(A53&lt;&gt;"","^PQ"&amp;Data!$F$23&amp;",0,"&amp;Data!$F$23&amp;",Y","")</f>
        <v/>
      </c>
      <c r="K53" t="s">
        <v>11919</v>
      </c>
    </row>
    <row r="54" spans="1:11" ht="13.2">
      <c r="A54" t="str">
        <f>IF(OR(Data!$AV31="",Data!$AW31&gt;999),"","^XA^LH0,0^PRB,D^MD20^JMA^FS")</f>
        <v/>
      </c>
      <c r="B54" t="str">
        <f t="array" ref="B54">IF(A54&lt;&gt;"","^BY2,2.7,13^FO506,20^B2N,132,Y,N,N^SN"&amp;BarcodeValue(Data!BC$5,Data!BD$5,Data!AW31,0)&amp;",N,Y^FS","")</f>
        <v/>
      </c>
      <c r="C54" t="str">
        <f>IF(A54&lt;&gt;"","^FO20,20^A0N,28,37^CI13^FD"&amp;TEXT(Data!AY$5,"d/m/yyyy")&amp;"^FS","")</f>
        <v/>
      </c>
      <c r="D54" t="str">
        <f>IF(A54&lt;&gt;"","^FO220,20^A0N,41,48^CI13^FD"&amp;Data!$BC$5&amp;Data!$BD$5&amp;"/"&amp;RIGHT("000"&amp;Data!AW31,3)&amp;"^FS","")</f>
        <v/>
      </c>
      <c r="E54" t="str">
        <f>IF(A54&lt;&gt;"","^FO20,55^A0N,30,30^CI13^FD"&amp;Data!$BF$5&amp;"^FS","")</f>
        <v/>
      </c>
      <c r="F54" t="str">
        <f>IF(A54&lt;&gt;"","^FO20,95^A0N,30,30^CI13^FD"&amp;Data!AX$5&amp;"^FS","")</f>
        <v/>
      </c>
      <c r="G54" t="str">
        <f>IF(A54&lt;&gt;"","^FO20,135^A0N,30,30^CI13^FD"&amp;Data!BE31&amp;"^FS","")</f>
        <v/>
      </c>
      <c r="H54" t="str">
        <f>IF(A54&lt;&gt;"","^FO20,175^A0N,30,30^CI13^FD"&amp;Data!AY31&amp;"^FS","")</f>
        <v/>
      </c>
      <c r="I54" t="str">
        <f>IF(A54&lt;&gt;"","^FO300,175^A0N,30,30^CI13^FD"&amp;"W:"&amp;Data!BA31&amp;" H:"&amp;Data!BB31,"")</f>
        <v/>
      </c>
      <c r="J54" t="str">
        <f>IF(A54&lt;&gt;"","^PQ"&amp;Data!$F$23&amp;",0,"&amp;Data!$F$23&amp;",Y","")</f>
        <v/>
      </c>
      <c r="K54" t="s">
        <v>11919</v>
      </c>
    </row>
    <row r="55" spans="1:11" ht="13.2">
      <c r="A55" t="str">
        <f>IF(OR(Data!$AV32="",Data!$AW32&gt;999),"","^XA^LH0,0^PRB,D^MD20^JMA^FS")</f>
        <v/>
      </c>
      <c r="B55" t="str">
        <f t="array" ref="B55">IF(A55&lt;&gt;"","^BY2,2.7,13^FO506,20^B2N,132,Y,N,N^SN"&amp;BarcodeValue(Data!BC$5,Data!BD$5,Data!AW32,0)&amp;",N,Y^FS","")</f>
        <v/>
      </c>
      <c r="C55" t="str">
        <f>IF(A55&lt;&gt;"","^FO20,20^A0N,28,37^CI13^FD"&amp;TEXT(Data!AY$5,"d/m/yyyy")&amp;"^FS","")</f>
        <v/>
      </c>
      <c r="D55" t="str">
        <f>IF(A55&lt;&gt;"","^FO220,20^A0N,41,48^CI13^FD"&amp;Data!$BC$5&amp;Data!$BD$5&amp;"/"&amp;RIGHT("000"&amp;Data!AW32,3)&amp;"^FS","")</f>
        <v/>
      </c>
      <c r="E55" t="str">
        <f>IF(A55&lt;&gt;"","^FO20,55^A0N,30,30^CI13^FD"&amp;Data!$BF$5&amp;"^FS","")</f>
        <v/>
      </c>
      <c r="F55" t="str">
        <f>IF(A55&lt;&gt;"","^FO20,95^A0N,30,30^CI13^FD"&amp;Data!AX$5&amp;"^FS","")</f>
        <v/>
      </c>
      <c r="G55" t="str">
        <f>IF(A55&lt;&gt;"","^FO20,135^A0N,30,30^CI13^FD"&amp;Data!BE32&amp;"^FS","")</f>
        <v/>
      </c>
      <c r="H55" t="str">
        <f>IF(A55&lt;&gt;"","^FO20,175^A0N,30,30^CI13^FD"&amp;Data!AY32&amp;"^FS","")</f>
        <v/>
      </c>
      <c r="I55" t="str">
        <f>IF(A55&lt;&gt;"","^FO300,175^A0N,30,30^CI13^FD"&amp;"W:"&amp;Data!BA32&amp;" H:"&amp;Data!BB32,"")</f>
        <v/>
      </c>
      <c r="J55" t="str">
        <f>IF(A55&lt;&gt;"","^PQ"&amp;Data!$F$23&amp;",0,"&amp;Data!$F$23&amp;",Y","")</f>
        <v/>
      </c>
      <c r="K55" t="s">
        <v>11919</v>
      </c>
    </row>
    <row r="56" spans="1:11" ht="13.2">
      <c r="A56" t="str">
        <f>IF(OR(Data!$AV21="",Data!$AW21&gt;999),"","^XA^LH0,0^PRB,D^MD20^JMA^FS")</f>
        <v>^XA^LH0,0^PRB,D^MD20^JMA^FS</v>
      </c>
      <c r="B56" t="str">
        <f t="array" ref="B56">IF(A56&lt;&gt;"","^BY2,2.7,13^FO506,20^B2N,132,Y,N,N^SN"&amp;BarcodeValue(Data!BC$5,Data!BD$5,Data!AW21,0)&amp;",N,Y^FS","")</f>
        <v>^BY2,2.7,13^FO506,20^B2N,132,Y,N,N^SN0039776700380002,N,Y^FS</v>
      </c>
      <c r="C56" t="str">
        <f>IF(A56&lt;&gt;"","^FO20,20^A0N,28,37^CI13^FD"&amp;TEXT(Data!AY$5,"d/m/yyyy")&amp;"^FS","")</f>
        <v>^FO20,20^A0N,28,37^CI13^FD12/8/2026^FS</v>
      </c>
      <c r="D56" t="str">
        <f>IF(A56&lt;&gt;"","^FO220,20^A0N,41,48^CI13^FD"&amp;Data!$BC$5&amp;Data!$BD$5&amp;"/"&amp;RIGHT("000"&amp;Data!AW21,3)&amp;"^FS","")</f>
        <v>^FO220,20^A0N,41,48^CI13^FD39776F/038^FS</v>
      </c>
      <c r="E56" t="str">
        <f>IF(A56&lt;&gt;"","^FO20,55^A0N,30,30^CI13^FD"&amp;Data!$BF$5&amp;"^FS","")</f>
        <v>^FO20,55^A0N,30,30^CI13^FDHare, Kaitlin^FS</v>
      </c>
      <c r="F56" t="str">
        <f>IF(A56&lt;&gt;"","^FO20,95^A0N,30,30^CI13^FD"&amp;Data!AX$5&amp;"^FS","")</f>
        <v>^FO20,95^A0N,30,30^CI13^FDWhole House^FS</v>
      </c>
      <c r="G56" t="str">
        <f>IF(A56&lt;&gt;"","^FO20,135^A0N,30,30^CI13^FD"&amp;Data!BE21&amp;"^FS","")</f>
        <v>^FO20,135^A0N,30,30^CI13^FDCURT Nettex Brunswick (Continuous) Uncoated Talc^FS</v>
      </c>
      <c r="H56" t="str">
        <f>IF(A56&lt;&gt;"","^FO20,175^A0N,30,30^CI13^FD"&amp;Data!AY21&amp;"^FS","")</f>
        <v>^FO20,175^A0N,30,30^CI13^FDFront Lounge 2 ALTERATION^FS</v>
      </c>
      <c r="I56" t="str">
        <f>IF(A56&lt;&gt;"","^FO300,175^A0N,30,30^CI13^FD"&amp;"W:"&amp;Data!BA21&amp;" H:"&amp;Data!BB21,"")</f>
        <v>^FO300,175^A0N,30,30^CI13^FDW:3050 H:2245</v>
      </c>
      <c r="J56" t="str">
        <f>IF(A56&lt;&gt;"","^PQ"&amp;Data!$F$23&amp;",0,"&amp;Data!$F$23&amp;",Y","")</f>
        <v>^PQ0,0,0,Y</v>
      </c>
      <c r="K56" t="s">
        <v>7494</v>
      </c>
    </row>
    <row r="57" spans="1:11" ht="13.2">
      <c r="A57" t="str">
        <f>IF(OR(Data!$AV21="",Data!$AW21&gt;999),"","^XA^LH0,0^PRB,D^MD20^JMA^FS")</f>
        <v>^XA^LH0,0^PRB,D^MD20^JMA^FS</v>
      </c>
      <c r="B57" t="str">
        <f t="array" ref="B57">IF(A57&lt;&gt;"","^BY2,2.7,13^FO506,20^B2N,132,Y,N,N^SN"&amp;BarcodeValue(Data!BC$5,Data!BD$5,Data!AW21,0)&amp;",N,Y^FS","")</f>
        <v>^BY2,2.7,13^FO506,20^B2N,132,Y,N,N^SN0039776700380002,N,Y^FS</v>
      </c>
      <c r="C57" t="str">
        <f>IF(A57&lt;&gt;"","^FO20,20^A0N,28,37^CI13^FD"&amp;TEXT(Data!AY$5,"d/m/yyyy")&amp;"^FS","")</f>
        <v>^FO20,20^A0N,28,37^CI13^FD12/8/2026^FS</v>
      </c>
      <c r="D57" t="str">
        <f>IF(A57&lt;&gt;"","^FO220,20^A0N,41,48^CI13^FD"&amp;Data!$BC$5&amp;Data!$BD$5&amp;"/"&amp;RIGHT("000"&amp;Data!AW21,3)&amp;"^FS","")</f>
        <v>^FO220,20^A0N,41,48^CI13^FD39776F/038^FS</v>
      </c>
      <c r="E57" t="str">
        <f>IF(A57&lt;&gt;"","^FO20,55^A0N,30,30^CI13^FD"&amp;Data!$BF$5&amp;"^FS","")</f>
        <v>^FO20,55^A0N,30,30^CI13^FDHare, Kaitlin^FS</v>
      </c>
      <c r="F57" t="str">
        <f>IF(A57&lt;&gt;"","^FO20,95^A0N,30,30^CI13^FD"&amp;Data!AX$5&amp;"^FS","")</f>
        <v>^FO20,95^A0N,30,30^CI13^FDWhole House^FS</v>
      </c>
      <c r="G57" t="str">
        <f>IF(A57&lt;&gt;"","^FO20,135^A0N,30,30^CI13^FD"&amp;Data!BE21&amp;"^FS","")</f>
        <v>^FO20,135^A0N,30,30^CI13^FDCURT Nettex Brunswick (Continuous) Uncoated Talc^FS</v>
      </c>
      <c r="H57" t="str">
        <f>IF(A57&lt;&gt;"","^FO20,175^A0N,30,30^CI13^FD"&amp;Data!AY21&amp;"^FS","")</f>
        <v>^FO20,175^A0N,30,30^CI13^FDFront Lounge 2 ALTERATION^FS</v>
      </c>
      <c r="I57" t="str">
        <f>IF(A57&lt;&gt;"","^FO300,175^A0N,30,30^CI13^FD"&amp;"W:"&amp;Data!BA21&amp;" H:"&amp;Data!BB21,"")</f>
        <v>^FO300,175^A0N,30,30^CI13^FDW:3050 H:2245</v>
      </c>
      <c r="J57" t="str">
        <f>IF(A57&lt;&gt;"","^PQ"&amp;Data!$F$23&amp;",0,"&amp;Data!$F$23&amp;",Y","")</f>
        <v>^PQ0,0,0,Y</v>
      </c>
      <c r="K57" t="s">
        <v>7494</v>
      </c>
    </row>
    <row r="58" spans="1:11" ht="13.2">
      <c r="A58" t="str">
        <f>IF(OR(Data!$AV21="",Data!$AW21&gt;999),"","^XA^LH0,0^PRB,D^MD20^JMA^FS")</f>
        <v>^XA^LH0,0^PRB,D^MD20^JMA^FS</v>
      </c>
      <c r="B58" t="str">
        <f t="array" ref="B58">IF(A58&lt;&gt;"","^BY2,2.7,13^FO506,20^B2N,132,Y,N,N^SN"&amp;BarcodeValue(Data!BC$5,Data!BD$5,Data!AW21,0)&amp;",N,Y^FS","")</f>
        <v>^BY2,2.7,13^FO506,20^B2N,132,Y,N,N^SN0039776700380002,N,Y^FS</v>
      </c>
      <c r="C58" t="str">
        <f>IF(A58&lt;&gt;"","^FO20,20^A0N,28,37^CI13^FD"&amp;TEXT(Data!AY$5,"d/m/yyyy")&amp;"^FS","")</f>
        <v>^FO20,20^A0N,28,37^CI13^FD12/8/2026^FS</v>
      </c>
      <c r="D58" t="str">
        <f>IF(A58&lt;&gt;"","^FO220,20^A0N,41,48^CI13^FD"&amp;Data!$BC$5&amp;Data!$BD$5&amp;"/"&amp;RIGHT("000"&amp;Data!AW21,3)&amp;"^FS","")</f>
        <v>^FO220,20^A0N,41,48^CI13^FD39776F/038^FS</v>
      </c>
      <c r="E58" t="str">
        <f>IF(A58&lt;&gt;"","^FO20,55^A0N,30,30^CI13^FD"&amp;Data!$BF$5&amp;"^FS","")</f>
        <v>^FO20,55^A0N,30,30^CI13^FDHare, Kaitlin^FS</v>
      </c>
      <c r="F58" t="str">
        <f>IF(A58&lt;&gt;"","^FO20,95^A0N,30,30^CI13^FD"&amp;Data!AX$5&amp;"^FS","")</f>
        <v>^FO20,95^A0N,30,30^CI13^FDWhole House^FS</v>
      </c>
      <c r="G58" t="str">
        <f>IF(A58&lt;&gt;"","^FO20,135^A0N,30,30^CI13^FD"&amp;Data!BE21&amp;"^FS","")</f>
        <v>^FO20,135^A0N,30,30^CI13^FDCURT Nettex Brunswick (Continuous) Uncoated Talc^FS</v>
      </c>
      <c r="H58" t="str">
        <f>IF(A58&lt;&gt;"","^FO20,175^A0N,30,30^CI13^FD"&amp;Data!AY21&amp;"^FS","")</f>
        <v>^FO20,175^A0N,30,30^CI13^FDFront Lounge 2 ALTERATION^FS</v>
      </c>
      <c r="I58" t="str">
        <f>IF(A58&lt;&gt;"","^FO300,175^A0N,30,30^CI13^FD"&amp;"W:"&amp;Data!BA21&amp;" H:"&amp;Data!BB21,"")</f>
        <v>^FO300,175^A0N,30,30^CI13^FDW:3050 H:2245</v>
      </c>
      <c r="J58" t="str">
        <f>IF(A58&lt;&gt;"","^PQ"&amp;Data!$F$23&amp;",0,"&amp;Data!$F$23&amp;",Y","")</f>
        <v>^PQ0,0,0,Y</v>
      </c>
      <c r="K58" t="s">
        <v>7494</v>
      </c>
    </row>
    <row r="59" spans="1:11" ht="13.2">
      <c r="A59" t="str">
        <f>IF(OR(Data!$AV21="",Data!$AW21&gt;999),"","^XA^LH0,0^PRB,D^MD20^JMA^FS")</f>
        <v>^XA^LH0,0^PRB,D^MD20^JMA^FS</v>
      </c>
      <c r="B59" t="str">
        <f t="array" ref="B59">IF(A59&lt;&gt;"","^BY2,2.7,13^FO506,20^B2N,132,Y,N,N^SN"&amp;BarcodeValue(Data!BC$5,Data!BD$5,Data!AW21,0)&amp;",N,Y^FS","")</f>
        <v>^BY2,2.7,13^FO506,20^B2N,132,Y,N,N^SN0039776700380002,N,Y^FS</v>
      </c>
      <c r="C59" t="str">
        <f>IF(A59&lt;&gt;"","^FO20,20^A0N,28,37^CI13^FD"&amp;TEXT(Data!AY$5,"d/m/yyyy")&amp;"^FS","")</f>
        <v>^FO20,20^A0N,28,37^CI13^FD12/8/2026^FS</v>
      </c>
      <c r="D59" t="str">
        <f>IF(A59&lt;&gt;"","^FO220,20^A0N,41,48^CI13^FD"&amp;Data!$BC$5&amp;Data!$BD$5&amp;"/"&amp;RIGHT("000"&amp;Data!AW21,3)&amp;"^FS","")</f>
        <v>^FO220,20^A0N,41,48^CI13^FD39776F/038^FS</v>
      </c>
      <c r="E59" t="str">
        <f>IF(A59&lt;&gt;"","^FO20,55^A0N,30,30^CI13^FD"&amp;Data!$BF$5&amp;"^FS","")</f>
        <v>^FO20,55^A0N,30,30^CI13^FDHare, Kaitlin^FS</v>
      </c>
      <c r="F59" t="str">
        <f>IF(A59&lt;&gt;"","^FO20,95^A0N,30,30^CI13^FD"&amp;Data!AX$5&amp;"^FS","")</f>
        <v>^FO20,95^A0N,30,30^CI13^FDWhole House^FS</v>
      </c>
      <c r="G59" t="str">
        <f>IF(A59&lt;&gt;"","^FO20,135^A0N,30,30^CI13^FD"&amp;Data!BE21&amp;"^FS","")</f>
        <v>^FO20,135^A0N,30,30^CI13^FDCURT Nettex Brunswick (Continuous) Uncoated Talc^FS</v>
      </c>
      <c r="H59" t="str">
        <f>IF(A59&lt;&gt;"","^FO20,175^A0N,30,30^CI13^FD"&amp;Data!AY21&amp;"^FS","")</f>
        <v>^FO20,175^A0N,30,30^CI13^FDFront Lounge 2 ALTERATION^FS</v>
      </c>
      <c r="I59" t="str">
        <f>IF(A59&lt;&gt;"","^FO300,175^A0N,30,30^CI13^FD"&amp;"W:"&amp;Data!BA21&amp;" H:"&amp;Data!BB21,"")</f>
        <v>^FO300,175^A0N,30,30^CI13^FDW:3050 H:2245</v>
      </c>
      <c r="J59" t="str">
        <f>IF(A59&lt;&gt;"","^PQ"&amp;Data!$F$23&amp;",0,"&amp;Data!$F$23&amp;",Y","")</f>
        <v>^PQ0,0,0,Y</v>
      </c>
      <c r="K59" t="s">
        <v>7494</v>
      </c>
    </row>
    <row r="60" spans="1:11" ht="13.2">
      <c r="A60" t="str">
        <f>IF(OR(Data!$AV22="",Data!$AW22&gt;999),"","^XA^LH0,0^PRB,D^MD20^JMA^FS")</f>
        <v>^XA^LH0,0^PRB,D^MD20^JMA^FS</v>
      </c>
      <c r="B60" t="str">
        <f t="array" ref="B60">IF(A60&lt;&gt;"","^BY2,2.7,13^FO506,20^B2N,132,Y,N,N^SN"&amp;BarcodeValue(Data!BC$5,Data!BD$5,Data!AW22,0)&amp;",N,Y^FS","")</f>
        <v>^BY2,2.7,13^FO506,20^B2N,132,Y,N,N^SN0039776700390001,N,Y^FS</v>
      </c>
      <c r="C60" t="str">
        <f>IF(A60&lt;&gt;"","^FO20,20^A0N,28,37^CI13^FD"&amp;TEXT(Data!AY$5,"d/m/yyyy")&amp;"^FS","")</f>
        <v>^FO20,20^A0N,28,37^CI13^FD12/8/2026^FS</v>
      </c>
      <c r="D60" t="str">
        <f>IF(A60&lt;&gt;"","^FO220,20^A0N,41,48^CI13^FD"&amp;Data!$BC$5&amp;Data!$BD$5&amp;"/"&amp;RIGHT("000"&amp;Data!AW22,3)&amp;"^FS","")</f>
        <v>^FO220,20^A0N,41,48^CI13^FD39776F/039^FS</v>
      </c>
      <c r="E60" t="str">
        <f>IF(A60&lt;&gt;"","^FO20,55^A0N,30,30^CI13^FD"&amp;Data!$BF$5&amp;"^FS","")</f>
        <v>^FO20,55^A0N,30,30^CI13^FDHare, Kaitlin^FS</v>
      </c>
      <c r="F60" t="str">
        <f>IF(A60&lt;&gt;"","^FO20,95^A0N,30,30^CI13^FD"&amp;Data!AX$5&amp;"^FS","")</f>
        <v>^FO20,95^A0N,30,30^CI13^FDWhole House^FS</v>
      </c>
      <c r="G60" t="str">
        <f>IF(A60&lt;&gt;"","^FO20,135^A0N,30,30^CI13^FD"&amp;Data!BE22&amp;"^FS","")</f>
        <v>^FO20,135^A0N,30,30^CI13^FDCURT Filigree Simplicity 300cm (Continuous) Lining Off White^FS</v>
      </c>
      <c r="H60" t="str">
        <f>IF(A60&lt;&gt;"","^FO20,175^A0N,30,30^CI13^FD"&amp;Data!AY22&amp;"^FS","")</f>
        <v>^FO20,175^A0N,30,30^CI13^FDMaster Door ALTERATION^FS</v>
      </c>
      <c r="I60" t="str">
        <f>IF(A60&lt;&gt;"","^FO300,175^A0N,30,30^CI13^FD"&amp;"W:"&amp;Data!BA22&amp;" H:"&amp;Data!BB22,"")</f>
        <v>^FO300,175^A0N,30,30^CI13^FDW:3502 H:2660</v>
      </c>
      <c r="J60" t="str">
        <f>IF(A60&lt;&gt;"","^PQ"&amp;Data!$F$23&amp;",0,"&amp;Data!$F$23&amp;",Y","")</f>
        <v>^PQ0,0,0,Y</v>
      </c>
      <c r="K60" t="s">
        <v>11919</v>
      </c>
    </row>
    <row r="61" spans="1:11" ht="13.2">
      <c r="A61" t="str">
        <f>IF(OR(Data!$AV23="",Data!$AW23&gt;999),"","^XA^LH0,0^PRB,D^MD20^JMA^FS")</f>
        <v/>
      </c>
      <c r="B61" t="str">
        <f t="array" ref="B61">IF(A61&lt;&gt;"","^BY2,2.7,13^FO506,20^B2N,132,Y,N,N^SN"&amp;BarcodeValue(Data!BC$5,Data!BD$5,Data!AW23,0)&amp;",N,Y^FS","")</f>
        <v/>
      </c>
      <c r="C61" t="str">
        <f>IF(A61&lt;&gt;"","^FO20,20^A0N,28,37^CI13^FD"&amp;TEXT(Data!AY$5,"d/m/yyyy")&amp;"^FS","")</f>
        <v/>
      </c>
      <c r="D61" t="str">
        <f>IF(A61&lt;&gt;"","^FO220,20^A0N,41,48^CI13^FD"&amp;Data!$BC$5&amp;Data!$BD$5&amp;"/"&amp;RIGHT("000"&amp;Data!AW23,3)&amp;"^FS","")</f>
        <v/>
      </c>
      <c r="E61" t="str">
        <f>IF(A61&lt;&gt;"","^FO20,55^A0N,30,30^CI13^FD"&amp;Data!$BF$5&amp;"^FS","")</f>
        <v/>
      </c>
      <c r="F61" t="str">
        <f>IF(A61&lt;&gt;"","^FO20,95^A0N,30,30^CI13^FD"&amp;Data!AX$5&amp;"^FS","")</f>
        <v/>
      </c>
      <c r="G61" t="str">
        <f>IF(A61&lt;&gt;"","^FO20,135^A0N,30,30^CI13^FD"&amp;Data!BE23&amp;"^FS","")</f>
        <v/>
      </c>
      <c r="H61" t="str">
        <f>IF(A61&lt;&gt;"","^FO20,175^A0N,30,30^CI13^FD"&amp;Data!AY23&amp;"^FS","")</f>
        <v/>
      </c>
      <c r="I61" t="str">
        <f>IF(A61&lt;&gt;"","^FO300,175^A0N,30,30^CI13^FD"&amp;"W:"&amp;Data!BA23&amp;" H:"&amp;Data!BB23,"")</f>
        <v/>
      </c>
      <c r="J61" t="str">
        <f>IF(A61&lt;&gt;"","^PQ"&amp;Data!$F$23&amp;",0,"&amp;Data!$F$23&amp;",Y","")</f>
        <v/>
      </c>
      <c r="K61" t="s">
        <v>11919</v>
      </c>
    </row>
    <row r="62" spans="1:11" ht="13.2">
      <c r="A62" t="str">
        <f>IF(OR(Data!$AV24="",Data!$AW24&gt;999),"","^XA^LH0,0^PRB,D^MD20^JMA^FS")</f>
        <v/>
      </c>
      <c r="B62" t="str">
        <f t="array" ref="B62">IF(A62&lt;&gt;"","^BY2,2.7,13^FO506,20^B2N,132,Y,N,N^SN"&amp;BarcodeValue(Data!BC$5,Data!BD$5,Data!AW24,0)&amp;",N,Y^FS","")</f>
        <v/>
      </c>
      <c r="C62" t="str">
        <f>IF(A62&lt;&gt;"","^FO20,20^A0N,28,37^CI13^FD"&amp;TEXT(Data!AY$5,"d/m/yyyy")&amp;"^FS","")</f>
        <v/>
      </c>
      <c r="D62" t="str">
        <f>IF(A62&lt;&gt;"","^FO220,20^A0N,41,48^CI13^FD"&amp;Data!$BC$5&amp;Data!$BD$5&amp;"/"&amp;RIGHT("000"&amp;Data!AW24,3)&amp;"^FS","")</f>
        <v/>
      </c>
      <c r="E62" t="str">
        <f>IF(A62&lt;&gt;"","^FO20,55^A0N,30,30^CI13^FD"&amp;Data!$BF$5&amp;"^FS","")</f>
        <v/>
      </c>
      <c r="F62" t="str">
        <f>IF(A62&lt;&gt;"","^FO20,95^A0N,30,30^CI13^FD"&amp;Data!AX$5&amp;"^FS","")</f>
        <v/>
      </c>
      <c r="G62" t="str">
        <f>IF(A62&lt;&gt;"","^FO20,135^A0N,30,30^CI13^FD"&amp;Data!BE24&amp;"^FS","")</f>
        <v/>
      </c>
      <c r="H62" t="str">
        <f>IF(A62&lt;&gt;"","^FO20,175^A0N,30,30^CI13^FD"&amp;Data!AY24&amp;"^FS","")</f>
        <v/>
      </c>
      <c r="I62" t="str">
        <f>IF(A62&lt;&gt;"","^FO300,175^A0N,30,30^CI13^FD"&amp;"W:"&amp;Data!BA24&amp;" H:"&amp;Data!BB24,"")</f>
        <v/>
      </c>
      <c r="J62" t="str">
        <f>IF(A62&lt;&gt;"","^PQ"&amp;Data!$F$23&amp;",0,"&amp;Data!$F$23&amp;",Y","")</f>
        <v/>
      </c>
      <c r="K62" t="s">
        <v>11919</v>
      </c>
    </row>
    <row r="63" spans="1:11" ht="13.2">
      <c r="A63" t="str">
        <f>IF(OR(Data!$AV25="",Data!$AW25&gt;999),"","^XA^LH0,0^PRB,D^MD20^JMA^FS")</f>
        <v/>
      </c>
      <c r="B63" t="str">
        <f t="array" ref="B63">IF(A63&lt;&gt;"","^BY2,2.7,13^FO506,20^B2N,132,Y,N,N^SN"&amp;BarcodeValue(Data!BC$5,Data!BD$5,Data!AW25,0)&amp;",N,Y^FS","")</f>
        <v/>
      </c>
      <c r="C63" t="str">
        <f>IF(A63&lt;&gt;"","^FO20,20^A0N,28,37^CI13^FD"&amp;TEXT(Data!AY$5,"d/m/yyyy")&amp;"^FS","")</f>
        <v/>
      </c>
      <c r="D63" t="str">
        <f>IF(A63&lt;&gt;"","^FO220,20^A0N,41,48^CI13^FD"&amp;Data!$BC$5&amp;Data!$BD$5&amp;"/"&amp;RIGHT("000"&amp;Data!AW25,3)&amp;"^FS","")</f>
        <v/>
      </c>
      <c r="E63" t="str">
        <f>IF(A63&lt;&gt;"","^FO20,55^A0N,30,30^CI13^FD"&amp;Data!$BF$5&amp;"^FS","")</f>
        <v/>
      </c>
      <c r="F63" t="str">
        <f>IF(A63&lt;&gt;"","^FO20,95^A0N,30,30^CI13^FD"&amp;Data!AX$5&amp;"^FS","")</f>
        <v/>
      </c>
      <c r="G63" t="str">
        <f>IF(A63&lt;&gt;"","^FO20,135^A0N,30,30^CI13^FD"&amp;Data!BE25&amp;"^FS","")</f>
        <v/>
      </c>
      <c r="H63" t="str">
        <f>IF(A63&lt;&gt;"","^FO20,175^A0N,30,30^CI13^FD"&amp;Data!AY25&amp;"^FS","")</f>
        <v/>
      </c>
      <c r="I63" t="str">
        <f>IF(A63&lt;&gt;"","^FO300,175^A0N,30,30^CI13^FD"&amp;"W:"&amp;Data!BA25&amp;" H:"&amp;Data!BB25,"")</f>
        <v/>
      </c>
      <c r="J63" t="str">
        <f>IF(A63&lt;&gt;"","^PQ"&amp;Data!$F$23&amp;",0,"&amp;Data!$F$23&amp;",Y","")</f>
        <v/>
      </c>
      <c r="K63" t="s">
        <v>11919</v>
      </c>
    </row>
    <row r="64" spans="1:11" ht="13.2">
      <c r="A64" t="str">
        <f>IF(OR(Data!$AV21="",Data!$AW21&gt;999),"","^XA^LH0,0^PRB,D^MD20^JMA^FS")</f>
        <v>^XA^LH0,0^PRB,D^MD20^JMA^FS</v>
      </c>
      <c r="B64" t="str">
        <f t="array" ref="B64">IF(A64&lt;&gt;"","^BY2,2.7,13^FO506,20^B2N,132,Y,N,N^SN"&amp;BarcodeValue(Data!BC$5,Data!BD$5,Data!AW21,0)&amp;",N,Y^FS","")</f>
        <v>^BY2,2.7,13^FO506,20^B2N,132,Y,N,N^SN0039776700380002,N,Y^FS</v>
      </c>
      <c r="C64" t="str">
        <f>IF(A64&lt;&gt;"","^FO20,20^A0N,28,37^CI13^FD"&amp;TEXT(Data!AY$5,"d/m/yyyy")&amp;"^FS","")</f>
        <v>^FO20,20^A0N,28,37^CI13^FD12/8/2026^FS</v>
      </c>
      <c r="D64" t="str">
        <f>IF(A64&lt;&gt;"","^FO220,20^A0N,41,48^CI13^FD"&amp;Data!$BC$5&amp;Data!$BD$5&amp;"/"&amp;RIGHT("000"&amp;Data!AW21,3)&amp;"^FS","")</f>
        <v>^FO220,20^A0N,41,48^CI13^FD39776F/038^FS</v>
      </c>
      <c r="E64" t="str">
        <f>IF(A64&lt;&gt;"","^FO20,55^A0N,30,30^CI13^FD"&amp;Data!$BF$5&amp;"^FS","")</f>
        <v>^FO20,55^A0N,30,30^CI13^FDHare, Kaitlin^FS</v>
      </c>
      <c r="F64" t="str">
        <f>IF(A64&lt;&gt;"","^FO20,95^A0N,30,30^CI13^FD"&amp;Data!AX$5&amp;"^FS","")</f>
        <v>^FO20,95^A0N,30,30^CI13^FDWhole House^FS</v>
      </c>
      <c r="G64" t="str">
        <f>IF(A64&lt;&gt;"","^FO20,135^A0N,30,30^CI13^FD"&amp;Data!BE21&amp;"^FS","")</f>
        <v>^FO20,135^A0N,30,30^CI13^FDCURT Nettex Brunswick (Continuous) Uncoated Talc^FS</v>
      </c>
      <c r="H64" t="str">
        <f>IF(A64&lt;&gt;"","^FO20,175^A0N,30,30^CI13^FD"&amp;Data!AY21&amp;"^FS","")</f>
        <v>^FO20,175^A0N,30,30^CI13^FDFront Lounge 2 ALTERATION^FS</v>
      </c>
      <c r="I64" t="str">
        <f>IF(A64&lt;&gt;"","^FO300,175^A0N,30,30^CI13^FD"&amp;"W:"&amp;Data!BA21&amp;" H:"&amp;Data!BB21,"")</f>
        <v>^FO300,175^A0N,30,30^CI13^FDW:3050 H:2245</v>
      </c>
      <c r="J64" t="str">
        <f>IF(A64&lt;&gt;"","^PQ"&amp;Data!$F$23&amp;",0,"&amp;Data!$F$23&amp;",Y","")</f>
        <v>^PQ0,0,0,Y</v>
      </c>
      <c r="K64" t="s">
        <v>7494</v>
      </c>
    </row>
    <row r="65" spans="1:11" ht="13.2">
      <c r="A65" t="str">
        <f>IF(OR(Data!$AV22="",Data!$AW22&gt;999),"","^XA^LH0,0^PRB,D^MD20^JMA^FS")</f>
        <v>^XA^LH0,0^PRB,D^MD20^JMA^FS</v>
      </c>
      <c r="B65" t="str">
        <f t="array" ref="B65">IF(A65&lt;&gt;"","^BY2,2.7,13^FO506,20^B2N,132,Y,N,N^SN"&amp;BarcodeValue(Data!BC$5,Data!BD$5,Data!AW22,0)&amp;",N,Y^FS","")</f>
        <v>^BY2,2.7,13^FO506,20^B2N,132,Y,N,N^SN0039776700390001,N,Y^FS</v>
      </c>
      <c r="C65" t="str">
        <f>IF(A65&lt;&gt;"","^FO20,20^A0N,28,37^CI13^FD"&amp;TEXT(Data!AY$5,"d/m/yyyy")&amp;"^FS","")</f>
        <v>^FO20,20^A0N,28,37^CI13^FD12/8/2026^FS</v>
      </c>
      <c r="D65" t="str">
        <f>IF(A65&lt;&gt;"","^FO220,20^A0N,41,48^CI13^FD"&amp;Data!$BC$5&amp;Data!$BD$5&amp;"/"&amp;RIGHT("000"&amp;Data!AW22,3)&amp;"^FS","")</f>
        <v>^FO220,20^A0N,41,48^CI13^FD39776F/039^FS</v>
      </c>
      <c r="E65" t="str">
        <f>IF(A65&lt;&gt;"","^FO20,55^A0N,30,30^CI13^FD"&amp;Data!$BF$5&amp;"^FS","")</f>
        <v>^FO20,55^A0N,30,30^CI13^FDHare, Kaitlin^FS</v>
      </c>
      <c r="F65" t="str">
        <f>IF(A65&lt;&gt;"","^FO20,95^A0N,30,30^CI13^FD"&amp;Data!AX$5&amp;"^FS","")</f>
        <v>^FO20,95^A0N,30,30^CI13^FDWhole House^FS</v>
      </c>
      <c r="G65" t="str">
        <f>IF(A65&lt;&gt;"","^FO20,135^A0N,30,30^CI13^FD"&amp;Data!BE22&amp;"^FS","")</f>
        <v>^FO20,135^A0N,30,30^CI13^FDCURT Filigree Simplicity 300cm (Continuous) Lining Off White^FS</v>
      </c>
      <c r="H65" t="str">
        <f>IF(A65&lt;&gt;"","^FO20,175^A0N,30,30^CI13^FD"&amp;Data!AY22&amp;"^FS","")</f>
        <v>^FO20,175^A0N,30,30^CI13^FDMaster Door ALTERATION^FS</v>
      </c>
      <c r="I65" t="str">
        <f>IF(A65&lt;&gt;"","^FO300,175^A0N,30,30^CI13^FD"&amp;"W:"&amp;Data!BA22&amp;" H:"&amp;Data!BB22,"")</f>
        <v>^FO300,175^A0N,30,30^CI13^FDW:3502 H:2660</v>
      </c>
      <c r="J65" t="str">
        <f>IF(A65&lt;&gt;"","^PQ"&amp;Data!$F$23&amp;",0,"&amp;Data!$F$23&amp;",Y","")</f>
        <v>^PQ0,0,0,Y</v>
      </c>
      <c r="K65" t="s">
        <v>11919</v>
      </c>
    </row>
    <row r="66" spans="1:11" ht="13.2">
      <c r="A66" t="str">
        <f>IF(OR(Data!$AV23="",Data!$AW23&gt;999),"","^XA^LH0,0^PRB,D^MD20^JMA^FS")</f>
        <v/>
      </c>
      <c r="B66" t="str">
        <f t="array" ref="B66">IF(A66&lt;&gt;"","^BY2,2.7,13^FO506,20^B2N,132,Y,N,N^SN"&amp;BarcodeValue(Data!BC$5,Data!BD$5,Data!AW23,0)&amp;",N,Y^FS","")</f>
        <v/>
      </c>
      <c r="C66" t="str">
        <f>IF(A66&lt;&gt;"","^FO20,20^A0N,28,37^CI13^FD"&amp;TEXT(Data!AY$5,"d/m/yyyy")&amp;"^FS","")</f>
        <v/>
      </c>
      <c r="D66" t="str">
        <f>IF(A66&lt;&gt;"","^FO220,20^A0N,41,48^CI13^FD"&amp;Data!$BC$5&amp;Data!$BD$5&amp;"/"&amp;RIGHT("000"&amp;Data!AW23,3)&amp;"^FS","")</f>
        <v/>
      </c>
      <c r="E66" t="str">
        <f>IF(A66&lt;&gt;"","^FO20,55^A0N,30,30^CI13^FD"&amp;Data!$BF$5&amp;"^FS","")</f>
        <v/>
      </c>
      <c r="F66" t="str">
        <f>IF(A66&lt;&gt;"","^FO20,95^A0N,30,30^CI13^FD"&amp;Data!AX$5&amp;"^FS","")</f>
        <v/>
      </c>
      <c r="G66" t="str">
        <f>IF(A66&lt;&gt;"","^FO20,135^A0N,30,30^CI13^FD"&amp;Data!BE23&amp;"^FS","")</f>
        <v/>
      </c>
      <c r="H66" t="str">
        <f>IF(A66&lt;&gt;"","^FO20,175^A0N,30,30^CI13^FD"&amp;Data!AY23&amp;"^FS","")</f>
        <v/>
      </c>
      <c r="I66" t="str">
        <f>IF(A66&lt;&gt;"","^FO300,175^A0N,30,30^CI13^FD"&amp;"W:"&amp;Data!BA23&amp;" H:"&amp;Data!BB23,"")</f>
        <v/>
      </c>
      <c r="J66" t="str">
        <f>IF(A66&lt;&gt;"","^PQ"&amp;Data!$F$23&amp;",0,"&amp;Data!$F$23&amp;",Y","")</f>
        <v/>
      </c>
      <c r="K66" t="s">
        <v>7494</v>
      </c>
    </row>
    <row r="67" spans="1:11" ht="13.2">
      <c r="A67" t="str">
        <f>IF(OR(Data!$AV24="",Data!$AW24&gt;999),"","^XA^LH0,0^PRB,D^MD20^JMA^FS")</f>
        <v/>
      </c>
      <c r="B67" t="str">
        <f t="array" ref="B67">IF(A67&lt;&gt;"","^BY2,2.7,13^FO506,20^B2N,132,Y,N,N^SN"&amp;BarcodeValue(Data!BC$5,Data!BD$5,Data!AW24,0)&amp;",N,Y^FS","")</f>
        <v/>
      </c>
      <c r="C67" t="str">
        <f>IF(A67&lt;&gt;"","^FO20,20^A0N,28,37^CI13^FD"&amp;TEXT(Data!AY$5,"d/m/yyyy")&amp;"^FS","")</f>
        <v/>
      </c>
      <c r="D67" t="str">
        <f>IF(A67&lt;&gt;"","^FO220,20^A0N,41,48^CI13^FD"&amp;Data!$BC$5&amp;Data!$BD$5&amp;"/"&amp;RIGHT("000"&amp;Data!AW24,3)&amp;"^FS","")</f>
        <v/>
      </c>
      <c r="E67" t="str">
        <f>IF(A67&lt;&gt;"","^FO20,55^A0N,30,30^CI13^FD"&amp;Data!$BF$5&amp;"^FS","")</f>
        <v/>
      </c>
      <c r="F67" t="str">
        <f>IF(A67&lt;&gt;"","^FO20,95^A0N,30,30^CI13^FD"&amp;Data!AX$5&amp;"^FS","")</f>
        <v/>
      </c>
      <c r="G67" t="str">
        <f>IF(A67&lt;&gt;"","^FO20,135^A0N,30,30^CI13^FD"&amp;Data!BE24&amp;"^FS","")</f>
        <v/>
      </c>
      <c r="H67" t="str">
        <f>IF(A67&lt;&gt;"","^FO20,175^A0N,30,30^CI13^FD"&amp;Data!AY24&amp;"^FS","")</f>
        <v/>
      </c>
      <c r="I67" t="str">
        <f>IF(A67&lt;&gt;"","^FO300,175^A0N,30,30^CI13^FD"&amp;"W:"&amp;Data!BA24&amp;" H:"&amp;Data!BB24,"")</f>
        <v/>
      </c>
      <c r="J67" t="str">
        <f>IF(A67&lt;&gt;"","^PQ"&amp;Data!$F$23&amp;",0,"&amp;Data!$F$23&amp;",Y","")</f>
        <v/>
      </c>
      <c r="K67" t="s">
        <v>7494</v>
      </c>
    </row>
    <row r="68" spans="1:11" ht="13.2">
      <c r="A68" t="str">
        <f>IF(OR(Data!$AV25="",Data!$AW25&gt;999),"","^XA^LH0,0^PRB,D^MD20^JMA^FS")</f>
        <v/>
      </c>
      <c r="B68" t="str">
        <f t="array" ref="B68">IF(A68&lt;&gt;"","^BY2,2.7,13^FO506,20^B2N,132,Y,N,N^SN"&amp;BarcodeValue(Data!BC$5,Data!BD$5,Data!AW25,0)&amp;",N,Y^FS","")</f>
        <v/>
      </c>
      <c r="C68" t="str">
        <f>IF(A68&lt;&gt;"","^FO20,20^A0N,28,37^CI13^FD"&amp;TEXT(Data!AY$5,"d/m/yyyy")&amp;"^FS","")</f>
        <v/>
      </c>
      <c r="D68" t="str">
        <f>IF(A68&lt;&gt;"","^FO220,20^A0N,41,48^CI13^FD"&amp;Data!$BC$5&amp;Data!$BD$5&amp;"/"&amp;RIGHT("000"&amp;Data!AW25,3)&amp;"^FS","")</f>
        <v/>
      </c>
      <c r="E68" t="str">
        <f>IF(A68&lt;&gt;"","^FO20,55^A0N,30,30^CI13^FD"&amp;Data!$BF$5&amp;"^FS","")</f>
        <v/>
      </c>
      <c r="F68" t="str">
        <f>IF(A68&lt;&gt;"","^FO20,95^A0N,30,30^CI13^FD"&amp;Data!AX$5&amp;"^FS","")</f>
        <v/>
      </c>
      <c r="G68" t="str">
        <f>IF(A68&lt;&gt;"","^FO20,135^A0N,30,30^CI13^FD"&amp;Data!BE25&amp;"^FS","")</f>
        <v/>
      </c>
      <c r="H68" t="str">
        <f>IF(A68&lt;&gt;"","^FO20,175^A0N,30,30^CI13^FD"&amp;Data!AY25&amp;"^FS","")</f>
        <v/>
      </c>
      <c r="I68" t="str">
        <f>IF(A68&lt;&gt;"","^FO300,175^A0N,30,30^CI13^FD"&amp;"W:"&amp;Data!BA25&amp;" H:"&amp;Data!BB25,"")</f>
        <v/>
      </c>
      <c r="J68" t="str">
        <f>IF(A68&lt;&gt;"","^PQ"&amp;Data!$F$23&amp;",0,"&amp;Data!$F$23&amp;",Y","")</f>
        <v/>
      </c>
      <c r="K68" t="s">
        <v>7494</v>
      </c>
    </row>
    <row r="69" spans="1:11" ht="13.2">
      <c r="A69" t="str">
        <f>IF(OR(Data!$AV26="",Data!$AW26&gt;999),"","^XA^LH0,0^PRB,D^MD20^JMA^FS")</f>
        <v/>
      </c>
      <c r="B69" t="str">
        <f t="array" ref="B69">IF(A69&lt;&gt;"","^BY2,2.7,13^FO506,20^B2N,132,Y,N,N^SN"&amp;BarcodeValue(Data!BC$5,Data!BD$5,Data!AW26,0)&amp;",N,Y^FS","")</f>
        <v/>
      </c>
      <c r="C69" t="str">
        <f>IF(A69&lt;&gt;"","^FO20,20^A0N,28,37^CI13^FD"&amp;TEXT(Data!AY$5,"d/m/yyyy")&amp;"^FS","")</f>
        <v/>
      </c>
      <c r="D69" t="str">
        <f>IF(A69&lt;&gt;"","^FO220,20^A0N,41,48^CI13^FD"&amp;Data!$BC$5&amp;Data!$BD$5&amp;"/"&amp;RIGHT("000"&amp;Data!AW26,3)&amp;"^FS","")</f>
        <v/>
      </c>
      <c r="E69" t="str">
        <f>IF(A69&lt;&gt;"","^FO20,55^A0N,30,30^CI13^FD"&amp;Data!$BF$5&amp;"^FS","")</f>
        <v/>
      </c>
      <c r="F69" t="str">
        <f>IF(A69&lt;&gt;"","^FO20,95^A0N,30,30^CI13^FD"&amp;Data!AX$5&amp;"^FS","")</f>
        <v/>
      </c>
      <c r="G69" t="str">
        <f>IF(A69&lt;&gt;"","^FO20,135^A0N,30,30^CI13^FD"&amp;Data!BE26&amp;"^FS","")</f>
        <v/>
      </c>
      <c r="H69" t="str">
        <f>IF(A69&lt;&gt;"","^FO20,175^A0N,30,30^CI13^FD"&amp;Data!AY26&amp;"^FS","")</f>
        <v/>
      </c>
      <c r="I69" t="str">
        <f>IF(A69&lt;&gt;"","^FO300,175^A0N,30,30^CI13^FD"&amp;"W:"&amp;Data!BA26&amp;" H:"&amp;Data!BB26,"")</f>
        <v/>
      </c>
      <c r="J69" t="str">
        <f>IF(A69&lt;&gt;"","^PQ"&amp;Data!$F$23&amp;",0,"&amp;Data!$F$23&amp;",Y","")</f>
        <v/>
      </c>
      <c r="K69" t="s">
        <v>7494</v>
      </c>
    </row>
    <row r="70" spans="1:11" ht="13.2">
      <c r="A70" t="str">
        <f>IF(OR(Data!$AV27="",Data!$AW27&gt;999),"","^XA^LH0,0^PRB,D^MD20^JMA^FS")</f>
        <v/>
      </c>
      <c r="B70" t="str">
        <f t="array" ref="B70">IF(A70&lt;&gt;"","^BY2,2.7,13^FO506,20^B2N,132,Y,N,N^SN"&amp;BarcodeValue(Data!BC$5,Data!BD$5,Data!AW27,0)&amp;",N,Y^FS","")</f>
        <v/>
      </c>
      <c r="C70" t="str">
        <f>IF(A70&lt;&gt;"","^FO20,20^A0N,28,37^CI13^FD"&amp;TEXT(Data!AY$5,"d/m/yyyy")&amp;"^FS","")</f>
        <v/>
      </c>
      <c r="D70" t="str">
        <f>IF(A70&lt;&gt;"","^FO220,20^A0N,41,48^CI13^FD"&amp;Data!$BC$5&amp;Data!$BD$5&amp;"/"&amp;RIGHT("000"&amp;Data!AW27,3)&amp;"^FS","")</f>
        <v/>
      </c>
      <c r="E70" t="str">
        <f>IF(A70&lt;&gt;"","^FO20,55^A0N,30,30^CI13^FD"&amp;Data!$BF$5&amp;"^FS","")</f>
        <v/>
      </c>
      <c r="F70" t="str">
        <f>IF(A70&lt;&gt;"","^FO20,95^A0N,30,30^CI13^FD"&amp;Data!AX$5&amp;"^FS","")</f>
        <v/>
      </c>
      <c r="G70" t="str">
        <f>IF(A70&lt;&gt;"","^FO20,135^A0N,30,30^CI13^FD"&amp;Data!BE27&amp;"^FS","")</f>
        <v/>
      </c>
      <c r="H70" t="str">
        <f>IF(A70&lt;&gt;"","^FO20,175^A0N,30,30^CI13^FD"&amp;Data!AY27&amp;"^FS","")</f>
        <v/>
      </c>
      <c r="I70" t="str">
        <f>IF(A70&lt;&gt;"","^FO300,175^A0N,30,30^CI13^FD"&amp;"W:"&amp;Data!BA27&amp;" H:"&amp;Data!BB27,"")</f>
        <v/>
      </c>
      <c r="J70" t="str">
        <f>IF(A70&lt;&gt;"","^PQ"&amp;Data!$F$23&amp;",0,"&amp;Data!$F$23&amp;",Y","")</f>
        <v/>
      </c>
      <c r="K70" t="s">
        <v>7494</v>
      </c>
    </row>
    <row r="71" spans="1:11" ht="13.2">
      <c r="A71" t="str">
        <f>IF(OR(Data!$AV28="",Data!$AW28&gt;999),"","^XA^LH0,0^PRB,D^MD20^JMA^FS")</f>
        <v/>
      </c>
      <c r="B71" t="str">
        <f t="array" ref="B71">IF(A71&lt;&gt;"","^BY2,2.7,13^FO506,20^B2N,132,Y,N,N^SN"&amp;BarcodeValue(Data!BC$5,Data!BD$5,Data!AW28,0)&amp;",N,Y^FS","")</f>
        <v/>
      </c>
      <c r="C71" t="str">
        <f>IF(A71&lt;&gt;"","^FO20,20^A0N,28,37^CI13^FD"&amp;TEXT(Data!AY$5,"d/m/yyyy")&amp;"^FS","")</f>
        <v/>
      </c>
      <c r="D71" t="str">
        <f>IF(A71&lt;&gt;"","^FO220,20^A0N,41,48^CI13^FD"&amp;Data!$BC$5&amp;Data!$BD$5&amp;"/"&amp;RIGHT("000"&amp;Data!AW28,3)&amp;"^FS","")</f>
        <v/>
      </c>
      <c r="E71" t="str">
        <f>IF(A71&lt;&gt;"","^FO20,55^A0N,30,30^CI13^FD"&amp;Data!$BF$5&amp;"^FS","")</f>
        <v/>
      </c>
      <c r="F71" t="str">
        <f>IF(A71&lt;&gt;"","^FO20,95^A0N,30,30^CI13^FD"&amp;Data!AX$5&amp;"^FS","")</f>
        <v/>
      </c>
      <c r="G71" t="str">
        <f>IF(A71&lt;&gt;"","^FO20,135^A0N,30,30^CI13^FD"&amp;Data!BE28&amp;"^FS","")</f>
        <v/>
      </c>
      <c r="H71" t="str">
        <f>IF(A71&lt;&gt;"","^FO20,175^A0N,30,30^CI13^FD"&amp;Data!AY28&amp;"^FS","")</f>
        <v/>
      </c>
      <c r="I71" t="str">
        <f>IF(A71&lt;&gt;"","^FO300,175^A0N,30,30^CI13^FD"&amp;"W:"&amp;Data!BA28&amp;" H:"&amp;Data!BB28,"")</f>
        <v/>
      </c>
      <c r="J71" t="str">
        <f>IF(A71&lt;&gt;"","^PQ"&amp;Data!$F$23&amp;",0,"&amp;Data!$F$23&amp;",Y","")</f>
        <v/>
      </c>
      <c r="K71" t="s">
        <v>7494</v>
      </c>
    </row>
    <row r="72" spans="1:11" ht="13.2">
      <c r="A72" t="str">
        <f>IF(OR(Data!$AV21="",Data!$AW21&gt;999),"","^XA^LH0,0^PRB,D^MD20^JMA^FS")</f>
        <v>^XA^LH0,0^PRB,D^MD20^JMA^FS</v>
      </c>
      <c r="B72" t="str">
        <f t="array" ref="B72">IF(A72&lt;&gt;"","^BY2,2.7,13^FO506,20^B2N,132,Y,N,N^SN"&amp;BarcodeValue(Data!BC$5,Data!BD$5,Data!AW21,0)&amp;",N,Y^FS","")</f>
        <v>^BY2,2.7,13^FO506,20^B2N,132,Y,N,N^SN0039776700380002,N,Y^FS</v>
      </c>
      <c r="C72" t="str">
        <f>IF(A72&lt;&gt;"","^FO20,20^A0N,28,37^CI13^FD"&amp;TEXT(Data!AY$5,"d/m/yyyy")&amp;"^FS","")</f>
        <v>^FO20,20^A0N,28,37^CI13^FD12/8/2026^FS</v>
      </c>
      <c r="D72" t="str">
        <f>IF(A72&lt;&gt;"","^FO220,20^A0N,41,48^CI13^FD"&amp;Data!$BC$5&amp;Data!$BD$5&amp;"/"&amp;RIGHT("000"&amp;Data!AW21,3)&amp;"^FS","")</f>
        <v>^FO220,20^A0N,41,48^CI13^FD39776F/038^FS</v>
      </c>
      <c r="E72" t="str">
        <f>IF(A72&lt;&gt;"","^FO20,55^A0N,30,30^CI13^FD"&amp;Data!$BF$5&amp;"^FS","")</f>
        <v>^FO20,55^A0N,30,30^CI13^FDHare, Kaitlin^FS</v>
      </c>
      <c r="F72" t="str">
        <f>IF(A72&lt;&gt;"","^FO20,95^A0N,30,30^CI13^FD"&amp;Data!AX$5&amp;"^FS","")</f>
        <v>^FO20,95^A0N,30,30^CI13^FDWhole House^FS</v>
      </c>
      <c r="G72" t="str">
        <f>IF(A72&lt;&gt;"","^FO20,135^A0N,30,30^CI13^FD"&amp;Data!BE21&amp;"^FS","")</f>
        <v>^FO20,135^A0N,30,30^CI13^FDCURT Nettex Brunswick (Continuous) Uncoated Talc^FS</v>
      </c>
      <c r="H72" t="str">
        <f>IF(A72&lt;&gt;"","^FO20,175^A0N,30,30^CI13^FD"&amp;Data!AY21&amp;"^FS","")</f>
        <v>^FO20,175^A0N,30,30^CI13^FDFront Lounge 2 ALTERATION^FS</v>
      </c>
      <c r="I72" t="str">
        <f>IF(A72&lt;&gt;"","^FO300,175^A0N,30,30^CI13^FD"&amp;"W:"&amp;Data!BA21&amp;" H:"&amp;Data!BB21,"")</f>
        <v>^FO300,175^A0N,30,30^CI13^FDW:3050 H:2245</v>
      </c>
      <c r="J72" t="str">
        <f>IF(A72&lt;&gt;"","^PQ"&amp;Data!$F$23&amp;",0,"&amp;Data!$F$23&amp;",Y","")</f>
        <v>^PQ0,0,0,Y</v>
      </c>
      <c r="K72" t="s">
        <v>7494</v>
      </c>
    </row>
    <row r="73" spans="1:11" ht="13.2">
      <c r="A73" t="str">
        <f>IF(OR(Data!$AV22="",Data!$AW22&gt;999),"","^XA^LH0,0^PRB,D^MD20^JMA^FS")</f>
        <v>^XA^LH0,0^PRB,D^MD20^JMA^FS</v>
      </c>
      <c r="B73" t="str">
        <f t="array" ref="B73">IF(A73&lt;&gt;"","^BY2,2.7,13^FO506,20^B2N,132,Y,N,N^SN"&amp;BarcodeValue(Data!BC$5,Data!BD$5,Data!AW22,0)&amp;",N,Y^FS","")</f>
        <v>^BY2,2.7,13^FO506,20^B2N,132,Y,N,N^SN0039776700390001,N,Y^FS</v>
      </c>
      <c r="C73" t="str">
        <f>IF(A73&lt;&gt;"","^FO20,20^A0N,28,37^CI13^FD"&amp;TEXT(Data!AY$5,"d/m/yyyy")&amp;"^FS","")</f>
        <v>^FO20,20^A0N,28,37^CI13^FD12/8/2026^FS</v>
      </c>
      <c r="D73" t="str">
        <f>IF(A73&lt;&gt;"","^FO220,20^A0N,41,48^CI13^FD"&amp;Data!$BC$5&amp;Data!$BD$5&amp;"/"&amp;RIGHT("000"&amp;Data!AW22,3)&amp;"^FS","")</f>
        <v>^FO220,20^A0N,41,48^CI13^FD39776F/039^FS</v>
      </c>
      <c r="E73" t="str">
        <f>IF(A73&lt;&gt;"","^FO20,55^A0N,30,30^CI13^FD"&amp;Data!$BF$5&amp;"^FS","")</f>
        <v>^FO20,55^A0N,30,30^CI13^FDHare, Kaitlin^FS</v>
      </c>
      <c r="F73" t="str">
        <f>IF(A73&lt;&gt;"","^FO20,95^A0N,30,30^CI13^FD"&amp;Data!AX$5&amp;"^FS","")</f>
        <v>^FO20,95^A0N,30,30^CI13^FDWhole House^FS</v>
      </c>
      <c r="G73" t="str">
        <f>IF(A73&lt;&gt;"","^FO20,135^A0N,30,30^CI13^FD"&amp;Data!BE22&amp;"^FS","")</f>
        <v>^FO20,135^A0N,30,30^CI13^FDCURT Filigree Simplicity 300cm (Continuous) Lining Off White^FS</v>
      </c>
      <c r="H73" t="str">
        <f>IF(A73&lt;&gt;"","^FO20,175^A0N,30,30^CI13^FD"&amp;Data!AY22&amp;"^FS","")</f>
        <v>^FO20,175^A0N,30,30^CI13^FDMaster Door ALTERATION^FS</v>
      </c>
      <c r="I73" t="str">
        <f>IF(A73&lt;&gt;"","^FO300,175^A0N,30,30^CI13^FD"&amp;"W:"&amp;Data!BA22&amp;" H:"&amp;Data!BB22,"")</f>
        <v>^FO300,175^A0N,30,30^CI13^FDW:3502 H:2660</v>
      </c>
      <c r="J73" t="str">
        <f>IF(A73&lt;&gt;"","^PQ"&amp;Data!$F$23&amp;",0,"&amp;Data!$F$23&amp;",Y","")</f>
        <v>^PQ0,0,0,Y</v>
      </c>
      <c r="K73" t="s">
        <v>7494</v>
      </c>
    </row>
    <row r="74" spans="1:11" ht="13.2">
      <c r="A74" t="str">
        <f>IF(OR(Data!$AV23="",Data!$AW23&gt;999),"","^XA^LH0,0^PRB,D^MD20^JMA^FS")</f>
        <v/>
      </c>
      <c r="B74" t="str">
        <f t="array" ref="B74">IF(A74&lt;&gt;"","^BY2,2.7,13^FO506,20^B2N,132,Y,N,N^SN"&amp;BarcodeValue(Data!BC$5,Data!BD$5,Data!AW23,0)&amp;",N,Y^FS","")</f>
        <v/>
      </c>
      <c r="C74" t="str">
        <f>IF(A74&lt;&gt;"","^FO20,20^A0N,28,37^CI13^FD"&amp;TEXT(Data!AY$5,"d/m/yyyy")&amp;"^FS","")</f>
        <v/>
      </c>
      <c r="D74" t="str">
        <f>IF(A74&lt;&gt;"","^FO220,20^A0N,41,48^CI13^FD"&amp;Data!$BC$5&amp;Data!$BD$5&amp;"/"&amp;RIGHT("000"&amp;Data!AW23,3)&amp;"^FS","")</f>
        <v/>
      </c>
      <c r="E74" t="str">
        <f>IF(A74&lt;&gt;"","^FO20,55^A0N,30,30^CI13^FD"&amp;Data!$BF$5&amp;"^FS","")</f>
        <v/>
      </c>
      <c r="F74" t="str">
        <f>IF(A74&lt;&gt;"","^FO20,95^A0N,30,30^CI13^FD"&amp;Data!AX$5&amp;"^FS","")</f>
        <v/>
      </c>
      <c r="G74" t="str">
        <f>IF(A74&lt;&gt;"","^FO20,135^A0N,30,30^CI13^FD"&amp;Data!BE23&amp;"^FS","")</f>
        <v/>
      </c>
      <c r="H74" t="str">
        <f>IF(A74&lt;&gt;"","^FO20,175^A0N,30,30^CI13^FD"&amp;Data!AY23&amp;"^FS","")</f>
        <v/>
      </c>
      <c r="I74" t="str">
        <f>IF(A74&lt;&gt;"","^FO300,175^A0N,30,30^CI13^FD"&amp;"W:"&amp;Data!BA23&amp;" H:"&amp;Data!BB23,"")</f>
        <v/>
      </c>
      <c r="J74" t="str">
        <f>IF(A74&lt;&gt;"","^PQ"&amp;Data!$F$23&amp;",0,"&amp;Data!$F$23&amp;",Y","")</f>
        <v/>
      </c>
      <c r="K74" t="s">
        <v>7494</v>
      </c>
    </row>
    <row r="75" spans="1:11" ht="13.2">
      <c r="A75" t="str">
        <f>IF(OR(Data!$AV24="",Data!$AW24&gt;999),"","^XA^LH0,0^PRB,D^MD20^JMA^FS")</f>
        <v/>
      </c>
      <c r="B75" t="str">
        <f t="array" ref="B75">IF(A75&lt;&gt;"","^BY2,2.7,13^FO506,20^B2N,132,Y,N,N^SN"&amp;BarcodeValue(Data!BC$5,Data!BD$5,Data!AW24,0)&amp;",N,Y^FS","")</f>
        <v/>
      </c>
      <c r="C75" t="str">
        <f>IF(A75&lt;&gt;"","^FO20,20^A0N,28,37^CI13^FD"&amp;TEXT(Data!AY$5,"d/m/yyyy")&amp;"^FS","")</f>
        <v/>
      </c>
      <c r="D75" t="str">
        <f>IF(A75&lt;&gt;"","^FO220,20^A0N,41,48^CI13^FD"&amp;Data!$BC$5&amp;Data!$BD$5&amp;"/"&amp;RIGHT("000"&amp;Data!AW24,3)&amp;"^FS","")</f>
        <v/>
      </c>
      <c r="E75" t="str">
        <f>IF(A75&lt;&gt;"","^FO20,55^A0N,30,30^CI13^FD"&amp;Data!$BF$5&amp;"^FS","")</f>
        <v/>
      </c>
      <c r="F75" t="str">
        <f>IF(A75&lt;&gt;"","^FO20,95^A0N,30,30^CI13^FD"&amp;Data!AX$5&amp;"^FS","")</f>
        <v/>
      </c>
      <c r="G75" t="str">
        <f>IF(A75&lt;&gt;"","^FO20,135^A0N,30,30^CI13^FD"&amp;Data!BE24&amp;"^FS","")</f>
        <v/>
      </c>
      <c r="H75" t="str">
        <f>IF(A75&lt;&gt;"","^FO20,175^A0N,30,30^CI13^FD"&amp;Data!AY24&amp;"^FS","")</f>
        <v/>
      </c>
      <c r="I75" t="str">
        <f>IF(A75&lt;&gt;"","^FO300,175^A0N,30,30^CI13^FD"&amp;"W:"&amp;Data!BA24&amp;" H:"&amp;Data!BB24,"")</f>
        <v/>
      </c>
      <c r="J75" t="str">
        <f>IF(A75&lt;&gt;"","^PQ"&amp;Data!$F$23&amp;",0,"&amp;Data!$F$23&amp;",Y","")</f>
        <v/>
      </c>
      <c r="K75" t="s">
        <v>7494</v>
      </c>
    </row>
    <row r="76" spans="1:11" ht="13.2">
      <c r="A76" t="str">
        <f>IF(OR(Data!$AV25="",Data!$AW25&gt;999),"","^XA^LH0,0^PRB,D^MD20^JMA^FS")</f>
        <v/>
      </c>
      <c r="B76" t="str">
        <f t="array" ref="B76">IF(A76&lt;&gt;"","^BY2,2.7,13^FO506,20^B2N,132,Y,N,N^SN"&amp;BarcodeValue(Data!BC$5,Data!BD$5,Data!AW25,0)&amp;",N,Y^FS","")</f>
        <v/>
      </c>
      <c r="C76" t="str">
        <f>IF(A76&lt;&gt;"","^FO20,20^A0N,28,37^CI13^FD"&amp;TEXT(Data!AY$5,"d/m/yyyy")&amp;"^FS","")</f>
        <v/>
      </c>
      <c r="D76" t="str">
        <f>IF(A76&lt;&gt;"","^FO220,20^A0N,41,48^CI13^FD"&amp;Data!$BC$5&amp;Data!$BD$5&amp;"/"&amp;RIGHT("000"&amp;Data!AW25,3)&amp;"^FS","")</f>
        <v/>
      </c>
      <c r="E76" t="str">
        <f>IF(A76&lt;&gt;"","^FO20,55^A0N,30,30^CI13^FD"&amp;Data!$BF$5&amp;"^FS","")</f>
        <v/>
      </c>
      <c r="F76" t="str">
        <f>IF(A76&lt;&gt;"","^FO20,95^A0N,30,30^CI13^FD"&amp;Data!AX$5&amp;"^FS","")</f>
        <v/>
      </c>
      <c r="G76" t="str">
        <f>IF(A76&lt;&gt;"","^FO20,135^A0N,30,30^CI13^FD"&amp;Data!BE25&amp;"^FS","")</f>
        <v/>
      </c>
      <c r="H76" t="str">
        <f>IF(A76&lt;&gt;"","^FO20,175^A0N,30,30^CI13^FD"&amp;Data!AY25&amp;"^FS","")</f>
        <v/>
      </c>
      <c r="I76" t="str">
        <f>IF(A76&lt;&gt;"","^FO300,175^A0N,30,30^CI13^FD"&amp;"W:"&amp;Data!BA25&amp;" H:"&amp;Data!BB25,"")</f>
        <v/>
      </c>
      <c r="J76" t="str">
        <f>IF(A76&lt;&gt;"","^PQ"&amp;Data!$F$23&amp;",0,"&amp;Data!$F$23&amp;",Y","")</f>
        <v/>
      </c>
      <c r="K76" t="s">
        <v>7494</v>
      </c>
    </row>
    <row r="77" spans="1:11" ht="13.2">
      <c r="A77" t="str">
        <f>IF(OR(Data!$AV26="",Data!$AW26&gt;999),"","^XA^LH0,0^PRB,D^MD20^JMA^FS")</f>
        <v/>
      </c>
      <c r="B77" t="str">
        <f t="array" ref="B77">IF(A77&lt;&gt;"","^BY2,2.7,13^FO506,20^B2N,132,Y,N,N^SN"&amp;BarcodeValue(Data!BC$5,Data!BD$5,Data!AW26,0)&amp;",N,Y^FS","")</f>
        <v/>
      </c>
      <c r="C77" t="str">
        <f>IF(A77&lt;&gt;"","^FO20,20^A0N,28,37^CI13^FD"&amp;TEXT(Data!AY$5,"d/m/yyyy")&amp;"^FS","")</f>
        <v/>
      </c>
      <c r="D77" t="str">
        <f>IF(A77&lt;&gt;"","^FO220,20^A0N,41,48^CI13^FD"&amp;Data!$BC$5&amp;Data!$BD$5&amp;"/"&amp;RIGHT("000"&amp;Data!AW26,3)&amp;"^FS","")</f>
        <v/>
      </c>
      <c r="E77" t="str">
        <f>IF(A77&lt;&gt;"","^FO20,55^A0N,30,30^CI13^FD"&amp;Data!$BF$5&amp;"^FS","")</f>
        <v/>
      </c>
      <c r="F77" t="str">
        <f>IF(A77&lt;&gt;"","^FO20,95^A0N,30,30^CI13^FD"&amp;Data!AX$5&amp;"^FS","")</f>
        <v/>
      </c>
      <c r="G77" t="str">
        <f>IF(A77&lt;&gt;"","^FO20,135^A0N,30,30^CI13^FD"&amp;Data!BE26&amp;"^FS","")</f>
        <v/>
      </c>
      <c r="H77" t="str">
        <f>IF(A77&lt;&gt;"","^FO20,175^A0N,30,30^CI13^FD"&amp;Data!AY26&amp;"^FS","")</f>
        <v/>
      </c>
      <c r="I77" t="str">
        <f>IF(A77&lt;&gt;"","^FO300,175^A0N,30,30^CI13^FD"&amp;"W:"&amp;Data!BA26&amp;" H:"&amp;Data!BB26,"")</f>
        <v/>
      </c>
      <c r="J77" t="str">
        <f>IF(A77&lt;&gt;"","^PQ"&amp;Data!$F$23&amp;",0,"&amp;Data!$F$23&amp;",Y","")</f>
        <v/>
      </c>
      <c r="K77" t="s">
        <v>7494</v>
      </c>
    </row>
    <row r="78" spans="1:11" ht="13.2">
      <c r="A78" t="str">
        <f>IF(OR(Data!$AV27="",Data!$AW27&gt;999),"","^XA^LH0,0^PRB,D^MD20^JMA^FS")</f>
        <v/>
      </c>
      <c r="B78" t="str">
        <f t="array" ref="B78">IF(A78&lt;&gt;"","^BY2,2.7,13^FO506,20^B2N,132,Y,N,N^SN"&amp;BarcodeValue(Data!BC$5,Data!BD$5,Data!AW27,0)&amp;",N,Y^FS","")</f>
        <v/>
      </c>
      <c r="C78" t="str">
        <f>IF(A78&lt;&gt;"","^FO20,20^A0N,28,37^CI13^FD"&amp;TEXT(Data!AY$5,"d/m/yyyy")&amp;"^FS","")</f>
        <v/>
      </c>
      <c r="D78" t="str">
        <f>IF(A78&lt;&gt;"","^FO220,20^A0N,41,48^CI13^FD"&amp;Data!$BC$5&amp;Data!$BD$5&amp;"/"&amp;RIGHT("000"&amp;Data!AW27,3)&amp;"^FS","")</f>
        <v/>
      </c>
      <c r="E78" t="str">
        <f>IF(A78&lt;&gt;"","^FO20,55^A0N,30,30^CI13^FD"&amp;Data!$BF$5&amp;"^FS","")</f>
        <v/>
      </c>
      <c r="F78" t="str">
        <f>IF(A78&lt;&gt;"","^FO20,95^A0N,30,30^CI13^FD"&amp;Data!AX$5&amp;"^FS","")</f>
        <v/>
      </c>
      <c r="G78" t="str">
        <f>IF(A78&lt;&gt;"","^FO20,135^A0N,30,30^CI13^FD"&amp;Data!BE27&amp;"^FS","")</f>
        <v/>
      </c>
      <c r="H78" t="str">
        <f>IF(A78&lt;&gt;"","^FO20,175^A0N,30,30^CI13^FD"&amp;Data!AY27&amp;"^FS","")</f>
        <v/>
      </c>
      <c r="I78" t="str">
        <f>IF(A78&lt;&gt;"","^FO300,175^A0N,30,30^CI13^FD"&amp;"W:"&amp;Data!BA27&amp;" H:"&amp;Data!BB27,"")</f>
        <v/>
      </c>
      <c r="J78" t="str">
        <f>IF(A78&lt;&gt;"","^PQ"&amp;Data!$F$23&amp;",0,"&amp;Data!$F$23&amp;",Y","")</f>
        <v/>
      </c>
      <c r="K78" t="s">
        <v>7494</v>
      </c>
    </row>
    <row r="79" spans="1:11" ht="13.2">
      <c r="A79" t="str">
        <f>IF(OR(Data!$AV28="",Data!$AW28&gt;999),"","^XA^LH0,0^PRB,D^MD20^JMA^FS")</f>
        <v/>
      </c>
      <c r="B79" t="str">
        <f t="array" ref="B79">IF(A79&lt;&gt;"","^BY2,2.7,13^FO506,20^B2N,132,Y,N,N^SN"&amp;BarcodeValue(Data!BC$5,Data!BD$5,Data!AW28,0)&amp;",N,Y^FS","")</f>
        <v/>
      </c>
      <c r="C79" t="str">
        <f>IF(A79&lt;&gt;"","^FO20,20^A0N,28,37^CI13^FD"&amp;TEXT(Data!AY$5,"d/m/yyyy")&amp;"^FS","")</f>
        <v/>
      </c>
      <c r="D79" t="str">
        <f>IF(A79&lt;&gt;"","^FO220,20^A0N,41,48^CI13^FD"&amp;Data!$BC$5&amp;Data!$BD$5&amp;"/"&amp;RIGHT("000"&amp;Data!AW28,3)&amp;"^FS","")</f>
        <v/>
      </c>
      <c r="E79" t="str">
        <f>IF(A79&lt;&gt;"","^FO20,55^A0N,30,30^CI13^FD"&amp;Data!$BF$5&amp;"^FS","")</f>
        <v/>
      </c>
      <c r="F79" t="str">
        <f>IF(A79&lt;&gt;"","^FO20,95^A0N,30,30^CI13^FD"&amp;Data!AX$5&amp;"^FS","")</f>
        <v/>
      </c>
      <c r="G79" t="str">
        <f>IF(A79&lt;&gt;"","^FO20,135^A0N,30,30^CI13^FD"&amp;Data!BE28&amp;"^FS","")</f>
        <v/>
      </c>
      <c r="H79" t="str">
        <f>IF(A79&lt;&gt;"","^FO20,175^A0N,30,30^CI13^FD"&amp;Data!AY28&amp;"^FS","")</f>
        <v/>
      </c>
      <c r="I79" t="str">
        <f>IF(A79&lt;&gt;"","^FO300,175^A0N,30,30^CI13^FD"&amp;"W:"&amp;Data!BA28&amp;" H:"&amp;Data!BB28,"")</f>
        <v/>
      </c>
      <c r="J79" t="str">
        <f>IF(A79&lt;&gt;"","^PQ"&amp;Data!$F$23&amp;",0,"&amp;Data!$F$23&amp;",Y","")</f>
        <v/>
      </c>
      <c r="K79" t="s">
        <v>7494</v>
      </c>
    </row>
    <row r="80" spans="1:11" ht="13.2">
      <c r="A80" t="str">
        <f>IF(OR(Data!$AV21="",Data!$AW21&gt;999),"","^XA^LH0,0^PRB,D^MD20^JMA^FS")</f>
        <v>^XA^LH0,0^PRB,D^MD20^JMA^FS</v>
      </c>
      <c r="B80" t="str">
        <f t="array" ref="B80">IF(A80&lt;&gt;"","^BY2,2.7,13^FO506,20^B2N,132,Y,N,N^SN"&amp;BarcodeValue(Data!BC$5,Data!BD$5,Data!AW21,0)&amp;",N,Y^FS","")</f>
        <v>^BY2,2.7,13^FO506,20^B2N,132,Y,N,N^SN0039776700380002,N,Y^FS</v>
      </c>
      <c r="C80" t="str">
        <f>IF(A80&lt;&gt;"","^FO20,20^A0N,28,37^CI13^FD"&amp;TEXT(Data!AY$5,"d/m/yyyy")&amp;"^FS","")</f>
        <v>^FO20,20^A0N,28,37^CI13^FD12/8/2026^FS</v>
      </c>
      <c r="D80" t="str">
        <f>IF(A80&lt;&gt;"","^FO220,20^A0N,41,48^CI13^FD"&amp;Data!$BC$5&amp;Data!$BD$5&amp;"/"&amp;RIGHT("000"&amp;Data!AW21,3)&amp;"^FS","")</f>
        <v>^FO220,20^A0N,41,48^CI13^FD39776F/038^FS</v>
      </c>
      <c r="E80" t="str">
        <f>IF(A80&lt;&gt;"","^FO20,55^A0N,30,30^CI13^FD"&amp;Data!$BF$5&amp;"^FS","")</f>
        <v>^FO20,55^A0N,30,30^CI13^FDHare, Kaitlin^FS</v>
      </c>
      <c r="F80" t="str">
        <f>IF(A80&lt;&gt;"","^FO20,95^A0N,30,30^CI13^FD"&amp;Data!AX$5&amp;"^FS","")</f>
        <v>^FO20,95^A0N,30,30^CI13^FDWhole House^FS</v>
      </c>
      <c r="G80" t="str">
        <f>IF(A80&lt;&gt;"","^FO20,135^A0N,30,30^CI13^FD"&amp;Data!BE21&amp;"^FS","")</f>
        <v>^FO20,135^A0N,30,30^CI13^FDCURT Nettex Brunswick (Continuous) Uncoated Talc^FS</v>
      </c>
      <c r="H80" t="str">
        <f>IF(A80&lt;&gt;"","^FO20,175^A0N,30,30^CI13^FD"&amp;Data!AY21&amp;"^FS","")</f>
        <v>^FO20,175^A0N,30,30^CI13^FDFront Lounge 2 ALTERATION^FS</v>
      </c>
      <c r="I80" t="str">
        <f>IF(A80&lt;&gt;"","^FO300,175^A0N,30,30^CI13^FD"&amp;"W:"&amp;Data!BA21&amp;" H:"&amp;Data!BB21,"")</f>
        <v>^FO300,175^A0N,30,30^CI13^FDW:3050 H:2245</v>
      </c>
      <c r="J80" t="str">
        <f>IF(A80&lt;&gt;"","^PQ"&amp;Data!$F$23&amp;",0,"&amp;Data!$F$23&amp;",Y","")</f>
        <v>^PQ0,0,0,Y</v>
      </c>
      <c r="K80" t="s">
        <v>7494</v>
      </c>
    </row>
    <row r="81" spans="1:11" ht="13.2">
      <c r="A81" t="str">
        <f>IF(OR(Data!$AV22="",Data!$AW22&gt;999),"","^XA^LH0,0^PRB,D^MD20^JMA^FS")</f>
        <v>^XA^LH0,0^PRB,D^MD20^JMA^FS</v>
      </c>
      <c r="B81" t="str">
        <f t="array" ref="B81">IF(A81&lt;&gt;"","^BY2,2.7,13^FO506,20^B2N,132,Y,N,N^SN"&amp;BarcodeValue(Data!BC$5,Data!BD$5,Data!AW22,0)&amp;",N,Y^FS","")</f>
        <v>^BY2,2.7,13^FO506,20^B2N,132,Y,N,N^SN0039776700390001,N,Y^FS</v>
      </c>
      <c r="C81" t="str">
        <f>IF(A81&lt;&gt;"","^FO20,20^A0N,28,37^CI13^FD"&amp;TEXT(Data!AY$5,"d/m/yyyy")&amp;"^FS","")</f>
        <v>^FO20,20^A0N,28,37^CI13^FD12/8/2026^FS</v>
      </c>
      <c r="D81" t="str">
        <f>IF(A81&lt;&gt;"","^FO220,20^A0N,41,48^CI13^FD"&amp;Data!$BC$5&amp;Data!$BD$5&amp;"/"&amp;RIGHT("000"&amp;Data!AW22,3)&amp;"^FS","")</f>
        <v>^FO220,20^A0N,41,48^CI13^FD39776F/039^FS</v>
      </c>
      <c r="E81" t="str">
        <f>IF(A81&lt;&gt;"","^FO20,55^A0N,30,30^CI13^FD"&amp;Data!$BF$5&amp;"^FS","")</f>
        <v>^FO20,55^A0N,30,30^CI13^FDHare, Kaitlin^FS</v>
      </c>
      <c r="F81" t="str">
        <f>IF(A81&lt;&gt;"","^FO20,95^A0N,30,30^CI13^FD"&amp;Data!AX$5&amp;"^FS","")</f>
        <v>^FO20,95^A0N,30,30^CI13^FDWhole House^FS</v>
      </c>
      <c r="G81" t="str">
        <f>IF(A81&lt;&gt;"","^FO20,135^A0N,30,30^CI13^FD"&amp;Data!BE22&amp;"^FS","")</f>
        <v>^FO20,135^A0N,30,30^CI13^FDCURT Filigree Simplicity 300cm (Continuous) Lining Off White^FS</v>
      </c>
      <c r="H81" t="str">
        <f>IF(A81&lt;&gt;"","^FO20,175^A0N,30,30^CI13^FD"&amp;Data!AY22&amp;"^FS","")</f>
        <v>^FO20,175^A0N,30,30^CI13^FDMaster Door ALTERATION^FS</v>
      </c>
      <c r="I81" t="str">
        <f>IF(A81&lt;&gt;"","^FO300,175^A0N,30,30^CI13^FD"&amp;"W:"&amp;Data!BA22&amp;" H:"&amp;Data!BB22,"")</f>
        <v>^FO300,175^A0N,30,30^CI13^FDW:3502 H:2660</v>
      </c>
      <c r="J81" t="str">
        <f>IF(A81&lt;&gt;"","^PQ"&amp;Data!$F$23&amp;",0,"&amp;Data!$F$23&amp;",Y","")</f>
        <v>^PQ0,0,0,Y</v>
      </c>
      <c r="K81" t="s">
        <v>7494</v>
      </c>
    </row>
    <row r="82" spans="1:11" ht="13.2">
      <c r="A82" t="str">
        <f>IF(OR(Data!$AV23="",Data!$AW23&gt;999),"","^XA^LH0,0^PRB,D^MD20^JMA^FS")</f>
        <v/>
      </c>
      <c r="B82" t="str">
        <f t="array" ref="B82">IF(A82&lt;&gt;"","^BY2,2.7,13^FO506,20^B2N,132,Y,N,N^SN"&amp;BarcodeValue(Data!BC$5,Data!BD$5,Data!AW23,0)&amp;",N,Y^FS","")</f>
        <v/>
      </c>
      <c r="C82" t="str">
        <f>IF(A82&lt;&gt;"","^FO20,20^A0N,28,37^CI13^FD"&amp;TEXT(Data!AY$5,"d/m/yyyy")&amp;"^FS","")</f>
        <v/>
      </c>
      <c r="D82" t="str">
        <f>IF(A82&lt;&gt;"","^FO220,20^A0N,41,48^CI13^FD"&amp;Data!$BC$5&amp;Data!$BD$5&amp;"/"&amp;RIGHT("000"&amp;Data!AW23,3)&amp;"^FS","")</f>
        <v/>
      </c>
      <c r="E82" t="str">
        <f>IF(A82&lt;&gt;"","^FO20,55^A0N,30,30^CI13^FD"&amp;Data!$BF$5&amp;"^FS","")</f>
        <v/>
      </c>
      <c r="F82" t="str">
        <f>IF(A82&lt;&gt;"","^FO20,95^A0N,30,30^CI13^FD"&amp;Data!AX$5&amp;"^FS","")</f>
        <v/>
      </c>
      <c r="G82" t="str">
        <f>IF(A82&lt;&gt;"","^FO20,135^A0N,30,30^CI13^FD"&amp;Data!BE23&amp;"^FS","")</f>
        <v/>
      </c>
      <c r="H82" t="str">
        <f>IF(A82&lt;&gt;"","^FO20,175^A0N,30,30^CI13^FD"&amp;Data!AY23&amp;"^FS","")</f>
        <v/>
      </c>
      <c r="I82" t="str">
        <f>IF(A82&lt;&gt;"","^FO300,175^A0N,30,30^CI13^FD"&amp;"W:"&amp;Data!BA23&amp;" H:"&amp;Data!BB23,"")</f>
        <v/>
      </c>
      <c r="J82" t="str">
        <f>IF(A82&lt;&gt;"","^PQ"&amp;Data!$F$23&amp;",0,"&amp;Data!$F$23&amp;",Y","")</f>
        <v/>
      </c>
      <c r="K82" t="s">
        <v>7494</v>
      </c>
    </row>
    <row r="83" spans="1:11" ht="13.2">
      <c r="A83" t="str">
        <f>IF(OR(Data!$AV24="",Data!$AW24&gt;999),"","^XA^LH0,0^PRB,D^MD20^JMA^FS")</f>
        <v/>
      </c>
      <c r="B83" t="str">
        <f t="array" ref="B83">IF(A83&lt;&gt;"","^BY2,2.7,13^FO506,20^B2N,132,Y,N,N^SN"&amp;BarcodeValue(Data!BC$5,Data!BD$5,Data!AW24,0)&amp;",N,Y^FS","")</f>
        <v/>
      </c>
      <c r="C83" t="str">
        <f>IF(A83&lt;&gt;"","^FO20,20^A0N,28,37^CI13^FD"&amp;TEXT(Data!AY$5,"d/m/yyyy")&amp;"^FS","")</f>
        <v/>
      </c>
      <c r="D83" t="str">
        <f>IF(A83&lt;&gt;"","^FO220,20^A0N,41,48^CI13^FD"&amp;Data!$BC$5&amp;Data!$BD$5&amp;"/"&amp;RIGHT("000"&amp;Data!AW24,3)&amp;"^FS","")</f>
        <v/>
      </c>
      <c r="E83" t="str">
        <f>IF(A83&lt;&gt;"","^FO20,55^A0N,30,30^CI13^FD"&amp;Data!$BF$5&amp;"^FS","")</f>
        <v/>
      </c>
      <c r="F83" t="str">
        <f>IF(A83&lt;&gt;"","^FO20,95^A0N,30,30^CI13^FD"&amp;Data!AX$5&amp;"^FS","")</f>
        <v/>
      </c>
      <c r="G83" t="str">
        <f>IF(A83&lt;&gt;"","^FO20,135^A0N,30,30^CI13^FD"&amp;Data!BE24&amp;"^FS","")</f>
        <v/>
      </c>
      <c r="H83" t="str">
        <f>IF(A83&lt;&gt;"","^FO20,175^A0N,30,30^CI13^FD"&amp;Data!AY24&amp;"^FS","")</f>
        <v/>
      </c>
      <c r="I83" t="str">
        <f>IF(A83&lt;&gt;"","^FO300,175^A0N,30,30^CI13^FD"&amp;"W:"&amp;Data!BA24&amp;" H:"&amp;Data!BB24,"")</f>
        <v/>
      </c>
      <c r="J83" t="str">
        <f>IF(A83&lt;&gt;"","^PQ"&amp;Data!$F$23&amp;",0,"&amp;Data!$F$23&amp;",Y","")</f>
        <v/>
      </c>
      <c r="K83" t="s">
        <v>7494</v>
      </c>
    </row>
    <row r="84" spans="1:11" ht="13.2">
      <c r="A84" t="str">
        <f>IF(OR(Data!$AV25="",Data!$AW25&gt;999),"","^XA^LH0,0^PRB,D^MD20^JMA^FS")</f>
        <v/>
      </c>
      <c r="B84" t="str">
        <f t="array" ref="B84">IF(A84&lt;&gt;"","^BY2,2.7,13^FO506,20^B2N,132,Y,N,N^SN"&amp;BarcodeValue(Data!BC$5,Data!BD$5,Data!AW25,0)&amp;",N,Y^FS","")</f>
        <v/>
      </c>
      <c r="C84" t="str">
        <f>IF(A84&lt;&gt;"","^FO20,20^A0N,28,37^CI13^FD"&amp;TEXT(Data!AY$5,"d/m/yyyy")&amp;"^FS","")</f>
        <v/>
      </c>
      <c r="D84" t="str">
        <f>IF(A84&lt;&gt;"","^FO220,20^A0N,41,48^CI13^FD"&amp;Data!$BC$5&amp;Data!$BD$5&amp;"/"&amp;RIGHT("000"&amp;Data!AW25,3)&amp;"^FS","")</f>
        <v/>
      </c>
      <c r="E84" t="str">
        <f>IF(A84&lt;&gt;"","^FO20,55^A0N,30,30^CI13^FD"&amp;Data!$BF$5&amp;"^FS","")</f>
        <v/>
      </c>
      <c r="F84" t="str">
        <f>IF(A84&lt;&gt;"","^FO20,95^A0N,30,30^CI13^FD"&amp;Data!AX$5&amp;"^FS","")</f>
        <v/>
      </c>
      <c r="G84" t="str">
        <f>IF(A84&lt;&gt;"","^FO20,135^A0N,30,30^CI13^FD"&amp;Data!BE25&amp;"^FS","")</f>
        <v/>
      </c>
      <c r="H84" t="str">
        <f>IF(A84&lt;&gt;"","^FO20,175^A0N,30,30^CI13^FD"&amp;Data!AY25&amp;"^FS","")</f>
        <v/>
      </c>
      <c r="I84" t="str">
        <f>IF(A84&lt;&gt;"","^FO300,175^A0N,30,30^CI13^FD"&amp;"W:"&amp;Data!BA25&amp;" H:"&amp;Data!BB25,"")</f>
        <v/>
      </c>
      <c r="J84" t="str">
        <f>IF(A84&lt;&gt;"","^PQ"&amp;Data!$F$23&amp;",0,"&amp;Data!$F$23&amp;",Y","")</f>
        <v/>
      </c>
      <c r="K84" t="s">
        <v>7494</v>
      </c>
    </row>
    <row r="85" spans="1:11" ht="13.2">
      <c r="A85" t="str">
        <f>IF(OR(Data!$AV26="",Data!$AW26&gt;999),"","^XA^LH0,0^PRB,D^MD20^JMA^FS")</f>
        <v/>
      </c>
      <c r="B85" t="str">
        <f t="array" ref="B85">IF(A85&lt;&gt;"","^BY2,2.7,13^FO506,20^B2N,132,Y,N,N^SN"&amp;BarcodeValue(Data!BC$5,Data!BD$5,Data!AW26,0)&amp;",N,Y^FS","")</f>
        <v/>
      </c>
      <c r="C85" t="str">
        <f>IF(A85&lt;&gt;"","^FO20,20^A0N,28,37^CI13^FD"&amp;TEXT(Data!AY$5,"d/m/yyyy")&amp;"^FS","")</f>
        <v/>
      </c>
      <c r="D85" t="str">
        <f>IF(A85&lt;&gt;"","^FO220,20^A0N,41,48^CI13^FD"&amp;Data!$BC$5&amp;Data!$BD$5&amp;"/"&amp;RIGHT("000"&amp;Data!AW26,3)&amp;"^FS","")</f>
        <v/>
      </c>
      <c r="E85" t="str">
        <f>IF(A85&lt;&gt;"","^FO20,55^A0N,30,30^CI13^FD"&amp;Data!$BF$5&amp;"^FS","")</f>
        <v/>
      </c>
      <c r="F85" t="str">
        <f>IF(A85&lt;&gt;"","^FO20,95^A0N,30,30^CI13^FD"&amp;Data!AX$5&amp;"^FS","")</f>
        <v/>
      </c>
      <c r="G85" t="str">
        <f>IF(A85&lt;&gt;"","^FO20,135^A0N,30,30^CI13^FD"&amp;Data!BE26&amp;"^FS","")</f>
        <v/>
      </c>
      <c r="H85" t="str">
        <f>IF(A85&lt;&gt;"","^FO20,175^A0N,30,30^CI13^FD"&amp;Data!AY26&amp;"^FS","")</f>
        <v/>
      </c>
      <c r="I85" t="str">
        <f>IF(A85&lt;&gt;"","^FO300,175^A0N,30,30^CI13^FD"&amp;"W:"&amp;Data!BA26&amp;" H:"&amp;Data!BB26,"")</f>
        <v/>
      </c>
      <c r="J85" t="str">
        <f>IF(A85&lt;&gt;"","^PQ"&amp;Data!$F$23&amp;",0,"&amp;Data!$F$23&amp;",Y","")</f>
        <v/>
      </c>
      <c r="K85" t="s">
        <v>7494</v>
      </c>
    </row>
    <row r="86" spans="1:11" ht="13.2">
      <c r="A86" t="str">
        <f>IF(OR(Data!$AV27="",Data!$AW27&gt;999),"","^XA^LH0,0^PRB,D^MD20^JMA^FS")</f>
        <v/>
      </c>
      <c r="B86" t="str">
        <f t="array" ref="B86">IF(A86&lt;&gt;"","^BY2,2.7,13^FO506,20^B2N,132,Y,N,N^SN"&amp;BarcodeValue(Data!BC$5,Data!BD$5,Data!AW27,0)&amp;",N,Y^FS","")</f>
        <v/>
      </c>
      <c r="C86" t="str">
        <f>IF(A86&lt;&gt;"","^FO20,20^A0N,28,37^CI13^FD"&amp;TEXT(Data!AY$5,"d/m/yyyy")&amp;"^FS","")</f>
        <v/>
      </c>
      <c r="D86" t="str">
        <f>IF(A86&lt;&gt;"","^FO220,20^A0N,41,48^CI13^FD"&amp;Data!$BC$5&amp;Data!$BD$5&amp;"/"&amp;RIGHT("000"&amp;Data!AW27,3)&amp;"^FS","")</f>
        <v/>
      </c>
      <c r="E86" t="str">
        <f>IF(A86&lt;&gt;"","^FO20,55^A0N,30,30^CI13^FD"&amp;Data!$BF$5&amp;"^FS","")</f>
        <v/>
      </c>
      <c r="F86" t="str">
        <f>IF(A86&lt;&gt;"","^FO20,95^A0N,30,30^CI13^FD"&amp;Data!AX$5&amp;"^FS","")</f>
        <v/>
      </c>
      <c r="G86" t="str">
        <f>IF(A86&lt;&gt;"","^FO20,135^A0N,30,30^CI13^FD"&amp;Data!BE27&amp;"^FS","")</f>
        <v/>
      </c>
      <c r="H86" t="str">
        <f>IF(A86&lt;&gt;"","^FO20,175^A0N,30,30^CI13^FD"&amp;Data!AY27&amp;"^FS","")</f>
        <v/>
      </c>
      <c r="I86" t="str">
        <f>IF(A86&lt;&gt;"","^FO300,175^A0N,30,30^CI13^FD"&amp;"W:"&amp;Data!BA27&amp;" H:"&amp;Data!BB27,"")</f>
        <v/>
      </c>
      <c r="J86" t="str">
        <f>IF(A86&lt;&gt;"","^PQ"&amp;Data!$F$23&amp;",0,"&amp;Data!$F$23&amp;",Y","")</f>
        <v/>
      </c>
      <c r="K86" t="s">
        <v>7494</v>
      </c>
    </row>
    <row r="87" spans="1:11" ht="13.2">
      <c r="A87" t="str">
        <f>IF(OR(Data!$AV28="",Data!$AW28&gt;999),"","^XA^LH0,0^PRB,D^MD20^JMA^FS")</f>
        <v/>
      </c>
      <c r="B87" t="str">
        <f t="array" ref="B87">IF(A87&lt;&gt;"","^BY2,2.7,13^FO506,20^B2N,132,Y,N,N^SN"&amp;BarcodeValue(Data!BC$5,Data!BD$5,Data!AW28,0)&amp;",N,Y^FS","")</f>
        <v/>
      </c>
      <c r="C87" t="str">
        <f>IF(A87&lt;&gt;"","^FO20,20^A0N,28,37^CI13^FD"&amp;TEXT(Data!AY$5,"d/m/yyyy")&amp;"^FS","")</f>
        <v/>
      </c>
      <c r="D87" t="str">
        <f>IF(A87&lt;&gt;"","^FO220,20^A0N,41,48^CI13^FD"&amp;Data!$BC$5&amp;Data!$BD$5&amp;"/"&amp;RIGHT("000"&amp;Data!AW28,3)&amp;"^FS","")</f>
        <v/>
      </c>
      <c r="E87" t="str">
        <f>IF(A87&lt;&gt;"","^FO20,55^A0N,30,30^CI13^FD"&amp;Data!$BF$5&amp;"^FS","")</f>
        <v/>
      </c>
      <c r="F87" t="str">
        <f>IF(A87&lt;&gt;"","^FO20,95^A0N,30,30^CI13^FD"&amp;Data!AX$5&amp;"^FS","")</f>
        <v/>
      </c>
      <c r="G87" t="str">
        <f>IF(A87&lt;&gt;"","^FO20,135^A0N,30,30^CI13^FD"&amp;Data!BE28&amp;"^FS","")</f>
        <v/>
      </c>
      <c r="H87" t="str">
        <f>IF(A87&lt;&gt;"","^FO20,175^A0N,30,30^CI13^FD"&amp;Data!AY28&amp;"^FS","")</f>
        <v/>
      </c>
      <c r="I87" t="str">
        <f>IF(A87&lt;&gt;"","^FO300,175^A0N,30,30^CI13^FD"&amp;"W:"&amp;Data!BA28&amp;" H:"&amp;Data!BB28,"")</f>
        <v/>
      </c>
      <c r="J87" t="str">
        <f>IF(A87&lt;&gt;"","^PQ"&amp;Data!$F$23&amp;",0,"&amp;Data!$F$23&amp;",Y","")</f>
        <v/>
      </c>
      <c r="K87" t="s">
        <v>7494</v>
      </c>
    </row>
  </sheetData>
  <pageMargins left="2.05039370078855" right="2.05039370078855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DPS Computer Services Pty Ltd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Reugene Echavez</cp:lastModifiedBy>
  <cp:lastPrinted>2026-08-27T02:59:04Z</cp:lastPrinted>
  <dcterms:created xsi:type="dcterms:W3CDTF">2004-01-09T05:29:38Z</dcterms:created>
  <dcterms:modified xsi:type="dcterms:W3CDTF">2026-09-24T06:09:30Z</dcterms:modified>
  <cp:category/>
  <cp:contentType/>
  <cp:contentStatus/>
</cp:coreProperties>
</file>